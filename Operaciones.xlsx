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ort Sport" sheetId="1" state="visible" r:id="rId1"/>
    <sheet name="R1 - Interno" sheetId="2" state="visible" r:id="rId2"/>
    <sheet name="R1 - Externo" sheetId="3" state="visible" r:id="rId3"/>
    <sheet name="RIO" sheetId="4" state="visible" r:id="rId4"/>
    <sheet name="MAR" sheetId="5" state="visible" r:id="rId5"/>
    <sheet name="Clasica Microfibra" sheetId="6" state="visible" r:id="rId6"/>
    <sheet name="General" sheetId="7" state="visible" r:id="rId7"/>
    <sheet name="Medicion Linea" sheetId="8" state="visible" r:id="rId8"/>
    <sheet name="Registro Diario" sheetId="9" state="visible" r:id="rId9"/>
  </sheets>
  <definedNames/>
  <calcPr calcId="124519" fullCalcOnLoad="1"/>
</workbook>
</file>

<file path=xl/styles.xml><?xml version="1.0" encoding="utf-8"?>
<styleSheet xmlns="http://schemas.openxmlformats.org/spreadsheetml/2006/main">
  <numFmts count="0"/>
  <fonts count="26">
    <font>
      <name val="Arial"/>
      <color rgb="FF000000"/>
      <sz val="10"/>
      <scheme val="minor"/>
    </font>
    <font>
      <name val="Arial"/>
      <color theme="1"/>
      <scheme val="minor"/>
    </font>
    <font>
      <name val="Arial"/>
      <b val="1"/>
      <color theme="1"/>
      <sz val="12"/>
      <scheme val="minor"/>
    </font>
    <font>
      <name val="Arial"/>
      <b val="1"/>
      <color theme="1"/>
      <sz val="12"/>
    </font>
    <font/>
    <font>
      <name val="Arial"/>
      <b val="1"/>
      <color theme="1"/>
      <scheme val="minor"/>
    </font>
    <font>
      <name val="Arial"/>
      <b val="1"/>
      <color theme="1"/>
    </font>
    <font>
      <name val="Arial"/>
      <color theme="1"/>
    </font>
    <font>
      <name val="Arial"/>
      <b val="1"/>
      <color theme="1"/>
      <sz val="8"/>
    </font>
    <font>
      <name val="Arial"/>
      <b val="1"/>
      <color theme="1"/>
      <sz val="10"/>
    </font>
    <font>
      <name val="Arial"/>
      <color theme="1"/>
      <sz val="10"/>
    </font>
    <font>
      <name val="Arial"/>
      <color theme="1"/>
      <sz val="8"/>
    </font>
    <font>
      <name val="Arial"/>
      <color theme="1"/>
      <sz val="10"/>
      <scheme val="minor"/>
    </font>
    <font>
      <name val="Arial"/>
      <color theme="1"/>
      <sz val="8"/>
      <scheme val="minor"/>
    </font>
    <font>
      <name val="Arial"/>
      <color rgb="FFF3F3F3"/>
      <scheme val="minor"/>
    </font>
    <font>
      <name val="Calibri"/>
      <b val="1"/>
      <color rgb="00073763"/>
      <sz val="14"/>
    </font>
    <font>
      <name val="Calibri"/>
      <b val="1"/>
      <color rgb="00FFFFFF"/>
      <sz val="11"/>
    </font>
    <font>
      <name val="Calibri"/>
      <sz val="10"/>
    </font>
    <font>
      <name val="Calibri"/>
      <i val="1"/>
      <color rgb="00666666"/>
      <sz val="9"/>
    </font>
    <font>
      <name val="Calibri"/>
      <i val="1"/>
      <color rgb="00555555"/>
      <sz val="9"/>
    </font>
    <font>
      <name val="Calibri"/>
      <b val="1"/>
      <sz val="10"/>
    </font>
    <font>
      <name val="Calibri"/>
      <b val="1"/>
      <color rgb="00073763"/>
      <sz val="10"/>
    </font>
    <font>
      <name val="Calibri"/>
      <color rgb="00666666"/>
      <sz val="9"/>
    </font>
    <font>
      <name val="Calibri"/>
      <i val="1"/>
      <sz val="9"/>
    </font>
    <font>
      <name val="Calibri"/>
      <b val="1"/>
    </font>
    <font>
      <name val="Calibri"/>
      <sz val="9"/>
    </font>
  </fonts>
  <fills count="10">
    <fill>
      <patternFill/>
    </fill>
    <fill>
      <patternFill patternType="lightGray"/>
    </fill>
    <fill>
      <patternFill patternType="solid">
        <fgColor rgb="FFFFFFFF"/>
        <bgColor rgb="FFFFFFFF"/>
      </patternFill>
    </fill>
    <fill>
      <patternFill patternType="solid">
        <fgColor rgb="FF073763"/>
        <bgColor rgb="FF073763"/>
      </patternFill>
    </fill>
    <fill>
      <patternFill patternType="solid">
        <fgColor rgb="00073763"/>
      </patternFill>
    </fill>
    <fill>
      <patternFill patternType="solid">
        <fgColor rgb="00FFF2CC"/>
      </patternFill>
    </fill>
    <fill>
      <patternFill patternType="solid">
        <fgColor rgb="00E8F0F7"/>
      </patternFill>
    </fill>
    <fill>
      <patternFill patternType="solid">
        <fgColor rgb="000B5394"/>
      </patternFill>
    </fill>
    <fill>
      <patternFill patternType="solid">
        <fgColor rgb="00D0E2F3"/>
      </patternFill>
    </fill>
    <fill>
      <patternFill patternType="solid">
        <fgColor rgb="00D9EAD3"/>
      </patternFill>
    </fill>
  </fills>
  <borders count="48">
    <border/>
    <border>
      <left style="thick">
        <color rgb="FF000000"/>
      </left>
      <right style="thin">
        <color rgb="FF000000"/>
      </right>
      <top style="thick">
        <color rgb="FF000000"/>
      </top>
    </border>
    <border>
      <left style="thin">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border>
    <border>
      <left style="thin">
        <color rgb="FF000000"/>
      </left>
      <right style="thin">
        <color rgb="FF000000"/>
      </right>
      <top style="thin">
        <color rgb="FF000000"/>
      </top>
      <bottom style="thin">
        <color rgb="FF000000"/>
      </bottom>
    </border>
    <border>
      <right style="thin">
        <color rgb="FF000000"/>
      </right>
      <top style="thick">
        <color rgb="FF000000"/>
      </top>
      <bottom style="thin">
        <color rgb="FF000000"/>
      </bottom>
    </border>
    <border>
      <left style="thin">
        <color rgb="FF000000"/>
      </left>
      <top style="thin">
        <color rgb="FF000000"/>
      </top>
      <bottom style="thin">
        <color rgb="FF000000"/>
      </bottom>
    </border>
    <border>
      <right style="thick">
        <color rgb="FF000000"/>
      </right>
      <top style="thin">
        <color rgb="FF000000"/>
      </top>
      <bottom style="thin">
        <color rgb="FF000000"/>
      </bottom>
    </border>
    <border>
      <top style="thin">
        <color rgb="FF000000"/>
      </top>
      <bottom style="thin">
        <color rgb="FF000000"/>
      </bottom>
    </border>
    <border>
      <left style="thick">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top style="thin">
        <color rgb="FF000000"/>
      </top>
      <bottom style="thick">
        <color rgb="FF000000"/>
      </bottom>
    </border>
    <border>
      <right style="thick">
        <color rgb="FF000000"/>
      </right>
      <top style="thin">
        <color rgb="FF000000"/>
      </top>
      <bottom style="thick">
        <color rgb="FF000000"/>
      </bottom>
    </border>
    <border>
      <top style="thin">
        <color rgb="FF000000"/>
      </top>
      <bottom style="thick">
        <color rgb="FF000000"/>
      </bottom>
    </border>
    <border>
      <right style="thin">
        <color rgb="FF000000"/>
      </right>
      <top style="thin">
        <color rgb="FF000000"/>
      </top>
      <bottom style="thin">
        <color rgb="FF000000"/>
      </bottom>
    </border>
    <border>
      <left style="thick">
        <color rgb="FF000000"/>
      </left>
      <top style="thick">
        <color rgb="FF000000"/>
      </top>
      <bottom style="thin">
        <color rgb="FF000000"/>
      </bottom>
    </border>
    <border>
      <left style="thick">
        <color rgb="FF000000"/>
      </left>
      <bottom style="thin">
        <color rgb="FF000000"/>
      </bottom>
    </border>
    <border>
      <right style="thin">
        <color rgb="FF000000"/>
      </right>
      <bottom style="thin">
        <color rgb="FF000000"/>
      </bottom>
    </border>
    <border>
      <bottom style="thin">
        <color rgb="FF000000"/>
      </bottom>
    </border>
    <border>
      <right style="thick">
        <color rgb="FF000000"/>
      </right>
      <bottom style="thin">
        <color rgb="FF000000"/>
      </bottom>
    </border>
    <border>
      <left style="thick">
        <color rgb="FF000000"/>
      </left>
      <top style="thin">
        <color rgb="FF000000"/>
      </top>
      <bottom style="thin">
        <color rgb="FF000000"/>
      </bottom>
    </border>
    <border>
      <left style="thick">
        <color rgb="FF000000"/>
      </left>
      <top style="thin">
        <color rgb="FF000000"/>
      </top>
      <bottom style="thick">
        <color rgb="FF000000"/>
      </bottom>
    </border>
    <border>
      <right style="thin">
        <color rgb="FF000000"/>
      </right>
      <top style="thin">
        <color rgb="FF000000"/>
      </top>
      <bottom style="thick">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ck">
        <color rgb="FF000000"/>
      </top>
      <bottom style="thick">
        <color rgb="FF000000"/>
      </bottom>
    </border>
    <border>
      <left style="thick">
        <color rgb="FF000000"/>
      </left>
    </border>
    <border>
      <top style="thick">
        <color rgb="FF000000"/>
      </top>
    </border>
    <border>
      <right style="thick">
        <color rgb="FF000000"/>
      </right>
      <top style="thick">
        <color rgb="FF000000"/>
      </top>
    </border>
    <border>
      <left style="thin">
        <color rgb="FF000000"/>
      </left>
      <right style="thick">
        <color rgb="FF000000"/>
      </right>
      <top style="thin">
        <color rgb="FF000000"/>
      </top>
      <bottom style="thin">
        <color rgb="FF000000"/>
      </bottom>
    </border>
    <border>
      <top style="thin">
        <color rgb="FF000000"/>
      </top>
    </border>
    <border>
      <right style="thick">
        <color rgb="FF000000"/>
      </right>
      <top style="thin">
        <color rgb="FF000000"/>
      </top>
    </border>
    <border>
      <left style="thin">
        <color rgb="FF000000"/>
      </left>
      <right style="thick">
        <color rgb="FF000000"/>
      </right>
      <top style="thin">
        <color rgb="FF000000"/>
      </top>
      <bottom style="thick">
        <color rgb="FF000000"/>
      </bottom>
    </border>
    <border>
      <right style="thin">
        <color rgb="FF000000"/>
      </right>
      <top style="thin">
        <color rgb="FF000000"/>
      </top>
    </border>
    <border>
      <left style="thin">
        <color rgb="FF000000"/>
      </left>
      <right style="thin">
        <color rgb="FF000000"/>
      </right>
      <top style="thick">
        <color rgb="FF000000"/>
      </top>
      <bottom style="thin">
        <color rgb="FF000000"/>
      </bottom>
    </border>
    <border>
      <right style="thin">
        <color rgb="FF000000"/>
      </right>
      <top style="thick">
        <color rgb="FF000000"/>
      </top>
    </border>
    <border>
      <left style="thick">
        <color rgb="FF000000"/>
      </left>
      <right style="thick">
        <color rgb="FF000000"/>
      </right>
      <top style="thick">
        <color rgb="FF000000"/>
      </top>
      <bottom style="thin">
        <color rgb="FF000000"/>
      </bottom>
    </border>
    <border>
      <left style="thick">
        <color rgb="FF000000"/>
      </left>
      <right style="thin">
        <color rgb="FF000000"/>
      </right>
      <bottom style="thin">
        <color rgb="FF000000"/>
      </bottom>
    </border>
    <border>
      <right style="thin">
        <color rgb="FF000000"/>
      </right>
    </border>
    <border>
      <right style="thick">
        <color rgb="FF000000"/>
      </right>
    </border>
    <border>
      <left style="thick">
        <color rgb="FF000000"/>
      </left>
      <right style="thin">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00B0B0B0"/>
      </left>
      <right style="thin">
        <color rgb="00B0B0B0"/>
      </right>
      <top style="thin">
        <color rgb="00B0B0B0"/>
      </top>
      <bottom style="thin">
        <color rgb="00B0B0B0"/>
      </bottom>
    </border>
    <border>
      <top style="thin">
        <color rgb="00B0B0B0"/>
      </top>
    </border>
    <border>
      <right style="thin">
        <color rgb="00B0B0B0"/>
      </right>
      <top style="thin">
        <color rgb="00B0B0B0"/>
      </top>
    </border>
    <border>
      <top style="thin">
        <color rgb="00B0B0B0"/>
      </top>
      <bottom style="thin">
        <color rgb="00B0B0B0"/>
      </bottom>
    </border>
    <border>
      <right style="thin">
        <color rgb="00B0B0B0"/>
      </right>
      <top style="thin">
        <color rgb="00B0B0B0"/>
      </top>
      <bottom style="thin">
        <color rgb="00B0B0B0"/>
      </bottom>
    </border>
  </borders>
  <cellStyleXfs count="1">
    <xf numFmtId="0" fontId="0" fillId="0" borderId="0"/>
  </cellStyleXfs>
  <cellXfs count="161">
    <xf numFmtId="0" fontId="0" fillId="0" borderId="0" applyAlignment="1" pivotButton="0" quotePrefix="0" xfId="0">
      <alignment vertical="bottom"/>
    </xf>
    <xf numFmtId="0" fontId="1" fillId="0" borderId="1" applyAlignment="1" pivotButton="0" quotePrefix="0" xfId="0">
      <alignment vertical="center"/>
    </xf>
    <xf numFmtId="0" fontId="2" fillId="0" borderId="2" applyAlignment="1" pivotButton="0" quotePrefix="0" xfId="0">
      <alignment horizontal="center"/>
    </xf>
    <xf numFmtId="0" fontId="3" fillId="0" borderId="2" applyAlignment="1" pivotButton="0" quotePrefix="0" xfId="0">
      <alignment horizontal="center" vertical="bottom"/>
    </xf>
    <xf numFmtId="0" fontId="4" fillId="0" borderId="3" pivotButton="0" quotePrefix="0" xfId="0"/>
    <xf numFmtId="0" fontId="4" fillId="0" borderId="4" pivotButton="0" quotePrefix="0" xfId="0"/>
    <xf numFmtId="0" fontId="4" fillId="0" borderId="5" pivotButton="0" quotePrefix="0" xfId="0"/>
    <xf numFmtId="0" fontId="1" fillId="0" borderId="0" applyAlignment="1" pivotButton="0" quotePrefix="0" xfId="0">
      <alignment vertical="center"/>
    </xf>
    <xf numFmtId="0" fontId="5" fillId="0" borderId="6" pivotButton="0" quotePrefix="0" xfId="0"/>
    <xf numFmtId="0" fontId="4" fillId="0" borderId="7" pivotButton="0" quotePrefix="0" xfId="0"/>
    <xf numFmtId="0" fontId="1" fillId="0" borderId="6" pivotButton="0" quotePrefix="0" xfId="0"/>
    <xf numFmtId="0" fontId="6" fillId="0" borderId="6" applyAlignment="1" pivotButton="0" quotePrefix="0" xfId="0">
      <alignment vertical="bottom"/>
    </xf>
    <xf numFmtId="0" fontId="1" fillId="0" borderId="8" pivotButton="0" quotePrefix="0" xfId="0"/>
    <xf numFmtId="0" fontId="7" fillId="0" borderId="6" applyAlignment="1" pivotButton="0" quotePrefix="0" xfId="0">
      <alignment vertical="bottom"/>
    </xf>
    <xf numFmtId="0" fontId="4" fillId="0" borderId="9" pivotButton="0" quotePrefix="0" xfId="0"/>
    <xf numFmtId="0" fontId="4" fillId="0" borderId="10" pivotButton="0" quotePrefix="0" xfId="0"/>
    <xf numFmtId="0" fontId="7" fillId="0" borderId="8" applyAlignment="1" pivotButton="0" quotePrefix="0" xfId="0">
      <alignment vertical="bottom"/>
    </xf>
    <xf numFmtId="0" fontId="4" fillId="0" borderId="11" pivotButton="0" quotePrefix="0" xfId="0"/>
    <xf numFmtId="0" fontId="5" fillId="0" borderId="12" pivotButton="0" quotePrefix="0" xfId="0"/>
    <xf numFmtId="0" fontId="1" fillId="0" borderId="12" applyAlignment="1" pivotButton="0" quotePrefix="0" xfId="0">
      <alignment wrapText="1"/>
    </xf>
    <xf numFmtId="0" fontId="1" fillId="0" borderId="13" pivotButton="0" quotePrefix="0" xfId="0"/>
    <xf numFmtId="0" fontId="4" fillId="0" borderId="14" pivotButton="0" quotePrefix="0" xfId="0"/>
    <xf numFmtId="0" fontId="1" fillId="0" borderId="12" pivotButton="0" quotePrefix="0" xfId="0"/>
    <xf numFmtId="0" fontId="6" fillId="0" borderId="0" applyAlignment="1" pivotButton="0" quotePrefix="0" xfId="0">
      <alignment horizontal="center" vertical="bottom"/>
    </xf>
    <xf numFmtId="0" fontId="8" fillId="0" borderId="0" applyAlignment="1" pivotButton="0" quotePrefix="0" xfId="0">
      <alignment horizontal="center" vertical="bottom"/>
    </xf>
    <xf numFmtId="0" fontId="6" fillId="0" borderId="12" applyAlignment="1" pivotButton="0" quotePrefix="0" xfId="0">
      <alignment vertical="bottom"/>
    </xf>
    <xf numFmtId="0" fontId="9" fillId="0" borderId="6" applyAlignment="1" pivotButton="0" quotePrefix="0" xfId="0">
      <alignment horizontal="center" vertical="bottom"/>
    </xf>
    <xf numFmtId="0" fontId="4" fillId="0" borderId="15" pivotButton="0" quotePrefix="0" xfId="0"/>
    <xf numFmtId="0" fontId="7" fillId="0" borderId="0" applyAlignment="1" pivotButton="0" quotePrefix="0" xfId="0">
      <alignment vertical="bottom"/>
    </xf>
    <xf numFmtId="0" fontId="7" fillId="0" borderId="12" applyAlignment="1" pivotButton="0" quotePrefix="0" xfId="0">
      <alignment wrapText="1"/>
    </xf>
    <xf numFmtId="0" fontId="9" fillId="0" borderId="6" applyAlignment="1" pivotButton="0" quotePrefix="0" xfId="0">
      <alignment horizontal="center" vertical="bottom" wrapText="1"/>
    </xf>
    <xf numFmtId="0" fontId="6" fillId="0" borderId="12" pivotButton="0" quotePrefix="0" xfId="0"/>
    <xf numFmtId="0" fontId="9" fillId="0" borderId="6" applyAlignment="1" pivotButton="0" quotePrefix="0" xfId="0">
      <alignment horizontal="center" vertical="center"/>
    </xf>
    <xf numFmtId="0" fontId="9" fillId="0" borderId="8" applyAlignment="1" pivotButton="0" quotePrefix="0" xfId="0">
      <alignment horizontal="center" vertical="bottom"/>
    </xf>
    <xf numFmtId="0" fontId="4" fillId="0" borderId="16" pivotButton="0" quotePrefix="0" xfId="0"/>
    <xf numFmtId="0" fontId="7" fillId="0" borderId="13" applyAlignment="1" pivotButton="0" quotePrefix="0" xfId="0">
      <alignment wrapText="1"/>
    </xf>
    <xf numFmtId="0" fontId="9" fillId="0" borderId="16" applyAlignment="1" pivotButton="0" quotePrefix="0" xfId="0">
      <alignment horizontal="center" vertical="center" wrapText="1"/>
    </xf>
    <xf numFmtId="0" fontId="10" fillId="0" borderId="6" applyAlignment="1" pivotButton="0" quotePrefix="0" xfId="0">
      <alignment horizontal="center" vertical="center" wrapText="1"/>
    </xf>
    <xf numFmtId="0" fontId="10" fillId="0" borderId="6" applyAlignment="1" pivotButton="0" quotePrefix="0" xfId="0">
      <alignment horizontal="center" vertical="center" wrapText="1"/>
    </xf>
    <xf numFmtId="0" fontId="9" fillId="0" borderId="8" applyAlignment="1" pivotButton="0" quotePrefix="0" xfId="0">
      <alignment horizontal="center" vertical="center"/>
    </xf>
    <xf numFmtId="0" fontId="10" fillId="0" borderId="8" applyAlignment="1" pivotButton="0" quotePrefix="0" xfId="0">
      <alignment horizontal="left" vertical="center" wrapText="1"/>
    </xf>
    <xf numFmtId="0" fontId="10" fillId="0" borderId="8" applyAlignment="1" pivotButton="0" quotePrefix="0" xfId="0">
      <alignment horizontal="left" vertical="center" wrapText="1"/>
    </xf>
    <xf numFmtId="0" fontId="1" fillId="0" borderId="0" applyAlignment="1" pivotButton="0" quotePrefix="0" xfId="0">
      <alignment horizontal="center" vertical="center"/>
    </xf>
    <xf numFmtId="0" fontId="7" fillId="0" borderId="0" applyAlignment="1" pivotButton="0" quotePrefix="0" xfId="0">
      <alignment horizontal="left" vertical="center"/>
    </xf>
    <xf numFmtId="0" fontId="11" fillId="0" borderId="6" applyAlignment="1" pivotButton="0" quotePrefix="0" xfId="0">
      <alignment horizontal="center" wrapText="1"/>
    </xf>
    <xf numFmtId="0" fontId="11" fillId="0" borderId="8" applyAlignment="1" pivotButton="0" quotePrefix="0" xfId="0">
      <alignment horizontal="center"/>
    </xf>
    <xf numFmtId="0" fontId="11" fillId="0" borderId="16" applyAlignment="1" pivotButton="0" quotePrefix="0" xfId="0">
      <alignment horizontal="center"/>
    </xf>
    <xf numFmtId="0" fontId="12" fillId="0" borderId="6" applyAlignment="1" pivotButton="0" quotePrefix="0" xfId="0">
      <alignment horizontal="center" vertical="center"/>
    </xf>
    <xf numFmtId="0" fontId="11" fillId="0" borderId="6" applyAlignment="1" pivotButton="0" quotePrefix="0" xfId="0">
      <alignment horizontal="center"/>
    </xf>
    <xf numFmtId="0" fontId="12" fillId="0" borderId="6" applyAlignment="1" pivotButton="0" quotePrefix="0" xfId="0">
      <alignment horizontal="center" vertical="center" wrapText="1"/>
    </xf>
    <xf numFmtId="0" fontId="12" fillId="0" borderId="8" applyAlignment="1" pivotButton="0" quotePrefix="0" xfId="0">
      <alignment horizontal="center" vertical="center" wrapText="1"/>
    </xf>
    <xf numFmtId="0" fontId="11" fillId="0" borderId="0" applyAlignment="1" pivotButton="0" quotePrefix="0" xfId="0">
      <alignment horizontal="center" vertical="center"/>
    </xf>
    <xf numFmtId="0" fontId="11" fillId="0" borderId="0" applyAlignment="1" pivotButton="0" quotePrefix="0" xfId="0">
      <alignment vertical="center" wrapText="1"/>
    </xf>
    <xf numFmtId="0" fontId="11" fillId="0" borderId="0" applyAlignment="1" pivotButton="0" quotePrefix="0" xfId="0">
      <alignment vertical="center"/>
    </xf>
    <xf numFmtId="0" fontId="12" fillId="0" borderId="8" applyAlignment="1" pivotButton="0" quotePrefix="0" xfId="0">
      <alignment horizontal="center" vertical="center"/>
    </xf>
    <xf numFmtId="0" fontId="1" fillId="0" borderId="0" pivotButton="0" quotePrefix="0" xfId="0"/>
    <xf numFmtId="0" fontId="13" fillId="0" borderId="0" applyAlignment="1" pivotButton="0" quotePrefix="0" xfId="0">
      <alignment vertical="center"/>
    </xf>
    <xf numFmtId="0" fontId="10" fillId="0" borderId="8" applyAlignment="1" pivotButton="0" quotePrefix="0" xfId="0">
      <alignment horizontal="left" vertical="center" wrapText="1"/>
    </xf>
    <xf numFmtId="0" fontId="13" fillId="0" borderId="0" applyAlignment="1" pivotButton="0" quotePrefix="0" xfId="0">
      <alignment horizontal="center" vertical="center"/>
    </xf>
    <xf numFmtId="0" fontId="13" fillId="0" borderId="0" applyAlignment="1" pivotButton="0" quotePrefix="0" xfId="0">
      <alignment vertical="center" wrapText="1"/>
    </xf>
    <xf numFmtId="0" fontId="10" fillId="0" borderId="6" applyAlignment="1" pivotButton="0" quotePrefix="0" xfId="0">
      <alignment horizontal="center" vertical="center"/>
    </xf>
    <xf numFmtId="0" fontId="7" fillId="2" borderId="17" applyAlignment="1" pivotButton="0" quotePrefix="0" xfId="0">
      <alignment horizontal="center" vertical="bottom"/>
    </xf>
    <xf numFmtId="0" fontId="1" fillId="0" borderId="0" applyAlignment="1" pivotButton="0" quotePrefix="0" xfId="0">
      <alignment horizontal="left" vertical="center"/>
    </xf>
    <xf numFmtId="0" fontId="13" fillId="0" borderId="0" applyAlignment="1" pivotButton="0" quotePrefix="0" xfId="0">
      <alignment horizontal="left" vertical="center"/>
    </xf>
    <xf numFmtId="0" fontId="7" fillId="2" borderId="18" applyAlignment="1" pivotButton="0" quotePrefix="0" xfId="0">
      <alignment vertical="bottom" wrapText="1"/>
    </xf>
    <xf numFmtId="0" fontId="4" fillId="0" borderId="19" pivotButton="0" quotePrefix="0" xfId="0"/>
    <xf numFmtId="0" fontId="7" fillId="0" borderId="20" applyAlignment="1" pivotButton="0" quotePrefix="0" xfId="0">
      <alignment vertical="bottom"/>
    </xf>
    <xf numFmtId="0" fontId="4" fillId="0" borderId="20" pivotButton="0" quotePrefix="0" xfId="0"/>
    <xf numFmtId="0" fontId="4" fillId="0" borderId="21" pivotButton="0" quotePrefix="0" xfId="0"/>
    <xf numFmtId="0" fontId="7" fillId="2" borderId="22" applyAlignment="1" pivotButton="0" quotePrefix="0" xfId="0">
      <alignment vertical="bottom" wrapText="1"/>
    </xf>
    <xf numFmtId="0" fontId="7" fillId="0" borderId="8" applyAlignment="1" pivotButton="0" quotePrefix="0" xfId="0">
      <alignment vertical="bottom"/>
    </xf>
    <xf numFmtId="0" fontId="11" fillId="0" borderId="0" applyAlignment="1" pivotButton="0" quotePrefix="0" xfId="0">
      <alignment horizontal="center"/>
    </xf>
    <xf numFmtId="0" fontId="11" fillId="0" borderId="0" applyAlignment="1" pivotButton="0" quotePrefix="0" xfId="0">
      <alignment wrapText="1"/>
    </xf>
    <xf numFmtId="0" fontId="11" fillId="0" borderId="0" applyAlignment="1" pivotButton="0" quotePrefix="0" xfId="0">
      <alignment vertical="bottom"/>
    </xf>
    <xf numFmtId="0" fontId="11" fillId="0" borderId="0" applyAlignment="1" pivotButton="0" quotePrefix="0" xfId="0">
      <alignment vertical="center"/>
    </xf>
    <xf numFmtId="0" fontId="7" fillId="2" borderId="22" applyAlignment="1" pivotButton="0" quotePrefix="0" xfId="0">
      <alignment vertical="bottom"/>
    </xf>
    <xf numFmtId="0" fontId="13" fillId="0" borderId="0" applyAlignment="1" pivotButton="0" quotePrefix="0" xfId="0">
      <alignment horizontal="center" vertical="center"/>
    </xf>
    <xf numFmtId="0" fontId="13" fillId="0" borderId="0" applyAlignment="1" pivotButton="0" quotePrefix="0" xfId="0">
      <alignment horizontal="left" vertical="center" wrapText="1"/>
    </xf>
    <xf numFmtId="0" fontId="13" fillId="0" borderId="0" applyAlignment="1" pivotButton="0" quotePrefix="0" xfId="0">
      <alignment horizontal="left" vertical="center"/>
    </xf>
    <xf numFmtId="0" fontId="11" fillId="0" borderId="0" applyAlignment="1" pivotButton="0" quotePrefix="0" xfId="0">
      <alignment horizontal="left" vertical="center" wrapText="1"/>
    </xf>
    <xf numFmtId="0" fontId="11" fillId="0" borderId="0" applyAlignment="1" pivotButton="0" quotePrefix="0" xfId="0">
      <alignment horizontal="center" vertical="center" wrapText="1"/>
    </xf>
    <xf numFmtId="0" fontId="1" fillId="0" borderId="0" applyAlignment="1" pivotButton="0" quotePrefix="0" xfId="0">
      <alignment horizontal="center"/>
    </xf>
    <xf numFmtId="0" fontId="11" fillId="0" borderId="0" applyAlignment="1" pivotButton="0" quotePrefix="0" xfId="0">
      <alignment horizontal="center" vertical="center"/>
    </xf>
    <xf numFmtId="0" fontId="7" fillId="2" borderId="23" applyAlignment="1" pivotButton="0" quotePrefix="0" xfId="0">
      <alignment vertical="bottom"/>
    </xf>
    <xf numFmtId="0" fontId="4" fillId="0" borderId="24" pivotButton="0" quotePrefix="0" xfId="0"/>
    <xf numFmtId="0" fontId="11" fillId="0" borderId="0" applyAlignment="1" pivotButton="0" quotePrefix="0" xfId="0">
      <alignment horizontal="left" vertical="center"/>
    </xf>
    <xf numFmtId="0" fontId="7" fillId="0" borderId="13" applyAlignment="1" pivotButton="0" quotePrefix="0" xfId="0">
      <alignment vertical="bottom"/>
    </xf>
    <xf numFmtId="0" fontId="8" fillId="0" borderId="6" applyAlignment="1" pivotButton="0" quotePrefix="0" xfId="0">
      <alignment horizontal="center" vertical="bottom"/>
    </xf>
    <xf numFmtId="0" fontId="8" fillId="0" borderId="16" applyAlignment="1" pivotButton="0" quotePrefix="0" xfId="0">
      <alignment horizontal="center" vertical="bottom" wrapText="1"/>
    </xf>
    <xf numFmtId="0" fontId="8" fillId="0" borderId="8" applyAlignment="1" pivotButton="0" quotePrefix="0" xfId="0">
      <alignment horizontal="center" vertical="bottom"/>
    </xf>
    <xf numFmtId="0" fontId="11" fillId="0" borderId="0" applyAlignment="1" pivotButton="0" quotePrefix="0" xfId="0">
      <alignment horizontal="center" vertical="center"/>
    </xf>
    <xf numFmtId="0" fontId="11" fillId="0" borderId="0" applyAlignment="1" pivotButton="0" quotePrefix="0" xfId="0">
      <alignment horizontal="center" vertical="center" wrapText="1"/>
    </xf>
    <xf numFmtId="0" fontId="11" fillId="0" borderId="0" applyAlignment="1" pivotButton="0" quotePrefix="0" xfId="0">
      <alignment horizontal="left" vertical="center" wrapText="1"/>
    </xf>
    <xf numFmtId="0" fontId="13" fillId="0" borderId="25" applyAlignment="1" pivotButton="0" quotePrefix="0" xfId="0">
      <alignment horizontal="center"/>
    </xf>
    <xf numFmtId="0" fontId="11" fillId="0" borderId="0" applyAlignment="1" pivotButton="0" quotePrefix="0" xfId="0">
      <alignment horizontal="center" vertical="bottom" wrapText="1"/>
    </xf>
    <xf numFmtId="0" fontId="11" fillId="0" borderId="0" applyAlignment="1" pivotButton="0" quotePrefix="0" xfId="0">
      <alignment vertical="bottom" wrapText="1"/>
    </xf>
    <xf numFmtId="0" fontId="13" fillId="0" borderId="6" applyAlignment="1" pivotButton="0" quotePrefix="0" xfId="0">
      <alignment horizontal="center" vertical="center"/>
    </xf>
    <xf numFmtId="0" fontId="13" fillId="0" borderId="8" applyAlignment="1" pivotButton="0" quotePrefix="0" xfId="0">
      <alignment horizontal="center" vertical="center"/>
    </xf>
    <xf numFmtId="0" fontId="13" fillId="0" borderId="8" applyAlignment="1" pivotButton="0" quotePrefix="0" xfId="0">
      <alignment horizontal="center" vertical="center" wrapText="1"/>
    </xf>
    <xf numFmtId="0" fontId="13" fillId="0" borderId="8" applyAlignment="1" pivotButton="0" quotePrefix="0" xfId="0">
      <alignment horizontal="center" vertical="center"/>
    </xf>
    <xf numFmtId="0" fontId="14" fillId="3" borderId="0" applyAlignment="1" pivotButton="0" quotePrefix="0" xfId="0">
      <alignment horizontal="center"/>
    </xf>
    <xf numFmtId="0" fontId="0" fillId="0" borderId="0" pivotButton="0" quotePrefix="0" xfId="0"/>
    <xf numFmtId="0" fontId="1" fillId="0" borderId="26" applyAlignment="1" pivotButton="0" quotePrefix="0" xfId="0">
      <alignment vertical="center"/>
    </xf>
    <xf numFmtId="0" fontId="3" fillId="0" borderId="25" applyAlignment="1" pivotButton="0" quotePrefix="0" xfId="0">
      <alignment horizontal="center" vertical="bottom"/>
    </xf>
    <xf numFmtId="0" fontId="0" fillId="0" borderId="3" pivotButton="0" quotePrefix="0" xfId="0"/>
    <xf numFmtId="0" fontId="0" fillId="0" borderId="4" pivotButton="0" quotePrefix="0" xfId="0"/>
    <xf numFmtId="0" fontId="0" fillId="0" borderId="5" pivotButton="0" quotePrefix="0" xfId="0"/>
    <xf numFmtId="0" fontId="7" fillId="0" borderId="30" applyAlignment="1" pivotButton="0" quotePrefix="0" xfId="0">
      <alignment vertical="bottom"/>
    </xf>
    <xf numFmtId="0" fontId="0" fillId="0" borderId="10" pivotButton="0" quotePrefix="0" xfId="0"/>
    <xf numFmtId="0" fontId="0" fillId="0" borderId="9" pivotButton="0" quotePrefix="0" xfId="0"/>
    <xf numFmtId="0" fontId="0" fillId="0" borderId="11" pivotButton="0" quotePrefix="0" xfId="0"/>
    <xf numFmtId="0" fontId="7" fillId="0" borderId="33" applyAlignment="1" pivotButton="0" quotePrefix="0" xfId="0">
      <alignment wrapText="1"/>
    </xf>
    <xf numFmtId="0" fontId="0" fillId="0" borderId="15" pivotButton="0" quotePrefix="0" xfId="0"/>
    <xf numFmtId="0" fontId="0" fillId="0" borderId="14" pivotButton="0" quotePrefix="0" xfId="0"/>
    <xf numFmtId="0" fontId="0" fillId="0" borderId="16" pivotButton="0" quotePrefix="0" xfId="0"/>
    <xf numFmtId="0" fontId="2" fillId="0" borderId="25" applyAlignment="1" pivotButton="0" quotePrefix="0" xfId="0">
      <alignment horizontal="center"/>
    </xf>
    <xf numFmtId="0" fontId="1" fillId="0" borderId="30" pivotButton="0" quotePrefix="0" xfId="0"/>
    <xf numFmtId="0" fontId="1" fillId="0" borderId="33" pivotButton="0" quotePrefix="0" xfId="0"/>
    <xf numFmtId="0" fontId="10" fillId="0" borderId="6" applyAlignment="1" pivotButton="0" quotePrefix="0" xfId="0">
      <alignment horizontal="left" vertical="center" wrapText="1"/>
    </xf>
    <xf numFmtId="0" fontId="2" fillId="0" borderId="35" applyAlignment="1" pivotButton="0" quotePrefix="0" xfId="0">
      <alignment horizontal="center"/>
    </xf>
    <xf numFmtId="0" fontId="0" fillId="0" borderId="7" pivotButton="0" quotePrefix="0" xfId="0"/>
    <xf numFmtId="0" fontId="7" fillId="2" borderId="37" applyAlignment="1" pivotButton="0" quotePrefix="0" xfId="0">
      <alignment horizontal="center" vertical="bottom"/>
    </xf>
    <xf numFmtId="0" fontId="7" fillId="2" borderId="38" applyAlignment="1" pivotButton="0" quotePrefix="0" xfId="0">
      <alignment vertical="bottom" wrapText="1"/>
    </xf>
    <xf numFmtId="0" fontId="0" fillId="0" borderId="19" pivotButton="0" quotePrefix="0" xfId="0"/>
    <xf numFmtId="0" fontId="7" fillId="0" borderId="21" applyAlignment="1" pivotButton="0" quotePrefix="0" xfId="0">
      <alignment vertical="bottom"/>
    </xf>
    <xf numFmtId="0" fontId="0" fillId="0" borderId="20" pivotButton="0" quotePrefix="0" xfId="0"/>
    <xf numFmtId="0" fontId="0" fillId="0" borderId="21" pivotButton="0" quotePrefix="0" xfId="0"/>
    <xf numFmtId="0" fontId="7" fillId="2" borderId="41" applyAlignment="1" pivotButton="0" quotePrefix="0" xfId="0">
      <alignment vertical="bottom" wrapText="1"/>
    </xf>
    <xf numFmtId="0" fontId="7" fillId="2" borderId="41" applyAlignment="1" pivotButton="0" quotePrefix="0" xfId="0">
      <alignment vertical="bottom"/>
    </xf>
    <xf numFmtId="0" fontId="7" fillId="2" borderId="42" applyAlignment="1" pivotButton="0" quotePrefix="0" xfId="0">
      <alignment vertical="bottom"/>
    </xf>
    <xf numFmtId="0" fontId="0" fillId="0" borderId="24" pivotButton="0" quotePrefix="0" xfId="0"/>
    <xf numFmtId="0" fontId="7" fillId="0" borderId="33" applyAlignment="1" pivotButton="0" quotePrefix="0" xfId="0">
      <alignment vertical="bottom"/>
    </xf>
    <xf numFmtId="0" fontId="13" fillId="0" borderId="6" applyAlignment="1" pivotButton="0" quotePrefix="0" xfId="0">
      <alignment horizontal="center" vertical="center" wrapText="1"/>
    </xf>
    <xf numFmtId="0" fontId="4" fillId="0" borderId="0" pivotButton="0" quotePrefix="0" xfId="0"/>
    <xf numFmtId="0" fontId="15" fillId="0" borderId="0" pivotButton="0" quotePrefix="0" xfId="0"/>
    <xf numFmtId="0" fontId="16" fillId="4" borderId="43" applyAlignment="1" pivotButton="0" quotePrefix="0" xfId="0">
      <alignment horizontal="center" vertical="center" wrapText="1"/>
    </xf>
    <xf numFmtId="0" fontId="17" fillId="0" borderId="43" applyAlignment="1" pivotButton="0" quotePrefix="0" xfId="0">
      <alignment horizontal="center" vertical="center" wrapText="1"/>
    </xf>
    <xf numFmtId="0" fontId="17" fillId="0" borderId="43" applyAlignment="1" pivotButton="0" quotePrefix="0" xfId="0">
      <alignment horizontal="left" vertical="center" wrapText="1"/>
    </xf>
    <xf numFmtId="0" fontId="17" fillId="5" borderId="43" applyAlignment="1" pivotButton="0" quotePrefix="0" xfId="0">
      <alignment horizontal="center" vertical="center" wrapText="1"/>
    </xf>
    <xf numFmtId="0" fontId="17" fillId="6" borderId="43" applyAlignment="1" pivotButton="0" quotePrefix="0" xfId="0">
      <alignment horizontal="center" vertical="center" wrapText="1"/>
    </xf>
    <xf numFmtId="0" fontId="17" fillId="6" borderId="43" applyAlignment="1" pivotButton="0" quotePrefix="0" xfId="0">
      <alignment horizontal="left" vertical="center" wrapText="1"/>
    </xf>
    <xf numFmtId="0" fontId="18" fillId="0" borderId="0" pivotButton="0" quotePrefix="0" xfId="0"/>
    <xf numFmtId="0" fontId="19" fillId="0" borderId="0" pivotButton="0" quotePrefix="0" xfId="0"/>
    <xf numFmtId="0" fontId="16" fillId="7" borderId="0" pivotButton="0" quotePrefix="0" xfId="0"/>
    <xf numFmtId="0" fontId="20" fillId="0" borderId="0" applyAlignment="1" pivotButton="0" quotePrefix="0" xfId="0">
      <alignment horizontal="right" vertical="center"/>
    </xf>
    <xf numFmtId="0" fontId="0" fillId="5" borderId="43" applyAlignment="1" pivotButton="0" quotePrefix="0" xfId="0">
      <alignment horizontal="center" vertical="center" wrapText="1"/>
    </xf>
    <xf numFmtId="0" fontId="21" fillId="8" borderId="43" applyAlignment="1" pivotButton="0" quotePrefix="0" xfId="0">
      <alignment horizontal="center" vertical="center" wrapText="1"/>
    </xf>
    <xf numFmtId="0" fontId="0" fillId="0" borderId="43" pivotButton="0" quotePrefix="0" xfId="0"/>
    <xf numFmtId="0" fontId="0" fillId="0" borderId="43" applyAlignment="1" pivotButton="0" quotePrefix="0" xfId="0">
      <alignment horizontal="center" vertical="center" wrapText="1"/>
    </xf>
    <xf numFmtId="0" fontId="22" fillId="0" borderId="0" pivotButton="0" quotePrefix="0" xfId="0"/>
    <xf numFmtId="0" fontId="16" fillId="7" borderId="43" pivotButton="0" quotePrefix="0" xfId="0"/>
    <xf numFmtId="0" fontId="0" fillId="0" borderId="46" pivotButton="0" quotePrefix="0" xfId="0"/>
    <xf numFmtId="0" fontId="0" fillId="0" borderId="47" pivotButton="0" quotePrefix="0" xfId="0"/>
    <xf numFmtId="0" fontId="23" fillId="0" borderId="0" pivotButton="0" quotePrefix="0" xfId="0"/>
    <xf numFmtId="0" fontId="17" fillId="5" borderId="43" pivotButton="0" quotePrefix="0" xfId="0"/>
    <xf numFmtId="0" fontId="20" fillId="9" borderId="43" pivotButton="0" quotePrefix="0" xfId="0"/>
    <xf numFmtId="0" fontId="0" fillId="9" borderId="43" applyAlignment="1" pivotButton="0" quotePrefix="0" xfId="0">
      <alignment horizontal="center" vertical="center" wrapText="1"/>
    </xf>
    <xf numFmtId="0" fontId="24" fillId="9" borderId="43" applyAlignment="1" pivotButton="0" quotePrefix="0" xfId="0">
      <alignment horizontal="center" vertical="center" wrapText="1"/>
    </xf>
    <xf numFmtId="0" fontId="25" fillId="0" borderId="0" pivotButton="0" quotePrefix="0" xfId="0"/>
    <xf numFmtId="0" fontId="21" fillId="0" borderId="0" pivotButton="0" quotePrefix="0" xfId="0"/>
    <xf numFmtId="0" fontId="0" fillId="5" borderId="43" applyAlignment="1" pivotButton="0" quotePrefix="0" xfId="0">
      <alignment horizontal="lef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fitToPage="1"/>
  </sheetPr>
  <dimension ref="A1:P44"/>
  <sheetViews>
    <sheetView workbookViewId="0">
      <selection activeCell="A1" sqref="A1"/>
    </sheetView>
  </sheetViews>
  <sheetFormatPr baseColWidth="8" defaultColWidth="12.63" defaultRowHeight="15.75" customHeight="1"/>
  <cols>
    <col width="12.63" customWidth="1" style="101" min="1" max="1"/>
    <col width="17.5" customWidth="1" style="101" min="2" max="2"/>
    <col width="17.38" customWidth="1" style="101" min="3" max="3"/>
    <col width="17" customWidth="1" style="101" min="4" max="4"/>
    <col width="12.13" customWidth="1" style="101" min="5" max="5"/>
    <col width="16.13" customWidth="1" style="101" min="6" max="6"/>
    <col width="18.5" customWidth="1" style="101" min="7" max="7"/>
    <col width="14.88" customWidth="1" style="101" min="8" max="9"/>
    <col width="10.25" customWidth="1" style="101" min="10" max="10"/>
    <col width="18.88" customWidth="1" style="101" min="11" max="11"/>
    <col width="18" customWidth="1" style="101" min="12" max="12"/>
    <col width="19.63" customWidth="1" style="101" min="13" max="13"/>
    <col width="16.75" customWidth="1" style="101" min="14" max="15"/>
    <col width="18.5" customWidth="1" style="101" min="16" max="16"/>
    <col width="15.38" customWidth="1" style="101" min="17" max="27"/>
  </cols>
  <sheetData>
    <row r="1" ht="18" customHeight="1" s="101">
      <c r="A1" s="102" t="n"/>
      <c r="B1" s="103" t="inlineStr">
        <is>
          <t xml:space="preserve">FICHA DE SECUENCIA </t>
        </is>
      </c>
      <c r="C1" s="104" t="n"/>
      <c r="D1" s="104" t="n"/>
      <c r="E1" s="104" t="n"/>
      <c r="F1" s="104" t="n"/>
      <c r="G1" s="105" t="n"/>
      <c r="J1" s="7" t="n"/>
      <c r="K1" s="7" t="n"/>
      <c r="L1" s="7" t="n"/>
      <c r="M1" s="7" t="n"/>
      <c r="N1" s="7" t="n"/>
      <c r="O1" s="7" t="n"/>
      <c r="P1" s="7" t="n"/>
    </row>
    <row r="2" ht="18" customHeight="1" s="101">
      <c r="A2" s="106" t="n"/>
      <c r="B2" s="11" t="inlineStr">
        <is>
          <t>Empresa:</t>
        </is>
      </c>
      <c r="C2" s="13" t="inlineStr">
        <is>
          <t>Creco industrias</t>
        </is>
      </c>
      <c r="D2" s="11" t="inlineStr">
        <is>
          <t>Modelo:</t>
        </is>
      </c>
      <c r="E2" s="107" t="inlineStr">
        <is>
          <t xml:space="preserve">SHORT SPORT </t>
        </is>
      </c>
      <c r="F2" s="108" t="n"/>
      <c r="G2" s="109" t="n"/>
      <c r="J2" s="7" t="n"/>
      <c r="K2" s="7" t="n"/>
      <c r="L2" s="7" t="n"/>
      <c r="M2" s="7" t="n"/>
      <c r="N2" s="7" t="n"/>
      <c r="O2" s="7" t="n"/>
      <c r="P2" s="7" t="n"/>
    </row>
    <row r="3" ht="18" customHeight="1" s="101">
      <c r="A3" s="106" t="n"/>
      <c r="B3" s="11" t="inlineStr">
        <is>
          <t>Marca:</t>
        </is>
      </c>
      <c r="C3" s="13" t="inlineStr">
        <is>
          <t>Cuadro</t>
        </is>
      </c>
      <c r="D3" s="11" t="inlineStr">
        <is>
          <t>Genero:</t>
        </is>
      </c>
      <c r="E3" s="107" t="inlineStr">
        <is>
          <t xml:space="preserve">KIDS/CABALLERO </t>
        </is>
      </c>
      <c r="F3" s="108" t="n"/>
      <c r="G3" s="109" t="n"/>
      <c r="J3" s="7" t="n"/>
      <c r="K3" s="7" t="n"/>
      <c r="L3" s="7" t="n"/>
      <c r="M3" s="7" t="n"/>
      <c r="N3" s="7" t="n"/>
      <c r="O3" s="7" t="n"/>
      <c r="P3" s="7" t="n"/>
    </row>
    <row r="4" ht="18" customHeight="1" s="101">
      <c r="A4" s="106" t="n"/>
      <c r="B4" s="11" t="inlineStr">
        <is>
          <t>Linea o colección:</t>
        </is>
      </c>
      <c r="C4" s="10" t="inlineStr">
        <is>
          <t xml:space="preserve">Sport </t>
        </is>
      </c>
      <c r="D4" s="11" t="inlineStr">
        <is>
          <t>Curva de talla:</t>
        </is>
      </c>
      <c r="E4" s="107" t="inlineStr">
        <is>
          <t>1/14 - S/3XL</t>
        </is>
      </c>
      <c r="F4" s="108" t="n"/>
      <c r="G4" s="109" t="n"/>
      <c r="J4" s="7" t="n"/>
      <c r="K4" s="7" t="n"/>
      <c r="L4" s="7" t="n"/>
      <c r="M4" s="7" t="n"/>
      <c r="N4" s="7" t="n"/>
      <c r="O4" s="7" t="n"/>
      <c r="P4" s="7" t="n"/>
    </row>
    <row r="5" ht="18" customHeight="1" s="101">
      <c r="A5" s="110" t="n"/>
      <c r="B5" s="25" t="inlineStr">
        <is>
          <t>Base textil:</t>
        </is>
      </c>
      <c r="C5" s="29" t="inlineStr">
        <is>
          <t>NOVAK REPEL</t>
        </is>
      </c>
      <c r="D5" s="31" t="inlineStr">
        <is>
          <t>Descripción:</t>
        </is>
      </c>
      <c r="E5" s="111" t="n"/>
      <c r="F5" s="112" t="n"/>
      <c r="G5" s="113" t="n"/>
      <c r="J5" s="7" t="n"/>
      <c r="K5" s="7" t="n"/>
      <c r="L5" s="7" t="n"/>
      <c r="M5" s="7" t="n"/>
      <c r="N5" s="7" t="n"/>
      <c r="O5" s="7" t="n"/>
      <c r="P5" s="7" t="n"/>
    </row>
    <row r="6" ht="18" customHeight="1" s="101">
      <c r="J6" s="7" t="n"/>
      <c r="K6" s="7" t="n"/>
      <c r="L6" s="7" t="n"/>
      <c r="M6" s="7" t="n"/>
      <c r="N6" s="7" t="n"/>
      <c r="O6" s="7" t="n"/>
      <c r="P6" s="7" t="n"/>
    </row>
    <row r="7" ht="18" customHeight="1" s="101">
      <c r="A7" s="44" t="inlineStr">
        <is>
          <t>OP.</t>
        </is>
      </c>
      <c r="B7" s="45" t="inlineStr">
        <is>
          <t>PROCESO</t>
        </is>
      </c>
      <c r="C7" s="46" t="inlineStr">
        <is>
          <t>PIEZAS INVOLUCRADAS</t>
        </is>
      </c>
      <c r="D7" s="48" t="inlineStr">
        <is>
          <t>MAQUINA</t>
        </is>
      </c>
      <c r="E7" s="48" t="inlineStr">
        <is>
          <t>OBSERVACIONES</t>
        </is>
      </c>
      <c r="F7" s="108" t="n"/>
      <c r="G7" s="114" t="n"/>
      <c r="J7" s="7" t="n"/>
      <c r="K7" s="7" t="n"/>
      <c r="L7" s="7" t="n"/>
      <c r="M7" s="7" t="n"/>
      <c r="N7" s="7" t="n"/>
      <c r="O7" s="7" t="n"/>
      <c r="P7" s="7" t="n"/>
    </row>
    <row r="8" ht="55.5" customHeight="1" s="101">
      <c r="A8" s="90" t="n">
        <v>1</v>
      </c>
      <c r="B8" s="52" t="inlineStr">
        <is>
          <t>Colocar bolsillos</t>
        </is>
      </c>
      <c r="C8" s="74" t="inlineStr">
        <is>
          <t>Delantera y bolsillo</t>
        </is>
      </c>
      <c r="D8" s="74" t="inlineStr">
        <is>
          <t>Recta</t>
        </is>
      </c>
      <c r="E8" s="52" t="inlineStr">
        <is>
          <t>Recorrido en pespunte donde se marcaron los puntos, luego colocar tapa interna del bolsillo y fijar</t>
        </is>
      </c>
      <c r="H8" s="55" t="n"/>
      <c r="I8" s="55" t="n"/>
      <c r="J8" s="7" t="n"/>
      <c r="K8" s="7" t="n"/>
      <c r="L8" s="7" t="n"/>
      <c r="M8" s="7" t="n"/>
      <c r="N8" s="7" t="n"/>
      <c r="O8" s="7" t="n"/>
      <c r="P8" s="7" t="n"/>
    </row>
    <row r="9" ht="34.5" customHeight="1" s="101">
      <c r="A9" s="90" t="n">
        <v>2</v>
      </c>
      <c r="B9" s="52" t="inlineStr">
        <is>
          <t>Filetear bolsillos</t>
        </is>
      </c>
      <c r="C9" s="74" t="inlineStr">
        <is>
          <t>Bolsillo</t>
        </is>
      </c>
      <c r="D9" s="74" t="inlineStr">
        <is>
          <t>Overlock</t>
        </is>
      </c>
      <c r="E9" s="52" t="inlineStr">
        <is>
          <t>Filetear ambas tapas del bolsillo en overlock</t>
        </is>
      </c>
      <c r="J9" s="7" t="n"/>
      <c r="K9" s="7" t="n"/>
      <c r="L9" s="7" t="n"/>
      <c r="M9" s="7" t="n"/>
      <c r="N9" s="7" t="n"/>
      <c r="O9" s="7" t="n"/>
      <c r="P9" s="7" t="n"/>
    </row>
    <row r="10" ht="39" customHeight="1" s="101">
      <c r="A10" s="90" t="n">
        <v>3</v>
      </c>
      <c r="B10" s="74" t="inlineStr">
        <is>
          <t>Unir delanteros</t>
        </is>
      </c>
      <c r="C10" s="74" t="inlineStr">
        <is>
          <t>Delanteros</t>
        </is>
      </c>
      <c r="D10" s="74" t="inlineStr">
        <is>
          <t>Overlock</t>
        </is>
      </c>
      <c r="E10" s="74" t="inlineStr">
        <is>
          <t>Unir ampas piezas delanteras en el tiro delantero</t>
        </is>
      </c>
      <c r="J10" s="7" t="n"/>
      <c r="K10" s="7" t="n"/>
      <c r="L10" s="7" t="n"/>
      <c r="M10" s="7" t="n"/>
      <c r="N10" s="7" t="n"/>
      <c r="O10" s="7" t="n"/>
      <c r="P10" s="7" t="n"/>
    </row>
    <row r="11" ht="36" customHeight="1" s="101">
      <c r="A11" s="90" t="n">
        <v>4</v>
      </c>
      <c r="B11" s="56" t="inlineStr">
        <is>
          <t>Unir posterior</t>
        </is>
      </c>
      <c r="C11" s="56" t="inlineStr">
        <is>
          <t>Posterior</t>
        </is>
      </c>
      <c r="D11" s="74" t="inlineStr">
        <is>
          <t>Overlock</t>
        </is>
      </c>
      <c r="E11" s="74" t="inlineStr">
        <is>
          <t>Unir ampas piezas del posterior en el tiro posterior</t>
        </is>
      </c>
      <c r="J11" s="7" t="n"/>
      <c r="K11" s="7" t="n"/>
      <c r="L11" s="7" t="n"/>
      <c r="M11" s="7" t="n"/>
      <c r="N11" s="7" t="n"/>
      <c r="O11" s="7" t="n"/>
      <c r="P11" s="7" t="n"/>
    </row>
    <row r="12" ht="36" customHeight="1" s="101">
      <c r="A12" s="90" t="n">
        <v>5</v>
      </c>
      <c r="B12" s="56" t="inlineStr">
        <is>
          <t>Cerrar costados</t>
        </is>
      </c>
      <c r="C12" s="56" t="inlineStr">
        <is>
          <t>Delantero y posterior</t>
        </is>
      </c>
      <c r="D12" s="74" t="inlineStr">
        <is>
          <t>Overlock</t>
        </is>
      </c>
      <c r="E12" s="52" t="inlineStr">
        <is>
          <t>Cerrar costados y colocar etiqueta de agua en la terminación del bolsillo derecho</t>
        </is>
      </c>
      <c r="J12" s="7" t="n"/>
      <c r="K12" s="7" t="n"/>
      <c r="L12" s="7" t="n"/>
      <c r="M12" s="7" t="n"/>
      <c r="N12" s="7" t="n"/>
      <c r="O12" s="7" t="n"/>
      <c r="P12" s="7" t="n"/>
    </row>
    <row r="13" ht="35.25" customHeight="1" s="101">
      <c r="A13" s="90" t="n">
        <v>6</v>
      </c>
      <c r="B13" s="56" t="inlineStr">
        <is>
          <t>Cerrar entrepierna</t>
        </is>
      </c>
      <c r="C13" s="56" t="inlineStr">
        <is>
          <t>Delantero y posterior</t>
        </is>
      </c>
      <c r="D13" s="74" t="inlineStr">
        <is>
          <t>Overlock</t>
        </is>
      </c>
      <c r="E13" s="74" t="inlineStr">
        <is>
          <t>Cerrar entrepierna</t>
        </is>
      </c>
      <c r="J13" s="7" t="n"/>
      <c r="K13" s="7" t="n"/>
      <c r="L13" s="7" t="n"/>
      <c r="M13" s="7" t="n"/>
      <c r="N13" s="7" t="n"/>
      <c r="O13" s="7" t="n"/>
      <c r="P13" s="7" t="n"/>
    </row>
    <row r="14" ht="34.5" customHeight="1" s="101">
      <c r="A14" s="90" t="n">
        <v>7</v>
      </c>
      <c r="B14" s="59" t="inlineStr">
        <is>
          <t>Recorrido de doble aguja en toda la pieza</t>
        </is>
      </c>
      <c r="C14" s="56" t="inlineStr">
        <is>
          <t>Delantero y posterior</t>
        </is>
      </c>
      <c r="D14" s="56" t="inlineStr">
        <is>
          <t>Doble aguja</t>
        </is>
      </c>
      <c r="E14" s="52" t="inlineStr">
        <is>
          <t>Recorrer tiro delantero y posterior, costados y entrepierna en doble aguja</t>
        </is>
      </c>
      <c r="J14" s="7" t="n"/>
      <c r="K14" s="7" t="n"/>
      <c r="L14" s="7" t="n"/>
      <c r="M14" s="7" t="n"/>
      <c r="N14" s="7" t="n"/>
      <c r="O14" s="7" t="n"/>
      <c r="P14" s="7" t="n"/>
    </row>
    <row r="15" ht="45.75" customHeight="1" s="101">
      <c r="A15" s="90" t="n">
        <v>8</v>
      </c>
      <c r="B15" s="56" t="inlineStr">
        <is>
          <t>Abrir ojales de 1,5cm</t>
        </is>
      </c>
      <c r="C15" s="56" t="inlineStr">
        <is>
          <t>Delantero</t>
        </is>
      </c>
      <c r="D15" s="56" t="inlineStr">
        <is>
          <t>Ojaladora</t>
        </is>
      </c>
      <c r="E15" s="52" t="inlineStr">
        <is>
          <t>Marcar y hacer 2 ojales con la regla para shorts en la medida del tipo de short que se vaya a confeccionar / En el caso de los shorts sport los ojales van ubicados en la parte interna de la pretina y los shorts de playa en la parte externa</t>
        </is>
      </c>
      <c r="J15" s="7" t="n"/>
      <c r="K15" s="7" t="n"/>
      <c r="L15" s="7" t="n"/>
      <c r="M15" s="7" t="n"/>
      <c r="N15" s="7" t="n"/>
      <c r="O15" s="7" t="n"/>
      <c r="P15" s="7" t="n"/>
    </row>
    <row r="16" ht="38.25" customHeight="1" s="101">
      <c r="A16" s="90" t="n">
        <v>9</v>
      </c>
      <c r="B16" s="56" t="inlineStr">
        <is>
          <t>Cerrar elástica</t>
        </is>
      </c>
      <c r="C16" s="56" t="inlineStr">
        <is>
          <t>Elástica</t>
        </is>
      </c>
      <c r="D16" s="56" t="inlineStr">
        <is>
          <t>Recta</t>
        </is>
      </c>
      <c r="E16" s="74" t="inlineStr">
        <is>
          <t>Asegurar en recta cierre de la elástica</t>
        </is>
      </c>
      <c r="J16" s="7" t="n"/>
      <c r="K16" s="7" t="n"/>
      <c r="L16" s="7" t="n"/>
      <c r="M16" s="7" t="n"/>
      <c r="N16" s="7" t="n"/>
      <c r="O16" s="7" t="n"/>
      <c r="P16" s="7" t="n"/>
    </row>
    <row r="17" ht="36" customHeight="1" s="101">
      <c r="A17" s="90" t="n">
        <v>10</v>
      </c>
      <c r="B17" s="59" t="inlineStr">
        <is>
          <t>Marcar y colocar elástica</t>
        </is>
      </c>
      <c r="C17" s="56" t="inlineStr">
        <is>
          <t>Short completo</t>
        </is>
      </c>
      <c r="D17" s="56" t="inlineStr">
        <is>
          <t>Overlock</t>
        </is>
      </c>
      <c r="E17" s="74" t="inlineStr">
        <is>
          <t>Recorrer contorno de cintura y elastica en overlock</t>
        </is>
      </c>
      <c r="J17" s="7" t="n"/>
      <c r="K17" s="7" t="n"/>
      <c r="L17" s="7" t="n"/>
      <c r="M17" s="7" t="n"/>
      <c r="N17" s="7" t="n"/>
      <c r="O17" s="7" t="n"/>
      <c r="P17" s="7" t="n"/>
    </row>
    <row r="18" ht="39" customHeight="1" s="101">
      <c r="A18" s="90" t="n">
        <v>11</v>
      </c>
      <c r="B18" s="56" t="inlineStr">
        <is>
          <t>Pisar elástica</t>
        </is>
      </c>
      <c r="C18" s="56" t="inlineStr">
        <is>
          <t>Short completo</t>
        </is>
      </c>
      <c r="D18" s="56" t="inlineStr">
        <is>
          <t>Engomadora</t>
        </is>
      </c>
      <c r="E18" s="74" t="inlineStr">
        <is>
          <t>Recorrer elástica dejando libre el espacio de los ojales</t>
        </is>
      </c>
      <c r="J18" s="7" t="n"/>
      <c r="K18" s="7" t="n"/>
      <c r="L18" s="7" t="n"/>
      <c r="M18" s="7" t="n"/>
      <c r="N18" s="7" t="n"/>
      <c r="O18" s="7" t="n"/>
      <c r="P18" s="7" t="n"/>
    </row>
    <row r="19" ht="35.25" customHeight="1" s="101">
      <c r="A19" s="90" t="n">
        <v>12</v>
      </c>
      <c r="B19" s="56" t="inlineStr">
        <is>
          <t>Ruedos de pierna</t>
        </is>
      </c>
      <c r="C19" s="56" t="inlineStr">
        <is>
          <t>Short completo</t>
        </is>
      </c>
      <c r="D19" s="56" t="inlineStr">
        <is>
          <t>Recta</t>
        </is>
      </c>
      <c r="E19" s="74" t="inlineStr">
        <is>
          <t>Ruedo a 2cm de grosor, doblando a 0,5cm y cerrando a 1,5cm</t>
        </is>
      </c>
      <c r="J19" s="7" t="n"/>
      <c r="K19" s="7" t="n"/>
      <c r="L19" s="7" t="n"/>
      <c r="M19" s="7" t="n"/>
      <c r="N19" s="7" t="n"/>
      <c r="O19" s="7" t="n"/>
      <c r="P19" s="7" t="n"/>
    </row>
    <row r="20">
      <c r="A20" s="90" t="n">
        <v>13</v>
      </c>
      <c r="B20" s="56" t="inlineStr">
        <is>
          <t xml:space="preserve">Presillar </t>
        </is>
      </c>
      <c r="C20" s="56" t="inlineStr">
        <is>
          <t>Short completo</t>
        </is>
      </c>
      <c r="D20" s="56" t="inlineStr">
        <is>
          <t>Presilladora</t>
        </is>
      </c>
      <c r="E20" s="52" t="inlineStr">
        <is>
          <t>Presillar en area superior e inferior del bolsillo, en el  caso de KIDS refuerzo a 4cm de la presilla de abajo del bolsillo, en CABALLERO refuerzo a 6cm</t>
        </is>
      </c>
      <c r="J20" s="7" t="n"/>
      <c r="K20" s="7" t="n"/>
      <c r="L20" s="7" t="n"/>
      <c r="M20" s="7" t="n"/>
      <c r="N20" s="7" t="n"/>
      <c r="O20" s="7" t="n"/>
      <c r="P20" s="7" t="n"/>
    </row>
    <row r="21" ht="43.5" customHeight="1" s="101">
      <c r="A21" s="90" t="n">
        <v>14</v>
      </c>
      <c r="B21" s="56" t="inlineStr">
        <is>
          <t>Colocar cordón</t>
        </is>
      </c>
      <c r="C21" s="56" t="inlineStr">
        <is>
          <t>Cordon y short</t>
        </is>
      </c>
      <c r="D21" s="56" t="inlineStr">
        <is>
          <t>Doble aguja</t>
        </is>
      </c>
      <c r="E21" s="52" t="inlineStr">
        <is>
          <t>Cortar a la mitad el cordon segun la medida de cada talla, colocarlo una mitad dentro del canal del cordon, unir con la otra mitad reforzando la union y ajustar con las punteras hacia la parte frontal del short para los de laya y en la parte interna delantera de short sport.</t>
        </is>
      </c>
      <c r="J21" s="7" t="n"/>
      <c r="K21" s="7" t="n"/>
      <c r="L21" s="7" t="n"/>
      <c r="M21" s="7" t="n"/>
      <c r="N21" s="7" t="n"/>
      <c r="O21" s="7" t="n"/>
      <c r="P21" s="7" t="n"/>
    </row>
    <row r="22" ht="39" customHeight="1" s="101">
      <c r="A22" s="71" t="n">
        <v>15</v>
      </c>
      <c r="B22" s="72" t="inlineStr">
        <is>
          <t xml:space="preserve">Limpieza y terminacines </t>
        </is>
      </c>
      <c r="C22" s="72" t="inlineStr">
        <is>
          <t xml:space="preserve">Prenda completa </t>
        </is>
      </c>
      <c r="D22" s="72" t="inlineStr">
        <is>
          <t xml:space="preserve">Manual </t>
        </is>
      </c>
      <c r="E22" s="73" t="inlineStr">
        <is>
          <t>Control de calidad general</t>
        </is>
      </c>
      <c r="J22" s="7" t="n"/>
      <c r="K22" s="7" t="n"/>
      <c r="L22" s="7" t="n"/>
      <c r="M22" s="7" t="n"/>
      <c r="N22" s="7" t="n"/>
      <c r="O22" s="7" t="n"/>
      <c r="P22" s="7" t="n"/>
    </row>
    <row r="23" ht="36" customHeight="1" s="101">
      <c r="A23" s="90" t="n"/>
      <c r="B23" s="59" t="n"/>
      <c r="C23" s="56" t="n"/>
      <c r="D23" s="56" t="n"/>
      <c r="E23" s="74" t="n"/>
      <c r="J23" s="90" t="n"/>
      <c r="K23" s="59" t="n"/>
      <c r="L23" s="56" t="n"/>
      <c r="M23" s="56" t="n"/>
      <c r="N23" s="74" t="n"/>
    </row>
    <row r="24" ht="78.75" customHeight="1" s="101">
      <c r="A24" s="76" t="n"/>
      <c r="B24" s="77" t="n"/>
      <c r="C24" s="77" t="n"/>
      <c r="D24" s="78" t="n"/>
      <c r="E24" s="92" t="n"/>
      <c r="G24" s="91" t="n"/>
      <c r="H24" s="81" t="n"/>
      <c r="I24" s="81" t="n"/>
      <c r="J24" s="76" t="n"/>
      <c r="K24" s="77" t="n"/>
      <c r="L24" s="77" t="n"/>
      <c r="M24" s="78" t="n"/>
      <c r="N24" s="92" t="n"/>
      <c r="P24" s="91" t="n"/>
    </row>
    <row r="25" ht="75.75" customHeight="1" s="101">
      <c r="A25" s="76" t="n"/>
      <c r="B25" s="77" t="n"/>
      <c r="C25" s="77" t="n"/>
      <c r="D25" s="78" t="n"/>
      <c r="E25" s="92" t="n"/>
      <c r="G25" s="90" t="n"/>
      <c r="H25" s="81" t="n"/>
      <c r="I25" s="81" t="n"/>
      <c r="J25" s="76" t="n"/>
      <c r="K25" s="77" t="n"/>
      <c r="L25" s="77" t="n"/>
      <c r="M25" s="78" t="n"/>
      <c r="N25" s="92" t="n"/>
      <c r="P25" s="90" t="n"/>
    </row>
    <row r="26" ht="71.25" customHeight="1" s="101">
      <c r="A26" s="76" t="n"/>
      <c r="B26" s="77" t="n"/>
      <c r="C26" s="77" t="n"/>
      <c r="D26" s="78" t="n"/>
      <c r="E26" s="92" t="n"/>
      <c r="G26" s="90" t="n"/>
      <c r="J26" s="76" t="n"/>
      <c r="K26" s="77" t="n"/>
      <c r="L26" s="77" t="n"/>
      <c r="M26" s="78" t="n"/>
      <c r="N26" s="92" t="n"/>
      <c r="P26" s="90" t="n"/>
    </row>
    <row r="27" ht="36" customHeight="1" s="101">
      <c r="A27" s="76" t="n"/>
      <c r="B27" s="78" t="n"/>
      <c r="C27" s="78" t="n"/>
      <c r="D27" s="78" t="n"/>
      <c r="E27" s="85" t="n"/>
    </row>
    <row r="28" ht="39" customHeight="1" s="101">
      <c r="E28" s="28" t="n"/>
    </row>
    <row r="29" ht="39" customHeight="1" s="101">
      <c r="E29" s="28" t="n"/>
    </row>
    <row r="30" ht="18" customHeight="1" s="101">
      <c r="E30" s="28" t="n"/>
    </row>
    <row r="31" ht="18" customHeight="1" s="101">
      <c r="E31" s="28" t="n"/>
    </row>
    <row r="32" ht="18" customHeight="1" s="101">
      <c r="E32" s="28" t="n"/>
    </row>
    <row r="33" ht="18" customHeight="1" s="101">
      <c r="E33" s="28" t="n"/>
    </row>
    <row r="34" ht="18" customHeight="1" s="101">
      <c r="E34" s="28" t="n"/>
    </row>
    <row r="35" ht="18" customHeight="1" s="101">
      <c r="E35" s="28" t="n"/>
    </row>
    <row r="36" ht="18" customHeight="1" s="101">
      <c r="E36" s="28" t="n"/>
    </row>
    <row r="37" ht="18" customHeight="1" s="101">
      <c r="E37" s="28" t="n"/>
    </row>
    <row r="38" ht="18" customHeight="1" s="101">
      <c r="E38" s="28" t="n"/>
    </row>
    <row r="39" ht="18" customHeight="1" s="101">
      <c r="E39" s="28" t="n"/>
    </row>
    <row r="40" ht="18" customHeight="1" s="101">
      <c r="E40" s="28" t="n"/>
    </row>
    <row r="41" ht="18" customHeight="1" s="101">
      <c r="E41" s="28" t="n"/>
    </row>
    <row r="42" ht="18" customHeight="1" s="101">
      <c r="E42" s="28" t="n"/>
    </row>
    <row r="43" ht="18" customHeight="1" s="101">
      <c r="E43" s="28" t="n"/>
    </row>
    <row r="44" ht="18" customHeight="1" s="101">
      <c r="E44" s="28" t="n"/>
    </row>
    <row r="45" ht="18" customHeight="1" s="101"/>
    <row r="46" ht="18" customHeight="1" s="101"/>
    <row r="47" ht="18" customHeight="1" s="101"/>
    <row r="48" ht="18" customHeight="1" s="101"/>
    <row r="49" ht="18" customHeight="1" s="101"/>
    <row r="50" ht="18" customHeight="1" s="101"/>
    <row r="51" ht="18" customHeight="1" s="101"/>
    <row r="52" ht="18" customHeight="1" s="101"/>
    <row r="53" ht="18" customHeight="1" s="101"/>
    <row r="54" ht="18" customHeight="1" s="101"/>
    <row r="55" ht="18" customHeight="1" s="101"/>
    <row r="56" ht="18" customHeight="1" s="101"/>
    <row r="57" ht="18" customHeight="1" s="101"/>
    <row r="58" ht="18" customHeight="1" s="101"/>
    <row r="59" ht="18" customHeight="1" s="101"/>
    <row r="60" ht="18" customHeight="1" s="101"/>
    <row r="61" ht="18" customHeight="1" s="101"/>
    <row r="62" ht="18" customHeight="1" s="101"/>
    <row r="63" ht="18" customHeight="1" s="101"/>
    <row r="64" ht="18" customHeight="1" s="101"/>
    <row r="65" ht="18" customHeight="1" s="101"/>
    <row r="66" ht="18" customHeight="1" s="101"/>
    <row r="67" ht="18" customHeight="1" s="101"/>
    <row r="68" ht="18" customHeight="1" s="101"/>
    <row r="69" ht="18" customHeight="1" s="101"/>
    <row r="70" ht="18" customHeight="1" s="101"/>
    <row r="71" ht="18" customHeight="1" s="101"/>
    <row r="72" ht="18" customHeight="1" s="101"/>
    <row r="73" ht="18" customHeight="1" s="101"/>
    <row r="74" ht="18" customHeight="1" s="101"/>
    <row r="75" ht="18" customHeight="1" s="101"/>
    <row r="76" ht="18" customHeight="1" s="101"/>
    <row r="77" ht="18" customHeight="1" s="101"/>
    <row r="78" ht="18" customHeight="1" s="101"/>
    <row r="79" ht="18" customHeight="1" s="101"/>
    <row r="80" ht="18" customHeight="1" s="101"/>
    <row r="81" ht="18" customHeight="1" s="101"/>
    <row r="82" ht="18" customHeight="1" s="101"/>
    <row r="83" ht="18" customHeight="1" s="101"/>
    <row r="84" ht="18" customHeight="1" s="101"/>
    <row r="85" ht="18" customHeight="1" s="101"/>
    <row r="86" ht="18" customHeight="1" s="101"/>
    <row r="87" ht="18" customHeight="1" s="101"/>
    <row r="88" ht="18" customHeight="1" s="101"/>
    <row r="89" ht="18" customHeight="1" s="101"/>
    <row r="90" ht="18" customHeight="1" s="101"/>
    <row r="91" ht="18" customHeight="1" s="101"/>
    <row r="92" ht="18" customHeight="1" s="101"/>
    <row r="93" ht="18" customHeight="1" s="101"/>
    <row r="94" ht="18" customHeight="1" s="101"/>
    <row r="95" ht="18" customHeight="1" s="101"/>
    <row r="96" ht="18" customHeight="1" s="101"/>
    <row r="97" ht="18" customHeight="1" s="101"/>
    <row r="98" ht="18" customHeight="1" s="101"/>
    <row r="99" ht="18" customHeight="1" s="101"/>
    <row r="100" ht="18" customHeight="1" s="101"/>
    <row r="101" ht="18" customHeight="1" s="101"/>
    <row r="102" ht="18" customHeight="1" s="101"/>
    <row r="103" ht="18" customHeight="1" s="101"/>
    <row r="104" ht="18" customHeight="1" s="101"/>
    <row r="105" ht="18" customHeight="1" s="101"/>
    <row r="106" ht="18" customHeight="1" s="101"/>
    <row r="107" ht="18" customHeight="1" s="101"/>
    <row r="108" ht="18" customHeight="1" s="101"/>
    <row r="109" ht="18" customHeight="1" s="101"/>
    <row r="110" ht="18" customHeight="1" s="101"/>
    <row r="111" ht="18" customHeight="1" s="101"/>
    <row r="112" ht="18" customHeight="1" s="101"/>
    <row r="113" ht="18" customHeight="1" s="101"/>
    <row r="114" ht="18" customHeight="1" s="101"/>
    <row r="115" ht="18" customHeight="1" s="101"/>
    <row r="116" ht="18" customHeight="1" s="101"/>
    <row r="117" ht="18" customHeight="1" s="101"/>
    <row r="118" ht="18" customHeight="1" s="101"/>
    <row r="119" ht="18" customHeight="1" s="101"/>
    <row r="120" ht="18" customHeight="1" s="101"/>
    <row r="121" ht="18" customHeight="1" s="101"/>
    <row r="122" ht="18" customHeight="1" s="101"/>
    <row r="123" ht="18" customHeight="1" s="101"/>
    <row r="124" ht="18" customHeight="1" s="101"/>
    <row r="125" ht="18" customHeight="1" s="101"/>
    <row r="126" ht="18" customHeight="1" s="101"/>
    <row r="127" ht="18" customHeight="1" s="101"/>
    <row r="128" ht="18" customHeight="1" s="101"/>
    <row r="129" ht="18" customHeight="1" s="101"/>
    <row r="130" ht="18" customHeight="1" s="101"/>
    <row r="131" ht="18" customHeight="1" s="101"/>
    <row r="132" ht="18" customHeight="1" s="101"/>
    <row r="133" ht="18" customHeight="1" s="101"/>
    <row r="134" ht="18" customHeight="1" s="101"/>
    <row r="135" ht="18" customHeight="1" s="101"/>
    <row r="136" ht="18" customHeight="1" s="101"/>
    <row r="137" ht="18" customHeight="1" s="101"/>
    <row r="138" ht="18" customHeight="1" s="101"/>
    <row r="139" ht="18" customHeight="1" s="101"/>
    <row r="140" ht="18" customHeight="1" s="101"/>
    <row r="141" ht="18" customHeight="1" s="101"/>
    <row r="142" ht="18" customHeight="1" s="101"/>
    <row r="143" ht="18" customHeight="1" s="101"/>
    <row r="144" ht="18" customHeight="1" s="101"/>
    <row r="145" ht="18" customHeight="1" s="101"/>
    <row r="146" ht="18" customHeight="1" s="101"/>
    <row r="147" ht="18" customHeight="1" s="101"/>
    <row r="148" ht="18" customHeight="1" s="101"/>
    <row r="149" ht="18" customHeight="1" s="101"/>
    <row r="150" ht="18" customHeight="1" s="101"/>
    <row r="151" ht="18" customHeight="1" s="101"/>
    <row r="152" ht="18" customHeight="1" s="101"/>
    <row r="153" ht="18" customHeight="1" s="101"/>
    <row r="154" ht="18" customHeight="1" s="101"/>
    <row r="155" ht="18" customHeight="1" s="101"/>
    <row r="156" ht="18" customHeight="1" s="101"/>
    <row r="157" ht="18" customHeight="1" s="101"/>
    <row r="158" ht="18" customHeight="1" s="101"/>
    <row r="159" ht="18" customHeight="1" s="101"/>
    <row r="160" ht="18" customHeight="1" s="101"/>
    <row r="161" ht="18" customHeight="1" s="101"/>
    <row r="162" ht="18" customHeight="1" s="101"/>
    <row r="163" ht="18" customHeight="1" s="101"/>
    <row r="164" ht="18" customHeight="1" s="101"/>
    <row r="165" ht="18" customHeight="1" s="101"/>
    <row r="166" ht="18" customHeight="1" s="101"/>
    <row r="167" ht="18" customHeight="1" s="101"/>
    <row r="168" ht="18" customHeight="1" s="101"/>
    <row r="169" ht="18" customHeight="1" s="101"/>
    <row r="170" ht="18" customHeight="1" s="101"/>
    <row r="171" ht="18" customHeight="1" s="101"/>
    <row r="172" ht="18" customHeight="1" s="101"/>
    <row r="173" ht="18" customHeight="1" s="101"/>
    <row r="174" ht="18" customHeight="1" s="101"/>
    <row r="175" ht="18" customHeight="1" s="101"/>
    <row r="176" ht="18" customHeight="1" s="101"/>
    <row r="177" ht="18" customHeight="1" s="101"/>
    <row r="178" ht="18" customHeight="1" s="101"/>
    <row r="179" ht="18" customHeight="1" s="101"/>
    <row r="180" ht="18" customHeight="1" s="101"/>
    <row r="181" ht="18" customHeight="1" s="101"/>
    <row r="182" ht="18" customHeight="1" s="101"/>
    <row r="183" ht="18" customHeight="1" s="101"/>
    <row r="184" ht="18" customHeight="1" s="101"/>
    <row r="185" ht="18" customHeight="1" s="101"/>
    <row r="186" ht="18" customHeight="1" s="101"/>
    <row r="187" ht="18" customHeight="1" s="101"/>
    <row r="188" ht="18" customHeight="1" s="101"/>
    <row r="189" ht="18" customHeight="1" s="101"/>
    <row r="190" ht="18" customHeight="1" s="101"/>
    <row r="191" ht="18" customHeight="1" s="101"/>
    <row r="192" ht="18" customHeight="1" s="101"/>
    <row r="193" ht="18" customHeight="1" s="101"/>
    <row r="194" ht="18" customHeight="1" s="101"/>
    <row r="195" ht="18" customHeight="1" s="101"/>
    <row r="196" ht="18" customHeight="1" s="101"/>
    <row r="197" ht="18" customHeight="1" s="101"/>
    <row r="198" ht="18" customHeight="1" s="101"/>
    <row r="199" ht="18" customHeight="1" s="101"/>
    <row r="200" ht="18" customHeight="1" s="101"/>
    <row r="201" ht="18" customHeight="1" s="101"/>
    <row r="202" ht="18" customHeight="1" s="101"/>
    <row r="203" ht="18" customHeight="1" s="101"/>
    <row r="204" ht="18" customHeight="1" s="101"/>
    <row r="205" ht="18" customHeight="1" s="101"/>
    <row r="206" ht="18" customHeight="1" s="101"/>
    <row r="207" ht="18" customHeight="1" s="101"/>
    <row r="208" ht="18" customHeight="1" s="101"/>
    <row r="209" ht="18" customHeight="1" s="101"/>
    <row r="210" ht="18" customHeight="1" s="101"/>
    <row r="211" ht="18" customHeight="1" s="101"/>
    <row r="212" ht="18" customHeight="1" s="101"/>
    <row r="213" ht="18" customHeight="1" s="101"/>
    <row r="214" ht="18" customHeight="1" s="101"/>
    <row r="215" ht="18" customHeight="1" s="101"/>
    <row r="216" ht="18" customHeight="1" s="101"/>
    <row r="217" ht="18" customHeight="1" s="101"/>
    <row r="218" ht="18" customHeight="1" s="101"/>
    <row r="219" ht="18" customHeight="1" s="101"/>
    <row r="220" ht="18" customHeight="1" s="101"/>
    <row r="221" ht="18" customHeight="1" s="101"/>
    <row r="222" ht="18" customHeight="1" s="101"/>
    <row r="223" ht="18" customHeight="1" s="101"/>
    <row r="224" ht="18" customHeight="1" s="101"/>
    <row r="225" ht="18" customHeight="1" s="101"/>
    <row r="226" ht="18" customHeight="1" s="101"/>
    <row r="227" ht="18" customHeight="1" s="101"/>
    <row r="228" ht="18" customHeight="1" s="101"/>
    <row r="229" ht="18" customHeight="1" s="101"/>
    <row r="230" ht="18" customHeight="1" s="101"/>
    <row r="231" ht="18" customHeight="1" s="101"/>
    <row r="232" ht="18" customHeight="1" s="101"/>
    <row r="233" ht="18" customHeight="1" s="101"/>
    <row r="234" ht="18" customHeight="1" s="101"/>
    <row r="235" ht="18" customHeight="1" s="101"/>
    <row r="236" ht="18" customHeight="1" s="101"/>
    <row r="237" ht="18" customHeight="1" s="101"/>
    <row r="238" ht="18" customHeight="1" s="101"/>
    <row r="239" ht="18" customHeight="1" s="101"/>
    <row r="240" ht="18" customHeight="1" s="101"/>
    <row r="241" ht="18" customHeight="1" s="101"/>
    <row r="242" ht="18" customHeight="1" s="101"/>
    <row r="243" ht="18" customHeight="1" s="101"/>
    <row r="244" ht="18" customHeight="1" s="101"/>
    <row r="245" ht="18" customHeight="1" s="101"/>
    <row r="246" ht="18" customHeight="1" s="101"/>
    <row r="247" ht="18" customHeight="1" s="101"/>
    <row r="248" ht="18" customHeight="1" s="101"/>
    <row r="249" ht="18" customHeight="1" s="101"/>
    <row r="250" ht="18" customHeight="1" s="101"/>
    <row r="251" ht="18" customHeight="1" s="101"/>
    <row r="252" ht="18" customHeight="1" s="101"/>
    <row r="253" ht="18" customHeight="1" s="101"/>
    <row r="254" ht="18" customHeight="1" s="101"/>
    <row r="255" ht="18" customHeight="1" s="101"/>
    <row r="256" ht="18" customHeight="1" s="101"/>
    <row r="257" ht="18" customHeight="1" s="101"/>
    <row r="258" ht="18" customHeight="1" s="101"/>
    <row r="259" ht="18" customHeight="1" s="101"/>
    <row r="260" ht="18" customHeight="1" s="101"/>
    <row r="261" ht="18" customHeight="1" s="101"/>
    <row r="262" ht="18" customHeight="1" s="101"/>
    <row r="263" ht="18" customHeight="1" s="101"/>
    <row r="264" ht="18" customHeight="1" s="101"/>
    <row r="265" ht="18" customHeight="1" s="101"/>
    <row r="266" ht="18" customHeight="1" s="101"/>
    <row r="267" ht="18" customHeight="1" s="101"/>
    <row r="268" ht="18" customHeight="1" s="101"/>
    <row r="269" ht="18" customHeight="1" s="101"/>
    <row r="270" ht="18" customHeight="1" s="101"/>
    <row r="271" ht="18" customHeight="1" s="101"/>
    <row r="272" ht="18" customHeight="1" s="101"/>
    <row r="273" ht="18" customHeight="1" s="101"/>
    <row r="274" ht="18" customHeight="1" s="101"/>
    <row r="275" ht="18" customHeight="1" s="101"/>
    <row r="276" ht="18" customHeight="1" s="101"/>
    <row r="277" ht="18" customHeight="1" s="101"/>
    <row r="278" ht="18" customHeight="1" s="101"/>
    <row r="279" ht="18" customHeight="1" s="101"/>
    <row r="280" ht="18" customHeight="1" s="101"/>
    <row r="281" ht="18" customHeight="1" s="101"/>
    <row r="282" ht="18" customHeight="1" s="101"/>
    <row r="283" ht="18" customHeight="1" s="101"/>
    <row r="284" ht="18" customHeight="1" s="101"/>
    <row r="285" ht="18" customHeight="1" s="101"/>
    <row r="286" ht="18" customHeight="1" s="101"/>
    <row r="287" ht="18" customHeight="1" s="101"/>
    <row r="288" ht="18" customHeight="1" s="101"/>
    <row r="289" ht="18" customHeight="1" s="101"/>
    <row r="290" ht="18" customHeight="1" s="101"/>
    <row r="291" ht="18" customHeight="1" s="101"/>
    <row r="292" ht="18" customHeight="1" s="101"/>
    <row r="293" ht="18" customHeight="1" s="101"/>
    <row r="294" ht="18" customHeight="1" s="101"/>
    <row r="295" ht="18" customHeight="1" s="101"/>
    <row r="296" ht="18" customHeight="1" s="101"/>
    <row r="297" ht="18" customHeight="1" s="101"/>
    <row r="298" ht="18" customHeight="1" s="101"/>
    <row r="299" ht="18" customHeight="1" s="101"/>
    <row r="300" ht="18" customHeight="1" s="101"/>
    <row r="301" ht="18" customHeight="1" s="101"/>
    <row r="302" ht="18" customHeight="1" s="101"/>
    <row r="303" ht="18" customHeight="1" s="101"/>
    <row r="304" ht="18" customHeight="1" s="101"/>
    <row r="305" ht="18" customHeight="1" s="101"/>
    <row r="306" ht="18" customHeight="1" s="101"/>
    <row r="307" ht="18" customHeight="1" s="101"/>
    <row r="308" ht="18" customHeight="1" s="101"/>
    <row r="309" ht="18" customHeight="1" s="101"/>
    <row r="310" ht="18" customHeight="1" s="101"/>
    <row r="311" ht="18" customHeight="1" s="101"/>
    <row r="312" ht="18" customHeight="1" s="101"/>
    <row r="313" ht="18" customHeight="1" s="101"/>
    <row r="314" ht="18" customHeight="1" s="101"/>
    <row r="315" ht="18" customHeight="1" s="101"/>
    <row r="316" ht="18" customHeight="1" s="101"/>
    <row r="317" ht="18" customHeight="1" s="101"/>
    <row r="318" ht="18" customHeight="1" s="101"/>
    <row r="319" ht="18" customHeight="1" s="101"/>
    <row r="320" ht="18" customHeight="1" s="101"/>
    <row r="321" ht="18" customHeight="1" s="101"/>
    <row r="322" ht="18" customHeight="1" s="101"/>
    <row r="323" ht="18" customHeight="1" s="101"/>
    <row r="324" ht="18" customHeight="1" s="101"/>
    <row r="325" ht="18" customHeight="1" s="101"/>
    <row r="326" ht="18" customHeight="1" s="101"/>
    <row r="327" ht="18" customHeight="1" s="101"/>
    <row r="328" ht="18" customHeight="1" s="101"/>
    <row r="329" ht="18" customHeight="1" s="101"/>
    <row r="330" ht="18" customHeight="1" s="101"/>
    <row r="331" ht="18" customHeight="1" s="101"/>
    <row r="332" ht="18" customHeight="1" s="101"/>
    <row r="333" ht="18" customHeight="1" s="101"/>
    <row r="334" ht="18" customHeight="1" s="101"/>
    <row r="335" ht="18" customHeight="1" s="101"/>
    <row r="336" ht="18" customHeight="1" s="101"/>
    <row r="337" ht="18" customHeight="1" s="101"/>
    <row r="338" ht="18" customHeight="1" s="101"/>
    <row r="339" ht="18" customHeight="1" s="101"/>
    <row r="340" ht="18" customHeight="1" s="101"/>
    <row r="341" ht="18" customHeight="1" s="101"/>
    <row r="342" ht="18" customHeight="1" s="101"/>
    <row r="343" ht="18" customHeight="1" s="101"/>
    <row r="344" ht="18" customHeight="1" s="101"/>
    <row r="345" ht="18" customHeight="1" s="101"/>
    <row r="346" ht="18" customHeight="1" s="101"/>
    <row r="347" ht="18" customHeight="1" s="101"/>
    <row r="348" ht="18" customHeight="1" s="101"/>
    <row r="349" ht="18" customHeight="1" s="101"/>
    <row r="350" ht="18" customHeight="1" s="101"/>
    <row r="351" ht="18" customHeight="1" s="101"/>
    <row r="352" ht="18" customHeight="1" s="101"/>
    <row r="353" ht="18" customHeight="1" s="101"/>
    <row r="354" ht="18" customHeight="1" s="101"/>
    <row r="355" ht="18" customHeight="1" s="101"/>
    <row r="356" ht="18" customHeight="1" s="101"/>
    <row r="357" ht="18" customHeight="1" s="101"/>
    <row r="358" ht="18" customHeight="1" s="101"/>
    <row r="359" ht="18" customHeight="1" s="101"/>
    <row r="360" ht="18" customHeight="1" s="101"/>
    <row r="361" ht="18" customHeight="1" s="101"/>
    <row r="362" ht="18" customHeight="1" s="101"/>
    <row r="363" ht="18" customHeight="1" s="101"/>
    <row r="364" ht="18" customHeight="1" s="101"/>
    <row r="365" ht="18" customHeight="1" s="101"/>
    <row r="366" ht="18" customHeight="1" s="101"/>
    <row r="367" ht="18" customHeight="1" s="101"/>
    <row r="368" ht="18" customHeight="1" s="101"/>
    <row r="369" ht="18" customHeight="1" s="101"/>
    <row r="370" ht="18" customHeight="1" s="101"/>
    <row r="371" ht="18" customHeight="1" s="101"/>
    <row r="372" ht="18" customHeight="1" s="101"/>
    <row r="373" ht="18" customHeight="1" s="101"/>
    <row r="374" ht="18" customHeight="1" s="101"/>
    <row r="375" ht="18" customHeight="1" s="101"/>
    <row r="376" ht="18" customHeight="1" s="101"/>
    <row r="377" ht="18" customHeight="1" s="101"/>
    <row r="378" ht="18" customHeight="1" s="101"/>
    <row r="379" ht="18" customHeight="1" s="101"/>
    <row r="380" ht="18" customHeight="1" s="101"/>
    <row r="381" ht="18" customHeight="1" s="101"/>
    <row r="382" ht="18" customHeight="1" s="101"/>
    <row r="383" ht="18" customHeight="1" s="101"/>
    <row r="384" ht="18" customHeight="1" s="101"/>
    <row r="385" ht="18" customHeight="1" s="101"/>
    <row r="386" ht="18" customHeight="1" s="101"/>
    <row r="387" ht="18" customHeight="1" s="101"/>
    <row r="388" ht="18" customHeight="1" s="101"/>
    <row r="389" ht="18" customHeight="1" s="101"/>
    <row r="390" ht="18" customHeight="1" s="101"/>
    <row r="391" ht="18" customHeight="1" s="101"/>
    <row r="392" ht="18" customHeight="1" s="101"/>
    <row r="393" ht="18" customHeight="1" s="101"/>
    <row r="394" ht="18" customHeight="1" s="101"/>
    <row r="395" ht="18" customHeight="1" s="101"/>
    <row r="396" ht="18" customHeight="1" s="101"/>
    <row r="397" ht="18" customHeight="1" s="101"/>
    <row r="398" ht="18" customHeight="1" s="101"/>
    <row r="399" ht="18" customHeight="1" s="101"/>
    <row r="400" ht="18" customHeight="1" s="101"/>
    <row r="401" ht="18" customHeight="1" s="101"/>
    <row r="402" ht="18" customHeight="1" s="101"/>
    <row r="403" ht="18" customHeight="1" s="101"/>
    <row r="404" ht="18" customHeight="1" s="101"/>
    <row r="405" ht="18" customHeight="1" s="101"/>
    <row r="406" ht="18" customHeight="1" s="101"/>
    <row r="407" ht="18" customHeight="1" s="101"/>
    <row r="408" ht="18" customHeight="1" s="101"/>
    <row r="409" ht="18" customHeight="1" s="101"/>
    <row r="410" ht="18" customHeight="1" s="101"/>
    <row r="411" ht="18" customHeight="1" s="101"/>
    <row r="412" ht="18" customHeight="1" s="101"/>
    <row r="413" ht="18" customHeight="1" s="101"/>
    <row r="414" ht="18" customHeight="1" s="101"/>
    <row r="415" ht="18" customHeight="1" s="101"/>
    <row r="416" ht="18" customHeight="1" s="101"/>
    <row r="417" ht="18" customHeight="1" s="101"/>
    <row r="418" ht="18" customHeight="1" s="101"/>
    <row r="419" ht="18" customHeight="1" s="101"/>
    <row r="420" ht="18" customHeight="1" s="101"/>
    <row r="421" ht="18" customHeight="1" s="101"/>
    <row r="422" ht="18" customHeight="1" s="101"/>
    <row r="423" ht="18" customHeight="1" s="101"/>
    <row r="424" ht="18" customHeight="1" s="101"/>
    <row r="425" ht="18" customHeight="1" s="101"/>
    <row r="426" ht="18" customHeight="1" s="101"/>
    <row r="427" ht="18" customHeight="1" s="101"/>
    <row r="428" ht="18" customHeight="1" s="101"/>
    <row r="429" ht="18" customHeight="1" s="101"/>
    <row r="430" ht="18" customHeight="1" s="101"/>
    <row r="431" ht="18" customHeight="1" s="101"/>
    <row r="432" ht="18" customHeight="1" s="101"/>
    <row r="433" ht="18" customHeight="1" s="101"/>
    <row r="434" ht="18" customHeight="1" s="101"/>
    <row r="435" ht="18" customHeight="1" s="101"/>
    <row r="436" ht="18" customHeight="1" s="101"/>
    <row r="437" ht="18" customHeight="1" s="101"/>
    <row r="438" ht="18" customHeight="1" s="101"/>
    <row r="439" ht="18" customHeight="1" s="101"/>
    <row r="440" ht="18" customHeight="1" s="101"/>
    <row r="441" ht="18" customHeight="1" s="101"/>
    <row r="442" ht="18" customHeight="1" s="101"/>
    <row r="443" ht="18" customHeight="1" s="101"/>
    <row r="444" ht="18" customHeight="1" s="101"/>
    <row r="445" ht="18" customHeight="1" s="101"/>
    <row r="446" ht="18" customHeight="1" s="101"/>
    <row r="447" ht="18" customHeight="1" s="101"/>
    <row r="448" ht="18" customHeight="1" s="101"/>
    <row r="449" ht="18" customHeight="1" s="101"/>
    <row r="450" ht="18" customHeight="1" s="101"/>
    <row r="451" ht="18" customHeight="1" s="101"/>
    <row r="452" ht="18" customHeight="1" s="101"/>
    <row r="453" ht="18" customHeight="1" s="101"/>
    <row r="454" ht="18" customHeight="1" s="101"/>
    <row r="455" ht="18" customHeight="1" s="101"/>
    <row r="456" ht="18" customHeight="1" s="101"/>
    <row r="457" ht="18" customHeight="1" s="101"/>
    <row r="458" ht="18" customHeight="1" s="101"/>
    <row r="459" ht="18" customHeight="1" s="101"/>
    <row r="460" ht="18" customHeight="1" s="101"/>
    <row r="461" ht="18" customHeight="1" s="101"/>
    <row r="462" ht="18" customHeight="1" s="101"/>
    <row r="463" ht="18" customHeight="1" s="101"/>
    <row r="464" ht="18" customHeight="1" s="101"/>
    <row r="465" ht="18" customHeight="1" s="101"/>
    <row r="466" ht="18" customHeight="1" s="101"/>
    <row r="467" ht="18" customHeight="1" s="101"/>
    <row r="468" ht="18" customHeight="1" s="101"/>
    <row r="469" ht="18" customHeight="1" s="101"/>
    <row r="470" ht="18" customHeight="1" s="101"/>
    <row r="471" ht="18" customHeight="1" s="101"/>
    <row r="472" ht="18" customHeight="1" s="101"/>
    <row r="473" ht="18" customHeight="1" s="101"/>
    <row r="474" ht="18" customHeight="1" s="101"/>
    <row r="475" ht="18" customHeight="1" s="101"/>
    <row r="476" ht="18" customHeight="1" s="101"/>
    <row r="477" ht="18" customHeight="1" s="101"/>
    <row r="478" ht="18" customHeight="1" s="101"/>
    <row r="479" ht="18" customHeight="1" s="101"/>
    <row r="480" ht="18" customHeight="1" s="101"/>
    <row r="481" ht="18" customHeight="1" s="101"/>
    <row r="482" ht="18" customHeight="1" s="101"/>
    <row r="483" ht="18" customHeight="1" s="101"/>
    <row r="484" ht="18" customHeight="1" s="101"/>
    <row r="485" ht="18" customHeight="1" s="101"/>
    <row r="486" ht="18" customHeight="1" s="101"/>
    <row r="487" ht="18" customHeight="1" s="101"/>
    <row r="488" ht="18" customHeight="1" s="101"/>
    <row r="489" ht="18" customHeight="1" s="101"/>
    <row r="490" ht="18" customHeight="1" s="101"/>
    <row r="491" ht="18" customHeight="1" s="101"/>
    <row r="492" ht="18" customHeight="1" s="101"/>
    <row r="493" ht="18" customHeight="1" s="101"/>
    <row r="494" ht="18" customHeight="1" s="101"/>
    <row r="495" ht="18" customHeight="1" s="101"/>
    <row r="496" ht="18" customHeight="1" s="101"/>
    <row r="497" ht="18" customHeight="1" s="101"/>
    <row r="498" ht="18" customHeight="1" s="101"/>
    <row r="499" ht="18" customHeight="1" s="101"/>
    <row r="500" ht="18" customHeight="1" s="101"/>
    <row r="501" ht="18" customHeight="1" s="101"/>
    <row r="502" ht="18" customHeight="1" s="101"/>
    <row r="503" ht="18" customHeight="1" s="101"/>
    <row r="504" ht="18" customHeight="1" s="101"/>
    <row r="505" ht="18" customHeight="1" s="101"/>
    <row r="506" ht="18" customHeight="1" s="101"/>
    <row r="507" ht="18" customHeight="1" s="101"/>
    <row r="508" ht="18" customHeight="1" s="101"/>
    <row r="509" ht="18" customHeight="1" s="101"/>
    <row r="510" ht="18" customHeight="1" s="101"/>
    <row r="511" ht="18" customHeight="1" s="101"/>
    <row r="512" ht="18" customHeight="1" s="101"/>
    <row r="513" ht="18" customHeight="1" s="101"/>
    <row r="514" ht="18" customHeight="1" s="101"/>
    <row r="515" ht="18" customHeight="1" s="101"/>
    <row r="516" ht="18" customHeight="1" s="101"/>
    <row r="517" ht="18" customHeight="1" s="101"/>
    <row r="518" ht="18" customHeight="1" s="101"/>
    <row r="519" ht="18" customHeight="1" s="101"/>
    <row r="520" ht="18" customHeight="1" s="101"/>
    <row r="521" ht="18" customHeight="1" s="101"/>
    <row r="522" ht="18" customHeight="1" s="101"/>
    <row r="523" ht="18" customHeight="1" s="101"/>
    <row r="524" ht="18" customHeight="1" s="101"/>
    <row r="525" ht="18" customHeight="1" s="101"/>
    <row r="526" ht="18" customHeight="1" s="101"/>
    <row r="527" ht="18" customHeight="1" s="101"/>
    <row r="528" ht="18" customHeight="1" s="101"/>
    <row r="529" ht="18" customHeight="1" s="101"/>
    <row r="530" ht="18" customHeight="1" s="101"/>
    <row r="531" ht="18" customHeight="1" s="101"/>
    <row r="532" ht="18" customHeight="1" s="101"/>
    <row r="533" ht="18" customHeight="1" s="101"/>
    <row r="534" ht="18" customHeight="1" s="101"/>
    <row r="535" ht="18" customHeight="1" s="101"/>
    <row r="536" ht="18" customHeight="1" s="101"/>
    <row r="537" ht="18" customHeight="1" s="101"/>
    <row r="538" ht="18" customHeight="1" s="101"/>
    <row r="539" ht="18" customHeight="1" s="101"/>
    <row r="540" ht="18" customHeight="1" s="101"/>
    <row r="541" ht="18" customHeight="1" s="101"/>
    <row r="542" ht="18" customHeight="1" s="101"/>
    <row r="543" ht="18" customHeight="1" s="101"/>
    <row r="544" ht="18" customHeight="1" s="101"/>
    <row r="545" ht="18" customHeight="1" s="101"/>
    <row r="546" ht="18" customHeight="1" s="101"/>
    <row r="547" ht="18" customHeight="1" s="101"/>
    <row r="548" ht="18" customHeight="1" s="101"/>
    <row r="549" ht="18" customHeight="1" s="101"/>
    <row r="550" ht="18" customHeight="1" s="101"/>
    <row r="551" ht="18" customHeight="1" s="101"/>
    <row r="552" ht="18" customHeight="1" s="101"/>
    <row r="553" ht="18" customHeight="1" s="101"/>
    <row r="554" ht="18" customHeight="1" s="101"/>
    <row r="555" ht="18" customHeight="1" s="101"/>
    <row r="556" ht="18" customHeight="1" s="101"/>
    <row r="557" ht="18" customHeight="1" s="101"/>
    <row r="558" ht="18" customHeight="1" s="101"/>
    <row r="559" ht="18" customHeight="1" s="101"/>
    <row r="560" ht="18" customHeight="1" s="101"/>
    <row r="561" ht="18" customHeight="1" s="101"/>
    <row r="562" ht="18" customHeight="1" s="101"/>
    <row r="563" ht="18" customHeight="1" s="101"/>
    <row r="564" ht="18" customHeight="1" s="101"/>
    <row r="565" ht="18" customHeight="1" s="101"/>
    <row r="566" ht="18" customHeight="1" s="101"/>
    <row r="567" ht="18" customHeight="1" s="101"/>
    <row r="568" ht="18" customHeight="1" s="101"/>
    <row r="569" ht="18" customHeight="1" s="101"/>
    <row r="570" ht="18" customHeight="1" s="101"/>
    <row r="571" ht="18" customHeight="1" s="101"/>
    <row r="572" ht="18" customHeight="1" s="101"/>
    <row r="573" ht="18" customHeight="1" s="101"/>
    <row r="574" ht="18" customHeight="1" s="101"/>
    <row r="575" ht="18" customHeight="1" s="101"/>
    <row r="576" ht="18" customHeight="1" s="101"/>
    <row r="577" ht="18" customHeight="1" s="101"/>
    <row r="578" ht="18" customHeight="1" s="101"/>
    <row r="579" ht="18" customHeight="1" s="101"/>
    <row r="580" ht="18" customHeight="1" s="101"/>
    <row r="581" ht="18" customHeight="1" s="101"/>
    <row r="582" ht="18" customHeight="1" s="101"/>
    <row r="583" ht="18" customHeight="1" s="101"/>
    <row r="584" ht="18" customHeight="1" s="101"/>
    <row r="585" ht="18" customHeight="1" s="101"/>
    <row r="586" ht="18" customHeight="1" s="101"/>
    <row r="587" ht="18" customHeight="1" s="101"/>
    <row r="588" ht="18" customHeight="1" s="101"/>
    <row r="589" ht="18" customHeight="1" s="101"/>
    <row r="590" ht="18" customHeight="1" s="101"/>
    <row r="591" ht="18" customHeight="1" s="101"/>
    <row r="592" ht="18" customHeight="1" s="101"/>
    <row r="593" ht="18" customHeight="1" s="101"/>
    <row r="594" ht="18" customHeight="1" s="101"/>
    <row r="595" ht="18" customHeight="1" s="101"/>
    <row r="596" ht="18" customHeight="1" s="101"/>
    <row r="597" ht="18" customHeight="1" s="101"/>
    <row r="598" ht="18" customHeight="1" s="101"/>
    <row r="599" ht="18" customHeight="1" s="101"/>
    <row r="600" ht="18" customHeight="1" s="101"/>
    <row r="601" ht="18" customHeight="1" s="101"/>
    <row r="602" ht="18" customHeight="1" s="101"/>
    <row r="603" ht="18" customHeight="1" s="101"/>
    <row r="604" ht="18" customHeight="1" s="101"/>
    <row r="605" ht="18" customHeight="1" s="101"/>
    <row r="606" ht="18" customHeight="1" s="101"/>
    <row r="607" ht="18" customHeight="1" s="101"/>
    <row r="608" ht="18" customHeight="1" s="101"/>
    <row r="609" ht="18" customHeight="1" s="101"/>
    <row r="610" ht="18" customHeight="1" s="101"/>
    <row r="611" ht="18" customHeight="1" s="101"/>
    <row r="612" ht="18" customHeight="1" s="101"/>
    <row r="613" ht="18" customHeight="1" s="101"/>
    <row r="614" ht="18" customHeight="1" s="101"/>
    <row r="615" ht="18" customHeight="1" s="101"/>
    <row r="616" ht="18" customHeight="1" s="101"/>
    <row r="617" ht="18" customHeight="1" s="101"/>
    <row r="618" ht="18" customHeight="1" s="101"/>
    <row r="619" ht="18" customHeight="1" s="101"/>
    <row r="620" ht="18" customHeight="1" s="101"/>
    <row r="621" ht="18" customHeight="1" s="101"/>
    <row r="622" ht="18" customHeight="1" s="101"/>
    <row r="623" ht="18" customHeight="1" s="101"/>
    <row r="624" ht="18" customHeight="1" s="101"/>
    <row r="625" ht="18" customHeight="1" s="101"/>
    <row r="626" ht="18" customHeight="1" s="101"/>
    <row r="627" ht="18" customHeight="1" s="101"/>
    <row r="628" ht="18" customHeight="1" s="101"/>
    <row r="629" ht="18" customHeight="1" s="101"/>
    <row r="630" ht="18" customHeight="1" s="101"/>
    <row r="631" ht="18" customHeight="1" s="101"/>
    <row r="632" ht="18" customHeight="1" s="101"/>
    <row r="633" ht="18" customHeight="1" s="101"/>
    <row r="634" ht="18" customHeight="1" s="101"/>
    <row r="635" ht="18" customHeight="1" s="101"/>
    <row r="636" ht="18" customHeight="1" s="101"/>
    <row r="637" ht="18" customHeight="1" s="101"/>
    <row r="638" ht="18" customHeight="1" s="101"/>
    <row r="639" ht="18" customHeight="1" s="101"/>
    <row r="640" ht="18" customHeight="1" s="101"/>
    <row r="641" ht="18" customHeight="1" s="101"/>
    <row r="642" ht="18" customHeight="1" s="101"/>
    <row r="643" ht="18" customHeight="1" s="101"/>
    <row r="644" ht="18" customHeight="1" s="101"/>
    <row r="645" ht="18" customHeight="1" s="101"/>
    <row r="646" ht="18" customHeight="1" s="101"/>
    <row r="647" ht="18" customHeight="1" s="101"/>
    <row r="648" ht="18" customHeight="1" s="101"/>
    <row r="649" ht="18" customHeight="1" s="101"/>
    <row r="650" ht="18" customHeight="1" s="101"/>
    <row r="651" ht="18" customHeight="1" s="101"/>
    <row r="652" ht="18" customHeight="1" s="101"/>
    <row r="653" ht="18" customHeight="1" s="101"/>
    <row r="654" ht="18" customHeight="1" s="101"/>
    <row r="655" ht="18" customHeight="1" s="101"/>
    <row r="656" ht="18" customHeight="1" s="101"/>
    <row r="657" ht="18" customHeight="1" s="101"/>
    <row r="658" ht="18" customHeight="1" s="101"/>
    <row r="659" ht="18" customHeight="1" s="101"/>
    <row r="660" ht="18" customHeight="1" s="101"/>
    <row r="661" ht="18" customHeight="1" s="101"/>
    <row r="662" ht="18" customHeight="1" s="101"/>
    <row r="663" ht="18" customHeight="1" s="101"/>
    <row r="664" ht="18" customHeight="1" s="101"/>
    <row r="665" ht="18" customHeight="1" s="101"/>
    <row r="666" ht="18" customHeight="1" s="101"/>
    <row r="667" ht="18" customHeight="1" s="101"/>
    <row r="668" ht="18" customHeight="1" s="101"/>
    <row r="669" ht="18" customHeight="1" s="101"/>
    <row r="670" ht="18" customHeight="1" s="101"/>
    <row r="671" ht="18" customHeight="1" s="101"/>
    <row r="672" ht="18" customHeight="1" s="101"/>
    <row r="673" ht="18" customHeight="1" s="101"/>
    <row r="674" ht="18" customHeight="1" s="101"/>
    <row r="675" ht="18" customHeight="1" s="101"/>
    <row r="676" ht="18" customHeight="1" s="101"/>
    <row r="677" ht="18" customHeight="1" s="101"/>
    <row r="678" ht="18" customHeight="1" s="101"/>
    <row r="679" ht="18" customHeight="1" s="101"/>
    <row r="680" ht="18" customHeight="1" s="101"/>
    <row r="681" ht="18" customHeight="1" s="101"/>
    <row r="682" ht="18" customHeight="1" s="101"/>
    <row r="683" ht="18" customHeight="1" s="101"/>
    <row r="684" ht="18" customHeight="1" s="101"/>
    <row r="685" ht="18" customHeight="1" s="101"/>
    <row r="686" ht="18" customHeight="1" s="101"/>
    <row r="687" ht="18" customHeight="1" s="101"/>
    <row r="688" ht="18" customHeight="1" s="101"/>
    <row r="689" ht="18" customHeight="1" s="101"/>
    <row r="690" ht="18" customHeight="1" s="101"/>
    <row r="691" ht="18" customHeight="1" s="101"/>
    <row r="692" ht="18" customHeight="1" s="101"/>
    <row r="693" ht="18" customHeight="1" s="101"/>
    <row r="694" ht="18" customHeight="1" s="101"/>
    <row r="695" ht="18" customHeight="1" s="101"/>
    <row r="696" ht="18" customHeight="1" s="101"/>
    <row r="697" ht="18" customHeight="1" s="101"/>
    <row r="698" ht="18" customHeight="1" s="101"/>
    <row r="699" ht="18" customHeight="1" s="101"/>
    <row r="700" ht="18" customHeight="1" s="101"/>
    <row r="701" ht="18" customHeight="1" s="101"/>
    <row r="702" ht="18" customHeight="1" s="101"/>
    <row r="703" ht="18" customHeight="1" s="101"/>
    <row r="704" ht="18" customHeight="1" s="101"/>
    <row r="705" ht="18" customHeight="1" s="101"/>
    <row r="706" ht="18" customHeight="1" s="101"/>
    <row r="707" ht="18" customHeight="1" s="101"/>
    <row r="708" ht="18" customHeight="1" s="101"/>
    <row r="709" ht="18" customHeight="1" s="101"/>
    <row r="710" ht="18" customHeight="1" s="101"/>
    <row r="711" ht="18" customHeight="1" s="101"/>
    <row r="712" ht="18" customHeight="1" s="101"/>
    <row r="713" ht="18" customHeight="1" s="101"/>
    <row r="714" ht="18" customHeight="1" s="101"/>
    <row r="715" ht="18" customHeight="1" s="101"/>
    <row r="716" ht="18" customHeight="1" s="101"/>
    <row r="717" ht="18" customHeight="1" s="101"/>
    <row r="718" ht="18" customHeight="1" s="101"/>
    <row r="719" ht="18" customHeight="1" s="101"/>
    <row r="720" ht="18" customHeight="1" s="101"/>
    <row r="721" ht="18" customHeight="1" s="101"/>
    <row r="722" ht="18" customHeight="1" s="101"/>
    <row r="723" ht="18" customHeight="1" s="101"/>
    <row r="724" ht="18" customHeight="1" s="101"/>
    <row r="725" ht="18" customHeight="1" s="101"/>
    <row r="726" ht="18" customHeight="1" s="101"/>
    <row r="727" ht="18" customHeight="1" s="101"/>
    <row r="728" ht="18" customHeight="1" s="101"/>
    <row r="729" ht="18" customHeight="1" s="101"/>
    <row r="730" ht="18" customHeight="1" s="101"/>
    <row r="731" ht="18" customHeight="1" s="101"/>
    <row r="732" ht="18" customHeight="1" s="101"/>
    <row r="733" ht="18" customHeight="1" s="101"/>
    <row r="734" ht="18" customHeight="1" s="101"/>
    <row r="735" ht="18" customHeight="1" s="101"/>
    <row r="736" ht="18" customHeight="1" s="101"/>
    <row r="737" ht="18" customHeight="1" s="101"/>
    <row r="738" ht="18" customHeight="1" s="101"/>
    <row r="739" ht="18" customHeight="1" s="101"/>
    <row r="740" ht="18" customHeight="1" s="101"/>
    <row r="741" ht="18" customHeight="1" s="101"/>
    <row r="742" ht="18" customHeight="1" s="101"/>
    <row r="743" ht="18" customHeight="1" s="101"/>
    <row r="744" ht="18" customHeight="1" s="101"/>
    <row r="745" ht="18" customHeight="1" s="101"/>
    <row r="746" ht="18" customHeight="1" s="101"/>
    <row r="747" ht="18" customHeight="1" s="101"/>
    <row r="748" ht="18" customHeight="1" s="101"/>
    <row r="749" ht="18" customHeight="1" s="101"/>
    <row r="750" ht="18" customHeight="1" s="101"/>
    <row r="751" ht="18" customHeight="1" s="101"/>
    <row r="752" ht="18" customHeight="1" s="101"/>
    <row r="753" ht="18" customHeight="1" s="101"/>
    <row r="754" ht="18" customHeight="1" s="101"/>
    <row r="755" ht="18" customHeight="1" s="101"/>
    <row r="756" ht="18" customHeight="1" s="101"/>
    <row r="757" ht="18" customHeight="1" s="101"/>
    <row r="758" ht="18" customHeight="1" s="101"/>
    <row r="759" ht="18" customHeight="1" s="101"/>
    <row r="760" ht="18" customHeight="1" s="101"/>
    <row r="761" ht="18" customHeight="1" s="101"/>
    <row r="762" ht="18" customHeight="1" s="101"/>
    <row r="763" ht="18" customHeight="1" s="101"/>
    <row r="764" ht="18" customHeight="1" s="101"/>
    <row r="765" ht="18" customHeight="1" s="101"/>
    <row r="766" ht="18" customHeight="1" s="101"/>
    <row r="767" ht="18" customHeight="1" s="101"/>
    <row r="768" ht="18" customHeight="1" s="101"/>
    <row r="769" ht="18" customHeight="1" s="101"/>
    <row r="770" ht="18" customHeight="1" s="101"/>
    <row r="771" ht="18" customHeight="1" s="101"/>
    <row r="772" ht="18" customHeight="1" s="101"/>
    <row r="773" ht="18" customHeight="1" s="101"/>
    <row r="774" ht="18" customHeight="1" s="101"/>
    <row r="775" ht="18" customHeight="1" s="101"/>
    <row r="776" ht="18" customHeight="1" s="101"/>
    <row r="777" ht="18" customHeight="1" s="101"/>
    <row r="778" ht="18" customHeight="1" s="101"/>
    <row r="779" ht="18" customHeight="1" s="101"/>
    <row r="780" ht="18" customHeight="1" s="101"/>
    <row r="781" ht="18" customHeight="1" s="101"/>
    <row r="782" ht="18" customHeight="1" s="101"/>
    <row r="783" ht="18" customHeight="1" s="101"/>
    <row r="784" ht="18" customHeight="1" s="101"/>
    <row r="785" ht="18" customHeight="1" s="101"/>
    <row r="786" ht="18" customHeight="1" s="101"/>
    <row r="787" ht="18" customHeight="1" s="101"/>
    <row r="788" ht="18" customHeight="1" s="101"/>
    <row r="789" ht="18" customHeight="1" s="101"/>
    <row r="790" ht="18" customHeight="1" s="101"/>
    <row r="791" ht="18" customHeight="1" s="101"/>
    <row r="792" ht="18" customHeight="1" s="101"/>
    <row r="793" ht="18" customHeight="1" s="101"/>
    <row r="794" ht="18" customHeight="1" s="101"/>
    <row r="795" ht="18" customHeight="1" s="101"/>
    <row r="796" ht="18" customHeight="1" s="101"/>
    <row r="797" ht="18" customHeight="1" s="101"/>
    <row r="798" ht="18" customHeight="1" s="101"/>
    <row r="799" ht="18" customHeight="1" s="101"/>
    <row r="800" ht="18" customHeight="1" s="101"/>
    <row r="801" ht="18" customHeight="1" s="101"/>
    <row r="802" ht="18" customHeight="1" s="101"/>
    <row r="803" ht="18" customHeight="1" s="101"/>
    <row r="804" ht="18" customHeight="1" s="101"/>
    <row r="805" ht="18" customHeight="1" s="101"/>
    <row r="806" ht="18" customHeight="1" s="101"/>
    <row r="807" ht="18" customHeight="1" s="101"/>
    <row r="808" ht="18" customHeight="1" s="101"/>
    <row r="809" ht="18" customHeight="1" s="101"/>
    <row r="810" ht="18" customHeight="1" s="101"/>
    <row r="811" ht="18" customHeight="1" s="101"/>
    <row r="812" ht="18" customHeight="1" s="101"/>
    <row r="813" ht="18" customHeight="1" s="101"/>
    <row r="814" ht="18" customHeight="1" s="101"/>
    <row r="815" ht="18" customHeight="1" s="101"/>
    <row r="816" ht="18" customHeight="1" s="101"/>
    <row r="817" ht="18" customHeight="1" s="101"/>
    <row r="818" ht="18" customHeight="1" s="101"/>
    <row r="819" ht="18" customHeight="1" s="101"/>
    <row r="820" ht="18" customHeight="1" s="101"/>
    <row r="821" ht="18" customHeight="1" s="101"/>
    <row r="822" ht="18" customHeight="1" s="101"/>
    <row r="823" ht="18" customHeight="1" s="101"/>
    <row r="824" ht="18" customHeight="1" s="101"/>
    <row r="825" ht="18" customHeight="1" s="101"/>
    <row r="826" ht="18" customHeight="1" s="101"/>
    <row r="827" ht="18" customHeight="1" s="101"/>
    <row r="828" ht="18" customHeight="1" s="101"/>
    <row r="829" ht="18" customHeight="1" s="101"/>
    <row r="830" ht="18" customHeight="1" s="101"/>
    <row r="831" ht="18" customHeight="1" s="101"/>
    <row r="832" ht="18" customHeight="1" s="101"/>
    <row r="833" ht="18" customHeight="1" s="101"/>
    <row r="834" ht="18" customHeight="1" s="101"/>
    <row r="835" ht="18" customHeight="1" s="101"/>
    <row r="836" ht="18" customHeight="1" s="101"/>
    <row r="837" ht="18" customHeight="1" s="101"/>
    <row r="838" ht="18" customHeight="1" s="101"/>
    <row r="839" ht="18" customHeight="1" s="101"/>
    <row r="840" ht="18" customHeight="1" s="101"/>
    <row r="841" ht="18" customHeight="1" s="101"/>
    <row r="842" ht="18" customHeight="1" s="101"/>
    <row r="843" ht="18" customHeight="1" s="101"/>
    <row r="844" ht="18" customHeight="1" s="101"/>
    <row r="845" ht="18" customHeight="1" s="101"/>
    <row r="846" ht="18" customHeight="1" s="101"/>
    <row r="847" ht="18" customHeight="1" s="101"/>
    <row r="848" ht="18" customHeight="1" s="101"/>
    <row r="849" ht="18" customHeight="1" s="101"/>
    <row r="850" ht="18" customHeight="1" s="101"/>
    <row r="851" ht="18" customHeight="1" s="101"/>
    <row r="852" ht="18" customHeight="1" s="101"/>
    <row r="853" ht="18" customHeight="1" s="101"/>
    <row r="854" ht="18" customHeight="1" s="101"/>
    <row r="855" ht="18" customHeight="1" s="101"/>
    <row r="856" ht="18" customHeight="1" s="101"/>
    <row r="857" ht="18" customHeight="1" s="101"/>
    <row r="858" ht="18" customHeight="1" s="101"/>
    <row r="859" ht="18" customHeight="1" s="101"/>
    <row r="860" ht="18" customHeight="1" s="101"/>
    <row r="861" ht="18" customHeight="1" s="101"/>
    <row r="862" ht="18" customHeight="1" s="101"/>
    <row r="863" ht="18" customHeight="1" s="101"/>
    <row r="864" ht="18" customHeight="1" s="101"/>
    <row r="865" ht="18" customHeight="1" s="101"/>
    <row r="866" ht="18" customHeight="1" s="101"/>
    <row r="867" ht="18" customHeight="1" s="101"/>
    <row r="868" ht="18" customHeight="1" s="101"/>
    <row r="869" ht="18" customHeight="1" s="101"/>
    <row r="870" ht="18" customHeight="1" s="101"/>
    <row r="871" ht="18" customHeight="1" s="101"/>
    <row r="872" ht="18" customHeight="1" s="101"/>
    <row r="873" ht="18" customHeight="1" s="101"/>
    <row r="874" ht="18" customHeight="1" s="101"/>
    <row r="875" ht="18" customHeight="1" s="101"/>
    <row r="876" ht="18" customHeight="1" s="101"/>
    <row r="877" ht="18" customHeight="1" s="101"/>
    <row r="878" ht="18" customHeight="1" s="101"/>
    <row r="879" ht="18" customHeight="1" s="101"/>
    <row r="880" ht="18" customHeight="1" s="101"/>
    <row r="881" ht="18" customHeight="1" s="101"/>
    <row r="882" ht="18" customHeight="1" s="101"/>
    <row r="883" ht="18" customHeight="1" s="101"/>
    <row r="884" ht="18" customHeight="1" s="101"/>
    <row r="885" ht="18" customHeight="1" s="101"/>
    <row r="886" ht="18" customHeight="1" s="101"/>
    <row r="887" ht="18" customHeight="1" s="101"/>
    <row r="888" ht="18" customHeight="1" s="101"/>
    <row r="889" ht="18" customHeight="1" s="101"/>
    <row r="890" ht="18" customHeight="1" s="101"/>
    <row r="891" ht="18" customHeight="1" s="101"/>
    <row r="892" ht="18" customHeight="1" s="101"/>
    <row r="893" ht="18" customHeight="1" s="101"/>
    <row r="894" ht="18" customHeight="1" s="101"/>
    <row r="895" ht="18" customHeight="1" s="101"/>
    <row r="896" ht="18" customHeight="1" s="101"/>
    <row r="897" ht="18" customHeight="1" s="101"/>
    <row r="898" ht="18" customHeight="1" s="101"/>
    <row r="899" ht="18" customHeight="1" s="101"/>
    <row r="900" ht="18" customHeight="1" s="101"/>
    <row r="901" ht="18" customHeight="1" s="101"/>
    <row r="902" ht="18" customHeight="1" s="101"/>
    <row r="903" ht="18" customHeight="1" s="101"/>
    <row r="904" ht="18" customHeight="1" s="101"/>
    <row r="905" ht="18" customHeight="1" s="101"/>
    <row r="906" ht="18" customHeight="1" s="101"/>
    <row r="907" ht="18" customHeight="1" s="101"/>
    <row r="908" ht="18" customHeight="1" s="101"/>
    <row r="909" ht="18" customHeight="1" s="101"/>
    <row r="910" ht="18" customHeight="1" s="101"/>
    <row r="911" ht="18" customHeight="1" s="101"/>
    <row r="912" ht="18" customHeight="1" s="101"/>
    <row r="913" ht="18" customHeight="1" s="101"/>
    <row r="914" ht="18" customHeight="1" s="101"/>
    <row r="915" ht="18" customHeight="1" s="101"/>
    <row r="916" ht="18" customHeight="1" s="101"/>
    <row r="917" ht="18" customHeight="1" s="101"/>
    <row r="918" ht="18" customHeight="1" s="101"/>
    <row r="919" ht="18" customHeight="1" s="101"/>
    <row r="920" ht="18" customHeight="1" s="101"/>
    <row r="921" ht="18" customHeight="1" s="101"/>
    <row r="922" ht="18" customHeight="1" s="101"/>
    <row r="923" ht="18" customHeight="1" s="101"/>
    <row r="924" ht="18" customHeight="1" s="101"/>
    <row r="925" ht="18" customHeight="1" s="101"/>
    <row r="926" ht="18" customHeight="1" s="101"/>
    <row r="927" ht="18" customHeight="1" s="101"/>
    <row r="928" ht="18" customHeight="1" s="101"/>
    <row r="929" ht="18" customHeight="1" s="101"/>
    <row r="930" ht="18" customHeight="1" s="101"/>
    <row r="931" ht="18" customHeight="1" s="101"/>
    <row r="932" ht="18" customHeight="1" s="101"/>
    <row r="933" ht="18" customHeight="1" s="101"/>
    <row r="934" ht="18" customHeight="1" s="101"/>
    <row r="935" ht="18" customHeight="1" s="101"/>
    <row r="936" ht="18" customHeight="1" s="101"/>
    <row r="937" ht="18" customHeight="1" s="101"/>
    <row r="938" ht="18" customHeight="1" s="101"/>
    <row r="939" ht="18" customHeight="1" s="101"/>
    <row r="940" ht="18" customHeight="1" s="101"/>
    <row r="941" ht="18" customHeight="1" s="101"/>
    <row r="942" ht="18" customHeight="1" s="101"/>
    <row r="943" ht="18" customHeight="1" s="101"/>
    <row r="944" ht="18" customHeight="1" s="101"/>
    <row r="945" ht="18" customHeight="1" s="101"/>
    <row r="946" ht="18" customHeight="1" s="101"/>
    <row r="947" ht="18" customHeight="1" s="101"/>
    <row r="948" ht="18" customHeight="1" s="101"/>
    <row r="949" ht="18" customHeight="1" s="101"/>
    <row r="950" ht="18" customHeight="1" s="101"/>
    <row r="951" ht="18" customHeight="1" s="101"/>
    <row r="952" ht="18" customHeight="1" s="101"/>
    <row r="953" ht="18" customHeight="1" s="101"/>
    <row r="954" ht="18" customHeight="1" s="101"/>
    <row r="955" ht="18" customHeight="1" s="101"/>
    <row r="956" ht="18" customHeight="1" s="101"/>
    <row r="957" ht="18" customHeight="1" s="101"/>
    <row r="958" ht="18" customHeight="1" s="101"/>
    <row r="959" ht="18" customHeight="1" s="101"/>
    <row r="960" ht="18" customHeight="1" s="101"/>
    <row r="961" ht="18" customHeight="1" s="101"/>
    <row r="962" ht="18" customHeight="1" s="101"/>
    <row r="963" ht="18" customHeight="1" s="101"/>
    <row r="964" ht="18" customHeight="1" s="101"/>
    <row r="965" ht="18" customHeight="1" s="101"/>
    <row r="966" ht="18" customHeight="1" s="101"/>
    <row r="967" ht="18" customHeight="1" s="101"/>
    <row r="968" ht="18" customHeight="1" s="101"/>
    <row r="969" ht="18" customHeight="1" s="101"/>
    <row r="970" ht="18" customHeight="1" s="101"/>
    <row r="971" ht="18" customHeight="1" s="101"/>
    <row r="972" ht="18" customHeight="1" s="101"/>
    <row r="973" ht="18" customHeight="1" s="101"/>
    <row r="974" ht="18" customHeight="1" s="101"/>
    <row r="975" ht="18" customHeight="1" s="101"/>
    <row r="976" ht="18" customHeight="1" s="101"/>
    <row r="977" ht="18" customHeight="1" s="101"/>
    <row r="978" ht="18" customHeight="1" s="101"/>
    <row r="979" ht="18" customHeight="1" s="101"/>
    <row r="980" ht="18" customHeight="1" s="101"/>
    <row r="981" ht="18" customHeight="1" s="101"/>
    <row r="982" ht="18" customHeight="1" s="101"/>
    <row r="983" ht="18" customHeight="1" s="101"/>
    <row r="984" ht="18" customHeight="1" s="101"/>
    <row r="985" ht="18" customHeight="1" s="101"/>
    <row r="986" ht="18" customHeight="1" s="101"/>
    <row r="987" ht="18" customHeight="1" s="101"/>
    <row r="988" ht="18" customHeight="1" s="101"/>
    <row r="989" ht="18" customHeight="1" s="101"/>
    <row r="990" ht="18" customHeight="1" s="101"/>
    <row r="991" ht="18" customHeight="1" s="101"/>
    <row r="992" ht="18" customHeight="1" s="101"/>
    <row r="993" ht="18" customHeight="1" s="101"/>
    <row r="994" ht="18" customHeight="1" s="101"/>
    <row r="995" ht="18" customHeight="1" s="101"/>
    <row r="996" ht="18" customHeight="1" s="101"/>
    <row r="997" ht="18" customHeight="1" s="101"/>
    <row r="998" ht="18" customHeight="1" s="101"/>
    <row r="999" ht="18" customHeight="1" s="101"/>
    <row r="1000" ht="18" customHeight="1" s="101"/>
  </sheetData>
  <mergeCells count="48">
    <mergeCell ref="N26:O26"/>
    <mergeCell ref="E10:G10"/>
    <mergeCell ref="E28:G28"/>
    <mergeCell ref="E13:G13"/>
    <mergeCell ref="E19:G19"/>
    <mergeCell ref="E24:F24"/>
    <mergeCell ref="E31:G31"/>
    <mergeCell ref="B1:G1"/>
    <mergeCell ref="N25:O25"/>
    <mergeCell ref="N23:P23"/>
    <mergeCell ref="E9:G9"/>
    <mergeCell ref="E40:G40"/>
    <mergeCell ref="E34:G34"/>
    <mergeCell ref="E30:G30"/>
    <mergeCell ref="E15:G15"/>
    <mergeCell ref="E2:G2"/>
    <mergeCell ref="E36:G36"/>
    <mergeCell ref="E11:G11"/>
    <mergeCell ref="E27:G27"/>
    <mergeCell ref="E7:G7"/>
    <mergeCell ref="E16:G16"/>
    <mergeCell ref="E32:G32"/>
    <mergeCell ref="E41:G41"/>
    <mergeCell ref="E22:G22"/>
    <mergeCell ref="E37:G37"/>
    <mergeCell ref="E12:G12"/>
    <mergeCell ref="E18:G18"/>
    <mergeCell ref="E3:G3"/>
    <mergeCell ref="E21:G21"/>
    <mergeCell ref="A1:A5"/>
    <mergeCell ref="E26:F26"/>
    <mergeCell ref="E43:G43"/>
    <mergeCell ref="E42:G42"/>
    <mergeCell ref="E33:G33"/>
    <mergeCell ref="E14:G14"/>
    <mergeCell ref="E5:G5"/>
    <mergeCell ref="E23:G23"/>
    <mergeCell ref="N24:O24"/>
    <mergeCell ref="E25:F25"/>
    <mergeCell ref="E8:G8"/>
    <mergeCell ref="E39:G39"/>
    <mergeCell ref="E17:G17"/>
    <mergeCell ref="E35:G35"/>
    <mergeCell ref="E4:G4"/>
    <mergeCell ref="E44:G44"/>
    <mergeCell ref="E29:G29"/>
    <mergeCell ref="E20:G20"/>
    <mergeCell ref="E38:G38"/>
  </mergeCells>
  <printOptions horizontalCentered="1" gridLines="1"/>
  <pageMargins left="0.7" right="0.7" top="0.75" bottom="0.75" header="0" footer="0"/>
  <pageSetup orientation="portrait" fitToHeight="0" pageOrder="overThenDown" cellComments="atEnd"/>
</worksheet>
</file>

<file path=xl/worksheets/sheet2.xml><?xml version="1.0" encoding="utf-8"?>
<worksheet xmlns="http://schemas.openxmlformats.org/spreadsheetml/2006/main">
  <sheetPr>
    <outlinePr summaryBelow="0" summaryRight="0"/>
    <pageSetUpPr/>
  </sheetPr>
  <dimension ref="A1:F25"/>
  <sheetViews>
    <sheetView workbookViewId="0">
      <selection activeCell="A1" sqref="A1"/>
    </sheetView>
  </sheetViews>
  <sheetFormatPr baseColWidth="8" defaultColWidth="12.63" defaultRowHeight="15.75" customHeight="1"/>
  <cols>
    <col width="15.38" customWidth="1" style="101" min="1" max="19"/>
  </cols>
  <sheetData>
    <row r="1" ht="18" customHeight="1" s="101">
      <c r="A1" s="102" t="n"/>
      <c r="B1" s="115" t="inlineStr">
        <is>
          <t>FICHA DE SECUENCIA</t>
        </is>
      </c>
      <c r="C1" s="104" t="n"/>
      <c r="D1" s="104" t="n"/>
      <c r="E1" s="104" t="n"/>
      <c r="F1" s="105" t="n"/>
    </row>
    <row r="2" ht="18" customHeight="1" s="101">
      <c r="A2" s="106" t="n"/>
      <c r="B2" s="8" t="inlineStr">
        <is>
          <t>Empresa:</t>
        </is>
      </c>
      <c r="C2" s="10" t="inlineStr">
        <is>
          <t>Creco industrias</t>
        </is>
      </c>
      <c r="D2" s="8" t="inlineStr">
        <is>
          <t>Modelo:</t>
        </is>
      </c>
      <c r="E2" s="116" t="inlineStr">
        <is>
          <t>SHORT R1 - INTERNO</t>
        </is>
      </c>
      <c r="F2" s="109" t="n"/>
    </row>
    <row r="3" ht="18" customHeight="1" s="101">
      <c r="A3" s="106" t="n"/>
      <c r="B3" s="8" t="inlineStr">
        <is>
          <t>Marca:</t>
        </is>
      </c>
      <c r="C3" s="10" t="inlineStr">
        <is>
          <t>Cuadro</t>
        </is>
      </c>
      <c r="D3" s="8" t="inlineStr">
        <is>
          <t>Genero:</t>
        </is>
      </c>
      <c r="E3" s="116" t="inlineStr">
        <is>
          <t xml:space="preserve">CABALLERO </t>
        </is>
      </c>
      <c r="F3" s="109" t="n"/>
    </row>
    <row r="4" ht="18" customHeight="1" s="101">
      <c r="A4" s="106" t="n"/>
      <c r="B4" s="8" t="inlineStr">
        <is>
          <t>Linea o colección:</t>
        </is>
      </c>
      <c r="C4" s="10" t="inlineStr">
        <is>
          <t>R1</t>
        </is>
      </c>
      <c r="D4" s="8" t="inlineStr">
        <is>
          <t>Curva de talla:</t>
        </is>
      </c>
      <c r="E4" s="116" t="inlineStr">
        <is>
          <t>S-XXL</t>
        </is>
      </c>
      <c r="F4" s="109" t="n"/>
    </row>
    <row r="5">
      <c r="A5" s="110" t="n"/>
      <c r="B5" s="18" t="inlineStr">
        <is>
          <t>Base textil:</t>
        </is>
      </c>
      <c r="C5" s="19" t="inlineStr">
        <is>
          <t>EXPLORE-LYCRA LIGHT</t>
        </is>
      </c>
      <c r="D5" s="18" t="inlineStr">
        <is>
          <t>Descripción:</t>
        </is>
      </c>
      <c r="E5" s="117" t="n"/>
      <c r="F5" s="113" t="n"/>
    </row>
    <row r="6" ht="18" customHeight="1" s="101">
      <c r="A6" s="23" t="inlineStr">
        <is>
          <t>INTERNO</t>
        </is>
      </c>
    </row>
    <row r="7">
      <c r="A7" s="26" t="inlineStr">
        <is>
          <t>NRO. DE OP.</t>
        </is>
      </c>
      <c r="B7" s="26" t="inlineStr">
        <is>
          <t>PROCESO</t>
        </is>
      </c>
      <c r="C7" s="30" t="inlineStr">
        <is>
          <t>PIEZAS INVOLUCRADAS</t>
        </is>
      </c>
      <c r="D7" s="26" t="inlineStr">
        <is>
          <t>MAQUINA</t>
        </is>
      </c>
      <c r="E7" s="26" t="inlineStr">
        <is>
          <t>OBSERVACIONES</t>
        </is>
      </c>
      <c r="F7" s="114" t="n"/>
    </row>
    <row r="8">
      <c r="A8" s="38" t="n">
        <v>1</v>
      </c>
      <c r="B8" s="38" t="inlineStr">
        <is>
          <t>Bolsillos</t>
        </is>
      </c>
      <c r="C8" s="38" t="inlineStr">
        <is>
          <t>Ruedos de bolsillos laterales</t>
        </is>
      </c>
      <c r="D8" s="38" t="inlineStr">
        <is>
          <t>Collaretera</t>
        </is>
      </c>
      <c r="E8" s="118" t="inlineStr">
        <is>
          <t>Ruedo de bolsillos a 2 cms de grosor costuras dos agujas.</t>
        </is>
      </c>
      <c r="F8" s="114" t="n"/>
    </row>
    <row r="9">
      <c r="A9" s="38" t="n">
        <v>2</v>
      </c>
      <c r="B9" s="38" t="inlineStr">
        <is>
          <t>Bolsillos + Cuerpo</t>
        </is>
      </c>
      <c r="C9" s="38" t="inlineStr">
        <is>
          <t>Colocar bolsillos</t>
        </is>
      </c>
      <c r="D9" s="38" t="inlineStr">
        <is>
          <t>Recta</t>
        </is>
      </c>
      <c r="E9" s="118" t="inlineStr">
        <is>
          <t>Fijar en recta bolsillos internos al cuerpo lateral. Buscar puntos medios para colocar bolsillo</t>
        </is>
      </c>
      <c r="F9" s="114" t="n"/>
    </row>
    <row r="10">
      <c r="A10" s="38" t="n">
        <v>3</v>
      </c>
      <c r="B10" s="38" t="inlineStr">
        <is>
          <t>Bolsillos internos</t>
        </is>
      </c>
      <c r="C10" s="38" t="inlineStr">
        <is>
          <t>Recubrir bolsillos internos</t>
        </is>
      </c>
      <c r="D10" s="38" t="inlineStr">
        <is>
          <t>Collaretera</t>
        </is>
      </c>
      <c r="E10" s="118" t="inlineStr">
        <is>
          <t>Costuras limpias en recubridor</t>
        </is>
      </c>
      <c r="F10" s="114" t="n"/>
    </row>
    <row r="11">
      <c r="A11" s="38" t="n">
        <v>4</v>
      </c>
      <c r="B11" s="38" t="inlineStr">
        <is>
          <t>Refuerzo delantero</t>
        </is>
      </c>
      <c r="C11" s="38" t="inlineStr">
        <is>
          <t>Armar refuerzo delantero</t>
        </is>
      </c>
      <c r="D11" s="38" t="inlineStr">
        <is>
          <t>Overlock</t>
        </is>
      </c>
      <c r="E11" s="118" t="inlineStr">
        <is>
          <t>Costuras en curva</t>
        </is>
      </c>
      <c r="F11" s="114" t="n"/>
    </row>
    <row r="12" ht="62.25" customHeight="1" s="101">
      <c r="A12" s="38" t="n">
        <v>5</v>
      </c>
      <c r="B12" s="38" t="inlineStr">
        <is>
          <t>Refuerzo delantero</t>
        </is>
      </c>
      <c r="C12" s="38" t="inlineStr">
        <is>
          <t>Recubrir</t>
        </is>
      </c>
      <c r="D12" s="38" t="inlineStr">
        <is>
          <t>Collaretera</t>
        </is>
      </c>
      <c r="E12" s="118" t="inlineStr">
        <is>
          <t>Costuras frontales con recubridor en refuerzo delantero</t>
        </is>
      </c>
      <c r="F12" s="114" t="n"/>
    </row>
    <row r="13" ht="77.25" customHeight="1" s="101">
      <c r="A13" s="38" t="n">
        <v>6</v>
      </c>
      <c r="B13" s="38" t="inlineStr">
        <is>
          <t>Entrepierna + Cuerpo posterior</t>
        </is>
      </c>
      <c r="C13" s="38" t="inlineStr">
        <is>
          <t>Colocar entrepierna</t>
        </is>
      </c>
      <c r="D13" s="38" t="inlineStr">
        <is>
          <t>Overlock</t>
        </is>
      </c>
      <c r="E13" s="118" t="inlineStr">
        <is>
          <t>unir entrepierna con posterior. Marcando puntos medios para el ensamblaje de la pieza</t>
        </is>
      </c>
      <c r="F13" s="114" t="n"/>
    </row>
    <row r="14">
      <c r="A14" s="38" t="n">
        <v>7</v>
      </c>
      <c r="B14" s="38" t="inlineStr">
        <is>
          <t>Entrepierna + Cuerpo posterior</t>
        </is>
      </c>
      <c r="C14" s="38" t="inlineStr">
        <is>
          <t>Recubrir entrepierna</t>
        </is>
      </c>
      <c r="D14" s="38" t="inlineStr">
        <is>
          <t>Collaretera</t>
        </is>
      </c>
      <c r="E14" s="118" t="inlineStr">
        <is>
          <t>Costuras con recubridor</t>
        </is>
      </c>
      <c r="F14" s="114" t="n"/>
    </row>
    <row r="15">
      <c r="A15" s="38" t="n">
        <v>8</v>
      </c>
      <c r="B15" s="38" t="inlineStr">
        <is>
          <t>Entrepierna + Cuerpo delantero</t>
        </is>
      </c>
      <c r="C15" s="38" t="inlineStr">
        <is>
          <t>Colocar entrepierna</t>
        </is>
      </c>
      <c r="D15" s="38" t="inlineStr">
        <is>
          <t>Overlock</t>
        </is>
      </c>
      <c r="E15" s="118" t="inlineStr">
        <is>
          <t>Unir entrepierna rn terminación de tiro delantero</t>
        </is>
      </c>
      <c r="F15" s="114" t="n"/>
    </row>
    <row r="16">
      <c r="A16" s="38" t="n">
        <v>9</v>
      </c>
      <c r="B16" s="38" t="inlineStr">
        <is>
          <t>Entrepierna + Cuerpo delantero</t>
        </is>
      </c>
      <c r="C16" s="38" t="inlineStr">
        <is>
          <t>Recubrir entrepierna</t>
        </is>
      </c>
      <c r="D16" s="38" t="inlineStr">
        <is>
          <t>Collaretera</t>
        </is>
      </c>
      <c r="E16" s="118" t="inlineStr">
        <is>
          <t>costuras con recubridor</t>
        </is>
      </c>
      <c r="F16" s="114" t="n"/>
    </row>
    <row r="17">
      <c r="A17" s="38" t="n">
        <v>10</v>
      </c>
      <c r="B17" s="38" t="inlineStr">
        <is>
          <t>Cuerpo + Refuerzo delantero</t>
        </is>
      </c>
      <c r="C17" s="38" t="inlineStr">
        <is>
          <t>Montar curva de refuerzo delantero</t>
        </is>
      </c>
      <c r="D17" s="38" t="inlineStr">
        <is>
          <t>Overlock</t>
        </is>
      </c>
      <c r="E17" s="118" t="inlineStr">
        <is>
          <t>Cuidar curva marcando puntos medios para una caída uniforme</t>
        </is>
      </c>
      <c r="F17" s="114" t="n"/>
    </row>
    <row r="18">
      <c r="A18" s="38" t="n">
        <v>11</v>
      </c>
      <c r="B18" s="38" t="inlineStr">
        <is>
          <t>Cuerpo + Refuerzo</t>
        </is>
      </c>
      <c r="C18" s="38" t="inlineStr">
        <is>
          <t>Recubrir refuerzo</t>
        </is>
      </c>
      <c r="D18" s="38" t="inlineStr">
        <is>
          <t>Collaretera</t>
        </is>
      </c>
      <c r="E18" s="118" t="inlineStr">
        <is>
          <t>Recubrir la curva del refuerzo delantero</t>
        </is>
      </c>
      <c r="F18" s="114" t="n"/>
    </row>
    <row r="19">
      <c r="A19" s="38" t="n">
        <v>12</v>
      </c>
      <c r="B19" s="38" t="inlineStr">
        <is>
          <t>Short interno</t>
        </is>
      </c>
      <c r="C19" s="38" t="inlineStr">
        <is>
          <t>Ruedo</t>
        </is>
      </c>
      <c r="D19" s="38" t="inlineStr">
        <is>
          <t>Collaretera</t>
        </is>
      </c>
      <c r="E19" s="118" t="inlineStr">
        <is>
          <t>Dobladillo 2 cm, Cuidar presión de hilo para evitar ajuste de pierna Costuras con recubridor</t>
        </is>
      </c>
      <c r="F19" s="114" t="n"/>
    </row>
    <row r="20">
      <c r="A20" s="38" t="n">
        <v>13</v>
      </c>
      <c r="B20" s="38" t="inlineStr">
        <is>
          <t>Bolsillos internos</t>
        </is>
      </c>
      <c r="C20" s="38" t="inlineStr">
        <is>
          <t>Presillas en bolsillos</t>
        </is>
      </c>
      <c r="D20" s="38" t="inlineStr">
        <is>
          <t>Presilladora</t>
        </is>
      </c>
      <c r="E20" s="118" t="inlineStr">
        <is>
          <t>Horizontales de 0.75 cm en extremos de bolsillos (P1)</t>
        </is>
      </c>
      <c r="F20" s="114" t="n"/>
    </row>
    <row r="21" ht="58.5" customHeight="1" s="101">
      <c r="A21" s="43" t="n"/>
      <c r="B21" s="43" t="n"/>
      <c r="C21" s="43" t="n"/>
      <c r="D21" s="43" t="n"/>
      <c r="E21" s="43" t="n"/>
      <c r="F21" s="43" t="n"/>
    </row>
    <row r="22" ht="27.75" customHeight="1" s="101">
      <c r="A22" s="43" t="n"/>
      <c r="B22" s="43" t="n"/>
      <c r="C22" s="43" t="n"/>
      <c r="D22" s="43" t="n"/>
      <c r="E22" s="43" t="n"/>
      <c r="F22" s="43" t="n"/>
    </row>
    <row r="23" ht="159" customHeight="1" s="101">
      <c r="A23" s="43" t="n"/>
      <c r="B23" s="43" t="n"/>
      <c r="C23" s="43" t="n"/>
      <c r="D23" s="43" t="n"/>
      <c r="E23" s="43" t="n"/>
      <c r="F23" s="43" t="n"/>
    </row>
    <row r="24" ht="18" customHeight="1" s="101">
      <c r="A24" s="43" t="n"/>
      <c r="B24" s="43" t="n"/>
      <c r="C24" s="43" t="n"/>
      <c r="D24" s="43" t="n"/>
      <c r="E24" s="43" t="n"/>
      <c r="F24" s="43" t="n"/>
    </row>
    <row r="25" ht="18" customHeight="1" s="101">
      <c r="A25" s="62" t="n"/>
      <c r="B25" s="62" t="n"/>
      <c r="C25" s="62" t="n"/>
      <c r="D25" s="62" t="n"/>
      <c r="E25" s="62" t="n"/>
      <c r="F25" s="62" t="n"/>
    </row>
    <row r="26" ht="18" customHeight="1" s="101"/>
    <row r="27" ht="18" customHeight="1" s="101"/>
    <row r="28" ht="18" customHeight="1" s="101"/>
    <row r="29" ht="18" customHeight="1" s="101"/>
    <row r="30" ht="18" customHeight="1" s="101"/>
    <row r="31" ht="18" customHeight="1" s="101"/>
    <row r="32" ht="18" customHeight="1" s="101"/>
    <row r="33" ht="18" customHeight="1" s="101"/>
    <row r="34" ht="18" customHeight="1" s="101"/>
    <row r="35" ht="18" customHeight="1" s="101"/>
    <row r="36" ht="18" customHeight="1" s="101"/>
    <row r="37" ht="18" customHeight="1" s="101"/>
    <row r="38" ht="18" customHeight="1" s="101"/>
    <row r="39" ht="18" customHeight="1" s="101"/>
    <row r="40" ht="18" customHeight="1" s="101"/>
    <row r="41" ht="18" customHeight="1" s="101"/>
    <row r="42" ht="18" customHeight="1" s="101"/>
    <row r="43" ht="18" customHeight="1" s="101"/>
    <row r="44" ht="18" customHeight="1" s="101"/>
    <row r="45" ht="18" customHeight="1" s="101"/>
    <row r="46" ht="18" customHeight="1" s="101"/>
    <row r="47" ht="18" customHeight="1" s="101"/>
    <row r="48" ht="18" customHeight="1" s="101"/>
    <row r="49" ht="18" customHeight="1" s="101"/>
    <row r="50" ht="18" customHeight="1" s="101"/>
    <row r="51" ht="18" customHeight="1" s="101"/>
    <row r="52" ht="18" customHeight="1" s="101"/>
    <row r="53" ht="18" customHeight="1" s="101"/>
    <row r="54" ht="18" customHeight="1" s="101"/>
    <row r="55" ht="18" customHeight="1" s="101"/>
    <row r="56" ht="18" customHeight="1" s="101"/>
    <row r="57" ht="18" customHeight="1" s="101"/>
    <row r="58" ht="18" customHeight="1" s="101"/>
    <row r="59" ht="18" customHeight="1" s="101"/>
    <row r="60" ht="18" customHeight="1" s="101"/>
    <row r="61" ht="18" customHeight="1" s="101"/>
    <row r="62" ht="18" customHeight="1" s="101"/>
    <row r="63" ht="18" customHeight="1" s="101"/>
    <row r="64" ht="18" customHeight="1" s="101"/>
    <row r="65" ht="18" customHeight="1" s="101"/>
    <row r="66" ht="18" customHeight="1" s="101"/>
    <row r="67" ht="18" customHeight="1" s="101"/>
    <row r="68" ht="18" customHeight="1" s="101"/>
    <row r="69" ht="18" customHeight="1" s="101"/>
    <row r="70" ht="18" customHeight="1" s="101"/>
    <row r="71" ht="18" customHeight="1" s="101"/>
    <row r="72" ht="18" customHeight="1" s="101"/>
    <row r="73" ht="18" customHeight="1" s="101"/>
    <row r="74" ht="18" customHeight="1" s="101"/>
    <row r="75" ht="18" customHeight="1" s="101"/>
    <row r="76" ht="18" customHeight="1" s="101"/>
    <row r="77" ht="18" customHeight="1" s="101"/>
    <row r="78" ht="18" customHeight="1" s="101"/>
    <row r="79" ht="18" customHeight="1" s="101"/>
    <row r="80" ht="18" customHeight="1" s="101"/>
    <row r="81" ht="18" customHeight="1" s="101"/>
    <row r="82" ht="18" customHeight="1" s="101"/>
    <row r="83" ht="18" customHeight="1" s="101"/>
    <row r="84" ht="18" customHeight="1" s="101"/>
    <row r="85" ht="18" customHeight="1" s="101"/>
    <row r="86" ht="18" customHeight="1" s="101"/>
    <row r="87" ht="18" customHeight="1" s="101"/>
    <row r="88" ht="18" customHeight="1" s="101"/>
    <row r="89" ht="18" customHeight="1" s="101"/>
    <row r="90" ht="18" customHeight="1" s="101"/>
    <row r="91" ht="18" customHeight="1" s="101"/>
    <row r="92" ht="18" customHeight="1" s="101"/>
    <row r="93" ht="18" customHeight="1" s="101"/>
    <row r="94" ht="18" customHeight="1" s="101"/>
    <row r="95" ht="18" customHeight="1" s="101"/>
    <row r="96" ht="18" customHeight="1" s="101"/>
    <row r="97" ht="18" customHeight="1" s="101"/>
    <row r="98" ht="18" customHeight="1" s="101"/>
    <row r="99" ht="18" customHeight="1" s="101"/>
    <row r="100" ht="18" customHeight="1" s="101"/>
    <row r="101" ht="18" customHeight="1" s="101"/>
    <row r="102" ht="18" customHeight="1" s="101"/>
    <row r="103" ht="18" customHeight="1" s="101"/>
    <row r="104" ht="18" customHeight="1" s="101"/>
    <row r="105" ht="18" customHeight="1" s="101"/>
    <row r="106" ht="18" customHeight="1" s="101"/>
    <row r="107" ht="18" customHeight="1" s="101"/>
    <row r="108" ht="18" customHeight="1" s="101"/>
    <row r="109" ht="18" customHeight="1" s="101"/>
    <row r="110" ht="18" customHeight="1" s="101"/>
    <row r="111" ht="18" customHeight="1" s="101"/>
    <row r="112" ht="18" customHeight="1" s="101"/>
    <row r="113" ht="18" customHeight="1" s="101"/>
    <row r="114" ht="18" customHeight="1" s="101"/>
    <row r="115" ht="18" customHeight="1" s="101"/>
    <row r="116" ht="18" customHeight="1" s="101"/>
    <row r="117" ht="18" customHeight="1" s="101"/>
    <row r="118" ht="18" customHeight="1" s="101"/>
    <row r="119" ht="18" customHeight="1" s="101"/>
    <row r="120" ht="18" customHeight="1" s="101"/>
    <row r="121" ht="18" customHeight="1" s="101"/>
    <row r="122" ht="18" customHeight="1" s="101"/>
    <row r="123" ht="18" customHeight="1" s="101"/>
    <row r="124" ht="18" customHeight="1" s="101"/>
    <row r="125" ht="18" customHeight="1" s="101"/>
    <row r="126" ht="18" customHeight="1" s="101"/>
    <row r="127" ht="18" customHeight="1" s="101"/>
    <row r="128" ht="18" customHeight="1" s="101"/>
    <row r="129" ht="18" customHeight="1" s="101"/>
    <row r="130" ht="18" customHeight="1" s="101"/>
    <row r="131" ht="18" customHeight="1" s="101"/>
    <row r="132" ht="18" customHeight="1" s="101"/>
    <row r="133" ht="18" customHeight="1" s="101"/>
    <row r="134" ht="18" customHeight="1" s="101"/>
    <row r="135" ht="18" customHeight="1" s="101"/>
    <row r="136" ht="18" customHeight="1" s="101"/>
    <row r="137" ht="18" customHeight="1" s="101"/>
    <row r="138" ht="18" customHeight="1" s="101"/>
    <row r="139" ht="18" customHeight="1" s="101"/>
    <row r="140" ht="18" customHeight="1" s="101"/>
    <row r="141" ht="18" customHeight="1" s="101"/>
    <row r="142" ht="18" customHeight="1" s="101"/>
    <row r="143" ht="18" customHeight="1" s="101"/>
    <row r="144" ht="18" customHeight="1" s="101"/>
    <row r="145" ht="18" customHeight="1" s="101"/>
    <row r="146" ht="18" customHeight="1" s="101"/>
    <row r="147" ht="18" customHeight="1" s="101"/>
    <row r="148" ht="18" customHeight="1" s="101"/>
    <row r="149" ht="18" customHeight="1" s="101"/>
    <row r="150" ht="18" customHeight="1" s="101"/>
    <row r="151" ht="18" customHeight="1" s="101"/>
    <row r="152" ht="18" customHeight="1" s="101"/>
    <row r="153" ht="18" customHeight="1" s="101"/>
    <row r="154" ht="18" customHeight="1" s="101"/>
    <row r="155" ht="18" customHeight="1" s="101"/>
    <row r="156" ht="18" customHeight="1" s="101"/>
    <row r="157" ht="18" customHeight="1" s="101"/>
    <row r="158" ht="18" customHeight="1" s="101"/>
    <row r="159" ht="18" customHeight="1" s="101"/>
    <row r="160" ht="18" customHeight="1" s="101"/>
    <row r="161" ht="18" customHeight="1" s="101"/>
    <row r="162" ht="18" customHeight="1" s="101"/>
    <row r="163" ht="18" customHeight="1" s="101"/>
    <row r="164" ht="18" customHeight="1" s="101"/>
    <row r="165" ht="18" customHeight="1" s="101"/>
    <row r="166" ht="18" customHeight="1" s="101"/>
    <row r="167" ht="18" customHeight="1" s="101"/>
    <row r="168" ht="18" customHeight="1" s="101"/>
    <row r="169" ht="18" customHeight="1" s="101"/>
    <row r="170" ht="18" customHeight="1" s="101"/>
    <row r="171" ht="18" customHeight="1" s="101"/>
    <row r="172" ht="18" customHeight="1" s="101"/>
    <row r="173" ht="18" customHeight="1" s="101"/>
    <row r="174" ht="18" customHeight="1" s="101"/>
    <row r="175" ht="18" customHeight="1" s="101"/>
    <row r="176" ht="18" customHeight="1" s="101"/>
    <row r="177" ht="18" customHeight="1" s="101"/>
    <row r="178" ht="18" customHeight="1" s="101"/>
    <row r="179" ht="18" customHeight="1" s="101"/>
    <row r="180" ht="18" customHeight="1" s="101"/>
    <row r="181" ht="18" customHeight="1" s="101"/>
    <row r="182" ht="18" customHeight="1" s="101"/>
    <row r="183" ht="18" customHeight="1" s="101"/>
    <row r="184" ht="18" customHeight="1" s="101"/>
    <row r="185" ht="18" customHeight="1" s="101"/>
    <row r="186" ht="18" customHeight="1" s="101"/>
    <row r="187" ht="18" customHeight="1" s="101"/>
    <row r="188" ht="18" customHeight="1" s="101"/>
    <row r="189" ht="18" customHeight="1" s="101"/>
    <row r="190" ht="18" customHeight="1" s="101"/>
    <row r="191" ht="18" customHeight="1" s="101"/>
    <row r="192" ht="18" customHeight="1" s="101"/>
    <row r="193" ht="18" customHeight="1" s="101"/>
    <row r="194" ht="18" customHeight="1" s="101"/>
    <row r="195" ht="18" customHeight="1" s="101"/>
    <row r="196" ht="18" customHeight="1" s="101"/>
    <row r="197" ht="18" customHeight="1" s="101"/>
    <row r="198" ht="18" customHeight="1" s="101"/>
    <row r="199" ht="18" customHeight="1" s="101"/>
    <row r="200" ht="18" customHeight="1" s="101"/>
    <row r="201" ht="18" customHeight="1" s="101"/>
    <row r="202" ht="18" customHeight="1" s="101"/>
    <row r="203" ht="18" customHeight="1" s="101"/>
    <row r="204" ht="18" customHeight="1" s="101"/>
    <row r="205" ht="18" customHeight="1" s="101"/>
    <row r="206" ht="18" customHeight="1" s="101"/>
    <row r="207" ht="18" customHeight="1" s="101"/>
    <row r="208" ht="18" customHeight="1" s="101"/>
    <row r="209" ht="18" customHeight="1" s="101"/>
    <row r="210" ht="18" customHeight="1" s="101"/>
    <row r="211" ht="18" customHeight="1" s="101"/>
    <row r="212" ht="18" customHeight="1" s="101"/>
    <row r="213" ht="18" customHeight="1" s="101"/>
    <row r="214" ht="18" customHeight="1" s="101"/>
    <row r="215" ht="18" customHeight="1" s="101"/>
    <row r="216" ht="18" customHeight="1" s="101"/>
    <row r="217" ht="18" customHeight="1" s="101"/>
    <row r="218" ht="18" customHeight="1" s="101"/>
    <row r="219" ht="18" customHeight="1" s="101"/>
    <row r="220" ht="18" customHeight="1" s="101"/>
    <row r="221" ht="18" customHeight="1" s="101"/>
    <row r="222" ht="18" customHeight="1" s="101"/>
    <row r="223" ht="18" customHeight="1" s="101"/>
    <row r="224" ht="18" customHeight="1" s="101"/>
    <row r="225" ht="18" customHeight="1" s="101"/>
    <row r="226" ht="18" customHeight="1" s="101"/>
    <row r="227" ht="18" customHeight="1" s="101"/>
    <row r="228" ht="18" customHeight="1" s="101"/>
    <row r="229" ht="18" customHeight="1" s="101"/>
    <row r="230" ht="18" customHeight="1" s="101"/>
    <row r="231" ht="18" customHeight="1" s="101"/>
    <row r="232" ht="18" customHeight="1" s="101"/>
    <row r="233" ht="18" customHeight="1" s="101"/>
    <row r="234" ht="18" customHeight="1" s="101"/>
    <row r="235" ht="18" customHeight="1" s="101"/>
    <row r="236" ht="18" customHeight="1" s="101"/>
    <row r="237" ht="18" customHeight="1" s="101"/>
    <row r="238" ht="18" customHeight="1" s="101"/>
    <row r="239" ht="18" customHeight="1" s="101"/>
    <row r="240" ht="18" customHeight="1" s="101"/>
    <row r="241" ht="18" customHeight="1" s="101"/>
    <row r="242" ht="18" customHeight="1" s="101"/>
    <row r="243" ht="18" customHeight="1" s="101"/>
    <row r="244" ht="18" customHeight="1" s="101"/>
    <row r="245" ht="18" customHeight="1" s="101"/>
    <row r="246" ht="18" customHeight="1" s="101"/>
    <row r="247" ht="18" customHeight="1" s="101"/>
    <row r="248" ht="18" customHeight="1" s="101"/>
    <row r="249" ht="18" customHeight="1" s="101"/>
    <row r="250" ht="18" customHeight="1" s="101"/>
    <row r="251" ht="18" customHeight="1" s="101"/>
    <row r="252" ht="18" customHeight="1" s="101"/>
    <row r="253" ht="18" customHeight="1" s="101"/>
    <row r="254" ht="18" customHeight="1" s="101"/>
    <row r="255" ht="18" customHeight="1" s="101"/>
    <row r="256" ht="18" customHeight="1" s="101"/>
    <row r="257" ht="18" customHeight="1" s="101"/>
    <row r="258" ht="18" customHeight="1" s="101"/>
    <row r="259" ht="18" customHeight="1" s="101"/>
    <row r="260" ht="18" customHeight="1" s="101"/>
    <row r="261" ht="18" customHeight="1" s="101"/>
    <row r="262" ht="18" customHeight="1" s="101"/>
    <row r="263" ht="18" customHeight="1" s="101"/>
    <row r="264" ht="18" customHeight="1" s="101"/>
    <row r="265" ht="18" customHeight="1" s="101"/>
    <row r="266" ht="18" customHeight="1" s="101"/>
    <row r="267" ht="18" customHeight="1" s="101"/>
    <row r="268" ht="18" customHeight="1" s="101"/>
    <row r="269" ht="18" customHeight="1" s="101"/>
    <row r="270" ht="18" customHeight="1" s="101"/>
    <row r="271" ht="18" customHeight="1" s="101"/>
    <row r="272" ht="18" customHeight="1" s="101"/>
    <row r="273" ht="18" customHeight="1" s="101"/>
    <row r="274" ht="18" customHeight="1" s="101"/>
    <row r="275" ht="18" customHeight="1" s="101"/>
    <row r="276" ht="18" customHeight="1" s="101"/>
    <row r="277" ht="18" customHeight="1" s="101"/>
    <row r="278" ht="18" customHeight="1" s="101"/>
    <row r="279" ht="18" customHeight="1" s="101"/>
    <row r="280" ht="18" customHeight="1" s="101"/>
    <row r="281" ht="18" customHeight="1" s="101"/>
    <row r="282" ht="18" customHeight="1" s="101"/>
    <row r="283" ht="18" customHeight="1" s="101"/>
    <row r="284" ht="18" customHeight="1" s="101"/>
    <row r="285" ht="18" customHeight="1" s="101"/>
    <row r="286" ht="18" customHeight="1" s="101"/>
    <row r="287" ht="18" customHeight="1" s="101"/>
    <row r="288" ht="18" customHeight="1" s="101"/>
    <row r="289" ht="18" customHeight="1" s="101"/>
    <row r="290" ht="18" customHeight="1" s="101"/>
    <row r="291" ht="18" customHeight="1" s="101"/>
    <row r="292" ht="18" customHeight="1" s="101"/>
    <row r="293" ht="18" customHeight="1" s="101"/>
    <row r="294" ht="18" customHeight="1" s="101"/>
    <row r="295" ht="18" customHeight="1" s="101"/>
    <row r="296" ht="18" customHeight="1" s="101"/>
    <row r="297" ht="18" customHeight="1" s="101"/>
    <row r="298" ht="18" customHeight="1" s="101"/>
    <row r="299" ht="18" customHeight="1" s="101"/>
    <row r="300" ht="18" customHeight="1" s="101"/>
    <row r="301" ht="18" customHeight="1" s="101"/>
    <row r="302" ht="18" customHeight="1" s="101"/>
    <row r="303" ht="18" customHeight="1" s="101"/>
    <row r="304" ht="18" customHeight="1" s="101"/>
    <row r="305" ht="18" customHeight="1" s="101"/>
    <row r="306" ht="18" customHeight="1" s="101"/>
    <row r="307" ht="18" customHeight="1" s="101"/>
    <row r="308" ht="18" customHeight="1" s="101"/>
    <row r="309" ht="18" customHeight="1" s="101"/>
    <row r="310" ht="18" customHeight="1" s="101"/>
    <row r="311" ht="18" customHeight="1" s="101"/>
    <row r="312" ht="18" customHeight="1" s="101"/>
    <row r="313" ht="18" customHeight="1" s="101"/>
    <row r="314" ht="18" customHeight="1" s="101"/>
    <row r="315" ht="18" customHeight="1" s="101"/>
    <row r="316" ht="18" customHeight="1" s="101"/>
    <row r="317" ht="18" customHeight="1" s="101"/>
    <row r="318" ht="18" customHeight="1" s="101"/>
    <row r="319" ht="18" customHeight="1" s="101"/>
    <row r="320" ht="18" customHeight="1" s="101"/>
    <row r="321" ht="18" customHeight="1" s="101"/>
    <row r="322" ht="18" customHeight="1" s="101"/>
    <row r="323" ht="18" customHeight="1" s="101"/>
    <row r="324" ht="18" customHeight="1" s="101"/>
    <row r="325" ht="18" customHeight="1" s="101"/>
    <row r="326" ht="18" customHeight="1" s="101"/>
    <row r="327" ht="18" customHeight="1" s="101"/>
    <row r="328" ht="18" customHeight="1" s="101"/>
    <row r="329" ht="18" customHeight="1" s="101"/>
    <row r="330" ht="18" customHeight="1" s="101"/>
    <row r="331" ht="18" customHeight="1" s="101"/>
    <row r="332" ht="18" customHeight="1" s="101"/>
    <row r="333" ht="18" customHeight="1" s="101"/>
    <row r="334" ht="18" customHeight="1" s="101"/>
    <row r="335" ht="18" customHeight="1" s="101"/>
    <row r="336" ht="18" customHeight="1" s="101"/>
    <row r="337" ht="18" customHeight="1" s="101"/>
    <row r="338" ht="18" customHeight="1" s="101"/>
    <row r="339" ht="18" customHeight="1" s="101"/>
    <row r="340" ht="18" customHeight="1" s="101"/>
    <row r="341" ht="18" customHeight="1" s="101"/>
    <row r="342" ht="18" customHeight="1" s="101"/>
    <row r="343" ht="18" customHeight="1" s="101"/>
    <row r="344" ht="18" customHeight="1" s="101"/>
    <row r="345" ht="18" customHeight="1" s="101"/>
    <row r="346" ht="18" customHeight="1" s="101"/>
    <row r="347" ht="18" customHeight="1" s="101"/>
    <row r="348" ht="18" customHeight="1" s="101"/>
    <row r="349" ht="18" customHeight="1" s="101"/>
    <row r="350" ht="18" customHeight="1" s="101"/>
    <row r="351" ht="18" customHeight="1" s="101"/>
    <row r="352" ht="18" customHeight="1" s="101"/>
    <row r="353" ht="18" customHeight="1" s="101"/>
    <row r="354" ht="18" customHeight="1" s="101"/>
    <row r="355" ht="18" customHeight="1" s="101"/>
    <row r="356" ht="18" customHeight="1" s="101"/>
    <row r="357" ht="18" customHeight="1" s="101"/>
    <row r="358" ht="18" customHeight="1" s="101"/>
    <row r="359" ht="18" customHeight="1" s="101"/>
    <row r="360" ht="18" customHeight="1" s="101"/>
    <row r="361" ht="18" customHeight="1" s="101"/>
    <row r="362" ht="18" customHeight="1" s="101"/>
    <row r="363" ht="18" customHeight="1" s="101"/>
    <row r="364" ht="18" customHeight="1" s="101"/>
    <row r="365" ht="18" customHeight="1" s="101"/>
    <row r="366" ht="18" customHeight="1" s="101"/>
    <row r="367" ht="18" customHeight="1" s="101"/>
    <row r="368" ht="18" customHeight="1" s="101"/>
    <row r="369" ht="18" customHeight="1" s="101"/>
    <row r="370" ht="18" customHeight="1" s="101"/>
    <row r="371" ht="18" customHeight="1" s="101"/>
    <row r="372" ht="18" customHeight="1" s="101"/>
    <row r="373" ht="18" customHeight="1" s="101"/>
    <row r="374" ht="18" customHeight="1" s="101"/>
    <row r="375" ht="18" customHeight="1" s="101"/>
    <row r="376" ht="18" customHeight="1" s="101"/>
    <row r="377" ht="18" customHeight="1" s="101"/>
    <row r="378" ht="18" customHeight="1" s="101"/>
    <row r="379" ht="18" customHeight="1" s="101"/>
    <row r="380" ht="18" customHeight="1" s="101"/>
    <row r="381" ht="18" customHeight="1" s="101"/>
    <row r="382" ht="18" customHeight="1" s="101"/>
    <row r="383" ht="18" customHeight="1" s="101"/>
    <row r="384" ht="18" customHeight="1" s="101"/>
    <row r="385" ht="18" customHeight="1" s="101"/>
    <row r="386" ht="18" customHeight="1" s="101"/>
    <row r="387" ht="18" customHeight="1" s="101"/>
    <row r="388" ht="18" customHeight="1" s="101"/>
    <row r="389" ht="18" customHeight="1" s="101"/>
    <row r="390" ht="18" customHeight="1" s="101"/>
    <row r="391" ht="18" customHeight="1" s="101"/>
    <row r="392" ht="18" customHeight="1" s="101"/>
    <row r="393" ht="18" customHeight="1" s="101"/>
    <row r="394" ht="18" customHeight="1" s="101"/>
    <row r="395" ht="18" customHeight="1" s="101"/>
    <row r="396" ht="18" customHeight="1" s="101"/>
    <row r="397" ht="18" customHeight="1" s="101"/>
    <row r="398" ht="18" customHeight="1" s="101"/>
    <row r="399" ht="18" customHeight="1" s="101"/>
    <row r="400" ht="18" customHeight="1" s="101"/>
    <row r="401" ht="18" customHeight="1" s="101"/>
    <row r="402" ht="18" customHeight="1" s="101"/>
    <row r="403" ht="18" customHeight="1" s="101"/>
    <row r="404" ht="18" customHeight="1" s="101"/>
    <row r="405" ht="18" customHeight="1" s="101"/>
    <row r="406" ht="18" customHeight="1" s="101"/>
    <row r="407" ht="18" customHeight="1" s="101"/>
    <row r="408" ht="18" customHeight="1" s="101"/>
    <row r="409" ht="18" customHeight="1" s="101"/>
    <row r="410" ht="18" customHeight="1" s="101"/>
    <row r="411" ht="18" customHeight="1" s="101"/>
    <row r="412" ht="18" customHeight="1" s="101"/>
    <row r="413" ht="18" customHeight="1" s="101"/>
    <row r="414" ht="18" customHeight="1" s="101"/>
    <row r="415" ht="18" customHeight="1" s="101"/>
    <row r="416" ht="18" customHeight="1" s="101"/>
    <row r="417" ht="18" customHeight="1" s="101"/>
    <row r="418" ht="18" customHeight="1" s="101"/>
    <row r="419" ht="18" customHeight="1" s="101"/>
    <row r="420" ht="18" customHeight="1" s="101"/>
    <row r="421" ht="18" customHeight="1" s="101"/>
    <row r="422" ht="18" customHeight="1" s="101"/>
    <row r="423" ht="18" customHeight="1" s="101"/>
    <row r="424" ht="18" customHeight="1" s="101"/>
    <row r="425" ht="18" customHeight="1" s="101"/>
    <row r="426" ht="18" customHeight="1" s="101"/>
    <row r="427" ht="18" customHeight="1" s="101"/>
    <row r="428" ht="18" customHeight="1" s="101"/>
    <row r="429" ht="18" customHeight="1" s="101"/>
    <row r="430" ht="18" customHeight="1" s="101"/>
    <row r="431" ht="18" customHeight="1" s="101"/>
    <row r="432" ht="18" customHeight="1" s="101"/>
    <row r="433" ht="18" customHeight="1" s="101"/>
    <row r="434" ht="18" customHeight="1" s="101"/>
    <row r="435" ht="18" customHeight="1" s="101"/>
    <row r="436" ht="18" customHeight="1" s="101"/>
    <row r="437" ht="18" customHeight="1" s="101"/>
    <row r="438" ht="18" customHeight="1" s="101"/>
    <row r="439" ht="18" customHeight="1" s="101"/>
    <row r="440" ht="18" customHeight="1" s="101"/>
    <row r="441" ht="18" customHeight="1" s="101"/>
    <row r="442" ht="18" customHeight="1" s="101"/>
    <row r="443" ht="18" customHeight="1" s="101"/>
    <row r="444" ht="18" customHeight="1" s="101"/>
    <row r="445" ht="18" customHeight="1" s="101"/>
    <row r="446" ht="18" customHeight="1" s="101"/>
    <row r="447" ht="18" customHeight="1" s="101"/>
    <row r="448" ht="18" customHeight="1" s="101"/>
    <row r="449" ht="18" customHeight="1" s="101"/>
    <row r="450" ht="18" customHeight="1" s="101"/>
    <row r="451" ht="18" customHeight="1" s="101"/>
    <row r="452" ht="18" customHeight="1" s="101"/>
    <row r="453" ht="18" customHeight="1" s="101"/>
    <row r="454" ht="18" customHeight="1" s="101"/>
    <row r="455" ht="18" customHeight="1" s="101"/>
    <row r="456" ht="18" customHeight="1" s="101"/>
    <row r="457" ht="18" customHeight="1" s="101"/>
    <row r="458" ht="18" customHeight="1" s="101"/>
    <row r="459" ht="18" customHeight="1" s="101"/>
    <row r="460" ht="18" customHeight="1" s="101"/>
    <row r="461" ht="18" customHeight="1" s="101"/>
    <row r="462" ht="18" customHeight="1" s="101"/>
    <row r="463" ht="18" customHeight="1" s="101"/>
    <row r="464" ht="18" customHeight="1" s="101"/>
    <row r="465" ht="18" customHeight="1" s="101"/>
    <row r="466" ht="18" customHeight="1" s="101"/>
    <row r="467" ht="18" customHeight="1" s="101"/>
    <row r="468" ht="18" customHeight="1" s="101"/>
    <row r="469" ht="18" customHeight="1" s="101"/>
    <row r="470" ht="18" customHeight="1" s="101"/>
    <row r="471" ht="18" customHeight="1" s="101"/>
    <row r="472" ht="18" customHeight="1" s="101"/>
    <row r="473" ht="18" customHeight="1" s="101"/>
    <row r="474" ht="18" customHeight="1" s="101"/>
    <row r="475" ht="18" customHeight="1" s="101"/>
    <row r="476" ht="18" customHeight="1" s="101"/>
    <row r="477" ht="18" customHeight="1" s="101"/>
    <row r="478" ht="18" customHeight="1" s="101"/>
    <row r="479" ht="18" customHeight="1" s="101"/>
    <row r="480" ht="18" customHeight="1" s="101"/>
    <row r="481" ht="18" customHeight="1" s="101"/>
    <row r="482" ht="18" customHeight="1" s="101"/>
    <row r="483" ht="18" customHeight="1" s="101"/>
    <row r="484" ht="18" customHeight="1" s="101"/>
    <row r="485" ht="18" customHeight="1" s="101"/>
    <row r="486" ht="18" customHeight="1" s="101"/>
    <row r="487" ht="18" customHeight="1" s="101"/>
    <row r="488" ht="18" customHeight="1" s="101"/>
    <row r="489" ht="18" customHeight="1" s="101"/>
    <row r="490" ht="18" customHeight="1" s="101"/>
    <row r="491" ht="18" customHeight="1" s="101"/>
    <row r="492" ht="18" customHeight="1" s="101"/>
    <row r="493" ht="18" customHeight="1" s="101"/>
    <row r="494" ht="18" customHeight="1" s="101"/>
    <row r="495" ht="18" customHeight="1" s="101"/>
    <row r="496" ht="18" customHeight="1" s="101"/>
    <row r="497" ht="18" customHeight="1" s="101"/>
    <row r="498" ht="18" customHeight="1" s="101"/>
    <row r="499" ht="18" customHeight="1" s="101"/>
    <row r="500" ht="18" customHeight="1" s="101"/>
    <row r="501" ht="18" customHeight="1" s="101"/>
    <row r="502" ht="18" customHeight="1" s="101"/>
    <row r="503" ht="18" customHeight="1" s="101"/>
    <row r="504" ht="18" customHeight="1" s="101"/>
    <row r="505" ht="18" customHeight="1" s="101"/>
    <row r="506" ht="18" customHeight="1" s="101"/>
    <row r="507" ht="18" customHeight="1" s="101"/>
    <row r="508" ht="18" customHeight="1" s="101"/>
    <row r="509" ht="18" customHeight="1" s="101"/>
    <row r="510" ht="18" customHeight="1" s="101"/>
    <row r="511" ht="18" customHeight="1" s="101"/>
    <row r="512" ht="18" customHeight="1" s="101"/>
    <row r="513" ht="18" customHeight="1" s="101"/>
    <row r="514" ht="18" customHeight="1" s="101"/>
    <row r="515" ht="18" customHeight="1" s="101"/>
    <row r="516" ht="18" customHeight="1" s="101"/>
    <row r="517" ht="18" customHeight="1" s="101"/>
    <row r="518" ht="18" customHeight="1" s="101"/>
    <row r="519" ht="18" customHeight="1" s="101"/>
    <row r="520" ht="18" customHeight="1" s="101"/>
    <row r="521" ht="18" customHeight="1" s="101"/>
    <row r="522" ht="18" customHeight="1" s="101"/>
    <row r="523" ht="18" customHeight="1" s="101"/>
    <row r="524" ht="18" customHeight="1" s="101"/>
    <row r="525" ht="18" customHeight="1" s="101"/>
    <row r="526" ht="18" customHeight="1" s="101"/>
    <row r="527" ht="18" customHeight="1" s="101"/>
    <row r="528" ht="18" customHeight="1" s="101"/>
    <row r="529" ht="18" customHeight="1" s="101"/>
    <row r="530" ht="18" customHeight="1" s="101"/>
    <row r="531" ht="18" customHeight="1" s="101"/>
    <row r="532" ht="18" customHeight="1" s="101"/>
    <row r="533" ht="18" customHeight="1" s="101"/>
    <row r="534" ht="18" customHeight="1" s="101"/>
    <row r="535" ht="18" customHeight="1" s="101"/>
    <row r="536" ht="18" customHeight="1" s="101"/>
    <row r="537" ht="18" customHeight="1" s="101"/>
    <row r="538" ht="18" customHeight="1" s="101"/>
    <row r="539" ht="18" customHeight="1" s="101"/>
    <row r="540" ht="18" customHeight="1" s="101"/>
    <row r="541" ht="18" customHeight="1" s="101"/>
    <row r="542" ht="18" customHeight="1" s="101"/>
    <row r="543" ht="18" customHeight="1" s="101"/>
    <row r="544" ht="18" customHeight="1" s="101"/>
    <row r="545" ht="18" customHeight="1" s="101"/>
    <row r="546" ht="18" customHeight="1" s="101"/>
    <row r="547" ht="18" customHeight="1" s="101"/>
    <row r="548" ht="18" customHeight="1" s="101"/>
    <row r="549" ht="18" customHeight="1" s="101"/>
    <row r="550" ht="18" customHeight="1" s="101"/>
    <row r="551" ht="18" customHeight="1" s="101"/>
    <row r="552" ht="18" customHeight="1" s="101"/>
    <row r="553" ht="18" customHeight="1" s="101"/>
    <row r="554" ht="18" customHeight="1" s="101"/>
    <row r="555" ht="18" customHeight="1" s="101"/>
    <row r="556" ht="18" customHeight="1" s="101"/>
    <row r="557" ht="18" customHeight="1" s="101"/>
    <row r="558" ht="18" customHeight="1" s="101"/>
    <row r="559" ht="18" customHeight="1" s="101"/>
    <row r="560" ht="18" customHeight="1" s="101"/>
    <row r="561" ht="18" customHeight="1" s="101"/>
    <row r="562" ht="18" customHeight="1" s="101"/>
    <row r="563" ht="18" customHeight="1" s="101"/>
    <row r="564" ht="18" customHeight="1" s="101"/>
    <row r="565" ht="18" customHeight="1" s="101"/>
    <row r="566" ht="18" customHeight="1" s="101"/>
    <row r="567" ht="18" customHeight="1" s="101"/>
    <row r="568" ht="18" customHeight="1" s="101"/>
    <row r="569" ht="18" customHeight="1" s="101"/>
    <row r="570" ht="18" customHeight="1" s="101"/>
    <row r="571" ht="18" customHeight="1" s="101"/>
    <row r="572" ht="18" customHeight="1" s="101"/>
    <row r="573" ht="18" customHeight="1" s="101"/>
    <row r="574" ht="18" customHeight="1" s="101"/>
    <row r="575" ht="18" customHeight="1" s="101"/>
    <row r="576" ht="18" customHeight="1" s="101"/>
    <row r="577" ht="18" customHeight="1" s="101"/>
    <row r="578" ht="18" customHeight="1" s="101"/>
    <row r="579" ht="18" customHeight="1" s="101"/>
    <row r="580" ht="18" customHeight="1" s="101"/>
    <row r="581" ht="18" customHeight="1" s="101"/>
    <row r="582" ht="18" customHeight="1" s="101"/>
    <row r="583" ht="18" customHeight="1" s="101"/>
    <row r="584" ht="18" customHeight="1" s="101"/>
    <row r="585" ht="18" customHeight="1" s="101"/>
    <row r="586" ht="18" customHeight="1" s="101"/>
    <row r="587" ht="18" customHeight="1" s="101"/>
    <row r="588" ht="18" customHeight="1" s="101"/>
    <row r="589" ht="18" customHeight="1" s="101"/>
    <row r="590" ht="18" customHeight="1" s="101"/>
    <row r="591" ht="18" customHeight="1" s="101"/>
    <row r="592" ht="18" customHeight="1" s="101"/>
    <row r="593" ht="18" customHeight="1" s="101"/>
    <row r="594" ht="18" customHeight="1" s="101"/>
    <row r="595" ht="18" customHeight="1" s="101"/>
    <row r="596" ht="18" customHeight="1" s="101"/>
    <row r="597" ht="18" customHeight="1" s="101"/>
    <row r="598" ht="18" customHeight="1" s="101"/>
    <row r="599" ht="18" customHeight="1" s="101"/>
    <row r="600" ht="18" customHeight="1" s="101"/>
    <row r="601" ht="18" customHeight="1" s="101"/>
    <row r="602" ht="18" customHeight="1" s="101"/>
    <row r="603" ht="18" customHeight="1" s="101"/>
    <row r="604" ht="18" customHeight="1" s="101"/>
    <row r="605" ht="18" customHeight="1" s="101"/>
    <row r="606" ht="18" customHeight="1" s="101"/>
    <row r="607" ht="18" customHeight="1" s="101"/>
    <row r="608" ht="18" customHeight="1" s="101"/>
    <row r="609" ht="18" customHeight="1" s="101"/>
    <row r="610" ht="18" customHeight="1" s="101"/>
    <row r="611" ht="18" customHeight="1" s="101"/>
    <row r="612" ht="18" customHeight="1" s="101"/>
    <row r="613" ht="18" customHeight="1" s="101"/>
    <row r="614" ht="18" customHeight="1" s="101"/>
    <row r="615" ht="18" customHeight="1" s="101"/>
    <row r="616" ht="18" customHeight="1" s="101"/>
    <row r="617" ht="18" customHeight="1" s="101"/>
    <row r="618" ht="18" customHeight="1" s="101"/>
    <row r="619" ht="18" customHeight="1" s="101"/>
    <row r="620" ht="18" customHeight="1" s="101"/>
    <row r="621" ht="18" customHeight="1" s="101"/>
    <row r="622" ht="18" customHeight="1" s="101"/>
    <row r="623" ht="18" customHeight="1" s="101"/>
    <row r="624" ht="18" customHeight="1" s="101"/>
    <row r="625" ht="18" customHeight="1" s="101"/>
    <row r="626" ht="18" customHeight="1" s="101"/>
    <row r="627" ht="18" customHeight="1" s="101"/>
    <row r="628" ht="18" customHeight="1" s="101"/>
    <row r="629" ht="18" customHeight="1" s="101"/>
    <row r="630" ht="18" customHeight="1" s="101"/>
    <row r="631" ht="18" customHeight="1" s="101"/>
    <row r="632" ht="18" customHeight="1" s="101"/>
    <row r="633" ht="18" customHeight="1" s="101"/>
    <row r="634" ht="18" customHeight="1" s="101"/>
    <row r="635" ht="18" customHeight="1" s="101"/>
    <row r="636" ht="18" customHeight="1" s="101"/>
    <row r="637" ht="18" customHeight="1" s="101"/>
    <row r="638" ht="18" customHeight="1" s="101"/>
    <row r="639" ht="18" customHeight="1" s="101"/>
    <row r="640" ht="18" customHeight="1" s="101"/>
    <row r="641" ht="18" customHeight="1" s="101"/>
    <row r="642" ht="18" customHeight="1" s="101"/>
    <row r="643" ht="18" customHeight="1" s="101"/>
    <row r="644" ht="18" customHeight="1" s="101"/>
    <row r="645" ht="18" customHeight="1" s="101"/>
    <row r="646" ht="18" customHeight="1" s="101"/>
    <row r="647" ht="18" customHeight="1" s="101"/>
    <row r="648" ht="18" customHeight="1" s="101"/>
    <row r="649" ht="18" customHeight="1" s="101"/>
    <row r="650" ht="18" customHeight="1" s="101"/>
    <row r="651" ht="18" customHeight="1" s="101"/>
    <row r="652" ht="18" customHeight="1" s="101"/>
    <row r="653" ht="18" customHeight="1" s="101"/>
    <row r="654" ht="18" customHeight="1" s="101"/>
    <row r="655" ht="18" customHeight="1" s="101"/>
    <row r="656" ht="18" customHeight="1" s="101"/>
    <row r="657" ht="18" customHeight="1" s="101"/>
    <row r="658" ht="18" customHeight="1" s="101"/>
    <row r="659" ht="18" customHeight="1" s="101"/>
    <row r="660" ht="18" customHeight="1" s="101"/>
    <row r="661" ht="18" customHeight="1" s="101"/>
    <row r="662" ht="18" customHeight="1" s="101"/>
    <row r="663" ht="18" customHeight="1" s="101"/>
    <row r="664" ht="18" customHeight="1" s="101"/>
    <row r="665" ht="18" customHeight="1" s="101"/>
    <row r="666" ht="18" customHeight="1" s="101"/>
    <row r="667" ht="18" customHeight="1" s="101"/>
    <row r="668" ht="18" customHeight="1" s="101"/>
    <row r="669" ht="18" customHeight="1" s="101"/>
    <row r="670" ht="18" customHeight="1" s="101"/>
    <row r="671" ht="18" customHeight="1" s="101"/>
    <row r="672" ht="18" customHeight="1" s="101"/>
    <row r="673" ht="18" customHeight="1" s="101"/>
    <row r="674" ht="18" customHeight="1" s="101"/>
    <row r="675" ht="18" customHeight="1" s="101"/>
    <row r="676" ht="18" customHeight="1" s="101"/>
    <row r="677" ht="18" customHeight="1" s="101"/>
    <row r="678" ht="18" customHeight="1" s="101"/>
    <row r="679" ht="18" customHeight="1" s="101"/>
    <row r="680" ht="18" customHeight="1" s="101"/>
    <row r="681" ht="18" customHeight="1" s="101"/>
    <row r="682" ht="18" customHeight="1" s="101"/>
    <row r="683" ht="18" customHeight="1" s="101"/>
    <row r="684" ht="18" customHeight="1" s="101"/>
    <row r="685" ht="18" customHeight="1" s="101"/>
    <row r="686" ht="18" customHeight="1" s="101"/>
    <row r="687" ht="18" customHeight="1" s="101"/>
    <row r="688" ht="18" customHeight="1" s="101"/>
    <row r="689" ht="18" customHeight="1" s="101"/>
    <row r="690" ht="18" customHeight="1" s="101"/>
    <row r="691" ht="18" customHeight="1" s="101"/>
    <row r="692" ht="18" customHeight="1" s="101"/>
    <row r="693" ht="18" customHeight="1" s="101"/>
    <row r="694" ht="18" customHeight="1" s="101"/>
    <row r="695" ht="18" customHeight="1" s="101"/>
    <row r="696" ht="18" customHeight="1" s="101"/>
    <row r="697" ht="18" customHeight="1" s="101"/>
    <row r="698" ht="18" customHeight="1" s="101"/>
    <row r="699" ht="18" customHeight="1" s="101"/>
    <row r="700" ht="18" customHeight="1" s="101"/>
    <row r="701" ht="18" customHeight="1" s="101"/>
    <row r="702" ht="18" customHeight="1" s="101"/>
    <row r="703" ht="18" customHeight="1" s="101"/>
    <row r="704" ht="18" customHeight="1" s="101"/>
    <row r="705" ht="18" customHeight="1" s="101"/>
    <row r="706" ht="18" customHeight="1" s="101"/>
    <row r="707" ht="18" customHeight="1" s="101"/>
    <row r="708" ht="18" customHeight="1" s="101"/>
    <row r="709" ht="18" customHeight="1" s="101"/>
    <row r="710" ht="18" customHeight="1" s="101"/>
    <row r="711" ht="18" customHeight="1" s="101"/>
    <row r="712" ht="18" customHeight="1" s="101"/>
    <row r="713" ht="18" customHeight="1" s="101"/>
    <row r="714" ht="18" customHeight="1" s="101"/>
    <row r="715" ht="18" customHeight="1" s="101"/>
    <row r="716" ht="18" customHeight="1" s="101"/>
    <row r="717" ht="18" customHeight="1" s="101"/>
    <row r="718" ht="18" customHeight="1" s="101"/>
    <row r="719" ht="18" customHeight="1" s="101"/>
    <row r="720" ht="18" customHeight="1" s="101"/>
    <row r="721" ht="18" customHeight="1" s="101"/>
    <row r="722" ht="18" customHeight="1" s="101"/>
    <row r="723" ht="18" customHeight="1" s="101"/>
    <row r="724" ht="18" customHeight="1" s="101"/>
    <row r="725" ht="18" customHeight="1" s="101"/>
    <row r="726" ht="18" customHeight="1" s="101"/>
    <row r="727" ht="18" customHeight="1" s="101"/>
    <row r="728" ht="18" customHeight="1" s="101"/>
    <row r="729" ht="18" customHeight="1" s="101"/>
    <row r="730" ht="18" customHeight="1" s="101"/>
    <row r="731" ht="18" customHeight="1" s="101"/>
    <row r="732" ht="18" customHeight="1" s="101"/>
    <row r="733" ht="18" customHeight="1" s="101"/>
    <row r="734" ht="18" customHeight="1" s="101"/>
    <row r="735" ht="18" customHeight="1" s="101"/>
    <row r="736" ht="18" customHeight="1" s="101"/>
    <row r="737" ht="18" customHeight="1" s="101"/>
    <row r="738" ht="18" customHeight="1" s="101"/>
    <row r="739" ht="18" customHeight="1" s="101"/>
    <row r="740" ht="18" customHeight="1" s="101"/>
    <row r="741" ht="18" customHeight="1" s="101"/>
    <row r="742" ht="18" customHeight="1" s="101"/>
    <row r="743" ht="18" customHeight="1" s="101"/>
    <row r="744" ht="18" customHeight="1" s="101"/>
    <row r="745" ht="18" customHeight="1" s="101"/>
    <row r="746" ht="18" customHeight="1" s="101"/>
    <row r="747" ht="18" customHeight="1" s="101"/>
    <row r="748" ht="18" customHeight="1" s="101"/>
    <row r="749" ht="18" customHeight="1" s="101"/>
    <row r="750" ht="18" customHeight="1" s="101"/>
    <row r="751" ht="18" customHeight="1" s="101"/>
    <row r="752" ht="18" customHeight="1" s="101"/>
    <row r="753" ht="18" customHeight="1" s="101"/>
    <row r="754" ht="18" customHeight="1" s="101"/>
    <row r="755" ht="18" customHeight="1" s="101"/>
    <row r="756" ht="18" customHeight="1" s="101"/>
    <row r="757" ht="18" customHeight="1" s="101"/>
    <row r="758" ht="18" customHeight="1" s="101"/>
    <row r="759" ht="18" customHeight="1" s="101"/>
    <row r="760" ht="18" customHeight="1" s="101"/>
    <row r="761" ht="18" customHeight="1" s="101"/>
    <row r="762" ht="18" customHeight="1" s="101"/>
    <row r="763" ht="18" customHeight="1" s="101"/>
    <row r="764" ht="18" customHeight="1" s="101"/>
    <row r="765" ht="18" customHeight="1" s="101"/>
    <row r="766" ht="18" customHeight="1" s="101"/>
    <row r="767" ht="18" customHeight="1" s="101"/>
    <row r="768" ht="18" customHeight="1" s="101"/>
    <row r="769" ht="18" customHeight="1" s="101"/>
    <row r="770" ht="18" customHeight="1" s="101"/>
    <row r="771" ht="18" customHeight="1" s="101"/>
    <row r="772" ht="18" customHeight="1" s="101"/>
    <row r="773" ht="18" customHeight="1" s="101"/>
    <row r="774" ht="18" customHeight="1" s="101"/>
    <row r="775" ht="18" customHeight="1" s="101"/>
    <row r="776" ht="18" customHeight="1" s="101"/>
    <row r="777" ht="18" customHeight="1" s="101"/>
    <row r="778" ht="18" customHeight="1" s="101"/>
    <row r="779" ht="18" customHeight="1" s="101"/>
    <row r="780" ht="18" customHeight="1" s="101"/>
    <row r="781" ht="18" customHeight="1" s="101"/>
    <row r="782" ht="18" customHeight="1" s="101"/>
    <row r="783" ht="18" customHeight="1" s="101"/>
    <row r="784" ht="18" customHeight="1" s="101"/>
    <row r="785" ht="18" customHeight="1" s="101"/>
    <row r="786" ht="18" customHeight="1" s="101"/>
    <row r="787" ht="18" customHeight="1" s="101"/>
    <row r="788" ht="18" customHeight="1" s="101"/>
    <row r="789" ht="18" customHeight="1" s="101"/>
    <row r="790" ht="18" customHeight="1" s="101"/>
    <row r="791" ht="18" customHeight="1" s="101"/>
    <row r="792" ht="18" customHeight="1" s="101"/>
    <row r="793" ht="18" customHeight="1" s="101"/>
    <row r="794" ht="18" customHeight="1" s="101"/>
    <row r="795" ht="18" customHeight="1" s="101"/>
    <row r="796" ht="18" customHeight="1" s="101"/>
    <row r="797" ht="18" customHeight="1" s="101"/>
    <row r="798" ht="18" customHeight="1" s="101"/>
    <row r="799" ht="18" customHeight="1" s="101"/>
    <row r="800" ht="18" customHeight="1" s="101"/>
    <row r="801" ht="18" customHeight="1" s="101"/>
    <row r="802" ht="18" customHeight="1" s="101"/>
    <row r="803" ht="18" customHeight="1" s="101"/>
    <row r="804" ht="18" customHeight="1" s="101"/>
    <row r="805" ht="18" customHeight="1" s="101"/>
    <row r="806" ht="18" customHeight="1" s="101"/>
    <row r="807" ht="18" customHeight="1" s="101"/>
    <row r="808" ht="18" customHeight="1" s="101"/>
    <row r="809" ht="18" customHeight="1" s="101"/>
    <row r="810" ht="18" customHeight="1" s="101"/>
    <row r="811" ht="18" customHeight="1" s="101"/>
    <row r="812" ht="18" customHeight="1" s="101"/>
    <row r="813" ht="18" customHeight="1" s="101"/>
    <row r="814" ht="18" customHeight="1" s="101"/>
    <row r="815" ht="18" customHeight="1" s="101"/>
    <row r="816" ht="18" customHeight="1" s="101"/>
    <row r="817" ht="18" customHeight="1" s="101"/>
    <row r="818" ht="18" customHeight="1" s="101"/>
    <row r="819" ht="18" customHeight="1" s="101"/>
    <row r="820" ht="18" customHeight="1" s="101"/>
    <row r="821" ht="18" customHeight="1" s="101"/>
    <row r="822" ht="18" customHeight="1" s="101"/>
    <row r="823" ht="18" customHeight="1" s="101"/>
    <row r="824" ht="18" customHeight="1" s="101"/>
    <row r="825" ht="18" customHeight="1" s="101"/>
    <row r="826" ht="18" customHeight="1" s="101"/>
    <row r="827" ht="18" customHeight="1" s="101"/>
    <row r="828" ht="18" customHeight="1" s="101"/>
    <row r="829" ht="18" customHeight="1" s="101"/>
    <row r="830" ht="18" customHeight="1" s="101"/>
    <row r="831" ht="18" customHeight="1" s="101"/>
    <row r="832" ht="18" customHeight="1" s="101"/>
    <row r="833" ht="18" customHeight="1" s="101"/>
    <row r="834" ht="18" customHeight="1" s="101"/>
    <row r="835" ht="18" customHeight="1" s="101"/>
    <row r="836" ht="18" customHeight="1" s="101"/>
    <row r="837" ht="18" customHeight="1" s="101"/>
    <row r="838" ht="18" customHeight="1" s="101"/>
    <row r="839" ht="18" customHeight="1" s="101"/>
    <row r="840" ht="18" customHeight="1" s="101"/>
    <row r="841" ht="18" customHeight="1" s="101"/>
    <row r="842" ht="18" customHeight="1" s="101"/>
    <row r="843" ht="18" customHeight="1" s="101"/>
    <row r="844" ht="18" customHeight="1" s="101"/>
    <row r="845" ht="18" customHeight="1" s="101"/>
    <row r="846" ht="18" customHeight="1" s="101"/>
    <row r="847" ht="18" customHeight="1" s="101"/>
    <row r="848" ht="18" customHeight="1" s="101"/>
    <row r="849" ht="18" customHeight="1" s="101"/>
    <row r="850" ht="18" customHeight="1" s="101"/>
    <row r="851" ht="18" customHeight="1" s="101"/>
    <row r="852" ht="18" customHeight="1" s="101"/>
    <row r="853" ht="18" customHeight="1" s="101"/>
    <row r="854" ht="18" customHeight="1" s="101"/>
    <row r="855" ht="18" customHeight="1" s="101"/>
    <row r="856" ht="18" customHeight="1" s="101"/>
    <row r="857" ht="18" customHeight="1" s="101"/>
    <row r="858" ht="18" customHeight="1" s="101"/>
    <row r="859" ht="18" customHeight="1" s="101"/>
    <row r="860" ht="18" customHeight="1" s="101"/>
    <row r="861" ht="18" customHeight="1" s="101"/>
    <row r="862" ht="18" customHeight="1" s="101"/>
    <row r="863" ht="18" customHeight="1" s="101"/>
    <row r="864" ht="18" customHeight="1" s="101"/>
    <row r="865" ht="18" customHeight="1" s="101"/>
    <row r="866" ht="18" customHeight="1" s="101"/>
    <row r="867" ht="18" customHeight="1" s="101"/>
    <row r="868" ht="18" customHeight="1" s="101"/>
    <row r="869" ht="18" customHeight="1" s="101"/>
    <row r="870" ht="18" customHeight="1" s="101"/>
    <row r="871" ht="18" customHeight="1" s="101"/>
    <row r="872" ht="18" customHeight="1" s="101"/>
    <row r="873" ht="18" customHeight="1" s="101"/>
    <row r="874" ht="18" customHeight="1" s="101"/>
    <row r="875" ht="18" customHeight="1" s="101"/>
    <row r="876" ht="18" customHeight="1" s="101"/>
    <row r="877" ht="18" customHeight="1" s="101"/>
    <row r="878" ht="18" customHeight="1" s="101"/>
    <row r="879" ht="18" customHeight="1" s="101"/>
    <row r="880" ht="18" customHeight="1" s="101"/>
    <row r="881" ht="18" customHeight="1" s="101"/>
    <row r="882" ht="18" customHeight="1" s="101"/>
    <row r="883" ht="18" customHeight="1" s="101"/>
    <row r="884" ht="18" customHeight="1" s="101"/>
    <row r="885" ht="18" customHeight="1" s="101"/>
    <row r="886" ht="18" customHeight="1" s="101"/>
    <row r="887" ht="18" customHeight="1" s="101"/>
    <row r="888" ht="18" customHeight="1" s="101"/>
    <row r="889" ht="18" customHeight="1" s="101"/>
    <row r="890" ht="18" customHeight="1" s="101"/>
    <row r="891" ht="18" customHeight="1" s="101"/>
    <row r="892" ht="18" customHeight="1" s="101"/>
    <row r="893" ht="18" customHeight="1" s="101"/>
    <row r="894" ht="18" customHeight="1" s="101"/>
    <row r="895" ht="18" customHeight="1" s="101"/>
    <row r="896" ht="18" customHeight="1" s="101"/>
    <row r="897" ht="18" customHeight="1" s="101"/>
    <row r="898" ht="18" customHeight="1" s="101"/>
    <row r="899" ht="18" customHeight="1" s="101"/>
    <row r="900" ht="18" customHeight="1" s="101"/>
    <row r="901" ht="18" customHeight="1" s="101"/>
    <row r="902" ht="18" customHeight="1" s="101"/>
    <row r="903" ht="18" customHeight="1" s="101"/>
    <row r="904" ht="18" customHeight="1" s="101"/>
    <row r="905" ht="18" customHeight="1" s="101"/>
    <row r="906" ht="18" customHeight="1" s="101"/>
    <row r="907" ht="18" customHeight="1" s="101"/>
    <row r="908" ht="18" customHeight="1" s="101"/>
    <row r="909" ht="18" customHeight="1" s="101"/>
    <row r="910" ht="18" customHeight="1" s="101"/>
    <row r="911" ht="18" customHeight="1" s="101"/>
    <row r="912" ht="18" customHeight="1" s="101"/>
    <row r="913" ht="18" customHeight="1" s="101"/>
    <row r="914" ht="18" customHeight="1" s="101"/>
    <row r="915" ht="18" customHeight="1" s="101"/>
    <row r="916" ht="18" customHeight="1" s="101"/>
    <row r="917" ht="18" customHeight="1" s="101"/>
    <row r="918" ht="18" customHeight="1" s="101"/>
    <row r="919" ht="18" customHeight="1" s="101"/>
    <row r="920" ht="18" customHeight="1" s="101"/>
    <row r="921" ht="18" customHeight="1" s="101"/>
    <row r="922" ht="18" customHeight="1" s="101"/>
    <row r="923" ht="18" customHeight="1" s="101"/>
    <row r="924" ht="18" customHeight="1" s="101"/>
    <row r="925" ht="18" customHeight="1" s="101"/>
    <row r="926" ht="18" customHeight="1" s="101"/>
    <row r="927" ht="18" customHeight="1" s="101"/>
    <row r="928" ht="18" customHeight="1" s="101"/>
    <row r="929" ht="18" customHeight="1" s="101"/>
    <row r="930" ht="18" customHeight="1" s="101"/>
    <row r="931" ht="18" customHeight="1" s="101"/>
    <row r="932" ht="18" customHeight="1" s="101"/>
    <row r="933" ht="18" customHeight="1" s="101"/>
    <row r="934" ht="18" customHeight="1" s="101"/>
    <row r="935" ht="18" customHeight="1" s="101"/>
    <row r="936" ht="18" customHeight="1" s="101"/>
    <row r="937" ht="18" customHeight="1" s="101"/>
    <row r="938" ht="18" customHeight="1" s="101"/>
    <row r="939" ht="18" customHeight="1" s="101"/>
    <row r="940" ht="18" customHeight="1" s="101"/>
    <row r="941" ht="18" customHeight="1" s="101"/>
    <row r="942" ht="18" customHeight="1" s="101"/>
    <row r="943" ht="18" customHeight="1" s="101"/>
    <row r="944" ht="18" customHeight="1" s="101"/>
    <row r="945" ht="18" customHeight="1" s="101"/>
    <row r="946" ht="18" customHeight="1" s="101"/>
    <row r="947" ht="18" customHeight="1" s="101"/>
    <row r="948" ht="18" customHeight="1" s="101"/>
    <row r="949" ht="18" customHeight="1" s="101"/>
    <row r="950" ht="18" customHeight="1" s="101"/>
    <row r="951" ht="18" customHeight="1" s="101"/>
    <row r="952" ht="18" customHeight="1" s="101"/>
    <row r="953" ht="18" customHeight="1" s="101"/>
    <row r="954" ht="18" customHeight="1" s="101"/>
    <row r="955" ht="18" customHeight="1" s="101"/>
    <row r="956" ht="18" customHeight="1" s="101"/>
    <row r="957" ht="18" customHeight="1" s="101"/>
    <row r="958" ht="18" customHeight="1" s="101"/>
    <row r="959" ht="18" customHeight="1" s="101"/>
    <row r="960" ht="18" customHeight="1" s="101"/>
    <row r="961" ht="18" customHeight="1" s="101"/>
    <row r="962" ht="18" customHeight="1" s="101"/>
    <row r="963" ht="18" customHeight="1" s="101"/>
    <row r="964" ht="18" customHeight="1" s="101"/>
    <row r="965" ht="18" customHeight="1" s="101"/>
    <row r="966" ht="18" customHeight="1" s="101"/>
    <row r="967" ht="18" customHeight="1" s="101"/>
    <row r="968" ht="18" customHeight="1" s="101"/>
    <row r="969" ht="18" customHeight="1" s="101"/>
    <row r="970" ht="18" customHeight="1" s="101"/>
    <row r="971" ht="18" customHeight="1" s="101"/>
    <row r="972" ht="18" customHeight="1" s="101"/>
    <row r="973" ht="18" customHeight="1" s="101"/>
    <row r="974" ht="18" customHeight="1" s="101"/>
    <row r="975" ht="18" customHeight="1" s="101"/>
    <row r="976" ht="18" customHeight="1" s="101"/>
    <row r="977" ht="18" customHeight="1" s="101"/>
    <row r="978" ht="18" customHeight="1" s="101"/>
    <row r="979" ht="18" customHeight="1" s="101"/>
    <row r="980" ht="18" customHeight="1" s="101"/>
    <row r="981" ht="18" customHeight="1" s="101"/>
    <row r="982" ht="18" customHeight="1" s="101"/>
    <row r="983" ht="18" customHeight="1" s="101"/>
    <row r="984" ht="18" customHeight="1" s="101"/>
    <row r="985" ht="18" customHeight="1" s="101"/>
    <row r="986" ht="18" customHeight="1" s="101"/>
    <row r="987" ht="18" customHeight="1" s="101"/>
    <row r="988" ht="18" customHeight="1" s="101"/>
    <row r="989" ht="18" customHeight="1" s="101"/>
    <row r="990" ht="18" customHeight="1" s="101"/>
    <row r="991" ht="18" customHeight="1" s="101"/>
    <row r="992" ht="18" customHeight="1" s="101"/>
    <row r="993" ht="18" customHeight="1" s="101"/>
    <row r="994" ht="18" customHeight="1" s="101"/>
    <row r="995" ht="18" customHeight="1" s="101"/>
    <row r="996" ht="18" customHeight="1" s="101"/>
    <row r="997" ht="18" customHeight="1" s="101"/>
    <row r="998" ht="18" customHeight="1" s="101"/>
    <row r="999" ht="18" customHeight="1" s="101"/>
  </sheetData>
  <mergeCells count="21">
    <mergeCell ref="E12:F12"/>
    <mergeCell ref="E5:F5"/>
    <mergeCell ref="E14:F14"/>
    <mergeCell ref="E17:F17"/>
    <mergeCell ref="E8:F8"/>
    <mergeCell ref="E4:F4"/>
    <mergeCell ref="E20:F20"/>
    <mergeCell ref="E10:F10"/>
    <mergeCell ref="E19:F19"/>
    <mergeCell ref="E13:F13"/>
    <mergeCell ref="B1:F1"/>
    <mergeCell ref="E9:F9"/>
    <mergeCell ref="E15:F15"/>
    <mergeCell ref="E2:F2"/>
    <mergeCell ref="E11:F11"/>
    <mergeCell ref="A1:A5"/>
    <mergeCell ref="E16:F16"/>
    <mergeCell ref="E7:F7"/>
    <mergeCell ref="A6:F6"/>
    <mergeCell ref="E18:F18"/>
    <mergeCell ref="E3:F3"/>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G35"/>
  <sheetViews>
    <sheetView workbookViewId="0">
      <selection activeCell="A1" sqref="A1"/>
    </sheetView>
  </sheetViews>
  <sheetFormatPr baseColWidth="8" defaultColWidth="12.63" defaultRowHeight="15.75" customHeight="1"/>
  <cols>
    <col width="12.63" customWidth="1" style="101" min="1" max="1"/>
    <col width="18.63" customWidth="1" style="101" min="2" max="2"/>
    <col width="17.63" customWidth="1" style="101" min="3" max="3"/>
    <col width="17" customWidth="1" style="101" min="4" max="4"/>
    <col width="12.13" customWidth="1" style="101" min="5" max="5"/>
    <col width="22.75" customWidth="1" style="101" min="6" max="6"/>
    <col width="15.38" customWidth="1" style="101" min="7" max="20"/>
  </cols>
  <sheetData>
    <row r="1" ht="18" customHeight="1" s="101">
      <c r="A1" s="102" t="n"/>
      <c r="B1" s="115" t="inlineStr">
        <is>
          <t>FICHA DE SECUENCIA</t>
        </is>
      </c>
      <c r="C1" s="104" t="n"/>
      <c r="D1" s="104" t="n"/>
      <c r="E1" s="104" t="n"/>
      <c r="F1" s="105" t="n"/>
    </row>
    <row r="2" ht="18" customHeight="1" s="101">
      <c r="A2" s="106" t="n"/>
      <c r="B2" s="8" t="inlineStr">
        <is>
          <t>Empresa:</t>
        </is>
      </c>
      <c r="C2" s="10" t="inlineStr">
        <is>
          <t>Creco industrias</t>
        </is>
      </c>
      <c r="D2" s="8" t="inlineStr">
        <is>
          <t>Modelo:</t>
        </is>
      </c>
      <c r="E2" s="116" t="inlineStr">
        <is>
          <t>SHORT R1 - EXTERNO</t>
        </is>
      </c>
      <c r="F2" s="109" t="n"/>
    </row>
    <row r="3" ht="18" customHeight="1" s="101">
      <c r="A3" s="106" t="n"/>
      <c r="B3" s="8" t="inlineStr">
        <is>
          <t>Marca:</t>
        </is>
      </c>
      <c r="C3" s="10" t="inlineStr">
        <is>
          <t>Cuadro</t>
        </is>
      </c>
      <c r="D3" s="8" t="inlineStr">
        <is>
          <t>Genero:</t>
        </is>
      </c>
      <c r="E3" s="116" t="inlineStr">
        <is>
          <t xml:space="preserve">CABALLERO </t>
        </is>
      </c>
      <c r="F3" s="109" t="n"/>
    </row>
    <row r="4" ht="18" customHeight="1" s="101">
      <c r="A4" s="106" t="n"/>
      <c r="B4" s="8" t="inlineStr">
        <is>
          <t>Linea o colección:</t>
        </is>
      </c>
      <c r="C4" s="10" t="inlineStr">
        <is>
          <t>R1</t>
        </is>
      </c>
      <c r="D4" s="8" t="inlineStr">
        <is>
          <t>Curva de talla:</t>
        </is>
      </c>
      <c r="E4" s="116" t="inlineStr">
        <is>
          <t>XS-XXL</t>
        </is>
      </c>
      <c r="F4" s="109" t="n"/>
    </row>
    <row r="5">
      <c r="A5" s="110" t="n"/>
      <c r="B5" s="18" t="inlineStr">
        <is>
          <t>Base textil:</t>
        </is>
      </c>
      <c r="C5" s="19" t="inlineStr">
        <is>
          <t>EXPLORE-LYCRA LIGHT</t>
        </is>
      </c>
      <c r="D5" s="18" t="inlineStr">
        <is>
          <t>Descripción:</t>
        </is>
      </c>
      <c r="E5" s="117" t="n"/>
      <c r="F5" s="113" t="n"/>
    </row>
    <row r="6" ht="18" customHeight="1" s="101">
      <c r="A6" s="24" t="inlineStr">
        <is>
          <t>EXTERNO</t>
        </is>
      </c>
      <c r="G6" s="28" t="n"/>
    </row>
    <row r="7">
      <c r="A7" s="26" t="inlineStr">
        <is>
          <t>NRO. DE OP.</t>
        </is>
      </c>
      <c r="B7" s="26" t="inlineStr">
        <is>
          <t>PROCESO</t>
        </is>
      </c>
      <c r="C7" s="30" t="inlineStr">
        <is>
          <t>PIEZAS INVOLUCRADAS</t>
        </is>
      </c>
      <c r="D7" s="26" t="inlineStr">
        <is>
          <t>MAQUINA</t>
        </is>
      </c>
      <c r="E7" s="26" t="inlineStr">
        <is>
          <t>OBSERVACIONES</t>
        </is>
      </c>
      <c r="F7" s="114" t="n"/>
      <c r="G7" s="28" t="n"/>
    </row>
    <row r="8">
      <c r="A8" s="38" t="n">
        <v>1</v>
      </c>
      <c r="B8" s="38" t="inlineStr">
        <is>
          <t>Bolsillos + Delantero</t>
        </is>
      </c>
      <c r="C8" s="38" t="inlineStr">
        <is>
          <t>Confeccionar bolsillos tipo media luna</t>
        </is>
      </c>
      <c r="D8" s="38" t="inlineStr">
        <is>
          <t>Recta</t>
        </is>
      </c>
      <c r="E8" s="118" t="inlineStr">
        <is>
          <t>Como un pantalón clásico. Se unen en recta y voltear para pasar línea recta a 1cm de grosor del borde, colocar tapa de bolsillo y fijar en costado y en la misma línea recta ya realizada al borde de bolsillo anterior 4 cms para evitar que al momento del recorrido en engomadora se corra nuestra linea de bolsillo.</t>
        </is>
      </c>
      <c r="F8" s="114" t="n"/>
      <c r="G8" s="43" t="n"/>
    </row>
    <row r="9">
      <c r="A9" s="38" t="n">
        <v>2</v>
      </c>
      <c r="B9" s="38" t="inlineStr">
        <is>
          <t>Tiro delantero y posterior</t>
        </is>
      </c>
      <c r="C9" s="38" t="inlineStr">
        <is>
          <t>Unión de tiros delantero y posterior</t>
        </is>
      </c>
      <c r="D9" s="38" t="inlineStr">
        <is>
          <t>Overlock</t>
        </is>
      </c>
      <c r="E9" s="118" t="inlineStr">
        <is>
          <t>Curva limpia</t>
        </is>
      </c>
      <c r="F9" s="114" t="n"/>
      <c r="G9" s="43" t="n"/>
    </row>
    <row r="10">
      <c r="A10" s="38" t="n">
        <v>3</v>
      </c>
      <c r="B10" s="38" t="inlineStr">
        <is>
          <t>Bolsillos</t>
        </is>
      </c>
      <c r="C10" s="38" t="inlineStr">
        <is>
          <t>Cerrar bolsillos</t>
        </is>
      </c>
      <c r="D10" s="38" t="inlineStr">
        <is>
          <t>Overlock</t>
        </is>
      </c>
      <c r="E10" s="118" t="inlineStr">
        <is>
          <t>Curva limpia</t>
        </is>
      </c>
      <c r="F10" s="114" t="n"/>
      <c r="G10" s="43" t="n"/>
    </row>
    <row r="11">
      <c r="A11" s="38" t="n">
        <v>4</v>
      </c>
      <c r="B11" s="38" t="inlineStr">
        <is>
          <t>Delantero + Posterior</t>
        </is>
      </c>
      <c r="C11" s="38" t="inlineStr">
        <is>
          <t>Armar abertura tipo polo</t>
        </is>
      </c>
      <c r="D11" s="38" t="inlineStr">
        <is>
          <t>Overlock</t>
        </is>
      </c>
      <c r="E11" s="118" t="inlineStr">
        <is>
          <t>Overlar pestaña de refuerzo por separado en forma de L</t>
        </is>
      </c>
      <c r="F11" s="114" t="n"/>
      <c r="G11" s="43" t="n"/>
    </row>
    <row r="12" ht="62.25" customHeight="1" s="101">
      <c r="A12" s="38" t="n">
        <v>5</v>
      </c>
      <c r="B12" s="38" t="inlineStr">
        <is>
          <t>Laterales, abertura</t>
        </is>
      </c>
      <c r="C12" s="38" t="inlineStr">
        <is>
          <t>Unión lateral con abertura tipo polo</t>
        </is>
      </c>
      <c r="D12" s="38" t="inlineStr">
        <is>
          <t>Recta</t>
        </is>
      </c>
      <c r="E12" s="118" t="inlineStr">
        <is>
          <t>En línea recta cerrar arriba 1 cm y rematar la abertura, doblar a 1 cm 2 veces y hacer recorrido en línea recta. casita tipo polo sus medidas estarán sujetas a abertura por talla</t>
        </is>
      </c>
      <c r="F12" s="114" t="n"/>
      <c r="G12" s="43" t="n"/>
    </row>
    <row r="13" ht="77.25" customHeight="1" s="101">
      <c r="A13" s="38" t="n">
        <v>6</v>
      </c>
      <c r="B13" s="38" t="inlineStr">
        <is>
          <t>Delantero + Posterior</t>
        </is>
      </c>
      <c r="C13" s="38" t="inlineStr">
        <is>
          <t>Cerrar costados</t>
        </is>
      </c>
      <c r="D13" s="38" t="inlineStr">
        <is>
          <t>Overlock</t>
        </is>
      </c>
      <c r="E13" s="118" t="inlineStr">
        <is>
          <t>De arriba hacia abajo cuidando la dirección de las costuras y sellando el inicio de proceso de casita, colocando etiqueta a 3 cm sobre el inicio de casita. De igual manera cerrar el costado izquierdo de abajo hacia arriba para dar simetría a las costuras.</t>
        </is>
      </c>
      <c r="F13" s="114" t="n"/>
      <c r="G13" s="43" t="n"/>
    </row>
    <row r="14">
      <c r="A14" s="38" t="n">
        <v>7</v>
      </c>
      <c r="B14" s="38" t="inlineStr">
        <is>
          <t>Cuerpo</t>
        </is>
      </c>
      <c r="C14" s="38" t="inlineStr">
        <is>
          <t>Cerrar entrepierna</t>
        </is>
      </c>
      <c r="D14" s="38" t="inlineStr">
        <is>
          <t>Overlock</t>
        </is>
      </c>
      <c r="E14" s="118" t="inlineStr">
        <is>
          <t>Alinear costuras de tiro y hacer recorrido de manera uniforme</t>
        </is>
      </c>
      <c r="F14" s="114" t="n"/>
      <c r="G14" s="43" t="n"/>
    </row>
    <row r="15">
      <c r="A15" s="38" t="n">
        <v>8</v>
      </c>
      <c r="B15" s="38" t="inlineStr">
        <is>
          <t>Ruedo short externo</t>
        </is>
      </c>
      <c r="C15" s="38" t="inlineStr">
        <is>
          <t>Ruedo inferior</t>
        </is>
      </c>
      <c r="D15" s="38" t="inlineStr">
        <is>
          <t>Collaretera</t>
        </is>
      </c>
      <c r="E15" s="118" t="inlineStr">
        <is>
          <t>Costura doble aguja a 2 cm de grosor</t>
        </is>
      </c>
      <c r="F15" s="114" t="n"/>
      <c r="G15" s="43" t="n"/>
    </row>
    <row r="16">
      <c r="A16" s="38" t="n">
        <v>1</v>
      </c>
      <c r="B16" s="38" t="inlineStr">
        <is>
          <t>Ensamblado de elástica</t>
        </is>
      </c>
      <c r="C16" s="38" t="inlineStr">
        <is>
          <t>Armado de elástica</t>
        </is>
      </c>
      <c r="D16" s="38" t="inlineStr">
        <is>
          <t>Overlock</t>
        </is>
      </c>
      <c r="E16" s="118" t="inlineStr">
        <is>
          <t>Costura en los extremos de la elásticas. Dejar residuos de cadeneta para mejor acabado.</t>
        </is>
      </c>
      <c r="F16" s="114" t="n"/>
      <c r="G16" s="43" t="n"/>
    </row>
    <row r="17">
      <c r="A17" s="38" t="n">
        <v>2</v>
      </c>
      <c r="B17" s="38" t="inlineStr">
        <is>
          <t>Elástica ensamblado</t>
        </is>
      </c>
      <c r="C17" s="38" t="inlineStr">
        <is>
          <t>Remate de elástica</t>
        </is>
      </c>
      <c r="D17" s="38" t="inlineStr">
        <is>
          <t>Recta</t>
        </is>
      </c>
      <c r="E17" s="118" t="inlineStr">
        <is>
          <t>Cerrar elástica a 1 cm separar líneas para rematar extremos por separado sellando con el residuo de la cadeneta.</t>
        </is>
      </c>
      <c r="F17" s="114" t="n"/>
      <c r="G17" s="43" t="n"/>
    </row>
    <row r="18">
      <c r="A18" s="38" t="n">
        <v>3</v>
      </c>
      <c r="B18" s="38" t="inlineStr">
        <is>
          <t>Short interno + elástica</t>
        </is>
      </c>
      <c r="C18" s="38" t="inlineStr">
        <is>
          <t>Ensamble del short interno</t>
        </is>
      </c>
      <c r="D18" s="38" t="inlineStr">
        <is>
          <t>Overlock</t>
        </is>
      </c>
      <c r="E18" s="118" t="inlineStr">
        <is>
          <t>Alineación precisa, puntos medios de elástica y short, colocar con vista del derecho de la elástica.</t>
        </is>
      </c>
      <c r="F18" s="114" t="n"/>
      <c r="G18" s="43" t="n"/>
    </row>
    <row r="19">
      <c r="A19" s="38" t="n">
        <v>4</v>
      </c>
      <c r="B19" s="38" t="inlineStr">
        <is>
          <t>Pretina externa</t>
        </is>
      </c>
      <c r="C19" s="38" t="inlineStr">
        <is>
          <t>Marcar elástica</t>
        </is>
      </c>
      <c r="D19" s="38" t="inlineStr">
        <is>
          <t>Tiza (a mano)</t>
        </is>
      </c>
      <c r="E19" s="118" t="inlineStr">
        <is>
          <t>Marcar en línea recta superior el contorno de elástica a 1 cm de grosor en todo su contorno.</t>
        </is>
      </c>
      <c r="F19" s="114" t="n"/>
      <c r="G19" s="43" t="n"/>
    </row>
    <row r="20">
      <c r="A20" s="38" t="n">
        <v>5</v>
      </c>
      <c r="B20" s="38" t="inlineStr">
        <is>
          <t>Pretina colocada</t>
        </is>
      </c>
      <c r="C20" s="38" t="inlineStr">
        <is>
          <t>Pespunte superior en pretina</t>
        </is>
      </c>
      <c r="D20" s="38" t="inlineStr">
        <is>
          <t>Engomadora</t>
        </is>
      </c>
      <c r="E20" s="118" t="inlineStr">
        <is>
          <t>Elástico visible 1 cm arriba, doblar 0.5 cms de short externo colocándolo en todo el contorno ya marcado en la elástica. 3 costura en el recorrido,se utilizara elástica de dos tonos ubicando hilos inferiores del color de la elástica y superiores del tono de short externo a confeccionar</t>
        </is>
      </c>
      <c r="F20" s="114" t="n"/>
      <c r="G20" s="43" t="n"/>
    </row>
    <row r="21" ht="58.5" customHeight="1" s="101">
      <c r="A21" s="38" t="n">
        <v>6</v>
      </c>
      <c r="B21" s="38" t="inlineStr">
        <is>
          <t>Pretina colocada</t>
        </is>
      </c>
      <c r="C21" s="38" t="inlineStr">
        <is>
          <t>Remate</t>
        </is>
      </c>
      <c r="D21" s="38" t="inlineStr">
        <is>
          <t>Presilladora</t>
        </is>
      </c>
      <c r="E21" s="118" t="inlineStr">
        <is>
          <t>Dos costuras de remate en terminación de elástica 2 cm (P4) línea horizontal después de 3ra línea de costura de engomadora fijando short interno posterior.</t>
        </is>
      </c>
      <c r="F21" s="114" t="n"/>
      <c r="G21" s="43" t="n"/>
    </row>
    <row r="22" ht="27.75" customHeight="1" s="101">
      <c r="A22" s="38" t="n">
        <v>7</v>
      </c>
      <c r="B22" s="38" t="inlineStr">
        <is>
          <t>Ruedo short externo</t>
        </is>
      </c>
      <c r="C22" s="38" t="inlineStr">
        <is>
          <t>Remate</t>
        </is>
      </c>
      <c r="D22" s="38" t="inlineStr">
        <is>
          <t>Presilla</t>
        </is>
      </c>
      <c r="E22" s="118" t="inlineStr">
        <is>
          <t>Costura para reforzar inicio y terminación de ruedos en línea vertical 2 cm (P3)</t>
        </is>
      </c>
      <c r="F22" s="114" t="n"/>
      <c r="G22" s="43" t="n"/>
    </row>
    <row r="23" ht="159" customHeight="1" s="101">
      <c r="A23" s="60" t="n">
        <v>8</v>
      </c>
      <c r="B23" s="60" t="inlineStr">
        <is>
          <t>Unir etiqueta bordada</t>
        </is>
      </c>
      <c r="C23" s="60" t="inlineStr">
        <is>
          <t xml:space="preserve">Etiqueta bordada + pretina </t>
        </is>
      </c>
      <c r="D23" s="60" t="inlineStr">
        <is>
          <t xml:space="preserve">Recta </t>
        </is>
      </c>
      <c r="E23" s="118" t="inlineStr">
        <is>
          <t xml:space="preserve">La etiqueta R1 debe colocarse con la etiqueta abierta, fijándola primero en la unión entre el short interno y la pretina elástica, asegurando que la costura quede oculta entre el short interno y externo. Luego, se cose todo el contorno interno de la etiqueta por la cara interior de la pretina, manteniéndola siempre abierta. Para finalizar, se baja la etiqueta y se realiza una única costura en la parte inferior, por el lado externo de la pretina. la etiqueta debe quedar alineada con la costura posterior y debe tapar la union de la elastica </t>
        </is>
      </c>
      <c r="F23" s="114" t="n"/>
      <c r="G23" s="43" t="n"/>
    </row>
    <row r="24" ht="18" customHeight="1" s="101">
      <c r="A24" s="38" t="n">
        <v>9</v>
      </c>
      <c r="B24" s="38" t="inlineStr">
        <is>
          <t>Toda la prenda</t>
        </is>
      </c>
      <c r="C24" s="38" t="inlineStr">
        <is>
          <t>Limpieza final y revisión</t>
        </is>
      </c>
      <c r="D24" s="38" t="inlineStr">
        <is>
          <t>Manual</t>
        </is>
      </c>
      <c r="E24" s="118" t="inlineStr">
        <is>
          <t>Corte de hilos y control de calidad</t>
        </is>
      </c>
      <c r="F24" s="114" t="n"/>
      <c r="G24" s="43" t="n"/>
    </row>
    <row r="25" ht="18" customHeight="1" s="101">
      <c r="A25" s="78" t="n"/>
      <c r="B25" s="78" t="n"/>
      <c r="D25" s="78" t="n"/>
      <c r="E25" s="78" t="n"/>
      <c r="F25" s="78" t="n"/>
      <c r="G25" s="62" t="n"/>
    </row>
    <row r="26" ht="18" customHeight="1" s="101">
      <c r="A26" s="76" t="n"/>
      <c r="B26" s="76" t="n"/>
      <c r="D26" s="76" t="n"/>
      <c r="E26" s="76" t="n"/>
      <c r="F26" s="76" t="n"/>
    </row>
    <row r="27" ht="18" customHeight="1" s="101">
      <c r="A27" s="76" t="n"/>
      <c r="B27" s="76" t="n"/>
      <c r="D27" s="76" t="n"/>
      <c r="E27" s="76" t="n"/>
      <c r="F27" s="76" t="n"/>
    </row>
    <row r="28" ht="18" customHeight="1" s="101">
      <c r="A28" s="76" t="n"/>
      <c r="B28" s="76" t="n"/>
      <c r="D28" s="76" t="n"/>
      <c r="E28" s="76" t="n"/>
      <c r="F28" s="76" t="n"/>
    </row>
    <row r="29" ht="18" customHeight="1" s="101">
      <c r="A29" s="76" t="n"/>
      <c r="B29" s="76" t="n"/>
      <c r="D29" s="76" t="n"/>
      <c r="E29" s="76" t="n"/>
      <c r="F29" s="76" t="n"/>
    </row>
    <row r="30" ht="18" customHeight="1" s="101">
      <c r="A30" s="76" t="n"/>
      <c r="B30" s="76" t="n"/>
      <c r="D30" s="76" t="n"/>
      <c r="E30" s="76" t="n"/>
      <c r="F30" s="76" t="n"/>
    </row>
    <row r="31" ht="18" customHeight="1" s="101">
      <c r="A31" s="76" t="n"/>
      <c r="B31" s="76" t="n"/>
      <c r="D31" s="76" t="n"/>
      <c r="E31" s="76" t="n"/>
      <c r="F31" s="76" t="n"/>
    </row>
    <row r="32" ht="18" customHeight="1" s="101">
      <c r="A32" s="76" t="n"/>
      <c r="B32" s="76" t="n"/>
      <c r="D32" s="76" t="n"/>
      <c r="E32" s="76" t="n"/>
      <c r="F32" s="76" t="n"/>
    </row>
    <row r="33" ht="18" customHeight="1" s="101">
      <c r="A33" s="76" t="n"/>
      <c r="B33" s="76" t="n"/>
      <c r="C33" s="76" t="n"/>
      <c r="D33" s="76" t="n"/>
      <c r="E33" s="76" t="n"/>
      <c r="F33" s="76" t="n"/>
    </row>
    <row r="34" ht="18" customHeight="1" s="101">
      <c r="A34" s="76" t="n"/>
      <c r="B34" s="76" t="n"/>
      <c r="C34" s="76" t="n"/>
      <c r="D34" s="76" t="n"/>
      <c r="E34" s="76" t="n"/>
      <c r="F34" s="76" t="n"/>
    </row>
    <row r="35" ht="18" customHeight="1" s="101">
      <c r="A35" s="76" t="n"/>
      <c r="B35" s="76" t="n"/>
      <c r="C35" s="76" t="n"/>
      <c r="D35" s="76" t="n"/>
      <c r="E35" s="76" t="n"/>
      <c r="F35" s="76" t="n"/>
    </row>
    <row r="36" ht="18" customHeight="1" s="101"/>
    <row r="37" ht="18" customHeight="1" s="101"/>
    <row r="38" ht="18" customHeight="1" s="101"/>
    <row r="39" ht="18" customHeight="1" s="101"/>
    <row r="40" ht="18" customHeight="1" s="101"/>
    <row r="41" ht="18" customHeight="1" s="101"/>
    <row r="42" ht="18" customHeight="1" s="101"/>
    <row r="43" ht="18" customHeight="1" s="101"/>
    <row r="44" ht="18" customHeight="1" s="101"/>
    <row r="45" ht="18" customHeight="1" s="101"/>
    <row r="46" ht="18" customHeight="1" s="101"/>
    <row r="47" ht="18" customHeight="1" s="101"/>
    <row r="48" ht="18" customHeight="1" s="101"/>
    <row r="49" ht="18" customHeight="1" s="101"/>
    <row r="50" ht="18" customHeight="1" s="101"/>
    <row r="51" ht="18" customHeight="1" s="101"/>
    <row r="52" ht="18" customHeight="1" s="101"/>
    <row r="53" ht="18" customHeight="1" s="101"/>
    <row r="54" ht="18" customHeight="1" s="101"/>
    <row r="55" ht="18" customHeight="1" s="101"/>
    <row r="56" ht="18" customHeight="1" s="101"/>
    <row r="57" ht="18" customHeight="1" s="101"/>
    <row r="58" ht="18" customHeight="1" s="101"/>
    <row r="59" ht="18" customHeight="1" s="101"/>
    <row r="60" ht="18" customHeight="1" s="101"/>
    <row r="61" ht="18" customHeight="1" s="101"/>
    <row r="62" ht="18" customHeight="1" s="101"/>
    <row r="63" ht="18" customHeight="1" s="101"/>
    <row r="64" ht="18" customHeight="1" s="101"/>
    <row r="65" ht="18" customHeight="1" s="101"/>
    <row r="66" ht="18" customHeight="1" s="101"/>
    <row r="67" ht="18" customHeight="1" s="101"/>
    <row r="68" ht="18" customHeight="1" s="101"/>
    <row r="69" ht="18" customHeight="1" s="101"/>
    <row r="70" ht="18" customHeight="1" s="101"/>
    <row r="71" ht="18" customHeight="1" s="101"/>
    <row r="72" ht="18" customHeight="1" s="101"/>
    <row r="73" ht="18" customHeight="1" s="101"/>
    <row r="74" ht="18" customHeight="1" s="101"/>
    <row r="75" ht="18" customHeight="1" s="101"/>
    <row r="76" ht="18" customHeight="1" s="101"/>
    <row r="77" ht="18" customHeight="1" s="101"/>
    <row r="78" ht="18" customHeight="1" s="101"/>
    <row r="79" ht="18" customHeight="1" s="101"/>
    <row r="80" ht="18" customHeight="1" s="101"/>
    <row r="81" ht="18" customHeight="1" s="101"/>
    <row r="82" ht="18" customHeight="1" s="101"/>
    <row r="83" ht="18" customHeight="1" s="101"/>
    <row r="84" ht="18" customHeight="1" s="101"/>
    <row r="85" ht="18" customHeight="1" s="101"/>
    <row r="86" ht="18" customHeight="1" s="101"/>
    <row r="87" ht="18" customHeight="1" s="101"/>
    <row r="88" ht="18" customHeight="1" s="101"/>
    <row r="89" ht="18" customHeight="1" s="101"/>
    <row r="90" ht="18" customHeight="1" s="101"/>
    <row r="91" ht="18" customHeight="1" s="101"/>
    <row r="92" ht="18" customHeight="1" s="101"/>
    <row r="93" ht="18" customHeight="1" s="101"/>
    <row r="94" ht="18" customHeight="1" s="101"/>
    <row r="95" ht="18" customHeight="1" s="101"/>
    <row r="96" ht="18" customHeight="1" s="101"/>
    <row r="97" ht="18" customHeight="1" s="101"/>
    <row r="98" ht="18" customHeight="1" s="101"/>
    <row r="99" ht="18" customHeight="1" s="101"/>
    <row r="100" ht="18" customHeight="1" s="101"/>
    <row r="101" ht="18" customHeight="1" s="101"/>
    <row r="102" ht="18" customHeight="1" s="101"/>
    <row r="103" ht="18" customHeight="1" s="101"/>
    <row r="104" ht="18" customHeight="1" s="101"/>
    <row r="105" ht="18" customHeight="1" s="101"/>
    <row r="106" ht="18" customHeight="1" s="101"/>
    <row r="107" ht="18" customHeight="1" s="101"/>
    <row r="108" ht="18" customHeight="1" s="101"/>
    <row r="109" ht="18" customHeight="1" s="101"/>
    <row r="110" ht="18" customHeight="1" s="101"/>
    <row r="111" ht="18" customHeight="1" s="101"/>
    <row r="112" ht="18" customHeight="1" s="101"/>
    <row r="113" ht="18" customHeight="1" s="101"/>
    <row r="114" ht="18" customHeight="1" s="101"/>
    <row r="115" ht="18" customHeight="1" s="101"/>
    <row r="116" ht="18" customHeight="1" s="101"/>
    <row r="117" ht="18" customHeight="1" s="101"/>
    <row r="118" ht="18" customHeight="1" s="101"/>
    <row r="119" ht="18" customHeight="1" s="101"/>
    <row r="120" ht="18" customHeight="1" s="101"/>
    <row r="121" ht="18" customHeight="1" s="101"/>
    <row r="122" ht="18" customHeight="1" s="101"/>
    <row r="123" ht="18" customHeight="1" s="101"/>
    <row r="124" ht="18" customHeight="1" s="101"/>
    <row r="125" ht="18" customHeight="1" s="101"/>
    <row r="126" ht="18" customHeight="1" s="101"/>
    <row r="127" ht="18" customHeight="1" s="101"/>
    <row r="128" ht="18" customHeight="1" s="101"/>
    <row r="129" ht="18" customHeight="1" s="101"/>
    <row r="130" ht="18" customHeight="1" s="101"/>
    <row r="131" ht="18" customHeight="1" s="101"/>
    <row r="132" ht="18" customHeight="1" s="101"/>
    <row r="133" ht="18" customHeight="1" s="101"/>
    <row r="134" ht="18" customHeight="1" s="101"/>
    <row r="135" ht="18" customHeight="1" s="101"/>
    <row r="136" ht="18" customHeight="1" s="101"/>
    <row r="137" ht="18" customHeight="1" s="101"/>
    <row r="138" ht="18" customHeight="1" s="101"/>
    <row r="139" ht="18" customHeight="1" s="101"/>
    <row r="140" ht="18" customHeight="1" s="101"/>
    <row r="141" ht="18" customHeight="1" s="101"/>
    <row r="142" ht="18" customHeight="1" s="101"/>
    <row r="143" ht="18" customHeight="1" s="101"/>
    <row r="144" ht="18" customHeight="1" s="101"/>
    <row r="145" ht="18" customHeight="1" s="101"/>
    <row r="146" ht="18" customHeight="1" s="101"/>
    <row r="147" ht="18" customHeight="1" s="101"/>
    <row r="148" ht="18" customHeight="1" s="101"/>
    <row r="149" ht="18" customHeight="1" s="101"/>
    <row r="150" ht="18" customHeight="1" s="101"/>
    <row r="151" ht="18" customHeight="1" s="101"/>
    <row r="152" ht="18" customHeight="1" s="101"/>
    <row r="153" ht="18" customHeight="1" s="101"/>
    <row r="154" ht="18" customHeight="1" s="101"/>
    <row r="155" ht="18" customHeight="1" s="101"/>
    <row r="156" ht="18" customHeight="1" s="101"/>
    <row r="157" ht="18" customHeight="1" s="101"/>
    <row r="158" ht="18" customHeight="1" s="101"/>
    <row r="159" ht="18" customHeight="1" s="101"/>
    <row r="160" ht="18" customHeight="1" s="101"/>
    <row r="161" ht="18" customHeight="1" s="101"/>
    <row r="162" ht="18" customHeight="1" s="101"/>
    <row r="163" ht="18" customHeight="1" s="101"/>
    <row r="164" ht="18" customHeight="1" s="101"/>
    <row r="165" ht="18" customHeight="1" s="101"/>
    <row r="166" ht="18" customHeight="1" s="101"/>
    <row r="167" ht="18" customHeight="1" s="101"/>
    <row r="168" ht="18" customHeight="1" s="101"/>
    <row r="169" ht="18" customHeight="1" s="101"/>
    <row r="170" ht="18" customHeight="1" s="101"/>
    <row r="171" ht="18" customHeight="1" s="101"/>
    <row r="172" ht="18" customHeight="1" s="101"/>
    <row r="173" ht="18" customHeight="1" s="101"/>
    <row r="174" ht="18" customHeight="1" s="101"/>
    <row r="175" ht="18" customHeight="1" s="101"/>
    <row r="176" ht="18" customHeight="1" s="101"/>
    <row r="177" ht="18" customHeight="1" s="101"/>
    <row r="178" ht="18" customHeight="1" s="101"/>
    <row r="179" ht="18" customHeight="1" s="101"/>
    <row r="180" ht="18" customHeight="1" s="101"/>
    <row r="181" ht="18" customHeight="1" s="101"/>
    <row r="182" ht="18" customHeight="1" s="101"/>
    <row r="183" ht="18" customHeight="1" s="101"/>
    <row r="184" ht="18" customHeight="1" s="101"/>
    <row r="185" ht="18" customHeight="1" s="101"/>
    <row r="186" ht="18" customHeight="1" s="101"/>
    <row r="187" ht="18" customHeight="1" s="101"/>
    <row r="188" ht="18" customHeight="1" s="101"/>
    <row r="189" ht="18" customHeight="1" s="101"/>
    <row r="190" ht="18" customHeight="1" s="101"/>
    <row r="191" ht="18" customHeight="1" s="101"/>
    <row r="192" ht="18" customHeight="1" s="101"/>
    <row r="193" ht="18" customHeight="1" s="101"/>
    <row r="194" ht="18" customHeight="1" s="101"/>
    <row r="195" ht="18" customHeight="1" s="101"/>
    <row r="196" ht="18" customHeight="1" s="101"/>
    <row r="197" ht="18" customHeight="1" s="101"/>
    <row r="198" ht="18" customHeight="1" s="101"/>
    <row r="199" ht="18" customHeight="1" s="101"/>
    <row r="200" ht="18" customHeight="1" s="101"/>
    <row r="201" ht="18" customHeight="1" s="101"/>
    <row r="202" ht="18" customHeight="1" s="101"/>
    <row r="203" ht="18" customHeight="1" s="101"/>
    <row r="204" ht="18" customHeight="1" s="101"/>
    <row r="205" ht="18" customHeight="1" s="101"/>
    <row r="206" ht="18" customHeight="1" s="101"/>
    <row r="207" ht="18" customHeight="1" s="101"/>
    <row r="208" ht="18" customHeight="1" s="101"/>
    <row r="209" ht="18" customHeight="1" s="101"/>
    <row r="210" ht="18" customHeight="1" s="101"/>
    <row r="211" ht="18" customHeight="1" s="101"/>
    <row r="212" ht="18" customHeight="1" s="101"/>
    <row r="213" ht="18" customHeight="1" s="101"/>
    <row r="214" ht="18" customHeight="1" s="101"/>
    <row r="215" ht="18" customHeight="1" s="101"/>
    <row r="216" ht="18" customHeight="1" s="101"/>
    <row r="217" ht="18" customHeight="1" s="101"/>
    <row r="218" ht="18" customHeight="1" s="101"/>
    <row r="219" ht="18" customHeight="1" s="101"/>
    <row r="220" ht="18" customHeight="1" s="101"/>
    <row r="221" ht="18" customHeight="1" s="101"/>
    <row r="222" ht="18" customHeight="1" s="101"/>
    <row r="223" ht="18" customHeight="1" s="101"/>
    <row r="224" ht="18" customHeight="1" s="101"/>
    <row r="225" ht="18" customHeight="1" s="101"/>
    <row r="226" ht="18" customHeight="1" s="101"/>
    <row r="227" ht="18" customHeight="1" s="101"/>
    <row r="228" ht="18" customHeight="1" s="101"/>
    <row r="229" ht="18" customHeight="1" s="101"/>
    <row r="230" ht="18" customHeight="1" s="101"/>
    <row r="231" ht="18" customHeight="1" s="101"/>
    <row r="232" ht="18" customHeight="1" s="101"/>
    <row r="233" ht="18" customHeight="1" s="101"/>
    <row r="234" ht="18" customHeight="1" s="101"/>
    <row r="235" ht="18" customHeight="1" s="101"/>
    <row r="236" ht="18" customHeight="1" s="101"/>
    <row r="237" ht="18" customHeight="1" s="101"/>
    <row r="238" ht="18" customHeight="1" s="101"/>
    <row r="239" ht="18" customHeight="1" s="101"/>
    <row r="240" ht="18" customHeight="1" s="101"/>
    <row r="241" ht="18" customHeight="1" s="101"/>
    <row r="242" ht="18" customHeight="1" s="101"/>
    <row r="243" ht="18" customHeight="1" s="101"/>
    <row r="244" ht="18" customHeight="1" s="101"/>
    <row r="245" ht="18" customHeight="1" s="101"/>
    <row r="246" ht="18" customHeight="1" s="101"/>
    <row r="247" ht="18" customHeight="1" s="101"/>
    <row r="248" ht="18" customHeight="1" s="101"/>
    <row r="249" ht="18" customHeight="1" s="101"/>
    <row r="250" ht="18" customHeight="1" s="101"/>
    <row r="251" ht="18" customHeight="1" s="101"/>
    <row r="252" ht="18" customHeight="1" s="101"/>
    <row r="253" ht="18" customHeight="1" s="101"/>
    <row r="254" ht="18" customHeight="1" s="101"/>
    <row r="255" ht="18" customHeight="1" s="101"/>
    <row r="256" ht="18" customHeight="1" s="101"/>
    <row r="257" ht="18" customHeight="1" s="101"/>
    <row r="258" ht="18" customHeight="1" s="101"/>
    <row r="259" ht="18" customHeight="1" s="101"/>
    <row r="260" ht="18" customHeight="1" s="101"/>
    <row r="261" ht="18" customHeight="1" s="101"/>
    <row r="262" ht="18" customHeight="1" s="101"/>
    <row r="263" ht="18" customHeight="1" s="101"/>
    <row r="264" ht="18" customHeight="1" s="101"/>
    <row r="265" ht="18" customHeight="1" s="101"/>
    <row r="266" ht="18" customHeight="1" s="101"/>
    <row r="267" ht="18" customHeight="1" s="101"/>
    <row r="268" ht="18" customHeight="1" s="101"/>
    <row r="269" ht="18" customHeight="1" s="101"/>
    <row r="270" ht="18" customHeight="1" s="101"/>
    <row r="271" ht="18" customHeight="1" s="101"/>
    <row r="272" ht="18" customHeight="1" s="101"/>
    <row r="273" ht="18" customHeight="1" s="101"/>
    <row r="274" ht="18" customHeight="1" s="101"/>
    <row r="275" ht="18" customHeight="1" s="101"/>
    <row r="276" ht="18" customHeight="1" s="101"/>
    <row r="277" ht="18" customHeight="1" s="101"/>
    <row r="278" ht="18" customHeight="1" s="101"/>
    <row r="279" ht="18" customHeight="1" s="101"/>
    <row r="280" ht="18" customHeight="1" s="101"/>
    <row r="281" ht="18" customHeight="1" s="101"/>
    <row r="282" ht="18" customHeight="1" s="101"/>
    <row r="283" ht="18" customHeight="1" s="101"/>
    <row r="284" ht="18" customHeight="1" s="101"/>
    <row r="285" ht="18" customHeight="1" s="101"/>
    <row r="286" ht="18" customHeight="1" s="101"/>
    <row r="287" ht="18" customHeight="1" s="101"/>
    <row r="288" ht="18" customHeight="1" s="101"/>
    <row r="289" ht="18" customHeight="1" s="101"/>
    <row r="290" ht="18" customHeight="1" s="101"/>
    <row r="291" ht="18" customHeight="1" s="101"/>
    <row r="292" ht="18" customHeight="1" s="101"/>
    <row r="293" ht="18" customHeight="1" s="101"/>
    <row r="294" ht="18" customHeight="1" s="101"/>
    <row r="295" ht="18" customHeight="1" s="101"/>
    <row r="296" ht="18" customHeight="1" s="101"/>
    <row r="297" ht="18" customHeight="1" s="101"/>
    <row r="298" ht="18" customHeight="1" s="101"/>
    <row r="299" ht="18" customHeight="1" s="101"/>
    <row r="300" ht="18" customHeight="1" s="101"/>
    <row r="301" ht="18" customHeight="1" s="101"/>
    <row r="302" ht="18" customHeight="1" s="101"/>
    <row r="303" ht="18" customHeight="1" s="101"/>
    <row r="304" ht="18" customHeight="1" s="101"/>
    <row r="305" ht="18" customHeight="1" s="101"/>
    <row r="306" ht="18" customHeight="1" s="101"/>
    <row r="307" ht="18" customHeight="1" s="101"/>
    <row r="308" ht="18" customHeight="1" s="101"/>
    <row r="309" ht="18" customHeight="1" s="101"/>
    <row r="310" ht="18" customHeight="1" s="101"/>
    <row r="311" ht="18" customHeight="1" s="101"/>
    <row r="312" ht="18" customHeight="1" s="101"/>
    <row r="313" ht="18" customHeight="1" s="101"/>
    <row r="314" ht="18" customHeight="1" s="101"/>
    <row r="315" ht="18" customHeight="1" s="101"/>
    <row r="316" ht="18" customHeight="1" s="101"/>
    <row r="317" ht="18" customHeight="1" s="101"/>
    <row r="318" ht="18" customHeight="1" s="101"/>
    <row r="319" ht="18" customHeight="1" s="101"/>
    <row r="320" ht="18" customHeight="1" s="101"/>
    <row r="321" ht="18" customHeight="1" s="101"/>
    <row r="322" ht="18" customHeight="1" s="101"/>
    <row r="323" ht="18" customHeight="1" s="101"/>
    <row r="324" ht="18" customHeight="1" s="101"/>
    <row r="325" ht="18" customHeight="1" s="101"/>
    <row r="326" ht="18" customHeight="1" s="101"/>
    <row r="327" ht="18" customHeight="1" s="101"/>
    <row r="328" ht="18" customHeight="1" s="101"/>
    <row r="329" ht="18" customHeight="1" s="101"/>
    <row r="330" ht="18" customHeight="1" s="101"/>
    <row r="331" ht="18" customHeight="1" s="101"/>
    <row r="332" ht="18" customHeight="1" s="101"/>
    <row r="333" ht="18" customHeight="1" s="101"/>
    <row r="334" ht="18" customHeight="1" s="101"/>
    <row r="335" ht="18" customHeight="1" s="101"/>
    <row r="336" ht="18" customHeight="1" s="101"/>
    <row r="337" ht="18" customHeight="1" s="101"/>
    <row r="338" ht="18" customHeight="1" s="101"/>
    <row r="339" ht="18" customHeight="1" s="101"/>
    <row r="340" ht="18" customHeight="1" s="101"/>
    <row r="341" ht="18" customHeight="1" s="101"/>
    <row r="342" ht="18" customHeight="1" s="101"/>
    <row r="343" ht="18" customHeight="1" s="101"/>
    <row r="344" ht="18" customHeight="1" s="101"/>
    <row r="345" ht="18" customHeight="1" s="101"/>
    <row r="346" ht="18" customHeight="1" s="101"/>
    <row r="347" ht="18" customHeight="1" s="101"/>
    <row r="348" ht="18" customHeight="1" s="101"/>
    <row r="349" ht="18" customHeight="1" s="101"/>
    <row r="350" ht="18" customHeight="1" s="101"/>
    <row r="351" ht="18" customHeight="1" s="101"/>
    <row r="352" ht="18" customHeight="1" s="101"/>
    <row r="353" ht="18" customHeight="1" s="101"/>
    <row r="354" ht="18" customHeight="1" s="101"/>
    <row r="355" ht="18" customHeight="1" s="101"/>
    <row r="356" ht="18" customHeight="1" s="101"/>
    <row r="357" ht="18" customHeight="1" s="101"/>
    <row r="358" ht="18" customHeight="1" s="101"/>
    <row r="359" ht="18" customHeight="1" s="101"/>
    <row r="360" ht="18" customHeight="1" s="101"/>
    <row r="361" ht="18" customHeight="1" s="101"/>
    <row r="362" ht="18" customHeight="1" s="101"/>
    <row r="363" ht="18" customHeight="1" s="101"/>
    <row r="364" ht="18" customHeight="1" s="101"/>
    <row r="365" ht="18" customHeight="1" s="101"/>
    <row r="366" ht="18" customHeight="1" s="101"/>
    <row r="367" ht="18" customHeight="1" s="101"/>
    <row r="368" ht="18" customHeight="1" s="101"/>
    <row r="369" ht="18" customHeight="1" s="101"/>
    <row r="370" ht="18" customHeight="1" s="101"/>
    <row r="371" ht="18" customHeight="1" s="101"/>
    <row r="372" ht="18" customHeight="1" s="101"/>
    <row r="373" ht="18" customHeight="1" s="101"/>
    <row r="374" ht="18" customHeight="1" s="101"/>
    <row r="375" ht="18" customHeight="1" s="101"/>
    <row r="376" ht="18" customHeight="1" s="101"/>
    <row r="377" ht="18" customHeight="1" s="101"/>
    <row r="378" ht="18" customHeight="1" s="101"/>
    <row r="379" ht="18" customHeight="1" s="101"/>
    <row r="380" ht="18" customHeight="1" s="101"/>
    <row r="381" ht="18" customHeight="1" s="101"/>
    <row r="382" ht="18" customHeight="1" s="101"/>
    <row r="383" ht="18" customHeight="1" s="101"/>
    <row r="384" ht="18" customHeight="1" s="101"/>
    <row r="385" ht="18" customHeight="1" s="101"/>
    <row r="386" ht="18" customHeight="1" s="101"/>
    <row r="387" ht="18" customHeight="1" s="101"/>
    <row r="388" ht="18" customHeight="1" s="101"/>
    <row r="389" ht="18" customHeight="1" s="101"/>
    <row r="390" ht="18" customHeight="1" s="101"/>
    <row r="391" ht="18" customHeight="1" s="101"/>
    <row r="392" ht="18" customHeight="1" s="101"/>
    <row r="393" ht="18" customHeight="1" s="101"/>
    <row r="394" ht="18" customHeight="1" s="101"/>
    <row r="395" ht="18" customHeight="1" s="101"/>
    <row r="396" ht="18" customHeight="1" s="101"/>
    <row r="397" ht="18" customHeight="1" s="101"/>
    <row r="398" ht="18" customHeight="1" s="101"/>
    <row r="399" ht="18" customHeight="1" s="101"/>
    <row r="400" ht="18" customHeight="1" s="101"/>
    <row r="401" ht="18" customHeight="1" s="101"/>
    <row r="402" ht="18" customHeight="1" s="101"/>
    <row r="403" ht="18" customHeight="1" s="101"/>
    <row r="404" ht="18" customHeight="1" s="101"/>
    <row r="405" ht="18" customHeight="1" s="101"/>
    <row r="406" ht="18" customHeight="1" s="101"/>
    <row r="407" ht="18" customHeight="1" s="101"/>
    <row r="408" ht="18" customHeight="1" s="101"/>
    <row r="409" ht="18" customHeight="1" s="101"/>
    <row r="410" ht="18" customHeight="1" s="101"/>
    <row r="411" ht="18" customHeight="1" s="101"/>
    <row r="412" ht="18" customHeight="1" s="101"/>
    <row r="413" ht="18" customHeight="1" s="101"/>
    <row r="414" ht="18" customHeight="1" s="101"/>
    <row r="415" ht="18" customHeight="1" s="101"/>
    <row r="416" ht="18" customHeight="1" s="101"/>
    <row r="417" ht="18" customHeight="1" s="101"/>
    <row r="418" ht="18" customHeight="1" s="101"/>
    <row r="419" ht="18" customHeight="1" s="101"/>
    <row r="420" ht="18" customHeight="1" s="101"/>
    <row r="421" ht="18" customHeight="1" s="101"/>
    <row r="422" ht="18" customHeight="1" s="101"/>
    <row r="423" ht="18" customHeight="1" s="101"/>
    <row r="424" ht="18" customHeight="1" s="101"/>
    <row r="425" ht="18" customHeight="1" s="101"/>
    <row r="426" ht="18" customHeight="1" s="101"/>
    <row r="427" ht="18" customHeight="1" s="101"/>
    <row r="428" ht="18" customHeight="1" s="101"/>
    <row r="429" ht="18" customHeight="1" s="101"/>
    <row r="430" ht="18" customHeight="1" s="101"/>
    <row r="431" ht="18" customHeight="1" s="101"/>
    <row r="432" ht="18" customHeight="1" s="101"/>
    <row r="433" ht="18" customHeight="1" s="101"/>
    <row r="434" ht="18" customHeight="1" s="101"/>
    <row r="435" ht="18" customHeight="1" s="101"/>
    <row r="436" ht="18" customHeight="1" s="101"/>
    <row r="437" ht="18" customHeight="1" s="101"/>
    <row r="438" ht="18" customHeight="1" s="101"/>
    <row r="439" ht="18" customHeight="1" s="101"/>
    <row r="440" ht="18" customHeight="1" s="101"/>
    <row r="441" ht="18" customHeight="1" s="101"/>
    <row r="442" ht="18" customHeight="1" s="101"/>
    <row r="443" ht="18" customHeight="1" s="101"/>
    <row r="444" ht="18" customHeight="1" s="101"/>
    <row r="445" ht="18" customHeight="1" s="101"/>
    <row r="446" ht="18" customHeight="1" s="101"/>
    <row r="447" ht="18" customHeight="1" s="101"/>
    <row r="448" ht="18" customHeight="1" s="101"/>
    <row r="449" ht="18" customHeight="1" s="101"/>
    <row r="450" ht="18" customHeight="1" s="101"/>
    <row r="451" ht="18" customHeight="1" s="101"/>
    <row r="452" ht="18" customHeight="1" s="101"/>
    <row r="453" ht="18" customHeight="1" s="101"/>
    <row r="454" ht="18" customHeight="1" s="101"/>
    <row r="455" ht="18" customHeight="1" s="101"/>
    <row r="456" ht="18" customHeight="1" s="101"/>
    <row r="457" ht="18" customHeight="1" s="101"/>
    <row r="458" ht="18" customHeight="1" s="101"/>
    <row r="459" ht="18" customHeight="1" s="101"/>
    <row r="460" ht="18" customHeight="1" s="101"/>
    <row r="461" ht="18" customHeight="1" s="101"/>
    <row r="462" ht="18" customHeight="1" s="101"/>
    <row r="463" ht="18" customHeight="1" s="101"/>
    <row r="464" ht="18" customHeight="1" s="101"/>
    <row r="465" ht="18" customHeight="1" s="101"/>
    <row r="466" ht="18" customHeight="1" s="101"/>
    <row r="467" ht="18" customHeight="1" s="101"/>
    <row r="468" ht="18" customHeight="1" s="101"/>
    <row r="469" ht="18" customHeight="1" s="101"/>
    <row r="470" ht="18" customHeight="1" s="101"/>
    <row r="471" ht="18" customHeight="1" s="101"/>
    <row r="472" ht="18" customHeight="1" s="101"/>
    <row r="473" ht="18" customHeight="1" s="101"/>
    <row r="474" ht="18" customHeight="1" s="101"/>
    <row r="475" ht="18" customHeight="1" s="101"/>
    <row r="476" ht="18" customHeight="1" s="101"/>
    <row r="477" ht="18" customHeight="1" s="101"/>
    <row r="478" ht="18" customHeight="1" s="101"/>
    <row r="479" ht="18" customHeight="1" s="101"/>
    <row r="480" ht="18" customHeight="1" s="101"/>
    <row r="481" ht="18" customHeight="1" s="101"/>
    <row r="482" ht="18" customHeight="1" s="101"/>
    <row r="483" ht="18" customHeight="1" s="101"/>
    <row r="484" ht="18" customHeight="1" s="101"/>
    <row r="485" ht="18" customHeight="1" s="101"/>
    <row r="486" ht="18" customHeight="1" s="101"/>
    <row r="487" ht="18" customHeight="1" s="101"/>
    <row r="488" ht="18" customHeight="1" s="101"/>
    <row r="489" ht="18" customHeight="1" s="101"/>
    <row r="490" ht="18" customHeight="1" s="101"/>
    <row r="491" ht="18" customHeight="1" s="101"/>
    <row r="492" ht="18" customHeight="1" s="101"/>
    <row r="493" ht="18" customHeight="1" s="101"/>
    <row r="494" ht="18" customHeight="1" s="101"/>
    <row r="495" ht="18" customHeight="1" s="101"/>
    <row r="496" ht="18" customHeight="1" s="101"/>
    <row r="497" ht="18" customHeight="1" s="101"/>
    <row r="498" ht="18" customHeight="1" s="101"/>
    <row r="499" ht="18" customHeight="1" s="101"/>
    <row r="500" ht="18" customHeight="1" s="101"/>
    <row r="501" ht="18" customHeight="1" s="101"/>
    <row r="502" ht="18" customHeight="1" s="101"/>
    <row r="503" ht="18" customHeight="1" s="101"/>
    <row r="504" ht="18" customHeight="1" s="101"/>
    <row r="505" ht="18" customHeight="1" s="101"/>
    <row r="506" ht="18" customHeight="1" s="101"/>
    <row r="507" ht="18" customHeight="1" s="101"/>
    <row r="508" ht="18" customHeight="1" s="101"/>
    <row r="509" ht="18" customHeight="1" s="101"/>
    <row r="510" ht="18" customHeight="1" s="101"/>
    <row r="511" ht="18" customHeight="1" s="101"/>
    <row r="512" ht="18" customHeight="1" s="101"/>
    <row r="513" ht="18" customHeight="1" s="101"/>
    <row r="514" ht="18" customHeight="1" s="101"/>
    <row r="515" ht="18" customHeight="1" s="101"/>
    <row r="516" ht="18" customHeight="1" s="101"/>
    <row r="517" ht="18" customHeight="1" s="101"/>
    <row r="518" ht="18" customHeight="1" s="101"/>
    <row r="519" ht="18" customHeight="1" s="101"/>
    <row r="520" ht="18" customHeight="1" s="101"/>
    <row r="521" ht="18" customHeight="1" s="101"/>
    <row r="522" ht="18" customHeight="1" s="101"/>
    <row r="523" ht="18" customHeight="1" s="101"/>
    <row r="524" ht="18" customHeight="1" s="101"/>
    <row r="525" ht="18" customHeight="1" s="101"/>
    <row r="526" ht="18" customHeight="1" s="101"/>
    <row r="527" ht="18" customHeight="1" s="101"/>
    <row r="528" ht="18" customHeight="1" s="101"/>
    <row r="529" ht="18" customHeight="1" s="101"/>
    <row r="530" ht="18" customHeight="1" s="101"/>
    <row r="531" ht="18" customHeight="1" s="101"/>
    <row r="532" ht="18" customHeight="1" s="101"/>
    <row r="533" ht="18" customHeight="1" s="101"/>
    <row r="534" ht="18" customHeight="1" s="101"/>
    <row r="535" ht="18" customHeight="1" s="101"/>
    <row r="536" ht="18" customHeight="1" s="101"/>
    <row r="537" ht="18" customHeight="1" s="101"/>
    <row r="538" ht="18" customHeight="1" s="101"/>
    <row r="539" ht="18" customHeight="1" s="101"/>
    <row r="540" ht="18" customHeight="1" s="101"/>
    <row r="541" ht="18" customHeight="1" s="101"/>
    <row r="542" ht="18" customHeight="1" s="101"/>
    <row r="543" ht="18" customHeight="1" s="101"/>
    <row r="544" ht="18" customHeight="1" s="101"/>
    <row r="545" ht="18" customHeight="1" s="101"/>
    <row r="546" ht="18" customHeight="1" s="101"/>
    <row r="547" ht="18" customHeight="1" s="101"/>
    <row r="548" ht="18" customHeight="1" s="101"/>
    <row r="549" ht="18" customHeight="1" s="101"/>
    <row r="550" ht="18" customHeight="1" s="101"/>
    <row r="551" ht="18" customHeight="1" s="101"/>
    <row r="552" ht="18" customHeight="1" s="101"/>
    <row r="553" ht="18" customHeight="1" s="101"/>
    <row r="554" ht="18" customHeight="1" s="101"/>
    <row r="555" ht="18" customHeight="1" s="101"/>
    <row r="556" ht="18" customHeight="1" s="101"/>
    <row r="557" ht="18" customHeight="1" s="101"/>
    <row r="558" ht="18" customHeight="1" s="101"/>
    <row r="559" ht="18" customHeight="1" s="101"/>
    <row r="560" ht="18" customHeight="1" s="101"/>
    <row r="561" ht="18" customHeight="1" s="101"/>
    <row r="562" ht="18" customHeight="1" s="101"/>
    <row r="563" ht="18" customHeight="1" s="101"/>
    <row r="564" ht="18" customHeight="1" s="101"/>
    <row r="565" ht="18" customHeight="1" s="101"/>
    <row r="566" ht="18" customHeight="1" s="101"/>
    <row r="567" ht="18" customHeight="1" s="101"/>
    <row r="568" ht="18" customHeight="1" s="101"/>
    <row r="569" ht="18" customHeight="1" s="101"/>
    <row r="570" ht="18" customHeight="1" s="101"/>
    <row r="571" ht="18" customHeight="1" s="101"/>
    <row r="572" ht="18" customHeight="1" s="101"/>
    <row r="573" ht="18" customHeight="1" s="101"/>
    <row r="574" ht="18" customHeight="1" s="101"/>
    <row r="575" ht="18" customHeight="1" s="101"/>
    <row r="576" ht="18" customHeight="1" s="101"/>
    <row r="577" ht="18" customHeight="1" s="101"/>
    <row r="578" ht="18" customHeight="1" s="101"/>
    <row r="579" ht="18" customHeight="1" s="101"/>
    <row r="580" ht="18" customHeight="1" s="101"/>
    <row r="581" ht="18" customHeight="1" s="101"/>
    <row r="582" ht="18" customHeight="1" s="101"/>
    <row r="583" ht="18" customHeight="1" s="101"/>
    <row r="584" ht="18" customHeight="1" s="101"/>
    <row r="585" ht="18" customHeight="1" s="101"/>
    <row r="586" ht="18" customHeight="1" s="101"/>
    <row r="587" ht="18" customHeight="1" s="101"/>
    <row r="588" ht="18" customHeight="1" s="101"/>
    <row r="589" ht="18" customHeight="1" s="101"/>
    <row r="590" ht="18" customHeight="1" s="101"/>
    <row r="591" ht="18" customHeight="1" s="101"/>
    <row r="592" ht="18" customHeight="1" s="101"/>
    <row r="593" ht="18" customHeight="1" s="101"/>
    <row r="594" ht="18" customHeight="1" s="101"/>
    <row r="595" ht="18" customHeight="1" s="101"/>
    <row r="596" ht="18" customHeight="1" s="101"/>
    <row r="597" ht="18" customHeight="1" s="101"/>
    <row r="598" ht="18" customHeight="1" s="101"/>
    <row r="599" ht="18" customHeight="1" s="101"/>
    <row r="600" ht="18" customHeight="1" s="101"/>
    <row r="601" ht="18" customHeight="1" s="101"/>
    <row r="602" ht="18" customHeight="1" s="101"/>
    <row r="603" ht="18" customHeight="1" s="101"/>
    <row r="604" ht="18" customHeight="1" s="101"/>
    <row r="605" ht="18" customHeight="1" s="101"/>
    <row r="606" ht="18" customHeight="1" s="101"/>
    <row r="607" ht="18" customHeight="1" s="101"/>
    <row r="608" ht="18" customHeight="1" s="101"/>
    <row r="609" ht="18" customHeight="1" s="101"/>
    <row r="610" ht="18" customHeight="1" s="101"/>
    <row r="611" ht="18" customHeight="1" s="101"/>
    <row r="612" ht="18" customHeight="1" s="101"/>
    <row r="613" ht="18" customHeight="1" s="101"/>
    <row r="614" ht="18" customHeight="1" s="101"/>
    <row r="615" ht="18" customHeight="1" s="101"/>
    <row r="616" ht="18" customHeight="1" s="101"/>
    <row r="617" ht="18" customHeight="1" s="101"/>
    <row r="618" ht="18" customHeight="1" s="101"/>
    <row r="619" ht="18" customHeight="1" s="101"/>
    <row r="620" ht="18" customHeight="1" s="101"/>
    <row r="621" ht="18" customHeight="1" s="101"/>
    <row r="622" ht="18" customHeight="1" s="101"/>
    <row r="623" ht="18" customHeight="1" s="101"/>
    <row r="624" ht="18" customHeight="1" s="101"/>
    <row r="625" ht="18" customHeight="1" s="101"/>
    <row r="626" ht="18" customHeight="1" s="101"/>
    <row r="627" ht="18" customHeight="1" s="101"/>
    <row r="628" ht="18" customHeight="1" s="101"/>
    <row r="629" ht="18" customHeight="1" s="101"/>
    <row r="630" ht="18" customHeight="1" s="101"/>
    <row r="631" ht="18" customHeight="1" s="101"/>
    <row r="632" ht="18" customHeight="1" s="101"/>
    <row r="633" ht="18" customHeight="1" s="101"/>
    <row r="634" ht="18" customHeight="1" s="101"/>
    <row r="635" ht="18" customHeight="1" s="101"/>
    <row r="636" ht="18" customHeight="1" s="101"/>
    <row r="637" ht="18" customHeight="1" s="101"/>
    <row r="638" ht="18" customHeight="1" s="101"/>
    <row r="639" ht="18" customHeight="1" s="101"/>
    <row r="640" ht="18" customHeight="1" s="101"/>
    <row r="641" ht="18" customHeight="1" s="101"/>
    <row r="642" ht="18" customHeight="1" s="101"/>
    <row r="643" ht="18" customHeight="1" s="101"/>
    <row r="644" ht="18" customHeight="1" s="101"/>
    <row r="645" ht="18" customHeight="1" s="101"/>
    <row r="646" ht="18" customHeight="1" s="101"/>
    <row r="647" ht="18" customHeight="1" s="101"/>
    <row r="648" ht="18" customHeight="1" s="101"/>
    <row r="649" ht="18" customHeight="1" s="101"/>
    <row r="650" ht="18" customHeight="1" s="101"/>
    <row r="651" ht="18" customHeight="1" s="101"/>
    <row r="652" ht="18" customHeight="1" s="101"/>
    <row r="653" ht="18" customHeight="1" s="101"/>
    <row r="654" ht="18" customHeight="1" s="101"/>
    <row r="655" ht="18" customHeight="1" s="101"/>
    <row r="656" ht="18" customHeight="1" s="101"/>
    <row r="657" ht="18" customHeight="1" s="101"/>
    <row r="658" ht="18" customHeight="1" s="101"/>
    <row r="659" ht="18" customHeight="1" s="101"/>
    <row r="660" ht="18" customHeight="1" s="101"/>
    <row r="661" ht="18" customHeight="1" s="101"/>
    <row r="662" ht="18" customHeight="1" s="101"/>
    <row r="663" ht="18" customHeight="1" s="101"/>
    <row r="664" ht="18" customHeight="1" s="101"/>
    <row r="665" ht="18" customHeight="1" s="101"/>
    <row r="666" ht="18" customHeight="1" s="101"/>
    <row r="667" ht="18" customHeight="1" s="101"/>
    <row r="668" ht="18" customHeight="1" s="101"/>
    <row r="669" ht="18" customHeight="1" s="101"/>
    <row r="670" ht="18" customHeight="1" s="101"/>
    <row r="671" ht="18" customHeight="1" s="101"/>
    <row r="672" ht="18" customHeight="1" s="101"/>
    <row r="673" ht="18" customHeight="1" s="101"/>
    <row r="674" ht="18" customHeight="1" s="101"/>
    <row r="675" ht="18" customHeight="1" s="101"/>
    <row r="676" ht="18" customHeight="1" s="101"/>
    <row r="677" ht="18" customHeight="1" s="101"/>
    <row r="678" ht="18" customHeight="1" s="101"/>
    <row r="679" ht="18" customHeight="1" s="101"/>
    <row r="680" ht="18" customHeight="1" s="101"/>
    <row r="681" ht="18" customHeight="1" s="101"/>
    <row r="682" ht="18" customHeight="1" s="101"/>
    <row r="683" ht="18" customHeight="1" s="101"/>
    <row r="684" ht="18" customHeight="1" s="101"/>
    <row r="685" ht="18" customHeight="1" s="101"/>
    <row r="686" ht="18" customHeight="1" s="101"/>
    <row r="687" ht="18" customHeight="1" s="101"/>
    <row r="688" ht="18" customHeight="1" s="101"/>
    <row r="689" ht="18" customHeight="1" s="101"/>
    <row r="690" ht="18" customHeight="1" s="101"/>
    <row r="691" ht="18" customHeight="1" s="101"/>
    <row r="692" ht="18" customHeight="1" s="101"/>
    <row r="693" ht="18" customHeight="1" s="101"/>
    <row r="694" ht="18" customHeight="1" s="101"/>
    <row r="695" ht="18" customHeight="1" s="101"/>
    <row r="696" ht="18" customHeight="1" s="101"/>
    <row r="697" ht="18" customHeight="1" s="101"/>
    <row r="698" ht="18" customHeight="1" s="101"/>
    <row r="699" ht="18" customHeight="1" s="101"/>
    <row r="700" ht="18" customHeight="1" s="101"/>
    <row r="701" ht="18" customHeight="1" s="101"/>
    <row r="702" ht="18" customHeight="1" s="101"/>
    <row r="703" ht="18" customHeight="1" s="101"/>
    <row r="704" ht="18" customHeight="1" s="101"/>
    <row r="705" ht="18" customHeight="1" s="101"/>
    <row r="706" ht="18" customHeight="1" s="101"/>
    <row r="707" ht="18" customHeight="1" s="101"/>
    <row r="708" ht="18" customHeight="1" s="101"/>
    <row r="709" ht="18" customHeight="1" s="101"/>
    <row r="710" ht="18" customHeight="1" s="101"/>
    <row r="711" ht="18" customHeight="1" s="101"/>
    <row r="712" ht="18" customHeight="1" s="101"/>
    <row r="713" ht="18" customHeight="1" s="101"/>
    <row r="714" ht="18" customHeight="1" s="101"/>
    <row r="715" ht="18" customHeight="1" s="101"/>
    <row r="716" ht="18" customHeight="1" s="101"/>
    <row r="717" ht="18" customHeight="1" s="101"/>
    <row r="718" ht="18" customHeight="1" s="101"/>
    <row r="719" ht="18" customHeight="1" s="101"/>
    <row r="720" ht="18" customHeight="1" s="101"/>
    <row r="721" ht="18" customHeight="1" s="101"/>
    <row r="722" ht="18" customHeight="1" s="101"/>
    <row r="723" ht="18" customHeight="1" s="101"/>
    <row r="724" ht="18" customHeight="1" s="101"/>
    <row r="725" ht="18" customHeight="1" s="101"/>
    <row r="726" ht="18" customHeight="1" s="101"/>
    <row r="727" ht="18" customHeight="1" s="101"/>
    <row r="728" ht="18" customHeight="1" s="101"/>
    <row r="729" ht="18" customHeight="1" s="101"/>
    <row r="730" ht="18" customHeight="1" s="101"/>
    <row r="731" ht="18" customHeight="1" s="101"/>
    <row r="732" ht="18" customHeight="1" s="101"/>
    <row r="733" ht="18" customHeight="1" s="101"/>
    <row r="734" ht="18" customHeight="1" s="101"/>
    <row r="735" ht="18" customHeight="1" s="101"/>
    <row r="736" ht="18" customHeight="1" s="101"/>
    <row r="737" ht="18" customHeight="1" s="101"/>
    <row r="738" ht="18" customHeight="1" s="101"/>
    <row r="739" ht="18" customHeight="1" s="101"/>
    <row r="740" ht="18" customHeight="1" s="101"/>
    <row r="741" ht="18" customHeight="1" s="101"/>
    <row r="742" ht="18" customHeight="1" s="101"/>
    <row r="743" ht="18" customHeight="1" s="101"/>
    <row r="744" ht="18" customHeight="1" s="101"/>
    <row r="745" ht="18" customHeight="1" s="101"/>
    <row r="746" ht="18" customHeight="1" s="101"/>
    <row r="747" ht="18" customHeight="1" s="101"/>
    <row r="748" ht="18" customHeight="1" s="101"/>
    <row r="749" ht="18" customHeight="1" s="101"/>
    <row r="750" ht="18" customHeight="1" s="101"/>
    <row r="751" ht="18" customHeight="1" s="101"/>
    <row r="752" ht="18" customHeight="1" s="101"/>
    <row r="753" ht="18" customHeight="1" s="101"/>
    <row r="754" ht="18" customHeight="1" s="101"/>
    <row r="755" ht="18" customHeight="1" s="101"/>
    <row r="756" ht="18" customHeight="1" s="101"/>
    <row r="757" ht="18" customHeight="1" s="101"/>
    <row r="758" ht="18" customHeight="1" s="101"/>
    <row r="759" ht="18" customHeight="1" s="101"/>
    <row r="760" ht="18" customHeight="1" s="101"/>
    <row r="761" ht="18" customHeight="1" s="101"/>
    <row r="762" ht="18" customHeight="1" s="101"/>
    <row r="763" ht="18" customHeight="1" s="101"/>
    <row r="764" ht="18" customHeight="1" s="101"/>
    <row r="765" ht="18" customHeight="1" s="101"/>
    <row r="766" ht="18" customHeight="1" s="101"/>
    <row r="767" ht="18" customHeight="1" s="101"/>
    <row r="768" ht="18" customHeight="1" s="101"/>
    <row r="769" ht="18" customHeight="1" s="101"/>
    <row r="770" ht="18" customHeight="1" s="101"/>
    <row r="771" ht="18" customHeight="1" s="101"/>
    <row r="772" ht="18" customHeight="1" s="101"/>
    <row r="773" ht="18" customHeight="1" s="101"/>
    <row r="774" ht="18" customHeight="1" s="101"/>
    <row r="775" ht="18" customHeight="1" s="101"/>
    <row r="776" ht="18" customHeight="1" s="101"/>
    <row r="777" ht="18" customHeight="1" s="101"/>
    <row r="778" ht="18" customHeight="1" s="101"/>
    <row r="779" ht="18" customHeight="1" s="101"/>
    <row r="780" ht="18" customHeight="1" s="101"/>
    <row r="781" ht="18" customHeight="1" s="101"/>
    <row r="782" ht="18" customHeight="1" s="101"/>
    <row r="783" ht="18" customHeight="1" s="101"/>
    <row r="784" ht="18" customHeight="1" s="101"/>
    <row r="785" ht="18" customHeight="1" s="101"/>
    <row r="786" ht="18" customHeight="1" s="101"/>
    <row r="787" ht="18" customHeight="1" s="101"/>
    <row r="788" ht="18" customHeight="1" s="101"/>
    <row r="789" ht="18" customHeight="1" s="101"/>
    <row r="790" ht="18" customHeight="1" s="101"/>
    <row r="791" ht="18" customHeight="1" s="101"/>
    <row r="792" ht="18" customHeight="1" s="101"/>
    <row r="793" ht="18" customHeight="1" s="101"/>
    <row r="794" ht="18" customHeight="1" s="101"/>
    <row r="795" ht="18" customHeight="1" s="101"/>
    <row r="796" ht="18" customHeight="1" s="101"/>
    <row r="797" ht="18" customHeight="1" s="101"/>
    <row r="798" ht="18" customHeight="1" s="101"/>
    <row r="799" ht="18" customHeight="1" s="101"/>
    <row r="800" ht="18" customHeight="1" s="101"/>
    <row r="801" ht="18" customHeight="1" s="101"/>
    <row r="802" ht="18" customHeight="1" s="101"/>
    <row r="803" ht="18" customHeight="1" s="101"/>
    <row r="804" ht="18" customHeight="1" s="101"/>
    <row r="805" ht="18" customHeight="1" s="101"/>
    <row r="806" ht="18" customHeight="1" s="101"/>
    <row r="807" ht="18" customHeight="1" s="101"/>
    <row r="808" ht="18" customHeight="1" s="101"/>
    <row r="809" ht="18" customHeight="1" s="101"/>
    <row r="810" ht="18" customHeight="1" s="101"/>
    <row r="811" ht="18" customHeight="1" s="101"/>
    <row r="812" ht="18" customHeight="1" s="101"/>
    <row r="813" ht="18" customHeight="1" s="101"/>
    <row r="814" ht="18" customHeight="1" s="101"/>
    <row r="815" ht="18" customHeight="1" s="101"/>
    <row r="816" ht="18" customHeight="1" s="101"/>
    <row r="817" ht="18" customHeight="1" s="101"/>
    <row r="818" ht="18" customHeight="1" s="101"/>
    <row r="819" ht="18" customHeight="1" s="101"/>
    <row r="820" ht="18" customHeight="1" s="101"/>
    <row r="821" ht="18" customHeight="1" s="101"/>
    <row r="822" ht="18" customHeight="1" s="101"/>
    <row r="823" ht="18" customHeight="1" s="101"/>
    <row r="824" ht="18" customHeight="1" s="101"/>
    <row r="825" ht="18" customHeight="1" s="101"/>
    <row r="826" ht="18" customHeight="1" s="101"/>
    <row r="827" ht="18" customHeight="1" s="101"/>
    <row r="828" ht="18" customHeight="1" s="101"/>
    <row r="829" ht="18" customHeight="1" s="101"/>
    <row r="830" ht="18" customHeight="1" s="101"/>
    <row r="831" ht="18" customHeight="1" s="101"/>
    <row r="832" ht="18" customHeight="1" s="101"/>
    <row r="833" ht="18" customHeight="1" s="101"/>
    <row r="834" ht="18" customHeight="1" s="101"/>
    <row r="835" ht="18" customHeight="1" s="101"/>
    <row r="836" ht="18" customHeight="1" s="101"/>
    <row r="837" ht="18" customHeight="1" s="101"/>
    <row r="838" ht="18" customHeight="1" s="101"/>
    <row r="839" ht="18" customHeight="1" s="101"/>
    <row r="840" ht="18" customHeight="1" s="101"/>
    <row r="841" ht="18" customHeight="1" s="101"/>
    <row r="842" ht="18" customHeight="1" s="101"/>
    <row r="843" ht="18" customHeight="1" s="101"/>
    <row r="844" ht="18" customHeight="1" s="101"/>
    <row r="845" ht="18" customHeight="1" s="101"/>
    <row r="846" ht="18" customHeight="1" s="101"/>
    <row r="847" ht="18" customHeight="1" s="101"/>
    <row r="848" ht="18" customHeight="1" s="101"/>
    <row r="849" ht="18" customHeight="1" s="101"/>
    <row r="850" ht="18" customHeight="1" s="101"/>
    <row r="851" ht="18" customHeight="1" s="101"/>
    <row r="852" ht="18" customHeight="1" s="101"/>
    <row r="853" ht="18" customHeight="1" s="101"/>
    <row r="854" ht="18" customHeight="1" s="101"/>
    <row r="855" ht="18" customHeight="1" s="101"/>
    <row r="856" ht="18" customHeight="1" s="101"/>
    <row r="857" ht="18" customHeight="1" s="101"/>
    <row r="858" ht="18" customHeight="1" s="101"/>
    <row r="859" ht="18" customHeight="1" s="101"/>
    <row r="860" ht="18" customHeight="1" s="101"/>
    <row r="861" ht="18" customHeight="1" s="101"/>
    <row r="862" ht="18" customHeight="1" s="101"/>
    <row r="863" ht="18" customHeight="1" s="101"/>
    <row r="864" ht="18" customHeight="1" s="101"/>
    <row r="865" ht="18" customHeight="1" s="101"/>
    <row r="866" ht="18" customHeight="1" s="101"/>
    <row r="867" ht="18" customHeight="1" s="101"/>
    <row r="868" ht="18" customHeight="1" s="101"/>
    <row r="869" ht="18" customHeight="1" s="101"/>
    <row r="870" ht="18" customHeight="1" s="101"/>
    <row r="871" ht="18" customHeight="1" s="101"/>
    <row r="872" ht="18" customHeight="1" s="101"/>
    <row r="873" ht="18" customHeight="1" s="101"/>
    <row r="874" ht="18" customHeight="1" s="101"/>
    <row r="875" ht="18" customHeight="1" s="101"/>
    <row r="876" ht="18" customHeight="1" s="101"/>
    <row r="877" ht="18" customHeight="1" s="101"/>
    <row r="878" ht="18" customHeight="1" s="101"/>
    <row r="879" ht="18" customHeight="1" s="101"/>
    <row r="880" ht="18" customHeight="1" s="101"/>
    <row r="881" ht="18" customHeight="1" s="101"/>
    <row r="882" ht="18" customHeight="1" s="101"/>
    <row r="883" ht="18" customHeight="1" s="101"/>
    <row r="884" ht="18" customHeight="1" s="101"/>
    <row r="885" ht="18" customHeight="1" s="101"/>
    <row r="886" ht="18" customHeight="1" s="101"/>
    <row r="887" ht="18" customHeight="1" s="101"/>
    <row r="888" ht="18" customHeight="1" s="101"/>
    <row r="889" ht="18" customHeight="1" s="101"/>
    <row r="890" ht="18" customHeight="1" s="101"/>
    <row r="891" ht="18" customHeight="1" s="101"/>
    <row r="892" ht="18" customHeight="1" s="101"/>
    <row r="893" ht="18" customHeight="1" s="101"/>
    <row r="894" ht="18" customHeight="1" s="101"/>
    <row r="895" ht="18" customHeight="1" s="101"/>
    <row r="896" ht="18" customHeight="1" s="101"/>
    <row r="897" ht="18" customHeight="1" s="101"/>
    <row r="898" ht="18" customHeight="1" s="101"/>
    <row r="899" ht="18" customHeight="1" s="101"/>
    <row r="900" ht="18" customHeight="1" s="101"/>
    <row r="901" ht="18" customHeight="1" s="101"/>
    <row r="902" ht="18" customHeight="1" s="101"/>
    <row r="903" ht="18" customHeight="1" s="101"/>
    <row r="904" ht="18" customHeight="1" s="101"/>
    <row r="905" ht="18" customHeight="1" s="101"/>
    <row r="906" ht="18" customHeight="1" s="101"/>
    <row r="907" ht="18" customHeight="1" s="101"/>
    <row r="908" ht="18" customHeight="1" s="101"/>
    <row r="909" ht="18" customHeight="1" s="101"/>
    <row r="910" ht="18" customHeight="1" s="101"/>
    <row r="911" ht="18" customHeight="1" s="101"/>
    <row r="912" ht="18" customHeight="1" s="101"/>
    <row r="913" ht="18" customHeight="1" s="101"/>
    <row r="914" ht="18" customHeight="1" s="101"/>
    <row r="915" ht="18" customHeight="1" s="101"/>
    <row r="916" ht="18" customHeight="1" s="101"/>
    <row r="917" ht="18" customHeight="1" s="101"/>
    <row r="918" ht="18" customHeight="1" s="101"/>
    <row r="919" ht="18" customHeight="1" s="101"/>
    <row r="920" ht="18" customHeight="1" s="101"/>
    <row r="921" ht="18" customHeight="1" s="101"/>
    <row r="922" ht="18" customHeight="1" s="101"/>
    <row r="923" ht="18" customHeight="1" s="101"/>
    <row r="924" ht="18" customHeight="1" s="101"/>
    <row r="925" ht="18" customHeight="1" s="101"/>
    <row r="926" ht="18" customHeight="1" s="101"/>
    <row r="927" ht="18" customHeight="1" s="101"/>
    <row r="928" ht="18" customHeight="1" s="101"/>
    <row r="929" ht="18" customHeight="1" s="101"/>
    <row r="930" ht="18" customHeight="1" s="101"/>
    <row r="931" ht="18" customHeight="1" s="101"/>
    <row r="932" ht="18" customHeight="1" s="101"/>
    <row r="933" ht="18" customHeight="1" s="101"/>
    <row r="934" ht="18" customHeight="1" s="101"/>
    <row r="935" ht="18" customHeight="1" s="101"/>
    <row r="936" ht="18" customHeight="1" s="101"/>
    <row r="937" ht="18" customHeight="1" s="101"/>
    <row r="938" ht="18" customHeight="1" s="101"/>
    <row r="939" ht="18" customHeight="1" s="101"/>
    <row r="940" ht="18" customHeight="1" s="101"/>
    <row r="941" ht="18" customHeight="1" s="101"/>
    <row r="942" ht="18" customHeight="1" s="101"/>
    <row r="943" ht="18" customHeight="1" s="101"/>
    <row r="944" ht="18" customHeight="1" s="101"/>
    <row r="945" ht="18" customHeight="1" s="101"/>
    <row r="946" ht="18" customHeight="1" s="101"/>
    <row r="947" ht="18" customHeight="1" s="101"/>
    <row r="948" ht="18" customHeight="1" s="101"/>
    <row r="949" ht="18" customHeight="1" s="101"/>
    <row r="950" ht="18" customHeight="1" s="101"/>
    <row r="951" ht="18" customHeight="1" s="101"/>
    <row r="952" ht="18" customHeight="1" s="101"/>
    <row r="953" ht="18" customHeight="1" s="101"/>
    <row r="954" ht="18" customHeight="1" s="101"/>
    <row r="955" ht="18" customHeight="1" s="101"/>
    <row r="956" ht="18" customHeight="1" s="101"/>
    <row r="957" ht="18" customHeight="1" s="101"/>
    <row r="958" ht="18" customHeight="1" s="101"/>
    <row r="959" ht="18" customHeight="1" s="101"/>
    <row r="960" ht="18" customHeight="1" s="101"/>
    <row r="961" ht="18" customHeight="1" s="101"/>
    <row r="962" ht="18" customHeight="1" s="101"/>
    <row r="963" ht="18" customHeight="1" s="101"/>
    <row r="964" ht="18" customHeight="1" s="101"/>
    <row r="965" ht="18" customHeight="1" s="101"/>
    <row r="966" ht="18" customHeight="1" s="101"/>
    <row r="967" ht="18" customHeight="1" s="101"/>
    <row r="968" ht="18" customHeight="1" s="101"/>
    <row r="969" ht="18" customHeight="1" s="101"/>
    <row r="970" ht="18" customHeight="1" s="101"/>
    <row r="971" ht="18" customHeight="1" s="101"/>
    <row r="972" ht="18" customHeight="1" s="101"/>
    <row r="973" ht="18" customHeight="1" s="101"/>
    <row r="974" ht="18" customHeight="1" s="101"/>
    <row r="975" ht="18" customHeight="1" s="101"/>
    <row r="976" ht="18" customHeight="1" s="101"/>
    <row r="977" ht="18" customHeight="1" s="101"/>
    <row r="978" ht="18" customHeight="1" s="101"/>
    <row r="979" ht="18" customHeight="1" s="101"/>
    <row r="980" ht="18" customHeight="1" s="101"/>
    <row r="981" ht="18" customHeight="1" s="101"/>
    <row r="982" ht="18" customHeight="1" s="101"/>
    <row r="983" ht="18" customHeight="1" s="101"/>
    <row r="984" ht="18" customHeight="1" s="101"/>
    <row r="985" ht="18" customHeight="1" s="101"/>
    <row r="986" ht="18" customHeight="1" s="101"/>
    <row r="987" ht="18" customHeight="1" s="101"/>
    <row r="988" ht="18" customHeight="1" s="101"/>
    <row r="989" ht="18" customHeight="1" s="101"/>
    <row r="990" ht="18" customHeight="1" s="101"/>
    <row r="991" ht="18" customHeight="1" s="101"/>
    <row r="992" ht="18" customHeight="1" s="101"/>
    <row r="993" ht="18" customHeight="1" s="101"/>
    <row r="994" ht="18" customHeight="1" s="101"/>
    <row r="995" ht="18" customHeight="1" s="101"/>
    <row r="996" ht="18" customHeight="1" s="101"/>
    <row r="997" ht="18" customHeight="1" s="101"/>
    <row r="998" ht="18" customHeight="1" s="101"/>
    <row r="999" ht="18" customHeight="1" s="101"/>
  </sheetData>
  <mergeCells count="33">
    <mergeCell ref="E12:F12"/>
    <mergeCell ref="B25:C25"/>
    <mergeCell ref="E24:F24"/>
    <mergeCell ref="E5:F5"/>
    <mergeCell ref="E23:F23"/>
    <mergeCell ref="E14:F14"/>
    <mergeCell ref="B31:C31"/>
    <mergeCell ref="B27:C27"/>
    <mergeCell ref="E17:F17"/>
    <mergeCell ref="E8:F8"/>
    <mergeCell ref="E4:F4"/>
    <mergeCell ref="E20:F20"/>
    <mergeCell ref="E10:F10"/>
    <mergeCell ref="E19:F19"/>
    <mergeCell ref="E13:F13"/>
    <mergeCell ref="B1:F1"/>
    <mergeCell ref="E9:F9"/>
    <mergeCell ref="B29:C29"/>
    <mergeCell ref="E15:F15"/>
    <mergeCell ref="E2:F2"/>
    <mergeCell ref="E11:F11"/>
    <mergeCell ref="B28:C28"/>
    <mergeCell ref="A1:A5"/>
    <mergeCell ref="B30:C30"/>
    <mergeCell ref="E16:F16"/>
    <mergeCell ref="E7:F7"/>
    <mergeCell ref="A6:F6"/>
    <mergeCell ref="B32:C32"/>
    <mergeCell ref="E22:F22"/>
    <mergeCell ref="B26:C26"/>
    <mergeCell ref="E18:F18"/>
    <mergeCell ref="E3:F3"/>
    <mergeCell ref="E21:F21"/>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36"/>
  <sheetViews>
    <sheetView workbookViewId="0">
      <selection activeCell="A1" sqref="A1"/>
    </sheetView>
  </sheetViews>
  <sheetFormatPr baseColWidth="8" defaultColWidth="12.63" defaultRowHeight="15.75" customHeight="1"/>
  <cols>
    <col width="12.63" customWidth="1" style="101" min="1" max="1"/>
    <col width="15.38" customWidth="1" style="101" min="2" max="2"/>
    <col width="19.5" customWidth="1" style="101" min="3" max="3"/>
    <col width="16.13" customWidth="1" style="101" min="4" max="4"/>
    <col width="12.13" customWidth="1" style="101" min="5" max="5"/>
    <col width="18.5" customWidth="1" style="101" min="6" max="6"/>
    <col width="15.38" customWidth="1" style="101" min="7" max="26"/>
  </cols>
  <sheetData>
    <row r="1" ht="18" customHeight="1" s="101">
      <c r="A1" s="102" t="n"/>
      <c r="B1" s="119" t="inlineStr">
        <is>
          <t>FICHA DE PRODUCTO</t>
        </is>
      </c>
      <c r="C1" s="104" t="n"/>
      <c r="D1" s="104" t="n"/>
      <c r="E1" s="104" t="n"/>
      <c r="F1" s="104" t="n"/>
      <c r="G1" s="120" t="n"/>
    </row>
    <row r="2" ht="18" customHeight="1" s="101">
      <c r="A2" s="106" t="n"/>
      <c r="B2" s="8" t="inlineStr">
        <is>
          <t>Empresa:</t>
        </is>
      </c>
      <c r="C2" s="10" t="inlineStr">
        <is>
          <t>Creco industrias</t>
        </is>
      </c>
      <c r="D2" s="8" t="inlineStr">
        <is>
          <t>Modelo:</t>
        </is>
      </c>
      <c r="E2" s="116" t="inlineStr">
        <is>
          <t>RIO</t>
        </is>
      </c>
      <c r="F2" s="108" t="n"/>
      <c r="G2" s="109" t="n"/>
    </row>
    <row r="3" ht="18" customHeight="1" s="101">
      <c r="A3" s="106" t="n"/>
      <c r="B3" s="8" t="inlineStr">
        <is>
          <t>Marca:</t>
        </is>
      </c>
      <c r="C3" s="10" t="inlineStr">
        <is>
          <t>Cuadro</t>
        </is>
      </c>
      <c r="D3" s="8" t="inlineStr">
        <is>
          <t>Genero:</t>
        </is>
      </c>
      <c r="E3" s="116" t="inlineStr">
        <is>
          <t>DAM-CAB-KIDS</t>
        </is>
      </c>
      <c r="F3" s="108" t="n"/>
      <c r="G3" s="109" t="n"/>
    </row>
    <row r="4" ht="18" customHeight="1" s="101">
      <c r="A4" s="106" t="n"/>
      <c r="B4" s="8" t="inlineStr">
        <is>
          <t>Linea o colección:</t>
        </is>
      </c>
      <c r="C4" s="10" t="inlineStr">
        <is>
          <t>Clásicos</t>
        </is>
      </c>
      <c r="D4" s="8" t="inlineStr">
        <is>
          <t>Curva de talla:</t>
        </is>
      </c>
      <c r="E4" s="116" t="inlineStr">
        <is>
          <t>2-14/XS-4XL</t>
        </is>
      </c>
      <c r="F4" s="108" t="n"/>
      <c r="G4" s="109" t="n"/>
    </row>
    <row r="5" ht="18" customHeight="1" s="101">
      <c r="A5" s="110" t="n"/>
      <c r="B5" s="18" t="inlineStr">
        <is>
          <t>Base textil:</t>
        </is>
      </c>
      <c r="C5" s="22" t="inlineStr">
        <is>
          <t>Microfibra</t>
        </is>
      </c>
      <c r="D5" s="18" t="inlineStr">
        <is>
          <t>Descripción:</t>
        </is>
      </c>
      <c r="E5" s="117" t="n"/>
      <c r="F5" s="112" t="n"/>
      <c r="G5" s="113" t="n"/>
    </row>
    <row r="6" ht="18" customHeight="1" s="101"/>
    <row r="7">
      <c r="A7" s="32" t="inlineStr">
        <is>
          <t>NRO. DE OP.</t>
        </is>
      </c>
      <c r="B7" s="32" t="inlineStr">
        <is>
          <t>PROCESO</t>
        </is>
      </c>
      <c r="C7" s="36" t="inlineStr">
        <is>
          <t>PIEZAS INVOLUCRADAS</t>
        </is>
      </c>
      <c r="D7" s="32" t="inlineStr">
        <is>
          <t>MAQUINA</t>
        </is>
      </c>
      <c r="E7" s="32" t="inlineStr">
        <is>
          <t>OBSERVACIONES</t>
        </is>
      </c>
      <c r="F7" s="108" t="n"/>
      <c r="G7" s="114" t="n"/>
      <c r="H7" s="42" t="n"/>
      <c r="I7" s="42" t="n"/>
      <c r="J7" s="42" t="n"/>
      <c r="K7" s="42" t="n"/>
      <c r="L7" s="42" t="n"/>
      <c r="M7" s="42" t="n"/>
      <c r="N7" s="42" t="n"/>
      <c r="O7" s="42" t="n"/>
      <c r="P7" s="42" t="n"/>
      <c r="Q7" s="42" t="n"/>
      <c r="R7" s="42" t="n"/>
      <c r="S7" s="42" t="n"/>
      <c r="T7" s="42" t="n"/>
      <c r="U7" s="42" t="n"/>
      <c r="V7" s="42" t="n"/>
      <c r="W7" s="42" t="n"/>
      <c r="X7" s="42" t="n"/>
      <c r="Y7" s="42" t="n"/>
      <c r="Z7" s="42" t="n"/>
    </row>
    <row r="8">
      <c r="A8" s="47" t="n">
        <v>1</v>
      </c>
      <c r="B8" s="49" t="inlineStr">
        <is>
          <t>Union de sisas con mangas</t>
        </is>
      </c>
      <c r="C8" s="49" t="inlineStr">
        <is>
          <t>Delantero, posterior y mangas</t>
        </is>
      </c>
      <c r="D8" s="49" t="inlineStr">
        <is>
          <t>Overlock</t>
        </is>
      </c>
      <c r="E8" s="49" t="inlineStr">
        <is>
          <t xml:space="preserve">Se unen sisas y mangas delanteras, cuidando el calce correcto de las piezas. Luego se une el cuerpo posterior a la manga </t>
        </is>
      </c>
      <c r="F8" s="108" t="n"/>
      <c r="G8" s="114" t="n"/>
    </row>
    <row r="9" ht="44.25" customHeight="1" s="101">
      <c r="A9" s="47" t="n">
        <v>2</v>
      </c>
      <c r="B9" s="49" t="inlineStr">
        <is>
          <t>Cerrado de capucha</t>
        </is>
      </c>
      <c r="C9" s="47" t="inlineStr">
        <is>
          <t>Capucha</t>
        </is>
      </c>
      <c r="D9" s="49" t="inlineStr">
        <is>
          <t>Overlock</t>
        </is>
      </c>
      <c r="E9" s="47" t="inlineStr">
        <is>
          <t>Cierre de capucha</t>
        </is>
      </c>
      <c r="F9" s="108" t="n"/>
      <c r="G9" s="114" t="n"/>
    </row>
    <row r="10">
      <c r="A10" s="47" t="n">
        <v>3</v>
      </c>
      <c r="B10" s="49" t="inlineStr">
        <is>
          <t>Recubrir sisas y capucha</t>
        </is>
      </c>
      <c r="C10" s="49" t="inlineStr">
        <is>
          <t>Delantero, posterior, mangas y capucha</t>
        </is>
      </c>
      <c r="D10" s="49" t="inlineStr">
        <is>
          <t>Collaretera</t>
        </is>
      </c>
      <c r="E10" s="49" t="inlineStr">
        <is>
          <t>Se recorren en la union de la sisa, mangas y cuerpo en recubridor, se debe tener en cuenta que la caida de la costura debe ir hacia el cuerpo y la union de la overlock debe ir dentro de dicha costura. En la capucha se recubre la unión y se realiza ruedo a 2cm en controno de frente con recubridor.</t>
        </is>
      </c>
      <c r="F10" s="108" t="n"/>
      <c r="G10" s="114" t="n"/>
    </row>
    <row r="11">
      <c r="A11" s="47" t="n">
        <v>4</v>
      </c>
      <c r="B11" s="49" t="inlineStr">
        <is>
          <t>Cierre de mangas y cuerpo con capucha</t>
        </is>
      </c>
      <c r="C11" s="49" t="inlineStr">
        <is>
          <t>Delantero, posterior, mangas y capucha</t>
        </is>
      </c>
      <c r="D11" s="49" t="inlineStr">
        <is>
          <t>Overlock</t>
        </is>
      </c>
      <c r="E11" s="49" t="inlineStr">
        <is>
          <t>Cerrar mangas y cuerpo, del lado derecho colocar etiqueta de agua a 10cm sobre la costura de ruedo de cuerpo (en el caso de ser kids va a 6cm) Cerrar lado izquierdo del cuerpo en setido ruedos a manga. Capucha hacer cruce en el ruedo delantero colocando costura con costura de ruedo y hacer el recorrido de cuello, centrando la mitad de la capucha en la espalda y el delantero.</t>
        </is>
      </c>
      <c r="F11" s="108" t="n"/>
      <c r="G11" s="114" t="n"/>
    </row>
    <row r="12">
      <c r="A12" s="47" t="n">
        <v>5</v>
      </c>
      <c r="B12" s="49" t="inlineStr">
        <is>
          <t>Ruedos</t>
        </is>
      </c>
      <c r="C12" s="47" t="inlineStr">
        <is>
          <t>Cuerpo y mangas</t>
        </is>
      </c>
      <c r="D12" s="49" t="inlineStr">
        <is>
          <t>Collaret de ruedos</t>
        </is>
      </c>
      <c r="E12" s="49" t="inlineStr">
        <is>
          <t>Hacer ruedo de mangas y cuerpos a 2 cm de grosor, costuras en recubridor</t>
        </is>
      </c>
      <c r="F12" s="108" t="n"/>
      <c r="G12" s="114" t="n"/>
    </row>
    <row r="13">
      <c r="A13" s="47" t="n">
        <v>6</v>
      </c>
      <c r="B13" s="49" t="inlineStr">
        <is>
          <t>Fijar cuello</t>
        </is>
      </c>
      <c r="C13" s="47" t="inlineStr">
        <is>
          <t>Cuerpo y mangas</t>
        </is>
      </c>
      <c r="D13" s="49" t="inlineStr">
        <is>
          <t>Collaret para cuellos</t>
        </is>
      </c>
      <c r="E13" s="47" t="inlineStr">
        <is>
          <t>Recubrir contorno de cuello.</t>
        </is>
      </c>
      <c r="F13" s="108" t="n"/>
      <c r="G13" s="114" t="n"/>
    </row>
    <row r="14" ht="18" customHeight="1" s="101">
      <c r="A14" s="76" t="n"/>
      <c r="B14" s="76" t="n"/>
      <c r="C14" s="76" t="n"/>
      <c r="D14" s="76" t="n"/>
      <c r="E14" s="76" t="n"/>
    </row>
    <row r="15" ht="18" customHeight="1" s="101">
      <c r="A15" s="121" t="inlineStr">
        <is>
          <t xml:space="preserve">ESPECIFICACIONES DE COSTURA </t>
        </is>
      </c>
      <c r="B15" s="104" t="n"/>
      <c r="C15" s="104" t="n"/>
      <c r="D15" s="104" t="n"/>
      <c r="E15" s="105" t="n"/>
      <c r="F15" s="76" t="n"/>
    </row>
    <row r="16" ht="18" customHeight="1" s="101">
      <c r="A16" s="122" t="inlineStr">
        <is>
          <t xml:space="preserve">Prensatela </t>
        </is>
      </c>
      <c r="B16" s="123" t="n"/>
      <c r="C16" s="124" t="n"/>
      <c r="D16" s="125" t="n"/>
      <c r="E16" s="126" t="n"/>
      <c r="F16" s="76" t="n"/>
    </row>
    <row r="17" ht="18" customHeight="1" s="101">
      <c r="A17" s="127" t="inlineStr">
        <is>
          <t xml:space="preserve">Tipo de Aguja: </t>
        </is>
      </c>
      <c r="B17" s="114" t="n"/>
      <c r="C17" s="107" t="n"/>
      <c r="D17" s="108" t="n"/>
      <c r="E17" s="109" t="n"/>
      <c r="F17" s="76" t="n"/>
    </row>
    <row r="18" ht="18" customHeight="1" s="101">
      <c r="A18" s="127" t="inlineStr">
        <is>
          <t>Calibre de Aguja</t>
        </is>
      </c>
      <c r="B18" s="114" t="n"/>
      <c r="C18" s="107" t="n"/>
      <c r="D18" s="108" t="n"/>
      <c r="E18" s="109" t="n"/>
      <c r="F18" s="76" t="n"/>
    </row>
    <row r="19" ht="18" customHeight="1" s="101">
      <c r="A19" s="127" t="inlineStr">
        <is>
          <t>Ancho de Puntada (Overlock)</t>
        </is>
      </c>
      <c r="B19" s="114" t="n"/>
      <c r="C19" s="107" t="n"/>
      <c r="D19" s="108" t="n"/>
      <c r="E19" s="109" t="n"/>
      <c r="F19" s="76" t="n"/>
    </row>
    <row r="20" ht="18" customHeight="1" s="101">
      <c r="A20" s="128" t="inlineStr">
        <is>
          <t>Densidad de Puntada:</t>
        </is>
      </c>
      <c r="B20" s="114" t="n"/>
      <c r="C20" s="107" t="n"/>
      <c r="D20" s="108" t="n"/>
      <c r="E20" s="109" t="n"/>
      <c r="F20" s="76" t="n"/>
    </row>
    <row r="21" ht="18" customHeight="1" s="101">
      <c r="A21" s="128" t="inlineStr">
        <is>
          <t>Tensión de Máquina:</t>
        </is>
      </c>
      <c r="B21" s="114" t="n"/>
      <c r="C21" s="107" t="n"/>
      <c r="D21" s="108" t="n"/>
      <c r="E21" s="109" t="n"/>
      <c r="F21" s="76" t="n"/>
    </row>
    <row r="22" ht="18" customHeight="1" s="101">
      <c r="A22" s="129" t="inlineStr">
        <is>
          <t>Tipo de Hilo Recomendado:</t>
        </is>
      </c>
      <c r="B22" s="130" t="n"/>
      <c r="C22" s="131" t="n"/>
      <c r="D22" s="112" t="n"/>
      <c r="E22" s="113" t="n"/>
      <c r="F22" s="76" t="n"/>
    </row>
    <row r="23" ht="18" customHeight="1" s="101">
      <c r="A23" s="76" t="n"/>
      <c r="B23" s="76" t="n"/>
      <c r="D23" s="76" t="n"/>
      <c r="E23" s="76" t="n"/>
      <c r="F23" s="76" t="n"/>
    </row>
    <row r="24" ht="18" customHeight="1" s="101">
      <c r="A24" s="76" t="n"/>
      <c r="B24" s="76" t="n"/>
      <c r="D24" s="76" t="n"/>
      <c r="E24" s="76" t="n"/>
      <c r="F24" s="76" t="n"/>
    </row>
    <row r="25" ht="18" customHeight="1" s="101">
      <c r="A25" s="76" t="n"/>
      <c r="B25" s="76" t="n"/>
      <c r="D25" s="76" t="n"/>
      <c r="E25" s="76" t="n"/>
      <c r="F25" s="76" t="n"/>
    </row>
    <row r="26" ht="18" customHeight="1" s="101">
      <c r="A26" s="76" t="n"/>
      <c r="B26" s="76" t="n"/>
      <c r="D26" s="76" t="n"/>
      <c r="E26" s="76" t="n"/>
      <c r="F26" s="76" t="n"/>
    </row>
    <row r="27" ht="18" customHeight="1" s="101">
      <c r="A27" s="76" t="n"/>
      <c r="B27" s="76" t="n"/>
      <c r="D27" s="76" t="n"/>
      <c r="E27" s="76" t="n"/>
      <c r="F27" s="76" t="n"/>
    </row>
    <row r="28" ht="18" customHeight="1" s="101">
      <c r="A28" s="76" t="n"/>
      <c r="B28" s="76" t="n"/>
      <c r="D28" s="76" t="n"/>
      <c r="E28" s="76" t="n"/>
      <c r="F28" s="76" t="n"/>
    </row>
    <row r="29" ht="18" customHeight="1" s="101">
      <c r="A29" s="76" t="n"/>
      <c r="B29" s="76" t="n"/>
      <c r="D29" s="76" t="n"/>
      <c r="E29" s="76" t="n"/>
      <c r="F29" s="76" t="n"/>
    </row>
    <row r="30" ht="18" customHeight="1" s="101">
      <c r="A30" s="76" t="n"/>
      <c r="B30" s="76" t="n"/>
      <c r="D30" s="76" t="n"/>
      <c r="E30" s="76" t="n"/>
      <c r="F30" s="76" t="n"/>
    </row>
    <row r="31" ht="18" customHeight="1" s="101">
      <c r="A31" s="76" t="n"/>
      <c r="B31" s="76" t="n"/>
      <c r="D31" s="76" t="n"/>
      <c r="E31" s="76" t="n"/>
      <c r="F31" s="76" t="n"/>
    </row>
    <row r="32" ht="18" customHeight="1" s="101">
      <c r="A32" s="76" t="n"/>
      <c r="B32" s="76" t="n"/>
      <c r="D32" s="76" t="n"/>
      <c r="E32" s="76" t="n"/>
      <c r="F32" s="76" t="n"/>
    </row>
    <row r="33" ht="18" customHeight="1" s="101">
      <c r="A33" s="76" t="n"/>
      <c r="B33" s="76" t="n"/>
      <c r="D33" s="76" t="n"/>
      <c r="E33" s="76" t="n"/>
      <c r="F33" s="76" t="n"/>
    </row>
    <row r="34" ht="18" customHeight="1" s="101">
      <c r="A34" s="76" t="n"/>
      <c r="B34" s="76" t="n"/>
      <c r="C34" s="76" t="n"/>
      <c r="D34" s="76" t="n"/>
      <c r="E34" s="76" t="n"/>
      <c r="F34" s="76" t="n"/>
    </row>
    <row r="35" ht="18" customHeight="1" s="101">
      <c r="A35" s="76" t="n"/>
      <c r="B35" s="76" t="n"/>
      <c r="C35" s="76" t="n"/>
      <c r="D35" s="76" t="n"/>
      <c r="E35" s="76" t="n"/>
      <c r="F35" s="76" t="n"/>
    </row>
    <row r="36" ht="18" customHeight="1" s="101">
      <c r="A36" s="76" t="n"/>
      <c r="B36" s="76" t="n"/>
      <c r="C36" s="76" t="n"/>
      <c r="D36" s="76" t="n"/>
      <c r="E36" s="76" t="n"/>
      <c r="F36" s="76" t="n"/>
    </row>
    <row r="37" ht="18" customHeight="1" s="101"/>
    <row r="38" ht="18" customHeight="1" s="101"/>
    <row r="39" ht="18" customHeight="1" s="101"/>
    <row r="40" ht="18" customHeight="1" s="101"/>
    <row r="41" ht="18" customHeight="1" s="101"/>
    <row r="42" ht="18" customHeight="1" s="101"/>
    <row r="43" ht="18" customHeight="1" s="101"/>
    <row r="44" ht="18" customHeight="1" s="101"/>
    <row r="45" ht="18" customHeight="1" s="101"/>
    <row r="46" ht="18" customHeight="1" s="101"/>
    <row r="47" ht="18" customHeight="1" s="101"/>
    <row r="48" ht="18" customHeight="1" s="101"/>
    <row r="49" ht="18" customHeight="1" s="101"/>
    <row r="50" ht="18" customHeight="1" s="101"/>
    <row r="51" ht="18" customHeight="1" s="101"/>
    <row r="52" ht="18" customHeight="1" s="101"/>
    <row r="53" ht="18" customHeight="1" s="101"/>
    <row r="54" ht="18" customHeight="1" s="101"/>
    <row r="55" ht="18" customHeight="1" s="101"/>
    <row r="56" ht="18" customHeight="1" s="101"/>
    <row r="57" ht="18" customHeight="1" s="101"/>
    <row r="58" ht="18" customHeight="1" s="101"/>
    <row r="59" ht="18" customHeight="1" s="101"/>
    <row r="60" ht="18" customHeight="1" s="101"/>
    <row r="61" ht="18" customHeight="1" s="101"/>
    <row r="62" ht="18" customHeight="1" s="101"/>
    <row r="63" ht="18" customHeight="1" s="101"/>
    <row r="64" ht="18" customHeight="1" s="101"/>
    <row r="65" ht="18" customHeight="1" s="101"/>
    <row r="66" ht="18" customHeight="1" s="101"/>
    <row r="67" ht="18" customHeight="1" s="101"/>
    <row r="68" ht="18" customHeight="1" s="101"/>
    <row r="69" ht="18" customHeight="1" s="101"/>
    <row r="70" ht="18" customHeight="1" s="101"/>
    <row r="71" ht="18" customHeight="1" s="101"/>
    <row r="72" ht="18" customHeight="1" s="101"/>
    <row r="73" ht="18" customHeight="1" s="101"/>
    <row r="74" ht="18" customHeight="1" s="101"/>
    <row r="75" ht="18" customHeight="1" s="101"/>
    <row r="76" ht="18" customHeight="1" s="101"/>
    <row r="77" ht="18" customHeight="1" s="101"/>
    <row r="78" ht="18" customHeight="1" s="101"/>
    <row r="79" ht="18" customHeight="1" s="101"/>
    <row r="80" ht="18" customHeight="1" s="101"/>
    <row r="81" ht="18" customHeight="1" s="101"/>
    <row r="82" ht="18" customHeight="1" s="101"/>
    <row r="83" ht="18" customHeight="1" s="101"/>
    <row r="84" ht="18" customHeight="1" s="101"/>
    <row r="85" ht="18" customHeight="1" s="101"/>
    <row r="86" ht="18" customHeight="1" s="101"/>
    <row r="87" ht="18" customHeight="1" s="101"/>
    <row r="88" ht="18" customHeight="1" s="101"/>
    <row r="89" ht="18" customHeight="1" s="101"/>
    <row r="90" ht="18" customHeight="1" s="101"/>
    <row r="91" ht="18" customHeight="1" s="101"/>
    <row r="92" ht="18" customHeight="1" s="101"/>
    <row r="93" ht="18" customHeight="1" s="101"/>
    <row r="94" ht="18" customHeight="1" s="101"/>
    <row r="95" ht="18" customHeight="1" s="101"/>
    <row r="96" ht="18" customHeight="1" s="101"/>
    <row r="97" ht="18" customHeight="1" s="101"/>
    <row r="98" ht="18" customHeight="1" s="101"/>
    <row r="99" ht="18" customHeight="1" s="101"/>
    <row r="100" ht="18" customHeight="1" s="101"/>
    <row r="101" ht="18" customHeight="1" s="101"/>
    <row r="102" ht="18" customHeight="1" s="101"/>
    <row r="103" ht="18" customHeight="1" s="101"/>
    <row r="104" ht="18" customHeight="1" s="101"/>
    <row r="105" ht="18" customHeight="1" s="101"/>
    <row r="106" ht="18" customHeight="1" s="101"/>
    <row r="107" ht="18" customHeight="1" s="101"/>
    <row r="108" ht="18" customHeight="1" s="101"/>
    <row r="109" ht="18" customHeight="1" s="101"/>
    <row r="110" ht="18" customHeight="1" s="101"/>
    <row r="111" ht="18" customHeight="1" s="101"/>
    <row r="112" ht="18" customHeight="1" s="101"/>
    <row r="113" ht="18" customHeight="1" s="101"/>
    <row r="114" ht="18" customHeight="1" s="101"/>
    <row r="115" ht="18" customHeight="1" s="101"/>
    <row r="116" ht="18" customHeight="1" s="101"/>
    <row r="117" ht="18" customHeight="1" s="101"/>
    <row r="118" ht="18" customHeight="1" s="101"/>
    <row r="119" ht="18" customHeight="1" s="101"/>
    <row r="120" ht="18" customHeight="1" s="101"/>
    <row r="121" ht="18" customHeight="1" s="101"/>
    <row r="122" ht="18" customHeight="1" s="101"/>
    <row r="123" ht="18" customHeight="1" s="101"/>
    <row r="124" ht="18" customHeight="1" s="101"/>
    <row r="125" ht="18" customHeight="1" s="101"/>
    <row r="126" ht="18" customHeight="1" s="101"/>
    <row r="127" ht="18" customHeight="1" s="101"/>
    <row r="128" ht="18" customHeight="1" s="101"/>
    <row r="129" ht="18" customHeight="1" s="101"/>
    <row r="130" ht="18" customHeight="1" s="101"/>
    <row r="131" ht="18" customHeight="1" s="101"/>
    <row r="132" ht="18" customHeight="1" s="101"/>
    <row r="133" ht="18" customHeight="1" s="101"/>
    <row r="134" ht="18" customHeight="1" s="101"/>
    <row r="135" ht="18" customHeight="1" s="101"/>
    <row r="136" ht="18" customHeight="1" s="101"/>
    <row r="137" ht="18" customHeight="1" s="101"/>
    <row r="138" ht="18" customHeight="1" s="101"/>
    <row r="139" ht="18" customHeight="1" s="101"/>
    <row r="140" ht="18" customHeight="1" s="101"/>
    <row r="141" ht="18" customHeight="1" s="101"/>
    <row r="142" ht="18" customHeight="1" s="101"/>
    <row r="143" ht="18" customHeight="1" s="101"/>
    <row r="144" ht="18" customHeight="1" s="101"/>
    <row r="145" ht="18" customHeight="1" s="101"/>
    <row r="146" ht="18" customHeight="1" s="101"/>
    <row r="147" ht="18" customHeight="1" s="101"/>
    <row r="148" ht="18" customHeight="1" s="101"/>
    <row r="149" ht="18" customHeight="1" s="101"/>
    <row r="150" ht="18" customHeight="1" s="101"/>
    <row r="151" ht="18" customHeight="1" s="101"/>
    <row r="152" ht="18" customHeight="1" s="101"/>
    <row r="153" ht="18" customHeight="1" s="101"/>
    <row r="154" ht="18" customHeight="1" s="101"/>
    <row r="155" ht="18" customHeight="1" s="101"/>
    <row r="156" ht="18" customHeight="1" s="101"/>
    <row r="157" ht="18" customHeight="1" s="101"/>
    <row r="158" ht="18" customHeight="1" s="101"/>
    <row r="159" ht="18" customHeight="1" s="101"/>
    <row r="160" ht="18" customHeight="1" s="101"/>
    <row r="161" ht="18" customHeight="1" s="101"/>
    <row r="162" ht="18" customHeight="1" s="101"/>
    <row r="163" ht="18" customHeight="1" s="101"/>
    <row r="164" ht="18" customHeight="1" s="101"/>
    <row r="165" ht="18" customHeight="1" s="101"/>
    <row r="166" ht="18" customHeight="1" s="101"/>
    <row r="167" ht="18" customHeight="1" s="101"/>
    <row r="168" ht="18" customHeight="1" s="101"/>
    <row r="169" ht="18" customHeight="1" s="101"/>
    <row r="170" ht="18" customHeight="1" s="101"/>
    <row r="171" ht="18" customHeight="1" s="101"/>
    <row r="172" ht="18" customHeight="1" s="101"/>
    <row r="173" ht="18" customHeight="1" s="101"/>
    <row r="174" ht="18" customHeight="1" s="101"/>
    <row r="175" ht="18" customHeight="1" s="101"/>
    <row r="176" ht="18" customHeight="1" s="101"/>
    <row r="177" ht="18" customHeight="1" s="101"/>
    <row r="178" ht="18" customHeight="1" s="101"/>
    <row r="179" ht="18" customHeight="1" s="101"/>
    <row r="180" ht="18" customHeight="1" s="101"/>
    <row r="181" ht="18" customHeight="1" s="101"/>
    <row r="182" ht="18" customHeight="1" s="101"/>
    <row r="183" ht="18" customHeight="1" s="101"/>
    <row r="184" ht="18" customHeight="1" s="101"/>
    <row r="185" ht="18" customHeight="1" s="101"/>
    <row r="186" ht="18" customHeight="1" s="101"/>
    <row r="187" ht="18" customHeight="1" s="101"/>
    <row r="188" ht="18" customHeight="1" s="101"/>
    <row r="189" ht="18" customHeight="1" s="101"/>
    <row r="190" ht="18" customHeight="1" s="101"/>
    <row r="191" ht="18" customHeight="1" s="101"/>
    <row r="192" ht="18" customHeight="1" s="101"/>
    <row r="193" ht="18" customHeight="1" s="101"/>
    <row r="194" ht="18" customHeight="1" s="101"/>
    <row r="195" ht="18" customHeight="1" s="101"/>
    <row r="196" ht="18" customHeight="1" s="101"/>
    <row r="197" ht="18" customHeight="1" s="101"/>
    <row r="198" ht="18" customHeight="1" s="101"/>
    <row r="199" ht="18" customHeight="1" s="101"/>
    <row r="200" ht="18" customHeight="1" s="101"/>
    <row r="201" ht="18" customHeight="1" s="101"/>
    <row r="202" ht="18" customHeight="1" s="101"/>
    <row r="203" ht="18" customHeight="1" s="101"/>
    <row r="204" ht="18" customHeight="1" s="101"/>
    <row r="205" ht="18" customHeight="1" s="101"/>
    <row r="206" ht="18" customHeight="1" s="101"/>
    <row r="207" ht="18" customHeight="1" s="101"/>
    <row r="208" ht="18" customHeight="1" s="101"/>
    <row r="209" ht="18" customHeight="1" s="101"/>
    <row r="210" ht="18" customHeight="1" s="101"/>
    <row r="211" ht="18" customHeight="1" s="101"/>
    <row r="212" ht="18" customHeight="1" s="101"/>
    <row r="213" ht="18" customHeight="1" s="101"/>
    <row r="214" ht="18" customHeight="1" s="101"/>
    <row r="215" ht="18" customHeight="1" s="101"/>
    <row r="216" ht="18" customHeight="1" s="101"/>
    <row r="217" ht="18" customHeight="1" s="101"/>
    <row r="218" ht="18" customHeight="1" s="101"/>
    <row r="219" ht="18" customHeight="1" s="101"/>
    <row r="220" ht="18" customHeight="1" s="101"/>
    <row r="221" ht="18" customHeight="1" s="101"/>
    <row r="222" ht="18" customHeight="1" s="101"/>
    <row r="223" ht="18" customHeight="1" s="101"/>
    <row r="224" ht="18" customHeight="1" s="101"/>
    <row r="225" ht="18" customHeight="1" s="101"/>
    <row r="226" ht="18" customHeight="1" s="101"/>
    <row r="227" ht="18" customHeight="1" s="101"/>
    <row r="228" ht="18" customHeight="1" s="101"/>
    <row r="229" ht="18" customHeight="1" s="101"/>
    <row r="230" ht="18" customHeight="1" s="101"/>
    <row r="231" ht="18" customHeight="1" s="101"/>
    <row r="232" ht="18" customHeight="1" s="101"/>
    <row r="233" ht="18" customHeight="1" s="101"/>
    <row r="234" ht="18" customHeight="1" s="101"/>
    <row r="235" ht="18" customHeight="1" s="101"/>
    <row r="236" ht="18" customHeight="1" s="101"/>
    <row r="237" ht="18" customHeight="1" s="101"/>
    <row r="238" ht="18" customHeight="1" s="101"/>
    <row r="239" ht="18" customHeight="1" s="101"/>
    <row r="240" ht="18" customHeight="1" s="101"/>
    <row r="241" ht="18" customHeight="1" s="101"/>
    <row r="242" ht="18" customHeight="1" s="101"/>
    <row r="243" ht="18" customHeight="1" s="101"/>
    <row r="244" ht="18" customHeight="1" s="101"/>
    <row r="245" ht="18" customHeight="1" s="101"/>
    <row r="246" ht="18" customHeight="1" s="101"/>
    <row r="247" ht="18" customHeight="1" s="101"/>
    <row r="248" ht="18" customHeight="1" s="101"/>
    <row r="249" ht="18" customHeight="1" s="101"/>
    <row r="250" ht="18" customHeight="1" s="101"/>
    <row r="251" ht="18" customHeight="1" s="101"/>
    <row r="252" ht="18" customHeight="1" s="101"/>
    <row r="253" ht="18" customHeight="1" s="101"/>
    <row r="254" ht="18" customHeight="1" s="101"/>
    <row r="255" ht="18" customHeight="1" s="101"/>
    <row r="256" ht="18" customHeight="1" s="101"/>
    <row r="257" ht="18" customHeight="1" s="101"/>
    <row r="258" ht="18" customHeight="1" s="101"/>
    <row r="259" ht="18" customHeight="1" s="101"/>
    <row r="260" ht="18" customHeight="1" s="101"/>
    <row r="261" ht="18" customHeight="1" s="101"/>
    <row r="262" ht="18" customHeight="1" s="101"/>
    <row r="263" ht="18" customHeight="1" s="101"/>
    <row r="264" ht="18" customHeight="1" s="101"/>
    <row r="265" ht="18" customHeight="1" s="101"/>
    <row r="266" ht="18" customHeight="1" s="101"/>
    <row r="267" ht="18" customHeight="1" s="101"/>
    <row r="268" ht="18" customHeight="1" s="101"/>
    <row r="269" ht="18" customHeight="1" s="101"/>
    <row r="270" ht="18" customHeight="1" s="101"/>
    <row r="271" ht="18" customHeight="1" s="101"/>
    <row r="272" ht="18" customHeight="1" s="101"/>
    <row r="273" ht="18" customHeight="1" s="101"/>
    <row r="274" ht="18" customHeight="1" s="101"/>
    <row r="275" ht="18" customHeight="1" s="101"/>
    <row r="276" ht="18" customHeight="1" s="101"/>
    <row r="277" ht="18" customHeight="1" s="101"/>
    <row r="278" ht="18" customHeight="1" s="101"/>
    <row r="279" ht="18" customHeight="1" s="101"/>
    <row r="280" ht="18" customHeight="1" s="101"/>
    <row r="281" ht="18" customHeight="1" s="101"/>
    <row r="282" ht="18" customHeight="1" s="101"/>
    <row r="283" ht="18" customHeight="1" s="101"/>
    <row r="284" ht="18" customHeight="1" s="101"/>
    <row r="285" ht="18" customHeight="1" s="101"/>
    <row r="286" ht="18" customHeight="1" s="101"/>
    <row r="287" ht="18" customHeight="1" s="101"/>
    <row r="288" ht="18" customHeight="1" s="101"/>
    <row r="289" ht="18" customHeight="1" s="101"/>
    <row r="290" ht="18" customHeight="1" s="101"/>
    <row r="291" ht="18" customHeight="1" s="101"/>
    <row r="292" ht="18" customHeight="1" s="101"/>
    <row r="293" ht="18" customHeight="1" s="101"/>
    <row r="294" ht="18" customHeight="1" s="101"/>
    <row r="295" ht="18" customHeight="1" s="101"/>
    <row r="296" ht="18" customHeight="1" s="101"/>
    <row r="297" ht="18" customHeight="1" s="101"/>
    <row r="298" ht="18" customHeight="1" s="101"/>
    <row r="299" ht="18" customHeight="1" s="101"/>
    <row r="300" ht="18" customHeight="1" s="101"/>
    <row r="301" ht="18" customHeight="1" s="101"/>
    <row r="302" ht="18" customHeight="1" s="101"/>
    <row r="303" ht="18" customHeight="1" s="101"/>
    <row r="304" ht="18" customHeight="1" s="101"/>
    <row r="305" ht="18" customHeight="1" s="101"/>
    <row r="306" ht="18" customHeight="1" s="101"/>
    <row r="307" ht="18" customHeight="1" s="101"/>
    <row r="308" ht="18" customHeight="1" s="101"/>
    <row r="309" ht="18" customHeight="1" s="101"/>
    <row r="310" ht="18" customHeight="1" s="101"/>
    <row r="311" ht="18" customHeight="1" s="101"/>
    <row r="312" ht="18" customHeight="1" s="101"/>
    <row r="313" ht="18" customHeight="1" s="101"/>
    <row r="314" ht="18" customHeight="1" s="101"/>
    <row r="315" ht="18" customHeight="1" s="101"/>
    <row r="316" ht="18" customHeight="1" s="101"/>
    <row r="317" ht="18" customHeight="1" s="101"/>
    <row r="318" ht="18" customHeight="1" s="101"/>
    <row r="319" ht="18" customHeight="1" s="101"/>
    <row r="320" ht="18" customHeight="1" s="101"/>
    <row r="321" ht="18" customHeight="1" s="101"/>
    <row r="322" ht="18" customHeight="1" s="101"/>
    <row r="323" ht="18" customHeight="1" s="101"/>
    <row r="324" ht="18" customHeight="1" s="101"/>
    <row r="325" ht="18" customHeight="1" s="101"/>
    <row r="326" ht="18" customHeight="1" s="101"/>
    <row r="327" ht="18" customHeight="1" s="101"/>
    <row r="328" ht="18" customHeight="1" s="101"/>
    <row r="329" ht="18" customHeight="1" s="101"/>
    <row r="330" ht="18" customHeight="1" s="101"/>
    <row r="331" ht="18" customHeight="1" s="101"/>
    <row r="332" ht="18" customHeight="1" s="101"/>
    <row r="333" ht="18" customHeight="1" s="101"/>
    <row r="334" ht="18" customHeight="1" s="101"/>
    <row r="335" ht="18" customHeight="1" s="101"/>
    <row r="336" ht="18" customHeight="1" s="101"/>
    <row r="337" ht="18" customHeight="1" s="101"/>
    <row r="338" ht="18" customHeight="1" s="101"/>
    <row r="339" ht="18" customHeight="1" s="101"/>
    <row r="340" ht="18" customHeight="1" s="101"/>
    <row r="341" ht="18" customHeight="1" s="101"/>
    <row r="342" ht="18" customHeight="1" s="101"/>
    <row r="343" ht="18" customHeight="1" s="101"/>
    <row r="344" ht="18" customHeight="1" s="101"/>
    <row r="345" ht="18" customHeight="1" s="101"/>
    <row r="346" ht="18" customHeight="1" s="101"/>
    <row r="347" ht="18" customHeight="1" s="101"/>
    <row r="348" ht="18" customHeight="1" s="101"/>
    <row r="349" ht="18" customHeight="1" s="101"/>
    <row r="350" ht="18" customHeight="1" s="101"/>
    <row r="351" ht="18" customHeight="1" s="101"/>
    <row r="352" ht="18" customHeight="1" s="101"/>
    <row r="353" ht="18" customHeight="1" s="101"/>
    <row r="354" ht="18" customHeight="1" s="101"/>
    <row r="355" ht="18" customHeight="1" s="101"/>
    <row r="356" ht="18" customHeight="1" s="101"/>
    <row r="357" ht="18" customHeight="1" s="101"/>
    <row r="358" ht="18" customHeight="1" s="101"/>
    <row r="359" ht="18" customHeight="1" s="101"/>
    <row r="360" ht="18" customHeight="1" s="101"/>
    <row r="361" ht="18" customHeight="1" s="101"/>
    <row r="362" ht="18" customHeight="1" s="101"/>
    <row r="363" ht="18" customHeight="1" s="101"/>
    <row r="364" ht="18" customHeight="1" s="101"/>
    <row r="365" ht="18" customHeight="1" s="101"/>
    <row r="366" ht="18" customHeight="1" s="101"/>
    <row r="367" ht="18" customHeight="1" s="101"/>
    <row r="368" ht="18" customHeight="1" s="101"/>
    <row r="369" ht="18" customHeight="1" s="101"/>
    <row r="370" ht="18" customHeight="1" s="101"/>
    <row r="371" ht="18" customHeight="1" s="101"/>
    <row r="372" ht="18" customHeight="1" s="101"/>
    <row r="373" ht="18" customHeight="1" s="101"/>
    <row r="374" ht="18" customHeight="1" s="101"/>
    <row r="375" ht="18" customHeight="1" s="101"/>
    <row r="376" ht="18" customHeight="1" s="101"/>
    <row r="377" ht="18" customHeight="1" s="101"/>
    <row r="378" ht="18" customHeight="1" s="101"/>
    <row r="379" ht="18" customHeight="1" s="101"/>
    <row r="380" ht="18" customHeight="1" s="101"/>
    <row r="381" ht="18" customHeight="1" s="101"/>
    <row r="382" ht="18" customHeight="1" s="101"/>
    <row r="383" ht="18" customHeight="1" s="101"/>
    <row r="384" ht="18" customHeight="1" s="101"/>
    <row r="385" ht="18" customHeight="1" s="101"/>
    <row r="386" ht="18" customHeight="1" s="101"/>
    <row r="387" ht="18" customHeight="1" s="101"/>
    <row r="388" ht="18" customHeight="1" s="101"/>
    <row r="389" ht="18" customHeight="1" s="101"/>
    <row r="390" ht="18" customHeight="1" s="101"/>
    <row r="391" ht="18" customHeight="1" s="101"/>
    <row r="392" ht="18" customHeight="1" s="101"/>
    <row r="393" ht="18" customHeight="1" s="101"/>
    <row r="394" ht="18" customHeight="1" s="101"/>
    <row r="395" ht="18" customHeight="1" s="101"/>
    <row r="396" ht="18" customHeight="1" s="101"/>
    <row r="397" ht="18" customHeight="1" s="101"/>
    <row r="398" ht="18" customHeight="1" s="101"/>
    <row r="399" ht="18" customHeight="1" s="101"/>
    <row r="400" ht="18" customHeight="1" s="101"/>
    <row r="401" ht="18" customHeight="1" s="101"/>
    <row r="402" ht="18" customHeight="1" s="101"/>
    <row r="403" ht="18" customHeight="1" s="101"/>
    <row r="404" ht="18" customHeight="1" s="101"/>
    <row r="405" ht="18" customHeight="1" s="101"/>
    <row r="406" ht="18" customHeight="1" s="101"/>
    <row r="407" ht="18" customHeight="1" s="101"/>
    <row r="408" ht="18" customHeight="1" s="101"/>
    <row r="409" ht="18" customHeight="1" s="101"/>
    <row r="410" ht="18" customHeight="1" s="101"/>
    <row r="411" ht="18" customHeight="1" s="101"/>
    <row r="412" ht="18" customHeight="1" s="101"/>
    <row r="413" ht="18" customHeight="1" s="101"/>
    <row r="414" ht="18" customHeight="1" s="101"/>
    <row r="415" ht="18" customHeight="1" s="101"/>
    <row r="416" ht="18" customHeight="1" s="101"/>
    <row r="417" ht="18" customHeight="1" s="101"/>
    <row r="418" ht="18" customHeight="1" s="101"/>
    <row r="419" ht="18" customHeight="1" s="101"/>
    <row r="420" ht="18" customHeight="1" s="101"/>
    <row r="421" ht="18" customHeight="1" s="101"/>
    <row r="422" ht="18" customHeight="1" s="101"/>
    <row r="423" ht="18" customHeight="1" s="101"/>
    <row r="424" ht="18" customHeight="1" s="101"/>
    <row r="425" ht="18" customHeight="1" s="101"/>
    <row r="426" ht="18" customHeight="1" s="101"/>
    <row r="427" ht="18" customHeight="1" s="101"/>
    <row r="428" ht="18" customHeight="1" s="101"/>
    <row r="429" ht="18" customHeight="1" s="101"/>
    <row r="430" ht="18" customHeight="1" s="101"/>
    <row r="431" ht="18" customHeight="1" s="101"/>
    <row r="432" ht="18" customHeight="1" s="101"/>
    <row r="433" ht="18" customHeight="1" s="101"/>
    <row r="434" ht="18" customHeight="1" s="101"/>
    <row r="435" ht="18" customHeight="1" s="101"/>
    <row r="436" ht="18" customHeight="1" s="101"/>
    <row r="437" ht="18" customHeight="1" s="101"/>
    <row r="438" ht="18" customHeight="1" s="101"/>
    <row r="439" ht="18" customHeight="1" s="101"/>
    <row r="440" ht="18" customHeight="1" s="101"/>
    <row r="441" ht="18" customHeight="1" s="101"/>
    <row r="442" ht="18" customHeight="1" s="101"/>
    <row r="443" ht="18" customHeight="1" s="101"/>
    <row r="444" ht="18" customHeight="1" s="101"/>
    <row r="445" ht="18" customHeight="1" s="101"/>
    <row r="446" ht="18" customHeight="1" s="101"/>
    <row r="447" ht="18" customHeight="1" s="101"/>
    <row r="448" ht="18" customHeight="1" s="101"/>
    <row r="449" ht="18" customHeight="1" s="101"/>
    <row r="450" ht="18" customHeight="1" s="101"/>
    <row r="451" ht="18" customHeight="1" s="101"/>
    <row r="452" ht="18" customHeight="1" s="101"/>
    <row r="453" ht="18" customHeight="1" s="101"/>
    <row r="454" ht="18" customHeight="1" s="101"/>
    <row r="455" ht="18" customHeight="1" s="101"/>
    <row r="456" ht="18" customHeight="1" s="101"/>
    <row r="457" ht="18" customHeight="1" s="101"/>
    <row r="458" ht="18" customHeight="1" s="101"/>
    <row r="459" ht="18" customHeight="1" s="101"/>
    <row r="460" ht="18" customHeight="1" s="101"/>
    <row r="461" ht="18" customHeight="1" s="101"/>
    <row r="462" ht="18" customHeight="1" s="101"/>
    <row r="463" ht="18" customHeight="1" s="101"/>
    <row r="464" ht="18" customHeight="1" s="101"/>
    <row r="465" ht="18" customHeight="1" s="101"/>
    <row r="466" ht="18" customHeight="1" s="101"/>
    <row r="467" ht="18" customHeight="1" s="101"/>
    <row r="468" ht="18" customHeight="1" s="101"/>
    <row r="469" ht="18" customHeight="1" s="101"/>
    <row r="470" ht="18" customHeight="1" s="101"/>
    <row r="471" ht="18" customHeight="1" s="101"/>
    <row r="472" ht="18" customHeight="1" s="101"/>
    <row r="473" ht="18" customHeight="1" s="101"/>
    <row r="474" ht="18" customHeight="1" s="101"/>
    <row r="475" ht="18" customHeight="1" s="101"/>
    <row r="476" ht="18" customHeight="1" s="101"/>
    <row r="477" ht="18" customHeight="1" s="101"/>
    <row r="478" ht="18" customHeight="1" s="101"/>
    <row r="479" ht="18" customHeight="1" s="101"/>
    <row r="480" ht="18" customHeight="1" s="101"/>
    <row r="481" ht="18" customHeight="1" s="101"/>
    <row r="482" ht="18" customHeight="1" s="101"/>
    <row r="483" ht="18" customHeight="1" s="101"/>
    <row r="484" ht="18" customHeight="1" s="101"/>
    <row r="485" ht="18" customHeight="1" s="101"/>
    <row r="486" ht="18" customHeight="1" s="101"/>
    <row r="487" ht="18" customHeight="1" s="101"/>
    <row r="488" ht="18" customHeight="1" s="101"/>
    <row r="489" ht="18" customHeight="1" s="101"/>
    <row r="490" ht="18" customHeight="1" s="101"/>
    <row r="491" ht="18" customHeight="1" s="101"/>
    <row r="492" ht="18" customHeight="1" s="101"/>
    <row r="493" ht="18" customHeight="1" s="101"/>
    <row r="494" ht="18" customHeight="1" s="101"/>
    <row r="495" ht="18" customHeight="1" s="101"/>
    <row r="496" ht="18" customHeight="1" s="101"/>
    <row r="497" ht="18" customHeight="1" s="101"/>
    <row r="498" ht="18" customHeight="1" s="101"/>
    <row r="499" ht="18" customHeight="1" s="101"/>
    <row r="500" ht="18" customHeight="1" s="101"/>
    <row r="501" ht="18" customHeight="1" s="101"/>
    <row r="502" ht="18" customHeight="1" s="101"/>
    <row r="503" ht="18" customHeight="1" s="101"/>
    <row r="504" ht="18" customHeight="1" s="101"/>
    <row r="505" ht="18" customHeight="1" s="101"/>
    <row r="506" ht="18" customHeight="1" s="101"/>
    <row r="507" ht="18" customHeight="1" s="101"/>
    <row r="508" ht="18" customHeight="1" s="101"/>
    <row r="509" ht="18" customHeight="1" s="101"/>
    <row r="510" ht="18" customHeight="1" s="101"/>
    <row r="511" ht="18" customHeight="1" s="101"/>
    <row r="512" ht="18" customHeight="1" s="101"/>
    <row r="513" ht="18" customHeight="1" s="101"/>
    <row r="514" ht="18" customHeight="1" s="101"/>
    <row r="515" ht="18" customHeight="1" s="101"/>
    <row r="516" ht="18" customHeight="1" s="101"/>
    <row r="517" ht="18" customHeight="1" s="101"/>
    <row r="518" ht="18" customHeight="1" s="101"/>
    <row r="519" ht="18" customHeight="1" s="101"/>
    <row r="520" ht="18" customHeight="1" s="101"/>
    <row r="521" ht="18" customHeight="1" s="101"/>
    <row r="522" ht="18" customHeight="1" s="101"/>
    <row r="523" ht="18" customHeight="1" s="101"/>
    <row r="524" ht="18" customHeight="1" s="101"/>
    <row r="525" ht="18" customHeight="1" s="101"/>
    <row r="526" ht="18" customHeight="1" s="101"/>
    <row r="527" ht="18" customHeight="1" s="101"/>
    <row r="528" ht="18" customHeight="1" s="101"/>
    <row r="529" ht="18" customHeight="1" s="101"/>
    <row r="530" ht="18" customHeight="1" s="101"/>
    <row r="531" ht="18" customHeight="1" s="101"/>
    <row r="532" ht="18" customHeight="1" s="101"/>
    <row r="533" ht="18" customHeight="1" s="101"/>
    <row r="534" ht="18" customHeight="1" s="101"/>
    <row r="535" ht="18" customHeight="1" s="101"/>
    <row r="536" ht="18" customHeight="1" s="101"/>
    <row r="537" ht="18" customHeight="1" s="101"/>
    <row r="538" ht="18" customHeight="1" s="101"/>
    <row r="539" ht="18" customHeight="1" s="101"/>
    <row r="540" ht="18" customHeight="1" s="101"/>
    <row r="541" ht="18" customHeight="1" s="101"/>
    <row r="542" ht="18" customHeight="1" s="101"/>
    <row r="543" ht="18" customHeight="1" s="101"/>
    <row r="544" ht="18" customHeight="1" s="101"/>
    <row r="545" ht="18" customHeight="1" s="101"/>
    <row r="546" ht="18" customHeight="1" s="101"/>
    <row r="547" ht="18" customHeight="1" s="101"/>
    <row r="548" ht="18" customHeight="1" s="101"/>
    <row r="549" ht="18" customHeight="1" s="101"/>
    <row r="550" ht="18" customHeight="1" s="101"/>
    <row r="551" ht="18" customHeight="1" s="101"/>
    <row r="552" ht="18" customHeight="1" s="101"/>
    <row r="553" ht="18" customHeight="1" s="101"/>
    <row r="554" ht="18" customHeight="1" s="101"/>
    <row r="555" ht="18" customHeight="1" s="101"/>
    <row r="556" ht="18" customHeight="1" s="101"/>
    <row r="557" ht="18" customHeight="1" s="101"/>
    <row r="558" ht="18" customHeight="1" s="101"/>
    <row r="559" ht="18" customHeight="1" s="101"/>
    <row r="560" ht="18" customHeight="1" s="101"/>
    <row r="561" ht="18" customHeight="1" s="101"/>
    <row r="562" ht="18" customHeight="1" s="101"/>
    <row r="563" ht="18" customHeight="1" s="101"/>
    <row r="564" ht="18" customHeight="1" s="101"/>
    <row r="565" ht="18" customHeight="1" s="101"/>
    <row r="566" ht="18" customHeight="1" s="101"/>
    <row r="567" ht="18" customHeight="1" s="101"/>
    <row r="568" ht="18" customHeight="1" s="101"/>
    <row r="569" ht="18" customHeight="1" s="101"/>
    <row r="570" ht="18" customHeight="1" s="101"/>
    <row r="571" ht="18" customHeight="1" s="101"/>
    <row r="572" ht="18" customHeight="1" s="101"/>
    <row r="573" ht="18" customHeight="1" s="101"/>
    <row r="574" ht="18" customHeight="1" s="101"/>
    <row r="575" ht="18" customHeight="1" s="101"/>
    <row r="576" ht="18" customHeight="1" s="101"/>
    <row r="577" ht="18" customHeight="1" s="101"/>
    <row r="578" ht="18" customHeight="1" s="101"/>
    <row r="579" ht="18" customHeight="1" s="101"/>
    <row r="580" ht="18" customHeight="1" s="101"/>
    <row r="581" ht="18" customHeight="1" s="101"/>
    <row r="582" ht="18" customHeight="1" s="101"/>
    <row r="583" ht="18" customHeight="1" s="101"/>
    <row r="584" ht="18" customHeight="1" s="101"/>
    <row r="585" ht="18" customHeight="1" s="101"/>
    <row r="586" ht="18" customHeight="1" s="101"/>
    <row r="587" ht="18" customHeight="1" s="101"/>
    <row r="588" ht="18" customHeight="1" s="101"/>
    <row r="589" ht="18" customHeight="1" s="101"/>
    <row r="590" ht="18" customHeight="1" s="101"/>
    <row r="591" ht="18" customHeight="1" s="101"/>
    <row r="592" ht="18" customHeight="1" s="101"/>
    <row r="593" ht="18" customHeight="1" s="101"/>
    <row r="594" ht="18" customHeight="1" s="101"/>
    <row r="595" ht="18" customHeight="1" s="101"/>
    <row r="596" ht="18" customHeight="1" s="101"/>
    <row r="597" ht="18" customHeight="1" s="101"/>
    <row r="598" ht="18" customHeight="1" s="101"/>
    <row r="599" ht="18" customHeight="1" s="101"/>
    <row r="600" ht="18" customHeight="1" s="101"/>
    <row r="601" ht="18" customHeight="1" s="101"/>
    <row r="602" ht="18" customHeight="1" s="101"/>
    <row r="603" ht="18" customHeight="1" s="101"/>
    <row r="604" ht="18" customHeight="1" s="101"/>
    <row r="605" ht="18" customHeight="1" s="101"/>
    <row r="606" ht="18" customHeight="1" s="101"/>
    <row r="607" ht="18" customHeight="1" s="101"/>
    <row r="608" ht="18" customHeight="1" s="101"/>
    <row r="609" ht="18" customHeight="1" s="101"/>
    <row r="610" ht="18" customHeight="1" s="101"/>
    <row r="611" ht="18" customHeight="1" s="101"/>
    <row r="612" ht="18" customHeight="1" s="101"/>
    <row r="613" ht="18" customHeight="1" s="101"/>
    <row r="614" ht="18" customHeight="1" s="101"/>
    <row r="615" ht="18" customHeight="1" s="101"/>
    <row r="616" ht="18" customHeight="1" s="101"/>
    <row r="617" ht="18" customHeight="1" s="101"/>
    <row r="618" ht="18" customHeight="1" s="101"/>
    <row r="619" ht="18" customHeight="1" s="101"/>
    <row r="620" ht="18" customHeight="1" s="101"/>
    <row r="621" ht="18" customHeight="1" s="101"/>
    <row r="622" ht="18" customHeight="1" s="101"/>
    <row r="623" ht="18" customHeight="1" s="101"/>
    <row r="624" ht="18" customHeight="1" s="101"/>
    <row r="625" ht="18" customHeight="1" s="101"/>
    <row r="626" ht="18" customHeight="1" s="101"/>
    <row r="627" ht="18" customHeight="1" s="101"/>
    <row r="628" ht="18" customHeight="1" s="101"/>
    <row r="629" ht="18" customHeight="1" s="101"/>
    <row r="630" ht="18" customHeight="1" s="101"/>
    <row r="631" ht="18" customHeight="1" s="101"/>
    <row r="632" ht="18" customHeight="1" s="101"/>
    <row r="633" ht="18" customHeight="1" s="101"/>
    <row r="634" ht="18" customHeight="1" s="101"/>
    <row r="635" ht="18" customHeight="1" s="101"/>
    <row r="636" ht="18" customHeight="1" s="101"/>
    <row r="637" ht="18" customHeight="1" s="101"/>
    <row r="638" ht="18" customHeight="1" s="101"/>
    <row r="639" ht="18" customHeight="1" s="101"/>
    <row r="640" ht="18" customHeight="1" s="101"/>
    <row r="641" ht="18" customHeight="1" s="101"/>
    <row r="642" ht="18" customHeight="1" s="101"/>
    <row r="643" ht="18" customHeight="1" s="101"/>
    <row r="644" ht="18" customHeight="1" s="101"/>
    <row r="645" ht="18" customHeight="1" s="101"/>
    <row r="646" ht="18" customHeight="1" s="101"/>
    <row r="647" ht="18" customHeight="1" s="101"/>
    <row r="648" ht="18" customHeight="1" s="101"/>
    <row r="649" ht="18" customHeight="1" s="101"/>
    <row r="650" ht="18" customHeight="1" s="101"/>
    <row r="651" ht="18" customHeight="1" s="101"/>
    <row r="652" ht="18" customHeight="1" s="101"/>
    <row r="653" ht="18" customHeight="1" s="101"/>
    <row r="654" ht="18" customHeight="1" s="101"/>
    <row r="655" ht="18" customHeight="1" s="101"/>
    <row r="656" ht="18" customHeight="1" s="101"/>
    <row r="657" ht="18" customHeight="1" s="101"/>
    <row r="658" ht="18" customHeight="1" s="101"/>
    <row r="659" ht="18" customHeight="1" s="101"/>
    <row r="660" ht="18" customHeight="1" s="101"/>
    <row r="661" ht="18" customHeight="1" s="101"/>
    <row r="662" ht="18" customHeight="1" s="101"/>
    <row r="663" ht="18" customHeight="1" s="101"/>
    <row r="664" ht="18" customHeight="1" s="101"/>
    <row r="665" ht="18" customHeight="1" s="101"/>
    <row r="666" ht="18" customHeight="1" s="101"/>
    <row r="667" ht="18" customHeight="1" s="101"/>
    <row r="668" ht="18" customHeight="1" s="101"/>
    <row r="669" ht="18" customHeight="1" s="101"/>
    <row r="670" ht="18" customHeight="1" s="101"/>
    <row r="671" ht="18" customHeight="1" s="101"/>
    <row r="672" ht="18" customHeight="1" s="101"/>
    <row r="673" ht="18" customHeight="1" s="101"/>
    <row r="674" ht="18" customHeight="1" s="101"/>
    <row r="675" ht="18" customHeight="1" s="101"/>
    <row r="676" ht="18" customHeight="1" s="101"/>
    <row r="677" ht="18" customHeight="1" s="101"/>
    <row r="678" ht="18" customHeight="1" s="101"/>
    <row r="679" ht="18" customHeight="1" s="101"/>
    <row r="680" ht="18" customHeight="1" s="101"/>
    <row r="681" ht="18" customHeight="1" s="101"/>
    <row r="682" ht="18" customHeight="1" s="101"/>
    <row r="683" ht="18" customHeight="1" s="101"/>
    <row r="684" ht="18" customHeight="1" s="101"/>
    <row r="685" ht="18" customHeight="1" s="101"/>
    <row r="686" ht="18" customHeight="1" s="101"/>
    <row r="687" ht="18" customHeight="1" s="101"/>
    <row r="688" ht="18" customHeight="1" s="101"/>
    <row r="689" ht="18" customHeight="1" s="101"/>
    <row r="690" ht="18" customHeight="1" s="101"/>
    <row r="691" ht="18" customHeight="1" s="101"/>
    <row r="692" ht="18" customHeight="1" s="101"/>
    <row r="693" ht="18" customHeight="1" s="101"/>
    <row r="694" ht="18" customHeight="1" s="101"/>
    <row r="695" ht="18" customHeight="1" s="101"/>
    <row r="696" ht="18" customHeight="1" s="101"/>
    <row r="697" ht="18" customHeight="1" s="101"/>
    <row r="698" ht="18" customHeight="1" s="101"/>
    <row r="699" ht="18" customHeight="1" s="101"/>
    <row r="700" ht="18" customHeight="1" s="101"/>
    <row r="701" ht="18" customHeight="1" s="101"/>
    <row r="702" ht="18" customHeight="1" s="101"/>
    <row r="703" ht="18" customHeight="1" s="101"/>
    <row r="704" ht="18" customHeight="1" s="101"/>
    <row r="705" ht="18" customHeight="1" s="101"/>
    <row r="706" ht="18" customHeight="1" s="101"/>
    <row r="707" ht="18" customHeight="1" s="101"/>
    <row r="708" ht="18" customHeight="1" s="101"/>
    <row r="709" ht="18" customHeight="1" s="101"/>
    <row r="710" ht="18" customHeight="1" s="101"/>
    <row r="711" ht="18" customHeight="1" s="101"/>
    <row r="712" ht="18" customHeight="1" s="101"/>
    <row r="713" ht="18" customHeight="1" s="101"/>
    <row r="714" ht="18" customHeight="1" s="101"/>
    <row r="715" ht="18" customHeight="1" s="101"/>
    <row r="716" ht="18" customHeight="1" s="101"/>
    <row r="717" ht="18" customHeight="1" s="101"/>
    <row r="718" ht="18" customHeight="1" s="101"/>
    <row r="719" ht="18" customHeight="1" s="101"/>
    <row r="720" ht="18" customHeight="1" s="101"/>
    <row r="721" ht="18" customHeight="1" s="101"/>
    <row r="722" ht="18" customHeight="1" s="101"/>
    <row r="723" ht="18" customHeight="1" s="101"/>
    <row r="724" ht="18" customHeight="1" s="101"/>
    <row r="725" ht="18" customHeight="1" s="101"/>
    <row r="726" ht="18" customHeight="1" s="101"/>
    <row r="727" ht="18" customHeight="1" s="101"/>
    <row r="728" ht="18" customHeight="1" s="101"/>
    <row r="729" ht="18" customHeight="1" s="101"/>
    <row r="730" ht="18" customHeight="1" s="101"/>
    <row r="731" ht="18" customHeight="1" s="101"/>
    <row r="732" ht="18" customHeight="1" s="101"/>
    <row r="733" ht="18" customHeight="1" s="101"/>
    <row r="734" ht="18" customHeight="1" s="101"/>
    <row r="735" ht="18" customHeight="1" s="101"/>
    <row r="736" ht="18" customHeight="1" s="101"/>
    <row r="737" ht="18" customHeight="1" s="101"/>
    <row r="738" ht="18" customHeight="1" s="101"/>
    <row r="739" ht="18" customHeight="1" s="101"/>
    <row r="740" ht="18" customHeight="1" s="101"/>
    <row r="741" ht="18" customHeight="1" s="101"/>
    <row r="742" ht="18" customHeight="1" s="101"/>
    <row r="743" ht="18" customHeight="1" s="101"/>
    <row r="744" ht="18" customHeight="1" s="101"/>
    <row r="745" ht="18" customHeight="1" s="101"/>
    <row r="746" ht="18" customHeight="1" s="101"/>
    <row r="747" ht="18" customHeight="1" s="101"/>
    <row r="748" ht="18" customHeight="1" s="101"/>
    <row r="749" ht="18" customHeight="1" s="101"/>
    <row r="750" ht="18" customHeight="1" s="101"/>
    <row r="751" ht="18" customHeight="1" s="101"/>
    <row r="752" ht="18" customHeight="1" s="101"/>
    <row r="753" ht="18" customHeight="1" s="101"/>
    <row r="754" ht="18" customHeight="1" s="101"/>
    <row r="755" ht="18" customHeight="1" s="101"/>
    <row r="756" ht="18" customHeight="1" s="101"/>
    <row r="757" ht="18" customHeight="1" s="101"/>
    <row r="758" ht="18" customHeight="1" s="101"/>
    <row r="759" ht="18" customHeight="1" s="101"/>
    <row r="760" ht="18" customHeight="1" s="101"/>
    <row r="761" ht="18" customHeight="1" s="101"/>
    <row r="762" ht="18" customHeight="1" s="101"/>
    <row r="763" ht="18" customHeight="1" s="101"/>
    <row r="764" ht="18" customHeight="1" s="101"/>
    <row r="765" ht="18" customHeight="1" s="101"/>
    <row r="766" ht="18" customHeight="1" s="101"/>
    <row r="767" ht="18" customHeight="1" s="101"/>
    <row r="768" ht="18" customHeight="1" s="101"/>
    <row r="769" ht="18" customHeight="1" s="101"/>
    <row r="770" ht="18" customHeight="1" s="101"/>
    <row r="771" ht="18" customHeight="1" s="101"/>
    <row r="772" ht="18" customHeight="1" s="101"/>
    <row r="773" ht="18" customHeight="1" s="101"/>
    <row r="774" ht="18" customHeight="1" s="101"/>
    <row r="775" ht="18" customHeight="1" s="101"/>
    <row r="776" ht="18" customHeight="1" s="101"/>
    <row r="777" ht="18" customHeight="1" s="101"/>
    <row r="778" ht="18" customHeight="1" s="101"/>
    <row r="779" ht="18" customHeight="1" s="101"/>
    <row r="780" ht="18" customHeight="1" s="101"/>
    <row r="781" ht="18" customHeight="1" s="101"/>
    <row r="782" ht="18" customHeight="1" s="101"/>
    <row r="783" ht="18" customHeight="1" s="101"/>
    <row r="784" ht="18" customHeight="1" s="101"/>
    <row r="785" ht="18" customHeight="1" s="101"/>
    <row r="786" ht="18" customHeight="1" s="101"/>
    <row r="787" ht="18" customHeight="1" s="101"/>
    <row r="788" ht="18" customHeight="1" s="101"/>
    <row r="789" ht="18" customHeight="1" s="101"/>
    <row r="790" ht="18" customHeight="1" s="101"/>
    <row r="791" ht="18" customHeight="1" s="101"/>
    <row r="792" ht="18" customHeight="1" s="101"/>
    <row r="793" ht="18" customHeight="1" s="101"/>
    <row r="794" ht="18" customHeight="1" s="101"/>
    <row r="795" ht="18" customHeight="1" s="101"/>
    <row r="796" ht="18" customHeight="1" s="101"/>
    <row r="797" ht="18" customHeight="1" s="101"/>
    <row r="798" ht="18" customHeight="1" s="101"/>
    <row r="799" ht="18" customHeight="1" s="101"/>
    <row r="800" ht="18" customHeight="1" s="101"/>
    <row r="801" ht="18" customHeight="1" s="101"/>
    <row r="802" ht="18" customHeight="1" s="101"/>
    <row r="803" ht="18" customHeight="1" s="101"/>
    <row r="804" ht="18" customHeight="1" s="101"/>
    <row r="805" ht="18" customHeight="1" s="101"/>
    <row r="806" ht="18" customHeight="1" s="101"/>
    <row r="807" ht="18" customHeight="1" s="101"/>
    <row r="808" ht="18" customHeight="1" s="101"/>
    <row r="809" ht="18" customHeight="1" s="101"/>
    <row r="810" ht="18" customHeight="1" s="101"/>
    <row r="811" ht="18" customHeight="1" s="101"/>
    <row r="812" ht="18" customHeight="1" s="101"/>
    <row r="813" ht="18" customHeight="1" s="101"/>
    <row r="814" ht="18" customHeight="1" s="101"/>
    <row r="815" ht="18" customHeight="1" s="101"/>
    <row r="816" ht="18" customHeight="1" s="101"/>
    <row r="817" ht="18" customHeight="1" s="101"/>
    <row r="818" ht="18" customHeight="1" s="101"/>
    <row r="819" ht="18" customHeight="1" s="101"/>
    <row r="820" ht="18" customHeight="1" s="101"/>
    <row r="821" ht="18" customHeight="1" s="101"/>
    <row r="822" ht="18" customHeight="1" s="101"/>
    <row r="823" ht="18" customHeight="1" s="101"/>
    <row r="824" ht="18" customHeight="1" s="101"/>
    <row r="825" ht="18" customHeight="1" s="101"/>
    <row r="826" ht="18" customHeight="1" s="101"/>
    <row r="827" ht="18" customHeight="1" s="101"/>
    <row r="828" ht="18" customHeight="1" s="101"/>
    <row r="829" ht="18" customHeight="1" s="101"/>
    <row r="830" ht="18" customHeight="1" s="101"/>
    <row r="831" ht="18" customHeight="1" s="101"/>
    <row r="832" ht="18" customHeight="1" s="101"/>
    <row r="833" ht="18" customHeight="1" s="101"/>
    <row r="834" ht="18" customHeight="1" s="101"/>
    <row r="835" ht="18" customHeight="1" s="101"/>
    <row r="836" ht="18" customHeight="1" s="101"/>
    <row r="837" ht="18" customHeight="1" s="101"/>
    <row r="838" ht="18" customHeight="1" s="101"/>
    <row r="839" ht="18" customHeight="1" s="101"/>
    <row r="840" ht="18" customHeight="1" s="101"/>
    <row r="841" ht="18" customHeight="1" s="101"/>
    <row r="842" ht="18" customHeight="1" s="101"/>
    <row r="843" ht="18" customHeight="1" s="101"/>
    <row r="844" ht="18" customHeight="1" s="101"/>
    <row r="845" ht="18" customHeight="1" s="101"/>
    <row r="846" ht="18" customHeight="1" s="101"/>
    <row r="847" ht="18" customHeight="1" s="101"/>
    <row r="848" ht="18" customHeight="1" s="101"/>
    <row r="849" ht="18" customHeight="1" s="101"/>
    <row r="850" ht="18" customHeight="1" s="101"/>
    <row r="851" ht="18" customHeight="1" s="101"/>
    <row r="852" ht="18" customHeight="1" s="101"/>
    <row r="853" ht="18" customHeight="1" s="101"/>
    <row r="854" ht="18" customHeight="1" s="101"/>
    <row r="855" ht="18" customHeight="1" s="101"/>
    <row r="856" ht="18" customHeight="1" s="101"/>
    <row r="857" ht="18" customHeight="1" s="101"/>
    <row r="858" ht="18" customHeight="1" s="101"/>
    <row r="859" ht="18" customHeight="1" s="101"/>
    <row r="860" ht="18" customHeight="1" s="101"/>
    <row r="861" ht="18" customHeight="1" s="101"/>
    <row r="862" ht="18" customHeight="1" s="101"/>
    <row r="863" ht="18" customHeight="1" s="101"/>
    <row r="864" ht="18" customHeight="1" s="101"/>
    <row r="865" ht="18" customHeight="1" s="101"/>
    <row r="866" ht="18" customHeight="1" s="101"/>
    <row r="867" ht="18" customHeight="1" s="101"/>
    <row r="868" ht="18" customHeight="1" s="101"/>
    <row r="869" ht="18" customHeight="1" s="101"/>
    <row r="870" ht="18" customHeight="1" s="101"/>
    <row r="871" ht="18" customHeight="1" s="101"/>
    <row r="872" ht="18" customHeight="1" s="101"/>
    <row r="873" ht="18" customHeight="1" s="101"/>
    <row r="874" ht="18" customHeight="1" s="101"/>
    <row r="875" ht="18" customHeight="1" s="101"/>
    <row r="876" ht="18" customHeight="1" s="101"/>
    <row r="877" ht="18" customHeight="1" s="101"/>
    <row r="878" ht="18" customHeight="1" s="101"/>
    <row r="879" ht="18" customHeight="1" s="101"/>
    <row r="880" ht="18" customHeight="1" s="101"/>
    <row r="881" ht="18" customHeight="1" s="101"/>
    <row r="882" ht="18" customHeight="1" s="101"/>
    <row r="883" ht="18" customHeight="1" s="101"/>
    <row r="884" ht="18" customHeight="1" s="101"/>
    <row r="885" ht="18" customHeight="1" s="101"/>
    <row r="886" ht="18" customHeight="1" s="101"/>
    <row r="887" ht="18" customHeight="1" s="101"/>
    <row r="888" ht="18" customHeight="1" s="101"/>
    <row r="889" ht="18" customHeight="1" s="101"/>
    <row r="890" ht="18" customHeight="1" s="101"/>
    <row r="891" ht="18" customHeight="1" s="101"/>
    <row r="892" ht="18" customHeight="1" s="101"/>
    <row r="893" ht="18" customHeight="1" s="101"/>
    <row r="894" ht="18" customHeight="1" s="101"/>
    <row r="895" ht="18" customHeight="1" s="101"/>
    <row r="896" ht="18" customHeight="1" s="101"/>
    <row r="897" ht="18" customHeight="1" s="101"/>
    <row r="898" ht="18" customHeight="1" s="101"/>
    <row r="899" ht="18" customHeight="1" s="101"/>
    <row r="900" ht="18" customHeight="1" s="101"/>
    <row r="901" ht="18" customHeight="1" s="101"/>
    <row r="902" ht="18" customHeight="1" s="101"/>
    <row r="903" ht="18" customHeight="1" s="101"/>
    <row r="904" ht="18" customHeight="1" s="101"/>
    <row r="905" ht="18" customHeight="1" s="101"/>
    <row r="906" ht="18" customHeight="1" s="101"/>
    <row r="907" ht="18" customHeight="1" s="101"/>
    <row r="908" ht="18" customHeight="1" s="101"/>
    <row r="909" ht="18" customHeight="1" s="101"/>
    <row r="910" ht="18" customHeight="1" s="101"/>
    <row r="911" ht="18" customHeight="1" s="101"/>
    <row r="912" ht="18" customHeight="1" s="101"/>
    <row r="913" ht="18" customHeight="1" s="101"/>
    <row r="914" ht="18" customHeight="1" s="101"/>
    <row r="915" ht="18" customHeight="1" s="101"/>
    <row r="916" ht="18" customHeight="1" s="101"/>
    <row r="917" ht="18" customHeight="1" s="101"/>
    <row r="918" ht="18" customHeight="1" s="101"/>
    <row r="919" ht="18" customHeight="1" s="101"/>
    <row r="920" ht="18" customHeight="1" s="101"/>
    <row r="921" ht="18" customHeight="1" s="101"/>
    <row r="922" ht="18" customHeight="1" s="101"/>
    <row r="923" ht="18" customHeight="1" s="101"/>
    <row r="924" ht="18" customHeight="1" s="101"/>
    <row r="925" ht="18" customHeight="1" s="101"/>
    <row r="926" ht="18" customHeight="1" s="101"/>
    <row r="927" ht="18" customHeight="1" s="101"/>
    <row r="928" ht="18" customHeight="1" s="101"/>
    <row r="929" ht="18" customHeight="1" s="101"/>
    <row r="930" ht="18" customHeight="1" s="101"/>
    <row r="931" ht="18" customHeight="1" s="101"/>
    <row r="932" ht="18" customHeight="1" s="101"/>
    <row r="933" ht="18" customHeight="1" s="101"/>
    <row r="934" ht="18" customHeight="1" s="101"/>
    <row r="935" ht="18" customHeight="1" s="101"/>
    <row r="936" ht="18" customHeight="1" s="101"/>
    <row r="937" ht="18" customHeight="1" s="101"/>
    <row r="938" ht="18" customHeight="1" s="101"/>
    <row r="939" ht="18" customHeight="1" s="101"/>
    <row r="940" ht="18" customHeight="1" s="101"/>
    <row r="941" ht="18" customHeight="1" s="101"/>
    <row r="942" ht="18" customHeight="1" s="101"/>
    <row r="943" ht="18" customHeight="1" s="101"/>
    <row r="944" ht="18" customHeight="1" s="101"/>
    <row r="945" ht="18" customHeight="1" s="101"/>
    <row r="946" ht="18" customHeight="1" s="101"/>
    <row r="947" ht="18" customHeight="1" s="101"/>
    <row r="948" ht="18" customHeight="1" s="101"/>
    <row r="949" ht="18" customHeight="1" s="101"/>
    <row r="950" ht="18" customHeight="1" s="101"/>
    <row r="951" ht="18" customHeight="1" s="101"/>
    <row r="952" ht="18" customHeight="1" s="101"/>
    <row r="953" ht="18" customHeight="1" s="101"/>
    <row r="954" ht="18" customHeight="1" s="101"/>
    <row r="955" ht="18" customHeight="1" s="101"/>
    <row r="956" ht="18" customHeight="1" s="101"/>
    <row r="957" ht="18" customHeight="1" s="101"/>
    <row r="958" ht="18" customHeight="1" s="101"/>
    <row r="959" ht="18" customHeight="1" s="101"/>
    <row r="960" ht="18" customHeight="1" s="101"/>
    <row r="961" ht="18" customHeight="1" s="101"/>
    <row r="962" ht="18" customHeight="1" s="101"/>
    <row r="963" ht="18" customHeight="1" s="101"/>
    <row r="964" ht="18" customHeight="1" s="101"/>
    <row r="965" ht="18" customHeight="1" s="101"/>
    <row r="966" ht="18" customHeight="1" s="101"/>
    <row r="967" ht="18" customHeight="1" s="101"/>
    <row r="968" ht="18" customHeight="1" s="101"/>
    <row r="969" ht="18" customHeight="1" s="101"/>
    <row r="970" ht="18" customHeight="1" s="101"/>
    <row r="971" ht="18" customHeight="1" s="101"/>
    <row r="972" ht="18" customHeight="1" s="101"/>
    <row r="973" ht="18" customHeight="1" s="101"/>
    <row r="974" ht="18" customHeight="1" s="101"/>
    <row r="975" ht="18" customHeight="1" s="101"/>
    <row r="976" ht="18" customHeight="1" s="101"/>
    <row r="977" ht="18" customHeight="1" s="101"/>
    <row r="978" ht="18" customHeight="1" s="101"/>
    <row r="979" ht="18" customHeight="1" s="101"/>
    <row r="980" ht="18" customHeight="1" s="101"/>
    <row r="981" ht="18" customHeight="1" s="101"/>
    <row r="982" ht="18" customHeight="1" s="101"/>
    <row r="983" ht="18" customHeight="1" s="101"/>
    <row r="984" ht="18" customHeight="1" s="101"/>
    <row r="985" ht="18" customHeight="1" s="101"/>
    <row r="986" ht="18" customHeight="1" s="101"/>
    <row r="987" ht="18" customHeight="1" s="101"/>
    <row r="988" ht="18" customHeight="1" s="101"/>
    <row r="989" ht="18" customHeight="1" s="101"/>
    <row r="990" ht="18" customHeight="1" s="101"/>
    <row r="991" ht="18" customHeight="1" s="101"/>
    <row r="992" ht="18" customHeight="1" s="101"/>
    <row r="993" ht="18" customHeight="1" s="101"/>
    <row r="994" ht="18" customHeight="1" s="101"/>
    <row r="995" ht="18" customHeight="1" s="101"/>
    <row r="996" ht="18" customHeight="1" s="101"/>
    <row r="997" ht="18" customHeight="1" s="101"/>
    <row r="998" ht="18" customHeight="1" s="101"/>
    <row r="999" ht="18" customHeight="1" s="101"/>
    <row r="1000" ht="18" customHeight="1" s="101"/>
  </sheetData>
  <mergeCells count="40">
    <mergeCell ref="C16:E16"/>
    <mergeCell ref="E10:G10"/>
    <mergeCell ref="E13:G13"/>
    <mergeCell ref="B25:C25"/>
    <mergeCell ref="A15:E15"/>
    <mergeCell ref="C22:E22"/>
    <mergeCell ref="B1:G1"/>
    <mergeCell ref="E9:G9"/>
    <mergeCell ref="E14:F14"/>
    <mergeCell ref="B31:C31"/>
    <mergeCell ref="B27:C27"/>
    <mergeCell ref="C21:E21"/>
    <mergeCell ref="E2:G2"/>
    <mergeCell ref="A16:B16"/>
    <mergeCell ref="E11:G11"/>
    <mergeCell ref="B23:C23"/>
    <mergeCell ref="C17:E17"/>
    <mergeCell ref="A18:B18"/>
    <mergeCell ref="E7:G7"/>
    <mergeCell ref="A21:B21"/>
    <mergeCell ref="B29:C29"/>
    <mergeCell ref="C19:E19"/>
    <mergeCell ref="B28:C28"/>
    <mergeCell ref="C18:E18"/>
    <mergeCell ref="E12:G12"/>
    <mergeCell ref="E3:G3"/>
    <mergeCell ref="A17:B17"/>
    <mergeCell ref="A1:A5"/>
    <mergeCell ref="A22:B22"/>
    <mergeCell ref="A20:B20"/>
    <mergeCell ref="B30:C30"/>
    <mergeCell ref="B24:C24"/>
    <mergeCell ref="B33:C33"/>
    <mergeCell ref="E5:G5"/>
    <mergeCell ref="A19:B19"/>
    <mergeCell ref="E8:G8"/>
    <mergeCell ref="E4:G4"/>
    <mergeCell ref="B32:C32"/>
    <mergeCell ref="B26:C26"/>
    <mergeCell ref="C20:E20"/>
  </mergeCells>
  <printOptions horizontalCentered="1" gridLines="1"/>
  <pageMargins left="0.7" right="0.7" top="0.75" bottom="0.75" header="0" footer="0"/>
  <pageSetup orientation="portrait" paperSize="9" pageOrder="overThenDown" cellComments="atEnd"/>
</worksheet>
</file>

<file path=xl/worksheets/sheet5.xml><?xml version="1.0" encoding="utf-8"?>
<worksheet xmlns="http://schemas.openxmlformats.org/spreadsheetml/2006/main">
  <sheetPr>
    <outlinePr summaryBelow="0" summaryRight="0"/>
    <pageSetUpPr/>
  </sheetPr>
  <dimension ref="A1:I36"/>
  <sheetViews>
    <sheetView workbookViewId="0">
      <selection activeCell="A1" sqref="A1"/>
    </sheetView>
  </sheetViews>
  <sheetFormatPr baseColWidth="8" defaultColWidth="12.63" defaultRowHeight="15.75" customHeight="1"/>
  <cols>
    <col width="12.63" customWidth="1" style="101" min="1" max="1"/>
    <col width="15.63" customWidth="1" style="101" min="2" max="2"/>
    <col width="13.63" customWidth="1" style="101" min="3" max="3"/>
    <col width="13.38" customWidth="1" style="101" min="4" max="4"/>
    <col width="12.13" customWidth="1" style="101" min="5" max="5"/>
    <col width="15.38" customWidth="1" style="101" min="6" max="26"/>
  </cols>
  <sheetData>
    <row r="1" ht="18" customHeight="1" s="101">
      <c r="A1" s="102" t="n"/>
      <c r="B1" s="115" t="inlineStr">
        <is>
          <t>FICHA DE SECUENCIA</t>
        </is>
      </c>
      <c r="C1" s="104" t="n"/>
      <c r="D1" s="104" t="n"/>
      <c r="E1" s="104" t="n"/>
      <c r="F1" s="105" t="n"/>
    </row>
    <row r="2" ht="18" customHeight="1" s="101">
      <c r="A2" s="106" t="n"/>
      <c r="B2" s="8" t="inlineStr">
        <is>
          <t>Empresa:</t>
        </is>
      </c>
      <c r="C2" s="10" t="inlineStr">
        <is>
          <t>Creco industrias</t>
        </is>
      </c>
      <c r="D2" s="8" t="inlineStr">
        <is>
          <t>Modelo:</t>
        </is>
      </c>
      <c r="E2" s="116" t="inlineStr">
        <is>
          <t>MAR</t>
        </is>
      </c>
      <c r="F2" s="109" t="n"/>
      <c r="G2" s="55" t="n"/>
      <c r="H2" s="55" t="n"/>
      <c r="I2" s="55" t="n"/>
    </row>
    <row r="3" ht="18" customHeight="1" s="101">
      <c r="A3" s="106" t="n"/>
      <c r="B3" s="8" t="inlineStr">
        <is>
          <t>Marca:</t>
        </is>
      </c>
      <c r="C3" s="10" t="inlineStr">
        <is>
          <t>Cuadro</t>
        </is>
      </c>
      <c r="D3" s="8" t="inlineStr">
        <is>
          <t>Genero:</t>
        </is>
      </c>
      <c r="E3" s="116" t="inlineStr">
        <is>
          <t xml:space="preserve">DAM/CAB/KIDS </t>
        </is>
      </c>
      <c r="F3" s="109" t="n"/>
      <c r="G3" s="55" t="n"/>
      <c r="H3" s="55" t="n"/>
      <c r="I3" s="55" t="n"/>
    </row>
    <row r="4" ht="18" customHeight="1" s="101">
      <c r="A4" s="106" t="n"/>
      <c r="B4" s="8" t="inlineStr">
        <is>
          <t>Linea o colección:</t>
        </is>
      </c>
      <c r="C4" s="10" t="inlineStr">
        <is>
          <t>MAR</t>
        </is>
      </c>
      <c r="D4" s="8" t="inlineStr">
        <is>
          <t>Curva de talla:</t>
        </is>
      </c>
      <c r="E4" s="116" t="inlineStr">
        <is>
          <t>XS-2XL/ S-4XL/ 1-14</t>
        </is>
      </c>
      <c r="F4" s="109" t="n"/>
      <c r="G4" s="55" t="n"/>
      <c r="H4" s="55" t="n"/>
      <c r="I4" s="55" t="n"/>
    </row>
    <row r="5" ht="18" customHeight="1" s="101">
      <c r="A5" s="110" t="n"/>
      <c r="B5" s="18" t="inlineStr">
        <is>
          <t>Base textil:</t>
        </is>
      </c>
      <c r="C5" s="22" t="inlineStr">
        <is>
          <t>Microfibra</t>
        </is>
      </c>
      <c r="D5" s="18" t="inlineStr">
        <is>
          <t>Descripción:</t>
        </is>
      </c>
      <c r="E5" s="117" t="n"/>
      <c r="F5" s="113" t="n"/>
    </row>
    <row r="6" ht="18" customHeight="1" s="101"/>
    <row r="7">
      <c r="A7" s="87" t="inlineStr">
        <is>
          <t>NRO. DE OP.</t>
        </is>
      </c>
      <c r="B7" s="87" t="inlineStr">
        <is>
          <t>PROCESO</t>
        </is>
      </c>
      <c r="C7" s="88" t="inlineStr">
        <is>
          <t>PIEZAS INVOLUCRADAS</t>
        </is>
      </c>
      <c r="D7" s="87" t="inlineStr">
        <is>
          <t>MAQUINA</t>
        </is>
      </c>
      <c r="E7" s="87" t="inlineStr">
        <is>
          <t>OBSERVACIONES</t>
        </is>
      </c>
      <c r="F7" s="114" t="n"/>
    </row>
    <row r="8">
      <c r="A8" s="90" t="n">
        <v>1</v>
      </c>
      <c r="B8" s="91" t="inlineStr">
        <is>
          <t>Union de sisas con mangas</t>
        </is>
      </c>
      <c r="C8" s="91" t="inlineStr">
        <is>
          <t>Delantero, posterior y mangas</t>
        </is>
      </c>
      <c r="D8" s="90" t="inlineStr">
        <is>
          <t>Overlock</t>
        </is>
      </c>
      <c r="E8" s="92" t="inlineStr">
        <is>
          <t xml:space="preserve">Se unen sisas y mangas delanteras, cuidando el calce correcto de las piezas. Luego se une el cuerpo posterior a la manga </t>
        </is>
      </c>
    </row>
    <row r="9">
      <c r="A9" s="90" t="n">
        <v>2</v>
      </c>
      <c r="B9" s="91" t="inlineStr">
        <is>
          <t>Recubrir sisas y capucha</t>
        </is>
      </c>
      <c r="C9" s="91" t="inlineStr">
        <is>
          <t>Delantero, posterior y mangas</t>
        </is>
      </c>
      <c r="D9" s="90" t="inlineStr">
        <is>
          <t>Collaretera</t>
        </is>
      </c>
      <c r="E9" s="92" t="inlineStr">
        <is>
          <t>Se recorren en la union de la sisa, mangas y cuerpo en recubridor, se debe tener en cuenta que la caida de la costura debe ir hacia el cuerpo y la union de la overlock debe ir dentro de dicha costura.</t>
        </is>
      </c>
    </row>
    <row r="10">
      <c r="A10" s="90" t="n">
        <v>3</v>
      </c>
      <c r="B10" s="91" t="inlineStr">
        <is>
          <t>Cierre de mangas y cuerpo con capucha</t>
        </is>
      </c>
      <c r="C10" s="91" t="inlineStr">
        <is>
          <t xml:space="preserve">Delantero, posterior y mangas </t>
        </is>
      </c>
      <c r="D10" s="90" t="inlineStr">
        <is>
          <t>Overlock</t>
        </is>
      </c>
      <c r="E10" s="92" t="inlineStr">
        <is>
          <t xml:space="preserve">Cerrar mangas y cuerpo, del lado derecho colocar etiqueta de agua a 10cm sobre la costura de ruedo de cuerpo (en el caso de ser kids va a 6cm) Cerrar lado izquierdo del cuerpo en setido ruedos a manga. </t>
        </is>
      </c>
    </row>
    <row r="11">
      <c r="A11" s="90" t="n">
        <v>4</v>
      </c>
      <c r="B11" s="90" t="inlineStr">
        <is>
          <t>Ruedos</t>
        </is>
      </c>
      <c r="C11" s="90" t="inlineStr">
        <is>
          <t>Cuerpo y mangas</t>
        </is>
      </c>
      <c r="D11" s="90" t="inlineStr">
        <is>
          <t>Collaret de ruedos</t>
        </is>
      </c>
      <c r="E11" s="92" t="inlineStr">
        <is>
          <t>Hacer ruedo de mangas y cuerpos a 2 cm de grosor, costuras en recubridor</t>
        </is>
      </c>
    </row>
    <row r="12" ht="30" customHeight="1" s="101">
      <c r="A12" s="90" t="n">
        <v>5</v>
      </c>
      <c r="B12" s="90" t="inlineStr">
        <is>
          <t>Montar cuello</t>
        </is>
      </c>
      <c r="C12" s="90" t="inlineStr">
        <is>
          <t>Cuerpo y mangas</t>
        </is>
      </c>
      <c r="D12" s="90" t="inlineStr">
        <is>
          <t>Overlock para cuellos</t>
        </is>
      </c>
      <c r="E12" s="92" t="inlineStr">
        <is>
          <t xml:space="preserve">Unir la tira de cuello al cuerpo, a 3cm de la union de la manga con el cuerpo </t>
        </is>
      </c>
    </row>
    <row r="13" ht="18" customHeight="1" s="101">
      <c r="A13" s="90" t="n">
        <v>6</v>
      </c>
      <c r="B13" s="90" t="inlineStr">
        <is>
          <t>Fijar cuello</t>
        </is>
      </c>
      <c r="C13" s="90" t="inlineStr">
        <is>
          <t>Cuerpo y mangas</t>
        </is>
      </c>
      <c r="D13" s="90" t="inlineStr">
        <is>
          <t>Collaret para cuellos</t>
        </is>
      </c>
      <c r="E13" s="85" t="inlineStr">
        <is>
          <t>Recubrir contorno de cuello.</t>
        </is>
      </c>
    </row>
    <row r="14" ht="25.5" customHeight="1" s="101">
      <c r="A14" s="71" t="n">
        <v>7</v>
      </c>
      <c r="B14" s="94" t="inlineStr">
        <is>
          <t>Revisión final</t>
        </is>
      </c>
      <c r="C14" s="94" t="inlineStr">
        <is>
          <t>Franela completa</t>
        </is>
      </c>
      <c r="D14" s="94" t="inlineStr">
        <is>
          <t>Manual</t>
        </is>
      </c>
      <c r="E14" s="95" t="inlineStr">
        <is>
          <t>Controlar elasticidad, costuras planas y estética.</t>
        </is>
      </c>
    </row>
    <row r="15" ht="18" customHeight="1" s="101">
      <c r="A15" s="76" t="n"/>
      <c r="B15" s="76" t="n"/>
      <c r="D15" s="76" t="n"/>
      <c r="E15" s="76" t="n"/>
      <c r="F15" s="76" t="n"/>
    </row>
    <row r="16" ht="18" customHeight="1" s="101">
      <c r="A16" s="76" t="n"/>
      <c r="B16" s="76" t="n"/>
      <c r="D16" s="76" t="n"/>
      <c r="E16" s="76" t="n"/>
      <c r="F16" s="76" t="n"/>
    </row>
    <row r="17" ht="18" customHeight="1" s="101">
      <c r="A17" s="121" t="inlineStr">
        <is>
          <t xml:space="preserve">ESPECIFICACIONES DE COSTURA </t>
        </is>
      </c>
      <c r="B17" s="104" t="n"/>
      <c r="C17" s="104" t="n"/>
      <c r="D17" s="104" t="n"/>
      <c r="E17" s="105" t="n"/>
      <c r="F17" s="76" t="n"/>
    </row>
    <row r="18" ht="18" customHeight="1" s="101">
      <c r="A18" s="122" t="inlineStr">
        <is>
          <t xml:space="preserve">Prensatela </t>
        </is>
      </c>
      <c r="B18" s="123" t="n"/>
      <c r="C18" s="124" t="n"/>
      <c r="D18" s="125" t="n"/>
      <c r="E18" s="126" t="n"/>
      <c r="F18" s="76" t="n"/>
    </row>
    <row r="19" ht="18" customHeight="1" s="101">
      <c r="A19" s="127" t="inlineStr">
        <is>
          <t xml:space="preserve">Tipo de Aguja: </t>
        </is>
      </c>
      <c r="B19" s="114" t="n"/>
      <c r="C19" s="107" t="n"/>
      <c r="D19" s="108" t="n"/>
      <c r="E19" s="109" t="n"/>
      <c r="F19" s="76" t="n"/>
    </row>
    <row r="20" ht="18" customHeight="1" s="101">
      <c r="A20" s="127" t="inlineStr">
        <is>
          <t>Calibre de Aguja</t>
        </is>
      </c>
      <c r="B20" s="114" t="n"/>
      <c r="C20" s="107" t="n"/>
      <c r="D20" s="108" t="n"/>
      <c r="E20" s="109" t="n"/>
      <c r="F20" s="76" t="n"/>
    </row>
    <row r="21" ht="18" customHeight="1" s="101">
      <c r="A21" s="127" t="inlineStr">
        <is>
          <t>Ancho de Puntada (Overlock)</t>
        </is>
      </c>
      <c r="B21" s="114" t="n"/>
      <c r="C21" s="107" t="n"/>
      <c r="D21" s="108" t="n"/>
      <c r="E21" s="109" t="n"/>
      <c r="F21" s="76" t="n"/>
    </row>
    <row r="22" ht="18" customHeight="1" s="101">
      <c r="A22" s="128" t="inlineStr">
        <is>
          <t>Densidad de Puntada:</t>
        </is>
      </c>
      <c r="B22" s="114" t="n"/>
      <c r="C22" s="107" t="n"/>
      <c r="D22" s="108" t="n"/>
      <c r="E22" s="109" t="n"/>
      <c r="F22" s="76" t="n"/>
    </row>
    <row r="23" ht="18" customHeight="1" s="101">
      <c r="A23" s="128" t="inlineStr">
        <is>
          <t>Tensión de Máquina:</t>
        </is>
      </c>
      <c r="B23" s="114" t="n"/>
      <c r="C23" s="107" t="n"/>
      <c r="D23" s="108" t="n"/>
      <c r="E23" s="109" t="n"/>
      <c r="F23" s="76" t="n"/>
    </row>
    <row r="24" ht="18" customHeight="1" s="101">
      <c r="A24" s="129" t="inlineStr">
        <is>
          <t>Tipo de Hilo Recomendado:</t>
        </is>
      </c>
      <c r="B24" s="130" t="n"/>
      <c r="C24" s="131" t="n"/>
      <c r="D24" s="112" t="n"/>
      <c r="E24" s="113" t="n"/>
      <c r="F24" s="76" t="n"/>
    </row>
    <row r="25" ht="18" customHeight="1" s="101">
      <c r="A25" s="76" t="n"/>
      <c r="B25" s="76" t="n"/>
      <c r="D25" s="76" t="n"/>
      <c r="E25" s="76" t="n"/>
      <c r="F25" s="76" t="n"/>
    </row>
    <row r="26" ht="18" customHeight="1" s="101">
      <c r="A26" s="76" t="n"/>
      <c r="B26" s="76" t="n"/>
      <c r="D26" s="76" t="n"/>
      <c r="E26" s="76" t="n"/>
      <c r="F26" s="76" t="n"/>
    </row>
    <row r="27" ht="18" customHeight="1" s="101">
      <c r="A27" s="76" t="n"/>
      <c r="B27" s="76" t="n"/>
      <c r="D27" s="76" t="n"/>
      <c r="E27" s="76" t="n"/>
      <c r="F27" s="76" t="n"/>
    </row>
    <row r="28" ht="18" customHeight="1" s="101">
      <c r="A28" s="76" t="n"/>
      <c r="B28" s="76" t="n"/>
      <c r="D28" s="76" t="n"/>
      <c r="E28" s="76" t="n"/>
      <c r="F28" s="76" t="n"/>
    </row>
    <row r="29" ht="18" customHeight="1" s="101">
      <c r="A29" s="76" t="n"/>
      <c r="B29" s="76" t="n"/>
      <c r="D29" s="76" t="n"/>
      <c r="E29" s="76" t="n"/>
      <c r="F29" s="76" t="n"/>
    </row>
    <row r="30" ht="18" customHeight="1" s="101">
      <c r="A30" s="76" t="n"/>
      <c r="B30" s="76" t="n"/>
      <c r="D30" s="76" t="n"/>
      <c r="E30" s="76" t="n"/>
      <c r="F30" s="76" t="n"/>
    </row>
    <row r="31" ht="18" customHeight="1" s="101">
      <c r="A31" s="76" t="n"/>
      <c r="B31" s="76" t="n"/>
      <c r="D31" s="76" t="n"/>
      <c r="E31" s="76" t="n"/>
      <c r="F31" s="76" t="n"/>
    </row>
    <row r="32" ht="18" customHeight="1" s="101">
      <c r="A32" s="76" t="n"/>
      <c r="B32" s="76" t="n"/>
      <c r="D32" s="76" t="n"/>
      <c r="E32" s="76" t="n"/>
      <c r="F32" s="76" t="n"/>
    </row>
    <row r="33" ht="18" customHeight="1" s="101">
      <c r="A33" s="76" t="n"/>
      <c r="B33" s="76" t="n"/>
      <c r="D33" s="76" t="n"/>
      <c r="E33" s="76" t="n"/>
      <c r="F33" s="76" t="n"/>
    </row>
    <row r="34" ht="18" customHeight="1" s="101">
      <c r="A34" s="76" t="n"/>
      <c r="B34" s="76" t="n"/>
      <c r="C34" s="76" t="n"/>
      <c r="D34" s="76" t="n"/>
      <c r="E34" s="76" t="n"/>
      <c r="F34" s="76" t="n"/>
    </row>
    <row r="35" ht="18" customHeight="1" s="101">
      <c r="A35" s="76" t="n"/>
      <c r="B35" s="76" t="n"/>
      <c r="C35" s="76" t="n"/>
      <c r="D35" s="76" t="n"/>
      <c r="E35" s="76" t="n"/>
      <c r="F35" s="76" t="n"/>
    </row>
    <row r="36" ht="18" customHeight="1" s="101">
      <c r="A36" s="76" t="n"/>
      <c r="B36" s="76" t="n"/>
      <c r="C36" s="76" t="n"/>
      <c r="D36" s="76" t="n"/>
      <c r="E36" s="76" t="n"/>
      <c r="F36" s="76" t="n"/>
    </row>
    <row r="37" ht="18" customHeight="1" s="101"/>
    <row r="38" ht="18" customHeight="1" s="101"/>
    <row r="39" ht="18" customHeight="1" s="101"/>
    <row r="40" ht="18" customHeight="1" s="101"/>
    <row r="41" ht="18" customHeight="1" s="101"/>
    <row r="42" ht="18" customHeight="1" s="101"/>
    <row r="43" ht="18" customHeight="1" s="101"/>
    <row r="44" ht="18" customHeight="1" s="101"/>
    <row r="45" ht="18" customHeight="1" s="101"/>
    <row r="46" ht="18" customHeight="1" s="101"/>
    <row r="47" ht="18" customHeight="1" s="101"/>
    <row r="48" ht="18" customHeight="1" s="101"/>
    <row r="49" ht="18" customHeight="1" s="101"/>
    <row r="50" ht="18" customHeight="1" s="101"/>
    <row r="51" ht="18" customHeight="1" s="101"/>
    <row r="52" ht="18" customHeight="1" s="101"/>
    <row r="53" ht="18" customHeight="1" s="101"/>
    <row r="54" ht="18" customHeight="1" s="101"/>
    <row r="55" ht="18" customHeight="1" s="101"/>
    <row r="56" ht="18" customHeight="1" s="101"/>
    <row r="57" ht="18" customHeight="1" s="101"/>
    <row r="58" ht="18" customHeight="1" s="101"/>
    <row r="59" ht="18" customHeight="1" s="101"/>
    <row r="60" ht="18" customHeight="1" s="101"/>
    <row r="61" ht="18" customHeight="1" s="101"/>
    <row r="62" ht="18" customHeight="1" s="101"/>
    <row r="63" ht="18" customHeight="1" s="101"/>
    <row r="64" ht="18" customHeight="1" s="101"/>
    <row r="65" ht="18" customHeight="1" s="101"/>
    <row r="66" ht="18" customHeight="1" s="101"/>
    <row r="67" ht="18" customHeight="1" s="101"/>
    <row r="68" ht="18" customHeight="1" s="101"/>
    <row r="69" ht="18" customHeight="1" s="101"/>
    <row r="70" ht="18" customHeight="1" s="101"/>
    <row r="71" ht="18" customHeight="1" s="101"/>
    <row r="72" ht="18" customHeight="1" s="101"/>
    <row r="73" ht="18" customHeight="1" s="101"/>
    <row r="74" ht="18" customHeight="1" s="101"/>
    <row r="75" ht="18" customHeight="1" s="101"/>
    <row r="76" ht="18" customHeight="1" s="101"/>
    <row r="77" ht="18" customHeight="1" s="101"/>
    <row r="78" ht="18" customHeight="1" s="101"/>
    <row r="79" ht="18" customHeight="1" s="101"/>
    <row r="80" ht="18" customHeight="1" s="101"/>
    <row r="81" ht="18" customHeight="1" s="101"/>
    <row r="82" ht="18" customHeight="1" s="101"/>
    <row r="83" ht="18" customHeight="1" s="101"/>
    <row r="84" ht="18" customHeight="1" s="101"/>
    <row r="85" ht="18" customHeight="1" s="101"/>
    <row r="86" ht="18" customHeight="1" s="101"/>
    <row r="87" ht="18" customHeight="1" s="101"/>
    <row r="88" ht="18" customHeight="1" s="101"/>
    <row r="89" ht="18" customHeight="1" s="101"/>
    <row r="90" ht="18" customHeight="1" s="101"/>
    <row r="91" ht="18" customHeight="1" s="101"/>
    <row r="92" ht="18" customHeight="1" s="101"/>
    <row r="93" ht="18" customHeight="1" s="101"/>
    <row r="94" ht="18" customHeight="1" s="101"/>
    <row r="95" ht="18" customHeight="1" s="101"/>
    <row r="96" ht="18" customHeight="1" s="101"/>
    <row r="97" ht="18" customHeight="1" s="101"/>
    <row r="98" ht="18" customHeight="1" s="101"/>
    <row r="99" ht="18" customHeight="1" s="101"/>
    <row r="100" ht="18" customHeight="1" s="101"/>
    <row r="101" ht="18" customHeight="1" s="101"/>
    <row r="102" ht="18" customHeight="1" s="101"/>
    <row r="103" ht="18" customHeight="1" s="101"/>
    <row r="104" ht="18" customHeight="1" s="101"/>
    <row r="105" ht="18" customHeight="1" s="101"/>
    <row r="106" ht="18" customHeight="1" s="101"/>
    <row r="107" ht="18" customHeight="1" s="101"/>
    <row r="108" ht="18" customHeight="1" s="101"/>
    <row r="109" ht="18" customHeight="1" s="101"/>
    <row r="110" ht="18" customHeight="1" s="101"/>
    <row r="111" ht="18" customHeight="1" s="101"/>
    <row r="112" ht="18" customHeight="1" s="101"/>
    <row r="113" ht="18" customHeight="1" s="101"/>
    <row r="114" ht="18" customHeight="1" s="101"/>
    <row r="115" ht="18" customHeight="1" s="101"/>
    <row r="116" ht="18" customHeight="1" s="101"/>
    <row r="117" ht="18" customHeight="1" s="101"/>
    <row r="118" ht="18" customHeight="1" s="101"/>
    <row r="119" ht="18" customHeight="1" s="101"/>
    <row r="120" ht="18" customHeight="1" s="101"/>
    <row r="121" ht="18" customHeight="1" s="101"/>
    <row r="122" ht="18" customHeight="1" s="101"/>
    <row r="123" ht="18" customHeight="1" s="101"/>
    <row r="124" ht="18" customHeight="1" s="101"/>
    <row r="125" ht="18" customHeight="1" s="101"/>
    <row r="126" ht="18" customHeight="1" s="101"/>
    <row r="127" ht="18" customHeight="1" s="101"/>
    <row r="128" ht="18" customHeight="1" s="101"/>
    <row r="129" ht="18" customHeight="1" s="101"/>
    <row r="130" ht="18" customHeight="1" s="101"/>
    <row r="131" ht="18" customHeight="1" s="101"/>
    <row r="132" ht="18" customHeight="1" s="101"/>
    <row r="133" ht="18" customHeight="1" s="101"/>
    <row r="134" ht="18" customHeight="1" s="101"/>
    <row r="135" ht="18" customHeight="1" s="101"/>
    <row r="136" ht="18" customHeight="1" s="101"/>
    <row r="137" ht="18" customHeight="1" s="101"/>
    <row r="138" ht="18" customHeight="1" s="101"/>
    <row r="139" ht="18" customHeight="1" s="101"/>
    <row r="140" ht="18" customHeight="1" s="101"/>
    <row r="141" ht="18" customHeight="1" s="101"/>
    <row r="142" ht="18" customHeight="1" s="101"/>
    <row r="143" ht="18" customHeight="1" s="101"/>
    <row r="144" ht="18" customHeight="1" s="101"/>
    <row r="145" ht="18" customHeight="1" s="101"/>
    <row r="146" ht="18" customHeight="1" s="101"/>
    <row r="147" ht="18" customHeight="1" s="101"/>
    <row r="148" ht="18" customHeight="1" s="101"/>
    <row r="149" ht="18" customHeight="1" s="101"/>
    <row r="150" ht="18" customHeight="1" s="101"/>
    <row r="151" ht="18" customHeight="1" s="101"/>
    <row r="152" ht="18" customHeight="1" s="101"/>
    <row r="153" ht="18" customHeight="1" s="101"/>
    <row r="154" ht="18" customHeight="1" s="101"/>
    <row r="155" ht="18" customHeight="1" s="101"/>
    <row r="156" ht="18" customHeight="1" s="101"/>
    <row r="157" ht="18" customHeight="1" s="101"/>
    <row r="158" ht="18" customHeight="1" s="101"/>
    <row r="159" ht="18" customHeight="1" s="101"/>
    <row r="160" ht="18" customHeight="1" s="101"/>
    <row r="161" ht="18" customHeight="1" s="101"/>
    <row r="162" ht="18" customHeight="1" s="101"/>
    <row r="163" ht="18" customHeight="1" s="101"/>
    <row r="164" ht="18" customHeight="1" s="101"/>
    <row r="165" ht="18" customHeight="1" s="101"/>
    <row r="166" ht="18" customHeight="1" s="101"/>
    <row r="167" ht="18" customHeight="1" s="101"/>
    <row r="168" ht="18" customHeight="1" s="101"/>
    <row r="169" ht="18" customHeight="1" s="101"/>
    <row r="170" ht="18" customHeight="1" s="101"/>
    <row r="171" ht="18" customHeight="1" s="101"/>
    <row r="172" ht="18" customHeight="1" s="101"/>
    <row r="173" ht="18" customHeight="1" s="101"/>
    <row r="174" ht="18" customHeight="1" s="101"/>
    <row r="175" ht="18" customHeight="1" s="101"/>
    <row r="176" ht="18" customHeight="1" s="101"/>
    <row r="177" ht="18" customHeight="1" s="101"/>
    <row r="178" ht="18" customHeight="1" s="101"/>
    <row r="179" ht="18" customHeight="1" s="101"/>
    <row r="180" ht="18" customHeight="1" s="101"/>
    <row r="181" ht="18" customHeight="1" s="101"/>
    <row r="182" ht="18" customHeight="1" s="101"/>
    <row r="183" ht="18" customHeight="1" s="101"/>
    <row r="184" ht="18" customHeight="1" s="101"/>
    <row r="185" ht="18" customHeight="1" s="101"/>
    <row r="186" ht="18" customHeight="1" s="101"/>
    <row r="187" ht="18" customHeight="1" s="101"/>
    <row r="188" ht="18" customHeight="1" s="101"/>
    <row r="189" ht="18" customHeight="1" s="101"/>
    <row r="190" ht="18" customHeight="1" s="101"/>
    <row r="191" ht="18" customHeight="1" s="101"/>
    <row r="192" ht="18" customHeight="1" s="101"/>
    <row r="193" ht="18" customHeight="1" s="101"/>
    <row r="194" ht="18" customHeight="1" s="101"/>
    <row r="195" ht="18" customHeight="1" s="101"/>
    <row r="196" ht="18" customHeight="1" s="101"/>
    <row r="197" ht="18" customHeight="1" s="101"/>
    <row r="198" ht="18" customHeight="1" s="101"/>
    <row r="199" ht="18" customHeight="1" s="101"/>
    <row r="200" ht="18" customHeight="1" s="101"/>
    <row r="201" ht="18" customHeight="1" s="101"/>
    <row r="202" ht="18" customHeight="1" s="101"/>
    <row r="203" ht="18" customHeight="1" s="101"/>
    <row r="204" ht="18" customHeight="1" s="101"/>
    <row r="205" ht="18" customHeight="1" s="101"/>
    <row r="206" ht="18" customHeight="1" s="101"/>
    <row r="207" ht="18" customHeight="1" s="101"/>
    <row r="208" ht="18" customHeight="1" s="101"/>
    <row r="209" ht="18" customHeight="1" s="101"/>
    <row r="210" ht="18" customHeight="1" s="101"/>
    <row r="211" ht="18" customHeight="1" s="101"/>
    <row r="212" ht="18" customHeight="1" s="101"/>
    <row r="213" ht="18" customHeight="1" s="101"/>
    <row r="214" ht="18" customHeight="1" s="101"/>
    <row r="215" ht="18" customHeight="1" s="101"/>
    <row r="216" ht="18" customHeight="1" s="101"/>
    <row r="217" ht="18" customHeight="1" s="101"/>
    <row r="218" ht="18" customHeight="1" s="101"/>
    <row r="219" ht="18" customHeight="1" s="101"/>
    <row r="220" ht="18" customHeight="1" s="101"/>
    <row r="221" ht="18" customHeight="1" s="101"/>
    <row r="222" ht="18" customHeight="1" s="101"/>
    <row r="223" ht="18" customHeight="1" s="101"/>
    <row r="224" ht="18" customHeight="1" s="101"/>
    <row r="225" ht="18" customHeight="1" s="101"/>
    <row r="226" ht="18" customHeight="1" s="101"/>
    <row r="227" ht="18" customHeight="1" s="101"/>
    <row r="228" ht="18" customHeight="1" s="101"/>
    <row r="229" ht="18" customHeight="1" s="101"/>
    <row r="230" ht="18" customHeight="1" s="101"/>
    <row r="231" ht="18" customHeight="1" s="101"/>
    <row r="232" ht="18" customHeight="1" s="101"/>
    <row r="233" ht="18" customHeight="1" s="101"/>
    <row r="234" ht="18" customHeight="1" s="101"/>
    <row r="235" ht="18" customHeight="1" s="101"/>
    <row r="236" ht="18" customHeight="1" s="101"/>
    <row r="237" ht="18" customHeight="1" s="101"/>
    <row r="238" ht="18" customHeight="1" s="101"/>
    <row r="239" ht="18" customHeight="1" s="101"/>
    <row r="240" ht="18" customHeight="1" s="101"/>
    <row r="241" ht="18" customHeight="1" s="101"/>
    <row r="242" ht="18" customHeight="1" s="101"/>
    <row r="243" ht="18" customHeight="1" s="101"/>
    <row r="244" ht="18" customHeight="1" s="101"/>
    <row r="245" ht="18" customHeight="1" s="101"/>
    <row r="246" ht="18" customHeight="1" s="101"/>
    <row r="247" ht="18" customHeight="1" s="101"/>
    <row r="248" ht="18" customHeight="1" s="101"/>
    <row r="249" ht="18" customHeight="1" s="101"/>
    <row r="250" ht="18" customHeight="1" s="101"/>
    <row r="251" ht="18" customHeight="1" s="101"/>
    <row r="252" ht="18" customHeight="1" s="101"/>
    <row r="253" ht="18" customHeight="1" s="101"/>
    <row r="254" ht="18" customHeight="1" s="101"/>
    <row r="255" ht="18" customHeight="1" s="101"/>
    <row r="256" ht="18" customHeight="1" s="101"/>
    <row r="257" ht="18" customHeight="1" s="101"/>
    <row r="258" ht="18" customHeight="1" s="101"/>
    <row r="259" ht="18" customHeight="1" s="101"/>
    <row r="260" ht="18" customHeight="1" s="101"/>
    <row r="261" ht="18" customHeight="1" s="101"/>
    <row r="262" ht="18" customHeight="1" s="101"/>
    <row r="263" ht="18" customHeight="1" s="101"/>
    <row r="264" ht="18" customHeight="1" s="101"/>
    <row r="265" ht="18" customHeight="1" s="101"/>
    <row r="266" ht="18" customHeight="1" s="101"/>
    <row r="267" ht="18" customHeight="1" s="101"/>
    <row r="268" ht="18" customHeight="1" s="101"/>
    <row r="269" ht="18" customHeight="1" s="101"/>
    <row r="270" ht="18" customHeight="1" s="101"/>
    <row r="271" ht="18" customHeight="1" s="101"/>
    <row r="272" ht="18" customHeight="1" s="101"/>
    <row r="273" ht="18" customHeight="1" s="101"/>
    <row r="274" ht="18" customHeight="1" s="101"/>
    <row r="275" ht="18" customHeight="1" s="101"/>
    <row r="276" ht="18" customHeight="1" s="101"/>
    <row r="277" ht="18" customHeight="1" s="101"/>
    <row r="278" ht="18" customHeight="1" s="101"/>
    <row r="279" ht="18" customHeight="1" s="101"/>
    <row r="280" ht="18" customHeight="1" s="101"/>
    <row r="281" ht="18" customHeight="1" s="101"/>
    <row r="282" ht="18" customHeight="1" s="101"/>
    <row r="283" ht="18" customHeight="1" s="101"/>
    <row r="284" ht="18" customHeight="1" s="101"/>
    <row r="285" ht="18" customHeight="1" s="101"/>
    <row r="286" ht="18" customHeight="1" s="101"/>
    <row r="287" ht="18" customHeight="1" s="101"/>
    <row r="288" ht="18" customHeight="1" s="101"/>
    <row r="289" ht="18" customHeight="1" s="101"/>
    <row r="290" ht="18" customHeight="1" s="101"/>
    <row r="291" ht="18" customHeight="1" s="101"/>
    <row r="292" ht="18" customHeight="1" s="101"/>
    <row r="293" ht="18" customHeight="1" s="101"/>
    <row r="294" ht="18" customHeight="1" s="101"/>
    <row r="295" ht="18" customHeight="1" s="101"/>
    <row r="296" ht="18" customHeight="1" s="101"/>
    <row r="297" ht="18" customHeight="1" s="101"/>
    <row r="298" ht="18" customHeight="1" s="101"/>
    <row r="299" ht="18" customHeight="1" s="101"/>
    <row r="300" ht="18" customHeight="1" s="101"/>
    <row r="301" ht="18" customHeight="1" s="101"/>
    <row r="302" ht="18" customHeight="1" s="101"/>
    <row r="303" ht="18" customHeight="1" s="101"/>
    <row r="304" ht="18" customHeight="1" s="101"/>
    <row r="305" ht="18" customHeight="1" s="101"/>
    <row r="306" ht="18" customHeight="1" s="101"/>
    <row r="307" ht="18" customHeight="1" s="101"/>
    <row r="308" ht="18" customHeight="1" s="101"/>
    <row r="309" ht="18" customHeight="1" s="101"/>
    <row r="310" ht="18" customHeight="1" s="101"/>
    <row r="311" ht="18" customHeight="1" s="101"/>
    <row r="312" ht="18" customHeight="1" s="101"/>
    <row r="313" ht="18" customHeight="1" s="101"/>
    <row r="314" ht="18" customHeight="1" s="101"/>
    <row r="315" ht="18" customHeight="1" s="101"/>
    <row r="316" ht="18" customHeight="1" s="101"/>
    <row r="317" ht="18" customHeight="1" s="101"/>
    <row r="318" ht="18" customHeight="1" s="101"/>
    <row r="319" ht="18" customHeight="1" s="101"/>
    <row r="320" ht="18" customHeight="1" s="101"/>
    <row r="321" ht="18" customHeight="1" s="101"/>
    <row r="322" ht="18" customHeight="1" s="101"/>
    <row r="323" ht="18" customHeight="1" s="101"/>
    <row r="324" ht="18" customHeight="1" s="101"/>
    <row r="325" ht="18" customHeight="1" s="101"/>
    <row r="326" ht="18" customHeight="1" s="101"/>
    <row r="327" ht="18" customHeight="1" s="101"/>
    <row r="328" ht="18" customHeight="1" s="101"/>
    <row r="329" ht="18" customHeight="1" s="101"/>
    <row r="330" ht="18" customHeight="1" s="101"/>
    <row r="331" ht="18" customHeight="1" s="101"/>
    <row r="332" ht="18" customHeight="1" s="101"/>
    <row r="333" ht="18" customHeight="1" s="101"/>
    <row r="334" ht="18" customHeight="1" s="101"/>
    <row r="335" ht="18" customHeight="1" s="101"/>
    <row r="336" ht="18" customHeight="1" s="101"/>
    <row r="337" ht="18" customHeight="1" s="101"/>
    <row r="338" ht="18" customHeight="1" s="101"/>
    <row r="339" ht="18" customHeight="1" s="101"/>
    <row r="340" ht="18" customHeight="1" s="101"/>
    <row r="341" ht="18" customHeight="1" s="101"/>
    <row r="342" ht="18" customHeight="1" s="101"/>
    <row r="343" ht="18" customHeight="1" s="101"/>
    <row r="344" ht="18" customHeight="1" s="101"/>
    <row r="345" ht="18" customHeight="1" s="101"/>
    <row r="346" ht="18" customHeight="1" s="101"/>
    <row r="347" ht="18" customHeight="1" s="101"/>
    <row r="348" ht="18" customHeight="1" s="101"/>
    <row r="349" ht="18" customHeight="1" s="101"/>
    <row r="350" ht="18" customHeight="1" s="101"/>
    <row r="351" ht="18" customHeight="1" s="101"/>
    <row r="352" ht="18" customHeight="1" s="101"/>
    <row r="353" ht="18" customHeight="1" s="101"/>
    <row r="354" ht="18" customHeight="1" s="101"/>
    <row r="355" ht="18" customHeight="1" s="101"/>
    <row r="356" ht="18" customHeight="1" s="101"/>
    <row r="357" ht="18" customHeight="1" s="101"/>
    <row r="358" ht="18" customHeight="1" s="101"/>
    <row r="359" ht="18" customHeight="1" s="101"/>
    <row r="360" ht="18" customHeight="1" s="101"/>
    <row r="361" ht="18" customHeight="1" s="101"/>
    <row r="362" ht="18" customHeight="1" s="101"/>
    <row r="363" ht="18" customHeight="1" s="101"/>
    <row r="364" ht="18" customHeight="1" s="101"/>
    <row r="365" ht="18" customHeight="1" s="101"/>
    <row r="366" ht="18" customHeight="1" s="101"/>
    <row r="367" ht="18" customHeight="1" s="101"/>
    <row r="368" ht="18" customHeight="1" s="101"/>
    <row r="369" ht="18" customHeight="1" s="101"/>
    <row r="370" ht="18" customHeight="1" s="101"/>
    <row r="371" ht="18" customHeight="1" s="101"/>
    <row r="372" ht="18" customHeight="1" s="101"/>
    <row r="373" ht="18" customHeight="1" s="101"/>
    <row r="374" ht="18" customHeight="1" s="101"/>
    <row r="375" ht="18" customHeight="1" s="101"/>
    <row r="376" ht="18" customHeight="1" s="101"/>
    <row r="377" ht="18" customHeight="1" s="101"/>
    <row r="378" ht="18" customHeight="1" s="101"/>
    <row r="379" ht="18" customHeight="1" s="101"/>
    <row r="380" ht="18" customHeight="1" s="101"/>
    <row r="381" ht="18" customHeight="1" s="101"/>
    <row r="382" ht="18" customHeight="1" s="101"/>
    <row r="383" ht="18" customHeight="1" s="101"/>
    <row r="384" ht="18" customHeight="1" s="101"/>
    <row r="385" ht="18" customHeight="1" s="101"/>
    <row r="386" ht="18" customHeight="1" s="101"/>
    <row r="387" ht="18" customHeight="1" s="101"/>
    <row r="388" ht="18" customHeight="1" s="101"/>
    <row r="389" ht="18" customHeight="1" s="101"/>
    <row r="390" ht="18" customHeight="1" s="101"/>
    <row r="391" ht="18" customHeight="1" s="101"/>
    <row r="392" ht="18" customHeight="1" s="101"/>
    <row r="393" ht="18" customHeight="1" s="101"/>
    <row r="394" ht="18" customHeight="1" s="101"/>
    <row r="395" ht="18" customHeight="1" s="101"/>
    <row r="396" ht="18" customHeight="1" s="101"/>
    <row r="397" ht="18" customHeight="1" s="101"/>
    <row r="398" ht="18" customHeight="1" s="101"/>
    <row r="399" ht="18" customHeight="1" s="101"/>
    <row r="400" ht="18" customHeight="1" s="101"/>
    <row r="401" ht="18" customHeight="1" s="101"/>
    <row r="402" ht="18" customHeight="1" s="101"/>
    <row r="403" ht="18" customHeight="1" s="101"/>
    <row r="404" ht="18" customHeight="1" s="101"/>
    <row r="405" ht="18" customHeight="1" s="101"/>
    <row r="406" ht="18" customHeight="1" s="101"/>
    <row r="407" ht="18" customHeight="1" s="101"/>
    <row r="408" ht="18" customHeight="1" s="101"/>
    <row r="409" ht="18" customHeight="1" s="101"/>
    <row r="410" ht="18" customHeight="1" s="101"/>
    <row r="411" ht="18" customHeight="1" s="101"/>
    <row r="412" ht="18" customHeight="1" s="101"/>
    <row r="413" ht="18" customHeight="1" s="101"/>
    <row r="414" ht="18" customHeight="1" s="101"/>
    <row r="415" ht="18" customHeight="1" s="101"/>
    <row r="416" ht="18" customHeight="1" s="101"/>
    <row r="417" ht="18" customHeight="1" s="101"/>
    <row r="418" ht="18" customHeight="1" s="101"/>
    <row r="419" ht="18" customHeight="1" s="101"/>
    <row r="420" ht="18" customHeight="1" s="101"/>
    <row r="421" ht="18" customHeight="1" s="101"/>
    <row r="422" ht="18" customHeight="1" s="101"/>
    <row r="423" ht="18" customHeight="1" s="101"/>
    <row r="424" ht="18" customHeight="1" s="101"/>
    <row r="425" ht="18" customHeight="1" s="101"/>
    <row r="426" ht="18" customHeight="1" s="101"/>
    <row r="427" ht="18" customHeight="1" s="101"/>
    <row r="428" ht="18" customHeight="1" s="101"/>
    <row r="429" ht="18" customHeight="1" s="101"/>
    <row r="430" ht="18" customHeight="1" s="101"/>
    <row r="431" ht="18" customHeight="1" s="101"/>
    <row r="432" ht="18" customHeight="1" s="101"/>
    <row r="433" ht="18" customHeight="1" s="101"/>
    <row r="434" ht="18" customHeight="1" s="101"/>
    <row r="435" ht="18" customHeight="1" s="101"/>
    <row r="436" ht="18" customHeight="1" s="101"/>
    <row r="437" ht="18" customHeight="1" s="101"/>
    <row r="438" ht="18" customHeight="1" s="101"/>
    <row r="439" ht="18" customHeight="1" s="101"/>
    <row r="440" ht="18" customHeight="1" s="101"/>
    <row r="441" ht="18" customHeight="1" s="101"/>
    <row r="442" ht="18" customHeight="1" s="101"/>
    <row r="443" ht="18" customHeight="1" s="101"/>
    <row r="444" ht="18" customHeight="1" s="101"/>
    <row r="445" ht="18" customHeight="1" s="101"/>
    <row r="446" ht="18" customHeight="1" s="101"/>
    <row r="447" ht="18" customHeight="1" s="101"/>
    <row r="448" ht="18" customHeight="1" s="101"/>
    <row r="449" ht="18" customHeight="1" s="101"/>
    <row r="450" ht="18" customHeight="1" s="101"/>
    <row r="451" ht="18" customHeight="1" s="101"/>
    <row r="452" ht="18" customHeight="1" s="101"/>
    <row r="453" ht="18" customHeight="1" s="101"/>
    <row r="454" ht="18" customHeight="1" s="101"/>
    <row r="455" ht="18" customHeight="1" s="101"/>
    <row r="456" ht="18" customHeight="1" s="101"/>
    <row r="457" ht="18" customHeight="1" s="101"/>
    <row r="458" ht="18" customHeight="1" s="101"/>
    <row r="459" ht="18" customHeight="1" s="101"/>
    <row r="460" ht="18" customHeight="1" s="101"/>
    <row r="461" ht="18" customHeight="1" s="101"/>
    <row r="462" ht="18" customHeight="1" s="101"/>
    <row r="463" ht="18" customHeight="1" s="101"/>
    <row r="464" ht="18" customHeight="1" s="101"/>
    <row r="465" ht="18" customHeight="1" s="101"/>
    <row r="466" ht="18" customHeight="1" s="101"/>
    <row r="467" ht="18" customHeight="1" s="101"/>
    <row r="468" ht="18" customHeight="1" s="101"/>
    <row r="469" ht="18" customHeight="1" s="101"/>
    <row r="470" ht="18" customHeight="1" s="101"/>
    <row r="471" ht="18" customHeight="1" s="101"/>
    <row r="472" ht="18" customHeight="1" s="101"/>
    <row r="473" ht="18" customHeight="1" s="101"/>
    <row r="474" ht="18" customHeight="1" s="101"/>
    <row r="475" ht="18" customHeight="1" s="101"/>
    <row r="476" ht="18" customHeight="1" s="101"/>
    <row r="477" ht="18" customHeight="1" s="101"/>
    <row r="478" ht="18" customHeight="1" s="101"/>
    <row r="479" ht="18" customHeight="1" s="101"/>
    <row r="480" ht="18" customHeight="1" s="101"/>
    <row r="481" ht="18" customHeight="1" s="101"/>
    <row r="482" ht="18" customHeight="1" s="101"/>
    <row r="483" ht="18" customHeight="1" s="101"/>
    <row r="484" ht="18" customHeight="1" s="101"/>
    <row r="485" ht="18" customHeight="1" s="101"/>
    <row r="486" ht="18" customHeight="1" s="101"/>
    <row r="487" ht="18" customHeight="1" s="101"/>
    <row r="488" ht="18" customHeight="1" s="101"/>
    <row r="489" ht="18" customHeight="1" s="101"/>
    <row r="490" ht="18" customHeight="1" s="101"/>
    <row r="491" ht="18" customHeight="1" s="101"/>
    <row r="492" ht="18" customHeight="1" s="101"/>
    <row r="493" ht="18" customHeight="1" s="101"/>
    <row r="494" ht="18" customHeight="1" s="101"/>
    <row r="495" ht="18" customHeight="1" s="101"/>
    <row r="496" ht="18" customHeight="1" s="101"/>
    <row r="497" ht="18" customHeight="1" s="101"/>
    <row r="498" ht="18" customHeight="1" s="101"/>
    <row r="499" ht="18" customHeight="1" s="101"/>
    <row r="500" ht="18" customHeight="1" s="101"/>
    <row r="501" ht="18" customHeight="1" s="101"/>
    <row r="502" ht="18" customHeight="1" s="101"/>
    <row r="503" ht="18" customHeight="1" s="101"/>
    <row r="504" ht="18" customHeight="1" s="101"/>
    <row r="505" ht="18" customHeight="1" s="101"/>
    <row r="506" ht="18" customHeight="1" s="101"/>
    <row r="507" ht="18" customHeight="1" s="101"/>
    <row r="508" ht="18" customHeight="1" s="101"/>
    <row r="509" ht="18" customHeight="1" s="101"/>
    <row r="510" ht="18" customHeight="1" s="101"/>
    <row r="511" ht="18" customHeight="1" s="101"/>
    <row r="512" ht="18" customHeight="1" s="101"/>
    <row r="513" ht="18" customHeight="1" s="101"/>
    <row r="514" ht="18" customHeight="1" s="101"/>
    <row r="515" ht="18" customHeight="1" s="101"/>
    <row r="516" ht="18" customHeight="1" s="101"/>
    <row r="517" ht="18" customHeight="1" s="101"/>
    <row r="518" ht="18" customHeight="1" s="101"/>
    <row r="519" ht="18" customHeight="1" s="101"/>
    <row r="520" ht="18" customHeight="1" s="101"/>
    <row r="521" ht="18" customHeight="1" s="101"/>
    <row r="522" ht="18" customHeight="1" s="101"/>
    <row r="523" ht="18" customHeight="1" s="101"/>
    <row r="524" ht="18" customHeight="1" s="101"/>
    <row r="525" ht="18" customHeight="1" s="101"/>
    <row r="526" ht="18" customHeight="1" s="101"/>
    <row r="527" ht="18" customHeight="1" s="101"/>
    <row r="528" ht="18" customHeight="1" s="101"/>
    <row r="529" ht="18" customHeight="1" s="101"/>
    <row r="530" ht="18" customHeight="1" s="101"/>
    <row r="531" ht="18" customHeight="1" s="101"/>
    <row r="532" ht="18" customHeight="1" s="101"/>
    <row r="533" ht="18" customHeight="1" s="101"/>
    <row r="534" ht="18" customHeight="1" s="101"/>
    <row r="535" ht="18" customHeight="1" s="101"/>
    <row r="536" ht="18" customHeight="1" s="101"/>
    <row r="537" ht="18" customHeight="1" s="101"/>
    <row r="538" ht="18" customHeight="1" s="101"/>
    <row r="539" ht="18" customHeight="1" s="101"/>
    <row r="540" ht="18" customHeight="1" s="101"/>
    <row r="541" ht="18" customHeight="1" s="101"/>
    <row r="542" ht="18" customHeight="1" s="101"/>
    <row r="543" ht="18" customHeight="1" s="101"/>
    <row r="544" ht="18" customHeight="1" s="101"/>
    <row r="545" ht="18" customHeight="1" s="101"/>
    <row r="546" ht="18" customHeight="1" s="101"/>
    <row r="547" ht="18" customHeight="1" s="101"/>
    <row r="548" ht="18" customHeight="1" s="101"/>
    <row r="549" ht="18" customHeight="1" s="101"/>
    <row r="550" ht="18" customHeight="1" s="101"/>
    <row r="551" ht="18" customHeight="1" s="101"/>
    <row r="552" ht="18" customHeight="1" s="101"/>
    <row r="553" ht="18" customHeight="1" s="101"/>
    <row r="554" ht="18" customHeight="1" s="101"/>
    <row r="555" ht="18" customHeight="1" s="101"/>
    <row r="556" ht="18" customHeight="1" s="101"/>
    <row r="557" ht="18" customHeight="1" s="101"/>
    <row r="558" ht="18" customHeight="1" s="101"/>
    <row r="559" ht="18" customHeight="1" s="101"/>
    <row r="560" ht="18" customHeight="1" s="101"/>
    <row r="561" ht="18" customHeight="1" s="101"/>
    <row r="562" ht="18" customHeight="1" s="101"/>
    <row r="563" ht="18" customHeight="1" s="101"/>
    <row r="564" ht="18" customHeight="1" s="101"/>
    <row r="565" ht="18" customHeight="1" s="101"/>
    <row r="566" ht="18" customHeight="1" s="101"/>
    <row r="567" ht="18" customHeight="1" s="101"/>
    <row r="568" ht="18" customHeight="1" s="101"/>
    <row r="569" ht="18" customHeight="1" s="101"/>
    <row r="570" ht="18" customHeight="1" s="101"/>
    <row r="571" ht="18" customHeight="1" s="101"/>
    <row r="572" ht="18" customHeight="1" s="101"/>
    <row r="573" ht="18" customHeight="1" s="101"/>
    <row r="574" ht="18" customHeight="1" s="101"/>
    <row r="575" ht="18" customHeight="1" s="101"/>
    <row r="576" ht="18" customHeight="1" s="101"/>
    <row r="577" ht="18" customHeight="1" s="101"/>
    <row r="578" ht="18" customHeight="1" s="101"/>
    <row r="579" ht="18" customHeight="1" s="101"/>
    <row r="580" ht="18" customHeight="1" s="101"/>
    <row r="581" ht="18" customHeight="1" s="101"/>
    <row r="582" ht="18" customHeight="1" s="101"/>
    <row r="583" ht="18" customHeight="1" s="101"/>
    <row r="584" ht="18" customHeight="1" s="101"/>
    <row r="585" ht="18" customHeight="1" s="101"/>
    <row r="586" ht="18" customHeight="1" s="101"/>
    <row r="587" ht="18" customHeight="1" s="101"/>
    <row r="588" ht="18" customHeight="1" s="101"/>
    <row r="589" ht="18" customHeight="1" s="101"/>
    <row r="590" ht="18" customHeight="1" s="101"/>
    <row r="591" ht="18" customHeight="1" s="101"/>
    <row r="592" ht="18" customHeight="1" s="101"/>
    <row r="593" ht="18" customHeight="1" s="101"/>
    <row r="594" ht="18" customHeight="1" s="101"/>
    <row r="595" ht="18" customHeight="1" s="101"/>
    <row r="596" ht="18" customHeight="1" s="101"/>
    <row r="597" ht="18" customHeight="1" s="101"/>
    <row r="598" ht="18" customHeight="1" s="101"/>
    <row r="599" ht="18" customHeight="1" s="101"/>
    <row r="600" ht="18" customHeight="1" s="101"/>
    <row r="601" ht="18" customHeight="1" s="101"/>
    <row r="602" ht="18" customHeight="1" s="101"/>
    <row r="603" ht="18" customHeight="1" s="101"/>
    <row r="604" ht="18" customHeight="1" s="101"/>
    <row r="605" ht="18" customHeight="1" s="101"/>
    <row r="606" ht="18" customHeight="1" s="101"/>
    <row r="607" ht="18" customHeight="1" s="101"/>
    <row r="608" ht="18" customHeight="1" s="101"/>
    <row r="609" ht="18" customHeight="1" s="101"/>
    <row r="610" ht="18" customHeight="1" s="101"/>
    <row r="611" ht="18" customHeight="1" s="101"/>
    <row r="612" ht="18" customHeight="1" s="101"/>
    <row r="613" ht="18" customHeight="1" s="101"/>
    <row r="614" ht="18" customHeight="1" s="101"/>
    <row r="615" ht="18" customHeight="1" s="101"/>
    <row r="616" ht="18" customHeight="1" s="101"/>
    <row r="617" ht="18" customHeight="1" s="101"/>
    <row r="618" ht="18" customHeight="1" s="101"/>
    <row r="619" ht="18" customHeight="1" s="101"/>
    <row r="620" ht="18" customHeight="1" s="101"/>
    <row r="621" ht="18" customHeight="1" s="101"/>
    <row r="622" ht="18" customHeight="1" s="101"/>
    <row r="623" ht="18" customHeight="1" s="101"/>
    <row r="624" ht="18" customHeight="1" s="101"/>
    <row r="625" ht="18" customHeight="1" s="101"/>
    <row r="626" ht="18" customHeight="1" s="101"/>
    <row r="627" ht="18" customHeight="1" s="101"/>
    <row r="628" ht="18" customHeight="1" s="101"/>
    <row r="629" ht="18" customHeight="1" s="101"/>
    <row r="630" ht="18" customHeight="1" s="101"/>
    <row r="631" ht="18" customHeight="1" s="101"/>
    <row r="632" ht="18" customHeight="1" s="101"/>
    <row r="633" ht="18" customHeight="1" s="101"/>
    <row r="634" ht="18" customHeight="1" s="101"/>
    <row r="635" ht="18" customHeight="1" s="101"/>
    <row r="636" ht="18" customHeight="1" s="101"/>
    <row r="637" ht="18" customHeight="1" s="101"/>
    <row r="638" ht="18" customHeight="1" s="101"/>
    <row r="639" ht="18" customHeight="1" s="101"/>
    <row r="640" ht="18" customHeight="1" s="101"/>
    <row r="641" ht="18" customHeight="1" s="101"/>
    <row r="642" ht="18" customHeight="1" s="101"/>
    <row r="643" ht="18" customHeight="1" s="101"/>
    <row r="644" ht="18" customHeight="1" s="101"/>
    <row r="645" ht="18" customHeight="1" s="101"/>
    <row r="646" ht="18" customHeight="1" s="101"/>
    <row r="647" ht="18" customHeight="1" s="101"/>
    <row r="648" ht="18" customHeight="1" s="101"/>
    <row r="649" ht="18" customHeight="1" s="101"/>
    <row r="650" ht="18" customHeight="1" s="101"/>
    <row r="651" ht="18" customHeight="1" s="101"/>
    <row r="652" ht="18" customHeight="1" s="101"/>
    <row r="653" ht="18" customHeight="1" s="101"/>
    <row r="654" ht="18" customHeight="1" s="101"/>
    <row r="655" ht="18" customHeight="1" s="101"/>
    <row r="656" ht="18" customHeight="1" s="101"/>
    <row r="657" ht="18" customHeight="1" s="101"/>
    <row r="658" ht="18" customHeight="1" s="101"/>
    <row r="659" ht="18" customHeight="1" s="101"/>
    <row r="660" ht="18" customHeight="1" s="101"/>
    <row r="661" ht="18" customHeight="1" s="101"/>
    <row r="662" ht="18" customHeight="1" s="101"/>
    <row r="663" ht="18" customHeight="1" s="101"/>
    <row r="664" ht="18" customHeight="1" s="101"/>
    <row r="665" ht="18" customHeight="1" s="101"/>
    <row r="666" ht="18" customHeight="1" s="101"/>
    <row r="667" ht="18" customHeight="1" s="101"/>
    <row r="668" ht="18" customHeight="1" s="101"/>
    <row r="669" ht="18" customHeight="1" s="101"/>
    <row r="670" ht="18" customHeight="1" s="101"/>
    <row r="671" ht="18" customHeight="1" s="101"/>
    <row r="672" ht="18" customHeight="1" s="101"/>
    <row r="673" ht="18" customHeight="1" s="101"/>
    <row r="674" ht="18" customHeight="1" s="101"/>
    <row r="675" ht="18" customHeight="1" s="101"/>
    <row r="676" ht="18" customHeight="1" s="101"/>
    <row r="677" ht="18" customHeight="1" s="101"/>
    <row r="678" ht="18" customHeight="1" s="101"/>
    <row r="679" ht="18" customHeight="1" s="101"/>
    <row r="680" ht="18" customHeight="1" s="101"/>
    <row r="681" ht="18" customHeight="1" s="101"/>
    <row r="682" ht="18" customHeight="1" s="101"/>
    <row r="683" ht="18" customHeight="1" s="101"/>
    <row r="684" ht="18" customHeight="1" s="101"/>
    <row r="685" ht="18" customHeight="1" s="101"/>
    <row r="686" ht="18" customHeight="1" s="101"/>
    <row r="687" ht="18" customHeight="1" s="101"/>
    <row r="688" ht="18" customHeight="1" s="101"/>
    <row r="689" ht="18" customHeight="1" s="101"/>
    <row r="690" ht="18" customHeight="1" s="101"/>
    <row r="691" ht="18" customHeight="1" s="101"/>
    <row r="692" ht="18" customHeight="1" s="101"/>
    <row r="693" ht="18" customHeight="1" s="101"/>
    <row r="694" ht="18" customHeight="1" s="101"/>
    <row r="695" ht="18" customHeight="1" s="101"/>
    <row r="696" ht="18" customHeight="1" s="101"/>
    <row r="697" ht="18" customHeight="1" s="101"/>
    <row r="698" ht="18" customHeight="1" s="101"/>
    <row r="699" ht="18" customHeight="1" s="101"/>
    <row r="700" ht="18" customHeight="1" s="101"/>
    <row r="701" ht="18" customHeight="1" s="101"/>
    <row r="702" ht="18" customHeight="1" s="101"/>
    <row r="703" ht="18" customHeight="1" s="101"/>
    <row r="704" ht="18" customHeight="1" s="101"/>
    <row r="705" ht="18" customHeight="1" s="101"/>
    <row r="706" ht="18" customHeight="1" s="101"/>
    <row r="707" ht="18" customHeight="1" s="101"/>
    <row r="708" ht="18" customHeight="1" s="101"/>
    <row r="709" ht="18" customHeight="1" s="101"/>
    <row r="710" ht="18" customHeight="1" s="101"/>
    <row r="711" ht="18" customHeight="1" s="101"/>
    <row r="712" ht="18" customHeight="1" s="101"/>
    <row r="713" ht="18" customHeight="1" s="101"/>
    <row r="714" ht="18" customHeight="1" s="101"/>
    <row r="715" ht="18" customHeight="1" s="101"/>
    <row r="716" ht="18" customHeight="1" s="101"/>
    <row r="717" ht="18" customHeight="1" s="101"/>
    <row r="718" ht="18" customHeight="1" s="101"/>
    <row r="719" ht="18" customHeight="1" s="101"/>
    <row r="720" ht="18" customHeight="1" s="101"/>
    <row r="721" ht="18" customHeight="1" s="101"/>
    <row r="722" ht="18" customHeight="1" s="101"/>
    <row r="723" ht="18" customHeight="1" s="101"/>
    <row r="724" ht="18" customHeight="1" s="101"/>
    <row r="725" ht="18" customHeight="1" s="101"/>
    <row r="726" ht="18" customHeight="1" s="101"/>
    <row r="727" ht="18" customHeight="1" s="101"/>
    <row r="728" ht="18" customHeight="1" s="101"/>
    <row r="729" ht="18" customHeight="1" s="101"/>
    <row r="730" ht="18" customHeight="1" s="101"/>
    <row r="731" ht="18" customHeight="1" s="101"/>
    <row r="732" ht="18" customHeight="1" s="101"/>
    <row r="733" ht="18" customHeight="1" s="101"/>
    <row r="734" ht="18" customHeight="1" s="101"/>
    <row r="735" ht="18" customHeight="1" s="101"/>
    <row r="736" ht="18" customHeight="1" s="101"/>
    <row r="737" ht="18" customHeight="1" s="101"/>
    <row r="738" ht="18" customHeight="1" s="101"/>
    <row r="739" ht="18" customHeight="1" s="101"/>
    <row r="740" ht="18" customHeight="1" s="101"/>
    <row r="741" ht="18" customHeight="1" s="101"/>
    <row r="742" ht="18" customHeight="1" s="101"/>
    <row r="743" ht="18" customHeight="1" s="101"/>
    <row r="744" ht="18" customHeight="1" s="101"/>
    <row r="745" ht="18" customHeight="1" s="101"/>
    <row r="746" ht="18" customHeight="1" s="101"/>
    <row r="747" ht="18" customHeight="1" s="101"/>
    <row r="748" ht="18" customHeight="1" s="101"/>
    <row r="749" ht="18" customHeight="1" s="101"/>
    <row r="750" ht="18" customHeight="1" s="101"/>
    <row r="751" ht="18" customHeight="1" s="101"/>
    <row r="752" ht="18" customHeight="1" s="101"/>
    <row r="753" ht="18" customHeight="1" s="101"/>
    <row r="754" ht="18" customHeight="1" s="101"/>
    <row r="755" ht="18" customHeight="1" s="101"/>
    <row r="756" ht="18" customHeight="1" s="101"/>
    <row r="757" ht="18" customHeight="1" s="101"/>
    <row r="758" ht="18" customHeight="1" s="101"/>
    <row r="759" ht="18" customHeight="1" s="101"/>
    <row r="760" ht="18" customHeight="1" s="101"/>
    <row r="761" ht="18" customHeight="1" s="101"/>
    <row r="762" ht="18" customHeight="1" s="101"/>
    <row r="763" ht="18" customHeight="1" s="101"/>
    <row r="764" ht="18" customHeight="1" s="101"/>
    <row r="765" ht="18" customHeight="1" s="101"/>
    <row r="766" ht="18" customHeight="1" s="101"/>
    <row r="767" ht="18" customHeight="1" s="101"/>
    <row r="768" ht="18" customHeight="1" s="101"/>
    <row r="769" ht="18" customHeight="1" s="101"/>
    <row r="770" ht="18" customHeight="1" s="101"/>
    <row r="771" ht="18" customHeight="1" s="101"/>
    <row r="772" ht="18" customHeight="1" s="101"/>
    <row r="773" ht="18" customHeight="1" s="101"/>
    <row r="774" ht="18" customHeight="1" s="101"/>
    <row r="775" ht="18" customHeight="1" s="101"/>
    <row r="776" ht="18" customHeight="1" s="101"/>
    <row r="777" ht="18" customHeight="1" s="101"/>
    <row r="778" ht="18" customHeight="1" s="101"/>
    <row r="779" ht="18" customHeight="1" s="101"/>
    <row r="780" ht="18" customHeight="1" s="101"/>
    <row r="781" ht="18" customHeight="1" s="101"/>
    <row r="782" ht="18" customHeight="1" s="101"/>
    <row r="783" ht="18" customHeight="1" s="101"/>
    <row r="784" ht="18" customHeight="1" s="101"/>
    <row r="785" ht="18" customHeight="1" s="101"/>
    <row r="786" ht="18" customHeight="1" s="101"/>
    <row r="787" ht="18" customHeight="1" s="101"/>
    <row r="788" ht="18" customHeight="1" s="101"/>
    <row r="789" ht="18" customHeight="1" s="101"/>
    <row r="790" ht="18" customHeight="1" s="101"/>
    <row r="791" ht="18" customHeight="1" s="101"/>
    <row r="792" ht="18" customHeight="1" s="101"/>
    <row r="793" ht="18" customHeight="1" s="101"/>
    <row r="794" ht="18" customHeight="1" s="101"/>
    <row r="795" ht="18" customHeight="1" s="101"/>
    <row r="796" ht="18" customHeight="1" s="101"/>
    <row r="797" ht="18" customHeight="1" s="101"/>
    <row r="798" ht="18" customHeight="1" s="101"/>
    <row r="799" ht="18" customHeight="1" s="101"/>
    <row r="800" ht="18" customHeight="1" s="101"/>
    <row r="801" ht="18" customHeight="1" s="101"/>
    <row r="802" ht="18" customHeight="1" s="101"/>
    <row r="803" ht="18" customHeight="1" s="101"/>
    <row r="804" ht="18" customHeight="1" s="101"/>
    <row r="805" ht="18" customHeight="1" s="101"/>
    <row r="806" ht="18" customHeight="1" s="101"/>
    <row r="807" ht="18" customHeight="1" s="101"/>
    <row r="808" ht="18" customHeight="1" s="101"/>
    <row r="809" ht="18" customHeight="1" s="101"/>
    <row r="810" ht="18" customHeight="1" s="101"/>
    <row r="811" ht="18" customHeight="1" s="101"/>
    <row r="812" ht="18" customHeight="1" s="101"/>
    <row r="813" ht="18" customHeight="1" s="101"/>
    <row r="814" ht="18" customHeight="1" s="101"/>
    <row r="815" ht="18" customHeight="1" s="101"/>
    <row r="816" ht="18" customHeight="1" s="101"/>
    <row r="817" ht="18" customHeight="1" s="101"/>
    <row r="818" ht="18" customHeight="1" s="101"/>
    <row r="819" ht="18" customHeight="1" s="101"/>
    <row r="820" ht="18" customHeight="1" s="101"/>
    <row r="821" ht="18" customHeight="1" s="101"/>
    <row r="822" ht="18" customHeight="1" s="101"/>
    <row r="823" ht="18" customHeight="1" s="101"/>
    <row r="824" ht="18" customHeight="1" s="101"/>
    <row r="825" ht="18" customHeight="1" s="101"/>
    <row r="826" ht="18" customHeight="1" s="101"/>
    <row r="827" ht="18" customHeight="1" s="101"/>
    <row r="828" ht="18" customHeight="1" s="101"/>
    <row r="829" ht="18" customHeight="1" s="101"/>
    <row r="830" ht="18" customHeight="1" s="101"/>
    <row r="831" ht="18" customHeight="1" s="101"/>
    <row r="832" ht="18" customHeight="1" s="101"/>
    <row r="833" ht="18" customHeight="1" s="101"/>
    <row r="834" ht="18" customHeight="1" s="101"/>
    <row r="835" ht="18" customHeight="1" s="101"/>
    <row r="836" ht="18" customHeight="1" s="101"/>
    <row r="837" ht="18" customHeight="1" s="101"/>
    <row r="838" ht="18" customHeight="1" s="101"/>
    <row r="839" ht="18" customHeight="1" s="101"/>
    <row r="840" ht="18" customHeight="1" s="101"/>
    <row r="841" ht="18" customHeight="1" s="101"/>
    <row r="842" ht="18" customHeight="1" s="101"/>
    <row r="843" ht="18" customHeight="1" s="101"/>
    <row r="844" ht="18" customHeight="1" s="101"/>
    <row r="845" ht="18" customHeight="1" s="101"/>
    <row r="846" ht="18" customHeight="1" s="101"/>
    <row r="847" ht="18" customHeight="1" s="101"/>
    <row r="848" ht="18" customHeight="1" s="101"/>
    <row r="849" ht="18" customHeight="1" s="101"/>
    <row r="850" ht="18" customHeight="1" s="101"/>
    <row r="851" ht="18" customHeight="1" s="101"/>
    <row r="852" ht="18" customHeight="1" s="101"/>
    <row r="853" ht="18" customHeight="1" s="101"/>
    <row r="854" ht="18" customHeight="1" s="101"/>
    <row r="855" ht="18" customHeight="1" s="101"/>
    <row r="856" ht="18" customHeight="1" s="101"/>
    <row r="857" ht="18" customHeight="1" s="101"/>
    <row r="858" ht="18" customHeight="1" s="101"/>
    <row r="859" ht="18" customHeight="1" s="101"/>
    <row r="860" ht="18" customHeight="1" s="101"/>
    <row r="861" ht="18" customHeight="1" s="101"/>
    <row r="862" ht="18" customHeight="1" s="101"/>
    <row r="863" ht="18" customHeight="1" s="101"/>
    <row r="864" ht="18" customHeight="1" s="101"/>
    <row r="865" ht="18" customHeight="1" s="101"/>
    <row r="866" ht="18" customHeight="1" s="101"/>
    <row r="867" ht="18" customHeight="1" s="101"/>
    <row r="868" ht="18" customHeight="1" s="101"/>
    <row r="869" ht="18" customHeight="1" s="101"/>
    <row r="870" ht="18" customHeight="1" s="101"/>
    <row r="871" ht="18" customHeight="1" s="101"/>
    <row r="872" ht="18" customHeight="1" s="101"/>
    <row r="873" ht="18" customHeight="1" s="101"/>
    <row r="874" ht="18" customHeight="1" s="101"/>
    <row r="875" ht="18" customHeight="1" s="101"/>
    <row r="876" ht="18" customHeight="1" s="101"/>
    <row r="877" ht="18" customHeight="1" s="101"/>
    <row r="878" ht="18" customHeight="1" s="101"/>
    <row r="879" ht="18" customHeight="1" s="101"/>
    <row r="880" ht="18" customHeight="1" s="101"/>
    <row r="881" ht="18" customHeight="1" s="101"/>
    <row r="882" ht="18" customHeight="1" s="101"/>
    <row r="883" ht="18" customHeight="1" s="101"/>
    <row r="884" ht="18" customHeight="1" s="101"/>
    <row r="885" ht="18" customHeight="1" s="101"/>
    <row r="886" ht="18" customHeight="1" s="101"/>
    <row r="887" ht="18" customHeight="1" s="101"/>
    <row r="888" ht="18" customHeight="1" s="101"/>
    <row r="889" ht="18" customHeight="1" s="101"/>
    <row r="890" ht="18" customHeight="1" s="101"/>
    <row r="891" ht="18" customHeight="1" s="101"/>
    <row r="892" ht="18" customHeight="1" s="101"/>
    <row r="893" ht="18" customHeight="1" s="101"/>
    <row r="894" ht="18" customHeight="1" s="101"/>
    <row r="895" ht="18" customHeight="1" s="101"/>
    <row r="896" ht="18" customHeight="1" s="101"/>
    <row r="897" ht="18" customHeight="1" s="101"/>
    <row r="898" ht="18" customHeight="1" s="101"/>
    <row r="899" ht="18" customHeight="1" s="101"/>
    <row r="900" ht="18" customHeight="1" s="101"/>
    <row r="901" ht="18" customHeight="1" s="101"/>
    <row r="902" ht="18" customHeight="1" s="101"/>
    <row r="903" ht="18" customHeight="1" s="101"/>
    <row r="904" ht="18" customHeight="1" s="101"/>
    <row r="905" ht="18" customHeight="1" s="101"/>
    <row r="906" ht="18" customHeight="1" s="101"/>
    <row r="907" ht="18" customHeight="1" s="101"/>
    <row r="908" ht="18" customHeight="1" s="101"/>
    <row r="909" ht="18" customHeight="1" s="101"/>
    <row r="910" ht="18" customHeight="1" s="101"/>
    <row r="911" ht="18" customHeight="1" s="101"/>
    <row r="912" ht="18" customHeight="1" s="101"/>
    <row r="913" ht="18" customHeight="1" s="101"/>
    <row r="914" ht="18" customHeight="1" s="101"/>
    <row r="915" ht="18" customHeight="1" s="101"/>
    <row r="916" ht="18" customHeight="1" s="101"/>
    <row r="917" ht="18" customHeight="1" s="101"/>
    <row r="918" ht="18" customHeight="1" s="101"/>
    <row r="919" ht="18" customHeight="1" s="101"/>
    <row r="920" ht="18" customHeight="1" s="101"/>
    <row r="921" ht="18" customHeight="1" s="101"/>
    <row r="922" ht="18" customHeight="1" s="101"/>
    <row r="923" ht="18" customHeight="1" s="101"/>
    <row r="924" ht="18" customHeight="1" s="101"/>
    <row r="925" ht="18" customHeight="1" s="101"/>
    <row r="926" ht="18" customHeight="1" s="101"/>
    <row r="927" ht="18" customHeight="1" s="101"/>
    <row r="928" ht="18" customHeight="1" s="101"/>
    <row r="929" ht="18" customHeight="1" s="101"/>
    <row r="930" ht="18" customHeight="1" s="101"/>
    <row r="931" ht="18" customHeight="1" s="101"/>
    <row r="932" ht="18" customHeight="1" s="101"/>
    <row r="933" ht="18" customHeight="1" s="101"/>
    <row r="934" ht="18" customHeight="1" s="101"/>
    <row r="935" ht="18" customHeight="1" s="101"/>
    <row r="936" ht="18" customHeight="1" s="101"/>
    <row r="937" ht="18" customHeight="1" s="101"/>
    <row r="938" ht="18" customHeight="1" s="101"/>
    <row r="939" ht="18" customHeight="1" s="101"/>
    <row r="940" ht="18" customHeight="1" s="101"/>
    <row r="941" ht="18" customHeight="1" s="101"/>
    <row r="942" ht="18" customHeight="1" s="101"/>
    <row r="943" ht="18" customHeight="1" s="101"/>
    <row r="944" ht="18" customHeight="1" s="101"/>
    <row r="945" ht="18" customHeight="1" s="101"/>
    <row r="946" ht="18" customHeight="1" s="101"/>
    <row r="947" ht="18" customHeight="1" s="101"/>
    <row r="948" ht="18" customHeight="1" s="101"/>
    <row r="949" ht="18" customHeight="1" s="101"/>
    <row r="950" ht="18" customHeight="1" s="101"/>
    <row r="951" ht="18" customHeight="1" s="101"/>
    <row r="952" ht="18" customHeight="1" s="101"/>
    <row r="953" ht="18" customHeight="1" s="101"/>
    <row r="954" ht="18" customHeight="1" s="101"/>
    <row r="955" ht="18" customHeight="1" s="101"/>
    <row r="956" ht="18" customHeight="1" s="101"/>
    <row r="957" ht="18" customHeight="1" s="101"/>
    <row r="958" ht="18" customHeight="1" s="101"/>
    <row r="959" ht="18" customHeight="1" s="101"/>
    <row r="960" ht="18" customHeight="1" s="101"/>
    <row r="961" ht="18" customHeight="1" s="101"/>
    <row r="962" ht="18" customHeight="1" s="101"/>
    <row r="963" ht="18" customHeight="1" s="101"/>
    <row r="964" ht="18" customHeight="1" s="101"/>
    <row r="965" ht="18" customHeight="1" s="101"/>
    <row r="966" ht="18" customHeight="1" s="101"/>
    <row r="967" ht="18" customHeight="1" s="101"/>
    <row r="968" ht="18" customHeight="1" s="101"/>
    <row r="969" ht="18" customHeight="1" s="101"/>
    <row r="970" ht="18" customHeight="1" s="101"/>
    <row r="971" ht="18" customHeight="1" s="101"/>
    <row r="972" ht="18" customHeight="1" s="101"/>
    <row r="973" ht="18" customHeight="1" s="101"/>
    <row r="974" ht="18" customHeight="1" s="101"/>
    <row r="975" ht="18" customHeight="1" s="101"/>
    <row r="976" ht="18" customHeight="1" s="101"/>
    <row r="977" ht="18" customHeight="1" s="101"/>
    <row r="978" ht="18" customHeight="1" s="101"/>
    <row r="979" ht="18" customHeight="1" s="101"/>
    <row r="980" ht="18" customHeight="1" s="101"/>
    <row r="981" ht="18" customHeight="1" s="101"/>
    <row r="982" ht="18" customHeight="1" s="101"/>
    <row r="983" ht="18" customHeight="1" s="101"/>
    <row r="984" ht="18" customHeight="1" s="101"/>
    <row r="985" ht="18" customHeight="1" s="101"/>
    <row r="986" ht="18" customHeight="1" s="101"/>
    <row r="987" ht="18" customHeight="1" s="101"/>
    <row r="988" ht="18" customHeight="1" s="101"/>
    <row r="989" ht="18" customHeight="1" s="101"/>
    <row r="990" ht="18" customHeight="1" s="101"/>
    <row r="991" ht="18" customHeight="1" s="101"/>
    <row r="992" ht="18" customHeight="1" s="101"/>
    <row r="993" ht="18" customHeight="1" s="101"/>
    <row r="994" ht="18" customHeight="1" s="101"/>
    <row r="995" ht="18" customHeight="1" s="101"/>
    <row r="996" ht="18" customHeight="1" s="101"/>
    <row r="997" ht="18" customHeight="1" s="101"/>
    <row r="998" ht="18" customHeight="1" s="101"/>
    <row r="999" ht="18" customHeight="1" s="101"/>
    <row r="1000" ht="18" customHeight="1" s="101"/>
  </sheetData>
  <mergeCells count="40">
    <mergeCell ref="E12:F12"/>
    <mergeCell ref="A24:B24"/>
    <mergeCell ref="B16:C16"/>
    <mergeCell ref="B25:C25"/>
    <mergeCell ref="C22:E22"/>
    <mergeCell ref="E5:F5"/>
    <mergeCell ref="E14:F14"/>
    <mergeCell ref="B31:C31"/>
    <mergeCell ref="B27:C27"/>
    <mergeCell ref="C21:E21"/>
    <mergeCell ref="E8:F8"/>
    <mergeCell ref="E4:F4"/>
    <mergeCell ref="E10:F10"/>
    <mergeCell ref="C23:E23"/>
    <mergeCell ref="E13:F13"/>
    <mergeCell ref="B1:F1"/>
    <mergeCell ref="A18:B18"/>
    <mergeCell ref="E9:F9"/>
    <mergeCell ref="A21:B21"/>
    <mergeCell ref="B29:C29"/>
    <mergeCell ref="C19:E19"/>
    <mergeCell ref="E2:F2"/>
    <mergeCell ref="E11:F11"/>
    <mergeCell ref="B28:C28"/>
    <mergeCell ref="C18:E18"/>
    <mergeCell ref="A23:B23"/>
    <mergeCell ref="A1:A5"/>
    <mergeCell ref="A17:E17"/>
    <mergeCell ref="A22:B22"/>
    <mergeCell ref="C24:E24"/>
    <mergeCell ref="A20:B20"/>
    <mergeCell ref="B30:C30"/>
    <mergeCell ref="B15:C15"/>
    <mergeCell ref="B33:C33"/>
    <mergeCell ref="E7:F7"/>
    <mergeCell ref="A19:B19"/>
    <mergeCell ref="B32:C32"/>
    <mergeCell ref="B26:C26"/>
    <mergeCell ref="C20:E20"/>
    <mergeCell ref="E3:F3"/>
  </mergeCells>
  <printOptions horizontalCentered="1" gridLines="1"/>
  <pageMargins left="0.7" right="0.7" top="0.75" bottom="0.75" header="0" footer="0"/>
  <pageSetup orientation="portrait" paperSize="9" pageOrder="overThenDown" cellComments="atEnd"/>
</worksheet>
</file>

<file path=xl/worksheets/sheet6.xml><?xml version="1.0" encoding="utf-8"?>
<worksheet xmlns="http://schemas.openxmlformats.org/spreadsheetml/2006/main">
  <sheetPr>
    <outlinePr summaryBelow="0" summaryRight="0"/>
    <pageSetUpPr fitToPage="1"/>
  </sheetPr>
  <dimension ref="A1:F36"/>
  <sheetViews>
    <sheetView workbookViewId="0">
      <selection activeCell="A1" sqref="A1"/>
    </sheetView>
  </sheetViews>
  <sheetFormatPr baseColWidth="8" defaultColWidth="12.63" defaultRowHeight="15.75" customHeight="1"/>
  <cols>
    <col width="12.63" customWidth="1" style="101" min="1" max="1"/>
    <col width="18.63" customWidth="1" style="101" min="2" max="2"/>
    <col width="14.13" customWidth="1" style="101" min="3" max="3"/>
    <col width="13" customWidth="1" style="101" min="4" max="4"/>
    <col width="12.13" customWidth="1" style="101" min="5" max="5"/>
    <col width="15.38" customWidth="1" style="101" min="6" max="26"/>
  </cols>
  <sheetData>
    <row r="1" ht="18" customHeight="1" s="101">
      <c r="A1" s="102" t="n"/>
      <c r="B1" s="119" t="inlineStr">
        <is>
          <t>FICHA DE SECUENCIA</t>
        </is>
      </c>
      <c r="C1" s="104" t="n"/>
      <c r="D1" s="104" t="n"/>
      <c r="E1" s="120" t="n"/>
      <c r="F1" s="93" t="inlineStr">
        <is>
          <t>FICHA NRO 1/7</t>
        </is>
      </c>
    </row>
    <row r="2" ht="18" customHeight="1" s="101">
      <c r="A2" s="106" t="n"/>
      <c r="B2" s="8" t="inlineStr">
        <is>
          <t>Empresa:</t>
        </is>
      </c>
      <c r="C2" s="10" t="inlineStr">
        <is>
          <t>Creco industrias</t>
        </is>
      </c>
      <c r="D2" s="8" t="inlineStr">
        <is>
          <t>Modelo:</t>
        </is>
      </c>
      <c r="E2" s="116" t="inlineStr">
        <is>
          <t>Clásica CUELLO ENVIVADO</t>
        </is>
      </c>
      <c r="F2" s="109" t="n"/>
    </row>
    <row r="3" ht="18" customHeight="1" s="101">
      <c r="A3" s="106" t="n"/>
      <c r="B3" s="8" t="inlineStr">
        <is>
          <t>Marca:</t>
        </is>
      </c>
      <c r="C3" s="10" t="inlineStr">
        <is>
          <t>Cuadro</t>
        </is>
      </c>
      <c r="D3" s="8" t="inlineStr">
        <is>
          <t>Genero:</t>
        </is>
      </c>
      <c r="E3" s="116" t="inlineStr">
        <is>
          <t>DAM-CAB-KIDS</t>
        </is>
      </c>
      <c r="F3" s="109" t="n"/>
    </row>
    <row r="4" ht="18" customHeight="1" s="101">
      <c r="A4" s="106" t="n"/>
      <c r="B4" s="8" t="inlineStr">
        <is>
          <t>Linea o colección:</t>
        </is>
      </c>
      <c r="C4" s="10" t="inlineStr">
        <is>
          <t>Clásicas</t>
        </is>
      </c>
      <c r="D4" s="8" t="inlineStr">
        <is>
          <t>Curva de talla:</t>
        </is>
      </c>
      <c r="E4" s="116" t="inlineStr">
        <is>
          <t>1-14/XS-4XL</t>
        </is>
      </c>
      <c r="F4" s="109" t="n"/>
    </row>
    <row r="5" ht="18" customHeight="1" s="101">
      <c r="A5" s="110" t="n"/>
      <c r="B5" s="18" t="inlineStr">
        <is>
          <t>Base textil:</t>
        </is>
      </c>
      <c r="C5" s="22" t="inlineStr">
        <is>
          <t>Microfibra</t>
        </is>
      </c>
      <c r="D5" s="18" t="inlineStr">
        <is>
          <t>Descripción:</t>
        </is>
      </c>
      <c r="E5" s="117" t="n"/>
      <c r="F5" s="113" t="n"/>
    </row>
    <row r="6" ht="18" customHeight="1" s="101"/>
    <row r="7">
      <c r="A7" s="87" t="inlineStr">
        <is>
          <t>NRO. DE OP.</t>
        </is>
      </c>
      <c r="B7" s="87" t="inlineStr">
        <is>
          <t>PROCESO</t>
        </is>
      </c>
      <c r="C7" s="88" t="inlineStr">
        <is>
          <t>PIEZAS INVOLUCRADAS</t>
        </is>
      </c>
      <c r="D7" s="87" t="inlineStr">
        <is>
          <t>MAQUINA</t>
        </is>
      </c>
      <c r="E7" s="87" t="inlineStr">
        <is>
          <t>OBSERVACIONES</t>
        </is>
      </c>
      <c r="F7" s="114" t="n"/>
    </row>
    <row r="8" ht="18" customHeight="1" s="101">
      <c r="A8" s="96" t="n">
        <v>1</v>
      </c>
      <c r="B8" s="96" t="inlineStr">
        <is>
          <t>Unir hombro derecho</t>
        </is>
      </c>
      <c r="C8" s="96" t="inlineStr">
        <is>
          <t>Delantero y posterior</t>
        </is>
      </c>
      <c r="D8" s="96" t="inlineStr">
        <is>
          <t>Overlock</t>
        </is>
      </c>
      <c r="E8" s="96" t="n"/>
      <c r="F8" s="114" t="n"/>
    </row>
    <row r="9">
      <c r="A9" s="96" t="n">
        <v>2</v>
      </c>
      <c r="B9" s="96" t="inlineStr">
        <is>
          <t>Montar manga derecha</t>
        </is>
      </c>
      <c r="C9" s="96" t="inlineStr">
        <is>
          <t>Manga y cuerpo</t>
        </is>
      </c>
      <c r="D9" s="96" t="inlineStr">
        <is>
          <t>Overlock</t>
        </is>
      </c>
      <c r="E9" s="132" t="n"/>
      <c r="F9" s="114" t="n"/>
    </row>
    <row r="10">
      <c r="A10" s="96" t="n">
        <v>3</v>
      </c>
      <c r="B10" s="96" t="inlineStr">
        <is>
          <t>Cierre costado derecho</t>
        </is>
      </c>
      <c r="C10" s="96" t="inlineStr">
        <is>
          <t>Cuerpo</t>
        </is>
      </c>
      <c r="D10" s="96" t="inlineStr">
        <is>
          <t>Overlock</t>
        </is>
      </c>
      <c r="E10" s="132" t="inlineStr">
        <is>
          <t>Cierre de costado en sentido manga a ruedo, colocando etiqueta de agua a 10cm del ruedo (en kids a 6cm)</t>
        </is>
      </c>
      <c r="F10" s="114" t="n"/>
    </row>
    <row r="11">
      <c r="A11" s="96" t="n">
        <v>4</v>
      </c>
      <c r="B11" s="96" t="inlineStr">
        <is>
          <t>Montar cuello</t>
        </is>
      </c>
      <c r="C11" s="96" t="inlineStr">
        <is>
          <t>Cuerpo y cuello</t>
        </is>
      </c>
      <c r="D11" s="96" t="inlineStr">
        <is>
          <t>Collaret</t>
        </is>
      </c>
      <c r="E11" s="132" t="inlineStr">
        <is>
          <t>Envivador de 4,5cm, realizar el recorrido del cuello en base a la talla</t>
        </is>
      </c>
      <c r="F11" s="114" t="n"/>
    </row>
    <row r="12" ht="18" customHeight="1" s="101">
      <c r="A12" s="96" t="n">
        <v>5</v>
      </c>
      <c r="B12" s="96" t="inlineStr">
        <is>
          <t>Cierre de cuello</t>
        </is>
      </c>
      <c r="C12" s="96" t="inlineStr">
        <is>
          <t>Cuello</t>
        </is>
      </c>
      <c r="D12" s="96" t="inlineStr">
        <is>
          <t>Recta</t>
        </is>
      </c>
      <c r="E12" s="96" t="inlineStr">
        <is>
          <t>Fijar el empate de cuello</t>
        </is>
      </c>
      <c r="F12" s="114" t="n"/>
    </row>
    <row r="13" ht="18" customHeight="1" s="101">
      <c r="A13" s="96" t="n">
        <v>6</v>
      </c>
      <c r="B13" s="96" t="inlineStr">
        <is>
          <t>Cierre de hombro izquierdo</t>
        </is>
      </c>
      <c r="C13" s="96" t="inlineStr">
        <is>
          <t>Delantero y posterior</t>
        </is>
      </c>
      <c r="D13" s="96" t="inlineStr">
        <is>
          <t>Overlock</t>
        </is>
      </c>
      <c r="E13" s="96" t="n"/>
      <c r="F13" s="114" t="n"/>
    </row>
    <row r="14">
      <c r="A14" s="96" t="n">
        <v>7</v>
      </c>
      <c r="B14" s="96" t="inlineStr">
        <is>
          <t>Montar manga derecha</t>
        </is>
      </c>
      <c r="C14" s="96" t="inlineStr">
        <is>
          <t>Manga y cuerpo</t>
        </is>
      </c>
      <c r="D14" s="96" t="inlineStr">
        <is>
          <t>Overlock</t>
        </is>
      </c>
      <c r="E14" s="132" t="inlineStr">
        <is>
          <t>Realizar recorrido completo de la manga</t>
        </is>
      </c>
      <c r="F14" s="114" t="n"/>
    </row>
    <row r="15">
      <c r="A15" s="96" t="n">
        <v>8</v>
      </c>
      <c r="B15" s="96" t="inlineStr">
        <is>
          <t>Cierre costado izquierdo</t>
        </is>
      </c>
      <c r="C15" s="96" t="inlineStr">
        <is>
          <t>Cuerpo</t>
        </is>
      </c>
      <c r="D15" s="96" t="inlineStr">
        <is>
          <t>Overlock</t>
        </is>
      </c>
      <c r="E15" s="132" t="inlineStr">
        <is>
          <t xml:space="preserve">Cierre de costado en sentido cuerpo hacia manga </t>
        </is>
      </c>
      <c r="F15" s="114" t="n"/>
    </row>
    <row r="16">
      <c r="A16" s="96" t="n">
        <v>9</v>
      </c>
      <c r="B16" s="96" t="inlineStr">
        <is>
          <t>Ruedos de mangas y cuerpo</t>
        </is>
      </c>
      <c r="C16" s="96" t="inlineStr">
        <is>
          <t>Manga y cuerpo</t>
        </is>
      </c>
      <c r="D16" s="96" t="inlineStr">
        <is>
          <t>Collaret  de ruedos</t>
        </is>
      </c>
      <c r="E16" s="132" t="inlineStr">
        <is>
          <t>Recorridos de ruedos a 2 cms de grosor en dos agujas</t>
        </is>
      </c>
      <c r="F16" s="114" t="n"/>
    </row>
    <row r="17" ht="18" customHeight="1" s="101">
      <c r="A17" s="96" t="n">
        <v>10</v>
      </c>
      <c r="B17" s="96" t="inlineStr">
        <is>
          <t>Remate de cuello</t>
        </is>
      </c>
      <c r="C17" s="96" t="inlineStr">
        <is>
          <t>Cuello</t>
        </is>
      </c>
      <c r="D17" s="96" t="inlineStr">
        <is>
          <t>Recta</t>
        </is>
      </c>
      <c r="E17" s="96" t="n"/>
      <c r="F17" s="114" t="n"/>
    </row>
    <row r="18" ht="18" customHeight="1" s="101">
      <c r="A18" s="76" t="n"/>
      <c r="B18" s="76" t="n"/>
      <c r="C18" s="76" t="n"/>
      <c r="D18" s="76" t="n"/>
      <c r="E18" s="76" t="n"/>
    </row>
    <row r="19" ht="18" customHeight="1" s="101">
      <c r="A19" s="121" t="inlineStr">
        <is>
          <t xml:space="preserve">ESPECIFICACIONES DE COSTURA </t>
        </is>
      </c>
      <c r="B19" s="104" t="n"/>
      <c r="C19" s="104" t="n"/>
      <c r="D19" s="104" t="n"/>
      <c r="E19" s="105" t="n"/>
      <c r="F19" s="76" t="n"/>
    </row>
    <row r="20" ht="18" customHeight="1" s="101">
      <c r="A20" s="122" t="inlineStr">
        <is>
          <t xml:space="preserve">Prensatela </t>
        </is>
      </c>
      <c r="B20" s="123" t="n"/>
      <c r="C20" s="124" t="n"/>
      <c r="D20" s="125" t="n"/>
      <c r="E20" s="126" t="n"/>
      <c r="F20" s="76" t="n"/>
    </row>
    <row r="21" ht="18" customHeight="1" s="101">
      <c r="A21" s="127" t="inlineStr">
        <is>
          <t xml:space="preserve">Tipo de Aguja: </t>
        </is>
      </c>
      <c r="B21" s="114" t="n"/>
      <c r="C21" s="107" t="n"/>
      <c r="D21" s="108" t="n"/>
      <c r="E21" s="109" t="n"/>
      <c r="F21" s="76" t="n"/>
    </row>
    <row r="22" ht="18" customHeight="1" s="101">
      <c r="A22" s="127" t="inlineStr">
        <is>
          <t>Calibre de Aguja</t>
        </is>
      </c>
      <c r="B22" s="114" t="n"/>
      <c r="C22" s="107" t="n"/>
      <c r="D22" s="108" t="n"/>
      <c r="E22" s="109" t="n"/>
      <c r="F22" s="76" t="n"/>
    </row>
    <row r="23" ht="18" customHeight="1" s="101">
      <c r="A23" s="127" t="inlineStr">
        <is>
          <t>Ancho de Puntada (Overlock)</t>
        </is>
      </c>
      <c r="B23" s="114" t="n"/>
      <c r="C23" s="107" t="n"/>
      <c r="D23" s="108" t="n"/>
      <c r="E23" s="109" t="n"/>
      <c r="F23" s="76" t="n"/>
    </row>
    <row r="24" ht="18" customHeight="1" s="101">
      <c r="A24" s="128" t="inlineStr">
        <is>
          <t>Densidad de Puntada:</t>
        </is>
      </c>
      <c r="B24" s="114" t="n"/>
      <c r="C24" s="107" t="n"/>
      <c r="D24" s="108" t="n"/>
      <c r="E24" s="109" t="n"/>
      <c r="F24" s="76" t="n"/>
    </row>
    <row r="25" ht="18" customHeight="1" s="101">
      <c r="A25" s="128" t="inlineStr">
        <is>
          <t>Tensión de Máquina:</t>
        </is>
      </c>
      <c r="B25" s="114" t="n"/>
      <c r="C25" s="107" t="n"/>
      <c r="D25" s="108" t="n"/>
      <c r="E25" s="109" t="n"/>
      <c r="F25" s="76" t="n"/>
    </row>
    <row r="26" ht="18" customHeight="1" s="101">
      <c r="A26" s="129" t="inlineStr">
        <is>
          <t>Tipo de Hilo Recomendado:</t>
        </is>
      </c>
      <c r="B26" s="130" t="n"/>
      <c r="C26" s="131" t="n"/>
      <c r="D26" s="112" t="n"/>
      <c r="E26" s="113" t="n"/>
      <c r="F26" s="76" t="n"/>
    </row>
    <row r="27" ht="18" customHeight="1" s="101">
      <c r="A27" s="76" t="n"/>
      <c r="B27" s="76" t="n"/>
      <c r="D27" s="76" t="n"/>
      <c r="E27" s="76" t="n"/>
      <c r="F27" s="76" t="n"/>
    </row>
    <row r="28" ht="18" customHeight="1" s="101">
      <c r="A28" s="76" t="n"/>
      <c r="B28" s="76" t="n"/>
      <c r="D28" s="76" t="n"/>
      <c r="E28" s="76" t="n"/>
      <c r="F28" s="76" t="n"/>
    </row>
    <row r="29" ht="18" customHeight="1" s="101">
      <c r="A29" s="76" t="n"/>
      <c r="B29" s="76" t="n"/>
      <c r="D29" s="76" t="n"/>
      <c r="E29" s="76" t="n"/>
      <c r="F29" s="76" t="n"/>
    </row>
    <row r="30" ht="18" customHeight="1" s="101">
      <c r="A30" s="76" t="n"/>
      <c r="B30" s="76" t="n"/>
      <c r="D30" s="76" t="n"/>
      <c r="E30" s="76" t="n"/>
      <c r="F30" s="76" t="n"/>
    </row>
    <row r="31" ht="18" customHeight="1" s="101">
      <c r="A31" s="76" t="n"/>
      <c r="B31" s="76" t="n"/>
      <c r="D31" s="76" t="n"/>
      <c r="E31" s="76" t="n"/>
      <c r="F31" s="76" t="n"/>
    </row>
    <row r="32" ht="18" customHeight="1" s="101">
      <c r="A32" s="76" t="n"/>
      <c r="B32" s="76" t="n"/>
      <c r="D32" s="76" t="n"/>
      <c r="E32" s="76" t="n"/>
      <c r="F32" s="76" t="n"/>
    </row>
    <row r="33" ht="18" customHeight="1" s="101">
      <c r="A33" s="76" t="n"/>
      <c r="B33" s="76" t="n"/>
      <c r="D33" s="76" t="n"/>
      <c r="E33" s="76" t="n"/>
      <c r="F33" s="76" t="n"/>
    </row>
    <row r="34" ht="18" customHeight="1" s="101">
      <c r="A34" s="76" t="n"/>
      <c r="B34" s="76" t="n"/>
      <c r="C34" s="76" t="n"/>
      <c r="D34" s="76" t="n"/>
      <c r="E34" s="76" t="n"/>
      <c r="F34" s="76" t="n"/>
    </row>
    <row r="35" ht="18" customHeight="1" s="101">
      <c r="A35" s="76" t="n"/>
      <c r="B35" s="76" t="n"/>
      <c r="C35" s="76" t="n"/>
      <c r="D35" s="76" t="n"/>
      <c r="E35" s="76" t="n"/>
      <c r="F35" s="76" t="n"/>
    </row>
    <row r="36" ht="18" customHeight="1" s="101">
      <c r="A36" s="76" t="n"/>
      <c r="B36" s="76" t="n"/>
      <c r="C36" s="76" t="n"/>
      <c r="D36" s="76" t="n"/>
      <c r="E36" s="76" t="n"/>
      <c r="F36" s="76" t="n"/>
    </row>
    <row r="37" ht="18" customHeight="1" s="101"/>
    <row r="38" ht="18" customHeight="1" s="101"/>
    <row r="39" ht="18" customHeight="1" s="101"/>
    <row r="40" ht="18" customHeight="1" s="101"/>
    <row r="41" ht="18" customHeight="1" s="101"/>
    <row r="42" ht="18" customHeight="1" s="101"/>
    <row r="43" ht="18" customHeight="1" s="101"/>
    <row r="44" ht="18" customHeight="1" s="101"/>
    <row r="45" ht="18" customHeight="1" s="101"/>
    <row r="46" ht="18" customHeight="1" s="101"/>
    <row r="47" ht="18" customHeight="1" s="101"/>
    <row r="48" ht="18" customHeight="1" s="101"/>
    <row r="49" ht="18" customHeight="1" s="101"/>
    <row r="50" ht="18" customHeight="1" s="101"/>
    <row r="51" ht="18" customHeight="1" s="101"/>
    <row r="52" ht="18" customHeight="1" s="101"/>
    <row r="53" ht="18" customHeight="1" s="101"/>
    <row r="54" ht="18" customHeight="1" s="101"/>
    <row r="55" ht="18" customHeight="1" s="101"/>
    <row r="56" ht="18" customHeight="1" s="101"/>
    <row r="57" ht="18" customHeight="1" s="101"/>
    <row r="58" ht="18" customHeight="1" s="101"/>
    <row r="59" ht="18" customHeight="1" s="101"/>
    <row r="60" ht="18" customHeight="1" s="101"/>
    <row r="61" ht="18" customHeight="1" s="101"/>
    <row r="62" ht="18" customHeight="1" s="101"/>
    <row r="63" ht="18" customHeight="1" s="101"/>
    <row r="64" ht="18" customHeight="1" s="101"/>
    <row r="65" ht="18" customHeight="1" s="101"/>
    <row r="66" ht="18" customHeight="1" s="101"/>
    <row r="67" ht="18" customHeight="1" s="101"/>
    <row r="68" ht="18" customHeight="1" s="101"/>
    <row r="69" ht="18" customHeight="1" s="101"/>
    <row r="70" ht="18" customHeight="1" s="101"/>
    <row r="71" ht="18" customHeight="1" s="101"/>
    <row r="72" ht="18" customHeight="1" s="101"/>
    <row r="73" ht="18" customHeight="1" s="101"/>
    <row r="74" ht="18" customHeight="1" s="101"/>
    <row r="75" ht="18" customHeight="1" s="101"/>
    <row r="76" ht="18" customHeight="1" s="101"/>
    <row r="77" ht="18" customHeight="1" s="101"/>
    <row r="78" ht="18" customHeight="1" s="101"/>
    <row r="79" ht="18" customHeight="1" s="101"/>
    <row r="80" ht="18" customHeight="1" s="101"/>
    <row r="81" ht="18" customHeight="1" s="101"/>
    <row r="82" ht="18" customHeight="1" s="101"/>
    <row r="83" ht="18" customHeight="1" s="101"/>
    <row r="84" ht="18" customHeight="1" s="101"/>
    <row r="85" ht="18" customHeight="1" s="101"/>
    <row r="86" ht="18" customHeight="1" s="101"/>
    <row r="87" ht="18" customHeight="1" s="101"/>
    <row r="88" ht="18" customHeight="1" s="101"/>
    <row r="89" ht="18" customHeight="1" s="101"/>
    <row r="90" ht="18" customHeight="1" s="101"/>
    <row r="91" ht="18" customHeight="1" s="101"/>
    <row r="92" ht="18" customHeight="1" s="101"/>
    <row r="93" ht="18" customHeight="1" s="101"/>
    <row r="94" ht="18" customHeight="1" s="101"/>
    <row r="95" ht="18" customHeight="1" s="101"/>
    <row r="96" ht="18" customHeight="1" s="101"/>
    <row r="97" ht="18" customHeight="1" s="101"/>
    <row r="98" ht="18" customHeight="1" s="101"/>
    <row r="99" ht="18" customHeight="1" s="101"/>
    <row r="100" ht="18" customHeight="1" s="101"/>
    <row r="101" ht="18" customHeight="1" s="101"/>
    <row r="102" ht="18" customHeight="1" s="101"/>
    <row r="103" ht="18" customHeight="1" s="101"/>
    <row r="104" ht="18" customHeight="1" s="101"/>
    <row r="105" ht="18" customHeight="1" s="101"/>
    <row r="106" ht="18" customHeight="1" s="101"/>
    <row r="107" ht="18" customHeight="1" s="101"/>
    <row r="108" ht="18" customHeight="1" s="101"/>
    <row r="109" ht="18" customHeight="1" s="101"/>
    <row r="110" ht="18" customHeight="1" s="101"/>
    <row r="111" ht="18" customHeight="1" s="101"/>
    <row r="112" ht="18" customHeight="1" s="101"/>
    <row r="113" ht="18" customHeight="1" s="101"/>
    <row r="114" ht="18" customHeight="1" s="101"/>
    <row r="115" ht="18" customHeight="1" s="101"/>
    <row r="116" ht="18" customHeight="1" s="101"/>
    <row r="117" ht="18" customHeight="1" s="101"/>
    <row r="118" ht="18" customHeight="1" s="101"/>
    <row r="119" ht="18" customHeight="1" s="101"/>
    <row r="120" ht="18" customHeight="1" s="101"/>
    <row r="121" ht="18" customHeight="1" s="101"/>
    <row r="122" ht="18" customHeight="1" s="101"/>
    <row r="123" ht="18" customHeight="1" s="101"/>
    <row r="124" ht="18" customHeight="1" s="101"/>
    <row r="125" ht="18" customHeight="1" s="101"/>
    <row r="126" ht="18" customHeight="1" s="101"/>
    <row r="127" ht="18" customHeight="1" s="101"/>
    <row r="128" ht="18" customHeight="1" s="101"/>
    <row r="129" ht="18" customHeight="1" s="101"/>
    <row r="130" ht="18" customHeight="1" s="101"/>
    <row r="131" ht="18" customHeight="1" s="101"/>
    <row r="132" ht="18" customHeight="1" s="101"/>
    <row r="133" ht="18" customHeight="1" s="101"/>
    <row r="134" ht="18" customHeight="1" s="101"/>
    <row r="135" ht="18" customHeight="1" s="101"/>
    <row r="136" ht="18" customHeight="1" s="101"/>
    <row r="137" ht="18" customHeight="1" s="101"/>
    <row r="138" ht="18" customHeight="1" s="101"/>
    <row r="139" ht="18" customHeight="1" s="101"/>
    <row r="140" ht="18" customHeight="1" s="101"/>
    <row r="141" ht="18" customHeight="1" s="101"/>
    <row r="142" ht="18" customHeight="1" s="101"/>
    <row r="143" ht="18" customHeight="1" s="101"/>
    <row r="144" ht="18" customHeight="1" s="101"/>
    <row r="145" ht="18" customHeight="1" s="101"/>
    <row r="146" ht="18" customHeight="1" s="101"/>
    <row r="147" ht="18" customHeight="1" s="101"/>
    <row r="148" ht="18" customHeight="1" s="101"/>
    <row r="149" ht="18" customHeight="1" s="101"/>
    <row r="150" ht="18" customHeight="1" s="101"/>
    <row r="151" ht="18" customHeight="1" s="101"/>
    <row r="152" ht="18" customHeight="1" s="101"/>
    <row r="153" ht="18" customHeight="1" s="101"/>
    <row r="154" ht="18" customHeight="1" s="101"/>
    <row r="155" ht="18" customHeight="1" s="101"/>
    <row r="156" ht="18" customHeight="1" s="101"/>
    <row r="157" ht="18" customHeight="1" s="101"/>
    <row r="158" ht="18" customHeight="1" s="101"/>
    <row r="159" ht="18" customHeight="1" s="101"/>
    <row r="160" ht="18" customHeight="1" s="101"/>
    <row r="161" ht="18" customHeight="1" s="101"/>
    <row r="162" ht="18" customHeight="1" s="101"/>
    <row r="163" ht="18" customHeight="1" s="101"/>
    <row r="164" ht="18" customHeight="1" s="101"/>
    <row r="165" ht="18" customHeight="1" s="101"/>
    <row r="166" ht="18" customHeight="1" s="101"/>
    <row r="167" ht="18" customHeight="1" s="101"/>
    <row r="168" ht="18" customHeight="1" s="101"/>
    <row r="169" ht="18" customHeight="1" s="101"/>
    <row r="170" ht="18" customHeight="1" s="101"/>
    <row r="171" ht="18" customHeight="1" s="101"/>
    <row r="172" ht="18" customHeight="1" s="101"/>
    <row r="173" ht="18" customHeight="1" s="101"/>
    <row r="174" ht="18" customHeight="1" s="101"/>
    <row r="175" ht="18" customHeight="1" s="101"/>
    <row r="176" ht="18" customHeight="1" s="101"/>
    <row r="177" ht="18" customHeight="1" s="101"/>
    <row r="178" ht="18" customHeight="1" s="101"/>
    <row r="179" ht="18" customHeight="1" s="101"/>
    <row r="180" ht="18" customHeight="1" s="101"/>
    <row r="181" ht="18" customHeight="1" s="101"/>
    <row r="182" ht="18" customHeight="1" s="101"/>
    <row r="183" ht="18" customHeight="1" s="101"/>
    <row r="184" ht="18" customHeight="1" s="101"/>
    <row r="185" ht="18" customHeight="1" s="101"/>
    <row r="186" ht="18" customHeight="1" s="101"/>
    <row r="187" ht="18" customHeight="1" s="101"/>
    <row r="188" ht="18" customHeight="1" s="101"/>
    <row r="189" ht="18" customHeight="1" s="101"/>
    <row r="190" ht="18" customHeight="1" s="101"/>
    <row r="191" ht="18" customHeight="1" s="101"/>
    <row r="192" ht="18" customHeight="1" s="101"/>
    <row r="193" ht="18" customHeight="1" s="101"/>
    <row r="194" ht="18" customHeight="1" s="101"/>
    <row r="195" ht="18" customHeight="1" s="101"/>
    <row r="196" ht="18" customHeight="1" s="101"/>
    <row r="197" ht="18" customHeight="1" s="101"/>
    <row r="198" ht="18" customHeight="1" s="101"/>
    <row r="199" ht="18" customHeight="1" s="101"/>
    <row r="200" ht="18" customHeight="1" s="101"/>
    <row r="201" ht="18" customHeight="1" s="101"/>
    <row r="202" ht="18" customHeight="1" s="101"/>
    <row r="203" ht="18" customHeight="1" s="101"/>
    <row r="204" ht="18" customHeight="1" s="101"/>
    <row r="205" ht="18" customHeight="1" s="101"/>
    <row r="206" ht="18" customHeight="1" s="101"/>
    <row r="207" ht="18" customHeight="1" s="101"/>
    <row r="208" ht="18" customHeight="1" s="101"/>
    <row r="209" ht="18" customHeight="1" s="101"/>
    <row r="210" ht="18" customHeight="1" s="101"/>
    <row r="211" ht="18" customHeight="1" s="101"/>
    <row r="212" ht="18" customHeight="1" s="101"/>
    <row r="213" ht="18" customHeight="1" s="101"/>
    <row r="214" ht="18" customHeight="1" s="101"/>
    <row r="215" ht="18" customHeight="1" s="101"/>
    <row r="216" ht="18" customHeight="1" s="101"/>
    <row r="217" ht="18" customHeight="1" s="101"/>
    <row r="218" ht="18" customHeight="1" s="101"/>
    <row r="219" ht="18" customHeight="1" s="101"/>
    <row r="220" ht="18" customHeight="1" s="101"/>
    <row r="221" ht="18" customHeight="1" s="101"/>
    <row r="222" ht="18" customHeight="1" s="101"/>
    <row r="223" ht="18" customHeight="1" s="101"/>
    <row r="224" ht="18" customHeight="1" s="101"/>
    <row r="225" ht="18" customHeight="1" s="101"/>
    <row r="226" ht="18" customHeight="1" s="101"/>
    <row r="227" ht="18" customHeight="1" s="101"/>
    <row r="228" ht="18" customHeight="1" s="101"/>
    <row r="229" ht="18" customHeight="1" s="101"/>
    <row r="230" ht="18" customHeight="1" s="101"/>
    <row r="231" ht="18" customHeight="1" s="101"/>
    <row r="232" ht="18" customHeight="1" s="101"/>
    <row r="233" ht="18" customHeight="1" s="101"/>
    <row r="234" ht="18" customHeight="1" s="101"/>
    <row r="235" ht="18" customHeight="1" s="101"/>
    <row r="236" ht="18" customHeight="1" s="101"/>
    <row r="237" ht="18" customHeight="1" s="101"/>
    <row r="238" ht="18" customHeight="1" s="101"/>
    <row r="239" ht="18" customHeight="1" s="101"/>
    <row r="240" ht="18" customHeight="1" s="101"/>
    <row r="241" ht="18" customHeight="1" s="101"/>
    <row r="242" ht="18" customHeight="1" s="101"/>
    <row r="243" ht="18" customHeight="1" s="101"/>
    <row r="244" ht="18" customHeight="1" s="101"/>
    <row r="245" ht="18" customHeight="1" s="101"/>
    <row r="246" ht="18" customHeight="1" s="101"/>
    <row r="247" ht="18" customHeight="1" s="101"/>
    <row r="248" ht="18" customHeight="1" s="101"/>
    <row r="249" ht="18" customHeight="1" s="101"/>
    <row r="250" ht="18" customHeight="1" s="101"/>
    <row r="251" ht="18" customHeight="1" s="101"/>
    <row r="252" ht="18" customHeight="1" s="101"/>
    <row r="253" ht="18" customHeight="1" s="101"/>
    <row r="254" ht="18" customHeight="1" s="101"/>
    <row r="255" ht="18" customHeight="1" s="101"/>
    <row r="256" ht="18" customHeight="1" s="101"/>
    <row r="257" ht="18" customHeight="1" s="101"/>
    <row r="258" ht="18" customHeight="1" s="101"/>
    <row r="259" ht="18" customHeight="1" s="101"/>
    <row r="260" ht="18" customHeight="1" s="101"/>
    <row r="261" ht="18" customHeight="1" s="101"/>
    <row r="262" ht="18" customHeight="1" s="101"/>
    <row r="263" ht="18" customHeight="1" s="101"/>
    <row r="264" ht="18" customHeight="1" s="101"/>
    <row r="265" ht="18" customHeight="1" s="101"/>
    <row r="266" ht="18" customHeight="1" s="101"/>
    <row r="267" ht="18" customHeight="1" s="101"/>
    <row r="268" ht="18" customHeight="1" s="101"/>
    <row r="269" ht="18" customHeight="1" s="101"/>
    <row r="270" ht="18" customHeight="1" s="101"/>
    <row r="271" ht="18" customHeight="1" s="101"/>
    <row r="272" ht="18" customHeight="1" s="101"/>
    <row r="273" ht="18" customHeight="1" s="101"/>
    <row r="274" ht="18" customHeight="1" s="101"/>
    <row r="275" ht="18" customHeight="1" s="101"/>
    <row r="276" ht="18" customHeight="1" s="101"/>
    <row r="277" ht="18" customHeight="1" s="101"/>
    <row r="278" ht="18" customHeight="1" s="101"/>
    <row r="279" ht="18" customHeight="1" s="101"/>
    <row r="280" ht="18" customHeight="1" s="101"/>
    <row r="281" ht="18" customHeight="1" s="101"/>
    <row r="282" ht="18" customHeight="1" s="101"/>
    <row r="283" ht="18" customHeight="1" s="101"/>
    <row r="284" ht="18" customHeight="1" s="101"/>
    <row r="285" ht="18" customHeight="1" s="101"/>
    <row r="286" ht="18" customHeight="1" s="101"/>
    <row r="287" ht="18" customHeight="1" s="101"/>
    <row r="288" ht="18" customHeight="1" s="101"/>
    <row r="289" ht="18" customHeight="1" s="101"/>
    <row r="290" ht="18" customHeight="1" s="101"/>
    <row r="291" ht="18" customHeight="1" s="101"/>
    <row r="292" ht="18" customHeight="1" s="101"/>
    <row r="293" ht="18" customHeight="1" s="101"/>
    <row r="294" ht="18" customHeight="1" s="101"/>
    <row r="295" ht="18" customHeight="1" s="101"/>
    <row r="296" ht="18" customHeight="1" s="101"/>
    <row r="297" ht="18" customHeight="1" s="101"/>
    <row r="298" ht="18" customHeight="1" s="101"/>
    <row r="299" ht="18" customHeight="1" s="101"/>
    <row r="300" ht="18" customHeight="1" s="101"/>
    <row r="301" ht="18" customHeight="1" s="101"/>
    <row r="302" ht="18" customHeight="1" s="101"/>
    <row r="303" ht="18" customHeight="1" s="101"/>
    <row r="304" ht="18" customHeight="1" s="101"/>
    <row r="305" ht="18" customHeight="1" s="101"/>
    <row r="306" ht="18" customHeight="1" s="101"/>
    <row r="307" ht="18" customHeight="1" s="101"/>
    <row r="308" ht="18" customHeight="1" s="101"/>
    <row r="309" ht="18" customHeight="1" s="101"/>
    <row r="310" ht="18" customHeight="1" s="101"/>
    <row r="311" ht="18" customHeight="1" s="101"/>
    <row r="312" ht="18" customHeight="1" s="101"/>
    <row r="313" ht="18" customHeight="1" s="101"/>
    <row r="314" ht="18" customHeight="1" s="101"/>
    <row r="315" ht="18" customHeight="1" s="101"/>
    <row r="316" ht="18" customHeight="1" s="101"/>
    <row r="317" ht="18" customHeight="1" s="101"/>
    <row r="318" ht="18" customHeight="1" s="101"/>
    <row r="319" ht="18" customHeight="1" s="101"/>
    <row r="320" ht="18" customHeight="1" s="101"/>
    <row r="321" ht="18" customHeight="1" s="101"/>
    <row r="322" ht="18" customHeight="1" s="101"/>
    <row r="323" ht="18" customHeight="1" s="101"/>
    <row r="324" ht="18" customHeight="1" s="101"/>
    <row r="325" ht="18" customHeight="1" s="101"/>
    <row r="326" ht="18" customHeight="1" s="101"/>
    <row r="327" ht="18" customHeight="1" s="101"/>
    <row r="328" ht="18" customHeight="1" s="101"/>
    <row r="329" ht="18" customHeight="1" s="101"/>
    <row r="330" ht="18" customHeight="1" s="101"/>
    <row r="331" ht="18" customHeight="1" s="101"/>
    <row r="332" ht="18" customHeight="1" s="101"/>
    <row r="333" ht="18" customHeight="1" s="101"/>
    <row r="334" ht="18" customHeight="1" s="101"/>
    <row r="335" ht="18" customHeight="1" s="101"/>
    <row r="336" ht="18" customHeight="1" s="101"/>
    <row r="337" ht="18" customHeight="1" s="101"/>
    <row r="338" ht="18" customHeight="1" s="101"/>
    <row r="339" ht="18" customHeight="1" s="101"/>
    <row r="340" ht="18" customHeight="1" s="101"/>
    <row r="341" ht="18" customHeight="1" s="101"/>
    <row r="342" ht="18" customHeight="1" s="101"/>
    <row r="343" ht="18" customHeight="1" s="101"/>
    <row r="344" ht="18" customHeight="1" s="101"/>
    <row r="345" ht="18" customHeight="1" s="101"/>
    <row r="346" ht="18" customHeight="1" s="101"/>
    <row r="347" ht="18" customHeight="1" s="101"/>
    <row r="348" ht="18" customHeight="1" s="101"/>
    <row r="349" ht="18" customHeight="1" s="101"/>
    <row r="350" ht="18" customHeight="1" s="101"/>
    <row r="351" ht="18" customHeight="1" s="101"/>
    <row r="352" ht="18" customHeight="1" s="101"/>
    <row r="353" ht="18" customHeight="1" s="101"/>
    <row r="354" ht="18" customHeight="1" s="101"/>
    <row r="355" ht="18" customHeight="1" s="101"/>
    <row r="356" ht="18" customHeight="1" s="101"/>
    <row r="357" ht="18" customHeight="1" s="101"/>
    <row r="358" ht="18" customHeight="1" s="101"/>
    <row r="359" ht="18" customHeight="1" s="101"/>
    <row r="360" ht="18" customHeight="1" s="101"/>
    <row r="361" ht="18" customHeight="1" s="101"/>
    <row r="362" ht="18" customHeight="1" s="101"/>
    <row r="363" ht="18" customHeight="1" s="101"/>
    <row r="364" ht="18" customHeight="1" s="101"/>
    <row r="365" ht="18" customHeight="1" s="101"/>
    <row r="366" ht="18" customHeight="1" s="101"/>
    <row r="367" ht="18" customHeight="1" s="101"/>
    <row r="368" ht="18" customHeight="1" s="101"/>
    <row r="369" ht="18" customHeight="1" s="101"/>
    <row r="370" ht="18" customHeight="1" s="101"/>
    <row r="371" ht="18" customHeight="1" s="101"/>
    <row r="372" ht="18" customHeight="1" s="101"/>
    <row r="373" ht="18" customHeight="1" s="101"/>
    <row r="374" ht="18" customHeight="1" s="101"/>
    <row r="375" ht="18" customHeight="1" s="101"/>
    <row r="376" ht="18" customHeight="1" s="101"/>
    <row r="377" ht="18" customHeight="1" s="101"/>
    <row r="378" ht="18" customHeight="1" s="101"/>
    <row r="379" ht="18" customHeight="1" s="101"/>
    <row r="380" ht="18" customHeight="1" s="101"/>
    <row r="381" ht="18" customHeight="1" s="101"/>
    <row r="382" ht="18" customHeight="1" s="101"/>
    <row r="383" ht="18" customHeight="1" s="101"/>
    <row r="384" ht="18" customHeight="1" s="101"/>
    <row r="385" ht="18" customHeight="1" s="101"/>
    <row r="386" ht="18" customHeight="1" s="101"/>
    <row r="387" ht="18" customHeight="1" s="101"/>
    <row r="388" ht="18" customHeight="1" s="101"/>
    <row r="389" ht="18" customHeight="1" s="101"/>
    <row r="390" ht="18" customHeight="1" s="101"/>
    <row r="391" ht="18" customHeight="1" s="101"/>
    <row r="392" ht="18" customHeight="1" s="101"/>
    <row r="393" ht="18" customHeight="1" s="101"/>
    <row r="394" ht="18" customHeight="1" s="101"/>
    <row r="395" ht="18" customHeight="1" s="101"/>
    <row r="396" ht="18" customHeight="1" s="101"/>
    <row r="397" ht="18" customHeight="1" s="101"/>
    <row r="398" ht="18" customHeight="1" s="101"/>
    <row r="399" ht="18" customHeight="1" s="101"/>
    <row r="400" ht="18" customHeight="1" s="101"/>
    <row r="401" ht="18" customHeight="1" s="101"/>
    <row r="402" ht="18" customHeight="1" s="101"/>
    <row r="403" ht="18" customHeight="1" s="101"/>
    <row r="404" ht="18" customHeight="1" s="101"/>
    <row r="405" ht="18" customHeight="1" s="101"/>
    <row r="406" ht="18" customHeight="1" s="101"/>
    <row r="407" ht="18" customHeight="1" s="101"/>
    <row r="408" ht="18" customHeight="1" s="101"/>
    <row r="409" ht="18" customHeight="1" s="101"/>
    <row r="410" ht="18" customHeight="1" s="101"/>
    <row r="411" ht="18" customHeight="1" s="101"/>
    <row r="412" ht="18" customHeight="1" s="101"/>
    <row r="413" ht="18" customHeight="1" s="101"/>
    <row r="414" ht="18" customHeight="1" s="101"/>
    <row r="415" ht="18" customHeight="1" s="101"/>
    <row r="416" ht="18" customHeight="1" s="101"/>
    <row r="417" ht="18" customHeight="1" s="101"/>
    <row r="418" ht="18" customHeight="1" s="101"/>
    <row r="419" ht="18" customHeight="1" s="101"/>
    <row r="420" ht="18" customHeight="1" s="101"/>
    <row r="421" ht="18" customHeight="1" s="101"/>
    <row r="422" ht="18" customHeight="1" s="101"/>
    <row r="423" ht="18" customHeight="1" s="101"/>
    <row r="424" ht="18" customHeight="1" s="101"/>
    <row r="425" ht="18" customHeight="1" s="101"/>
    <row r="426" ht="18" customHeight="1" s="101"/>
    <row r="427" ht="18" customHeight="1" s="101"/>
    <row r="428" ht="18" customHeight="1" s="101"/>
    <row r="429" ht="18" customHeight="1" s="101"/>
    <row r="430" ht="18" customHeight="1" s="101"/>
    <row r="431" ht="18" customHeight="1" s="101"/>
    <row r="432" ht="18" customHeight="1" s="101"/>
    <row r="433" ht="18" customHeight="1" s="101"/>
    <row r="434" ht="18" customHeight="1" s="101"/>
    <row r="435" ht="18" customHeight="1" s="101"/>
    <row r="436" ht="18" customHeight="1" s="101"/>
    <row r="437" ht="18" customHeight="1" s="101"/>
    <row r="438" ht="18" customHeight="1" s="101"/>
    <row r="439" ht="18" customHeight="1" s="101"/>
    <row r="440" ht="18" customHeight="1" s="101"/>
    <row r="441" ht="18" customHeight="1" s="101"/>
    <row r="442" ht="18" customHeight="1" s="101"/>
    <row r="443" ht="18" customHeight="1" s="101"/>
    <row r="444" ht="18" customHeight="1" s="101"/>
    <row r="445" ht="18" customHeight="1" s="101"/>
    <row r="446" ht="18" customHeight="1" s="101"/>
    <row r="447" ht="18" customHeight="1" s="101"/>
    <row r="448" ht="18" customHeight="1" s="101"/>
    <row r="449" ht="18" customHeight="1" s="101"/>
    <row r="450" ht="18" customHeight="1" s="101"/>
    <row r="451" ht="18" customHeight="1" s="101"/>
    <row r="452" ht="18" customHeight="1" s="101"/>
    <row r="453" ht="18" customHeight="1" s="101"/>
    <row r="454" ht="18" customHeight="1" s="101"/>
    <row r="455" ht="18" customHeight="1" s="101"/>
    <row r="456" ht="18" customHeight="1" s="101"/>
    <row r="457" ht="18" customHeight="1" s="101"/>
    <row r="458" ht="18" customHeight="1" s="101"/>
    <row r="459" ht="18" customHeight="1" s="101"/>
    <row r="460" ht="18" customHeight="1" s="101"/>
    <row r="461" ht="18" customHeight="1" s="101"/>
    <row r="462" ht="18" customHeight="1" s="101"/>
    <row r="463" ht="18" customHeight="1" s="101"/>
    <row r="464" ht="18" customHeight="1" s="101"/>
    <row r="465" ht="18" customHeight="1" s="101"/>
    <row r="466" ht="18" customHeight="1" s="101"/>
    <row r="467" ht="18" customHeight="1" s="101"/>
    <row r="468" ht="18" customHeight="1" s="101"/>
    <row r="469" ht="18" customHeight="1" s="101"/>
    <row r="470" ht="18" customHeight="1" s="101"/>
    <row r="471" ht="18" customHeight="1" s="101"/>
    <row r="472" ht="18" customHeight="1" s="101"/>
    <row r="473" ht="18" customHeight="1" s="101"/>
    <row r="474" ht="18" customHeight="1" s="101"/>
    <row r="475" ht="18" customHeight="1" s="101"/>
    <row r="476" ht="18" customHeight="1" s="101"/>
    <row r="477" ht="18" customHeight="1" s="101"/>
    <row r="478" ht="18" customHeight="1" s="101"/>
    <row r="479" ht="18" customHeight="1" s="101"/>
    <row r="480" ht="18" customHeight="1" s="101"/>
    <row r="481" ht="18" customHeight="1" s="101"/>
    <row r="482" ht="18" customHeight="1" s="101"/>
    <row r="483" ht="18" customHeight="1" s="101"/>
    <row r="484" ht="18" customHeight="1" s="101"/>
    <row r="485" ht="18" customHeight="1" s="101"/>
    <row r="486" ht="18" customHeight="1" s="101"/>
    <row r="487" ht="18" customHeight="1" s="101"/>
    <row r="488" ht="18" customHeight="1" s="101"/>
    <row r="489" ht="18" customHeight="1" s="101"/>
    <row r="490" ht="18" customHeight="1" s="101"/>
    <row r="491" ht="18" customHeight="1" s="101"/>
    <row r="492" ht="18" customHeight="1" s="101"/>
    <row r="493" ht="18" customHeight="1" s="101"/>
    <row r="494" ht="18" customHeight="1" s="101"/>
    <row r="495" ht="18" customHeight="1" s="101"/>
    <row r="496" ht="18" customHeight="1" s="101"/>
    <row r="497" ht="18" customHeight="1" s="101"/>
    <row r="498" ht="18" customHeight="1" s="101"/>
    <row r="499" ht="18" customHeight="1" s="101"/>
    <row r="500" ht="18" customHeight="1" s="101"/>
    <row r="501" ht="18" customHeight="1" s="101"/>
    <row r="502" ht="18" customHeight="1" s="101"/>
    <row r="503" ht="18" customHeight="1" s="101"/>
    <row r="504" ht="18" customHeight="1" s="101"/>
    <row r="505" ht="18" customHeight="1" s="101"/>
    <row r="506" ht="18" customHeight="1" s="101"/>
    <row r="507" ht="18" customHeight="1" s="101"/>
    <row r="508" ht="18" customHeight="1" s="101"/>
    <row r="509" ht="18" customHeight="1" s="101"/>
    <row r="510" ht="18" customHeight="1" s="101"/>
    <row r="511" ht="18" customHeight="1" s="101"/>
    <row r="512" ht="18" customHeight="1" s="101"/>
    <row r="513" ht="18" customHeight="1" s="101"/>
    <row r="514" ht="18" customHeight="1" s="101"/>
    <row r="515" ht="18" customHeight="1" s="101"/>
    <row r="516" ht="18" customHeight="1" s="101"/>
    <row r="517" ht="18" customHeight="1" s="101"/>
    <row r="518" ht="18" customHeight="1" s="101"/>
    <row r="519" ht="18" customHeight="1" s="101"/>
    <row r="520" ht="18" customHeight="1" s="101"/>
    <row r="521" ht="18" customHeight="1" s="101"/>
    <row r="522" ht="18" customHeight="1" s="101"/>
    <row r="523" ht="18" customHeight="1" s="101"/>
    <row r="524" ht="18" customHeight="1" s="101"/>
    <row r="525" ht="18" customHeight="1" s="101"/>
    <row r="526" ht="18" customHeight="1" s="101"/>
    <row r="527" ht="18" customHeight="1" s="101"/>
    <row r="528" ht="18" customHeight="1" s="101"/>
    <row r="529" ht="18" customHeight="1" s="101"/>
    <row r="530" ht="18" customHeight="1" s="101"/>
    <row r="531" ht="18" customHeight="1" s="101"/>
    <row r="532" ht="18" customHeight="1" s="101"/>
    <row r="533" ht="18" customHeight="1" s="101"/>
    <row r="534" ht="18" customHeight="1" s="101"/>
    <row r="535" ht="18" customHeight="1" s="101"/>
    <row r="536" ht="18" customHeight="1" s="101"/>
    <row r="537" ht="18" customHeight="1" s="101"/>
    <row r="538" ht="18" customHeight="1" s="101"/>
    <row r="539" ht="18" customHeight="1" s="101"/>
    <row r="540" ht="18" customHeight="1" s="101"/>
    <row r="541" ht="18" customHeight="1" s="101"/>
    <row r="542" ht="18" customHeight="1" s="101"/>
    <row r="543" ht="18" customHeight="1" s="101"/>
    <row r="544" ht="18" customHeight="1" s="101"/>
    <row r="545" ht="18" customHeight="1" s="101"/>
    <row r="546" ht="18" customHeight="1" s="101"/>
    <row r="547" ht="18" customHeight="1" s="101"/>
    <row r="548" ht="18" customHeight="1" s="101"/>
    <row r="549" ht="18" customHeight="1" s="101"/>
    <row r="550" ht="18" customHeight="1" s="101"/>
    <row r="551" ht="18" customHeight="1" s="101"/>
    <row r="552" ht="18" customHeight="1" s="101"/>
    <row r="553" ht="18" customHeight="1" s="101"/>
    <row r="554" ht="18" customHeight="1" s="101"/>
    <row r="555" ht="18" customHeight="1" s="101"/>
    <row r="556" ht="18" customHeight="1" s="101"/>
    <row r="557" ht="18" customHeight="1" s="101"/>
    <row r="558" ht="18" customHeight="1" s="101"/>
    <row r="559" ht="18" customHeight="1" s="101"/>
    <row r="560" ht="18" customHeight="1" s="101"/>
    <row r="561" ht="18" customHeight="1" s="101"/>
    <row r="562" ht="18" customHeight="1" s="101"/>
    <row r="563" ht="18" customHeight="1" s="101"/>
    <row r="564" ht="18" customHeight="1" s="101"/>
    <row r="565" ht="18" customHeight="1" s="101"/>
    <row r="566" ht="18" customHeight="1" s="101"/>
    <row r="567" ht="18" customHeight="1" s="101"/>
    <row r="568" ht="18" customHeight="1" s="101"/>
    <row r="569" ht="18" customHeight="1" s="101"/>
    <row r="570" ht="18" customHeight="1" s="101"/>
    <row r="571" ht="18" customHeight="1" s="101"/>
    <row r="572" ht="18" customHeight="1" s="101"/>
    <row r="573" ht="18" customHeight="1" s="101"/>
    <row r="574" ht="18" customHeight="1" s="101"/>
    <row r="575" ht="18" customHeight="1" s="101"/>
    <row r="576" ht="18" customHeight="1" s="101"/>
    <row r="577" ht="18" customHeight="1" s="101"/>
    <row r="578" ht="18" customHeight="1" s="101"/>
    <row r="579" ht="18" customHeight="1" s="101"/>
    <row r="580" ht="18" customHeight="1" s="101"/>
    <row r="581" ht="18" customHeight="1" s="101"/>
    <row r="582" ht="18" customHeight="1" s="101"/>
    <row r="583" ht="18" customHeight="1" s="101"/>
    <row r="584" ht="18" customHeight="1" s="101"/>
    <row r="585" ht="18" customHeight="1" s="101"/>
    <row r="586" ht="18" customHeight="1" s="101"/>
    <row r="587" ht="18" customHeight="1" s="101"/>
    <row r="588" ht="18" customHeight="1" s="101"/>
    <row r="589" ht="18" customHeight="1" s="101"/>
    <row r="590" ht="18" customHeight="1" s="101"/>
    <row r="591" ht="18" customHeight="1" s="101"/>
    <row r="592" ht="18" customHeight="1" s="101"/>
    <row r="593" ht="18" customHeight="1" s="101"/>
    <row r="594" ht="18" customHeight="1" s="101"/>
    <row r="595" ht="18" customHeight="1" s="101"/>
    <row r="596" ht="18" customHeight="1" s="101"/>
    <row r="597" ht="18" customHeight="1" s="101"/>
    <row r="598" ht="18" customHeight="1" s="101"/>
    <row r="599" ht="18" customHeight="1" s="101"/>
    <row r="600" ht="18" customHeight="1" s="101"/>
    <row r="601" ht="18" customHeight="1" s="101"/>
    <row r="602" ht="18" customHeight="1" s="101"/>
    <row r="603" ht="18" customHeight="1" s="101"/>
    <row r="604" ht="18" customHeight="1" s="101"/>
    <row r="605" ht="18" customHeight="1" s="101"/>
    <row r="606" ht="18" customHeight="1" s="101"/>
    <row r="607" ht="18" customHeight="1" s="101"/>
    <row r="608" ht="18" customHeight="1" s="101"/>
    <row r="609" ht="18" customHeight="1" s="101"/>
    <row r="610" ht="18" customHeight="1" s="101"/>
    <row r="611" ht="18" customHeight="1" s="101"/>
    <row r="612" ht="18" customHeight="1" s="101"/>
    <row r="613" ht="18" customHeight="1" s="101"/>
    <row r="614" ht="18" customHeight="1" s="101"/>
    <row r="615" ht="18" customHeight="1" s="101"/>
    <row r="616" ht="18" customHeight="1" s="101"/>
    <row r="617" ht="18" customHeight="1" s="101"/>
    <row r="618" ht="18" customHeight="1" s="101"/>
    <row r="619" ht="18" customHeight="1" s="101"/>
    <row r="620" ht="18" customHeight="1" s="101"/>
    <row r="621" ht="18" customHeight="1" s="101"/>
    <row r="622" ht="18" customHeight="1" s="101"/>
    <row r="623" ht="18" customHeight="1" s="101"/>
    <row r="624" ht="18" customHeight="1" s="101"/>
    <row r="625" ht="18" customHeight="1" s="101"/>
    <row r="626" ht="18" customHeight="1" s="101"/>
    <row r="627" ht="18" customHeight="1" s="101"/>
    <row r="628" ht="18" customHeight="1" s="101"/>
    <row r="629" ht="18" customHeight="1" s="101"/>
    <row r="630" ht="18" customHeight="1" s="101"/>
    <row r="631" ht="18" customHeight="1" s="101"/>
    <row r="632" ht="18" customHeight="1" s="101"/>
    <row r="633" ht="18" customHeight="1" s="101"/>
    <row r="634" ht="18" customHeight="1" s="101"/>
    <row r="635" ht="18" customHeight="1" s="101"/>
    <row r="636" ht="18" customHeight="1" s="101"/>
    <row r="637" ht="18" customHeight="1" s="101"/>
    <row r="638" ht="18" customHeight="1" s="101"/>
    <row r="639" ht="18" customHeight="1" s="101"/>
    <row r="640" ht="18" customHeight="1" s="101"/>
    <row r="641" ht="18" customHeight="1" s="101"/>
    <row r="642" ht="18" customHeight="1" s="101"/>
    <row r="643" ht="18" customHeight="1" s="101"/>
    <row r="644" ht="18" customHeight="1" s="101"/>
    <row r="645" ht="18" customHeight="1" s="101"/>
    <row r="646" ht="18" customHeight="1" s="101"/>
    <row r="647" ht="18" customHeight="1" s="101"/>
    <row r="648" ht="18" customHeight="1" s="101"/>
    <row r="649" ht="18" customHeight="1" s="101"/>
    <row r="650" ht="18" customHeight="1" s="101"/>
    <row r="651" ht="18" customHeight="1" s="101"/>
    <row r="652" ht="18" customHeight="1" s="101"/>
    <row r="653" ht="18" customHeight="1" s="101"/>
    <row r="654" ht="18" customHeight="1" s="101"/>
    <row r="655" ht="18" customHeight="1" s="101"/>
    <row r="656" ht="18" customHeight="1" s="101"/>
    <row r="657" ht="18" customHeight="1" s="101"/>
    <row r="658" ht="18" customHeight="1" s="101"/>
    <row r="659" ht="18" customHeight="1" s="101"/>
    <row r="660" ht="18" customHeight="1" s="101"/>
    <row r="661" ht="18" customHeight="1" s="101"/>
    <row r="662" ht="18" customHeight="1" s="101"/>
    <row r="663" ht="18" customHeight="1" s="101"/>
    <row r="664" ht="18" customHeight="1" s="101"/>
    <row r="665" ht="18" customHeight="1" s="101"/>
    <row r="666" ht="18" customHeight="1" s="101"/>
    <row r="667" ht="18" customHeight="1" s="101"/>
    <row r="668" ht="18" customHeight="1" s="101"/>
    <row r="669" ht="18" customHeight="1" s="101"/>
    <row r="670" ht="18" customHeight="1" s="101"/>
    <row r="671" ht="18" customHeight="1" s="101"/>
    <row r="672" ht="18" customHeight="1" s="101"/>
    <row r="673" ht="18" customHeight="1" s="101"/>
    <row r="674" ht="18" customHeight="1" s="101"/>
    <row r="675" ht="18" customHeight="1" s="101"/>
    <row r="676" ht="18" customHeight="1" s="101"/>
    <row r="677" ht="18" customHeight="1" s="101"/>
    <row r="678" ht="18" customHeight="1" s="101"/>
    <row r="679" ht="18" customHeight="1" s="101"/>
    <row r="680" ht="18" customHeight="1" s="101"/>
    <row r="681" ht="18" customHeight="1" s="101"/>
    <row r="682" ht="18" customHeight="1" s="101"/>
    <row r="683" ht="18" customHeight="1" s="101"/>
    <row r="684" ht="18" customHeight="1" s="101"/>
    <row r="685" ht="18" customHeight="1" s="101"/>
    <row r="686" ht="18" customHeight="1" s="101"/>
    <row r="687" ht="18" customHeight="1" s="101"/>
    <row r="688" ht="18" customHeight="1" s="101"/>
    <row r="689" ht="18" customHeight="1" s="101"/>
    <row r="690" ht="18" customHeight="1" s="101"/>
    <row r="691" ht="18" customHeight="1" s="101"/>
    <row r="692" ht="18" customHeight="1" s="101"/>
    <row r="693" ht="18" customHeight="1" s="101"/>
    <row r="694" ht="18" customHeight="1" s="101"/>
    <row r="695" ht="18" customHeight="1" s="101"/>
    <row r="696" ht="18" customHeight="1" s="101"/>
    <row r="697" ht="18" customHeight="1" s="101"/>
    <row r="698" ht="18" customHeight="1" s="101"/>
    <row r="699" ht="18" customHeight="1" s="101"/>
    <row r="700" ht="18" customHeight="1" s="101"/>
    <row r="701" ht="18" customHeight="1" s="101"/>
    <row r="702" ht="18" customHeight="1" s="101"/>
    <row r="703" ht="18" customHeight="1" s="101"/>
    <row r="704" ht="18" customHeight="1" s="101"/>
    <row r="705" ht="18" customHeight="1" s="101"/>
    <row r="706" ht="18" customHeight="1" s="101"/>
    <row r="707" ht="18" customHeight="1" s="101"/>
    <row r="708" ht="18" customHeight="1" s="101"/>
    <row r="709" ht="18" customHeight="1" s="101"/>
    <row r="710" ht="18" customHeight="1" s="101"/>
    <row r="711" ht="18" customHeight="1" s="101"/>
    <row r="712" ht="18" customHeight="1" s="101"/>
    <row r="713" ht="18" customHeight="1" s="101"/>
    <row r="714" ht="18" customHeight="1" s="101"/>
    <row r="715" ht="18" customHeight="1" s="101"/>
    <row r="716" ht="18" customHeight="1" s="101"/>
    <row r="717" ht="18" customHeight="1" s="101"/>
    <row r="718" ht="18" customHeight="1" s="101"/>
    <row r="719" ht="18" customHeight="1" s="101"/>
    <row r="720" ht="18" customHeight="1" s="101"/>
    <row r="721" ht="18" customHeight="1" s="101"/>
    <row r="722" ht="18" customHeight="1" s="101"/>
    <row r="723" ht="18" customHeight="1" s="101"/>
    <row r="724" ht="18" customHeight="1" s="101"/>
    <row r="725" ht="18" customHeight="1" s="101"/>
    <row r="726" ht="18" customHeight="1" s="101"/>
    <row r="727" ht="18" customHeight="1" s="101"/>
    <row r="728" ht="18" customHeight="1" s="101"/>
    <row r="729" ht="18" customHeight="1" s="101"/>
    <row r="730" ht="18" customHeight="1" s="101"/>
    <row r="731" ht="18" customHeight="1" s="101"/>
    <row r="732" ht="18" customHeight="1" s="101"/>
    <row r="733" ht="18" customHeight="1" s="101"/>
    <row r="734" ht="18" customHeight="1" s="101"/>
    <row r="735" ht="18" customHeight="1" s="101"/>
    <row r="736" ht="18" customHeight="1" s="101"/>
    <row r="737" ht="18" customHeight="1" s="101"/>
    <row r="738" ht="18" customHeight="1" s="101"/>
    <row r="739" ht="18" customHeight="1" s="101"/>
    <row r="740" ht="18" customHeight="1" s="101"/>
    <row r="741" ht="18" customHeight="1" s="101"/>
    <row r="742" ht="18" customHeight="1" s="101"/>
    <row r="743" ht="18" customHeight="1" s="101"/>
    <row r="744" ht="18" customHeight="1" s="101"/>
    <row r="745" ht="18" customHeight="1" s="101"/>
    <row r="746" ht="18" customHeight="1" s="101"/>
    <row r="747" ht="18" customHeight="1" s="101"/>
    <row r="748" ht="18" customHeight="1" s="101"/>
    <row r="749" ht="18" customHeight="1" s="101"/>
    <row r="750" ht="18" customHeight="1" s="101"/>
    <row r="751" ht="18" customHeight="1" s="101"/>
    <row r="752" ht="18" customHeight="1" s="101"/>
    <row r="753" ht="18" customHeight="1" s="101"/>
    <row r="754" ht="18" customHeight="1" s="101"/>
    <row r="755" ht="18" customHeight="1" s="101"/>
    <row r="756" ht="18" customHeight="1" s="101"/>
    <row r="757" ht="18" customHeight="1" s="101"/>
    <row r="758" ht="18" customHeight="1" s="101"/>
    <row r="759" ht="18" customHeight="1" s="101"/>
    <row r="760" ht="18" customHeight="1" s="101"/>
    <row r="761" ht="18" customHeight="1" s="101"/>
    <row r="762" ht="18" customHeight="1" s="101"/>
    <row r="763" ht="18" customHeight="1" s="101"/>
    <row r="764" ht="18" customHeight="1" s="101"/>
    <row r="765" ht="18" customHeight="1" s="101"/>
    <row r="766" ht="18" customHeight="1" s="101"/>
    <row r="767" ht="18" customHeight="1" s="101"/>
    <row r="768" ht="18" customHeight="1" s="101"/>
    <row r="769" ht="18" customHeight="1" s="101"/>
    <row r="770" ht="18" customHeight="1" s="101"/>
    <row r="771" ht="18" customHeight="1" s="101"/>
    <row r="772" ht="18" customHeight="1" s="101"/>
    <row r="773" ht="18" customHeight="1" s="101"/>
    <row r="774" ht="18" customHeight="1" s="101"/>
    <row r="775" ht="18" customHeight="1" s="101"/>
    <row r="776" ht="18" customHeight="1" s="101"/>
    <row r="777" ht="18" customHeight="1" s="101"/>
    <row r="778" ht="18" customHeight="1" s="101"/>
    <row r="779" ht="18" customHeight="1" s="101"/>
    <row r="780" ht="18" customHeight="1" s="101"/>
    <row r="781" ht="18" customHeight="1" s="101"/>
    <row r="782" ht="18" customHeight="1" s="101"/>
    <row r="783" ht="18" customHeight="1" s="101"/>
    <row r="784" ht="18" customHeight="1" s="101"/>
    <row r="785" ht="18" customHeight="1" s="101"/>
    <row r="786" ht="18" customHeight="1" s="101"/>
    <row r="787" ht="18" customHeight="1" s="101"/>
    <row r="788" ht="18" customHeight="1" s="101"/>
    <row r="789" ht="18" customHeight="1" s="101"/>
    <row r="790" ht="18" customHeight="1" s="101"/>
    <row r="791" ht="18" customHeight="1" s="101"/>
    <row r="792" ht="18" customHeight="1" s="101"/>
    <row r="793" ht="18" customHeight="1" s="101"/>
    <row r="794" ht="18" customHeight="1" s="101"/>
    <row r="795" ht="18" customHeight="1" s="101"/>
    <row r="796" ht="18" customHeight="1" s="101"/>
    <row r="797" ht="18" customHeight="1" s="101"/>
    <row r="798" ht="18" customHeight="1" s="101"/>
    <row r="799" ht="18" customHeight="1" s="101"/>
    <row r="800" ht="18" customHeight="1" s="101"/>
    <row r="801" ht="18" customHeight="1" s="101"/>
    <row r="802" ht="18" customHeight="1" s="101"/>
    <row r="803" ht="18" customHeight="1" s="101"/>
    <row r="804" ht="18" customHeight="1" s="101"/>
    <row r="805" ht="18" customHeight="1" s="101"/>
    <row r="806" ht="18" customHeight="1" s="101"/>
    <row r="807" ht="18" customHeight="1" s="101"/>
    <row r="808" ht="18" customHeight="1" s="101"/>
    <row r="809" ht="18" customHeight="1" s="101"/>
    <row r="810" ht="18" customHeight="1" s="101"/>
    <row r="811" ht="18" customHeight="1" s="101"/>
    <row r="812" ht="18" customHeight="1" s="101"/>
    <row r="813" ht="18" customHeight="1" s="101"/>
    <row r="814" ht="18" customHeight="1" s="101"/>
    <row r="815" ht="18" customHeight="1" s="101"/>
    <row r="816" ht="18" customHeight="1" s="101"/>
    <row r="817" ht="18" customHeight="1" s="101"/>
    <row r="818" ht="18" customHeight="1" s="101"/>
    <row r="819" ht="18" customHeight="1" s="101"/>
    <row r="820" ht="18" customHeight="1" s="101"/>
    <row r="821" ht="18" customHeight="1" s="101"/>
    <row r="822" ht="18" customHeight="1" s="101"/>
    <row r="823" ht="18" customHeight="1" s="101"/>
    <row r="824" ht="18" customHeight="1" s="101"/>
    <row r="825" ht="18" customHeight="1" s="101"/>
    <row r="826" ht="18" customHeight="1" s="101"/>
    <row r="827" ht="18" customHeight="1" s="101"/>
    <row r="828" ht="18" customHeight="1" s="101"/>
    <row r="829" ht="18" customHeight="1" s="101"/>
    <row r="830" ht="18" customHeight="1" s="101"/>
    <row r="831" ht="18" customHeight="1" s="101"/>
    <row r="832" ht="18" customHeight="1" s="101"/>
    <row r="833" ht="18" customHeight="1" s="101"/>
    <row r="834" ht="18" customHeight="1" s="101"/>
    <row r="835" ht="18" customHeight="1" s="101"/>
    <row r="836" ht="18" customHeight="1" s="101"/>
    <row r="837" ht="18" customHeight="1" s="101"/>
    <row r="838" ht="18" customHeight="1" s="101"/>
    <row r="839" ht="18" customHeight="1" s="101"/>
    <row r="840" ht="18" customHeight="1" s="101"/>
    <row r="841" ht="18" customHeight="1" s="101"/>
    <row r="842" ht="18" customHeight="1" s="101"/>
    <row r="843" ht="18" customHeight="1" s="101"/>
    <row r="844" ht="18" customHeight="1" s="101"/>
    <row r="845" ht="18" customHeight="1" s="101"/>
    <row r="846" ht="18" customHeight="1" s="101"/>
    <row r="847" ht="18" customHeight="1" s="101"/>
    <row r="848" ht="18" customHeight="1" s="101"/>
    <row r="849" ht="18" customHeight="1" s="101"/>
    <row r="850" ht="18" customHeight="1" s="101"/>
    <row r="851" ht="18" customHeight="1" s="101"/>
    <row r="852" ht="18" customHeight="1" s="101"/>
    <row r="853" ht="18" customHeight="1" s="101"/>
    <row r="854" ht="18" customHeight="1" s="101"/>
    <row r="855" ht="18" customHeight="1" s="101"/>
    <row r="856" ht="18" customHeight="1" s="101"/>
    <row r="857" ht="18" customHeight="1" s="101"/>
    <row r="858" ht="18" customHeight="1" s="101"/>
    <row r="859" ht="18" customHeight="1" s="101"/>
    <row r="860" ht="18" customHeight="1" s="101"/>
    <row r="861" ht="18" customHeight="1" s="101"/>
    <row r="862" ht="18" customHeight="1" s="101"/>
    <row r="863" ht="18" customHeight="1" s="101"/>
    <row r="864" ht="18" customHeight="1" s="101"/>
    <row r="865" ht="18" customHeight="1" s="101"/>
    <row r="866" ht="18" customHeight="1" s="101"/>
    <row r="867" ht="18" customHeight="1" s="101"/>
    <row r="868" ht="18" customHeight="1" s="101"/>
    <row r="869" ht="18" customHeight="1" s="101"/>
    <row r="870" ht="18" customHeight="1" s="101"/>
    <row r="871" ht="18" customHeight="1" s="101"/>
    <row r="872" ht="18" customHeight="1" s="101"/>
    <row r="873" ht="18" customHeight="1" s="101"/>
    <row r="874" ht="18" customHeight="1" s="101"/>
    <row r="875" ht="18" customHeight="1" s="101"/>
    <row r="876" ht="18" customHeight="1" s="101"/>
    <row r="877" ht="18" customHeight="1" s="101"/>
    <row r="878" ht="18" customHeight="1" s="101"/>
    <row r="879" ht="18" customHeight="1" s="101"/>
    <row r="880" ht="18" customHeight="1" s="101"/>
    <row r="881" ht="18" customHeight="1" s="101"/>
    <row r="882" ht="18" customHeight="1" s="101"/>
    <row r="883" ht="18" customHeight="1" s="101"/>
    <row r="884" ht="18" customHeight="1" s="101"/>
    <row r="885" ht="18" customHeight="1" s="101"/>
    <row r="886" ht="18" customHeight="1" s="101"/>
    <row r="887" ht="18" customHeight="1" s="101"/>
    <row r="888" ht="18" customHeight="1" s="101"/>
    <row r="889" ht="18" customHeight="1" s="101"/>
    <row r="890" ht="18" customHeight="1" s="101"/>
    <row r="891" ht="18" customHeight="1" s="101"/>
    <row r="892" ht="18" customHeight="1" s="101"/>
    <row r="893" ht="18" customHeight="1" s="101"/>
    <row r="894" ht="18" customHeight="1" s="101"/>
    <row r="895" ht="18" customHeight="1" s="101"/>
    <row r="896" ht="18" customHeight="1" s="101"/>
    <row r="897" ht="18" customHeight="1" s="101"/>
    <row r="898" ht="18" customHeight="1" s="101"/>
    <row r="899" ht="18" customHeight="1" s="101"/>
    <row r="900" ht="18" customHeight="1" s="101"/>
    <row r="901" ht="18" customHeight="1" s="101"/>
    <row r="902" ht="18" customHeight="1" s="101"/>
    <row r="903" ht="18" customHeight="1" s="101"/>
    <row r="904" ht="18" customHeight="1" s="101"/>
    <row r="905" ht="18" customHeight="1" s="101"/>
    <row r="906" ht="18" customHeight="1" s="101"/>
    <row r="907" ht="18" customHeight="1" s="101"/>
    <row r="908" ht="18" customHeight="1" s="101"/>
    <row r="909" ht="18" customHeight="1" s="101"/>
    <row r="910" ht="18" customHeight="1" s="101"/>
    <row r="911" ht="18" customHeight="1" s="101"/>
    <row r="912" ht="18" customHeight="1" s="101"/>
    <row r="913" ht="18" customHeight="1" s="101"/>
    <row r="914" ht="18" customHeight="1" s="101"/>
    <row r="915" ht="18" customHeight="1" s="101"/>
    <row r="916" ht="18" customHeight="1" s="101"/>
    <row r="917" ht="18" customHeight="1" s="101"/>
    <row r="918" ht="18" customHeight="1" s="101"/>
    <row r="919" ht="18" customHeight="1" s="101"/>
    <row r="920" ht="18" customHeight="1" s="101"/>
    <row r="921" ht="18" customHeight="1" s="101"/>
    <row r="922" ht="18" customHeight="1" s="101"/>
    <row r="923" ht="18" customHeight="1" s="101"/>
    <row r="924" ht="18" customHeight="1" s="101"/>
    <row r="925" ht="18" customHeight="1" s="101"/>
    <row r="926" ht="18" customHeight="1" s="101"/>
    <row r="927" ht="18" customHeight="1" s="101"/>
    <row r="928" ht="18" customHeight="1" s="101"/>
    <row r="929" ht="18" customHeight="1" s="101"/>
    <row r="930" ht="18" customHeight="1" s="101"/>
    <row r="931" ht="18" customHeight="1" s="101"/>
    <row r="932" ht="18" customHeight="1" s="101"/>
    <row r="933" ht="18" customHeight="1" s="101"/>
    <row r="934" ht="18" customHeight="1" s="101"/>
    <row r="935" ht="18" customHeight="1" s="101"/>
    <row r="936" ht="18" customHeight="1" s="101"/>
    <row r="937" ht="18" customHeight="1" s="101"/>
    <row r="938" ht="18" customHeight="1" s="101"/>
    <row r="939" ht="18" customHeight="1" s="101"/>
    <row r="940" ht="18" customHeight="1" s="101"/>
    <row r="941" ht="18" customHeight="1" s="101"/>
    <row r="942" ht="18" customHeight="1" s="101"/>
    <row r="943" ht="18" customHeight="1" s="101"/>
    <row r="944" ht="18" customHeight="1" s="101"/>
    <row r="945" ht="18" customHeight="1" s="101"/>
    <row r="946" ht="18" customHeight="1" s="101"/>
    <row r="947" ht="18" customHeight="1" s="101"/>
    <row r="948" ht="18" customHeight="1" s="101"/>
    <row r="949" ht="18" customHeight="1" s="101"/>
    <row r="950" ht="18" customHeight="1" s="101"/>
    <row r="951" ht="18" customHeight="1" s="101"/>
    <row r="952" ht="18" customHeight="1" s="101"/>
    <row r="953" ht="18" customHeight="1" s="101"/>
    <row r="954" ht="18" customHeight="1" s="101"/>
    <row r="955" ht="18" customHeight="1" s="101"/>
    <row r="956" ht="18" customHeight="1" s="101"/>
    <row r="957" ht="18" customHeight="1" s="101"/>
    <row r="958" ht="18" customHeight="1" s="101"/>
    <row r="959" ht="18" customHeight="1" s="101"/>
    <row r="960" ht="18" customHeight="1" s="101"/>
    <row r="961" ht="18" customHeight="1" s="101"/>
    <row r="962" ht="18" customHeight="1" s="101"/>
    <row r="963" ht="18" customHeight="1" s="101"/>
    <row r="964" ht="18" customHeight="1" s="101"/>
    <row r="965" ht="18" customHeight="1" s="101"/>
    <row r="966" ht="18" customHeight="1" s="101"/>
    <row r="967" ht="18" customHeight="1" s="101"/>
    <row r="968" ht="18" customHeight="1" s="101"/>
    <row r="969" ht="18" customHeight="1" s="101"/>
    <row r="970" ht="18" customHeight="1" s="101"/>
    <row r="971" ht="18" customHeight="1" s="101"/>
    <row r="972" ht="18" customHeight="1" s="101"/>
    <row r="973" ht="18" customHeight="1" s="101"/>
    <row r="974" ht="18" customHeight="1" s="101"/>
    <row r="975" ht="18" customHeight="1" s="101"/>
    <row r="976" ht="18" customHeight="1" s="101"/>
    <row r="977" ht="18" customHeight="1" s="101"/>
    <row r="978" ht="18" customHeight="1" s="101"/>
    <row r="979" ht="18" customHeight="1" s="101"/>
    <row r="980" ht="18" customHeight="1" s="101"/>
    <row r="981" ht="18" customHeight="1" s="101"/>
    <row r="982" ht="18" customHeight="1" s="101"/>
    <row r="983" ht="18" customHeight="1" s="101"/>
    <row r="984" ht="18" customHeight="1" s="101"/>
    <row r="985" ht="18" customHeight="1" s="101"/>
    <row r="986" ht="18" customHeight="1" s="101"/>
    <row r="987" ht="18" customHeight="1" s="101"/>
    <row r="988" ht="18" customHeight="1" s="101"/>
    <row r="989" ht="18" customHeight="1" s="101"/>
    <row r="990" ht="18" customHeight="1" s="101"/>
    <row r="991" ht="18" customHeight="1" s="101"/>
    <row r="992" ht="18" customHeight="1" s="101"/>
    <row r="993" ht="18" customHeight="1" s="101"/>
    <row r="994" ht="18" customHeight="1" s="101"/>
    <row r="995" ht="18" customHeight="1" s="101"/>
    <row r="996" ht="18" customHeight="1" s="101"/>
    <row r="997" ht="18" customHeight="1" s="101"/>
    <row r="998" ht="18" customHeight="1" s="101"/>
    <row r="999" ht="18" customHeight="1" s="101"/>
    <row r="1000" ht="18" customHeight="1" s="101"/>
  </sheetData>
  <mergeCells count="40">
    <mergeCell ref="E12:F12"/>
    <mergeCell ref="A24:B24"/>
    <mergeCell ref="C22:E22"/>
    <mergeCell ref="E5:F5"/>
    <mergeCell ref="E14:F14"/>
    <mergeCell ref="B31:C31"/>
    <mergeCell ref="B27:C27"/>
    <mergeCell ref="C21:E21"/>
    <mergeCell ref="E17:F17"/>
    <mergeCell ref="E8:F8"/>
    <mergeCell ref="E4:F4"/>
    <mergeCell ref="A25:B25"/>
    <mergeCell ref="E10:F10"/>
    <mergeCell ref="C23:E23"/>
    <mergeCell ref="E13:F13"/>
    <mergeCell ref="E9:F9"/>
    <mergeCell ref="A26:B26"/>
    <mergeCell ref="A21:B21"/>
    <mergeCell ref="B29:C29"/>
    <mergeCell ref="E15:F15"/>
    <mergeCell ref="E2:F2"/>
    <mergeCell ref="E11:F11"/>
    <mergeCell ref="B28:C28"/>
    <mergeCell ref="A23:B23"/>
    <mergeCell ref="A1:A5"/>
    <mergeCell ref="A22:B22"/>
    <mergeCell ref="C24:E24"/>
    <mergeCell ref="A20:B20"/>
    <mergeCell ref="B30:C30"/>
    <mergeCell ref="B1:E1"/>
    <mergeCell ref="E16:F16"/>
    <mergeCell ref="B33:C33"/>
    <mergeCell ref="E7:F7"/>
    <mergeCell ref="E18:F18"/>
    <mergeCell ref="A19:E19"/>
    <mergeCell ref="C26:E26"/>
    <mergeCell ref="B32:C32"/>
    <mergeCell ref="E3:F3"/>
    <mergeCell ref="C20:E20"/>
    <mergeCell ref="C25:E25"/>
  </mergeCells>
  <printOptions horizontalCentered="1" gridLines="1"/>
  <pageMargins left="0.7" right="0.7" top="0.75" bottom="0.75" header="0" footer="0"/>
  <pageSetup orientation="portrait" paperSize="9" fitToHeight="0" pageOrder="overThenDown" cellComments="atEnd"/>
</worksheet>
</file>

<file path=xl/worksheets/sheet7.xml><?xml version="1.0" encoding="utf-8"?>
<worksheet xmlns="http://schemas.openxmlformats.org/spreadsheetml/2006/main">
  <sheetPr>
    <outlinePr summaryBelow="0" summaryRight="0"/>
    <pageSetUpPr/>
  </sheetPr>
  <dimension ref="A1:G1000"/>
  <sheetViews>
    <sheetView showGridLines="0" workbookViewId="0">
      <pane xSplit="1" ySplit="2" topLeftCell="B3" activePane="bottomRight" state="frozen"/>
      <selection pane="topRight"/>
      <selection pane="bottomLeft"/>
      <selection pane="bottomRight" activeCell="A1" sqref="A1"/>
    </sheetView>
  </sheetViews>
  <sheetFormatPr baseColWidth="8" defaultColWidth="12.63" defaultRowHeight="15.75" customHeight="1"/>
  <cols>
    <col width="3" customWidth="1" style="101" min="1" max="1"/>
    <col width="22" customWidth="1" style="101" min="2" max="2"/>
    <col width="50" customWidth="1" style="101" min="3" max="3"/>
    <col width="78" customWidth="1" style="101" min="4" max="4"/>
    <col width="18" customWidth="1" style="101" min="5" max="5"/>
    <col width="18" customWidth="1" style="101" min="6" max="6"/>
    <col width="20" customWidth="1" style="101" min="7" max="7"/>
  </cols>
  <sheetData>
    <row r="1" ht="22" customHeight="1" s="101">
      <c r="A1" s="133" t="n"/>
      <c r="B1" s="134" t="inlineStr">
        <is>
          <t>RESUMEN GENERAL DE OPERACIONES POR PRODUCTO</t>
        </is>
      </c>
    </row>
    <row r="2" ht="30" customHeight="1" s="101">
      <c r="A2" s="133" t="n"/>
      <c r="B2" s="135" t="inlineStr">
        <is>
          <t>Producto</t>
        </is>
      </c>
      <c r="C2" s="135" t="inlineStr">
        <is>
          <t>Maquina Involucradas</t>
        </is>
      </c>
      <c r="D2" s="135" t="inlineStr">
        <is>
          <t>Descripcion Breve</t>
        </is>
      </c>
      <c r="E2" s="135" t="inlineStr">
        <is>
          <t>Operaciones Por Pieza</t>
        </is>
      </c>
      <c r="F2" s="135" t="inlineStr">
        <is>
          <t>Capacidad por Piezas</t>
        </is>
      </c>
      <c r="G2" s="135" t="inlineStr">
        <is>
          <t>Total Operaciones Real</t>
        </is>
      </c>
    </row>
    <row r="3" ht="95" customHeight="1" s="101">
      <c r="A3" s="133" t="n"/>
      <c r="B3" s="136" t="inlineStr">
        <is>
          <t>Short Sport</t>
        </is>
      </c>
      <c r="C3" s="137" t="inlineStr">
        <is>
          <t>Recta (3), Overlock (6), Doble aguja (2), Ojaladora, Engomadora, Presilladora, Manual</t>
        </is>
      </c>
      <c r="D3" s="137" t="inlineStr">
        <is>
          <t>Confección de SHORT SPORT (KIDS/CABALLERO, línea Sport, NOVAK REPEL). Total 15 operaciones. Arranque: Colocar bolsillos en Recta → Filetear bolsillos en Overlock → Unir delanteros en Overlock → Unir posterior en Overlock → Cerrar costados en Overlock. Continúa: Cerrar entrepierna en Overlock → Recorrido de doble aguja en toda la pieza en Doble aguja → Abrir ojales de 1,5cm en Ojaladora → Cerrar elástica en Recta → Marcar y colocar elástica en Overlock → Pisar elástica en Engomadora → Ruedos de pierna en Recta. Final: Presillar en Presilladora → Colocar cordón en Doble aguja → Limpieza y terminacines en Manual. Nota: Cerrar costados y colocar etiqueta de agua en la terminación del…</t>
        </is>
      </c>
      <c r="E3" s="136" t="n">
        <v>15</v>
      </c>
      <c r="F3" s="138" t="n"/>
      <c r="G3" s="138" t="n"/>
    </row>
    <row r="4" ht="95" customHeight="1" s="101">
      <c r="A4" s="133" t="n"/>
      <c r="B4" s="139" t="inlineStr">
        <is>
          <t>R1 - Interno</t>
        </is>
      </c>
      <c r="C4" s="140" t="inlineStr">
        <is>
          <t>Collaretera (7), Recta, Overlock (4), Presilladora</t>
        </is>
      </c>
      <c r="D4" s="140" t="inlineStr">
        <is>
          <t>Confección de SHORT R1 - INTERNO (CABALLERO, línea R1, EXPLORE-LYCRA LIGHT). Total 13 operaciones. Arranque: Bolsillos en Collaretera → Bolsillos + Cuerpo en Recta → Bolsillos internos en Collaretera → Refuerzo delantero en Overlock → Refuerzo delantero en Collaretera. Continúa: Entrepierna + Cuerpo posterior en Overlock → Entrepierna + Cuerpo posterior en Collaretera → Entrepierna + Cuerpo delantero en Overlock → Entrepierna + Cuerpo delantero en Collaretera → Cuerpo + Refuerzo delantero en Overlock. Final: Cuerpo + Refuerzo en Collaretera → Short interno en Collaretera → Bolsillos internos en Presilladora.</t>
        </is>
      </c>
      <c r="E4" s="139" t="n">
        <v>13</v>
      </c>
      <c r="F4" s="138" t="n"/>
      <c r="G4" s="138" t="n"/>
    </row>
    <row r="5" ht="95" customHeight="1" s="101">
      <c r="A5" s="133" t="n"/>
      <c r="B5" s="136" t="inlineStr">
        <is>
          <t>R1 - Externo</t>
        </is>
      </c>
      <c r="C5" s="137" t="inlineStr">
        <is>
          <t>Recta (4), Overlock (7), Collaretera, Tiza (a mano), Engomadora, Presilladora, Presilla, Manual</t>
        </is>
      </c>
      <c r="D5" s="137" t="inlineStr">
        <is>
          <t>Confección de SHORT R1 - EXTERNO (CABALLERO, línea R1, EXPLORE-LYCRA LIGHT). Total 17 operaciones. Arranque: Bolsillos + Delantero en Recta → Tiro delantero y posterior en Overlock → Bolsillos en Overlock → Delantero + Posterior en Overlock → Laterales, abertura en Recta. Continúa: Delantero + Posterior en Overlock → Cuerpo en Overlock → Ruedo short externo en Collaretera → Ensamblado de elástica en Overlock → Elástica ensamblado en Recta → Short interno + elástica en Overlock → Pretina externa en Tiza (a mano) → Pretina colocada en Engomadora → Pretina colocada en Presilladora. Final: Ruedo short externo en Presilla → Unir etiqueta bordada en Recta → Toda la prenda en Manual. Nota: De…</t>
        </is>
      </c>
      <c r="E5" s="136" t="n">
        <v>17</v>
      </c>
      <c r="F5" s="138" t="n"/>
      <c r="G5" s="138" t="n"/>
    </row>
    <row r="6" ht="95" customHeight="1" s="101">
      <c r="A6" s="133" t="n"/>
      <c r="B6" s="139" t="inlineStr">
        <is>
          <t>RIO</t>
        </is>
      </c>
      <c r="C6" s="140" t="inlineStr">
        <is>
          <t>Overlock (3), Collaretera, Collaret de ruedos, Collaret para cuellos</t>
        </is>
      </c>
      <c r="D6" s="140" t="inlineStr">
        <is>
          <t>Confección de RIO (DAM-CAB-KIDS, línea Clásicos, Microfibra). Total 6 operaciones. Secuencia: Union de sisas con mangas en Overlock → Cerrado de capucha en Overlock → Recubrir sisas y capucha en Collaretera → Cierre de mangas y cuerpo con capucha en Overlock → Ruedos en Collaret de ruedos → Fijar cuello en Collaret para cuellos. Nota: Cierre de capucha</t>
        </is>
      </c>
      <c r="E6" s="139" t="n">
        <v>6</v>
      </c>
      <c r="F6" s="138" t="n"/>
      <c r="G6" s="138" t="n"/>
    </row>
    <row r="7" ht="95" customHeight="1" s="101">
      <c r="A7" s="133" t="n"/>
      <c r="B7" s="136" t="inlineStr">
        <is>
          <t>MAR</t>
        </is>
      </c>
      <c r="C7" s="137" t="inlineStr">
        <is>
          <t>Overlock (2), Collaretera, Collaret de ruedos, Overlock para cuellos, Collaret para cuellos, Manual</t>
        </is>
      </c>
      <c r="D7" s="137" t="inlineStr">
        <is>
          <t>Confección de MAR (DAM/CAB/KIDS, línea MAR, Microfibra). Total 7 operaciones. Secuencia: Union de sisas con mangas en Overlock → Recubrir sisas y capucha en Collaretera → Cierre de mangas y cuerpo con capucha en Overlock → Ruedos en Collaret de ruedos → Montar cuello en Overlock para cuellos → Fijar cuello en Collaret para cuellos → Revisión final en Manual. Nota: Cerrar mangas y cuerpo, del lado derecho colocar etiqueta de agua a 10cm sobre la costura de ruedo de cuerpo (en el…</t>
        </is>
      </c>
      <c r="E7" s="136" t="n">
        <v>7</v>
      </c>
      <c r="F7" s="138" t="n"/>
      <c r="G7" s="138" t="n"/>
    </row>
    <row r="8" ht="95" customHeight="1" s="101">
      <c r="A8" s="133" t="n"/>
      <c r="B8" s="139" t="inlineStr">
        <is>
          <t>Clasica Microfibra</t>
        </is>
      </c>
      <c r="C8" s="140" t="inlineStr">
        <is>
          <t>Overlock (6), Collaret, Recta (2), Collaret  de ruedos</t>
        </is>
      </c>
      <c r="D8" s="140" t="inlineStr">
        <is>
          <t>Confección de Clásica CUELLO ENVIVADO (DAM-CAB-KIDS, línea Clásicas, Microfibra). Total 10 operaciones. Arranque: Unir hombro derecho en Overlock → Montar manga derecha en Overlock → Cierre costado derecho en Overlock → Montar cuello en Collaret → Cierre de cuello en Recta. Continúa: Cierre de hombro izquierdo en Overlock → Montar manga derecha en Overlock. Final: Cierre costado izquierdo en Overlock → Ruedos de mangas y cuerpo en Collaret  de ruedos → Remate de cuello en Recta. Nota: Cierre de costado en sentido manga a ruedo, colocando etiqueta de agua a 10cm del ruedo (en kids a 6cm)</t>
        </is>
      </c>
      <c r="E8" s="139" t="n">
        <v>10</v>
      </c>
      <c r="F8" s="138" t="n"/>
      <c r="G8" s="138" t="n"/>
    </row>
    <row r="9">
      <c r="A9" s="133" t="n"/>
      <c r="B9" s="133" t="n"/>
      <c r="C9" s="133" t="n"/>
      <c r="D9" s="133" t="n"/>
      <c r="E9" s="133" t="n"/>
      <c r="F9" s="133" t="n"/>
      <c r="G9" s="133" t="n"/>
    </row>
    <row r="10">
      <c r="A10" s="133" t="n"/>
      <c r="B10" s="141" t="inlineStr">
        <is>
          <t>Nota: Completar "Capacidad por Piezas" y "Total Operaciones Real" con datos de línea (celdas amarillas). Detalle de captura en hojas "Medicion Linea" y "Registro Diario".</t>
        </is>
      </c>
    </row>
    <row r="11">
      <c r="A11" s="133" t="n"/>
      <c r="B11" s="133" t="n"/>
      <c r="C11" s="133" t="n"/>
      <c r="D11" s="133" t="n"/>
      <c r="E11" s="133" t="n"/>
      <c r="F11" s="133" t="n"/>
      <c r="G11" s="133" t="n"/>
    </row>
    <row r="12">
      <c r="A12" s="133" t="n"/>
      <c r="B12" s="133" t="n"/>
      <c r="C12" s="133" t="n"/>
      <c r="D12" s="133" t="n"/>
      <c r="E12" s="133" t="n"/>
      <c r="F12" s="133" t="n"/>
      <c r="G12" s="133" t="n"/>
    </row>
    <row r="13">
      <c r="A13" s="133" t="n"/>
      <c r="B13" s="133" t="n"/>
      <c r="C13" s="133" t="n"/>
      <c r="D13" s="133" t="n"/>
      <c r="E13" s="133" t="n"/>
      <c r="F13" s="133" t="n"/>
      <c r="G13" s="133" t="n"/>
    </row>
    <row r="14">
      <c r="A14" s="133" t="n"/>
      <c r="B14" s="133" t="n"/>
      <c r="C14" s="133" t="n"/>
      <c r="D14" s="133" t="n"/>
      <c r="E14" s="133" t="n"/>
      <c r="F14" s="133" t="n"/>
      <c r="G14" s="133" t="n"/>
    </row>
    <row r="15">
      <c r="A15" s="133" t="n"/>
      <c r="B15" s="133" t="n"/>
      <c r="C15" s="133" t="n"/>
      <c r="D15" s="133" t="n"/>
      <c r="E15" s="133" t="n"/>
      <c r="F15" s="133" t="n"/>
      <c r="G15" s="133" t="n"/>
    </row>
    <row r="16">
      <c r="A16" s="133" t="n"/>
      <c r="B16" s="133" t="n"/>
      <c r="C16" s="133" t="n"/>
      <c r="D16" s="133" t="n"/>
      <c r="E16" s="133" t="n"/>
      <c r="F16" s="133" t="n"/>
      <c r="G16" s="133" t="n"/>
    </row>
    <row r="17">
      <c r="A17" s="133" t="n"/>
      <c r="B17" s="133" t="n"/>
      <c r="C17" s="133" t="n"/>
      <c r="D17" s="133" t="n"/>
      <c r="E17" s="133" t="n"/>
      <c r="F17" s="133" t="n"/>
      <c r="G17" s="133" t="n"/>
    </row>
    <row r="18">
      <c r="A18" s="133" t="n"/>
      <c r="B18" s="133" t="n"/>
      <c r="C18" s="133" t="n"/>
      <c r="D18" s="133" t="n"/>
      <c r="E18" s="133" t="n"/>
      <c r="F18" s="133" t="n"/>
      <c r="G18" s="133" t="n"/>
    </row>
    <row r="19">
      <c r="A19" s="133" t="n"/>
      <c r="B19" s="133" t="n"/>
      <c r="C19" s="133" t="n"/>
      <c r="D19" s="133" t="n"/>
      <c r="E19" s="133" t="n"/>
      <c r="F19" s="133" t="n"/>
      <c r="G19" s="133" t="n"/>
    </row>
    <row r="20">
      <c r="A20" s="133" t="n"/>
      <c r="B20" s="133" t="n"/>
      <c r="C20" s="133" t="n"/>
      <c r="D20" s="133" t="n"/>
      <c r="E20" s="133" t="n"/>
      <c r="F20" s="133" t="n"/>
      <c r="G20" s="133" t="n"/>
    </row>
    <row r="21">
      <c r="A21" s="133" t="n"/>
      <c r="B21" s="133" t="n"/>
      <c r="C21" s="133" t="n"/>
      <c r="D21" s="133" t="n"/>
      <c r="E21" s="133" t="n"/>
      <c r="F21" s="133" t="n"/>
      <c r="G21" s="133" t="n"/>
    </row>
    <row r="22">
      <c r="A22" s="133" t="n"/>
      <c r="B22" s="133" t="n"/>
      <c r="C22" s="133" t="n"/>
      <c r="D22" s="133" t="n"/>
      <c r="E22" s="133" t="n"/>
      <c r="F22" s="133" t="n"/>
      <c r="G22" s="133" t="n"/>
    </row>
    <row r="23">
      <c r="A23" s="133" t="n"/>
      <c r="B23" s="133" t="n"/>
      <c r="C23" s="133" t="n"/>
      <c r="D23" s="133" t="n"/>
      <c r="E23" s="133" t="n"/>
      <c r="F23" s="133" t="n"/>
      <c r="G23" s="133" t="n"/>
    </row>
    <row r="24">
      <c r="A24" s="133" t="n"/>
      <c r="B24" s="133" t="n"/>
      <c r="C24" s="133" t="n"/>
      <c r="D24" s="133" t="n"/>
      <c r="E24" s="133" t="n"/>
      <c r="F24" s="133" t="n"/>
      <c r="G24" s="133" t="n"/>
    </row>
    <row r="25">
      <c r="A25" s="133" t="n"/>
      <c r="B25" s="133" t="n"/>
      <c r="C25" s="133" t="n"/>
      <c r="D25" s="133" t="n"/>
      <c r="E25" s="133" t="n"/>
      <c r="F25" s="133" t="n"/>
      <c r="G25" s="133" t="n"/>
    </row>
    <row r="26">
      <c r="A26" s="133" t="n"/>
      <c r="B26" s="133" t="n"/>
      <c r="C26" s="133" t="n"/>
      <c r="D26" s="133" t="n"/>
      <c r="E26" s="133" t="n"/>
      <c r="F26" s="133" t="n"/>
      <c r="G26" s="133" t="n"/>
    </row>
    <row r="27">
      <c r="A27" s="133" t="n"/>
      <c r="B27" s="133" t="n"/>
      <c r="C27" s="133" t="n"/>
      <c r="D27" s="133" t="n"/>
      <c r="E27" s="133" t="n"/>
      <c r="F27" s="133" t="n"/>
      <c r="G27" s="133" t="n"/>
    </row>
    <row r="28">
      <c r="A28" s="133" t="n"/>
      <c r="B28" s="133" t="n"/>
      <c r="C28" s="133" t="n"/>
      <c r="D28" s="133" t="n"/>
      <c r="E28" s="133" t="n"/>
      <c r="F28" s="133" t="n"/>
      <c r="G28" s="133" t="n"/>
    </row>
    <row r="29">
      <c r="A29" s="133" t="n"/>
      <c r="B29" s="133" t="n"/>
      <c r="C29" s="133" t="n"/>
      <c r="D29" s="133" t="n"/>
      <c r="E29" s="133" t="n"/>
      <c r="F29" s="133" t="n"/>
      <c r="G29" s="133" t="n"/>
    </row>
    <row r="30">
      <c r="A30" s="133" t="n"/>
      <c r="B30" s="133" t="n"/>
      <c r="C30" s="133" t="n"/>
      <c r="D30" s="133" t="n"/>
      <c r="E30" s="133" t="n"/>
      <c r="F30" s="133" t="n"/>
      <c r="G30" s="133" t="n"/>
    </row>
    <row r="31">
      <c r="A31" s="133" t="n"/>
      <c r="B31" s="133" t="n"/>
      <c r="C31" s="133" t="n"/>
      <c r="D31" s="133" t="n"/>
      <c r="E31" s="133" t="n"/>
      <c r="F31" s="133" t="n"/>
      <c r="G31" s="133" t="n"/>
    </row>
    <row r="32">
      <c r="A32" s="133" t="n"/>
      <c r="B32" s="133" t="n"/>
      <c r="C32" s="133" t="n"/>
      <c r="D32" s="133" t="n"/>
      <c r="E32" s="133" t="n"/>
      <c r="F32" s="133" t="n"/>
      <c r="G32" s="133" t="n"/>
    </row>
    <row r="33">
      <c r="A33" s="133" t="n"/>
      <c r="B33" s="133" t="n"/>
      <c r="C33" s="133" t="n"/>
      <c r="D33" s="133" t="n"/>
      <c r="E33" s="133" t="n"/>
      <c r="F33" s="133" t="n"/>
      <c r="G33" s="133" t="n"/>
    </row>
    <row r="34">
      <c r="A34" s="133" t="n"/>
      <c r="B34" s="133" t="n"/>
      <c r="C34" s="133" t="n"/>
      <c r="D34" s="133" t="n"/>
      <c r="E34" s="133" t="n"/>
      <c r="F34" s="133" t="n"/>
      <c r="G34" s="133" t="n"/>
    </row>
    <row r="35">
      <c r="A35" s="133" t="n"/>
      <c r="B35" s="133" t="n"/>
      <c r="C35" s="133" t="n"/>
      <c r="D35" s="133" t="n"/>
      <c r="E35" s="133" t="n"/>
      <c r="F35" s="133" t="n"/>
      <c r="G35" s="133" t="n"/>
    </row>
    <row r="36">
      <c r="A36" s="133" t="n"/>
      <c r="B36" s="133" t="n"/>
      <c r="C36" s="133" t="n"/>
      <c r="D36" s="133" t="n"/>
      <c r="E36" s="133" t="n"/>
      <c r="F36" s="133" t="n"/>
      <c r="G36" s="133" t="n"/>
    </row>
    <row r="37">
      <c r="A37" s="133" t="n"/>
      <c r="B37" s="133" t="n"/>
      <c r="C37" s="133" t="n"/>
      <c r="D37" s="133" t="n"/>
      <c r="E37" s="133" t="n"/>
      <c r="F37" s="133" t="n"/>
      <c r="G37" s="133" t="n"/>
    </row>
    <row r="38">
      <c r="A38" s="133" t="n"/>
      <c r="B38" s="133" t="n"/>
      <c r="C38" s="133" t="n"/>
      <c r="D38" s="133" t="n"/>
      <c r="E38" s="133" t="n"/>
      <c r="F38" s="133" t="n"/>
      <c r="G38" s="133" t="n"/>
    </row>
    <row r="39">
      <c r="A39" s="133" t="n"/>
      <c r="B39" s="133" t="n"/>
      <c r="C39" s="133" t="n"/>
      <c r="D39" s="133" t="n"/>
      <c r="E39" s="133" t="n"/>
      <c r="F39" s="133" t="n"/>
      <c r="G39" s="133" t="n"/>
    </row>
    <row r="40">
      <c r="A40" s="133" t="n"/>
      <c r="B40" s="133" t="n"/>
      <c r="C40" s="133" t="n"/>
      <c r="D40" s="133" t="n"/>
      <c r="E40" s="133" t="n"/>
      <c r="F40" s="133" t="n"/>
      <c r="G40" s="133" t="n"/>
    </row>
    <row r="41">
      <c r="A41" s="133" t="n"/>
      <c r="B41" s="133" t="n"/>
      <c r="C41" s="133" t="n"/>
      <c r="D41" s="133" t="n"/>
      <c r="E41" s="133" t="n"/>
      <c r="F41" s="133" t="n"/>
      <c r="G41" s="133" t="n"/>
    </row>
    <row r="42">
      <c r="A42" s="133" t="n"/>
      <c r="B42" s="133" t="n"/>
      <c r="C42" s="133" t="n"/>
      <c r="D42" s="133" t="n"/>
      <c r="E42" s="133" t="n"/>
      <c r="F42" s="133" t="n"/>
      <c r="G42" s="133" t="n"/>
    </row>
    <row r="43">
      <c r="A43" s="133" t="n"/>
      <c r="B43" s="133" t="n"/>
      <c r="C43" s="133" t="n"/>
      <c r="D43" s="133" t="n"/>
      <c r="E43" s="133" t="n"/>
      <c r="F43" s="133" t="n"/>
      <c r="G43" s="133" t="n"/>
    </row>
    <row r="44">
      <c r="A44" s="133" t="n"/>
      <c r="B44" s="133" t="n"/>
      <c r="C44" s="133" t="n"/>
      <c r="D44" s="133" t="n"/>
      <c r="E44" s="133" t="n"/>
      <c r="F44" s="133" t="n"/>
      <c r="G44" s="133" t="n"/>
    </row>
    <row r="45">
      <c r="A45" s="133" t="n"/>
      <c r="B45" s="133" t="n"/>
      <c r="C45" s="133" t="n"/>
      <c r="D45" s="133" t="n"/>
      <c r="E45" s="133" t="n"/>
      <c r="F45" s="133" t="n"/>
      <c r="G45" s="133" t="n"/>
    </row>
    <row r="46">
      <c r="A46" s="133" t="n"/>
      <c r="B46" s="133" t="n"/>
      <c r="C46" s="133" t="n"/>
      <c r="D46" s="133" t="n"/>
      <c r="E46" s="133" t="n"/>
      <c r="F46" s="133" t="n"/>
      <c r="G46" s="133" t="n"/>
    </row>
    <row r="47">
      <c r="A47" s="133" t="n"/>
      <c r="B47" s="133" t="n"/>
      <c r="C47" s="133" t="n"/>
      <c r="D47" s="133" t="n"/>
      <c r="E47" s="133" t="n"/>
      <c r="F47" s="133" t="n"/>
      <c r="G47" s="133" t="n"/>
    </row>
    <row r="48">
      <c r="A48" s="133" t="n"/>
      <c r="B48" s="133" t="n"/>
      <c r="C48" s="133" t="n"/>
      <c r="D48" s="133" t="n"/>
      <c r="E48" s="133" t="n"/>
      <c r="F48" s="133" t="n"/>
      <c r="G48" s="133" t="n"/>
    </row>
    <row r="49">
      <c r="A49" s="133" t="n"/>
      <c r="B49" s="133" t="n"/>
      <c r="C49" s="133" t="n"/>
      <c r="D49" s="133" t="n"/>
      <c r="E49" s="133" t="n"/>
      <c r="F49" s="133" t="n"/>
      <c r="G49" s="133" t="n"/>
    </row>
    <row r="50">
      <c r="B50" s="81" t="n"/>
      <c r="C50" s="81" t="n"/>
      <c r="D50" s="81" t="n"/>
      <c r="E50" s="81" t="n"/>
    </row>
    <row r="51">
      <c r="B51" s="81" t="n"/>
      <c r="C51" s="81" t="n"/>
      <c r="D51" s="81" t="n"/>
      <c r="E51" s="81" t="n"/>
    </row>
    <row r="52">
      <c r="B52" s="81" t="n"/>
      <c r="C52" s="81" t="n"/>
      <c r="D52" s="81" t="n"/>
      <c r="E52" s="81" t="n"/>
    </row>
    <row r="53">
      <c r="B53" s="81" t="n"/>
      <c r="C53" s="81" t="n"/>
      <c r="D53" s="81" t="n"/>
      <c r="E53" s="81" t="n"/>
    </row>
    <row r="54">
      <c r="B54" s="81" t="n"/>
      <c r="C54" s="81" t="n"/>
      <c r="D54" s="81" t="n"/>
      <c r="E54" s="81" t="n"/>
    </row>
    <row r="55">
      <c r="B55" s="81" t="n"/>
      <c r="C55" s="81" t="n"/>
      <c r="D55" s="81" t="n"/>
      <c r="E55" s="81" t="n"/>
    </row>
    <row r="56">
      <c r="B56" s="81" t="n"/>
      <c r="C56" s="81" t="n"/>
      <c r="D56" s="81" t="n"/>
      <c r="E56" s="81" t="n"/>
    </row>
    <row r="57">
      <c r="B57" s="81" t="n"/>
      <c r="C57" s="81" t="n"/>
      <c r="D57" s="81" t="n"/>
      <c r="E57" s="81" t="n"/>
    </row>
    <row r="58">
      <c r="B58" s="81" t="n"/>
      <c r="C58" s="81" t="n"/>
      <c r="D58" s="81" t="n"/>
      <c r="E58" s="81" t="n"/>
    </row>
    <row r="59">
      <c r="B59" s="81" t="n"/>
      <c r="C59" s="81" t="n"/>
      <c r="D59" s="81" t="n"/>
      <c r="E59" s="81" t="n"/>
    </row>
    <row r="60">
      <c r="B60" s="81" t="n"/>
      <c r="C60" s="81" t="n"/>
      <c r="D60" s="81" t="n"/>
      <c r="E60" s="81" t="n"/>
    </row>
    <row r="61">
      <c r="B61" s="81" t="n"/>
      <c r="C61" s="81" t="n"/>
      <c r="D61" s="81" t="n"/>
      <c r="E61" s="81" t="n"/>
    </row>
    <row r="62">
      <c r="B62" s="81" t="n"/>
      <c r="C62" s="81" t="n"/>
      <c r="D62" s="81" t="n"/>
      <c r="E62" s="81" t="n"/>
    </row>
    <row r="63">
      <c r="B63" s="81" t="n"/>
      <c r="C63" s="81" t="n"/>
      <c r="D63" s="81" t="n"/>
      <c r="E63" s="81" t="n"/>
    </row>
    <row r="64">
      <c r="B64" s="81" t="n"/>
      <c r="C64" s="81" t="n"/>
      <c r="D64" s="81" t="n"/>
      <c r="E64" s="81" t="n"/>
    </row>
    <row r="65">
      <c r="B65" s="81" t="n"/>
      <c r="C65" s="81" t="n"/>
      <c r="D65" s="81" t="n"/>
      <c r="E65" s="81" t="n"/>
    </row>
    <row r="66">
      <c r="B66" s="81" t="n"/>
      <c r="C66" s="81" t="n"/>
      <c r="D66" s="81" t="n"/>
      <c r="E66" s="81" t="n"/>
    </row>
    <row r="67">
      <c r="B67" s="81" t="n"/>
      <c r="C67" s="81" t="n"/>
      <c r="D67" s="81" t="n"/>
      <c r="E67" s="81" t="n"/>
    </row>
    <row r="68">
      <c r="B68" s="81" t="n"/>
      <c r="C68" s="81" t="n"/>
      <c r="D68" s="81" t="n"/>
      <c r="E68" s="81" t="n"/>
    </row>
    <row r="69">
      <c r="B69" s="81" t="n"/>
      <c r="C69" s="81" t="n"/>
      <c r="D69" s="81" t="n"/>
      <c r="E69" s="81" t="n"/>
    </row>
    <row r="70">
      <c r="B70" s="81" t="n"/>
      <c r="C70" s="81" t="n"/>
      <c r="D70" s="81" t="n"/>
      <c r="E70" s="81" t="n"/>
    </row>
    <row r="71">
      <c r="B71" s="81" t="n"/>
      <c r="C71" s="81" t="n"/>
      <c r="D71" s="81" t="n"/>
      <c r="E71" s="81" t="n"/>
    </row>
    <row r="72">
      <c r="B72" s="81" t="n"/>
      <c r="C72" s="81" t="n"/>
      <c r="D72" s="81" t="n"/>
      <c r="E72" s="81" t="n"/>
    </row>
    <row r="73">
      <c r="B73" s="81" t="n"/>
      <c r="C73" s="81" t="n"/>
      <c r="D73" s="81" t="n"/>
      <c r="E73" s="81" t="n"/>
    </row>
    <row r="74">
      <c r="B74" s="81" t="n"/>
      <c r="C74" s="81" t="n"/>
      <c r="D74" s="81" t="n"/>
      <c r="E74" s="81" t="n"/>
    </row>
    <row r="75">
      <c r="B75" s="81" t="n"/>
      <c r="C75" s="81" t="n"/>
      <c r="D75" s="81" t="n"/>
      <c r="E75" s="81" t="n"/>
    </row>
    <row r="76">
      <c r="B76" s="81" t="n"/>
      <c r="C76" s="81" t="n"/>
      <c r="D76" s="81" t="n"/>
      <c r="E76" s="81" t="n"/>
    </row>
    <row r="77">
      <c r="B77" s="81" t="n"/>
      <c r="C77" s="81" t="n"/>
      <c r="D77" s="81" t="n"/>
      <c r="E77" s="81" t="n"/>
    </row>
    <row r="78">
      <c r="B78" s="81" t="n"/>
      <c r="C78" s="81" t="n"/>
      <c r="D78" s="81" t="n"/>
      <c r="E78" s="81" t="n"/>
    </row>
    <row r="79">
      <c r="B79" s="81" t="n"/>
      <c r="C79" s="81" t="n"/>
      <c r="D79" s="81" t="n"/>
      <c r="E79" s="81" t="n"/>
    </row>
    <row r="80">
      <c r="B80" s="81" t="n"/>
      <c r="C80" s="81" t="n"/>
      <c r="D80" s="81" t="n"/>
      <c r="E80" s="81" t="n"/>
    </row>
    <row r="81">
      <c r="B81" s="81" t="n"/>
      <c r="C81" s="81" t="n"/>
      <c r="D81" s="81" t="n"/>
      <c r="E81" s="81" t="n"/>
    </row>
    <row r="82">
      <c r="B82" s="81" t="n"/>
      <c r="C82" s="81" t="n"/>
      <c r="D82" s="81" t="n"/>
      <c r="E82" s="81" t="n"/>
    </row>
    <row r="83">
      <c r="B83" s="81" t="n"/>
      <c r="C83" s="81" t="n"/>
      <c r="D83" s="81" t="n"/>
      <c r="E83" s="81" t="n"/>
    </row>
    <row r="84">
      <c r="B84" s="81" t="n"/>
      <c r="C84" s="81" t="n"/>
      <c r="D84" s="81" t="n"/>
      <c r="E84" s="81" t="n"/>
    </row>
    <row r="85">
      <c r="B85" s="81" t="n"/>
      <c r="C85" s="81" t="n"/>
      <c r="D85" s="81" t="n"/>
      <c r="E85" s="81" t="n"/>
    </row>
    <row r="86">
      <c r="B86" s="81" t="n"/>
      <c r="C86" s="81" t="n"/>
      <c r="D86" s="81" t="n"/>
      <c r="E86" s="81" t="n"/>
    </row>
    <row r="87">
      <c r="B87" s="81" t="n"/>
      <c r="C87" s="81" t="n"/>
      <c r="D87" s="81" t="n"/>
      <c r="E87" s="81" t="n"/>
    </row>
    <row r="88">
      <c r="B88" s="81" t="n"/>
      <c r="C88" s="81" t="n"/>
      <c r="D88" s="81" t="n"/>
      <c r="E88" s="81" t="n"/>
    </row>
    <row r="89">
      <c r="B89" s="81" t="n"/>
      <c r="C89" s="81" t="n"/>
      <c r="D89" s="81" t="n"/>
      <c r="E89" s="81" t="n"/>
    </row>
    <row r="90">
      <c r="B90" s="81" t="n"/>
      <c r="C90" s="81" t="n"/>
      <c r="D90" s="81" t="n"/>
      <c r="E90" s="81" t="n"/>
    </row>
    <row r="91">
      <c r="B91" s="81" t="n"/>
      <c r="C91" s="81" t="n"/>
      <c r="D91" s="81" t="n"/>
      <c r="E91" s="81" t="n"/>
    </row>
    <row r="92">
      <c r="B92" s="81" t="n"/>
      <c r="C92" s="81" t="n"/>
      <c r="D92" s="81" t="n"/>
      <c r="E92" s="81" t="n"/>
    </row>
    <row r="93">
      <c r="B93" s="81" t="n"/>
      <c r="C93" s="81" t="n"/>
      <c r="D93" s="81" t="n"/>
      <c r="E93" s="81" t="n"/>
    </row>
    <row r="94">
      <c r="B94" s="81" t="n"/>
      <c r="C94" s="81" t="n"/>
      <c r="D94" s="81" t="n"/>
      <c r="E94" s="81" t="n"/>
    </row>
    <row r="95">
      <c r="B95" s="81" t="n"/>
      <c r="C95" s="81" t="n"/>
      <c r="D95" s="81" t="n"/>
      <c r="E95" s="81" t="n"/>
    </row>
    <row r="96">
      <c r="B96" s="81" t="n"/>
      <c r="C96" s="81" t="n"/>
      <c r="D96" s="81" t="n"/>
      <c r="E96" s="81" t="n"/>
    </row>
    <row r="97">
      <c r="B97" s="81" t="n"/>
      <c r="C97" s="81" t="n"/>
      <c r="D97" s="81" t="n"/>
      <c r="E97" s="81" t="n"/>
    </row>
    <row r="98">
      <c r="B98" s="81" t="n"/>
      <c r="C98" s="81" t="n"/>
      <c r="D98" s="81" t="n"/>
      <c r="E98" s="81" t="n"/>
    </row>
    <row r="99">
      <c r="B99" s="81" t="n"/>
      <c r="C99" s="81" t="n"/>
      <c r="D99" s="81" t="n"/>
      <c r="E99" s="81" t="n"/>
    </row>
    <row r="100">
      <c r="B100" s="81" t="n"/>
      <c r="C100" s="81" t="n"/>
      <c r="D100" s="81" t="n"/>
      <c r="E100" s="81" t="n"/>
    </row>
    <row r="101">
      <c r="B101" s="81" t="n"/>
      <c r="C101" s="81" t="n"/>
      <c r="D101" s="81" t="n"/>
      <c r="E101" s="81" t="n"/>
    </row>
    <row r="102">
      <c r="B102" s="81" t="n"/>
      <c r="C102" s="81" t="n"/>
      <c r="D102" s="81" t="n"/>
      <c r="E102" s="81" t="n"/>
    </row>
    <row r="103">
      <c r="B103" s="81" t="n"/>
      <c r="C103" s="81" t="n"/>
      <c r="D103" s="81" t="n"/>
      <c r="E103" s="81" t="n"/>
    </row>
    <row r="104">
      <c r="B104" s="81" t="n"/>
      <c r="C104" s="81" t="n"/>
      <c r="D104" s="81" t="n"/>
      <c r="E104" s="81" t="n"/>
    </row>
    <row r="105">
      <c r="B105" s="81" t="n"/>
      <c r="C105" s="81" t="n"/>
      <c r="D105" s="81" t="n"/>
      <c r="E105" s="81" t="n"/>
    </row>
    <row r="106">
      <c r="B106" s="81" t="n"/>
      <c r="C106" s="81" t="n"/>
      <c r="D106" s="81" t="n"/>
      <c r="E106" s="81" t="n"/>
    </row>
    <row r="107">
      <c r="B107" s="81" t="n"/>
      <c r="C107" s="81" t="n"/>
      <c r="D107" s="81" t="n"/>
      <c r="E107" s="81" t="n"/>
    </row>
    <row r="108">
      <c r="B108" s="81" t="n"/>
      <c r="C108" s="81" t="n"/>
      <c r="D108" s="81" t="n"/>
      <c r="E108" s="81" t="n"/>
    </row>
    <row r="109">
      <c r="B109" s="81" t="n"/>
      <c r="C109" s="81" t="n"/>
      <c r="D109" s="81" t="n"/>
      <c r="E109" s="81" t="n"/>
    </row>
    <row r="110">
      <c r="B110" s="81" t="n"/>
      <c r="C110" s="81" t="n"/>
      <c r="D110" s="81" t="n"/>
      <c r="E110" s="81" t="n"/>
    </row>
    <row r="111">
      <c r="B111" s="81" t="n"/>
      <c r="C111" s="81" t="n"/>
      <c r="D111" s="81" t="n"/>
      <c r="E111" s="81" t="n"/>
    </row>
    <row r="112">
      <c r="B112" s="81" t="n"/>
      <c r="C112" s="81" t="n"/>
      <c r="D112" s="81" t="n"/>
      <c r="E112" s="81" t="n"/>
    </row>
    <row r="113">
      <c r="B113" s="81" t="n"/>
      <c r="C113" s="81" t="n"/>
      <c r="D113" s="81" t="n"/>
      <c r="E113" s="81" t="n"/>
    </row>
    <row r="114">
      <c r="B114" s="81" t="n"/>
      <c r="C114" s="81" t="n"/>
      <c r="D114" s="81" t="n"/>
      <c r="E114" s="81" t="n"/>
    </row>
    <row r="115">
      <c r="B115" s="81" t="n"/>
      <c r="C115" s="81" t="n"/>
      <c r="D115" s="81" t="n"/>
      <c r="E115" s="81" t="n"/>
    </row>
    <row r="116">
      <c r="B116" s="81" t="n"/>
      <c r="C116" s="81" t="n"/>
      <c r="D116" s="81" t="n"/>
      <c r="E116" s="81" t="n"/>
    </row>
    <row r="117">
      <c r="B117" s="81" t="n"/>
      <c r="C117" s="81" t="n"/>
      <c r="D117" s="81" t="n"/>
      <c r="E117" s="81" t="n"/>
    </row>
    <row r="118">
      <c r="B118" s="81" t="n"/>
      <c r="C118" s="81" t="n"/>
      <c r="D118" s="81" t="n"/>
      <c r="E118" s="81" t="n"/>
    </row>
    <row r="119">
      <c r="B119" s="81" t="n"/>
      <c r="C119" s="81" t="n"/>
      <c r="D119" s="81" t="n"/>
      <c r="E119" s="81" t="n"/>
    </row>
    <row r="120">
      <c r="B120" s="81" t="n"/>
      <c r="C120" s="81" t="n"/>
      <c r="D120" s="81" t="n"/>
      <c r="E120" s="81" t="n"/>
    </row>
    <row r="121">
      <c r="B121" s="81" t="n"/>
      <c r="C121" s="81" t="n"/>
      <c r="D121" s="81" t="n"/>
      <c r="E121" s="81" t="n"/>
    </row>
    <row r="122">
      <c r="B122" s="81" t="n"/>
      <c r="C122" s="81" t="n"/>
      <c r="D122" s="81" t="n"/>
      <c r="E122" s="81" t="n"/>
    </row>
    <row r="123">
      <c r="B123" s="81" t="n"/>
      <c r="C123" s="81" t="n"/>
      <c r="D123" s="81" t="n"/>
      <c r="E123" s="81" t="n"/>
    </row>
    <row r="124">
      <c r="B124" s="81" t="n"/>
      <c r="C124" s="81" t="n"/>
      <c r="D124" s="81" t="n"/>
      <c r="E124" s="81" t="n"/>
    </row>
    <row r="125">
      <c r="B125" s="81" t="n"/>
      <c r="C125" s="81" t="n"/>
      <c r="D125" s="81" t="n"/>
      <c r="E125" s="81" t="n"/>
    </row>
    <row r="126">
      <c r="B126" s="81" t="n"/>
      <c r="C126" s="81" t="n"/>
      <c r="D126" s="81" t="n"/>
      <c r="E126" s="81" t="n"/>
    </row>
    <row r="127">
      <c r="B127" s="81" t="n"/>
      <c r="C127" s="81" t="n"/>
      <c r="D127" s="81" t="n"/>
      <c r="E127" s="81" t="n"/>
    </row>
    <row r="128">
      <c r="B128" s="81" t="n"/>
      <c r="C128" s="81" t="n"/>
      <c r="D128" s="81" t="n"/>
      <c r="E128" s="81" t="n"/>
    </row>
    <row r="129">
      <c r="B129" s="81" t="n"/>
      <c r="C129" s="81" t="n"/>
      <c r="D129" s="81" t="n"/>
      <c r="E129" s="81" t="n"/>
    </row>
    <row r="130">
      <c r="B130" s="81" t="n"/>
      <c r="C130" s="81" t="n"/>
      <c r="D130" s="81" t="n"/>
      <c r="E130" s="81" t="n"/>
    </row>
    <row r="131">
      <c r="B131" s="81" t="n"/>
      <c r="C131" s="81" t="n"/>
      <c r="D131" s="81" t="n"/>
      <c r="E131" s="81" t="n"/>
    </row>
    <row r="132">
      <c r="B132" s="81" t="n"/>
      <c r="C132" s="81" t="n"/>
      <c r="D132" s="81" t="n"/>
      <c r="E132" s="81" t="n"/>
    </row>
    <row r="133">
      <c r="B133" s="81" t="n"/>
      <c r="C133" s="81" t="n"/>
      <c r="D133" s="81" t="n"/>
      <c r="E133" s="81" t="n"/>
    </row>
    <row r="134">
      <c r="B134" s="81" t="n"/>
      <c r="C134" s="81" t="n"/>
      <c r="D134" s="81" t="n"/>
      <c r="E134" s="81" t="n"/>
    </row>
    <row r="135">
      <c r="B135" s="81" t="n"/>
      <c r="C135" s="81" t="n"/>
      <c r="D135" s="81" t="n"/>
      <c r="E135" s="81" t="n"/>
    </row>
    <row r="136">
      <c r="B136" s="81" t="n"/>
      <c r="C136" s="81" t="n"/>
      <c r="D136" s="81" t="n"/>
      <c r="E136" s="81" t="n"/>
    </row>
    <row r="137">
      <c r="B137" s="81" t="n"/>
      <c r="C137" s="81" t="n"/>
      <c r="D137" s="81" t="n"/>
      <c r="E137" s="81" t="n"/>
    </row>
    <row r="138">
      <c r="B138" s="81" t="n"/>
      <c r="C138" s="81" t="n"/>
      <c r="D138" s="81" t="n"/>
      <c r="E138" s="81" t="n"/>
    </row>
    <row r="139">
      <c r="B139" s="81" t="n"/>
      <c r="C139" s="81" t="n"/>
      <c r="D139" s="81" t="n"/>
      <c r="E139" s="81" t="n"/>
    </row>
    <row r="140">
      <c r="B140" s="81" t="n"/>
      <c r="C140" s="81" t="n"/>
      <c r="D140" s="81" t="n"/>
      <c r="E140" s="81" t="n"/>
    </row>
    <row r="141">
      <c r="B141" s="81" t="n"/>
      <c r="C141" s="81" t="n"/>
      <c r="D141" s="81" t="n"/>
      <c r="E141" s="81" t="n"/>
    </row>
    <row r="142">
      <c r="B142" s="81" t="n"/>
      <c r="C142" s="81" t="n"/>
      <c r="D142" s="81" t="n"/>
      <c r="E142" s="81" t="n"/>
    </row>
    <row r="143">
      <c r="B143" s="81" t="n"/>
      <c r="C143" s="81" t="n"/>
      <c r="D143" s="81" t="n"/>
      <c r="E143" s="81" t="n"/>
    </row>
    <row r="144">
      <c r="B144" s="81" t="n"/>
      <c r="C144" s="81" t="n"/>
      <c r="D144" s="81" t="n"/>
      <c r="E144" s="81" t="n"/>
    </row>
    <row r="145">
      <c r="B145" s="81" t="n"/>
      <c r="C145" s="81" t="n"/>
      <c r="D145" s="81" t="n"/>
      <c r="E145" s="81" t="n"/>
    </row>
    <row r="146">
      <c r="B146" s="81" t="n"/>
      <c r="C146" s="81" t="n"/>
      <c r="D146" s="81" t="n"/>
      <c r="E146" s="81" t="n"/>
    </row>
    <row r="147">
      <c r="B147" s="81" t="n"/>
      <c r="C147" s="81" t="n"/>
      <c r="D147" s="81" t="n"/>
      <c r="E147" s="81" t="n"/>
    </row>
    <row r="148">
      <c r="B148" s="81" t="n"/>
      <c r="C148" s="81" t="n"/>
      <c r="D148" s="81" t="n"/>
      <c r="E148" s="81" t="n"/>
    </row>
    <row r="149">
      <c r="B149" s="81" t="n"/>
      <c r="C149" s="81" t="n"/>
      <c r="D149" s="81" t="n"/>
      <c r="E149" s="81" t="n"/>
    </row>
    <row r="150">
      <c r="B150" s="81" t="n"/>
      <c r="C150" s="81" t="n"/>
      <c r="D150" s="81" t="n"/>
      <c r="E150" s="81" t="n"/>
    </row>
    <row r="151">
      <c r="B151" s="81" t="n"/>
      <c r="C151" s="81" t="n"/>
      <c r="D151" s="81" t="n"/>
      <c r="E151" s="81" t="n"/>
    </row>
    <row r="152">
      <c r="B152" s="81" t="n"/>
      <c r="C152" s="81" t="n"/>
      <c r="D152" s="81" t="n"/>
      <c r="E152" s="81" t="n"/>
    </row>
    <row r="153">
      <c r="B153" s="81" t="n"/>
      <c r="C153" s="81" t="n"/>
      <c r="D153" s="81" t="n"/>
      <c r="E153" s="81" t="n"/>
    </row>
    <row r="154">
      <c r="B154" s="81" t="n"/>
      <c r="C154" s="81" t="n"/>
      <c r="D154" s="81" t="n"/>
      <c r="E154" s="81" t="n"/>
    </row>
    <row r="155">
      <c r="B155" s="81" t="n"/>
      <c r="C155" s="81" t="n"/>
      <c r="D155" s="81" t="n"/>
      <c r="E155" s="81" t="n"/>
    </row>
    <row r="156">
      <c r="B156" s="81" t="n"/>
      <c r="C156" s="81" t="n"/>
      <c r="D156" s="81" t="n"/>
      <c r="E156" s="81" t="n"/>
    </row>
    <row r="157">
      <c r="B157" s="81" t="n"/>
      <c r="C157" s="81" t="n"/>
      <c r="D157" s="81" t="n"/>
      <c r="E157" s="81" t="n"/>
    </row>
    <row r="158">
      <c r="B158" s="81" t="n"/>
      <c r="C158" s="81" t="n"/>
      <c r="D158" s="81" t="n"/>
      <c r="E158" s="81" t="n"/>
    </row>
    <row r="159">
      <c r="B159" s="81" t="n"/>
      <c r="C159" s="81" t="n"/>
      <c r="D159" s="81" t="n"/>
      <c r="E159" s="81" t="n"/>
    </row>
    <row r="160">
      <c r="B160" s="81" t="n"/>
      <c r="C160" s="81" t="n"/>
      <c r="D160" s="81" t="n"/>
      <c r="E160" s="81" t="n"/>
    </row>
    <row r="161">
      <c r="B161" s="81" t="n"/>
      <c r="C161" s="81" t="n"/>
      <c r="D161" s="81" t="n"/>
      <c r="E161" s="81" t="n"/>
    </row>
    <row r="162">
      <c r="B162" s="81" t="n"/>
      <c r="C162" s="81" t="n"/>
      <c r="D162" s="81" t="n"/>
      <c r="E162" s="81" t="n"/>
    </row>
    <row r="163">
      <c r="B163" s="81" t="n"/>
      <c r="C163" s="81" t="n"/>
      <c r="D163" s="81" t="n"/>
      <c r="E163" s="81" t="n"/>
    </row>
    <row r="164">
      <c r="B164" s="81" t="n"/>
      <c r="C164" s="81" t="n"/>
      <c r="D164" s="81" t="n"/>
      <c r="E164" s="81" t="n"/>
    </row>
    <row r="165">
      <c r="B165" s="81" t="n"/>
      <c r="C165" s="81" t="n"/>
      <c r="D165" s="81" t="n"/>
      <c r="E165" s="81" t="n"/>
    </row>
    <row r="166">
      <c r="B166" s="81" t="n"/>
      <c r="C166" s="81" t="n"/>
      <c r="D166" s="81" t="n"/>
      <c r="E166" s="81" t="n"/>
    </row>
    <row r="167">
      <c r="B167" s="81" t="n"/>
      <c r="C167" s="81" t="n"/>
      <c r="D167" s="81" t="n"/>
      <c r="E167" s="81" t="n"/>
    </row>
    <row r="168">
      <c r="B168" s="81" t="n"/>
      <c r="C168" s="81" t="n"/>
      <c r="D168" s="81" t="n"/>
      <c r="E168" s="81" t="n"/>
    </row>
    <row r="169">
      <c r="B169" s="81" t="n"/>
      <c r="C169" s="81" t="n"/>
      <c r="D169" s="81" t="n"/>
      <c r="E169" s="81" t="n"/>
    </row>
    <row r="170">
      <c r="B170" s="81" t="n"/>
      <c r="C170" s="81" t="n"/>
      <c r="D170" s="81" t="n"/>
      <c r="E170" s="81" t="n"/>
    </row>
    <row r="171">
      <c r="B171" s="81" t="n"/>
      <c r="C171" s="81" t="n"/>
      <c r="D171" s="81" t="n"/>
      <c r="E171" s="81" t="n"/>
    </row>
    <row r="172">
      <c r="B172" s="81" t="n"/>
      <c r="C172" s="81" t="n"/>
      <c r="D172" s="81" t="n"/>
      <c r="E172" s="81" t="n"/>
    </row>
    <row r="173">
      <c r="B173" s="81" t="n"/>
      <c r="C173" s="81" t="n"/>
      <c r="D173" s="81" t="n"/>
      <c r="E173" s="81" t="n"/>
    </row>
    <row r="174">
      <c r="B174" s="81" t="n"/>
      <c r="C174" s="81" t="n"/>
      <c r="D174" s="81" t="n"/>
      <c r="E174" s="81" t="n"/>
    </row>
    <row r="175">
      <c r="B175" s="81" t="n"/>
      <c r="C175" s="81" t="n"/>
      <c r="D175" s="81" t="n"/>
      <c r="E175" s="81" t="n"/>
    </row>
    <row r="176">
      <c r="B176" s="81" t="n"/>
      <c r="C176" s="81" t="n"/>
      <c r="D176" s="81" t="n"/>
      <c r="E176" s="81" t="n"/>
    </row>
    <row r="177">
      <c r="B177" s="81" t="n"/>
      <c r="C177" s="81" t="n"/>
      <c r="D177" s="81" t="n"/>
      <c r="E177" s="81" t="n"/>
    </row>
    <row r="178">
      <c r="B178" s="81" t="n"/>
      <c r="C178" s="81" t="n"/>
      <c r="D178" s="81" t="n"/>
      <c r="E178" s="81" t="n"/>
    </row>
    <row r="179">
      <c r="B179" s="81" t="n"/>
      <c r="C179" s="81" t="n"/>
      <c r="D179" s="81" t="n"/>
      <c r="E179" s="81" t="n"/>
    </row>
    <row r="180">
      <c r="B180" s="81" t="n"/>
      <c r="C180" s="81" t="n"/>
      <c r="D180" s="81" t="n"/>
      <c r="E180" s="81" t="n"/>
    </row>
    <row r="181">
      <c r="B181" s="81" t="n"/>
      <c r="C181" s="81" t="n"/>
      <c r="D181" s="81" t="n"/>
      <c r="E181" s="81" t="n"/>
    </row>
    <row r="182">
      <c r="B182" s="81" t="n"/>
      <c r="C182" s="81" t="n"/>
      <c r="D182" s="81" t="n"/>
      <c r="E182" s="81" t="n"/>
    </row>
    <row r="183">
      <c r="B183" s="81" t="n"/>
      <c r="C183" s="81" t="n"/>
      <c r="D183" s="81" t="n"/>
      <c r="E183" s="81" t="n"/>
    </row>
    <row r="184">
      <c r="B184" s="81" t="n"/>
      <c r="C184" s="81" t="n"/>
      <c r="D184" s="81" t="n"/>
      <c r="E184" s="81" t="n"/>
    </row>
    <row r="185">
      <c r="B185" s="81" t="n"/>
      <c r="C185" s="81" t="n"/>
      <c r="D185" s="81" t="n"/>
      <c r="E185" s="81" t="n"/>
    </row>
    <row r="186">
      <c r="B186" s="81" t="n"/>
      <c r="C186" s="81" t="n"/>
      <c r="D186" s="81" t="n"/>
      <c r="E186" s="81" t="n"/>
    </row>
    <row r="187">
      <c r="B187" s="81" t="n"/>
      <c r="C187" s="81" t="n"/>
      <c r="D187" s="81" t="n"/>
      <c r="E187" s="81" t="n"/>
    </row>
    <row r="188">
      <c r="B188" s="81" t="n"/>
      <c r="C188" s="81" t="n"/>
      <c r="D188" s="81" t="n"/>
      <c r="E188" s="81" t="n"/>
    </row>
    <row r="189">
      <c r="B189" s="81" t="n"/>
      <c r="C189" s="81" t="n"/>
      <c r="D189" s="81" t="n"/>
      <c r="E189" s="81" t="n"/>
    </row>
    <row r="190">
      <c r="B190" s="81" t="n"/>
      <c r="C190" s="81" t="n"/>
      <c r="D190" s="81" t="n"/>
      <c r="E190" s="81" t="n"/>
    </row>
    <row r="191">
      <c r="B191" s="81" t="n"/>
      <c r="C191" s="81" t="n"/>
      <c r="D191" s="81" t="n"/>
      <c r="E191" s="81" t="n"/>
    </row>
    <row r="192">
      <c r="B192" s="81" t="n"/>
      <c r="C192" s="81" t="n"/>
      <c r="D192" s="81" t="n"/>
      <c r="E192" s="81" t="n"/>
    </row>
    <row r="193">
      <c r="B193" s="81" t="n"/>
      <c r="C193" s="81" t="n"/>
      <c r="D193" s="81" t="n"/>
      <c r="E193" s="81" t="n"/>
    </row>
    <row r="194">
      <c r="B194" s="81" t="n"/>
      <c r="C194" s="81" t="n"/>
      <c r="D194" s="81" t="n"/>
      <c r="E194" s="81" t="n"/>
    </row>
    <row r="195">
      <c r="B195" s="81" t="n"/>
      <c r="C195" s="81" t="n"/>
      <c r="D195" s="81" t="n"/>
      <c r="E195" s="81" t="n"/>
    </row>
    <row r="196">
      <c r="B196" s="81" t="n"/>
      <c r="C196" s="81" t="n"/>
      <c r="D196" s="81" t="n"/>
      <c r="E196" s="81" t="n"/>
    </row>
    <row r="197">
      <c r="B197" s="81" t="n"/>
      <c r="C197" s="81" t="n"/>
      <c r="D197" s="81" t="n"/>
      <c r="E197" s="81" t="n"/>
    </row>
    <row r="198">
      <c r="B198" s="81" t="n"/>
      <c r="C198" s="81" t="n"/>
      <c r="D198" s="81" t="n"/>
      <c r="E198" s="81" t="n"/>
    </row>
    <row r="199">
      <c r="B199" s="81" t="n"/>
      <c r="C199" s="81" t="n"/>
      <c r="D199" s="81" t="n"/>
      <c r="E199" s="81" t="n"/>
    </row>
    <row r="200">
      <c r="B200" s="81" t="n"/>
      <c r="C200" s="81" t="n"/>
      <c r="D200" s="81" t="n"/>
      <c r="E200" s="81" t="n"/>
    </row>
    <row r="201">
      <c r="B201" s="81" t="n"/>
      <c r="C201" s="81" t="n"/>
      <c r="D201" s="81" t="n"/>
      <c r="E201" s="81" t="n"/>
    </row>
    <row r="202">
      <c r="B202" s="81" t="n"/>
      <c r="C202" s="81" t="n"/>
      <c r="D202" s="81" t="n"/>
      <c r="E202" s="81" t="n"/>
    </row>
    <row r="203">
      <c r="B203" s="81" t="n"/>
      <c r="C203" s="81" t="n"/>
      <c r="D203" s="81" t="n"/>
      <c r="E203" s="81" t="n"/>
    </row>
    <row r="204">
      <c r="B204" s="81" t="n"/>
      <c r="C204" s="81" t="n"/>
      <c r="D204" s="81" t="n"/>
      <c r="E204" s="81" t="n"/>
    </row>
    <row r="205">
      <c r="B205" s="81" t="n"/>
      <c r="C205" s="81" t="n"/>
      <c r="D205" s="81" t="n"/>
      <c r="E205" s="81" t="n"/>
    </row>
    <row r="206">
      <c r="B206" s="81" t="n"/>
      <c r="C206" s="81" t="n"/>
      <c r="D206" s="81" t="n"/>
      <c r="E206" s="81" t="n"/>
    </row>
    <row r="207">
      <c r="B207" s="81" t="n"/>
      <c r="C207" s="81" t="n"/>
      <c r="D207" s="81" t="n"/>
      <c r="E207" s="81" t="n"/>
    </row>
    <row r="208">
      <c r="B208" s="81" t="n"/>
      <c r="C208" s="81" t="n"/>
      <c r="D208" s="81" t="n"/>
      <c r="E208" s="81" t="n"/>
    </row>
    <row r="209">
      <c r="B209" s="81" t="n"/>
      <c r="C209" s="81" t="n"/>
      <c r="D209" s="81" t="n"/>
      <c r="E209" s="81" t="n"/>
    </row>
    <row r="210">
      <c r="B210" s="81" t="n"/>
      <c r="C210" s="81" t="n"/>
      <c r="D210" s="81" t="n"/>
      <c r="E210" s="81" t="n"/>
    </row>
    <row r="211">
      <c r="B211" s="81" t="n"/>
      <c r="C211" s="81" t="n"/>
      <c r="D211" s="81" t="n"/>
      <c r="E211" s="81" t="n"/>
    </row>
    <row r="212">
      <c r="B212" s="81" t="n"/>
      <c r="C212" s="81" t="n"/>
      <c r="D212" s="81" t="n"/>
      <c r="E212" s="81" t="n"/>
    </row>
    <row r="213">
      <c r="B213" s="81" t="n"/>
      <c r="C213" s="81" t="n"/>
      <c r="D213" s="81" t="n"/>
      <c r="E213" s="81" t="n"/>
    </row>
    <row r="214">
      <c r="B214" s="81" t="n"/>
      <c r="C214" s="81" t="n"/>
      <c r="D214" s="81" t="n"/>
      <c r="E214" s="81" t="n"/>
    </row>
    <row r="215">
      <c r="B215" s="81" t="n"/>
      <c r="C215" s="81" t="n"/>
      <c r="D215" s="81" t="n"/>
      <c r="E215" s="81" t="n"/>
    </row>
    <row r="216">
      <c r="B216" s="81" t="n"/>
      <c r="C216" s="81" t="n"/>
      <c r="D216" s="81" t="n"/>
      <c r="E216" s="81" t="n"/>
    </row>
    <row r="217">
      <c r="B217" s="81" t="n"/>
      <c r="C217" s="81" t="n"/>
      <c r="D217" s="81" t="n"/>
      <c r="E217" s="81" t="n"/>
    </row>
    <row r="218">
      <c r="B218" s="81" t="n"/>
      <c r="C218" s="81" t="n"/>
      <c r="D218" s="81" t="n"/>
      <c r="E218" s="81" t="n"/>
    </row>
    <row r="219">
      <c r="B219" s="81" t="n"/>
      <c r="C219" s="81" t="n"/>
      <c r="D219" s="81" t="n"/>
      <c r="E219" s="81" t="n"/>
    </row>
    <row r="220">
      <c r="B220" s="81" t="n"/>
      <c r="C220" s="81" t="n"/>
      <c r="D220" s="81" t="n"/>
      <c r="E220" s="81" t="n"/>
    </row>
    <row r="221">
      <c r="B221" s="81" t="n"/>
      <c r="C221" s="81" t="n"/>
      <c r="D221" s="81" t="n"/>
      <c r="E221" s="81" t="n"/>
    </row>
    <row r="222">
      <c r="B222" s="81" t="n"/>
      <c r="C222" s="81" t="n"/>
      <c r="D222" s="81" t="n"/>
      <c r="E222" s="81" t="n"/>
    </row>
    <row r="223">
      <c r="B223" s="81" t="n"/>
      <c r="C223" s="81" t="n"/>
      <c r="D223" s="81" t="n"/>
      <c r="E223" s="81" t="n"/>
    </row>
    <row r="224">
      <c r="B224" s="81" t="n"/>
      <c r="C224" s="81" t="n"/>
      <c r="D224" s="81" t="n"/>
      <c r="E224" s="81" t="n"/>
    </row>
    <row r="225">
      <c r="B225" s="81" t="n"/>
      <c r="C225" s="81" t="n"/>
      <c r="D225" s="81" t="n"/>
      <c r="E225" s="81" t="n"/>
    </row>
    <row r="226">
      <c r="B226" s="81" t="n"/>
      <c r="C226" s="81" t="n"/>
      <c r="D226" s="81" t="n"/>
      <c r="E226" s="81" t="n"/>
    </row>
    <row r="227">
      <c r="B227" s="81" t="n"/>
      <c r="C227" s="81" t="n"/>
      <c r="D227" s="81" t="n"/>
      <c r="E227" s="81" t="n"/>
    </row>
    <row r="228">
      <c r="B228" s="81" t="n"/>
      <c r="C228" s="81" t="n"/>
      <c r="D228" s="81" t="n"/>
      <c r="E228" s="81" t="n"/>
    </row>
    <row r="229">
      <c r="B229" s="81" t="n"/>
      <c r="C229" s="81" t="n"/>
      <c r="D229" s="81" t="n"/>
      <c r="E229" s="81" t="n"/>
    </row>
    <row r="230">
      <c r="B230" s="81" t="n"/>
      <c r="C230" s="81" t="n"/>
      <c r="D230" s="81" t="n"/>
      <c r="E230" s="81" t="n"/>
    </row>
    <row r="231">
      <c r="B231" s="81" t="n"/>
      <c r="C231" s="81" t="n"/>
      <c r="D231" s="81" t="n"/>
      <c r="E231" s="81" t="n"/>
    </row>
    <row r="232">
      <c r="B232" s="81" t="n"/>
      <c r="C232" s="81" t="n"/>
      <c r="D232" s="81" t="n"/>
      <c r="E232" s="81" t="n"/>
    </row>
    <row r="233">
      <c r="B233" s="81" t="n"/>
      <c r="C233" s="81" t="n"/>
      <c r="D233" s="81" t="n"/>
      <c r="E233" s="81" t="n"/>
    </row>
    <row r="234">
      <c r="B234" s="81" t="n"/>
      <c r="C234" s="81" t="n"/>
      <c r="D234" s="81" t="n"/>
      <c r="E234" s="81" t="n"/>
    </row>
    <row r="235">
      <c r="B235" s="81" t="n"/>
      <c r="C235" s="81" t="n"/>
      <c r="D235" s="81" t="n"/>
      <c r="E235" s="81" t="n"/>
    </row>
    <row r="236">
      <c r="B236" s="81" t="n"/>
      <c r="C236" s="81" t="n"/>
      <c r="D236" s="81" t="n"/>
      <c r="E236" s="81" t="n"/>
    </row>
    <row r="237">
      <c r="B237" s="81" t="n"/>
      <c r="C237" s="81" t="n"/>
      <c r="D237" s="81" t="n"/>
      <c r="E237" s="81" t="n"/>
    </row>
    <row r="238">
      <c r="B238" s="81" t="n"/>
      <c r="C238" s="81" t="n"/>
      <c r="D238" s="81" t="n"/>
      <c r="E238" s="81" t="n"/>
    </row>
    <row r="239">
      <c r="B239" s="81" t="n"/>
      <c r="C239" s="81" t="n"/>
      <c r="D239" s="81" t="n"/>
      <c r="E239" s="81" t="n"/>
    </row>
    <row r="240">
      <c r="B240" s="81" t="n"/>
      <c r="C240" s="81" t="n"/>
      <c r="D240" s="81" t="n"/>
      <c r="E240" s="81" t="n"/>
    </row>
    <row r="241">
      <c r="B241" s="81" t="n"/>
      <c r="C241" s="81" t="n"/>
      <c r="D241" s="81" t="n"/>
      <c r="E241" s="81" t="n"/>
    </row>
    <row r="242">
      <c r="B242" s="81" t="n"/>
      <c r="C242" s="81" t="n"/>
      <c r="D242" s="81" t="n"/>
      <c r="E242" s="81" t="n"/>
    </row>
    <row r="243">
      <c r="B243" s="81" t="n"/>
      <c r="C243" s="81" t="n"/>
      <c r="D243" s="81" t="n"/>
      <c r="E243" s="81" t="n"/>
    </row>
    <row r="244">
      <c r="B244" s="81" t="n"/>
      <c r="C244" s="81" t="n"/>
      <c r="D244" s="81" t="n"/>
      <c r="E244" s="81" t="n"/>
    </row>
    <row r="245">
      <c r="B245" s="81" t="n"/>
      <c r="C245" s="81" t="n"/>
      <c r="D245" s="81" t="n"/>
      <c r="E245" s="81" t="n"/>
    </row>
    <row r="246">
      <c r="B246" s="81" t="n"/>
      <c r="C246" s="81" t="n"/>
      <c r="D246" s="81" t="n"/>
      <c r="E246" s="81" t="n"/>
    </row>
    <row r="247">
      <c r="B247" s="81" t="n"/>
      <c r="C247" s="81" t="n"/>
      <c r="D247" s="81" t="n"/>
      <c r="E247" s="81" t="n"/>
    </row>
    <row r="248">
      <c r="B248" s="81" t="n"/>
      <c r="C248" s="81" t="n"/>
      <c r="D248" s="81" t="n"/>
      <c r="E248" s="81" t="n"/>
    </row>
    <row r="249">
      <c r="B249" s="81" t="n"/>
      <c r="C249" s="81" t="n"/>
      <c r="D249" s="81" t="n"/>
      <c r="E249" s="81" t="n"/>
    </row>
    <row r="250">
      <c r="B250" s="81" t="n"/>
      <c r="C250" s="81" t="n"/>
      <c r="D250" s="81" t="n"/>
      <c r="E250" s="81" t="n"/>
    </row>
    <row r="251">
      <c r="B251" s="81" t="n"/>
      <c r="C251" s="81" t="n"/>
      <c r="D251" s="81" t="n"/>
      <c r="E251" s="81" t="n"/>
    </row>
    <row r="252">
      <c r="B252" s="81" t="n"/>
      <c r="C252" s="81" t="n"/>
      <c r="D252" s="81" t="n"/>
      <c r="E252" s="81" t="n"/>
    </row>
    <row r="253">
      <c r="B253" s="81" t="n"/>
      <c r="C253" s="81" t="n"/>
      <c r="D253" s="81" t="n"/>
      <c r="E253" s="81" t="n"/>
    </row>
    <row r="254">
      <c r="B254" s="81" t="n"/>
      <c r="C254" s="81" t="n"/>
      <c r="D254" s="81" t="n"/>
      <c r="E254" s="81" t="n"/>
    </row>
    <row r="255">
      <c r="B255" s="81" t="n"/>
      <c r="C255" s="81" t="n"/>
      <c r="D255" s="81" t="n"/>
      <c r="E255" s="81" t="n"/>
    </row>
    <row r="256">
      <c r="B256" s="81" t="n"/>
      <c r="C256" s="81" t="n"/>
      <c r="D256" s="81" t="n"/>
      <c r="E256" s="81" t="n"/>
    </row>
    <row r="257">
      <c r="B257" s="81" t="n"/>
      <c r="C257" s="81" t="n"/>
      <c r="D257" s="81" t="n"/>
      <c r="E257" s="81" t="n"/>
    </row>
    <row r="258">
      <c r="B258" s="81" t="n"/>
      <c r="C258" s="81" t="n"/>
      <c r="D258" s="81" t="n"/>
      <c r="E258" s="81" t="n"/>
    </row>
    <row r="259">
      <c r="B259" s="81" t="n"/>
      <c r="C259" s="81" t="n"/>
      <c r="D259" s="81" t="n"/>
      <c r="E259" s="81" t="n"/>
    </row>
    <row r="260">
      <c r="B260" s="81" t="n"/>
      <c r="C260" s="81" t="n"/>
      <c r="D260" s="81" t="n"/>
      <c r="E260" s="81" t="n"/>
    </row>
    <row r="261">
      <c r="B261" s="81" t="n"/>
      <c r="C261" s="81" t="n"/>
      <c r="D261" s="81" t="n"/>
      <c r="E261" s="81" t="n"/>
    </row>
    <row r="262">
      <c r="B262" s="81" t="n"/>
      <c r="C262" s="81" t="n"/>
      <c r="D262" s="81" t="n"/>
      <c r="E262" s="81" t="n"/>
    </row>
    <row r="263">
      <c r="B263" s="81" t="n"/>
      <c r="C263" s="81" t="n"/>
      <c r="D263" s="81" t="n"/>
      <c r="E263" s="81" t="n"/>
    </row>
    <row r="264">
      <c r="B264" s="81" t="n"/>
      <c r="C264" s="81" t="n"/>
      <c r="D264" s="81" t="n"/>
      <c r="E264" s="81" t="n"/>
    </row>
    <row r="265">
      <c r="B265" s="81" t="n"/>
      <c r="C265" s="81" t="n"/>
      <c r="D265" s="81" t="n"/>
      <c r="E265" s="81" t="n"/>
    </row>
    <row r="266">
      <c r="B266" s="81" t="n"/>
      <c r="C266" s="81" t="n"/>
      <c r="D266" s="81" t="n"/>
      <c r="E266" s="81" t="n"/>
    </row>
    <row r="267">
      <c r="B267" s="81" t="n"/>
      <c r="C267" s="81" t="n"/>
      <c r="D267" s="81" t="n"/>
      <c r="E267" s="81" t="n"/>
    </row>
    <row r="268">
      <c r="B268" s="81" t="n"/>
      <c r="C268" s="81" t="n"/>
      <c r="D268" s="81" t="n"/>
      <c r="E268" s="81" t="n"/>
    </row>
    <row r="269">
      <c r="B269" s="81" t="n"/>
      <c r="C269" s="81" t="n"/>
      <c r="D269" s="81" t="n"/>
      <c r="E269" s="81" t="n"/>
    </row>
    <row r="270">
      <c r="B270" s="81" t="n"/>
      <c r="C270" s="81" t="n"/>
      <c r="D270" s="81" t="n"/>
      <c r="E270" s="81" t="n"/>
    </row>
    <row r="271">
      <c r="B271" s="81" t="n"/>
      <c r="C271" s="81" t="n"/>
      <c r="D271" s="81" t="n"/>
      <c r="E271" s="81" t="n"/>
    </row>
    <row r="272">
      <c r="B272" s="81" t="n"/>
      <c r="C272" s="81" t="n"/>
      <c r="D272" s="81" t="n"/>
      <c r="E272" s="81" t="n"/>
    </row>
    <row r="273">
      <c r="B273" s="81" t="n"/>
      <c r="C273" s="81" t="n"/>
      <c r="D273" s="81" t="n"/>
      <c r="E273" s="81" t="n"/>
    </row>
    <row r="274">
      <c r="B274" s="81" t="n"/>
      <c r="C274" s="81" t="n"/>
      <c r="D274" s="81" t="n"/>
      <c r="E274" s="81" t="n"/>
    </row>
    <row r="275">
      <c r="B275" s="81" t="n"/>
      <c r="C275" s="81" t="n"/>
      <c r="D275" s="81" t="n"/>
      <c r="E275" s="81" t="n"/>
    </row>
    <row r="276">
      <c r="B276" s="81" t="n"/>
      <c r="C276" s="81" t="n"/>
      <c r="D276" s="81" t="n"/>
      <c r="E276" s="81" t="n"/>
    </row>
    <row r="277">
      <c r="B277" s="81" t="n"/>
      <c r="C277" s="81" t="n"/>
      <c r="D277" s="81" t="n"/>
      <c r="E277" s="81" t="n"/>
    </row>
    <row r="278">
      <c r="B278" s="81" t="n"/>
      <c r="C278" s="81" t="n"/>
      <c r="D278" s="81" t="n"/>
      <c r="E278" s="81" t="n"/>
    </row>
    <row r="279">
      <c r="B279" s="81" t="n"/>
      <c r="C279" s="81" t="n"/>
      <c r="D279" s="81" t="n"/>
      <c r="E279" s="81" t="n"/>
    </row>
    <row r="280">
      <c r="B280" s="81" t="n"/>
      <c r="C280" s="81" t="n"/>
      <c r="D280" s="81" t="n"/>
      <c r="E280" s="81" t="n"/>
    </row>
    <row r="281">
      <c r="B281" s="81" t="n"/>
      <c r="C281" s="81" t="n"/>
      <c r="D281" s="81" t="n"/>
      <c r="E281" s="81" t="n"/>
    </row>
    <row r="282">
      <c r="B282" s="81" t="n"/>
      <c r="C282" s="81" t="n"/>
      <c r="D282" s="81" t="n"/>
      <c r="E282" s="81" t="n"/>
    </row>
    <row r="283">
      <c r="B283" s="81" t="n"/>
      <c r="C283" s="81" t="n"/>
      <c r="D283" s="81" t="n"/>
      <c r="E283" s="81" t="n"/>
    </row>
    <row r="284">
      <c r="B284" s="81" t="n"/>
      <c r="C284" s="81" t="n"/>
      <c r="D284" s="81" t="n"/>
      <c r="E284" s="81" t="n"/>
    </row>
    <row r="285">
      <c r="B285" s="81" t="n"/>
      <c r="C285" s="81" t="n"/>
      <c r="D285" s="81" t="n"/>
      <c r="E285" s="81" t="n"/>
    </row>
    <row r="286">
      <c r="B286" s="81" t="n"/>
      <c r="C286" s="81" t="n"/>
      <c r="D286" s="81" t="n"/>
      <c r="E286" s="81" t="n"/>
    </row>
    <row r="287">
      <c r="B287" s="81" t="n"/>
      <c r="C287" s="81" t="n"/>
      <c r="D287" s="81" t="n"/>
      <c r="E287" s="81" t="n"/>
    </row>
    <row r="288">
      <c r="B288" s="81" t="n"/>
      <c r="C288" s="81" t="n"/>
      <c r="D288" s="81" t="n"/>
      <c r="E288" s="81" t="n"/>
    </row>
    <row r="289">
      <c r="B289" s="81" t="n"/>
      <c r="C289" s="81" t="n"/>
      <c r="D289" s="81" t="n"/>
      <c r="E289" s="81" t="n"/>
    </row>
    <row r="290">
      <c r="B290" s="81" t="n"/>
      <c r="C290" s="81" t="n"/>
      <c r="D290" s="81" t="n"/>
      <c r="E290" s="81" t="n"/>
    </row>
    <row r="291">
      <c r="B291" s="81" t="n"/>
      <c r="C291" s="81" t="n"/>
      <c r="D291" s="81" t="n"/>
      <c r="E291" s="81" t="n"/>
    </row>
    <row r="292">
      <c r="B292" s="81" t="n"/>
      <c r="C292" s="81" t="n"/>
      <c r="D292" s="81" t="n"/>
      <c r="E292" s="81" t="n"/>
    </row>
    <row r="293">
      <c r="B293" s="81" t="n"/>
      <c r="C293" s="81" t="n"/>
      <c r="D293" s="81" t="n"/>
      <c r="E293" s="81" t="n"/>
    </row>
    <row r="294">
      <c r="B294" s="81" t="n"/>
      <c r="C294" s="81" t="n"/>
      <c r="D294" s="81" t="n"/>
      <c r="E294" s="81" t="n"/>
    </row>
    <row r="295">
      <c r="B295" s="81" t="n"/>
      <c r="C295" s="81" t="n"/>
      <c r="D295" s="81" t="n"/>
      <c r="E295" s="81" t="n"/>
    </row>
    <row r="296">
      <c r="B296" s="81" t="n"/>
      <c r="C296" s="81" t="n"/>
      <c r="D296" s="81" t="n"/>
      <c r="E296" s="81" t="n"/>
    </row>
    <row r="297">
      <c r="B297" s="81" t="n"/>
      <c r="C297" s="81" t="n"/>
      <c r="D297" s="81" t="n"/>
      <c r="E297" s="81" t="n"/>
    </row>
    <row r="298">
      <c r="B298" s="81" t="n"/>
      <c r="C298" s="81" t="n"/>
      <c r="D298" s="81" t="n"/>
      <c r="E298" s="81" t="n"/>
    </row>
    <row r="299">
      <c r="B299" s="81" t="n"/>
      <c r="C299" s="81" t="n"/>
      <c r="D299" s="81" t="n"/>
      <c r="E299" s="81" t="n"/>
    </row>
    <row r="300">
      <c r="B300" s="81" t="n"/>
      <c r="C300" s="81" t="n"/>
      <c r="D300" s="81" t="n"/>
      <c r="E300" s="81" t="n"/>
    </row>
    <row r="301">
      <c r="B301" s="81" t="n"/>
      <c r="C301" s="81" t="n"/>
      <c r="D301" s="81" t="n"/>
      <c r="E301" s="81" t="n"/>
    </row>
    <row r="302">
      <c r="B302" s="81" t="n"/>
      <c r="C302" s="81" t="n"/>
      <c r="D302" s="81" t="n"/>
      <c r="E302" s="81" t="n"/>
    </row>
    <row r="303">
      <c r="B303" s="81" t="n"/>
      <c r="C303" s="81" t="n"/>
      <c r="D303" s="81" t="n"/>
      <c r="E303" s="81" t="n"/>
    </row>
    <row r="304">
      <c r="B304" s="81" t="n"/>
      <c r="C304" s="81" t="n"/>
      <c r="D304" s="81" t="n"/>
      <c r="E304" s="81" t="n"/>
    </row>
    <row r="305">
      <c r="B305" s="81" t="n"/>
      <c r="C305" s="81" t="n"/>
      <c r="D305" s="81" t="n"/>
      <c r="E305" s="81" t="n"/>
    </row>
    <row r="306">
      <c r="B306" s="81" t="n"/>
      <c r="C306" s="81" t="n"/>
      <c r="D306" s="81" t="n"/>
      <c r="E306" s="81" t="n"/>
    </row>
    <row r="307">
      <c r="B307" s="81" t="n"/>
      <c r="C307" s="81" t="n"/>
      <c r="D307" s="81" t="n"/>
      <c r="E307" s="81" t="n"/>
    </row>
    <row r="308">
      <c r="B308" s="81" t="n"/>
      <c r="C308" s="81" t="n"/>
      <c r="D308" s="81" t="n"/>
      <c r="E308" s="81" t="n"/>
    </row>
    <row r="309">
      <c r="B309" s="81" t="n"/>
      <c r="C309" s="81" t="n"/>
      <c r="D309" s="81" t="n"/>
      <c r="E309" s="81" t="n"/>
    </row>
    <row r="310">
      <c r="B310" s="81" t="n"/>
      <c r="C310" s="81" t="n"/>
      <c r="D310" s="81" t="n"/>
      <c r="E310" s="81" t="n"/>
    </row>
    <row r="311">
      <c r="B311" s="81" t="n"/>
      <c r="C311" s="81" t="n"/>
      <c r="D311" s="81" t="n"/>
      <c r="E311" s="81" t="n"/>
    </row>
    <row r="312">
      <c r="B312" s="81" t="n"/>
      <c r="C312" s="81" t="n"/>
      <c r="D312" s="81" t="n"/>
      <c r="E312" s="81" t="n"/>
    </row>
    <row r="313">
      <c r="B313" s="81" t="n"/>
      <c r="C313" s="81" t="n"/>
      <c r="D313" s="81" t="n"/>
      <c r="E313" s="81" t="n"/>
    </row>
    <row r="314">
      <c r="B314" s="81" t="n"/>
      <c r="C314" s="81" t="n"/>
      <c r="D314" s="81" t="n"/>
      <c r="E314" s="81" t="n"/>
    </row>
    <row r="315">
      <c r="B315" s="81" t="n"/>
      <c r="C315" s="81" t="n"/>
      <c r="D315" s="81" t="n"/>
      <c r="E315" s="81" t="n"/>
    </row>
    <row r="316">
      <c r="B316" s="81" t="n"/>
      <c r="C316" s="81" t="n"/>
      <c r="D316" s="81" t="n"/>
      <c r="E316" s="81" t="n"/>
    </row>
    <row r="317">
      <c r="B317" s="81" t="n"/>
      <c r="C317" s="81" t="n"/>
      <c r="D317" s="81" t="n"/>
      <c r="E317" s="81" t="n"/>
    </row>
    <row r="318">
      <c r="B318" s="81" t="n"/>
      <c r="C318" s="81" t="n"/>
      <c r="D318" s="81" t="n"/>
      <c r="E318" s="81" t="n"/>
    </row>
    <row r="319">
      <c r="B319" s="81" t="n"/>
      <c r="C319" s="81" t="n"/>
      <c r="D319" s="81" t="n"/>
      <c r="E319" s="81" t="n"/>
    </row>
    <row r="320">
      <c r="B320" s="81" t="n"/>
      <c r="C320" s="81" t="n"/>
      <c r="D320" s="81" t="n"/>
      <c r="E320" s="81" t="n"/>
    </row>
    <row r="321">
      <c r="B321" s="81" t="n"/>
      <c r="C321" s="81" t="n"/>
      <c r="D321" s="81" t="n"/>
      <c r="E321" s="81" t="n"/>
    </row>
    <row r="322">
      <c r="B322" s="81" t="n"/>
      <c r="C322" s="81" t="n"/>
      <c r="D322" s="81" t="n"/>
      <c r="E322" s="81" t="n"/>
    </row>
    <row r="323">
      <c r="B323" s="81" t="n"/>
      <c r="C323" s="81" t="n"/>
      <c r="D323" s="81" t="n"/>
      <c r="E323" s="81" t="n"/>
    </row>
    <row r="324">
      <c r="B324" s="81" t="n"/>
      <c r="C324" s="81" t="n"/>
      <c r="D324" s="81" t="n"/>
      <c r="E324" s="81" t="n"/>
    </row>
    <row r="325">
      <c r="B325" s="81" t="n"/>
      <c r="C325" s="81" t="n"/>
      <c r="D325" s="81" t="n"/>
      <c r="E325" s="81" t="n"/>
    </row>
    <row r="326">
      <c r="B326" s="81" t="n"/>
      <c r="C326" s="81" t="n"/>
      <c r="D326" s="81" t="n"/>
      <c r="E326" s="81" t="n"/>
    </row>
    <row r="327">
      <c r="B327" s="81" t="n"/>
      <c r="C327" s="81" t="n"/>
      <c r="D327" s="81" t="n"/>
      <c r="E327" s="81" t="n"/>
    </row>
    <row r="328">
      <c r="B328" s="81" t="n"/>
      <c r="C328" s="81" t="n"/>
      <c r="D328" s="81" t="n"/>
      <c r="E328" s="81" t="n"/>
    </row>
    <row r="329">
      <c r="B329" s="81" t="n"/>
      <c r="C329" s="81" t="n"/>
      <c r="D329" s="81" t="n"/>
      <c r="E329" s="81" t="n"/>
    </row>
    <row r="330">
      <c r="B330" s="81" t="n"/>
      <c r="C330" s="81" t="n"/>
      <c r="D330" s="81" t="n"/>
      <c r="E330" s="81" t="n"/>
    </row>
    <row r="331">
      <c r="B331" s="81" t="n"/>
      <c r="C331" s="81" t="n"/>
      <c r="D331" s="81" t="n"/>
      <c r="E331" s="81" t="n"/>
    </row>
    <row r="332">
      <c r="B332" s="81" t="n"/>
      <c r="C332" s="81" t="n"/>
      <c r="D332" s="81" t="n"/>
      <c r="E332" s="81" t="n"/>
    </row>
    <row r="333">
      <c r="B333" s="81" t="n"/>
      <c r="C333" s="81" t="n"/>
      <c r="D333" s="81" t="n"/>
      <c r="E333" s="81" t="n"/>
    </row>
    <row r="334">
      <c r="B334" s="81" t="n"/>
      <c r="C334" s="81" t="n"/>
      <c r="D334" s="81" t="n"/>
      <c r="E334" s="81" t="n"/>
    </row>
    <row r="335">
      <c r="B335" s="81" t="n"/>
      <c r="C335" s="81" t="n"/>
      <c r="D335" s="81" t="n"/>
      <c r="E335" s="81" t="n"/>
    </row>
    <row r="336">
      <c r="B336" s="81" t="n"/>
      <c r="C336" s="81" t="n"/>
      <c r="D336" s="81" t="n"/>
      <c r="E336" s="81" t="n"/>
    </row>
    <row r="337">
      <c r="B337" s="81" t="n"/>
      <c r="C337" s="81" t="n"/>
      <c r="D337" s="81" t="n"/>
      <c r="E337" s="81" t="n"/>
    </row>
    <row r="338">
      <c r="B338" s="81" t="n"/>
      <c r="C338" s="81" t="n"/>
      <c r="D338" s="81" t="n"/>
      <c r="E338" s="81" t="n"/>
    </row>
    <row r="339">
      <c r="B339" s="81" t="n"/>
      <c r="C339" s="81" t="n"/>
      <c r="D339" s="81" t="n"/>
      <c r="E339" s="81" t="n"/>
    </row>
    <row r="340">
      <c r="B340" s="81" t="n"/>
      <c r="C340" s="81" t="n"/>
      <c r="D340" s="81" t="n"/>
      <c r="E340" s="81" t="n"/>
    </row>
    <row r="341">
      <c r="B341" s="81" t="n"/>
      <c r="C341" s="81" t="n"/>
      <c r="D341" s="81" t="n"/>
      <c r="E341" s="81" t="n"/>
    </row>
    <row r="342">
      <c r="B342" s="81" t="n"/>
      <c r="C342" s="81" t="n"/>
      <c r="D342" s="81" t="n"/>
      <c r="E342" s="81" t="n"/>
    </row>
    <row r="343">
      <c r="B343" s="81" t="n"/>
      <c r="C343" s="81" t="n"/>
      <c r="D343" s="81" t="n"/>
      <c r="E343" s="81" t="n"/>
    </row>
    <row r="344">
      <c r="B344" s="81" t="n"/>
      <c r="C344" s="81" t="n"/>
      <c r="D344" s="81" t="n"/>
      <c r="E344" s="81" t="n"/>
    </row>
    <row r="345">
      <c r="B345" s="81" t="n"/>
      <c r="C345" s="81" t="n"/>
      <c r="D345" s="81" t="n"/>
      <c r="E345" s="81" t="n"/>
    </row>
    <row r="346">
      <c r="B346" s="81" t="n"/>
      <c r="C346" s="81" t="n"/>
      <c r="D346" s="81" t="n"/>
      <c r="E346" s="81" t="n"/>
    </row>
    <row r="347">
      <c r="B347" s="81" t="n"/>
      <c r="C347" s="81" t="n"/>
      <c r="D347" s="81" t="n"/>
      <c r="E347" s="81" t="n"/>
    </row>
    <row r="348">
      <c r="B348" s="81" t="n"/>
      <c r="C348" s="81" t="n"/>
      <c r="D348" s="81" t="n"/>
      <c r="E348" s="81" t="n"/>
    </row>
    <row r="349">
      <c r="B349" s="81" t="n"/>
      <c r="C349" s="81" t="n"/>
      <c r="D349" s="81" t="n"/>
      <c r="E349" s="81" t="n"/>
    </row>
    <row r="350">
      <c r="B350" s="81" t="n"/>
      <c r="C350" s="81" t="n"/>
      <c r="D350" s="81" t="n"/>
      <c r="E350" s="81" t="n"/>
    </row>
    <row r="351">
      <c r="B351" s="81" t="n"/>
      <c r="C351" s="81" t="n"/>
      <c r="D351" s="81" t="n"/>
      <c r="E351" s="81" t="n"/>
    </row>
    <row r="352">
      <c r="B352" s="81" t="n"/>
      <c r="C352" s="81" t="n"/>
      <c r="D352" s="81" t="n"/>
      <c r="E352" s="81" t="n"/>
    </row>
    <row r="353">
      <c r="B353" s="81" t="n"/>
      <c r="C353" s="81" t="n"/>
      <c r="D353" s="81" t="n"/>
      <c r="E353" s="81" t="n"/>
    </row>
    <row r="354">
      <c r="B354" s="81" t="n"/>
      <c r="C354" s="81" t="n"/>
      <c r="D354" s="81" t="n"/>
      <c r="E354" s="81" t="n"/>
    </row>
    <row r="355">
      <c r="B355" s="81" t="n"/>
      <c r="C355" s="81" t="n"/>
      <c r="D355" s="81" t="n"/>
      <c r="E355" s="81" t="n"/>
    </row>
    <row r="356">
      <c r="B356" s="81" t="n"/>
      <c r="C356" s="81" t="n"/>
      <c r="D356" s="81" t="n"/>
      <c r="E356" s="81" t="n"/>
    </row>
    <row r="357">
      <c r="B357" s="81" t="n"/>
      <c r="C357" s="81" t="n"/>
      <c r="D357" s="81" t="n"/>
      <c r="E357" s="81" t="n"/>
    </row>
    <row r="358">
      <c r="B358" s="81" t="n"/>
      <c r="C358" s="81" t="n"/>
      <c r="D358" s="81" t="n"/>
      <c r="E358" s="81" t="n"/>
    </row>
    <row r="359">
      <c r="B359" s="81" t="n"/>
      <c r="C359" s="81" t="n"/>
      <c r="D359" s="81" t="n"/>
      <c r="E359" s="81" t="n"/>
    </row>
    <row r="360">
      <c r="B360" s="81" t="n"/>
      <c r="C360" s="81" t="n"/>
      <c r="D360" s="81" t="n"/>
      <c r="E360" s="81" t="n"/>
    </row>
    <row r="361">
      <c r="B361" s="81" t="n"/>
      <c r="C361" s="81" t="n"/>
      <c r="D361" s="81" t="n"/>
      <c r="E361" s="81" t="n"/>
    </row>
    <row r="362">
      <c r="B362" s="81" t="n"/>
      <c r="C362" s="81" t="n"/>
      <c r="D362" s="81" t="n"/>
      <c r="E362" s="81" t="n"/>
    </row>
    <row r="363">
      <c r="B363" s="81" t="n"/>
      <c r="C363" s="81" t="n"/>
      <c r="D363" s="81" t="n"/>
      <c r="E363" s="81" t="n"/>
    </row>
    <row r="364">
      <c r="B364" s="81" t="n"/>
      <c r="C364" s="81" t="n"/>
      <c r="D364" s="81" t="n"/>
      <c r="E364" s="81" t="n"/>
    </row>
    <row r="365">
      <c r="B365" s="81" t="n"/>
      <c r="C365" s="81" t="n"/>
      <c r="D365" s="81" t="n"/>
      <c r="E365" s="81" t="n"/>
    </row>
    <row r="366">
      <c r="B366" s="81" t="n"/>
      <c r="C366" s="81" t="n"/>
      <c r="D366" s="81" t="n"/>
      <c r="E366" s="81" t="n"/>
    </row>
    <row r="367">
      <c r="B367" s="81" t="n"/>
      <c r="C367" s="81" t="n"/>
      <c r="D367" s="81" t="n"/>
      <c r="E367" s="81" t="n"/>
    </row>
    <row r="368">
      <c r="B368" s="81" t="n"/>
      <c r="C368" s="81" t="n"/>
      <c r="D368" s="81" t="n"/>
      <c r="E368" s="81" t="n"/>
    </row>
    <row r="369">
      <c r="B369" s="81" t="n"/>
      <c r="C369" s="81" t="n"/>
      <c r="D369" s="81" t="n"/>
      <c r="E369" s="81" t="n"/>
    </row>
    <row r="370">
      <c r="B370" s="81" t="n"/>
      <c r="C370" s="81" t="n"/>
      <c r="D370" s="81" t="n"/>
      <c r="E370" s="81" t="n"/>
    </row>
    <row r="371">
      <c r="B371" s="81" t="n"/>
      <c r="C371" s="81" t="n"/>
      <c r="D371" s="81" t="n"/>
      <c r="E371" s="81" t="n"/>
    </row>
    <row r="372">
      <c r="B372" s="81" t="n"/>
      <c r="C372" s="81" t="n"/>
      <c r="D372" s="81" t="n"/>
      <c r="E372" s="81" t="n"/>
    </row>
    <row r="373">
      <c r="B373" s="81" t="n"/>
      <c r="C373" s="81" t="n"/>
      <c r="D373" s="81" t="n"/>
      <c r="E373" s="81" t="n"/>
    </row>
    <row r="374">
      <c r="B374" s="81" t="n"/>
      <c r="C374" s="81" t="n"/>
      <c r="D374" s="81" t="n"/>
      <c r="E374" s="81" t="n"/>
    </row>
    <row r="375">
      <c r="B375" s="81" t="n"/>
      <c r="C375" s="81" t="n"/>
      <c r="D375" s="81" t="n"/>
      <c r="E375" s="81" t="n"/>
    </row>
    <row r="376">
      <c r="B376" s="81" t="n"/>
      <c r="C376" s="81" t="n"/>
      <c r="D376" s="81" t="n"/>
      <c r="E376" s="81" t="n"/>
    </row>
    <row r="377">
      <c r="B377" s="81" t="n"/>
      <c r="C377" s="81" t="n"/>
      <c r="D377" s="81" t="n"/>
      <c r="E377" s="81" t="n"/>
    </row>
    <row r="378">
      <c r="B378" s="81" t="n"/>
      <c r="C378" s="81" t="n"/>
      <c r="D378" s="81" t="n"/>
      <c r="E378" s="81" t="n"/>
    </row>
    <row r="379">
      <c r="B379" s="81" t="n"/>
      <c r="C379" s="81" t="n"/>
      <c r="D379" s="81" t="n"/>
      <c r="E379" s="81" t="n"/>
    </row>
    <row r="380">
      <c r="B380" s="81" t="n"/>
      <c r="C380" s="81" t="n"/>
      <c r="D380" s="81" t="n"/>
      <c r="E380" s="81" t="n"/>
    </row>
    <row r="381">
      <c r="B381" s="81" t="n"/>
      <c r="C381" s="81" t="n"/>
      <c r="D381" s="81" t="n"/>
      <c r="E381" s="81" t="n"/>
    </row>
    <row r="382">
      <c r="B382" s="81" t="n"/>
      <c r="C382" s="81" t="n"/>
      <c r="D382" s="81" t="n"/>
      <c r="E382" s="81" t="n"/>
    </row>
    <row r="383">
      <c r="B383" s="81" t="n"/>
      <c r="C383" s="81" t="n"/>
      <c r="D383" s="81" t="n"/>
      <c r="E383" s="81" t="n"/>
    </row>
    <row r="384">
      <c r="B384" s="81" t="n"/>
      <c r="C384" s="81" t="n"/>
      <c r="D384" s="81" t="n"/>
      <c r="E384" s="81" t="n"/>
    </row>
    <row r="385">
      <c r="B385" s="81" t="n"/>
      <c r="C385" s="81" t="n"/>
      <c r="D385" s="81" t="n"/>
      <c r="E385" s="81" t="n"/>
    </row>
    <row r="386">
      <c r="B386" s="81" t="n"/>
      <c r="C386" s="81" t="n"/>
      <c r="D386" s="81" t="n"/>
      <c r="E386" s="81" t="n"/>
    </row>
    <row r="387">
      <c r="B387" s="81" t="n"/>
      <c r="C387" s="81" t="n"/>
      <c r="D387" s="81" t="n"/>
      <c r="E387" s="81" t="n"/>
    </row>
    <row r="388">
      <c r="B388" s="81" t="n"/>
      <c r="C388" s="81" t="n"/>
      <c r="D388" s="81" t="n"/>
      <c r="E388" s="81" t="n"/>
    </row>
    <row r="389">
      <c r="B389" s="81" t="n"/>
      <c r="C389" s="81" t="n"/>
      <c r="D389" s="81" t="n"/>
      <c r="E389" s="81" t="n"/>
    </row>
    <row r="390">
      <c r="B390" s="81" t="n"/>
      <c r="C390" s="81" t="n"/>
      <c r="D390" s="81" t="n"/>
      <c r="E390" s="81" t="n"/>
    </row>
    <row r="391">
      <c r="B391" s="81" t="n"/>
      <c r="C391" s="81" t="n"/>
      <c r="D391" s="81" t="n"/>
      <c r="E391" s="81" t="n"/>
    </row>
    <row r="392">
      <c r="B392" s="81" t="n"/>
      <c r="C392" s="81" t="n"/>
      <c r="D392" s="81" t="n"/>
      <c r="E392" s="81" t="n"/>
    </row>
    <row r="393">
      <c r="B393" s="81" t="n"/>
      <c r="C393" s="81" t="n"/>
      <c r="D393" s="81" t="n"/>
      <c r="E393" s="81" t="n"/>
    </row>
    <row r="394">
      <c r="B394" s="81" t="n"/>
      <c r="C394" s="81" t="n"/>
      <c r="D394" s="81" t="n"/>
      <c r="E394" s="81" t="n"/>
    </row>
    <row r="395">
      <c r="B395" s="81" t="n"/>
      <c r="C395" s="81" t="n"/>
      <c r="D395" s="81" t="n"/>
      <c r="E395" s="81" t="n"/>
    </row>
    <row r="396">
      <c r="B396" s="81" t="n"/>
      <c r="C396" s="81" t="n"/>
      <c r="D396" s="81" t="n"/>
      <c r="E396" s="81" t="n"/>
    </row>
    <row r="397">
      <c r="B397" s="81" t="n"/>
      <c r="C397" s="81" t="n"/>
      <c r="D397" s="81" t="n"/>
      <c r="E397" s="81" t="n"/>
    </row>
    <row r="398">
      <c r="B398" s="81" t="n"/>
      <c r="C398" s="81" t="n"/>
      <c r="D398" s="81" t="n"/>
      <c r="E398" s="81" t="n"/>
    </row>
    <row r="399">
      <c r="B399" s="81" t="n"/>
      <c r="C399" s="81" t="n"/>
      <c r="D399" s="81" t="n"/>
      <c r="E399" s="81" t="n"/>
    </row>
    <row r="400">
      <c r="B400" s="81" t="n"/>
      <c r="C400" s="81" t="n"/>
      <c r="D400" s="81" t="n"/>
      <c r="E400" s="81" t="n"/>
    </row>
    <row r="401">
      <c r="B401" s="81" t="n"/>
      <c r="C401" s="81" t="n"/>
      <c r="D401" s="81" t="n"/>
      <c r="E401" s="81" t="n"/>
    </row>
    <row r="402">
      <c r="B402" s="81" t="n"/>
      <c r="C402" s="81" t="n"/>
      <c r="D402" s="81" t="n"/>
      <c r="E402" s="81" t="n"/>
    </row>
    <row r="403">
      <c r="B403" s="81" t="n"/>
      <c r="C403" s="81" t="n"/>
      <c r="D403" s="81" t="n"/>
      <c r="E403" s="81" t="n"/>
    </row>
    <row r="404">
      <c r="B404" s="81" t="n"/>
      <c r="C404" s="81" t="n"/>
      <c r="D404" s="81" t="n"/>
      <c r="E404" s="81" t="n"/>
    </row>
    <row r="405">
      <c r="B405" s="81" t="n"/>
      <c r="C405" s="81" t="n"/>
      <c r="D405" s="81" t="n"/>
      <c r="E405" s="81" t="n"/>
    </row>
    <row r="406">
      <c r="B406" s="81" t="n"/>
      <c r="C406" s="81" t="n"/>
      <c r="D406" s="81" t="n"/>
      <c r="E406" s="81" t="n"/>
    </row>
    <row r="407">
      <c r="B407" s="81" t="n"/>
      <c r="C407" s="81" t="n"/>
      <c r="D407" s="81" t="n"/>
      <c r="E407" s="81" t="n"/>
    </row>
    <row r="408">
      <c r="B408" s="81" t="n"/>
      <c r="C408" s="81" t="n"/>
      <c r="D408" s="81" t="n"/>
      <c r="E408" s="81" t="n"/>
    </row>
    <row r="409">
      <c r="B409" s="81" t="n"/>
      <c r="C409" s="81" t="n"/>
      <c r="D409" s="81" t="n"/>
      <c r="E409" s="81" t="n"/>
    </row>
    <row r="410">
      <c r="B410" s="81" t="n"/>
      <c r="C410" s="81" t="n"/>
      <c r="D410" s="81" t="n"/>
      <c r="E410" s="81" t="n"/>
    </row>
    <row r="411">
      <c r="B411" s="81" t="n"/>
      <c r="C411" s="81" t="n"/>
      <c r="D411" s="81" t="n"/>
      <c r="E411" s="81" t="n"/>
    </row>
    <row r="412">
      <c r="B412" s="81" t="n"/>
      <c r="C412" s="81" t="n"/>
      <c r="D412" s="81" t="n"/>
      <c r="E412" s="81" t="n"/>
    </row>
    <row r="413">
      <c r="B413" s="81" t="n"/>
      <c r="C413" s="81" t="n"/>
      <c r="D413" s="81" t="n"/>
      <c r="E413" s="81" t="n"/>
    </row>
    <row r="414">
      <c r="B414" s="81" t="n"/>
      <c r="C414" s="81" t="n"/>
      <c r="D414" s="81" t="n"/>
      <c r="E414" s="81" t="n"/>
    </row>
    <row r="415">
      <c r="B415" s="81" t="n"/>
      <c r="C415" s="81" t="n"/>
      <c r="D415" s="81" t="n"/>
      <c r="E415" s="81" t="n"/>
    </row>
    <row r="416">
      <c r="B416" s="81" t="n"/>
      <c r="C416" s="81" t="n"/>
      <c r="D416" s="81" t="n"/>
      <c r="E416" s="81" t="n"/>
    </row>
    <row r="417">
      <c r="B417" s="81" t="n"/>
      <c r="C417" s="81" t="n"/>
      <c r="D417" s="81" t="n"/>
      <c r="E417" s="81" t="n"/>
    </row>
    <row r="418">
      <c r="B418" s="81" t="n"/>
      <c r="C418" s="81" t="n"/>
      <c r="D418" s="81" t="n"/>
      <c r="E418" s="81" t="n"/>
    </row>
    <row r="419">
      <c r="B419" s="81" t="n"/>
      <c r="C419" s="81" t="n"/>
      <c r="D419" s="81" t="n"/>
      <c r="E419" s="81" t="n"/>
    </row>
    <row r="420">
      <c r="B420" s="81" t="n"/>
      <c r="C420" s="81" t="n"/>
      <c r="D420" s="81" t="n"/>
      <c r="E420" s="81" t="n"/>
    </row>
    <row r="421">
      <c r="B421" s="81" t="n"/>
      <c r="C421" s="81" t="n"/>
      <c r="D421" s="81" t="n"/>
      <c r="E421" s="81" t="n"/>
    </row>
    <row r="422">
      <c r="B422" s="81" t="n"/>
      <c r="C422" s="81" t="n"/>
      <c r="D422" s="81" t="n"/>
      <c r="E422" s="81" t="n"/>
    </row>
    <row r="423">
      <c r="B423" s="81" t="n"/>
      <c r="C423" s="81" t="n"/>
      <c r="D423" s="81" t="n"/>
      <c r="E423" s="81" t="n"/>
    </row>
    <row r="424">
      <c r="B424" s="81" t="n"/>
      <c r="C424" s="81" t="n"/>
      <c r="D424" s="81" t="n"/>
      <c r="E424" s="81" t="n"/>
    </row>
    <row r="425">
      <c r="B425" s="81" t="n"/>
      <c r="C425" s="81" t="n"/>
      <c r="D425" s="81" t="n"/>
      <c r="E425" s="81" t="n"/>
    </row>
    <row r="426">
      <c r="B426" s="81" t="n"/>
      <c r="C426" s="81" t="n"/>
      <c r="D426" s="81" t="n"/>
      <c r="E426" s="81" t="n"/>
    </row>
    <row r="427">
      <c r="B427" s="81" t="n"/>
      <c r="C427" s="81" t="n"/>
      <c r="D427" s="81" t="n"/>
      <c r="E427" s="81" t="n"/>
    </row>
    <row r="428">
      <c r="B428" s="81" t="n"/>
      <c r="C428" s="81" t="n"/>
      <c r="D428" s="81" t="n"/>
      <c r="E428" s="81" t="n"/>
    </row>
    <row r="429">
      <c r="B429" s="81" t="n"/>
      <c r="C429" s="81" t="n"/>
      <c r="D429" s="81" t="n"/>
      <c r="E429" s="81" t="n"/>
    </row>
    <row r="430">
      <c r="B430" s="81" t="n"/>
      <c r="C430" s="81" t="n"/>
      <c r="D430" s="81" t="n"/>
      <c r="E430" s="81" t="n"/>
    </row>
    <row r="431">
      <c r="B431" s="81" t="n"/>
      <c r="C431" s="81" t="n"/>
      <c r="D431" s="81" t="n"/>
      <c r="E431" s="81" t="n"/>
    </row>
    <row r="432">
      <c r="B432" s="81" t="n"/>
      <c r="C432" s="81" t="n"/>
      <c r="D432" s="81" t="n"/>
      <c r="E432" s="81" t="n"/>
    </row>
    <row r="433">
      <c r="B433" s="81" t="n"/>
      <c r="C433" s="81" t="n"/>
      <c r="D433" s="81" t="n"/>
      <c r="E433" s="81" t="n"/>
    </row>
    <row r="434">
      <c r="B434" s="81" t="n"/>
      <c r="C434" s="81" t="n"/>
      <c r="D434" s="81" t="n"/>
      <c r="E434" s="81" t="n"/>
    </row>
    <row r="435">
      <c r="B435" s="81" t="n"/>
      <c r="C435" s="81" t="n"/>
      <c r="D435" s="81" t="n"/>
      <c r="E435" s="81" t="n"/>
    </row>
    <row r="436">
      <c r="B436" s="81" t="n"/>
      <c r="C436" s="81" t="n"/>
      <c r="D436" s="81" t="n"/>
      <c r="E436" s="81" t="n"/>
    </row>
    <row r="437">
      <c r="B437" s="81" t="n"/>
      <c r="C437" s="81" t="n"/>
      <c r="D437" s="81" t="n"/>
      <c r="E437" s="81" t="n"/>
    </row>
    <row r="438">
      <c r="B438" s="81" t="n"/>
      <c r="C438" s="81" t="n"/>
      <c r="D438" s="81" t="n"/>
      <c r="E438" s="81" t="n"/>
    </row>
    <row r="439">
      <c r="B439" s="81" t="n"/>
      <c r="C439" s="81" t="n"/>
      <c r="D439" s="81" t="n"/>
      <c r="E439" s="81" t="n"/>
    </row>
    <row r="440">
      <c r="B440" s="81" t="n"/>
      <c r="C440" s="81" t="n"/>
      <c r="D440" s="81" t="n"/>
      <c r="E440" s="81" t="n"/>
    </row>
    <row r="441">
      <c r="B441" s="81" t="n"/>
      <c r="C441" s="81" t="n"/>
      <c r="D441" s="81" t="n"/>
      <c r="E441" s="81" t="n"/>
    </row>
    <row r="442">
      <c r="B442" s="81" t="n"/>
      <c r="C442" s="81" t="n"/>
      <c r="D442" s="81" t="n"/>
      <c r="E442" s="81" t="n"/>
    </row>
    <row r="443">
      <c r="B443" s="81" t="n"/>
      <c r="C443" s="81" t="n"/>
      <c r="D443" s="81" t="n"/>
      <c r="E443" s="81" t="n"/>
    </row>
    <row r="444">
      <c r="B444" s="81" t="n"/>
      <c r="C444" s="81" t="n"/>
      <c r="D444" s="81" t="n"/>
      <c r="E444" s="81" t="n"/>
    </row>
    <row r="445">
      <c r="B445" s="81" t="n"/>
      <c r="C445" s="81" t="n"/>
      <c r="D445" s="81" t="n"/>
      <c r="E445" s="81" t="n"/>
    </row>
    <row r="446">
      <c r="B446" s="81" t="n"/>
      <c r="C446" s="81" t="n"/>
      <c r="D446" s="81" t="n"/>
      <c r="E446" s="81" t="n"/>
    </row>
    <row r="447">
      <c r="B447" s="81" t="n"/>
      <c r="C447" s="81" t="n"/>
      <c r="D447" s="81" t="n"/>
      <c r="E447" s="81" t="n"/>
    </row>
    <row r="448">
      <c r="B448" s="81" t="n"/>
      <c r="C448" s="81" t="n"/>
      <c r="D448" s="81" t="n"/>
      <c r="E448" s="81" t="n"/>
    </row>
    <row r="449">
      <c r="B449" s="81" t="n"/>
      <c r="C449" s="81" t="n"/>
      <c r="D449" s="81" t="n"/>
      <c r="E449" s="81" t="n"/>
    </row>
    <row r="450">
      <c r="B450" s="81" t="n"/>
      <c r="C450" s="81" t="n"/>
      <c r="D450" s="81" t="n"/>
      <c r="E450" s="81" t="n"/>
    </row>
    <row r="451">
      <c r="B451" s="81" t="n"/>
      <c r="C451" s="81" t="n"/>
      <c r="D451" s="81" t="n"/>
      <c r="E451" s="81" t="n"/>
    </row>
    <row r="452">
      <c r="B452" s="81" t="n"/>
      <c r="C452" s="81" t="n"/>
      <c r="D452" s="81" t="n"/>
      <c r="E452" s="81" t="n"/>
    </row>
    <row r="453">
      <c r="B453" s="81" t="n"/>
      <c r="C453" s="81" t="n"/>
      <c r="D453" s="81" t="n"/>
      <c r="E453" s="81" t="n"/>
    </row>
    <row r="454">
      <c r="B454" s="81" t="n"/>
      <c r="C454" s="81" t="n"/>
      <c r="D454" s="81" t="n"/>
      <c r="E454" s="81" t="n"/>
    </row>
    <row r="455">
      <c r="B455" s="81" t="n"/>
      <c r="C455" s="81" t="n"/>
      <c r="D455" s="81" t="n"/>
      <c r="E455" s="81" t="n"/>
    </row>
    <row r="456">
      <c r="B456" s="81" t="n"/>
      <c r="C456" s="81" t="n"/>
      <c r="D456" s="81" t="n"/>
      <c r="E456" s="81" t="n"/>
    </row>
    <row r="457">
      <c r="B457" s="81" t="n"/>
      <c r="C457" s="81" t="n"/>
      <c r="D457" s="81" t="n"/>
      <c r="E457" s="81" t="n"/>
    </row>
    <row r="458">
      <c r="B458" s="81" t="n"/>
      <c r="C458" s="81" t="n"/>
      <c r="D458" s="81" t="n"/>
      <c r="E458" s="81" t="n"/>
    </row>
    <row r="459">
      <c r="B459" s="81" t="n"/>
      <c r="C459" s="81" t="n"/>
      <c r="D459" s="81" t="n"/>
      <c r="E459" s="81" t="n"/>
    </row>
    <row r="460">
      <c r="B460" s="81" t="n"/>
      <c r="C460" s="81" t="n"/>
      <c r="D460" s="81" t="n"/>
      <c r="E460" s="81" t="n"/>
    </row>
    <row r="461">
      <c r="B461" s="81" t="n"/>
      <c r="C461" s="81" t="n"/>
      <c r="D461" s="81" t="n"/>
      <c r="E461" s="81" t="n"/>
    </row>
    <row r="462">
      <c r="B462" s="81" t="n"/>
      <c r="C462" s="81" t="n"/>
      <c r="D462" s="81" t="n"/>
      <c r="E462" s="81" t="n"/>
    </row>
    <row r="463">
      <c r="B463" s="81" t="n"/>
      <c r="C463" s="81" t="n"/>
      <c r="D463" s="81" t="n"/>
      <c r="E463" s="81" t="n"/>
    </row>
    <row r="464">
      <c r="B464" s="81" t="n"/>
      <c r="C464" s="81" t="n"/>
      <c r="D464" s="81" t="n"/>
      <c r="E464" s="81" t="n"/>
    </row>
    <row r="465">
      <c r="B465" s="81" t="n"/>
      <c r="C465" s="81" t="n"/>
      <c r="D465" s="81" t="n"/>
      <c r="E465" s="81" t="n"/>
    </row>
    <row r="466">
      <c r="B466" s="81" t="n"/>
      <c r="C466" s="81" t="n"/>
      <c r="D466" s="81" t="n"/>
      <c r="E466" s="81" t="n"/>
    </row>
    <row r="467">
      <c r="B467" s="81" t="n"/>
      <c r="C467" s="81" t="n"/>
      <c r="D467" s="81" t="n"/>
      <c r="E467" s="81" t="n"/>
    </row>
    <row r="468">
      <c r="B468" s="81" t="n"/>
      <c r="C468" s="81" t="n"/>
      <c r="D468" s="81" t="n"/>
      <c r="E468" s="81" t="n"/>
    </row>
    <row r="469">
      <c r="B469" s="81" t="n"/>
      <c r="C469" s="81" t="n"/>
      <c r="D469" s="81" t="n"/>
      <c r="E469" s="81" t="n"/>
    </row>
    <row r="470">
      <c r="B470" s="81" t="n"/>
      <c r="C470" s="81" t="n"/>
      <c r="D470" s="81" t="n"/>
      <c r="E470" s="81" t="n"/>
    </row>
    <row r="471">
      <c r="B471" s="81" t="n"/>
      <c r="C471" s="81" t="n"/>
      <c r="D471" s="81" t="n"/>
      <c r="E471" s="81" t="n"/>
    </row>
    <row r="472">
      <c r="B472" s="81" t="n"/>
      <c r="C472" s="81" t="n"/>
      <c r="D472" s="81" t="n"/>
      <c r="E472" s="81" t="n"/>
    </row>
    <row r="473">
      <c r="B473" s="81" t="n"/>
      <c r="C473" s="81" t="n"/>
      <c r="D473" s="81" t="n"/>
      <c r="E473" s="81" t="n"/>
    </row>
    <row r="474">
      <c r="B474" s="81" t="n"/>
      <c r="C474" s="81" t="n"/>
      <c r="D474" s="81" t="n"/>
      <c r="E474" s="81" t="n"/>
    </row>
    <row r="475">
      <c r="B475" s="81" t="n"/>
      <c r="C475" s="81" t="n"/>
      <c r="D475" s="81" t="n"/>
      <c r="E475" s="81" t="n"/>
    </row>
    <row r="476">
      <c r="B476" s="81" t="n"/>
      <c r="C476" s="81" t="n"/>
      <c r="D476" s="81" t="n"/>
      <c r="E476" s="81" t="n"/>
    </row>
    <row r="477">
      <c r="B477" s="81" t="n"/>
      <c r="C477" s="81" t="n"/>
      <c r="D477" s="81" t="n"/>
      <c r="E477" s="81" t="n"/>
    </row>
    <row r="478">
      <c r="B478" s="81" t="n"/>
      <c r="C478" s="81" t="n"/>
      <c r="D478" s="81" t="n"/>
      <c r="E478" s="81" t="n"/>
    </row>
    <row r="479">
      <c r="B479" s="81" t="n"/>
      <c r="C479" s="81" t="n"/>
      <c r="D479" s="81" t="n"/>
      <c r="E479" s="81" t="n"/>
    </row>
    <row r="480">
      <c r="B480" s="81" t="n"/>
      <c r="C480" s="81" t="n"/>
      <c r="D480" s="81" t="n"/>
      <c r="E480" s="81" t="n"/>
    </row>
    <row r="481">
      <c r="B481" s="81" t="n"/>
      <c r="C481" s="81" t="n"/>
      <c r="D481" s="81" t="n"/>
      <c r="E481" s="81" t="n"/>
    </row>
    <row r="482">
      <c r="B482" s="81" t="n"/>
      <c r="C482" s="81" t="n"/>
      <c r="D482" s="81" t="n"/>
      <c r="E482" s="81" t="n"/>
    </row>
    <row r="483">
      <c r="B483" s="81" t="n"/>
      <c r="C483" s="81" t="n"/>
      <c r="D483" s="81" t="n"/>
      <c r="E483" s="81" t="n"/>
    </row>
    <row r="484">
      <c r="B484" s="81" t="n"/>
      <c r="C484" s="81" t="n"/>
      <c r="D484" s="81" t="n"/>
      <c r="E484" s="81" t="n"/>
    </row>
    <row r="485">
      <c r="B485" s="81" t="n"/>
      <c r="C485" s="81" t="n"/>
      <c r="D485" s="81" t="n"/>
      <c r="E485" s="81" t="n"/>
    </row>
    <row r="486">
      <c r="B486" s="81" t="n"/>
      <c r="C486" s="81" t="n"/>
      <c r="D486" s="81" t="n"/>
      <c r="E486" s="81" t="n"/>
    </row>
    <row r="487">
      <c r="B487" s="81" t="n"/>
      <c r="C487" s="81" t="n"/>
      <c r="D487" s="81" t="n"/>
      <c r="E487" s="81" t="n"/>
    </row>
    <row r="488">
      <c r="B488" s="81" t="n"/>
      <c r="C488" s="81" t="n"/>
      <c r="D488" s="81" t="n"/>
      <c r="E488" s="81" t="n"/>
    </row>
    <row r="489">
      <c r="B489" s="81" t="n"/>
      <c r="C489" s="81" t="n"/>
      <c r="D489" s="81" t="n"/>
      <c r="E489" s="81" t="n"/>
    </row>
    <row r="490">
      <c r="B490" s="81" t="n"/>
      <c r="C490" s="81" t="n"/>
      <c r="D490" s="81" t="n"/>
      <c r="E490" s="81" t="n"/>
    </row>
    <row r="491">
      <c r="B491" s="81" t="n"/>
      <c r="C491" s="81" t="n"/>
      <c r="D491" s="81" t="n"/>
      <c r="E491" s="81" t="n"/>
    </row>
    <row r="492">
      <c r="B492" s="81" t="n"/>
      <c r="C492" s="81" t="n"/>
      <c r="D492" s="81" t="n"/>
      <c r="E492" s="81" t="n"/>
    </row>
    <row r="493">
      <c r="B493" s="81" t="n"/>
      <c r="C493" s="81" t="n"/>
      <c r="D493" s="81" t="n"/>
      <c r="E493" s="81" t="n"/>
    </row>
    <row r="494">
      <c r="B494" s="81" t="n"/>
      <c r="C494" s="81" t="n"/>
      <c r="D494" s="81" t="n"/>
      <c r="E494" s="81" t="n"/>
    </row>
    <row r="495">
      <c r="B495" s="81" t="n"/>
      <c r="C495" s="81" t="n"/>
      <c r="D495" s="81" t="n"/>
      <c r="E495" s="81" t="n"/>
    </row>
    <row r="496">
      <c r="B496" s="81" t="n"/>
      <c r="C496" s="81" t="n"/>
      <c r="D496" s="81" t="n"/>
      <c r="E496" s="81" t="n"/>
    </row>
    <row r="497">
      <c r="B497" s="81" t="n"/>
      <c r="C497" s="81" t="n"/>
      <c r="D497" s="81" t="n"/>
      <c r="E497" s="81" t="n"/>
    </row>
    <row r="498">
      <c r="B498" s="81" t="n"/>
      <c r="C498" s="81" t="n"/>
      <c r="D498" s="81" t="n"/>
      <c r="E498" s="81" t="n"/>
    </row>
    <row r="499">
      <c r="B499" s="81" t="n"/>
      <c r="C499" s="81" t="n"/>
      <c r="D499" s="81" t="n"/>
      <c r="E499" s="81" t="n"/>
    </row>
    <row r="500">
      <c r="B500" s="81" t="n"/>
      <c r="C500" s="81" t="n"/>
      <c r="D500" s="81" t="n"/>
      <c r="E500" s="81" t="n"/>
    </row>
    <row r="501">
      <c r="B501" s="81" t="n"/>
      <c r="C501" s="81" t="n"/>
      <c r="D501" s="81" t="n"/>
      <c r="E501" s="81" t="n"/>
    </row>
    <row r="502">
      <c r="B502" s="81" t="n"/>
      <c r="C502" s="81" t="n"/>
      <c r="D502" s="81" t="n"/>
      <c r="E502" s="81" t="n"/>
    </row>
    <row r="503">
      <c r="B503" s="81" t="n"/>
      <c r="C503" s="81" t="n"/>
      <c r="D503" s="81" t="n"/>
      <c r="E503" s="81" t="n"/>
    </row>
    <row r="504">
      <c r="B504" s="81" t="n"/>
      <c r="C504" s="81" t="n"/>
      <c r="D504" s="81" t="n"/>
      <c r="E504" s="81" t="n"/>
    </row>
    <row r="505">
      <c r="B505" s="81" t="n"/>
      <c r="C505" s="81" t="n"/>
      <c r="D505" s="81" t="n"/>
      <c r="E505" s="81" t="n"/>
    </row>
    <row r="506">
      <c r="B506" s="81" t="n"/>
      <c r="C506" s="81" t="n"/>
      <c r="D506" s="81" t="n"/>
      <c r="E506" s="81" t="n"/>
    </row>
    <row r="507">
      <c r="B507" s="81" t="n"/>
      <c r="C507" s="81" t="n"/>
      <c r="D507" s="81" t="n"/>
      <c r="E507" s="81" t="n"/>
    </row>
    <row r="508">
      <c r="B508" s="81" t="n"/>
      <c r="C508" s="81" t="n"/>
      <c r="D508" s="81" t="n"/>
      <c r="E508" s="81" t="n"/>
    </row>
    <row r="509">
      <c r="B509" s="81" t="n"/>
      <c r="C509" s="81" t="n"/>
      <c r="D509" s="81" t="n"/>
      <c r="E509" s="81" t="n"/>
    </row>
    <row r="510">
      <c r="B510" s="81" t="n"/>
      <c r="C510" s="81" t="n"/>
      <c r="D510" s="81" t="n"/>
      <c r="E510" s="81" t="n"/>
    </row>
    <row r="511">
      <c r="B511" s="81" t="n"/>
      <c r="C511" s="81" t="n"/>
      <c r="D511" s="81" t="n"/>
      <c r="E511" s="81" t="n"/>
    </row>
    <row r="512">
      <c r="B512" s="81" t="n"/>
      <c r="C512" s="81" t="n"/>
      <c r="D512" s="81" t="n"/>
      <c r="E512" s="81" t="n"/>
    </row>
    <row r="513">
      <c r="B513" s="81" t="n"/>
      <c r="C513" s="81" t="n"/>
      <c r="D513" s="81" t="n"/>
      <c r="E513" s="81" t="n"/>
    </row>
    <row r="514">
      <c r="B514" s="81" t="n"/>
      <c r="C514" s="81" t="n"/>
      <c r="D514" s="81" t="n"/>
      <c r="E514" s="81" t="n"/>
    </row>
    <row r="515">
      <c r="B515" s="81" t="n"/>
      <c r="C515" s="81" t="n"/>
      <c r="D515" s="81" t="n"/>
      <c r="E515" s="81" t="n"/>
    </row>
    <row r="516">
      <c r="B516" s="81" t="n"/>
      <c r="C516" s="81" t="n"/>
      <c r="D516" s="81" t="n"/>
      <c r="E516" s="81" t="n"/>
    </row>
    <row r="517">
      <c r="B517" s="81" t="n"/>
      <c r="C517" s="81" t="n"/>
      <c r="D517" s="81" t="n"/>
      <c r="E517" s="81" t="n"/>
    </row>
    <row r="518">
      <c r="B518" s="81" t="n"/>
      <c r="C518" s="81" t="n"/>
      <c r="D518" s="81" t="n"/>
      <c r="E518" s="81" t="n"/>
    </row>
    <row r="519">
      <c r="B519" s="81" t="n"/>
      <c r="C519" s="81" t="n"/>
      <c r="D519" s="81" t="n"/>
      <c r="E519" s="81" t="n"/>
    </row>
    <row r="520">
      <c r="B520" s="81" t="n"/>
      <c r="C520" s="81" t="n"/>
      <c r="D520" s="81" t="n"/>
      <c r="E520" s="81" t="n"/>
    </row>
    <row r="521">
      <c r="B521" s="81" t="n"/>
      <c r="C521" s="81" t="n"/>
      <c r="D521" s="81" t="n"/>
      <c r="E521" s="81" t="n"/>
    </row>
    <row r="522">
      <c r="B522" s="81" t="n"/>
      <c r="C522" s="81" t="n"/>
      <c r="D522" s="81" t="n"/>
      <c r="E522" s="81" t="n"/>
    </row>
    <row r="523">
      <c r="B523" s="81" t="n"/>
      <c r="C523" s="81" t="n"/>
      <c r="D523" s="81" t="n"/>
      <c r="E523" s="81" t="n"/>
    </row>
    <row r="524">
      <c r="B524" s="81" t="n"/>
      <c r="C524" s="81" t="n"/>
      <c r="D524" s="81" t="n"/>
      <c r="E524" s="81" t="n"/>
    </row>
    <row r="525">
      <c r="B525" s="81" t="n"/>
      <c r="C525" s="81" t="n"/>
      <c r="D525" s="81" t="n"/>
      <c r="E525" s="81" t="n"/>
    </row>
    <row r="526">
      <c r="B526" s="81" t="n"/>
      <c r="C526" s="81" t="n"/>
      <c r="D526" s="81" t="n"/>
      <c r="E526" s="81" t="n"/>
    </row>
    <row r="527">
      <c r="B527" s="81" t="n"/>
      <c r="C527" s="81" t="n"/>
      <c r="D527" s="81" t="n"/>
      <c r="E527" s="81" t="n"/>
    </row>
    <row r="528">
      <c r="B528" s="81" t="n"/>
      <c r="C528" s="81" t="n"/>
      <c r="D528" s="81" t="n"/>
      <c r="E528" s="81" t="n"/>
    </row>
    <row r="529">
      <c r="B529" s="81" t="n"/>
      <c r="C529" s="81" t="n"/>
      <c r="D529" s="81" t="n"/>
      <c r="E529" s="81" t="n"/>
    </row>
    <row r="530">
      <c r="B530" s="81" t="n"/>
      <c r="C530" s="81" t="n"/>
      <c r="D530" s="81" t="n"/>
      <c r="E530" s="81" t="n"/>
    </row>
    <row r="531">
      <c r="B531" s="81" t="n"/>
      <c r="C531" s="81" t="n"/>
      <c r="D531" s="81" t="n"/>
      <c r="E531" s="81" t="n"/>
    </row>
    <row r="532">
      <c r="B532" s="81" t="n"/>
      <c r="C532" s="81" t="n"/>
      <c r="D532" s="81" t="n"/>
      <c r="E532" s="81" t="n"/>
    </row>
    <row r="533">
      <c r="B533" s="81" t="n"/>
      <c r="C533" s="81" t="n"/>
      <c r="D533" s="81" t="n"/>
      <c r="E533" s="81" t="n"/>
    </row>
    <row r="534">
      <c r="B534" s="81" t="n"/>
      <c r="C534" s="81" t="n"/>
      <c r="D534" s="81" t="n"/>
      <c r="E534" s="81" t="n"/>
    </row>
    <row r="535">
      <c r="B535" s="81" t="n"/>
      <c r="C535" s="81" t="n"/>
      <c r="D535" s="81" t="n"/>
      <c r="E535" s="81" t="n"/>
    </row>
    <row r="536">
      <c r="B536" s="81" t="n"/>
      <c r="C536" s="81" t="n"/>
      <c r="D536" s="81" t="n"/>
      <c r="E536" s="81" t="n"/>
    </row>
    <row r="537">
      <c r="B537" s="81" t="n"/>
      <c r="C537" s="81" t="n"/>
      <c r="D537" s="81" t="n"/>
      <c r="E537" s="81" t="n"/>
    </row>
    <row r="538">
      <c r="B538" s="81" t="n"/>
      <c r="C538" s="81" t="n"/>
      <c r="D538" s="81" t="n"/>
      <c r="E538" s="81" t="n"/>
    </row>
    <row r="539">
      <c r="B539" s="81" t="n"/>
      <c r="C539" s="81" t="n"/>
      <c r="D539" s="81" t="n"/>
      <c r="E539" s="81" t="n"/>
    </row>
    <row r="540">
      <c r="B540" s="81" t="n"/>
      <c r="C540" s="81" t="n"/>
      <c r="D540" s="81" t="n"/>
      <c r="E540" s="81" t="n"/>
    </row>
    <row r="541">
      <c r="B541" s="81" t="n"/>
      <c r="C541" s="81" t="n"/>
      <c r="D541" s="81" t="n"/>
      <c r="E541" s="81" t="n"/>
    </row>
    <row r="542">
      <c r="B542" s="81" t="n"/>
      <c r="C542" s="81" t="n"/>
      <c r="D542" s="81" t="n"/>
      <c r="E542" s="81" t="n"/>
    </row>
    <row r="543">
      <c r="B543" s="81" t="n"/>
      <c r="C543" s="81" t="n"/>
      <c r="D543" s="81" t="n"/>
      <c r="E543" s="81" t="n"/>
    </row>
    <row r="544">
      <c r="B544" s="81" t="n"/>
      <c r="C544" s="81" t="n"/>
      <c r="D544" s="81" t="n"/>
      <c r="E544" s="81" t="n"/>
    </row>
    <row r="545">
      <c r="B545" s="81" t="n"/>
      <c r="C545" s="81" t="n"/>
      <c r="D545" s="81" t="n"/>
      <c r="E545" s="81" t="n"/>
    </row>
    <row r="546">
      <c r="B546" s="81" t="n"/>
      <c r="C546" s="81" t="n"/>
      <c r="D546" s="81" t="n"/>
      <c r="E546" s="81" t="n"/>
    </row>
    <row r="547">
      <c r="B547" s="81" t="n"/>
      <c r="C547" s="81" t="n"/>
      <c r="D547" s="81" t="n"/>
      <c r="E547" s="81" t="n"/>
    </row>
    <row r="548">
      <c r="B548" s="81" t="n"/>
      <c r="C548" s="81" t="n"/>
      <c r="D548" s="81" t="n"/>
      <c r="E548" s="81" t="n"/>
    </row>
    <row r="549">
      <c r="B549" s="81" t="n"/>
      <c r="C549" s="81" t="n"/>
      <c r="D549" s="81" t="n"/>
      <c r="E549" s="81" t="n"/>
    </row>
    <row r="550">
      <c r="B550" s="81" t="n"/>
      <c r="C550" s="81" t="n"/>
      <c r="D550" s="81" t="n"/>
      <c r="E550" s="81" t="n"/>
    </row>
    <row r="551">
      <c r="B551" s="81" t="n"/>
      <c r="C551" s="81" t="n"/>
      <c r="D551" s="81" t="n"/>
      <c r="E551" s="81" t="n"/>
    </row>
    <row r="552">
      <c r="B552" s="81" t="n"/>
      <c r="C552" s="81" t="n"/>
      <c r="D552" s="81" t="n"/>
      <c r="E552" s="81" t="n"/>
    </row>
    <row r="553">
      <c r="B553" s="81" t="n"/>
      <c r="C553" s="81" t="n"/>
      <c r="D553" s="81" t="n"/>
      <c r="E553" s="81" t="n"/>
    </row>
    <row r="554">
      <c r="B554" s="81" t="n"/>
      <c r="C554" s="81" t="n"/>
      <c r="D554" s="81" t="n"/>
      <c r="E554" s="81" t="n"/>
    </row>
    <row r="555">
      <c r="B555" s="81" t="n"/>
      <c r="C555" s="81" t="n"/>
      <c r="D555" s="81" t="n"/>
      <c r="E555" s="81" t="n"/>
    </row>
    <row r="556">
      <c r="B556" s="81" t="n"/>
      <c r="C556" s="81" t="n"/>
      <c r="D556" s="81" t="n"/>
      <c r="E556" s="81" t="n"/>
    </row>
    <row r="557">
      <c r="B557" s="81" t="n"/>
      <c r="C557" s="81" t="n"/>
      <c r="D557" s="81" t="n"/>
      <c r="E557" s="81" t="n"/>
    </row>
    <row r="558">
      <c r="B558" s="81" t="n"/>
      <c r="C558" s="81" t="n"/>
      <c r="D558" s="81" t="n"/>
      <c r="E558" s="81" t="n"/>
    </row>
    <row r="559">
      <c r="B559" s="81" t="n"/>
      <c r="C559" s="81" t="n"/>
      <c r="D559" s="81" t="n"/>
      <c r="E559" s="81" t="n"/>
    </row>
    <row r="560">
      <c r="B560" s="81" t="n"/>
      <c r="C560" s="81" t="n"/>
      <c r="D560" s="81" t="n"/>
      <c r="E560" s="81" t="n"/>
    </row>
    <row r="561">
      <c r="B561" s="81" t="n"/>
      <c r="C561" s="81" t="n"/>
      <c r="D561" s="81" t="n"/>
      <c r="E561" s="81" t="n"/>
    </row>
    <row r="562">
      <c r="B562" s="81" t="n"/>
      <c r="C562" s="81" t="n"/>
      <c r="D562" s="81" t="n"/>
      <c r="E562" s="81" t="n"/>
    </row>
    <row r="563">
      <c r="B563" s="81" t="n"/>
      <c r="C563" s="81" t="n"/>
      <c r="D563" s="81" t="n"/>
      <c r="E563" s="81" t="n"/>
    </row>
    <row r="564">
      <c r="B564" s="81" t="n"/>
      <c r="C564" s="81" t="n"/>
      <c r="D564" s="81" t="n"/>
      <c r="E564" s="81" t="n"/>
    </row>
    <row r="565">
      <c r="B565" s="81" t="n"/>
      <c r="C565" s="81" t="n"/>
      <c r="D565" s="81" t="n"/>
      <c r="E565" s="81" t="n"/>
    </row>
    <row r="566">
      <c r="B566" s="81" t="n"/>
      <c r="C566" s="81" t="n"/>
      <c r="D566" s="81" t="n"/>
      <c r="E566" s="81" t="n"/>
    </row>
    <row r="567">
      <c r="B567" s="81" t="n"/>
      <c r="C567" s="81" t="n"/>
      <c r="D567" s="81" t="n"/>
      <c r="E567" s="81" t="n"/>
    </row>
    <row r="568">
      <c r="B568" s="81" t="n"/>
      <c r="C568" s="81" t="n"/>
      <c r="D568" s="81" t="n"/>
      <c r="E568" s="81" t="n"/>
    </row>
    <row r="569">
      <c r="B569" s="81" t="n"/>
      <c r="C569" s="81" t="n"/>
      <c r="D569" s="81" t="n"/>
      <c r="E569" s="81" t="n"/>
    </row>
    <row r="570">
      <c r="B570" s="81" t="n"/>
      <c r="C570" s="81" t="n"/>
      <c r="D570" s="81" t="n"/>
      <c r="E570" s="81" t="n"/>
    </row>
    <row r="571">
      <c r="B571" s="81" t="n"/>
      <c r="C571" s="81" t="n"/>
      <c r="D571" s="81" t="n"/>
      <c r="E571" s="81" t="n"/>
    </row>
    <row r="572">
      <c r="B572" s="81" t="n"/>
      <c r="C572" s="81" t="n"/>
      <c r="D572" s="81" t="n"/>
      <c r="E572" s="81" t="n"/>
    </row>
    <row r="573">
      <c r="B573" s="81" t="n"/>
      <c r="C573" s="81" t="n"/>
      <c r="D573" s="81" t="n"/>
      <c r="E573" s="81" t="n"/>
    </row>
    <row r="574">
      <c r="B574" s="81" t="n"/>
      <c r="C574" s="81" t="n"/>
      <c r="D574" s="81" t="n"/>
      <c r="E574" s="81" t="n"/>
    </row>
    <row r="575">
      <c r="B575" s="81" t="n"/>
      <c r="C575" s="81" t="n"/>
      <c r="D575" s="81" t="n"/>
      <c r="E575" s="81" t="n"/>
    </row>
    <row r="576">
      <c r="B576" s="81" t="n"/>
      <c r="C576" s="81" t="n"/>
      <c r="D576" s="81" t="n"/>
      <c r="E576" s="81" t="n"/>
    </row>
    <row r="577">
      <c r="B577" s="81" t="n"/>
      <c r="C577" s="81" t="n"/>
      <c r="D577" s="81" t="n"/>
      <c r="E577" s="81" t="n"/>
    </row>
    <row r="578">
      <c r="B578" s="81" t="n"/>
      <c r="C578" s="81" t="n"/>
      <c r="D578" s="81" t="n"/>
      <c r="E578" s="81" t="n"/>
    </row>
    <row r="579">
      <c r="B579" s="81" t="n"/>
      <c r="C579" s="81" t="n"/>
      <c r="D579" s="81" t="n"/>
      <c r="E579" s="81" t="n"/>
    </row>
    <row r="580">
      <c r="B580" s="81" t="n"/>
      <c r="C580" s="81" t="n"/>
      <c r="D580" s="81" t="n"/>
      <c r="E580" s="81" t="n"/>
    </row>
    <row r="581">
      <c r="B581" s="81" t="n"/>
      <c r="C581" s="81" t="n"/>
      <c r="D581" s="81" t="n"/>
      <c r="E581" s="81" t="n"/>
    </row>
    <row r="582">
      <c r="B582" s="81" t="n"/>
      <c r="C582" s="81" t="n"/>
      <c r="D582" s="81" t="n"/>
      <c r="E582" s="81" t="n"/>
    </row>
    <row r="583">
      <c r="B583" s="81" t="n"/>
      <c r="C583" s="81" t="n"/>
      <c r="D583" s="81" t="n"/>
      <c r="E583" s="81" t="n"/>
    </row>
    <row r="584">
      <c r="B584" s="81" t="n"/>
      <c r="C584" s="81" t="n"/>
      <c r="D584" s="81" t="n"/>
      <c r="E584" s="81" t="n"/>
    </row>
    <row r="585">
      <c r="B585" s="81" t="n"/>
      <c r="C585" s="81" t="n"/>
      <c r="D585" s="81" t="n"/>
      <c r="E585" s="81" t="n"/>
    </row>
    <row r="586">
      <c r="B586" s="81" t="n"/>
      <c r="C586" s="81" t="n"/>
      <c r="D586" s="81" t="n"/>
      <c r="E586" s="81" t="n"/>
    </row>
    <row r="587">
      <c r="B587" s="81" t="n"/>
      <c r="C587" s="81" t="n"/>
      <c r="D587" s="81" t="n"/>
      <c r="E587" s="81" t="n"/>
    </row>
    <row r="588">
      <c r="B588" s="81" t="n"/>
      <c r="C588" s="81" t="n"/>
      <c r="D588" s="81" t="n"/>
      <c r="E588" s="81" t="n"/>
    </row>
    <row r="589">
      <c r="B589" s="81" t="n"/>
      <c r="C589" s="81" t="n"/>
      <c r="D589" s="81" t="n"/>
      <c r="E589" s="81" t="n"/>
    </row>
    <row r="590">
      <c r="B590" s="81" t="n"/>
      <c r="C590" s="81" t="n"/>
      <c r="D590" s="81" t="n"/>
      <c r="E590" s="81" t="n"/>
    </row>
    <row r="591">
      <c r="B591" s="81" t="n"/>
      <c r="C591" s="81" t="n"/>
      <c r="D591" s="81" t="n"/>
      <c r="E591" s="81" t="n"/>
    </row>
    <row r="592">
      <c r="B592" s="81" t="n"/>
      <c r="C592" s="81" t="n"/>
      <c r="D592" s="81" t="n"/>
      <c r="E592" s="81" t="n"/>
    </row>
    <row r="593">
      <c r="B593" s="81" t="n"/>
      <c r="C593" s="81" t="n"/>
      <c r="D593" s="81" t="n"/>
      <c r="E593" s="81" t="n"/>
    </row>
    <row r="594">
      <c r="B594" s="81" t="n"/>
      <c r="C594" s="81" t="n"/>
      <c r="D594" s="81" t="n"/>
      <c r="E594" s="81" t="n"/>
    </row>
    <row r="595">
      <c r="B595" s="81" t="n"/>
      <c r="C595" s="81" t="n"/>
      <c r="D595" s="81" t="n"/>
      <c r="E595" s="81" t="n"/>
    </row>
    <row r="596">
      <c r="B596" s="81" t="n"/>
      <c r="C596" s="81" t="n"/>
      <c r="D596" s="81" t="n"/>
      <c r="E596" s="81" t="n"/>
    </row>
    <row r="597">
      <c r="B597" s="81" t="n"/>
      <c r="C597" s="81" t="n"/>
      <c r="D597" s="81" t="n"/>
      <c r="E597" s="81" t="n"/>
    </row>
    <row r="598">
      <c r="B598" s="81" t="n"/>
      <c r="C598" s="81" t="n"/>
      <c r="D598" s="81" t="n"/>
      <c r="E598" s="81" t="n"/>
    </row>
    <row r="599">
      <c r="B599" s="81" t="n"/>
      <c r="C599" s="81" t="n"/>
      <c r="D599" s="81" t="n"/>
      <c r="E599" s="81" t="n"/>
    </row>
    <row r="600">
      <c r="B600" s="81" t="n"/>
      <c r="C600" s="81" t="n"/>
      <c r="D600" s="81" t="n"/>
      <c r="E600" s="81" t="n"/>
    </row>
    <row r="601">
      <c r="B601" s="81" t="n"/>
      <c r="C601" s="81" t="n"/>
      <c r="D601" s="81" t="n"/>
      <c r="E601" s="81" t="n"/>
    </row>
    <row r="602">
      <c r="B602" s="81" t="n"/>
      <c r="C602" s="81" t="n"/>
      <c r="D602" s="81" t="n"/>
      <c r="E602" s="81" t="n"/>
    </row>
    <row r="603">
      <c r="B603" s="81" t="n"/>
      <c r="C603" s="81" t="n"/>
      <c r="D603" s="81" t="n"/>
      <c r="E603" s="81" t="n"/>
    </row>
    <row r="604">
      <c r="B604" s="81" t="n"/>
      <c r="C604" s="81" t="n"/>
      <c r="D604" s="81" t="n"/>
      <c r="E604" s="81" t="n"/>
    </row>
    <row r="605">
      <c r="B605" s="81" t="n"/>
      <c r="C605" s="81" t="n"/>
      <c r="D605" s="81" t="n"/>
      <c r="E605" s="81" t="n"/>
    </row>
    <row r="606">
      <c r="B606" s="81" t="n"/>
      <c r="C606" s="81" t="n"/>
      <c r="D606" s="81" t="n"/>
      <c r="E606" s="81" t="n"/>
    </row>
    <row r="607">
      <c r="B607" s="81" t="n"/>
      <c r="C607" s="81" t="n"/>
      <c r="D607" s="81" t="n"/>
      <c r="E607" s="81" t="n"/>
    </row>
    <row r="608">
      <c r="B608" s="81" t="n"/>
      <c r="C608" s="81" t="n"/>
      <c r="D608" s="81" t="n"/>
      <c r="E608" s="81" t="n"/>
    </row>
    <row r="609">
      <c r="B609" s="81" t="n"/>
      <c r="C609" s="81" t="n"/>
      <c r="D609" s="81" t="n"/>
      <c r="E609" s="81" t="n"/>
    </row>
    <row r="610">
      <c r="B610" s="81" t="n"/>
      <c r="C610" s="81" t="n"/>
      <c r="D610" s="81" t="n"/>
      <c r="E610" s="81" t="n"/>
    </row>
    <row r="611">
      <c r="B611" s="81" t="n"/>
      <c r="C611" s="81" t="n"/>
      <c r="D611" s="81" t="n"/>
      <c r="E611" s="81" t="n"/>
    </row>
    <row r="612">
      <c r="B612" s="81" t="n"/>
      <c r="C612" s="81" t="n"/>
      <c r="D612" s="81" t="n"/>
      <c r="E612" s="81" t="n"/>
    </row>
    <row r="613">
      <c r="B613" s="81" t="n"/>
      <c r="C613" s="81" t="n"/>
      <c r="D613" s="81" t="n"/>
      <c r="E613" s="81" t="n"/>
    </row>
    <row r="614">
      <c r="B614" s="81" t="n"/>
      <c r="C614" s="81" t="n"/>
      <c r="D614" s="81" t="n"/>
      <c r="E614" s="81" t="n"/>
    </row>
    <row r="615">
      <c r="B615" s="81" t="n"/>
      <c r="C615" s="81" t="n"/>
      <c r="D615" s="81" t="n"/>
      <c r="E615" s="81" t="n"/>
    </row>
    <row r="616">
      <c r="B616" s="81" t="n"/>
      <c r="C616" s="81" t="n"/>
      <c r="D616" s="81" t="n"/>
      <c r="E616" s="81" t="n"/>
    </row>
    <row r="617">
      <c r="B617" s="81" t="n"/>
      <c r="C617" s="81" t="n"/>
      <c r="D617" s="81" t="n"/>
      <c r="E617" s="81" t="n"/>
    </row>
    <row r="618">
      <c r="B618" s="81" t="n"/>
      <c r="C618" s="81" t="n"/>
      <c r="D618" s="81" t="n"/>
      <c r="E618" s="81" t="n"/>
    </row>
    <row r="619">
      <c r="B619" s="81" t="n"/>
      <c r="C619" s="81" t="n"/>
      <c r="D619" s="81" t="n"/>
      <c r="E619" s="81" t="n"/>
    </row>
    <row r="620">
      <c r="B620" s="81" t="n"/>
      <c r="C620" s="81" t="n"/>
      <c r="D620" s="81" t="n"/>
      <c r="E620" s="81" t="n"/>
    </row>
    <row r="621">
      <c r="B621" s="81" t="n"/>
      <c r="C621" s="81" t="n"/>
      <c r="D621" s="81" t="n"/>
      <c r="E621" s="81" t="n"/>
    </row>
    <row r="622">
      <c r="B622" s="81" t="n"/>
      <c r="C622" s="81" t="n"/>
      <c r="D622" s="81" t="n"/>
      <c r="E622" s="81" t="n"/>
    </row>
    <row r="623">
      <c r="B623" s="81" t="n"/>
      <c r="C623" s="81" t="n"/>
      <c r="D623" s="81" t="n"/>
      <c r="E623" s="81" t="n"/>
    </row>
    <row r="624">
      <c r="B624" s="81" t="n"/>
      <c r="C624" s="81" t="n"/>
      <c r="D624" s="81" t="n"/>
      <c r="E624" s="81" t="n"/>
    </row>
    <row r="625">
      <c r="B625" s="81" t="n"/>
      <c r="C625" s="81" t="n"/>
      <c r="D625" s="81" t="n"/>
      <c r="E625" s="81" t="n"/>
    </row>
    <row r="626">
      <c r="B626" s="81" t="n"/>
      <c r="C626" s="81" t="n"/>
      <c r="D626" s="81" t="n"/>
      <c r="E626" s="81" t="n"/>
    </row>
    <row r="627">
      <c r="B627" s="81" t="n"/>
      <c r="C627" s="81" t="n"/>
      <c r="D627" s="81" t="n"/>
      <c r="E627" s="81" t="n"/>
    </row>
    <row r="628">
      <c r="B628" s="81" t="n"/>
      <c r="C628" s="81" t="n"/>
      <c r="D628" s="81" t="n"/>
      <c r="E628" s="81" t="n"/>
    </row>
    <row r="629">
      <c r="B629" s="81" t="n"/>
      <c r="C629" s="81" t="n"/>
      <c r="D629" s="81" t="n"/>
      <c r="E629" s="81" t="n"/>
    </row>
    <row r="630">
      <c r="B630" s="81" t="n"/>
      <c r="C630" s="81" t="n"/>
      <c r="D630" s="81" t="n"/>
      <c r="E630" s="81" t="n"/>
    </row>
    <row r="631">
      <c r="B631" s="81" t="n"/>
      <c r="C631" s="81" t="n"/>
      <c r="D631" s="81" t="n"/>
      <c r="E631" s="81" t="n"/>
    </row>
    <row r="632">
      <c r="B632" s="81" t="n"/>
      <c r="C632" s="81" t="n"/>
      <c r="D632" s="81" t="n"/>
      <c r="E632" s="81" t="n"/>
    </row>
    <row r="633">
      <c r="B633" s="81" t="n"/>
      <c r="C633" s="81" t="n"/>
      <c r="D633" s="81" t="n"/>
      <c r="E633" s="81" t="n"/>
    </row>
    <row r="634">
      <c r="B634" s="81" t="n"/>
      <c r="C634" s="81" t="n"/>
      <c r="D634" s="81" t="n"/>
      <c r="E634" s="81" t="n"/>
    </row>
    <row r="635">
      <c r="B635" s="81" t="n"/>
      <c r="C635" s="81" t="n"/>
      <c r="D635" s="81" t="n"/>
      <c r="E635" s="81" t="n"/>
    </row>
    <row r="636">
      <c r="B636" s="81" t="n"/>
      <c r="C636" s="81" t="n"/>
      <c r="D636" s="81" t="n"/>
      <c r="E636" s="81" t="n"/>
    </row>
    <row r="637">
      <c r="B637" s="81" t="n"/>
      <c r="C637" s="81" t="n"/>
      <c r="D637" s="81" t="n"/>
      <c r="E637" s="81" t="n"/>
    </row>
    <row r="638">
      <c r="B638" s="81" t="n"/>
      <c r="C638" s="81" t="n"/>
      <c r="D638" s="81" t="n"/>
      <c r="E638" s="81" t="n"/>
    </row>
    <row r="639">
      <c r="B639" s="81" t="n"/>
      <c r="C639" s="81" t="n"/>
      <c r="D639" s="81" t="n"/>
      <c r="E639" s="81" t="n"/>
    </row>
    <row r="640">
      <c r="B640" s="81" t="n"/>
      <c r="C640" s="81" t="n"/>
      <c r="D640" s="81" t="n"/>
      <c r="E640" s="81" t="n"/>
    </row>
    <row r="641">
      <c r="B641" s="81" t="n"/>
      <c r="C641" s="81" t="n"/>
      <c r="D641" s="81" t="n"/>
      <c r="E641" s="81" t="n"/>
    </row>
    <row r="642">
      <c r="B642" s="81" t="n"/>
      <c r="C642" s="81" t="n"/>
      <c r="D642" s="81" t="n"/>
      <c r="E642" s="81" t="n"/>
    </row>
    <row r="643">
      <c r="B643" s="81" t="n"/>
      <c r="C643" s="81" t="n"/>
      <c r="D643" s="81" t="n"/>
      <c r="E643" s="81" t="n"/>
    </row>
    <row r="644">
      <c r="B644" s="81" t="n"/>
      <c r="C644" s="81" t="n"/>
      <c r="D644" s="81" t="n"/>
      <c r="E644" s="81" t="n"/>
    </row>
    <row r="645">
      <c r="B645" s="81" t="n"/>
      <c r="C645" s="81" t="n"/>
      <c r="D645" s="81" t="n"/>
      <c r="E645" s="81" t="n"/>
    </row>
    <row r="646">
      <c r="B646" s="81" t="n"/>
      <c r="C646" s="81" t="n"/>
      <c r="D646" s="81" t="n"/>
      <c r="E646" s="81" t="n"/>
    </row>
    <row r="647">
      <c r="B647" s="81" t="n"/>
      <c r="C647" s="81" t="n"/>
      <c r="D647" s="81" t="n"/>
      <c r="E647" s="81" t="n"/>
    </row>
    <row r="648">
      <c r="B648" s="81" t="n"/>
      <c r="C648" s="81" t="n"/>
      <c r="D648" s="81" t="n"/>
      <c r="E648" s="81" t="n"/>
    </row>
    <row r="649">
      <c r="B649" s="81" t="n"/>
      <c r="C649" s="81" t="n"/>
      <c r="D649" s="81" t="n"/>
      <c r="E649" s="81" t="n"/>
    </row>
    <row r="650">
      <c r="B650" s="81" t="n"/>
      <c r="C650" s="81" t="n"/>
      <c r="D650" s="81" t="n"/>
      <c r="E650" s="81" t="n"/>
    </row>
    <row r="651">
      <c r="B651" s="81" t="n"/>
      <c r="C651" s="81" t="n"/>
      <c r="D651" s="81" t="n"/>
      <c r="E651" s="81" t="n"/>
    </row>
    <row r="652">
      <c r="B652" s="81" t="n"/>
      <c r="C652" s="81" t="n"/>
      <c r="D652" s="81" t="n"/>
      <c r="E652" s="81" t="n"/>
    </row>
    <row r="653">
      <c r="B653" s="81" t="n"/>
      <c r="C653" s="81" t="n"/>
      <c r="D653" s="81" t="n"/>
      <c r="E653" s="81" t="n"/>
    </row>
    <row r="654">
      <c r="B654" s="81" t="n"/>
      <c r="C654" s="81" t="n"/>
      <c r="D654" s="81" t="n"/>
      <c r="E654" s="81" t="n"/>
    </row>
    <row r="655">
      <c r="B655" s="81" t="n"/>
      <c r="C655" s="81" t="n"/>
      <c r="D655" s="81" t="n"/>
      <c r="E655" s="81" t="n"/>
    </row>
    <row r="656">
      <c r="B656" s="81" t="n"/>
      <c r="C656" s="81" t="n"/>
      <c r="D656" s="81" t="n"/>
      <c r="E656" s="81" t="n"/>
    </row>
    <row r="657">
      <c r="B657" s="81" t="n"/>
      <c r="C657" s="81" t="n"/>
      <c r="D657" s="81" t="n"/>
      <c r="E657" s="81" t="n"/>
    </row>
    <row r="658">
      <c r="B658" s="81" t="n"/>
      <c r="C658" s="81" t="n"/>
      <c r="D658" s="81" t="n"/>
      <c r="E658" s="81" t="n"/>
    </row>
    <row r="659">
      <c r="B659" s="81" t="n"/>
      <c r="C659" s="81" t="n"/>
      <c r="D659" s="81" t="n"/>
      <c r="E659" s="81" t="n"/>
    </row>
    <row r="660">
      <c r="B660" s="81" t="n"/>
      <c r="C660" s="81" t="n"/>
      <c r="D660" s="81" t="n"/>
      <c r="E660" s="81" t="n"/>
    </row>
    <row r="661">
      <c r="B661" s="81" t="n"/>
      <c r="C661" s="81" t="n"/>
      <c r="D661" s="81" t="n"/>
      <c r="E661" s="81" t="n"/>
    </row>
    <row r="662">
      <c r="B662" s="81" t="n"/>
      <c r="C662" s="81" t="n"/>
      <c r="D662" s="81" t="n"/>
      <c r="E662" s="81" t="n"/>
    </row>
    <row r="663">
      <c r="B663" s="81" t="n"/>
      <c r="C663" s="81" t="n"/>
      <c r="D663" s="81" t="n"/>
      <c r="E663" s="81" t="n"/>
    </row>
    <row r="664">
      <c r="B664" s="81" t="n"/>
      <c r="C664" s="81" t="n"/>
      <c r="D664" s="81" t="n"/>
      <c r="E664" s="81" t="n"/>
    </row>
    <row r="665">
      <c r="B665" s="81" t="n"/>
      <c r="C665" s="81" t="n"/>
      <c r="D665" s="81" t="n"/>
      <c r="E665" s="81" t="n"/>
    </row>
    <row r="666">
      <c r="B666" s="81" t="n"/>
      <c r="C666" s="81" t="n"/>
      <c r="D666" s="81" t="n"/>
      <c r="E666" s="81" t="n"/>
    </row>
    <row r="667">
      <c r="B667" s="81" t="n"/>
      <c r="C667" s="81" t="n"/>
      <c r="D667" s="81" t="n"/>
      <c r="E667" s="81" t="n"/>
    </row>
    <row r="668">
      <c r="B668" s="81" t="n"/>
      <c r="C668" s="81" t="n"/>
      <c r="D668" s="81" t="n"/>
      <c r="E668" s="81" t="n"/>
    </row>
    <row r="669">
      <c r="B669" s="81" t="n"/>
      <c r="C669" s="81" t="n"/>
      <c r="D669" s="81" t="n"/>
      <c r="E669" s="81" t="n"/>
    </row>
    <row r="670">
      <c r="B670" s="81" t="n"/>
      <c r="C670" s="81" t="n"/>
      <c r="D670" s="81" t="n"/>
      <c r="E670" s="81" t="n"/>
    </row>
    <row r="671">
      <c r="B671" s="81" t="n"/>
      <c r="C671" s="81" t="n"/>
      <c r="D671" s="81" t="n"/>
      <c r="E671" s="81" t="n"/>
    </row>
    <row r="672">
      <c r="B672" s="81" t="n"/>
      <c r="C672" s="81" t="n"/>
      <c r="D672" s="81" t="n"/>
      <c r="E672" s="81" t="n"/>
    </row>
    <row r="673">
      <c r="B673" s="81" t="n"/>
      <c r="C673" s="81" t="n"/>
      <c r="D673" s="81" t="n"/>
      <c r="E673" s="81" t="n"/>
    </row>
    <row r="674">
      <c r="B674" s="81" t="n"/>
      <c r="C674" s="81" t="n"/>
      <c r="D674" s="81" t="n"/>
      <c r="E674" s="81" t="n"/>
    </row>
    <row r="675">
      <c r="B675" s="81" t="n"/>
      <c r="C675" s="81" t="n"/>
      <c r="D675" s="81" t="n"/>
      <c r="E675" s="81" t="n"/>
    </row>
    <row r="676">
      <c r="B676" s="81" t="n"/>
      <c r="C676" s="81" t="n"/>
      <c r="D676" s="81" t="n"/>
      <c r="E676" s="81" t="n"/>
    </row>
    <row r="677">
      <c r="B677" s="81" t="n"/>
      <c r="C677" s="81" t="n"/>
      <c r="D677" s="81" t="n"/>
      <c r="E677" s="81" t="n"/>
    </row>
    <row r="678">
      <c r="B678" s="81" t="n"/>
      <c r="C678" s="81" t="n"/>
      <c r="D678" s="81" t="n"/>
      <c r="E678" s="81" t="n"/>
    </row>
    <row r="679">
      <c r="B679" s="81" t="n"/>
      <c r="C679" s="81" t="n"/>
      <c r="D679" s="81" t="n"/>
      <c r="E679" s="81" t="n"/>
    </row>
    <row r="680">
      <c r="B680" s="81" t="n"/>
      <c r="C680" s="81" t="n"/>
      <c r="D680" s="81" t="n"/>
      <c r="E680" s="81" t="n"/>
    </row>
    <row r="681">
      <c r="B681" s="81" t="n"/>
      <c r="C681" s="81" t="n"/>
      <c r="D681" s="81" t="n"/>
      <c r="E681" s="81" t="n"/>
    </row>
    <row r="682">
      <c r="B682" s="81" t="n"/>
      <c r="C682" s="81" t="n"/>
      <c r="D682" s="81" t="n"/>
      <c r="E682" s="81" t="n"/>
    </row>
    <row r="683">
      <c r="B683" s="81" t="n"/>
      <c r="C683" s="81" t="n"/>
      <c r="D683" s="81" t="n"/>
      <c r="E683" s="81" t="n"/>
    </row>
    <row r="684">
      <c r="B684" s="81" t="n"/>
      <c r="C684" s="81" t="n"/>
      <c r="D684" s="81" t="n"/>
      <c r="E684" s="81" t="n"/>
    </row>
    <row r="685">
      <c r="B685" s="81" t="n"/>
      <c r="C685" s="81" t="n"/>
      <c r="D685" s="81" t="n"/>
      <c r="E685" s="81" t="n"/>
    </row>
    <row r="686">
      <c r="B686" s="81" t="n"/>
      <c r="C686" s="81" t="n"/>
      <c r="D686" s="81" t="n"/>
      <c r="E686" s="81" t="n"/>
    </row>
    <row r="687">
      <c r="B687" s="81" t="n"/>
      <c r="C687" s="81" t="n"/>
      <c r="D687" s="81" t="n"/>
      <c r="E687" s="81" t="n"/>
    </row>
    <row r="688">
      <c r="B688" s="81" t="n"/>
      <c r="C688" s="81" t="n"/>
      <c r="D688" s="81" t="n"/>
      <c r="E688" s="81" t="n"/>
    </row>
    <row r="689">
      <c r="B689" s="81" t="n"/>
      <c r="C689" s="81" t="n"/>
      <c r="D689" s="81" t="n"/>
      <c r="E689" s="81" t="n"/>
    </row>
    <row r="690">
      <c r="B690" s="81" t="n"/>
      <c r="C690" s="81" t="n"/>
      <c r="D690" s="81" t="n"/>
      <c r="E690" s="81" t="n"/>
    </row>
    <row r="691">
      <c r="B691" s="81" t="n"/>
      <c r="C691" s="81" t="n"/>
      <c r="D691" s="81" t="n"/>
      <c r="E691" s="81" t="n"/>
    </row>
    <row r="692">
      <c r="B692" s="81" t="n"/>
      <c r="C692" s="81" t="n"/>
      <c r="D692" s="81" t="n"/>
      <c r="E692" s="81" t="n"/>
    </row>
    <row r="693">
      <c r="B693" s="81" t="n"/>
      <c r="C693" s="81" t="n"/>
      <c r="D693" s="81" t="n"/>
      <c r="E693" s="81" t="n"/>
    </row>
    <row r="694">
      <c r="B694" s="81" t="n"/>
      <c r="C694" s="81" t="n"/>
      <c r="D694" s="81" t="n"/>
      <c r="E694" s="81" t="n"/>
    </row>
    <row r="695">
      <c r="B695" s="81" t="n"/>
      <c r="C695" s="81" t="n"/>
      <c r="D695" s="81" t="n"/>
      <c r="E695" s="81" t="n"/>
    </row>
    <row r="696">
      <c r="B696" s="81" t="n"/>
      <c r="C696" s="81" t="n"/>
      <c r="D696" s="81" t="n"/>
      <c r="E696" s="81" t="n"/>
    </row>
    <row r="697">
      <c r="B697" s="81" t="n"/>
      <c r="C697" s="81" t="n"/>
      <c r="D697" s="81" t="n"/>
      <c r="E697" s="81" t="n"/>
    </row>
    <row r="698">
      <c r="B698" s="81" t="n"/>
      <c r="C698" s="81" t="n"/>
      <c r="D698" s="81" t="n"/>
      <c r="E698" s="81" t="n"/>
    </row>
    <row r="699">
      <c r="B699" s="81" t="n"/>
      <c r="C699" s="81" t="n"/>
      <c r="D699" s="81" t="n"/>
      <c r="E699" s="81" t="n"/>
    </row>
    <row r="700">
      <c r="B700" s="81" t="n"/>
      <c r="C700" s="81" t="n"/>
      <c r="D700" s="81" t="n"/>
      <c r="E700" s="81" t="n"/>
    </row>
    <row r="701">
      <c r="B701" s="81" t="n"/>
      <c r="C701" s="81" t="n"/>
      <c r="D701" s="81" t="n"/>
      <c r="E701" s="81" t="n"/>
    </row>
    <row r="702">
      <c r="B702" s="81" t="n"/>
      <c r="C702" s="81" t="n"/>
      <c r="D702" s="81" t="n"/>
      <c r="E702" s="81" t="n"/>
    </row>
    <row r="703">
      <c r="B703" s="81" t="n"/>
      <c r="C703" s="81" t="n"/>
      <c r="D703" s="81" t="n"/>
      <c r="E703" s="81" t="n"/>
    </row>
    <row r="704">
      <c r="B704" s="81" t="n"/>
      <c r="C704" s="81" t="n"/>
      <c r="D704" s="81" t="n"/>
      <c r="E704" s="81" t="n"/>
    </row>
    <row r="705">
      <c r="B705" s="81" t="n"/>
      <c r="C705" s="81" t="n"/>
      <c r="D705" s="81" t="n"/>
      <c r="E705" s="81" t="n"/>
    </row>
    <row r="706">
      <c r="B706" s="81" t="n"/>
      <c r="C706" s="81" t="n"/>
      <c r="D706" s="81" t="n"/>
      <c r="E706" s="81" t="n"/>
    </row>
    <row r="707">
      <c r="B707" s="81" t="n"/>
      <c r="C707" s="81" t="n"/>
      <c r="D707" s="81" t="n"/>
      <c r="E707" s="81" t="n"/>
    </row>
    <row r="708">
      <c r="B708" s="81" t="n"/>
      <c r="C708" s="81" t="n"/>
      <c r="D708" s="81" t="n"/>
      <c r="E708" s="81" t="n"/>
    </row>
    <row r="709">
      <c r="B709" s="81" t="n"/>
      <c r="C709" s="81" t="n"/>
      <c r="D709" s="81" t="n"/>
      <c r="E709" s="81" t="n"/>
    </row>
    <row r="710">
      <c r="B710" s="81" t="n"/>
      <c r="C710" s="81" t="n"/>
      <c r="D710" s="81" t="n"/>
      <c r="E710" s="81" t="n"/>
    </row>
    <row r="711">
      <c r="B711" s="81" t="n"/>
      <c r="C711" s="81" t="n"/>
      <c r="D711" s="81" t="n"/>
      <c r="E711" s="81" t="n"/>
    </row>
    <row r="712">
      <c r="B712" s="81" t="n"/>
      <c r="C712" s="81" t="n"/>
      <c r="D712" s="81" t="n"/>
      <c r="E712" s="81" t="n"/>
    </row>
    <row r="713">
      <c r="B713" s="81" t="n"/>
      <c r="C713" s="81" t="n"/>
      <c r="D713" s="81" t="n"/>
      <c r="E713" s="81" t="n"/>
    </row>
    <row r="714">
      <c r="B714" s="81" t="n"/>
      <c r="C714" s="81" t="n"/>
      <c r="D714" s="81" t="n"/>
      <c r="E714" s="81" t="n"/>
    </row>
    <row r="715">
      <c r="B715" s="81" t="n"/>
      <c r="C715" s="81" t="n"/>
      <c r="D715" s="81" t="n"/>
      <c r="E715" s="81" t="n"/>
    </row>
    <row r="716">
      <c r="B716" s="81" t="n"/>
      <c r="C716" s="81" t="n"/>
      <c r="D716" s="81" t="n"/>
      <c r="E716" s="81" t="n"/>
    </row>
    <row r="717">
      <c r="B717" s="81" t="n"/>
      <c r="C717" s="81" t="n"/>
      <c r="D717" s="81" t="n"/>
      <c r="E717" s="81" t="n"/>
    </row>
    <row r="718">
      <c r="B718" s="81" t="n"/>
      <c r="C718" s="81" t="n"/>
      <c r="D718" s="81" t="n"/>
      <c r="E718" s="81" t="n"/>
    </row>
    <row r="719">
      <c r="B719" s="81" t="n"/>
      <c r="C719" s="81" t="n"/>
      <c r="D719" s="81" t="n"/>
      <c r="E719" s="81" t="n"/>
    </row>
    <row r="720">
      <c r="B720" s="81" t="n"/>
      <c r="C720" s="81" t="n"/>
      <c r="D720" s="81" t="n"/>
      <c r="E720" s="81" t="n"/>
    </row>
    <row r="721">
      <c r="B721" s="81" t="n"/>
      <c r="C721" s="81" t="n"/>
      <c r="D721" s="81" t="n"/>
      <c r="E721" s="81" t="n"/>
    </row>
    <row r="722">
      <c r="B722" s="81" t="n"/>
      <c r="C722" s="81" t="n"/>
      <c r="D722" s="81" t="n"/>
      <c r="E722" s="81" t="n"/>
    </row>
    <row r="723">
      <c r="B723" s="81" t="n"/>
      <c r="C723" s="81" t="n"/>
      <c r="D723" s="81" t="n"/>
      <c r="E723" s="81" t="n"/>
    </row>
    <row r="724">
      <c r="B724" s="81" t="n"/>
      <c r="C724" s="81" t="n"/>
      <c r="D724" s="81" t="n"/>
      <c r="E724" s="81" t="n"/>
    </row>
    <row r="725">
      <c r="B725" s="81" t="n"/>
      <c r="C725" s="81" t="n"/>
      <c r="D725" s="81" t="n"/>
      <c r="E725" s="81" t="n"/>
    </row>
    <row r="726">
      <c r="B726" s="81" t="n"/>
      <c r="C726" s="81" t="n"/>
      <c r="D726" s="81" t="n"/>
      <c r="E726" s="81" t="n"/>
    </row>
    <row r="727">
      <c r="B727" s="81" t="n"/>
      <c r="C727" s="81" t="n"/>
      <c r="D727" s="81" t="n"/>
      <c r="E727" s="81" t="n"/>
    </row>
    <row r="728">
      <c r="B728" s="81" t="n"/>
      <c r="C728" s="81" t="n"/>
      <c r="D728" s="81" t="n"/>
      <c r="E728" s="81" t="n"/>
    </row>
    <row r="729">
      <c r="B729" s="81" t="n"/>
      <c r="C729" s="81" t="n"/>
      <c r="D729" s="81" t="n"/>
      <c r="E729" s="81" t="n"/>
    </row>
    <row r="730">
      <c r="B730" s="81" t="n"/>
      <c r="C730" s="81" t="n"/>
      <c r="D730" s="81" t="n"/>
      <c r="E730" s="81" t="n"/>
    </row>
    <row r="731">
      <c r="B731" s="81" t="n"/>
      <c r="C731" s="81" t="n"/>
      <c r="D731" s="81" t="n"/>
      <c r="E731" s="81" t="n"/>
    </row>
    <row r="732">
      <c r="B732" s="81" t="n"/>
      <c r="C732" s="81" t="n"/>
      <c r="D732" s="81" t="n"/>
      <c r="E732" s="81" t="n"/>
    </row>
    <row r="733">
      <c r="B733" s="81" t="n"/>
      <c r="C733" s="81" t="n"/>
      <c r="D733" s="81" t="n"/>
      <c r="E733" s="81" t="n"/>
    </row>
    <row r="734">
      <c r="B734" s="81" t="n"/>
      <c r="C734" s="81" t="n"/>
      <c r="D734" s="81" t="n"/>
      <c r="E734" s="81" t="n"/>
    </row>
    <row r="735">
      <c r="B735" s="81" t="n"/>
      <c r="C735" s="81" t="n"/>
      <c r="D735" s="81" t="n"/>
      <c r="E735" s="81" t="n"/>
    </row>
    <row r="736">
      <c r="B736" s="81" t="n"/>
      <c r="C736" s="81" t="n"/>
      <c r="D736" s="81" t="n"/>
      <c r="E736" s="81" t="n"/>
    </row>
    <row r="737">
      <c r="B737" s="81" t="n"/>
      <c r="C737" s="81" t="n"/>
      <c r="D737" s="81" t="n"/>
      <c r="E737" s="81" t="n"/>
    </row>
    <row r="738">
      <c r="B738" s="81" t="n"/>
      <c r="C738" s="81" t="n"/>
      <c r="D738" s="81" t="n"/>
      <c r="E738" s="81" t="n"/>
    </row>
    <row r="739">
      <c r="B739" s="81" t="n"/>
      <c r="C739" s="81" t="n"/>
      <c r="D739" s="81" t="n"/>
      <c r="E739" s="81" t="n"/>
    </row>
    <row r="740">
      <c r="B740" s="81" t="n"/>
      <c r="C740" s="81" t="n"/>
      <c r="D740" s="81" t="n"/>
      <c r="E740" s="81" t="n"/>
    </row>
    <row r="741">
      <c r="B741" s="81" t="n"/>
      <c r="C741" s="81" t="n"/>
      <c r="D741" s="81" t="n"/>
      <c r="E741" s="81" t="n"/>
    </row>
    <row r="742">
      <c r="B742" s="81" t="n"/>
      <c r="C742" s="81" t="n"/>
      <c r="D742" s="81" t="n"/>
      <c r="E742" s="81" t="n"/>
    </row>
    <row r="743">
      <c r="B743" s="81" t="n"/>
      <c r="C743" s="81" t="n"/>
      <c r="D743" s="81" t="n"/>
      <c r="E743" s="81" t="n"/>
    </row>
    <row r="744">
      <c r="B744" s="81" t="n"/>
      <c r="C744" s="81" t="n"/>
      <c r="D744" s="81" t="n"/>
      <c r="E744" s="81" t="n"/>
    </row>
    <row r="745">
      <c r="B745" s="81" t="n"/>
      <c r="C745" s="81" t="n"/>
      <c r="D745" s="81" t="n"/>
      <c r="E745" s="81" t="n"/>
    </row>
    <row r="746">
      <c r="B746" s="81" t="n"/>
      <c r="C746" s="81" t="n"/>
      <c r="D746" s="81" t="n"/>
      <c r="E746" s="81" t="n"/>
    </row>
    <row r="747">
      <c r="B747" s="81" t="n"/>
      <c r="C747" s="81" t="n"/>
      <c r="D747" s="81" t="n"/>
      <c r="E747" s="81" t="n"/>
    </row>
    <row r="748">
      <c r="B748" s="81" t="n"/>
      <c r="C748" s="81" t="n"/>
      <c r="D748" s="81" t="n"/>
      <c r="E748" s="81" t="n"/>
    </row>
    <row r="749">
      <c r="B749" s="81" t="n"/>
      <c r="C749" s="81" t="n"/>
      <c r="D749" s="81" t="n"/>
      <c r="E749" s="81" t="n"/>
    </row>
    <row r="750">
      <c r="B750" s="81" t="n"/>
      <c r="C750" s="81" t="n"/>
      <c r="D750" s="81" t="n"/>
      <c r="E750" s="81" t="n"/>
    </row>
    <row r="751">
      <c r="B751" s="81" t="n"/>
      <c r="C751" s="81" t="n"/>
      <c r="D751" s="81" t="n"/>
      <c r="E751" s="81" t="n"/>
    </row>
    <row r="752">
      <c r="B752" s="81" t="n"/>
      <c r="C752" s="81" t="n"/>
      <c r="D752" s="81" t="n"/>
      <c r="E752" s="81" t="n"/>
    </row>
    <row r="753">
      <c r="B753" s="81" t="n"/>
      <c r="C753" s="81" t="n"/>
      <c r="D753" s="81" t="n"/>
      <c r="E753" s="81" t="n"/>
    </row>
    <row r="754">
      <c r="B754" s="81" t="n"/>
      <c r="C754" s="81" t="n"/>
      <c r="D754" s="81" t="n"/>
      <c r="E754" s="81" t="n"/>
    </row>
    <row r="755">
      <c r="B755" s="81" t="n"/>
      <c r="C755" s="81" t="n"/>
      <c r="D755" s="81" t="n"/>
      <c r="E755" s="81" t="n"/>
    </row>
    <row r="756">
      <c r="B756" s="81" t="n"/>
      <c r="C756" s="81" t="n"/>
      <c r="D756" s="81" t="n"/>
      <c r="E756" s="81" t="n"/>
    </row>
    <row r="757">
      <c r="B757" s="81" t="n"/>
      <c r="C757" s="81" t="n"/>
      <c r="D757" s="81" t="n"/>
      <c r="E757" s="81" t="n"/>
    </row>
    <row r="758">
      <c r="B758" s="81" t="n"/>
      <c r="C758" s="81" t="n"/>
      <c r="D758" s="81" t="n"/>
      <c r="E758" s="81" t="n"/>
    </row>
    <row r="759">
      <c r="B759" s="81" t="n"/>
      <c r="C759" s="81" t="n"/>
      <c r="D759" s="81" t="n"/>
      <c r="E759" s="81" t="n"/>
    </row>
    <row r="760">
      <c r="B760" s="81" t="n"/>
      <c r="C760" s="81" t="n"/>
      <c r="D760" s="81" t="n"/>
      <c r="E760" s="81" t="n"/>
    </row>
    <row r="761">
      <c r="B761" s="81" t="n"/>
      <c r="C761" s="81" t="n"/>
      <c r="D761" s="81" t="n"/>
      <c r="E761" s="81" t="n"/>
    </row>
    <row r="762">
      <c r="B762" s="81" t="n"/>
      <c r="C762" s="81" t="n"/>
      <c r="D762" s="81" t="n"/>
      <c r="E762" s="81" t="n"/>
    </row>
    <row r="763">
      <c r="B763" s="81" t="n"/>
      <c r="C763" s="81" t="n"/>
      <c r="D763" s="81" t="n"/>
      <c r="E763" s="81" t="n"/>
    </row>
    <row r="764">
      <c r="B764" s="81" t="n"/>
      <c r="C764" s="81" t="n"/>
      <c r="D764" s="81" t="n"/>
      <c r="E764" s="81" t="n"/>
    </row>
    <row r="765">
      <c r="B765" s="81" t="n"/>
      <c r="C765" s="81" t="n"/>
      <c r="D765" s="81" t="n"/>
      <c r="E765" s="81" t="n"/>
    </row>
    <row r="766">
      <c r="B766" s="81" t="n"/>
      <c r="C766" s="81" t="n"/>
      <c r="D766" s="81" t="n"/>
      <c r="E766" s="81" t="n"/>
    </row>
    <row r="767">
      <c r="B767" s="81" t="n"/>
      <c r="C767" s="81" t="n"/>
      <c r="D767" s="81" t="n"/>
      <c r="E767" s="81" t="n"/>
    </row>
    <row r="768">
      <c r="B768" s="81" t="n"/>
      <c r="C768" s="81" t="n"/>
      <c r="D768" s="81" t="n"/>
      <c r="E768" s="81" t="n"/>
    </row>
    <row r="769">
      <c r="B769" s="81" t="n"/>
      <c r="C769" s="81" t="n"/>
      <c r="D769" s="81" t="n"/>
      <c r="E769" s="81" t="n"/>
    </row>
    <row r="770">
      <c r="B770" s="81" t="n"/>
      <c r="C770" s="81" t="n"/>
      <c r="D770" s="81" t="n"/>
      <c r="E770" s="81" t="n"/>
    </row>
    <row r="771">
      <c r="B771" s="81" t="n"/>
      <c r="C771" s="81" t="n"/>
      <c r="D771" s="81" t="n"/>
      <c r="E771" s="81" t="n"/>
    </row>
    <row r="772">
      <c r="B772" s="81" t="n"/>
      <c r="C772" s="81" t="n"/>
      <c r="D772" s="81" t="n"/>
      <c r="E772" s="81" t="n"/>
    </row>
    <row r="773">
      <c r="B773" s="81" t="n"/>
      <c r="C773" s="81" t="n"/>
      <c r="D773" s="81" t="n"/>
      <c r="E773" s="81" t="n"/>
    </row>
    <row r="774">
      <c r="B774" s="81" t="n"/>
      <c r="C774" s="81" t="n"/>
      <c r="D774" s="81" t="n"/>
      <c r="E774" s="81" t="n"/>
    </row>
    <row r="775">
      <c r="B775" s="81" t="n"/>
      <c r="C775" s="81" t="n"/>
      <c r="D775" s="81" t="n"/>
      <c r="E775" s="81" t="n"/>
    </row>
    <row r="776">
      <c r="B776" s="81" t="n"/>
      <c r="C776" s="81" t="n"/>
      <c r="D776" s="81" t="n"/>
      <c r="E776" s="81" t="n"/>
    </row>
    <row r="777">
      <c r="B777" s="81" t="n"/>
      <c r="C777" s="81" t="n"/>
      <c r="D777" s="81" t="n"/>
      <c r="E777" s="81" t="n"/>
    </row>
    <row r="778">
      <c r="B778" s="81" t="n"/>
      <c r="C778" s="81" t="n"/>
      <c r="D778" s="81" t="n"/>
      <c r="E778" s="81" t="n"/>
    </row>
    <row r="779">
      <c r="B779" s="81" t="n"/>
      <c r="C779" s="81" t="n"/>
      <c r="D779" s="81" t="n"/>
      <c r="E779" s="81" t="n"/>
    </row>
    <row r="780">
      <c r="B780" s="81" t="n"/>
      <c r="C780" s="81" t="n"/>
      <c r="D780" s="81" t="n"/>
      <c r="E780" s="81" t="n"/>
    </row>
    <row r="781">
      <c r="B781" s="81" t="n"/>
      <c r="C781" s="81" t="n"/>
      <c r="D781" s="81" t="n"/>
      <c r="E781" s="81" t="n"/>
    </row>
    <row r="782">
      <c r="B782" s="81" t="n"/>
      <c r="C782" s="81" t="n"/>
      <c r="D782" s="81" t="n"/>
      <c r="E782" s="81" t="n"/>
    </row>
    <row r="783">
      <c r="B783" s="81" t="n"/>
      <c r="C783" s="81" t="n"/>
      <c r="D783" s="81" t="n"/>
      <c r="E783" s="81" t="n"/>
    </row>
    <row r="784">
      <c r="B784" s="81" t="n"/>
      <c r="C784" s="81" t="n"/>
      <c r="D784" s="81" t="n"/>
      <c r="E784" s="81" t="n"/>
    </row>
    <row r="785">
      <c r="B785" s="81" t="n"/>
      <c r="C785" s="81" t="n"/>
      <c r="D785" s="81" t="n"/>
      <c r="E785" s="81" t="n"/>
    </row>
    <row r="786">
      <c r="B786" s="81" t="n"/>
      <c r="C786" s="81" t="n"/>
      <c r="D786" s="81" t="n"/>
      <c r="E786" s="81" t="n"/>
    </row>
    <row r="787">
      <c r="B787" s="81" t="n"/>
      <c r="C787" s="81" t="n"/>
      <c r="D787" s="81" t="n"/>
      <c r="E787" s="81" t="n"/>
    </row>
    <row r="788">
      <c r="B788" s="81" t="n"/>
      <c r="C788" s="81" t="n"/>
      <c r="D788" s="81" t="n"/>
      <c r="E788" s="81" t="n"/>
    </row>
    <row r="789">
      <c r="B789" s="81" t="n"/>
      <c r="C789" s="81" t="n"/>
      <c r="D789" s="81" t="n"/>
      <c r="E789" s="81" t="n"/>
    </row>
    <row r="790">
      <c r="B790" s="81" t="n"/>
      <c r="C790" s="81" t="n"/>
      <c r="D790" s="81" t="n"/>
      <c r="E790" s="81" t="n"/>
    </row>
    <row r="791">
      <c r="B791" s="81" t="n"/>
      <c r="C791" s="81" t="n"/>
      <c r="D791" s="81" t="n"/>
      <c r="E791" s="81" t="n"/>
    </row>
    <row r="792">
      <c r="B792" s="81" t="n"/>
      <c r="C792" s="81" t="n"/>
      <c r="D792" s="81" t="n"/>
      <c r="E792" s="81" t="n"/>
    </row>
    <row r="793">
      <c r="B793" s="81" t="n"/>
      <c r="C793" s="81" t="n"/>
      <c r="D793" s="81" t="n"/>
      <c r="E793" s="81" t="n"/>
    </row>
    <row r="794">
      <c r="B794" s="81" t="n"/>
      <c r="C794" s="81" t="n"/>
      <c r="D794" s="81" t="n"/>
      <c r="E794" s="81" t="n"/>
    </row>
    <row r="795">
      <c r="B795" s="81" t="n"/>
      <c r="C795" s="81" t="n"/>
      <c r="D795" s="81" t="n"/>
      <c r="E795" s="81" t="n"/>
    </row>
    <row r="796">
      <c r="B796" s="81" t="n"/>
      <c r="C796" s="81" t="n"/>
      <c r="D796" s="81" t="n"/>
      <c r="E796" s="81" t="n"/>
    </row>
    <row r="797">
      <c r="B797" s="81" t="n"/>
      <c r="C797" s="81" t="n"/>
      <c r="D797" s="81" t="n"/>
      <c r="E797" s="81" t="n"/>
    </row>
    <row r="798">
      <c r="B798" s="81" t="n"/>
      <c r="C798" s="81" t="n"/>
      <c r="D798" s="81" t="n"/>
      <c r="E798" s="81" t="n"/>
    </row>
    <row r="799">
      <c r="B799" s="81" t="n"/>
      <c r="C799" s="81" t="n"/>
      <c r="D799" s="81" t="n"/>
      <c r="E799" s="81" t="n"/>
    </row>
    <row r="800">
      <c r="B800" s="81" t="n"/>
      <c r="C800" s="81" t="n"/>
      <c r="D800" s="81" t="n"/>
      <c r="E800" s="81" t="n"/>
    </row>
    <row r="801">
      <c r="B801" s="81" t="n"/>
      <c r="C801" s="81" t="n"/>
      <c r="D801" s="81" t="n"/>
      <c r="E801" s="81" t="n"/>
    </row>
    <row r="802">
      <c r="B802" s="81" t="n"/>
      <c r="C802" s="81" t="n"/>
      <c r="D802" s="81" t="n"/>
      <c r="E802" s="81" t="n"/>
    </row>
    <row r="803">
      <c r="B803" s="81" t="n"/>
      <c r="C803" s="81" t="n"/>
      <c r="D803" s="81" t="n"/>
      <c r="E803" s="81" t="n"/>
    </row>
    <row r="804">
      <c r="B804" s="81" t="n"/>
      <c r="C804" s="81" t="n"/>
      <c r="D804" s="81" t="n"/>
      <c r="E804" s="81" t="n"/>
    </row>
    <row r="805">
      <c r="B805" s="81" t="n"/>
      <c r="C805" s="81" t="n"/>
      <c r="D805" s="81" t="n"/>
      <c r="E805" s="81" t="n"/>
    </row>
    <row r="806">
      <c r="B806" s="81" t="n"/>
      <c r="C806" s="81" t="n"/>
      <c r="D806" s="81" t="n"/>
      <c r="E806" s="81" t="n"/>
    </row>
    <row r="807">
      <c r="B807" s="81" t="n"/>
      <c r="C807" s="81" t="n"/>
      <c r="D807" s="81" t="n"/>
      <c r="E807" s="81" t="n"/>
    </row>
    <row r="808">
      <c r="B808" s="81" t="n"/>
      <c r="C808" s="81" t="n"/>
      <c r="D808" s="81" t="n"/>
      <c r="E808" s="81" t="n"/>
    </row>
    <row r="809">
      <c r="B809" s="81" t="n"/>
      <c r="C809" s="81" t="n"/>
      <c r="D809" s="81" t="n"/>
      <c r="E809" s="81" t="n"/>
    </row>
    <row r="810">
      <c r="B810" s="81" t="n"/>
      <c r="C810" s="81" t="n"/>
      <c r="D810" s="81" t="n"/>
      <c r="E810" s="81" t="n"/>
    </row>
    <row r="811">
      <c r="B811" s="81" t="n"/>
      <c r="C811" s="81" t="n"/>
      <c r="D811" s="81" t="n"/>
      <c r="E811" s="81" t="n"/>
    </row>
    <row r="812">
      <c r="B812" s="81" t="n"/>
      <c r="C812" s="81" t="n"/>
      <c r="D812" s="81" t="n"/>
      <c r="E812" s="81" t="n"/>
    </row>
    <row r="813">
      <c r="B813" s="81" t="n"/>
      <c r="C813" s="81" t="n"/>
      <c r="D813" s="81" t="n"/>
      <c r="E813" s="81" t="n"/>
    </row>
    <row r="814">
      <c r="B814" s="81" t="n"/>
      <c r="C814" s="81" t="n"/>
      <c r="D814" s="81" t="n"/>
      <c r="E814" s="81" t="n"/>
    </row>
    <row r="815">
      <c r="B815" s="81" t="n"/>
      <c r="C815" s="81" t="n"/>
      <c r="D815" s="81" t="n"/>
      <c r="E815" s="81" t="n"/>
    </row>
    <row r="816">
      <c r="B816" s="81" t="n"/>
      <c r="C816" s="81" t="n"/>
      <c r="D816" s="81" t="n"/>
      <c r="E816" s="81" t="n"/>
    </row>
    <row r="817">
      <c r="B817" s="81" t="n"/>
      <c r="C817" s="81" t="n"/>
      <c r="D817" s="81" t="n"/>
      <c r="E817" s="81" t="n"/>
    </row>
    <row r="818">
      <c r="B818" s="81" t="n"/>
      <c r="C818" s="81" t="n"/>
      <c r="D818" s="81" t="n"/>
      <c r="E818" s="81" t="n"/>
    </row>
    <row r="819">
      <c r="B819" s="81" t="n"/>
      <c r="C819" s="81" t="n"/>
      <c r="D819" s="81" t="n"/>
      <c r="E819" s="81" t="n"/>
    </row>
    <row r="820">
      <c r="B820" s="81" t="n"/>
      <c r="C820" s="81" t="n"/>
      <c r="D820" s="81" t="n"/>
      <c r="E820" s="81" t="n"/>
    </row>
    <row r="821">
      <c r="B821" s="81" t="n"/>
      <c r="C821" s="81" t="n"/>
      <c r="D821" s="81" t="n"/>
      <c r="E821" s="81" t="n"/>
    </row>
    <row r="822">
      <c r="B822" s="81" t="n"/>
      <c r="C822" s="81" t="n"/>
      <c r="D822" s="81" t="n"/>
      <c r="E822" s="81" t="n"/>
    </row>
    <row r="823">
      <c r="B823" s="81" t="n"/>
      <c r="C823" s="81" t="n"/>
      <c r="D823" s="81" t="n"/>
      <c r="E823" s="81" t="n"/>
    </row>
    <row r="824">
      <c r="B824" s="81" t="n"/>
      <c r="C824" s="81" t="n"/>
      <c r="D824" s="81" t="n"/>
      <c r="E824" s="81" t="n"/>
    </row>
    <row r="825">
      <c r="B825" s="81" t="n"/>
      <c r="C825" s="81" t="n"/>
      <c r="D825" s="81" t="n"/>
      <c r="E825" s="81" t="n"/>
    </row>
    <row r="826">
      <c r="B826" s="81" t="n"/>
      <c r="C826" s="81" t="n"/>
      <c r="D826" s="81" t="n"/>
      <c r="E826" s="81" t="n"/>
    </row>
    <row r="827">
      <c r="B827" s="81" t="n"/>
      <c r="C827" s="81" t="n"/>
      <c r="D827" s="81" t="n"/>
      <c r="E827" s="81" t="n"/>
    </row>
    <row r="828">
      <c r="B828" s="81" t="n"/>
      <c r="C828" s="81" t="n"/>
      <c r="D828" s="81" t="n"/>
      <c r="E828" s="81" t="n"/>
    </row>
    <row r="829">
      <c r="B829" s="81" t="n"/>
      <c r="C829" s="81" t="n"/>
      <c r="D829" s="81" t="n"/>
      <c r="E829" s="81" t="n"/>
    </row>
    <row r="830">
      <c r="B830" s="81" t="n"/>
      <c r="C830" s="81" t="n"/>
      <c r="D830" s="81" t="n"/>
      <c r="E830" s="81" t="n"/>
    </row>
    <row r="831">
      <c r="B831" s="81" t="n"/>
      <c r="C831" s="81" t="n"/>
      <c r="D831" s="81" t="n"/>
      <c r="E831" s="81" t="n"/>
    </row>
    <row r="832">
      <c r="B832" s="81" t="n"/>
      <c r="C832" s="81" t="n"/>
      <c r="D832" s="81" t="n"/>
      <c r="E832" s="81" t="n"/>
    </row>
    <row r="833">
      <c r="B833" s="81" t="n"/>
      <c r="C833" s="81" t="n"/>
      <c r="D833" s="81" t="n"/>
      <c r="E833" s="81" t="n"/>
    </row>
    <row r="834">
      <c r="B834" s="81" t="n"/>
      <c r="C834" s="81" t="n"/>
      <c r="D834" s="81" t="n"/>
      <c r="E834" s="81" t="n"/>
    </row>
    <row r="835">
      <c r="B835" s="81" t="n"/>
      <c r="C835" s="81" t="n"/>
      <c r="D835" s="81" t="n"/>
      <c r="E835" s="81" t="n"/>
    </row>
    <row r="836">
      <c r="B836" s="81" t="n"/>
      <c r="C836" s="81" t="n"/>
      <c r="D836" s="81" t="n"/>
      <c r="E836" s="81" t="n"/>
    </row>
    <row r="837">
      <c r="B837" s="81" t="n"/>
      <c r="C837" s="81" t="n"/>
      <c r="D837" s="81" t="n"/>
      <c r="E837" s="81" t="n"/>
    </row>
    <row r="838">
      <c r="B838" s="81" t="n"/>
      <c r="C838" s="81" t="n"/>
      <c r="D838" s="81" t="n"/>
      <c r="E838" s="81" t="n"/>
    </row>
    <row r="839">
      <c r="B839" s="81" t="n"/>
      <c r="C839" s="81" t="n"/>
      <c r="D839" s="81" t="n"/>
      <c r="E839" s="81" t="n"/>
    </row>
    <row r="840">
      <c r="B840" s="81" t="n"/>
      <c r="C840" s="81" t="n"/>
      <c r="D840" s="81" t="n"/>
      <c r="E840" s="81" t="n"/>
    </row>
    <row r="841">
      <c r="B841" s="81" t="n"/>
      <c r="C841" s="81" t="n"/>
      <c r="D841" s="81" t="n"/>
      <c r="E841" s="81" t="n"/>
    </row>
    <row r="842">
      <c r="B842" s="81" t="n"/>
      <c r="C842" s="81" t="n"/>
      <c r="D842" s="81" t="n"/>
      <c r="E842" s="81" t="n"/>
    </row>
    <row r="843">
      <c r="B843" s="81" t="n"/>
      <c r="C843" s="81" t="n"/>
      <c r="D843" s="81" t="n"/>
      <c r="E843" s="81" t="n"/>
    </row>
    <row r="844">
      <c r="B844" s="81" t="n"/>
      <c r="C844" s="81" t="n"/>
      <c r="D844" s="81" t="n"/>
      <c r="E844" s="81" t="n"/>
    </row>
    <row r="845">
      <c r="B845" s="81" t="n"/>
      <c r="C845" s="81" t="n"/>
      <c r="D845" s="81" t="n"/>
      <c r="E845" s="81" t="n"/>
    </row>
    <row r="846">
      <c r="B846" s="81" t="n"/>
      <c r="C846" s="81" t="n"/>
      <c r="D846" s="81" t="n"/>
      <c r="E846" s="81" t="n"/>
    </row>
    <row r="847">
      <c r="B847" s="81" t="n"/>
      <c r="C847" s="81" t="n"/>
      <c r="D847" s="81" t="n"/>
      <c r="E847" s="81" t="n"/>
    </row>
    <row r="848">
      <c r="B848" s="81" t="n"/>
      <c r="C848" s="81" t="n"/>
      <c r="D848" s="81" t="n"/>
      <c r="E848" s="81" t="n"/>
    </row>
    <row r="849">
      <c r="B849" s="81" t="n"/>
      <c r="C849" s="81" t="n"/>
      <c r="D849" s="81" t="n"/>
      <c r="E849" s="81" t="n"/>
    </row>
    <row r="850">
      <c r="B850" s="81" t="n"/>
      <c r="C850" s="81" t="n"/>
      <c r="D850" s="81" t="n"/>
      <c r="E850" s="81" t="n"/>
    </row>
    <row r="851">
      <c r="B851" s="81" t="n"/>
      <c r="C851" s="81" t="n"/>
      <c r="D851" s="81" t="n"/>
      <c r="E851" s="81" t="n"/>
    </row>
    <row r="852">
      <c r="B852" s="81" t="n"/>
      <c r="C852" s="81" t="n"/>
      <c r="D852" s="81" t="n"/>
      <c r="E852" s="81" t="n"/>
    </row>
    <row r="853">
      <c r="B853" s="81" t="n"/>
      <c r="C853" s="81" t="n"/>
      <c r="D853" s="81" t="n"/>
      <c r="E853" s="81" t="n"/>
    </row>
    <row r="854">
      <c r="B854" s="81" t="n"/>
      <c r="C854" s="81" t="n"/>
      <c r="D854" s="81" t="n"/>
      <c r="E854" s="81" t="n"/>
    </row>
    <row r="855">
      <c r="B855" s="81" t="n"/>
      <c r="C855" s="81" t="n"/>
      <c r="D855" s="81" t="n"/>
      <c r="E855" s="81" t="n"/>
    </row>
    <row r="856">
      <c r="B856" s="81" t="n"/>
      <c r="C856" s="81" t="n"/>
      <c r="D856" s="81" t="n"/>
      <c r="E856" s="81" t="n"/>
    </row>
    <row r="857">
      <c r="B857" s="81" t="n"/>
      <c r="C857" s="81" t="n"/>
      <c r="D857" s="81" t="n"/>
      <c r="E857" s="81" t="n"/>
    </row>
    <row r="858">
      <c r="B858" s="81" t="n"/>
      <c r="C858" s="81" t="n"/>
      <c r="D858" s="81" t="n"/>
      <c r="E858" s="81" t="n"/>
    </row>
    <row r="859">
      <c r="B859" s="81" t="n"/>
      <c r="C859" s="81" t="n"/>
      <c r="D859" s="81" t="n"/>
      <c r="E859" s="81" t="n"/>
    </row>
    <row r="860">
      <c r="B860" s="81" t="n"/>
      <c r="C860" s="81" t="n"/>
      <c r="D860" s="81" t="n"/>
      <c r="E860" s="81" t="n"/>
    </row>
    <row r="861">
      <c r="B861" s="81" t="n"/>
      <c r="C861" s="81" t="n"/>
      <c r="D861" s="81" t="n"/>
      <c r="E861" s="81" t="n"/>
    </row>
    <row r="862">
      <c r="B862" s="81" t="n"/>
      <c r="C862" s="81" t="n"/>
      <c r="D862" s="81" t="n"/>
      <c r="E862" s="81" t="n"/>
    </row>
    <row r="863">
      <c r="B863" s="81" t="n"/>
      <c r="C863" s="81" t="n"/>
      <c r="D863" s="81" t="n"/>
      <c r="E863" s="81" t="n"/>
    </row>
    <row r="864">
      <c r="B864" s="81" t="n"/>
      <c r="C864" s="81" t="n"/>
      <c r="D864" s="81" t="n"/>
      <c r="E864" s="81" t="n"/>
    </row>
    <row r="865">
      <c r="B865" s="81" t="n"/>
      <c r="C865" s="81" t="n"/>
      <c r="D865" s="81" t="n"/>
      <c r="E865" s="81" t="n"/>
    </row>
    <row r="866">
      <c r="B866" s="81" t="n"/>
      <c r="C866" s="81" t="n"/>
      <c r="D866" s="81" t="n"/>
      <c r="E866" s="81" t="n"/>
    </row>
    <row r="867">
      <c r="B867" s="81" t="n"/>
      <c r="C867" s="81" t="n"/>
      <c r="D867" s="81" t="n"/>
      <c r="E867" s="81" t="n"/>
    </row>
    <row r="868">
      <c r="B868" s="81" t="n"/>
      <c r="C868" s="81" t="n"/>
      <c r="D868" s="81" t="n"/>
      <c r="E868" s="81" t="n"/>
    </row>
    <row r="869">
      <c r="B869" s="81" t="n"/>
      <c r="C869" s="81" t="n"/>
      <c r="D869" s="81" t="n"/>
      <c r="E869" s="81" t="n"/>
    </row>
    <row r="870">
      <c r="B870" s="81" t="n"/>
      <c r="C870" s="81" t="n"/>
      <c r="D870" s="81" t="n"/>
      <c r="E870" s="81" t="n"/>
    </row>
    <row r="871">
      <c r="B871" s="81" t="n"/>
      <c r="C871" s="81" t="n"/>
      <c r="D871" s="81" t="n"/>
      <c r="E871" s="81" t="n"/>
    </row>
    <row r="872">
      <c r="B872" s="81" t="n"/>
      <c r="C872" s="81" t="n"/>
      <c r="D872" s="81" t="n"/>
      <c r="E872" s="81" t="n"/>
    </row>
    <row r="873">
      <c r="B873" s="81" t="n"/>
      <c r="C873" s="81" t="n"/>
      <c r="D873" s="81" t="n"/>
      <c r="E873" s="81" t="n"/>
    </row>
    <row r="874">
      <c r="B874" s="81" t="n"/>
      <c r="C874" s="81" t="n"/>
      <c r="D874" s="81" t="n"/>
      <c r="E874" s="81" t="n"/>
    </row>
    <row r="875">
      <c r="B875" s="81" t="n"/>
      <c r="C875" s="81" t="n"/>
      <c r="D875" s="81" t="n"/>
      <c r="E875" s="81" t="n"/>
    </row>
    <row r="876">
      <c r="B876" s="81" t="n"/>
      <c r="C876" s="81" t="n"/>
      <c r="D876" s="81" t="n"/>
      <c r="E876" s="81" t="n"/>
    </row>
    <row r="877">
      <c r="B877" s="81" t="n"/>
      <c r="C877" s="81" t="n"/>
      <c r="D877" s="81" t="n"/>
      <c r="E877" s="81" t="n"/>
    </row>
    <row r="878">
      <c r="B878" s="81" t="n"/>
      <c r="C878" s="81" t="n"/>
      <c r="D878" s="81" t="n"/>
      <c r="E878" s="81" t="n"/>
    </row>
    <row r="879">
      <c r="B879" s="81" t="n"/>
      <c r="C879" s="81" t="n"/>
      <c r="D879" s="81" t="n"/>
      <c r="E879" s="81" t="n"/>
    </row>
    <row r="880">
      <c r="B880" s="81" t="n"/>
      <c r="C880" s="81" t="n"/>
      <c r="D880" s="81" t="n"/>
      <c r="E880" s="81" t="n"/>
    </row>
    <row r="881">
      <c r="B881" s="81" t="n"/>
      <c r="C881" s="81" t="n"/>
      <c r="D881" s="81" t="n"/>
      <c r="E881" s="81" t="n"/>
    </row>
    <row r="882">
      <c r="B882" s="81" t="n"/>
      <c r="C882" s="81" t="n"/>
      <c r="D882" s="81" t="n"/>
      <c r="E882" s="81" t="n"/>
    </row>
    <row r="883">
      <c r="B883" s="81" t="n"/>
      <c r="C883" s="81" t="n"/>
      <c r="D883" s="81" t="n"/>
      <c r="E883" s="81" t="n"/>
    </row>
    <row r="884">
      <c r="B884" s="81" t="n"/>
      <c r="C884" s="81" t="n"/>
      <c r="D884" s="81" t="n"/>
      <c r="E884" s="81" t="n"/>
    </row>
    <row r="885">
      <c r="B885" s="81" t="n"/>
      <c r="C885" s="81" t="n"/>
      <c r="D885" s="81" t="n"/>
      <c r="E885" s="81" t="n"/>
    </row>
    <row r="886">
      <c r="B886" s="81" t="n"/>
      <c r="C886" s="81" t="n"/>
      <c r="D886" s="81" t="n"/>
      <c r="E886" s="81" t="n"/>
    </row>
    <row r="887">
      <c r="B887" s="81" t="n"/>
      <c r="C887" s="81" t="n"/>
      <c r="D887" s="81" t="n"/>
      <c r="E887" s="81" t="n"/>
    </row>
    <row r="888">
      <c r="B888" s="81" t="n"/>
      <c r="C888" s="81" t="n"/>
      <c r="D888" s="81" t="n"/>
      <c r="E888" s="81" t="n"/>
    </row>
    <row r="889">
      <c r="B889" s="81" t="n"/>
      <c r="C889" s="81" t="n"/>
      <c r="D889" s="81" t="n"/>
      <c r="E889" s="81" t="n"/>
    </row>
    <row r="890">
      <c r="B890" s="81" t="n"/>
      <c r="C890" s="81" t="n"/>
      <c r="D890" s="81" t="n"/>
      <c r="E890" s="81" t="n"/>
    </row>
    <row r="891">
      <c r="B891" s="81" t="n"/>
      <c r="C891" s="81" t="n"/>
      <c r="D891" s="81" t="n"/>
      <c r="E891" s="81" t="n"/>
    </row>
    <row r="892">
      <c r="B892" s="81" t="n"/>
      <c r="C892" s="81" t="n"/>
      <c r="D892" s="81" t="n"/>
      <c r="E892" s="81" t="n"/>
    </row>
    <row r="893">
      <c r="B893" s="81" t="n"/>
      <c r="C893" s="81" t="n"/>
      <c r="D893" s="81" t="n"/>
      <c r="E893" s="81" t="n"/>
    </row>
    <row r="894">
      <c r="B894" s="81" t="n"/>
      <c r="C894" s="81" t="n"/>
      <c r="D894" s="81" t="n"/>
      <c r="E894" s="81" t="n"/>
    </row>
    <row r="895">
      <c r="B895" s="81" t="n"/>
      <c r="C895" s="81" t="n"/>
      <c r="D895" s="81" t="n"/>
      <c r="E895" s="81" t="n"/>
    </row>
    <row r="896">
      <c r="B896" s="81" t="n"/>
      <c r="C896" s="81" t="n"/>
      <c r="D896" s="81" t="n"/>
      <c r="E896" s="81" t="n"/>
    </row>
    <row r="897">
      <c r="B897" s="81" t="n"/>
      <c r="C897" s="81" t="n"/>
      <c r="D897" s="81" t="n"/>
      <c r="E897" s="81" t="n"/>
    </row>
    <row r="898">
      <c r="B898" s="81" t="n"/>
      <c r="C898" s="81" t="n"/>
      <c r="D898" s="81" t="n"/>
      <c r="E898" s="81" t="n"/>
    </row>
    <row r="899">
      <c r="B899" s="81" t="n"/>
      <c r="C899" s="81" t="n"/>
      <c r="D899" s="81" t="n"/>
      <c r="E899" s="81" t="n"/>
    </row>
    <row r="900">
      <c r="B900" s="81" t="n"/>
      <c r="C900" s="81" t="n"/>
      <c r="D900" s="81" t="n"/>
      <c r="E900" s="81" t="n"/>
    </row>
    <row r="901">
      <c r="B901" s="81" t="n"/>
      <c r="C901" s="81" t="n"/>
      <c r="D901" s="81" t="n"/>
      <c r="E901" s="81" t="n"/>
    </row>
    <row r="902">
      <c r="B902" s="81" t="n"/>
      <c r="C902" s="81" t="n"/>
      <c r="D902" s="81" t="n"/>
      <c r="E902" s="81" t="n"/>
    </row>
    <row r="903">
      <c r="B903" s="81" t="n"/>
      <c r="C903" s="81" t="n"/>
      <c r="D903" s="81" t="n"/>
      <c r="E903" s="81" t="n"/>
    </row>
    <row r="904">
      <c r="B904" s="81" t="n"/>
      <c r="C904" s="81" t="n"/>
      <c r="D904" s="81" t="n"/>
      <c r="E904" s="81" t="n"/>
    </row>
    <row r="905">
      <c r="B905" s="81" t="n"/>
      <c r="C905" s="81" t="n"/>
      <c r="D905" s="81" t="n"/>
      <c r="E905" s="81" t="n"/>
    </row>
    <row r="906">
      <c r="B906" s="81" t="n"/>
      <c r="C906" s="81" t="n"/>
      <c r="D906" s="81" t="n"/>
      <c r="E906" s="81" t="n"/>
    </row>
    <row r="907">
      <c r="B907" s="81" t="n"/>
      <c r="C907" s="81" t="n"/>
      <c r="D907" s="81" t="n"/>
      <c r="E907" s="81" t="n"/>
    </row>
    <row r="908">
      <c r="B908" s="81" t="n"/>
      <c r="C908" s="81" t="n"/>
      <c r="D908" s="81" t="n"/>
      <c r="E908" s="81" t="n"/>
    </row>
    <row r="909">
      <c r="B909" s="81" t="n"/>
      <c r="C909" s="81" t="n"/>
      <c r="D909" s="81" t="n"/>
      <c r="E909" s="81" t="n"/>
    </row>
    <row r="910">
      <c r="B910" s="81" t="n"/>
      <c r="C910" s="81" t="n"/>
      <c r="D910" s="81" t="n"/>
      <c r="E910" s="81" t="n"/>
    </row>
    <row r="911">
      <c r="B911" s="81" t="n"/>
      <c r="C911" s="81" t="n"/>
      <c r="D911" s="81" t="n"/>
      <c r="E911" s="81" t="n"/>
    </row>
    <row r="912">
      <c r="B912" s="81" t="n"/>
      <c r="C912" s="81" t="n"/>
      <c r="D912" s="81" t="n"/>
      <c r="E912" s="81" t="n"/>
    </row>
    <row r="913">
      <c r="B913" s="81" t="n"/>
      <c r="C913" s="81" t="n"/>
      <c r="D913" s="81" t="n"/>
      <c r="E913" s="81" t="n"/>
    </row>
    <row r="914">
      <c r="B914" s="81" t="n"/>
      <c r="C914" s="81" t="n"/>
      <c r="D914" s="81" t="n"/>
      <c r="E914" s="81" t="n"/>
    </row>
    <row r="915">
      <c r="B915" s="81" t="n"/>
      <c r="C915" s="81" t="n"/>
      <c r="D915" s="81" t="n"/>
      <c r="E915" s="81" t="n"/>
    </row>
    <row r="916">
      <c r="B916" s="81" t="n"/>
      <c r="C916" s="81" t="n"/>
      <c r="D916" s="81" t="n"/>
      <c r="E916" s="81" t="n"/>
    </row>
    <row r="917">
      <c r="B917" s="81" t="n"/>
      <c r="C917" s="81" t="n"/>
      <c r="D917" s="81" t="n"/>
      <c r="E917" s="81" t="n"/>
    </row>
    <row r="918">
      <c r="B918" s="81" t="n"/>
      <c r="C918" s="81" t="n"/>
      <c r="D918" s="81" t="n"/>
      <c r="E918" s="81" t="n"/>
    </row>
    <row r="919">
      <c r="B919" s="81" t="n"/>
      <c r="C919" s="81" t="n"/>
      <c r="D919" s="81" t="n"/>
      <c r="E919" s="81" t="n"/>
    </row>
    <row r="920">
      <c r="B920" s="81" t="n"/>
      <c r="C920" s="81" t="n"/>
      <c r="D920" s="81" t="n"/>
      <c r="E920" s="81" t="n"/>
    </row>
    <row r="921">
      <c r="B921" s="81" t="n"/>
      <c r="C921" s="81" t="n"/>
      <c r="D921" s="81" t="n"/>
      <c r="E921" s="81" t="n"/>
    </row>
    <row r="922">
      <c r="B922" s="81" t="n"/>
      <c r="C922" s="81" t="n"/>
      <c r="D922" s="81" t="n"/>
      <c r="E922" s="81" t="n"/>
    </row>
    <row r="923">
      <c r="B923" s="81" t="n"/>
      <c r="C923" s="81" t="n"/>
      <c r="D923" s="81" t="n"/>
      <c r="E923" s="81" t="n"/>
    </row>
    <row r="924">
      <c r="B924" s="81" t="n"/>
      <c r="C924" s="81" t="n"/>
      <c r="D924" s="81" t="n"/>
      <c r="E924" s="81" t="n"/>
    </row>
    <row r="925">
      <c r="B925" s="81" t="n"/>
      <c r="C925" s="81" t="n"/>
      <c r="D925" s="81" t="n"/>
      <c r="E925" s="81" t="n"/>
    </row>
    <row r="926">
      <c r="B926" s="81" t="n"/>
      <c r="C926" s="81" t="n"/>
      <c r="D926" s="81" t="n"/>
      <c r="E926" s="81" t="n"/>
    </row>
    <row r="927">
      <c r="B927" s="81" t="n"/>
      <c r="C927" s="81" t="n"/>
      <c r="D927" s="81" t="n"/>
      <c r="E927" s="81" t="n"/>
    </row>
    <row r="928">
      <c r="B928" s="81" t="n"/>
      <c r="C928" s="81" t="n"/>
      <c r="D928" s="81" t="n"/>
      <c r="E928" s="81" t="n"/>
    </row>
    <row r="929">
      <c r="B929" s="81" t="n"/>
      <c r="C929" s="81" t="n"/>
      <c r="D929" s="81" t="n"/>
      <c r="E929" s="81" t="n"/>
    </row>
    <row r="930">
      <c r="B930" s="81" t="n"/>
      <c r="C930" s="81" t="n"/>
      <c r="D930" s="81" t="n"/>
      <c r="E930" s="81" t="n"/>
    </row>
    <row r="931">
      <c r="B931" s="81" t="n"/>
      <c r="C931" s="81" t="n"/>
      <c r="D931" s="81" t="n"/>
      <c r="E931" s="81" t="n"/>
    </row>
    <row r="932">
      <c r="B932" s="81" t="n"/>
      <c r="C932" s="81" t="n"/>
      <c r="D932" s="81" t="n"/>
      <c r="E932" s="81" t="n"/>
    </row>
    <row r="933">
      <c r="B933" s="81" t="n"/>
      <c r="C933" s="81" t="n"/>
      <c r="D933" s="81" t="n"/>
      <c r="E933" s="81" t="n"/>
    </row>
    <row r="934">
      <c r="B934" s="81" t="n"/>
      <c r="C934" s="81" t="n"/>
      <c r="D934" s="81" t="n"/>
      <c r="E934" s="81" t="n"/>
    </row>
    <row r="935">
      <c r="B935" s="81" t="n"/>
      <c r="C935" s="81" t="n"/>
      <c r="D935" s="81" t="n"/>
      <c r="E935" s="81" t="n"/>
    </row>
    <row r="936">
      <c r="B936" s="81" t="n"/>
      <c r="C936" s="81" t="n"/>
      <c r="D936" s="81" t="n"/>
      <c r="E936" s="81" t="n"/>
    </row>
    <row r="937">
      <c r="B937" s="81" t="n"/>
      <c r="C937" s="81" t="n"/>
      <c r="D937" s="81" t="n"/>
      <c r="E937" s="81" t="n"/>
    </row>
    <row r="938">
      <c r="B938" s="81" t="n"/>
      <c r="C938" s="81" t="n"/>
      <c r="D938" s="81" t="n"/>
      <c r="E938" s="81" t="n"/>
    </row>
    <row r="939">
      <c r="B939" s="81" t="n"/>
      <c r="C939" s="81" t="n"/>
      <c r="D939" s="81" t="n"/>
      <c r="E939" s="81" t="n"/>
    </row>
    <row r="940">
      <c r="B940" s="81" t="n"/>
      <c r="C940" s="81" t="n"/>
      <c r="D940" s="81" t="n"/>
      <c r="E940" s="81" t="n"/>
    </row>
    <row r="941">
      <c r="B941" s="81" t="n"/>
      <c r="C941" s="81" t="n"/>
      <c r="D941" s="81" t="n"/>
      <c r="E941" s="81" t="n"/>
    </row>
    <row r="942">
      <c r="B942" s="81" t="n"/>
      <c r="C942" s="81" t="n"/>
      <c r="D942" s="81" t="n"/>
      <c r="E942" s="81" t="n"/>
    </row>
    <row r="943">
      <c r="B943" s="81" t="n"/>
      <c r="C943" s="81" t="n"/>
      <c r="D943" s="81" t="n"/>
      <c r="E943" s="81" t="n"/>
    </row>
    <row r="944">
      <c r="B944" s="81" t="n"/>
      <c r="C944" s="81" t="n"/>
      <c r="D944" s="81" t="n"/>
      <c r="E944" s="81" t="n"/>
    </row>
    <row r="945">
      <c r="B945" s="81" t="n"/>
      <c r="C945" s="81" t="n"/>
      <c r="D945" s="81" t="n"/>
      <c r="E945" s="81" t="n"/>
    </row>
    <row r="946">
      <c r="B946" s="81" t="n"/>
      <c r="C946" s="81" t="n"/>
      <c r="D946" s="81" t="n"/>
      <c r="E946" s="81" t="n"/>
    </row>
    <row r="947">
      <c r="B947" s="81" t="n"/>
      <c r="C947" s="81" t="n"/>
      <c r="D947" s="81" t="n"/>
      <c r="E947" s="81" t="n"/>
    </row>
    <row r="948">
      <c r="B948" s="81" t="n"/>
      <c r="C948" s="81" t="n"/>
      <c r="D948" s="81" t="n"/>
      <c r="E948" s="81" t="n"/>
    </row>
    <row r="949">
      <c r="B949" s="81" t="n"/>
      <c r="C949" s="81" t="n"/>
      <c r="D949" s="81" t="n"/>
      <c r="E949" s="81" t="n"/>
    </row>
    <row r="950">
      <c r="B950" s="81" t="n"/>
      <c r="C950" s="81" t="n"/>
      <c r="D950" s="81" t="n"/>
      <c r="E950" s="81" t="n"/>
    </row>
    <row r="951">
      <c r="B951" s="81" t="n"/>
      <c r="C951" s="81" t="n"/>
      <c r="D951" s="81" t="n"/>
      <c r="E951" s="81" t="n"/>
    </row>
    <row r="952">
      <c r="B952" s="81" t="n"/>
      <c r="C952" s="81" t="n"/>
      <c r="D952" s="81" t="n"/>
      <c r="E952" s="81" t="n"/>
    </row>
    <row r="953">
      <c r="B953" s="81" t="n"/>
      <c r="C953" s="81" t="n"/>
      <c r="D953" s="81" t="n"/>
      <c r="E953" s="81" t="n"/>
    </row>
    <row r="954">
      <c r="B954" s="81" t="n"/>
      <c r="C954" s="81" t="n"/>
      <c r="D954" s="81" t="n"/>
      <c r="E954" s="81" t="n"/>
    </row>
    <row r="955">
      <c r="B955" s="81" t="n"/>
      <c r="C955" s="81" t="n"/>
      <c r="D955" s="81" t="n"/>
      <c r="E955" s="81" t="n"/>
    </row>
    <row r="956">
      <c r="B956" s="81" t="n"/>
      <c r="C956" s="81" t="n"/>
      <c r="D956" s="81" t="n"/>
      <c r="E956" s="81" t="n"/>
    </row>
    <row r="957">
      <c r="B957" s="81" t="n"/>
      <c r="C957" s="81" t="n"/>
      <c r="D957" s="81" t="n"/>
      <c r="E957" s="81" t="n"/>
    </row>
    <row r="958">
      <c r="B958" s="81" t="n"/>
      <c r="C958" s="81" t="n"/>
      <c r="D958" s="81" t="n"/>
      <c r="E958" s="81" t="n"/>
    </row>
    <row r="959">
      <c r="B959" s="81" t="n"/>
      <c r="C959" s="81" t="n"/>
      <c r="D959" s="81" t="n"/>
      <c r="E959" s="81" t="n"/>
    </row>
    <row r="960">
      <c r="B960" s="81" t="n"/>
      <c r="C960" s="81" t="n"/>
      <c r="D960" s="81" t="n"/>
      <c r="E960" s="81" t="n"/>
    </row>
    <row r="961">
      <c r="B961" s="81" t="n"/>
      <c r="C961" s="81" t="n"/>
      <c r="D961" s="81" t="n"/>
      <c r="E961" s="81" t="n"/>
    </row>
    <row r="962">
      <c r="B962" s="81" t="n"/>
      <c r="C962" s="81" t="n"/>
      <c r="D962" s="81" t="n"/>
      <c r="E962" s="81" t="n"/>
    </row>
    <row r="963">
      <c r="B963" s="81" t="n"/>
      <c r="C963" s="81" t="n"/>
      <c r="D963" s="81" t="n"/>
      <c r="E963" s="81" t="n"/>
    </row>
    <row r="964">
      <c r="B964" s="81" t="n"/>
      <c r="C964" s="81" t="n"/>
      <c r="D964" s="81" t="n"/>
      <c r="E964" s="81" t="n"/>
    </row>
    <row r="965">
      <c r="B965" s="81" t="n"/>
      <c r="C965" s="81" t="n"/>
      <c r="D965" s="81" t="n"/>
      <c r="E965" s="81" t="n"/>
    </row>
    <row r="966">
      <c r="B966" s="81" t="n"/>
      <c r="C966" s="81" t="n"/>
      <c r="D966" s="81" t="n"/>
      <c r="E966" s="81" t="n"/>
    </row>
    <row r="967">
      <c r="B967" s="81" t="n"/>
      <c r="C967" s="81" t="n"/>
      <c r="D967" s="81" t="n"/>
      <c r="E967" s="81" t="n"/>
    </row>
    <row r="968">
      <c r="B968" s="81" t="n"/>
      <c r="C968" s="81" t="n"/>
      <c r="D968" s="81" t="n"/>
      <c r="E968" s="81" t="n"/>
    </row>
    <row r="969">
      <c r="B969" s="81" t="n"/>
      <c r="C969" s="81" t="n"/>
      <c r="D969" s="81" t="n"/>
      <c r="E969" s="81" t="n"/>
    </row>
    <row r="970">
      <c r="B970" s="81" t="n"/>
      <c r="C970" s="81" t="n"/>
      <c r="D970" s="81" t="n"/>
      <c r="E970" s="81" t="n"/>
    </row>
    <row r="971">
      <c r="B971" s="81" t="n"/>
      <c r="C971" s="81" t="n"/>
      <c r="D971" s="81" t="n"/>
      <c r="E971" s="81" t="n"/>
    </row>
    <row r="972">
      <c r="B972" s="81" t="n"/>
      <c r="C972" s="81" t="n"/>
      <c r="D972" s="81" t="n"/>
      <c r="E972" s="81" t="n"/>
    </row>
    <row r="973">
      <c r="B973" s="81" t="n"/>
      <c r="C973" s="81" t="n"/>
      <c r="D973" s="81" t="n"/>
      <c r="E973" s="81" t="n"/>
    </row>
    <row r="974">
      <c r="B974" s="81" t="n"/>
      <c r="C974" s="81" t="n"/>
      <c r="D974" s="81" t="n"/>
      <c r="E974" s="81" t="n"/>
    </row>
    <row r="975">
      <c r="B975" s="81" t="n"/>
      <c r="C975" s="81" t="n"/>
      <c r="D975" s="81" t="n"/>
      <c r="E975" s="81" t="n"/>
    </row>
    <row r="976">
      <c r="B976" s="81" t="n"/>
      <c r="C976" s="81" t="n"/>
      <c r="D976" s="81" t="n"/>
      <c r="E976" s="81" t="n"/>
    </row>
    <row r="977">
      <c r="B977" s="81" t="n"/>
      <c r="C977" s="81" t="n"/>
      <c r="D977" s="81" t="n"/>
      <c r="E977" s="81" t="n"/>
    </row>
    <row r="978">
      <c r="B978" s="81" t="n"/>
      <c r="C978" s="81" t="n"/>
      <c r="D978" s="81" t="n"/>
      <c r="E978" s="81" t="n"/>
    </row>
    <row r="979">
      <c r="B979" s="81" t="n"/>
      <c r="C979" s="81" t="n"/>
      <c r="D979" s="81" t="n"/>
      <c r="E979" s="81" t="n"/>
    </row>
    <row r="980">
      <c r="B980" s="81" t="n"/>
      <c r="C980" s="81" t="n"/>
      <c r="D980" s="81" t="n"/>
      <c r="E980" s="81" t="n"/>
    </row>
    <row r="981">
      <c r="B981" s="81" t="n"/>
      <c r="C981" s="81" t="n"/>
      <c r="D981" s="81" t="n"/>
      <c r="E981" s="81" t="n"/>
    </row>
    <row r="982">
      <c r="B982" s="81" t="n"/>
      <c r="C982" s="81" t="n"/>
      <c r="D982" s="81" t="n"/>
      <c r="E982" s="81" t="n"/>
    </row>
    <row r="983">
      <c r="B983" s="81" t="n"/>
      <c r="C983" s="81" t="n"/>
      <c r="D983" s="81" t="n"/>
      <c r="E983" s="81" t="n"/>
    </row>
    <row r="984">
      <c r="B984" s="81" t="n"/>
      <c r="C984" s="81" t="n"/>
      <c r="D984" s="81" t="n"/>
      <c r="E984" s="81" t="n"/>
    </row>
    <row r="985">
      <c r="B985" s="81" t="n"/>
      <c r="C985" s="81" t="n"/>
      <c r="D985" s="81" t="n"/>
      <c r="E985" s="81" t="n"/>
    </row>
    <row r="986">
      <c r="B986" s="81" t="n"/>
      <c r="C986" s="81" t="n"/>
      <c r="D986" s="81" t="n"/>
      <c r="E986" s="81" t="n"/>
    </row>
    <row r="987">
      <c r="B987" s="81" t="n"/>
      <c r="C987" s="81" t="n"/>
      <c r="D987" s="81" t="n"/>
      <c r="E987" s="81" t="n"/>
    </row>
    <row r="988">
      <c r="B988" s="81" t="n"/>
      <c r="C988" s="81" t="n"/>
      <c r="D988" s="81" t="n"/>
      <c r="E988" s="81" t="n"/>
    </row>
    <row r="989">
      <c r="B989" s="81" t="n"/>
      <c r="C989" s="81" t="n"/>
      <c r="D989" s="81" t="n"/>
      <c r="E989" s="81" t="n"/>
    </row>
    <row r="990">
      <c r="B990" s="81" t="n"/>
      <c r="C990" s="81" t="n"/>
      <c r="D990" s="81" t="n"/>
      <c r="E990" s="81" t="n"/>
    </row>
    <row r="991">
      <c r="B991" s="81" t="n"/>
      <c r="C991" s="81" t="n"/>
      <c r="D991" s="81" t="n"/>
      <c r="E991" s="81" t="n"/>
    </row>
    <row r="992">
      <c r="B992" s="81" t="n"/>
      <c r="C992" s="81" t="n"/>
      <c r="D992" s="81" t="n"/>
      <c r="E992" s="81" t="n"/>
    </row>
    <row r="993">
      <c r="B993" s="81" t="n"/>
      <c r="C993" s="81" t="n"/>
      <c r="D993" s="81" t="n"/>
      <c r="E993" s="81" t="n"/>
    </row>
    <row r="994">
      <c r="B994" s="81" t="n"/>
      <c r="C994" s="81" t="n"/>
      <c r="D994" s="81" t="n"/>
      <c r="E994" s="81" t="n"/>
    </row>
    <row r="995">
      <c r="B995" s="81" t="n"/>
      <c r="C995" s="81" t="n"/>
      <c r="D995" s="81" t="n"/>
      <c r="E995" s="81" t="n"/>
    </row>
    <row r="996">
      <c r="B996" s="81" t="n"/>
      <c r="C996" s="81" t="n"/>
      <c r="D996" s="81" t="n"/>
      <c r="E996" s="81" t="n"/>
    </row>
    <row r="997">
      <c r="B997" s="81" t="n"/>
      <c r="C997" s="81" t="n"/>
      <c r="D997" s="81" t="n"/>
      <c r="E997" s="81" t="n"/>
    </row>
    <row r="998">
      <c r="B998" s="81" t="n"/>
      <c r="C998" s="81" t="n"/>
      <c r="D998" s="81" t="n"/>
      <c r="E998" s="81" t="n"/>
    </row>
    <row r="999">
      <c r="B999" s="81" t="n"/>
      <c r="C999" s="81" t="n"/>
      <c r="D999" s="81" t="n"/>
      <c r="E999" s="81" t="n"/>
    </row>
    <row r="1000">
      <c r="B1000" s="81" t="n"/>
      <c r="C1000" s="81" t="n"/>
      <c r="D1000" s="81" t="n"/>
      <c r="E1000" s="81" t="n"/>
    </row>
  </sheetData>
  <mergeCells count="2">
    <mergeCell ref="B10:G10"/>
    <mergeCell ref="B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cols>
    <col width="18" customWidth="1" style="101" min="1" max="1"/>
    <col width="38" customWidth="1" style="101" min="2" max="2"/>
    <col width="30" customWidth="1" style="101" min="3" max="3"/>
    <col width="16" customWidth="1" style="101" min="4" max="4"/>
    <col width="14" customWidth="1" style="101" min="5" max="5"/>
    <col width="14" customWidth="1" style="101" min="6" max="6"/>
    <col width="12" customWidth="1" style="101" min="7" max="7"/>
    <col width="12" customWidth="1" style="101" min="8" max="8"/>
    <col width="32" customWidth="1" style="101" min="9" max="9"/>
    <col width="12" customWidth="1" style="101" min="10" max="10"/>
  </cols>
  <sheetData>
    <row r="1">
      <c r="A1" s="134" t="inlineStr">
        <is>
          <t>FORMATO DE MEDICIÓN EN LÍNEA DE PRODUCCIÓN</t>
        </is>
      </c>
    </row>
    <row r="2">
      <c r="A2" s="142" t="inlineStr">
        <is>
          <t>Objetivo: registrar la cantidad real de operaciones ejecutadas en línea y contrastarla con la ficha de secuencia de cada producto.</t>
        </is>
      </c>
    </row>
    <row r="4">
      <c r="A4" s="143" t="inlineStr">
        <is>
          <t>DATOS DE CONTROL</t>
        </is>
      </c>
    </row>
    <row r="5">
      <c r="A5" s="144" t="inlineStr">
        <is>
          <t>Fecha:</t>
        </is>
      </c>
      <c r="B5" s="145" t="n"/>
      <c r="C5" s="144" t="inlineStr">
        <is>
          <t>Turno:</t>
        </is>
      </c>
      <c r="D5" s="145" t="n"/>
      <c r="E5" s="144" t="inlineStr">
        <is>
          <t>Línea:</t>
        </is>
      </c>
      <c r="F5" s="145" t="n"/>
    </row>
    <row r="6">
      <c r="A6" s="144" t="inlineStr">
        <is>
          <t>Producto:</t>
        </is>
      </c>
      <c r="B6" s="145" t="n"/>
      <c r="C6" s="144" t="inlineStr">
        <is>
          <t>Operario / Supervisor:</t>
        </is>
      </c>
      <c r="D6" s="145" t="n"/>
      <c r="E6" s="144" t="inlineStr">
        <is>
          <t>Lote / Orden:</t>
        </is>
      </c>
      <c r="F6" s="145" t="n"/>
    </row>
    <row r="7">
      <c r="A7" s="144" t="inlineStr">
        <is>
          <t>Meta (piezas):</t>
        </is>
      </c>
      <c r="B7" s="145" t="n"/>
      <c r="C7" s="144" t="inlineStr">
        <is>
          <t>Piezas producidas:</t>
        </is>
      </c>
      <c r="D7" s="145" t="n"/>
      <c r="E7" s="144" t="inlineStr">
        <is>
          <t>Observación general:</t>
        </is>
      </c>
      <c r="F7" s="145" t="n"/>
    </row>
    <row r="9">
      <c r="A9" s="143" t="inlineStr">
        <is>
          <t>RESUMEN POR PRODUCTO (desde fichas)</t>
        </is>
      </c>
    </row>
    <row r="10">
      <c r="A10" s="146" t="inlineStr">
        <is>
          <t>Producto</t>
        </is>
      </c>
      <c r="B10" s="146" t="inlineStr">
        <is>
          <t>Ops. Ficha</t>
        </is>
      </c>
      <c r="C10" s="146" t="inlineStr">
        <is>
          <t>Ops. Medidas</t>
        </is>
      </c>
      <c r="D10" s="146" t="inlineStr">
        <is>
          <t>Diferencia</t>
        </is>
      </c>
      <c r="E10" s="146" t="inlineStr">
        <is>
          <t>Estado</t>
        </is>
      </c>
    </row>
    <row r="11">
      <c r="A11" s="147" t="inlineStr">
        <is>
          <t>Short Sport</t>
        </is>
      </c>
      <c r="B11" s="148" t="n">
        <v>15</v>
      </c>
      <c r="C11" s="148">
        <f>IF(F38="","",F38)</f>
        <v/>
      </c>
      <c r="D11" s="148">
        <f>IF(C11="","",C11-B11)</f>
        <v/>
      </c>
      <c r="E11" s="148">
        <f>IF(C11="","Pendiente",IF(D11=0,"OK",IF(D11&gt;0,"Sobre ficha","Bajo ficha")))</f>
        <v/>
      </c>
    </row>
    <row r="12">
      <c r="A12" s="147" t="inlineStr">
        <is>
          <t>R1 - Interno</t>
        </is>
      </c>
      <c r="B12" s="148" t="n">
        <v>13</v>
      </c>
      <c r="C12" s="148">
        <f>IF(F56="","",F56)</f>
        <v/>
      </c>
      <c r="D12" s="148">
        <f>IF(C12="","",C12-B12)</f>
        <v/>
      </c>
      <c r="E12" s="148">
        <f>IF(C12="","Pendiente",IF(D12=0,"OK",IF(D12&gt;0,"Sobre ficha","Bajo ficha")))</f>
        <v/>
      </c>
    </row>
    <row r="13">
      <c r="A13" s="147" t="inlineStr">
        <is>
          <t>R1 - Externo</t>
        </is>
      </c>
      <c r="B13" s="148" t="n">
        <v>17</v>
      </c>
      <c r="C13" s="148">
        <f>IF(F78="","",F78)</f>
        <v/>
      </c>
      <c r="D13" s="148">
        <f>IF(C13="","",C13-B13)</f>
        <v/>
      </c>
      <c r="E13" s="148">
        <f>IF(C13="","Pendiente",IF(D13=0,"OK",IF(D13&gt;0,"Sobre ficha","Bajo ficha")))</f>
        <v/>
      </c>
    </row>
    <row r="14">
      <c r="A14" s="147" t="inlineStr">
        <is>
          <t>RIO</t>
        </is>
      </c>
      <c r="B14" s="148" t="n">
        <v>6</v>
      </c>
      <c r="C14" s="148">
        <f>IF(F89="","",F89)</f>
        <v/>
      </c>
      <c r="D14" s="148">
        <f>IF(C14="","",C14-B14)</f>
        <v/>
      </c>
      <c r="E14" s="148">
        <f>IF(C14="","Pendiente",IF(D14=0,"OK",IF(D14&gt;0,"Sobre ficha","Bajo ficha")))</f>
        <v/>
      </c>
    </row>
    <row r="15">
      <c r="A15" s="147" t="inlineStr">
        <is>
          <t>MAR</t>
        </is>
      </c>
      <c r="B15" s="148" t="n">
        <v>7</v>
      </c>
      <c r="C15" s="148">
        <f>IF(F101="","",F101)</f>
        <v/>
      </c>
      <c r="D15" s="148">
        <f>IF(C15="","",C15-B15)</f>
        <v/>
      </c>
      <c r="E15" s="148">
        <f>IF(C15="","Pendiente",IF(D15=0,"OK",IF(D15&gt;0,"Sobre ficha","Bajo ficha")))</f>
        <v/>
      </c>
    </row>
    <row r="16">
      <c r="A16" s="147" t="inlineStr">
        <is>
          <t>Clasica Microfibra</t>
        </is>
      </c>
      <c r="B16" s="148" t="n">
        <v>10</v>
      </c>
      <c r="C16" s="148">
        <f>IF(F116="","",F116)</f>
        <v/>
      </c>
      <c r="D16" s="148">
        <f>IF(C16="","",C16-B16)</f>
        <v/>
      </c>
      <c r="E16" s="148">
        <f>IF(C16="","Pendiente",IF(D16=0,"OK",IF(D16&gt;0,"Sobre ficha","Bajo ficha")))</f>
        <v/>
      </c>
    </row>
    <row r="18">
      <c r="A18" s="149" t="inlineStr">
        <is>
          <t>Instrucción: complete datos de control → en la tabla del producto anote Cant. Real por operación → marque Cumple (Sí/No) y Observaciones. Celdas amarillas = captura en planta.</t>
        </is>
      </c>
    </row>
    <row r="20">
      <c r="A20" s="150" t="inlineStr">
        <is>
          <t>PRODUCTO: Short Sport</t>
        </is>
      </c>
      <c r="B20" s="151" t="n"/>
      <c r="C20" s="151" t="n"/>
      <c r="D20" s="151" t="n"/>
      <c r="E20" s="151" t="n"/>
      <c r="F20" s="151" t="n"/>
      <c r="G20" s="151" t="n"/>
      <c r="H20" s="151" t="n"/>
      <c r="I20" s="151" t="n"/>
      <c r="J20" s="152" t="n"/>
    </row>
    <row r="21">
      <c r="A21" s="153" t="inlineStr">
        <is>
          <t>Modelo: SHORT SPORT  | Género: KIDS/CABALLERO  | Línea: Sport  | Tela: NOVAK REPEL | Operaciones ficha: 15</t>
        </is>
      </c>
    </row>
    <row r="22">
      <c r="A22" s="146" t="inlineStr">
        <is>
          <t>Op.</t>
        </is>
      </c>
      <c r="B22" s="146" t="inlineStr">
        <is>
          <t>Proceso</t>
        </is>
      </c>
      <c r="C22" s="146" t="inlineStr">
        <is>
          <t>Piezas involucradas</t>
        </is>
      </c>
      <c r="D22" s="146" t="inlineStr">
        <is>
          <t>Máquina</t>
        </is>
      </c>
      <c r="E22" s="146" t="inlineStr">
        <is>
          <t>Plan (1 pieza)</t>
        </is>
      </c>
      <c r="F22" s="146" t="inlineStr">
        <is>
          <t>Cant. Real</t>
        </is>
      </c>
      <c r="G22" s="146" t="inlineStr">
        <is>
          <t>Diferencia</t>
        </is>
      </c>
      <c r="H22" s="146" t="inlineStr">
        <is>
          <t>Cumple</t>
        </is>
      </c>
      <c r="I22" s="146" t="inlineStr">
        <is>
          <t>Observaciones línea</t>
        </is>
      </c>
      <c r="J22" s="146" t="inlineStr">
        <is>
          <t>Iniciales</t>
        </is>
      </c>
    </row>
    <row r="23">
      <c r="A23" s="136" t="n">
        <v>1</v>
      </c>
      <c r="B23" s="137" t="inlineStr">
        <is>
          <t>Colocar bolsillos</t>
        </is>
      </c>
      <c r="C23" s="137" t="inlineStr">
        <is>
          <t>Delantera y bolsillo</t>
        </is>
      </c>
      <c r="D23" s="136" t="inlineStr">
        <is>
          <t>Recta</t>
        </is>
      </c>
      <c r="E23" s="136" t="n">
        <v>1</v>
      </c>
      <c r="F23" s="138" t="n"/>
      <c r="G23" s="136">
        <f>IF(F23="","",F23-E23)</f>
        <v/>
      </c>
      <c r="H23" s="138" t="n"/>
      <c r="I23" s="154" t="n"/>
      <c r="J23" s="138" t="n"/>
    </row>
    <row r="24">
      <c r="A24" s="136" t="n">
        <v>2</v>
      </c>
      <c r="B24" s="137" t="inlineStr">
        <is>
          <t>Filetear bolsillos</t>
        </is>
      </c>
      <c r="C24" s="137" t="inlineStr">
        <is>
          <t>Bolsillo</t>
        </is>
      </c>
      <c r="D24" s="136" t="inlineStr">
        <is>
          <t>Overlock</t>
        </is>
      </c>
      <c r="E24" s="136" t="n">
        <v>1</v>
      </c>
      <c r="F24" s="138" t="n"/>
      <c r="G24" s="136">
        <f>IF(F24="","",F24-E24)</f>
        <v/>
      </c>
      <c r="H24" s="138" t="n"/>
      <c r="I24" s="154" t="n"/>
      <c r="J24" s="138" t="n"/>
    </row>
    <row r="25">
      <c r="A25" s="136" t="n">
        <v>3</v>
      </c>
      <c r="B25" s="137" t="inlineStr">
        <is>
          <t>Unir delanteros</t>
        </is>
      </c>
      <c r="C25" s="137" t="inlineStr">
        <is>
          <t>Delanteros</t>
        </is>
      </c>
      <c r="D25" s="136" t="inlineStr">
        <is>
          <t>Overlock</t>
        </is>
      </c>
      <c r="E25" s="136" t="n">
        <v>1</v>
      </c>
      <c r="F25" s="138" t="n"/>
      <c r="G25" s="136">
        <f>IF(F25="","",F25-E25)</f>
        <v/>
      </c>
      <c r="H25" s="138" t="n"/>
      <c r="I25" s="154" t="n"/>
      <c r="J25" s="138" t="n"/>
    </row>
    <row r="26">
      <c r="A26" s="136" t="n">
        <v>4</v>
      </c>
      <c r="B26" s="137" t="inlineStr">
        <is>
          <t>Unir posterior</t>
        </is>
      </c>
      <c r="C26" s="137" t="inlineStr">
        <is>
          <t>Posterior</t>
        </is>
      </c>
      <c r="D26" s="136" t="inlineStr">
        <is>
          <t>Overlock</t>
        </is>
      </c>
      <c r="E26" s="136" t="n">
        <v>1</v>
      </c>
      <c r="F26" s="138" t="n"/>
      <c r="G26" s="136">
        <f>IF(F26="","",F26-E26)</f>
        <v/>
      </c>
      <c r="H26" s="138" t="n"/>
      <c r="I26" s="154" t="n"/>
      <c r="J26" s="138" t="n"/>
    </row>
    <row r="27">
      <c r="A27" s="136" t="n">
        <v>5</v>
      </c>
      <c r="B27" s="137" t="inlineStr">
        <is>
          <t>Cerrar costados</t>
        </is>
      </c>
      <c r="C27" s="137" t="inlineStr">
        <is>
          <t>Delantero y posterior</t>
        </is>
      </c>
      <c r="D27" s="136" t="inlineStr">
        <is>
          <t>Overlock</t>
        </is>
      </c>
      <c r="E27" s="136" t="n">
        <v>1</v>
      </c>
      <c r="F27" s="138" t="n"/>
      <c r="G27" s="136">
        <f>IF(F27="","",F27-E27)</f>
        <v/>
      </c>
      <c r="H27" s="138" t="n"/>
      <c r="I27" s="154" t="n"/>
      <c r="J27" s="138" t="n"/>
    </row>
    <row r="28">
      <c r="A28" s="136" t="n">
        <v>6</v>
      </c>
      <c r="B28" s="137" t="inlineStr">
        <is>
          <t>Cerrar entrepierna</t>
        </is>
      </c>
      <c r="C28" s="137" t="inlineStr">
        <is>
          <t>Delantero y posterior</t>
        </is>
      </c>
      <c r="D28" s="136" t="inlineStr">
        <is>
          <t>Overlock</t>
        </is>
      </c>
      <c r="E28" s="136" t="n">
        <v>1</v>
      </c>
      <c r="F28" s="138" t="n"/>
      <c r="G28" s="136">
        <f>IF(F28="","",F28-E28)</f>
        <v/>
      </c>
      <c r="H28" s="138" t="n"/>
      <c r="I28" s="154" t="n"/>
      <c r="J28" s="138" t="n"/>
    </row>
    <row r="29">
      <c r="A29" s="136" t="n">
        <v>7</v>
      </c>
      <c r="B29" s="137" t="inlineStr">
        <is>
          <t>Recorrido de doble aguja en toda la pieza</t>
        </is>
      </c>
      <c r="C29" s="137" t="inlineStr">
        <is>
          <t>Delantero y posterior</t>
        </is>
      </c>
      <c r="D29" s="136" t="inlineStr">
        <is>
          <t>Doble aguja</t>
        </is>
      </c>
      <c r="E29" s="136" t="n">
        <v>1</v>
      </c>
      <c r="F29" s="138" t="n"/>
      <c r="G29" s="136">
        <f>IF(F29="","",F29-E29)</f>
        <v/>
      </c>
      <c r="H29" s="138" t="n"/>
      <c r="I29" s="154" t="n"/>
      <c r="J29" s="138" t="n"/>
    </row>
    <row r="30">
      <c r="A30" s="136" t="n">
        <v>8</v>
      </c>
      <c r="B30" s="137" t="inlineStr">
        <is>
          <t>Abrir ojales de 1,5cm</t>
        </is>
      </c>
      <c r="C30" s="137" t="inlineStr">
        <is>
          <t>Delantero</t>
        </is>
      </c>
      <c r="D30" s="136" t="inlineStr">
        <is>
          <t>Ojaladora</t>
        </is>
      </c>
      <c r="E30" s="136" t="n">
        <v>1</v>
      </c>
      <c r="F30" s="138" t="n"/>
      <c r="G30" s="136">
        <f>IF(F30="","",F30-E30)</f>
        <v/>
      </c>
      <c r="H30" s="138" t="n"/>
      <c r="I30" s="154" t="n"/>
      <c r="J30" s="138" t="n"/>
    </row>
    <row r="31">
      <c r="A31" s="136" t="n">
        <v>9</v>
      </c>
      <c r="B31" s="137" t="inlineStr">
        <is>
          <t>Cerrar elástica</t>
        </is>
      </c>
      <c r="C31" s="137" t="inlineStr">
        <is>
          <t>Elástica</t>
        </is>
      </c>
      <c r="D31" s="136" t="inlineStr">
        <is>
          <t>Recta</t>
        </is>
      </c>
      <c r="E31" s="136" t="n">
        <v>1</v>
      </c>
      <c r="F31" s="138" t="n"/>
      <c r="G31" s="136">
        <f>IF(F31="","",F31-E31)</f>
        <v/>
      </c>
      <c r="H31" s="138" t="n"/>
      <c r="I31" s="154" t="n"/>
      <c r="J31" s="138" t="n"/>
    </row>
    <row r="32">
      <c r="A32" s="136" t="n">
        <v>10</v>
      </c>
      <c r="B32" s="137" t="inlineStr">
        <is>
          <t>Marcar y colocar elástica</t>
        </is>
      </c>
      <c r="C32" s="137" t="inlineStr">
        <is>
          <t>Short completo</t>
        </is>
      </c>
      <c r="D32" s="136" t="inlineStr">
        <is>
          <t>Overlock</t>
        </is>
      </c>
      <c r="E32" s="136" t="n">
        <v>1</v>
      </c>
      <c r="F32" s="138" t="n"/>
      <c r="G32" s="136">
        <f>IF(F32="","",F32-E32)</f>
        <v/>
      </c>
      <c r="H32" s="138" t="n"/>
      <c r="I32" s="154" t="n"/>
      <c r="J32" s="138" t="n"/>
    </row>
    <row r="33">
      <c r="A33" s="136" t="n">
        <v>11</v>
      </c>
      <c r="B33" s="137" t="inlineStr">
        <is>
          <t>Pisar elástica</t>
        </is>
      </c>
      <c r="C33" s="137" t="inlineStr">
        <is>
          <t>Short completo</t>
        </is>
      </c>
      <c r="D33" s="136" t="inlineStr">
        <is>
          <t>Engomadora</t>
        </is>
      </c>
      <c r="E33" s="136" t="n">
        <v>1</v>
      </c>
      <c r="F33" s="138" t="n"/>
      <c r="G33" s="136">
        <f>IF(F33="","",F33-E33)</f>
        <v/>
      </c>
      <c r="H33" s="138" t="n"/>
      <c r="I33" s="154" t="n"/>
      <c r="J33" s="138" t="n"/>
    </row>
    <row r="34">
      <c r="A34" s="136" t="n">
        <v>12</v>
      </c>
      <c r="B34" s="137" t="inlineStr">
        <is>
          <t>Ruedos de pierna</t>
        </is>
      </c>
      <c r="C34" s="137" t="inlineStr">
        <is>
          <t>Short completo</t>
        </is>
      </c>
      <c r="D34" s="136" t="inlineStr">
        <is>
          <t>Recta</t>
        </is>
      </c>
      <c r="E34" s="136" t="n">
        <v>1</v>
      </c>
      <c r="F34" s="138" t="n"/>
      <c r="G34" s="136">
        <f>IF(F34="","",F34-E34)</f>
        <v/>
      </c>
      <c r="H34" s="138" t="n"/>
      <c r="I34" s="154" t="n"/>
      <c r="J34" s="138" t="n"/>
    </row>
    <row r="35">
      <c r="A35" s="136" t="n">
        <v>13</v>
      </c>
      <c r="B35" s="137" t="inlineStr">
        <is>
          <t>Presillar</t>
        </is>
      </c>
      <c r="C35" s="137" t="inlineStr">
        <is>
          <t>Short completo</t>
        </is>
      </c>
      <c r="D35" s="136" t="inlineStr">
        <is>
          <t>Presilladora</t>
        </is>
      </c>
      <c r="E35" s="136" t="n">
        <v>1</v>
      </c>
      <c r="F35" s="138" t="n"/>
      <c r="G35" s="136">
        <f>IF(F35="","",F35-E35)</f>
        <v/>
      </c>
      <c r="H35" s="138" t="n"/>
      <c r="I35" s="154" t="n"/>
      <c r="J35" s="138" t="n"/>
    </row>
    <row r="36">
      <c r="A36" s="136" t="n">
        <v>14</v>
      </c>
      <c r="B36" s="137" t="inlineStr">
        <is>
          <t>Colocar cordón</t>
        </is>
      </c>
      <c r="C36" s="137" t="inlineStr">
        <is>
          <t>Cordon y short</t>
        </is>
      </c>
      <c r="D36" s="136" t="inlineStr">
        <is>
          <t>Doble aguja</t>
        </is>
      </c>
      <c r="E36" s="136" t="n">
        <v>1</v>
      </c>
      <c r="F36" s="138" t="n"/>
      <c r="G36" s="136">
        <f>IF(F36="","",F36-E36)</f>
        <v/>
      </c>
      <c r="H36" s="138" t="n"/>
      <c r="I36" s="154" t="n"/>
      <c r="J36" s="138" t="n"/>
    </row>
    <row r="37">
      <c r="A37" s="136" t="n">
        <v>15</v>
      </c>
      <c r="B37" s="137" t="inlineStr">
        <is>
          <t>Limpieza y terminacines</t>
        </is>
      </c>
      <c r="C37" s="137" t="inlineStr">
        <is>
          <t>Prenda completa</t>
        </is>
      </c>
      <c r="D37" s="136" t="inlineStr">
        <is>
          <t>Manual</t>
        </is>
      </c>
      <c r="E37" s="136" t="n">
        <v>1</v>
      </c>
      <c r="F37" s="138" t="n"/>
      <c r="G37" s="136">
        <f>IF(F37="","",F37-E37)</f>
        <v/>
      </c>
      <c r="H37" s="138" t="n"/>
      <c r="I37" s="154" t="n"/>
      <c r="J37" s="138" t="n"/>
    </row>
    <row r="38">
      <c r="A38" s="147" t="n"/>
      <c r="B38" s="155" t="inlineStr">
        <is>
          <t>TOTAL OPERACIONES</t>
        </is>
      </c>
      <c r="C38" s="147" t="n"/>
      <c r="D38" s="156" t="inlineStr">
        <is>
          <t>15 ops en ficha</t>
        </is>
      </c>
      <c r="E38" s="157">
        <f>SUM(E23:E37)</f>
        <v/>
      </c>
      <c r="F38" s="157">
        <f>IF(COUNT(F23:F37)=0,"",SUM(F23:F37))</f>
        <v/>
      </c>
      <c r="G38" s="156">
        <f>IF(F38="","",F38-E38)</f>
        <v/>
      </c>
      <c r="H38" s="147" t="n"/>
      <c r="I38" s="147" t="n"/>
      <c r="J38" s="147" t="n"/>
    </row>
    <row r="40">
      <c r="A40" s="150" t="inlineStr">
        <is>
          <t>PRODUCTO: R1 - Interno</t>
        </is>
      </c>
      <c r="B40" s="151" t="n"/>
      <c r="C40" s="151" t="n"/>
      <c r="D40" s="151" t="n"/>
      <c r="E40" s="151" t="n"/>
      <c r="F40" s="151" t="n"/>
      <c r="G40" s="151" t="n"/>
      <c r="H40" s="151" t="n"/>
      <c r="I40" s="151" t="n"/>
      <c r="J40" s="152" t="n"/>
    </row>
    <row r="41">
      <c r="A41" s="153" t="inlineStr">
        <is>
          <t>Modelo: SHORT R1 - INTERNO | Género: CABALLERO  | Línea: R1 | Tela: EXPLORE-LYCRA LIGHT | Operaciones ficha: 13</t>
        </is>
      </c>
    </row>
    <row r="42">
      <c r="A42" s="146" t="inlineStr">
        <is>
          <t>Op.</t>
        </is>
      </c>
      <c r="B42" s="146" t="inlineStr">
        <is>
          <t>Proceso</t>
        </is>
      </c>
      <c r="C42" s="146" t="inlineStr">
        <is>
          <t>Piezas involucradas</t>
        </is>
      </c>
      <c r="D42" s="146" t="inlineStr">
        <is>
          <t>Máquina</t>
        </is>
      </c>
      <c r="E42" s="146" t="inlineStr">
        <is>
          <t>Plan (1 pieza)</t>
        </is>
      </c>
      <c r="F42" s="146" t="inlineStr">
        <is>
          <t>Cant. Real</t>
        </is>
      </c>
      <c r="G42" s="146" t="inlineStr">
        <is>
          <t>Diferencia</t>
        </is>
      </c>
      <c r="H42" s="146" t="inlineStr">
        <is>
          <t>Cumple</t>
        </is>
      </c>
      <c r="I42" s="146" t="inlineStr">
        <is>
          <t>Observaciones línea</t>
        </is>
      </c>
      <c r="J42" s="146" t="inlineStr">
        <is>
          <t>Iniciales</t>
        </is>
      </c>
    </row>
    <row r="43">
      <c r="A43" s="136" t="n">
        <v>1</v>
      </c>
      <c r="B43" s="137" t="inlineStr">
        <is>
          <t>Bolsillos</t>
        </is>
      </c>
      <c r="C43" s="137" t="inlineStr">
        <is>
          <t>Ruedos de bolsillos laterales</t>
        </is>
      </c>
      <c r="D43" s="136" t="inlineStr">
        <is>
          <t>Collaretera</t>
        </is>
      </c>
      <c r="E43" s="136" t="n">
        <v>1</v>
      </c>
      <c r="F43" s="138" t="n"/>
      <c r="G43" s="136">
        <f>IF(F43="","",F43-E43)</f>
        <v/>
      </c>
      <c r="H43" s="138" t="n"/>
      <c r="I43" s="154" t="n"/>
      <c r="J43" s="138" t="n"/>
    </row>
    <row r="44">
      <c r="A44" s="136" t="n">
        <v>2</v>
      </c>
      <c r="B44" s="137" t="inlineStr">
        <is>
          <t>Bolsillos + Cuerpo</t>
        </is>
      </c>
      <c r="C44" s="137" t="inlineStr">
        <is>
          <t>Colocar bolsillos</t>
        </is>
      </c>
      <c r="D44" s="136" t="inlineStr">
        <is>
          <t>Recta</t>
        </is>
      </c>
      <c r="E44" s="136" t="n">
        <v>1</v>
      </c>
      <c r="F44" s="138" t="n"/>
      <c r="G44" s="136">
        <f>IF(F44="","",F44-E44)</f>
        <v/>
      </c>
      <c r="H44" s="138" t="n"/>
      <c r="I44" s="154" t="n"/>
      <c r="J44" s="138" t="n"/>
    </row>
    <row r="45">
      <c r="A45" s="136" t="n">
        <v>3</v>
      </c>
      <c r="B45" s="137" t="inlineStr">
        <is>
          <t>Bolsillos internos</t>
        </is>
      </c>
      <c r="C45" s="137" t="inlineStr">
        <is>
          <t>Recubrir bolsillos internos</t>
        </is>
      </c>
      <c r="D45" s="136" t="inlineStr">
        <is>
          <t>Collaretera</t>
        </is>
      </c>
      <c r="E45" s="136" t="n">
        <v>1</v>
      </c>
      <c r="F45" s="138" t="n"/>
      <c r="G45" s="136">
        <f>IF(F45="","",F45-E45)</f>
        <v/>
      </c>
      <c r="H45" s="138" t="n"/>
      <c r="I45" s="154" t="n"/>
      <c r="J45" s="138" t="n"/>
    </row>
    <row r="46">
      <c r="A46" s="136" t="n">
        <v>4</v>
      </c>
      <c r="B46" s="137" t="inlineStr">
        <is>
          <t>Refuerzo delantero</t>
        </is>
      </c>
      <c r="C46" s="137" t="inlineStr">
        <is>
          <t>Armar refuerzo delantero</t>
        </is>
      </c>
      <c r="D46" s="136" t="inlineStr">
        <is>
          <t>Overlock</t>
        </is>
      </c>
      <c r="E46" s="136" t="n">
        <v>1</v>
      </c>
      <c r="F46" s="138" t="n"/>
      <c r="G46" s="136">
        <f>IF(F46="","",F46-E46)</f>
        <v/>
      </c>
      <c r="H46" s="138" t="n"/>
      <c r="I46" s="154" t="n"/>
      <c r="J46" s="138" t="n"/>
    </row>
    <row r="47">
      <c r="A47" s="136" t="n">
        <v>5</v>
      </c>
      <c r="B47" s="137" t="inlineStr">
        <is>
          <t>Refuerzo delantero</t>
        </is>
      </c>
      <c r="C47" s="137" t="inlineStr">
        <is>
          <t>Recubrir</t>
        </is>
      </c>
      <c r="D47" s="136" t="inlineStr">
        <is>
          <t>Collaretera</t>
        </is>
      </c>
      <c r="E47" s="136" t="n">
        <v>1</v>
      </c>
      <c r="F47" s="138" t="n"/>
      <c r="G47" s="136">
        <f>IF(F47="","",F47-E47)</f>
        <v/>
      </c>
      <c r="H47" s="138" t="n"/>
      <c r="I47" s="154" t="n"/>
      <c r="J47" s="138" t="n"/>
    </row>
    <row r="48">
      <c r="A48" s="136" t="n">
        <v>6</v>
      </c>
      <c r="B48" s="137" t="inlineStr">
        <is>
          <t>Entrepierna + Cuerpo posterior</t>
        </is>
      </c>
      <c r="C48" s="137" t="inlineStr">
        <is>
          <t>Colocar entrepierna</t>
        </is>
      </c>
      <c r="D48" s="136" t="inlineStr">
        <is>
          <t>Overlock</t>
        </is>
      </c>
      <c r="E48" s="136" t="n">
        <v>1</v>
      </c>
      <c r="F48" s="138" t="n"/>
      <c r="G48" s="136">
        <f>IF(F48="","",F48-E48)</f>
        <v/>
      </c>
      <c r="H48" s="138" t="n"/>
      <c r="I48" s="154" t="n"/>
      <c r="J48" s="138" t="n"/>
    </row>
    <row r="49">
      <c r="A49" s="136" t="n">
        <v>7</v>
      </c>
      <c r="B49" s="137" t="inlineStr">
        <is>
          <t>Entrepierna + Cuerpo posterior</t>
        </is>
      </c>
      <c r="C49" s="137" t="inlineStr">
        <is>
          <t>Recubrir entrepierna</t>
        </is>
      </c>
      <c r="D49" s="136" t="inlineStr">
        <is>
          <t>Collaretera</t>
        </is>
      </c>
      <c r="E49" s="136" t="n">
        <v>1</v>
      </c>
      <c r="F49" s="138" t="n"/>
      <c r="G49" s="136">
        <f>IF(F49="","",F49-E49)</f>
        <v/>
      </c>
      <c r="H49" s="138" t="n"/>
      <c r="I49" s="154" t="n"/>
      <c r="J49" s="138" t="n"/>
    </row>
    <row r="50">
      <c r="A50" s="136" t="n">
        <v>8</v>
      </c>
      <c r="B50" s="137" t="inlineStr">
        <is>
          <t>Entrepierna + Cuerpo delantero</t>
        </is>
      </c>
      <c r="C50" s="137" t="inlineStr">
        <is>
          <t>Colocar entrepierna</t>
        </is>
      </c>
      <c r="D50" s="136" t="inlineStr">
        <is>
          <t>Overlock</t>
        </is>
      </c>
      <c r="E50" s="136" t="n">
        <v>1</v>
      </c>
      <c r="F50" s="138" t="n"/>
      <c r="G50" s="136">
        <f>IF(F50="","",F50-E50)</f>
        <v/>
      </c>
      <c r="H50" s="138" t="n"/>
      <c r="I50" s="154" t="n"/>
      <c r="J50" s="138" t="n"/>
    </row>
    <row r="51">
      <c r="A51" s="136" t="n">
        <v>9</v>
      </c>
      <c r="B51" s="137" t="inlineStr">
        <is>
          <t>Entrepierna + Cuerpo delantero</t>
        </is>
      </c>
      <c r="C51" s="137" t="inlineStr">
        <is>
          <t>Recubrir entrepierna</t>
        </is>
      </c>
      <c r="D51" s="136" t="inlineStr">
        <is>
          <t>Collaretera</t>
        </is>
      </c>
      <c r="E51" s="136" t="n">
        <v>1</v>
      </c>
      <c r="F51" s="138" t="n"/>
      <c r="G51" s="136">
        <f>IF(F51="","",F51-E51)</f>
        <v/>
      </c>
      <c r="H51" s="138" t="n"/>
      <c r="I51" s="154" t="n"/>
      <c r="J51" s="138" t="n"/>
    </row>
    <row r="52">
      <c r="A52" s="136" t="n">
        <v>10</v>
      </c>
      <c r="B52" s="137" t="inlineStr">
        <is>
          <t>Cuerpo + Refuerzo delantero</t>
        </is>
      </c>
      <c r="C52" s="137" t="inlineStr">
        <is>
          <t>Montar curva de refuerzo delantero</t>
        </is>
      </c>
      <c r="D52" s="136" t="inlineStr">
        <is>
          <t>Overlock</t>
        </is>
      </c>
      <c r="E52" s="136" t="n">
        <v>1</v>
      </c>
      <c r="F52" s="138" t="n"/>
      <c r="G52" s="136">
        <f>IF(F52="","",F52-E52)</f>
        <v/>
      </c>
      <c r="H52" s="138" t="n"/>
      <c r="I52" s="154" t="n"/>
      <c r="J52" s="138" t="n"/>
    </row>
    <row r="53">
      <c r="A53" s="136" t="n">
        <v>11</v>
      </c>
      <c r="B53" s="137" t="inlineStr">
        <is>
          <t>Cuerpo + Refuerzo</t>
        </is>
      </c>
      <c r="C53" s="137" t="inlineStr">
        <is>
          <t>Recubrir refuerzo</t>
        </is>
      </c>
      <c r="D53" s="136" t="inlineStr">
        <is>
          <t>Collaretera</t>
        </is>
      </c>
      <c r="E53" s="136" t="n">
        <v>1</v>
      </c>
      <c r="F53" s="138" t="n"/>
      <c r="G53" s="136">
        <f>IF(F53="","",F53-E53)</f>
        <v/>
      </c>
      <c r="H53" s="138" t="n"/>
      <c r="I53" s="154" t="n"/>
      <c r="J53" s="138" t="n"/>
    </row>
    <row r="54">
      <c r="A54" s="136" t="n">
        <v>12</v>
      </c>
      <c r="B54" s="137" t="inlineStr">
        <is>
          <t>Short interno</t>
        </is>
      </c>
      <c r="C54" s="137" t="inlineStr">
        <is>
          <t>Ruedo</t>
        </is>
      </c>
      <c r="D54" s="136" t="inlineStr">
        <is>
          <t>Collaretera</t>
        </is>
      </c>
      <c r="E54" s="136" t="n">
        <v>1</v>
      </c>
      <c r="F54" s="138" t="n"/>
      <c r="G54" s="136">
        <f>IF(F54="","",F54-E54)</f>
        <v/>
      </c>
      <c r="H54" s="138" t="n"/>
      <c r="I54" s="154" t="n"/>
      <c r="J54" s="138" t="n"/>
    </row>
    <row r="55">
      <c r="A55" s="136" t="n">
        <v>13</v>
      </c>
      <c r="B55" s="137" t="inlineStr">
        <is>
          <t>Bolsillos internos</t>
        </is>
      </c>
      <c r="C55" s="137" t="inlineStr">
        <is>
          <t>Presillas en bolsillos</t>
        </is>
      </c>
      <c r="D55" s="136" t="inlineStr">
        <is>
          <t>Presilladora</t>
        </is>
      </c>
      <c r="E55" s="136" t="n">
        <v>1</v>
      </c>
      <c r="F55" s="138" t="n"/>
      <c r="G55" s="136">
        <f>IF(F55="","",F55-E55)</f>
        <v/>
      </c>
      <c r="H55" s="138" t="n"/>
      <c r="I55" s="154" t="n"/>
      <c r="J55" s="138" t="n"/>
    </row>
    <row r="56">
      <c r="A56" s="147" t="n"/>
      <c r="B56" s="155" t="inlineStr">
        <is>
          <t>TOTAL OPERACIONES</t>
        </is>
      </c>
      <c r="C56" s="147" t="n"/>
      <c r="D56" s="156" t="inlineStr">
        <is>
          <t>13 ops en ficha</t>
        </is>
      </c>
      <c r="E56" s="157">
        <f>SUM(E43:E55)</f>
        <v/>
      </c>
      <c r="F56" s="157">
        <f>IF(COUNT(F43:F55)=0,"",SUM(F43:F55))</f>
        <v/>
      </c>
      <c r="G56" s="156">
        <f>IF(F56="","",F56-E56)</f>
        <v/>
      </c>
      <c r="H56" s="147" t="n"/>
      <c r="I56" s="147" t="n"/>
      <c r="J56" s="147" t="n"/>
    </row>
    <row r="58">
      <c r="A58" s="150" t="inlineStr">
        <is>
          <t>PRODUCTO: R1 - Externo</t>
        </is>
      </c>
      <c r="B58" s="151" t="n"/>
      <c r="C58" s="151" t="n"/>
      <c r="D58" s="151" t="n"/>
      <c r="E58" s="151" t="n"/>
      <c r="F58" s="151" t="n"/>
      <c r="G58" s="151" t="n"/>
      <c r="H58" s="151" t="n"/>
      <c r="I58" s="151" t="n"/>
      <c r="J58" s="152" t="n"/>
    </row>
    <row r="59">
      <c r="A59" s="153" t="inlineStr">
        <is>
          <t>Modelo: SHORT R1 - EXTERNO | Género: CABALLERO  | Línea: R1 | Tela: EXPLORE-LYCRA LIGHT | Operaciones ficha: 17</t>
        </is>
      </c>
    </row>
    <row r="60">
      <c r="A60" s="146" t="inlineStr">
        <is>
          <t>Op.</t>
        </is>
      </c>
      <c r="B60" s="146" t="inlineStr">
        <is>
          <t>Proceso</t>
        </is>
      </c>
      <c r="C60" s="146" t="inlineStr">
        <is>
          <t>Piezas involucradas</t>
        </is>
      </c>
      <c r="D60" s="146" t="inlineStr">
        <is>
          <t>Máquina</t>
        </is>
      </c>
      <c r="E60" s="146" t="inlineStr">
        <is>
          <t>Plan (1 pieza)</t>
        </is>
      </c>
      <c r="F60" s="146" t="inlineStr">
        <is>
          <t>Cant. Real</t>
        </is>
      </c>
      <c r="G60" s="146" t="inlineStr">
        <is>
          <t>Diferencia</t>
        </is>
      </c>
      <c r="H60" s="146" t="inlineStr">
        <is>
          <t>Cumple</t>
        </is>
      </c>
      <c r="I60" s="146" t="inlineStr">
        <is>
          <t>Observaciones línea</t>
        </is>
      </c>
      <c r="J60" s="146" t="inlineStr">
        <is>
          <t>Iniciales</t>
        </is>
      </c>
    </row>
    <row r="61">
      <c r="A61" s="136" t="n">
        <v>1</v>
      </c>
      <c r="B61" s="137" t="inlineStr">
        <is>
          <t>Bolsillos + Delantero</t>
        </is>
      </c>
      <c r="C61" s="137" t="inlineStr">
        <is>
          <t>Confeccionar bolsillos tipo media luna</t>
        </is>
      </c>
      <c r="D61" s="136" t="inlineStr">
        <is>
          <t>Recta</t>
        </is>
      </c>
      <c r="E61" s="136" t="n">
        <v>1</v>
      </c>
      <c r="F61" s="138" t="n"/>
      <c r="G61" s="136">
        <f>IF(F61="","",F61-E61)</f>
        <v/>
      </c>
      <c r="H61" s="138" t="n"/>
      <c r="I61" s="154" t="n"/>
      <c r="J61" s="138" t="n"/>
    </row>
    <row r="62">
      <c r="A62" s="136" t="n">
        <v>2</v>
      </c>
      <c r="B62" s="137" t="inlineStr">
        <is>
          <t>Tiro delantero y posterior</t>
        </is>
      </c>
      <c r="C62" s="137" t="inlineStr">
        <is>
          <t>Unión de tiros delantero y posterior</t>
        </is>
      </c>
      <c r="D62" s="136" t="inlineStr">
        <is>
          <t>Overlock</t>
        </is>
      </c>
      <c r="E62" s="136" t="n">
        <v>1</v>
      </c>
      <c r="F62" s="138" t="n"/>
      <c r="G62" s="136">
        <f>IF(F62="","",F62-E62)</f>
        <v/>
      </c>
      <c r="H62" s="138" t="n"/>
      <c r="I62" s="154" t="n"/>
      <c r="J62" s="138" t="n"/>
    </row>
    <row r="63">
      <c r="A63" s="136" t="n">
        <v>3</v>
      </c>
      <c r="B63" s="137" t="inlineStr">
        <is>
          <t>Bolsillos</t>
        </is>
      </c>
      <c r="C63" s="137" t="inlineStr">
        <is>
          <t>Cerrar bolsillos</t>
        </is>
      </c>
      <c r="D63" s="136" t="inlineStr">
        <is>
          <t>Overlock</t>
        </is>
      </c>
      <c r="E63" s="136" t="n">
        <v>1</v>
      </c>
      <c r="F63" s="138" t="n"/>
      <c r="G63" s="136">
        <f>IF(F63="","",F63-E63)</f>
        <v/>
      </c>
      <c r="H63" s="138" t="n"/>
      <c r="I63" s="154" t="n"/>
      <c r="J63" s="138" t="n"/>
    </row>
    <row r="64">
      <c r="A64" s="136" t="n">
        <v>4</v>
      </c>
      <c r="B64" s="137" t="inlineStr">
        <is>
          <t>Delantero + Posterior</t>
        </is>
      </c>
      <c r="C64" s="137" t="inlineStr">
        <is>
          <t>Armar abertura tipo polo</t>
        </is>
      </c>
      <c r="D64" s="136" t="inlineStr">
        <is>
          <t>Overlock</t>
        </is>
      </c>
      <c r="E64" s="136" t="n">
        <v>1</v>
      </c>
      <c r="F64" s="138" t="n"/>
      <c r="G64" s="136">
        <f>IF(F64="","",F64-E64)</f>
        <v/>
      </c>
      <c r="H64" s="138" t="n"/>
      <c r="I64" s="154" t="n"/>
      <c r="J64" s="138" t="n"/>
    </row>
    <row r="65">
      <c r="A65" s="136" t="n">
        <v>5</v>
      </c>
      <c r="B65" s="137" t="inlineStr">
        <is>
          <t>Laterales, abertura</t>
        </is>
      </c>
      <c r="C65" s="137" t="inlineStr">
        <is>
          <t>Unión lateral con abertura tipo polo</t>
        </is>
      </c>
      <c r="D65" s="136" t="inlineStr">
        <is>
          <t>Recta</t>
        </is>
      </c>
      <c r="E65" s="136" t="n">
        <v>1</v>
      </c>
      <c r="F65" s="138" t="n"/>
      <c r="G65" s="136">
        <f>IF(F65="","",F65-E65)</f>
        <v/>
      </c>
      <c r="H65" s="138" t="n"/>
      <c r="I65" s="154" t="n"/>
      <c r="J65" s="138" t="n"/>
    </row>
    <row r="66">
      <c r="A66" s="136" t="n">
        <v>6</v>
      </c>
      <c r="B66" s="137" t="inlineStr">
        <is>
          <t>Delantero + Posterior</t>
        </is>
      </c>
      <c r="C66" s="137" t="inlineStr">
        <is>
          <t>Cerrar costados</t>
        </is>
      </c>
      <c r="D66" s="136" t="inlineStr">
        <is>
          <t>Overlock</t>
        </is>
      </c>
      <c r="E66" s="136" t="n">
        <v>1</v>
      </c>
      <c r="F66" s="138" t="n"/>
      <c r="G66" s="136">
        <f>IF(F66="","",F66-E66)</f>
        <v/>
      </c>
      <c r="H66" s="138" t="n"/>
      <c r="I66" s="154" t="n"/>
      <c r="J66" s="138" t="n"/>
    </row>
    <row r="67">
      <c r="A67" s="136" t="n">
        <v>7</v>
      </c>
      <c r="B67" s="137" t="inlineStr">
        <is>
          <t>Cuerpo</t>
        </is>
      </c>
      <c r="C67" s="137" t="inlineStr">
        <is>
          <t>Cerrar entrepierna</t>
        </is>
      </c>
      <c r="D67" s="136" t="inlineStr">
        <is>
          <t>Overlock</t>
        </is>
      </c>
      <c r="E67" s="136" t="n">
        <v>1</v>
      </c>
      <c r="F67" s="138" t="n"/>
      <c r="G67" s="136">
        <f>IF(F67="","",F67-E67)</f>
        <v/>
      </c>
      <c r="H67" s="138" t="n"/>
      <c r="I67" s="154" t="n"/>
      <c r="J67" s="138" t="n"/>
    </row>
    <row r="68">
      <c r="A68" s="136" t="n">
        <v>8</v>
      </c>
      <c r="B68" s="137" t="inlineStr">
        <is>
          <t>Ruedo short externo</t>
        </is>
      </c>
      <c r="C68" s="137" t="inlineStr">
        <is>
          <t>Ruedo inferior</t>
        </is>
      </c>
      <c r="D68" s="136" t="inlineStr">
        <is>
          <t>Collaretera</t>
        </is>
      </c>
      <c r="E68" s="136" t="n">
        <v>1</v>
      </c>
      <c r="F68" s="138" t="n"/>
      <c r="G68" s="136">
        <f>IF(F68="","",F68-E68)</f>
        <v/>
      </c>
      <c r="H68" s="138" t="n"/>
      <c r="I68" s="154" t="n"/>
      <c r="J68" s="138" t="n"/>
    </row>
    <row r="69">
      <c r="A69" s="136" t="n">
        <v>1</v>
      </c>
      <c r="B69" s="137" t="inlineStr">
        <is>
          <t>Ensamblado de elástica</t>
        </is>
      </c>
      <c r="C69" s="137" t="inlineStr">
        <is>
          <t>Armado de elástica</t>
        </is>
      </c>
      <c r="D69" s="136" t="inlineStr">
        <is>
          <t>Overlock</t>
        </is>
      </c>
      <c r="E69" s="136" t="n">
        <v>1</v>
      </c>
      <c r="F69" s="138" t="n"/>
      <c r="G69" s="136">
        <f>IF(F69="","",F69-E69)</f>
        <v/>
      </c>
      <c r="H69" s="138" t="n"/>
      <c r="I69" s="154" t="n"/>
      <c r="J69" s="138" t="n"/>
    </row>
    <row r="70">
      <c r="A70" s="136" t="n">
        <v>2</v>
      </c>
      <c r="B70" s="137" t="inlineStr">
        <is>
          <t>Elástica ensamblado</t>
        </is>
      </c>
      <c r="C70" s="137" t="inlineStr">
        <is>
          <t>Remate de elástica</t>
        </is>
      </c>
      <c r="D70" s="136" t="inlineStr">
        <is>
          <t>Recta</t>
        </is>
      </c>
      <c r="E70" s="136" t="n">
        <v>1</v>
      </c>
      <c r="F70" s="138" t="n"/>
      <c r="G70" s="136">
        <f>IF(F70="","",F70-E70)</f>
        <v/>
      </c>
      <c r="H70" s="138" t="n"/>
      <c r="I70" s="154" t="n"/>
      <c r="J70" s="138" t="n"/>
    </row>
    <row r="71">
      <c r="A71" s="136" t="n">
        <v>3</v>
      </c>
      <c r="B71" s="137" t="inlineStr">
        <is>
          <t>Short interno + elástica</t>
        </is>
      </c>
      <c r="C71" s="137" t="inlineStr">
        <is>
          <t>Ensamble del short interno</t>
        </is>
      </c>
      <c r="D71" s="136" t="inlineStr">
        <is>
          <t>Overlock</t>
        </is>
      </c>
      <c r="E71" s="136" t="n">
        <v>1</v>
      </c>
      <c r="F71" s="138" t="n"/>
      <c r="G71" s="136">
        <f>IF(F71="","",F71-E71)</f>
        <v/>
      </c>
      <c r="H71" s="138" t="n"/>
      <c r="I71" s="154" t="n"/>
      <c r="J71" s="138" t="n"/>
    </row>
    <row r="72">
      <c r="A72" s="136" t="n">
        <v>4</v>
      </c>
      <c r="B72" s="137" t="inlineStr">
        <is>
          <t>Pretina externa</t>
        </is>
      </c>
      <c r="C72" s="137" t="inlineStr">
        <is>
          <t>Marcar elástica</t>
        </is>
      </c>
      <c r="D72" s="136" t="inlineStr">
        <is>
          <t>Tiza (a mano)</t>
        </is>
      </c>
      <c r="E72" s="136" t="n">
        <v>1</v>
      </c>
      <c r="F72" s="138" t="n"/>
      <c r="G72" s="136">
        <f>IF(F72="","",F72-E72)</f>
        <v/>
      </c>
      <c r="H72" s="138" t="n"/>
      <c r="I72" s="154" t="n"/>
      <c r="J72" s="138" t="n"/>
    </row>
    <row r="73">
      <c r="A73" s="136" t="n">
        <v>5</v>
      </c>
      <c r="B73" s="137" t="inlineStr">
        <is>
          <t>Pretina colocada</t>
        </is>
      </c>
      <c r="C73" s="137" t="inlineStr">
        <is>
          <t>Pespunte superior en pretina</t>
        </is>
      </c>
      <c r="D73" s="136" t="inlineStr">
        <is>
          <t>Engomadora</t>
        </is>
      </c>
      <c r="E73" s="136" t="n">
        <v>1</v>
      </c>
      <c r="F73" s="138" t="n"/>
      <c r="G73" s="136">
        <f>IF(F73="","",F73-E73)</f>
        <v/>
      </c>
      <c r="H73" s="138" t="n"/>
      <c r="I73" s="154" t="n"/>
      <c r="J73" s="138" t="n"/>
    </row>
    <row r="74">
      <c r="A74" s="136" t="n">
        <v>6</v>
      </c>
      <c r="B74" s="137" t="inlineStr">
        <is>
          <t>Pretina colocada</t>
        </is>
      </c>
      <c r="C74" s="137" t="inlineStr">
        <is>
          <t>Remate</t>
        </is>
      </c>
      <c r="D74" s="136" t="inlineStr">
        <is>
          <t>Presilladora</t>
        </is>
      </c>
      <c r="E74" s="136" t="n">
        <v>1</v>
      </c>
      <c r="F74" s="138" t="n"/>
      <c r="G74" s="136">
        <f>IF(F74="","",F74-E74)</f>
        <v/>
      </c>
      <c r="H74" s="138" t="n"/>
      <c r="I74" s="154" t="n"/>
      <c r="J74" s="138" t="n"/>
    </row>
    <row r="75">
      <c r="A75" s="136" t="n">
        <v>7</v>
      </c>
      <c r="B75" s="137" t="inlineStr">
        <is>
          <t>Ruedo short externo</t>
        </is>
      </c>
      <c r="C75" s="137" t="inlineStr">
        <is>
          <t>Remate</t>
        </is>
      </c>
      <c r="D75" s="136" t="inlineStr">
        <is>
          <t>Presilla</t>
        </is>
      </c>
      <c r="E75" s="136" t="n">
        <v>1</v>
      </c>
      <c r="F75" s="138" t="n"/>
      <c r="G75" s="136">
        <f>IF(F75="","",F75-E75)</f>
        <v/>
      </c>
      <c r="H75" s="138" t="n"/>
      <c r="I75" s="154" t="n"/>
      <c r="J75" s="138" t="n"/>
    </row>
    <row r="76">
      <c r="A76" s="136" t="n">
        <v>8</v>
      </c>
      <c r="B76" s="137" t="inlineStr">
        <is>
          <t>Unir etiqueta bordada</t>
        </is>
      </c>
      <c r="C76" s="137" t="inlineStr">
        <is>
          <t>Etiqueta bordada + pretina</t>
        </is>
      </c>
      <c r="D76" s="136" t="inlineStr">
        <is>
          <t>Recta</t>
        </is>
      </c>
      <c r="E76" s="136" t="n">
        <v>1</v>
      </c>
      <c r="F76" s="138" t="n"/>
      <c r="G76" s="136">
        <f>IF(F76="","",F76-E76)</f>
        <v/>
      </c>
      <c r="H76" s="138" t="n"/>
      <c r="I76" s="154" t="n"/>
      <c r="J76" s="138" t="n"/>
    </row>
    <row r="77">
      <c r="A77" s="136" t="n">
        <v>9</v>
      </c>
      <c r="B77" s="137" t="inlineStr">
        <is>
          <t>Toda la prenda</t>
        </is>
      </c>
      <c r="C77" s="137" t="inlineStr">
        <is>
          <t>Limpieza final y revisión</t>
        </is>
      </c>
      <c r="D77" s="136" t="inlineStr">
        <is>
          <t>Manual</t>
        </is>
      </c>
      <c r="E77" s="136" t="n">
        <v>1</v>
      </c>
      <c r="F77" s="138" t="n"/>
      <c r="G77" s="136">
        <f>IF(F77="","",F77-E77)</f>
        <v/>
      </c>
      <c r="H77" s="138" t="n"/>
      <c r="I77" s="154" t="n"/>
      <c r="J77" s="138" t="n"/>
    </row>
    <row r="78">
      <c r="A78" s="147" t="n"/>
      <c r="B78" s="155" t="inlineStr">
        <is>
          <t>TOTAL OPERACIONES</t>
        </is>
      </c>
      <c r="C78" s="147" t="n"/>
      <c r="D78" s="156" t="inlineStr">
        <is>
          <t>17 ops en ficha</t>
        </is>
      </c>
      <c r="E78" s="157">
        <f>SUM(E61:E77)</f>
        <v/>
      </c>
      <c r="F78" s="157">
        <f>IF(COUNT(F61:F77)=0,"",SUM(F61:F77))</f>
        <v/>
      </c>
      <c r="G78" s="156">
        <f>IF(F78="","",F78-E78)</f>
        <v/>
      </c>
      <c r="H78" s="147" t="n"/>
      <c r="I78" s="147" t="n"/>
      <c r="J78" s="147" t="n"/>
    </row>
    <row r="80">
      <c r="A80" s="150" t="inlineStr">
        <is>
          <t>PRODUCTO: RIO</t>
        </is>
      </c>
      <c r="B80" s="151" t="n"/>
      <c r="C80" s="151" t="n"/>
      <c r="D80" s="151" t="n"/>
      <c r="E80" s="151" t="n"/>
      <c r="F80" s="151" t="n"/>
      <c r="G80" s="151" t="n"/>
      <c r="H80" s="151" t="n"/>
      <c r="I80" s="151" t="n"/>
      <c r="J80" s="152" t="n"/>
    </row>
    <row r="81">
      <c r="A81" s="153" t="inlineStr">
        <is>
          <t>Modelo: RIO | Género: DAM-CAB-KIDS | Línea: Clásicos | Tela: Microfibra | Operaciones ficha: 6</t>
        </is>
      </c>
    </row>
    <row r="82">
      <c r="A82" s="146" t="inlineStr">
        <is>
          <t>Op.</t>
        </is>
      </c>
      <c r="B82" s="146" t="inlineStr">
        <is>
          <t>Proceso</t>
        </is>
      </c>
      <c r="C82" s="146" t="inlineStr">
        <is>
          <t>Piezas involucradas</t>
        </is>
      </c>
      <c r="D82" s="146" t="inlineStr">
        <is>
          <t>Máquina</t>
        </is>
      </c>
      <c r="E82" s="146" t="inlineStr">
        <is>
          <t>Plan (1 pieza)</t>
        </is>
      </c>
      <c r="F82" s="146" t="inlineStr">
        <is>
          <t>Cant. Real</t>
        </is>
      </c>
      <c r="G82" s="146" t="inlineStr">
        <is>
          <t>Diferencia</t>
        </is>
      </c>
      <c r="H82" s="146" t="inlineStr">
        <is>
          <t>Cumple</t>
        </is>
      </c>
      <c r="I82" s="146" t="inlineStr">
        <is>
          <t>Observaciones línea</t>
        </is>
      </c>
      <c r="J82" s="146" t="inlineStr">
        <is>
          <t>Iniciales</t>
        </is>
      </c>
    </row>
    <row r="83">
      <c r="A83" s="136" t="n">
        <v>1</v>
      </c>
      <c r="B83" s="137" t="inlineStr">
        <is>
          <t>Union de sisas con mangas</t>
        </is>
      </c>
      <c r="C83" s="137" t="inlineStr">
        <is>
          <t>Delantero, posterior y mangas</t>
        </is>
      </c>
      <c r="D83" s="136" t="inlineStr">
        <is>
          <t>Overlock</t>
        </is>
      </c>
      <c r="E83" s="136" t="n">
        <v>1</v>
      </c>
      <c r="F83" s="138" t="n"/>
      <c r="G83" s="136">
        <f>IF(F83="","",F83-E83)</f>
        <v/>
      </c>
      <c r="H83" s="138" t="n"/>
      <c r="I83" s="154" t="n"/>
      <c r="J83" s="138" t="n"/>
    </row>
    <row r="84">
      <c r="A84" s="136" t="n">
        <v>2</v>
      </c>
      <c r="B84" s="137" t="inlineStr">
        <is>
          <t>Cerrado de capucha</t>
        </is>
      </c>
      <c r="C84" s="137" t="inlineStr">
        <is>
          <t>Capucha</t>
        </is>
      </c>
      <c r="D84" s="136" t="inlineStr">
        <is>
          <t>Overlock</t>
        </is>
      </c>
      <c r="E84" s="136" t="n">
        <v>1</v>
      </c>
      <c r="F84" s="138" t="n"/>
      <c r="G84" s="136">
        <f>IF(F84="","",F84-E84)</f>
        <v/>
      </c>
      <c r="H84" s="138" t="n"/>
      <c r="I84" s="154" t="n"/>
      <c r="J84" s="138" t="n"/>
    </row>
    <row r="85">
      <c r="A85" s="136" t="n">
        <v>3</v>
      </c>
      <c r="B85" s="137" t="inlineStr">
        <is>
          <t>Recubrir sisas y capucha</t>
        </is>
      </c>
      <c r="C85" s="137" t="inlineStr">
        <is>
          <t>Delantero, posterior, mangas y capucha</t>
        </is>
      </c>
      <c r="D85" s="136" t="inlineStr">
        <is>
          <t>Collaretera</t>
        </is>
      </c>
      <c r="E85" s="136" t="n">
        <v>1</v>
      </c>
      <c r="F85" s="138" t="n"/>
      <c r="G85" s="136">
        <f>IF(F85="","",F85-E85)</f>
        <v/>
      </c>
      <c r="H85" s="138" t="n"/>
      <c r="I85" s="154" t="n"/>
      <c r="J85" s="138" t="n"/>
    </row>
    <row r="86">
      <c r="A86" s="136" t="n">
        <v>4</v>
      </c>
      <c r="B86" s="137" t="inlineStr">
        <is>
          <t>Cierre de mangas y cuerpo con capucha</t>
        </is>
      </c>
      <c r="C86" s="137" t="inlineStr">
        <is>
          <t>Delantero, posterior, mangas y capucha</t>
        </is>
      </c>
      <c r="D86" s="136" t="inlineStr">
        <is>
          <t>Overlock</t>
        </is>
      </c>
      <c r="E86" s="136" t="n">
        <v>1</v>
      </c>
      <c r="F86" s="138" t="n"/>
      <c r="G86" s="136">
        <f>IF(F86="","",F86-E86)</f>
        <v/>
      </c>
      <c r="H86" s="138" t="n"/>
      <c r="I86" s="154" t="n"/>
      <c r="J86" s="138" t="n"/>
    </row>
    <row r="87">
      <c r="A87" s="136" t="n">
        <v>5</v>
      </c>
      <c r="B87" s="137" t="inlineStr">
        <is>
          <t>Ruedos</t>
        </is>
      </c>
      <c r="C87" s="137" t="inlineStr">
        <is>
          <t>Cuerpo y mangas</t>
        </is>
      </c>
      <c r="D87" s="136" t="inlineStr">
        <is>
          <t>Collaret de ruedos</t>
        </is>
      </c>
      <c r="E87" s="136" t="n">
        <v>1</v>
      </c>
      <c r="F87" s="138" t="n"/>
      <c r="G87" s="136">
        <f>IF(F87="","",F87-E87)</f>
        <v/>
      </c>
      <c r="H87" s="138" t="n"/>
      <c r="I87" s="154" t="n"/>
      <c r="J87" s="138" t="n"/>
    </row>
    <row r="88">
      <c r="A88" s="136" t="n">
        <v>6</v>
      </c>
      <c r="B88" s="137" t="inlineStr">
        <is>
          <t>Fijar cuello</t>
        </is>
      </c>
      <c r="C88" s="137" t="inlineStr">
        <is>
          <t>Cuerpo y mangas</t>
        </is>
      </c>
      <c r="D88" s="136" t="inlineStr">
        <is>
          <t>Collaret para cuellos</t>
        </is>
      </c>
      <c r="E88" s="136" t="n">
        <v>1</v>
      </c>
      <c r="F88" s="138" t="n"/>
      <c r="G88" s="136">
        <f>IF(F88="","",F88-E88)</f>
        <v/>
      </c>
      <c r="H88" s="138" t="n"/>
      <c r="I88" s="154" t="n"/>
      <c r="J88" s="138" t="n"/>
    </row>
    <row r="89">
      <c r="A89" s="147" t="n"/>
      <c r="B89" s="155" t="inlineStr">
        <is>
          <t>TOTAL OPERACIONES</t>
        </is>
      </c>
      <c r="C89" s="147" t="n"/>
      <c r="D89" s="156" t="inlineStr">
        <is>
          <t>6 ops en ficha</t>
        </is>
      </c>
      <c r="E89" s="157">
        <f>SUM(E83:E88)</f>
        <v/>
      </c>
      <c r="F89" s="157">
        <f>IF(COUNT(F83:F88)=0,"",SUM(F83:F88))</f>
        <v/>
      </c>
      <c r="G89" s="156">
        <f>IF(F89="","",F89-E89)</f>
        <v/>
      </c>
      <c r="H89" s="147" t="n"/>
      <c r="I89" s="147" t="n"/>
      <c r="J89" s="147" t="n"/>
    </row>
    <row r="91">
      <c r="A91" s="150" t="inlineStr">
        <is>
          <t>PRODUCTO: MAR</t>
        </is>
      </c>
      <c r="B91" s="151" t="n"/>
      <c r="C91" s="151" t="n"/>
      <c r="D91" s="151" t="n"/>
      <c r="E91" s="151" t="n"/>
      <c r="F91" s="151" t="n"/>
      <c r="G91" s="151" t="n"/>
      <c r="H91" s="151" t="n"/>
      <c r="I91" s="151" t="n"/>
      <c r="J91" s="152" t="n"/>
    </row>
    <row r="92">
      <c r="A92" s="153" t="inlineStr">
        <is>
          <t>Modelo: MAR | Género: DAM/CAB/KIDS  | Línea: MAR | Tela: Microfibra | Operaciones ficha: 7</t>
        </is>
      </c>
    </row>
    <row r="93">
      <c r="A93" s="146" t="inlineStr">
        <is>
          <t>Op.</t>
        </is>
      </c>
      <c r="B93" s="146" t="inlineStr">
        <is>
          <t>Proceso</t>
        </is>
      </c>
      <c r="C93" s="146" t="inlineStr">
        <is>
          <t>Piezas involucradas</t>
        </is>
      </c>
      <c r="D93" s="146" t="inlineStr">
        <is>
          <t>Máquina</t>
        </is>
      </c>
      <c r="E93" s="146" t="inlineStr">
        <is>
          <t>Plan (1 pieza)</t>
        </is>
      </c>
      <c r="F93" s="146" t="inlineStr">
        <is>
          <t>Cant. Real</t>
        </is>
      </c>
      <c r="G93" s="146" t="inlineStr">
        <is>
          <t>Diferencia</t>
        </is>
      </c>
      <c r="H93" s="146" t="inlineStr">
        <is>
          <t>Cumple</t>
        </is>
      </c>
      <c r="I93" s="146" t="inlineStr">
        <is>
          <t>Observaciones línea</t>
        </is>
      </c>
      <c r="J93" s="146" t="inlineStr">
        <is>
          <t>Iniciales</t>
        </is>
      </c>
    </row>
    <row r="94">
      <c r="A94" s="136" t="n">
        <v>1</v>
      </c>
      <c r="B94" s="137" t="inlineStr">
        <is>
          <t>Union de sisas con mangas</t>
        </is>
      </c>
      <c r="C94" s="137" t="inlineStr">
        <is>
          <t>Delantero, posterior y mangas</t>
        </is>
      </c>
      <c r="D94" s="136" t="inlineStr">
        <is>
          <t>Overlock</t>
        </is>
      </c>
      <c r="E94" s="136" t="n">
        <v>1</v>
      </c>
      <c r="F94" s="138" t="n"/>
      <c r="G94" s="136">
        <f>IF(F94="","",F94-E94)</f>
        <v/>
      </c>
      <c r="H94" s="138" t="n"/>
      <c r="I94" s="154" t="n"/>
      <c r="J94" s="138" t="n"/>
    </row>
    <row r="95">
      <c r="A95" s="136" t="n">
        <v>2</v>
      </c>
      <c r="B95" s="137" t="inlineStr">
        <is>
          <t>Recubrir sisas y capucha</t>
        </is>
      </c>
      <c r="C95" s="137" t="inlineStr">
        <is>
          <t>Delantero, posterior y mangas</t>
        </is>
      </c>
      <c r="D95" s="136" t="inlineStr">
        <is>
          <t>Collaretera</t>
        </is>
      </c>
      <c r="E95" s="136" t="n">
        <v>1</v>
      </c>
      <c r="F95" s="138" t="n"/>
      <c r="G95" s="136">
        <f>IF(F95="","",F95-E95)</f>
        <v/>
      </c>
      <c r="H95" s="138" t="n"/>
      <c r="I95" s="154" t="n"/>
      <c r="J95" s="138" t="n"/>
    </row>
    <row r="96">
      <c r="A96" s="136" t="n">
        <v>3</v>
      </c>
      <c r="B96" s="137" t="inlineStr">
        <is>
          <t>Cierre de mangas y cuerpo con capucha</t>
        </is>
      </c>
      <c r="C96" s="137" t="inlineStr">
        <is>
          <t>Delantero, posterior y mangas</t>
        </is>
      </c>
      <c r="D96" s="136" t="inlineStr">
        <is>
          <t>Overlock</t>
        </is>
      </c>
      <c r="E96" s="136" t="n">
        <v>1</v>
      </c>
      <c r="F96" s="138" t="n"/>
      <c r="G96" s="136">
        <f>IF(F96="","",F96-E96)</f>
        <v/>
      </c>
      <c r="H96" s="138" t="n"/>
      <c r="I96" s="154" t="n"/>
      <c r="J96" s="138" t="n"/>
    </row>
    <row r="97">
      <c r="A97" s="136" t="n">
        <v>4</v>
      </c>
      <c r="B97" s="137" t="inlineStr">
        <is>
          <t>Ruedos</t>
        </is>
      </c>
      <c r="C97" s="137" t="inlineStr">
        <is>
          <t>Cuerpo y mangas</t>
        </is>
      </c>
      <c r="D97" s="136" t="inlineStr">
        <is>
          <t>Collaret de ruedos</t>
        </is>
      </c>
      <c r="E97" s="136" t="n">
        <v>1</v>
      </c>
      <c r="F97" s="138" t="n"/>
      <c r="G97" s="136">
        <f>IF(F97="","",F97-E97)</f>
        <v/>
      </c>
      <c r="H97" s="138" t="n"/>
      <c r="I97" s="154" t="n"/>
      <c r="J97" s="138" t="n"/>
    </row>
    <row r="98">
      <c r="A98" s="136" t="n">
        <v>5</v>
      </c>
      <c r="B98" s="137" t="inlineStr">
        <is>
          <t>Montar cuello</t>
        </is>
      </c>
      <c r="C98" s="137" t="inlineStr">
        <is>
          <t>Cuerpo y mangas</t>
        </is>
      </c>
      <c r="D98" s="136" t="inlineStr">
        <is>
          <t>Overlock para cuellos</t>
        </is>
      </c>
      <c r="E98" s="136" t="n">
        <v>1</v>
      </c>
      <c r="F98" s="138" t="n"/>
      <c r="G98" s="136">
        <f>IF(F98="","",F98-E98)</f>
        <v/>
      </c>
      <c r="H98" s="138" t="n"/>
      <c r="I98" s="154" t="n"/>
      <c r="J98" s="138" t="n"/>
    </row>
    <row r="99">
      <c r="A99" s="136" t="n">
        <v>6</v>
      </c>
      <c r="B99" s="137" t="inlineStr">
        <is>
          <t>Fijar cuello</t>
        </is>
      </c>
      <c r="C99" s="137" t="inlineStr">
        <is>
          <t>Cuerpo y mangas</t>
        </is>
      </c>
      <c r="D99" s="136" t="inlineStr">
        <is>
          <t>Collaret para cuellos</t>
        </is>
      </c>
      <c r="E99" s="136" t="n">
        <v>1</v>
      </c>
      <c r="F99" s="138" t="n"/>
      <c r="G99" s="136">
        <f>IF(F99="","",F99-E99)</f>
        <v/>
      </c>
      <c r="H99" s="138" t="n"/>
      <c r="I99" s="154" t="n"/>
      <c r="J99" s="138" t="n"/>
    </row>
    <row r="100">
      <c r="A100" s="136" t="n">
        <v>7</v>
      </c>
      <c r="B100" s="137" t="inlineStr">
        <is>
          <t>Revisión final</t>
        </is>
      </c>
      <c r="C100" s="137" t="inlineStr">
        <is>
          <t>Franela completa</t>
        </is>
      </c>
      <c r="D100" s="136" t="inlineStr">
        <is>
          <t>Manual</t>
        </is>
      </c>
      <c r="E100" s="136" t="n">
        <v>1</v>
      </c>
      <c r="F100" s="138" t="n"/>
      <c r="G100" s="136">
        <f>IF(F100="","",F100-E100)</f>
        <v/>
      </c>
      <c r="H100" s="138" t="n"/>
      <c r="I100" s="154" t="n"/>
      <c r="J100" s="138" t="n"/>
    </row>
    <row r="101">
      <c r="A101" s="147" t="n"/>
      <c r="B101" s="155" t="inlineStr">
        <is>
          <t>TOTAL OPERACIONES</t>
        </is>
      </c>
      <c r="C101" s="147" t="n"/>
      <c r="D101" s="156" t="inlineStr">
        <is>
          <t>7 ops en ficha</t>
        </is>
      </c>
      <c r="E101" s="157">
        <f>SUM(E94:E100)</f>
        <v/>
      </c>
      <c r="F101" s="157">
        <f>IF(COUNT(F94:F100)=0,"",SUM(F94:F100))</f>
        <v/>
      </c>
      <c r="G101" s="156">
        <f>IF(F101="","",F101-E101)</f>
        <v/>
      </c>
      <c r="H101" s="147" t="n"/>
      <c r="I101" s="147" t="n"/>
      <c r="J101" s="147" t="n"/>
    </row>
    <row r="103">
      <c r="A103" s="150" t="inlineStr">
        <is>
          <t>PRODUCTO: Clasica Microfibra</t>
        </is>
      </c>
      <c r="B103" s="151" t="n"/>
      <c r="C103" s="151" t="n"/>
      <c r="D103" s="151" t="n"/>
      <c r="E103" s="151" t="n"/>
      <c r="F103" s="151" t="n"/>
      <c r="G103" s="151" t="n"/>
      <c r="H103" s="151" t="n"/>
      <c r="I103" s="151" t="n"/>
      <c r="J103" s="152" t="n"/>
    </row>
    <row r="104">
      <c r="A104" s="153" t="inlineStr">
        <is>
          <t>Modelo: Clásica CUELLO ENVIVADO | Género: DAM-CAB-KIDS | Línea: Clásicas | Tela: Microfibra | Operaciones ficha: 10</t>
        </is>
      </c>
    </row>
    <row r="105">
      <c r="A105" s="146" t="inlineStr">
        <is>
          <t>Op.</t>
        </is>
      </c>
      <c r="B105" s="146" t="inlineStr">
        <is>
          <t>Proceso</t>
        </is>
      </c>
      <c r="C105" s="146" t="inlineStr">
        <is>
          <t>Piezas involucradas</t>
        </is>
      </c>
      <c r="D105" s="146" t="inlineStr">
        <is>
          <t>Máquina</t>
        </is>
      </c>
      <c r="E105" s="146" t="inlineStr">
        <is>
          <t>Plan (1 pieza)</t>
        </is>
      </c>
      <c r="F105" s="146" t="inlineStr">
        <is>
          <t>Cant. Real</t>
        </is>
      </c>
      <c r="G105" s="146" t="inlineStr">
        <is>
          <t>Diferencia</t>
        </is>
      </c>
      <c r="H105" s="146" t="inlineStr">
        <is>
          <t>Cumple</t>
        </is>
      </c>
      <c r="I105" s="146" t="inlineStr">
        <is>
          <t>Observaciones línea</t>
        </is>
      </c>
      <c r="J105" s="146" t="inlineStr">
        <is>
          <t>Iniciales</t>
        </is>
      </c>
    </row>
    <row r="106">
      <c r="A106" s="136" t="n">
        <v>1</v>
      </c>
      <c r="B106" s="137" t="inlineStr">
        <is>
          <t>Unir hombro derecho</t>
        </is>
      </c>
      <c r="C106" s="137" t="inlineStr">
        <is>
          <t>Delantero y posterior</t>
        </is>
      </c>
      <c r="D106" s="136" t="inlineStr">
        <is>
          <t>Overlock</t>
        </is>
      </c>
      <c r="E106" s="136" t="n">
        <v>1</v>
      </c>
      <c r="F106" s="138" t="n"/>
      <c r="G106" s="136">
        <f>IF(F106="","",F106-E106)</f>
        <v/>
      </c>
      <c r="H106" s="138" t="n"/>
      <c r="I106" s="154" t="n"/>
      <c r="J106" s="138" t="n"/>
    </row>
    <row r="107">
      <c r="A107" s="136" t="n">
        <v>2</v>
      </c>
      <c r="B107" s="137" t="inlineStr">
        <is>
          <t>Montar manga derecha</t>
        </is>
      </c>
      <c r="C107" s="137" t="inlineStr">
        <is>
          <t>Manga y cuerpo</t>
        </is>
      </c>
      <c r="D107" s="136" t="inlineStr">
        <is>
          <t>Overlock</t>
        </is>
      </c>
      <c r="E107" s="136" t="n">
        <v>1</v>
      </c>
      <c r="F107" s="138" t="n"/>
      <c r="G107" s="136">
        <f>IF(F107="","",F107-E107)</f>
        <v/>
      </c>
      <c r="H107" s="138" t="n"/>
      <c r="I107" s="154" t="n"/>
      <c r="J107" s="138" t="n"/>
    </row>
    <row r="108">
      <c r="A108" s="136" t="n">
        <v>3</v>
      </c>
      <c r="B108" s="137" t="inlineStr">
        <is>
          <t>Cierre costado derecho</t>
        </is>
      </c>
      <c r="C108" s="137" t="inlineStr">
        <is>
          <t>Cuerpo</t>
        </is>
      </c>
      <c r="D108" s="136" t="inlineStr">
        <is>
          <t>Overlock</t>
        </is>
      </c>
      <c r="E108" s="136" t="n">
        <v>1</v>
      </c>
      <c r="F108" s="138" t="n"/>
      <c r="G108" s="136">
        <f>IF(F108="","",F108-E108)</f>
        <v/>
      </c>
      <c r="H108" s="138" t="n"/>
      <c r="I108" s="154" t="n"/>
      <c r="J108" s="138" t="n"/>
    </row>
    <row r="109">
      <c r="A109" s="136" t="n">
        <v>4</v>
      </c>
      <c r="B109" s="137" t="inlineStr">
        <is>
          <t>Montar cuello</t>
        </is>
      </c>
      <c r="C109" s="137" t="inlineStr">
        <is>
          <t>Cuerpo y cuello</t>
        </is>
      </c>
      <c r="D109" s="136" t="inlineStr">
        <is>
          <t>Collaret</t>
        </is>
      </c>
      <c r="E109" s="136" t="n">
        <v>1</v>
      </c>
      <c r="F109" s="138" t="n"/>
      <c r="G109" s="136">
        <f>IF(F109="","",F109-E109)</f>
        <v/>
      </c>
      <c r="H109" s="138" t="n"/>
      <c r="I109" s="154" t="n"/>
      <c r="J109" s="138" t="n"/>
    </row>
    <row r="110">
      <c r="A110" s="136" t="n">
        <v>5</v>
      </c>
      <c r="B110" s="137" t="inlineStr">
        <is>
          <t>Cierre de cuello</t>
        </is>
      </c>
      <c r="C110" s="137" t="inlineStr">
        <is>
          <t>Cuello</t>
        </is>
      </c>
      <c r="D110" s="136" t="inlineStr">
        <is>
          <t>Recta</t>
        </is>
      </c>
      <c r="E110" s="136" t="n">
        <v>1</v>
      </c>
      <c r="F110" s="138" t="n"/>
      <c r="G110" s="136">
        <f>IF(F110="","",F110-E110)</f>
        <v/>
      </c>
      <c r="H110" s="138" t="n"/>
      <c r="I110" s="154" t="n"/>
      <c r="J110" s="138" t="n"/>
    </row>
    <row r="111">
      <c r="A111" s="136" t="n">
        <v>6</v>
      </c>
      <c r="B111" s="137" t="inlineStr">
        <is>
          <t>Cierre de hombro izquierdo</t>
        </is>
      </c>
      <c r="C111" s="137" t="inlineStr">
        <is>
          <t>Delantero y posterior</t>
        </is>
      </c>
      <c r="D111" s="136" t="inlineStr">
        <is>
          <t>Overlock</t>
        </is>
      </c>
      <c r="E111" s="136" t="n">
        <v>1</v>
      </c>
      <c r="F111" s="138" t="n"/>
      <c r="G111" s="136">
        <f>IF(F111="","",F111-E111)</f>
        <v/>
      </c>
      <c r="H111" s="138" t="n"/>
      <c r="I111" s="154" t="n"/>
      <c r="J111" s="138" t="n"/>
    </row>
    <row r="112">
      <c r="A112" s="136" t="n">
        <v>7</v>
      </c>
      <c r="B112" s="137" t="inlineStr">
        <is>
          <t>Montar manga derecha</t>
        </is>
      </c>
      <c r="C112" s="137" t="inlineStr">
        <is>
          <t>Manga y cuerpo</t>
        </is>
      </c>
      <c r="D112" s="136" t="inlineStr">
        <is>
          <t>Overlock</t>
        </is>
      </c>
      <c r="E112" s="136" t="n">
        <v>1</v>
      </c>
      <c r="F112" s="138" t="n"/>
      <c r="G112" s="136">
        <f>IF(F112="","",F112-E112)</f>
        <v/>
      </c>
      <c r="H112" s="138" t="n"/>
      <c r="I112" s="154" t="n"/>
      <c r="J112" s="138" t="n"/>
    </row>
    <row r="113">
      <c r="A113" s="136" t="n">
        <v>8</v>
      </c>
      <c r="B113" s="137" t="inlineStr">
        <is>
          <t>Cierre costado izquierdo</t>
        </is>
      </c>
      <c r="C113" s="137" t="inlineStr">
        <is>
          <t>Cuerpo</t>
        </is>
      </c>
      <c r="D113" s="136" t="inlineStr">
        <is>
          <t>Overlock</t>
        </is>
      </c>
      <c r="E113" s="136" t="n">
        <v>1</v>
      </c>
      <c r="F113" s="138" t="n"/>
      <c r="G113" s="136">
        <f>IF(F113="","",F113-E113)</f>
        <v/>
      </c>
      <c r="H113" s="138" t="n"/>
      <c r="I113" s="154" t="n"/>
      <c r="J113" s="138" t="n"/>
    </row>
    <row r="114">
      <c r="A114" s="136" t="n">
        <v>9</v>
      </c>
      <c r="B114" s="137" t="inlineStr">
        <is>
          <t>Ruedos de mangas y cuerpo</t>
        </is>
      </c>
      <c r="C114" s="137" t="inlineStr">
        <is>
          <t>Manga y cuerpo</t>
        </is>
      </c>
      <c r="D114" s="136" t="inlineStr">
        <is>
          <t>Collaret  de ruedos</t>
        </is>
      </c>
      <c r="E114" s="136" t="n">
        <v>1</v>
      </c>
      <c r="F114" s="138" t="n"/>
      <c r="G114" s="136">
        <f>IF(F114="","",F114-E114)</f>
        <v/>
      </c>
      <c r="H114" s="138" t="n"/>
      <c r="I114" s="154" t="n"/>
      <c r="J114" s="138" t="n"/>
    </row>
    <row r="115">
      <c r="A115" s="136" t="n">
        <v>10</v>
      </c>
      <c r="B115" s="137" t="inlineStr">
        <is>
          <t>Remate de cuello</t>
        </is>
      </c>
      <c r="C115" s="137" t="inlineStr">
        <is>
          <t>Cuello</t>
        </is>
      </c>
      <c r="D115" s="136" t="inlineStr">
        <is>
          <t>Recta</t>
        </is>
      </c>
      <c r="E115" s="136" t="n">
        <v>1</v>
      </c>
      <c r="F115" s="138" t="n"/>
      <c r="G115" s="136">
        <f>IF(F115="","",F115-E115)</f>
        <v/>
      </c>
      <c r="H115" s="138" t="n"/>
      <c r="I115" s="154" t="n"/>
      <c r="J115" s="138" t="n"/>
    </row>
    <row r="116">
      <c r="A116" s="147" t="n"/>
      <c r="B116" s="155" t="inlineStr">
        <is>
          <t>TOTAL OPERACIONES</t>
        </is>
      </c>
      <c r="C116" s="147" t="n"/>
      <c r="D116" s="156" t="inlineStr">
        <is>
          <t>10 ops en ficha</t>
        </is>
      </c>
      <c r="E116" s="157">
        <f>SUM(E106:E115)</f>
        <v/>
      </c>
      <c r="F116" s="157">
        <f>IF(COUNT(F106:F115)=0,"",SUM(F106:F115))</f>
        <v/>
      </c>
      <c r="G116" s="156">
        <f>IF(F116="","",F116-E116)</f>
        <v/>
      </c>
      <c r="H116" s="147" t="n"/>
      <c r="I116" s="147" t="n"/>
      <c r="J116" s="147" t="n"/>
    </row>
    <row r="119">
      <c r="A119" s="143" t="inlineStr">
        <is>
          <t>LEYENDA Y USO</t>
        </is>
      </c>
    </row>
    <row r="120">
      <c r="A120" s="158" t="inlineStr">
        <is>
          <t>• Plan (1 pieza): cada fila es 1 operación de la ficha que debe ejecutarse por prenda.</t>
        </is>
      </c>
    </row>
    <row r="121">
      <c r="A121" s="158" t="inlineStr">
        <is>
          <t>• Cant. Real: anote cuántas veces se realizó realmente esa operación en la medición en línea.</t>
        </is>
      </c>
    </row>
    <row r="122">
      <c r="A122" s="158" t="inlineStr">
        <is>
          <t>• Diferencia: Real − Plan. 0 = cumple ficha; &gt;0 = operación extra/repetida; &lt;0 = omitida o incompleta.</t>
        </is>
      </c>
    </row>
    <row r="123">
      <c r="A123" s="158" t="inlineStr">
        <is>
          <t>• Cumple: Sí/No según supervisión. Observaciones: retrabajos, paros o desviaciones.</t>
        </is>
      </c>
    </row>
    <row r="124">
      <c r="A124" s="158" t="inlineStr">
        <is>
          <t>• Tras medir, traslade el total a "Total Operaciones Real" en la hoja General y complete Capacidad por Piezas.</t>
        </is>
      </c>
    </row>
    <row r="125">
      <c r="A125" s="158" t="inlineStr">
        <is>
          <t>• Celdas en amarillo = campos de captura en planta.</t>
        </is>
      </c>
    </row>
  </sheetData>
  <mergeCells count="24">
    <mergeCell ref="A122:J122"/>
    <mergeCell ref="A91:J91"/>
    <mergeCell ref="A20:J20"/>
    <mergeCell ref="A81:J81"/>
    <mergeCell ref="A125:J125"/>
    <mergeCell ref="A121:J121"/>
    <mergeCell ref="A58:J58"/>
    <mergeCell ref="A40:J40"/>
    <mergeCell ref="A92:J92"/>
    <mergeCell ref="A59:J59"/>
    <mergeCell ref="A4:F4"/>
    <mergeCell ref="A1:J1"/>
    <mergeCell ref="A103:J103"/>
    <mergeCell ref="A123:J123"/>
    <mergeCell ref="A124:J124"/>
    <mergeCell ref="A41:J41"/>
    <mergeCell ref="A80:J80"/>
    <mergeCell ref="A18:J18"/>
    <mergeCell ref="A120:J120"/>
    <mergeCell ref="A21:J21"/>
    <mergeCell ref="A119:F119"/>
    <mergeCell ref="A2:J2"/>
    <mergeCell ref="A104:J104"/>
    <mergeCell ref="A9:E9"/>
  </mergeCells>
  <dataValidations count="2">
    <dataValidation sqref="B6" showDropDown="0" showInputMessage="0" showErrorMessage="0" allowBlank="1" type="list">
      <formula1>"Short Sport,R1 - Interno,R1 - Externo,RIO,MAR,Clasica Microfibra"</formula1>
    </dataValidation>
    <dataValidation sqref="H21:H118" showDropDown="0" showInputMessage="0" showErrorMessage="0" allowBlank="1" type="list">
      <formula1>"Sí,No"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4"/>
  <sheetViews>
    <sheetView workbookViewId="0">
      <pane ySplit="4" topLeftCell="A5" activePane="bottomLeft" state="frozen"/>
      <selection pane="bottomLeft" activeCell="A1" sqref="A1"/>
    </sheetView>
  </sheetViews>
  <sheetFormatPr baseColWidth="8" defaultRowHeight="15"/>
  <cols>
    <col width="12" customWidth="1" style="101" min="1" max="1"/>
    <col width="10" customWidth="1" style="101" min="2" max="2"/>
    <col width="12" customWidth="1" style="101" min="3" max="3"/>
    <col width="20" customWidth="1" style="101" min="4" max="4"/>
    <col width="16" customWidth="1" style="101" min="5" max="5"/>
    <col width="16" customWidth="1" style="101" min="6" max="6"/>
    <col width="18" customWidth="1" style="101" min="7" max="7"/>
    <col width="12" customWidth="1" style="101" min="8" max="8"/>
    <col width="16" customWidth="1" style="101" min="9" max="9"/>
    <col width="40" customWidth="1" style="101" min="10" max="10"/>
    <col width="22" customWidth="1" style="101" min="12" max="12"/>
    <col width="8" customWidth="1" style="101" min="13" max="13"/>
  </cols>
  <sheetData>
    <row r="1">
      <c r="A1" s="134" t="inlineStr">
        <is>
          <t>REGISTRO DIARIO DE OPERACIONES REALES EN LÍNEA</t>
        </is>
      </c>
    </row>
    <row r="2">
      <c r="A2" s="142" t="inlineStr">
        <is>
          <t>Una fila por medición (pieza o muestra). Ideal para anotar en planta y consolidar hacia Medicion Linea / General.</t>
        </is>
      </c>
    </row>
    <row r="4" ht="30" customHeight="1" s="101">
      <c r="A4" s="135" t="inlineStr">
        <is>
          <t>Fecha</t>
        </is>
      </c>
      <c r="B4" s="135" t="inlineStr">
        <is>
          <t>Turno</t>
        </is>
      </c>
      <c r="C4" s="135" t="inlineStr">
        <is>
          <t>Línea</t>
        </is>
      </c>
      <c r="D4" s="135" t="inlineStr">
        <is>
          <t>Producto</t>
        </is>
      </c>
      <c r="E4" s="135" t="inlineStr">
        <is>
          <t>N° Pieza / Muestra</t>
        </is>
      </c>
      <c r="F4" s="135" t="inlineStr">
        <is>
          <t>Ops. según ficha</t>
        </is>
      </c>
      <c r="G4" s="135" t="inlineStr">
        <is>
          <t>Ops. reales contadas</t>
        </is>
      </c>
      <c r="H4" s="135" t="inlineStr">
        <is>
          <t>Diferencia</t>
        </is>
      </c>
      <c r="I4" s="135" t="inlineStr">
        <is>
          <t>Supervisor</t>
        </is>
      </c>
      <c r="J4" s="135" t="inlineStr">
        <is>
          <t>Observaciones</t>
        </is>
      </c>
      <c r="L4" s="159" t="inlineStr">
        <is>
          <t>Catálogo ficha</t>
        </is>
      </c>
      <c r="M4" s="159" t="inlineStr">
        <is>
          <t>Ops</t>
        </is>
      </c>
    </row>
    <row r="5">
      <c r="A5" s="145" t="n"/>
      <c r="B5" s="145" t="n"/>
      <c r="C5" s="145" t="n"/>
      <c r="D5" s="145" t="n"/>
      <c r="E5" s="145" t="n"/>
      <c r="F5" s="148">
        <f>IF(D5="","",IFERROR(VLOOKUP(D5,$L$5:$M$10,2,FALSE),""))</f>
        <v/>
      </c>
      <c r="G5" s="145" t="n"/>
      <c r="H5" s="148">
        <f>IF(OR(F5="",G5=""),"",G5-F5)</f>
        <v/>
      </c>
      <c r="I5" s="145" t="n"/>
      <c r="J5" s="160" t="n"/>
      <c r="L5" t="inlineStr">
        <is>
          <t>Short Sport</t>
        </is>
      </c>
      <c r="M5" t="n">
        <v>15</v>
      </c>
    </row>
    <row r="6">
      <c r="A6" s="145" t="n"/>
      <c r="B6" s="145" t="n"/>
      <c r="C6" s="145" t="n"/>
      <c r="D6" s="145" t="n"/>
      <c r="E6" s="145" t="n"/>
      <c r="F6" s="148">
        <f>IF(D6="","",IFERROR(VLOOKUP(D6,$L$5:$M$10,2,FALSE),""))</f>
        <v/>
      </c>
      <c r="G6" s="145" t="n"/>
      <c r="H6" s="148">
        <f>IF(OR(F6="",G6=""),"",G6-F6)</f>
        <v/>
      </c>
      <c r="I6" s="145" t="n"/>
      <c r="J6" s="160" t="n"/>
      <c r="L6" t="inlineStr">
        <is>
          <t>R1 - Interno</t>
        </is>
      </c>
      <c r="M6" t="n">
        <v>13</v>
      </c>
    </row>
    <row r="7">
      <c r="A7" s="145" t="n"/>
      <c r="B7" s="145" t="n"/>
      <c r="C7" s="145" t="n"/>
      <c r="D7" s="145" t="n"/>
      <c r="E7" s="145" t="n"/>
      <c r="F7" s="148">
        <f>IF(D7="","",IFERROR(VLOOKUP(D7,$L$5:$M$10,2,FALSE),""))</f>
        <v/>
      </c>
      <c r="G7" s="145" t="n"/>
      <c r="H7" s="148">
        <f>IF(OR(F7="",G7=""),"",G7-F7)</f>
        <v/>
      </c>
      <c r="I7" s="145" t="n"/>
      <c r="J7" s="160" t="n"/>
      <c r="L7" t="inlineStr">
        <is>
          <t>R1 - Externo</t>
        </is>
      </c>
      <c r="M7" t="n">
        <v>17</v>
      </c>
    </row>
    <row r="8">
      <c r="A8" s="145" t="n"/>
      <c r="B8" s="145" t="n"/>
      <c r="C8" s="145" t="n"/>
      <c r="D8" s="145" t="n"/>
      <c r="E8" s="145" t="n"/>
      <c r="F8" s="148">
        <f>IF(D8="","",IFERROR(VLOOKUP(D8,$L$5:$M$10,2,FALSE),""))</f>
        <v/>
      </c>
      <c r="G8" s="145" t="n"/>
      <c r="H8" s="148">
        <f>IF(OR(F8="",G8=""),"",G8-F8)</f>
        <v/>
      </c>
      <c r="I8" s="145" t="n"/>
      <c r="J8" s="160" t="n"/>
      <c r="L8" t="inlineStr">
        <is>
          <t>RIO</t>
        </is>
      </c>
      <c r="M8" t="n">
        <v>6</v>
      </c>
    </row>
    <row r="9">
      <c r="A9" s="145" t="n"/>
      <c r="B9" s="145" t="n"/>
      <c r="C9" s="145" t="n"/>
      <c r="D9" s="145" t="n"/>
      <c r="E9" s="145" t="n"/>
      <c r="F9" s="148">
        <f>IF(D9="","",IFERROR(VLOOKUP(D9,$L$5:$M$10,2,FALSE),""))</f>
        <v/>
      </c>
      <c r="G9" s="145" t="n"/>
      <c r="H9" s="148">
        <f>IF(OR(F9="",G9=""),"",G9-F9)</f>
        <v/>
      </c>
      <c r="I9" s="145" t="n"/>
      <c r="J9" s="160" t="n"/>
      <c r="L9" t="inlineStr">
        <is>
          <t>MAR</t>
        </is>
      </c>
      <c r="M9" t="n">
        <v>7</v>
      </c>
    </row>
    <row r="10">
      <c r="A10" s="145" t="n"/>
      <c r="B10" s="145" t="n"/>
      <c r="C10" s="145" t="n"/>
      <c r="D10" s="145" t="n"/>
      <c r="E10" s="145" t="n"/>
      <c r="F10" s="148">
        <f>IF(D10="","",IFERROR(VLOOKUP(D10,$L$5:$M$10,2,FALSE),""))</f>
        <v/>
      </c>
      <c r="G10" s="145" t="n"/>
      <c r="H10" s="148">
        <f>IF(OR(F10="",G10=""),"",G10-F10)</f>
        <v/>
      </c>
      <c r="I10" s="145" t="n"/>
      <c r="J10" s="160" t="n"/>
      <c r="L10" t="inlineStr">
        <is>
          <t>Clasica Microfibra</t>
        </is>
      </c>
      <c r="M10" t="n">
        <v>10</v>
      </c>
    </row>
    <row r="11">
      <c r="A11" s="145" t="n"/>
      <c r="B11" s="145" t="n"/>
      <c r="C11" s="145" t="n"/>
      <c r="D11" s="145" t="n"/>
      <c r="E11" s="145" t="n"/>
      <c r="F11" s="148">
        <f>IF(D11="","",IFERROR(VLOOKUP(D11,$L$5:$M$10,2,FALSE),""))</f>
        <v/>
      </c>
      <c r="G11" s="145" t="n"/>
      <c r="H11" s="148">
        <f>IF(OR(F11="",G11=""),"",G11-F11)</f>
        <v/>
      </c>
      <c r="I11" s="145" t="n"/>
      <c r="J11" s="160" t="n"/>
    </row>
    <row r="12">
      <c r="A12" s="145" t="n"/>
      <c r="B12" s="145" t="n"/>
      <c r="C12" s="145" t="n"/>
      <c r="D12" s="145" t="n"/>
      <c r="E12" s="145" t="n"/>
      <c r="F12" s="148">
        <f>IF(D12="","",IFERROR(VLOOKUP(D12,$L$5:$M$10,2,FALSE),""))</f>
        <v/>
      </c>
      <c r="G12" s="145" t="n"/>
      <c r="H12" s="148">
        <f>IF(OR(F12="",G12=""),"",G12-F12)</f>
        <v/>
      </c>
      <c r="I12" s="145" t="n"/>
      <c r="J12" s="160" t="n"/>
    </row>
    <row r="13">
      <c r="A13" s="145" t="n"/>
      <c r="B13" s="145" t="n"/>
      <c r="C13" s="145" t="n"/>
      <c r="D13" s="145" t="n"/>
      <c r="E13" s="145" t="n"/>
      <c r="F13" s="148">
        <f>IF(D13="","",IFERROR(VLOOKUP(D13,$L$5:$M$10,2,FALSE),""))</f>
        <v/>
      </c>
      <c r="G13" s="145" t="n"/>
      <c r="H13" s="148">
        <f>IF(OR(F13="",G13=""),"",G13-F13)</f>
        <v/>
      </c>
      <c r="I13" s="145" t="n"/>
      <c r="J13" s="160" t="n"/>
    </row>
    <row r="14">
      <c r="A14" s="145" t="n"/>
      <c r="B14" s="145" t="n"/>
      <c r="C14" s="145" t="n"/>
      <c r="D14" s="145" t="n"/>
      <c r="E14" s="145" t="n"/>
      <c r="F14" s="148">
        <f>IF(D14="","",IFERROR(VLOOKUP(D14,$L$5:$M$10,2,FALSE),""))</f>
        <v/>
      </c>
      <c r="G14" s="145" t="n"/>
      <c r="H14" s="148">
        <f>IF(OR(F14="",G14=""),"",G14-F14)</f>
        <v/>
      </c>
      <c r="I14" s="145" t="n"/>
      <c r="J14" s="160" t="n"/>
    </row>
    <row r="15">
      <c r="A15" s="145" t="n"/>
      <c r="B15" s="145" t="n"/>
      <c r="C15" s="145" t="n"/>
      <c r="D15" s="145" t="n"/>
      <c r="E15" s="145" t="n"/>
      <c r="F15" s="148">
        <f>IF(D15="","",IFERROR(VLOOKUP(D15,$L$5:$M$10,2,FALSE),""))</f>
        <v/>
      </c>
      <c r="G15" s="145" t="n"/>
      <c r="H15" s="148">
        <f>IF(OR(F15="",G15=""),"",G15-F15)</f>
        <v/>
      </c>
      <c r="I15" s="145" t="n"/>
      <c r="J15" s="160" t="n"/>
    </row>
    <row r="16">
      <c r="A16" s="145" t="n"/>
      <c r="B16" s="145" t="n"/>
      <c r="C16" s="145" t="n"/>
      <c r="D16" s="145" t="n"/>
      <c r="E16" s="145" t="n"/>
      <c r="F16" s="148">
        <f>IF(D16="","",IFERROR(VLOOKUP(D16,$L$5:$M$10,2,FALSE),""))</f>
        <v/>
      </c>
      <c r="G16" s="145" t="n"/>
      <c r="H16" s="148">
        <f>IF(OR(F16="",G16=""),"",G16-F16)</f>
        <v/>
      </c>
      <c r="I16" s="145" t="n"/>
      <c r="J16" s="160" t="n"/>
    </row>
    <row r="17">
      <c r="A17" s="145" t="n"/>
      <c r="B17" s="145" t="n"/>
      <c r="C17" s="145" t="n"/>
      <c r="D17" s="145" t="n"/>
      <c r="E17" s="145" t="n"/>
      <c r="F17" s="148">
        <f>IF(D17="","",IFERROR(VLOOKUP(D17,$L$5:$M$10,2,FALSE),""))</f>
        <v/>
      </c>
      <c r="G17" s="145" t="n"/>
      <c r="H17" s="148">
        <f>IF(OR(F17="",G17=""),"",G17-F17)</f>
        <v/>
      </c>
      <c r="I17" s="145" t="n"/>
      <c r="J17" s="160" t="n"/>
    </row>
    <row r="18">
      <c r="A18" s="145" t="n"/>
      <c r="B18" s="145" t="n"/>
      <c r="C18" s="145" t="n"/>
      <c r="D18" s="145" t="n"/>
      <c r="E18" s="145" t="n"/>
      <c r="F18" s="148">
        <f>IF(D18="","",IFERROR(VLOOKUP(D18,$L$5:$M$10,2,FALSE),""))</f>
        <v/>
      </c>
      <c r="G18" s="145" t="n"/>
      <c r="H18" s="148">
        <f>IF(OR(F18="",G18=""),"",G18-F18)</f>
        <v/>
      </c>
      <c r="I18" s="145" t="n"/>
      <c r="J18" s="160" t="n"/>
    </row>
    <row r="19">
      <c r="A19" s="145" t="n"/>
      <c r="B19" s="145" t="n"/>
      <c r="C19" s="145" t="n"/>
      <c r="D19" s="145" t="n"/>
      <c r="E19" s="145" t="n"/>
      <c r="F19" s="148">
        <f>IF(D19="","",IFERROR(VLOOKUP(D19,$L$5:$M$10,2,FALSE),""))</f>
        <v/>
      </c>
      <c r="G19" s="145" t="n"/>
      <c r="H19" s="148">
        <f>IF(OR(F19="",G19=""),"",G19-F19)</f>
        <v/>
      </c>
      <c r="I19" s="145" t="n"/>
      <c r="J19" s="160" t="n"/>
    </row>
    <row r="20">
      <c r="A20" s="145" t="n"/>
      <c r="B20" s="145" t="n"/>
      <c r="C20" s="145" t="n"/>
      <c r="D20" s="145" t="n"/>
      <c r="E20" s="145" t="n"/>
      <c r="F20" s="148">
        <f>IF(D20="","",IFERROR(VLOOKUP(D20,$L$5:$M$10,2,FALSE),""))</f>
        <v/>
      </c>
      <c r="G20" s="145" t="n"/>
      <c r="H20" s="148">
        <f>IF(OR(F20="",G20=""),"",G20-F20)</f>
        <v/>
      </c>
      <c r="I20" s="145" t="n"/>
      <c r="J20" s="160" t="n"/>
    </row>
    <row r="21">
      <c r="A21" s="145" t="n"/>
      <c r="B21" s="145" t="n"/>
      <c r="C21" s="145" t="n"/>
      <c r="D21" s="145" t="n"/>
      <c r="E21" s="145" t="n"/>
      <c r="F21" s="148">
        <f>IF(D21="","",IFERROR(VLOOKUP(D21,$L$5:$M$10,2,FALSE),""))</f>
        <v/>
      </c>
      <c r="G21" s="145" t="n"/>
      <c r="H21" s="148">
        <f>IF(OR(F21="",G21=""),"",G21-F21)</f>
        <v/>
      </c>
      <c r="I21" s="145" t="n"/>
      <c r="J21" s="160" t="n"/>
    </row>
    <row r="22">
      <c r="A22" s="145" t="n"/>
      <c r="B22" s="145" t="n"/>
      <c r="C22" s="145" t="n"/>
      <c r="D22" s="145" t="n"/>
      <c r="E22" s="145" t="n"/>
      <c r="F22" s="148">
        <f>IF(D22="","",IFERROR(VLOOKUP(D22,$L$5:$M$10,2,FALSE),""))</f>
        <v/>
      </c>
      <c r="G22" s="145" t="n"/>
      <c r="H22" s="148">
        <f>IF(OR(F22="",G22=""),"",G22-F22)</f>
        <v/>
      </c>
      <c r="I22" s="145" t="n"/>
      <c r="J22" s="160" t="n"/>
    </row>
    <row r="23">
      <c r="A23" s="145" t="n"/>
      <c r="B23" s="145" t="n"/>
      <c r="C23" s="145" t="n"/>
      <c r="D23" s="145" t="n"/>
      <c r="E23" s="145" t="n"/>
      <c r="F23" s="148">
        <f>IF(D23="","",IFERROR(VLOOKUP(D23,$L$5:$M$10,2,FALSE),""))</f>
        <v/>
      </c>
      <c r="G23" s="145" t="n"/>
      <c r="H23" s="148">
        <f>IF(OR(F23="",G23=""),"",G23-F23)</f>
        <v/>
      </c>
      <c r="I23" s="145" t="n"/>
      <c r="J23" s="160" t="n"/>
    </row>
    <row r="24">
      <c r="A24" s="145" t="n"/>
      <c r="B24" s="145" t="n"/>
      <c r="C24" s="145" t="n"/>
      <c r="D24" s="145" t="n"/>
      <c r="E24" s="145" t="n"/>
      <c r="F24" s="148">
        <f>IF(D24="","",IFERROR(VLOOKUP(D24,$L$5:$M$10,2,FALSE),""))</f>
        <v/>
      </c>
      <c r="G24" s="145" t="n"/>
      <c r="H24" s="148">
        <f>IF(OR(F24="",G24=""),"",G24-F24)</f>
        <v/>
      </c>
      <c r="I24" s="145" t="n"/>
      <c r="J24" s="160" t="n"/>
    </row>
    <row r="25">
      <c r="A25" s="145" t="n"/>
      <c r="B25" s="145" t="n"/>
      <c r="C25" s="145" t="n"/>
      <c r="D25" s="145" t="n"/>
      <c r="E25" s="145" t="n"/>
      <c r="F25" s="148">
        <f>IF(D25="","",IFERROR(VLOOKUP(D25,$L$5:$M$10,2,FALSE),""))</f>
        <v/>
      </c>
      <c r="G25" s="145" t="n"/>
      <c r="H25" s="148">
        <f>IF(OR(F25="",G25=""),"",G25-F25)</f>
        <v/>
      </c>
      <c r="I25" s="145" t="n"/>
      <c r="J25" s="160" t="n"/>
    </row>
    <row r="26">
      <c r="A26" s="145" t="n"/>
      <c r="B26" s="145" t="n"/>
      <c r="C26" s="145" t="n"/>
      <c r="D26" s="145" t="n"/>
      <c r="E26" s="145" t="n"/>
      <c r="F26" s="148">
        <f>IF(D26="","",IFERROR(VLOOKUP(D26,$L$5:$M$10,2,FALSE),""))</f>
        <v/>
      </c>
      <c r="G26" s="145" t="n"/>
      <c r="H26" s="148">
        <f>IF(OR(F26="",G26=""),"",G26-F26)</f>
        <v/>
      </c>
      <c r="I26" s="145" t="n"/>
      <c r="J26" s="160" t="n"/>
    </row>
    <row r="27">
      <c r="A27" s="145" t="n"/>
      <c r="B27" s="145" t="n"/>
      <c r="C27" s="145" t="n"/>
      <c r="D27" s="145" t="n"/>
      <c r="E27" s="145" t="n"/>
      <c r="F27" s="148">
        <f>IF(D27="","",IFERROR(VLOOKUP(D27,$L$5:$M$10,2,FALSE),""))</f>
        <v/>
      </c>
      <c r="G27" s="145" t="n"/>
      <c r="H27" s="148">
        <f>IF(OR(F27="",G27=""),"",G27-F27)</f>
        <v/>
      </c>
      <c r="I27" s="145" t="n"/>
      <c r="J27" s="160" t="n"/>
    </row>
    <row r="28">
      <c r="A28" s="145" t="n"/>
      <c r="B28" s="145" t="n"/>
      <c r="C28" s="145" t="n"/>
      <c r="D28" s="145" t="n"/>
      <c r="E28" s="145" t="n"/>
      <c r="F28" s="148">
        <f>IF(D28="","",IFERROR(VLOOKUP(D28,$L$5:$M$10,2,FALSE),""))</f>
        <v/>
      </c>
      <c r="G28" s="145" t="n"/>
      <c r="H28" s="148">
        <f>IF(OR(F28="",G28=""),"",G28-F28)</f>
        <v/>
      </c>
      <c r="I28" s="145" t="n"/>
      <c r="J28" s="160" t="n"/>
    </row>
    <row r="29">
      <c r="A29" s="145" t="n"/>
      <c r="B29" s="145" t="n"/>
      <c r="C29" s="145" t="n"/>
      <c r="D29" s="145" t="n"/>
      <c r="E29" s="145" t="n"/>
      <c r="F29" s="148">
        <f>IF(D29="","",IFERROR(VLOOKUP(D29,$L$5:$M$10,2,FALSE),""))</f>
        <v/>
      </c>
      <c r="G29" s="145" t="n"/>
      <c r="H29" s="148">
        <f>IF(OR(F29="",G29=""),"",G29-F29)</f>
        <v/>
      </c>
      <c r="I29" s="145" t="n"/>
      <c r="J29" s="160" t="n"/>
    </row>
    <row r="30">
      <c r="A30" s="145" t="n"/>
      <c r="B30" s="145" t="n"/>
      <c r="C30" s="145" t="n"/>
      <c r="D30" s="145" t="n"/>
      <c r="E30" s="145" t="n"/>
      <c r="F30" s="148">
        <f>IF(D30="","",IFERROR(VLOOKUP(D30,$L$5:$M$10,2,FALSE),""))</f>
        <v/>
      </c>
      <c r="G30" s="145" t="n"/>
      <c r="H30" s="148">
        <f>IF(OR(F30="",G30=""),"",G30-F30)</f>
        <v/>
      </c>
      <c r="I30" s="145" t="n"/>
      <c r="J30" s="160" t="n"/>
    </row>
    <row r="31">
      <c r="A31" s="145" t="n"/>
      <c r="B31" s="145" t="n"/>
      <c r="C31" s="145" t="n"/>
      <c r="D31" s="145" t="n"/>
      <c r="E31" s="145" t="n"/>
      <c r="F31" s="148">
        <f>IF(D31="","",IFERROR(VLOOKUP(D31,$L$5:$M$10,2,FALSE),""))</f>
        <v/>
      </c>
      <c r="G31" s="145" t="n"/>
      <c r="H31" s="148">
        <f>IF(OR(F31="",G31=""),"",G31-F31)</f>
        <v/>
      </c>
      <c r="I31" s="145" t="n"/>
      <c r="J31" s="160" t="n"/>
    </row>
    <row r="32">
      <c r="A32" s="145" t="n"/>
      <c r="B32" s="145" t="n"/>
      <c r="C32" s="145" t="n"/>
      <c r="D32" s="145" t="n"/>
      <c r="E32" s="145" t="n"/>
      <c r="F32" s="148">
        <f>IF(D32="","",IFERROR(VLOOKUP(D32,$L$5:$M$10,2,FALSE),""))</f>
        <v/>
      </c>
      <c r="G32" s="145" t="n"/>
      <c r="H32" s="148">
        <f>IF(OR(F32="",G32=""),"",G32-F32)</f>
        <v/>
      </c>
      <c r="I32" s="145" t="n"/>
      <c r="J32" s="160" t="n"/>
    </row>
    <row r="33">
      <c r="A33" s="145" t="n"/>
      <c r="B33" s="145" t="n"/>
      <c r="C33" s="145" t="n"/>
      <c r="D33" s="145" t="n"/>
      <c r="E33" s="145" t="n"/>
      <c r="F33" s="148">
        <f>IF(D33="","",IFERROR(VLOOKUP(D33,$L$5:$M$10,2,FALSE),""))</f>
        <v/>
      </c>
      <c r="G33" s="145" t="n"/>
      <c r="H33" s="148">
        <f>IF(OR(F33="",G33=""),"",G33-F33)</f>
        <v/>
      </c>
      <c r="I33" s="145" t="n"/>
      <c r="J33" s="160" t="n"/>
    </row>
    <row r="34">
      <c r="A34" s="145" t="n"/>
      <c r="B34" s="145" t="n"/>
      <c r="C34" s="145" t="n"/>
      <c r="D34" s="145" t="n"/>
      <c r="E34" s="145" t="n"/>
      <c r="F34" s="148">
        <f>IF(D34="","",IFERROR(VLOOKUP(D34,$L$5:$M$10,2,FALSE),""))</f>
        <v/>
      </c>
      <c r="G34" s="145" t="n"/>
      <c r="H34" s="148">
        <f>IF(OR(F34="",G34=""),"",G34-F34)</f>
        <v/>
      </c>
      <c r="I34" s="145" t="n"/>
      <c r="J34" s="160" t="n"/>
    </row>
    <row r="35">
      <c r="A35" s="145" t="n"/>
      <c r="B35" s="145" t="n"/>
      <c r="C35" s="145" t="n"/>
      <c r="D35" s="145" t="n"/>
      <c r="E35" s="145" t="n"/>
      <c r="F35" s="148">
        <f>IF(D35="","",IFERROR(VLOOKUP(D35,$L$5:$M$10,2,FALSE),""))</f>
        <v/>
      </c>
      <c r="G35" s="145" t="n"/>
      <c r="H35" s="148">
        <f>IF(OR(F35="",G35=""),"",G35-F35)</f>
        <v/>
      </c>
      <c r="I35" s="145" t="n"/>
      <c r="J35" s="160" t="n"/>
    </row>
    <row r="36">
      <c r="A36" s="145" t="n"/>
      <c r="B36" s="145" t="n"/>
      <c r="C36" s="145" t="n"/>
      <c r="D36" s="145" t="n"/>
      <c r="E36" s="145" t="n"/>
      <c r="F36" s="148">
        <f>IF(D36="","",IFERROR(VLOOKUP(D36,$L$5:$M$10,2,FALSE),""))</f>
        <v/>
      </c>
      <c r="G36" s="145" t="n"/>
      <c r="H36" s="148">
        <f>IF(OR(F36="",G36=""),"",G36-F36)</f>
        <v/>
      </c>
      <c r="I36" s="145" t="n"/>
      <c r="J36" s="160" t="n"/>
    </row>
    <row r="37">
      <c r="A37" s="145" t="n"/>
      <c r="B37" s="145" t="n"/>
      <c r="C37" s="145" t="n"/>
      <c r="D37" s="145" t="n"/>
      <c r="E37" s="145" t="n"/>
      <c r="F37" s="148">
        <f>IF(D37="","",IFERROR(VLOOKUP(D37,$L$5:$M$10,2,FALSE),""))</f>
        <v/>
      </c>
      <c r="G37" s="145" t="n"/>
      <c r="H37" s="148">
        <f>IF(OR(F37="",G37=""),"",G37-F37)</f>
        <v/>
      </c>
      <c r="I37" s="145" t="n"/>
      <c r="J37" s="160" t="n"/>
    </row>
    <row r="38">
      <c r="A38" s="145" t="n"/>
      <c r="B38" s="145" t="n"/>
      <c r="C38" s="145" t="n"/>
      <c r="D38" s="145" t="n"/>
      <c r="E38" s="145" t="n"/>
      <c r="F38" s="148">
        <f>IF(D38="","",IFERROR(VLOOKUP(D38,$L$5:$M$10,2,FALSE),""))</f>
        <v/>
      </c>
      <c r="G38" s="145" t="n"/>
      <c r="H38" s="148">
        <f>IF(OR(F38="",G38=""),"",G38-F38)</f>
        <v/>
      </c>
      <c r="I38" s="145" t="n"/>
      <c r="J38" s="160" t="n"/>
    </row>
    <row r="39">
      <c r="A39" s="145" t="n"/>
      <c r="B39" s="145" t="n"/>
      <c r="C39" s="145" t="n"/>
      <c r="D39" s="145" t="n"/>
      <c r="E39" s="145" t="n"/>
      <c r="F39" s="148">
        <f>IF(D39="","",IFERROR(VLOOKUP(D39,$L$5:$M$10,2,FALSE),""))</f>
        <v/>
      </c>
      <c r="G39" s="145" t="n"/>
      <c r="H39" s="148">
        <f>IF(OR(F39="",G39=""),"",G39-F39)</f>
        <v/>
      </c>
      <c r="I39" s="145" t="n"/>
      <c r="J39" s="160" t="n"/>
    </row>
    <row r="40">
      <c r="A40" s="145" t="n"/>
      <c r="B40" s="145" t="n"/>
      <c r="C40" s="145" t="n"/>
      <c r="D40" s="145" t="n"/>
      <c r="E40" s="145" t="n"/>
      <c r="F40" s="148">
        <f>IF(D40="","",IFERROR(VLOOKUP(D40,$L$5:$M$10,2,FALSE),""))</f>
        <v/>
      </c>
      <c r="G40" s="145" t="n"/>
      <c r="H40" s="148">
        <f>IF(OR(F40="",G40=""),"",G40-F40)</f>
        <v/>
      </c>
      <c r="I40" s="145" t="n"/>
      <c r="J40" s="160" t="n"/>
    </row>
    <row r="41">
      <c r="A41" s="145" t="n"/>
      <c r="B41" s="145" t="n"/>
      <c r="C41" s="145" t="n"/>
      <c r="D41" s="145" t="n"/>
      <c r="E41" s="145" t="n"/>
      <c r="F41" s="148">
        <f>IF(D41="","",IFERROR(VLOOKUP(D41,$L$5:$M$10,2,FALSE),""))</f>
        <v/>
      </c>
      <c r="G41" s="145" t="n"/>
      <c r="H41" s="148">
        <f>IF(OR(F41="",G41=""),"",G41-F41)</f>
        <v/>
      </c>
      <c r="I41" s="145" t="n"/>
      <c r="J41" s="160" t="n"/>
    </row>
    <row r="42">
      <c r="A42" s="145" t="n"/>
      <c r="B42" s="145" t="n"/>
      <c r="C42" s="145" t="n"/>
      <c r="D42" s="145" t="n"/>
      <c r="E42" s="145" t="n"/>
      <c r="F42" s="148">
        <f>IF(D42="","",IFERROR(VLOOKUP(D42,$L$5:$M$10,2,FALSE),""))</f>
        <v/>
      </c>
      <c r="G42" s="145" t="n"/>
      <c r="H42" s="148">
        <f>IF(OR(F42="",G42=""),"",G42-F42)</f>
        <v/>
      </c>
      <c r="I42" s="145" t="n"/>
      <c r="J42" s="160" t="n"/>
    </row>
    <row r="43">
      <c r="A43" s="145" t="n"/>
      <c r="B43" s="145" t="n"/>
      <c r="C43" s="145" t="n"/>
      <c r="D43" s="145" t="n"/>
      <c r="E43" s="145" t="n"/>
      <c r="F43" s="148">
        <f>IF(D43="","",IFERROR(VLOOKUP(D43,$L$5:$M$10,2,FALSE),""))</f>
        <v/>
      </c>
      <c r="G43" s="145" t="n"/>
      <c r="H43" s="148">
        <f>IF(OR(F43="",G43=""),"",G43-F43)</f>
        <v/>
      </c>
      <c r="I43" s="145" t="n"/>
      <c r="J43" s="160" t="n"/>
    </row>
    <row r="44">
      <c r="A44" s="145" t="n"/>
      <c r="B44" s="145" t="n"/>
      <c r="C44" s="145" t="n"/>
      <c r="D44" s="145" t="n"/>
      <c r="E44" s="145" t="n"/>
      <c r="F44" s="148">
        <f>IF(D44="","",IFERROR(VLOOKUP(D44,$L$5:$M$10,2,FALSE),""))</f>
        <v/>
      </c>
      <c r="G44" s="145" t="n"/>
      <c r="H44" s="148">
        <f>IF(OR(F44="",G44=""),"",G44-F44)</f>
        <v/>
      </c>
      <c r="I44" s="145" t="n"/>
      <c r="J44" s="160" t="n"/>
    </row>
  </sheetData>
  <mergeCells count="2">
    <mergeCell ref="A1:J1"/>
    <mergeCell ref="A2:J2"/>
  </mergeCells>
  <dataValidations count="1">
    <dataValidation sqref="D5 D6 D7 D8 D9 D10 D11 D12 D13 D14 D15 D16 D17 D18 D19 D20 D21 D22 D23 D24 D25 D26 D27 D28 D29 D30 D31 D32 D33 D34 D35 D36 D37 D38 D39 D40 D41 D42 D43 D44" showDropDown="0" showInputMessage="0" showErrorMessage="0" allowBlank="1" type="list">
      <formula1>"Short Sport,R1 - Interno,R1 - Externo,RIO,MAR,Clasica Microfibra"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2026-08-12T17:29:14Z</dcterms:created>
  <dcterms:modified xsi:type="dcterms:W3CDTF">2026-08-12T17:29:14Z</dcterms:modified>
</cp:coreProperties>
</file>