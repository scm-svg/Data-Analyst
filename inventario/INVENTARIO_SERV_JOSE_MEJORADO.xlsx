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DASHBOARD" sheetId="1" state="visible" r:id="rId1"/>
    <sheet name="INSTRUCCIONES" sheetId="2" state="visible" r:id="rId2"/>
    <sheet name="STOCK" sheetId="3" state="visible" r:id="rId3"/>
    <sheet name="ENTRADA" sheetId="4" state="visible" r:id="rId4"/>
    <sheet name="SALIDA" sheetId="5" state="visible" r:id="rId5"/>
    <sheet name="PRODUCTOS" sheetId="6" state="visible" r:id="rId6"/>
    <sheet name="ALERTAS" sheetId="7" state="visible" r:id="rId7"/>
    <sheet name="CONFIG" sheetId="8" state="visible" r:id="rId8"/>
    <sheet name="INVENTARIO ABC" sheetId="9" state="visible" r:id="rId9"/>
    <sheet name="PINTURAS_AUX" sheetId="10" state="visible" r:id="rId10"/>
  </sheets>
  <definedNames>
    <definedName name="SegmentaciónDeDatos_CATEGORIA">#N/A</definedName>
    <definedName name="SegmentaciónDeDatos_CATEGORIA1">#N/A</definedName>
    <definedName name="SegmentaciónDeDatos_CATEGORIA2">#N/A</definedName>
  </definedNames>
  <calcPr calcId="191029" fullCalcOnLoad="1"/>
  <pivotCaches>
    <pivotCache cacheId="2" r:id="rId11"/>
    <pivotCache cacheId="3" r:id="rId12"/>
    <pivotCache cacheId="4" r:id="rId13"/>
  </pivotCaches>
</workbook>
</file>

<file path=xl/styles.xml><?xml version="1.0" encoding="utf-8"?>
<styleSheet xmlns="http://schemas.openxmlformats.org/spreadsheetml/2006/main">
  <numFmts count="2">
    <numFmt numFmtId="164" formatCode="[$$-240A]\ #,##0.00"/>
    <numFmt numFmtId="165" formatCode="_ * #,##0.00_ ;_ * \-#,##0.00_ ;_ * &quot;-&quot;??_ ;_ @_ "/>
  </numFmts>
  <fonts count="15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  <color rgb="00FFFFFF"/>
      <sz val="18"/>
    </font>
    <font>
      <b val="1"/>
      <color rgb="002E75B6"/>
      <sz val="12"/>
    </font>
    <font>
      <color rgb="000563C1"/>
      <u val="single"/>
    </font>
    <font>
      <color rgb="00000000"/>
      <sz val="11"/>
    </font>
    <font>
      <b val="1"/>
      <color rgb="001F4E79"/>
      <sz val="12"/>
    </font>
    <font>
      <b val="1"/>
      <color rgb="002E75B6"/>
      <sz val="14"/>
    </font>
  </fonts>
  <fills count="8">
    <fill>
      <patternFill/>
    </fill>
    <fill>
      <patternFill patternType="gray125"/>
    </fill>
    <fill>
      <patternFill patternType="solid">
        <fgColor theme="0"/>
        <bgColor theme="8" tint="0.599993896298104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2">
    <xf numFmtId="0" fontId="6" fillId="0" borderId="0"/>
    <xf numFmtId="43" fontId="6" fillId="0" borderId="0"/>
  </cellStyleXfs>
  <cellXfs count="78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14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2" fillId="0" borderId="0" applyAlignment="1" applyProtection="1" pivotButton="0" quotePrefix="0" xfId="0">
      <alignment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3" fillId="0" borderId="0" applyAlignment="1" applyProtection="1" pivotButton="0" quotePrefix="0" xfId="0">
      <alignment horizontal="center" vertical="center"/>
      <protection locked="0" hidden="0"/>
    </xf>
    <xf numFmtId="2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indent="1"/>
    </xf>
    <xf numFmtId="0" fontId="0" fillId="0" borderId="0" applyAlignment="1" applyProtection="1" pivotButton="0" quotePrefix="0" xfId="0">
      <alignment horizontal="center" vertical="center"/>
      <protection locked="0" hidden="0"/>
    </xf>
    <xf numFmtId="14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1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5" fontId="0" fillId="0" borderId="0" applyAlignment="1" applyProtection="1" pivotButton="0" quotePrefix="0" xfId="1">
      <alignment horizontal="center" vertical="center"/>
      <protection locked="0" hidden="0"/>
    </xf>
    <xf numFmtId="0" fontId="0" fillId="0" borderId="13" pivotButton="0" quotePrefix="0" xfId="0"/>
    <xf numFmtId="0" fontId="0" fillId="4" borderId="6" applyAlignment="1" pivotButton="0" quotePrefix="0" xfId="0">
      <alignment horizontal="center" vertical="center"/>
    </xf>
    <xf numFmtId="0" fontId="0" fillId="3" borderId="1" pivotButton="0" quotePrefix="0" xfId="0"/>
    <xf numFmtId="0" fontId="0" fillId="2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3" borderId="6" pivotButton="0" quotePrefix="0" xfId="0"/>
    <xf numFmtId="0" fontId="4" fillId="2" borderId="10" applyAlignment="1" pivotButton="0" quotePrefix="0" xfId="0">
      <alignment horizontal="center" vertical="center"/>
    </xf>
    <xf numFmtId="0" fontId="4" fillId="3" borderId="11" pivotButton="0" quotePrefix="0" xfId="0"/>
    <xf numFmtId="0" fontId="4" fillId="3" borderId="1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7" fillId="5" borderId="14" applyAlignment="1" pivotButton="0" quotePrefix="0" xfId="0">
      <alignment horizontal="center" vertical="center" wrapText="1"/>
    </xf>
    <xf numFmtId="0" fontId="0" fillId="6" borderId="14" pivotButton="0" quotePrefix="0" xfId="0"/>
    <xf numFmtId="3" fontId="0" fillId="6" borderId="14" pivotButton="0" quotePrefix="0" xfId="0"/>
    <xf numFmtId="0" fontId="0" fillId="7" borderId="14" pivotButton="0" quotePrefix="0" xfId="0"/>
    <xf numFmtId="3" fontId="0" fillId="7" borderId="14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applyProtection="1" pivotButton="0" quotePrefix="0" xfId="0">
      <alignment horizontal="center" vertical="center"/>
      <protection locked="0" hidden="0"/>
    </xf>
    <xf numFmtId="0" fontId="7" fillId="5" borderId="14" applyAlignment="1" applyProtection="1" pivotButton="0" quotePrefix="0" xfId="0">
      <alignment horizontal="center" vertical="center" wrapText="1"/>
      <protection locked="0" hidden="0"/>
    </xf>
    <xf numFmtId="1" fontId="0" fillId="0" borderId="0" pivotButton="0" quotePrefix="0" xfId="0"/>
    <xf numFmtId="165" fontId="0" fillId="0" borderId="0" applyAlignment="1" applyProtection="1" pivotButton="0" quotePrefix="0" xfId="1">
      <alignment horizontal="center" vertical="center"/>
      <protection locked="0" hidden="0"/>
    </xf>
  </cellXfs>
  <cellStyles count="2">
    <cellStyle name="Normal" xfId="0" builtinId="0"/>
    <cellStyle name="Millares" xfId="1" builtinId="3"/>
  </cellStyles>
  <dxfs count="92">
    <dxf>
      <alignment horizontal="center" vertical="center"/>
    </dxf>
    <dxf>
      <alignment horizontal="center" vertical="center"/>
    </dxf>
    <dxf>
      <alignment horizontal="center" vertical="center"/>
      <protection locked="1" hidden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numFmt numFmtId="2" formatCode="0.00"/>
      <alignment horizontal="center" vertical="center"/>
      <protection locked="0" hidden="0"/>
    </dxf>
    <dxf>
      <alignment horizontal="center" vertical="center"/>
      <protection locked="0" hidden="0"/>
    </dxf>
    <dxf>
      <numFmt numFmtId="19" formatCode="d/m/yyyy"/>
      <alignment horizontal="center" vertical="center"/>
      <protection locked="0" hidden="0"/>
    </dxf>
    <dxf>
      <numFmt numFmtId="19" formatCode="d/m/yyyy"/>
      <alignment horizontal="center" vertical="center"/>
      <protection locked="0" hidden="0"/>
    </dxf>
    <dxf>
      <alignment horizontal="center" vertical="center"/>
      <protection locked="0" hidden="0"/>
    </dxf>
    <dxf>
      <numFmt numFmtId="0" formatCode="General"/>
      <alignment horizontal="center" vertical="center"/>
      <protection locked="1" hidden="0"/>
    </dxf>
    <dxf>
      <alignment horizontal="center" vertical="center"/>
    </dxf>
    <dxf>
      <numFmt numFmtId="0" formatCode="General"/>
      <alignment horizontal="center" vertical="center"/>
      <protection locked="1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numFmt numFmtId="164" formatCode="[$$-240A]\ #,##0.00"/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1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numFmt numFmtId="0" formatCode="General"/>
      <alignment horizontal="center" vertical="center"/>
      <protection locked="0" hidden="0"/>
    </dxf>
    <dxf>
      <alignment horizontal="center" vertical="center"/>
      <protection locked="0" hidden="0"/>
    </dxf>
    <dxf>
      <numFmt numFmtId="0" formatCode="General"/>
      <alignment horizontal="center" vertical="center"/>
      <protection locked="0" hidden="0"/>
    </dxf>
    <dxf>
      <alignment horizontal="center" vertical="center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 wrapText="1"/>
      <protection locked="0" hidden="0"/>
    </dxf>
    <dxf>
      <alignment horizontal="center" vertical="center"/>
      <protection locked="1" hidden="0"/>
    </dxf>
    <dxf>
      <alignment horizontal="center" vertical="center"/>
      <protection locked="1" hidden="0"/>
    </dxf>
    <dxf>
      <alignment horizontal="center" vertical="center"/>
      <protection locked="1" hidden="0"/>
    </dxf>
    <dxf>
      <numFmt numFmtId="0" formatCode="General"/>
      <alignment horizontal="center" vertical="center"/>
      <protection locked="1" hidden="0"/>
    </dxf>
    <dxf>
      <alignment horizontal="center" vertical="center"/>
      <protection locked="1" hidden="0"/>
    </dxf>
    <dxf>
      <numFmt numFmtId="0" formatCode="General"/>
      <alignment horizontal="center" vertical="center"/>
      <protection locked="1" hidden="0"/>
    </dxf>
    <dxf>
      <alignment horizontal="center" vertical="center"/>
      <protection locked="1" hidden="0"/>
    </dxf>
    <dxf>
      <numFmt numFmtId="0" formatCode="General"/>
      <alignment horizontal="center" vertical="center"/>
      <protection locked="1" hidden="0"/>
    </dxf>
    <dxf>
      <alignment horizontal="center" vertical="center"/>
      <protection locked="1" hidden="0"/>
    </dxf>
    <dxf>
      <numFmt numFmtId="0" formatCode="General"/>
      <alignment horizontal="center" vertical="center"/>
      <protection locked="1" hidden="0"/>
    </dxf>
    <dxf>
      <alignment horizontal="center" vertical="center"/>
      <protection locked="1" hidden="0"/>
    </dxf>
    <dxf>
      <numFmt numFmtId="0" formatCode="General"/>
      <alignment horizontal="center" vertical="center"/>
      <protection locked="1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numFmt numFmtId="0" formatCode="General"/>
      <alignment horizontal="center" vertical="center"/>
      <protection locked="0" hidden="0"/>
    </dxf>
    <dxf>
      <alignment horizontal="center" vertical="center"/>
    </dxf>
    <dxf>
      <alignment horizontal="center" vertical="center"/>
      <protection locked="0" hidden="0"/>
    </dxf>
    <dxf>
      <alignment horizontal="center" vertical="center"/>
      <protection locked="0" hidden="0"/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pivotCacheDefinition" Target="/xl/pivotCache/pivotCacheDefinition1.xml" Id="rId11" /><Relationship Type="http://schemas.openxmlformats.org/officeDocument/2006/relationships/pivotCacheDefinition" Target="/xl/pivotCache/pivotCacheDefinition2.xml" Id="rId12" /><Relationship Type="http://schemas.openxmlformats.org/officeDocument/2006/relationships/pivotCacheDefinition" Target="/xl/pivotCache/pivotCacheDefinition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ose Villanueva" refreshedDate="46079.61990520833" createdVersion="7" refreshedVersion="7" minRefreshableVersion="3" recordCount="185" r:id="rId1">
  <cacheSource type="worksheet">
    <worksheetSource name="SALIDAS"/>
  </cacheSource>
  <cacheFields count="8">
    <cacheField name="N°" uniqueList="1" numFmtId="0" sqlType="0" hierarchy="0" level="0" databaseField="1">
      <sharedItems count="0" containsInteger="1" containsNumber="1" containsSemiMixedTypes="0" containsString="0" minValue="1" maxValue="185"/>
    </cacheField>
    <cacheField name="CODIGO" uniqueList="1" numFmtId="0" sqlType="0" hierarchy="0" level="0" databaseField="1">
      <sharedItems count="0"/>
    </cacheField>
    <cacheField name="CATEGORIA" uniqueList="1" numFmtId="0" sqlType="0" hierarchy="0" level="0" databaseField="1">
      <sharedItems count="9">
        <s v="FERRETERIA"/>
        <s v="OFICINA"/>
        <s v="REFRIGERACION"/>
        <s v="ELECTRICIDAD"/>
        <s v="MISCELANEOS"/>
        <s v="UNIFORME"/>
        <s v="HERRAMIENTA"/>
        <s v="AUTOMOTRIZ"/>
        <s v="ELECTRONICO"/>
      </sharedItems>
    </cacheField>
    <cacheField name="PRODUCTO" uniqueList="1" numFmtId="0" sqlType="0" hierarchy="0" level="0" databaseField="1">
      <sharedItems count="0"/>
    </cacheField>
    <cacheField name="FECHA" uniqueList="1" numFmtId="14" sqlType="0" hierarchy="0" level="0" databaseField="1">
      <sharedItems count="0" containsDate="1" containsNonDate="0" containsSemiMixedTypes="0" containsString="0" minDate="2026-02-11T00:00:00" maxDate="2026-02-27T00:00:00"/>
    </cacheField>
    <cacheField name="CANTIDAD" uniqueList="1" numFmtId="0" sqlType="0" hierarchy="0" level="0" databaseField="1">
      <sharedItems count="0" containsNumber="1" containsSemiMixedTypes="0" containsString="0" minValue="0.25" maxValue="100"/>
    </cacheField>
    <cacheField name="TIENDA" uniqueList="1" numFmtId="0" sqlType="0" hierarchy="0" level="0" databaseField="1">
      <sharedItems count="17">
        <s v="CEDI SECO "/>
        <s v="PERIFERICO"/>
        <s v="NAGUANAGUA 3"/>
        <s v="ISABELICA"/>
        <s v="CEDI FRIO"/>
        <s v="TAZAJAL"/>
        <s v="CEDI FRUVER"/>
        <s v="GUACARA"/>
        <s v="FLOR AMARILLO"/>
        <s v="SAN DIEGO"/>
        <s v="TOCUYITO"/>
        <s v="NAGUANAGUA 2"/>
        <s v="AV. BOLIVAR"/>
        <s v="NAGUANAGUA 1"/>
        <s v="LA VEGA (CARACAS)"/>
        <s v="PARAPARAL"/>
        <s v="MAÑONGO"/>
      </sharedItems>
    </cacheField>
    <cacheField name="RESPONSABLE" uniqueList="1" numFmtId="0" sqlType="0" hierarchy="0" level="0" databaseField="1">
      <sharedItems count="0" containsBlank="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Jose Villanueva" refreshedDate="46092.01777951389" createdVersion="7" refreshedVersion="7" minRefreshableVersion="3" recordCount="704" r:id="rId1">
  <cacheSource type="worksheet">
    <worksheetSource name="LISTADO"/>
  </cacheSource>
  <cacheFields count="5">
    <cacheField name="N°" uniqueList="1" numFmtId="0" sqlType="0" hierarchy="0" level="0" databaseField="1">
      <sharedItems count="0" containsBlank="1" containsInteger="1" containsNumber="1" containsString="0" minValue="1" maxValue="635"/>
    </cacheField>
    <cacheField name="CODIGOS" uniqueList="1" numFmtId="0" sqlType="0" hierarchy="0" level="0" databaseField="1">
      <sharedItems count="0"/>
    </cacheField>
    <cacheField name="CATEGORIA" uniqueList="1" numFmtId="0" sqlType="0" hierarchy="0" level="0" databaseField="1">
      <sharedItems count="13">
        <s v="REFRIGERACION"/>
        <s v="FERRETERIA"/>
        <s v="ILUMINACION"/>
        <s v="ELECTRICIDAD"/>
        <s v="HERRAMIENTA"/>
        <s v="OFICINA"/>
        <s v="MISCELANEOS"/>
        <s v="ELECTRONICO"/>
        <s v="UNIFORME"/>
        <s v="AUTOMOTRIZ"/>
        <s v="HERRERIA"/>
        <s v="PLOMERIA"/>
        <s v="LIMPIEZA"/>
      </sharedItems>
    </cacheField>
    <cacheField name="PRODUCTOS" uniqueList="1" numFmtId="0" sqlType="0" hierarchy="0" level="0" databaseField="1">
      <sharedItems count="0"/>
    </cacheField>
    <cacheField name="UBICACIÓN" uniqueList="1" numFmtId="0" sqlType="0" hierarchy="0" level="0" databaseField="1">
      <sharedItems count="0" containsBlank="1" containsNonDate="0" containsString="0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Jose Villanueva" refreshedDate="46185.40121203704" createdVersion="7" refreshedVersion="7" minRefreshableVersion="3" recordCount="1172" r:id="rId1">
  <cacheSource type="worksheet">
    <worksheetSource name="PRODUCTOS"/>
  </cacheSource>
  <cacheFields count="8">
    <cacheField name="N°" uniqueList="1" numFmtId="0" sqlType="0" hierarchy="0" level="0" databaseField="1">
      <sharedItems count="0" containsInteger="1" containsMixedTypes="1" containsNumber="1" minValue="1" maxValue="1172"/>
    </cacheField>
    <cacheField name="CODIGO" uniqueList="1" numFmtId="0" sqlType="0" hierarchy="0" level="0" databaseField="1">
      <sharedItems count="0"/>
    </cacheField>
    <cacheField name="CATEGORIA" uniqueList="1" numFmtId="0" sqlType="0" hierarchy="0" level="0" databaseField="1">
      <sharedItems count="13">
        <s v="REFRIGERACION"/>
        <s v="FERRETERIA"/>
        <s v="ILUMINACION"/>
        <s v="ELECTRICIDAD"/>
        <s v="HERRAMIENTA"/>
        <s v="OFICINA"/>
        <s v="MISCELANEOS"/>
        <s v="ELECTRONICO"/>
        <s v="UNIFORME"/>
        <s v="AUTOMOTRIZ"/>
        <s v="HERRERIA"/>
        <s v="PLOMERIA"/>
        <s v="LIMPIEZA"/>
      </sharedItems>
    </cacheField>
    <cacheField name="PRODUCTO" uniqueList="1" numFmtId="0" sqlType="0" hierarchy="0" level="0" databaseField="1">
      <sharedItems count="1172">
        <s v="VARILLA PLATA AL 5% 50CM"/>
        <s v="VARILLA PLATA 0% 50CM"/>
        <s v="TUERCA HEX 5/16-18"/>
        <s v="TUERCA HEX 10-1.50"/>
        <s v="TUBO LED 30 CM"/>
        <s v="TUBERIA CORRUGADA PVC NEGRO 3/4 METRO"/>
        <s v="TUBERIA CORRUGADA PVC NEGRO 1/2 METRO"/>
        <s v="TRIANGULO DE SEGURIDAD PEQ."/>
        <s v="TRIANGULO DE SEGURIDAD GRANDE"/>
        <s v="TORNILLO DRAYWALL 3&quot;"/>
        <s v="TORNILLO DRAYWALL 1.5&quot;"/>
        <s v="TORNILLO C/HEX 5/16-18 X 3/4"/>
        <s v="TORNILLO C/HEX 10-1.50 X 80"/>
        <s v="TONER"/>
        <s v="TOALLA SUPER ABSORBENTE X KG"/>
        <s v="TIJERA PARA PODAR 8&quot;"/>
        <s v="TIJERA MULTIFUNCIONAL 9&quot; TOTAL"/>
        <s v="TIJERA"/>
        <s v="TESTER CAPACIMETRO DIGITAL"/>
        <s v="TERMOSTATO A/A -30/+30"/>
        <s v="TERMOMETRO INFRARROJO"/>
        <s v="TERMINAL PARA CABLE AMARILLO"/>
        <s v="TERMICO NEV. 1/4 HP 110V"/>
        <s v="TERMICO NEV. 1/3 HP 110V"/>
        <s v="TEMPORIZADOR DE RIEGO"/>
        <s v="SUPERVISOR TRIFASICO 22OV"/>
        <s v="SOBRE MANILA T/OFICIO"/>
        <s v="SIERRA PARA PANELES DE YESO"/>
        <s v="SEPARADORES T/CARTA"/>
        <s v="SELLADORA DE BOLSA EXCELL"/>
        <s v="SELLADORA 300MM"/>
        <s v="SACAPUNTAS"/>
        <s v="SACA GRAPA"/>
        <s v="RUEDA NYLON 4X2 GIRATORIA FERK"/>
        <s v="RUEDA NYLON 4X2 FIJA FERK"/>
        <s v="RUEDA CARRO SUPERMERCADO 5&quot;"/>
        <s v="RUEDA 1 1/2&quot; N/N GIRATORIA"/>
        <s v="ROLLO PAPEL CONTAC NEGRO"/>
        <s v="ROKU MXQ PRO 4K"/>
        <s v="RODILLO PARA TRASPALETA 80 X 70"/>
        <s v="RODAMIENTO 6306 2RS1/C3"/>
        <s v="RODAMIENTO 6300 2RS"/>
        <s v="RODAMIENTO 6206 2RS1/C3"/>
        <s v="RODAMIENTO 6204 2RS/C3"/>
        <s v="RODAMIENTO 6200 2RS"/>
        <s v="RESMA DE HOJA BLANCA T/ OFICIO"/>
        <s v="RESMA DE HOJA BLANCA T/ CARTA"/>
        <s v="RESALTADOR NARANJA"/>
        <s v="RESALTADOR FUCSIA"/>
        <s v="RESALTADOR AMARILLO"/>
        <s v="REMACHADORA"/>
        <s v="TEMPORIZADOR DE DESCONGELACION UNIV. GRADUABLE"/>
        <s v="RELAY NEV. ELECTRO 4 PATAS"/>
        <s v="RELAY FAN 24V 4 TERM RF-90360"/>
        <s v="REGULADOR DE VOLTAJE CDP"/>
        <s v="REGULADOR DE NITROGENO"/>
        <s v="REGLETA ELECTRICA 6 TOMA TROEN"/>
        <s v="REGLETA ELECTRICA 10 TOMA TROEN"/>
        <s v="REFLECTOR LED COLORES 100W"/>
        <s v="REFLECTOR LED 50W"/>
        <s v="RODAMIENTO 620 IRS"/>
        <s v="RADIO PORTATIL GREAVAL"/>
        <s v="RADIO PORTATIL BAOFENG"/>
        <s v="QUEMADOR DE REVERBERO DIMAINCA"/>
        <s v="PUNZON EXPANZOR DE CAÑO REFRIGERACION"/>
        <s v="PROYECTOR DE JARDIN DE JARDIN MHAZOZE"/>
        <s v="PROTECTOR NEVERA EXCELINE GSM-N120"/>
        <s v="PROTECTOR MICROONDAS 110V EXCELINE"/>
        <s v="PROTECTOR DE CORRIENTE PEQ"/>
        <s v="PROTECTOR DE CIRCUITO DE MOTOR 3 POLOS"/>
        <s v="PROTECTOR A/A EXCELINE 220V CAB/CAB"/>
        <s v="PROTECTOR A/A EXCELINE 220V"/>
        <s v="PRECINTADORA MANUAL EXCELL"/>
        <s v="PORTA PRECIO ADHESIVO"/>
        <s v="PLASTIMESA TRANSPARENTE 0,15 MM X METRO"/>
        <s v="PIQUETA DE HERRERIA"/>
        <s v="PINZA DE ELECTRICISTA"/>
        <s v="PINTURA AL FRIO"/>
        <s v="RAMPLUS AZUL"/>
        <s v="PANEL LED REDONDO EMPOTRABLE 36W"/>
        <s v="PANEL LED REDONDO EMPOTRABLE 24W"/>
        <s v="PANEL LED REDONDO EMPOTRABLE 18W"/>
        <s v="PANEL LED CUADRADO SUPERFICIAL 36W"/>
        <s v="PANEL LED CUADRADO SUPERFICIAL 24W"/>
        <s v="PALUSTRA LISA"/>
        <s v="PALUSTRA DENTADA"/>
        <s v="PALA PEQ PLASTICO USO DOMESTICO"/>
        <s v="PICO P/ SOLDAR"/>
        <s v="MONITOR DE CONT. BILLETE"/>
        <s v="MICROFONO INALAMBRICO"/>
        <s v="MICROFONO CON CABLE"/>
        <s v="NAVAJA PICO LORO 8&quot; EXXEL"/>
        <s v="MECHA DE METAL PEQ."/>
        <s v="MECHA HSS KRAFT DIN 338 - 10"/>
        <s v="MARCADOR PIZARRA NEGRO"/>
        <s v="MARCADOR PIZARRA AZUL"/>
        <s v="MARCADOR AZUL PERMANENTE"/>
        <s v="MARACADOR NEGRO PERMANENTE"/>
        <s v="MANOMETRO CON MANGUERAS"/>
        <s v="MANGUERA DESAGUE A/A 1/2&quot; 2M"/>
        <s v="MANGUERA DE LIMPIEZA DE TUBERIA"/>
        <s v="MANGUERA DE ALTA PRESION ROJA"/>
        <s v="MANGUERA DE ALTA PRESION HIDRO JET"/>
        <s v="MANGO DE RODILLO SIN CAMISA"/>
        <s v="MANDARRIA DE GOMA"/>
        <s v="MARTILLO MANGO DE MADERA"/>
        <s v="LLAVE PARA TUERCA DE CAMIONES"/>
        <s v="LLAVE DE TUBO 14&quot;"/>
        <s v="MANDARREA CON MANGO DE MADERA"/>
        <s v="LLAVE DE CARRACA DE DOBLE EXTREMO"/>
        <s v="LLAVE CORREA PARA FILTRO DE ACEITE"/>
        <s v="LLAVE ALLENS"/>
        <s v="LLAVE AJUSTABLE 8&quot;"/>
        <s v="LLAVE AJUSTABLE 6&quot;"/>
        <s v="LLAVE DE TUBO 12&quot;"/>
        <s v="LLAVE AJUSTABLE 10&quot;"/>
        <s v="LIJADORA ORBITAL"/>
        <s v="LAPIZ DE GRAFITO"/>
        <s v="LAMPARA TIPO UFO AC85-305V 150W"/>
        <s v="LAMPARA TIPO UFO AC85-265V 150W"/>
        <s v="LAMPARA LED TIPO CAÑON 10W"/>
        <s v="LAMPARA LED DE POSTE 500W"/>
        <s v="LAMPARA LED DE POSTE 400W"/>
        <s v="LAMPARA LED DE POSTE 200W"/>
        <s v="LAMPARA LED DE POSTE 100W"/>
        <s v="LAMPARA LED A PRUEBA DE HUMEDAD 20W"/>
        <s v="LAMPARA DE EMERGENCIA NEGRA"/>
        <s v="LAMPARA DE EMERGENCIA 5W"/>
        <s v="LAMPARA DE EMERGENCIA 20 X 0.2W"/>
        <s v="KIT DE PRENSA PARA TUBERIAS"/>
        <s v="LLAVE AJUSTABLE 12&quot; X 300MM"/>
        <s v="JUEGO DE LLAVE TORX 10 PZAS"/>
        <s v="JUEGO DE LLAVE EXAGONAL"/>
        <s v="JUEGO DE DESTORNILLADOR SIX PACK VERDE"/>
        <s v="JUEGO DE DESTORNILLADOR SIX PACK ROJO"/>
        <s v="JUEGO DE DESTORNILLADOR RELOGERO"/>
        <s v="JUEGO DE DESTORNILLADOR 2 PACK"/>
        <s v="HUELLERO"/>
        <s v="JUEGO DE DADOS 1/4 12 PZAS"/>
        <s v="GORRA NEGRA"/>
        <s v="GATO HIDRAULICO6 TONELADAS"/>
        <s v="GATO HIDRAULICO 30 TONELADAS"/>
        <s v="HOJA DE SIERRA 7,25&quot;"/>
        <s v="GANCHO PARA EXTINTOR"/>
        <s v="GALON THINER ACRILICO"/>
        <s v="GALON PINTURA SATINADO AMARILLO"/>
        <s v="GALON PINTURA SATINADA BLANCO"/>
        <s v="GALON PINTURA ESMALTE VERDE GRANJA"/>
        <s v="GALON PINTURA ESMALTE NEGRO"/>
        <s v="GALON PINTURA ESMALTE GRIS MATE"/>
        <s v="GALON PINTURA ESMALTE GRIS CLARO"/>
        <s v="GALON PINTURA ESMALTE BLANCO"/>
        <s v="GALON PINTURA ESMALTE AMARILLO CATEPILLAR"/>
        <s v="GALON PINTURA EPOXY GRIS"/>
        <s v="GALON PINTURA EPOXY BLANCO"/>
        <s v="GALON PINTURA CAUCHO MARRON CHOCOLATE"/>
        <s v="GALON PINTURA CAUCHO BLANCO"/>
        <s v="GALON PINTURA CAUCHO AMARILLO REAL"/>
        <s v="GALON PINTURA CAUCHO AMARILLO DUNA"/>
        <s v="GALON PINTURA ALTO TRAFICO BLANCO"/>
        <s v="GALON PINTURA ALTO TRAFICO AZUL"/>
        <s v="GALON PINTURA ALTO TRAFICO AMARILLO"/>
        <s v="GALON IMPERMEABILIZANTE GRIS"/>
        <s v="FUNDAS P/PLASTIFICAR 9 X 14.5"/>
        <s v="FRANELILLA AZUL T/XL"/>
        <s v="FRANELILLA AZUL T/M"/>
        <s v="FRANELILLA AZUL T/L"/>
        <s v="FRANELA VERDE DAMA T/XXL"/>
        <s v="FRANELA VERDE DAMA T/XL"/>
        <s v="FRANELA VERDE DAMA T/S"/>
        <s v="FRANELA VERDE DAMA T/M"/>
        <s v="FRANELA VERDE DAMA T/L"/>
        <s v="FRANELA VERDE CABALLERO T/XXL"/>
        <s v="FRANELA VERDE CABALLERO T/XL"/>
        <s v="FRANELA VERDE CABALLERO T/S"/>
        <s v="FRANELA VERDE CABALLERO T/M"/>
        <s v="FRANELA VERDE CABALLERO T/L"/>
        <s v="FRANELA AZUL CABALLERO T/S"/>
        <s v="FRANELA AZUL CABALLERO T/M"/>
        <s v="FRANELA CABALLERO T/L"/>
        <s v="FRANELA AZUL DAMA T/XL"/>
        <s v="FRANELA AZUL DAMA T/S"/>
        <s v="FRANELA AZUL DAMA T/M"/>
        <s v="FRANELA AZUL DAMA T/L"/>
        <s v="FRANELA AZUL CABALLERO T/XL"/>
        <s v="FRANELA AZUL CABALLERO T/L"/>
        <s v="FOAMI VERDE T/CARTA"/>
        <s v="FLUSH KIT"/>
        <s v="FILTRO SEC BULL 3/8 3-6 TON ROSCA"/>
        <s v="FAROLA SOLAR 300W"/>
        <s v="FAROLA SOLAR 200W"/>
        <s v="FAROLA SOLAR 100W"/>
        <s v="EXTRACTOR DE RODAMIENTO"/>
        <s v="GALON FONDO ANTICORROCIVO NEGRO"/>
        <s v="EXTRACTOR DE ENGRANAJE Y POLEAS"/>
        <s v="EXTENCION ELECTRICA INDUSTRIAL 3 TOMA"/>
        <s v="GALON FONDO ANTICORROCIVO GRIS OSCURO"/>
        <s v="ESPATULA PEQ."/>
        <s v="ESPATULA GRANDE"/>
        <s v="GALON CEMENTO PLASTICO"/>
        <s v="ENGRASADORA MANUAL"/>
        <s v="ENGRAPADORA"/>
        <s v="GALON BARNIS"/>
        <s v="DOBLADORA MANUAL DE TUBOS"/>
        <s v="EXTRACTOR DE ESTAÑO"/>
        <s v="EXACTO 18 X 100 MM TOTAL"/>
        <s v="ESPATULA DE METAL 60 MM TOTAL"/>
        <s v="ELECTRODO PAQUETE 5K E6013 3/32"/>
        <s v="ELECTRODO PAQUETE 5K E6013 1/8"/>
        <s v="DESTORNILLADOR/TALADRO INALAMBRICO RYOBI ONE+"/>
        <s v="DESTORNILLADOR RELOJERO T8 X 50"/>
        <s v="DESTORNILLADOR RELOJERO T6 X 50"/>
        <s v="DESTORNILLADOR RELOJERO T10 X 50"/>
        <s v="DESTORNILLADOR RELOJERO PH000 X 50"/>
        <s v="DESTORNILLADOR RELOJERO 3 X 50"/>
        <s v="DESTORNILLADOR RELOJERO 2,5 X 50"/>
        <s v="DESTORNILLADOR RELOJERO 1,5 X 50"/>
        <s v="DESTORNILLADOR DE PALA PEQ."/>
        <s v="DESTORNILLADOR DE PALA MEDIANO"/>
        <s v="DESTORNILLADOR DE PALA INC-CO"/>
        <s v="DESTORNILLADOR DE PALA ELECTRICISTA"/>
        <s v="DISCO TROZADORA 14&quot;"/>
        <s v="DISCO DESSBANES 7&quot;"/>
        <s v="DISCO DESSBANES 4&quot;"/>
        <s v="DISCO CORTE 7&quot;"/>
        <s v="DISCO CORTE 4.5&quot;"/>
        <s v="CUÑETE PINTURA ESMALTE VERDE GRANJA"/>
        <s v="CUÑETE PINTURA ESMALTE BLANCO"/>
        <s v="CUÑETE PINTURA CAUCHO VERDE GRANJA"/>
        <s v="CUÑETE PINTURA CAUCHO NEGRO"/>
        <s v="CUÑETE PINTURA CAUCHO GRIS CLARO"/>
        <s v="CUCHILLO 8&quot; EXCALIBUR"/>
        <s v="CUCHILLO 7&quot; EXCALIBUR"/>
        <s v="CUCHARON MEDIANO"/>
        <s v="CUCHARA DE ALBAÑILERIA GRANDE"/>
        <s v="CUADERNO CUADRICULADO"/>
        <s v="CUADERNO 1 LINEA"/>
        <s v="CRIMPADORA HIDRAULICA"/>
        <s v="CORTADOR DE VIDRIO MANUAL"/>
        <s v="CORTADOR DE TUBO"/>
        <s v="COPA 3/8 REFORZADA"/>
        <s v="CONTROLADOR TV DE PARED"/>
        <s v="CONTROL TV SANKEY"/>
        <s v="CONTROL TV JVC"/>
        <s v="CONTROL TV CLX"/>
        <s v="CONTROL ROKU VIZZION"/>
        <s v="CONTROL A/C MUNDO BLANCO"/>
        <s v="CONTROL A/C CONDESA"/>
        <s v="CONTACTOR ELECTRICO CI 9"/>
        <s v="CONDENSADOR A/A VENTANA 2 MF 450V CUADRADO"/>
        <s v="CONDENSADOR A/A 60MF 450V EN ACEITE"/>
        <s v="COMPRESOR 5HP PANASONIC R410A 220V"/>
        <s v="COMPRESOR 1HP 220V/R-404 MONOFASICO"/>
        <s v="BOMBILLO VERDE CONICO 18 W"/>
        <s v="CIZALLA MANUAL 42&quot;"/>
        <s v="CINTA PLASTICA PEQ"/>
        <s v="CINTA METRICA 10M WOKIN"/>
        <s v="CINTA LED COLORES C/ ACCESORIOS"/>
        <s v="CINTA AISLANTE NO ADHESIVA 2&quot; 15M MOMIA"/>
        <s v="CINCEL CON PROTECTOR"/>
        <s v="CHEMISE VERDE DAMA T/XXL"/>
        <s v="CHEMISE VERDE DAMA T/XL"/>
        <s v="CHEMISE VERDE DAMA T/S"/>
        <s v="CHEMISE VERDE DAMA T/M"/>
        <s v="CHEMISE VERDE DAMA T/L"/>
        <s v="CHEMISE VERDE CABALLERO T/XXL"/>
        <s v="CHEMISE VERDE CABALLERO T/XL"/>
        <s v="CHEMISE VERDE CABALLERO T/S"/>
        <s v="CHEMISE VERDE CABALLERO T/M"/>
        <s v="CHEMISE VERDE CABALLERO T/L"/>
        <s v="CHEMISE AZUL DAMA T/XXL"/>
        <s v="CHEMISE AZUL DAMA T/XL"/>
        <s v="CHEMISE AZUL DAMA T/M"/>
        <s v="CHEMISE AZUL DAMA T/L"/>
        <s v="CHEMISE AZUL CABALLERO T/XXL"/>
        <s v="CHEMISE AZUL CABALLERO T/XL"/>
        <s v="CHEMISE AZUL CABALLERO T/M"/>
        <s v="CHEMISE AZUL CABALLERO T/L"/>
        <s v="CHEMISE AMARILLA DAMA T/XXL"/>
        <s v="CHEMISE AMARILLA DAMA T/XL"/>
        <s v="CHEMISE AMARILLA DAMA T/S"/>
        <s v="CHEMISE AMARILLA DAMA T/M"/>
        <s v="CHEMISE AMARILLA DAMA T/L"/>
        <s v="CHEMISE AMARILLA CABALLERO T/M"/>
        <s v="CHEMISE AMARILLA CABALLERO T/L"/>
        <s v="CHALECO VERDE T/XL"/>
        <s v="CHALECO VERDE T/S"/>
        <s v="CHALECO VERDE T/M"/>
        <s v="CHALECO VERDE T/L"/>
        <s v="CHAIRA 8&quot; VENEZIA"/>
        <s v="CUÑETE PINTURA CAUCHO BLANCO"/>
        <s v="CUÑETE PINTURA ALTO TRAFICO AMARILLO"/>
        <s v="CEPILLO DE ALBAÑILERIA"/>
        <s v="CAVA PEQ. NARANJA"/>
        <s v="CAVA GRANDE 49L ROJA"/>
        <s v="CAUTIN ELECTRICO 60W 110V"/>
        <s v="CARPETA MARRON T/CARTA"/>
        <s v="CARPETA MANILA T/CARTA"/>
        <s v="CARGADOR DE BATERIA INTELIGENTE"/>
        <s v="CAPILAR 0.49 (METRO)"/>
        <s v="CUÑETE PASTA PROFECIONAL"/>
        <s v="CUÑETE IMPERMEABILIZANTE GRIS"/>
        <s v="CUÑETE IMPERMEABILIZANTE BLANCO"/>
        <s v="CUÑETE CEMENTO PLASTICO"/>
        <s v="CERRADURA P/ GAVETA 2 LLAVES"/>
        <s v="CERRADURA DE MANILLA 3 LLAVES"/>
        <s v="CANDADO DE COMBINACION P/ INTERIOR"/>
        <s v="CANDADO ANTICIZALLA 90MM"/>
        <s v="CAMISA NEGRA MAYOR DAMA T/XXL"/>
        <s v="CAMISA NEGRA MAYOR DAMA T/XL"/>
        <s v="CAMISA NEGRA MAYOR DAMA T/S"/>
        <s v="CAMISA NEGRA MAYOR DAMA T/M"/>
        <s v="CAMISA NEGRA MAYOR DAMA T/L"/>
        <s v="CAMISA NEGRA MAYOR CABALLERO T/XXL"/>
        <s v="CAMISA NEGRA MAYOR CABALLERO T/S"/>
        <s v="CAMISA NEGRA MAYOR CABALLERO T/M"/>
        <s v="CAMISA NEGRA MAYOR CABALLERO T/L"/>
        <s v="CAMISA NEGRA DETAL DAMA T/XXL"/>
        <s v="CAMISA NEGRA DETAL DAMA T/XL"/>
        <s v="CAMISA NEGRA DETAL DAMA T/M"/>
        <s v="CAMISA NEGRA DETAL DAMA T/L"/>
        <s v="CAMISA NEGRA DETAL CABALLERO T/XXL"/>
        <s v="CAMISA NEGRA DETAL CABALLERO T/L"/>
        <s v="CAMARA INALAMBRICA ONVIF"/>
        <s v="CALCULADORA BERNICE N30"/>
        <s v="CALCULADORA BERNICE LY634"/>
        <s v="CAJA DE GRAPAS LISA"/>
        <s v="CAJA DE GRAPAS CORRUGADA"/>
        <s v="CABLE N°6 ROJO (METRO)"/>
        <s v="CABLE N°6 BLANCO (METRO)"/>
        <s v="CABLE N°12 ROJO (METRO)"/>
        <s v="CABLE N° 8 NEGRO (METRO)"/>
        <s v="CABLE N° 8 BLANCO (METRO)"/>
        <s v="CABLE N° 8 AZUL (METRO)"/>
        <s v="CABLE N° 4 NEGRO (METRO)"/>
        <s v="CABLE N° 2 BLANCO (METRO)"/>
        <s v="CABLE N° 16 ROJO (METRO)"/>
        <s v="CABLE N° 16 GRIS (METRO)"/>
        <s v="CABLE HDMI MEDIANO"/>
        <s v="CABLE HDMI CORTO"/>
        <s v="CABLE AUXILIARES TOTAL"/>
        <s v="CABALLETE DE SOPORTE AUTOMOTRIZ"/>
        <s v="BROCA PARA CONCRETO 9/16"/>
        <s v="BROCA PARA CONCRETO 5/8"/>
        <s v="BROCA PARA CONCRETO 5/32"/>
        <s v="BROCA PARA CONCRETO 5/16 LARGA"/>
        <s v="BROCA PARA CONCRETO 5/16 CORTA"/>
        <s v="BROCA PARA CONCRETO 3/8 LARGA"/>
        <s v="BROCA PARA CONCRETO 3/8"/>
        <s v="BROCA PARA CONCRETO 3/16"/>
        <s v="BROCA PARA CONCRETO 1/4 LARGA"/>
        <s v="BROCA PARA CONCRETO 1/4 CORTA"/>
        <s v="BROCA PARA CONCRETO 1/2 LARGA"/>
        <s v="BREAKER TERMOMAGNETICO C6 DZ49-63 1 POLO"/>
        <s v="BREAKER TERMOMAGNETICO C3 YCB9-63 2 POLOS"/>
        <s v="BREAKER TERMOMAGNETICO C10 ADB3-63 2 POLOS"/>
        <s v="PORTAFUSIBLE CILINDRICO 32 A. 10 x 38 "/>
        <s v="BREAKER 70 A. 2 POLOS"/>
        <s v="BREAKER 60 A. 2 POLOS"/>
        <s v="BREAKER 50 A. 2 POLOS"/>
        <s v="BREAKER 40 A. 2 POLOS"/>
        <s v="BREAKER 40 A. 1 POLO"/>
        <s v="BREAKER 30 A. 3 POLOS"/>
        <s v="BREAKER 30 A. 2 POLOS EMPOTRABLE"/>
        <s v="BREAKER 30 A. 2 POLOS"/>
        <s v="BREAKER 30 A. 1 POLO"/>
        <s v="BREAKER 20 A. 2 POLOS"/>
        <s v="BREAKER 20 A. 1 POLO"/>
        <s v="CANDADO ANTICIZALLA 80MM"/>
        <s v="CANDADO ANTICIZALLA 75MM"/>
        <s v="BORRADOR PIZARRA"/>
        <s v="BOMBILLO LED TUBULAR 15W"/>
        <s v="BOMBILLO LED REDONDO 38W"/>
        <s v="BOMBILLO LED REDONDO 20W"/>
        <s v="BOMBILLO LED REDONDO 18W"/>
        <s v="BOMBILLO LED ESFERICO 18W"/>
        <s v="BOMBILLO LED CON DISIPADOR 100W"/>
        <s v="BOMBA DE VACIO GRANDE"/>
        <s v="BOLIGRAFO TINTA AZUL"/>
        <s v="CANDADO ANTICIZALLA 100MM CISA"/>
        <s v="ARNE DE SEGURIDAD"/>
        <s v="CANDADO 63MM INC-CO"/>
        <s v="CANDADO 60MM UNITY"/>
        <s v="APLIQUE LED CUADRADO PARA PARED 5W"/>
        <s v="CANDADO 30MM"/>
        <s v="BRAZO HIDRAULICO PARA PUERTA 45-60 KG"/>
        <s v="BOTA DE HULE T/40"/>
        <s v="BARRACUDA MECHA CILD 5/16"/>
        <s v="ALICATE DE PRESION TIPO CHAPALETA"/>
        <s v="ARANDELA PLANA 5/16"/>
        <s v="ARANDELA PLANA 125A 10MM"/>
        <s v="ALICATE PUNTA LARGA AISLADO"/>
        <s v="CONTACTOR 3 POLOS 220V"/>
        <s v="ALICATE PIQUETA 6&quot; EXXEL"/>
        <s v="NIVEL DE BURBULA 40CM"/>
        <s v="NIVEL DE BURBUJA 50CM"/>
        <s v="NIVEL DE BURBUJA 60CM"/>
        <s v="SIERRA COPA 2,18&quot;"/>
        <s v="CONECTOR DE HIDRO JET"/>
        <s v="BROCA DE CONCRETO 5/16 X 30CM"/>
        <s v="KIT DE ABORCADO 45°"/>
        <s v="MEDIDOR SECUENTIMETRO 3 FACES"/>
        <s v="TERMOSTATO DIGITAL 1 ETAPA STAR GREEN"/>
        <s v="TERMOSTATO DIGITAL PROGRAMABLE EVERWELL"/>
        <s v="TERMOSTATO DIGITAL PROGRAMABLE QD-HVACIO"/>
        <s v="TERMOSTATO REFRIGERACION F200"/>
        <s v="TEMPORIZADOR DE RETARDO EVERWELL DOB-072"/>
        <s v="TEMPORIZADOR DE RETARDO QD-072"/>
        <s v="PRESOSTATO ALTA PRESION A.R. COMPONENTS"/>
        <s v="PROTECTOR TERMICO COMPRESOR"/>
        <s v="PRESOSTATO ALTA PRESION EVERWELL PH 35025"/>
        <s v="CONTROLADOR ELECTRONICO DE REFRIGERACION DANFOSS"/>
        <s v="CODO DE COBRE SOLDABLE 90° 3/8"/>
        <s v="CODO DE COBRE SOLDABLE 90° 1/2"/>
        <s v="CODO DE COBRE SOLDABLE 90° 3/4"/>
        <s v="CODO DE COBRE SOLDABLE 90° 7/8"/>
        <s v="PRESOSTATO DUAL DE ALTA Y BAJA PRESION"/>
        <s v="VALVULA DE EXPANSIÓN TERMOSTATICA"/>
        <s v="SIFON DE COBRE 5/8"/>
        <s v="BOMBONA DE GAS PROPANO"/>
        <s v="DIELECTRICO 1KG"/>
        <s v="DIELECTRICO 0,5KG"/>
        <s v="FILTRO SECADOR 5/16-1/4 30G"/>
        <s v="FILTRO SECADOR 3/8 SEK-163S 3-4 TON SOLDABLE"/>
        <s v="FILTRO SECADOR KHALED 1/4 FEKH-052"/>
        <s v="FILTRO SECADOR KHALED 5/8 FEKH-165"/>
        <s v="FILTRO SECADOR A.R. COMPONENTS 5/8 RFR-165"/>
        <s v="FILTRO SECADOR QA QUALITY 3/8 SEK-163F"/>
        <s v="FILTRO SECADOR SEK-164 1/2 4-6 TON ROSCABLE"/>
        <s v="FILTRO SECADOR KHALED 1/2 FEKH-164"/>
        <s v="FILTRO SECADOR KHALED 1/4-7/16"/>
        <s v="FILTRO SECADOR A.R. COMPONENTS 1/4 RFR-32"/>
        <s v="FILTRO SECADOR EVERWELL 3/8 SEK-083"/>
        <s v="VARILLA PLATA 2% 50CM"/>
        <s v="FUNDENTE EN PASTA FLUX-4"/>
        <s v="VALVULA DE SERVICIO"/>
        <s v="UNIDAD RECTA DE COMPRESION"/>
        <s v="CONTROL DE PRESION DE BAJA RANCO"/>
        <s v="RELEY TEMPORIZADOR MODULAR DLT RP522TH00"/>
        <s v="SISTEMA DE CONTROL UNIVERSAL PARA A/A"/>
        <s v="TERMOSTATO ANALOGICO A.R. COMPONENTS RT-57"/>
        <s v="MANOMETRO DE BAJA PRESION"/>
        <s v="MANOMETRO DE BAJA PRESION C/GLISERINA"/>
        <s v="MANOMETRO DE REFRIGERACION HONGSEN"/>
        <s v="BOBINA ELECTROMAGNETICA PARA ELECTROVALVULA DANFOSS"/>
        <s v="BIMETALICO"/>
        <s v="RELEY DE ARRANQUE P/COMPRESOR 4 PATAS"/>
        <s v="PROTECTOR TERMICO P/MOTORES DE REFRIGERACION 1/4 HP"/>
        <s v="PROTECTOR TERMICO P/MOTORES DE REFRIGERACION 1/3 HP"/>
        <s v="ORIFICO PARA VALVULA DE EXPANSIÓN"/>
        <s v="VALVULA SELNOIDE EMERSON 200RB"/>
        <s v="SENSOR DE TEMPERATURA PARA A/A"/>
        <s v="MANGUERA DE DESAGUE A/A 1/2 1,5M"/>
        <s v="TUBO CAPILAR DE COBRE 0,031 X 0,081 (METRO)"/>
        <s v="TUBO CAPILAR DE COBRE 0,036 X 0,087 (METRO)"/>
        <s v="TUBO DE COBRE 3/8 X 0,032MM (METRO)"/>
        <s v="ACEITE 15W-40 SHELL LITRO"/>
        <s v="FILTRO ACEITE 3387"/>
        <s v="BATERIA DUNCAN 242-1150"/>
        <s v="ACEITE 20W-50 SHELL LITRO"/>
        <s v="ACEITE 80W-90 LRAX LITRO"/>
        <s v="ALICATE MECANICO 10&quot;"/>
        <s v="ALICATE ELECTRICISTA 8&quot;"/>
        <s v="ALICATE DE PRESION RECTO"/>
        <s v="MOTOR VENTILADOR FANCOOLERS ACFAN 12881BITL"/>
        <s v="ARMAFLEX 7/8 X 3/8"/>
        <s v="BROCHA 2&quot; ECO"/>
        <s v="BROCHA 3&quot; ECO"/>
        <s v="BROCHA 4&quot; ECO"/>
        <s v="FUNDA PARA RODILLO CAUCHO 9&quot;"/>
        <s v="1/4 GALON PINTURA ESMALTE ALUMINIO"/>
        <s v="1/4 GALON CATALIZADOR EPOXICO"/>
        <s v="BOLIGRAFO TINTA NEGRA"/>
        <s v="COMPRESOR TECUMSEH 3/4 220V R-404"/>
        <s v="CONTROL A/A UNIVERSAL KT-4000-6000"/>
        <s v="JUEGO DE HERREMIENTA 121 PCS ROCCIA"/>
        <s v="JUEGO DE LLAVES INGLESAS 12 PZAS 6MM-32MM ROCCIA"/>
        <s v="BUJE DE TRIMOTO"/>
        <s v="REMACHE 3/16"/>
        <s v="TAPA POCETA BLANCO"/>
        <s v="TORNILLO DE METAL 1/4 X 3/4"/>
        <s v="TUERCA HEXAGONAL G2 1/4"/>
        <s v="HERRAJE CON MANILLA GRIVEN"/>
        <s v="LLAVE DE PASO 1/2 BRONCE IVANCI"/>
        <s v="LLAVE DE CHORRO P/R"/>
        <s v="CONEXIÓN PARA MANGUERA 1/2 BRONCE BELT-G"/>
        <s v="TIRRO BLANCO LUMISTAR 1&quot; X 30 M"/>
        <s v="GRIFO LAVAMANO IND METALICO GRIVEN"/>
        <s v="LLAVE DE ARRESTO 1/2 GRIVEN"/>
        <s v="LLAVE DE PASO 3/4 BRONCE KOBATEX"/>
        <s v="UNION DRESS PVC 3/4"/>
        <s v="TEFLON 3/4 15 M GRANDE"/>
        <s v="CANILLA PLASTICA 1/2 X 1/2 40 CM"/>
        <s v="BALANZA DE MOSTRADOR 40 KG ROCCIA"/>
        <s v="PANEL LED EMPOTRABLE 60 X 120 48W"/>
        <s v="TRAMPAGRASA EN ACERO 430"/>
        <s v="ANILLO 1&quot; PVC"/>
        <s v="CODO 90° 1&quot; PVC"/>
        <s v="T 1&quot; PVC"/>
        <s v="CODO 90° 1&quot; ROSCA"/>
        <s v="T 3/4 PVC"/>
        <s v="ANILLO 3/4 PVC"/>
        <s v="ADAPTADOR MACHO 3/4 PCV A ROSCA"/>
        <s v="CODO 90° 3/4 PVC"/>
        <s v="CODO 45° 1&quot; PVC"/>
        <s v="REDUCTOR 1&quot; A 3/4 PVC"/>
        <s v="TAPON MACHO 3/4 PVC"/>
        <s v="CODO 90° PVC 1/2"/>
        <s v="CODO 90° ROSCA 1/2"/>
        <s v="TAPON HEMBRA BLANCO 1/2 ROSCA"/>
        <s v="UNION DRESS 3&quot;"/>
        <s v="VALVULA CHECK 2&quot;"/>
        <s v="NIPLE GALVANIZADO 1/2"/>
        <s v="ANILLO GALVANIZADO 1/2"/>
        <s v="ANILLO GALVANIZADO 1&quot;"/>
        <s v="ANILLO GALVANIZADO 3/4"/>
        <s v="T GALVANIZADA 1/2"/>
        <s v="UNION DRESS 1/2 AZUL"/>
        <s v="UNION DRESS 1/2 BLANCO"/>
        <s v="UNION DRESS 3/4 BLANCO"/>
        <s v="TAPON MACHO GALVANIZADO 1/2"/>
        <s v="UNION 1/2 BLANCO"/>
        <s v="ADAPTADOR 2&quot;"/>
        <s v="VALVULA CHECK PVC 2&quot;"/>
        <s v="VALVULA CHECK 1,5&quot;"/>
        <s v="CODO 90° AGUA CALIENTE 1/2"/>
        <s v="T AGUA CALIENTE 1/2"/>
        <s v="SOLDADURA LIQUIDA PVC"/>
        <s v="SOLDADURA LIQUIDA PVC PEQ"/>
        <s v="CENTRO PISO ACERO INOXIDABLE 10 X 10"/>
        <s v="SOPORTE PARA PAPEL SANITARIO"/>
        <s v="VALVULA DE PASO 1/2"/>
        <s v="CAPILAR 0.42 (METRO)"/>
        <s v="PANEL LED EMPOTRABLE 30 X 120 48W"/>
        <s v="PANEL LED SUPERFICIAL 30 X 120 48W"/>
        <s v="TUBO LED T5 90CM 12W"/>
        <s v="TUBO LED T5 120CM 20W"/>
        <s v="LAMPARA TIPO UFO AC85-305V 200W"/>
        <s v="TUBO GALVANIZADO 3/4 6 METRO"/>
        <s v="CODO GALVANIZADO 90° 3/4"/>
        <s v="CODO GALVANIZADO 45° 3/4"/>
        <s v="LLAVE DE PASO 3/4"/>
        <s v="HIDRO JET 110V 1400W 1900PSI"/>
        <s v="CERRADURA PARA CAVA CUARTO C/ LLAVE"/>
        <s v="REGATON CUADRADO DE 1,5 X 1,5"/>
        <s v="REGATON CUADRADO DE 1 X 1"/>
        <s v="REGATON RECTANGULAR 2 X 1 INTERNO"/>
        <s v="REGATON CUADRADO 3/4 X 3/4"/>
        <s v="BOMBA DE AGUA 2 HP 110V"/>
        <s v="MALLA CEDAZO 0,91 3 ORIFICIO POR PULGADA"/>
        <s v="CINTA NEON LED CON ACCESORIO"/>
        <s v="LUZ TESTIGO VERDE"/>
        <s v="LUZ TESTIGO ROJA"/>
        <s v="ADAPTADORES DE ROSCA PARA BOMBILLO"/>
        <s v="SWITCH SELECTOR DE 1 PASE"/>
        <s v="TOMA CORRIENTE DOBLE"/>
        <s v="TOMA CORRIENTE INDIVIDUALE 220V"/>
        <s v="TOMA CORRIENTE INDIVIDUAL 110V"/>
        <s v="ADAPTADOR DE ENCHUNFE 110V"/>
        <s v="CAPACITOR DE 3 MFD 450V CUADRADO"/>
        <s v="CAJETIN 4 X 4"/>
        <s v="TEIPE"/>
        <s v="CAJETIN EXAGONAL BLANCO"/>
        <s v="CAJETIN EXAGONAL NEGRO"/>
        <s v="CAMISA PARA RODILLO 4&quot;"/>
        <s v="SILICON DE TUBO"/>
        <s v="CAJETIN 4 X 2"/>
        <s v="TAPA REDONDA 3&quot;"/>
        <s v="TAPA CUADRADA 4 X 4"/>
        <s v="ABRAZADERA 1&quot;"/>
        <s v="CINTA AMARILLA DE PREVENCION"/>
        <s v="CURVA PARA TUBERIA ELECTRICA 1/2"/>
        <s v="CURVA PARA TUBERIA ELECTRICA 3/4"/>
        <s v="ADAPTADOR PARA TUBERIA ELECTRICA 1&quot;"/>
        <s v="ADAPTADOR PARA TUBERIA ELECTRICA 1/2"/>
        <s v="TAPA CIEGA DE BRONCE 4&quot;"/>
        <s v="ABRAZADERA 1/2"/>
        <s v="CAJA CON TAPA 3 X 4"/>
        <s v="TAPA CIEGA 30 X 30"/>
        <s v="ABRAZADERA DE 2&quot;"/>
        <s v="JUEGO DE OLLAS 22 PIEZAS"/>
        <s v="ASPIRADORA 20 LITROS"/>
        <s v="MICROONDAS HYUNDAI 20 L"/>
        <s v="MICROONDAS CONDESA 20 L"/>
        <s v="COLCHON INFLABLE CON INFLADOR"/>
        <s v="PLANTA DE SONIDO"/>
        <s v="MINI COMPONENTE DE SONIDO"/>
        <s v="CONTADORA DE BILLETE 700 X 355 X 310 MM"/>
        <s v="CONTADORA DE BILLETE 337 X 355 X 290 MM"/>
        <s v="SMARTV 45&quot;"/>
        <s v="SMARTV 55&quot;"/>
        <s v="SMARTV DAMASCO 50&quot;"/>
        <s v="SMARTV 32&quot; HYUNDAI"/>
        <s v="SMARTV 42&quot; HYUNDAI"/>
        <s v="SMARTV 50&quot; JVC"/>
        <s v="SMARTV 50&quot; HYUNDAI"/>
        <s v="COMPRESOR TECUMSEH 1,5 HP 220V R-22"/>
        <s v="GALON PINTURA ESMALTE MARRON"/>
        <s v="RAMPLU VERDE"/>
        <s v="TORNILLO A/R PLANA 8 X 11/4"/>
        <s v="TUBO 3/4 PVC X METRO"/>
        <s v="TORNILLO A/R PLANA 14 X 1"/>
        <s v="CODO 45° 1/2 PVC"/>
        <s v="GUANTE DE TELA PUNTOS NEGROS X PAR"/>
        <s v="TORNILLO HEXGONAL GRUESO 5/16 X 3/4"/>
        <s v="ARANDELA PRESION 5/16"/>
        <s v="MACHO PARA ENROSCAR 5/16"/>
        <s v="TORNILLO DRAYWALL 1&quot;"/>
        <s v="TORNILLO DRAYWALL 7/16 GARRAPATA"/>
        <s v="MOTOR AXIAL 18&quot; 1500/1580 RPM 220V KIEL"/>
        <s v="DESAGUE CON REJILLA ANTICUCARACHA"/>
        <s v="CERRADURA PARA EMPOTRAR 35"/>
        <s v="COPIAS DE LLAVES"/>
        <s v="BISAGRA PARA SOLDAR 3&quot;"/>
        <s v="NIPLE GALVANIZADO 3/4 X 5&quot;"/>
        <s v="NIPLE GALVANIZADO 3/4 X 4&quot;"/>
        <s v="REDUCCION GALVANIZADA AF BUSHING 1 X 3/4"/>
        <s v="REDUCCION GALVANIZADA AF BUSHING 1 X 1/2"/>
        <s v="NIPLE GALVANIZADO 1/2 X 6&quot;"/>
        <s v="NIPLE GALVANIZADO 1/2 X 4&quot;"/>
        <s v="NIPLE GALVANIZADO 1/2 X 3&quot;"/>
        <s v="CODO GALVANIZADO 90° 1/2"/>
        <s v="PLANTA ELECTRICA 125KVA C/ TRANFER"/>
        <s v="EXACTO PLASTICO IMP"/>
        <s v="TAPA DE TOMA CORRIENTE DOBLE"/>
        <s v="MANGUERA TRANSPARENTE 3/4"/>
        <s v="ABRAZADERA GALVANIZADA 3/4"/>
        <s v="TAPA CIEGA 4 X 2 BLANCO"/>
        <s v="TUBO ELECTRICO 1/2 BLANCO (METRO)"/>
        <s v="CURVA ELECTRICA PVC BLANCO 1/2"/>
        <s v="TUERCA HEXAGONAL G2 GRUESO 1/4"/>
        <s v="PUNTA DE ESTRIA Y PALA"/>
        <s v="ADAPTADOR PLASTICO P/ TANQUE 1/2"/>
        <s v="TORNILLO PARA REJILLA"/>
        <s v="CAPACITOR DE MARCHA 20/1,5 MFD 450V"/>
        <s v="CAPACITOR PERMANENTE 145-174 MFD 11OV"/>
        <s v="CAPACITOR 40+15 MFD 250 V"/>
        <s v="CAPACITOR DE MARCHA 80 MFD 440/450 VAC"/>
        <s v="CAPACITOR DE MARCHA 30+3 MFD 440/450 VAC"/>
        <s v="CAPACITOR DE MARCHA 35+7 MFD 440/450 VAC"/>
        <s v="CAPACITOR DE MARCHA 35+5 MFD 370/440 VAC"/>
        <s v="CAPACITOR DE MARCHA 60 MFD 370/440 VAC"/>
        <s v="DISCO PARA MADERA 7 1/4&quot; 7/8&quot; 6"/>
        <s v="DISCO PARA MADERA 7 1/4&quot; 7/8&quot; 4"/>
        <s v="CEPILLO DE BARRER"/>
        <s v="PIPOTES 65 LITROS"/>
        <s v="HARAGAN PEQUEÑO"/>
        <s v="CUCHILLO DE SIERRA N°8"/>
        <s v="CUCHILLO PROCHEF N°9"/>
        <s v="CUCHARON PEQUEÑO"/>
        <s v="CABO DE PLASTICO PARA PALA "/>
        <s v="CAPACITOR DE MARCHA 5 MFD"/>
        <s v="CANILLA PLASTICA 1/2 X 5/8 40 CM"/>
        <s v="FILTRO DE AIRE PRIMARIO PARA MOTOR CUMMINS 6BTAA5.9"/>
        <s v="FILTRO DE AIRE SECUNDARIO PARA MOTOR CUMMINS 6BTAA5.9"/>
        <s v="TOBO DE LIMPIEZA"/>
        <s v="PALA CON CABO"/>
        <s v="PAÑITO NEGRO DE LIMPIEZA"/>
        <s v="COLETO NEGRO"/>
        <s v="CABO DE MADERA PARA CEPILLO DE BARRER"/>
        <s v="BISAGRA PARA PECERA"/>
        <s v="TORNILLO PARA VISAGRA DE PECERA"/>
        <s v="ELECTRODO E6013 3/32 UNIDAD"/>
        <s v="ESPUMA DE POLIUTERANO MULTIUSO"/>
        <s v="BRAZO HIDRAULICO PARA PUERTA 45-60 KG (SIN BRASO)"/>
        <s v="RUEDA PARA PORTON TIPO U"/>
        <s v="REGULADOR DE BOMBONA DE GAS ENROSCABLE"/>
        <s v="ABRAZADERA DE ACERO 21-38 MM"/>
        <s v="ESPATULA PLASTICA 4&quot;"/>
        <s v="ESPATULA PLASTICA 5&quot;"/>
        <s v="CORREDERA TELESCOPICA PARA CAJON 30 CM"/>
        <s v="BUJE O SOPORTE DE GOMA DE COMPRESOR"/>
        <s v="PEGAMENTO DE FORMICA Y CHAPILLA 1/4 GALON"/>
        <s v="LENTE DE SEGURIDAD"/>
        <s v="BISAGRA 2&quot;"/>
        <s v="TIRRA BLANCO 4.8 X 350MM (UNIDAD)"/>
        <s v="RAMPLU DE ACERO EXPANCIBLE 3/8"/>
        <s v="TORNILLO DE ALTA RESISTENCIA CON TUERCA 4&quot;"/>
        <s v="POMO DE PECERA (PAR)"/>
        <s v="RAMPLU DE ACERO EXPANCIBLE 1/2"/>
        <s v="EXTRACTOR DE AIRE PLASTICO 10&quot; EVERWELL"/>
        <s v="CABO DE METAL PARA CEPILLO DE BARRER"/>
        <s v="CEPILLO PARA LAVAR INODORO"/>
        <s v="CINTA ANTIDESLIZANTE NEGRO/AMARILLO (ROLLO 5M)"/>
        <s v="VALVULA CHECK 1/2 BRONCE"/>
        <s v="CABLE N°18 AZUL (METRO)"/>
        <s v="CABLE N°18 BLANCO (METRO)"/>
        <s v="CABLE N°18 NEGRO (METRO)"/>
        <s v="CABLE N°14 NEGRO (METRO)"/>
        <s v="CABLE N°14 BLANCO (METRO)"/>
        <s v="TUBO DE COBRE FLEXIBLE 1/2 (METRO)"/>
        <s v="TUBO DE COBRE FLEXIBLE 7/8 (METRO)"/>
        <s v="ARMAFLEX 1,1/8 X 3/8"/>
        <s v="FILTRO SECADOR SOLDABLE 1/2"/>
        <s v="CAMISA NEGRA DETAL CABALLERO T/XL"/>
        <s v="TUBO ELECTRICO 3/4 BLANCO 3 METRO"/>
        <s v="TUBERIA CORRUGADA GALVANIZADA 3/4 (METRO)"/>
        <s v="FILTRO SECADOR SOLDABLE 1/2 EVERWELL"/>
        <s v="RAMPLU NARANJA"/>
        <s v="TRABA ROSCA AZUL"/>
        <s v="UNION DRESS GALVANIZADO 3/4"/>
        <s v="TORNILLO A/R PLANA 12 X 11/4"/>
        <s v="BISAGRA PARA COCINA HIDRAULICA CON FRENO (PAR)"/>
        <s v="PEGA-MIX TRANSPARENTE 35G"/>
        <s v="RESISTENCIA DE SELLADORA"/>
        <s v="TAPON HEMBRA PVC 3/4"/>
        <s v="UNION UNIVERSAL PVC 3/4"/>
        <s v="TUBO 1/2 PVC (METRO)"/>
        <s v="PERFIL UNITRU 3/4"/>
        <s v="ABRAZADERA MOROCHA UNITRU 3/4"/>
        <s v="ABRAZADERA MOROCHA UNITRU 2&quot;"/>
        <s v="ADAPTADOR TERMINAL GALVANIZADO 1/2"/>
        <s v="ADAPTADOR TERMINAL PLASTICO 1/2"/>
        <s v="ADAPTADOR TERMINAL PLASTICO 3/4"/>
        <s v="BREAKER 60 A. 3 POLOS"/>
        <s v="REFLECTOR LED 300W"/>
        <s v="TUBO RECTANGULAR 2 X 1 X 1,10 MM 6 METROS"/>
        <s v="TUBO CUADRADO 1 X 1 X 1,1MM 6 METROS"/>
        <s v="LAMINA GALVANIZADA 3 MM X 120 X 240"/>
        <s v="ANGULO SIDER 40 X 40 X 3 MM X 6 METROS"/>
        <s v="ANGULO SIDER 30 X 30 X 3 MM X 6 METROS"/>
        <s v="PLETINA 1,1/2&quot; X 3/16&quot; X 6 METROS"/>
        <s v="PLETINA 1&quot; X 3/16&quot; X 6 METROS"/>
        <s v="ALAMBRON LISO 6 MM X 6 METROS"/>
        <s v="BARRA REDONDA LISA 12 MM X 6 METROS"/>
        <s v="TUBO CUADRADO 1,1/2 X 1,1/2 X 1,1 MM X 6 METROS"/>
        <s v="TUBO RECTANGULAR 3 X 1 X 1,20 MM X 6 METROS"/>
        <s v="LAMINA GALVANIZADA 0,9 MM X 120 X 244"/>
        <s v="TRASPALETADE 3 T RUEDAS DE NYLON ROCCIA"/>
        <s v="CONDENSADOR 5 MCF 250V"/>
        <s v="CONDENSADOR 684 J/ 630 V"/>
        <s v="CORREA A-51"/>
        <s v="MANGUERA HIDRAULICA 3/8 (METRO)"/>
        <s v="MANGUERA HIDRAULICA 1/4 (METRO)"/>
        <s v="BATERIA B 121314L-AZ"/>
        <s v="EXTINTOR PEQUEÑO"/>
        <s v="MANTENIMIENTO DE PLANTA ELECTRICA"/>
        <s v="MANTENIMIENTO DE BARITANTAQUE"/>
        <s v="ALFOMBRA DE CAUCHO"/>
        <s v="ESTAÑO (METRO)"/>
        <s v="AIRE ACONDICIONADO SPLIT 19000 BTU DEC. MUNDO BLANCO"/>
        <s v="DISPENSADOR DE AGUA CARGA SUPERIOR NEGRO MILATTI"/>
        <s v="AIRE ACONDICIONADO VENTANA 13000 BTU ANALG"/>
        <s v="ESCOBILLONES"/>
        <s v="HARAGAN GRANDE 16&quot;"/>
        <s v="CEPILLO DE LAVAR A MANO"/>
        <s v="MOTOR VENTILADOR A/A 1/2 HP 220V"/>
        <s v="TUBO LED T8 120 CM"/>
        <s v="LAMPARA LED ANTIPOLVO 120CM"/>
        <s v="TUBO LED T8 60 CM"/>
        <s v="BASE PARA A/A 120 KG"/>
        <s v="BASE PARA A/A 200 KG"/>
        <s v="PIPOTE GRANDE"/>
        <s v="ARENA LAVADA (SACO)"/>
        <s v="METYLOSA SUPERGEL 50GR"/>
        <s v="MANILLA P/PUERTA FIJA BLANCO"/>
        <s v="TORNILLO A/R PLANA 12 X 1"/>
        <s v="UNION UNIVERSAL GALVANIZADO 3/4"/>
        <s v="TORNILLO DRAYWALL 6 X 2,5"/>
        <s v="PASADOR GALVANIZADO 4&quot;"/>
        <s v="BROCA PARA METAL 5/32"/>
        <s v="REMACHE 5/32"/>
        <s v="BISAGRA PARA SOLDAR 4&quot;"/>
        <s v="MECATE #9 5/16 (METRO)"/>
        <s v="TUBO PARA LAMPARA MATA MOSCAS"/>
        <s v="BALASTRO ELECT 1 X 22W SUNLITE"/>
        <s v="ADAPTADOR HEMBRA 2&quot; PVC"/>
        <s v="REDUCCION 2&quot; X 3/4 PVC"/>
        <s v="ADAPTADOR MACHO 3/4 PVC"/>
        <s v="BROCA 3/16 METAL"/>
        <s v="TIZA PARA HERRERO"/>
        <s v="BISABRA PARA MADERA 3 X 3"/>
        <s v="LIJA BANDA 4 X 24 G 120"/>
        <s v="BANDEJA PLASTICA PARA RODILLO 9&quot;"/>
        <s v="POTENCIOMETRO 50K"/>
        <s v="PERILLA DE SELLADORA"/>
        <s v="FLOTANTE 3/4 BRONCE C/ BOLLA"/>
        <s v="CABLE N°12 BLANCO (METRO)"/>
        <s v="CABLE N°12 VERDE (METRO)"/>
        <s v="PANEL LED CUADRADO SUPERFICIAL BORDE INF. 48W"/>
        <s v="REFLECTOR LED 2000W CONICO"/>
        <s v="CONDENSADOR A/A 45+5MFD 450V"/>
        <s v="BOMBONA REFRIGERANTE R404"/>
        <s v="BOMBONA REFRIGERANTE R410"/>
        <s v="PANEL LED REDONDO SUPERFICIAL 24W"/>
        <s v="CLORO (LITRO)"/>
        <s v="DESINFECTANTE  (LITRO)"/>
        <s v="DETERGENTE LIQUIDO (LITRO)"/>
        <s v="ENCHUNFE AMARILLO 20A"/>
        <s v="ADAPTADOR HEMBRA 2&quot;"/>
        <s v="ADAPTADOR HEMBRA 3/4 PVC"/>
        <s v="NIPLE GALVANIZADO 3/4 X 2,5&quot;"/>
        <s v="SOCATE PVC BLANCO 4&quot;"/>
        <s v="MANILLA P/PUERTA 96MM"/>
        <s v="SILICON GRIS 99G"/>
        <s v="RUEDA NEUMATICA 10&quot; C/RIN DE METAL"/>
        <s v="SOPORTE JUNIOR GIRATORIO 10&quot; PARA RUEDA NEUM"/>
        <s v="SOPORTE FIJO JUNIOR 250 PARA RUEDA NEUMATICA"/>
        <s v="LAMPARA 20W MATA MOSCA ZANCUDO E INSECTOS"/>
        <s v="COMPRESOR SELLADO 1HP R-404-R22 220V CUBIGEL"/>
        <s v="GALON PINTURA ESMALTE ALUMINIO"/>
        <s v="TAPA CIEGA PVC 4 X 4"/>
        <s v="CONECTOR LINEAL 500 AT"/>
        <s v="TEIPE GOMA NEGRO"/>
        <s v="TAPA CIEGA PVC OCTAGONAL"/>
        <s v="RUEDA SUELTAB APH 7&quot;"/>
        <s v="MACHIMBRADO PINO CALIDAD UNICA (METRO CUADRADO)"/>
        <s v="TABLA 2,5 X 20 X 366CM"/>
        <s v="TABLA 2,5 X 25 X 366CM"/>
        <s v="S4S TECA Y TROPICAL (METRO CUADRADO)"/>
        <s v="LISTON DE MADERA 4 X 4"/>
        <s v="EMBUDO PLASTICO GRANDE"/>
        <s v="PASADOR P/ SOLDAR P/CANDADO 5/8"/>
        <s v="PISTOLA P/ PINTAR 600CC/ 2 BASE IMP"/>
        <s v="INTERRUPTOR DOBLE BLANCO"/>
        <s v="PAPELERA PUSH"/>
        <s v="SOCATE DE GOMA"/>
        <s v="COMPRESOR GMCC 1HP-R134-A 110V"/>
        <s v="FILTRO SECADOR 25G 1/4-1/3 GRANDE"/>
        <s v="MANOMETRO COMPLETO CON BOLSO"/>
        <s v="PICO 360 PARA HIDRO JET "/>
        <s v="FILTRO SECADOR SOLDABLE 3/8"/>
        <s v="PROGRAMADOR DE HORARIO DIARIO SEMANAL 110-220"/>
        <s v="MANGUERA ACEITE/GAS 3/4"/>
        <s v="ABRAZADERA DE ACERO 14-27 MM"/>
        <s v="FUNDA PARA MANTENIMIENTO DE A/A PEQUEÑA"/>
        <s v="FREGADERO1 CESTA EN ACERO 304"/>
        <s v="MANGUERA DE JARDIN 1/2 (METRO)"/>
        <s v="ESTAÑO POR ROLLO 100GR 1MM"/>
        <s v="CABLE N°12 NEGRO (METRO)"/>
        <s v="DISCO PARA PULIDORA INDUSTRIAL 17&quot; NEGRO"/>
        <s v="BARRA COOPERWELD 5/8"/>
        <s v="TORNILLO DRAYWALL 6 X 11/4"/>
        <s v="BATERIA AAA ALKALINE (PAR)"/>
        <s v="SOCATE PLAFON PORCELANA 4&quot;"/>
        <s v="CONDENSADOR 15 MCF 400V"/>
        <s v="CONDENSADOR 22 MCF 400V"/>
        <s v="FUNDA PARA MANTENIMIENTO DE A/A 3-5 TON"/>
        <s v="INTERRUPTOR SENCILLO BLANCO"/>
        <s v="TORNILLO A/R PLANA 12 X 3"/>
        <s v="TORNILLO A/R PLANA 12 X 2"/>
        <s v="NIPLE GALVANIZADO 1/2 X 11/2"/>
        <s v="CUCHILLO 6&quot; EXCALIBUR"/>
        <s v="CUCHARA SACA GRANO"/>
        <s v="CHUPON DE BAÑO"/>
        <s v="PAPELERA PEQUEÑA TIPO CESTA"/>
        <s v="PAPELERA CUADRADA 60 LITROS"/>
        <s v="PAPELERA DE OFICINA TEJIDA"/>
        <s v="ESPEJO AUTOADHESIVO GRANDE"/>
        <s v="MELAMINA ROBLE 18MM 185 X 246"/>
        <s v="ANILLO 1/2 PVC"/>
        <s v="ADAPTADOR MACHO 1/2 PVC"/>
        <s v="COMPRESOR 2 HPCOPELAND 220V R-22"/>
        <s v="SWICHE DE BATE 20A"/>
        <s v="GRIFO DE FREGADERO"/>
        <s v="CORTINA DE AIRE 1,5M 110V"/>
        <s v="CAPACITOR DE ARRANQUE 88MFD 108-330V"/>
        <s v="CAPACITOR DE ARRANQUE 108MFD 130-330V"/>
        <s v="RELEY POTENCIAL AA 64  220V"/>
        <s v="FILTRO SECADOR 1 TON X 1/4 SOLDAR"/>
        <s v="CAPACITOR  DE ARRANQUE 161MFD 193-330"/>
        <s v="BISAGRA PARA CAVA CUARTO"/>
        <s v="CONTACTOR 40A 2 POLOS 240V"/>
        <s v="CONDENSADOR A/A 80MFD 370-440V"/>
        <s v="CONDENSADOR A/A 35+6MFD 440V EN ACEITE"/>
        <s v="CONDENSADOR A/A 30+5MFD 440V"/>
        <s v="ADITIVO PARA MORTERO 15L (LITRO)"/>
        <s v="DISPENSADOR DE AGUA MUNDO GRIS"/>
        <s v="MICROONDAS CONDESA 25L"/>
        <s v="REFRIGERADOR SILVER 220L CONDESA"/>
        <s v="SMARTV CLX 32&quot;"/>
        <s v="SMARTV KEYTON 40&quot;"/>
        <s v="BASE PARA TV WESTPOOL"/>
        <s v="COLADORA DE CAFÉ 30 TAZAS 5L RCA"/>
        <s v="REBANADORA 250MM SEMI-AUT ROCCIA"/>
        <s v="ROMANA CAP 350KG ROCCIA"/>
        <s v="VENTILADOR INDUSTRIAL 26&quot; TIPO PEDESTAL ROCCIA"/>
        <s v="PULIDORA INDUSTRIAL DE 1,5 HP 17&quot; ROCCIA"/>
        <s v="RODILLO CON FUNDA 2&quot;"/>
        <s v="FUNDA PARA RODILLO 4&quot;"/>
        <s v="ESCALERA DE ALUMINIO 7 PELDAÑOS"/>
        <s v="MOTOR AXIAL 20&quot; 1500/1580 RPM 220V KIEL"/>
        <s v="MOTOR AXIAL 12&quot; 1500/1580 RPM 220V KIEL"/>
        <s v="RAMPLUG MARIPOSA C/TORNILLO 3/16"/>
        <s v="YESO SACO 25KG"/>
        <s v="PRESS CONTROL 110V"/>
        <s v="RODAMIENTO 608 ZZ"/>
        <s v="CAPACITOR 12 MFD 450V"/>
        <s v="CRUCETA DE CARGUERO"/>
        <s v="TAPA DE TOMA CORRIENTE SIMPLE"/>
        <s v="FUNDA PARA MINI RODILLO 2&quot;"/>
        <s v="FUNDA PARA MINI RODILLO 3&quot;"/>
        <s v="GRAPA P/ CABLE 2 X 10 PAQUETE 50 UND"/>
        <s v="CODO 90° 3&quot; P/ AGUA NEGRA"/>
        <s v="ALDABA GALVANIZADO 2&quot;"/>
        <s v="TORNILLO AUTO ENROSCABLE P/ TECHO 14 X 1&quot;"/>
        <s v="CORTINA PLASTICA ACANALADA 20CM (METRO)"/>
        <s v="TOMA CORRIENTE 3 X 20 250V "/>
        <s v="FLOTANTE 1/2 BRONCE C/ BOLLA"/>
        <s v="REDUCCION 3/4 X 1/2 ROSCA PVC"/>
        <s v="RUEDA CON BASE GIRATORIA 5&quot; CALIDAD SUP."/>
        <s v="RUEDA 5&quot; CALIDAD SUP."/>
        <s v="ELECTRODO E6013 3/32 PAQUETE 1 KG"/>
        <s v="JUEGO DE CUCHILLAS 61 X 19MM"/>
        <s v="EXACTO MULTIUSO 3 POSC"/>
        <s v="JUEGO DE CUCHILLAS 10 PZA 18MM X 100MM"/>
        <s v="SELLADOR POLIURETANO NEGRO"/>
        <s v="FLANCHE C/ HUECO 20 X 20 CM 6MM"/>
        <s v="RODAMIENTO 6805"/>
        <s v="BASE DE TV MOVIBLE 17&quot;-85&quot;"/>
        <s v="SMARTV 65&quot; MAGNAVOX"/>
        <s v="ANGULO SIDER 25 X 3 MM X 6 METROS"/>
        <s v="ALDABA GALVANIZADO 1 14 X 316"/>
        <s v="SODA CAUSTUCA EN ESCAMA AL 99,7% (KG)"/>
        <s v="CORNETA INALAMBRICA BLUETOOTW 10W AZUL JVC"/>
        <s v="CORNETA PORTATIL INALAMBRICA 25W RIVIERA"/>
        <s v="SANDWICHERA DE 2 REBANADAS ANTIADHERENTE DAEWOO"/>
        <s v="PLANCHA A VAPOR AZUL WESTINGHOUSE"/>
        <s v="CERRADURA PARA EMBUTIR 45MM"/>
        <s v="CURVA PARA TUBERIA ELECTRICA 1&quot;"/>
        <s v="CONTACTOR 3 POLOS 220V 75A"/>
        <s v="AUDIFONOS INALAMBRICOS E01 NEGRO DBEO"/>
        <s v="AUDIFONOS INALAMBRICOS E04 NEGRO DBEO"/>
        <s v="AUDIFONOS DE CONDUCCION OSEA BC3 NEGRO"/>
        <s v="FREIDORA DE AIRE DIGITAL 3L NEGRO DAEWOO"/>
        <s v="LICUADORA 1.5L 2 VELOCIDADES GRIS DAEWOO"/>
        <s v="LICUADORA 1.5L 2 VELOCIDADES NEGRO DAEWOO"/>
        <s v="HORNILLA ELECT. 1 HORNILLA G-LEY"/>
        <s v="CAFETERA 12 TAZAS NEGRO BREMEN"/>
        <s v="CORNETA 8&quot; C/BLUETOOTH NEGRO HYUNDAI"/>
        <s v="SMARTV NEGRO 32&quot; HYUNDAI"/>
        <s v="LAVADORA SEMIAUTOMATICA BLANCO HYUNDAI"/>
        <s v="AIRE ACONDICIONADO 5000BTU VENTANA 110V"/>
        <s v="CAJA CHINCHES 100 UND"/>
        <s v="MARCADOR DE PIZARRA ROJO"/>
        <s v="CARPETA LOMO ANCHO"/>
        <s v="ENVOPLAST USO INDUSTRIAL"/>
        <s v="BOMBA DE AGUA 1/2 HP 370W"/>
        <s v="REFLECTOR LED 150W"/>
        <s v="CONTROLADOR DIGITAL CONSERVACION"/>
        <s v="CONTACTOR 30A 2 POLOS 110V"/>
        <s v="RAMPLUG MARIPOSA C/TORNILLO 5/16"/>
        <s v="ABRAZADERA 1,5"/>
        <s v="PROTECTOR TRIFASICO 220V"/>
        <s v="CLAVO DE ACERO LISO 3/4"/>
        <s v="BOLSA PARA LA BASURA GRANDE"/>
        <s v="BOLSA PARA LA PAPELERA PEQUEÑA"/>
        <s v="CEPILLO DE ALAMBRE "/>
        <s v="SOPLADORA Y ASPIRADORA 600W"/>
        <s v="JUEGO DE LLAVES COMBINADAS"/>
        <s v="LLAVE COMBINADA"/>
        <s v="JUEGO DE RACHET 40 PZS DE 1/4 A 3/8"/>
        <s v="CESTA FRESERA"/>
        <s v="MOPA"/>
        <s v="LAMPARA LED EMPOTRABLE 60 X 60 CM"/>
        <s v="BARRA ROSCADA 5/16 2M"/>
        <s v="TUBO ELECTRICO 1&quot; BLANCO 3 METRO"/>
        <s v="TORNILLO AUTO ENROSCABLE C/HEX 12MM X 1,5"/>
        <s v="CABLE N° 8 VERDE (METRO)"/>
        <s v="CABLE N° 8 ROJO (METRO)"/>
        <s v="CABLE N° 2 ROJO (METRO)"/>
        <s v="CABLE N° 16 MARRON (METRO)"/>
        <s v="CABLE N° 16 VERDE (METRO)"/>
        <s v="CABLE N° 10 AZUL (METRO)"/>
        <s v="BOMBILLO LED T5 44CM"/>
        <s v="TUBO DE COBRE FLEXIBLE 3/4 (METRO)"/>
        <s v="RODAMIENTO 6003 2RS"/>
        <s v="TUBO 1&quot; PVC (METRO)"/>
        <s v="PEGA PVC VERDE MULTI PROPOSITO"/>
        <s v="PEGA CENTRAL PARK 7000 GALON"/>
        <s v="VENTILADOR INDUSTRIAL 26&quot; TIPO AEREO ROCCIA"/>
        <s v="CLAVO DULCE C/CABEZA 3&quot;"/>
        <s v="CABLE N°12 AZUL (METRO)"/>
        <s v="CABLE N° 16 NEGRO (METRO)"/>
        <s v="ARMAFLEX 3/4"/>
        <s v="CONTACTOR 50A 3 POLOS 220V"/>
        <s v="ASPIRADORA INDUSTRIAL 30L 1400W"/>
        <s v="CONECTOR DE ALTERNADOR DE MONTACARGA TOYOTA"/>
        <s v="CAPACITOR DE MARCHA 7MCF 370/440V"/>
        <s v="CAPACITOR  DE ARRANQUE 64-77MFD 330VAC"/>
        <s v="REFLECTOR LED 200W"/>
        <s v="EMPACADURA FRONTAL 4BT-JAC 1061-DUOLIKA"/>
        <s v="CORREA DE PLANTA MODELO 8PK1460"/>
        <s v="ESTOPERA 4991305"/>
        <s v="BANDEJA PET REDONDA 36CM NEGRO"/>
        <s v="MANILLA DELANTERA DERECHA DE AVEO"/>
        <s v="MECATE #3 3/16 (METRO)"/>
        <s v="DISCO PARA SIERRA CIRCULAR 4&quot;"/>
        <s v="FILTRO COMBUSTIBLE ML. 4102"/>
        <s v="FILTRO ACEITE ML 5566"/>
        <s v="GALON REFRIGERANTE ROJO"/>
        <s v="ENCHUNFE DE GOMA 20A"/>
        <s v="CONTROLADOR DIGITAL FULL GAUGE"/>
        <s v="PORTAFUSIBLE EN LINEA"/>
        <s v="CAPILAR 0,54 (METRO)"/>
        <s v="CONECTOR TUBULAR 4/0"/>
        <s v="CONECTOR TUBULAR 2/0"/>
        <s v="BARRACUDA 4/0"/>
        <s v="BARRACUDA 2/0"/>
        <s v="BARRACUDA 2"/>
        <s v="TIRRA NEGRO 4.8 X 380MM (UNIDAD)"/>
        <s v="TIRRA BLANCO 4.8 X 250MM (UNIDAD)"/>
        <s v="CABLE N°18 ROJO (METRO)"/>
        <s v="SENSOR DE ACEITE 2 PINES (O-10) BAR"/>
        <s v="SWICHE MICRO 16A"/>
        <s v="RUEDA NYLON 4X2 SUELTA "/>
        <s v="CODO 90° 2&quot; P/ AGUA NEGRA"/>
        <s v="CODO 45° 2&quot; P/ AGUA NEGRA"/>
        <s v="CONO VIAL FLEXIBLE"/>
        <s v="MANGUERA ESPIRAL TRANSPARENTE 3/4 (METRO)"/>
        <s v="LAMINA DE ACRILICO 3MM TRANS 122CM X 244CM"/>
        <s v="PAILA ACEITE MAXI DIESEL 15W-40 "/>
        <s v="ALFOMBRA TIPO AFRICA 40 X 60 CM"/>
        <s v="COMPRESOR 3/4 HP SECOP 220V R404A"/>
        <s v="MOTOR VENTILADOR 18W 100V/220V"/>
        <s v="ASPA METALICA VENTILADOR CW 8&quot;"/>
        <s v="CADENA GALVANIZADA 3/32 (KG)"/>
        <s v="TUBO ELECTRICO 2&quot; 3 METROS"/>
        <s v="SIERRA CIRCULAR 1400W 7-1/4"/>
        <s v="ESMERIL 1100 W"/>
        <s v="RUOTEADORA MINI 600W"/>
        <s v="MASCARA DE SOLDADURA CON SENS"/>
        <s v="STEP DRILL BIT SET"/>
        <s v="CINTA METRICA 10M X 25MM"/>
        <s v="LLAVE PARA TALADRO 1/2"/>
        <s v="JIG SAW BLADES SET"/>
        <s v="TONER 051 A"/>
        <s v="ACTIVADOR DE CONCRETO SIKA"/>
        <s v="CEMENTO BLANCO (KG)"/>
        <s v="TORNILLO ESTUFA C/REDONDA 10-24 X 3/8"/>
        <s v="BREAKER TEMOMAGNETICO 1 X 25A"/>
        <s v="CAJA PVC CON VISOR 3-4 POLOS CON RIEL"/>
        <s v="CAJA PVC CON VISOR 2-3 POLOS CON RIEL"/>
        <s v="CAMISA NEGRA DETAL CABALLERO T/S"/>
        <s v="CAMISA NEGRA DETAL CABALLERO T/M"/>
        <s v="CAMISA NEGRA DETAL DAMA T/S"/>
        <s v="COMPRESOR 3/4 HP 220V R-404 CUBIGEL"/>
        <s v="CAPILAR 3/4 (METRO)"/>
        <s v="T 1/2 PVC "/>
        <s v="CURVA PARA TUBERIA ELECTRICA 2&quot;"/>
        <s v="PLANTA ELECTRICA GENERADOR DE 12,5 KVA CAPTERPILLAR"/>
        <s v="ALTERNADOR  PARA MONTACARGA TOYOTA"/>
        <s v="CINTA DE EMBALAJE"/>
        <s v="CAUCHO 155R12C APLUS"/>
        <s v="ESTOPERA 44 X 60 X 07"/>
        <s v="BOMBA DE FRENO MONTACARGAS CLARK"/>
        <s v="TIRRA 7,2 X 200MM 8&quot;"/>
        <s v="CONECTOR 2&quot; PVC"/>
        <s v="CAJA PARA BREAKERS PARA EMPOTRAR"/>
        <s v="BREAKER INDUSTRIAL 3 X 200A"/>
        <s v="CAPACITOR 1 MFD"/>
        <s v="MANGUERA CON VALVULA PARA SACAR LIQUIDOS 1/2 X 1,75M"/>
        <s v="REDUCCION PLASTICA ROSCA 1 X 1/2"/>
        <s v="BASE PARA A/A 100 KG"/>
        <s v="CAPACITOR 40+15 MFD 370V EN ACEITE"/>
        <s v="CAPACITOR DE A/A 1,5 MFD 450V CUADRADO"/>
        <s v="CAPACITOR DE A/A VENT 5 MFD 450V CUADRADO"/>
        <s v="CAPACITOR DE ARRANQUE NEV 145-175 125V"/>
        <s v="BOMBONA REFRIGERANTE R-22"/>
        <s v="RELEY FAN 90-360 24V"/>
        <s v="ACIDO A/A LIMPIADOR GALON"/>
        <s v="CERRADURA DE POMO C/LLAVE"/>
        <s v="BREAKER 40 A. 3 POLOS"/>
        <s v="CABLE N° 10 VERDE  (METRO)"/>
        <s v="FAROS STOP CARGUERO"/>
        <s v="CODO 45° 3/4 PVC"/>
        <s v="PEGA PVC  1/4 GALON"/>
        <s v="BARRA ROSCADA 1/2 2M"/>
        <s v="TUERCA HEXAGONAL G2 GRUESO 1/2"/>
        <s v="ARANDELA PLANA 1/2"/>
        <s v="TIRRA BLANCO 3.6 X 200MM 8&quot; (UNIDAD)"/>
        <s v="RAMPLUG MARIPOSA C/TORNILLO 1/2"/>
        <s v="PAPELERA 100 LITROS"/>
        <s v="PIPOTE 30 LITROS"/>
        <s v="GALON REFRIGERANTE NARANJA"/>
        <s v="GOMA LACA"/>
        <s v="JUEGO DE CABLE DE BUJIAS DE AVEO"/>
        <s v="ACEITE HIDRAULICO 68 PAILA"/>
        <s v="PEDAL DE CAMBIO DE CARGUERO"/>
        <s v="TUBO DE COBRE FLEXIBLE 1/4 (METRO)"/>
        <s v="PARABICHOS DE ALUMINIO"/>
        <s v="CINCHA DE AMARRE C/RACHET 1TON X 6 METROS"/>
        <s v="BATERIA CR2032 3V"/>
        <s v="TERMINAL ANILLO DE COBRE PARA CABLE"/>
        <s v="ASPA A/A 38,4 10M CCW"/>
        <s v="CARBON N°452 PARA ESMERIL ANGULAR 4 1/2 750W"/>
        <s v="CORREA DE TIEMPO L300"/>
        <s v="CORREA BALANCEADORA"/>
        <s v="REDUCCION PLASTICA ROSCA 1 X 3/4"/>
        <s v="VALVULA CHECK 3/4 BRONCE"/>
        <s v="NIPLE 3/4 X 10&quot;"/>
        <s v="NIPLE 1/2 X 10&quot;"/>
        <s v="REDUCCION PLASTICA ROSCA 3/4 X 1/2"/>
        <s v="PISTOLA P/ MANGUERA 3 VIAS"/>
        <s v="COMPRESOR TECUMSEH 1,5 HP 220V R-404 CONGELACION"/>
        <s v="CAPILAR 0,07 (METRO)"/>
        <s v="BROCA PARA METAL 1/2"/>
        <s v="RAMPLUG MARIPOSA C/TORNILLO 1/4"/>
        <s v="BARRA ROSCADA1/4 1M"/>
        <s v="IMPELLER P/BOMBA 1/2HP"/>
        <s v="SELLO PARA BOMBA 1/2 HP"/>
        <s v="RUEDA P/CARRUCHA 10&quot; MACIZA"/>
        <s v="ARANDELA PLANA DE COBRE GRANDE"/>
        <s v="CABLE N°10 BLANCO (METRO)"/>
        <s v="RODAMIENTO 6003 2RS C3"/>
        <s v="CONDENSADOR 1000 MFD 25V "/>
        <s v="TORNILLO HEXAGONAL 80 X 20"/>
        <s v="TORNILLO HEXAGONAL 80 X 40"/>
        <s v="CONECTOR DE BOMBA DE FRENO DE MONTACARGA 10 X 12MM"/>
        <s v="PELADOR DE VEGETALES 17CM"/>
        <s v="COLADOR DE ACERO INOXIDABLE (COCINA) 40 CM"/>
        <s v="BALANZA DE PLATAFORMA 400 KG DE ALTA PRECISION"/>
        <s v="DADO PARA TALADRO 8MM"/>
        <s v="DISCO CONCRETO 4&quot;"/>
        <s v="MECHA CONICA 4-32M"/>
        <s v="MECHA METAL 6,0MM"/>
        <s v="TIRRA 300MM 5&quot;"/>
        <s v="TORNILLO AUTO ENROSCABLE 3X25MM"/>
        <s v="TORNILLO AUTO ENROSCABLE 6X25MM"/>
        <s v="VENTILADOR INDUSTRIAL 26&quot; C/ROCIADOR DE AGUA"/>
        <s v="PROTECTOR 3 TOMAS 110V AMARILLO"/>
        <s v="ADAPTADOR HEMBRA 1&quot;"/>
        <s v="TAPON MACHO 3/4 ROSCA"/>
        <s v="TERMOMETRO DIGITAL PORTATIL CON DISPLAY"/>
        <s v="REFLECTOR LED 400W"/>
        <s v="GENERADOR ELECTRICO CATERPILLAR 10 KVA DIESEL 110/220V"/>
        <s v="CUÑETE PINTURA CAUCHO GRIS CEMENTO"/>
        <s v="DESENGRASANTE (LITRO)"/>
        <s v="REFLECTOR LED 500W "/>
        <s v="GALON PINTURA EPOXY GRIS RAL 7001"/>
        <s v="TOMA CORRIENTE DOBLE C/TIERRA P/EMPOTRAR"/>
        <s v="CAJA DE PASO METALICA 12 X 12 X 4"/>
        <s v="BANDAS DE CARGUERO"/>
        <s v="PIPOTE 90 LITROS"/>
        <s v="COVER DE BOMBA DE AGUA PARA MONTACARGA TOYO"/>
        <s v="GALON REFRIGERANTE VERDE"/>
        <s v="FILTRO ACEITE RL51820"/>
        <s v="FILTRO ACEITE RL51459"/>
        <s v="ACEITE 20W-50 4T (LITRO)"/>
        <s v="BOMBA HIDRAHULICA P/M SERIE 7 TOYO"/>
        <s v="TAPA DE RADIADOR 7 LIBRAS"/>
        <s v="FILTRO DE AIRE GRANDE PARA LA PLANTA"/>
        <s v="COMPRESOR  CUBIGEL 1/2HP R-134-A 220V"/>
        <s v="TRANSFORMADOR 24VAC -110VAC"/>
        <s v="CORTINAS GALVANIZADAS"/>
        <s v="MECHA HSS 15/64"/>
        <s v="ALFOMBRA DE ENTRADA 40 X 60CM"/>
        <s v="ESPEJO RECTANGULAR"/>
        <s v="CESTA NEGRA DE MERCADO CON ASAS"/>
        <s v="CESTA VERDE CON RUEDA DE MERCADO"/>
        <s v="JUEGO DE SIERRA COPA 7 PIEZAS"/>
        <s v="TOMA CORRIENTE INDIVIDUAL C/TIERRA P/EMPOTRAR"/>
        <s v="FILTRO DE AIRE PARA COMPRESOR"/>
        <s v="CARTELERA FISCAL ACRILICA 50 X 60CM"/>
        <s v="CABLE N°12 AMARILLO (METRO)"/>
        <s v="CABLE N° 10 AMARILLO (METRO)"/>
        <s v="CABLE N° 10 NEGRO (METRO)"/>
        <s v="CABLE N° 10 VERDE (METRO)"/>
        <s v="FOTOCELDA CON BASE"/>
        <s v="CONTACTOR 60A/70A 3 POLOS 220V"/>
        <s v="VALVULA DE EXPANSIÓN R22"/>
        <s v="COMPRESOR DE PISTON/RECI 5HP R22 220V COPELAND"/>
        <s v="SEPARADOR DE ACEITE 5/8"/>
        <s v="ACUMULADOR DE SUCCION 3/4"/>
        <s v="UNIDAD COND. 3HP R22/R134/R404"/>
        <s v="COMPRESOR 5 TON. R22 220V "/>
        <s v="BARRA ROSCADA 1/2 1M"/>
        <s v="CODO DE COBRE SOLDABLE 90° 5/8"/>
        <s v="TUBO DE COBRE FLEXIBLE 5/8 (METRO)"/>
        <s v="SUPERVISOR MONOFASICO DE A/A 220V "/>
        <s v="ACEITE REFRIGERANTE MINERAL GALON"/>
        <s v="MANILLA DE POCETA"/>
      </sharedItems>
    </cacheField>
    <cacheField name="UBICACIÓN" uniqueList="1" numFmtId="0" sqlType="0" hierarchy="0" level="0" databaseField="1">
      <sharedItems count="0" containsInteger="1" containsMixedTypes="1" containsNumber="1" minValue="0" maxValue="0"/>
    </cacheField>
    <cacheField name="ENTRADAS" uniqueList="1" numFmtId="0" sqlType="0" hierarchy="0" level="0" databaseField="1">
      <sharedItems count="0" containsNumber="1" containsSemiMixedTypes="0" containsString="0" minValue="0" maxValue="31000"/>
    </cacheField>
    <cacheField name="SALIDAS " uniqueList="1" numFmtId="0" sqlType="0" hierarchy="0" level="0" databaseField="1">
      <sharedItems count="0" containsNumber="1" containsSemiMixedTypes="0" containsString="0" minValue="0" maxValue="8750"/>
    </cacheField>
    <cacheField name="STOCK" uniqueList="1" numFmtId="0" sqlType="0" hierarchy="0" level="0" databaseField="1">
      <sharedItems count="0" containsNumber="1" containsSemiMixedTypes="0" containsString="0" minValue="-182" maxValue="30354"/>
    </cacheField>
  </cacheFields>
</pivotCacheDefinition>
</file>

<file path=xl/pivotCache/pivotCacheRecords1.xml><?xml version="1.0" encoding="utf-8"?>
<pivotCacheRecords xmlns="http://schemas.openxmlformats.org/spreadsheetml/2006/main" count="185">
  <r>
    <n v="1"/>
    <s v="00021-FER"/>
    <x v="0"/>
    <s v="ALICATE DE PRESION RECTO"/>
    <d v="2026-02-14T00:00:00"/>
    <n v="1"/>
    <x v="0"/>
    <m/>
  </r>
  <r>
    <n v="2"/>
    <s v="00027-FER"/>
    <x v="0"/>
    <s v="ALICATE ELECTRICISTA 8&quot;"/>
    <d v="2026-02-11T00:00:00"/>
    <n v="1"/>
    <x v="1"/>
    <s v="HUMBERTO RUIZ "/>
  </r>
  <r>
    <n v="3"/>
    <s v="00028-FER"/>
    <x v="0"/>
    <s v="ALICATE PUNTA LARGA AISLADO"/>
    <d v="2026-02-11T00:00:00"/>
    <n v="1"/>
    <x v="1"/>
    <s v="HUMBERTO RUIZ "/>
  </r>
  <r>
    <n v="4"/>
    <s v="00016-OFC"/>
    <x v="1"/>
    <s v="BOLIGRAFO TINTA AZUL"/>
    <d v="2026-02-11T00:00:00"/>
    <n v="1"/>
    <x v="1"/>
    <s v="HUMBERTO RUIZ "/>
  </r>
  <r>
    <n v="5"/>
    <s v="00004-FER"/>
    <x v="0"/>
    <s v="BOTA DE HULE T/40"/>
    <d v="2026-02-13T00:00:00"/>
    <n v="1"/>
    <x v="1"/>
    <s v="LUIS SILVA "/>
  </r>
  <r>
    <n v="6"/>
    <s v="00008-FER"/>
    <x v="0"/>
    <s v="CANDADO ANTICIZALLA 75MM"/>
    <d v="2026-02-16T00:00:00"/>
    <n v="1"/>
    <x v="2"/>
    <s v="LUIS SILVA "/>
  </r>
  <r>
    <n v="7"/>
    <s v="00001-REF"/>
    <x v="2"/>
    <s v="CAPILAR 0.49 (METRO)"/>
    <d v="2026-02-13T00:00:00"/>
    <n v="3"/>
    <x v="3"/>
    <m/>
  </r>
  <r>
    <n v="8"/>
    <s v="00003-ELE"/>
    <x v="3"/>
    <s v="CAUTIN ELECTRICO 60W 110V"/>
    <d v="2026-02-11T00:00:00"/>
    <n v="1"/>
    <x v="1"/>
    <s v="HUMBERTO RUIZ "/>
  </r>
  <r>
    <n v="9"/>
    <s v="00002-REF"/>
    <x v="2"/>
    <s v="COMPRESOR 1HP 220V/R-404 MONOFASICO"/>
    <d v="2026-02-13T00:00:00"/>
    <n v="1"/>
    <x v="3"/>
    <m/>
  </r>
  <r>
    <n v="10"/>
    <s v="00006-OFC"/>
    <x v="1"/>
    <s v="CUADERNO 1 LINEA"/>
    <d v="2026-02-11T00:00:00"/>
    <n v="1"/>
    <x v="1"/>
    <s v="HUMBERTO RUIZ "/>
  </r>
  <r>
    <n v="11"/>
    <s v="00004-MSC"/>
    <x v="4"/>
    <s v="CUCHILLO 7&quot; EXCALIBUR"/>
    <d v="2026-02-16T00:00:00"/>
    <n v="3"/>
    <x v="4"/>
    <s v="JUAN GONZALEZ"/>
  </r>
  <r>
    <n v="12"/>
    <s v="00046-FER"/>
    <x v="0"/>
    <s v="CUÑETE PINTURA CAUCHO BLANCO"/>
    <d v="2026-02-16T00:00:00"/>
    <n v="0.5"/>
    <x v="1"/>
    <m/>
  </r>
  <r>
    <n v="13"/>
    <s v="00043-FER"/>
    <x v="0"/>
    <s v="CUÑETE PINTURA CAUCHO NEGRO"/>
    <d v="2026-02-16T00:00:00"/>
    <n v="1"/>
    <x v="1"/>
    <m/>
  </r>
  <r>
    <n v="14"/>
    <s v="00073-FER"/>
    <x v="0"/>
    <s v="DISCO CORTE 4.5&quot;"/>
    <d v="2026-02-14T00:00:00"/>
    <n v="1"/>
    <x v="1"/>
    <s v="JULIO MUJICA"/>
  </r>
  <r>
    <n v="15"/>
    <s v="00072-FER"/>
    <x v="0"/>
    <s v="DISCO CORTE 7&quot;"/>
    <d v="2026-02-16T00:00:00"/>
    <n v="1"/>
    <x v="1"/>
    <m/>
  </r>
  <r>
    <n v="16"/>
    <s v="00037-FER"/>
    <x v="0"/>
    <s v="ESPATULA DE METAL 60 MM TOTAL"/>
    <d v="2026-02-14T00:00:00"/>
    <n v="1"/>
    <x v="0"/>
    <m/>
  </r>
  <r>
    <n v="17"/>
    <s v="00035-FER"/>
    <x v="0"/>
    <s v="EXACTO 18 X 100 MM TOTAL"/>
    <d v="2026-02-11T00:00:00"/>
    <n v="1"/>
    <x v="1"/>
    <s v="HUMBERTO RUIZ "/>
  </r>
  <r>
    <n v="18"/>
    <s v="00035-FER"/>
    <x v="0"/>
    <s v="EXACTO 18 X 100 MM TOTAL"/>
    <d v="2026-02-14T00:00:00"/>
    <n v="2"/>
    <x v="0"/>
    <m/>
  </r>
  <r>
    <n v="19"/>
    <s v="00029-FER"/>
    <x v="0"/>
    <s v="EXTRACTOR DE ESTAÑO"/>
    <d v="2026-02-11T00:00:00"/>
    <n v="1"/>
    <x v="1"/>
    <s v="HUMBERTO RUIZ "/>
  </r>
  <r>
    <n v="20"/>
    <s v="00054-FER"/>
    <x v="0"/>
    <s v="GALON FONDO ANTICORROCIVO GRIS OSCURO"/>
    <d v="2026-02-17T00:00:00"/>
    <n v="1"/>
    <x v="1"/>
    <m/>
  </r>
  <r>
    <n v="21"/>
    <s v="00052-FER"/>
    <x v="0"/>
    <s v="GALON PINTURA ALTO TRAFICO AMARILLO"/>
    <d v="2026-02-14T00:00:00"/>
    <n v="1"/>
    <x v="5"/>
    <m/>
  </r>
  <r>
    <n v="22"/>
    <s v="00047-FER"/>
    <x v="0"/>
    <s v="GALON PINTURA ESMALTE GRIS CLARO"/>
    <d v="2026-02-16T00:00:00"/>
    <n v="1"/>
    <x v="1"/>
    <m/>
  </r>
  <r>
    <n v="23"/>
    <s v="00078-FER"/>
    <x v="0"/>
    <s v="GALON PINTURA ESMALTE NEGRO"/>
    <d v="2026-02-17T00:00:00"/>
    <n v="1"/>
    <x v="1"/>
    <m/>
  </r>
  <r>
    <n v="24"/>
    <s v="00001-FER"/>
    <x v="0"/>
    <s v="GANCHO PARA EXTINTOR"/>
    <d v="2026-02-12T00:00:00"/>
    <n v="2"/>
    <x v="6"/>
    <m/>
  </r>
  <r>
    <n v="25"/>
    <s v="00001-FER"/>
    <x v="0"/>
    <s v="GANCHO PARA EXTINTOR"/>
    <d v="2026-02-15T00:00:00"/>
    <n v="4"/>
    <x v="7"/>
    <m/>
  </r>
  <r>
    <n v="26"/>
    <s v="00001-FER"/>
    <x v="0"/>
    <s v="GANCHO PARA EXTINTOR"/>
    <d v="2026-02-15T00:00:00"/>
    <n v="5"/>
    <x v="8"/>
    <m/>
  </r>
  <r>
    <n v="27"/>
    <s v="00001-FER"/>
    <x v="0"/>
    <s v="GANCHO PARA EXTINTOR"/>
    <d v="2026-02-15T00:00:00"/>
    <n v="3"/>
    <x v="9"/>
    <m/>
  </r>
  <r>
    <n v="28"/>
    <s v="00001-FER"/>
    <x v="0"/>
    <s v="GANCHO PARA EXTINTOR"/>
    <d v="2026-02-16T00:00:00"/>
    <n v="4"/>
    <x v="5"/>
    <m/>
  </r>
  <r>
    <n v="29"/>
    <s v="00039-FER"/>
    <x v="0"/>
    <s v="JUEGO DE DADOS 1/4 12 PZAS"/>
    <d v="2026-02-14T00:00:00"/>
    <n v="1"/>
    <x v="0"/>
    <m/>
  </r>
  <r>
    <n v="30"/>
    <s v="00025-FER"/>
    <x v="0"/>
    <s v="JUEGO DE DESTORNILLADOR 2 PACK"/>
    <d v="2026-02-11T00:00:00"/>
    <n v="1"/>
    <x v="1"/>
    <s v="HUMBERTO RUIZ "/>
  </r>
  <r>
    <n v="31"/>
    <s v="00025-FER"/>
    <x v="0"/>
    <s v="JUEGO DE DESTORNILLADOR 2 PACK"/>
    <d v="2026-02-14T00:00:00"/>
    <n v="1"/>
    <x v="0"/>
    <m/>
  </r>
  <r>
    <n v="32"/>
    <s v="00034-FER"/>
    <x v="0"/>
    <s v="JUEGO DE DESTORNILLADOR RELOGERO"/>
    <d v="2026-02-11T00:00:00"/>
    <n v="1"/>
    <x v="1"/>
    <s v="HUMBERTO RUIZ "/>
  </r>
  <r>
    <n v="33"/>
    <s v="00031-FER"/>
    <x v="0"/>
    <s v="JUEGO DE DESTORNILLADOR SIX PACK VERDE"/>
    <d v="2026-02-14T00:00:00"/>
    <n v="1"/>
    <x v="0"/>
    <m/>
  </r>
  <r>
    <n v="34"/>
    <s v="00040-FER"/>
    <x v="0"/>
    <s v="JUEGO DE LLAVE EXAGONAL"/>
    <d v="2026-02-11T00:00:00"/>
    <n v="1"/>
    <x v="1"/>
    <s v="HUMBERTO RUIZ "/>
  </r>
  <r>
    <n v="35"/>
    <s v="00040-FER"/>
    <x v="0"/>
    <s v="JUEGO DE LLAVE EXAGONAL"/>
    <d v="2026-02-14T00:00:00"/>
    <n v="1"/>
    <x v="0"/>
    <m/>
  </r>
  <r>
    <n v="36"/>
    <s v="00041-FER"/>
    <x v="0"/>
    <s v="JUEGO DE LLAVE TORX 10 PZAS"/>
    <d v="2026-02-11T00:00:00"/>
    <n v="1"/>
    <x v="1"/>
    <s v="HUMBERTO RUIZ "/>
  </r>
  <r>
    <n v="37"/>
    <s v="00038-FER"/>
    <x v="0"/>
    <s v="LLAVE AJUSTABLE 12&quot; X 300MM"/>
    <d v="2026-02-14T00:00:00"/>
    <n v="1"/>
    <x v="0"/>
    <m/>
  </r>
  <r>
    <n v="38"/>
    <s v="00024-FER"/>
    <x v="0"/>
    <s v="LLAVE DE TUBO 12&quot;"/>
    <d v="2026-02-14T00:00:00"/>
    <n v="1"/>
    <x v="0"/>
    <m/>
  </r>
  <r>
    <n v="39"/>
    <s v="00027-OFC"/>
    <x v="1"/>
    <s v="MARACADOR NEGRO PERMANENTE"/>
    <d v="2026-02-13T00:00:00"/>
    <n v="1"/>
    <x v="1"/>
    <s v="HUMBERTO RUIZ "/>
  </r>
  <r>
    <n v="40"/>
    <s v="00022-FER"/>
    <x v="0"/>
    <s v="MARTILLO MANGO DE MADERA"/>
    <d v="2026-02-14T00:00:00"/>
    <n v="1"/>
    <x v="0"/>
    <m/>
  </r>
  <r>
    <n v="41"/>
    <s v="00033-FER"/>
    <x v="0"/>
    <s v="NAVAJA PICO LORO 8&quot; EXXEL"/>
    <d v="2026-02-11T00:00:00"/>
    <n v="1"/>
    <x v="1"/>
    <s v="HUMBERTO RUIZ "/>
  </r>
  <r>
    <n v="42"/>
    <s v="00036-ELE"/>
    <x v="3"/>
    <s v="PANEL LED CUADRADO SUPERFICIAL 24W"/>
    <d v="2026-02-16T00:00:00"/>
    <n v="3"/>
    <x v="0"/>
    <m/>
  </r>
  <r>
    <n v="43"/>
    <s v="00007-REF"/>
    <x v="2"/>
    <s v="TEMPORIZADOR DE DESCONGELACION UNIV. GRADUABLE"/>
    <d v="2026-02-15T00:00:00"/>
    <n v="1"/>
    <x v="10"/>
    <m/>
  </r>
  <r>
    <n v="44"/>
    <s v="00020-OFC"/>
    <x v="1"/>
    <s v="RESALTADOR AMARILLO"/>
    <d v="2026-02-13T00:00:00"/>
    <n v="1"/>
    <x v="1"/>
    <s v="ISMAEL SANTAELLA"/>
  </r>
  <r>
    <n v="45"/>
    <s v="00030-FER"/>
    <x v="0"/>
    <s v="TESTER CAPACIMETRO DIGITAL"/>
    <d v="2026-02-11T00:00:00"/>
    <n v="1"/>
    <x v="1"/>
    <s v="HUMBERTO RUIZ "/>
  </r>
  <r>
    <n v="46"/>
    <s v="00036-FER"/>
    <x v="0"/>
    <s v="TIJERA MULTIFUNCIONAL 9&quot; TOTAL"/>
    <d v="2026-02-14T00:00:00"/>
    <n v="2"/>
    <x v="0"/>
    <m/>
  </r>
  <r>
    <n v="47"/>
    <s v="00074-FER"/>
    <x v="0"/>
    <s v="DISCO TROZADORA 14&quot;"/>
    <d v="2026-02-17T00:00:00"/>
    <n v="1"/>
    <x v="1"/>
    <s v="JULIO MUJICA"/>
  </r>
  <r>
    <n v="48"/>
    <s v="00076-FER"/>
    <x v="0"/>
    <s v="ELECTRODO PAQUETE 5K E6013 1/8"/>
    <d v="2026-02-18T00:00:00"/>
    <n v="1"/>
    <x v="1"/>
    <m/>
  </r>
  <r>
    <n v="49"/>
    <s v="00015-REF"/>
    <x v="2"/>
    <s v="COMPRESOR 5HP PANASONIC R410A 220V"/>
    <d v="2026-02-12T00:00:00"/>
    <n v="1"/>
    <x v="11"/>
    <s v="OSCAR COLMENARES"/>
  </r>
  <r>
    <n v="50"/>
    <s v="00043-FER"/>
    <x v="0"/>
    <s v="CUÑETE PINTURA CAUCHO NEGRO"/>
    <d v="2026-02-13T00:00:00"/>
    <n v="1"/>
    <x v="1"/>
    <m/>
  </r>
  <r>
    <n v="51"/>
    <s v="00043-FER"/>
    <x v="0"/>
    <s v="CUÑETE PINTURA CAUCHO NEGRO"/>
    <d v="2026-02-14T00:00:00"/>
    <n v="1"/>
    <x v="1"/>
    <m/>
  </r>
  <r>
    <n v="52"/>
    <s v="00007-UNF"/>
    <x v="5"/>
    <s v="FRANELA VERDE CABALLERO T/XL"/>
    <d v="2026-02-14T00:00:00"/>
    <n v="1"/>
    <x v="1"/>
    <m/>
  </r>
  <r>
    <n v="53"/>
    <s v="00009-UNF"/>
    <x v="5"/>
    <s v="FRANELA VERDE CABALLERO T/M"/>
    <d v="2026-02-14T00:00:00"/>
    <n v="1"/>
    <x v="1"/>
    <m/>
  </r>
  <r>
    <n v="54"/>
    <s v="00046-FER"/>
    <x v="0"/>
    <s v="CUÑETE PINTURA CAUCHO BLANCO"/>
    <d v="2026-02-17T00:00:00"/>
    <n v="0.5"/>
    <x v="1"/>
    <m/>
  </r>
  <r>
    <n v="55"/>
    <s v="00057-FER"/>
    <x v="0"/>
    <s v="GALON PINTURA ESMALTE BLANCO"/>
    <d v="2026-02-17T00:00:00"/>
    <n v="1"/>
    <x v="1"/>
    <m/>
  </r>
  <r>
    <n v="56"/>
    <s v="00054-FER"/>
    <x v="0"/>
    <s v="GALON FONDO ANTICORROCIVO GRIS OSCURO"/>
    <d v="2026-02-17T00:00:00"/>
    <n v="1"/>
    <x v="1"/>
    <m/>
  </r>
  <r>
    <n v="57"/>
    <s v="00078-FER"/>
    <x v="0"/>
    <s v="GALON PINTURA ESMALTE NEGRO"/>
    <d v="2026-02-17T00:00:00"/>
    <n v="1"/>
    <x v="1"/>
    <m/>
  </r>
  <r>
    <n v="58"/>
    <s v="00009-UNF"/>
    <x v="5"/>
    <s v="FRANELA VERDE CABALLERO T/M"/>
    <d v="2026-02-17T00:00:00"/>
    <n v="1"/>
    <x v="1"/>
    <s v="HUMBERTO RUIZ "/>
  </r>
  <r>
    <n v="59"/>
    <s v="00001-FER"/>
    <x v="0"/>
    <s v="GANCHO PARA EXTINTOR"/>
    <d v="2026-02-18T00:00:00"/>
    <n v="4"/>
    <x v="12"/>
    <m/>
  </r>
  <r>
    <n v="60"/>
    <s v="00069-FER"/>
    <x v="0"/>
    <s v="CUÑETE PINTURA ALTO TRAFICO AMARILLO"/>
    <d v="2026-02-18T00:00:00"/>
    <n v="0.25"/>
    <x v="1"/>
    <m/>
  </r>
  <r>
    <n v="61"/>
    <s v="00052-FER"/>
    <x v="0"/>
    <s v="GALON PINTURA ALTO TRAFICO AMARILLO"/>
    <d v="2026-02-18T00:00:00"/>
    <n v="1"/>
    <x v="1"/>
    <m/>
  </r>
  <r>
    <n v="62"/>
    <s v="00042-ELE"/>
    <x v="3"/>
    <s v="BOMBILLO LED CON DISIPADOR 100W"/>
    <d v="2026-02-18T00:00:00"/>
    <n v="1"/>
    <x v="7"/>
    <s v="ROBERTO ORTIZ"/>
  </r>
  <r>
    <n v="63"/>
    <s v="00052-FER"/>
    <x v="0"/>
    <s v="GALON PINTURA ALTO TRAFICO AMARILLO"/>
    <d v="2026-02-18T00:00:00"/>
    <n v="1.5"/>
    <x v="1"/>
    <m/>
  </r>
  <r>
    <n v="64"/>
    <s v="00032-ELE"/>
    <x v="3"/>
    <s v="PANEL LED CUADRADO SUPERFICIAL 36W"/>
    <d v="2026-02-18T00:00:00"/>
    <n v="4"/>
    <x v="1"/>
    <m/>
  </r>
  <r>
    <n v="65"/>
    <s v="00004-MSC"/>
    <x v="4"/>
    <s v="CUCHILLO 7&quot; EXCALIBUR"/>
    <d v="2026-02-19T00:00:00"/>
    <n v="1"/>
    <x v="13"/>
    <m/>
  </r>
  <r>
    <n v="66"/>
    <s v="00093-FER"/>
    <x v="0"/>
    <s v="RUEDA NYLON 4X2 GIRATORIA FERK"/>
    <d v="2026-02-19T00:00:00"/>
    <n v="4"/>
    <x v="10"/>
    <s v="JULIO MUJICA"/>
  </r>
  <r>
    <n v="67"/>
    <s v="00095-FER"/>
    <x v="0"/>
    <s v="TERMINAL PARA CABLE AMARILLO"/>
    <d v="2026-02-12T00:00:00"/>
    <n v="10"/>
    <x v="10"/>
    <s v="JESUS PERDOMO"/>
  </r>
  <r>
    <n v="68"/>
    <s v="00095-FER"/>
    <x v="0"/>
    <s v="TERMINAL PARA CABLE AMARILLO"/>
    <d v="2026-02-15T00:00:00"/>
    <n v="20"/>
    <x v="10"/>
    <m/>
  </r>
  <r>
    <n v="69"/>
    <s v="00095-FER"/>
    <x v="0"/>
    <s v="TERMINAL PARA CABLE AMARILLO"/>
    <d v="2026-02-17T00:00:00"/>
    <n v="8"/>
    <x v="1"/>
    <s v="OSCAR COLMENARES"/>
  </r>
  <r>
    <n v="70"/>
    <s v="00084-FER"/>
    <x v="0"/>
    <s v="TORNILLO C/HEX 5/16-18 X 3/4"/>
    <d v="2026-02-18T00:00:00"/>
    <n v="75"/>
    <x v="1"/>
    <m/>
  </r>
  <r>
    <n v="71"/>
    <s v="00085-FER"/>
    <x v="0"/>
    <s v="TUERCA HEX 5/16-18"/>
    <d v="2026-02-18T00:00:00"/>
    <n v="75"/>
    <x v="1"/>
    <m/>
  </r>
  <r>
    <n v="72"/>
    <s v="00086-FER"/>
    <x v="0"/>
    <s v="ARANDELA PLANA 5/16"/>
    <d v="2026-02-18T00:00:00"/>
    <n v="100"/>
    <x v="1"/>
    <m/>
  </r>
  <r>
    <n v="73"/>
    <s v="00087-FER"/>
    <x v="0"/>
    <s v="BARRACUDA MECHA CILD 5/16"/>
    <d v="2026-02-18T00:00:00"/>
    <n v="2"/>
    <x v="1"/>
    <m/>
  </r>
  <r>
    <n v="74"/>
    <s v="00088-FER"/>
    <x v="0"/>
    <s v="TORNILLO C/HEX 10-1.50 X 80"/>
    <d v="2026-02-18T00:00:00"/>
    <n v="30"/>
    <x v="1"/>
    <m/>
  </r>
  <r>
    <n v="75"/>
    <s v="00089-FER"/>
    <x v="0"/>
    <s v="TUERCA HEX 10-1.50"/>
    <d v="2026-02-18T00:00:00"/>
    <n v="30"/>
    <x v="1"/>
    <m/>
  </r>
  <r>
    <n v="76"/>
    <s v="00091-FER"/>
    <x v="0"/>
    <s v="ARANDELA PLANA 125A 10MM"/>
    <d v="2026-02-18T00:00:00"/>
    <n v="90"/>
    <x v="1"/>
    <m/>
  </r>
  <r>
    <n v="77"/>
    <s v="00090-FER"/>
    <x v="0"/>
    <s v="MECHA HSS KRAFT DIN 338 - 10"/>
    <d v="2026-02-18T00:00:00"/>
    <n v="2"/>
    <x v="1"/>
    <m/>
  </r>
  <r>
    <n v="78"/>
    <s v="00068-ELE"/>
    <x v="3"/>
    <s v="PROTECTOR A/A EXCELINE 220V"/>
    <d v="2026-02-19T00:00:00"/>
    <n v="2"/>
    <x v="14"/>
    <m/>
  </r>
  <r>
    <n v="79"/>
    <s v="00067-ELE"/>
    <x v="3"/>
    <s v="PROTECTOR A/A EXCELINE 220V CAB/CAB"/>
    <d v="2026-02-19T00:00:00"/>
    <n v="15"/>
    <x v="14"/>
    <m/>
  </r>
  <r>
    <n v="80"/>
    <s v="00064-ELE"/>
    <x v="3"/>
    <s v="PROTECTOR NEVERA EXCELINE GSM-N120"/>
    <d v="2026-02-19T00:00:00"/>
    <n v="20"/>
    <x v="14"/>
    <m/>
  </r>
  <r>
    <n v="81"/>
    <s v="00065-ELE"/>
    <x v="3"/>
    <s v="PROTECTOR MICROONDAS 110V EXCELINE"/>
    <d v="2026-02-19T00:00:00"/>
    <n v="3"/>
    <x v="14"/>
    <m/>
  </r>
  <r>
    <n v="82"/>
    <s v="00069-ELE"/>
    <x v="3"/>
    <s v="PROTECTOR DE CORRIENTE PEQ"/>
    <d v="2026-02-19T00:00:00"/>
    <n v="4"/>
    <x v="14"/>
    <m/>
  </r>
  <r>
    <n v="83"/>
    <s v="00070-ELE"/>
    <x v="3"/>
    <s v="SUPERVISOR TRIFASICO 22OV"/>
    <d v="2026-02-21T00:00:00"/>
    <n v="1"/>
    <x v="10"/>
    <m/>
  </r>
  <r>
    <n v="84"/>
    <s v="00006-REF"/>
    <x v="2"/>
    <s v="TERMOSTATO A/A -30/+30"/>
    <d v="2026-02-21T00:00:00"/>
    <n v="1"/>
    <x v="10"/>
    <m/>
  </r>
  <r>
    <n v="85"/>
    <s v="00095-FER"/>
    <x v="0"/>
    <s v="TERMINAL PARA CABLE AMARILLO"/>
    <d v="2026-02-21T00:00:00"/>
    <n v="10"/>
    <x v="10"/>
    <m/>
  </r>
  <r>
    <n v="86"/>
    <s v="00029-ELE"/>
    <x v="3"/>
    <s v="CABLE N°12 ROJO X METRO"/>
    <d v="2026-02-21T00:00:00"/>
    <n v="4"/>
    <x v="10"/>
    <m/>
  </r>
  <r>
    <n v="87"/>
    <s v="00012-MSC"/>
    <x v="4"/>
    <s v="PLASTIMESA TRANSPARENTE 0,15 MM X METRO"/>
    <d v="2026-02-22T00:00:00"/>
    <n v="10"/>
    <x v="11"/>
    <m/>
  </r>
  <r>
    <n v="88"/>
    <s v="00069-ELE"/>
    <x v="3"/>
    <s v="PROTECTOR DE CORRIENTE PEQ"/>
    <d v="2026-02-21T00:00:00"/>
    <n v="1"/>
    <x v="15"/>
    <m/>
  </r>
  <r>
    <n v="89"/>
    <s v="00011-UNF"/>
    <x v="5"/>
    <s v="CHEMISE VERDE CABALLERO T/M"/>
    <d v="2026-02-20T00:00:00"/>
    <n v="1"/>
    <x v="13"/>
    <m/>
  </r>
  <r>
    <n v="90"/>
    <s v="00016-UNF"/>
    <x v="5"/>
    <s v="CHEMISE VERDE DAMA T/XL"/>
    <d v="2026-02-20T00:00:00"/>
    <n v="1"/>
    <x v="13"/>
    <m/>
  </r>
  <r>
    <n v="91"/>
    <s v="00013-UNF"/>
    <x v="5"/>
    <s v="CHEMISE VERDE CABALLERO T/XL"/>
    <d v="2026-02-20T00:00:00"/>
    <n v="1"/>
    <x v="13"/>
    <m/>
  </r>
  <r>
    <n v="92"/>
    <s v="00019-UNF"/>
    <x v="5"/>
    <s v="CHEMISE VERDE CABALLERO T/XXL"/>
    <d v="2026-02-20T00:00:00"/>
    <n v="1"/>
    <x v="13"/>
    <m/>
  </r>
  <r>
    <n v="93"/>
    <s v="00004-UNF"/>
    <x v="5"/>
    <s v="FRANELA VERDE DAMA T/M"/>
    <d v="2026-02-20T00:00:00"/>
    <n v="4"/>
    <x v="13"/>
    <m/>
  </r>
  <r>
    <n v="94"/>
    <s v="00009-UNF"/>
    <x v="5"/>
    <s v="FRANELA VERDE CABALLERO T/M"/>
    <d v="2026-02-20T00:00:00"/>
    <n v="9"/>
    <x v="13"/>
    <m/>
  </r>
  <r>
    <n v="95"/>
    <s v="00006-UNF"/>
    <x v="5"/>
    <s v="FRANELA VERDE CABALLERO T/XXL"/>
    <d v="2026-02-20T00:00:00"/>
    <n v="2"/>
    <x v="13"/>
    <m/>
  </r>
  <r>
    <n v="96"/>
    <s v="00003-UNF"/>
    <x v="5"/>
    <s v="FRANELA VERDE DAMA T/L"/>
    <d v="2026-02-20T00:00:00"/>
    <n v="2"/>
    <x v="13"/>
    <m/>
  </r>
  <r>
    <n v="97"/>
    <s v="00007-UNF"/>
    <x v="5"/>
    <s v="FRANELA VERDE CABALLERO T/XL"/>
    <d v="2026-02-20T00:00:00"/>
    <n v="8"/>
    <x v="13"/>
    <m/>
  </r>
  <r>
    <n v="98"/>
    <s v="00009-UNF"/>
    <x v="5"/>
    <s v="FRANELA VERDE CABALLERO T/M"/>
    <d v="2026-02-20T00:00:00"/>
    <n v="26"/>
    <x v="10"/>
    <m/>
  </r>
  <r>
    <n v="99"/>
    <s v="00004-UNF"/>
    <x v="5"/>
    <s v="FRANELA VERDE DAMA T/M"/>
    <d v="2026-02-20T00:00:00"/>
    <n v="14"/>
    <x v="10"/>
    <m/>
  </r>
  <r>
    <n v="100"/>
    <s v="00007-UNF"/>
    <x v="5"/>
    <s v="FRANELA VERDE CABALLERO T/XL"/>
    <d v="2026-02-20T00:00:00"/>
    <n v="9"/>
    <x v="10"/>
    <m/>
  </r>
  <r>
    <n v="101"/>
    <s v="00003-UNF"/>
    <x v="5"/>
    <s v="FRANELA VERDE DAMA T/L"/>
    <d v="2026-02-20T00:00:00"/>
    <n v="2"/>
    <x v="10"/>
    <m/>
  </r>
  <r>
    <n v="102"/>
    <s v="00005-UNF"/>
    <x v="5"/>
    <s v="FRANELA VERDE DAMA T/S"/>
    <d v="2026-02-20T00:00:00"/>
    <n v="6"/>
    <x v="10"/>
    <m/>
  </r>
  <r>
    <n v="103"/>
    <s v="00073-FER"/>
    <x v="0"/>
    <s v="DISCO CORTE 4.5&quot;"/>
    <d v="2026-02-21T00:00:00"/>
    <n v="4"/>
    <x v="1"/>
    <s v="JULIO MUJICA"/>
  </r>
  <r>
    <n v="104"/>
    <s v="00070-FER"/>
    <x v="0"/>
    <s v="DISCO DESSBANES 4&quot;"/>
    <d v="2026-02-21T00:00:00"/>
    <n v="1"/>
    <x v="1"/>
    <s v="JULIO MUJICA"/>
  </r>
  <r>
    <n v="105"/>
    <s v="00093-FER"/>
    <x v="0"/>
    <s v="RUEDA NYLON 4X2 GIRATORIA FERK"/>
    <d v="2026-02-21T00:00:00"/>
    <n v="6"/>
    <x v="1"/>
    <s v="JULIO MUJICA"/>
  </r>
  <r>
    <n v="106"/>
    <s v="00092-FER"/>
    <x v="0"/>
    <s v="RUEDA NYLON 4X2 FIJA FERK"/>
    <d v="2026-02-21T00:00:00"/>
    <n v="4"/>
    <x v="1"/>
    <s v="JULIO MUJICA"/>
  </r>
  <r>
    <n v="107"/>
    <s v="00067-ELE"/>
    <x v="3"/>
    <s v="PROTECTOR A/A EXCELINE 220V CAB/CAB"/>
    <d v="2026-02-21T00:00:00"/>
    <n v="1"/>
    <x v="10"/>
    <s v="GABRIEL MONSALVE"/>
  </r>
  <r>
    <n v="108"/>
    <s v="00071-ELE"/>
    <x v="3"/>
    <s v="CONTACTOR 3 POLOS 220V"/>
    <d v="2026-02-21T00:00:00"/>
    <n v="1"/>
    <x v="10"/>
    <s v="GABRIEL MONSALVE"/>
  </r>
  <r>
    <n v="109"/>
    <s v="00070-HER"/>
    <x v="6"/>
    <s v="CINTA METRICA 10M WOKIN"/>
    <d v="2026-02-22T00:00:00"/>
    <n v="1"/>
    <x v="11"/>
    <s v="CARLOS BARRETO"/>
  </r>
  <r>
    <n v="110"/>
    <s v="00020-HER"/>
    <x v="6"/>
    <s v="MANOMETRO CON MANGUERAS"/>
    <d v="2026-02-22T00:00:00"/>
    <n v="1"/>
    <x v="7"/>
    <s v="JESUS PERDOMO"/>
  </r>
  <r>
    <n v="111"/>
    <s v="00064-ELE"/>
    <x v="3"/>
    <s v="PROTECTOR NEVERA EXCELINE GSM-N120"/>
    <d v="2026-02-22T00:00:00"/>
    <n v="1"/>
    <x v="7"/>
    <s v="JESUS PERDOMO"/>
  </r>
  <r>
    <n v="112"/>
    <s v="00043-HER "/>
    <x v="6"/>
    <s v="BROCA PARA CONCRETO 3/8"/>
    <d v="2026-02-22T00:00:00"/>
    <n v="1"/>
    <x v="8"/>
    <s v="CARLOS BARRETO"/>
  </r>
  <r>
    <n v="113"/>
    <s v="00017-REF"/>
    <x v="2"/>
    <s v="VARILLA PLATA AL 5% 50CM"/>
    <d v="2026-02-23T00:00:00"/>
    <n v="7"/>
    <x v="1"/>
    <m/>
  </r>
  <r>
    <n v="114"/>
    <s v="00021-REF"/>
    <x v="2"/>
    <s v="VARILLA PLATA 0% 50CM"/>
    <d v="2026-02-23T00:00:00"/>
    <n v="5"/>
    <x v="1"/>
    <m/>
  </r>
  <r>
    <n v="115"/>
    <s v="00042-UNF"/>
    <x v="5"/>
    <s v="GORRA NEGRA"/>
    <d v="2026-02-23T00:00:00"/>
    <n v="50"/>
    <x v="14"/>
    <s v="ISMAEL SANTAELLA"/>
  </r>
  <r>
    <n v="116"/>
    <s v="00001-AUT"/>
    <x v="7"/>
    <s v="ACEITE 15W-40 SHELL LITRO"/>
    <d v="2026-02-19T00:00:00"/>
    <n v="4"/>
    <x v="1"/>
    <s v="GABRIEL MONSALVE"/>
  </r>
  <r>
    <n v="117"/>
    <s v="00002-AUT"/>
    <x v="7"/>
    <s v="FILTRO ACEITE 3387"/>
    <d v="2026-02-19T00:00:00"/>
    <n v="1"/>
    <x v="1"/>
    <s v="GABRIEL MONSALVE"/>
  </r>
  <r>
    <n v="118"/>
    <s v="00003-AUT"/>
    <x v="7"/>
    <s v="BATERIA DUNCAN 242-1150"/>
    <d v="2026-02-19T00:00:00"/>
    <n v="2"/>
    <x v="1"/>
    <s v="GABRIEL MONSALVE"/>
  </r>
  <r>
    <n v="119"/>
    <s v="00009-UNF"/>
    <x v="5"/>
    <s v="FRANELA VERDE CABALLERO T/M"/>
    <d v="2026-02-23T00:00:00"/>
    <n v="5"/>
    <x v="14"/>
    <s v="ISMAEL SANTAELLA"/>
  </r>
  <r>
    <n v="120"/>
    <s v="00007-UNF"/>
    <x v="5"/>
    <s v="FRANELA VERDE CABALLERO T/XL"/>
    <d v="2026-02-23T00:00:00"/>
    <n v="10"/>
    <x v="14"/>
    <s v="ISMAEL SANTAELLA"/>
  </r>
  <r>
    <n v="121"/>
    <s v="00004-UNF"/>
    <x v="5"/>
    <s v="FRANELA VERDE DAMA T/M"/>
    <d v="2026-02-23T00:00:00"/>
    <n v="5"/>
    <x v="14"/>
    <s v="ISMAEL SANTAELLA"/>
  </r>
  <r>
    <n v="122"/>
    <s v="00003-UNF"/>
    <x v="5"/>
    <s v="FRANELA VERDE DAMA T/L"/>
    <d v="2026-02-23T00:00:00"/>
    <n v="5"/>
    <x v="14"/>
    <s v="ISMAEL SANTAELLA"/>
  </r>
  <r>
    <n v="123"/>
    <s v="00002-UNF"/>
    <x v="5"/>
    <s v="FRANELA VERDE DAMA T/XL"/>
    <d v="2026-02-23T00:00:00"/>
    <n v="5"/>
    <x v="14"/>
    <s v="ISMAEL SANTAELLA"/>
  </r>
  <r>
    <n v="124"/>
    <s v="00077-REF"/>
    <x v="2"/>
    <s v="MOTOR VENTILADOR FANCOOLERS ACFAN 12881BITL"/>
    <d v="2026-02-23T00:00:00"/>
    <n v="1"/>
    <x v="13"/>
    <m/>
  </r>
  <r>
    <n v="125"/>
    <s v="00078-REF"/>
    <x v="2"/>
    <s v="ARMAFLEX 7/8 X 3/8 "/>
    <d v="2026-02-23T00:00:00"/>
    <n v="2.5"/>
    <x v="7"/>
    <m/>
  </r>
  <r>
    <n v="126"/>
    <s v="00020-REF"/>
    <x v="2"/>
    <s v="CINTA AISLANTE NO ADHESIVA 2&quot; 15M MOMIA"/>
    <d v="2026-02-23T00:00:00"/>
    <n v="1"/>
    <x v="7"/>
    <m/>
  </r>
  <r>
    <n v="127"/>
    <s v="00083-HER"/>
    <x v="6"/>
    <s v="BROCHA 2&quot; ECO"/>
    <d v="2026-02-23T00:00:00"/>
    <n v="4"/>
    <x v="9"/>
    <m/>
  </r>
  <r>
    <n v="128"/>
    <s v="00084-HER"/>
    <x v="6"/>
    <s v="BROCHA 3&quot; ECO"/>
    <d v="2026-02-23T00:00:00"/>
    <n v="3"/>
    <x v="9"/>
    <m/>
  </r>
  <r>
    <n v="129"/>
    <s v="00085-HER"/>
    <x v="6"/>
    <s v="BROCHA 4&quot; ECO"/>
    <d v="2026-02-23T00:00:00"/>
    <n v="2"/>
    <x v="9"/>
    <m/>
  </r>
  <r>
    <n v="130"/>
    <s v="00086-HER"/>
    <x v="6"/>
    <s v="FUNDA PARA RODILLO CAUCHO 9&quot;"/>
    <d v="2026-02-23T00:00:00"/>
    <n v="4"/>
    <x v="9"/>
    <m/>
  </r>
  <r>
    <n v="131"/>
    <s v="00104-FER"/>
    <x v="0"/>
    <s v="GALON TINER ACRILICO"/>
    <d v="2026-02-23T00:00:00"/>
    <n v="1"/>
    <x v="9"/>
    <m/>
  </r>
  <r>
    <n v="132"/>
    <s v="00017-REF"/>
    <x v="2"/>
    <s v="VARILLA PLATA AL 5% 50CM"/>
    <d v="2026-02-23T00:00:00"/>
    <n v="1"/>
    <x v="9"/>
    <m/>
  </r>
  <r>
    <n v="133"/>
    <s v="00082-FER"/>
    <x v="0"/>
    <s v="CUÑETE PASTA PROFECIONAL"/>
    <d v="2026-02-23T00:00:00"/>
    <n v="1"/>
    <x v="12"/>
    <m/>
  </r>
  <r>
    <n v="134"/>
    <s v="00020-REF"/>
    <x v="2"/>
    <s v="CINTA AISLANTE NO ADHESIVA 2&quot; 15M MOMIA"/>
    <d v="2026-02-23T00:00:00"/>
    <n v="2"/>
    <x v="16"/>
    <m/>
  </r>
  <r>
    <n v="135"/>
    <s v="00039-REF"/>
    <x v="2"/>
    <s v="BOMBONA DE GAS PROPANO"/>
    <d v="2026-02-23T00:00:00"/>
    <n v="1"/>
    <x v="16"/>
    <m/>
  </r>
  <r>
    <n v="136"/>
    <s v="00078-FER"/>
    <x v="0"/>
    <s v="GALON PINTURA ESMALTE NEGRO"/>
    <d v="2026-02-23T00:00:00"/>
    <n v="2"/>
    <x v="12"/>
    <m/>
  </r>
  <r>
    <n v="137"/>
    <s v="00057-FER"/>
    <x v="0"/>
    <s v="GALON PINTURA ESMALTE BLANCO"/>
    <d v="2026-02-23T00:00:00"/>
    <n v="2"/>
    <x v="12"/>
    <m/>
  </r>
  <r>
    <n v="138"/>
    <s v="00043-FER"/>
    <x v="0"/>
    <s v="CUÑETE PINTURA CAUCHO NEGRO"/>
    <d v="2026-02-23T00:00:00"/>
    <n v="1"/>
    <x v="12"/>
    <m/>
  </r>
  <r>
    <n v="139"/>
    <s v="00043-FER"/>
    <x v="0"/>
    <s v="CUÑETE PINTURA CAUCHO NEGRO"/>
    <d v="2026-02-23T00:00:00"/>
    <n v="1.5"/>
    <x v="12"/>
    <m/>
  </r>
  <r>
    <n v="140"/>
    <s v="00065-ELE"/>
    <x v="3"/>
    <s v="PROTECTOR MICROONDAS 110V EXCELINE"/>
    <d v="2026-02-22T00:00:00"/>
    <n v="1"/>
    <x v="16"/>
    <s v="LUIS SILVA "/>
  </r>
  <r>
    <n v="141"/>
    <s v="00099-FER"/>
    <x v="0"/>
    <s v="RODILLO PARA TRASPALETA 80 X 70"/>
    <d v="2026-02-23T00:00:00"/>
    <n v="12"/>
    <x v="0"/>
    <s v="JULIO MUJICA"/>
  </r>
  <r>
    <n v="142"/>
    <s v="00076-FER"/>
    <x v="0"/>
    <s v="ELECTRODO PAQUETE 5K E6013 1/8"/>
    <d v="2026-02-23T00:00:00"/>
    <n v="1"/>
    <x v="1"/>
    <m/>
  </r>
  <r>
    <n v="143"/>
    <s v="00076-FER"/>
    <x v="0"/>
    <s v="ELECTRODO PAQUETE 5K E6013 1/8"/>
    <d v="2026-02-22T00:00:00"/>
    <n v="1"/>
    <x v="1"/>
    <m/>
  </r>
  <r>
    <n v="144"/>
    <s v="00072-REF"/>
    <x v="2"/>
    <s v="SENSOR DE TEMPERATURA PARA A/A "/>
    <d v="2026-02-23T00:00:00"/>
    <n v="1"/>
    <x v="3"/>
    <s v="WILMER INFANTE"/>
  </r>
  <r>
    <n v="145"/>
    <s v="00064-ELE"/>
    <x v="3"/>
    <s v="PROTECTOR NEVERA EXCELINE GSM-N120"/>
    <d v="2026-02-24T00:00:00"/>
    <n v="2"/>
    <x v="13"/>
    <s v="JUAN PAEZ"/>
  </r>
  <r>
    <n v="146"/>
    <s v="00056-REF"/>
    <x v="2"/>
    <s v="VALVULA DE SERVICIO"/>
    <d v="2026-02-24T00:00:00"/>
    <n v="1"/>
    <x v="13"/>
    <s v="JUAN PAEZ"/>
  </r>
  <r>
    <n v="147"/>
    <s v="00023-ELC"/>
    <x v="8"/>
    <s v="CONTROL A/A UNIVERSAL KT-4000-6000"/>
    <d v="2026-02-24T00:00:00"/>
    <n v="1"/>
    <x v="13"/>
    <s v="JUAN PAEZ"/>
  </r>
  <r>
    <n v="148"/>
    <s v="00006-AUT"/>
    <x v="7"/>
    <s v="BUJE DE TRIMOTO"/>
    <d v="2026-02-25T00:00:00"/>
    <n v="2"/>
    <x v="1"/>
    <s v="JUAN GONZALEZ"/>
  </r>
  <r>
    <n v="149"/>
    <s v="00067-ELE"/>
    <x v="3"/>
    <s v="PROTECTOR A/A EXCELINE 220V CAB/CAB"/>
    <d v="2026-02-24T00:00:00"/>
    <n v="1"/>
    <x v="16"/>
    <s v="ALBERTO MANRIQUE"/>
  </r>
  <r>
    <n v="150"/>
    <s v="00068-ELE"/>
    <x v="3"/>
    <s v="PROTECTOR A/A EXCELINE 220V"/>
    <d v="2026-02-24T00:00:00"/>
    <n v="1"/>
    <x v="16"/>
    <s v="ALBERTO MANRIQUE"/>
  </r>
  <r>
    <n v="151"/>
    <s v="00038-UNF"/>
    <x v="5"/>
    <s v="CAMISA NEGRA DETAL DAMA T/L"/>
    <d v="2026-02-24T00:00:00"/>
    <n v="1"/>
    <x v="1"/>
    <s v="ISMAEL SANTAELLA"/>
  </r>
  <r>
    <n v="152"/>
    <s v="00050-FER"/>
    <x v="0"/>
    <s v="GALON PINTURA ESMALTE VERDE GRANJA"/>
    <d v="2026-02-24T00:00:00"/>
    <n v="4"/>
    <x v="9"/>
    <m/>
  </r>
  <r>
    <n v="153"/>
    <s v="00078-FER"/>
    <x v="0"/>
    <s v="GALON PINTURA ESMALTE NEGRO"/>
    <d v="2026-02-24T00:00:00"/>
    <n v="3"/>
    <x v="9"/>
    <m/>
  </r>
  <r>
    <n v="154"/>
    <s v="00052-FER"/>
    <x v="0"/>
    <s v="GALON PINTURA ALTO TRAFICO AMARILLO"/>
    <d v="2026-02-24T00:00:00"/>
    <n v="4"/>
    <x v="9"/>
    <m/>
  </r>
  <r>
    <n v="155"/>
    <s v="00057-FER"/>
    <x v="0"/>
    <s v="GALON PINTURA ESMALTE BLANCO"/>
    <d v="2026-02-24T00:00:00"/>
    <n v="3"/>
    <x v="9"/>
    <m/>
  </r>
  <r>
    <n v="156"/>
    <s v="00104-FER"/>
    <x v="0"/>
    <s v="GALON TINER ACRILICO"/>
    <d v="2026-02-24T00:00:00"/>
    <n v="1"/>
    <x v="9"/>
    <m/>
  </r>
  <r>
    <n v="157"/>
    <s v="00042-FER"/>
    <x v="0"/>
    <s v="CUÑETE PINTURA CAUCHO VERDE GRANJA"/>
    <d v="2026-02-24T00:00:00"/>
    <n v="1"/>
    <x v="9"/>
    <m/>
  </r>
  <r>
    <n v="158"/>
    <s v="00046-FER"/>
    <x v="0"/>
    <s v="CUÑETE PINTURA CAUCHO BLANCO"/>
    <d v="2026-02-24T00:00:00"/>
    <n v="1"/>
    <x v="9"/>
    <m/>
  </r>
  <r>
    <n v="159"/>
    <s v="00043-FER"/>
    <x v="0"/>
    <s v="CUÑETE PINTURA CAUCHO NEGRO"/>
    <d v="2026-02-24T00:00:00"/>
    <n v="1"/>
    <x v="9"/>
    <m/>
  </r>
  <r>
    <n v="160"/>
    <s v="00105-FER"/>
    <x v="0"/>
    <s v="ELECTRODO PAQUETE 5K E6013 3/32"/>
    <d v="2026-02-25T00:00:00"/>
    <n v="1"/>
    <x v="1"/>
    <m/>
  </r>
  <r>
    <n v="161"/>
    <s v="00047-REF"/>
    <x v="2"/>
    <s v="FILTRO SECADOR QA QUALITY 3/8 SEK-163F"/>
    <d v="2026-02-25T00:00:00"/>
    <n v="1"/>
    <x v="11"/>
    <m/>
  </r>
  <r>
    <n v="162"/>
    <s v="00046-FER"/>
    <x v="0"/>
    <s v="CUÑETE PINTURA CAUCHO BLANCO"/>
    <d v="2026-02-25T00:00:00"/>
    <n v="2"/>
    <x v="1"/>
    <m/>
  </r>
  <r>
    <n v="163"/>
    <s v="00047-FER"/>
    <x v="0"/>
    <s v="GALON PINTURA ESMALTE GRIS CLARO"/>
    <d v="2026-02-25T00:00:00"/>
    <n v="1"/>
    <x v="1"/>
    <m/>
  </r>
  <r>
    <n v="164"/>
    <s v="00001-FER"/>
    <x v="0"/>
    <s v="GANCHO PARA EXTINTOR"/>
    <d v="2026-02-25T00:00:00"/>
    <n v="3"/>
    <x v="2"/>
    <m/>
  </r>
  <r>
    <n v="165"/>
    <s v="00074-FER"/>
    <x v="0"/>
    <s v="DISCO TROZADORA 14&quot;"/>
    <d v="2026-02-25T00:00:00"/>
    <n v="1"/>
    <x v="1"/>
    <m/>
  </r>
  <r>
    <n v="166"/>
    <s v="00056-REF"/>
    <x v="2"/>
    <s v="VALVULA DE SERVICIO"/>
    <d v="2026-02-25T00:00:00"/>
    <n v="2"/>
    <x v="7"/>
    <m/>
  </r>
  <r>
    <n v="167"/>
    <s v="00021-REF"/>
    <x v="2"/>
    <s v="VARILLA PLATA 0% 50CM"/>
    <d v="2026-02-25T00:00:00"/>
    <n v="2"/>
    <x v="7"/>
    <m/>
  </r>
  <r>
    <n v="168"/>
    <s v="00073-FER"/>
    <x v="0"/>
    <s v="DISCO CORTE 4.5&quot;"/>
    <d v="2026-02-25T00:00:00"/>
    <n v="6"/>
    <x v="1"/>
    <m/>
  </r>
  <r>
    <n v="169"/>
    <s v="00073-FER"/>
    <x v="0"/>
    <s v="DISCO CORTE 4.5&quot;"/>
    <d v="2026-02-26T00:00:00"/>
    <n v="1"/>
    <x v="15"/>
    <s v="JUAN GONZALEZ"/>
  </r>
  <r>
    <n v="170"/>
    <s v="00070-FER"/>
    <x v="0"/>
    <s v="DISCO DESSBANES 4&quot;"/>
    <d v="2026-02-26T00:00:00"/>
    <n v="1"/>
    <x v="15"/>
    <s v="JUAN GONZALEZ"/>
  </r>
  <r>
    <n v="171"/>
    <s v="00115-FER"/>
    <x v="0"/>
    <s v="GRIFO LAVAMANO IND METALICO GRIVEN"/>
    <d v="2026-02-26T00:00:00"/>
    <n v="6"/>
    <x v="15"/>
    <s v="JULIO MUJICA"/>
  </r>
  <r>
    <n v="172"/>
    <s v="00116-FER"/>
    <x v="0"/>
    <s v="LLAVE DE ARRESTO 1/2 GRIVEN"/>
    <d v="2026-02-26T00:00:00"/>
    <n v="2"/>
    <x v="15"/>
    <s v="JULIO MUJICA"/>
  </r>
  <r>
    <n v="173"/>
    <s v="00120-FER"/>
    <x v="0"/>
    <s v="CANILLA PLASTICA 1/2 X 1/2 40 CM"/>
    <d v="2026-02-26T00:00:00"/>
    <n v="2"/>
    <x v="15"/>
    <s v="JULIO MUJICA"/>
  </r>
  <r>
    <n v="174"/>
    <s v="00106-FER"/>
    <x v="0"/>
    <s v="REMACHE 3/16"/>
    <d v="2026-02-23T00:00:00"/>
    <n v="30"/>
    <x v="11"/>
    <m/>
  </r>
  <r>
    <n v="175"/>
    <s v="00091-FER"/>
    <x v="0"/>
    <s v="ARANDELA PLANA 125A 10MM"/>
    <d v="2026-02-25T00:00:00"/>
    <n v="8"/>
    <x v="1"/>
    <m/>
  </r>
  <r>
    <n v="176"/>
    <s v="00108-FER"/>
    <x v="0"/>
    <s v="TORNILLO DE METAL 1/4 X 3/4"/>
    <d v="2026-02-25T00:00:00"/>
    <n v="4"/>
    <x v="1"/>
    <m/>
  </r>
  <r>
    <n v="177"/>
    <s v="00109-FER"/>
    <x v="0"/>
    <s v="TUERCA HEXAGONAL G2 1/4"/>
    <d v="2026-02-25T00:00:00"/>
    <n v="4"/>
    <x v="1"/>
    <m/>
  </r>
  <r>
    <n v="178"/>
    <s v="00110-FER"/>
    <x v="0"/>
    <s v="HERRAJE CON MANILLA GRIVEN"/>
    <d v="2026-02-25T00:00:00"/>
    <n v="1"/>
    <x v="4"/>
    <m/>
  </r>
  <r>
    <n v="179"/>
    <s v="00111-FER"/>
    <x v="0"/>
    <s v="LLAVE DE PASO 1/2 BRONCE IVANCI"/>
    <d v="2026-02-25T00:00:00"/>
    <n v="1"/>
    <x v="4"/>
    <m/>
  </r>
  <r>
    <n v="180"/>
    <s v="00112-FER"/>
    <x v="0"/>
    <s v="LLAVE DE CHORRO P/R"/>
    <d v="2026-02-25T00:00:00"/>
    <n v="1"/>
    <x v="4"/>
    <m/>
  </r>
  <r>
    <n v="181"/>
    <s v="00114-FER"/>
    <x v="0"/>
    <s v="TIRRO BLANCO LUMISTAR 1&quot; X 30 M"/>
    <d v="2026-02-25T00:00:00"/>
    <n v="1"/>
    <x v="9"/>
    <m/>
  </r>
  <r>
    <n v="182"/>
    <s v="00106-FER"/>
    <x v="0"/>
    <s v="REMACHE 3/16"/>
    <d v="2026-02-23T00:00:00"/>
    <n v="3"/>
    <x v="2"/>
    <m/>
  </r>
  <r>
    <n v="183"/>
    <s v="00026-ELC"/>
    <x v="8"/>
    <s v="BALANZA DE MOSTRADOR 40 KG ROCCIA"/>
    <d v="2026-02-25T00:00:00"/>
    <n v="2"/>
    <x v="14"/>
    <m/>
  </r>
  <r>
    <n v="184"/>
    <s v="00072-ELE"/>
    <x v="3"/>
    <s v="PANEL LED EMPOTRABLE 60 X 120"/>
    <d v="2026-02-25T00:00:00"/>
    <n v="15"/>
    <x v="14"/>
    <m/>
  </r>
  <r>
    <n v="185"/>
    <s v="00121-FER"/>
    <x v="0"/>
    <s v="TRAMPAGRASA EN ACERO 430"/>
    <d v="2026-02-25T00:00:00"/>
    <n v="1"/>
    <x v="14"/>
    <m/>
  </r>
</pivotCacheRecords>
</file>

<file path=xl/pivotCache/pivotCacheRecords2.xml><?xml version="1.0" encoding="utf-8"?>
<pivotCacheRecords xmlns="http://schemas.openxmlformats.org/spreadsheetml/2006/main" count="704">
  <r>
    <n v="1"/>
    <s v="00001-REF"/>
    <x v="0"/>
    <s v="VARILLA PLATA AL 5% 50CM"/>
    <m/>
  </r>
  <r>
    <n v="2"/>
    <s v="00002-REF"/>
    <x v="0"/>
    <s v="VARILLA PLATA 0% 50CM"/>
    <m/>
  </r>
  <r>
    <n v="3"/>
    <s v="00001-FER"/>
    <x v="1"/>
    <s v="TUERCA HEX 5/16-18"/>
    <m/>
  </r>
  <r>
    <n v="4"/>
    <s v="00002-FER"/>
    <x v="1"/>
    <s v="TUERCA HEX 10-1.50"/>
    <m/>
  </r>
  <r>
    <n v="5"/>
    <s v="00001-ILU"/>
    <x v="2"/>
    <s v="TUBO LED 7W"/>
    <m/>
  </r>
  <r>
    <n v="6"/>
    <s v="00001-ELE"/>
    <x v="3"/>
    <s v="TUBERIA CORRUGADA PVC NEGRO 3/4 METRO"/>
    <m/>
  </r>
  <r>
    <n v="7"/>
    <s v="00002-ELE"/>
    <x v="3"/>
    <s v="TUBERIA CORRUGADA PVC NEGRO 1/2 METRO"/>
    <m/>
  </r>
  <r>
    <n v="8"/>
    <s v="00001-HER"/>
    <x v="4"/>
    <s v="TRIANGULO DE SEGURIDAD PEQ."/>
    <m/>
  </r>
  <r>
    <n v="9"/>
    <s v="00002-HER"/>
    <x v="4"/>
    <s v="TRIANGULO DE SEGURIDAD GRANDE"/>
    <m/>
  </r>
  <r>
    <n v="10"/>
    <s v="00003-FER"/>
    <x v="1"/>
    <s v="TORNILLO DRAYWALL 3&quot;"/>
    <m/>
  </r>
  <r>
    <n v="11"/>
    <s v="00004-FER"/>
    <x v="1"/>
    <s v="TORNILLO DRAYWALL 1.5&quot;"/>
    <m/>
  </r>
  <r>
    <n v="12"/>
    <s v="00005-FER"/>
    <x v="1"/>
    <s v="TORNILLO C/HEX 5/16-18 X 3/4"/>
    <m/>
  </r>
  <r>
    <n v="13"/>
    <s v="00006-FER"/>
    <x v="1"/>
    <s v="TORNILLO C/HEX 10-1.50 X 80"/>
    <m/>
  </r>
  <r>
    <n v="14"/>
    <s v="00001-OFC"/>
    <x v="5"/>
    <s v="TONER"/>
    <m/>
  </r>
  <r>
    <n v="15"/>
    <s v="00001-MSC"/>
    <x v="6"/>
    <s v="TOALLA SUPER ABSORBENTE X KG"/>
    <m/>
  </r>
  <r>
    <n v="16"/>
    <s v="00007-FER"/>
    <x v="1"/>
    <s v="TIJERA PARA PODAR 8&quot;"/>
    <m/>
  </r>
  <r>
    <n v="17"/>
    <s v="00008-FER"/>
    <x v="1"/>
    <s v="TIJERA MULTIFUNCIONAL 9&quot; TOTAL"/>
    <m/>
  </r>
  <r>
    <n v="18"/>
    <s v="00002-OFC"/>
    <x v="5"/>
    <s v="TIJERA"/>
    <m/>
  </r>
  <r>
    <n v="19"/>
    <s v="00003-HER"/>
    <x v="4"/>
    <s v="TESTER CAPACIMETRO DIGITAL"/>
    <m/>
  </r>
  <r>
    <n v="20"/>
    <s v="00003-REF"/>
    <x v="0"/>
    <s v="TERMOSTATO A/A -30/+30"/>
    <m/>
  </r>
  <r>
    <n v="21"/>
    <s v="00001-ELC"/>
    <x v="7"/>
    <s v="TERMOMETRO INFRARROJO"/>
    <m/>
  </r>
  <r>
    <n v="22"/>
    <s v="00003-ELE"/>
    <x v="3"/>
    <s v="TERMINAL PARA CABLE AMARILLO"/>
    <m/>
  </r>
  <r>
    <n v="23"/>
    <s v="00004-REF"/>
    <x v="0"/>
    <s v="TERMICO NEV. 1/4 HP 110V"/>
    <m/>
  </r>
  <r>
    <n v="24"/>
    <s v="00005-REF"/>
    <x v="0"/>
    <s v="TERMICO NEV. 1/3 HP 110V"/>
    <m/>
  </r>
  <r>
    <n v="25"/>
    <s v="00002-ELC"/>
    <x v="7"/>
    <s v="TEMPORIZADOR DE RIEGO"/>
    <m/>
  </r>
  <r>
    <n v="26"/>
    <s v="00004-ELE"/>
    <x v="3"/>
    <s v="SUPERVISOR TRIFASICO 22OV"/>
    <m/>
  </r>
  <r>
    <n v="27"/>
    <s v="00003-OFC"/>
    <x v="5"/>
    <s v="SOBRE MANILA T/OFICIO"/>
    <m/>
  </r>
  <r>
    <n v="28"/>
    <s v="00004-HER"/>
    <x v="4"/>
    <s v="SIERRA PARA PANELES DE YESO"/>
    <m/>
  </r>
  <r>
    <n v="29"/>
    <s v="00004-OFC"/>
    <x v="5"/>
    <s v="SEPARADORES T/CARTA"/>
    <m/>
  </r>
  <r>
    <n v="30"/>
    <s v="00002-MSC"/>
    <x v="6"/>
    <s v="SELLADORA DE BOLSA EXCELL"/>
    <m/>
  </r>
  <r>
    <n v="31"/>
    <s v="00003-MSC"/>
    <x v="6"/>
    <s v="SELLADORA 300MM"/>
    <m/>
  </r>
  <r>
    <n v="32"/>
    <s v="00005-OFC"/>
    <x v="5"/>
    <s v="SACAPUNTAS"/>
    <m/>
  </r>
  <r>
    <n v="33"/>
    <s v="00006-OFC"/>
    <x v="5"/>
    <s v="SACA GRAPA"/>
    <m/>
  </r>
  <r>
    <n v="34"/>
    <s v="00009-FER"/>
    <x v="1"/>
    <s v="RUEDA NYLON 4X2 GIRATORIA FERK"/>
    <m/>
  </r>
  <r>
    <n v="35"/>
    <s v="00010-FER"/>
    <x v="1"/>
    <s v="RUEDA NYLON 4X2 FIJA FERK"/>
    <m/>
  </r>
  <r>
    <n v="36"/>
    <s v="00011-FER"/>
    <x v="1"/>
    <s v="RUEDA CARRO SUPERMERCADO 5&quot;"/>
    <m/>
  </r>
  <r>
    <n v="37"/>
    <s v="00012-FER"/>
    <x v="1"/>
    <s v="RUEDA 1 1/2&quot; N/N GIRATORIA"/>
    <m/>
  </r>
  <r>
    <n v="38"/>
    <s v="00007-OFC"/>
    <x v="5"/>
    <s v="ROLLO PAPEL CONTAC NEGRO"/>
    <m/>
  </r>
  <r>
    <n v="39"/>
    <s v="00003-ELC"/>
    <x v="7"/>
    <s v="ROKU MXQ PRO 4K"/>
    <m/>
  </r>
  <r>
    <n v="40"/>
    <s v="00013-FER"/>
    <x v="1"/>
    <s v="RODILLO PARA TRASPALETA 80 X 70"/>
    <m/>
  </r>
  <r>
    <n v="41"/>
    <s v="00014-FER"/>
    <x v="1"/>
    <s v="RODAMIENTO 6306 2RS1/C3"/>
    <m/>
  </r>
  <r>
    <n v="42"/>
    <s v="00015-FER"/>
    <x v="1"/>
    <s v="RODAMIENTO 6300 2RS"/>
    <m/>
  </r>
  <r>
    <n v="43"/>
    <s v="00016-FER"/>
    <x v="1"/>
    <s v="RODAMIENTO 6206 2RS1/C3"/>
    <m/>
  </r>
  <r>
    <n v="44"/>
    <s v="00017-FER"/>
    <x v="1"/>
    <s v="RODAMIENTO 6204 2RS/C3"/>
    <m/>
  </r>
  <r>
    <n v="45"/>
    <s v="00018-FER"/>
    <x v="1"/>
    <s v="RODAMIENTO 6200 2RS"/>
    <m/>
  </r>
  <r>
    <n v="46"/>
    <s v="00008-OFC"/>
    <x v="5"/>
    <s v="RESMA DE HOJA BLANCA T/ OFICIO"/>
    <m/>
  </r>
  <r>
    <n v="47"/>
    <s v="00009-OFC"/>
    <x v="5"/>
    <s v="RESMA DE HOJA BLANCA T/ CARTA"/>
    <m/>
  </r>
  <r>
    <n v="48"/>
    <s v="00010-OFC"/>
    <x v="5"/>
    <s v="RESALTADOR NARANJA"/>
    <m/>
  </r>
  <r>
    <n v="49"/>
    <s v="00011-OFC"/>
    <x v="5"/>
    <s v="RESALTADOR FUCSIA"/>
    <m/>
  </r>
  <r>
    <n v="50"/>
    <s v="00012-OFC"/>
    <x v="5"/>
    <s v="RESALTADOR AMARILLO"/>
    <m/>
  </r>
  <r>
    <n v="51"/>
    <s v="00005-HER"/>
    <x v="4"/>
    <s v="REMACHADORA"/>
    <m/>
  </r>
  <r>
    <n v="52"/>
    <s v="00006-REF"/>
    <x v="0"/>
    <s v="TEMPORIZADOR DE DESCONGELACION UNIV. GRADUABLE"/>
    <m/>
  </r>
  <r>
    <n v="53"/>
    <s v="00007-REF"/>
    <x v="0"/>
    <s v="RELAY NEV. ELECTRO 4 PATAS"/>
    <m/>
  </r>
  <r>
    <n v="54"/>
    <s v="00008-REF"/>
    <x v="0"/>
    <s v="RELAY FAN 24V 4 TERM RF-90360"/>
    <m/>
  </r>
  <r>
    <n v="55"/>
    <s v="00004-ELC"/>
    <x v="7"/>
    <s v="REGULADOR DE VOLTAJE CDP"/>
    <m/>
  </r>
  <r>
    <n v="56"/>
    <s v="00006-HER"/>
    <x v="4"/>
    <s v="REGULADOR DE NITROGENO"/>
    <m/>
  </r>
  <r>
    <n v="57"/>
    <s v="00005-ELC"/>
    <x v="7"/>
    <s v="REGLETA ELECTRICA 6 TOMA TROEN"/>
    <m/>
  </r>
  <r>
    <n v="58"/>
    <s v="00006-ELC"/>
    <x v="7"/>
    <s v="REGLETA ELECTRICA 10 TOMA TROEN"/>
    <m/>
  </r>
  <r>
    <n v="59"/>
    <s v="00002-ILU"/>
    <x v="2"/>
    <s v="REFLECTOR LED COLORES 100W"/>
    <m/>
  </r>
  <r>
    <n v="60"/>
    <s v="00003-ILU"/>
    <x v="2"/>
    <s v="REFLECTOR LED 50W"/>
    <m/>
  </r>
  <r>
    <n v="61"/>
    <s v="00019-FER"/>
    <x v="1"/>
    <s v="RODAMIENTO 620 IRS"/>
    <m/>
  </r>
  <r>
    <n v="62"/>
    <s v="00007-ELC"/>
    <x v="7"/>
    <s v="RADIO PORTATIL GREAVAL"/>
    <m/>
  </r>
  <r>
    <n v="63"/>
    <s v="00008-ELC"/>
    <x v="7"/>
    <s v="RADIO PORTATIL BAOFENG"/>
    <m/>
  </r>
  <r>
    <n v="64"/>
    <s v="00004-MSC"/>
    <x v="6"/>
    <s v="QUEMADOR DE REVERBERO DIMAINCA"/>
    <m/>
  </r>
  <r>
    <n v="65"/>
    <s v="00007-HER"/>
    <x v="4"/>
    <s v="PUNZON EXPANZOR DE CAÑO REFRIGERACION"/>
    <m/>
  </r>
  <r>
    <n v="66"/>
    <s v="00004-ILU"/>
    <x v="2"/>
    <s v="PROYECTOR DE JARDIN DE JARDIN MHAZOZE"/>
    <m/>
  </r>
  <r>
    <n v="67"/>
    <s v="00005-ELE"/>
    <x v="3"/>
    <s v="PROTECTOR NEVERA EXCELINE GSM-N120"/>
    <m/>
  </r>
  <r>
    <n v="68"/>
    <s v="00006-ELE"/>
    <x v="3"/>
    <s v="PROTECTOR MICROONDAS 110V EXCELINE"/>
    <m/>
  </r>
  <r>
    <n v="69"/>
    <s v="00007-ELE"/>
    <x v="3"/>
    <s v="PROTECTOR DE CORRIENTE PEQ"/>
    <m/>
  </r>
  <r>
    <n v="70"/>
    <s v="00008-ELE"/>
    <x v="3"/>
    <s v="PROTECTOR DE CIRCUITO DE MOTOR 3 POLOS"/>
    <m/>
  </r>
  <r>
    <n v="71"/>
    <s v="00009-ELE"/>
    <x v="3"/>
    <s v="PROTECTOR A/A EXCELINE 220V CAB/CAB"/>
    <m/>
  </r>
  <r>
    <n v="72"/>
    <s v="00010-ELE"/>
    <x v="3"/>
    <s v="PROTECTOR A/A EXCELINE 220V"/>
    <m/>
  </r>
  <r>
    <n v="73"/>
    <s v="00005-MSC"/>
    <x v="6"/>
    <s v="PRECINTADORA MANUAL EXCELL"/>
    <m/>
  </r>
  <r>
    <n v="74"/>
    <s v="00006-MSC"/>
    <x v="6"/>
    <s v="PORTA PRECIO ADHESIVO"/>
    <m/>
  </r>
  <r>
    <n v="75"/>
    <s v="00007-MSC"/>
    <x v="6"/>
    <s v="PLASTIMESA TRANSPARENTE 0,15 MM X METRO"/>
    <m/>
  </r>
  <r>
    <n v="76"/>
    <s v="00008-HER"/>
    <x v="4"/>
    <s v="PIQUETA DE HERRERIA"/>
    <m/>
  </r>
  <r>
    <n v="77"/>
    <s v="00009-HER"/>
    <x v="4"/>
    <s v="PINZA DE ELECTRICISTA"/>
    <m/>
  </r>
  <r>
    <n v="78"/>
    <s v="00013-OFC"/>
    <x v="5"/>
    <s v="PINTURA AL FRIO"/>
    <m/>
  </r>
  <r>
    <n v="79"/>
    <s v="00020-FER"/>
    <x v="1"/>
    <s v="RAMPLUS AZUL"/>
    <m/>
  </r>
  <r>
    <n v="80"/>
    <s v="00005-ILU"/>
    <x v="2"/>
    <s v="PANEL LED REDONDO EMPOTRABLE 36W"/>
    <m/>
  </r>
  <r>
    <n v="81"/>
    <s v="00006-ILU"/>
    <x v="2"/>
    <s v="PANEL LED REDONDO EMPOTRABLE 24W"/>
    <m/>
  </r>
  <r>
    <n v="82"/>
    <s v="00007-ILU"/>
    <x v="2"/>
    <s v="PANEL LED REDONDO EMPOTRABLE 18W"/>
    <m/>
  </r>
  <r>
    <n v="83"/>
    <s v="00008-ILU"/>
    <x v="2"/>
    <s v="PANEL LED CUADRADO SUPERFICIAL 36W"/>
    <m/>
  </r>
  <r>
    <n v="84"/>
    <s v="00009-ILU"/>
    <x v="2"/>
    <s v="PANEL LED CUADRADO SUPERFICIAL 24W"/>
    <m/>
  </r>
  <r>
    <n v="85"/>
    <s v="00010-HER"/>
    <x v="4"/>
    <s v="PALUSTRA LISA"/>
    <m/>
  </r>
  <r>
    <n v="86"/>
    <s v="00011-HER"/>
    <x v="4"/>
    <s v="PALUSTRA DENTADA"/>
    <m/>
  </r>
  <r>
    <n v="87"/>
    <s v="00008-MSC"/>
    <x v="6"/>
    <s v="PALA PEQ PLASTICO USO DOMESTICO"/>
    <m/>
  </r>
  <r>
    <n v="88"/>
    <s v="00012-HER"/>
    <x v="4"/>
    <s v="PICO P/ SOLDAR"/>
    <m/>
  </r>
  <r>
    <n v="89"/>
    <s v="00009-ELC"/>
    <x v="7"/>
    <s v="MONITOR DE CONT. BILLETE"/>
    <m/>
  </r>
  <r>
    <n v="90"/>
    <s v="00010-ELC"/>
    <x v="7"/>
    <s v="MICROFONO INALAMBRICO"/>
    <m/>
  </r>
  <r>
    <n v="91"/>
    <s v="00011-ELC"/>
    <x v="7"/>
    <s v="MICROFONO CON CABLE"/>
    <m/>
  </r>
  <r>
    <n v="92"/>
    <s v="00013-HER"/>
    <x v="4"/>
    <s v="NAVAJA PICO LORO 8&quot; EXXEL"/>
    <m/>
  </r>
  <r>
    <n v="93"/>
    <s v="00014-HER"/>
    <x v="4"/>
    <s v="MECHA DE METAL PEQ."/>
    <m/>
  </r>
  <r>
    <n v="94"/>
    <s v="00021-FER"/>
    <x v="1"/>
    <s v="MECHA HSS KRAFT DIN 338 - 10"/>
    <m/>
  </r>
  <r>
    <n v="95"/>
    <s v="00014-OFC"/>
    <x v="5"/>
    <s v="MARCADOR PIZARRA NEGRO"/>
    <m/>
  </r>
  <r>
    <n v="96"/>
    <s v="00015-OFC"/>
    <x v="5"/>
    <s v="MARCADOR PIZARRA AZUL"/>
    <m/>
  </r>
  <r>
    <n v="97"/>
    <s v="00016-OFC"/>
    <x v="5"/>
    <s v="MARCADOR AZUL PERMANENTE"/>
    <m/>
  </r>
  <r>
    <n v="98"/>
    <s v="00017-OFC"/>
    <x v="5"/>
    <s v="MARACADOR NEGRO PERMANENTE"/>
    <m/>
  </r>
  <r>
    <n v="99"/>
    <s v="00015-HER"/>
    <x v="4"/>
    <s v="MANOMETRO CON MANGUERAS"/>
    <m/>
  </r>
  <r>
    <n v="100"/>
    <s v="00009-REF"/>
    <x v="0"/>
    <s v="MANGUERA DESAGUE A/A 1/2&quot; 2M"/>
    <m/>
  </r>
  <r>
    <n v="101"/>
    <s v="00016-HER"/>
    <x v="4"/>
    <s v="MANGUERA DE LIMPIEZA DE TUBERIA"/>
    <m/>
  </r>
  <r>
    <n v="102"/>
    <s v="00017-HER"/>
    <x v="4"/>
    <s v="MANGUERA DE ALTA PRESION ROJA"/>
    <m/>
  </r>
  <r>
    <n v="103"/>
    <s v="00018-HER"/>
    <x v="4"/>
    <s v="MANGUERA DE ALTA PRESION HIDRO JET"/>
    <m/>
  </r>
  <r>
    <n v="104"/>
    <s v="00019-HER"/>
    <x v="4"/>
    <s v="MANGO DE RODILLO SIN CAMISA"/>
    <m/>
  </r>
  <r>
    <n v="105"/>
    <s v="00020-HER"/>
    <x v="4"/>
    <s v="MANDARRIA DE GOMA"/>
    <m/>
  </r>
  <r>
    <n v="106"/>
    <s v="00021-HER"/>
    <x v="4"/>
    <s v="MARTILLO MANGO DE MADERA"/>
    <m/>
  </r>
  <r>
    <n v="107"/>
    <s v="00022-HER"/>
    <x v="4"/>
    <s v="LLAVE PARA TUERCA DE CAMIONES"/>
    <m/>
  </r>
  <r>
    <n v="108"/>
    <s v="00023-HER"/>
    <x v="4"/>
    <s v="LLAVE DE TUBO 14&quot;"/>
    <m/>
  </r>
  <r>
    <n v="109"/>
    <s v="00024-HER"/>
    <x v="4"/>
    <s v="MANDARREA CON MANGO DE MADERA"/>
    <m/>
  </r>
  <r>
    <n v="110"/>
    <s v="00025-HER"/>
    <x v="4"/>
    <s v="LLAVE DE CARRACA DE DOBLE EXTREMO"/>
    <m/>
  </r>
  <r>
    <n v="111"/>
    <s v="00026-HER"/>
    <x v="4"/>
    <s v="LLAVE CORREA PARA FILTRO DE ACEITE"/>
    <m/>
  </r>
  <r>
    <n v="112"/>
    <s v="00027-HER"/>
    <x v="4"/>
    <s v="LLAVE ALLENS"/>
    <m/>
  </r>
  <r>
    <n v="113"/>
    <s v="00028-HER"/>
    <x v="4"/>
    <s v="LLAVE AJUSTABLE 8&quot;"/>
    <m/>
  </r>
  <r>
    <n v="114"/>
    <s v="00029-HER"/>
    <x v="4"/>
    <s v="LLAVE AJUSTABLE 6&quot;"/>
    <m/>
  </r>
  <r>
    <n v="115"/>
    <s v="00030-HER"/>
    <x v="4"/>
    <s v="LLAVE DE TUBO 12&quot;"/>
    <m/>
  </r>
  <r>
    <n v="116"/>
    <s v="00031-HER"/>
    <x v="4"/>
    <s v="LLAVE AJUSTABLE 10&quot;"/>
    <m/>
  </r>
  <r>
    <n v="117"/>
    <s v="00032-HER"/>
    <x v="4"/>
    <s v="LIJADORA ORBITAL"/>
    <m/>
  </r>
  <r>
    <n v="118"/>
    <s v="00018-OFC"/>
    <x v="5"/>
    <s v="LAPIZ DE GRAFITO"/>
    <m/>
  </r>
  <r>
    <n v="119"/>
    <s v="00010-ILU"/>
    <x v="2"/>
    <s v="LAMPARA TIPO UFO AC85-305V 150W"/>
    <m/>
  </r>
  <r>
    <n v="120"/>
    <s v="00011-ILU"/>
    <x v="2"/>
    <s v="LAMPARA TIPO UFO AC85-265V 150W"/>
    <m/>
  </r>
  <r>
    <n v="121"/>
    <s v="00012-ILU"/>
    <x v="2"/>
    <s v="LAMPARA LED TIPO CAÑON 10W"/>
    <m/>
  </r>
  <r>
    <n v="122"/>
    <s v="00013-ILU"/>
    <x v="2"/>
    <s v="LAMPARA LED DE POSTE 500W"/>
    <m/>
  </r>
  <r>
    <n v="123"/>
    <s v="00014-ILU"/>
    <x v="2"/>
    <s v="LAMPARA LED DE POSTE 400W"/>
    <m/>
  </r>
  <r>
    <n v="124"/>
    <s v="00015-ILU"/>
    <x v="2"/>
    <s v="LAMPARA LED DE POSTE 200W"/>
    <m/>
  </r>
  <r>
    <n v="125"/>
    <s v="00016-ILU"/>
    <x v="2"/>
    <s v="LAMPARA LED DE POSTE 100W"/>
    <m/>
  </r>
  <r>
    <n v="126"/>
    <s v="00017-ILU"/>
    <x v="2"/>
    <s v="LAMPARA LED A PRUEBA DE HUMEDAD 20W"/>
    <m/>
  </r>
  <r>
    <n v="127"/>
    <s v="00018-ILU"/>
    <x v="2"/>
    <s v="LAMPARA DE EMERGENCIA NEGRA"/>
    <m/>
  </r>
  <r>
    <n v="128"/>
    <s v="00019-ILU"/>
    <x v="2"/>
    <s v="LAMPARA DE EMERGENCIA 5W"/>
    <m/>
  </r>
  <r>
    <n v="129"/>
    <s v="00020-ILU"/>
    <x v="2"/>
    <s v="LAMPARA DE EMERGENCIA 20 X 0.2W"/>
    <m/>
  </r>
  <r>
    <n v="130"/>
    <s v="00033-HER"/>
    <x v="4"/>
    <s v="KIT DE PRENSA PARA TUBERIAS"/>
    <m/>
  </r>
  <r>
    <n v="131"/>
    <s v="00034-HER"/>
    <x v="4"/>
    <s v="LLAVE AJUSTABLE 12&quot; X 300MM"/>
    <m/>
  </r>
  <r>
    <n v="132"/>
    <s v="00035-HER"/>
    <x v="4"/>
    <s v="JUEGO DE LLAVE TORX 10 PZAS"/>
    <m/>
  </r>
  <r>
    <n v="133"/>
    <s v="00036-HER"/>
    <x v="4"/>
    <s v="JUEGO DE LLAVE EXAGONAL"/>
    <m/>
  </r>
  <r>
    <n v="134"/>
    <s v="00037-HER"/>
    <x v="4"/>
    <s v="JUEGO DE DESTORNILLADOR SIX PACK VERDE"/>
    <m/>
  </r>
  <r>
    <n v="135"/>
    <s v="00038-HER"/>
    <x v="4"/>
    <s v="JUEGO DE DESTORNILLADOR SIX PACK ROJO"/>
    <m/>
  </r>
  <r>
    <n v="136"/>
    <s v="00039-HER"/>
    <x v="4"/>
    <s v="JUEGO DE DESTORNILLADOR RELOGERO"/>
    <m/>
  </r>
  <r>
    <n v="137"/>
    <s v="00040-HER"/>
    <x v="4"/>
    <s v="JUEGO DE DESTORNILLADOR 2 PACK"/>
    <m/>
  </r>
  <r>
    <n v="138"/>
    <s v="00019-OFC"/>
    <x v="5"/>
    <s v="HUELLERO"/>
    <m/>
  </r>
  <r>
    <n v="139"/>
    <s v="00041-HER"/>
    <x v="4"/>
    <s v="JUEGO DE DADOS 1/4 12 PZAS"/>
    <m/>
  </r>
  <r>
    <n v="140"/>
    <s v="00001-UNI"/>
    <x v="8"/>
    <s v="GORRA NEGRA"/>
    <m/>
  </r>
  <r>
    <n v="141"/>
    <s v="00001-AUT"/>
    <x v="9"/>
    <s v="GATO HIDRAULICO6 TONELADAS"/>
    <m/>
  </r>
  <r>
    <n v="142"/>
    <s v="00002-AUT"/>
    <x v="9"/>
    <s v="GATO HIDRAULICO 30 TONELADAS"/>
    <m/>
  </r>
  <r>
    <n v="143"/>
    <s v="00022-FER"/>
    <x v="1"/>
    <s v="HOJA DE SIERRA 7,25&quot;"/>
    <m/>
  </r>
  <r>
    <n v="144"/>
    <s v="00023-FER"/>
    <x v="1"/>
    <s v="GANCHO PARA EXTINTOR"/>
    <m/>
  </r>
  <r>
    <n v="145"/>
    <s v="00024-FER"/>
    <x v="1"/>
    <s v="GALON TINER ACRILICO"/>
    <m/>
  </r>
  <r>
    <n v="146"/>
    <s v="00025-FER"/>
    <x v="1"/>
    <s v="GALON PINTURA SATINADO AMARILLO"/>
    <m/>
  </r>
  <r>
    <n v="147"/>
    <s v="00026-FER"/>
    <x v="1"/>
    <s v="GALON PINTURA SATINADA BLANCO"/>
    <m/>
  </r>
  <r>
    <n v="148"/>
    <s v="00027-FER"/>
    <x v="1"/>
    <s v="GALON PINTURA ESMALTE VERDE GRANJA"/>
    <m/>
  </r>
  <r>
    <n v="149"/>
    <s v="00028-FER"/>
    <x v="1"/>
    <s v="GALON PINTURA ESMALTE NEGRO"/>
    <m/>
  </r>
  <r>
    <n v="150"/>
    <s v="00029-FER"/>
    <x v="1"/>
    <s v="GALON PINTURA ESMALTE GRIS MATE"/>
    <m/>
  </r>
  <r>
    <n v="151"/>
    <s v="00030-FER"/>
    <x v="1"/>
    <s v="GALON PINTURA ESMALTE GRIS CLARO"/>
    <m/>
  </r>
  <r>
    <n v="152"/>
    <s v="00031-FER"/>
    <x v="1"/>
    <s v="GALON PINTURA ESMALTE BLANCO"/>
    <m/>
  </r>
  <r>
    <n v="153"/>
    <s v="00032-FER"/>
    <x v="1"/>
    <s v="GALON PINTURA ESMALTE AMARILLO CATEPILLAR"/>
    <m/>
  </r>
  <r>
    <n v="154"/>
    <s v="00033-FER"/>
    <x v="1"/>
    <s v="GALON PINTURA EPOXY GRIS"/>
    <m/>
  </r>
  <r>
    <n v="155"/>
    <s v="00034-FER"/>
    <x v="1"/>
    <s v="GALON PINTURA EPOXY BLANCO"/>
    <m/>
  </r>
  <r>
    <n v="156"/>
    <s v="00035-FER"/>
    <x v="1"/>
    <s v="GALON PINTURA CAUCHO MARRON CHOCOLATE"/>
    <m/>
  </r>
  <r>
    <n v="157"/>
    <s v="00036-FER"/>
    <x v="1"/>
    <s v="GALON PINTURA CAUCHO BLANCO"/>
    <m/>
  </r>
  <r>
    <n v="158"/>
    <s v="00037-FER"/>
    <x v="1"/>
    <s v="GALON PINTURA CAUCHO AMARILLO REAL"/>
    <m/>
  </r>
  <r>
    <n v="159"/>
    <s v="00038-FER"/>
    <x v="1"/>
    <s v="GALON PINTURA CAUCHO AMARILLO DUNA"/>
    <m/>
  </r>
  <r>
    <n v="160"/>
    <s v="00039-FER"/>
    <x v="1"/>
    <s v="GALON PINTURA ALTO TRAFICO BLANCO"/>
    <m/>
  </r>
  <r>
    <n v="161"/>
    <s v="00040-FER"/>
    <x v="1"/>
    <s v="GALON PINTURA ALTO TRAFICO AZUL"/>
    <m/>
  </r>
  <r>
    <n v="162"/>
    <s v="00041-FER"/>
    <x v="1"/>
    <s v="GALON PINTURA ALTO TRAFICO AMARILLO"/>
    <m/>
  </r>
  <r>
    <n v="163"/>
    <s v="00042-FER"/>
    <x v="1"/>
    <s v="GALON IMPERMEABILIZANTE GRIS"/>
    <m/>
  </r>
  <r>
    <n v="164"/>
    <s v="00020-OFC"/>
    <x v="5"/>
    <s v="FUNDAS P/PLASTIFICAR 9 X 14.5"/>
    <m/>
  </r>
  <r>
    <n v="165"/>
    <s v="00002-UNI"/>
    <x v="8"/>
    <s v="FRANELILLA AZUL T/XL"/>
    <m/>
  </r>
  <r>
    <n v="166"/>
    <s v="00003-UNI"/>
    <x v="8"/>
    <s v="FRANELILLA AZUL T/M"/>
    <m/>
  </r>
  <r>
    <n v="167"/>
    <s v="00004-UNI"/>
    <x v="8"/>
    <s v="FRANELILLA AZUL T/L"/>
    <m/>
  </r>
  <r>
    <n v="168"/>
    <s v="00005-UNI"/>
    <x v="8"/>
    <s v="FRANELA VERDE DAMA T/XXL"/>
    <m/>
  </r>
  <r>
    <n v="169"/>
    <s v="00006-UNI"/>
    <x v="8"/>
    <s v="FRANELA VERDE DAMA T/XL"/>
    <m/>
  </r>
  <r>
    <n v="170"/>
    <s v="00007-UNI"/>
    <x v="8"/>
    <s v="FRANELA VERDE DAMA T/S"/>
    <m/>
  </r>
  <r>
    <n v="171"/>
    <s v="00008-UNI"/>
    <x v="8"/>
    <s v="FRANELA VERDE DAMA T/M"/>
    <m/>
  </r>
  <r>
    <n v="172"/>
    <s v="00009-UNI"/>
    <x v="8"/>
    <s v="FRANELA VERDE DAMA T/L"/>
    <m/>
  </r>
  <r>
    <n v="173"/>
    <s v="00010-UNI"/>
    <x v="8"/>
    <s v="FRANELA VERDE CABALLERO T/XXL"/>
    <m/>
  </r>
  <r>
    <n v="174"/>
    <s v="00011-UNI"/>
    <x v="8"/>
    <s v="FRANELA VERDE CABALLERO T/XL"/>
    <m/>
  </r>
  <r>
    <n v="175"/>
    <s v="00012-UNI"/>
    <x v="8"/>
    <s v="FRANELA VERDE CABALLERO T/S"/>
    <m/>
  </r>
  <r>
    <n v="176"/>
    <s v="00013-UNI"/>
    <x v="8"/>
    <s v="FRANELA VERDE CABALLERO T/M"/>
    <m/>
  </r>
  <r>
    <n v="177"/>
    <s v="00014-UNI"/>
    <x v="8"/>
    <s v="FRANELA VERDE CABALLERO T/L"/>
    <m/>
  </r>
  <r>
    <n v="178"/>
    <s v="00015-UNI"/>
    <x v="8"/>
    <s v="FRANELA CABALLERO T/S"/>
    <m/>
  </r>
  <r>
    <n v="179"/>
    <s v="00016-UNI"/>
    <x v="8"/>
    <s v="FRANELA CABALLERO T/M"/>
    <m/>
  </r>
  <r>
    <n v="180"/>
    <s v="00017-UNI"/>
    <x v="8"/>
    <s v="FRANELA CABALLERO T/L"/>
    <m/>
  </r>
  <r>
    <n v="181"/>
    <s v="00018-UNI"/>
    <x v="8"/>
    <s v="FRANELA AZUL DAMA T/XL"/>
    <m/>
  </r>
  <r>
    <n v="182"/>
    <s v="00019-UNI"/>
    <x v="8"/>
    <s v="FRANELA AZUL DAMA T/S"/>
    <m/>
  </r>
  <r>
    <n v="183"/>
    <s v="00020-UNI"/>
    <x v="8"/>
    <s v="FRANELA AZUL DAMA T/M"/>
    <m/>
  </r>
  <r>
    <n v="184"/>
    <s v="00021-UNI"/>
    <x v="8"/>
    <s v="FRANELA AZUL DAMA T/L"/>
    <m/>
  </r>
  <r>
    <n v="185"/>
    <s v="00022-UNI"/>
    <x v="8"/>
    <s v="FRANELA AZUL CABALLERO T/XL"/>
    <m/>
  </r>
  <r>
    <n v="186"/>
    <s v="00023-UNI"/>
    <x v="8"/>
    <s v="FRANELA AZUL CABALLERO T/L"/>
    <m/>
  </r>
  <r>
    <n v="187"/>
    <s v="00021-OFC"/>
    <x v="5"/>
    <s v="FOAMI VERDE T/CARTA"/>
    <m/>
  </r>
  <r>
    <n v="188"/>
    <s v="00042-HER"/>
    <x v="4"/>
    <s v="FLUSH KIT"/>
    <m/>
  </r>
  <r>
    <n v="189"/>
    <s v="00010-REF"/>
    <x v="0"/>
    <s v="FILTRO SEC BULL 3/8 3-6 TON ROSCA"/>
    <m/>
  </r>
  <r>
    <n v="190"/>
    <s v="00021-ILU"/>
    <x v="2"/>
    <s v="FAROLA SOLAR 300W"/>
    <m/>
  </r>
  <r>
    <n v="191"/>
    <s v="00022-ILU"/>
    <x v="2"/>
    <s v="FAROLA SOLAR 200W"/>
    <m/>
  </r>
  <r>
    <n v="192"/>
    <s v="00023-ILU"/>
    <x v="2"/>
    <s v="FAROLA SOLAR 100W"/>
    <m/>
  </r>
  <r>
    <n v="193"/>
    <s v="00043-HER"/>
    <x v="4"/>
    <s v="EXTRACTOR DE RODAMIENTO"/>
    <m/>
  </r>
  <r>
    <n v="194"/>
    <s v="00043-FER"/>
    <x v="1"/>
    <s v="GALON FONDO ANTICORROCIVO NEGRO"/>
    <m/>
  </r>
  <r>
    <n v="195"/>
    <s v="00044-HER"/>
    <x v="4"/>
    <s v="EXTRACTOR DE ENGRANAJE Y POLEAS"/>
    <m/>
  </r>
  <r>
    <n v="196"/>
    <s v="00012-ELC"/>
    <x v="7"/>
    <s v="EXTENCION ELECTRICA INDUSTRIAL 3 TOMA"/>
    <m/>
  </r>
  <r>
    <n v="197"/>
    <s v="00044-FER"/>
    <x v="1"/>
    <s v="GALON FONDO ANTICORROCIVO GRIS OSCURO"/>
    <m/>
  </r>
  <r>
    <n v="198"/>
    <s v="00045-HER"/>
    <x v="4"/>
    <s v="ESPATULA PEQ."/>
    <m/>
  </r>
  <r>
    <n v="199"/>
    <s v="00046-HER"/>
    <x v="4"/>
    <s v="ESPATULA GRANDE"/>
    <m/>
  </r>
  <r>
    <n v="200"/>
    <s v="00045-FER"/>
    <x v="1"/>
    <s v="GALON CEMENTO PLASTICO"/>
    <m/>
  </r>
  <r>
    <n v="201"/>
    <s v="00047-HER"/>
    <x v="4"/>
    <s v="ENGRASADORA MANUAL"/>
    <m/>
  </r>
  <r>
    <n v="202"/>
    <s v="00022-OFC"/>
    <x v="5"/>
    <s v="ENGRAPADORA"/>
    <m/>
  </r>
  <r>
    <n v="203"/>
    <s v="00046-FER"/>
    <x v="1"/>
    <s v="GALON BARNIS"/>
    <m/>
  </r>
  <r>
    <n v="204"/>
    <s v="00048-HER"/>
    <x v="4"/>
    <s v="DOBLADORA MANUAL DE TUBOS"/>
    <m/>
  </r>
  <r>
    <n v="205"/>
    <s v="00049-HER"/>
    <x v="4"/>
    <s v="EXTRACTOR DE ESTAÑO"/>
    <m/>
  </r>
  <r>
    <n v="206"/>
    <s v="00050-HER"/>
    <x v="4"/>
    <s v="EXACTO 18 X 100 MM TOTAL"/>
    <m/>
  </r>
  <r>
    <n v="207"/>
    <s v="00051-HER"/>
    <x v="4"/>
    <s v="ESPATULA DE METAL 60 MM TOTAL"/>
    <m/>
  </r>
  <r>
    <n v="208"/>
    <s v="00001-HRR"/>
    <x v="10"/>
    <s v="ELECTRODO PAQUETE 5K E6013 3/32"/>
    <m/>
  </r>
  <r>
    <n v="209"/>
    <s v="00002-HRR"/>
    <x v="10"/>
    <s v="ELECTRODO PAQUETE 5K E6013 1/8"/>
    <m/>
  </r>
  <r>
    <n v="210"/>
    <s v="00052-HER"/>
    <x v="4"/>
    <s v="DESTORNILLADOR/TALADRO INALAMBRICO RYOBI ONE+"/>
    <m/>
  </r>
  <r>
    <n v="211"/>
    <s v="00053-HER"/>
    <x v="4"/>
    <s v="DESTORNILLADOR RELOJERO T8 X 50"/>
    <m/>
  </r>
  <r>
    <n v="212"/>
    <s v="00054-HER"/>
    <x v="4"/>
    <s v="DESTORNILLADOR RELOJERO T6 X 50"/>
    <m/>
  </r>
  <r>
    <n v="213"/>
    <s v="00055-HER"/>
    <x v="4"/>
    <s v="DESTORNILLADOR RELOJERO T10 X 50"/>
    <m/>
  </r>
  <r>
    <n v="214"/>
    <s v="00056-HER"/>
    <x v="4"/>
    <s v="DESTORNILLADOR RELOJERO PH000 X 50"/>
    <m/>
  </r>
  <r>
    <n v="215"/>
    <s v="00057-HER"/>
    <x v="4"/>
    <s v="DESTORNILLADOR RELOJERO 3 X 50"/>
    <m/>
  </r>
  <r>
    <n v="216"/>
    <s v="00058-HER"/>
    <x v="4"/>
    <s v="DESTORNILLADOR RELOJERO 2,5 X 50"/>
    <m/>
  </r>
  <r>
    <n v="217"/>
    <s v="00059-HER"/>
    <x v="4"/>
    <s v="DESTORNILLADOR RELOJERO 1,5 X 50"/>
    <m/>
  </r>
  <r>
    <n v="218"/>
    <s v="00060-HER"/>
    <x v="4"/>
    <s v="DESTORNILLADOR DE PALA PEQ."/>
    <m/>
  </r>
  <r>
    <n v="219"/>
    <s v="00061-HER"/>
    <x v="4"/>
    <s v="DESTORNILLADOR DE PALA MEDIANO"/>
    <m/>
  </r>
  <r>
    <n v="220"/>
    <s v="00062-HER"/>
    <x v="4"/>
    <s v="DESTORNILLADOR DE PALA INC-CO"/>
    <m/>
  </r>
  <r>
    <n v="221"/>
    <s v="00063-HER"/>
    <x v="4"/>
    <s v="DESTORNILLADOR DE PALA ELECTRICISTA"/>
    <m/>
  </r>
  <r>
    <n v="222"/>
    <s v="00003-HRR"/>
    <x v="10"/>
    <s v="DISCO TROZADORA 14&quot;"/>
    <m/>
  </r>
  <r>
    <n v="223"/>
    <s v="00004-HRR"/>
    <x v="10"/>
    <s v="DISCO DESSBANES 7&quot;"/>
    <m/>
  </r>
  <r>
    <n v="224"/>
    <s v="00005-HRR"/>
    <x v="10"/>
    <s v="DISCO DESSBANES 4&quot;"/>
    <m/>
  </r>
  <r>
    <n v="225"/>
    <s v="00006-HRR"/>
    <x v="10"/>
    <s v="DISCO CORTE 7&quot;"/>
    <m/>
  </r>
  <r>
    <n v="226"/>
    <s v="00007-HRR"/>
    <x v="10"/>
    <s v="DISCO CORTE 4.5&quot;"/>
    <m/>
  </r>
  <r>
    <n v="227"/>
    <s v="00047-FER"/>
    <x v="1"/>
    <s v="CUÑETE PINTURA ESMALTE VERDE GRANJA"/>
    <m/>
  </r>
  <r>
    <n v="228"/>
    <s v="00048-FER"/>
    <x v="1"/>
    <s v="CUÑETE PINTURA ESMALTE BLANCO"/>
    <m/>
  </r>
  <r>
    <n v="229"/>
    <s v="00049-FER"/>
    <x v="1"/>
    <s v="CUÑETE PINTURA CAUCHO VERDE GRANJA"/>
    <m/>
  </r>
  <r>
    <n v="230"/>
    <s v="00050-FER"/>
    <x v="1"/>
    <s v="CUÑETE PINTURA CAUCHO NEGRO"/>
    <m/>
  </r>
  <r>
    <n v="231"/>
    <s v="00051-FER"/>
    <x v="1"/>
    <s v="CUÑETE PINTURA CAUCHO GRIS CLARO"/>
    <m/>
  </r>
  <r>
    <n v="232"/>
    <s v="00009-MSC"/>
    <x v="6"/>
    <s v="CUCHILLO 8&quot; EXCALIBUR"/>
    <m/>
  </r>
  <r>
    <n v="233"/>
    <s v="00010-MSC"/>
    <x v="6"/>
    <s v="CUCHILLO 7&quot; EXCALIBUR"/>
    <m/>
  </r>
  <r>
    <n v="234"/>
    <s v="00011-MSC"/>
    <x v="6"/>
    <s v="CUCHARON MEDIANO"/>
    <m/>
  </r>
  <r>
    <n v="235"/>
    <s v="00064-HER"/>
    <x v="4"/>
    <s v="CUCHARA DE ALBAÑILERIA GRANDE"/>
    <m/>
  </r>
  <r>
    <n v="236"/>
    <s v="00023-OFC"/>
    <x v="5"/>
    <s v="CUADERNO CUADRICULADO"/>
    <m/>
  </r>
  <r>
    <n v="237"/>
    <s v="00024-OFC"/>
    <x v="5"/>
    <s v="CUADERNO 1 LINEA"/>
    <m/>
  </r>
  <r>
    <n v="238"/>
    <s v="00065-HER"/>
    <x v="4"/>
    <s v="CRIMPADORA HIDRAULICA"/>
    <m/>
  </r>
  <r>
    <n v="239"/>
    <s v="00066-HER"/>
    <x v="4"/>
    <s v="CORTADOR DE VIDRIO MANUAL"/>
    <m/>
  </r>
  <r>
    <n v="240"/>
    <s v="00067-HER"/>
    <x v="4"/>
    <s v="CORTADOR DE TUBO"/>
    <m/>
  </r>
  <r>
    <n v="241"/>
    <s v="00011-REF"/>
    <x v="0"/>
    <s v="COPA 3/8 REFORZADA"/>
    <m/>
  </r>
  <r>
    <n v="242"/>
    <s v="00013-ELC"/>
    <x v="7"/>
    <s v="CONTROLADOR TV DE PARED"/>
    <m/>
  </r>
  <r>
    <n v="243"/>
    <s v="00014-ELC"/>
    <x v="7"/>
    <s v="CONTROL TV SANKEY"/>
    <m/>
  </r>
  <r>
    <n v="244"/>
    <s v="00015-ELC"/>
    <x v="7"/>
    <s v="CONTROL TV JVC"/>
    <m/>
  </r>
  <r>
    <n v="245"/>
    <s v="00016-ELC"/>
    <x v="7"/>
    <s v="CONTROL TV CLX"/>
    <m/>
  </r>
  <r>
    <n v="246"/>
    <s v="00017-ELC"/>
    <x v="7"/>
    <s v="CONTROL ROKU VIZZION"/>
    <m/>
  </r>
  <r>
    <n v="247"/>
    <s v="00018-ELC"/>
    <x v="7"/>
    <s v="CONTROL A/C MUNDO BLANCO"/>
    <m/>
  </r>
  <r>
    <n v="248"/>
    <s v="00019-ELC"/>
    <x v="7"/>
    <s v="CONTROL A/C CONDESA"/>
    <m/>
  </r>
  <r>
    <n v="249"/>
    <s v="00011-ELE"/>
    <x v="3"/>
    <s v="CONTACTOR ELECTRICO CI 9"/>
    <m/>
  </r>
  <r>
    <n v="250"/>
    <s v="00012-REF"/>
    <x v="0"/>
    <s v="CONDENSADOR A/A VENTANA 2 MF 450V CUADRADO"/>
    <m/>
  </r>
  <r>
    <n v="251"/>
    <s v="00013-REF"/>
    <x v="0"/>
    <s v="CONDENSADOR A/A 60MF 450V EN ACEITE"/>
    <m/>
  </r>
  <r>
    <n v="252"/>
    <s v="00014-REF"/>
    <x v="0"/>
    <s v="COMPRESOR 5HP PANASONIC R410A 220V"/>
    <m/>
  </r>
  <r>
    <n v="253"/>
    <s v="00015-REF"/>
    <x v="0"/>
    <s v="COMPRESOR 1HP 220V/R-404 MONOFASICO"/>
    <m/>
  </r>
  <r>
    <n v="254"/>
    <s v="00024-ILU"/>
    <x v="2"/>
    <s v="BOMBILLO VERDE CONICO 18 W"/>
    <m/>
  </r>
  <r>
    <n v="255"/>
    <s v="00068-HER"/>
    <x v="4"/>
    <s v="CIZALLA MANUAL 42&quot;"/>
    <m/>
  </r>
  <r>
    <n v="256"/>
    <s v="00025-OFC"/>
    <x v="5"/>
    <s v="CINTA PLASTICA PEQ"/>
    <m/>
  </r>
  <r>
    <n v="257"/>
    <s v="00069-HER"/>
    <x v="4"/>
    <s v="CINTA METRICA 10M WOKIN"/>
    <m/>
  </r>
  <r>
    <n v="258"/>
    <s v="00025-ILU"/>
    <x v="2"/>
    <s v="CINTA LED COLORES C/ ACCESORIOS"/>
    <m/>
  </r>
  <r>
    <n v="259"/>
    <s v="00016-REF"/>
    <x v="0"/>
    <s v="CINTA AISLANTE NO ADHESIVA 2&quot; 15M MOMIA"/>
    <m/>
  </r>
  <r>
    <n v="260"/>
    <s v="00070-HER"/>
    <x v="4"/>
    <s v="CINCEL CON PROTECTOR"/>
    <m/>
  </r>
  <r>
    <n v="261"/>
    <s v="00024-UNI"/>
    <x v="8"/>
    <s v="CHEMISE VERDE DAMA T/XXL"/>
    <m/>
  </r>
  <r>
    <n v="262"/>
    <s v="00025-UNI"/>
    <x v="8"/>
    <s v="CHEMISE VERDE DAMA T/XL"/>
    <m/>
  </r>
  <r>
    <n v="263"/>
    <s v="00026-UNI"/>
    <x v="8"/>
    <s v="CHEMISE VERDE DAMA T/S"/>
    <m/>
  </r>
  <r>
    <n v="264"/>
    <s v="00027-UNI"/>
    <x v="8"/>
    <s v="CHEMISE VERDE DAMA T/M"/>
    <m/>
  </r>
  <r>
    <n v="265"/>
    <s v="00028-UNI"/>
    <x v="8"/>
    <s v="CHEMISE VERDE DAMA T/L"/>
    <m/>
  </r>
  <r>
    <n v="266"/>
    <s v="00029-UNI"/>
    <x v="8"/>
    <s v="CHEMISE VERDE CABALLERO T/XXL"/>
    <m/>
  </r>
  <r>
    <n v="267"/>
    <s v="00030-UNI"/>
    <x v="8"/>
    <s v="CHEMISE VERDE CABALLERO T/XL"/>
    <m/>
  </r>
  <r>
    <n v="268"/>
    <s v="00031-UNI"/>
    <x v="8"/>
    <s v="CHEMISE VERDE CABALLERO T/S"/>
    <m/>
  </r>
  <r>
    <n v="269"/>
    <s v="00032-UNI"/>
    <x v="8"/>
    <s v="CHEMISE VERDE CABALLERO T/M"/>
    <m/>
  </r>
  <r>
    <n v="270"/>
    <s v="00033-UNI"/>
    <x v="8"/>
    <s v="CHEMISE VERDE CABALLERO T/L"/>
    <m/>
  </r>
  <r>
    <n v="271"/>
    <s v="00034-UNI"/>
    <x v="8"/>
    <s v="CHEMISE AZUL DAMA T/XXL"/>
    <m/>
  </r>
  <r>
    <n v="272"/>
    <s v="00035-UNI"/>
    <x v="8"/>
    <s v="CHEMISE AZUL DAMA T/XL"/>
    <m/>
  </r>
  <r>
    <n v="273"/>
    <s v="00036-UNI"/>
    <x v="8"/>
    <s v="CHEMISE AZUL DAMA T/M"/>
    <m/>
  </r>
  <r>
    <n v="274"/>
    <s v="00037-UNI"/>
    <x v="8"/>
    <s v="CHEMISE AZUL DAMA T/L"/>
    <m/>
  </r>
  <r>
    <n v="275"/>
    <s v="00038-UNI"/>
    <x v="8"/>
    <s v="CHEMISE AZUL CABALLERO T/XXL"/>
    <m/>
  </r>
  <r>
    <n v="276"/>
    <s v="00039-UNI"/>
    <x v="8"/>
    <s v="CHEMISE AZUL CABALLERO T/XL"/>
    <m/>
  </r>
  <r>
    <n v="277"/>
    <s v="00040-UNI"/>
    <x v="8"/>
    <s v="CHEMISE AZUL CABALLERO T/M"/>
    <m/>
  </r>
  <r>
    <n v="278"/>
    <s v="00041-UNI"/>
    <x v="8"/>
    <s v="CHEMISE AZUL CABALLERO T/L"/>
    <m/>
  </r>
  <r>
    <n v="279"/>
    <s v="00042-UNI"/>
    <x v="8"/>
    <s v="CHEMISE AMARILLA DAMA T/XXL"/>
    <m/>
  </r>
  <r>
    <n v="280"/>
    <s v="00043-UNI"/>
    <x v="8"/>
    <s v="CHEMISE AMARILLA DAMA T/XL"/>
    <m/>
  </r>
  <r>
    <n v="281"/>
    <s v="00044-UNI"/>
    <x v="8"/>
    <s v="CHEMISE AMARILLA DAMA T/S"/>
    <m/>
  </r>
  <r>
    <n v="282"/>
    <s v="00045-UNI"/>
    <x v="8"/>
    <s v="CHEMISE AMARILLA DAMA T/M"/>
    <m/>
  </r>
  <r>
    <n v="283"/>
    <s v="00046-UNI"/>
    <x v="8"/>
    <s v="CHEMISE AMARILLA DAMA T/L"/>
    <m/>
  </r>
  <r>
    <n v="284"/>
    <s v="00047-UNI"/>
    <x v="8"/>
    <s v="CHEMISE AMARILLA CABALLERO T/M"/>
    <m/>
  </r>
  <r>
    <n v="285"/>
    <s v="00048-UNI"/>
    <x v="8"/>
    <s v="CHEMISE AMARILLA CABALLERO T/L"/>
    <m/>
  </r>
  <r>
    <n v="286"/>
    <s v="00049-UNI"/>
    <x v="8"/>
    <s v="CHALECO VERDE T/XL"/>
    <m/>
  </r>
  <r>
    <n v="287"/>
    <s v="00050-UNI"/>
    <x v="8"/>
    <s v="CHALECO VERDE T/S"/>
    <m/>
  </r>
  <r>
    <n v="288"/>
    <s v="00051-UNI"/>
    <x v="8"/>
    <s v="CHALECO VERDE T/M"/>
    <m/>
  </r>
  <r>
    <n v="289"/>
    <s v="00052-UNI"/>
    <x v="8"/>
    <s v="CHALECO VERDE T/L"/>
    <m/>
  </r>
  <r>
    <n v="290"/>
    <s v="00012-MSC"/>
    <x v="6"/>
    <s v="CHAIRA 8&quot; VENEZIA"/>
    <m/>
  </r>
  <r>
    <n v="291"/>
    <s v="00052-FER"/>
    <x v="1"/>
    <s v="CUÑETE PINTURA CAUCHO BLANCO"/>
    <m/>
  </r>
  <r>
    <n v="292"/>
    <s v="00053-FER"/>
    <x v="1"/>
    <s v="CUÑETE PINTURA ALTO TRAFICO AMARILLO"/>
    <m/>
  </r>
  <r>
    <n v="293"/>
    <s v="00071-HER"/>
    <x v="4"/>
    <s v="CEPILLO DE ALBAÑILERIA"/>
    <m/>
  </r>
  <r>
    <n v="294"/>
    <s v="00013-MSC"/>
    <x v="6"/>
    <s v="CAVA PEQ. NARANJA"/>
    <m/>
  </r>
  <r>
    <n v="295"/>
    <s v="00014-MSC"/>
    <x v="6"/>
    <s v="CAVA GRANDE 49L ROJA"/>
    <m/>
  </r>
  <r>
    <n v="296"/>
    <s v="00072-HER"/>
    <x v="4"/>
    <s v="CAUTIN ELECTRICO 60W 110V"/>
    <m/>
  </r>
  <r>
    <n v="297"/>
    <s v="00026-OFC"/>
    <x v="5"/>
    <s v="CARPETA MARRON T/CARTA"/>
    <m/>
  </r>
  <r>
    <n v="298"/>
    <s v="00027-OFC"/>
    <x v="5"/>
    <s v="CARPETA MANILA T/CARTA"/>
    <m/>
  </r>
  <r>
    <n v="299"/>
    <s v="00073-HER"/>
    <x v="4"/>
    <s v="CARGADOR DE BATERIA INTELIGENTE"/>
    <m/>
  </r>
  <r>
    <n v="300"/>
    <s v="00017-REF"/>
    <x v="0"/>
    <s v="CAPILAR 0.49 (METRO)"/>
    <m/>
  </r>
  <r>
    <n v="301"/>
    <s v="00054-FER"/>
    <x v="1"/>
    <s v="CUÑETE PASTA PROFECIONAL"/>
    <m/>
  </r>
  <r>
    <n v="302"/>
    <s v="00055-FER"/>
    <x v="1"/>
    <s v="CUÑETE IMPERMEABILIZANTE GRIS"/>
    <m/>
  </r>
  <r>
    <n v="303"/>
    <s v="00056-FER"/>
    <x v="1"/>
    <s v="CUÑETE IMPERMEABILIZANTE BLANCO"/>
    <m/>
  </r>
  <r>
    <n v="304"/>
    <s v="00057-FER"/>
    <x v="1"/>
    <s v="CUÑETE CEMENTO PLASTICO"/>
    <m/>
  </r>
  <r>
    <n v="305"/>
    <s v="00058-FER"/>
    <x v="1"/>
    <s v="CERRADURA P/ GAVETA 2 LLAVES"/>
    <m/>
  </r>
  <r>
    <n v="306"/>
    <s v="00059-FER"/>
    <x v="1"/>
    <s v="CERRADURA DE MANILLA 3 LLAVES"/>
    <m/>
  </r>
  <r>
    <n v="307"/>
    <s v="00060-FER"/>
    <x v="1"/>
    <s v="CANDADO DE COMBINACION P/ INTERIOR"/>
    <m/>
  </r>
  <r>
    <n v="308"/>
    <s v="00061-FER"/>
    <x v="1"/>
    <s v="CANDADO ANTICIZALLA 90MM"/>
    <m/>
  </r>
  <r>
    <n v="309"/>
    <s v="00053-UNI"/>
    <x v="8"/>
    <s v="CAMISA NEGRA MAYOR DAMA T/XXL"/>
    <m/>
  </r>
  <r>
    <n v="310"/>
    <s v="00054-UNI"/>
    <x v="8"/>
    <s v="CAMISA NEGRA MAYOR DAMA T/XL"/>
    <m/>
  </r>
  <r>
    <n v="311"/>
    <s v="00055-UNI"/>
    <x v="8"/>
    <s v="CAMISA NEGRA MAYOR DAMA T/S"/>
    <m/>
  </r>
  <r>
    <n v="312"/>
    <s v="00056-UNI"/>
    <x v="8"/>
    <s v="CAMISA NEGRA MAYOR DAMA T/M"/>
    <m/>
  </r>
  <r>
    <n v="313"/>
    <s v="00057-UNI"/>
    <x v="8"/>
    <s v="CAMISA NEGRA MAYOR DAMA T/L"/>
    <m/>
  </r>
  <r>
    <n v="314"/>
    <s v="00058-UNI"/>
    <x v="8"/>
    <s v="CAMISA NEGRA MAYOR CABALLERO T/XXL"/>
    <m/>
  </r>
  <r>
    <n v="315"/>
    <s v="00059-UNI"/>
    <x v="8"/>
    <s v="CAMISA NEGRA MAYOR CABALLERO T/S"/>
    <m/>
  </r>
  <r>
    <n v="316"/>
    <s v="00060-UNI"/>
    <x v="8"/>
    <s v="CAMISA NEGRA MAYOR CABALLERO T/M"/>
    <m/>
  </r>
  <r>
    <n v="317"/>
    <s v="00061-UNI"/>
    <x v="8"/>
    <s v="CAMISA NEGRA MAYOR CABALLERO T/L"/>
    <m/>
  </r>
  <r>
    <n v="318"/>
    <s v="00062-UNI"/>
    <x v="8"/>
    <s v="CAMISA NEGRA DETAL DAMA T/XXL"/>
    <m/>
  </r>
  <r>
    <n v="319"/>
    <s v="00063-UNI"/>
    <x v="8"/>
    <s v="CAMISA NEGRA DETAL DAMA T/XL"/>
    <m/>
  </r>
  <r>
    <n v="320"/>
    <s v="00064-UNI"/>
    <x v="8"/>
    <s v="CAMISA NEGRA DETAL DAMA T/M"/>
    <m/>
  </r>
  <r>
    <n v="321"/>
    <s v="00065-UNI"/>
    <x v="8"/>
    <s v="CAMISA NEGRA DETAL DAMA T/L"/>
    <m/>
  </r>
  <r>
    <n v="322"/>
    <s v="00066-UNI"/>
    <x v="8"/>
    <s v="CAMISA NEGRA DETAL CABALLERO T/XXL"/>
    <m/>
  </r>
  <r>
    <n v="323"/>
    <s v="00067-UNI"/>
    <x v="8"/>
    <s v="CAMISA NEGRA DETAL CABALLERO T/L"/>
    <m/>
  </r>
  <r>
    <n v="324"/>
    <s v="00020-ELC"/>
    <x v="7"/>
    <s v="CAMARA INALAMBRICA ONVIF"/>
    <m/>
  </r>
  <r>
    <n v="325"/>
    <s v="00028-OFC"/>
    <x v="5"/>
    <s v="CALCULADORA BERNICE N30"/>
    <m/>
  </r>
  <r>
    <n v="326"/>
    <s v="00029-OFC"/>
    <x v="5"/>
    <s v="CALCULADORA BERNICE LY634"/>
    <m/>
  </r>
  <r>
    <n v="327"/>
    <s v="00030-OFC"/>
    <x v="5"/>
    <s v="CAJA DE GRAPAS LISA"/>
    <m/>
  </r>
  <r>
    <n v="328"/>
    <s v="00031-OFC"/>
    <x v="5"/>
    <s v="CAJA DE GRAPAS CORRUGADA"/>
    <m/>
  </r>
  <r>
    <n v="329"/>
    <s v="00012-ELE"/>
    <x v="3"/>
    <s v="CABLE N°6 ROJO X METRO"/>
    <m/>
  </r>
  <r>
    <n v="330"/>
    <s v="00013-ELE"/>
    <x v="3"/>
    <s v="CABLE N°6 BLANCO X METRO"/>
    <m/>
  </r>
  <r>
    <n v="331"/>
    <s v="00014-ELE"/>
    <x v="3"/>
    <s v="CABLE N°12 ROJO X METRO"/>
    <m/>
  </r>
  <r>
    <n v="332"/>
    <s v="00015-ELE"/>
    <x v="3"/>
    <s v="CABLE N° 8 NEGRO X METRO"/>
    <m/>
  </r>
  <r>
    <n v="333"/>
    <s v="00016-ELE"/>
    <x v="3"/>
    <s v="CABLE N° 8 BLANCO X METRO"/>
    <m/>
  </r>
  <r>
    <n v="334"/>
    <s v="00017-ELE"/>
    <x v="3"/>
    <s v="CABLE N° 8 AZUL X METRO"/>
    <m/>
  </r>
  <r>
    <n v="335"/>
    <s v="00018-ELE"/>
    <x v="3"/>
    <s v="CABLE N° 4 NEGRO X METRO"/>
    <m/>
  </r>
  <r>
    <n v="336"/>
    <s v="00019-ELE"/>
    <x v="3"/>
    <s v="CABLE N° 2 BLANCO X METRO"/>
    <m/>
  </r>
  <r>
    <n v="337"/>
    <s v="00020-ELE"/>
    <x v="3"/>
    <s v="CABLE N° 16 ROJO X METRO"/>
    <m/>
  </r>
  <r>
    <n v="338"/>
    <s v="00021-ELE"/>
    <x v="3"/>
    <s v="CABLE N° 16 GRIS X METRO"/>
    <m/>
  </r>
  <r>
    <n v="339"/>
    <s v="00021-ELC"/>
    <x v="7"/>
    <s v="CABLE HDMI MEDIANO"/>
    <m/>
  </r>
  <r>
    <n v="340"/>
    <s v="00022-ELC"/>
    <x v="7"/>
    <s v="CABLE HDMI CORTO"/>
    <m/>
  </r>
  <r>
    <n v="341"/>
    <s v="00074-HER"/>
    <x v="4"/>
    <s v="CABLE AUXILIARES TOTAL"/>
    <m/>
  </r>
  <r>
    <n v="342"/>
    <s v="00003-AUT"/>
    <x v="9"/>
    <s v="CABALLETE DE SOPORTE AUTOMOTRIZ"/>
    <m/>
  </r>
  <r>
    <n v="343"/>
    <s v="00075-HER"/>
    <x v="4"/>
    <s v="BROCA PARA CONCRETO 9/16"/>
    <m/>
  </r>
  <r>
    <n v="344"/>
    <s v="00076-HER"/>
    <x v="4"/>
    <s v="BROCA PARA CONCRETO 5/8"/>
    <m/>
  </r>
  <r>
    <n v="345"/>
    <s v="00077-HER"/>
    <x v="4"/>
    <s v="BROCA PARA CONCRETO 5/32"/>
    <m/>
  </r>
  <r>
    <n v="346"/>
    <s v="00078-HER"/>
    <x v="4"/>
    <s v="BROCA PARA CONCRETO 5/16 LARGA"/>
    <m/>
  </r>
  <r>
    <n v="347"/>
    <s v="00079-HER"/>
    <x v="4"/>
    <s v="BROCA PARA CONCRETO 5/16 CORTA"/>
    <m/>
  </r>
  <r>
    <n v="348"/>
    <s v="00080-HER"/>
    <x v="4"/>
    <s v="BROCA PARA CONCRETO 3/8 LARGA"/>
    <m/>
  </r>
  <r>
    <n v="349"/>
    <s v="00081-HER"/>
    <x v="4"/>
    <s v="BROCA PARA CONCRETO 3/8"/>
    <m/>
  </r>
  <r>
    <n v="350"/>
    <s v="00082-HER"/>
    <x v="4"/>
    <s v="BROCA PARA CONCRETO 3/16"/>
    <m/>
  </r>
  <r>
    <n v="351"/>
    <s v="00083-HER"/>
    <x v="4"/>
    <s v="BROCA PARA CONCRETO 1/4 LARGA"/>
    <m/>
  </r>
  <r>
    <n v="352"/>
    <s v="00084-HER"/>
    <x v="4"/>
    <s v="BROCA PARA CONCRETO 1/4 CORTA"/>
    <m/>
  </r>
  <r>
    <n v="353"/>
    <s v="00085-HER"/>
    <x v="4"/>
    <s v="BROCA PARA CONCRETO 1/2 LARGA"/>
    <m/>
  </r>
  <r>
    <n v="354"/>
    <s v="00022-ELE"/>
    <x v="3"/>
    <s v="BREAKER TERMOMAGNETICO C6 DZ49-63 1 POLO"/>
    <m/>
  </r>
  <r>
    <n v="355"/>
    <s v="00023-ELE"/>
    <x v="3"/>
    <s v="BREAKER TERMOMAGNETICO C3 YCB9-63 2 POLOS"/>
    <m/>
  </r>
  <r>
    <n v="356"/>
    <s v="00024-ELE"/>
    <x v="3"/>
    <s v="BREAKER TERMOMAGNETICO C10 ADB3-63 2 POLOS"/>
    <m/>
  </r>
  <r>
    <n v="357"/>
    <s v="00025-ELE"/>
    <x v="3"/>
    <s v="BREAKER TERMOMAGNETICO 32 A. 10 x 38 1 POLO"/>
    <m/>
  </r>
  <r>
    <n v="358"/>
    <s v="00026-ELE"/>
    <x v="3"/>
    <s v="BREAKER 70 A. 2 POLOS"/>
    <m/>
  </r>
  <r>
    <n v="359"/>
    <s v="00027-ELE"/>
    <x v="3"/>
    <s v="BREAKER 60 A. 2 POLOS"/>
    <m/>
  </r>
  <r>
    <n v="360"/>
    <s v="00028-ELE"/>
    <x v="3"/>
    <s v="BREAKER 50 A. 2 POLOS"/>
    <m/>
  </r>
  <r>
    <n v="361"/>
    <s v="00029-ELE"/>
    <x v="3"/>
    <s v="BREAKER 40 A. 2 POLOS"/>
    <m/>
  </r>
  <r>
    <n v="362"/>
    <s v="00030-ELE"/>
    <x v="3"/>
    <s v="BREAKER 40 A. 1 POLO"/>
    <m/>
  </r>
  <r>
    <n v="363"/>
    <s v="00031-ELE"/>
    <x v="3"/>
    <s v="BREAKER 30 A. 3 POLOS"/>
    <m/>
  </r>
  <r>
    <n v="364"/>
    <s v="00032-ELE"/>
    <x v="3"/>
    <s v="BREAKER 30 A. 2 POLOS EMPOTRABLE"/>
    <m/>
  </r>
  <r>
    <n v="365"/>
    <s v="00033-ELE"/>
    <x v="3"/>
    <s v="BREAKER 30 A. 2 POLOS"/>
    <m/>
  </r>
  <r>
    <n v="366"/>
    <s v="00034-ELE"/>
    <x v="3"/>
    <s v="BREAKER 30 A. 1 POLO"/>
    <m/>
  </r>
  <r>
    <n v="367"/>
    <s v="00035-ELE"/>
    <x v="3"/>
    <s v="BREAKER 20 A. 2 POLOS"/>
    <m/>
  </r>
  <r>
    <n v="368"/>
    <s v="00036-ELE"/>
    <x v="3"/>
    <s v="BREAKER 20 A. 1 POLO"/>
    <m/>
  </r>
  <r>
    <n v="369"/>
    <s v="00062-FER"/>
    <x v="1"/>
    <s v="CANDADO ANTICIZALLA 80MM"/>
    <m/>
  </r>
  <r>
    <n v="370"/>
    <s v="00063-FER"/>
    <x v="1"/>
    <s v="CANDADO ANTICIZALLA 75MM"/>
    <m/>
  </r>
  <r>
    <n v="371"/>
    <s v="00032-OFC"/>
    <x v="5"/>
    <s v="BORRADOR PIZARRA"/>
    <m/>
  </r>
  <r>
    <n v="372"/>
    <s v="00026-ILU"/>
    <x v="2"/>
    <s v="BOMBILLO LED TUBULAR 15W"/>
    <m/>
  </r>
  <r>
    <n v="373"/>
    <s v="00027-ILU"/>
    <x v="2"/>
    <s v="BOMBILLO LED REDONDO 38W"/>
    <m/>
  </r>
  <r>
    <n v="374"/>
    <s v="00028-ILU"/>
    <x v="2"/>
    <s v="BOMBILLO LED REDONDO 20W"/>
    <m/>
  </r>
  <r>
    <n v="375"/>
    <s v="00029-ILU"/>
    <x v="2"/>
    <s v="BOMBILLO LED REDONDO 18W"/>
    <m/>
  </r>
  <r>
    <n v="376"/>
    <s v="00030-ILU"/>
    <x v="2"/>
    <s v="BOMBILLO LED ESFERICO 18W"/>
    <m/>
  </r>
  <r>
    <n v="377"/>
    <s v="00031-ILU"/>
    <x v="2"/>
    <s v="BOMBILLO LED CON DISIPADOR 100W"/>
    <m/>
  </r>
  <r>
    <n v="378"/>
    <s v="00086-HER"/>
    <x v="4"/>
    <s v="BOMBA DE VACIO GRANDE"/>
    <m/>
  </r>
  <r>
    <n v="379"/>
    <s v="00033-OFC"/>
    <x v="5"/>
    <s v="BOLIGRAFO TINTA AZUL"/>
    <m/>
  </r>
  <r>
    <n v="380"/>
    <s v="00064-FER"/>
    <x v="1"/>
    <s v="CANDADO ANTICIZALLA 100MM CISA"/>
    <m/>
  </r>
  <r>
    <n v="381"/>
    <s v="00087-HER"/>
    <x v="4"/>
    <s v="ARNE DE SEGURIDAD"/>
    <m/>
  </r>
  <r>
    <n v="382"/>
    <s v="00065-FER"/>
    <x v="1"/>
    <s v="CANDADO 63MM INC-CO"/>
    <m/>
  </r>
  <r>
    <n v="383"/>
    <s v="00066-FER"/>
    <x v="1"/>
    <s v="CANDADO 60MM UNITY"/>
    <m/>
  </r>
  <r>
    <n v="384"/>
    <s v="00032-ILU"/>
    <x v="2"/>
    <s v="APLIQUE LED CUADRADO PARA PARED 5W"/>
    <m/>
  </r>
  <r>
    <n v="385"/>
    <s v="00067-FER"/>
    <x v="1"/>
    <s v="CANDADO 30MM"/>
    <m/>
  </r>
  <r>
    <n v="386"/>
    <s v="00068-FER"/>
    <x v="1"/>
    <s v="BRAZO HIDRAULICO PARA PUERTA 45-60 KG"/>
    <m/>
  </r>
  <r>
    <n v="387"/>
    <s v="00069-FER"/>
    <x v="1"/>
    <s v="BOTA DE HULE T/40"/>
    <m/>
  </r>
  <r>
    <n v="388"/>
    <s v="00070-FER"/>
    <x v="1"/>
    <s v="BARRACUDA MECHA CILD 5/16"/>
    <m/>
  </r>
  <r>
    <n v="389"/>
    <s v="00088-HER"/>
    <x v="4"/>
    <s v="ALICATE DE PRESION TIPO CHAPALETA"/>
    <m/>
  </r>
  <r>
    <n v="390"/>
    <s v="00008-HRR"/>
    <x v="10"/>
    <s v="ARANDELA PLANA 5/16"/>
    <m/>
  </r>
  <r>
    <n v="391"/>
    <s v="00009-HRR"/>
    <x v="10"/>
    <s v="ARANDELA PLANA 125A 10MM"/>
    <m/>
  </r>
  <r>
    <n v="392"/>
    <s v="00089-HER"/>
    <x v="4"/>
    <s v="ALICATE PUNTA LARGA AISLADO"/>
    <m/>
  </r>
  <r>
    <n v="393"/>
    <s v="00037-ELE"/>
    <x v="3"/>
    <s v="CONTACTOR 3 POLOS 220V"/>
    <m/>
  </r>
  <r>
    <n v="394"/>
    <s v="00090-HER"/>
    <x v="4"/>
    <s v="ALICATE PIQUETA 6&quot; EXXEL"/>
    <m/>
  </r>
  <r>
    <n v="395"/>
    <s v="00091-HER"/>
    <x v="4"/>
    <s v="NIVEL DE BURBULA 40CM"/>
    <m/>
  </r>
  <r>
    <n v="396"/>
    <s v="00092-HER"/>
    <x v="4"/>
    <s v="NIVEL DE BURBUJA 50CM"/>
    <m/>
  </r>
  <r>
    <n v="397"/>
    <s v="00093-HER"/>
    <x v="4"/>
    <s v="NIVEL DE BURBUJA 60CM"/>
    <m/>
  </r>
  <r>
    <n v="398"/>
    <s v="00094-HER"/>
    <x v="4"/>
    <s v="SIERRA COPA 2,18&quot;"/>
    <m/>
  </r>
  <r>
    <n v="399"/>
    <s v="00095-HER"/>
    <x v="4"/>
    <s v="CONECTOR DE HIDRO JET"/>
    <m/>
  </r>
  <r>
    <n v="400"/>
    <s v="00096-HER"/>
    <x v="4"/>
    <s v="BROCA DE CONCRETO 5/16 X 30CM"/>
    <m/>
  </r>
  <r>
    <n v="401"/>
    <s v="00097-HER"/>
    <x v="4"/>
    <s v="KIT DE ABORCADO 45°"/>
    <m/>
  </r>
  <r>
    <n v="402"/>
    <s v="00098-HER"/>
    <x v="4"/>
    <s v="MEDIDOR SECUENTIMETRO 3 FACES"/>
    <m/>
  </r>
  <r>
    <n v="403"/>
    <s v="00018-REF"/>
    <x v="0"/>
    <s v="TERMOSTATO DIGITAL 1 ETAPA STAR GREEN"/>
    <m/>
  </r>
  <r>
    <n v="404"/>
    <s v="00019-REF"/>
    <x v="0"/>
    <s v="TERMOSTATO DIGITAL PROGRAMABLE EVERWELL"/>
    <m/>
  </r>
  <r>
    <n v="405"/>
    <s v="00020-REF"/>
    <x v="0"/>
    <s v="TERMOSTATO DIGITAL PROGRAMABLE QD-HVACIO"/>
    <m/>
  </r>
  <r>
    <n v="406"/>
    <s v="00021-REF"/>
    <x v="0"/>
    <s v="TERMOSTATO REFRIGERACION F200"/>
    <m/>
  </r>
  <r>
    <n v="407"/>
    <s v="00022-REF"/>
    <x v="0"/>
    <s v="TEMPORIZADOR DE RETARDO EVERWELL DOB-072"/>
    <m/>
  </r>
  <r>
    <n v="408"/>
    <s v="00023-REF"/>
    <x v="0"/>
    <s v="TEMPORIZADOR DE RETARDO QD-072"/>
    <m/>
  </r>
  <r>
    <n v="409"/>
    <s v="00024-REF"/>
    <x v="0"/>
    <s v="PRESOSTATO ALTA PRESION A.R. COMPONENTS"/>
    <m/>
  </r>
  <r>
    <n v="410"/>
    <s v="00025-REF"/>
    <x v="0"/>
    <s v="PROTECTOR TERMICO COMPRESOR"/>
    <m/>
  </r>
  <r>
    <n v="411"/>
    <s v="00026-REF"/>
    <x v="0"/>
    <s v="PRESOSTATO ALTA PRESION EVERWELL PH 35025"/>
    <m/>
  </r>
  <r>
    <n v="412"/>
    <s v="00027-REF"/>
    <x v="0"/>
    <s v="CONTROLADOR ELECTRONICO DE REFRIGERACION DANFOSS"/>
    <m/>
  </r>
  <r>
    <n v="413"/>
    <s v="00028-REF"/>
    <x v="0"/>
    <s v="CODO DE COBRE SOLDABLE 90° 3/8"/>
    <m/>
  </r>
  <r>
    <n v="414"/>
    <s v="00029-REF"/>
    <x v="0"/>
    <s v="CODO DE COBRE SOLDABLE 90° 1/2"/>
    <m/>
  </r>
  <r>
    <n v="415"/>
    <s v="00030-REF"/>
    <x v="0"/>
    <s v="CODO DE COBRE SOLDABLE 90° 3/4"/>
    <m/>
  </r>
  <r>
    <n v="416"/>
    <s v="00031-REF"/>
    <x v="0"/>
    <s v="CODO DE COBRE SOLDABLE 90° 7/8"/>
    <m/>
  </r>
  <r>
    <n v="417"/>
    <s v="00032-REF"/>
    <x v="0"/>
    <s v="PRESOSTATO DUAL DE ALTA Y BAJA PRESION"/>
    <m/>
  </r>
  <r>
    <n v="418"/>
    <s v="00033-REF"/>
    <x v="0"/>
    <s v="VALVULA DE EXPANSIÓN TERMOSTATICA"/>
    <m/>
  </r>
  <r>
    <n v="419"/>
    <s v="00034-REF"/>
    <x v="0"/>
    <s v="SIFON DE COBRE 5/8"/>
    <m/>
  </r>
  <r>
    <n v="420"/>
    <s v="00035-REF"/>
    <x v="0"/>
    <s v="BOMBONA DE GAS PROPANO"/>
    <m/>
  </r>
  <r>
    <n v="421"/>
    <s v="00036-REF"/>
    <x v="0"/>
    <s v="DIELECTRICO 1KG"/>
    <m/>
  </r>
  <r>
    <n v="422"/>
    <s v="00037-REF"/>
    <x v="0"/>
    <s v="DIELECTRICO 0,5KG"/>
    <m/>
  </r>
  <r>
    <n v="423"/>
    <s v="00038-REF"/>
    <x v="0"/>
    <s v="FILTRO SECADOR 5/16-1/4 30G"/>
    <m/>
  </r>
  <r>
    <n v="424"/>
    <s v="00039-REF"/>
    <x v="0"/>
    <s v="FILTRO SECADOR EVERWELL 3/8 SEK-163S"/>
    <m/>
  </r>
  <r>
    <n v="425"/>
    <s v="00040-REF"/>
    <x v="0"/>
    <s v="FILTRO SECADOR KHALED 1/4 FEKH-052"/>
    <m/>
  </r>
  <r>
    <n v="426"/>
    <s v="00041-REF"/>
    <x v="0"/>
    <s v="FILTRO SECADOR KHALED 5/8 FEKH-165"/>
    <m/>
  </r>
  <r>
    <n v="427"/>
    <s v="00042-REF"/>
    <x v="0"/>
    <s v="FILTRO SECADOR A.R. COMPONENTS 5/8 RFR-165"/>
    <m/>
  </r>
  <r>
    <n v="428"/>
    <s v="00043-REF"/>
    <x v="0"/>
    <s v="FILTRO SECADOR QA QUALITY 3/8 SEK-163F"/>
    <m/>
  </r>
  <r>
    <n v="429"/>
    <s v="00044-REF"/>
    <x v="0"/>
    <s v="FILTRO SECADOR ISYN 1/2 164"/>
    <m/>
  </r>
  <r>
    <n v="430"/>
    <s v="00045-REF"/>
    <x v="0"/>
    <s v="FILTRO SECADOR KHALED 1/2 FEKH-164"/>
    <m/>
  </r>
  <r>
    <n v="431"/>
    <s v="00046-REF"/>
    <x v="0"/>
    <s v="FILTRO SECADOR KHALED 1/4-7/16"/>
    <m/>
  </r>
  <r>
    <n v="432"/>
    <s v="00047-REF"/>
    <x v="0"/>
    <s v="FILTRO SECADOR A.R. COMPONENTS 1/4 RFR-32"/>
    <m/>
  </r>
  <r>
    <n v="433"/>
    <s v="00048-REF"/>
    <x v="0"/>
    <s v="FILTRO SECADOR EVERWELL 3/8 SEK-083"/>
    <m/>
  </r>
  <r>
    <n v="434"/>
    <s v="00049-REF"/>
    <x v="0"/>
    <s v="VARILLA PLATA 2% 50CM"/>
    <m/>
  </r>
  <r>
    <n v="435"/>
    <s v="00050-REF"/>
    <x v="0"/>
    <s v="FUNDENTE EN PASTA FLUX-4"/>
    <m/>
  </r>
  <r>
    <n v="436"/>
    <s v="00051-REF"/>
    <x v="0"/>
    <s v="VALVULA DE SERVICIO"/>
    <m/>
  </r>
  <r>
    <n v="437"/>
    <s v="00052-REF"/>
    <x v="0"/>
    <s v="UNIDAD RECTA DE COMPRESION"/>
    <m/>
  </r>
  <r>
    <n v="438"/>
    <s v="00053-REF"/>
    <x v="0"/>
    <s v="CONTROL DE PRESION DE BAJA RANCO"/>
    <m/>
  </r>
  <r>
    <n v="439"/>
    <s v="00054-REF"/>
    <x v="0"/>
    <s v="RELEY TEMPORIZADOR MODULAR DLT RP522TH00"/>
    <m/>
  </r>
  <r>
    <n v="440"/>
    <s v="00055-REF"/>
    <x v="0"/>
    <s v="SISTEMA DE CONTROL UNIVERSAL PARA A/A"/>
    <m/>
  </r>
  <r>
    <n v="441"/>
    <s v="00056-REF"/>
    <x v="0"/>
    <s v="TERMOSTATO ANALOGICO A.R. COMPONENTS RT-57"/>
    <m/>
  </r>
  <r>
    <n v="442"/>
    <s v="00057-REF"/>
    <x v="0"/>
    <s v="MANOMETRO DE BAJA PRESION"/>
    <m/>
  </r>
  <r>
    <n v="443"/>
    <s v="00058-REF"/>
    <x v="0"/>
    <s v="MANOMETRO DE BAJA PRESION C/GLISERINA"/>
    <m/>
  </r>
  <r>
    <n v="444"/>
    <s v="00059-REF"/>
    <x v="0"/>
    <s v="MANOMETRO DE REFRIGERACION HONGSEN"/>
    <m/>
  </r>
  <r>
    <n v="445"/>
    <s v="00060-REF"/>
    <x v="0"/>
    <s v="BOBINA ELECTROMAGNETICA PARA ELECTROVALVULA DANFOSS"/>
    <m/>
  </r>
  <r>
    <n v="446"/>
    <s v="00061-REF"/>
    <x v="0"/>
    <s v="BIMETALICO"/>
    <m/>
  </r>
  <r>
    <n v="447"/>
    <s v="00062-REF"/>
    <x v="0"/>
    <s v="RELEY DE ARRANQUE P/COMPRESOR 4 PATAS"/>
    <m/>
  </r>
  <r>
    <n v="448"/>
    <s v="00063-REF"/>
    <x v="0"/>
    <s v="PROTECTOR TERMICO P/MOTORES DE REFRIGERACION 1/4 HP"/>
    <m/>
  </r>
  <r>
    <n v="449"/>
    <s v="00064-REF"/>
    <x v="0"/>
    <s v="PROTECTOR TERMICO P/MOTORES DE REFRIGERACION 1/3 HP"/>
    <m/>
  </r>
  <r>
    <n v="450"/>
    <s v="00065-REF"/>
    <x v="0"/>
    <s v="ORIFICO PARA VALVULA DE EXPANSIÓN"/>
    <m/>
  </r>
  <r>
    <n v="451"/>
    <s v="00066-REF"/>
    <x v="0"/>
    <s v="VALVULA SELNOIDE EMERSON 200RB"/>
    <m/>
  </r>
  <r>
    <n v="452"/>
    <s v="00067-REF"/>
    <x v="0"/>
    <s v="SENSOR DE TEMPERATURA PARA A/A"/>
    <m/>
  </r>
  <r>
    <n v="453"/>
    <s v="00068-REF"/>
    <x v="0"/>
    <s v="MANGUERA DE DESAGUE A/A 1/2 1,5M"/>
    <m/>
  </r>
  <r>
    <n v="454"/>
    <s v="00069-REF"/>
    <x v="0"/>
    <s v="TUBO CAPILAR DE COBRE 0,031 X 0,081 (METRO)"/>
    <m/>
  </r>
  <r>
    <n v="455"/>
    <s v="00070-REF"/>
    <x v="0"/>
    <s v="TUBO CAPILAR DE COBRE 0,036 X 0,087 (METRO)"/>
    <m/>
  </r>
  <r>
    <n v="456"/>
    <s v="00071-REF"/>
    <x v="0"/>
    <s v="TUBO DE COBRE 3/8 X 0,032MM (METRO)"/>
    <m/>
  </r>
  <r>
    <n v="457"/>
    <s v="00004-AUT"/>
    <x v="9"/>
    <s v="ACEITE 15W-40 SHELL LITRO"/>
    <m/>
  </r>
  <r>
    <n v="458"/>
    <s v="00005-AUT"/>
    <x v="9"/>
    <s v="FILTRO ACEITE 3387"/>
    <m/>
  </r>
  <r>
    <n v="459"/>
    <s v="00006-AUT"/>
    <x v="9"/>
    <s v="BATERIA DUNCAN 242-1150"/>
    <m/>
  </r>
  <r>
    <n v="460"/>
    <s v="00007-AUT"/>
    <x v="9"/>
    <s v="ACEITE 20W-50 SHELL LITRO"/>
    <m/>
  </r>
  <r>
    <n v="461"/>
    <s v="00008-AUT"/>
    <x v="9"/>
    <s v="ACEITE 80W-90 LRAX LITRO"/>
    <m/>
  </r>
  <r>
    <n v="462"/>
    <s v="00071-FER"/>
    <x v="1"/>
    <s v="ALICATE MECANICO 10&quot;"/>
    <m/>
  </r>
  <r>
    <n v="463"/>
    <s v="00072-FER"/>
    <x v="1"/>
    <s v="ALICATE ELECTRICISTA 8&quot;"/>
    <m/>
  </r>
  <r>
    <n v="464"/>
    <s v="00073-FER"/>
    <x v="1"/>
    <s v="ALICATE DE PRESION RECTO"/>
    <m/>
  </r>
  <r>
    <n v="465"/>
    <s v="00072-REF"/>
    <x v="0"/>
    <s v="MOTOR VENTILADOR FANCOOLERS ACFAN 12881BITL"/>
    <m/>
  </r>
  <r>
    <n v="466"/>
    <s v="00073-REF"/>
    <x v="0"/>
    <s v="ARMAFLEX 7/8 X 3/8"/>
    <m/>
  </r>
  <r>
    <n v="467"/>
    <s v="00099-HER"/>
    <x v="4"/>
    <s v="BROCHA 2&quot; ECO"/>
    <m/>
  </r>
  <r>
    <n v="468"/>
    <s v="00100-HER"/>
    <x v="4"/>
    <s v="BROCHA 3&quot; ECO"/>
    <m/>
  </r>
  <r>
    <n v="469"/>
    <s v="00101-HER"/>
    <x v="4"/>
    <s v="BROCHA 4&quot; ECO"/>
    <m/>
  </r>
  <r>
    <n v="470"/>
    <s v="00074-FER"/>
    <x v="1"/>
    <s v="FUNDA PARA RODILLO CAUCHO 9&quot;"/>
    <m/>
  </r>
  <r>
    <n v="471"/>
    <s v="00075-FER"/>
    <x v="1"/>
    <s v="1/4 GALON PINTURA ESMALTE GRIS"/>
    <m/>
  </r>
  <r>
    <n v="472"/>
    <s v="00076-FER"/>
    <x v="1"/>
    <s v="1/4 GALON CATALIZADOR EPOXICO"/>
    <m/>
  </r>
  <r>
    <n v="473"/>
    <s v="00034-OFC"/>
    <x v="5"/>
    <s v="BOLIGRAFO TINTA NEGRA"/>
    <m/>
  </r>
  <r>
    <n v="474"/>
    <s v="00074-REF"/>
    <x v="0"/>
    <s v="COMPRESOR TECUMSEH 3/4 220V R-404"/>
    <m/>
  </r>
  <r>
    <n v="475"/>
    <s v="00023-ELC"/>
    <x v="7"/>
    <s v="CONTROL A/A UNIVERSAL KT-4000-6000"/>
    <m/>
  </r>
  <r>
    <n v="476"/>
    <s v="00102-HER"/>
    <x v="4"/>
    <s v="JUEGO DE HERREMIENTA 121 PCS ROCCIA"/>
    <m/>
  </r>
  <r>
    <n v="477"/>
    <s v="00103-HER"/>
    <x v="4"/>
    <s v="JUEGO DE LLAVES INGLESAS 12 PZAS 6MM-32MM ROCCIA"/>
    <m/>
  </r>
  <r>
    <n v="478"/>
    <s v="00009-AUT"/>
    <x v="9"/>
    <s v="BUJE DE TRIMOTO"/>
    <m/>
  </r>
  <r>
    <n v="479"/>
    <s v="00010-HRR"/>
    <x v="10"/>
    <s v="REMACHE 3/16"/>
    <m/>
  </r>
  <r>
    <n v="480"/>
    <s v="00001-PLM"/>
    <x v="11"/>
    <s v="TAPA POCETA BLANCO"/>
    <m/>
  </r>
  <r>
    <n v="481"/>
    <s v="00011-HRR"/>
    <x v="10"/>
    <s v="TORNILLO DE METAL 1/4 X 3/4"/>
    <m/>
  </r>
  <r>
    <n v="482"/>
    <s v="00012-HRR"/>
    <x v="10"/>
    <s v="TUERCA HEXAGONAL G2 1/4"/>
    <m/>
  </r>
  <r>
    <n v="483"/>
    <s v="00002-PLM"/>
    <x v="11"/>
    <s v="HERRAJE CON MANILLA GRIVEN"/>
    <m/>
  </r>
  <r>
    <n v="484"/>
    <s v="00003-PLM"/>
    <x v="11"/>
    <s v="LLAVE DE PASO 1/2 BRONCE IVANCI"/>
    <m/>
  </r>
  <r>
    <n v="485"/>
    <s v="00004-PLM"/>
    <x v="11"/>
    <s v="LLAVE DE CHORRO P/R"/>
    <m/>
  </r>
  <r>
    <n v="486"/>
    <s v="00005-PLM"/>
    <x v="11"/>
    <s v="CONEXIÓN PARA MANGUERA 1/2 BRONCE BELT-G"/>
    <m/>
  </r>
  <r>
    <n v="487"/>
    <s v="00077-FER"/>
    <x v="1"/>
    <s v="TIRRO BLANCO LUMISTAR 1&quot; X 30 M"/>
    <m/>
  </r>
  <r>
    <n v="488"/>
    <s v="00006-PLM"/>
    <x v="11"/>
    <s v="GRIFO LAVAMANO IND METALICO GRIVEN"/>
    <m/>
  </r>
  <r>
    <n v="489"/>
    <s v="00007-PLM"/>
    <x v="11"/>
    <s v="LLAVE DE ARRESTO 1/2 GRIVEN"/>
    <m/>
  </r>
  <r>
    <n v="490"/>
    <s v="00008-PLM"/>
    <x v="11"/>
    <s v="LLAVE DE PASO 3/4 BRONCE KOBATEX"/>
    <m/>
  </r>
  <r>
    <n v="491"/>
    <s v="00009-PLM"/>
    <x v="11"/>
    <s v="UNION DRESS PVC 3/4"/>
    <m/>
  </r>
  <r>
    <n v="492"/>
    <s v="00078-FER"/>
    <x v="1"/>
    <s v="TEFLON 3/4 15 M GRANDE"/>
    <m/>
  </r>
  <r>
    <n v="493"/>
    <s v="00010-PLM"/>
    <x v="11"/>
    <s v="CANILLA PLASTICA 1/2 X 1/2 40 CM"/>
    <m/>
  </r>
  <r>
    <n v="494"/>
    <s v="00024-ELC"/>
    <x v="7"/>
    <s v="BALANZA DE MOSTRADOR 40 KG ROCCIA"/>
    <m/>
  </r>
  <r>
    <n v="495"/>
    <s v="00033-ILU"/>
    <x v="2"/>
    <s v="PANEL LED EMPOTRABLE 60 X 120 48W"/>
    <m/>
  </r>
  <r>
    <n v="496"/>
    <s v="00079-FER"/>
    <x v="1"/>
    <s v="TRAMPAGRASA EN ACERO 430"/>
    <m/>
  </r>
  <r>
    <n v="497"/>
    <s v="00011-PLM"/>
    <x v="11"/>
    <s v="ANILLO 1&quot; PVC"/>
    <m/>
  </r>
  <r>
    <n v="498"/>
    <s v="00012-PLM"/>
    <x v="11"/>
    <s v="CODO 90° 1&quot; PVC"/>
    <m/>
  </r>
  <r>
    <n v="499"/>
    <s v="00013-PLM"/>
    <x v="11"/>
    <s v="T 1&quot; PVC"/>
    <m/>
  </r>
  <r>
    <n v="500"/>
    <s v="00014-PLM"/>
    <x v="11"/>
    <s v="CODO 90° 1&quot; ROSCA"/>
    <m/>
  </r>
  <r>
    <n v="501"/>
    <s v="00015-PLM"/>
    <x v="11"/>
    <s v="T 3/4 PVC"/>
    <m/>
  </r>
  <r>
    <n v="502"/>
    <s v="00016-PLM"/>
    <x v="11"/>
    <s v="ANILLO 3/4 PVC"/>
    <m/>
  </r>
  <r>
    <n v="503"/>
    <s v="00017-PLM"/>
    <x v="11"/>
    <s v="ADAPTADOR MACHO 3/4 PCV A ROSCA"/>
    <m/>
  </r>
  <r>
    <n v="504"/>
    <s v="00018-PLM"/>
    <x v="11"/>
    <s v="CODO 90° 3/4 PVC"/>
    <m/>
  </r>
  <r>
    <n v="505"/>
    <s v="00019-PLM"/>
    <x v="11"/>
    <s v="CODO 45° 1&quot; PVC"/>
    <m/>
  </r>
  <r>
    <n v="506"/>
    <s v="00020-PLM"/>
    <x v="11"/>
    <s v="REDUCTOR 1&quot; A 3/4 PVC"/>
    <m/>
  </r>
  <r>
    <n v="507"/>
    <s v="00021-PLM"/>
    <x v="11"/>
    <s v="TAPON MACHO 3/4 PVC"/>
    <m/>
  </r>
  <r>
    <n v="508"/>
    <s v="00022-PLM"/>
    <x v="11"/>
    <s v="CODO 90° PVC 1/2"/>
    <m/>
  </r>
  <r>
    <n v="509"/>
    <s v="00023-PLM"/>
    <x v="11"/>
    <s v="CODO 90° ROSCA 1/2"/>
    <m/>
  </r>
  <r>
    <n v="510"/>
    <s v="00024-PLM"/>
    <x v="11"/>
    <s v="TAPON HEMBRA BLANCO 1/2 ROSCA"/>
    <m/>
  </r>
  <r>
    <n v="511"/>
    <s v="00025-PLM"/>
    <x v="11"/>
    <s v="UNION DRESS 3&quot;"/>
    <m/>
  </r>
  <r>
    <n v="512"/>
    <s v="00026-PLM"/>
    <x v="11"/>
    <s v="VALVULA CHECK 2&quot;"/>
    <m/>
  </r>
  <r>
    <n v="513"/>
    <s v="00013-HRR"/>
    <x v="10"/>
    <s v="NIPLE GALVANIZADO 1/2"/>
    <m/>
  </r>
  <r>
    <n v="514"/>
    <s v="00014-HRR"/>
    <x v="10"/>
    <s v="ANILLO GALVANIZADO 1/2"/>
    <m/>
  </r>
  <r>
    <n v="515"/>
    <s v="00015-HRR"/>
    <x v="10"/>
    <s v="ANILLO GALVANIZADO 1&quot;"/>
    <m/>
  </r>
  <r>
    <n v="516"/>
    <s v="00016-HRR"/>
    <x v="10"/>
    <s v="ANILLO GALVANIZADO 3/4"/>
    <m/>
  </r>
  <r>
    <n v="517"/>
    <s v="00017-HRR"/>
    <x v="10"/>
    <s v="T GALVANIZADA 1/2"/>
    <m/>
  </r>
  <r>
    <n v="518"/>
    <s v="00027-PLM"/>
    <x v="11"/>
    <s v="UNION DRESS 1/2 AZUL"/>
    <m/>
  </r>
  <r>
    <n v="519"/>
    <s v="00028-PLM"/>
    <x v="11"/>
    <s v="UNION DRESS 1/2 BLANCO"/>
    <m/>
  </r>
  <r>
    <n v="520"/>
    <s v="00029-PLM"/>
    <x v="11"/>
    <s v="UNION DRESS 3/4 BLANCO"/>
    <m/>
  </r>
  <r>
    <n v="521"/>
    <s v="00018-HRR"/>
    <x v="10"/>
    <s v="TAPON MACHO GALVANIZADO 1/2"/>
    <m/>
  </r>
  <r>
    <n v="522"/>
    <s v="00030-PLM"/>
    <x v="11"/>
    <s v="UNION 1/2 BLANCO"/>
    <m/>
  </r>
  <r>
    <n v="523"/>
    <s v="00031-PLM"/>
    <x v="11"/>
    <s v="ADAPTADOR 2&quot;"/>
    <m/>
  </r>
  <r>
    <n v="524"/>
    <s v="00032-PLM"/>
    <x v="11"/>
    <s v="VALVULA CHECK PVC 2&quot;"/>
    <m/>
  </r>
  <r>
    <n v="525"/>
    <s v="00033-PLM"/>
    <x v="11"/>
    <s v="VALVULA CHECK 1,5&quot;"/>
    <m/>
  </r>
  <r>
    <n v="526"/>
    <s v="00034-PLM"/>
    <x v="11"/>
    <s v="CODO 90° AGUA CALIENTE 1/2"/>
    <m/>
  </r>
  <r>
    <n v="527"/>
    <s v="00035-PLM"/>
    <x v="11"/>
    <s v="T AGUA CALIENTE 1/2"/>
    <m/>
  </r>
  <r>
    <n v="528"/>
    <s v="00080-FER"/>
    <x v="1"/>
    <s v="SOLDADURA LIQUIDA PVC"/>
    <m/>
  </r>
  <r>
    <n v="529"/>
    <s v="00081-FER"/>
    <x v="1"/>
    <s v="SOLDADURA LIQUIDA PVC PEQ"/>
    <m/>
  </r>
  <r>
    <n v="530"/>
    <s v="00036-PLM"/>
    <x v="11"/>
    <s v="CENTRO PISO ACERO INOXIDABLE 10 X 10"/>
    <m/>
  </r>
  <r>
    <n v="531"/>
    <s v="00037-PLM"/>
    <x v="11"/>
    <s v="SOPORTE PARA PAPEL SANITARIO"/>
    <m/>
  </r>
  <r>
    <n v="532"/>
    <s v="00038-PLM"/>
    <x v="11"/>
    <s v="VALVULA DE PASO 1/2"/>
    <m/>
  </r>
  <r>
    <n v="533"/>
    <s v="00075-REF"/>
    <x v="0"/>
    <s v="CAPILAR 0.42 (METRO)"/>
    <m/>
  </r>
  <r>
    <n v="534"/>
    <s v="00034-ILU"/>
    <x v="2"/>
    <s v="PANEL LED EMPOTRABLE 30 X 120 48W"/>
    <m/>
  </r>
  <r>
    <n v="535"/>
    <s v="00035-ILU"/>
    <x v="2"/>
    <s v="PANEL LED SUPERFICIAL 30 X 120 48W"/>
    <m/>
  </r>
  <r>
    <n v="536"/>
    <s v="00036-ILU"/>
    <x v="2"/>
    <s v="TUBO LED T5 90CM 12W"/>
    <m/>
  </r>
  <r>
    <n v="537"/>
    <s v="00037-ILU"/>
    <x v="2"/>
    <s v="TUBO LED T5 120CM 20W"/>
    <m/>
  </r>
  <r>
    <n v="538"/>
    <s v="00038-ILU"/>
    <x v="2"/>
    <s v="LAMPARA TIPO UFO AC85-305V 200W"/>
    <m/>
  </r>
  <r>
    <n v="539"/>
    <s v="00019-HRR"/>
    <x v="10"/>
    <s v="TUBO GALVANIZADO 3/4 6 METRO"/>
    <m/>
  </r>
  <r>
    <n v="540"/>
    <s v="00020-HRR"/>
    <x v="10"/>
    <s v="CODO GALVANIZADO 90° 3/4"/>
    <m/>
  </r>
  <r>
    <n v="541"/>
    <s v="00021-HRR"/>
    <x v="10"/>
    <s v="CODO GALVANIZADO 45° 3/4"/>
    <m/>
  </r>
  <r>
    <n v="542"/>
    <s v="00039-PLM"/>
    <x v="11"/>
    <s v="LLAVE DE PASO 3/4"/>
    <m/>
  </r>
  <r>
    <n v="543"/>
    <s v="00104-HER"/>
    <x v="4"/>
    <s v="HIDRO JET 110V 1400W 1900PSI"/>
    <m/>
  </r>
  <r>
    <n v="544"/>
    <s v="00082-FER"/>
    <x v="1"/>
    <s v="CERRADURA PARA CAVA CUARTO C/ LLAVE"/>
    <m/>
  </r>
  <r>
    <n v="545"/>
    <s v="00083-FER"/>
    <x v="1"/>
    <s v="REGATON CUADRADO DE 1,5 X 1,5"/>
    <m/>
  </r>
  <r>
    <n v="546"/>
    <s v="00084-FER"/>
    <x v="1"/>
    <s v="REGATON CUADRADO DE 1 X 1"/>
    <m/>
  </r>
  <r>
    <n v="547"/>
    <s v="00085-FER"/>
    <x v="1"/>
    <s v="REGATON RECTANGULAR 2 X 1 INTERNO"/>
    <m/>
  </r>
  <r>
    <n v="548"/>
    <s v="00086-FER"/>
    <x v="1"/>
    <s v="REGATON CUADRADO 3/4 X 3/4"/>
    <m/>
  </r>
  <r>
    <n v="549"/>
    <s v="00025-ELC"/>
    <x v="7"/>
    <s v="BOMBA DE AGUA 2 HP 110V"/>
    <m/>
  </r>
  <r>
    <n v="550"/>
    <s v="00087-FER"/>
    <x v="1"/>
    <s v="MALLA CEDAZO 0,91 3 ORIFICIO POR PULGADA"/>
    <m/>
  </r>
  <r>
    <n v="551"/>
    <s v="00039-ILU"/>
    <x v="2"/>
    <s v="CINTA NEON LED CON ACCESORIO"/>
    <m/>
  </r>
  <r>
    <n v="552"/>
    <s v="00038-ELE"/>
    <x v="3"/>
    <s v="LUZ INDICADORA VERDE"/>
    <m/>
  </r>
  <r>
    <n v="553"/>
    <s v="00039-ELE"/>
    <x v="3"/>
    <s v="LUZ INDICADORA ROJA"/>
    <m/>
  </r>
  <r>
    <n v="554"/>
    <s v="00040-ILU"/>
    <x v="2"/>
    <s v="ADAPTADORES DE ROSCA PARA BOMBILLO"/>
    <m/>
  </r>
  <r>
    <n v="555"/>
    <s v="00040-ELE"/>
    <x v="3"/>
    <s v="SWITCH SELECTOR DE 1 PASE"/>
    <m/>
  </r>
  <r>
    <n v="556"/>
    <s v="00041-ELE"/>
    <x v="3"/>
    <s v="TOMA CORRIENTE DOBLE"/>
    <m/>
  </r>
  <r>
    <n v="557"/>
    <s v="00042-ELE"/>
    <x v="3"/>
    <s v="TOMA CORRIENTE INDIVIDUALE 220V"/>
    <m/>
  </r>
  <r>
    <n v="558"/>
    <s v="00043-ELE"/>
    <x v="3"/>
    <s v="TOMA CORRIENTE INDIVIDUAL 110V"/>
    <m/>
  </r>
  <r>
    <n v="559"/>
    <s v="00044-ELE"/>
    <x v="3"/>
    <s v="ADAPTADOR DE ENCHUNFE 110V"/>
    <m/>
  </r>
  <r>
    <n v="560"/>
    <s v="00045-ELE"/>
    <x v="3"/>
    <s v="CAPACITOR DE 3 MICROFARADIO"/>
    <m/>
  </r>
  <r>
    <n v="561"/>
    <s v="00088-FER"/>
    <x v="1"/>
    <s v="CAJETIN 4 X 4"/>
    <m/>
  </r>
  <r>
    <n v="562"/>
    <s v="00089-FER"/>
    <x v="1"/>
    <s v="TEIPE"/>
    <m/>
  </r>
  <r>
    <n v="563"/>
    <s v="00090-FER"/>
    <x v="1"/>
    <s v="CAJETIN EXAGONAL BLANCO"/>
    <m/>
  </r>
  <r>
    <n v="564"/>
    <s v="00091-FER"/>
    <x v="1"/>
    <s v="CAJETIN EXAGONAL NEGRO"/>
    <m/>
  </r>
  <r>
    <n v="565"/>
    <s v="00092-FER"/>
    <x v="1"/>
    <s v="CAMISA PARA RODILLO 4&quot;"/>
    <m/>
  </r>
  <r>
    <n v="566"/>
    <s v="00093-FER"/>
    <x v="1"/>
    <s v="SILICON DE TUBO"/>
    <m/>
  </r>
  <r>
    <n v="567"/>
    <s v="00094-FER"/>
    <x v="1"/>
    <s v="CAJETIN 2 X 4"/>
    <m/>
  </r>
  <r>
    <n v="568"/>
    <s v="00095-FER"/>
    <x v="1"/>
    <s v="TAPA REDONDA 3&quot;"/>
    <m/>
  </r>
  <r>
    <n v="569"/>
    <s v="00096-FER"/>
    <x v="1"/>
    <s v="TAPA CUADRADA 4 X 4"/>
    <m/>
  </r>
  <r>
    <n v="570"/>
    <s v="00097-FER"/>
    <x v="1"/>
    <s v="ABRAZADERA 1&quot;"/>
    <m/>
  </r>
  <r>
    <n v="571"/>
    <s v="00098-FER"/>
    <x v="1"/>
    <s v="CINTA AMARILLA DE PREVENCION"/>
    <m/>
  </r>
  <r>
    <n v="572"/>
    <s v="00099-FER"/>
    <x v="1"/>
    <s v="CURVA PARA TUBERIA ELECTRICA 1/2"/>
    <m/>
  </r>
  <r>
    <n v="573"/>
    <s v="00100-FER"/>
    <x v="1"/>
    <s v="CURVA PARA TUBERIA ELECTRICA 3/4"/>
    <m/>
  </r>
  <r>
    <n v="574"/>
    <s v="00101-FER"/>
    <x v="1"/>
    <s v="ADAPTADOR PARA TUBERIA ELECTRICA 1&quot;"/>
    <m/>
  </r>
  <r>
    <n v="575"/>
    <s v="00102-FER"/>
    <x v="1"/>
    <s v="ADAPTADOR PARA TUBERIA ELECTRICA 1/2"/>
    <m/>
  </r>
  <r>
    <n v="576"/>
    <s v="00103-FER"/>
    <x v="1"/>
    <s v="TAPA CIEGA DE BRONCE 4&quot;"/>
    <m/>
  </r>
  <r>
    <n v="577"/>
    <s v="00104-FER"/>
    <x v="1"/>
    <s v="ABRAZADERA 1/2"/>
    <m/>
  </r>
  <r>
    <n v="578"/>
    <s v="00105-FER"/>
    <x v="1"/>
    <s v="CAJA CON TAPA 3 X 4"/>
    <m/>
  </r>
  <r>
    <n v="579"/>
    <s v="00106-FER"/>
    <x v="1"/>
    <s v="TAPA CIEGA 20 X 20"/>
    <m/>
  </r>
  <r>
    <n v="580"/>
    <s v="00107-FER"/>
    <x v="1"/>
    <s v="ABRAZADERA DE 2&quot;"/>
    <m/>
  </r>
  <r>
    <n v="581"/>
    <s v="00026-ELC"/>
    <x v="7"/>
    <s v="JUEGO DE OLLAS 22 PIEZAS"/>
    <m/>
  </r>
  <r>
    <n v="582"/>
    <s v="00027-ELC"/>
    <x v="7"/>
    <s v="ASPIRADORA 20 LITROS"/>
    <m/>
  </r>
  <r>
    <n v="583"/>
    <s v="00028-ELC"/>
    <x v="7"/>
    <s v="MICROONDAS HYUNDAI 20 L"/>
    <m/>
  </r>
  <r>
    <n v="584"/>
    <s v="00029-ELC"/>
    <x v="7"/>
    <s v="MICROONDAS CONDESA 20 L"/>
    <m/>
  </r>
  <r>
    <n v="585"/>
    <s v="00030-ELC"/>
    <x v="7"/>
    <s v="COLCHON INFLABLE CON INFLADOR"/>
    <m/>
  </r>
  <r>
    <n v="586"/>
    <s v="00031-ELC"/>
    <x v="7"/>
    <s v="PLANTA DE SONIDO"/>
    <m/>
  </r>
  <r>
    <n v="587"/>
    <s v="00032-ELC"/>
    <x v="7"/>
    <s v="MINI COMPONENTE DE SONIDO"/>
    <m/>
  </r>
  <r>
    <n v="588"/>
    <s v="00033-ELC"/>
    <x v="7"/>
    <s v="CONTADORA DE BILLETE 700 X 355 X 310 MM"/>
    <m/>
  </r>
  <r>
    <n v="589"/>
    <s v="00034-ELC"/>
    <x v="7"/>
    <s v="CONTADORA DE BILLETE 337 X 355 X 290 MM"/>
    <m/>
  </r>
  <r>
    <n v="590"/>
    <s v="00035-ELC"/>
    <x v="7"/>
    <s v="SMARTV 45&quot;"/>
    <m/>
  </r>
  <r>
    <n v="591"/>
    <s v="00036-ELC"/>
    <x v="7"/>
    <s v="SMARTV 55&quot;"/>
    <m/>
  </r>
  <r>
    <n v="592"/>
    <s v="00037-ELC"/>
    <x v="7"/>
    <s v="SMARTV DAMASCO 50&quot;"/>
    <m/>
  </r>
  <r>
    <n v="593"/>
    <s v="00038-ELC"/>
    <x v="7"/>
    <s v="SMARTV 32&quot; HYUNDAI"/>
    <m/>
  </r>
  <r>
    <n v="594"/>
    <s v="00039-ELC"/>
    <x v="7"/>
    <s v="SMARTV 42&quot; HYUNDAI"/>
    <m/>
  </r>
  <r>
    <n v="595"/>
    <s v="00040-ELC"/>
    <x v="7"/>
    <s v="SMARTV 50&quot; JVC"/>
    <m/>
  </r>
  <r>
    <n v="596"/>
    <s v="00041-ELC"/>
    <x v="7"/>
    <s v="SMARTV 50&quot; HYUNDAI"/>
    <m/>
  </r>
  <r>
    <n v="597"/>
    <s v="00076-REF"/>
    <x v="0"/>
    <s v="COMPRESOR TECUMSEH 1,5 HP 220V R-22"/>
    <m/>
  </r>
  <r>
    <n v="598"/>
    <s v="00108-FER"/>
    <x v="1"/>
    <s v="GALON PINTURA ESMALTE MARRON"/>
    <m/>
  </r>
  <r>
    <n v="599"/>
    <s v="00109-FER"/>
    <x v="1"/>
    <s v="RAMPLU VERDE"/>
    <m/>
  </r>
  <r>
    <n v="600"/>
    <s v="00110-FER"/>
    <x v="1"/>
    <s v="TORNILLO A/R PLANA 8 X 11/4"/>
    <m/>
  </r>
  <r>
    <n v="601"/>
    <s v="00040-PLM"/>
    <x v="11"/>
    <s v="TUBO 3/4 PVC X METRO"/>
    <m/>
  </r>
  <r>
    <n v="602"/>
    <s v="00111-FER"/>
    <x v="1"/>
    <s v="TORNILLO A/R PLANA 14 X 1"/>
    <m/>
  </r>
  <r>
    <n v="603"/>
    <s v="00041-PLM"/>
    <x v="11"/>
    <s v="CODO 45° 1/2 PVC"/>
    <m/>
  </r>
  <r>
    <n v="604"/>
    <s v="00112-FER"/>
    <x v="1"/>
    <s v="GUANTE DE TELA PUNTOS NEGROS X PAR"/>
    <m/>
  </r>
  <r>
    <n v="605"/>
    <s v="00113-FER"/>
    <x v="1"/>
    <s v="TORNILLO HEXGONAL GRUESO 5/16 X 3/4"/>
    <m/>
  </r>
  <r>
    <n v="606"/>
    <s v="00114-FER"/>
    <x v="1"/>
    <s v="ARANDELA PRESION 5/16"/>
    <m/>
  </r>
  <r>
    <n v="607"/>
    <s v="00105-HER"/>
    <x v="4"/>
    <s v="MACHO PARA ENROSCAR 5/16"/>
    <m/>
  </r>
  <r>
    <n v="608"/>
    <s v="00115-FER"/>
    <x v="1"/>
    <s v="TORNILLO DRAYWALL 1&quot;"/>
    <m/>
  </r>
  <r>
    <n v="609"/>
    <s v="00116-FER"/>
    <x v="1"/>
    <s v="TORNILLO DRAYWALL 7/16"/>
    <m/>
  </r>
  <r>
    <n v="610"/>
    <s v="00077-REF"/>
    <x v="0"/>
    <s v="MOTOR AXIAL 18&quot; 1500/1580 RPM 220V KIEL"/>
    <m/>
  </r>
  <r>
    <n v="611"/>
    <s v="00042-PLM"/>
    <x v="11"/>
    <s v="DESAGUE CON REJILLA ANTICUCARACHA"/>
    <m/>
  </r>
  <r>
    <n v="612"/>
    <s v="00117-FER"/>
    <x v="1"/>
    <s v="CERRADURA PARA EMPOTRAR 35"/>
    <m/>
  </r>
  <r>
    <n v="613"/>
    <s v="00118-FER"/>
    <x v="1"/>
    <s v="COPIAS DE LLAVES"/>
    <m/>
  </r>
  <r>
    <n v="614"/>
    <s v="00022-HRR"/>
    <x v="10"/>
    <s v="BISAGRA PARA SOLDAR 3&quot;"/>
    <m/>
  </r>
  <r>
    <n v="615"/>
    <s v="00023-HRR"/>
    <x v="10"/>
    <s v="NIPLE GALVANIZADO 3/4 X 5&quot;"/>
    <m/>
  </r>
  <r>
    <n v="616"/>
    <s v="00024-HRR"/>
    <x v="10"/>
    <s v="NIPLE GALVANIZADO 3/4 X 4&quot;"/>
    <m/>
  </r>
  <r>
    <n v="617"/>
    <s v="00025-HRR"/>
    <x v="10"/>
    <s v="REDUCCION GALVANIZADA AF BUSHING 1 X 3/4"/>
    <m/>
  </r>
  <r>
    <n v="618"/>
    <s v="00026-HRR"/>
    <x v="10"/>
    <s v="REDUCCION GALVANIZADA AF BUSHING 1 X 1/2"/>
    <m/>
  </r>
  <r>
    <n v="619"/>
    <s v="00027-HRR"/>
    <x v="10"/>
    <s v="NIPLE GALVANIZADO 1/2 X 6&quot;"/>
    <m/>
  </r>
  <r>
    <n v="620"/>
    <s v="00028-HRR"/>
    <x v="10"/>
    <s v="NIPLE GALVANIZADO 1/2 X 4&quot;"/>
    <m/>
  </r>
  <r>
    <n v="621"/>
    <s v="00029-HRR"/>
    <x v="10"/>
    <s v="NIPLE GALVANIZADO 1/2 X 3&quot;"/>
    <m/>
  </r>
  <r>
    <n v="622"/>
    <s v="00030-HRR"/>
    <x v="10"/>
    <s v="CODO GALVANIZADO 90° 1/2"/>
    <m/>
  </r>
  <r>
    <n v="623"/>
    <s v="00042-ELC"/>
    <x v="7"/>
    <s v="PLANTA ELECTRICA 125KVA C/ TRANFER"/>
    <m/>
  </r>
  <r>
    <n v="624"/>
    <s v="00106-HER"/>
    <x v="4"/>
    <s v="EXACTO PLASTICO IMP"/>
    <m/>
  </r>
  <r>
    <n v="625"/>
    <s v="00046-ELE"/>
    <x v="3"/>
    <s v="TAPA DE TOMA CORRIENTE DOBLE"/>
    <m/>
  </r>
  <r>
    <n v="626"/>
    <s v="00119-FER"/>
    <x v="1"/>
    <s v="MANGUERA TRANSPARENTE 3/4"/>
    <m/>
  </r>
  <r>
    <n v="627"/>
    <s v="00031-HRR"/>
    <x v="10"/>
    <s v="ABRAZADERA GALVANIZADA 3/4"/>
    <m/>
  </r>
  <r>
    <n v="628"/>
    <s v="00047-ELE"/>
    <x v="3"/>
    <s v="TAPA CIEGA 4 X 2 BLANCO"/>
    <m/>
  </r>
  <r>
    <n v="629"/>
    <s v="00048-ELE"/>
    <x v="3"/>
    <s v="TUBO ELECTRICO 1/2 BLANCO (METRO)"/>
    <m/>
  </r>
  <r>
    <n v="630"/>
    <s v="00049-ELE"/>
    <x v="3"/>
    <s v="CURVA ELECTRICA PVC BLANCO 1/2"/>
    <m/>
  </r>
  <r>
    <n v="631"/>
    <s v="00120-FER"/>
    <x v="1"/>
    <s v="TUERCA HEXAGONAL G2 GRUESO 1/4"/>
    <m/>
  </r>
  <r>
    <n v="632"/>
    <s v="00107-HER"/>
    <x v="4"/>
    <s v="PUNTA DE ESTRIA Y PALA"/>
    <m/>
  </r>
  <r>
    <n v="633"/>
    <s v="00043-PLM"/>
    <x v="11"/>
    <s v="ADAPTADOR PLASTICO P/ TANQUE 1/2"/>
    <m/>
  </r>
  <r>
    <n v="634"/>
    <s v="00121-FER"/>
    <x v="1"/>
    <s v="TORNILLO PARA REJILLA"/>
    <m/>
  </r>
  <r>
    <n v="635"/>
    <s v="00078-REF"/>
    <x v="0"/>
    <s v="CAPACITOR DE MARCHA 20/1,5 MFD 450V"/>
    <m/>
  </r>
  <r>
    <m/>
    <s v="00079-REF"/>
    <x v="0"/>
    <s v="CAPACITOR PERMANENTE 145-174 MFD 11OV"/>
    <m/>
  </r>
  <r>
    <m/>
    <s v="00080-REF"/>
    <x v="0"/>
    <s v="CAPACITOR 40+15 MFD 250 V"/>
    <m/>
  </r>
  <r>
    <m/>
    <s v="00081-REF"/>
    <x v="0"/>
    <s v="CAPACITOR DE MARCHA 80 MFD 440/450 VAC"/>
    <m/>
  </r>
  <r>
    <m/>
    <s v="00082-REF"/>
    <x v="0"/>
    <s v="CAPACITOR DE MARCHA 30+3 MFD 440/450 VAC"/>
    <m/>
  </r>
  <r>
    <m/>
    <s v="00083-REF"/>
    <x v="0"/>
    <s v="CAPACITOR DE MARCHA 35+7 MFD 440/450 VAC"/>
    <m/>
  </r>
  <r>
    <m/>
    <s v="00084-REF"/>
    <x v="0"/>
    <s v="CAPACITOR DE MARCHA 35+5 MFD 250 VAC"/>
    <m/>
  </r>
  <r>
    <m/>
    <s v="00085-REF"/>
    <x v="0"/>
    <s v="CAPACITOR DE MARCHA 60 MFD 250 VAC"/>
    <m/>
  </r>
  <r>
    <m/>
    <s v="00122-FER"/>
    <x v="1"/>
    <s v="DISCO PARA MADERA 7 1/4&quot; 7/8&quot; 6"/>
    <m/>
  </r>
  <r>
    <m/>
    <s v="00123-FER"/>
    <x v="1"/>
    <s v="DISCO PARA MADERA 7 1/4&quot; 7/8&quot; 4"/>
    <m/>
  </r>
  <r>
    <m/>
    <s v="00001-LIM"/>
    <x v="12"/>
    <s v="CEPILLO DE BARRER"/>
    <m/>
  </r>
  <r>
    <m/>
    <s v="00002-LIM"/>
    <x v="12"/>
    <s v="PIPOTES 65 LITROS"/>
    <m/>
  </r>
  <r>
    <m/>
    <s v="00003-LIM"/>
    <x v="12"/>
    <s v="ARAGAN PEQUEÑO"/>
    <m/>
  </r>
  <r>
    <m/>
    <s v="00015-MSC"/>
    <x v="6"/>
    <s v="CUCHILLO DE SIERRA N°8"/>
    <m/>
  </r>
  <r>
    <m/>
    <s v="00016-MSC"/>
    <x v="6"/>
    <s v="CUCHILLO PROCHEF N°9"/>
    <m/>
  </r>
  <r>
    <m/>
    <s v="00017-MSC"/>
    <x v="6"/>
    <s v="CUCHARON PEQUEÑO"/>
    <m/>
  </r>
  <r>
    <m/>
    <s v="00004-LIM"/>
    <x v="12"/>
    <s v="PALO PARA CEPILLO DE BARRER"/>
    <m/>
  </r>
  <r>
    <m/>
    <s v="00086-REF"/>
    <x v="0"/>
    <s v="CAPACITOR DE MARCHA 5 MFD"/>
    <m/>
  </r>
  <r>
    <m/>
    <s v="00124-FER"/>
    <x v="1"/>
    <s v="CANILLA PLASTICA 1/2 X 5/8 40 CM"/>
    <m/>
  </r>
  <r>
    <m/>
    <s v="00010-AUT"/>
    <x v="9"/>
    <s v="FILTRO DE AIRE PRIMARIO PARA MOTOR CUMMINS 6BTAA5.9"/>
    <m/>
  </r>
  <r>
    <m/>
    <s v="00011-AUT"/>
    <x v="9"/>
    <s v="FILTRO DE AIRE SECUNDARIO PARA MOTOR CUMMINS 6BTAA5.9"/>
    <m/>
  </r>
  <r>
    <m/>
    <s v="00005-LIM"/>
    <x v="12"/>
    <s v="TOBO DE LIMPIEZA"/>
    <m/>
  </r>
  <r>
    <m/>
    <s v="00006-LIM"/>
    <x v="12"/>
    <s v="PALA CON CABO"/>
    <m/>
  </r>
  <r>
    <m/>
    <s v="00007-LIM"/>
    <x v="12"/>
    <s v="PAÑITO NEGRO DE LIMPIEZA"/>
    <m/>
  </r>
  <r>
    <m/>
    <s v="00008-LIM"/>
    <x v="12"/>
    <s v="COLETO NEGRO"/>
    <m/>
  </r>
  <r>
    <m/>
    <s v="00009-LIM"/>
    <x v="12"/>
    <s v="CABO DE MADERA PARA CEPILLO DE BARRER"/>
    <m/>
  </r>
  <r>
    <m/>
    <s v="00125-FER"/>
    <x v="1"/>
    <s v="BISAGRA PARA PECERA"/>
    <m/>
  </r>
  <r>
    <m/>
    <s v="00126-FER"/>
    <x v="1"/>
    <s v="TORNILLO PARA VISAGRA DE PECERA"/>
    <m/>
  </r>
  <r>
    <m/>
    <s v="00032-HRR"/>
    <x v="10"/>
    <s v="ELECTRODO E6013 3/32 UNIDAD"/>
    <m/>
  </r>
  <r>
    <m/>
    <s v="00127-FER"/>
    <x v="1"/>
    <s v="ESPUMA DE POLIUTERANO MULTIUSO"/>
    <m/>
  </r>
  <r>
    <m/>
    <s v="00128-FER"/>
    <x v="1"/>
    <s v="BRAZO HIDRAULICO PARA PUERTA 45-60 KG (SIN BRASO)"/>
    <m/>
  </r>
  <r>
    <m/>
    <s v="00033-HRR"/>
    <x v="10"/>
    <s v="RUEDA PARA PORTON TIPO U"/>
    <m/>
  </r>
  <r>
    <m/>
    <s v="00129-FER"/>
    <x v="1"/>
    <s v="REGULADOR DE BOMBONA DE GAS ENROSCABLE"/>
    <m/>
  </r>
  <r>
    <m/>
    <s v="00034-HRR"/>
    <x v="10"/>
    <s v="ABRAZADERA DE ACERO 21-38 MM"/>
    <m/>
  </r>
  <r>
    <m/>
    <s v="00130-FER"/>
    <x v="1"/>
    <s v="ESPATULA PLASTICA 4&quot;"/>
    <m/>
  </r>
  <r>
    <m/>
    <s v="00131-FER"/>
    <x v="1"/>
    <s v="ESPATULA PLASTICA 5&quot;"/>
    <m/>
  </r>
  <r>
    <m/>
    <s v="00132-FER"/>
    <x v="1"/>
    <s v="CORREDERA TELESCOPICA PARA CAJON 30 CM"/>
    <m/>
  </r>
  <r>
    <m/>
    <s v="00087-REF"/>
    <x v="0"/>
    <s v="BUJE O SOPORTE DE GOMA DE COMPRESOR"/>
    <m/>
  </r>
  <r>
    <m/>
    <s v="00133-FER"/>
    <x v="1"/>
    <s v="PEGAMENTO DE FORMICA Y CHAPILLA 1/4 GALON"/>
    <m/>
  </r>
  <r>
    <m/>
    <s v="00134-FER"/>
    <x v="1"/>
    <s v="LENTE DE SEGURIDAD"/>
    <m/>
  </r>
  <r>
    <m/>
    <s v="00035-HRR"/>
    <x v="10"/>
    <s v="BISAGRA 2&quot;"/>
    <m/>
  </r>
  <r>
    <m/>
    <s v="00135-FER"/>
    <x v="1"/>
    <s v="TIRRA BLANCO 4.8 X 350MM (UNIDAD)"/>
    <m/>
  </r>
  <r>
    <m/>
    <s v="00136-FER"/>
    <x v="1"/>
    <s v="RAMPLU DE ACERO EXPANCIBLE 3/8"/>
    <m/>
  </r>
  <r>
    <m/>
    <s v="00137-FER"/>
    <x v="1"/>
    <s v="TORNILLO DE ALTA RESISTENCIA CON TUERCA 4&quot;"/>
    <m/>
  </r>
  <r>
    <m/>
    <s v="00138-FER"/>
    <x v="1"/>
    <s v="POMO DE PECERA (PAR)"/>
    <m/>
  </r>
  <r>
    <m/>
    <s v="00139-FER"/>
    <x v="1"/>
    <s v="RAMPLU DE ACERO EXPANCIBLE 1/2"/>
    <m/>
  </r>
  <r>
    <m/>
    <s v="00043-ELC"/>
    <x v="7"/>
    <s v="EXTRACTOR DE AIRE PLASTICO 10&quot; EVERWELL"/>
    <m/>
  </r>
  <r>
    <m/>
    <s v="00010-LIM"/>
    <x v="12"/>
    <s v="CABO DE METAL PARA CEPILLO DE BARRER"/>
    <m/>
  </r>
  <r>
    <m/>
    <s v="00011-LIM"/>
    <x v="12"/>
    <s v="CEPILLO PARA LAVAR INODORO"/>
    <m/>
  </r>
  <r>
    <m/>
    <s v="00140-FER"/>
    <x v="1"/>
    <s v="CINTA ANTIDESLIZANTE NEGRO/AMARILLO (ROLLO 5M)"/>
    <m/>
  </r>
  <r>
    <m/>
    <s v="00044-PLM"/>
    <x v="11"/>
    <s v="VALVULA CHECK 1/2 BRONCE"/>
    <m/>
  </r>
  <r>
    <m/>
    <s v="00050-ELE"/>
    <x v="3"/>
    <s v="CABLE N°18 AZUL (METRO)"/>
    <m/>
  </r>
  <r>
    <m/>
    <s v="00051-ELE"/>
    <x v="3"/>
    <s v="CABLE N°18 BLANCO (METRO)"/>
    <m/>
  </r>
  <r>
    <m/>
    <s v="00052-ELE"/>
    <x v="3"/>
    <s v="CABLE N°18 NEGRO (METRO)"/>
    <m/>
  </r>
  <r>
    <m/>
    <s v="00053-ELE"/>
    <x v="3"/>
    <s v="CABLE N°14 NEGRO (METRO)"/>
    <m/>
  </r>
  <r>
    <m/>
    <s v="00054-ELE"/>
    <x v="3"/>
    <s v="CABLE N°14 BLANCO (METRO)"/>
    <m/>
  </r>
  <r>
    <m/>
    <s v="00088-REF"/>
    <x v="0"/>
    <s v="TUBO DE COBRE FLEXIBLE 1/2 (METRO)"/>
    <m/>
  </r>
  <r>
    <m/>
    <s v="00089-REF"/>
    <x v="0"/>
    <s v="TUBO DE COBRE FLEXIBLE 7/8 (METRO)"/>
    <m/>
  </r>
  <r>
    <m/>
    <s v="00090-REF"/>
    <x v="0"/>
    <s v="ARMAFLEX 1,1/8 X 3/8"/>
    <m/>
  </r>
  <r>
    <m/>
    <s v="00091-REF"/>
    <x v="0"/>
    <s v="FILTRO SECADOR SOLDABLE 1/2"/>
    <m/>
  </r>
  <r>
    <m/>
    <s v="00068-UNI"/>
    <x v="8"/>
    <s v="CAMISA NEGRA DETAL CABALLERO T/XL"/>
    <m/>
  </r>
  <r>
    <m/>
    <s v="00055-ELE"/>
    <x v="3"/>
    <s v="TUBO ELECTRICO 3/4 BLANCO (METRO)"/>
    <m/>
  </r>
  <r>
    <m/>
    <s v="00056-ELE"/>
    <x v="3"/>
    <s v="TUBERIA CORRUGADA GALVANIZADA 3/4 (METRO)"/>
    <m/>
  </r>
  <r>
    <m/>
    <s v="00092-REF"/>
    <x v="0"/>
    <s v="FILTRO SECADOR SOLDABLE 1/2 EVERWELL"/>
    <m/>
  </r>
  <r>
    <m/>
    <s v="00141-FER"/>
    <x v="1"/>
    <s v="RAMPLU NARANJA"/>
    <m/>
  </r>
  <r>
    <m/>
    <s v="00142-FER"/>
    <x v="1"/>
    <s v="TRABA ROSCA AZUL"/>
    <m/>
  </r>
  <r>
    <m/>
    <s v="00036-HRR"/>
    <x v="10"/>
    <s v="UNION DRESS GALVANIZADO 3/4"/>
    <m/>
  </r>
  <r>
    <m/>
    <s v="00143-FER"/>
    <x v="1"/>
    <s v="TORNILLO A/R PLANA 12 X 11/4"/>
    <m/>
  </r>
  <r>
    <m/>
    <s v="00037-HRR"/>
    <x v="10"/>
    <s v="BISAGRA PARA COCINA HIDRAULICA CON FRENO (PAR)"/>
    <m/>
  </r>
  <r>
    <m/>
    <s v="00144-FER"/>
    <x v="1"/>
    <s v="PEGA-MIX TRANSPARENTE 35G"/>
    <m/>
  </r>
</pivotCacheRecords>
</file>

<file path=xl/pivotCache/pivotCacheRecords3.xml><?xml version="1.0" encoding="utf-8"?>
<pivotCacheRecords xmlns="http://schemas.openxmlformats.org/spreadsheetml/2006/main" count="1172">
  <r>
    <n v="2"/>
    <s v="00001-REF"/>
    <x v="0"/>
    <x v="0"/>
    <n v="0"/>
    <n v="57"/>
    <n v="59"/>
    <n v="-2"/>
  </r>
  <r>
    <n v="434"/>
    <s v="00002-REF"/>
    <x v="0"/>
    <x v="1"/>
    <n v="0"/>
    <n v="24"/>
    <n v="14"/>
    <n v="10"/>
  </r>
  <r>
    <n v="3"/>
    <s v="00001-FER"/>
    <x v="1"/>
    <x v="2"/>
    <n v="0"/>
    <n v="350"/>
    <n v="195"/>
    <n v="155"/>
  </r>
  <r>
    <n v="4"/>
    <s v="00002-FER"/>
    <x v="1"/>
    <x v="3"/>
    <n v="0"/>
    <n v="100"/>
    <n v="58"/>
    <n v="42"/>
  </r>
  <r>
    <n v="5"/>
    <s v="00001-ILU"/>
    <x v="2"/>
    <x v="4"/>
    <n v="0"/>
    <n v="4"/>
    <n v="0"/>
    <n v="4"/>
  </r>
  <r>
    <n v="6"/>
    <s v="00001-ELE"/>
    <x v="3"/>
    <x v="5"/>
    <n v="0"/>
    <n v="12"/>
    <n v="15"/>
    <n v="-3"/>
  </r>
  <r>
    <n v="7"/>
    <s v="00002-ELE"/>
    <x v="3"/>
    <x v="6"/>
    <n v="0"/>
    <n v="26"/>
    <n v="3"/>
    <n v="23"/>
  </r>
  <r>
    <n v="8"/>
    <s v="00001-HER"/>
    <x v="4"/>
    <x v="7"/>
    <n v="0"/>
    <n v="1"/>
    <n v="0"/>
    <n v="1"/>
  </r>
  <r>
    <n v="9"/>
    <s v="00002-HER"/>
    <x v="4"/>
    <x v="8"/>
    <n v="0"/>
    <n v="1"/>
    <n v="0"/>
    <n v="1"/>
  </r>
  <r>
    <n v="10"/>
    <s v="00003-FER"/>
    <x v="1"/>
    <x v="9"/>
    <n v="0"/>
    <n v="114"/>
    <n v="0"/>
    <n v="114"/>
  </r>
  <r>
    <n v="11"/>
    <s v="00004-FER"/>
    <x v="1"/>
    <x v="10"/>
    <n v="0"/>
    <n v="23877"/>
    <n v="8750"/>
    <n v="15127"/>
  </r>
  <r>
    <n v="12"/>
    <s v="00005-FER"/>
    <x v="1"/>
    <x v="11"/>
    <n v="0"/>
    <n v="300"/>
    <n v="145"/>
    <n v="155"/>
  </r>
  <r>
    <n v="13"/>
    <s v="00006-FER"/>
    <x v="1"/>
    <x v="12"/>
    <n v="0"/>
    <n v="100"/>
    <n v="58"/>
    <n v="42"/>
  </r>
  <r>
    <n v="14"/>
    <s v="00001-OFC"/>
    <x v="5"/>
    <x v="13"/>
    <n v="0"/>
    <n v="5"/>
    <n v="0"/>
    <n v="5"/>
  </r>
  <r>
    <n v="15"/>
    <s v="00001-MSC"/>
    <x v="6"/>
    <x v="14"/>
    <n v="0"/>
    <n v="35.5"/>
    <n v="0"/>
    <n v="35.5"/>
  </r>
  <r>
    <n v="16"/>
    <s v="00007-FER"/>
    <x v="1"/>
    <x v="15"/>
    <n v="0"/>
    <n v="1"/>
    <n v="0"/>
    <n v="1"/>
  </r>
  <r>
    <n v="17"/>
    <s v="00008-FER"/>
    <x v="1"/>
    <x v="16"/>
    <n v="0"/>
    <n v="2"/>
    <n v="2"/>
    <n v="0"/>
  </r>
  <r>
    <n v="18"/>
    <s v="00002-OFC"/>
    <x v="5"/>
    <x v="17"/>
    <n v="0"/>
    <n v="1"/>
    <n v="0"/>
    <n v="1"/>
  </r>
  <r>
    <n v="19"/>
    <s v="00003-HER"/>
    <x v="4"/>
    <x v="18"/>
    <n v="0"/>
    <n v="5"/>
    <n v="1"/>
    <n v="4"/>
  </r>
  <r>
    <n v="20"/>
    <s v="00003-REF"/>
    <x v="0"/>
    <x v="19"/>
    <n v="0"/>
    <n v="9"/>
    <n v="1"/>
    <n v="8"/>
  </r>
  <r>
    <n v="21"/>
    <s v="00001-ELC"/>
    <x v="7"/>
    <x v="20"/>
    <n v="0"/>
    <n v="1"/>
    <n v="0"/>
    <n v="1"/>
  </r>
  <r>
    <n v="22"/>
    <s v="00003-ELE"/>
    <x v="3"/>
    <x v="21"/>
    <n v="0"/>
    <n v="473"/>
    <n v="214"/>
    <n v="259"/>
  </r>
  <r>
    <n v="23"/>
    <s v="00004-REF"/>
    <x v="0"/>
    <x v="22"/>
    <n v="0"/>
    <n v="7"/>
    <n v="0"/>
    <n v="7"/>
  </r>
  <r>
    <n v="24"/>
    <s v="00005-REF"/>
    <x v="0"/>
    <x v="23"/>
    <n v="0"/>
    <n v="7"/>
    <n v="0"/>
    <n v="7"/>
  </r>
  <r>
    <n v="25"/>
    <s v="00002-ELC"/>
    <x v="7"/>
    <x v="24"/>
    <n v="0"/>
    <n v="1"/>
    <n v="0"/>
    <n v="1"/>
  </r>
  <r>
    <n v="26"/>
    <s v="00004-ELE"/>
    <x v="3"/>
    <x v="25"/>
    <n v="0"/>
    <n v="3"/>
    <n v="11"/>
    <n v="-8"/>
  </r>
  <r>
    <n v="27"/>
    <s v="00003-OFC"/>
    <x v="5"/>
    <x v="26"/>
    <n v="0"/>
    <n v="82"/>
    <n v="0"/>
    <n v="82"/>
  </r>
  <r>
    <n v="28"/>
    <s v="00004-HER"/>
    <x v="4"/>
    <x v="27"/>
    <n v="0"/>
    <n v="1"/>
    <n v="0"/>
    <n v="1"/>
  </r>
  <r>
    <n v="29"/>
    <s v="00004-OFC"/>
    <x v="5"/>
    <x v="28"/>
    <n v="0"/>
    <n v="8"/>
    <n v="0"/>
    <n v="8"/>
  </r>
  <r>
    <n v="30"/>
    <s v="00002-MSC"/>
    <x v="6"/>
    <x v="29"/>
    <n v="0"/>
    <n v="5"/>
    <n v="1"/>
    <n v="4"/>
  </r>
  <r>
    <n v="31"/>
    <s v="00003-MSC"/>
    <x v="6"/>
    <x v="30"/>
    <n v="0"/>
    <n v="11"/>
    <n v="7"/>
    <n v="4"/>
  </r>
  <r>
    <n v="32"/>
    <s v="00005-OFC"/>
    <x v="5"/>
    <x v="31"/>
    <n v="0"/>
    <n v="2"/>
    <n v="0"/>
    <n v="2"/>
  </r>
  <r>
    <n v="33"/>
    <s v="00006-OFC"/>
    <x v="5"/>
    <x v="32"/>
    <n v="0"/>
    <n v="1"/>
    <n v="0"/>
    <n v="1"/>
  </r>
  <r>
    <n v="34"/>
    <s v="00009-FER"/>
    <x v="1"/>
    <x v="33"/>
    <n v="0"/>
    <n v="49"/>
    <n v="16"/>
    <n v="33"/>
  </r>
  <r>
    <n v="35"/>
    <s v="00010-FER"/>
    <x v="1"/>
    <x v="34"/>
    <n v="0"/>
    <n v="50"/>
    <n v="10"/>
    <n v="40"/>
  </r>
  <r>
    <n v="36"/>
    <s v="00011-FER"/>
    <x v="1"/>
    <x v="35"/>
    <n v="0"/>
    <n v="2"/>
    <n v="0"/>
    <n v="2"/>
  </r>
  <r>
    <n v="37"/>
    <s v="00012-FER"/>
    <x v="1"/>
    <x v="36"/>
    <n v="0"/>
    <n v="201"/>
    <n v="0"/>
    <n v="201"/>
  </r>
  <r>
    <n v="38"/>
    <s v="00007-OFC"/>
    <x v="5"/>
    <x v="37"/>
    <n v="0"/>
    <n v="1"/>
    <n v="0"/>
    <n v="1"/>
  </r>
  <r>
    <n v="39"/>
    <s v="00003-ELC"/>
    <x v="7"/>
    <x v="38"/>
    <n v="0"/>
    <n v="1"/>
    <n v="0"/>
    <n v="1"/>
  </r>
  <r>
    <n v="40"/>
    <s v="00013-FER"/>
    <x v="1"/>
    <x v="39"/>
    <n v="0"/>
    <n v="66"/>
    <n v="32"/>
    <n v="34"/>
  </r>
  <r>
    <n v="41"/>
    <s v="00014-FER"/>
    <x v="1"/>
    <x v="40"/>
    <n v="0"/>
    <n v="1"/>
    <n v="0"/>
    <n v="1"/>
  </r>
  <r>
    <n v="42"/>
    <s v="00015-FER"/>
    <x v="1"/>
    <x v="41"/>
    <n v="0"/>
    <n v="9"/>
    <n v="0"/>
    <n v="9"/>
  </r>
  <r>
    <n v="43"/>
    <s v="00016-FER"/>
    <x v="1"/>
    <x v="42"/>
    <n v="0"/>
    <n v="1"/>
    <n v="0"/>
    <n v="1"/>
  </r>
  <r>
    <n v="44"/>
    <s v="00017-FER"/>
    <x v="1"/>
    <x v="43"/>
    <n v="0"/>
    <n v="1"/>
    <n v="0"/>
    <n v="1"/>
  </r>
  <r>
    <n v="45"/>
    <s v="00018-FER"/>
    <x v="1"/>
    <x v="44"/>
    <n v="0"/>
    <n v="9"/>
    <n v="0"/>
    <n v="9"/>
  </r>
  <r>
    <n v="46"/>
    <s v="00008-OFC"/>
    <x v="5"/>
    <x v="45"/>
    <n v="0"/>
    <n v="7"/>
    <n v="0"/>
    <n v="7"/>
  </r>
  <r>
    <n v="47"/>
    <s v="00009-OFC"/>
    <x v="5"/>
    <x v="46"/>
    <n v="0"/>
    <n v="6"/>
    <n v="0"/>
    <n v="6"/>
  </r>
  <r>
    <n v="48"/>
    <s v="00010-OFC"/>
    <x v="5"/>
    <x v="47"/>
    <n v="0"/>
    <n v="5"/>
    <n v="0"/>
    <n v="5"/>
  </r>
  <r>
    <n v="49"/>
    <s v="00011-OFC"/>
    <x v="5"/>
    <x v="48"/>
    <n v="0"/>
    <n v="2"/>
    <n v="0"/>
    <n v="2"/>
  </r>
  <r>
    <n v="50"/>
    <s v="00012-OFC"/>
    <x v="5"/>
    <x v="49"/>
    <n v="0"/>
    <n v="9"/>
    <n v="1"/>
    <n v="8"/>
  </r>
  <r>
    <n v="51"/>
    <s v="00005-HER"/>
    <x v="4"/>
    <x v="50"/>
    <n v="0"/>
    <n v="2"/>
    <n v="0"/>
    <n v="2"/>
  </r>
  <r>
    <n v="52"/>
    <s v="00006-REF"/>
    <x v="0"/>
    <x v="51"/>
    <n v="0"/>
    <n v="5"/>
    <n v="1"/>
    <n v="4"/>
  </r>
  <r>
    <n v="53"/>
    <s v="00007-REF"/>
    <x v="0"/>
    <x v="52"/>
    <n v="0"/>
    <n v="3"/>
    <n v="0"/>
    <n v="3"/>
  </r>
  <r>
    <n v="54"/>
    <s v="00008-REF"/>
    <x v="0"/>
    <x v="53"/>
    <n v="0"/>
    <n v="3"/>
    <n v="0"/>
    <n v="3"/>
  </r>
  <r>
    <n v="55"/>
    <s v="00004-ELC"/>
    <x v="7"/>
    <x v="54"/>
    <n v="0"/>
    <n v="1"/>
    <n v="0"/>
    <n v="1"/>
  </r>
  <r>
    <n v="56"/>
    <s v="00006-HER"/>
    <x v="4"/>
    <x v="55"/>
    <n v="0"/>
    <n v="1"/>
    <n v="0"/>
    <n v="1"/>
  </r>
  <r>
    <n v="557"/>
    <s v="00005-ELC"/>
    <x v="7"/>
    <x v="56"/>
    <n v="0"/>
    <n v="5"/>
    <n v="0"/>
    <n v="5"/>
  </r>
  <r>
    <n v="558"/>
    <s v="00006-ELC"/>
    <x v="7"/>
    <x v="57"/>
    <n v="0"/>
    <n v="1"/>
    <n v="0"/>
    <n v="1"/>
  </r>
  <r>
    <n v="59"/>
    <s v="00002-ILU"/>
    <x v="2"/>
    <x v="58"/>
    <n v="0"/>
    <n v="2"/>
    <n v="0"/>
    <n v="2"/>
  </r>
  <r>
    <n v="60"/>
    <s v="00003-ILU"/>
    <x v="2"/>
    <x v="59"/>
    <n v="0"/>
    <n v="1"/>
    <n v="0"/>
    <n v="1"/>
  </r>
  <r>
    <n v="61"/>
    <s v="00019-FER"/>
    <x v="1"/>
    <x v="60"/>
    <n v="0"/>
    <n v="1"/>
    <n v="0"/>
    <n v="1"/>
  </r>
  <r>
    <n v="62"/>
    <s v="00007-ELC"/>
    <x v="7"/>
    <x v="61"/>
    <n v="0"/>
    <n v="2"/>
    <n v="0"/>
    <n v="2"/>
  </r>
  <r>
    <n v="63"/>
    <s v="00008-ELC"/>
    <x v="7"/>
    <x v="62"/>
    <n v="0"/>
    <n v="39"/>
    <n v="7"/>
    <n v="32"/>
  </r>
  <r>
    <n v="64"/>
    <s v="00004-MSC"/>
    <x v="6"/>
    <x v="63"/>
    <n v="0"/>
    <n v="1"/>
    <n v="0"/>
    <n v="1"/>
  </r>
  <r>
    <n v="65"/>
    <s v="00007-HER"/>
    <x v="4"/>
    <x v="64"/>
    <n v="0"/>
    <n v="1"/>
    <n v="0"/>
    <n v="1"/>
  </r>
  <r>
    <n v="66"/>
    <s v="00004-ILU"/>
    <x v="2"/>
    <x v="65"/>
    <n v="0"/>
    <n v="1"/>
    <n v="0"/>
    <n v="1"/>
  </r>
  <r>
    <n v="67"/>
    <s v="00005-ELE"/>
    <x v="3"/>
    <x v="66"/>
    <n v="0"/>
    <n v="57"/>
    <n v="51"/>
    <n v="6"/>
  </r>
  <r>
    <n v="68"/>
    <s v="00006-ELE"/>
    <x v="3"/>
    <x v="67"/>
    <n v="0"/>
    <n v="15"/>
    <n v="7"/>
    <n v="8"/>
  </r>
  <r>
    <n v="69"/>
    <s v="00007-ELE"/>
    <x v="3"/>
    <x v="68"/>
    <n v="0"/>
    <n v="7"/>
    <n v="5"/>
    <n v="2"/>
  </r>
  <r>
    <n v="70"/>
    <s v="00008-ELE"/>
    <x v="3"/>
    <x v="69"/>
    <n v="0"/>
    <n v="1"/>
    <n v="0"/>
    <n v="1"/>
  </r>
  <r>
    <n v="71"/>
    <s v="00009-ELE"/>
    <x v="3"/>
    <x v="70"/>
    <n v="0"/>
    <n v="48"/>
    <n v="50"/>
    <n v="-2"/>
  </r>
  <r>
    <n v="72"/>
    <s v="00010-ELE"/>
    <x v="3"/>
    <x v="71"/>
    <n v="0"/>
    <n v="9"/>
    <n v="4"/>
    <n v="5"/>
  </r>
  <r>
    <n v="73"/>
    <s v="00005-MSC"/>
    <x v="6"/>
    <x v="72"/>
    <n v="0"/>
    <n v="5"/>
    <n v="0"/>
    <n v="5"/>
  </r>
  <r>
    <n v="74"/>
    <s v="00006-MSC"/>
    <x v="6"/>
    <x v="73"/>
    <n v="0"/>
    <n v="0"/>
    <n v="0"/>
    <n v="0"/>
  </r>
  <r>
    <n v="75"/>
    <s v="00007-MSC"/>
    <x v="6"/>
    <x v="74"/>
    <n v="0"/>
    <n v="60"/>
    <n v="40"/>
    <n v="20"/>
  </r>
  <r>
    <n v="76"/>
    <s v="00008-HER"/>
    <x v="4"/>
    <x v="75"/>
    <n v="0"/>
    <n v="1"/>
    <n v="0"/>
    <n v="1"/>
  </r>
  <r>
    <n v="77"/>
    <s v="00009-HER"/>
    <x v="4"/>
    <x v="76"/>
    <n v="0"/>
    <n v="2"/>
    <n v="0"/>
    <n v="2"/>
  </r>
  <r>
    <n v="78"/>
    <s v="00013-OFC"/>
    <x v="5"/>
    <x v="77"/>
    <n v="0"/>
    <n v="2"/>
    <n v="0"/>
    <n v="2"/>
  </r>
  <r>
    <n v="79"/>
    <s v="00020-FER"/>
    <x v="1"/>
    <x v="78"/>
    <n v="0"/>
    <n v="200"/>
    <n v="0"/>
    <n v="200"/>
  </r>
  <r>
    <n v="80"/>
    <s v="00005-ILU"/>
    <x v="2"/>
    <x v="79"/>
    <n v="0"/>
    <n v="8"/>
    <n v="0"/>
    <n v="8"/>
  </r>
  <r>
    <n v="81"/>
    <s v="00006-ILU"/>
    <x v="2"/>
    <x v="80"/>
    <n v="0"/>
    <n v="89"/>
    <n v="53"/>
    <n v="36"/>
  </r>
  <r>
    <n v="82"/>
    <s v="00007-ILU"/>
    <x v="2"/>
    <x v="81"/>
    <n v="0"/>
    <n v="14"/>
    <n v="9"/>
    <n v="5"/>
  </r>
  <r>
    <n v="83"/>
    <s v="00008-ILU"/>
    <x v="2"/>
    <x v="82"/>
    <n v="0"/>
    <n v="4"/>
    <n v="4"/>
    <n v="0"/>
  </r>
  <r>
    <n v="84"/>
    <s v="00009-ILU"/>
    <x v="2"/>
    <x v="83"/>
    <n v="0"/>
    <n v="5"/>
    <n v="5"/>
    <n v="0"/>
  </r>
  <r>
    <n v="85"/>
    <s v="00010-HER"/>
    <x v="4"/>
    <x v="84"/>
    <n v="0"/>
    <n v="2"/>
    <n v="0"/>
    <n v="2"/>
  </r>
  <r>
    <n v="86"/>
    <s v="00011-HER"/>
    <x v="4"/>
    <x v="85"/>
    <n v="0"/>
    <n v="1"/>
    <n v="0"/>
    <n v="1"/>
  </r>
  <r>
    <n v="87"/>
    <s v="00008-MSC"/>
    <x v="6"/>
    <x v="86"/>
    <n v="0"/>
    <n v="3"/>
    <n v="1"/>
    <n v="2"/>
  </r>
  <r>
    <n v="88"/>
    <s v="00012-HER"/>
    <x v="4"/>
    <x v="87"/>
    <n v="0"/>
    <n v="3"/>
    <n v="0"/>
    <n v="3"/>
  </r>
  <r>
    <n v="89"/>
    <s v="00009-ELC"/>
    <x v="7"/>
    <x v="88"/>
    <n v="0"/>
    <n v="1"/>
    <n v="0"/>
    <n v="1"/>
  </r>
  <r>
    <n v="90"/>
    <s v="00010-ELC"/>
    <x v="7"/>
    <x v="89"/>
    <n v="0"/>
    <n v="2"/>
    <n v="0"/>
    <n v="2"/>
  </r>
  <r>
    <n v="91"/>
    <s v="00011-ELC"/>
    <x v="7"/>
    <x v="90"/>
    <n v="0"/>
    <n v="1"/>
    <n v="0"/>
    <n v="1"/>
  </r>
  <r>
    <n v="92"/>
    <s v="00013-HER"/>
    <x v="4"/>
    <x v="91"/>
    <n v="0"/>
    <n v="2"/>
    <n v="1"/>
    <n v="1"/>
  </r>
  <r>
    <n v="93"/>
    <s v="00014-HER"/>
    <x v="4"/>
    <x v="92"/>
    <n v="0"/>
    <n v="1"/>
    <n v="0"/>
    <n v="1"/>
  </r>
  <r>
    <n v="94"/>
    <s v="00021-FER"/>
    <x v="1"/>
    <x v="93"/>
    <n v="0"/>
    <n v="2"/>
    <n v="2"/>
    <n v="0"/>
  </r>
  <r>
    <n v="95"/>
    <s v="00014-OFC"/>
    <x v="5"/>
    <x v="94"/>
    <n v="0"/>
    <n v="1"/>
    <n v="0"/>
    <n v="1"/>
  </r>
  <r>
    <n v="96"/>
    <s v="00015-OFC"/>
    <x v="5"/>
    <x v="95"/>
    <n v="0"/>
    <n v="11"/>
    <n v="0"/>
    <n v="11"/>
  </r>
  <r>
    <n v="97"/>
    <s v="00016-OFC"/>
    <x v="5"/>
    <x v="96"/>
    <n v="0"/>
    <n v="12"/>
    <n v="0"/>
    <n v="12"/>
  </r>
  <r>
    <n v="98"/>
    <s v="00017-OFC"/>
    <x v="5"/>
    <x v="97"/>
    <n v="0"/>
    <n v="1"/>
    <n v="1"/>
    <n v="0"/>
  </r>
  <r>
    <n v="99"/>
    <s v="00015-HER"/>
    <x v="4"/>
    <x v="98"/>
    <n v="0"/>
    <n v="2"/>
    <n v="1"/>
    <n v="1"/>
  </r>
  <r>
    <n v="100"/>
    <s v="00009-REF"/>
    <x v="0"/>
    <x v="99"/>
    <n v="0"/>
    <n v="8"/>
    <n v="0"/>
    <n v="8"/>
  </r>
  <r>
    <n v="101"/>
    <s v="00016-HER"/>
    <x v="4"/>
    <x v="100"/>
    <n v="0"/>
    <n v="1"/>
    <n v="0"/>
    <n v="1"/>
  </r>
  <r>
    <n v="102"/>
    <s v="00017-HER"/>
    <x v="4"/>
    <x v="101"/>
    <n v="0"/>
    <n v="1"/>
    <n v="0"/>
    <n v="1"/>
  </r>
  <r>
    <n v="103"/>
    <s v="00018-HER"/>
    <x v="4"/>
    <x v="102"/>
    <n v="0"/>
    <n v="1"/>
    <n v="0"/>
    <n v="1"/>
  </r>
  <r>
    <n v="104"/>
    <s v="00019-HER"/>
    <x v="4"/>
    <x v="103"/>
    <n v="0"/>
    <n v="1"/>
    <n v="0"/>
    <n v="1"/>
  </r>
  <r>
    <n v="105"/>
    <s v="00020-HER"/>
    <x v="4"/>
    <x v="104"/>
    <n v="0"/>
    <n v="1"/>
    <n v="0"/>
    <n v="1"/>
  </r>
  <r>
    <n v="106"/>
    <s v="00021-HER"/>
    <x v="4"/>
    <x v="105"/>
    <n v="0"/>
    <n v="4"/>
    <n v="1"/>
    <n v="3"/>
  </r>
  <r>
    <n v="107"/>
    <s v="00022-HER"/>
    <x v="4"/>
    <x v="106"/>
    <n v="0"/>
    <n v="1"/>
    <n v="0"/>
    <n v="1"/>
  </r>
  <r>
    <n v="108"/>
    <s v="00023-HER"/>
    <x v="4"/>
    <x v="107"/>
    <n v="0"/>
    <n v="1"/>
    <n v="0"/>
    <n v="1"/>
  </r>
  <r>
    <n v="109"/>
    <s v="00024-HER"/>
    <x v="4"/>
    <x v="108"/>
    <n v="0"/>
    <n v="1"/>
    <n v="0"/>
    <n v="1"/>
  </r>
  <r>
    <n v="110"/>
    <s v="00025-HER"/>
    <x v="4"/>
    <x v="109"/>
    <n v="0"/>
    <n v="1"/>
    <n v="0"/>
    <n v="1"/>
  </r>
  <r>
    <n v="458"/>
    <s v="00026-HER"/>
    <x v="4"/>
    <x v="110"/>
    <n v="0"/>
    <n v="2"/>
    <n v="0"/>
    <n v="2"/>
  </r>
  <r>
    <n v="112"/>
    <s v="00027-HER"/>
    <x v="4"/>
    <x v="111"/>
    <n v="0"/>
    <n v="7"/>
    <n v="0"/>
    <n v="7"/>
  </r>
  <r>
    <n v="113"/>
    <s v="00028-HER"/>
    <x v="4"/>
    <x v="112"/>
    <n v="0"/>
    <n v="1"/>
    <n v="0"/>
    <n v="1"/>
  </r>
  <r>
    <n v="114"/>
    <s v="00029-HER"/>
    <x v="4"/>
    <x v="113"/>
    <n v="0"/>
    <n v="3"/>
    <n v="0"/>
    <n v="3"/>
  </r>
  <r>
    <n v="115"/>
    <s v="00030-HER"/>
    <x v="4"/>
    <x v="114"/>
    <n v="0"/>
    <n v="4"/>
    <n v="1"/>
    <n v="3"/>
  </r>
  <r>
    <n v="116"/>
    <s v="00031-HER"/>
    <x v="4"/>
    <x v="115"/>
    <n v="0"/>
    <n v="3"/>
    <n v="0"/>
    <n v="3"/>
  </r>
  <r>
    <n v="117"/>
    <s v="00032-HER"/>
    <x v="4"/>
    <x v="116"/>
    <n v="0"/>
    <n v="1"/>
    <n v="0"/>
    <n v="1"/>
  </r>
  <r>
    <n v="118"/>
    <s v="00018-OFC"/>
    <x v="5"/>
    <x v="117"/>
    <n v="0"/>
    <n v="43"/>
    <n v="0"/>
    <n v="43"/>
  </r>
  <r>
    <n v="119"/>
    <s v="00010-ILU"/>
    <x v="2"/>
    <x v="118"/>
    <n v="0"/>
    <n v="3"/>
    <n v="1"/>
    <n v="2"/>
  </r>
  <r>
    <n v="120"/>
    <s v="00011-ILU"/>
    <x v="2"/>
    <x v="119"/>
    <n v="0"/>
    <n v="8"/>
    <n v="0"/>
    <n v="8"/>
  </r>
  <r>
    <n v="121"/>
    <s v="00012-ILU"/>
    <x v="2"/>
    <x v="120"/>
    <n v="0"/>
    <n v="3"/>
    <n v="0"/>
    <n v="3"/>
  </r>
  <r>
    <n v="122"/>
    <s v="00013-ILU"/>
    <x v="2"/>
    <x v="121"/>
    <n v="0"/>
    <n v="1"/>
    <n v="0"/>
    <n v="1"/>
  </r>
  <r>
    <n v="123"/>
    <s v="00014-ILU"/>
    <x v="2"/>
    <x v="122"/>
    <n v="0"/>
    <n v="1"/>
    <n v="0"/>
    <n v="1"/>
  </r>
  <r>
    <n v="124"/>
    <s v="00015-ILU"/>
    <x v="2"/>
    <x v="123"/>
    <n v="0"/>
    <n v="1"/>
    <n v="0"/>
    <n v="1"/>
  </r>
  <r>
    <n v="125"/>
    <s v="00016-ILU"/>
    <x v="2"/>
    <x v="124"/>
    <n v="0"/>
    <n v="1"/>
    <n v="0"/>
    <n v="1"/>
  </r>
  <r>
    <n v="126"/>
    <s v="00017-ILU"/>
    <x v="2"/>
    <x v="125"/>
    <n v="0"/>
    <n v="1"/>
    <n v="0"/>
    <n v="1"/>
  </r>
  <r>
    <n v="127"/>
    <s v="00018-ILU"/>
    <x v="2"/>
    <x v="126"/>
    <n v="0"/>
    <n v="2"/>
    <n v="0"/>
    <n v="2"/>
  </r>
  <r>
    <n v="128"/>
    <s v="00019-ILU"/>
    <x v="2"/>
    <x v="127"/>
    <n v="0"/>
    <n v="7"/>
    <n v="7"/>
    <n v="0"/>
  </r>
  <r>
    <n v="129"/>
    <s v="00020-ILU"/>
    <x v="2"/>
    <x v="128"/>
    <n v="0"/>
    <n v="27"/>
    <n v="20"/>
    <n v="7"/>
  </r>
  <r>
    <n v="130"/>
    <s v="00033-HER"/>
    <x v="4"/>
    <x v="129"/>
    <n v="0"/>
    <n v="2"/>
    <n v="0"/>
    <n v="2"/>
  </r>
  <r>
    <n v="131"/>
    <s v="00034-HER"/>
    <x v="4"/>
    <x v="130"/>
    <n v="0"/>
    <n v="1"/>
    <n v="1"/>
    <n v="0"/>
  </r>
  <r>
    <n v="132"/>
    <s v="00035-HER"/>
    <x v="4"/>
    <x v="131"/>
    <n v="0"/>
    <n v="1"/>
    <n v="1"/>
    <n v="0"/>
  </r>
  <r>
    <n v="133"/>
    <s v="00036-HER"/>
    <x v="4"/>
    <x v="132"/>
    <n v="0"/>
    <n v="2"/>
    <n v="2"/>
    <n v="0"/>
  </r>
  <r>
    <n v="134"/>
    <s v="00037-HER"/>
    <x v="4"/>
    <x v="133"/>
    <n v="0"/>
    <n v="2"/>
    <n v="1"/>
    <n v="1"/>
  </r>
  <r>
    <n v="135"/>
    <s v="00038-HER"/>
    <x v="4"/>
    <x v="134"/>
    <n v="0"/>
    <n v="1"/>
    <n v="0"/>
    <n v="1"/>
  </r>
  <r>
    <n v="136"/>
    <s v="00039-HER"/>
    <x v="4"/>
    <x v="135"/>
    <n v="0"/>
    <n v="1"/>
    <n v="1"/>
    <n v="0"/>
  </r>
  <r>
    <n v="137"/>
    <s v="00040-HER"/>
    <x v="4"/>
    <x v="136"/>
    <n v="0"/>
    <n v="11"/>
    <n v="2"/>
    <n v="9"/>
  </r>
  <r>
    <n v="138"/>
    <s v="00019-OFC"/>
    <x v="5"/>
    <x v="137"/>
    <n v="0"/>
    <n v="1"/>
    <n v="0"/>
    <n v="1"/>
  </r>
  <r>
    <n v="139"/>
    <s v="00041-HER"/>
    <x v="4"/>
    <x v="138"/>
    <n v="0"/>
    <n v="1"/>
    <n v="1"/>
    <n v="0"/>
  </r>
  <r>
    <n v="140"/>
    <s v="00001-UNI"/>
    <x v="8"/>
    <x v="139"/>
    <n v="0"/>
    <n v="310"/>
    <n v="106"/>
    <n v="204"/>
  </r>
  <r>
    <n v="141"/>
    <s v="00001-AUT"/>
    <x v="9"/>
    <x v="140"/>
    <n v="0"/>
    <n v="1"/>
    <n v="0"/>
    <n v="1"/>
  </r>
  <r>
    <n v="142"/>
    <s v="00002-AUT"/>
    <x v="9"/>
    <x v="141"/>
    <n v="0"/>
    <n v="1"/>
    <n v="0"/>
    <n v="1"/>
  </r>
  <r>
    <n v="143"/>
    <s v="00022-FER"/>
    <x v="1"/>
    <x v="142"/>
    <n v="0"/>
    <n v="3"/>
    <n v="0"/>
    <n v="3"/>
  </r>
  <r>
    <n v="144"/>
    <s v="00023-FER"/>
    <x v="1"/>
    <x v="143"/>
    <n v="0"/>
    <n v="63"/>
    <n v="43"/>
    <n v="20"/>
  </r>
  <r>
    <n v="145"/>
    <s v="00024-FER"/>
    <x v="1"/>
    <x v="144"/>
    <n v="0"/>
    <n v="26"/>
    <n v="10"/>
    <n v="16"/>
  </r>
  <r>
    <n v="146"/>
    <s v="00025-FER"/>
    <x v="1"/>
    <x v="145"/>
    <n v="0"/>
    <n v="1"/>
    <n v="1"/>
    <n v="0"/>
  </r>
  <r>
    <n v="147"/>
    <s v="00026-FER"/>
    <x v="1"/>
    <x v="146"/>
    <n v="0"/>
    <n v="3"/>
    <n v="0"/>
    <n v="3"/>
  </r>
  <r>
    <n v="148"/>
    <s v="00027-FER"/>
    <x v="1"/>
    <x v="147"/>
    <n v="0"/>
    <n v="29.5"/>
    <n v="18"/>
    <n v="11.5"/>
  </r>
  <r>
    <n v="149"/>
    <s v="00028-FER"/>
    <x v="1"/>
    <x v="148"/>
    <n v="0"/>
    <n v="55.5"/>
    <n v="31.5"/>
    <n v="24"/>
  </r>
  <r>
    <n v="150"/>
    <s v="00029-FER"/>
    <x v="1"/>
    <x v="149"/>
    <n v="0"/>
    <n v="19"/>
    <n v="4"/>
    <n v="15"/>
  </r>
  <r>
    <n v="151"/>
    <s v="00030-FER"/>
    <x v="1"/>
    <x v="150"/>
    <n v="0"/>
    <n v="29.25"/>
    <n v="8"/>
    <n v="21.25"/>
  </r>
  <r>
    <n v="152"/>
    <s v="00031-FER"/>
    <x v="1"/>
    <x v="151"/>
    <n v="0"/>
    <n v="52"/>
    <n v="33"/>
    <n v="19"/>
  </r>
  <r>
    <n v="153"/>
    <s v="00032-FER"/>
    <x v="1"/>
    <x v="152"/>
    <n v="0"/>
    <n v="13"/>
    <n v="3"/>
    <n v="10"/>
  </r>
  <r>
    <n v="154"/>
    <s v="00033-FER"/>
    <x v="1"/>
    <x v="153"/>
    <n v="0"/>
    <n v="7"/>
    <n v="17"/>
    <n v="-10"/>
  </r>
  <r>
    <n v="155"/>
    <s v="00034-FER"/>
    <x v="1"/>
    <x v="154"/>
    <n v="0"/>
    <n v="1"/>
    <n v="0"/>
    <n v="1"/>
  </r>
  <r>
    <n v="156"/>
    <s v="00035-FER"/>
    <x v="1"/>
    <x v="155"/>
    <n v="0"/>
    <n v="1"/>
    <n v="0"/>
    <n v="1"/>
  </r>
  <r>
    <n v="157"/>
    <s v="00036-FER"/>
    <x v="1"/>
    <x v="156"/>
    <n v="0"/>
    <n v="3"/>
    <n v="3"/>
    <n v="0"/>
  </r>
  <r>
    <n v="158"/>
    <s v="00037-FER"/>
    <x v="1"/>
    <x v="157"/>
    <n v="0"/>
    <n v="1"/>
    <n v="0"/>
    <n v="1"/>
  </r>
  <r>
    <n v="159"/>
    <s v="00038-FER"/>
    <x v="1"/>
    <x v="158"/>
    <n v="0"/>
    <n v="1"/>
    <n v="0"/>
    <n v="1"/>
  </r>
  <r>
    <n v="160"/>
    <s v="00039-FER"/>
    <x v="1"/>
    <x v="159"/>
    <n v="0"/>
    <n v="14.5"/>
    <n v="4.5"/>
    <n v="10"/>
  </r>
  <r>
    <n v="161"/>
    <s v="00040-FER"/>
    <x v="1"/>
    <x v="160"/>
    <n v="0"/>
    <n v="6"/>
    <n v="2"/>
    <n v="4"/>
  </r>
  <r>
    <n v="162"/>
    <s v="00041-FER"/>
    <x v="1"/>
    <x v="161"/>
    <n v="0"/>
    <n v="30.5"/>
    <n v="25.5"/>
    <n v="5"/>
  </r>
  <r>
    <n v="163"/>
    <s v="00042-FER"/>
    <x v="1"/>
    <x v="162"/>
    <n v="0"/>
    <n v="1"/>
    <n v="0"/>
    <n v="1"/>
  </r>
  <r>
    <n v="164"/>
    <s v="00020-OFC"/>
    <x v="5"/>
    <x v="163"/>
    <n v="0"/>
    <n v="100"/>
    <n v="0"/>
    <n v="100"/>
  </r>
  <r>
    <n v="165"/>
    <s v="00002-UNI"/>
    <x v="8"/>
    <x v="164"/>
    <n v="0"/>
    <n v="25"/>
    <n v="0"/>
    <n v="25"/>
  </r>
  <r>
    <n v="166"/>
    <s v="00003-UNI"/>
    <x v="8"/>
    <x v="165"/>
    <n v="0"/>
    <n v="8"/>
    <n v="0"/>
    <n v="8"/>
  </r>
  <r>
    <n v="167"/>
    <s v="00004-UNI"/>
    <x v="8"/>
    <x v="166"/>
    <n v="0"/>
    <n v="33"/>
    <n v="0"/>
    <n v="33"/>
  </r>
  <r>
    <n v="168"/>
    <s v="00005-UNI"/>
    <x v="8"/>
    <x v="167"/>
    <n v="0"/>
    <n v="49"/>
    <n v="1"/>
    <n v="48"/>
  </r>
  <r>
    <n v="169"/>
    <s v="00006-UNI"/>
    <x v="8"/>
    <x v="168"/>
    <n v="0"/>
    <n v="94"/>
    <n v="23"/>
    <n v="71"/>
  </r>
  <r>
    <n v="170"/>
    <s v="00007-UNI"/>
    <x v="8"/>
    <x v="169"/>
    <n v="0"/>
    <n v="51"/>
    <n v="39"/>
    <n v="12"/>
  </r>
  <r>
    <n v="171"/>
    <s v="00008-UNI"/>
    <x v="8"/>
    <x v="170"/>
    <n v="0"/>
    <n v="180"/>
    <n v="95"/>
    <n v="85"/>
  </r>
  <r>
    <n v="172"/>
    <s v="00009-UNI"/>
    <x v="8"/>
    <x v="171"/>
    <n v="0"/>
    <n v="442"/>
    <n v="22"/>
    <n v="420"/>
  </r>
  <r>
    <n v="173"/>
    <s v="00010-UNI"/>
    <x v="8"/>
    <x v="172"/>
    <n v="0"/>
    <n v="44"/>
    <n v="8"/>
    <n v="36"/>
  </r>
  <r>
    <n v="174"/>
    <s v="00011-UNI"/>
    <x v="8"/>
    <x v="173"/>
    <n v="0"/>
    <n v="192"/>
    <n v="48"/>
    <n v="144"/>
  </r>
  <r>
    <n v="175"/>
    <s v="00012-UNI"/>
    <x v="8"/>
    <x v="174"/>
    <n v="0"/>
    <n v="85"/>
    <n v="7"/>
    <n v="78"/>
  </r>
  <r>
    <n v="176"/>
    <s v="00013-UNI"/>
    <x v="8"/>
    <x v="175"/>
    <n v="0"/>
    <n v="691"/>
    <n v="127"/>
    <n v="564"/>
  </r>
  <r>
    <n v="177"/>
    <s v="00014-UNI"/>
    <x v="8"/>
    <x v="176"/>
    <n v="0"/>
    <n v="404"/>
    <n v="57"/>
    <n v="347"/>
  </r>
  <r>
    <n v="178"/>
    <s v="00015-UNI"/>
    <x v="8"/>
    <x v="177"/>
    <n v="0"/>
    <n v="44"/>
    <n v="0"/>
    <n v="44"/>
  </r>
  <r>
    <n v="179"/>
    <s v="00016-UNI"/>
    <x v="8"/>
    <x v="178"/>
    <n v="0"/>
    <n v="1"/>
    <n v="0"/>
    <n v="1"/>
  </r>
  <r>
    <n v="180"/>
    <s v="00017-UNI"/>
    <x v="8"/>
    <x v="179"/>
    <n v="0"/>
    <n v="120"/>
    <n v="0"/>
    <n v="120"/>
  </r>
  <r>
    <n v="181"/>
    <s v="00018-UNI"/>
    <x v="8"/>
    <x v="180"/>
    <n v="0"/>
    <n v="78"/>
    <n v="0"/>
    <n v="78"/>
  </r>
  <r>
    <n v="182"/>
    <s v="00019-UNI"/>
    <x v="8"/>
    <x v="181"/>
    <n v="0"/>
    <n v="133"/>
    <n v="0"/>
    <n v="133"/>
  </r>
  <r>
    <n v="183"/>
    <s v="00020-UNI"/>
    <x v="8"/>
    <x v="182"/>
    <n v="0"/>
    <n v="200"/>
    <n v="0"/>
    <n v="200"/>
  </r>
  <r>
    <n v="184"/>
    <s v="00021-UNI"/>
    <x v="8"/>
    <x v="183"/>
    <n v="0"/>
    <n v="122"/>
    <n v="0"/>
    <n v="122"/>
  </r>
  <r>
    <n v="185"/>
    <s v="00022-UNI"/>
    <x v="8"/>
    <x v="184"/>
    <n v="0"/>
    <n v="44"/>
    <n v="4"/>
    <n v="40"/>
  </r>
  <r>
    <n v="186"/>
    <s v="00023-UNI"/>
    <x v="8"/>
    <x v="185"/>
    <n v="0"/>
    <n v="282"/>
    <n v="6"/>
    <n v="276"/>
  </r>
  <r>
    <n v="187"/>
    <s v="00021-OFC"/>
    <x v="5"/>
    <x v="186"/>
    <n v="0"/>
    <n v="10"/>
    <n v="0"/>
    <n v="10"/>
  </r>
  <r>
    <n v="188"/>
    <s v="00042-HER"/>
    <x v="4"/>
    <x v="187"/>
    <n v="0"/>
    <n v="1"/>
    <n v="0"/>
    <n v="1"/>
  </r>
  <r>
    <n v="654"/>
    <s v="00010-REF"/>
    <x v="0"/>
    <x v="188"/>
    <n v="0"/>
    <n v="5"/>
    <n v="8"/>
    <n v="-3"/>
  </r>
  <r>
    <n v="190"/>
    <s v="00021-ILU"/>
    <x v="2"/>
    <x v="189"/>
    <n v="0"/>
    <n v="4"/>
    <n v="0"/>
    <n v="4"/>
  </r>
  <r>
    <n v="191"/>
    <s v="00022-ILU"/>
    <x v="2"/>
    <x v="190"/>
    <n v="0"/>
    <n v="1"/>
    <n v="0"/>
    <n v="1"/>
  </r>
  <r>
    <n v="192"/>
    <s v="00023-ILU"/>
    <x v="2"/>
    <x v="191"/>
    <n v="0"/>
    <n v="1"/>
    <n v="0"/>
    <n v="1"/>
  </r>
  <r>
    <n v="193"/>
    <s v="00043-HER"/>
    <x v="4"/>
    <x v="192"/>
    <n v="0"/>
    <n v="1"/>
    <n v="0"/>
    <n v="1"/>
  </r>
  <r>
    <n v="194"/>
    <s v="00043-FER"/>
    <x v="1"/>
    <x v="193"/>
    <n v="0"/>
    <n v="21"/>
    <n v="7"/>
    <n v="14"/>
  </r>
  <r>
    <n v="195"/>
    <s v="00044-HER"/>
    <x v="4"/>
    <x v="194"/>
    <n v="0"/>
    <n v="1"/>
    <n v="0"/>
    <n v="1"/>
  </r>
  <r>
    <n v="556"/>
    <s v="00012-ELC"/>
    <x v="7"/>
    <x v="195"/>
    <n v="0"/>
    <n v="2"/>
    <n v="0"/>
    <n v="2"/>
  </r>
  <r>
    <n v="197"/>
    <s v="00044-FER"/>
    <x v="1"/>
    <x v="196"/>
    <n v="0"/>
    <n v="2"/>
    <n v="2"/>
    <n v="0"/>
  </r>
  <r>
    <n v="198"/>
    <s v="00045-HER"/>
    <x v="4"/>
    <x v="197"/>
    <n v="0"/>
    <n v="1"/>
    <n v="0"/>
    <n v="1"/>
  </r>
  <r>
    <n v="199"/>
    <s v="00046-HER"/>
    <x v="4"/>
    <x v="198"/>
    <n v="0"/>
    <n v="1"/>
    <n v="0"/>
    <n v="1"/>
  </r>
  <r>
    <n v="200"/>
    <s v="00045-FER"/>
    <x v="1"/>
    <x v="199"/>
    <n v="0"/>
    <n v="1"/>
    <n v="0"/>
    <n v="1"/>
  </r>
  <r>
    <n v="201"/>
    <s v="00047-HER"/>
    <x v="4"/>
    <x v="200"/>
    <n v="0"/>
    <n v="1"/>
    <n v="0"/>
    <n v="1"/>
  </r>
  <r>
    <n v="202"/>
    <s v="00022-OFC"/>
    <x v="5"/>
    <x v="201"/>
    <n v="0"/>
    <n v="1"/>
    <n v="0"/>
    <n v="1"/>
  </r>
  <r>
    <n v="203"/>
    <s v="00046-FER"/>
    <x v="1"/>
    <x v="202"/>
    <n v="0"/>
    <n v="43.5"/>
    <n v="17.5"/>
    <n v="26"/>
  </r>
  <r>
    <n v="204"/>
    <s v="00048-HER"/>
    <x v="4"/>
    <x v="203"/>
    <n v="0"/>
    <n v="1"/>
    <n v="0"/>
    <n v="1"/>
  </r>
  <r>
    <n v="205"/>
    <s v="00049-HER"/>
    <x v="4"/>
    <x v="204"/>
    <n v="0"/>
    <n v="1"/>
    <n v="1"/>
    <n v="0"/>
  </r>
  <r>
    <n v="206"/>
    <s v="00050-HER"/>
    <x v="4"/>
    <x v="205"/>
    <n v="0"/>
    <n v="4"/>
    <n v="4"/>
    <n v="0"/>
  </r>
  <r>
    <n v="207"/>
    <s v="00051-HER"/>
    <x v="4"/>
    <x v="206"/>
    <n v="0"/>
    <n v="1"/>
    <n v="1"/>
    <n v="0"/>
  </r>
  <r>
    <n v="208"/>
    <s v="00001-HRR"/>
    <x v="10"/>
    <x v="207"/>
    <n v="0"/>
    <n v="17"/>
    <n v="12"/>
    <n v="5"/>
  </r>
  <r>
    <n v="209"/>
    <s v="00002-HRR"/>
    <x v="10"/>
    <x v="208"/>
    <n v="0"/>
    <n v="3"/>
    <n v="3"/>
    <n v="0"/>
  </r>
  <r>
    <n v="210"/>
    <s v="00052-HER"/>
    <x v="4"/>
    <x v="209"/>
    <n v="0"/>
    <n v="1"/>
    <n v="0"/>
    <n v="1"/>
  </r>
  <r>
    <n v="211"/>
    <s v="00053-HER"/>
    <x v="4"/>
    <x v="210"/>
    <n v="0"/>
    <n v="3"/>
    <n v="0"/>
    <n v="3"/>
  </r>
  <r>
    <n v="212"/>
    <s v="00054-HER"/>
    <x v="4"/>
    <x v="211"/>
    <n v="0"/>
    <n v="3"/>
    <n v="0"/>
    <n v="3"/>
  </r>
  <r>
    <n v="213"/>
    <s v="00055-HER"/>
    <x v="4"/>
    <x v="212"/>
    <n v="0"/>
    <n v="3"/>
    <n v="0"/>
    <n v="3"/>
  </r>
  <r>
    <n v="214"/>
    <s v="00056-HER"/>
    <x v="4"/>
    <x v="213"/>
    <n v="0"/>
    <n v="5"/>
    <n v="0"/>
    <n v="5"/>
  </r>
  <r>
    <n v="215"/>
    <s v="00057-HER"/>
    <x v="4"/>
    <x v="214"/>
    <n v="0"/>
    <n v="2"/>
    <n v="0"/>
    <n v="2"/>
  </r>
  <r>
    <n v="216"/>
    <s v="00058-HER"/>
    <x v="4"/>
    <x v="215"/>
    <n v="0"/>
    <n v="1"/>
    <n v="0"/>
    <n v="1"/>
  </r>
  <r>
    <n v="217"/>
    <s v="00059-HER"/>
    <x v="4"/>
    <x v="216"/>
    <n v="0"/>
    <n v="3"/>
    <n v="0"/>
    <n v="3"/>
  </r>
  <r>
    <n v="218"/>
    <s v="00060-HER"/>
    <x v="4"/>
    <x v="217"/>
    <n v="0"/>
    <n v="2"/>
    <n v="0"/>
    <n v="2"/>
  </r>
  <r>
    <n v="219"/>
    <s v="00061-HER"/>
    <x v="4"/>
    <x v="218"/>
    <n v="0"/>
    <n v="1"/>
    <n v="0"/>
    <n v="1"/>
  </r>
  <r>
    <n v="220"/>
    <s v="00062-HER"/>
    <x v="4"/>
    <x v="219"/>
    <n v="0"/>
    <n v="2"/>
    <n v="0"/>
    <n v="2"/>
  </r>
  <r>
    <n v="221"/>
    <s v="00063-HER"/>
    <x v="4"/>
    <x v="220"/>
    <n v="0"/>
    <n v="1"/>
    <n v="0"/>
    <n v="1"/>
  </r>
  <r>
    <n v="222"/>
    <s v="00003-HRR"/>
    <x v="10"/>
    <x v="221"/>
    <n v="0"/>
    <n v="52"/>
    <n v="11"/>
    <n v="41"/>
  </r>
  <r>
    <n v="223"/>
    <s v="00004-HRR"/>
    <x v="10"/>
    <x v="222"/>
    <n v="0"/>
    <n v="31"/>
    <n v="1"/>
    <n v="30"/>
  </r>
  <r>
    <n v="224"/>
    <s v="00005-HRR"/>
    <x v="10"/>
    <x v="223"/>
    <n v="0"/>
    <n v="59"/>
    <n v="23"/>
    <n v="36"/>
  </r>
  <r>
    <n v="225"/>
    <s v="00006-HRR"/>
    <x v="10"/>
    <x v="224"/>
    <n v="0"/>
    <n v="54"/>
    <n v="17"/>
    <n v="37"/>
  </r>
  <r>
    <n v="226"/>
    <s v="00007-HRR"/>
    <x v="10"/>
    <x v="225"/>
    <n v="0"/>
    <n v="183"/>
    <n v="111"/>
    <n v="72"/>
  </r>
  <r>
    <n v="227"/>
    <s v="00047-FER"/>
    <x v="1"/>
    <x v="226"/>
    <n v="0"/>
    <n v="6"/>
    <n v="4"/>
    <n v="2"/>
  </r>
  <r>
    <n v="228"/>
    <s v="00048-FER"/>
    <x v="1"/>
    <x v="227"/>
    <n v="0"/>
    <n v="7"/>
    <n v="1"/>
    <n v="6"/>
  </r>
  <r>
    <n v="229"/>
    <s v="00049-FER"/>
    <x v="1"/>
    <x v="228"/>
    <n v="0"/>
    <n v="21"/>
    <n v="7"/>
    <n v="14"/>
  </r>
  <r>
    <n v="230"/>
    <s v="00050-FER"/>
    <x v="1"/>
    <x v="229"/>
    <n v="0"/>
    <n v="20.25"/>
    <n v="13.25"/>
    <n v="7"/>
  </r>
  <r>
    <n v="231"/>
    <s v="00051-FER"/>
    <x v="1"/>
    <x v="230"/>
    <n v="0"/>
    <n v="13"/>
    <n v="3"/>
    <n v="10"/>
  </r>
  <r>
    <n v="232"/>
    <s v="00009-MSC"/>
    <x v="6"/>
    <x v="231"/>
    <n v="0"/>
    <n v="7"/>
    <n v="0"/>
    <n v="7"/>
  </r>
  <r>
    <n v="233"/>
    <s v="00010-MSC"/>
    <x v="6"/>
    <x v="232"/>
    <n v="0"/>
    <n v="19"/>
    <n v="8"/>
    <n v="11"/>
  </r>
  <r>
    <n v="234"/>
    <s v="00011-MSC"/>
    <x v="6"/>
    <x v="233"/>
    <n v="0"/>
    <n v="4"/>
    <n v="0"/>
    <n v="4"/>
  </r>
  <r>
    <n v="235"/>
    <s v="00064-HER"/>
    <x v="4"/>
    <x v="234"/>
    <n v="0"/>
    <n v="1"/>
    <n v="0"/>
    <n v="1"/>
  </r>
  <r>
    <n v="236"/>
    <s v="00023-OFC"/>
    <x v="5"/>
    <x v="235"/>
    <n v="0"/>
    <n v="2"/>
    <n v="0"/>
    <n v="2"/>
  </r>
  <r>
    <n v="237"/>
    <s v="00024-OFC"/>
    <x v="5"/>
    <x v="236"/>
    <n v="0"/>
    <n v="12"/>
    <n v="2"/>
    <n v="10"/>
  </r>
  <r>
    <n v="238"/>
    <s v="00065-HER"/>
    <x v="4"/>
    <x v="237"/>
    <n v="0"/>
    <n v="1"/>
    <n v="0"/>
    <n v="1"/>
  </r>
  <r>
    <n v="239"/>
    <s v="00066-HER"/>
    <x v="4"/>
    <x v="238"/>
    <n v="0"/>
    <n v="2"/>
    <n v="0"/>
    <n v="2"/>
  </r>
  <r>
    <n v="240"/>
    <s v="00067-HER"/>
    <x v="4"/>
    <x v="239"/>
    <n v="0"/>
    <n v="1"/>
    <n v="0"/>
    <n v="1"/>
  </r>
  <r>
    <n v="241"/>
    <s v="00011-REF"/>
    <x v="0"/>
    <x v="240"/>
    <n v="0"/>
    <n v="5"/>
    <n v="10"/>
    <n v="-5"/>
  </r>
  <r>
    <n v="242"/>
    <s v="00013-ELC"/>
    <x v="7"/>
    <x v="241"/>
    <n v="0"/>
    <n v="1"/>
    <n v="0"/>
    <n v="1"/>
  </r>
  <r>
    <n v="243"/>
    <s v="00014-ELC"/>
    <x v="7"/>
    <x v="242"/>
    <n v="0"/>
    <n v="8"/>
    <n v="0"/>
    <n v="8"/>
  </r>
  <r>
    <n v="244"/>
    <s v="00015-ELC"/>
    <x v="7"/>
    <x v="243"/>
    <n v="0"/>
    <n v="1"/>
    <n v="0"/>
    <n v="1"/>
  </r>
  <r>
    <n v="245"/>
    <s v="00016-ELC"/>
    <x v="7"/>
    <x v="244"/>
    <n v="0"/>
    <n v="1"/>
    <n v="0"/>
    <n v="1"/>
  </r>
  <r>
    <n v="246"/>
    <s v="00017-ELC"/>
    <x v="7"/>
    <x v="245"/>
    <n v="0"/>
    <n v="1"/>
    <n v="0"/>
    <n v="1"/>
  </r>
  <r>
    <n v="247"/>
    <s v="00018-ELC"/>
    <x v="7"/>
    <x v="246"/>
    <n v="0"/>
    <n v="1"/>
    <n v="0"/>
    <n v="1"/>
  </r>
  <r>
    <n v="248"/>
    <s v="00019-ELC"/>
    <x v="7"/>
    <x v="247"/>
    <n v="0"/>
    <n v="2"/>
    <n v="0"/>
    <n v="2"/>
  </r>
  <r>
    <n v="249"/>
    <s v="00011-ELE"/>
    <x v="3"/>
    <x v="248"/>
    <n v="0"/>
    <n v="1"/>
    <n v="0"/>
    <n v="1"/>
  </r>
  <r>
    <n v="250"/>
    <s v="00012-REF"/>
    <x v="0"/>
    <x v="249"/>
    <n v="0"/>
    <n v="6"/>
    <n v="0"/>
    <n v="6"/>
  </r>
  <r>
    <n v="251"/>
    <s v="00013-REF"/>
    <x v="0"/>
    <x v="250"/>
    <n v="0"/>
    <n v="5"/>
    <n v="0"/>
    <n v="5"/>
  </r>
  <r>
    <n v="252"/>
    <s v="00014-REF"/>
    <x v="0"/>
    <x v="251"/>
    <n v="0"/>
    <n v="2"/>
    <n v="2"/>
    <n v="0"/>
  </r>
  <r>
    <n v="253"/>
    <s v="00015-REF"/>
    <x v="0"/>
    <x v="252"/>
    <n v="0"/>
    <n v="1"/>
    <n v="1"/>
    <n v="0"/>
  </r>
  <r>
    <n v="254"/>
    <s v="00024-ILU"/>
    <x v="2"/>
    <x v="253"/>
    <n v="0"/>
    <n v="1"/>
    <n v="0"/>
    <n v="1"/>
  </r>
  <r>
    <n v="255"/>
    <s v="00068-HER"/>
    <x v="4"/>
    <x v="254"/>
    <n v="0"/>
    <n v="1"/>
    <n v="0"/>
    <n v="1"/>
  </r>
  <r>
    <n v="256"/>
    <s v="00025-OFC"/>
    <x v="5"/>
    <x v="255"/>
    <n v="0"/>
    <n v="1"/>
    <n v="0"/>
    <n v="1"/>
  </r>
  <r>
    <n v="257"/>
    <s v="00069-HER"/>
    <x v="4"/>
    <x v="256"/>
    <n v="0"/>
    <n v="1"/>
    <n v="1"/>
    <n v="0"/>
  </r>
  <r>
    <n v="258"/>
    <s v="00025-ILU"/>
    <x v="2"/>
    <x v="257"/>
    <n v="0"/>
    <n v="3"/>
    <n v="0"/>
    <n v="3"/>
  </r>
  <r>
    <n v="259"/>
    <s v="00016-REF"/>
    <x v="0"/>
    <x v="258"/>
    <n v="0"/>
    <n v="52"/>
    <n v="20"/>
    <n v="32"/>
  </r>
  <r>
    <n v="260"/>
    <s v="00070-HER"/>
    <x v="4"/>
    <x v="259"/>
    <n v="0"/>
    <n v="1"/>
    <n v="0"/>
    <n v="1"/>
  </r>
  <r>
    <n v="261"/>
    <s v="00024-UNI"/>
    <x v="8"/>
    <x v="260"/>
    <n v="0"/>
    <n v="10"/>
    <n v="0"/>
    <n v="10"/>
  </r>
  <r>
    <n v="262"/>
    <s v="00025-UNI"/>
    <x v="8"/>
    <x v="261"/>
    <n v="0"/>
    <n v="20"/>
    <n v="6"/>
    <n v="14"/>
  </r>
  <r>
    <n v="263"/>
    <s v="00026-UNI"/>
    <x v="8"/>
    <x v="262"/>
    <n v="0"/>
    <n v="90"/>
    <n v="11"/>
    <n v="79"/>
  </r>
  <r>
    <n v="264"/>
    <s v="00027-UNI"/>
    <x v="8"/>
    <x v="263"/>
    <n v="0"/>
    <n v="139"/>
    <n v="18"/>
    <n v="121"/>
  </r>
  <r>
    <n v="265"/>
    <s v="00028-UNI"/>
    <x v="8"/>
    <x v="264"/>
    <n v="0"/>
    <n v="123"/>
    <n v="6"/>
    <n v="117"/>
  </r>
  <r>
    <n v="266"/>
    <s v="00029-UNI"/>
    <x v="8"/>
    <x v="265"/>
    <n v="0"/>
    <n v="10"/>
    <n v="3"/>
    <n v="7"/>
  </r>
  <r>
    <n v="267"/>
    <s v="00030-UNI"/>
    <x v="8"/>
    <x v="266"/>
    <n v="0"/>
    <n v="13"/>
    <n v="1"/>
    <n v="12"/>
  </r>
  <r>
    <n v="268"/>
    <s v="00031-UNI"/>
    <x v="8"/>
    <x v="267"/>
    <n v="0"/>
    <n v="22"/>
    <n v="0"/>
    <n v="22"/>
  </r>
  <r>
    <n v="269"/>
    <s v="00032-UNI"/>
    <x v="8"/>
    <x v="268"/>
    <n v="0"/>
    <n v="111"/>
    <n v="33"/>
    <n v="78"/>
  </r>
  <r>
    <n v="270"/>
    <s v="00033-UNI"/>
    <x v="8"/>
    <x v="269"/>
    <n v="0"/>
    <n v="88"/>
    <n v="32"/>
    <n v="56"/>
  </r>
  <r>
    <n v="271"/>
    <s v="00034-UNI"/>
    <x v="8"/>
    <x v="270"/>
    <n v="0"/>
    <n v="3"/>
    <n v="0"/>
    <n v="3"/>
  </r>
  <r>
    <n v="272"/>
    <s v="00035-UNI"/>
    <x v="8"/>
    <x v="271"/>
    <n v="0"/>
    <n v="10"/>
    <n v="0"/>
    <n v="10"/>
  </r>
  <r>
    <n v="273"/>
    <s v="00036-UNI"/>
    <x v="8"/>
    <x v="272"/>
    <n v="0"/>
    <n v="16"/>
    <n v="2"/>
    <n v="14"/>
  </r>
  <r>
    <n v="274"/>
    <s v="00037-UNI"/>
    <x v="8"/>
    <x v="273"/>
    <n v="0"/>
    <n v="8"/>
    <n v="4"/>
    <n v="4"/>
  </r>
  <r>
    <n v="275"/>
    <s v="00038-UNI"/>
    <x v="8"/>
    <x v="274"/>
    <n v="0"/>
    <n v="5"/>
    <n v="0"/>
    <n v="5"/>
  </r>
  <r>
    <n v="276"/>
    <s v="00039-UNI"/>
    <x v="8"/>
    <x v="275"/>
    <n v="0"/>
    <n v="6"/>
    <n v="2"/>
    <n v="4"/>
  </r>
  <r>
    <n v="277"/>
    <s v="00040-UNI"/>
    <x v="8"/>
    <x v="276"/>
    <n v="0"/>
    <n v="19"/>
    <n v="0"/>
    <n v="19"/>
  </r>
  <r>
    <n v="278"/>
    <s v="00041-UNI"/>
    <x v="8"/>
    <x v="277"/>
    <n v="0"/>
    <n v="11"/>
    <n v="8"/>
    <n v="3"/>
  </r>
  <r>
    <n v="279"/>
    <s v="00042-UNI"/>
    <x v="8"/>
    <x v="278"/>
    <n v="0"/>
    <n v="10"/>
    <n v="0"/>
    <n v="10"/>
  </r>
  <r>
    <n v="280"/>
    <s v="00043-UNI"/>
    <x v="8"/>
    <x v="279"/>
    <n v="0"/>
    <n v="3"/>
    <n v="0"/>
    <n v="3"/>
  </r>
  <r>
    <n v="281"/>
    <s v="00044-UNI"/>
    <x v="8"/>
    <x v="280"/>
    <n v="0"/>
    <n v="6"/>
    <n v="0"/>
    <n v="6"/>
  </r>
  <r>
    <n v="282"/>
    <s v="00045-UNI"/>
    <x v="8"/>
    <x v="281"/>
    <n v="0"/>
    <n v="14"/>
    <n v="0"/>
    <n v="14"/>
  </r>
  <r>
    <n v="283"/>
    <s v="00046-UNI"/>
    <x v="8"/>
    <x v="282"/>
    <n v="0"/>
    <n v="12"/>
    <n v="0"/>
    <n v="12"/>
  </r>
  <r>
    <n v="284"/>
    <s v="00047-UNI"/>
    <x v="8"/>
    <x v="283"/>
    <n v="0"/>
    <n v="9"/>
    <n v="4"/>
    <n v="5"/>
  </r>
  <r>
    <n v="285"/>
    <s v="00048-UNI"/>
    <x v="8"/>
    <x v="284"/>
    <n v="0"/>
    <n v="3"/>
    <n v="0"/>
    <n v="3"/>
  </r>
  <r>
    <n v="286"/>
    <s v="00049-UNI"/>
    <x v="8"/>
    <x v="285"/>
    <n v="0"/>
    <n v="305"/>
    <n v="52"/>
    <n v="253"/>
  </r>
  <r>
    <n v="287"/>
    <s v="00050-UNI"/>
    <x v="8"/>
    <x v="286"/>
    <n v="0"/>
    <n v="182"/>
    <n v="60"/>
    <n v="122"/>
  </r>
  <r>
    <n v="288"/>
    <s v="00051-UNI"/>
    <x v="8"/>
    <x v="287"/>
    <n v="0"/>
    <n v="219"/>
    <n v="103"/>
    <n v="116"/>
  </r>
  <r>
    <n v="289"/>
    <s v="00052-UNI"/>
    <x v="8"/>
    <x v="288"/>
    <n v="0"/>
    <n v="285"/>
    <n v="107"/>
    <n v="178"/>
  </r>
  <r>
    <n v="290"/>
    <s v="00012-MSC"/>
    <x v="6"/>
    <x v="289"/>
    <n v="0"/>
    <n v="3"/>
    <n v="0"/>
    <n v="3"/>
  </r>
  <r>
    <n v="291"/>
    <s v="00052-FER"/>
    <x v="1"/>
    <x v="290"/>
    <n v="0"/>
    <n v="28.5"/>
    <n v="19.5"/>
    <n v="9"/>
  </r>
  <r>
    <n v="292"/>
    <s v="00053-FER"/>
    <x v="1"/>
    <x v="291"/>
    <n v="0"/>
    <n v="0.25"/>
    <n v="0.25"/>
    <n v="0"/>
  </r>
  <r>
    <n v="293"/>
    <s v="00071-HER"/>
    <x v="4"/>
    <x v="292"/>
    <n v="0"/>
    <n v="1"/>
    <n v="0"/>
    <n v="1"/>
  </r>
  <r>
    <n v="294"/>
    <s v="00013-MSC"/>
    <x v="6"/>
    <x v="293"/>
    <n v="0"/>
    <n v="1"/>
    <n v="0"/>
    <n v="1"/>
  </r>
  <r>
    <n v="295"/>
    <s v="00014-MSC"/>
    <x v="6"/>
    <x v="294"/>
    <n v="0"/>
    <n v="1"/>
    <n v="0"/>
    <n v="1"/>
  </r>
  <r>
    <n v="296"/>
    <s v="00072-HER"/>
    <x v="4"/>
    <x v="295"/>
    <n v="0"/>
    <n v="1"/>
    <n v="1"/>
    <n v="0"/>
  </r>
  <r>
    <n v="297"/>
    <s v="00026-OFC"/>
    <x v="5"/>
    <x v="296"/>
    <n v="0"/>
    <n v="81"/>
    <n v="0"/>
    <n v="81"/>
  </r>
  <r>
    <n v="298"/>
    <s v="00027-OFC"/>
    <x v="5"/>
    <x v="297"/>
    <n v="0"/>
    <n v="36"/>
    <n v="0"/>
    <n v="36"/>
  </r>
  <r>
    <n v="299"/>
    <s v="00073-HER"/>
    <x v="4"/>
    <x v="298"/>
    <n v="0"/>
    <n v="1"/>
    <n v="0"/>
    <n v="1"/>
  </r>
  <r>
    <n v="300"/>
    <s v="00017-REF"/>
    <x v="0"/>
    <x v="299"/>
    <n v="0"/>
    <n v="30"/>
    <n v="9"/>
    <n v="21"/>
  </r>
  <r>
    <n v="301"/>
    <s v="00054-FER"/>
    <x v="1"/>
    <x v="300"/>
    <n v="0"/>
    <n v="3"/>
    <n v="1"/>
    <n v="2"/>
  </r>
  <r>
    <n v="302"/>
    <s v="00055-FER"/>
    <x v="1"/>
    <x v="301"/>
    <n v="0"/>
    <n v="5"/>
    <n v="0"/>
    <n v="5"/>
  </r>
  <r>
    <n v="303"/>
    <s v="00056-FER"/>
    <x v="1"/>
    <x v="302"/>
    <n v="0"/>
    <n v="8"/>
    <n v="1"/>
    <n v="7"/>
  </r>
  <r>
    <n v="304"/>
    <s v="00057-FER"/>
    <x v="1"/>
    <x v="303"/>
    <n v="0"/>
    <n v="1"/>
    <n v="0"/>
    <n v="1"/>
  </r>
  <r>
    <n v="305"/>
    <s v="00058-FER"/>
    <x v="1"/>
    <x v="304"/>
    <n v="0"/>
    <n v="5"/>
    <n v="2"/>
    <n v="3"/>
  </r>
  <r>
    <n v="306"/>
    <s v="00059-FER"/>
    <x v="1"/>
    <x v="305"/>
    <n v="0"/>
    <n v="1"/>
    <n v="0"/>
    <n v="1"/>
  </r>
  <r>
    <n v="307"/>
    <s v="00060-FER"/>
    <x v="1"/>
    <x v="306"/>
    <n v="0"/>
    <n v="4"/>
    <n v="0"/>
    <n v="4"/>
  </r>
  <r>
    <n v="308"/>
    <s v="00061-FER"/>
    <x v="1"/>
    <x v="307"/>
    <n v="0"/>
    <n v="2"/>
    <n v="0"/>
    <n v="2"/>
  </r>
  <r>
    <n v="309"/>
    <s v="00053-UNI"/>
    <x v="8"/>
    <x v="308"/>
    <n v="0"/>
    <n v="1"/>
    <n v="0"/>
    <n v="1"/>
  </r>
  <r>
    <n v="310"/>
    <s v="00054-UNI"/>
    <x v="8"/>
    <x v="309"/>
    <n v="0"/>
    <n v="4"/>
    <n v="0"/>
    <n v="4"/>
  </r>
  <r>
    <n v="311"/>
    <s v="00055-UNI"/>
    <x v="8"/>
    <x v="310"/>
    <n v="0"/>
    <n v="3"/>
    <n v="0"/>
    <n v="3"/>
  </r>
  <r>
    <n v="312"/>
    <s v="00056-UNI"/>
    <x v="8"/>
    <x v="311"/>
    <n v="0"/>
    <n v="8"/>
    <n v="0"/>
    <n v="8"/>
  </r>
  <r>
    <n v="313"/>
    <s v="00057-UNI"/>
    <x v="8"/>
    <x v="312"/>
    <n v="0"/>
    <n v="13"/>
    <n v="0"/>
    <n v="13"/>
  </r>
  <r>
    <n v="314"/>
    <s v="00058-UNI"/>
    <x v="8"/>
    <x v="313"/>
    <n v="0"/>
    <n v="1"/>
    <n v="0"/>
    <n v="1"/>
  </r>
  <r>
    <n v="315"/>
    <s v="00059-UNI"/>
    <x v="8"/>
    <x v="314"/>
    <n v="0"/>
    <n v="1"/>
    <n v="0"/>
    <n v="1"/>
  </r>
  <r>
    <n v="316"/>
    <s v="00060-UNI"/>
    <x v="8"/>
    <x v="315"/>
    <n v="0"/>
    <n v="11"/>
    <n v="2"/>
    <n v="9"/>
  </r>
  <r>
    <n v="317"/>
    <s v="00061-UNI"/>
    <x v="8"/>
    <x v="316"/>
    <n v="0"/>
    <n v="5"/>
    <n v="0"/>
    <n v="5"/>
  </r>
  <r>
    <n v="318"/>
    <s v="00062-UNI"/>
    <x v="8"/>
    <x v="317"/>
    <n v="0"/>
    <n v="4"/>
    <n v="0"/>
    <n v="4"/>
  </r>
  <r>
    <n v="319"/>
    <s v="00063-UNI"/>
    <x v="8"/>
    <x v="318"/>
    <n v="0"/>
    <n v="3"/>
    <n v="3"/>
    <n v="0"/>
  </r>
  <r>
    <n v="320"/>
    <s v="00064-UNI"/>
    <x v="8"/>
    <x v="319"/>
    <n v="0"/>
    <n v="99"/>
    <n v="8"/>
    <n v="91"/>
  </r>
  <r>
    <n v="321"/>
    <s v="00065-UNI"/>
    <x v="8"/>
    <x v="320"/>
    <n v="0"/>
    <n v="78"/>
    <n v="9"/>
    <n v="69"/>
  </r>
  <r>
    <n v="322"/>
    <s v="00066-UNI"/>
    <x v="8"/>
    <x v="321"/>
    <n v="0"/>
    <n v="1"/>
    <n v="1"/>
    <n v="0"/>
  </r>
  <r>
    <n v="323"/>
    <s v="00067-UNI"/>
    <x v="8"/>
    <x v="322"/>
    <n v="0"/>
    <n v="30"/>
    <n v="18"/>
    <n v="12"/>
  </r>
  <r>
    <n v="324"/>
    <s v="00020-ELC"/>
    <x v="7"/>
    <x v="323"/>
    <n v="0"/>
    <n v="1"/>
    <n v="0"/>
    <n v="1"/>
  </r>
  <r>
    <n v="325"/>
    <s v="00028-OFC"/>
    <x v="5"/>
    <x v="324"/>
    <n v="0"/>
    <n v="4"/>
    <n v="0"/>
    <n v="4"/>
  </r>
  <r>
    <n v="326"/>
    <s v="00029-OFC"/>
    <x v="5"/>
    <x v="325"/>
    <n v="0"/>
    <n v="4"/>
    <n v="0"/>
    <n v="4"/>
  </r>
  <r>
    <n v="327"/>
    <s v="00030-OFC"/>
    <x v="5"/>
    <x v="326"/>
    <n v="0"/>
    <n v="3"/>
    <n v="0"/>
    <n v="3"/>
  </r>
  <r>
    <n v="328"/>
    <s v="00031-OFC"/>
    <x v="5"/>
    <x v="327"/>
    <n v="0"/>
    <n v="7"/>
    <n v="0"/>
    <n v="7"/>
  </r>
  <r>
    <n v="329"/>
    <s v="00012-ELE"/>
    <x v="3"/>
    <x v="328"/>
    <n v="0"/>
    <n v="400"/>
    <n v="0"/>
    <n v="400"/>
  </r>
  <r>
    <n v="330"/>
    <s v="00013-ELE"/>
    <x v="3"/>
    <x v="329"/>
    <n v="0"/>
    <n v="200"/>
    <n v="0"/>
    <n v="200"/>
  </r>
  <r>
    <n v="331"/>
    <s v="00014-ELE"/>
    <x v="3"/>
    <x v="330"/>
    <n v="0"/>
    <n v="1307.5"/>
    <n v="1105"/>
    <n v="202.5"/>
  </r>
  <r>
    <n v="332"/>
    <s v="00015-ELE"/>
    <x v="3"/>
    <x v="331"/>
    <n v="0"/>
    <n v="800"/>
    <n v="200"/>
    <n v="600"/>
  </r>
  <r>
    <n v="333"/>
    <s v="00016-ELE"/>
    <x v="3"/>
    <x v="332"/>
    <n v="0"/>
    <n v="863"/>
    <n v="100"/>
    <n v="763"/>
  </r>
  <r>
    <n v="334"/>
    <s v="00017-ELE"/>
    <x v="3"/>
    <x v="333"/>
    <n v="0"/>
    <n v="415"/>
    <n v="200"/>
    <n v="215"/>
  </r>
  <r>
    <n v="335"/>
    <s v="00018-ELE"/>
    <x v="3"/>
    <x v="334"/>
    <n v="0"/>
    <n v="500"/>
    <n v="300"/>
    <n v="200"/>
  </r>
  <r>
    <n v="336"/>
    <s v="00019-ELE"/>
    <x v="3"/>
    <x v="335"/>
    <n v="0"/>
    <n v="292"/>
    <n v="0"/>
    <n v="292"/>
  </r>
  <r>
    <n v="337"/>
    <s v="00020-ELE"/>
    <x v="3"/>
    <x v="336"/>
    <n v="0"/>
    <n v="400"/>
    <n v="100"/>
    <n v="300"/>
  </r>
  <r>
    <n v="338"/>
    <s v="00021-ELE"/>
    <x v="3"/>
    <x v="337"/>
    <n v="0"/>
    <n v="464"/>
    <n v="217"/>
    <n v="247"/>
  </r>
  <r>
    <n v="339"/>
    <s v="00021-ELC"/>
    <x v="7"/>
    <x v="338"/>
    <n v="0"/>
    <n v="2"/>
    <n v="0"/>
    <n v="2"/>
  </r>
  <r>
    <n v="340"/>
    <s v="00022-ELC"/>
    <x v="7"/>
    <x v="339"/>
    <n v="0"/>
    <n v="1"/>
    <n v="0"/>
    <n v="1"/>
  </r>
  <r>
    <n v="341"/>
    <s v="00074-HER"/>
    <x v="4"/>
    <x v="340"/>
    <n v="0"/>
    <n v="1"/>
    <n v="0"/>
    <n v="1"/>
  </r>
  <r>
    <n v="342"/>
    <s v="00003-AUT"/>
    <x v="9"/>
    <x v="341"/>
    <n v="0"/>
    <n v="1"/>
    <n v="0"/>
    <n v="1"/>
  </r>
  <r>
    <n v="343"/>
    <s v="00075-HER"/>
    <x v="4"/>
    <x v="342"/>
    <n v="0"/>
    <n v="1"/>
    <n v="0"/>
    <n v="1"/>
  </r>
  <r>
    <n v="344"/>
    <s v="00076-HER"/>
    <x v="4"/>
    <x v="343"/>
    <n v="0"/>
    <n v="1"/>
    <n v="0"/>
    <n v="1"/>
  </r>
  <r>
    <n v="345"/>
    <s v="00077-HER"/>
    <x v="4"/>
    <x v="344"/>
    <n v="0"/>
    <n v="1"/>
    <n v="0"/>
    <n v="1"/>
  </r>
  <r>
    <n v="346"/>
    <s v="00078-HER"/>
    <x v="4"/>
    <x v="345"/>
    <n v="0"/>
    <n v="1"/>
    <n v="0"/>
    <n v="1"/>
  </r>
  <r>
    <n v="347"/>
    <s v="00079-HER"/>
    <x v="4"/>
    <x v="346"/>
    <n v="0"/>
    <n v="1"/>
    <n v="0"/>
    <n v="1"/>
  </r>
  <r>
    <n v="348"/>
    <s v="00080-HER"/>
    <x v="4"/>
    <x v="347"/>
    <n v="0"/>
    <n v="1"/>
    <n v="0"/>
    <n v="1"/>
  </r>
  <r>
    <n v="349"/>
    <s v="00081-HER"/>
    <x v="4"/>
    <x v="348"/>
    <n v="0"/>
    <n v="1"/>
    <n v="1"/>
    <n v="0"/>
  </r>
  <r>
    <n v="350"/>
    <s v="00082-HER"/>
    <x v="4"/>
    <x v="349"/>
    <n v="0"/>
    <n v="1"/>
    <n v="0"/>
    <n v="1"/>
  </r>
  <r>
    <n v="351"/>
    <s v="00083-HER"/>
    <x v="4"/>
    <x v="350"/>
    <n v="0"/>
    <n v="2"/>
    <n v="0"/>
    <n v="2"/>
  </r>
  <r>
    <n v="352"/>
    <s v="00084-HER"/>
    <x v="4"/>
    <x v="351"/>
    <n v="0"/>
    <n v="3"/>
    <n v="2"/>
    <n v="1"/>
  </r>
  <r>
    <n v="353"/>
    <s v="00085-HER"/>
    <x v="4"/>
    <x v="352"/>
    <n v="0"/>
    <n v="2"/>
    <n v="0"/>
    <n v="2"/>
  </r>
  <r>
    <n v="354"/>
    <s v="00022-ELE"/>
    <x v="3"/>
    <x v="353"/>
    <n v="0"/>
    <n v="3"/>
    <n v="0"/>
    <n v="3"/>
  </r>
  <r>
    <n v="355"/>
    <s v="00023-ELE"/>
    <x v="3"/>
    <x v="354"/>
    <n v="0"/>
    <n v="5"/>
    <n v="0"/>
    <n v="5"/>
  </r>
  <r>
    <n v="356"/>
    <s v="00024-ELE"/>
    <x v="3"/>
    <x v="355"/>
    <n v="0"/>
    <n v="1"/>
    <n v="0"/>
    <n v="1"/>
  </r>
  <r>
    <n v="357"/>
    <s v="00025-ELE"/>
    <x v="3"/>
    <x v="356"/>
    <n v="0"/>
    <n v="3"/>
    <n v="0"/>
    <n v="3"/>
  </r>
  <r>
    <n v="358"/>
    <s v="00026-ELE"/>
    <x v="3"/>
    <x v="357"/>
    <n v="0"/>
    <n v="2"/>
    <n v="0"/>
    <n v="2"/>
  </r>
  <r>
    <n v="359"/>
    <s v="00027-ELE"/>
    <x v="3"/>
    <x v="358"/>
    <n v="0"/>
    <n v="7"/>
    <n v="1"/>
    <n v="6"/>
  </r>
  <r>
    <n v="360"/>
    <s v="00028-ELE"/>
    <x v="3"/>
    <x v="359"/>
    <n v="0"/>
    <n v="30"/>
    <n v="2"/>
    <n v="28"/>
  </r>
  <r>
    <n v="361"/>
    <s v="00029-ELE"/>
    <x v="3"/>
    <x v="360"/>
    <n v="0"/>
    <n v="31"/>
    <n v="3"/>
    <n v="28"/>
  </r>
  <r>
    <n v="362"/>
    <s v="00030-ELE"/>
    <x v="3"/>
    <x v="361"/>
    <n v="0"/>
    <n v="48"/>
    <n v="0"/>
    <n v="48"/>
  </r>
  <r>
    <n v="363"/>
    <s v="00031-ELE"/>
    <x v="3"/>
    <x v="362"/>
    <n v="0"/>
    <n v="3"/>
    <n v="2"/>
    <n v="1"/>
  </r>
  <r>
    <n v="364"/>
    <s v="00032-ELE"/>
    <x v="3"/>
    <x v="363"/>
    <n v="0"/>
    <n v="1"/>
    <n v="0"/>
    <n v="1"/>
  </r>
  <r>
    <n v="365"/>
    <s v="00033-ELE"/>
    <x v="3"/>
    <x v="364"/>
    <n v="0"/>
    <n v="18"/>
    <n v="1"/>
    <n v="17"/>
  </r>
  <r>
    <n v="366"/>
    <s v="00034-ELE"/>
    <x v="3"/>
    <x v="365"/>
    <n v="0"/>
    <n v="4"/>
    <n v="0"/>
    <n v="4"/>
  </r>
  <r>
    <n v="367"/>
    <s v="00035-ELE"/>
    <x v="3"/>
    <x v="366"/>
    <n v="0"/>
    <n v="12"/>
    <n v="0"/>
    <n v="12"/>
  </r>
  <r>
    <n v="368"/>
    <s v="00036-ELE"/>
    <x v="3"/>
    <x v="367"/>
    <n v="0"/>
    <n v="11"/>
    <n v="0"/>
    <n v="11"/>
  </r>
  <r>
    <n v="369"/>
    <s v="00062-FER"/>
    <x v="1"/>
    <x v="368"/>
    <n v="0"/>
    <n v="7"/>
    <n v="0"/>
    <n v="7"/>
  </r>
  <r>
    <n v="370"/>
    <s v="00063-FER"/>
    <x v="1"/>
    <x v="369"/>
    <n v="0"/>
    <n v="22"/>
    <n v="1"/>
    <n v="21"/>
  </r>
  <r>
    <n v="371"/>
    <s v="00032-OFC"/>
    <x v="5"/>
    <x v="370"/>
    <n v="0"/>
    <n v="2"/>
    <n v="0"/>
    <n v="2"/>
  </r>
  <r>
    <n v="372"/>
    <s v="00026-ILU"/>
    <x v="2"/>
    <x v="371"/>
    <n v="0"/>
    <n v="6"/>
    <n v="0"/>
    <n v="6"/>
  </r>
  <r>
    <n v="373"/>
    <s v="00027-ILU"/>
    <x v="2"/>
    <x v="372"/>
    <n v="0"/>
    <n v="32"/>
    <n v="17"/>
    <n v="15"/>
  </r>
  <r>
    <n v="374"/>
    <s v="00028-ILU"/>
    <x v="2"/>
    <x v="373"/>
    <n v="0"/>
    <n v="13"/>
    <n v="0"/>
    <n v="13"/>
  </r>
  <r>
    <n v="375"/>
    <s v="00029-ILU"/>
    <x v="2"/>
    <x v="374"/>
    <n v="0"/>
    <n v="1"/>
    <n v="0"/>
    <n v="1"/>
  </r>
  <r>
    <s v="bombillo"/>
    <s v="00030-ILU"/>
    <x v="2"/>
    <x v="375"/>
    <n v="0"/>
    <n v="1"/>
    <n v="0"/>
    <n v="1"/>
  </r>
  <r>
    <n v="377"/>
    <s v="00031-ILU"/>
    <x v="2"/>
    <x v="376"/>
    <n v="0"/>
    <n v="102"/>
    <n v="42"/>
    <n v="60"/>
  </r>
  <r>
    <n v="378"/>
    <s v="00086-HER"/>
    <x v="4"/>
    <x v="377"/>
    <n v="0"/>
    <n v="1"/>
    <n v="0"/>
    <n v="1"/>
  </r>
  <r>
    <n v="379"/>
    <s v="00033-OFC"/>
    <x v="5"/>
    <x v="378"/>
    <n v="0"/>
    <n v="4"/>
    <n v="1"/>
    <n v="3"/>
  </r>
  <r>
    <n v="380"/>
    <s v="00064-FER"/>
    <x v="1"/>
    <x v="379"/>
    <n v="0"/>
    <n v="2"/>
    <n v="0"/>
    <n v="2"/>
  </r>
  <r>
    <n v="381"/>
    <s v="00087-HER"/>
    <x v="4"/>
    <x v="380"/>
    <n v="0"/>
    <n v="2"/>
    <n v="0"/>
    <n v="2"/>
  </r>
  <r>
    <n v="382"/>
    <s v="00065-FER"/>
    <x v="1"/>
    <x v="381"/>
    <n v="0"/>
    <n v="1"/>
    <n v="0"/>
    <n v="1"/>
  </r>
  <r>
    <n v="383"/>
    <s v="00066-FER"/>
    <x v="1"/>
    <x v="382"/>
    <n v="0"/>
    <n v="1"/>
    <n v="0"/>
    <n v="1"/>
  </r>
  <r>
    <n v="384"/>
    <s v="00032-ILU"/>
    <x v="2"/>
    <x v="383"/>
    <n v="0"/>
    <n v="2"/>
    <n v="0"/>
    <n v="2"/>
  </r>
  <r>
    <n v="385"/>
    <s v="00067-FER"/>
    <x v="1"/>
    <x v="384"/>
    <n v="0"/>
    <n v="14"/>
    <n v="1"/>
    <n v="13"/>
  </r>
  <r>
    <n v="386"/>
    <s v="00068-FER"/>
    <x v="1"/>
    <x v="385"/>
    <n v="0"/>
    <n v="5"/>
    <n v="4"/>
    <n v="1"/>
  </r>
  <r>
    <n v="387"/>
    <s v="00069-FER"/>
    <x v="1"/>
    <x v="386"/>
    <n v="0"/>
    <n v="1"/>
    <n v="1"/>
    <n v="0"/>
  </r>
  <r>
    <n v="388"/>
    <s v="00070-FER"/>
    <x v="1"/>
    <x v="387"/>
    <n v="0"/>
    <n v="2"/>
    <n v="2"/>
    <n v="0"/>
  </r>
  <r>
    <n v="389"/>
    <s v="00088-HER"/>
    <x v="4"/>
    <x v="388"/>
    <n v="0"/>
    <n v="1"/>
    <n v="0"/>
    <n v="1"/>
  </r>
  <r>
    <n v="390"/>
    <s v="00008-HRR"/>
    <x v="10"/>
    <x v="389"/>
    <n v="0"/>
    <n v="660"/>
    <n v="300"/>
    <n v="360"/>
  </r>
  <r>
    <n v="391"/>
    <s v="00009-HRR"/>
    <x v="10"/>
    <x v="390"/>
    <n v="0"/>
    <n v="308"/>
    <n v="174"/>
    <n v="134"/>
  </r>
  <r>
    <n v="392"/>
    <s v="00089-HER"/>
    <x v="4"/>
    <x v="391"/>
    <n v="0"/>
    <n v="3"/>
    <n v="1"/>
    <n v="2"/>
  </r>
  <r>
    <n v="863"/>
    <s v="00037-ELE"/>
    <x v="3"/>
    <x v="392"/>
    <n v="0"/>
    <n v="1"/>
    <n v="1"/>
    <n v="0"/>
  </r>
  <r>
    <n v="394"/>
    <s v="00090-HER"/>
    <x v="4"/>
    <x v="393"/>
    <n v="0"/>
    <n v="5"/>
    <n v="0"/>
    <n v="5"/>
  </r>
  <r>
    <n v="395"/>
    <s v="00091-HER"/>
    <x v="4"/>
    <x v="394"/>
    <n v="0"/>
    <n v="2"/>
    <n v="0"/>
    <n v="2"/>
  </r>
  <r>
    <n v="396"/>
    <s v="00092-HER"/>
    <x v="4"/>
    <x v="395"/>
    <n v="0"/>
    <n v="1"/>
    <n v="0"/>
    <n v="1"/>
  </r>
  <r>
    <n v="397"/>
    <s v="00093-HER"/>
    <x v="4"/>
    <x v="396"/>
    <n v="0"/>
    <n v="1"/>
    <n v="0"/>
    <n v="1"/>
  </r>
  <r>
    <n v="398"/>
    <s v="00094-HER"/>
    <x v="4"/>
    <x v="397"/>
    <n v="0"/>
    <n v="1"/>
    <n v="0"/>
    <n v="1"/>
  </r>
  <r>
    <n v="399"/>
    <s v="00095-HER"/>
    <x v="4"/>
    <x v="398"/>
    <n v="0"/>
    <n v="3"/>
    <n v="0"/>
    <n v="3"/>
  </r>
  <r>
    <n v="400"/>
    <s v="00096-HER"/>
    <x v="4"/>
    <x v="399"/>
    <n v="0"/>
    <n v="1"/>
    <n v="0"/>
    <n v="1"/>
  </r>
  <r>
    <n v="401"/>
    <s v="00097-HER"/>
    <x v="4"/>
    <x v="400"/>
    <n v="0"/>
    <n v="1"/>
    <n v="0"/>
    <n v="1"/>
  </r>
  <r>
    <n v="402"/>
    <s v="00098-HER"/>
    <x v="4"/>
    <x v="401"/>
    <n v="0"/>
    <n v="1"/>
    <n v="0"/>
    <n v="1"/>
  </r>
  <r>
    <n v="403"/>
    <s v="00018-REF"/>
    <x v="0"/>
    <x v="402"/>
    <n v="0"/>
    <n v="8"/>
    <n v="10"/>
    <n v="-2"/>
  </r>
  <r>
    <n v="404"/>
    <s v="00019-REF"/>
    <x v="0"/>
    <x v="403"/>
    <n v="0"/>
    <n v="4"/>
    <n v="0"/>
    <n v="4"/>
  </r>
  <r>
    <n v="405"/>
    <s v="00020-REF"/>
    <x v="0"/>
    <x v="404"/>
    <n v="0"/>
    <n v="2"/>
    <n v="0"/>
    <n v="2"/>
  </r>
  <r>
    <n v="406"/>
    <s v="00021-REF"/>
    <x v="0"/>
    <x v="405"/>
    <n v="0"/>
    <n v="5"/>
    <n v="2"/>
    <n v="3"/>
  </r>
  <r>
    <n v="407"/>
    <s v="00022-REF"/>
    <x v="0"/>
    <x v="406"/>
    <n v="0"/>
    <n v="2"/>
    <n v="1"/>
    <n v="1"/>
  </r>
  <r>
    <n v="408"/>
    <s v="00023-REF"/>
    <x v="0"/>
    <x v="407"/>
    <n v="0"/>
    <n v="5"/>
    <n v="2"/>
    <n v="3"/>
  </r>
  <r>
    <n v="409"/>
    <s v="00024-REF"/>
    <x v="0"/>
    <x v="408"/>
    <n v="0"/>
    <n v="1"/>
    <n v="0"/>
    <n v="1"/>
  </r>
  <r>
    <n v="410"/>
    <s v="00025-REF"/>
    <x v="0"/>
    <x v="409"/>
    <n v="0"/>
    <n v="3"/>
    <n v="0"/>
    <n v="3"/>
  </r>
  <r>
    <n v="411"/>
    <s v="00026-REF"/>
    <x v="0"/>
    <x v="410"/>
    <n v="0"/>
    <n v="3"/>
    <n v="1"/>
    <n v="2"/>
  </r>
  <r>
    <n v="412"/>
    <s v="00027-REF"/>
    <x v="0"/>
    <x v="411"/>
    <n v="0"/>
    <n v="1"/>
    <n v="0"/>
    <n v="1"/>
  </r>
  <r>
    <n v="413"/>
    <s v="00028-REF"/>
    <x v="0"/>
    <x v="412"/>
    <n v="0"/>
    <n v="7"/>
    <n v="30"/>
    <n v="-23"/>
  </r>
  <r>
    <n v="414"/>
    <s v="00029-REF"/>
    <x v="0"/>
    <x v="413"/>
    <n v="0"/>
    <n v="3"/>
    <n v="8"/>
    <n v="-5"/>
  </r>
  <r>
    <n v="415"/>
    <s v="00030-REF"/>
    <x v="0"/>
    <x v="414"/>
    <n v="0"/>
    <n v="39"/>
    <n v="54"/>
    <n v="-15"/>
  </r>
  <r>
    <n v="416"/>
    <s v="00031-REF"/>
    <x v="0"/>
    <x v="415"/>
    <n v="0"/>
    <n v="6"/>
    <n v="0"/>
    <n v="6"/>
  </r>
  <r>
    <n v="417"/>
    <s v="00032-REF"/>
    <x v="0"/>
    <x v="416"/>
    <n v="0"/>
    <n v="1"/>
    <n v="0"/>
    <n v="1"/>
  </r>
  <r>
    <n v="418"/>
    <s v="00033-REF"/>
    <x v="0"/>
    <x v="417"/>
    <n v="0"/>
    <n v="5"/>
    <n v="0"/>
    <n v="5"/>
  </r>
  <r>
    <n v="419"/>
    <s v="00034-REF"/>
    <x v="0"/>
    <x v="418"/>
    <n v="0"/>
    <n v="2"/>
    <n v="0"/>
    <n v="2"/>
  </r>
  <r>
    <n v="420"/>
    <s v="00035-REF"/>
    <x v="0"/>
    <x v="419"/>
    <n v="0"/>
    <n v="20"/>
    <n v="25"/>
    <n v="-5"/>
  </r>
  <r>
    <n v="421"/>
    <s v="00036-REF"/>
    <x v="0"/>
    <x v="420"/>
    <n v="0"/>
    <n v="117.5"/>
    <n v="87.5"/>
    <n v="30"/>
  </r>
  <r>
    <n v="422"/>
    <s v="00037-REF"/>
    <x v="0"/>
    <x v="421"/>
    <n v="0"/>
    <n v="2"/>
    <n v="2"/>
    <n v="0"/>
  </r>
  <r>
    <n v="655"/>
    <s v="00038-REF"/>
    <x v="0"/>
    <x v="422"/>
    <n v="0"/>
    <n v="4"/>
    <n v="2"/>
    <n v="2"/>
  </r>
  <r>
    <n v="189"/>
    <s v="00039-REF"/>
    <x v="0"/>
    <x v="423"/>
    <n v="0"/>
    <n v="6"/>
    <n v="1"/>
    <n v="5"/>
  </r>
  <r>
    <n v="860"/>
    <s v="00040-REF"/>
    <x v="0"/>
    <x v="424"/>
    <n v="0"/>
    <n v="3"/>
    <n v="0"/>
    <n v="3"/>
  </r>
  <r>
    <n v="819"/>
    <s v="00041-REF"/>
    <x v="0"/>
    <x v="425"/>
    <n v="0"/>
    <n v="9"/>
    <n v="0"/>
    <n v="9"/>
  </r>
  <r>
    <n v="423"/>
    <s v="00042-REF"/>
    <x v="0"/>
    <x v="426"/>
    <n v="0"/>
    <n v="1"/>
    <n v="0"/>
    <n v="1"/>
  </r>
  <r>
    <n v="432"/>
    <s v="00043-REF"/>
    <x v="0"/>
    <x v="427"/>
    <n v="0"/>
    <n v="3"/>
    <n v="1"/>
    <n v="2"/>
  </r>
  <r>
    <n v="427"/>
    <s v="00044-REF"/>
    <x v="0"/>
    <x v="428"/>
    <n v="0"/>
    <n v="6"/>
    <n v="0"/>
    <n v="6"/>
  </r>
  <r>
    <n v="433"/>
    <s v="00045-REF"/>
    <x v="0"/>
    <x v="429"/>
    <n v="0"/>
    <n v="6"/>
    <n v="0"/>
    <n v="6"/>
  </r>
  <r>
    <n v="424"/>
    <s v="00046-REF"/>
    <x v="0"/>
    <x v="430"/>
    <n v="0"/>
    <n v="1"/>
    <n v="0"/>
    <n v="1"/>
  </r>
  <r>
    <n v="429"/>
    <s v="00047-REF"/>
    <x v="0"/>
    <x v="431"/>
    <n v="0"/>
    <n v="1"/>
    <n v="1"/>
    <n v="0"/>
  </r>
  <r>
    <n v="430"/>
    <s v="00048-REF"/>
    <x v="0"/>
    <x v="432"/>
    <n v="0"/>
    <n v="1"/>
    <n v="0"/>
    <n v="1"/>
  </r>
  <r>
    <n v="1"/>
    <s v="00049-REF"/>
    <x v="0"/>
    <x v="433"/>
    <n v="0"/>
    <n v="10"/>
    <n v="0"/>
    <n v="10"/>
  </r>
  <r>
    <n v="435"/>
    <s v="00050-REF"/>
    <x v="0"/>
    <x v="434"/>
    <n v="0"/>
    <n v="9"/>
    <n v="0"/>
    <n v="9"/>
  </r>
  <r>
    <n v="436"/>
    <s v="00051-REF"/>
    <x v="0"/>
    <x v="435"/>
    <n v="0"/>
    <n v="43"/>
    <n v="29"/>
    <n v="14"/>
  </r>
  <r>
    <n v="437"/>
    <s v="00052-REF"/>
    <x v="0"/>
    <x v="436"/>
    <n v="0"/>
    <n v="4"/>
    <n v="0"/>
    <n v="4"/>
  </r>
  <r>
    <n v="438"/>
    <s v="00053-REF"/>
    <x v="0"/>
    <x v="437"/>
    <n v="0"/>
    <n v="2"/>
    <n v="0"/>
    <n v="2"/>
  </r>
  <r>
    <n v="439"/>
    <s v="00054-REF"/>
    <x v="0"/>
    <x v="438"/>
    <n v="0"/>
    <n v="4"/>
    <n v="0"/>
    <n v="4"/>
  </r>
  <r>
    <n v="440"/>
    <s v="00055-REF"/>
    <x v="0"/>
    <x v="439"/>
    <n v="0"/>
    <n v="1"/>
    <n v="0"/>
    <n v="1"/>
  </r>
  <r>
    <n v="441"/>
    <s v="00056-REF"/>
    <x v="0"/>
    <x v="440"/>
    <n v="0"/>
    <n v="2"/>
    <n v="0"/>
    <n v="2"/>
  </r>
  <r>
    <n v="442"/>
    <s v="00057-REF"/>
    <x v="0"/>
    <x v="441"/>
    <n v="0"/>
    <n v="1"/>
    <n v="0"/>
    <n v="1"/>
  </r>
  <r>
    <n v="443"/>
    <s v="00058-REF"/>
    <x v="0"/>
    <x v="442"/>
    <n v="0"/>
    <n v="1"/>
    <n v="0"/>
    <n v="1"/>
  </r>
  <r>
    <n v="444"/>
    <s v="00059-REF"/>
    <x v="0"/>
    <x v="443"/>
    <n v="0"/>
    <n v="1"/>
    <n v="0"/>
    <n v="1"/>
  </r>
  <r>
    <n v="445"/>
    <s v="00060-REF"/>
    <x v="0"/>
    <x v="444"/>
    <n v="0"/>
    <n v="1"/>
    <n v="0"/>
    <n v="1"/>
  </r>
  <r>
    <n v="446"/>
    <s v="00061-REF"/>
    <x v="0"/>
    <x v="445"/>
    <n v="0"/>
    <n v="7"/>
    <n v="2"/>
    <n v="5"/>
  </r>
  <r>
    <n v="447"/>
    <s v="00062-REF"/>
    <x v="0"/>
    <x v="446"/>
    <n v="0"/>
    <n v="9"/>
    <n v="0"/>
    <n v="9"/>
  </r>
  <r>
    <n v="448"/>
    <s v="00063-REF"/>
    <x v="0"/>
    <x v="447"/>
    <n v="0"/>
    <n v="2"/>
    <n v="0"/>
    <n v="2"/>
  </r>
  <r>
    <n v="449"/>
    <s v="00064-REF"/>
    <x v="0"/>
    <x v="448"/>
    <n v="0"/>
    <n v="2"/>
    <n v="0"/>
    <n v="2"/>
  </r>
  <r>
    <n v="450"/>
    <s v="00065-REF"/>
    <x v="0"/>
    <x v="449"/>
    <n v="0"/>
    <n v="4"/>
    <n v="0"/>
    <n v="4"/>
  </r>
  <r>
    <n v="451"/>
    <s v="00066-REF"/>
    <x v="0"/>
    <x v="450"/>
    <n v="0"/>
    <n v="1"/>
    <n v="0"/>
    <n v="1"/>
  </r>
  <r>
    <n v="452"/>
    <s v="00067-REF"/>
    <x v="0"/>
    <x v="451"/>
    <n v="0"/>
    <n v="1"/>
    <n v="1"/>
    <n v="0"/>
  </r>
  <r>
    <n v="453"/>
    <s v="00068-REF"/>
    <x v="0"/>
    <x v="452"/>
    <n v="0"/>
    <n v="5"/>
    <n v="0"/>
    <n v="5"/>
  </r>
  <r>
    <n v="454"/>
    <s v="00069-REF"/>
    <x v="0"/>
    <x v="453"/>
    <n v="0"/>
    <n v="30"/>
    <n v="0"/>
    <n v="30"/>
  </r>
  <r>
    <n v="455"/>
    <s v="00070-REF"/>
    <x v="0"/>
    <x v="454"/>
    <n v="0"/>
    <n v="30"/>
    <n v="0"/>
    <n v="30"/>
  </r>
  <r>
    <n v="456"/>
    <s v="00071-REF"/>
    <x v="0"/>
    <x v="455"/>
    <n v="0"/>
    <n v="210"/>
    <n v="15"/>
    <n v="195"/>
  </r>
  <r>
    <n v="457"/>
    <s v="00004-AUT"/>
    <x v="9"/>
    <x v="456"/>
    <n v="0"/>
    <n v="28"/>
    <n v="4"/>
    <n v="24"/>
  </r>
  <r>
    <n v="425"/>
    <s v="00005-AUT"/>
    <x v="9"/>
    <x v="457"/>
    <n v="0"/>
    <n v="1"/>
    <n v="1"/>
    <n v="0"/>
  </r>
  <r>
    <n v="459"/>
    <s v="00006-AUT"/>
    <x v="9"/>
    <x v="458"/>
    <n v="0"/>
    <n v="2"/>
    <n v="2"/>
    <n v="0"/>
  </r>
  <r>
    <n v="460"/>
    <s v="00007-AUT"/>
    <x v="9"/>
    <x v="459"/>
    <n v="0"/>
    <n v="2"/>
    <n v="0"/>
    <n v="2"/>
  </r>
  <r>
    <n v="461"/>
    <s v="00008-AUT"/>
    <x v="9"/>
    <x v="460"/>
    <n v="0"/>
    <n v="1"/>
    <n v="0"/>
    <n v="1"/>
  </r>
  <r>
    <n v="462"/>
    <s v="00071-FER"/>
    <x v="1"/>
    <x v="461"/>
    <n v="0"/>
    <n v="4"/>
    <n v="0"/>
    <n v="4"/>
  </r>
  <r>
    <n v="463"/>
    <s v="00072-FER"/>
    <x v="1"/>
    <x v="462"/>
    <n v="0"/>
    <n v="2"/>
    <n v="1"/>
    <n v="1"/>
  </r>
  <r>
    <n v="464"/>
    <s v="00073-FER"/>
    <x v="1"/>
    <x v="463"/>
    <n v="0"/>
    <n v="6"/>
    <n v="1"/>
    <n v="5"/>
  </r>
  <r>
    <n v="465"/>
    <s v="00072-REF"/>
    <x v="0"/>
    <x v="464"/>
    <n v="0"/>
    <n v="1"/>
    <n v="1"/>
    <n v="0"/>
  </r>
  <r>
    <n v="466"/>
    <s v="00073-REF"/>
    <x v="0"/>
    <x v="465"/>
    <n v="0"/>
    <n v="92"/>
    <n v="61.5"/>
    <n v="30.5"/>
  </r>
  <r>
    <n v="467"/>
    <s v="00099-HER"/>
    <x v="4"/>
    <x v="466"/>
    <n v="0"/>
    <n v="9"/>
    <n v="6"/>
    <n v="3"/>
  </r>
  <r>
    <n v="468"/>
    <s v="00100-HER"/>
    <x v="4"/>
    <x v="467"/>
    <n v="0"/>
    <n v="8"/>
    <n v="4"/>
    <n v="4"/>
  </r>
  <r>
    <n v="469"/>
    <s v="00101-HER"/>
    <x v="4"/>
    <x v="468"/>
    <n v="0"/>
    <n v="10"/>
    <n v="12"/>
    <n v="-2"/>
  </r>
  <r>
    <n v="470"/>
    <s v="00074-FER"/>
    <x v="1"/>
    <x v="469"/>
    <n v="0"/>
    <n v="35"/>
    <n v="33"/>
    <n v="2"/>
  </r>
  <r>
    <n v="471"/>
    <s v="00075-FER"/>
    <x v="1"/>
    <x v="470"/>
    <n v="0"/>
    <n v="1"/>
    <n v="0"/>
    <n v="1"/>
  </r>
  <r>
    <n v="472"/>
    <s v="00076-FER"/>
    <x v="1"/>
    <x v="471"/>
    <n v="0"/>
    <n v="8"/>
    <n v="103"/>
    <n v="-95"/>
  </r>
  <r>
    <n v="473"/>
    <s v="00034-OFC"/>
    <x v="5"/>
    <x v="472"/>
    <n v="0"/>
    <n v="24"/>
    <n v="0"/>
    <n v="24"/>
  </r>
  <r>
    <n v="474"/>
    <s v="00074-REF"/>
    <x v="0"/>
    <x v="473"/>
    <n v="0"/>
    <n v="1"/>
    <n v="0"/>
    <n v="1"/>
  </r>
  <r>
    <n v="475"/>
    <s v="00023-ELC"/>
    <x v="7"/>
    <x v="474"/>
    <n v="0"/>
    <n v="3"/>
    <n v="1"/>
    <n v="2"/>
  </r>
  <r>
    <n v="476"/>
    <s v="00102-HER"/>
    <x v="4"/>
    <x v="475"/>
    <n v="0"/>
    <n v="2"/>
    <n v="0"/>
    <n v="2"/>
  </r>
  <r>
    <n v="477"/>
    <s v="00103-HER"/>
    <x v="4"/>
    <x v="476"/>
    <n v="0"/>
    <n v="3"/>
    <n v="0"/>
    <n v="3"/>
  </r>
  <r>
    <n v="478"/>
    <s v="00009-AUT"/>
    <x v="9"/>
    <x v="477"/>
    <n v="0"/>
    <n v="4"/>
    <n v="2"/>
    <n v="2"/>
  </r>
  <r>
    <n v="479"/>
    <s v="00010-HRR"/>
    <x v="10"/>
    <x v="478"/>
    <n v="0"/>
    <n v="420"/>
    <n v="209"/>
    <n v="211"/>
  </r>
  <r>
    <n v="480"/>
    <s v="00001-PLM"/>
    <x v="11"/>
    <x v="479"/>
    <n v="0"/>
    <n v="7"/>
    <n v="7"/>
    <n v="0"/>
  </r>
  <r>
    <n v="481"/>
    <s v="00011-HRR"/>
    <x v="10"/>
    <x v="480"/>
    <n v="0"/>
    <n v="4"/>
    <n v="4"/>
    <n v="0"/>
  </r>
  <r>
    <n v="482"/>
    <s v="00012-HRR"/>
    <x v="10"/>
    <x v="481"/>
    <n v="0"/>
    <n v="4"/>
    <n v="4"/>
    <n v="0"/>
  </r>
  <r>
    <n v="483"/>
    <s v="00002-PLM"/>
    <x v="11"/>
    <x v="482"/>
    <n v="0"/>
    <n v="11"/>
    <n v="6"/>
    <n v="5"/>
  </r>
  <r>
    <n v="484"/>
    <s v="00003-PLM"/>
    <x v="11"/>
    <x v="483"/>
    <n v="0"/>
    <n v="1"/>
    <n v="1"/>
    <n v="0"/>
  </r>
  <r>
    <n v="485"/>
    <s v="00004-PLM"/>
    <x v="11"/>
    <x v="484"/>
    <n v="0"/>
    <n v="3"/>
    <n v="2"/>
    <n v="1"/>
  </r>
  <r>
    <n v="486"/>
    <s v="00005-PLM"/>
    <x v="11"/>
    <x v="485"/>
    <n v="0"/>
    <n v="2"/>
    <n v="1"/>
    <n v="1"/>
  </r>
  <r>
    <n v="487"/>
    <s v="00077-FER"/>
    <x v="1"/>
    <x v="486"/>
    <n v="0"/>
    <n v="9"/>
    <n v="3"/>
    <n v="6"/>
  </r>
  <r>
    <n v="488"/>
    <s v="00006-PLM"/>
    <x v="11"/>
    <x v="487"/>
    <n v="0"/>
    <n v="12"/>
    <n v="9"/>
    <n v="3"/>
  </r>
  <r>
    <n v="489"/>
    <s v="00007-PLM"/>
    <x v="11"/>
    <x v="488"/>
    <n v="0"/>
    <n v="5"/>
    <n v="4"/>
    <n v="1"/>
  </r>
  <r>
    <n v="490"/>
    <s v="00008-PLM"/>
    <x v="11"/>
    <x v="489"/>
    <n v="0"/>
    <n v="1"/>
    <n v="0"/>
    <n v="1"/>
  </r>
  <r>
    <n v="491"/>
    <s v="00009-PLM"/>
    <x v="11"/>
    <x v="490"/>
    <n v="0"/>
    <n v="1"/>
    <n v="0"/>
    <n v="1"/>
  </r>
  <r>
    <n v="492"/>
    <s v="00078-FER"/>
    <x v="1"/>
    <x v="491"/>
    <n v="0"/>
    <n v="16"/>
    <n v="8"/>
    <n v="8"/>
  </r>
  <r>
    <n v="493"/>
    <s v="00010-PLM"/>
    <x v="11"/>
    <x v="492"/>
    <n v="0"/>
    <n v="13"/>
    <n v="5"/>
    <n v="8"/>
  </r>
  <r>
    <n v="494"/>
    <s v="00024-ELC"/>
    <x v="7"/>
    <x v="493"/>
    <n v="0"/>
    <n v="12"/>
    <n v="10"/>
    <n v="2"/>
  </r>
  <r>
    <n v="495"/>
    <s v="00033-ILU"/>
    <x v="2"/>
    <x v="494"/>
    <n v="0"/>
    <n v="80"/>
    <n v="85"/>
    <n v="-5"/>
  </r>
  <r>
    <n v="496"/>
    <s v="00079-FER"/>
    <x v="1"/>
    <x v="495"/>
    <n v="0"/>
    <n v="3"/>
    <n v="2"/>
    <n v="1"/>
  </r>
  <r>
    <n v="497"/>
    <s v="00011-PLM"/>
    <x v="11"/>
    <x v="496"/>
    <n v="0"/>
    <n v="16"/>
    <n v="1"/>
    <n v="15"/>
  </r>
  <r>
    <n v="498"/>
    <s v="00012-PLM"/>
    <x v="11"/>
    <x v="497"/>
    <n v="0"/>
    <n v="16"/>
    <n v="10"/>
    <n v="6"/>
  </r>
  <r>
    <n v="499"/>
    <s v="00013-PLM"/>
    <x v="11"/>
    <x v="498"/>
    <n v="0"/>
    <n v="1"/>
    <n v="0"/>
    <n v="1"/>
  </r>
  <r>
    <n v="500"/>
    <s v="00014-PLM"/>
    <x v="11"/>
    <x v="499"/>
    <n v="0"/>
    <n v="1"/>
    <n v="0"/>
    <n v="1"/>
  </r>
  <r>
    <n v="501"/>
    <s v="00015-PLM"/>
    <x v="11"/>
    <x v="500"/>
    <n v="0"/>
    <n v="30"/>
    <n v="38"/>
    <n v="-8"/>
  </r>
  <r>
    <n v="502"/>
    <s v="00016-PLM"/>
    <x v="11"/>
    <x v="501"/>
    <n v="0"/>
    <n v="10"/>
    <n v="1"/>
    <n v="9"/>
  </r>
  <r>
    <n v="503"/>
    <s v="00017-PLM"/>
    <x v="11"/>
    <x v="502"/>
    <n v="0"/>
    <n v="9"/>
    <n v="5"/>
    <n v="4"/>
  </r>
  <r>
    <n v="504"/>
    <s v="00018-PLM"/>
    <x v="11"/>
    <x v="503"/>
    <n v="0"/>
    <n v="128"/>
    <n v="143"/>
    <n v="-15"/>
  </r>
  <r>
    <n v="505"/>
    <s v="00019-PLM"/>
    <x v="11"/>
    <x v="504"/>
    <n v="0"/>
    <n v="3"/>
    <n v="3"/>
    <n v="0"/>
  </r>
  <r>
    <n v="506"/>
    <s v="00020-PLM"/>
    <x v="11"/>
    <x v="505"/>
    <n v="0"/>
    <n v="4"/>
    <n v="1"/>
    <n v="3"/>
  </r>
  <r>
    <n v="507"/>
    <s v="00021-PLM"/>
    <x v="11"/>
    <x v="506"/>
    <n v="0"/>
    <n v="1"/>
    <n v="0"/>
    <n v="1"/>
  </r>
  <r>
    <n v="508"/>
    <s v="00022-PLM"/>
    <x v="11"/>
    <x v="507"/>
    <n v="0"/>
    <n v="4"/>
    <n v="3"/>
    <n v="1"/>
  </r>
  <r>
    <n v="509"/>
    <s v="00023-PLM"/>
    <x v="11"/>
    <x v="508"/>
    <n v="0"/>
    <n v="1"/>
    <n v="0"/>
    <n v="1"/>
  </r>
  <r>
    <n v="510"/>
    <s v="00024-PLM"/>
    <x v="11"/>
    <x v="509"/>
    <n v="0"/>
    <n v="1"/>
    <n v="0"/>
    <n v="1"/>
  </r>
  <r>
    <n v="511"/>
    <s v="00025-PLM"/>
    <x v="11"/>
    <x v="510"/>
    <n v="0"/>
    <n v="1"/>
    <n v="0"/>
    <n v="1"/>
  </r>
  <r>
    <n v="512"/>
    <s v="00026-PLM"/>
    <x v="11"/>
    <x v="511"/>
    <n v="0"/>
    <n v="1"/>
    <n v="0"/>
    <n v="1"/>
  </r>
  <r>
    <n v="513"/>
    <s v="00013-HRR"/>
    <x v="10"/>
    <x v="512"/>
    <n v="0"/>
    <n v="8"/>
    <n v="0"/>
    <n v="8"/>
  </r>
  <r>
    <n v="514"/>
    <s v="00014-HRR"/>
    <x v="10"/>
    <x v="513"/>
    <n v="0"/>
    <n v="7"/>
    <n v="4"/>
    <n v="3"/>
  </r>
  <r>
    <n v="515"/>
    <s v="00015-HRR"/>
    <x v="10"/>
    <x v="514"/>
    <n v="0"/>
    <n v="1"/>
    <n v="0"/>
    <n v="1"/>
  </r>
  <r>
    <n v="516"/>
    <s v="00016-HRR"/>
    <x v="10"/>
    <x v="515"/>
    <n v="0"/>
    <n v="15"/>
    <n v="15"/>
    <n v="0"/>
  </r>
  <r>
    <n v="517"/>
    <s v="00017-HRR"/>
    <x v="10"/>
    <x v="516"/>
    <n v="0"/>
    <n v="3"/>
    <n v="1"/>
    <n v="2"/>
  </r>
  <r>
    <n v="518"/>
    <s v="00027-PLM"/>
    <x v="11"/>
    <x v="517"/>
    <n v="0"/>
    <n v="1"/>
    <n v="0"/>
    <n v="1"/>
  </r>
  <r>
    <n v="519"/>
    <s v="00028-PLM"/>
    <x v="11"/>
    <x v="518"/>
    <n v="0"/>
    <n v="2"/>
    <n v="0"/>
    <n v="2"/>
  </r>
  <r>
    <n v="520"/>
    <s v="00029-PLM"/>
    <x v="11"/>
    <x v="519"/>
    <n v="0"/>
    <n v="3"/>
    <n v="0"/>
    <n v="3"/>
  </r>
  <r>
    <n v="521"/>
    <s v="00018-HRR"/>
    <x v="10"/>
    <x v="520"/>
    <n v="0"/>
    <n v="6"/>
    <n v="1"/>
    <n v="5"/>
  </r>
  <r>
    <n v="522"/>
    <s v="00030-PLM"/>
    <x v="11"/>
    <x v="521"/>
    <n v="0"/>
    <n v="3"/>
    <n v="1"/>
    <n v="2"/>
  </r>
  <r>
    <n v="523"/>
    <s v="00031-PLM"/>
    <x v="11"/>
    <x v="522"/>
    <n v="0"/>
    <n v="3"/>
    <n v="0"/>
    <n v="3"/>
  </r>
  <r>
    <n v="524"/>
    <s v="00032-PLM"/>
    <x v="11"/>
    <x v="523"/>
    <n v="0"/>
    <n v="1"/>
    <n v="0"/>
    <n v="1"/>
  </r>
  <r>
    <n v="525"/>
    <s v="00033-PLM"/>
    <x v="11"/>
    <x v="524"/>
    <n v="0"/>
    <n v="1"/>
    <n v="0"/>
    <n v="1"/>
  </r>
  <r>
    <n v="526"/>
    <s v="00034-PLM"/>
    <x v="11"/>
    <x v="525"/>
    <n v="0"/>
    <n v="3"/>
    <n v="0"/>
    <n v="3"/>
  </r>
  <r>
    <n v="527"/>
    <s v="00035-PLM"/>
    <x v="11"/>
    <x v="526"/>
    <n v="0"/>
    <n v="2"/>
    <n v="0"/>
    <n v="2"/>
  </r>
  <r>
    <n v="528"/>
    <s v="00080-FER"/>
    <x v="1"/>
    <x v="527"/>
    <n v="0"/>
    <n v="12"/>
    <n v="6"/>
    <n v="6"/>
  </r>
  <r>
    <n v="529"/>
    <s v="00081-FER"/>
    <x v="1"/>
    <x v="528"/>
    <n v="0"/>
    <n v="9"/>
    <n v="1"/>
    <n v="8"/>
  </r>
  <r>
    <n v="530"/>
    <s v="00036-PLM"/>
    <x v="11"/>
    <x v="529"/>
    <n v="0"/>
    <n v="1"/>
    <n v="0"/>
    <n v="1"/>
  </r>
  <r>
    <n v="531"/>
    <s v="00037-PLM"/>
    <x v="11"/>
    <x v="530"/>
    <n v="0"/>
    <n v="1"/>
    <n v="0"/>
    <n v="1"/>
  </r>
  <r>
    <n v="532"/>
    <s v="00038-PLM"/>
    <x v="11"/>
    <x v="531"/>
    <n v="0"/>
    <n v="3"/>
    <n v="0"/>
    <n v="3"/>
  </r>
  <r>
    <n v="533"/>
    <s v="00075-REF"/>
    <x v="0"/>
    <x v="532"/>
    <n v="0"/>
    <n v="15"/>
    <n v="3"/>
    <n v="12"/>
  </r>
  <r>
    <n v="534"/>
    <s v="00034-ILU"/>
    <x v="2"/>
    <x v="533"/>
    <n v="0"/>
    <n v="27"/>
    <n v="0"/>
    <n v="27"/>
  </r>
  <r>
    <n v="535"/>
    <s v="00035-ILU"/>
    <x v="2"/>
    <x v="534"/>
    <n v="0"/>
    <n v="77"/>
    <n v="50"/>
    <n v="27"/>
  </r>
  <r>
    <n v="536"/>
    <s v="00036-ILU"/>
    <x v="2"/>
    <x v="535"/>
    <n v="0"/>
    <n v="33"/>
    <n v="24"/>
    <n v="9"/>
  </r>
  <r>
    <n v="537"/>
    <s v="00037-ILU"/>
    <x v="2"/>
    <x v="536"/>
    <n v="0"/>
    <n v="80"/>
    <n v="25"/>
    <n v="55"/>
  </r>
  <r>
    <n v="538"/>
    <s v="00038-ILU"/>
    <x v="2"/>
    <x v="537"/>
    <n v="0"/>
    <n v="13"/>
    <n v="4"/>
    <n v="9"/>
  </r>
  <r>
    <n v="539"/>
    <s v="00019-HRR"/>
    <x v="10"/>
    <x v="538"/>
    <n v="0"/>
    <n v="9"/>
    <n v="3.5"/>
    <n v="5.5"/>
  </r>
  <r>
    <n v="540"/>
    <s v="00020-HRR"/>
    <x v="10"/>
    <x v="539"/>
    <n v="0"/>
    <n v="20"/>
    <n v="17"/>
    <n v="3"/>
  </r>
  <r>
    <n v="541"/>
    <s v="00021-HRR"/>
    <x v="10"/>
    <x v="540"/>
    <n v="0"/>
    <n v="4"/>
    <n v="2"/>
    <n v="2"/>
  </r>
  <r>
    <n v="542"/>
    <s v="00039-PLM"/>
    <x v="11"/>
    <x v="541"/>
    <n v="0"/>
    <n v="10"/>
    <n v="9"/>
    <n v="1"/>
  </r>
  <r>
    <n v="543"/>
    <s v="00104-HER"/>
    <x v="4"/>
    <x v="542"/>
    <n v="0"/>
    <n v="2"/>
    <n v="1"/>
    <n v="1"/>
  </r>
  <r>
    <n v="544"/>
    <s v="00082-FER"/>
    <x v="1"/>
    <x v="543"/>
    <n v="0"/>
    <n v="4"/>
    <n v="1"/>
    <n v="3"/>
  </r>
  <r>
    <n v="545"/>
    <s v="00083-FER"/>
    <x v="1"/>
    <x v="544"/>
    <n v="0"/>
    <n v="399"/>
    <n v="399"/>
    <n v="0"/>
  </r>
  <r>
    <n v="546"/>
    <s v="00084-FER"/>
    <x v="1"/>
    <x v="545"/>
    <n v="0"/>
    <n v="536"/>
    <n v="300"/>
    <n v="236"/>
  </r>
  <r>
    <n v="547"/>
    <s v="00085-FER"/>
    <x v="1"/>
    <x v="546"/>
    <n v="0"/>
    <n v="403"/>
    <n v="200"/>
    <n v="203"/>
  </r>
  <r>
    <n v="548"/>
    <s v="00086-FER"/>
    <x v="1"/>
    <x v="547"/>
    <n v="0"/>
    <n v="140"/>
    <n v="0"/>
    <n v="140"/>
  </r>
  <r>
    <n v="549"/>
    <s v="00025-ELC"/>
    <x v="7"/>
    <x v="548"/>
    <n v="0"/>
    <n v="1"/>
    <n v="0"/>
    <n v="1"/>
  </r>
  <r>
    <n v="550"/>
    <s v="00087-FER"/>
    <x v="1"/>
    <x v="549"/>
    <n v="0"/>
    <n v="50"/>
    <n v="50"/>
    <n v="0"/>
  </r>
  <r>
    <n v="551"/>
    <s v="00039-ILU"/>
    <x v="2"/>
    <x v="550"/>
    <n v="0"/>
    <n v="1"/>
    <n v="0"/>
    <n v="1"/>
  </r>
  <r>
    <n v="552"/>
    <s v="00038-ELE"/>
    <x v="3"/>
    <x v="551"/>
    <n v="0"/>
    <n v="9"/>
    <n v="0"/>
    <n v="9"/>
  </r>
  <r>
    <n v="553"/>
    <s v="00039-ELE"/>
    <x v="3"/>
    <x v="552"/>
    <n v="0"/>
    <n v="5"/>
    <n v="0"/>
    <n v="5"/>
  </r>
  <r>
    <n v="554"/>
    <s v="00040-ILU"/>
    <x v="2"/>
    <x v="553"/>
    <n v="0"/>
    <n v="60"/>
    <n v="0"/>
    <n v="60"/>
  </r>
  <r>
    <n v="555"/>
    <s v="00040-ELE"/>
    <x v="3"/>
    <x v="554"/>
    <n v="0"/>
    <n v="5"/>
    <n v="0"/>
    <n v="5"/>
  </r>
  <r>
    <n v="625"/>
    <s v="00041-ELE"/>
    <x v="3"/>
    <x v="555"/>
    <n v="0"/>
    <n v="271"/>
    <n v="249"/>
    <n v="22"/>
  </r>
  <r>
    <n v="57"/>
    <s v="00042-ELE"/>
    <x v="3"/>
    <x v="556"/>
    <n v="0"/>
    <n v="2"/>
    <n v="0"/>
    <n v="2"/>
  </r>
  <r>
    <n v="58"/>
    <s v="00043-ELE"/>
    <x v="3"/>
    <x v="557"/>
    <n v="0"/>
    <n v="3"/>
    <n v="0"/>
    <n v="3"/>
  </r>
  <r>
    <n v="559"/>
    <s v="00044-ELE"/>
    <x v="3"/>
    <x v="558"/>
    <n v="0"/>
    <n v="1"/>
    <n v="0"/>
    <n v="1"/>
  </r>
  <r>
    <n v="636"/>
    <s v="00045-ELE"/>
    <x v="3"/>
    <x v="559"/>
    <n v="0"/>
    <n v="9"/>
    <n v="0"/>
    <n v="9"/>
  </r>
  <r>
    <n v="564"/>
    <s v="00088-FER"/>
    <x v="1"/>
    <x v="560"/>
    <n v="0"/>
    <n v="54"/>
    <n v="130"/>
    <n v="-76"/>
  </r>
  <r>
    <n v="562"/>
    <s v="00089-FER"/>
    <x v="1"/>
    <x v="561"/>
    <n v="0"/>
    <n v="146"/>
    <n v="61"/>
    <n v="85"/>
  </r>
  <r>
    <n v="563"/>
    <s v="00090-FER"/>
    <x v="1"/>
    <x v="562"/>
    <n v="0"/>
    <n v="83"/>
    <n v="80"/>
    <n v="3"/>
  </r>
  <r>
    <n v="561"/>
    <s v="00091-FER"/>
    <x v="1"/>
    <x v="563"/>
    <n v="0"/>
    <n v="11"/>
    <n v="120"/>
    <n v="-109"/>
  </r>
  <r>
    <n v="565"/>
    <s v="00092-FER"/>
    <x v="1"/>
    <x v="564"/>
    <n v="0"/>
    <n v="1"/>
    <n v="0"/>
    <n v="1"/>
  </r>
  <r>
    <n v="566"/>
    <s v="00093-FER"/>
    <x v="1"/>
    <x v="565"/>
    <n v="0"/>
    <n v="2"/>
    <n v="0"/>
    <n v="2"/>
  </r>
  <r>
    <n v="567"/>
    <s v="00094-FER"/>
    <x v="1"/>
    <x v="566"/>
    <n v="0"/>
    <n v="103"/>
    <n v="224"/>
    <n v="-121"/>
  </r>
  <r>
    <n v="568"/>
    <s v="00095-FER"/>
    <x v="1"/>
    <x v="567"/>
    <n v="0"/>
    <n v="14"/>
    <n v="0"/>
    <n v="14"/>
  </r>
  <r>
    <n v="569"/>
    <s v="00096-FER"/>
    <x v="1"/>
    <x v="568"/>
    <n v="0"/>
    <n v="17"/>
    <n v="7"/>
    <n v="10"/>
  </r>
  <r>
    <n v="570"/>
    <s v="00097-FER"/>
    <x v="1"/>
    <x v="569"/>
    <n v="0"/>
    <n v="19"/>
    <n v="19"/>
    <n v="0"/>
  </r>
  <r>
    <n v="571"/>
    <s v="00098-FER"/>
    <x v="1"/>
    <x v="570"/>
    <n v="0"/>
    <n v="2.5"/>
    <n v="0"/>
    <n v="2.5"/>
  </r>
  <r>
    <n v="572"/>
    <s v="00099-FER"/>
    <x v="1"/>
    <x v="571"/>
    <n v="0"/>
    <n v="8"/>
    <n v="0"/>
    <n v="8"/>
  </r>
  <r>
    <n v="573"/>
    <s v="00100-FER"/>
    <x v="1"/>
    <x v="572"/>
    <n v="0"/>
    <n v="26"/>
    <n v="95"/>
    <n v="-69"/>
  </r>
  <r>
    <n v="574"/>
    <s v="00101-FER"/>
    <x v="1"/>
    <x v="573"/>
    <n v="0"/>
    <n v="13"/>
    <n v="0"/>
    <n v="13"/>
  </r>
  <r>
    <n v="575"/>
    <s v="00102-FER"/>
    <x v="1"/>
    <x v="574"/>
    <n v="0"/>
    <n v="1"/>
    <n v="0"/>
    <n v="1"/>
  </r>
  <r>
    <n v="576"/>
    <s v="00103-FER"/>
    <x v="1"/>
    <x v="575"/>
    <n v="0"/>
    <n v="2"/>
    <n v="0"/>
    <n v="2"/>
  </r>
  <r>
    <n v="577"/>
    <s v="00104-FER"/>
    <x v="1"/>
    <x v="576"/>
    <n v="0"/>
    <n v="54"/>
    <n v="5"/>
    <n v="49"/>
  </r>
  <r>
    <n v="578"/>
    <s v="00105-FER"/>
    <x v="1"/>
    <x v="577"/>
    <n v="0"/>
    <n v="1"/>
    <n v="0"/>
    <n v="1"/>
  </r>
  <r>
    <n v="579"/>
    <s v="00106-FER"/>
    <x v="1"/>
    <x v="578"/>
    <n v="0"/>
    <n v="5"/>
    <n v="1"/>
    <n v="4"/>
  </r>
  <r>
    <n v="580"/>
    <s v="00107-FER"/>
    <x v="1"/>
    <x v="579"/>
    <n v="0"/>
    <n v="21"/>
    <n v="0"/>
    <n v="21"/>
  </r>
  <r>
    <n v="581"/>
    <s v="00026-ELC"/>
    <x v="7"/>
    <x v="580"/>
    <n v="0"/>
    <n v="1"/>
    <n v="0"/>
    <n v="1"/>
  </r>
  <r>
    <n v="582"/>
    <s v="00027-ELC"/>
    <x v="7"/>
    <x v="581"/>
    <n v="0"/>
    <n v="1"/>
    <n v="0"/>
    <n v="1"/>
  </r>
  <r>
    <n v="583"/>
    <s v="00028-ELC"/>
    <x v="7"/>
    <x v="582"/>
    <n v="0"/>
    <n v="3"/>
    <n v="0"/>
    <n v="3"/>
  </r>
  <r>
    <n v="584"/>
    <s v="00029-ELC"/>
    <x v="7"/>
    <x v="583"/>
    <n v="0"/>
    <n v="5"/>
    <n v="1"/>
    <n v="4"/>
  </r>
  <r>
    <n v="585"/>
    <s v="00030-ELC"/>
    <x v="7"/>
    <x v="584"/>
    <n v="0"/>
    <n v="1"/>
    <n v="0"/>
    <n v="1"/>
  </r>
  <r>
    <n v="586"/>
    <s v="00031-ELC"/>
    <x v="7"/>
    <x v="585"/>
    <n v="0"/>
    <n v="1"/>
    <n v="0"/>
    <n v="1"/>
  </r>
  <r>
    <n v="587"/>
    <s v="00032-ELC"/>
    <x v="7"/>
    <x v="586"/>
    <n v="0"/>
    <n v="1"/>
    <n v="0"/>
    <n v="1"/>
  </r>
  <r>
    <n v="588"/>
    <s v="00033-ELC"/>
    <x v="7"/>
    <x v="587"/>
    <n v="0"/>
    <n v="4"/>
    <n v="0"/>
    <n v="4"/>
  </r>
  <r>
    <n v="589"/>
    <s v="00034-ELC"/>
    <x v="7"/>
    <x v="588"/>
    <n v="0"/>
    <n v="3"/>
    <n v="0"/>
    <n v="3"/>
  </r>
  <r>
    <n v="590"/>
    <s v="00035-ELC"/>
    <x v="7"/>
    <x v="589"/>
    <n v="0"/>
    <n v="1"/>
    <n v="0"/>
    <n v="1"/>
  </r>
  <r>
    <n v="591"/>
    <s v="00036-ELC"/>
    <x v="7"/>
    <x v="590"/>
    <n v="0"/>
    <n v="1"/>
    <n v="0"/>
    <n v="1"/>
  </r>
  <r>
    <n v="592"/>
    <s v="00037-ELC"/>
    <x v="7"/>
    <x v="591"/>
    <n v="0"/>
    <n v="9"/>
    <n v="1"/>
    <n v="8"/>
  </r>
  <r>
    <n v="593"/>
    <s v="00038-ELC"/>
    <x v="7"/>
    <x v="592"/>
    <n v="0"/>
    <n v="7"/>
    <n v="0"/>
    <n v="7"/>
  </r>
  <r>
    <n v="594"/>
    <s v="00039-ELC"/>
    <x v="7"/>
    <x v="593"/>
    <n v="0"/>
    <n v="1"/>
    <n v="1"/>
    <n v="0"/>
  </r>
  <r>
    <n v="595"/>
    <s v="00040-ELC"/>
    <x v="7"/>
    <x v="594"/>
    <n v="0"/>
    <n v="1"/>
    <n v="0"/>
    <n v="1"/>
  </r>
  <r>
    <n v="596"/>
    <s v="00041-ELC"/>
    <x v="7"/>
    <x v="595"/>
    <n v="0"/>
    <n v="2"/>
    <n v="0"/>
    <n v="2"/>
  </r>
  <r>
    <n v="597"/>
    <s v="00076-REF"/>
    <x v="0"/>
    <x v="596"/>
    <n v="0"/>
    <n v="2"/>
    <n v="1"/>
    <n v="1"/>
  </r>
  <r>
    <n v="598"/>
    <s v="00108-FER"/>
    <x v="1"/>
    <x v="597"/>
    <n v="0"/>
    <n v="2"/>
    <n v="1"/>
    <n v="1"/>
  </r>
  <r>
    <n v="599"/>
    <s v="00109-FER"/>
    <x v="1"/>
    <x v="598"/>
    <n v="0"/>
    <n v="100"/>
    <n v="73"/>
    <n v="27"/>
  </r>
  <r>
    <n v="600"/>
    <s v="00110-FER"/>
    <x v="1"/>
    <x v="599"/>
    <n v="0"/>
    <n v="100"/>
    <n v="0"/>
    <n v="100"/>
  </r>
  <r>
    <n v="601"/>
    <s v="00040-PLM"/>
    <x v="11"/>
    <x v="600"/>
    <n v="0"/>
    <n v="153"/>
    <n v="179"/>
    <n v="-26"/>
  </r>
  <r>
    <n v="602"/>
    <s v="00111-FER"/>
    <x v="1"/>
    <x v="601"/>
    <n v="0"/>
    <n v="100"/>
    <n v="2"/>
    <n v="98"/>
  </r>
  <r>
    <n v="603"/>
    <s v="00041-PLM"/>
    <x v="11"/>
    <x v="602"/>
    <n v="0"/>
    <n v="2"/>
    <n v="2"/>
    <n v="0"/>
  </r>
  <r>
    <n v="604"/>
    <s v="00112-FER"/>
    <x v="1"/>
    <x v="603"/>
    <n v="0"/>
    <n v="4"/>
    <n v="2"/>
    <n v="2"/>
  </r>
  <r>
    <n v="605"/>
    <s v="00113-FER"/>
    <x v="1"/>
    <x v="604"/>
    <n v="0"/>
    <n v="2"/>
    <n v="0"/>
    <n v="2"/>
  </r>
  <r>
    <n v="606"/>
    <s v="00114-FER"/>
    <x v="1"/>
    <x v="605"/>
    <n v="0"/>
    <n v="2"/>
    <n v="0"/>
    <n v="2"/>
  </r>
  <r>
    <n v="607"/>
    <s v="00105-HER"/>
    <x v="4"/>
    <x v="606"/>
    <n v="0"/>
    <n v="3"/>
    <n v="0"/>
    <n v="3"/>
  </r>
  <r>
    <n v="608"/>
    <s v="00115-FER"/>
    <x v="1"/>
    <x v="607"/>
    <n v="0"/>
    <n v="24000"/>
    <n v="6400"/>
    <n v="17600"/>
  </r>
  <r>
    <n v="609"/>
    <s v="00116-FER"/>
    <x v="1"/>
    <x v="608"/>
    <n v="0"/>
    <n v="31000"/>
    <n v="646"/>
    <n v="30354"/>
  </r>
  <r>
    <n v="610"/>
    <s v="00077-REF"/>
    <x v="0"/>
    <x v="609"/>
    <n v="0"/>
    <n v="2"/>
    <n v="1"/>
    <n v="1"/>
  </r>
  <r>
    <n v="611"/>
    <s v="00042-PLM"/>
    <x v="11"/>
    <x v="610"/>
    <n v="0"/>
    <n v="6"/>
    <n v="6"/>
    <n v="0"/>
  </r>
  <r>
    <n v="612"/>
    <s v="00117-FER"/>
    <x v="1"/>
    <x v="611"/>
    <n v="0"/>
    <n v="1"/>
    <n v="1"/>
    <n v="0"/>
  </r>
  <r>
    <n v="613"/>
    <s v="00118-FER"/>
    <x v="1"/>
    <x v="612"/>
    <n v="0"/>
    <n v="5"/>
    <n v="5"/>
    <n v="0"/>
  </r>
  <r>
    <n v="614"/>
    <s v="00022-HRR"/>
    <x v="10"/>
    <x v="613"/>
    <n v="0"/>
    <n v="8"/>
    <n v="8"/>
    <n v="0"/>
  </r>
  <r>
    <n v="615"/>
    <s v="00023-HRR"/>
    <x v="10"/>
    <x v="614"/>
    <n v="0"/>
    <n v="6"/>
    <n v="5"/>
    <n v="1"/>
  </r>
  <r>
    <n v="616"/>
    <s v="00024-HRR"/>
    <x v="10"/>
    <x v="615"/>
    <n v="0"/>
    <n v="1"/>
    <n v="1"/>
    <n v="0"/>
  </r>
  <r>
    <n v="617"/>
    <s v="00025-HRR"/>
    <x v="10"/>
    <x v="616"/>
    <n v="0"/>
    <n v="4"/>
    <n v="4"/>
    <n v="0"/>
  </r>
  <r>
    <n v="618"/>
    <s v="00026-HRR"/>
    <x v="10"/>
    <x v="617"/>
    <n v="0"/>
    <n v="2"/>
    <n v="2"/>
    <n v="0"/>
  </r>
  <r>
    <n v="619"/>
    <s v="00027-HRR"/>
    <x v="10"/>
    <x v="618"/>
    <n v="0"/>
    <n v="2"/>
    <n v="2"/>
    <n v="0"/>
  </r>
  <r>
    <n v="620"/>
    <s v="00028-HRR"/>
    <x v="10"/>
    <x v="619"/>
    <n v="0"/>
    <n v="2"/>
    <n v="2"/>
    <n v="0"/>
  </r>
  <r>
    <n v="621"/>
    <s v="00029-HRR"/>
    <x v="10"/>
    <x v="620"/>
    <n v="0"/>
    <n v="2"/>
    <n v="2"/>
    <n v="0"/>
  </r>
  <r>
    <n v="622"/>
    <s v="00030-HRR"/>
    <x v="10"/>
    <x v="621"/>
    <n v="0"/>
    <n v="5"/>
    <n v="5"/>
    <n v="0"/>
  </r>
  <r>
    <n v="623"/>
    <s v="00042-ELC"/>
    <x v="7"/>
    <x v="622"/>
    <n v="0"/>
    <n v="1"/>
    <n v="1"/>
    <n v="0"/>
  </r>
  <r>
    <n v="624"/>
    <s v="00106-HER"/>
    <x v="4"/>
    <x v="623"/>
    <n v="0"/>
    <n v="1"/>
    <n v="1"/>
    <n v="0"/>
  </r>
  <r>
    <n v="196"/>
    <s v="00046-ELE"/>
    <x v="3"/>
    <x v="624"/>
    <n v="0"/>
    <n v="212"/>
    <n v="140"/>
    <n v="72"/>
  </r>
  <r>
    <n v="626"/>
    <s v="00119-FER"/>
    <x v="1"/>
    <x v="625"/>
    <n v="0"/>
    <n v="8"/>
    <n v="8"/>
    <n v="0"/>
  </r>
  <r>
    <n v="627"/>
    <s v="00031-HRR"/>
    <x v="10"/>
    <x v="626"/>
    <n v="0"/>
    <n v="148"/>
    <n v="133"/>
    <n v="15"/>
  </r>
  <r>
    <n v="628"/>
    <s v="00047-ELE"/>
    <x v="3"/>
    <x v="627"/>
    <n v="0"/>
    <n v="138"/>
    <n v="132"/>
    <n v="6"/>
  </r>
  <r>
    <n v="629"/>
    <s v="00048-ELE"/>
    <x v="3"/>
    <x v="628"/>
    <n v="0"/>
    <n v="34"/>
    <n v="15"/>
    <n v="19"/>
  </r>
  <r>
    <n v="630"/>
    <s v="00049-ELE"/>
    <x v="3"/>
    <x v="629"/>
    <n v="0"/>
    <n v="17"/>
    <n v="6"/>
    <n v="11"/>
  </r>
  <r>
    <n v="631"/>
    <s v="00120-FER"/>
    <x v="1"/>
    <x v="630"/>
    <n v="0"/>
    <n v="10"/>
    <n v="10"/>
    <n v="0"/>
  </r>
  <r>
    <n v="632"/>
    <s v="00107-HER"/>
    <x v="4"/>
    <x v="631"/>
    <n v="0"/>
    <n v="3"/>
    <n v="3"/>
    <n v="0"/>
  </r>
  <r>
    <n v="633"/>
    <s v="00043-PLM"/>
    <x v="11"/>
    <x v="632"/>
    <n v="0"/>
    <n v="2"/>
    <n v="0"/>
    <n v="2"/>
  </r>
  <r>
    <n v="634"/>
    <s v="00121-FER"/>
    <x v="1"/>
    <x v="633"/>
    <n v="0"/>
    <n v="6"/>
    <n v="6"/>
    <n v="0"/>
  </r>
  <r>
    <n v="638"/>
    <s v="00078-REF"/>
    <x v="0"/>
    <x v="634"/>
    <n v="0"/>
    <n v="4"/>
    <n v="0"/>
    <n v="4"/>
  </r>
  <r>
    <n v="642"/>
    <s v="00079-REF"/>
    <x v="0"/>
    <x v="635"/>
    <n v="0"/>
    <n v="1"/>
    <n v="0"/>
    <n v="1"/>
  </r>
  <r>
    <n v="652"/>
    <s v="00080-REF"/>
    <x v="0"/>
    <x v="636"/>
    <n v="0"/>
    <n v="1"/>
    <n v="0"/>
    <n v="1"/>
  </r>
  <r>
    <n v="640"/>
    <s v="00081-REF"/>
    <x v="0"/>
    <x v="637"/>
    <n v="0"/>
    <n v="0"/>
    <n v="0"/>
    <n v="0"/>
  </r>
  <r>
    <n v="641"/>
    <s v="00082-REF"/>
    <x v="0"/>
    <x v="638"/>
    <n v="0"/>
    <n v="0"/>
    <n v="0"/>
    <n v="0"/>
  </r>
  <r>
    <n v="639"/>
    <s v="00083-REF"/>
    <x v="0"/>
    <x v="639"/>
    <n v="0"/>
    <n v="0"/>
    <n v="0"/>
    <n v="0"/>
  </r>
  <r>
    <n v="635"/>
    <s v="00084-REF"/>
    <x v="0"/>
    <x v="640"/>
    <n v="0"/>
    <n v="5"/>
    <n v="0"/>
    <n v="5"/>
  </r>
  <r>
    <n v="857"/>
    <s v="00085-REF"/>
    <x v="0"/>
    <x v="641"/>
    <n v="0"/>
    <n v="6"/>
    <n v="2"/>
    <n v="4"/>
  </r>
  <r>
    <n v="643"/>
    <s v="00122-FER"/>
    <x v="1"/>
    <x v="642"/>
    <n v="0"/>
    <n v="1"/>
    <n v="1"/>
    <n v="0"/>
  </r>
  <r>
    <n v="644"/>
    <s v="00123-FER"/>
    <x v="1"/>
    <x v="643"/>
    <n v="0"/>
    <n v="1"/>
    <n v="1"/>
    <n v="0"/>
  </r>
  <r>
    <n v="645"/>
    <s v="00001-LIM"/>
    <x v="12"/>
    <x v="644"/>
    <n v="0"/>
    <n v="56"/>
    <n v="27"/>
    <n v="29"/>
  </r>
  <r>
    <n v="646"/>
    <s v="00002-LIM"/>
    <x v="12"/>
    <x v="645"/>
    <n v="0"/>
    <n v="11"/>
    <n v="8"/>
    <n v="3"/>
  </r>
  <r>
    <n v="647"/>
    <s v="00003-LIM"/>
    <x v="12"/>
    <x v="646"/>
    <n v="0"/>
    <n v="26"/>
    <n v="9"/>
    <n v="17"/>
  </r>
  <r>
    <n v="648"/>
    <s v="00015-MSC"/>
    <x v="6"/>
    <x v="647"/>
    <n v="0"/>
    <n v="17"/>
    <n v="5"/>
    <n v="12"/>
  </r>
  <r>
    <n v="649"/>
    <s v="00016-MSC"/>
    <x v="6"/>
    <x v="648"/>
    <n v="0"/>
    <n v="7"/>
    <n v="3"/>
    <n v="4"/>
  </r>
  <r>
    <n v="650"/>
    <s v="00017-MSC"/>
    <x v="6"/>
    <x v="649"/>
    <n v="0"/>
    <n v="24"/>
    <n v="3"/>
    <n v="21"/>
  </r>
  <r>
    <n v="651"/>
    <s v="00004-LIM"/>
    <x v="12"/>
    <x v="650"/>
    <n v="0"/>
    <n v="10"/>
    <n v="10"/>
    <n v="0"/>
  </r>
  <r>
    <n v="858"/>
    <s v="00086-REF"/>
    <x v="0"/>
    <x v="651"/>
    <n v="0"/>
    <n v="5"/>
    <n v="1"/>
    <n v="4"/>
  </r>
  <r>
    <n v="653"/>
    <s v="00124-FER"/>
    <x v="1"/>
    <x v="652"/>
    <n v="0"/>
    <n v="8"/>
    <n v="2"/>
    <n v="6"/>
  </r>
  <r>
    <n v="431"/>
    <s v="00010-AUT"/>
    <x v="9"/>
    <x v="653"/>
    <n v="0"/>
    <n v="1"/>
    <n v="0"/>
    <n v="1"/>
  </r>
  <r>
    <n v="426"/>
    <s v="00011-AUT"/>
    <x v="9"/>
    <x v="654"/>
    <n v="0"/>
    <n v="1"/>
    <n v="0"/>
    <n v="1"/>
  </r>
  <r>
    <n v="656"/>
    <s v="00005-LIM"/>
    <x v="12"/>
    <x v="655"/>
    <n v="0"/>
    <n v="43"/>
    <n v="20"/>
    <n v="23"/>
  </r>
  <r>
    <n v="657"/>
    <s v="00006-LIM"/>
    <x v="12"/>
    <x v="656"/>
    <n v="0"/>
    <n v="58"/>
    <n v="16"/>
    <n v="42"/>
  </r>
  <r>
    <n v="658"/>
    <s v="00007-LIM"/>
    <x v="12"/>
    <x v="657"/>
    <n v="0"/>
    <n v="156"/>
    <n v="28"/>
    <n v="128"/>
  </r>
  <r>
    <n v="659"/>
    <s v="00008-LIM"/>
    <x v="12"/>
    <x v="658"/>
    <n v="0"/>
    <n v="154"/>
    <n v="27"/>
    <n v="127"/>
  </r>
  <r>
    <n v="660"/>
    <s v="00009-LIM"/>
    <x v="12"/>
    <x v="659"/>
    <n v="0"/>
    <n v="464"/>
    <n v="21"/>
    <n v="443"/>
  </r>
  <r>
    <n v="661"/>
    <s v="00125-FER"/>
    <x v="1"/>
    <x v="660"/>
    <n v="0"/>
    <n v="22"/>
    <n v="8"/>
    <n v="14"/>
  </r>
  <r>
    <n v="662"/>
    <s v="00126-FER"/>
    <x v="1"/>
    <x v="661"/>
    <n v="0"/>
    <n v="62"/>
    <n v="4"/>
    <n v="58"/>
  </r>
  <r>
    <n v="663"/>
    <s v="00032-HRR"/>
    <x v="10"/>
    <x v="662"/>
    <n v="0"/>
    <n v="270"/>
    <n v="30"/>
    <n v="240"/>
  </r>
  <r>
    <n v="664"/>
    <s v="00127-FER"/>
    <x v="1"/>
    <x v="663"/>
    <n v="0"/>
    <n v="9"/>
    <n v="0"/>
    <n v="9"/>
  </r>
  <r>
    <n v="665"/>
    <s v="00128-FER"/>
    <x v="1"/>
    <x v="664"/>
    <n v="0"/>
    <n v="2"/>
    <n v="0"/>
    <n v="2"/>
  </r>
  <r>
    <n v="666"/>
    <s v="00033-HRR"/>
    <x v="10"/>
    <x v="665"/>
    <n v="0"/>
    <n v="4"/>
    <n v="0"/>
    <n v="4"/>
  </r>
  <r>
    <n v="667"/>
    <s v="00129-FER"/>
    <x v="1"/>
    <x v="666"/>
    <n v="0"/>
    <n v="1"/>
    <n v="0"/>
    <n v="1"/>
  </r>
  <r>
    <n v="668"/>
    <s v="00034-HRR"/>
    <x v="10"/>
    <x v="667"/>
    <n v="0"/>
    <n v="2"/>
    <n v="0"/>
    <n v="2"/>
  </r>
  <r>
    <n v="669"/>
    <s v="00130-FER"/>
    <x v="1"/>
    <x v="668"/>
    <n v="0"/>
    <n v="1"/>
    <n v="0"/>
    <n v="1"/>
  </r>
  <r>
    <n v="670"/>
    <s v="00131-FER"/>
    <x v="1"/>
    <x v="669"/>
    <n v="0"/>
    <n v="1"/>
    <n v="0"/>
    <n v="1"/>
  </r>
  <r>
    <n v="671"/>
    <s v="00132-FER"/>
    <x v="1"/>
    <x v="670"/>
    <n v="0"/>
    <n v="1"/>
    <n v="0"/>
    <n v="1"/>
  </r>
  <r>
    <n v="672"/>
    <s v="00087-REF"/>
    <x v="0"/>
    <x v="671"/>
    <n v="0"/>
    <n v="10"/>
    <n v="0"/>
    <n v="10"/>
  </r>
  <r>
    <n v="673"/>
    <s v="00133-FER"/>
    <x v="1"/>
    <x v="672"/>
    <n v="0"/>
    <n v="1"/>
    <n v="1"/>
    <n v="0"/>
  </r>
  <r>
    <n v="674"/>
    <s v="00134-FER"/>
    <x v="1"/>
    <x v="673"/>
    <n v="0"/>
    <n v="11"/>
    <n v="0"/>
    <n v="11"/>
  </r>
  <r>
    <n v="675"/>
    <s v="00035-HRR"/>
    <x v="10"/>
    <x v="674"/>
    <n v="0"/>
    <n v="25"/>
    <n v="0"/>
    <n v="25"/>
  </r>
  <r>
    <n v="676"/>
    <s v="00135-FER"/>
    <x v="1"/>
    <x v="675"/>
    <n v="0"/>
    <n v="559"/>
    <n v="308"/>
    <n v="251"/>
  </r>
  <r>
    <n v="677"/>
    <s v="00136-FER"/>
    <x v="1"/>
    <x v="676"/>
    <n v="0"/>
    <n v="82"/>
    <n v="100"/>
    <n v="-18"/>
  </r>
  <r>
    <n v="678"/>
    <s v="00137-FER"/>
    <x v="1"/>
    <x v="677"/>
    <n v="0"/>
    <n v="6"/>
    <n v="0"/>
    <n v="6"/>
  </r>
  <r>
    <n v="679"/>
    <s v="00138-FER"/>
    <x v="1"/>
    <x v="678"/>
    <n v="0"/>
    <n v="32"/>
    <n v="0"/>
    <n v="32"/>
  </r>
  <r>
    <n v="680"/>
    <s v="00139-FER"/>
    <x v="1"/>
    <x v="679"/>
    <n v="0"/>
    <n v="164"/>
    <n v="90"/>
    <n v="74"/>
  </r>
  <r>
    <n v="681"/>
    <s v="00043-ELC"/>
    <x v="7"/>
    <x v="680"/>
    <n v="0"/>
    <n v="1"/>
    <n v="1"/>
    <n v="0"/>
  </r>
  <r>
    <n v="682"/>
    <s v="00010-LIM"/>
    <x v="12"/>
    <x v="681"/>
    <n v="0"/>
    <n v="178"/>
    <n v="0"/>
    <n v="178"/>
  </r>
  <r>
    <n v="683"/>
    <s v="00011-LIM"/>
    <x v="12"/>
    <x v="682"/>
    <n v="0"/>
    <n v="14"/>
    <n v="6"/>
    <n v="8"/>
  </r>
  <r>
    <n v="684"/>
    <s v="00140-FER"/>
    <x v="1"/>
    <x v="683"/>
    <n v="0"/>
    <n v="3"/>
    <n v="3"/>
    <n v="0"/>
  </r>
  <r>
    <n v="685"/>
    <s v="00044-PLM"/>
    <x v="11"/>
    <x v="684"/>
    <n v="0"/>
    <n v="1"/>
    <n v="0"/>
    <n v="1"/>
  </r>
  <r>
    <n v="686"/>
    <s v="00050-ELE"/>
    <x v="3"/>
    <x v="685"/>
    <n v="0"/>
    <n v="100"/>
    <n v="100"/>
    <n v="0"/>
  </r>
  <r>
    <n v="687"/>
    <s v="00051-ELE"/>
    <x v="3"/>
    <x v="686"/>
    <n v="0"/>
    <n v="300"/>
    <n v="100"/>
    <n v="200"/>
  </r>
  <r>
    <n v="688"/>
    <s v="00052-ELE"/>
    <x v="3"/>
    <x v="687"/>
    <n v="0"/>
    <n v="300"/>
    <n v="100"/>
    <n v="200"/>
  </r>
  <r>
    <n v="689"/>
    <s v="00053-ELE"/>
    <x v="3"/>
    <x v="688"/>
    <n v="0"/>
    <n v="302"/>
    <n v="2"/>
    <n v="300"/>
  </r>
  <r>
    <n v="690"/>
    <s v="00054-ELE"/>
    <x v="3"/>
    <x v="689"/>
    <n v="0"/>
    <n v="220"/>
    <n v="6"/>
    <n v="214"/>
  </r>
  <r>
    <n v="691"/>
    <s v="00088-REF"/>
    <x v="0"/>
    <x v="690"/>
    <n v="0"/>
    <n v="67"/>
    <n v="57"/>
    <n v="10"/>
  </r>
  <r>
    <n v="692"/>
    <s v="00089-REF"/>
    <x v="0"/>
    <x v="691"/>
    <n v="0"/>
    <n v="67"/>
    <n v="52"/>
    <n v="15"/>
  </r>
  <r>
    <n v="693"/>
    <s v="00090-REF"/>
    <x v="0"/>
    <x v="692"/>
    <n v="0"/>
    <n v="28"/>
    <n v="8"/>
    <n v="20"/>
  </r>
  <r>
    <n v="428"/>
    <s v="00091-REF"/>
    <x v="0"/>
    <x v="693"/>
    <n v="0"/>
    <n v="3"/>
    <n v="3"/>
    <n v="0"/>
  </r>
  <r>
    <n v="695"/>
    <s v="00068-UNI"/>
    <x v="8"/>
    <x v="694"/>
    <n v="0"/>
    <n v="30"/>
    <n v="15"/>
    <n v="15"/>
  </r>
  <r>
    <n v="696"/>
    <s v="00055-ELE"/>
    <x v="3"/>
    <x v="695"/>
    <n v="0"/>
    <n v="171"/>
    <n v="136"/>
    <n v="35"/>
  </r>
  <r>
    <n v="697"/>
    <s v="00056-ELE"/>
    <x v="3"/>
    <x v="696"/>
    <n v="0"/>
    <n v="206"/>
    <n v="186"/>
    <n v="20"/>
  </r>
  <r>
    <n v="694"/>
    <s v="00092-REF"/>
    <x v="0"/>
    <x v="697"/>
    <n v="0"/>
    <n v="2"/>
    <n v="2"/>
    <n v="0"/>
  </r>
  <r>
    <n v="699"/>
    <s v="00141-FER"/>
    <x v="1"/>
    <x v="698"/>
    <n v="0"/>
    <n v="1057"/>
    <n v="1239"/>
    <n v="-182"/>
  </r>
  <r>
    <n v="700"/>
    <s v="00142-FER"/>
    <x v="1"/>
    <x v="699"/>
    <n v="0"/>
    <n v="4"/>
    <n v="4"/>
    <n v="0"/>
  </r>
  <r>
    <n v="701"/>
    <s v="00036-HRR"/>
    <x v="10"/>
    <x v="700"/>
    <n v="0"/>
    <n v="1"/>
    <n v="0"/>
    <n v="1"/>
  </r>
  <r>
    <n v="702"/>
    <s v="00143-FER"/>
    <x v="1"/>
    <x v="701"/>
    <n v="0"/>
    <n v="550"/>
    <n v="517"/>
    <n v="33"/>
  </r>
  <r>
    <n v="703"/>
    <s v="00037-HRR"/>
    <x v="10"/>
    <x v="702"/>
    <n v="0"/>
    <n v="6"/>
    <n v="6"/>
    <n v="0"/>
  </r>
  <r>
    <n v="704"/>
    <s v="00144-FER"/>
    <x v="1"/>
    <x v="703"/>
    <n v="0"/>
    <n v="1"/>
    <n v="1"/>
    <n v="0"/>
  </r>
  <r>
    <n v="705"/>
    <s v="00057-ELE"/>
    <x v="3"/>
    <x v="704"/>
    <n v="0"/>
    <n v="20"/>
    <n v="5"/>
    <n v="15"/>
  </r>
  <r>
    <n v="706"/>
    <s v="00045-PLM"/>
    <x v="11"/>
    <x v="705"/>
    <n v="0"/>
    <n v="5"/>
    <n v="5"/>
    <n v="0"/>
  </r>
  <r>
    <n v="707"/>
    <s v="00046-PLM"/>
    <x v="11"/>
    <x v="706"/>
    <n v="0"/>
    <n v="16"/>
    <n v="26"/>
    <n v="-10"/>
  </r>
  <r>
    <n v="708"/>
    <s v="00047-PLM"/>
    <x v="11"/>
    <x v="707"/>
    <n v="0"/>
    <n v="6"/>
    <n v="6"/>
    <n v="0"/>
  </r>
  <r>
    <n v="709"/>
    <s v="00038-HRR"/>
    <x v="10"/>
    <x v="708"/>
    <n v="0"/>
    <n v="27"/>
    <n v="37"/>
    <n v="-10"/>
  </r>
  <r>
    <n v="710"/>
    <s v="00039-HRR"/>
    <x v="10"/>
    <x v="709"/>
    <n v="0"/>
    <n v="74"/>
    <n v="74"/>
    <n v="0"/>
  </r>
  <r>
    <n v="711"/>
    <s v="00040-HRR"/>
    <x v="10"/>
    <x v="710"/>
    <n v="0"/>
    <n v="14"/>
    <n v="84"/>
    <n v="-70"/>
  </r>
  <r>
    <n v="712"/>
    <s v="00058-ELE"/>
    <x v="3"/>
    <x v="711"/>
    <n v="0"/>
    <n v="30"/>
    <n v="20"/>
    <n v="10"/>
  </r>
  <r>
    <n v="713"/>
    <s v="00059-ELE"/>
    <x v="3"/>
    <x v="712"/>
    <n v="0"/>
    <n v="20"/>
    <n v="10"/>
    <n v="10"/>
  </r>
  <r>
    <n v="714"/>
    <s v="00060-ELE"/>
    <x v="3"/>
    <x v="713"/>
    <n v="0"/>
    <n v="34"/>
    <n v="174"/>
    <n v="-140"/>
  </r>
  <r>
    <n v="715"/>
    <s v="00061-ELE"/>
    <x v="3"/>
    <x v="714"/>
    <n v="0"/>
    <n v="8"/>
    <n v="3"/>
    <n v="5"/>
  </r>
  <r>
    <n v="716"/>
    <s v="00041-ILU"/>
    <x v="2"/>
    <x v="715"/>
    <n v="0"/>
    <n v="11"/>
    <n v="11"/>
    <n v="0"/>
  </r>
  <r>
    <n v="717"/>
    <s v="00041-HRR"/>
    <x v="10"/>
    <x v="716"/>
    <n v="0"/>
    <n v="50"/>
    <n v="15"/>
    <n v="35"/>
  </r>
  <r>
    <n v="718"/>
    <s v="00042-HRR"/>
    <x v="10"/>
    <x v="717"/>
    <n v="0"/>
    <n v="100"/>
    <n v="5"/>
    <n v="95"/>
  </r>
  <r>
    <n v="719"/>
    <s v="00043-HRR"/>
    <x v="10"/>
    <x v="718"/>
    <n v="0"/>
    <n v="2"/>
    <n v="0"/>
    <n v="2"/>
  </r>
  <r>
    <n v="720"/>
    <s v="00044-HRR"/>
    <x v="10"/>
    <x v="719"/>
    <n v="0"/>
    <n v="10"/>
    <n v="0"/>
    <n v="10"/>
  </r>
  <r>
    <n v="721"/>
    <s v="00045-HRR"/>
    <x v="10"/>
    <x v="720"/>
    <n v="0"/>
    <n v="10"/>
    <n v="0"/>
    <n v="10"/>
  </r>
  <r>
    <n v="722"/>
    <s v="00046-HRR"/>
    <x v="10"/>
    <x v="721"/>
    <n v="0"/>
    <n v="10"/>
    <n v="0"/>
    <n v="10"/>
  </r>
  <r>
    <n v="723"/>
    <s v="00047-HRR"/>
    <x v="10"/>
    <x v="722"/>
    <n v="0"/>
    <n v="10"/>
    <n v="0"/>
    <n v="10"/>
  </r>
  <r>
    <n v="724"/>
    <s v="00048-HRR"/>
    <x v="10"/>
    <x v="723"/>
    <n v="0"/>
    <n v="10"/>
    <n v="0"/>
    <n v="10"/>
  </r>
  <r>
    <n v="725"/>
    <s v="00049-HRR"/>
    <x v="10"/>
    <x v="724"/>
    <n v="0"/>
    <n v="10"/>
    <n v="0"/>
    <n v="10"/>
  </r>
  <r>
    <n v="726"/>
    <s v="00050-HRR"/>
    <x v="10"/>
    <x v="725"/>
    <n v="0"/>
    <n v="592"/>
    <n v="80"/>
    <n v="512"/>
  </r>
  <r>
    <n v="727"/>
    <s v="00051-HRR"/>
    <x v="10"/>
    <x v="726"/>
    <n v="0"/>
    <n v="20"/>
    <n v="0"/>
    <n v="20"/>
  </r>
  <r>
    <n v="728"/>
    <s v="00052-HRR"/>
    <x v="10"/>
    <x v="727"/>
    <n v="0"/>
    <n v="2"/>
    <n v="0"/>
    <n v="2"/>
  </r>
  <r>
    <n v="729"/>
    <s v="00108-HER"/>
    <x v="4"/>
    <x v="728"/>
    <n v="0"/>
    <n v="8"/>
    <n v="6"/>
    <n v="2"/>
  </r>
  <r>
    <n v="730"/>
    <s v="00093-REF"/>
    <x v="0"/>
    <x v="729"/>
    <n v="0"/>
    <n v="1"/>
    <n v="1"/>
    <n v="0"/>
  </r>
  <r>
    <n v="731"/>
    <s v="00094-REF"/>
    <x v="0"/>
    <x v="730"/>
    <n v="0"/>
    <n v="1"/>
    <n v="1"/>
    <n v="0"/>
  </r>
  <r>
    <n v="732"/>
    <s v="00012-AUT"/>
    <x v="9"/>
    <x v="731"/>
    <n v="0"/>
    <n v="1"/>
    <n v="0"/>
    <n v="1"/>
  </r>
  <r>
    <n v="733"/>
    <s v="00013-AUT"/>
    <x v="9"/>
    <x v="732"/>
    <n v="0"/>
    <n v="1"/>
    <n v="1"/>
    <n v="0"/>
  </r>
  <r>
    <n v="734"/>
    <s v="00014-AUT"/>
    <x v="9"/>
    <x v="733"/>
    <n v="0"/>
    <n v="7"/>
    <n v="7"/>
    <n v="0"/>
  </r>
  <r>
    <n v="735"/>
    <s v="00062-ELE"/>
    <x v="3"/>
    <x v="734"/>
    <n v="0"/>
    <n v="1"/>
    <n v="1"/>
    <n v="0"/>
  </r>
  <r>
    <n v="736"/>
    <s v="00145-FER"/>
    <x v="1"/>
    <x v="735"/>
    <n v="0"/>
    <n v="20"/>
    <n v="10"/>
    <n v="10"/>
  </r>
  <r>
    <n v="737"/>
    <s v="00063-ELE"/>
    <x v="3"/>
    <x v="736"/>
    <n v="0"/>
    <n v="1"/>
    <n v="1"/>
    <n v="0"/>
  </r>
  <r>
    <n v="738"/>
    <s v="00146-FER"/>
    <x v="1"/>
    <x v="737"/>
    <n v="0"/>
    <n v="1"/>
    <n v="1"/>
    <n v="0"/>
  </r>
  <r>
    <n v="739"/>
    <s v="00018-MSC"/>
    <x v="6"/>
    <x v="738"/>
    <n v="0"/>
    <n v="30"/>
    <n v="30"/>
    <n v="0"/>
  </r>
  <r>
    <n v="740"/>
    <s v="00109-HER"/>
    <x v="4"/>
    <x v="739"/>
    <n v="0"/>
    <n v="3"/>
    <n v="3"/>
    <n v="0"/>
  </r>
  <r>
    <n v="741"/>
    <s v="00044-ELC"/>
    <x v="7"/>
    <x v="740"/>
    <n v="0"/>
    <n v="1"/>
    <n v="1"/>
    <n v="0"/>
  </r>
  <r>
    <n v="742"/>
    <s v="00045-ELC"/>
    <x v="7"/>
    <x v="741"/>
    <n v="0"/>
    <n v="6"/>
    <n v="0"/>
    <n v="6"/>
  </r>
  <r>
    <n v="743"/>
    <s v="00046-ELC"/>
    <x v="7"/>
    <x v="742"/>
    <n v="0"/>
    <n v="6"/>
    <n v="5"/>
    <n v="1"/>
  </r>
  <r>
    <n v="744"/>
    <s v="00012-LIM"/>
    <x v="12"/>
    <x v="743"/>
    <n v="0"/>
    <n v="5"/>
    <n v="0"/>
    <n v="5"/>
  </r>
  <r>
    <n v="745"/>
    <s v="00013-LIM"/>
    <x v="12"/>
    <x v="744"/>
    <n v="0"/>
    <n v="18"/>
    <n v="7"/>
    <n v="11"/>
  </r>
  <r>
    <n v="746"/>
    <s v="00014-LIM"/>
    <x v="12"/>
    <x v="745"/>
    <n v="0"/>
    <n v="4"/>
    <n v="0"/>
    <n v="4"/>
  </r>
  <r>
    <n v="747"/>
    <s v="00095-REF"/>
    <x v="0"/>
    <x v="746"/>
    <n v="0"/>
    <n v="3"/>
    <n v="1"/>
    <n v="2"/>
  </r>
  <r>
    <n v="748"/>
    <s v="00042-ILU"/>
    <x v="2"/>
    <x v="747"/>
    <n v="0"/>
    <n v="234"/>
    <n v="64"/>
    <n v="170"/>
  </r>
  <r>
    <n v="749"/>
    <s v="00043-ILU"/>
    <x v="2"/>
    <x v="748"/>
    <n v="0"/>
    <n v="4"/>
    <n v="0"/>
    <n v="4"/>
  </r>
  <r>
    <n v="750"/>
    <s v="00044-ILU"/>
    <x v="2"/>
    <x v="749"/>
    <n v="0"/>
    <n v="60"/>
    <n v="12"/>
    <n v="48"/>
  </r>
  <r>
    <n v="751"/>
    <s v="00096-REF"/>
    <x v="0"/>
    <x v="750"/>
    <n v="0"/>
    <n v="1"/>
    <n v="0"/>
    <n v="1"/>
  </r>
  <r>
    <n v="752"/>
    <s v="00097-REF"/>
    <x v="0"/>
    <x v="751"/>
    <n v="0"/>
    <n v="2"/>
    <n v="0"/>
    <n v="2"/>
  </r>
  <r>
    <n v="753"/>
    <s v="00015-LIM"/>
    <x v="12"/>
    <x v="752"/>
    <n v="0"/>
    <n v="5"/>
    <n v="1"/>
    <n v="4"/>
  </r>
  <r>
    <n v="754"/>
    <s v="00147-FER"/>
    <x v="1"/>
    <x v="753"/>
    <n v="0"/>
    <n v="6"/>
    <n v="6"/>
    <n v="0"/>
  </r>
  <r>
    <n v="755"/>
    <s v="00148-FER"/>
    <x v="1"/>
    <x v="754"/>
    <n v="0"/>
    <n v="1"/>
    <n v="0"/>
    <n v="1"/>
  </r>
  <r>
    <n v="756"/>
    <s v="00149-FER"/>
    <x v="1"/>
    <x v="755"/>
    <n v="0"/>
    <n v="1"/>
    <n v="0"/>
    <n v="1"/>
  </r>
  <r>
    <n v="757"/>
    <s v="00150-FER"/>
    <x v="1"/>
    <x v="756"/>
    <n v="0"/>
    <n v="3"/>
    <n v="3"/>
    <n v="0"/>
  </r>
  <r>
    <n v="758"/>
    <s v="00053-HRR"/>
    <x v="10"/>
    <x v="757"/>
    <n v="0"/>
    <n v="2"/>
    <n v="2"/>
    <n v="0"/>
  </r>
  <r>
    <n v="759"/>
    <s v="00151-FER"/>
    <x v="1"/>
    <x v="758"/>
    <n v="0"/>
    <n v="100"/>
    <n v="100"/>
    <n v="0"/>
  </r>
  <r>
    <n v="760"/>
    <s v="00152-FER"/>
    <x v="1"/>
    <x v="759"/>
    <n v="0"/>
    <n v="4"/>
    <n v="4"/>
    <n v="0"/>
  </r>
  <r>
    <n v="761"/>
    <s v="00054-HRR"/>
    <x v="10"/>
    <x v="760"/>
    <n v="0"/>
    <n v="2"/>
    <n v="2"/>
    <n v="0"/>
  </r>
  <r>
    <n v="762"/>
    <s v="00055-HRR"/>
    <x v="10"/>
    <x v="761"/>
    <n v="0"/>
    <n v="140"/>
    <n v="40"/>
    <n v="100"/>
  </r>
  <r>
    <n v="763"/>
    <s v="00056-HRR"/>
    <x v="10"/>
    <x v="762"/>
    <n v="0"/>
    <n v="2"/>
    <n v="2"/>
    <n v="0"/>
  </r>
  <r>
    <n v="764"/>
    <s v="00153-FER"/>
    <x v="1"/>
    <x v="763"/>
    <n v="0"/>
    <n v="20"/>
    <n v="20"/>
    <n v="0"/>
  </r>
  <r>
    <n v="765"/>
    <s v="00045-ILU"/>
    <x v="2"/>
    <x v="764"/>
    <n v="0"/>
    <n v="4"/>
    <n v="4"/>
    <n v="0"/>
  </r>
  <r>
    <n v="766"/>
    <s v="00046-ILU"/>
    <x v="2"/>
    <x v="765"/>
    <n v="0"/>
    <n v="4"/>
    <n v="4"/>
    <n v="0"/>
  </r>
  <r>
    <n v="767"/>
    <s v="00048-PLM"/>
    <x v="11"/>
    <x v="766"/>
    <n v="0"/>
    <n v="1"/>
    <n v="1"/>
    <n v="0"/>
  </r>
  <r>
    <n v="768"/>
    <s v="00049-PLM"/>
    <x v="11"/>
    <x v="767"/>
    <n v="0"/>
    <n v="3"/>
    <n v="3"/>
    <n v="0"/>
  </r>
  <r>
    <n v="769"/>
    <s v="00050-PLM"/>
    <x v="11"/>
    <x v="768"/>
    <n v="0"/>
    <n v="2"/>
    <n v="2"/>
    <n v="0"/>
  </r>
  <r>
    <n v="770"/>
    <s v="00057-HRR"/>
    <x v="10"/>
    <x v="769"/>
    <n v="0"/>
    <n v="3"/>
    <n v="1"/>
    <n v="2"/>
  </r>
  <r>
    <n v="771"/>
    <s v="00154-FER"/>
    <x v="1"/>
    <x v="770"/>
    <n v="0"/>
    <n v="1"/>
    <n v="1"/>
    <n v="0"/>
  </r>
  <r>
    <n v="772"/>
    <s v="00155-FER"/>
    <x v="1"/>
    <x v="771"/>
    <n v="0"/>
    <n v="3"/>
    <n v="3"/>
    <n v="0"/>
  </r>
  <r>
    <n v="773"/>
    <s v="00156-FER"/>
    <x v="1"/>
    <x v="772"/>
    <n v="0"/>
    <n v="1"/>
    <n v="1"/>
    <n v="0"/>
  </r>
  <r>
    <n v="774"/>
    <s v="00157-FER"/>
    <x v="1"/>
    <x v="773"/>
    <n v="0"/>
    <n v="4"/>
    <n v="4"/>
    <n v="0"/>
  </r>
  <r>
    <n v="775"/>
    <s v="00064-ELE"/>
    <x v="3"/>
    <x v="774"/>
    <n v="0"/>
    <n v="1"/>
    <n v="1"/>
    <n v="0"/>
  </r>
  <r>
    <n v="776"/>
    <s v="00065-ELE"/>
    <x v="3"/>
    <x v="775"/>
    <n v="0"/>
    <n v="1"/>
    <n v="1"/>
    <n v="0"/>
  </r>
  <r>
    <n v="777"/>
    <s v="00051-PLM"/>
    <x v="11"/>
    <x v="776"/>
    <n v="0"/>
    <n v="2"/>
    <n v="1"/>
    <n v="1"/>
  </r>
  <r>
    <n v="778"/>
    <s v="00066-ELE"/>
    <x v="3"/>
    <x v="777"/>
    <n v="0"/>
    <n v="2002"/>
    <n v="1802"/>
    <n v="200"/>
  </r>
  <r>
    <n v="779"/>
    <s v="00067-ELE"/>
    <x v="3"/>
    <x v="778"/>
    <n v="0"/>
    <n v="400"/>
    <n v="100"/>
    <n v="300"/>
  </r>
  <r>
    <n v="780"/>
    <s v="00047-ILU"/>
    <x v="2"/>
    <x v="779"/>
    <n v="0"/>
    <n v="14"/>
    <n v="14"/>
    <n v="0"/>
  </r>
  <r>
    <n v="781"/>
    <s v="00048-ILU"/>
    <x v="2"/>
    <x v="780"/>
    <n v="0"/>
    <n v="1"/>
    <n v="1"/>
    <n v="0"/>
  </r>
  <r>
    <n v="782"/>
    <s v="00098-REF"/>
    <x v="0"/>
    <x v="781"/>
    <n v="0"/>
    <n v="8"/>
    <n v="3"/>
    <n v="5"/>
  </r>
  <r>
    <n v="783"/>
    <s v="00099-REF"/>
    <x v="0"/>
    <x v="782"/>
    <n v="0"/>
    <n v="4"/>
    <n v="1"/>
    <n v="3"/>
  </r>
  <r>
    <n v="784"/>
    <s v="00100-REF"/>
    <x v="0"/>
    <x v="783"/>
    <n v="0"/>
    <n v="4"/>
    <n v="3"/>
    <n v="1"/>
  </r>
  <r>
    <n v="785"/>
    <s v="00049-ILU"/>
    <x v="2"/>
    <x v="784"/>
    <n v="0"/>
    <n v="51"/>
    <n v="43"/>
    <n v="8"/>
  </r>
  <r>
    <n v="786"/>
    <s v="00016-LIM"/>
    <x v="12"/>
    <x v="785"/>
    <n v="0"/>
    <n v="11"/>
    <n v="0"/>
    <n v="11"/>
  </r>
  <r>
    <n v="787"/>
    <s v="00017-LIM"/>
    <x v="12"/>
    <x v="786"/>
    <n v="0"/>
    <n v="8"/>
    <n v="0"/>
    <n v="8"/>
  </r>
  <r>
    <n v="788"/>
    <s v="00018-LIM"/>
    <x v="12"/>
    <x v="787"/>
    <n v="0"/>
    <n v="3"/>
    <n v="0"/>
    <n v="3"/>
  </r>
  <r>
    <n v="789"/>
    <s v="00068-ELE"/>
    <x v="3"/>
    <x v="788"/>
    <n v="0"/>
    <n v="16"/>
    <n v="3"/>
    <n v="13"/>
  </r>
  <r>
    <n v="790"/>
    <s v="00052-PLM"/>
    <x v="11"/>
    <x v="789"/>
    <n v="0"/>
    <n v="2"/>
    <n v="2"/>
    <n v="0"/>
  </r>
  <r>
    <n v="791"/>
    <s v="00053-PLM"/>
    <x v="11"/>
    <x v="790"/>
    <n v="0"/>
    <n v="2"/>
    <n v="2"/>
    <n v="0"/>
  </r>
  <r>
    <n v="792"/>
    <s v="00058-HRR"/>
    <x v="10"/>
    <x v="791"/>
    <n v="0"/>
    <n v="4"/>
    <n v="4"/>
    <n v="0"/>
  </r>
  <r>
    <n v="793"/>
    <s v="00069-ELE"/>
    <x v="3"/>
    <x v="792"/>
    <n v="0"/>
    <n v="2"/>
    <n v="1"/>
    <n v="1"/>
  </r>
  <r>
    <n v="794"/>
    <s v="00158-FER"/>
    <x v="1"/>
    <x v="793"/>
    <n v="0"/>
    <n v="4"/>
    <n v="4"/>
    <n v="0"/>
  </r>
  <r>
    <n v="795"/>
    <s v="00159-FER"/>
    <x v="1"/>
    <x v="794"/>
    <n v="0"/>
    <n v="1"/>
    <n v="1"/>
    <n v="0"/>
  </r>
  <r>
    <n v="796"/>
    <s v="00160-FER"/>
    <x v="1"/>
    <x v="795"/>
    <n v="0"/>
    <n v="15"/>
    <n v="12"/>
    <n v="3"/>
  </r>
  <r>
    <n v="797"/>
    <s v="00161-FER"/>
    <x v="1"/>
    <x v="796"/>
    <n v="0"/>
    <n v="6"/>
    <n v="6"/>
    <n v="0"/>
  </r>
  <r>
    <n v="798"/>
    <s v="00162-FER"/>
    <x v="1"/>
    <x v="797"/>
    <n v="0"/>
    <n v="6"/>
    <n v="6"/>
    <n v="0"/>
  </r>
  <r>
    <n v="799"/>
    <s v="00050-ILU"/>
    <x v="2"/>
    <x v="798"/>
    <n v="0"/>
    <n v="2"/>
    <n v="1"/>
    <n v="1"/>
  </r>
  <r>
    <n v="800"/>
    <s v="00101-REF"/>
    <x v="0"/>
    <x v="799"/>
    <n v="0"/>
    <n v="4"/>
    <n v="4"/>
    <n v="0"/>
  </r>
  <r>
    <n v="801"/>
    <s v="00163-FER"/>
    <x v="1"/>
    <x v="800"/>
    <n v="0"/>
    <n v="2"/>
    <n v="2"/>
    <n v="0"/>
  </r>
  <r>
    <n v="802"/>
    <s v="00070-ELE"/>
    <x v="3"/>
    <x v="801"/>
    <n v="0"/>
    <n v="84"/>
    <n v="110"/>
    <n v="-26"/>
  </r>
  <r>
    <n v="803"/>
    <s v="00071-ELE"/>
    <x v="3"/>
    <x v="802"/>
    <n v="0"/>
    <n v="8"/>
    <n v="0"/>
    <n v="8"/>
  </r>
  <r>
    <n v="804"/>
    <s v="00072-ELE"/>
    <x v="3"/>
    <x v="803"/>
    <n v="0"/>
    <n v="18"/>
    <n v="0"/>
    <n v="18"/>
  </r>
  <r>
    <n v="805"/>
    <s v="00073-ELE"/>
    <x v="3"/>
    <x v="804"/>
    <n v="0"/>
    <n v="70"/>
    <n v="70"/>
    <n v="0"/>
  </r>
  <r>
    <n v="806"/>
    <s v="00164-FER"/>
    <x v="1"/>
    <x v="805"/>
    <n v="0"/>
    <n v="2"/>
    <n v="1"/>
    <n v="1"/>
  </r>
  <r>
    <n v="807"/>
    <s v="00165-FER"/>
    <x v="1"/>
    <x v="806"/>
    <n v="0"/>
    <n v="409"/>
    <n v="409"/>
    <n v="0"/>
  </r>
  <r>
    <n v="808"/>
    <s v="00166-FER"/>
    <x v="1"/>
    <x v="807"/>
    <n v="0"/>
    <n v="350"/>
    <n v="350"/>
    <n v="0"/>
  </r>
  <r>
    <n v="809"/>
    <s v="00167-FER"/>
    <x v="1"/>
    <x v="808"/>
    <n v="0"/>
    <n v="350"/>
    <n v="350"/>
    <n v="0"/>
  </r>
  <r>
    <n v="810"/>
    <s v="00168-FER"/>
    <x v="1"/>
    <x v="809"/>
    <n v="0"/>
    <n v="60"/>
    <n v="60"/>
    <n v="0"/>
  </r>
  <r>
    <n v="811"/>
    <s v="00169-FER"/>
    <x v="1"/>
    <x v="810"/>
    <n v="0"/>
    <n v="40"/>
    <n v="40"/>
    <n v="0"/>
  </r>
  <r>
    <n v="812"/>
    <s v="00170-FER"/>
    <x v="1"/>
    <x v="811"/>
    <n v="0"/>
    <n v="1"/>
    <n v="1"/>
    <n v="0"/>
  </r>
  <r>
    <n v="813"/>
    <s v="00059-HRR"/>
    <x v="10"/>
    <x v="812"/>
    <n v="0"/>
    <n v="1"/>
    <n v="1"/>
    <n v="0"/>
  </r>
  <r>
    <n v="814"/>
    <s v="00110-HER"/>
    <x v="4"/>
    <x v="813"/>
    <n v="0"/>
    <n v="1"/>
    <n v="0"/>
    <n v="1"/>
  </r>
  <r>
    <n v="815"/>
    <s v="00074-ELE"/>
    <x v="3"/>
    <x v="814"/>
    <n v="0"/>
    <n v="26"/>
    <n v="30"/>
    <n v="-4"/>
  </r>
  <r>
    <n v="816"/>
    <s v="00019-LIM"/>
    <x v="12"/>
    <x v="815"/>
    <n v="0"/>
    <n v="1"/>
    <n v="1"/>
    <n v="0"/>
  </r>
  <r>
    <n v="817"/>
    <s v="00051-ILU"/>
    <x v="2"/>
    <x v="816"/>
    <n v="0"/>
    <n v="5"/>
    <n v="0"/>
    <n v="5"/>
  </r>
  <r>
    <n v="818"/>
    <s v="00102-REF"/>
    <x v="0"/>
    <x v="817"/>
    <n v="0"/>
    <n v="1"/>
    <n v="1"/>
    <n v="0"/>
  </r>
  <r>
    <n v="698"/>
    <s v="00103-REF"/>
    <x v="0"/>
    <x v="818"/>
    <n v="0"/>
    <n v="5"/>
    <n v="0"/>
    <n v="5"/>
  </r>
  <r>
    <n v="820"/>
    <s v="00111-HER"/>
    <x v="4"/>
    <x v="819"/>
    <n v="0"/>
    <n v="1"/>
    <n v="0"/>
    <n v="1"/>
  </r>
  <r>
    <n v="821"/>
    <s v="00112-HER"/>
    <x v="4"/>
    <x v="820"/>
    <n v="0"/>
    <n v="1"/>
    <n v="0"/>
    <n v="1"/>
  </r>
  <r>
    <n v="822"/>
    <s v="00104-REF"/>
    <x v="0"/>
    <x v="821"/>
    <n v="0"/>
    <n v="1"/>
    <n v="1"/>
    <n v="0"/>
  </r>
  <r>
    <n v="823"/>
    <s v="00105-REF"/>
    <x v="0"/>
    <x v="822"/>
    <n v="0"/>
    <n v="16"/>
    <n v="18"/>
    <n v="-2"/>
  </r>
  <r>
    <n v="824"/>
    <s v="00015-AUT"/>
    <x v="9"/>
    <x v="823"/>
    <n v="0"/>
    <n v="1.5"/>
    <n v="0"/>
    <n v="1.5"/>
  </r>
  <r>
    <n v="825"/>
    <s v="00171-FER"/>
    <x v="1"/>
    <x v="824"/>
    <n v="0"/>
    <n v="1"/>
    <n v="0"/>
    <n v="1"/>
  </r>
  <r>
    <n v="826"/>
    <s v="00113-HER"/>
    <x v="4"/>
    <x v="825"/>
    <n v="0"/>
    <n v="2"/>
    <n v="0"/>
    <n v="2"/>
  </r>
  <r>
    <n v="827"/>
    <s v="00054-PLM"/>
    <x v="11"/>
    <x v="826"/>
    <n v="0"/>
    <n v="3"/>
    <n v="1"/>
    <n v="2"/>
  </r>
  <r>
    <n v="828"/>
    <s v="00114-HER"/>
    <x v="4"/>
    <x v="827"/>
    <n v="0"/>
    <n v="76"/>
    <n v="30"/>
    <n v="46"/>
  </r>
  <r>
    <n v="829"/>
    <s v="00172-FER"/>
    <x v="1"/>
    <x v="828"/>
    <n v="0"/>
    <n v="1"/>
    <n v="1"/>
    <n v="0"/>
  </r>
  <r>
    <n v="830"/>
    <s v="00075-ELE"/>
    <x v="3"/>
    <x v="829"/>
    <n v="0"/>
    <n v="1410"/>
    <n v="1210"/>
    <n v="200"/>
  </r>
  <r>
    <n v="831"/>
    <s v="00020-LIM"/>
    <x v="12"/>
    <x v="830"/>
    <n v="0"/>
    <n v="20"/>
    <n v="10"/>
    <n v="10"/>
  </r>
  <r>
    <n v="832"/>
    <s v="00076-ELE"/>
    <x v="3"/>
    <x v="831"/>
    <n v="0"/>
    <n v="3"/>
    <n v="1"/>
    <n v="2"/>
  </r>
  <r>
    <n v="833"/>
    <s v="00173-FER"/>
    <x v="1"/>
    <x v="832"/>
    <n v="0"/>
    <n v="300"/>
    <n v="300"/>
    <n v="0"/>
  </r>
  <r>
    <n v="834"/>
    <s v="00047-ELC"/>
    <x v="7"/>
    <x v="833"/>
    <n v="0"/>
    <n v="1"/>
    <n v="1"/>
    <n v="0"/>
  </r>
  <r>
    <n v="835"/>
    <s v="00052-ILU"/>
    <x v="2"/>
    <x v="834"/>
    <n v="0"/>
    <n v="6"/>
    <n v="1"/>
    <n v="5"/>
  </r>
  <r>
    <n v="836"/>
    <s v="00106-REF"/>
    <x v="0"/>
    <x v="835"/>
    <n v="0"/>
    <n v="2"/>
    <n v="2"/>
    <n v="0"/>
  </r>
  <r>
    <n v="837"/>
    <s v="00107-REF"/>
    <x v="0"/>
    <x v="836"/>
    <n v="0"/>
    <n v="2"/>
    <n v="2"/>
    <n v="0"/>
  </r>
  <r>
    <n v="838"/>
    <s v="00115-HER"/>
    <x v="4"/>
    <x v="837"/>
    <n v="0"/>
    <n v="1"/>
    <n v="0"/>
    <n v="1"/>
  </r>
  <r>
    <n v="839"/>
    <s v="00053-ILU"/>
    <x v="2"/>
    <x v="838"/>
    <n v="0"/>
    <n v="10"/>
    <n v="1"/>
    <n v="9"/>
  </r>
  <r>
    <n v="840"/>
    <s v="00174-FER"/>
    <x v="1"/>
    <x v="839"/>
    <n v="0"/>
    <n v="2"/>
    <n v="2"/>
    <n v="0"/>
  </r>
  <r>
    <n v="841"/>
    <s v="00175-FER"/>
    <x v="1"/>
    <x v="840"/>
    <n v="0"/>
    <n v="3"/>
    <n v="3"/>
    <n v="0"/>
  </r>
  <r>
    <n v="842"/>
    <s v="00060-HRR"/>
    <x v="10"/>
    <x v="841"/>
    <n v="0"/>
    <n v="1"/>
    <n v="1"/>
    <n v="0"/>
  </r>
  <r>
    <n v="843"/>
    <s v="00019-MSC"/>
    <x v="6"/>
    <x v="842"/>
    <n v="0"/>
    <n v="2"/>
    <n v="2"/>
    <n v="0"/>
  </r>
  <r>
    <n v="844"/>
    <s v="00020-MSC"/>
    <x v="6"/>
    <x v="843"/>
    <n v="0"/>
    <n v="15"/>
    <n v="5"/>
    <n v="10"/>
  </r>
  <r>
    <n v="845"/>
    <s v="00021-LIM"/>
    <x v="12"/>
    <x v="844"/>
    <n v="0"/>
    <n v="1"/>
    <n v="1"/>
    <n v="0"/>
  </r>
  <r>
    <n v="846"/>
    <s v="00022-LIM"/>
    <x v="12"/>
    <x v="845"/>
    <n v="0"/>
    <n v="32"/>
    <n v="32"/>
    <n v="0"/>
  </r>
  <r>
    <n v="847"/>
    <s v="00023-LIM"/>
    <x v="12"/>
    <x v="846"/>
    <n v="0"/>
    <n v="6"/>
    <n v="6"/>
    <n v="0"/>
  </r>
  <r>
    <n v="848"/>
    <s v="00024-LIM"/>
    <x v="12"/>
    <x v="847"/>
    <n v="0"/>
    <n v="1"/>
    <n v="1"/>
    <n v="0"/>
  </r>
  <r>
    <n v="849"/>
    <s v="00021-MSC"/>
    <x v="6"/>
    <x v="848"/>
    <n v="0"/>
    <n v="2"/>
    <n v="2"/>
    <n v="0"/>
  </r>
  <r>
    <n v="850"/>
    <s v="00176-FER"/>
    <x v="1"/>
    <x v="849"/>
    <n v="0"/>
    <n v="5"/>
    <n v="0"/>
    <n v="5"/>
  </r>
  <r>
    <n v="851"/>
    <s v="00055-PLM"/>
    <x v="11"/>
    <x v="850"/>
    <n v="0"/>
    <n v="4"/>
    <n v="1"/>
    <n v="3"/>
  </r>
  <r>
    <n v="852"/>
    <s v="00056-PLM"/>
    <x v="11"/>
    <x v="851"/>
    <n v="0"/>
    <n v="3"/>
    <n v="3"/>
    <n v="0"/>
  </r>
  <r>
    <n v="853"/>
    <s v="00108-REF"/>
    <x v="0"/>
    <x v="852"/>
    <n v="0"/>
    <n v="1"/>
    <n v="1"/>
    <n v="0"/>
  </r>
  <r>
    <n v="854"/>
    <s v="00048-ELC"/>
    <x v="7"/>
    <x v="853"/>
    <n v="0"/>
    <n v="1"/>
    <n v="1"/>
    <n v="0"/>
  </r>
  <r>
    <n v="855"/>
    <s v="00057-PLM"/>
    <x v="11"/>
    <x v="854"/>
    <n v="0"/>
    <n v="1"/>
    <n v="1"/>
    <n v="0"/>
  </r>
  <r>
    <n v="856"/>
    <s v="00049-ELC"/>
    <x v="7"/>
    <x v="855"/>
    <n v="0"/>
    <n v="2"/>
    <n v="3"/>
    <n v="-1"/>
  </r>
  <r>
    <n v="560"/>
    <s v="00109-REF"/>
    <x v="0"/>
    <x v="856"/>
    <n v="0"/>
    <n v="6"/>
    <n v="0"/>
    <n v="6"/>
  </r>
  <r>
    <n v="637"/>
    <s v="00110-REF"/>
    <x v="0"/>
    <x v="857"/>
    <n v="0"/>
    <n v="5"/>
    <n v="1"/>
    <n v="4"/>
  </r>
  <r>
    <n v="859"/>
    <s v="00111-REF"/>
    <x v="0"/>
    <x v="858"/>
    <n v="0"/>
    <n v="4"/>
    <n v="0"/>
    <n v="4"/>
  </r>
  <r>
    <n v="111"/>
    <s v="00112-REF"/>
    <x v="0"/>
    <x v="859"/>
    <n v="0"/>
    <n v="7"/>
    <n v="2"/>
    <n v="5"/>
  </r>
  <r>
    <n v="888"/>
    <s v="00113-REF"/>
    <x v="0"/>
    <x v="860"/>
    <n v="0"/>
    <n v="11"/>
    <n v="1"/>
    <n v="10"/>
  </r>
  <r>
    <n v="862"/>
    <s v="00177-FER"/>
    <x v="1"/>
    <x v="861"/>
    <n v="0"/>
    <n v="1"/>
    <n v="1"/>
    <n v="0"/>
  </r>
  <r>
    <n v="941"/>
    <s v="00114-REF"/>
    <x v="0"/>
    <x v="862"/>
    <n v="0"/>
    <n v="14"/>
    <n v="13"/>
    <n v="1"/>
  </r>
  <r>
    <n v="864"/>
    <s v="00115-REF"/>
    <x v="0"/>
    <x v="863"/>
    <n v="0"/>
    <n v="10"/>
    <n v="0"/>
    <n v="10"/>
  </r>
  <r>
    <n v="865"/>
    <s v="00116-REF"/>
    <x v="0"/>
    <x v="864"/>
    <n v="0"/>
    <n v="5"/>
    <n v="0"/>
    <n v="5"/>
  </r>
  <r>
    <n v="866"/>
    <s v="00117-REF"/>
    <x v="0"/>
    <x v="865"/>
    <n v="0"/>
    <n v="7"/>
    <n v="0"/>
    <n v="7"/>
  </r>
  <r>
    <n v="867"/>
    <s v="00178-FER"/>
    <x v="1"/>
    <x v="866"/>
    <n v="0"/>
    <n v="3"/>
    <n v="0"/>
    <n v="3"/>
  </r>
  <r>
    <n v="868"/>
    <s v="00050-ELC"/>
    <x v="7"/>
    <x v="867"/>
    <n v="0"/>
    <n v="5"/>
    <n v="2"/>
    <n v="3"/>
  </r>
  <r>
    <n v="869"/>
    <s v="00051-ELC"/>
    <x v="7"/>
    <x v="868"/>
    <n v="0"/>
    <n v="4"/>
    <n v="3"/>
    <n v="1"/>
  </r>
  <r>
    <n v="870"/>
    <s v="00052-ELC"/>
    <x v="7"/>
    <x v="869"/>
    <n v="0"/>
    <n v="1"/>
    <n v="1"/>
    <n v="0"/>
  </r>
  <r>
    <n v="871"/>
    <s v="00053-ELC"/>
    <x v="7"/>
    <x v="870"/>
    <n v="0"/>
    <n v="4"/>
    <n v="2"/>
    <n v="2"/>
  </r>
  <r>
    <n v="872"/>
    <s v="00054-ELC"/>
    <x v="7"/>
    <x v="871"/>
    <n v="0"/>
    <n v="1"/>
    <n v="0"/>
    <n v="1"/>
  </r>
  <r>
    <n v="873"/>
    <s v="00179-FER"/>
    <x v="1"/>
    <x v="872"/>
    <n v="0"/>
    <n v="3"/>
    <n v="2"/>
    <n v="1"/>
  </r>
  <r>
    <n v="874"/>
    <s v="00055-ELC"/>
    <x v="7"/>
    <x v="873"/>
    <n v="0"/>
    <n v="1"/>
    <n v="0"/>
    <n v="1"/>
  </r>
  <r>
    <n v="875"/>
    <s v="00056-ELC"/>
    <x v="7"/>
    <x v="874"/>
    <n v="0"/>
    <n v="3"/>
    <n v="3"/>
    <n v="0"/>
  </r>
  <r>
    <n v="876"/>
    <s v="00057-ELC"/>
    <x v="7"/>
    <x v="875"/>
    <n v="0"/>
    <n v="1"/>
    <n v="1"/>
    <n v="0"/>
  </r>
  <r>
    <n v="877"/>
    <s v="00058-ELC"/>
    <x v="7"/>
    <x v="876"/>
    <n v="0"/>
    <n v="12"/>
    <n v="9"/>
    <n v="3"/>
  </r>
  <r>
    <n v="878"/>
    <s v="00059-ELC"/>
    <x v="7"/>
    <x v="877"/>
    <n v="0"/>
    <n v="4"/>
    <n v="4"/>
    <n v="0"/>
  </r>
  <r>
    <n v="879"/>
    <s v="00180-FER"/>
    <x v="1"/>
    <x v="878"/>
    <n v="0"/>
    <n v="10"/>
    <n v="0"/>
    <n v="10"/>
  </r>
  <r>
    <n v="880"/>
    <s v="00181-FER"/>
    <x v="1"/>
    <x v="879"/>
    <n v="0"/>
    <n v="20"/>
    <n v="0"/>
    <n v="20"/>
  </r>
  <r>
    <n v="881"/>
    <s v="00116-HER"/>
    <x v="4"/>
    <x v="880"/>
    <n v="0"/>
    <n v="1"/>
    <n v="1"/>
    <n v="0"/>
  </r>
  <r>
    <n v="882"/>
    <s v="00118-REF"/>
    <x v="0"/>
    <x v="881"/>
    <n v="0"/>
    <n v="1"/>
    <n v="1"/>
    <n v="0"/>
  </r>
  <r>
    <n v="883"/>
    <s v="00119-REF"/>
    <x v="0"/>
    <x v="882"/>
    <n v="0"/>
    <n v="3"/>
    <n v="11"/>
    <n v="-8"/>
  </r>
  <r>
    <n v="884"/>
    <s v="00182-FER"/>
    <x v="1"/>
    <x v="883"/>
    <n v="0"/>
    <n v="4"/>
    <n v="4"/>
    <n v="0"/>
  </r>
  <r>
    <n v="885"/>
    <s v="00183-FER"/>
    <x v="1"/>
    <x v="884"/>
    <n v="0"/>
    <n v="1"/>
    <n v="1"/>
    <n v="0"/>
  </r>
  <r>
    <n v="886"/>
    <s v="00058-PLM"/>
    <x v="11"/>
    <x v="885"/>
    <n v="0"/>
    <n v="2"/>
    <n v="1"/>
    <n v="1"/>
  </r>
  <r>
    <n v="887"/>
    <s v="00184-FER"/>
    <x v="1"/>
    <x v="886"/>
    <n v="0"/>
    <n v="6"/>
    <n v="4"/>
    <n v="2"/>
  </r>
  <r>
    <n v="861"/>
    <s v="00120-REF"/>
    <x v="0"/>
    <x v="887"/>
    <n v="0"/>
    <n v="6"/>
    <n v="1"/>
    <n v="5"/>
  </r>
  <r>
    <n v="889"/>
    <s v="00016-AUT"/>
    <x v="9"/>
    <x v="888"/>
    <n v="0"/>
    <n v="3"/>
    <n v="3"/>
    <n v="0"/>
  </r>
  <r>
    <n v="890"/>
    <s v="00077-ELE"/>
    <x v="3"/>
    <x v="889"/>
    <n v="0"/>
    <n v="8"/>
    <n v="12"/>
    <n v="-4"/>
  </r>
  <r>
    <n v="891"/>
    <s v="00185-FER"/>
    <x v="1"/>
    <x v="890"/>
    <n v="0"/>
    <n v="10"/>
    <n v="10"/>
    <n v="0"/>
  </r>
  <r>
    <n v="892"/>
    <s v="00186-FER"/>
    <x v="1"/>
    <x v="891"/>
    <n v="0"/>
    <n v="20"/>
    <n v="20"/>
    <n v="0"/>
  </r>
  <r>
    <n v="893"/>
    <s v="00187-FER"/>
    <x v="1"/>
    <x v="892"/>
    <n v="0"/>
    <n v="1"/>
    <n v="1"/>
    <n v="0"/>
  </r>
  <r>
    <n v="894"/>
    <s v="00059-PLM"/>
    <x v="11"/>
    <x v="893"/>
    <n v="0"/>
    <n v="4"/>
    <n v="0"/>
    <n v="4"/>
  </r>
  <r>
    <n v="895"/>
    <s v="00061-HRR"/>
    <x v="10"/>
    <x v="894"/>
    <n v="0"/>
    <n v="1"/>
    <n v="1"/>
    <n v="0"/>
  </r>
  <r>
    <n v="896"/>
    <s v="00188-FER"/>
    <x v="1"/>
    <x v="895"/>
    <n v="0"/>
    <n v="600"/>
    <n v="600"/>
    <n v="0"/>
  </r>
  <r>
    <n v="897"/>
    <s v="00189-FER"/>
    <x v="1"/>
    <x v="896"/>
    <n v="0"/>
    <n v="97"/>
    <n v="15"/>
    <n v="82"/>
  </r>
  <r>
    <n v="898"/>
    <s v="00078-ELE"/>
    <x v="3"/>
    <x v="897"/>
    <n v="0"/>
    <n v="4"/>
    <n v="3"/>
    <n v="1"/>
  </r>
  <r>
    <n v="899"/>
    <s v="00060-PLM"/>
    <x v="11"/>
    <x v="898"/>
    <n v="0"/>
    <n v="1"/>
    <n v="1"/>
    <n v="0"/>
  </r>
  <r>
    <n v="900"/>
    <s v="00061-PLM"/>
    <x v="11"/>
    <x v="899"/>
    <n v="0"/>
    <n v="1"/>
    <n v="1"/>
    <n v="0"/>
  </r>
  <r>
    <n v="901"/>
    <s v="00190-FER"/>
    <x v="1"/>
    <x v="900"/>
    <n v="0"/>
    <n v="40"/>
    <n v="0"/>
    <n v="40"/>
  </r>
  <r>
    <n v="902"/>
    <s v="00191-FER"/>
    <x v="1"/>
    <x v="901"/>
    <n v="0"/>
    <n v="40"/>
    <n v="0"/>
    <n v="40"/>
  </r>
  <r>
    <n v="903"/>
    <s v="00062-HRR"/>
    <x v="10"/>
    <x v="902"/>
    <n v="0"/>
    <n v="8"/>
    <n v="2.5"/>
    <n v="5.5"/>
  </r>
  <r>
    <n v="904"/>
    <s v="00192-FER"/>
    <x v="1"/>
    <x v="903"/>
    <n v="0"/>
    <n v="1"/>
    <n v="1"/>
    <n v="0"/>
  </r>
  <r>
    <n v="905"/>
    <s v="00117-HER"/>
    <x v="4"/>
    <x v="904"/>
    <n v="0"/>
    <n v="1"/>
    <n v="1"/>
    <n v="0"/>
  </r>
  <r>
    <n v="906"/>
    <s v="00193-FER"/>
    <x v="1"/>
    <x v="905"/>
    <n v="0"/>
    <n v="1"/>
    <n v="1"/>
    <n v="0"/>
  </r>
  <r>
    <n v="907"/>
    <s v="00194-FER"/>
    <x v="1"/>
    <x v="906"/>
    <n v="0"/>
    <n v="1"/>
    <n v="1"/>
    <n v="0"/>
  </r>
  <r>
    <n v="908"/>
    <s v="00063-HRR"/>
    <x v="10"/>
    <x v="907"/>
    <n v="0"/>
    <n v="8"/>
    <n v="8"/>
    <n v="0"/>
  </r>
  <r>
    <n v="909"/>
    <s v="00195-FER"/>
    <x v="1"/>
    <x v="908"/>
    <n v="0"/>
    <n v="1"/>
    <n v="1"/>
    <n v="0"/>
  </r>
  <r>
    <n v="910"/>
    <s v="00196-FER"/>
    <x v="1"/>
    <x v="909"/>
    <n v="0"/>
    <n v="4"/>
    <n v="2"/>
    <n v="2"/>
  </r>
  <r>
    <n v="911"/>
    <s v="00060-ELC"/>
    <x v="7"/>
    <x v="910"/>
    <n v="0"/>
    <n v="2"/>
    <n v="2"/>
    <n v="0"/>
  </r>
  <r>
    <n v="912"/>
    <s v="00064-HRR"/>
    <x v="10"/>
    <x v="911"/>
    <n v="0"/>
    <n v="1"/>
    <n v="0"/>
    <n v="1"/>
  </r>
  <r>
    <n v="913"/>
    <s v="00065-HRR"/>
    <x v="10"/>
    <x v="912"/>
    <n v="0"/>
    <n v="10"/>
    <n v="0"/>
    <n v="10"/>
  </r>
  <r>
    <n v="914"/>
    <s v="00025-LIM"/>
    <x v="12"/>
    <x v="913"/>
    <n v="0"/>
    <n v="1"/>
    <n v="0.5"/>
    <n v="0.5"/>
  </r>
  <r>
    <n v="915"/>
    <s v="00061-ELC"/>
    <x v="7"/>
    <x v="914"/>
    <n v="0"/>
    <n v="7"/>
    <n v="0"/>
    <n v="7"/>
  </r>
  <r>
    <n v="916"/>
    <s v="00062-ELC"/>
    <x v="7"/>
    <x v="915"/>
    <n v="0"/>
    <n v="1"/>
    <n v="0"/>
    <n v="1"/>
  </r>
  <r>
    <n v="917"/>
    <s v="00063-ELC"/>
    <x v="7"/>
    <x v="916"/>
    <n v="0"/>
    <n v="3"/>
    <n v="0"/>
    <n v="3"/>
  </r>
  <r>
    <n v="918"/>
    <s v="00064-ELC"/>
    <x v="7"/>
    <x v="917"/>
    <n v="0"/>
    <n v="4"/>
    <n v="0"/>
    <n v="4"/>
  </r>
  <r>
    <n v="919"/>
    <s v="00197-FER"/>
    <x v="1"/>
    <x v="918"/>
    <n v="0"/>
    <n v="1"/>
    <n v="0"/>
    <n v="1"/>
  </r>
  <r>
    <n v="920"/>
    <s v="00079-ELE"/>
    <x v="3"/>
    <x v="919"/>
    <n v="0"/>
    <n v="12"/>
    <n v="112"/>
    <n v="-100"/>
  </r>
  <r>
    <n v="921"/>
    <s v="00080-ELE"/>
    <x v="3"/>
    <x v="920"/>
    <n v="0"/>
    <n v="1"/>
    <n v="1"/>
    <n v="0"/>
  </r>
  <r>
    <n v="922"/>
    <s v="00065-ELC"/>
    <x v="7"/>
    <x v="921"/>
    <n v="0"/>
    <n v="6"/>
    <n v="0"/>
    <n v="6"/>
  </r>
  <r>
    <n v="923"/>
    <s v="00066-ELC"/>
    <x v="7"/>
    <x v="922"/>
    <n v="0"/>
    <n v="4"/>
    <n v="0"/>
    <n v="4"/>
  </r>
  <r>
    <n v="924"/>
    <s v="00067-ELC"/>
    <x v="7"/>
    <x v="923"/>
    <n v="0"/>
    <n v="2"/>
    <n v="0"/>
    <n v="2"/>
  </r>
  <r>
    <n v="925"/>
    <s v="00068-ELC"/>
    <x v="7"/>
    <x v="924"/>
    <n v="0"/>
    <n v="3"/>
    <n v="0"/>
    <n v="3"/>
  </r>
  <r>
    <n v="926"/>
    <s v="00069-ELC"/>
    <x v="7"/>
    <x v="925"/>
    <n v="0"/>
    <n v="2"/>
    <n v="0"/>
    <n v="2"/>
  </r>
  <r>
    <n v="927"/>
    <s v="00070-ELC"/>
    <x v="7"/>
    <x v="926"/>
    <n v="0"/>
    <n v="2"/>
    <n v="0"/>
    <n v="2"/>
  </r>
  <r>
    <n v="928"/>
    <s v="00071-ELC"/>
    <x v="7"/>
    <x v="927"/>
    <n v="0"/>
    <n v="3"/>
    <n v="0"/>
    <n v="3"/>
  </r>
  <r>
    <n v="929"/>
    <s v="00072-ELC"/>
    <x v="7"/>
    <x v="928"/>
    <n v="0"/>
    <n v="2"/>
    <n v="1"/>
    <n v="1"/>
  </r>
  <r>
    <n v="930"/>
    <s v="00073-ELC"/>
    <x v="7"/>
    <x v="929"/>
    <n v="0"/>
    <n v="6"/>
    <n v="0"/>
    <n v="6"/>
  </r>
  <r>
    <n v="931"/>
    <s v="00074-ELC"/>
    <x v="7"/>
    <x v="930"/>
    <n v="0"/>
    <n v="2"/>
    <n v="0"/>
    <n v="2"/>
  </r>
  <r>
    <n v="932"/>
    <s v="00075-ELC"/>
    <x v="7"/>
    <x v="931"/>
    <n v="0"/>
    <n v="1"/>
    <n v="0"/>
    <n v="1"/>
  </r>
  <r>
    <n v="933"/>
    <s v="00076-ELC"/>
    <x v="7"/>
    <x v="932"/>
    <n v="0"/>
    <n v="2"/>
    <n v="0"/>
    <n v="2"/>
  </r>
  <r>
    <n v="934"/>
    <s v="00035-OFC"/>
    <x v="5"/>
    <x v="933"/>
    <n v="0"/>
    <n v="1"/>
    <n v="0"/>
    <n v="1"/>
  </r>
  <r>
    <n v="935"/>
    <s v="00036-OFC"/>
    <x v="5"/>
    <x v="934"/>
    <n v="0"/>
    <n v="2"/>
    <n v="0"/>
    <n v="2"/>
  </r>
  <r>
    <n v="936"/>
    <s v="00037-OFC"/>
    <x v="5"/>
    <x v="935"/>
    <n v="0"/>
    <n v="3"/>
    <n v="0"/>
    <n v="3"/>
  </r>
  <r>
    <n v="937"/>
    <s v="00022-MSC"/>
    <x v="6"/>
    <x v="936"/>
    <n v="0"/>
    <n v="3"/>
    <n v="0"/>
    <n v="3"/>
  </r>
  <r>
    <n v="938"/>
    <s v="00077-ELC"/>
    <x v="7"/>
    <x v="937"/>
    <n v="0"/>
    <n v="2"/>
    <n v="2"/>
    <n v="0"/>
  </r>
  <r>
    <n v="939"/>
    <s v="00054-ILU"/>
    <x v="2"/>
    <x v="938"/>
    <n v="0"/>
    <n v="3"/>
    <n v="2"/>
    <n v="1"/>
  </r>
  <r>
    <n v="940"/>
    <s v="00121-REF"/>
    <x v="0"/>
    <x v="939"/>
    <n v="0"/>
    <n v="3"/>
    <n v="0"/>
    <n v="3"/>
  </r>
  <r>
    <n v="393"/>
    <s v="00122-REF"/>
    <x v="0"/>
    <x v="940"/>
    <n v="0"/>
    <n v="4"/>
    <n v="0"/>
    <n v="4"/>
  </r>
  <r>
    <n v="942"/>
    <s v="00198-FER"/>
    <x v="1"/>
    <x v="941"/>
    <n v="0"/>
    <n v="16"/>
    <n v="16"/>
    <n v="0"/>
  </r>
  <r>
    <n v="943"/>
    <s v="00199-FER"/>
    <x v="1"/>
    <x v="942"/>
    <n v="0"/>
    <n v="12"/>
    <n v="12"/>
    <n v="0"/>
  </r>
  <r>
    <n v="944"/>
    <s v="00081-ELE"/>
    <x v="3"/>
    <x v="943"/>
    <n v="0"/>
    <n v="2"/>
    <n v="2"/>
    <n v="0"/>
  </r>
  <r>
    <n v="945"/>
    <s v="00200-FER"/>
    <x v="1"/>
    <x v="944"/>
    <n v="0"/>
    <n v="100"/>
    <n v="100"/>
    <n v="0"/>
  </r>
  <r>
    <n v="946"/>
    <s v="00026-LIM"/>
    <x v="12"/>
    <x v="945"/>
    <n v="0"/>
    <n v="100"/>
    <n v="100"/>
    <n v="0"/>
  </r>
  <r>
    <n v="947"/>
    <s v="00027-LIM"/>
    <x v="12"/>
    <x v="946"/>
    <n v="0"/>
    <n v="100"/>
    <n v="100"/>
    <n v="0"/>
  </r>
  <r>
    <n v="948"/>
    <s v="00066-HRR"/>
    <x v="10"/>
    <x v="947"/>
    <n v="0"/>
    <n v="1"/>
    <n v="1"/>
    <n v="0"/>
  </r>
  <r>
    <n v="949"/>
    <s v="00118-HER"/>
    <x v="4"/>
    <x v="948"/>
    <n v="0"/>
    <n v="1"/>
    <n v="1"/>
    <n v="0"/>
  </r>
  <r>
    <n v="950"/>
    <s v="00119-HER"/>
    <x v="4"/>
    <x v="949"/>
    <n v="0"/>
    <n v="1"/>
    <n v="1"/>
    <n v="0"/>
  </r>
  <r>
    <n v="951"/>
    <s v="00120-HER"/>
    <x v="4"/>
    <x v="950"/>
    <n v="0"/>
    <n v="1"/>
    <n v="1"/>
    <n v="0"/>
  </r>
  <r>
    <n v="952"/>
    <s v="00121-HER"/>
    <x v="4"/>
    <x v="951"/>
    <n v="0"/>
    <n v="3"/>
    <n v="0"/>
    <n v="3"/>
  </r>
  <r>
    <n v="953"/>
    <s v="00023-MSC"/>
    <x v="6"/>
    <x v="952"/>
    <n v="0"/>
    <n v="80"/>
    <n v="0"/>
    <n v="80"/>
  </r>
  <r>
    <n v="954"/>
    <s v="00028-LIM"/>
    <x v="12"/>
    <x v="953"/>
    <n v="0"/>
    <n v="10"/>
    <n v="1"/>
    <n v="9"/>
  </r>
  <r>
    <n v="955"/>
    <s v="00055-ILU"/>
    <x v="2"/>
    <x v="954"/>
    <n v="0"/>
    <n v="14"/>
    <n v="0"/>
    <n v="14"/>
  </r>
  <r>
    <n v="956"/>
    <s v="00201-FER"/>
    <x v="1"/>
    <x v="955"/>
    <n v="0"/>
    <n v="6"/>
    <n v="6"/>
    <n v="0"/>
  </r>
  <r>
    <n v="957"/>
    <s v="00082-ELE"/>
    <x v="3"/>
    <x v="956"/>
    <n v="0"/>
    <n v="30"/>
    <n v="180"/>
    <n v="-150"/>
  </r>
  <r>
    <n v="958"/>
    <s v="00202-FER"/>
    <x v="1"/>
    <x v="957"/>
    <n v="0"/>
    <n v="20"/>
    <n v="20"/>
    <n v="0"/>
  </r>
  <r>
    <n v="959"/>
    <s v="00083-ELE"/>
    <x v="3"/>
    <x v="958"/>
    <n v="0"/>
    <n v="209"/>
    <n v="0"/>
    <n v="209"/>
  </r>
  <r>
    <n v="960"/>
    <s v="00084-ELE"/>
    <x v="3"/>
    <x v="959"/>
    <n v="0"/>
    <n v="527"/>
    <n v="200"/>
    <n v="327"/>
  </r>
  <r>
    <n v="961"/>
    <s v="00085-ELE"/>
    <x v="3"/>
    <x v="960"/>
    <n v="0"/>
    <n v="200"/>
    <n v="0"/>
    <n v="200"/>
  </r>
  <r>
    <n v="962"/>
    <s v="00086-ELE"/>
    <x v="3"/>
    <x v="961"/>
    <n v="0"/>
    <n v="212.5"/>
    <n v="0"/>
    <n v="212.5"/>
  </r>
  <r>
    <n v="963"/>
    <s v="00087-ELE"/>
    <x v="3"/>
    <x v="962"/>
    <n v="0"/>
    <n v="204"/>
    <n v="0"/>
    <n v="204"/>
  </r>
  <r>
    <n v="964"/>
    <s v="00088-ELE"/>
    <x v="3"/>
    <x v="963"/>
    <n v="0"/>
    <n v="1128"/>
    <n v="700"/>
    <n v="428"/>
  </r>
  <r>
    <n v="965"/>
    <s v="00056-ILU"/>
    <x v="2"/>
    <x v="964"/>
    <n v="0"/>
    <n v="21"/>
    <n v="0"/>
    <n v="21"/>
  </r>
  <r>
    <n v="966"/>
    <s v="00123-REF"/>
    <x v="0"/>
    <x v="965"/>
    <n v="0"/>
    <n v="150"/>
    <n v="22"/>
    <n v="128"/>
  </r>
  <r>
    <n v="967"/>
    <s v="00203-FER"/>
    <x v="1"/>
    <x v="966"/>
    <n v="0"/>
    <n v="4"/>
    <n v="4"/>
    <n v="0"/>
  </r>
  <r>
    <n v="968"/>
    <s v="00062-PLM"/>
    <x v="11"/>
    <x v="967"/>
    <n v="0"/>
    <n v="3"/>
    <n v="3"/>
    <n v="0"/>
  </r>
  <r>
    <n v="969"/>
    <s v="00063-PLM"/>
    <x v="11"/>
    <x v="968"/>
    <n v="0"/>
    <n v="1"/>
    <n v="1"/>
    <n v="0"/>
  </r>
  <r>
    <n v="970"/>
    <s v="00204-FER"/>
    <x v="1"/>
    <x v="969"/>
    <n v="0"/>
    <n v="1"/>
    <n v="1"/>
    <n v="0"/>
  </r>
  <r>
    <n v="971"/>
    <s v="00078-ELC"/>
    <x v="7"/>
    <x v="970"/>
    <n v="0"/>
    <n v="11"/>
    <n v="8"/>
    <n v="3"/>
  </r>
  <r>
    <n v="972"/>
    <s v="00205-FER"/>
    <x v="1"/>
    <x v="971"/>
    <n v="0"/>
    <n v="26"/>
    <n v="26"/>
    <n v="0"/>
  </r>
  <r>
    <n v="973"/>
    <s v="00089-ELE"/>
    <x v="3"/>
    <x v="972"/>
    <n v="0"/>
    <n v="1500"/>
    <n v="1500"/>
    <n v="0"/>
  </r>
  <r>
    <n v="974"/>
    <s v="00090-ELE"/>
    <x v="3"/>
    <x v="973"/>
    <n v="0"/>
    <n v="400"/>
    <n v="100"/>
    <n v="300"/>
  </r>
  <r>
    <n v="975"/>
    <s v="00124-REF"/>
    <x v="0"/>
    <x v="974"/>
    <n v="0"/>
    <n v="70"/>
    <n v="150"/>
    <n v="-80"/>
  </r>
  <r>
    <n v="976"/>
    <s v="00125-REF"/>
    <x v="0"/>
    <x v="975"/>
    <n v="0"/>
    <n v="1"/>
    <n v="1"/>
    <n v="0"/>
  </r>
  <r>
    <n v="977"/>
    <s v="00079-ELC"/>
    <x v="7"/>
    <x v="976"/>
    <n v="0"/>
    <n v="1"/>
    <n v="0"/>
    <n v="1"/>
  </r>
  <r>
    <n v="978"/>
    <s v="00017-AUT"/>
    <x v="9"/>
    <x v="977"/>
    <n v="0"/>
    <n v="1"/>
    <n v="1"/>
    <n v="0"/>
  </r>
  <r>
    <n v="979"/>
    <s v="00126-REF"/>
    <x v="0"/>
    <x v="978"/>
    <n v="0"/>
    <n v="1"/>
    <n v="1"/>
    <n v="0"/>
  </r>
  <r>
    <n v="980"/>
    <s v="00127-REF"/>
    <x v="0"/>
    <x v="979"/>
    <n v="0"/>
    <n v="1"/>
    <n v="1"/>
    <n v="0"/>
  </r>
  <r>
    <n v="981"/>
    <s v="00057-ILU"/>
    <x v="2"/>
    <x v="980"/>
    <n v="0"/>
    <n v="5"/>
    <n v="1"/>
    <n v="4"/>
  </r>
  <r>
    <n v="982"/>
    <s v="00018-AUT"/>
    <x v="9"/>
    <x v="981"/>
    <n v="0"/>
    <n v="1"/>
    <n v="0"/>
    <n v="1"/>
  </r>
  <r>
    <n v="983"/>
    <s v="00019-AUT"/>
    <x v="9"/>
    <x v="982"/>
    <n v="0"/>
    <n v="1"/>
    <n v="0"/>
    <n v="1"/>
  </r>
  <r>
    <n v="984"/>
    <s v="00020-AUT"/>
    <x v="9"/>
    <x v="983"/>
    <n v="0"/>
    <n v="1"/>
    <n v="0"/>
    <n v="1"/>
  </r>
  <r>
    <n v="985"/>
    <s v="00024-MSC"/>
    <x v="6"/>
    <x v="984"/>
    <n v="0"/>
    <n v="4"/>
    <n v="0"/>
    <n v="4"/>
  </r>
  <r>
    <n v="986"/>
    <s v="00021-AUT"/>
    <x v="9"/>
    <x v="985"/>
    <n v="0"/>
    <n v="1"/>
    <n v="0"/>
    <n v="1"/>
  </r>
  <r>
    <n v="987"/>
    <s v="00206-FER"/>
    <x v="1"/>
    <x v="986"/>
    <n v="0"/>
    <n v="60"/>
    <n v="10"/>
    <n v="50"/>
  </r>
  <r>
    <n v="988"/>
    <s v="00207-FER"/>
    <x v="1"/>
    <x v="987"/>
    <n v="0"/>
    <n v="2"/>
    <n v="0"/>
    <n v="2"/>
  </r>
  <r>
    <n v="989"/>
    <s v="00022-AUT"/>
    <x v="9"/>
    <x v="988"/>
    <n v="0"/>
    <n v="4"/>
    <n v="0"/>
    <n v="4"/>
  </r>
  <r>
    <n v="990"/>
    <s v="00023-AUT"/>
    <x v="9"/>
    <x v="989"/>
    <n v="0"/>
    <n v="1"/>
    <n v="0"/>
    <n v="1"/>
  </r>
  <r>
    <n v="991"/>
    <s v="00024-AUT"/>
    <x v="9"/>
    <x v="990"/>
    <n v="0"/>
    <n v="12"/>
    <n v="0"/>
    <n v="12"/>
  </r>
  <r>
    <n v="992"/>
    <s v="00091-ELE"/>
    <x v="3"/>
    <x v="991"/>
    <n v="0"/>
    <n v="2"/>
    <n v="2"/>
    <n v="0"/>
  </r>
  <r>
    <n v="993"/>
    <s v="00128-REF"/>
    <x v="0"/>
    <x v="992"/>
    <n v="0"/>
    <n v="1"/>
    <n v="1"/>
    <n v="0"/>
  </r>
  <r>
    <n v="994"/>
    <s v="00092-ELE"/>
    <x v="3"/>
    <x v="993"/>
    <n v="0"/>
    <n v="2"/>
    <n v="0"/>
    <n v="2"/>
  </r>
  <r>
    <n v="995"/>
    <s v="00129-REF"/>
    <x v="0"/>
    <x v="994"/>
    <n v="0"/>
    <n v="3"/>
    <n v="0"/>
    <n v="3"/>
  </r>
  <r>
    <n v="996"/>
    <s v="00093-ELE"/>
    <x v="3"/>
    <x v="995"/>
    <n v="0"/>
    <n v="10"/>
    <n v="0"/>
    <n v="10"/>
  </r>
  <r>
    <n v="997"/>
    <s v="00094-ELE"/>
    <x v="3"/>
    <x v="996"/>
    <n v="0"/>
    <n v="5"/>
    <n v="0"/>
    <n v="5"/>
  </r>
  <r>
    <n v="998"/>
    <s v="00095-ELE"/>
    <x v="3"/>
    <x v="997"/>
    <n v="0"/>
    <n v="30"/>
    <n v="0"/>
    <n v="30"/>
  </r>
  <r>
    <n v="999"/>
    <s v="00096-ELE"/>
    <x v="3"/>
    <x v="998"/>
    <n v="0"/>
    <n v="40"/>
    <n v="0"/>
    <n v="40"/>
  </r>
  <r>
    <n v="1000"/>
    <s v="00097-ELE"/>
    <x v="3"/>
    <x v="999"/>
    <n v="0"/>
    <n v="10"/>
    <n v="0"/>
    <n v="10"/>
  </r>
  <r>
    <n v="1001"/>
    <s v="00208-FER"/>
    <x v="1"/>
    <x v="1000"/>
    <n v="0"/>
    <n v="1500"/>
    <n v="0"/>
    <n v="1500"/>
  </r>
  <r>
    <n v="1002"/>
    <s v="00209-FER"/>
    <x v="1"/>
    <x v="1001"/>
    <n v="0"/>
    <n v="4300"/>
    <n v="0"/>
    <n v="4300"/>
  </r>
  <r>
    <n v="1003"/>
    <s v="00098-ELE"/>
    <x v="3"/>
    <x v="1002"/>
    <n v="0"/>
    <n v="200"/>
    <n v="0"/>
    <n v="200"/>
  </r>
  <r>
    <n v="1004"/>
    <s v="00025-AUT"/>
    <x v="9"/>
    <x v="1003"/>
    <n v="0"/>
    <n v="1"/>
    <n v="0"/>
    <n v="1"/>
  </r>
  <r>
    <n v="1005"/>
    <s v="00080-ELC"/>
    <x v="7"/>
    <x v="1004"/>
    <n v="0"/>
    <n v="5"/>
    <n v="5"/>
    <n v="0"/>
  </r>
  <r>
    <n v="1006"/>
    <s v="00210-FER"/>
    <x v="1"/>
    <x v="1005"/>
    <n v="0"/>
    <n v="10"/>
    <n v="0"/>
    <n v="10"/>
  </r>
  <r>
    <n v="1007"/>
    <s v="00064-PLM"/>
    <x v="11"/>
    <x v="1006"/>
    <n v="0"/>
    <n v="1"/>
    <n v="0"/>
    <n v="1"/>
  </r>
  <r>
    <n v="1008"/>
    <s v="00065-PLM"/>
    <x v="11"/>
    <x v="1007"/>
    <n v="0"/>
    <n v="1"/>
    <n v="0"/>
    <n v="1"/>
  </r>
  <r>
    <n v="1009"/>
    <s v="00026-AUT"/>
    <x v="9"/>
    <x v="1008"/>
    <n v="0"/>
    <n v="12"/>
    <n v="12"/>
    <n v="0"/>
  </r>
  <r>
    <n v="1010"/>
    <s v="00211-FER"/>
    <x v="1"/>
    <x v="1009"/>
    <n v="0"/>
    <n v="7"/>
    <n v="0"/>
    <n v="7"/>
  </r>
  <r>
    <n v="1011"/>
    <s v="00212-FER"/>
    <x v="1"/>
    <x v="1010"/>
    <n v="0"/>
    <n v="4"/>
    <n v="0"/>
    <n v="4"/>
  </r>
  <r>
    <n v="1012"/>
    <s v="00027-AUT"/>
    <x v="9"/>
    <x v="1011"/>
    <n v="0"/>
    <n v="8"/>
    <n v="0"/>
    <n v="8"/>
  </r>
  <r>
    <n v="1013"/>
    <s v="00025-MSC"/>
    <x v="6"/>
    <x v="1012"/>
    <n v="0"/>
    <n v="4"/>
    <n v="0"/>
    <n v="4"/>
  </r>
  <r>
    <n v="1014"/>
    <s v="00130-REF"/>
    <x v="0"/>
    <x v="1013"/>
    <n v="0"/>
    <n v="1"/>
    <n v="0"/>
    <n v="1"/>
  </r>
  <r>
    <n v="1015"/>
    <s v="00131-REF"/>
    <x v="0"/>
    <x v="1014"/>
    <n v="0"/>
    <n v="1"/>
    <n v="0"/>
    <n v="1"/>
  </r>
  <r>
    <n v="1016"/>
    <s v="00132-REF"/>
    <x v="0"/>
    <x v="1015"/>
    <n v="0"/>
    <n v="1"/>
    <n v="0"/>
    <n v="1"/>
  </r>
  <r>
    <n v="1017"/>
    <s v="00213-FER"/>
    <x v="1"/>
    <x v="1016"/>
    <n v="0"/>
    <n v="0"/>
    <n v="0"/>
    <n v="0"/>
  </r>
  <r>
    <n v="1018"/>
    <s v="00099-ELE"/>
    <x v="3"/>
    <x v="1017"/>
    <n v="0"/>
    <n v="7"/>
    <n v="57"/>
    <n v="-50"/>
  </r>
  <r>
    <n v="1019"/>
    <s v="00122-HER"/>
    <x v="4"/>
    <x v="1018"/>
    <n v="0"/>
    <n v="1"/>
    <n v="1"/>
    <n v="0"/>
  </r>
  <r>
    <n v="1020"/>
    <s v="00123-HER"/>
    <x v="4"/>
    <x v="1019"/>
    <n v="0"/>
    <n v="1"/>
    <n v="1"/>
    <n v="0"/>
  </r>
  <r>
    <n v="1021"/>
    <s v="00124-HER"/>
    <x v="4"/>
    <x v="1020"/>
    <n v="0"/>
    <n v="1"/>
    <n v="1"/>
    <n v="0"/>
  </r>
  <r>
    <n v="1022"/>
    <s v="00125-HER"/>
    <x v="4"/>
    <x v="1021"/>
    <n v="0"/>
    <n v="5"/>
    <n v="3"/>
    <n v="2"/>
  </r>
  <r>
    <n v="1023"/>
    <s v="00126-HER"/>
    <x v="4"/>
    <x v="1022"/>
    <n v="0"/>
    <n v="1"/>
    <n v="1"/>
    <n v="0"/>
  </r>
  <r>
    <n v="1024"/>
    <s v="00127-HER"/>
    <x v="4"/>
    <x v="1023"/>
    <n v="0"/>
    <n v="3"/>
    <n v="3"/>
    <n v="0"/>
  </r>
  <r>
    <n v="1025"/>
    <s v="00128-HER"/>
    <x v="4"/>
    <x v="1024"/>
    <n v="0"/>
    <n v="1"/>
    <n v="1"/>
    <n v="0"/>
  </r>
  <r>
    <n v="1026"/>
    <s v="00129-HER"/>
    <x v="4"/>
    <x v="1025"/>
    <n v="0"/>
    <n v="1"/>
    <n v="1"/>
    <n v="0"/>
  </r>
  <r>
    <n v="1027"/>
    <s v="00038-OFC"/>
    <x v="5"/>
    <x v="1026"/>
    <n v="0"/>
    <n v="0"/>
    <n v="0"/>
    <n v="0"/>
  </r>
  <r>
    <n v="1028"/>
    <s v="00214-FER"/>
    <x v="1"/>
    <x v="1027"/>
    <n v="0"/>
    <n v="1"/>
    <n v="0"/>
    <n v="1"/>
  </r>
  <r>
    <n v="1029"/>
    <s v="00215-FER"/>
    <x v="1"/>
    <x v="1028"/>
    <n v="0"/>
    <n v="2"/>
    <n v="0"/>
    <n v="2"/>
  </r>
  <r>
    <n v="1030"/>
    <s v="00216-FER"/>
    <x v="1"/>
    <x v="1029"/>
    <n v="0"/>
    <n v="400"/>
    <n v="0"/>
    <n v="400"/>
  </r>
  <r>
    <n v="1031"/>
    <s v="00100-ELE"/>
    <x v="3"/>
    <x v="1030"/>
    <n v="0"/>
    <n v="6"/>
    <n v="5"/>
    <n v="1"/>
  </r>
  <r>
    <n v="1032"/>
    <s v="00101-ELE"/>
    <x v="3"/>
    <x v="1031"/>
    <n v="0"/>
    <n v="1"/>
    <n v="1"/>
    <n v="0"/>
  </r>
  <r>
    <n v="1033"/>
    <s v="00102-ELE"/>
    <x v="3"/>
    <x v="1032"/>
    <n v="0"/>
    <n v="2"/>
    <n v="1"/>
    <n v="1"/>
  </r>
  <r>
    <n v="1034"/>
    <s v="00069-UNI"/>
    <x v="8"/>
    <x v="1033"/>
    <n v="0"/>
    <n v="0"/>
    <n v="0"/>
    <n v="0"/>
  </r>
  <r>
    <n v="1035"/>
    <s v="00070-UNI"/>
    <x v="8"/>
    <x v="1034"/>
    <n v="0"/>
    <n v="0"/>
    <n v="0"/>
    <n v="0"/>
  </r>
  <r>
    <n v="1036"/>
    <s v="00071-UNI"/>
    <x v="8"/>
    <x v="1035"/>
    <n v="0"/>
    <n v="0"/>
    <n v="0"/>
    <n v="0"/>
  </r>
  <r>
    <n v="1037"/>
    <s v="00133-REF"/>
    <x v="0"/>
    <x v="1036"/>
    <n v="0"/>
    <n v="1"/>
    <n v="0"/>
    <n v="1"/>
  </r>
  <r>
    <n v="1038"/>
    <s v="00134-REF"/>
    <x v="0"/>
    <x v="1037"/>
    <n v="0"/>
    <n v="6"/>
    <n v="0"/>
    <n v="6"/>
  </r>
  <r>
    <n v="1039"/>
    <s v="00066-PLM"/>
    <x v="11"/>
    <x v="1038"/>
    <n v="0"/>
    <n v="5"/>
    <n v="5"/>
    <n v="0"/>
  </r>
  <r>
    <n v="1040"/>
    <s v="00103-ELE"/>
    <x v="3"/>
    <x v="1039"/>
    <n v="0"/>
    <n v="4"/>
    <n v="16"/>
    <n v="-12"/>
  </r>
  <r>
    <n v="1041"/>
    <s v="00104-ELE"/>
    <x v="3"/>
    <x v="1040"/>
    <n v="0"/>
    <n v="1"/>
    <n v="0"/>
    <n v="1"/>
  </r>
  <r>
    <n v="1042"/>
    <s v="00028-AUT"/>
    <x v="9"/>
    <x v="1041"/>
    <n v="0"/>
    <n v="1"/>
    <n v="0"/>
    <n v="1"/>
  </r>
  <r>
    <n v="1043"/>
    <s v="00039-OFC"/>
    <x v="5"/>
    <x v="1042"/>
    <n v="0"/>
    <n v="36"/>
    <n v="0"/>
    <n v="36"/>
  </r>
  <r>
    <n v="1044"/>
    <s v="00029-AUT"/>
    <x v="9"/>
    <x v="1043"/>
    <n v="0"/>
    <n v="4"/>
    <n v="4"/>
    <n v="0"/>
  </r>
  <r>
    <n v="1045"/>
    <s v="00030-AUT"/>
    <x v="9"/>
    <x v="1044"/>
    <n v="0"/>
    <n v="1"/>
    <n v="1"/>
    <n v="0"/>
  </r>
  <r>
    <n v="1046"/>
    <s v="00031-AUT"/>
    <x v="9"/>
    <x v="1045"/>
    <n v="0"/>
    <n v="1"/>
    <n v="0"/>
    <n v="1"/>
  </r>
  <r>
    <n v="1047"/>
    <s v="00217-FER"/>
    <x v="1"/>
    <x v="1046"/>
    <n v="0"/>
    <n v="600"/>
    <n v="100"/>
    <n v="500"/>
  </r>
  <r>
    <n v="1048"/>
    <s v="00105-ELE"/>
    <x v="3"/>
    <x v="1047"/>
    <n v="0"/>
    <n v="26"/>
    <n v="76"/>
    <n v="-50"/>
  </r>
  <r>
    <n v="1049"/>
    <s v="00106-ELE"/>
    <x v="3"/>
    <x v="1048"/>
    <n v="0"/>
    <n v="1"/>
    <n v="0"/>
    <n v="1"/>
  </r>
  <r>
    <n v="1050"/>
    <s v="00107-ELE"/>
    <x v="3"/>
    <x v="1049"/>
    <n v="0"/>
    <n v="1"/>
    <n v="0"/>
    <n v="1"/>
  </r>
  <r>
    <n v="1051"/>
    <s v="00081-ELC"/>
    <x v="7"/>
    <x v="1050"/>
    <n v="0"/>
    <n v="2"/>
    <n v="2"/>
    <n v="0"/>
  </r>
  <r>
    <n v="1052"/>
    <s v="00218-FER"/>
    <x v="1"/>
    <x v="1051"/>
    <n v="0"/>
    <n v="1"/>
    <n v="0"/>
    <n v="1"/>
  </r>
  <r>
    <n v="1053"/>
    <s v="00067-PLM"/>
    <x v="11"/>
    <x v="1052"/>
    <n v="0"/>
    <n v="5"/>
    <n v="5"/>
    <n v="0"/>
  </r>
  <r>
    <n v="1054"/>
    <s v="00135-REF"/>
    <x v="0"/>
    <x v="1053"/>
    <n v="0"/>
    <n v="2"/>
    <n v="0"/>
    <n v="2"/>
  </r>
  <r>
    <n v="1055"/>
    <s v="00136-REF"/>
    <x v="0"/>
    <x v="1054"/>
    <n v="0"/>
    <n v="10"/>
    <n v="0"/>
    <n v="10"/>
  </r>
  <r>
    <n v="1056"/>
    <s v="00137-REF"/>
    <x v="0"/>
    <x v="1055"/>
    <n v="0"/>
    <n v="2"/>
    <n v="0"/>
    <n v="2"/>
  </r>
  <r>
    <n v="1057"/>
    <s v="00138-REF"/>
    <x v="0"/>
    <x v="1056"/>
    <n v="0"/>
    <n v="2"/>
    <n v="0"/>
    <n v="2"/>
  </r>
  <r>
    <n v="1058"/>
    <s v="00139-REF"/>
    <x v="0"/>
    <x v="1057"/>
    <n v="0"/>
    <n v="4"/>
    <n v="0"/>
    <n v="4"/>
  </r>
  <r>
    <n v="1059"/>
    <s v="00140-REF"/>
    <x v="0"/>
    <x v="1058"/>
    <n v="0"/>
    <n v="1"/>
    <n v="1"/>
    <n v="0"/>
  </r>
  <r>
    <n v="1060"/>
    <s v="00141-REF"/>
    <x v="0"/>
    <x v="1059"/>
    <n v="0"/>
    <n v="7"/>
    <n v="0"/>
    <n v="7"/>
  </r>
  <r>
    <n v="1061"/>
    <s v="00142-REF"/>
    <x v="0"/>
    <x v="1060"/>
    <n v="0"/>
    <n v="3"/>
    <n v="0"/>
    <n v="3"/>
  </r>
  <r>
    <n v="1062"/>
    <s v="00219-FER"/>
    <x v="1"/>
    <x v="1061"/>
    <n v="0"/>
    <n v="2"/>
    <n v="4"/>
    <n v="-2"/>
  </r>
  <r>
    <n v="1063"/>
    <s v="00108-ELE"/>
    <x v="3"/>
    <x v="1062"/>
    <n v="0"/>
    <n v="3"/>
    <n v="1"/>
    <n v="2"/>
  </r>
  <r>
    <n v="1064"/>
    <s v="00109-ELE"/>
    <x v="3"/>
    <x v="1063"/>
    <n v="0"/>
    <n v="100"/>
    <n v="100"/>
    <n v="0"/>
  </r>
  <r>
    <n v="1065"/>
    <s v="00032-AUT"/>
    <x v="9"/>
    <x v="1064"/>
    <n v="0"/>
    <n v="1"/>
    <n v="1"/>
    <n v="0"/>
  </r>
  <r>
    <n v="1066"/>
    <s v="00068-PLM"/>
    <x v="11"/>
    <x v="1065"/>
    <n v="0"/>
    <n v="25"/>
    <n v="25"/>
    <n v="0"/>
  </r>
  <r>
    <n v="1067"/>
    <s v="00220-FER"/>
    <x v="1"/>
    <x v="1066"/>
    <n v="0"/>
    <n v="2"/>
    <n v="3"/>
    <n v="-1"/>
  </r>
  <r>
    <n v="1068"/>
    <s v="00221-FER"/>
    <x v="1"/>
    <x v="1067"/>
    <n v="0"/>
    <n v="25"/>
    <n v="25"/>
    <n v="0"/>
  </r>
  <r>
    <n v="1069"/>
    <s v="00222-FER"/>
    <x v="1"/>
    <x v="1068"/>
    <n v="0"/>
    <n v="75"/>
    <n v="90"/>
    <n v="-15"/>
  </r>
  <r>
    <n v="1070"/>
    <s v="00223-FER"/>
    <x v="1"/>
    <x v="1069"/>
    <n v="0"/>
    <n v="90"/>
    <n v="120"/>
    <n v="-30"/>
  </r>
  <r>
    <n v="1071"/>
    <s v="00224-FER"/>
    <x v="1"/>
    <x v="1070"/>
    <n v="0"/>
    <n v="200"/>
    <n v="200"/>
    <n v="0"/>
  </r>
  <r>
    <n v="1072"/>
    <s v="00225-FER"/>
    <x v="1"/>
    <x v="1071"/>
    <n v="0"/>
    <n v="50"/>
    <n v="50"/>
    <n v="0"/>
  </r>
  <r>
    <n v="1073"/>
    <s v="00029-LIM"/>
    <x v="12"/>
    <x v="1072"/>
    <n v="0"/>
    <n v="2"/>
    <n v="0"/>
    <n v="2"/>
  </r>
  <r>
    <n v="1074"/>
    <s v="00030-LIM"/>
    <x v="12"/>
    <x v="1073"/>
    <n v="0"/>
    <n v="4"/>
    <n v="0"/>
    <n v="4"/>
  </r>
  <r>
    <n v="1075"/>
    <s v="00033-AUT"/>
    <x v="9"/>
    <x v="1074"/>
    <s v="123456'"/>
    <n v="2"/>
    <n v="0"/>
    <n v="2"/>
  </r>
  <r>
    <n v="1076"/>
    <s v="00034-AUT"/>
    <x v="9"/>
    <x v="1075"/>
    <n v="0"/>
    <n v="2"/>
    <n v="0"/>
    <n v="2"/>
  </r>
  <r>
    <n v="1077"/>
    <s v="00035-AUT"/>
    <x v="9"/>
    <x v="1076"/>
    <n v="0"/>
    <n v="1"/>
    <n v="0"/>
    <n v="1"/>
  </r>
  <r>
    <n v="1078"/>
    <s v="00036-AUT"/>
    <x v="9"/>
    <x v="1077"/>
    <n v="0"/>
    <n v="4"/>
    <n v="0"/>
    <n v="4"/>
  </r>
  <r>
    <n v="1079"/>
    <s v="00037-AUT"/>
    <x v="9"/>
    <x v="1078"/>
    <n v="0"/>
    <n v="1"/>
    <n v="0"/>
    <n v="1"/>
  </r>
  <r>
    <n v="1080"/>
    <s v="00143-REF"/>
    <x v="0"/>
    <x v="1079"/>
    <n v="0"/>
    <n v="30"/>
    <n v="2"/>
    <n v="28"/>
  </r>
  <r>
    <n v="1081"/>
    <s v="00226-FER"/>
    <x v="1"/>
    <x v="1080"/>
    <n v="0"/>
    <n v="11"/>
    <n v="11"/>
    <n v="0"/>
  </r>
  <r>
    <n v="1082"/>
    <s v="00038-AUT"/>
    <x v="9"/>
    <x v="1081"/>
    <n v="0"/>
    <n v="3"/>
    <n v="0"/>
    <n v="3"/>
  </r>
  <r>
    <n v="1083"/>
    <s v="00144-REF"/>
    <x v="0"/>
    <x v="1082"/>
    <n v="0"/>
    <n v="6"/>
    <n v="0"/>
    <n v="6"/>
  </r>
  <r>
    <n v="1084"/>
    <s v="00110-ELE"/>
    <x v="3"/>
    <x v="1083"/>
    <n v="0"/>
    <n v="6"/>
    <n v="0"/>
    <n v="6"/>
  </r>
  <r>
    <n v="1085"/>
    <s v="00145-REF"/>
    <x v="0"/>
    <x v="1084"/>
    <n v="0"/>
    <n v="1"/>
    <n v="0"/>
    <n v="1"/>
  </r>
  <r>
    <n v="1086"/>
    <s v="00227-FER"/>
    <x v="1"/>
    <x v="1085"/>
    <n v="0"/>
    <n v="2"/>
    <n v="2"/>
    <n v="0"/>
  </r>
  <r>
    <n v="1087"/>
    <s v="00039-AUT"/>
    <x v="9"/>
    <x v="1086"/>
    <n v="0"/>
    <n v="1"/>
    <n v="0"/>
    <n v="1"/>
  </r>
  <r>
    <n v="1088"/>
    <s v="00040-AUT"/>
    <x v="9"/>
    <x v="1087"/>
    <n v="0"/>
    <n v="1"/>
    <n v="0"/>
    <n v="1"/>
  </r>
  <r>
    <n v="1089"/>
    <s v="00069-PLM"/>
    <x v="11"/>
    <x v="1088"/>
    <n v="0"/>
    <n v="1"/>
    <n v="1"/>
    <n v="0"/>
  </r>
  <r>
    <n v="1090"/>
    <s v="00070-PLM"/>
    <x v="11"/>
    <x v="1089"/>
    <n v="0"/>
    <n v="1"/>
    <n v="1"/>
    <n v="0"/>
  </r>
  <r>
    <n v="1091"/>
    <s v="00071-PLM"/>
    <x v="11"/>
    <x v="1090"/>
    <n v="0"/>
    <n v="1"/>
    <n v="1"/>
    <n v="0"/>
  </r>
  <r>
    <n v="1092"/>
    <s v="00072-PLM"/>
    <x v="11"/>
    <x v="1091"/>
    <n v="0"/>
    <n v="1"/>
    <n v="1"/>
    <n v="0"/>
  </r>
  <r>
    <n v="1093"/>
    <s v="00073-PLM"/>
    <x v="11"/>
    <x v="1092"/>
    <n v="0"/>
    <n v="1"/>
    <n v="1"/>
    <n v="0"/>
  </r>
  <r>
    <n v="1094"/>
    <s v="00228-FER"/>
    <x v="1"/>
    <x v="1093"/>
    <n v="0"/>
    <n v="1"/>
    <n v="1"/>
    <n v="0"/>
  </r>
  <r>
    <n v="1095"/>
    <s v="00146-REF"/>
    <x v="0"/>
    <x v="1094"/>
    <n v="0"/>
    <n v="1"/>
    <n v="0"/>
    <n v="1"/>
  </r>
  <r>
    <n v="1096"/>
    <s v="00147-REF"/>
    <x v="0"/>
    <x v="1095"/>
    <n v="0"/>
    <n v="3"/>
    <n v="0"/>
    <n v="3"/>
  </r>
  <r>
    <n v="1097"/>
    <s v="00067-HRR"/>
    <x v="10"/>
    <x v="1096"/>
    <n v="0"/>
    <n v="1"/>
    <n v="0"/>
    <n v="1"/>
  </r>
  <r>
    <n v="1098"/>
    <s v="00229-FER"/>
    <x v="1"/>
    <x v="1097"/>
    <n v="0"/>
    <n v="85"/>
    <n v="70"/>
    <n v="15"/>
  </r>
  <r>
    <n v="1099"/>
    <s v="00230-FER"/>
    <x v="1"/>
    <x v="1098"/>
    <n v="0"/>
    <n v="2"/>
    <n v="0"/>
    <n v="2"/>
  </r>
  <r>
    <n v="1100"/>
    <s v="00074-PLM"/>
    <x v="11"/>
    <x v="1099"/>
    <n v="0"/>
    <n v="1"/>
    <n v="1"/>
    <n v="0"/>
  </r>
  <r>
    <n v="1101"/>
    <s v="00075-PLM"/>
    <x v="11"/>
    <x v="1100"/>
    <n v="0"/>
    <n v="4"/>
    <n v="0"/>
    <n v="4"/>
  </r>
  <r>
    <n v="1102"/>
    <s v="00231-FER"/>
    <x v="1"/>
    <x v="1101"/>
    <n v="0"/>
    <n v="4"/>
    <n v="4"/>
    <n v="0"/>
  </r>
  <r>
    <n v="1103"/>
    <s v="00232-FER"/>
    <x v="1"/>
    <x v="1102"/>
    <n v="0"/>
    <n v="13"/>
    <n v="13"/>
    <n v="0"/>
  </r>
  <r>
    <n v="1104"/>
    <s v="00111-ELE"/>
    <x v="3"/>
    <x v="1103"/>
    <n v="0"/>
    <n v="500"/>
    <n v="500"/>
    <n v="0"/>
  </r>
  <r>
    <n v="1105"/>
    <s v="00233-FER"/>
    <x v="1"/>
    <x v="1104"/>
    <n v="0"/>
    <n v="6"/>
    <n v="0"/>
    <n v="6"/>
  </r>
  <r>
    <n v="1106"/>
    <s v="00082-ELC"/>
    <x v="7"/>
    <x v="1105"/>
    <n v="0"/>
    <n v="10"/>
    <n v="0"/>
    <n v="10"/>
  </r>
  <r>
    <n v="1107"/>
    <s v="00234-FER"/>
    <x v="1"/>
    <x v="1106"/>
    <n v="0"/>
    <n v="3"/>
    <n v="0"/>
    <n v="3"/>
  </r>
  <r>
    <n v="1108"/>
    <s v="00235-FER"/>
    <x v="1"/>
    <x v="1107"/>
    <n v="0"/>
    <n v="3"/>
    <n v="0"/>
    <n v="3"/>
  </r>
  <r>
    <n v="1109"/>
    <s v="00041-AUT"/>
    <x v="9"/>
    <x v="1108"/>
    <n v="0"/>
    <n v="1"/>
    <n v="0"/>
    <n v="1"/>
  </r>
  <r>
    <n v="1110"/>
    <s v="00026-MSC"/>
    <x v="6"/>
    <x v="1109"/>
    <n v="0"/>
    <n v="4"/>
    <n v="0"/>
    <n v="4"/>
  </r>
  <r>
    <n v="1111"/>
    <s v="00027-MSC"/>
    <x v="6"/>
    <x v="1110"/>
    <n v="0"/>
    <n v="2"/>
    <n v="0"/>
    <n v="2"/>
  </r>
  <r>
    <n v="1112"/>
    <s v="00083-ELC"/>
    <x v="7"/>
    <x v="1111"/>
    <n v="0"/>
    <n v="3"/>
    <n v="2"/>
    <n v="1"/>
  </r>
  <r>
    <n v="1113"/>
    <s v="00130-HER"/>
    <x v="4"/>
    <x v="1112"/>
    <n v="0"/>
    <n v="4"/>
    <n v="4"/>
    <n v="0"/>
  </r>
  <r>
    <n v="1114"/>
    <s v="00236-FER"/>
    <x v="1"/>
    <x v="1113"/>
    <n v="0"/>
    <n v="1"/>
    <n v="1"/>
    <n v="0"/>
  </r>
  <r>
    <n v="1115"/>
    <s v="00131-HER"/>
    <x v="4"/>
    <x v="1114"/>
    <n v="0"/>
    <n v="6"/>
    <n v="6"/>
    <n v="0"/>
  </r>
  <r>
    <n v="1116"/>
    <s v="00132-HER"/>
    <x v="4"/>
    <x v="1115"/>
    <n v="0"/>
    <n v="6"/>
    <n v="6"/>
    <n v="0"/>
  </r>
  <r>
    <n v="1117"/>
    <s v="00237-FER"/>
    <x v="1"/>
    <x v="1116"/>
    <n v="0"/>
    <n v="1500"/>
    <n v="1500"/>
    <n v="0"/>
  </r>
  <r>
    <n v="1118"/>
    <s v="00238-FER"/>
    <x v="1"/>
    <x v="1117"/>
    <n v="0"/>
    <n v="600"/>
    <n v="600"/>
    <n v="0"/>
  </r>
  <r>
    <n v="1119"/>
    <s v="00239-FER"/>
    <x v="1"/>
    <x v="1118"/>
    <n v="0"/>
    <n v="500"/>
    <n v="500"/>
    <n v="0"/>
  </r>
  <r>
    <n v="1120"/>
    <s v="00084-ELC"/>
    <x v="7"/>
    <x v="1119"/>
    <n v="0"/>
    <n v="2"/>
    <n v="0"/>
    <n v="2"/>
  </r>
  <r>
    <n v="1121"/>
    <s v="00112-ELE"/>
    <x v="3"/>
    <x v="1120"/>
    <n v="0"/>
    <n v="3"/>
    <n v="3"/>
    <n v="0"/>
  </r>
  <r>
    <n v="1122"/>
    <s v="00076-PLM"/>
    <x v="11"/>
    <x v="1121"/>
    <n v="0"/>
    <n v="1"/>
    <n v="1"/>
    <n v="0"/>
  </r>
  <r>
    <n v="1123"/>
    <s v="00077-PLM"/>
    <x v="11"/>
    <x v="1122"/>
    <n v="0"/>
    <n v="1"/>
    <n v="1"/>
    <n v="0"/>
  </r>
  <r>
    <n v="1124"/>
    <s v="00148-REF"/>
    <x v="0"/>
    <x v="1123"/>
    <n v="0"/>
    <n v="1"/>
    <n v="0"/>
    <n v="1"/>
  </r>
  <r>
    <n v="1125"/>
    <s v="00058-ILU"/>
    <x v="2"/>
    <x v="1124"/>
    <n v="0"/>
    <n v="1"/>
    <n v="1"/>
    <n v="0"/>
  </r>
  <r>
    <n v="1126"/>
    <s v="00113-ELE"/>
    <x v="3"/>
    <x v="1125"/>
    <n v="0"/>
    <n v="1"/>
    <n v="0"/>
    <n v="1"/>
  </r>
  <r>
    <n v="1127"/>
    <s v="00240-FER"/>
    <x v="1"/>
    <x v="1126"/>
    <n v="0"/>
    <n v="1"/>
    <n v="1"/>
    <n v="0"/>
  </r>
  <r>
    <n v="1128"/>
    <s v="00031-LIM"/>
    <x v="12"/>
    <x v="1127"/>
    <n v="0"/>
    <n v="0"/>
    <n v="0"/>
    <n v="0"/>
  </r>
  <r>
    <n v="1129"/>
    <s v="00059-ILU"/>
    <x v="2"/>
    <x v="1128"/>
    <n v="0"/>
    <n v="2"/>
    <n v="2"/>
    <n v="0"/>
  </r>
  <r>
    <n v="1130"/>
    <s v="00241-FER"/>
    <x v="1"/>
    <x v="1129"/>
    <n v="0"/>
    <n v="5"/>
    <n v="2"/>
    <n v="3"/>
  </r>
  <r>
    <n v="1131"/>
    <s v="00114-ELE"/>
    <x v="3"/>
    <x v="1130"/>
    <n v="0"/>
    <n v="5"/>
    <n v="0"/>
    <n v="5"/>
  </r>
  <r>
    <n v="1132"/>
    <s v="00115-ELE"/>
    <x v="3"/>
    <x v="1131"/>
    <n v="0"/>
    <n v="10"/>
    <n v="20"/>
    <n v="-10"/>
  </r>
  <r>
    <n v="1133"/>
    <s v="00042-AUT"/>
    <x v="9"/>
    <x v="1132"/>
    <n v="0"/>
    <n v="2"/>
    <n v="2"/>
    <n v="0"/>
  </r>
  <r>
    <n v="1134"/>
    <s v="00032-LIM"/>
    <x v="12"/>
    <x v="1133"/>
    <n v="0"/>
    <n v="4"/>
    <n v="4"/>
    <n v="0"/>
  </r>
  <r>
    <n v="1135"/>
    <s v="00043-AUT"/>
    <x v="9"/>
    <x v="1134"/>
    <n v="0"/>
    <n v="1"/>
    <n v="0"/>
    <n v="1"/>
  </r>
  <r>
    <n v="1136"/>
    <s v="00044-AUT"/>
    <x v="9"/>
    <x v="1135"/>
    <n v="0"/>
    <n v="10"/>
    <n v="0"/>
    <n v="10"/>
  </r>
  <r>
    <n v="1137"/>
    <s v="00045-AUT"/>
    <x v="9"/>
    <x v="1136"/>
    <n v="0"/>
    <n v="5"/>
    <n v="0"/>
    <n v="5"/>
  </r>
  <r>
    <n v="1138"/>
    <s v="00046-AUT"/>
    <x v="9"/>
    <x v="1137"/>
    <n v="0"/>
    <n v="4"/>
    <n v="0"/>
    <n v="4"/>
  </r>
  <r>
    <n v="1139"/>
    <s v="00047-AUT"/>
    <x v="9"/>
    <x v="1138"/>
    <n v="0"/>
    <n v="2"/>
    <n v="0"/>
    <n v="2"/>
  </r>
  <r>
    <n v="1140"/>
    <s v="00048-AUT"/>
    <x v="9"/>
    <x v="1139"/>
    <n v="0"/>
    <n v="1"/>
    <n v="0"/>
    <n v="1"/>
  </r>
  <r>
    <n v="1141"/>
    <s v="00049-AUT"/>
    <x v="9"/>
    <x v="1140"/>
    <n v="0"/>
    <n v="1"/>
    <n v="0"/>
    <n v="1"/>
  </r>
  <r>
    <n v="1142"/>
    <s v="00050-AUT"/>
    <x v="9"/>
    <x v="1141"/>
    <n v="0"/>
    <n v="5"/>
    <n v="0"/>
    <n v="5"/>
  </r>
  <r>
    <n v="1143"/>
    <s v="00149-REF"/>
    <x v="0"/>
    <x v="1142"/>
    <n v="0"/>
    <n v="1"/>
    <n v="1"/>
    <n v="0"/>
  </r>
  <r>
    <n v="1144"/>
    <s v="00150-REF"/>
    <x v="0"/>
    <x v="1143"/>
    <n v="0"/>
    <n v="1"/>
    <n v="0"/>
    <n v="1"/>
  </r>
  <r>
    <n v="1145"/>
    <s v="00242-FER"/>
    <x v="1"/>
    <x v="1144"/>
    <n v="0"/>
    <n v="15"/>
    <n v="15"/>
    <n v="0"/>
  </r>
  <r>
    <n v="1146"/>
    <s v="00243-FER"/>
    <x v="1"/>
    <x v="1145"/>
    <n v="0"/>
    <n v="1"/>
    <n v="0"/>
    <n v="1"/>
  </r>
  <r>
    <n v="1147"/>
    <s v="00028-MSC"/>
    <x v="6"/>
    <x v="1146"/>
    <n v="0"/>
    <n v="2"/>
    <n v="2"/>
    <n v="0"/>
  </r>
  <r>
    <n v="1148"/>
    <s v="00029-MSC"/>
    <x v="6"/>
    <x v="1147"/>
    <n v="0"/>
    <n v="2"/>
    <n v="2"/>
    <n v="0"/>
  </r>
  <r>
    <n v="1149"/>
    <s v="00030-MSC"/>
    <x v="6"/>
    <x v="1148"/>
    <n v="0"/>
    <n v="200"/>
    <n v="0"/>
    <n v="200"/>
  </r>
  <r>
    <n v="1150"/>
    <s v="00031-MSC"/>
    <x v="6"/>
    <x v="1149"/>
    <n v="0"/>
    <n v="38"/>
    <n v="0"/>
    <n v="38"/>
  </r>
  <r>
    <n v="1151"/>
    <s v="00133-HER"/>
    <x v="4"/>
    <x v="1150"/>
    <n v="0"/>
    <n v="1"/>
    <n v="1"/>
    <n v="0"/>
  </r>
  <r>
    <n v="1152"/>
    <s v="00116-ELE"/>
    <x v="3"/>
    <x v="1151"/>
    <n v="0"/>
    <n v="4"/>
    <n v="8"/>
    <n v="-4"/>
  </r>
  <r>
    <n v="1153"/>
    <s v="00244-FER"/>
    <x v="1"/>
    <x v="1152"/>
    <n v="0"/>
    <n v="1"/>
    <n v="0"/>
    <n v="1"/>
  </r>
  <r>
    <n v="1154"/>
    <s v="00032-MSC"/>
    <x v="6"/>
    <x v="1153"/>
    <n v="0"/>
    <n v="2"/>
    <n v="0"/>
    <n v="2"/>
  </r>
  <r>
    <n v="1155"/>
    <s v="00117-ELE"/>
    <x v="3"/>
    <x v="1154"/>
    <n v="0"/>
    <n v="700"/>
    <n v="700"/>
    <n v="0"/>
  </r>
  <r>
    <n v="1156"/>
    <s v="00118-ELE"/>
    <x v="3"/>
    <x v="1155"/>
    <n v="0"/>
    <n v="1200"/>
    <n v="1200"/>
    <n v="0"/>
  </r>
  <r>
    <n v="1157"/>
    <s v="00119-ELE"/>
    <x v="3"/>
    <x v="1156"/>
    <n v="0"/>
    <n v="900"/>
    <n v="700"/>
    <n v="200"/>
  </r>
  <r>
    <n v="1158"/>
    <s v="00120-ELE"/>
    <x v="3"/>
    <x v="1157"/>
    <n v="0"/>
    <n v="300"/>
    <n v="400"/>
    <n v="-100"/>
  </r>
  <r>
    <n v="1159"/>
    <s v="00060-ILU"/>
    <x v="2"/>
    <x v="1158"/>
    <n v="0"/>
    <n v="1"/>
    <n v="2"/>
    <n v="-1"/>
  </r>
  <r>
    <n v="1160"/>
    <s v="00151-REF"/>
    <x v="0"/>
    <x v="1159"/>
    <n v="0"/>
    <n v="4"/>
    <n v="1"/>
    <n v="3"/>
  </r>
  <r>
    <n v="1161"/>
    <s v="00152-REF"/>
    <x v="0"/>
    <x v="1160"/>
    <n v="0"/>
    <n v="1"/>
    <n v="3"/>
    <n v="-2"/>
  </r>
  <r>
    <n v="1162"/>
    <s v="00153-REF"/>
    <x v="0"/>
    <x v="1161"/>
    <n v="0"/>
    <n v="1"/>
    <n v="1"/>
    <n v="0"/>
  </r>
  <r>
    <n v="1163"/>
    <s v="00154-REF"/>
    <x v="0"/>
    <x v="1162"/>
    <n v="0"/>
    <n v="1"/>
    <n v="2"/>
    <n v="-1"/>
  </r>
  <r>
    <n v="1164"/>
    <s v="00155-REF"/>
    <x v="0"/>
    <x v="1163"/>
    <n v="0"/>
    <n v="1"/>
    <n v="2"/>
    <n v="-1"/>
  </r>
  <r>
    <n v="1165"/>
    <s v="00156-REF"/>
    <x v="0"/>
    <x v="1164"/>
    <n v="0"/>
    <n v="1"/>
    <n v="2"/>
    <n v="-1"/>
  </r>
  <r>
    <n v="1166"/>
    <s v="00157-REF"/>
    <x v="0"/>
    <x v="1165"/>
    <n v="0"/>
    <n v="1"/>
    <n v="3"/>
    <n v="-2"/>
  </r>
  <r>
    <n v="1167"/>
    <s v="00245-FER"/>
    <x v="1"/>
    <x v="1166"/>
    <n v="0"/>
    <n v="12"/>
    <n v="24"/>
    <n v="-12"/>
  </r>
  <r>
    <n v="1168"/>
    <s v="00158-REF"/>
    <x v="0"/>
    <x v="1167"/>
    <n v="0"/>
    <n v="10"/>
    <n v="28"/>
    <n v="-18"/>
  </r>
  <r>
    <n v="1169"/>
    <s v="00159-REF"/>
    <x v="0"/>
    <x v="1168"/>
    <n v="0"/>
    <n v="8"/>
    <n v="16"/>
    <n v="-8"/>
  </r>
  <r>
    <n v="1170"/>
    <s v="00121-ELE"/>
    <x v="3"/>
    <x v="1169"/>
    <n v="0"/>
    <n v="1"/>
    <n v="4"/>
    <n v="-3"/>
  </r>
  <r>
    <n v="1171"/>
    <s v="00160-REF"/>
    <x v="0"/>
    <x v="1170"/>
    <n v="0"/>
    <n v="1"/>
    <n v="2"/>
    <n v="-1"/>
  </r>
  <r>
    <n v="1172"/>
    <s v="00078-PLM"/>
    <x v="11"/>
    <x v="1171"/>
    <n v="0"/>
    <n v="2"/>
    <n v="2"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2" dataOnRows="0" dataCaption="Valor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I19:J74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x="7"/>
        <item t="data" sd="1" x="3"/>
        <item t="data" sd="1" x="8"/>
        <item t="data" sd="1" x="0"/>
        <item t="data" sd="1" x="6"/>
        <item t="data" sd="1" x="4"/>
        <item t="data" sd="1" x="1"/>
        <item t="data" sd="1" x="2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8">
        <item t="data" sd="1" x="12"/>
        <item t="data" sd="1" x="4"/>
        <item t="data" sd="1" x="6"/>
        <item t="data" sd="1" x="0"/>
        <item t="data" sd="1" x="8"/>
        <item t="data" sd="1" x="7"/>
        <item t="data" sd="1" x="3"/>
        <item t="data" sd="1" x="14"/>
        <item t="data" sd="1" x="16"/>
        <item t="data" sd="1" x="13"/>
        <item t="data" sd="1" x="11"/>
        <item t="data" sd="1" x="2"/>
        <item t="data" sd="1" x="15"/>
        <item t="data" sd="1" x="1"/>
        <item t="data" sd="1" x="9"/>
        <item t="data" sd="1" x="5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2"/>
    <field x="6"/>
  </rowFields>
  <rowItems count="55">
    <i t="data" r="0" i="0">
      <x v="0"/>
    </i>
    <i t="data" r="1" i="0">
      <x v="13"/>
    </i>
    <i t="data" r="0" i="0">
      <x v="1"/>
    </i>
    <i t="data" r="1" i="0">
      <x v="3"/>
    </i>
    <i t="data" r="1" i="0">
      <x v="5"/>
    </i>
    <i t="data" r="1" i="0">
      <x v="7"/>
    </i>
    <i t="data" r="1" i="0">
      <x v="8"/>
    </i>
    <i t="data" r="1" i="0">
      <x v="9"/>
    </i>
    <i t="data" r="1" i="0">
      <x v="12"/>
    </i>
    <i t="data" r="1" i="0">
      <x v="13"/>
    </i>
    <i t="data" r="1" i="0">
      <x v="16"/>
    </i>
    <i t="data" r="0" i="0">
      <x v="2"/>
    </i>
    <i t="data" r="1" i="0">
      <x v="7"/>
    </i>
    <i t="data" r="1" i="0">
      <x v="9"/>
    </i>
    <i t="data" r="0" i="0">
      <x v="3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7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0" i="0">
      <x v="4"/>
    </i>
    <i t="data" r="1" i="0">
      <x v="4"/>
    </i>
    <i t="data" r="1" i="0">
      <x v="5"/>
    </i>
    <i t="data" r="1" i="0">
      <x v="10"/>
    </i>
    <i t="data" r="1" i="0">
      <x v="14"/>
    </i>
    <i t="data" r="0" i="0">
      <x v="5"/>
    </i>
    <i t="data" r="1" i="0">
      <x v="1"/>
    </i>
    <i t="data" r="1" i="0">
      <x v="9"/>
    </i>
    <i t="data" r="1" i="0">
      <x v="10"/>
    </i>
    <i t="data" r="0" i="0">
      <x v="6"/>
    </i>
    <i t="data" r="1" i="0">
      <x v="13"/>
    </i>
    <i t="data" r="0" i="0">
      <x v="7"/>
    </i>
    <i t="data" r="1" i="0">
      <x v="5"/>
    </i>
    <i t="data" r="1" i="0">
      <x v="6"/>
    </i>
    <i t="data" r="1" i="0">
      <x v="8"/>
    </i>
    <i t="data" r="1" i="0">
      <x v="9"/>
    </i>
    <i t="data" r="1" i="0">
      <x v="10"/>
    </i>
    <i t="data" r="1" i="0">
      <x v="13"/>
    </i>
    <i t="data" r="1" i="0">
      <x v="14"/>
    </i>
    <i t="data" r="1" i="0">
      <x v="16"/>
    </i>
    <i t="data" r="0" i="0">
      <x v="8"/>
    </i>
    <i t="data" r="1" i="0">
      <x v="7"/>
    </i>
    <i t="data" r="1" i="0">
      <x v="9"/>
    </i>
    <i t="data" r="1" i="0">
      <x v="13"/>
    </i>
    <i t="data" r="1" i="0">
      <x v="16"/>
    </i>
    <i t="grand" r="0" i="0">
      <x v="0"/>
    </i>
  </rowItems>
  <colItems count="1">
    <i t="data" r="0" i="0"/>
  </colItems>
  <dataFields count="1">
    <dataField name="Suma de CANTIDAD" fld="5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aDinámica2" cacheId="3" dataOnRows="0" dataCaption="Valor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G7:H21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9"/>
        <item t="data" sd="1" x="3"/>
        <item t="data" sd="1" x="7"/>
        <item t="data" sd="1" x="1"/>
        <item t="data" sd="1" x="4"/>
        <item t="data" sd="1" x="6"/>
        <item t="data" sd="1" x="5"/>
        <item t="data" sd="1" x="0"/>
        <item t="data" sd="1" x="8"/>
        <item t="data" sd="1" x="12"/>
        <item t="data" sd="1" x="2"/>
        <item t="data" sd="1" x="10"/>
        <item t="data" sd="1" x="1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4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grand" r="0" i="0">
      <x v="0"/>
    </i>
  </rowItems>
  <colItems count="1">
    <i t="data" r="0" i="0"/>
  </colItems>
  <dataFields count="1">
    <dataField name="Cuenta de PRODUCTOS" fld="3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aDinámica14" cacheId="4" dataOnRows="0" dataCaption="Valor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189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9"/>
        <item t="data" sd="1" x="3"/>
        <item t="data" sd="1" x="7"/>
        <item t="data" sd="1" x="1"/>
        <item t="data" sd="1" x="4"/>
        <item t="data" sd="1" x="10"/>
        <item t="data" sd="1" x="2"/>
        <item t="data" sd="1" x="12"/>
        <item t="data" sd="1" x="6"/>
        <item t="data" sd="1" x="5"/>
        <item t="data" sd="1" x="11"/>
        <item t="data" sd="1" x="0"/>
        <item t="data" sd="1" x="8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173">
        <item t="data" sd="1" x="471"/>
        <item t="data" sd="1" x="470"/>
        <item t="data" sd="1" x="569"/>
        <item t="data" sd="1" x="942"/>
        <item t="data" sd="1" x="576"/>
        <item t="data" sd="1" x="579"/>
        <item t="data" sd="1" x="824"/>
        <item t="data" sd="1" x="667"/>
        <item t="data" sd="1" x="626"/>
        <item t="data" sd="1" x="710"/>
        <item t="data" sd="1" x="709"/>
        <item t="data" sd="1" x="456"/>
        <item t="data" sd="1" x="1138"/>
        <item t="data" sd="1" x="459"/>
        <item t="data" sd="1" x="460"/>
        <item t="data" sd="1" x="1077"/>
        <item t="data" sd="1" x="1170"/>
        <item t="data" sd="1" x="1060"/>
        <item t="data" sd="1" x="1027"/>
        <item t="data" sd="1" x="1163"/>
        <item t="data" sd="1" x="522"/>
        <item t="data" sd="1" x="558"/>
        <item t="data" sd="1" x="1121"/>
        <item t="data" sd="1" x="789"/>
        <item t="data" sd="1" x="766"/>
        <item t="data" sd="1" x="790"/>
        <item t="data" sd="1" x="851"/>
        <item t="data" sd="1" x="502"/>
        <item t="data" sd="1" x="768"/>
        <item t="data" sd="1" x="573"/>
        <item t="data" sd="1" x="574"/>
        <item t="data" sd="1" x="632"/>
        <item t="data" sd="1" x="711"/>
        <item t="data" sd="1" x="712"/>
        <item t="data" sd="1" x="713"/>
        <item t="data" sd="1" x="553"/>
        <item t="data" sd="1" x="866"/>
        <item t="data" sd="1" x="932"/>
        <item t="data" sd="1" x="740"/>
        <item t="data" sd="1" x="742"/>
        <item t="data" sd="1" x="723"/>
        <item t="data" sd="1" x="912"/>
        <item t="data" sd="1" x="894"/>
        <item t="data" sd="1" x="738"/>
        <item t="data" sd="1" x="1146"/>
        <item t="data" sd="1" x="1012"/>
        <item t="data" sd="1" x="463"/>
        <item t="data" sd="1" x="388"/>
        <item t="data" sd="1" x="462"/>
        <item t="data" sd="1" x="461"/>
        <item t="data" sd="1" x="393"/>
        <item t="data" sd="1" x="391"/>
        <item t="data" sd="1" x="1041"/>
        <item t="data" sd="1" x="911"/>
        <item t="data" sd="1" x="720"/>
        <item t="data" sd="1" x="719"/>
        <item t="data" sd="1" x="496"/>
        <item t="data" sd="1" x="850"/>
        <item t="data" sd="1" x="501"/>
        <item t="data" sd="1" x="514"/>
        <item t="data" sd="1" x="513"/>
        <item t="data" sd="1" x="515"/>
        <item t="data" sd="1" x="383"/>
        <item t="data" sd="1" x="1069"/>
        <item t="data" sd="1" x="390"/>
        <item t="data" sd="1" x="389"/>
        <item t="data" sd="1" x="1102"/>
        <item t="data" sd="1" x="605"/>
        <item t="data" sd="1" x="753"/>
        <item t="data" sd="1" x="692"/>
        <item t="data" sd="1" x="974"/>
        <item t="data" sd="1" x="465"/>
        <item t="data" sd="1" x="380"/>
        <item t="data" sd="1" x="1084"/>
        <item t="data" sd="1" x="1015"/>
        <item t="data" sd="1" x="581"/>
        <item t="data" sd="1" x="976"/>
        <item t="data" sd="1" x="923"/>
        <item t="data" sd="1" x="921"/>
        <item t="data" sd="1" x="922"/>
        <item t="data" sd="1" x="493"/>
        <item t="data" sd="1" x="1111"/>
        <item t="data" sd="1" x="765"/>
        <item t="data" sd="1" x="1132"/>
        <item t="data" sd="1" x="984"/>
        <item t="data" sd="1" x="773"/>
        <item t="data" sd="1" x="831"/>
        <item t="data" sd="1" x="724"/>
        <item t="data" sd="1" x="1166"/>
        <item t="data" sd="1" x="1067"/>
        <item t="data" sd="1" x="955"/>
        <item t="data" sd="1" x="1098"/>
        <item t="data" sd="1" x="999"/>
        <item t="data" sd="1" x="998"/>
        <item t="data" sd="1" x="997"/>
        <item t="data" sd="1" x="387"/>
        <item t="data" sd="1" x="909"/>
        <item t="data" sd="1" x="1053"/>
        <item t="data" sd="1" x="750"/>
        <item t="data" sd="1" x="751"/>
        <item t="data" sd="1" x="872"/>
        <item t="data" sd="1" x="833"/>
        <item t="data" sd="1" x="734"/>
        <item t="data" sd="1" x="1082"/>
        <item t="data" sd="1" x="458"/>
        <item t="data" sd="1" x="445"/>
        <item t="data" sd="1" x="771"/>
        <item t="data" sd="1" x="674"/>
        <item t="data" sd="1" x="861"/>
        <item t="data" sd="1" x="702"/>
        <item t="data" sd="1" x="660"/>
        <item t="data" sd="1" x="613"/>
        <item t="data" sd="1" x="762"/>
        <item t="data" sd="1" x="444"/>
        <item t="data" sd="1" x="378"/>
        <item t="data" sd="1" x="472"/>
        <item t="data" sd="1" x="945"/>
        <item t="data" sd="1" x="946"/>
        <item t="data" sd="1" x="937"/>
        <item t="data" sd="1" x="548"/>
        <item t="data" sd="1" x="1045"/>
        <item t="data" sd="1" x="377"/>
        <item t="data" sd="1" x="1139"/>
        <item t="data" sd="1" x="376"/>
        <item t="data" sd="1" x="375"/>
        <item t="data" sd="1" x="374"/>
        <item t="data" sd="1" x="373"/>
        <item t="data" sd="1" x="372"/>
        <item t="data" sd="1" x="964"/>
        <item t="data" sd="1" x="371"/>
        <item t="data" sd="1" x="253"/>
        <item t="data" sd="1" x="419"/>
        <item t="data" sd="1" x="1058"/>
        <item t="data" sd="1" x="782"/>
        <item t="data" sd="1" x="783"/>
        <item t="data" sd="1" x="370"/>
        <item t="data" sd="1" x="386"/>
        <item t="data" sd="1" x="385"/>
        <item t="data" sd="1" x="664"/>
        <item t="data" sd="1" x="367"/>
        <item t="data" sd="1" x="366"/>
        <item t="data" sd="1" x="365"/>
        <item t="data" sd="1" x="364"/>
        <item t="data" sd="1" x="363"/>
        <item t="data" sd="1" x="362"/>
        <item t="data" sd="1" x="361"/>
        <item t="data" sd="1" x="360"/>
        <item t="data" sd="1" x="1062"/>
        <item t="data" sd="1" x="359"/>
        <item t="data" sd="1" x="358"/>
        <item t="data" sd="1" x="714"/>
        <item t="data" sd="1" x="357"/>
        <item t="data" sd="1" x="1049"/>
        <item t="data" sd="1" x="1030"/>
        <item t="data" sd="1" x="355"/>
        <item t="data" sd="1" x="354"/>
        <item t="data" sd="1" x="353"/>
        <item t="data" sd="1" x="769"/>
        <item t="data" sd="1" x="399"/>
        <item t="data" sd="1" x="352"/>
        <item t="data" sd="1" x="351"/>
        <item t="data" sd="1" x="350"/>
        <item t="data" sd="1" x="349"/>
        <item t="data" sd="1" x="348"/>
        <item t="data" sd="1" x="347"/>
        <item t="data" sd="1" x="346"/>
        <item t="data" sd="1" x="345"/>
        <item t="data" sd="1" x="344"/>
        <item t="data" sd="1" x="343"/>
        <item t="data" sd="1" x="342"/>
        <item t="data" sd="1" x="1096"/>
        <item t="data" sd="1" x="760"/>
        <item t="data" sd="1" x="466"/>
        <item t="data" sd="1" x="467"/>
        <item t="data" sd="1" x="468"/>
        <item t="data" sd="1" x="477"/>
        <item t="data" sd="1" x="671"/>
        <item t="data" sd="1" x="341"/>
        <item t="data" sd="1" x="340"/>
        <item t="data" sd="1" x="339"/>
        <item t="data" sd="1" x="338"/>
        <item t="data" sd="1" x="1155"/>
        <item t="data" sd="1" x="963"/>
        <item t="data" sd="1" x="1156"/>
        <item t="data" sd="1" x="1063"/>
        <item t="data" sd="1" x="1157"/>
        <item t="data" sd="1" x="337"/>
        <item t="data" sd="1" x="961"/>
        <item t="data" sd="1" x="973"/>
        <item t="data" sd="1" x="336"/>
        <item t="data" sd="1" x="962"/>
        <item t="data" sd="1" x="335"/>
        <item t="data" sd="1" x="960"/>
        <item t="data" sd="1" x="334"/>
        <item t="data" sd="1" x="333"/>
        <item t="data" sd="1" x="332"/>
        <item t="data" sd="1" x="331"/>
        <item t="data" sd="1" x="959"/>
        <item t="data" sd="1" x="958"/>
        <item t="data" sd="1" x="1103"/>
        <item t="data" sd="1" x="1154"/>
        <item t="data" sd="1" x="972"/>
        <item t="data" sd="1" x="777"/>
        <item t="data" sd="1" x="829"/>
        <item t="data" sd="1" x="330"/>
        <item t="data" sd="1" x="778"/>
        <item t="data" sd="1" x="689"/>
        <item t="data" sd="1" x="688"/>
        <item t="data" sd="1" x="685"/>
        <item t="data" sd="1" x="686"/>
        <item t="data" sd="1" x="687"/>
        <item t="data" sd="1" x="1002"/>
        <item t="data" sd="1" x="329"/>
        <item t="data" sd="1" x="328"/>
        <item t="data" sd="1" x="659"/>
        <item t="data" sd="1" x="681"/>
        <item t="data" sd="1" x="650"/>
        <item t="data" sd="1" x="1016"/>
        <item t="data" sd="1" x="928"/>
        <item t="data" sd="1" x="933"/>
        <item t="data" sd="1" x="577"/>
        <item t="data" sd="1" x="327"/>
        <item t="data" sd="1" x="326"/>
        <item t="data" sd="1" x="1131"/>
        <item t="data" sd="1" x="1048"/>
        <item t="data" sd="1" x="1032"/>
        <item t="data" sd="1" x="1031"/>
        <item t="data" sd="1" x="566"/>
        <item t="data" sd="1" x="560"/>
        <item t="data" sd="1" x="562"/>
        <item t="data" sd="1" x="563"/>
        <item t="data" sd="1" x="325"/>
        <item t="data" sd="1" x="324"/>
        <item t="data" sd="1" x="323"/>
        <item t="data" sd="1" x="322"/>
        <item t="data" sd="1" x="1034"/>
        <item t="data" sd="1" x="1033"/>
        <item t="data" sd="1" x="694"/>
        <item t="data" sd="1" x="321"/>
        <item t="data" sd="1" x="320"/>
        <item t="data" sd="1" x="319"/>
        <item t="data" sd="1" x="1035"/>
        <item t="data" sd="1" x="318"/>
        <item t="data" sd="1" x="317"/>
        <item t="data" sd="1" x="316"/>
        <item t="data" sd="1" x="315"/>
        <item t="data" sd="1" x="314"/>
        <item t="data" sd="1" x="313"/>
        <item t="data" sd="1" x="312"/>
        <item t="data" sd="1" x="311"/>
        <item t="data" sd="1" x="310"/>
        <item t="data" sd="1" x="309"/>
        <item t="data" sd="1" x="308"/>
        <item t="data" sd="1" x="564"/>
        <item t="data" sd="1" x="384"/>
        <item t="data" sd="1" x="382"/>
        <item t="data" sd="1" x="381"/>
        <item t="data" sd="1" x="379"/>
        <item t="data" sd="1" x="369"/>
        <item t="data" sd="1" x="368"/>
        <item t="data" sd="1" x="307"/>
        <item t="data" sd="1" x="306"/>
        <item t="data" sd="1" x="492"/>
        <item t="data" sd="1" x="652"/>
        <item t="data" sd="1" x="860"/>
        <item t="data" sd="1" x="979"/>
        <item t="data" sd="1" x="1050"/>
        <item t="data" sd="1" x="887"/>
        <item t="data" sd="1" x="636"/>
        <item t="data" sd="1" x="1054"/>
        <item t="data" sd="1" x="559"/>
        <item t="data" sd="1" x="1055"/>
        <item t="data" sd="1" x="1056"/>
        <item t="data" sd="1" x="857"/>
        <item t="data" sd="1" x="856"/>
        <item t="data" sd="1" x="1057"/>
        <item t="data" sd="1" x="634"/>
        <item t="data" sd="1" x="638"/>
        <item t="data" sd="1" x="640"/>
        <item t="data" sd="1" x="639"/>
        <item t="data" sd="1" x="651"/>
        <item t="data" sd="1" x="641"/>
        <item t="data" sd="1" x="978"/>
        <item t="data" sd="1" x="637"/>
        <item t="data" sd="1" x="635"/>
        <item t="data" sd="1" x="1095"/>
        <item t="data" sd="1" x="994"/>
        <item t="data" sd="1" x="532"/>
        <item t="data" sd="1" x="299"/>
        <item t="data" sd="1" x="1037"/>
        <item t="data" sd="1" x="1085"/>
        <item t="data" sd="1" x="298"/>
        <item t="data" sd="1" x="935"/>
        <item t="data" sd="1" x="297"/>
        <item t="data" sd="1" x="296"/>
        <item t="data" sd="1" x="1153"/>
        <item t="data" sd="1" x="1043"/>
        <item t="data" sd="1" x="295"/>
        <item t="data" sd="1" x="294"/>
        <item t="data" sd="1" x="293"/>
        <item t="data" sd="1" x="1028"/>
        <item t="data" sd="1" x="529"/>
        <item t="data" sd="1" x="947"/>
        <item t="data" sd="1" x="292"/>
        <item t="data" sd="1" x="644"/>
        <item t="data" sd="1" x="745"/>
        <item t="data" sd="1" x="682"/>
        <item t="data" sd="1" x="305"/>
        <item t="data" sd="1" x="1061"/>
        <item t="data" sd="1" x="304"/>
        <item t="data" sd="1" x="543"/>
        <item t="data" sd="1" x="918"/>
        <item t="data" sd="1" x="611"/>
        <item t="data" sd="1" x="952"/>
        <item t="data" sd="1" x="1148"/>
        <item t="data" sd="1" x="1149"/>
        <item t="data" sd="1" x="289"/>
        <item t="data" sd="1" x="288"/>
        <item t="data" sd="1" x="287"/>
        <item t="data" sd="1" x="286"/>
        <item t="data" sd="1" x="285"/>
        <item t="data" sd="1" x="284"/>
        <item t="data" sd="1" x="283"/>
        <item t="data" sd="1" x="282"/>
        <item t="data" sd="1" x="281"/>
        <item t="data" sd="1" x="280"/>
        <item t="data" sd="1" x="279"/>
        <item t="data" sd="1" x="278"/>
        <item t="data" sd="1" x="277"/>
        <item t="data" sd="1" x="276"/>
        <item t="data" sd="1" x="275"/>
        <item t="data" sd="1" x="274"/>
        <item t="data" sd="1" x="273"/>
        <item t="data" sd="1" x="272"/>
        <item t="data" sd="1" x="271"/>
        <item t="data" sd="1" x="270"/>
        <item t="data" sd="1" x="269"/>
        <item t="data" sd="1" x="268"/>
        <item t="data" sd="1" x="267"/>
        <item t="data" sd="1" x="266"/>
        <item t="data" sd="1" x="265"/>
        <item t="data" sd="1" x="264"/>
        <item t="data" sd="1" x="263"/>
        <item t="data" sd="1" x="262"/>
        <item t="data" sd="1" x="261"/>
        <item t="data" sd="1" x="260"/>
        <item t="data" sd="1" x="844"/>
        <item t="data" sd="1" x="259"/>
        <item t="data" sd="1" x="1081"/>
        <item t="data" sd="1" x="258"/>
        <item t="data" sd="1" x="570"/>
        <item t="data" sd="1" x="683"/>
        <item t="data" sd="1" x="1042"/>
        <item t="data" sd="1" x="257"/>
        <item t="data" sd="1" x="256"/>
        <item t="data" sd="1" x="1023"/>
        <item t="data" sd="1" x="550"/>
        <item t="data" sd="1" x="255"/>
        <item t="data" sd="1" x="254"/>
        <item t="data" sd="1" x="944"/>
        <item t="data" sd="1" x="971"/>
        <item t="data" sd="1" x="785"/>
        <item t="data" sd="1" x="504"/>
        <item t="data" sd="1" x="602"/>
        <item t="data" sd="1" x="1007"/>
        <item t="data" sd="1" x="1065"/>
        <item t="data" sd="1" x="497"/>
        <item t="data" sd="1" x="499"/>
        <item t="data" sd="1" x="1006"/>
        <item t="data" sd="1" x="893"/>
        <item t="data" sd="1" x="503"/>
        <item t="data" sd="1" x="525"/>
        <item t="data" sd="1" x="507"/>
        <item t="data" sd="1" x="508"/>
        <item t="data" sd="1" x="413"/>
        <item t="data" sd="1" x="414"/>
        <item t="data" sd="1" x="412"/>
        <item t="data" sd="1" x="1167"/>
        <item t="data" sd="1" x="415"/>
        <item t="data" sd="1" x="540"/>
        <item t="data" sd="1" x="621"/>
        <item t="data" sd="1" x="539"/>
        <item t="data" sd="1" x="1110"/>
        <item t="data" sd="1" x="873"/>
        <item t="data" sd="1" x="584"/>
        <item t="data" sd="1" x="658"/>
        <item t="data" sd="1" x="1142"/>
        <item t="data" sd="1" x="252"/>
        <item t="data" sd="1" x="852"/>
        <item t="data" sd="1" x="1036"/>
        <item t="data" sd="1" x="1013"/>
        <item t="data" sd="1" x="1165"/>
        <item t="data" sd="1" x="251"/>
        <item t="data" sd="1" x="1161"/>
        <item t="data" sd="1" x="817"/>
        <item t="data" sd="1" x="799"/>
        <item t="data" sd="1" x="596"/>
        <item t="data" sd="1" x="1094"/>
        <item t="data" sd="1" x="473"/>
        <item t="data" sd="1" x="1105"/>
        <item t="data" sd="1" x="835"/>
        <item t="data" sd="1" x="836"/>
        <item t="data" sd="1" x="729"/>
        <item t="data" sd="1" x="730"/>
        <item t="data" sd="1" x="865"/>
        <item t="data" sd="1" x="864"/>
        <item t="data" sd="1" x="781"/>
        <item t="data" sd="1" x="250"/>
        <item t="data" sd="1" x="863"/>
        <item t="data" sd="1" x="249"/>
        <item t="data" sd="1" x="1047"/>
        <item t="data" sd="1" x="977"/>
        <item t="data" sd="1" x="1108"/>
        <item t="data" sd="1" x="398"/>
        <item t="data" sd="1" x="802"/>
        <item t="data" sd="1" x="996"/>
        <item t="data" sd="1" x="995"/>
        <item t="data" sd="1" x="485"/>
        <item t="data" sd="1" x="1008"/>
        <item t="data" sd="1" x="392"/>
        <item t="data" sd="1" x="920"/>
        <item t="data" sd="1" x="940"/>
        <item t="data" sd="1" x="862"/>
        <item t="data" sd="1" x="975"/>
        <item t="data" sd="1" x="1159"/>
        <item t="data" sd="1" x="248"/>
        <item t="data" sd="1" x="588"/>
        <item t="data" sd="1" x="587"/>
        <item t="data" sd="1" x="474"/>
        <item t="data" sd="1" x="247"/>
        <item t="data" sd="1" x="246"/>
        <item t="data" sd="1" x="437"/>
        <item t="data" sd="1" x="245"/>
        <item t="data" sd="1" x="244"/>
        <item t="data" sd="1" x="243"/>
        <item t="data" sd="1" x="242"/>
        <item t="data" sd="1" x="939"/>
        <item t="data" sd="1" x="992"/>
        <item t="data" sd="1" x="411"/>
        <item t="data" sd="1" x="241"/>
        <item t="data" sd="1" x="240"/>
        <item t="data" sd="1" x="612"/>
        <item t="data" sd="1" x="929"/>
        <item t="data" sd="1" x="914"/>
        <item t="data" sd="1" x="915"/>
        <item t="data" sd="1" x="731"/>
        <item t="data" sd="1" x="1087"/>
        <item t="data" sd="1" x="982"/>
        <item t="data" sd="1" x="1086"/>
        <item t="data" sd="1" x="670"/>
        <item t="data" sd="1" x="239"/>
        <item t="data" sd="1" x="238"/>
        <item t="data" sd="1" x="855"/>
        <item t="data" sd="1" x="896"/>
        <item t="data" sd="1" x="1144"/>
        <item t="data" sd="1" x="1134"/>
        <item t="data" sd="1" x="237"/>
        <item t="data" sd="1" x="888"/>
        <item t="data" sd="1" x="236"/>
        <item t="data" sd="1" x="235"/>
        <item t="data" sd="1" x="234"/>
        <item t="data" sd="1" x="843"/>
        <item t="data" sd="1" x="233"/>
        <item t="data" sd="1" x="649"/>
        <item t="data" sd="1" x="842"/>
        <item t="data" sd="1" x="232"/>
        <item t="data" sd="1" x="231"/>
        <item t="data" sd="1" x="647"/>
        <item t="data" sd="1" x="648"/>
        <item t="data" sd="1" x="303"/>
        <item t="data" sd="1" x="302"/>
        <item t="data" sd="1" x="301"/>
        <item t="data" sd="1" x="300"/>
        <item t="data" sd="1" x="291"/>
        <item t="data" sd="1" x="290"/>
        <item t="data" sd="1" x="1126"/>
        <item t="data" sd="1" x="230"/>
        <item t="data" sd="1" x="229"/>
        <item t="data" sd="1" x="228"/>
        <item t="data" sd="1" x="227"/>
        <item t="data" sd="1" x="226"/>
        <item t="data" sd="1" x="629"/>
        <item t="data" sd="1" x="919"/>
        <item t="data" sd="1" x="571"/>
        <item t="data" sd="1" x="1039"/>
        <item t="data" sd="1" x="572"/>
        <item t="data" sd="1" x="1112"/>
        <item t="data" sd="1" x="610"/>
        <item t="data" sd="1" x="1127"/>
        <item t="data" sd="1" x="786"/>
        <item t="data" sd="1" x="220"/>
        <item t="data" sd="1" x="219"/>
        <item t="data" sd="1" x="218"/>
        <item t="data" sd="1" x="217"/>
        <item t="data" sd="1" x="216"/>
        <item t="data" sd="1" x="215"/>
        <item t="data" sd="1" x="214"/>
        <item t="data" sd="1" x="213"/>
        <item t="data" sd="1" x="212"/>
        <item t="data" sd="1" x="211"/>
        <item t="data" sd="1" x="210"/>
        <item t="data" sd="1" x="209"/>
        <item t="data" sd="1" x="787"/>
        <item t="data" sd="1" x="421"/>
        <item t="data" sd="1" x="420"/>
        <item t="data" sd="1" x="1113"/>
        <item t="data" sd="1" x="225"/>
        <item t="data" sd="1" x="224"/>
        <item t="data" sd="1" x="223"/>
        <item t="data" sd="1" x="222"/>
        <item t="data" sd="1" x="643"/>
        <item t="data" sd="1" x="642"/>
        <item t="data" sd="1" x="830"/>
        <item t="data" sd="1" x="987"/>
        <item t="data" sd="1" x="221"/>
        <item t="data" sd="1" x="741"/>
        <item t="data" sd="1" x="867"/>
        <item t="data" sd="1" x="203"/>
        <item t="data" sd="1" x="902"/>
        <item t="data" sd="1" x="662"/>
        <item t="data" sd="1" x="208"/>
        <item t="data" sd="1" x="207"/>
        <item t="data" sd="1" x="811"/>
        <item t="data" sd="1" x="981"/>
        <item t="data" sd="1" x="788"/>
        <item t="data" sd="1" x="991"/>
        <item t="data" sd="1" x="201"/>
        <item t="data" sd="1" x="200"/>
        <item t="data" sd="1" x="936"/>
        <item t="data" sd="1" x="880"/>
        <item t="data" sd="1" x="743"/>
        <item t="data" sd="1" x="1019"/>
        <item t="data" sd="1" x="206"/>
        <item t="data" sd="1" x="198"/>
        <item t="data" sd="1" x="197"/>
        <item t="data" sd="1" x="668"/>
        <item t="data" sd="1" x="669"/>
        <item t="data" sd="1" x="848"/>
        <item t="data" sd="1" x="1147"/>
        <item t="data" sd="1" x="663"/>
        <item t="data" sd="1" x="739"/>
        <item t="data" sd="1" x="828"/>
        <item t="data" sd="1" x="1044"/>
        <item t="data" sd="1" x="983"/>
        <item t="data" sd="1" x="205"/>
        <item t="data" sd="1" x="904"/>
        <item t="data" sd="1" x="623"/>
        <item t="data" sd="1" x="195"/>
        <item t="data" sd="1" x="735"/>
        <item t="data" sd="1" x="680"/>
        <item t="data" sd="1" x="194"/>
        <item t="data" sd="1" x="204"/>
        <item t="data" sd="1" x="192"/>
        <item t="data" sd="1" x="191"/>
        <item t="data" sd="1" x="190"/>
        <item t="data" sd="1" x="189"/>
        <item t="data" sd="1" x="1064"/>
        <item t="data" sd="1" x="457"/>
        <item t="data" sd="1" x="989"/>
        <item t="data" sd="1" x="1137"/>
        <item t="data" sd="1" x="1136"/>
        <item t="data" sd="1" x="988"/>
        <item t="data" sd="1" x="1141"/>
        <item t="data" sd="1" x="1152"/>
        <item t="data" sd="1" x="653"/>
        <item t="data" sd="1" x="654"/>
        <item t="data" sd="1" x="188"/>
        <item t="data" sd="1" x="859"/>
        <item t="data" sd="1" x="818"/>
        <item t="data" sd="1" x="423"/>
        <item t="data" sd="1" x="422"/>
        <item t="data" sd="1" x="431"/>
        <item t="data" sd="1" x="426"/>
        <item t="data" sd="1" x="432"/>
        <item t="data" sd="1" x="429"/>
        <item t="data" sd="1" x="424"/>
        <item t="data" sd="1" x="430"/>
        <item t="data" sd="1" x="425"/>
        <item t="data" sd="1" x="427"/>
        <item t="data" sd="1" x="428"/>
        <item t="data" sd="1" x="693"/>
        <item t="data" sd="1" x="697"/>
        <item t="data" sd="1" x="821"/>
        <item t="data" sd="1" x="907"/>
        <item t="data" sd="1" x="898"/>
        <item t="data" sd="1" x="776"/>
        <item t="data" sd="1" x="187"/>
        <item t="data" sd="1" x="186"/>
        <item t="data" sd="1" x="1158"/>
        <item t="data" sd="1" x="185"/>
        <item t="data" sd="1" x="178"/>
        <item t="data" sd="1" x="177"/>
        <item t="data" sd="1" x="184"/>
        <item t="data" sd="1" x="183"/>
        <item t="data" sd="1" x="182"/>
        <item t="data" sd="1" x="181"/>
        <item t="data" sd="1" x="180"/>
        <item t="data" sd="1" x="179"/>
        <item t="data" sd="1" x="176"/>
        <item t="data" sd="1" x="175"/>
        <item t="data" sd="1" x="174"/>
        <item t="data" sd="1" x="173"/>
        <item t="data" sd="1" x="172"/>
        <item t="data" sd="1" x="171"/>
        <item t="data" sd="1" x="170"/>
        <item t="data" sd="1" x="169"/>
        <item t="data" sd="1" x="168"/>
        <item t="data" sd="1" x="167"/>
        <item t="data" sd="1" x="166"/>
        <item t="data" sd="1" x="165"/>
        <item t="data" sd="1" x="164"/>
        <item t="data" sd="1" x="826"/>
        <item t="data" sd="1" x="924"/>
        <item t="data" sd="1" x="837"/>
        <item t="data" sd="1" x="825"/>
        <item t="data" sd="1" x="890"/>
        <item t="data" sd="1" x="891"/>
        <item t="data" sd="1" x="879"/>
        <item t="data" sd="1" x="469"/>
        <item t="data" sd="1" x="163"/>
        <item t="data" sd="1" x="434"/>
        <item t="data" sd="1" x="202"/>
        <item t="data" sd="1" x="199"/>
        <item t="data" sd="1" x="196"/>
        <item t="data" sd="1" x="193"/>
        <item t="data" sd="1" x="162"/>
        <item t="data" sd="1" x="161"/>
        <item t="data" sd="1" x="160"/>
        <item t="data" sd="1" x="159"/>
        <item t="data" sd="1" x="158"/>
        <item t="data" sd="1" x="157"/>
        <item t="data" sd="1" x="156"/>
        <item t="data" sd="1" x="155"/>
        <item t="data" sd="1" x="154"/>
        <item t="data" sd="1" x="153"/>
        <item t="data" sd="1" x="1129"/>
        <item t="data" sd="1" x="800"/>
        <item t="data" sd="1" x="152"/>
        <item t="data" sd="1" x="151"/>
        <item t="data" sd="1" x="150"/>
        <item t="data" sd="1" x="149"/>
        <item t="data" sd="1" x="597"/>
        <item t="data" sd="1" x="148"/>
        <item t="data" sd="1" x="147"/>
        <item t="data" sd="1" x="146"/>
        <item t="data" sd="1" x="145"/>
        <item t="data" sd="1" x="1074"/>
        <item t="data" sd="1" x="990"/>
        <item t="data" sd="1" x="1135"/>
        <item t="data" sd="1" x="144"/>
        <item t="data" sd="1" x="143"/>
        <item t="data" sd="1" x="141"/>
        <item t="data" sd="1" x="140"/>
        <item t="data" sd="1" x="1125"/>
        <item t="data" sd="1" x="1075"/>
        <item t="data" sd="1" x="139"/>
        <item t="data" sd="1" x="892"/>
        <item t="data" sd="1" x="854"/>
        <item t="data" sd="1" x="487"/>
        <item t="data" sd="1" x="603"/>
        <item t="data" sd="1" x="744"/>
        <item t="data" sd="1" x="646"/>
        <item t="data" sd="1" x="482"/>
        <item t="data" sd="1" x="542"/>
        <item t="data" sd="1" x="142"/>
        <item t="data" sd="1" x="927"/>
        <item t="data" sd="1" x="137"/>
        <item t="data" sd="1" x="1099"/>
        <item t="data" sd="1" x="814"/>
        <item t="data" sd="1" x="838"/>
        <item t="data" sd="1" x="1025"/>
        <item t="data" sd="1" x="1076"/>
        <item t="data" sd="1" x="905"/>
        <item t="data" sd="1" x="903"/>
        <item t="data" sd="1" x="138"/>
        <item t="data" sd="1" x="136"/>
        <item t="data" sd="1" x="135"/>
        <item t="data" sd="1" x="134"/>
        <item t="data" sd="1" x="133"/>
        <item t="data" sd="1" x="475"/>
        <item t="data" sd="1" x="132"/>
        <item t="data" sd="1" x="131"/>
        <item t="data" sd="1" x="949"/>
        <item t="data" sd="1" x="476"/>
        <item t="data" sd="1" x="580"/>
        <item t="data" sd="1" x="951"/>
        <item t="data" sd="1" x="1150"/>
        <item t="data" sd="1" x="400"/>
        <item t="data" sd="1" x="129"/>
        <item t="data" sd="1" x="1010"/>
        <item t="data" sd="1" x="727"/>
        <item t="data" sd="1" x="718"/>
        <item t="data" sd="1" x="798"/>
        <item t="data" sd="1" x="128"/>
        <item t="data" sd="1" x="127"/>
        <item t="data" sd="1" x="126"/>
        <item t="data" sd="1" x="125"/>
        <item t="data" sd="1" x="748"/>
        <item t="data" sd="1" x="124"/>
        <item t="data" sd="1" x="123"/>
        <item t="data" sd="1" x="122"/>
        <item t="data" sd="1" x="121"/>
        <item t="data" sd="1" x="954"/>
        <item t="data" sd="1" x="120"/>
        <item t="data" sd="1" x="119"/>
        <item t="data" sd="1" x="118"/>
        <item t="data" sd="1" x="537"/>
        <item t="data" sd="1" x="117"/>
        <item t="data" sd="1" x="931"/>
        <item t="data" sd="1" x="673"/>
        <item t="data" sd="1" x="925"/>
        <item t="data" sd="1" x="926"/>
        <item t="data" sd="1" x="772"/>
        <item t="data" sd="1" x="116"/>
        <item t="data" sd="1" x="810"/>
        <item t="data" sd="1" x="115"/>
        <item t="data" sd="1" x="130"/>
        <item t="data" sd="1" x="113"/>
        <item t="data" sd="1" x="112"/>
        <item t="data" sd="1" x="111"/>
        <item t="data" sd="1" x="950"/>
        <item t="data" sd="1" x="110"/>
        <item t="data" sd="1" x="488"/>
        <item t="data" sd="1" x="109"/>
        <item t="data" sd="1" x="484"/>
        <item t="data" sd="1" x="483"/>
        <item t="data" sd="1" x="541"/>
        <item t="data" sd="1" x="489"/>
        <item t="data" sd="1" x="114"/>
        <item t="data" sd="1" x="107"/>
        <item t="data" sd="1" x="1024"/>
        <item t="data" sd="1" x="106"/>
        <item t="data" sd="1" x="552"/>
        <item t="data" sd="1" x="551"/>
        <item t="data" sd="1" x="806"/>
        <item t="data" sd="1" x="606"/>
        <item t="data" sd="1" x="549"/>
        <item t="data" sd="1" x="108"/>
        <item t="data" sd="1" x="104"/>
        <item t="data" sd="1" x="103"/>
        <item t="data" sd="1" x="823"/>
        <item t="data" sd="1" x="1051"/>
        <item t="data" sd="1" x="102"/>
        <item t="data" sd="1" x="101"/>
        <item t="data" sd="1" x="452"/>
        <item t="data" sd="1" x="827"/>
        <item t="data" sd="1" x="100"/>
        <item t="data" sd="1" x="99"/>
        <item t="data" sd="1" x="1009"/>
        <item t="data" sd="1" x="733"/>
        <item t="data" sd="1" x="732"/>
        <item t="data" sd="1" x="625"/>
        <item t="data" sd="1" x="1171"/>
        <item t="data" sd="1" x="985"/>
        <item t="data" sd="1" x="793"/>
        <item t="data" sd="1" x="755"/>
        <item t="data" sd="1" x="819"/>
        <item t="data" sd="1" x="98"/>
        <item t="data" sd="1" x="441"/>
        <item t="data" sd="1" x="442"/>
        <item t="data" sd="1" x="443"/>
        <item t="data" sd="1" x="737"/>
        <item t="data" sd="1" x="736"/>
        <item t="data" sd="1" x="97"/>
        <item t="data" sd="1" x="96"/>
        <item t="data" sd="1" x="934"/>
        <item t="data" sd="1" x="95"/>
        <item t="data" sd="1" x="94"/>
        <item t="data" sd="1" x="105"/>
        <item t="data" sd="1" x="1021"/>
        <item t="data" sd="1" x="986"/>
        <item t="data" sd="1" x="763"/>
        <item t="data" sd="1" x="1114"/>
        <item t="data" sd="1" x="92"/>
        <item t="data" sd="1" x="1145"/>
        <item t="data" sd="1" x="93"/>
        <item t="data" sd="1" x="1115"/>
        <item t="data" sd="1" x="401"/>
        <item t="data" sd="1" x="849"/>
        <item t="data" sd="1" x="754"/>
        <item t="data" sd="1" x="90"/>
        <item t="data" sd="1" x="89"/>
        <item t="data" sd="1" x="583"/>
        <item t="data" sd="1" x="868"/>
        <item t="data" sd="1" x="582"/>
        <item t="data" sd="1" x="586"/>
        <item t="data" sd="1" x="88"/>
        <item t="data" sd="1" x="953"/>
        <item t="data" sd="1" x="882"/>
        <item t="data" sd="1" x="609"/>
        <item t="data" sd="1" x="881"/>
        <item t="data" sd="1" x="1014"/>
        <item t="data" sd="1" x="746"/>
        <item t="data" sd="1" x="464"/>
        <item t="data" sd="1" x="91"/>
        <item t="data" sd="1" x="1091"/>
        <item t="data" sd="1" x="1090"/>
        <item t="data" sd="1" x="512"/>
        <item t="data" sd="1" x="841"/>
        <item t="data" sd="1" x="620"/>
        <item t="data" sd="1" x="619"/>
        <item t="data" sd="1" x="618"/>
        <item t="data" sd="1" x="791"/>
        <item t="data" sd="1" x="615"/>
        <item t="data" sd="1" x="614"/>
        <item t="data" sd="1" x="395"/>
        <item t="data" sd="1" x="396"/>
        <item t="data" sd="1" x="394"/>
        <item t="data" sd="1" x="449"/>
        <item t="data" sd="1" x="1011"/>
        <item t="data" sd="1" x="656"/>
        <item t="data" sd="1" x="86"/>
        <item t="data" sd="1" x="85"/>
        <item t="data" sd="1" x="84"/>
        <item t="data" sd="1" x="83"/>
        <item t="data" sd="1" x="82"/>
        <item t="data" sd="1" x="779"/>
        <item t="data" sd="1" x="533"/>
        <item t="data" sd="1" x="494"/>
        <item t="data" sd="1" x="81"/>
        <item t="data" sd="1" x="80"/>
        <item t="data" sd="1" x="79"/>
        <item t="data" sd="1" x="784"/>
        <item t="data" sd="1" x="534"/>
        <item t="data" sd="1" x="657"/>
        <item t="data" sd="1" x="1072"/>
        <item t="data" sd="1" x="846"/>
        <item t="data" sd="1" x="847"/>
        <item t="data" sd="1" x="845"/>
        <item t="data" sd="1" x="815"/>
        <item t="data" sd="1" x="1080"/>
        <item t="data" sd="1" x="759"/>
        <item t="data" sd="1" x="812"/>
        <item t="data" sd="1" x="1078"/>
        <item t="data" sd="1" x="969"/>
        <item t="data" sd="1" x="1066"/>
        <item t="data" sd="1" x="968"/>
        <item t="data" sd="1" x="672"/>
        <item t="data" sd="1" x="703"/>
        <item t="data" sd="1" x="1109"/>
        <item t="data" sd="1" x="708"/>
        <item t="data" sd="1" x="775"/>
        <item t="data" sd="1" x="820"/>
        <item t="data" sd="1" x="87"/>
        <item t="data" sd="1" x="77"/>
        <item t="data" sd="1" x="76"/>
        <item t="data" sd="1" x="1073"/>
        <item t="data" sd="1" x="1133"/>
        <item t="data" sd="1" x="752"/>
        <item t="data" sd="1" x="645"/>
        <item t="data" sd="1" x="75"/>
        <item t="data" sd="1" x="1093"/>
        <item t="data" sd="1" x="813"/>
        <item t="data" sd="1" x="917"/>
        <item t="data" sd="1" x="585"/>
        <item t="data" sd="1" x="622"/>
        <item t="data" sd="1" x="1040"/>
        <item t="data" sd="1" x="74"/>
        <item t="data" sd="1" x="722"/>
        <item t="data" sd="1" x="721"/>
        <item t="data" sd="1" x="678"/>
        <item t="data" sd="1" x="73"/>
        <item t="data" sd="1" x="356"/>
        <item t="data" sd="1" x="993"/>
        <item t="data" sd="1" x="774"/>
        <item t="data" sd="1" x="72"/>
        <item t="data" sd="1" x="408"/>
        <item t="data" sd="1" x="410"/>
        <item t="data" sd="1" x="416"/>
        <item t="data" sd="1" x="885"/>
        <item t="data" sd="1" x="822"/>
        <item t="data" sd="1" x="1120"/>
        <item t="data" sd="1" x="71"/>
        <item t="data" sd="1" x="70"/>
        <item t="data" sd="1" x="69"/>
        <item t="data" sd="1" x="68"/>
        <item t="data" sd="1" x="67"/>
        <item t="data" sd="1" x="66"/>
        <item t="data" sd="1" x="409"/>
        <item t="data" sd="1" x="448"/>
        <item t="data" sd="1" x="447"/>
        <item t="data" sd="1" x="943"/>
        <item t="data" sd="1" x="65"/>
        <item t="data" sd="1" x="877"/>
        <item t="data" sd="1" x="631"/>
        <item t="data" sd="1" x="64"/>
        <item t="data" sd="1" x="63"/>
        <item t="data" sd="1" x="62"/>
        <item t="data" sd="1" x="61"/>
        <item t="data" sd="1" x="679"/>
        <item t="data" sd="1" x="676"/>
        <item t="data" sd="1" x="698"/>
        <item t="data" sd="1" x="598"/>
        <item t="data" sd="1" x="1071"/>
        <item t="data" sd="1" x="1097"/>
        <item t="data" sd="1" x="883"/>
        <item t="data" sd="1" x="941"/>
        <item t="data" sd="1" x="78"/>
        <item t="data" sd="1" x="874"/>
        <item t="data" sd="1" x="767"/>
        <item t="data" sd="1" x="899"/>
        <item t="data" sd="1" x="617"/>
        <item t="data" sd="1" x="616"/>
        <item t="data" sd="1" x="1052"/>
        <item t="data" sd="1" x="1088"/>
        <item t="data" sd="1" x="1092"/>
        <item t="data" sd="1" x="505"/>
        <item t="data" sd="1" x="938"/>
        <item t="data" sd="1" x="780"/>
        <item t="data" sd="1" x="980"/>
        <item t="data" sd="1" x="715"/>
        <item t="data" sd="1" x="1124"/>
        <item t="data" sd="1" x="1128"/>
        <item t="data" sd="1" x="59"/>
        <item t="data" sd="1" x="58"/>
        <item t="data" sd="1" x="869"/>
        <item t="data" sd="1" x="547"/>
        <item t="data" sd="1" x="545"/>
        <item t="data" sd="1" x="544"/>
        <item t="data" sd="1" x="546"/>
        <item t="data" sd="1" x="57"/>
        <item t="data" sd="1" x="56"/>
        <item t="data" sd="1" x="666"/>
        <item t="data" sd="1" x="55"/>
        <item t="data" sd="1" x="54"/>
        <item t="data" sd="1" x="53"/>
        <item t="data" sd="1" x="52"/>
        <item t="data" sd="1" x="446"/>
        <item t="data" sd="1" x="1059"/>
        <item t="data" sd="1" x="858"/>
        <item t="data" sd="1" x="438"/>
        <item t="data" sd="1" x="50"/>
        <item t="data" sd="1" x="478"/>
        <item t="data" sd="1" x="761"/>
        <item t="data" sd="1" x="49"/>
        <item t="data" sd="1" x="48"/>
        <item t="data" sd="1" x="47"/>
        <item t="data" sd="1" x="704"/>
        <item t="data" sd="1" x="46"/>
        <item t="data" sd="1" x="45"/>
        <item t="data" sd="1" x="966"/>
        <item t="data" sd="1" x="1104"/>
        <item t="data" sd="1" x="886"/>
        <item t="data" sd="1" x="60"/>
        <item t="data" sd="1" x="44"/>
        <item t="data" sd="1" x="43"/>
        <item t="data" sd="1" x="42"/>
        <item t="data" sd="1" x="41"/>
        <item t="data" sd="1" x="40"/>
        <item t="data" sd="1" x="908"/>
        <item t="data" sd="1" x="878"/>
        <item t="data" sd="1" x="39"/>
        <item t="data" sd="1" x="38"/>
        <item t="data" sd="1" x="37"/>
        <item t="data" sd="1" x="875"/>
        <item t="data" sd="1" x="36"/>
        <item t="data" sd="1" x="901"/>
        <item t="data" sd="1" x="35"/>
        <item t="data" sd="1" x="900"/>
        <item t="data" sd="1" x="795"/>
        <item t="data" sd="1" x="34"/>
        <item t="data" sd="1" x="33"/>
        <item t="data" sd="1" x="1005"/>
        <item t="data" sd="1" x="1101"/>
        <item t="data" sd="1" x="665"/>
        <item t="data" sd="1" x="805"/>
        <item t="data" sd="1" x="1020"/>
        <item t="data" sd="1" x="809"/>
        <item t="data" sd="1" x="32"/>
        <item t="data" sd="1" x="31"/>
        <item t="data" sd="1" x="916"/>
        <item t="data" sd="1" x="906"/>
        <item t="data" sd="1" x="30"/>
        <item t="data" sd="1" x="29"/>
        <item t="data" sd="1" x="1100"/>
        <item t="data" sd="1" x="1003"/>
        <item t="data" sd="1" x="451"/>
        <item t="data" sd="1" x="1162"/>
        <item t="data" sd="1" x="28"/>
        <item t="data" sd="1" x="1018"/>
        <item t="data" sd="1" x="397"/>
        <item t="data" sd="1" x="27"/>
        <item t="data" sd="1" x="418"/>
        <item t="data" sd="1" x="565"/>
        <item t="data" sd="1" x="794"/>
        <item t="data" sd="1" x="439"/>
        <item t="data" sd="1" x="592"/>
        <item t="data" sd="1" x="593"/>
        <item t="data" sd="1" x="589"/>
        <item t="data" sd="1" x="595"/>
        <item t="data" sd="1" x="594"/>
        <item t="data" sd="1" x="590"/>
        <item t="data" sd="1" x="910"/>
        <item t="data" sd="1" x="870"/>
        <item t="data" sd="1" x="591"/>
        <item t="data" sd="1" x="871"/>
        <item t="data" sd="1" x="930"/>
        <item t="data" sd="1" x="26"/>
        <item t="data" sd="1" x="816"/>
        <item t="data" sd="1" x="834"/>
        <item t="data" sd="1" x="792"/>
        <item t="data" sd="1" x="913"/>
        <item t="data" sd="1" x="527"/>
        <item t="data" sd="1" x="528"/>
        <item t="data" sd="1" x="948"/>
        <item t="data" sd="1" x="797"/>
        <item t="data" sd="1" x="796"/>
        <item t="data" sd="1" x="530"/>
        <item t="data" sd="1" x="1022"/>
        <item t="data" sd="1" x="1169"/>
        <item t="data" sd="1" x="25"/>
        <item t="data" sd="1" x="853"/>
        <item t="data" sd="1" x="1004"/>
        <item t="data" sd="1" x="554"/>
        <item t="data" sd="1" x="498"/>
        <item t="data" sd="1" x="1038"/>
        <item t="data" sd="1" x="500"/>
        <item t="data" sd="1" x="526"/>
        <item t="data" sd="1" x="516"/>
        <item t="data" sd="1" x="807"/>
        <item t="data" sd="1" x="808"/>
        <item t="data" sd="1" x="578"/>
        <item t="data" sd="1" x="627"/>
        <item t="data" sd="1" x="575"/>
        <item t="data" sd="1" x="801"/>
        <item t="data" sd="1" x="804"/>
        <item t="data" sd="1" x="568"/>
        <item t="data" sd="1" x="1140"/>
        <item t="data" sd="1" x="624"/>
        <item t="data" sd="1" x="889"/>
        <item t="data" sd="1" x="479"/>
        <item t="data" sd="1" x="567"/>
        <item t="data" sd="1" x="509"/>
        <item t="data" sd="1" x="705"/>
        <item t="data" sd="1" x="506"/>
        <item t="data" sd="1" x="1122"/>
        <item t="data" sd="1" x="520"/>
        <item t="data" sd="1" x="491"/>
        <item t="data" sd="1" x="561"/>
        <item t="data" sd="1" x="803"/>
        <item t="data" sd="1" x="51"/>
        <item t="data" sd="1" x="406"/>
        <item t="data" sd="1" x="407"/>
        <item t="data" sd="1" x="24"/>
        <item t="data" sd="1" x="23"/>
        <item t="data" sd="1" x="22"/>
        <item t="data" sd="1" x="1083"/>
        <item t="data" sd="1" x="21"/>
        <item t="data" sd="1" x="1123"/>
        <item t="data" sd="1" x="20"/>
        <item t="data" sd="1" x="19"/>
        <item t="data" sd="1" x="440"/>
        <item t="data" sd="1" x="402"/>
        <item t="data" sd="1" x="403"/>
        <item t="data" sd="1" x="404"/>
        <item t="data" sd="1" x="405"/>
        <item t="data" sd="1" x="18"/>
        <item t="data" sd="1" x="17"/>
        <item t="data" sd="1" x="16"/>
        <item t="data" sd="1" x="15"/>
        <item t="data" sd="1" x="1116"/>
        <item t="data" sd="1" x="1046"/>
        <item t="data" sd="1" x="1070"/>
        <item t="data" sd="1" x="1001"/>
        <item t="data" sd="1" x="675"/>
        <item t="data" sd="1" x="1000"/>
        <item t="data" sd="1" x="486"/>
        <item t="data" sd="1" x="770"/>
        <item t="data" sd="1" x="14"/>
        <item t="data" sd="1" x="655"/>
        <item t="data" sd="1" x="897"/>
        <item t="data" sd="1" x="555"/>
        <item t="data" sd="1" x="1130"/>
        <item t="data" sd="1" x="557"/>
        <item t="data" sd="1" x="1151"/>
        <item t="data" sd="1" x="556"/>
        <item t="data" sd="1" x="13"/>
        <item t="data" sd="1" x="1026"/>
        <item t="data" sd="1" x="756"/>
        <item t="data" sd="1" x="701"/>
        <item t="data" sd="1" x="840"/>
        <item t="data" sd="1" x="839"/>
        <item t="data" sd="1" x="601"/>
        <item t="data" sd="1" x="599"/>
        <item t="data" sd="1" x="1117"/>
        <item t="data" sd="1" x="1118"/>
        <item t="data" sd="1" x="957"/>
        <item t="data" sd="1" x="895"/>
        <item t="data" sd="1" x="12"/>
        <item t="data" sd="1" x="11"/>
        <item t="data" sd="1" x="677"/>
        <item t="data" sd="1" x="480"/>
        <item t="data" sd="1" x="607"/>
        <item t="data" sd="1" x="10"/>
        <item t="data" sd="1" x="9"/>
        <item t="data" sd="1" x="832"/>
        <item t="data" sd="1" x="758"/>
        <item t="data" sd="1" x="608"/>
        <item t="data" sd="1" x="1029"/>
        <item t="data" sd="1" x="1106"/>
        <item t="data" sd="1" x="1107"/>
        <item t="data" sd="1" x="604"/>
        <item t="data" sd="1" x="633"/>
        <item t="data" sd="1" x="661"/>
        <item t="data" sd="1" x="699"/>
        <item t="data" sd="1" x="495"/>
        <item t="data" sd="1" x="1143"/>
        <item t="data" sd="1" x="728"/>
        <item t="data" sd="1" x="8"/>
        <item t="data" sd="1" x="7"/>
        <item t="data" sd="1" x="696"/>
        <item t="data" sd="1" x="6"/>
        <item t="data" sd="1" x="5"/>
        <item t="data" sd="1" x="967"/>
        <item t="data" sd="1" x="707"/>
        <item t="data" sd="1" x="600"/>
        <item t="data" sd="1" x="453"/>
        <item t="data" sd="1" x="454"/>
        <item t="data" sd="1" x="717"/>
        <item t="data" sd="1" x="725"/>
        <item t="data" sd="1" x="455"/>
        <item t="data" sd="1" x="690"/>
        <item t="data" sd="1" x="1079"/>
        <item t="data" sd="1" x="965"/>
        <item t="data" sd="1" x="1168"/>
        <item t="data" sd="1" x="691"/>
        <item t="data" sd="1" x="956"/>
        <item t="data" sd="1" x="628"/>
        <item t="data" sd="1" x="1017"/>
        <item t="data" sd="1" x="695"/>
        <item t="data" sd="1" x="538"/>
        <item t="data" sd="1" x="4"/>
        <item t="data" sd="1" x="536"/>
        <item t="data" sd="1" x="535"/>
        <item t="data" sd="1" x="747"/>
        <item t="data" sd="1" x="749"/>
        <item t="data" sd="1" x="764"/>
        <item t="data" sd="1" x="716"/>
        <item t="data" sd="1" x="726"/>
        <item t="data" sd="1" x="3"/>
        <item t="data" sd="1" x="2"/>
        <item t="data" sd="1" x="481"/>
        <item t="data" sd="1" x="1068"/>
        <item t="data" sd="1" x="630"/>
        <item t="data" sd="1" x="1164"/>
        <item t="data" sd="1" x="436"/>
        <item t="data" sd="1" x="521"/>
        <item t="data" sd="1" x="517"/>
        <item t="data" sd="1" x="518"/>
        <item t="data" sd="1" x="510"/>
        <item t="data" sd="1" x="519"/>
        <item t="data" sd="1" x="700"/>
        <item t="data" sd="1" x="490"/>
        <item t="data" sd="1" x="757"/>
        <item t="data" sd="1" x="706"/>
        <item t="data" sd="1" x="524"/>
        <item t="data" sd="1" x="684"/>
        <item t="data" sd="1" x="511"/>
        <item t="data" sd="1" x="1089"/>
        <item t="data" sd="1" x="523"/>
        <item t="data" sd="1" x="1160"/>
        <item t="data" sd="1" x="417"/>
        <item t="data" sd="1" x="531"/>
        <item t="data" sd="1" x="435"/>
        <item t="data" sd="1" x="450"/>
        <item t="data" sd="1" x="1"/>
        <item t="data" sd="1" x="433"/>
        <item t="data" sd="1" x="0"/>
        <item t="data" sd="1" x="1119"/>
        <item t="data" sd="1" x="970"/>
        <item t="data" sd="1" x="876"/>
        <item t="data" sd="1" x="88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2"/>
    <field x="3"/>
  </rowFields>
  <rowItems count="1186">
    <i t="data" r="0" i="0">
      <x v="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52"/>
    </i>
    <i t="data" r="1" i="0">
      <x v="83"/>
    </i>
    <i t="data" r="1" i="0">
      <x v="104"/>
    </i>
    <i t="data" r="1" i="0">
      <x v="120"/>
    </i>
    <i t="data" r="1" i="0">
      <x v="122"/>
    </i>
    <i t="data" r="1" i="0">
      <x v="175"/>
    </i>
    <i t="data" r="1" i="0">
      <x v="177"/>
    </i>
    <i t="data" r="1" i="0">
      <x v="296"/>
    </i>
    <i t="data" r="1" i="0">
      <x v="348"/>
    </i>
    <i t="data" r="1" i="0">
      <x v="411"/>
    </i>
    <i t="data" r="1" i="0">
      <x v="412"/>
    </i>
    <i t="data" r="1" i="0">
      <x v="418"/>
    </i>
    <i t="data" r="1" i="0">
      <x v="445"/>
    </i>
    <i t="data" r="1" i="0">
      <x v="446"/>
    </i>
    <i t="data" r="1" i="0">
      <x v="447"/>
    </i>
    <i t="data" r="1" i="0">
      <x v="448"/>
    </i>
    <i t="data" r="1" i="0">
      <x v="455"/>
    </i>
    <i t="data" r="1" i="0">
      <x v="457"/>
    </i>
    <i t="data" r="1" i="0">
      <x v="523"/>
    </i>
    <i t="data" r="1" i="0">
      <x v="542"/>
    </i>
    <i t="data" r="1" i="0">
      <x v="543"/>
    </i>
    <i t="data" r="1" i="0">
      <x v="556"/>
    </i>
    <i t="data" r="1" i="0">
      <x v="557"/>
    </i>
    <i t="data" r="1" i="0">
      <x v="558"/>
    </i>
    <i t="data" r="1" i="0">
      <x v="559"/>
    </i>
    <i t="data" r="1" i="0">
      <x v="560"/>
    </i>
    <i t="data" r="1" i="0">
      <x v="561"/>
    </i>
    <i t="data" r="1" i="0">
      <x v="562"/>
    </i>
    <i t="data" r="1" i="0">
      <x v="564"/>
    </i>
    <i t="data" r="1" i="0">
      <x v="565"/>
    </i>
    <i t="data" r="1" i="0">
      <x v="646"/>
    </i>
    <i t="data" r="1" i="0">
      <x v="647"/>
    </i>
    <i t="data" r="1" i="0">
      <x v="648"/>
    </i>
    <i t="data" r="1" i="0">
      <x v="651"/>
    </i>
    <i t="data" r="1" i="0">
      <x v="652"/>
    </i>
    <i t="data" r="1" i="0">
      <x v="654"/>
    </i>
    <i t="data" r="1" i="0">
      <x v="671"/>
    </i>
    <i t="data" r="1" i="0">
      <x v="740"/>
    </i>
    <i t="data" r="1" i="0">
      <x v="749"/>
    </i>
    <i t="data" r="1" i="0">
      <x v="750"/>
    </i>
    <i t="data" r="1" i="0">
      <x v="753"/>
    </i>
    <i t="data" r="1" i="0">
      <x v="809"/>
    </i>
    <i t="data" r="1" i="0">
      <x v="833"/>
    </i>
    <i t="data" r="1" i="0">
      <x v="975"/>
    </i>
    <i t="data" r="1" i="0">
      <x v="1027"/>
    </i>
    <i t="data" r="0" i="0">
      <x v="1"/>
    </i>
    <i t="data" r="1" i="0">
      <x v="21"/>
    </i>
    <i t="data" r="1" i="0">
      <x v="32"/>
    </i>
    <i t="data" r="1" i="0">
      <x v="33"/>
    </i>
    <i t="data" r="1" i="0">
      <x v="34"/>
    </i>
    <i t="data" r="1" i="0">
      <x v="86"/>
    </i>
    <i t="data" r="1" i="0">
      <x v="92"/>
    </i>
    <i t="data" r="1" i="0">
      <x v="93"/>
    </i>
    <i t="data" r="1" i="0">
      <x v="94"/>
    </i>
    <i t="data" r="1" i="0">
      <x v="102"/>
    </i>
    <i t="data" r="1" i="0">
      <x v="139"/>
    </i>
    <i t="data" r="1" i="0">
      <x v="140"/>
    </i>
    <i t="data" r="1" i="0">
      <x v="141"/>
    </i>
    <i t="data" r="1" i="0">
      <x v="142"/>
    </i>
    <i t="data" r="1" i="0">
      <x v="143"/>
    </i>
    <i t="data" r="1" i="0">
      <x v="144"/>
    </i>
    <i t="data" r="1" i="0">
      <x v="145"/>
    </i>
    <i t="data" r="1" i="0">
      <x v="146"/>
    </i>
    <i t="data" r="1" i="0">
      <x v="147"/>
    </i>
    <i t="data" r="1" i="0">
      <x v="148"/>
    </i>
    <i t="data" r="1" i="0">
      <x v="149"/>
    </i>
    <i t="data" r="1" i="0">
      <x v="150"/>
    </i>
    <i t="data" r="1" i="0">
      <x v="151"/>
    </i>
    <i t="data" r="1" i="0">
      <x v="152"/>
    </i>
    <i t="data" r="1" i="0">
      <x v="153"/>
    </i>
    <i t="data" r="1" i="0">
      <x v="154"/>
    </i>
    <i t="data" r="1" i="0">
      <x v="155"/>
    </i>
    <i t="data" r="1" i="0">
      <x v="156"/>
    </i>
    <i t="data" r="1" i="0">
      <x v="181"/>
    </i>
    <i t="data" r="1" i="0">
      <x v="182"/>
    </i>
    <i t="data" r="1" i="0">
      <x v="183"/>
    </i>
    <i t="data" r="1" i="0">
      <x v="184"/>
    </i>
    <i t="data" r="1" i="0">
      <x v="185"/>
    </i>
    <i t="data" r="1" i="0">
      <x v="186"/>
    </i>
    <i t="data" r="1" i="0">
      <x v="187"/>
    </i>
    <i t="data" r="1" i="0">
      <x v="188"/>
    </i>
    <i t="data" r="1" i="0">
      <x v="189"/>
    </i>
    <i t="data" r="1" i="0">
      <x v="190"/>
    </i>
    <i t="data" r="1" i="0">
      <x v="191"/>
    </i>
    <i t="data" r="1" i="0">
      <x v="192"/>
    </i>
    <i t="data" r="1" i="0">
      <x v="193"/>
    </i>
    <i t="data" r="1" i="0">
      <x v="194"/>
    </i>
    <i t="data" r="1" i="0">
      <x v="195"/>
    </i>
    <i t="data" r="1" i="0">
      <x v="196"/>
    </i>
    <i t="data" r="1" i="0">
      <x v="197"/>
    </i>
    <i t="data" r="1" i="0">
      <x v="198"/>
    </i>
    <i t="data" r="1" i="0">
      <x v="199"/>
    </i>
    <i t="data" r="1" i="0">
      <x v="200"/>
    </i>
    <i t="data" r="1" i="0">
      <x v="201"/>
    </i>
    <i t="data" r="1" i="0">
      <x v="202"/>
    </i>
    <i t="data" r="1" i="0">
      <x v="203"/>
    </i>
    <i t="data" r="1" i="0">
      <x v="204"/>
    </i>
    <i t="data" r="1" i="0">
      <x v="205"/>
    </i>
    <i t="data" r="1" i="0">
      <x v="206"/>
    </i>
    <i t="data" r="1" i="0">
      <x v="207"/>
    </i>
    <i t="data" r="1" i="0">
      <x v="208"/>
    </i>
    <i t="data" r="1" i="0">
      <x v="209"/>
    </i>
    <i t="data" r="1" i="0">
      <x v="210"/>
    </i>
    <i t="data" r="1" i="0">
      <x v="211"/>
    </i>
    <i t="data" r="1" i="0">
      <x v="212"/>
    </i>
    <i t="data" r="1" i="0">
      <x v="213"/>
    </i>
    <i t="data" r="1" i="0">
      <x v="223"/>
    </i>
    <i t="data" r="1" i="0">
      <x v="224"/>
    </i>
    <i t="data" r="1" i="0">
      <x v="225"/>
    </i>
    <i t="data" r="1" i="0">
      <x v="226"/>
    </i>
    <i t="data" r="1" i="0">
      <x v="270"/>
    </i>
    <i t="data" r="1" i="0">
      <x v="410"/>
    </i>
    <i t="data" r="1" i="0">
      <x v="414"/>
    </i>
    <i t="data" r="1" i="0">
      <x v="415"/>
    </i>
    <i t="data" r="1" i="0">
      <x v="416"/>
    </i>
    <i t="data" r="1" i="0">
      <x v="419"/>
    </i>
    <i t="data" r="1" i="0">
      <x v="420"/>
    </i>
    <i t="data" r="1" i="0">
      <x v="425"/>
    </i>
    <i t="data" r="1" i="0">
      <x v="481"/>
    </i>
    <i t="data" r="1" i="0">
      <x v="482"/>
    </i>
    <i t="data" r="1" i="0">
      <x v="484"/>
    </i>
    <i t="data" r="1" i="0">
      <x v="524"/>
    </i>
    <i t="data" r="1" i="0">
      <x v="525"/>
    </i>
    <i t="data" r="1" i="0">
      <x v="653"/>
    </i>
    <i t="data" r="1" i="0">
      <x v="668"/>
    </i>
    <i t="data" r="1" i="0">
      <x v="732"/>
    </i>
    <i t="data" r="1" i="0">
      <x v="733"/>
    </i>
    <i t="data" r="1" i="0">
      <x v="762"/>
    </i>
    <i t="data" r="1" i="0">
      <x v="841"/>
    </i>
    <i t="data" r="1" i="0">
      <x v="856"/>
    </i>
    <i t="data" r="1" i="0">
      <x v="862"/>
    </i>
    <i t="data" r="1" i="0">
      <x v="863"/>
    </i>
    <i t="data" r="1" i="0">
      <x v="864"/>
    </i>
    <i t="data" r="1" i="0">
      <x v="871"/>
    </i>
    <i t="data" r="1" i="0">
      <x v="872"/>
    </i>
    <i t="data" r="1" i="0">
      <x v="873"/>
    </i>
    <i t="data" r="1" i="0">
      <x v="874"/>
    </i>
    <i t="data" r="1" i="0">
      <x v="875"/>
    </i>
    <i t="data" r="1" i="0">
      <x v="876"/>
    </i>
    <i t="data" r="1" i="0">
      <x v="877"/>
    </i>
    <i t="data" r="1" i="0">
      <x v="881"/>
    </i>
    <i t="data" r="1" i="0">
      <x v="937"/>
    </i>
    <i t="data" r="1" i="0">
      <x v="1000"/>
    </i>
    <i t="data" r="1" i="0">
      <x v="1009"/>
    </i>
    <i t="data" r="1" i="0">
      <x v="1010"/>
    </i>
    <i t="data" r="1" i="0">
      <x v="1013"/>
    </i>
    <i t="data" r="1" i="0">
      <x v="1022"/>
    </i>
    <i t="data" r="1" i="0">
      <x v="1024"/>
    </i>
    <i t="data" r="1" i="0">
      <x v="1025"/>
    </i>
    <i t="data" r="1" i="0">
      <x v="1028"/>
    </i>
    <i t="data" r="1" i="0">
      <x v="1029"/>
    </i>
    <i t="data" r="1" i="0">
      <x v="1039"/>
    </i>
    <i t="data" r="1" i="0">
      <x v="1046"/>
    </i>
    <i t="data" r="1" i="0">
      <x v="1047"/>
    </i>
    <i t="data" r="1" i="0">
      <x v="1070"/>
    </i>
    <i t="data" r="1" i="0">
      <x v="1071"/>
    </i>
    <i t="data" r="1" i="0">
      <x v="1072"/>
    </i>
    <i t="data" r="1" i="0">
      <x v="1073"/>
    </i>
    <i t="data" r="1" i="0">
      <x v="1074"/>
    </i>
    <i t="data" r="1" i="0">
      <x v="1075"/>
    </i>
    <i t="data" r="1" i="0">
      <x v="1110"/>
    </i>
    <i t="data" r="1" i="0">
      <x v="1111"/>
    </i>
    <i t="data" r="1" i="0">
      <x v="1112"/>
    </i>
    <i t="data" r="1" i="0">
      <x v="1126"/>
    </i>
    <i t="data" r="1" i="0">
      <x v="1127"/>
    </i>
    <i t="data" r="1" i="0">
      <x v="1128"/>
    </i>
    <i t="data" r="1" i="0">
      <x v="1129"/>
    </i>
    <i t="data" r="0" i="0">
      <x v="2"/>
    </i>
    <i t="data" r="1" i="0">
      <x v="37"/>
    </i>
    <i t="data" r="1" i="0">
      <x v="38"/>
    </i>
    <i t="data" r="1" i="0">
      <x v="39"/>
    </i>
    <i t="data" r="1" i="0">
      <x v="75"/>
    </i>
    <i t="data" r="1" i="0">
      <x v="76"/>
    </i>
    <i t="data" r="1" i="0">
      <x v="77"/>
    </i>
    <i t="data" r="1" i="0">
      <x v="78"/>
    </i>
    <i t="data" r="1" i="0">
      <x v="79"/>
    </i>
    <i t="data" r="1" i="0">
      <x v="80"/>
    </i>
    <i t="data" r="1" i="0">
      <x v="81"/>
    </i>
    <i t="data" r="1" i="0">
      <x v="101"/>
    </i>
    <i t="data" r="1" i="0">
      <x v="118"/>
    </i>
    <i t="data" r="1" i="0">
      <x v="119"/>
    </i>
    <i t="data" r="1" i="0">
      <x v="179"/>
    </i>
    <i t="data" r="1" i="0">
      <x v="180"/>
    </i>
    <i t="data" r="1" i="0">
      <x v="218"/>
    </i>
    <i t="data" r="1" i="0">
      <x v="233"/>
    </i>
    <i t="data" r="1" i="0">
      <x v="266"/>
    </i>
    <i t="data" r="1" i="0">
      <x v="383"/>
    </i>
    <i t="data" r="1" i="0">
      <x v="384"/>
    </i>
    <i t="data" r="1" i="0">
      <x v="399"/>
    </i>
    <i t="data" r="1" i="0">
      <x v="426"/>
    </i>
    <i t="data" r="1" i="0">
      <x v="427"/>
    </i>
    <i t="data" r="1" i="0">
      <x v="428"/>
    </i>
    <i t="data" r="1" i="0">
      <x v="429"/>
    </i>
    <i t="data" r="1" i="0">
      <x v="430"/>
    </i>
    <i t="data" r="1" i="0">
      <x v="432"/>
    </i>
    <i t="data" r="1" i="0">
      <x v="433"/>
    </i>
    <i t="data" r="1" i="0">
      <x v="434"/>
    </i>
    <i t="data" r="1" i="0">
      <x v="435"/>
    </i>
    <i t="data" r="1" i="0">
      <x v="439"/>
    </i>
    <i t="data" r="1" i="0">
      <x v="442"/>
    </i>
    <i t="data" r="1" i="0">
      <x v="443"/>
    </i>
    <i t="data" r="1" i="0">
      <x v="444"/>
    </i>
    <i t="data" r="1" i="0">
      <x v="452"/>
    </i>
    <i t="data" r="1" i="0">
      <x v="515"/>
    </i>
    <i t="data" r="1" i="0">
      <x v="516"/>
    </i>
    <i t="data" r="1" i="0">
      <x v="547"/>
    </i>
    <i t="data" r="1" i="0">
      <x v="549"/>
    </i>
    <i t="data" r="1" i="0">
      <x v="612"/>
    </i>
    <i t="data" r="1" i="0">
      <x v="665"/>
    </i>
    <i t="data" r="1" i="0">
      <x v="684"/>
    </i>
    <i t="data" r="1" i="0">
      <x v="708"/>
    </i>
    <i t="data" r="1" i="0">
      <x v="710"/>
    </i>
    <i t="data" r="1" i="0">
      <x v="711"/>
    </i>
    <i t="data" r="1" i="0">
      <x v="780"/>
    </i>
    <i t="data" r="1" i="0">
      <x v="781"/>
    </i>
    <i t="data" r="1" i="0">
      <x v="782"/>
    </i>
    <i t="data" r="1" i="0">
      <x v="783"/>
    </i>
    <i t="data" r="1" i="0">
      <x v="784"/>
    </i>
    <i t="data" r="1" i="0">
      <x v="785"/>
    </i>
    <i t="data" r="1" i="0">
      <x v="786"/>
    </i>
    <i t="data" r="1" i="0">
      <x v="853"/>
    </i>
    <i t="data" r="1" i="0">
      <x v="854"/>
    </i>
    <i t="data" r="1" i="0">
      <x v="855"/>
    </i>
    <i t="data" r="1" i="0">
      <x v="883"/>
    </i>
    <i t="data" r="1" i="0">
      <x v="887"/>
    </i>
    <i t="data" r="1" i="0">
      <x v="888"/>
    </i>
    <i t="data" r="1" i="0">
      <x v="898"/>
    </i>
    <i t="data" r="1" i="0">
      <x v="915"/>
    </i>
    <i t="data" r="1" i="0">
      <x v="920"/>
    </i>
    <i t="data" r="1" i="0">
      <x v="921"/>
    </i>
    <i t="data" r="1" i="0">
      <x v="924"/>
    </i>
    <i t="data" r="1" i="0">
      <x v="952"/>
    </i>
    <i t="data" r="1" i="0">
      <x v="954"/>
    </i>
    <i t="data" r="1" i="0">
      <x v="970"/>
    </i>
    <i t="data" r="1" i="0">
      <x v="986"/>
    </i>
    <i t="data" r="1" i="0">
      <x v="987"/>
    </i>
    <i t="data" r="1" i="0">
      <x v="988"/>
    </i>
    <i t="data" r="1" i="0">
      <x v="989"/>
    </i>
    <i t="data" r="1" i="0">
      <x v="990"/>
    </i>
    <i t="data" r="1" i="0">
      <x v="991"/>
    </i>
    <i t="data" r="1" i="0">
      <x v="992"/>
    </i>
    <i t="data" r="1" i="0">
      <x v="993"/>
    </i>
    <i t="data" r="1" i="0">
      <x v="994"/>
    </i>
    <i t="data" r="1" i="0">
      <x v="995"/>
    </i>
    <i t="data" r="1" i="0">
      <x v="996"/>
    </i>
    <i t="data" r="1" i="0">
      <x v="1011"/>
    </i>
    <i t="data" r="1" i="0">
      <x v="1012"/>
    </i>
    <i t="data" r="1" i="0">
      <x v="1043"/>
    </i>
    <i t="data" r="1" i="0">
      <x v="1049"/>
    </i>
    <i t="data" r="1" i="0">
      <x v="1168"/>
    </i>
    <i t="data" r="1" i="0">
      <x v="1169"/>
    </i>
    <i t="data" r="1" i="0">
      <x v="1170"/>
    </i>
    <i t="data" r="0" i="0">
      <x v="3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18"/>
    </i>
    <i t="data" r="1" i="0">
      <x v="29"/>
    </i>
    <i t="data" r="1" i="0">
      <x v="30"/>
    </i>
    <i t="data" r="1" i="0">
      <x v="36"/>
    </i>
    <i t="data" r="1" i="0">
      <x v="46"/>
    </i>
    <i t="data" r="1" i="0">
      <x v="48"/>
    </i>
    <i t="data" r="1" i="0">
      <x v="49"/>
    </i>
    <i t="data" r="1" i="0">
      <x v="63"/>
    </i>
    <i t="data" r="1" i="0">
      <x v="66"/>
    </i>
    <i t="data" r="1" i="0">
      <x v="67"/>
    </i>
    <i t="data" r="1" i="0">
      <x v="68"/>
    </i>
    <i t="data" r="1" i="0">
      <x v="85"/>
    </i>
    <i t="data" r="1" i="0">
      <x v="88"/>
    </i>
    <i t="data" r="1" i="0">
      <x v="89"/>
    </i>
    <i t="data" r="1" i="0">
      <x v="90"/>
    </i>
    <i t="data" r="1" i="0">
      <x v="91"/>
    </i>
    <i t="data" r="1" i="0">
      <x v="95"/>
    </i>
    <i t="data" r="1" i="0">
      <x v="96"/>
    </i>
    <i t="data" r="1" i="0">
      <x v="100"/>
    </i>
    <i t="data" r="1" i="0">
      <x v="106"/>
    </i>
    <i t="data" r="1" i="0">
      <x v="108"/>
    </i>
    <i t="data" r="1" i="0">
      <x v="110"/>
    </i>
    <i t="data" r="1" i="0">
      <x v="136"/>
    </i>
    <i t="data" r="1" i="0">
      <x v="137"/>
    </i>
    <i t="data" r="1" i="0">
      <x v="138"/>
    </i>
    <i t="data" r="1" i="0">
      <x v="217"/>
    </i>
    <i t="data" r="1" i="0">
      <x v="220"/>
    </i>
    <i t="data" r="1" i="0">
      <x v="227"/>
    </i>
    <i t="data" r="1" i="0">
      <x v="228"/>
    </i>
    <i t="data" r="1" i="0">
      <x v="229"/>
    </i>
    <i t="data" r="1" i="0">
      <x v="230"/>
    </i>
    <i t="data" r="1" i="0">
      <x v="253"/>
    </i>
    <i t="data" r="1" i="0">
      <x v="254"/>
    </i>
    <i t="data" r="1" i="0">
      <x v="255"/>
    </i>
    <i t="data" r="1" i="0">
      <x v="256"/>
    </i>
    <i t="data" r="1" i="0">
      <x v="257"/>
    </i>
    <i t="data" r="1" i="0">
      <x v="258"/>
    </i>
    <i t="data" r="1" i="0">
      <x v="259"/>
    </i>
    <i t="data" r="1" i="0">
      <x v="260"/>
    </i>
    <i t="data" r="1" i="0">
      <x v="261"/>
    </i>
    <i t="data" r="1" i="0">
      <x v="263"/>
    </i>
    <i t="data" r="1" i="0">
      <x v="290"/>
    </i>
    <i t="data" r="1" i="0">
      <x v="300"/>
    </i>
    <i t="data" r="1" i="0">
      <x v="307"/>
    </i>
    <i t="data" r="1" i="0">
      <x v="308"/>
    </i>
    <i t="data" r="1" i="0">
      <x v="309"/>
    </i>
    <i t="data" r="1" i="0">
      <x v="310"/>
    </i>
    <i t="data" r="1" i="0">
      <x v="311"/>
    </i>
    <i t="data" r="1" i="0">
      <x v="312"/>
    </i>
    <i t="data" r="1" i="0">
      <x v="350"/>
    </i>
    <i t="data" r="1" i="0">
      <x v="351"/>
    </i>
    <i t="data" r="1" i="0">
      <x v="359"/>
    </i>
    <i t="data" r="1" i="0">
      <x v="360"/>
    </i>
    <i t="data" r="1" i="0">
      <x v="441"/>
    </i>
    <i t="data" r="1" i="0">
      <x v="449"/>
    </i>
    <i t="data" r="1" i="0">
      <x v="453"/>
    </i>
    <i t="data" r="1" i="0">
      <x v="454"/>
    </i>
    <i t="data" r="1" i="0">
      <x v="469"/>
    </i>
    <i t="data" r="1" i="0">
      <x v="470"/>
    </i>
    <i t="data" r="1" i="0">
      <x v="471"/>
    </i>
    <i t="data" r="1" i="0">
      <x v="472"/>
    </i>
    <i t="data" r="1" i="0">
      <x v="473"/>
    </i>
    <i t="data" r="1" i="0">
      <x v="474"/>
    </i>
    <i t="data" r="1" i="0">
      <x v="475"/>
    </i>
    <i t="data" r="1" i="0">
      <x v="476"/>
    </i>
    <i t="data" r="1" i="0">
      <x v="477"/>
    </i>
    <i t="data" r="1" i="0">
      <x v="478"/>
    </i>
    <i t="data" r="1" i="0">
      <x v="479"/>
    </i>
    <i t="data" r="1" i="0">
      <x v="480"/>
    </i>
    <i t="data" r="1" i="0">
      <x v="483"/>
    </i>
    <i t="data" r="1" i="0">
      <x v="485"/>
    </i>
    <i t="data" r="1" i="0">
      <x v="505"/>
    </i>
    <i t="data" r="1" i="0">
      <x v="510"/>
    </i>
    <i t="data" r="1" i="0">
      <x v="511"/>
    </i>
    <i t="data" r="1" i="0">
      <x v="513"/>
    </i>
    <i t="data" r="1" i="0">
      <x v="522"/>
    </i>
    <i t="data" r="1" i="0">
      <x v="535"/>
    </i>
    <i t="data" r="1" i="0">
      <x v="536"/>
    </i>
    <i t="data" r="1" i="0">
      <x v="539"/>
    </i>
    <i t="data" r="1" i="0">
      <x v="541"/>
    </i>
    <i t="data" r="1" i="0">
      <x v="548"/>
    </i>
    <i t="data" r="1" i="0">
      <x v="563"/>
    </i>
    <i t="data" r="1" i="0">
      <x v="615"/>
    </i>
    <i t="data" r="1" i="0">
      <x v="616"/>
    </i>
    <i t="data" r="1" i="0">
      <x v="617"/>
    </i>
    <i t="data" r="1" i="0">
      <x v="618"/>
    </i>
    <i t="data" r="1" i="0">
      <x v="621"/>
    </i>
    <i t="data" r="1" i="0">
      <x v="622"/>
    </i>
    <i t="data" r="1" i="0">
      <x v="623"/>
    </i>
    <i t="data" r="1" i="0">
      <x v="624"/>
    </i>
    <i t="data" r="1" i="0">
      <x v="625"/>
    </i>
    <i t="data" r="1" i="0">
      <x v="626"/>
    </i>
    <i t="data" r="1" i="0">
      <x v="627"/>
    </i>
    <i t="data" r="1" i="0">
      <x v="628"/>
    </i>
    <i t="data" r="1" i="0">
      <x v="629"/>
    </i>
    <i t="data" r="1" i="0">
      <x v="630"/>
    </i>
    <i t="data" r="1" i="0">
      <x v="631"/>
    </i>
    <i t="data" r="1" i="0">
      <x v="632"/>
    </i>
    <i t="data" r="1" i="0">
      <x v="633"/>
    </i>
    <i t="data" r="1" i="0">
      <x v="634"/>
    </i>
    <i t="data" r="1" i="0">
      <x v="635"/>
    </i>
    <i t="data" r="1" i="0">
      <x v="636"/>
    </i>
    <i t="data" r="1" i="0">
      <x v="637"/>
    </i>
    <i t="data" r="1" i="0">
      <x v="638"/>
    </i>
    <i t="data" r="1" i="0">
      <x v="639"/>
    </i>
    <i t="data" r="1" i="0">
      <x v="640"/>
    </i>
    <i t="data" r="1" i="0">
      <x v="641"/>
    </i>
    <i t="data" r="1" i="0">
      <x v="642"/>
    </i>
    <i t="data" r="1" i="0">
      <x v="643"/>
    </i>
    <i t="data" r="1" i="0">
      <x v="644"/>
    </i>
    <i t="data" r="1" i="0">
      <x v="645"/>
    </i>
    <i t="data" r="1" i="0">
      <x v="649"/>
    </i>
    <i t="data" r="1" i="0">
      <x v="650"/>
    </i>
    <i t="data" r="1" i="0">
      <x v="656"/>
    </i>
    <i t="data" r="1" i="0">
      <x v="659"/>
    </i>
    <i t="data" r="1" i="0">
      <x v="664"/>
    </i>
    <i t="data" r="1" i="0">
      <x v="672"/>
    </i>
    <i t="data" r="1" i="0">
      <x v="673"/>
    </i>
    <i t="data" r="1" i="0">
      <x v="689"/>
    </i>
    <i t="data" r="1" i="0">
      <x v="709"/>
    </i>
    <i t="data" r="1" i="0">
      <x v="712"/>
    </i>
    <i t="data" r="1" i="0">
      <x v="714"/>
    </i>
    <i t="data" r="1" i="0">
      <x v="734"/>
    </i>
    <i t="data" r="1" i="0">
      <x v="736"/>
    </i>
    <i t="data" r="1" i="0">
      <x v="741"/>
    </i>
    <i t="data" r="1" i="0">
      <x v="748"/>
    </i>
    <i t="data" r="1" i="0">
      <x v="751"/>
    </i>
    <i t="data" r="1" i="0">
      <x v="754"/>
    </i>
    <i t="data" r="1" i="0">
      <x v="755"/>
    </i>
    <i t="data" r="1" i="0">
      <x v="761"/>
    </i>
    <i t="data" r="1" i="0">
      <x v="770"/>
    </i>
    <i t="data" r="1" i="0">
      <x v="771"/>
    </i>
    <i t="data" r="1" i="0">
      <x v="774"/>
    </i>
    <i t="data" r="1" i="0">
      <x v="775"/>
    </i>
    <i t="data" r="1" i="0">
      <x v="778"/>
    </i>
    <i t="data" r="1" i="0">
      <x v="779"/>
    </i>
    <i t="data" r="1" i="0">
      <x v="830"/>
    </i>
    <i t="data" r="1" i="0">
      <x v="831"/>
    </i>
    <i t="data" r="1" i="0">
      <x v="834"/>
    </i>
    <i t="data" r="1" i="0">
      <x v="835"/>
    </i>
    <i t="data" r="1" i="0">
      <x v="837"/>
    </i>
    <i t="data" r="1" i="0">
      <x v="838"/>
    </i>
    <i t="data" r="1" i="0">
      <x v="851"/>
    </i>
    <i t="data" r="1" i="0">
      <x v="860"/>
    </i>
    <i t="data" r="1" i="0">
      <x v="889"/>
    </i>
    <i t="data" r="1" i="0">
      <x v="890"/>
    </i>
    <i t="data" r="1" i="0">
      <x v="891"/>
    </i>
    <i t="data" r="1" i="0">
      <x v="892"/>
    </i>
    <i t="data" r="1" i="0">
      <x v="893"/>
    </i>
    <i t="data" r="1" i="0">
      <x v="894"/>
    </i>
    <i t="data" r="1" i="0">
      <x v="895"/>
    </i>
    <i t="data" r="1" i="0">
      <x v="896"/>
    </i>
    <i t="data" r="1" i="0">
      <x v="897"/>
    </i>
    <i t="data" r="1" i="0">
      <x v="916"/>
    </i>
    <i t="data" r="1" i="0">
      <x v="917"/>
    </i>
    <i t="data" r="1" i="0">
      <x v="918"/>
    </i>
    <i t="data" r="1" i="0">
      <x v="919"/>
    </i>
    <i t="data" r="1" i="0">
      <x v="922"/>
    </i>
    <i t="data" r="1" i="0">
      <x v="940"/>
    </i>
    <i t="data" r="1" i="0">
      <x v="941"/>
    </i>
    <i t="data" r="1" i="0">
      <x v="942"/>
    </i>
    <i t="data" r="1" i="0">
      <x v="943"/>
    </i>
    <i t="data" r="1" i="0">
      <x v="944"/>
    </i>
    <i t="data" r="1" i="0">
      <x v="945"/>
    </i>
    <i t="data" r="1" i="0">
      <x v="946"/>
    </i>
    <i t="data" r="1" i="0">
      <x v="947"/>
    </i>
    <i t="data" r="1" i="0">
      <x v="948"/>
    </i>
    <i t="data" r="1" i="0">
      <x v="949"/>
    </i>
    <i t="data" r="1" i="0">
      <x v="950"/>
    </i>
    <i t="data" r="1" i="0">
      <x v="951"/>
    </i>
    <i t="data" r="1" i="0">
      <x v="955"/>
    </i>
    <i t="data" r="1" i="0">
      <x v="956"/>
    </i>
    <i t="data" r="1" i="0">
      <x v="957"/>
    </i>
    <i t="data" r="1" i="0">
      <x v="958"/>
    </i>
    <i t="data" r="1" i="0">
      <x v="959"/>
    </i>
    <i t="data" r="1" i="0">
      <x v="960"/>
    </i>
    <i t="data" r="1" i="0">
      <x v="961"/>
    </i>
    <i t="data" r="1" i="0">
      <x v="962"/>
    </i>
    <i t="data" r="1" i="0">
      <x v="963"/>
    </i>
    <i t="data" r="1" i="0">
      <x v="965"/>
    </i>
    <i t="data" r="1" i="0">
      <x v="967"/>
    </i>
    <i t="data" r="1" i="0">
      <x v="971"/>
    </i>
    <i t="data" r="1" i="0">
      <x v="983"/>
    </i>
    <i t="data" r="1" i="0">
      <x v="984"/>
    </i>
    <i t="data" r="1" i="0">
      <x v="1002"/>
    </i>
    <i t="data" r="1" i="0">
      <x v="1003"/>
    </i>
    <i t="data" r="1" i="0">
      <x v="1005"/>
    </i>
    <i t="data" r="1" i="0">
      <x v="1006"/>
    </i>
    <i t="data" r="1" i="0">
      <x v="1019"/>
    </i>
    <i t="data" r="1" i="0">
      <x v="1020"/>
    </i>
    <i t="data" r="1" i="0">
      <x v="1021"/>
    </i>
    <i t="data" r="1" i="0">
      <x v="1023"/>
    </i>
    <i t="data" r="1" i="0">
      <x v="1026"/>
    </i>
    <i t="data" r="1" i="0">
      <x v="1031"/>
    </i>
    <i t="data" r="1" i="0">
      <x v="1037"/>
    </i>
    <i t="data" r="1" i="0">
      <x v="1038"/>
    </i>
    <i t="data" r="1" i="0">
      <x v="1058"/>
    </i>
    <i t="data" r="1" i="0">
      <x v="1059"/>
    </i>
    <i t="data" r="1" i="0">
      <x v="1060"/>
    </i>
    <i t="data" r="1" i="0">
      <x v="1061"/>
    </i>
    <i t="data" r="1" i="0">
      <x v="1062"/>
    </i>
    <i t="data" r="1" i="0">
      <x v="1063"/>
    </i>
    <i t="data" r="1" i="0">
      <x v="1064"/>
    </i>
    <i t="data" r="1" i="0">
      <x v="1065"/>
    </i>
    <i t="data" r="1" i="0">
      <x v="1066"/>
    </i>
    <i t="data" r="1" i="0">
      <x v="1067"/>
    </i>
    <i t="data" r="1" i="0">
      <x v="1078"/>
    </i>
    <i t="data" r="1" i="0">
      <x v="1079"/>
    </i>
    <i t="data" r="1" i="0">
      <x v="1080"/>
    </i>
    <i t="data" r="1" i="0">
      <x v="1081"/>
    </i>
    <i t="data" r="1" i="0">
      <x v="1082"/>
    </i>
    <i t="data" r="1" i="0">
      <x v="1083"/>
    </i>
    <i t="data" r="1" i="0">
      <x v="1084"/>
    </i>
    <i t="data" r="1" i="0">
      <x v="1085"/>
    </i>
    <i t="data" r="1" i="0">
      <x v="1086"/>
    </i>
    <i t="data" r="1" i="0">
      <x v="1087"/>
    </i>
    <i t="data" r="1" i="0">
      <x v="1088"/>
    </i>
    <i t="data" r="1" i="0">
      <x v="1089"/>
    </i>
    <i t="data" r="1" i="0">
      <x v="1090"/>
    </i>
    <i t="data" r="1" i="0">
      <x v="1092"/>
    </i>
    <i t="data" r="1" i="0">
      <x v="1093"/>
    </i>
    <i t="data" r="1" i="0">
      <x v="1094"/>
    </i>
    <i t="data" r="1" i="0">
      <x v="1095"/>
    </i>
    <i t="data" r="1" i="0">
      <x v="1096"/>
    </i>
    <i t="data" r="1" i="0">
      <x v="1097"/>
    </i>
    <i t="data" r="1" i="0">
      <x v="1098"/>
    </i>
    <i t="data" r="1" i="0">
      <x v="1099"/>
    </i>
    <i t="data" r="1" i="0">
      <x v="1100"/>
    </i>
    <i t="data" r="1" i="0">
      <x v="1101"/>
    </i>
    <i t="data" r="1" i="0">
      <x v="1102"/>
    </i>
    <i t="data" r="1" i="0">
      <x v="1103"/>
    </i>
    <i t="data" r="1" i="0">
      <x v="1104"/>
    </i>
    <i t="data" r="1" i="0">
      <x v="1105"/>
    </i>
    <i t="data" r="1" i="0">
      <x v="1139"/>
    </i>
    <i t="data" r="1" i="0">
      <x v="1140"/>
    </i>
    <i t="data" r="1" i="0">
      <x v="1142"/>
    </i>
    <i t="data" r="1" i="0">
      <x v="1143"/>
    </i>
    <i t="data" r="1" i="0">
      <x v="1171"/>
    </i>
    <i t="data" r="0" i="0">
      <x v="4"/>
    </i>
    <i t="data" r="1" i="0">
      <x v="47"/>
    </i>
    <i t="data" r="1" i="0">
      <x v="50"/>
    </i>
    <i t="data" r="1" i="0">
      <x v="51"/>
    </i>
    <i t="data" r="1" i="0">
      <x v="72"/>
    </i>
    <i t="data" r="1" i="0">
      <x v="121"/>
    </i>
    <i t="data" r="1" i="0">
      <x v="158"/>
    </i>
    <i t="data" r="1" i="0">
      <x v="159"/>
    </i>
    <i t="data" r="1" i="0">
      <x v="160"/>
    </i>
    <i t="data" r="1" i="0">
      <x v="161"/>
    </i>
    <i t="data" r="1" i="0">
      <x v="162"/>
    </i>
    <i t="data" r="1" i="0">
      <x v="163"/>
    </i>
    <i t="data" r="1" i="0">
      <x v="164"/>
    </i>
    <i t="data" r="1" i="0">
      <x v="165"/>
    </i>
    <i t="data" r="1" i="0">
      <x v="166"/>
    </i>
    <i t="data" r="1" i="0">
      <x v="167"/>
    </i>
    <i t="data" r="1" i="0">
      <x v="168"/>
    </i>
    <i t="data" r="1" i="0">
      <x v="169"/>
    </i>
    <i t="data" r="1" i="0">
      <x v="172"/>
    </i>
    <i t="data" r="1" i="0">
      <x v="173"/>
    </i>
    <i t="data" r="1" i="0">
      <x v="174"/>
    </i>
    <i t="data" r="1" i="0">
      <x v="178"/>
    </i>
    <i t="data" r="1" i="0">
      <x v="291"/>
    </i>
    <i t="data" r="1" i="0">
      <x v="297"/>
    </i>
    <i t="data" r="1" i="0">
      <x v="303"/>
    </i>
    <i t="data" r="1" i="0">
      <x v="347"/>
    </i>
    <i t="data" r="1" i="0">
      <x v="354"/>
    </i>
    <i t="data" r="1" i="0">
      <x v="355"/>
    </i>
    <i t="data" r="1" i="0">
      <x v="358"/>
    </i>
    <i t="data" r="1" i="0">
      <x v="413"/>
    </i>
    <i t="data" r="1" i="0">
      <x v="450"/>
    </i>
    <i t="data" r="1" i="0">
      <x v="451"/>
    </i>
    <i t="data" r="1" i="0">
      <x v="456"/>
    </i>
    <i t="data" r="1" i="0">
      <x v="460"/>
    </i>
    <i t="data" r="1" i="0">
      <x v="486"/>
    </i>
    <i t="data" r="1" i="0">
      <x v="490"/>
    </i>
    <i t="data" r="1" i="0">
      <x v="491"/>
    </i>
    <i t="data" r="1" i="0">
      <x v="492"/>
    </i>
    <i t="data" r="1" i="0">
      <x v="493"/>
    </i>
    <i t="data" r="1" i="0">
      <x v="494"/>
    </i>
    <i t="data" r="1" i="0">
      <x v="495"/>
    </i>
    <i t="data" r="1" i="0">
      <x v="496"/>
    </i>
    <i t="data" r="1" i="0">
      <x v="497"/>
    </i>
    <i t="data" r="1" i="0">
      <x v="498"/>
    </i>
    <i t="data" r="1" i="0">
      <x v="499"/>
    </i>
    <i t="data" r="1" i="0">
      <x v="500"/>
    </i>
    <i t="data" r="1" i="0">
      <x v="501"/>
    </i>
    <i t="data" r="1" i="0">
      <x v="517"/>
    </i>
    <i t="data" r="1" i="0">
      <x v="527"/>
    </i>
    <i t="data" r="1" i="0">
      <x v="529"/>
    </i>
    <i t="data" r="1" i="0">
      <x v="531"/>
    </i>
    <i t="data" r="1" i="0">
      <x v="532"/>
    </i>
    <i t="data" r="1" i="0">
      <x v="533"/>
    </i>
    <i t="data" r="1" i="0">
      <x v="534"/>
    </i>
    <i t="data" r="1" i="0">
      <x v="540"/>
    </i>
    <i t="data" r="1" i="0">
      <x v="544"/>
    </i>
    <i t="data" r="1" i="0">
      <x v="545"/>
    </i>
    <i t="data" r="1" i="0">
      <x v="546"/>
    </i>
    <i t="data" r="1" i="0">
      <x v="550"/>
    </i>
    <i t="data" r="1" i="0">
      <x v="551"/>
    </i>
    <i t="data" r="1" i="0">
      <x v="552"/>
    </i>
    <i t="data" r="1" i="0">
      <x v="586"/>
    </i>
    <i t="data" r="1" i="0">
      <x v="613"/>
    </i>
    <i t="data" r="1" i="0">
      <x v="614"/>
    </i>
    <i t="data" r="1" i="0">
      <x v="663"/>
    </i>
    <i t="data" r="1" i="0">
      <x v="670"/>
    </i>
    <i t="data" r="1" i="0">
      <x v="674"/>
    </i>
    <i t="data" r="1" i="0">
      <x v="675"/>
    </i>
    <i t="data" r="1" i="0">
      <x v="676"/>
    </i>
    <i t="data" r="1" i="0">
      <x v="677"/>
    </i>
    <i t="data" r="1" i="0">
      <x v="678"/>
    </i>
    <i t="data" r="1" i="0">
      <x v="679"/>
    </i>
    <i t="data" r="1" i="0">
      <x v="680"/>
    </i>
    <i t="data" r="1" i="0">
      <x v="681"/>
    </i>
    <i t="data" r="1" i="0">
      <x v="682"/>
    </i>
    <i t="data" r="1" i="0">
      <x v="683"/>
    </i>
    <i t="data" r="1" i="0">
      <x v="685"/>
    </i>
    <i t="data" r="1" i="0">
      <x v="686"/>
    </i>
    <i t="data" r="1" i="0">
      <x v="687"/>
    </i>
    <i t="data" r="1" i="0">
      <x v="688"/>
    </i>
    <i t="data" r="1" i="0">
      <x v="713"/>
    </i>
    <i t="data" r="1" i="0">
      <x v="715"/>
    </i>
    <i t="data" r="1" i="0">
      <x v="716"/>
    </i>
    <i t="data" r="1" i="0">
      <x v="717"/>
    </i>
    <i t="data" r="1" i="0">
      <x v="718"/>
    </i>
    <i t="data" r="1" i="0">
      <x v="719"/>
    </i>
    <i t="data" r="1" i="0">
      <x v="720"/>
    </i>
    <i t="data" r="1" i="0">
      <x v="721"/>
    </i>
    <i t="data" r="1" i="0">
      <x v="723"/>
    </i>
    <i t="data" r="1" i="0">
      <x v="728"/>
    </i>
    <i t="data" r="1" i="0">
      <x v="729"/>
    </i>
    <i t="data" r="1" i="0">
      <x v="730"/>
    </i>
    <i t="data" r="1" i="0">
      <x v="731"/>
    </i>
    <i t="data" r="1" i="0">
      <x v="735"/>
    </i>
    <i t="data" r="1" i="0">
      <x v="737"/>
    </i>
    <i t="data" r="1" i="0">
      <x v="738"/>
    </i>
    <i t="data" r="1" i="0">
      <x v="739"/>
    </i>
    <i t="data" r="1" i="0">
      <x v="742"/>
    </i>
    <i t="data" r="1" i="0">
      <x v="743"/>
    </i>
    <i t="data" r="1" i="0">
      <x v="745"/>
    </i>
    <i t="data" r="1" i="0">
      <x v="746"/>
    </i>
    <i t="data" r="1" i="0">
      <x v="756"/>
    </i>
    <i t="data" r="1" i="0">
      <x v="757"/>
    </i>
    <i t="data" r="1" i="0">
      <x v="768"/>
    </i>
    <i t="data" r="1" i="0">
      <x v="769"/>
    </i>
    <i t="data" r="1" i="0">
      <x v="772"/>
    </i>
    <i t="data" r="1" i="0">
      <x v="773"/>
    </i>
    <i t="data" r="1" i="0">
      <x v="776"/>
    </i>
    <i t="data" r="1" i="0">
      <x v="777"/>
    </i>
    <i t="data" r="1" i="0">
      <x v="794"/>
    </i>
    <i t="data" r="1" i="0">
      <x v="805"/>
    </i>
    <i t="data" r="1" i="0">
      <x v="806"/>
    </i>
    <i t="data" r="1" i="0">
      <x v="807"/>
    </i>
    <i t="data" r="1" i="0">
      <x v="812"/>
    </i>
    <i t="data" r="1" i="0">
      <x v="813"/>
    </i>
    <i t="data" r="1" i="0">
      <x v="842"/>
    </i>
    <i t="data" r="1" i="0">
      <x v="843"/>
    </i>
    <i t="data" r="1" i="0">
      <x v="845"/>
    </i>
    <i t="data" r="1" i="0">
      <x v="850"/>
    </i>
    <i t="data" r="1" i="0">
      <x v="852"/>
    </i>
    <i t="data" r="1" i="0">
      <x v="884"/>
    </i>
    <i t="data" r="1" i="0">
      <x v="885"/>
    </i>
    <i t="data" r="1" i="0">
      <x v="923"/>
    </i>
    <i t="data" r="1" i="0">
      <x v="931"/>
    </i>
    <i t="data" r="1" i="0">
      <x v="966"/>
    </i>
    <i t="data" r="1" i="0">
      <x v="979"/>
    </i>
    <i t="data" r="1" i="0">
      <x v="980"/>
    </i>
    <i t="data" r="1" i="0">
      <x v="981"/>
    </i>
    <i t="data" r="1" i="0">
      <x v="1004"/>
    </i>
    <i t="data" r="1" i="0">
      <x v="1008"/>
    </i>
    <i t="data" r="1" i="0">
      <x v="1056"/>
    </i>
    <i t="data" r="1" i="0">
      <x v="1107"/>
    </i>
    <i t="data" r="1" i="0">
      <x v="1108"/>
    </i>
    <i t="data" r="1" i="0">
      <x v="1109"/>
    </i>
    <i t="data" r="0" i="0">
      <x v="5"/>
    </i>
    <i t="data" r="1" i="0">
      <x v="7"/>
    </i>
    <i t="data" r="1" i="0">
      <x v="8"/>
    </i>
    <i t="data" r="1" i="0">
      <x v="9"/>
    </i>
    <i t="data" r="1" i="0">
      <x v="10"/>
    </i>
    <i t="data" r="1" i="0">
      <x v="40"/>
    </i>
    <i t="data" r="1" i="0">
      <x v="41"/>
    </i>
    <i t="data" r="1" i="0">
      <x v="42"/>
    </i>
    <i t="data" r="1" i="0">
      <x v="53"/>
    </i>
    <i t="data" r="1" i="0">
      <x v="54"/>
    </i>
    <i t="data" r="1" i="0">
      <x v="55"/>
    </i>
    <i t="data" r="1" i="0">
      <x v="59"/>
    </i>
    <i t="data" r="1" i="0">
      <x v="60"/>
    </i>
    <i t="data" r="1" i="0">
      <x v="61"/>
    </i>
    <i t="data" r="1" i="0">
      <x v="64"/>
    </i>
    <i t="data" r="1" i="0">
      <x v="65"/>
    </i>
    <i t="data" r="1" i="0">
      <x v="87"/>
    </i>
    <i t="data" r="1" i="0">
      <x v="107"/>
    </i>
    <i t="data" r="1" i="0">
      <x v="109"/>
    </i>
    <i t="data" r="1" i="0">
      <x v="111"/>
    </i>
    <i t="data" r="1" i="0">
      <x v="112"/>
    </i>
    <i t="data" r="1" i="0">
      <x v="157"/>
    </i>
    <i t="data" r="1" i="0">
      <x v="170"/>
    </i>
    <i t="data" r="1" i="0">
      <x v="171"/>
    </i>
    <i t="data" r="1" i="0">
      <x v="302"/>
    </i>
    <i t="data" r="1" i="0">
      <x v="379"/>
    </i>
    <i t="data" r="1" i="0">
      <x v="380"/>
    </i>
    <i t="data" r="1" i="0">
      <x v="381"/>
    </i>
    <i t="data" r="1" i="0">
      <x v="506"/>
    </i>
    <i t="data" r="1" i="0">
      <x v="507"/>
    </i>
    <i t="data" r="1" i="0">
      <x v="508"/>
    </i>
    <i t="data" r="1" i="0">
      <x v="509"/>
    </i>
    <i t="data" r="1" i="0">
      <x v="514"/>
    </i>
    <i t="data" r="1" i="0">
      <x v="518"/>
    </i>
    <i t="data" r="1" i="0">
      <x v="519"/>
    </i>
    <i t="data" r="1" i="0">
      <x v="520"/>
    </i>
    <i t="data" r="1" i="0">
      <x v="521"/>
    </i>
    <i t="data" r="1" i="0">
      <x v="583"/>
    </i>
    <i t="data" r="1" i="0">
      <x v="690"/>
    </i>
    <i t="data" r="1" i="0">
      <x v="691"/>
    </i>
    <i t="data" r="1" i="0">
      <x v="797"/>
    </i>
    <i t="data" r="1" i="0">
      <x v="798"/>
    </i>
    <i t="data" r="1" i="0">
      <x v="799"/>
    </i>
    <i t="data" r="1" i="0">
      <x v="800"/>
    </i>
    <i t="data" r="1" i="0">
      <x v="801"/>
    </i>
    <i t="data" r="1" i="0">
      <x v="802"/>
    </i>
    <i t="data" r="1" i="0">
      <x v="803"/>
    </i>
    <i t="data" r="1" i="0">
      <x v="804"/>
    </i>
    <i t="data" r="1" i="0">
      <x v="832"/>
    </i>
    <i t="data" r="1" i="0">
      <x v="840"/>
    </i>
    <i t="data" r="1" i="0">
      <x v="858"/>
    </i>
    <i t="data" r="1" i="0">
      <x v="859"/>
    </i>
    <i t="data" r="1" i="0">
      <x v="901"/>
    </i>
    <i t="data" r="1" i="0">
      <x v="902"/>
    </i>
    <i t="data" r="1" i="0">
      <x v="932"/>
    </i>
    <i t="data" r="1" i="0">
      <x v="933"/>
    </i>
    <i t="data" r="1" i="0">
      <x v="964"/>
    </i>
    <i t="data" r="1" i="0">
      <x v="1018"/>
    </i>
    <i t="data" r="1" i="0">
      <x v="1036"/>
    </i>
    <i t="data" r="1" i="0">
      <x v="1091"/>
    </i>
    <i t="data" r="1" i="0">
      <x v="1118"/>
    </i>
    <i t="data" r="1" i="0">
      <x v="1119"/>
    </i>
    <i t="data" r="1" i="0">
      <x v="1130"/>
    </i>
    <i t="data" r="1" i="0">
      <x v="1137"/>
    </i>
    <i t="data" r="1" i="0">
      <x v="1138"/>
    </i>
    <i t="data" r="1" i="0">
      <x v="1141"/>
    </i>
    <i t="data" r="1" i="0">
      <x v="1151"/>
    </i>
    <i t="data" r="1" i="0">
      <x v="1153"/>
    </i>
    <i t="data" r="0" i="0">
      <x v="6"/>
    </i>
    <i t="data" r="1" i="0">
      <x v="35"/>
    </i>
    <i t="data" r="1" i="0">
      <x v="62"/>
    </i>
    <i t="data" r="1" i="0">
      <x v="82"/>
    </i>
    <i t="data" r="1" i="0">
      <x v="123"/>
    </i>
    <i t="data" r="1" i="0">
      <x v="124"/>
    </i>
    <i t="data" r="1" i="0">
      <x v="125"/>
    </i>
    <i t="data" r="1" i="0">
      <x v="126"/>
    </i>
    <i t="data" r="1" i="0">
      <x v="127"/>
    </i>
    <i t="data" r="1" i="0">
      <x v="128"/>
    </i>
    <i t="data" r="1" i="0">
      <x v="129"/>
    </i>
    <i t="data" r="1" i="0">
      <x v="130"/>
    </i>
    <i t="data" r="1" i="0">
      <x v="353"/>
    </i>
    <i t="data" r="1" i="0">
      <x v="356"/>
    </i>
    <i t="data" r="1" i="0">
      <x v="553"/>
    </i>
    <i t="data" r="1" i="0">
      <x v="554"/>
    </i>
    <i t="data" r="1" i="0">
      <x v="555"/>
    </i>
    <i t="data" r="1" i="0">
      <x v="588"/>
    </i>
    <i t="data" r="1" i="0">
      <x v="669"/>
    </i>
    <i t="data" r="1" i="0">
      <x v="692"/>
    </i>
    <i t="data" r="1" i="0">
      <x v="693"/>
    </i>
    <i t="data" r="1" i="0">
      <x v="694"/>
    </i>
    <i t="data" r="1" i="0">
      <x v="695"/>
    </i>
    <i t="data" r="1" i="0">
      <x v="696"/>
    </i>
    <i t="data" r="1" i="0">
      <x v="697"/>
    </i>
    <i t="data" r="1" i="0">
      <x v="698"/>
    </i>
    <i t="data" r="1" i="0">
      <x v="699"/>
    </i>
    <i t="data" r="1" i="0">
      <x v="700"/>
    </i>
    <i t="data" r="1" i="0">
      <x v="701"/>
    </i>
    <i t="data" r="1" i="0">
      <x v="702"/>
    </i>
    <i t="data" r="1" i="0">
      <x v="703"/>
    </i>
    <i t="data" r="1" i="0">
      <x v="704"/>
    </i>
    <i t="data" r="1" i="0">
      <x v="705"/>
    </i>
    <i t="data" r="1" i="0">
      <x v="706"/>
    </i>
    <i t="data" r="1" i="0">
      <x v="814"/>
    </i>
    <i t="data" r="1" i="0">
      <x v="815"/>
    </i>
    <i t="data" r="1" i="0">
      <x v="816"/>
    </i>
    <i t="data" r="1" i="0">
      <x v="817"/>
    </i>
    <i t="data" r="1" i="0">
      <x v="818"/>
    </i>
    <i t="data" r="1" i="0">
      <x v="819"/>
    </i>
    <i t="data" r="1" i="0">
      <x v="820"/>
    </i>
    <i t="data" r="1" i="0">
      <x v="821"/>
    </i>
    <i t="data" r="1" i="0">
      <x v="822"/>
    </i>
    <i t="data" r="1" i="0">
      <x v="823"/>
    </i>
    <i t="data" r="1" i="0">
      <x v="882"/>
    </i>
    <i t="data" r="1" i="0">
      <x v="907"/>
    </i>
    <i t="data" r="1" i="0">
      <x v="908"/>
    </i>
    <i t="data" r="1" i="0">
      <x v="909"/>
    </i>
    <i t="data" r="1" i="0">
      <x v="910"/>
    </i>
    <i t="data" r="1" i="0">
      <x v="911"/>
    </i>
    <i t="data" r="1" i="0">
      <x v="912"/>
    </i>
    <i t="data" r="1" i="0">
      <x v="913"/>
    </i>
    <i t="data" r="1" i="0">
      <x v="914"/>
    </i>
    <i t="data" r="1" i="0">
      <x v="998"/>
    </i>
    <i t="data" r="1" i="0">
      <x v="999"/>
    </i>
    <i t="data" r="1" i="0">
      <x v="1131"/>
    </i>
    <i t="data" r="1" i="0">
      <x v="1132"/>
    </i>
    <i t="data" r="1" i="0">
      <x v="1133"/>
    </i>
    <i t="data" r="1" i="0">
      <x v="1134"/>
    </i>
    <i t="data" r="1" i="0">
      <x v="1135"/>
    </i>
    <i t="data" r="1" i="0">
      <x v="1136"/>
    </i>
    <i t="data" r="0" i="0">
      <x v="7"/>
    </i>
    <i t="data" r="1" i="0">
      <x v="116"/>
    </i>
    <i t="data" r="1" i="0">
      <x v="117"/>
    </i>
    <i t="data" r="1" i="0">
      <x v="214"/>
    </i>
    <i t="data" r="1" i="0">
      <x v="215"/>
    </i>
    <i t="data" r="1" i="0">
      <x v="216"/>
    </i>
    <i t="data" r="1" i="0">
      <x v="304"/>
    </i>
    <i t="data" r="1" i="0">
      <x v="305"/>
    </i>
    <i t="data" r="1" i="0">
      <x v="306"/>
    </i>
    <i t="data" r="1" i="0">
      <x v="346"/>
    </i>
    <i t="data" r="1" i="0">
      <x v="361"/>
    </i>
    <i t="data" r="1" i="0">
      <x v="385"/>
    </i>
    <i t="data" r="1" i="0">
      <x v="488"/>
    </i>
    <i t="data" r="1" i="0">
      <x v="489"/>
    </i>
    <i t="data" r="1" i="0">
      <x v="502"/>
    </i>
    <i t="data" r="1" i="0">
      <x v="512"/>
    </i>
    <i t="data" r="1" i="0">
      <x v="530"/>
    </i>
    <i t="data" r="1" i="0">
      <x v="660"/>
    </i>
    <i t="data" r="1" i="0">
      <x v="661"/>
    </i>
    <i t="data" r="1" i="0">
      <x v="787"/>
    </i>
    <i t="data" r="1" i="0">
      <x v="810"/>
    </i>
    <i t="data" r="1" i="0">
      <x v="824"/>
    </i>
    <i t="data" r="1" i="0">
      <x v="825"/>
    </i>
    <i t="data" r="1" i="0">
      <x v="826"/>
    </i>
    <i t="data" r="1" i="0">
      <x v="827"/>
    </i>
    <i t="data" r="1" i="0">
      <x v="828"/>
    </i>
    <i t="data" r="1" i="0">
      <x v="829"/>
    </i>
    <i t="data" r="1" i="0">
      <x v="846"/>
    </i>
    <i t="data" r="1" i="0">
      <x v="847"/>
    </i>
    <i t="data" r="1" i="0">
      <x v="848"/>
    </i>
    <i t="data" r="1" i="0">
      <x v="849"/>
    </i>
    <i t="data" r="1" i="0">
      <x v="1001"/>
    </i>
    <i t="data" r="1" i="0">
      <x v="1069"/>
    </i>
    <i t="data" r="0" i="0">
      <x v="8"/>
    </i>
    <i t="data" r="1" i="0">
      <x v="43"/>
    </i>
    <i t="data" r="1" i="0">
      <x v="44"/>
    </i>
    <i t="data" r="1" i="0">
      <x v="45"/>
    </i>
    <i t="data" r="1" i="0">
      <x v="84"/>
    </i>
    <i t="data" r="1" i="0">
      <x v="295"/>
    </i>
    <i t="data" r="1" i="0">
      <x v="298"/>
    </i>
    <i t="data" r="1" i="0">
      <x v="299"/>
    </i>
    <i t="data" r="1" i="0">
      <x v="313"/>
    </i>
    <i t="data" r="1" i="0">
      <x v="314"/>
    </i>
    <i t="data" r="1" i="0">
      <x v="315"/>
    </i>
    <i t="data" r="1" i="0">
      <x v="316"/>
    </i>
    <i t="data" r="1" i="0">
      <x v="382"/>
    </i>
    <i t="data" r="1" i="0">
      <x v="461"/>
    </i>
    <i t="data" r="1" i="0">
      <x v="462"/>
    </i>
    <i t="data" r="1" i="0">
      <x v="463"/>
    </i>
    <i t="data" r="1" i="0">
      <x v="464"/>
    </i>
    <i t="data" r="1" i="0">
      <x v="465"/>
    </i>
    <i t="data" r="1" i="0">
      <x v="466"/>
    </i>
    <i t="data" r="1" i="0">
      <x v="467"/>
    </i>
    <i t="data" r="1" i="0">
      <x v="468"/>
    </i>
    <i t="data" r="1" i="0">
      <x v="528"/>
    </i>
    <i t="data" r="1" i="0">
      <x v="537"/>
    </i>
    <i t="data" r="1" i="0">
      <x v="538"/>
    </i>
    <i t="data" r="1" i="0">
      <x v="811"/>
    </i>
    <i t="data" r="1" i="0">
      <x v="839"/>
    </i>
    <i t="data" r="1" i="0">
      <x v="857"/>
    </i>
    <i t="data" r="1" i="0">
      <x v="861"/>
    </i>
    <i t="data" r="1" i="0">
      <x v="865"/>
    </i>
    <i t="data" r="1" i="0">
      <x v="886"/>
    </i>
    <i t="data" r="1" i="0">
      <x v="972"/>
    </i>
    <i t="data" r="1" i="0">
      <x v="973"/>
    </i>
    <i t="data" r="1" i="0">
      <x v="1068"/>
    </i>
    <i t="data" r="0" i="0">
      <x v="9"/>
    </i>
    <i t="data" r="1" i="0">
      <x v="114"/>
    </i>
    <i t="data" r="1" i="0">
      <x v="115"/>
    </i>
    <i t="data" r="1" i="0">
      <x v="135"/>
    </i>
    <i t="data" r="1" i="0">
      <x v="219"/>
    </i>
    <i t="data" r="1" i="0">
      <x v="221"/>
    </i>
    <i t="data" r="1" i="0">
      <x v="222"/>
    </i>
    <i t="data" r="1" i="0">
      <x v="231"/>
    </i>
    <i t="data" r="1" i="0">
      <x v="232"/>
    </i>
    <i t="data" r="1" i="0">
      <x v="292"/>
    </i>
    <i t="data" r="1" i="0">
      <x v="293"/>
    </i>
    <i t="data" r="1" i="0">
      <x v="294"/>
    </i>
    <i t="data" r="1" i="0">
      <x v="352"/>
    </i>
    <i t="data" r="1" i="0">
      <x v="357"/>
    </i>
    <i t="data" r="1" i="0">
      <x v="458"/>
    </i>
    <i t="data" r="1" i="0">
      <x v="459"/>
    </i>
    <i t="data" r="1" i="0">
      <x v="526"/>
    </i>
    <i t="data" r="1" i="0">
      <x v="587"/>
    </i>
    <i t="data" r="1" i="0">
      <x v="619"/>
    </i>
    <i t="data" r="1" i="0">
      <x v="666"/>
    </i>
    <i t="data" r="1" i="0">
      <x v="707"/>
    </i>
    <i t="data" r="1" i="0">
      <x v="763"/>
    </i>
    <i t="data" r="1" i="0">
      <x v="764"/>
    </i>
    <i t="data" r="1" i="0">
      <x v="765"/>
    </i>
    <i t="data" r="1" i="0">
      <x v="766"/>
    </i>
    <i t="data" r="1" i="0">
      <x v="767"/>
    </i>
    <i t="data" r="1" i="0">
      <x v="844"/>
    </i>
    <i t="data" r="1" i="0">
      <x v="934"/>
    </i>
    <i t="data" r="1" i="0">
      <x v="935"/>
    </i>
    <i t="data" r="1" i="0">
      <x v="936"/>
    </i>
    <i t="data" r="1" i="0">
      <x v="938"/>
    </i>
    <i t="data" r="1" i="0">
      <x v="939"/>
    </i>
    <i t="data" r="1" i="0">
      <x v="953"/>
    </i>
    <i t="data" r="1" i="0">
      <x v="968"/>
    </i>
    <i t="data" r="1" i="0">
      <x v="969"/>
    </i>
    <i t="data" r="1" i="0">
      <x v="978"/>
    </i>
    <i t="data" r="1" i="0">
      <x v="997"/>
    </i>
    <i t="data" r="1" i="0">
      <x v="1057"/>
    </i>
    <i t="data" r="1" i="0">
      <x v="1076"/>
    </i>
    <i t="data" r="1" i="0">
      <x v="1077"/>
    </i>
    <i t="data" r="0" i="0">
      <x v="10"/>
    </i>
    <i t="data" r="1" i="0">
      <x v="20"/>
    </i>
    <i t="data" r="1" i="0">
      <x v="22"/>
    </i>
    <i t="data" r="1" i="0">
      <x v="23"/>
    </i>
    <i t="data" r="1" i="0">
      <x v="24"/>
    </i>
    <i t="data" r="1" i="0">
      <x v="25"/>
    </i>
    <i t="data" r="1" i="0">
      <x v="26"/>
    </i>
    <i t="data" r="1" i="0">
      <x v="27"/>
    </i>
    <i t="data" r="1" i="0">
      <x v="28"/>
    </i>
    <i t="data" r="1" i="0">
      <x v="31"/>
    </i>
    <i t="data" r="1" i="0">
      <x v="56"/>
    </i>
    <i t="data" r="1" i="0">
      <x v="57"/>
    </i>
    <i t="data" r="1" i="0">
      <x v="58"/>
    </i>
    <i t="data" r="1" i="0">
      <x v="262"/>
    </i>
    <i t="data" r="1" i="0">
      <x v="301"/>
    </i>
    <i t="data" r="1" i="0">
      <x v="362"/>
    </i>
    <i t="data" r="1" i="0">
      <x v="363"/>
    </i>
    <i t="data" r="1" i="0">
      <x v="364"/>
    </i>
    <i t="data" r="1" i="0">
      <x v="365"/>
    </i>
    <i t="data" r="1" i="0">
      <x v="366"/>
    </i>
    <i t="data" r="1" i="0">
      <x v="367"/>
    </i>
    <i t="data" r="1" i="0">
      <x v="368"/>
    </i>
    <i t="data" r="1" i="0">
      <x v="369"/>
    </i>
    <i t="data" r="1" i="0">
      <x v="370"/>
    </i>
    <i t="data" r="1" i="0">
      <x v="371"/>
    </i>
    <i t="data" r="1" i="0">
      <x v="372"/>
    </i>
    <i t="data" r="1" i="0">
      <x v="373"/>
    </i>
    <i t="data" r="1" i="0">
      <x v="417"/>
    </i>
    <i t="data" r="1" i="0">
      <x v="487"/>
    </i>
    <i t="data" r="1" i="0">
      <x v="584"/>
    </i>
    <i t="data" r="1" i="0">
      <x v="585"/>
    </i>
    <i t="data" r="1" i="0">
      <x v="611"/>
    </i>
    <i t="data" r="1" i="0">
      <x v="657"/>
    </i>
    <i t="data" r="1" i="0">
      <x v="658"/>
    </i>
    <i t="data" r="1" i="0">
      <x v="662"/>
    </i>
    <i t="data" r="1" i="0">
      <x v="667"/>
    </i>
    <i t="data" r="1" i="0">
      <x v="722"/>
    </i>
    <i t="data" r="1" i="0">
      <x v="724"/>
    </i>
    <i t="data" r="1" i="0">
      <x v="725"/>
    </i>
    <i t="data" r="1" i="0">
      <x v="726"/>
    </i>
    <i t="data" r="1" i="0">
      <x v="727"/>
    </i>
    <i t="data" r="1" i="0">
      <x v="752"/>
    </i>
    <i t="data" r="1" i="0">
      <x v="795"/>
    </i>
    <i t="data" r="1" i="0">
      <x v="796"/>
    </i>
    <i t="data" r="1" i="0">
      <x v="836"/>
    </i>
    <i t="data" r="1" i="0">
      <x v="869"/>
    </i>
    <i t="data" r="1" i="0">
      <x v="899"/>
    </i>
    <i t="data" r="1" i="0">
      <x v="900"/>
    </i>
    <i t="data" r="1" i="0">
      <x v="903"/>
    </i>
    <i t="data" r="1" i="0">
      <x v="904"/>
    </i>
    <i t="data" r="1" i="0">
      <x v="905"/>
    </i>
    <i t="data" r="1" i="0">
      <x v="906"/>
    </i>
    <i t="data" r="1" i="0">
      <x v="974"/>
    </i>
    <i t="data" r="1" i="0">
      <x v="1007"/>
    </i>
    <i t="data" r="1" i="0">
      <x v="1014"/>
    </i>
    <i t="data" r="1" i="0">
      <x v="1015"/>
    </i>
    <i t="data" r="1" i="0">
      <x v="1016"/>
    </i>
    <i t="data" r="1" i="0">
      <x v="1017"/>
    </i>
    <i t="data" r="1" i="0">
      <x v="1030"/>
    </i>
    <i t="data" r="1" i="0">
      <x v="1032"/>
    </i>
    <i t="data" r="1" i="0">
      <x v="1033"/>
    </i>
    <i t="data" r="1" i="0">
      <x v="1034"/>
    </i>
    <i t="data" r="1" i="0">
      <x v="1035"/>
    </i>
    <i t="data" r="1" i="0">
      <x v="1113"/>
    </i>
    <i t="data" r="1" i="0">
      <x v="1114"/>
    </i>
    <i t="data" r="1" i="0">
      <x v="1115"/>
    </i>
    <i t="data" r="1" i="0">
      <x v="1146"/>
    </i>
    <i t="data" r="1" i="0">
      <x v="1147"/>
    </i>
    <i t="data" r="1" i="0">
      <x v="1148"/>
    </i>
    <i t="data" r="1" i="0">
      <x v="1149"/>
    </i>
    <i t="data" r="1" i="0">
      <x v="1150"/>
    </i>
    <i t="data" r="1" i="0">
      <x v="1152"/>
    </i>
    <i t="data" r="1" i="0">
      <x v="1154"/>
    </i>
    <i t="data" r="1" i="0">
      <x v="1155"/>
    </i>
    <i t="data" r="1" i="0">
      <x v="1156"/>
    </i>
    <i t="data" r="1" i="0">
      <x v="1157"/>
    </i>
    <i t="data" r="1" i="0">
      <x v="1158"/>
    </i>
    <i t="data" r="1" i="0">
      <x v="1159"/>
    </i>
    <i t="data" r="1" i="0">
      <x v="1162"/>
    </i>
    <i t="data" r="0" i="0">
      <x v="11"/>
    </i>
    <i t="data" r="1" i="0">
      <x v="16"/>
    </i>
    <i t="data" r="1" i="0">
      <x v="17"/>
    </i>
    <i t="data" r="1" i="0">
      <x v="19"/>
    </i>
    <i t="data" r="1" i="0">
      <x v="69"/>
    </i>
    <i t="data" r="1" i="0">
      <x v="70"/>
    </i>
    <i t="data" r="1" i="0">
      <x v="71"/>
    </i>
    <i t="data" r="1" i="0">
      <x v="73"/>
    </i>
    <i t="data" r="1" i="0">
      <x v="74"/>
    </i>
    <i t="data" r="1" i="0">
      <x v="97"/>
    </i>
    <i t="data" r="1" i="0">
      <x v="98"/>
    </i>
    <i t="data" r="1" i="0">
      <x v="99"/>
    </i>
    <i t="data" r="1" i="0">
      <x v="103"/>
    </i>
    <i t="data" r="1" i="0">
      <x v="105"/>
    </i>
    <i t="data" r="1" i="0">
      <x v="113"/>
    </i>
    <i t="data" r="1" i="0">
      <x v="131"/>
    </i>
    <i t="data" r="1" i="0">
      <x v="132"/>
    </i>
    <i t="data" r="1" i="0">
      <x v="133"/>
    </i>
    <i t="data" r="1" i="0">
      <x v="134"/>
    </i>
    <i t="data" r="1" i="0">
      <x v="176"/>
    </i>
    <i t="data" r="1" i="0">
      <x v="264"/>
    </i>
    <i t="data" r="1" i="0">
      <x v="265"/>
    </i>
    <i t="data" r="1" i="0">
      <x v="267"/>
    </i>
    <i t="data" r="1" i="0">
      <x v="268"/>
    </i>
    <i t="data" r="1" i="0">
      <x v="269"/>
    </i>
    <i t="data" r="1" i="0">
      <x v="271"/>
    </i>
    <i t="data" r="1" i="0">
      <x v="272"/>
    </i>
    <i t="data" r="1" i="0">
      <x v="273"/>
    </i>
    <i t="data" r="1" i="0">
      <x v="274"/>
    </i>
    <i t="data" r="1" i="0">
      <x v="275"/>
    </i>
    <i t="data" r="1" i="0">
      <x v="276"/>
    </i>
    <i t="data" r="1" i="0">
      <x v="277"/>
    </i>
    <i t="data" r="1" i="0">
      <x v="278"/>
    </i>
    <i t="data" r="1" i="0">
      <x v="279"/>
    </i>
    <i t="data" r="1" i="0">
      <x v="280"/>
    </i>
    <i t="data" r="1" i="0">
      <x v="281"/>
    </i>
    <i t="data" r="1" i="0">
      <x v="282"/>
    </i>
    <i t="data" r="1" i="0">
      <x v="283"/>
    </i>
    <i t="data" r="1" i="0">
      <x v="284"/>
    </i>
    <i t="data" r="1" i="0">
      <x v="285"/>
    </i>
    <i t="data" r="1" i="0">
      <x v="286"/>
    </i>
    <i t="data" r="1" i="0">
      <x v="287"/>
    </i>
    <i t="data" r="1" i="0">
      <x v="288"/>
    </i>
    <i t="data" r="1" i="0">
      <x v="289"/>
    </i>
    <i t="data" r="1" i="0">
      <x v="349"/>
    </i>
    <i t="data" r="1" i="0">
      <x v="374"/>
    </i>
    <i t="data" r="1" i="0">
      <x v="375"/>
    </i>
    <i t="data" r="1" i="0">
      <x v="376"/>
    </i>
    <i t="data" r="1" i="0">
      <x v="377"/>
    </i>
    <i t="data" r="1" i="0">
      <x v="378"/>
    </i>
    <i t="data" r="1" i="0">
      <x v="386"/>
    </i>
    <i t="data" r="1" i="0">
      <x v="387"/>
    </i>
    <i t="data" r="1" i="0">
      <x v="388"/>
    </i>
    <i t="data" r="1" i="0">
      <x v="389"/>
    </i>
    <i t="data" r="1" i="0">
      <x v="390"/>
    </i>
    <i t="data" r="1" i="0">
      <x v="391"/>
    </i>
    <i t="data" r="1" i="0">
      <x v="392"/>
    </i>
    <i t="data" r="1" i="0">
      <x v="393"/>
    </i>
    <i t="data" r="1" i="0">
      <x v="394"/>
    </i>
    <i t="data" r="1" i="0">
      <x v="395"/>
    </i>
    <i t="data" r="1" i="0">
      <x v="396"/>
    </i>
    <i t="data" r="1" i="0">
      <x v="397"/>
    </i>
    <i t="data" r="1" i="0">
      <x v="398"/>
    </i>
    <i t="data" r="1" i="0">
      <x v="400"/>
    </i>
    <i t="data" r="1" i="0">
      <x v="401"/>
    </i>
    <i t="data" r="1" i="0">
      <x v="402"/>
    </i>
    <i t="data" r="1" i="0">
      <x v="403"/>
    </i>
    <i t="data" r="1" i="0">
      <x v="404"/>
    </i>
    <i t="data" r="1" i="0">
      <x v="405"/>
    </i>
    <i t="data" r="1" i="0">
      <x v="406"/>
    </i>
    <i t="data" r="1" i="0">
      <x v="407"/>
    </i>
    <i t="data" r="1" i="0">
      <x v="408"/>
    </i>
    <i t="data" r="1" i="0">
      <x v="409"/>
    </i>
    <i t="data" r="1" i="0">
      <x v="421"/>
    </i>
    <i t="data" r="1" i="0">
      <x v="422"/>
    </i>
    <i t="data" r="1" i="0">
      <x v="423"/>
    </i>
    <i t="data" r="1" i="0">
      <x v="424"/>
    </i>
    <i t="data" r="1" i="0">
      <x v="431"/>
    </i>
    <i t="data" r="1" i="0">
      <x v="436"/>
    </i>
    <i t="data" r="1" i="0">
      <x v="437"/>
    </i>
    <i t="data" r="1" i="0">
      <x v="438"/>
    </i>
    <i t="data" r="1" i="0">
      <x v="440"/>
    </i>
    <i t="data" r="1" i="0">
      <x v="503"/>
    </i>
    <i t="data" r="1" i="0">
      <x v="504"/>
    </i>
    <i t="data" r="1" i="0">
      <x v="566"/>
    </i>
    <i t="data" r="1" i="0">
      <x v="567"/>
    </i>
    <i t="data" r="1" i="0">
      <x v="568"/>
    </i>
    <i t="data" r="1" i="0">
      <x v="569"/>
    </i>
    <i t="data" r="1" i="0">
      <x v="570"/>
    </i>
    <i t="data" r="1" i="0">
      <x v="571"/>
    </i>
    <i t="data" r="1" i="0">
      <x v="572"/>
    </i>
    <i t="data" r="1" i="0">
      <x v="573"/>
    </i>
    <i t="data" r="1" i="0">
      <x v="574"/>
    </i>
    <i t="data" r="1" i="0">
      <x v="575"/>
    </i>
    <i t="data" r="1" i="0">
      <x v="576"/>
    </i>
    <i t="data" r="1" i="0">
      <x v="577"/>
    </i>
    <i t="data" r="1" i="0">
      <x v="578"/>
    </i>
    <i t="data" r="1" i="0">
      <x v="579"/>
    </i>
    <i t="data" r="1" i="0">
      <x v="580"/>
    </i>
    <i t="data" r="1" i="0">
      <x v="581"/>
    </i>
    <i t="data" r="1" i="0">
      <x v="582"/>
    </i>
    <i t="data" r="1" i="0">
      <x v="620"/>
    </i>
    <i t="data" r="1" i="0">
      <x v="744"/>
    </i>
    <i t="data" r="1" i="0">
      <x v="747"/>
    </i>
    <i t="data" r="1" i="0">
      <x v="758"/>
    </i>
    <i t="data" r="1" i="0">
      <x v="759"/>
    </i>
    <i t="data" r="1" i="0">
      <x v="760"/>
    </i>
    <i t="data" r="1" i="0">
      <x v="788"/>
    </i>
    <i t="data" r="1" i="0">
      <x v="789"/>
    </i>
    <i t="data" r="1" i="0">
      <x v="790"/>
    </i>
    <i t="data" r="1" i="0">
      <x v="791"/>
    </i>
    <i t="data" r="1" i="0">
      <x v="792"/>
    </i>
    <i t="data" r="1" i="0">
      <x v="793"/>
    </i>
    <i t="data" r="1" i="0">
      <x v="808"/>
    </i>
    <i t="data" r="1" i="0">
      <x v="866"/>
    </i>
    <i t="data" r="1" i="0">
      <x v="867"/>
    </i>
    <i t="data" r="1" i="0">
      <x v="868"/>
    </i>
    <i t="data" r="1" i="0">
      <x v="870"/>
    </i>
    <i t="data" r="1" i="0">
      <x v="878"/>
    </i>
    <i t="data" r="1" i="0">
      <x v="879"/>
    </i>
    <i t="data" r="1" i="0">
      <x v="880"/>
    </i>
    <i t="data" r="1" i="0">
      <x v="925"/>
    </i>
    <i t="data" r="1" i="0">
      <x v="926"/>
    </i>
    <i t="data" r="1" i="0">
      <x v="927"/>
    </i>
    <i t="data" r="1" i="0">
      <x v="928"/>
    </i>
    <i t="data" r="1" i="0">
      <x v="929"/>
    </i>
    <i t="data" r="1" i="0">
      <x v="930"/>
    </i>
    <i t="data" r="1" i="0">
      <x v="976"/>
    </i>
    <i t="data" r="1" i="0">
      <x v="977"/>
    </i>
    <i t="data" r="1" i="0">
      <x v="982"/>
    </i>
    <i t="data" r="1" i="0">
      <x v="985"/>
    </i>
    <i t="data" r="1" i="0">
      <x v="1040"/>
    </i>
    <i t="data" r="1" i="0">
      <x v="1041"/>
    </i>
    <i t="data" r="1" i="0">
      <x v="1042"/>
    </i>
    <i t="data" r="1" i="0">
      <x v="1044"/>
    </i>
    <i t="data" r="1" i="0">
      <x v="1045"/>
    </i>
    <i t="data" r="1" i="0">
      <x v="1048"/>
    </i>
    <i t="data" r="1" i="0">
      <x v="1050"/>
    </i>
    <i t="data" r="1" i="0">
      <x v="1051"/>
    </i>
    <i t="data" r="1" i="0">
      <x v="1052"/>
    </i>
    <i t="data" r="1" i="0">
      <x v="1053"/>
    </i>
    <i t="data" r="1" i="0">
      <x v="1054"/>
    </i>
    <i t="data" r="1" i="0">
      <x v="1055"/>
    </i>
    <i t="data" r="1" i="0">
      <x v="1106"/>
    </i>
    <i t="data" r="1" i="0">
      <x v="1116"/>
    </i>
    <i t="data" r="1" i="0">
      <x v="1117"/>
    </i>
    <i t="data" r="1" i="0">
      <x v="1120"/>
    </i>
    <i t="data" r="1" i="0">
      <x v="1121"/>
    </i>
    <i t="data" r="1" i="0">
      <x v="1122"/>
    </i>
    <i t="data" r="1" i="0">
      <x v="1123"/>
    </i>
    <i t="data" r="1" i="0">
      <x v="1124"/>
    </i>
    <i t="data" r="1" i="0">
      <x v="1125"/>
    </i>
    <i t="data" r="1" i="0">
      <x v="1144"/>
    </i>
    <i t="data" r="1" i="0">
      <x v="1145"/>
    </i>
    <i t="data" r="1" i="0">
      <x v="1160"/>
    </i>
    <i t="data" r="1" i="0">
      <x v="1161"/>
    </i>
    <i t="data" r="1" i="0">
      <x v="1163"/>
    </i>
    <i t="data" r="1" i="0">
      <x v="1164"/>
    </i>
    <i t="data" r="1" i="0">
      <x v="1165"/>
    </i>
    <i t="data" r="1" i="0">
      <x v="1166"/>
    </i>
    <i t="data" r="1" i="0">
      <x v="1167"/>
    </i>
    <i t="data" r="0" i="0">
      <x v="12"/>
    </i>
    <i t="data" r="1" i="0">
      <x v="234"/>
    </i>
    <i t="data" r="1" i="0">
      <x v="235"/>
    </i>
    <i t="data" r="1" i="0">
      <x v="236"/>
    </i>
    <i t="data" r="1" i="0">
      <x v="237"/>
    </i>
    <i t="data" r="1" i="0">
      <x v="238"/>
    </i>
    <i t="data" r="1" i="0">
      <x v="239"/>
    </i>
    <i t="data" r="1" i="0">
      <x v="240"/>
    </i>
    <i t="data" r="1" i="0">
      <x v="241"/>
    </i>
    <i t="data" r="1" i="0">
      <x v="242"/>
    </i>
    <i t="data" r="1" i="0">
      <x v="243"/>
    </i>
    <i t="data" r="1" i="0">
      <x v="244"/>
    </i>
    <i t="data" r="1" i="0">
      <x v="245"/>
    </i>
    <i t="data" r="1" i="0">
      <x v="246"/>
    </i>
    <i t="data" r="1" i="0">
      <x v="247"/>
    </i>
    <i t="data" r="1" i="0">
      <x v="248"/>
    </i>
    <i t="data" r="1" i="0">
      <x v="249"/>
    </i>
    <i t="data" r="1" i="0">
      <x v="250"/>
    </i>
    <i t="data" r="1" i="0">
      <x v="251"/>
    </i>
    <i t="data" r="1" i="0">
      <x v="252"/>
    </i>
    <i t="data" r="1" i="0">
      <x v="317"/>
    </i>
    <i t="data" r="1" i="0">
      <x v="318"/>
    </i>
    <i t="data" r="1" i="0">
      <x v="319"/>
    </i>
    <i t="data" r="1" i="0">
      <x v="320"/>
    </i>
    <i t="data" r="1" i="0">
      <x v="321"/>
    </i>
    <i t="data" r="1" i="0">
      <x v="322"/>
    </i>
    <i t="data" r="1" i="0">
      <x v="323"/>
    </i>
    <i t="data" r="1" i="0">
      <x v="324"/>
    </i>
    <i t="data" r="1" i="0">
      <x v="325"/>
    </i>
    <i t="data" r="1" i="0">
      <x v="326"/>
    </i>
    <i t="data" r="1" i="0">
      <x v="327"/>
    </i>
    <i t="data" r="1" i="0">
      <x v="328"/>
    </i>
    <i t="data" r="1" i="0">
      <x v="329"/>
    </i>
    <i t="data" r="1" i="0">
      <x v="330"/>
    </i>
    <i t="data" r="1" i="0">
      <x v="331"/>
    </i>
    <i t="data" r="1" i="0">
      <x v="332"/>
    </i>
    <i t="data" r="1" i="0">
      <x v="333"/>
    </i>
    <i t="data" r="1" i="0">
      <x v="334"/>
    </i>
    <i t="data" r="1" i="0">
      <x v="335"/>
    </i>
    <i t="data" r="1" i="0">
      <x v="336"/>
    </i>
    <i t="data" r="1" i="0">
      <x v="337"/>
    </i>
    <i t="data" r="1" i="0">
      <x v="338"/>
    </i>
    <i t="data" r="1" i="0">
      <x v="339"/>
    </i>
    <i t="data" r="1" i="0">
      <x v="340"/>
    </i>
    <i t="data" r="1" i="0">
      <x v="341"/>
    </i>
    <i t="data" r="1" i="0">
      <x v="342"/>
    </i>
    <i t="data" r="1" i="0">
      <x v="343"/>
    </i>
    <i t="data" r="1" i="0">
      <x v="344"/>
    </i>
    <i t="data" r="1" i="0">
      <x v="345"/>
    </i>
    <i t="data" r="1" i="0">
      <x v="589"/>
    </i>
    <i t="data" r="1" i="0">
      <x v="590"/>
    </i>
    <i t="data" r="1" i="0">
      <x v="591"/>
    </i>
    <i t="data" r="1" i="0">
      <x v="592"/>
    </i>
    <i t="data" r="1" i="0">
      <x v="593"/>
    </i>
    <i t="data" r="1" i="0">
      <x v="594"/>
    </i>
    <i t="data" r="1" i="0">
      <x v="595"/>
    </i>
    <i t="data" r="1" i="0">
      <x v="596"/>
    </i>
    <i t="data" r="1" i="0">
      <x v="597"/>
    </i>
    <i t="data" r="1" i="0">
      <x v="598"/>
    </i>
    <i t="data" r="1" i="0">
      <x v="599"/>
    </i>
    <i t="data" r="1" i="0">
      <x v="600"/>
    </i>
    <i t="data" r="1" i="0">
      <x v="601"/>
    </i>
    <i t="data" r="1" i="0">
      <x v="602"/>
    </i>
    <i t="data" r="1" i="0">
      <x v="603"/>
    </i>
    <i t="data" r="1" i="0">
      <x v="604"/>
    </i>
    <i t="data" r="1" i="0">
      <x v="605"/>
    </i>
    <i t="data" r="1" i="0">
      <x v="606"/>
    </i>
    <i t="data" r="1" i="0">
      <x v="607"/>
    </i>
    <i t="data" r="1" i="0">
      <x v="608"/>
    </i>
    <i t="data" r="1" i="0">
      <x v="609"/>
    </i>
    <i t="data" r="1" i="0">
      <x v="610"/>
    </i>
    <i t="data" r="1" i="0">
      <x v="655"/>
    </i>
    <i t="grand" r="0" i="0">
      <x v="0"/>
    </i>
  </rowItems>
  <colItems count="1">
    <i t="data" r="0" i="0"/>
  </colItems>
  <dataFields count="1">
    <dataField name="Suma de SALIDAS " fld="6" subtotal="sum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PRODUCTOS" displayName="PRODUCTOS" ref="A15:K1290" headerRowCount="1" totalsRowCount="1" headerRowDxfId="88" dataDxfId="87" totalsRowDxfId="86">
  <autoFilter ref="A15:H1289">
    <filterColumn colId="3" hiddenButton="0" showButton="1">
      <filters>
        <filter val="CABLE AUXILIARES TOTAL"/>
        <filter val="CABLE HDMI CORTO"/>
        <filter val="CABLE HDMI MEDIANO"/>
        <filter val="CABLE N° 10 AMARILLO (METRO)"/>
        <filter val="CABLE N° 10 AZUL (METRO)"/>
        <filter val="CABLE N° 10 NEGRO (METRO)"/>
        <filter val="CABLE N° 10 ROJO (METRO)"/>
        <filter val="CABLE N° 10 VERDE  (METRO)"/>
        <filter val="CABLE N° 10 VERDE (METRO)"/>
        <filter val="CABLE N° 16 AZUL (METRO)"/>
        <filter val="CABLE N° 16 GRIS (METRO)"/>
        <filter val="CABLE N° 16 MARILLO (METRO)"/>
        <filter val="CABLE N° 16 MARRON (METRO)"/>
        <filter val="CABLE N° 16 NEGRO (METRO)"/>
        <filter val="CABLE N° 16 ROJO (METRO)"/>
        <filter val="CABLE N° 16 VERDE (METRO)"/>
        <filter val="CABLE N° 2 BLANCO (METRO)"/>
        <filter val="CABLE N° 2 ROJO (METRO)"/>
        <filter val="CABLE N° 4 NEGRO (METRO)"/>
        <filter val="CABLE N° 8 AZUL (METRO)"/>
        <filter val="CABLE N° 8 BLANCO (METRO)"/>
        <filter val="CABLE N° 8 NEGRO (METRO)"/>
        <filter val="CABLE N° 8 ROJO (METRO)"/>
        <filter val="CABLE N° 8 VERDE (METRO)"/>
        <filter val="CABLE N°10 BLANCO (METRO)"/>
        <filter val="CABLE N°12 AMARILLO (METRO)"/>
        <filter val="CABLE N°12 AZUL (METRO)"/>
        <filter val="CABLE N°12 BLANCO (METRO)"/>
        <filter val="CABLE N°12 NEGRO (METRO)"/>
        <filter val="CABLE N°12 ROJO (METRO)"/>
        <filter val="CABLE N°12 VERDE (METRO)"/>
        <filter val="CABLE N°14 BLANCO (METRO)"/>
        <filter val="CABLE N°14 NEGRO (METRO)"/>
        <filter val="CABLE N°16 AZUL (METRO)"/>
        <filter val="CABLE N°18 AZUL (METRO)"/>
        <filter val="CABLE N°18 BLANCO (METRO)"/>
        <filter val="CABLE N°18 NEGRO (METRO)"/>
        <filter val="CABLE N°18 ROJO (METRO)"/>
        <filter val="CABLE N°6 BLANCO (METRO)"/>
        <filter val="CABLE N°6 ROJO (METRO)"/>
        <filter val="FILTRO SECADOR DE HIERRO 1/4 ROSCABLE"/>
        <filter val="FILTRO SECADOR SEK-164 1/2 4-6 TON ROSCABLE"/>
        <filter val="GRAPA P/ CABLE 2 X 10 PAQUETE 50 UND"/>
        <filter val="JUEGO DE CABLE DE BUJIAS DE AVEO"/>
        <filter val="MICROFONO CON CABLE"/>
        <filter val="REGULADOR DE BOMBONA DE GAS ENROSCABLE"/>
        <filter val="TERMINAL ANILLO DE COBRE PARA CABLE"/>
        <filter val="TERMINAL PARA CABLE AMARILLO"/>
        <filter val="TORNILLO AUTO ENROSCABLE 3X25MM"/>
        <filter val="TORNILLO AUTO ENROSCABLE 6X25MM"/>
        <filter val="TORNILLO AUTO ENROSCABLE C/HEX 12MM X 1,5"/>
        <filter val="TORNILLO AUTO ENROSCABLE P/ TECHO 14 X 1&quot;"/>
      </filters>
    </filterColumn>
  </autoFilter>
  <sortState ref="A575:H1073">
    <sortCondition descending="1" ref="D15:D1188"/>
  </sortState>
  <tableColumns count="11">
    <tableColumn id="8" name="N°" dataDxfId="85" totalsRowDxfId="84"/>
    <tableColumn id="1" name="CODIGO" dataDxfId="83" totalsRowDxfId="82"/>
    <tableColumn id="7" name="CATEGORIA" dataDxfId="81" totalsRowDxfId="80">
      <calculatedColumnFormula>IFERROR(_xlfn.XLOOKUP(PRODUCTOS[[#This Row],[CODIGO]],LISTADO[CODIGOS],LISTADO[CATEGORIA]),"NO EXISTE")</calculatedColumnFormula>
    </tableColumn>
    <tableColumn id="2" name="PRODUCTO" dataDxfId="79" totalsRowDxfId="78">
      <calculatedColumnFormula>IFERROR(_xlfn.XLOOKUP(PRODUCTOS[[#This Row],[CODIGO]],LISTADO[CODIGOS],LISTADO[PRODUCTOS]),"NO EXISTE")</calculatedColumnFormula>
    </tableColumn>
    <tableColumn id="3" name="UBICACIÓN" dataDxfId="77" totalsRowDxfId="76">
      <calculatedColumnFormula>IFERROR(_xlfn.XLOOKUP(PRODUCTOS[[#This Row],[CODIGO]],LISTADO[CODIGOS],LISTADO[UBICACIÓN]),"NO EXISTE")</calculatedColumnFormula>
    </tableColumn>
    <tableColumn id="4" name="ENTRADAS" totalsRowFunction="sum" dataDxfId="75" totalsRowDxfId="74">
      <calculatedColumnFormula>SUMIFS(ENTRADAS[CANTIDAD],ENTRADAS[CODIGO],PRODUCTOS[[#This Row],[CODIGO]])</calculatedColumnFormula>
    </tableColumn>
    <tableColumn id="5" name="SALIDAS " totalsRowFunction="sum" dataDxfId="73" totalsRowDxfId="72">
      <calculatedColumnFormula>SUMIFS(SALIDAS[CANTIDAD],SALIDAS[CODIGO],PRODUCTOS[[#This Row],[CODIGO]])</calculatedColumnFormula>
    </tableColumn>
    <tableColumn id="6" name="STOCK" totalsRowFunction="sum" dataDxfId="71" totalsRowDxfId="70">
      <calculatedColumnFormula>PRODUCTOS[[#This Row],[ENTRADAS]]-PRODUCTOS[[#This Row],[SALIDAS ]]</calculatedColumnFormula>
    </tableColumn>
    <tableColumn id="9" name="STOCK MÍN."/>
    <tableColumn id="10" name="ESTADO"/>
    <tableColumn id="11" name="OBSERVACIÓN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ENTRADAS" displayName="ENTRADAS" ref="A16:K2258" headerRowCount="1" totalsRowCount="1" headerRowDxfId="69" dataDxfId="68" totalsRowDxfId="67">
  <autoFilter ref="A16:K2257"/>
  <sortState ref="A17:K2030">
    <sortCondition ref="E16:E2030"/>
  </sortState>
  <tableColumns count="11">
    <tableColumn id="7" name="N°" dataDxfId="66" totalsRowDxfId="65"/>
    <tableColumn id="1" name="CODIGO" totalsRowLabel=" " dataDxfId="64" totalsRowDxfId="63"/>
    <tableColumn id="2" name="CATEGORIA" dataDxfId="62" totalsRowDxfId="61">
      <calculatedColumnFormula>IFERROR(_xlfn.XLOOKUP(ENTRADAS[[#This Row],[CODIGO]],LISTADO[CODIGOS],LISTADO[CATEGORIA]),"NO EXISTE")</calculatedColumnFormula>
    </tableColumn>
    <tableColumn id="3" name="PRODUCTO" dataDxfId="60" totalsRowDxfId="59">
      <calculatedColumnFormula>IFERROR(_xlfn.XLOOKUP(ENTRADAS[[#This Row],[CODIGO]],LISTADO[CODIGOS],LISTADO[PRODUCTOS]),"NO EXISTE")</calculatedColumnFormula>
    </tableColumn>
    <tableColumn id="4" name="FECHA" dataDxfId="58" totalsRowDxfId="57"/>
    <tableColumn id="6" name="CANTIDAD" dataDxfId="56" totalsRowDxfId="55"/>
    <tableColumn id="5" name="MOTIVO" dataDxfId="54" totalsRowDxfId="53"/>
    <tableColumn id="8" name="PROVEEDOR" totalsRowDxfId="52"/>
    <tableColumn id="9" name="COSTO UNTARIO $" dataDxfId="51" totalsRowDxfId="50"/>
    <tableColumn id="10" name="COSTO UNITARIO Bs" dataDxfId="49" totalsRowDxfId="48" dataCellStyle="Millares"/>
    <tableColumn id="11" name="TASA" dataDxfId="47" totalsRowDxfId="46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id="3" name="SALIDAS" displayName="SALIDAS" ref="A18:H2002" headerRowCount="1" totalsRowShown="0" headerRowDxfId="44" dataDxfId="43" totalsRowDxfId="42">
  <autoFilter ref="A18:H2002"/>
  <sortState ref="A19:H1725">
    <sortCondition ref="E18:E1725"/>
  </sortState>
  <tableColumns count="8">
    <tableColumn id="7" name="N°" dataDxfId="41" totalsRowDxfId="40"/>
    <tableColumn id="1" name="CODIGO" dataDxfId="39" totalsRowDxfId="38"/>
    <tableColumn id="5" name="CATEGORIA" dataDxfId="37" totalsRowDxfId="36">
      <calculatedColumnFormula>IFERROR(_xlfn.XLOOKUP(SALIDAS[[#This Row],[CODIGO]],LISTADO[CODIGOS],LISTADO[CATEGORIA]),"NO EXISTE")</calculatedColumnFormula>
    </tableColumn>
    <tableColumn id="2" name="PRODUCTO" dataDxfId="35" totalsRowDxfId="34">
      <calculatedColumnFormula>IFERROR(_xlfn.XLOOKUP(SALIDAS[[#This Row],[CODIGO]],LISTADO[CODIGOS],LISTADO[PRODUCTOS]),"NO EXISTE")</calculatedColumnFormula>
    </tableColumn>
    <tableColumn id="4" name="FECHA" dataDxfId="33" totalsRowDxfId="32"/>
    <tableColumn id="6" name="CANTIDAD" dataDxfId="31" totalsRowDxfId="30"/>
    <tableColumn id="3" name="TIENDA" dataDxfId="29" totalsRowDxfId="28"/>
    <tableColumn id="8" name="RESPONSABLE" dataDxfId="27" totalsRowDxfId="26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id="4" name="LISTADO" displayName="LISTADO" ref="B6:F1295" headerRowCount="1" headerRowDxfId="11" dataDxfId="10">
  <autoFilter ref="B6:F1295">
    <filterColumn colId="3" hiddenButton="0" showButton="1">
      <filters>
        <filter val="HARAGAN GRANDE 16&quot;"/>
        <filter val="HARAGAN PEQUEÑO"/>
      </filters>
    </filterColumn>
  </autoFilter>
  <sortState ref="B42:F42">
    <sortCondition ref="E6:E1277"/>
  </sortState>
  <tableColumns count="5">
    <tableColumn id="4" name="N°" dataDxfId="9" totalsRowDxfId="8"/>
    <tableColumn id="1" name="CODIGOS" dataDxfId="7" totalsRowDxfId="6">
      <calculatedColumnFormula>TEXT(COUNTIF($D$7:D7, D7), "00000") &amp; "-" &amp; VLOOKUP(D7, $J$7:$K$19, 2, FALSE)</calculatedColumnFormula>
    </tableColumn>
    <tableColumn id="5" name="CATEGORIA" dataDxfId="5" totalsRowDxfId="4"/>
    <tableColumn id="2" name="PRODUCTOS" dataDxfId="3" totalsRowDxfId="2"/>
    <tableColumn id="3" name="UBICACIÓN" dataDxfId="1" totalsRowDxfId="0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A62:C100" headerRowCount="1" totalsRowShown="0">
  <autoFilter ref="A62:C100"/>
  <tableColumns count="3">
    <tableColumn id="1" name="CATEGORIA" dataDxfId="45"/>
    <tableColumn id="2" name="PRODUCTO"/>
    <tableColumn id="3" name="STOC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pivotTable" Target="/xl/pivotTables/pivotTable1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pivotTable" Target="/xl/pivotTables/pivotTable2.xml" Id="rId2" 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32" customWidth="1" style="11" min="1" max="1"/>
    <col width="18" customWidth="1" style="11" min="2" max="2"/>
    <col width="40" customWidth="1" style="11" min="3" max="3"/>
  </cols>
  <sheetData>
    <row r="1" ht="36" customHeight="1" s="11">
      <c r="A1" s="63" t="inlineStr">
        <is>
          <t>PANEL DE CONTROL — INVENTARIO S.S.G.G.</t>
        </is>
      </c>
    </row>
    <row r="3">
      <c r="A3" s="64" t="inlineStr">
        <is>
          <t>Indicador</t>
        </is>
      </c>
      <c r="B3" s="64" t="inlineStr">
        <is>
          <t>Valor</t>
        </is>
      </c>
      <c r="C3" s="64" t="inlineStr">
        <is>
          <t>Detalle</t>
        </is>
      </c>
    </row>
    <row r="4">
      <c r="A4" s="65" t="inlineStr">
        <is>
          <t>Total SKUs en catálogo</t>
        </is>
      </c>
      <c r="B4" s="66">
        <f>COUNTA(LISTADO[CODIGOS])</f>
        <v/>
      </c>
      <c r="C4" s="65" t="inlineStr">
        <is>
          <t>Hoja PRODUCTOS</t>
        </is>
      </c>
    </row>
    <row r="5">
      <c r="A5" s="67" t="inlineStr">
        <is>
          <t>Stock total (unidades)</t>
        </is>
      </c>
      <c r="B5" s="68">
        <f>SUBTOTAL(109,PRODUCTOS[STOCK])</f>
        <v/>
      </c>
      <c r="C5" s="67" t="inlineStr">
        <is>
          <t>Suma visible en STOCK</t>
        </is>
      </c>
    </row>
    <row r="6">
      <c r="A6" s="65" t="inlineStr">
        <is>
          <t>Productos sin stock</t>
        </is>
      </c>
      <c r="B6" s="66">
        <f>COUNTIF(PRODUCTOS[STOCK],0)</f>
        <v/>
      </c>
      <c r="C6" s="65" t="inlineStr">
        <is>
          <t>Requieren reposición</t>
        </is>
      </c>
    </row>
    <row r="7">
      <c r="A7" s="67" t="inlineStr">
        <is>
          <t>Productos stock bajo</t>
        </is>
      </c>
      <c r="B7" s="68">
        <f>COUNTIF(PRODUCTOS[ESTADO],"BAJO")</f>
        <v/>
      </c>
      <c r="C7" s="67" t="inlineStr">
        <is>
          <t>Por debajo del mínimo</t>
        </is>
      </c>
    </row>
    <row r="8">
      <c r="A8" s="65" t="inlineStr">
        <is>
          <t>Productos stock negativo</t>
        </is>
      </c>
      <c r="B8" s="66">
        <f>COUNTIF(PRODUCTOS[STOCK],"&lt;0")</f>
        <v/>
      </c>
      <c r="C8" s="65" t="inlineStr">
        <is>
          <t>Revisar kardex</t>
        </is>
      </c>
    </row>
    <row r="9">
      <c r="A9" s="67" t="inlineStr">
        <is>
          <t>Total entradas (unidades)</t>
        </is>
      </c>
      <c r="B9" s="68">
        <f>SUBTOTAL(109,ENTRADAS[CANTIDAD])</f>
        <v/>
      </c>
      <c r="C9" s="67" t="inlineStr">
        <is>
          <t>Hoja ENTRADA</t>
        </is>
      </c>
    </row>
    <row r="10">
      <c r="A10" s="65" t="inlineStr">
        <is>
          <t>Total salidas (unidades)</t>
        </is>
      </c>
      <c r="B10" s="66">
        <f>SUBTOTAL(109,SALIDAS[CANTIDAD])</f>
        <v/>
      </c>
      <c r="C10" s="65" t="inlineStr">
        <is>
          <t>Hoja SALIDA</t>
        </is>
      </c>
    </row>
    <row r="11">
      <c r="A11" s="67" t="inlineStr">
        <is>
          <t>Movimientos de entrada</t>
        </is>
      </c>
      <c r="B11" s="68">
        <f>COUNTA(ENTRADAS[CODIGO])</f>
        <v/>
      </c>
      <c r="C11" s="67" t="inlineStr">
        <is>
          <t>Registros</t>
        </is>
      </c>
    </row>
    <row r="12">
      <c r="A12" s="65" t="inlineStr">
        <is>
          <t>Movimientos de salida</t>
        </is>
      </c>
      <c r="B12" s="66">
        <f>COUNTA(SALIDAS[CODIGO])</f>
        <v/>
      </c>
      <c r="C12" s="65" t="inlineStr">
        <is>
          <t>Registros</t>
        </is>
      </c>
    </row>
    <row r="14">
      <c r="A14" s="69" t="inlineStr">
        <is>
          <t>Accesos rápidos</t>
        </is>
      </c>
    </row>
    <row r="15">
      <c r="A15" t="inlineStr">
        <is>
          <t>Registrar ENTRADA</t>
        </is>
      </c>
      <c r="B15" s="70">
        <f>HYPERLINK("#ENTRADA!A4","Registrar ENTRADA")</f>
        <v/>
      </c>
    </row>
    <row r="16">
      <c r="A16" t="inlineStr">
        <is>
          <t>Registrar SALIDA</t>
        </is>
      </c>
      <c r="B16" s="70">
        <f>HYPERLINK("#SALIDA!A7","Registrar SALIDA")</f>
        <v/>
      </c>
    </row>
    <row r="17">
      <c r="A17" t="inlineStr">
        <is>
          <t>Consultar STOCK</t>
        </is>
      </c>
      <c r="B17" s="70">
        <f>HYPERLINK("#STOCK!A5","Consultar STOCK")</f>
        <v/>
      </c>
    </row>
    <row r="18">
      <c r="A18" t="inlineStr">
        <is>
          <t>Catálogo PRODUCTOS</t>
        </is>
      </c>
      <c r="B18" s="70">
        <f>HYPERLINK("#PRODUCTOS!B4","Catálogo PRODUCTOS")</f>
        <v/>
      </c>
    </row>
    <row r="19">
      <c r="A19" t="inlineStr">
        <is>
          <t>Alertas</t>
        </is>
      </c>
      <c r="B19" s="70">
        <f>HYPERLINK("#ALERTAS!A1","Alertas")</f>
        <v/>
      </c>
    </row>
    <row r="20">
      <c r="A20" t="inlineStr">
        <is>
          <t>Instrucciones</t>
        </is>
      </c>
      <c r="B20" s="70">
        <f>HYPERLINK("#INSTRUCCIONES!A1","Instrucciones")</f>
        <v/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5" customWidth="1" style="11" min="1" max="1"/>
  </cols>
  <sheetData>
    <row r="1">
      <c r="A1" s="71" t="inlineStr">
        <is>
          <t>GUÍA DE USO — INVENTARIO MEJORADO</t>
        </is>
      </c>
    </row>
    <row r="2">
      <c r="A2" s="72" t="inlineStr"/>
    </row>
    <row r="3">
      <c r="A3" s="73" t="inlineStr">
        <is>
          <t>1. Catálogo (PRODUCTOS)</t>
        </is>
      </c>
    </row>
    <row r="4">
      <c r="A4" s="72" t="inlineStr">
        <is>
          <t xml:space="preserve">   • Agregue filas solo en la tabla LISTADO. El código se genera automáticamente.</t>
        </is>
      </c>
    </row>
    <row r="5">
      <c r="A5" s="72" t="inlineStr">
        <is>
          <t xml:space="preserve">   • Mantenga categorías alineadas con la lista de referencias (columna J-K).</t>
        </is>
      </c>
    </row>
    <row r="6">
      <c r="A6" s="72" t="inlineStr"/>
    </row>
    <row r="7">
      <c r="A7" s="73" t="inlineStr">
        <is>
          <t>2. Entradas (ENTRADA)</t>
        </is>
      </c>
    </row>
    <row r="8">
      <c r="A8" s="72" t="inlineStr">
        <is>
          <t xml:space="preserve">   • Registre código, fecha, cantidad, motivo y proveedor.</t>
        </is>
      </c>
    </row>
    <row r="9">
      <c r="A9" s="72" t="inlineStr">
        <is>
          <t xml:space="preserve">   • El stock se actualiza automáticamente en STOCK.</t>
        </is>
      </c>
    </row>
    <row r="10">
      <c r="A10" s="72" t="inlineStr"/>
    </row>
    <row r="11">
      <c r="A11" s="73" t="inlineStr">
        <is>
          <t>3. Salidas (SALIDA)</t>
        </is>
      </c>
    </row>
    <row r="12">
      <c r="A12" s="72" t="inlineStr">
        <is>
          <t xml:space="preserve">   • Indique tienda y responsable (listas en CONFIG).</t>
        </is>
      </c>
    </row>
    <row r="13">
      <c r="A13" s="72" t="inlineStr">
        <is>
          <t xml:space="preserve">   • No registre salidas si el stock es insuficiente (revise columna ESTADO).</t>
        </is>
      </c>
    </row>
    <row r="14">
      <c r="A14" s="72" t="inlineStr"/>
    </row>
    <row r="15">
      <c r="A15" s="73" t="inlineStr">
        <is>
          <t>4. Stock (STOCK)</t>
        </is>
      </c>
    </row>
    <row r="16">
      <c r="A16" s="72" t="inlineStr">
        <is>
          <t xml:space="preserve">   • Columna STOCK MÍN.: defina punto de reorden por producto.</t>
        </is>
      </c>
    </row>
    <row r="17">
      <c r="A17" s="72" t="inlineStr">
        <is>
          <t xml:space="preserve">   • ESTADO: OK / BAJO / SIN STOCK / NEGATIVO (con colores).</t>
        </is>
      </c>
    </row>
    <row r="18">
      <c r="A18" s="72" t="inlineStr">
        <is>
          <t xml:space="preserve">   • CORRECCIÓN v2: fórmula de ENTRADAS unificada por código de producto.</t>
        </is>
      </c>
    </row>
    <row r="19">
      <c r="A19" s="72" t="inlineStr"/>
    </row>
    <row r="20">
      <c r="A20" s="73" t="inlineStr">
        <is>
          <t>5. Panel DASHBOARD</t>
        </is>
      </c>
    </row>
    <row r="21">
      <c r="A21" s="72" t="inlineStr">
        <is>
          <t xml:space="preserve">   • KPIs y enlaces rápidos. Actualice filtros en tablas para ver subtotales.</t>
        </is>
      </c>
    </row>
    <row r="22">
      <c r="A22" s="72" t="inlineStr"/>
    </row>
    <row r="23">
      <c r="A23" s="73" t="inlineStr">
        <is>
          <t>6. Hoja PINTURAS (antes Hoja1)</t>
        </is>
      </c>
    </row>
    <row r="24">
      <c r="A24" s="72" t="inlineStr">
        <is>
          <t xml:space="preserve">   • Listado auxiliar de pinturas; considere migrar a códigos del catálogo.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K1295"/>
  <sheetViews>
    <sheetView showGridLines="0" tabSelected="1" topLeftCell="A106" zoomScaleNormal="100" workbookViewId="0">
      <selection activeCell="B979" sqref="B979"/>
    </sheetView>
  </sheetViews>
  <sheetFormatPr baseColWidth="10" defaultColWidth="11.453125" defaultRowHeight="14.5"/>
  <cols>
    <col width="5.08984375" bestFit="1" customWidth="1" style="18" min="1" max="1"/>
    <col width="10.26953125" bestFit="1" customWidth="1" style="18" min="2" max="2"/>
    <col width="14.26953125" bestFit="1" customWidth="1" style="18" min="3" max="3"/>
    <col width="54.6328125" bestFit="1" customWidth="1" style="18" min="4" max="4"/>
    <col width="18.6328125" customWidth="1" style="18" min="5" max="5"/>
    <col width="12" customWidth="1" style="18" min="6" max="6"/>
    <col width="11.453125" customWidth="1" style="18" min="7" max="7"/>
    <col width="11.453125" customWidth="1" style="56" min="8" max="8"/>
    <col width="11" customWidth="1" style="1" min="9" max="16384"/>
    <col width="12" customWidth="1" style="11" min="10" max="10"/>
    <col width="36" customWidth="1" style="11" min="11" max="11"/>
  </cols>
  <sheetData>
    <row r="1">
      <c r="J1" s="1">
        <f>"STOCK ACTUAL: " &amp; TEXT(SUBTOTAL(109, PRODUCTOS[STOCK]), "#,##0")</f>
        <v/>
      </c>
    </row>
    <row r="2" ht="16" customHeight="1" s="11"/>
    <row r="3" ht="16" customHeight="1" s="11"/>
    <row r="4" ht="16" customHeight="1" s="11">
      <c r="H4" s="18" t="n"/>
    </row>
    <row r="5" ht="16" customHeight="1" s="11">
      <c r="A5" s="74" t="inlineStr">
        <is>
          <t>INVENTARIO S.S.G.G.</t>
        </is>
      </c>
      <c r="B5" s="1" t="n"/>
      <c r="C5" s="1" t="n"/>
      <c r="D5" s="1" t="n"/>
      <c r="E5" s="1" t="n"/>
      <c r="F5" s="1" t="n"/>
      <c r="G5" s="1" t="n"/>
      <c r="H5" s="18" t="n"/>
    </row>
    <row r="6">
      <c r="A6" s="1" t="n"/>
      <c r="B6" s="1" t="n"/>
      <c r="C6" s="1" t="n"/>
      <c r="D6" s="1" t="n"/>
      <c r="E6" s="1" t="n"/>
      <c r="F6" s="1" t="n"/>
      <c r="G6" s="1" t="n"/>
      <c r="H6" s="18" t="n"/>
    </row>
    <row r="7">
      <c r="H7" s="18" t="n"/>
    </row>
    <row r="8" ht="29" customHeight="1" s="11">
      <c r="F8" s="60" t="n"/>
      <c r="G8" s="1" t="n"/>
      <c r="H8" s="18" t="n"/>
    </row>
    <row r="9"/>
    <row r="10" ht="21" customHeight="1" s="11">
      <c r="A10" s="14" t="n"/>
      <c r="B10" s="14" t="n"/>
      <c r="C10" s="14" t="n"/>
      <c r="D10" s="14" t="n"/>
      <c r="E10" s="14" t="n"/>
      <c r="F10" s="14" t="n"/>
      <c r="G10" s="14" t="n"/>
      <c r="H10" s="18" t="n"/>
    </row>
    <row r="11" ht="21" customHeight="1" s="11">
      <c r="A11" s="14" t="n"/>
      <c r="B11" s="14" t="n"/>
      <c r="C11" s="14" t="n"/>
      <c r="D11" s="14" t="n"/>
      <c r="E11" s="14" t="n"/>
      <c r="F11" s="14" t="n"/>
      <c r="G11" s="14" t="n"/>
      <c r="H11" s="18" t="n"/>
    </row>
    <row r="12" ht="21" customHeight="1" s="11">
      <c r="A12" s="14" t="n"/>
      <c r="B12" s="14" t="n"/>
      <c r="C12" s="14" t="n"/>
      <c r="D12" s="14" t="n"/>
      <c r="E12" s="14" t="n"/>
      <c r="F12" s="14" t="n"/>
      <c r="G12" s="14" t="n"/>
      <c r="H12" s="18" t="n"/>
    </row>
    <row r="13" ht="21" customHeight="1" s="11">
      <c r="A13" s="14" t="n"/>
      <c r="B13" s="14" t="n"/>
      <c r="C13" s="14" t="n"/>
      <c r="D13" s="14" t="n"/>
      <c r="E13" s="14" t="n"/>
      <c r="F13" s="14" t="n"/>
      <c r="G13" s="14" t="n"/>
      <c r="H13" s="18" t="n"/>
    </row>
    <row r="14">
      <c r="H14" s="18" t="n"/>
    </row>
    <row r="15">
      <c r="A15" s="75" t="inlineStr">
        <is>
          <t>N°</t>
        </is>
      </c>
      <c r="B15" s="75" t="inlineStr">
        <is>
          <t>CODIGO</t>
        </is>
      </c>
      <c r="C15" s="75" t="inlineStr">
        <is>
          <t>CATEGORIA</t>
        </is>
      </c>
      <c r="D15" s="75" t="inlineStr">
        <is>
          <t>PRODUCTO</t>
        </is>
      </c>
      <c r="E15" s="75" t="inlineStr">
        <is>
          <t>UBICACIÓN</t>
        </is>
      </c>
      <c r="F15" s="75" t="inlineStr">
        <is>
          <t>ENTRADAS</t>
        </is>
      </c>
      <c r="G15" s="75" t="inlineStr">
        <is>
          <t xml:space="preserve">SALIDAS </t>
        </is>
      </c>
      <c r="H15" s="75" t="inlineStr">
        <is>
          <t>STOCK</t>
        </is>
      </c>
      <c r="I15" s="64" t="inlineStr">
        <is>
          <t>STOCK MÍN.</t>
        </is>
      </c>
      <c r="J15" s="64" t="inlineStr">
        <is>
          <t>ESTADO</t>
        </is>
      </c>
      <c r="K15" s="64" t="inlineStr">
        <is>
          <t>OBSERVACIÓN</t>
        </is>
      </c>
    </row>
    <row r="16" hidden="1" s="11">
      <c r="A16" s="18" t="n">
        <v>2</v>
      </c>
      <c r="B16" s="56" t="inlineStr">
        <is>
          <t>00001-REF</t>
        </is>
      </c>
      <c r="C16" s="56">
        <f>IFERROR(_xlfn.XLOOKUP(PRODUCTOS[[#This Row],[CODIGO]],LISTADO[CODIGOS],LISTADO[CATEGORIA]),"NO EXISTE")</f>
        <v/>
      </c>
      <c r="D16" s="56">
        <f>IFERROR(_xlfn.XLOOKUP(PRODUCTOS[[#This Row],[CODIGO]],LISTADO[CODIGOS],LISTADO[PRODUCTOS]),"NO EXISTE")</f>
        <v/>
      </c>
      <c r="E16" s="56">
        <f>IFERROR(_xlfn.XLOOKUP(PRODUCTOS[[#This Row],[CODIGO]],LISTADO[CODIGOS],LISTADO[UBICACIÓN]),"NO EXISTE")</f>
        <v/>
      </c>
      <c r="F16" s="56">
        <f>SUMIFS(ENTRADAS[CANTIDAD],ENTRADAS[CODIGO],PRODUCTOS[[#This Row],[CODIGO]])</f>
        <v/>
      </c>
      <c r="G16" s="56">
        <f>SUMIFS(SALIDAS[CANTIDAD],SALIDAS[CODIGO],PRODUCTOS[[#This Row],[CODIGO]])</f>
        <v/>
      </c>
      <c r="H16" s="56">
        <f>PRODUCTOS[[#This Row],[ENTRADAS]]-PRODUCTOS[[#This Row],[SALIDAS ]]</f>
        <v/>
      </c>
      <c r="I16" s="76" t="n">
        <v>0</v>
      </c>
      <c r="J16">
        <f>IF(PRODUCTOS[[#This Row],[STOCK]]&lt;0,"NEGATIVO",IF(PRODUCTOS[[#This Row],[STOCK]]=0,"SIN STOCK",IF(PRODUCTOS[[#This Row],[STOCK]]&lt;=PRODUCTOS[[#This Row],[STOCK MÍN.]],"BAJO","OK")))</f>
        <v/>
      </c>
      <c r="K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7" hidden="1" s="11">
      <c r="A17" s="18" t="n">
        <v>434</v>
      </c>
      <c r="B17" s="56" t="inlineStr">
        <is>
          <t>00002-REF</t>
        </is>
      </c>
      <c r="C17" s="56">
        <f>IFERROR(_xlfn.XLOOKUP(PRODUCTOS[[#This Row],[CODIGO]],LISTADO[CODIGOS],LISTADO[CATEGORIA]),"NO EXISTE")</f>
        <v/>
      </c>
      <c r="D17" s="56">
        <f>IFERROR(_xlfn.XLOOKUP(PRODUCTOS[[#This Row],[CODIGO]],LISTADO[CODIGOS],LISTADO[PRODUCTOS]),"NO EXISTE")</f>
        <v/>
      </c>
      <c r="E17" s="56">
        <f>IFERROR(_xlfn.XLOOKUP(PRODUCTOS[[#This Row],[CODIGO]],LISTADO[CODIGOS],LISTADO[UBICACIÓN]),"NO EXISTE")</f>
        <v/>
      </c>
      <c r="F17" s="56">
        <f>SUMIFS(ENTRADAS[CANTIDAD],ENTRADAS[CODIGO],PRODUCTOS[[#This Row],[CODIGO]])</f>
        <v/>
      </c>
      <c r="G17" s="56">
        <f>SUMIFS(SALIDAS[CANTIDAD],SALIDAS[CODIGO],PRODUCTOS[[#This Row],[CODIGO]])</f>
        <v/>
      </c>
      <c r="H17" s="56">
        <f>PRODUCTOS[[#This Row],[ENTRADAS]]-PRODUCTOS[[#This Row],[SALIDAS ]]</f>
        <v/>
      </c>
      <c r="I17" s="76" t="n">
        <v>0</v>
      </c>
      <c r="J17">
        <f>IF(PRODUCTOS[[#This Row],[STOCK]]&lt;0,"NEGATIVO",IF(PRODUCTOS[[#This Row],[STOCK]]=0,"SIN STOCK",IF(PRODUCTOS[[#This Row],[STOCK]]&lt;=PRODUCTOS[[#This Row],[STOCK MÍN.]],"BAJO","OK")))</f>
        <v/>
      </c>
      <c r="K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8" hidden="1" s="11">
      <c r="A18" s="18" t="n">
        <v>3</v>
      </c>
      <c r="B18" s="56" t="inlineStr">
        <is>
          <t>00001-FER</t>
        </is>
      </c>
      <c r="C18" s="56">
        <f>IFERROR(_xlfn.XLOOKUP(PRODUCTOS[[#This Row],[CODIGO]],LISTADO[CODIGOS],LISTADO[CATEGORIA]),"NO EXISTE")</f>
        <v/>
      </c>
      <c r="D18" s="56">
        <f>IFERROR(_xlfn.XLOOKUP(PRODUCTOS[[#This Row],[CODIGO]],LISTADO[CODIGOS],LISTADO[PRODUCTOS]),"NO EXISTE")</f>
        <v/>
      </c>
      <c r="E18" s="56">
        <f>IFERROR(_xlfn.XLOOKUP(PRODUCTOS[[#This Row],[CODIGO]],LISTADO[CODIGOS],LISTADO[UBICACIÓN]),"NO EXISTE")</f>
        <v/>
      </c>
      <c r="F18" s="56">
        <f>SUMIFS(ENTRADAS[CANTIDAD],ENTRADAS[CODIGO],PRODUCTOS[[#This Row],[CODIGO]])</f>
        <v/>
      </c>
      <c r="G18" s="56">
        <f>SUMIFS(SALIDAS[CANTIDAD],SALIDAS[CODIGO],PRODUCTOS[[#This Row],[CODIGO]])</f>
        <v/>
      </c>
      <c r="H18" s="56">
        <f>PRODUCTOS[[#This Row],[ENTRADAS]]-PRODUCTOS[[#This Row],[SALIDAS ]]</f>
        <v/>
      </c>
      <c r="I18" s="76" t="n">
        <v>0</v>
      </c>
      <c r="J18">
        <f>IF(PRODUCTOS[[#This Row],[STOCK]]&lt;0,"NEGATIVO",IF(PRODUCTOS[[#This Row],[STOCK]]=0,"SIN STOCK",IF(PRODUCTOS[[#This Row],[STOCK]]&lt;=PRODUCTOS[[#This Row],[STOCK MÍN.]],"BAJO","OK")))</f>
        <v/>
      </c>
      <c r="K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9" hidden="1" s="11">
      <c r="A19" s="18" t="n">
        <v>4</v>
      </c>
      <c r="B19" s="56" t="inlineStr">
        <is>
          <t>00002-FER</t>
        </is>
      </c>
      <c r="C19" s="56">
        <f>IFERROR(_xlfn.XLOOKUP(PRODUCTOS[[#This Row],[CODIGO]],LISTADO[CODIGOS],LISTADO[CATEGORIA]),"NO EXISTE")</f>
        <v/>
      </c>
      <c r="D19" s="56">
        <f>IFERROR(_xlfn.XLOOKUP(PRODUCTOS[[#This Row],[CODIGO]],LISTADO[CODIGOS],LISTADO[PRODUCTOS]),"NO EXISTE")</f>
        <v/>
      </c>
      <c r="E19" s="56">
        <f>IFERROR(_xlfn.XLOOKUP(PRODUCTOS[[#This Row],[CODIGO]],LISTADO[CODIGOS],LISTADO[UBICACIÓN]),"NO EXISTE")</f>
        <v/>
      </c>
      <c r="F19" s="56">
        <f>SUMIFS(ENTRADAS[CANTIDAD],ENTRADAS[CODIGO],PRODUCTOS[[#This Row],[CODIGO]])</f>
        <v/>
      </c>
      <c r="G19" s="56">
        <f>SUMIFS(SALIDAS[CANTIDAD],SALIDAS[CODIGO],PRODUCTOS[[#This Row],[CODIGO]])</f>
        <v/>
      </c>
      <c r="H19" s="56">
        <f>PRODUCTOS[[#This Row],[ENTRADAS]]-PRODUCTOS[[#This Row],[SALIDAS ]]</f>
        <v/>
      </c>
      <c r="I19" s="76" t="n">
        <v>0</v>
      </c>
      <c r="J19">
        <f>IF(PRODUCTOS[[#This Row],[STOCK]]&lt;0,"NEGATIVO",IF(PRODUCTOS[[#This Row],[STOCK]]=0,"SIN STOCK",IF(PRODUCTOS[[#This Row],[STOCK]]&lt;=PRODUCTOS[[#This Row],[STOCK MÍN.]],"BAJO","OK")))</f>
        <v/>
      </c>
      <c r="K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0" hidden="1" s="11">
      <c r="A20" s="18" t="n">
        <v>5</v>
      </c>
      <c r="B20" s="56" t="inlineStr">
        <is>
          <t>00001-ILU</t>
        </is>
      </c>
      <c r="C20" s="56">
        <f>IFERROR(_xlfn.XLOOKUP(PRODUCTOS[[#This Row],[CODIGO]],LISTADO[CODIGOS],LISTADO[CATEGORIA]),"NO EXISTE")</f>
        <v/>
      </c>
      <c r="D20" s="56">
        <f>IFERROR(_xlfn.XLOOKUP(PRODUCTOS[[#This Row],[CODIGO]],LISTADO[CODIGOS],LISTADO[PRODUCTOS]),"NO EXISTE")</f>
        <v/>
      </c>
      <c r="E20" s="56">
        <f>IFERROR(_xlfn.XLOOKUP(PRODUCTOS[[#This Row],[CODIGO]],LISTADO[CODIGOS],LISTADO[UBICACIÓN]),"NO EXISTE")</f>
        <v/>
      </c>
      <c r="F20" s="56">
        <f>SUMIFS(ENTRADAS[CANTIDAD],ENTRADAS[CODIGO],PRODUCTOS[[#This Row],[CODIGO]])</f>
        <v/>
      </c>
      <c r="G20" s="56">
        <f>SUMIFS(SALIDAS[CANTIDAD],SALIDAS[CODIGO],PRODUCTOS[[#This Row],[CODIGO]])</f>
        <v/>
      </c>
      <c r="H20" s="56">
        <f>PRODUCTOS[[#This Row],[ENTRADAS]]-PRODUCTOS[[#This Row],[SALIDAS ]]</f>
        <v/>
      </c>
      <c r="I20" s="76" t="n">
        <v>0</v>
      </c>
      <c r="J20">
        <f>IF(PRODUCTOS[[#This Row],[STOCK]]&lt;0,"NEGATIVO",IF(PRODUCTOS[[#This Row],[STOCK]]=0,"SIN STOCK",IF(PRODUCTOS[[#This Row],[STOCK]]&lt;=PRODUCTOS[[#This Row],[STOCK MÍN.]],"BAJO","OK")))</f>
        <v/>
      </c>
      <c r="K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1" hidden="1" s="11">
      <c r="A21" s="18" t="n">
        <v>6</v>
      </c>
      <c r="B21" s="56" t="inlineStr">
        <is>
          <t>00001-ELE</t>
        </is>
      </c>
      <c r="C21" s="56">
        <f>IFERROR(_xlfn.XLOOKUP(PRODUCTOS[[#This Row],[CODIGO]],LISTADO[CODIGOS],LISTADO[CATEGORIA]),"NO EXISTE")</f>
        <v/>
      </c>
      <c r="D21" s="56">
        <f>IFERROR(_xlfn.XLOOKUP(PRODUCTOS[[#This Row],[CODIGO]],LISTADO[CODIGOS],LISTADO[PRODUCTOS]),"NO EXISTE")</f>
        <v/>
      </c>
      <c r="E21" s="56">
        <f>IFERROR(_xlfn.XLOOKUP(PRODUCTOS[[#This Row],[CODIGO]],LISTADO[CODIGOS],LISTADO[UBICACIÓN]),"NO EXISTE")</f>
        <v/>
      </c>
      <c r="F21" s="56">
        <f>SUMIFS(ENTRADAS[CANTIDAD],ENTRADAS[CODIGO],PRODUCTOS[[#This Row],[CODIGO]])</f>
        <v/>
      </c>
      <c r="G21" s="56">
        <f>SUMIFS(SALIDAS[CANTIDAD],SALIDAS[CODIGO],PRODUCTOS[[#This Row],[CODIGO]])</f>
        <v/>
      </c>
      <c r="H21" s="56">
        <f>PRODUCTOS[[#This Row],[ENTRADAS]]-PRODUCTOS[[#This Row],[SALIDAS ]]</f>
        <v/>
      </c>
      <c r="I21" s="76" t="n">
        <v>0</v>
      </c>
      <c r="J21">
        <f>IF(PRODUCTOS[[#This Row],[STOCK]]&lt;0,"NEGATIVO",IF(PRODUCTOS[[#This Row],[STOCK]]=0,"SIN STOCK",IF(PRODUCTOS[[#This Row],[STOCK]]&lt;=PRODUCTOS[[#This Row],[STOCK MÍN.]],"BAJO","OK")))</f>
        <v/>
      </c>
      <c r="K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2" hidden="1" s="11">
      <c r="A22" s="18" t="n">
        <v>7</v>
      </c>
      <c r="B22" s="56" t="inlineStr">
        <is>
          <t>00002-ELE</t>
        </is>
      </c>
      <c r="C22" s="56">
        <f>IFERROR(_xlfn.XLOOKUP(PRODUCTOS[[#This Row],[CODIGO]],LISTADO[CODIGOS],LISTADO[CATEGORIA]),"NO EXISTE")</f>
        <v/>
      </c>
      <c r="D22" s="56">
        <f>IFERROR(_xlfn.XLOOKUP(PRODUCTOS[[#This Row],[CODIGO]],LISTADO[CODIGOS],LISTADO[PRODUCTOS]),"NO EXISTE")</f>
        <v/>
      </c>
      <c r="E22" s="56">
        <f>IFERROR(_xlfn.XLOOKUP(PRODUCTOS[[#This Row],[CODIGO]],LISTADO[CODIGOS],LISTADO[UBICACIÓN]),"NO EXISTE")</f>
        <v/>
      </c>
      <c r="F22" s="56">
        <f>SUMIFS(ENTRADAS[CANTIDAD],ENTRADAS[CODIGO],PRODUCTOS[[#This Row],[CODIGO]])</f>
        <v/>
      </c>
      <c r="G22" s="56">
        <f>SUMIFS(SALIDAS[CANTIDAD],SALIDAS[CODIGO],PRODUCTOS[[#This Row],[CODIGO]])</f>
        <v/>
      </c>
      <c r="H22" s="56">
        <f>PRODUCTOS[[#This Row],[ENTRADAS]]-PRODUCTOS[[#This Row],[SALIDAS ]]</f>
        <v/>
      </c>
      <c r="I22" s="76" t="n">
        <v>0</v>
      </c>
      <c r="J22">
        <f>IF(PRODUCTOS[[#This Row],[STOCK]]&lt;0,"NEGATIVO",IF(PRODUCTOS[[#This Row],[STOCK]]=0,"SIN STOCK",IF(PRODUCTOS[[#This Row],[STOCK]]&lt;=PRODUCTOS[[#This Row],[STOCK MÍN.]],"BAJO","OK")))</f>
        <v/>
      </c>
      <c r="K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3" hidden="1" s="11">
      <c r="A23" s="18" t="n">
        <v>8</v>
      </c>
      <c r="B23" s="56" t="inlineStr">
        <is>
          <t>00001-HER</t>
        </is>
      </c>
      <c r="C23" s="56">
        <f>IFERROR(_xlfn.XLOOKUP(PRODUCTOS[[#This Row],[CODIGO]],LISTADO[CODIGOS],LISTADO[CATEGORIA]),"NO EXISTE")</f>
        <v/>
      </c>
      <c r="D23" s="56">
        <f>IFERROR(_xlfn.XLOOKUP(PRODUCTOS[[#This Row],[CODIGO]],LISTADO[CODIGOS],LISTADO[PRODUCTOS]),"NO EXISTE")</f>
        <v/>
      </c>
      <c r="E23" s="56">
        <f>IFERROR(_xlfn.XLOOKUP(PRODUCTOS[[#This Row],[CODIGO]],LISTADO[CODIGOS],LISTADO[UBICACIÓN]),"NO EXISTE")</f>
        <v/>
      </c>
      <c r="F23" s="56">
        <f>SUMIFS(ENTRADAS[CANTIDAD],ENTRADAS[CODIGO],PRODUCTOS[[#This Row],[CODIGO]])</f>
        <v/>
      </c>
      <c r="G23" s="56">
        <f>SUMIFS(SALIDAS[CANTIDAD],SALIDAS[CODIGO],PRODUCTOS[[#This Row],[CODIGO]])</f>
        <v/>
      </c>
      <c r="H23" s="56">
        <f>PRODUCTOS[[#This Row],[ENTRADAS]]-PRODUCTOS[[#This Row],[SALIDAS ]]</f>
        <v/>
      </c>
      <c r="I23" s="76" t="n">
        <v>0</v>
      </c>
      <c r="J23">
        <f>IF(PRODUCTOS[[#This Row],[STOCK]]&lt;0,"NEGATIVO",IF(PRODUCTOS[[#This Row],[STOCK]]=0,"SIN STOCK",IF(PRODUCTOS[[#This Row],[STOCK]]&lt;=PRODUCTOS[[#This Row],[STOCK MÍN.]],"BAJO","OK")))</f>
        <v/>
      </c>
      <c r="K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4" hidden="1" s="11">
      <c r="A24" s="18" t="n">
        <v>9</v>
      </c>
      <c r="B24" s="56" t="inlineStr">
        <is>
          <t>00002-HER</t>
        </is>
      </c>
      <c r="C24" s="56">
        <f>IFERROR(_xlfn.XLOOKUP(PRODUCTOS[[#This Row],[CODIGO]],LISTADO[CODIGOS],LISTADO[CATEGORIA]),"NO EXISTE")</f>
        <v/>
      </c>
      <c r="D24" s="56">
        <f>IFERROR(_xlfn.XLOOKUP(PRODUCTOS[[#This Row],[CODIGO]],LISTADO[CODIGOS],LISTADO[PRODUCTOS]),"NO EXISTE")</f>
        <v/>
      </c>
      <c r="E24" s="56">
        <f>IFERROR(_xlfn.XLOOKUP(PRODUCTOS[[#This Row],[CODIGO]],LISTADO[CODIGOS],LISTADO[UBICACIÓN]),"NO EXISTE")</f>
        <v/>
      </c>
      <c r="F24" s="56">
        <f>SUMIFS(ENTRADAS[CANTIDAD],ENTRADAS[CODIGO],PRODUCTOS[[#This Row],[CODIGO]])</f>
        <v/>
      </c>
      <c r="G24" s="56">
        <f>SUMIFS(SALIDAS[CANTIDAD],SALIDAS[CODIGO],PRODUCTOS[[#This Row],[CODIGO]])</f>
        <v/>
      </c>
      <c r="H24" s="56">
        <f>PRODUCTOS[[#This Row],[ENTRADAS]]-PRODUCTOS[[#This Row],[SALIDAS ]]</f>
        <v/>
      </c>
      <c r="I24" s="76" t="n">
        <v>0</v>
      </c>
      <c r="J24">
        <f>IF(PRODUCTOS[[#This Row],[STOCK]]&lt;0,"NEGATIVO",IF(PRODUCTOS[[#This Row],[STOCK]]=0,"SIN STOCK",IF(PRODUCTOS[[#This Row],[STOCK]]&lt;=PRODUCTOS[[#This Row],[STOCK MÍN.]],"BAJO","OK")))</f>
        <v/>
      </c>
      <c r="K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5" hidden="1" s="11">
      <c r="A25" s="18" t="n">
        <v>10</v>
      </c>
      <c r="B25" s="56" t="inlineStr">
        <is>
          <t>00003-FER</t>
        </is>
      </c>
      <c r="C25" s="56">
        <f>IFERROR(_xlfn.XLOOKUP(PRODUCTOS[[#This Row],[CODIGO]],LISTADO[CODIGOS],LISTADO[CATEGORIA]),"NO EXISTE")</f>
        <v/>
      </c>
      <c r="D25" s="56">
        <f>IFERROR(_xlfn.XLOOKUP(PRODUCTOS[[#This Row],[CODIGO]],LISTADO[CODIGOS],LISTADO[PRODUCTOS]),"NO EXISTE")</f>
        <v/>
      </c>
      <c r="E25" s="56">
        <f>IFERROR(_xlfn.XLOOKUP(PRODUCTOS[[#This Row],[CODIGO]],LISTADO[CODIGOS],LISTADO[UBICACIÓN]),"NO EXISTE")</f>
        <v/>
      </c>
      <c r="F25" s="56">
        <f>SUMIFS(ENTRADAS[CANTIDAD],ENTRADAS[CODIGO],PRODUCTOS[[#This Row],[CODIGO]])</f>
        <v/>
      </c>
      <c r="G25" s="56">
        <f>SUMIFS(SALIDAS[CANTIDAD],SALIDAS[CODIGO],PRODUCTOS[[#This Row],[CODIGO]])</f>
        <v/>
      </c>
      <c r="H25" s="56">
        <f>PRODUCTOS[[#This Row],[ENTRADAS]]-PRODUCTOS[[#This Row],[SALIDAS ]]</f>
        <v/>
      </c>
      <c r="I25" s="76" t="n">
        <v>0</v>
      </c>
      <c r="J25">
        <f>IF(PRODUCTOS[[#This Row],[STOCK]]&lt;0,"NEGATIVO",IF(PRODUCTOS[[#This Row],[STOCK]]=0,"SIN STOCK",IF(PRODUCTOS[[#This Row],[STOCK]]&lt;=PRODUCTOS[[#This Row],[STOCK MÍN.]],"BAJO","OK")))</f>
        <v/>
      </c>
      <c r="K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6" hidden="1" s="11">
      <c r="A26" s="18" t="n">
        <v>11</v>
      </c>
      <c r="B26" s="56" t="inlineStr">
        <is>
          <t>00004-FER</t>
        </is>
      </c>
      <c r="C26" s="56">
        <f>IFERROR(_xlfn.XLOOKUP(PRODUCTOS[[#This Row],[CODIGO]],LISTADO[CODIGOS],LISTADO[CATEGORIA]),"NO EXISTE")</f>
        <v/>
      </c>
      <c r="D26" s="56">
        <f>IFERROR(_xlfn.XLOOKUP(PRODUCTOS[[#This Row],[CODIGO]],LISTADO[CODIGOS],LISTADO[PRODUCTOS]),"NO EXISTE")</f>
        <v/>
      </c>
      <c r="E26" s="56">
        <f>IFERROR(_xlfn.XLOOKUP(PRODUCTOS[[#This Row],[CODIGO]],LISTADO[CODIGOS],LISTADO[UBICACIÓN]),"NO EXISTE")</f>
        <v/>
      </c>
      <c r="F26" s="56">
        <f>SUMIFS(ENTRADAS[CANTIDAD],ENTRADAS[CODIGO],PRODUCTOS[[#This Row],[CODIGO]])</f>
        <v/>
      </c>
      <c r="G26" s="56">
        <f>SUMIFS(SALIDAS[CANTIDAD],SALIDAS[CODIGO],PRODUCTOS[[#This Row],[CODIGO]])</f>
        <v/>
      </c>
      <c r="H26" s="56">
        <f>PRODUCTOS[[#This Row],[ENTRADAS]]-PRODUCTOS[[#This Row],[SALIDAS ]]</f>
        <v/>
      </c>
      <c r="I26" s="76" t="n">
        <v>0</v>
      </c>
      <c r="J26">
        <f>IF(PRODUCTOS[[#This Row],[STOCK]]&lt;0,"NEGATIVO",IF(PRODUCTOS[[#This Row],[STOCK]]=0,"SIN STOCK",IF(PRODUCTOS[[#This Row],[STOCK]]&lt;=PRODUCTOS[[#This Row],[STOCK MÍN.]],"BAJO","OK")))</f>
        <v/>
      </c>
      <c r="K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7" hidden="1" s="11">
      <c r="A27" s="18" t="n">
        <v>12</v>
      </c>
      <c r="B27" s="56" t="inlineStr">
        <is>
          <t>00005-FER</t>
        </is>
      </c>
      <c r="C27" s="56">
        <f>IFERROR(_xlfn.XLOOKUP(PRODUCTOS[[#This Row],[CODIGO]],LISTADO[CODIGOS],LISTADO[CATEGORIA]),"NO EXISTE")</f>
        <v/>
      </c>
      <c r="D27" s="56">
        <f>IFERROR(_xlfn.XLOOKUP(PRODUCTOS[[#This Row],[CODIGO]],LISTADO[CODIGOS],LISTADO[PRODUCTOS]),"NO EXISTE")</f>
        <v/>
      </c>
      <c r="E27" s="56">
        <f>IFERROR(_xlfn.XLOOKUP(PRODUCTOS[[#This Row],[CODIGO]],LISTADO[CODIGOS],LISTADO[UBICACIÓN]),"NO EXISTE")</f>
        <v/>
      </c>
      <c r="F27" s="56">
        <f>SUMIFS(ENTRADAS[CANTIDAD],ENTRADAS[CODIGO],PRODUCTOS[[#This Row],[CODIGO]])</f>
        <v/>
      </c>
      <c r="G27" s="56">
        <f>SUMIFS(SALIDAS[CANTIDAD],SALIDAS[CODIGO],PRODUCTOS[[#This Row],[CODIGO]])</f>
        <v/>
      </c>
      <c r="H27" s="56">
        <f>PRODUCTOS[[#This Row],[ENTRADAS]]-PRODUCTOS[[#This Row],[SALIDAS ]]</f>
        <v/>
      </c>
      <c r="I27" s="76" t="n">
        <v>0</v>
      </c>
      <c r="J27">
        <f>IF(PRODUCTOS[[#This Row],[STOCK]]&lt;0,"NEGATIVO",IF(PRODUCTOS[[#This Row],[STOCK]]=0,"SIN STOCK",IF(PRODUCTOS[[#This Row],[STOCK]]&lt;=PRODUCTOS[[#This Row],[STOCK MÍN.]],"BAJO","OK")))</f>
        <v/>
      </c>
      <c r="K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8" hidden="1" s="11">
      <c r="A28" s="18" t="n">
        <v>13</v>
      </c>
      <c r="B28" s="56" t="inlineStr">
        <is>
          <t>00006-FER</t>
        </is>
      </c>
      <c r="C28" s="56">
        <f>IFERROR(_xlfn.XLOOKUP(PRODUCTOS[[#This Row],[CODIGO]],LISTADO[CODIGOS],LISTADO[CATEGORIA]),"NO EXISTE")</f>
        <v/>
      </c>
      <c r="D28" s="56">
        <f>IFERROR(_xlfn.XLOOKUP(PRODUCTOS[[#This Row],[CODIGO]],LISTADO[CODIGOS],LISTADO[PRODUCTOS]),"NO EXISTE")</f>
        <v/>
      </c>
      <c r="E28" s="56">
        <f>IFERROR(_xlfn.XLOOKUP(PRODUCTOS[[#This Row],[CODIGO]],LISTADO[CODIGOS],LISTADO[UBICACIÓN]),"NO EXISTE")</f>
        <v/>
      </c>
      <c r="F28" s="56">
        <f>SUMIFS(ENTRADAS[CANTIDAD],ENTRADAS[CODIGO],PRODUCTOS[[#This Row],[CODIGO]])</f>
        <v/>
      </c>
      <c r="G28" s="56">
        <f>SUMIFS(SALIDAS[CANTIDAD],SALIDAS[CODIGO],PRODUCTOS[[#This Row],[CODIGO]])</f>
        <v/>
      </c>
      <c r="H28" s="56">
        <f>PRODUCTOS[[#This Row],[ENTRADAS]]-PRODUCTOS[[#This Row],[SALIDAS ]]</f>
        <v/>
      </c>
      <c r="I28" s="76" t="n">
        <v>0</v>
      </c>
      <c r="J28">
        <f>IF(PRODUCTOS[[#This Row],[STOCK]]&lt;0,"NEGATIVO",IF(PRODUCTOS[[#This Row],[STOCK]]=0,"SIN STOCK",IF(PRODUCTOS[[#This Row],[STOCK]]&lt;=PRODUCTOS[[#This Row],[STOCK MÍN.]],"BAJO","OK")))</f>
        <v/>
      </c>
      <c r="K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9" hidden="1" s="11">
      <c r="A29" s="18" t="n">
        <v>14</v>
      </c>
      <c r="B29" s="56" t="inlineStr">
        <is>
          <t>00001-OFC</t>
        </is>
      </c>
      <c r="C29" s="56">
        <f>IFERROR(_xlfn.XLOOKUP(PRODUCTOS[[#This Row],[CODIGO]],LISTADO[CODIGOS],LISTADO[CATEGORIA]),"NO EXISTE")</f>
        <v/>
      </c>
      <c r="D29" s="56">
        <f>IFERROR(_xlfn.XLOOKUP(PRODUCTOS[[#This Row],[CODIGO]],LISTADO[CODIGOS],LISTADO[PRODUCTOS]),"NO EXISTE")</f>
        <v/>
      </c>
      <c r="E29" s="56">
        <f>IFERROR(_xlfn.XLOOKUP(PRODUCTOS[[#This Row],[CODIGO]],LISTADO[CODIGOS],LISTADO[UBICACIÓN]),"NO EXISTE")</f>
        <v/>
      </c>
      <c r="F29" s="56">
        <f>SUMIFS(ENTRADAS[CANTIDAD],ENTRADAS[CODIGO],PRODUCTOS[[#This Row],[CODIGO]])</f>
        <v/>
      </c>
      <c r="G29" s="56">
        <f>SUMIFS(SALIDAS[CANTIDAD],SALIDAS[CODIGO],PRODUCTOS[[#This Row],[CODIGO]])</f>
        <v/>
      </c>
      <c r="H29" s="56">
        <f>PRODUCTOS[[#This Row],[ENTRADAS]]-PRODUCTOS[[#This Row],[SALIDAS ]]</f>
        <v/>
      </c>
      <c r="I29" s="76" t="n">
        <v>0</v>
      </c>
      <c r="J29">
        <f>IF(PRODUCTOS[[#This Row],[STOCK]]&lt;0,"NEGATIVO",IF(PRODUCTOS[[#This Row],[STOCK]]=0,"SIN STOCK",IF(PRODUCTOS[[#This Row],[STOCK]]&lt;=PRODUCTOS[[#This Row],[STOCK MÍN.]],"BAJO","OK")))</f>
        <v/>
      </c>
      <c r="K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0" hidden="1" s="11">
      <c r="A30" s="18" t="n">
        <v>15</v>
      </c>
      <c r="B30" s="56" t="inlineStr">
        <is>
          <t>00001-MSC</t>
        </is>
      </c>
      <c r="C30" s="56">
        <f>IFERROR(_xlfn.XLOOKUP(PRODUCTOS[[#This Row],[CODIGO]],LISTADO[CODIGOS],LISTADO[CATEGORIA]),"NO EXISTE")</f>
        <v/>
      </c>
      <c r="D30" s="56">
        <f>IFERROR(_xlfn.XLOOKUP(PRODUCTOS[[#This Row],[CODIGO]],LISTADO[CODIGOS],LISTADO[PRODUCTOS]),"NO EXISTE")</f>
        <v/>
      </c>
      <c r="E30" s="56">
        <f>IFERROR(_xlfn.XLOOKUP(PRODUCTOS[[#This Row],[CODIGO]],LISTADO[CODIGOS],LISTADO[UBICACIÓN]),"NO EXISTE")</f>
        <v/>
      </c>
      <c r="F30" s="56">
        <f>SUMIFS(ENTRADAS[CANTIDAD],ENTRADAS[CODIGO],PRODUCTOS[[#This Row],[CODIGO]])</f>
        <v/>
      </c>
      <c r="G30" s="56">
        <f>SUMIFS(SALIDAS[CANTIDAD],SALIDAS[CODIGO],PRODUCTOS[[#This Row],[CODIGO]])</f>
        <v/>
      </c>
      <c r="H30" s="56">
        <f>PRODUCTOS[[#This Row],[ENTRADAS]]-PRODUCTOS[[#This Row],[SALIDAS ]]</f>
        <v/>
      </c>
      <c r="I30" s="76" t="n">
        <v>0</v>
      </c>
      <c r="J30">
        <f>IF(PRODUCTOS[[#This Row],[STOCK]]&lt;0,"NEGATIVO",IF(PRODUCTOS[[#This Row],[STOCK]]=0,"SIN STOCK",IF(PRODUCTOS[[#This Row],[STOCK]]&lt;=PRODUCTOS[[#This Row],[STOCK MÍN.]],"BAJO","OK")))</f>
        <v/>
      </c>
      <c r="K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1" hidden="1" s="11">
      <c r="A31" s="18" t="n">
        <v>16</v>
      </c>
      <c r="B31" s="56" t="inlineStr">
        <is>
          <t>00007-FER</t>
        </is>
      </c>
      <c r="C31" s="56">
        <f>IFERROR(_xlfn.XLOOKUP(PRODUCTOS[[#This Row],[CODIGO]],LISTADO[CODIGOS],LISTADO[CATEGORIA]),"NO EXISTE")</f>
        <v/>
      </c>
      <c r="D31" s="56">
        <f>IFERROR(_xlfn.XLOOKUP(PRODUCTOS[[#This Row],[CODIGO]],LISTADO[CODIGOS],LISTADO[PRODUCTOS]),"NO EXISTE")</f>
        <v/>
      </c>
      <c r="E31" s="56">
        <f>IFERROR(_xlfn.XLOOKUP(PRODUCTOS[[#This Row],[CODIGO]],LISTADO[CODIGOS],LISTADO[UBICACIÓN]),"NO EXISTE")</f>
        <v/>
      </c>
      <c r="F31" s="56">
        <f>SUMIFS(ENTRADAS[CANTIDAD],ENTRADAS[CODIGO],PRODUCTOS[[#This Row],[CODIGO]])</f>
        <v/>
      </c>
      <c r="G31" s="56">
        <f>SUMIFS(SALIDAS[CANTIDAD],SALIDAS[CODIGO],PRODUCTOS[[#This Row],[CODIGO]])</f>
        <v/>
      </c>
      <c r="H31" s="56">
        <f>PRODUCTOS[[#This Row],[ENTRADAS]]-PRODUCTOS[[#This Row],[SALIDAS ]]</f>
        <v/>
      </c>
      <c r="I31" s="76" t="n">
        <v>0</v>
      </c>
      <c r="J31">
        <f>IF(PRODUCTOS[[#This Row],[STOCK]]&lt;0,"NEGATIVO",IF(PRODUCTOS[[#This Row],[STOCK]]=0,"SIN STOCK",IF(PRODUCTOS[[#This Row],[STOCK]]&lt;=PRODUCTOS[[#This Row],[STOCK MÍN.]],"BAJO","OK")))</f>
        <v/>
      </c>
      <c r="K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2" hidden="1" s="11">
      <c r="A32" s="18" t="n">
        <v>17</v>
      </c>
      <c r="B32" s="56" t="inlineStr">
        <is>
          <t>00008-FER</t>
        </is>
      </c>
      <c r="C32" s="56">
        <f>IFERROR(_xlfn.XLOOKUP(PRODUCTOS[[#This Row],[CODIGO]],LISTADO[CODIGOS],LISTADO[CATEGORIA]),"NO EXISTE")</f>
        <v/>
      </c>
      <c r="D32" s="56">
        <f>IFERROR(_xlfn.XLOOKUP(PRODUCTOS[[#This Row],[CODIGO]],LISTADO[CODIGOS],LISTADO[PRODUCTOS]),"NO EXISTE")</f>
        <v/>
      </c>
      <c r="E32" s="56">
        <f>IFERROR(_xlfn.XLOOKUP(PRODUCTOS[[#This Row],[CODIGO]],LISTADO[CODIGOS],LISTADO[UBICACIÓN]),"NO EXISTE")</f>
        <v/>
      </c>
      <c r="F32" s="56">
        <f>SUMIFS(ENTRADAS[CANTIDAD],ENTRADAS[CODIGO],PRODUCTOS[[#This Row],[CODIGO]])</f>
        <v/>
      </c>
      <c r="G32" s="56">
        <f>SUMIFS(SALIDAS[CANTIDAD],SALIDAS[CODIGO],PRODUCTOS[[#This Row],[CODIGO]])</f>
        <v/>
      </c>
      <c r="H32" s="56">
        <f>PRODUCTOS[[#This Row],[ENTRADAS]]-PRODUCTOS[[#This Row],[SALIDAS ]]</f>
        <v/>
      </c>
      <c r="I32" s="76" t="n">
        <v>0</v>
      </c>
      <c r="J32">
        <f>IF(PRODUCTOS[[#This Row],[STOCK]]&lt;0,"NEGATIVO",IF(PRODUCTOS[[#This Row],[STOCK]]=0,"SIN STOCK",IF(PRODUCTOS[[#This Row],[STOCK]]&lt;=PRODUCTOS[[#This Row],[STOCK MÍN.]],"BAJO","OK")))</f>
        <v/>
      </c>
      <c r="K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3" hidden="1" s="11">
      <c r="A33" s="18" t="n">
        <v>18</v>
      </c>
      <c r="B33" s="56" t="inlineStr">
        <is>
          <t>00002-OFC</t>
        </is>
      </c>
      <c r="C33" s="56">
        <f>IFERROR(_xlfn.XLOOKUP(PRODUCTOS[[#This Row],[CODIGO]],LISTADO[CODIGOS],LISTADO[CATEGORIA]),"NO EXISTE")</f>
        <v/>
      </c>
      <c r="D33" s="56">
        <f>IFERROR(_xlfn.XLOOKUP(PRODUCTOS[[#This Row],[CODIGO]],LISTADO[CODIGOS],LISTADO[PRODUCTOS]),"NO EXISTE")</f>
        <v/>
      </c>
      <c r="E33" s="56">
        <f>IFERROR(_xlfn.XLOOKUP(PRODUCTOS[[#This Row],[CODIGO]],LISTADO[CODIGOS],LISTADO[UBICACIÓN]),"NO EXISTE")</f>
        <v/>
      </c>
      <c r="F33" s="56">
        <f>SUMIFS(ENTRADAS[CANTIDAD],ENTRADAS[CODIGO],PRODUCTOS[[#This Row],[CODIGO]])</f>
        <v/>
      </c>
      <c r="G33" s="56">
        <f>SUMIFS(SALIDAS[CANTIDAD],SALIDAS[CODIGO],PRODUCTOS[[#This Row],[CODIGO]])</f>
        <v/>
      </c>
      <c r="H33" s="56">
        <f>PRODUCTOS[[#This Row],[ENTRADAS]]-PRODUCTOS[[#This Row],[SALIDAS ]]</f>
        <v/>
      </c>
      <c r="I33" s="76" t="n">
        <v>0</v>
      </c>
      <c r="J33">
        <f>IF(PRODUCTOS[[#This Row],[STOCK]]&lt;0,"NEGATIVO",IF(PRODUCTOS[[#This Row],[STOCK]]=0,"SIN STOCK",IF(PRODUCTOS[[#This Row],[STOCK]]&lt;=PRODUCTOS[[#This Row],[STOCK MÍN.]],"BAJO","OK")))</f>
        <v/>
      </c>
      <c r="K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4" hidden="1" s="11">
      <c r="A34" s="18" t="n">
        <v>19</v>
      </c>
      <c r="B34" s="56" t="inlineStr">
        <is>
          <t>00003-HER</t>
        </is>
      </c>
      <c r="C34" s="56">
        <f>IFERROR(_xlfn.XLOOKUP(PRODUCTOS[[#This Row],[CODIGO]],LISTADO[CODIGOS],LISTADO[CATEGORIA]),"NO EXISTE")</f>
        <v/>
      </c>
      <c r="D34" s="56">
        <f>IFERROR(_xlfn.XLOOKUP(PRODUCTOS[[#This Row],[CODIGO]],LISTADO[CODIGOS],LISTADO[PRODUCTOS]),"NO EXISTE")</f>
        <v/>
      </c>
      <c r="E34" s="56">
        <f>IFERROR(_xlfn.XLOOKUP(PRODUCTOS[[#This Row],[CODIGO]],LISTADO[CODIGOS],LISTADO[UBICACIÓN]),"NO EXISTE")</f>
        <v/>
      </c>
      <c r="F34" s="56">
        <f>SUMIFS(ENTRADAS[CANTIDAD],ENTRADAS[CODIGO],PRODUCTOS[[#This Row],[CODIGO]])</f>
        <v/>
      </c>
      <c r="G34" s="56">
        <f>SUMIFS(SALIDAS[CANTIDAD],SALIDAS[CODIGO],PRODUCTOS[[#This Row],[CODIGO]])</f>
        <v/>
      </c>
      <c r="H34" s="56">
        <f>PRODUCTOS[[#This Row],[ENTRADAS]]-PRODUCTOS[[#This Row],[SALIDAS ]]</f>
        <v/>
      </c>
      <c r="I34" s="76" t="n">
        <v>0</v>
      </c>
      <c r="J34">
        <f>IF(PRODUCTOS[[#This Row],[STOCK]]&lt;0,"NEGATIVO",IF(PRODUCTOS[[#This Row],[STOCK]]=0,"SIN STOCK",IF(PRODUCTOS[[#This Row],[STOCK]]&lt;=PRODUCTOS[[#This Row],[STOCK MÍN.]],"BAJO","OK")))</f>
        <v/>
      </c>
      <c r="K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5" hidden="1" s="11">
      <c r="A35" s="18" t="n">
        <v>20</v>
      </c>
      <c r="B35" s="56" t="inlineStr">
        <is>
          <t>00003-REF</t>
        </is>
      </c>
      <c r="C35" s="56">
        <f>IFERROR(_xlfn.XLOOKUP(PRODUCTOS[[#This Row],[CODIGO]],LISTADO[CODIGOS],LISTADO[CATEGORIA]),"NO EXISTE")</f>
        <v/>
      </c>
      <c r="D35" s="56">
        <f>IFERROR(_xlfn.XLOOKUP(PRODUCTOS[[#This Row],[CODIGO]],LISTADO[CODIGOS],LISTADO[PRODUCTOS]),"NO EXISTE")</f>
        <v/>
      </c>
      <c r="E35" s="56">
        <f>IFERROR(_xlfn.XLOOKUP(PRODUCTOS[[#This Row],[CODIGO]],LISTADO[CODIGOS],LISTADO[UBICACIÓN]),"NO EXISTE")</f>
        <v/>
      </c>
      <c r="F35" s="56">
        <f>SUMIFS(ENTRADAS[CANTIDAD],ENTRADAS[CODIGO],PRODUCTOS[[#This Row],[CODIGO]])</f>
        <v/>
      </c>
      <c r="G35" s="56">
        <f>SUMIFS(SALIDAS[CANTIDAD],SALIDAS[CODIGO],PRODUCTOS[[#This Row],[CODIGO]])</f>
        <v/>
      </c>
      <c r="H35" s="56">
        <f>PRODUCTOS[[#This Row],[ENTRADAS]]-PRODUCTOS[[#This Row],[SALIDAS ]]</f>
        <v/>
      </c>
      <c r="I35" s="76" t="n">
        <v>0</v>
      </c>
      <c r="J35">
        <f>IF(PRODUCTOS[[#This Row],[STOCK]]&lt;0,"NEGATIVO",IF(PRODUCTOS[[#This Row],[STOCK]]=0,"SIN STOCK",IF(PRODUCTOS[[#This Row],[STOCK]]&lt;=PRODUCTOS[[#This Row],[STOCK MÍN.]],"BAJO","OK")))</f>
        <v/>
      </c>
      <c r="K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6" hidden="1" s="11">
      <c r="A36" s="18" t="n">
        <v>21</v>
      </c>
      <c r="B36" s="56" t="inlineStr">
        <is>
          <t>00001-ELC</t>
        </is>
      </c>
      <c r="C36" s="56">
        <f>IFERROR(_xlfn.XLOOKUP(PRODUCTOS[[#This Row],[CODIGO]],LISTADO[CODIGOS],LISTADO[CATEGORIA]),"NO EXISTE")</f>
        <v/>
      </c>
      <c r="D36" s="56">
        <f>IFERROR(_xlfn.XLOOKUP(PRODUCTOS[[#This Row],[CODIGO]],LISTADO[CODIGOS],LISTADO[PRODUCTOS]),"NO EXISTE")</f>
        <v/>
      </c>
      <c r="E36" s="56">
        <f>IFERROR(_xlfn.XLOOKUP(PRODUCTOS[[#This Row],[CODIGO]],LISTADO[CODIGOS],LISTADO[UBICACIÓN]),"NO EXISTE")</f>
        <v/>
      </c>
      <c r="F36" s="56">
        <f>SUMIFS(ENTRADAS[CANTIDAD],ENTRADAS[CODIGO],PRODUCTOS[[#This Row],[CODIGO]])</f>
        <v/>
      </c>
      <c r="G36" s="56">
        <f>SUMIFS(SALIDAS[CANTIDAD],SALIDAS[CODIGO],PRODUCTOS[[#This Row],[CODIGO]])</f>
        <v/>
      </c>
      <c r="H36" s="56">
        <f>PRODUCTOS[[#This Row],[ENTRADAS]]-PRODUCTOS[[#This Row],[SALIDAS ]]</f>
        <v/>
      </c>
      <c r="I36" s="76" t="n">
        <v>0</v>
      </c>
      <c r="J36">
        <f>IF(PRODUCTOS[[#This Row],[STOCK]]&lt;0,"NEGATIVO",IF(PRODUCTOS[[#This Row],[STOCK]]=0,"SIN STOCK",IF(PRODUCTOS[[#This Row],[STOCK]]&lt;=PRODUCTOS[[#This Row],[STOCK MÍN.]],"BAJO","OK")))</f>
        <v/>
      </c>
      <c r="K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7">
      <c r="A37" s="18" t="n">
        <v>22</v>
      </c>
      <c r="B37" s="56" t="inlineStr">
        <is>
          <t>00003-ELE</t>
        </is>
      </c>
      <c r="C37" s="56">
        <f>IFERROR(_xlfn.XLOOKUP(PRODUCTOS[[#This Row],[CODIGO]],LISTADO[CODIGOS],LISTADO[CATEGORIA]),"NO EXISTE")</f>
        <v/>
      </c>
      <c r="D37" s="56">
        <f>IFERROR(_xlfn.XLOOKUP(PRODUCTOS[[#This Row],[CODIGO]],LISTADO[CODIGOS],LISTADO[PRODUCTOS]),"NO EXISTE")</f>
        <v/>
      </c>
      <c r="E37" s="56">
        <f>IFERROR(_xlfn.XLOOKUP(PRODUCTOS[[#This Row],[CODIGO]],LISTADO[CODIGOS],LISTADO[UBICACIÓN]),"NO EXISTE")</f>
        <v/>
      </c>
      <c r="F37" s="56">
        <f>SUMIFS(ENTRADAS[CANTIDAD],ENTRADAS[CODIGO],PRODUCTOS[[#This Row],[CODIGO]])</f>
        <v/>
      </c>
      <c r="G37" s="56">
        <f>SUMIFS(SALIDAS[CANTIDAD],SALIDAS[CODIGO],PRODUCTOS[[#This Row],[CODIGO]])</f>
        <v/>
      </c>
      <c r="H37" s="56">
        <f>PRODUCTOS[[#This Row],[ENTRADAS]]-PRODUCTOS[[#This Row],[SALIDAS ]]</f>
        <v/>
      </c>
      <c r="I37" s="76" t="n">
        <v>0</v>
      </c>
      <c r="J37">
        <f>IF(PRODUCTOS[[#This Row],[STOCK]]&lt;0,"NEGATIVO",IF(PRODUCTOS[[#This Row],[STOCK]]=0,"SIN STOCK",IF(PRODUCTOS[[#This Row],[STOCK]]&lt;=PRODUCTOS[[#This Row],[STOCK MÍN.]],"BAJO","OK")))</f>
        <v/>
      </c>
      <c r="K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8" hidden="1" s="11">
      <c r="A38" s="18" t="n">
        <v>23</v>
      </c>
      <c r="B38" s="56" t="inlineStr">
        <is>
          <t>00004-REF</t>
        </is>
      </c>
      <c r="C38" s="56">
        <f>IFERROR(_xlfn.XLOOKUP(PRODUCTOS[[#This Row],[CODIGO]],LISTADO[CODIGOS],LISTADO[CATEGORIA]),"NO EXISTE")</f>
        <v/>
      </c>
      <c r="D38" s="56">
        <f>IFERROR(_xlfn.XLOOKUP(PRODUCTOS[[#This Row],[CODIGO]],LISTADO[CODIGOS],LISTADO[PRODUCTOS]),"NO EXISTE")</f>
        <v/>
      </c>
      <c r="E38" s="56">
        <f>IFERROR(_xlfn.XLOOKUP(PRODUCTOS[[#This Row],[CODIGO]],LISTADO[CODIGOS],LISTADO[UBICACIÓN]),"NO EXISTE")</f>
        <v/>
      </c>
      <c r="F38" s="56">
        <f>SUMIFS(ENTRADAS[CANTIDAD],ENTRADAS[CODIGO],PRODUCTOS[[#This Row],[CODIGO]])</f>
        <v/>
      </c>
      <c r="G38" s="56">
        <f>SUMIFS(SALIDAS[CANTIDAD],SALIDAS[CODIGO],PRODUCTOS[[#This Row],[CODIGO]])</f>
        <v/>
      </c>
      <c r="H38" s="56">
        <f>PRODUCTOS[[#This Row],[ENTRADAS]]-PRODUCTOS[[#This Row],[SALIDAS ]]</f>
        <v/>
      </c>
      <c r="I38" s="76" t="n">
        <v>0</v>
      </c>
      <c r="J38">
        <f>IF(PRODUCTOS[[#This Row],[STOCK]]&lt;0,"NEGATIVO",IF(PRODUCTOS[[#This Row],[STOCK]]=0,"SIN STOCK",IF(PRODUCTOS[[#This Row],[STOCK]]&lt;=PRODUCTOS[[#This Row],[STOCK MÍN.]],"BAJO","OK")))</f>
        <v/>
      </c>
      <c r="K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9" hidden="1" s="11">
      <c r="A39" s="18" t="n">
        <v>24</v>
      </c>
      <c r="B39" s="56" t="inlineStr">
        <is>
          <t>00005-REF</t>
        </is>
      </c>
      <c r="C39" s="56">
        <f>IFERROR(_xlfn.XLOOKUP(PRODUCTOS[[#This Row],[CODIGO]],LISTADO[CODIGOS],LISTADO[CATEGORIA]),"NO EXISTE")</f>
        <v/>
      </c>
      <c r="D39" s="56">
        <f>IFERROR(_xlfn.XLOOKUP(PRODUCTOS[[#This Row],[CODIGO]],LISTADO[CODIGOS],LISTADO[PRODUCTOS]),"NO EXISTE")</f>
        <v/>
      </c>
      <c r="E39" s="56">
        <f>IFERROR(_xlfn.XLOOKUP(PRODUCTOS[[#This Row],[CODIGO]],LISTADO[CODIGOS],LISTADO[UBICACIÓN]),"NO EXISTE")</f>
        <v/>
      </c>
      <c r="F39" s="56">
        <f>SUMIFS(ENTRADAS[CANTIDAD],ENTRADAS[CODIGO],PRODUCTOS[[#This Row],[CODIGO]])</f>
        <v/>
      </c>
      <c r="G39" s="56">
        <f>SUMIFS(SALIDAS[CANTIDAD],SALIDAS[CODIGO],PRODUCTOS[[#This Row],[CODIGO]])</f>
        <v/>
      </c>
      <c r="H39" s="56">
        <f>PRODUCTOS[[#This Row],[ENTRADAS]]-PRODUCTOS[[#This Row],[SALIDAS ]]</f>
        <v/>
      </c>
      <c r="I39" s="76" t="n">
        <v>0</v>
      </c>
      <c r="J39">
        <f>IF(PRODUCTOS[[#This Row],[STOCK]]&lt;0,"NEGATIVO",IF(PRODUCTOS[[#This Row],[STOCK]]=0,"SIN STOCK",IF(PRODUCTOS[[#This Row],[STOCK]]&lt;=PRODUCTOS[[#This Row],[STOCK MÍN.]],"BAJO","OK")))</f>
        <v/>
      </c>
      <c r="K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0" hidden="1" s="11">
      <c r="A40" s="18" t="n">
        <v>25</v>
      </c>
      <c r="B40" s="56" t="inlineStr">
        <is>
          <t>00002-ELC</t>
        </is>
      </c>
      <c r="C40" s="56">
        <f>IFERROR(_xlfn.XLOOKUP(PRODUCTOS[[#This Row],[CODIGO]],LISTADO[CODIGOS],LISTADO[CATEGORIA]),"NO EXISTE")</f>
        <v/>
      </c>
      <c r="D40" s="56">
        <f>IFERROR(_xlfn.XLOOKUP(PRODUCTOS[[#This Row],[CODIGO]],LISTADO[CODIGOS],LISTADO[PRODUCTOS]),"NO EXISTE")</f>
        <v/>
      </c>
      <c r="E40" s="56">
        <f>IFERROR(_xlfn.XLOOKUP(PRODUCTOS[[#This Row],[CODIGO]],LISTADO[CODIGOS],LISTADO[UBICACIÓN]),"NO EXISTE")</f>
        <v/>
      </c>
      <c r="F40" s="56">
        <f>SUMIFS(ENTRADAS[CANTIDAD],ENTRADAS[CODIGO],PRODUCTOS[[#This Row],[CODIGO]])</f>
        <v/>
      </c>
      <c r="G40" s="56">
        <f>SUMIFS(SALIDAS[CANTIDAD],SALIDAS[CODIGO],PRODUCTOS[[#This Row],[CODIGO]])</f>
        <v/>
      </c>
      <c r="H40" s="56">
        <f>PRODUCTOS[[#This Row],[ENTRADAS]]-PRODUCTOS[[#This Row],[SALIDAS ]]</f>
        <v/>
      </c>
      <c r="I40" s="76" t="n">
        <v>0</v>
      </c>
      <c r="J40">
        <f>IF(PRODUCTOS[[#This Row],[STOCK]]&lt;0,"NEGATIVO",IF(PRODUCTOS[[#This Row],[STOCK]]=0,"SIN STOCK",IF(PRODUCTOS[[#This Row],[STOCK]]&lt;=PRODUCTOS[[#This Row],[STOCK MÍN.]],"BAJO","OK")))</f>
        <v/>
      </c>
      <c r="K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1" hidden="1" s="11">
      <c r="A41" s="18" t="n">
        <v>26</v>
      </c>
      <c r="B41" s="56" t="inlineStr">
        <is>
          <t>00004-ELE</t>
        </is>
      </c>
      <c r="C41" s="56">
        <f>IFERROR(_xlfn.XLOOKUP(PRODUCTOS[[#This Row],[CODIGO]],LISTADO[CODIGOS],LISTADO[CATEGORIA]),"NO EXISTE")</f>
        <v/>
      </c>
      <c r="D41" s="56">
        <f>IFERROR(_xlfn.XLOOKUP(PRODUCTOS[[#This Row],[CODIGO]],LISTADO[CODIGOS],LISTADO[PRODUCTOS]),"NO EXISTE")</f>
        <v/>
      </c>
      <c r="E41" s="56">
        <f>IFERROR(_xlfn.XLOOKUP(PRODUCTOS[[#This Row],[CODIGO]],LISTADO[CODIGOS],LISTADO[UBICACIÓN]),"NO EXISTE")</f>
        <v/>
      </c>
      <c r="F41" s="56">
        <f>SUMIFS(ENTRADAS[CANTIDAD],ENTRADAS[CODIGO],PRODUCTOS[[#This Row],[CODIGO]])</f>
        <v/>
      </c>
      <c r="G41" s="56">
        <f>SUMIFS(SALIDAS[CANTIDAD],SALIDAS[CODIGO],PRODUCTOS[[#This Row],[CODIGO]])</f>
        <v/>
      </c>
      <c r="H41" s="56">
        <f>PRODUCTOS[[#This Row],[ENTRADAS]]-PRODUCTOS[[#This Row],[SALIDAS ]]</f>
        <v/>
      </c>
      <c r="I41" s="76" t="n">
        <v>0</v>
      </c>
      <c r="J41">
        <f>IF(PRODUCTOS[[#This Row],[STOCK]]&lt;0,"NEGATIVO",IF(PRODUCTOS[[#This Row],[STOCK]]=0,"SIN STOCK",IF(PRODUCTOS[[#This Row],[STOCK]]&lt;=PRODUCTOS[[#This Row],[STOCK MÍN.]],"BAJO","OK")))</f>
        <v/>
      </c>
      <c r="K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2" hidden="1" s="11">
      <c r="A42" s="18" t="n">
        <v>27</v>
      </c>
      <c r="B42" s="56" t="inlineStr">
        <is>
          <t>00003-OFC</t>
        </is>
      </c>
      <c r="C42" s="56">
        <f>IFERROR(_xlfn.XLOOKUP(PRODUCTOS[[#This Row],[CODIGO]],LISTADO[CODIGOS],LISTADO[CATEGORIA]),"NO EXISTE")</f>
        <v/>
      </c>
      <c r="D42" s="56">
        <f>IFERROR(_xlfn.XLOOKUP(PRODUCTOS[[#This Row],[CODIGO]],LISTADO[CODIGOS],LISTADO[PRODUCTOS]),"NO EXISTE")</f>
        <v/>
      </c>
      <c r="E42" s="56">
        <f>IFERROR(_xlfn.XLOOKUP(PRODUCTOS[[#This Row],[CODIGO]],LISTADO[CODIGOS],LISTADO[UBICACIÓN]),"NO EXISTE")</f>
        <v/>
      </c>
      <c r="F42" s="56">
        <f>SUMIFS(ENTRADAS[CANTIDAD],ENTRADAS[CODIGO],PRODUCTOS[[#This Row],[CODIGO]])</f>
        <v/>
      </c>
      <c r="G42" s="56">
        <f>SUMIFS(SALIDAS[CANTIDAD],SALIDAS[CODIGO],PRODUCTOS[[#This Row],[CODIGO]])</f>
        <v/>
      </c>
      <c r="H42" s="56">
        <f>PRODUCTOS[[#This Row],[ENTRADAS]]-PRODUCTOS[[#This Row],[SALIDAS ]]</f>
        <v/>
      </c>
      <c r="I42" s="76" t="n">
        <v>0</v>
      </c>
      <c r="J42">
        <f>IF(PRODUCTOS[[#This Row],[STOCK]]&lt;0,"NEGATIVO",IF(PRODUCTOS[[#This Row],[STOCK]]=0,"SIN STOCK",IF(PRODUCTOS[[#This Row],[STOCK]]&lt;=PRODUCTOS[[#This Row],[STOCK MÍN.]],"BAJO","OK")))</f>
        <v/>
      </c>
      <c r="K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3" hidden="1" s="11">
      <c r="A43" s="18" t="n">
        <v>28</v>
      </c>
      <c r="B43" s="56" t="inlineStr">
        <is>
          <t>00004-HER</t>
        </is>
      </c>
      <c r="C43" s="56">
        <f>IFERROR(_xlfn.XLOOKUP(PRODUCTOS[[#This Row],[CODIGO]],LISTADO[CODIGOS],LISTADO[CATEGORIA]),"NO EXISTE")</f>
        <v/>
      </c>
      <c r="D43" s="56">
        <f>IFERROR(_xlfn.XLOOKUP(PRODUCTOS[[#This Row],[CODIGO]],LISTADO[CODIGOS],LISTADO[PRODUCTOS]),"NO EXISTE")</f>
        <v/>
      </c>
      <c r="E43" s="56">
        <f>IFERROR(_xlfn.XLOOKUP(PRODUCTOS[[#This Row],[CODIGO]],LISTADO[CODIGOS],LISTADO[UBICACIÓN]),"NO EXISTE")</f>
        <v/>
      </c>
      <c r="F43" s="56">
        <f>SUMIFS(ENTRADAS[CANTIDAD],ENTRADAS[CODIGO],PRODUCTOS[[#This Row],[CODIGO]])</f>
        <v/>
      </c>
      <c r="G43" s="56">
        <f>SUMIFS(SALIDAS[CANTIDAD],SALIDAS[CODIGO],PRODUCTOS[[#This Row],[CODIGO]])</f>
        <v/>
      </c>
      <c r="H43" s="56">
        <f>PRODUCTOS[[#This Row],[ENTRADAS]]-PRODUCTOS[[#This Row],[SALIDAS ]]</f>
        <v/>
      </c>
      <c r="I43" s="76" t="n">
        <v>0</v>
      </c>
      <c r="J43">
        <f>IF(PRODUCTOS[[#This Row],[STOCK]]&lt;0,"NEGATIVO",IF(PRODUCTOS[[#This Row],[STOCK]]=0,"SIN STOCK",IF(PRODUCTOS[[#This Row],[STOCK]]&lt;=PRODUCTOS[[#This Row],[STOCK MÍN.]],"BAJO","OK")))</f>
        <v/>
      </c>
      <c r="K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4" hidden="1" s="11">
      <c r="A44" s="18" t="n">
        <v>29</v>
      </c>
      <c r="B44" s="56" t="inlineStr">
        <is>
          <t>00004-OFC</t>
        </is>
      </c>
      <c r="C44" s="56">
        <f>IFERROR(_xlfn.XLOOKUP(PRODUCTOS[[#This Row],[CODIGO]],LISTADO[CODIGOS],LISTADO[CATEGORIA]),"NO EXISTE")</f>
        <v/>
      </c>
      <c r="D44" s="56">
        <f>IFERROR(_xlfn.XLOOKUP(PRODUCTOS[[#This Row],[CODIGO]],LISTADO[CODIGOS],LISTADO[PRODUCTOS]),"NO EXISTE")</f>
        <v/>
      </c>
      <c r="E44" s="56">
        <f>IFERROR(_xlfn.XLOOKUP(PRODUCTOS[[#This Row],[CODIGO]],LISTADO[CODIGOS],LISTADO[UBICACIÓN]),"NO EXISTE")</f>
        <v/>
      </c>
      <c r="F44" s="56">
        <f>SUMIFS(ENTRADAS[CANTIDAD],ENTRADAS[CODIGO],PRODUCTOS[[#This Row],[CODIGO]])</f>
        <v/>
      </c>
      <c r="G44" s="56">
        <f>SUMIFS(SALIDAS[CANTIDAD],SALIDAS[CODIGO],PRODUCTOS[[#This Row],[CODIGO]])</f>
        <v/>
      </c>
      <c r="H44" s="56">
        <f>PRODUCTOS[[#This Row],[ENTRADAS]]-PRODUCTOS[[#This Row],[SALIDAS ]]</f>
        <v/>
      </c>
      <c r="I44" s="76" t="n">
        <v>0</v>
      </c>
      <c r="J44">
        <f>IF(PRODUCTOS[[#This Row],[STOCK]]&lt;0,"NEGATIVO",IF(PRODUCTOS[[#This Row],[STOCK]]=0,"SIN STOCK",IF(PRODUCTOS[[#This Row],[STOCK]]&lt;=PRODUCTOS[[#This Row],[STOCK MÍN.]],"BAJO","OK")))</f>
        <v/>
      </c>
      <c r="K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5" hidden="1" s="11">
      <c r="A45" s="18" t="n">
        <v>30</v>
      </c>
      <c r="B45" s="56" t="inlineStr">
        <is>
          <t>00002-MSC</t>
        </is>
      </c>
      <c r="C45" s="56">
        <f>IFERROR(_xlfn.XLOOKUP(PRODUCTOS[[#This Row],[CODIGO]],LISTADO[CODIGOS],LISTADO[CATEGORIA]),"NO EXISTE")</f>
        <v/>
      </c>
      <c r="D45" s="56">
        <f>IFERROR(_xlfn.XLOOKUP(PRODUCTOS[[#This Row],[CODIGO]],LISTADO[CODIGOS],LISTADO[PRODUCTOS]),"NO EXISTE")</f>
        <v/>
      </c>
      <c r="E45" s="56">
        <f>IFERROR(_xlfn.XLOOKUP(PRODUCTOS[[#This Row],[CODIGO]],LISTADO[CODIGOS],LISTADO[UBICACIÓN]),"NO EXISTE")</f>
        <v/>
      </c>
      <c r="F45" s="56">
        <f>SUMIFS(ENTRADAS[CANTIDAD],ENTRADAS[CODIGO],PRODUCTOS[[#This Row],[CODIGO]])</f>
        <v/>
      </c>
      <c r="G45" s="56">
        <f>SUMIFS(SALIDAS[CANTIDAD],SALIDAS[CODIGO],PRODUCTOS[[#This Row],[CODIGO]])</f>
        <v/>
      </c>
      <c r="H45" s="56">
        <f>PRODUCTOS[[#This Row],[ENTRADAS]]-PRODUCTOS[[#This Row],[SALIDAS ]]</f>
        <v/>
      </c>
      <c r="I45" s="76" t="n">
        <v>0</v>
      </c>
      <c r="J45">
        <f>IF(PRODUCTOS[[#This Row],[STOCK]]&lt;0,"NEGATIVO",IF(PRODUCTOS[[#This Row],[STOCK]]=0,"SIN STOCK",IF(PRODUCTOS[[#This Row],[STOCK]]&lt;=PRODUCTOS[[#This Row],[STOCK MÍN.]],"BAJO","OK")))</f>
        <v/>
      </c>
      <c r="K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6" hidden="1" s="11">
      <c r="A46" s="18" t="n">
        <v>31</v>
      </c>
      <c r="B46" s="56" t="inlineStr">
        <is>
          <t>00003-MSC</t>
        </is>
      </c>
      <c r="C46" s="56">
        <f>IFERROR(_xlfn.XLOOKUP(PRODUCTOS[[#This Row],[CODIGO]],LISTADO[CODIGOS],LISTADO[CATEGORIA]),"NO EXISTE")</f>
        <v/>
      </c>
      <c r="D46" s="56">
        <f>IFERROR(_xlfn.XLOOKUP(PRODUCTOS[[#This Row],[CODIGO]],LISTADO[CODIGOS],LISTADO[PRODUCTOS]),"NO EXISTE")</f>
        <v/>
      </c>
      <c r="E46" s="56">
        <f>IFERROR(_xlfn.XLOOKUP(PRODUCTOS[[#This Row],[CODIGO]],LISTADO[CODIGOS],LISTADO[UBICACIÓN]),"NO EXISTE")</f>
        <v/>
      </c>
      <c r="F46" s="56">
        <f>SUMIFS(ENTRADAS[CANTIDAD],ENTRADAS[CODIGO],PRODUCTOS[[#This Row],[CODIGO]])</f>
        <v/>
      </c>
      <c r="G46" s="56">
        <f>SUMIFS(SALIDAS[CANTIDAD],SALIDAS[CODIGO],PRODUCTOS[[#This Row],[CODIGO]])</f>
        <v/>
      </c>
      <c r="H46" s="56">
        <f>PRODUCTOS[[#This Row],[ENTRADAS]]-PRODUCTOS[[#This Row],[SALIDAS ]]</f>
        <v/>
      </c>
      <c r="I46" s="76" t="n">
        <v>0</v>
      </c>
      <c r="J46">
        <f>IF(PRODUCTOS[[#This Row],[STOCK]]&lt;0,"NEGATIVO",IF(PRODUCTOS[[#This Row],[STOCK]]=0,"SIN STOCK",IF(PRODUCTOS[[#This Row],[STOCK]]&lt;=PRODUCTOS[[#This Row],[STOCK MÍN.]],"BAJO","OK")))</f>
        <v/>
      </c>
      <c r="K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7" hidden="1" s="11">
      <c r="A47" s="18" t="n">
        <v>32</v>
      </c>
      <c r="B47" s="56" t="inlineStr">
        <is>
          <t>00005-OFC</t>
        </is>
      </c>
      <c r="C47" s="56">
        <f>IFERROR(_xlfn.XLOOKUP(PRODUCTOS[[#This Row],[CODIGO]],LISTADO[CODIGOS],LISTADO[CATEGORIA]),"NO EXISTE")</f>
        <v/>
      </c>
      <c r="D47" s="56">
        <f>IFERROR(_xlfn.XLOOKUP(PRODUCTOS[[#This Row],[CODIGO]],LISTADO[CODIGOS],LISTADO[PRODUCTOS]),"NO EXISTE")</f>
        <v/>
      </c>
      <c r="E47" s="56">
        <f>IFERROR(_xlfn.XLOOKUP(PRODUCTOS[[#This Row],[CODIGO]],LISTADO[CODIGOS],LISTADO[UBICACIÓN]),"NO EXISTE")</f>
        <v/>
      </c>
      <c r="F47" s="56">
        <f>SUMIFS(ENTRADAS[CANTIDAD],ENTRADAS[CODIGO],PRODUCTOS[[#This Row],[CODIGO]])</f>
        <v/>
      </c>
      <c r="G47" s="56">
        <f>SUMIFS(SALIDAS[CANTIDAD],SALIDAS[CODIGO],PRODUCTOS[[#This Row],[CODIGO]])</f>
        <v/>
      </c>
      <c r="H47" s="56">
        <f>PRODUCTOS[[#This Row],[ENTRADAS]]-PRODUCTOS[[#This Row],[SALIDAS ]]</f>
        <v/>
      </c>
      <c r="I47" s="76" t="n">
        <v>0</v>
      </c>
      <c r="J47">
        <f>IF(PRODUCTOS[[#This Row],[STOCK]]&lt;0,"NEGATIVO",IF(PRODUCTOS[[#This Row],[STOCK]]=0,"SIN STOCK",IF(PRODUCTOS[[#This Row],[STOCK]]&lt;=PRODUCTOS[[#This Row],[STOCK MÍN.]],"BAJO","OK")))</f>
        <v/>
      </c>
      <c r="K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8" hidden="1" s="11">
      <c r="A48" s="18" t="n">
        <v>33</v>
      </c>
      <c r="B48" s="56" t="inlineStr">
        <is>
          <t>00006-OFC</t>
        </is>
      </c>
      <c r="C48" s="56">
        <f>IFERROR(_xlfn.XLOOKUP(PRODUCTOS[[#This Row],[CODIGO]],LISTADO[CODIGOS],LISTADO[CATEGORIA]),"NO EXISTE")</f>
        <v/>
      </c>
      <c r="D48" s="56">
        <f>IFERROR(_xlfn.XLOOKUP(PRODUCTOS[[#This Row],[CODIGO]],LISTADO[CODIGOS],LISTADO[PRODUCTOS]),"NO EXISTE")</f>
        <v/>
      </c>
      <c r="E48" s="56">
        <f>IFERROR(_xlfn.XLOOKUP(PRODUCTOS[[#This Row],[CODIGO]],LISTADO[CODIGOS],LISTADO[UBICACIÓN]),"NO EXISTE")</f>
        <v/>
      </c>
      <c r="F48" s="56">
        <f>SUMIFS(ENTRADAS[CANTIDAD],ENTRADAS[CODIGO],PRODUCTOS[[#This Row],[CODIGO]])</f>
        <v/>
      </c>
      <c r="G48" s="56">
        <f>SUMIFS(SALIDAS[CANTIDAD],SALIDAS[CODIGO],PRODUCTOS[[#This Row],[CODIGO]])</f>
        <v/>
      </c>
      <c r="H48" s="56">
        <f>PRODUCTOS[[#This Row],[ENTRADAS]]-PRODUCTOS[[#This Row],[SALIDAS ]]</f>
        <v/>
      </c>
      <c r="I48" s="76" t="n">
        <v>0</v>
      </c>
      <c r="J48">
        <f>IF(PRODUCTOS[[#This Row],[STOCK]]&lt;0,"NEGATIVO",IF(PRODUCTOS[[#This Row],[STOCK]]=0,"SIN STOCK",IF(PRODUCTOS[[#This Row],[STOCK]]&lt;=PRODUCTOS[[#This Row],[STOCK MÍN.]],"BAJO","OK")))</f>
        <v/>
      </c>
      <c r="K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9" hidden="1" s="11">
      <c r="A49" s="18" t="n">
        <v>34</v>
      </c>
      <c r="B49" s="56" t="inlineStr">
        <is>
          <t>00009-FER</t>
        </is>
      </c>
      <c r="C49" s="56">
        <f>IFERROR(_xlfn.XLOOKUP(PRODUCTOS[[#This Row],[CODIGO]],LISTADO[CODIGOS],LISTADO[CATEGORIA]),"NO EXISTE")</f>
        <v/>
      </c>
      <c r="D49" s="56">
        <f>IFERROR(_xlfn.XLOOKUP(PRODUCTOS[[#This Row],[CODIGO]],LISTADO[CODIGOS],LISTADO[PRODUCTOS]),"NO EXISTE")</f>
        <v/>
      </c>
      <c r="E49" s="56">
        <f>IFERROR(_xlfn.XLOOKUP(PRODUCTOS[[#This Row],[CODIGO]],LISTADO[CODIGOS],LISTADO[UBICACIÓN]),"NO EXISTE")</f>
        <v/>
      </c>
      <c r="F49" s="56">
        <f>SUMIFS(ENTRADAS[CANTIDAD],ENTRADAS[CODIGO],PRODUCTOS[[#This Row],[CODIGO]])</f>
        <v/>
      </c>
      <c r="G49" s="56">
        <f>SUMIFS(SALIDAS[CANTIDAD],SALIDAS[CODIGO],PRODUCTOS[[#This Row],[CODIGO]])</f>
        <v/>
      </c>
      <c r="H49" s="56">
        <f>PRODUCTOS[[#This Row],[ENTRADAS]]-PRODUCTOS[[#This Row],[SALIDAS ]]</f>
        <v/>
      </c>
      <c r="I49" s="76" t="n">
        <v>0</v>
      </c>
      <c r="J49">
        <f>IF(PRODUCTOS[[#This Row],[STOCK]]&lt;0,"NEGATIVO",IF(PRODUCTOS[[#This Row],[STOCK]]=0,"SIN STOCK",IF(PRODUCTOS[[#This Row],[STOCK]]&lt;=PRODUCTOS[[#This Row],[STOCK MÍN.]],"BAJO","OK")))</f>
        <v/>
      </c>
      <c r="K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0" hidden="1" s="11">
      <c r="A50" s="18" t="n">
        <v>35</v>
      </c>
      <c r="B50" s="56" t="inlineStr">
        <is>
          <t>00010-FER</t>
        </is>
      </c>
      <c r="C50" s="56">
        <f>IFERROR(_xlfn.XLOOKUP(PRODUCTOS[[#This Row],[CODIGO]],LISTADO[CODIGOS],LISTADO[CATEGORIA]),"NO EXISTE")</f>
        <v/>
      </c>
      <c r="D50" s="56">
        <f>IFERROR(_xlfn.XLOOKUP(PRODUCTOS[[#This Row],[CODIGO]],LISTADO[CODIGOS],LISTADO[PRODUCTOS]),"NO EXISTE")</f>
        <v/>
      </c>
      <c r="E50" s="56">
        <f>IFERROR(_xlfn.XLOOKUP(PRODUCTOS[[#This Row],[CODIGO]],LISTADO[CODIGOS],LISTADO[UBICACIÓN]),"NO EXISTE")</f>
        <v/>
      </c>
      <c r="F50" s="56">
        <f>SUMIFS(ENTRADAS[CANTIDAD],ENTRADAS[CODIGO],PRODUCTOS[[#This Row],[CODIGO]])</f>
        <v/>
      </c>
      <c r="G50" s="56">
        <f>SUMIFS(SALIDAS[CANTIDAD],SALIDAS[CODIGO],PRODUCTOS[[#This Row],[CODIGO]])</f>
        <v/>
      </c>
      <c r="H50" s="56">
        <f>PRODUCTOS[[#This Row],[ENTRADAS]]-PRODUCTOS[[#This Row],[SALIDAS ]]</f>
        <v/>
      </c>
      <c r="I50" s="76" t="n">
        <v>0</v>
      </c>
      <c r="J50">
        <f>IF(PRODUCTOS[[#This Row],[STOCK]]&lt;0,"NEGATIVO",IF(PRODUCTOS[[#This Row],[STOCK]]=0,"SIN STOCK",IF(PRODUCTOS[[#This Row],[STOCK]]&lt;=PRODUCTOS[[#This Row],[STOCK MÍN.]],"BAJO","OK")))</f>
        <v/>
      </c>
      <c r="K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1" hidden="1" s="11">
      <c r="A51" s="18" t="n">
        <v>36</v>
      </c>
      <c r="B51" s="56" t="inlineStr">
        <is>
          <t>00011-FER</t>
        </is>
      </c>
      <c r="C51" s="56">
        <f>IFERROR(_xlfn.XLOOKUP(PRODUCTOS[[#This Row],[CODIGO]],LISTADO[CODIGOS],LISTADO[CATEGORIA]),"NO EXISTE")</f>
        <v/>
      </c>
      <c r="D51" s="56">
        <f>IFERROR(_xlfn.XLOOKUP(PRODUCTOS[[#This Row],[CODIGO]],LISTADO[CODIGOS],LISTADO[PRODUCTOS]),"NO EXISTE")</f>
        <v/>
      </c>
      <c r="E51" s="56">
        <f>IFERROR(_xlfn.XLOOKUP(PRODUCTOS[[#This Row],[CODIGO]],LISTADO[CODIGOS],LISTADO[UBICACIÓN]),"NO EXISTE")</f>
        <v/>
      </c>
      <c r="F51" s="56">
        <f>SUMIFS(ENTRADAS[CANTIDAD],ENTRADAS[CODIGO],PRODUCTOS[[#This Row],[CODIGO]])</f>
        <v/>
      </c>
      <c r="G51" s="56">
        <f>SUMIFS(SALIDAS[CANTIDAD],SALIDAS[CODIGO],PRODUCTOS[[#This Row],[CODIGO]])</f>
        <v/>
      </c>
      <c r="H51" s="56">
        <f>PRODUCTOS[[#This Row],[ENTRADAS]]-PRODUCTOS[[#This Row],[SALIDAS ]]</f>
        <v/>
      </c>
      <c r="I51" s="76" t="n">
        <v>0</v>
      </c>
      <c r="J51">
        <f>IF(PRODUCTOS[[#This Row],[STOCK]]&lt;0,"NEGATIVO",IF(PRODUCTOS[[#This Row],[STOCK]]=0,"SIN STOCK",IF(PRODUCTOS[[#This Row],[STOCK]]&lt;=PRODUCTOS[[#This Row],[STOCK MÍN.]],"BAJO","OK")))</f>
        <v/>
      </c>
      <c r="K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2" hidden="1" s="11">
      <c r="A52" s="18" t="n">
        <v>37</v>
      </c>
      <c r="B52" s="56" t="inlineStr">
        <is>
          <t>00012-FER</t>
        </is>
      </c>
      <c r="C52" s="56">
        <f>IFERROR(_xlfn.XLOOKUP(PRODUCTOS[[#This Row],[CODIGO]],LISTADO[CODIGOS],LISTADO[CATEGORIA]),"NO EXISTE")</f>
        <v/>
      </c>
      <c r="D52" s="56">
        <f>IFERROR(_xlfn.XLOOKUP(PRODUCTOS[[#This Row],[CODIGO]],LISTADO[CODIGOS],LISTADO[PRODUCTOS]),"NO EXISTE")</f>
        <v/>
      </c>
      <c r="E52" s="56">
        <f>IFERROR(_xlfn.XLOOKUP(PRODUCTOS[[#This Row],[CODIGO]],LISTADO[CODIGOS],LISTADO[UBICACIÓN]),"NO EXISTE")</f>
        <v/>
      </c>
      <c r="F52" s="56">
        <f>SUMIFS(ENTRADAS[CANTIDAD],ENTRADAS[CODIGO],PRODUCTOS[[#This Row],[CODIGO]])</f>
        <v/>
      </c>
      <c r="G52" s="56">
        <f>SUMIFS(SALIDAS[CANTIDAD],SALIDAS[CODIGO],PRODUCTOS[[#This Row],[CODIGO]])</f>
        <v/>
      </c>
      <c r="H52" s="56">
        <f>PRODUCTOS[[#This Row],[ENTRADAS]]-PRODUCTOS[[#This Row],[SALIDAS ]]</f>
        <v/>
      </c>
      <c r="I52" s="76" t="n">
        <v>0</v>
      </c>
      <c r="J52">
        <f>IF(PRODUCTOS[[#This Row],[STOCK]]&lt;0,"NEGATIVO",IF(PRODUCTOS[[#This Row],[STOCK]]=0,"SIN STOCK",IF(PRODUCTOS[[#This Row],[STOCK]]&lt;=PRODUCTOS[[#This Row],[STOCK MÍN.]],"BAJO","OK")))</f>
        <v/>
      </c>
      <c r="K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3" hidden="1" s="11">
      <c r="A53" s="18" t="n">
        <v>38</v>
      </c>
      <c r="B53" s="56" t="inlineStr">
        <is>
          <t>00007-OFC</t>
        </is>
      </c>
      <c r="C53" s="56">
        <f>IFERROR(_xlfn.XLOOKUP(PRODUCTOS[[#This Row],[CODIGO]],LISTADO[CODIGOS],LISTADO[CATEGORIA]),"NO EXISTE")</f>
        <v/>
      </c>
      <c r="D53" s="56">
        <f>IFERROR(_xlfn.XLOOKUP(PRODUCTOS[[#This Row],[CODIGO]],LISTADO[CODIGOS],LISTADO[PRODUCTOS]),"NO EXISTE")</f>
        <v/>
      </c>
      <c r="E53" s="56">
        <f>IFERROR(_xlfn.XLOOKUP(PRODUCTOS[[#This Row],[CODIGO]],LISTADO[CODIGOS],LISTADO[UBICACIÓN]),"NO EXISTE")</f>
        <v/>
      </c>
      <c r="F53" s="56">
        <f>SUMIFS(ENTRADAS[CANTIDAD],ENTRADAS[CODIGO],PRODUCTOS[[#This Row],[CODIGO]])</f>
        <v/>
      </c>
      <c r="G53" s="56">
        <f>SUMIFS(SALIDAS[CANTIDAD],SALIDAS[CODIGO],PRODUCTOS[[#This Row],[CODIGO]])</f>
        <v/>
      </c>
      <c r="H53" s="56">
        <f>PRODUCTOS[[#This Row],[ENTRADAS]]-PRODUCTOS[[#This Row],[SALIDAS ]]</f>
        <v/>
      </c>
      <c r="I53" s="76" t="n">
        <v>0</v>
      </c>
      <c r="J53">
        <f>IF(PRODUCTOS[[#This Row],[STOCK]]&lt;0,"NEGATIVO",IF(PRODUCTOS[[#This Row],[STOCK]]=0,"SIN STOCK",IF(PRODUCTOS[[#This Row],[STOCK]]&lt;=PRODUCTOS[[#This Row],[STOCK MÍN.]],"BAJO","OK")))</f>
        <v/>
      </c>
      <c r="K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4" hidden="1" s="11">
      <c r="A54" s="18" t="n">
        <v>39</v>
      </c>
      <c r="B54" s="56" t="inlineStr">
        <is>
          <t>00003-ELC</t>
        </is>
      </c>
      <c r="C54" s="56">
        <f>IFERROR(_xlfn.XLOOKUP(PRODUCTOS[[#This Row],[CODIGO]],LISTADO[CODIGOS],LISTADO[CATEGORIA]),"NO EXISTE")</f>
        <v/>
      </c>
      <c r="D54" s="56">
        <f>IFERROR(_xlfn.XLOOKUP(PRODUCTOS[[#This Row],[CODIGO]],LISTADO[CODIGOS],LISTADO[PRODUCTOS]),"NO EXISTE")</f>
        <v/>
      </c>
      <c r="E54" s="56">
        <f>IFERROR(_xlfn.XLOOKUP(PRODUCTOS[[#This Row],[CODIGO]],LISTADO[CODIGOS],LISTADO[UBICACIÓN]),"NO EXISTE")</f>
        <v/>
      </c>
      <c r="F54" s="56">
        <f>SUMIFS(ENTRADAS[CANTIDAD],ENTRADAS[CODIGO],PRODUCTOS[[#This Row],[CODIGO]])</f>
        <v/>
      </c>
      <c r="G54" s="56">
        <f>SUMIFS(SALIDAS[CANTIDAD],SALIDAS[CODIGO],PRODUCTOS[[#This Row],[CODIGO]])</f>
        <v/>
      </c>
      <c r="H54" s="56">
        <f>PRODUCTOS[[#This Row],[ENTRADAS]]-PRODUCTOS[[#This Row],[SALIDAS ]]</f>
        <v/>
      </c>
      <c r="I54" s="76" t="n">
        <v>0</v>
      </c>
      <c r="J54">
        <f>IF(PRODUCTOS[[#This Row],[STOCK]]&lt;0,"NEGATIVO",IF(PRODUCTOS[[#This Row],[STOCK]]=0,"SIN STOCK",IF(PRODUCTOS[[#This Row],[STOCK]]&lt;=PRODUCTOS[[#This Row],[STOCK MÍN.]],"BAJO","OK")))</f>
        <v/>
      </c>
      <c r="K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5" hidden="1" s="11">
      <c r="A55" s="18" t="n">
        <v>40</v>
      </c>
      <c r="B55" s="56" t="inlineStr">
        <is>
          <t>00013-FER</t>
        </is>
      </c>
      <c r="C55" s="56">
        <f>IFERROR(_xlfn.XLOOKUP(PRODUCTOS[[#This Row],[CODIGO]],LISTADO[CODIGOS],LISTADO[CATEGORIA]),"NO EXISTE")</f>
        <v/>
      </c>
      <c r="D55" s="56">
        <f>IFERROR(_xlfn.XLOOKUP(PRODUCTOS[[#This Row],[CODIGO]],LISTADO[CODIGOS],LISTADO[PRODUCTOS]),"NO EXISTE")</f>
        <v/>
      </c>
      <c r="E55" s="56">
        <f>IFERROR(_xlfn.XLOOKUP(PRODUCTOS[[#This Row],[CODIGO]],LISTADO[CODIGOS],LISTADO[UBICACIÓN]),"NO EXISTE")</f>
        <v/>
      </c>
      <c r="F55" s="56">
        <f>SUMIFS(ENTRADAS[CANTIDAD],ENTRADAS[CODIGO],PRODUCTOS[[#This Row],[CODIGO]])</f>
        <v/>
      </c>
      <c r="G55" s="56">
        <f>SUMIFS(SALIDAS[CANTIDAD],SALIDAS[CODIGO],PRODUCTOS[[#This Row],[CODIGO]])</f>
        <v/>
      </c>
      <c r="H55" s="56">
        <f>PRODUCTOS[[#This Row],[ENTRADAS]]-PRODUCTOS[[#This Row],[SALIDAS ]]</f>
        <v/>
      </c>
      <c r="I55" s="76" t="n">
        <v>0</v>
      </c>
      <c r="J55">
        <f>IF(PRODUCTOS[[#This Row],[STOCK]]&lt;0,"NEGATIVO",IF(PRODUCTOS[[#This Row],[STOCK]]=0,"SIN STOCK",IF(PRODUCTOS[[#This Row],[STOCK]]&lt;=PRODUCTOS[[#This Row],[STOCK MÍN.]],"BAJO","OK")))</f>
        <v/>
      </c>
      <c r="K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6" hidden="1" s="11">
      <c r="A56" s="18" t="n">
        <v>41</v>
      </c>
      <c r="B56" s="56" t="inlineStr">
        <is>
          <t>00014-FER</t>
        </is>
      </c>
      <c r="C56" s="56">
        <f>IFERROR(_xlfn.XLOOKUP(PRODUCTOS[[#This Row],[CODIGO]],LISTADO[CODIGOS],LISTADO[CATEGORIA]),"NO EXISTE")</f>
        <v/>
      </c>
      <c r="D56" s="56">
        <f>IFERROR(_xlfn.XLOOKUP(PRODUCTOS[[#This Row],[CODIGO]],LISTADO[CODIGOS],LISTADO[PRODUCTOS]),"NO EXISTE")</f>
        <v/>
      </c>
      <c r="E56" s="56">
        <f>IFERROR(_xlfn.XLOOKUP(PRODUCTOS[[#This Row],[CODIGO]],LISTADO[CODIGOS],LISTADO[UBICACIÓN]),"NO EXISTE")</f>
        <v/>
      </c>
      <c r="F56" s="56">
        <f>SUMIFS(ENTRADAS[CANTIDAD],ENTRADAS[CODIGO],PRODUCTOS[[#This Row],[CODIGO]])</f>
        <v/>
      </c>
      <c r="G56" s="56">
        <f>SUMIFS(SALIDAS[CANTIDAD],SALIDAS[CODIGO],PRODUCTOS[[#This Row],[CODIGO]])</f>
        <v/>
      </c>
      <c r="H56" s="56">
        <f>PRODUCTOS[[#This Row],[ENTRADAS]]-PRODUCTOS[[#This Row],[SALIDAS ]]</f>
        <v/>
      </c>
      <c r="I56" s="76" t="n">
        <v>0</v>
      </c>
      <c r="J56">
        <f>IF(PRODUCTOS[[#This Row],[STOCK]]&lt;0,"NEGATIVO",IF(PRODUCTOS[[#This Row],[STOCK]]=0,"SIN STOCK",IF(PRODUCTOS[[#This Row],[STOCK]]&lt;=PRODUCTOS[[#This Row],[STOCK MÍN.]],"BAJO","OK")))</f>
        <v/>
      </c>
      <c r="K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7" hidden="1" s="11">
      <c r="A57" s="18" t="n">
        <v>42</v>
      </c>
      <c r="B57" s="56" t="inlineStr">
        <is>
          <t>00015-FER</t>
        </is>
      </c>
      <c r="C57" s="56">
        <f>IFERROR(_xlfn.XLOOKUP(PRODUCTOS[[#This Row],[CODIGO]],LISTADO[CODIGOS],LISTADO[CATEGORIA]),"NO EXISTE")</f>
        <v/>
      </c>
      <c r="D57" s="56">
        <f>IFERROR(_xlfn.XLOOKUP(PRODUCTOS[[#This Row],[CODIGO]],LISTADO[CODIGOS],LISTADO[PRODUCTOS]),"NO EXISTE")</f>
        <v/>
      </c>
      <c r="E57" s="56">
        <f>IFERROR(_xlfn.XLOOKUP(PRODUCTOS[[#This Row],[CODIGO]],LISTADO[CODIGOS],LISTADO[UBICACIÓN]),"NO EXISTE")</f>
        <v/>
      </c>
      <c r="F57" s="56">
        <f>SUMIFS(ENTRADAS[CANTIDAD],ENTRADAS[CODIGO],PRODUCTOS[[#This Row],[CODIGO]])</f>
        <v/>
      </c>
      <c r="G57" s="56">
        <f>SUMIFS(SALIDAS[CANTIDAD],SALIDAS[CODIGO],PRODUCTOS[[#This Row],[CODIGO]])</f>
        <v/>
      </c>
      <c r="H57" s="56">
        <f>PRODUCTOS[[#This Row],[ENTRADAS]]-PRODUCTOS[[#This Row],[SALIDAS ]]</f>
        <v/>
      </c>
      <c r="I57" s="76" t="n">
        <v>0</v>
      </c>
      <c r="J57">
        <f>IF(PRODUCTOS[[#This Row],[STOCK]]&lt;0,"NEGATIVO",IF(PRODUCTOS[[#This Row],[STOCK]]=0,"SIN STOCK",IF(PRODUCTOS[[#This Row],[STOCK]]&lt;=PRODUCTOS[[#This Row],[STOCK MÍN.]],"BAJO","OK")))</f>
        <v/>
      </c>
      <c r="K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8" hidden="1" s="11">
      <c r="A58" s="18" t="n">
        <v>43</v>
      </c>
      <c r="B58" s="56" t="inlineStr">
        <is>
          <t>00016-FER</t>
        </is>
      </c>
      <c r="C58" s="56">
        <f>IFERROR(_xlfn.XLOOKUP(PRODUCTOS[[#This Row],[CODIGO]],LISTADO[CODIGOS],LISTADO[CATEGORIA]),"NO EXISTE")</f>
        <v/>
      </c>
      <c r="D58" s="56">
        <f>IFERROR(_xlfn.XLOOKUP(PRODUCTOS[[#This Row],[CODIGO]],LISTADO[CODIGOS],LISTADO[PRODUCTOS]),"NO EXISTE")</f>
        <v/>
      </c>
      <c r="E58" s="56">
        <f>IFERROR(_xlfn.XLOOKUP(PRODUCTOS[[#This Row],[CODIGO]],LISTADO[CODIGOS],LISTADO[UBICACIÓN]),"NO EXISTE")</f>
        <v/>
      </c>
      <c r="F58" s="56">
        <f>SUMIFS(ENTRADAS[CANTIDAD],ENTRADAS[CODIGO],PRODUCTOS[[#This Row],[CODIGO]])</f>
        <v/>
      </c>
      <c r="G58" s="56">
        <f>SUMIFS(SALIDAS[CANTIDAD],SALIDAS[CODIGO],PRODUCTOS[[#This Row],[CODIGO]])</f>
        <v/>
      </c>
      <c r="H58" s="56">
        <f>PRODUCTOS[[#This Row],[ENTRADAS]]-PRODUCTOS[[#This Row],[SALIDAS ]]</f>
        <v/>
      </c>
      <c r="I58" s="76" t="n">
        <v>0</v>
      </c>
      <c r="J58">
        <f>IF(PRODUCTOS[[#This Row],[STOCK]]&lt;0,"NEGATIVO",IF(PRODUCTOS[[#This Row],[STOCK]]=0,"SIN STOCK",IF(PRODUCTOS[[#This Row],[STOCK]]&lt;=PRODUCTOS[[#This Row],[STOCK MÍN.]],"BAJO","OK")))</f>
        <v/>
      </c>
      <c r="K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9" hidden="1" s="11">
      <c r="A59" s="18" t="n">
        <v>44</v>
      </c>
      <c r="B59" s="56" t="inlineStr">
        <is>
          <t>00017-FER</t>
        </is>
      </c>
      <c r="C59" s="56">
        <f>IFERROR(_xlfn.XLOOKUP(PRODUCTOS[[#This Row],[CODIGO]],LISTADO[CODIGOS],LISTADO[CATEGORIA]),"NO EXISTE")</f>
        <v/>
      </c>
      <c r="D59" s="56">
        <f>IFERROR(_xlfn.XLOOKUP(PRODUCTOS[[#This Row],[CODIGO]],LISTADO[CODIGOS],LISTADO[PRODUCTOS]),"NO EXISTE")</f>
        <v/>
      </c>
      <c r="E59" s="56">
        <f>IFERROR(_xlfn.XLOOKUP(PRODUCTOS[[#This Row],[CODIGO]],LISTADO[CODIGOS],LISTADO[UBICACIÓN]),"NO EXISTE")</f>
        <v/>
      </c>
      <c r="F59" s="56">
        <f>SUMIFS(ENTRADAS[CANTIDAD],ENTRADAS[CODIGO],PRODUCTOS[[#This Row],[CODIGO]])</f>
        <v/>
      </c>
      <c r="G59" s="56">
        <f>SUMIFS(SALIDAS[CANTIDAD],SALIDAS[CODIGO],PRODUCTOS[[#This Row],[CODIGO]])</f>
        <v/>
      </c>
      <c r="H59" s="56">
        <f>PRODUCTOS[[#This Row],[ENTRADAS]]-PRODUCTOS[[#This Row],[SALIDAS ]]</f>
        <v/>
      </c>
      <c r="I59" s="76" t="n">
        <v>0</v>
      </c>
      <c r="J59">
        <f>IF(PRODUCTOS[[#This Row],[STOCK]]&lt;0,"NEGATIVO",IF(PRODUCTOS[[#This Row],[STOCK]]=0,"SIN STOCK",IF(PRODUCTOS[[#This Row],[STOCK]]&lt;=PRODUCTOS[[#This Row],[STOCK MÍN.]],"BAJO","OK")))</f>
        <v/>
      </c>
      <c r="K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0" hidden="1" s="11">
      <c r="A60" s="18" t="n">
        <v>45</v>
      </c>
      <c r="B60" s="56" t="inlineStr">
        <is>
          <t>00018-FER</t>
        </is>
      </c>
      <c r="C60" s="56">
        <f>IFERROR(_xlfn.XLOOKUP(PRODUCTOS[[#This Row],[CODIGO]],LISTADO[CODIGOS],LISTADO[CATEGORIA]),"NO EXISTE")</f>
        <v/>
      </c>
      <c r="D60" s="56">
        <f>IFERROR(_xlfn.XLOOKUP(PRODUCTOS[[#This Row],[CODIGO]],LISTADO[CODIGOS],LISTADO[PRODUCTOS]),"NO EXISTE")</f>
        <v/>
      </c>
      <c r="E60" s="56">
        <f>IFERROR(_xlfn.XLOOKUP(PRODUCTOS[[#This Row],[CODIGO]],LISTADO[CODIGOS],LISTADO[UBICACIÓN]),"NO EXISTE")</f>
        <v/>
      </c>
      <c r="F60" s="56">
        <f>SUMIFS(ENTRADAS[CANTIDAD],ENTRADAS[CODIGO],PRODUCTOS[[#This Row],[CODIGO]])</f>
        <v/>
      </c>
      <c r="G60" s="56">
        <f>SUMIFS(SALIDAS[CANTIDAD],SALIDAS[CODIGO],PRODUCTOS[[#This Row],[CODIGO]])</f>
        <v/>
      </c>
      <c r="H60" s="56">
        <f>PRODUCTOS[[#This Row],[ENTRADAS]]-PRODUCTOS[[#This Row],[SALIDAS ]]</f>
        <v/>
      </c>
      <c r="I60" s="76" t="n">
        <v>0</v>
      </c>
      <c r="J60">
        <f>IF(PRODUCTOS[[#This Row],[STOCK]]&lt;0,"NEGATIVO",IF(PRODUCTOS[[#This Row],[STOCK]]=0,"SIN STOCK",IF(PRODUCTOS[[#This Row],[STOCK]]&lt;=PRODUCTOS[[#This Row],[STOCK MÍN.]],"BAJO","OK")))</f>
        <v/>
      </c>
      <c r="K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1" hidden="1" s="11">
      <c r="A61" s="18" t="n">
        <v>46</v>
      </c>
      <c r="B61" s="56" t="inlineStr">
        <is>
          <t>00008-OFC</t>
        </is>
      </c>
      <c r="C61" s="56">
        <f>IFERROR(_xlfn.XLOOKUP(PRODUCTOS[[#This Row],[CODIGO]],LISTADO[CODIGOS],LISTADO[CATEGORIA]),"NO EXISTE")</f>
        <v/>
      </c>
      <c r="D61" s="56">
        <f>IFERROR(_xlfn.XLOOKUP(PRODUCTOS[[#This Row],[CODIGO]],LISTADO[CODIGOS],LISTADO[PRODUCTOS]),"NO EXISTE")</f>
        <v/>
      </c>
      <c r="E61" s="56">
        <f>IFERROR(_xlfn.XLOOKUP(PRODUCTOS[[#This Row],[CODIGO]],LISTADO[CODIGOS],LISTADO[UBICACIÓN]),"NO EXISTE")</f>
        <v/>
      </c>
      <c r="F61" s="56">
        <f>SUMIFS(ENTRADAS[CANTIDAD],ENTRADAS[CODIGO],PRODUCTOS[[#This Row],[CODIGO]])</f>
        <v/>
      </c>
      <c r="G61" s="56">
        <f>SUMIFS(SALIDAS[CANTIDAD],SALIDAS[CODIGO],PRODUCTOS[[#This Row],[CODIGO]])</f>
        <v/>
      </c>
      <c r="H61" s="56">
        <f>PRODUCTOS[[#This Row],[ENTRADAS]]-PRODUCTOS[[#This Row],[SALIDAS ]]</f>
        <v/>
      </c>
      <c r="I61" s="76" t="n">
        <v>0</v>
      </c>
      <c r="J61">
        <f>IF(PRODUCTOS[[#This Row],[STOCK]]&lt;0,"NEGATIVO",IF(PRODUCTOS[[#This Row],[STOCK]]=0,"SIN STOCK",IF(PRODUCTOS[[#This Row],[STOCK]]&lt;=PRODUCTOS[[#This Row],[STOCK MÍN.]],"BAJO","OK")))</f>
        <v/>
      </c>
      <c r="K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2" hidden="1" s="11">
      <c r="A62" s="18" t="n">
        <v>47</v>
      </c>
      <c r="B62" s="56" t="inlineStr">
        <is>
          <t>00009-OFC</t>
        </is>
      </c>
      <c r="C62" s="56">
        <f>IFERROR(_xlfn.XLOOKUP(PRODUCTOS[[#This Row],[CODIGO]],LISTADO[CODIGOS],LISTADO[CATEGORIA]),"NO EXISTE")</f>
        <v/>
      </c>
      <c r="D62" s="56">
        <f>IFERROR(_xlfn.XLOOKUP(PRODUCTOS[[#This Row],[CODIGO]],LISTADO[CODIGOS],LISTADO[PRODUCTOS]),"NO EXISTE")</f>
        <v/>
      </c>
      <c r="E62" s="56">
        <f>IFERROR(_xlfn.XLOOKUP(PRODUCTOS[[#This Row],[CODIGO]],LISTADO[CODIGOS],LISTADO[UBICACIÓN]),"NO EXISTE")</f>
        <v/>
      </c>
      <c r="F62" s="56">
        <f>SUMIFS(ENTRADAS[CANTIDAD],ENTRADAS[CODIGO],PRODUCTOS[[#This Row],[CODIGO]])</f>
        <v/>
      </c>
      <c r="G62" s="56">
        <f>SUMIFS(SALIDAS[CANTIDAD],SALIDAS[CODIGO],PRODUCTOS[[#This Row],[CODIGO]])</f>
        <v/>
      </c>
      <c r="H62" s="56">
        <f>PRODUCTOS[[#This Row],[ENTRADAS]]-PRODUCTOS[[#This Row],[SALIDAS ]]</f>
        <v/>
      </c>
      <c r="I62" s="76" t="n">
        <v>0</v>
      </c>
      <c r="J62">
        <f>IF(PRODUCTOS[[#This Row],[STOCK]]&lt;0,"NEGATIVO",IF(PRODUCTOS[[#This Row],[STOCK]]=0,"SIN STOCK",IF(PRODUCTOS[[#This Row],[STOCK]]&lt;=PRODUCTOS[[#This Row],[STOCK MÍN.]],"BAJO","OK")))</f>
        <v/>
      </c>
      <c r="K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3" hidden="1" s="11">
      <c r="A63" s="18" t="n">
        <v>48</v>
      </c>
      <c r="B63" s="56" t="inlineStr">
        <is>
          <t>00010-OFC</t>
        </is>
      </c>
      <c r="C63" s="56">
        <f>IFERROR(_xlfn.XLOOKUP(PRODUCTOS[[#This Row],[CODIGO]],LISTADO[CODIGOS],LISTADO[CATEGORIA]),"NO EXISTE")</f>
        <v/>
      </c>
      <c r="D63" s="56">
        <f>IFERROR(_xlfn.XLOOKUP(PRODUCTOS[[#This Row],[CODIGO]],LISTADO[CODIGOS],LISTADO[PRODUCTOS]),"NO EXISTE")</f>
        <v/>
      </c>
      <c r="E63" s="56">
        <f>IFERROR(_xlfn.XLOOKUP(PRODUCTOS[[#This Row],[CODIGO]],LISTADO[CODIGOS],LISTADO[UBICACIÓN]),"NO EXISTE")</f>
        <v/>
      </c>
      <c r="F63" s="56">
        <f>SUMIFS(ENTRADAS[CANTIDAD],ENTRADAS[CODIGO],PRODUCTOS[[#This Row],[CODIGO]])</f>
        <v/>
      </c>
      <c r="G63" s="56">
        <f>SUMIFS(SALIDAS[CANTIDAD],SALIDAS[CODIGO],PRODUCTOS[[#This Row],[CODIGO]])</f>
        <v/>
      </c>
      <c r="H63" s="56">
        <f>PRODUCTOS[[#This Row],[ENTRADAS]]-PRODUCTOS[[#This Row],[SALIDAS ]]</f>
        <v/>
      </c>
      <c r="I63" s="76" t="n">
        <v>0</v>
      </c>
      <c r="J63">
        <f>IF(PRODUCTOS[[#This Row],[STOCK]]&lt;0,"NEGATIVO",IF(PRODUCTOS[[#This Row],[STOCK]]=0,"SIN STOCK",IF(PRODUCTOS[[#This Row],[STOCK]]&lt;=PRODUCTOS[[#This Row],[STOCK MÍN.]],"BAJO","OK")))</f>
        <v/>
      </c>
      <c r="K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4" hidden="1" s="11">
      <c r="A64" s="18" t="n">
        <v>49</v>
      </c>
      <c r="B64" s="56" t="inlineStr">
        <is>
          <t>00011-OFC</t>
        </is>
      </c>
      <c r="C64" s="56">
        <f>IFERROR(_xlfn.XLOOKUP(PRODUCTOS[[#This Row],[CODIGO]],LISTADO[CODIGOS],LISTADO[CATEGORIA]),"NO EXISTE")</f>
        <v/>
      </c>
      <c r="D64" s="56">
        <f>IFERROR(_xlfn.XLOOKUP(PRODUCTOS[[#This Row],[CODIGO]],LISTADO[CODIGOS],LISTADO[PRODUCTOS]),"NO EXISTE")</f>
        <v/>
      </c>
      <c r="E64" s="56">
        <f>IFERROR(_xlfn.XLOOKUP(PRODUCTOS[[#This Row],[CODIGO]],LISTADO[CODIGOS],LISTADO[UBICACIÓN]),"NO EXISTE")</f>
        <v/>
      </c>
      <c r="F64" s="56">
        <f>SUMIFS(ENTRADAS[CANTIDAD],ENTRADAS[CODIGO],PRODUCTOS[[#This Row],[CODIGO]])</f>
        <v/>
      </c>
      <c r="G64" s="56">
        <f>SUMIFS(SALIDAS[CANTIDAD],SALIDAS[CODIGO],PRODUCTOS[[#This Row],[CODIGO]])</f>
        <v/>
      </c>
      <c r="H64" s="56">
        <f>PRODUCTOS[[#This Row],[ENTRADAS]]-PRODUCTOS[[#This Row],[SALIDAS ]]</f>
        <v/>
      </c>
      <c r="I64" s="76" t="n">
        <v>0</v>
      </c>
      <c r="J64">
        <f>IF(PRODUCTOS[[#This Row],[STOCK]]&lt;0,"NEGATIVO",IF(PRODUCTOS[[#This Row],[STOCK]]=0,"SIN STOCK",IF(PRODUCTOS[[#This Row],[STOCK]]&lt;=PRODUCTOS[[#This Row],[STOCK MÍN.]],"BAJO","OK")))</f>
        <v/>
      </c>
      <c r="K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5" hidden="1" s="11">
      <c r="A65" s="18" t="n">
        <v>50</v>
      </c>
      <c r="B65" s="56" t="inlineStr">
        <is>
          <t>00012-OFC</t>
        </is>
      </c>
      <c r="C65" s="56">
        <f>IFERROR(_xlfn.XLOOKUP(PRODUCTOS[[#This Row],[CODIGO]],LISTADO[CODIGOS],LISTADO[CATEGORIA]),"NO EXISTE")</f>
        <v/>
      </c>
      <c r="D65" s="56">
        <f>IFERROR(_xlfn.XLOOKUP(PRODUCTOS[[#This Row],[CODIGO]],LISTADO[CODIGOS],LISTADO[PRODUCTOS]),"NO EXISTE")</f>
        <v/>
      </c>
      <c r="E65" s="56">
        <f>IFERROR(_xlfn.XLOOKUP(PRODUCTOS[[#This Row],[CODIGO]],LISTADO[CODIGOS],LISTADO[UBICACIÓN]),"NO EXISTE")</f>
        <v/>
      </c>
      <c r="F65" s="56">
        <f>SUMIFS(ENTRADAS[CANTIDAD],ENTRADAS[CODIGO],PRODUCTOS[[#This Row],[CODIGO]])</f>
        <v/>
      </c>
      <c r="G65" s="56">
        <f>SUMIFS(SALIDAS[CANTIDAD],SALIDAS[CODIGO],PRODUCTOS[[#This Row],[CODIGO]])</f>
        <v/>
      </c>
      <c r="H65" s="56">
        <f>PRODUCTOS[[#This Row],[ENTRADAS]]-PRODUCTOS[[#This Row],[SALIDAS ]]</f>
        <v/>
      </c>
      <c r="I65" s="76" t="n">
        <v>0</v>
      </c>
      <c r="J65">
        <f>IF(PRODUCTOS[[#This Row],[STOCK]]&lt;0,"NEGATIVO",IF(PRODUCTOS[[#This Row],[STOCK]]=0,"SIN STOCK",IF(PRODUCTOS[[#This Row],[STOCK]]&lt;=PRODUCTOS[[#This Row],[STOCK MÍN.]],"BAJO","OK")))</f>
        <v/>
      </c>
      <c r="K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6" hidden="1" s="11">
      <c r="A66" s="18" t="n">
        <v>51</v>
      </c>
      <c r="B66" s="56" t="inlineStr">
        <is>
          <t>00005-HER</t>
        </is>
      </c>
      <c r="C66" s="56">
        <f>IFERROR(_xlfn.XLOOKUP(PRODUCTOS[[#This Row],[CODIGO]],LISTADO[CODIGOS],LISTADO[CATEGORIA]),"NO EXISTE")</f>
        <v/>
      </c>
      <c r="D66" s="56">
        <f>IFERROR(_xlfn.XLOOKUP(PRODUCTOS[[#This Row],[CODIGO]],LISTADO[CODIGOS],LISTADO[PRODUCTOS]),"NO EXISTE")</f>
        <v/>
      </c>
      <c r="E66" s="56">
        <f>IFERROR(_xlfn.XLOOKUP(PRODUCTOS[[#This Row],[CODIGO]],LISTADO[CODIGOS],LISTADO[UBICACIÓN]),"NO EXISTE")</f>
        <v/>
      </c>
      <c r="F66" s="56">
        <f>SUMIFS(ENTRADAS[CANTIDAD],ENTRADAS[CODIGO],PRODUCTOS[[#This Row],[CODIGO]])</f>
        <v/>
      </c>
      <c r="G66" s="56">
        <f>SUMIFS(SALIDAS[CANTIDAD],SALIDAS[CODIGO],PRODUCTOS[[#This Row],[CODIGO]])</f>
        <v/>
      </c>
      <c r="H66" s="56">
        <f>PRODUCTOS[[#This Row],[ENTRADAS]]-PRODUCTOS[[#This Row],[SALIDAS ]]</f>
        <v/>
      </c>
      <c r="I66" s="76" t="n">
        <v>0</v>
      </c>
      <c r="J66">
        <f>IF(PRODUCTOS[[#This Row],[STOCK]]&lt;0,"NEGATIVO",IF(PRODUCTOS[[#This Row],[STOCK]]=0,"SIN STOCK",IF(PRODUCTOS[[#This Row],[STOCK]]&lt;=PRODUCTOS[[#This Row],[STOCK MÍN.]],"BAJO","OK")))</f>
        <v/>
      </c>
      <c r="K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7" hidden="1" s="11">
      <c r="A67" s="18" t="n">
        <v>52</v>
      </c>
      <c r="B67" s="56" t="inlineStr">
        <is>
          <t>00006-REF</t>
        </is>
      </c>
      <c r="C67" s="56">
        <f>IFERROR(_xlfn.XLOOKUP(PRODUCTOS[[#This Row],[CODIGO]],LISTADO[CODIGOS],LISTADO[CATEGORIA]),"NO EXISTE")</f>
        <v/>
      </c>
      <c r="D67" s="56">
        <f>IFERROR(_xlfn.XLOOKUP(PRODUCTOS[[#This Row],[CODIGO]],LISTADO[CODIGOS],LISTADO[PRODUCTOS]),"NO EXISTE")</f>
        <v/>
      </c>
      <c r="E67" s="56">
        <f>IFERROR(_xlfn.XLOOKUP(PRODUCTOS[[#This Row],[CODIGO]],LISTADO[CODIGOS],LISTADO[UBICACIÓN]),"NO EXISTE")</f>
        <v/>
      </c>
      <c r="F67" s="56">
        <f>SUMIFS(ENTRADAS[CANTIDAD],ENTRADAS[CODIGO],PRODUCTOS[[#This Row],[CODIGO]])</f>
        <v/>
      </c>
      <c r="G67" s="56">
        <f>SUMIFS(SALIDAS[CANTIDAD],SALIDAS[CODIGO],PRODUCTOS[[#This Row],[CODIGO]])</f>
        <v/>
      </c>
      <c r="H67" s="56">
        <f>PRODUCTOS[[#This Row],[ENTRADAS]]-PRODUCTOS[[#This Row],[SALIDAS ]]</f>
        <v/>
      </c>
      <c r="I67" s="76" t="n">
        <v>0</v>
      </c>
      <c r="J67">
        <f>IF(PRODUCTOS[[#This Row],[STOCK]]&lt;0,"NEGATIVO",IF(PRODUCTOS[[#This Row],[STOCK]]=0,"SIN STOCK",IF(PRODUCTOS[[#This Row],[STOCK]]&lt;=PRODUCTOS[[#This Row],[STOCK MÍN.]],"BAJO","OK")))</f>
        <v/>
      </c>
      <c r="K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8" hidden="1" s="11">
      <c r="A68" s="18" t="n">
        <v>53</v>
      </c>
      <c r="B68" s="56" t="inlineStr">
        <is>
          <t>00007-REF</t>
        </is>
      </c>
      <c r="C68" s="56">
        <f>IFERROR(_xlfn.XLOOKUP(PRODUCTOS[[#This Row],[CODIGO]],LISTADO[CODIGOS],LISTADO[CATEGORIA]),"NO EXISTE")</f>
        <v/>
      </c>
      <c r="D68" s="56">
        <f>IFERROR(_xlfn.XLOOKUP(PRODUCTOS[[#This Row],[CODIGO]],LISTADO[CODIGOS],LISTADO[PRODUCTOS]),"NO EXISTE")</f>
        <v/>
      </c>
      <c r="E68" s="56">
        <f>IFERROR(_xlfn.XLOOKUP(PRODUCTOS[[#This Row],[CODIGO]],LISTADO[CODIGOS],LISTADO[UBICACIÓN]),"NO EXISTE")</f>
        <v/>
      </c>
      <c r="F68" s="56">
        <f>SUMIFS(ENTRADAS[CANTIDAD],ENTRADAS[CODIGO],PRODUCTOS[[#This Row],[CODIGO]])</f>
        <v/>
      </c>
      <c r="G68" s="56">
        <f>SUMIFS(SALIDAS[CANTIDAD],SALIDAS[CODIGO],PRODUCTOS[[#This Row],[CODIGO]])</f>
        <v/>
      </c>
      <c r="H68" s="56">
        <f>PRODUCTOS[[#This Row],[ENTRADAS]]-PRODUCTOS[[#This Row],[SALIDAS ]]</f>
        <v/>
      </c>
      <c r="I68" s="76" t="n">
        <v>0</v>
      </c>
      <c r="J68">
        <f>IF(PRODUCTOS[[#This Row],[STOCK]]&lt;0,"NEGATIVO",IF(PRODUCTOS[[#This Row],[STOCK]]=0,"SIN STOCK",IF(PRODUCTOS[[#This Row],[STOCK]]&lt;=PRODUCTOS[[#This Row],[STOCK MÍN.]],"BAJO","OK")))</f>
        <v/>
      </c>
      <c r="K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9" hidden="1" s="11">
      <c r="A69" s="18" t="n">
        <v>54</v>
      </c>
      <c r="B69" s="56" t="inlineStr">
        <is>
          <t>00008-REF</t>
        </is>
      </c>
      <c r="C69" s="56">
        <f>IFERROR(_xlfn.XLOOKUP(PRODUCTOS[[#This Row],[CODIGO]],LISTADO[CODIGOS],LISTADO[CATEGORIA]),"NO EXISTE")</f>
        <v/>
      </c>
      <c r="D69" s="56">
        <f>IFERROR(_xlfn.XLOOKUP(PRODUCTOS[[#This Row],[CODIGO]],LISTADO[CODIGOS],LISTADO[PRODUCTOS]),"NO EXISTE")</f>
        <v/>
      </c>
      <c r="E69" s="56">
        <f>IFERROR(_xlfn.XLOOKUP(PRODUCTOS[[#This Row],[CODIGO]],LISTADO[CODIGOS],LISTADO[UBICACIÓN]),"NO EXISTE")</f>
        <v/>
      </c>
      <c r="F69" s="56">
        <f>SUMIFS(ENTRADAS[CANTIDAD],ENTRADAS[CODIGO],PRODUCTOS[[#This Row],[CODIGO]])</f>
        <v/>
      </c>
      <c r="G69" s="56">
        <f>SUMIFS(SALIDAS[CANTIDAD],SALIDAS[CODIGO],PRODUCTOS[[#This Row],[CODIGO]])</f>
        <v/>
      </c>
      <c r="H69" s="56">
        <f>PRODUCTOS[[#This Row],[ENTRADAS]]-PRODUCTOS[[#This Row],[SALIDAS ]]</f>
        <v/>
      </c>
      <c r="I69" s="76" t="n">
        <v>0</v>
      </c>
      <c r="J69">
        <f>IF(PRODUCTOS[[#This Row],[STOCK]]&lt;0,"NEGATIVO",IF(PRODUCTOS[[#This Row],[STOCK]]=0,"SIN STOCK",IF(PRODUCTOS[[#This Row],[STOCK]]&lt;=PRODUCTOS[[#This Row],[STOCK MÍN.]],"BAJO","OK")))</f>
        <v/>
      </c>
      <c r="K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0" hidden="1" s="11">
      <c r="A70" s="18" t="n">
        <v>55</v>
      </c>
      <c r="B70" s="56" t="inlineStr">
        <is>
          <t>00004-ELC</t>
        </is>
      </c>
      <c r="C70" s="56">
        <f>IFERROR(_xlfn.XLOOKUP(PRODUCTOS[[#This Row],[CODIGO]],LISTADO[CODIGOS],LISTADO[CATEGORIA]),"NO EXISTE")</f>
        <v/>
      </c>
      <c r="D70" s="56">
        <f>IFERROR(_xlfn.XLOOKUP(PRODUCTOS[[#This Row],[CODIGO]],LISTADO[CODIGOS],LISTADO[PRODUCTOS]),"NO EXISTE")</f>
        <v/>
      </c>
      <c r="E70" s="56">
        <f>IFERROR(_xlfn.XLOOKUP(PRODUCTOS[[#This Row],[CODIGO]],LISTADO[CODIGOS],LISTADO[UBICACIÓN]),"NO EXISTE")</f>
        <v/>
      </c>
      <c r="F70" s="56">
        <f>SUMIFS(ENTRADAS[CANTIDAD],ENTRADAS[CODIGO],PRODUCTOS[[#This Row],[CODIGO]])</f>
        <v/>
      </c>
      <c r="G70" s="56">
        <f>SUMIFS(SALIDAS[CANTIDAD],SALIDAS[CODIGO],PRODUCTOS[[#This Row],[CODIGO]])</f>
        <v/>
      </c>
      <c r="H70" s="56">
        <f>PRODUCTOS[[#This Row],[ENTRADAS]]-PRODUCTOS[[#This Row],[SALIDAS ]]</f>
        <v/>
      </c>
      <c r="I70" s="76" t="n">
        <v>0</v>
      </c>
      <c r="J70">
        <f>IF(PRODUCTOS[[#This Row],[STOCK]]&lt;0,"NEGATIVO",IF(PRODUCTOS[[#This Row],[STOCK]]=0,"SIN STOCK",IF(PRODUCTOS[[#This Row],[STOCK]]&lt;=PRODUCTOS[[#This Row],[STOCK MÍN.]],"BAJO","OK")))</f>
        <v/>
      </c>
      <c r="K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1" hidden="1" s="11">
      <c r="A71" s="18" t="n">
        <v>56</v>
      </c>
      <c r="B71" s="56" t="inlineStr">
        <is>
          <t>00006-HER</t>
        </is>
      </c>
      <c r="C71" s="56">
        <f>IFERROR(_xlfn.XLOOKUP(PRODUCTOS[[#This Row],[CODIGO]],LISTADO[CODIGOS],LISTADO[CATEGORIA]),"NO EXISTE")</f>
        <v/>
      </c>
      <c r="D71" s="56">
        <f>IFERROR(_xlfn.XLOOKUP(PRODUCTOS[[#This Row],[CODIGO]],LISTADO[CODIGOS],LISTADO[PRODUCTOS]),"NO EXISTE")</f>
        <v/>
      </c>
      <c r="E71" s="56">
        <f>IFERROR(_xlfn.XLOOKUP(PRODUCTOS[[#This Row],[CODIGO]],LISTADO[CODIGOS],LISTADO[UBICACIÓN]),"NO EXISTE")</f>
        <v/>
      </c>
      <c r="F71" s="56">
        <f>SUMIFS(ENTRADAS[CANTIDAD],ENTRADAS[CODIGO],PRODUCTOS[[#This Row],[CODIGO]])</f>
        <v/>
      </c>
      <c r="G71" s="56">
        <f>SUMIFS(SALIDAS[CANTIDAD],SALIDAS[CODIGO],PRODUCTOS[[#This Row],[CODIGO]])</f>
        <v/>
      </c>
      <c r="H71" s="56">
        <f>PRODUCTOS[[#This Row],[ENTRADAS]]-PRODUCTOS[[#This Row],[SALIDAS ]]</f>
        <v/>
      </c>
      <c r="I71" s="76" t="n">
        <v>0</v>
      </c>
      <c r="J71">
        <f>IF(PRODUCTOS[[#This Row],[STOCK]]&lt;0,"NEGATIVO",IF(PRODUCTOS[[#This Row],[STOCK]]=0,"SIN STOCK",IF(PRODUCTOS[[#This Row],[STOCK]]&lt;=PRODUCTOS[[#This Row],[STOCK MÍN.]],"BAJO","OK")))</f>
        <v/>
      </c>
      <c r="K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2" hidden="1" s="11">
      <c r="A72" s="18" t="n">
        <v>557</v>
      </c>
      <c r="B72" s="56" t="inlineStr">
        <is>
          <t>00005-ELC</t>
        </is>
      </c>
      <c r="C72" s="56">
        <f>IFERROR(_xlfn.XLOOKUP(PRODUCTOS[[#This Row],[CODIGO]],LISTADO[CODIGOS],LISTADO[CATEGORIA]),"NO EXISTE")</f>
        <v/>
      </c>
      <c r="D72" s="56">
        <f>IFERROR(_xlfn.XLOOKUP(PRODUCTOS[[#This Row],[CODIGO]],LISTADO[CODIGOS],LISTADO[PRODUCTOS]),"NO EXISTE")</f>
        <v/>
      </c>
      <c r="E72" s="56">
        <f>IFERROR(_xlfn.XLOOKUP(PRODUCTOS[[#This Row],[CODIGO]],LISTADO[CODIGOS],LISTADO[UBICACIÓN]),"NO EXISTE")</f>
        <v/>
      </c>
      <c r="F72" s="56">
        <f>SUMIFS(ENTRADAS[CANTIDAD],ENTRADAS[CODIGO],PRODUCTOS[[#This Row],[CODIGO]])</f>
        <v/>
      </c>
      <c r="G72" s="56">
        <f>SUMIFS(SALIDAS[CANTIDAD],SALIDAS[CODIGO],PRODUCTOS[[#This Row],[CODIGO]])</f>
        <v/>
      </c>
      <c r="H72" s="56">
        <f>PRODUCTOS[[#This Row],[ENTRADAS]]-PRODUCTOS[[#This Row],[SALIDAS ]]</f>
        <v/>
      </c>
      <c r="I72" s="76" t="n">
        <v>0</v>
      </c>
      <c r="J72">
        <f>IF(PRODUCTOS[[#This Row],[STOCK]]&lt;0,"NEGATIVO",IF(PRODUCTOS[[#This Row],[STOCK]]=0,"SIN STOCK",IF(PRODUCTOS[[#This Row],[STOCK]]&lt;=PRODUCTOS[[#This Row],[STOCK MÍN.]],"BAJO","OK")))</f>
        <v/>
      </c>
      <c r="K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3" hidden="1" s="11">
      <c r="A73" s="18" t="n">
        <v>558</v>
      </c>
      <c r="B73" s="56" t="inlineStr">
        <is>
          <t>00006-ELC</t>
        </is>
      </c>
      <c r="C73" s="56">
        <f>IFERROR(_xlfn.XLOOKUP(PRODUCTOS[[#This Row],[CODIGO]],LISTADO[CODIGOS],LISTADO[CATEGORIA]),"NO EXISTE")</f>
        <v/>
      </c>
      <c r="D73" s="56">
        <f>IFERROR(_xlfn.XLOOKUP(PRODUCTOS[[#This Row],[CODIGO]],LISTADO[CODIGOS],LISTADO[PRODUCTOS]),"NO EXISTE")</f>
        <v/>
      </c>
      <c r="E73" s="56">
        <f>IFERROR(_xlfn.XLOOKUP(PRODUCTOS[[#This Row],[CODIGO]],LISTADO[CODIGOS],LISTADO[UBICACIÓN]),"NO EXISTE")</f>
        <v/>
      </c>
      <c r="F73" s="56">
        <f>SUMIFS(ENTRADAS[CANTIDAD],ENTRADAS[CODIGO],PRODUCTOS[[#This Row],[CODIGO]])</f>
        <v/>
      </c>
      <c r="G73" s="56">
        <f>SUMIFS(SALIDAS[CANTIDAD],SALIDAS[CODIGO],PRODUCTOS[[#This Row],[CODIGO]])</f>
        <v/>
      </c>
      <c r="H73" s="56">
        <f>PRODUCTOS[[#This Row],[ENTRADAS]]-PRODUCTOS[[#This Row],[SALIDAS ]]</f>
        <v/>
      </c>
      <c r="I73" s="76" t="n">
        <v>0</v>
      </c>
      <c r="J73">
        <f>IF(PRODUCTOS[[#This Row],[STOCK]]&lt;0,"NEGATIVO",IF(PRODUCTOS[[#This Row],[STOCK]]=0,"SIN STOCK",IF(PRODUCTOS[[#This Row],[STOCK]]&lt;=PRODUCTOS[[#This Row],[STOCK MÍN.]],"BAJO","OK")))</f>
        <v/>
      </c>
      <c r="K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4" hidden="1" s="11">
      <c r="A74" s="18" t="n">
        <v>59</v>
      </c>
      <c r="B74" s="56" t="inlineStr">
        <is>
          <t>00002-ILU</t>
        </is>
      </c>
      <c r="C74" s="56">
        <f>IFERROR(_xlfn.XLOOKUP(PRODUCTOS[[#This Row],[CODIGO]],LISTADO[CODIGOS],LISTADO[CATEGORIA]),"NO EXISTE")</f>
        <v/>
      </c>
      <c r="D74" s="56">
        <f>IFERROR(_xlfn.XLOOKUP(PRODUCTOS[[#This Row],[CODIGO]],LISTADO[CODIGOS],LISTADO[PRODUCTOS]),"NO EXISTE")</f>
        <v/>
      </c>
      <c r="E74" s="56">
        <f>IFERROR(_xlfn.XLOOKUP(PRODUCTOS[[#This Row],[CODIGO]],LISTADO[CODIGOS],LISTADO[UBICACIÓN]),"NO EXISTE")</f>
        <v/>
      </c>
      <c r="F74" s="56">
        <f>SUMIFS(ENTRADAS[CANTIDAD],ENTRADAS[CODIGO],PRODUCTOS[[#This Row],[CODIGO]])</f>
        <v/>
      </c>
      <c r="G74" s="56">
        <f>SUMIFS(SALIDAS[CANTIDAD],SALIDAS[CODIGO],PRODUCTOS[[#This Row],[CODIGO]])</f>
        <v/>
      </c>
      <c r="H74" s="56">
        <f>PRODUCTOS[[#This Row],[ENTRADAS]]-PRODUCTOS[[#This Row],[SALIDAS ]]</f>
        <v/>
      </c>
      <c r="I74" s="76" t="n">
        <v>0</v>
      </c>
      <c r="J74">
        <f>IF(PRODUCTOS[[#This Row],[STOCK]]&lt;0,"NEGATIVO",IF(PRODUCTOS[[#This Row],[STOCK]]=0,"SIN STOCK",IF(PRODUCTOS[[#This Row],[STOCK]]&lt;=PRODUCTOS[[#This Row],[STOCK MÍN.]],"BAJO","OK")))</f>
        <v/>
      </c>
      <c r="K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5" hidden="1" s="11">
      <c r="A75" s="18" t="n">
        <v>60</v>
      </c>
      <c r="B75" s="56" t="inlineStr">
        <is>
          <t>00003-ILU</t>
        </is>
      </c>
      <c r="C75" s="56">
        <f>IFERROR(_xlfn.XLOOKUP(PRODUCTOS[[#This Row],[CODIGO]],LISTADO[CODIGOS],LISTADO[CATEGORIA]),"NO EXISTE")</f>
        <v/>
      </c>
      <c r="D75" s="56">
        <f>IFERROR(_xlfn.XLOOKUP(PRODUCTOS[[#This Row],[CODIGO]],LISTADO[CODIGOS],LISTADO[PRODUCTOS]),"NO EXISTE")</f>
        <v/>
      </c>
      <c r="E75" s="56">
        <f>IFERROR(_xlfn.XLOOKUP(PRODUCTOS[[#This Row],[CODIGO]],LISTADO[CODIGOS],LISTADO[UBICACIÓN]),"NO EXISTE")</f>
        <v/>
      </c>
      <c r="F75" s="56">
        <f>SUMIFS(ENTRADAS[CANTIDAD],ENTRADAS[CODIGO],PRODUCTOS[[#This Row],[CODIGO]])</f>
        <v/>
      </c>
      <c r="G75" s="56">
        <f>SUMIFS(SALIDAS[CANTIDAD],SALIDAS[CODIGO],PRODUCTOS[[#This Row],[CODIGO]])</f>
        <v/>
      </c>
      <c r="H75" s="56">
        <f>PRODUCTOS[[#This Row],[ENTRADAS]]-PRODUCTOS[[#This Row],[SALIDAS ]]</f>
        <v/>
      </c>
      <c r="I75" s="76" t="n">
        <v>0</v>
      </c>
      <c r="J75">
        <f>IF(PRODUCTOS[[#This Row],[STOCK]]&lt;0,"NEGATIVO",IF(PRODUCTOS[[#This Row],[STOCK]]=0,"SIN STOCK",IF(PRODUCTOS[[#This Row],[STOCK]]&lt;=PRODUCTOS[[#This Row],[STOCK MÍN.]],"BAJO","OK")))</f>
        <v/>
      </c>
      <c r="K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6" hidden="1" s="11">
      <c r="A76" s="18" t="n">
        <v>61</v>
      </c>
      <c r="B76" s="56" t="inlineStr">
        <is>
          <t>00019-FER</t>
        </is>
      </c>
      <c r="C76" s="56">
        <f>IFERROR(_xlfn.XLOOKUP(PRODUCTOS[[#This Row],[CODIGO]],LISTADO[CODIGOS],LISTADO[CATEGORIA]),"NO EXISTE")</f>
        <v/>
      </c>
      <c r="D76" s="56">
        <f>IFERROR(_xlfn.XLOOKUP(PRODUCTOS[[#This Row],[CODIGO]],LISTADO[CODIGOS],LISTADO[PRODUCTOS]),"NO EXISTE")</f>
        <v/>
      </c>
      <c r="E76" s="56">
        <f>IFERROR(_xlfn.XLOOKUP(PRODUCTOS[[#This Row],[CODIGO]],LISTADO[CODIGOS],LISTADO[UBICACIÓN]),"NO EXISTE")</f>
        <v/>
      </c>
      <c r="F76" s="56">
        <f>SUMIFS(ENTRADAS[CANTIDAD],ENTRADAS[CODIGO],PRODUCTOS[[#This Row],[CODIGO]])</f>
        <v/>
      </c>
      <c r="G76" s="56">
        <f>SUMIFS(SALIDAS[CANTIDAD],SALIDAS[CODIGO],PRODUCTOS[[#This Row],[CODIGO]])</f>
        <v/>
      </c>
      <c r="H76" s="56">
        <f>PRODUCTOS[[#This Row],[ENTRADAS]]-PRODUCTOS[[#This Row],[SALIDAS ]]</f>
        <v/>
      </c>
      <c r="I76" s="76" t="n">
        <v>0</v>
      </c>
      <c r="J76">
        <f>IF(PRODUCTOS[[#This Row],[STOCK]]&lt;0,"NEGATIVO",IF(PRODUCTOS[[#This Row],[STOCK]]=0,"SIN STOCK",IF(PRODUCTOS[[#This Row],[STOCK]]&lt;=PRODUCTOS[[#This Row],[STOCK MÍN.]],"BAJO","OK")))</f>
        <v/>
      </c>
      <c r="K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7" hidden="1" s="11">
      <c r="A77" s="18" t="n">
        <v>62</v>
      </c>
      <c r="B77" s="56" t="inlineStr">
        <is>
          <t>00007-ELC</t>
        </is>
      </c>
      <c r="C77" s="56">
        <f>IFERROR(_xlfn.XLOOKUP(PRODUCTOS[[#This Row],[CODIGO]],LISTADO[CODIGOS],LISTADO[CATEGORIA]),"NO EXISTE")</f>
        <v/>
      </c>
      <c r="D77" s="56">
        <f>IFERROR(_xlfn.XLOOKUP(PRODUCTOS[[#This Row],[CODIGO]],LISTADO[CODIGOS],LISTADO[PRODUCTOS]),"NO EXISTE")</f>
        <v/>
      </c>
      <c r="E77" s="56">
        <f>IFERROR(_xlfn.XLOOKUP(PRODUCTOS[[#This Row],[CODIGO]],LISTADO[CODIGOS],LISTADO[UBICACIÓN]),"NO EXISTE")</f>
        <v/>
      </c>
      <c r="F77" s="56">
        <f>SUMIFS(ENTRADAS[CANTIDAD],ENTRADAS[CODIGO],PRODUCTOS[[#This Row],[CODIGO]])</f>
        <v/>
      </c>
      <c r="G77" s="56">
        <f>SUMIFS(SALIDAS[CANTIDAD],SALIDAS[CODIGO],PRODUCTOS[[#This Row],[CODIGO]])</f>
        <v/>
      </c>
      <c r="H77" s="56">
        <f>PRODUCTOS[[#This Row],[ENTRADAS]]-PRODUCTOS[[#This Row],[SALIDAS ]]</f>
        <v/>
      </c>
      <c r="I77" s="76" t="n">
        <v>0</v>
      </c>
      <c r="J77">
        <f>IF(PRODUCTOS[[#This Row],[STOCK]]&lt;0,"NEGATIVO",IF(PRODUCTOS[[#This Row],[STOCK]]=0,"SIN STOCK",IF(PRODUCTOS[[#This Row],[STOCK]]&lt;=PRODUCTOS[[#This Row],[STOCK MÍN.]],"BAJO","OK")))</f>
        <v/>
      </c>
      <c r="K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8" hidden="1" s="11">
      <c r="A78" s="18" t="n">
        <v>63</v>
      </c>
      <c r="B78" s="56" t="inlineStr">
        <is>
          <t>00008-ELC</t>
        </is>
      </c>
      <c r="C78" s="56">
        <f>IFERROR(_xlfn.XLOOKUP(PRODUCTOS[[#This Row],[CODIGO]],LISTADO[CODIGOS],LISTADO[CATEGORIA]),"NO EXISTE")</f>
        <v/>
      </c>
      <c r="D78" s="56">
        <f>IFERROR(_xlfn.XLOOKUP(PRODUCTOS[[#This Row],[CODIGO]],LISTADO[CODIGOS],LISTADO[PRODUCTOS]),"NO EXISTE")</f>
        <v/>
      </c>
      <c r="E78" s="56">
        <f>IFERROR(_xlfn.XLOOKUP(PRODUCTOS[[#This Row],[CODIGO]],LISTADO[CODIGOS],LISTADO[UBICACIÓN]),"NO EXISTE")</f>
        <v/>
      </c>
      <c r="F78" s="56">
        <f>SUMIFS(ENTRADAS[CANTIDAD],ENTRADAS[CODIGO],PRODUCTOS[[#This Row],[CODIGO]])</f>
        <v/>
      </c>
      <c r="G78" s="56">
        <f>SUMIFS(SALIDAS[CANTIDAD],SALIDAS[CODIGO],PRODUCTOS[[#This Row],[CODIGO]])</f>
        <v/>
      </c>
      <c r="H78" s="56">
        <f>PRODUCTOS[[#This Row],[ENTRADAS]]-PRODUCTOS[[#This Row],[SALIDAS ]]</f>
        <v/>
      </c>
      <c r="I78" s="76" t="n">
        <v>0</v>
      </c>
      <c r="J78">
        <f>IF(PRODUCTOS[[#This Row],[STOCK]]&lt;0,"NEGATIVO",IF(PRODUCTOS[[#This Row],[STOCK]]=0,"SIN STOCK",IF(PRODUCTOS[[#This Row],[STOCK]]&lt;=PRODUCTOS[[#This Row],[STOCK MÍN.]],"BAJO","OK")))</f>
        <v/>
      </c>
      <c r="K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9" hidden="1" s="11">
      <c r="A79" s="18" t="n">
        <v>64</v>
      </c>
      <c r="B79" s="56" t="inlineStr">
        <is>
          <t>00004-MSC</t>
        </is>
      </c>
      <c r="C79" s="56">
        <f>IFERROR(_xlfn.XLOOKUP(PRODUCTOS[[#This Row],[CODIGO]],LISTADO[CODIGOS],LISTADO[CATEGORIA]),"NO EXISTE")</f>
        <v/>
      </c>
      <c r="D79" s="56">
        <f>IFERROR(_xlfn.XLOOKUP(PRODUCTOS[[#This Row],[CODIGO]],LISTADO[CODIGOS],LISTADO[PRODUCTOS]),"NO EXISTE")</f>
        <v/>
      </c>
      <c r="E79" s="56">
        <f>IFERROR(_xlfn.XLOOKUP(PRODUCTOS[[#This Row],[CODIGO]],LISTADO[CODIGOS],LISTADO[UBICACIÓN]),"NO EXISTE")</f>
        <v/>
      </c>
      <c r="F79" s="56">
        <f>SUMIFS(ENTRADAS[CANTIDAD],ENTRADAS[CODIGO],PRODUCTOS[[#This Row],[CODIGO]])</f>
        <v/>
      </c>
      <c r="G79" s="56">
        <f>SUMIFS(SALIDAS[CANTIDAD],SALIDAS[CODIGO],PRODUCTOS[[#This Row],[CODIGO]])</f>
        <v/>
      </c>
      <c r="H79" s="56">
        <f>PRODUCTOS[[#This Row],[ENTRADAS]]-PRODUCTOS[[#This Row],[SALIDAS ]]</f>
        <v/>
      </c>
      <c r="I79" s="76" t="n">
        <v>0</v>
      </c>
      <c r="J79">
        <f>IF(PRODUCTOS[[#This Row],[STOCK]]&lt;0,"NEGATIVO",IF(PRODUCTOS[[#This Row],[STOCK]]=0,"SIN STOCK",IF(PRODUCTOS[[#This Row],[STOCK]]&lt;=PRODUCTOS[[#This Row],[STOCK MÍN.]],"BAJO","OK")))</f>
        <v/>
      </c>
      <c r="K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0" hidden="1" s="11">
      <c r="A80" s="18" t="n">
        <v>65</v>
      </c>
      <c r="B80" s="56" t="inlineStr">
        <is>
          <t>00007-HER</t>
        </is>
      </c>
      <c r="C80" s="56">
        <f>IFERROR(_xlfn.XLOOKUP(PRODUCTOS[[#This Row],[CODIGO]],LISTADO[CODIGOS],LISTADO[CATEGORIA]),"NO EXISTE")</f>
        <v/>
      </c>
      <c r="D80" s="56">
        <f>IFERROR(_xlfn.XLOOKUP(PRODUCTOS[[#This Row],[CODIGO]],LISTADO[CODIGOS],LISTADO[PRODUCTOS]),"NO EXISTE")</f>
        <v/>
      </c>
      <c r="E80" s="56">
        <f>IFERROR(_xlfn.XLOOKUP(PRODUCTOS[[#This Row],[CODIGO]],LISTADO[CODIGOS],LISTADO[UBICACIÓN]),"NO EXISTE")</f>
        <v/>
      </c>
      <c r="F80" s="56">
        <f>SUMIFS(ENTRADAS[CANTIDAD],ENTRADAS[CODIGO],PRODUCTOS[[#This Row],[CODIGO]])</f>
        <v/>
      </c>
      <c r="G80" s="56">
        <f>SUMIFS(SALIDAS[CANTIDAD],SALIDAS[CODIGO],PRODUCTOS[[#This Row],[CODIGO]])</f>
        <v/>
      </c>
      <c r="H80" s="56">
        <f>PRODUCTOS[[#This Row],[ENTRADAS]]-PRODUCTOS[[#This Row],[SALIDAS ]]</f>
        <v/>
      </c>
      <c r="I80" s="76" t="n">
        <v>0</v>
      </c>
      <c r="J80">
        <f>IF(PRODUCTOS[[#This Row],[STOCK]]&lt;0,"NEGATIVO",IF(PRODUCTOS[[#This Row],[STOCK]]=0,"SIN STOCK",IF(PRODUCTOS[[#This Row],[STOCK]]&lt;=PRODUCTOS[[#This Row],[STOCK MÍN.]],"BAJO","OK")))</f>
        <v/>
      </c>
      <c r="K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1" hidden="1" s="11">
      <c r="A81" s="18" t="n">
        <v>66</v>
      </c>
      <c r="B81" s="56" t="inlineStr">
        <is>
          <t>00004-ILU</t>
        </is>
      </c>
      <c r="C81" s="56">
        <f>IFERROR(_xlfn.XLOOKUP(PRODUCTOS[[#This Row],[CODIGO]],LISTADO[CODIGOS],LISTADO[CATEGORIA]),"NO EXISTE")</f>
        <v/>
      </c>
      <c r="D81" s="56">
        <f>IFERROR(_xlfn.XLOOKUP(PRODUCTOS[[#This Row],[CODIGO]],LISTADO[CODIGOS],LISTADO[PRODUCTOS]),"NO EXISTE")</f>
        <v/>
      </c>
      <c r="E81" s="56">
        <f>IFERROR(_xlfn.XLOOKUP(PRODUCTOS[[#This Row],[CODIGO]],LISTADO[CODIGOS],LISTADO[UBICACIÓN]),"NO EXISTE")</f>
        <v/>
      </c>
      <c r="F81" s="56">
        <f>SUMIFS(ENTRADAS[CANTIDAD],ENTRADAS[CODIGO],PRODUCTOS[[#This Row],[CODIGO]])</f>
        <v/>
      </c>
      <c r="G81" s="56">
        <f>SUMIFS(SALIDAS[CANTIDAD],SALIDAS[CODIGO],PRODUCTOS[[#This Row],[CODIGO]])</f>
        <v/>
      </c>
      <c r="H81" s="56">
        <f>PRODUCTOS[[#This Row],[ENTRADAS]]-PRODUCTOS[[#This Row],[SALIDAS ]]</f>
        <v/>
      </c>
      <c r="I81" s="76" t="n">
        <v>0</v>
      </c>
      <c r="J81">
        <f>IF(PRODUCTOS[[#This Row],[STOCK]]&lt;0,"NEGATIVO",IF(PRODUCTOS[[#This Row],[STOCK]]=0,"SIN STOCK",IF(PRODUCTOS[[#This Row],[STOCK]]&lt;=PRODUCTOS[[#This Row],[STOCK MÍN.]],"BAJO","OK")))</f>
        <v/>
      </c>
      <c r="K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2" hidden="1" s="11">
      <c r="A82" s="18" t="n">
        <v>67</v>
      </c>
      <c r="B82" s="56" t="inlineStr">
        <is>
          <t>00005-ELE</t>
        </is>
      </c>
      <c r="C82" s="56">
        <f>IFERROR(_xlfn.XLOOKUP(PRODUCTOS[[#This Row],[CODIGO]],LISTADO[CODIGOS],LISTADO[CATEGORIA]),"NO EXISTE")</f>
        <v/>
      </c>
      <c r="D82" s="56">
        <f>IFERROR(_xlfn.XLOOKUP(PRODUCTOS[[#This Row],[CODIGO]],LISTADO[CODIGOS],LISTADO[PRODUCTOS]),"NO EXISTE")</f>
        <v/>
      </c>
      <c r="E82" s="56">
        <f>IFERROR(_xlfn.XLOOKUP(PRODUCTOS[[#This Row],[CODIGO]],LISTADO[CODIGOS],LISTADO[UBICACIÓN]),"NO EXISTE")</f>
        <v/>
      </c>
      <c r="F82" s="56">
        <f>SUMIFS(ENTRADAS[CANTIDAD],ENTRADAS[CODIGO],PRODUCTOS[[#This Row],[CODIGO]])</f>
        <v/>
      </c>
      <c r="G82" s="56">
        <f>SUMIFS(SALIDAS[CANTIDAD],SALIDAS[CODIGO],PRODUCTOS[[#This Row],[CODIGO]])</f>
        <v/>
      </c>
      <c r="H82" s="56">
        <f>PRODUCTOS[[#This Row],[ENTRADAS]]-PRODUCTOS[[#This Row],[SALIDAS ]]</f>
        <v/>
      </c>
      <c r="I82" s="76" t="n">
        <v>0</v>
      </c>
      <c r="J82">
        <f>IF(PRODUCTOS[[#This Row],[STOCK]]&lt;0,"NEGATIVO",IF(PRODUCTOS[[#This Row],[STOCK]]=0,"SIN STOCK",IF(PRODUCTOS[[#This Row],[STOCK]]&lt;=PRODUCTOS[[#This Row],[STOCK MÍN.]],"BAJO","OK")))</f>
        <v/>
      </c>
      <c r="K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3" hidden="1" s="11">
      <c r="A83" s="18" t="n">
        <v>68</v>
      </c>
      <c r="B83" s="56" t="inlineStr">
        <is>
          <t>00006-ELE</t>
        </is>
      </c>
      <c r="C83" s="56">
        <f>IFERROR(_xlfn.XLOOKUP(PRODUCTOS[[#This Row],[CODIGO]],LISTADO[CODIGOS],LISTADO[CATEGORIA]),"NO EXISTE")</f>
        <v/>
      </c>
      <c r="D83" s="56">
        <f>IFERROR(_xlfn.XLOOKUP(PRODUCTOS[[#This Row],[CODIGO]],LISTADO[CODIGOS],LISTADO[PRODUCTOS]),"NO EXISTE")</f>
        <v/>
      </c>
      <c r="E83" s="56">
        <f>IFERROR(_xlfn.XLOOKUP(PRODUCTOS[[#This Row],[CODIGO]],LISTADO[CODIGOS],LISTADO[UBICACIÓN]),"NO EXISTE")</f>
        <v/>
      </c>
      <c r="F83" s="56">
        <f>SUMIFS(ENTRADAS[CANTIDAD],ENTRADAS[CODIGO],PRODUCTOS[[#This Row],[CODIGO]])</f>
        <v/>
      </c>
      <c r="G83" s="56">
        <f>SUMIFS(SALIDAS[CANTIDAD],SALIDAS[CODIGO],PRODUCTOS[[#This Row],[CODIGO]])</f>
        <v/>
      </c>
      <c r="H83" s="56">
        <f>PRODUCTOS[[#This Row],[ENTRADAS]]-PRODUCTOS[[#This Row],[SALIDAS ]]</f>
        <v/>
      </c>
      <c r="I83" s="76" t="n">
        <v>0</v>
      </c>
      <c r="J83">
        <f>IF(PRODUCTOS[[#This Row],[STOCK]]&lt;0,"NEGATIVO",IF(PRODUCTOS[[#This Row],[STOCK]]=0,"SIN STOCK",IF(PRODUCTOS[[#This Row],[STOCK]]&lt;=PRODUCTOS[[#This Row],[STOCK MÍN.]],"BAJO","OK")))</f>
        <v/>
      </c>
      <c r="K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4" hidden="1" s="11">
      <c r="A84" s="18" t="n">
        <v>69</v>
      </c>
      <c r="B84" s="56" t="inlineStr">
        <is>
          <t>00007-ELE</t>
        </is>
      </c>
      <c r="C84" s="56">
        <f>IFERROR(_xlfn.XLOOKUP(PRODUCTOS[[#This Row],[CODIGO]],LISTADO[CODIGOS],LISTADO[CATEGORIA]),"NO EXISTE")</f>
        <v/>
      </c>
      <c r="D84" s="56">
        <f>IFERROR(_xlfn.XLOOKUP(PRODUCTOS[[#This Row],[CODIGO]],LISTADO[CODIGOS],LISTADO[PRODUCTOS]),"NO EXISTE")</f>
        <v/>
      </c>
      <c r="E84" s="56">
        <f>IFERROR(_xlfn.XLOOKUP(PRODUCTOS[[#This Row],[CODIGO]],LISTADO[CODIGOS],LISTADO[UBICACIÓN]),"NO EXISTE")</f>
        <v/>
      </c>
      <c r="F84" s="56">
        <f>SUMIFS(ENTRADAS[CANTIDAD],ENTRADAS[CODIGO],PRODUCTOS[[#This Row],[CODIGO]])</f>
        <v/>
      </c>
      <c r="G84" s="56">
        <f>SUMIFS(SALIDAS[CANTIDAD],SALIDAS[CODIGO],PRODUCTOS[[#This Row],[CODIGO]])</f>
        <v/>
      </c>
      <c r="H84" s="56">
        <f>PRODUCTOS[[#This Row],[ENTRADAS]]-PRODUCTOS[[#This Row],[SALIDAS ]]</f>
        <v/>
      </c>
      <c r="I84" s="76" t="n">
        <v>0</v>
      </c>
      <c r="J84">
        <f>IF(PRODUCTOS[[#This Row],[STOCK]]&lt;0,"NEGATIVO",IF(PRODUCTOS[[#This Row],[STOCK]]=0,"SIN STOCK",IF(PRODUCTOS[[#This Row],[STOCK]]&lt;=PRODUCTOS[[#This Row],[STOCK MÍN.]],"BAJO","OK")))</f>
        <v/>
      </c>
      <c r="K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5" hidden="1" s="11">
      <c r="A85" s="18" t="n">
        <v>70</v>
      </c>
      <c r="B85" s="56" t="inlineStr">
        <is>
          <t>00008-ELE</t>
        </is>
      </c>
      <c r="C85" s="56">
        <f>IFERROR(_xlfn.XLOOKUP(PRODUCTOS[[#This Row],[CODIGO]],LISTADO[CODIGOS],LISTADO[CATEGORIA]),"NO EXISTE")</f>
        <v/>
      </c>
      <c r="D85" s="56">
        <f>IFERROR(_xlfn.XLOOKUP(PRODUCTOS[[#This Row],[CODIGO]],LISTADO[CODIGOS],LISTADO[PRODUCTOS]),"NO EXISTE")</f>
        <v/>
      </c>
      <c r="E85" s="56">
        <f>IFERROR(_xlfn.XLOOKUP(PRODUCTOS[[#This Row],[CODIGO]],LISTADO[CODIGOS],LISTADO[UBICACIÓN]),"NO EXISTE")</f>
        <v/>
      </c>
      <c r="F85" s="56">
        <f>SUMIFS(ENTRADAS[CANTIDAD],ENTRADAS[CODIGO],PRODUCTOS[[#This Row],[CODIGO]])</f>
        <v/>
      </c>
      <c r="G85" s="56">
        <f>SUMIFS(SALIDAS[CANTIDAD],SALIDAS[CODIGO],PRODUCTOS[[#This Row],[CODIGO]])</f>
        <v/>
      </c>
      <c r="H85" s="56">
        <f>PRODUCTOS[[#This Row],[ENTRADAS]]-PRODUCTOS[[#This Row],[SALIDAS ]]</f>
        <v/>
      </c>
      <c r="I85" s="76" t="n">
        <v>0</v>
      </c>
      <c r="J85">
        <f>IF(PRODUCTOS[[#This Row],[STOCK]]&lt;0,"NEGATIVO",IF(PRODUCTOS[[#This Row],[STOCK]]=0,"SIN STOCK",IF(PRODUCTOS[[#This Row],[STOCK]]&lt;=PRODUCTOS[[#This Row],[STOCK MÍN.]],"BAJO","OK")))</f>
        <v/>
      </c>
      <c r="K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6" hidden="1" s="11">
      <c r="A86" s="18" t="n">
        <v>71</v>
      </c>
      <c r="B86" s="56" t="inlineStr">
        <is>
          <t>00009-ELE</t>
        </is>
      </c>
      <c r="C86" s="56">
        <f>IFERROR(_xlfn.XLOOKUP(PRODUCTOS[[#This Row],[CODIGO]],LISTADO[CODIGOS],LISTADO[CATEGORIA]),"NO EXISTE")</f>
        <v/>
      </c>
      <c r="D86" s="56">
        <f>IFERROR(_xlfn.XLOOKUP(PRODUCTOS[[#This Row],[CODIGO]],LISTADO[CODIGOS],LISTADO[PRODUCTOS]),"NO EXISTE")</f>
        <v/>
      </c>
      <c r="E86" s="56">
        <f>IFERROR(_xlfn.XLOOKUP(PRODUCTOS[[#This Row],[CODIGO]],LISTADO[CODIGOS],LISTADO[UBICACIÓN]),"NO EXISTE")</f>
        <v/>
      </c>
      <c r="F86" s="56">
        <f>SUMIFS(ENTRADAS[CANTIDAD],ENTRADAS[CODIGO],PRODUCTOS[[#This Row],[CODIGO]])</f>
        <v/>
      </c>
      <c r="G86" s="56">
        <f>SUMIFS(SALIDAS[CANTIDAD],SALIDAS[CODIGO],PRODUCTOS[[#This Row],[CODIGO]])</f>
        <v/>
      </c>
      <c r="H86" s="56">
        <f>PRODUCTOS[[#This Row],[ENTRADAS]]-PRODUCTOS[[#This Row],[SALIDAS ]]</f>
        <v/>
      </c>
      <c r="I86" s="76" t="n">
        <v>0</v>
      </c>
      <c r="J86">
        <f>IF(PRODUCTOS[[#This Row],[STOCK]]&lt;0,"NEGATIVO",IF(PRODUCTOS[[#This Row],[STOCK]]=0,"SIN STOCK",IF(PRODUCTOS[[#This Row],[STOCK]]&lt;=PRODUCTOS[[#This Row],[STOCK MÍN.]],"BAJO","OK")))</f>
        <v/>
      </c>
      <c r="K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7" hidden="1" s="11">
      <c r="A87" s="18" t="n">
        <v>72</v>
      </c>
      <c r="B87" s="56" t="inlineStr">
        <is>
          <t>00010-ELE</t>
        </is>
      </c>
      <c r="C87" s="56">
        <f>IFERROR(_xlfn.XLOOKUP(PRODUCTOS[[#This Row],[CODIGO]],LISTADO[CODIGOS],LISTADO[CATEGORIA]),"NO EXISTE")</f>
        <v/>
      </c>
      <c r="D87" s="56">
        <f>IFERROR(_xlfn.XLOOKUP(PRODUCTOS[[#This Row],[CODIGO]],LISTADO[CODIGOS],LISTADO[PRODUCTOS]),"NO EXISTE")</f>
        <v/>
      </c>
      <c r="E87" s="56">
        <f>IFERROR(_xlfn.XLOOKUP(PRODUCTOS[[#This Row],[CODIGO]],LISTADO[CODIGOS],LISTADO[UBICACIÓN]),"NO EXISTE")</f>
        <v/>
      </c>
      <c r="F87" s="56">
        <f>SUMIFS(ENTRADAS[CANTIDAD],ENTRADAS[CODIGO],PRODUCTOS[[#This Row],[CODIGO]])</f>
        <v/>
      </c>
      <c r="G87" s="56">
        <f>SUMIFS(SALIDAS[CANTIDAD],SALIDAS[CODIGO],PRODUCTOS[[#This Row],[CODIGO]])</f>
        <v/>
      </c>
      <c r="H87" s="56">
        <f>PRODUCTOS[[#This Row],[ENTRADAS]]-PRODUCTOS[[#This Row],[SALIDAS ]]</f>
        <v/>
      </c>
      <c r="I87" s="76" t="n">
        <v>0</v>
      </c>
      <c r="J87">
        <f>IF(PRODUCTOS[[#This Row],[STOCK]]&lt;0,"NEGATIVO",IF(PRODUCTOS[[#This Row],[STOCK]]=0,"SIN STOCK",IF(PRODUCTOS[[#This Row],[STOCK]]&lt;=PRODUCTOS[[#This Row],[STOCK MÍN.]],"BAJO","OK")))</f>
        <v/>
      </c>
      <c r="K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8" hidden="1" s="11">
      <c r="A88" s="18" t="n">
        <v>73</v>
      </c>
      <c r="B88" s="56" t="inlineStr">
        <is>
          <t>00005-MSC</t>
        </is>
      </c>
      <c r="C88" s="56">
        <f>IFERROR(_xlfn.XLOOKUP(PRODUCTOS[[#This Row],[CODIGO]],LISTADO[CODIGOS],LISTADO[CATEGORIA]),"NO EXISTE")</f>
        <v/>
      </c>
      <c r="D88" s="56">
        <f>IFERROR(_xlfn.XLOOKUP(PRODUCTOS[[#This Row],[CODIGO]],LISTADO[CODIGOS],LISTADO[PRODUCTOS]),"NO EXISTE")</f>
        <v/>
      </c>
      <c r="E88" s="56">
        <f>IFERROR(_xlfn.XLOOKUP(PRODUCTOS[[#This Row],[CODIGO]],LISTADO[CODIGOS],LISTADO[UBICACIÓN]),"NO EXISTE")</f>
        <v/>
      </c>
      <c r="F88" s="56">
        <f>SUMIFS(ENTRADAS[CANTIDAD],ENTRADAS[CODIGO],PRODUCTOS[[#This Row],[CODIGO]])</f>
        <v/>
      </c>
      <c r="G88" s="56">
        <f>SUMIFS(SALIDAS[CANTIDAD],SALIDAS[CODIGO],PRODUCTOS[[#This Row],[CODIGO]])</f>
        <v/>
      </c>
      <c r="H88" s="56">
        <f>PRODUCTOS[[#This Row],[ENTRADAS]]-PRODUCTOS[[#This Row],[SALIDAS ]]</f>
        <v/>
      </c>
      <c r="I88" s="76" t="n">
        <v>0</v>
      </c>
      <c r="J88">
        <f>IF(PRODUCTOS[[#This Row],[STOCK]]&lt;0,"NEGATIVO",IF(PRODUCTOS[[#This Row],[STOCK]]=0,"SIN STOCK",IF(PRODUCTOS[[#This Row],[STOCK]]&lt;=PRODUCTOS[[#This Row],[STOCK MÍN.]],"BAJO","OK")))</f>
        <v/>
      </c>
      <c r="K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9" hidden="1" s="11">
      <c r="A89" s="18" t="n">
        <v>74</v>
      </c>
      <c r="B89" s="56" t="inlineStr">
        <is>
          <t>00006-MSC</t>
        </is>
      </c>
      <c r="C89" s="56">
        <f>IFERROR(_xlfn.XLOOKUP(PRODUCTOS[[#This Row],[CODIGO]],LISTADO[CODIGOS],LISTADO[CATEGORIA]),"NO EXISTE")</f>
        <v/>
      </c>
      <c r="D89" s="56">
        <f>IFERROR(_xlfn.XLOOKUP(PRODUCTOS[[#This Row],[CODIGO]],LISTADO[CODIGOS],LISTADO[PRODUCTOS]),"NO EXISTE")</f>
        <v/>
      </c>
      <c r="E89" s="56">
        <f>IFERROR(_xlfn.XLOOKUP(PRODUCTOS[[#This Row],[CODIGO]],LISTADO[CODIGOS],LISTADO[UBICACIÓN]),"NO EXISTE")</f>
        <v/>
      </c>
      <c r="F89" s="56">
        <f>SUMIFS(ENTRADAS[CANTIDAD],ENTRADAS[CODIGO],PRODUCTOS[[#This Row],[CODIGO]])</f>
        <v/>
      </c>
      <c r="G89" s="56">
        <f>SUMIFS(SALIDAS[CANTIDAD],SALIDAS[CODIGO],PRODUCTOS[[#This Row],[CODIGO]])</f>
        <v/>
      </c>
      <c r="H89" s="56">
        <f>PRODUCTOS[[#This Row],[ENTRADAS]]-PRODUCTOS[[#This Row],[SALIDAS ]]</f>
        <v/>
      </c>
      <c r="I89" s="76" t="n">
        <v>0</v>
      </c>
      <c r="J89">
        <f>IF(PRODUCTOS[[#This Row],[STOCK]]&lt;0,"NEGATIVO",IF(PRODUCTOS[[#This Row],[STOCK]]=0,"SIN STOCK",IF(PRODUCTOS[[#This Row],[STOCK]]&lt;=PRODUCTOS[[#This Row],[STOCK MÍN.]],"BAJO","OK")))</f>
        <v/>
      </c>
      <c r="K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0" hidden="1" s="11">
      <c r="A90" s="18" t="n">
        <v>75</v>
      </c>
      <c r="B90" s="56" t="inlineStr">
        <is>
          <t>00007-MSC</t>
        </is>
      </c>
      <c r="C90" s="56">
        <f>IFERROR(_xlfn.XLOOKUP(PRODUCTOS[[#This Row],[CODIGO]],LISTADO[CODIGOS],LISTADO[CATEGORIA]),"NO EXISTE")</f>
        <v/>
      </c>
      <c r="D90" s="56">
        <f>IFERROR(_xlfn.XLOOKUP(PRODUCTOS[[#This Row],[CODIGO]],LISTADO[CODIGOS],LISTADO[PRODUCTOS]),"NO EXISTE")</f>
        <v/>
      </c>
      <c r="E90" s="56">
        <f>IFERROR(_xlfn.XLOOKUP(PRODUCTOS[[#This Row],[CODIGO]],LISTADO[CODIGOS],LISTADO[UBICACIÓN]),"NO EXISTE")</f>
        <v/>
      </c>
      <c r="F90" s="56">
        <f>SUMIFS(ENTRADAS[CANTIDAD],ENTRADAS[CODIGO],PRODUCTOS[[#This Row],[CODIGO]])</f>
        <v/>
      </c>
      <c r="G90" s="56">
        <f>SUMIFS(SALIDAS[CANTIDAD],SALIDAS[CODIGO],PRODUCTOS[[#This Row],[CODIGO]])</f>
        <v/>
      </c>
      <c r="H90" s="56">
        <f>PRODUCTOS[[#This Row],[ENTRADAS]]-PRODUCTOS[[#This Row],[SALIDAS ]]</f>
        <v/>
      </c>
      <c r="I90" s="76" t="n">
        <v>0</v>
      </c>
      <c r="J90">
        <f>IF(PRODUCTOS[[#This Row],[STOCK]]&lt;0,"NEGATIVO",IF(PRODUCTOS[[#This Row],[STOCK]]=0,"SIN STOCK",IF(PRODUCTOS[[#This Row],[STOCK]]&lt;=PRODUCTOS[[#This Row],[STOCK MÍN.]],"BAJO","OK")))</f>
        <v/>
      </c>
      <c r="K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1" hidden="1" s="11">
      <c r="A91" s="18" t="n">
        <v>76</v>
      </c>
      <c r="B91" s="56" t="inlineStr">
        <is>
          <t>00008-HER</t>
        </is>
      </c>
      <c r="C91" s="56">
        <f>IFERROR(_xlfn.XLOOKUP(PRODUCTOS[[#This Row],[CODIGO]],LISTADO[CODIGOS],LISTADO[CATEGORIA]),"NO EXISTE")</f>
        <v/>
      </c>
      <c r="D91" s="56">
        <f>IFERROR(_xlfn.XLOOKUP(PRODUCTOS[[#This Row],[CODIGO]],LISTADO[CODIGOS],LISTADO[PRODUCTOS]),"NO EXISTE")</f>
        <v/>
      </c>
      <c r="E91" s="56">
        <f>IFERROR(_xlfn.XLOOKUP(PRODUCTOS[[#This Row],[CODIGO]],LISTADO[CODIGOS],LISTADO[UBICACIÓN]),"NO EXISTE")</f>
        <v/>
      </c>
      <c r="F91" s="56">
        <f>SUMIFS(ENTRADAS[CANTIDAD],ENTRADAS[CODIGO],PRODUCTOS[[#This Row],[CODIGO]])</f>
        <v/>
      </c>
      <c r="G91" s="56">
        <f>SUMIFS(SALIDAS[CANTIDAD],SALIDAS[CODIGO],PRODUCTOS[[#This Row],[CODIGO]])</f>
        <v/>
      </c>
      <c r="H91" s="56">
        <f>PRODUCTOS[[#This Row],[ENTRADAS]]-PRODUCTOS[[#This Row],[SALIDAS ]]</f>
        <v/>
      </c>
      <c r="I91" s="76" t="n">
        <v>0</v>
      </c>
      <c r="J91">
        <f>IF(PRODUCTOS[[#This Row],[STOCK]]&lt;0,"NEGATIVO",IF(PRODUCTOS[[#This Row],[STOCK]]=0,"SIN STOCK",IF(PRODUCTOS[[#This Row],[STOCK]]&lt;=PRODUCTOS[[#This Row],[STOCK MÍN.]],"BAJO","OK")))</f>
        <v/>
      </c>
      <c r="K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2" hidden="1" s="11">
      <c r="A92" s="18" t="n">
        <v>77</v>
      </c>
      <c r="B92" s="56" t="inlineStr">
        <is>
          <t>00009-HER</t>
        </is>
      </c>
      <c r="C92" s="56">
        <f>IFERROR(_xlfn.XLOOKUP(PRODUCTOS[[#This Row],[CODIGO]],LISTADO[CODIGOS],LISTADO[CATEGORIA]),"NO EXISTE")</f>
        <v/>
      </c>
      <c r="D92" s="56">
        <f>IFERROR(_xlfn.XLOOKUP(PRODUCTOS[[#This Row],[CODIGO]],LISTADO[CODIGOS],LISTADO[PRODUCTOS]),"NO EXISTE")</f>
        <v/>
      </c>
      <c r="E92" s="56">
        <f>IFERROR(_xlfn.XLOOKUP(PRODUCTOS[[#This Row],[CODIGO]],LISTADO[CODIGOS],LISTADO[UBICACIÓN]),"NO EXISTE")</f>
        <v/>
      </c>
      <c r="F92" s="56">
        <f>SUMIFS(ENTRADAS[CANTIDAD],ENTRADAS[CODIGO],PRODUCTOS[[#This Row],[CODIGO]])</f>
        <v/>
      </c>
      <c r="G92" s="56">
        <f>SUMIFS(SALIDAS[CANTIDAD],SALIDAS[CODIGO],PRODUCTOS[[#This Row],[CODIGO]])</f>
        <v/>
      </c>
      <c r="H92" s="56">
        <f>PRODUCTOS[[#This Row],[ENTRADAS]]-PRODUCTOS[[#This Row],[SALIDAS ]]</f>
        <v/>
      </c>
      <c r="I92" s="76" t="n">
        <v>0</v>
      </c>
      <c r="J92">
        <f>IF(PRODUCTOS[[#This Row],[STOCK]]&lt;0,"NEGATIVO",IF(PRODUCTOS[[#This Row],[STOCK]]=0,"SIN STOCK",IF(PRODUCTOS[[#This Row],[STOCK]]&lt;=PRODUCTOS[[#This Row],[STOCK MÍN.]],"BAJO","OK")))</f>
        <v/>
      </c>
      <c r="K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3" hidden="1" s="11">
      <c r="A93" s="18" t="n">
        <v>78</v>
      </c>
      <c r="B93" s="56" t="inlineStr">
        <is>
          <t>00013-OFC</t>
        </is>
      </c>
      <c r="C93" s="56">
        <f>IFERROR(_xlfn.XLOOKUP(PRODUCTOS[[#This Row],[CODIGO]],LISTADO[CODIGOS],LISTADO[CATEGORIA]),"NO EXISTE")</f>
        <v/>
      </c>
      <c r="D93" s="56">
        <f>IFERROR(_xlfn.XLOOKUP(PRODUCTOS[[#This Row],[CODIGO]],LISTADO[CODIGOS],LISTADO[PRODUCTOS]),"NO EXISTE")</f>
        <v/>
      </c>
      <c r="E93" s="56">
        <f>IFERROR(_xlfn.XLOOKUP(PRODUCTOS[[#This Row],[CODIGO]],LISTADO[CODIGOS],LISTADO[UBICACIÓN]),"NO EXISTE")</f>
        <v/>
      </c>
      <c r="F93" s="56">
        <f>SUMIFS(ENTRADAS[CANTIDAD],ENTRADAS[CODIGO],PRODUCTOS[[#This Row],[CODIGO]])</f>
        <v/>
      </c>
      <c r="G93" s="56">
        <f>SUMIFS(SALIDAS[CANTIDAD],SALIDAS[CODIGO],PRODUCTOS[[#This Row],[CODIGO]])</f>
        <v/>
      </c>
      <c r="H93" s="56">
        <f>PRODUCTOS[[#This Row],[ENTRADAS]]-PRODUCTOS[[#This Row],[SALIDAS ]]</f>
        <v/>
      </c>
      <c r="I93" s="76" t="n">
        <v>0</v>
      </c>
      <c r="J93">
        <f>IF(PRODUCTOS[[#This Row],[STOCK]]&lt;0,"NEGATIVO",IF(PRODUCTOS[[#This Row],[STOCK]]=0,"SIN STOCK",IF(PRODUCTOS[[#This Row],[STOCK]]&lt;=PRODUCTOS[[#This Row],[STOCK MÍN.]],"BAJO","OK")))</f>
        <v/>
      </c>
      <c r="K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4" hidden="1" s="11">
      <c r="A94" s="18" t="n">
        <v>79</v>
      </c>
      <c r="B94" s="56" t="inlineStr">
        <is>
          <t>00020-FER</t>
        </is>
      </c>
      <c r="C94" s="56">
        <f>IFERROR(_xlfn.XLOOKUP(PRODUCTOS[[#This Row],[CODIGO]],LISTADO[CODIGOS],LISTADO[CATEGORIA]),"NO EXISTE")</f>
        <v/>
      </c>
      <c r="D94" s="56">
        <f>IFERROR(_xlfn.XLOOKUP(PRODUCTOS[[#This Row],[CODIGO]],LISTADO[CODIGOS],LISTADO[PRODUCTOS]),"NO EXISTE")</f>
        <v/>
      </c>
      <c r="E94" s="56">
        <f>IFERROR(_xlfn.XLOOKUP(PRODUCTOS[[#This Row],[CODIGO]],LISTADO[CODIGOS],LISTADO[UBICACIÓN]),"NO EXISTE")</f>
        <v/>
      </c>
      <c r="F94" s="56">
        <f>SUMIFS(ENTRADAS[CANTIDAD],ENTRADAS[CODIGO],PRODUCTOS[[#This Row],[CODIGO]])</f>
        <v/>
      </c>
      <c r="G94" s="56">
        <f>SUMIFS(SALIDAS[CANTIDAD],SALIDAS[CODIGO],PRODUCTOS[[#This Row],[CODIGO]])</f>
        <v/>
      </c>
      <c r="H94" s="56">
        <f>PRODUCTOS[[#This Row],[ENTRADAS]]-PRODUCTOS[[#This Row],[SALIDAS ]]</f>
        <v/>
      </c>
      <c r="I94" s="76" t="n">
        <v>0</v>
      </c>
      <c r="J94">
        <f>IF(PRODUCTOS[[#This Row],[STOCK]]&lt;0,"NEGATIVO",IF(PRODUCTOS[[#This Row],[STOCK]]=0,"SIN STOCK",IF(PRODUCTOS[[#This Row],[STOCK]]&lt;=PRODUCTOS[[#This Row],[STOCK MÍN.]],"BAJO","OK")))</f>
        <v/>
      </c>
      <c r="K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5" hidden="1" s="11">
      <c r="A95" s="18" t="n">
        <v>80</v>
      </c>
      <c r="B95" s="56" t="inlineStr">
        <is>
          <t>00005-ILU</t>
        </is>
      </c>
      <c r="C95" s="56">
        <f>IFERROR(_xlfn.XLOOKUP(PRODUCTOS[[#This Row],[CODIGO]],LISTADO[CODIGOS],LISTADO[CATEGORIA]),"NO EXISTE")</f>
        <v/>
      </c>
      <c r="D95" s="56">
        <f>IFERROR(_xlfn.XLOOKUP(PRODUCTOS[[#This Row],[CODIGO]],LISTADO[CODIGOS],LISTADO[PRODUCTOS]),"NO EXISTE")</f>
        <v/>
      </c>
      <c r="E95" s="56">
        <f>IFERROR(_xlfn.XLOOKUP(PRODUCTOS[[#This Row],[CODIGO]],LISTADO[CODIGOS],LISTADO[UBICACIÓN]),"NO EXISTE")</f>
        <v/>
      </c>
      <c r="F95" s="56">
        <f>SUMIFS(ENTRADAS[CANTIDAD],ENTRADAS[CODIGO],PRODUCTOS[[#This Row],[CODIGO]])</f>
        <v/>
      </c>
      <c r="G95" s="56">
        <f>SUMIFS(SALIDAS[CANTIDAD],SALIDAS[CODIGO],PRODUCTOS[[#This Row],[CODIGO]])</f>
        <v/>
      </c>
      <c r="H95" s="56">
        <f>PRODUCTOS[[#This Row],[ENTRADAS]]-PRODUCTOS[[#This Row],[SALIDAS ]]</f>
        <v/>
      </c>
      <c r="I95" s="76" t="n">
        <v>0</v>
      </c>
      <c r="J95">
        <f>IF(PRODUCTOS[[#This Row],[STOCK]]&lt;0,"NEGATIVO",IF(PRODUCTOS[[#This Row],[STOCK]]=0,"SIN STOCK",IF(PRODUCTOS[[#This Row],[STOCK]]&lt;=PRODUCTOS[[#This Row],[STOCK MÍN.]],"BAJO","OK")))</f>
        <v/>
      </c>
      <c r="K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6" hidden="1" s="11">
      <c r="A96" s="18" t="n">
        <v>81</v>
      </c>
      <c r="B96" s="56" t="inlineStr">
        <is>
          <t>00006-ILU</t>
        </is>
      </c>
      <c r="C96" s="56">
        <f>IFERROR(_xlfn.XLOOKUP(PRODUCTOS[[#This Row],[CODIGO]],LISTADO[CODIGOS],LISTADO[CATEGORIA]),"NO EXISTE")</f>
        <v/>
      </c>
      <c r="D96" s="56">
        <f>IFERROR(_xlfn.XLOOKUP(PRODUCTOS[[#This Row],[CODIGO]],LISTADO[CODIGOS],LISTADO[PRODUCTOS]),"NO EXISTE")</f>
        <v/>
      </c>
      <c r="E96" s="56">
        <f>IFERROR(_xlfn.XLOOKUP(PRODUCTOS[[#This Row],[CODIGO]],LISTADO[CODIGOS],LISTADO[UBICACIÓN]),"NO EXISTE")</f>
        <v/>
      </c>
      <c r="F96" s="56">
        <f>SUMIFS(ENTRADAS[CANTIDAD],ENTRADAS[CODIGO],PRODUCTOS[[#This Row],[CODIGO]])</f>
        <v/>
      </c>
      <c r="G96" s="56">
        <f>SUMIFS(SALIDAS[CANTIDAD],SALIDAS[CODIGO],PRODUCTOS[[#This Row],[CODIGO]])</f>
        <v/>
      </c>
      <c r="H96" s="56">
        <f>PRODUCTOS[[#This Row],[ENTRADAS]]-PRODUCTOS[[#This Row],[SALIDAS ]]</f>
        <v/>
      </c>
      <c r="I96" s="76" t="n">
        <v>0</v>
      </c>
      <c r="J96">
        <f>IF(PRODUCTOS[[#This Row],[STOCK]]&lt;0,"NEGATIVO",IF(PRODUCTOS[[#This Row],[STOCK]]=0,"SIN STOCK",IF(PRODUCTOS[[#This Row],[STOCK]]&lt;=PRODUCTOS[[#This Row],[STOCK MÍN.]],"BAJO","OK")))</f>
        <v/>
      </c>
      <c r="K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7" hidden="1" s="11">
      <c r="A97" s="18" t="n">
        <v>82</v>
      </c>
      <c r="B97" s="56" t="inlineStr">
        <is>
          <t>00007-ILU</t>
        </is>
      </c>
      <c r="C97" s="56">
        <f>IFERROR(_xlfn.XLOOKUP(PRODUCTOS[[#This Row],[CODIGO]],LISTADO[CODIGOS],LISTADO[CATEGORIA]),"NO EXISTE")</f>
        <v/>
      </c>
      <c r="D97" s="56">
        <f>IFERROR(_xlfn.XLOOKUP(PRODUCTOS[[#This Row],[CODIGO]],LISTADO[CODIGOS],LISTADO[PRODUCTOS]),"NO EXISTE")</f>
        <v/>
      </c>
      <c r="E97" s="56">
        <f>IFERROR(_xlfn.XLOOKUP(PRODUCTOS[[#This Row],[CODIGO]],LISTADO[CODIGOS],LISTADO[UBICACIÓN]),"NO EXISTE")</f>
        <v/>
      </c>
      <c r="F97" s="56">
        <f>SUMIFS(ENTRADAS[CANTIDAD],ENTRADAS[CODIGO],PRODUCTOS[[#This Row],[CODIGO]])</f>
        <v/>
      </c>
      <c r="G97" s="56">
        <f>SUMIFS(SALIDAS[CANTIDAD],SALIDAS[CODIGO],PRODUCTOS[[#This Row],[CODIGO]])</f>
        <v/>
      </c>
      <c r="H97" s="56">
        <f>PRODUCTOS[[#This Row],[ENTRADAS]]-PRODUCTOS[[#This Row],[SALIDAS ]]</f>
        <v/>
      </c>
      <c r="I97" s="76" t="n">
        <v>0</v>
      </c>
      <c r="J97">
        <f>IF(PRODUCTOS[[#This Row],[STOCK]]&lt;0,"NEGATIVO",IF(PRODUCTOS[[#This Row],[STOCK]]=0,"SIN STOCK",IF(PRODUCTOS[[#This Row],[STOCK]]&lt;=PRODUCTOS[[#This Row],[STOCK MÍN.]],"BAJO","OK")))</f>
        <v/>
      </c>
      <c r="K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8" hidden="1" s="11">
      <c r="A98" s="18" t="n">
        <v>83</v>
      </c>
      <c r="B98" s="56" t="inlineStr">
        <is>
          <t>00008-ILU</t>
        </is>
      </c>
      <c r="C98" s="56">
        <f>IFERROR(_xlfn.XLOOKUP(PRODUCTOS[[#This Row],[CODIGO]],LISTADO[CODIGOS],LISTADO[CATEGORIA]),"NO EXISTE")</f>
        <v/>
      </c>
      <c r="D98" s="56">
        <f>IFERROR(_xlfn.XLOOKUP(PRODUCTOS[[#This Row],[CODIGO]],LISTADO[CODIGOS],LISTADO[PRODUCTOS]),"NO EXISTE")</f>
        <v/>
      </c>
      <c r="E98" s="56">
        <f>IFERROR(_xlfn.XLOOKUP(PRODUCTOS[[#This Row],[CODIGO]],LISTADO[CODIGOS],LISTADO[UBICACIÓN]),"NO EXISTE")</f>
        <v/>
      </c>
      <c r="F98" s="56">
        <f>SUMIFS(ENTRADAS[CANTIDAD],ENTRADAS[CODIGO],PRODUCTOS[[#This Row],[CODIGO]])</f>
        <v/>
      </c>
      <c r="G98" s="56">
        <f>SUMIFS(SALIDAS[CANTIDAD],SALIDAS[CODIGO],PRODUCTOS[[#This Row],[CODIGO]])</f>
        <v/>
      </c>
      <c r="H98" s="56">
        <f>PRODUCTOS[[#This Row],[ENTRADAS]]-PRODUCTOS[[#This Row],[SALIDAS ]]</f>
        <v/>
      </c>
      <c r="I98" s="76" t="n">
        <v>0</v>
      </c>
      <c r="J98">
        <f>IF(PRODUCTOS[[#This Row],[STOCK]]&lt;0,"NEGATIVO",IF(PRODUCTOS[[#This Row],[STOCK]]=0,"SIN STOCK",IF(PRODUCTOS[[#This Row],[STOCK]]&lt;=PRODUCTOS[[#This Row],[STOCK MÍN.]],"BAJO","OK")))</f>
        <v/>
      </c>
      <c r="K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9" hidden="1" s="11">
      <c r="A99" s="18" t="n">
        <v>84</v>
      </c>
      <c r="B99" s="56" t="inlineStr">
        <is>
          <t>00009-ILU</t>
        </is>
      </c>
      <c r="C99" s="56">
        <f>IFERROR(_xlfn.XLOOKUP(PRODUCTOS[[#This Row],[CODIGO]],LISTADO[CODIGOS],LISTADO[CATEGORIA]),"NO EXISTE")</f>
        <v/>
      </c>
      <c r="D99" s="56">
        <f>IFERROR(_xlfn.XLOOKUP(PRODUCTOS[[#This Row],[CODIGO]],LISTADO[CODIGOS],LISTADO[PRODUCTOS]),"NO EXISTE")</f>
        <v/>
      </c>
      <c r="E99" s="56">
        <f>IFERROR(_xlfn.XLOOKUP(PRODUCTOS[[#This Row],[CODIGO]],LISTADO[CODIGOS],LISTADO[UBICACIÓN]),"NO EXISTE")</f>
        <v/>
      </c>
      <c r="F99" s="56">
        <f>SUMIFS(ENTRADAS[CANTIDAD],ENTRADAS[CODIGO],PRODUCTOS[[#This Row],[CODIGO]])</f>
        <v/>
      </c>
      <c r="G99" s="56">
        <f>SUMIFS(SALIDAS[CANTIDAD],SALIDAS[CODIGO],PRODUCTOS[[#This Row],[CODIGO]])</f>
        <v/>
      </c>
      <c r="H99" s="56">
        <f>PRODUCTOS[[#This Row],[ENTRADAS]]-PRODUCTOS[[#This Row],[SALIDAS ]]</f>
        <v/>
      </c>
      <c r="I99" s="76" t="n">
        <v>0</v>
      </c>
      <c r="J99">
        <f>IF(PRODUCTOS[[#This Row],[STOCK]]&lt;0,"NEGATIVO",IF(PRODUCTOS[[#This Row],[STOCK]]=0,"SIN STOCK",IF(PRODUCTOS[[#This Row],[STOCK]]&lt;=PRODUCTOS[[#This Row],[STOCK MÍN.]],"BAJO","OK")))</f>
        <v/>
      </c>
      <c r="K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0" hidden="1" s="11">
      <c r="A100" s="18" t="n">
        <v>85</v>
      </c>
      <c r="B100" s="56" t="inlineStr">
        <is>
          <t>00010-HER</t>
        </is>
      </c>
      <c r="C100" s="56">
        <f>IFERROR(_xlfn.XLOOKUP(PRODUCTOS[[#This Row],[CODIGO]],LISTADO[CODIGOS],LISTADO[CATEGORIA]),"NO EXISTE")</f>
        <v/>
      </c>
      <c r="D100" s="56">
        <f>IFERROR(_xlfn.XLOOKUP(PRODUCTOS[[#This Row],[CODIGO]],LISTADO[CODIGOS],LISTADO[PRODUCTOS]),"NO EXISTE")</f>
        <v/>
      </c>
      <c r="E100" s="56">
        <f>IFERROR(_xlfn.XLOOKUP(PRODUCTOS[[#This Row],[CODIGO]],LISTADO[CODIGOS],LISTADO[UBICACIÓN]),"NO EXISTE")</f>
        <v/>
      </c>
      <c r="F100" s="56">
        <f>SUMIFS(ENTRADAS[CANTIDAD],ENTRADAS[CODIGO],PRODUCTOS[[#This Row],[CODIGO]])</f>
        <v/>
      </c>
      <c r="G100" s="56">
        <f>SUMIFS(SALIDAS[CANTIDAD],SALIDAS[CODIGO],PRODUCTOS[[#This Row],[CODIGO]])</f>
        <v/>
      </c>
      <c r="H100" s="56">
        <f>PRODUCTOS[[#This Row],[ENTRADAS]]-PRODUCTOS[[#This Row],[SALIDAS ]]</f>
        <v/>
      </c>
      <c r="I100" s="76" t="n">
        <v>0</v>
      </c>
      <c r="J100">
        <f>IF(PRODUCTOS[[#This Row],[STOCK]]&lt;0,"NEGATIVO",IF(PRODUCTOS[[#This Row],[STOCK]]=0,"SIN STOCK",IF(PRODUCTOS[[#This Row],[STOCK]]&lt;=PRODUCTOS[[#This Row],[STOCK MÍN.]],"BAJO","OK")))</f>
        <v/>
      </c>
      <c r="K1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1" hidden="1" s="11">
      <c r="A101" s="18" t="n">
        <v>86</v>
      </c>
      <c r="B101" s="56" t="inlineStr">
        <is>
          <t>00011-HER</t>
        </is>
      </c>
      <c r="C101" s="56">
        <f>IFERROR(_xlfn.XLOOKUP(PRODUCTOS[[#This Row],[CODIGO]],LISTADO[CODIGOS],LISTADO[CATEGORIA]),"NO EXISTE")</f>
        <v/>
      </c>
      <c r="D101" s="56">
        <f>IFERROR(_xlfn.XLOOKUP(PRODUCTOS[[#This Row],[CODIGO]],LISTADO[CODIGOS],LISTADO[PRODUCTOS]),"NO EXISTE")</f>
        <v/>
      </c>
      <c r="E101" s="56">
        <f>IFERROR(_xlfn.XLOOKUP(PRODUCTOS[[#This Row],[CODIGO]],LISTADO[CODIGOS],LISTADO[UBICACIÓN]),"NO EXISTE")</f>
        <v/>
      </c>
      <c r="F101" s="56">
        <f>SUMIFS(ENTRADAS[CANTIDAD],ENTRADAS[CODIGO],PRODUCTOS[[#This Row],[CODIGO]])</f>
        <v/>
      </c>
      <c r="G101" s="56">
        <f>SUMIFS(SALIDAS[CANTIDAD],SALIDAS[CODIGO],PRODUCTOS[[#This Row],[CODIGO]])</f>
        <v/>
      </c>
      <c r="H101" s="56">
        <f>PRODUCTOS[[#This Row],[ENTRADAS]]-PRODUCTOS[[#This Row],[SALIDAS ]]</f>
        <v/>
      </c>
      <c r="I101" s="76" t="n">
        <v>0</v>
      </c>
      <c r="J101">
        <f>IF(PRODUCTOS[[#This Row],[STOCK]]&lt;0,"NEGATIVO",IF(PRODUCTOS[[#This Row],[STOCK]]=0,"SIN STOCK",IF(PRODUCTOS[[#This Row],[STOCK]]&lt;=PRODUCTOS[[#This Row],[STOCK MÍN.]],"BAJO","OK")))</f>
        <v/>
      </c>
      <c r="K1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2" hidden="1" s="11">
      <c r="A102" s="18" t="n">
        <v>87</v>
      </c>
      <c r="B102" s="56" t="inlineStr">
        <is>
          <t>00008-MSC</t>
        </is>
      </c>
      <c r="C102" s="56">
        <f>IFERROR(_xlfn.XLOOKUP(PRODUCTOS[[#This Row],[CODIGO]],LISTADO[CODIGOS],LISTADO[CATEGORIA]),"NO EXISTE")</f>
        <v/>
      </c>
      <c r="D102" s="56">
        <f>IFERROR(_xlfn.XLOOKUP(PRODUCTOS[[#This Row],[CODIGO]],LISTADO[CODIGOS],LISTADO[PRODUCTOS]),"NO EXISTE")</f>
        <v/>
      </c>
      <c r="E102" s="56">
        <f>IFERROR(_xlfn.XLOOKUP(PRODUCTOS[[#This Row],[CODIGO]],LISTADO[CODIGOS],LISTADO[UBICACIÓN]),"NO EXISTE")</f>
        <v/>
      </c>
      <c r="F102" s="56">
        <f>SUMIFS(ENTRADAS[CANTIDAD],ENTRADAS[CODIGO],PRODUCTOS[[#This Row],[CODIGO]])</f>
        <v/>
      </c>
      <c r="G102" s="56">
        <f>SUMIFS(SALIDAS[CANTIDAD],SALIDAS[CODIGO],PRODUCTOS[[#This Row],[CODIGO]])</f>
        <v/>
      </c>
      <c r="H102" s="56">
        <f>PRODUCTOS[[#This Row],[ENTRADAS]]-PRODUCTOS[[#This Row],[SALIDAS ]]</f>
        <v/>
      </c>
      <c r="I102" s="76" t="n">
        <v>0</v>
      </c>
      <c r="J102">
        <f>IF(PRODUCTOS[[#This Row],[STOCK]]&lt;0,"NEGATIVO",IF(PRODUCTOS[[#This Row],[STOCK]]=0,"SIN STOCK",IF(PRODUCTOS[[#This Row],[STOCK]]&lt;=PRODUCTOS[[#This Row],[STOCK MÍN.]],"BAJO","OK")))</f>
        <v/>
      </c>
      <c r="K1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3" hidden="1" s="11">
      <c r="A103" s="18" t="n">
        <v>88</v>
      </c>
      <c r="B103" s="56" t="inlineStr">
        <is>
          <t>00012-HER</t>
        </is>
      </c>
      <c r="C103" s="56">
        <f>IFERROR(_xlfn.XLOOKUP(PRODUCTOS[[#This Row],[CODIGO]],LISTADO[CODIGOS],LISTADO[CATEGORIA]),"NO EXISTE")</f>
        <v/>
      </c>
      <c r="D103" s="56">
        <f>IFERROR(_xlfn.XLOOKUP(PRODUCTOS[[#This Row],[CODIGO]],LISTADO[CODIGOS],LISTADO[PRODUCTOS]),"NO EXISTE")</f>
        <v/>
      </c>
      <c r="E103" s="56">
        <f>IFERROR(_xlfn.XLOOKUP(PRODUCTOS[[#This Row],[CODIGO]],LISTADO[CODIGOS],LISTADO[UBICACIÓN]),"NO EXISTE")</f>
        <v/>
      </c>
      <c r="F103" s="56">
        <f>SUMIFS(ENTRADAS[CANTIDAD],ENTRADAS[CODIGO],PRODUCTOS[[#This Row],[CODIGO]])</f>
        <v/>
      </c>
      <c r="G103" s="56">
        <f>SUMIFS(SALIDAS[CANTIDAD],SALIDAS[CODIGO],PRODUCTOS[[#This Row],[CODIGO]])</f>
        <v/>
      </c>
      <c r="H103" s="56">
        <f>PRODUCTOS[[#This Row],[ENTRADAS]]-PRODUCTOS[[#This Row],[SALIDAS ]]</f>
        <v/>
      </c>
      <c r="I103" s="76" t="n">
        <v>0</v>
      </c>
      <c r="J103">
        <f>IF(PRODUCTOS[[#This Row],[STOCK]]&lt;0,"NEGATIVO",IF(PRODUCTOS[[#This Row],[STOCK]]=0,"SIN STOCK",IF(PRODUCTOS[[#This Row],[STOCK]]&lt;=PRODUCTOS[[#This Row],[STOCK MÍN.]],"BAJO","OK")))</f>
        <v/>
      </c>
      <c r="K1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4" hidden="1" s="11">
      <c r="A104" s="18" t="n">
        <v>89</v>
      </c>
      <c r="B104" s="56" t="inlineStr">
        <is>
          <t>00009-ELC</t>
        </is>
      </c>
      <c r="C104" s="56">
        <f>IFERROR(_xlfn.XLOOKUP(PRODUCTOS[[#This Row],[CODIGO]],LISTADO[CODIGOS],LISTADO[CATEGORIA]),"NO EXISTE")</f>
        <v/>
      </c>
      <c r="D104" s="56">
        <f>IFERROR(_xlfn.XLOOKUP(PRODUCTOS[[#This Row],[CODIGO]],LISTADO[CODIGOS],LISTADO[PRODUCTOS]),"NO EXISTE")</f>
        <v/>
      </c>
      <c r="E104" s="56">
        <f>IFERROR(_xlfn.XLOOKUP(PRODUCTOS[[#This Row],[CODIGO]],LISTADO[CODIGOS],LISTADO[UBICACIÓN]),"NO EXISTE")</f>
        <v/>
      </c>
      <c r="F104" s="56">
        <f>SUMIFS(ENTRADAS[CANTIDAD],ENTRADAS[CODIGO],PRODUCTOS[[#This Row],[CODIGO]])</f>
        <v/>
      </c>
      <c r="G104" s="56">
        <f>SUMIFS(SALIDAS[CANTIDAD],SALIDAS[CODIGO],PRODUCTOS[[#This Row],[CODIGO]])</f>
        <v/>
      </c>
      <c r="H104" s="56">
        <f>PRODUCTOS[[#This Row],[ENTRADAS]]-PRODUCTOS[[#This Row],[SALIDAS ]]</f>
        <v/>
      </c>
      <c r="I104" s="76" t="n">
        <v>0</v>
      </c>
      <c r="J104">
        <f>IF(PRODUCTOS[[#This Row],[STOCK]]&lt;0,"NEGATIVO",IF(PRODUCTOS[[#This Row],[STOCK]]=0,"SIN STOCK",IF(PRODUCTOS[[#This Row],[STOCK]]&lt;=PRODUCTOS[[#This Row],[STOCK MÍN.]],"BAJO","OK")))</f>
        <v/>
      </c>
      <c r="K1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5" hidden="1" s="11">
      <c r="A105" s="18" t="n">
        <v>90</v>
      </c>
      <c r="B105" s="56" t="inlineStr">
        <is>
          <t>00010-ELC</t>
        </is>
      </c>
      <c r="C105" s="56">
        <f>IFERROR(_xlfn.XLOOKUP(PRODUCTOS[[#This Row],[CODIGO]],LISTADO[CODIGOS],LISTADO[CATEGORIA]),"NO EXISTE")</f>
        <v/>
      </c>
      <c r="D105" s="56">
        <f>IFERROR(_xlfn.XLOOKUP(PRODUCTOS[[#This Row],[CODIGO]],LISTADO[CODIGOS],LISTADO[PRODUCTOS]),"NO EXISTE")</f>
        <v/>
      </c>
      <c r="E105" s="56">
        <f>IFERROR(_xlfn.XLOOKUP(PRODUCTOS[[#This Row],[CODIGO]],LISTADO[CODIGOS],LISTADO[UBICACIÓN]),"NO EXISTE")</f>
        <v/>
      </c>
      <c r="F105" s="56">
        <f>SUMIFS(ENTRADAS[CANTIDAD],ENTRADAS[CODIGO],PRODUCTOS[[#This Row],[CODIGO]])</f>
        <v/>
      </c>
      <c r="G105" s="56">
        <f>SUMIFS(SALIDAS[CANTIDAD],SALIDAS[CODIGO],PRODUCTOS[[#This Row],[CODIGO]])</f>
        <v/>
      </c>
      <c r="H105" s="56">
        <f>PRODUCTOS[[#This Row],[ENTRADAS]]-PRODUCTOS[[#This Row],[SALIDAS ]]</f>
        <v/>
      </c>
      <c r="I105" s="76" t="n">
        <v>0</v>
      </c>
      <c r="J105">
        <f>IF(PRODUCTOS[[#This Row],[STOCK]]&lt;0,"NEGATIVO",IF(PRODUCTOS[[#This Row],[STOCK]]=0,"SIN STOCK",IF(PRODUCTOS[[#This Row],[STOCK]]&lt;=PRODUCTOS[[#This Row],[STOCK MÍN.]],"BAJO","OK")))</f>
        <v/>
      </c>
      <c r="K1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6">
      <c r="A106" s="18" t="n">
        <v>91</v>
      </c>
      <c r="B106" s="56" t="inlineStr">
        <is>
          <t>00011-ELC</t>
        </is>
      </c>
      <c r="C106" s="56">
        <f>IFERROR(_xlfn.XLOOKUP(PRODUCTOS[[#This Row],[CODIGO]],LISTADO[CODIGOS],LISTADO[CATEGORIA]),"NO EXISTE")</f>
        <v/>
      </c>
      <c r="D106" s="56">
        <f>IFERROR(_xlfn.XLOOKUP(PRODUCTOS[[#This Row],[CODIGO]],LISTADO[CODIGOS],LISTADO[PRODUCTOS]),"NO EXISTE")</f>
        <v/>
      </c>
      <c r="E106" s="56">
        <f>IFERROR(_xlfn.XLOOKUP(PRODUCTOS[[#This Row],[CODIGO]],LISTADO[CODIGOS],LISTADO[UBICACIÓN]),"NO EXISTE")</f>
        <v/>
      </c>
      <c r="F106" s="56">
        <f>SUMIFS(ENTRADAS[CANTIDAD],ENTRADAS[CODIGO],PRODUCTOS[[#This Row],[CODIGO]])</f>
        <v/>
      </c>
      <c r="G106" s="56">
        <f>SUMIFS(SALIDAS[CANTIDAD],SALIDAS[CODIGO],PRODUCTOS[[#This Row],[CODIGO]])</f>
        <v/>
      </c>
      <c r="H106" s="56">
        <f>PRODUCTOS[[#This Row],[ENTRADAS]]-PRODUCTOS[[#This Row],[SALIDAS ]]</f>
        <v/>
      </c>
      <c r="I106" s="76" t="n">
        <v>0</v>
      </c>
      <c r="J106">
        <f>IF(PRODUCTOS[[#This Row],[STOCK]]&lt;0,"NEGATIVO",IF(PRODUCTOS[[#This Row],[STOCK]]=0,"SIN STOCK",IF(PRODUCTOS[[#This Row],[STOCK]]&lt;=PRODUCTOS[[#This Row],[STOCK MÍN.]],"BAJO","OK")))</f>
        <v/>
      </c>
      <c r="K1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7" hidden="1" s="11">
      <c r="A107" s="18" t="n">
        <v>92</v>
      </c>
      <c r="B107" s="56" t="inlineStr">
        <is>
          <t>00013-HER</t>
        </is>
      </c>
      <c r="C107" s="56">
        <f>IFERROR(_xlfn.XLOOKUP(PRODUCTOS[[#This Row],[CODIGO]],LISTADO[CODIGOS],LISTADO[CATEGORIA]),"NO EXISTE")</f>
        <v/>
      </c>
      <c r="D107" s="56">
        <f>IFERROR(_xlfn.XLOOKUP(PRODUCTOS[[#This Row],[CODIGO]],LISTADO[CODIGOS],LISTADO[PRODUCTOS]),"NO EXISTE")</f>
        <v/>
      </c>
      <c r="E107" s="56">
        <f>IFERROR(_xlfn.XLOOKUP(PRODUCTOS[[#This Row],[CODIGO]],LISTADO[CODIGOS],LISTADO[UBICACIÓN]),"NO EXISTE")</f>
        <v/>
      </c>
      <c r="F107" s="56">
        <f>SUMIFS(ENTRADAS[CANTIDAD],ENTRADAS[CODIGO],PRODUCTOS[[#This Row],[CODIGO]])</f>
        <v/>
      </c>
      <c r="G107" s="56">
        <f>SUMIFS(SALIDAS[CANTIDAD],SALIDAS[CODIGO],PRODUCTOS[[#This Row],[CODIGO]])</f>
        <v/>
      </c>
      <c r="H107" s="56">
        <f>PRODUCTOS[[#This Row],[ENTRADAS]]-PRODUCTOS[[#This Row],[SALIDAS ]]</f>
        <v/>
      </c>
      <c r="I107" s="76" t="n">
        <v>0</v>
      </c>
      <c r="J107">
        <f>IF(PRODUCTOS[[#This Row],[STOCK]]&lt;0,"NEGATIVO",IF(PRODUCTOS[[#This Row],[STOCK]]=0,"SIN STOCK",IF(PRODUCTOS[[#This Row],[STOCK]]&lt;=PRODUCTOS[[#This Row],[STOCK MÍN.]],"BAJO","OK")))</f>
        <v/>
      </c>
      <c r="K1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8" hidden="1" s="11">
      <c r="A108" s="18" t="n">
        <v>93</v>
      </c>
      <c r="B108" s="56" t="inlineStr">
        <is>
          <t>00014-HER</t>
        </is>
      </c>
      <c r="C108" s="56">
        <f>IFERROR(_xlfn.XLOOKUP(PRODUCTOS[[#This Row],[CODIGO]],LISTADO[CODIGOS],LISTADO[CATEGORIA]),"NO EXISTE")</f>
        <v/>
      </c>
      <c r="D108" s="56">
        <f>IFERROR(_xlfn.XLOOKUP(PRODUCTOS[[#This Row],[CODIGO]],LISTADO[CODIGOS],LISTADO[PRODUCTOS]),"NO EXISTE")</f>
        <v/>
      </c>
      <c r="E108" s="56">
        <f>IFERROR(_xlfn.XLOOKUP(PRODUCTOS[[#This Row],[CODIGO]],LISTADO[CODIGOS],LISTADO[UBICACIÓN]),"NO EXISTE")</f>
        <v/>
      </c>
      <c r="F108" s="56">
        <f>SUMIFS(ENTRADAS[CANTIDAD],ENTRADAS[CODIGO],PRODUCTOS[[#This Row],[CODIGO]])</f>
        <v/>
      </c>
      <c r="G108" s="56">
        <f>SUMIFS(SALIDAS[CANTIDAD],SALIDAS[CODIGO],PRODUCTOS[[#This Row],[CODIGO]])</f>
        <v/>
      </c>
      <c r="H108" s="56">
        <f>PRODUCTOS[[#This Row],[ENTRADAS]]-PRODUCTOS[[#This Row],[SALIDAS ]]</f>
        <v/>
      </c>
      <c r="I108" s="76" t="n">
        <v>0</v>
      </c>
      <c r="J108">
        <f>IF(PRODUCTOS[[#This Row],[STOCK]]&lt;0,"NEGATIVO",IF(PRODUCTOS[[#This Row],[STOCK]]=0,"SIN STOCK",IF(PRODUCTOS[[#This Row],[STOCK]]&lt;=PRODUCTOS[[#This Row],[STOCK MÍN.]],"BAJO","OK")))</f>
        <v/>
      </c>
      <c r="K1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9" hidden="1" s="11">
      <c r="A109" s="18" t="n">
        <v>94</v>
      </c>
      <c r="B109" s="56" t="inlineStr">
        <is>
          <t>00021-FER</t>
        </is>
      </c>
      <c r="C109" s="56">
        <f>IFERROR(_xlfn.XLOOKUP(PRODUCTOS[[#This Row],[CODIGO]],LISTADO[CODIGOS],LISTADO[CATEGORIA]),"NO EXISTE")</f>
        <v/>
      </c>
      <c r="D109" s="56">
        <f>IFERROR(_xlfn.XLOOKUP(PRODUCTOS[[#This Row],[CODIGO]],LISTADO[CODIGOS],LISTADO[PRODUCTOS]),"NO EXISTE")</f>
        <v/>
      </c>
      <c r="E109" s="56">
        <f>IFERROR(_xlfn.XLOOKUP(PRODUCTOS[[#This Row],[CODIGO]],LISTADO[CODIGOS],LISTADO[UBICACIÓN]),"NO EXISTE")</f>
        <v/>
      </c>
      <c r="F109" s="56">
        <f>SUMIFS(ENTRADAS[CANTIDAD],ENTRADAS[CODIGO],PRODUCTOS[[#This Row],[CODIGO]])</f>
        <v/>
      </c>
      <c r="G109" s="56">
        <f>SUMIFS(SALIDAS[CANTIDAD],SALIDAS[CODIGO],PRODUCTOS[[#This Row],[CODIGO]])</f>
        <v/>
      </c>
      <c r="H109" s="56">
        <f>PRODUCTOS[[#This Row],[ENTRADAS]]-PRODUCTOS[[#This Row],[SALIDAS ]]</f>
        <v/>
      </c>
      <c r="I109" s="76" t="n">
        <v>0</v>
      </c>
      <c r="J109">
        <f>IF(PRODUCTOS[[#This Row],[STOCK]]&lt;0,"NEGATIVO",IF(PRODUCTOS[[#This Row],[STOCK]]=0,"SIN STOCK",IF(PRODUCTOS[[#This Row],[STOCK]]&lt;=PRODUCTOS[[#This Row],[STOCK MÍN.]],"BAJO","OK")))</f>
        <v/>
      </c>
      <c r="K1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0" hidden="1" s="11">
      <c r="A110" s="18" t="n">
        <v>95</v>
      </c>
      <c r="B110" s="56" t="inlineStr">
        <is>
          <t>00014-OFC</t>
        </is>
      </c>
      <c r="C110" s="56">
        <f>IFERROR(_xlfn.XLOOKUP(PRODUCTOS[[#This Row],[CODIGO]],LISTADO[CODIGOS],LISTADO[CATEGORIA]),"NO EXISTE")</f>
        <v/>
      </c>
      <c r="D110" s="56">
        <f>IFERROR(_xlfn.XLOOKUP(PRODUCTOS[[#This Row],[CODIGO]],LISTADO[CODIGOS],LISTADO[PRODUCTOS]),"NO EXISTE")</f>
        <v/>
      </c>
      <c r="E110" s="56">
        <f>IFERROR(_xlfn.XLOOKUP(PRODUCTOS[[#This Row],[CODIGO]],LISTADO[CODIGOS],LISTADO[UBICACIÓN]),"NO EXISTE")</f>
        <v/>
      </c>
      <c r="F110" s="56">
        <f>SUMIFS(ENTRADAS[CANTIDAD],ENTRADAS[CODIGO],PRODUCTOS[[#This Row],[CODIGO]])</f>
        <v/>
      </c>
      <c r="G110" s="56">
        <f>SUMIFS(SALIDAS[CANTIDAD],SALIDAS[CODIGO],PRODUCTOS[[#This Row],[CODIGO]])</f>
        <v/>
      </c>
      <c r="H110" s="56">
        <f>PRODUCTOS[[#This Row],[ENTRADAS]]-PRODUCTOS[[#This Row],[SALIDAS ]]</f>
        <v/>
      </c>
      <c r="I110" s="76" t="n">
        <v>0</v>
      </c>
      <c r="J110">
        <f>IF(PRODUCTOS[[#This Row],[STOCK]]&lt;0,"NEGATIVO",IF(PRODUCTOS[[#This Row],[STOCK]]=0,"SIN STOCK",IF(PRODUCTOS[[#This Row],[STOCK]]&lt;=PRODUCTOS[[#This Row],[STOCK MÍN.]],"BAJO","OK")))</f>
        <v/>
      </c>
      <c r="K1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1" hidden="1" s="11">
      <c r="A111" s="18" t="n">
        <v>96</v>
      </c>
      <c r="B111" s="56" t="inlineStr">
        <is>
          <t>00015-OFC</t>
        </is>
      </c>
      <c r="C111" s="56">
        <f>IFERROR(_xlfn.XLOOKUP(PRODUCTOS[[#This Row],[CODIGO]],LISTADO[CODIGOS],LISTADO[CATEGORIA]),"NO EXISTE")</f>
        <v/>
      </c>
      <c r="D111" s="56">
        <f>IFERROR(_xlfn.XLOOKUP(PRODUCTOS[[#This Row],[CODIGO]],LISTADO[CODIGOS],LISTADO[PRODUCTOS]),"NO EXISTE")</f>
        <v/>
      </c>
      <c r="E111" s="56">
        <f>IFERROR(_xlfn.XLOOKUP(PRODUCTOS[[#This Row],[CODIGO]],LISTADO[CODIGOS],LISTADO[UBICACIÓN]),"NO EXISTE")</f>
        <v/>
      </c>
      <c r="F111" s="56">
        <f>SUMIFS(ENTRADAS[CANTIDAD],ENTRADAS[CODIGO],PRODUCTOS[[#This Row],[CODIGO]])</f>
        <v/>
      </c>
      <c r="G111" s="56">
        <f>SUMIFS(SALIDAS[CANTIDAD],SALIDAS[CODIGO],PRODUCTOS[[#This Row],[CODIGO]])</f>
        <v/>
      </c>
      <c r="H111" s="56">
        <f>PRODUCTOS[[#This Row],[ENTRADAS]]-PRODUCTOS[[#This Row],[SALIDAS ]]</f>
        <v/>
      </c>
      <c r="I111" s="76" t="n">
        <v>0</v>
      </c>
      <c r="J111">
        <f>IF(PRODUCTOS[[#This Row],[STOCK]]&lt;0,"NEGATIVO",IF(PRODUCTOS[[#This Row],[STOCK]]=0,"SIN STOCK",IF(PRODUCTOS[[#This Row],[STOCK]]&lt;=PRODUCTOS[[#This Row],[STOCK MÍN.]],"BAJO","OK")))</f>
        <v/>
      </c>
      <c r="K1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2" hidden="1" s="11">
      <c r="A112" s="18" t="n">
        <v>97</v>
      </c>
      <c r="B112" s="56" t="inlineStr">
        <is>
          <t>00016-OFC</t>
        </is>
      </c>
      <c r="C112" s="56">
        <f>IFERROR(_xlfn.XLOOKUP(PRODUCTOS[[#This Row],[CODIGO]],LISTADO[CODIGOS],LISTADO[CATEGORIA]),"NO EXISTE")</f>
        <v/>
      </c>
      <c r="D112" s="56">
        <f>IFERROR(_xlfn.XLOOKUP(PRODUCTOS[[#This Row],[CODIGO]],LISTADO[CODIGOS],LISTADO[PRODUCTOS]),"NO EXISTE")</f>
        <v/>
      </c>
      <c r="E112" s="56">
        <f>IFERROR(_xlfn.XLOOKUP(PRODUCTOS[[#This Row],[CODIGO]],LISTADO[CODIGOS],LISTADO[UBICACIÓN]),"NO EXISTE")</f>
        <v/>
      </c>
      <c r="F112" s="56">
        <f>SUMIFS(ENTRADAS[CANTIDAD],ENTRADAS[CODIGO],PRODUCTOS[[#This Row],[CODIGO]])</f>
        <v/>
      </c>
      <c r="G112" s="56">
        <f>SUMIFS(SALIDAS[CANTIDAD],SALIDAS[CODIGO],PRODUCTOS[[#This Row],[CODIGO]])</f>
        <v/>
      </c>
      <c r="H112" s="56">
        <f>PRODUCTOS[[#This Row],[ENTRADAS]]-PRODUCTOS[[#This Row],[SALIDAS ]]</f>
        <v/>
      </c>
      <c r="I112" s="76" t="n">
        <v>0</v>
      </c>
      <c r="J112">
        <f>IF(PRODUCTOS[[#This Row],[STOCK]]&lt;0,"NEGATIVO",IF(PRODUCTOS[[#This Row],[STOCK]]=0,"SIN STOCK",IF(PRODUCTOS[[#This Row],[STOCK]]&lt;=PRODUCTOS[[#This Row],[STOCK MÍN.]],"BAJO","OK")))</f>
        <v/>
      </c>
      <c r="K1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3" hidden="1" s="11">
      <c r="A113" s="18" t="n">
        <v>98</v>
      </c>
      <c r="B113" s="56" t="inlineStr">
        <is>
          <t>00017-OFC</t>
        </is>
      </c>
      <c r="C113" s="56">
        <f>IFERROR(_xlfn.XLOOKUP(PRODUCTOS[[#This Row],[CODIGO]],LISTADO[CODIGOS],LISTADO[CATEGORIA]),"NO EXISTE")</f>
        <v/>
      </c>
      <c r="D113" s="56">
        <f>IFERROR(_xlfn.XLOOKUP(PRODUCTOS[[#This Row],[CODIGO]],LISTADO[CODIGOS],LISTADO[PRODUCTOS]),"NO EXISTE")</f>
        <v/>
      </c>
      <c r="E113" s="56">
        <f>IFERROR(_xlfn.XLOOKUP(PRODUCTOS[[#This Row],[CODIGO]],LISTADO[CODIGOS],LISTADO[UBICACIÓN]),"NO EXISTE")</f>
        <v/>
      </c>
      <c r="F113" s="56">
        <f>SUMIFS(ENTRADAS[CANTIDAD],ENTRADAS[CODIGO],PRODUCTOS[[#This Row],[CODIGO]])</f>
        <v/>
      </c>
      <c r="G113" s="56">
        <f>SUMIFS(SALIDAS[CANTIDAD],SALIDAS[CODIGO],PRODUCTOS[[#This Row],[CODIGO]])</f>
        <v/>
      </c>
      <c r="H113" s="56">
        <f>PRODUCTOS[[#This Row],[ENTRADAS]]-PRODUCTOS[[#This Row],[SALIDAS ]]</f>
        <v/>
      </c>
      <c r="I113" s="76" t="n">
        <v>0</v>
      </c>
      <c r="J113">
        <f>IF(PRODUCTOS[[#This Row],[STOCK]]&lt;0,"NEGATIVO",IF(PRODUCTOS[[#This Row],[STOCK]]=0,"SIN STOCK",IF(PRODUCTOS[[#This Row],[STOCK]]&lt;=PRODUCTOS[[#This Row],[STOCK MÍN.]],"BAJO","OK")))</f>
        <v/>
      </c>
      <c r="K1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4" hidden="1" s="11">
      <c r="A114" s="18" t="n">
        <v>99</v>
      </c>
      <c r="B114" s="56" t="inlineStr">
        <is>
          <t>00015-HER</t>
        </is>
      </c>
      <c r="C114" s="56">
        <f>IFERROR(_xlfn.XLOOKUP(PRODUCTOS[[#This Row],[CODIGO]],LISTADO[CODIGOS],LISTADO[CATEGORIA]),"NO EXISTE")</f>
        <v/>
      </c>
      <c r="D114" s="56">
        <f>IFERROR(_xlfn.XLOOKUP(PRODUCTOS[[#This Row],[CODIGO]],LISTADO[CODIGOS],LISTADO[PRODUCTOS]),"NO EXISTE")</f>
        <v/>
      </c>
      <c r="E114" s="56">
        <f>IFERROR(_xlfn.XLOOKUP(PRODUCTOS[[#This Row],[CODIGO]],LISTADO[CODIGOS],LISTADO[UBICACIÓN]),"NO EXISTE")</f>
        <v/>
      </c>
      <c r="F114" s="56">
        <f>SUMIFS(ENTRADAS[CANTIDAD],ENTRADAS[CODIGO],PRODUCTOS[[#This Row],[CODIGO]])</f>
        <v/>
      </c>
      <c r="G114" s="56">
        <f>SUMIFS(SALIDAS[CANTIDAD],SALIDAS[CODIGO],PRODUCTOS[[#This Row],[CODIGO]])</f>
        <v/>
      </c>
      <c r="H114" s="56">
        <f>PRODUCTOS[[#This Row],[ENTRADAS]]-PRODUCTOS[[#This Row],[SALIDAS ]]</f>
        <v/>
      </c>
      <c r="I114" s="76" t="n">
        <v>0</v>
      </c>
      <c r="J114">
        <f>IF(PRODUCTOS[[#This Row],[STOCK]]&lt;0,"NEGATIVO",IF(PRODUCTOS[[#This Row],[STOCK]]=0,"SIN STOCK",IF(PRODUCTOS[[#This Row],[STOCK]]&lt;=PRODUCTOS[[#This Row],[STOCK MÍN.]],"BAJO","OK")))</f>
        <v/>
      </c>
      <c r="K1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5" hidden="1" s="11">
      <c r="A115" s="18" t="n">
        <v>100</v>
      </c>
      <c r="B115" s="56" t="inlineStr">
        <is>
          <t>00009-REF</t>
        </is>
      </c>
      <c r="C115" s="56">
        <f>IFERROR(_xlfn.XLOOKUP(PRODUCTOS[[#This Row],[CODIGO]],LISTADO[CODIGOS],LISTADO[CATEGORIA]),"NO EXISTE")</f>
        <v/>
      </c>
      <c r="D115" s="56">
        <f>IFERROR(_xlfn.XLOOKUP(PRODUCTOS[[#This Row],[CODIGO]],LISTADO[CODIGOS],LISTADO[PRODUCTOS]),"NO EXISTE")</f>
        <v/>
      </c>
      <c r="E115" s="56">
        <f>IFERROR(_xlfn.XLOOKUP(PRODUCTOS[[#This Row],[CODIGO]],LISTADO[CODIGOS],LISTADO[UBICACIÓN]),"NO EXISTE")</f>
        <v/>
      </c>
      <c r="F115" s="56">
        <f>SUMIFS(ENTRADAS[CANTIDAD],ENTRADAS[CODIGO],PRODUCTOS[[#This Row],[CODIGO]])</f>
        <v/>
      </c>
      <c r="G115" s="56">
        <f>SUMIFS(SALIDAS[CANTIDAD],SALIDAS[CODIGO],PRODUCTOS[[#This Row],[CODIGO]])</f>
        <v/>
      </c>
      <c r="H115" s="56">
        <f>PRODUCTOS[[#This Row],[ENTRADAS]]-PRODUCTOS[[#This Row],[SALIDAS ]]</f>
        <v/>
      </c>
      <c r="I115" s="76" t="n">
        <v>0</v>
      </c>
      <c r="J115">
        <f>IF(PRODUCTOS[[#This Row],[STOCK]]&lt;0,"NEGATIVO",IF(PRODUCTOS[[#This Row],[STOCK]]=0,"SIN STOCK",IF(PRODUCTOS[[#This Row],[STOCK]]&lt;=PRODUCTOS[[#This Row],[STOCK MÍN.]],"BAJO","OK")))</f>
        <v/>
      </c>
      <c r="K1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6" hidden="1" s="11">
      <c r="A116" s="18" t="n">
        <v>101</v>
      </c>
      <c r="B116" s="56" t="inlineStr">
        <is>
          <t>00016-HER</t>
        </is>
      </c>
      <c r="C116" s="56">
        <f>IFERROR(_xlfn.XLOOKUP(PRODUCTOS[[#This Row],[CODIGO]],LISTADO[CODIGOS],LISTADO[CATEGORIA]),"NO EXISTE")</f>
        <v/>
      </c>
      <c r="D116" s="56">
        <f>IFERROR(_xlfn.XLOOKUP(PRODUCTOS[[#This Row],[CODIGO]],LISTADO[CODIGOS],LISTADO[PRODUCTOS]),"NO EXISTE")</f>
        <v/>
      </c>
      <c r="E116" s="56">
        <f>IFERROR(_xlfn.XLOOKUP(PRODUCTOS[[#This Row],[CODIGO]],LISTADO[CODIGOS],LISTADO[UBICACIÓN]),"NO EXISTE")</f>
        <v/>
      </c>
      <c r="F116" s="56">
        <f>SUMIFS(ENTRADAS[CANTIDAD],ENTRADAS[CODIGO],PRODUCTOS[[#This Row],[CODIGO]])</f>
        <v/>
      </c>
      <c r="G116" s="56">
        <f>SUMIFS(SALIDAS[CANTIDAD],SALIDAS[CODIGO],PRODUCTOS[[#This Row],[CODIGO]])</f>
        <v/>
      </c>
      <c r="H116" s="56">
        <f>PRODUCTOS[[#This Row],[ENTRADAS]]-PRODUCTOS[[#This Row],[SALIDAS ]]</f>
        <v/>
      </c>
      <c r="I116" s="76" t="n">
        <v>0</v>
      </c>
      <c r="J116">
        <f>IF(PRODUCTOS[[#This Row],[STOCK]]&lt;0,"NEGATIVO",IF(PRODUCTOS[[#This Row],[STOCK]]=0,"SIN STOCK",IF(PRODUCTOS[[#This Row],[STOCK]]&lt;=PRODUCTOS[[#This Row],[STOCK MÍN.]],"BAJO","OK")))</f>
        <v/>
      </c>
      <c r="K1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7" hidden="1" s="11">
      <c r="A117" s="18" t="n">
        <v>102</v>
      </c>
      <c r="B117" s="56" t="inlineStr">
        <is>
          <t>00017-HER</t>
        </is>
      </c>
      <c r="C117" s="56">
        <f>IFERROR(_xlfn.XLOOKUP(PRODUCTOS[[#This Row],[CODIGO]],LISTADO[CODIGOS],LISTADO[CATEGORIA]),"NO EXISTE")</f>
        <v/>
      </c>
      <c r="D117" s="56">
        <f>IFERROR(_xlfn.XLOOKUP(PRODUCTOS[[#This Row],[CODIGO]],LISTADO[CODIGOS],LISTADO[PRODUCTOS]),"NO EXISTE")</f>
        <v/>
      </c>
      <c r="E117" s="56">
        <f>IFERROR(_xlfn.XLOOKUP(PRODUCTOS[[#This Row],[CODIGO]],LISTADO[CODIGOS],LISTADO[UBICACIÓN]),"NO EXISTE")</f>
        <v/>
      </c>
      <c r="F117" s="56">
        <f>SUMIFS(ENTRADAS[CANTIDAD],ENTRADAS[CODIGO],PRODUCTOS[[#This Row],[CODIGO]])</f>
        <v/>
      </c>
      <c r="G117" s="56">
        <f>SUMIFS(SALIDAS[CANTIDAD],SALIDAS[CODIGO],PRODUCTOS[[#This Row],[CODIGO]])</f>
        <v/>
      </c>
      <c r="H117" s="56">
        <f>PRODUCTOS[[#This Row],[ENTRADAS]]-PRODUCTOS[[#This Row],[SALIDAS ]]</f>
        <v/>
      </c>
      <c r="I117" s="76" t="n">
        <v>0</v>
      </c>
      <c r="J117">
        <f>IF(PRODUCTOS[[#This Row],[STOCK]]&lt;0,"NEGATIVO",IF(PRODUCTOS[[#This Row],[STOCK]]=0,"SIN STOCK",IF(PRODUCTOS[[#This Row],[STOCK]]&lt;=PRODUCTOS[[#This Row],[STOCK MÍN.]],"BAJO","OK")))</f>
        <v/>
      </c>
      <c r="K1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8" hidden="1" s="11">
      <c r="A118" s="18" t="n">
        <v>103</v>
      </c>
      <c r="B118" s="56" t="inlineStr">
        <is>
          <t>00018-HER</t>
        </is>
      </c>
      <c r="C118" s="56">
        <f>IFERROR(_xlfn.XLOOKUP(PRODUCTOS[[#This Row],[CODIGO]],LISTADO[CODIGOS],LISTADO[CATEGORIA]),"NO EXISTE")</f>
        <v/>
      </c>
      <c r="D118" s="56">
        <f>IFERROR(_xlfn.XLOOKUP(PRODUCTOS[[#This Row],[CODIGO]],LISTADO[CODIGOS],LISTADO[PRODUCTOS]),"NO EXISTE")</f>
        <v/>
      </c>
      <c r="E118" s="56">
        <f>IFERROR(_xlfn.XLOOKUP(PRODUCTOS[[#This Row],[CODIGO]],LISTADO[CODIGOS],LISTADO[UBICACIÓN]),"NO EXISTE")</f>
        <v/>
      </c>
      <c r="F118" s="56">
        <f>SUMIFS(ENTRADAS[CANTIDAD],ENTRADAS[CODIGO],PRODUCTOS[[#This Row],[CODIGO]])</f>
        <v/>
      </c>
      <c r="G118" s="56">
        <f>SUMIFS(SALIDAS[CANTIDAD],SALIDAS[CODIGO],PRODUCTOS[[#This Row],[CODIGO]])</f>
        <v/>
      </c>
      <c r="H118" s="56">
        <f>PRODUCTOS[[#This Row],[ENTRADAS]]-PRODUCTOS[[#This Row],[SALIDAS ]]</f>
        <v/>
      </c>
      <c r="I118" s="76" t="n">
        <v>0</v>
      </c>
      <c r="J118">
        <f>IF(PRODUCTOS[[#This Row],[STOCK]]&lt;0,"NEGATIVO",IF(PRODUCTOS[[#This Row],[STOCK]]=0,"SIN STOCK",IF(PRODUCTOS[[#This Row],[STOCK]]&lt;=PRODUCTOS[[#This Row],[STOCK MÍN.]],"BAJO","OK")))</f>
        <v/>
      </c>
      <c r="K1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9" hidden="1" s="11">
      <c r="A119" s="18" t="n">
        <v>104</v>
      </c>
      <c r="B119" s="56" t="inlineStr">
        <is>
          <t>00019-HER</t>
        </is>
      </c>
      <c r="C119" s="56">
        <f>IFERROR(_xlfn.XLOOKUP(PRODUCTOS[[#This Row],[CODIGO]],LISTADO[CODIGOS],LISTADO[CATEGORIA]),"NO EXISTE")</f>
        <v/>
      </c>
      <c r="D119" s="56">
        <f>IFERROR(_xlfn.XLOOKUP(PRODUCTOS[[#This Row],[CODIGO]],LISTADO[CODIGOS],LISTADO[PRODUCTOS]),"NO EXISTE")</f>
        <v/>
      </c>
      <c r="E119" s="56">
        <f>IFERROR(_xlfn.XLOOKUP(PRODUCTOS[[#This Row],[CODIGO]],LISTADO[CODIGOS],LISTADO[UBICACIÓN]),"NO EXISTE")</f>
        <v/>
      </c>
      <c r="F119" s="56">
        <f>SUMIFS(ENTRADAS[CANTIDAD],ENTRADAS[CODIGO],PRODUCTOS[[#This Row],[CODIGO]])</f>
        <v/>
      </c>
      <c r="G119" s="56">
        <f>SUMIFS(SALIDAS[CANTIDAD],SALIDAS[CODIGO],PRODUCTOS[[#This Row],[CODIGO]])</f>
        <v/>
      </c>
      <c r="H119" s="56">
        <f>PRODUCTOS[[#This Row],[ENTRADAS]]-PRODUCTOS[[#This Row],[SALIDAS ]]</f>
        <v/>
      </c>
      <c r="I119" s="76" t="n">
        <v>0</v>
      </c>
      <c r="J119">
        <f>IF(PRODUCTOS[[#This Row],[STOCK]]&lt;0,"NEGATIVO",IF(PRODUCTOS[[#This Row],[STOCK]]=0,"SIN STOCK",IF(PRODUCTOS[[#This Row],[STOCK]]&lt;=PRODUCTOS[[#This Row],[STOCK MÍN.]],"BAJO","OK")))</f>
        <v/>
      </c>
      <c r="K1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0" hidden="1" s="11">
      <c r="A120" s="18" t="n">
        <v>105</v>
      </c>
      <c r="B120" s="56" t="inlineStr">
        <is>
          <t>00020-HER</t>
        </is>
      </c>
      <c r="C120" s="56">
        <f>IFERROR(_xlfn.XLOOKUP(PRODUCTOS[[#This Row],[CODIGO]],LISTADO[CODIGOS],LISTADO[CATEGORIA]),"NO EXISTE")</f>
        <v/>
      </c>
      <c r="D120" s="56">
        <f>IFERROR(_xlfn.XLOOKUP(PRODUCTOS[[#This Row],[CODIGO]],LISTADO[CODIGOS],LISTADO[PRODUCTOS]),"NO EXISTE")</f>
        <v/>
      </c>
      <c r="E120" s="56">
        <f>IFERROR(_xlfn.XLOOKUP(PRODUCTOS[[#This Row],[CODIGO]],LISTADO[CODIGOS],LISTADO[UBICACIÓN]),"NO EXISTE")</f>
        <v/>
      </c>
      <c r="F120" s="56">
        <f>SUMIFS(ENTRADAS[CANTIDAD],ENTRADAS[CODIGO],PRODUCTOS[[#This Row],[CODIGO]])</f>
        <v/>
      </c>
      <c r="G120" s="56">
        <f>SUMIFS(SALIDAS[CANTIDAD],SALIDAS[CODIGO],PRODUCTOS[[#This Row],[CODIGO]])</f>
        <v/>
      </c>
      <c r="H120" s="56">
        <f>PRODUCTOS[[#This Row],[ENTRADAS]]-PRODUCTOS[[#This Row],[SALIDAS ]]</f>
        <v/>
      </c>
      <c r="I120" s="76" t="n">
        <v>0</v>
      </c>
      <c r="J120">
        <f>IF(PRODUCTOS[[#This Row],[STOCK]]&lt;0,"NEGATIVO",IF(PRODUCTOS[[#This Row],[STOCK]]=0,"SIN STOCK",IF(PRODUCTOS[[#This Row],[STOCK]]&lt;=PRODUCTOS[[#This Row],[STOCK MÍN.]],"BAJO","OK")))</f>
        <v/>
      </c>
      <c r="K1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1" hidden="1" s="11">
      <c r="A121" s="18" t="n">
        <v>106</v>
      </c>
      <c r="B121" s="56" t="inlineStr">
        <is>
          <t>00021-HER</t>
        </is>
      </c>
      <c r="C121" s="56">
        <f>IFERROR(_xlfn.XLOOKUP(PRODUCTOS[[#This Row],[CODIGO]],LISTADO[CODIGOS],LISTADO[CATEGORIA]),"NO EXISTE")</f>
        <v/>
      </c>
      <c r="D121" s="56">
        <f>IFERROR(_xlfn.XLOOKUP(PRODUCTOS[[#This Row],[CODIGO]],LISTADO[CODIGOS],LISTADO[PRODUCTOS]),"NO EXISTE")</f>
        <v/>
      </c>
      <c r="E121" s="56">
        <f>IFERROR(_xlfn.XLOOKUP(PRODUCTOS[[#This Row],[CODIGO]],LISTADO[CODIGOS],LISTADO[UBICACIÓN]),"NO EXISTE")</f>
        <v/>
      </c>
      <c r="F121" s="56">
        <f>SUMIFS(ENTRADAS[CANTIDAD],ENTRADAS[CODIGO],PRODUCTOS[[#This Row],[CODIGO]])</f>
        <v/>
      </c>
      <c r="G121" s="56">
        <f>SUMIFS(SALIDAS[CANTIDAD],SALIDAS[CODIGO],PRODUCTOS[[#This Row],[CODIGO]])</f>
        <v/>
      </c>
      <c r="H121" s="56">
        <f>PRODUCTOS[[#This Row],[ENTRADAS]]-PRODUCTOS[[#This Row],[SALIDAS ]]</f>
        <v/>
      </c>
      <c r="I121" s="76" t="n">
        <v>0</v>
      </c>
      <c r="J121">
        <f>IF(PRODUCTOS[[#This Row],[STOCK]]&lt;0,"NEGATIVO",IF(PRODUCTOS[[#This Row],[STOCK]]=0,"SIN STOCK",IF(PRODUCTOS[[#This Row],[STOCK]]&lt;=PRODUCTOS[[#This Row],[STOCK MÍN.]],"BAJO","OK")))</f>
        <v/>
      </c>
      <c r="K1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2" hidden="1" s="11">
      <c r="A122" s="18" t="n">
        <v>107</v>
      </c>
      <c r="B122" s="56" t="inlineStr">
        <is>
          <t>00022-HER</t>
        </is>
      </c>
      <c r="C122" s="56">
        <f>IFERROR(_xlfn.XLOOKUP(PRODUCTOS[[#This Row],[CODIGO]],LISTADO[CODIGOS],LISTADO[CATEGORIA]),"NO EXISTE")</f>
        <v/>
      </c>
      <c r="D122" s="56">
        <f>IFERROR(_xlfn.XLOOKUP(PRODUCTOS[[#This Row],[CODIGO]],LISTADO[CODIGOS],LISTADO[PRODUCTOS]),"NO EXISTE")</f>
        <v/>
      </c>
      <c r="E122" s="56">
        <f>IFERROR(_xlfn.XLOOKUP(PRODUCTOS[[#This Row],[CODIGO]],LISTADO[CODIGOS],LISTADO[UBICACIÓN]),"NO EXISTE")</f>
        <v/>
      </c>
      <c r="F122" s="56">
        <f>SUMIFS(ENTRADAS[CANTIDAD],ENTRADAS[CODIGO],PRODUCTOS[[#This Row],[CODIGO]])</f>
        <v/>
      </c>
      <c r="G122" s="56">
        <f>SUMIFS(SALIDAS[CANTIDAD],SALIDAS[CODIGO],PRODUCTOS[[#This Row],[CODIGO]])</f>
        <v/>
      </c>
      <c r="H122" s="56">
        <f>PRODUCTOS[[#This Row],[ENTRADAS]]-PRODUCTOS[[#This Row],[SALIDAS ]]</f>
        <v/>
      </c>
      <c r="I122" s="76" t="n">
        <v>0</v>
      </c>
      <c r="J122">
        <f>IF(PRODUCTOS[[#This Row],[STOCK]]&lt;0,"NEGATIVO",IF(PRODUCTOS[[#This Row],[STOCK]]=0,"SIN STOCK",IF(PRODUCTOS[[#This Row],[STOCK]]&lt;=PRODUCTOS[[#This Row],[STOCK MÍN.]],"BAJO","OK")))</f>
        <v/>
      </c>
      <c r="K1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3" hidden="1" s="11">
      <c r="A123" s="18" t="n">
        <v>108</v>
      </c>
      <c r="B123" s="56" t="inlineStr">
        <is>
          <t>00023-HER</t>
        </is>
      </c>
      <c r="C123" s="56">
        <f>IFERROR(_xlfn.XLOOKUP(PRODUCTOS[[#This Row],[CODIGO]],LISTADO[CODIGOS],LISTADO[CATEGORIA]),"NO EXISTE")</f>
        <v/>
      </c>
      <c r="D123" s="56">
        <f>IFERROR(_xlfn.XLOOKUP(PRODUCTOS[[#This Row],[CODIGO]],LISTADO[CODIGOS],LISTADO[PRODUCTOS]),"NO EXISTE")</f>
        <v/>
      </c>
      <c r="E123" s="56">
        <f>IFERROR(_xlfn.XLOOKUP(PRODUCTOS[[#This Row],[CODIGO]],LISTADO[CODIGOS],LISTADO[UBICACIÓN]),"NO EXISTE")</f>
        <v/>
      </c>
      <c r="F123" s="56">
        <f>SUMIFS(ENTRADAS[CANTIDAD],ENTRADAS[CODIGO],PRODUCTOS[[#This Row],[CODIGO]])</f>
        <v/>
      </c>
      <c r="G123" s="56">
        <f>SUMIFS(SALIDAS[CANTIDAD],SALIDAS[CODIGO],PRODUCTOS[[#This Row],[CODIGO]])</f>
        <v/>
      </c>
      <c r="H123" s="56">
        <f>PRODUCTOS[[#This Row],[ENTRADAS]]-PRODUCTOS[[#This Row],[SALIDAS ]]</f>
        <v/>
      </c>
      <c r="I123" s="76" t="n">
        <v>0</v>
      </c>
      <c r="J123">
        <f>IF(PRODUCTOS[[#This Row],[STOCK]]&lt;0,"NEGATIVO",IF(PRODUCTOS[[#This Row],[STOCK]]=0,"SIN STOCK",IF(PRODUCTOS[[#This Row],[STOCK]]&lt;=PRODUCTOS[[#This Row],[STOCK MÍN.]],"BAJO","OK")))</f>
        <v/>
      </c>
      <c r="K1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4" hidden="1" s="11">
      <c r="A124" s="18" t="n">
        <v>109</v>
      </c>
      <c r="B124" s="56" t="inlineStr">
        <is>
          <t>00024-HER</t>
        </is>
      </c>
      <c r="C124" s="56">
        <f>IFERROR(_xlfn.XLOOKUP(PRODUCTOS[[#This Row],[CODIGO]],LISTADO[CODIGOS],LISTADO[CATEGORIA]),"NO EXISTE")</f>
        <v/>
      </c>
      <c r="D124" s="56">
        <f>IFERROR(_xlfn.XLOOKUP(PRODUCTOS[[#This Row],[CODIGO]],LISTADO[CODIGOS],LISTADO[PRODUCTOS]),"NO EXISTE")</f>
        <v/>
      </c>
      <c r="E124" s="56">
        <f>IFERROR(_xlfn.XLOOKUP(PRODUCTOS[[#This Row],[CODIGO]],LISTADO[CODIGOS],LISTADO[UBICACIÓN]),"NO EXISTE")</f>
        <v/>
      </c>
      <c r="F124" s="56">
        <f>SUMIFS(ENTRADAS[CANTIDAD],ENTRADAS[CODIGO],PRODUCTOS[[#This Row],[CODIGO]])</f>
        <v/>
      </c>
      <c r="G124" s="56">
        <f>SUMIFS(SALIDAS[CANTIDAD],SALIDAS[CODIGO],PRODUCTOS[[#This Row],[CODIGO]])</f>
        <v/>
      </c>
      <c r="H124" s="56">
        <f>PRODUCTOS[[#This Row],[ENTRADAS]]-PRODUCTOS[[#This Row],[SALIDAS ]]</f>
        <v/>
      </c>
      <c r="I124" s="76" t="n">
        <v>0</v>
      </c>
      <c r="J124">
        <f>IF(PRODUCTOS[[#This Row],[STOCK]]&lt;0,"NEGATIVO",IF(PRODUCTOS[[#This Row],[STOCK]]=0,"SIN STOCK",IF(PRODUCTOS[[#This Row],[STOCK]]&lt;=PRODUCTOS[[#This Row],[STOCK MÍN.]],"BAJO","OK")))</f>
        <v/>
      </c>
      <c r="K1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5" hidden="1" s="11">
      <c r="A125" s="18" t="n">
        <v>110</v>
      </c>
      <c r="B125" s="56" t="inlineStr">
        <is>
          <t>00025-HER</t>
        </is>
      </c>
      <c r="C125" s="56">
        <f>IFERROR(_xlfn.XLOOKUP(PRODUCTOS[[#This Row],[CODIGO]],LISTADO[CODIGOS],LISTADO[CATEGORIA]),"NO EXISTE")</f>
        <v/>
      </c>
      <c r="D125" s="56">
        <f>IFERROR(_xlfn.XLOOKUP(PRODUCTOS[[#This Row],[CODIGO]],LISTADO[CODIGOS],LISTADO[PRODUCTOS]),"NO EXISTE")</f>
        <v/>
      </c>
      <c r="E125" s="56">
        <f>IFERROR(_xlfn.XLOOKUP(PRODUCTOS[[#This Row],[CODIGO]],LISTADO[CODIGOS],LISTADO[UBICACIÓN]),"NO EXISTE")</f>
        <v/>
      </c>
      <c r="F125" s="56">
        <f>SUMIFS(ENTRADAS[CANTIDAD],ENTRADAS[CODIGO],PRODUCTOS[[#This Row],[CODIGO]])</f>
        <v/>
      </c>
      <c r="G125" s="56">
        <f>SUMIFS(SALIDAS[CANTIDAD],SALIDAS[CODIGO],PRODUCTOS[[#This Row],[CODIGO]])</f>
        <v/>
      </c>
      <c r="H125" s="56">
        <f>PRODUCTOS[[#This Row],[ENTRADAS]]-PRODUCTOS[[#This Row],[SALIDAS ]]</f>
        <v/>
      </c>
      <c r="I125" s="76" t="n">
        <v>0</v>
      </c>
      <c r="J125">
        <f>IF(PRODUCTOS[[#This Row],[STOCK]]&lt;0,"NEGATIVO",IF(PRODUCTOS[[#This Row],[STOCK]]=0,"SIN STOCK",IF(PRODUCTOS[[#This Row],[STOCK]]&lt;=PRODUCTOS[[#This Row],[STOCK MÍN.]],"BAJO","OK")))</f>
        <v/>
      </c>
      <c r="K1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6" hidden="1" s="11">
      <c r="A126" s="18" t="n">
        <v>458</v>
      </c>
      <c r="B126" s="56" t="inlineStr">
        <is>
          <t>00026-HER</t>
        </is>
      </c>
      <c r="C126" s="56">
        <f>IFERROR(_xlfn.XLOOKUP(PRODUCTOS[[#This Row],[CODIGO]],LISTADO[CODIGOS],LISTADO[CATEGORIA]),"NO EXISTE")</f>
        <v/>
      </c>
      <c r="D126" s="56">
        <f>IFERROR(_xlfn.XLOOKUP(PRODUCTOS[[#This Row],[CODIGO]],LISTADO[CODIGOS],LISTADO[PRODUCTOS]),"NO EXISTE")</f>
        <v/>
      </c>
      <c r="E126" s="56">
        <f>IFERROR(_xlfn.XLOOKUP(PRODUCTOS[[#This Row],[CODIGO]],LISTADO[CODIGOS],LISTADO[UBICACIÓN]),"NO EXISTE")</f>
        <v/>
      </c>
      <c r="F126" s="56">
        <f>SUMIFS(ENTRADAS[CANTIDAD],ENTRADAS[CODIGO],PRODUCTOS[[#This Row],[CODIGO]])</f>
        <v/>
      </c>
      <c r="G126" s="56">
        <f>SUMIFS(SALIDAS[CANTIDAD],SALIDAS[CODIGO],PRODUCTOS[[#This Row],[CODIGO]])</f>
        <v/>
      </c>
      <c r="H126" s="56">
        <f>PRODUCTOS[[#This Row],[ENTRADAS]]-PRODUCTOS[[#This Row],[SALIDAS ]]</f>
        <v/>
      </c>
      <c r="I126" s="76" t="n">
        <v>0</v>
      </c>
      <c r="J126">
        <f>IF(PRODUCTOS[[#This Row],[STOCK]]&lt;0,"NEGATIVO",IF(PRODUCTOS[[#This Row],[STOCK]]=0,"SIN STOCK",IF(PRODUCTOS[[#This Row],[STOCK]]&lt;=PRODUCTOS[[#This Row],[STOCK MÍN.]],"BAJO","OK")))</f>
        <v/>
      </c>
      <c r="K1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7" hidden="1" s="11">
      <c r="A127" s="18" t="n">
        <v>112</v>
      </c>
      <c r="B127" s="56" t="inlineStr">
        <is>
          <t>00027-HER</t>
        </is>
      </c>
      <c r="C127" s="56">
        <f>IFERROR(_xlfn.XLOOKUP(PRODUCTOS[[#This Row],[CODIGO]],LISTADO[CODIGOS],LISTADO[CATEGORIA]),"NO EXISTE")</f>
        <v/>
      </c>
      <c r="D127" s="56">
        <f>IFERROR(_xlfn.XLOOKUP(PRODUCTOS[[#This Row],[CODIGO]],LISTADO[CODIGOS],LISTADO[PRODUCTOS]),"NO EXISTE")</f>
        <v/>
      </c>
      <c r="E127" s="56">
        <f>IFERROR(_xlfn.XLOOKUP(PRODUCTOS[[#This Row],[CODIGO]],LISTADO[CODIGOS],LISTADO[UBICACIÓN]),"NO EXISTE")</f>
        <v/>
      </c>
      <c r="F127" s="56">
        <f>SUMIFS(ENTRADAS[CANTIDAD],ENTRADAS[CODIGO],PRODUCTOS[[#This Row],[CODIGO]])</f>
        <v/>
      </c>
      <c r="G127" s="56">
        <f>SUMIFS(SALIDAS[CANTIDAD],SALIDAS[CODIGO],PRODUCTOS[[#This Row],[CODIGO]])</f>
        <v/>
      </c>
      <c r="H127" s="56">
        <f>PRODUCTOS[[#This Row],[ENTRADAS]]-PRODUCTOS[[#This Row],[SALIDAS ]]</f>
        <v/>
      </c>
      <c r="I127" s="76" t="n">
        <v>0</v>
      </c>
      <c r="J127">
        <f>IF(PRODUCTOS[[#This Row],[STOCK]]&lt;0,"NEGATIVO",IF(PRODUCTOS[[#This Row],[STOCK]]=0,"SIN STOCK",IF(PRODUCTOS[[#This Row],[STOCK]]&lt;=PRODUCTOS[[#This Row],[STOCK MÍN.]],"BAJO","OK")))</f>
        <v/>
      </c>
      <c r="K1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8" hidden="1" s="11">
      <c r="A128" s="18" t="n">
        <v>113</v>
      </c>
      <c r="B128" s="56" t="inlineStr">
        <is>
          <t>00028-HER</t>
        </is>
      </c>
      <c r="C128" s="56">
        <f>IFERROR(_xlfn.XLOOKUP(PRODUCTOS[[#This Row],[CODIGO]],LISTADO[CODIGOS],LISTADO[CATEGORIA]),"NO EXISTE")</f>
        <v/>
      </c>
      <c r="D128" s="56">
        <f>IFERROR(_xlfn.XLOOKUP(PRODUCTOS[[#This Row],[CODIGO]],LISTADO[CODIGOS],LISTADO[PRODUCTOS]),"NO EXISTE")</f>
        <v/>
      </c>
      <c r="E128" s="56">
        <f>IFERROR(_xlfn.XLOOKUP(PRODUCTOS[[#This Row],[CODIGO]],LISTADO[CODIGOS],LISTADO[UBICACIÓN]),"NO EXISTE")</f>
        <v/>
      </c>
      <c r="F128" s="56">
        <f>SUMIFS(ENTRADAS[CANTIDAD],ENTRADAS[CODIGO],PRODUCTOS[[#This Row],[CODIGO]])</f>
        <v/>
      </c>
      <c r="G128" s="56">
        <f>SUMIFS(SALIDAS[CANTIDAD],SALIDAS[CODIGO],PRODUCTOS[[#This Row],[CODIGO]])</f>
        <v/>
      </c>
      <c r="H128" s="56">
        <f>PRODUCTOS[[#This Row],[ENTRADAS]]-PRODUCTOS[[#This Row],[SALIDAS ]]</f>
        <v/>
      </c>
      <c r="I128" s="76" t="n">
        <v>0</v>
      </c>
      <c r="J128">
        <f>IF(PRODUCTOS[[#This Row],[STOCK]]&lt;0,"NEGATIVO",IF(PRODUCTOS[[#This Row],[STOCK]]=0,"SIN STOCK",IF(PRODUCTOS[[#This Row],[STOCK]]&lt;=PRODUCTOS[[#This Row],[STOCK MÍN.]],"BAJO","OK")))</f>
        <v/>
      </c>
      <c r="K1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9" hidden="1" s="11">
      <c r="A129" s="18" t="n">
        <v>114</v>
      </c>
      <c r="B129" s="56" t="inlineStr">
        <is>
          <t>00029-HER</t>
        </is>
      </c>
      <c r="C129" s="56">
        <f>IFERROR(_xlfn.XLOOKUP(PRODUCTOS[[#This Row],[CODIGO]],LISTADO[CODIGOS],LISTADO[CATEGORIA]),"NO EXISTE")</f>
        <v/>
      </c>
      <c r="D129" s="56">
        <f>IFERROR(_xlfn.XLOOKUP(PRODUCTOS[[#This Row],[CODIGO]],LISTADO[CODIGOS],LISTADO[PRODUCTOS]),"NO EXISTE")</f>
        <v/>
      </c>
      <c r="E129" s="56">
        <f>IFERROR(_xlfn.XLOOKUP(PRODUCTOS[[#This Row],[CODIGO]],LISTADO[CODIGOS],LISTADO[UBICACIÓN]),"NO EXISTE")</f>
        <v/>
      </c>
      <c r="F129" s="56">
        <f>SUMIFS(ENTRADAS[CANTIDAD],ENTRADAS[CODIGO],PRODUCTOS[[#This Row],[CODIGO]])</f>
        <v/>
      </c>
      <c r="G129" s="56">
        <f>SUMIFS(SALIDAS[CANTIDAD],SALIDAS[CODIGO],PRODUCTOS[[#This Row],[CODIGO]])</f>
        <v/>
      </c>
      <c r="H129" s="56">
        <f>PRODUCTOS[[#This Row],[ENTRADAS]]-PRODUCTOS[[#This Row],[SALIDAS ]]</f>
        <v/>
      </c>
      <c r="I129" s="76" t="n">
        <v>0</v>
      </c>
      <c r="J129">
        <f>IF(PRODUCTOS[[#This Row],[STOCK]]&lt;0,"NEGATIVO",IF(PRODUCTOS[[#This Row],[STOCK]]=0,"SIN STOCK",IF(PRODUCTOS[[#This Row],[STOCK]]&lt;=PRODUCTOS[[#This Row],[STOCK MÍN.]],"BAJO","OK")))</f>
        <v/>
      </c>
      <c r="K1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30" hidden="1" s="11">
      <c r="A130" s="18" t="n">
        <v>115</v>
      </c>
      <c r="B130" s="56" t="inlineStr">
        <is>
          <t>00030-HER</t>
        </is>
      </c>
      <c r="C130" s="56">
        <f>IFERROR(_xlfn.XLOOKUP(PRODUCTOS[[#This Row],[CODIGO]],LISTADO[CODIGOS],LISTADO[CATEGORIA]),"NO EXISTE")</f>
        <v/>
      </c>
      <c r="D130" s="56">
        <f>IFERROR(_xlfn.XLOOKUP(PRODUCTOS[[#This Row],[CODIGO]],LISTADO[CODIGOS],LISTADO[PRODUCTOS]),"NO EXISTE")</f>
        <v/>
      </c>
      <c r="E130" s="56">
        <f>IFERROR(_xlfn.XLOOKUP(PRODUCTOS[[#This Row],[CODIGO]],LISTADO[CODIGOS],LISTADO[UBICACIÓN]),"NO EXISTE")</f>
        <v/>
      </c>
      <c r="F130" s="56">
        <f>SUMIFS(ENTRADAS[CANTIDAD],ENTRADAS[CODIGO],PRODUCTOS[[#This Row],[CODIGO]])</f>
        <v/>
      </c>
      <c r="G130" s="56">
        <f>SUMIFS(SALIDAS[CANTIDAD],SALIDAS[CODIGO],PRODUCTOS[[#This Row],[CODIGO]])</f>
        <v/>
      </c>
      <c r="H130" s="56">
        <f>PRODUCTOS[[#This Row],[ENTRADAS]]-PRODUCTOS[[#This Row],[SALIDAS ]]</f>
        <v/>
      </c>
      <c r="I130" s="76" t="n">
        <v>0</v>
      </c>
      <c r="J130">
        <f>IF(PRODUCTOS[[#This Row],[STOCK]]&lt;0,"NEGATIVO",IF(PRODUCTOS[[#This Row],[STOCK]]=0,"SIN STOCK",IF(PRODUCTOS[[#This Row],[STOCK]]&lt;=PRODUCTOS[[#This Row],[STOCK MÍN.]],"BAJO","OK")))</f>
        <v/>
      </c>
      <c r="K1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31" hidden="1" s="11">
      <c r="A131" s="18" t="n">
        <v>116</v>
      </c>
      <c r="B131" s="56" t="inlineStr">
        <is>
          <t>00031-HER</t>
        </is>
      </c>
      <c r="C131" s="56">
        <f>IFERROR(_xlfn.XLOOKUP(PRODUCTOS[[#This Row],[CODIGO]],LISTADO[CODIGOS],LISTADO[CATEGORIA]),"NO EXISTE")</f>
        <v/>
      </c>
      <c r="D131" s="56">
        <f>IFERROR(_xlfn.XLOOKUP(PRODUCTOS[[#This Row],[CODIGO]],LISTADO[CODIGOS],LISTADO[PRODUCTOS]),"NO EXISTE")</f>
        <v/>
      </c>
      <c r="E131" s="56">
        <f>IFERROR(_xlfn.XLOOKUP(PRODUCTOS[[#This Row],[CODIGO]],LISTADO[CODIGOS],LISTADO[UBICACIÓN]),"NO EXISTE")</f>
        <v/>
      </c>
      <c r="F131" s="56">
        <f>SUMIFS(ENTRADAS[CANTIDAD],ENTRADAS[CODIGO],PRODUCTOS[[#This Row],[CODIGO]])</f>
        <v/>
      </c>
      <c r="G131" s="56">
        <f>SUMIFS(SALIDAS[CANTIDAD],SALIDAS[CODIGO],PRODUCTOS[[#This Row],[CODIGO]])</f>
        <v/>
      </c>
      <c r="H131" s="56">
        <f>PRODUCTOS[[#This Row],[ENTRADAS]]-PRODUCTOS[[#This Row],[SALIDAS ]]</f>
        <v/>
      </c>
      <c r="I131" s="76" t="n">
        <v>0</v>
      </c>
      <c r="J131">
        <f>IF(PRODUCTOS[[#This Row],[STOCK]]&lt;0,"NEGATIVO",IF(PRODUCTOS[[#This Row],[STOCK]]=0,"SIN STOCK",IF(PRODUCTOS[[#This Row],[STOCK]]&lt;=PRODUCTOS[[#This Row],[STOCK MÍN.]],"BAJO","OK")))</f>
        <v/>
      </c>
      <c r="K1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32" hidden="1" s="11">
      <c r="A132" s="18" t="n">
        <v>117</v>
      </c>
      <c r="B132" s="56" t="inlineStr">
        <is>
          <t>00032-HER</t>
        </is>
      </c>
      <c r="C132" s="56">
        <f>IFERROR(_xlfn.XLOOKUP(PRODUCTOS[[#This Row],[CODIGO]],LISTADO[CODIGOS],LISTADO[CATEGORIA]),"NO EXISTE")</f>
        <v/>
      </c>
      <c r="D132" s="56">
        <f>IFERROR(_xlfn.XLOOKUP(PRODUCTOS[[#This Row],[CODIGO]],LISTADO[CODIGOS],LISTADO[PRODUCTOS]),"NO EXISTE")</f>
        <v/>
      </c>
      <c r="E132" s="56">
        <f>IFERROR(_xlfn.XLOOKUP(PRODUCTOS[[#This Row],[CODIGO]],LISTADO[CODIGOS],LISTADO[UBICACIÓN]),"NO EXISTE")</f>
        <v/>
      </c>
      <c r="F132" s="56">
        <f>SUMIFS(ENTRADAS[CANTIDAD],ENTRADAS[CODIGO],PRODUCTOS[[#This Row],[CODIGO]])</f>
        <v/>
      </c>
      <c r="G132" s="56">
        <f>SUMIFS(SALIDAS[CANTIDAD],SALIDAS[CODIGO],PRODUCTOS[[#This Row],[CODIGO]])</f>
        <v/>
      </c>
      <c r="H132" s="56">
        <f>PRODUCTOS[[#This Row],[ENTRADAS]]-PRODUCTOS[[#This Row],[SALIDAS ]]</f>
        <v/>
      </c>
      <c r="I132" s="76" t="n">
        <v>0</v>
      </c>
      <c r="J132">
        <f>IF(PRODUCTOS[[#This Row],[STOCK]]&lt;0,"NEGATIVO",IF(PRODUCTOS[[#This Row],[STOCK]]=0,"SIN STOCK",IF(PRODUCTOS[[#This Row],[STOCK]]&lt;=PRODUCTOS[[#This Row],[STOCK MÍN.]],"BAJO","OK")))</f>
        <v/>
      </c>
      <c r="K1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33" hidden="1" s="11">
      <c r="A133" s="18" t="n">
        <v>118</v>
      </c>
      <c r="B133" s="56" t="inlineStr">
        <is>
          <t>00018-OFC</t>
        </is>
      </c>
      <c r="C133" s="56">
        <f>IFERROR(_xlfn.XLOOKUP(PRODUCTOS[[#This Row],[CODIGO]],LISTADO[CODIGOS],LISTADO[CATEGORIA]),"NO EXISTE")</f>
        <v/>
      </c>
      <c r="D133" s="56">
        <f>IFERROR(_xlfn.XLOOKUP(PRODUCTOS[[#This Row],[CODIGO]],LISTADO[CODIGOS],LISTADO[PRODUCTOS]),"NO EXISTE")</f>
        <v/>
      </c>
      <c r="E133" s="56">
        <f>IFERROR(_xlfn.XLOOKUP(PRODUCTOS[[#This Row],[CODIGO]],LISTADO[CODIGOS],LISTADO[UBICACIÓN]),"NO EXISTE")</f>
        <v/>
      </c>
      <c r="F133" s="56">
        <f>SUMIFS(ENTRADAS[CANTIDAD],ENTRADAS[CODIGO],PRODUCTOS[[#This Row],[CODIGO]])</f>
        <v/>
      </c>
      <c r="G133" s="56">
        <f>SUMIFS(SALIDAS[CANTIDAD],SALIDAS[CODIGO],PRODUCTOS[[#This Row],[CODIGO]])</f>
        <v/>
      </c>
      <c r="H133" s="56">
        <f>PRODUCTOS[[#This Row],[ENTRADAS]]-PRODUCTOS[[#This Row],[SALIDAS ]]</f>
        <v/>
      </c>
      <c r="I133" s="76" t="n">
        <v>0</v>
      </c>
      <c r="J133">
        <f>IF(PRODUCTOS[[#This Row],[STOCK]]&lt;0,"NEGATIVO",IF(PRODUCTOS[[#This Row],[STOCK]]=0,"SIN STOCK",IF(PRODUCTOS[[#This Row],[STOCK]]&lt;=PRODUCTOS[[#This Row],[STOCK MÍN.]],"BAJO","OK")))</f>
        <v/>
      </c>
      <c r="K1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34" hidden="1" s="11">
      <c r="A134" s="18" t="n">
        <v>119</v>
      </c>
      <c r="B134" s="56" t="inlineStr">
        <is>
          <t>00010-ILU</t>
        </is>
      </c>
      <c r="C134" s="56">
        <f>IFERROR(_xlfn.XLOOKUP(PRODUCTOS[[#This Row],[CODIGO]],LISTADO[CODIGOS],LISTADO[CATEGORIA]),"NO EXISTE")</f>
        <v/>
      </c>
      <c r="D134" s="56">
        <f>IFERROR(_xlfn.XLOOKUP(PRODUCTOS[[#This Row],[CODIGO]],LISTADO[CODIGOS],LISTADO[PRODUCTOS]),"NO EXISTE")</f>
        <v/>
      </c>
      <c r="E134" s="56">
        <f>IFERROR(_xlfn.XLOOKUP(PRODUCTOS[[#This Row],[CODIGO]],LISTADO[CODIGOS],LISTADO[UBICACIÓN]),"NO EXISTE")</f>
        <v/>
      </c>
      <c r="F134" s="56">
        <f>SUMIFS(ENTRADAS[CANTIDAD],ENTRADAS[CODIGO],PRODUCTOS[[#This Row],[CODIGO]])</f>
        <v/>
      </c>
      <c r="G134" s="56">
        <f>SUMIFS(SALIDAS[CANTIDAD],SALIDAS[CODIGO],PRODUCTOS[[#This Row],[CODIGO]])</f>
        <v/>
      </c>
      <c r="H134" s="56">
        <f>PRODUCTOS[[#This Row],[ENTRADAS]]-PRODUCTOS[[#This Row],[SALIDAS ]]</f>
        <v/>
      </c>
      <c r="I134" s="76" t="n">
        <v>0</v>
      </c>
      <c r="J134">
        <f>IF(PRODUCTOS[[#This Row],[STOCK]]&lt;0,"NEGATIVO",IF(PRODUCTOS[[#This Row],[STOCK]]=0,"SIN STOCK",IF(PRODUCTOS[[#This Row],[STOCK]]&lt;=PRODUCTOS[[#This Row],[STOCK MÍN.]],"BAJO","OK")))</f>
        <v/>
      </c>
      <c r="K1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35" hidden="1" s="11">
      <c r="A135" s="18" t="n">
        <v>120</v>
      </c>
      <c r="B135" s="56" t="inlineStr">
        <is>
          <t>00011-ILU</t>
        </is>
      </c>
      <c r="C135" s="56">
        <f>IFERROR(_xlfn.XLOOKUP(PRODUCTOS[[#This Row],[CODIGO]],LISTADO[CODIGOS],LISTADO[CATEGORIA]),"NO EXISTE")</f>
        <v/>
      </c>
      <c r="D135" s="56">
        <f>IFERROR(_xlfn.XLOOKUP(PRODUCTOS[[#This Row],[CODIGO]],LISTADO[CODIGOS],LISTADO[PRODUCTOS]),"NO EXISTE")</f>
        <v/>
      </c>
      <c r="E135" s="56">
        <f>IFERROR(_xlfn.XLOOKUP(PRODUCTOS[[#This Row],[CODIGO]],LISTADO[CODIGOS],LISTADO[UBICACIÓN]),"NO EXISTE")</f>
        <v/>
      </c>
      <c r="F135" s="56">
        <f>SUMIFS(ENTRADAS[CANTIDAD],ENTRADAS[CODIGO],PRODUCTOS[[#This Row],[CODIGO]])</f>
        <v/>
      </c>
      <c r="G135" s="56">
        <f>SUMIFS(SALIDAS[CANTIDAD],SALIDAS[CODIGO],PRODUCTOS[[#This Row],[CODIGO]])</f>
        <v/>
      </c>
      <c r="H135" s="56">
        <f>PRODUCTOS[[#This Row],[ENTRADAS]]-PRODUCTOS[[#This Row],[SALIDAS ]]</f>
        <v/>
      </c>
      <c r="I135" s="76" t="n">
        <v>0</v>
      </c>
      <c r="J135">
        <f>IF(PRODUCTOS[[#This Row],[STOCK]]&lt;0,"NEGATIVO",IF(PRODUCTOS[[#This Row],[STOCK]]=0,"SIN STOCK",IF(PRODUCTOS[[#This Row],[STOCK]]&lt;=PRODUCTOS[[#This Row],[STOCK MÍN.]],"BAJO","OK")))</f>
        <v/>
      </c>
      <c r="K1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36" hidden="1" s="11">
      <c r="A136" s="18" t="n">
        <v>121</v>
      </c>
      <c r="B136" s="56" t="inlineStr">
        <is>
          <t>00012-ILU</t>
        </is>
      </c>
      <c r="C136" s="56">
        <f>IFERROR(_xlfn.XLOOKUP(PRODUCTOS[[#This Row],[CODIGO]],LISTADO[CODIGOS],LISTADO[CATEGORIA]),"NO EXISTE")</f>
        <v/>
      </c>
      <c r="D136" s="56">
        <f>IFERROR(_xlfn.XLOOKUP(PRODUCTOS[[#This Row],[CODIGO]],LISTADO[CODIGOS],LISTADO[PRODUCTOS]),"NO EXISTE")</f>
        <v/>
      </c>
      <c r="E136" s="56">
        <f>IFERROR(_xlfn.XLOOKUP(PRODUCTOS[[#This Row],[CODIGO]],LISTADO[CODIGOS],LISTADO[UBICACIÓN]),"NO EXISTE")</f>
        <v/>
      </c>
      <c r="F136" s="56">
        <f>SUMIFS(ENTRADAS[CANTIDAD],ENTRADAS[CODIGO],PRODUCTOS[[#This Row],[CODIGO]])</f>
        <v/>
      </c>
      <c r="G136" s="56">
        <f>SUMIFS(SALIDAS[CANTIDAD],SALIDAS[CODIGO],PRODUCTOS[[#This Row],[CODIGO]])</f>
        <v/>
      </c>
      <c r="H136" s="56">
        <f>PRODUCTOS[[#This Row],[ENTRADAS]]-PRODUCTOS[[#This Row],[SALIDAS ]]</f>
        <v/>
      </c>
      <c r="I136" s="76" t="n">
        <v>0</v>
      </c>
      <c r="J136">
        <f>IF(PRODUCTOS[[#This Row],[STOCK]]&lt;0,"NEGATIVO",IF(PRODUCTOS[[#This Row],[STOCK]]=0,"SIN STOCK",IF(PRODUCTOS[[#This Row],[STOCK]]&lt;=PRODUCTOS[[#This Row],[STOCK MÍN.]],"BAJO","OK")))</f>
        <v/>
      </c>
      <c r="K1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37" hidden="1" s="11">
      <c r="A137" s="18" t="n">
        <v>122</v>
      </c>
      <c r="B137" s="56" t="inlineStr">
        <is>
          <t>00013-ILU</t>
        </is>
      </c>
      <c r="C137" s="56">
        <f>IFERROR(_xlfn.XLOOKUP(PRODUCTOS[[#This Row],[CODIGO]],LISTADO[CODIGOS],LISTADO[CATEGORIA]),"NO EXISTE")</f>
        <v/>
      </c>
      <c r="D137" s="56">
        <f>IFERROR(_xlfn.XLOOKUP(PRODUCTOS[[#This Row],[CODIGO]],LISTADO[CODIGOS],LISTADO[PRODUCTOS]),"NO EXISTE")</f>
        <v/>
      </c>
      <c r="E137" s="56">
        <f>IFERROR(_xlfn.XLOOKUP(PRODUCTOS[[#This Row],[CODIGO]],LISTADO[CODIGOS],LISTADO[UBICACIÓN]),"NO EXISTE")</f>
        <v/>
      </c>
      <c r="F137" s="56">
        <f>SUMIFS(ENTRADAS[CANTIDAD],ENTRADAS[CODIGO],PRODUCTOS[[#This Row],[CODIGO]])</f>
        <v/>
      </c>
      <c r="G137" s="56">
        <f>SUMIFS(SALIDAS[CANTIDAD],SALIDAS[CODIGO],PRODUCTOS[[#This Row],[CODIGO]])</f>
        <v/>
      </c>
      <c r="H137" s="56">
        <f>PRODUCTOS[[#This Row],[ENTRADAS]]-PRODUCTOS[[#This Row],[SALIDAS ]]</f>
        <v/>
      </c>
      <c r="I137" s="76" t="n">
        <v>0</v>
      </c>
      <c r="J137">
        <f>IF(PRODUCTOS[[#This Row],[STOCK]]&lt;0,"NEGATIVO",IF(PRODUCTOS[[#This Row],[STOCK]]=0,"SIN STOCK",IF(PRODUCTOS[[#This Row],[STOCK]]&lt;=PRODUCTOS[[#This Row],[STOCK MÍN.]],"BAJO","OK")))</f>
        <v/>
      </c>
      <c r="K1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38" hidden="1" s="11">
      <c r="A138" s="18" t="n">
        <v>123</v>
      </c>
      <c r="B138" s="56" t="inlineStr">
        <is>
          <t>00014-ILU</t>
        </is>
      </c>
      <c r="C138" s="56">
        <f>IFERROR(_xlfn.XLOOKUP(PRODUCTOS[[#This Row],[CODIGO]],LISTADO[CODIGOS],LISTADO[CATEGORIA]),"NO EXISTE")</f>
        <v/>
      </c>
      <c r="D138" s="56">
        <f>IFERROR(_xlfn.XLOOKUP(PRODUCTOS[[#This Row],[CODIGO]],LISTADO[CODIGOS],LISTADO[PRODUCTOS]),"NO EXISTE")</f>
        <v/>
      </c>
      <c r="E138" s="56">
        <f>IFERROR(_xlfn.XLOOKUP(PRODUCTOS[[#This Row],[CODIGO]],LISTADO[CODIGOS],LISTADO[UBICACIÓN]),"NO EXISTE")</f>
        <v/>
      </c>
      <c r="F138" s="56">
        <f>SUMIFS(ENTRADAS[CANTIDAD],ENTRADAS[CODIGO],PRODUCTOS[[#This Row],[CODIGO]])</f>
        <v/>
      </c>
      <c r="G138" s="56">
        <f>SUMIFS(SALIDAS[CANTIDAD],SALIDAS[CODIGO],PRODUCTOS[[#This Row],[CODIGO]])</f>
        <v/>
      </c>
      <c r="H138" s="56">
        <f>PRODUCTOS[[#This Row],[ENTRADAS]]-PRODUCTOS[[#This Row],[SALIDAS ]]</f>
        <v/>
      </c>
      <c r="I138" s="76" t="n">
        <v>0</v>
      </c>
      <c r="J138">
        <f>IF(PRODUCTOS[[#This Row],[STOCK]]&lt;0,"NEGATIVO",IF(PRODUCTOS[[#This Row],[STOCK]]=0,"SIN STOCK",IF(PRODUCTOS[[#This Row],[STOCK]]&lt;=PRODUCTOS[[#This Row],[STOCK MÍN.]],"BAJO","OK")))</f>
        <v/>
      </c>
      <c r="K1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39" hidden="1" s="11">
      <c r="A139" s="18" t="n">
        <v>124</v>
      </c>
      <c r="B139" s="56" t="inlineStr">
        <is>
          <t>00015-ILU</t>
        </is>
      </c>
      <c r="C139" s="56">
        <f>IFERROR(_xlfn.XLOOKUP(PRODUCTOS[[#This Row],[CODIGO]],LISTADO[CODIGOS],LISTADO[CATEGORIA]),"NO EXISTE")</f>
        <v/>
      </c>
      <c r="D139" s="56">
        <f>IFERROR(_xlfn.XLOOKUP(PRODUCTOS[[#This Row],[CODIGO]],LISTADO[CODIGOS],LISTADO[PRODUCTOS]),"NO EXISTE")</f>
        <v/>
      </c>
      <c r="E139" s="56">
        <f>IFERROR(_xlfn.XLOOKUP(PRODUCTOS[[#This Row],[CODIGO]],LISTADO[CODIGOS],LISTADO[UBICACIÓN]),"NO EXISTE")</f>
        <v/>
      </c>
      <c r="F139" s="56">
        <f>SUMIFS(ENTRADAS[CANTIDAD],ENTRADAS[CODIGO],PRODUCTOS[[#This Row],[CODIGO]])</f>
        <v/>
      </c>
      <c r="G139" s="56">
        <f>SUMIFS(SALIDAS[CANTIDAD],SALIDAS[CODIGO],PRODUCTOS[[#This Row],[CODIGO]])</f>
        <v/>
      </c>
      <c r="H139" s="56">
        <f>PRODUCTOS[[#This Row],[ENTRADAS]]-PRODUCTOS[[#This Row],[SALIDAS ]]</f>
        <v/>
      </c>
      <c r="I139" s="76" t="n">
        <v>0</v>
      </c>
      <c r="J139">
        <f>IF(PRODUCTOS[[#This Row],[STOCK]]&lt;0,"NEGATIVO",IF(PRODUCTOS[[#This Row],[STOCK]]=0,"SIN STOCK",IF(PRODUCTOS[[#This Row],[STOCK]]&lt;=PRODUCTOS[[#This Row],[STOCK MÍN.]],"BAJO","OK")))</f>
        <v/>
      </c>
      <c r="K1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40" hidden="1" s="11">
      <c r="A140" s="18" t="n">
        <v>125</v>
      </c>
      <c r="B140" s="56" t="inlineStr">
        <is>
          <t>00016-ILU</t>
        </is>
      </c>
      <c r="C140" s="56">
        <f>IFERROR(_xlfn.XLOOKUP(PRODUCTOS[[#This Row],[CODIGO]],LISTADO[CODIGOS],LISTADO[CATEGORIA]),"NO EXISTE")</f>
        <v/>
      </c>
      <c r="D140" s="56">
        <f>IFERROR(_xlfn.XLOOKUP(PRODUCTOS[[#This Row],[CODIGO]],LISTADO[CODIGOS],LISTADO[PRODUCTOS]),"NO EXISTE")</f>
        <v/>
      </c>
      <c r="E140" s="56">
        <f>IFERROR(_xlfn.XLOOKUP(PRODUCTOS[[#This Row],[CODIGO]],LISTADO[CODIGOS],LISTADO[UBICACIÓN]),"NO EXISTE")</f>
        <v/>
      </c>
      <c r="F140" s="56">
        <f>SUMIFS(ENTRADAS[CANTIDAD],ENTRADAS[CODIGO],PRODUCTOS[[#This Row],[CODIGO]])</f>
        <v/>
      </c>
      <c r="G140" s="56">
        <f>SUMIFS(SALIDAS[CANTIDAD],SALIDAS[CODIGO],PRODUCTOS[[#This Row],[CODIGO]])</f>
        <v/>
      </c>
      <c r="H140" s="56">
        <f>PRODUCTOS[[#This Row],[ENTRADAS]]-PRODUCTOS[[#This Row],[SALIDAS ]]</f>
        <v/>
      </c>
      <c r="I140" s="76" t="n">
        <v>0</v>
      </c>
      <c r="J140">
        <f>IF(PRODUCTOS[[#This Row],[STOCK]]&lt;0,"NEGATIVO",IF(PRODUCTOS[[#This Row],[STOCK]]=0,"SIN STOCK",IF(PRODUCTOS[[#This Row],[STOCK]]&lt;=PRODUCTOS[[#This Row],[STOCK MÍN.]],"BAJO","OK")))</f>
        <v/>
      </c>
      <c r="K1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41" hidden="1" s="11">
      <c r="A141" s="18" t="n">
        <v>126</v>
      </c>
      <c r="B141" s="56" t="inlineStr">
        <is>
          <t>00017-ILU</t>
        </is>
      </c>
      <c r="C141" s="56">
        <f>IFERROR(_xlfn.XLOOKUP(PRODUCTOS[[#This Row],[CODIGO]],LISTADO[CODIGOS],LISTADO[CATEGORIA]),"NO EXISTE")</f>
        <v/>
      </c>
      <c r="D141" s="56">
        <f>IFERROR(_xlfn.XLOOKUP(PRODUCTOS[[#This Row],[CODIGO]],LISTADO[CODIGOS],LISTADO[PRODUCTOS]),"NO EXISTE")</f>
        <v/>
      </c>
      <c r="E141" s="56">
        <f>IFERROR(_xlfn.XLOOKUP(PRODUCTOS[[#This Row],[CODIGO]],LISTADO[CODIGOS],LISTADO[UBICACIÓN]),"NO EXISTE")</f>
        <v/>
      </c>
      <c r="F141" s="56">
        <f>SUMIFS(ENTRADAS[CANTIDAD],ENTRADAS[CODIGO],PRODUCTOS[[#This Row],[CODIGO]])</f>
        <v/>
      </c>
      <c r="G141" s="56">
        <f>SUMIFS(SALIDAS[CANTIDAD],SALIDAS[CODIGO],PRODUCTOS[[#This Row],[CODIGO]])</f>
        <v/>
      </c>
      <c r="H141" s="56">
        <f>PRODUCTOS[[#This Row],[ENTRADAS]]-PRODUCTOS[[#This Row],[SALIDAS ]]</f>
        <v/>
      </c>
      <c r="I141" s="76" t="n">
        <v>0</v>
      </c>
      <c r="J141">
        <f>IF(PRODUCTOS[[#This Row],[STOCK]]&lt;0,"NEGATIVO",IF(PRODUCTOS[[#This Row],[STOCK]]=0,"SIN STOCK",IF(PRODUCTOS[[#This Row],[STOCK]]&lt;=PRODUCTOS[[#This Row],[STOCK MÍN.]],"BAJO","OK")))</f>
        <v/>
      </c>
      <c r="K1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42" hidden="1" s="11">
      <c r="A142" s="18" t="n">
        <v>127</v>
      </c>
      <c r="B142" s="56" t="inlineStr">
        <is>
          <t>00018-ILU</t>
        </is>
      </c>
      <c r="C142" s="56">
        <f>IFERROR(_xlfn.XLOOKUP(PRODUCTOS[[#This Row],[CODIGO]],LISTADO[CODIGOS],LISTADO[CATEGORIA]),"NO EXISTE")</f>
        <v/>
      </c>
      <c r="D142" s="56">
        <f>IFERROR(_xlfn.XLOOKUP(PRODUCTOS[[#This Row],[CODIGO]],LISTADO[CODIGOS],LISTADO[PRODUCTOS]),"NO EXISTE")</f>
        <v/>
      </c>
      <c r="E142" s="56">
        <f>IFERROR(_xlfn.XLOOKUP(PRODUCTOS[[#This Row],[CODIGO]],LISTADO[CODIGOS],LISTADO[UBICACIÓN]),"NO EXISTE")</f>
        <v/>
      </c>
      <c r="F142" s="56">
        <f>SUMIFS(ENTRADAS[CANTIDAD],ENTRADAS[CODIGO],PRODUCTOS[[#This Row],[CODIGO]])</f>
        <v/>
      </c>
      <c r="G142" s="56">
        <f>SUMIFS(SALIDAS[CANTIDAD],SALIDAS[CODIGO],PRODUCTOS[[#This Row],[CODIGO]])</f>
        <v/>
      </c>
      <c r="H142" s="56">
        <f>PRODUCTOS[[#This Row],[ENTRADAS]]-PRODUCTOS[[#This Row],[SALIDAS ]]</f>
        <v/>
      </c>
      <c r="I142" s="76" t="n">
        <v>0</v>
      </c>
      <c r="J142">
        <f>IF(PRODUCTOS[[#This Row],[STOCK]]&lt;0,"NEGATIVO",IF(PRODUCTOS[[#This Row],[STOCK]]=0,"SIN STOCK",IF(PRODUCTOS[[#This Row],[STOCK]]&lt;=PRODUCTOS[[#This Row],[STOCK MÍN.]],"BAJO","OK")))</f>
        <v/>
      </c>
      <c r="K1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43" hidden="1" s="11">
      <c r="A143" s="18" t="n">
        <v>128</v>
      </c>
      <c r="B143" s="56" t="inlineStr">
        <is>
          <t>00019-ILU</t>
        </is>
      </c>
      <c r="C143" s="56">
        <f>IFERROR(_xlfn.XLOOKUP(PRODUCTOS[[#This Row],[CODIGO]],LISTADO[CODIGOS],LISTADO[CATEGORIA]),"NO EXISTE")</f>
        <v/>
      </c>
      <c r="D143" s="56">
        <f>IFERROR(_xlfn.XLOOKUP(PRODUCTOS[[#This Row],[CODIGO]],LISTADO[CODIGOS],LISTADO[PRODUCTOS]),"NO EXISTE")</f>
        <v/>
      </c>
      <c r="E143" s="56">
        <f>IFERROR(_xlfn.XLOOKUP(PRODUCTOS[[#This Row],[CODIGO]],LISTADO[CODIGOS],LISTADO[UBICACIÓN]),"NO EXISTE")</f>
        <v/>
      </c>
      <c r="F143" s="56">
        <f>SUMIFS(ENTRADAS[CANTIDAD],ENTRADAS[CODIGO],PRODUCTOS[[#This Row],[CODIGO]])</f>
        <v/>
      </c>
      <c r="G143" s="56">
        <f>SUMIFS(SALIDAS[CANTIDAD],SALIDAS[CODIGO],PRODUCTOS[[#This Row],[CODIGO]])</f>
        <v/>
      </c>
      <c r="H143" s="56">
        <f>PRODUCTOS[[#This Row],[ENTRADAS]]-PRODUCTOS[[#This Row],[SALIDAS ]]</f>
        <v/>
      </c>
      <c r="I143" s="76" t="n">
        <v>0</v>
      </c>
      <c r="J143">
        <f>IF(PRODUCTOS[[#This Row],[STOCK]]&lt;0,"NEGATIVO",IF(PRODUCTOS[[#This Row],[STOCK]]=0,"SIN STOCK",IF(PRODUCTOS[[#This Row],[STOCK]]&lt;=PRODUCTOS[[#This Row],[STOCK MÍN.]],"BAJO","OK")))</f>
        <v/>
      </c>
      <c r="K1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44" hidden="1" s="11">
      <c r="A144" s="18" t="n">
        <v>129</v>
      </c>
      <c r="B144" s="56" t="inlineStr">
        <is>
          <t>00020-ILU</t>
        </is>
      </c>
      <c r="C144" s="56">
        <f>IFERROR(_xlfn.XLOOKUP(PRODUCTOS[[#This Row],[CODIGO]],LISTADO[CODIGOS],LISTADO[CATEGORIA]),"NO EXISTE")</f>
        <v/>
      </c>
      <c r="D144" s="56">
        <f>IFERROR(_xlfn.XLOOKUP(PRODUCTOS[[#This Row],[CODIGO]],LISTADO[CODIGOS],LISTADO[PRODUCTOS]),"NO EXISTE")</f>
        <v/>
      </c>
      <c r="E144" s="56">
        <f>IFERROR(_xlfn.XLOOKUP(PRODUCTOS[[#This Row],[CODIGO]],LISTADO[CODIGOS],LISTADO[UBICACIÓN]),"NO EXISTE")</f>
        <v/>
      </c>
      <c r="F144" s="56">
        <f>SUMIFS(ENTRADAS[CANTIDAD],ENTRADAS[CODIGO],PRODUCTOS[[#This Row],[CODIGO]])</f>
        <v/>
      </c>
      <c r="G144" s="56">
        <f>SUMIFS(SALIDAS[CANTIDAD],SALIDAS[CODIGO],PRODUCTOS[[#This Row],[CODIGO]])</f>
        <v/>
      </c>
      <c r="H144" s="56">
        <f>PRODUCTOS[[#This Row],[ENTRADAS]]-PRODUCTOS[[#This Row],[SALIDAS ]]</f>
        <v/>
      </c>
      <c r="I144" s="76" t="n">
        <v>0</v>
      </c>
      <c r="J144">
        <f>IF(PRODUCTOS[[#This Row],[STOCK]]&lt;0,"NEGATIVO",IF(PRODUCTOS[[#This Row],[STOCK]]=0,"SIN STOCK",IF(PRODUCTOS[[#This Row],[STOCK]]&lt;=PRODUCTOS[[#This Row],[STOCK MÍN.]],"BAJO","OK")))</f>
        <v/>
      </c>
      <c r="K1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45" hidden="1" s="11">
      <c r="A145" s="18" t="n">
        <v>130</v>
      </c>
      <c r="B145" s="56" t="inlineStr">
        <is>
          <t>00033-HER</t>
        </is>
      </c>
      <c r="C145" s="56">
        <f>IFERROR(_xlfn.XLOOKUP(PRODUCTOS[[#This Row],[CODIGO]],LISTADO[CODIGOS],LISTADO[CATEGORIA]),"NO EXISTE")</f>
        <v/>
      </c>
      <c r="D145" s="56">
        <f>IFERROR(_xlfn.XLOOKUP(PRODUCTOS[[#This Row],[CODIGO]],LISTADO[CODIGOS],LISTADO[PRODUCTOS]),"NO EXISTE")</f>
        <v/>
      </c>
      <c r="E145" s="56">
        <f>IFERROR(_xlfn.XLOOKUP(PRODUCTOS[[#This Row],[CODIGO]],LISTADO[CODIGOS],LISTADO[UBICACIÓN]),"NO EXISTE")</f>
        <v/>
      </c>
      <c r="F145" s="56">
        <f>SUMIFS(ENTRADAS[CANTIDAD],ENTRADAS[CODIGO],PRODUCTOS[[#This Row],[CODIGO]])</f>
        <v/>
      </c>
      <c r="G145" s="56">
        <f>SUMIFS(SALIDAS[CANTIDAD],SALIDAS[CODIGO],PRODUCTOS[[#This Row],[CODIGO]])</f>
        <v/>
      </c>
      <c r="H145" s="56">
        <f>PRODUCTOS[[#This Row],[ENTRADAS]]-PRODUCTOS[[#This Row],[SALIDAS ]]</f>
        <v/>
      </c>
      <c r="I145" s="76" t="n">
        <v>0</v>
      </c>
      <c r="J145">
        <f>IF(PRODUCTOS[[#This Row],[STOCK]]&lt;0,"NEGATIVO",IF(PRODUCTOS[[#This Row],[STOCK]]=0,"SIN STOCK",IF(PRODUCTOS[[#This Row],[STOCK]]&lt;=PRODUCTOS[[#This Row],[STOCK MÍN.]],"BAJO","OK")))</f>
        <v/>
      </c>
      <c r="K1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46" hidden="1" s="11">
      <c r="A146" s="18" t="n">
        <v>131</v>
      </c>
      <c r="B146" s="56" t="inlineStr">
        <is>
          <t>00034-HER</t>
        </is>
      </c>
      <c r="C146" s="56">
        <f>IFERROR(_xlfn.XLOOKUP(PRODUCTOS[[#This Row],[CODIGO]],LISTADO[CODIGOS],LISTADO[CATEGORIA]),"NO EXISTE")</f>
        <v/>
      </c>
      <c r="D146" s="56">
        <f>IFERROR(_xlfn.XLOOKUP(PRODUCTOS[[#This Row],[CODIGO]],LISTADO[CODIGOS],LISTADO[PRODUCTOS]),"NO EXISTE")</f>
        <v/>
      </c>
      <c r="E146" s="56">
        <f>IFERROR(_xlfn.XLOOKUP(PRODUCTOS[[#This Row],[CODIGO]],LISTADO[CODIGOS],LISTADO[UBICACIÓN]),"NO EXISTE")</f>
        <v/>
      </c>
      <c r="F146" s="56">
        <f>SUMIFS(ENTRADAS[CANTIDAD],ENTRADAS[CODIGO],PRODUCTOS[[#This Row],[CODIGO]])</f>
        <v/>
      </c>
      <c r="G146" s="56">
        <f>SUMIFS(SALIDAS[CANTIDAD],SALIDAS[CODIGO],PRODUCTOS[[#This Row],[CODIGO]])</f>
        <v/>
      </c>
      <c r="H146" s="56">
        <f>PRODUCTOS[[#This Row],[ENTRADAS]]-PRODUCTOS[[#This Row],[SALIDAS ]]</f>
        <v/>
      </c>
      <c r="I146" s="76" t="n">
        <v>0</v>
      </c>
      <c r="J146">
        <f>IF(PRODUCTOS[[#This Row],[STOCK]]&lt;0,"NEGATIVO",IF(PRODUCTOS[[#This Row],[STOCK]]=0,"SIN STOCK",IF(PRODUCTOS[[#This Row],[STOCK]]&lt;=PRODUCTOS[[#This Row],[STOCK MÍN.]],"BAJO","OK")))</f>
        <v/>
      </c>
      <c r="K1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47" hidden="1" s="11">
      <c r="A147" s="18" t="n">
        <v>132</v>
      </c>
      <c r="B147" s="56" t="inlineStr">
        <is>
          <t>00035-HER</t>
        </is>
      </c>
      <c r="C147" s="56">
        <f>IFERROR(_xlfn.XLOOKUP(PRODUCTOS[[#This Row],[CODIGO]],LISTADO[CODIGOS],LISTADO[CATEGORIA]),"NO EXISTE")</f>
        <v/>
      </c>
      <c r="D147" s="56">
        <f>IFERROR(_xlfn.XLOOKUP(PRODUCTOS[[#This Row],[CODIGO]],LISTADO[CODIGOS],LISTADO[PRODUCTOS]),"NO EXISTE")</f>
        <v/>
      </c>
      <c r="E147" s="56">
        <f>IFERROR(_xlfn.XLOOKUP(PRODUCTOS[[#This Row],[CODIGO]],LISTADO[CODIGOS],LISTADO[UBICACIÓN]),"NO EXISTE")</f>
        <v/>
      </c>
      <c r="F147" s="56">
        <f>SUMIFS(ENTRADAS[CANTIDAD],ENTRADAS[CODIGO],PRODUCTOS[[#This Row],[CODIGO]])</f>
        <v/>
      </c>
      <c r="G147" s="56">
        <f>SUMIFS(SALIDAS[CANTIDAD],SALIDAS[CODIGO],PRODUCTOS[[#This Row],[CODIGO]])</f>
        <v/>
      </c>
      <c r="H147" s="56">
        <f>PRODUCTOS[[#This Row],[ENTRADAS]]-PRODUCTOS[[#This Row],[SALIDAS ]]</f>
        <v/>
      </c>
      <c r="I147" s="76" t="n">
        <v>0</v>
      </c>
      <c r="J147">
        <f>IF(PRODUCTOS[[#This Row],[STOCK]]&lt;0,"NEGATIVO",IF(PRODUCTOS[[#This Row],[STOCK]]=0,"SIN STOCK",IF(PRODUCTOS[[#This Row],[STOCK]]&lt;=PRODUCTOS[[#This Row],[STOCK MÍN.]],"BAJO","OK")))</f>
        <v/>
      </c>
      <c r="K1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48" hidden="1" s="11">
      <c r="A148" s="18" t="n">
        <v>133</v>
      </c>
      <c r="B148" s="56" t="inlineStr">
        <is>
          <t>00036-HER</t>
        </is>
      </c>
      <c r="C148" s="56">
        <f>IFERROR(_xlfn.XLOOKUP(PRODUCTOS[[#This Row],[CODIGO]],LISTADO[CODIGOS],LISTADO[CATEGORIA]),"NO EXISTE")</f>
        <v/>
      </c>
      <c r="D148" s="56">
        <f>IFERROR(_xlfn.XLOOKUP(PRODUCTOS[[#This Row],[CODIGO]],LISTADO[CODIGOS],LISTADO[PRODUCTOS]),"NO EXISTE")</f>
        <v/>
      </c>
      <c r="E148" s="56">
        <f>IFERROR(_xlfn.XLOOKUP(PRODUCTOS[[#This Row],[CODIGO]],LISTADO[CODIGOS],LISTADO[UBICACIÓN]),"NO EXISTE")</f>
        <v/>
      </c>
      <c r="F148" s="56">
        <f>SUMIFS(ENTRADAS[CANTIDAD],ENTRADAS[CODIGO],PRODUCTOS[[#This Row],[CODIGO]])</f>
        <v/>
      </c>
      <c r="G148" s="56">
        <f>SUMIFS(SALIDAS[CANTIDAD],SALIDAS[CODIGO],PRODUCTOS[[#This Row],[CODIGO]])</f>
        <v/>
      </c>
      <c r="H148" s="56">
        <f>PRODUCTOS[[#This Row],[ENTRADAS]]-PRODUCTOS[[#This Row],[SALIDAS ]]</f>
        <v/>
      </c>
      <c r="I148" s="76" t="n">
        <v>0</v>
      </c>
      <c r="J148">
        <f>IF(PRODUCTOS[[#This Row],[STOCK]]&lt;0,"NEGATIVO",IF(PRODUCTOS[[#This Row],[STOCK]]=0,"SIN STOCK",IF(PRODUCTOS[[#This Row],[STOCK]]&lt;=PRODUCTOS[[#This Row],[STOCK MÍN.]],"BAJO","OK")))</f>
        <v/>
      </c>
      <c r="K1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49" hidden="1" s="11">
      <c r="A149" s="18" t="n">
        <v>134</v>
      </c>
      <c r="B149" s="56" t="inlineStr">
        <is>
          <t>00037-HER</t>
        </is>
      </c>
      <c r="C149" s="56">
        <f>IFERROR(_xlfn.XLOOKUP(PRODUCTOS[[#This Row],[CODIGO]],LISTADO[CODIGOS],LISTADO[CATEGORIA]),"NO EXISTE")</f>
        <v/>
      </c>
      <c r="D149" s="56">
        <f>IFERROR(_xlfn.XLOOKUP(PRODUCTOS[[#This Row],[CODIGO]],LISTADO[CODIGOS],LISTADO[PRODUCTOS]),"NO EXISTE")</f>
        <v/>
      </c>
      <c r="E149" s="56">
        <f>IFERROR(_xlfn.XLOOKUP(PRODUCTOS[[#This Row],[CODIGO]],LISTADO[CODIGOS],LISTADO[UBICACIÓN]),"NO EXISTE")</f>
        <v/>
      </c>
      <c r="F149" s="56">
        <f>SUMIFS(ENTRADAS[CANTIDAD],ENTRADAS[CODIGO],PRODUCTOS[[#This Row],[CODIGO]])</f>
        <v/>
      </c>
      <c r="G149" s="56">
        <f>SUMIFS(SALIDAS[CANTIDAD],SALIDAS[CODIGO],PRODUCTOS[[#This Row],[CODIGO]])</f>
        <v/>
      </c>
      <c r="H149" s="56">
        <f>PRODUCTOS[[#This Row],[ENTRADAS]]-PRODUCTOS[[#This Row],[SALIDAS ]]</f>
        <v/>
      </c>
      <c r="I149" s="76" t="n">
        <v>0</v>
      </c>
      <c r="J149">
        <f>IF(PRODUCTOS[[#This Row],[STOCK]]&lt;0,"NEGATIVO",IF(PRODUCTOS[[#This Row],[STOCK]]=0,"SIN STOCK",IF(PRODUCTOS[[#This Row],[STOCK]]&lt;=PRODUCTOS[[#This Row],[STOCK MÍN.]],"BAJO","OK")))</f>
        <v/>
      </c>
      <c r="K1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50" hidden="1" s="11">
      <c r="A150" s="18" t="n">
        <v>135</v>
      </c>
      <c r="B150" s="56" t="inlineStr">
        <is>
          <t>00038-HER</t>
        </is>
      </c>
      <c r="C150" s="56">
        <f>IFERROR(_xlfn.XLOOKUP(PRODUCTOS[[#This Row],[CODIGO]],LISTADO[CODIGOS],LISTADO[CATEGORIA]),"NO EXISTE")</f>
        <v/>
      </c>
      <c r="D150" s="56">
        <f>IFERROR(_xlfn.XLOOKUP(PRODUCTOS[[#This Row],[CODIGO]],LISTADO[CODIGOS],LISTADO[PRODUCTOS]),"NO EXISTE")</f>
        <v/>
      </c>
      <c r="E150" s="56">
        <f>IFERROR(_xlfn.XLOOKUP(PRODUCTOS[[#This Row],[CODIGO]],LISTADO[CODIGOS],LISTADO[UBICACIÓN]),"NO EXISTE")</f>
        <v/>
      </c>
      <c r="F150" s="56">
        <f>SUMIFS(ENTRADAS[CANTIDAD],ENTRADAS[CODIGO],PRODUCTOS[[#This Row],[CODIGO]])</f>
        <v/>
      </c>
      <c r="G150" s="56">
        <f>SUMIFS(SALIDAS[CANTIDAD],SALIDAS[CODIGO],PRODUCTOS[[#This Row],[CODIGO]])</f>
        <v/>
      </c>
      <c r="H150" s="56">
        <f>PRODUCTOS[[#This Row],[ENTRADAS]]-PRODUCTOS[[#This Row],[SALIDAS ]]</f>
        <v/>
      </c>
      <c r="I150" s="76" t="n">
        <v>0</v>
      </c>
      <c r="J150">
        <f>IF(PRODUCTOS[[#This Row],[STOCK]]&lt;0,"NEGATIVO",IF(PRODUCTOS[[#This Row],[STOCK]]=0,"SIN STOCK",IF(PRODUCTOS[[#This Row],[STOCK]]&lt;=PRODUCTOS[[#This Row],[STOCK MÍN.]],"BAJO","OK")))</f>
        <v/>
      </c>
      <c r="K1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51" hidden="1" s="11">
      <c r="A151" s="18" t="n">
        <v>136</v>
      </c>
      <c r="B151" s="56" t="inlineStr">
        <is>
          <t>00039-HER</t>
        </is>
      </c>
      <c r="C151" s="56">
        <f>IFERROR(_xlfn.XLOOKUP(PRODUCTOS[[#This Row],[CODIGO]],LISTADO[CODIGOS],LISTADO[CATEGORIA]),"NO EXISTE")</f>
        <v/>
      </c>
      <c r="D151" s="56">
        <f>IFERROR(_xlfn.XLOOKUP(PRODUCTOS[[#This Row],[CODIGO]],LISTADO[CODIGOS],LISTADO[PRODUCTOS]),"NO EXISTE")</f>
        <v/>
      </c>
      <c r="E151" s="56">
        <f>IFERROR(_xlfn.XLOOKUP(PRODUCTOS[[#This Row],[CODIGO]],LISTADO[CODIGOS],LISTADO[UBICACIÓN]),"NO EXISTE")</f>
        <v/>
      </c>
      <c r="F151" s="56">
        <f>SUMIFS(ENTRADAS[CANTIDAD],ENTRADAS[CODIGO],PRODUCTOS[[#This Row],[CODIGO]])</f>
        <v/>
      </c>
      <c r="G151" s="56">
        <f>SUMIFS(SALIDAS[CANTIDAD],SALIDAS[CODIGO],PRODUCTOS[[#This Row],[CODIGO]])</f>
        <v/>
      </c>
      <c r="H151" s="56">
        <f>PRODUCTOS[[#This Row],[ENTRADAS]]-PRODUCTOS[[#This Row],[SALIDAS ]]</f>
        <v/>
      </c>
      <c r="I151" s="76" t="n">
        <v>0</v>
      </c>
      <c r="J151">
        <f>IF(PRODUCTOS[[#This Row],[STOCK]]&lt;0,"NEGATIVO",IF(PRODUCTOS[[#This Row],[STOCK]]=0,"SIN STOCK",IF(PRODUCTOS[[#This Row],[STOCK]]&lt;=PRODUCTOS[[#This Row],[STOCK MÍN.]],"BAJO","OK")))</f>
        <v/>
      </c>
      <c r="K1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52" hidden="1" s="11">
      <c r="A152" s="18" t="n">
        <v>137</v>
      </c>
      <c r="B152" s="56" t="inlineStr">
        <is>
          <t>00040-HER</t>
        </is>
      </c>
      <c r="C152" s="56">
        <f>IFERROR(_xlfn.XLOOKUP(PRODUCTOS[[#This Row],[CODIGO]],LISTADO[CODIGOS],LISTADO[CATEGORIA]),"NO EXISTE")</f>
        <v/>
      </c>
      <c r="D152" s="56">
        <f>IFERROR(_xlfn.XLOOKUP(PRODUCTOS[[#This Row],[CODIGO]],LISTADO[CODIGOS],LISTADO[PRODUCTOS]),"NO EXISTE")</f>
        <v/>
      </c>
      <c r="E152" s="56">
        <f>IFERROR(_xlfn.XLOOKUP(PRODUCTOS[[#This Row],[CODIGO]],LISTADO[CODIGOS],LISTADO[UBICACIÓN]),"NO EXISTE")</f>
        <v/>
      </c>
      <c r="F152" s="56">
        <f>SUMIFS(ENTRADAS[CANTIDAD],ENTRADAS[CODIGO],PRODUCTOS[[#This Row],[CODIGO]])</f>
        <v/>
      </c>
      <c r="G152" s="56">
        <f>SUMIFS(SALIDAS[CANTIDAD],SALIDAS[CODIGO],PRODUCTOS[[#This Row],[CODIGO]])</f>
        <v/>
      </c>
      <c r="H152" s="56">
        <f>PRODUCTOS[[#This Row],[ENTRADAS]]-PRODUCTOS[[#This Row],[SALIDAS ]]</f>
        <v/>
      </c>
      <c r="I152" s="76" t="n">
        <v>0</v>
      </c>
      <c r="J152">
        <f>IF(PRODUCTOS[[#This Row],[STOCK]]&lt;0,"NEGATIVO",IF(PRODUCTOS[[#This Row],[STOCK]]=0,"SIN STOCK",IF(PRODUCTOS[[#This Row],[STOCK]]&lt;=PRODUCTOS[[#This Row],[STOCK MÍN.]],"BAJO","OK")))</f>
        <v/>
      </c>
      <c r="K1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53" hidden="1" s="11">
      <c r="A153" s="18" t="n">
        <v>138</v>
      </c>
      <c r="B153" s="56" t="inlineStr">
        <is>
          <t>00019-OFC</t>
        </is>
      </c>
      <c r="C153" s="56">
        <f>IFERROR(_xlfn.XLOOKUP(PRODUCTOS[[#This Row],[CODIGO]],LISTADO[CODIGOS],LISTADO[CATEGORIA]),"NO EXISTE")</f>
        <v/>
      </c>
      <c r="D153" s="56">
        <f>IFERROR(_xlfn.XLOOKUP(PRODUCTOS[[#This Row],[CODIGO]],LISTADO[CODIGOS],LISTADO[PRODUCTOS]),"NO EXISTE")</f>
        <v/>
      </c>
      <c r="E153" s="56">
        <f>IFERROR(_xlfn.XLOOKUP(PRODUCTOS[[#This Row],[CODIGO]],LISTADO[CODIGOS],LISTADO[UBICACIÓN]),"NO EXISTE")</f>
        <v/>
      </c>
      <c r="F153" s="56">
        <f>SUMIFS(ENTRADAS[CANTIDAD],ENTRADAS[CODIGO],PRODUCTOS[[#This Row],[CODIGO]])</f>
        <v/>
      </c>
      <c r="G153" s="56">
        <f>SUMIFS(SALIDAS[CANTIDAD],SALIDAS[CODIGO],PRODUCTOS[[#This Row],[CODIGO]])</f>
        <v/>
      </c>
      <c r="H153" s="56">
        <f>PRODUCTOS[[#This Row],[ENTRADAS]]-PRODUCTOS[[#This Row],[SALIDAS ]]</f>
        <v/>
      </c>
      <c r="I153" s="76" t="n">
        <v>0</v>
      </c>
      <c r="J153">
        <f>IF(PRODUCTOS[[#This Row],[STOCK]]&lt;0,"NEGATIVO",IF(PRODUCTOS[[#This Row],[STOCK]]=0,"SIN STOCK",IF(PRODUCTOS[[#This Row],[STOCK]]&lt;=PRODUCTOS[[#This Row],[STOCK MÍN.]],"BAJO","OK")))</f>
        <v/>
      </c>
      <c r="K1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54" hidden="1" s="11">
      <c r="A154" s="18" t="n">
        <v>139</v>
      </c>
      <c r="B154" s="56" t="inlineStr">
        <is>
          <t>00041-HER</t>
        </is>
      </c>
      <c r="C154" s="56">
        <f>IFERROR(_xlfn.XLOOKUP(PRODUCTOS[[#This Row],[CODIGO]],LISTADO[CODIGOS],LISTADO[CATEGORIA]),"NO EXISTE")</f>
        <v/>
      </c>
      <c r="D154" s="56">
        <f>IFERROR(_xlfn.XLOOKUP(PRODUCTOS[[#This Row],[CODIGO]],LISTADO[CODIGOS],LISTADO[PRODUCTOS]),"NO EXISTE")</f>
        <v/>
      </c>
      <c r="E154" s="56">
        <f>IFERROR(_xlfn.XLOOKUP(PRODUCTOS[[#This Row],[CODIGO]],LISTADO[CODIGOS],LISTADO[UBICACIÓN]),"NO EXISTE")</f>
        <v/>
      </c>
      <c r="F154" s="56">
        <f>SUMIFS(ENTRADAS[CANTIDAD],ENTRADAS[CODIGO],PRODUCTOS[[#This Row],[CODIGO]])</f>
        <v/>
      </c>
      <c r="G154" s="56">
        <f>SUMIFS(SALIDAS[CANTIDAD],SALIDAS[CODIGO],PRODUCTOS[[#This Row],[CODIGO]])</f>
        <v/>
      </c>
      <c r="H154" s="56">
        <f>PRODUCTOS[[#This Row],[ENTRADAS]]-PRODUCTOS[[#This Row],[SALIDAS ]]</f>
        <v/>
      </c>
      <c r="I154" s="76" t="n">
        <v>0</v>
      </c>
      <c r="J154">
        <f>IF(PRODUCTOS[[#This Row],[STOCK]]&lt;0,"NEGATIVO",IF(PRODUCTOS[[#This Row],[STOCK]]=0,"SIN STOCK",IF(PRODUCTOS[[#This Row],[STOCK]]&lt;=PRODUCTOS[[#This Row],[STOCK MÍN.]],"BAJO","OK")))</f>
        <v/>
      </c>
      <c r="K1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55" hidden="1" s="11">
      <c r="A155" s="18" t="n">
        <v>140</v>
      </c>
      <c r="B155" s="56" t="inlineStr">
        <is>
          <t>00001-UNI</t>
        </is>
      </c>
      <c r="C155" s="56">
        <f>IFERROR(_xlfn.XLOOKUP(PRODUCTOS[[#This Row],[CODIGO]],LISTADO[CODIGOS],LISTADO[CATEGORIA]),"NO EXISTE")</f>
        <v/>
      </c>
      <c r="D155" s="56">
        <f>IFERROR(_xlfn.XLOOKUP(PRODUCTOS[[#This Row],[CODIGO]],LISTADO[CODIGOS],LISTADO[PRODUCTOS]),"NO EXISTE")</f>
        <v/>
      </c>
      <c r="E155" s="56">
        <f>IFERROR(_xlfn.XLOOKUP(PRODUCTOS[[#This Row],[CODIGO]],LISTADO[CODIGOS],LISTADO[UBICACIÓN]),"NO EXISTE")</f>
        <v/>
      </c>
      <c r="F155" s="56">
        <f>SUMIFS(ENTRADAS[CANTIDAD],ENTRADAS[CODIGO],PRODUCTOS[[#This Row],[CODIGO]])</f>
        <v/>
      </c>
      <c r="G155" s="56">
        <f>SUMIFS(SALIDAS[CANTIDAD],SALIDAS[CODIGO],PRODUCTOS[[#This Row],[CODIGO]])</f>
        <v/>
      </c>
      <c r="H155" s="56">
        <f>PRODUCTOS[[#This Row],[ENTRADAS]]-PRODUCTOS[[#This Row],[SALIDAS ]]</f>
        <v/>
      </c>
      <c r="I155" s="76" t="n">
        <v>0</v>
      </c>
      <c r="J155">
        <f>IF(PRODUCTOS[[#This Row],[STOCK]]&lt;0,"NEGATIVO",IF(PRODUCTOS[[#This Row],[STOCK]]=0,"SIN STOCK",IF(PRODUCTOS[[#This Row],[STOCK]]&lt;=PRODUCTOS[[#This Row],[STOCK MÍN.]],"BAJO","OK")))</f>
        <v/>
      </c>
      <c r="K1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56" hidden="1" s="11">
      <c r="A156" s="18" t="n">
        <v>141</v>
      </c>
      <c r="B156" s="56" t="inlineStr">
        <is>
          <t>00001-AUT</t>
        </is>
      </c>
      <c r="C156" s="56">
        <f>IFERROR(_xlfn.XLOOKUP(PRODUCTOS[[#This Row],[CODIGO]],LISTADO[CODIGOS],LISTADO[CATEGORIA]),"NO EXISTE")</f>
        <v/>
      </c>
      <c r="D156" s="56">
        <f>IFERROR(_xlfn.XLOOKUP(PRODUCTOS[[#This Row],[CODIGO]],LISTADO[CODIGOS],LISTADO[PRODUCTOS]),"NO EXISTE")</f>
        <v/>
      </c>
      <c r="E156" s="56">
        <f>IFERROR(_xlfn.XLOOKUP(PRODUCTOS[[#This Row],[CODIGO]],LISTADO[CODIGOS],LISTADO[UBICACIÓN]),"NO EXISTE")</f>
        <v/>
      </c>
      <c r="F156" s="56">
        <f>SUMIFS(ENTRADAS[CANTIDAD],ENTRADAS[CODIGO],PRODUCTOS[[#This Row],[CODIGO]])</f>
        <v/>
      </c>
      <c r="G156" s="56">
        <f>SUMIFS(SALIDAS[CANTIDAD],SALIDAS[CODIGO],PRODUCTOS[[#This Row],[CODIGO]])</f>
        <v/>
      </c>
      <c r="H156" s="56">
        <f>PRODUCTOS[[#This Row],[ENTRADAS]]-PRODUCTOS[[#This Row],[SALIDAS ]]</f>
        <v/>
      </c>
      <c r="I156" s="76" t="n">
        <v>0</v>
      </c>
      <c r="J156">
        <f>IF(PRODUCTOS[[#This Row],[STOCK]]&lt;0,"NEGATIVO",IF(PRODUCTOS[[#This Row],[STOCK]]=0,"SIN STOCK",IF(PRODUCTOS[[#This Row],[STOCK]]&lt;=PRODUCTOS[[#This Row],[STOCK MÍN.]],"BAJO","OK")))</f>
        <v/>
      </c>
      <c r="K1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57" hidden="1" s="11">
      <c r="A157" s="18" t="n">
        <v>142</v>
      </c>
      <c r="B157" s="56" t="inlineStr">
        <is>
          <t>00002-AUT</t>
        </is>
      </c>
      <c r="C157" s="56">
        <f>IFERROR(_xlfn.XLOOKUP(PRODUCTOS[[#This Row],[CODIGO]],LISTADO[CODIGOS],LISTADO[CATEGORIA]),"NO EXISTE")</f>
        <v/>
      </c>
      <c r="D157" s="56">
        <f>IFERROR(_xlfn.XLOOKUP(PRODUCTOS[[#This Row],[CODIGO]],LISTADO[CODIGOS],LISTADO[PRODUCTOS]),"NO EXISTE")</f>
        <v/>
      </c>
      <c r="E157" s="56">
        <f>IFERROR(_xlfn.XLOOKUP(PRODUCTOS[[#This Row],[CODIGO]],LISTADO[CODIGOS],LISTADO[UBICACIÓN]),"NO EXISTE")</f>
        <v/>
      </c>
      <c r="F157" s="56">
        <f>SUMIFS(ENTRADAS[CANTIDAD],ENTRADAS[CODIGO],PRODUCTOS[[#This Row],[CODIGO]])</f>
        <v/>
      </c>
      <c r="G157" s="56">
        <f>SUMIFS(SALIDAS[CANTIDAD],SALIDAS[CODIGO],PRODUCTOS[[#This Row],[CODIGO]])</f>
        <v/>
      </c>
      <c r="H157" s="56">
        <f>PRODUCTOS[[#This Row],[ENTRADAS]]-PRODUCTOS[[#This Row],[SALIDAS ]]</f>
        <v/>
      </c>
      <c r="I157" s="76" t="n">
        <v>0</v>
      </c>
      <c r="J157">
        <f>IF(PRODUCTOS[[#This Row],[STOCK]]&lt;0,"NEGATIVO",IF(PRODUCTOS[[#This Row],[STOCK]]=0,"SIN STOCK",IF(PRODUCTOS[[#This Row],[STOCK]]&lt;=PRODUCTOS[[#This Row],[STOCK MÍN.]],"BAJO","OK")))</f>
        <v/>
      </c>
      <c r="K1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58" hidden="1" s="11">
      <c r="A158" s="18" t="n">
        <v>143</v>
      </c>
      <c r="B158" s="56" t="inlineStr">
        <is>
          <t>00022-FER</t>
        </is>
      </c>
      <c r="C158" s="56">
        <f>IFERROR(_xlfn.XLOOKUP(PRODUCTOS[[#This Row],[CODIGO]],LISTADO[CODIGOS],LISTADO[CATEGORIA]),"NO EXISTE")</f>
        <v/>
      </c>
      <c r="D158" s="56">
        <f>IFERROR(_xlfn.XLOOKUP(PRODUCTOS[[#This Row],[CODIGO]],LISTADO[CODIGOS],LISTADO[PRODUCTOS]),"NO EXISTE")</f>
        <v/>
      </c>
      <c r="E158" s="56">
        <f>IFERROR(_xlfn.XLOOKUP(PRODUCTOS[[#This Row],[CODIGO]],LISTADO[CODIGOS],LISTADO[UBICACIÓN]),"NO EXISTE")</f>
        <v/>
      </c>
      <c r="F158" s="56">
        <f>SUMIFS(ENTRADAS[CANTIDAD],ENTRADAS[CODIGO],PRODUCTOS[[#This Row],[CODIGO]])</f>
        <v/>
      </c>
      <c r="G158" s="56">
        <f>SUMIFS(SALIDAS[CANTIDAD],SALIDAS[CODIGO],PRODUCTOS[[#This Row],[CODIGO]])</f>
        <v/>
      </c>
      <c r="H158" s="56">
        <f>PRODUCTOS[[#This Row],[ENTRADAS]]-PRODUCTOS[[#This Row],[SALIDAS ]]</f>
        <v/>
      </c>
      <c r="I158" s="76" t="n">
        <v>0</v>
      </c>
      <c r="J158">
        <f>IF(PRODUCTOS[[#This Row],[STOCK]]&lt;0,"NEGATIVO",IF(PRODUCTOS[[#This Row],[STOCK]]=0,"SIN STOCK",IF(PRODUCTOS[[#This Row],[STOCK]]&lt;=PRODUCTOS[[#This Row],[STOCK MÍN.]],"BAJO","OK")))</f>
        <v/>
      </c>
      <c r="K1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59" hidden="1" s="11">
      <c r="A159" s="18" t="n">
        <v>144</v>
      </c>
      <c r="B159" s="56" t="inlineStr">
        <is>
          <t>00023-FER</t>
        </is>
      </c>
      <c r="C159" s="56">
        <f>IFERROR(_xlfn.XLOOKUP(PRODUCTOS[[#This Row],[CODIGO]],LISTADO[CODIGOS],LISTADO[CATEGORIA]),"NO EXISTE")</f>
        <v/>
      </c>
      <c r="D159" s="56">
        <f>IFERROR(_xlfn.XLOOKUP(PRODUCTOS[[#This Row],[CODIGO]],LISTADO[CODIGOS],LISTADO[PRODUCTOS]),"NO EXISTE")</f>
        <v/>
      </c>
      <c r="E159" s="56">
        <f>IFERROR(_xlfn.XLOOKUP(PRODUCTOS[[#This Row],[CODIGO]],LISTADO[CODIGOS],LISTADO[UBICACIÓN]),"NO EXISTE")</f>
        <v/>
      </c>
      <c r="F159" s="56">
        <f>SUMIFS(ENTRADAS[CANTIDAD],ENTRADAS[CODIGO],PRODUCTOS[[#This Row],[CODIGO]])</f>
        <v/>
      </c>
      <c r="G159" s="56">
        <f>SUMIFS(SALIDAS[CANTIDAD],SALIDAS[CODIGO],PRODUCTOS[[#This Row],[CODIGO]])</f>
        <v/>
      </c>
      <c r="H159" s="56">
        <f>PRODUCTOS[[#This Row],[ENTRADAS]]-PRODUCTOS[[#This Row],[SALIDAS ]]</f>
        <v/>
      </c>
      <c r="I159" s="76" t="n">
        <v>0</v>
      </c>
      <c r="J159">
        <f>IF(PRODUCTOS[[#This Row],[STOCK]]&lt;0,"NEGATIVO",IF(PRODUCTOS[[#This Row],[STOCK]]=0,"SIN STOCK",IF(PRODUCTOS[[#This Row],[STOCK]]&lt;=PRODUCTOS[[#This Row],[STOCK MÍN.]],"BAJO","OK")))</f>
        <v/>
      </c>
      <c r="K1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60" hidden="1" s="11">
      <c r="A160" s="18" t="n">
        <v>145</v>
      </c>
      <c r="B160" s="56" t="inlineStr">
        <is>
          <t>00024-FER</t>
        </is>
      </c>
      <c r="C160" s="56">
        <f>IFERROR(_xlfn.XLOOKUP(PRODUCTOS[[#This Row],[CODIGO]],LISTADO[CODIGOS],LISTADO[CATEGORIA]),"NO EXISTE")</f>
        <v/>
      </c>
      <c r="D160" s="56">
        <f>IFERROR(_xlfn.XLOOKUP(PRODUCTOS[[#This Row],[CODIGO]],LISTADO[CODIGOS],LISTADO[PRODUCTOS]),"NO EXISTE")</f>
        <v/>
      </c>
      <c r="E160" s="56">
        <f>IFERROR(_xlfn.XLOOKUP(PRODUCTOS[[#This Row],[CODIGO]],LISTADO[CODIGOS],LISTADO[UBICACIÓN]),"NO EXISTE")</f>
        <v/>
      </c>
      <c r="F160" s="56">
        <f>SUMIFS(ENTRADAS[CANTIDAD],ENTRADAS[CODIGO],PRODUCTOS[[#This Row],[CODIGO]])</f>
        <v/>
      </c>
      <c r="G160" s="56">
        <f>SUMIFS(SALIDAS[CANTIDAD],SALIDAS[CODIGO],PRODUCTOS[[#This Row],[CODIGO]])</f>
        <v/>
      </c>
      <c r="H160" s="56">
        <f>PRODUCTOS[[#This Row],[ENTRADAS]]-PRODUCTOS[[#This Row],[SALIDAS ]]</f>
        <v/>
      </c>
      <c r="I160" s="76" t="n">
        <v>0</v>
      </c>
      <c r="J160">
        <f>IF(PRODUCTOS[[#This Row],[STOCK]]&lt;0,"NEGATIVO",IF(PRODUCTOS[[#This Row],[STOCK]]=0,"SIN STOCK",IF(PRODUCTOS[[#This Row],[STOCK]]&lt;=PRODUCTOS[[#This Row],[STOCK MÍN.]],"BAJO","OK")))</f>
        <v/>
      </c>
      <c r="K1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61" hidden="1" s="11">
      <c r="A161" s="18" t="n">
        <v>146</v>
      </c>
      <c r="B161" s="56" t="inlineStr">
        <is>
          <t>00025-FER</t>
        </is>
      </c>
      <c r="C161" s="56">
        <f>IFERROR(_xlfn.XLOOKUP(PRODUCTOS[[#This Row],[CODIGO]],LISTADO[CODIGOS],LISTADO[CATEGORIA]),"NO EXISTE")</f>
        <v/>
      </c>
      <c r="D161" s="56">
        <f>IFERROR(_xlfn.XLOOKUP(PRODUCTOS[[#This Row],[CODIGO]],LISTADO[CODIGOS],LISTADO[PRODUCTOS]),"NO EXISTE")</f>
        <v/>
      </c>
      <c r="E161" s="56">
        <f>IFERROR(_xlfn.XLOOKUP(PRODUCTOS[[#This Row],[CODIGO]],LISTADO[CODIGOS],LISTADO[UBICACIÓN]),"NO EXISTE")</f>
        <v/>
      </c>
      <c r="F161" s="56">
        <f>SUMIFS(ENTRADAS[CANTIDAD],ENTRADAS[CODIGO],PRODUCTOS[[#This Row],[CODIGO]])</f>
        <v/>
      </c>
      <c r="G161" s="56">
        <f>SUMIFS(SALIDAS[CANTIDAD],SALIDAS[CODIGO],PRODUCTOS[[#This Row],[CODIGO]])</f>
        <v/>
      </c>
      <c r="H161" s="56">
        <f>PRODUCTOS[[#This Row],[ENTRADAS]]-PRODUCTOS[[#This Row],[SALIDAS ]]</f>
        <v/>
      </c>
      <c r="I161" s="76" t="n">
        <v>0</v>
      </c>
      <c r="J161">
        <f>IF(PRODUCTOS[[#This Row],[STOCK]]&lt;0,"NEGATIVO",IF(PRODUCTOS[[#This Row],[STOCK]]=0,"SIN STOCK",IF(PRODUCTOS[[#This Row],[STOCK]]&lt;=PRODUCTOS[[#This Row],[STOCK MÍN.]],"BAJO","OK")))</f>
        <v/>
      </c>
      <c r="K1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62" hidden="1" s="11">
      <c r="A162" s="18" t="n">
        <v>147</v>
      </c>
      <c r="B162" s="56" t="inlineStr">
        <is>
          <t>00026-FER</t>
        </is>
      </c>
      <c r="C162" s="56">
        <f>IFERROR(_xlfn.XLOOKUP(PRODUCTOS[[#This Row],[CODIGO]],LISTADO[CODIGOS],LISTADO[CATEGORIA]),"NO EXISTE")</f>
        <v/>
      </c>
      <c r="D162" s="56">
        <f>IFERROR(_xlfn.XLOOKUP(PRODUCTOS[[#This Row],[CODIGO]],LISTADO[CODIGOS],LISTADO[PRODUCTOS]),"NO EXISTE")</f>
        <v/>
      </c>
      <c r="E162" s="56">
        <f>IFERROR(_xlfn.XLOOKUP(PRODUCTOS[[#This Row],[CODIGO]],LISTADO[CODIGOS],LISTADO[UBICACIÓN]),"NO EXISTE")</f>
        <v/>
      </c>
      <c r="F162" s="56">
        <f>SUMIFS(ENTRADAS[CANTIDAD],ENTRADAS[CODIGO],PRODUCTOS[[#This Row],[CODIGO]])</f>
        <v/>
      </c>
      <c r="G162" s="56">
        <f>SUMIFS(SALIDAS[CANTIDAD],SALIDAS[CODIGO],PRODUCTOS[[#This Row],[CODIGO]])</f>
        <v/>
      </c>
      <c r="H162" s="56">
        <f>PRODUCTOS[[#This Row],[ENTRADAS]]-PRODUCTOS[[#This Row],[SALIDAS ]]</f>
        <v/>
      </c>
      <c r="I162" s="76" t="n">
        <v>0</v>
      </c>
      <c r="J162">
        <f>IF(PRODUCTOS[[#This Row],[STOCK]]&lt;0,"NEGATIVO",IF(PRODUCTOS[[#This Row],[STOCK]]=0,"SIN STOCK",IF(PRODUCTOS[[#This Row],[STOCK]]&lt;=PRODUCTOS[[#This Row],[STOCK MÍN.]],"BAJO","OK")))</f>
        <v/>
      </c>
      <c r="K1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63" hidden="1" s="11">
      <c r="A163" s="18" t="n">
        <v>148</v>
      </c>
      <c r="B163" s="56" t="inlineStr">
        <is>
          <t>00027-FER</t>
        </is>
      </c>
      <c r="C163" s="56">
        <f>IFERROR(_xlfn.XLOOKUP(PRODUCTOS[[#This Row],[CODIGO]],LISTADO[CODIGOS],LISTADO[CATEGORIA]),"NO EXISTE")</f>
        <v/>
      </c>
      <c r="D163" s="56">
        <f>IFERROR(_xlfn.XLOOKUP(PRODUCTOS[[#This Row],[CODIGO]],LISTADO[CODIGOS],LISTADO[PRODUCTOS]),"NO EXISTE")</f>
        <v/>
      </c>
      <c r="E163" s="56">
        <f>IFERROR(_xlfn.XLOOKUP(PRODUCTOS[[#This Row],[CODIGO]],LISTADO[CODIGOS],LISTADO[UBICACIÓN]),"NO EXISTE")</f>
        <v/>
      </c>
      <c r="F163" s="56">
        <f>SUMIFS(ENTRADAS[CANTIDAD],ENTRADAS[CODIGO],PRODUCTOS[[#This Row],[CODIGO]])</f>
        <v/>
      </c>
      <c r="G163" s="56">
        <f>SUMIFS(SALIDAS[CANTIDAD],SALIDAS[CODIGO],PRODUCTOS[[#This Row],[CODIGO]])</f>
        <v/>
      </c>
      <c r="H163" s="56">
        <f>PRODUCTOS[[#This Row],[ENTRADAS]]-PRODUCTOS[[#This Row],[SALIDAS ]]</f>
        <v/>
      </c>
      <c r="I163" s="76" t="n">
        <v>0</v>
      </c>
      <c r="J163">
        <f>IF(PRODUCTOS[[#This Row],[STOCK]]&lt;0,"NEGATIVO",IF(PRODUCTOS[[#This Row],[STOCK]]=0,"SIN STOCK",IF(PRODUCTOS[[#This Row],[STOCK]]&lt;=PRODUCTOS[[#This Row],[STOCK MÍN.]],"BAJO","OK")))</f>
        <v/>
      </c>
      <c r="K1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64" hidden="1" s="11">
      <c r="A164" s="18" t="n">
        <v>149</v>
      </c>
      <c r="B164" s="56" t="inlineStr">
        <is>
          <t>00028-FER</t>
        </is>
      </c>
      <c r="C164" s="56">
        <f>IFERROR(_xlfn.XLOOKUP(PRODUCTOS[[#This Row],[CODIGO]],LISTADO[CODIGOS],LISTADO[CATEGORIA]),"NO EXISTE")</f>
        <v/>
      </c>
      <c r="D164" s="56">
        <f>IFERROR(_xlfn.XLOOKUP(PRODUCTOS[[#This Row],[CODIGO]],LISTADO[CODIGOS],LISTADO[PRODUCTOS]),"NO EXISTE")</f>
        <v/>
      </c>
      <c r="E164" s="56">
        <f>IFERROR(_xlfn.XLOOKUP(PRODUCTOS[[#This Row],[CODIGO]],LISTADO[CODIGOS],LISTADO[UBICACIÓN]),"NO EXISTE")</f>
        <v/>
      </c>
      <c r="F164" s="56">
        <f>SUMIFS(ENTRADAS[CANTIDAD],ENTRADAS[CODIGO],PRODUCTOS[[#This Row],[CODIGO]])</f>
        <v/>
      </c>
      <c r="G164" s="56">
        <f>SUMIFS(SALIDAS[CANTIDAD],SALIDAS[CODIGO],PRODUCTOS[[#This Row],[CODIGO]])</f>
        <v/>
      </c>
      <c r="H164" s="56">
        <f>PRODUCTOS[[#This Row],[ENTRADAS]]-PRODUCTOS[[#This Row],[SALIDAS ]]</f>
        <v/>
      </c>
      <c r="I164" s="76" t="n">
        <v>0</v>
      </c>
      <c r="J164">
        <f>IF(PRODUCTOS[[#This Row],[STOCK]]&lt;0,"NEGATIVO",IF(PRODUCTOS[[#This Row],[STOCK]]=0,"SIN STOCK",IF(PRODUCTOS[[#This Row],[STOCK]]&lt;=PRODUCTOS[[#This Row],[STOCK MÍN.]],"BAJO","OK")))</f>
        <v/>
      </c>
      <c r="K1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65" hidden="1" s="11">
      <c r="A165" s="18" t="n">
        <v>150</v>
      </c>
      <c r="B165" s="56" t="inlineStr">
        <is>
          <t>00029-FER</t>
        </is>
      </c>
      <c r="C165" s="56">
        <f>IFERROR(_xlfn.XLOOKUP(PRODUCTOS[[#This Row],[CODIGO]],LISTADO[CODIGOS],LISTADO[CATEGORIA]),"NO EXISTE")</f>
        <v/>
      </c>
      <c r="D165" s="56">
        <f>IFERROR(_xlfn.XLOOKUP(PRODUCTOS[[#This Row],[CODIGO]],LISTADO[CODIGOS],LISTADO[PRODUCTOS]),"NO EXISTE")</f>
        <v/>
      </c>
      <c r="E165" s="56">
        <f>IFERROR(_xlfn.XLOOKUP(PRODUCTOS[[#This Row],[CODIGO]],LISTADO[CODIGOS],LISTADO[UBICACIÓN]),"NO EXISTE")</f>
        <v/>
      </c>
      <c r="F165" s="56">
        <f>SUMIFS(ENTRADAS[CANTIDAD],ENTRADAS[CODIGO],PRODUCTOS[[#This Row],[CODIGO]])</f>
        <v/>
      </c>
      <c r="G165" s="56">
        <f>SUMIFS(SALIDAS[CANTIDAD],SALIDAS[CODIGO],PRODUCTOS[[#This Row],[CODIGO]])</f>
        <v/>
      </c>
      <c r="H165" s="56">
        <f>PRODUCTOS[[#This Row],[ENTRADAS]]-PRODUCTOS[[#This Row],[SALIDAS ]]</f>
        <v/>
      </c>
      <c r="I165" s="76" t="n">
        <v>0</v>
      </c>
      <c r="J165">
        <f>IF(PRODUCTOS[[#This Row],[STOCK]]&lt;0,"NEGATIVO",IF(PRODUCTOS[[#This Row],[STOCK]]=0,"SIN STOCK",IF(PRODUCTOS[[#This Row],[STOCK]]&lt;=PRODUCTOS[[#This Row],[STOCK MÍN.]],"BAJO","OK")))</f>
        <v/>
      </c>
      <c r="K1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66" hidden="1" s="11">
      <c r="A166" s="18" t="n">
        <v>151</v>
      </c>
      <c r="B166" s="56" t="inlineStr">
        <is>
          <t>00030-FER</t>
        </is>
      </c>
      <c r="C166" s="56">
        <f>IFERROR(_xlfn.XLOOKUP(PRODUCTOS[[#This Row],[CODIGO]],LISTADO[CODIGOS],LISTADO[CATEGORIA]),"NO EXISTE")</f>
        <v/>
      </c>
      <c r="D166" s="56">
        <f>IFERROR(_xlfn.XLOOKUP(PRODUCTOS[[#This Row],[CODIGO]],LISTADO[CODIGOS],LISTADO[PRODUCTOS]),"NO EXISTE")</f>
        <v/>
      </c>
      <c r="E166" s="56">
        <f>IFERROR(_xlfn.XLOOKUP(PRODUCTOS[[#This Row],[CODIGO]],LISTADO[CODIGOS],LISTADO[UBICACIÓN]),"NO EXISTE")</f>
        <v/>
      </c>
      <c r="F166" s="56">
        <f>SUMIFS(ENTRADAS[CANTIDAD],ENTRADAS[CODIGO],PRODUCTOS[[#This Row],[CODIGO]])</f>
        <v/>
      </c>
      <c r="G166" s="56">
        <f>SUMIFS(SALIDAS[CANTIDAD],SALIDAS[CODIGO],PRODUCTOS[[#This Row],[CODIGO]])</f>
        <v/>
      </c>
      <c r="H166" s="56">
        <f>PRODUCTOS[[#This Row],[ENTRADAS]]-PRODUCTOS[[#This Row],[SALIDAS ]]</f>
        <v/>
      </c>
      <c r="I166" s="76" t="n">
        <v>0</v>
      </c>
      <c r="J166">
        <f>IF(PRODUCTOS[[#This Row],[STOCK]]&lt;0,"NEGATIVO",IF(PRODUCTOS[[#This Row],[STOCK]]=0,"SIN STOCK",IF(PRODUCTOS[[#This Row],[STOCK]]&lt;=PRODUCTOS[[#This Row],[STOCK MÍN.]],"BAJO","OK")))</f>
        <v/>
      </c>
      <c r="K1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67" hidden="1" s="11">
      <c r="A167" s="18" t="n">
        <v>152</v>
      </c>
      <c r="B167" s="56" t="inlineStr">
        <is>
          <t>00031-FER</t>
        </is>
      </c>
      <c r="C167" s="56">
        <f>IFERROR(_xlfn.XLOOKUP(PRODUCTOS[[#This Row],[CODIGO]],LISTADO[CODIGOS],LISTADO[CATEGORIA]),"NO EXISTE")</f>
        <v/>
      </c>
      <c r="D167" s="56">
        <f>IFERROR(_xlfn.XLOOKUP(PRODUCTOS[[#This Row],[CODIGO]],LISTADO[CODIGOS],LISTADO[PRODUCTOS]),"NO EXISTE")</f>
        <v/>
      </c>
      <c r="E167" s="56">
        <f>IFERROR(_xlfn.XLOOKUP(PRODUCTOS[[#This Row],[CODIGO]],LISTADO[CODIGOS],LISTADO[UBICACIÓN]),"NO EXISTE")</f>
        <v/>
      </c>
      <c r="F167" s="56">
        <f>SUMIFS(ENTRADAS[CANTIDAD],ENTRADAS[CODIGO],PRODUCTOS[[#This Row],[CODIGO]])</f>
        <v/>
      </c>
      <c r="G167" s="56">
        <f>SUMIFS(SALIDAS[CANTIDAD],SALIDAS[CODIGO],PRODUCTOS[[#This Row],[CODIGO]])</f>
        <v/>
      </c>
      <c r="H167" s="56">
        <f>PRODUCTOS[[#This Row],[ENTRADAS]]-PRODUCTOS[[#This Row],[SALIDAS ]]</f>
        <v/>
      </c>
      <c r="I167" s="76" t="n">
        <v>0</v>
      </c>
      <c r="J167">
        <f>IF(PRODUCTOS[[#This Row],[STOCK]]&lt;0,"NEGATIVO",IF(PRODUCTOS[[#This Row],[STOCK]]=0,"SIN STOCK",IF(PRODUCTOS[[#This Row],[STOCK]]&lt;=PRODUCTOS[[#This Row],[STOCK MÍN.]],"BAJO","OK")))</f>
        <v/>
      </c>
      <c r="K1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68" hidden="1" s="11">
      <c r="A168" s="18" t="n">
        <v>153</v>
      </c>
      <c r="B168" s="56" t="inlineStr">
        <is>
          <t>00032-FER</t>
        </is>
      </c>
      <c r="C168" s="56">
        <f>IFERROR(_xlfn.XLOOKUP(PRODUCTOS[[#This Row],[CODIGO]],LISTADO[CODIGOS],LISTADO[CATEGORIA]),"NO EXISTE")</f>
        <v/>
      </c>
      <c r="D168" s="56">
        <f>IFERROR(_xlfn.XLOOKUP(PRODUCTOS[[#This Row],[CODIGO]],LISTADO[CODIGOS],LISTADO[PRODUCTOS]),"NO EXISTE")</f>
        <v/>
      </c>
      <c r="E168" s="56">
        <f>IFERROR(_xlfn.XLOOKUP(PRODUCTOS[[#This Row],[CODIGO]],LISTADO[CODIGOS],LISTADO[UBICACIÓN]),"NO EXISTE")</f>
        <v/>
      </c>
      <c r="F168" s="56">
        <f>SUMIFS(ENTRADAS[CANTIDAD],ENTRADAS[CODIGO],PRODUCTOS[[#This Row],[CODIGO]])</f>
        <v/>
      </c>
      <c r="G168" s="56">
        <f>SUMIFS(SALIDAS[CANTIDAD],SALIDAS[CODIGO],PRODUCTOS[[#This Row],[CODIGO]])</f>
        <v/>
      </c>
      <c r="H168" s="56">
        <f>PRODUCTOS[[#This Row],[ENTRADAS]]-PRODUCTOS[[#This Row],[SALIDAS ]]</f>
        <v/>
      </c>
      <c r="I168" s="76" t="n">
        <v>0</v>
      </c>
      <c r="J168">
        <f>IF(PRODUCTOS[[#This Row],[STOCK]]&lt;0,"NEGATIVO",IF(PRODUCTOS[[#This Row],[STOCK]]=0,"SIN STOCK",IF(PRODUCTOS[[#This Row],[STOCK]]&lt;=PRODUCTOS[[#This Row],[STOCK MÍN.]],"BAJO","OK")))</f>
        <v/>
      </c>
      <c r="K1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69" hidden="1" s="11">
      <c r="A169" s="18" t="n">
        <v>154</v>
      </c>
      <c r="B169" s="56" t="inlineStr">
        <is>
          <t>00033-FER</t>
        </is>
      </c>
      <c r="C169" s="56">
        <f>IFERROR(_xlfn.XLOOKUP(PRODUCTOS[[#This Row],[CODIGO]],LISTADO[CODIGOS],LISTADO[CATEGORIA]),"NO EXISTE")</f>
        <v/>
      </c>
      <c r="D169" s="56">
        <f>IFERROR(_xlfn.XLOOKUP(PRODUCTOS[[#This Row],[CODIGO]],LISTADO[CODIGOS],LISTADO[PRODUCTOS]),"NO EXISTE")</f>
        <v/>
      </c>
      <c r="E169" s="56">
        <f>IFERROR(_xlfn.XLOOKUP(PRODUCTOS[[#This Row],[CODIGO]],LISTADO[CODIGOS],LISTADO[UBICACIÓN]),"NO EXISTE")</f>
        <v/>
      </c>
      <c r="F169" s="56">
        <f>SUMIFS(ENTRADAS[CANTIDAD],ENTRADAS[CODIGO],PRODUCTOS[[#This Row],[CODIGO]])</f>
        <v/>
      </c>
      <c r="G169" s="56">
        <f>SUMIFS(SALIDAS[CANTIDAD],SALIDAS[CODIGO],PRODUCTOS[[#This Row],[CODIGO]])</f>
        <v/>
      </c>
      <c r="H169" s="56">
        <f>PRODUCTOS[[#This Row],[ENTRADAS]]-PRODUCTOS[[#This Row],[SALIDAS ]]</f>
        <v/>
      </c>
      <c r="I169" s="76" t="n">
        <v>0</v>
      </c>
      <c r="J169">
        <f>IF(PRODUCTOS[[#This Row],[STOCK]]&lt;0,"NEGATIVO",IF(PRODUCTOS[[#This Row],[STOCK]]=0,"SIN STOCK",IF(PRODUCTOS[[#This Row],[STOCK]]&lt;=PRODUCTOS[[#This Row],[STOCK MÍN.]],"BAJO","OK")))</f>
        <v/>
      </c>
      <c r="K1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70" hidden="1" s="11">
      <c r="A170" s="18" t="n">
        <v>155</v>
      </c>
      <c r="B170" s="56" t="inlineStr">
        <is>
          <t>00034-FER</t>
        </is>
      </c>
      <c r="C170" s="56">
        <f>IFERROR(_xlfn.XLOOKUP(PRODUCTOS[[#This Row],[CODIGO]],LISTADO[CODIGOS],LISTADO[CATEGORIA]),"NO EXISTE")</f>
        <v/>
      </c>
      <c r="D170" s="56">
        <f>IFERROR(_xlfn.XLOOKUP(PRODUCTOS[[#This Row],[CODIGO]],LISTADO[CODIGOS],LISTADO[PRODUCTOS]),"NO EXISTE")</f>
        <v/>
      </c>
      <c r="E170" s="56">
        <f>IFERROR(_xlfn.XLOOKUP(PRODUCTOS[[#This Row],[CODIGO]],LISTADO[CODIGOS],LISTADO[UBICACIÓN]),"NO EXISTE")</f>
        <v/>
      </c>
      <c r="F170" s="56">
        <f>SUMIFS(ENTRADAS[CANTIDAD],ENTRADAS[CODIGO],PRODUCTOS[[#This Row],[CODIGO]])</f>
        <v/>
      </c>
      <c r="G170" s="56">
        <f>SUMIFS(SALIDAS[CANTIDAD],SALIDAS[CODIGO],PRODUCTOS[[#This Row],[CODIGO]])</f>
        <v/>
      </c>
      <c r="H170" s="56">
        <f>PRODUCTOS[[#This Row],[ENTRADAS]]-PRODUCTOS[[#This Row],[SALIDAS ]]</f>
        <v/>
      </c>
      <c r="I170" s="76" t="n">
        <v>0</v>
      </c>
      <c r="J170">
        <f>IF(PRODUCTOS[[#This Row],[STOCK]]&lt;0,"NEGATIVO",IF(PRODUCTOS[[#This Row],[STOCK]]=0,"SIN STOCK",IF(PRODUCTOS[[#This Row],[STOCK]]&lt;=PRODUCTOS[[#This Row],[STOCK MÍN.]],"BAJO","OK")))</f>
        <v/>
      </c>
      <c r="K1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71" hidden="1" s="11">
      <c r="A171" s="18" t="n">
        <v>156</v>
      </c>
      <c r="B171" s="56" t="inlineStr">
        <is>
          <t>00035-FER</t>
        </is>
      </c>
      <c r="C171" s="56">
        <f>IFERROR(_xlfn.XLOOKUP(PRODUCTOS[[#This Row],[CODIGO]],LISTADO[CODIGOS],LISTADO[CATEGORIA]),"NO EXISTE")</f>
        <v/>
      </c>
      <c r="D171" s="56">
        <f>IFERROR(_xlfn.XLOOKUP(PRODUCTOS[[#This Row],[CODIGO]],LISTADO[CODIGOS],LISTADO[PRODUCTOS]),"NO EXISTE")</f>
        <v/>
      </c>
      <c r="E171" s="56">
        <f>IFERROR(_xlfn.XLOOKUP(PRODUCTOS[[#This Row],[CODIGO]],LISTADO[CODIGOS],LISTADO[UBICACIÓN]),"NO EXISTE")</f>
        <v/>
      </c>
      <c r="F171" s="56">
        <f>SUMIFS(ENTRADAS[CANTIDAD],ENTRADAS[CODIGO],PRODUCTOS[[#This Row],[CODIGO]])</f>
        <v/>
      </c>
      <c r="G171" s="56">
        <f>SUMIFS(SALIDAS[CANTIDAD],SALIDAS[CODIGO],PRODUCTOS[[#This Row],[CODIGO]])</f>
        <v/>
      </c>
      <c r="H171" s="56">
        <f>PRODUCTOS[[#This Row],[ENTRADAS]]-PRODUCTOS[[#This Row],[SALIDAS ]]</f>
        <v/>
      </c>
      <c r="I171" s="76" t="n">
        <v>0</v>
      </c>
      <c r="J171">
        <f>IF(PRODUCTOS[[#This Row],[STOCK]]&lt;0,"NEGATIVO",IF(PRODUCTOS[[#This Row],[STOCK]]=0,"SIN STOCK",IF(PRODUCTOS[[#This Row],[STOCK]]&lt;=PRODUCTOS[[#This Row],[STOCK MÍN.]],"BAJO","OK")))</f>
        <v/>
      </c>
      <c r="K1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72" hidden="1" s="11">
      <c r="A172" s="18" t="n">
        <v>157</v>
      </c>
      <c r="B172" s="56" t="inlineStr">
        <is>
          <t>00036-FER</t>
        </is>
      </c>
      <c r="C172" s="56">
        <f>IFERROR(_xlfn.XLOOKUP(PRODUCTOS[[#This Row],[CODIGO]],LISTADO[CODIGOS],LISTADO[CATEGORIA]),"NO EXISTE")</f>
        <v/>
      </c>
      <c r="D172" s="56">
        <f>IFERROR(_xlfn.XLOOKUP(PRODUCTOS[[#This Row],[CODIGO]],LISTADO[CODIGOS],LISTADO[PRODUCTOS]),"NO EXISTE")</f>
        <v/>
      </c>
      <c r="E172" s="56">
        <f>IFERROR(_xlfn.XLOOKUP(PRODUCTOS[[#This Row],[CODIGO]],LISTADO[CODIGOS],LISTADO[UBICACIÓN]),"NO EXISTE")</f>
        <v/>
      </c>
      <c r="F172" s="56">
        <f>SUMIFS(ENTRADAS[CANTIDAD],ENTRADAS[CODIGO],PRODUCTOS[[#This Row],[CODIGO]])</f>
        <v/>
      </c>
      <c r="G172" s="56">
        <f>SUMIFS(SALIDAS[CANTIDAD],SALIDAS[CODIGO],PRODUCTOS[[#This Row],[CODIGO]])</f>
        <v/>
      </c>
      <c r="H172" s="56">
        <f>PRODUCTOS[[#This Row],[ENTRADAS]]-PRODUCTOS[[#This Row],[SALIDAS ]]</f>
        <v/>
      </c>
      <c r="I172" s="76" t="n">
        <v>0</v>
      </c>
      <c r="J172">
        <f>IF(PRODUCTOS[[#This Row],[STOCK]]&lt;0,"NEGATIVO",IF(PRODUCTOS[[#This Row],[STOCK]]=0,"SIN STOCK",IF(PRODUCTOS[[#This Row],[STOCK]]&lt;=PRODUCTOS[[#This Row],[STOCK MÍN.]],"BAJO","OK")))</f>
        <v/>
      </c>
      <c r="K1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73" hidden="1" s="11">
      <c r="A173" s="18" t="n">
        <v>158</v>
      </c>
      <c r="B173" s="56" t="inlineStr">
        <is>
          <t>00037-FER</t>
        </is>
      </c>
      <c r="C173" s="56">
        <f>IFERROR(_xlfn.XLOOKUP(PRODUCTOS[[#This Row],[CODIGO]],LISTADO[CODIGOS],LISTADO[CATEGORIA]),"NO EXISTE")</f>
        <v/>
      </c>
      <c r="D173" s="56">
        <f>IFERROR(_xlfn.XLOOKUP(PRODUCTOS[[#This Row],[CODIGO]],LISTADO[CODIGOS],LISTADO[PRODUCTOS]),"NO EXISTE")</f>
        <v/>
      </c>
      <c r="E173" s="56">
        <f>IFERROR(_xlfn.XLOOKUP(PRODUCTOS[[#This Row],[CODIGO]],LISTADO[CODIGOS],LISTADO[UBICACIÓN]),"NO EXISTE")</f>
        <v/>
      </c>
      <c r="F173" s="56">
        <f>SUMIFS(ENTRADAS[CANTIDAD],ENTRADAS[CODIGO],PRODUCTOS[[#This Row],[CODIGO]])</f>
        <v/>
      </c>
      <c r="G173" s="56">
        <f>SUMIFS(SALIDAS[CANTIDAD],SALIDAS[CODIGO],PRODUCTOS[[#This Row],[CODIGO]])</f>
        <v/>
      </c>
      <c r="H173" s="56">
        <f>PRODUCTOS[[#This Row],[ENTRADAS]]-PRODUCTOS[[#This Row],[SALIDAS ]]</f>
        <v/>
      </c>
      <c r="I173" s="76" t="n">
        <v>0</v>
      </c>
      <c r="J173">
        <f>IF(PRODUCTOS[[#This Row],[STOCK]]&lt;0,"NEGATIVO",IF(PRODUCTOS[[#This Row],[STOCK]]=0,"SIN STOCK",IF(PRODUCTOS[[#This Row],[STOCK]]&lt;=PRODUCTOS[[#This Row],[STOCK MÍN.]],"BAJO","OK")))</f>
        <v/>
      </c>
      <c r="K1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74" hidden="1" s="11">
      <c r="A174" s="18" t="n">
        <v>159</v>
      </c>
      <c r="B174" s="56" t="inlineStr">
        <is>
          <t>00038-FER</t>
        </is>
      </c>
      <c r="C174" s="56">
        <f>IFERROR(_xlfn.XLOOKUP(PRODUCTOS[[#This Row],[CODIGO]],LISTADO[CODIGOS],LISTADO[CATEGORIA]),"NO EXISTE")</f>
        <v/>
      </c>
      <c r="D174" s="56">
        <f>IFERROR(_xlfn.XLOOKUP(PRODUCTOS[[#This Row],[CODIGO]],LISTADO[CODIGOS],LISTADO[PRODUCTOS]),"NO EXISTE")</f>
        <v/>
      </c>
      <c r="E174" s="56">
        <f>IFERROR(_xlfn.XLOOKUP(PRODUCTOS[[#This Row],[CODIGO]],LISTADO[CODIGOS],LISTADO[UBICACIÓN]),"NO EXISTE")</f>
        <v/>
      </c>
      <c r="F174" s="56">
        <f>SUMIFS(ENTRADAS[CANTIDAD],ENTRADAS[CODIGO],PRODUCTOS[[#This Row],[CODIGO]])</f>
        <v/>
      </c>
      <c r="G174" s="56">
        <f>SUMIFS(SALIDAS[CANTIDAD],SALIDAS[CODIGO],PRODUCTOS[[#This Row],[CODIGO]])</f>
        <v/>
      </c>
      <c r="H174" s="56">
        <f>PRODUCTOS[[#This Row],[ENTRADAS]]-PRODUCTOS[[#This Row],[SALIDAS ]]</f>
        <v/>
      </c>
      <c r="I174" s="76" t="n">
        <v>0</v>
      </c>
      <c r="J174">
        <f>IF(PRODUCTOS[[#This Row],[STOCK]]&lt;0,"NEGATIVO",IF(PRODUCTOS[[#This Row],[STOCK]]=0,"SIN STOCK",IF(PRODUCTOS[[#This Row],[STOCK]]&lt;=PRODUCTOS[[#This Row],[STOCK MÍN.]],"BAJO","OK")))</f>
        <v/>
      </c>
      <c r="K1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75" hidden="1" s="11">
      <c r="A175" s="18" t="n">
        <v>160</v>
      </c>
      <c r="B175" s="56" t="inlineStr">
        <is>
          <t>00039-FER</t>
        </is>
      </c>
      <c r="C175" s="56">
        <f>IFERROR(_xlfn.XLOOKUP(PRODUCTOS[[#This Row],[CODIGO]],LISTADO[CODIGOS],LISTADO[CATEGORIA]),"NO EXISTE")</f>
        <v/>
      </c>
      <c r="D175" s="56">
        <f>IFERROR(_xlfn.XLOOKUP(PRODUCTOS[[#This Row],[CODIGO]],LISTADO[CODIGOS],LISTADO[PRODUCTOS]),"NO EXISTE")</f>
        <v/>
      </c>
      <c r="E175" s="56">
        <f>IFERROR(_xlfn.XLOOKUP(PRODUCTOS[[#This Row],[CODIGO]],LISTADO[CODIGOS],LISTADO[UBICACIÓN]),"NO EXISTE")</f>
        <v/>
      </c>
      <c r="F175" s="56">
        <f>SUMIFS(ENTRADAS[CANTIDAD],ENTRADAS[CODIGO],PRODUCTOS[[#This Row],[CODIGO]])</f>
        <v/>
      </c>
      <c r="G175" s="56">
        <f>SUMIFS(SALIDAS[CANTIDAD],SALIDAS[CODIGO],PRODUCTOS[[#This Row],[CODIGO]])</f>
        <v/>
      </c>
      <c r="H175" s="56">
        <f>PRODUCTOS[[#This Row],[ENTRADAS]]-PRODUCTOS[[#This Row],[SALIDAS ]]</f>
        <v/>
      </c>
      <c r="I175" s="76" t="n">
        <v>0</v>
      </c>
      <c r="J175">
        <f>IF(PRODUCTOS[[#This Row],[STOCK]]&lt;0,"NEGATIVO",IF(PRODUCTOS[[#This Row],[STOCK]]=0,"SIN STOCK",IF(PRODUCTOS[[#This Row],[STOCK]]&lt;=PRODUCTOS[[#This Row],[STOCK MÍN.]],"BAJO","OK")))</f>
        <v/>
      </c>
      <c r="K1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76" hidden="1" s="11">
      <c r="A176" s="18" t="n">
        <v>161</v>
      </c>
      <c r="B176" s="56" t="inlineStr">
        <is>
          <t>00040-FER</t>
        </is>
      </c>
      <c r="C176" s="56">
        <f>IFERROR(_xlfn.XLOOKUP(PRODUCTOS[[#This Row],[CODIGO]],LISTADO[CODIGOS],LISTADO[CATEGORIA]),"NO EXISTE")</f>
        <v/>
      </c>
      <c r="D176" s="56">
        <f>IFERROR(_xlfn.XLOOKUP(PRODUCTOS[[#This Row],[CODIGO]],LISTADO[CODIGOS],LISTADO[PRODUCTOS]),"NO EXISTE")</f>
        <v/>
      </c>
      <c r="E176" s="56">
        <f>IFERROR(_xlfn.XLOOKUP(PRODUCTOS[[#This Row],[CODIGO]],LISTADO[CODIGOS],LISTADO[UBICACIÓN]),"NO EXISTE")</f>
        <v/>
      </c>
      <c r="F176" s="56">
        <f>SUMIFS(ENTRADAS[CANTIDAD],ENTRADAS[CODIGO],PRODUCTOS[[#This Row],[CODIGO]])</f>
        <v/>
      </c>
      <c r="G176" s="56">
        <f>SUMIFS(SALIDAS[CANTIDAD],SALIDAS[CODIGO],PRODUCTOS[[#This Row],[CODIGO]])</f>
        <v/>
      </c>
      <c r="H176" s="56">
        <f>PRODUCTOS[[#This Row],[ENTRADAS]]-PRODUCTOS[[#This Row],[SALIDAS ]]</f>
        <v/>
      </c>
      <c r="I176" s="76" t="n">
        <v>0</v>
      </c>
      <c r="J176">
        <f>IF(PRODUCTOS[[#This Row],[STOCK]]&lt;0,"NEGATIVO",IF(PRODUCTOS[[#This Row],[STOCK]]=0,"SIN STOCK",IF(PRODUCTOS[[#This Row],[STOCK]]&lt;=PRODUCTOS[[#This Row],[STOCK MÍN.]],"BAJO","OK")))</f>
        <v/>
      </c>
      <c r="K1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77" hidden="1" s="11">
      <c r="A177" s="18" t="n">
        <v>162</v>
      </c>
      <c r="B177" s="56" t="inlineStr">
        <is>
          <t>00041-FER</t>
        </is>
      </c>
      <c r="C177" s="56">
        <f>IFERROR(_xlfn.XLOOKUP(PRODUCTOS[[#This Row],[CODIGO]],LISTADO[CODIGOS],LISTADO[CATEGORIA]),"NO EXISTE")</f>
        <v/>
      </c>
      <c r="D177" s="56">
        <f>IFERROR(_xlfn.XLOOKUP(PRODUCTOS[[#This Row],[CODIGO]],LISTADO[CODIGOS],LISTADO[PRODUCTOS]),"NO EXISTE")</f>
        <v/>
      </c>
      <c r="E177" s="56">
        <f>IFERROR(_xlfn.XLOOKUP(PRODUCTOS[[#This Row],[CODIGO]],LISTADO[CODIGOS],LISTADO[UBICACIÓN]),"NO EXISTE")</f>
        <v/>
      </c>
      <c r="F177" s="56">
        <f>SUMIFS(ENTRADAS[CANTIDAD],ENTRADAS[CODIGO],PRODUCTOS[[#This Row],[CODIGO]])</f>
        <v/>
      </c>
      <c r="G177" s="56">
        <f>SUMIFS(SALIDAS[CANTIDAD],SALIDAS[CODIGO],PRODUCTOS[[#This Row],[CODIGO]])</f>
        <v/>
      </c>
      <c r="H177" s="56">
        <f>PRODUCTOS[[#This Row],[ENTRADAS]]-PRODUCTOS[[#This Row],[SALIDAS ]]</f>
        <v/>
      </c>
      <c r="I177" s="76" t="n">
        <v>0</v>
      </c>
      <c r="J177">
        <f>IF(PRODUCTOS[[#This Row],[STOCK]]&lt;0,"NEGATIVO",IF(PRODUCTOS[[#This Row],[STOCK]]=0,"SIN STOCK",IF(PRODUCTOS[[#This Row],[STOCK]]&lt;=PRODUCTOS[[#This Row],[STOCK MÍN.]],"BAJO","OK")))</f>
        <v/>
      </c>
      <c r="K1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78" hidden="1" s="11">
      <c r="A178" s="18" t="n">
        <v>163</v>
      </c>
      <c r="B178" s="56" t="inlineStr">
        <is>
          <t>00042-FER</t>
        </is>
      </c>
      <c r="C178" s="56">
        <f>IFERROR(_xlfn.XLOOKUP(PRODUCTOS[[#This Row],[CODIGO]],LISTADO[CODIGOS],LISTADO[CATEGORIA]),"NO EXISTE")</f>
        <v/>
      </c>
      <c r="D178" s="56">
        <f>IFERROR(_xlfn.XLOOKUP(PRODUCTOS[[#This Row],[CODIGO]],LISTADO[CODIGOS],LISTADO[PRODUCTOS]),"NO EXISTE")</f>
        <v/>
      </c>
      <c r="E178" s="56">
        <f>IFERROR(_xlfn.XLOOKUP(PRODUCTOS[[#This Row],[CODIGO]],LISTADO[CODIGOS],LISTADO[UBICACIÓN]),"NO EXISTE")</f>
        <v/>
      </c>
      <c r="F178" s="56">
        <f>SUMIFS(ENTRADAS[CANTIDAD],ENTRADAS[CODIGO],PRODUCTOS[[#This Row],[CODIGO]])</f>
        <v/>
      </c>
      <c r="G178" s="56">
        <f>SUMIFS(SALIDAS[CANTIDAD],SALIDAS[CODIGO],PRODUCTOS[[#This Row],[CODIGO]])</f>
        <v/>
      </c>
      <c r="H178" s="56">
        <f>PRODUCTOS[[#This Row],[ENTRADAS]]-PRODUCTOS[[#This Row],[SALIDAS ]]</f>
        <v/>
      </c>
      <c r="I178" s="76" t="n">
        <v>0</v>
      </c>
      <c r="J178">
        <f>IF(PRODUCTOS[[#This Row],[STOCK]]&lt;0,"NEGATIVO",IF(PRODUCTOS[[#This Row],[STOCK]]=0,"SIN STOCK",IF(PRODUCTOS[[#This Row],[STOCK]]&lt;=PRODUCTOS[[#This Row],[STOCK MÍN.]],"BAJO","OK")))</f>
        <v/>
      </c>
      <c r="K1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79" hidden="1" s="11">
      <c r="A179" s="18" t="n">
        <v>164</v>
      </c>
      <c r="B179" s="56" t="inlineStr">
        <is>
          <t>00020-OFC</t>
        </is>
      </c>
      <c r="C179" s="56">
        <f>IFERROR(_xlfn.XLOOKUP(PRODUCTOS[[#This Row],[CODIGO]],LISTADO[CODIGOS],LISTADO[CATEGORIA]),"NO EXISTE")</f>
        <v/>
      </c>
      <c r="D179" s="56">
        <f>IFERROR(_xlfn.XLOOKUP(PRODUCTOS[[#This Row],[CODIGO]],LISTADO[CODIGOS],LISTADO[PRODUCTOS]),"NO EXISTE")</f>
        <v/>
      </c>
      <c r="E179" s="56">
        <f>IFERROR(_xlfn.XLOOKUP(PRODUCTOS[[#This Row],[CODIGO]],LISTADO[CODIGOS],LISTADO[UBICACIÓN]),"NO EXISTE")</f>
        <v/>
      </c>
      <c r="F179" s="56">
        <f>SUMIFS(ENTRADAS[CANTIDAD],ENTRADAS[CODIGO],PRODUCTOS[[#This Row],[CODIGO]])</f>
        <v/>
      </c>
      <c r="G179" s="56">
        <f>SUMIFS(SALIDAS[CANTIDAD],SALIDAS[CODIGO],PRODUCTOS[[#This Row],[CODIGO]])</f>
        <v/>
      </c>
      <c r="H179" s="56">
        <f>PRODUCTOS[[#This Row],[ENTRADAS]]-PRODUCTOS[[#This Row],[SALIDAS ]]</f>
        <v/>
      </c>
      <c r="I179" s="76" t="n">
        <v>0</v>
      </c>
      <c r="J179">
        <f>IF(PRODUCTOS[[#This Row],[STOCK]]&lt;0,"NEGATIVO",IF(PRODUCTOS[[#This Row],[STOCK]]=0,"SIN STOCK",IF(PRODUCTOS[[#This Row],[STOCK]]&lt;=PRODUCTOS[[#This Row],[STOCK MÍN.]],"BAJO","OK")))</f>
        <v/>
      </c>
      <c r="K1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80" hidden="1" s="11">
      <c r="A180" s="18" t="n">
        <v>165</v>
      </c>
      <c r="B180" s="56" t="inlineStr">
        <is>
          <t>00002-UNI</t>
        </is>
      </c>
      <c r="C180" s="56">
        <f>IFERROR(_xlfn.XLOOKUP(PRODUCTOS[[#This Row],[CODIGO]],LISTADO[CODIGOS],LISTADO[CATEGORIA]),"NO EXISTE")</f>
        <v/>
      </c>
      <c r="D180" s="56">
        <f>IFERROR(_xlfn.XLOOKUP(PRODUCTOS[[#This Row],[CODIGO]],LISTADO[CODIGOS],LISTADO[PRODUCTOS]),"NO EXISTE")</f>
        <v/>
      </c>
      <c r="E180" s="56">
        <f>IFERROR(_xlfn.XLOOKUP(PRODUCTOS[[#This Row],[CODIGO]],LISTADO[CODIGOS],LISTADO[UBICACIÓN]),"NO EXISTE")</f>
        <v/>
      </c>
      <c r="F180" s="56">
        <f>SUMIFS(ENTRADAS[CANTIDAD],ENTRADAS[CODIGO],PRODUCTOS[[#This Row],[CODIGO]])</f>
        <v/>
      </c>
      <c r="G180" s="56">
        <f>SUMIFS(SALIDAS[CANTIDAD],SALIDAS[CODIGO],PRODUCTOS[[#This Row],[CODIGO]])</f>
        <v/>
      </c>
      <c r="H180" s="56">
        <f>PRODUCTOS[[#This Row],[ENTRADAS]]-PRODUCTOS[[#This Row],[SALIDAS ]]</f>
        <v/>
      </c>
      <c r="I180" s="76" t="n">
        <v>0</v>
      </c>
      <c r="J180">
        <f>IF(PRODUCTOS[[#This Row],[STOCK]]&lt;0,"NEGATIVO",IF(PRODUCTOS[[#This Row],[STOCK]]=0,"SIN STOCK",IF(PRODUCTOS[[#This Row],[STOCK]]&lt;=PRODUCTOS[[#This Row],[STOCK MÍN.]],"BAJO","OK")))</f>
        <v/>
      </c>
      <c r="K1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81" hidden="1" s="11">
      <c r="A181" s="18" t="n">
        <v>166</v>
      </c>
      <c r="B181" s="56" t="inlineStr">
        <is>
          <t>00003-UNI</t>
        </is>
      </c>
      <c r="C181" s="56">
        <f>IFERROR(_xlfn.XLOOKUP(PRODUCTOS[[#This Row],[CODIGO]],LISTADO[CODIGOS],LISTADO[CATEGORIA]),"NO EXISTE")</f>
        <v/>
      </c>
      <c r="D181" s="56">
        <f>IFERROR(_xlfn.XLOOKUP(PRODUCTOS[[#This Row],[CODIGO]],LISTADO[CODIGOS],LISTADO[PRODUCTOS]),"NO EXISTE")</f>
        <v/>
      </c>
      <c r="E181" s="56">
        <f>IFERROR(_xlfn.XLOOKUP(PRODUCTOS[[#This Row],[CODIGO]],LISTADO[CODIGOS],LISTADO[UBICACIÓN]),"NO EXISTE")</f>
        <v/>
      </c>
      <c r="F181" s="56">
        <f>SUMIFS(ENTRADAS[CANTIDAD],ENTRADAS[CODIGO],PRODUCTOS[[#This Row],[CODIGO]])</f>
        <v/>
      </c>
      <c r="G181" s="56">
        <f>SUMIFS(SALIDAS[CANTIDAD],SALIDAS[CODIGO],PRODUCTOS[[#This Row],[CODIGO]])</f>
        <v/>
      </c>
      <c r="H181" s="56">
        <f>PRODUCTOS[[#This Row],[ENTRADAS]]-PRODUCTOS[[#This Row],[SALIDAS ]]</f>
        <v/>
      </c>
      <c r="I181" s="76" t="n">
        <v>0</v>
      </c>
      <c r="J181">
        <f>IF(PRODUCTOS[[#This Row],[STOCK]]&lt;0,"NEGATIVO",IF(PRODUCTOS[[#This Row],[STOCK]]=0,"SIN STOCK",IF(PRODUCTOS[[#This Row],[STOCK]]&lt;=PRODUCTOS[[#This Row],[STOCK MÍN.]],"BAJO","OK")))</f>
        <v/>
      </c>
      <c r="K1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82" hidden="1" s="11">
      <c r="A182" s="18" t="n">
        <v>167</v>
      </c>
      <c r="B182" s="56" t="inlineStr">
        <is>
          <t>00004-UNI</t>
        </is>
      </c>
      <c r="C182" s="56">
        <f>IFERROR(_xlfn.XLOOKUP(PRODUCTOS[[#This Row],[CODIGO]],LISTADO[CODIGOS],LISTADO[CATEGORIA]),"NO EXISTE")</f>
        <v/>
      </c>
      <c r="D182" s="56">
        <f>IFERROR(_xlfn.XLOOKUP(PRODUCTOS[[#This Row],[CODIGO]],LISTADO[CODIGOS],LISTADO[PRODUCTOS]),"NO EXISTE")</f>
        <v/>
      </c>
      <c r="E182" s="56">
        <f>IFERROR(_xlfn.XLOOKUP(PRODUCTOS[[#This Row],[CODIGO]],LISTADO[CODIGOS],LISTADO[UBICACIÓN]),"NO EXISTE")</f>
        <v/>
      </c>
      <c r="F182" s="56">
        <f>SUMIFS(ENTRADAS[CANTIDAD],ENTRADAS[CODIGO],PRODUCTOS[[#This Row],[CODIGO]])</f>
        <v/>
      </c>
      <c r="G182" s="56">
        <f>SUMIFS(SALIDAS[CANTIDAD],SALIDAS[CODIGO],PRODUCTOS[[#This Row],[CODIGO]])</f>
        <v/>
      </c>
      <c r="H182" s="56">
        <f>PRODUCTOS[[#This Row],[ENTRADAS]]-PRODUCTOS[[#This Row],[SALIDAS ]]</f>
        <v/>
      </c>
      <c r="I182" s="76" t="n">
        <v>0</v>
      </c>
      <c r="J182">
        <f>IF(PRODUCTOS[[#This Row],[STOCK]]&lt;0,"NEGATIVO",IF(PRODUCTOS[[#This Row],[STOCK]]=0,"SIN STOCK",IF(PRODUCTOS[[#This Row],[STOCK]]&lt;=PRODUCTOS[[#This Row],[STOCK MÍN.]],"BAJO","OK")))</f>
        <v/>
      </c>
      <c r="K1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83" hidden="1" s="11">
      <c r="A183" s="18" t="n">
        <v>168</v>
      </c>
      <c r="B183" s="56" t="inlineStr">
        <is>
          <t>00005-UNI</t>
        </is>
      </c>
      <c r="C183" s="56">
        <f>IFERROR(_xlfn.XLOOKUP(PRODUCTOS[[#This Row],[CODIGO]],LISTADO[CODIGOS],LISTADO[CATEGORIA]),"NO EXISTE")</f>
        <v/>
      </c>
      <c r="D183" s="56">
        <f>IFERROR(_xlfn.XLOOKUP(PRODUCTOS[[#This Row],[CODIGO]],LISTADO[CODIGOS],LISTADO[PRODUCTOS]),"NO EXISTE")</f>
        <v/>
      </c>
      <c r="E183" s="56">
        <f>IFERROR(_xlfn.XLOOKUP(PRODUCTOS[[#This Row],[CODIGO]],LISTADO[CODIGOS],LISTADO[UBICACIÓN]),"NO EXISTE")</f>
        <v/>
      </c>
      <c r="F183" s="56">
        <f>SUMIFS(ENTRADAS[CANTIDAD],ENTRADAS[CODIGO],PRODUCTOS[[#This Row],[CODIGO]])</f>
        <v/>
      </c>
      <c r="G183" s="56">
        <f>SUMIFS(SALIDAS[CANTIDAD],SALIDAS[CODIGO],PRODUCTOS[[#This Row],[CODIGO]])</f>
        <v/>
      </c>
      <c r="H183" s="56">
        <f>PRODUCTOS[[#This Row],[ENTRADAS]]-PRODUCTOS[[#This Row],[SALIDAS ]]</f>
        <v/>
      </c>
      <c r="I183" s="76" t="n">
        <v>0</v>
      </c>
      <c r="J183">
        <f>IF(PRODUCTOS[[#This Row],[STOCK]]&lt;0,"NEGATIVO",IF(PRODUCTOS[[#This Row],[STOCK]]=0,"SIN STOCK",IF(PRODUCTOS[[#This Row],[STOCK]]&lt;=PRODUCTOS[[#This Row],[STOCK MÍN.]],"BAJO","OK")))</f>
        <v/>
      </c>
      <c r="K1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84" hidden="1" s="11">
      <c r="A184" s="18" t="n">
        <v>169</v>
      </c>
      <c r="B184" s="56" t="inlineStr">
        <is>
          <t>00006-UNI</t>
        </is>
      </c>
      <c r="C184" s="56">
        <f>IFERROR(_xlfn.XLOOKUP(PRODUCTOS[[#This Row],[CODIGO]],LISTADO[CODIGOS],LISTADO[CATEGORIA]),"NO EXISTE")</f>
        <v/>
      </c>
      <c r="D184" s="56">
        <f>IFERROR(_xlfn.XLOOKUP(PRODUCTOS[[#This Row],[CODIGO]],LISTADO[CODIGOS],LISTADO[PRODUCTOS]),"NO EXISTE")</f>
        <v/>
      </c>
      <c r="E184" s="56">
        <f>IFERROR(_xlfn.XLOOKUP(PRODUCTOS[[#This Row],[CODIGO]],LISTADO[CODIGOS],LISTADO[UBICACIÓN]),"NO EXISTE")</f>
        <v/>
      </c>
      <c r="F184" s="56">
        <f>SUMIFS(ENTRADAS[CANTIDAD],ENTRADAS[CODIGO],PRODUCTOS[[#This Row],[CODIGO]])</f>
        <v/>
      </c>
      <c r="G184" s="56">
        <f>SUMIFS(SALIDAS[CANTIDAD],SALIDAS[CODIGO],PRODUCTOS[[#This Row],[CODIGO]])</f>
        <v/>
      </c>
      <c r="H184" s="56">
        <f>PRODUCTOS[[#This Row],[ENTRADAS]]-PRODUCTOS[[#This Row],[SALIDAS ]]</f>
        <v/>
      </c>
      <c r="I184" s="76" t="n">
        <v>0</v>
      </c>
      <c r="J184">
        <f>IF(PRODUCTOS[[#This Row],[STOCK]]&lt;0,"NEGATIVO",IF(PRODUCTOS[[#This Row],[STOCK]]=0,"SIN STOCK",IF(PRODUCTOS[[#This Row],[STOCK]]&lt;=PRODUCTOS[[#This Row],[STOCK MÍN.]],"BAJO","OK")))</f>
        <v/>
      </c>
      <c r="K1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85" hidden="1" s="11">
      <c r="A185" s="18" t="n">
        <v>170</v>
      </c>
      <c r="B185" s="56" t="inlineStr">
        <is>
          <t>00007-UNI</t>
        </is>
      </c>
      <c r="C185" s="56">
        <f>IFERROR(_xlfn.XLOOKUP(PRODUCTOS[[#This Row],[CODIGO]],LISTADO[CODIGOS],LISTADO[CATEGORIA]),"NO EXISTE")</f>
        <v/>
      </c>
      <c r="D185" s="56">
        <f>IFERROR(_xlfn.XLOOKUP(PRODUCTOS[[#This Row],[CODIGO]],LISTADO[CODIGOS],LISTADO[PRODUCTOS]),"NO EXISTE")</f>
        <v/>
      </c>
      <c r="E185" s="56">
        <f>IFERROR(_xlfn.XLOOKUP(PRODUCTOS[[#This Row],[CODIGO]],LISTADO[CODIGOS],LISTADO[UBICACIÓN]),"NO EXISTE")</f>
        <v/>
      </c>
      <c r="F185" s="56">
        <f>SUMIFS(ENTRADAS[CANTIDAD],ENTRADAS[CODIGO],PRODUCTOS[[#This Row],[CODIGO]])</f>
        <v/>
      </c>
      <c r="G185" s="56">
        <f>SUMIFS(SALIDAS[CANTIDAD],SALIDAS[CODIGO],PRODUCTOS[[#This Row],[CODIGO]])</f>
        <v/>
      </c>
      <c r="H185" s="56">
        <f>PRODUCTOS[[#This Row],[ENTRADAS]]-PRODUCTOS[[#This Row],[SALIDAS ]]</f>
        <v/>
      </c>
      <c r="I185" s="76" t="n">
        <v>0</v>
      </c>
      <c r="J185">
        <f>IF(PRODUCTOS[[#This Row],[STOCK]]&lt;0,"NEGATIVO",IF(PRODUCTOS[[#This Row],[STOCK]]=0,"SIN STOCK",IF(PRODUCTOS[[#This Row],[STOCK]]&lt;=PRODUCTOS[[#This Row],[STOCK MÍN.]],"BAJO","OK")))</f>
        <v/>
      </c>
      <c r="K1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86" hidden="1" s="11">
      <c r="A186" s="18" t="n">
        <v>171</v>
      </c>
      <c r="B186" s="56" t="inlineStr">
        <is>
          <t>00008-UNI</t>
        </is>
      </c>
      <c r="C186" s="56">
        <f>IFERROR(_xlfn.XLOOKUP(PRODUCTOS[[#This Row],[CODIGO]],LISTADO[CODIGOS],LISTADO[CATEGORIA]),"NO EXISTE")</f>
        <v/>
      </c>
      <c r="D186" s="56">
        <f>IFERROR(_xlfn.XLOOKUP(PRODUCTOS[[#This Row],[CODIGO]],LISTADO[CODIGOS],LISTADO[PRODUCTOS]),"NO EXISTE")</f>
        <v/>
      </c>
      <c r="E186" s="56">
        <f>IFERROR(_xlfn.XLOOKUP(PRODUCTOS[[#This Row],[CODIGO]],LISTADO[CODIGOS],LISTADO[UBICACIÓN]),"NO EXISTE")</f>
        <v/>
      </c>
      <c r="F186" s="56">
        <f>SUMIFS(ENTRADAS[CANTIDAD],ENTRADAS[CODIGO],PRODUCTOS[[#This Row],[CODIGO]])</f>
        <v/>
      </c>
      <c r="G186" s="56">
        <f>SUMIFS(SALIDAS[CANTIDAD],SALIDAS[CODIGO],PRODUCTOS[[#This Row],[CODIGO]])</f>
        <v/>
      </c>
      <c r="H186" s="56">
        <f>PRODUCTOS[[#This Row],[ENTRADAS]]-PRODUCTOS[[#This Row],[SALIDAS ]]</f>
        <v/>
      </c>
      <c r="I186" s="76" t="n">
        <v>0</v>
      </c>
      <c r="J186">
        <f>IF(PRODUCTOS[[#This Row],[STOCK]]&lt;0,"NEGATIVO",IF(PRODUCTOS[[#This Row],[STOCK]]=0,"SIN STOCK",IF(PRODUCTOS[[#This Row],[STOCK]]&lt;=PRODUCTOS[[#This Row],[STOCK MÍN.]],"BAJO","OK")))</f>
        <v/>
      </c>
      <c r="K1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87" hidden="1" s="11">
      <c r="A187" s="18" t="n">
        <v>172</v>
      </c>
      <c r="B187" s="56" t="inlineStr">
        <is>
          <t>00009-UNI</t>
        </is>
      </c>
      <c r="C187" s="56">
        <f>IFERROR(_xlfn.XLOOKUP(PRODUCTOS[[#This Row],[CODIGO]],LISTADO[CODIGOS],LISTADO[CATEGORIA]),"NO EXISTE")</f>
        <v/>
      </c>
      <c r="D187" s="56">
        <f>IFERROR(_xlfn.XLOOKUP(PRODUCTOS[[#This Row],[CODIGO]],LISTADO[CODIGOS],LISTADO[PRODUCTOS]),"NO EXISTE")</f>
        <v/>
      </c>
      <c r="E187" s="56">
        <f>IFERROR(_xlfn.XLOOKUP(PRODUCTOS[[#This Row],[CODIGO]],LISTADO[CODIGOS],LISTADO[UBICACIÓN]),"NO EXISTE")</f>
        <v/>
      </c>
      <c r="F187" s="56">
        <f>SUMIFS(ENTRADAS[CANTIDAD],ENTRADAS[CODIGO],PRODUCTOS[[#This Row],[CODIGO]])</f>
        <v/>
      </c>
      <c r="G187" s="56">
        <f>SUMIFS(SALIDAS[CANTIDAD],SALIDAS[CODIGO],PRODUCTOS[[#This Row],[CODIGO]])</f>
        <v/>
      </c>
      <c r="H187" s="56">
        <f>PRODUCTOS[[#This Row],[ENTRADAS]]-PRODUCTOS[[#This Row],[SALIDAS ]]</f>
        <v/>
      </c>
      <c r="I187" s="76" t="n">
        <v>0</v>
      </c>
      <c r="J187">
        <f>IF(PRODUCTOS[[#This Row],[STOCK]]&lt;0,"NEGATIVO",IF(PRODUCTOS[[#This Row],[STOCK]]=0,"SIN STOCK",IF(PRODUCTOS[[#This Row],[STOCK]]&lt;=PRODUCTOS[[#This Row],[STOCK MÍN.]],"BAJO","OK")))</f>
        <v/>
      </c>
      <c r="K1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88" hidden="1" s="11">
      <c r="A188" s="18" t="n">
        <v>173</v>
      </c>
      <c r="B188" s="56" t="inlineStr">
        <is>
          <t>00010-UNI</t>
        </is>
      </c>
      <c r="C188" s="56">
        <f>IFERROR(_xlfn.XLOOKUP(PRODUCTOS[[#This Row],[CODIGO]],LISTADO[CODIGOS],LISTADO[CATEGORIA]),"NO EXISTE")</f>
        <v/>
      </c>
      <c r="D188" s="56">
        <f>IFERROR(_xlfn.XLOOKUP(PRODUCTOS[[#This Row],[CODIGO]],LISTADO[CODIGOS],LISTADO[PRODUCTOS]),"NO EXISTE")</f>
        <v/>
      </c>
      <c r="E188" s="56">
        <f>IFERROR(_xlfn.XLOOKUP(PRODUCTOS[[#This Row],[CODIGO]],LISTADO[CODIGOS],LISTADO[UBICACIÓN]),"NO EXISTE")</f>
        <v/>
      </c>
      <c r="F188" s="56">
        <f>SUMIFS(ENTRADAS[CANTIDAD],ENTRADAS[CODIGO],PRODUCTOS[[#This Row],[CODIGO]])</f>
        <v/>
      </c>
      <c r="G188" s="56">
        <f>SUMIFS(SALIDAS[CANTIDAD],SALIDAS[CODIGO],PRODUCTOS[[#This Row],[CODIGO]])</f>
        <v/>
      </c>
      <c r="H188" s="56">
        <f>PRODUCTOS[[#This Row],[ENTRADAS]]-PRODUCTOS[[#This Row],[SALIDAS ]]</f>
        <v/>
      </c>
      <c r="I188" s="76" t="n">
        <v>0</v>
      </c>
      <c r="J188">
        <f>IF(PRODUCTOS[[#This Row],[STOCK]]&lt;0,"NEGATIVO",IF(PRODUCTOS[[#This Row],[STOCK]]=0,"SIN STOCK",IF(PRODUCTOS[[#This Row],[STOCK]]&lt;=PRODUCTOS[[#This Row],[STOCK MÍN.]],"BAJO","OK")))</f>
        <v/>
      </c>
      <c r="K1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89" hidden="1" s="11">
      <c r="A189" s="18" t="n">
        <v>174</v>
      </c>
      <c r="B189" s="56" t="inlineStr">
        <is>
          <t>00011-UNI</t>
        </is>
      </c>
      <c r="C189" s="56">
        <f>IFERROR(_xlfn.XLOOKUP(PRODUCTOS[[#This Row],[CODIGO]],LISTADO[CODIGOS],LISTADO[CATEGORIA]),"NO EXISTE")</f>
        <v/>
      </c>
      <c r="D189" s="56">
        <f>IFERROR(_xlfn.XLOOKUP(PRODUCTOS[[#This Row],[CODIGO]],LISTADO[CODIGOS],LISTADO[PRODUCTOS]),"NO EXISTE")</f>
        <v/>
      </c>
      <c r="E189" s="56">
        <f>IFERROR(_xlfn.XLOOKUP(PRODUCTOS[[#This Row],[CODIGO]],LISTADO[CODIGOS],LISTADO[UBICACIÓN]),"NO EXISTE")</f>
        <v/>
      </c>
      <c r="F189" s="56">
        <f>SUMIFS(ENTRADAS[CANTIDAD],ENTRADAS[CODIGO],PRODUCTOS[[#This Row],[CODIGO]])</f>
        <v/>
      </c>
      <c r="G189" s="56">
        <f>SUMIFS(SALIDAS[CANTIDAD],SALIDAS[CODIGO],PRODUCTOS[[#This Row],[CODIGO]])</f>
        <v/>
      </c>
      <c r="H189" s="56">
        <f>PRODUCTOS[[#This Row],[ENTRADAS]]-PRODUCTOS[[#This Row],[SALIDAS ]]</f>
        <v/>
      </c>
      <c r="I189" s="76" t="n">
        <v>0</v>
      </c>
      <c r="J189">
        <f>IF(PRODUCTOS[[#This Row],[STOCK]]&lt;0,"NEGATIVO",IF(PRODUCTOS[[#This Row],[STOCK]]=0,"SIN STOCK",IF(PRODUCTOS[[#This Row],[STOCK]]&lt;=PRODUCTOS[[#This Row],[STOCK MÍN.]],"BAJO","OK")))</f>
        <v/>
      </c>
      <c r="K1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90" hidden="1" s="11">
      <c r="A190" s="18" t="n">
        <v>175</v>
      </c>
      <c r="B190" s="56" t="inlineStr">
        <is>
          <t>00012-UNI</t>
        </is>
      </c>
      <c r="C190" s="56">
        <f>IFERROR(_xlfn.XLOOKUP(PRODUCTOS[[#This Row],[CODIGO]],LISTADO[CODIGOS],LISTADO[CATEGORIA]),"NO EXISTE")</f>
        <v/>
      </c>
      <c r="D190" s="56">
        <f>IFERROR(_xlfn.XLOOKUP(PRODUCTOS[[#This Row],[CODIGO]],LISTADO[CODIGOS],LISTADO[PRODUCTOS]),"NO EXISTE")</f>
        <v/>
      </c>
      <c r="E190" s="56">
        <f>IFERROR(_xlfn.XLOOKUP(PRODUCTOS[[#This Row],[CODIGO]],LISTADO[CODIGOS],LISTADO[UBICACIÓN]),"NO EXISTE")</f>
        <v/>
      </c>
      <c r="F190" s="56">
        <f>SUMIFS(ENTRADAS[CANTIDAD],ENTRADAS[CODIGO],PRODUCTOS[[#This Row],[CODIGO]])</f>
        <v/>
      </c>
      <c r="G190" s="56">
        <f>SUMIFS(SALIDAS[CANTIDAD],SALIDAS[CODIGO],PRODUCTOS[[#This Row],[CODIGO]])</f>
        <v/>
      </c>
      <c r="H190" s="56">
        <f>PRODUCTOS[[#This Row],[ENTRADAS]]-PRODUCTOS[[#This Row],[SALIDAS ]]</f>
        <v/>
      </c>
      <c r="I190" s="76" t="n">
        <v>0</v>
      </c>
      <c r="J190">
        <f>IF(PRODUCTOS[[#This Row],[STOCK]]&lt;0,"NEGATIVO",IF(PRODUCTOS[[#This Row],[STOCK]]=0,"SIN STOCK",IF(PRODUCTOS[[#This Row],[STOCK]]&lt;=PRODUCTOS[[#This Row],[STOCK MÍN.]],"BAJO","OK")))</f>
        <v/>
      </c>
      <c r="K1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91" hidden="1" s="11">
      <c r="A191" s="18" t="n">
        <v>176</v>
      </c>
      <c r="B191" s="56" t="inlineStr">
        <is>
          <t>00013-UNI</t>
        </is>
      </c>
      <c r="C191" s="56">
        <f>IFERROR(_xlfn.XLOOKUP(PRODUCTOS[[#This Row],[CODIGO]],LISTADO[CODIGOS],LISTADO[CATEGORIA]),"NO EXISTE")</f>
        <v/>
      </c>
      <c r="D191" s="56">
        <f>IFERROR(_xlfn.XLOOKUP(PRODUCTOS[[#This Row],[CODIGO]],LISTADO[CODIGOS],LISTADO[PRODUCTOS]),"NO EXISTE")</f>
        <v/>
      </c>
      <c r="E191" s="56">
        <f>IFERROR(_xlfn.XLOOKUP(PRODUCTOS[[#This Row],[CODIGO]],LISTADO[CODIGOS],LISTADO[UBICACIÓN]),"NO EXISTE")</f>
        <v/>
      </c>
      <c r="F191" s="56">
        <f>SUMIFS(ENTRADAS[CANTIDAD],ENTRADAS[CODIGO],PRODUCTOS[[#This Row],[CODIGO]])</f>
        <v/>
      </c>
      <c r="G191" s="56">
        <f>SUMIFS(SALIDAS[CANTIDAD],SALIDAS[CODIGO],PRODUCTOS[[#This Row],[CODIGO]])</f>
        <v/>
      </c>
      <c r="H191" s="56">
        <f>PRODUCTOS[[#This Row],[ENTRADAS]]-PRODUCTOS[[#This Row],[SALIDAS ]]</f>
        <v/>
      </c>
      <c r="I191" s="76" t="n">
        <v>0</v>
      </c>
      <c r="J191">
        <f>IF(PRODUCTOS[[#This Row],[STOCK]]&lt;0,"NEGATIVO",IF(PRODUCTOS[[#This Row],[STOCK]]=0,"SIN STOCK",IF(PRODUCTOS[[#This Row],[STOCK]]&lt;=PRODUCTOS[[#This Row],[STOCK MÍN.]],"BAJO","OK")))</f>
        <v/>
      </c>
      <c r="K1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92" hidden="1" s="11">
      <c r="A192" s="18" t="n">
        <v>177</v>
      </c>
      <c r="B192" s="56" t="inlineStr">
        <is>
          <t>00014-UNI</t>
        </is>
      </c>
      <c r="C192" s="56">
        <f>IFERROR(_xlfn.XLOOKUP(PRODUCTOS[[#This Row],[CODIGO]],LISTADO[CODIGOS],LISTADO[CATEGORIA]),"NO EXISTE")</f>
        <v/>
      </c>
      <c r="D192" s="56">
        <f>IFERROR(_xlfn.XLOOKUP(PRODUCTOS[[#This Row],[CODIGO]],LISTADO[CODIGOS],LISTADO[PRODUCTOS]),"NO EXISTE")</f>
        <v/>
      </c>
      <c r="E192" s="56">
        <f>IFERROR(_xlfn.XLOOKUP(PRODUCTOS[[#This Row],[CODIGO]],LISTADO[CODIGOS],LISTADO[UBICACIÓN]),"NO EXISTE")</f>
        <v/>
      </c>
      <c r="F192" s="56">
        <f>SUMIFS(ENTRADAS[CANTIDAD],ENTRADAS[CODIGO],PRODUCTOS[[#This Row],[CODIGO]])</f>
        <v/>
      </c>
      <c r="G192" s="56">
        <f>SUMIFS(SALIDAS[CANTIDAD],SALIDAS[CODIGO],PRODUCTOS[[#This Row],[CODIGO]])</f>
        <v/>
      </c>
      <c r="H192" s="56">
        <f>PRODUCTOS[[#This Row],[ENTRADAS]]-PRODUCTOS[[#This Row],[SALIDAS ]]</f>
        <v/>
      </c>
      <c r="I192" s="76" t="n">
        <v>0</v>
      </c>
      <c r="J192">
        <f>IF(PRODUCTOS[[#This Row],[STOCK]]&lt;0,"NEGATIVO",IF(PRODUCTOS[[#This Row],[STOCK]]=0,"SIN STOCK",IF(PRODUCTOS[[#This Row],[STOCK]]&lt;=PRODUCTOS[[#This Row],[STOCK MÍN.]],"BAJO","OK")))</f>
        <v/>
      </c>
      <c r="K1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93" hidden="1" s="11">
      <c r="A193" s="18" t="n">
        <v>178</v>
      </c>
      <c r="B193" s="56" t="inlineStr">
        <is>
          <t>00015-UNI</t>
        </is>
      </c>
      <c r="C193" s="56">
        <f>IFERROR(_xlfn.XLOOKUP(PRODUCTOS[[#This Row],[CODIGO]],LISTADO[CODIGOS],LISTADO[CATEGORIA]),"NO EXISTE")</f>
        <v/>
      </c>
      <c r="D193" s="56">
        <f>IFERROR(_xlfn.XLOOKUP(PRODUCTOS[[#This Row],[CODIGO]],LISTADO[CODIGOS],LISTADO[PRODUCTOS]),"NO EXISTE")</f>
        <v/>
      </c>
      <c r="E193" s="56">
        <f>IFERROR(_xlfn.XLOOKUP(PRODUCTOS[[#This Row],[CODIGO]],LISTADO[CODIGOS],LISTADO[UBICACIÓN]),"NO EXISTE")</f>
        <v/>
      </c>
      <c r="F193" s="56">
        <f>SUMIFS(ENTRADAS[CANTIDAD],ENTRADAS[CODIGO],PRODUCTOS[[#This Row],[CODIGO]])</f>
        <v/>
      </c>
      <c r="G193" s="56">
        <f>SUMIFS(SALIDAS[CANTIDAD],SALIDAS[CODIGO],PRODUCTOS[[#This Row],[CODIGO]])</f>
        <v/>
      </c>
      <c r="H193" s="56">
        <f>PRODUCTOS[[#This Row],[ENTRADAS]]-PRODUCTOS[[#This Row],[SALIDAS ]]</f>
        <v/>
      </c>
      <c r="I193" s="76" t="n">
        <v>0</v>
      </c>
      <c r="J193">
        <f>IF(PRODUCTOS[[#This Row],[STOCK]]&lt;0,"NEGATIVO",IF(PRODUCTOS[[#This Row],[STOCK]]=0,"SIN STOCK",IF(PRODUCTOS[[#This Row],[STOCK]]&lt;=PRODUCTOS[[#This Row],[STOCK MÍN.]],"BAJO","OK")))</f>
        <v/>
      </c>
      <c r="K1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94" hidden="1" s="11">
      <c r="A194" s="18" t="n">
        <v>179</v>
      </c>
      <c r="B194" s="56" t="inlineStr">
        <is>
          <t>00016-UNI</t>
        </is>
      </c>
      <c r="C194" s="56">
        <f>IFERROR(_xlfn.XLOOKUP(PRODUCTOS[[#This Row],[CODIGO]],LISTADO[CODIGOS],LISTADO[CATEGORIA]),"NO EXISTE")</f>
        <v/>
      </c>
      <c r="D194" s="56">
        <f>IFERROR(_xlfn.XLOOKUP(PRODUCTOS[[#This Row],[CODIGO]],LISTADO[CODIGOS],LISTADO[PRODUCTOS]),"NO EXISTE")</f>
        <v/>
      </c>
      <c r="E194" s="56">
        <f>IFERROR(_xlfn.XLOOKUP(PRODUCTOS[[#This Row],[CODIGO]],LISTADO[CODIGOS],LISTADO[UBICACIÓN]),"NO EXISTE")</f>
        <v/>
      </c>
      <c r="F194" s="56">
        <f>SUMIFS(ENTRADAS[CANTIDAD],ENTRADAS[CODIGO],PRODUCTOS[[#This Row],[CODIGO]])</f>
        <v/>
      </c>
      <c r="G194" s="56">
        <f>SUMIFS(SALIDAS[CANTIDAD],SALIDAS[CODIGO],PRODUCTOS[[#This Row],[CODIGO]])</f>
        <v/>
      </c>
      <c r="H194" s="56">
        <f>PRODUCTOS[[#This Row],[ENTRADAS]]-PRODUCTOS[[#This Row],[SALIDAS ]]</f>
        <v/>
      </c>
      <c r="I194" s="76" t="n">
        <v>0</v>
      </c>
      <c r="J194">
        <f>IF(PRODUCTOS[[#This Row],[STOCK]]&lt;0,"NEGATIVO",IF(PRODUCTOS[[#This Row],[STOCK]]=0,"SIN STOCK",IF(PRODUCTOS[[#This Row],[STOCK]]&lt;=PRODUCTOS[[#This Row],[STOCK MÍN.]],"BAJO","OK")))</f>
        <v/>
      </c>
      <c r="K1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95" hidden="1" s="11">
      <c r="A195" s="18" t="n">
        <v>180</v>
      </c>
      <c r="B195" s="56" t="inlineStr">
        <is>
          <t>00017-UNI</t>
        </is>
      </c>
      <c r="C195" s="56">
        <f>IFERROR(_xlfn.XLOOKUP(PRODUCTOS[[#This Row],[CODIGO]],LISTADO[CODIGOS],LISTADO[CATEGORIA]),"NO EXISTE")</f>
        <v/>
      </c>
      <c r="D195" s="56">
        <f>IFERROR(_xlfn.XLOOKUP(PRODUCTOS[[#This Row],[CODIGO]],LISTADO[CODIGOS],LISTADO[PRODUCTOS]),"NO EXISTE")</f>
        <v/>
      </c>
      <c r="E195" s="56">
        <f>IFERROR(_xlfn.XLOOKUP(PRODUCTOS[[#This Row],[CODIGO]],LISTADO[CODIGOS],LISTADO[UBICACIÓN]),"NO EXISTE")</f>
        <v/>
      </c>
      <c r="F195" s="56">
        <f>SUMIFS(ENTRADAS[CANTIDAD],ENTRADAS[CODIGO],PRODUCTOS[[#This Row],[CODIGO]])</f>
        <v/>
      </c>
      <c r="G195" s="56">
        <f>SUMIFS(SALIDAS[CANTIDAD],SALIDAS[CODIGO],PRODUCTOS[[#This Row],[CODIGO]])</f>
        <v/>
      </c>
      <c r="H195" s="56">
        <f>PRODUCTOS[[#This Row],[ENTRADAS]]-PRODUCTOS[[#This Row],[SALIDAS ]]</f>
        <v/>
      </c>
      <c r="I195" s="76" t="n">
        <v>0</v>
      </c>
      <c r="J195">
        <f>IF(PRODUCTOS[[#This Row],[STOCK]]&lt;0,"NEGATIVO",IF(PRODUCTOS[[#This Row],[STOCK]]=0,"SIN STOCK",IF(PRODUCTOS[[#This Row],[STOCK]]&lt;=PRODUCTOS[[#This Row],[STOCK MÍN.]],"BAJO","OK")))</f>
        <v/>
      </c>
      <c r="K1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96" hidden="1" s="11">
      <c r="A196" s="18" t="n">
        <v>181</v>
      </c>
      <c r="B196" s="56" t="inlineStr">
        <is>
          <t>00018-UNI</t>
        </is>
      </c>
      <c r="C196" s="56">
        <f>IFERROR(_xlfn.XLOOKUP(PRODUCTOS[[#This Row],[CODIGO]],LISTADO[CODIGOS],LISTADO[CATEGORIA]),"NO EXISTE")</f>
        <v/>
      </c>
      <c r="D196" s="56">
        <f>IFERROR(_xlfn.XLOOKUP(PRODUCTOS[[#This Row],[CODIGO]],LISTADO[CODIGOS],LISTADO[PRODUCTOS]),"NO EXISTE")</f>
        <v/>
      </c>
      <c r="E196" s="56">
        <f>IFERROR(_xlfn.XLOOKUP(PRODUCTOS[[#This Row],[CODIGO]],LISTADO[CODIGOS],LISTADO[UBICACIÓN]),"NO EXISTE")</f>
        <v/>
      </c>
      <c r="F196" s="56">
        <f>SUMIFS(ENTRADAS[CANTIDAD],ENTRADAS[CODIGO],PRODUCTOS[[#This Row],[CODIGO]])</f>
        <v/>
      </c>
      <c r="G196" s="56">
        <f>SUMIFS(SALIDAS[CANTIDAD],SALIDAS[CODIGO],PRODUCTOS[[#This Row],[CODIGO]])</f>
        <v/>
      </c>
      <c r="H196" s="56">
        <f>PRODUCTOS[[#This Row],[ENTRADAS]]-PRODUCTOS[[#This Row],[SALIDAS ]]</f>
        <v/>
      </c>
      <c r="I196" s="76" t="n">
        <v>0</v>
      </c>
      <c r="J196">
        <f>IF(PRODUCTOS[[#This Row],[STOCK]]&lt;0,"NEGATIVO",IF(PRODUCTOS[[#This Row],[STOCK]]=0,"SIN STOCK",IF(PRODUCTOS[[#This Row],[STOCK]]&lt;=PRODUCTOS[[#This Row],[STOCK MÍN.]],"BAJO","OK")))</f>
        <v/>
      </c>
      <c r="K1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97" hidden="1" s="11">
      <c r="A197" s="18" t="n">
        <v>182</v>
      </c>
      <c r="B197" s="56" t="inlineStr">
        <is>
          <t>00019-UNI</t>
        </is>
      </c>
      <c r="C197" s="56">
        <f>IFERROR(_xlfn.XLOOKUP(PRODUCTOS[[#This Row],[CODIGO]],LISTADO[CODIGOS],LISTADO[CATEGORIA]),"NO EXISTE")</f>
        <v/>
      </c>
      <c r="D197" s="56">
        <f>IFERROR(_xlfn.XLOOKUP(PRODUCTOS[[#This Row],[CODIGO]],LISTADO[CODIGOS],LISTADO[PRODUCTOS]),"NO EXISTE")</f>
        <v/>
      </c>
      <c r="E197" s="56">
        <f>IFERROR(_xlfn.XLOOKUP(PRODUCTOS[[#This Row],[CODIGO]],LISTADO[CODIGOS],LISTADO[UBICACIÓN]),"NO EXISTE")</f>
        <v/>
      </c>
      <c r="F197" s="56">
        <f>SUMIFS(ENTRADAS[CANTIDAD],ENTRADAS[CODIGO],PRODUCTOS[[#This Row],[CODIGO]])</f>
        <v/>
      </c>
      <c r="G197" s="56">
        <f>SUMIFS(SALIDAS[CANTIDAD],SALIDAS[CODIGO],PRODUCTOS[[#This Row],[CODIGO]])</f>
        <v/>
      </c>
      <c r="H197" s="56">
        <f>PRODUCTOS[[#This Row],[ENTRADAS]]-PRODUCTOS[[#This Row],[SALIDAS ]]</f>
        <v/>
      </c>
      <c r="I197" s="76" t="n">
        <v>0</v>
      </c>
      <c r="J197">
        <f>IF(PRODUCTOS[[#This Row],[STOCK]]&lt;0,"NEGATIVO",IF(PRODUCTOS[[#This Row],[STOCK]]=0,"SIN STOCK",IF(PRODUCTOS[[#This Row],[STOCK]]&lt;=PRODUCTOS[[#This Row],[STOCK MÍN.]],"BAJO","OK")))</f>
        <v/>
      </c>
      <c r="K1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98" hidden="1" s="11">
      <c r="A198" s="18" t="n">
        <v>183</v>
      </c>
      <c r="B198" s="56" t="inlineStr">
        <is>
          <t>00020-UNI</t>
        </is>
      </c>
      <c r="C198" s="56">
        <f>IFERROR(_xlfn.XLOOKUP(PRODUCTOS[[#This Row],[CODIGO]],LISTADO[CODIGOS],LISTADO[CATEGORIA]),"NO EXISTE")</f>
        <v/>
      </c>
      <c r="D198" s="56">
        <f>IFERROR(_xlfn.XLOOKUP(PRODUCTOS[[#This Row],[CODIGO]],LISTADO[CODIGOS],LISTADO[PRODUCTOS]),"NO EXISTE")</f>
        <v/>
      </c>
      <c r="E198" s="56">
        <f>IFERROR(_xlfn.XLOOKUP(PRODUCTOS[[#This Row],[CODIGO]],LISTADO[CODIGOS],LISTADO[UBICACIÓN]),"NO EXISTE")</f>
        <v/>
      </c>
      <c r="F198" s="56">
        <f>SUMIFS(ENTRADAS[CANTIDAD],ENTRADAS[CODIGO],PRODUCTOS[[#This Row],[CODIGO]])</f>
        <v/>
      </c>
      <c r="G198" s="56">
        <f>SUMIFS(SALIDAS[CANTIDAD],SALIDAS[CODIGO],PRODUCTOS[[#This Row],[CODIGO]])</f>
        <v/>
      </c>
      <c r="H198" s="56">
        <f>PRODUCTOS[[#This Row],[ENTRADAS]]-PRODUCTOS[[#This Row],[SALIDAS ]]</f>
        <v/>
      </c>
      <c r="I198" s="76" t="n">
        <v>0</v>
      </c>
      <c r="J198">
        <f>IF(PRODUCTOS[[#This Row],[STOCK]]&lt;0,"NEGATIVO",IF(PRODUCTOS[[#This Row],[STOCK]]=0,"SIN STOCK",IF(PRODUCTOS[[#This Row],[STOCK]]&lt;=PRODUCTOS[[#This Row],[STOCK MÍN.]],"BAJO","OK")))</f>
        <v/>
      </c>
      <c r="K1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99" hidden="1" s="11">
      <c r="A199" s="18" t="n">
        <v>184</v>
      </c>
      <c r="B199" s="56" t="inlineStr">
        <is>
          <t>00021-UNI</t>
        </is>
      </c>
      <c r="C199" s="56">
        <f>IFERROR(_xlfn.XLOOKUP(PRODUCTOS[[#This Row],[CODIGO]],LISTADO[CODIGOS],LISTADO[CATEGORIA]),"NO EXISTE")</f>
        <v/>
      </c>
      <c r="D199" s="56">
        <f>IFERROR(_xlfn.XLOOKUP(PRODUCTOS[[#This Row],[CODIGO]],LISTADO[CODIGOS],LISTADO[PRODUCTOS]),"NO EXISTE")</f>
        <v/>
      </c>
      <c r="E199" s="56">
        <f>IFERROR(_xlfn.XLOOKUP(PRODUCTOS[[#This Row],[CODIGO]],LISTADO[CODIGOS],LISTADO[UBICACIÓN]),"NO EXISTE")</f>
        <v/>
      </c>
      <c r="F199" s="56">
        <f>SUMIFS(ENTRADAS[CANTIDAD],ENTRADAS[CODIGO],PRODUCTOS[[#This Row],[CODIGO]])</f>
        <v/>
      </c>
      <c r="G199" s="56">
        <f>SUMIFS(SALIDAS[CANTIDAD],SALIDAS[CODIGO],PRODUCTOS[[#This Row],[CODIGO]])</f>
        <v/>
      </c>
      <c r="H199" s="56">
        <f>PRODUCTOS[[#This Row],[ENTRADAS]]-PRODUCTOS[[#This Row],[SALIDAS ]]</f>
        <v/>
      </c>
      <c r="I199" s="76" t="n">
        <v>0</v>
      </c>
      <c r="J199">
        <f>IF(PRODUCTOS[[#This Row],[STOCK]]&lt;0,"NEGATIVO",IF(PRODUCTOS[[#This Row],[STOCK]]=0,"SIN STOCK",IF(PRODUCTOS[[#This Row],[STOCK]]&lt;=PRODUCTOS[[#This Row],[STOCK MÍN.]],"BAJO","OK")))</f>
        <v/>
      </c>
      <c r="K1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00" hidden="1" s="11">
      <c r="A200" s="18" t="n">
        <v>185</v>
      </c>
      <c r="B200" s="56" t="inlineStr">
        <is>
          <t>00022-UNI</t>
        </is>
      </c>
      <c r="C200" s="56">
        <f>IFERROR(_xlfn.XLOOKUP(PRODUCTOS[[#This Row],[CODIGO]],LISTADO[CODIGOS],LISTADO[CATEGORIA]),"NO EXISTE")</f>
        <v/>
      </c>
      <c r="D200" s="56">
        <f>IFERROR(_xlfn.XLOOKUP(PRODUCTOS[[#This Row],[CODIGO]],LISTADO[CODIGOS],LISTADO[PRODUCTOS]),"NO EXISTE")</f>
        <v/>
      </c>
      <c r="E200" s="56">
        <f>IFERROR(_xlfn.XLOOKUP(PRODUCTOS[[#This Row],[CODIGO]],LISTADO[CODIGOS],LISTADO[UBICACIÓN]),"NO EXISTE")</f>
        <v/>
      </c>
      <c r="F200" s="56">
        <f>SUMIFS(ENTRADAS[CANTIDAD],ENTRADAS[CODIGO],PRODUCTOS[[#This Row],[CODIGO]])</f>
        <v/>
      </c>
      <c r="G200" s="56">
        <f>SUMIFS(SALIDAS[CANTIDAD],SALIDAS[CODIGO],PRODUCTOS[[#This Row],[CODIGO]])</f>
        <v/>
      </c>
      <c r="H200" s="56">
        <f>PRODUCTOS[[#This Row],[ENTRADAS]]-PRODUCTOS[[#This Row],[SALIDAS ]]</f>
        <v/>
      </c>
      <c r="I200" s="76" t="n">
        <v>0</v>
      </c>
      <c r="J200">
        <f>IF(PRODUCTOS[[#This Row],[STOCK]]&lt;0,"NEGATIVO",IF(PRODUCTOS[[#This Row],[STOCK]]=0,"SIN STOCK",IF(PRODUCTOS[[#This Row],[STOCK]]&lt;=PRODUCTOS[[#This Row],[STOCK MÍN.]],"BAJO","OK")))</f>
        <v/>
      </c>
      <c r="K2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01" hidden="1" s="11">
      <c r="A201" s="18" t="n">
        <v>186</v>
      </c>
      <c r="B201" s="56" t="inlineStr">
        <is>
          <t>00023-UNI</t>
        </is>
      </c>
      <c r="C201" s="56">
        <f>IFERROR(_xlfn.XLOOKUP(PRODUCTOS[[#This Row],[CODIGO]],LISTADO[CODIGOS],LISTADO[CATEGORIA]),"NO EXISTE")</f>
        <v/>
      </c>
      <c r="D201" s="56">
        <f>IFERROR(_xlfn.XLOOKUP(PRODUCTOS[[#This Row],[CODIGO]],LISTADO[CODIGOS],LISTADO[PRODUCTOS]),"NO EXISTE")</f>
        <v/>
      </c>
      <c r="E201" s="56">
        <f>IFERROR(_xlfn.XLOOKUP(PRODUCTOS[[#This Row],[CODIGO]],LISTADO[CODIGOS],LISTADO[UBICACIÓN]),"NO EXISTE")</f>
        <v/>
      </c>
      <c r="F201" s="56">
        <f>SUMIFS(ENTRADAS[CANTIDAD],ENTRADAS[CODIGO],PRODUCTOS[[#This Row],[CODIGO]])</f>
        <v/>
      </c>
      <c r="G201" s="56">
        <f>SUMIFS(SALIDAS[CANTIDAD],SALIDAS[CODIGO],PRODUCTOS[[#This Row],[CODIGO]])</f>
        <v/>
      </c>
      <c r="H201" s="56">
        <f>PRODUCTOS[[#This Row],[ENTRADAS]]-PRODUCTOS[[#This Row],[SALIDAS ]]</f>
        <v/>
      </c>
      <c r="I201" s="76" t="n">
        <v>0</v>
      </c>
      <c r="J201">
        <f>IF(PRODUCTOS[[#This Row],[STOCK]]&lt;0,"NEGATIVO",IF(PRODUCTOS[[#This Row],[STOCK]]=0,"SIN STOCK",IF(PRODUCTOS[[#This Row],[STOCK]]&lt;=PRODUCTOS[[#This Row],[STOCK MÍN.]],"BAJO","OK")))</f>
        <v/>
      </c>
      <c r="K2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02" hidden="1" s="11">
      <c r="A202" s="18" t="n">
        <v>187</v>
      </c>
      <c r="B202" s="56" t="inlineStr">
        <is>
          <t>00021-OFC</t>
        </is>
      </c>
      <c r="C202" s="56">
        <f>IFERROR(_xlfn.XLOOKUP(PRODUCTOS[[#This Row],[CODIGO]],LISTADO[CODIGOS],LISTADO[CATEGORIA]),"NO EXISTE")</f>
        <v/>
      </c>
      <c r="D202" s="56">
        <f>IFERROR(_xlfn.XLOOKUP(PRODUCTOS[[#This Row],[CODIGO]],LISTADO[CODIGOS],LISTADO[PRODUCTOS]),"NO EXISTE")</f>
        <v/>
      </c>
      <c r="E202" s="56">
        <f>IFERROR(_xlfn.XLOOKUP(PRODUCTOS[[#This Row],[CODIGO]],LISTADO[CODIGOS],LISTADO[UBICACIÓN]),"NO EXISTE")</f>
        <v/>
      </c>
      <c r="F202" s="56">
        <f>SUMIFS(ENTRADAS[CANTIDAD],ENTRADAS[CODIGO],PRODUCTOS[[#This Row],[CODIGO]])</f>
        <v/>
      </c>
      <c r="G202" s="56">
        <f>SUMIFS(SALIDAS[CANTIDAD],SALIDAS[CODIGO],PRODUCTOS[[#This Row],[CODIGO]])</f>
        <v/>
      </c>
      <c r="H202" s="56">
        <f>PRODUCTOS[[#This Row],[ENTRADAS]]-PRODUCTOS[[#This Row],[SALIDAS ]]</f>
        <v/>
      </c>
      <c r="I202" s="76" t="n">
        <v>0</v>
      </c>
      <c r="J202">
        <f>IF(PRODUCTOS[[#This Row],[STOCK]]&lt;0,"NEGATIVO",IF(PRODUCTOS[[#This Row],[STOCK]]=0,"SIN STOCK",IF(PRODUCTOS[[#This Row],[STOCK]]&lt;=PRODUCTOS[[#This Row],[STOCK MÍN.]],"BAJO","OK")))</f>
        <v/>
      </c>
      <c r="K2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03" hidden="1" s="11">
      <c r="A203" s="18" t="n">
        <v>188</v>
      </c>
      <c r="B203" s="56" t="inlineStr">
        <is>
          <t>00042-HER</t>
        </is>
      </c>
      <c r="C203" s="56">
        <f>IFERROR(_xlfn.XLOOKUP(PRODUCTOS[[#This Row],[CODIGO]],LISTADO[CODIGOS],LISTADO[CATEGORIA]),"NO EXISTE")</f>
        <v/>
      </c>
      <c r="D203" s="56">
        <f>IFERROR(_xlfn.XLOOKUP(PRODUCTOS[[#This Row],[CODIGO]],LISTADO[CODIGOS],LISTADO[PRODUCTOS]),"NO EXISTE")</f>
        <v/>
      </c>
      <c r="E203" s="56">
        <f>IFERROR(_xlfn.XLOOKUP(PRODUCTOS[[#This Row],[CODIGO]],LISTADO[CODIGOS],LISTADO[UBICACIÓN]),"NO EXISTE")</f>
        <v/>
      </c>
      <c r="F203" s="56">
        <f>SUMIFS(ENTRADAS[CANTIDAD],ENTRADAS[CODIGO],PRODUCTOS[[#This Row],[CODIGO]])</f>
        <v/>
      </c>
      <c r="G203" s="56">
        <f>SUMIFS(SALIDAS[CANTIDAD],SALIDAS[CODIGO],PRODUCTOS[[#This Row],[CODIGO]])</f>
        <v/>
      </c>
      <c r="H203" s="56">
        <f>PRODUCTOS[[#This Row],[ENTRADAS]]-PRODUCTOS[[#This Row],[SALIDAS ]]</f>
        <v/>
      </c>
      <c r="I203" s="76" t="n">
        <v>0</v>
      </c>
      <c r="J203">
        <f>IF(PRODUCTOS[[#This Row],[STOCK]]&lt;0,"NEGATIVO",IF(PRODUCTOS[[#This Row],[STOCK]]=0,"SIN STOCK",IF(PRODUCTOS[[#This Row],[STOCK]]&lt;=PRODUCTOS[[#This Row],[STOCK MÍN.]],"BAJO","OK")))</f>
        <v/>
      </c>
      <c r="K2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04" hidden="1" s="11">
      <c r="A204" s="18" t="n">
        <v>654</v>
      </c>
      <c r="B204" s="56" t="inlineStr">
        <is>
          <t>00010-REF</t>
        </is>
      </c>
      <c r="C204" s="56">
        <f>IFERROR(_xlfn.XLOOKUP(PRODUCTOS[[#This Row],[CODIGO]],LISTADO[CODIGOS],LISTADO[CATEGORIA]),"NO EXISTE")</f>
        <v/>
      </c>
      <c r="D204" s="56">
        <f>IFERROR(_xlfn.XLOOKUP(PRODUCTOS[[#This Row],[CODIGO]],LISTADO[CODIGOS],LISTADO[PRODUCTOS]),"NO EXISTE")</f>
        <v/>
      </c>
      <c r="E204" s="56">
        <f>IFERROR(_xlfn.XLOOKUP(PRODUCTOS[[#This Row],[CODIGO]],LISTADO[CODIGOS],LISTADO[UBICACIÓN]),"NO EXISTE")</f>
        <v/>
      </c>
      <c r="F204" s="56">
        <f>SUMIFS(ENTRADAS[CANTIDAD],ENTRADAS[CODIGO],PRODUCTOS[[#This Row],[CODIGO]])</f>
        <v/>
      </c>
      <c r="G204" s="56">
        <f>SUMIFS(SALIDAS[CANTIDAD],SALIDAS[CODIGO],PRODUCTOS[[#This Row],[CODIGO]])</f>
        <v/>
      </c>
      <c r="H204" s="56">
        <f>PRODUCTOS[[#This Row],[ENTRADAS]]-PRODUCTOS[[#This Row],[SALIDAS ]]</f>
        <v/>
      </c>
      <c r="I204" s="76" t="n">
        <v>0</v>
      </c>
      <c r="J204">
        <f>IF(PRODUCTOS[[#This Row],[STOCK]]&lt;0,"NEGATIVO",IF(PRODUCTOS[[#This Row],[STOCK]]=0,"SIN STOCK",IF(PRODUCTOS[[#This Row],[STOCK]]&lt;=PRODUCTOS[[#This Row],[STOCK MÍN.]],"BAJO","OK")))</f>
        <v/>
      </c>
      <c r="K2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05" hidden="1" s="11">
      <c r="A205" s="18" t="n">
        <v>190</v>
      </c>
      <c r="B205" s="56" t="inlineStr">
        <is>
          <t>00021-ILU</t>
        </is>
      </c>
      <c r="C205" s="56">
        <f>IFERROR(_xlfn.XLOOKUP(PRODUCTOS[[#This Row],[CODIGO]],LISTADO[CODIGOS],LISTADO[CATEGORIA]),"NO EXISTE")</f>
        <v/>
      </c>
      <c r="D205" s="56">
        <f>IFERROR(_xlfn.XLOOKUP(PRODUCTOS[[#This Row],[CODIGO]],LISTADO[CODIGOS],LISTADO[PRODUCTOS]),"NO EXISTE")</f>
        <v/>
      </c>
      <c r="E205" s="56">
        <f>IFERROR(_xlfn.XLOOKUP(PRODUCTOS[[#This Row],[CODIGO]],LISTADO[CODIGOS],LISTADO[UBICACIÓN]),"NO EXISTE")</f>
        <v/>
      </c>
      <c r="F205" s="56">
        <f>SUMIFS(ENTRADAS[CANTIDAD],ENTRADAS[CODIGO],PRODUCTOS[[#This Row],[CODIGO]])</f>
        <v/>
      </c>
      <c r="G205" s="56">
        <f>SUMIFS(SALIDAS[CANTIDAD],SALIDAS[CODIGO],PRODUCTOS[[#This Row],[CODIGO]])</f>
        <v/>
      </c>
      <c r="H205" s="56">
        <f>PRODUCTOS[[#This Row],[ENTRADAS]]-PRODUCTOS[[#This Row],[SALIDAS ]]</f>
        <v/>
      </c>
      <c r="I205" s="76" t="n">
        <v>0</v>
      </c>
      <c r="J205">
        <f>IF(PRODUCTOS[[#This Row],[STOCK]]&lt;0,"NEGATIVO",IF(PRODUCTOS[[#This Row],[STOCK]]=0,"SIN STOCK",IF(PRODUCTOS[[#This Row],[STOCK]]&lt;=PRODUCTOS[[#This Row],[STOCK MÍN.]],"BAJO","OK")))</f>
        <v/>
      </c>
      <c r="K2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06" hidden="1" s="11">
      <c r="A206" s="18" t="n">
        <v>191</v>
      </c>
      <c r="B206" s="56" t="inlineStr">
        <is>
          <t>00022-ILU</t>
        </is>
      </c>
      <c r="C206" s="56">
        <f>IFERROR(_xlfn.XLOOKUP(PRODUCTOS[[#This Row],[CODIGO]],LISTADO[CODIGOS],LISTADO[CATEGORIA]),"NO EXISTE")</f>
        <v/>
      </c>
      <c r="D206" s="56">
        <f>IFERROR(_xlfn.XLOOKUP(PRODUCTOS[[#This Row],[CODIGO]],LISTADO[CODIGOS],LISTADO[PRODUCTOS]),"NO EXISTE")</f>
        <v/>
      </c>
      <c r="E206" s="56">
        <f>IFERROR(_xlfn.XLOOKUP(PRODUCTOS[[#This Row],[CODIGO]],LISTADO[CODIGOS],LISTADO[UBICACIÓN]),"NO EXISTE")</f>
        <v/>
      </c>
      <c r="F206" s="56">
        <f>SUMIFS(ENTRADAS[CANTIDAD],ENTRADAS[CODIGO],PRODUCTOS[[#This Row],[CODIGO]])</f>
        <v/>
      </c>
      <c r="G206" s="56">
        <f>SUMIFS(SALIDAS[CANTIDAD],SALIDAS[CODIGO],PRODUCTOS[[#This Row],[CODIGO]])</f>
        <v/>
      </c>
      <c r="H206" s="56">
        <f>PRODUCTOS[[#This Row],[ENTRADAS]]-PRODUCTOS[[#This Row],[SALIDAS ]]</f>
        <v/>
      </c>
      <c r="I206" s="76" t="n">
        <v>0</v>
      </c>
      <c r="J206">
        <f>IF(PRODUCTOS[[#This Row],[STOCK]]&lt;0,"NEGATIVO",IF(PRODUCTOS[[#This Row],[STOCK]]=0,"SIN STOCK",IF(PRODUCTOS[[#This Row],[STOCK]]&lt;=PRODUCTOS[[#This Row],[STOCK MÍN.]],"BAJO","OK")))</f>
        <v/>
      </c>
      <c r="K2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07" hidden="1" s="11">
      <c r="A207" s="18" t="n">
        <v>192</v>
      </c>
      <c r="B207" s="56" t="inlineStr">
        <is>
          <t>00023-ILU</t>
        </is>
      </c>
      <c r="C207" s="56">
        <f>IFERROR(_xlfn.XLOOKUP(PRODUCTOS[[#This Row],[CODIGO]],LISTADO[CODIGOS],LISTADO[CATEGORIA]),"NO EXISTE")</f>
        <v/>
      </c>
      <c r="D207" s="56">
        <f>IFERROR(_xlfn.XLOOKUP(PRODUCTOS[[#This Row],[CODIGO]],LISTADO[CODIGOS],LISTADO[PRODUCTOS]),"NO EXISTE")</f>
        <v/>
      </c>
      <c r="E207" s="56">
        <f>IFERROR(_xlfn.XLOOKUP(PRODUCTOS[[#This Row],[CODIGO]],LISTADO[CODIGOS],LISTADO[UBICACIÓN]),"NO EXISTE")</f>
        <v/>
      </c>
      <c r="F207" s="56">
        <f>SUMIFS(ENTRADAS[CANTIDAD],ENTRADAS[CODIGO],PRODUCTOS[[#This Row],[CODIGO]])</f>
        <v/>
      </c>
      <c r="G207" s="56">
        <f>SUMIFS(SALIDAS[CANTIDAD],SALIDAS[CODIGO],PRODUCTOS[[#This Row],[CODIGO]])</f>
        <v/>
      </c>
      <c r="H207" s="56">
        <f>PRODUCTOS[[#This Row],[ENTRADAS]]-PRODUCTOS[[#This Row],[SALIDAS ]]</f>
        <v/>
      </c>
      <c r="I207" s="76" t="n">
        <v>0</v>
      </c>
      <c r="J207">
        <f>IF(PRODUCTOS[[#This Row],[STOCK]]&lt;0,"NEGATIVO",IF(PRODUCTOS[[#This Row],[STOCK]]=0,"SIN STOCK",IF(PRODUCTOS[[#This Row],[STOCK]]&lt;=PRODUCTOS[[#This Row],[STOCK MÍN.]],"BAJO","OK")))</f>
        <v/>
      </c>
      <c r="K2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08" hidden="1" s="11">
      <c r="A208" s="18" t="n">
        <v>193</v>
      </c>
      <c r="B208" s="56" t="inlineStr">
        <is>
          <t>00043-HER</t>
        </is>
      </c>
      <c r="C208" s="56">
        <f>IFERROR(_xlfn.XLOOKUP(PRODUCTOS[[#This Row],[CODIGO]],LISTADO[CODIGOS],LISTADO[CATEGORIA]),"NO EXISTE")</f>
        <v/>
      </c>
      <c r="D208" s="56">
        <f>IFERROR(_xlfn.XLOOKUP(PRODUCTOS[[#This Row],[CODIGO]],LISTADO[CODIGOS],LISTADO[PRODUCTOS]),"NO EXISTE")</f>
        <v/>
      </c>
      <c r="E208" s="56">
        <f>IFERROR(_xlfn.XLOOKUP(PRODUCTOS[[#This Row],[CODIGO]],LISTADO[CODIGOS],LISTADO[UBICACIÓN]),"NO EXISTE")</f>
        <v/>
      </c>
      <c r="F208" s="56">
        <f>SUMIFS(ENTRADAS[CANTIDAD],ENTRADAS[CODIGO],PRODUCTOS[[#This Row],[CODIGO]])</f>
        <v/>
      </c>
      <c r="G208" s="56">
        <f>SUMIFS(SALIDAS[CANTIDAD],SALIDAS[CODIGO],PRODUCTOS[[#This Row],[CODIGO]])</f>
        <v/>
      </c>
      <c r="H208" s="56">
        <f>PRODUCTOS[[#This Row],[ENTRADAS]]-PRODUCTOS[[#This Row],[SALIDAS ]]</f>
        <v/>
      </c>
      <c r="I208" s="76" t="n">
        <v>0</v>
      </c>
      <c r="J208">
        <f>IF(PRODUCTOS[[#This Row],[STOCK]]&lt;0,"NEGATIVO",IF(PRODUCTOS[[#This Row],[STOCK]]=0,"SIN STOCK",IF(PRODUCTOS[[#This Row],[STOCK]]&lt;=PRODUCTOS[[#This Row],[STOCK MÍN.]],"BAJO","OK")))</f>
        <v/>
      </c>
      <c r="K2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09" hidden="1" s="11">
      <c r="A209" s="18" t="n">
        <v>194</v>
      </c>
      <c r="B209" s="56" t="inlineStr">
        <is>
          <t>00043-FER</t>
        </is>
      </c>
      <c r="C209" s="56">
        <f>IFERROR(_xlfn.XLOOKUP(PRODUCTOS[[#This Row],[CODIGO]],LISTADO[CODIGOS],LISTADO[CATEGORIA]),"NO EXISTE")</f>
        <v/>
      </c>
      <c r="D209" s="56">
        <f>IFERROR(_xlfn.XLOOKUP(PRODUCTOS[[#This Row],[CODIGO]],LISTADO[CODIGOS],LISTADO[PRODUCTOS]),"NO EXISTE")</f>
        <v/>
      </c>
      <c r="E209" s="56">
        <f>IFERROR(_xlfn.XLOOKUP(PRODUCTOS[[#This Row],[CODIGO]],LISTADO[CODIGOS],LISTADO[UBICACIÓN]),"NO EXISTE")</f>
        <v/>
      </c>
      <c r="F209" s="56">
        <f>SUMIFS(ENTRADAS[CANTIDAD],ENTRADAS[CODIGO],PRODUCTOS[[#This Row],[CODIGO]])</f>
        <v/>
      </c>
      <c r="G209" s="56">
        <f>SUMIFS(SALIDAS[CANTIDAD],SALIDAS[CODIGO],PRODUCTOS[[#This Row],[CODIGO]])</f>
        <v/>
      </c>
      <c r="H209" s="56">
        <f>PRODUCTOS[[#This Row],[ENTRADAS]]-PRODUCTOS[[#This Row],[SALIDAS ]]</f>
        <v/>
      </c>
      <c r="I209" s="76" t="n">
        <v>0</v>
      </c>
      <c r="J209">
        <f>IF(PRODUCTOS[[#This Row],[STOCK]]&lt;0,"NEGATIVO",IF(PRODUCTOS[[#This Row],[STOCK]]=0,"SIN STOCK",IF(PRODUCTOS[[#This Row],[STOCK]]&lt;=PRODUCTOS[[#This Row],[STOCK MÍN.]],"BAJO","OK")))</f>
        <v/>
      </c>
      <c r="K2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10" hidden="1" s="11">
      <c r="A210" s="18" t="n">
        <v>195</v>
      </c>
      <c r="B210" s="56" t="inlineStr">
        <is>
          <t>00044-HER</t>
        </is>
      </c>
      <c r="C210" s="56">
        <f>IFERROR(_xlfn.XLOOKUP(PRODUCTOS[[#This Row],[CODIGO]],LISTADO[CODIGOS],LISTADO[CATEGORIA]),"NO EXISTE")</f>
        <v/>
      </c>
      <c r="D210" s="56">
        <f>IFERROR(_xlfn.XLOOKUP(PRODUCTOS[[#This Row],[CODIGO]],LISTADO[CODIGOS],LISTADO[PRODUCTOS]),"NO EXISTE")</f>
        <v/>
      </c>
      <c r="E210" s="56">
        <f>IFERROR(_xlfn.XLOOKUP(PRODUCTOS[[#This Row],[CODIGO]],LISTADO[CODIGOS],LISTADO[UBICACIÓN]),"NO EXISTE")</f>
        <v/>
      </c>
      <c r="F210" s="56">
        <f>SUMIFS(ENTRADAS[CANTIDAD],ENTRADAS[CODIGO],PRODUCTOS[[#This Row],[CODIGO]])</f>
        <v/>
      </c>
      <c r="G210" s="56">
        <f>SUMIFS(SALIDAS[CANTIDAD],SALIDAS[CODIGO],PRODUCTOS[[#This Row],[CODIGO]])</f>
        <v/>
      </c>
      <c r="H210" s="56">
        <f>PRODUCTOS[[#This Row],[ENTRADAS]]-PRODUCTOS[[#This Row],[SALIDAS ]]</f>
        <v/>
      </c>
      <c r="I210" s="76" t="n">
        <v>0</v>
      </c>
      <c r="J210">
        <f>IF(PRODUCTOS[[#This Row],[STOCK]]&lt;0,"NEGATIVO",IF(PRODUCTOS[[#This Row],[STOCK]]=0,"SIN STOCK",IF(PRODUCTOS[[#This Row],[STOCK]]&lt;=PRODUCTOS[[#This Row],[STOCK MÍN.]],"BAJO","OK")))</f>
        <v/>
      </c>
      <c r="K2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11" hidden="1" s="11">
      <c r="A211" s="18" t="n">
        <v>556</v>
      </c>
      <c r="B211" s="56" t="inlineStr">
        <is>
          <t>00012-ELC</t>
        </is>
      </c>
      <c r="C211" s="56">
        <f>IFERROR(_xlfn.XLOOKUP(PRODUCTOS[[#This Row],[CODIGO]],LISTADO[CODIGOS],LISTADO[CATEGORIA]),"NO EXISTE")</f>
        <v/>
      </c>
      <c r="D211" s="56">
        <f>IFERROR(_xlfn.XLOOKUP(PRODUCTOS[[#This Row],[CODIGO]],LISTADO[CODIGOS],LISTADO[PRODUCTOS]),"NO EXISTE")</f>
        <v/>
      </c>
      <c r="E211" s="56">
        <f>IFERROR(_xlfn.XLOOKUP(PRODUCTOS[[#This Row],[CODIGO]],LISTADO[CODIGOS],LISTADO[UBICACIÓN]),"NO EXISTE")</f>
        <v/>
      </c>
      <c r="F211" s="56">
        <f>SUMIFS(ENTRADAS[CANTIDAD],ENTRADAS[CODIGO],PRODUCTOS[[#This Row],[CODIGO]])</f>
        <v/>
      </c>
      <c r="G211" s="56">
        <f>SUMIFS(SALIDAS[CANTIDAD],SALIDAS[CODIGO],PRODUCTOS[[#This Row],[CODIGO]])</f>
        <v/>
      </c>
      <c r="H211" s="56">
        <f>PRODUCTOS[[#This Row],[ENTRADAS]]-PRODUCTOS[[#This Row],[SALIDAS ]]</f>
        <v/>
      </c>
      <c r="I211" s="76" t="n">
        <v>0</v>
      </c>
      <c r="J211">
        <f>IF(PRODUCTOS[[#This Row],[STOCK]]&lt;0,"NEGATIVO",IF(PRODUCTOS[[#This Row],[STOCK]]=0,"SIN STOCK",IF(PRODUCTOS[[#This Row],[STOCK]]&lt;=PRODUCTOS[[#This Row],[STOCK MÍN.]],"BAJO","OK")))</f>
        <v/>
      </c>
      <c r="K2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12" hidden="1" s="11">
      <c r="A212" s="18" t="n">
        <v>197</v>
      </c>
      <c r="B212" s="56" t="inlineStr">
        <is>
          <t>00044-FER</t>
        </is>
      </c>
      <c r="C212" s="56">
        <f>IFERROR(_xlfn.XLOOKUP(PRODUCTOS[[#This Row],[CODIGO]],LISTADO[CODIGOS],LISTADO[CATEGORIA]),"NO EXISTE")</f>
        <v/>
      </c>
      <c r="D212" s="56">
        <f>IFERROR(_xlfn.XLOOKUP(PRODUCTOS[[#This Row],[CODIGO]],LISTADO[CODIGOS],LISTADO[PRODUCTOS]),"NO EXISTE")</f>
        <v/>
      </c>
      <c r="E212" s="56">
        <f>IFERROR(_xlfn.XLOOKUP(PRODUCTOS[[#This Row],[CODIGO]],LISTADO[CODIGOS],LISTADO[UBICACIÓN]),"NO EXISTE")</f>
        <v/>
      </c>
      <c r="F212" s="56">
        <f>SUMIFS(ENTRADAS[CANTIDAD],ENTRADAS[CODIGO],PRODUCTOS[[#This Row],[CODIGO]])</f>
        <v/>
      </c>
      <c r="G212" s="56">
        <f>SUMIFS(SALIDAS[CANTIDAD],SALIDAS[CODIGO],PRODUCTOS[[#This Row],[CODIGO]])</f>
        <v/>
      </c>
      <c r="H212" s="56">
        <f>PRODUCTOS[[#This Row],[ENTRADAS]]-PRODUCTOS[[#This Row],[SALIDAS ]]</f>
        <v/>
      </c>
      <c r="I212" s="76" t="n">
        <v>0</v>
      </c>
      <c r="J212">
        <f>IF(PRODUCTOS[[#This Row],[STOCK]]&lt;0,"NEGATIVO",IF(PRODUCTOS[[#This Row],[STOCK]]=0,"SIN STOCK",IF(PRODUCTOS[[#This Row],[STOCK]]&lt;=PRODUCTOS[[#This Row],[STOCK MÍN.]],"BAJO","OK")))</f>
        <v/>
      </c>
      <c r="K2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13" hidden="1" s="11">
      <c r="A213" s="18" t="n">
        <v>198</v>
      </c>
      <c r="B213" s="56" t="inlineStr">
        <is>
          <t>00045-HER</t>
        </is>
      </c>
      <c r="C213" s="56">
        <f>IFERROR(_xlfn.XLOOKUP(PRODUCTOS[[#This Row],[CODIGO]],LISTADO[CODIGOS],LISTADO[CATEGORIA]),"NO EXISTE")</f>
        <v/>
      </c>
      <c r="D213" s="56">
        <f>IFERROR(_xlfn.XLOOKUP(PRODUCTOS[[#This Row],[CODIGO]],LISTADO[CODIGOS],LISTADO[PRODUCTOS]),"NO EXISTE")</f>
        <v/>
      </c>
      <c r="E213" s="56">
        <f>IFERROR(_xlfn.XLOOKUP(PRODUCTOS[[#This Row],[CODIGO]],LISTADO[CODIGOS],LISTADO[UBICACIÓN]),"NO EXISTE")</f>
        <v/>
      </c>
      <c r="F213" s="56">
        <f>SUMIFS(ENTRADAS[CANTIDAD],ENTRADAS[CODIGO],PRODUCTOS[[#This Row],[CODIGO]])</f>
        <v/>
      </c>
      <c r="G213" s="56">
        <f>SUMIFS(SALIDAS[CANTIDAD],SALIDAS[CODIGO],PRODUCTOS[[#This Row],[CODIGO]])</f>
        <v/>
      </c>
      <c r="H213" s="56">
        <f>PRODUCTOS[[#This Row],[ENTRADAS]]-PRODUCTOS[[#This Row],[SALIDAS ]]</f>
        <v/>
      </c>
      <c r="I213" s="76" t="n">
        <v>0</v>
      </c>
      <c r="J213">
        <f>IF(PRODUCTOS[[#This Row],[STOCK]]&lt;0,"NEGATIVO",IF(PRODUCTOS[[#This Row],[STOCK]]=0,"SIN STOCK",IF(PRODUCTOS[[#This Row],[STOCK]]&lt;=PRODUCTOS[[#This Row],[STOCK MÍN.]],"BAJO","OK")))</f>
        <v/>
      </c>
      <c r="K2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14" hidden="1" s="11">
      <c r="A214" s="18" t="n">
        <v>199</v>
      </c>
      <c r="B214" s="56" t="inlineStr">
        <is>
          <t>00046-HER</t>
        </is>
      </c>
      <c r="C214" s="56">
        <f>IFERROR(_xlfn.XLOOKUP(PRODUCTOS[[#This Row],[CODIGO]],LISTADO[CODIGOS],LISTADO[CATEGORIA]),"NO EXISTE")</f>
        <v/>
      </c>
      <c r="D214" s="56">
        <f>IFERROR(_xlfn.XLOOKUP(PRODUCTOS[[#This Row],[CODIGO]],LISTADO[CODIGOS],LISTADO[PRODUCTOS]),"NO EXISTE")</f>
        <v/>
      </c>
      <c r="E214" s="56">
        <f>IFERROR(_xlfn.XLOOKUP(PRODUCTOS[[#This Row],[CODIGO]],LISTADO[CODIGOS],LISTADO[UBICACIÓN]),"NO EXISTE")</f>
        <v/>
      </c>
      <c r="F214" s="56">
        <f>SUMIFS(ENTRADAS[CANTIDAD],ENTRADAS[CODIGO],PRODUCTOS[[#This Row],[CODIGO]])</f>
        <v/>
      </c>
      <c r="G214" s="56">
        <f>SUMIFS(SALIDAS[CANTIDAD],SALIDAS[CODIGO],PRODUCTOS[[#This Row],[CODIGO]])</f>
        <v/>
      </c>
      <c r="H214" s="56">
        <f>PRODUCTOS[[#This Row],[ENTRADAS]]-PRODUCTOS[[#This Row],[SALIDAS ]]</f>
        <v/>
      </c>
      <c r="I214" s="76" t="n">
        <v>0</v>
      </c>
      <c r="J214">
        <f>IF(PRODUCTOS[[#This Row],[STOCK]]&lt;0,"NEGATIVO",IF(PRODUCTOS[[#This Row],[STOCK]]=0,"SIN STOCK",IF(PRODUCTOS[[#This Row],[STOCK]]&lt;=PRODUCTOS[[#This Row],[STOCK MÍN.]],"BAJO","OK")))</f>
        <v/>
      </c>
      <c r="K2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15" hidden="1" s="11">
      <c r="A215" s="18" t="n">
        <v>200</v>
      </c>
      <c r="B215" s="56" t="inlineStr">
        <is>
          <t>00045-FER</t>
        </is>
      </c>
      <c r="C215" s="56">
        <f>IFERROR(_xlfn.XLOOKUP(PRODUCTOS[[#This Row],[CODIGO]],LISTADO[CODIGOS],LISTADO[CATEGORIA]),"NO EXISTE")</f>
        <v/>
      </c>
      <c r="D215" s="56">
        <f>IFERROR(_xlfn.XLOOKUP(PRODUCTOS[[#This Row],[CODIGO]],LISTADO[CODIGOS],LISTADO[PRODUCTOS]),"NO EXISTE")</f>
        <v/>
      </c>
      <c r="E215" s="56">
        <f>IFERROR(_xlfn.XLOOKUP(PRODUCTOS[[#This Row],[CODIGO]],LISTADO[CODIGOS],LISTADO[UBICACIÓN]),"NO EXISTE")</f>
        <v/>
      </c>
      <c r="F215" s="56">
        <f>SUMIFS(ENTRADAS[CANTIDAD],ENTRADAS[CODIGO],PRODUCTOS[[#This Row],[CODIGO]])</f>
        <v/>
      </c>
      <c r="G215" s="56">
        <f>SUMIFS(SALIDAS[CANTIDAD],SALIDAS[CODIGO],PRODUCTOS[[#This Row],[CODIGO]])</f>
        <v/>
      </c>
      <c r="H215" s="56">
        <f>PRODUCTOS[[#This Row],[ENTRADAS]]-PRODUCTOS[[#This Row],[SALIDAS ]]</f>
        <v/>
      </c>
      <c r="I215" s="76" t="n">
        <v>0</v>
      </c>
      <c r="J215">
        <f>IF(PRODUCTOS[[#This Row],[STOCK]]&lt;0,"NEGATIVO",IF(PRODUCTOS[[#This Row],[STOCK]]=0,"SIN STOCK",IF(PRODUCTOS[[#This Row],[STOCK]]&lt;=PRODUCTOS[[#This Row],[STOCK MÍN.]],"BAJO","OK")))</f>
        <v/>
      </c>
      <c r="K2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16" hidden="1" s="11">
      <c r="A216" s="18" t="n">
        <v>201</v>
      </c>
      <c r="B216" s="56" t="inlineStr">
        <is>
          <t>00047-HER</t>
        </is>
      </c>
      <c r="C216" s="56">
        <f>IFERROR(_xlfn.XLOOKUP(PRODUCTOS[[#This Row],[CODIGO]],LISTADO[CODIGOS],LISTADO[CATEGORIA]),"NO EXISTE")</f>
        <v/>
      </c>
      <c r="D216" s="56">
        <f>IFERROR(_xlfn.XLOOKUP(PRODUCTOS[[#This Row],[CODIGO]],LISTADO[CODIGOS],LISTADO[PRODUCTOS]),"NO EXISTE")</f>
        <v/>
      </c>
      <c r="E216" s="56">
        <f>IFERROR(_xlfn.XLOOKUP(PRODUCTOS[[#This Row],[CODIGO]],LISTADO[CODIGOS],LISTADO[UBICACIÓN]),"NO EXISTE")</f>
        <v/>
      </c>
      <c r="F216" s="56">
        <f>SUMIFS(ENTRADAS[CANTIDAD],ENTRADAS[CODIGO],PRODUCTOS[[#This Row],[CODIGO]])</f>
        <v/>
      </c>
      <c r="G216" s="56">
        <f>SUMIFS(SALIDAS[CANTIDAD],SALIDAS[CODIGO],PRODUCTOS[[#This Row],[CODIGO]])</f>
        <v/>
      </c>
      <c r="H216" s="56">
        <f>PRODUCTOS[[#This Row],[ENTRADAS]]-PRODUCTOS[[#This Row],[SALIDAS ]]</f>
        <v/>
      </c>
      <c r="I216" s="76" t="n">
        <v>0</v>
      </c>
      <c r="J216">
        <f>IF(PRODUCTOS[[#This Row],[STOCK]]&lt;0,"NEGATIVO",IF(PRODUCTOS[[#This Row],[STOCK]]=0,"SIN STOCK",IF(PRODUCTOS[[#This Row],[STOCK]]&lt;=PRODUCTOS[[#This Row],[STOCK MÍN.]],"BAJO","OK")))</f>
        <v/>
      </c>
      <c r="K2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17" hidden="1" s="11">
      <c r="A217" s="18" t="n">
        <v>202</v>
      </c>
      <c r="B217" s="56" t="inlineStr">
        <is>
          <t>00022-OFC</t>
        </is>
      </c>
      <c r="C217" s="56">
        <f>IFERROR(_xlfn.XLOOKUP(PRODUCTOS[[#This Row],[CODIGO]],LISTADO[CODIGOS],LISTADO[CATEGORIA]),"NO EXISTE")</f>
        <v/>
      </c>
      <c r="D217" s="56">
        <f>IFERROR(_xlfn.XLOOKUP(PRODUCTOS[[#This Row],[CODIGO]],LISTADO[CODIGOS],LISTADO[PRODUCTOS]),"NO EXISTE")</f>
        <v/>
      </c>
      <c r="E217" s="56">
        <f>IFERROR(_xlfn.XLOOKUP(PRODUCTOS[[#This Row],[CODIGO]],LISTADO[CODIGOS],LISTADO[UBICACIÓN]),"NO EXISTE")</f>
        <v/>
      </c>
      <c r="F217" s="56">
        <f>SUMIFS(ENTRADAS[CANTIDAD],ENTRADAS[CODIGO],PRODUCTOS[[#This Row],[CODIGO]])</f>
        <v/>
      </c>
      <c r="G217" s="56">
        <f>SUMIFS(SALIDAS[CANTIDAD],SALIDAS[CODIGO],PRODUCTOS[[#This Row],[CODIGO]])</f>
        <v/>
      </c>
      <c r="H217" s="56">
        <f>PRODUCTOS[[#This Row],[ENTRADAS]]-PRODUCTOS[[#This Row],[SALIDAS ]]</f>
        <v/>
      </c>
      <c r="I217" s="76" t="n">
        <v>0</v>
      </c>
      <c r="J217">
        <f>IF(PRODUCTOS[[#This Row],[STOCK]]&lt;0,"NEGATIVO",IF(PRODUCTOS[[#This Row],[STOCK]]=0,"SIN STOCK",IF(PRODUCTOS[[#This Row],[STOCK]]&lt;=PRODUCTOS[[#This Row],[STOCK MÍN.]],"BAJO","OK")))</f>
        <v/>
      </c>
      <c r="K2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18" hidden="1" s="11">
      <c r="A218" s="18" t="n">
        <v>203</v>
      </c>
      <c r="B218" s="56" t="inlineStr">
        <is>
          <t>00046-FER</t>
        </is>
      </c>
      <c r="C218" s="56">
        <f>IFERROR(_xlfn.XLOOKUP(PRODUCTOS[[#This Row],[CODIGO]],LISTADO[CODIGOS],LISTADO[CATEGORIA]),"NO EXISTE")</f>
        <v/>
      </c>
      <c r="D218" s="56">
        <f>IFERROR(_xlfn.XLOOKUP(PRODUCTOS[[#This Row],[CODIGO]],LISTADO[CODIGOS],LISTADO[PRODUCTOS]),"NO EXISTE")</f>
        <v/>
      </c>
      <c r="E218" s="56">
        <f>IFERROR(_xlfn.XLOOKUP(PRODUCTOS[[#This Row],[CODIGO]],LISTADO[CODIGOS],LISTADO[UBICACIÓN]),"NO EXISTE")</f>
        <v/>
      </c>
      <c r="F218" s="56">
        <f>SUMIFS(ENTRADAS[CANTIDAD],ENTRADAS[CODIGO],PRODUCTOS[[#This Row],[CODIGO]])</f>
        <v/>
      </c>
      <c r="G218" s="56">
        <f>SUMIFS(SALIDAS[CANTIDAD],SALIDAS[CODIGO],PRODUCTOS[[#This Row],[CODIGO]])</f>
        <v/>
      </c>
      <c r="H218" s="56">
        <f>PRODUCTOS[[#This Row],[ENTRADAS]]-PRODUCTOS[[#This Row],[SALIDAS ]]</f>
        <v/>
      </c>
      <c r="I218" s="76" t="n">
        <v>0</v>
      </c>
      <c r="J218">
        <f>IF(PRODUCTOS[[#This Row],[STOCK]]&lt;0,"NEGATIVO",IF(PRODUCTOS[[#This Row],[STOCK]]=0,"SIN STOCK",IF(PRODUCTOS[[#This Row],[STOCK]]&lt;=PRODUCTOS[[#This Row],[STOCK MÍN.]],"BAJO","OK")))</f>
        <v/>
      </c>
      <c r="K2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19" hidden="1" s="11">
      <c r="A219" s="18" t="n">
        <v>204</v>
      </c>
      <c r="B219" s="56" t="inlineStr">
        <is>
          <t>00048-HER</t>
        </is>
      </c>
      <c r="C219" s="56">
        <f>IFERROR(_xlfn.XLOOKUP(PRODUCTOS[[#This Row],[CODIGO]],LISTADO[CODIGOS],LISTADO[CATEGORIA]),"NO EXISTE")</f>
        <v/>
      </c>
      <c r="D219" s="56">
        <f>IFERROR(_xlfn.XLOOKUP(PRODUCTOS[[#This Row],[CODIGO]],LISTADO[CODIGOS],LISTADO[PRODUCTOS]),"NO EXISTE")</f>
        <v/>
      </c>
      <c r="E219" s="56">
        <f>IFERROR(_xlfn.XLOOKUP(PRODUCTOS[[#This Row],[CODIGO]],LISTADO[CODIGOS],LISTADO[UBICACIÓN]),"NO EXISTE")</f>
        <v/>
      </c>
      <c r="F219" s="56">
        <f>SUMIFS(ENTRADAS[CANTIDAD],ENTRADAS[CODIGO],PRODUCTOS[[#This Row],[CODIGO]])</f>
        <v/>
      </c>
      <c r="G219" s="56">
        <f>SUMIFS(SALIDAS[CANTIDAD],SALIDAS[CODIGO],PRODUCTOS[[#This Row],[CODIGO]])</f>
        <v/>
      </c>
      <c r="H219" s="56">
        <f>PRODUCTOS[[#This Row],[ENTRADAS]]-PRODUCTOS[[#This Row],[SALIDAS ]]</f>
        <v/>
      </c>
      <c r="I219" s="76" t="n">
        <v>0</v>
      </c>
      <c r="J219">
        <f>IF(PRODUCTOS[[#This Row],[STOCK]]&lt;0,"NEGATIVO",IF(PRODUCTOS[[#This Row],[STOCK]]=0,"SIN STOCK",IF(PRODUCTOS[[#This Row],[STOCK]]&lt;=PRODUCTOS[[#This Row],[STOCK MÍN.]],"BAJO","OK")))</f>
        <v/>
      </c>
      <c r="K2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20" hidden="1" s="11">
      <c r="A220" s="18" t="n">
        <v>205</v>
      </c>
      <c r="B220" s="56" t="inlineStr">
        <is>
          <t>00049-HER</t>
        </is>
      </c>
      <c r="C220" s="56">
        <f>IFERROR(_xlfn.XLOOKUP(PRODUCTOS[[#This Row],[CODIGO]],LISTADO[CODIGOS],LISTADO[CATEGORIA]),"NO EXISTE")</f>
        <v/>
      </c>
      <c r="D220" s="56">
        <f>IFERROR(_xlfn.XLOOKUP(PRODUCTOS[[#This Row],[CODIGO]],LISTADO[CODIGOS],LISTADO[PRODUCTOS]),"NO EXISTE")</f>
        <v/>
      </c>
      <c r="E220" s="56">
        <f>IFERROR(_xlfn.XLOOKUP(PRODUCTOS[[#This Row],[CODIGO]],LISTADO[CODIGOS],LISTADO[UBICACIÓN]),"NO EXISTE")</f>
        <v/>
      </c>
      <c r="F220" s="56">
        <f>SUMIFS(ENTRADAS[CANTIDAD],ENTRADAS[CODIGO],PRODUCTOS[[#This Row],[CODIGO]])</f>
        <v/>
      </c>
      <c r="G220" s="56">
        <f>SUMIFS(SALIDAS[CANTIDAD],SALIDAS[CODIGO],PRODUCTOS[[#This Row],[CODIGO]])</f>
        <v/>
      </c>
      <c r="H220" s="56">
        <f>PRODUCTOS[[#This Row],[ENTRADAS]]-PRODUCTOS[[#This Row],[SALIDAS ]]</f>
        <v/>
      </c>
      <c r="I220" s="76" t="n">
        <v>0</v>
      </c>
      <c r="J220">
        <f>IF(PRODUCTOS[[#This Row],[STOCK]]&lt;0,"NEGATIVO",IF(PRODUCTOS[[#This Row],[STOCK]]=0,"SIN STOCK",IF(PRODUCTOS[[#This Row],[STOCK]]&lt;=PRODUCTOS[[#This Row],[STOCK MÍN.]],"BAJO","OK")))</f>
        <v/>
      </c>
      <c r="K2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21" hidden="1" s="11">
      <c r="A221" s="18" t="n">
        <v>206</v>
      </c>
      <c r="B221" s="56" t="inlineStr">
        <is>
          <t>00050-HER</t>
        </is>
      </c>
      <c r="C221" s="56">
        <f>IFERROR(_xlfn.XLOOKUP(PRODUCTOS[[#This Row],[CODIGO]],LISTADO[CODIGOS],LISTADO[CATEGORIA]),"NO EXISTE")</f>
        <v/>
      </c>
      <c r="D221" s="56">
        <f>IFERROR(_xlfn.XLOOKUP(PRODUCTOS[[#This Row],[CODIGO]],LISTADO[CODIGOS],LISTADO[PRODUCTOS]),"NO EXISTE")</f>
        <v/>
      </c>
      <c r="E221" s="56">
        <f>IFERROR(_xlfn.XLOOKUP(PRODUCTOS[[#This Row],[CODIGO]],LISTADO[CODIGOS],LISTADO[UBICACIÓN]),"NO EXISTE")</f>
        <v/>
      </c>
      <c r="F221" s="56">
        <f>SUMIFS(ENTRADAS[CANTIDAD],ENTRADAS[CODIGO],PRODUCTOS[[#This Row],[CODIGO]])</f>
        <v/>
      </c>
      <c r="G221" s="56">
        <f>SUMIFS(SALIDAS[CANTIDAD],SALIDAS[CODIGO],PRODUCTOS[[#This Row],[CODIGO]])</f>
        <v/>
      </c>
      <c r="H221" s="56">
        <f>PRODUCTOS[[#This Row],[ENTRADAS]]-PRODUCTOS[[#This Row],[SALIDAS ]]</f>
        <v/>
      </c>
      <c r="I221" s="76" t="n">
        <v>0</v>
      </c>
      <c r="J221">
        <f>IF(PRODUCTOS[[#This Row],[STOCK]]&lt;0,"NEGATIVO",IF(PRODUCTOS[[#This Row],[STOCK]]=0,"SIN STOCK",IF(PRODUCTOS[[#This Row],[STOCK]]&lt;=PRODUCTOS[[#This Row],[STOCK MÍN.]],"BAJO","OK")))</f>
        <v/>
      </c>
      <c r="K2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22" hidden="1" s="11">
      <c r="A222" s="18" t="n">
        <v>207</v>
      </c>
      <c r="B222" s="56" t="inlineStr">
        <is>
          <t>00051-HER</t>
        </is>
      </c>
      <c r="C222" s="56">
        <f>IFERROR(_xlfn.XLOOKUP(PRODUCTOS[[#This Row],[CODIGO]],LISTADO[CODIGOS],LISTADO[CATEGORIA]),"NO EXISTE")</f>
        <v/>
      </c>
      <c r="D222" s="56">
        <f>IFERROR(_xlfn.XLOOKUP(PRODUCTOS[[#This Row],[CODIGO]],LISTADO[CODIGOS],LISTADO[PRODUCTOS]),"NO EXISTE")</f>
        <v/>
      </c>
      <c r="E222" s="56">
        <f>IFERROR(_xlfn.XLOOKUP(PRODUCTOS[[#This Row],[CODIGO]],LISTADO[CODIGOS],LISTADO[UBICACIÓN]),"NO EXISTE")</f>
        <v/>
      </c>
      <c r="F222" s="56">
        <f>SUMIFS(ENTRADAS[CANTIDAD],ENTRADAS[CODIGO],PRODUCTOS[[#This Row],[CODIGO]])</f>
        <v/>
      </c>
      <c r="G222" s="56">
        <f>SUMIFS(SALIDAS[CANTIDAD],SALIDAS[CODIGO],PRODUCTOS[[#This Row],[CODIGO]])</f>
        <v/>
      </c>
      <c r="H222" s="56">
        <f>PRODUCTOS[[#This Row],[ENTRADAS]]-PRODUCTOS[[#This Row],[SALIDAS ]]</f>
        <v/>
      </c>
      <c r="I222" s="76" t="n">
        <v>0</v>
      </c>
      <c r="J222">
        <f>IF(PRODUCTOS[[#This Row],[STOCK]]&lt;0,"NEGATIVO",IF(PRODUCTOS[[#This Row],[STOCK]]=0,"SIN STOCK",IF(PRODUCTOS[[#This Row],[STOCK]]&lt;=PRODUCTOS[[#This Row],[STOCK MÍN.]],"BAJO","OK")))</f>
        <v/>
      </c>
      <c r="K2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23" hidden="1" s="11">
      <c r="A223" s="18" t="n">
        <v>208</v>
      </c>
      <c r="B223" s="56" t="inlineStr">
        <is>
          <t>00001-HRR</t>
        </is>
      </c>
      <c r="C223" s="56">
        <f>IFERROR(_xlfn.XLOOKUP(PRODUCTOS[[#This Row],[CODIGO]],LISTADO[CODIGOS],LISTADO[CATEGORIA]),"NO EXISTE")</f>
        <v/>
      </c>
      <c r="D223" s="56">
        <f>IFERROR(_xlfn.XLOOKUP(PRODUCTOS[[#This Row],[CODIGO]],LISTADO[CODIGOS],LISTADO[PRODUCTOS]),"NO EXISTE")</f>
        <v/>
      </c>
      <c r="E223" s="56">
        <f>IFERROR(_xlfn.XLOOKUP(PRODUCTOS[[#This Row],[CODIGO]],LISTADO[CODIGOS],LISTADO[UBICACIÓN]),"NO EXISTE")</f>
        <v/>
      </c>
      <c r="F223" s="56">
        <f>SUMIFS(ENTRADAS[CANTIDAD],ENTRADAS[CODIGO],PRODUCTOS[[#This Row],[CODIGO]])</f>
        <v/>
      </c>
      <c r="G223" s="56">
        <f>SUMIFS(SALIDAS[CANTIDAD],SALIDAS[CODIGO],PRODUCTOS[[#This Row],[CODIGO]])</f>
        <v/>
      </c>
      <c r="H223" s="56">
        <f>PRODUCTOS[[#This Row],[ENTRADAS]]-PRODUCTOS[[#This Row],[SALIDAS ]]</f>
        <v/>
      </c>
      <c r="I223" s="76" t="n">
        <v>0</v>
      </c>
      <c r="J223">
        <f>IF(PRODUCTOS[[#This Row],[STOCK]]&lt;0,"NEGATIVO",IF(PRODUCTOS[[#This Row],[STOCK]]=0,"SIN STOCK",IF(PRODUCTOS[[#This Row],[STOCK]]&lt;=PRODUCTOS[[#This Row],[STOCK MÍN.]],"BAJO","OK")))</f>
        <v/>
      </c>
      <c r="K2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24" hidden="1" s="11">
      <c r="A224" s="18" t="n">
        <v>209</v>
      </c>
      <c r="B224" s="56" t="inlineStr">
        <is>
          <t>00002-HRR</t>
        </is>
      </c>
      <c r="C224" s="56">
        <f>IFERROR(_xlfn.XLOOKUP(PRODUCTOS[[#This Row],[CODIGO]],LISTADO[CODIGOS],LISTADO[CATEGORIA]),"NO EXISTE")</f>
        <v/>
      </c>
      <c r="D224" s="56">
        <f>IFERROR(_xlfn.XLOOKUP(PRODUCTOS[[#This Row],[CODIGO]],LISTADO[CODIGOS],LISTADO[PRODUCTOS]),"NO EXISTE")</f>
        <v/>
      </c>
      <c r="E224" s="56">
        <f>IFERROR(_xlfn.XLOOKUP(PRODUCTOS[[#This Row],[CODIGO]],LISTADO[CODIGOS],LISTADO[UBICACIÓN]),"NO EXISTE")</f>
        <v/>
      </c>
      <c r="F224" s="56">
        <f>SUMIFS(ENTRADAS[CANTIDAD],ENTRADAS[CODIGO],PRODUCTOS[[#This Row],[CODIGO]])</f>
        <v/>
      </c>
      <c r="G224" s="56">
        <f>SUMIFS(SALIDAS[CANTIDAD],SALIDAS[CODIGO],PRODUCTOS[[#This Row],[CODIGO]])</f>
        <v/>
      </c>
      <c r="H224" s="56">
        <f>PRODUCTOS[[#This Row],[ENTRADAS]]-PRODUCTOS[[#This Row],[SALIDAS ]]</f>
        <v/>
      </c>
      <c r="I224" s="76" t="n">
        <v>0</v>
      </c>
      <c r="J224">
        <f>IF(PRODUCTOS[[#This Row],[STOCK]]&lt;0,"NEGATIVO",IF(PRODUCTOS[[#This Row],[STOCK]]=0,"SIN STOCK",IF(PRODUCTOS[[#This Row],[STOCK]]&lt;=PRODUCTOS[[#This Row],[STOCK MÍN.]],"BAJO","OK")))</f>
        <v/>
      </c>
      <c r="K2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25" hidden="1" s="11">
      <c r="A225" s="18" t="n">
        <v>210</v>
      </c>
      <c r="B225" s="56" t="inlineStr">
        <is>
          <t>00052-HER</t>
        </is>
      </c>
      <c r="C225" s="56">
        <f>IFERROR(_xlfn.XLOOKUP(PRODUCTOS[[#This Row],[CODIGO]],LISTADO[CODIGOS],LISTADO[CATEGORIA]),"NO EXISTE")</f>
        <v/>
      </c>
      <c r="D225" s="56">
        <f>IFERROR(_xlfn.XLOOKUP(PRODUCTOS[[#This Row],[CODIGO]],LISTADO[CODIGOS],LISTADO[PRODUCTOS]),"NO EXISTE")</f>
        <v/>
      </c>
      <c r="E225" s="56">
        <f>IFERROR(_xlfn.XLOOKUP(PRODUCTOS[[#This Row],[CODIGO]],LISTADO[CODIGOS],LISTADO[UBICACIÓN]),"NO EXISTE")</f>
        <v/>
      </c>
      <c r="F225" s="56">
        <f>SUMIFS(ENTRADAS[CANTIDAD],ENTRADAS[CODIGO],PRODUCTOS[[#This Row],[CODIGO]])</f>
        <v/>
      </c>
      <c r="G225" s="56">
        <f>SUMIFS(SALIDAS[CANTIDAD],SALIDAS[CODIGO],PRODUCTOS[[#This Row],[CODIGO]])</f>
        <v/>
      </c>
      <c r="H225" s="56">
        <f>PRODUCTOS[[#This Row],[ENTRADAS]]-PRODUCTOS[[#This Row],[SALIDAS ]]</f>
        <v/>
      </c>
      <c r="I225" s="76" t="n">
        <v>0</v>
      </c>
      <c r="J225">
        <f>IF(PRODUCTOS[[#This Row],[STOCK]]&lt;0,"NEGATIVO",IF(PRODUCTOS[[#This Row],[STOCK]]=0,"SIN STOCK",IF(PRODUCTOS[[#This Row],[STOCK]]&lt;=PRODUCTOS[[#This Row],[STOCK MÍN.]],"BAJO","OK")))</f>
        <v/>
      </c>
      <c r="K2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26" hidden="1" s="11">
      <c r="A226" s="18" t="n">
        <v>211</v>
      </c>
      <c r="B226" s="56" t="inlineStr">
        <is>
          <t>00053-HER</t>
        </is>
      </c>
      <c r="C226" s="56">
        <f>IFERROR(_xlfn.XLOOKUP(PRODUCTOS[[#This Row],[CODIGO]],LISTADO[CODIGOS],LISTADO[CATEGORIA]),"NO EXISTE")</f>
        <v/>
      </c>
      <c r="D226" s="56">
        <f>IFERROR(_xlfn.XLOOKUP(PRODUCTOS[[#This Row],[CODIGO]],LISTADO[CODIGOS],LISTADO[PRODUCTOS]),"NO EXISTE")</f>
        <v/>
      </c>
      <c r="E226" s="56">
        <f>IFERROR(_xlfn.XLOOKUP(PRODUCTOS[[#This Row],[CODIGO]],LISTADO[CODIGOS],LISTADO[UBICACIÓN]),"NO EXISTE")</f>
        <v/>
      </c>
      <c r="F226" s="56">
        <f>SUMIFS(ENTRADAS[CANTIDAD],ENTRADAS[CODIGO],PRODUCTOS[[#This Row],[CODIGO]])</f>
        <v/>
      </c>
      <c r="G226" s="56">
        <f>SUMIFS(SALIDAS[CANTIDAD],SALIDAS[CODIGO],PRODUCTOS[[#This Row],[CODIGO]])</f>
        <v/>
      </c>
      <c r="H226" s="56">
        <f>PRODUCTOS[[#This Row],[ENTRADAS]]-PRODUCTOS[[#This Row],[SALIDAS ]]</f>
        <v/>
      </c>
      <c r="I226" s="76" t="n">
        <v>0</v>
      </c>
      <c r="J226">
        <f>IF(PRODUCTOS[[#This Row],[STOCK]]&lt;0,"NEGATIVO",IF(PRODUCTOS[[#This Row],[STOCK]]=0,"SIN STOCK",IF(PRODUCTOS[[#This Row],[STOCK]]&lt;=PRODUCTOS[[#This Row],[STOCK MÍN.]],"BAJO","OK")))</f>
        <v/>
      </c>
      <c r="K2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27" hidden="1" s="11">
      <c r="A227" s="18" t="n">
        <v>212</v>
      </c>
      <c r="B227" s="56" t="inlineStr">
        <is>
          <t>00054-HER</t>
        </is>
      </c>
      <c r="C227" s="56">
        <f>IFERROR(_xlfn.XLOOKUP(PRODUCTOS[[#This Row],[CODIGO]],LISTADO[CODIGOS],LISTADO[CATEGORIA]),"NO EXISTE")</f>
        <v/>
      </c>
      <c r="D227" s="56">
        <f>IFERROR(_xlfn.XLOOKUP(PRODUCTOS[[#This Row],[CODIGO]],LISTADO[CODIGOS],LISTADO[PRODUCTOS]),"NO EXISTE")</f>
        <v/>
      </c>
      <c r="E227" s="56">
        <f>IFERROR(_xlfn.XLOOKUP(PRODUCTOS[[#This Row],[CODIGO]],LISTADO[CODIGOS],LISTADO[UBICACIÓN]),"NO EXISTE")</f>
        <v/>
      </c>
      <c r="F227" s="56">
        <f>SUMIFS(ENTRADAS[CANTIDAD],ENTRADAS[CODIGO],PRODUCTOS[[#This Row],[CODIGO]])</f>
        <v/>
      </c>
      <c r="G227" s="56">
        <f>SUMIFS(SALIDAS[CANTIDAD],SALIDAS[CODIGO],PRODUCTOS[[#This Row],[CODIGO]])</f>
        <v/>
      </c>
      <c r="H227" s="56">
        <f>PRODUCTOS[[#This Row],[ENTRADAS]]-PRODUCTOS[[#This Row],[SALIDAS ]]</f>
        <v/>
      </c>
      <c r="I227" s="76" t="n">
        <v>0</v>
      </c>
      <c r="J227">
        <f>IF(PRODUCTOS[[#This Row],[STOCK]]&lt;0,"NEGATIVO",IF(PRODUCTOS[[#This Row],[STOCK]]=0,"SIN STOCK",IF(PRODUCTOS[[#This Row],[STOCK]]&lt;=PRODUCTOS[[#This Row],[STOCK MÍN.]],"BAJO","OK")))</f>
        <v/>
      </c>
      <c r="K2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28" hidden="1" s="11">
      <c r="A228" s="18" t="n">
        <v>213</v>
      </c>
      <c r="B228" s="56" t="inlineStr">
        <is>
          <t>00055-HER</t>
        </is>
      </c>
      <c r="C228" s="56">
        <f>IFERROR(_xlfn.XLOOKUP(PRODUCTOS[[#This Row],[CODIGO]],LISTADO[CODIGOS],LISTADO[CATEGORIA]),"NO EXISTE")</f>
        <v/>
      </c>
      <c r="D228" s="56">
        <f>IFERROR(_xlfn.XLOOKUP(PRODUCTOS[[#This Row],[CODIGO]],LISTADO[CODIGOS],LISTADO[PRODUCTOS]),"NO EXISTE")</f>
        <v/>
      </c>
      <c r="E228" s="56">
        <f>IFERROR(_xlfn.XLOOKUP(PRODUCTOS[[#This Row],[CODIGO]],LISTADO[CODIGOS],LISTADO[UBICACIÓN]),"NO EXISTE")</f>
        <v/>
      </c>
      <c r="F228" s="56">
        <f>SUMIFS(ENTRADAS[CANTIDAD],ENTRADAS[CODIGO],PRODUCTOS[[#This Row],[CODIGO]])</f>
        <v/>
      </c>
      <c r="G228" s="56">
        <f>SUMIFS(SALIDAS[CANTIDAD],SALIDAS[CODIGO],PRODUCTOS[[#This Row],[CODIGO]])</f>
        <v/>
      </c>
      <c r="H228" s="56">
        <f>PRODUCTOS[[#This Row],[ENTRADAS]]-PRODUCTOS[[#This Row],[SALIDAS ]]</f>
        <v/>
      </c>
      <c r="I228" s="76" t="n">
        <v>0</v>
      </c>
      <c r="J228">
        <f>IF(PRODUCTOS[[#This Row],[STOCK]]&lt;0,"NEGATIVO",IF(PRODUCTOS[[#This Row],[STOCK]]=0,"SIN STOCK",IF(PRODUCTOS[[#This Row],[STOCK]]&lt;=PRODUCTOS[[#This Row],[STOCK MÍN.]],"BAJO","OK")))</f>
        <v/>
      </c>
      <c r="K2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29" hidden="1" s="11">
      <c r="A229" s="18" t="n">
        <v>214</v>
      </c>
      <c r="B229" s="56" t="inlineStr">
        <is>
          <t>00056-HER</t>
        </is>
      </c>
      <c r="C229" s="56">
        <f>IFERROR(_xlfn.XLOOKUP(PRODUCTOS[[#This Row],[CODIGO]],LISTADO[CODIGOS],LISTADO[CATEGORIA]),"NO EXISTE")</f>
        <v/>
      </c>
      <c r="D229" s="56">
        <f>IFERROR(_xlfn.XLOOKUP(PRODUCTOS[[#This Row],[CODIGO]],LISTADO[CODIGOS],LISTADO[PRODUCTOS]),"NO EXISTE")</f>
        <v/>
      </c>
      <c r="E229" s="56">
        <f>IFERROR(_xlfn.XLOOKUP(PRODUCTOS[[#This Row],[CODIGO]],LISTADO[CODIGOS],LISTADO[UBICACIÓN]),"NO EXISTE")</f>
        <v/>
      </c>
      <c r="F229" s="56">
        <f>SUMIFS(ENTRADAS[CANTIDAD],ENTRADAS[CODIGO],PRODUCTOS[[#This Row],[CODIGO]])</f>
        <v/>
      </c>
      <c r="G229" s="56">
        <f>SUMIFS(SALIDAS[CANTIDAD],SALIDAS[CODIGO],PRODUCTOS[[#This Row],[CODIGO]])</f>
        <v/>
      </c>
      <c r="H229" s="56">
        <f>PRODUCTOS[[#This Row],[ENTRADAS]]-PRODUCTOS[[#This Row],[SALIDAS ]]</f>
        <v/>
      </c>
      <c r="I229" s="76" t="n">
        <v>0</v>
      </c>
      <c r="J229">
        <f>IF(PRODUCTOS[[#This Row],[STOCK]]&lt;0,"NEGATIVO",IF(PRODUCTOS[[#This Row],[STOCK]]=0,"SIN STOCK",IF(PRODUCTOS[[#This Row],[STOCK]]&lt;=PRODUCTOS[[#This Row],[STOCK MÍN.]],"BAJO","OK")))</f>
        <v/>
      </c>
      <c r="K2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30" hidden="1" s="11">
      <c r="A230" s="18" t="n">
        <v>215</v>
      </c>
      <c r="B230" s="56" t="inlineStr">
        <is>
          <t>00057-HER</t>
        </is>
      </c>
      <c r="C230" s="56">
        <f>IFERROR(_xlfn.XLOOKUP(PRODUCTOS[[#This Row],[CODIGO]],LISTADO[CODIGOS],LISTADO[CATEGORIA]),"NO EXISTE")</f>
        <v/>
      </c>
      <c r="D230" s="56">
        <f>IFERROR(_xlfn.XLOOKUP(PRODUCTOS[[#This Row],[CODIGO]],LISTADO[CODIGOS],LISTADO[PRODUCTOS]),"NO EXISTE")</f>
        <v/>
      </c>
      <c r="E230" s="56">
        <f>IFERROR(_xlfn.XLOOKUP(PRODUCTOS[[#This Row],[CODIGO]],LISTADO[CODIGOS],LISTADO[UBICACIÓN]),"NO EXISTE")</f>
        <v/>
      </c>
      <c r="F230" s="56">
        <f>SUMIFS(ENTRADAS[CANTIDAD],ENTRADAS[CODIGO],PRODUCTOS[[#This Row],[CODIGO]])</f>
        <v/>
      </c>
      <c r="G230" s="56">
        <f>SUMIFS(SALIDAS[CANTIDAD],SALIDAS[CODIGO],PRODUCTOS[[#This Row],[CODIGO]])</f>
        <v/>
      </c>
      <c r="H230" s="56">
        <f>PRODUCTOS[[#This Row],[ENTRADAS]]-PRODUCTOS[[#This Row],[SALIDAS ]]</f>
        <v/>
      </c>
      <c r="I230" s="76" t="n">
        <v>0</v>
      </c>
      <c r="J230">
        <f>IF(PRODUCTOS[[#This Row],[STOCK]]&lt;0,"NEGATIVO",IF(PRODUCTOS[[#This Row],[STOCK]]=0,"SIN STOCK",IF(PRODUCTOS[[#This Row],[STOCK]]&lt;=PRODUCTOS[[#This Row],[STOCK MÍN.]],"BAJO","OK")))</f>
        <v/>
      </c>
      <c r="K2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31" hidden="1" s="11">
      <c r="A231" s="18" t="n">
        <v>216</v>
      </c>
      <c r="B231" s="56" t="inlineStr">
        <is>
          <t>00058-HER</t>
        </is>
      </c>
      <c r="C231" s="56">
        <f>IFERROR(_xlfn.XLOOKUP(PRODUCTOS[[#This Row],[CODIGO]],LISTADO[CODIGOS],LISTADO[CATEGORIA]),"NO EXISTE")</f>
        <v/>
      </c>
      <c r="D231" s="56">
        <f>IFERROR(_xlfn.XLOOKUP(PRODUCTOS[[#This Row],[CODIGO]],LISTADO[CODIGOS],LISTADO[PRODUCTOS]),"NO EXISTE")</f>
        <v/>
      </c>
      <c r="E231" s="56">
        <f>IFERROR(_xlfn.XLOOKUP(PRODUCTOS[[#This Row],[CODIGO]],LISTADO[CODIGOS],LISTADO[UBICACIÓN]),"NO EXISTE")</f>
        <v/>
      </c>
      <c r="F231" s="56">
        <f>SUMIFS(ENTRADAS[CANTIDAD],ENTRADAS[CODIGO],PRODUCTOS[[#This Row],[CODIGO]])</f>
        <v/>
      </c>
      <c r="G231" s="56">
        <f>SUMIFS(SALIDAS[CANTIDAD],SALIDAS[CODIGO],PRODUCTOS[[#This Row],[CODIGO]])</f>
        <v/>
      </c>
      <c r="H231" s="56">
        <f>PRODUCTOS[[#This Row],[ENTRADAS]]-PRODUCTOS[[#This Row],[SALIDAS ]]</f>
        <v/>
      </c>
      <c r="I231" s="76" t="n">
        <v>0</v>
      </c>
      <c r="J231">
        <f>IF(PRODUCTOS[[#This Row],[STOCK]]&lt;0,"NEGATIVO",IF(PRODUCTOS[[#This Row],[STOCK]]=0,"SIN STOCK",IF(PRODUCTOS[[#This Row],[STOCK]]&lt;=PRODUCTOS[[#This Row],[STOCK MÍN.]],"BAJO","OK")))</f>
        <v/>
      </c>
      <c r="K2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32" hidden="1" s="11">
      <c r="A232" s="18" t="n">
        <v>217</v>
      </c>
      <c r="B232" s="56" t="inlineStr">
        <is>
          <t>00059-HER</t>
        </is>
      </c>
      <c r="C232" s="56">
        <f>IFERROR(_xlfn.XLOOKUP(PRODUCTOS[[#This Row],[CODIGO]],LISTADO[CODIGOS],LISTADO[CATEGORIA]),"NO EXISTE")</f>
        <v/>
      </c>
      <c r="D232" s="56">
        <f>IFERROR(_xlfn.XLOOKUP(PRODUCTOS[[#This Row],[CODIGO]],LISTADO[CODIGOS],LISTADO[PRODUCTOS]),"NO EXISTE")</f>
        <v/>
      </c>
      <c r="E232" s="56">
        <f>IFERROR(_xlfn.XLOOKUP(PRODUCTOS[[#This Row],[CODIGO]],LISTADO[CODIGOS],LISTADO[UBICACIÓN]),"NO EXISTE")</f>
        <v/>
      </c>
      <c r="F232" s="56">
        <f>SUMIFS(ENTRADAS[CANTIDAD],ENTRADAS[CODIGO],PRODUCTOS[[#This Row],[CODIGO]])</f>
        <v/>
      </c>
      <c r="G232" s="56">
        <f>SUMIFS(SALIDAS[CANTIDAD],SALIDAS[CODIGO],PRODUCTOS[[#This Row],[CODIGO]])</f>
        <v/>
      </c>
      <c r="H232" s="56">
        <f>PRODUCTOS[[#This Row],[ENTRADAS]]-PRODUCTOS[[#This Row],[SALIDAS ]]</f>
        <v/>
      </c>
      <c r="I232" s="76" t="n">
        <v>0</v>
      </c>
      <c r="J232">
        <f>IF(PRODUCTOS[[#This Row],[STOCK]]&lt;0,"NEGATIVO",IF(PRODUCTOS[[#This Row],[STOCK]]=0,"SIN STOCK",IF(PRODUCTOS[[#This Row],[STOCK]]&lt;=PRODUCTOS[[#This Row],[STOCK MÍN.]],"BAJO","OK")))</f>
        <v/>
      </c>
      <c r="K2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33" hidden="1" s="11">
      <c r="A233" s="18" t="n">
        <v>218</v>
      </c>
      <c r="B233" s="56" t="inlineStr">
        <is>
          <t>00060-HER</t>
        </is>
      </c>
      <c r="C233" s="56">
        <f>IFERROR(_xlfn.XLOOKUP(PRODUCTOS[[#This Row],[CODIGO]],LISTADO[CODIGOS],LISTADO[CATEGORIA]),"NO EXISTE")</f>
        <v/>
      </c>
      <c r="D233" s="56">
        <f>IFERROR(_xlfn.XLOOKUP(PRODUCTOS[[#This Row],[CODIGO]],LISTADO[CODIGOS],LISTADO[PRODUCTOS]),"NO EXISTE")</f>
        <v/>
      </c>
      <c r="E233" s="56">
        <f>IFERROR(_xlfn.XLOOKUP(PRODUCTOS[[#This Row],[CODIGO]],LISTADO[CODIGOS],LISTADO[UBICACIÓN]),"NO EXISTE")</f>
        <v/>
      </c>
      <c r="F233" s="56">
        <f>SUMIFS(ENTRADAS[CANTIDAD],ENTRADAS[CODIGO],PRODUCTOS[[#This Row],[CODIGO]])</f>
        <v/>
      </c>
      <c r="G233" s="56">
        <f>SUMIFS(SALIDAS[CANTIDAD],SALIDAS[CODIGO],PRODUCTOS[[#This Row],[CODIGO]])</f>
        <v/>
      </c>
      <c r="H233" s="56">
        <f>PRODUCTOS[[#This Row],[ENTRADAS]]-PRODUCTOS[[#This Row],[SALIDAS ]]</f>
        <v/>
      </c>
      <c r="I233" s="76" t="n">
        <v>0</v>
      </c>
      <c r="J233">
        <f>IF(PRODUCTOS[[#This Row],[STOCK]]&lt;0,"NEGATIVO",IF(PRODUCTOS[[#This Row],[STOCK]]=0,"SIN STOCK",IF(PRODUCTOS[[#This Row],[STOCK]]&lt;=PRODUCTOS[[#This Row],[STOCK MÍN.]],"BAJO","OK")))</f>
        <v/>
      </c>
      <c r="K2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34" hidden="1" s="11">
      <c r="A234" s="18" t="n">
        <v>219</v>
      </c>
      <c r="B234" s="56" t="inlineStr">
        <is>
          <t>00061-HER</t>
        </is>
      </c>
      <c r="C234" s="56">
        <f>IFERROR(_xlfn.XLOOKUP(PRODUCTOS[[#This Row],[CODIGO]],LISTADO[CODIGOS],LISTADO[CATEGORIA]),"NO EXISTE")</f>
        <v/>
      </c>
      <c r="D234" s="56">
        <f>IFERROR(_xlfn.XLOOKUP(PRODUCTOS[[#This Row],[CODIGO]],LISTADO[CODIGOS],LISTADO[PRODUCTOS]),"NO EXISTE")</f>
        <v/>
      </c>
      <c r="E234" s="56">
        <f>IFERROR(_xlfn.XLOOKUP(PRODUCTOS[[#This Row],[CODIGO]],LISTADO[CODIGOS],LISTADO[UBICACIÓN]),"NO EXISTE")</f>
        <v/>
      </c>
      <c r="F234" s="56">
        <f>SUMIFS(ENTRADAS[CANTIDAD],ENTRADAS[CODIGO],PRODUCTOS[[#This Row],[CODIGO]])</f>
        <v/>
      </c>
      <c r="G234" s="56">
        <f>SUMIFS(SALIDAS[CANTIDAD],SALIDAS[CODIGO],PRODUCTOS[[#This Row],[CODIGO]])</f>
        <v/>
      </c>
      <c r="H234" s="56">
        <f>PRODUCTOS[[#This Row],[ENTRADAS]]-PRODUCTOS[[#This Row],[SALIDAS ]]</f>
        <v/>
      </c>
      <c r="I234" s="76" t="n">
        <v>0</v>
      </c>
      <c r="J234">
        <f>IF(PRODUCTOS[[#This Row],[STOCK]]&lt;0,"NEGATIVO",IF(PRODUCTOS[[#This Row],[STOCK]]=0,"SIN STOCK",IF(PRODUCTOS[[#This Row],[STOCK]]&lt;=PRODUCTOS[[#This Row],[STOCK MÍN.]],"BAJO","OK")))</f>
        <v/>
      </c>
      <c r="K2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35" hidden="1" s="11">
      <c r="A235" s="18" t="n">
        <v>220</v>
      </c>
      <c r="B235" s="56" t="inlineStr">
        <is>
          <t>00062-HER</t>
        </is>
      </c>
      <c r="C235" s="56">
        <f>IFERROR(_xlfn.XLOOKUP(PRODUCTOS[[#This Row],[CODIGO]],LISTADO[CODIGOS],LISTADO[CATEGORIA]),"NO EXISTE")</f>
        <v/>
      </c>
      <c r="D235" s="56">
        <f>IFERROR(_xlfn.XLOOKUP(PRODUCTOS[[#This Row],[CODIGO]],LISTADO[CODIGOS],LISTADO[PRODUCTOS]),"NO EXISTE")</f>
        <v/>
      </c>
      <c r="E235" s="56">
        <f>IFERROR(_xlfn.XLOOKUP(PRODUCTOS[[#This Row],[CODIGO]],LISTADO[CODIGOS],LISTADO[UBICACIÓN]),"NO EXISTE")</f>
        <v/>
      </c>
      <c r="F235" s="56">
        <f>SUMIFS(ENTRADAS[CANTIDAD],ENTRADAS[CODIGO],PRODUCTOS[[#This Row],[CODIGO]])</f>
        <v/>
      </c>
      <c r="G235" s="56">
        <f>SUMIFS(SALIDAS[CANTIDAD],SALIDAS[CODIGO],PRODUCTOS[[#This Row],[CODIGO]])</f>
        <v/>
      </c>
      <c r="H235" s="56">
        <f>PRODUCTOS[[#This Row],[ENTRADAS]]-PRODUCTOS[[#This Row],[SALIDAS ]]</f>
        <v/>
      </c>
      <c r="I235" s="76" t="n">
        <v>0</v>
      </c>
      <c r="J235">
        <f>IF(PRODUCTOS[[#This Row],[STOCK]]&lt;0,"NEGATIVO",IF(PRODUCTOS[[#This Row],[STOCK]]=0,"SIN STOCK",IF(PRODUCTOS[[#This Row],[STOCK]]&lt;=PRODUCTOS[[#This Row],[STOCK MÍN.]],"BAJO","OK")))</f>
        <v/>
      </c>
      <c r="K2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36" hidden="1" s="11">
      <c r="A236" s="18" t="n">
        <v>221</v>
      </c>
      <c r="B236" s="56" t="inlineStr">
        <is>
          <t>00063-HER</t>
        </is>
      </c>
      <c r="C236" s="56">
        <f>IFERROR(_xlfn.XLOOKUP(PRODUCTOS[[#This Row],[CODIGO]],LISTADO[CODIGOS],LISTADO[CATEGORIA]),"NO EXISTE")</f>
        <v/>
      </c>
      <c r="D236" s="56">
        <f>IFERROR(_xlfn.XLOOKUP(PRODUCTOS[[#This Row],[CODIGO]],LISTADO[CODIGOS],LISTADO[PRODUCTOS]),"NO EXISTE")</f>
        <v/>
      </c>
      <c r="E236" s="56">
        <f>IFERROR(_xlfn.XLOOKUP(PRODUCTOS[[#This Row],[CODIGO]],LISTADO[CODIGOS],LISTADO[UBICACIÓN]),"NO EXISTE")</f>
        <v/>
      </c>
      <c r="F236" s="56">
        <f>SUMIFS(ENTRADAS[CANTIDAD],ENTRADAS[CODIGO],PRODUCTOS[[#This Row],[CODIGO]])</f>
        <v/>
      </c>
      <c r="G236" s="56">
        <f>SUMIFS(SALIDAS[CANTIDAD],SALIDAS[CODIGO],PRODUCTOS[[#This Row],[CODIGO]])</f>
        <v/>
      </c>
      <c r="H236" s="56">
        <f>PRODUCTOS[[#This Row],[ENTRADAS]]-PRODUCTOS[[#This Row],[SALIDAS ]]</f>
        <v/>
      </c>
      <c r="I236" s="76" t="n">
        <v>0</v>
      </c>
      <c r="J236">
        <f>IF(PRODUCTOS[[#This Row],[STOCK]]&lt;0,"NEGATIVO",IF(PRODUCTOS[[#This Row],[STOCK]]=0,"SIN STOCK",IF(PRODUCTOS[[#This Row],[STOCK]]&lt;=PRODUCTOS[[#This Row],[STOCK MÍN.]],"BAJO","OK")))</f>
        <v/>
      </c>
      <c r="K2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37" hidden="1" s="11">
      <c r="A237" s="18" t="n">
        <v>222</v>
      </c>
      <c r="B237" s="56" t="inlineStr">
        <is>
          <t>00003-HRR</t>
        </is>
      </c>
      <c r="C237" s="56">
        <f>IFERROR(_xlfn.XLOOKUP(PRODUCTOS[[#This Row],[CODIGO]],LISTADO[CODIGOS],LISTADO[CATEGORIA]),"NO EXISTE")</f>
        <v/>
      </c>
      <c r="D237" s="56">
        <f>IFERROR(_xlfn.XLOOKUP(PRODUCTOS[[#This Row],[CODIGO]],LISTADO[CODIGOS],LISTADO[PRODUCTOS]),"NO EXISTE")</f>
        <v/>
      </c>
      <c r="E237" s="56">
        <f>IFERROR(_xlfn.XLOOKUP(PRODUCTOS[[#This Row],[CODIGO]],LISTADO[CODIGOS],LISTADO[UBICACIÓN]),"NO EXISTE")</f>
        <v/>
      </c>
      <c r="F237" s="56">
        <f>SUMIFS(ENTRADAS[CANTIDAD],ENTRADAS[CODIGO],PRODUCTOS[[#This Row],[CODIGO]])</f>
        <v/>
      </c>
      <c r="G237" s="56">
        <f>SUMIFS(SALIDAS[CANTIDAD],SALIDAS[CODIGO],PRODUCTOS[[#This Row],[CODIGO]])</f>
        <v/>
      </c>
      <c r="H237" s="56">
        <f>PRODUCTOS[[#This Row],[ENTRADAS]]-PRODUCTOS[[#This Row],[SALIDAS ]]</f>
        <v/>
      </c>
      <c r="I237" s="76" t="n">
        <v>0</v>
      </c>
      <c r="J237">
        <f>IF(PRODUCTOS[[#This Row],[STOCK]]&lt;0,"NEGATIVO",IF(PRODUCTOS[[#This Row],[STOCK]]=0,"SIN STOCK",IF(PRODUCTOS[[#This Row],[STOCK]]&lt;=PRODUCTOS[[#This Row],[STOCK MÍN.]],"BAJO","OK")))</f>
        <v/>
      </c>
      <c r="K2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38" hidden="1" s="11">
      <c r="A238" s="18" t="n">
        <v>223</v>
      </c>
      <c r="B238" s="56" t="inlineStr">
        <is>
          <t>00004-HRR</t>
        </is>
      </c>
      <c r="C238" s="56">
        <f>IFERROR(_xlfn.XLOOKUP(PRODUCTOS[[#This Row],[CODIGO]],LISTADO[CODIGOS],LISTADO[CATEGORIA]),"NO EXISTE")</f>
        <v/>
      </c>
      <c r="D238" s="56">
        <f>IFERROR(_xlfn.XLOOKUP(PRODUCTOS[[#This Row],[CODIGO]],LISTADO[CODIGOS],LISTADO[PRODUCTOS]),"NO EXISTE")</f>
        <v/>
      </c>
      <c r="E238" s="56">
        <f>IFERROR(_xlfn.XLOOKUP(PRODUCTOS[[#This Row],[CODIGO]],LISTADO[CODIGOS],LISTADO[UBICACIÓN]),"NO EXISTE")</f>
        <v/>
      </c>
      <c r="F238" s="56">
        <f>SUMIFS(ENTRADAS[CANTIDAD],ENTRADAS[CODIGO],PRODUCTOS[[#This Row],[CODIGO]])</f>
        <v/>
      </c>
      <c r="G238" s="56">
        <f>SUMIFS(SALIDAS[CANTIDAD],SALIDAS[CODIGO],PRODUCTOS[[#This Row],[CODIGO]])</f>
        <v/>
      </c>
      <c r="H238" s="56">
        <f>PRODUCTOS[[#This Row],[ENTRADAS]]-PRODUCTOS[[#This Row],[SALIDAS ]]</f>
        <v/>
      </c>
      <c r="I238" s="76" t="n">
        <v>0</v>
      </c>
      <c r="J238">
        <f>IF(PRODUCTOS[[#This Row],[STOCK]]&lt;0,"NEGATIVO",IF(PRODUCTOS[[#This Row],[STOCK]]=0,"SIN STOCK",IF(PRODUCTOS[[#This Row],[STOCK]]&lt;=PRODUCTOS[[#This Row],[STOCK MÍN.]],"BAJO","OK")))</f>
        <v/>
      </c>
      <c r="K2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39" hidden="1" s="11">
      <c r="A239" s="18" t="n">
        <v>224</v>
      </c>
      <c r="B239" s="56" t="inlineStr">
        <is>
          <t>00005-HRR</t>
        </is>
      </c>
      <c r="C239" s="56">
        <f>IFERROR(_xlfn.XLOOKUP(PRODUCTOS[[#This Row],[CODIGO]],LISTADO[CODIGOS],LISTADO[CATEGORIA]),"NO EXISTE")</f>
        <v/>
      </c>
      <c r="D239" s="56">
        <f>IFERROR(_xlfn.XLOOKUP(PRODUCTOS[[#This Row],[CODIGO]],LISTADO[CODIGOS],LISTADO[PRODUCTOS]),"NO EXISTE")</f>
        <v/>
      </c>
      <c r="E239" s="56">
        <f>IFERROR(_xlfn.XLOOKUP(PRODUCTOS[[#This Row],[CODIGO]],LISTADO[CODIGOS],LISTADO[UBICACIÓN]),"NO EXISTE")</f>
        <v/>
      </c>
      <c r="F239" s="56">
        <f>SUMIFS(ENTRADAS[CANTIDAD],ENTRADAS[CODIGO],PRODUCTOS[[#This Row],[CODIGO]])</f>
        <v/>
      </c>
      <c r="G239" s="56">
        <f>SUMIFS(SALIDAS[CANTIDAD],SALIDAS[CODIGO],PRODUCTOS[[#This Row],[CODIGO]])</f>
        <v/>
      </c>
      <c r="H239" s="56">
        <f>PRODUCTOS[[#This Row],[ENTRADAS]]-PRODUCTOS[[#This Row],[SALIDAS ]]</f>
        <v/>
      </c>
      <c r="I239" s="76" t="n">
        <v>0</v>
      </c>
      <c r="J239">
        <f>IF(PRODUCTOS[[#This Row],[STOCK]]&lt;0,"NEGATIVO",IF(PRODUCTOS[[#This Row],[STOCK]]=0,"SIN STOCK",IF(PRODUCTOS[[#This Row],[STOCK]]&lt;=PRODUCTOS[[#This Row],[STOCK MÍN.]],"BAJO","OK")))</f>
        <v/>
      </c>
      <c r="K2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40" hidden="1" s="11">
      <c r="A240" s="18" t="n">
        <v>225</v>
      </c>
      <c r="B240" s="56" t="inlineStr">
        <is>
          <t>00006-HRR</t>
        </is>
      </c>
      <c r="C240" s="56">
        <f>IFERROR(_xlfn.XLOOKUP(PRODUCTOS[[#This Row],[CODIGO]],LISTADO[CODIGOS],LISTADO[CATEGORIA]),"NO EXISTE")</f>
        <v/>
      </c>
      <c r="D240" s="56">
        <f>IFERROR(_xlfn.XLOOKUP(PRODUCTOS[[#This Row],[CODIGO]],LISTADO[CODIGOS],LISTADO[PRODUCTOS]),"NO EXISTE")</f>
        <v/>
      </c>
      <c r="E240" s="56">
        <f>IFERROR(_xlfn.XLOOKUP(PRODUCTOS[[#This Row],[CODIGO]],LISTADO[CODIGOS],LISTADO[UBICACIÓN]),"NO EXISTE")</f>
        <v/>
      </c>
      <c r="F240" s="56">
        <f>SUMIFS(ENTRADAS[CANTIDAD],ENTRADAS[CODIGO],PRODUCTOS[[#This Row],[CODIGO]])</f>
        <v/>
      </c>
      <c r="G240" s="56">
        <f>SUMIFS(SALIDAS[CANTIDAD],SALIDAS[CODIGO],PRODUCTOS[[#This Row],[CODIGO]])</f>
        <v/>
      </c>
      <c r="H240" s="56">
        <f>PRODUCTOS[[#This Row],[ENTRADAS]]-PRODUCTOS[[#This Row],[SALIDAS ]]</f>
        <v/>
      </c>
      <c r="I240" s="76" t="n">
        <v>0</v>
      </c>
      <c r="J240">
        <f>IF(PRODUCTOS[[#This Row],[STOCK]]&lt;0,"NEGATIVO",IF(PRODUCTOS[[#This Row],[STOCK]]=0,"SIN STOCK",IF(PRODUCTOS[[#This Row],[STOCK]]&lt;=PRODUCTOS[[#This Row],[STOCK MÍN.]],"BAJO","OK")))</f>
        <v/>
      </c>
      <c r="K2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41" hidden="1" s="11">
      <c r="A241" s="18" t="n">
        <v>226</v>
      </c>
      <c r="B241" s="56" t="inlineStr">
        <is>
          <t>00007-HRR</t>
        </is>
      </c>
      <c r="C241" s="56">
        <f>IFERROR(_xlfn.XLOOKUP(PRODUCTOS[[#This Row],[CODIGO]],LISTADO[CODIGOS],LISTADO[CATEGORIA]),"NO EXISTE")</f>
        <v/>
      </c>
      <c r="D241" s="56">
        <f>IFERROR(_xlfn.XLOOKUP(PRODUCTOS[[#This Row],[CODIGO]],LISTADO[CODIGOS],LISTADO[PRODUCTOS]),"NO EXISTE")</f>
        <v/>
      </c>
      <c r="E241" s="56">
        <f>IFERROR(_xlfn.XLOOKUP(PRODUCTOS[[#This Row],[CODIGO]],LISTADO[CODIGOS],LISTADO[UBICACIÓN]),"NO EXISTE")</f>
        <v/>
      </c>
      <c r="F241" s="56">
        <f>SUMIFS(ENTRADAS[CANTIDAD],ENTRADAS[CODIGO],PRODUCTOS[[#This Row],[CODIGO]])</f>
        <v/>
      </c>
      <c r="G241" s="56">
        <f>SUMIFS(SALIDAS[CANTIDAD],SALIDAS[CODIGO],PRODUCTOS[[#This Row],[CODIGO]])</f>
        <v/>
      </c>
      <c r="H241" s="56">
        <f>PRODUCTOS[[#This Row],[ENTRADAS]]-PRODUCTOS[[#This Row],[SALIDAS ]]</f>
        <v/>
      </c>
      <c r="I241" s="76" t="n">
        <v>0</v>
      </c>
      <c r="J241">
        <f>IF(PRODUCTOS[[#This Row],[STOCK]]&lt;0,"NEGATIVO",IF(PRODUCTOS[[#This Row],[STOCK]]=0,"SIN STOCK",IF(PRODUCTOS[[#This Row],[STOCK]]&lt;=PRODUCTOS[[#This Row],[STOCK MÍN.]],"BAJO","OK")))</f>
        <v/>
      </c>
      <c r="K2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42" hidden="1" s="11">
      <c r="A242" s="18" t="n">
        <v>227</v>
      </c>
      <c r="B242" s="56" t="inlineStr">
        <is>
          <t>00047-FER</t>
        </is>
      </c>
      <c r="C242" s="56">
        <f>IFERROR(_xlfn.XLOOKUP(PRODUCTOS[[#This Row],[CODIGO]],LISTADO[CODIGOS],LISTADO[CATEGORIA]),"NO EXISTE")</f>
        <v/>
      </c>
      <c r="D242" s="56">
        <f>IFERROR(_xlfn.XLOOKUP(PRODUCTOS[[#This Row],[CODIGO]],LISTADO[CODIGOS],LISTADO[PRODUCTOS]),"NO EXISTE")</f>
        <v/>
      </c>
      <c r="E242" s="56">
        <f>IFERROR(_xlfn.XLOOKUP(PRODUCTOS[[#This Row],[CODIGO]],LISTADO[CODIGOS],LISTADO[UBICACIÓN]),"NO EXISTE")</f>
        <v/>
      </c>
      <c r="F242" s="56">
        <f>SUMIFS(ENTRADAS[CANTIDAD],ENTRADAS[CODIGO],PRODUCTOS[[#This Row],[CODIGO]])</f>
        <v/>
      </c>
      <c r="G242" s="56">
        <f>SUMIFS(SALIDAS[CANTIDAD],SALIDAS[CODIGO],PRODUCTOS[[#This Row],[CODIGO]])</f>
        <v/>
      </c>
      <c r="H242" s="56">
        <f>PRODUCTOS[[#This Row],[ENTRADAS]]-PRODUCTOS[[#This Row],[SALIDAS ]]</f>
        <v/>
      </c>
      <c r="I242" s="76" t="n">
        <v>0</v>
      </c>
      <c r="J242">
        <f>IF(PRODUCTOS[[#This Row],[STOCK]]&lt;0,"NEGATIVO",IF(PRODUCTOS[[#This Row],[STOCK]]=0,"SIN STOCK",IF(PRODUCTOS[[#This Row],[STOCK]]&lt;=PRODUCTOS[[#This Row],[STOCK MÍN.]],"BAJO","OK")))</f>
        <v/>
      </c>
      <c r="K2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43" hidden="1" s="11">
      <c r="A243" s="18" t="n">
        <v>228</v>
      </c>
      <c r="B243" s="56" t="inlineStr">
        <is>
          <t>00048-FER</t>
        </is>
      </c>
      <c r="C243" s="56">
        <f>IFERROR(_xlfn.XLOOKUP(PRODUCTOS[[#This Row],[CODIGO]],LISTADO[CODIGOS],LISTADO[CATEGORIA]),"NO EXISTE")</f>
        <v/>
      </c>
      <c r="D243" s="56">
        <f>IFERROR(_xlfn.XLOOKUP(PRODUCTOS[[#This Row],[CODIGO]],LISTADO[CODIGOS],LISTADO[PRODUCTOS]),"NO EXISTE")</f>
        <v/>
      </c>
      <c r="E243" s="56">
        <f>IFERROR(_xlfn.XLOOKUP(PRODUCTOS[[#This Row],[CODIGO]],LISTADO[CODIGOS],LISTADO[UBICACIÓN]),"NO EXISTE")</f>
        <v/>
      </c>
      <c r="F243" s="56">
        <f>SUMIFS(ENTRADAS[CANTIDAD],ENTRADAS[CODIGO],PRODUCTOS[[#This Row],[CODIGO]])</f>
        <v/>
      </c>
      <c r="G243" s="56">
        <f>SUMIFS(SALIDAS[CANTIDAD],SALIDAS[CODIGO],PRODUCTOS[[#This Row],[CODIGO]])</f>
        <v/>
      </c>
      <c r="H243" s="56">
        <f>PRODUCTOS[[#This Row],[ENTRADAS]]-PRODUCTOS[[#This Row],[SALIDAS ]]</f>
        <v/>
      </c>
      <c r="I243" s="76" t="n">
        <v>0</v>
      </c>
      <c r="J243">
        <f>IF(PRODUCTOS[[#This Row],[STOCK]]&lt;0,"NEGATIVO",IF(PRODUCTOS[[#This Row],[STOCK]]=0,"SIN STOCK",IF(PRODUCTOS[[#This Row],[STOCK]]&lt;=PRODUCTOS[[#This Row],[STOCK MÍN.]],"BAJO","OK")))</f>
        <v/>
      </c>
      <c r="K2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44" hidden="1" s="11">
      <c r="A244" s="18" t="n">
        <v>229</v>
      </c>
      <c r="B244" s="56" t="inlineStr">
        <is>
          <t>00049-FER</t>
        </is>
      </c>
      <c r="C244" s="56">
        <f>IFERROR(_xlfn.XLOOKUP(PRODUCTOS[[#This Row],[CODIGO]],LISTADO[CODIGOS],LISTADO[CATEGORIA]),"NO EXISTE")</f>
        <v/>
      </c>
      <c r="D244" s="56">
        <f>IFERROR(_xlfn.XLOOKUP(PRODUCTOS[[#This Row],[CODIGO]],LISTADO[CODIGOS],LISTADO[PRODUCTOS]),"NO EXISTE")</f>
        <v/>
      </c>
      <c r="E244" s="56">
        <f>IFERROR(_xlfn.XLOOKUP(PRODUCTOS[[#This Row],[CODIGO]],LISTADO[CODIGOS],LISTADO[UBICACIÓN]),"NO EXISTE")</f>
        <v/>
      </c>
      <c r="F244" s="56">
        <f>SUMIFS(ENTRADAS[CANTIDAD],ENTRADAS[CODIGO],PRODUCTOS[[#This Row],[CODIGO]])</f>
        <v/>
      </c>
      <c r="G244" s="56">
        <f>SUMIFS(SALIDAS[CANTIDAD],SALIDAS[CODIGO],PRODUCTOS[[#This Row],[CODIGO]])</f>
        <v/>
      </c>
      <c r="H244" s="56">
        <f>PRODUCTOS[[#This Row],[ENTRADAS]]-PRODUCTOS[[#This Row],[SALIDAS ]]</f>
        <v/>
      </c>
      <c r="I244" s="76" t="n">
        <v>0</v>
      </c>
      <c r="J244">
        <f>IF(PRODUCTOS[[#This Row],[STOCK]]&lt;0,"NEGATIVO",IF(PRODUCTOS[[#This Row],[STOCK]]=0,"SIN STOCK",IF(PRODUCTOS[[#This Row],[STOCK]]&lt;=PRODUCTOS[[#This Row],[STOCK MÍN.]],"BAJO","OK")))</f>
        <v/>
      </c>
      <c r="K2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45" hidden="1" s="11">
      <c r="A245" s="18" t="n">
        <v>230</v>
      </c>
      <c r="B245" s="56" t="inlineStr">
        <is>
          <t>00050-FER</t>
        </is>
      </c>
      <c r="C245" s="56">
        <f>IFERROR(_xlfn.XLOOKUP(PRODUCTOS[[#This Row],[CODIGO]],LISTADO[CODIGOS],LISTADO[CATEGORIA]),"NO EXISTE")</f>
        <v/>
      </c>
      <c r="D245" s="56">
        <f>IFERROR(_xlfn.XLOOKUP(PRODUCTOS[[#This Row],[CODIGO]],LISTADO[CODIGOS],LISTADO[PRODUCTOS]),"NO EXISTE")</f>
        <v/>
      </c>
      <c r="E245" s="56">
        <f>IFERROR(_xlfn.XLOOKUP(PRODUCTOS[[#This Row],[CODIGO]],LISTADO[CODIGOS],LISTADO[UBICACIÓN]),"NO EXISTE")</f>
        <v/>
      </c>
      <c r="F245" s="56">
        <f>SUMIFS(ENTRADAS[CANTIDAD],ENTRADAS[CODIGO],PRODUCTOS[[#This Row],[CODIGO]])</f>
        <v/>
      </c>
      <c r="G245" s="56">
        <f>SUMIFS(SALIDAS[CANTIDAD],SALIDAS[CODIGO],PRODUCTOS[[#This Row],[CODIGO]])</f>
        <v/>
      </c>
      <c r="H245" s="56">
        <f>PRODUCTOS[[#This Row],[ENTRADAS]]-PRODUCTOS[[#This Row],[SALIDAS ]]</f>
        <v/>
      </c>
      <c r="I245" s="76" t="n">
        <v>0</v>
      </c>
      <c r="J245">
        <f>IF(PRODUCTOS[[#This Row],[STOCK]]&lt;0,"NEGATIVO",IF(PRODUCTOS[[#This Row],[STOCK]]=0,"SIN STOCK",IF(PRODUCTOS[[#This Row],[STOCK]]&lt;=PRODUCTOS[[#This Row],[STOCK MÍN.]],"BAJO","OK")))</f>
        <v/>
      </c>
      <c r="K2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46" hidden="1" s="11">
      <c r="A246" s="18" t="n">
        <v>231</v>
      </c>
      <c r="B246" s="56" t="inlineStr">
        <is>
          <t>00051-FER</t>
        </is>
      </c>
      <c r="C246" s="56">
        <f>IFERROR(_xlfn.XLOOKUP(PRODUCTOS[[#This Row],[CODIGO]],LISTADO[CODIGOS],LISTADO[CATEGORIA]),"NO EXISTE")</f>
        <v/>
      </c>
      <c r="D246" s="56">
        <f>IFERROR(_xlfn.XLOOKUP(PRODUCTOS[[#This Row],[CODIGO]],LISTADO[CODIGOS],LISTADO[PRODUCTOS]),"NO EXISTE")</f>
        <v/>
      </c>
      <c r="E246" s="56">
        <f>IFERROR(_xlfn.XLOOKUP(PRODUCTOS[[#This Row],[CODIGO]],LISTADO[CODIGOS],LISTADO[UBICACIÓN]),"NO EXISTE")</f>
        <v/>
      </c>
      <c r="F246" s="56">
        <f>SUMIFS(ENTRADAS[CANTIDAD],ENTRADAS[CODIGO],PRODUCTOS[[#This Row],[CODIGO]])</f>
        <v/>
      </c>
      <c r="G246" s="56">
        <f>SUMIFS(SALIDAS[CANTIDAD],SALIDAS[CODIGO],PRODUCTOS[[#This Row],[CODIGO]])</f>
        <v/>
      </c>
      <c r="H246" s="56">
        <f>PRODUCTOS[[#This Row],[ENTRADAS]]-PRODUCTOS[[#This Row],[SALIDAS ]]</f>
        <v/>
      </c>
      <c r="I246" s="76" t="n">
        <v>0</v>
      </c>
      <c r="J246">
        <f>IF(PRODUCTOS[[#This Row],[STOCK]]&lt;0,"NEGATIVO",IF(PRODUCTOS[[#This Row],[STOCK]]=0,"SIN STOCK",IF(PRODUCTOS[[#This Row],[STOCK]]&lt;=PRODUCTOS[[#This Row],[STOCK MÍN.]],"BAJO","OK")))</f>
        <v/>
      </c>
      <c r="K2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47" hidden="1" s="11">
      <c r="A247" s="18" t="n">
        <v>232</v>
      </c>
      <c r="B247" s="56" t="inlineStr">
        <is>
          <t>00009-MSC</t>
        </is>
      </c>
      <c r="C247" s="56">
        <f>IFERROR(_xlfn.XLOOKUP(PRODUCTOS[[#This Row],[CODIGO]],LISTADO[CODIGOS],LISTADO[CATEGORIA]),"NO EXISTE")</f>
        <v/>
      </c>
      <c r="D247" s="56">
        <f>IFERROR(_xlfn.XLOOKUP(PRODUCTOS[[#This Row],[CODIGO]],LISTADO[CODIGOS],LISTADO[PRODUCTOS]),"NO EXISTE")</f>
        <v/>
      </c>
      <c r="E247" s="56">
        <f>IFERROR(_xlfn.XLOOKUP(PRODUCTOS[[#This Row],[CODIGO]],LISTADO[CODIGOS],LISTADO[UBICACIÓN]),"NO EXISTE")</f>
        <v/>
      </c>
      <c r="F247" s="56">
        <f>SUMIFS(ENTRADAS[CANTIDAD],ENTRADAS[CODIGO],PRODUCTOS[[#This Row],[CODIGO]])</f>
        <v/>
      </c>
      <c r="G247" s="56">
        <f>SUMIFS(SALIDAS[CANTIDAD],SALIDAS[CODIGO],PRODUCTOS[[#This Row],[CODIGO]])</f>
        <v/>
      </c>
      <c r="H247" s="56">
        <f>PRODUCTOS[[#This Row],[ENTRADAS]]-PRODUCTOS[[#This Row],[SALIDAS ]]</f>
        <v/>
      </c>
      <c r="I247" s="76" t="n">
        <v>0</v>
      </c>
      <c r="J247">
        <f>IF(PRODUCTOS[[#This Row],[STOCK]]&lt;0,"NEGATIVO",IF(PRODUCTOS[[#This Row],[STOCK]]=0,"SIN STOCK",IF(PRODUCTOS[[#This Row],[STOCK]]&lt;=PRODUCTOS[[#This Row],[STOCK MÍN.]],"BAJO","OK")))</f>
        <v/>
      </c>
      <c r="K2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48" hidden="1" s="11">
      <c r="A248" s="18" t="n">
        <v>233</v>
      </c>
      <c r="B248" s="56" t="inlineStr">
        <is>
          <t>00010-MSC</t>
        </is>
      </c>
      <c r="C248" s="56">
        <f>IFERROR(_xlfn.XLOOKUP(PRODUCTOS[[#This Row],[CODIGO]],LISTADO[CODIGOS],LISTADO[CATEGORIA]),"NO EXISTE")</f>
        <v/>
      </c>
      <c r="D248" s="56">
        <f>IFERROR(_xlfn.XLOOKUP(PRODUCTOS[[#This Row],[CODIGO]],LISTADO[CODIGOS],LISTADO[PRODUCTOS]),"NO EXISTE")</f>
        <v/>
      </c>
      <c r="E248" s="56">
        <f>IFERROR(_xlfn.XLOOKUP(PRODUCTOS[[#This Row],[CODIGO]],LISTADO[CODIGOS],LISTADO[UBICACIÓN]),"NO EXISTE")</f>
        <v/>
      </c>
      <c r="F248" s="56">
        <f>SUMIFS(ENTRADAS[CANTIDAD],ENTRADAS[CODIGO],PRODUCTOS[[#This Row],[CODIGO]])</f>
        <v/>
      </c>
      <c r="G248" s="56">
        <f>SUMIFS(SALIDAS[CANTIDAD],SALIDAS[CODIGO],PRODUCTOS[[#This Row],[CODIGO]])</f>
        <v/>
      </c>
      <c r="H248" s="56">
        <f>PRODUCTOS[[#This Row],[ENTRADAS]]-PRODUCTOS[[#This Row],[SALIDAS ]]</f>
        <v/>
      </c>
      <c r="I248" s="76" t="n">
        <v>0</v>
      </c>
      <c r="J248">
        <f>IF(PRODUCTOS[[#This Row],[STOCK]]&lt;0,"NEGATIVO",IF(PRODUCTOS[[#This Row],[STOCK]]=0,"SIN STOCK",IF(PRODUCTOS[[#This Row],[STOCK]]&lt;=PRODUCTOS[[#This Row],[STOCK MÍN.]],"BAJO","OK")))</f>
        <v/>
      </c>
      <c r="K2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49" hidden="1" s="11">
      <c r="A249" s="18" t="n">
        <v>234</v>
      </c>
      <c r="B249" s="56" t="inlineStr">
        <is>
          <t>00011-MSC</t>
        </is>
      </c>
      <c r="C249" s="56">
        <f>IFERROR(_xlfn.XLOOKUP(PRODUCTOS[[#This Row],[CODIGO]],LISTADO[CODIGOS],LISTADO[CATEGORIA]),"NO EXISTE")</f>
        <v/>
      </c>
      <c r="D249" s="56">
        <f>IFERROR(_xlfn.XLOOKUP(PRODUCTOS[[#This Row],[CODIGO]],LISTADO[CODIGOS],LISTADO[PRODUCTOS]),"NO EXISTE")</f>
        <v/>
      </c>
      <c r="E249" s="56">
        <f>IFERROR(_xlfn.XLOOKUP(PRODUCTOS[[#This Row],[CODIGO]],LISTADO[CODIGOS],LISTADO[UBICACIÓN]),"NO EXISTE")</f>
        <v/>
      </c>
      <c r="F249" s="56">
        <f>SUMIFS(ENTRADAS[CANTIDAD],ENTRADAS[CODIGO],PRODUCTOS[[#This Row],[CODIGO]])</f>
        <v/>
      </c>
      <c r="G249" s="56">
        <f>SUMIFS(SALIDAS[CANTIDAD],SALIDAS[CODIGO],PRODUCTOS[[#This Row],[CODIGO]])</f>
        <v/>
      </c>
      <c r="H249" s="56">
        <f>PRODUCTOS[[#This Row],[ENTRADAS]]-PRODUCTOS[[#This Row],[SALIDAS ]]</f>
        <v/>
      </c>
      <c r="I249" s="76" t="n">
        <v>0</v>
      </c>
      <c r="J249">
        <f>IF(PRODUCTOS[[#This Row],[STOCK]]&lt;0,"NEGATIVO",IF(PRODUCTOS[[#This Row],[STOCK]]=0,"SIN STOCK",IF(PRODUCTOS[[#This Row],[STOCK]]&lt;=PRODUCTOS[[#This Row],[STOCK MÍN.]],"BAJO","OK")))</f>
        <v/>
      </c>
      <c r="K2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50" hidden="1" s="11">
      <c r="A250" s="18" t="n">
        <v>235</v>
      </c>
      <c r="B250" s="56" t="inlineStr">
        <is>
          <t>00064-HER</t>
        </is>
      </c>
      <c r="C250" s="56">
        <f>IFERROR(_xlfn.XLOOKUP(PRODUCTOS[[#This Row],[CODIGO]],LISTADO[CODIGOS],LISTADO[CATEGORIA]),"NO EXISTE")</f>
        <v/>
      </c>
      <c r="D250" s="56">
        <f>IFERROR(_xlfn.XLOOKUP(PRODUCTOS[[#This Row],[CODIGO]],LISTADO[CODIGOS],LISTADO[PRODUCTOS]),"NO EXISTE")</f>
        <v/>
      </c>
      <c r="E250" s="56">
        <f>IFERROR(_xlfn.XLOOKUP(PRODUCTOS[[#This Row],[CODIGO]],LISTADO[CODIGOS],LISTADO[UBICACIÓN]),"NO EXISTE")</f>
        <v/>
      </c>
      <c r="F250" s="56">
        <f>SUMIFS(ENTRADAS[CANTIDAD],ENTRADAS[CODIGO],PRODUCTOS[[#This Row],[CODIGO]])</f>
        <v/>
      </c>
      <c r="G250" s="56">
        <f>SUMIFS(SALIDAS[CANTIDAD],SALIDAS[CODIGO],PRODUCTOS[[#This Row],[CODIGO]])</f>
        <v/>
      </c>
      <c r="H250" s="56">
        <f>PRODUCTOS[[#This Row],[ENTRADAS]]-PRODUCTOS[[#This Row],[SALIDAS ]]</f>
        <v/>
      </c>
      <c r="I250" s="76" t="n">
        <v>0</v>
      </c>
      <c r="J250">
        <f>IF(PRODUCTOS[[#This Row],[STOCK]]&lt;0,"NEGATIVO",IF(PRODUCTOS[[#This Row],[STOCK]]=0,"SIN STOCK",IF(PRODUCTOS[[#This Row],[STOCK]]&lt;=PRODUCTOS[[#This Row],[STOCK MÍN.]],"BAJO","OK")))</f>
        <v/>
      </c>
      <c r="K2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51" hidden="1" s="11">
      <c r="A251" s="18" t="n">
        <v>236</v>
      </c>
      <c r="B251" s="56" t="inlineStr">
        <is>
          <t>00023-OFC</t>
        </is>
      </c>
      <c r="C251" s="56">
        <f>IFERROR(_xlfn.XLOOKUP(PRODUCTOS[[#This Row],[CODIGO]],LISTADO[CODIGOS],LISTADO[CATEGORIA]),"NO EXISTE")</f>
        <v/>
      </c>
      <c r="D251" s="56">
        <f>IFERROR(_xlfn.XLOOKUP(PRODUCTOS[[#This Row],[CODIGO]],LISTADO[CODIGOS],LISTADO[PRODUCTOS]),"NO EXISTE")</f>
        <v/>
      </c>
      <c r="E251" s="56">
        <f>IFERROR(_xlfn.XLOOKUP(PRODUCTOS[[#This Row],[CODIGO]],LISTADO[CODIGOS],LISTADO[UBICACIÓN]),"NO EXISTE")</f>
        <v/>
      </c>
      <c r="F251" s="56">
        <f>SUMIFS(ENTRADAS[CANTIDAD],ENTRADAS[CODIGO],PRODUCTOS[[#This Row],[CODIGO]])</f>
        <v/>
      </c>
      <c r="G251" s="56">
        <f>SUMIFS(SALIDAS[CANTIDAD],SALIDAS[CODIGO],PRODUCTOS[[#This Row],[CODIGO]])</f>
        <v/>
      </c>
      <c r="H251" s="56">
        <f>PRODUCTOS[[#This Row],[ENTRADAS]]-PRODUCTOS[[#This Row],[SALIDAS ]]</f>
        <v/>
      </c>
      <c r="I251" s="76" t="n">
        <v>0</v>
      </c>
      <c r="J251">
        <f>IF(PRODUCTOS[[#This Row],[STOCK]]&lt;0,"NEGATIVO",IF(PRODUCTOS[[#This Row],[STOCK]]=0,"SIN STOCK",IF(PRODUCTOS[[#This Row],[STOCK]]&lt;=PRODUCTOS[[#This Row],[STOCK MÍN.]],"BAJO","OK")))</f>
        <v/>
      </c>
      <c r="K2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52" hidden="1" s="11">
      <c r="A252" s="18" t="n">
        <v>237</v>
      </c>
      <c r="B252" s="56" t="inlineStr">
        <is>
          <t>00024-OFC</t>
        </is>
      </c>
      <c r="C252" s="56">
        <f>IFERROR(_xlfn.XLOOKUP(PRODUCTOS[[#This Row],[CODIGO]],LISTADO[CODIGOS],LISTADO[CATEGORIA]),"NO EXISTE")</f>
        <v/>
      </c>
      <c r="D252" s="56">
        <f>IFERROR(_xlfn.XLOOKUP(PRODUCTOS[[#This Row],[CODIGO]],LISTADO[CODIGOS],LISTADO[PRODUCTOS]),"NO EXISTE")</f>
        <v/>
      </c>
      <c r="E252" s="56">
        <f>IFERROR(_xlfn.XLOOKUP(PRODUCTOS[[#This Row],[CODIGO]],LISTADO[CODIGOS],LISTADO[UBICACIÓN]),"NO EXISTE")</f>
        <v/>
      </c>
      <c r="F252" s="56">
        <f>SUMIFS(ENTRADAS[CANTIDAD],ENTRADAS[CODIGO],PRODUCTOS[[#This Row],[CODIGO]])</f>
        <v/>
      </c>
      <c r="G252" s="56">
        <f>SUMIFS(SALIDAS[CANTIDAD],SALIDAS[CODIGO],PRODUCTOS[[#This Row],[CODIGO]])</f>
        <v/>
      </c>
      <c r="H252" s="56">
        <f>PRODUCTOS[[#This Row],[ENTRADAS]]-PRODUCTOS[[#This Row],[SALIDAS ]]</f>
        <v/>
      </c>
      <c r="I252" s="76" t="n">
        <v>0</v>
      </c>
      <c r="J252">
        <f>IF(PRODUCTOS[[#This Row],[STOCK]]&lt;0,"NEGATIVO",IF(PRODUCTOS[[#This Row],[STOCK]]=0,"SIN STOCK",IF(PRODUCTOS[[#This Row],[STOCK]]&lt;=PRODUCTOS[[#This Row],[STOCK MÍN.]],"BAJO","OK")))</f>
        <v/>
      </c>
      <c r="K2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53" hidden="1" s="11">
      <c r="A253" s="18" t="n">
        <v>238</v>
      </c>
      <c r="B253" s="56" t="inlineStr">
        <is>
          <t>00065-HER</t>
        </is>
      </c>
      <c r="C253" s="56">
        <f>IFERROR(_xlfn.XLOOKUP(PRODUCTOS[[#This Row],[CODIGO]],LISTADO[CODIGOS],LISTADO[CATEGORIA]),"NO EXISTE")</f>
        <v/>
      </c>
      <c r="D253" s="56">
        <f>IFERROR(_xlfn.XLOOKUP(PRODUCTOS[[#This Row],[CODIGO]],LISTADO[CODIGOS],LISTADO[PRODUCTOS]),"NO EXISTE")</f>
        <v/>
      </c>
      <c r="E253" s="56">
        <f>IFERROR(_xlfn.XLOOKUP(PRODUCTOS[[#This Row],[CODIGO]],LISTADO[CODIGOS],LISTADO[UBICACIÓN]),"NO EXISTE")</f>
        <v/>
      </c>
      <c r="F253" s="56">
        <f>SUMIFS(ENTRADAS[CANTIDAD],ENTRADAS[CODIGO],PRODUCTOS[[#This Row],[CODIGO]])</f>
        <v/>
      </c>
      <c r="G253" s="56">
        <f>SUMIFS(SALIDAS[CANTIDAD],SALIDAS[CODIGO],PRODUCTOS[[#This Row],[CODIGO]])</f>
        <v/>
      </c>
      <c r="H253" s="56">
        <f>PRODUCTOS[[#This Row],[ENTRADAS]]-PRODUCTOS[[#This Row],[SALIDAS ]]</f>
        <v/>
      </c>
      <c r="I253" s="76" t="n">
        <v>0</v>
      </c>
      <c r="J253">
        <f>IF(PRODUCTOS[[#This Row],[STOCK]]&lt;0,"NEGATIVO",IF(PRODUCTOS[[#This Row],[STOCK]]=0,"SIN STOCK",IF(PRODUCTOS[[#This Row],[STOCK]]&lt;=PRODUCTOS[[#This Row],[STOCK MÍN.]],"BAJO","OK")))</f>
        <v/>
      </c>
      <c r="K2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54" hidden="1" s="11">
      <c r="A254" s="18" t="n">
        <v>239</v>
      </c>
      <c r="B254" s="56" t="inlineStr">
        <is>
          <t>00066-HER</t>
        </is>
      </c>
      <c r="C254" s="56">
        <f>IFERROR(_xlfn.XLOOKUP(PRODUCTOS[[#This Row],[CODIGO]],LISTADO[CODIGOS],LISTADO[CATEGORIA]),"NO EXISTE")</f>
        <v/>
      </c>
      <c r="D254" s="56">
        <f>IFERROR(_xlfn.XLOOKUP(PRODUCTOS[[#This Row],[CODIGO]],LISTADO[CODIGOS],LISTADO[PRODUCTOS]),"NO EXISTE")</f>
        <v/>
      </c>
      <c r="E254" s="56">
        <f>IFERROR(_xlfn.XLOOKUP(PRODUCTOS[[#This Row],[CODIGO]],LISTADO[CODIGOS],LISTADO[UBICACIÓN]),"NO EXISTE")</f>
        <v/>
      </c>
      <c r="F254" s="56">
        <f>SUMIFS(ENTRADAS[CANTIDAD],ENTRADAS[CODIGO],PRODUCTOS[[#This Row],[CODIGO]])</f>
        <v/>
      </c>
      <c r="G254" s="56">
        <f>SUMIFS(SALIDAS[CANTIDAD],SALIDAS[CODIGO],PRODUCTOS[[#This Row],[CODIGO]])</f>
        <v/>
      </c>
      <c r="H254" s="56">
        <f>PRODUCTOS[[#This Row],[ENTRADAS]]-PRODUCTOS[[#This Row],[SALIDAS ]]</f>
        <v/>
      </c>
      <c r="I254" s="76" t="n">
        <v>0</v>
      </c>
      <c r="J254">
        <f>IF(PRODUCTOS[[#This Row],[STOCK]]&lt;0,"NEGATIVO",IF(PRODUCTOS[[#This Row],[STOCK]]=0,"SIN STOCK",IF(PRODUCTOS[[#This Row],[STOCK]]&lt;=PRODUCTOS[[#This Row],[STOCK MÍN.]],"BAJO","OK")))</f>
        <v/>
      </c>
      <c r="K2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55" hidden="1" s="11">
      <c r="A255" s="18" t="n">
        <v>240</v>
      </c>
      <c r="B255" s="56" t="inlineStr">
        <is>
          <t>00067-HER</t>
        </is>
      </c>
      <c r="C255" s="56">
        <f>IFERROR(_xlfn.XLOOKUP(PRODUCTOS[[#This Row],[CODIGO]],LISTADO[CODIGOS],LISTADO[CATEGORIA]),"NO EXISTE")</f>
        <v/>
      </c>
      <c r="D255" s="56">
        <f>IFERROR(_xlfn.XLOOKUP(PRODUCTOS[[#This Row],[CODIGO]],LISTADO[CODIGOS],LISTADO[PRODUCTOS]),"NO EXISTE")</f>
        <v/>
      </c>
      <c r="E255" s="56">
        <f>IFERROR(_xlfn.XLOOKUP(PRODUCTOS[[#This Row],[CODIGO]],LISTADO[CODIGOS],LISTADO[UBICACIÓN]),"NO EXISTE")</f>
        <v/>
      </c>
      <c r="F255" s="56">
        <f>SUMIFS(ENTRADAS[CANTIDAD],ENTRADAS[CODIGO],PRODUCTOS[[#This Row],[CODIGO]])</f>
        <v/>
      </c>
      <c r="G255" s="56">
        <f>SUMIFS(SALIDAS[CANTIDAD],SALIDAS[CODIGO],PRODUCTOS[[#This Row],[CODIGO]])</f>
        <v/>
      </c>
      <c r="H255" s="56">
        <f>PRODUCTOS[[#This Row],[ENTRADAS]]-PRODUCTOS[[#This Row],[SALIDAS ]]</f>
        <v/>
      </c>
      <c r="I255" s="76" t="n">
        <v>0</v>
      </c>
      <c r="J255">
        <f>IF(PRODUCTOS[[#This Row],[STOCK]]&lt;0,"NEGATIVO",IF(PRODUCTOS[[#This Row],[STOCK]]=0,"SIN STOCK",IF(PRODUCTOS[[#This Row],[STOCK]]&lt;=PRODUCTOS[[#This Row],[STOCK MÍN.]],"BAJO","OK")))</f>
        <v/>
      </c>
      <c r="K2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56" hidden="1" s="11">
      <c r="A256" s="18" t="n">
        <v>241</v>
      </c>
      <c r="B256" s="56" t="inlineStr">
        <is>
          <t>00011-REF</t>
        </is>
      </c>
      <c r="C256" s="56">
        <f>IFERROR(_xlfn.XLOOKUP(PRODUCTOS[[#This Row],[CODIGO]],LISTADO[CODIGOS],LISTADO[CATEGORIA]),"NO EXISTE")</f>
        <v/>
      </c>
      <c r="D256" s="56">
        <f>IFERROR(_xlfn.XLOOKUP(PRODUCTOS[[#This Row],[CODIGO]],LISTADO[CODIGOS],LISTADO[PRODUCTOS]),"NO EXISTE")</f>
        <v/>
      </c>
      <c r="E256" s="56">
        <f>IFERROR(_xlfn.XLOOKUP(PRODUCTOS[[#This Row],[CODIGO]],LISTADO[CODIGOS],LISTADO[UBICACIÓN]),"NO EXISTE")</f>
        <v/>
      </c>
      <c r="F256" s="56">
        <f>SUMIFS(ENTRADAS[CANTIDAD],ENTRADAS[CODIGO],PRODUCTOS[[#This Row],[CODIGO]])</f>
        <v/>
      </c>
      <c r="G256" s="56">
        <f>SUMIFS(SALIDAS[CANTIDAD],SALIDAS[CODIGO],PRODUCTOS[[#This Row],[CODIGO]])</f>
        <v/>
      </c>
      <c r="H256" s="56">
        <f>PRODUCTOS[[#This Row],[ENTRADAS]]-PRODUCTOS[[#This Row],[SALIDAS ]]</f>
        <v/>
      </c>
      <c r="I256" s="76" t="n">
        <v>0</v>
      </c>
      <c r="J256">
        <f>IF(PRODUCTOS[[#This Row],[STOCK]]&lt;0,"NEGATIVO",IF(PRODUCTOS[[#This Row],[STOCK]]=0,"SIN STOCK",IF(PRODUCTOS[[#This Row],[STOCK]]&lt;=PRODUCTOS[[#This Row],[STOCK MÍN.]],"BAJO","OK")))</f>
        <v/>
      </c>
      <c r="K2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57" hidden="1" s="11">
      <c r="A257" s="18" t="n">
        <v>242</v>
      </c>
      <c r="B257" s="56" t="inlineStr">
        <is>
          <t>00013-ELC</t>
        </is>
      </c>
      <c r="C257" s="56">
        <f>IFERROR(_xlfn.XLOOKUP(PRODUCTOS[[#This Row],[CODIGO]],LISTADO[CODIGOS],LISTADO[CATEGORIA]),"NO EXISTE")</f>
        <v/>
      </c>
      <c r="D257" s="56">
        <f>IFERROR(_xlfn.XLOOKUP(PRODUCTOS[[#This Row],[CODIGO]],LISTADO[CODIGOS],LISTADO[PRODUCTOS]),"NO EXISTE")</f>
        <v/>
      </c>
      <c r="E257" s="56">
        <f>IFERROR(_xlfn.XLOOKUP(PRODUCTOS[[#This Row],[CODIGO]],LISTADO[CODIGOS],LISTADO[UBICACIÓN]),"NO EXISTE")</f>
        <v/>
      </c>
      <c r="F257" s="56">
        <f>SUMIFS(ENTRADAS[CANTIDAD],ENTRADAS[CODIGO],PRODUCTOS[[#This Row],[CODIGO]])</f>
        <v/>
      </c>
      <c r="G257" s="56">
        <f>SUMIFS(SALIDAS[CANTIDAD],SALIDAS[CODIGO],PRODUCTOS[[#This Row],[CODIGO]])</f>
        <v/>
      </c>
      <c r="H257" s="56">
        <f>PRODUCTOS[[#This Row],[ENTRADAS]]-PRODUCTOS[[#This Row],[SALIDAS ]]</f>
        <v/>
      </c>
      <c r="I257" s="76" t="n">
        <v>0</v>
      </c>
      <c r="J257">
        <f>IF(PRODUCTOS[[#This Row],[STOCK]]&lt;0,"NEGATIVO",IF(PRODUCTOS[[#This Row],[STOCK]]=0,"SIN STOCK",IF(PRODUCTOS[[#This Row],[STOCK]]&lt;=PRODUCTOS[[#This Row],[STOCK MÍN.]],"BAJO","OK")))</f>
        <v/>
      </c>
      <c r="K2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58" hidden="1" s="11">
      <c r="A258" s="18" t="n">
        <v>243</v>
      </c>
      <c r="B258" s="56" t="inlineStr">
        <is>
          <t>00014-ELC</t>
        </is>
      </c>
      <c r="C258" s="56">
        <f>IFERROR(_xlfn.XLOOKUP(PRODUCTOS[[#This Row],[CODIGO]],LISTADO[CODIGOS],LISTADO[CATEGORIA]),"NO EXISTE")</f>
        <v/>
      </c>
      <c r="D258" s="56">
        <f>IFERROR(_xlfn.XLOOKUP(PRODUCTOS[[#This Row],[CODIGO]],LISTADO[CODIGOS],LISTADO[PRODUCTOS]),"NO EXISTE")</f>
        <v/>
      </c>
      <c r="E258" s="56">
        <f>IFERROR(_xlfn.XLOOKUP(PRODUCTOS[[#This Row],[CODIGO]],LISTADO[CODIGOS],LISTADO[UBICACIÓN]),"NO EXISTE")</f>
        <v/>
      </c>
      <c r="F258" s="56">
        <f>SUMIFS(ENTRADAS[CANTIDAD],ENTRADAS[CODIGO],PRODUCTOS[[#This Row],[CODIGO]])</f>
        <v/>
      </c>
      <c r="G258" s="56">
        <f>SUMIFS(SALIDAS[CANTIDAD],SALIDAS[CODIGO],PRODUCTOS[[#This Row],[CODIGO]])</f>
        <v/>
      </c>
      <c r="H258" s="56">
        <f>PRODUCTOS[[#This Row],[ENTRADAS]]-PRODUCTOS[[#This Row],[SALIDAS ]]</f>
        <v/>
      </c>
      <c r="I258" s="76" t="n">
        <v>0</v>
      </c>
      <c r="J258">
        <f>IF(PRODUCTOS[[#This Row],[STOCK]]&lt;0,"NEGATIVO",IF(PRODUCTOS[[#This Row],[STOCK]]=0,"SIN STOCK",IF(PRODUCTOS[[#This Row],[STOCK]]&lt;=PRODUCTOS[[#This Row],[STOCK MÍN.]],"BAJO","OK")))</f>
        <v/>
      </c>
      <c r="K2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59" hidden="1" s="11">
      <c r="A259" s="18" t="n">
        <v>244</v>
      </c>
      <c r="B259" s="56" t="inlineStr">
        <is>
          <t>00015-ELC</t>
        </is>
      </c>
      <c r="C259" s="56">
        <f>IFERROR(_xlfn.XLOOKUP(PRODUCTOS[[#This Row],[CODIGO]],LISTADO[CODIGOS],LISTADO[CATEGORIA]),"NO EXISTE")</f>
        <v/>
      </c>
      <c r="D259" s="56">
        <f>IFERROR(_xlfn.XLOOKUP(PRODUCTOS[[#This Row],[CODIGO]],LISTADO[CODIGOS],LISTADO[PRODUCTOS]),"NO EXISTE")</f>
        <v/>
      </c>
      <c r="E259" s="56">
        <f>IFERROR(_xlfn.XLOOKUP(PRODUCTOS[[#This Row],[CODIGO]],LISTADO[CODIGOS],LISTADO[UBICACIÓN]),"NO EXISTE")</f>
        <v/>
      </c>
      <c r="F259" s="56">
        <f>SUMIFS(ENTRADAS[CANTIDAD],ENTRADAS[CODIGO],PRODUCTOS[[#This Row],[CODIGO]])</f>
        <v/>
      </c>
      <c r="G259" s="56">
        <f>SUMIFS(SALIDAS[CANTIDAD],SALIDAS[CODIGO],PRODUCTOS[[#This Row],[CODIGO]])</f>
        <v/>
      </c>
      <c r="H259" s="56">
        <f>PRODUCTOS[[#This Row],[ENTRADAS]]-PRODUCTOS[[#This Row],[SALIDAS ]]</f>
        <v/>
      </c>
      <c r="I259" s="76" t="n">
        <v>0</v>
      </c>
      <c r="J259">
        <f>IF(PRODUCTOS[[#This Row],[STOCK]]&lt;0,"NEGATIVO",IF(PRODUCTOS[[#This Row],[STOCK]]=0,"SIN STOCK",IF(PRODUCTOS[[#This Row],[STOCK]]&lt;=PRODUCTOS[[#This Row],[STOCK MÍN.]],"BAJO","OK")))</f>
        <v/>
      </c>
      <c r="K2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60" hidden="1" s="11">
      <c r="A260" s="18" t="n">
        <v>245</v>
      </c>
      <c r="B260" s="56" t="inlineStr">
        <is>
          <t>00016-ELC</t>
        </is>
      </c>
      <c r="C260" s="56">
        <f>IFERROR(_xlfn.XLOOKUP(PRODUCTOS[[#This Row],[CODIGO]],LISTADO[CODIGOS],LISTADO[CATEGORIA]),"NO EXISTE")</f>
        <v/>
      </c>
      <c r="D260" s="56">
        <f>IFERROR(_xlfn.XLOOKUP(PRODUCTOS[[#This Row],[CODIGO]],LISTADO[CODIGOS],LISTADO[PRODUCTOS]),"NO EXISTE")</f>
        <v/>
      </c>
      <c r="E260" s="56">
        <f>IFERROR(_xlfn.XLOOKUP(PRODUCTOS[[#This Row],[CODIGO]],LISTADO[CODIGOS],LISTADO[UBICACIÓN]),"NO EXISTE")</f>
        <v/>
      </c>
      <c r="F260" s="56">
        <f>SUMIFS(ENTRADAS[CANTIDAD],ENTRADAS[CODIGO],PRODUCTOS[[#This Row],[CODIGO]])</f>
        <v/>
      </c>
      <c r="G260" s="56">
        <f>SUMIFS(SALIDAS[CANTIDAD],SALIDAS[CODIGO],PRODUCTOS[[#This Row],[CODIGO]])</f>
        <v/>
      </c>
      <c r="H260" s="56">
        <f>PRODUCTOS[[#This Row],[ENTRADAS]]-PRODUCTOS[[#This Row],[SALIDAS ]]</f>
        <v/>
      </c>
      <c r="I260" s="76" t="n">
        <v>0</v>
      </c>
      <c r="J260">
        <f>IF(PRODUCTOS[[#This Row],[STOCK]]&lt;0,"NEGATIVO",IF(PRODUCTOS[[#This Row],[STOCK]]=0,"SIN STOCK",IF(PRODUCTOS[[#This Row],[STOCK]]&lt;=PRODUCTOS[[#This Row],[STOCK MÍN.]],"BAJO","OK")))</f>
        <v/>
      </c>
      <c r="K2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61" hidden="1" s="11">
      <c r="A261" s="18" t="n">
        <v>246</v>
      </c>
      <c r="B261" s="56" t="inlineStr">
        <is>
          <t>00017-ELC</t>
        </is>
      </c>
      <c r="C261" s="56">
        <f>IFERROR(_xlfn.XLOOKUP(PRODUCTOS[[#This Row],[CODIGO]],LISTADO[CODIGOS],LISTADO[CATEGORIA]),"NO EXISTE")</f>
        <v/>
      </c>
      <c r="D261" s="56">
        <f>IFERROR(_xlfn.XLOOKUP(PRODUCTOS[[#This Row],[CODIGO]],LISTADO[CODIGOS],LISTADO[PRODUCTOS]),"NO EXISTE")</f>
        <v/>
      </c>
      <c r="E261" s="56">
        <f>IFERROR(_xlfn.XLOOKUP(PRODUCTOS[[#This Row],[CODIGO]],LISTADO[CODIGOS],LISTADO[UBICACIÓN]),"NO EXISTE")</f>
        <v/>
      </c>
      <c r="F261" s="56">
        <f>SUMIFS(ENTRADAS[CANTIDAD],ENTRADAS[CODIGO],PRODUCTOS[[#This Row],[CODIGO]])</f>
        <v/>
      </c>
      <c r="G261" s="56">
        <f>SUMIFS(SALIDAS[CANTIDAD],SALIDAS[CODIGO],PRODUCTOS[[#This Row],[CODIGO]])</f>
        <v/>
      </c>
      <c r="H261" s="56">
        <f>PRODUCTOS[[#This Row],[ENTRADAS]]-PRODUCTOS[[#This Row],[SALIDAS ]]</f>
        <v/>
      </c>
      <c r="I261" s="76" t="n">
        <v>0</v>
      </c>
      <c r="J261">
        <f>IF(PRODUCTOS[[#This Row],[STOCK]]&lt;0,"NEGATIVO",IF(PRODUCTOS[[#This Row],[STOCK]]=0,"SIN STOCK",IF(PRODUCTOS[[#This Row],[STOCK]]&lt;=PRODUCTOS[[#This Row],[STOCK MÍN.]],"BAJO","OK")))</f>
        <v/>
      </c>
      <c r="K2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62" hidden="1" s="11">
      <c r="A262" s="18" t="n">
        <v>247</v>
      </c>
      <c r="B262" s="56" t="inlineStr">
        <is>
          <t>00018-ELC</t>
        </is>
      </c>
      <c r="C262" s="56">
        <f>IFERROR(_xlfn.XLOOKUP(PRODUCTOS[[#This Row],[CODIGO]],LISTADO[CODIGOS],LISTADO[CATEGORIA]),"NO EXISTE")</f>
        <v/>
      </c>
      <c r="D262" s="56">
        <f>IFERROR(_xlfn.XLOOKUP(PRODUCTOS[[#This Row],[CODIGO]],LISTADO[CODIGOS],LISTADO[PRODUCTOS]),"NO EXISTE")</f>
        <v/>
      </c>
      <c r="E262" s="56">
        <f>IFERROR(_xlfn.XLOOKUP(PRODUCTOS[[#This Row],[CODIGO]],LISTADO[CODIGOS],LISTADO[UBICACIÓN]),"NO EXISTE")</f>
        <v/>
      </c>
      <c r="F262" s="56">
        <f>SUMIFS(ENTRADAS[CANTIDAD],ENTRADAS[CODIGO],PRODUCTOS[[#This Row],[CODIGO]])</f>
        <v/>
      </c>
      <c r="G262" s="56">
        <f>SUMIFS(SALIDAS[CANTIDAD],SALIDAS[CODIGO],PRODUCTOS[[#This Row],[CODIGO]])</f>
        <v/>
      </c>
      <c r="H262" s="56">
        <f>PRODUCTOS[[#This Row],[ENTRADAS]]-PRODUCTOS[[#This Row],[SALIDAS ]]</f>
        <v/>
      </c>
      <c r="I262" s="76" t="n">
        <v>0</v>
      </c>
      <c r="J262">
        <f>IF(PRODUCTOS[[#This Row],[STOCK]]&lt;0,"NEGATIVO",IF(PRODUCTOS[[#This Row],[STOCK]]=0,"SIN STOCK",IF(PRODUCTOS[[#This Row],[STOCK]]&lt;=PRODUCTOS[[#This Row],[STOCK MÍN.]],"BAJO","OK")))</f>
        <v/>
      </c>
      <c r="K2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63" hidden="1" s="11">
      <c r="A263" s="18" t="n">
        <v>248</v>
      </c>
      <c r="B263" s="56" t="inlineStr">
        <is>
          <t>00019-ELC</t>
        </is>
      </c>
      <c r="C263" s="56">
        <f>IFERROR(_xlfn.XLOOKUP(PRODUCTOS[[#This Row],[CODIGO]],LISTADO[CODIGOS],LISTADO[CATEGORIA]),"NO EXISTE")</f>
        <v/>
      </c>
      <c r="D263" s="56">
        <f>IFERROR(_xlfn.XLOOKUP(PRODUCTOS[[#This Row],[CODIGO]],LISTADO[CODIGOS],LISTADO[PRODUCTOS]),"NO EXISTE")</f>
        <v/>
      </c>
      <c r="E263" s="56">
        <f>IFERROR(_xlfn.XLOOKUP(PRODUCTOS[[#This Row],[CODIGO]],LISTADO[CODIGOS],LISTADO[UBICACIÓN]),"NO EXISTE")</f>
        <v/>
      </c>
      <c r="F263" s="56">
        <f>SUMIFS(ENTRADAS[CANTIDAD],ENTRADAS[CODIGO],PRODUCTOS[[#This Row],[CODIGO]])</f>
        <v/>
      </c>
      <c r="G263" s="56">
        <f>SUMIFS(SALIDAS[CANTIDAD],SALIDAS[CODIGO],PRODUCTOS[[#This Row],[CODIGO]])</f>
        <v/>
      </c>
      <c r="H263" s="56">
        <f>PRODUCTOS[[#This Row],[ENTRADAS]]-PRODUCTOS[[#This Row],[SALIDAS ]]</f>
        <v/>
      </c>
      <c r="I263" s="76" t="n">
        <v>0</v>
      </c>
      <c r="J263">
        <f>IF(PRODUCTOS[[#This Row],[STOCK]]&lt;0,"NEGATIVO",IF(PRODUCTOS[[#This Row],[STOCK]]=0,"SIN STOCK",IF(PRODUCTOS[[#This Row],[STOCK]]&lt;=PRODUCTOS[[#This Row],[STOCK MÍN.]],"BAJO","OK")))</f>
        <v/>
      </c>
      <c r="K2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64" hidden="1" s="11">
      <c r="A264" s="18" t="n">
        <v>249</v>
      </c>
      <c r="B264" s="56" t="inlineStr">
        <is>
          <t>00011-ELE</t>
        </is>
      </c>
      <c r="C264" s="56">
        <f>IFERROR(_xlfn.XLOOKUP(PRODUCTOS[[#This Row],[CODIGO]],LISTADO[CODIGOS],LISTADO[CATEGORIA]),"NO EXISTE")</f>
        <v/>
      </c>
      <c r="D264" s="56">
        <f>IFERROR(_xlfn.XLOOKUP(PRODUCTOS[[#This Row],[CODIGO]],LISTADO[CODIGOS],LISTADO[PRODUCTOS]),"NO EXISTE")</f>
        <v/>
      </c>
      <c r="E264" s="56">
        <f>IFERROR(_xlfn.XLOOKUP(PRODUCTOS[[#This Row],[CODIGO]],LISTADO[CODIGOS],LISTADO[UBICACIÓN]),"NO EXISTE")</f>
        <v/>
      </c>
      <c r="F264" s="56">
        <f>SUMIFS(ENTRADAS[CANTIDAD],ENTRADAS[CODIGO],PRODUCTOS[[#This Row],[CODIGO]])</f>
        <v/>
      </c>
      <c r="G264" s="56">
        <f>SUMIFS(SALIDAS[CANTIDAD],SALIDAS[CODIGO],PRODUCTOS[[#This Row],[CODIGO]])</f>
        <v/>
      </c>
      <c r="H264" s="56">
        <f>PRODUCTOS[[#This Row],[ENTRADAS]]-PRODUCTOS[[#This Row],[SALIDAS ]]</f>
        <v/>
      </c>
      <c r="I264" s="76" t="n">
        <v>0</v>
      </c>
      <c r="J264">
        <f>IF(PRODUCTOS[[#This Row],[STOCK]]&lt;0,"NEGATIVO",IF(PRODUCTOS[[#This Row],[STOCK]]=0,"SIN STOCK",IF(PRODUCTOS[[#This Row],[STOCK]]&lt;=PRODUCTOS[[#This Row],[STOCK MÍN.]],"BAJO","OK")))</f>
        <v/>
      </c>
      <c r="K2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65" hidden="1" s="11">
      <c r="A265" s="18" t="n">
        <v>250</v>
      </c>
      <c r="B265" s="56" t="inlineStr">
        <is>
          <t>00012-REF</t>
        </is>
      </c>
      <c r="C265" s="56">
        <f>IFERROR(_xlfn.XLOOKUP(PRODUCTOS[[#This Row],[CODIGO]],LISTADO[CODIGOS],LISTADO[CATEGORIA]),"NO EXISTE")</f>
        <v/>
      </c>
      <c r="D265" s="56">
        <f>IFERROR(_xlfn.XLOOKUP(PRODUCTOS[[#This Row],[CODIGO]],LISTADO[CODIGOS],LISTADO[PRODUCTOS]),"NO EXISTE")</f>
        <v/>
      </c>
      <c r="E265" s="56">
        <f>IFERROR(_xlfn.XLOOKUP(PRODUCTOS[[#This Row],[CODIGO]],LISTADO[CODIGOS],LISTADO[UBICACIÓN]),"NO EXISTE")</f>
        <v/>
      </c>
      <c r="F265" s="56">
        <f>SUMIFS(ENTRADAS[CANTIDAD],ENTRADAS[CODIGO],PRODUCTOS[[#This Row],[CODIGO]])</f>
        <v/>
      </c>
      <c r="G265" s="56">
        <f>SUMIFS(SALIDAS[CANTIDAD],SALIDAS[CODIGO],PRODUCTOS[[#This Row],[CODIGO]])</f>
        <v/>
      </c>
      <c r="H265" s="56">
        <f>PRODUCTOS[[#This Row],[ENTRADAS]]-PRODUCTOS[[#This Row],[SALIDAS ]]</f>
        <v/>
      </c>
      <c r="I265" s="76" t="n">
        <v>0</v>
      </c>
      <c r="J265">
        <f>IF(PRODUCTOS[[#This Row],[STOCK]]&lt;0,"NEGATIVO",IF(PRODUCTOS[[#This Row],[STOCK]]=0,"SIN STOCK",IF(PRODUCTOS[[#This Row],[STOCK]]&lt;=PRODUCTOS[[#This Row],[STOCK MÍN.]],"BAJO","OK")))</f>
        <v/>
      </c>
      <c r="K2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66" hidden="1" s="11">
      <c r="A266" s="18" t="n">
        <v>251</v>
      </c>
      <c r="B266" s="56" t="inlineStr">
        <is>
          <t>00013-REF</t>
        </is>
      </c>
      <c r="C266" s="56">
        <f>IFERROR(_xlfn.XLOOKUP(PRODUCTOS[[#This Row],[CODIGO]],LISTADO[CODIGOS],LISTADO[CATEGORIA]),"NO EXISTE")</f>
        <v/>
      </c>
      <c r="D266" s="56">
        <f>IFERROR(_xlfn.XLOOKUP(PRODUCTOS[[#This Row],[CODIGO]],LISTADO[CODIGOS],LISTADO[PRODUCTOS]),"NO EXISTE")</f>
        <v/>
      </c>
      <c r="E266" s="56">
        <f>IFERROR(_xlfn.XLOOKUP(PRODUCTOS[[#This Row],[CODIGO]],LISTADO[CODIGOS],LISTADO[UBICACIÓN]),"NO EXISTE")</f>
        <v/>
      </c>
      <c r="F266" s="56">
        <f>SUMIFS(ENTRADAS[CANTIDAD],ENTRADAS[CODIGO],PRODUCTOS[[#This Row],[CODIGO]])</f>
        <v/>
      </c>
      <c r="G266" s="56">
        <f>SUMIFS(SALIDAS[CANTIDAD],SALIDAS[CODIGO],PRODUCTOS[[#This Row],[CODIGO]])</f>
        <v/>
      </c>
      <c r="H266" s="56">
        <f>PRODUCTOS[[#This Row],[ENTRADAS]]-PRODUCTOS[[#This Row],[SALIDAS ]]</f>
        <v/>
      </c>
      <c r="I266" s="76" t="n">
        <v>0</v>
      </c>
      <c r="J266">
        <f>IF(PRODUCTOS[[#This Row],[STOCK]]&lt;0,"NEGATIVO",IF(PRODUCTOS[[#This Row],[STOCK]]=0,"SIN STOCK",IF(PRODUCTOS[[#This Row],[STOCK]]&lt;=PRODUCTOS[[#This Row],[STOCK MÍN.]],"BAJO","OK")))</f>
        <v/>
      </c>
      <c r="K2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67" hidden="1" s="11">
      <c r="A267" s="18" t="n">
        <v>252</v>
      </c>
      <c r="B267" s="56" t="inlineStr">
        <is>
          <t>00014-REF</t>
        </is>
      </c>
      <c r="C267" s="56">
        <f>IFERROR(_xlfn.XLOOKUP(PRODUCTOS[[#This Row],[CODIGO]],LISTADO[CODIGOS],LISTADO[CATEGORIA]),"NO EXISTE")</f>
        <v/>
      </c>
      <c r="D267" s="56">
        <f>IFERROR(_xlfn.XLOOKUP(PRODUCTOS[[#This Row],[CODIGO]],LISTADO[CODIGOS],LISTADO[PRODUCTOS]),"NO EXISTE")</f>
        <v/>
      </c>
      <c r="E267" s="56">
        <f>IFERROR(_xlfn.XLOOKUP(PRODUCTOS[[#This Row],[CODIGO]],LISTADO[CODIGOS],LISTADO[UBICACIÓN]),"NO EXISTE")</f>
        <v/>
      </c>
      <c r="F267" s="56">
        <f>SUMIFS(ENTRADAS[CANTIDAD],ENTRADAS[CODIGO],PRODUCTOS[[#This Row],[CODIGO]])</f>
        <v/>
      </c>
      <c r="G267" s="56">
        <f>SUMIFS(SALIDAS[CANTIDAD],SALIDAS[CODIGO],PRODUCTOS[[#This Row],[CODIGO]])</f>
        <v/>
      </c>
      <c r="H267" s="56">
        <f>PRODUCTOS[[#This Row],[ENTRADAS]]-PRODUCTOS[[#This Row],[SALIDAS ]]</f>
        <v/>
      </c>
      <c r="I267" s="76" t="n">
        <v>0</v>
      </c>
      <c r="J267">
        <f>IF(PRODUCTOS[[#This Row],[STOCK]]&lt;0,"NEGATIVO",IF(PRODUCTOS[[#This Row],[STOCK]]=0,"SIN STOCK",IF(PRODUCTOS[[#This Row],[STOCK]]&lt;=PRODUCTOS[[#This Row],[STOCK MÍN.]],"BAJO","OK")))</f>
        <v/>
      </c>
      <c r="K2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68" hidden="1" s="11">
      <c r="A268" s="18" t="n">
        <v>253</v>
      </c>
      <c r="B268" s="56" t="inlineStr">
        <is>
          <t>00015-REF</t>
        </is>
      </c>
      <c r="C268" s="56">
        <f>IFERROR(_xlfn.XLOOKUP(PRODUCTOS[[#This Row],[CODIGO]],LISTADO[CODIGOS],LISTADO[CATEGORIA]),"NO EXISTE")</f>
        <v/>
      </c>
      <c r="D268" s="56">
        <f>IFERROR(_xlfn.XLOOKUP(PRODUCTOS[[#This Row],[CODIGO]],LISTADO[CODIGOS],LISTADO[PRODUCTOS]),"NO EXISTE")</f>
        <v/>
      </c>
      <c r="E268" s="56">
        <f>IFERROR(_xlfn.XLOOKUP(PRODUCTOS[[#This Row],[CODIGO]],LISTADO[CODIGOS],LISTADO[UBICACIÓN]),"NO EXISTE")</f>
        <v/>
      </c>
      <c r="F268" s="56">
        <f>SUMIFS(ENTRADAS[CANTIDAD],ENTRADAS[CODIGO],PRODUCTOS[[#This Row],[CODIGO]])</f>
        <v/>
      </c>
      <c r="G268" s="56">
        <f>SUMIFS(SALIDAS[CANTIDAD],SALIDAS[CODIGO],PRODUCTOS[[#This Row],[CODIGO]])</f>
        <v/>
      </c>
      <c r="H268" s="56">
        <f>PRODUCTOS[[#This Row],[ENTRADAS]]-PRODUCTOS[[#This Row],[SALIDAS ]]</f>
        <v/>
      </c>
      <c r="I268" s="76" t="n">
        <v>0</v>
      </c>
      <c r="J268">
        <f>IF(PRODUCTOS[[#This Row],[STOCK]]&lt;0,"NEGATIVO",IF(PRODUCTOS[[#This Row],[STOCK]]=0,"SIN STOCK",IF(PRODUCTOS[[#This Row],[STOCK]]&lt;=PRODUCTOS[[#This Row],[STOCK MÍN.]],"BAJO","OK")))</f>
        <v/>
      </c>
      <c r="K2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69" hidden="1" s="11">
      <c r="A269" s="18" t="n">
        <v>254</v>
      </c>
      <c r="B269" s="56" t="inlineStr">
        <is>
          <t>00024-ILU</t>
        </is>
      </c>
      <c r="C269" s="56">
        <f>IFERROR(_xlfn.XLOOKUP(PRODUCTOS[[#This Row],[CODIGO]],LISTADO[CODIGOS],LISTADO[CATEGORIA]),"NO EXISTE")</f>
        <v/>
      </c>
      <c r="D269" s="56">
        <f>IFERROR(_xlfn.XLOOKUP(PRODUCTOS[[#This Row],[CODIGO]],LISTADO[CODIGOS],LISTADO[PRODUCTOS]),"NO EXISTE")</f>
        <v/>
      </c>
      <c r="E269" s="56">
        <f>IFERROR(_xlfn.XLOOKUP(PRODUCTOS[[#This Row],[CODIGO]],LISTADO[CODIGOS],LISTADO[UBICACIÓN]),"NO EXISTE")</f>
        <v/>
      </c>
      <c r="F269" s="56">
        <f>SUMIFS(ENTRADAS[CANTIDAD],ENTRADAS[CODIGO],PRODUCTOS[[#This Row],[CODIGO]])</f>
        <v/>
      </c>
      <c r="G269" s="56">
        <f>SUMIFS(SALIDAS[CANTIDAD],SALIDAS[CODIGO],PRODUCTOS[[#This Row],[CODIGO]])</f>
        <v/>
      </c>
      <c r="H269" s="56">
        <f>PRODUCTOS[[#This Row],[ENTRADAS]]-PRODUCTOS[[#This Row],[SALIDAS ]]</f>
        <v/>
      </c>
      <c r="I269" s="76" t="n">
        <v>0</v>
      </c>
      <c r="J269">
        <f>IF(PRODUCTOS[[#This Row],[STOCK]]&lt;0,"NEGATIVO",IF(PRODUCTOS[[#This Row],[STOCK]]=0,"SIN STOCK",IF(PRODUCTOS[[#This Row],[STOCK]]&lt;=PRODUCTOS[[#This Row],[STOCK MÍN.]],"BAJO","OK")))</f>
        <v/>
      </c>
      <c r="K2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70" hidden="1" s="11">
      <c r="A270" s="18" t="n">
        <v>255</v>
      </c>
      <c r="B270" s="56" t="inlineStr">
        <is>
          <t>00068-HER</t>
        </is>
      </c>
      <c r="C270" s="56">
        <f>IFERROR(_xlfn.XLOOKUP(PRODUCTOS[[#This Row],[CODIGO]],LISTADO[CODIGOS],LISTADO[CATEGORIA]),"NO EXISTE")</f>
        <v/>
      </c>
      <c r="D270" s="56">
        <f>IFERROR(_xlfn.XLOOKUP(PRODUCTOS[[#This Row],[CODIGO]],LISTADO[CODIGOS],LISTADO[PRODUCTOS]),"NO EXISTE")</f>
        <v/>
      </c>
      <c r="E270" s="56">
        <f>IFERROR(_xlfn.XLOOKUP(PRODUCTOS[[#This Row],[CODIGO]],LISTADO[CODIGOS],LISTADO[UBICACIÓN]),"NO EXISTE")</f>
        <v/>
      </c>
      <c r="F270" s="56">
        <f>SUMIFS(ENTRADAS[CANTIDAD],ENTRADAS[CODIGO],PRODUCTOS[[#This Row],[CODIGO]])</f>
        <v/>
      </c>
      <c r="G270" s="56">
        <f>SUMIFS(SALIDAS[CANTIDAD],SALIDAS[CODIGO],PRODUCTOS[[#This Row],[CODIGO]])</f>
        <v/>
      </c>
      <c r="H270" s="56">
        <f>PRODUCTOS[[#This Row],[ENTRADAS]]-PRODUCTOS[[#This Row],[SALIDAS ]]</f>
        <v/>
      </c>
      <c r="I270" s="76" t="n">
        <v>0</v>
      </c>
      <c r="J270">
        <f>IF(PRODUCTOS[[#This Row],[STOCK]]&lt;0,"NEGATIVO",IF(PRODUCTOS[[#This Row],[STOCK]]=0,"SIN STOCK",IF(PRODUCTOS[[#This Row],[STOCK]]&lt;=PRODUCTOS[[#This Row],[STOCK MÍN.]],"BAJO","OK")))</f>
        <v/>
      </c>
      <c r="K2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71" hidden="1" s="11">
      <c r="A271" s="18" t="n">
        <v>256</v>
      </c>
      <c r="B271" s="56" t="inlineStr">
        <is>
          <t>00025-OFC</t>
        </is>
      </c>
      <c r="C271" s="56">
        <f>IFERROR(_xlfn.XLOOKUP(PRODUCTOS[[#This Row],[CODIGO]],LISTADO[CODIGOS],LISTADO[CATEGORIA]),"NO EXISTE")</f>
        <v/>
      </c>
      <c r="D271" s="56">
        <f>IFERROR(_xlfn.XLOOKUP(PRODUCTOS[[#This Row],[CODIGO]],LISTADO[CODIGOS],LISTADO[PRODUCTOS]),"NO EXISTE")</f>
        <v/>
      </c>
      <c r="E271" s="56">
        <f>IFERROR(_xlfn.XLOOKUP(PRODUCTOS[[#This Row],[CODIGO]],LISTADO[CODIGOS],LISTADO[UBICACIÓN]),"NO EXISTE")</f>
        <v/>
      </c>
      <c r="F271" s="56">
        <f>SUMIFS(ENTRADAS[CANTIDAD],ENTRADAS[CODIGO],PRODUCTOS[[#This Row],[CODIGO]])</f>
        <v/>
      </c>
      <c r="G271" s="56">
        <f>SUMIFS(SALIDAS[CANTIDAD],SALIDAS[CODIGO],PRODUCTOS[[#This Row],[CODIGO]])</f>
        <v/>
      </c>
      <c r="H271" s="56">
        <f>PRODUCTOS[[#This Row],[ENTRADAS]]-PRODUCTOS[[#This Row],[SALIDAS ]]</f>
        <v/>
      </c>
      <c r="I271" s="76" t="n">
        <v>0</v>
      </c>
      <c r="J271">
        <f>IF(PRODUCTOS[[#This Row],[STOCK]]&lt;0,"NEGATIVO",IF(PRODUCTOS[[#This Row],[STOCK]]=0,"SIN STOCK",IF(PRODUCTOS[[#This Row],[STOCK]]&lt;=PRODUCTOS[[#This Row],[STOCK MÍN.]],"BAJO","OK")))</f>
        <v/>
      </c>
      <c r="K2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72" hidden="1" s="11">
      <c r="A272" s="18" t="n">
        <v>257</v>
      </c>
      <c r="B272" s="56" t="inlineStr">
        <is>
          <t>00069-HER</t>
        </is>
      </c>
      <c r="C272" s="56">
        <f>IFERROR(_xlfn.XLOOKUP(PRODUCTOS[[#This Row],[CODIGO]],LISTADO[CODIGOS],LISTADO[CATEGORIA]),"NO EXISTE")</f>
        <v/>
      </c>
      <c r="D272" s="56">
        <f>IFERROR(_xlfn.XLOOKUP(PRODUCTOS[[#This Row],[CODIGO]],LISTADO[CODIGOS],LISTADO[PRODUCTOS]),"NO EXISTE")</f>
        <v/>
      </c>
      <c r="E272" s="56">
        <f>IFERROR(_xlfn.XLOOKUP(PRODUCTOS[[#This Row],[CODIGO]],LISTADO[CODIGOS],LISTADO[UBICACIÓN]),"NO EXISTE")</f>
        <v/>
      </c>
      <c r="F272" s="56">
        <f>SUMIFS(ENTRADAS[CANTIDAD],ENTRADAS[CODIGO],PRODUCTOS[[#This Row],[CODIGO]])</f>
        <v/>
      </c>
      <c r="G272" s="56">
        <f>SUMIFS(SALIDAS[CANTIDAD],SALIDAS[CODIGO],PRODUCTOS[[#This Row],[CODIGO]])</f>
        <v/>
      </c>
      <c r="H272" s="56">
        <f>PRODUCTOS[[#This Row],[ENTRADAS]]-PRODUCTOS[[#This Row],[SALIDAS ]]</f>
        <v/>
      </c>
      <c r="I272" s="76" t="n">
        <v>0</v>
      </c>
      <c r="J272">
        <f>IF(PRODUCTOS[[#This Row],[STOCK]]&lt;0,"NEGATIVO",IF(PRODUCTOS[[#This Row],[STOCK]]=0,"SIN STOCK",IF(PRODUCTOS[[#This Row],[STOCK]]&lt;=PRODUCTOS[[#This Row],[STOCK MÍN.]],"BAJO","OK")))</f>
        <v/>
      </c>
      <c r="K2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73" hidden="1" s="11">
      <c r="A273" s="18" t="n">
        <v>258</v>
      </c>
      <c r="B273" s="56" t="inlineStr">
        <is>
          <t>00025-ILU</t>
        </is>
      </c>
      <c r="C273" s="56">
        <f>IFERROR(_xlfn.XLOOKUP(PRODUCTOS[[#This Row],[CODIGO]],LISTADO[CODIGOS],LISTADO[CATEGORIA]),"NO EXISTE")</f>
        <v/>
      </c>
      <c r="D273" s="56">
        <f>IFERROR(_xlfn.XLOOKUP(PRODUCTOS[[#This Row],[CODIGO]],LISTADO[CODIGOS],LISTADO[PRODUCTOS]),"NO EXISTE")</f>
        <v/>
      </c>
      <c r="E273" s="56">
        <f>IFERROR(_xlfn.XLOOKUP(PRODUCTOS[[#This Row],[CODIGO]],LISTADO[CODIGOS],LISTADO[UBICACIÓN]),"NO EXISTE")</f>
        <v/>
      </c>
      <c r="F273" s="56">
        <f>SUMIFS(ENTRADAS[CANTIDAD],ENTRADAS[CODIGO],PRODUCTOS[[#This Row],[CODIGO]])</f>
        <v/>
      </c>
      <c r="G273" s="56">
        <f>SUMIFS(SALIDAS[CANTIDAD],SALIDAS[CODIGO],PRODUCTOS[[#This Row],[CODIGO]])</f>
        <v/>
      </c>
      <c r="H273" s="56">
        <f>PRODUCTOS[[#This Row],[ENTRADAS]]-PRODUCTOS[[#This Row],[SALIDAS ]]</f>
        <v/>
      </c>
      <c r="I273" s="76" t="n">
        <v>0</v>
      </c>
      <c r="J273">
        <f>IF(PRODUCTOS[[#This Row],[STOCK]]&lt;0,"NEGATIVO",IF(PRODUCTOS[[#This Row],[STOCK]]=0,"SIN STOCK",IF(PRODUCTOS[[#This Row],[STOCK]]&lt;=PRODUCTOS[[#This Row],[STOCK MÍN.]],"BAJO","OK")))</f>
        <v/>
      </c>
      <c r="K2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74" hidden="1" s="11">
      <c r="A274" s="18" t="n">
        <v>259</v>
      </c>
      <c r="B274" s="56" t="inlineStr">
        <is>
          <t>00016-REF</t>
        </is>
      </c>
      <c r="C274" s="56">
        <f>IFERROR(_xlfn.XLOOKUP(PRODUCTOS[[#This Row],[CODIGO]],LISTADO[CODIGOS],LISTADO[CATEGORIA]),"NO EXISTE")</f>
        <v/>
      </c>
      <c r="D274" s="56">
        <f>IFERROR(_xlfn.XLOOKUP(PRODUCTOS[[#This Row],[CODIGO]],LISTADO[CODIGOS],LISTADO[PRODUCTOS]),"NO EXISTE")</f>
        <v/>
      </c>
      <c r="E274" s="56">
        <f>IFERROR(_xlfn.XLOOKUP(PRODUCTOS[[#This Row],[CODIGO]],LISTADO[CODIGOS],LISTADO[UBICACIÓN]),"NO EXISTE")</f>
        <v/>
      </c>
      <c r="F274" s="56">
        <f>SUMIFS(ENTRADAS[CANTIDAD],ENTRADAS[CODIGO],PRODUCTOS[[#This Row],[CODIGO]])</f>
        <v/>
      </c>
      <c r="G274" s="56">
        <f>SUMIFS(SALIDAS[CANTIDAD],SALIDAS[CODIGO],PRODUCTOS[[#This Row],[CODIGO]])</f>
        <v/>
      </c>
      <c r="H274" s="56">
        <f>PRODUCTOS[[#This Row],[ENTRADAS]]-PRODUCTOS[[#This Row],[SALIDAS ]]</f>
        <v/>
      </c>
      <c r="I274" s="76" t="n">
        <v>0</v>
      </c>
      <c r="J274">
        <f>IF(PRODUCTOS[[#This Row],[STOCK]]&lt;0,"NEGATIVO",IF(PRODUCTOS[[#This Row],[STOCK]]=0,"SIN STOCK",IF(PRODUCTOS[[#This Row],[STOCK]]&lt;=PRODUCTOS[[#This Row],[STOCK MÍN.]],"BAJO","OK")))</f>
        <v/>
      </c>
      <c r="K2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75" hidden="1" s="11">
      <c r="A275" s="18" t="n">
        <v>260</v>
      </c>
      <c r="B275" s="56" t="inlineStr">
        <is>
          <t>00070-HER</t>
        </is>
      </c>
      <c r="C275" s="56">
        <f>IFERROR(_xlfn.XLOOKUP(PRODUCTOS[[#This Row],[CODIGO]],LISTADO[CODIGOS],LISTADO[CATEGORIA]),"NO EXISTE")</f>
        <v/>
      </c>
      <c r="D275" s="56">
        <f>IFERROR(_xlfn.XLOOKUP(PRODUCTOS[[#This Row],[CODIGO]],LISTADO[CODIGOS],LISTADO[PRODUCTOS]),"NO EXISTE")</f>
        <v/>
      </c>
      <c r="E275" s="56">
        <f>IFERROR(_xlfn.XLOOKUP(PRODUCTOS[[#This Row],[CODIGO]],LISTADO[CODIGOS],LISTADO[UBICACIÓN]),"NO EXISTE")</f>
        <v/>
      </c>
      <c r="F275" s="56">
        <f>SUMIFS(ENTRADAS[CANTIDAD],ENTRADAS[CODIGO],PRODUCTOS[[#This Row],[CODIGO]])</f>
        <v/>
      </c>
      <c r="G275" s="56">
        <f>SUMIFS(SALIDAS[CANTIDAD],SALIDAS[CODIGO],PRODUCTOS[[#This Row],[CODIGO]])</f>
        <v/>
      </c>
      <c r="H275" s="56">
        <f>PRODUCTOS[[#This Row],[ENTRADAS]]-PRODUCTOS[[#This Row],[SALIDAS ]]</f>
        <v/>
      </c>
      <c r="I275" s="76" t="n">
        <v>0</v>
      </c>
      <c r="J275">
        <f>IF(PRODUCTOS[[#This Row],[STOCK]]&lt;0,"NEGATIVO",IF(PRODUCTOS[[#This Row],[STOCK]]=0,"SIN STOCK",IF(PRODUCTOS[[#This Row],[STOCK]]&lt;=PRODUCTOS[[#This Row],[STOCK MÍN.]],"BAJO","OK")))</f>
        <v/>
      </c>
      <c r="K2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76" hidden="1" s="11">
      <c r="A276" s="18" t="n">
        <v>261</v>
      </c>
      <c r="B276" s="56" t="inlineStr">
        <is>
          <t>00024-UNI</t>
        </is>
      </c>
      <c r="C276" s="56">
        <f>IFERROR(_xlfn.XLOOKUP(PRODUCTOS[[#This Row],[CODIGO]],LISTADO[CODIGOS],LISTADO[CATEGORIA]),"NO EXISTE")</f>
        <v/>
      </c>
      <c r="D276" s="56">
        <f>IFERROR(_xlfn.XLOOKUP(PRODUCTOS[[#This Row],[CODIGO]],LISTADO[CODIGOS],LISTADO[PRODUCTOS]),"NO EXISTE")</f>
        <v/>
      </c>
      <c r="E276" s="56">
        <f>IFERROR(_xlfn.XLOOKUP(PRODUCTOS[[#This Row],[CODIGO]],LISTADO[CODIGOS],LISTADO[UBICACIÓN]),"NO EXISTE")</f>
        <v/>
      </c>
      <c r="F276" s="56">
        <f>SUMIFS(ENTRADAS[CANTIDAD],ENTRADAS[CODIGO],PRODUCTOS[[#This Row],[CODIGO]])</f>
        <v/>
      </c>
      <c r="G276" s="56">
        <f>SUMIFS(SALIDAS[CANTIDAD],SALIDAS[CODIGO],PRODUCTOS[[#This Row],[CODIGO]])</f>
        <v/>
      </c>
      <c r="H276" s="56">
        <f>PRODUCTOS[[#This Row],[ENTRADAS]]-PRODUCTOS[[#This Row],[SALIDAS ]]</f>
        <v/>
      </c>
      <c r="I276" s="76" t="n">
        <v>0</v>
      </c>
      <c r="J276">
        <f>IF(PRODUCTOS[[#This Row],[STOCK]]&lt;0,"NEGATIVO",IF(PRODUCTOS[[#This Row],[STOCK]]=0,"SIN STOCK",IF(PRODUCTOS[[#This Row],[STOCK]]&lt;=PRODUCTOS[[#This Row],[STOCK MÍN.]],"BAJO","OK")))</f>
        <v/>
      </c>
      <c r="K2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77" hidden="1" s="11">
      <c r="A277" s="18" t="n">
        <v>262</v>
      </c>
      <c r="B277" s="56" t="inlineStr">
        <is>
          <t>00025-UNI</t>
        </is>
      </c>
      <c r="C277" s="56">
        <f>IFERROR(_xlfn.XLOOKUP(PRODUCTOS[[#This Row],[CODIGO]],LISTADO[CODIGOS],LISTADO[CATEGORIA]),"NO EXISTE")</f>
        <v/>
      </c>
      <c r="D277" s="56">
        <f>IFERROR(_xlfn.XLOOKUP(PRODUCTOS[[#This Row],[CODIGO]],LISTADO[CODIGOS],LISTADO[PRODUCTOS]),"NO EXISTE")</f>
        <v/>
      </c>
      <c r="E277" s="56">
        <f>IFERROR(_xlfn.XLOOKUP(PRODUCTOS[[#This Row],[CODIGO]],LISTADO[CODIGOS],LISTADO[UBICACIÓN]),"NO EXISTE")</f>
        <v/>
      </c>
      <c r="F277" s="56">
        <f>SUMIFS(ENTRADAS[CANTIDAD],ENTRADAS[CODIGO],PRODUCTOS[[#This Row],[CODIGO]])</f>
        <v/>
      </c>
      <c r="G277" s="56">
        <f>SUMIFS(SALIDAS[CANTIDAD],SALIDAS[CODIGO],PRODUCTOS[[#This Row],[CODIGO]])</f>
        <v/>
      </c>
      <c r="H277" s="56">
        <f>PRODUCTOS[[#This Row],[ENTRADAS]]-PRODUCTOS[[#This Row],[SALIDAS ]]</f>
        <v/>
      </c>
      <c r="I277" s="76" t="n">
        <v>0</v>
      </c>
      <c r="J277">
        <f>IF(PRODUCTOS[[#This Row],[STOCK]]&lt;0,"NEGATIVO",IF(PRODUCTOS[[#This Row],[STOCK]]=0,"SIN STOCK",IF(PRODUCTOS[[#This Row],[STOCK]]&lt;=PRODUCTOS[[#This Row],[STOCK MÍN.]],"BAJO","OK")))</f>
        <v/>
      </c>
      <c r="K2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78" hidden="1" s="11">
      <c r="A278" s="18" t="n">
        <v>263</v>
      </c>
      <c r="B278" s="56" t="inlineStr">
        <is>
          <t>00026-UNI</t>
        </is>
      </c>
      <c r="C278" s="56">
        <f>IFERROR(_xlfn.XLOOKUP(PRODUCTOS[[#This Row],[CODIGO]],LISTADO[CODIGOS],LISTADO[CATEGORIA]),"NO EXISTE")</f>
        <v/>
      </c>
      <c r="D278" s="56">
        <f>IFERROR(_xlfn.XLOOKUP(PRODUCTOS[[#This Row],[CODIGO]],LISTADO[CODIGOS],LISTADO[PRODUCTOS]),"NO EXISTE")</f>
        <v/>
      </c>
      <c r="E278" s="56">
        <f>IFERROR(_xlfn.XLOOKUP(PRODUCTOS[[#This Row],[CODIGO]],LISTADO[CODIGOS],LISTADO[UBICACIÓN]),"NO EXISTE")</f>
        <v/>
      </c>
      <c r="F278" s="56">
        <f>SUMIFS(ENTRADAS[CANTIDAD],ENTRADAS[CODIGO],PRODUCTOS[[#This Row],[CODIGO]])</f>
        <v/>
      </c>
      <c r="G278" s="56">
        <f>SUMIFS(SALIDAS[CANTIDAD],SALIDAS[CODIGO],PRODUCTOS[[#This Row],[CODIGO]])</f>
        <v/>
      </c>
      <c r="H278" s="56">
        <f>PRODUCTOS[[#This Row],[ENTRADAS]]-PRODUCTOS[[#This Row],[SALIDAS ]]</f>
        <v/>
      </c>
      <c r="I278" s="76" t="n">
        <v>0</v>
      </c>
      <c r="J278">
        <f>IF(PRODUCTOS[[#This Row],[STOCK]]&lt;0,"NEGATIVO",IF(PRODUCTOS[[#This Row],[STOCK]]=0,"SIN STOCK",IF(PRODUCTOS[[#This Row],[STOCK]]&lt;=PRODUCTOS[[#This Row],[STOCK MÍN.]],"BAJO","OK")))</f>
        <v/>
      </c>
      <c r="K2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79" hidden="1" s="11">
      <c r="A279" s="18" t="n">
        <v>264</v>
      </c>
      <c r="B279" s="56" t="inlineStr">
        <is>
          <t>00027-UNI</t>
        </is>
      </c>
      <c r="C279" s="56">
        <f>IFERROR(_xlfn.XLOOKUP(PRODUCTOS[[#This Row],[CODIGO]],LISTADO[CODIGOS],LISTADO[CATEGORIA]),"NO EXISTE")</f>
        <v/>
      </c>
      <c r="D279" s="56">
        <f>IFERROR(_xlfn.XLOOKUP(PRODUCTOS[[#This Row],[CODIGO]],LISTADO[CODIGOS],LISTADO[PRODUCTOS]),"NO EXISTE")</f>
        <v/>
      </c>
      <c r="E279" s="56">
        <f>IFERROR(_xlfn.XLOOKUP(PRODUCTOS[[#This Row],[CODIGO]],LISTADO[CODIGOS],LISTADO[UBICACIÓN]),"NO EXISTE")</f>
        <v/>
      </c>
      <c r="F279" s="56">
        <f>SUMIFS(ENTRADAS[CANTIDAD],ENTRADAS[CODIGO],PRODUCTOS[[#This Row],[CODIGO]])</f>
        <v/>
      </c>
      <c r="G279" s="56">
        <f>SUMIFS(SALIDAS[CANTIDAD],SALIDAS[CODIGO],PRODUCTOS[[#This Row],[CODIGO]])</f>
        <v/>
      </c>
      <c r="H279" s="56">
        <f>PRODUCTOS[[#This Row],[ENTRADAS]]-PRODUCTOS[[#This Row],[SALIDAS ]]</f>
        <v/>
      </c>
      <c r="I279" s="76" t="n">
        <v>0</v>
      </c>
      <c r="J279">
        <f>IF(PRODUCTOS[[#This Row],[STOCK]]&lt;0,"NEGATIVO",IF(PRODUCTOS[[#This Row],[STOCK]]=0,"SIN STOCK",IF(PRODUCTOS[[#This Row],[STOCK]]&lt;=PRODUCTOS[[#This Row],[STOCK MÍN.]],"BAJO","OK")))</f>
        <v/>
      </c>
      <c r="K2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80" hidden="1" s="11">
      <c r="A280" s="18" t="n">
        <v>265</v>
      </c>
      <c r="B280" s="56" t="inlineStr">
        <is>
          <t>00028-UNI</t>
        </is>
      </c>
      <c r="C280" s="56">
        <f>IFERROR(_xlfn.XLOOKUP(PRODUCTOS[[#This Row],[CODIGO]],LISTADO[CODIGOS],LISTADO[CATEGORIA]),"NO EXISTE")</f>
        <v/>
      </c>
      <c r="D280" s="56">
        <f>IFERROR(_xlfn.XLOOKUP(PRODUCTOS[[#This Row],[CODIGO]],LISTADO[CODIGOS],LISTADO[PRODUCTOS]),"NO EXISTE")</f>
        <v/>
      </c>
      <c r="E280" s="56">
        <f>IFERROR(_xlfn.XLOOKUP(PRODUCTOS[[#This Row],[CODIGO]],LISTADO[CODIGOS],LISTADO[UBICACIÓN]),"NO EXISTE")</f>
        <v/>
      </c>
      <c r="F280" s="56">
        <f>SUMIFS(ENTRADAS[CANTIDAD],ENTRADAS[CODIGO],PRODUCTOS[[#This Row],[CODIGO]])</f>
        <v/>
      </c>
      <c r="G280" s="56">
        <f>SUMIFS(SALIDAS[CANTIDAD],SALIDAS[CODIGO],PRODUCTOS[[#This Row],[CODIGO]])</f>
        <v/>
      </c>
      <c r="H280" s="56">
        <f>PRODUCTOS[[#This Row],[ENTRADAS]]-PRODUCTOS[[#This Row],[SALIDAS ]]</f>
        <v/>
      </c>
      <c r="I280" s="76" t="n">
        <v>0</v>
      </c>
      <c r="J280">
        <f>IF(PRODUCTOS[[#This Row],[STOCK]]&lt;0,"NEGATIVO",IF(PRODUCTOS[[#This Row],[STOCK]]=0,"SIN STOCK",IF(PRODUCTOS[[#This Row],[STOCK]]&lt;=PRODUCTOS[[#This Row],[STOCK MÍN.]],"BAJO","OK")))</f>
        <v/>
      </c>
      <c r="K2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81" hidden="1" s="11">
      <c r="A281" s="18" t="n">
        <v>266</v>
      </c>
      <c r="B281" s="56" t="inlineStr">
        <is>
          <t>00029-UNI</t>
        </is>
      </c>
      <c r="C281" s="56">
        <f>IFERROR(_xlfn.XLOOKUP(PRODUCTOS[[#This Row],[CODIGO]],LISTADO[CODIGOS],LISTADO[CATEGORIA]),"NO EXISTE")</f>
        <v/>
      </c>
      <c r="D281" s="56">
        <f>IFERROR(_xlfn.XLOOKUP(PRODUCTOS[[#This Row],[CODIGO]],LISTADO[CODIGOS],LISTADO[PRODUCTOS]),"NO EXISTE")</f>
        <v/>
      </c>
      <c r="E281" s="56">
        <f>IFERROR(_xlfn.XLOOKUP(PRODUCTOS[[#This Row],[CODIGO]],LISTADO[CODIGOS],LISTADO[UBICACIÓN]),"NO EXISTE")</f>
        <v/>
      </c>
      <c r="F281" s="56">
        <f>SUMIFS(ENTRADAS[CANTIDAD],ENTRADAS[CODIGO],PRODUCTOS[[#This Row],[CODIGO]])</f>
        <v/>
      </c>
      <c r="G281" s="56">
        <f>SUMIFS(SALIDAS[CANTIDAD],SALIDAS[CODIGO],PRODUCTOS[[#This Row],[CODIGO]])</f>
        <v/>
      </c>
      <c r="H281" s="56">
        <f>PRODUCTOS[[#This Row],[ENTRADAS]]-PRODUCTOS[[#This Row],[SALIDAS ]]</f>
        <v/>
      </c>
      <c r="I281" s="76" t="n">
        <v>0</v>
      </c>
      <c r="J281">
        <f>IF(PRODUCTOS[[#This Row],[STOCK]]&lt;0,"NEGATIVO",IF(PRODUCTOS[[#This Row],[STOCK]]=0,"SIN STOCK",IF(PRODUCTOS[[#This Row],[STOCK]]&lt;=PRODUCTOS[[#This Row],[STOCK MÍN.]],"BAJO","OK")))</f>
        <v/>
      </c>
      <c r="K2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82" hidden="1" s="11">
      <c r="A282" s="18" t="n">
        <v>267</v>
      </c>
      <c r="B282" s="56" t="inlineStr">
        <is>
          <t>00030-UNI</t>
        </is>
      </c>
      <c r="C282" s="56">
        <f>IFERROR(_xlfn.XLOOKUP(PRODUCTOS[[#This Row],[CODIGO]],LISTADO[CODIGOS],LISTADO[CATEGORIA]),"NO EXISTE")</f>
        <v/>
      </c>
      <c r="D282" s="56">
        <f>IFERROR(_xlfn.XLOOKUP(PRODUCTOS[[#This Row],[CODIGO]],LISTADO[CODIGOS],LISTADO[PRODUCTOS]),"NO EXISTE")</f>
        <v/>
      </c>
      <c r="E282" s="56">
        <f>IFERROR(_xlfn.XLOOKUP(PRODUCTOS[[#This Row],[CODIGO]],LISTADO[CODIGOS],LISTADO[UBICACIÓN]),"NO EXISTE")</f>
        <v/>
      </c>
      <c r="F282" s="56">
        <f>SUMIFS(ENTRADAS[CANTIDAD],ENTRADAS[CODIGO],PRODUCTOS[[#This Row],[CODIGO]])</f>
        <v/>
      </c>
      <c r="G282" s="56">
        <f>SUMIFS(SALIDAS[CANTIDAD],SALIDAS[CODIGO],PRODUCTOS[[#This Row],[CODIGO]])</f>
        <v/>
      </c>
      <c r="H282" s="56">
        <f>PRODUCTOS[[#This Row],[ENTRADAS]]-PRODUCTOS[[#This Row],[SALIDAS ]]</f>
        <v/>
      </c>
      <c r="I282" s="76" t="n">
        <v>0</v>
      </c>
      <c r="J282">
        <f>IF(PRODUCTOS[[#This Row],[STOCK]]&lt;0,"NEGATIVO",IF(PRODUCTOS[[#This Row],[STOCK]]=0,"SIN STOCK",IF(PRODUCTOS[[#This Row],[STOCK]]&lt;=PRODUCTOS[[#This Row],[STOCK MÍN.]],"BAJO","OK")))</f>
        <v/>
      </c>
      <c r="K2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83" hidden="1" s="11">
      <c r="A283" s="18" t="n">
        <v>268</v>
      </c>
      <c r="B283" s="56" t="inlineStr">
        <is>
          <t>00031-UNI</t>
        </is>
      </c>
      <c r="C283" s="56">
        <f>IFERROR(_xlfn.XLOOKUP(PRODUCTOS[[#This Row],[CODIGO]],LISTADO[CODIGOS],LISTADO[CATEGORIA]),"NO EXISTE")</f>
        <v/>
      </c>
      <c r="D283" s="56">
        <f>IFERROR(_xlfn.XLOOKUP(PRODUCTOS[[#This Row],[CODIGO]],LISTADO[CODIGOS],LISTADO[PRODUCTOS]),"NO EXISTE")</f>
        <v/>
      </c>
      <c r="E283" s="56">
        <f>IFERROR(_xlfn.XLOOKUP(PRODUCTOS[[#This Row],[CODIGO]],LISTADO[CODIGOS],LISTADO[UBICACIÓN]),"NO EXISTE")</f>
        <v/>
      </c>
      <c r="F283" s="56">
        <f>SUMIFS(ENTRADAS[CANTIDAD],ENTRADAS[CODIGO],PRODUCTOS[[#This Row],[CODIGO]])</f>
        <v/>
      </c>
      <c r="G283" s="56">
        <f>SUMIFS(SALIDAS[CANTIDAD],SALIDAS[CODIGO],PRODUCTOS[[#This Row],[CODIGO]])</f>
        <v/>
      </c>
      <c r="H283" s="56">
        <f>PRODUCTOS[[#This Row],[ENTRADAS]]-PRODUCTOS[[#This Row],[SALIDAS ]]</f>
        <v/>
      </c>
      <c r="I283" s="76" t="n">
        <v>0</v>
      </c>
      <c r="J283">
        <f>IF(PRODUCTOS[[#This Row],[STOCK]]&lt;0,"NEGATIVO",IF(PRODUCTOS[[#This Row],[STOCK]]=0,"SIN STOCK",IF(PRODUCTOS[[#This Row],[STOCK]]&lt;=PRODUCTOS[[#This Row],[STOCK MÍN.]],"BAJO","OK")))</f>
        <v/>
      </c>
      <c r="K2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84" hidden="1" s="11">
      <c r="A284" s="18" t="n">
        <v>269</v>
      </c>
      <c r="B284" s="56" t="inlineStr">
        <is>
          <t>00032-UNI</t>
        </is>
      </c>
      <c r="C284" s="56">
        <f>IFERROR(_xlfn.XLOOKUP(PRODUCTOS[[#This Row],[CODIGO]],LISTADO[CODIGOS],LISTADO[CATEGORIA]),"NO EXISTE")</f>
        <v/>
      </c>
      <c r="D284" s="56">
        <f>IFERROR(_xlfn.XLOOKUP(PRODUCTOS[[#This Row],[CODIGO]],LISTADO[CODIGOS],LISTADO[PRODUCTOS]),"NO EXISTE")</f>
        <v/>
      </c>
      <c r="E284" s="56">
        <f>IFERROR(_xlfn.XLOOKUP(PRODUCTOS[[#This Row],[CODIGO]],LISTADO[CODIGOS],LISTADO[UBICACIÓN]),"NO EXISTE")</f>
        <v/>
      </c>
      <c r="F284" s="56">
        <f>SUMIFS(ENTRADAS[CANTIDAD],ENTRADAS[CODIGO],PRODUCTOS[[#This Row],[CODIGO]])</f>
        <v/>
      </c>
      <c r="G284" s="56">
        <f>SUMIFS(SALIDAS[CANTIDAD],SALIDAS[CODIGO],PRODUCTOS[[#This Row],[CODIGO]])</f>
        <v/>
      </c>
      <c r="H284" s="56">
        <f>PRODUCTOS[[#This Row],[ENTRADAS]]-PRODUCTOS[[#This Row],[SALIDAS ]]</f>
        <v/>
      </c>
      <c r="I284" s="76" t="n">
        <v>0</v>
      </c>
      <c r="J284">
        <f>IF(PRODUCTOS[[#This Row],[STOCK]]&lt;0,"NEGATIVO",IF(PRODUCTOS[[#This Row],[STOCK]]=0,"SIN STOCK",IF(PRODUCTOS[[#This Row],[STOCK]]&lt;=PRODUCTOS[[#This Row],[STOCK MÍN.]],"BAJO","OK")))</f>
        <v/>
      </c>
      <c r="K2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85" hidden="1" s="11">
      <c r="A285" s="18" t="n">
        <v>270</v>
      </c>
      <c r="B285" s="56" t="inlineStr">
        <is>
          <t>00033-UNI</t>
        </is>
      </c>
      <c r="C285" s="56">
        <f>IFERROR(_xlfn.XLOOKUP(PRODUCTOS[[#This Row],[CODIGO]],LISTADO[CODIGOS],LISTADO[CATEGORIA]),"NO EXISTE")</f>
        <v/>
      </c>
      <c r="D285" s="56">
        <f>IFERROR(_xlfn.XLOOKUP(PRODUCTOS[[#This Row],[CODIGO]],LISTADO[CODIGOS],LISTADO[PRODUCTOS]),"NO EXISTE")</f>
        <v/>
      </c>
      <c r="E285" s="56">
        <f>IFERROR(_xlfn.XLOOKUP(PRODUCTOS[[#This Row],[CODIGO]],LISTADO[CODIGOS],LISTADO[UBICACIÓN]),"NO EXISTE")</f>
        <v/>
      </c>
      <c r="F285" s="56">
        <f>SUMIFS(ENTRADAS[CANTIDAD],ENTRADAS[CODIGO],PRODUCTOS[[#This Row],[CODIGO]])</f>
        <v/>
      </c>
      <c r="G285" s="56">
        <f>SUMIFS(SALIDAS[CANTIDAD],SALIDAS[CODIGO],PRODUCTOS[[#This Row],[CODIGO]])</f>
        <v/>
      </c>
      <c r="H285" s="56">
        <f>PRODUCTOS[[#This Row],[ENTRADAS]]-PRODUCTOS[[#This Row],[SALIDAS ]]</f>
        <v/>
      </c>
      <c r="I285" s="76" t="n">
        <v>0</v>
      </c>
      <c r="J285">
        <f>IF(PRODUCTOS[[#This Row],[STOCK]]&lt;0,"NEGATIVO",IF(PRODUCTOS[[#This Row],[STOCK]]=0,"SIN STOCK",IF(PRODUCTOS[[#This Row],[STOCK]]&lt;=PRODUCTOS[[#This Row],[STOCK MÍN.]],"BAJO","OK")))</f>
        <v/>
      </c>
      <c r="K2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86" hidden="1" s="11">
      <c r="A286" s="18" t="n">
        <v>271</v>
      </c>
      <c r="B286" s="56" t="inlineStr">
        <is>
          <t>00034-UNI</t>
        </is>
      </c>
      <c r="C286" s="56">
        <f>IFERROR(_xlfn.XLOOKUP(PRODUCTOS[[#This Row],[CODIGO]],LISTADO[CODIGOS],LISTADO[CATEGORIA]),"NO EXISTE")</f>
        <v/>
      </c>
      <c r="D286" s="56">
        <f>IFERROR(_xlfn.XLOOKUP(PRODUCTOS[[#This Row],[CODIGO]],LISTADO[CODIGOS],LISTADO[PRODUCTOS]),"NO EXISTE")</f>
        <v/>
      </c>
      <c r="E286" s="56">
        <f>IFERROR(_xlfn.XLOOKUP(PRODUCTOS[[#This Row],[CODIGO]],LISTADO[CODIGOS],LISTADO[UBICACIÓN]),"NO EXISTE")</f>
        <v/>
      </c>
      <c r="F286" s="56">
        <f>SUMIFS(ENTRADAS[CANTIDAD],ENTRADAS[CODIGO],PRODUCTOS[[#This Row],[CODIGO]])</f>
        <v/>
      </c>
      <c r="G286" s="56">
        <f>SUMIFS(SALIDAS[CANTIDAD],SALIDAS[CODIGO],PRODUCTOS[[#This Row],[CODIGO]])</f>
        <v/>
      </c>
      <c r="H286" s="56">
        <f>PRODUCTOS[[#This Row],[ENTRADAS]]-PRODUCTOS[[#This Row],[SALIDAS ]]</f>
        <v/>
      </c>
      <c r="I286" s="76" t="n">
        <v>0</v>
      </c>
      <c r="J286">
        <f>IF(PRODUCTOS[[#This Row],[STOCK]]&lt;0,"NEGATIVO",IF(PRODUCTOS[[#This Row],[STOCK]]=0,"SIN STOCK",IF(PRODUCTOS[[#This Row],[STOCK]]&lt;=PRODUCTOS[[#This Row],[STOCK MÍN.]],"BAJO","OK")))</f>
        <v/>
      </c>
      <c r="K2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87" hidden="1" s="11">
      <c r="A287" s="18" t="n">
        <v>272</v>
      </c>
      <c r="B287" s="56" t="inlineStr">
        <is>
          <t>00035-UNI</t>
        </is>
      </c>
      <c r="C287" s="56">
        <f>IFERROR(_xlfn.XLOOKUP(PRODUCTOS[[#This Row],[CODIGO]],LISTADO[CODIGOS],LISTADO[CATEGORIA]),"NO EXISTE")</f>
        <v/>
      </c>
      <c r="D287" s="56">
        <f>IFERROR(_xlfn.XLOOKUP(PRODUCTOS[[#This Row],[CODIGO]],LISTADO[CODIGOS],LISTADO[PRODUCTOS]),"NO EXISTE")</f>
        <v/>
      </c>
      <c r="E287" s="56">
        <f>IFERROR(_xlfn.XLOOKUP(PRODUCTOS[[#This Row],[CODIGO]],LISTADO[CODIGOS],LISTADO[UBICACIÓN]),"NO EXISTE")</f>
        <v/>
      </c>
      <c r="F287" s="56">
        <f>SUMIFS(ENTRADAS[CANTIDAD],ENTRADAS[CODIGO],PRODUCTOS[[#This Row],[CODIGO]])</f>
        <v/>
      </c>
      <c r="G287" s="56">
        <f>SUMIFS(SALIDAS[CANTIDAD],SALIDAS[CODIGO],PRODUCTOS[[#This Row],[CODIGO]])</f>
        <v/>
      </c>
      <c r="H287" s="56">
        <f>PRODUCTOS[[#This Row],[ENTRADAS]]-PRODUCTOS[[#This Row],[SALIDAS ]]</f>
        <v/>
      </c>
      <c r="I287" s="76" t="n">
        <v>0</v>
      </c>
      <c r="J287">
        <f>IF(PRODUCTOS[[#This Row],[STOCK]]&lt;0,"NEGATIVO",IF(PRODUCTOS[[#This Row],[STOCK]]=0,"SIN STOCK",IF(PRODUCTOS[[#This Row],[STOCK]]&lt;=PRODUCTOS[[#This Row],[STOCK MÍN.]],"BAJO","OK")))</f>
        <v/>
      </c>
      <c r="K2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88" hidden="1" s="11">
      <c r="A288" s="18" t="n">
        <v>273</v>
      </c>
      <c r="B288" s="56" t="inlineStr">
        <is>
          <t>00036-UNI</t>
        </is>
      </c>
      <c r="C288" s="56">
        <f>IFERROR(_xlfn.XLOOKUP(PRODUCTOS[[#This Row],[CODIGO]],LISTADO[CODIGOS],LISTADO[CATEGORIA]),"NO EXISTE")</f>
        <v/>
      </c>
      <c r="D288" s="56">
        <f>IFERROR(_xlfn.XLOOKUP(PRODUCTOS[[#This Row],[CODIGO]],LISTADO[CODIGOS],LISTADO[PRODUCTOS]),"NO EXISTE")</f>
        <v/>
      </c>
      <c r="E288" s="56">
        <f>IFERROR(_xlfn.XLOOKUP(PRODUCTOS[[#This Row],[CODIGO]],LISTADO[CODIGOS],LISTADO[UBICACIÓN]),"NO EXISTE")</f>
        <v/>
      </c>
      <c r="F288" s="56">
        <f>SUMIFS(ENTRADAS[CANTIDAD],ENTRADAS[CODIGO],PRODUCTOS[[#This Row],[CODIGO]])</f>
        <v/>
      </c>
      <c r="G288" s="56">
        <f>SUMIFS(SALIDAS[CANTIDAD],SALIDAS[CODIGO],PRODUCTOS[[#This Row],[CODIGO]])</f>
        <v/>
      </c>
      <c r="H288" s="56">
        <f>PRODUCTOS[[#This Row],[ENTRADAS]]-PRODUCTOS[[#This Row],[SALIDAS ]]</f>
        <v/>
      </c>
      <c r="I288" s="76" t="n">
        <v>0</v>
      </c>
      <c r="J288">
        <f>IF(PRODUCTOS[[#This Row],[STOCK]]&lt;0,"NEGATIVO",IF(PRODUCTOS[[#This Row],[STOCK]]=0,"SIN STOCK",IF(PRODUCTOS[[#This Row],[STOCK]]&lt;=PRODUCTOS[[#This Row],[STOCK MÍN.]],"BAJO","OK")))</f>
        <v/>
      </c>
      <c r="K2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89" hidden="1" s="11">
      <c r="A289" s="18" t="n">
        <v>274</v>
      </c>
      <c r="B289" s="56" t="inlineStr">
        <is>
          <t>00037-UNI</t>
        </is>
      </c>
      <c r="C289" s="56">
        <f>IFERROR(_xlfn.XLOOKUP(PRODUCTOS[[#This Row],[CODIGO]],LISTADO[CODIGOS],LISTADO[CATEGORIA]),"NO EXISTE")</f>
        <v/>
      </c>
      <c r="D289" s="56">
        <f>IFERROR(_xlfn.XLOOKUP(PRODUCTOS[[#This Row],[CODIGO]],LISTADO[CODIGOS],LISTADO[PRODUCTOS]),"NO EXISTE")</f>
        <v/>
      </c>
      <c r="E289" s="56">
        <f>IFERROR(_xlfn.XLOOKUP(PRODUCTOS[[#This Row],[CODIGO]],LISTADO[CODIGOS],LISTADO[UBICACIÓN]),"NO EXISTE")</f>
        <v/>
      </c>
      <c r="F289" s="56">
        <f>SUMIFS(ENTRADAS[CANTIDAD],ENTRADAS[CODIGO],PRODUCTOS[[#This Row],[CODIGO]])</f>
        <v/>
      </c>
      <c r="G289" s="56">
        <f>SUMIFS(SALIDAS[CANTIDAD],SALIDAS[CODIGO],PRODUCTOS[[#This Row],[CODIGO]])</f>
        <v/>
      </c>
      <c r="H289" s="56">
        <f>PRODUCTOS[[#This Row],[ENTRADAS]]-PRODUCTOS[[#This Row],[SALIDAS ]]</f>
        <v/>
      </c>
      <c r="I289" s="76" t="n">
        <v>0</v>
      </c>
      <c r="J289">
        <f>IF(PRODUCTOS[[#This Row],[STOCK]]&lt;0,"NEGATIVO",IF(PRODUCTOS[[#This Row],[STOCK]]=0,"SIN STOCK",IF(PRODUCTOS[[#This Row],[STOCK]]&lt;=PRODUCTOS[[#This Row],[STOCK MÍN.]],"BAJO","OK")))</f>
        <v/>
      </c>
      <c r="K2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90" hidden="1" s="11">
      <c r="A290" s="18" t="n">
        <v>275</v>
      </c>
      <c r="B290" s="56" t="inlineStr">
        <is>
          <t>00038-UNI</t>
        </is>
      </c>
      <c r="C290" s="56">
        <f>IFERROR(_xlfn.XLOOKUP(PRODUCTOS[[#This Row],[CODIGO]],LISTADO[CODIGOS],LISTADO[CATEGORIA]),"NO EXISTE")</f>
        <v/>
      </c>
      <c r="D290" s="56">
        <f>IFERROR(_xlfn.XLOOKUP(PRODUCTOS[[#This Row],[CODIGO]],LISTADO[CODIGOS],LISTADO[PRODUCTOS]),"NO EXISTE")</f>
        <v/>
      </c>
      <c r="E290" s="56">
        <f>IFERROR(_xlfn.XLOOKUP(PRODUCTOS[[#This Row],[CODIGO]],LISTADO[CODIGOS],LISTADO[UBICACIÓN]),"NO EXISTE")</f>
        <v/>
      </c>
      <c r="F290" s="56">
        <f>SUMIFS(ENTRADAS[CANTIDAD],ENTRADAS[CODIGO],PRODUCTOS[[#This Row],[CODIGO]])</f>
        <v/>
      </c>
      <c r="G290" s="56">
        <f>SUMIFS(SALIDAS[CANTIDAD],SALIDAS[CODIGO],PRODUCTOS[[#This Row],[CODIGO]])</f>
        <v/>
      </c>
      <c r="H290" s="56">
        <f>PRODUCTOS[[#This Row],[ENTRADAS]]-PRODUCTOS[[#This Row],[SALIDAS ]]</f>
        <v/>
      </c>
      <c r="I290" s="76" t="n">
        <v>0</v>
      </c>
      <c r="J290">
        <f>IF(PRODUCTOS[[#This Row],[STOCK]]&lt;0,"NEGATIVO",IF(PRODUCTOS[[#This Row],[STOCK]]=0,"SIN STOCK",IF(PRODUCTOS[[#This Row],[STOCK]]&lt;=PRODUCTOS[[#This Row],[STOCK MÍN.]],"BAJO","OK")))</f>
        <v/>
      </c>
      <c r="K2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91" hidden="1" s="11">
      <c r="A291" s="18" t="n">
        <v>276</v>
      </c>
      <c r="B291" s="56" t="inlineStr">
        <is>
          <t>00039-UNI</t>
        </is>
      </c>
      <c r="C291" s="56">
        <f>IFERROR(_xlfn.XLOOKUP(PRODUCTOS[[#This Row],[CODIGO]],LISTADO[CODIGOS],LISTADO[CATEGORIA]),"NO EXISTE")</f>
        <v/>
      </c>
      <c r="D291" s="56">
        <f>IFERROR(_xlfn.XLOOKUP(PRODUCTOS[[#This Row],[CODIGO]],LISTADO[CODIGOS],LISTADO[PRODUCTOS]),"NO EXISTE")</f>
        <v/>
      </c>
      <c r="E291" s="56">
        <f>IFERROR(_xlfn.XLOOKUP(PRODUCTOS[[#This Row],[CODIGO]],LISTADO[CODIGOS],LISTADO[UBICACIÓN]),"NO EXISTE")</f>
        <v/>
      </c>
      <c r="F291" s="56">
        <f>SUMIFS(ENTRADAS[CANTIDAD],ENTRADAS[CODIGO],PRODUCTOS[[#This Row],[CODIGO]])</f>
        <v/>
      </c>
      <c r="G291" s="56">
        <f>SUMIFS(SALIDAS[CANTIDAD],SALIDAS[CODIGO],PRODUCTOS[[#This Row],[CODIGO]])</f>
        <v/>
      </c>
      <c r="H291" s="56">
        <f>PRODUCTOS[[#This Row],[ENTRADAS]]-PRODUCTOS[[#This Row],[SALIDAS ]]</f>
        <v/>
      </c>
      <c r="I291" s="76" t="n">
        <v>0</v>
      </c>
      <c r="J291">
        <f>IF(PRODUCTOS[[#This Row],[STOCK]]&lt;0,"NEGATIVO",IF(PRODUCTOS[[#This Row],[STOCK]]=0,"SIN STOCK",IF(PRODUCTOS[[#This Row],[STOCK]]&lt;=PRODUCTOS[[#This Row],[STOCK MÍN.]],"BAJO","OK")))</f>
        <v/>
      </c>
      <c r="K2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92" hidden="1" s="11">
      <c r="A292" s="18" t="n">
        <v>277</v>
      </c>
      <c r="B292" s="56" t="inlineStr">
        <is>
          <t>00040-UNI</t>
        </is>
      </c>
      <c r="C292" s="56">
        <f>IFERROR(_xlfn.XLOOKUP(PRODUCTOS[[#This Row],[CODIGO]],LISTADO[CODIGOS],LISTADO[CATEGORIA]),"NO EXISTE")</f>
        <v/>
      </c>
      <c r="D292" s="56">
        <f>IFERROR(_xlfn.XLOOKUP(PRODUCTOS[[#This Row],[CODIGO]],LISTADO[CODIGOS],LISTADO[PRODUCTOS]),"NO EXISTE")</f>
        <v/>
      </c>
      <c r="E292" s="56">
        <f>IFERROR(_xlfn.XLOOKUP(PRODUCTOS[[#This Row],[CODIGO]],LISTADO[CODIGOS],LISTADO[UBICACIÓN]),"NO EXISTE")</f>
        <v/>
      </c>
      <c r="F292" s="56">
        <f>SUMIFS(ENTRADAS[CANTIDAD],ENTRADAS[CODIGO],PRODUCTOS[[#This Row],[CODIGO]])</f>
        <v/>
      </c>
      <c r="G292" s="56">
        <f>SUMIFS(SALIDAS[CANTIDAD],SALIDAS[CODIGO],PRODUCTOS[[#This Row],[CODIGO]])</f>
        <v/>
      </c>
      <c r="H292" s="56">
        <f>PRODUCTOS[[#This Row],[ENTRADAS]]-PRODUCTOS[[#This Row],[SALIDAS ]]</f>
        <v/>
      </c>
      <c r="I292" s="76" t="n">
        <v>0</v>
      </c>
      <c r="J292">
        <f>IF(PRODUCTOS[[#This Row],[STOCK]]&lt;0,"NEGATIVO",IF(PRODUCTOS[[#This Row],[STOCK]]=0,"SIN STOCK",IF(PRODUCTOS[[#This Row],[STOCK]]&lt;=PRODUCTOS[[#This Row],[STOCK MÍN.]],"BAJO","OK")))</f>
        <v/>
      </c>
      <c r="K2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93" hidden="1" s="11">
      <c r="A293" s="18" t="n">
        <v>278</v>
      </c>
      <c r="B293" s="56" t="inlineStr">
        <is>
          <t>00041-UNI</t>
        </is>
      </c>
      <c r="C293" s="56">
        <f>IFERROR(_xlfn.XLOOKUP(PRODUCTOS[[#This Row],[CODIGO]],LISTADO[CODIGOS],LISTADO[CATEGORIA]),"NO EXISTE")</f>
        <v/>
      </c>
      <c r="D293" s="56">
        <f>IFERROR(_xlfn.XLOOKUP(PRODUCTOS[[#This Row],[CODIGO]],LISTADO[CODIGOS],LISTADO[PRODUCTOS]),"NO EXISTE")</f>
        <v/>
      </c>
      <c r="E293" s="56">
        <f>IFERROR(_xlfn.XLOOKUP(PRODUCTOS[[#This Row],[CODIGO]],LISTADO[CODIGOS],LISTADO[UBICACIÓN]),"NO EXISTE")</f>
        <v/>
      </c>
      <c r="F293" s="56">
        <f>SUMIFS(ENTRADAS[CANTIDAD],ENTRADAS[CODIGO],PRODUCTOS[[#This Row],[CODIGO]])</f>
        <v/>
      </c>
      <c r="G293" s="56">
        <f>SUMIFS(SALIDAS[CANTIDAD],SALIDAS[CODIGO],PRODUCTOS[[#This Row],[CODIGO]])</f>
        <v/>
      </c>
      <c r="H293" s="56">
        <f>PRODUCTOS[[#This Row],[ENTRADAS]]-PRODUCTOS[[#This Row],[SALIDAS ]]</f>
        <v/>
      </c>
      <c r="I293" s="76" t="n">
        <v>0</v>
      </c>
      <c r="J293">
        <f>IF(PRODUCTOS[[#This Row],[STOCK]]&lt;0,"NEGATIVO",IF(PRODUCTOS[[#This Row],[STOCK]]=0,"SIN STOCK",IF(PRODUCTOS[[#This Row],[STOCK]]&lt;=PRODUCTOS[[#This Row],[STOCK MÍN.]],"BAJO","OK")))</f>
        <v/>
      </c>
      <c r="K2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94" hidden="1" s="11">
      <c r="A294" s="18" t="n">
        <v>279</v>
      </c>
      <c r="B294" s="56" t="inlineStr">
        <is>
          <t>00042-UNI</t>
        </is>
      </c>
      <c r="C294" s="56">
        <f>IFERROR(_xlfn.XLOOKUP(PRODUCTOS[[#This Row],[CODIGO]],LISTADO[CODIGOS],LISTADO[CATEGORIA]),"NO EXISTE")</f>
        <v/>
      </c>
      <c r="D294" s="56">
        <f>IFERROR(_xlfn.XLOOKUP(PRODUCTOS[[#This Row],[CODIGO]],LISTADO[CODIGOS],LISTADO[PRODUCTOS]),"NO EXISTE")</f>
        <v/>
      </c>
      <c r="E294" s="56">
        <f>IFERROR(_xlfn.XLOOKUP(PRODUCTOS[[#This Row],[CODIGO]],LISTADO[CODIGOS],LISTADO[UBICACIÓN]),"NO EXISTE")</f>
        <v/>
      </c>
      <c r="F294" s="56">
        <f>SUMIFS(ENTRADAS[CANTIDAD],ENTRADAS[CODIGO],PRODUCTOS[[#This Row],[CODIGO]])</f>
        <v/>
      </c>
      <c r="G294" s="56">
        <f>SUMIFS(SALIDAS[CANTIDAD],SALIDAS[CODIGO],PRODUCTOS[[#This Row],[CODIGO]])</f>
        <v/>
      </c>
      <c r="H294" s="56">
        <f>PRODUCTOS[[#This Row],[ENTRADAS]]-PRODUCTOS[[#This Row],[SALIDAS ]]</f>
        <v/>
      </c>
      <c r="I294" s="76" t="n">
        <v>0</v>
      </c>
      <c r="J294">
        <f>IF(PRODUCTOS[[#This Row],[STOCK]]&lt;0,"NEGATIVO",IF(PRODUCTOS[[#This Row],[STOCK]]=0,"SIN STOCK",IF(PRODUCTOS[[#This Row],[STOCK]]&lt;=PRODUCTOS[[#This Row],[STOCK MÍN.]],"BAJO","OK")))</f>
        <v/>
      </c>
      <c r="K2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95" hidden="1" s="11">
      <c r="A295" s="18" t="n">
        <v>280</v>
      </c>
      <c r="B295" s="56" t="inlineStr">
        <is>
          <t>00043-UNI</t>
        </is>
      </c>
      <c r="C295" s="56">
        <f>IFERROR(_xlfn.XLOOKUP(PRODUCTOS[[#This Row],[CODIGO]],LISTADO[CODIGOS],LISTADO[CATEGORIA]),"NO EXISTE")</f>
        <v/>
      </c>
      <c r="D295" s="56">
        <f>IFERROR(_xlfn.XLOOKUP(PRODUCTOS[[#This Row],[CODIGO]],LISTADO[CODIGOS],LISTADO[PRODUCTOS]),"NO EXISTE")</f>
        <v/>
      </c>
      <c r="E295" s="56">
        <f>IFERROR(_xlfn.XLOOKUP(PRODUCTOS[[#This Row],[CODIGO]],LISTADO[CODIGOS],LISTADO[UBICACIÓN]),"NO EXISTE")</f>
        <v/>
      </c>
      <c r="F295" s="56">
        <f>SUMIFS(ENTRADAS[CANTIDAD],ENTRADAS[CODIGO],PRODUCTOS[[#This Row],[CODIGO]])</f>
        <v/>
      </c>
      <c r="G295" s="56">
        <f>SUMIFS(SALIDAS[CANTIDAD],SALIDAS[CODIGO],PRODUCTOS[[#This Row],[CODIGO]])</f>
        <v/>
      </c>
      <c r="H295" s="56">
        <f>PRODUCTOS[[#This Row],[ENTRADAS]]-PRODUCTOS[[#This Row],[SALIDAS ]]</f>
        <v/>
      </c>
      <c r="I295" s="76" t="n">
        <v>0</v>
      </c>
      <c r="J295">
        <f>IF(PRODUCTOS[[#This Row],[STOCK]]&lt;0,"NEGATIVO",IF(PRODUCTOS[[#This Row],[STOCK]]=0,"SIN STOCK",IF(PRODUCTOS[[#This Row],[STOCK]]&lt;=PRODUCTOS[[#This Row],[STOCK MÍN.]],"BAJO","OK")))</f>
        <v/>
      </c>
      <c r="K2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96" hidden="1" s="11">
      <c r="A296" s="18" t="n">
        <v>281</v>
      </c>
      <c r="B296" s="56" t="inlineStr">
        <is>
          <t>00044-UNI</t>
        </is>
      </c>
      <c r="C296" s="56">
        <f>IFERROR(_xlfn.XLOOKUP(PRODUCTOS[[#This Row],[CODIGO]],LISTADO[CODIGOS],LISTADO[CATEGORIA]),"NO EXISTE")</f>
        <v/>
      </c>
      <c r="D296" s="56">
        <f>IFERROR(_xlfn.XLOOKUP(PRODUCTOS[[#This Row],[CODIGO]],LISTADO[CODIGOS],LISTADO[PRODUCTOS]),"NO EXISTE")</f>
        <v/>
      </c>
      <c r="E296" s="56">
        <f>IFERROR(_xlfn.XLOOKUP(PRODUCTOS[[#This Row],[CODIGO]],LISTADO[CODIGOS],LISTADO[UBICACIÓN]),"NO EXISTE")</f>
        <v/>
      </c>
      <c r="F296" s="56">
        <f>SUMIFS(ENTRADAS[CANTIDAD],ENTRADAS[CODIGO],PRODUCTOS[[#This Row],[CODIGO]])</f>
        <v/>
      </c>
      <c r="G296" s="56">
        <f>SUMIFS(SALIDAS[CANTIDAD],SALIDAS[CODIGO],PRODUCTOS[[#This Row],[CODIGO]])</f>
        <v/>
      </c>
      <c r="H296" s="56">
        <f>PRODUCTOS[[#This Row],[ENTRADAS]]-PRODUCTOS[[#This Row],[SALIDAS ]]</f>
        <v/>
      </c>
      <c r="I296" s="76" t="n">
        <v>0</v>
      </c>
      <c r="J296">
        <f>IF(PRODUCTOS[[#This Row],[STOCK]]&lt;0,"NEGATIVO",IF(PRODUCTOS[[#This Row],[STOCK]]=0,"SIN STOCK",IF(PRODUCTOS[[#This Row],[STOCK]]&lt;=PRODUCTOS[[#This Row],[STOCK MÍN.]],"BAJO","OK")))</f>
        <v/>
      </c>
      <c r="K2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97" hidden="1" s="11">
      <c r="A297" s="18" t="n">
        <v>282</v>
      </c>
      <c r="B297" s="56" t="inlineStr">
        <is>
          <t>00045-UNI</t>
        </is>
      </c>
      <c r="C297" s="56">
        <f>IFERROR(_xlfn.XLOOKUP(PRODUCTOS[[#This Row],[CODIGO]],LISTADO[CODIGOS],LISTADO[CATEGORIA]),"NO EXISTE")</f>
        <v/>
      </c>
      <c r="D297" s="56">
        <f>IFERROR(_xlfn.XLOOKUP(PRODUCTOS[[#This Row],[CODIGO]],LISTADO[CODIGOS],LISTADO[PRODUCTOS]),"NO EXISTE")</f>
        <v/>
      </c>
      <c r="E297" s="56">
        <f>IFERROR(_xlfn.XLOOKUP(PRODUCTOS[[#This Row],[CODIGO]],LISTADO[CODIGOS],LISTADO[UBICACIÓN]),"NO EXISTE")</f>
        <v/>
      </c>
      <c r="F297" s="56">
        <f>SUMIFS(ENTRADAS[CANTIDAD],ENTRADAS[CODIGO],PRODUCTOS[[#This Row],[CODIGO]])</f>
        <v/>
      </c>
      <c r="G297" s="56">
        <f>SUMIFS(SALIDAS[CANTIDAD],SALIDAS[CODIGO],PRODUCTOS[[#This Row],[CODIGO]])</f>
        <v/>
      </c>
      <c r="H297" s="56">
        <f>PRODUCTOS[[#This Row],[ENTRADAS]]-PRODUCTOS[[#This Row],[SALIDAS ]]</f>
        <v/>
      </c>
      <c r="I297" s="76" t="n">
        <v>0</v>
      </c>
      <c r="J297">
        <f>IF(PRODUCTOS[[#This Row],[STOCK]]&lt;0,"NEGATIVO",IF(PRODUCTOS[[#This Row],[STOCK]]=0,"SIN STOCK",IF(PRODUCTOS[[#This Row],[STOCK]]&lt;=PRODUCTOS[[#This Row],[STOCK MÍN.]],"BAJO","OK")))</f>
        <v/>
      </c>
      <c r="K2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98" hidden="1" s="11">
      <c r="A298" s="18" t="n">
        <v>283</v>
      </c>
      <c r="B298" s="56" t="inlineStr">
        <is>
          <t>00046-UNI</t>
        </is>
      </c>
      <c r="C298" s="56">
        <f>IFERROR(_xlfn.XLOOKUP(PRODUCTOS[[#This Row],[CODIGO]],LISTADO[CODIGOS],LISTADO[CATEGORIA]),"NO EXISTE")</f>
        <v/>
      </c>
      <c r="D298" s="56">
        <f>IFERROR(_xlfn.XLOOKUP(PRODUCTOS[[#This Row],[CODIGO]],LISTADO[CODIGOS],LISTADO[PRODUCTOS]),"NO EXISTE")</f>
        <v/>
      </c>
      <c r="E298" s="56">
        <f>IFERROR(_xlfn.XLOOKUP(PRODUCTOS[[#This Row],[CODIGO]],LISTADO[CODIGOS],LISTADO[UBICACIÓN]),"NO EXISTE")</f>
        <v/>
      </c>
      <c r="F298" s="56">
        <f>SUMIFS(ENTRADAS[CANTIDAD],ENTRADAS[CODIGO],PRODUCTOS[[#This Row],[CODIGO]])</f>
        <v/>
      </c>
      <c r="G298" s="56">
        <f>SUMIFS(SALIDAS[CANTIDAD],SALIDAS[CODIGO],PRODUCTOS[[#This Row],[CODIGO]])</f>
        <v/>
      </c>
      <c r="H298" s="56">
        <f>PRODUCTOS[[#This Row],[ENTRADAS]]-PRODUCTOS[[#This Row],[SALIDAS ]]</f>
        <v/>
      </c>
      <c r="I298" s="76" t="n">
        <v>0</v>
      </c>
      <c r="J298">
        <f>IF(PRODUCTOS[[#This Row],[STOCK]]&lt;0,"NEGATIVO",IF(PRODUCTOS[[#This Row],[STOCK]]=0,"SIN STOCK",IF(PRODUCTOS[[#This Row],[STOCK]]&lt;=PRODUCTOS[[#This Row],[STOCK MÍN.]],"BAJO","OK")))</f>
        <v/>
      </c>
      <c r="K2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299" hidden="1" s="11">
      <c r="A299" s="18" t="n">
        <v>284</v>
      </c>
      <c r="B299" s="56" t="inlineStr">
        <is>
          <t>00047-UNI</t>
        </is>
      </c>
      <c r="C299" s="56">
        <f>IFERROR(_xlfn.XLOOKUP(PRODUCTOS[[#This Row],[CODIGO]],LISTADO[CODIGOS],LISTADO[CATEGORIA]),"NO EXISTE")</f>
        <v/>
      </c>
      <c r="D299" s="56">
        <f>IFERROR(_xlfn.XLOOKUP(PRODUCTOS[[#This Row],[CODIGO]],LISTADO[CODIGOS],LISTADO[PRODUCTOS]),"NO EXISTE")</f>
        <v/>
      </c>
      <c r="E299" s="56">
        <f>IFERROR(_xlfn.XLOOKUP(PRODUCTOS[[#This Row],[CODIGO]],LISTADO[CODIGOS],LISTADO[UBICACIÓN]),"NO EXISTE")</f>
        <v/>
      </c>
      <c r="F299" s="56">
        <f>SUMIFS(ENTRADAS[CANTIDAD],ENTRADAS[CODIGO],PRODUCTOS[[#This Row],[CODIGO]])</f>
        <v/>
      </c>
      <c r="G299" s="56">
        <f>SUMIFS(SALIDAS[CANTIDAD],SALIDAS[CODIGO],PRODUCTOS[[#This Row],[CODIGO]])</f>
        <v/>
      </c>
      <c r="H299" s="56">
        <f>PRODUCTOS[[#This Row],[ENTRADAS]]-PRODUCTOS[[#This Row],[SALIDAS ]]</f>
        <v/>
      </c>
      <c r="I299" s="76" t="n">
        <v>0</v>
      </c>
      <c r="J299">
        <f>IF(PRODUCTOS[[#This Row],[STOCK]]&lt;0,"NEGATIVO",IF(PRODUCTOS[[#This Row],[STOCK]]=0,"SIN STOCK",IF(PRODUCTOS[[#This Row],[STOCK]]&lt;=PRODUCTOS[[#This Row],[STOCK MÍN.]],"BAJO","OK")))</f>
        <v/>
      </c>
      <c r="K2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00" hidden="1" s="11">
      <c r="A300" s="18" t="n">
        <v>285</v>
      </c>
      <c r="B300" s="56" t="inlineStr">
        <is>
          <t>00048-UNI</t>
        </is>
      </c>
      <c r="C300" s="56">
        <f>IFERROR(_xlfn.XLOOKUP(PRODUCTOS[[#This Row],[CODIGO]],LISTADO[CODIGOS],LISTADO[CATEGORIA]),"NO EXISTE")</f>
        <v/>
      </c>
      <c r="D300" s="56">
        <f>IFERROR(_xlfn.XLOOKUP(PRODUCTOS[[#This Row],[CODIGO]],LISTADO[CODIGOS],LISTADO[PRODUCTOS]),"NO EXISTE")</f>
        <v/>
      </c>
      <c r="E300" s="56">
        <f>IFERROR(_xlfn.XLOOKUP(PRODUCTOS[[#This Row],[CODIGO]],LISTADO[CODIGOS],LISTADO[UBICACIÓN]),"NO EXISTE")</f>
        <v/>
      </c>
      <c r="F300" s="56">
        <f>SUMIFS(ENTRADAS[CANTIDAD],ENTRADAS[CODIGO],PRODUCTOS[[#This Row],[CODIGO]])</f>
        <v/>
      </c>
      <c r="G300" s="56">
        <f>SUMIFS(SALIDAS[CANTIDAD],SALIDAS[CODIGO],PRODUCTOS[[#This Row],[CODIGO]])</f>
        <v/>
      </c>
      <c r="H300" s="56">
        <f>PRODUCTOS[[#This Row],[ENTRADAS]]-PRODUCTOS[[#This Row],[SALIDAS ]]</f>
        <v/>
      </c>
      <c r="I300" s="76" t="n">
        <v>0</v>
      </c>
      <c r="J300">
        <f>IF(PRODUCTOS[[#This Row],[STOCK]]&lt;0,"NEGATIVO",IF(PRODUCTOS[[#This Row],[STOCK]]=0,"SIN STOCK",IF(PRODUCTOS[[#This Row],[STOCK]]&lt;=PRODUCTOS[[#This Row],[STOCK MÍN.]],"BAJO","OK")))</f>
        <v/>
      </c>
      <c r="K3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01" hidden="1" s="11">
      <c r="A301" s="18" t="n">
        <v>286</v>
      </c>
      <c r="B301" s="56" t="inlineStr">
        <is>
          <t>00049-UNI</t>
        </is>
      </c>
      <c r="C301" s="56">
        <f>IFERROR(_xlfn.XLOOKUP(PRODUCTOS[[#This Row],[CODIGO]],LISTADO[CODIGOS],LISTADO[CATEGORIA]),"NO EXISTE")</f>
        <v/>
      </c>
      <c r="D301" s="56">
        <f>IFERROR(_xlfn.XLOOKUP(PRODUCTOS[[#This Row],[CODIGO]],LISTADO[CODIGOS],LISTADO[PRODUCTOS]),"NO EXISTE")</f>
        <v/>
      </c>
      <c r="E301" s="56">
        <f>IFERROR(_xlfn.XLOOKUP(PRODUCTOS[[#This Row],[CODIGO]],LISTADO[CODIGOS],LISTADO[UBICACIÓN]),"NO EXISTE")</f>
        <v/>
      </c>
      <c r="F301" s="56">
        <f>SUMIFS(ENTRADAS[CANTIDAD],ENTRADAS[CODIGO],PRODUCTOS[[#This Row],[CODIGO]])</f>
        <v/>
      </c>
      <c r="G301" s="56">
        <f>SUMIFS(SALIDAS[CANTIDAD],SALIDAS[CODIGO],PRODUCTOS[[#This Row],[CODIGO]])</f>
        <v/>
      </c>
      <c r="H301" s="56">
        <f>PRODUCTOS[[#This Row],[ENTRADAS]]-PRODUCTOS[[#This Row],[SALIDAS ]]</f>
        <v/>
      </c>
      <c r="I301" s="76" t="n">
        <v>0</v>
      </c>
      <c r="J301">
        <f>IF(PRODUCTOS[[#This Row],[STOCK]]&lt;0,"NEGATIVO",IF(PRODUCTOS[[#This Row],[STOCK]]=0,"SIN STOCK",IF(PRODUCTOS[[#This Row],[STOCK]]&lt;=PRODUCTOS[[#This Row],[STOCK MÍN.]],"BAJO","OK")))</f>
        <v/>
      </c>
      <c r="K3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02" hidden="1" s="11">
      <c r="A302" s="18" t="n">
        <v>287</v>
      </c>
      <c r="B302" s="56" t="inlineStr">
        <is>
          <t>00050-UNI</t>
        </is>
      </c>
      <c r="C302" s="56">
        <f>IFERROR(_xlfn.XLOOKUP(PRODUCTOS[[#This Row],[CODIGO]],LISTADO[CODIGOS],LISTADO[CATEGORIA]),"NO EXISTE")</f>
        <v/>
      </c>
      <c r="D302" s="56">
        <f>IFERROR(_xlfn.XLOOKUP(PRODUCTOS[[#This Row],[CODIGO]],LISTADO[CODIGOS],LISTADO[PRODUCTOS]),"NO EXISTE")</f>
        <v/>
      </c>
      <c r="E302" s="56">
        <f>IFERROR(_xlfn.XLOOKUP(PRODUCTOS[[#This Row],[CODIGO]],LISTADO[CODIGOS],LISTADO[UBICACIÓN]),"NO EXISTE")</f>
        <v/>
      </c>
      <c r="F302" s="56">
        <f>SUMIFS(ENTRADAS[CANTIDAD],ENTRADAS[CODIGO],PRODUCTOS[[#This Row],[CODIGO]])</f>
        <v/>
      </c>
      <c r="G302" s="56">
        <f>SUMIFS(SALIDAS[CANTIDAD],SALIDAS[CODIGO],PRODUCTOS[[#This Row],[CODIGO]])</f>
        <v/>
      </c>
      <c r="H302" s="56">
        <f>PRODUCTOS[[#This Row],[ENTRADAS]]-PRODUCTOS[[#This Row],[SALIDAS ]]</f>
        <v/>
      </c>
      <c r="I302" s="76" t="n">
        <v>0</v>
      </c>
      <c r="J302">
        <f>IF(PRODUCTOS[[#This Row],[STOCK]]&lt;0,"NEGATIVO",IF(PRODUCTOS[[#This Row],[STOCK]]=0,"SIN STOCK",IF(PRODUCTOS[[#This Row],[STOCK]]&lt;=PRODUCTOS[[#This Row],[STOCK MÍN.]],"BAJO","OK")))</f>
        <v/>
      </c>
      <c r="K3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03" hidden="1" s="11">
      <c r="A303" s="18" t="n">
        <v>288</v>
      </c>
      <c r="B303" s="56" t="inlineStr">
        <is>
          <t>00051-UNI</t>
        </is>
      </c>
      <c r="C303" s="56">
        <f>IFERROR(_xlfn.XLOOKUP(PRODUCTOS[[#This Row],[CODIGO]],LISTADO[CODIGOS],LISTADO[CATEGORIA]),"NO EXISTE")</f>
        <v/>
      </c>
      <c r="D303" s="56">
        <f>IFERROR(_xlfn.XLOOKUP(PRODUCTOS[[#This Row],[CODIGO]],LISTADO[CODIGOS],LISTADO[PRODUCTOS]),"NO EXISTE")</f>
        <v/>
      </c>
      <c r="E303" s="56">
        <f>IFERROR(_xlfn.XLOOKUP(PRODUCTOS[[#This Row],[CODIGO]],LISTADO[CODIGOS],LISTADO[UBICACIÓN]),"NO EXISTE")</f>
        <v/>
      </c>
      <c r="F303" s="56">
        <f>SUMIFS(ENTRADAS[CANTIDAD],ENTRADAS[CODIGO],PRODUCTOS[[#This Row],[CODIGO]])</f>
        <v/>
      </c>
      <c r="G303" s="56">
        <f>SUMIFS(SALIDAS[CANTIDAD],SALIDAS[CODIGO],PRODUCTOS[[#This Row],[CODIGO]])</f>
        <v/>
      </c>
      <c r="H303" s="56">
        <f>PRODUCTOS[[#This Row],[ENTRADAS]]-PRODUCTOS[[#This Row],[SALIDAS ]]</f>
        <v/>
      </c>
      <c r="I303" s="76" t="n">
        <v>0</v>
      </c>
      <c r="J303">
        <f>IF(PRODUCTOS[[#This Row],[STOCK]]&lt;0,"NEGATIVO",IF(PRODUCTOS[[#This Row],[STOCK]]=0,"SIN STOCK",IF(PRODUCTOS[[#This Row],[STOCK]]&lt;=PRODUCTOS[[#This Row],[STOCK MÍN.]],"BAJO","OK")))</f>
        <v/>
      </c>
      <c r="K3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04" hidden="1" s="11">
      <c r="A304" s="18" t="n">
        <v>289</v>
      </c>
      <c r="B304" s="56" t="inlineStr">
        <is>
          <t>00052-UNI</t>
        </is>
      </c>
      <c r="C304" s="56">
        <f>IFERROR(_xlfn.XLOOKUP(PRODUCTOS[[#This Row],[CODIGO]],LISTADO[CODIGOS],LISTADO[CATEGORIA]),"NO EXISTE")</f>
        <v/>
      </c>
      <c r="D304" s="56">
        <f>IFERROR(_xlfn.XLOOKUP(PRODUCTOS[[#This Row],[CODIGO]],LISTADO[CODIGOS],LISTADO[PRODUCTOS]),"NO EXISTE")</f>
        <v/>
      </c>
      <c r="E304" s="56">
        <f>IFERROR(_xlfn.XLOOKUP(PRODUCTOS[[#This Row],[CODIGO]],LISTADO[CODIGOS],LISTADO[UBICACIÓN]),"NO EXISTE")</f>
        <v/>
      </c>
      <c r="F304" s="56">
        <f>SUMIFS(ENTRADAS[CANTIDAD],ENTRADAS[CODIGO],PRODUCTOS[[#This Row],[CODIGO]])</f>
        <v/>
      </c>
      <c r="G304" s="56">
        <f>SUMIFS(SALIDAS[CANTIDAD],SALIDAS[CODIGO],PRODUCTOS[[#This Row],[CODIGO]])</f>
        <v/>
      </c>
      <c r="H304" s="56">
        <f>PRODUCTOS[[#This Row],[ENTRADAS]]-PRODUCTOS[[#This Row],[SALIDAS ]]</f>
        <v/>
      </c>
      <c r="I304" s="76" t="n">
        <v>0</v>
      </c>
      <c r="J304">
        <f>IF(PRODUCTOS[[#This Row],[STOCK]]&lt;0,"NEGATIVO",IF(PRODUCTOS[[#This Row],[STOCK]]=0,"SIN STOCK",IF(PRODUCTOS[[#This Row],[STOCK]]&lt;=PRODUCTOS[[#This Row],[STOCK MÍN.]],"BAJO","OK")))</f>
        <v/>
      </c>
      <c r="K3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05" hidden="1" s="11">
      <c r="A305" s="18" t="n">
        <v>290</v>
      </c>
      <c r="B305" s="56" t="inlineStr">
        <is>
          <t>00012-MSC</t>
        </is>
      </c>
      <c r="C305" s="56">
        <f>IFERROR(_xlfn.XLOOKUP(PRODUCTOS[[#This Row],[CODIGO]],LISTADO[CODIGOS],LISTADO[CATEGORIA]),"NO EXISTE")</f>
        <v/>
      </c>
      <c r="D305" s="56">
        <f>IFERROR(_xlfn.XLOOKUP(PRODUCTOS[[#This Row],[CODIGO]],LISTADO[CODIGOS],LISTADO[PRODUCTOS]),"NO EXISTE")</f>
        <v/>
      </c>
      <c r="E305" s="56">
        <f>IFERROR(_xlfn.XLOOKUP(PRODUCTOS[[#This Row],[CODIGO]],LISTADO[CODIGOS],LISTADO[UBICACIÓN]),"NO EXISTE")</f>
        <v/>
      </c>
      <c r="F305" s="56">
        <f>SUMIFS(ENTRADAS[CANTIDAD],ENTRADAS[CODIGO],PRODUCTOS[[#This Row],[CODIGO]])</f>
        <v/>
      </c>
      <c r="G305" s="56">
        <f>SUMIFS(SALIDAS[CANTIDAD],SALIDAS[CODIGO],PRODUCTOS[[#This Row],[CODIGO]])</f>
        <v/>
      </c>
      <c r="H305" s="56">
        <f>PRODUCTOS[[#This Row],[ENTRADAS]]-PRODUCTOS[[#This Row],[SALIDAS ]]</f>
        <v/>
      </c>
      <c r="I305" s="76" t="n">
        <v>0</v>
      </c>
      <c r="J305">
        <f>IF(PRODUCTOS[[#This Row],[STOCK]]&lt;0,"NEGATIVO",IF(PRODUCTOS[[#This Row],[STOCK]]=0,"SIN STOCK",IF(PRODUCTOS[[#This Row],[STOCK]]&lt;=PRODUCTOS[[#This Row],[STOCK MÍN.]],"BAJO","OK")))</f>
        <v/>
      </c>
      <c r="K3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06" hidden="1" s="11">
      <c r="A306" s="18" t="n">
        <v>291</v>
      </c>
      <c r="B306" s="56" t="inlineStr">
        <is>
          <t>00052-FER</t>
        </is>
      </c>
      <c r="C306" s="56">
        <f>IFERROR(_xlfn.XLOOKUP(PRODUCTOS[[#This Row],[CODIGO]],LISTADO[CODIGOS],LISTADO[CATEGORIA]),"NO EXISTE")</f>
        <v/>
      </c>
      <c r="D306" s="56">
        <f>IFERROR(_xlfn.XLOOKUP(PRODUCTOS[[#This Row],[CODIGO]],LISTADO[CODIGOS],LISTADO[PRODUCTOS]),"NO EXISTE")</f>
        <v/>
      </c>
      <c r="E306" s="56">
        <f>IFERROR(_xlfn.XLOOKUP(PRODUCTOS[[#This Row],[CODIGO]],LISTADO[CODIGOS],LISTADO[UBICACIÓN]),"NO EXISTE")</f>
        <v/>
      </c>
      <c r="F306" s="56">
        <f>SUMIFS(ENTRADAS[CANTIDAD],ENTRADAS[CODIGO],PRODUCTOS[[#This Row],[CODIGO]])</f>
        <v/>
      </c>
      <c r="G306" s="56">
        <f>SUMIFS(SALIDAS[CANTIDAD],SALIDAS[CODIGO],PRODUCTOS[[#This Row],[CODIGO]])</f>
        <v/>
      </c>
      <c r="H306" s="56">
        <f>PRODUCTOS[[#This Row],[ENTRADAS]]-PRODUCTOS[[#This Row],[SALIDAS ]]</f>
        <v/>
      </c>
      <c r="I306" s="76" t="n">
        <v>0</v>
      </c>
      <c r="J306">
        <f>IF(PRODUCTOS[[#This Row],[STOCK]]&lt;0,"NEGATIVO",IF(PRODUCTOS[[#This Row],[STOCK]]=0,"SIN STOCK",IF(PRODUCTOS[[#This Row],[STOCK]]&lt;=PRODUCTOS[[#This Row],[STOCK MÍN.]],"BAJO","OK")))</f>
        <v/>
      </c>
      <c r="K3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07" hidden="1" s="11">
      <c r="A307" s="18" t="n">
        <v>292</v>
      </c>
      <c r="B307" s="56" t="inlineStr">
        <is>
          <t>00053-FER</t>
        </is>
      </c>
      <c r="C307" s="56">
        <f>IFERROR(_xlfn.XLOOKUP(PRODUCTOS[[#This Row],[CODIGO]],LISTADO[CODIGOS],LISTADO[CATEGORIA]),"NO EXISTE")</f>
        <v/>
      </c>
      <c r="D307" s="56">
        <f>IFERROR(_xlfn.XLOOKUP(PRODUCTOS[[#This Row],[CODIGO]],LISTADO[CODIGOS],LISTADO[PRODUCTOS]),"NO EXISTE")</f>
        <v/>
      </c>
      <c r="E307" s="56">
        <f>IFERROR(_xlfn.XLOOKUP(PRODUCTOS[[#This Row],[CODIGO]],LISTADO[CODIGOS],LISTADO[UBICACIÓN]),"NO EXISTE")</f>
        <v/>
      </c>
      <c r="F307" s="56">
        <f>SUMIFS(ENTRADAS[CANTIDAD],ENTRADAS[CODIGO],PRODUCTOS[[#This Row],[CODIGO]])</f>
        <v/>
      </c>
      <c r="G307" s="56">
        <f>SUMIFS(SALIDAS[CANTIDAD],SALIDAS[CODIGO],PRODUCTOS[[#This Row],[CODIGO]])</f>
        <v/>
      </c>
      <c r="H307" s="56">
        <f>PRODUCTOS[[#This Row],[ENTRADAS]]-PRODUCTOS[[#This Row],[SALIDAS ]]</f>
        <v/>
      </c>
      <c r="I307" s="76" t="n">
        <v>0</v>
      </c>
      <c r="J307">
        <f>IF(PRODUCTOS[[#This Row],[STOCK]]&lt;0,"NEGATIVO",IF(PRODUCTOS[[#This Row],[STOCK]]=0,"SIN STOCK",IF(PRODUCTOS[[#This Row],[STOCK]]&lt;=PRODUCTOS[[#This Row],[STOCK MÍN.]],"BAJO","OK")))</f>
        <v/>
      </c>
      <c r="K3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08" hidden="1" s="11">
      <c r="A308" s="18" t="n">
        <v>293</v>
      </c>
      <c r="B308" s="56" t="inlineStr">
        <is>
          <t>00071-HER</t>
        </is>
      </c>
      <c r="C308" s="56">
        <f>IFERROR(_xlfn.XLOOKUP(PRODUCTOS[[#This Row],[CODIGO]],LISTADO[CODIGOS],LISTADO[CATEGORIA]),"NO EXISTE")</f>
        <v/>
      </c>
      <c r="D308" s="56">
        <f>IFERROR(_xlfn.XLOOKUP(PRODUCTOS[[#This Row],[CODIGO]],LISTADO[CODIGOS],LISTADO[PRODUCTOS]),"NO EXISTE")</f>
        <v/>
      </c>
      <c r="E308" s="56">
        <f>IFERROR(_xlfn.XLOOKUP(PRODUCTOS[[#This Row],[CODIGO]],LISTADO[CODIGOS],LISTADO[UBICACIÓN]),"NO EXISTE")</f>
        <v/>
      </c>
      <c r="F308" s="56">
        <f>SUMIFS(ENTRADAS[CANTIDAD],ENTRADAS[CODIGO],PRODUCTOS[[#This Row],[CODIGO]])</f>
        <v/>
      </c>
      <c r="G308" s="56">
        <f>SUMIFS(SALIDAS[CANTIDAD],SALIDAS[CODIGO],PRODUCTOS[[#This Row],[CODIGO]])</f>
        <v/>
      </c>
      <c r="H308" s="56">
        <f>PRODUCTOS[[#This Row],[ENTRADAS]]-PRODUCTOS[[#This Row],[SALIDAS ]]</f>
        <v/>
      </c>
      <c r="I308" s="76" t="n">
        <v>0</v>
      </c>
      <c r="J308">
        <f>IF(PRODUCTOS[[#This Row],[STOCK]]&lt;0,"NEGATIVO",IF(PRODUCTOS[[#This Row],[STOCK]]=0,"SIN STOCK",IF(PRODUCTOS[[#This Row],[STOCK]]&lt;=PRODUCTOS[[#This Row],[STOCK MÍN.]],"BAJO","OK")))</f>
        <v/>
      </c>
      <c r="K3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09" hidden="1" s="11">
      <c r="A309" s="18" t="n">
        <v>294</v>
      </c>
      <c r="B309" s="56" t="inlineStr">
        <is>
          <t>00013-MSC</t>
        </is>
      </c>
      <c r="C309" s="56">
        <f>IFERROR(_xlfn.XLOOKUP(PRODUCTOS[[#This Row],[CODIGO]],LISTADO[CODIGOS],LISTADO[CATEGORIA]),"NO EXISTE")</f>
        <v/>
      </c>
      <c r="D309" s="56">
        <f>IFERROR(_xlfn.XLOOKUP(PRODUCTOS[[#This Row],[CODIGO]],LISTADO[CODIGOS],LISTADO[PRODUCTOS]),"NO EXISTE")</f>
        <v/>
      </c>
      <c r="E309" s="56">
        <f>IFERROR(_xlfn.XLOOKUP(PRODUCTOS[[#This Row],[CODIGO]],LISTADO[CODIGOS],LISTADO[UBICACIÓN]),"NO EXISTE")</f>
        <v/>
      </c>
      <c r="F309" s="56">
        <f>SUMIFS(ENTRADAS[CANTIDAD],ENTRADAS[CODIGO],PRODUCTOS[[#This Row],[CODIGO]])</f>
        <v/>
      </c>
      <c r="G309" s="56">
        <f>SUMIFS(SALIDAS[CANTIDAD],SALIDAS[CODIGO],PRODUCTOS[[#This Row],[CODIGO]])</f>
        <v/>
      </c>
      <c r="H309" s="56">
        <f>PRODUCTOS[[#This Row],[ENTRADAS]]-PRODUCTOS[[#This Row],[SALIDAS ]]</f>
        <v/>
      </c>
      <c r="I309" s="76" t="n">
        <v>0</v>
      </c>
      <c r="J309">
        <f>IF(PRODUCTOS[[#This Row],[STOCK]]&lt;0,"NEGATIVO",IF(PRODUCTOS[[#This Row],[STOCK]]=0,"SIN STOCK",IF(PRODUCTOS[[#This Row],[STOCK]]&lt;=PRODUCTOS[[#This Row],[STOCK MÍN.]],"BAJO","OK")))</f>
        <v/>
      </c>
      <c r="K3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10" hidden="1" s="11">
      <c r="A310" s="18" t="n">
        <v>295</v>
      </c>
      <c r="B310" s="56" t="inlineStr">
        <is>
          <t>00014-MSC</t>
        </is>
      </c>
      <c r="C310" s="56">
        <f>IFERROR(_xlfn.XLOOKUP(PRODUCTOS[[#This Row],[CODIGO]],LISTADO[CODIGOS],LISTADO[CATEGORIA]),"NO EXISTE")</f>
        <v/>
      </c>
      <c r="D310" s="56">
        <f>IFERROR(_xlfn.XLOOKUP(PRODUCTOS[[#This Row],[CODIGO]],LISTADO[CODIGOS],LISTADO[PRODUCTOS]),"NO EXISTE")</f>
        <v/>
      </c>
      <c r="E310" s="56">
        <f>IFERROR(_xlfn.XLOOKUP(PRODUCTOS[[#This Row],[CODIGO]],LISTADO[CODIGOS],LISTADO[UBICACIÓN]),"NO EXISTE")</f>
        <v/>
      </c>
      <c r="F310" s="56">
        <f>SUMIFS(ENTRADAS[CANTIDAD],ENTRADAS[CODIGO],PRODUCTOS[[#This Row],[CODIGO]])</f>
        <v/>
      </c>
      <c r="G310" s="56">
        <f>SUMIFS(SALIDAS[CANTIDAD],SALIDAS[CODIGO],PRODUCTOS[[#This Row],[CODIGO]])</f>
        <v/>
      </c>
      <c r="H310" s="56">
        <f>PRODUCTOS[[#This Row],[ENTRADAS]]-PRODUCTOS[[#This Row],[SALIDAS ]]</f>
        <v/>
      </c>
      <c r="I310" s="76" t="n">
        <v>0</v>
      </c>
      <c r="J310">
        <f>IF(PRODUCTOS[[#This Row],[STOCK]]&lt;0,"NEGATIVO",IF(PRODUCTOS[[#This Row],[STOCK]]=0,"SIN STOCK",IF(PRODUCTOS[[#This Row],[STOCK]]&lt;=PRODUCTOS[[#This Row],[STOCK MÍN.]],"BAJO","OK")))</f>
        <v/>
      </c>
      <c r="K3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11" hidden="1" s="11">
      <c r="A311" s="18" t="n">
        <v>296</v>
      </c>
      <c r="B311" s="56" t="inlineStr">
        <is>
          <t>00072-HER</t>
        </is>
      </c>
      <c r="C311" s="56">
        <f>IFERROR(_xlfn.XLOOKUP(PRODUCTOS[[#This Row],[CODIGO]],LISTADO[CODIGOS],LISTADO[CATEGORIA]),"NO EXISTE")</f>
        <v/>
      </c>
      <c r="D311" s="56">
        <f>IFERROR(_xlfn.XLOOKUP(PRODUCTOS[[#This Row],[CODIGO]],LISTADO[CODIGOS],LISTADO[PRODUCTOS]),"NO EXISTE")</f>
        <v/>
      </c>
      <c r="E311" s="56">
        <f>IFERROR(_xlfn.XLOOKUP(PRODUCTOS[[#This Row],[CODIGO]],LISTADO[CODIGOS],LISTADO[UBICACIÓN]),"NO EXISTE")</f>
        <v/>
      </c>
      <c r="F311" s="56">
        <f>SUMIFS(ENTRADAS[CANTIDAD],ENTRADAS[CODIGO],PRODUCTOS[[#This Row],[CODIGO]])</f>
        <v/>
      </c>
      <c r="G311" s="56">
        <f>SUMIFS(SALIDAS[CANTIDAD],SALIDAS[CODIGO],PRODUCTOS[[#This Row],[CODIGO]])</f>
        <v/>
      </c>
      <c r="H311" s="56">
        <f>PRODUCTOS[[#This Row],[ENTRADAS]]-PRODUCTOS[[#This Row],[SALIDAS ]]</f>
        <v/>
      </c>
      <c r="I311" s="76" t="n">
        <v>0</v>
      </c>
      <c r="J311">
        <f>IF(PRODUCTOS[[#This Row],[STOCK]]&lt;0,"NEGATIVO",IF(PRODUCTOS[[#This Row],[STOCK]]=0,"SIN STOCK",IF(PRODUCTOS[[#This Row],[STOCK]]&lt;=PRODUCTOS[[#This Row],[STOCK MÍN.]],"BAJO","OK")))</f>
        <v/>
      </c>
      <c r="K3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12" hidden="1" s="11">
      <c r="A312" s="18" t="n">
        <v>297</v>
      </c>
      <c r="B312" s="56" t="inlineStr">
        <is>
          <t>00026-OFC</t>
        </is>
      </c>
      <c r="C312" s="56">
        <f>IFERROR(_xlfn.XLOOKUP(PRODUCTOS[[#This Row],[CODIGO]],LISTADO[CODIGOS],LISTADO[CATEGORIA]),"NO EXISTE")</f>
        <v/>
      </c>
      <c r="D312" s="56">
        <f>IFERROR(_xlfn.XLOOKUP(PRODUCTOS[[#This Row],[CODIGO]],LISTADO[CODIGOS],LISTADO[PRODUCTOS]),"NO EXISTE")</f>
        <v/>
      </c>
      <c r="E312" s="56">
        <f>IFERROR(_xlfn.XLOOKUP(PRODUCTOS[[#This Row],[CODIGO]],LISTADO[CODIGOS],LISTADO[UBICACIÓN]),"NO EXISTE")</f>
        <v/>
      </c>
      <c r="F312" s="56">
        <f>SUMIFS(ENTRADAS[CANTIDAD],ENTRADAS[CODIGO],PRODUCTOS[[#This Row],[CODIGO]])</f>
        <v/>
      </c>
      <c r="G312" s="56">
        <f>SUMIFS(SALIDAS[CANTIDAD],SALIDAS[CODIGO],PRODUCTOS[[#This Row],[CODIGO]])</f>
        <v/>
      </c>
      <c r="H312" s="56">
        <f>PRODUCTOS[[#This Row],[ENTRADAS]]-PRODUCTOS[[#This Row],[SALIDAS ]]</f>
        <v/>
      </c>
      <c r="I312" s="76" t="n">
        <v>0</v>
      </c>
      <c r="J312">
        <f>IF(PRODUCTOS[[#This Row],[STOCK]]&lt;0,"NEGATIVO",IF(PRODUCTOS[[#This Row],[STOCK]]=0,"SIN STOCK",IF(PRODUCTOS[[#This Row],[STOCK]]&lt;=PRODUCTOS[[#This Row],[STOCK MÍN.]],"BAJO","OK")))</f>
        <v/>
      </c>
      <c r="K3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13" hidden="1" s="11">
      <c r="A313" s="18" t="n">
        <v>298</v>
      </c>
      <c r="B313" s="56" t="inlineStr">
        <is>
          <t>00027-OFC</t>
        </is>
      </c>
      <c r="C313" s="56">
        <f>IFERROR(_xlfn.XLOOKUP(PRODUCTOS[[#This Row],[CODIGO]],LISTADO[CODIGOS],LISTADO[CATEGORIA]),"NO EXISTE")</f>
        <v/>
      </c>
      <c r="D313" s="56">
        <f>IFERROR(_xlfn.XLOOKUP(PRODUCTOS[[#This Row],[CODIGO]],LISTADO[CODIGOS],LISTADO[PRODUCTOS]),"NO EXISTE")</f>
        <v/>
      </c>
      <c r="E313" s="56">
        <f>IFERROR(_xlfn.XLOOKUP(PRODUCTOS[[#This Row],[CODIGO]],LISTADO[CODIGOS],LISTADO[UBICACIÓN]),"NO EXISTE")</f>
        <v/>
      </c>
      <c r="F313" s="56">
        <f>SUMIFS(ENTRADAS[CANTIDAD],ENTRADAS[CODIGO],PRODUCTOS[[#This Row],[CODIGO]])</f>
        <v/>
      </c>
      <c r="G313" s="56">
        <f>SUMIFS(SALIDAS[CANTIDAD],SALIDAS[CODIGO],PRODUCTOS[[#This Row],[CODIGO]])</f>
        <v/>
      </c>
      <c r="H313" s="56">
        <f>PRODUCTOS[[#This Row],[ENTRADAS]]-PRODUCTOS[[#This Row],[SALIDAS ]]</f>
        <v/>
      </c>
      <c r="I313" s="76" t="n">
        <v>0</v>
      </c>
      <c r="J313">
        <f>IF(PRODUCTOS[[#This Row],[STOCK]]&lt;0,"NEGATIVO",IF(PRODUCTOS[[#This Row],[STOCK]]=0,"SIN STOCK",IF(PRODUCTOS[[#This Row],[STOCK]]&lt;=PRODUCTOS[[#This Row],[STOCK MÍN.]],"BAJO","OK")))</f>
        <v/>
      </c>
      <c r="K3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14" hidden="1" s="11">
      <c r="A314" s="18" t="n">
        <v>299</v>
      </c>
      <c r="B314" s="56" t="inlineStr">
        <is>
          <t>00073-HER</t>
        </is>
      </c>
      <c r="C314" s="56">
        <f>IFERROR(_xlfn.XLOOKUP(PRODUCTOS[[#This Row],[CODIGO]],LISTADO[CODIGOS],LISTADO[CATEGORIA]),"NO EXISTE")</f>
        <v/>
      </c>
      <c r="D314" s="56">
        <f>IFERROR(_xlfn.XLOOKUP(PRODUCTOS[[#This Row],[CODIGO]],LISTADO[CODIGOS],LISTADO[PRODUCTOS]),"NO EXISTE")</f>
        <v/>
      </c>
      <c r="E314" s="56">
        <f>IFERROR(_xlfn.XLOOKUP(PRODUCTOS[[#This Row],[CODIGO]],LISTADO[CODIGOS],LISTADO[UBICACIÓN]),"NO EXISTE")</f>
        <v/>
      </c>
      <c r="F314" s="56">
        <f>SUMIFS(ENTRADAS[CANTIDAD],ENTRADAS[CODIGO],PRODUCTOS[[#This Row],[CODIGO]])</f>
        <v/>
      </c>
      <c r="G314" s="56">
        <f>SUMIFS(SALIDAS[CANTIDAD],SALIDAS[CODIGO],PRODUCTOS[[#This Row],[CODIGO]])</f>
        <v/>
      </c>
      <c r="H314" s="56">
        <f>PRODUCTOS[[#This Row],[ENTRADAS]]-PRODUCTOS[[#This Row],[SALIDAS ]]</f>
        <v/>
      </c>
      <c r="I314" s="76" t="n">
        <v>0</v>
      </c>
      <c r="J314">
        <f>IF(PRODUCTOS[[#This Row],[STOCK]]&lt;0,"NEGATIVO",IF(PRODUCTOS[[#This Row],[STOCK]]=0,"SIN STOCK",IF(PRODUCTOS[[#This Row],[STOCK]]&lt;=PRODUCTOS[[#This Row],[STOCK MÍN.]],"BAJO","OK")))</f>
        <v/>
      </c>
      <c r="K3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15" hidden="1" s="11">
      <c r="A315" s="18" t="n">
        <v>300</v>
      </c>
      <c r="B315" s="56" t="inlineStr">
        <is>
          <t>00017-REF</t>
        </is>
      </c>
      <c r="C315" s="56">
        <f>IFERROR(_xlfn.XLOOKUP(PRODUCTOS[[#This Row],[CODIGO]],LISTADO[CODIGOS],LISTADO[CATEGORIA]),"NO EXISTE")</f>
        <v/>
      </c>
      <c r="D315" s="56">
        <f>IFERROR(_xlfn.XLOOKUP(PRODUCTOS[[#This Row],[CODIGO]],LISTADO[CODIGOS],LISTADO[PRODUCTOS]),"NO EXISTE")</f>
        <v/>
      </c>
      <c r="E315" s="56">
        <f>IFERROR(_xlfn.XLOOKUP(PRODUCTOS[[#This Row],[CODIGO]],LISTADO[CODIGOS],LISTADO[UBICACIÓN]),"NO EXISTE")</f>
        <v/>
      </c>
      <c r="F315" s="56">
        <f>SUMIFS(ENTRADAS[CANTIDAD],ENTRADAS[CODIGO],PRODUCTOS[[#This Row],[CODIGO]])</f>
        <v/>
      </c>
      <c r="G315" s="56">
        <f>SUMIFS(SALIDAS[CANTIDAD],SALIDAS[CODIGO],PRODUCTOS[[#This Row],[CODIGO]])</f>
        <v/>
      </c>
      <c r="H315" s="56">
        <f>PRODUCTOS[[#This Row],[ENTRADAS]]-PRODUCTOS[[#This Row],[SALIDAS ]]</f>
        <v/>
      </c>
      <c r="I315" s="76" t="n">
        <v>0</v>
      </c>
      <c r="J315">
        <f>IF(PRODUCTOS[[#This Row],[STOCK]]&lt;0,"NEGATIVO",IF(PRODUCTOS[[#This Row],[STOCK]]=0,"SIN STOCK",IF(PRODUCTOS[[#This Row],[STOCK]]&lt;=PRODUCTOS[[#This Row],[STOCK MÍN.]],"BAJO","OK")))</f>
        <v/>
      </c>
      <c r="K3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16" hidden="1" s="11">
      <c r="A316" s="18" t="n">
        <v>301</v>
      </c>
      <c r="B316" s="56" t="inlineStr">
        <is>
          <t>00054-FER</t>
        </is>
      </c>
      <c r="C316" s="56">
        <f>IFERROR(_xlfn.XLOOKUP(PRODUCTOS[[#This Row],[CODIGO]],LISTADO[CODIGOS],LISTADO[CATEGORIA]),"NO EXISTE")</f>
        <v/>
      </c>
      <c r="D316" s="56">
        <f>IFERROR(_xlfn.XLOOKUP(PRODUCTOS[[#This Row],[CODIGO]],LISTADO[CODIGOS],LISTADO[PRODUCTOS]),"NO EXISTE")</f>
        <v/>
      </c>
      <c r="E316" s="56">
        <f>IFERROR(_xlfn.XLOOKUP(PRODUCTOS[[#This Row],[CODIGO]],LISTADO[CODIGOS],LISTADO[UBICACIÓN]),"NO EXISTE")</f>
        <v/>
      </c>
      <c r="F316" s="56">
        <f>SUMIFS(ENTRADAS[CANTIDAD],ENTRADAS[CODIGO],PRODUCTOS[[#This Row],[CODIGO]])</f>
        <v/>
      </c>
      <c r="G316" s="56">
        <f>SUMIFS(SALIDAS[CANTIDAD],SALIDAS[CODIGO],PRODUCTOS[[#This Row],[CODIGO]])</f>
        <v/>
      </c>
      <c r="H316" s="56">
        <f>PRODUCTOS[[#This Row],[ENTRADAS]]-PRODUCTOS[[#This Row],[SALIDAS ]]</f>
        <v/>
      </c>
      <c r="I316" s="76" t="n">
        <v>0</v>
      </c>
      <c r="J316">
        <f>IF(PRODUCTOS[[#This Row],[STOCK]]&lt;0,"NEGATIVO",IF(PRODUCTOS[[#This Row],[STOCK]]=0,"SIN STOCK",IF(PRODUCTOS[[#This Row],[STOCK]]&lt;=PRODUCTOS[[#This Row],[STOCK MÍN.]],"BAJO","OK")))</f>
        <v/>
      </c>
      <c r="K3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17" hidden="1" s="11">
      <c r="A317" s="18" t="n">
        <v>302</v>
      </c>
      <c r="B317" s="56" t="inlineStr">
        <is>
          <t>00055-FER</t>
        </is>
      </c>
      <c r="C317" s="56">
        <f>IFERROR(_xlfn.XLOOKUP(PRODUCTOS[[#This Row],[CODIGO]],LISTADO[CODIGOS],LISTADO[CATEGORIA]),"NO EXISTE")</f>
        <v/>
      </c>
      <c r="D317" s="56">
        <f>IFERROR(_xlfn.XLOOKUP(PRODUCTOS[[#This Row],[CODIGO]],LISTADO[CODIGOS],LISTADO[PRODUCTOS]),"NO EXISTE")</f>
        <v/>
      </c>
      <c r="E317" s="56">
        <f>IFERROR(_xlfn.XLOOKUP(PRODUCTOS[[#This Row],[CODIGO]],LISTADO[CODIGOS],LISTADO[UBICACIÓN]),"NO EXISTE")</f>
        <v/>
      </c>
      <c r="F317" s="56">
        <f>SUMIFS(ENTRADAS[CANTIDAD],ENTRADAS[CODIGO],PRODUCTOS[[#This Row],[CODIGO]])</f>
        <v/>
      </c>
      <c r="G317" s="56">
        <f>SUMIFS(SALIDAS[CANTIDAD],SALIDAS[CODIGO],PRODUCTOS[[#This Row],[CODIGO]])</f>
        <v/>
      </c>
      <c r="H317" s="56">
        <f>PRODUCTOS[[#This Row],[ENTRADAS]]-PRODUCTOS[[#This Row],[SALIDAS ]]</f>
        <v/>
      </c>
      <c r="I317" s="76" t="n">
        <v>0</v>
      </c>
      <c r="J317">
        <f>IF(PRODUCTOS[[#This Row],[STOCK]]&lt;0,"NEGATIVO",IF(PRODUCTOS[[#This Row],[STOCK]]=0,"SIN STOCK",IF(PRODUCTOS[[#This Row],[STOCK]]&lt;=PRODUCTOS[[#This Row],[STOCK MÍN.]],"BAJO","OK")))</f>
        <v/>
      </c>
      <c r="K3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18" hidden="1" s="11">
      <c r="A318" s="18" t="n">
        <v>303</v>
      </c>
      <c r="B318" s="56" t="inlineStr">
        <is>
          <t>00056-FER</t>
        </is>
      </c>
      <c r="C318" s="56">
        <f>IFERROR(_xlfn.XLOOKUP(PRODUCTOS[[#This Row],[CODIGO]],LISTADO[CODIGOS],LISTADO[CATEGORIA]),"NO EXISTE")</f>
        <v/>
      </c>
      <c r="D318" s="56">
        <f>IFERROR(_xlfn.XLOOKUP(PRODUCTOS[[#This Row],[CODIGO]],LISTADO[CODIGOS],LISTADO[PRODUCTOS]),"NO EXISTE")</f>
        <v/>
      </c>
      <c r="E318" s="56">
        <f>IFERROR(_xlfn.XLOOKUP(PRODUCTOS[[#This Row],[CODIGO]],LISTADO[CODIGOS],LISTADO[UBICACIÓN]),"NO EXISTE")</f>
        <v/>
      </c>
      <c r="F318" s="56">
        <f>SUMIFS(ENTRADAS[CANTIDAD],ENTRADAS[CODIGO],PRODUCTOS[[#This Row],[CODIGO]])</f>
        <v/>
      </c>
      <c r="G318" s="56">
        <f>SUMIFS(SALIDAS[CANTIDAD],SALIDAS[CODIGO],PRODUCTOS[[#This Row],[CODIGO]])</f>
        <v/>
      </c>
      <c r="H318" s="56">
        <f>PRODUCTOS[[#This Row],[ENTRADAS]]-PRODUCTOS[[#This Row],[SALIDAS ]]</f>
        <v/>
      </c>
      <c r="I318" s="76" t="n">
        <v>0</v>
      </c>
      <c r="J318">
        <f>IF(PRODUCTOS[[#This Row],[STOCK]]&lt;0,"NEGATIVO",IF(PRODUCTOS[[#This Row],[STOCK]]=0,"SIN STOCK",IF(PRODUCTOS[[#This Row],[STOCK]]&lt;=PRODUCTOS[[#This Row],[STOCK MÍN.]],"BAJO","OK")))</f>
        <v/>
      </c>
      <c r="K3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19" hidden="1" s="11">
      <c r="A319" s="18" t="n">
        <v>304</v>
      </c>
      <c r="B319" s="56" t="inlineStr">
        <is>
          <t>00057-FER</t>
        </is>
      </c>
      <c r="C319" s="56">
        <f>IFERROR(_xlfn.XLOOKUP(PRODUCTOS[[#This Row],[CODIGO]],LISTADO[CODIGOS],LISTADO[CATEGORIA]),"NO EXISTE")</f>
        <v/>
      </c>
      <c r="D319" s="56">
        <f>IFERROR(_xlfn.XLOOKUP(PRODUCTOS[[#This Row],[CODIGO]],LISTADO[CODIGOS],LISTADO[PRODUCTOS]),"NO EXISTE")</f>
        <v/>
      </c>
      <c r="E319" s="56">
        <f>IFERROR(_xlfn.XLOOKUP(PRODUCTOS[[#This Row],[CODIGO]],LISTADO[CODIGOS],LISTADO[UBICACIÓN]),"NO EXISTE")</f>
        <v/>
      </c>
      <c r="F319" s="56">
        <f>SUMIFS(ENTRADAS[CANTIDAD],ENTRADAS[CODIGO],PRODUCTOS[[#This Row],[CODIGO]])</f>
        <v/>
      </c>
      <c r="G319" s="56">
        <f>SUMIFS(SALIDAS[CANTIDAD],SALIDAS[CODIGO],PRODUCTOS[[#This Row],[CODIGO]])</f>
        <v/>
      </c>
      <c r="H319" s="56">
        <f>PRODUCTOS[[#This Row],[ENTRADAS]]-PRODUCTOS[[#This Row],[SALIDAS ]]</f>
        <v/>
      </c>
      <c r="I319" s="76" t="n">
        <v>0</v>
      </c>
      <c r="J319">
        <f>IF(PRODUCTOS[[#This Row],[STOCK]]&lt;0,"NEGATIVO",IF(PRODUCTOS[[#This Row],[STOCK]]=0,"SIN STOCK",IF(PRODUCTOS[[#This Row],[STOCK]]&lt;=PRODUCTOS[[#This Row],[STOCK MÍN.]],"BAJO","OK")))</f>
        <v/>
      </c>
      <c r="K3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20" hidden="1" s="11">
      <c r="A320" s="18" t="n">
        <v>305</v>
      </c>
      <c r="B320" s="56" t="inlineStr">
        <is>
          <t>00058-FER</t>
        </is>
      </c>
      <c r="C320" s="56">
        <f>IFERROR(_xlfn.XLOOKUP(PRODUCTOS[[#This Row],[CODIGO]],LISTADO[CODIGOS],LISTADO[CATEGORIA]),"NO EXISTE")</f>
        <v/>
      </c>
      <c r="D320" s="56">
        <f>IFERROR(_xlfn.XLOOKUP(PRODUCTOS[[#This Row],[CODIGO]],LISTADO[CODIGOS],LISTADO[PRODUCTOS]),"NO EXISTE")</f>
        <v/>
      </c>
      <c r="E320" s="56">
        <f>IFERROR(_xlfn.XLOOKUP(PRODUCTOS[[#This Row],[CODIGO]],LISTADO[CODIGOS],LISTADO[UBICACIÓN]),"NO EXISTE")</f>
        <v/>
      </c>
      <c r="F320" s="56">
        <f>SUMIFS(ENTRADAS[CANTIDAD],ENTRADAS[CODIGO],PRODUCTOS[[#This Row],[CODIGO]])</f>
        <v/>
      </c>
      <c r="G320" s="56">
        <f>SUMIFS(SALIDAS[CANTIDAD],SALIDAS[CODIGO],PRODUCTOS[[#This Row],[CODIGO]])</f>
        <v/>
      </c>
      <c r="H320" s="56">
        <f>PRODUCTOS[[#This Row],[ENTRADAS]]-PRODUCTOS[[#This Row],[SALIDAS ]]</f>
        <v/>
      </c>
      <c r="I320" s="76" t="n">
        <v>0</v>
      </c>
      <c r="J320">
        <f>IF(PRODUCTOS[[#This Row],[STOCK]]&lt;0,"NEGATIVO",IF(PRODUCTOS[[#This Row],[STOCK]]=0,"SIN STOCK",IF(PRODUCTOS[[#This Row],[STOCK]]&lt;=PRODUCTOS[[#This Row],[STOCK MÍN.]],"BAJO","OK")))</f>
        <v/>
      </c>
      <c r="K3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21" hidden="1" s="11">
      <c r="A321" s="18" t="n">
        <v>306</v>
      </c>
      <c r="B321" s="56" t="inlineStr">
        <is>
          <t>00059-FER</t>
        </is>
      </c>
      <c r="C321" s="56">
        <f>IFERROR(_xlfn.XLOOKUP(PRODUCTOS[[#This Row],[CODIGO]],LISTADO[CODIGOS],LISTADO[CATEGORIA]),"NO EXISTE")</f>
        <v/>
      </c>
      <c r="D321" s="56">
        <f>IFERROR(_xlfn.XLOOKUP(PRODUCTOS[[#This Row],[CODIGO]],LISTADO[CODIGOS],LISTADO[PRODUCTOS]),"NO EXISTE")</f>
        <v/>
      </c>
      <c r="E321" s="56">
        <f>IFERROR(_xlfn.XLOOKUP(PRODUCTOS[[#This Row],[CODIGO]],LISTADO[CODIGOS],LISTADO[UBICACIÓN]),"NO EXISTE")</f>
        <v/>
      </c>
      <c r="F321" s="56">
        <f>SUMIFS(ENTRADAS[CANTIDAD],ENTRADAS[CODIGO],PRODUCTOS[[#This Row],[CODIGO]])</f>
        <v/>
      </c>
      <c r="G321" s="56">
        <f>SUMIFS(SALIDAS[CANTIDAD],SALIDAS[CODIGO],PRODUCTOS[[#This Row],[CODIGO]])</f>
        <v/>
      </c>
      <c r="H321" s="56">
        <f>PRODUCTOS[[#This Row],[ENTRADAS]]-PRODUCTOS[[#This Row],[SALIDAS ]]</f>
        <v/>
      </c>
      <c r="I321" s="76" t="n">
        <v>0</v>
      </c>
      <c r="J321">
        <f>IF(PRODUCTOS[[#This Row],[STOCK]]&lt;0,"NEGATIVO",IF(PRODUCTOS[[#This Row],[STOCK]]=0,"SIN STOCK",IF(PRODUCTOS[[#This Row],[STOCK]]&lt;=PRODUCTOS[[#This Row],[STOCK MÍN.]],"BAJO","OK")))</f>
        <v/>
      </c>
      <c r="K3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22" hidden="1" s="11">
      <c r="A322" s="18" t="n">
        <v>307</v>
      </c>
      <c r="B322" s="56" t="inlineStr">
        <is>
          <t>00060-FER</t>
        </is>
      </c>
      <c r="C322" s="56">
        <f>IFERROR(_xlfn.XLOOKUP(PRODUCTOS[[#This Row],[CODIGO]],LISTADO[CODIGOS],LISTADO[CATEGORIA]),"NO EXISTE")</f>
        <v/>
      </c>
      <c r="D322" s="56">
        <f>IFERROR(_xlfn.XLOOKUP(PRODUCTOS[[#This Row],[CODIGO]],LISTADO[CODIGOS],LISTADO[PRODUCTOS]),"NO EXISTE")</f>
        <v/>
      </c>
      <c r="E322" s="56">
        <f>IFERROR(_xlfn.XLOOKUP(PRODUCTOS[[#This Row],[CODIGO]],LISTADO[CODIGOS],LISTADO[UBICACIÓN]),"NO EXISTE")</f>
        <v/>
      </c>
      <c r="F322" s="56">
        <f>SUMIFS(ENTRADAS[CANTIDAD],ENTRADAS[CODIGO],PRODUCTOS[[#This Row],[CODIGO]])</f>
        <v/>
      </c>
      <c r="G322" s="56">
        <f>SUMIFS(SALIDAS[CANTIDAD],SALIDAS[CODIGO],PRODUCTOS[[#This Row],[CODIGO]])</f>
        <v/>
      </c>
      <c r="H322" s="56">
        <f>PRODUCTOS[[#This Row],[ENTRADAS]]-PRODUCTOS[[#This Row],[SALIDAS ]]</f>
        <v/>
      </c>
      <c r="I322" s="76" t="n">
        <v>0</v>
      </c>
      <c r="J322">
        <f>IF(PRODUCTOS[[#This Row],[STOCK]]&lt;0,"NEGATIVO",IF(PRODUCTOS[[#This Row],[STOCK]]=0,"SIN STOCK",IF(PRODUCTOS[[#This Row],[STOCK]]&lt;=PRODUCTOS[[#This Row],[STOCK MÍN.]],"BAJO","OK")))</f>
        <v/>
      </c>
      <c r="K3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23" hidden="1" s="11">
      <c r="A323" s="18" t="n">
        <v>308</v>
      </c>
      <c r="B323" s="56" t="inlineStr">
        <is>
          <t>00061-FER</t>
        </is>
      </c>
      <c r="C323" s="56">
        <f>IFERROR(_xlfn.XLOOKUP(PRODUCTOS[[#This Row],[CODIGO]],LISTADO[CODIGOS],LISTADO[CATEGORIA]),"NO EXISTE")</f>
        <v/>
      </c>
      <c r="D323" s="56">
        <f>IFERROR(_xlfn.XLOOKUP(PRODUCTOS[[#This Row],[CODIGO]],LISTADO[CODIGOS],LISTADO[PRODUCTOS]),"NO EXISTE")</f>
        <v/>
      </c>
      <c r="E323" s="56">
        <f>IFERROR(_xlfn.XLOOKUP(PRODUCTOS[[#This Row],[CODIGO]],LISTADO[CODIGOS],LISTADO[UBICACIÓN]),"NO EXISTE")</f>
        <v/>
      </c>
      <c r="F323" s="56">
        <f>SUMIFS(ENTRADAS[CANTIDAD],ENTRADAS[CODIGO],PRODUCTOS[[#This Row],[CODIGO]])</f>
        <v/>
      </c>
      <c r="G323" s="56">
        <f>SUMIFS(SALIDAS[CANTIDAD],SALIDAS[CODIGO],PRODUCTOS[[#This Row],[CODIGO]])</f>
        <v/>
      </c>
      <c r="H323" s="56">
        <f>PRODUCTOS[[#This Row],[ENTRADAS]]-PRODUCTOS[[#This Row],[SALIDAS ]]</f>
        <v/>
      </c>
      <c r="I323" s="76" t="n">
        <v>0</v>
      </c>
      <c r="J323">
        <f>IF(PRODUCTOS[[#This Row],[STOCK]]&lt;0,"NEGATIVO",IF(PRODUCTOS[[#This Row],[STOCK]]=0,"SIN STOCK",IF(PRODUCTOS[[#This Row],[STOCK]]&lt;=PRODUCTOS[[#This Row],[STOCK MÍN.]],"BAJO","OK")))</f>
        <v/>
      </c>
      <c r="K3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24" hidden="1" s="11">
      <c r="A324" s="18" t="n">
        <v>309</v>
      </c>
      <c r="B324" s="56" t="inlineStr">
        <is>
          <t>00053-UNI</t>
        </is>
      </c>
      <c r="C324" s="56">
        <f>IFERROR(_xlfn.XLOOKUP(PRODUCTOS[[#This Row],[CODIGO]],LISTADO[CODIGOS],LISTADO[CATEGORIA]),"NO EXISTE")</f>
        <v/>
      </c>
      <c r="D324" s="56">
        <f>IFERROR(_xlfn.XLOOKUP(PRODUCTOS[[#This Row],[CODIGO]],LISTADO[CODIGOS],LISTADO[PRODUCTOS]),"NO EXISTE")</f>
        <v/>
      </c>
      <c r="E324" s="56">
        <f>IFERROR(_xlfn.XLOOKUP(PRODUCTOS[[#This Row],[CODIGO]],LISTADO[CODIGOS],LISTADO[UBICACIÓN]),"NO EXISTE")</f>
        <v/>
      </c>
      <c r="F324" s="56">
        <f>SUMIFS(ENTRADAS[CANTIDAD],ENTRADAS[CODIGO],PRODUCTOS[[#This Row],[CODIGO]])</f>
        <v/>
      </c>
      <c r="G324" s="56">
        <f>SUMIFS(SALIDAS[CANTIDAD],SALIDAS[CODIGO],PRODUCTOS[[#This Row],[CODIGO]])</f>
        <v/>
      </c>
      <c r="H324" s="56">
        <f>PRODUCTOS[[#This Row],[ENTRADAS]]-PRODUCTOS[[#This Row],[SALIDAS ]]</f>
        <v/>
      </c>
      <c r="I324" s="76" t="n">
        <v>0</v>
      </c>
      <c r="J324">
        <f>IF(PRODUCTOS[[#This Row],[STOCK]]&lt;0,"NEGATIVO",IF(PRODUCTOS[[#This Row],[STOCK]]=0,"SIN STOCK",IF(PRODUCTOS[[#This Row],[STOCK]]&lt;=PRODUCTOS[[#This Row],[STOCK MÍN.]],"BAJO","OK")))</f>
        <v/>
      </c>
      <c r="K3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25" hidden="1" s="11">
      <c r="A325" s="18" t="n">
        <v>310</v>
      </c>
      <c r="B325" s="56" t="inlineStr">
        <is>
          <t>00054-UNI</t>
        </is>
      </c>
      <c r="C325" s="56">
        <f>IFERROR(_xlfn.XLOOKUP(PRODUCTOS[[#This Row],[CODIGO]],LISTADO[CODIGOS],LISTADO[CATEGORIA]),"NO EXISTE")</f>
        <v/>
      </c>
      <c r="D325" s="56">
        <f>IFERROR(_xlfn.XLOOKUP(PRODUCTOS[[#This Row],[CODIGO]],LISTADO[CODIGOS],LISTADO[PRODUCTOS]),"NO EXISTE")</f>
        <v/>
      </c>
      <c r="E325" s="56">
        <f>IFERROR(_xlfn.XLOOKUP(PRODUCTOS[[#This Row],[CODIGO]],LISTADO[CODIGOS],LISTADO[UBICACIÓN]),"NO EXISTE")</f>
        <v/>
      </c>
      <c r="F325" s="56">
        <f>SUMIFS(ENTRADAS[CANTIDAD],ENTRADAS[CODIGO],PRODUCTOS[[#This Row],[CODIGO]])</f>
        <v/>
      </c>
      <c r="G325" s="56">
        <f>SUMIFS(SALIDAS[CANTIDAD],SALIDAS[CODIGO],PRODUCTOS[[#This Row],[CODIGO]])</f>
        <v/>
      </c>
      <c r="H325" s="56">
        <f>PRODUCTOS[[#This Row],[ENTRADAS]]-PRODUCTOS[[#This Row],[SALIDAS ]]</f>
        <v/>
      </c>
      <c r="I325" s="76" t="n">
        <v>0</v>
      </c>
      <c r="J325">
        <f>IF(PRODUCTOS[[#This Row],[STOCK]]&lt;0,"NEGATIVO",IF(PRODUCTOS[[#This Row],[STOCK]]=0,"SIN STOCK",IF(PRODUCTOS[[#This Row],[STOCK]]&lt;=PRODUCTOS[[#This Row],[STOCK MÍN.]],"BAJO","OK")))</f>
        <v/>
      </c>
      <c r="K3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26" hidden="1" s="11">
      <c r="A326" s="18" t="n">
        <v>311</v>
      </c>
      <c r="B326" s="56" t="inlineStr">
        <is>
          <t>00055-UNI</t>
        </is>
      </c>
      <c r="C326" s="56">
        <f>IFERROR(_xlfn.XLOOKUP(PRODUCTOS[[#This Row],[CODIGO]],LISTADO[CODIGOS],LISTADO[CATEGORIA]),"NO EXISTE")</f>
        <v/>
      </c>
      <c r="D326" s="56">
        <f>IFERROR(_xlfn.XLOOKUP(PRODUCTOS[[#This Row],[CODIGO]],LISTADO[CODIGOS],LISTADO[PRODUCTOS]),"NO EXISTE")</f>
        <v/>
      </c>
      <c r="E326" s="56">
        <f>IFERROR(_xlfn.XLOOKUP(PRODUCTOS[[#This Row],[CODIGO]],LISTADO[CODIGOS],LISTADO[UBICACIÓN]),"NO EXISTE")</f>
        <v/>
      </c>
      <c r="F326" s="56">
        <f>SUMIFS(ENTRADAS[CANTIDAD],ENTRADAS[CODIGO],PRODUCTOS[[#This Row],[CODIGO]])</f>
        <v/>
      </c>
      <c r="G326" s="56">
        <f>SUMIFS(SALIDAS[CANTIDAD],SALIDAS[CODIGO],PRODUCTOS[[#This Row],[CODIGO]])</f>
        <v/>
      </c>
      <c r="H326" s="56">
        <f>PRODUCTOS[[#This Row],[ENTRADAS]]-PRODUCTOS[[#This Row],[SALIDAS ]]</f>
        <v/>
      </c>
      <c r="I326" s="76" t="n">
        <v>0</v>
      </c>
      <c r="J326">
        <f>IF(PRODUCTOS[[#This Row],[STOCK]]&lt;0,"NEGATIVO",IF(PRODUCTOS[[#This Row],[STOCK]]=0,"SIN STOCK",IF(PRODUCTOS[[#This Row],[STOCK]]&lt;=PRODUCTOS[[#This Row],[STOCK MÍN.]],"BAJO","OK")))</f>
        <v/>
      </c>
      <c r="K3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27" hidden="1" s="11">
      <c r="A327" s="18" t="n">
        <v>312</v>
      </c>
      <c r="B327" s="56" t="inlineStr">
        <is>
          <t>00056-UNI</t>
        </is>
      </c>
      <c r="C327" s="56">
        <f>IFERROR(_xlfn.XLOOKUP(PRODUCTOS[[#This Row],[CODIGO]],LISTADO[CODIGOS],LISTADO[CATEGORIA]),"NO EXISTE")</f>
        <v/>
      </c>
      <c r="D327" s="56">
        <f>IFERROR(_xlfn.XLOOKUP(PRODUCTOS[[#This Row],[CODIGO]],LISTADO[CODIGOS],LISTADO[PRODUCTOS]),"NO EXISTE")</f>
        <v/>
      </c>
      <c r="E327" s="56">
        <f>IFERROR(_xlfn.XLOOKUP(PRODUCTOS[[#This Row],[CODIGO]],LISTADO[CODIGOS],LISTADO[UBICACIÓN]),"NO EXISTE")</f>
        <v/>
      </c>
      <c r="F327" s="56">
        <f>SUMIFS(ENTRADAS[CANTIDAD],ENTRADAS[CODIGO],PRODUCTOS[[#This Row],[CODIGO]])</f>
        <v/>
      </c>
      <c r="G327" s="56">
        <f>SUMIFS(SALIDAS[CANTIDAD],SALIDAS[CODIGO],PRODUCTOS[[#This Row],[CODIGO]])</f>
        <v/>
      </c>
      <c r="H327" s="56">
        <f>PRODUCTOS[[#This Row],[ENTRADAS]]-PRODUCTOS[[#This Row],[SALIDAS ]]</f>
        <v/>
      </c>
      <c r="I327" s="76" t="n">
        <v>0</v>
      </c>
      <c r="J327">
        <f>IF(PRODUCTOS[[#This Row],[STOCK]]&lt;0,"NEGATIVO",IF(PRODUCTOS[[#This Row],[STOCK]]=0,"SIN STOCK",IF(PRODUCTOS[[#This Row],[STOCK]]&lt;=PRODUCTOS[[#This Row],[STOCK MÍN.]],"BAJO","OK")))</f>
        <v/>
      </c>
      <c r="K3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28" hidden="1" s="11">
      <c r="A328" s="18" t="n">
        <v>313</v>
      </c>
      <c r="B328" s="56" t="inlineStr">
        <is>
          <t>00057-UNI</t>
        </is>
      </c>
      <c r="C328" s="56">
        <f>IFERROR(_xlfn.XLOOKUP(PRODUCTOS[[#This Row],[CODIGO]],LISTADO[CODIGOS],LISTADO[CATEGORIA]),"NO EXISTE")</f>
        <v/>
      </c>
      <c r="D328" s="56">
        <f>IFERROR(_xlfn.XLOOKUP(PRODUCTOS[[#This Row],[CODIGO]],LISTADO[CODIGOS],LISTADO[PRODUCTOS]),"NO EXISTE")</f>
        <v/>
      </c>
      <c r="E328" s="56">
        <f>IFERROR(_xlfn.XLOOKUP(PRODUCTOS[[#This Row],[CODIGO]],LISTADO[CODIGOS],LISTADO[UBICACIÓN]),"NO EXISTE")</f>
        <v/>
      </c>
      <c r="F328" s="56">
        <f>SUMIFS(ENTRADAS[CANTIDAD],ENTRADAS[CODIGO],PRODUCTOS[[#This Row],[CODIGO]])</f>
        <v/>
      </c>
      <c r="G328" s="56">
        <f>SUMIFS(SALIDAS[CANTIDAD],SALIDAS[CODIGO],PRODUCTOS[[#This Row],[CODIGO]])</f>
        <v/>
      </c>
      <c r="H328" s="56">
        <f>PRODUCTOS[[#This Row],[ENTRADAS]]-PRODUCTOS[[#This Row],[SALIDAS ]]</f>
        <v/>
      </c>
      <c r="I328" s="76" t="n">
        <v>0</v>
      </c>
      <c r="J328">
        <f>IF(PRODUCTOS[[#This Row],[STOCK]]&lt;0,"NEGATIVO",IF(PRODUCTOS[[#This Row],[STOCK]]=0,"SIN STOCK",IF(PRODUCTOS[[#This Row],[STOCK]]&lt;=PRODUCTOS[[#This Row],[STOCK MÍN.]],"BAJO","OK")))</f>
        <v/>
      </c>
      <c r="K3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29" hidden="1" s="11">
      <c r="A329" s="18" t="n">
        <v>314</v>
      </c>
      <c r="B329" s="56" t="inlineStr">
        <is>
          <t>00058-UNI</t>
        </is>
      </c>
      <c r="C329" s="56">
        <f>IFERROR(_xlfn.XLOOKUP(PRODUCTOS[[#This Row],[CODIGO]],LISTADO[CODIGOS],LISTADO[CATEGORIA]),"NO EXISTE")</f>
        <v/>
      </c>
      <c r="D329" s="56">
        <f>IFERROR(_xlfn.XLOOKUP(PRODUCTOS[[#This Row],[CODIGO]],LISTADO[CODIGOS],LISTADO[PRODUCTOS]),"NO EXISTE")</f>
        <v/>
      </c>
      <c r="E329" s="56">
        <f>IFERROR(_xlfn.XLOOKUP(PRODUCTOS[[#This Row],[CODIGO]],LISTADO[CODIGOS],LISTADO[UBICACIÓN]),"NO EXISTE")</f>
        <v/>
      </c>
      <c r="F329" s="56">
        <f>SUMIFS(ENTRADAS[CANTIDAD],ENTRADAS[CODIGO],PRODUCTOS[[#This Row],[CODIGO]])</f>
        <v/>
      </c>
      <c r="G329" s="56">
        <f>SUMIFS(SALIDAS[CANTIDAD],SALIDAS[CODIGO],PRODUCTOS[[#This Row],[CODIGO]])</f>
        <v/>
      </c>
      <c r="H329" s="56">
        <f>PRODUCTOS[[#This Row],[ENTRADAS]]-PRODUCTOS[[#This Row],[SALIDAS ]]</f>
        <v/>
      </c>
      <c r="I329" s="76" t="n">
        <v>0</v>
      </c>
      <c r="J329">
        <f>IF(PRODUCTOS[[#This Row],[STOCK]]&lt;0,"NEGATIVO",IF(PRODUCTOS[[#This Row],[STOCK]]=0,"SIN STOCK",IF(PRODUCTOS[[#This Row],[STOCK]]&lt;=PRODUCTOS[[#This Row],[STOCK MÍN.]],"BAJO","OK")))</f>
        <v/>
      </c>
      <c r="K3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30" hidden="1" s="11">
      <c r="A330" s="18" t="n">
        <v>315</v>
      </c>
      <c r="B330" s="56" t="inlineStr">
        <is>
          <t>00059-UNI</t>
        </is>
      </c>
      <c r="C330" s="56">
        <f>IFERROR(_xlfn.XLOOKUP(PRODUCTOS[[#This Row],[CODIGO]],LISTADO[CODIGOS],LISTADO[CATEGORIA]),"NO EXISTE")</f>
        <v/>
      </c>
      <c r="D330" s="56">
        <f>IFERROR(_xlfn.XLOOKUP(PRODUCTOS[[#This Row],[CODIGO]],LISTADO[CODIGOS],LISTADO[PRODUCTOS]),"NO EXISTE")</f>
        <v/>
      </c>
      <c r="E330" s="56">
        <f>IFERROR(_xlfn.XLOOKUP(PRODUCTOS[[#This Row],[CODIGO]],LISTADO[CODIGOS],LISTADO[UBICACIÓN]),"NO EXISTE")</f>
        <v/>
      </c>
      <c r="F330" s="56">
        <f>SUMIFS(ENTRADAS[CANTIDAD],ENTRADAS[CODIGO],PRODUCTOS[[#This Row],[CODIGO]])</f>
        <v/>
      </c>
      <c r="G330" s="56">
        <f>SUMIFS(SALIDAS[CANTIDAD],SALIDAS[CODIGO],PRODUCTOS[[#This Row],[CODIGO]])</f>
        <v/>
      </c>
      <c r="H330" s="56">
        <f>PRODUCTOS[[#This Row],[ENTRADAS]]-PRODUCTOS[[#This Row],[SALIDAS ]]</f>
        <v/>
      </c>
      <c r="I330" s="76" t="n">
        <v>0</v>
      </c>
      <c r="J330">
        <f>IF(PRODUCTOS[[#This Row],[STOCK]]&lt;0,"NEGATIVO",IF(PRODUCTOS[[#This Row],[STOCK]]=0,"SIN STOCK",IF(PRODUCTOS[[#This Row],[STOCK]]&lt;=PRODUCTOS[[#This Row],[STOCK MÍN.]],"BAJO","OK")))</f>
        <v/>
      </c>
      <c r="K3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31" hidden="1" s="11">
      <c r="A331" s="18" t="n">
        <v>316</v>
      </c>
      <c r="B331" s="56" t="inlineStr">
        <is>
          <t>00060-UNI</t>
        </is>
      </c>
      <c r="C331" s="56">
        <f>IFERROR(_xlfn.XLOOKUP(PRODUCTOS[[#This Row],[CODIGO]],LISTADO[CODIGOS],LISTADO[CATEGORIA]),"NO EXISTE")</f>
        <v/>
      </c>
      <c r="D331" s="56">
        <f>IFERROR(_xlfn.XLOOKUP(PRODUCTOS[[#This Row],[CODIGO]],LISTADO[CODIGOS],LISTADO[PRODUCTOS]),"NO EXISTE")</f>
        <v/>
      </c>
      <c r="E331" s="56">
        <f>IFERROR(_xlfn.XLOOKUP(PRODUCTOS[[#This Row],[CODIGO]],LISTADO[CODIGOS],LISTADO[UBICACIÓN]),"NO EXISTE")</f>
        <v/>
      </c>
      <c r="F331" s="56">
        <f>SUMIFS(ENTRADAS[CANTIDAD],ENTRADAS[CODIGO],PRODUCTOS[[#This Row],[CODIGO]])</f>
        <v/>
      </c>
      <c r="G331" s="56">
        <f>SUMIFS(SALIDAS[CANTIDAD],SALIDAS[CODIGO],PRODUCTOS[[#This Row],[CODIGO]])</f>
        <v/>
      </c>
      <c r="H331" s="56">
        <f>PRODUCTOS[[#This Row],[ENTRADAS]]-PRODUCTOS[[#This Row],[SALIDAS ]]</f>
        <v/>
      </c>
      <c r="I331" s="76" t="n">
        <v>0</v>
      </c>
      <c r="J331">
        <f>IF(PRODUCTOS[[#This Row],[STOCK]]&lt;0,"NEGATIVO",IF(PRODUCTOS[[#This Row],[STOCK]]=0,"SIN STOCK",IF(PRODUCTOS[[#This Row],[STOCK]]&lt;=PRODUCTOS[[#This Row],[STOCK MÍN.]],"BAJO","OK")))</f>
        <v/>
      </c>
      <c r="K3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32" hidden="1" s="11">
      <c r="A332" s="18" t="n">
        <v>317</v>
      </c>
      <c r="B332" s="56" t="inlineStr">
        <is>
          <t>00061-UNI</t>
        </is>
      </c>
      <c r="C332" s="56">
        <f>IFERROR(_xlfn.XLOOKUP(PRODUCTOS[[#This Row],[CODIGO]],LISTADO[CODIGOS],LISTADO[CATEGORIA]),"NO EXISTE")</f>
        <v/>
      </c>
      <c r="D332" s="56">
        <f>IFERROR(_xlfn.XLOOKUP(PRODUCTOS[[#This Row],[CODIGO]],LISTADO[CODIGOS],LISTADO[PRODUCTOS]),"NO EXISTE")</f>
        <v/>
      </c>
      <c r="E332" s="56">
        <f>IFERROR(_xlfn.XLOOKUP(PRODUCTOS[[#This Row],[CODIGO]],LISTADO[CODIGOS],LISTADO[UBICACIÓN]),"NO EXISTE")</f>
        <v/>
      </c>
      <c r="F332" s="56">
        <f>SUMIFS(ENTRADAS[CANTIDAD],ENTRADAS[CODIGO],PRODUCTOS[[#This Row],[CODIGO]])</f>
        <v/>
      </c>
      <c r="G332" s="56">
        <f>SUMIFS(SALIDAS[CANTIDAD],SALIDAS[CODIGO],PRODUCTOS[[#This Row],[CODIGO]])</f>
        <v/>
      </c>
      <c r="H332" s="56">
        <f>PRODUCTOS[[#This Row],[ENTRADAS]]-PRODUCTOS[[#This Row],[SALIDAS ]]</f>
        <v/>
      </c>
      <c r="I332" s="76" t="n">
        <v>0</v>
      </c>
      <c r="J332">
        <f>IF(PRODUCTOS[[#This Row],[STOCK]]&lt;0,"NEGATIVO",IF(PRODUCTOS[[#This Row],[STOCK]]=0,"SIN STOCK",IF(PRODUCTOS[[#This Row],[STOCK]]&lt;=PRODUCTOS[[#This Row],[STOCK MÍN.]],"BAJO","OK")))</f>
        <v/>
      </c>
      <c r="K3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33" hidden="1" s="11">
      <c r="A333" s="18" t="n">
        <v>318</v>
      </c>
      <c r="B333" s="56" t="inlineStr">
        <is>
          <t>00062-UNI</t>
        </is>
      </c>
      <c r="C333" s="56">
        <f>IFERROR(_xlfn.XLOOKUP(PRODUCTOS[[#This Row],[CODIGO]],LISTADO[CODIGOS],LISTADO[CATEGORIA]),"NO EXISTE")</f>
        <v/>
      </c>
      <c r="D333" s="56">
        <f>IFERROR(_xlfn.XLOOKUP(PRODUCTOS[[#This Row],[CODIGO]],LISTADO[CODIGOS],LISTADO[PRODUCTOS]),"NO EXISTE")</f>
        <v/>
      </c>
      <c r="E333" s="56">
        <f>IFERROR(_xlfn.XLOOKUP(PRODUCTOS[[#This Row],[CODIGO]],LISTADO[CODIGOS],LISTADO[UBICACIÓN]),"NO EXISTE")</f>
        <v/>
      </c>
      <c r="F333" s="56">
        <f>SUMIFS(ENTRADAS[CANTIDAD],ENTRADAS[CODIGO],PRODUCTOS[[#This Row],[CODIGO]])</f>
        <v/>
      </c>
      <c r="G333" s="56">
        <f>SUMIFS(SALIDAS[CANTIDAD],SALIDAS[CODIGO],PRODUCTOS[[#This Row],[CODIGO]])</f>
        <v/>
      </c>
      <c r="H333" s="56">
        <f>PRODUCTOS[[#This Row],[ENTRADAS]]-PRODUCTOS[[#This Row],[SALIDAS ]]</f>
        <v/>
      </c>
      <c r="I333" s="76" t="n">
        <v>0</v>
      </c>
      <c r="J333">
        <f>IF(PRODUCTOS[[#This Row],[STOCK]]&lt;0,"NEGATIVO",IF(PRODUCTOS[[#This Row],[STOCK]]=0,"SIN STOCK",IF(PRODUCTOS[[#This Row],[STOCK]]&lt;=PRODUCTOS[[#This Row],[STOCK MÍN.]],"BAJO","OK")))</f>
        <v/>
      </c>
      <c r="K3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34" hidden="1" s="11">
      <c r="A334" s="18" t="n">
        <v>319</v>
      </c>
      <c r="B334" s="56" t="inlineStr">
        <is>
          <t>00063-UNI</t>
        </is>
      </c>
      <c r="C334" s="56">
        <f>IFERROR(_xlfn.XLOOKUP(PRODUCTOS[[#This Row],[CODIGO]],LISTADO[CODIGOS],LISTADO[CATEGORIA]),"NO EXISTE")</f>
        <v/>
      </c>
      <c r="D334" s="56">
        <f>IFERROR(_xlfn.XLOOKUP(PRODUCTOS[[#This Row],[CODIGO]],LISTADO[CODIGOS],LISTADO[PRODUCTOS]),"NO EXISTE")</f>
        <v/>
      </c>
      <c r="E334" s="56">
        <f>IFERROR(_xlfn.XLOOKUP(PRODUCTOS[[#This Row],[CODIGO]],LISTADO[CODIGOS],LISTADO[UBICACIÓN]),"NO EXISTE")</f>
        <v/>
      </c>
      <c r="F334" s="56">
        <f>SUMIFS(ENTRADAS[CANTIDAD],ENTRADAS[CODIGO],PRODUCTOS[[#This Row],[CODIGO]])</f>
        <v/>
      </c>
      <c r="G334" s="56">
        <f>SUMIFS(SALIDAS[CANTIDAD],SALIDAS[CODIGO],PRODUCTOS[[#This Row],[CODIGO]])</f>
        <v/>
      </c>
      <c r="H334" s="56">
        <f>PRODUCTOS[[#This Row],[ENTRADAS]]-PRODUCTOS[[#This Row],[SALIDAS ]]</f>
        <v/>
      </c>
      <c r="I334" s="76" t="n">
        <v>0</v>
      </c>
      <c r="J334">
        <f>IF(PRODUCTOS[[#This Row],[STOCK]]&lt;0,"NEGATIVO",IF(PRODUCTOS[[#This Row],[STOCK]]=0,"SIN STOCK",IF(PRODUCTOS[[#This Row],[STOCK]]&lt;=PRODUCTOS[[#This Row],[STOCK MÍN.]],"BAJO","OK")))</f>
        <v/>
      </c>
      <c r="K3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35" hidden="1" s="11">
      <c r="A335" s="18" t="n">
        <v>320</v>
      </c>
      <c r="B335" s="56" t="inlineStr">
        <is>
          <t>00064-UNI</t>
        </is>
      </c>
      <c r="C335" s="56">
        <f>IFERROR(_xlfn.XLOOKUP(PRODUCTOS[[#This Row],[CODIGO]],LISTADO[CODIGOS],LISTADO[CATEGORIA]),"NO EXISTE")</f>
        <v/>
      </c>
      <c r="D335" s="56">
        <f>IFERROR(_xlfn.XLOOKUP(PRODUCTOS[[#This Row],[CODIGO]],LISTADO[CODIGOS],LISTADO[PRODUCTOS]),"NO EXISTE")</f>
        <v/>
      </c>
      <c r="E335" s="56">
        <f>IFERROR(_xlfn.XLOOKUP(PRODUCTOS[[#This Row],[CODIGO]],LISTADO[CODIGOS],LISTADO[UBICACIÓN]),"NO EXISTE")</f>
        <v/>
      </c>
      <c r="F335" s="56">
        <f>SUMIFS(ENTRADAS[CANTIDAD],ENTRADAS[CODIGO],PRODUCTOS[[#This Row],[CODIGO]])</f>
        <v/>
      </c>
      <c r="G335" s="56">
        <f>SUMIFS(SALIDAS[CANTIDAD],SALIDAS[CODIGO],PRODUCTOS[[#This Row],[CODIGO]])</f>
        <v/>
      </c>
      <c r="H335" s="56">
        <f>PRODUCTOS[[#This Row],[ENTRADAS]]-PRODUCTOS[[#This Row],[SALIDAS ]]</f>
        <v/>
      </c>
      <c r="I335" s="76" t="n">
        <v>0</v>
      </c>
      <c r="J335">
        <f>IF(PRODUCTOS[[#This Row],[STOCK]]&lt;0,"NEGATIVO",IF(PRODUCTOS[[#This Row],[STOCK]]=0,"SIN STOCK",IF(PRODUCTOS[[#This Row],[STOCK]]&lt;=PRODUCTOS[[#This Row],[STOCK MÍN.]],"BAJO","OK")))</f>
        <v/>
      </c>
      <c r="K3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36" hidden="1" s="11">
      <c r="A336" s="18" t="n">
        <v>321</v>
      </c>
      <c r="B336" s="56" t="inlineStr">
        <is>
          <t>00065-UNI</t>
        </is>
      </c>
      <c r="C336" s="56">
        <f>IFERROR(_xlfn.XLOOKUP(PRODUCTOS[[#This Row],[CODIGO]],LISTADO[CODIGOS],LISTADO[CATEGORIA]),"NO EXISTE")</f>
        <v/>
      </c>
      <c r="D336" s="56">
        <f>IFERROR(_xlfn.XLOOKUP(PRODUCTOS[[#This Row],[CODIGO]],LISTADO[CODIGOS],LISTADO[PRODUCTOS]),"NO EXISTE")</f>
        <v/>
      </c>
      <c r="E336" s="56">
        <f>IFERROR(_xlfn.XLOOKUP(PRODUCTOS[[#This Row],[CODIGO]],LISTADO[CODIGOS],LISTADO[UBICACIÓN]),"NO EXISTE")</f>
        <v/>
      </c>
      <c r="F336" s="56">
        <f>SUMIFS(ENTRADAS[CANTIDAD],ENTRADAS[CODIGO],PRODUCTOS[[#This Row],[CODIGO]])</f>
        <v/>
      </c>
      <c r="G336" s="56">
        <f>SUMIFS(SALIDAS[CANTIDAD],SALIDAS[CODIGO],PRODUCTOS[[#This Row],[CODIGO]])</f>
        <v/>
      </c>
      <c r="H336" s="56">
        <f>PRODUCTOS[[#This Row],[ENTRADAS]]-PRODUCTOS[[#This Row],[SALIDAS ]]</f>
        <v/>
      </c>
      <c r="I336" s="76" t="n">
        <v>0</v>
      </c>
      <c r="J336">
        <f>IF(PRODUCTOS[[#This Row],[STOCK]]&lt;0,"NEGATIVO",IF(PRODUCTOS[[#This Row],[STOCK]]=0,"SIN STOCK",IF(PRODUCTOS[[#This Row],[STOCK]]&lt;=PRODUCTOS[[#This Row],[STOCK MÍN.]],"BAJO","OK")))</f>
        <v/>
      </c>
      <c r="K3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37" hidden="1" s="11">
      <c r="A337" s="18" t="n">
        <v>322</v>
      </c>
      <c r="B337" s="56" t="inlineStr">
        <is>
          <t>00066-UNI</t>
        </is>
      </c>
      <c r="C337" s="56">
        <f>IFERROR(_xlfn.XLOOKUP(PRODUCTOS[[#This Row],[CODIGO]],LISTADO[CODIGOS],LISTADO[CATEGORIA]),"NO EXISTE")</f>
        <v/>
      </c>
      <c r="D337" s="56">
        <f>IFERROR(_xlfn.XLOOKUP(PRODUCTOS[[#This Row],[CODIGO]],LISTADO[CODIGOS],LISTADO[PRODUCTOS]),"NO EXISTE")</f>
        <v/>
      </c>
      <c r="E337" s="56">
        <f>IFERROR(_xlfn.XLOOKUP(PRODUCTOS[[#This Row],[CODIGO]],LISTADO[CODIGOS],LISTADO[UBICACIÓN]),"NO EXISTE")</f>
        <v/>
      </c>
      <c r="F337" s="56">
        <f>SUMIFS(ENTRADAS[CANTIDAD],ENTRADAS[CODIGO],PRODUCTOS[[#This Row],[CODIGO]])</f>
        <v/>
      </c>
      <c r="G337" s="56">
        <f>SUMIFS(SALIDAS[CANTIDAD],SALIDAS[CODIGO],PRODUCTOS[[#This Row],[CODIGO]])</f>
        <v/>
      </c>
      <c r="H337" s="56">
        <f>PRODUCTOS[[#This Row],[ENTRADAS]]-PRODUCTOS[[#This Row],[SALIDAS ]]</f>
        <v/>
      </c>
      <c r="I337" s="76" t="n">
        <v>0</v>
      </c>
      <c r="J337">
        <f>IF(PRODUCTOS[[#This Row],[STOCK]]&lt;0,"NEGATIVO",IF(PRODUCTOS[[#This Row],[STOCK]]=0,"SIN STOCK",IF(PRODUCTOS[[#This Row],[STOCK]]&lt;=PRODUCTOS[[#This Row],[STOCK MÍN.]],"BAJO","OK")))</f>
        <v/>
      </c>
      <c r="K3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38" hidden="1" s="11">
      <c r="A338" s="18" t="n">
        <v>323</v>
      </c>
      <c r="B338" s="56" t="inlineStr">
        <is>
          <t>00067-UNI</t>
        </is>
      </c>
      <c r="C338" s="56">
        <f>IFERROR(_xlfn.XLOOKUP(PRODUCTOS[[#This Row],[CODIGO]],LISTADO[CODIGOS],LISTADO[CATEGORIA]),"NO EXISTE")</f>
        <v/>
      </c>
      <c r="D338" s="56">
        <f>IFERROR(_xlfn.XLOOKUP(PRODUCTOS[[#This Row],[CODIGO]],LISTADO[CODIGOS],LISTADO[PRODUCTOS]),"NO EXISTE")</f>
        <v/>
      </c>
      <c r="E338" s="56">
        <f>IFERROR(_xlfn.XLOOKUP(PRODUCTOS[[#This Row],[CODIGO]],LISTADO[CODIGOS],LISTADO[UBICACIÓN]),"NO EXISTE")</f>
        <v/>
      </c>
      <c r="F338" s="56">
        <f>SUMIFS(ENTRADAS[CANTIDAD],ENTRADAS[CODIGO],PRODUCTOS[[#This Row],[CODIGO]])</f>
        <v/>
      </c>
      <c r="G338" s="56">
        <f>SUMIFS(SALIDAS[CANTIDAD],SALIDAS[CODIGO],PRODUCTOS[[#This Row],[CODIGO]])</f>
        <v/>
      </c>
      <c r="H338" s="56">
        <f>PRODUCTOS[[#This Row],[ENTRADAS]]-PRODUCTOS[[#This Row],[SALIDAS ]]</f>
        <v/>
      </c>
      <c r="I338" s="76" t="n">
        <v>0</v>
      </c>
      <c r="J338">
        <f>IF(PRODUCTOS[[#This Row],[STOCK]]&lt;0,"NEGATIVO",IF(PRODUCTOS[[#This Row],[STOCK]]=0,"SIN STOCK",IF(PRODUCTOS[[#This Row],[STOCK]]&lt;=PRODUCTOS[[#This Row],[STOCK MÍN.]],"BAJO","OK")))</f>
        <v/>
      </c>
      <c r="K3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39" hidden="1" s="11">
      <c r="A339" s="18" t="n">
        <v>324</v>
      </c>
      <c r="B339" s="56" t="inlineStr">
        <is>
          <t>00020-ELC</t>
        </is>
      </c>
      <c r="C339" s="56">
        <f>IFERROR(_xlfn.XLOOKUP(PRODUCTOS[[#This Row],[CODIGO]],LISTADO[CODIGOS],LISTADO[CATEGORIA]),"NO EXISTE")</f>
        <v/>
      </c>
      <c r="D339" s="56">
        <f>IFERROR(_xlfn.XLOOKUP(PRODUCTOS[[#This Row],[CODIGO]],LISTADO[CODIGOS],LISTADO[PRODUCTOS]),"NO EXISTE")</f>
        <v/>
      </c>
      <c r="E339" s="56">
        <f>IFERROR(_xlfn.XLOOKUP(PRODUCTOS[[#This Row],[CODIGO]],LISTADO[CODIGOS],LISTADO[UBICACIÓN]),"NO EXISTE")</f>
        <v/>
      </c>
      <c r="F339" s="56">
        <f>SUMIFS(ENTRADAS[CANTIDAD],ENTRADAS[CODIGO],PRODUCTOS[[#This Row],[CODIGO]])</f>
        <v/>
      </c>
      <c r="G339" s="56">
        <f>SUMIFS(SALIDAS[CANTIDAD],SALIDAS[CODIGO],PRODUCTOS[[#This Row],[CODIGO]])</f>
        <v/>
      </c>
      <c r="H339" s="56">
        <f>PRODUCTOS[[#This Row],[ENTRADAS]]-PRODUCTOS[[#This Row],[SALIDAS ]]</f>
        <v/>
      </c>
      <c r="I339" s="76" t="n">
        <v>0</v>
      </c>
      <c r="J339">
        <f>IF(PRODUCTOS[[#This Row],[STOCK]]&lt;0,"NEGATIVO",IF(PRODUCTOS[[#This Row],[STOCK]]=0,"SIN STOCK",IF(PRODUCTOS[[#This Row],[STOCK]]&lt;=PRODUCTOS[[#This Row],[STOCK MÍN.]],"BAJO","OK")))</f>
        <v/>
      </c>
      <c r="K3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40" hidden="1" s="11">
      <c r="A340" s="18" t="n">
        <v>325</v>
      </c>
      <c r="B340" s="56" t="inlineStr">
        <is>
          <t>00028-OFC</t>
        </is>
      </c>
      <c r="C340" s="56">
        <f>IFERROR(_xlfn.XLOOKUP(PRODUCTOS[[#This Row],[CODIGO]],LISTADO[CODIGOS],LISTADO[CATEGORIA]),"NO EXISTE")</f>
        <v/>
      </c>
      <c r="D340" s="56">
        <f>IFERROR(_xlfn.XLOOKUP(PRODUCTOS[[#This Row],[CODIGO]],LISTADO[CODIGOS],LISTADO[PRODUCTOS]),"NO EXISTE")</f>
        <v/>
      </c>
      <c r="E340" s="56">
        <f>IFERROR(_xlfn.XLOOKUP(PRODUCTOS[[#This Row],[CODIGO]],LISTADO[CODIGOS],LISTADO[UBICACIÓN]),"NO EXISTE")</f>
        <v/>
      </c>
      <c r="F340" s="56">
        <f>SUMIFS(ENTRADAS[CANTIDAD],ENTRADAS[CODIGO],PRODUCTOS[[#This Row],[CODIGO]])</f>
        <v/>
      </c>
      <c r="G340" s="56">
        <f>SUMIFS(SALIDAS[CANTIDAD],SALIDAS[CODIGO],PRODUCTOS[[#This Row],[CODIGO]])</f>
        <v/>
      </c>
      <c r="H340" s="56">
        <f>PRODUCTOS[[#This Row],[ENTRADAS]]-PRODUCTOS[[#This Row],[SALIDAS ]]</f>
        <v/>
      </c>
      <c r="I340" s="76" t="n">
        <v>0</v>
      </c>
      <c r="J340">
        <f>IF(PRODUCTOS[[#This Row],[STOCK]]&lt;0,"NEGATIVO",IF(PRODUCTOS[[#This Row],[STOCK]]=0,"SIN STOCK",IF(PRODUCTOS[[#This Row],[STOCK]]&lt;=PRODUCTOS[[#This Row],[STOCK MÍN.]],"BAJO","OK")))</f>
        <v/>
      </c>
      <c r="K3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41" hidden="1" s="11">
      <c r="A341" s="18" t="n">
        <v>326</v>
      </c>
      <c r="B341" s="56" t="inlineStr">
        <is>
          <t>00029-OFC</t>
        </is>
      </c>
      <c r="C341" s="56">
        <f>IFERROR(_xlfn.XLOOKUP(PRODUCTOS[[#This Row],[CODIGO]],LISTADO[CODIGOS],LISTADO[CATEGORIA]),"NO EXISTE")</f>
        <v/>
      </c>
      <c r="D341" s="56">
        <f>IFERROR(_xlfn.XLOOKUP(PRODUCTOS[[#This Row],[CODIGO]],LISTADO[CODIGOS],LISTADO[PRODUCTOS]),"NO EXISTE")</f>
        <v/>
      </c>
      <c r="E341" s="56">
        <f>IFERROR(_xlfn.XLOOKUP(PRODUCTOS[[#This Row],[CODIGO]],LISTADO[CODIGOS],LISTADO[UBICACIÓN]),"NO EXISTE")</f>
        <v/>
      </c>
      <c r="F341" s="56">
        <f>SUMIFS(ENTRADAS[CANTIDAD],ENTRADAS[CODIGO],PRODUCTOS[[#This Row],[CODIGO]])</f>
        <v/>
      </c>
      <c r="G341" s="56">
        <f>SUMIFS(SALIDAS[CANTIDAD],SALIDAS[CODIGO],PRODUCTOS[[#This Row],[CODIGO]])</f>
        <v/>
      </c>
      <c r="H341" s="56">
        <f>PRODUCTOS[[#This Row],[ENTRADAS]]-PRODUCTOS[[#This Row],[SALIDAS ]]</f>
        <v/>
      </c>
      <c r="I341" s="76" t="n">
        <v>0</v>
      </c>
      <c r="J341">
        <f>IF(PRODUCTOS[[#This Row],[STOCK]]&lt;0,"NEGATIVO",IF(PRODUCTOS[[#This Row],[STOCK]]=0,"SIN STOCK",IF(PRODUCTOS[[#This Row],[STOCK]]&lt;=PRODUCTOS[[#This Row],[STOCK MÍN.]],"BAJO","OK")))</f>
        <v/>
      </c>
      <c r="K3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42" hidden="1" s="11">
      <c r="A342" s="18" t="n">
        <v>327</v>
      </c>
      <c r="B342" s="56" t="inlineStr">
        <is>
          <t>00030-OFC</t>
        </is>
      </c>
      <c r="C342" s="56">
        <f>IFERROR(_xlfn.XLOOKUP(PRODUCTOS[[#This Row],[CODIGO]],LISTADO[CODIGOS],LISTADO[CATEGORIA]),"NO EXISTE")</f>
        <v/>
      </c>
      <c r="D342" s="56">
        <f>IFERROR(_xlfn.XLOOKUP(PRODUCTOS[[#This Row],[CODIGO]],LISTADO[CODIGOS],LISTADO[PRODUCTOS]),"NO EXISTE")</f>
        <v/>
      </c>
      <c r="E342" s="56">
        <f>IFERROR(_xlfn.XLOOKUP(PRODUCTOS[[#This Row],[CODIGO]],LISTADO[CODIGOS],LISTADO[UBICACIÓN]),"NO EXISTE")</f>
        <v/>
      </c>
      <c r="F342" s="56">
        <f>SUMIFS(ENTRADAS[CANTIDAD],ENTRADAS[CODIGO],PRODUCTOS[[#This Row],[CODIGO]])</f>
        <v/>
      </c>
      <c r="G342" s="56">
        <f>SUMIFS(SALIDAS[CANTIDAD],SALIDAS[CODIGO],PRODUCTOS[[#This Row],[CODIGO]])</f>
        <v/>
      </c>
      <c r="H342" s="56">
        <f>PRODUCTOS[[#This Row],[ENTRADAS]]-PRODUCTOS[[#This Row],[SALIDAS ]]</f>
        <v/>
      </c>
      <c r="I342" s="76" t="n">
        <v>0</v>
      </c>
      <c r="J342">
        <f>IF(PRODUCTOS[[#This Row],[STOCK]]&lt;0,"NEGATIVO",IF(PRODUCTOS[[#This Row],[STOCK]]=0,"SIN STOCK",IF(PRODUCTOS[[#This Row],[STOCK]]&lt;=PRODUCTOS[[#This Row],[STOCK MÍN.]],"BAJO","OK")))</f>
        <v/>
      </c>
      <c r="K3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43" hidden="1" s="11">
      <c r="A343" s="18" t="n">
        <v>328</v>
      </c>
      <c r="B343" s="56" t="inlineStr">
        <is>
          <t>00031-OFC</t>
        </is>
      </c>
      <c r="C343" s="56">
        <f>IFERROR(_xlfn.XLOOKUP(PRODUCTOS[[#This Row],[CODIGO]],LISTADO[CODIGOS],LISTADO[CATEGORIA]),"NO EXISTE")</f>
        <v/>
      </c>
      <c r="D343" s="56">
        <f>IFERROR(_xlfn.XLOOKUP(PRODUCTOS[[#This Row],[CODIGO]],LISTADO[CODIGOS],LISTADO[PRODUCTOS]),"NO EXISTE")</f>
        <v/>
      </c>
      <c r="E343" s="56">
        <f>IFERROR(_xlfn.XLOOKUP(PRODUCTOS[[#This Row],[CODIGO]],LISTADO[CODIGOS],LISTADO[UBICACIÓN]),"NO EXISTE")</f>
        <v/>
      </c>
      <c r="F343" s="56">
        <f>SUMIFS(ENTRADAS[CANTIDAD],ENTRADAS[CODIGO],PRODUCTOS[[#This Row],[CODIGO]])</f>
        <v/>
      </c>
      <c r="G343" s="56">
        <f>SUMIFS(SALIDAS[CANTIDAD],SALIDAS[CODIGO],PRODUCTOS[[#This Row],[CODIGO]])</f>
        <v/>
      </c>
      <c r="H343" s="56">
        <f>PRODUCTOS[[#This Row],[ENTRADAS]]-PRODUCTOS[[#This Row],[SALIDAS ]]</f>
        <v/>
      </c>
      <c r="I343" s="76" t="n">
        <v>0</v>
      </c>
      <c r="J343">
        <f>IF(PRODUCTOS[[#This Row],[STOCK]]&lt;0,"NEGATIVO",IF(PRODUCTOS[[#This Row],[STOCK]]=0,"SIN STOCK",IF(PRODUCTOS[[#This Row],[STOCK]]&lt;=PRODUCTOS[[#This Row],[STOCK MÍN.]],"BAJO","OK")))</f>
        <v/>
      </c>
      <c r="K3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44">
      <c r="A344" s="18" t="n">
        <v>329</v>
      </c>
      <c r="B344" s="56" t="inlineStr">
        <is>
          <t>00012-ELE</t>
        </is>
      </c>
      <c r="C344" s="56">
        <f>IFERROR(_xlfn.XLOOKUP(PRODUCTOS[[#This Row],[CODIGO]],LISTADO[CODIGOS],LISTADO[CATEGORIA]),"NO EXISTE")</f>
        <v/>
      </c>
      <c r="D344" s="56">
        <f>IFERROR(_xlfn.XLOOKUP(PRODUCTOS[[#This Row],[CODIGO]],LISTADO[CODIGOS],LISTADO[PRODUCTOS]),"NO EXISTE")</f>
        <v/>
      </c>
      <c r="E344" s="56">
        <f>IFERROR(_xlfn.XLOOKUP(PRODUCTOS[[#This Row],[CODIGO]],LISTADO[CODIGOS],LISTADO[UBICACIÓN]),"NO EXISTE")</f>
        <v/>
      </c>
      <c r="F344" s="56">
        <f>SUMIFS(ENTRADAS[CANTIDAD],ENTRADAS[CODIGO],PRODUCTOS[[#This Row],[CODIGO]])</f>
        <v/>
      </c>
      <c r="G344" s="56">
        <f>SUMIFS(SALIDAS[CANTIDAD],SALIDAS[CODIGO],PRODUCTOS[[#This Row],[CODIGO]])</f>
        <v/>
      </c>
      <c r="H344" s="56">
        <f>PRODUCTOS[[#This Row],[ENTRADAS]]-PRODUCTOS[[#This Row],[SALIDAS ]]</f>
        <v/>
      </c>
      <c r="I344" s="76" t="n">
        <v>0</v>
      </c>
      <c r="J344">
        <f>IF(PRODUCTOS[[#This Row],[STOCK]]&lt;0,"NEGATIVO",IF(PRODUCTOS[[#This Row],[STOCK]]=0,"SIN STOCK",IF(PRODUCTOS[[#This Row],[STOCK]]&lt;=PRODUCTOS[[#This Row],[STOCK MÍN.]],"BAJO","OK")))</f>
        <v/>
      </c>
      <c r="K3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45">
      <c r="A345" s="18" t="n">
        <v>330</v>
      </c>
      <c r="B345" s="56" t="inlineStr">
        <is>
          <t>00013-ELE</t>
        </is>
      </c>
      <c r="C345" s="56">
        <f>IFERROR(_xlfn.XLOOKUP(PRODUCTOS[[#This Row],[CODIGO]],LISTADO[CODIGOS],LISTADO[CATEGORIA]),"NO EXISTE")</f>
        <v/>
      </c>
      <c r="D345" s="56">
        <f>IFERROR(_xlfn.XLOOKUP(PRODUCTOS[[#This Row],[CODIGO]],LISTADO[CODIGOS],LISTADO[PRODUCTOS]),"NO EXISTE")</f>
        <v/>
      </c>
      <c r="E345" s="56">
        <f>IFERROR(_xlfn.XLOOKUP(PRODUCTOS[[#This Row],[CODIGO]],LISTADO[CODIGOS],LISTADO[UBICACIÓN]),"NO EXISTE")</f>
        <v/>
      </c>
      <c r="F345" s="56">
        <f>SUMIFS(ENTRADAS[CANTIDAD],ENTRADAS[CODIGO],PRODUCTOS[[#This Row],[CODIGO]])</f>
        <v/>
      </c>
      <c r="G345" s="56">
        <f>SUMIFS(SALIDAS[CANTIDAD],SALIDAS[CODIGO],PRODUCTOS[[#This Row],[CODIGO]])</f>
        <v/>
      </c>
      <c r="H345" s="56">
        <f>PRODUCTOS[[#This Row],[ENTRADAS]]-PRODUCTOS[[#This Row],[SALIDAS ]]</f>
        <v/>
      </c>
      <c r="I345" s="76" t="n">
        <v>0</v>
      </c>
      <c r="J345">
        <f>IF(PRODUCTOS[[#This Row],[STOCK]]&lt;0,"NEGATIVO",IF(PRODUCTOS[[#This Row],[STOCK]]=0,"SIN STOCK",IF(PRODUCTOS[[#This Row],[STOCK]]&lt;=PRODUCTOS[[#This Row],[STOCK MÍN.]],"BAJO","OK")))</f>
        <v/>
      </c>
      <c r="K3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46">
      <c r="A346" s="18" t="n">
        <v>331</v>
      </c>
      <c r="B346" s="56" t="inlineStr">
        <is>
          <t>00014-ELE</t>
        </is>
      </c>
      <c r="C346" s="56">
        <f>IFERROR(_xlfn.XLOOKUP(PRODUCTOS[[#This Row],[CODIGO]],LISTADO[CODIGOS],LISTADO[CATEGORIA]),"NO EXISTE")</f>
        <v/>
      </c>
      <c r="D346" s="56">
        <f>IFERROR(_xlfn.XLOOKUP(PRODUCTOS[[#This Row],[CODIGO]],LISTADO[CODIGOS],LISTADO[PRODUCTOS]),"NO EXISTE")</f>
        <v/>
      </c>
      <c r="E346" s="56">
        <f>IFERROR(_xlfn.XLOOKUP(PRODUCTOS[[#This Row],[CODIGO]],LISTADO[CODIGOS],LISTADO[UBICACIÓN]),"NO EXISTE")</f>
        <v/>
      </c>
      <c r="F346" s="56">
        <f>SUMIFS(ENTRADAS[CANTIDAD],ENTRADAS[CODIGO],PRODUCTOS[[#This Row],[CODIGO]])</f>
        <v/>
      </c>
      <c r="G346" s="56">
        <f>SUMIFS(SALIDAS[CANTIDAD],SALIDAS[CODIGO],PRODUCTOS[[#This Row],[CODIGO]])</f>
        <v/>
      </c>
      <c r="H346" s="56">
        <f>PRODUCTOS[[#This Row],[ENTRADAS]]-PRODUCTOS[[#This Row],[SALIDAS ]]</f>
        <v/>
      </c>
      <c r="I346" s="76" t="n">
        <v>0</v>
      </c>
      <c r="J346">
        <f>IF(PRODUCTOS[[#This Row],[STOCK]]&lt;0,"NEGATIVO",IF(PRODUCTOS[[#This Row],[STOCK]]=0,"SIN STOCK",IF(PRODUCTOS[[#This Row],[STOCK]]&lt;=PRODUCTOS[[#This Row],[STOCK MÍN.]],"BAJO","OK")))</f>
        <v/>
      </c>
      <c r="K3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47">
      <c r="A347" s="18" t="n">
        <v>332</v>
      </c>
      <c r="B347" s="56" t="inlineStr">
        <is>
          <t>00015-ELE</t>
        </is>
      </c>
      <c r="C347" s="56">
        <f>IFERROR(_xlfn.XLOOKUP(PRODUCTOS[[#This Row],[CODIGO]],LISTADO[CODIGOS],LISTADO[CATEGORIA]),"NO EXISTE")</f>
        <v/>
      </c>
      <c r="D347" s="56">
        <f>IFERROR(_xlfn.XLOOKUP(PRODUCTOS[[#This Row],[CODIGO]],LISTADO[CODIGOS],LISTADO[PRODUCTOS]),"NO EXISTE")</f>
        <v/>
      </c>
      <c r="E347" s="56">
        <f>IFERROR(_xlfn.XLOOKUP(PRODUCTOS[[#This Row],[CODIGO]],LISTADO[CODIGOS],LISTADO[UBICACIÓN]),"NO EXISTE")</f>
        <v/>
      </c>
      <c r="F347" s="56">
        <f>SUMIFS(ENTRADAS[CANTIDAD],ENTRADAS[CODIGO],PRODUCTOS[[#This Row],[CODIGO]])</f>
        <v/>
      </c>
      <c r="G347" s="56">
        <f>SUMIFS(SALIDAS[CANTIDAD],SALIDAS[CODIGO],PRODUCTOS[[#This Row],[CODIGO]])</f>
        <v/>
      </c>
      <c r="H347" s="56">
        <f>PRODUCTOS[[#This Row],[ENTRADAS]]-PRODUCTOS[[#This Row],[SALIDAS ]]</f>
        <v/>
      </c>
      <c r="I347" s="76" t="n">
        <v>0</v>
      </c>
      <c r="J347">
        <f>IF(PRODUCTOS[[#This Row],[STOCK]]&lt;0,"NEGATIVO",IF(PRODUCTOS[[#This Row],[STOCK]]=0,"SIN STOCK",IF(PRODUCTOS[[#This Row],[STOCK]]&lt;=PRODUCTOS[[#This Row],[STOCK MÍN.]],"BAJO","OK")))</f>
        <v/>
      </c>
      <c r="K3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48">
      <c r="A348" s="18" t="n">
        <v>333</v>
      </c>
      <c r="B348" s="56" t="inlineStr">
        <is>
          <t>00016-ELE</t>
        </is>
      </c>
      <c r="C348" s="56">
        <f>IFERROR(_xlfn.XLOOKUP(PRODUCTOS[[#This Row],[CODIGO]],LISTADO[CODIGOS],LISTADO[CATEGORIA]),"NO EXISTE")</f>
        <v/>
      </c>
      <c r="D348" s="56">
        <f>IFERROR(_xlfn.XLOOKUP(PRODUCTOS[[#This Row],[CODIGO]],LISTADO[CODIGOS],LISTADO[PRODUCTOS]),"NO EXISTE")</f>
        <v/>
      </c>
      <c r="E348" s="56">
        <f>IFERROR(_xlfn.XLOOKUP(PRODUCTOS[[#This Row],[CODIGO]],LISTADO[CODIGOS],LISTADO[UBICACIÓN]),"NO EXISTE")</f>
        <v/>
      </c>
      <c r="F348" s="56">
        <f>SUMIFS(ENTRADAS[CANTIDAD],ENTRADAS[CODIGO],PRODUCTOS[[#This Row],[CODIGO]])</f>
        <v/>
      </c>
      <c r="G348" s="56">
        <f>SUMIFS(SALIDAS[CANTIDAD],SALIDAS[CODIGO],PRODUCTOS[[#This Row],[CODIGO]])</f>
        <v/>
      </c>
      <c r="H348" s="56">
        <f>PRODUCTOS[[#This Row],[ENTRADAS]]-PRODUCTOS[[#This Row],[SALIDAS ]]</f>
        <v/>
      </c>
      <c r="I348" s="76" t="n">
        <v>0</v>
      </c>
      <c r="J348">
        <f>IF(PRODUCTOS[[#This Row],[STOCK]]&lt;0,"NEGATIVO",IF(PRODUCTOS[[#This Row],[STOCK]]=0,"SIN STOCK",IF(PRODUCTOS[[#This Row],[STOCK]]&lt;=PRODUCTOS[[#This Row],[STOCK MÍN.]],"BAJO","OK")))</f>
        <v/>
      </c>
      <c r="K3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49">
      <c r="A349" s="18" t="n">
        <v>334</v>
      </c>
      <c r="B349" s="56" t="inlineStr">
        <is>
          <t>00017-ELE</t>
        </is>
      </c>
      <c r="C349" s="56">
        <f>IFERROR(_xlfn.XLOOKUP(PRODUCTOS[[#This Row],[CODIGO]],LISTADO[CODIGOS],LISTADO[CATEGORIA]),"NO EXISTE")</f>
        <v/>
      </c>
      <c r="D349" s="56">
        <f>IFERROR(_xlfn.XLOOKUP(PRODUCTOS[[#This Row],[CODIGO]],LISTADO[CODIGOS],LISTADO[PRODUCTOS]),"NO EXISTE")</f>
        <v/>
      </c>
      <c r="E349" s="56">
        <f>IFERROR(_xlfn.XLOOKUP(PRODUCTOS[[#This Row],[CODIGO]],LISTADO[CODIGOS],LISTADO[UBICACIÓN]),"NO EXISTE")</f>
        <v/>
      </c>
      <c r="F349" s="56">
        <f>SUMIFS(ENTRADAS[CANTIDAD],ENTRADAS[CODIGO],PRODUCTOS[[#This Row],[CODIGO]])</f>
        <v/>
      </c>
      <c r="G349" s="56">
        <f>SUMIFS(SALIDAS[CANTIDAD],SALIDAS[CODIGO],PRODUCTOS[[#This Row],[CODIGO]])</f>
        <v/>
      </c>
      <c r="H349" s="56">
        <f>PRODUCTOS[[#This Row],[ENTRADAS]]-PRODUCTOS[[#This Row],[SALIDAS ]]</f>
        <v/>
      </c>
      <c r="I349" s="76" t="n">
        <v>0</v>
      </c>
      <c r="J349">
        <f>IF(PRODUCTOS[[#This Row],[STOCK]]&lt;0,"NEGATIVO",IF(PRODUCTOS[[#This Row],[STOCK]]=0,"SIN STOCK",IF(PRODUCTOS[[#This Row],[STOCK]]&lt;=PRODUCTOS[[#This Row],[STOCK MÍN.]],"BAJO","OK")))</f>
        <v/>
      </c>
      <c r="K3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50">
      <c r="A350" s="18" t="n">
        <v>335</v>
      </c>
      <c r="B350" s="56" t="inlineStr">
        <is>
          <t>00018-ELE</t>
        </is>
      </c>
      <c r="C350" s="56">
        <f>IFERROR(_xlfn.XLOOKUP(PRODUCTOS[[#This Row],[CODIGO]],LISTADO[CODIGOS],LISTADO[CATEGORIA]),"NO EXISTE")</f>
        <v/>
      </c>
      <c r="D350" s="56">
        <f>IFERROR(_xlfn.XLOOKUP(PRODUCTOS[[#This Row],[CODIGO]],LISTADO[CODIGOS],LISTADO[PRODUCTOS]),"NO EXISTE")</f>
        <v/>
      </c>
      <c r="E350" s="56">
        <f>IFERROR(_xlfn.XLOOKUP(PRODUCTOS[[#This Row],[CODIGO]],LISTADO[CODIGOS],LISTADO[UBICACIÓN]),"NO EXISTE")</f>
        <v/>
      </c>
      <c r="F350" s="56">
        <f>SUMIFS(ENTRADAS[CANTIDAD],ENTRADAS[CODIGO],PRODUCTOS[[#This Row],[CODIGO]])</f>
        <v/>
      </c>
      <c r="G350" s="56">
        <f>SUMIFS(SALIDAS[CANTIDAD],SALIDAS[CODIGO],PRODUCTOS[[#This Row],[CODIGO]])</f>
        <v/>
      </c>
      <c r="H350" s="56">
        <f>PRODUCTOS[[#This Row],[ENTRADAS]]-PRODUCTOS[[#This Row],[SALIDAS ]]</f>
        <v/>
      </c>
      <c r="I350" s="76" t="n">
        <v>0</v>
      </c>
      <c r="J350">
        <f>IF(PRODUCTOS[[#This Row],[STOCK]]&lt;0,"NEGATIVO",IF(PRODUCTOS[[#This Row],[STOCK]]=0,"SIN STOCK",IF(PRODUCTOS[[#This Row],[STOCK]]&lt;=PRODUCTOS[[#This Row],[STOCK MÍN.]],"BAJO","OK")))</f>
        <v/>
      </c>
      <c r="K3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51">
      <c r="A351" s="18" t="n">
        <v>336</v>
      </c>
      <c r="B351" s="56" t="inlineStr">
        <is>
          <t>00019-ELE</t>
        </is>
      </c>
      <c r="C351" s="56">
        <f>IFERROR(_xlfn.XLOOKUP(PRODUCTOS[[#This Row],[CODIGO]],LISTADO[CODIGOS],LISTADO[CATEGORIA]),"NO EXISTE")</f>
        <v/>
      </c>
      <c r="D351" s="56">
        <f>IFERROR(_xlfn.XLOOKUP(PRODUCTOS[[#This Row],[CODIGO]],LISTADO[CODIGOS],LISTADO[PRODUCTOS]),"NO EXISTE")</f>
        <v/>
      </c>
      <c r="E351" s="56">
        <f>IFERROR(_xlfn.XLOOKUP(PRODUCTOS[[#This Row],[CODIGO]],LISTADO[CODIGOS],LISTADO[UBICACIÓN]),"NO EXISTE")</f>
        <v/>
      </c>
      <c r="F351" s="56">
        <f>SUMIFS(ENTRADAS[CANTIDAD],ENTRADAS[CODIGO],PRODUCTOS[[#This Row],[CODIGO]])</f>
        <v/>
      </c>
      <c r="G351" s="56">
        <f>SUMIFS(SALIDAS[CANTIDAD],SALIDAS[CODIGO],PRODUCTOS[[#This Row],[CODIGO]])</f>
        <v/>
      </c>
      <c r="H351" s="56">
        <f>PRODUCTOS[[#This Row],[ENTRADAS]]-PRODUCTOS[[#This Row],[SALIDAS ]]</f>
        <v/>
      </c>
      <c r="I351" s="76" t="n">
        <v>0</v>
      </c>
      <c r="J351">
        <f>IF(PRODUCTOS[[#This Row],[STOCK]]&lt;0,"NEGATIVO",IF(PRODUCTOS[[#This Row],[STOCK]]=0,"SIN STOCK",IF(PRODUCTOS[[#This Row],[STOCK]]&lt;=PRODUCTOS[[#This Row],[STOCK MÍN.]],"BAJO","OK")))</f>
        <v/>
      </c>
      <c r="K3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52">
      <c r="A352" s="18" t="n">
        <v>337</v>
      </c>
      <c r="B352" s="56" t="inlineStr">
        <is>
          <t>00020-ELE</t>
        </is>
      </c>
      <c r="C352" s="56">
        <f>IFERROR(_xlfn.XLOOKUP(PRODUCTOS[[#This Row],[CODIGO]],LISTADO[CODIGOS],LISTADO[CATEGORIA]),"NO EXISTE")</f>
        <v/>
      </c>
      <c r="D352" s="56">
        <f>IFERROR(_xlfn.XLOOKUP(PRODUCTOS[[#This Row],[CODIGO]],LISTADO[CODIGOS],LISTADO[PRODUCTOS]),"NO EXISTE")</f>
        <v/>
      </c>
      <c r="E352" s="56">
        <f>IFERROR(_xlfn.XLOOKUP(PRODUCTOS[[#This Row],[CODIGO]],LISTADO[CODIGOS],LISTADO[UBICACIÓN]),"NO EXISTE")</f>
        <v/>
      </c>
      <c r="F352" s="56">
        <f>SUMIFS(ENTRADAS[CANTIDAD],ENTRADAS[CODIGO],PRODUCTOS[[#This Row],[CODIGO]])</f>
        <v/>
      </c>
      <c r="G352" s="56">
        <f>SUMIFS(SALIDAS[CANTIDAD],SALIDAS[CODIGO],PRODUCTOS[[#This Row],[CODIGO]])</f>
        <v/>
      </c>
      <c r="H352" s="56">
        <f>PRODUCTOS[[#This Row],[ENTRADAS]]-PRODUCTOS[[#This Row],[SALIDAS ]]</f>
        <v/>
      </c>
      <c r="I352" s="76" t="n">
        <v>0</v>
      </c>
      <c r="J352">
        <f>IF(PRODUCTOS[[#This Row],[STOCK]]&lt;0,"NEGATIVO",IF(PRODUCTOS[[#This Row],[STOCK]]=0,"SIN STOCK",IF(PRODUCTOS[[#This Row],[STOCK]]&lt;=PRODUCTOS[[#This Row],[STOCK MÍN.]],"BAJO","OK")))</f>
        <v/>
      </c>
      <c r="K3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53">
      <c r="A353" s="18" t="n">
        <v>338</v>
      </c>
      <c r="B353" s="56" t="inlineStr">
        <is>
          <t>00021-ELE</t>
        </is>
      </c>
      <c r="C353" s="56">
        <f>IFERROR(_xlfn.XLOOKUP(PRODUCTOS[[#This Row],[CODIGO]],LISTADO[CODIGOS],LISTADO[CATEGORIA]),"NO EXISTE")</f>
        <v/>
      </c>
      <c r="D353" s="56">
        <f>IFERROR(_xlfn.XLOOKUP(PRODUCTOS[[#This Row],[CODIGO]],LISTADO[CODIGOS],LISTADO[PRODUCTOS]),"NO EXISTE")</f>
        <v/>
      </c>
      <c r="E353" s="56">
        <f>IFERROR(_xlfn.XLOOKUP(PRODUCTOS[[#This Row],[CODIGO]],LISTADO[CODIGOS],LISTADO[UBICACIÓN]),"NO EXISTE")</f>
        <v/>
      </c>
      <c r="F353" s="56">
        <f>SUMIFS(ENTRADAS[CANTIDAD],ENTRADAS[CODIGO],PRODUCTOS[[#This Row],[CODIGO]])</f>
        <v/>
      </c>
      <c r="G353" s="56">
        <f>SUMIFS(SALIDAS[CANTIDAD],SALIDAS[CODIGO],PRODUCTOS[[#This Row],[CODIGO]])</f>
        <v/>
      </c>
      <c r="H353" s="56">
        <f>PRODUCTOS[[#This Row],[ENTRADAS]]-PRODUCTOS[[#This Row],[SALIDAS ]]</f>
        <v/>
      </c>
      <c r="I353" s="76" t="n">
        <v>0</v>
      </c>
      <c r="J353">
        <f>IF(PRODUCTOS[[#This Row],[STOCK]]&lt;0,"NEGATIVO",IF(PRODUCTOS[[#This Row],[STOCK]]=0,"SIN STOCK",IF(PRODUCTOS[[#This Row],[STOCK]]&lt;=PRODUCTOS[[#This Row],[STOCK MÍN.]],"BAJO","OK")))</f>
        <v/>
      </c>
      <c r="K3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54">
      <c r="A354" s="18" t="n">
        <v>339</v>
      </c>
      <c r="B354" s="56" t="inlineStr">
        <is>
          <t>00021-ELC</t>
        </is>
      </c>
      <c r="C354" s="56">
        <f>IFERROR(_xlfn.XLOOKUP(PRODUCTOS[[#This Row],[CODIGO]],LISTADO[CODIGOS],LISTADO[CATEGORIA]),"NO EXISTE")</f>
        <v/>
      </c>
      <c r="D354" s="56">
        <f>IFERROR(_xlfn.XLOOKUP(PRODUCTOS[[#This Row],[CODIGO]],LISTADO[CODIGOS],LISTADO[PRODUCTOS]),"NO EXISTE")</f>
        <v/>
      </c>
      <c r="E354" s="56">
        <f>IFERROR(_xlfn.XLOOKUP(PRODUCTOS[[#This Row],[CODIGO]],LISTADO[CODIGOS],LISTADO[UBICACIÓN]),"NO EXISTE")</f>
        <v/>
      </c>
      <c r="F354" s="56">
        <f>SUMIFS(ENTRADAS[CANTIDAD],ENTRADAS[CODIGO],PRODUCTOS[[#This Row],[CODIGO]])</f>
        <v/>
      </c>
      <c r="G354" s="56">
        <f>SUMIFS(SALIDAS[CANTIDAD],SALIDAS[CODIGO],PRODUCTOS[[#This Row],[CODIGO]])</f>
        <v/>
      </c>
      <c r="H354" s="56">
        <f>PRODUCTOS[[#This Row],[ENTRADAS]]-PRODUCTOS[[#This Row],[SALIDAS ]]</f>
        <v/>
      </c>
      <c r="I354" s="76" t="n">
        <v>0</v>
      </c>
      <c r="J354">
        <f>IF(PRODUCTOS[[#This Row],[STOCK]]&lt;0,"NEGATIVO",IF(PRODUCTOS[[#This Row],[STOCK]]=0,"SIN STOCK",IF(PRODUCTOS[[#This Row],[STOCK]]&lt;=PRODUCTOS[[#This Row],[STOCK MÍN.]],"BAJO","OK")))</f>
        <v/>
      </c>
      <c r="K3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55">
      <c r="A355" s="18" t="n">
        <v>340</v>
      </c>
      <c r="B355" s="56" t="inlineStr">
        <is>
          <t>00022-ELC</t>
        </is>
      </c>
      <c r="C355" s="56">
        <f>IFERROR(_xlfn.XLOOKUP(PRODUCTOS[[#This Row],[CODIGO]],LISTADO[CODIGOS],LISTADO[CATEGORIA]),"NO EXISTE")</f>
        <v/>
      </c>
      <c r="D355" s="56">
        <f>IFERROR(_xlfn.XLOOKUP(PRODUCTOS[[#This Row],[CODIGO]],LISTADO[CODIGOS],LISTADO[PRODUCTOS]),"NO EXISTE")</f>
        <v/>
      </c>
      <c r="E355" s="56">
        <f>IFERROR(_xlfn.XLOOKUP(PRODUCTOS[[#This Row],[CODIGO]],LISTADO[CODIGOS],LISTADO[UBICACIÓN]),"NO EXISTE")</f>
        <v/>
      </c>
      <c r="F355" s="56">
        <f>SUMIFS(ENTRADAS[CANTIDAD],ENTRADAS[CODIGO],PRODUCTOS[[#This Row],[CODIGO]])</f>
        <v/>
      </c>
      <c r="G355" s="56">
        <f>SUMIFS(SALIDAS[CANTIDAD],SALIDAS[CODIGO],PRODUCTOS[[#This Row],[CODIGO]])</f>
        <v/>
      </c>
      <c r="H355" s="56">
        <f>PRODUCTOS[[#This Row],[ENTRADAS]]-PRODUCTOS[[#This Row],[SALIDAS ]]</f>
        <v/>
      </c>
      <c r="I355" s="76" t="n">
        <v>0</v>
      </c>
      <c r="J355">
        <f>IF(PRODUCTOS[[#This Row],[STOCK]]&lt;0,"NEGATIVO",IF(PRODUCTOS[[#This Row],[STOCK]]=0,"SIN STOCK",IF(PRODUCTOS[[#This Row],[STOCK]]&lt;=PRODUCTOS[[#This Row],[STOCK MÍN.]],"BAJO","OK")))</f>
        <v/>
      </c>
      <c r="K3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56">
      <c r="A356" s="18" t="n">
        <v>341</v>
      </c>
      <c r="B356" s="56" t="inlineStr">
        <is>
          <t>00074-HER</t>
        </is>
      </c>
      <c r="C356" s="56">
        <f>IFERROR(_xlfn.XLOOKUP(PRODUCTOS[[#This Row],[CODIGO]],LISTADO[CODIGOS],LISTADO[CATEGORIA]),"NO EXISTE")</f>
        <v/>
      </c>
      <c r="D356" s="56">
        <f>IFERROR(_xlfn.XLOOKUP(PRODUCTOS[[#This Row],[CODIGO]],LISTADO[CODIGOS],LISTADO[PRODUCTOS]),"NO EXISTE")</f>
        <v/>
      </c>
      <c r="E356" s="56">
        <f>IFERROR(_xlfn.XLOOKUP(PRODUCTOS[[#This Row],[CODIGO]],LISTADO[CODIGOS],LISTADO[UBICACIÓN]),"NO EXISTE")</f>
        <v/>
      </c>
      <c r="F356" s="56">
        <f>SUMIFS(ENTRADAS[CANTIDAD],ENTRADAS[CODIGO],PRODUCTOS[[#This Row],[CODIGO]])</f>
        <v/>
      </c>
      <c r="G356" s="56">
        <f>SUMIFS(SALIDAS[CANTIDAD],SALIDAS[CODIGO],PRODUCTOS[[#This Row],[CODIGO]])</f>
        <v/>
      </c>
      <c r="H356" s="56">
        <f>PRODUCTOS[[#This Row],[ENTRADAS]]-PRODUCTOS[[#This Row],[SALIDAS ]]</f>
        <v/>
      </c>
      <c r="I356" s="76" t="n">
        <v>0</v>
      </c>
      <c r="J356">
        <f>IF(PRODUCTOS[[#This Row],[STOCK]]&lt;0,"NEGATIVO",IF(PRODUCTOS[[#This Row],[STOCK]]=0,"SIN STOCK",IF(PRODUCTOS[[#This Row],[STOCK]]&lt;=PRODUCTOS[[#This Row],[STOCK MÍN.]],"BAJO","OK")))</f>
        <v/>
      </c>
      <c r="K3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57" hidden="1" s="11">
      <c r="A357" s="18" t="n">
        <v>342</v>
      </c>
      <c r="B357" s="56" t="inlineStr">
        <is>
          <t>00003-AUT</t>
        </is>
      </c>
      <c r="C357" s="56">
        <f>IFERROR(_xlfn.XLOOKUP(PRODUCTOS[[#This Row],[CODIGO]],LISTADO[CODIGOS],LISTADO[CATEGORIA]),"NO EXISTE")</f>
        <v/>
      </c>
      <c r="D357" s="56">
        <f>IFERROR(_xlfn.XLOOKUP(PRODUCTOS[[#This Row],[CODIGO]],LISTADO[CODIGOS],LISTADO[PRODUCTOS]),"NO EXISTE")</f>
        <v/>
      </c>
      <c r="E357" s="56">
        <f>IFERROR(_xlfn.XLOOKUP(PRODUCTOS[[#This Row],[CODIGO]],LISTADO[CODIGOS],LISTADO[UBICACIÓN]),"NO EXISTE")</f>
        <v/>
      </c>
      <c r="F357" s="56">
        <f>SUMIFS(ENTRADAS[CANTIDAD],ENTRADAS[CODIGO],PRODUCTOS[[#This Row],[CODIGO]])</f>
        <v/>
      </c>
      <c r="G357" s="56">
        <f>SUMIFS(SALIDAS[CANTIDAD],SALIDAS[CODIGO],PRODUCTOS[[#This Row],[CODIGO]])</f>
        <v/>
      </c>
      <c r="H357" s="56">
        <f>PRODUCTOS[[#This Row],[ENTRADAS]]-PRODUCTOS[[#This Row],[SALIDAS ]]</f>
        <v/>
      </c>
      <c r="I357" s="76" t="n">
        <v>0</v>
      </c>
      <c r="J357">
        <f>IF(PRODUCTOS[[#This Row],[STOCK]]&lt;0,"NEGATIVO",IF(PRODUCTOS[[#This Row],[STOCK]]=0,"SIN STOCK",IF(PRODUCTOS[[#This Row],[STOCK]]&lt;=PRODUCTOS[[#This Row],[STOCK MÍN.]],"BAJO","OK")))</f>
        <v/>
      </c>
      <c r="K3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58" hidden="1" s="11">
      <c r="A358" s="18" t="n">
        <v>343</v>
      </c>
      <c r="B358" s="56" t="inlineStr">
        <is>
          <t>00075-HER</t>
        </is>
      </c>
      <c r="C358" s="56">
        <f>IFERROR(_xlfn.XLOOKUP(PRODUCTOS[[#This Row],[CODIGO]],LISTADO[CODIGOS],LISTADO[CATEGORIA]),"NO EXISTE")</f>
        <v/>
      </c>
      <c r="D358" s="56">
        <f>IFERROR(_xlfn.XLOOKUP(PRODUCTOS[[#This Row],[CODIGO]],LISTADO[CODIGOS],LISTADO[PRODUCTOS]),"NO EXISTE")</f>
        <v/>
      </c>
      <c r="E358" s="56">
        <f>IFERROR(_xlfn.XLOOKUP(PRODUCTOS[[#This Row],[CODIGO]],LISTADO[CODIGOS],LISTADO[UBICACIÓN]),"NO EXISTE")</f>
        <v/>
      </c>
      <c r="F358" s="56">
        <f>SUMIFS(ENTRADAS[CANTIDAD],ENTRADAS[CODIGO],PRODUCTOS[[#This Row],[CODIGO]])</f>
        <v/>
      </c>
      <c r="G358" s="56">
        <f>SUMIFS(SALIDAS[CANTIDAD],SALIDAS[CODIGO],PRODUCTOS[[#This Row],[CODIGO]])</f>
        <v/>
      </c>
      <c r="H358" s="56">
        <f>PRODUCTOS[[#This Row],[ENTRADAS]]-PRODUCTOS[[#This Row],[SALIDAS ]]</f>
        <v/>
      </c>
      <c r="I358" s="76" t="n">
        <v>0</v>
      </c>
      <c r="J358">
        <f>IF(PRODUCTOS[[#This Row],[STOCK]]&lt;0,"NEGATIVO",IF(PRODUCTOS[[#This Row],[STOCK]]=0,"SIN STOCK",IF(PRODUCTOS[[#This Row],[STOCK]]&lt;=PRODUCTOS[[#This Row],[STOCK MÍN.]],"BAJO","OK")))</f>
        <v/>
      </c>
      <c r="K3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59" hidden="1" s="11">
      <c r="A359" s="18" t="n">
        <v>344</v>
      </c>
      <c r="B359" s="56" t="inlineStr">
        <is>
          <t>00076-HER</t>
        </is>
      </c>
      <c r="C359" s="56">
        <f>IFERROR(_xlfn.XLOOKUP(PRODUCTOS[[#This Row],[CODIGO]],LISTADO[CODIGOS],LISTADO[CATEGORIA]),"NO EXISTE")</f>
        <v/>
      </c>
      <c r="D359" s="56">
        <f>IFERROR(_xlfn.XLOOKUP(PRODUCTOS[[#This Row],[CODIGO]],LISTADO[CODIGOS],LISTADO[PRODUCTOS]),"NO EXISTE")</f>
        <v/>
      </c>
      <c r="E359" s="56">
        <f>IFERROR(_xlfn.XLOOKUP(PRODUCTOS[[#This Row],[CODIGO]],LISTADO[CODIGOS],LISTADO[UBICACIÓN]),"NO EXISTE")</f>
        <v/>
      </c>
      <c r="F359" s="56">
        <f>SUMIFS(ENTRADAS[CANTIDAD],ENTRADAS[CODIGO],PRODUCTOS[[#This Row],[CODIGO]])</f>
        <v/>
      </c>
      <c r="G359" s="56">
        <f>SUMIFS(SALIDAS[CANTIDAD],SALIDAS[CODIGO],PRODUCTOS[[#This Row],[CODIGO]])</f>
        <v/>
      </c>
      <c r="H359" s="56">
        <f>PRODUCTOS[[#This Row],[ENTRADAS]]-PRODUCTOS[[#This Row],[SALIDAS ]]</f>
        <v/>
      </c>
      <c r="I359" s="76" t="n">
        <v>0</v>
      </c>
      <c r="J359">
        <f>IF(PRODUCTOS[[#This Row],[STOCK]]&lt;0,"NEGATIVO",IF(PRODUCTOS[[#This Row],[STOCK]]=0,"SIN STOCK",IF(PRODUCTOS[[#This Row],[STOCK]]&lt;=PRODUCTOS[[#This Row],[STOCK MÍN.]],"BAJO","OK")))</f>
        <v/>
      </c>
      <c r="K3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60" hidden="1" s="11">
      <c r="A360" s="18" t="n">
        <v>345</v>
      </c>
      <c r="B360" s="56" t="inlineStr">
        <is>
          <t>00077-HER</t>
        </is>
      </c>
      <c r="C360" s="56">
        <f>IFERROR(_xlfn.XLOOKUP(PRODUCTOS[[#This Row],[CODIGO]],LISTADO[CODIGOS],LISTADO[CATEGORIA]),"NO EXISTE")</f>
        <v/>
      </c>
      <c r="D360" s="56">
        <f>IFERROR(_xlfn.XLOOKUP(PRODUCTOS[[#This Row],[CODIGO]],LISTADO[CODIGOS],LISTADO[PRODUCTOS]),"NO EXISTE")</f>
        <v/>
      </c>
      <c r="E360" s="56">
        <f>IFERROR(_xlfn.XLOOKUP(PRODUCTOS[[#This Row],[CODIGO]],LISTADO[CODIGOS],LISTADO[UBICACIÓN]),"NO EXISTE")</f>
        <v/>
      </c>
      <c r="F360" s="56">
        <f>SUMIFS(ENTRADAS[CANTIDAD],ENTRADAS[CODIGO],PRODUCTOS[[#This Row],[CODIGO]])</f>
        <v/>
      </c>
      <c r="G360" s="56">
        <f>SUMIFS(SALIDAS[CANTIDAD],SALIDAS[CODIGO],PRODUCTOS[[#This Row],[CODIGO]])</f>
        <v/>
      </c>
      <c r="H360" s="56">
        <f>PRODUCTOS[[#This Row],[ENTRADAS]]-PRODUCTOS[[#This Row],[SALIDAS ]]</f>
        <v/>
      </c>
      <c r="I360" s="76" t="n">
        <v>0</v>
      </c>
      <c r="J360">
        <f>IF(PRODUCTOS[[#This Row],[STOCK]]&lt;0,"NEGATIVO",IF(PRODUCTOS[[#This Row],[STOCK]]=0,"SIN STOCK",IF(PRODUCTOS[[#This Row],[STOCK]]&lt;=PRODUCTOS[[#This Row],[STOCK MÍN.]],"BAJO","OK")))</f>
        <v/>
      </c>
      <c r="K3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61" hidden="1" s="11">
      <c r="A361" s="18" t="n">
        <v>346</v>
      </c>
      <c r="B361" s="56" t="inlineStr">
        <is>
          <t>00078-HER</t>
        </is>
      </c>
      <c r="C361" s="56">
        <f>IFERROR(_xlfn.XLOOKUP(PRODUCTOS[[#This Row],[CODIGO]],LISTADO[CODIGOS],LISTADO[CATEGORIA]),"NO EXISTE")</f>
        <v/>
      </c>
      <c r="D361" s="56">
        <f>IFERROR(_xlfn.XLOOKUP(PRODUCTOS[[#This Row],[CODIGO]],LISTADO[CODIGOS],LISTADO[PRODUCTOS]),"NO EXISTE")</f>
        <v/>
      </c>
      <c r="E361" s="56">
        <f>IFERROR(_xlfn.XLOOKUP(PRODUCTOS[[#This Row],[CODIGO]],LISTADO[CODIGOS],LISTADO[UBICACIÓN]),"NO EXISTE")</f>
        <v/>
      </c>
      <c r="F361" s="56">
        <f>SUMIFS(ENTRADAS[CANTIDAD],ENTRADAS[CODIGO],PRODUCTOS[[#This Row],[CODIGO]])</f>
        <v/>
      </c>
      <c r="G361" s="56">
        <f>SUMIFS(SALIDAS[CANTIDAD],SALIDAS[CODIGO],PRODUCTOS[[#This Row],[CODIGO]])</f>
        <v/>
      </c>
      <c r="H361" s="56">
        <f>PRODUCTOS[[#This Row],[ENTRADAS]]-PRODUCTOS[[#This Row],[SALIDAS ]]</f>
        <v/>
      </c>
      <c r="I361" s="76" t="n">
        <v>0</v>
      </c>
      <c r="J361">
        <f>IF(PRODUCTOS[[#This Row],[STOCK]]&lt;0,"NEGATIVO",IF(PRODUCTOS[[#This Row],[STOCK]]=0,"SIN STOCK",IF(PRODUCTOS[[#This Row],[STOCK]]&lt;=PRODUCTOS[[#This Row],[STOCK MÍN.]],"BAJO","OK")))</f>
        <v/>
      </c>
      <c r="K3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62" hidden="1" s="11">
      <c r="A362" s="18" t="n">
        <v>347</v>
      </c>
      <c r="B362" s="56" t="inlineStr">
        <is>
          <t>00079-HER</t>
        </is>
      </c>
      <c r="C362" s="56">
        <f>IFERROR(_xlfn.XLOOKUP(PRODUCTOS[[#This Row],[CODIGO]],LISTADO[CODIGOS],LISTADO[CATEGORIA]),"NO EXISTE")</f>
        <v/>
      </c>
      <c r="D362" s="56">
        <f>IFERROR(_xlfn.XLOOKUP(PRODUCTOS[[#This Row],[CODIGO]],LISTADO[CODIGOS],LISTADO[PRODUCTOS]),"NO EXISTE")</f>
        <v/>
      </c>
      <c r="E362" s="56">
        <f>IFERROR(_xlfn.XLOOKUP(PRODUCTOS[[#This Row],[CODIGO]],LISTADO[CODIGOS],LISTADO[UBICACIÓN]),"NO EXISTE")</f>
        <v/>
      </c>
      <c r="F362" s="56">
        <f>SUMIFS(ENTRADAS[CANTIDAD],ENTRADAS[CODIGO],PRODUCTOS[[#This Row],[CODIGO]])</f>
        <v/>
      </c>
      <c r="G362" s="56">
        <f>SUMIFS(SALIDAS[CANTIDAD],SALIDAS[CODIGO],PRODUCTOS[[#This Row],[CODIGO]])</f>
        <v/>
      </c>
      <c r="H362" s="56">
        <f>PRODUCTOS[[#This Row],[ENTRADAS]]-PRODUCTOS[[#This Row],[SALIDAS ]]</f>
        <v/>
      </c>
      <c r="I362" s="76" t="n">
        <v>0</v>
      </c>
      <c r="J362">
        <f>IF(PRODUCTOS[[#This Row],[STOCK]]&lt;0,"NEGATIVO",IF(PRODUCTOS[[#This Row],[STOCK]]=0,"SIN STOCK",IF(PRODUCTOS[[#This Row],[STOCK]]&lt;=PRODUCTOS[[#This Row],[STOCK MÍN.]],"BAJO","OK")))</f>
        <v/>
      </c>
      <c r="K3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63" hidden="1" s="11">
      <c r="A363" s="18" t="n">
        <v>348</v>
      </c>
      <c r="B363" s="56" t="inlineStr">
        <is>
          <t>00080-HER</t>
        </is>
      </c>
      <c r="C363" s="56">
        <f>IFERROR(_xlfn.XLOOKUP(PRODUCTOS[[#This Row],[CODIGO]],LISTADO[CODIGOS],LISTADO[CATEGORIA]),"NO EXISTE")</f>
        <v/>
      </c>
      <c r="D363" s="56">
        <f>IFERROR(_xlfn.XLOOKUP(PRODUCTOS[[#This Row],[CODIGO]],LISTADO[CODIGOS],LISTADO[PRODUCTOS]),"NO EXISTE")</f>
        <v/>
      </c>
      <c r="E363" s="56">
        <f>IFERROR(_xlfn.XLOOKUP(PRODUCTOS[[#This Row],[CODIGO]],LISTADO[CODIGOS],LISTADO[UBICACIÓN]),"NO EXISTE")</f>
        <v/>
      </c>
      <c r="F363" s="56">
        <f>SUMIFS(ENTRADAS[CANTIDAD],ENTRADAS[CODIGO],PRODUCTOS[[#This Row],[CODIGO]])</f>
        <v/>
      </c>
      <c r="G363" s="56">
        <f>SUMIFS(SALIDAS[CANTIDAD],SALIDAS[CODIGO],PRODUCTOS[[#This Row],[CODIGO]])</f>
        <v/>
      </c>
      <c r="H363" s="56">
        <f>PRODUCTOS[[#This Row],[ENTRADAS]]-PRODUCTOS[[#This Row],[SALIDAS ]]</f>
        <v/>
      </c>
      <c r="I363" s="76" t="n">
        <v>0</v>
      </c>
      <c r="J363">
        <f>IF(PRODUCTOS[[#This Row],[STOCK]]&lt;0,"NEGATIVO",IF(PRODUCTOS[[#This Row],[STOCK]]=0,"SIN STOCK",IF(PRODUCTOS[[#This Row],[STOCK]]&lt;=PRODUCTOS[[#This Row],[STOCK MÍN.]],"BAJO","OK")))</f>
        <v/>
      </c>
      <c r="K3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64" hidden="1" s="11">
      <c r="A364" s="18" t="n">
        <v>349</v>
      </c>
      <c r="B364" s="56" t="inlineStr">
        <is>
          <t>00081-HER</t>
        </is>
      </c>
      <c r="C364" s="56">
        <f>IFERROR(_xlfn.XLOOKUP(PRODUCTOS[[#This Row],[CODIGO]],LISTADO[CODIGOS],LISTADO[CATEGORIA]),"NO EXISTE")</f>
        <v/>
      </c>
      <c r="D364" s="56">
        <f>IFERROR(_xlfn.XLOOKUP(PRODUCTOS[[#This Row],[CODIGO]],LISTADO[CODIGOS],LISTADO[PRODUCTOS]),"NO EXISTE")</f>
        <v/>
      </c>
      <c r="E364" s="56">
        <f>IFERROR(_xlfn.XLOOKUP(PRODUCTOS[[#This Row],[CODIGO]],LISTADO[CODIGOS],LISTADO[UBICACIÓN]),"NO EXISTE")</f>
        <v/>
      </c>
      <c r="F364" s="56">
        <f>SUMIFS(ENTRADAS[CANTIDAD],ENTRADAS[CODIGO],PRODUCTOS[[#This Row],[CODIGO]])</f>
        <v/>
      </c>
      <c r="G364" s="56">
        <f>SUMIFS(SALIDAS[CANTIDAD],SALIDAS[CODIGO],PRODUCTOS[[#This Row],[CODIGO]])</f>
        <v/>
      </c>
      <c r="H364" s="56">
        <f>PRODUCTOS[[#This Row],[ENTRADAS]]-PRODUCTOS[[#This Row],[SALIDAS ]]</f>
        <v/>
      </c>
      <c r="I364" s="76" t="n">
        <v>0</v>
      </c>
      <c r="J364">
        <f>IF(PRODUCTOS[[#This Row],[STOCK]]&lt;0,"NEGATIVO",IF(PRODUCTOS[[#This Row],[STOCK]]=0,"SIN STOCK",IF(PRODUCTOS[[#This Row],[STOCK]]&lt;=PRODUCTOS[[#This Row],[STOCK MÍN.]],"BAJO","OK")))</f>
        <v/>
      </c>
      <c r="K3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65" hidden="1" s="11">
      <c r="A365" s="18" t="n">
        <v>350</v>
      </c>
      <c r="B365" s="56" t="inlineStr">
        <is>
          <t>00082-HER</t>
        </is>
      </c>
      <c r="C365" s="56">
        <f>IFERROR(_xlfn.XLOOKUP(PRODUCTOS[[#This Row],[CODIGO]],LISTADO[CODIGOS],LISTADO[CATEGORIA]),"NO EXISTE")</f>
        <v/>
      </c>
      <c r="D365" s="56">
        <f>IFERROR(_xlfn.XLOOKUP(PRODUCTOS[[#This Row],[CODIGO]],LISTADO[CODIGOS],LISTADO[PRODUCTOS]),"NO EXISTE")</f>
        <v/>
      </c>
      <c r="E365" s="56">
        <f>IFERROR(_xlfn.XLOOKUP(PRODUCTOS[[#This Row],[CODIGO]],LISTADO[CODIGOS],LISTADO[UBICACIÓN]),"NO EXISTE")</f>
        <v/>
      </c>
      <c r="F365" s="56">
        <f>SUMIFS(ENTRADAS[CANTIDAD],ENTRADAS[CODIGO],PRODUCTOS[[#This Row],[CODIGO]])</f>
        <v/>
      </c>
      <c r="G365" s="56">
        <f>SUMIFS(SALIDAS[CANTIDAD],SALIDAS[CODIGO],PRODUCTOS[[#This Row],[CODIGO]])</f>
        <v/>
      </c>
      <c r="H365" s="56">
        <f>PRODUCTOS[[#This Row],[ENTRADAS]]-PRODUCTOS[[#This Row],[SALIDAS ]]</f>
        <v/>
      </c>
      <c r="I365" s="76" t="n">
        <v>0</v>
      </c>
      <c r="J365">
        <f>IF(PRODUCTOS[[#This Row],[STOCK]]&lt;0,"NEGATIVO",IF(PRODUCTOS[[#This Row],[STOCK]]=0,"SIN STOCK",IF(PRODUCTOS[[#This Row],[STOCK]]&lt;=PRODUCTOS[[#This Row],[STOCK MÍN.]],"BAJO","OK")))</f>
        <v/>
      </c>
      <c r="K3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66" hidden="1" s="11">
      <c r="A366" s="18" t="n">
        <v>351</v>
      </c>
      <c r="B366" s="56" t="inlineStr">
        <is>
          <t>00083-HER</t>
        </is>
      </c>
      <c r="C366" s="56">
        <f>IFERROR(_xlfn.XLOOKUP(PRODUCTOS[[#This Row],[CODIGO]],LISTADO[CODIGOS],LISTADO[CATEGORIA]),"NO EXISTE")</f>
        <v/>
      </c>
      <c r="D366" s="56">
        <f>IFERROR(_xlfn.XLOOKUP(PRODUCTOS[[#This Row],[CODIGO]],LISTADO[CODIGOS],LISTADO[PRODUCTOS]),"NO EXISTE")</f>
        <v/>
      </c>
      <c r="E366" s="56">
        <f>IFERROR(_xlfn.XLOOKUP(PRODUCTOS[[#This Row],[CODIGO]],LISTADO[CODIGOS],LISTADO[UBICACIÓN]),"NO EXISTE")</f>
        <v/>
      </c>
      <c r="F366" s="56">
        <f>SUMIFS(ENTRADAS[CANTIDAD],ENTRADAS[CODIGO],PRODUCTOS[[#This Row],[CODIGO]])</f>
        <v/>
      </c>
      <c r="G366" s="56">
        <f>SUMIFS(SALIDAS[CANTIDAD],SALIDAS[CODIGO],PRODUCTOS[[#This Row],[CODIGO]])</f>
        <v/>
      </c>
      <c r="H366" s="56">
        <f>PRODUCTOS[[#This Row],[ENTRADAS]]-PRODUCTOS[[#This Row],[SALIDAS ]]</f>
        <v/>
      </c>
      <c r="I366" s="76" t="n">
        <v>0</v>
      </c>
      <c r="J366">
        <f>IF(PRODUCTOS[[#This Row],[STOCK]]&lt;0,"NEGATIVO",IF(PRODUCTOS[[#This Row],[STOCK]]=0,"SIN STOCK",IF(PRODUCTOS[[#This Row],[STOCK]]&lt;=PRODUCTOS[[#This Row],[STOCK MÍN.]],"BAJO","OK")))</f>
        <v/>
      </c>
      <c r="K3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67" hidden="1" s="11">
      <c r="A367" s="18" t="n">
        <v>352</v>
      </c>
      <c r="B367" s="56" t="inlineStr">
        <is>
          <t>00084-HER</t>
        </is>
      </c>
      <c r="C367" s="56">
        <f>IFERROR(_xlfn.XLOOKUP(PRODUCTOS[[#This Row],[CODIGO]],LISTADO[CODIGOS],LISTADO[CATEGORIA]),"NO EXISTE")</f>
        <v/>
      </c>
      <c r="D367" s="56">
        <f>IFERROR(_xlfn.XLOOKUP(PRODUCTOS[[#This Row],[CODIGO]],LISTADO[CODIGOS],LISTADO[PRODUCTOS]),"NO EXISTE")</f>
        <v/>
      </c>
      <c r="E367" s="56">
        <f>IFERROR(_xlfn.XLOOKUP(PRODUCTOS[[#This Row],[CODIGO]],LISTADO[CODIGOS],LISTADO[UBICACIÓN]),"NO EXISTE")</f>
        <v/>
      </c>
      <c r="F367" s="56">
        <f>SUMIFS(ENTRADAS[CANTIDAD],ENTRADAS[CODIGO],PRODUCTOS[[#This Row],[CODIGO]])</f>
        <v/>
      </c>
      <c r="G367" s="56">
        <f>SUMIFS(SALIDAS[CANTIDAD],SALIDAS[CODIGO],PRODUCTOS[[#This Row],[CODIGO]])</f>
        <v/>
      </c>
      <c r="H367" s="56">
        <f>PRODUCTOS[[#This Row],[ENTRADAS]]-PRODUCTOS[[#This Row],[SALIDAS ]]</f>
        <v/>
      </c>
      <c r="I367" s="76" t="n">
        <v>0</v>
      </c>
      <c r="J367">
        <f>IF(PRODUCTOS[[#This Row],[STOCK]]&lt;0,"NEGATIVO",IF(PRODUCTOS[[#This Row],[STOCK]]=0,"SIN STOCK",IF(PRODUCTOS[[#This Row],[STOCK]]&lt;=PRODUCTOS[[#This Row],[STOCK MÍN.]],"BAJO","OK")))</f>
        <v/>
      </c>
      <c r="K3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68" hidden="1" s="11">
      <c r="A368" s="18" t="n">
        <v>353</v>
      </c>
      <c r="B368" s="56" t="inlineStr">
        <is>
          <t>00085-HER</t>
        </is>
      </c>
      <c r="C368" s="56">
        <f>IFERROR(_xlfn.XLOOKUP(PRODUCTOS[[#This Row],[CODIGO]],LISTADO[CODIGOS],LISTADO[CATEGORIA]),"NO EXISTE")</f>
        <v/>
      </c>
      <c r="D368" s="56">
        <f>IFERROR(_xlfn.XLOOKUP(PRODUCTOS[[#This Row],[CODIGO]],LISTADO[CODIGOS],LISTADO[PRODUCTOS]),"NO EXISTE")</f>
        <v/>
      </c>
      <c r="E368" s="56">
        <f>IFERROR(_xlfn.XLOOKUP(PRODUCTOS[[#This Row],[CODIGO]],LISTADO[CODIGOS],LISTADO[UBICACIÓN]),"NO EXISTE")</f>
        <v/>
      </c>
      <c r="F368" s="56">
        <f>SUMIFS(ENTRADAS[CANTIDAD],ENTRADAS[CODIGO],PRODUCTOS[[#This Row],[CODIGO]])</f>
        <v/>
      </c>
      <c r="G368" s="56">
        <f>SUMIFS(SALIDAS[CANTIDAD],SALIDAS[CODIGO],PRODUCTOS[[#This Row],[CODIGO]])</f>
        <v/>
      </c>
      <c r="H368" s="56">
        <f>PRODUCTOS[[#This Row],[ENTRADAS]]-PRODUCTOS[[#This Row],[SALIDAS ]]</f>
        <v/>
      </c>
      <c r="I368" s="76" t="n">
        <v>0</v>
      </c>
      <c r="J368">
        <f>IF(PRODUCTOS[[#This Row],[STOCK]]&lt;0,"NEGATIVO",IF(PRODUCTOS[[#This Row],[STOCK]]=0,"SIN STOCK",IF(PRODUCTOS[[#This Row],[STOCK]]&lt;=PRODUCTOS[[#This Row],[STOCK MÍN.]],"BAJO","OK")))</f>
        <v/>
      </c>
      <c r="K3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69" hidden="1" s="11">
      <c r="A369" s="18" t="n">
        <v>354</v>
      </c>
      <c r="B369" s="56" t="inlineStr">
        <is>
          <t>00022-ELE</t>
        </is>
      </c>
      <c r="C369" s="56">
        <f>IFERROR(_xlfn.XLOOKUP(PRODUCTOS[[#This Row],[CODIGO]],LISTADO[CODIGOS],LISTADO[CATEGORIA]),"NO EXISTE")</f>
        <v/>
      </c>
      <c r="D369" s="56">
        <f>IFERROR(_xlfn.XLOOKUP(PRODUCTOS[[#This Row],[CODIGO]],LISTADO[CODIGOS],LISTADO[PRODUCTOS]),"NO EXISTE")</f>
        <v/>
      </c>
      <c r="E369" s="56">
        <f>IFERROR(_xlfn.XLOOKUP(PRODUCTOS[[#This Row],[CODIGO]],LISTADO[CODIGOS],LISTADO[UBICACIÓN]),"NO EXISTE")</f>
        <v/>
      </c>
      <c r="F369" s="56">
        <f>SUMIFS(ENTRADAS[CANTIDAD],ENTRADAS[CODIGO],PRODUCTOS[[#This Row],[CODIGO]])</f>
        <v/>
      </c>
      <c r="G369" s="56">
        <f>SUMIFS(SALIDAS[CANTIDAD],SALIDAS[CODIGO],PRODUCTOS[[#This Row],[CODIGO]])</f>
        <v/>
      </c>
      <c r="H369" s="56">
        <f>PRODUCTOS[[#This Row],[ENTRADAS]]-PRODUCTOS[[#This Row],[SALIDAS ]]</f>
        <v/>
      </c>
      <c r="I369" s="76" t="n">
        <v>0</v>
      </c>
      <c r="J369">
        <f>IF(PRODUCTOS[[#This Row],[STOCK]]&lt;0,"NEGATIVO",IF(PRODUCTOS[[#This Row],[STOCK]]=0,"SIN STOCK",IF(PRODUCTOS[[#This Row],[STOCK]]&lt;=PRODUCTOS[[#This Row],[STOCK MÍN.]],"BAJO","OK")))</f>
        <v/>
      </c>
      <c r="K3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70" hidden="1" s="11">
      <c r="A370" s="18" t="n">
        <v>355</v>
      </c>
      <c r="B370" s="56" t="inlineStr">
        <is>
          <t>00023-ELE</t>
        </is>
      </c>
      <c r="C370" s="56">
        <f>IFERROR(_xlfn.XLOOKUP(PRODUCTOS[[#This Row],[CODIGO]],LISTADO[CODIGOS],LISTADO[CATEGORIA]),"NO EXISTE")</f>
        <v/>
      </c>
      <c r="D370" s="56">
        <f>IFERROR(_xlfn.XLOOKUP(PRODUCTOS[[#This Row],[CODIGO]],LISTADO[CODIGOS],LISTADO[PRODUCTOS]),"NO EXISTE")</f>
        <v/>
      </c>
      <c r="E370" s="56">
        <f>IFERROR(_xlfn.XLOOKUP(PRODUCTOS[[#This Row],[CODIGO]],LISTADO[CODIGOS],LISTADO[UBICACIÓN]),"NO EXISTE")</f>
        <v/>
      </c>
      <c r="F370" s="56">
        <f>SUMIFS(ENTRADAS[CANTIDAD],ENTRADAS[CODIGO],PRODUCTOS[[#This Row],[CODIGO]])</f>
        <v/>
      </c>
      <c r="G370" s="56">
        <f>SUMIFS(SALIDAS[CANTIDAD],SALIDAS[CODIGO],PRODUCTOS[[#This Row],[CODIGO]])</f>
        <v/>
      </c>
      <c r="H370" s="56">
        <f>PRODUCTOS[[#This Row],[ENTRADAS]]-PRODUCTOS[[#This Row],[SALIDAS ]]</f>
        <v/>
      </c>
      <c r="I370" s="76" t="n">
        <v>0</v>
      </c>
      <c r="J370">
        <f>IF(PRODUCTOS[[#This Row],[STOCK]]&lt;0,"NEGATIVO",IF(PRODUCTOS[[#This Row],[STOCK]]=0,"SIN STOCK",IF(PRODUCTOS[[#This Row],[STOCK]]&lt;=PRODUCTOS[[#This Row],[STOCK MÍN.]],"BAJO","OK")))</f>
        <v/>
      </c>
      <c r="K3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71" hidden="1" s="11">
      <c r="A371" s="18" t="n">
        <v>356</v>
      </c>
      <c r="B371" s="56" t="inlineStr">
        <is>
          <t>00024-ELE</t>
        </is>
      </c>
      <c r="C371" s="56">
        <f>IFERROR(_xlfn.XLOOKUP(PRODUCTOS[[#This Row],[CODIGO]],LISTADO[CODIGOS],LISTADO[CATEGORIA]),"NO EXISTE")</f>
        <v/>
      </c>
      <c r="D371" s="56">
        <f>IFERROR(_xlfn.XLOOKUP(PRODUCTOS[[#This Row],[CODIGO]],LISTADO[CODIGOS],LISTADO[PRODUCTOS]),"NO EXISTE")</f>
        <v/>
      </c>
      <c r="E371" s="56">
        <f>IFERROR(_xlfn.XLOOKUP(PRODUCTOS[[#This Row],[CODIGO]],LISTADO[CODIGOS],LISTADO[UBICACIÓN]),"NO EXISTE")</f>
        <v/>
      </c>
      <c r="F371" s="56">
        <f>SUMIFS(ENTRADAS[CANTIDAD],ENTRADAS[CODIGO],PRODUCTOS[[#This Row],[CODIGO]])</f>
        <v/>
      </c>
      <c r="G371" s="56">
        <f>SUMIFS(SALIDAS[CANTIDAD],SALIDAS[CODIGO],PRODUCTOS[[#This Row],[CODIGO]])</f>
        <v/>
      </c>
      <c r="H371" s="56">
        <f>PRODUCTOS[[#This Row],[ENTRADAS]]-PRODUCTOS[[#This Row],[SALIDAS ]]</f>
        <v/>
      </c>
      <c r="I371" s="76" t="n">
        <v>0</v>
      </c>
      <c r="J371">
        <f>IF(PRODUCTOS[[#This Row],[STOCK]]&lt;0,"NEGATIVO",IF(PRODUCTOS[[#This Row],[STOCK]]=0,"SIN STOCK",IF(PRODUCTOS[[#This Row],[STOCK]]&lt;=PRODUCTOS[[#This Row],[STOCK MÍN.]],"BAJO","OK")))</f>
        <v/>
      </c>
      <c r="K3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72" hidden="1" s="11">
      <c r="A372" s="18" t="n">
        <v>357</v>
      </c>
      <c r="B372" s="56" t="inlineStr">
        <is>
          <t>00025-ELE</t>
        </is>
      </c>
      <c r="C372" s="56">
        <f>IFERROR(_xlfn.XLOOKUP(PRODUCTOS[[#This Row],[CODIGO]],LISTADO[CODIGOS],LISTADO[CATEGORIA]),"NO EXISTE")</f>
        <v/>
      </c>
      <c r="D372" s="56">
        <f>IFERROR(_xlfn.XLOOKUP(PRODUCTOS[[#This Row],[CODIGO]],LISTADO[CODIGOS],LISTADO[PRODUCTOS]),"NO EXISTE")</f>
        <v/>
      </c>
      <c r="E372" s="56">
        <f>IFERROR(_xlfn.XLOOKUP(PRODUCTOS[[#This Row],[CODIGO]],LISTADO[CODIGOS],LISTADO[UBICACIÓN]),"NO EXISTE")</f>
        <v/>
      </c>
      <c r="F372" s="56">
        <f>SUMIFS(ENTRADAS[CANTIDAD],ENTRADAS[CODIGO],PRODUCTOS[[#This Row],[CODIGO]])</f>
        <v/>
      </c>
      <c r="G372" s="56">
        <f>SUMIFS(SALIDAS[CANTIDAD],SALIDAS[CODIGO],PRODUCTOS[[#This Row],[CODIGO]])</f>
        <v/>
      </c>
      <c r="H372" s="56">
        <f>PRODUCTOS[[#This Row],[ENTRADAS]]-PRODUCTOS[[#This Row],[SALIDAS ]]</f>
        <v/>
      </c>
      <c r="I372" s="76" t="n">
        <v>0</v>
      </c>
      <c r="J372">
        <f>IF(PRODUCTOS[[#This Row],[STOCK]]&lt;0,"NEGATIVO",IF(PRODUCTOS[[#This Row],[STOCK]]=0,"SIN STOCK",IF(PRODUCTOS[[#This Row],[STOCK]]&lt;=PRODUCTOS[[#This Row],[STOCK MÍN.]],"BAJO","OK")))</f>
        <v/>
      </c>
      <c r="K3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73" hidden="1" s="11">
      <c r="A373" s="18" t="n">
        <v>358</v>
      </c>
      <c r="B373" s="56" t="inlineStr">
        <is>
          <t>00026-ELE</t>
        </is>
      </c>
      <c r="C373" s="56">
        <f>IFERROR(_xlfn.XLOOKUP(PRODUCTOS[[#This Row],[CODIGO]],LISTADO[CODIGOS],LISTADO[CATEGORIA]),"NO EXISTE")</f>
        <v/>
      </c>
      <c r="D373" s="56">
        <f>IFERROR(_xlfn.XLOOKUP(PRODUCTOS[[#This Row],[CODIGO]],LISTADO[CODIGOS],LISTADO[PRODUCTOS]),"NO EXISTE")</f>
        <v/>
      </c>
      <c r="E373" s="56">
        <f>IFERROR(_xlfn.XLOOKUP(PRODUCTOS[[#This Row],[CODIGO]],LISTADO[CODIGOS],LISTADO[UBICACIÓN]),"NO EXISTE")</f>
        <v/>
      </c>
      <c r="F373" s="56">
        <f>SUMIFS(ENTRADAS[CANTIDAD],ENTRADAS[CODIGO],PRODUCTOS[[#This Row],[CODIGO]])</f>
        <v/>
      </c>
      <c r="G373" s="56">
        <f>SUMIFS(SALIDAS[CANTIDAD],SALIDAS[CODIGO],PRODUCTOS[[#This Row],[CODIGO]])</f>
        <v/>
      </c>
      <c r="H373" s="56">
        <f>PRODUCTOS[[#This Row],[ENTRADAS]]-PRODUCTOS[[#This Row],[SALIDAS ]]</f>
        <v/>
      </c>
      <c r="I373" s="76" t="n">
        <v>0</v>
      </c>
      <c r="J373">
        <f>IF(PRODUCTOS[[#This Row],[STOCK]]&lt;0,"NEGATIVO",IF(PRODUCTOS[[#This Row],[STOCK]]=0,"SIN STOCK",IF(PRODUCTOS[[#This Row],[STOCK]]&lt;=PRODUCTOS[[#This Row],[STOCK MÍN.]],"BAJO","OK")))</f>
        <v/>
      </c>
      <c r="K3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74" hidden="1" s="11">
      <c r="A374" s="18" t="n">
        <v>359</v>
      </c>
      <c r="B374" s="56" t="inlineStr">
        <is>
          <t>00027-ELE</t>
        </is>
      </c>
      <c r="C374" s="56">
        <f>IFERROR(_xlfn.XLOOKUP(PRODUCTOS[[#This Row],[CODIGO]],LISTADO[CODIGOS],LISTADO[CATEGORIA]),"NO EXISTE")</f>
        <v/>
      </c>
      <c r="D374" s="56">
        <f>IFERROR(_xlfn.XLOOKUP(PRODUCTOS[[#This Row],[CODIGO]],LISTADO[CODIGOS],LISTADO[PRODUCTOS]),"NO EXISTE")</f>
        <v/>
      </c>
      <c r="E374" s="56">
        <f>IFERROR(_xlfn.XLOOKUP(PRODUCTOS[[#This Row],[CODIGO]],LISTADO[CODIGOS],LISTADO[UBICACIÓN]),"NO EXISTE")</f>
        <v/>
      </c>
      <c r="F374" s="56">
        <f>SUMIFS(ENTRADAS[CANTIDAD],ENTRADAS[CODIGO],PRODUCTOS[[#This Row],[CODIGO]])</f>
        <v/>
      </c>
      <c r="G374" s="56">
        <f>SUMIFS(SALIDAS[CANTIDAD],SALIDAS[CODIGO],PRODUCTOS[[#This Row],[CODIGO]])</f>
        <v/>
      </c>
      <c r="H374" s="56">
        <f>PRODUCTOS[[#This Row],[ENTRADAS]]-PRODUCTOS[[#This Row],[SALIDAS ]]</f>
        <v/>
      </c>
      <c r="I374" s="76" t="n">
        <v>0</v>
      </c>
      <c r="J374">
        <f>IF(PRODUCTOS[[#This Row],[STOCK]]&lt;0,"NEGATIVO",IF(PRODUCTOS[[#This Row],[STOCK]]=0,"SIN STOCK",IF(PRODUCTOS[[#This Row],[STOCK]]&lt;=PRODUCTOS[[#This Row],[STOCK MÍN.]],"BAJO","OK")))</f>
        <v/>
      </c>
      <c r="K3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75" hidden="1" s="11">
      <c r="A375" s="18" t="n">
        <v>360</v>
      </c>
      <c r="B375" s="56" t="inlineStr">
        <is>
          <t>00028-ELE</t>
        </is>
      </c>
      <c r="C375" s="56">
        <f>IFERROR(_xlfn.XLOOKUP(PRODUCTOS[[#This Row],[CODIGO]],LISTADO[CODIGOS],LISTADO[CATEGORIA]),"NO EXISTE")</f>
        <v/>
      </c>
      <c r="D375" s="56">
        <f>IFERROR(_xlfn.XLOOKUP(PRODUCTOS[[#This Row],[CODIGO]],LISTADO[CODIGOS],LISTADO[PRODUCTOS]),"NO EXISTE")</f>
        <v/>
      </c>
      <c r="E375" s="56">
        <f>IFERROR(_xlfn.XLOOKUP(PRODUCTOS[[#This Row],[CODIGO]],LISTADO[CODIGOS],LISTADO[UBICACIÓN]),"NO EXISTE")</f>
        <v/>
      </c>
      <c r="F375" s="56">
        <f>SUMIFS(ENTRADAS[CANTIDAD],ENTRADAS[CODIGO],PRODUCTOS[[#This Row],[CODIGO]])</f>
        <v/>
      </c>
      <c r="G375" s="56">
        <f>SUMIFS(SALIDAS[CANTIDAD],SALIDAS[CODIGO],PRODUCTOS[[#This Row],[CODIGO]])</f>
        <v/>
      </c>
      <c r="H375" s="56">
        <f>PRODUCTOS[[#This Row],[ENTRADAS]]-PRODUCTOS[[#This Row],[SALIDAS ]]</f>
        <v/>
      </c>
      <c r="I375" s="76" t="n">
        <v>0</v>
      </c>
      <c r="J375">
        <f>IF(PRODUCTOS[[#This Row],[STOCK]]&lt;0,"NEGATIVO",IF(PRODUCTOS[[#This Row],[STOCK]]=0,"SIN STOCK",IF(PRODUCTOS[[#This Row],[STOCK]]&lt;=PRODUCTOS[[#This Row],[STOCK MÍN.]],"BAJO","OK")))</f>
        <v/>
      </c>
      <c r="K3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76" hidden="1" s="11">
      <c r="A376" s="18" t="n">
        <v>361</v>
      </c>
      <c r="B376" s="56" t="inlineStr">
        <is>
          <t>00029-ELE</t>
        </is>
      </c>
      <c r="C376" s="56">
        <f>IFERROR(_xlfn.XLOOKUP(PRODUCTOS[[#This Row],[CODIGO]],LISTADO[CODIGOS],LISTADO[CATEGORIA]),"NO EXISTE")</f>
        <v/>
      </c>
      <c r="D376" s="56">
        <f>IFERROR(_xlfn.XLOOKUP(PRODUCTOS[[#This Row],[CODIGO]],LISTADO[CODIGOS],LISTADO[PRODUCTOS]),"NO EXISTE")</f>
        <v/>
      </c>
      <c r="E376" s="56">
        <f>IFERROR(_xlfn.XLOOKUP(PRODUCTOS[[#This Row],[CODIGO]],LISTADO[CODIGOS],LISTADO[UBICACIÓN]),"NO EXISTE")</f>
        <v/>
      </c>
      <c r="F376" s="56">
        <f>SUMIFS(ENTRADAS[CANTIDAD],ENTRADAS[CODIGO],PRODUCTOS[[#This Row],[CODIGO]])</f>
        <v/>
      </c>
      <c r="G376" s="56">
        <f>SUMIFS(SALIDAS[CANTIDAD],SALIDAS[CODIGO],PRODUCTOS[[#This Row],[CODIGO]])</f>
        <v/>
      </c>
      <c r="H376" s="56">
        <f>PRODUCTOS[[#This Row],[ENTRADAS]]-PRODUCTOS[[#This Row],[SALIDAS ]]</f>
        <v/>
      </c>
      <c r="I376" s="76" t="n">
        <v>0</v>
      </c>
      <c r="J376">
        <f>IF(PRODUCTOS[[#This Row],[STOCK]]&lt;0,"NEGATIVO",IF(PRODUCTOS[[#This Row],[STOCK]]=0,"SIN STOCK",IF(PRODUCTOS[[#This Row],[STOCK]]&lt;=PRODUCTOS[[#This Row],[STOCK MÍN.]],"BAJO","OK")))</f>
        <v/>
      </c>
      <c r="K3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77" hidden="1" s="11">
      <c r="A377" s="18" t="n">
        <v>362</v>
      </c>
      <c r="B377" s="56" t="inlineStr">
        <is>
          <t>00030-ELE</t>
        </is>
      </c>
      <c r="C377" s="56">
        <f>IFERROR(_xlfn.XLOOKUP(PRODUCTOS[[#This Row],[CODIGO]],LISTADO[CODIGOS],LISTADO[CATEGORIA]),"NO EXISTE")</f>
        <v/>
      </c>
      <c r="D377" s="56">
        <f>IFERROR(_xlfn.XLOOKUP(PRODUCTOS[[#This Row],[CODIGO]],LISTADO[CODIGOS],LISTADO[PRODUCTOS]),"NO EXISTE")</f>
        <v/>
      </c>
      <c r="E377" s="56">
        <f>IFERROR(_xlfn.XLOOKUP(PRODUCTOS[[#This Row],[CODIGO]],LISTADO[CODIGOS],LISTADO[UBICACIÓN]),"NO EXISTE")</f>
        <v/>
      </c>
      <c r="F377" s="56">
        <f>SUMIFS(ENTRADAS[CANTIDAD],ENTRADAS[CODIGO],PRODUCTOS[[#This Row],[CODIGO]])</f>
        <v/>
      </c>
      <c r="G377" s="56">
        <f>SUMIFS(SALIDAS[CANTIDAD],SALIDAS[CODIGO],PRODUCTOS[[#This Row],[CODIGO]])</f>
        <v/>
      </c>
      <c r="H377" s="56">
        <f>PRODUCTOS[[#This Row],[ENTRADAS]]-PRODUCTOS[[#This Row],[SALIDAS ]]</f>
        <v/>
      </c>
      <c r="I377" s="76" t="n">
        <v>0</v>
      </c>
      <c r="J377">
        <f>IF(PRODUCTOS[[#This Row],[STOCK]]&lt;0,"NEGATIVO",IF(PRODUCTOS[[#This Row],[STOCK]]=0,"SIN STOCK",IF(PRODUCTOS[[#This Row],[STOCK]]&lt;=PRODUCTOS[[#This Row],[STOCK MÍN.]],"BAJO","OK")))</f>
        <v/>
      </c>
      <c r="K3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78" hidden="1" s="11">
      <c r="A378" s="18" t="n">
        <v>363</v>
      </c>
      <c r="B378" s="56" t="inlineStr">
        <is>
          <t>00031-ELE</t>
        </is>
      </c>
      <c r="C378" s="56">
        <f>IFERROR(_xlfn.XLOOKUP(PRODUCTOS[[#This Row],[CODIGO]],LISTADO[CODIGOS],LISTADO[CATEGORIA]),"NO EXISTE")</f>
        <v/>
      </c>
      <c r="D378" s="56">
        <f>IFERROR(_xlfn.XLOOKUP(PRODUCTOS[[#This Row],[CODIGO]],LISTADO[CODIGOS],LISTADO[PRODUCTOS]),"NO EXISTE")</f>
        <v/>
      </c>
      <c r="E378" s="56">
        <f>IFERROR(_xlfn.XLOOKUP(PRODUCTOS[[#This Row],[CODIGO]],LISTADO[CODIGOS],LISTADO[UBICACIÓN]),"NO EXISTE")</f>
        <v/>
      </c>
      <c r="F378" s="56">
        <f>SUMIFS(ENTRADAS[CANTIDAD],ENTRADAS[CODIGO],PRODUCTOS[[#This Row],[CODIGO]])</f>
        <v/>
      </c>
      <c r="G378" s="56">
        <f>SUMIFS(SALIDAS[CANTIDAD],SALIDAS[CODIGO],PRODUCTOS[[#This Row],[CODIGO]])</f>
        <v/>
      </c>
      <c r="H378" s="56">
        <f>PRODUCTOS[[#This Row],[ENTRADAS]]-PRODUCTOS[[#This Row],[SALIDAS ]]</f>
        <v/>
      </c>
      <c r="I378" s="76" t="n">
        <v>0</v>
      </c>
      <c r="J378">
        <f>IF(PRODUCTOS[[#This Row],[STOCK]]&lt;0,"NEGATIVO",IF(PRODUCTOS[[#This Row],[STOCK]]=0,"SIN STOCK",IF(PRODUCTOS[[#This Row],[STOCK]]&lt;=PRODUCTOS[[#This Row],[STOCK MÍN.]],"BAJO","OK")))</f>
        <v/>
      </c>
      <c r="K3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79" hidden="1" s="11">
      <c r="A379" s="18" t="n">
        <v>364</v>
      </c>
      <c r="B379" s="56" t="inlineStr">
        <is>
          <t>00032-ELE</t>
        </is>
      </c>
      <c r="C379" s="56">
        <f>IFERROR(_xlfn.XLOOKUP(PRODUCTOS[[#This Row],[CODIGO]],LISTADO[CODIGOS],LISTADO[CATEGORIA]),"NO EXISTE")</f>
        <v/>
      </c>
      <c r="D379" s="56">
        <f>IFERROR(_xlfn.XLOOKUP(PRODUCTOS[[#This Row],[CODIGO]],LISTADO[CODIGOS],LISTADO[PRODUCTOS]),"NO EXISTE")</f>
        <v/>
      </c>
      <c r="E379" s="56">
        <f>IFERROR(_xlfn.XLOOKUP(PRODUCTOS[[#This Row],[CODIGO]],LISTADO[CODIGOS],LISTADO[UBICACIÓN]),"NO EXISTE")</f>
        <v/>
      </c>
      <c r="F379" s="56">
        <f>SUMIFS(ENTRADAS[CANTIDAD],ENTRADAS[CODIGO],PRODUCTOS[[#This Row],[CODIGO]])</f>
        <v/>
      </c>
      <c r="G379" s="56">
        <f>SUMIFS(SALIDAS[CANTIDAD],SALIDAS[CODIGO],PRODUCTOS[[#This Row],[CODIGO]])</f>
        <v/>
      </c>
      <c r="H379" s="56">
        <f>PRODUCTOS[[#This Row],[ENTRADAS]]-PRODUCTOS[[#This Row],[SALIDAS ]]</f>
        <v/>
      </c>
      <c r="I379" s="76" t="n">
        <v>0</v>
      </c>
      <c r="J379">
        <f>IF(PRODUCTOS[[#This Row],[STOCK]]&lt;0,"NEGATIVO",IF(PRODUCTOS[[#This Row],[STOCK]]=0,"SIN STOCK",IF(PRODUCTOS[[#This Row],[STOCK]]&lt;=PRODUCTOS[[#This Row],[STOCK MÍN.]],"BAJO","OK")))</f>
        <v/>
      </c>
      <c r="K3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80" hidden="1" s="11">
      <c r="A380" s="18" t="n">
        <v>365</v>
      </c>
      <c r="B380" s="56" t="inlineStr">
        <is>
          <t>00033-ELE</t>
        </is>
      </c>
      <c r="C380" s="56">
        <f>IFERROR(_xlfn.XLOOKUP(PRODUCTOS[[#This Row],[CODIGO]],LISTADO[CODIGOS],LISTADO[CATEGORIA]),"NO EXISTE")</f>
        <v/>
      </c>
      <c r="D380" s="56">
        <f>IFERROR(_xlfn.XLOOKUP(PRODUCTOS[[#This Row],[CODIGO]],LISTADO[CODIGOS],LISTADO[PRODUCTOS]),"NO EXISTE")</f>
        <v/>
      </c>
      <c r="E380" s="56">
        <f>IFERROR(_xlfn.XLOOKUP(PRODUCTOS[[#This Row],[CODIGO]],LISTADO[CODIGOS],LISTADO[UBICACIÓN]),"NO EXISTE")</f>
        <v/>
      </c>
      <c r="F380" s="56">
        <f>SUMIFS(ENTRADAS[CANTIDAD],ENTRADAS[CODIGO],PRODUCTOS[[#This Row],[CODIGO]])</f>
        <v/>
      </c>
      <c r="G380" s="56">
        <f>SUMIFS(SALIDAS[CANTIDAD],SALIDAS[CODIGO],PRODUCTOS[[#This Row],[CODIGO]])</f>
        <v/>
      </c>
      <c r="H380" s="56">
        <f>PRODUCTOS[[#This Row],[ENTRADAS]]-PRODUCTOS[[#This Row],[SALIDAS ]]</f>
        <v/>
      </c>
      <c r="I380" s="76" t="n">
        <v>0</v>
      </c>
      <c r="J380">
        <f>IF(PRODUCTOS[[#This Row],[STOCK]]&lt;0,"NEGATIVO",IF(PRODUCTOS[[#This Row],[STOCK]]=0,"SIN STOCK",IF(PRODUCTOS[[#This Row],[STOCK]]&lt;=PRODUCTOS[[#This Row],[STOCK MÍN.]],"BAJO","OK")))</f>
        <v/>
      </c>
      <c r="K3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81" hidden="1" s="11">
      <c r="A381" s="18" t="n">
        <v>366</v>
      </c>
      <c r="B381" s="56" t="inlineStr">
        <is>
          <t>00034-ELE</t>
        </is>
      </c>
      <c r="C381" s="56">
        <f>IFERROR(_xlfn.XLOOKUP(PRODUCTOS[[#This Row],[CODIGO]],LISTADO[CODIGOS],LISTADO[CATEGORIA]),"NO EXISTE")</f>
        <v/>
      </c>
      <c r="D381" s="56">
        <f>IFERROR(_xlfn.XLOOKUP(PRODUCTOS[[#This Row],[CODIGO]],LISTADO[CODIGOS],LISTADO[PRODUCTOS]),"NO EXISTE")</f>
        <v/>
      </c>
      <c r="E381" s="56">
        <f>IFERROR(_xlfn.XLOOKUP(PRODUCTOS[[#This Row],[CODIGO]],LISTADO[CODIGOS],LISTADO[UBICACIÓN]),"NO EXISTE")</f>
        <v/>
      </c>
      <c r="F381" s="56">
        <f>SUMIFS(ENTRADAS[CANTIDAD],ENTRADAS[CODIGO],PRODUCTOS[[#This Row],[CODIGO]])</f>
        <v/>
      </c>
      <c r="G381" s="56">
        <f>SUMIFS(SALIDAS[CANTIDAD],SALIDAS[CODIGO],PRODUCTOS[[#This Row],[CODIGO]])</f>
        <v/>
      </c>
      <c r="H381" s="56">
        <f>PRODUCTOS[[#This Row],[ENTRADAS]]-PRODUCTOS[[#This Row],[SALIDAS ]]</f>
        <v/>
      </c>
      <c r="I381" s="76" t="n">
        <v>0</v>
      </c>
      <c r="J381">
        <f>IF(PRODUCTOS[[#This Row],[STOCK]]&lt;0,"NEGATIVO",IF(PRODUCTOS[[#This Row],[STOCK]]=0,"SIN STOCK",IF(PRODUCTOS[[#This Row],[STOCK]]&lt;=PRODUCTOS[[#This Row],[STOCK MÍN.]],"BAJO","OK")))</f>
        <v/>
      </c>
      <c r="K3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82" hidden="1" s="11">
      <c r="A382" s="18" t="n">
        <v>367</v>
      </c>
      <c r="B382" s="56" t="inlineStr">
        <is>
          <t>00035-ELE</t>
        </is>
      </c>
      <c r="C382" s="56">
        <f>IFERROR(_xlfn.XLOOKUP(PRODUCTOS[[#This Row],[CODIGO]],LISTADO[CODIGOS],LISTADO[CATEGORIA]),"NO EXISTE")</f>
        <v/>
      </c>
      <c r="D382" s="56">
        <f>IFERROR(_xlfn.XLOOKUP(PRODUCTOS[[#This Row],[CODIGO]],LISTADO[CODIGOS],LISTADO[PRODUCTOS]),"NO EXISTE")</f>
        <v/>
      </c>
      <c r="E382" s="56">
        <f>IFERROR(_xlfn.XLOOKUP(PRODUCTOS[[#This Row],[CODIGO]],LISTADO[CODIGOS],LISTADO[UBICACIÓN]),"NO EXISTE")</f>
        <v/>
      </c>
      <c r="F382" s="56">
        <f>SUMIFS(ENTRADAS[CANTIDAD],ENTRADAS[CODIGO],PRODUCTOS[[#This Row],[CODIGO]])</f>
        <v/>
      </c>
      <c r="G382" s="56">
        <f>SUMIFS(SALIDAS[CANTIDAD],SALIDAS[CODIGO],PRODUCTOS[[#This Row],[CODIGO]])</f>
        <v/>
      </c>
      <c r="H382" s="56">
        <f>PRODUCTOS[[#This Row],[ENTRADAS]]-PRODUCTOS[[#This Row],[SALIDAS ]]</f>
        <v/>
      </c>
      <c r="I382" s="76" t="n">
        <v>0</v>
      </c>
      <c r="J382">
        <f>IF(PRODUCTOS[[#This Row],[STOCK]]&lt;0,"NEGATIVO",IF(PRODUCTOS[[#This Row],[STOCK]]=0,"SIN STOCK",IF(PRODUCTOS[[#This Row],[STOCK]]&lt;=PRODUCTOS[[#This Row],[STOCK MÍN.]],"BAJO","OK")))</f>
        <v/>
      </c>
      <c r="K3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83" hidden="1" s="11">
      <c r="A383" s="18" t="n">
        <v>368</v>
      </c>
      <c r="B383" s="56" t="inlineStr">
        <is>
          <t>00036-ELE</t>
        </is>
      </c>
      <c r="C383" s="56">
        <f>IFERROR(_xlfn.XLOOKUP(PRODUCTOS[[#This Row],[CODIGO]],LISTADO[CODIGOS],LISTADO[CATEGORIA]),"NO EXISTE")</f>
        <v/>
      </c>
      <c r="D383" s="56">
        <f>IFERROR(_xlfn.XLOOKUP(PRODUCTOS[[#This Row],[CODIGO]],LISTADO[CODIGOS],LISTADO[PRODUCTOS]),"NO EXISTE")</f>
        <v/>
      </c>
      <c r="E383" s="56">
        <f>IFERROR(_xlfn.XLOOKUP(PRODUCTOS[[#This Row],[CODIGO]],LISTADO[CODIGOS],LISTADO[UBICACIÓN]),"NO EXISTE")</f>
        <v/>
      </c>
      <c r="F383" s="56">
        <f>SUMIFS(ENTRADAS[CANTIDAD],ENTRADAS[CODIGO],PRODUCTOS[[#This Row],[CODIGO]])</f>
        <v/>
      </c>
      <c r="G383" s="56">
        <f>SUMIFS(SALIDAS[CANTIDAD],SALIDAS[CODIGO],PRODUCTOS[[#This Row],[CODIGO]])</f>
        <v/>
      </c>
      <c r="H383" s="56">
        <f>PRODUCTOS[[#This Row],[ENTRADAS]]-PRODUCTOS[[#This Row],[SALIDAS ]]</f>
        <v/>
      </c>
      <c r="I383" s="76" t="n">
        <v>0</v>
      </c>
      <c r="J383">
        <f>IF(PRODUCTOS[[#This Row],[STOCK]]&lt;0,"NEGATIVO",IF(PRODUCTOS[[#This Row],[STOCK]]=0,"SIN STOCK",IF(PRODUCTOS[[#This Row],[STOCK]]&lt;=PRODUCTOS[[#This Row],[STOCK MÍN.]],"BAJO","OK")))</f>
        <v/>
      </c>
      <c r="K3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84" hidden="1" s="11">
      <c r="A384" s="18" t="n">
        <v>369</v>
      </c>
      <c r="B384" s="56" t="inlineStr">
        <is>
          <t>00062-FER</t>
        </is>
      </c>
      <c r="C384" s="56">
        <f>IFERROR(_xlfn.XLOOKUP(PRODUCTOS[[#This Row],[CODIGO]],LISTADO[CODIGOS],LISTADO[CATEGORIA]),"NO EXISTE")</f>
        <v/>
      </c>
      <c r="D384" s="56">
        <f>IFERROR(_xlfn.XLOOKUP(PRODUCTOS[[#This Row],[CODIGO]],LISTADO[CODIGOS],LISTADO[PRODUCTOS]),"NO EXISTE")</f>
        <v/>
      </c>
      <c r="E384" s="56">
        <f>IFERROR(_xlfn.XLOOKUP(PRODUCTOS[[#This Row],[CODIGO]],LISTADO[CODIGOS],LISTADO[UBICACIÓN]),"NO EXISTE")</f>
        <v/>
      </c>
      <c r="F384" s="56">
        <f>SUMIFS(ENTRADAS[CANTIDAD],ENTRADAS[CODIGO],PRODUCTOS[[#This Row],[CODIGO]])</f>
        <v/>
      </c>
      <c r="G384" s="56">
        <f>SUMIFS(SALIDAS[CANTIDAD],SALIDAS[CODIGO],PRODUCTOS[[#This Row],[CODIGO]])</f>
        <v/>
      </c>
      <c r="H384" s="56">
        <f>PRODUCTOS[[#This Row],[ENTRADAS]]-PRODUCTOS[[#This Row],[SALIDAS ]]</f>
        <v/>
      </c>
      <c r="I384" s="76" t="n">
        <v>0</v>
      </c>
      <c r="J384">
        <f>IF(PRODUCTOS[[#This Row],[STOCK]]&lt;0,"NEGATIVO",IF(PRODUCTOS[[#This Row],[STOCK]]=0,"SIN STOCK",IF(PRODUCTOS[[#This Row],[STOCK]]&lt;=PRODUCTOS[[#This Row],[STOCK MÍN.]],"BAJO","OK")))</f>
        <v/>
      </c>
      <c r="K3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85" hidden="1" s="11">
      <c r="A385" s="18" t="n">
        <v>370</v>
      </c>
      <c r="B385" s="56" t="inlineStr">
        <is>
          <t>00063-FER</t>
        </is>
      </c>
      <c r="C385" s="56">
        <f>IFERROR(_xlfn.XLOOKUP(PRODUCTOS[[#This Row],[CODIGO]],LISTADO[CODIGOS],LISTADO[CATEGORIA]),"NO EXISTE")</f>
        <v/>
      </c>
      <c r="D385" s="56">
        <f>IFERROR(_xlfn.XLOOKUP(PRODUCTOS[[#This Row],[CODIGO]],LISTADO[CODIGOS],LISTADO[PRODUCTOS]),"NO EXISTE")</f>
        <v/>
      </c>
      <c r="E385" s="56">
        <f>IFERROR(_xlfn.XLOOKUP(PRODUCTOS[[#This Row],[CODIGO]],LISTADO[CODIGOS],LISTADO[UBICACIÓN]),"NO EXISTE")</f>
        <v/>
      </c>
      <c r="F385" s="56">
        <f>SUMIFS(ENTRADAS[CANTIDAD],ENTRADAS[CODIGO],PRODUCTOS[[#This Row],[CODIGO]])</f>
        <v/>
      </c>
      <c r="G385" s="56">
        <f>SUMIFS(SALIDAS[CANTIDAD],SALIDAS[CODIGO],PRODUCTOS[[#This Row],[CODIGO]])</f>
        <v/>
      </c>
      <c r="H385" s="56">
        <f>PRODUCTOS[[#This Row],[ENTRADAS]]-PRODUCTOS[[#This Row],[SALIDAS ]]</f>
        <v/>
      </c>
      <c r="I385" s="76" t="n">
        <v>0</v>
      </c>
      <c r="J385">
        <f>IF(PRODUCTOS[[#This Row],[STOCK]]&lt;0,"NEGATIVO",IF(PRODUCTOS[[#This Row],[STOCK]]=0,"SIN STOCK",IF(PRODUCTOS[[#This Row],[STOCK]]&lt;=PRODUCTOS[[#This Row],[STOCK MÍN.]],"BAJO","OK")))</f>
        <v/>
      </c>
      <c r="K3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86" hidden="1" s="11">
      <c r="A386" s="18" t="n">
        <v>371</v>
      </c>
      <c r="B386" s="56" t="inlineStr">
        <is>
          <t>00032-OFC</t>
        </is>
      </c>
      <c r="C386" s="56">
        <f>IFERROR(_xlfn.XLOOKUP(PRODUCTOS[[#This Row],[CODIGO]],LISTADO[CODIGOS],LISTADO[CATEGORIA]),"NO EXISTE")</f>
        <v/>
      </c>
      <c r="D386" s="56">
        <f>IFERROR(_xlfn.XLOOKUP(PRODUCTOS[[#This Row],[CODIGO]],LISTADO[CODIGOS],LISTADO[PRODUCTOS]),"NO EXISTE")</f>
        <v/>
      </c>
      <c r="E386" s="56">
        <f>IFERROR(_xlfn.XLOOKUP(PRODUCTOS[[#This Row],[CODIGO]],LISTADO[CODIGOS],LISTADO[UBICACIÓN]),"NO EXISTE")</f>
        <v/>
      </c>
      <c r="F386" s="56">
        <f>SUMIFS(ENTRADAS[CANTIDAD],ENTRADAS[CODIGO],PRODUCTOS[[#This Row],[CODIGO]])</f>
        <v/>
      </c>
      <c r="G386" s="56">
        <f>SUMIFS(SALIDAS[CANTIDAD],SALIDAS[CODIGO],PRODUCTOS[[#This Row],[CODIGO]])</f>
        <v/>
      </c>
      <c r="H386" s="56">
        <f>PRODUCTOS[[#This Row],[ENTRADAS]]-PRODUCTOS[[#This Row],[SALIDAS ]]</f>
        <v/>
      </c>
      <c r="I386" s="76" t="n">
        <v>0</v>
      </c>
      <c r="J386">
        <f>IF(PRODUCTOS[[#This Row],[STOCK]]&lt;0,"NEGATIVO",IF(PRODUCTOS[[#This Row],[STOCK]]=0,"SIN STOCK",IF(PRODUCTOS[[#This Row],[STOCK]]&lt;=PRODUCTOS[[#This Row],[STOCK MÍN.]],"BAJO","OK")))</f>
        <v/>
      </c>
      <c r="K3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87" hidden="1" s="11">
      <c r="A387" s="18" t="n">
        <v>372</v>
      </c>
      <c r="B387" s="56" t="inlineStr">
        <is>
          <t>00026-ILU</t>
        </is>
      </c>
      <c r="C387" s="56">
        <f>IFERROR(_xlfn.XLOOKUP(PRODUCTOS[[#This Row],[CODIGO]],LISTADO[CODIGOS],LISTADO[CATEGORIA]),"NO EXISTE")</f>
        <v/>
      </c>
      <c r="D387" s="56">
        <f>IFERROR(_xlfn.XLOOKUP(PRODUCTOS[[#This Row],[CODIGO]],LISTADO[CODIGOS],LISTADO[PRODUCTOS]),"NO EXISTE")</f>
        <v/>
      </c>
      <c r="E387" s="56">
        <f>IFERROR(_xlfn.XLOOKUP(PRODUCTOS[[#This Row],[CODIGO]],LISTADO[CODIGOS],LISTADO[UBICACIÓN]),"NO EXISTE")</f>
        <v/>
      </c>
      <c r="F387" s="56">
        <f>SUMIFS(ENTRADAS[CANTIDAD],ENTRADAS[CODIGO],PRODUCTOS[[#This Row],[CODIGO]])</f>
        <v/>
      </c>
      <c r="G387" s="56">
        <f>SUMIFS(SALIDAS[CANTIDAD],SALIDAS[CODIGO],PRODUCTOS[[#This Row],[CODIGO]])</f>
        <v/>
      </c>
      <c r="H387" s="56">
        <f>PRODUCTOS[[#This Row],[ENTRADAS]]-PRODUCTOS[[#This Row],[SALIDAS ]]</f>
        <v/>
      </c>
      <c r="I387" s="76" t="n">
        <v>0</v>
      </c>
      <c r="J387">
        <f>IF(PRODUCTOS[[#This Row],[STOCK]]&lt;0,"NEGATIVO",IF(PRODUCTOS[[#This Row],[STOCK]]=0,"SIN STOCK",IF(PRODUCTOS[[#This Row],[STOCK]]&lt;=PRODUCTOS[[#This Row],[STOCK MÍN.]],"BAJO","OK")))</f>
        <v/>
      </c>
      <c r="K3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88" hidden="1" s="11">
      <c r="A388" s="18" t="n">
        <v>373</v>
      </c>
      <c r="B388" s="56" t="inlineStr">
        <is>
          <t>00027-ILU</t>
        </is>
      </c>
      <c r="C388" s="56">
        <f>IFERROR(_xlfn.XLOOKUP(PRODUCTOS[[#This Row],[CODIGO]],LISTADO[CODIGOS],LISTADO[CATEGORIA]),"NO EXISTE")</f>
        <v/>
      </c>
      <c r="D388" s="56">
        <f>IFERROR(_xlfn.XLOOKUP(PRODUCTOS[[#This Row],[CODIGO]],LISTADO[CODIGOS],LISTADO[PRODUCTOS]),"NO EXISTE")</f>
        <v/>
      </c>
      <c r="E388" s="56">
        <f>IFERROR(_xlfn.XLOOKUP(PRODUCTOS[[#This Row],[CODIGO]],LISTADO[CODIGOS],LISTADO[UBICACIÓN]),"NO EXISTE")</f>
        <v/>
      </c>
      <c r="F388" s="56">
        <f>SUMIFS(ENTRADAS[CANTIDAD],ENTRADAS[CODIGO],PRODUCTOS[[#This Row],[CODIGO]])</f>
        <v/>
      </c>
      <c r="G388" s="56">
        <f>SUMIFS(SALIDAS[CANTIDAD],SALIDAS[CODIGO],PRODUCTOS[[#This Row],[CODIGO]])</f>
        <v/>
      </c>
      <c r="H388" s="56">
        <f>PRODUCTOS[[#This Row],[ENTRADAS]]-PRODUCTOS[[#This Row],[SALIDAS ]]</f>
        <v/>
      </c>
      <c r="I388" s="76" t="n">
        <v>0</v>
      </c>
      <c r="J388">
        <f>IF(PRODUCTOS[[#This Row],[STOCK]]&lt;0,"NEGATIVO",IF(PRODUCTOS[[#This Row],[STOCK]]=0,"SIN STOCK",IF(PRODUCTOS[[#This Row],[STOCK]]&lt;=PRODUCTOS[[#This Row],[STOCK MÍN.]],"BAJO","OK")))</f>
        <v/>
      </c>
      <c r="K3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89" hidden="1" s="11">
      <c r="A389" s="18" t="n">
        <v>374</v>
      </c>
      <c r="B389" s="56" t="inlineStr">
        <is>
          <t>00028-ILU</t>
        </is>
      </c>
      <c r="C389" s="56">
        <f>IFERROR(_xlfn.XLOOKUP(PRODUCTOS[[#This Row],[CODIGO]],LISTADO[CODIGOS],LISTADO[CATEGORIA]),"NO EXISTE")</f>
        <v/>
      </c>
      <c r="D389" s="56">
        <f>IFERROR(_xlfn.XLOOKUP(PRODUCTOS[[#This Row],[CODIGO]],LISTADO[CODIGOS],LISTADO[PRODUCTOS]),"NO EXISTE")</f>
        <v/>
      </c>
      <c r="E389" s="56">
        <f>IFERROR(_xlfn.XLOOKUP(PRODUCTOS[[#This Row],[CODIGO]],LISTADO[CODIGOS],LISTADO[UBICACIÓN]),"NO EXISTE")</f>
        <v/>
      </c>
      <c r="F389" s="56">
        <f>SUMIFS(ENTRADAS[CANTIDAD],ENTRADAS[CODIGO],PRODUCTOS[[#This Row],[CODIGO]])</f>
        <v/>
      </c>
      <c r="G389" s="56">
        <f>SUMIFS(SALIDAS[CANTIDAD],SALIDAS[CODIGO],PRODUCTOS[[#This Row],[CODIGO]])</f>
        <v/>
      </c>
      <c r="H389" s="56">
        <f>PRODUCTOS[[#This Row],[ENTRADAS]]-PRODUCTOS[[#This Row],[SALIDAS ]]</f>
        <v/>
      </c>
      <c r="I389" s="76" t="n">
        <v>0</v>
      </c>
      <c r="J389">
        <f>IF(PRODUCTOS[[#This Row],[STOCK]]&lt;0,"NEGATIVO",IF(PRODUCTOS[[#This Row],[STOCK]]=0,"SIN STOCK",IF(PRODUCTOS[[#This Row],[STOCK]]&lt;=PRODUCTOS[[#This Row],[STOCK MÍN.]],"BAJO","OK")))</f>
        <v/>
      </c>
      <c r="K3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90" hidden="1" s="11">
      <c r="A390" s="18" t="n">
        <v>375</v>
      </c>
      <c r="B390" s="56" t="inlineStr">
        <is>
          <t>00029-ILU</t>
        </is>
      </c>
      <c r="C390" s="56">
        <f>IFERROR(_xlfn.XLOOKUP(PRODUCTOS[[#This Row],[CODIGO]],LISTADO[CODIGOS],LISTADO[CATEGORIA]),"NO EXISTE")</f>
        <v/>
      </c>
      <c r="D390" s="56">
        <f>IFERROR(_xlfn.XLOOKUP(PRODUCTOS[[#This Row],[CODIGO]],LISTADO[CODIGOS],LISTADO[PRODUCTOS]),"NO EXISTE")</f>
        <v/>
      </c>
      <c r="E390" s="56">
        <f>IFERROR(_xlfn.XLOOKUP(PRODUCTOS[[#This Row],[CODIGO]],LISTADO[CODIGOS],LISTADO[UBICACIÓN]),"NO EXISTE")</f>
        <v/>
      </c>
      <c r="F390" s="56">
        <f>SUMIFS(ENTRADAS[CANTIDAD],ENTRADAS[CODIGO],PRODUCTOS[[#This Row],[CODIGO]])</f>
        <v/>
      </c>
      <c r="G390" s="56">
        <f>SUMIFS(SALIDAS[CANTIDAD],SALIDAS[CODIGO],PRODUCTOS[[#This Row],[CODIGO]])</f>
        <v/>
      </c>
      <c r="H390" s="56">
        <f>PRODUCTOS[[#This Row],[ENTRADAS]]-PRODUCTOS[[#This Row],[SALIDAS ]]</f>
        <v/>
      </c>
      <c r="I390" s="76" t="n">
        <v>0</v>
      </c>
      <c r="J390">
        <f>IF(PRODUCTOS[[#This Row],[STOCK]]&lt;0,"NEGATIVO",IF(PRODUCTOS[[#This Row],[STOCK]]=0,"SIN STOCK",IF(PRODUCTOS[[#This Row],[STOCK]]&lt;=PRODUCTOS[[#This Row],[STOCK MÍN.]],"BAJO","OK")))</f>
        <v/>
      </c>
      <c r="K3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91" hidden="1" s="11">
      <c r="A391" s="18" t="inlineStr">
        <is>
          <t>bombillo</t>
        </is>
      </c>
      <c r="B391" s="56" t="inlineStr">
        <is>
          <t>00030-ILU</t>
        </is>
      </c>
      <c r="C391" s="56">
        <f>IFERROR(_xlfn.XLOOKUP(PRODUCTOS[[#This Row],[CODIGO]],LISTADO[CODIGOS],LISTADO[CATEGORIA]),"NO EXISTE")</f>
        <v/>
      </c>
      <c r="D391" s="56">
        <f>IFERROR(_xlfn.XLOOKUP(PRODUCTOS[[#This Row],[CODIGO]],LISTADO[CODIGOS],LISTADO[PRODUCTOS]),"NO EXISTE")</f>
        <v/>
      </c>
      <c r="E391" s="56">
        <f>IFERROR(_xlfn.XLOOKUP(PRODUCTOS[[#This Row],[CODIGO]],LISTADO[CODIGOS],LISTADO[UBICACIÓN]),"NO EXISTE")</f>
        <v/>
      </c>
      <c r="F391" s="56">
        <f>SUMIFS(ENTRADAS[CANTIDAD],ENTRADAS[CODIGO],PRODUCTOS[[#This Row],[CODIGO]])</f>
        <v/>
      </c>
      <c r="G391" s="56">
        <f>SUMIFS(SALIDAS[CANTIDAD],SALIDAS[CODIGO],PRODUCTOS[[#This Row],[CODIGO]])</f>
        <v/>
      </c>
      <c r="H391" s="56">
        <f>PRODUCTOS[[#This Row],[ENTRADAS]]-PRODUCTOS[[#This Row],[SALIDAS ]]</f>
        <v/>
      </c>
      <c r="I391" s="76" t="n">
        <v>0</v>
      </c>
      <c r="J391">
        <f>IF(PRODUCTOS[[#This Row],[STOCK]]&lt;0,"NEGATIVO",IF(PRODUCTOS[[#This Row],[STOCK]]=0,"SIN STOCK",IF(PRODUCTOS[[#This Row],[STOCK]]&lt;=PRODUCTOS[[#This Row],[STOCK MÍN.]],"BAJO","OK")))</f>
        <v/>
      </c>
      <c r="K3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92" hidden="1" s="11">
      <c r="A392" s="18" t="n">
        <v>377</v>
      </c>
      <c r="B392" s="56" t="inlineStr">
        <is>
          <t>00031-ILU</t>
        </is>
      </c>
      <c r="C392" s="56">
        <f>IFERROR(_xlfn.XLOOKUP(PRODUCTOS[[#This Row],[CODIGO]],LISTADO[CODIGOS],LISTADO[CATEGORIA]),"NO EXISTE")</f>
        <v/>
      </c>
      <c r="D392" s="56">
        <f>IFERROR(_xlfn.XLOOKUP(PRODUCTOS[[#This Row],[CODIGO]],LISTADO[CODIGOS],LISTADO[PRODUCTOS]),"NO EXISTE")</f>
        <v/>
      </c>
      <c r="E392" s="56">
        <f>IFERROR(_xlfn.XLOOKUP(PRODUCTOS[[#This Row],[CODIGO]],LISTADO[CODIGOS],LISTADO[UBICACIÓN]),"NO EXISTE")</f>
        <v/>
      </c>
      <c r="F392" s="56">
        <f>SUMIFS(ENTRADAS[CANTIDAD],ENTRADAS[CODIGO],PRODUCTOS[[#This Row],[CODIGO]])</f>
        <v/>
      </c>
      <c r="G392" s="56">
        <f>SUMIFS(SALIDAS[CANTIDAD],SALIDAS[CODIGO],PRODUCTOS[[#This Row],[CODIGO]])</f>
        <v/>
      </c>
      <c r="H392" s="56">
        <f>PRODUCTOS[[#This Row],[ENTRADAS]]-PRODUCTOS[[#This Row],[SALIDAS ]]</f>
        <v/>
      </c>
      <c r="I392" s="76" t="n">
        <v>0</v>
      </c>
      <c r="J392">
        <f>IF(PRODUCTOS[[#This Row],[STOCK]]&lt;0,"NEGATIVO",IF(PRODUCTOS[[#This Row],[STOCK]]=0,"SIN STOCK",IF(PRODUCTOS[[#This Row],[STOCK]]&lt;=PRODUCTOS[[#This Row],[STOCK MÍN.]],"BAJO","OK")))</f>
        <v/>
      </c>
      <c r="K3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93" hidden="1" s="11">
      <c r="A393" s="18" t="n">
        <v>378</v>
      </c>
      <c r="B393" s="56" t="inlineStr">
        <is>
          <t>00086-HER</t>
        </is>
      </c>
      <c r="C393" s="56">
        <f>IFERROR(_xlfn.XLOOKUP(PRODUCTOS[[#This Row],[CODIGO]],LISTADO[CODIGOS],LISTADO[CATEGORIA]),"NO EXISTE")</f>
        <v/>
      </c>
      <c r="D393" s="56">
        <f>IFERROR(_xlfn.XLOOKUP(PRODUCTOS[[#This Row],[CODIGO]],LISTADO[CODIGOS],LISTADO[PRODUCTOS]),"NO EXISTE")</f>
        <v/>
      </c>
      <c r="E393" s="56">
        <f>IFERROR(_xlfn.XLOOKUP(PRODUCTOS[[#This Row],[CODIGO]],LISTADO[CODIGOS],LISTADO[UBICACIÓN]),"NO EXISTE")</f>
        <v/>
      </c>
      <c r="F393" s="56">
        <f>SUMIFS(ENTRADAS[CANTIDAD],ENTRADAS[CODIGO],PRODUCTOS[[#This Row],[CODIGO]])</f>
        <v/>
      </c>
      <c r="G393" s="56">
        <f>SUMIFS(SALIDAS[CANTIDAD],SALIDAS[CODIGO],PRODUCTOS[[#This Row],[CODIGO]])</f>
        <v/>
      </c>
      <c r="H393" s="56">
        <f>PRODUCTOS[[#This Row],[ENTRADAS]]-PRODUCTOS[[#This Row],[SALIDAS ]]</f>
        <v/>
      </c>
      <c r="I393" s="76" t="n">
        <v>0</v>
      </c>
      <c r="J393">
        <f>IF(PRODUCTOS[[#This Row],[STOCK]]&lt;0,"NEGATIVO",IF(PRODUCTOS[[#This Row],[STOCK]]=0,"SIN STOCK",IF(PRODUCTOS[[#This Row],[STOCK]]&lt;=PRODUCTOS[[#This Row],[STOCK MÍN.]],"BAJO","OK")))</f>
        <v/>
      </c>
      <c r="K3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94" hidden="1" s="11">
      <c r="A394" s="18" t="n">
        <v>379</v>
      </c>
      <c r="B394" s="56" t="inlineStr">
        <is>
          <t>00033-OFC</t>
        </is>
      </c>
      <c r="C394" s="56">
        <f>IFERROR(_xlfn.XLOOKUP(PRODUCTOS[[#This Row],[CODIGO]],LISTADO[CODIGOS],LISTADO[CATEGORIA]),"NO EXISTE")</f>
        <v/>
      </c>
      <c r="D394" s="56">
        <f>IFERROR(_xlfn.XLOOKUP(PRODUCTOS[[#This Row],[CODIGO]],LISTADO[CODIGOS],LISTADO[PRODUCTOS]),"NO EXISTE")</f>
        <v/>
      </c>
      <c r="E394" s="56">
        <f>IFERROR(_xlfn.XLOOKUP(PRODUCTOS[[#This Row],[CODIGO]],LISTADO[CODIGOS],LISTADO[UBICACIÓN]),"NO EXISTE")</f>
        <v/>
      </c>
      <c r="F394" s="56">
        <f>SUMIFS(ENTRADAS[CANTIDAD],ENTRADAS[CODIGO],PRODUCTOS[[#This Row],[CODIGO]])</f>
        <v/>
      </c>
      <c r="G394" s="56">
        <f>SUMIFS(SALIDAS[CANTIDAD],SALIDAS[CODIGO],PRODUCTOS[[#This Row],[CODIGO]])</f>
        <v/>
      </c>
      <c r="H394" s="56">
        <f>PRODUCTOS[[#This Row],[ENTRADAS]]-PRODUCTOS[[#This Row],[SALIDAS ]]</f>
        <v/>
      </c>
      <c r="I394" s="76" t="n">
        <v>0</v>
      </c>
      <c r="J394">
        <f>IF(PRODUCTOS[[#This Row],[STOCK]]&lt;0,"NEGATIVO",IF(PRODUCTOS[[#This Row],[STOCK]]=0,"SIN STOCK",IF(PRODUCTOS[[#This Row],[STOCK]]&lt;=PRODUCTOS[[#This Row],[STOCK MÍN.]],"BAJO","OK")))</f>
        <v/>
      </c>
      <c r="K3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95" hidden="1" s="11">
      <c r="A395" s="18" t="n">
        <v>380</v>
      </c>
      <c r="B395" s="56" t="inlineStr">
        <is>
          <t>00064-FER</t>
        </is>
      </c>
      <c r="C395" s="56">
        <f>IFERROR(_xlfn.XLOOKUP(PRODUCTOS[[#This Row],[CODIGO]],LISTADO[CODIGOS],LISTADO[CATEGORIA]),"NO EXISTE")</f>
        <v/>
      </c>
      <c r="D395" s="56">
        <f>IFERROR(_xlfn.XLOOKUP(PRODUCTOS[[#This Row],[CODIGO]],LISTADO[CODIGOS],LISTADO[PRODUCTOS]),"NO EXISTE")</f>
        <v/>
      </c>
      <c r="E395" s="56">
        <f>IFERROR(_xlfn.XLOOKUP(PRODUCTOS[[#This Row],[CODIGO]],LISTADO[CODIGOS],LISTADO[UBICACIÓN]),"NO EXISTE")</f>
        <v/>
      </c>
      <c r="F395" s="56">
        <f>SUMIFS(ENTRADAS[CANTIDAD],ENTRADAS[CODIGO],PRODUCTOS[[#This Row],[CODIGO]])</f>
        <v/>
      </c>
      <c r="G395" s="56">
        <f>SUMIFS(SALIDAS[CANTIDAD],SALIDAS[CODIGO],PRODUCTOS[[#This Row],[CODIGO]])</f>
        <v/>
      </c>
      <c r="H395" s="56">
        <f>PRODUCTOS[[#This Row],[ENTRADAS]]-PRODUCTOS[[#This Row],[SALIDAS ]]</f>
        <v/>
      </c>
      <c r="I395" s="76" t="n">
        <v>0</v>
      </c>
      <c r="J395">
        <f>IF(PRODUCTOS[[#This Row],[STOCK]]&lt;0,"NEGATIVO",IF(PRODUCTOS[[#This Row],[STOCK]]=0,"SIN STOCK",IF(PRODUCTOS[[#This Row],[STOCK]]&lt;=PRODUCTOS[[#This Row],[STOCK MÍN.]],"BAJO","OK")))</f>
        <v/>
      </c>
      <c r="K3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96" hidden="1" s="11">
      <c r="A396" s="18" t="n">
        <v>381</v>
      </c>
      <c r="B396" s="56" t="inlineStr">
        <is>
          <t>00087-HER</t>
        </is>
      </c>
      <c r="C396" s="56">
        <f>IFERROR(_xlfn.XLOOKUP(PRODUCTOS[[#This Row],[CODIGO]],LISTADO[CODIGOS],LISTADO[CATEGORIA]),"NO EXISTE")</f>
        <v/>
      </c>
      <c r="D396" s="56">
        <f>IFERROR(_xlfn.XLOOKUP(PRODUCTOS[[#This Row],[CODIGO]],LISTADO[CODIGOS],LISTADO[PRODUCTOS]),"NO EXISTE")</f>
        <v/>
      </c>
      <c r="E396" s="56">
        <f>IFERROR(_xlfn.XLOOKUP(PRODUCTOS[[#This Row],[CODIGO]],LISTADO[CODIGOS],LISTADO[UBICACIÓN]),"NO EXISTE")</f>
        <v/>
      </c>
      <c r="F396" s="56">
        <f>SUMIFS(ENTRADAS[CANTIDAD],ENTRADAS[CODIGO],PRODUCTOS[[#This Row],[CODIGO]])</f>
        <v/>
      </c>
      <c r="G396" s="56">
        <f>SUMIFS(SALIDAS[CANTIDAD],SALIDAS[CODIGO],PRODUCTOS[[#This Row],[CODIGO]])</f>
        <v/>
      </c>
      <c r="H396" s="56">
        <f>PRODUCTOS[[#This Row],[ENTRADAS]]-PRODUCTOS[[#This Row],[SALIDAS ]]</f>
        <v/>
      </c>
      <c r="I396" s="76" t="n">
        <v>0</v>
      </c>
      <c r="J396">
        <f>IF(PRODUCTOS[[#This Row],[STOCK]]&lt;0,"NEGATIVO",IF(PRODUCTOS[[#This Row],[STOCK]]=0,"SIN STOCK",IF(PRODUCTOS[[#This Row],[STOCK]]&lt;=PRODUCTOS[[#This Row],[STOCK MÍN.]],"BAJO","OK")))</f>
        <v/>
      </c>
      <c r="K3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97" hidden="1" s="11">
      <c r="A397" s="18" t="n">
        <v>382</v>
      </c>
      <c r="B397" s="56" t="inlineStr">
        <is>
          <t>00065-FER</t>
        </is>
      </c>
      <c r="C397" s="56">
        <f>IFERROR(_xlfn.XLOOKUP(PRODUCTOS[[#This Row],[CODIGO]],LISTADO[CODIGOS],LISTADO[CATEGORIA]),"NO EXISTE")</f>
        <v/>
      </c>
      <c r="D397" s="56">
        <f>IFERROR(_xlfn.XLOOKUP(PRODUCTOS[[#This Row],[CODIGO]],LISTADO[CODIGOS],LISTADO[PRODUCTOS]),"NO EXISTE")</f>
        <v/>
      </c>
      <c r="E397" s="56">
        <f>IFERROR(_xlfn.XLOOKUP(PRODUCTOS[[#This Row],[CODIGO]],LISTADO[CODIGOS],LISTADO[UBICACIÓN]),"NO EXISTE")</f>
        <v/>
      </c>
      <c r="F397" s="56">
        <f>SUMIFS(ENTRADAS[CANTIDAD],ENTRADAS[CODIGO],PRODUCTOS[[#This Row],[CODIGO]])</f>
        <v/>
      </c>
      <c r="G397" s="56">
        <f>SUMIFS(SALIDAS[CANTIDAD],SALIDAS[CODIGO],PRODUCTOS[[#This Row],[CODIGO]])</f>
        <v/>
      </c>
      <c r="H397" s="56">
        <f>PRODUCTOS[[#This Row],[ENTRADAS]]-PRODUCTOS[[#This Row],[SALIDAS ]]</f>
        <v/>
      </c>
      <c r="I397" s="76" t="n">
        <v>0</v>
      </c>
      <c r="J397">
        <f>IF(PRODUCTOS[[#This Row],[STOCK]]&lt;0,"NEGATIVO",IF(PRODUCTOS[[#This Row],[STOCK]]=0,"SIN STOCK",IF(PRODUCTOS[[#This Row],[STOCK]]&lt;=PRODUCTOS[[#This Row],[STOCK MÍN.]],"BAJO","OK")))</f>
        <v/>
      </c>
      <c r="K3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98" hidden="1" s="11">
      <c r="A398" s="18" t="n">
        <v>383</v>
      </c>
      <c r="B398" s="56" t="inlineStr">
        <is>
          <t>00066-FER</t>
        </is>
      </c>
      <c r="C398" s="56">
        <f>IFERROR(_xlfn.XLOOKUP(PRODUCTOS[[#This Row],[CODIGO]],LISTADO[CODIGOS],LISTADO[CATEGORIA]),"NO EXISTE")</f>
        <v/>
      </c>
      <c r="D398" s="56">
        <f>IFERROR(_xlfn.XLOOKUP(PRODUCTOS[[#This Row],[CODIGO]],LISTADO[CODIGOS],LISTADO[PRODUCTOS]),"NO EXISTE")</f>
        <v/>
      </c>
      <c r="E398" s="56">
        <f>IFERROR(_xlfn.XLOOKUP(PRODUCTOS[[#This Row],[CODIGO]],LISTADO[CODIGOS],LISTADO[UBICACIÓN]),"NO EXISTE")</f>
        <v/>
      </c>
      <c r="F398" s="56">
        <f>SUMIFS(ENTRADAS[CANTIDAD],ENTRADAS[CODIGO],PRODUCTOS[[#This Row],[CODIGO]])</f>
        <v/>
      </c>
      <c r="G398" s="56">
        <f>SUMIFS(SALIDAS[CANTIDAD],SALIDAS[CODIGO],PRODUCTOS[[#This Row],[CODIGO]])</f>
        <v/>
      </c>
      <c r="H398" s="56">
        <f>PRODUCTOS[[#This Row],[ENTRADAS]]-PRODUCTOS[[#This Row],[SALIDAS ]]</f>
        <v/>
      </c>
      <c r="I398" s="76" t="n">
        <v>0</v>
      </c>
      <c r="J398">
        <f>IF(PRODUCTOS[[#This Row],[STOCK]]&lt;0,"NEGATIVO",IF(PRODUCTOS[[#This Row],[STOCK]]=0,"SIN STOCK",IF(PRODUCTOS[[#This Row],[STOCK]]&lt;=PRODUCTOS[[#This Row],[STOCK MÍN.]],"BAJO","OK")))</f>
        <v/>
      </c>
      <c r="K3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399" hidden="1" s="11">
      <c r="A399" s="18" t="n">
        <v>384</v>
      </c>
      <c r="B399" s="56" t="inlineStr">
        <is>
          <t>00032-ILU</t>
        </is>
      </c>
      <c r="C399" s="56">
        <f>IFERROR(_xlfn.XLOOKUP(PRODUCTOS[[#This Row],[CODIGO]],LISTADO[CODIGOS],LISTADO[CATEGORIA]),"NO EXISTE")</f>
        <v/>
      </c>
      <c r="D399" s="56">
        <f>IFERROR(_xlfn.XLOOKUP(PRODUCTOS[[#This Row],[CODIGO]],LISTADO[CODIGOS],LISTADO[PRODUCTOS]),"NO EXISTE")</f>
        <v/>
      </c>
      <c r="E399" s="56">
        <f>IFERROR(_xlfn.XLOOKUP(PRODUCTOS[[#This Row],[CODIGO]],LISTADO[CODIGOS],LISTADO[UBICACIÓN]),"NO EXISTE")</f>
        <v/>
      </c>
      <c r="F399" s="56">
        <f>SUMIFS(ENTRADAS[CANTIDAD],ENTRADAS[CODIGO],PRODUCTOS[[#This Row],[CODIGO]])</f>
        <v/>
      </c>
      <c r="G399" s="56">
        <f>SUMIFS(SALIDAS[CANTIDAD],SALIDAS[CODIGO],PRODUCTOS[[#This Row],[CODIGO]])</f>
        <v/>
      </c>
      <c r="H399" s="56">
        <f>PRODUCTOS[[#This Row],[ENTRADAS]]-PRODUCTOS[[#This Row],[SALIDAS ]]</f>
        <v/>
      </c>
      <c r="I399" s="76" t="n">
        <v>0</v>
      </c>
      <c r="J399">
        <f>IF(PRODUCTOS[[#This Row],[STOCK]]&lt;0,"NEGATIVO",IF(PRODUCTOS[[#This Row],[STOCK]]=0,"SIN STOCK",IF(PRODUCTOS[[#This Row],[STOCK]]&lt;=PRODUCTOS[[#This Row],[STOCK MÍN.]],"BAJO","OK")))</f>
        <v/>
      </c>
      <c r="K3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00" hidden="1" s="11">
      <c r="A400" s="18" t="n">
        <v>385</v>
      </c>
      <c r="B400" s="56" t="inlineStr">
        <is>
          <t>00067-FER</t>
        </is>
      </c>
      <c r="C400" s="56">
        <f>IFERROR(_xlfn.XLOOKUP(PRODUCTOS[[#This Row],[CODIGO]],LISTADO[CODIGOS],LISTADO[CATEGORIA]),"NO EXISTE")</f>
        <v/>
      </c>
      <c r="D400" s="56">
        <f>IFERROR(_xlfn.XLOOKUP(PRODUCTOS[[#This Row],[CODIGO]],LISTADO[CODIGOS],LISTADO[PRODUCTOS]),"NO EXISTE")</f>
        <v/>
      </c>
      <c r="E400" s="56">
        <f>IFERROR(_xlfn.XLOOKUP(PRODUCTOS[[#This Row],[CODIGO]],LISTADO[CODIGOS],LISTADO[UBICACIÓN]),"NO EXISTE")</f>
        <v/>
      </c>
      <c r="F400" s="56">
        <f>SUMIFS(ENTRADAS[CANTIDAD],ENTRADAS[CODIGO],PRODUCTOS[[#This Row],[CODIGO]])</f>
        <v/>
      </c>
      <c r="G400" s="56">
        <f>SUMIFS(SALIDAS[CANTIDAD],SALIDAS[CODIGO],PRODUCTOS[[#This Row],[CODIGO]])</f>
        <v/>
      </c>
      <c r="H400" s="56">
        <f>PRODUCTOS[[#This Row],[ENTRADAS]]-PRODUCTOS[[#This Row],[SALIDAS ]]</f>
        <v/>
      </c>
      <c r="I400" s="76" t="n">
        <v>0</v>
      </c>
      <c r="J400">
        <f>IF(PRODUCTOS[[#This Row],[STOCK]]&lt;0,"NEGATIVO",IF(PRODUCTOS[[#This Row],[STOCK]]=0,"SIN STOCK",IF(PRODUCTOS[[#This Row],[STOCK]]&lt;=PRODUCTOS[[#This Row],[STOCK MÍN.]],"BAJO","OK")))</f>
        <v/>
      </c>
      <c r="K4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01" hidden="1" s="11">
      <c r="A401" s="18" t="n">
        <v>386</v>
      </c>
      <c r="B401" s="56" t="inlineStr">
        <is>
          <t>00068-FER</t>
        </is>
      </c>
      <c r="C401" s="56">
        <f>IFERROR(_xlfn.XLOOKUP(PRODUCTOS[[#This Row],[CODIGO]],LISTADO[CODIGOS],LISTADO[CATEGORIA]),"NO EXISTE")</f>
        <v/>
      </c>
      <c r="D401" s="56">
        <f>IFERROR(_xlfn.XLOOKUP(PRODUCTOS[[#This Row],[CODIGO]],LISTADO[CODIGOS],LISTADO[PRODUCTOS]),"NO EXISTE")</f>
        <v/>
      </c>
      <c r="E401" s="56">
        <f>IFERROR(_xlfn.XLOOKUP(PRODUCTOS[[#This Row],[CODIGO]],LISTADO[CODIGOS],LISTADO[UBICACIÓN]),"NO EXISTE")</f>
        <v/>
      </c>
      <c r="F401" s="56">
        <f>SUMIFS(ENTRADAS[CANTIDAD],ENTRADAS[CODIGO],PRODUCTOS[[#This Row],[CODIGO]])</f>
        <v/>
      </c>
      <c r="G401" s="56">
        <f>SUMIFS(SALIDAS[CANTIDAD],SALIDAS[CODIGO],PRODUCTOS[[#This Row],[CODIGO]])</f>
        <v/>
      </c>
      <c r="H401" s="56">
        <f>PRODUCTOS[[#This Row],[ENTRADAS]]-PRODUCTOS[[#This Row],[SALIDAS ]]</f>
        <v/>
      </c>
      <c r="I401" s="76" t="n">
        <v>0</v>
      </c>
      <c r="J401">
        <f>IF(PRODUCTOS[[#This Row],[STOCK]]&lt;0,"NEGATIVO",IF(PRODUCTOS[[#This Row],[STOCK]]=0,"SIN STOCK",IF(PRODUCTOS[[#This Row],[STOCK]]&lt;=PRODUCTOS[[#This Row],[STOCK MÍN.]],"BAJO","OK")))</f>
        <v/>
      </c>
      <c r="K4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02" hidden="1" s="11">
      <c r="A402" s="18" t="n">
        <v>387</v>
      </c>
      <c r="B402" s="56" t="inlineStr">
        <is>
          <t>00069-FER</t>
        </is>
      </c>
      <c r="C402" s="56">
        <f>IFERROR(_xlfn.XLOOKUP(PRODUCTOS[[#This Row],[CODIGO]],LISTADO[CODIGOS],LISTADO[CATEGORIA]),"NO EXISTE")</f>
        <v/>
      </c>
      <c r="D402" s="56">
        <f>IFERROR(_xlfn.XLOOKUP(PRODUCTOS[[#This Row],[CODIGO]],LISTADO[CODIGOS],LISTADO[PRODUCTOS]),"NO EXISTE")</f>
        <v/>
      </c>
      <c r="E402" s="56">
        <f>IFERROR(_xlfn.XLOOKUP(PRODUCTOS[[#This Row],[CODIGO]],LISTADO[CODIGOS],LISTADO[UBICACIÓN]),"NO EXISTE")</f>
        <v/>
      </c>
      <c r="F402" s="56">
        <f>SUMIFS(ENTRADAS[CANTIDAD],ENTRADAS[CODIGO],PRODUCTOS[[#This Row],[CODIGO]])</f>
        <v/>
      </c>
      <c r="G402" s="56">
        <f>SUMIFS(SALIDAS[CANTIDAD],SALIDAS[CODIGO],PRODUCTOS[[#This Row],[CODIGO]])</f>
        <v/>
      </c>
      <c r="H402" s="56">
        <f>PRODUCTOS[[#This Row],[ENTRADAS]]-PRODUCTOS[[#This Row],[SALIDAS ]]</f>
        <v/>
      </c>
      <c r="I402" s="76" t="n">
        <v>0</v>
      </c>
      <c r="J402">
        <f>IF(PRODUCTOS[[#This Row],[STOCK]]&lt;0,"NEGATIVO",IF(PRODUCTOS[[#This Row],[STOCK]]=0,"SIN STOCK",IF(PRODUCTOS[[#This Row],[STOCK]]&lt;=PRODUCTOS[[#This Row],[STOCK MÍN.]],"BAJO","OK")))</f>
        <v/>
      </c>
      <c r="K4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03" hidden="1" s="11">
      <c r="A403" s="18" t="n">
        <v>388</v>
      </c>
      <c r="B403" s="56" t="inlineStr">
        <is>
          <t>00070-FER</t>
        </is>
      </c>
      <c r="C403" s="56">
        <f>IFERROR(_xlfn.XLOOKUP(PRODUCTOS[[#This Row],[CODIGO]],LISTADO[CODIGOS],LISTADO[CATEGORIA]),"NO EXISTE")</f>
        <v/>
      </c>
      <c r="D403" s="56">
        <f>IFERROR(_xlfn.XLOOKUP(PRODUCTOS[[#This Row],[CODIGO]],LISTADO[CODIGOS],LISTADO[PRODUCTOS]),"NO EXISTE")</f>
        <v/>
      </c>
      <c r="E403" s="56">
        <f>IFERROR(_xlfn.XLOOKUP(PRODUCTOS[[#This Row],[CODIGO]],LISTADO[CODIGOS],LISTADO[UBICACIÓN]),"NO EXISTE")</f>
        <v/>
      </c>
      <c r="F403" s="56">
        <f>SUMIFS(ENTRADAS[CANTIDAD],ENTRADAS[CODIGO],PRODUCTOS[[#This Row],[CODIGO]])</f>
        <v/>
      </c>
      <c r="G403" s="56">
        <f>SUMIFS(SALIDAS[CANTIDAD],SALIDAS[CODIGO],PRODUCTOS[[#This Row],[CODIGO]])</f>
        <v/>
      </c>
      <c r="H403" s="56">
        <f>PRODUCTOS[[#This Row],[ENTRADAS]]-PRODUCTOS[[#This Row],[SALIDAS ]]</f>
        <v/>
      </c>
      <c r="I403" s="76" t="n">
        <v>0</v>
      </c>
      <c r="J403">
        <f>IF(PRODUCTOS[[#This Row],[STOCK]]&lt;0,"NEGATIVO",IF(PRODUCTOS[[#This Row],[STOCK]]=0,"SIN STOCK",IF(PRODUCTOS[[#This Row],[STOCK]]&lt;=PRODUCTOS[[#This Row],[STOCK MÍN.]],"BAJO","OK")))</f>
        <v/>
      </c>
      <c r="K4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04" hidden="1" s="11">
      <c r="A404" s="18" t="n">
        <v>389</v>
      </c>
      <c r="B404" s="56" t="inlineStr">
        <is>
          <t>00088-HER</t>
        </is>
      </c>
      <c r="C404" s="56">
        <f>IFERROR(_xlfn.XLOOKUP(PRODUCTOS[[#This Row],[CODIGO]],LISTADO[CODIGOS],LISTADO[CATEGORIA]),"NO EXISTE")</f>
        <v/>
      </c>
      <c r="D404" s="56">
        <f>IFERROR(_xlfn.XLOOKUP(PRODUCTOS[[#This Row],[CODIGO]],LISTADO[CODIGOS],LISTADO[PRODUCTOS]),"NO EXISTE")</f>
        <v/>
      </c>
      <c r="E404" s="56">
        <f>IFERROR(_xlfn.XLOOKUP(PRODUCTOS[[#This Row],[CODIGO]],LISTADO[CODIGOS],LISTADO[UBICACIÓN]),"NO EXISTE")</f>
        <v/>
      </c>
      <c r="F404" s="56">
        <f>SUMIFS(ENTRADAS[CANTIDAD],ENTRADAS[CODIGO],PRODUCTOS[[#This Row],[CODIGO]])</f>
        <v/>
      </c>
      <c r="G404" s="56">
        <f>SUMIFS(SALIDAS[CANTIDAD],SALIDAS[CODIGO],PRODUCTOS[[#This Row],[CODIGO]])</f>
        <v/>
      </c>
      <c r="H404" s="56">
        <f>PRODUCTOS[[#This Row],[ENTRADAS]]-PRODUCTOS[[#This Row],[SALIDAS ]]</f>
        <v/>
      </c>
      <c r="I404" s="76" t="n">
        <v>0</v>
      </c>
      <c r="J404">
        <f>IF(PRODUCTOS[[#This Row],[STOCK]]&lt;0,"NEGATIVO",IF(PRODUCTOS[[#This Row],[STOCK]]=0,"SIN STOCK",IF(PRODUCTOS[[#This Row],[STOCK]]&lt;=PRODUCTOS[[#This Row],[STOCK MÍN.]],"BAJO","OK")))</f>
        <v/>
      </c>
      <c r="K4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05" hidden="1" s="11">
      <c r="A405" s="18" t="n">
        <v>390</v>
      </c>
      <c r="B405" s="56" t="inlineStr">
        <is>
          <t>00008-HRR</t>
        </is>
      </c>
      <c r="C405" s="56">
        <f>IFERROR(_xlfn.XLOOKUP(PRODUCTOS[[#This Row],[CODIGO]],LISTADO[CODIGOS],LISTADO[CATEGORIA]),"NO EXISTE")</f>
        <v/>
      </c>
      <c r="D405" s="56">
        <f>IFERROR(_xlfn.XLOOKUP(PRODUCTOS[[#This Row],[CODIGO]],LISTADO[CODIGOS],LISTADO[PRODUCTOS]),"NO EXISTE")</f>
        <v/>
      </c>
      <c r="E405" s="56">
        <f>IFERROR(_xlfn.XLOOKUP(PRODUCTOS[[#This Row],[CODIGO]],LISTADO[CODIGOS],LISTADO[UBICACIÓN]),"NO EXISTE")</f>
        <v/>
      </c>
      <c r="F405" s="56">
        <f>SUMIFS(ENTRADAS[CANTIDAD],ENTRADAS[CODIGO],PRODUCTOS[[#This Row],[CODIGO]])</f>
        <v/>
      </c>
      <c r="G405" s="56">
        <f>SUMIFS(SALIDAS[CANTIDAD],SALIDAS[CODIGO],PRODUCTOS[[#This Row],[CODIGO]])</f>
        <v/>
      </c>
      <c r="H405" s="56">
        <f>PRODUCTOS[[#This Row],[ENTRADAS]]-PRODUCTOS[[#This Row],[SALIDAS ]]</f>
        <v/>
      </c>
      <c r="I405" s="76" t="n">
        <v>0</v>
      </c>
      <c r="J405">
        <f>IF(PRODUCTOS[[#This Row],[STOCK]]&lt;0,"NEGATIVO",IF(PRODUCTOS[[#This Row],[STOCK]]=0,"SIN STOCK",IF(PRODUCTOS[[#This Row],[STOCK]]&lt;=PRODUCTOS[[#This Row],[STOCK MÍN.]],"BAJO","OK")))</f>
        <v/>
      </c>
      <c r="K4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06" hidden="1" s="11">
      <c r="A406" s="18" t="n">
        <v>391</v>
      </c>
      <c r="B406" s="56" t="inlineStr">
        <is>
          <t>00009-HRR</t>
        </is>
      </c>
      <c r="C406" s="56">
        <f>IFERROR(_xlfn.XLOOKUP(PRODUCTOS[[#This Row],[CODIGO]],LISTADO[CODIGOS],LISTADO[CATEGORIA]),"NO EXISTE")</f>
        <v/>
      </c>
      <c r="D406" s="56">
        <f>IFERROR(_xlfn.XLOOKUP(PRODUCTOS[[#This Row],[CODIGO]],LISTADO[CODIGOS],LISTADO[PRODUCTOS]),"NO EXISTE")</f>
        <v/>
      </c>
      <c r="E406" s="56">
        <f>IFERROR(_xlfn.XLOOKUP(PRODUCTOS[[#This Row],[CODIGO]],LISTADO[CODIGOS],LISTADO[UBICACIÓN]),"NO EXISTE")</f>
        <v/>
      </c>
      <c r="F406" s="56">
        <f>SUMIFS(ENTRADAS[CANTIDAD],ENTRADAS[CODIGO],PRODUCTOS[[#This Row],[CODIGO]])</f>
        <v/>
      </c>
      <c r="G406" s="56">
        <f>SUMIFS(SALIDAS[CANTIDAD],SALIDAS[CODIGO],PRODUCTOS[[#This Row],[CODIGO]])</f>
        <v/>
      </c>
      <c r="H406" s="56">
        <f>PRODUCTOS[[#This Row],[ENTRADAS]]-PRODUCTOS[[#This Row],[SALIDAS ]]</f>
        <v/>
      </c>
      <c r="I406" s="76" t="n">
        <v>0</v>
      </c>
      <c r="J406">
        <f>IF(PRODUCTOS[[#This Row],[STOCK]]&lt;0,"NEGATIVO",IF(PRODUCTOS[[#This Row],[STOCK]]=0,"SIN STOCK",IF(PRODUCTOS[[#This Row],[STOCK]]&lt;=PRODUCTOS[[#This Row],[STOCK MÍN.]],"BAJO","OK")))</f>
        <v/>
      </c>
      <c r="K4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07" hidden="1" s="11">
      <c r="A407" s="18" t="n">
        <v>392</v>
      </c>
      <c r="B407" s="56" t="inlineStr">
        <is>
          <t>00089-HER</t>
        </is>
      </c>
      <c r="C407" s="56">
        <f>IFERROR(_xlfn.XLOOKUP(PRODUCTOS[[#This Row],[CODIGO]],LISTADO[CODIGOS],LISTADO[CATEGORIA]),"NO EXISTE")</f>
        <v/>
      </c>
      <c r="D407" s="56">
        <f>IFERROR(_xlfn.XLOOKUP(PRODUCTOS[[#This Row],[CODIGO]],LISTADO[CODIGOS],LISTADO[PRODUCTOS]),"NO EXISTE")</f>
        <v/>
      </c>
      <c r="E407" s="56">
        <f>IFERROR(_xlfn.XLOOKUP(PRODUCTOS[[#This Row],[CODIGO]],LISTADO[CODIGOS],LISTADO[UBICACIÓN]),"NO EXISTE")</f>
        <v/>
      </c>
      <c r="F407" s="56">
        <f>SUMIFS(ENTRADAS[CANTIDAD],ENTRADAS[CODIGO],PRODUCTOS[[#This Row],[CODIGO]])</f>
        <v/>
      </c>
      <c r="G407" s="56">
        <f>SUMIFS(SALIDAS[CANTIDAD],SALIDAS[CODIGO],PRODUCTOS[[#This Row],[CODIGO]])</f>
        <v/>
      </c>
      <c r="H407" s="56">
        <f>PRODUCTOS[[#This Row],[ENTRADAS]]-PRODUCTOS[[#This Row],[SALIDAS ]]</f>
        <v/>
      </c>
      <c r="I407" s="76" t="n">
        <v>0</v>
      </c>
      <c r="J407">
        <f>IF(PRODUCTOS[[#This Row],[STOCK]]&lt;0,"NEGATIVO",IF(PRODUCTOS[[#This Row],[STOCK]]=0,"SIN STOCK",IF(PRODUCTOS[[#This Row],[STOCK]]&lt;=PRODUCTOS[[#This Row],[STOCK MÍN.]],"BAJO","OK")))</f>
        <v/>
      </c>
      <c r="K4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08" hidden="1" s="11">
      <c r="A408" s="18" t="n">
        <v>863</v>
      </c>
      <c r="B408" s="56" t="inlineStr">
        <is>
          <t>00037-ELE</t>
        </is>
      </c>
      <c r="C408" s="56">
        <f>IFERROR(_xlfn.XLOOKUP(PRODUCTOS[[#This Row],[CODIGO]],LISTADO[CODIGOS],LISTADO[CATEGORIA]),"NO EXISTE")</f>
        <v/>
      </c>
      <c r="D408" s="56">
        <f>IFERROR(_xlfn.XLOOKUP(PRODUCTOS[[#This Row],[CODIGO]],LISTADO[CODIGOS],LISTADO[PRODUCTOS]),"NO EXISTE")</f>
        <v/>
      </c>
      <c r="E408" s="56">
        <f>IFERROR(_xlfn.XLOOKUP(PRODUCTOS[[#This Row],[CODIGO]],LISTADO[CODIGOS],LISTADO[UBICACIÓN]),"NO EXISTE")</f>
        <v/>
      </c>
      <c r="F408" s="56">
        <f>SUMIFS(ENTRADAS[CANTIDAD],ENTRADAS[CODIGO],PRODUCTOS[[#This Row],[CODIGO]])</f>
        <v/>
      </c>
      <c r="G408" s="56">
        <f>SUMIFS(SALIDAS[CANTIDAD],SALIDAS[CODIGO],PRODUCTOS[[#This Row],[CODIGO]])</f>
        <v/>
      </c>
      <c r="H408" s="56">
        <f>PRODUCTOS[[#This Row],[ENTRADAS]]-PRODUCTOS[[#This Row],[SALIDAS ]]</f>
        <v/>
      </c>
      <c r="I408" s="76" t="n">
        <v>0</v>
      </c>
      <c r="J408">
        <f>IF(PRODUCTOS[[#This Row],[STOCK]]&lt;0,"NEGATIVO",IF(PRODUCTOS[[#This Row],[STOCK]]=0,"SIN STOCK",IF(PRODUCTOS[[#This Row],[STOCK]]&lt;=PRODUCTOS[[#This Row],[STOCK MÍN.]],"BAJO","OK")))</f>
        <v/>
      </c>
      <c r="K4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09" hidden="1" s="11">
      <c r="A409" s="18" t="n">
        <v>394</v>
      </c>
      <c r="B409" s="56" t="inlineStr">
        <is>
          <t>00090-HER</t>
        </is>
      </c>
      <c r="C409" s="56">
        <f>IFERROR(_xlfn.XLOOKUP(PRODUCTOS[[#This Row],[CODIGO]],LISTADO[CODIGOS],LISTADO[CATEGORIA]),"NO EXISTE")</f>
        <v/>
      </c>
      <c r="D409" s="56">
        <f>IFERROR(_xlfn.XLOOKUP(PRODUCTOS[[#This Row],[CODIGO]],LISTADO[CODIGOS],LISTADO[PRODUCTOS]),"NO EXISTE")</f>
        <v/>
      </c>
      <c r="E409" s="56">
        <f>IFERROR(_xlfn.XLOOKUP(PRODUCTOS[[#This Row],[CODIGO]],LISTADO[CODIGOS],LISTADO[UBICACIÓN]),"NO EXISTE")</f>
        <v/>
      </c>
      <c r="F409" s="56">
        <f>SUMIFS(ENTRADAS[CANTIDAD],ENTRADAS[CODIGO],PRODUCTOS[[#This Row],[CODIGO]])</f>
        <v/>
      </c>
      <c r="G409" s="56">
        <f>SUMIFS(SALIDAS[CANTIDAD],SALIDAS[CODIGO],PRODUCTOS[[#This Row],[CODIGO]])</f>
        <v/>
      </c>
      <c r="H409" s="56">
        <f>PRODUCTOS[[#This Row],[ENTRADAS]]-PRODUCTOS[[#This Row],[SALIDAS ]]</f>
        <v/>
      </c>
      <c r="I409" s="76" t="n">
        <v>0</v>
      </c>
      <c r="J409">
        <f>IF(PRODUCTOS[[#This Row],[STOCK]]&lt;0,"NEGATIVO",IF(PRODUCTOS[[#This Row],[STOCK]]=0,"SIN STOCK",IF(PRODUCTOS[[#This Row],[STOCK]]&lt;=PRODUCTOS[[#This Row],[STOCK MÍN.]],"BAJO","OK")))</f>
        <v/>
      </c>
      <c r="K4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10" hidden="1" s="11">
      <c r="A410" s="18" t="n">
        <v>395</v>
      </c>
      <c r="B410" s="56" t="inlineStr">
        <is>
          <t>00091-HER</t>
        </is>
      </c>
      <c r="C410" s="56">
        <f>IFERROR(_xlfn.XLOOKUP(PRODUCTOS[[#This Row],[CODIGO]],LISTADO[CODIGOS],LISTADO[CATEGORIA]),"NO EXISTE")</f>
        <v/>
      </c>
      <c r="D410" s="56">
        <f>IFERROR(_xlfn.XLOOKUP(PRODUCTOS[[#This Row],[CODIGO]],LISTADO[CODIGOS],LISTADO[PRODUCTOS]),"NO EXISTE")</f>
        <v/>
      </c>
      <c r="E410" s="56">
        <f>IFERROR(_xlfn.XLOOKUP(PRODUCTOS[[#This Row],[CODIGO]],LISTADO[CODIGOS],LISTADO[UBICACIÓN]),"NO EXISTE")</f>
        <v/>
      </c>
      <c r="F410" s="56">
        <f>SUMIFS(ENTRADAS[CANTIDAD],ENTRADAS[CODIGO],PRODUCTOS[[#This Row],[CODIGO]])</f>
        <v/>
      </c>
      <c r="G410" s="56">
        <f>SUMIFS(SALIDAS[CANTIDAD],SALIDAS[CODIGO],PRODUCTOS[[#This Row],[CODIGO]])</f>
        <v/>
      </c>
      <c r="H410" s="56">
        <f>PRODUCTOS[[#This Row],[ENTRADAS]]-PRODUCTOS[[#This Row],[SALIDAS ]]</f>
        <v/>
      </c>
      <c r="I410" s="76" t="n">
        <v>0</v>
      </c>
      <c r="J410">
        <f>IF(PRODUCTOS[[#This Row],[STOCK]]&lt;0,"NEGATIVO",IF(PRODUCTOS[[#This Row],[STOCK]]=0,"SIN STOCK",IF(PRODUCTOS[[#This Row],[STOCK]]&lt;=PRODUCTOS[[#This Row],[STOCK MÍN.]],"BAJO","OK")))</f>
        <v/>
      </c>
      <c r="K4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11" hidden="1" s="11">
      <c r="A411" s="18" t="n">
        <v>396</v>
      </c>
      <c r="B411" s="56" t="inlineStr">
        <is>
          <t>00092-HER</t>
        </is>
      </c>
      <c r="C411" s="56">
        <f>IFERROR(_xlfn.XLOOKUP(PRODUCTOS[[#This Row],[CODIGO]],LISTADO[CODIGOS],LISTADO[CATEGORIA]),"NO EXISTE")</f>
        <v/>
      </c>
      <c r="D411" s="56">
        <f>IFERROR(_xlfn.XLOOKUP(PRODUCTOS[[#This Row],[CODIGO]],LISTADO[CODIGOS],LISTADO[PRODUCTOS]),"NO EXISTE")</f>
        <v/>
      </c>
      <c r="E411" s="56">
        <f>IFERROR(_xlfn.XLOOKUP(PRODUCTOS[[#This Row],[CODIGO]],LISTADO[CODIGOS],LISTADO[UBICACIÓN]),"NO EXISTE")</f>
        <v/>
      </c>
      <c r="F411" s="56">
        <f>SUMIFS(ENTRADAS[CANTIDAD],ENTRADAS[CODIGO],PRODUCTOS[[#This Row],[CODIGO]])</f>
        <v/>
      </c>
      <c r="G411" s="56">
        <f>SUMIFS(SALIDAS[CANTIDAD],SALIDAS[CODIGO],PRODUCTOS[[#This Row],[CODIGO]])</f>
        <v/>
      </c>
      <c r="H411" s="56">
        <f>PRODUCTOS[[#This Row],[ENTRADAS]]-PRODUCTOS[[#This Row],[SALIDAS ]]</f>
        <v/>
      </c>
      <c r="I411" s="76" t="n">
        <v>0</v>
      </c>
      <c r="J411">
        <f>IF(PRODUCTOS[[#This Row],[STOCK]]&lt;0,"NEGATIVO",IF(PRODUCTOS[[#This Row],[STOCK]]=0,"SIN STOCK",IF(PRODUCTOS[[#This Row],[STOCK]]&lt;=PRODUCTOS[[#This Row],[STOCK MÍN.]],"BAJO","OK")))</f>
        <v/>
      </c>
      <c r="K4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12" hidden="1" s="11">
      <c r="A412" s="18" t="n">
        <v>397</v>
      </c>
      <c r="B412" s="56" t="inlineStr">
        <is>
          <t>00093-HER</t>
        </is>
      </c>
      <c r="C412" s="56">
        <f>IFERROR(_xlfn.XLOOKUP(PRODUCTOS[[#This Row],[CODIGO]],LISTADO[CODIGOS],LISTADO[CATEGORIA]),"NO EXISTE")</f>
        <v/>
      </c>
      <c r="D412" s="56">
        <f>IFERROR(_xlfn.XLOOKUP(PRODUCTOS[[#This Row],[CODIGO]],LISTADO[CODIGOS],LISTADO[PRODUCTOS]),"NO EXISTE")</f>
        <v/>
      </c>
      <c r="E412" s="56">
        <f>IFERROR(_xlfn.XLOOKUP(PRODUCTOS[[#This Row],[CODIGO]],LISTADO[CODIGOS],LISTADO[UBICACIÓN]),"NO EXISTE")</f>
        <v/>
      </c>
      <c r="F412" s="56">
        <f>SUMIFS(ENTRADAS[CANTIDAD],ENTRADAS[CODIGO],PRODUCTOS[[#This Row],[CODIGO]])</f>
        <v/>
      </c>
      <c r="G412" s="56">
        <f>SUMIFS(SALIDAS[CANTIDAD],SALIDAS[CODIGO],PRODUCTOS[[#This Row],[CODIGO]])</f>
        <v/>
      </c>
      <c r="H412" s="56">
        <f>PRODUCTOS[[#This Row],[ENTRADAS]]-PRODUCTOS[[#This Row],[SALIDAS ]]</f>
        <v/>
      </c>
      <c r="I412" s="76" t="n">
        <v>0</v>
      </c>
      <c r="J412">
        <f>IF(PRODUCTOS[[#This Row],[STOCK]]&lt;0,"NEGATIVO",IF(PRODUCTOS[[#This Row],[STOCK]]=0,"SIN STOCK",IF(PRODUCTOS[[#This Row],[STOCK]]&lt;=PRODUCTOS[[#This Row],[STOCK MÍN.]],"BAJO","OK")))</f>
        <v/>
      </c>
      <c r="K4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13" hidden="1" s="11">
      <c r="A413" s="18" t="n">
        <v>398</v>
      </c>
      <c r="B413" s="56" t="inlineStr">
        <is>
          <t>00094-HER</t>
        </is>
      </c>
      <c r="C413" s="56">
        <f>IFERROR(_xlfn.XLOOKUP(PRODUCTOS[[#This Row],[CODIGO]],LISTADO[CODIGOS],LISTADO[CATEGORIA]),"NO EXISTE")</f>
        <v/>
      </c>
      <c r="D413" s="56">
        <f>IFERROR(_xlfn.XLOOKUP(PRODUCTOS[[#This Row],[CODIGO]],LISTADO[CODIGOS],LISTADO[PRODUCTOS]),"NO EXISTE")</f>
        <v/>
      </c>
      <c r="E413" s="56">
        <f>IFERROR(_xlfn.XLOOKUP(PRODUCTOS[[#This Row],[CODIGO]],LISTADO[CODIGOS],LISTADO[UBICACIÓN]),"NO EXISTE")</f>
        <v/>
      </c>
      <c r="F413" s="56">
        <f>SUMIFS(ENTRADAS[CANTIDAD],ENTRADAS[CODIGO],PRODUCTOS[[#This Row],[CODIGO]])</f>
        <v/>
      </c>
      <c r="G413" s="56">
        <f>SUMIFS(SALIDAS[CANTIDAD],SALIDAS[CODIGO],PRODUCTOS[[#This Row],[CODIGO]])</f>
        <v/>
      </c>
      <c r="H413" s="56">
        <f>PRODUCTOS[[#This Row],[ENTRADAS]]-PRODUCTOS[[#This Row],[SALIDAS ]]</f>
        <v/>
      </c>
      <c r="I413" s="76" t="n">
        <v>0</v>
      </c>
      <c r="J413">
        <f>IF(PRODUCTOS[[#This Row],[STOCK]]&lt;0,"NEGATIVO",IF(PRODUCTOS[[#This Row],[STOCK]]=0,"SIN STOCK",IF(PRODUCTOS[[#This Row],[STOCK]]&lt;=PRODUCTOS[[#This Row],[STOCK MÍN.]],"BAJO","OK")))</f>
        <v/>
      </c>
      <c r="K4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14" hidden="1" s="11">
      <c r="A414" s="18" t="n">
        <v>399</v>
      </c>
      <c r="B414" s="56" t="inlineStr">
        <is>
          <t>00095-HER</t>
        </is>
      </c>
      <c r="C414" s="56">
        <f>IFERROR(_xlfn.XLOOKUP(PRODUCTOS[[#This Row],[CODIGO]],LISTADO[CODIGOS],LISTADO[CATEGORIA]),"NO EXISTE")</f>
        <v/>
      </c>
      <c r="D414" s="56">
        <f>IFERROR(_xlfn.XLOOKUP(PRODUCTOS[[#This Row],[CODIGO]],LISTADO[CODIGOS],LISTADO[PRODUCTOS]),"NO EXISTE")</f>
        <v/>
      </c>
      <c r="E414" s="56">
        <f>IFERROR(_xlfn.XLOOKUP(PRODUCTOS[[#This Row],[CODIGO]],LISTADO[CODIGOS],LISTADO[UBICACIÓN]),"NO EXISTE")</f>
        <v/>
      </c>
      <c r="F414" s="56">
        <f>SUMIFS(ENTRADAS[CANTIDAD],ENTRADAS[CODIGO],PRODUCTOS[[#This Row],[CODIGO]])</f>
        <v/>
      </c>
      <c r="G414" s="56">
        <f>SUMIFS(SALIDAS[CANTIDAD],SALIDAS[CODIGO],PRODUCTOS[[#This Row],[CODIGO]])</f>
        <v/>
      </c>
      <c r="H414" s="56">
        <f>PRODUCTOS[[#This Row],[ENTRADAS]]-PRODUCTOS[[#This Row],[SALIDAS ]]</f>
        <v/>
      </c>
      <c r="I414" s="76" t="n">
        <v>0</v>
      </c>
      <c r="J414">
        <f>IF(PRODUCTOS[[#This Row],[STOCK]]&lt;0,"NEGATIVO",IF(PRODUCTOS[[#This Row],[STOCK]]=0,"SIN STOCK",IF(PRODUCTOS[[#This Row],[STOCK]]&lt;=PRODUCTOS[[#This Row],[STOCK MÍN.]],"BAJO","OK")))</f>
        <v/>
      </c>
      <c r="K4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15" hidden="1" s="11">
      <c r="A415" s="18" t="n">
        <v>400</v>
      </c>
      <c r="B415" s="56" t="inlineStr">
        <is>
          <t>00096-HER</t>
        </is>
      </c>
      <c r="C415" s="56">
        <f>IFERROR(_xlfn.XLOOKUP(PRODUCTOS[[#This Row],[CODIGO]],LISTADO[CODIGOS],LISTADO[CATEGORIA]),"NO EXISTE")</f>
        <v/>
      </c>
      <c r="D415" s="56">
        <f>IFERROR(_xlfn.XLOOKUP(PRODUCTOS[[#This Row],[CODIGO]],LISTADO[CODIGOS],LISTADO[PRODUCTOS]),"NO EXISTE")</f>
        <v/>
      </c>
      <c r="E415" s="56">
        <f>IFERROR(_xlfn.XLOOKUP(PRODUCTOS[[#This Row],[CODIGO]],LISTADO[CODIGOS],LISTADO[UBICACIÓN]),"NO EXISTE")</f>
        <v/>
      </c>
      <c r="F415" s="56">
        <f>SUMIFS(ENTRADAS[CANTIDAD],ENTRADAS[CODIGO],PRODUCTOS[[#This Row],[CODIGO]])</f>
        <v/>
      </c>
      <c r="G415" s="56">
        <f>SUMIFS(SALIDAS[CANTIDAD],SALIDAS[CODIGO],PRODUCTOS[[#This Row],[CODIGO]])</f>
        <v/>
      </c>
      <c r="H415" s="56">
        <f>PRODUCTOS[[#This Row],[ENTRADAS]]-PRODUCTOS[[#This Row],[SALIDAS ]]</f>
        <v/>
      </c>
      <c r="I415" s="76" t="n">
        <v>0</v>
      </c>
      <c r="J415">
        <f>IF(PRODUCTOS[[#This Row],[STOCK]]&lt;0,"NEGATIVO",IF(PRODUCTOS[[#This Row],[STOCK]]=0,"SIN STOCK",IF(PRODUCTOS[[#This Row],[STOCK]]&lt;=PRODUCTOS[[#This Row],[STOCK MÍN.]],"BAJO","OK")))</f>
        <v/>
      </c>
      <c r="K4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16" hidden="1" s="11">
      <c r="A416" s="18" t="n">
        <v>401</v>
      </c>
      <c r="B416" s="56" t="inlineStr">
        <is>
          <t>00097-HER</t>
        </is>
      </c>
      <c r="C416" s="56">
        <f>IFERROR(_xlfn.XLOOKUP(PRODUCTOS[[#This Row],[CODIGO]],LISTADO[CODIGOS],LISTADO[CATEGORIA]),"NO EXISTE")</f>
        <v/>
      </c>
      <c r="D416" s="56">
        <f>IFERROR(_xlfn.XLOOKUP(PRODUCTOS[[#This Row],[CODIGO]],LISTADO[CODIGOS],LISTADO[PRODUCTOS]),"NO EXISTE")</f>
        <v/>
      </c>
      <c r="E416" s="56">
        <f>IFERROR(_xlfn.XLOOKUP(PRODUCTOS[[#This Row],[CODIGO]],LISTADO[CODIGOS],LISTADO[UBICACIÓN]),"NO EXISTE")</f>
        <v/>
      </c>
      <c r="F416" s="56">
        <f>SUMIFS(ENTRADAS[CANTIDAD],ENTRADAS[CODIGO],PRODUCTOS[[#This Row],[CODIGO]])</f>
        <v/>
      </c>
      <c r="G416" s="56">
        <f>SUMIFS(SALIDAS[CANTIDAD],SALIDAS[CODIGO],PRODUCTOS[[#This Row],[CODIGO]])</f>
        <v/>
      </c>
      <c r="H416" s="56">
        <f>PRODUCTOS[[#This Row],[ENTRADAS]]-PRODUCTOS[[#This Row],[SALIDAS ]]</f>
        <v/>
      </c>
      <c r="I416" s="76" t="n">
        <v>0</v>
      </c>
      <c r="J416">
        <f>IF(PRODUCTOS[[#This Row],[STOCK]]&lt;0,"NEGATIVO",IF(PRODUCTOS[[#This Row],[STOCK]]=0,"SIN STOCK",IF(PRODUCTOS[[#This Row],[STOCK]]&lt;=PRODUCTOS[[#This Row],[STOCK MÍN.]],"BAJO","OK")))</f>
        <v/>
      </c>
      <c r="K4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17" hidden="1" s="11">
      <c r="A417" s="18" t="n">
        <v>402</v>
      </c>
      <c r="B417" s="56" t="inlineStr">
        <is>
          <t>00098-HER</t>
        </is>
      </c>
      <c r="C417" s="56">
        <f>IFERROR(_xlfn.XLOOKUP(PRODUCTOS[[#This Row],[CODIGO]],LISTADO[CODIGOS],LISTADO[CATEGORIA]),"NO EXISTE")</f>
        <v/>
      </c>
      <c r="D417" s="56">
        <f>IFERROR(_xlfn.XLOOKUP(PRODUCTOS[[#This Row],[CODIGO]],LISTADO[CODIGOS],LISTADO[PRODUCTOS]),"NO EXISTE")</f>
        <v/>
      </c>
      <c r="E417" s="56">
        <f>IFERROR(_xlfn.XLOOKUP(PRODUCTOS[[#This Row],[CODIGO]],LISTADO[CODIGOS],LISTADO[UBICACIÓN]),"NO EXISTE")</f>
        <v/>
      </c>
      <c r="F417" s="56">
        <f>SUMIFS(ENTRADAS[CANTIDAD],ENTRADAS[CODIGO],PRODUCTOS[[#This Row],[CODIGO]])</f>
        <v/>
      </c>
      <c r="G417" s="56">
        <f>SUMIFS(SALIDAS[CANTIDAD],SALIDAS[CODIGO],PRODUCTOS[[#This Row],[CODIGO]])</f>
        <v/>
      </c>
      <c r="H417" s="56">
        <f>PRODUCTOS[[#This Row],[ENTRADAS]]-PRODUCTOS[[#This Row],[SALIDAS ]]</f>
        <v/>
      </c>
      <c r="I417" s="76" t="n">
        <v>0</v>
      </c>
      <c r="J417">
        <f>IF(PRODUCTOS[[#This Row],[STOCK]]&lt;0,"NEGATIVO",IF(PRODUCTOS[[#This Row],[STOCK]]=0,"SIN STOCK",IF(PRODUCTOS[[#This Row],[STOCK]]&lt;=PRODUCTOS[[#This Row],[STOCK MÍN.]],"BAJO","OK")))</f>
        <v/>
      </c>
      <c r="K4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18" hidden="1" s="11">
      <c r="A418" s="18" t="n">
        <v>403</v>
      </c>
      <c r="B418" s="56" t="inlineStr">
        <is>
          <t>00018-REF</t>
        </is>
      </c>
      <c r="C418" s="56">
        <f>IFERROR(_xlfn.XLOOKUP(PRODUCTOS[[#This Row],[CODIGO]],LISTADO[CODIGOS],LISTADO[CATEGORIA]),"NO EXISTE")</f>
        <v/>
      </c>
      <c r="D418" s="56">
        <f>IFERROR(_xlfn.XLOOKUP(PRODUCTOS[[#This Row],[CODIGO]],LISTADO[CODIGOS],LISTADO[PRODUCTOS]),"NO EXISTE")</f>
        <v/>
      </c>
      <c r="E418" s="56">
        <f>IFERROR(_xlfn.XLOOKUP(PRODUCTOS[[#This Row],[CODIGO]],LISTADO[CODIGOS],LISTADO[UBICACIÓN]),"NO EXISTE")</f>
        <v/>
      </c>
      <c r="F418" s="56">
        <f>SUMIFS(ENTRADAS[CANTIDAD],ENTRADAS[CODIGO],PRODUCTOS[[#This Row],[CODIGO]])</f>
        <v/>
      </c>
      <c r="G418" s="56">
        <f>SUMIFS(SALIDAS[CANTIDAD],SALIDAS[CODIGO],PRODUCTOS[[#This Row],[CODIGO]])</f>
        <v/>
      </c>
      <c r="H418" s="56">
        <f>PRODUCTOS[[#This Row],[ENTRADAS]]-PRODUCTOS[[#This Row],[SALIDAS ]]</f>
        <v/>
      </c>
      <c r="I418" s="76" t="n">
        <v>0</v>
      </c>
      <c r="J418">
        <f>IF(PRODUCTOS[[#This Row],[STOCK]]&lt;0,"NEGATIVO",IF(PRODUCTOS[[#This Row],[STOCK]]=0,"SIN STOCK",IF(PRODUCTOS[[#This Row],[STOCK]]&lt;=PRODUCTOS[[#This Row],[STOCK MÍN.]],"BAJO","OK")))</f>
        <v/>
      </c>
      <c r="K4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19" hidden="1" s="11">
      <c r="A419" s="18" t="n">
        <v>404</v>
      </c>
      <c r="B419" s="56" t="inlineStr">
        <is>
          <t>00019-REF</t>
        </is>
      </c>
      <c r="C419" s="56">
        <f>IFERROR(_xlfn.XLOOKUP(PRODUCTOS[[#This Row],[CODIGO]],LISTADO[CODIGOS],LISTADO[CATEGORIA]),"NO EXISTE")</f>
        <v/>
      </c>
      <c r="D419" s="56">
        <f>IFERROR(_xlfn.XLOOKUP(PRODUCTOS[[#This Row],[CODIGO]],LISTADO[CODIGOS],LISTADO[PRODUCTOS]),"NO EXISTE")</f>
        <v/>
      </c>
      <c r="E419" s="56">
        <f>IFERROR(_xlfn.XLOOKUP(PRODUCTOS[[#This Row],[CODIGO]],LISTADO[CODIGOS],LISTADO[UBICACIÓN]),"NO EXISTE")</f>
        <v/>
      </c>
      <c r="F419" s="56">
        <f>SUMIFS(ENTRADAS[CANTIDAD],ENTRADAS[CODIGO],PRODUCTOS[[#This Row],[CODIGO]])</f>
        <v/>
      </c>
      <c r="G419" s="56">
        <f>SUMIFS(SALIDAS[CANTIDAD],SALIDAS[CODIGO],PRODUCTOS[[#This Row],[CODIGO]])</f>
        <v/>
      </c>
      <c r="H419" s="56">
        <f>PRODUCTOS[[#This Row],[ENTRADAS]]-PRODUCTOS[[#This Row],[SALIDAS ]]</f>
        <v/>
      </c>
      <c r="I419" s="76" t="n">
        <v>0</v>
      </c>
      <c r="J419">
        <f>IF(PRODUCTOS[[#This Row],[STOCK]]&lt;0,"NEGATIVO",IF(PRODUCTOS[[#This Row],[STOCK]]=0,"SIN STOCK",IF(PRODUCTOS[[#This Row],[STOCK]]&lt;=PRODUCTOS[[#This Row],[STOCK MÍN.]],"BAJO","OK")))</f>
        <v/>
      </c>
      <c r="K4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20" hidden="1" s="11">
      <c r="A420" s="18" t="n">
        <v>405</v>
      </c>
      <c r="B420" s="56" t="inlineStr">
        <is>
          <t>00020-REF</t>
        </is>
      </c>
      <c r="C420" s="56">
        <f>IFERROR(_xlfn.XLOOKUP(PRODUCTOS[[#This Row],[CODIGO]],LISTADO[CODIGOS],LISTADO[CATEGORIA]),"NO EXISTE")</f>
        <v/>
      </c>
      <c r="D420" s="56">
        <f>IFERROR(_xlfn.XLOOKUP(PRODUCTOS[[#This Row],[CODIGO]],LISTADO[CODIGOS],LISTADO[PRODUCTOS]),"NO EXISTE")</f>
        <v/>
      </c>
      <c r="E420" s="56">
        <f>IFERROR(_xlfn.XLOOKUP(PRODUCTOS[[#This Row],[CODIGO]],LISTADO[CODIGOS],LISTADO[UBICACIÓN]),"NO EXISTE")</f>
        <v/>
      </c>
      <c r="F420" s="56">
        <f>SUMIFS(ENTRADAS[CANTIDAD],ENTRADAS[CODIGO],PRODUCTOS[[#This Row],[CODIGO]])</f>
        <v/>
      </c>
      <c r="G420" s="56">
        <f>SUMIFS(SALIDAS[CANTIDAD],SALIDAS[CODIGO],PRODUCTOS[[#This Row],[CODIGO]])</f>
        <v/>
      </c>
      <c r="H420" s="56">
        <f>PRODUCTOS[[#This Row],[ENTRADAS]]-PRODUCTOS[[#This Row],[SALIDAS ]]</f>
        <v/>
      </c>
      <c r="I420" s="76" t="n">
        <v>0</v>
      </c>
      <c r="J420">
        <f>IF(PRODUCTOS[[#This Row],[STOCK]]&lt;0,"NEGATIVO",IF(PRODUCTOS[[#This Row],[STOCK]]=0,"SIN STOCK",IF(PRODUCTOS[[#This Row],[STOCK]]&lt;=PRODUCTOS[[#This Row],[STOCK MÍN.]],"BAJO","OK")))</f>
        <v/>
      </c>
      <c r="K4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21" hidden="1" s="11">
      <c r="A421" s="18" t="n">
        <v>406</v>
      </c>
      <c r="B421" s="56" t="inlineStr">
        <is>
          <t>00021-REF</t>
        </is>
      </c>
      <c r="C421" s="56">
        <f>IFERROR(_xlfn.XLOOKUP(PRODUCTOS[[#This Row],[CODIGO]],LISTADO[CODIGOS],LISTADO[CATEGORIA]),"NO EXISTE")</f>
        <v/>
      </c>
      <c r="D421" s="56">
        <f>IFERROR(_xlfn.XLOOKUP(PRODUCTOS[[#This Row],[CODIGO]],LISTADO[CODIGOS],LISTADO[PRODUCTOS]),"NO EXISTE")</f>
        <v/>
      </c>
      <c r="E421" s="56">
        <f>IFERROR(_xlfn.XLOOKUP(PRODUCTOS[[#This Row],[CODIGO]],LISTADO[CODIGOS],LISTADO[UBICACIÓN]),"NO EXISTE")</f>
        <v/>
      </c>
      <c r="F421" s="56">
        <f>SUMIFS(ENTRADAS[CANTIDAD],ENTRADAS[CODIGO],PRODUCTOS[[#This Row],[CODIGO]])</f>
        <v/>
      </c>
      <c r="G421" s="56">
        <f>SUMIFS(SALIDAS[CANTIDAD],SALIDAS[CODIGO],PRODUCTOS[[#This Row],[CODIGO]])</f>
        <v/>
      </c>
      <c r="H421" s="56">
        <f>PRODUCTOS[[#This Row],[ENTRADAS]]-PRODUCTOS[[#This Row],[SALIDAS ]]</f>
        <v/>
      </c>
      <c r="I421" s="76" t="n">
        <v>0</v>
      </c>
      <c r="J421">
        <f>IF(PRODUCTOS[[#This Row],[STOCK]]&lt;0,"NEGATIVO",IF(PRODUCTOS[[#This Row],[STOCK]]=0,"SIN STOCK",IF(PRODUCTOS[[#This Row],[STOCK]]&lt;=PRODUCTOS[[#This Row],[STOCK MÍN.]],"BAJO","OK")))</f>
        <v/>
      </c>
      <c r="K4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22" hidden="1" s="11">
      <c r="A422" s="18" t="n">
        <v>407</v>
      </c>
      <c r="B422" s="56" t="inlineStr">
        <is>
          <t>00022-REF</t>
        </is>
      </c>
      <c r="C422" s="56">
        <f>IFERROR(_xlfn.XLOOKUP(PRODUCTOS[[#This Row],[CODIGO]],LISTADO[CODIGOS],LISTADO[CATEGORIA]),"NO EXISTE")</f>
        <v/>
      </c>
      <c r="D422" s="56">
        <f>IFERROR(_xlfn.XLOOKUP(PRODUCTOS[[#This Row],[CODIGO]],LISTADO[CODIGOS],LISTADO[PRODUCTOS]),"NO EXISTE")</f>
        <v/>
      </c>
      <c r="E422" s="56">
        <f>IFERROR(_xlfn.XLOOKUP(PRODUCTOS[[#This Row],[CODIGO]],LISTADO[CODIGOS],LISTADO[UBICACIÓN]),"NO EXISTE")</f>
        <v/>
      </c>
      <c r="F422" s="56">
        <f>SUMIFS(ENTRADAS[CANTIDAD],ENTRADAS[CODIGO],PRODUCTOS[[#This Row],[CODIGO]])</f>
        <v/>
      </c>
      <c r="G422" s="56">
        <f>SUMIFS(SALIDAS[CANTIDAD],SALIDAS[CODIGO],PRODUCTOS[[#This Row],[CODIGO]])</f>
        <v/>
      </c>
      <c r="H422" s="56">
        <f>PRODUCTOS[[#This Row],[ENTRADAS]]-PRODUCTOS[[#This Row],[SALIDAS ]]</f>
        <v/>
      </c>
      <c r="I422" s="76" t="n">
        <v>0</v>
      </c>
      <c r="J422">
        <f>IF(PRODUCTOS[[#This Row],[STOCK]]&lt;0,"NEGATIVO",IF(PRODUCTOS[[#This Row],[STOCK]]=0,"SIN STOCK",IF(PRODUCTOS[[#This Row],[STOCK]]&lt;=PRODUCTOS[[#This Row],[STOCK MÍN.]],"BAJO","OK")))</f>
        <v/>
      </c>
      <c r="K4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23" hidden="1" s="11">
      <c r="A423" s="18" t="n">
        <v>408</v>
      </c>
      <c r="B423" s="56" t="inlineStr">
        <is>
          <t>00023-REF</t>
        </is>
      </c>
      <c r="C423" s="56">
        <f>IFERROR(_xlfn.XLOOKUP(PRODUCTOS[[#This Row],[CODIGO]],LISTADO[CODIGOS],LISTADO[CATEGORIA]),"NO EXISTE")</f>
        <v/>
      </c>
      <c r="D423" s="56">
        <f>IFERROR(_xlfn.XLOOKUP(PRODUCTOS[[#This Row],[CODIGO]],LISTADO[CODIGOS],LISTADO[PRODUCTOS]),"NO EXISTE")</f>
        <v/>
      </c>
      <c r="E423" s="56">
        <f>IFERROR(_xlfn.XLOOKUP(PRODUCTOS[[#This Row],[CODIGO]],LISTADO[CODIGOS],LISTADO[UBICACIÓN]),"NO EXISTE")</f>
        <v/>
      </c>
      <c r="F423" s="56">
        <f>SUMIFS(ENTRADAS[CANTIDAD],ENTRADAS[CODIGO],PRODUCTOS[[#This Row],[CODIGO]])</f>
        <v/>
      </c>
      <c r="G423" s="56">
        <f>SUMIFS(SALIDAS[CANTIDAD],SALIDAS[CODIGO],PRODUCTOS[[#This Row],[CODIGO]])</f>
        <v/>
      </c>
      <c r="H423" s="56">
        <f>PRODUCTOS[[#This Row],[ENTRADAS]]-PRODUCTOS[[#This Row],[SALIDAS ]]</f>
        <v/>
      </c>
      <c r="I423" s="76" t="n">
        <v>0</v>
      </c>
      <c r="J423">
        <f>IF(PRODUCTOS[[#This Row],[STOCK]]&lt;0,"NEGATIVO",IF(PRODUCTOS[[#This Row],[STOCK]]=0,"SIN STOCK",IF(PRODUCTOS[[#This Row],[STOCK]]&lt;=PRODUCTOS[[#This Row],[STOCK MÍN.]],"BAJO","OK")))</f>
        <v/>
      </c>
      <c r="K4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24" hidden="1" s="11">
      <c r="A424" s="18" t="n">
        <v>409</v>
      </c>
      <c r="B424" s="56" t="inlineStr">
        <is>
          <t>00024-REF</t>
        </is>
      </c>
      <c r="C424" s="56">
        <f>IFERROR(_xlfn.XLOOKUP(PRODUCTOS[[#This Row],[CODIGO]],LISTADO[CODIGOS],LISTADO[CATEGORIA]),"NO EXISTE")</f>
        <v/>
      </c>
      <c r="D424" s="56">
        <f>IFERROR(_xlfn.XLOOKUP(PRODUCTOS[[#This Row],[CODIGO]],LISTADO[CODIGOS],LISTADO[PRODUCTOS]),"NO EXISTE")</f>
        <v/>
      </c>
      <c r="E424" s="56">
        <f>IFERROR(_xlfn.XLOOKUP(PRODUCTOS[[#This Row],[CODIGO]],LISTADO[CODIGOS],LISTADO[UBICACIÓN]),"NO EXISTE")</f>
        <v/>
      </c>
      <c r="F424" s="56">
        <f>SUMIFS(ENTRADAS[CANTIDAD],ENTRADAS[CODIGO],PRODUCTOS[[#This Row],[CODIGO]])</f>
        <v/>
      </c>
      <c r="G424" s="56">
        <f>SUMIFS(SALIDAS[CANTIDAD],SALIDAS[CODIGO],PRODUCTOS[[#This Row],[CODIGO]])</f>
        <v/>
      </c>
      <c r="H424" s="56">
        <f>PRODUCTOS[[#This Row],[ENTRADAS]]-PRODUCTOS[[#This Row],[SALIDAS ]]</f>
        <v/>
      </c>
      <c r="I424" s="76" t="n">
        <v>0</v>
      </c>
      <c r="J424">
        <f>IF(PRODUCTOS[[#This Row],[STOCK]]&lt;0,"NEGATIVO",IF(PRODUCTOS[[#This Row],[STOCK]]=0,"SIN STOCK",IF(PRODUCTOS[[#This Row],[STOCK]]&lt;=PRODUCTOS[[#This Row],[STOCK MÍN.]],"BAJO","OK")))</f>
        <v/>
      </c>
      <c r="K4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25" hidden="1" s="11">
      <c r="A425" s="18" t="n">
        <v>410</v>
      </c>
      <c r="B425" s="56" t="inlineStr">
        <is>
          <t>00025-REF</t>
        </is>
      </c>
      <c r="C425" s="56">
        <f>IFERROR(_xlfn.XLOOKUP(PRODUCTOS[[#This Row],[CODIGO]],LISTADO[CODIGOS],LISTADO[CATEGORIA]),"NO EXISTE")</f>
        <v/>
      </c>
      <c r="D425" s="56">
        <f>IFERROR(_xlfn.XLOOKUP(PRODUCTOS[[#This Row],[CODIGO]],LISTADO[CODIGOS],LISTADO[PRODUCTOS]),"NO EXISTE")</f>
        <v/>
      </c>
      <c r="E425" s="56">
        <f>IFERROR(_xlfn.XLOOKUP(PRODUCTOS[[#This Row],[CODIGO]],LISTADO[CODIGOS],LISTADO[UBICACIÓN]),"NO EXISTE")</f>
        <v/>
      </c>
      <c r="F425" s="56">
        <f>SUMIFS(ENTRADAS[CANTIDAD],ENTRADAS[CODIGO],PRODUCTOS[[#This Row],[CODIGO]])</f>
        <v/>
      </c>
      <c r="G425" s="56">
        <f>SUMIFS(SALIDAS[CANTIDAD],SALIDAS[CODIGO],PRODUCTOS[[#This Row],[CODIGO]])</f>
        <v/>
      </c>
      <c r="H425" s="56">
        <f>PRODUCTOS[[#This Row],[ENTRADAS]]-PRODUCTOS[[#This Row],[SALIDAS ]]</f>
        <v/>
      </c>
      <c r="I425" s="76" t="n">
        <v>0</v>
      </c>
      <c r="J425">
        <f>IF(PRODUCTOS[[#This Row],[STOCK]]&lt;0,"NEGATIVO",IF(PRODUCTOS[[#This Row],[STOCK]]=0,"SIN STOCK",IF(PRODUCTOS[[#This Row],[STOCK]]&lt;=PRODUCTOS[[#This Row],[STOCK MÍN.]],"BAJO","OK")))</f>
        <v/>
      </c>
      <c r="K4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26" hidden="1" s="11">
      <c r="A426" s="18" t="n">
        <v>411</v>
      </c>
      <c r="B426" s="56" t="inlineStr">
        <is>
          <t>00026-REF</t>
        </is>
      </c>
      <c r="C426" s="56">
        <f>IFERROR(_xlfn.XLOOKUP(PRODUCTOS[[#This Row],[CODIGO]],LISTADO[CODIGOS],LISTADO[CATEGORIA]),"NO EXISTE")</f>
        <v/>
      </c>
      <c r="D426" s="56">
        <f>IFERROR(_xlfn.XLOOKUP(PRODUCTOS[[#This Row],[CODIGO]],LISTADO[CODIGOS],LISTADO[PRODUCTOS]),"NO EXISTE")</f>
        <v/>
      </c>
      <c r="E426" s="56">
        <f>IFERROR(_xlfn.XLOOKUP(PRODUCTOS[[#This Row],[CODIGO]],LISTADO[CODIGOS],LISTADO[UBICACIÓN]),"NO EXISTE")</f>
        <v/>
      </c>
      <c r="F426" s="56">
        <f>SUMIFS(ENTRADAS[CANTIDAD],ENTRADAS[CODIGO],PRODUCTOS[[#This Row],[CODIGO]])</f>
        <v/>
      </c>
      <c r="G426" s="56">
        <f>SUMIFS(SALIDAS[CANTIDAD],SALIDAS[CODIGO],PRODUCTOS[[#This Row],[CODIGO]])</f>
        <v/>
      </c>
      <c r="H426" s="56">
        <f>PRODUCTOS[[#This Row],[ENTRADAS]]-PRODUCTOS[[#This Row],[SALIDAS ]]</f>
        <v/>
      </c>
      <c r="I426" s="76" t="n">
        <v>0</v>
      </c>
      <c r="J426">
        <f>IF(PRODUCTOS[[#This Row],[STOCK]]&lt;0,"NEGATIVO",IF(PRODUCTOS[[#This Row],[STOCK]]=0,"SIN STOCK",IF(PRODUCTOS[[#This Row],[STOCK]]&lt;=PRODUCTOS[[#This Row],[STOCK MÍN.]],"BAJO","OK")))</f>
        <v/>
      </c>
      <c r="K4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27" hidden="1" s="11">
      <c r="A427" s="18" t="n">
        <v>412</v>
      </c>
      <c r="B427" s="56" t="inlineStr">
        <is>
          <t>00027-REF</t>
        </is>
      </c>
      <c r="C427" s="56">
        <f>IFERROR(_xlfn.XLOOKUP(PRODUCTOS[[#This Row],[CODIGO]],LISTADO[CODIGOS],LISTADO[CATEGORIA]),"NO EXISTE")</f>
        <v/>
      </c>
      <c r="D427" s="56">
        <f>IFERROR(_xlfn.XLOOKUP(PRODUCTOS[[#This Row],[CODIGO]],LISTADO[CODIGOS],LISTADO[PRODUCTOS]),"NO EXISTE")</f>
        <v/>
      </c>
      <c r="E427" s="56">
        <f>IFERROR(_xlfn.XLOOKUP(PRODUCTOS[[#This Row],[CODIGO]],LISTADO[CODIGOS],LISTADO[UBICACIÓN]),"NO EXISTE")</f>
        <v/>
      </c>
      <c r="F427" s="56">
        <f>SUMIFS(ENTRADAS[CANTIDAD],ENTRADAS[CODIGO],PRODUCTOS[[#This Row],[CODIGO]])</f>
        <v/>
      </c>
      <c r="G427" s="56">
        <f>SUMIFS(SALIDAS[CANTIDAD],SALIDAS[CODIGO],PRODUCTOS[[#This Row],[CODIGO]])</f>
        <v/>
      </c>
      <c r="H427" s="56">
        <f>PRODUCTOS[[#This Row],[ENTRADAS]]-PRODUCTOS[[#This Row],[SALIDAS ]]</f>
        <v/>
      </c>
      <c r="I427" s="76" t="n">
        <v>0</v>
      </c>
      <c r="J427">
        <f>IF(PRODUCTOS[[#This Row],[STOCK]]&lt;0,"NEGATIVO",IF(PRODUCTOS[[#This Row],[STOCK]]=0,"SIN STOCK",IF(PRODUCTOS[[#This Row],[STOCK]]&lt;=PRODUCTOS[[#This Row],[STOCK MÍN.]],"BAJO","OK")))</f>
        <v/>
      </c>
      <c r="K4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28" hidden="1" s="11">
      <c r="A428" s="18" t="n">
        <v>413</v>
      </c>
      <c r="B428" s="56" t="inlineStr">
        <is>
          <t>00028-REF</t>
        </is>
      </c>
      <c r="C428" s="56">
        <f>IFERROR(_xlfn.XLOOKUP(PRODUCTOS[[#This Row],[CODIGO]],LISTADO[CODIGOS],LISTADO[CATEGORIA]),"NO EXISTE")</f>
        <v/>
      </c>
      <c r="D428" s="56">
        <f>IFERROR(_xlfn.XLOOKUP(PRODUCTOS[[#This Row],[CODIGO]],LISTADO[CODIGOS],LISTADO[PRODUCTOS]),"NO EXISTE")</f>
        <v/>
      </c>
      <c r="E428" s="56">
        <f>IFERROR(_xlfn.XLOOKUP(PRODUCTOS[[#This Row],[CODIGO]],LISTADO[CODIGOS],LISTADO[UBICACIÓN]),"NO EXISTE")</f>
        <v/>
      </c>
      <c r="F428" s="56">
        <f>SUMIFS(ENTRADAS[CANTIDAD],ENTRADAS[CODIGO],PRODUCTOS[[#This Row],[CODIGO]])</f>
        <v/>
      </c>
      <c r="G428" s="56">
        <f>SUMIFS(SALIDAS[CANTIDAD],SALIDAS[CODIGO],PRODUCTOS[[#This Row],[CODIGO]])</f>
        <v/>
      </c>
      <c r="H428" s="56">
        <f>PRODUCTOS[[#This Row],[ENTRADAS]]-PRODUCTOS[[#This Row],[SALIDAS ]]</f>
        <v/>
      </c>
      <c r="I428" s="76" t="n">
        <v>0</v>
      </c>
      <c r="J428">
        <f>IF(PRODUCTOS[[#This Row],[STOCK]]&lt;0,"NEGATIVO",IF(PRODUCTOS[[#This Row],[STOCK]]=0,"SIN STOCK",IF(PRODUCTOS[[#This Row],[STOCK]]&lt;=PRODUCTOS[[#This Row],[STOCK MÍN.]],"BAJO","OK")))</f>
        <v/>
      </c>
      <c r="K4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29" hidden="1" s="11">
      <c r="A429" s="18" t="n">
        <v>414</v>
      </c>
      <c r="B429" s="56" t="inlineStr">
        <is>
          <t>00029-REF</t>
        </is>
      </c>
      <c r="C429" s="56">
        <f>IFERROR(_xlfn.XLOOKUP(PRODUCTOS[[#This Row],[CODIGO]],LISTADO[CODIGOS],LISTADO[CATEGORIA]),"NO EXISTE")</f>
        <v/>
      </c>
      <c r="D429" s="56">
        <f>IFERROR(_xlfn.XLOOKUP(PRODUCTOS[[#This Row],[CODIGO]],LISTADO[CODIGOS],LISTADO[PRODUCTOS]),"NO EXISTE")</f>
        <v/>
      </c>
      <c r="E429" s="56">
        <f>IFERROR(_xlfn.XLOOKUP(PRODUCTOS[[#This Row],[CODIGO]],LISTADO[CODIGOS],LISTADO[UBICACIÓN]),"NO EXISTE")</f>
        <v/>
      </c>
      <c r="F429" s="56">
        <f>SUMIFS(ENTRADAS[CANTIDAD],ENTRADAS[CODIGO],PRODUCTOS[[#This Row],[CODIGO]])</f>
        <v/>
      </c>
      <c r="G429" s="56">
        <f>SUMIFS(SALIDAS[CANTIDAD],SALIDAS[CODIGO],PRODUCTOS[[#This Row],[CODIGO]])</f>
        <v/>
      </c>
      <c r="H429" s="56">
        <f>PRODUCTOS[[#This Row],[ENTRADAS]]-PRODUCTOS[[#This Row],[SALIDAS ]]</f>
        <v/>
      </c>
      <c r="I429" s="76" t="n">
        <v>0</v>
      </c>
      <c r="J429">
        <f>IF(PRODUCTOS[[#This Row],[STOCK]]&lt;0,"NEGATIVO",IF(PRODUCTOS[[#This Row],[STOCK]]=0,"SIN STOCK",IF(PRODUCTOS[[#This Row],[STOCK]]&lt;=PRODUCTOS[[#This Row],[STOCK MÍN.]],"BAJO","OK")))</f>
        <v/>
      </c>
      <c r="K4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30" hidden="1" s="11">
      <c r="A430" s="18" t="n">
        <v>415</v>
      </c>
      <c r="B430" s="56" t="inlineStr">
        <is>
          <t>00030-REF</t>
        </is>
      </c>
      <c r="C430" s="56">
        <f>IFERROR(_xlfn.XLOOKUP(PRODUCTOS[[#This Row],[CODIGO]],LISTADO[CODIGOS],LISTADO[CATEGORIA]),"NO EXISTE")</f>
        <v/>
      </c>
      <c r="D430" s="56">
        <f>IFERROR(_xlfn.XLOOKUP(PRODUCTOS[[#This Row],[CODIGO]],LISTADO[CODIGOS],LISTADO[PRODUCTOS]),"NO EXISTE")</f>
        <v/>
      </c>
      <c r="E430" s="56">
        <f>IFERROR(_xlfn.XLOOKUP(PRODUCTOS[[#This Row],[CODIGO]],LISTADO[CODIGOS],LISTADO[UBICACIÓN]),"NO EXISTE")</f>
        <v/>
      </c>
      <c r="F430" s="56">
        <f>SUMIFS(ENTRADAS[CANTIDAD],ENTRADAS[CODIGO],PRODUCTOS[[#This Row],[CODIGO]])</f>
        <v/>
      </c>
      <c r="G430" s="56">
        <f>SUMIFS(SALIDAS[CANTIDAD],SALIDAS[CODIGO],PRODUCTOS[[#This Row],[CODIGO]])</f>
        <v/>
      </c>
      <c r="H430" s="56">
        <f>PRODUCTOS[[#This Row],[ENTRADAS]]-PRODUCTOS[[#This Row],[SALIDAS ]]</f>
        <v/>
      </c>
      <c r="I430" s="76" t="n">
        <v>0</v>
      </c>
      <c r="J430">
        <f>IF(PRODUCTOS[[#This Row],[STOCK]]&lt;0,"NEGATIVO",IF(PRODUCTOS[[#This Row],[STOCK]]=0,"SIN STOCK",IF(PRODUCTOS[[#This Row],[STOCK]]&lt;=PRODUCTOS[[#This Row],[STOCK MÍN.]],"BAJO","OK")))</f>
        <v/>
      </c>
      <c r="K4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31" hidden="1" s="11">
      <c r="A431" s="18" t="n">
        <v>416</v>
      </c>
      <c r="B431" s="56" t="inlineStr">
        <is>
          <t>00031-REF</t>
        </is>
      </c>
      <c r="C431" s="56">
        <f>IFERROR(_xlfn.XLOOKUP(PRODUCTOS[[#This Row],[CODIGO]],LISTADO[CODIGOS],LISTADO[CATEGORIA]),"NO EXISTE")</f>
        <v/>
      </c>
      <c r="D431" s="56">
        <f>IFERROR(_xlfn.XLOOKUP(PRODUCTOS[[#This Row],[CODIGO]],LISTADO[CODIGOS],LISTADO[PRODUCTOS]),"NO EXISTE")</f>
        <v/>
      </c>
      <c r="E431" s="56">
        <f>IFERROR(_xlfn.XLOOKUP(PRODUCTOS[[#This Row],[CODIGO]],LISTADO[CODIGOS],LISTADO[UBICACIÓN]),"NO EXISTE")</f>
        <v/>
      </c>
      <c r="F431" s="56">
        <f>SUMIFS(ENTRADAS[CANTIDAD],ENTRADAS[CODIGO],PRODUCTOS[[#This Row],[CODIGO]])</f>
        <v/>
      </c>
      <c r="G431" s="56">
        <f>SUMIFS(SALIDAS[CANTIDAD],SALIDAS[CODIGO],PRODUCTOS[[#This Row],[CODIGO]])</f>
        <v/>
      </c>
      <c r="H431" s="56">
        <f>PRODUCTOS[[#This Row],[ENTRADAS]]-PRODUCTOS[[#This Row],[SALIDAS ]]</f>
        <v/>
      </c>
      <c r="I431" s="76" t="n">
        <v>0</v>
      </c>
      <c r="J431">
        <f>IF(PRODUCTOS[[#This Row],[STOCK]]&lt;0,"NEGATIVO",IF(PRODUCTOS[[#This Row],[STOCK]]=0,"SIN STOCK",IF(PRODUCTOS[[#This Row],[STOCK]]&lt;=PRODUCTOS[[#This Row],[STOCK MÍN.]],"BAJO","OK")))</f>
        <v/>
      </c>
      <c r="K4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32" hidden="1" s="11">
      <c r="A432" s="18" t="n">
        <v>417</v>
      </c>
      <c r="B432" s="56" t="inlineStr">
        <is>
          <t>00032-REF</t>
        </is>
      </c>
      <c r="C432" s="56">
        <f>IFERROR(_xlfn.XLOOKUP(PRODUCTOS[[#This Row],[CODIGO]],LISTADO[CODIGOS],LISTADO[CATEGORIA]),"NO EXISTE")</f>
        <v/>
      </c>
      <c r="D432" s="56">
        <f>IFERROR(_xlfn.XLOOKUP(PRODUCTOS[[#This Row],[CODIGO]],LISTADO[CODIGOS],LISTADO[PRODUCTOS]),"NO EXISTE")</f>
        <v/>
      </c>
      <c r="E432" s="56">
        <f>IFERROR(_xlfn.XLOOKUP(PRODUCTOS[[#This Row],[CODIGO]],LISTADO[CODIGOS],LISTADO[UBICACIÓN]),"NO EXISTE")</f>
        <v/>
      </c>
      <c r="F432" s="56">
        <f>SUMIFS(ENTRADAS[CANTIDAD],ENTRADAS[CODIGO],PRODUCTOS[[#This Row],[CODIGO]])</f>
        <v/>
      </c>
      <c r="G432" s="56">
        <f>SUMIFS(SALIDAS[CANTIDAD],SALIDAS[CODIGO],PRODUCTOS[[#This Row],[CODIGO]])</f>
        <v/>
      </c>
      <c r="H432" s="56">
        <f>PRODUCTOS[[#This Row],[ENTRADAS]]-PRODUCTOS[[#This Row],[SALIDAS ]]</f>
        <v/>
      </c>
      <c r="I432" s="76" t="n">
        <v>0</v>
      </c>
      <c r="J432">
        <f>IF(PRODUCTOS[[#This Row],[STOCK]]&lt;0,"NEGATIVO",IF(PRODUCTOS[[#This Row],[STOCK]]=0,"SIN STOCK",IF(PRODUCTOS[[#This Row],[STOCK]]&lt;=PRODUCTOS[[#This Row],[STOCK MÍN.]],"BAJO","OK")))</f>
        <v/>
      </c>
      <c r="K4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33" hidden="1" s="11">
      <c r="A433" s="18" t="n">
        <v>418</v>
      </c>
      <c r="B433" s="56" t="inlineStr">
        <is>
          <t>00033-REF</t>
        </is>
      </c>
      <c r="C433" s="56">
        <f>IFERROR(_xlfn.XLOOKUP(PRODUCTOS[[#This Row],[CODIGO]],LISTADO[CODIGOS],LISTADO[CATEGORIA]),"NO EXISTE")</f>
        <v/>
      </c>
      <c r="D433" s="56">
        <f>IFERROR(_xlfn.XLOOKUP(PRODUCTOS[[#This Row],[CODIGO]],LISTADO[CODIGOS],LISTADO[PRODUCTOS]),"NO EXISTE")</f>
        <v/>
      </c>
      <c r="E433" s="56">
        <f>IFERROR(_xlfn.XLOOKUP(PRODUCTOS[[#This Row],[CODIGO]],LISTADO[CODIGOS],LISTADO[UBICACIÓN]),"NO EXISTE")</f>
        <v/>
      </c>
      <c r="F433" s="56">
        <f>SUMIFS(ENTRADAS[CANTIDAD],ENTRADAS[CODIGO],PRODUCTOS[[#This Row],[CODIGO]])</f>
        <v/>
      </c>
      <c r="G433" s="56">
        <f>SUMIFS(SALIDAS[CANTIDAD],SALIDAS[CODIGO],PRODUCTOS[[#This Row],[CODIGO]])</f>
        <v/>
      </c>
      <c r="H433" s="56">
        <f>PRODUCTOS[[#This Row],[ENTRADAS]]-PRODUCTOS[[#This Row],[SALIDAS ]]</f>
        <v/>
      </c>
      <c r="I433" s="76" t="n">
        <v>0</v>
      </c>
      <c r="J433">
        <f>IF(PRODUCTOS[[#This Row],[STOCK]]&lt;0,"NEGATIVO",IF(PRODUCTOS[[#This Row],[STOCK]]=0,"SIN STOCK",IF(PRODUCTOS[[#This Row],[STOCK]]&lt;=PRODUCTOS[[#This Row],[STOCK MÍN.]],"BAJO","OK")))</f>
        <v/>
      </c>
      <c r="K4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34" hidden="1" s="11">
      <c r="A434" s="18" t="n">
        <v>419</v>
      </c>
      <c r="B434" s="56" t="inlineStr">
        <is>
          <t>00034-REF</t>
        </is>
      </c>
      <c r="C434" s="56">
        <f>IFERROR(_xlfn.XLOOKUP(PRODUCTOS[[#This Row],[CODIGO]],LISTADO[CODIGOS],LISTADO[CATEGORIA]),"NO EXISTE")</f>
        <v/>
      </c>
      <c r="D434" s="56">
        <f>IFERROR(_xlfn.XLOOKUP(PRODUCTOS[[#This Row],[CODIGO]],LISTADO[CODIGOS],LISTADO[PRODUCTOS]),"NO EXISTE")</f>
        <v/>
      </c>
      <c r="E434" s="56">
        <f>IFERROR(_xlfn.XLOOKUP(PRODUCTOS[[#This Row],[CODIGO]],LISTADO[CODIGOS],LISTADO[UBICACIÓN]),"NO EXISTE")</f>
        <v/>
      </c>
      <c r="F434" s="56">
        <f>SUMIFS(ENTRADAS[CANTIDAD],ENTRADAS[CODIGO],PRODUCTOS[[#This Row],[CODIGO]])</f>
        <v/>
      </c>
      <c r="G434" s="56">
        <f>SUMIFS(SALIDAS[CANTIDAD],SALIDAS[CODIGO],PRODUCTOS[[#This Row],[CODIGO]])</f>
        <v/>
      </c>
      <c r="H434" s="56">
        <f>PRODUCTOS[[#This Row],[ENTRADAS]]-PRODUCTOS[[#This Row],[SALIDAS ]]</f>
        <v/>
      </c>
      <c r="I434" s="76" t="n">
        <v>0</v>
      </c>
      <c r="J434">
        <f>IF(PRODUCTOS[[#This Row],[STOCK]]&lt;0,"NEGATIVO",IF(PRODUCTOS[[#This Row],[STOCK]]=0,"SIN STOCK",IF(PRODUCTOS[[#This Row],[STOCK]]&lt;=PRODUCTOS[[#This Row],[STOCK MÍN.]],"BAJO","OK")))</f>
        <v/>
      </c>
      <c r="K4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35" hidden="1" s="11">
      <c r="A435" s="18" t="n">
        <v>420</v>
      </c>
      <c r="B435" s="56" t="inlineStr">
        <is>
          <t>00035-REF</t>
        </is>
      </c>
      <c r="C435" s="56">
        <f>IFERROR(_xlfn.XLOOKUP(PRODUCTOS[[#This Row],[CODIGO]],LISTADO[CODIGOS],LISTADO[CATEGORIA]),"NO EXISTE")</f>
        <v/>
      </c>
      <c r="D435" s="56">
        <f>IFERROR(_xlfn.XLOOKUP(PRODUCTOS[[#This Row],[CODIGO]],LISTADO[CODIGOS],LISTADO[PRODUCTOS]),"NO EXISTE")</f>
        <v/>
      </c>
      <c r="E435" s="56">
        <f>IFERROR(_xlfn.XLOOKUP(PRODUCTOS[[#This Row],[CODIGO]],LISTADO[CODIGOS],LISTADO[UBICACIÓN]),"NO EXISTE")</f>
        <v/>
      </c>
      <c r="F435" s="56">
        <f>SUMIFS(ENTRADAS[CANTIDAD],ENTRADAS[CODIGO],PRODUCTOS[[#This Row],[CODIGO]])</f>
        <v/>
      </c>
      <c r="G435" s="56">
        <f>SUMIFS(SALIDAS[CANTIDAD],SALIDAS[CODIGO],PRODUCTOS[[#This Row],[CODIGO]])</f>
        <v/>
      </c>
      <c r="H435" s="56">
        <f>PRODUCTOS[[#This Row],[ENTRADAS]]-PRODUCTOS[[#This Row],[SALIDAS ]]</f>
        <v/>
      </c>
      <c r="I435" s="76" t="n">
        <v>0</v>
      </c>
      <c r="J435">
        <f>IF(PRODUCTOS[[#This Row],[STOCK]]&lt;0,"NEGATIVO",IF(PRODUCTOS[[#This Row],[STOCK]]=0,"SIN STOCK",IF(PRODUCTOS[[#This Row],[STOCK]]&lt;=PRODUCTOS[[#This Row],[STOCK MÍN.]],"BAJO","OK")))</f>
        <v/>
      </c>
      <c r="K4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36" hidden="1" s="11">
      <c r="A436" s="18" t="n">
        <v>421</v>
      </c>
      <c r="B436" s="56" t="inlineStr">
        <is>
          <t>00036-REF</t>
        </is>
      </c>
      <c r="C436" s="56">
        <f>IFERROR(_xlfn.XLOOKUP(PRODUCTOS[[#This Row],[CODIGO]],LISTADO[CODIGOS],LISTADO[CATEGORIA]),"NO EXISTE")</f>
        <v/>
      </c>
      <c r="D436" s="56">
        <f>IFERROR(_xlfn.XLOOKUP(PRODUCTOS[[#This Row],[CODIGO]],LISTADO[CODIGOS],LISTADO[PRODUCTOS]),"NO EXISTE")</f>
        <v/>
      </c>
      <c r="E436" s="56">
        <f>IFERROR(_xlfn.XLOOKUP(PRODUCTOS[[#This Row],[CODIGO]],LISTADO[CODIGOS],LISTADO[UBICACIÓN]),"NO EXISTE")</f>
        <v/>
      </c>
      <c r="F436" s="56">
        <f>SUMIFS(ENTRADAS[CANTIDAD],ENTRADAS[CODIGO],PRODUCTOS[[#This Row],[CODIGO]])</f>
        <v/>
      </c>
      <c r="G436" s="56">
        <f>SUMIFS(SALIDAS[CANTIDAD],SALIDAS[CODIGO],PRODUCTOS[[#This Row],[CODIGO]])</f>
        <v/>
      </c>
      <c r="H436" s="56">
        <f>PRODUCTOS[[#This Row],[ENTRADAS]]-PRODUCTOS[[#This Row],[SALIDAS ]]</f>
        <v/>
      </c>
      <c r="I436" s="76" t="n">
        <v>0</v>
      </c>
      <c r="J436">
        <f>IF(PRODUCTOS[[#This Row],[STOCK]]&lt;0,"NEGATIVO",IF(PRODUCTOS[[#This Row],[STOCK]]=0,"SIN STOCK",IF(PRODUCTOS[[#This Row],[STOCK]]&lt;=PRODUCTOS[[#This Row],[STOCK MÍN.]],"BAJO","OK")))</f>
        <v/>
      </c>
      <c r="K4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37" hidden="1" s="11">
      <c r="A437" s="18" t="n">
        <v>422</v>
      </c>
      <c r="B437" s="56" t="inlineStr">
        <is>
          <t>00037-REF</t>
        </is>
      </c>
      <c r="C437" s="56">
        <f>IFERROR(_xlfn.XLOOKUP(PRODUCTOS[[#This Row],[CODIGO]],LISTADO[CODIGOS],LISTADO[CATEGORIA]),"NO EXISTE")</f>
        <v/>
      </c>
      <c r="D437" s="56">
        <f>IFERROR(_xlfn.XLOOKUP(PRODUCTOS[[#This Row],[CODIGO]],LISTADO[CODIGOS],LISTADO[PRODUCTOS]),"NO EXISTE")</f>
        <v/>
      </c>
      <c r="E437" s="56">
        <f>IFERROR(_xlfn.XLOOKUP(PRODUCTOS[[#This Row],[CODIGO]],LISTADO[CODIGOS],LISTADO[UBICACIÓN]),"NO EXISTE")</f>
        <v/>
      </c>
      <c r="F437" s="56">
        <f>SUMIFS(ENTRADAS[CANTIDAD],ENTRADAS[CODIGO],PRODUCTOS[[#This Row],[CODIGO]])</f>
        <v/>
      </c>
      <c r="G437" s="56">
        <f>SUMIFS(SALIDAS[CANTIDAD],SALIDAS[CODIGO],PRODUCTOS[[#This Row],[CODIGO]])</f>
        <v/>
      </c>
      <c r="H437" s="56">
        <f>PRODUCTOS[[#This Row],[ENTRADAS]]-PRODUCTOS[[#This Row],[SALIDAS ]]</f>
        <v/>
      </c>
      <c r="I437" s="76" t="n">
        <v>0</v>
      </c>
      <c r="J437">
        <f>IF(PRODUCTOS[[#This Row],[STOCK]]&lt;0,"NEGATIVO",IF(PRODUCTOS[[#This Row],[STOCK]]=0,"SIN STOCK",IF(PRODUCTOS[[#This Row],[STOCK]]&lt;=PRODUCTOS[[#This Row],[STOCK MÍN.]],"BAJO","OK")))</f>
        <v/>
      </c>
      <c r="K4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38" hidden="1" s="11">
      <c r="A438" s="18" t="n">
        <v>655</v>
      </c>
      <c r="B438" s="56" t="inlineStr">
        <is>
          <t>00038-REF</t>
        </is>
      </c>
      <c r="C438" s="56">
        <f>IFERROR(_xlfn.XLOOKUP(PRODUCTOS[[#This Row],[CODIGO]],LISTADO[CODIGOS],LISTADO[CATEGORIA]),"NO EXISTE")</f>
        <v/>
      </c>
      <c r="D438" s="56">
        <f>IFERROR(_xlfn.XLOOKUP(PRODUCTOS[[#This Row],[CODIGO]],LISTADO[CODIGOS],LISTADO[PRODUCTOS]),"NO EXISTE")</f>
        <v/>
      </c>
      <c r="E438" s="56">
        <f>IFERROR(_xlfn.XLOOKUP(PRODUCTOS[[#This Row],[CODIGO]],LISTADO[CODIGOS],LISTADO[UBICACIÓN]),"NO EXISTE")</f>
        <v/>
      </c>
      <c r="F438" s="56">
        <f>SUMIFS(ENTRADAS[CANTIDAD],ENTRADAS[CODIGO],PRODUCTOS[[#This Row],[CODIGO]])</f>
        <v/>
      </c>
      <c r="G438" s="56">
        <f>SUMIFS(SALIDAS[CANTIDAD],SALIDAS[CODIGO],PRODUCTOS[[#This Row],[CODIGO]])</f>
        <v/>
      </c>
      <c r="H438" s="56">
        <f>PRODUCTOS[[#This Row],[ENTRADAS]]-PRODUCTOS[[#This Row],[SALIDAS ]]</f>
        <v/>
      </c>
      <c r="I438" s="76" t="n">
        <v>0</v>
      </c>
      <c r="J438">
        <f>IF(PRODUCTOS[[#This Row],[STOCK]]&lt;0,"NEGATIVO",IF(PRODUCTOS[[#This Row],[STOCK]]=0,"SIN STOCK",IF(PRODUCTOS[[#This Row],[STOCK]]&lt;=PRODUCTOS[[#This Row],[STOCK MÍN.]],"BAJO","OK")))</f>
        <v/>
      </c>
      <c r="K4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39" hidden="1" s="11">
      <c r="A439" s="18" t="n">
        <v>189</v>
      </c>
      <c r="B439" s="56" t="inlineStr">
        <is>
          <t>00039-REF</t>
        </is>
      </c>
      <c r="C439" s="56">
        <f>IFERROR(_xlfn.XLOOKUP(PRODUCTOS[[#This Row],[CODIGO]],LISTADO[CODIGOS],LISTADO[CATEGORIA]),"NO EXISTE")</f>
        <v/>
      </c>
      <c r="D439" s="56">
        <f>IFERROR(_xlfn.XLOOKUP(PRODUCTOS[[#This Row],[CODIGO]],LISTADO[CODIGOS],LISTADO[PRODUCTOS]),"NO EXISTE")</f>
        <v/>
      </c>
      <c r="E439" s="56">
        <f>IFERROR(_xlfn.XLOOKUP(PRODUCTOS[[#This Row],[CODIGO]],LISTADO[CODIGOS],LISTADO[UBICACIÓN]),"NO EXISTE")</f>
        <v/>
      </c>
      <c r="F439" s="56">
        <f>SUMIFS(ENTRADAS[CANTIDAD],ENTRADAS[CODIGO],PRODUCTOS[[#This Row],[CODIGO]])</f>
        <v/>
      </c>
      <c r="G439" s="56">
        <f>SUMIFS(SALIDAS[CANTIDAD],SALIDAS[CODIGO],PRODUCTOS[[#This Row],[CODIGO]])</f>
        <v/>
      </c>
      <c r="H439" s="56">
        <f>PRODUCTOS[[#This Row],[ENTRADAS]]-PRODUCTOS[[#This Row],[SALIDAS ]]</f>
        <v/>
      </c>
      <c r="I439" s="76" t="n">
        <v>0</v>
      </c>
      <c r="J439">
        <f>IF(PRODUCTOS[[#This Row],[STOCK]]&lt;0,"NEGATIVO",IF(PRODUCTOS[[#This Row],[STOCK]]=0,"SIN STOCK",IF(PRODUCTOS[[#This Row],[STOCK]]&lt;=PRODUCTOS[[#This Row],[STOCK MÍN.]],"BAJO","OK")))</f>
        <v/>
      </c>
      <c r="K4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40" hidden="1" s="11">
      <c r="A440" s="18" t="n">
        <v>860</v>
      </c>
      <c r="B440" s="56" t="inlineStr">
        <is>
          <t>00040-REF</t>
        </is>
      </c>
      <c r="C440" s="56">
        <f>IFERROR(_xlfn.XLOOKUP(PRODUCTOS[[#This Row],[CODIGO]],LISTADO[CODIGOS],LISTADO[CATEGORIA]),"NO EXISTE")</f>
        <v/>
      </c>
      <c r="D440" s="56">
        <f>IFERROR(_xlfn.XLOOKUP(PRODUCTOS[[#This Row],[CODIGO]],LISTADO[CODIGOS],LISTADO[PRODUCTOS]),"NO EXISTE")</f>
        <v/>
      </c>
      <c r="E440" s="56">
        <f>IFERROR(_xlfn.XLOOKUP(PRODUCTOS[[#This Row],[CODIGO]],LISTADO[CODIGOS],LISTADO[UBICACIÓN]),"NO EXISTE")</f>
        <v/>
      </c>
      <c r="F440" s="56">
        <f>SUMIFS(ENTRADAS[CANTIDAD],ENTRADAS[CODIGO],PRODUCTOS[[#This Row],[CODIGO]])</f>
        <v/>
      </c>
      <c r="G440" s="56">
        <f>SUMIFS(SALIDAS[CANTIDAD],SALIDAS[CODIGO],PRODUCTOS[[#This Row],[CODIGO]])</f>
        <v/>
      </c>
      <c r="H440" s="56">
        <f>PRODUCTOS[[#This Row],[ENTRADAS]]-PRODUCTOS[[#This Row],[SALIDAS ]]</f>
        <v/>
      </c>
      <c r="I440" s="76" t="n">
        <v>0</v>
      </c>
      <c r="J440">
        <f>IF(PRODUCTOS[[#This Row],[STOCK]]&lt;0,"NEGATIVO",IF(PRODUCTOS[[#This Row],[STOCK]]=0,"SIN STOCK",IF(PRODUCTOS[[#This Row],[STOCK]]&lt;=PRODUCTOS[[#This Row],[STOCK MÍN.]],"BAJO","OK")))</f>
        <v/>
      </c>
      <c r="K4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41" hidden="1" s="11">
      <c r="A441" s="18" t="n">
        <v>819</v>
      </c>
      <c r="B441" s="56" t="inlineStr">
        <is>
          <t>00041-REF</t>
        </is>
      </c>
      <c r="C441" s="56">
        <f>IFERROR(_xlfn.XLOOKUP(PRODUCTOS[[#This Row],[CODIGO]],LISTADO[CODIGOS],LISTADO[CATEGORIA]),"NO EXISTE")</f>
        <v/>
      </c>
      <c r="D441" s="56">
        <f>IFERROR(_xlfn.XLOOKUP(PRODUCTOS[[#This Row],[CODIGO]],LISTADO[CODIGOS],LISTADO[PRODUCTOS]),"NO EXISTE")</f>
        <v/>
      </c>
      <c r="E441" s="56">
        <f>IFERROR(_xlfn.XLOOKUP(PRODUCTOS[[#This Row],[CODIGO]],LISTADO[CODIGOS],LISTADO[UBICACIÓN]),"NO EXISTE")</f>
        <v/>
      </c>
      <c r="F441" s="56">
        <f>SUMIFS(ENTRADAS[CANTIDAD],ENTRADAS[CODIGO],PRODUCTOS[[#This Row],[CODIGO]])</f>
        <v/>
      </c>
      <c r="G441" s="56">
        <f>SUMIFS(SALIDAS[CANTIDAD],SALIDAS[CODIGO],PRODUCTOS[[#This Row],[CODIGO]])</f>
        <v/>
      </c>
      <c r="H441" s="56">
        <f>PRODUCTOS[[#This Row],[ENTRADAS]]-PRODUCTOS[[#This Row],[SALIDAS ]]</f>
        <v/>
      </c>
      <c r="I441" s="76" t="n">
        <v>0</v>
      </c>
      <c r="J441">
        <f>IF(PRODUCTOS[[#This Row],[STOCK]]&lt;0,"NEGATIVO",IF(PRODUCTOS[[#This Row],[STOCK]]=0,"SIN STOCK",IF(PRODUCTOS[[#This Row],[STOCK]]&lt;=PRODUCTOS[[#This Row],[STOCK MÍN.]],"BAJO","OK")))</f>
        <v/>
      </c>
      <c r="K4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42" hidden="1" s="11">
      <c r="A442" s="18" t="n">
        <v>423</v>
      </c>
      <c r="B442" s="56" t="inlineStr">
        <is>
          <t>00042-REF</t>
        </is>
      </c>
      <c r="C442" s="56">
        <f>IFERROR(_xlfn.XLOOKUP(PRODUCTOS[[#This Row],[CODIGO]],LISTADO[CODIGOS],LISTADO[CATEGORIA]),"NO EXISTE")</f>
        <v/>
      </c>
      <c r="D442" s="56">
        <f>IFERROR(_xlfn.XLOOKUP(PRODUCTOS[[#This Row],[CODIGO]],LISTADO[CODIGOS],LISTADO[PRODUCTOS]),"NO EXISTE")</f>
        <v/>
      </c>
      <c r="E442" s="56">
        <f>IFERROR(_xlfn.XLOOKUP(PRODUCTOS[[#This Row],[CODIGO]],LISTADO[CODIGOS],LISTADO[UBICACIÓN]),"NO EXISTE")</f>
        <v/>
      </c>
      <c r="F442" s="56">
        <f>SUMIFS(ENTRADAS[CANTIDAD],ENTRADAS[CODIGO],PRODUCTOS[[#This Row],[CODIGO]])</f>
        <v/>
      </c>
      <c r="G442" s="56">
        <f>SUMIFS(SALIDAS[CANTIDAD],SALIDAS[CODIGO],PRODUCTOS[[#This Row],[CODIGO]])</f>
        <v/>
      </c>
      <c r="H442" s="56">
        <f>PRODUCTOS[[#This Row],[ENTRADAS]]-PRODUCTOS[[#This Row],[SALIDAS ]]</f>
        <v/>
      </c>
      <c r="I442" s="76" t="n">
        <v>0</v>
      </c>
      <c r="J442">
        <f>IF(PRODUCTOS[[#This Row],[STOCK]]&lt;0,"NEGATIVO",IF(PRODUCTOS[[#This Row],[STOCK]]=0,"SIN STOCK",IF(PRODUCTOS[[#This Row],[STOCK]]&lt;=PRODUCTOS[[#This Row],[STOCK MÍN.]],"BAJO","OK")))</f>
        <v/>
      </c>
      <c r="K4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43" hidden="1" s="11">
      <c r="A443" s="18" t="n">
        <v>432</v>
      </c>
      <c r="B443" s="56" t="inlineStr">
        <is>
          <t>00043-REF</t>
        </is>
      </c>
      <c r="C443" s="56">
        <f>IFERROR(_xlfn.XLOOKUP(PRODUCTOS[[#This Row],[CODIGO]],LISTADO[CODIGOS],LISTADO[CATEGORIA]),"NO EXISTE")</f>
        <v/>
      </c>
      <c r="D443" s="56">
        <f>IFERROR(_xlfn.XLOOKUP(PRODUCTOS[[#This Row],[CODIGO]],LISTADO[CODIGOS],LISTADO[PRODUCTOS]),"NO EXISTE")</f>
        <v/>
      </c>
      <c r="E443" s="56">
        <f>IFERROR(_xlfn.XLOOKUP(PRODUCTOS[[#This Row],[CODIGO]],LISTADO[CODIGOS],LISTADO[UBICACIÓN]),"NO EXISTE")</f>
        <v/>
      </c>
      <c r="F443" s="56">
        <f>SUMIFS(ENTRADAS[CANTIDAD],ENTRADAS[CODIGO],PRODUCTOS[[#This Row],[CODIGO]])</f>
        <v/>
      </c>
      <c r="G443" s="56">
        <f>SUMIFS(SALIDAS[CANTIDAD],SALIDAS[CODIGO],PRODUCTOS[[#This Row],[CODIGO]])</f>
        <v/>
      </c>
      <c r="H443" s="56">
        <f>PRODUCTOS[[#This Row],[ENTRADAS]]-PRODUCTOS[[#This Row],[SALIDAS ]]</f>
        <v/>
      </c>
      <c r="I443" s="76" t="n">
        <v>0</v>
      </c>
      <c r="J443">
        <f>IF(PRODUCTOS[[#This Row],[STOCK]]&lt;0,"NEGATIVO",IF(PRODUCTOS[[#This Row],[STOCK]]=0,"SIN STOCK",IF(PRODUCTOS[[#This Row],[STOCK]]&lt;=PRODUCTOS[[#This Row],[STOCK MÍN.]],"BAJO","OK")))</f>
        <v/>
      </c>
      <c r="K4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44">
      <c r="A444" s="18" t="n">
        <v>427</v>
      </c>
      <c r="B444" s="56" t="inlineStr">
        <is>
          <t>00044-REF</t>
        </is>
      </c>
      <c r="C444" s="56">
        <f>IFERROR(_xlfn.XLOOKUP(PRODUCTOS[[#This Row],[CODIGO]],LISTADO[CODIGOS],LISTADO[CATEGORIA]),"NO EXISTE")</f>
        <v/>
      </c>
      <c r="D444" s="56">
        <f>IFERROR(_xlfn.XLOOKUP(PRODUCTOS[[#This Row],[CODIGO]],LISTADO[CODIGOS],LISTADO[PRODUCTOS]),"NO EXISTE")</f>
        <v/>
      </c>
      <c r="E444" s="56">
        <f>IFERROR(_xlfn.XLOOKUP(PRODUCTOS[[#This Row],[CODIGO]],LISTADO[CODIGOS],LISTADO[UBICACIÓN]),"NO EXISTE")</f>
        <v/>
      </c>
      <c r="F444" s="56">
        <f>SUMIFS(ENTRADAS[CANTIDAD],ENTRADAS[CODIGO],PRODUCTOS[[#This Row],[CODIGO]])</f>
        <v/>
      </c>
      <c r="G444" s="56">
        <f>SUMIFS(SALIDAS[CANTIDAD],SALIDAS[CODIGO],PRODUCTOS[[#This Row],[CODIGO]])</f>
        <v/>
      </c>
      <c r="H444" s="56">
        <f>PRODUCTOS[[#This Row],[ENTRADAS]]-PRODUCTOS[[#This Row],[SALIDAS ]]</f>
        <v/>
      </c>
      <c r="I444" s="76" t="n">
        <v>0</v>
      </c>
      <c r="J444">
        <f>IF(PRODUCTOS[[#This Row],[STOCK]]&lt;0,"NEGATIVO",IF(PRODUCTOS[[#This Row],[STOCK]]=0,"SIN STOCK",IF(PRODUCTOS[[#This Row],[STOCK]]&lt;=PRODUCTOS[[#This Row],[STOCK MÍN.]],"BAJO","OK")))</f>
        <v/>
      </c>
      <c r="K4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45" hidden="1" s="11">
      <c r="A445" s="18" t="n">
        <v>433</v>
      </c>
      <c r="B445" s="56" t="inlineStr">
        <is>
          <t>00045-REF</t>
        </is>
      </c>
      <c r="C445" s="56">
        <f>IFERROR(_xlfn.XLOOKUP(PRODUCTOS[[#This Row],[CODIGO]],LISTADO[CODIGOS],LISTADO[CATEGORIA]),"NO EXISTE")</f>
        <v/>
      </c>
      <c r="D445" s="56">
        <f>IFERROR(_xlfn.XLOOKUP(PRODUCTOS[[#This Row],[CODIGO]],LISTADO[CODIGOS],LISTADO[PRODUCTOS]),"NO EXISTE")</f>
        <v/>
      </c>
      <c r="E445" s="56">
        <f>IFERROR(_xlfn.XLOOKUP(PRODUCTOS[[#This Row],[CODIGO]],LISTADO[CODIGOS],LISTADO[UBICACIÓN]),"NO EXISTE")</f>
        <v/>
      </c>
      <c r="F445" s="56">
        <f>SUMIFS(ENTRADAS[CANTIDAD],ENTRADAS[CODIGO],PRODUCTOS[[#This Row],[CODIGO]])</f>
        <v/>
      </c>
      <c r="G445" s="56">
        <f>SUMIFS(SALIDAS[CANTIDAD],SALIDAS[CODIGO],PRODUCTOS[[#This Row],[CODIGO]])</f>
        <v/>
      </c>
      <c r="H445" s="56">
        <f>PRODUCTOS[[#This Row],[ENTRADAS]]-PRODUCTOS[[#This Row],[SALIDAS ]]</f>
        <v/>
      </c>
      <c r="I445" s="76" t="n">
        <v>0</v>
      </c>
      <c r="J445">
        <f>IF(PRODUCTOS[[#This Row],[STOCK]]&lt;0,"NEGATIVO",IF(PRODUCTOS[[#This Row],[STOCK]]=0,"SIN STOCK",IF(PRODUCTOS[[#This Row],[STOCK]]&lt;=PRODUCTOS[[#This Row],[STOCK MÍN.]],"BAJO","OK")))</f>
        <v/>
      </c>
      <c r="K4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46" hidden="1" s="11">
      <c r="A446" s="18" t="n">
        <v>424</v>
      </c>
      <c r="B446" s="56" t="inlineStr">
        <is>
          <t>00046-REF</t>
        </is>
      </c>
      <c r="C446" s="56">
        <f>IFERROR(_xlfn.XLOOKUP(PRODUCTOS[[#This Row],[CODIGO]],LISTADO[CODIGOS],LISTADO[CATEGORIA]),"NO EXISTE")</f>
        <v/>
      </c>
      <c r="D446" s="56">
        <f>IFERROR(_xlfn.XLOOKUP(PRODUCTOS[[#This Row],[CODIGO]],LISTADO[CODIGOS],LISTADO[PRODUCTOS]),"NO EXISTE")</f>
        <v/>
      </c>
      <c r="E446" s="56">
        <f>IFERROR(_xlfn.XLOOKUP(PRODUCTOS[[#This Row],[CODIGO]],LISTADO[CODIGOS],LISTADO[UBICACIÓN]),"NO EXISTE")</f>
        <v/>
      </c>
      <c r="F446" s="56">
        <f>SUMIFS(ENTRADAS[CANTIDAD],ENTRADAS[CODIGO],PRODUCTOS[[#This Row],[CODIGO]])</f>
        <v/>
      </c>
      <c r="G446" s="56">
        <f>SUMIFS(SALIDAS[CANTIDAD],SALIDAS[CODIGO],PRODUCTOS[[#This Row],[CODIGO]])</f>
        <v/>
      </c>
      <c r="H446" s="56">
        <f>PRODUCTOS[[#This Row],[ENTRADAS]]-PRODUCTOS[[#This Row],[SALIDAS ]]</f>
        <v/>
      </c>
      <c r="I446" s="76" t="n">
        <v>0</v>
      </c>
      <c r="J446">
        <f>IF(PRODUCTOS[[#This Row],[STOCK]]&lt;0,"NEGATIVO",IF(PRODUCTOS[[#This Row],[STOCK]]=0,"SIN STOCK",IF(PRODUCTOS[[#This Row],[STOCK]]&lt;=PRODUCTOS[[#This Row],[STOCK MÍN.]],"BAJO","OK")))</f>
        <v/>
      </c>
      <c r="K4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47">
      <c r="A447" s="18" t="n">
        <v>429</v>
      </c>
      <c r="B447" s="56" t="inlineStr">
        <is>
          <t>00047-REF</t>
        </is>
      </c>
      <c r="C447" s="56">
        <f>IFERROR(_xlfn.XLOOKUP(PRODUCTOS[[#This Row],[CODIGO]],LISTADO[CODIGOS],LISTADO[CATEGORIA]),"NO EXISTE")</f>
        <v/>
      </c>
      <c r="D447" s="56">
        <f>IFERROR(_xlfn.XLOOKUP(PRODUCTOS[[#This Row],[CODIGO]],LISTADO[CODIGOS],LISTADO[PRODUCTOS]),"NO EXISTE")</f>
        <v/>
      </c>
      <c r="E447" s="56">
        <f>IFERROR(_xlfn.XLOOKUP(PRODUCTOS[[#This Row],[CODIGO]],LISTADO[CODIGOS],LISTADO[UBICACIÓN]),"NO EXISTE")</f>
        <v/>
      </c>
      <c r="F447" s="56">
        <f>SUMIFS(ENTRADAS[CANTIDAD],ENTRADAS[CODIGO],PRODUCTOS[[#This Row],[CODIGO]])</f>
        <v/>
      </c>
      <c r="G447" s="56">
        <f>SUMIFS(SALIDAS[CANTIDAD],SALIDAS[CODIGO],PRODUCTOS[[#This Row],[CODIGO]])</f>
        <v/>
      </c>
      <c r="H447" s="56">
        <f>PRODUCTOS[[#This Row],[ENTRADAS]]-PRODUCTOS[[#This Row],[SALIDAS ]]</f>
        <v/>
      </c>
      <c r="I447" s="76" t="n">
        <v>0</v>
      </c>
      <c r="J447">
        <f>IF(PRODUCTOS[[#This Row],[STOCK]]&lt;0,"NEGATIVO",IF(PRODUCTOS[[#This Row],[STOCK]]=0,"SIN STOCK",IF(PRODUCTOS[[#This Row],[STOCK]]&lt;=PRODUCTOS[[#This Row],[STOCK MÍN.]],"BAJO","OK")))</f>
        <v/>
      </c>
      <c r="K4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48" hidden="1" s="11">
      <c r="A448" s="18" t="n">
        <v>430</v>
      </c>
      <c r="B448" s="56" t="inlineStr">
        <is>
          <t>00048-REF</t>
        </is>
      </c>
      <c r="C448" s="56">
        <f>IFERROR(_xlfn.XLOOKUP(PRODUCTOS[[#This Row],[CODIGO]],LISTADO[CODIGOS],LISTADO[CATEGORIA]),"NO EXISTE")</f>
        <v/>
      </c>
      <c r="D448" s="56">
        <f>IFERROR(_xlfn.XLOOKUP(PRODUCTOS[[#This Row],[CODIGO]],LISTADO[CODIGOS],LISTADO[PRODUCTOS]),"NO EXISTE")</f>
        <v/>
      </c>
      <c r="E448" s="56">
        <f>IFERROR(_xlfn.XLOOKUP(PRODUCTOS[[#This Row],[CODIGO]],LISTADO[CODIGOS],LISTADO[UBICACIÓN]),"NO EXISTE")</f>
        <v/>
      </c>
      <c r="F448" s="56">
        <f>SUMIFS(ENTRADAS[CANTIDAD],ENTRADAS[CODIGO],PRODUCTOS[[#This Row],[CODIGO]])</f>
        <v/>
      </c>
      <c r="G448" s="56">
        <f>SUMIFS(SALIDAS[CANTIDAD],SALIDAS[CODIGO],PRODUCTOS[[#This Row],[CODIGO]])</f>
        <v/>
      </c>
      <c r="H448" s="56">
        <f>PRODUCTOS[[#This Row],[ENTRADAS]]-PRODUCTOS[[#This Row],[SALIDAS ]]</f>
        <v/>
      </c>
      <c r="I448" s="76" t="n">
        <v>0</v>
      </c>
      <c r="J448">
        <f>IF(PRODUCTOS[[#This Row],[STOCK]]&lt;0,"NEGATIVO",IF(PRODUCTOS[[#This Row],[STOCK]]=0,"SIN STOCK",IF(PRODUCTOS[[#This Row],[STOCK]]&lt;=PRODUCTOS[[#This Row],[STOCK MÍN.]],"BAJO","OK")))</f>
        <v/>
      </c>
      <c r="K4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49" hidden="1" s="11">
      <c r="A449" s="18" t="n">
        <v>1</v>
      </c>
      <c r="B449" s="56" t="inlineStr">
        <is>
          <t>00049-REF</t>
        </is>
      </c>
      <c r="C449" s="56">
        <f>IFERROR(_xlfn.XLOOKUP(PRODUCTOS[[#This Row],[CODIGO]],LISTADO[CODIGOS],LISTADO[CATEGORIA]),"NO EXISTE")</f>
        <v/>
      </c>
      <c r="D449" s="56">
        <f>IFERROR(_xlfn.XLOOKUP(PRODUCTOS[[#This Row],[CODIGO]],LISTADO[CODIGOS],LISTADO[PRODUCTOS]),"NO EXISTE")</f>
        <v/>
      </c>
      <c r="E449" s="56">
        <f>IFERROR(_xlfn.XLOOKUP(PRODUCTOS[[#This Row],[CODIGO]],LISTADO[CODIGOS],LISTADO[UBICACIÓN]),"NO EXISTE")</f>
        <v/>
      </c>
      <c r="F449" s="56">
        <f>SUMIFS(ENTRADAS[CANTIDAD],ENTRADAS[CODIGO],PRODUCTOS[[#This Row],[CODIGO]])</f>
        <v/>
      </c>
      <c r="G449" s="56">
        <f>SUMIFS(SALIDAS[CANTIDAD],SALIDAS[CODIGO],PRODUCTOS[[#This Row],[CODIGO]])</f>
        <v/>
      </c>
      <c r="H449" s="56">
        <f>PRODUCTOS[[#This Row],[ENTRADAS]]-PRODUCTOS[[#This Row],[SALIDAS ]]</f>
        <v/>
      </c>
      <c r="I449" s="76" t="n">
        <v>0</v>
      </c>
      <c r="J449">
        <f>IF(PRODUCTOS[[#This Row],[STOCK]]&lt;0,"NEGATIVO",IF(PRODUCTOS[[#This Row],[STOCK]]=0,"SIN STOCK",IF(PRODUCTOS[[#This Row],[STOCK]]&lt;=PRODUCTOS[[#This Row],[STOCK MÍN.]],"BAJO","OK")))</f>
        <v/>
      </c>
      <c r="K4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50" hidden="1" s="11">
      <c r="A450" s="18" t="n">
        <v>435</v>
      </c>
      <c r="B450" s="56" t="inlineStr">
        <is>
          <t>00050-REF</t>
        </is>
      </c>
      <c r="C450" s="56">
        <f>IFERROR(_xlfn.XLOOKUP(PRODUCTOS[[#This Row],[CODIGO]],LISTADO[CODIGOS],LISTADO[CATEGORIA]),"NO EXISTE")</f>
        <v/>
      </c>
      <c r="D450" s="56">
        <f>IFERROR(_xlfn.XLOOKUP(PRODUCTOS[[#This Row],[CODIGO]],LISTADO[CODIGOS],LISTADO[PRODUCTOS]),"NO EXISTE")</f>
        <v/>
      </c>
      <c r="E450" s="56">
        <f>IFERROR(_xlfn.XLOOKUP(PRODUCTOS[[#This Row],[CODIGO]],LISTADO[CODIGOS],LISTADO[UBICACIÓN]),"NO EXISTE")</f>
        <v/>
      </c>
      <c r="F450" s="56">
        <f>SUMIFS(ENTRADAS[CANTIDAD],ENTRADAS[CODIGO],PRODUCTOS[[#This Row],[CODIGO]])</f>
        <v/>
      </c>
      <c r="G450" s="56">
        <f>SUMIFS(SALIDAS[CANTIDAD],SALIDAS[CODIGO],PRODUCTOS[[#This Row],[CODIGO]])</f>
        <v/>
      </c>
      <c r="H450" s="56">
        <f>PRODUCTOS[[#This Row],[ENTRADAS]]-PRODUCTOS[[#This Row],[SALIDAS ]]</f>
        <v/>
      </c>
      <c r="I450" s="76" t="n">
        <v>0</v>
      </c>
      <c r="J450">
        <f>IF(PRODUCTOS[[#This Row],[STOCK]]&lt;0,"NEGATIVO",IF(PRODUCTOS[[#This Row],[STOCK]]=0,"SIN STOCK",IF(PRODUCTOS[[#This Row],[STOCK]]&lt;=PRODUCTOS[[#This Row],[STOCK MÍN.]],"BAJO","OK")))</f>
        <v/>
      </c>
      <c r="K4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51" hidden="1" s="11">
      <c r="A451" s="18" t="n">
        <v>436</v>
      </c>
      <c r="B451" s="56" t="inlineStr">
        <is>
          <t>00051-REF</t>
        </is>
      </c>
      <c r="C451" s="56">
        <f>IFERROR(_xlfn.XLOOKUP(PRODUCTOS[[#This Row],[CODIGO]],LISTADO[CODIGOS],LISTADO[CATEGORIA]),"NO EXISTE")</f>
        <v/>
      </c>
      <c r="D451" s="56">
        <f>IFERROR(_xlfn.XLOOKUP(PRODUCTOS[[#This Row],[CODIGO]],LISTADO[CODIGOS],LISTADO[PRODUCTOS]),"NO EXISTE")</f>
        <v/>
      </c>
      <c r="E451" s="56">
        <f>IFERROR(_xlfn.XLOOKUP(PRODUCTOS[[#This Row],[CODIGO]],LISTADO[CODIGOS],LISTADO[UBICACIÓN]),"NO EXISTE")</f>
        <v/>
      </c>
      <c r="F451" s="56">
        <f>SUMIFS(ENTRADAS[CANTIDAD],ENTRADAS[CODIGO],PRODUCTOS[[#This Row],[CODIGO]])</f>
        <v/>
      </c>
      <c r="G451" s="56">
        <f>SUMIFS(SALIDAS[CANTIDAD],SALIDAS[CODIGO],PRODUCTOS[[#This Row],[CODIGO]])</f>
        <v/>
      </c>
      <c r="H451" s="56">
        <f>PRODUCTOS[[#This Row],[ENTRADAS]]-PRODUCTOS[[#This Row],[SALIDAS ]]</f>
        <v/>
      </c>
      <c r="I451" s="76" t="n">
        <v>0</v>
      </c>
      <c r="J451">
        <f>IF(PRODUCTOS[[#This Row],[STOCK]]&lt;0,"NEGATIVO",IF(PRODUCTOS[[#This Row],[STOCK]]=0,"SIN STOCK",IF(PRODUCTOS[[#This Row],[STOCK]]&lt;=PRODUCTOS[[#This Row],[STOCK MÍN.]],"BAJO","OK")))</f>
        <v/>
      </c>
      <c r="K4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52" hidden="1" s="11">
      <c r="A452" s="18" t="n">
        <v>437</v>
      </c>
      <c r="B452" s="56" t="inlineStr">
        <is>
          <t>00052-REF</t>
        </is>
      </c>
      <c r="C452" s="56">
        <f>IFERROR(_xlfn.XLOOKUP(PRODUCTOS[[#This Row],[CODIGO]],LISTADO[CODIGOS],LISTADO[CATEGORIA]),"NO EXISTE")</f>
        <v/>
      </c>
      <c r="D452" s="56">
        <f>IFERROR(_xlfn.XLOOKUP(PRODUCTOS[[#This Row],[CODIGO]],LISTADO[CODIGOS],LISTADO[PRODUCTOS]),"NO EXISTE")</f>
        <v/>
      </c>
      <c r="E452" s="56">
        <f>IFERROR(_xlfn.XLOOKUP(PRODUCTOS[[#This Row],[CODIGO]],LISTADO[CODIGOS],LISTADO[UBICACIÓN]),"NO EXISTE")</f>
        <v/>
      </c>
      <c r="F452" s="56">
        <f>SUMIFS(ENTRADAS[CANTIDAD],ENTRADAS[CODIGO],PRODUCTOS[[#This Row],[CODIGO]])</f>
        <v/>
      </c>
      <c r="G452" s="56">
        <f>SUMIFS(SALIDAS[CANTIDAD],SALIDAS[CODIGO],PRODUCTOS[[#This Row],[CODIGO]])</f>
        <v/>
      </c>
      <c r="H452" s="56">
        <f>PRODUCTOS[[#This Row],[ENTRADAS]]-PRODUCTOS[[#This Row],[SALIDAS ]]</f>
        <v/>
      </c>
      <c r="I452" s="76" t="n">
        <v>0</v>
      </c>
      <c r="J452">
        <f>IF(PRODUCTOS[[#This Row],[STOCK]]&lt;0,"NEGATIVO",IF(PRODUCTOS[[#This Row],[STOCK]]=0,"SIN STOCK",IF(PRODUCTOS[[#This Row],[STOCK]]&lt;=PRODUCTOS[[#This Row],[STOCK MÍN.]],"BAJO","OK")))</f>
        <v/>
      </c>
      <c r="K4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53" hidden="1" s="11">
      <c r="A453" s="18" t="n">
        <v>438</v>
      </c>
      <c r="B453" s="56" t="inlineStr">
        <is>
          <t>00053-REF</t>
        </is>
      </c>
      <c r="C453" s="56">
        <f>IFERROR(_xlfn.XLOOKUP(PRODUCTOS[[#This Row],[CODIGO]],LISTADO[CODIGOS],LISTADO[CATEGORIA]),"NO EXISTE")</f>
        <v/>
      </c>
      <c r="D453" s="56">
        <f>IFERROR(_xlfn.XLOOKUP(PRODUCTOS[[#This Row],[CODIGO]],LISTADO[CODIGOS],LISTADO[PRODUCTOS]),"NO EXISTE")</f>
        <v/>
      </c>
      <c r="E453" s="56">
        <f>IFERROR(_xlfn.XLOOKUP(PRODUCTOS[[#This Row],[CODIGO]],LISTADO[CODIGOS],LISTADO[UBICACIÓN]),"NO EXISTE")</f>
        <v/>
      </c>
      <c r="F453" s="56">
        <f>SUMIFS(ENTRADAS[CANTIDAD],ENTRADAS[CODIGO],PRODUCTOS[[#This Row],[CODIGO]])</f>
        <v/>
      </c>
      <c r="G453" s="56">
        <f>SUMIFS(SALIDAS[CANTIDAD],SALIDAS[CODIGO],PRODUCTOS[[#This Row],[CODIGO]])</f>
        <v/>
      </c>
      <c r="H453" s="56">
        <f>PRODUCTOS[[#This Row],[ENTRADAS]]-PRODUCTOS[[#This Row],[SALIDAS ]]</f>
        <v/>
      </c>
      <c r="I453" s="76" t="n">
        <v>0</v>
      </c>
      <c r="J453">
        <f>IF(PRODUCTOS[[#This Row],[STOCK]]&lt;0,"NEGATIVO",IF(PRODUCTOS[[#This Row],[STOCK]]=0,"SIN STOCK",IF(PRODUCTOS[[#This Row],[STOCK]]&lt;=PRODUCTOS[[#This Row],[STOCK MÍN.]],"BAJO","OK")))</f>
        <v/>
      </c>
      <c r="K4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54" hidden="1" s="11">
      <c r="A454" s="18" t="n">
        <v>439</v>
      </c>
      <c r="B454" s="56" t="inlineStr">
        <is>
          <t>00054-REF</t>
        </is>
      </c>
      <c r="C454" s="56">
        <f>IFERROR(_xlfn.XLOOKUP(PRODUCTOS[[#This Row],[CODIGO]],LISTADO[CODIGOS],LISTADO[CATEGORIA]),"NO EXISTE")</f>
        <v/>
      </c>
      <c r="D454" s="56">
        <f>IFERROR(_xlfn.XLOOKUP(PRODUCTOS[[#This Row],[CODIGO]],LISTADO[CODIGOS],LISTADO[PRODUCTOS]),"NO EXISTE")</f>
        <v/>
      </c>
      <c r="E454" s="56">
        <f>IFERROR(_xlfn.XLOOKUP(PRODUCTOS[[#This Row],[CODIGO]],LISTADO[CODIGOS],LISTADO[UBICACIÓN]),"NO EXISTE")</f>
        <v/>
      </c>
      <c r="F454" s="56">
        <f>SUMIFS(ENTRADAS[CANTIDAD],ENTRADAS[CODIGO],PRODUCTOS[[#This Row],[CODIGO]])</f>
        <v/>
      </c>
      <c r="G454" s="56">
        <f>SUMIFS(SALIDAS[CANTIDAD],SALIDAS[CODIGO],PRODUCTOS[[#This Row],[CODIGO]])</f>
        <v/>
      </c>
      <c r="H454" s="56">
        <f>PRODUCTOS[[#This Row],[ENTRADAS]]-PRODUCTOS[[#This Row],[SALIDAS ]]</f>
        <v/>
      </c>
      <c r="I454" s="76" t="n">
        <v>0</v>
      </c>
      <c r="J454">
        <f>IF(PRODUCTOS[[#This Row],[STOCK]]&lt;0,"NEGATIVO",IF(PRODUCTOS[[#This Row],[STOCK]]=0,"SIN STOCK",IF(PRODUCTOS[[#This Row],[STOCK]]&lt;=PRODUCTOS[[#This Row],[STOCK MÍN.]],"BAJO","OK")))</f>
        <v/>
      </c>
      <c r="K4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55" hidden="1" s="11">
      <c r="A455" s="18" t="n">
        <v>440</v>
      </c>
      <c r="B455" s="56" t="inlineStr">
        <is>
          <t>00055-REF</t>
        </is>
      </c>
      <c r="C455" s="56">
        <f>IFERROR(_xlfn.XLOOKUP(PRODUCTOS[[#This Row],[CODIGO]],LISTADO[CODIGOS],LISTADO[CATEGORIA]),"NO EXISTE")</f>
        <v/>
      </c>
      <c r="D455" s="56">
        <f>IFERROR(_xlfn.XLOOKUP(PRODUCTOS[[#This Row],[CODIGO]],LISTADO[CODIGOS],LISTADO[PRODUCTOS]),"NO EXISTE")</f>
        <v/>
      </c>
      <c r="E455" s="56">
        <f>IFERROR(_xlfn.XLOOKUP(PRODUCTOS[[#This Row],[CODIGO]],LISTADO[CODIGOS],LISTADO[UBICACIÓN]),"NO EXISTE")</f>
        <v/>
      </c>
      <c r="F455" s="56">
        <f>SUMIFS(ENTRADAS[CANTIDAD],ENTRADAS[CODIGO],PRODUCTOS[[#This Row],[CODIGO]])</f>
        <v/>
      </c>
      <c r="G455" s="56">
        <f>SUMIFS(SALIDAS[CANTIDAD],SALIDAS[CODIGO],PRODUCTOS[[#This Row],[CODIGO]])</f>
        <v/>
      </c>
      <c r="H455" s="56">
        <f>PRODUCTOS[[#This Row],[ENTRADAS]]-PRODUCTOS[[#This Row],[SALIDAS ]]</f>
        <v/>
      </c>
      <c r="I455" s="76" t="n">
        <v>0</v>
      </c>
      <c r="J455">
        <f>IF(PRODUCTOS[[#This Row],[STOCK]]&lt;0,"NEGATIVO",IF(PRODUCTOS[[#This Row],[STOCK]]=0,"SIN STOCK",IF(PRODUCTOS[[#This Row],[STOCK]]&lt;=PRODUCTOS[[#This Row],[STOCK MÍN.]],"BAJO","OK")))</f>
        <v/>
      </c>
      <c r="K4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56" hidden="1" s="11">
      <c r="A456" s="18" t="n">
        <v>441</v>
      </c>
      <c r="B456" s="56" t="inlineStr">
        <is>
          <t>00056-REF</t>
        </is>
      </c>
      <c r="C456" s="56">
        <f>IFERROR(_xlfn.XLOOKUP(PRODUCTOS[[#This Row],[CODIGO]],LISTADO[CODIGOS],LISTADO[CATEGORIA]),"NO EXISTE")</f>
        <v/>
      </c>
      <c r="D456" s="56">
        <f>IFERROR(_xlfn.XLOOKUP(PRODUCTOS[[#This Row],[CODIGO]],LISTADO[CODIGOS],LISTADO[PRODUCTOS]),"NO EXISTE")</f>
        <v/>
      </c>
      <c r="E456" s="56">
        <f>IFERROR(_xlfn.XLOOKUP(PRODUCTOS[[#This Row],[CODIGO]],LISTADO[CODIGOS],LISTADO[UBICACIÓN]),"NO EXISTE")</f>
        <v/>
      </c>
      <c r="F456" s="56">
        <f>SUMIFS(ENTRADAS[CANTIDAD],ENTRADAS[CODIGO],PRODUCTOS[[#This Row],[CODIGO]])</f>
        <v/>
      </c>
      <c r="G456" s="56">
        <f>SUMIFS(SALIDAS[CANTIDAD],SALIDAS[CODIGO],PRODUCTOS[[#This Row],[CODIGO]])</f>
        <v/>
      </c>
      <c r="H456" s="56">
        <f>PRODUCTOS[[#This Row],[ENTRADAS]]-PRODUCTOS[[#This Row],[SALIDAS ]]</f>
        <v/>
      </c>
      <c r="I456" s="76" t="n">
        <v>0</v>
      </c>
      <c r="J456">
        <f>IF(PRODUCTOS[[#This Row],[STOCK]]&lt;0,"NEGATIVO",IF(PRODUCTOS[[#This Row],[STOCK]]=0,"SIN STOCK",IF(PRODUCTOS[[#This Row],[STOCK]]&lt;=PRODUCTOS[[#This Row],[STOCK MÍN.]],"BAJO","OK")))</f>
        <v/>
      </c>
      <c r="K4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57" hidden="1" s="11">
      <c r="A457" s="18" t="n">
        <v>442</v>
      </c>
      <c r="B457" s="56" t="inlineStr">
        <is>
          <t>00057-REF</t>
        </is>
      </c>
      <c r="C457" s="56">
        <f>IFERROR(_xlfn.XLOOKUP(PRODUCTOS[[#This Row],[CODIGO]],LISTADO[CODIGOS],LISTADO[CATEGORIA]),"NO EXISTE")</f>
        <v/>
      </c>
      <c r="D457" s="56">
        <f>IFERROR(_xlfn.XLOOKUP(PRODUCTOS[[#This Row],[CODIGO]],LISTADO[CODIGOS],LISTADO[PRODUCTOS]),"NO EXISTE")</f>
        <v/>
      </c>
      <c r="E457" s="56">
        <f>IFERROR(_xlfn.XLOOKUP(PRODUCTOS[[#This Row],[CODIGO]],LISTADO[CODIGOS],LISTADO[UBICACIÓN]),"NO EXISTE")</f>
        <v/>
      </c>
      <c r="F457" s="56">
        <f>SUMIFS(ENTRADAS[CANTIDAD],ENTRADAS[CODIGO],PRODUCTOS[[#This Row],[CODIGO]])</f>
        <v/>
      </c>
      <c r="G457" s="56">
        <f>SUMIFS(SALIDAS[CANTIDAD],SALIDAS[CODIGO],PRODUCTOS[[#This Row],[CODIGO]])</f>
        <v/>
      </c>
      <c r="H457" s="56">
        <f>PRODUCTOS[[#This Row],[ENTRADAS]]-PRODUCTOS[[#This Row],[SALIDAS ]]</f>
        <v/>
      </c>
      <c r="I457" s="76" t="n">
        <v>0</v>
      </c>
      <c r="J457">
        <f>IF(PRODUCTOS[[#This Row],[STOCK]]&lt;0,"NEGATIVO",IF(PRODUCTOS[[#This Row],[STOCK]]=0,"SIN STOCK",IF(PRODUCTOS[[#This Row],[STOCK]]&lt;=PRODUCTOS[[#This Row],[STOCK MÍN.]],"BAJO","OK")))</f>
        <v/>
      </c>
      <c r="K4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58" hidden="1" s="11">
      <c r="A458" s="18" t="n">
        <v>443</v>
      </c>
      <c r="B458" s="56" t="inlineStr">
        <is>
          <t>00058-REF</t>
        </is>
      </c>
      <c r="C458" s="56">
        <f>IFERROR(_xlfn.XLOOKUP(PRODUCTOS[[#This Row],[CODIGO]],LISTADO[CODIGOS],LISTADO[CATEGORIA]),"NO EXISTE")</f>
        <v/>
      </c>
      <c r="D458" s="56">
        <f>IFERROR(_xlfn.XLOOKUP(PRODUCTOS[[#This Row],[CODIGO]],LISTADO[CODIGOS],LISTADO[PRODUCTOS]),"NO EXISTE")</f>
        <v/>
      </c>
      <c r="E458" s="56">
        <f>IFERROR(_xlfn.XLOOKUP(PRODUCTOS[[#This Row],[CODIGO]],LISTADO[CODIGOS],LISTADO[UBICACIÓN]),"NO EXISTE")</f>
        <v/>
      </c>
      <c r="F458" s="56">
        <f>SUMIFS(ENTRADAS[CANTIDAD],ENTRADAS[CODIGO],PRODUCTOS[[#This Row],[CODIGO]])</f>
        <v/>
      </c>
      <c r="G458" s="56">
        <f>SUMIFS(SALIDAS[CANTIDAD],SALIDAS[CODIGO],PRODUCTOS[[#This Row],[CODIGO]])</f>
        <v/>
      </c>
      <c r="H458" s="56">
        <f>PRODUCTOS[[#This Row],[ENTRADAS]]-PRODUCTOS[[#This Row],[SALIDAS ]]</f>
        <v/>
      </c>
      <c r="I458" s="76" t="n">
        <v>0</v>
      </c>
      <c r="J458">
        <f>IF(PRODUCTOS[[#This Row],[STOCK]]&lt;0,"NEGATIVO",IF(PRODUCTOS[[#This Row],[STOCK]]=0,"SIN STOCK",IF(PRODUCTOS[[#This Row],[STOCK]]&lt;=PRODUCTOS[[#This Row],[STOCK MÍN.]],"BAJO","OK")))</f>
        <v/>
      </c>
      <c r="K4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59" hidden="1" s="11">
      <c r="A459" s="18" t="n">
        <v>444</v>
      </c>
      <c r="B459" s="56" t="inlineStr">
        <is>
          <t>00059-REF</t>
        </is>
      </c>
      <c r="C459" s="56">
        <f>IFERROR(_xlfn.XLOOKUP(PRODUCTOS[[#This Row],[CODIGO]],LISTADO[CODIGOS],LISTADO[CATEGORIA]),"NO EXISTE")</f>
        <v/>
      </c>
      <c r="D459" s="56">
        <f>IFERROR(_xlfn.XLOOKUP(PRODUCTOS[[#This Row],[CODIGO]],LISTADO[CODIGOS],LISTADO[PRODUCTOS]),"NO EXISTE")</f>
        <v/>
      </c>
      <c r="E459" s="56">
        <f>IFERROR(_xlfn.XLOOKUP(PRODUCTOS[[#This Row],[CODIGO]],LISTADO[CODIGOS],LISTADO[UBICACIÓN]),"NO EXISTE")</f>
        <v/>
      </c>
      <c r="F459" s="56">
        <f>SUMIFS(ENTRADAS[CANTIDAD],ENTRADAS[CODIGO],PRODUCTOS[[#This Row],[CODIGO]])</f>
        <v/>
      </c>
      <c r="G459" s="56">
        <f>SUMIFS(SALIDAS[CANTIDAD],SALIDAS[CODIGO],PRODUCTOS[[#This Row],[CODIGO]])</f>
        <v/>
      </c>
      <c r="H459" s="56">
        <f>PRODUCTOS[[#This Row],[ENTRADAS]]-PRODUCTOS[[#This Row],[SALIDAS ]]</f>
        <v/>
      </c>
      <c r="I459" s="76" t="n">
        <v>0</v>
      </c>
      <c r="J459">
        <f>IF(PRODUCTOS[[#This Row],[STOCK]]&lt;0,"NEGATIVO",IF(PRODUCTOS[[#This Row],[STOCK]]=0,"SIN STOCK",IF(PRODUCTOS[[#This Row],[STOCK]]&lt;=PRODUCTOS[[#This Row],[STOCK MÍN.]],"BAJO","OK")))</f>
        <v/>
      </c>
      <c r="K4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60" hidden="1" s="11">
      <c r="A460" s="18" t="n">
        <v>445</v>
      </c>
      <c r="B460" s="56" t="inlineStr">
        <is>
          <t>00060-REF</t>
        </is>
      </c>
      <c r="C460" s="56">
        <f>IFERROR(_xlfn.XLOOKUP(PRODUCTOS[[#This Row],[CODIGO]],LISTADO[CODIGOS],LISTADO[CATEGORIA]),"NO EXISTE")</f>
        <v/>
      </c>
      <c r="D460" s="56">
        <f>IFERROR(_xlfn.XLOOKUP(PRODUCTOS[[#This Row],[CODIGO]],LISTADO[CODIGOS],LISTADO[PRODUCTOS]),"NO EXISTE")</f>
        <v/>
      </c>
      <c r="E460" s="56">
        <f>IFERROR(_xlfn.XLOOKUP(PRODUCTOS[[#This Row],[CODIGO]],LISTADO[CODIGOS],LISTADO[UBICACIÓN]),"NO EXISTE")</f>
        <v/>
      </c>
      <c r="F460" s="56">
        <f>SUMIFS(ENTRADAS[CANTIDAD],ENTRADAS[CODIGO],PRODUCTOS[[#This Row],[CODIGO]])</f>
        <v/>
      </c>
      <c r="G460" s="56">
        <f>SUMIFS(SALIDAS[CANTIDAD],SALIDAS[CODIGO],PRODUCTOS[[#This Row],[CODIGO]])</f>
        <v/>
      </c>
      <c r="H460" s="56">
        <f>PRODUCTOS[[#This Row],[ENTRADAS]]-PRODUCTOS[[#This Row],[SALIDAS ]]</f>
        <v/>
      </c>
      <c r="I460" s="76" t="n">
        <v>0</v>
      </c>
      <c r="J460">
        <f>IF(PRODUCTOS[[#This Row],[STOCK]]&lt;0,"NEGATIVO",IF(PRODUCTOS[[#This Row],[STOCK]]=0,"SIN STOCK",IF(PRODUCTOS[[#This Row],[STOCK]]&lt;=PRODUCTOS[[#This Row],[STOCK MÍN.]],"BAJO","OK")))</f>
        <v/>
      </c>
      <c r="K4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61" hidden="1" s="11">
      <c r="A461" s="18" t="n">
        <v>446</v>
      </c>
      <c r="B461" s="56" t="inlineStr">
        <is>
          <t>00061-REF</t>
        </is>
      </c>
      <c r="C461" s="56">
        <f>IFERROR(_xlfn.XLOOKUP(PRODUCTOS[[#This Row],[CODIGO]],LISTADO[CODIGOS],LISTADO[CATEGORIA]),"NO EXISTE")</f>
        <v/>
      </c>
      <c r="D461" s="56">
        <f>IFERROR(_xlfn.XLOOKUP(PRODUCTOS[[#This Row],[CODIGO]],LISTADO[CODIGOS],LISTADO[PRODUCTOS]),"NO EXISTE")</f>
        <v/>
      </c>
      <c r="E461" s="56">
        <f>IFERROR(_xlfn.XLOOKUP(PRODUCTOS[[#This Row],[CODIGO]],LISTADO[CODIGOS],LISTADO[UBICACIÓN]),"NO EXISTE")</f>
        <v/>
      </c>
      <c r="F461" s="56">
        <f>SUMIFS(ENTRADAS[CANTIDAD],ENTRADAS[CODIGO],PRODUCTOS[[#This Row],[CODIGO]])</f>
        <v/>
      </c>
      <c r="G461" s="56">
        <f>SUMIFS(SALIDAS[CANTIDAD],SALIDAS[CODIGO],PRODUCTOS[[#This Row],[CODIGO]])</f>
        <v/>
      </c>
      <c r="H461" s="56">
        <f>PRODUCTOS[[#This Row],[ENTRADAS]]-PRODUCTOS[[#This Row],[SALIDAS ]]</f>
        <v/>
      </c>
      <c r="I461" s="76" t="n">
        <v>0</v>
      </c>
      <c r="J461">
        <f>IF(PRODUCTOS[[#This Row],[STOCK]]&lt;0,"NEGATIVO",IF(PRODUCTOS[[#This Row],[STOCK]]=0,"SIN STOCK",IF(PRODUCTOS[[#This Row],[STOCK]]&lt;=PRODUCTOS[[#This Row],[STOCK MÍN.]],"BAJO","OK")))</f>
        <v/>
      </c>
      <c r="K4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62" hidden="1" s="11">
      <c r="A462" s="18" t="n">
        <v>447</v>
      </c>
      <c r="B462" s="56" t="inlineStr">
        <is>
          <t>00062-REF</t>
        </is>
      </c>
      <c r="C462" s="56">
        <f>IFERROR(_xlfn.XLOOKUP(PRODUCTOS[[#This Row],[CODIGO]],LISTADO[CODIGOS],LISTADO[CATEGORIA]),"NO EXISTE")</f>
        <v/>
      </c>
      <c r="D462" s="56">
        <f>IFERROR(_xlfn.XLOOKUP(PRODUCTOS[[#This Row],[CODIGO]],LISTADO[CODIGOS],LISTADO[PRODUCTOS]),"NO EXISTE")</f>
        <v/>
      </c>
      <c r="E462" s="56">
        <f>IFERROR(_xlfn.XLOOKUP(PRODUCTOS[[#This Row],[CODIGO]],LISTADO[CODIGOS],LISTADO[UBICACIÓN]),"NO EXISTE")</f>
        <v/>
      </c>
      <c r="F462" s="56">
        <f>SUMIFS(ENTRADAS[CANTIDAD],ENTRADAS[CODIGO],PRODUCTOS[[#This Row],[CODIGO]])</f>
        <v/>
      </c>
      <c r="G462" s="56">
        <f>SUMIFS(SALIDAS[CANTIDAD],SALIDAS[CODIGO],PRODUCTOS[[#This Row],[CODIGO]])</f>
        <v/>
      </c>
      <c r="H462" s="56">
        <f>PRODUCTOS[[#This Row],[ENTRADAS]]-PRODUCTOS[[#This Row],[SALIDAS ]]</f>
        <v/>
      </c>
      <c r="I462" s="76" t="n">
        <v>0</v>
      </c>
      <c r="J462">
        <f>IF(PRODUCTOS[[#This Row],[STOCK]]&lt;0,"NEGATIVO",IF(PRODUCTOS[[#This Row],[STOCK]]=0,"SIN STOCK",IF(PRODUCTOS[[#This Row],[STOCK]]&lt;=PRODUCTOS[[#This Row],[STOCK MÍN.]],"BAJO","OK")))</f>
        <v/>
      </c>
      <c r="K4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63" hidden="1" s="11">
      <c r="A463" s="18" t="n">
        <v>448</v>
      </c>
      <c r="B463" s="56" t="inlineStr">
        <is>
          <t>00063-REF</t>
        </is>
      </c>
      <c r="C463" s="56">
        <f>IFERROR(_xlfn.XLOOKUP(PRODUCTOS[[#This Row],[CODIGO]],LISTADO[CODIGOS],LISTADO[CATEGORIA]),"NO EXISTE")</f>
        <v/>
      </c>
      <c r="D463" s="56">
        <f>IFERROR(_xlfn.XLOOKUP(PRODUCTOS[[#This Row],[CODIGO]],LISTADO[CODIGOS],LISTADO[PRODUCTOS]),"NO EXISTE")</f>
        <v/>
      </c>
      <c r="E463" s="56">
        <f>IFERROR(_xlfn.XLOOKUP(PRODUCTOS[[#This Row],[CODIGO]],LISTADO[CODIGOS],LISTADO[UBICACIÓN]),"NO EXISTE")</f>
        <v/>
      </c>
      <c r="F463" s="56">
        <f>SUMIFS(ENTRADAS[CANTIDAD],ENTRADAS[CODIGO],PRODUCTOS[[#This Row],[CODIGO]])</f>
        <v/>
      </c>
      <c r="G463" s="56">
        <f>SUMIFS(SALIDAS[CANTIDAD],SALIDAS[CODIGO],PRODUCTOS[[#This Row],[CODIGO]])</f>
        <v/>
      </c>
      <c r="H463" s="56">
        <f>PRODUCTOS[[#This Row],[ENTRADAS]]-PRODUCTOS[[#This Row],[SALIDAS ]]</f>
        <v/>
      </c>
      <c r="I463" s="76" t="n">
        <v>0</v>
      </c>
      <c r="J463">
        <f>IF(PRODUCTOS[[#This Row],[STOCK]]&lt;0,"NEGATIVO",IF(PRODUCTOS[[#This Row],[STOCK]]=0,"SIN STOCK",IF(PRODUCTOS[[#This Row],[STOCK]]&lt;=PRODUCTOS[[#This Row],[STOCK MÍN.]],"BAJO","OK")))</f>
        <v/>
      </c>
      <c r="K4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64" hidden="1" s="11">
      <c r="A464" s="18" t="n">
        <v>449</v>
      </c>
      <c r="B464" s="56" t="inlineStr">
        <is>
          <t>00064-REF</t>
        </is>
      </c>
      <c r="C464" s="56">
        <f>IFERROR(_xlfn.XLOOKUP(PRODUCTOS[[#This Row],[CODIGO]],LISTADO[CODIGOS],LISTADO[CATEGORIA]),"NO EXISTE")</f>
        <v/>
      </c>
      <c r="D464" s="56">
        <f>IFERROR(_xlfn.XLOOKUP(PRODUCTOS[[#This Row],[CODIGO]],LISTADO[CODIGOS],LISTADO[PRODUCTOS]),"NO EXISTE")</f>
        <v/>
      </c>
      <c r="E464" s="56">
        <f>IFERROR(_xlfn.XLOOKUP(PRODUCTOS[[#This Row],[CODIGO]],LISTADO[CODIGOS],LISTADO[UBICACIÓN]),"NO EXISTE")</f>
        <v/>
      </c>
      <c r="F464" s="56">
        <f>SUMIFS(ENTRADAS[CANTIDAD],ENTRADAS[CODIGO],PRODUCTOS[[#This Row],[CODIGO]])</f>
        <v/>
      </c>
      <c r="G464" s="56">
        <f>SUMIFS(SALIDAS[CANTIDAD],SALIDAS[CODIGO],PRODUCTOS[[#This Row],[CODIGO]])</f>
        <v/>
      </c>
      <c r="H464" s="56">
        <f>PRODUCTOS[[#This Row],[ENTRADAS]]-PRODUCTOS[[#This Row],[SALIDAS ]]</f>
        <v/>
      </c>
      <c r="I464" s="76" t="n">
        <v>0</v>
      </c>
      <c r="J464">
        <f>IF(PRODUCTOS[[#This Row],[STOCK]]&lt;0,"NEGATIVO",IF(PRODUCTOS[[#This Row],[STOCK]]=0,"SIN STOCK",IF(PRODUCTOS[[#This Row],[STOCK]]&lt;=PRODUCTOS[[#This Row],[STOCK MÍN.]],"BAJO","OK")))</f>
        <v/>
      </c>
      <c r="K4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65" hidden="1" s="11">
      <c r="A465" s="18" t="n">
        <v>450</v>
      </c>
      <c r="B465" s="56" t="inlineStr">
        <is>
          <t>00065-REF</t>
        </is>
      </c>
      <c r="C465" s="56">
        <f>IFERROR(_xlfn.XLOOKUP(PRODUCTOS[[#This Row],[CODIGO]],LISTADO[CODIGOS],LISTADO[CATEGORIA]),"NO EXISTE")</f>
        <v/>
      </c>
      <c r="D465" s="56">
        <f>IFERROR(_xlfn.XLOOKUP(PRODUCTOS[[#This Row],[CODIGO]],LISTADO[CODIGOS],LISTADO[PRODUCTOS]),"NO EXISTE")</f>
        <v/>
      </c>
      <c r="E465" s="56">
        <f>IFERROR(_xlfn.XLOOKUP(PRODUCTOS[[#This Row],[CODIGO]],LISTADO[CODIGOS],LISTADO[UBICACIÓN]),"NO EXISTE")</f>
        <v/>
      </c>
      <c r="F465" s="56">
        <f>SUMIFS(ENTRADAS[CANTIDAD],ENTRADAS[CODIGO],PRODUCTOS[[#This Row],[CODIGO]])</f>
        <v/>
      </c>
      <c r="G465" s="56">
        <f>SUMIFS(SALIDAS[CANTIDAD],SALIDAS[CODIGO],PRODUCTOS[[#This Row],[CODIGO]])</f>
        <v/>
      </c>
      <c r="H465" s="56">
        <f>PRODUCTOS[[#This Row],[ENTRADAS]]-PRODUCTOS[[#This Row],[SALIDAS ]]</f>
        <v/>
      </c>
      <c r="I465" s="76" t="n">
        <v>0</v>
      </c>
      <c r="J465">
        <f>IF(PRODUCTOS[[#This Row],[STOCK]]&lt;0,"NEGATIVO",IF(PRODUCTOS[[#This Row],[STOCK]]=0,"SIN STOCK",IF(PRODUCTOS[[#This Row],[STOCK]]&lt;=PRODUCTOS[[#This Row],[STOCK MÍN.]],"BAJO","OK")))</f>
        <v/>
      </c>
      <c r="K4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66" hidden="1" s="11">
      <c r="A466" s="18" t="n">
        <v>451</v>
      </c>
      <c r="B466" s="56" t="inlineStr">
        <is>
          <t>00066-REF</t>
        </is>
      </c>
      <c r="C466" s="56">
        <f>IFERROR(_xlfn.XLOOKUP(PRODUCTOS[[#This Row],[CODIGO]],LISTADO[CODIGOS],LISTADO[CATEGORIA]),"NO EXISTE")</f>
        <v/>
      </c>
      <c r="D466" s="56">
        <f>IFERROR(_xlfn.XLOOKUP(PRODUCTOS[[#This Row],[CODIGO]],LISTADO[CODIGOS],LISTADO[PRODUCTOS]),"NO EXISTE")</f>
        <v/>
      </c>
      <c r="E466" s="56">
        <f>IFERROR(_xlfn.XLOOKUP(PRODUCTOS[[#This Row],[CODIGO]],LISTADO[CODIGOS],LISTADO[UBICACIÓN]),"NO EXISTE")</f>
        <v/>
      </c>
      <c r="F466" s="56">
        <f>SUMIFS(ENTRADAS[CANTIDAD],ENTRADAS[CODIGO],PRODUCTOS[[#This Row],[CODIGO]])</f>
        <v/>
      </c>
      <c r="G466" s="56">
        <f>SUMIFS(SALIDAS[CANTIDAD],SALIDAS[CODIGO],PRODUCTOS[[#This Row],[CODIGO]])</f>
        <v/>
      </c>
      <c r="H466" s="56">
        <f>PRODUCTOS[[#This Row],[ENTRADAS]]-PRODUCTOS[[#This Row],[SALIDAS ]]</f>
        <v/>
      </c>
      <c r="I466" s="76" t="n">
        <v>0</v>
      </c>
      <c r="J466">
        <f>IF(PRODUCTOS[[#This Row],[STOCK]]&lt;0,"NEGATIVO",IF(PRODUCTOS[[#This Row],[STOCK]]=0,"SIN STOCK",IF(PRODUCTOS[[#This Row],[STOCK]]&lt;=PRODUCTOS[[#This Row],[STOCK MÍN.]],"BAJO","OK")))</f>
        <v/>
      </c>
      <c r="K4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67" hidden="1" s="11">
      <c r="A467" s="18" t="n">
        <v>452</v>
      </c>
      <c r="B467" s="56" t="inlineStr">
        <is>
          <t>00067-REF</t>
        </is>
      </c>
      <c r="C467" s="56">
        <f>IFERROR(_xlfn.XLOOKUP(PRODUCTOS[[#This Row],[CODIGO]],LISTADO[CODIGOS],LISTADO[CATEGORIA]),"NO EXISTE")</f>
        <v/>
      </c>
      <c r="D467" s="56">
        <f>IFERROR(_xlfn.XLOOKUP(PRODUCTOS[[#This Row],[CODIGO]],LISTADO[CODIGOS],LISTADO[PRODUCTOS]),"NO EXISTE")</f>
        <v/>
      </c>
      <c r="E467" s="56">
        <f>IFERROR(_xlfn.XLOOKUP(PRODUCTOS[[#This Row],[CODIGO]],LISTADO[CODIGOS],LISTADO[UBICACIÓN]),"NO EXISTE")</f>
        <v/>
      </c>
      <c r="F467" s="56">
        <f>SUMIFS(ENTRADAS[CANTIDAD],ENTRADAS[CODIGO],PRODUCTOS[[#This Row],[CODIGO]])</f>
        <v/>
      </c>
      <c r="G467" s="56">
        <f>SUMIFS(SALIDAS[CANTIDAD],SALIDAS[CODIGO],PRODUCTOS[[#This Row],[CODIGO]])</f>
        <v/>
      </c>
      <c r="H467" s="56">
        <f>PRODUCTOS[[#This Row],[ENTRADAS]]-PRODUCTOS[[#This Row],[SALIDAS ]]</f>
        <v/>
      </c>
      <c r="I467" s="76" t="n">
        <v>0</v>
      </c>
      <c r="J467">
        <f>IF(PRODUCTOS[[#This Row],[STOCK]]&lt;0,"NEGATIVO",IF(PRODUCTOS[[#This Row],[STOCK]]=0,"SIN STOCK",IF(PRODUCTOS[[#This Row],[STOCK]]&lt;=PRODUCTOS[[#This Row],[STOCK MÍN.]],"BAJO","OK")))</f>
        <v/>
      </c>
      <c r="K4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68" hidden="1" s="11">
      <c r="A468" s="18" t="n">
        <v>453</v>
      </c>
      <c r="B468" s="56" t="inlineStr">
        <is>
          <t>00068-REF</t>
        </is>
      </c>
      <c r="C468" s="56">
        <f>IFERROR(_xlfn.XLOOKUP(PRODUCTOS[[#This Row],[CODIGO]],LISTADO[CODIGOS],LISTADO[CATEGORIA]),"NO EXISTE")</f>
        <v/>
      </c>
      <c r="D468" s="56">
        <f>IFERROR(_xlfn.XLOOKUP(PRODUCTOS[[#This Row],[CODIGO]],LISTADO[CODIGOS],LISTADO[PRODUCTOS]),"NO EXISTE")</f>
        <v/>
      </c>
      <c r="E468" s="56">
        <f>IFERROR(_xlfn.XLOOKUP(PRODUCTOS[[#This Row],[CODIGO]],LISTADO[CODIGOS],LISTADO[UBICACIÓN]),"NO EXISTE")</f>
        <v/>
      </c>
      <c r="F468" s="56">
        <f>SUMIFS(ENTRADAS[CANTIDAD],ENTRADAS[CODIGO],PRODUCTOS[[#This Row],[CODIGO]])</f>
        <v/>
      </c>
      <c r="G468" s="56">
        <f>SUMIFS(SALIDAS[CANTIDAD],SALIDAS[CODIGO],PRODUCTOS[[#This Row],[CODIGO]])</f>
        <v/>
      </c>
      <c r="H468" s="56">
        <f>PRODUCTOS[[#This Row],[ENTRADAS]]-PRODUCTOS[[#This Row],[SALIDAS ]]</f>
        <v/>
      </c>
      <c r="I468" s="76" t="n">
        <v>0</v>
      </c>
      <c r="J468">
        <f>IF(PRODUCTOS[[#This Row],[STOCK]]&lt;0,"NEGATIVO",IF(PRODUCTOS[[#This Row],[STOCK]]=0,"SIN STOCK",IF(PRODUCTOS[[#This Row],[STOCK]]&lt;=PRODUCTOS[[#This Row],[STOCK MÍN.]],"BAJO","OK")))</f>
        <v/>
      </c>
      <c r="K4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69" hidden="1" s="11">
      <c r="A469" s="18" t="n">
        <v>454</v>
      </c>
      <c r="B469" s="56" t="inlineStr">
        <is>
          <t>00069-REF</t>
        </is>
      </c>
      <c r="C469" s="56">
        <f>IFERROR(_xlfn.XLOOKUP(PRODUCTOS[[#This Row],[CODIGO]],LISTADO[CODIGOS],LISTADO[CATEGORIA]),"NO EXISTE")</f>
        <v/>
      </c>
      <c r="D469" s="56">
        <f>IFERROR(_xlfn.XLOOKUP(PRODUCTOS[[#This Row],[CODIGO]],LISTADO[CODIGOS],LISTADO[PRODUCTOS]),"NO EXISTE")</f>
        <v/>
      </c>
      <c r="E469" s="56">
        <f>IFERROR(_xlfn.XLOOKUP(PRODUCTOS[[#This Row],[CODIGO]],LISTADO[CODIGOS],LISTADO[UBICACIÓN]),"NO EXISTE")</f>
        <v/>
      </c>
      <c r="F469" s="56">
        <f>SUMIFS(ENTRADAS[CANTIDAD],ENTRADAS[CODIGO],PRODUCTOS[[#This Row],[CODIGO]])</f>
        <v/>
      </c>
      <c r="G469" s="56">
        <f>SUMIFS(SALIDAS[CANTIDAD],SALIDAS[CODIGO],PRODUCTOS[[#This Row],[CODIGO]])</f>
        <v/>
      </c>
      <c r="H469" s="56">
        <f>PRODUCTOS[[#This Row],[ENTRADAS]]-PRODUCTOS[[#This Row],[SALIDAS ]]</f>
        <v/>
      </c>
      <c r="I469" s="76" t="n">
        <v>0</v>
      </c>
      <c r="J469">
        <f>IF(PRODUCTOS[[#This Row],[STOCK]]&lt;0,"NEGATIVO",IF(PRODUCTOS[[#This Row],[STOCK]]=0,"SIN STOCK",IF(PRODUCTOS[[#This Row],[STOCK]]&lt;=PRODUCTOS[[#This Row],[STOCK MÍN.]],"BAJO","OK")))</f>
        <v/>
      </c>
      <c r="K4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70" hidden="1" s="11">
      <c r="A470" s="18" t="n">
        <v>455</v>
      </c>
      <c r="B470" s="56" t="inlineStr">
        <is>
          <t>00070-REF</t>
        </is>
      </c>
      <c r="C470" s="56">
        <f>IFERROR(_xlfn.XLOOKUP(PRODUCTOS[[#This Row],[CODIGO]],LISTADO[CODIGOS],LISTADO[CATEGORIA]),"NO EXISTE")</f>
        <v/>
      </c>
      <c r="D470" s="56">
        <f>IFERROR(_xlfn.XLOOKUP(PRODUCTOS[[#This Row],[CODIGO]],LISTADO[CODIGOS],LISTADO[PRODUCTOS]),"NO EXISTE")</f>
        <v/>
      </c>
      <c r="E470" s="56">
        <f>IFERROR(_xlfn.XLOOKUP(PRODUCTOS[[#This Row],[CODIGO]],LISTADO[CODIGOS],LISTADO[UBICACIÓN]),"NO EXISTE")</f>
        <v/>
      </c>
      <c r="F470" s="56">
        <f>SUMIFS(ENTRADAS[CANTIDAD],ENTRADAS[CODIGO],PRODUCTOS[[#This Row],[CODIGO]])</f>
        <v/>
      </c>
      <c r="G470" s="56">
        <f>SUMIFS(SALIDAS[CANTIDAD],SALIDAS[CODIGO],PRODUCTOS[[#This Row],[CODIGO]])</f>
        <v/>
      </c>
      <c r="H470" s="56">
        <f>PRODUCTOS[[#This Row],[ENTRADAS]]-PRODUCTOS[[#This Row],[SALIDAS ]]</f>
        <v/>
      </c>
      <c r="I470" s="76" t="n">
        <v>0</v>
      </c>
      <c r="J470">
        <f>IF(PRODUCTOS[[#This Row],[STOCK]]&lt;0,"NEGATIVO",IF(PRODUCTOS[[#This Row],[STOCK]]=0,"SIN STOCK",IF(PRODUCTOS[[#This Row],[STOCK]]&lt;=PRODUCTOS[[#This Row],[STOCK MÍN.]],"BAJO","OK")))</f>
        <v/>
      </c>
      <c r="K4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71" hidden="1" s="11">
      <c r="A471" s="18" t="n">
        <v>456</v>
      </c>
      <c r="B471" s="56" t="inlineStr">
        <is>
          <t>00071-REF</t>
        </is>
      </c>
      <c r="C471" s="56">
        <f>IFERROR(_xlfn.XLOOKUP(PRODUCTOS[[#This Row],[CODIGO]],LISTADO[CODIGOS],LISTADO[CATEGORIA]),"NO EXISTE")</f>
        <v/>
      </c>
      <c r="D471" s="56">
        <f>IFERROR(_xlfn.XLOOKUP(PRODUCTOS[[#This Row],[CODIGO]],LISTADO[CODIGOS],LISTADO[PRODUCTOS]),"NO EXISTE")</f>
        <v/>
      </c>
      <c r="E471" s="56">
        <f>IFERROR(_xlfn.XLOOKUP(PRODUCTOS[[#This Row],[CODIGO]],LISTADO[CODIGOS],LISTADO[UBICACIÓN]),"NO EXISTE")</f>
        <v/>
      </c>
      <c r="F471" s="56">
        <f>SUMIFS(ENTRADAS[CANTIDAD],ENTRADAS[CODIGO],PRODUCTOS[[#This Row],[CODIGO]])</f>
        <v/>
      </c>
      <c r="G471" s="56">
        <f>SUMIFS(SALIDAS[CANTIDAD],SALIDAS[CODIGO],PRODUCTOS[[#This Row],[CODIGO]])</f>
        <v/>
      </c>
      <c r="H471" s="56">
        <f>PRODUCTOS[[#This Row],[ENTRADAS]]-PRODUCTOS[[#This Row],[SALIDAS ]]</f>
        <v/>
      </c>
      <c r="I471" s="76" t="n">
        <v>0</v>
      </c>
      <c r="J471">
        <f>IF(PRODUCTOS[[#This Row],[STOCK]]&lt;0,"NEGATIVO",IF(PRODUCTOS[[#This Row],[STOCK]]=0,"SIN STOCK",IF(PRODUCTOS[[#This Row],[STOCK]]&lt;=PRODUCTOS[[#This Row],[STOCK MÍN.]],"BAJO","OK")))</f>
        <v/>
      </c>
      <c r="K4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72" hidden="1" s="11">
      <c r="A472" s="18" t="n">
        <v>457</v>
      </c>
      <c r="B472" s="56" t="inlineStr">
        <is>
          <t>00004-AUT</t>
        </is>
      </c>
      <c r="C472" s="56">
        <f>IFERROR(_xlfn.XLOOKUP(PRODUCTOS[[#This Row],[CODIGO]],LISTADO[CODIGOS],LISTADO[CATEGORIA]),"NO EXISTE")</f>
        <v/>
      </c>
      <c r="D472" s="56">
        <f>IFERROR(_xlfn.XLOOKUP(PRODUCTOS[[#This Row],[CODIGO]],LISTADO[CODIGOS],LISTADO[PRODUCTOS]),"NO EXISTE")</f>
        <v/>
      </c>
      <c r="E472" s="56">
        <f>IFERROR(_xlfn.XLOOKUP(PRODUCTOS[[#This Row],[CODIGO]],LISTADO[CODIGOS],LISTADO[UBICACIÓN]),"NO EXISTE")</f>
        <v/>
      </c>
      <c r="F472" s="56">
        <f>SUMIFS(ENTRADAS[CANTIDAD],ENTRADAS[CODIGO],PRODUCTOS[[#This Row],[CODIGO]])</f>
        <v/>
      </c>
      <c r="G472" s="56">
        <f>SUMIFS(SALIDAS[CANTIDAD],SALIDAS[CODIGO],PRODUCTOS[[#This Row],[CODIGO]])</f>
        <v/>
      </c>
      <c r="H472" s="56">
        <f>PRODUCTOS[[#This Row],[ENTRADAS]]-PRODUCTOS[[#This Row],[SALIDAS ]]</f>
        <v/>
      </c>
      <c r="I472" s="76" t="n">
        <v>0</v>
      </c>
      <c r="J472">
        <f>IF(PRODUCTOS[[#This Row],[STOCK]]&lt;0,"NEGATIVO",IF(PRODUCTOS[[#This Row],[STOCK]]=0,"SIN STOCK",IF(PRODUCTOS[[#This Row],[STOCK]]&lt;=PRODUCTOS[[#This Row],[STOCK MÍN.]],"BAJO","OK")))</f>
        <v/>
      </c>
      <c r="K4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73" hidden="1" s="11">
      <c r="A473" s="18" t="n">
        <v>425</v>
      </c>
      <c r="B473" s="56" t="inlineStr">
        <is>
          <t>00005-AUT</t>
        </is>
      </c>
      <c r="C473" s="56">
        <f>IFERROR(_xlfn.XLOOKUP(PRODUCTOS[[#This Row],[CODIGO]],LISTADO[CODIGOS],LISTADO[CATEGORIA]),"NO EXISTE")</f>
        <v/>
      </c>
      <c r="D473" s="56">
        <f>IFERROR(_xlfn.XLOOKUP(PRODUCTOS[[#This Row],[CODIGO]],LISTADO[CODIGOS],LISTADO[PRODUCTOS]),"NO EXISTE")</f>
        <v/>
      </c>
      <c r="E473" s="56">
        <f>IFERROR(_xlfn.XLOOKUP(PRODUCTOS[[#This Row],[CODIGO]],LISTADO[CODIGOS],LISTADO[UBICACIÓN]),"NO EXISTE")</f>
        <v/>
      </c>
      <c r="F473" s="56">
        <f>SUMIFS(ENTRADAS[CANTIDAD],ENTRADAS[CODIGO],PRODUCTOS[[#This Row],[CODIGO]])</f>
        <v/>
      </c>
      <c r="G473" s="56">
        <f>SUMIFS(SALIDAS[CANTIDAD],SALIDAS[CODIGO],PRODUCTOS[[#This Row],[CODIGO]])</f>
        <v/>
      </c>
      <c r="H473" s="56">
        <f>PRODUCTOS[[#This Row],[ENTRADAS]]-PRODUCTOS[[#This Row],[SALIDAS ]]</f>
        <v/>
      </c>
      <c r="I473" s="76" t="n">
        <v>0</v>
      </c>
      <c r="J473">
        <f>IF(PRODUCTOS[[#This Row],[STOCK]]&lt;0,"NEGATIVO",IF(PRODUCTOS[[#This Row],[STOCK]]=0,"SIN STOCK",IF(PRODUCTOS[[#This Row],[STOCK]]&lt;=PRODUCTOS[[#This Row],[STOCK MÍN.]],"BAJO","OK")))</f>
        <v/>
      </c>
      <c r="K4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74" hidden="1" s="11">
      <c r="A474" s="18" t="n">
        <v>459</v>
      </c>
      <c r="B474" s="56" t="inlineStr">
        <is>
          <t>00006-AUT</t>
        </is>
      </c>
      <c r="C474" s="56">
        <f>IFERROR(_xlfn.XLOOKUP(PRODUCTOS[[#This Row],[CODIGO]],LISTADO[CODIGOS],LISTADO[CATEGORIA]),"NO EXISTE")</f>
        <v/>
      </c>
      <c r="D474" s="56">
        <f>IFERROR(_xlfn.XLOOKUP(PRODUCTOS[[#This Row],[CODIGO]],LISTADO[CODIGOS],LISTADO[PRODUCTOS]),"NO EXISTE")</f>
        <v/>
      </c>
      <c r="E474" s="56">
        <f>IFERROR(_xlfn.XLOOKUP(PRODUCTOS[[#This Row],[CODIGO]],LISTADO[CODIGOS],LISTADO[UBICACIÓN]),"NO EXISTE")</f>
        <v/>
      </c>
      <c r="F474" s="56">
        <f>SUMIFS(ENTRADAS[CANTIDAD],ENTRADAS[CODIGO],PRODUCTOS[[#This Row],[CODIGO]])</f>
        <v/>
      </c>
      <c r="G474" s="56">
        <f>SUMIFS(SALIDAS[CANTIDAD],SALIDAS[CODIGO],PRODUCTOS[[#This Row],[CODIGO]])</f>
        <v/>
      </c>
      <c r="H474" s="56">
        <f>PRODUCTOS[[#This Row],[ENTRADAS]]-PRODUCTOS[[#This Row],[SALIDAS ]]</f>
        <v/>
      </c>
      <c r="I474" s="76" t="n">
        <v>0</v>
      </c>
      <c r="J474">
        <f>IF(PRODUCTOS[[#This Row],[STOCK]]&lt;0,"NEGATIVO",IF(PRODUCTOS[[#This Row],[STOCK]]=0,"SIN STOCK",IF(PRODUCTOS[[#This Row],[STOCK]]&lt;=PRODUCTOS[[#This Row],[STOCK MÍN.]],"BAJO","OK")))</f>
        <v/>
      </c>
      <c r="K4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75" hidden="1" s="11">
      <c r="A475" s="18" t="n">
        <v>460</v>
      </c>
      <c r="B475" s="56" t="inlineStr">
        <is>
          <t>00007-AUT</t>
        </is>
      </c>
      <c r="C475" s="56">
        <f>IFERROR(_xlfn.XLOOKUP(PRODUCTOS[[#This Row],[CODIGO]],LISTADO[CODIGOS],LISTADO[CATEGORIA]),"NO EXISTE")</f>
        <v/>
      </c>
      <c r="D475" s="56">
        <f>IFERROR(_xlfn.XLOOKUP(PRODUCTOS[[#This Row],[CODIGO]],LISTADO[CODIGOS],LISTADO[PRODUCTOS]),"NO EXISTE")</f>
        <v/>
      </c>
      <c r="E475" s="56">
        <f>IFERROR(_xlfn.XLOOKUP(PRODUCTOS[[#This Row],[CODIGO]],LISTADO[CODIGOS],LISTADO[UBICACIÓN]),"NO EXISTE")</f>
        <v/>
      </c>
      <c r="F475" s="56">
        <f>SUMIFS(ENTRADAS[CANTIDAD],ENTRADAS[CODIGO],PRODUCTOS[[#This Row],[CODIGO]])</f>
        <v/>
      </c>
      <c r="G475" s="56">
        <f>SUMIFS(SALIDAS[CANTIDAD],SALIDAS[CODIGO],PRODUCTOS[[#This Row],[CODIGO]])</f>
        <v/>
      </c>
      <c r="H475" s="56">
        <f>PRODUCTOS[[#This Row],[ENTRADAS]]-PRODUCTOS[[#This Row],[SALIDAS ]]</f>
        <v/>
      </c>
      <c r="I475" s="76" t="n">
        <v>0</v>
      </c>
      <c r="J475">
        <f>IF(PRODUCTOS[[#This Row],[STOCK]]&lt;0,"NEGATIVO",IF(PRODUCTOS[[#This Row],[STOCK]]=0,"SIN STOCK",IF(PRODUCTOS[[#This Row],[STOCK]]&lt;=PRODUCTOS[[#This Row],[STOCK MÍN.]],"BAJO","OK")))</f>
        <v/>
      </c>
      <c r="K4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76" hidden="1" s="11">
      <c r="A476" s="18" t="n">
        <v>461</v>
      </c>
      <c r="B476" s="56" t="inlineStr">
        <is>
          <t>00008-AUT</t>
        </is>
      </c>
      <c r="C476" s="56">
        <f>IFERROR(_xlfn.XLOOKUP(PRODUCTOS[[#This Row],[CODIGO]],LISTADO[CODIGOS],LISTADO[CATEGORIA]),"NO EXISTE")</f>
        <v/>
      </c>
      <c r="D476" s="56">
        <f>IFERROR(_xlfn.XLOOKUP(PRODUCTOS[[#This Row],[CODIGO]],LISTADO[CODIGOS],LISTADO[PRODUCTOS]),"NO EXISTE")</f>
        <v/>
      </c>
      <c r="E476" s="56">
        <f>IFERROR(_xlfn.XLOOKUP(PRODUCTOS[[#This Row],[CODIGO]],LISTADO[CODIGOS],LISTADO[UBICACIÓN]),"NO EXISTE")</f>
        <v/>
      </c>
      <c r="F476" s="56">
        <f>SUMIFS(ENTRADAS[CANTIDAD],ENTRADAS[CODIGO],PRODUCTOS[[#This Row],[CODIGO]])</f>
        <v/>
      </c>
      <c r="G476" s="56">
        <f>SUMIFS(SALIDAS[CANTIDAD],SALIDAS[CODIGO],PRODUCTOS[[#This Row],[CODIGO]])</f>
        <v/>
      </c>
      <c r="H476" s="56">
        <f>PRODUCTOS[[#This Row],[ENTRADAS]]-PRODUCTOS[[#This Row],[SALIDAS ]]</f>
        <v/>
      </c>
      <c r="I476" s="76" t="n">
        <v>0</v>
      </c>
      <c r="J476">
        <f>IF(PRODUCTOS[[#This Row],[STOCK]]&lt;0,"NEGATIVO",IF(PRODUCTOS[[#This Row],[STOCK]]=0,"SIN STOCK",IF(PRODUCTOS[[#This Row],[STOCK]]&lt;=PRODUCTOS[[#This Row],[STOCK MÍN.]],"BAJO","OK")))</f>
        <v/>
      </c>
      <c r="K4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77" hidden="1" s="11">
      <c r="A477" s="18" t="n">
        <v>462</v>
      </c>
      <c r="B477" s="56" t="inlineStr">
        <is>
          <t>00071-FER</t>
        </is>
      </c>
      <c r="C477" s="56">
        <f>IFERROR(_xlfn.XLOOKUP(PRODUCTOS[[#This Row],[CODIGO]],LISTADO[CODIGOS],LISTADO[CATEGORIA]),"NO EXISTE")</f>
        <v/>
      </c>
      <c r="D477" s="56">
        <f>IFERROR(_xlfn.XLOOKUP(PRODUCTOS[[#This Row],[CODIGO]],LISTADO[CODIGOS],LISTADO[PRODUCTOS]),"NO EXISTE")</f>
        <v/>
      </c>
      <c r="E477" s="56">
        <f>IFERROR(_xlfn.XLOOKUP(PRODUCTOS[[#This Row],[CODIGO]],LISTADO[CODIGOS],LISTADO[UBICACIÓN]),"NO EXISTE")</f>
        <v/>
      </c>
      <c r="F477" s="56">
        <f>SUMIFS(ENTRADAS[CANTIDAD],ENTRADAS[CODIGO],PRODUCTOS[[#This Row],[CODIGO]])</f>
        <v/>
      </c>
      <c r="G477" s="56">
        <f>SUMIFS(SALIDAS[CANTIDAD],SALIDAS[CODIGO],PRODUCTOS[[#This Row],[CODIGO]])</f>
        <v/>
      </c>
      <c r="H477" s="56">
        <f>PRODUCTOS[[#This Row],[ENTRADAS]]-PRODUCTOS[[#This Row],[SALIDAS ]]</f>
        <v/>
      </c>
      <c r="I477" s="76" t="n">
        <v>0</v>
      </c>
      <c r="J477">
        <f>IF(PRODUCTOS[[#This Row],[STOCK]]&lt;0,"NEGATIVO",IF(PRODUCTOS[[#This Row],[STOCK]]=0,"SIN STOCK",IF(PRODUCTOS[[#This Row],[STOCK]]&lt;=PRODUCTOS[[#This Row],[STOCK MÍN.]],"BAJO","OK")))</f>
        <v/>
      </c>
      <c r="K4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78" hidden="1" s="11">
      <c r="A478" s="18" t="n">
        <v>463</v>
      </c>
      <c r="B478" s="56" t="inlineStr">
        <is>
          <t>00072-FER</t>
        </is>
      </c>
      <c r="C478" s="56">
        <f>IFERROR(_xlfn.XLOOKUP(PRODUCTOS[[#This Row],[CODIGO]],LISTADO[CODIGOS],LISTADO[CATEGORIA]),"NO EXISTE")</f>
        <v/>
      </c>
      <c r="D478" s="56">
        <f>IFERROR(_xlfn.XLOOKUP(PRODUCTOS[[#This Row],[CODIGO]],LISTADO[CODIGOS],LISTADO[PRODUCTOS]),"NO EXISTE")</f>
        <v/>
      </c>
      <c r="E478" s="56">
        <f>IFERROR(_xlfn.XLOOKUP(PRODUCTOS[[#This Row],[CODIGO]],LISTADO[CODIGOS],LISTADO[UBICACIÓN]),"NO EXISTE")</f>
        <v/>
      </c>
      <c r="F478" s="56">
        <f>SUMIFS(ENTRADAS[CANTIDAD],ENTRADAS[CODIGO],PRODUCTOS[[#This Row],[CODIGO]])</f>
        <v/>
      </c>
      <c r="G478" s="56">
        <f>SUMIFS(SALIDAS[CANTIDAD],SALIDAS[CODIGO],PRODUCTOS[[#This Row],[CODIGO]])</f>
        <v/>
      </c>
      <c r="H478" s="56">
        <f>PRODUCTOS[[#This Row],[ENTRADAS]]-PRODUCTOS[[#This Row],[SALIDAS ]]</f>
        <v/>
      </c>
      <c r="I478" s="76" t="n">
        <v>0</v>
      </c>
      <c r="J478">
        <f>IF(PRODUCTOS[[#This Row],[STOCK]]&lt;0,"NEGATIVO",IF(PRODUCTOS[[#This Row],[STOCK]]=0,"SIN STOCK",IF(PRODUCTOS[[#This Row],[STOCK]]&lt;=PRODUCTOS[[#This Row],[STOCK MÍN.]],"BAJO","OK")))</f>
        <v/>
      </c>
      <c r="K4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79" hidden="1" s="11">
      <c r="A479" s="18" t="n">
        <v>464</v>
      </c>
      <c r="B479" s="56" t="inlineStr">
        <is>
          <t>00073-FER</t>
        </is>
      </c>
      <c r="C479" s="56">
        <f>IFERROR(_xlfn.XLOOKUP(PRODUCTOS[[#This Row],[CODIGO]],LISTADO[CODIGOS],LISTADO[CATEGORIA]),"NO EXISTE")</f>
        <v/>
      </c>
      <c r="D479" s="56">
        <f>IFERROR(_xlfn.XLOOKUP(PRODUCTOS[[#This Row],[CODIGO]],LISTADO[CODIGOS],LISTADO[PRODUCTOS]),"NO EXISTE")</f>
        <v/>
      </c>
      <c r="E479" s="56">
        <f>IFERROR(_xlfn.XLOOKUP(PRODUCTOS[[#This Row],[CODIGO]],LISTADO[CODIGOS],LISTADO[UBICACIÓN]),"NO EXISTE")</f>
        <v/>
      </c>
      <c r="F479" s="56">
        <f>SUMIFS(ENTRADAS[CANTIDAD],ENTRADAS[CODIGO],PRODUCTOS[[#This Row],[CODIGO]])</f>
        <v/>
      </c>
      <c r="G479" s="56">
        <f>SUMIFS(SALIDAS[CANTIDAD],SALIDAS[CODIGO],PRODUCTOS[[#This Row],[CODIGO]])</f>
        <v/>
      </c>
      <c r="H479" s="56">
        <f>PRODUCTOS[[#This Row],[ENTRADAS]]-PRODUCTOS[[#This Row],[SALIDAS ]]</f>
        <v/>
      </c>
      <c r="I479" s="76" t="n">
        <v>0</v>
      </c>
      <c r="J479">
        <f>IF(PRODUCTOS[[#This Row],[STOCK]]&lt;0,"NEGATIVO",IF(PRODUCTOS[[#This Row],[STOCK]]=0,"SIN STOCK",IF(PRODUCTOS[[#This Row],[STOCK]]&lt;=PRODUCTOS[[#This Row],[STOCK MÍN.]],"BAJO","OK")))</f>
        <v/>
      </c>
      <c r="K4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80" hidden="1" s="11">
      <c r="A480" s="18" t="n">
        <v>465</v>
      </c>
      <c r="B480" s="56" t="inlineStr">
        <is>
          <t>00072-REF</t>
        </is>
      </c>
      <c r="C480" s="56">
        <f>IFERROR(_xlfn.XLOOKUP(PRODUCTOS[[#This Row],[CODIGO]],LISTADO[CODIGOS],LISTADO[CATEGORIA]),"NO EXISTE")</f>
        <v/>
      </c>
      <c r="D480" s="56">
        <f>IFERROR(_xlfn.XLOOKUP(PRODUCTOS[[#This Row],[CODIGO]],LISTADO[CODIGOS],LISTADO[PRODUCTOS]),"NO EXISTE")</f>
        <v/>
      </c>
      <c r="E480" s="56">
        <f>IFERROR(_xlfn.XLOOKUP(PRODUCTOS[[#This Row],[CODIGO]],LISTADO[CODIGOS],LISTADO[UBICACIÓN]),"NO EXISTE")</f>
        <v/>
      </c>
      <c r="F480" s="56">
        <f>SUMIFS(ENTRADAS[CANTIDAD],ENTRADAS[CODIGO],PRODUCTOS[[#This Row],[CODIGO]])</f>
        <v/>
      </c>
      <c r="G480" s="56">
        <f>SUMIFS(SALIDAS[CANTIDAD],SALIDAS[CODIGO],PRODUCTOS[[#This Row],[CODIGO]])</f>
        <v/>
      </c>
      <c r="H480" s="56">
        <f>PRODUCTOS[[#This Row],[ENTRADAS]]-PRODUCTOS[[#This Row],[SALIDAS ]]</f>
        <v/>
      </c>
      <c r="I480" s="76" t="n">
        <v>0</v>
      </c>
      <c r="J480">
        <f>IF(PRODUCTOS[[#This Row],[STOCK]]&lt;0,"NEGATIVO",IF(PRODUCTOS[[#This Row],[STOCK]]=0,"SIN STOCK",IF(PRODUCTOS[[#This Row],[STOCK]]&lt;=PRODUCTOS[[#This Row],[STOCK MÍN.]],"BAJO","OK")))</f>
        <v/>
      </c>
      <c r="K4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81" hidden="1" s="11">
      <c r="A481" s="18" t="n">
        <v>466</v>
      </c>
      <c r="B481" s="56" t="inlineStr">
        <is>
          <t>00073-REF</t>
        </is>
      </c>
      <c r="C481" s="56">
        <f>IFERROR(_xlfn.XLOOKUP(PRODUCTOS[[#This Row],[CODIGO]],LISTADO[CODIGOS],LISTADO[CATEGORIA]),"NO EXISTE")</f>
        <v/>
      </c>
      <c r="D481" s="56">
        <f>IFERROR(_xlfn.XLOOKUP(PRODUCTOS[[#This Row],[CODIGO]],LISTADO[CODIGOS],LISTADO[PRODUCTOS]),"NO EXISTE")</f>
        <v/>
      </c>
      <c r="E481" s="56">
        <f>IFERROR(_xlfn.XLOOKUP(PRODUCTOS[[#This Row],[CODIGO]],LISTADO[CODIGOS],LISTADO[UBICACIÓN]),"NO EXISTE")</f>
        <v/>
      </c>
      <c r="F481" s="56">
        <f>SUMIFS(ENTRADAS[CANTIDAD],ENTRADAS[CODIGO],PRODUCTOS[[#This Row],[CODIGO]])</f>
        <v/>
      </c>
      <c r="G481" s="56">
        <f>SUMIFS(SALIDAS[CANTIDAD],SALIDAS[CODIGO],PRODUCTOS[[#This Row],[CODIGO]])</f>
        <v/>
      </c>
      <c r="H481" s="56">
        <f>PRODUCTOS[[#This Row],[ENTRADAS]]-PRODUCTOS[[#This Row],[SALIDAS ]]</f>
        <v/>
      </c>
      <c r="I481" s="76" t="n">
        <v>0</v>
      </c>
      <c r="J481">
        <f>IF(PRODUCTOS[[#This Row],[STOCK]]&lt;0,"NEGATIVO",IF(PRODUCTOS[[#This Row],[STOCK]]=0,"SIN STOCK",IF(PRODUCTOS[[#This Row],[STOCK]]&lt;=PRODUCTOS[[#This Row],[STOCK MÍN.]],"BAJO","OK")))</f>
        <v/>
      </c>
      <c r="K4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82" hidden="1" s="11">
      <c r="A482" s="18" t="n">
        <v>467</v>
      </c>
      <c r="B482" s="56" t="inlineStr">
        <is>
          <t>00099-HER</t>
        </is>
      </c>
      <c r="C482" s="56">
        <f>IFERROR(_xlfn.XLOOKUP(PRODUCTOS[[#This Row],[CODIGO]],LISTADO[CODIGOS],LISTADO[CATEGORIA]),"NO EXISTE")</f>
        <v/>
      </c>
      <c r="D482" s="56">
        <f>IFERROR(_xlfn.XLOOKUP(PRODUCTOS[[#This Row],[CODIGO]],LISTADO[CODIGOS],LISTADO[PRODUCTOS]),"NO EXISTE")</f>
        <v/>
      </c>
      <c r="E482" s="56">
        <f>IFERROR(_xlfn.XLOOKUP(PRODUCTOS[[#This Row],[CODIGO]],LISTADO[CODIGOS],LISTADO[UBICACIÓN]),"NO EXISTE")</f>
        <v/>
      </c>
      <c r="F482" s="56">
        <f>SUMIFS(ENTRADAS[CANTIDAD],ENTRADAS[CODIGO],PRODUCTOS[[#This Row],[CODIGO]])</f>
        <v/>
      </c>
      <c r="G482" s="56">
        <f>SUMIFS(SALIDAS[CANTIDAD],SALIDAS[CODIGO],PRODUCTOS[[#This Row],[CODIGO]])</f>
        <v/>
      </c>
      <c r="H482" s="56">
        <f>PRODUCTOS[[#This Row],[ENTRADAS]]-PRODUCTOS[[#This Row],[SALIDAS ]]</f>
        <v/>
      </c>
      <c r="I482" s="76" t="n">
        <v>0</v>
      </c>
      <c r="J482">
        <f>IF(PRODUCTOS[[#This Row],[STOCK]]&lt;0,"NEGATIVO",IF(PRODUCTOS[[#This Row],[STOCK]]=0,"SIN STOCK",IF(PRODUCTOS[[#This Row],[STOCK]]&lt;=PRODUCTOS[[#This Row],[STOCK MÍN.]],"BAJO","OK")))</f>
        <v/>
      </c>
      <c r="K4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83" hidden="1" s="11">
      <c r="A483" s="18" t="n">
        <v>468</v>
      </c>
      <c r="B483" s="56" t="inlineStr">
        <is>
          <t>00100-HER</t>
        </is>
      </c>
      <c r="C483" s="56">
        <f>IFERROR(_xlfn.XLOOKUP(PRODUCTOS[[#This Row],[CODIGO]],LISTADO[CODIGOS],LISTADO[CATEGORIA]),"NO EXISTE")</f>
        <v/>
      </c>
      <c r="D483" s="56">
        <f>IFERROR(_xlfn.XLOOKUP(PRODUCTOS[[#This Row],[CODIGO]],LISTADO[CODIGOS],LISTADO[PRODUCTOS]),"NO EXISTE")</f>
        <v/>
      </c>
      <c r="E483" s="56">
        <f>IFERROR(_xlfn.XLOOKUP(PRODUCTOS[[#This Row],[CODIGO]],LISTADO[CODIGOS],LISTADO[UBICACIÓN]),"NO EXISTE")</f>
        <v/>
      </c>
      <c r="F483" s="56">
        <f>SUMIFS(ENTRADAS[CANTIDAD],ENTRADAS[CODIGO],PRODUCTOS[[#This Row],[CODIGO]])</f>
        <v/>
      </c>
      <c r="G483" s="56">
        <f>SUMIFS(SALIDAS[CANTIDAD],SALIDAS[CODIGO],PRODUCTOS[[#This Row],[CODIGO]])</f>
        <v/>
      </c>
      <c r="H483" s="56">
        <f>PRODUCTOS[[#This Row],[ENTRADAS]]-PRODUCTOS[[#This Row],[SALIDAS ]]</f>
        <v/>
      </c>
      <c r="I483" s="76" t="n">
        <v>0</v>
      </c>
      <c r="J483">
        <f>IF(PRODUCTOS[[#This Row],[STOCK]]&lt;0,"NEGATIVO",IF(PRODUCTOS[[#This Row],[STOCK]]=0,"SIN STOCK",IF(PRODUCTOS[[#This Row],[STOCK]]&lt;=PRODUCTOS[[#This Row],[STOCK MÍN.]],"BAJO","OK")))</f>
        <v/>
      </c>
      <c r="K4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84" hidden="1" s="11">
      <c r="A484" s="18" t="n">
        <v>469</v>
      </c>
      <c r="B484" s="56" t="inlineStr">
        <is>
          <t>00101-HER</t>
        </is>
      </c>
      <c r="C484" s="56">
        <f>IFERROR(_xlfn.XLOOKUP(PRODUCTOS[[#This Row],[CODIGO]],LISTADO[CODIGOS],LISTADO[CATEGORIA]),"NO EXISTE")</f>
        <v/>
      </c>
      <c r="D484" s="56">
        <f>IFERROR(_xlfn.XLOOKUP(PRODUCTOS[[#This Row],[CODIGO]],LISTADO[CODIGOS],LISTADO[PRODUCTOS]),"NO EXISTE")</f>
        <v/>
      </c>
      <c r="E484" s="56">
        <f>IFERROR(_xlfn.XLOOKUP(PRODUCTOS[[#This Row],[CODIGO]],LISTADO[CODIGOS],LISTADO[UBICACIÓN]),"NO EXISTE")</f>
        <v/>
      </c>
      <c r="F484" s="56">
        <f>SUMIFS(ENTRADAS[CANTIDAD],ENTRADAS[CODIGO],PRODUCTOS[[#This Row],[CODIGO]])</f>
        <v/>
      </c>
      <c r="G484" s="56">
        <f>SUMIFS(SALIDAS[CANTIDAD],SALIDAS[CODIGO],PRODUCTOS[[#This Row],[CODIGO]])</f>
        <v/>
      </c>
      <c r="H484" s="56">
        <f>PRODUCTOS[[#This Row],[ENTRADAS]]-PRODUCTOS[[#This Row],[SALIDAS ]]</f>
        <v/>
      </c>
      <c r="I484" s="76" t="n">
        <v>0</v>
      </c>
      <c r="J484">
        <f>IF(PRODUCTOS[[#This Row],[STOCK]]&lt;0,"NEGATIVO",IF(PRODUCTOS[[#This Row],[STOCK]]=0,"SIN STOCK",IF(PRODUCTOS[[#This Row],[STOCK]]&lt;=PRODUCTOS[[#This Row],[STOCK MÍN.]],"BAJO","OK")))</f>
        <v/>
      </c>
      <c r="K4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85" hidden="1" s="11">
      <c r="A485" s="18" t="n">
        <v>470</v>
      </c>
      <c r="B485" s="56" t="inlineStr">
        <is>
          <t>00074-FER</t>
        </is>
      </c>
      <c r="C485" s="56">
        <f>IFERROR(_xlfn.XLOOKUP(PRODUCTOS[[#This Row],[CODIGO]],LISTADO[CODIGOS],LISTADO[CATEGORIA]),"NO EXISTE")</f>
        <v/>
      </c>
      <c r="D485" s="56">
        <f>IFERROR(_xlfn.XLOOKUP(PRODUCTOS[[#This Row],[CODIGO]],LISTADO[CODIGOS],LISTADO[PRODUCTOS]),"NO EXISTE")</f>
        <v/>
      </c>
      <c r="E485" s="56">
        <f>IFERROR(_xlfn.XLOOKUP(PRODUCTOS[[#This Row],[CODIGO]],LISTADO[CODIGOS],LISTADO[UBICACIÓN]),"NO EXISTE")</f>
        <v/>
      </c>
      <c r="F485" s="56">
        <f>SUMIFS(ENTRADAS[CANTIDAD],ENTRADAS[CODIGO],PRODUCTOS[[#This Row],[CODIGO]])</f>
        <v/>
      </c>
      <c r="G485" s="56">
        <f>SUMIFS(SALIDAS[CANTIDAD],SALIDAS[CODIGO],PRODUCTOS[[#This Row],[CODIGO]])</f>
        <v/>
      </c>
      <c r="H485" s="56">
        <f>PRODUCTOS[[#This Row],[ENTRADAS]]-PRODUCTOS[[#This Row],[SALIDAS ]]</f>
        <v/>
      </c>
      <c r="I485" s="76" t="n">
        <v>0</v>
      </c>
      <c r="J485">
        <f>IF(PRODUCTOS[[#This Row],[STOCK]]&lt;0,"NEGATIVO",IF(PRODUCTOS[[#This Row],[STOCK]]=0,"SIN STOCK",IF(PRODUCTOS[[#This Row],[STOCK]]&lt;=PRODUCTOS[[#This Row],[STOCK MÍN.]],"BAJO","OK")))</f>
        <v/>
      </c>
      <c r="K4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86" hidden="1" s="11">
      <c r="A486" s="18" t="n">
        <v>471</v>
      </c>
      <c r="B486" s="56" t="inlineStr">
        <is>
          <t>00075-FER</t>
        </is>
      </c>
      <c r="C486" s="56">
        <f>IFERROR(_xlfn.XLOOKUP(PRODUCTOS[[#This Row],[CODIGO]],LISTADO[CODIGOS],LISTADO[CATEGORIA]),"NO EXISTE")</f>
        <v/>
      </c>
      <c r="D486" s="56">
        <f>IFERROR(_xlfn.XLOOKUP(PRODUCTOS[[#This Row],[CODIGO]],LISTADO[CODIGOS],LISTADO[PRODUCTOS]),"NO EXISTE")</f>
        <v/>
      </c>
      <c r="E486" s="56">
        <f>IFERROR(_xlfn.XLOOKUP(PRODUCTOS[[#This Row],[CODIGO]],LISTADO[CODIGOS],LISTADO[UBICACIÓN]),"NO EXISTE")</f>
        <v/>
      </c>
      <c r="F486" s="56">
        <f>SUMIFS(ENTRADAS[CANTIDAD],ENTRADAS[CODIGO],PRODUCTOS[[#This Row],[CODIGO]])</f>
        <v/>
      </c>
      <c r="G486" s="56">
        <f>SUMIFS(SALIDAS[CANTIDAD],SALIDAS[CODIGO],PRODUCTOS[[#This Row],[CODIGO]])</f>
        <v/>
      </c>
      <c r="H486" s="56">
        <f>PRODUCTOS[[#This Row],[ENTRADAS]]-PRODUCTOS[[#This Row],[SALIDAS ]]</f>
        <v/>
      </c>
      <c r="I486" s="76" t="n">
        <v>0</v>
      </c>
      <c r="J486">
        <f>IF(PRODUCTOS[[#This Row],[STOCK]]&lt;0,"NEGATIVO",IF(PRODUCTOS[[#This Row],[STOCK]]=0,"SIN STOCK",IF(PRODUCTOS[[#This Row],[STOCK]]&lt;=PRODUCTOS[[#This Row],[STOCK MÍN.]],"BAJO","OK")))</f>
        <v/>
      </c>
      <c r="K4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87" hidden="1" s="11">
      <c r="A487" s="18" t="n">
        <v>472</v>
      </c>
      <c r="B487" s="56" t="inlineStr">
        <is>
          <t>00076-FER</t>
        </is>
      </c>
      <c r="C487" s="56">
        <f>IFERROR(_xlfn.XLOOKUP(PRODUCTOS[[#This Row],[CODIGO]],LISTADO[CODIGOS],LISTADO[CATEGORIA]),"NO EXISTE")</f>
        <v/>
      </c>
      <c r="D487" s="56">
        <f>IFERROR(_xlfn.XLOOKUP(PRODUCTOS[[#This Row],[CODIGO]],LISTADO[CODIGOS],LISTADO[PRODUCTOS]),"NO EXISTE")</f>
        <v/>
      </c>
      <c r="E487" s="56">
        <f>IFERROR(_xlfn.XLOOKUP(PRODUCTOS[[#This Row],[CODIGO]],LISTADO[CODIGOS],LISTADO[UBICACIÓN]),"NO EXISTE")</f>
        <v/>
      </c>
      <c r="F487" s="56">
        <f>SUMIFS(ENTRADAS[CANTIDAD],ENTRADAS[CODIGO],PRODUCTOS[[#This Row],[CODIGO]])</f>
        <v/>
      </c>
      <c r="G487" s="56">
        <f>SUMIFS(SALIDAS[CANTIDAD],SALIDAS[CODIGO],PRODUCTOS[[#This Row],[CODIGO]])</f>
        <v/>
      </c>
      <c r="H487" s="56">
        <f>PRODUCTOS[[#This Row],[ENTRADAS]]-PRODUCTOS[[#This Row],[SALIDAS ]]</f>
        <v/>
      </c>
      <c r="I487" s="76" t="n">
        <v>0</v>
      </c>
      <c r="J487">
        <f>IF(PRODUCTOS[[#This Row],[STOCK]]&lt;0,"NEGATIVO",IF(PRODUCTOS[[#This Row],[STOCK]]=0,"SIN STOCK",IF(PRODUCTOS[[#This Row],[STOCK]]&lt;=PRODUCTOS[[#This Row],[STOCK MÍN.]],"BAJO","OK")))</f>
        <v/>
      </c>
      <c r="K4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88" hidden="1" s="11">
      <c r="A488" s="18" t="n">
        <v>473</v>
      </c>
      <c r="B488" s="56" t="inlineStr">
        <is>
          <t>00034-OFC</t>
        </is>
      </c>
      <c r="C488" s="56">
        <f>IFERROR(_xlfn.XLOOKUP(PRODUCTOS[[#This Row],[CODIGO]],LISTADO[CODIGOS],LISTADO[CATEGORIA]),"NO EXISTE")</f>
        <v/>
      </c>
      <c r="D488" s="56">
        <f>IFERROR(_xlfn.XLOOKUP(PRODUCTOS[[#This Row],[CODIGO]],LISTADO[CODIGOS],LISTADO[PRODUCTOS]),"NO EXISTE")</f>
        <v/>
      </c>
      <c r="E488" s="56">
        <f>IFERROR(_xlfn.XLOOKUP(PRODUCTOS[[#This Row],[CODIGO]],LISTADO[CODIGOS],LISTADO[UBICACIÓN]),"NO EXISTE")</f>
        <v/>
      </c>
      <c r="F488" s="56">
        <f>SUMIFS(ENTRADAS[CANTIDAD],ENTRADAS[CODIGO],PRODUCTOS[[#This Row],[CODIGO]])</f>
        <v/>
      </c>
      <c r="G488" s="56">
        <f>SUMIFS(SALIDAS[CANTIDAD],SALIDAS[CODIGO],PRODUCTOS[[#This Row],[CODIGO]])</f>
        <v/>
      </c>
      <c r="H488" s="56">
        <f>PRODUCTOS[[#This Row],[ENTRADAS]]-PRODUCTOS[[#This Row],[SALIDAS ]]</f>
        <v/>
      </c>
      <c r="I488" s="76" t="n">
        <v>0</v>
      </c>
      <c r="J488">
        <f>IF(PRODUCTOS[[#This Row],[STOCK]]&lt;0,"NEGATIVO",IF(PRODUCTOS[[#This Row],[STOCK]]=0,"SIN STOCK",IF(PRODUCTOS[[#This Row],[STOCK]]&lt;=PRODUCTOS[[#This Row],[STOCK MÍN.]],"BAJO","OK")))</f>
        <v/>
      </c>
      <c r="K4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89" hidden="1" s="11">
      <c r="A489" s="18" t="n">
        <v>474</v>
      </c>
      <c r="B489" s="56" t="inlineStr">
        <is>
          <t>00074-REF</t>
        </is>
      </c>
      <c r="C489" s="56">
        <f>IFERROR(_xlfn.XLOOKUP(PRODUCTOS[[#This Row],[CODIGO]],LISTADO[CODIGOS],LISTADO[CATEGORIA]),"NO EXISTE")</f>
        <v/>
      </c>
      <c r="D489" s="56">
        <f>IFERROR(_xlfn.XLOOKUP(PRODUCTOS[[#This Row],[CODIGO]],LISTADO[CODIGOS],LISTADO[PRODUCTOS]),"NO EXISTE")</f>
        <v/>
      </c>
      <c r="E489" s="56">
        <f>IFERROR(_xlfn.XLOOKUP(PRODUCTOS[[#This Row],[CODIGO]],LISTADO[CODIGOS],LISTADO[UBICACIÓN]),"NO EXISTE")</f>
        <v/>
      </c>
      <c r="F489" s="56">
        <f>SUMIFS(ENTRADAS[CANTIDAD],ENTRADAS[CODIGO],PRODUCTOS[[#This Row],[CODIGO]])</f>
        <v/>
      </c>
      <c r="G489" s="56">
        <f>SUMIFS(SALIDAS[CANTIDAD],SALIDAS[CODIGO],PRODUCTOS[[#This Row],[CODIGO]])</f>
        <v/>
      </c>
      <c r="H489" s="56">
        <f>PRODUCTOS[[#This Row],[ENTRADAS]]-PRODUCTOS[[#This Row],[SALIDAS ]]</f>
        <v/>
      </c>
      <c r="I489" s="76" t="n">
        <v>0</v>
      </c>
      <c r="J489">
        <f>IF(PRODUCTOS[[#This Row],[STOCK]]&lt;0,"NEGATIVO",IF(PRODUCTOS[[#This Row],[STOCK]]=0,"SIN STOCK",IF(PRODUCTOS[[#This Row],[STOCK]]&lt;=PRODUCTOS[[#This Row],[STOCK MÍN.]],"BAJO","OK")))</f>
        <v/>
      </c>
      <c r="K4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90" hidden="1" s="11">
      <c r="A490" s="18" t="n">
        <v>475</v>
      </c>
      <c r="B490" s="56" t="inlineStr">
        <is>
          <t>00023-ELC</t>
        </is>
      </c>
      <c r="C490" s="56">
        <f>IFERROR(_xlfn.XLOOKUP(PRODUCTOS[[#This Row],[CODIGO]],LISTADO[CODIGOS],LISTADO[CATEGORIA]),"NO EXISTE")</f>
        <v/>
      </c>
      <c r="D490" s="56">
        <f>IFERROR(_xlfn.XLOOKUP(PRODUCTOS[[#This Row],[CODIGO]],LISTADO[CODIGOS],LISTADO[PRODUCTOS]),"NO EXISTE")</f>
        <v/>
      </c>
      <c r="E490" s="56">
        <f>IFERROR(_xlfn.XLOOKUP(PRODUCTOS[[#This Row],[CODIGO]],LISTADO[CODIGOS],LISTADO[UBICACIÓN]),"NO EXISTE")</f>
        <v/>
      </c>
      <c r="F490" s="56">
        <f>SUMIFS(ENTRADAS[CANTIDAD],ENTRADAS[CODIGO],PRODUCTOS[[#This Row],[CODIGO]])</f>
        <v/>
      </c>
      <c r="G490" s="56">
        <f>SUMIFS(SALIDAS[CANTIDAD],SALIDAS[CODIGO],PRODUCTOS[[#This Row],[CODIGO]])</f>
        <v/>
      </c>
      <c r="H490" s="56">
        <f>PRODUCTOS[[#This Row],[ENTRADAS]]-PRODUCTOS[[#This Row],[SALIDAS ]]</f>
        <v/>
      </c>
      <c r="I490" s="76" t="n">
        <v>0</v>
      </c>
      <c r="J490">
        <f>IF(PRODUCTOS[[#This Row],[STOCK]]&lt;0,"NEGATIVO",IF(PRODUCTOS[[#This Row],[STOCK]]=0,"SIN STOCK",IF(PRODUCTOS[[#This Row],[STOCK]]&lt;=PRODUCTOS[[#This Row],[STOCK MÍN.]],"BAJO","OK")))</f>
        <v/>
      </c>
      <c r="K4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91" hidden="1" s="11">
      <c r="A491" s="18" t="n">
        <v>476</v>
      </c>
      <c r="B491" s="56" t="inlineStr">
        <is>
          <t>00102-HER</t>
        </is>
      </c>
      <c r="C491" s="56">
        <f>IFERROR(_xlfn.XLOOKUP(PRODUCTOS[[#This Row],[CODIGO]],LISTADO[CODIGOS],LISTADO[CATEGORIA]),"NO EXISTE")</f>
        <v/>
      </c>
      <c r="D491" s="56">
        <f>IFERROR(_xlfn.XLOOKUP(PRODUCTOS[[#This Row],[CODIGO]],LISTADO[CODIGOS],LISTADO[PRODUCTOS]),"NO EXISTE")</f>
        <v/>
      </c>
      <c r="E491" s="56">
        <f>IFERROR(_xlfn.XLOOKUP(PRODUCTOS[[#This Row],[CODIGO]],LISTADO[CODIGOS],LISTADO[UBICACIÓN]),"NO EXISTE")</f>
        <v/>
      </c>
      <c r="F491" s="56">
        <f>SUMIFS(ENTRADAS[CANTIDAD],ENTRADAS[CODIGO],PRODUCTOS[[#This Row],[CODIGO]])</f>
        <v/>
      </c>
      <c r="G491" s="56">
        <f>SUMIFS(SALIDAS[CANTIDAD],SALIDAS[CODIGO],PRODUCTOS[[#This Row],[CODIGO]])</f>
        <v/>
      </c>
      <c r="H491" s="56">
        <f>PRODUCTOS[[#This Row],[ENTRADAS]]-PRODUCTOS[[#This Row],[SALIDAS ]]</f>
        <v/>
      </c>
      <c r="I491" s="76" t="n">
        <v>0</v>
      </c>
      <c r="J491">
        <f>IF(PRODUCTOS[[#This Row],[STOCK]]&lt;0,"NEGATIVO",IF(PRODUCTOS[[#This Row],[STOCK]]=0,"SIN STOCK",IF(PRODUCTOS[[#This Row],[STOCK]]&lt;=PRODUCTOS[[#This Row],[STOCK MÍN.]],"BAJO","OK")))</f>
        <v/>
      </c>
      <c r="K4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92" hidden="1" s="11">
      <c r="A492" s="18" t="n">
        <v>477</v>
      </c>
      <c r="B492" s="56" t="inlineStr">
        <is>
          <t>00103-HER</t>
        </is>
      </c>
      <c r="C492" s="56">
        <f>IFERROR(_xlfn.XLOOKUP(PRODUCTOS[[#This Row],[CODIGO]],LISTADO[CODIGOS],LISTADO[CATEGORIA]),"NO EXISTE")</f>
        <v/>
      </c>
      <c r="D492" s="56">
        <f>IFERROR(_xlfn.XLOOKUP(PRODUCTOS[[#This Row],[CODIGO]],LISTADO[CODIGOS],LISTADO[PRODUCTOS]),"NO EXISTE")</f>
        <v/>
      </c>
      <c r="E492" s="56">
        <f>IFERROR(_xlfn.XLOOKUP(PRODUCTOS[[#This Row],[CODIGO]],LISTADO[CODIGOS],LISTADO[UBICACIÓN]),"NO EXISTE")</f>
        <v/>
      </c>
      <c r="F492" s="56">
        <f>SUMIFS(ENTRADAS[CANTIDAD],ENTRADAS[CODIGO],PRODUCTOS[[#This Row],[CODIGO]])</f>
        <v/>
      </c>
      <c r="G492" s="56">
        <f>SUMIFS(SALIDAS[CANTIDAD],SALIDAS[CODIGO],PRODUCTOS[[#This Row],[CODIGO]])</f>
        <v/>
      </c>
      <c r="H492" s="56">
        <f>PRODUCTOS[[#This Row],[ENTRADAS]]-PRODUCTOS[[#This Row],[SALIDAS ]]</f>
        <v/>
      </c>
      <c r="I492" s="76" t="n">
        <v>0</v>
      </c>
      <c r="J492">
        <f>IF(PRODUCTOS[[#This Row],[STOCK]]&lt;0,"NEGATIVO",IF(PRODUCTOS[[#This Row],[STOCK]]=0,"SIN STOCK",IF(PRODUCTOS[[#This Row],[STOCK]]&lt;=PRODUCTOS[[#This Row],[STOCK MÍN.]],"BAJO","OK")))</f>
        <v/>
      </c>
      <c r="K4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93" hidden="1" s="11">
      <c r="A493" s="18" t="n">
        <v>478</v>
      </c>
      <c r="B493" s="56" t="inlineStr">
        <is>
          <t>00009-AUT</t>
        </is>
      </c>
      <c r="C493" s="56">
        <f>IFERROR(_xlfn.XLOOKUP(PRODUCTOS[[#This Row],[CODIGO]],LISTADO[CODIGOS],LISTADO[CATEGORIA]),"NO EXISTE")</f>
        <v/>
      </c>
      <c r="D493" s="56">
        <f>IFERROR(_xlfn.XLOOKUP(PRODUCTOS[[#This Row],[CODIGO]],LISTADO[CODIGOS],LISTADO[PRODUCTOS]),"NO EXISTE")</f>
        <v/>
      </c>
      <c r="E493" s="56">
        <f>IFERROR(_xlfn.XLOOKUP(PRODUCTOS[[#This Row],[CODIGO]],LISTADO[CODIGOS],LISTADO[UBICACIÓN]),"NO EXISTE")</f>
        <v/>
      </c>
      <c r="F493" s="56">
        <f>SUMIFS(ENTRADAS[CANTIDAD],ENTRADAS[CODIGO],PRODUCTOS[[#This Row],[CODIGO]])</f>
        <v/>
      </c>
      <c r="G493" s="56">
        <f>SUMIFS(SALIDAS[CANTIDAD],SALIDAS[CODIGO],PRODUCTOS[[#This Row],[CODIGO]])</f>
        <v/>
      </c>
      <c r="H493" s="56">
        <f>PRODUCTOS[[#This Row],[ENTRADAS]]-PRODUCTOS[[#This Row],[SALIDAS ]]</f>
        <v/>
      </c>
      <c r="I493" s="76" t="n">
        <v>0</v>
      </c>
      <c r="J493">
        <f>IF(PRODUCTOS[[#This Row],[STOCK]]&lt;0,"NEGATIVO",IF(PRODUCTOS[[#This Row],[STOCK]]=0,"SIN STOCK",IF(PRODUCTOS[[#This Row],[STOCK]]&lt;=PRODUCTOS[[#This Row],[STOCK MÍN.]],"BAJO","OK")))</f>
        <v/>
      </c>
      <c r="K4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94" hidden="1" s="11">
      <c r="A494" s="18" t="n">
        <v>479</v>
      </c>
      <c r="B494" s="56" t="inlineStr">
        <is>
          <t>00010-HRR</t>
        </is>
      </c>
      <c r="C494" s="56">
        <f>IFERROR(_xlfn.XLOOKUP(PRODUCTOS[[#This Row],[CODIGO]],LISTADO[CODIGOS],LISTADO[CATEGORIA]),"NO EXISTE")</f>
        <v/>
      </c>
      <c r="D494" s="56">
        <f>IFERROR(_xlfn.XLOOKUP(PRODUCTOS[[#This Row],[CODIGO]],LISTADO[CODIGOS],LISTADO[PRODUCTOS]),"NO EXISTE")</f>
        <v/>
      </c>
      <c r="E494" s="56">
        <f>IFERROR(_xlfn.XLOOKUP(PRODUCTOS[[#This Row],[CODIGO]],LISTADO[CODIGOS],LISTADO[UBICACIÓN]),"NO EXISTE")</f>
        <v/>
      </c>
      <c r="F494" s="56">
        <f>SUMIFS(ENTRADAS[CANTIDAD],ENTRADAS[CODIGO],PRODUCTOS[[#This Row],[CODIGO]])</f>
        <v/>
      </c>
      <c r="G494" s="56">
        <f>SUMIFS(SALIDAS[CANTIDAD],SALIDAS[CODIGO],PRODUCTOS[[#This Row],[CODIGO]])</f>
        <v/>
      </c>
      <c r="H494" s="56">
        <f>PRODUCTOS[[#This Row],[ENTRADAS]]-PRODUCTOS[[#This Row],[SALIDAS ]]</f>
        <v/>
      </c>
      <c r="I494" s="76" t="n">
        <v>0</v>
      </c>
      <c r="J494">
        <f>IF(PRODUCTOS[[#This Row],[STOCK]]&lt;0,"NEGATIVO",IF(PRODUCTOS[[#This Row],[STOCK]]=0,"SIN STOCK",IF(PRODUCTOS[[#This Row],[STOCK]]&lt;=PRODUCTOS[[#This Row],[STOCK MÍN.]],"BAJO","OK")))</f>
        <v/>
      </c>
      <c r="K4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95" hidden="1" s="11">
      <c r="A495" s="18" t="n">
        <v>480</v>
      </c>
      <c r="B495" s="56" t="inlineStr">
        <is>
          <t>00001-PLM</t>
        </is>
      </c>
      <c r="C495" s="56">
        <f>IFERROR(_xlfn.XLOOKUP(PRODUCTOS[[#This Row],[CODIGO]],LISTADO[CODIGOS],LISTADO[CATEGORIA]),"NO EXISTE")</f>
        <v/>
      </c>
      <c r="D495" s="56">
        <f>IFERROR(_xlfn.XLOOKUP(PRODUCTOS[[#This Row],[CODIGO]],LISTADO[CODIGOS],LISTADO[PRODUCTOS]),"NO EXISTE")</f>
        <v/>
      </c>
      <c r="E495" s="56">
        <f>IFERROR(_xlfn.XLOOKUP(PRODUCTOS[[#This Row],[CODIGO]],LISTADO[CODIGOS],LISTADO[UBICACIÓN]),"NO EXISTE")</f>
        <v/>
      </c>
      <c r="F495" s="56">
        <f>SUMIFS(ENTRADAS[CANTIDAD],ENTRADAS[CODIGO],PRODUCTOS[[#This Row],[CODIGO]])</f>
        <v/>
      </c>
      <c r="G495" s="56">
        <f>SUMIFS(SALIDAS[CANTIDAD],SALIDAS[CODIGO],PRODUCTOS[[#This Row],[CODIGO]])</f>
        <v/>
      </c>
      <c r="H495" s="56">
        <f>PRODUCTOS[[#This Row],[ENTRADAS]]-PRODUCTOS[[#This Row],[SALIDAS ]]</f>
        <v/>
      </c>
      <c r="I495" s="76" t="n">
        <v>0</v>
      </c>
      <c r="J495">
        <f>IF(PRODUCTOS[[#This Row],[STOCK]]&lt;0,"NEGATIVO",IF(PRODUCTOS[[#This Row],[STOCK]]=0,"SIN STOCK",IF(PRODUCTOS[[#This Row],[STOCK]]&lt;=PRODUCTOS[[#This Row],[STOCK MÍN.]],"BAJO","OK")))</f>
        <v/>
      </c>
      <c r="K4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96" hidden="1" s="11">
      <c r="A496" s="18" t="n">
        <v>481</v>
      </c>
      <c r="B496" s="56" t="inlineStr">
        <is>
          <t>00011-HRR</t>
        </is>
      </c>
      <c r="C496" s="56">
        <f>IFERROR(_xlfn.XLOOKUP(PRODUCTOS[[#This Row],[CODIGO]],LISTADO[CODIGOS],LISTADO[CATEGORIA]),"NO EXISTE")</f>
        <v/>
      </c>
      <c r="D496" s="56">
        <f>IFERROR(_xlfn.XLOOKUP(PRODUCTOS[[#This Row],[CODIGO]],LISTADO[CODIGOS],LISTADO[PRODUCTOS]),"NO EXISTE")</f>
        <v/>
      </c>
      <c r="E496" s="56">
        <f>IFERROR(_xlfn.XLOOKUP(PRODUCTOS[[#This Row],[CODIGO]],LISTADO[CODIGOS],LISTADO[UBICACIÓN]),"NO EXISTE")</f>
        <v/>
      </c>
      <c r="F496" s="56">
        <f>SUMIFS(ENTRADAS[CANTIDAD],ENTRADAS[CODIGO],PRODUCTOS[[#This Row],[CODIGO]])</f>
        <v/>
      </c>
      <c r="G496" s="56">
        <f>SUMIFS(SALIDAS[CANTIDAD],SALIDAS[CODIGO],PRODUCTOS[[#This Row],[CODIGO]])</f>
        <v/>
      </c>
      <c r="H496" s="56">
        <f>PRODUCTOS[[#This Row],[ENTRADAS]]-PRODUCTOS[[#This Row],[SALIDAS ]]</f>
        <v/>
      </c>
      <c r="I496" s="76" t="n">
        <v>0</v>
      </c>
      <c r="J496">
        <f>IF(PRODUCTOS[[#This Row],[STOCK]]&lt;0,"NEGATIVO",IF(PRODUCTOS[[#This Row],[STOCK]]=0,"SIN STOCK",IF(PRODUCTOS[[#This Row],[STOCK]]&lt;=PRODUCTOS[[#This Row],[STOCK MÍN.]],"BAJO","OK")))</f>
        <v/>
      </c>
      <c r="K4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97" hidden="1" s="11">
      <c r="A497" s="18" t="n">
        <v>482</v>
      </c>
      <c r="B497" s="56" t="inlineStr">
        <is>
          <t>00012-HRR</t>
        </is>
      </c>
      <c r="C497" s="56">
        <f>IFERROR(_xlfn.XLOOKUP(PRODUCTOS[[#This Row],[CODIGO]],LISTADO[CODIGOS],LISTADO[CATEGORIA]),"NO EXISTE")</f>
        <v/>
      </c>
      <c r="D497" s="56">
        <f>IFERROR(_xlfn.XLOOKUP(PRODUCTOS[[#This Row],[CODIGO]],LISTADO[CODIGOS],LISTADO[PRODUCTOS]),"NO EXISTE")</f>
        <v/>
      </c>
      <c r="E497" s="56">
        <f>IFERROR(_xlfn.XLOOKUP(PRODUCTOS[[#This Row],[CODIGO]],LISTADO[CODIGOS],LISTADO[UBICACIÓN]),"NO EXISTE")</f>
        <v/>
      </c>
      <c r="F497" s="56">
        <f>SUMIFS(ENTRADAS[CANTIDAD],ENTRADAS[CODIGO],PRODUCTOS[[#This Row],[CODIGO]])</f>
        <v/>
      </c>
      <c r="G497" s="56">
        <f>SUMIFS(SALIDAS[CANTIDAD],SALIDAS[CODIGO],PRODUCTOS[[#This Row],[CODIGO]])</f>
        <v/>
      </c>
      <c r="H497" s="56">
        <f>PRODUCTOS[[#This Row],[ENTRADAS]]-PRODUCTOS[[#This Row],[SALIDAS ]]</f>
        <v/>
      </c>
      <c r="I497" s="76" t="n">
        <v>0</v>
      </c>
      <c r="J497">
        <f>IF(PRODUCTOS[[#This Row],[STOCK]]&lt;0,"NEGATIVO",IF(PRODUCTOS[[#This Row],[STOCK]]=0,"SIN STOCK",IF(PRODUCTOS[[#This Row],[STOCK]]&lt;=PRODUCTOS[[#This Row],[STOCK MÍN.]],"BAJO","OK")))</f>
        <v/>
      </c>
      <c r="K4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98" hidden="1" s="11">
      <c r="A498" s="18" t="n">
        <v>483</v>
      </c>
      <c r="B498" s="56" t="inlineStr">
        <is>
          <t>00002-PLM</t>
        </is>
      </c>
      <c r="C498" s="56">
        <f>IFERROR(_xlfn.XLOOKUP(PRODUCTOS[[#This Row],[CODIGO]],LISTADO[CODIGOS],LISTADO[CATEGORIA]),"NO EXISTE")</f>
        <v/>
      </c>
      <c r="D498" s="56">
        <f>IFERROR(_xlfn.XLOOKUP(PRODUCTOS[[#This Row],[CODIGO]],LISTADO[CODIGOS],LISTADO[PRODUCTOS]),"NO EXISTE")</f>
        <v/>
      </c>
      <c r="E498" s="56">
        <f>IFERROR(_xlfn.XLOOKUP(PRODUCTOS[[#This Row],[CODIGO]],LISTADO[CODIGOS],LISTADO[UBICACIÓN]),"NO EXISTE")</f>
        <v/>
      </c>
      <c r="F498" s="56">
        <f>SUMIFS(ENTRADAS[CANTIDAD],ENTRADAS[CODIGO],PRODUCTOS[[#This Row],[CODIGO]])</f>
        <v/>
      </c>
      <c r="G498" s="56">
        <f>SUMIFS(SALIDAS[CANTIDAD],SALIDAS[CODIGO],PRODUCTOS[[#This Row],[CODIGO]])</f>
        <v/>
      </c>
      <c r="H498" s="56">
        <f>PRODUCTOS[[#This Row],[ENTRADAS]]-PRODUCTOS[[#This Row],[SALIDAS ]]</f>
        <v/>
      </c>
      <c r="I498" s="76" t="n">
        <v>0</v>
      </c>
      <c r="J498">
        <f>IF(PRODUCTOS[[#This Row],[STOCK]]&lt;0,"NEGATIVO",IF(PRODUCTOS[[#This Row],[STOCK]]=0,"SIN STOCK",IF(PRODUCTOS[[#This Row],[STOCK]]&lt;=PRODUCTOS[[#This Row],[STOCK MÍN.]],"BAJO","OK")))</f>
        <v/>
      </c>
      <c r="K4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499" hidden="1" s="11">
      <c r="A499" s="18" t="n">
        <v>484</v>
      </c>
      <c r="B499" s="56" t="inlineStr">
        <is>
          <t>00003-PLM</t>
        </is>
      </c>
      <c r="C499" s="56">
        <f>IFERROR(_xlfn.XLOOKUP(PRODUCTOS[[#This Row],[CODIGO]],LISTADO[CODIGOS],LISTADO[CATEGORIA]),"NO EXISTE")</f>
        <v/>
      </c>
      <c r="D499" s="56">
        <f>IFERROR(_xlfn.XLOOKUP(PRODUCTOS[[#This Row],[CODIGO]],LISTADO[CODIGOS],LISTADO[PRODUCTOS]),"NO EXISTE")</f>
        <v/>
      </c>
      <c r="E499" s="56">
        <f>IFERROR(_xlfn.XLOOKUP(PRODUCTOS[[#This Row],[CODIGO]],LISTADO[CODIGOS],LISTADO[UBICACIÓN]),"NO EXISTE")</f>
        <v/>
      </c>
      <c r="F499" s="56">
        <f>SUMIFS(ENTRADAS[CANTIDAD],ENTRADAS[CODIGO],PRODUCTOS[[#This Row],[CODIGO]])</f>
        <v/>
      </c>
      <c r="G499" s="56">
        <f>SUMIFS(SALIDAS[CANTIDAD],SALIDAS[CODIGO],PRODUCTOS[[#This Row],[CODIGO]])</f>
        <v/>
      </c>
      <c r="H499" s="56">
        <f>PRODUCTOS[[#This Row],[ENTRADAS]]-PRODUCTOS[[#This Row],[SALIDAS ]]</f>
        <v/>
      </c>
      <c r="I499" s="76" t="n">
        <v>0</v>
      </c>
      <c r="J499">
        <f>IF(PRODUCTOS[[#This Row],[STOCK]]&lt;0,"NEGATIVO",IF(PRODUCTOS[[#This Row],[STOCK]]=0,"SIN STOCK",IF(PRODUCTOS[[#This Row],[STOCK]]&lt;=PRODUCTOS[[#This Row],[STOCK MÍN.]],"BAJO","OK")))</f>
        <v/>
      </c>
      <c r="K4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00" hidden="1" s="11">
      <c r="A500" s="18" t="n">
        <v>485</v>
      </c>
      <c r="B500" s="56" t="inlineStr">
        <is>
          <t>00004-PLM</t>
        </is>
      </c>
      <c r="C500" s="56">
        <f>IFERROR(_xlfn.XLOOKUP(PRODUCTOS[[#This Row],[CODIGO]],LISTADO[CODIGOS],LISTADO[CATEGORIA]),"NO EXISTE")</f>
        <v/>
      </c>
      <c r="D500" s="56">
        <f>IFERROR(_xlfn.XLOOKUP(PRODUCTOS[[#This Row],[CODIGO]],LISTADO[CODIGOS],LISTADO[PRODUCTOS]),"NO EXISTE")</f>
        <v/>
      </c>
      <c r="E500" s="56">
        <f>IFERROR(_xlfn.XLOOKUP(PRODUCTOS[[#This Row],[CODIGO]],LISTADO[CODIGOS],LISTADO[UBICACIÓN]),"NO EXISTE")</f>
        <v/>
      </c>
      <c r="F500" s="56">
        <f>SUMIFS(ENTRADAS[CANTIDAD],ENTRADAS[CODIGO],PRODUCTOS[[#This Row],[CODIGO]])</f>
        <v/>
      </c>
      <c r="G500" s="56">
        <f>SUMIFS(SALIDAS[CANTIDAD],SALIDAS[CODIGO],PRODUCTOS[[#This Row],[CODIGO]])</f>
        <v/>
      </c>
      <c r="H500" s="56">
        <f>PRODUCTOS[[#This Row],[ENTRADAS]]-PRODUCTOS[[#This Row],[SALIDAS ]]</f>
        <v/>
      </c>
      <c r="I500" s="76" t="n">
        <v>0</v>
      </c>
      <c r="J500">
        <f>IF(PRODUCTOS[[#This Row],[STOCK]]&lt;0,"NEGATIVO",IF(PRODUCTOS[[#This Row],[STOCK]]=0,"SIN STOCK",IF(PRODUCTOS[[#This Row],[STOCK]]&lt;=PRODUCTOS[[#This Row],[STOCK MÍN.]],"BAJO","OK")))</f>
        <v/>
      </c>
      <c r="K5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01" hidden="1" s="11">
      <c r="A501" s="18" t="n">
        <v>486</v>
      </c>
      <c r="B501" s="56" t="inlineStr">
        <is>
          <t>00005-PLM</t>
        </is>
      </c>
      <c r="C501" s="56">
        <f>IFERROR(_xlfn.XLOOKUP(PRODUCTOS[[#This Row],[CODIGO]],LISTADO[CODIGOS],LISTADO[CATEGORIA]),"NO EXISTE")</f>
        <v/>
      </c>
      <c r="D501" s="56">
        <f>IFERROR(_xlfn.XLOOKUP(PRODUCTOS[[#This Row],[CODIGO]],LISTADO[CODIGOS],LISTADO[PRODUCTOS]),"NO EXISTE")</f>
        <v/>
      </c>
      <c r="E501" s="56">
        <f>IFERROR(_xlfn.XLOOKUP(PRODUCTOS[[#This Row],[CODIGO]],LISTADO[CODIGOS],LISTADO[UBICACIÓN]),"NO EXISTE")</f>
        <v/>
      </c>
      <c r="F501" s="56">
        <f>SUMIFS(ENTRADAS[CANTIDAD],ENTRADAS[CODIGO],PRODUCTOS[[#This Row],[CODIGO]])</f>
        <v/>
      </c>
      <c r="G501" s="56">
        <f>SUMIFS(SALIDAS[CANTIDAD],SALIDAS[CODIGO],PRODUCTOS[[#This Row],[CODIGO]])</f>
        <v/>
      </c>
      <c r="H501" s="56">
        <f>PRODUCTOS[[#This Row],[ENTRADAS]]-PRODUCTOS[[#This Row],[SALIDAS ]]</f>
        <v/>
      </c>
      <c r="I501" s="76" t="n">
        <v>0</v>
      </c>
      <c r="J501">
        <f>IF(PRODUCTOS[[#This Row],[STOCK]]&lt;0,"NEGATIVO",IF(PRODUCTOS[[#This Row],[STOCK]]=0,"SIN STOCK",IF(PRODUCTOS[[#This Row],[STOCK]]&lt;=PRODUCTOS[[#This Row],[STOCK MÍN.]],"BAJO","OK")))</f>
        <v/>
      </c>
      <c r="K5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02" hidden="1" s="11">
      <c r="A502" s="18" t="n">
        <v>487</v>
      </c>
      <c r="B502" s="56" t="inlineStr">
        <is>
          <t>00077-FER</t>
        </is>
      </c>
      <c r="C502" s="56">
        <f>IFERROR(_xlfn.XLOOKUP(PRODUCTOS[[#This Row],[CODIGO]],LISTADO[CODIGOS],LISTADO[CATEGORIA]),"NO EXISTE")</f>
        <v/>
      </c>
      <c r="D502" s="56">
        <f>IFERROR(_xlfn.XLOOKUP(PRODUCTOS[[#This Row],[CODIGO]],LISTADO[CODIGOS],LISTADO[PRODUCTOS]),"NO EXISTE")</f>
        <v/>
      </c>
      <c r="E502" s="56">
        <f>IFERROR(_xlfn.XLOOKUP(PRODUCTOS[[#This Row],[CODIGO]],LISTADO[CODIGOS],LISTADO[UBICACIÓN]),"NO EXISTE")</f>
        <v/>
      </c>
      <c r="F502" s="56">
        <f>SUMIFS(ENTRADAS[CANTIDAD],ENTRADAS[CODIGO],PRODUCTOS[[#This Row],[CODIGO]])</f>
        <v/>
      </c>
      <c r="G502" s="56">
        <f>SUMIFS(SALIDAS[CANTIDAD],SALIDAS[CODIGO],PRODUCTOS[[#This Row],[CODIGO]])</f>
        <v/>
      </c>
      <c r="H502" s="56">
        <f>PRODUCTOS[[#This Row],[ENTRADAS]]-PRODUCTOS[[#This Row],[SALIDAS ]]</f>
        <v/>
      </c>
      <c r="I502" s="76" t="n">
        <v>0</v>
      </c>
      <c r="J502">
        <f>IF(PRODUCTOS[[#This Row],[STOCK]]&lt;0,"NEGATIVO",IF(PRODUCTOS[[#This Row],[STOCK]]=0,"SIN STOCK",IF(PRODUCTOS[[#This Row],[STOCK]]&lt;=PRODUCTOS[[#This Row],[STOCK MÍN.]],"BAJO","OK")))</f>
        <v/>
      </c>
      <c r="K5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03" hidden="1" s="11">
      <c r="A503" s="18" t="n">
        <v>488</v>
      </c>
      <c r="B503" s="56" t="inlineStr">
        <is>
          <t>00006-PLM</t>
        </is>
      </c>
      <c r="C503" s="56">
        <f>IFERROR(_xlfn.XLOOKUP(PRODUCTOS[[#This Row],[CODIGO]],LISTADO[CODIGOS],LISTADO[CATEGORIA]),"NO EXISTE")</f>
        <v/>
      </c>
      <c r="D503" s="56">
        <f>IFERROR(_xlfn.XLOOKUP(PRODUCTOS[[#This Row],[CODIGO]],LISTADO[CODIGOS],LISTADO[PRODUCTOS]),"NO EXISTE")</f>
        <v/>
      </c>
      <c r="E503" s="56">
        <f>IFERROR(_xlfn.XLOOKUP(PRODUCTOS[[#This Row],[CODIGO]],LISTADO[CODIGOS],LISTADO[UBICACIÓN]),"NO EXISTE")</f>
        <v/>
      </c>
      <c r="F503" s="56">
        <f>SUMIFS(ENTRADAS[CANTIDAD],ENTRADAS[CODIGO],PRODUCTOS[[#This Row],[CODIGO]])</f>
        <v/>
      </c>
      <c r="G503" s="56">
        <f>SUMIFS(SALIDAS[CANTIDAD],SALIDAS[CODIGO],PRODUCTOS[[#This Row],[CODIGO]])</f>
        <v/>
      </c>
      <c r="H503" s="56">
        <f>PRODUCTOS[[#This Row],[ENTRADAS]]-PRODUCTOS[[#This Row],[SALIDAS ]]</f>
        <v/>
      </c>
      <c r="I503" s="76" t="n">
        <v>0</v>
      </c>
      <c r="J503">
        <f>IF(PRODUCTOS[[#This Row],[STOCK]]&lt;0,"NEGATIVO",IF(PRODUCTOS[[#This Row],[STOCK]]=0,"SIN STOCK",IF(PRODUCTOS[[#This Row],[STOCK]]&lt;=PRODUCTOS[[#This Row],[STOCK MÍN.]],"BAJO","OK")))</f>
        <v/>
      </c>
      <c r="K5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04" hidden="1" s="11">
      <c r="A504" s="18" t="n">
        <v>489</v>
      </c>
      <c r="B504" s="56" t="inlineStr">
        <is>
          <t>00007-PLM</t>
        </is>
      </c>
      <c r="C504" s="56">
        <f>IFERROR(_xlfn.XLOOKUP(PRODUCTOS[[#This Row],[CODIGO]],LISTADO[CODIGOS],LISTADO[CATEGORIA]),"NO EXISTE")</f>
        <v/>
      </c>
      <c r="D504" s="56">
        <f>IFERROR(_xlfn.XLOOKUP(PRODUCTOS[[#This Row],[CODIGO]],LISTADO[CODIGOS],LISTADO[PRODUCTOS]),"NO EXISTE")</f>
        <v/>
      </c>
      <c r="E504" s="56">
        <f>IFERROR(_xlfn.XLOOKUP(PRODUCTOS[[#This Row],[CODIGO]],LISTADO[CODIGOS],LISTADO[UBICACIÓN]),"NO EXISTE")</f>
        <v/>
      </c>
      <c r="F504" s="56">
        <f>SUMIFS(ENTRADAS[CANTIDAD],ENTRADAS[CODIGO],PRODUCTOS[[#This Row],[CODIGO]])</f>
        <v/>
      </c>
      <c r="G504" s="56">
        <f>SUMIFS(SALIDAS[CANTIDAD],SALIDAS[CODIGO],PRODUCTOS[[#This Row],[CODIGO]])</f>
        <v/>
      </c>
      <c r="H504" s="56">
        <f>PRODUCTOS[[#This Row],[ENTRADAS]]-PRODUCTOS[[#This Row],[SALIDAS ]]</f>
        <v/>
      </c>
      <c r="I504" s="76" t="n">
        <v>0</v>
      </c>
      <c r="J504">
        <f>IF(PRODUCTOS[[#This Row],[STOCK]]&lt;0,"NEGATIVO",IF(PRODUCTOS[[#This Row],[STOCK]]=0,"SIN STOCK",IF(PRODUCTOS[[#This Row],[STOCK]]&lt;=PRODUCTOS[[#This Row],[STOCK MÍN.]],"BAJO","OK")))</f>
        <v/>
      </c>
      <c r="K5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05" hidden="1" s="11">
      <c r="A505" s="18" t="n">
        <v>490</v>
      </c>
      <c r="B505" s="56" t="inlineStr">
        <is>
          <t>00008-PLM</t>
        </is>
      </c>
      <c r="C505" s="56">
        <f>IFERROR(_xlfn.XLOOKUP(PRODUCTOS[[#This Row],[CODIGO]],LISTADO[CODIGOS],LISTADO[CATEGORIA]),"NO EXISTE")</f>
        <v/>
      </c>
      <c r="D505" s="56">
        <f>IFERROR(_xlfn.XLOOKUP(PRODUCTOS[[#This Row],[CODIGO]],LISTADO[CODIGOS],LISTADO[PRODUCTOS]),"NO EXISTE")</f>
        <v/>
      </c>
      <c r="E505" s="56">
        <f>IFERROR(_xlfn.XLOOKUP(PRODUCTOS[[#This Row],[CODIGO]],LISTADO[CODIGOS],LISTADO[UBICACIÓN]),"NO EXISTE")</f>
        <v/>
      </c>
      <c r="F505" s="56">
        <f>SUMIFS(ENTRADAS[CANTIDAD],ENTRADAS[CODIGO],PRODUCTOS[[#This Row],[CODIGO]])</f>
        <v/>
      </c>
      <c r="G505" s="56">
        <f>SUMIFS(SALIDAS[CANTIDAD],SALIDAS[CODIGO],PRODUCTOS[[#This Row],[CODIGO]])</f>
        <v/>
      </c>
      <c r="H505" s="56">
        <f>PRODUCTOS[[#This Row],[ENTRADAS]]-PRODUCTOS[[#This Row],[SALIDAS ]]</f>
        <v/>
      </c>
      <c r="I505" s="76" t="n">
        <v>0</v>
      </c>
      <c r="J505">
        <f>IF(PRODUCTOS[[#This Row],[STOCK]]&lt;0,"NEGATIVO",IF(PRODUCTOS[[#This Row],[STOCK]]=0,"SIN STOCK",IF(PRODUCTOS[[#This Row],[STOCK]]&lt;=PRODUCTOS[[#This Row],[STOCK MÍN.]],"BAJO","OK")))</f>
        <v/>
      </c>
      <c r="K5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06" hidden="1" s="11">
      <c r="A506" s="18" t="n">
        <v>491</v>
      </c>
      <c r="B506" s="56" t="inlineStr">
        <is>
          <t>00009-PLM</t>
        </is>
      </c>
      <c r="C506" s="56">
        <f>IFERROR(_xlfn.XLOOKUP(PRODUCTOS[[#This Row],[CODIGO]],LISTADO[CODIGOS],LISTADO[CATEGORIA]),"NO EXISTE")</f>
        <v/>
      </c>
      <c r="D506" s="56">
        <f>IFERROR(_xlfn.XLOOKUP(PRODUCTOS[[#This Row],[CODIGO]],LISTADO[CODIGOS],LISTADO[PRODUCTOS]),"NO EXISTE")</f>
        <v/>
      </c>
      <c r="E506" s="56">
        <f>IFERROR(_xlfn.XLOOKUP(PRODUCTOS[[#This Row],[CODIGO]],LISTADO[CODIGOS],LISTADO[UBICACIÓN]),"NO EXISTE")</f>
        <v/>
      </c>
      <c r="F506" s="56">
        <f>SUMIFS(ENTRADAS[CANTIDAD],ENTRADAS[CODIGO],PRODUCTOS[[#This Row],[CODIGO]])</f>
        <v/>
      </c>
      <c r="G506" s="56">
        <f>SUMIFS(SALIDAS[CANTIDAD],SALIDAS[CODIGO],PRODUCTOS[[#This Row],[CODIGO]])</f>
        <v/>
      </c>
      <c r="H506" s="56">
        <f>PRODUCTOS[[#This Row],[ENTRADAS]]-PRODUCTOS[[#This Row],[SALIDAS ]]</f>
        <v/>
      </c>
      <c r="I506" s="76" t="n">
        <v>0</v>
      </c>
      <c r="J506">
        <f>IF(PRODUCTOS[[#This Row],[STOCK]]&lt;0,"NEGATIVO",IF(PRODUCTOS[[#This Row],[STOCK]]=0,"SIN STOCK",IF(PRODUCTOS[[#This Row],[STOCK]]&lt;=PRODUCTOS[[#This Row],[STOCK MÍN.]],"BAJO","OK")))</f>
        <v/>
      </c>
      <c r="K5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07" hidden="1" s="11">
      <c r="A507" s="18" t="n">
        <v>492</v>
      </c>
      <c r="B507" s="56" t="inlineStr">
        <is>
          <t>00078-FER</t>
        </is>
      </c>
      <c r="C507" s="56">
        <f>IFERROR(_xlfn.XLOOKUP(PRODUCTOS[[#This Row],[CODIGO]],LISTADO[CODIGOS],LISTADO[CATEGORIA]),"NO EXISTE")</f>
        <v/>
      </c>
      <c r="D507" s="56">
        <f>IFERROR(_xlfn.XLOOKUP(PRODUCTOS[[#This Row],[CODIGO]],LISTADO[CODIGOS],LISTADO[PRODUCTOS]),"NO EXISTE")</f>
        <v/>
      </c>
      <c r="E507" s="56">
        <f>IFERROR(_xlfn.XLOOKUP(PRODUCTOS[[#This Row],[CODIGO]],LISTADO[CODIGOS],LISTADO[UBICACIÓN]),"NO EXISTE")</f>
        <v/>
      </c>
      <c r="F507" s="56">
        <f>SUMIFS(ENTRADAS[CANTIDAD],ENTRADAS[CODIGO],PRODUCTOS[[#This Row],[CODIGO]])</f>
        <v/>
      </c>
      <c r="G507" s="56">
        <f>SUMIFS(SALIDAS[CANTIDAD],SALIDAS[CODIGO],PRODUCTOS[[#This Row],[CODIGO]])</f>
        <v/>
      </c>
      <c r="H507" s="56">
        <f>PRODUCTOS[[#This Row],[ENTRADAS]]-PRODUCTOS[[#This Row],[SALIDAS ]]</f>
        <v/>
      </c>
      <c r="I507" s="76" t="n">
        <v>0</v>
      </c>
      <c r="J507">
        <f>IF(PRODUCTOS[[#This Row],[STOCK]]&lt;0,"NEGATIVO",IF(PRODUCTOS[[#This Row],[STOCK]]=0,"SIN STOCK",IF(PRODUCTOS[[#This Row],[STOCK]]&lt;=PRODUCTOS[[#This Row],[STOCK MÍN.]],"BAJO","OK")))</f>
        <v/>
      </c>
      <c r="K5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08" hidden="1" s="11">
      <c r="A508" s="18" t="n">
        <v>493</v>
      </c>
      <c r="B508" s="56" t="inlineStr">
        <is>
          <t>00010-PLM</t>
        </is>
      </c>
      <c r="C508" s="56">
        <f>IFERROR(_xlfn.XLOOKUP(PRODUCTOS[[#This Row],[CODIGO]],LISTADO[CODIGOS],LISTADO[CATEGORIA]),"NO EXISTE")</f>
        <v/>
      </c>
      <c r="D508" s="56">
        <f>IFERROR(_xlfn.XLOOKUP(PRODUCTOS[[#This Row],[CODIGO]],LISTADO[CODIGOS],LISTADO[PRODUCTOS]),"NO EXISTE")</f>
        <v/>
      </c>
      <c r="E508" s="56">
        <f>IFERROR(_xlfn.XLOOKUP(PRODUCTOS[[#This Row],[CODIGO]],LISTADO[CODIGOS],LISTADO[UBICACIÓN]),"NO EXISTE")</f>
        <v/>
      </c>
      <c r="F508" s="56">
        <f>SUMIFS(ENTRADAS[CANTIDAD],ENTRADAS[CODIGO],PRODUCTOS[[#This Row],[CODIGO]])</f>
        <v/>
      </c>
      <c r="G508" s="56">
        <f>SUMIFS(SALIDAS[CANTIDAD],SALIDAS[CODIGO],PRODUCTOS[[#This Row],[CODIGO]])</f>
        <v/>
      </c>
      <c r="H508" s="56">
        <f>PRODUCTOS[[#This Row],[ENTRADAS]]-PRODUCTOS[[#This Row],[SALIDAS ]]</f>
        <v/>
      </c>
      <c r="I508" s="76" t="n">
        <v>0</v>
      </c>
      <c r="J508">
        <f>IF(PRODUCTOS[[#This Row],[STOCK]]&lt;0,"NEGATIVO",IF(PRODUCTOS[[#This Row],[STOCK]]=0,"SIN STOCK",IF(PRODUCTOS[[#This Row],[STOCK]]&lt;=PRODUCTOS[[#This Row],[STOCK MÍN.]],"BAJO","OK")))</f>
        <v/>
      </c>
      <c r="K5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09" hidden="1" s="11">
      <c r="A509" s="18" t="n">
        <v>494</v>
      </c>
      <c r="B509" s="56" t="inlineStr">
        <is>
          <t>00024-ELC</t>
        </is>
      </c>
      <c r="C509" s="56">
        <f>IFERROR(_xlfn.XLOOKUP(PRODUCTOS[[#This Row],[CODIGO]],LISTADO[CODIGOS],LISTADO[CATEGORIA]),"NO EXISTE")</f>
        <v/>
      </c>
      <c r="D509" s="56">
        <f>IFERROR(_xlfn.XLOOKUP(PRODUCTOS[[#This Row],[CODIGO]],LISTADO[CODIGOS],LISTADO[PRODUCTOS]),"NO EXISTE")</f>
        <v/>
      </c>
      <c r="E509" s="56">
        <f>IFERROR(_xlfn.XLOOKUP(PRODUCTOS[[#This Row],[CODIGO]],LISTADO[CODIGOS],LISTADO[UBICACIÓN]),"NO EXISTE")</f>
        <v/>
      </c>
      <c r="F509" s="56">
        <f>SUMIFS(ENTRADAS[CANTIDAD],ENTRADAS[CODIGO],PRODUCTOS[[#This Row],[CODIGO]])</f>
        <v/>
      </c>
      <c r="G509" s="56">
        <f>SUMIFS(SALIDAS[CANTIDAD],SALIDAS[CODIGO],PRODUCTOS[[#This Row],[CODIGO]])</f>
        <v/>
      </c>
      <c r="H509" s="56">
        <f>PRODUCTOS[[#This Row],[ENTRADAS]]-PRODUCTOS[[#This Row],[SALIDAS ]]</f>
        <v/>
      </c>
      <c r="I509" s="76" t="n">
        <v>0</v>
      </c>
      <c r="J509">
        <f>IF(PRODUCTOS[[#This Row],[STOCK]]&lt;0,"NEGATIVO",IF(PRODUCTOS[[#This Row],[STOCK]]=0,"SIN STOCK",IF(PRODUCTOS[[#This Row],[STOCK]]&lt;=PRODUCTOS[[#This Row],[STOCK MÍN.]],"BAJO","OK")))</f>
        <v/>
      </c>
      <c r="K5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10" hidden="1" s="11">
      <c r="A510" s="18" t="n">
        <v>495</v>
      </c>
      <c r="B510" s="56" t="inlineStr">
        <is>
          <t>00033-ILU</t>
        </is>
      </c>
      <c r="C510" s="56">
        <f>IFERROR(_xlfn.XLOOKUP(PRODUCTOS[[#This Row],[CODIGO]],LISTADO[CODIGOS],LISTADO[CATEGORIA]),"NO EXISTE")</f>
        <v/>
      </c>
      <c r="D510" s="56">
        <f>IFERROR(_xlfn.XLOOKUP(PRODUCTOS[[#This Row],[CODIGO]],LISTADO[CODIGOS],LISTADO[PRODUCTOS]),"NO EXISTE")</f>
        <v/>
      </c>
      <c r="E510" s="56">
        <f>IFERROR(_xlfn.XLOOKUP(PRODUCTOS[[#This Row],[CODIGO]],LISTADO[CODIGOS],LISTADO[UBICACIÓN]),"NO EXISTE")</f>
        <v/>
      </c>
      <c r="F510" s="56">
        <f>SUMIFS(ENTRADAS[CANTIDAD],ENTRADAS[CODIGO],PRODUCTOS[[#This Row],[CODIGO]])</f>
        <v/>
      </c>
      <c r="G510" s="56">
        <f>SUMIFS(SALIDAS[CANTIDAD],SALIDAS[CODIGO],PRODUCTOS[[#This Row],[CODIGO]])</f>
        <v/>
      </c>
      <c r="H510" s="56">
        <f>PRODUCTOS[[#This Row],[ENTRADAS]]-PRODUCTOS[[#This Row],[SALIDAS ]]</f>
        <v/>
      </c>
      <c r="I510" s="76" t="n">
        <v>0</v>
      </c>
      <c r="J510">
        <f>IF(PRODUCTOS[[#This Row],[STOCK]]&lt;0,"NEGATIVO",IF(PRODUCTOS[[#This Row],[STOCK]]=0,"SIN STOCK",IF(PRODUCTOS[[#This Row],[STOCK]]&lt;=PRODUCTOS[[#This Row],[STOCK MÍN.]],"BAJO","OK")))</f>
        <v/>
      </c>
      <c r="K5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11" hidden="1" s="11">
      <c r="A511" s="18" t="n">
        <v>496</v>
      </c>
      <c r="B511" s="56" t="inlineStr">
        <is>
          <t>00079-FER</t>
        </is>
      </c>
      <c r="C511" s="56">
        <f>IFERROR(_xlfn.XLOOKUP(PRODUCTOS[[#This Row],[CODIGO]],LISTADO[CODIGOS],LISTADO[CATEGORIA]),"NO EXISTE")</f>
        <v/>
      </c>
      <c r="D511" s="56">
        <f>IFERROR(_xlfn.XLOOKUP(PRODUCTOS[[#This Row],[CODIGO]],LISTADO[CODIGOS],LISTADO[PRODUCTOS]),"NO EXISTE")</f>
        <v/>
      </c>
      <c r="E511" s="56">
        <f>IFERROR(_xlfn.XLOOKUP(PRODUCTOS[[#This Row],[CODIGO]],LISTADO[CODIGOS],LISTADO[UBICACIÓN]),"NO EXISTE")</f>
        <v/>
      </c>
      <c r="F511" s="56">
        <f>SUMIFS(ENTRADAS[CANTIDAD],ENTRADAS[CODIGO],PRODUCTOS[[#This Row],[CODIGO]])</f>
        <v/>
      </c>
      <c r="G511" s="56">
        <f>SUMIFS(SALIDAS[CANTIDAD],SALIDAS[CODIGO],PRODUCTOS[[#This Row],[CODIGO]])</f>
        <v/>
      </c>
      <c r="H511" s="56">
        <f>PRODUCTOS[[#This Row],[ENTRADAS]]-PRODUCTOS[[#This Row],[SALIDAS ]]</f>
        <v/>
      </c>
      <c r="I511" s="76" t="n">
        <v>0</v>
      </c>
      <c r="J511">
        <f>IF(PRODUCTOS[[#This Row],[STOCK]]&lt;0,"NEGATIVO",IF(PRODUCTOS[[#This Row],[STOCK]]=0,"SIN STOCK",IF(PRODUCTOS[[#This Row],[STOCK]]&lt;=PRODUCTOS[[#This Row],[STOCK MÍN.]],"BAJO","OK")))</f>
        <v/>
      </c>
      <c r="K5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12" hidden="1" s="11">
      <c r="A512" s="18" t="n">
        <v>497</v>
      </c>
      <c r="B512" s="56" t="inlineStr">
        <is>
          <t>00011-PLM</t>
        </is>
      </c>
      <c r="C512" s="56">
        <f>IFERROR(_xlfn.XLOOKUP(PRODUCTOS[[#This Row],[CODIGO]],LISTADO[CODIGOS],LISTADO[CATEGORIA]),"NO EXISTE")</f>
        <v/>
      </c>
      <c r="D512" s="56">
        <f>IFERROR(_xlfn.XLOOKUP(PRODUCTOS[[#This Row],[CODIGO]],LISTADO[CODIGOS],LISTADO[PRODUCTOS]),"NO EXISTE")</f>
        <v/>
      </c>
      <c r="E512" s="56">
        <f>IFERROR(_xlfn.XLOOKUP(PRODUCTOS[[#This Row],[CODIGO]],LISTADO[CODIGOS],LISTADO[UBICACIÓN]),"NO EXISTE")</f>
        <v/>
      </c>
      <c r="F512" s="56">
        <f>SUMIFS(ENTRADAS[CANTIDAD],ENTRADAS[CODIGO],PRODUCTOS[[#This Row],[CODIGO]])</f>
        <v/>
      </c>
      <c r="G512" s="56">
        <f>SUMIFS(SALIDAS[CANTIDAD],SALIDAS[CODIGO],PRODUCTOS[[#This Row],[CODIGO]])</f>
        <v/>
      </c>
      <c r="H512" s="56">
        <f>PRODUCTOS[[#This Row],[ENTRADAS]]-PRODUCTOS[[#This Row],[SALIDAS ]]</f>
        <v/>
      </c>
      <c r="I512" s="76" t="n">
        <v>0</v>
      </c>
      <c r="J512">
        <f>IF(PRODUCTOS[[#This Row],[STOCK]]&lt;0,"NEGATIVO",IF(PRODUCTOS[[#This Row],[STOCK]]=0,"SIN STOCK",IF(PRODUCTOS[[#This Row],[STOCK]]&lt;=PRODUCTOS[[#This Row],[STOCK MÍN.]],"BAJO","OK")))</f>
        <v/>
      </c>
      <c r="K5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13" hidden="1" s="11">
      <c r="A513" s="18" t="n">
        <v>498</v>
      </c>
      <c r="B513" s="56" t="inlineStr">
        <is>
          <t>00012-PLM</t>
        </is>
      </c>
      <c r="C513" s="56">
        <f>IFERROR(_xlfn.XLOOKUP(PRODUCTOS[[#This Row],[CODIGO]],LISTADO[CODIGOS],LISTADO[CATEGORIA]),"NO EXISTE")</f>
        <v/>
      </c>
      <c r="D513" s="56">
        <f>IFERROR(_xlfn.XLOOKUP(PRODUCTOS[[#This Row],[CODIGO]],LISTADO[CODIGOS],LISTADO[PRODUCTOS]),"NO EXISTE")</f>
        <v/>
      </c>
      <c r="E513" s="56">
        <f>IFERROR(_xlfn.XLOOKUP(PRODUCTOS[[#This Row],[CODIGO]],LISTADO[CODIGOS],LISTADO[UBICACIÓN]),"NO EXISTE")</f>
        <v/>
      </c>
      <c r="F513" s="56">
        <f>SUMIFS(ENTRADAS[CANTIDAD],ENTRADAS[CODIGO],PRODUCTOS[[#This Row],[CODIGO]])</f>
        <v/>
      </c>
      <c r="G513" s="56">
        <f>SUMIFS(SALIDAS[CANTIDAD],SALIDAS[CODIGO],PRODUCTOS[[#This Row],[CODIGO]])</f>
        <v/>
      </c>
      <c r="H513" s="56">
        <f>PRODUCTOS[[#This Row],[ENTRADAS]]-PRODUCTOS[[#This Row],[SALIDAS ]]</f>
        <v/>
      </c>
      <c r="I513" s="76" t="n">
        <v>0</v>
      </c>
      <c r="J513">
        <f>IF(PRODUCTOS[[#This Row],[STOCK]]&lt;0,"NEGATIVO",IF(PRODUCTOS[[#This Row],[STOCK]]=0,"SIN STOCK",IF(PRODUCTOS[[#This Row],[STOCK]]&lt;=PRODUCTOS[[#This Row],[STOCK MÍN.]],"BAJO","OK")))</f>
        <v/>
      </c>
      <c r="K5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14" hidden="1" s="11">
      <c r="A514" s="18" t="n">
        <v>499</v>
      </c>
      <c r="B514" s="56" t="inlineStr">
        <is>
          <t>00013-PLM</t>
        </is>
      </c>
      <c r="C514" s="56">
        <f>IFERROR(_xlfn.XLOOKUP(PRODUCTOS[[#This Row],[CODIGO]],LISTADO[CODIGOS],LISTADO[CATEGORIA]),"NO EXISTE")</f>
        <v/>
      </c>
      <c r="D514" s="56">
        <f>IFERROR(_xlfn.XLOOKUP(PRODUCTOS[[#This Row],[CODIGO]],LISTADO[CODIGOS],LISTADO[PRODUCTOS]),"NO EXISTE")</f>
        <v/>
      </c>
      <c r="E514" s="56">
        <f>IFERROR(_xlfn.XLOOKUP(PRODUCTOS[[#This Row],[CODIGO]],LISTADO[CODIGOS],LISTADO[UBICACIÓN]),"NO EXISTE")</f>
        <v/>
      </c>
      <c r="F514" s="56">
        <f>SUMIFS(ENTRADAS[CANTIDAD],ENTRADAS[CODIGO],PRODUCTOS[[#This Row],[CODIGO]])</f>
        <v/>
      </c>
      <c r="G514" s="56">
        <f>SUMIFS(SALIDAS[CANTIDAD],SALIDAS[CODIGO],PRODUCTOS[[#This Row],[CODIGO]])</f>
        <v/>
      </c>
      <c r="H514" s="56">
        <f>PRODUCTOS[[#This Row],[ENTRADAS]]-PRODUCTOS[[#This Row],[SALIDAS ]]</f>
        <v/>
      </c>
      <c r="I514" s="76" t="n">
        <v>0</v>
      </c>
      <c r="J514">
        <f>IF(PRODUCTOS[[#This Row],[STOCK]]&lt;0,"NEGATIVO",IF(PRODUCTOS[[#This Row],[STOCK]]=0,"SIN STOCK",IF(PRODUCTOS[[#This Row],[STOCK]]&lt;=PRODUCTOS[[#This Row],[STOCK MÍN.]],"BAJO","OK")))</f>
        <v/>
      </c>
      <c r="K5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15" hidden="1" s="11">
      <c r="A515" s="18" t="n">
        <v>500</v>
      </c>
      <c r="B515" s="56" t="inlineStr">
        <is>
          <t>00014-PLM</t>
        </is>
      </c>
      <c r="C515" s="56">
        <f>IFERROR(_xlfn.XLOOKUP(PRODUCTOS[[#This Row],[CODIGO]],LISTADO[CODIGOS],LISTADO[CATEGORIA]),"NO EXISTE")</f>
        <v/>
      </c>
      <c r="D515" s="56">
        <f>IFERROR(_xlfn.XLOOKUP(PRODUCTOS[[#This Row],[CODIGO]],LISTADO[CODIGOS],LISTADO[PRODUCTOS]),"NO EXISTE")</f>
        <v/>
      </c>
      <c r="E515" s="56">
        <f>IFERROR(_xlfn.XLOOKUP(PRODUCTOS[[#This Row],[CODIGO]],LISTADO[CODIGOS],LISTADO[UBICACIÓN]),"NO EXISTE")</f>
        <v/>
      </c>
      <c r="F515" s="56">
        <f>SUMIFS(ENTRADAS[CANTIDAD],ENTRADAS[CODIGO],PRODUCTOS[[#This Row],[CODIGO]])</f>
        <v/>
      </c>
      <c r="G515" s="56">
        <f>SUMIFS(SALIDAS[CANTIDAD],SALIDAS[CODIGO],PRODUCTOS[[#This Row],[CODIGO]])</f>
        <v/>
      </c>
      <c r="H515" s="56">
        <f>PRODUCTOS[[#This Row],[ENTRADAS]]-PRODUCTOS[[#This Row],[SALIDAS ]]</f>
        <v/>
      </c>
      <c r="I515" s="76" t="n">
        <v>0</v>
      </c>
      <c r="J515">
        <f>IF(PRODUCTOS[[#This Row],[STOCK]]&lt;0,"NEGATIVO",IF(PRODUCTOS[[#This Row],[STOCK]]=0,"SIN STOCK",IF(PRODUCTOS[[#This Row],[STOCK]]&lt;=PRODUCTOS[[#This Row],[STOCK MÍN.]],"BAJO","OK")))</f>
        <v/>
      </c>
      <c r="K5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16" hidden="1" s="11">
      <c r="A516" s="18" t="n">
        <v>501</v>
      </c>
      <c r="B516" s="56" t="inlineStr">
        <is>
          <t>00015-PLM</t>
        </is>
      </c>
      <c r="C516" s="56">
        <f>IFERROR(_xlfn.XLOOKUP(PRODUCTOS[[#This Row],[CODIGO]],LISTADO[CODIGOS],LISTADO[CATEGORIA]),"NO EXISTE")</f>
        <v/>
      </c>
      <c r="D516" s="56">
        <f>IFERROR(_xlfn.XLOOKUP(PRODUCTOS[[#This Row],[CODIGO]],LISTADO[CODIGOS],LISTADO[PRODUCTOS]),"NO EXISTE")</f>
        <v/>
      </c>
      <c r="E516" s="56">
        <f>IFERROR(_xlfn.XLOOKUP(PRODUCTOS[[#This Row],[CODIGO]],LISTADO[CODIGOS],LISTADO[UBICACIÓN]),"NO EXISTE")</f>
        <v/>
      </c>
      <c r="F516" s="56">
        <f>SUMIFS(ENTRADAS[CANTIDAD],ENTRADAS[CODIGO],PRODUCTOS[[#This Row],[CODIGO]])</f>
        <v/>
      </c>
      <c r="G516" s="56">
        <f>SUMIFS(SALIDAS[CANTIDAD],SALIDAS[CODIGO],PRODUCTOS[[#This Row],[CODIGO]])</f>
        <v/>
      </c>
      <c r="H516" s="56">
        <f>PRODUCTOS[[#This Row],[ENTRADAS]]-PRODUCTOS[[#This Row],[SALIDAS ]]</f>
        <v/>
      </c>
      <c r="I516" s="76" t="n">
        <v>0</v>
      </c>
      <c r="J516">
        <f>IF(PRODUCTOS[[#This Row],[STOCK]]&lt;0,"NEGATIVO",IF(PRODUCTOS[[#This Row],[STOCK]]=0,"SIN STOCK",IF(PRODUCTOS[[#This Row],[STOCK]]&lt;=PRODUCTOS[[#This Row],[STOCK MÍN.]],"BAJO","OK")))</f>
        <v/>
      </c>
      <c r="K5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17" hidden="1" s="11">
      <c r="A517" s="18" t="n">
        <v>502</v>
      </c>
      <c r="B517" s="56" t="inlineStr">
        <is>
          <t>00016-PLM</t>
        </is>
      </c>
      <c r="C517" s="56">
        <f>IFERROR(_xlfn.XLOOKUP(PRODUCTOS[[#This Row],[CODIGO]],LISTADO[CODIGOS],LISTADO[CATEGORIA]),"NO EXISTE")</f>
        <v/>
      </c>
      <c r="D517" s="56">
        <f>IFERROR(_xlfn.XLOOKUP(PRODUCTOS[[#This Row],[CODIGO]],LISTADO[CODIGOS],LISTADO[PRODUCTOS]),"NO EXISTE")</f>
        <v/>
      </c>
      <c r="E517" s="56">
        <f>IFERROR(_xlfn.XLOOKUP(PRODUCTOS[[#This Row],[CODIGO]],LISTADO[CODIGOS],LISTADO[UBICACIÓN]),"NO EXISTE")</f>
        <v/>
      </c>
      <c r="F517" s="56">
        <f>SUMIFS(ENTRADAS[CANTIDAD],ENTRADAS[CODIGO],PRODUCTOS[[#This Row],[CODIGO]])</f>
        <v/>
      </c>
      <c r="G517" s="56">
        <f>SUMIFS(SALIDAS[CANTIDAD],SALIDAS[CODIGO],PRODUCTOS[[#This Row],[CODIGO]])</f>
        <v/>
      </c>
      <c r="H517" s="56">
        <f>PRODUCTOS[[#This Row],[ENTRADAS]]-PRODUCTOS[[#This Row],[SALIDAS ]]</f>
        <v/>
      </c>
      <c r="I517" s="76" t="n">
        <v>0</v>
      </c>
      <c r="J517">
        <f>IF(PRODUCTOS[[#This Row],[STOCK]]&lt;0,"NEGATIVO",IF(PRODUCTOS[[#This Row],[STOCK]]=0,"SIN STOCK",IF(PRODUCTOS[[#This Row],[STOCK]]&lt;=PRODUCTOS[[#This Row],[STOCK MÍN.]],"BAJO","OK")))</f>
        <v/>
      </c>
      <c r="K5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18" hidden="1" s="11">
      <c r="A518" s="18" t="n">
        <v>503</v>
      </c>
      <c r="B518" s="56" t="inlineStr">
        <is>
          <t>00017-PLM</t>
        </is>
      </c>
      <c r="C518" s="56">
        <f>IFERROR(_xlfn.XLOOKUP(PRODUCTOS[[#This Row],[CODIGO]],LISTADO[CODIGOS],LISTADO[CATEGORIA]),"NO EXISTE")</f>
        <v/>
      </c>
      <c r="D518" s="56">
        <f>IFERROR(_xlfn.XLOOKUP(PRODUCTOS[[#This Row],[CODIGO]],LISTADO[CODIGOS],LISTADO[PRODUCTOS]),"NO EXISTE")</f>
        <v/>
      </c>
      <c r="E518" s="56">
        <f>IFERROR(_xlfn.XLOOKUP(PRODUCTOS[[#This Row],[CODIGO]],LISTADO[CODIGOS],LISTADO[UBICACIÓN]),"NO EXISTE")</f>
        <v/>
      </c>
      <c r="F518" s="56">
        <f>SUMIFS(ENTRADAS[CANTIDAD],ENTRADAS[CODIGO],PRODUCTOS[[#This Row],[CODIGO]])</f>
        <v/>
      </c>
      <c r="G518" s="56">
        <f>SUMIFS(SALIDAS[CANTIDAD],SALIDAS[CODIGO],PRODUCTOS[[#This Row],[CODIGO]])</f>
        <v/>
      </c>
      <c r="H518" s="56">
        <f>PRODUCTOS[[#This Row],[ENTRADAS]]-PRODUCTOS[[#This Row],[SALIDAS ]]</f>
        <v/>
      </c>
      <c r="I518" s="76" t="n">
        <v>0</v>
      </c>
      <c r="J518">
        <f>IF(PRODUCTOS[[#This Row],[STOCK]]&lt;0,"NEGATIVO",IF(PRODUCTOS[[#This Row],[STOCK]]=0,"SIN STOCK",IF(PRODUCTOS[[#This Row],[STOCK]]&lt;=PRODUCTOS[[#This Row],[STOCK MÍN.]],"BAJO","OK")))</f>
        <v/>
      </c>
      <c r="K5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19" hidden="1" s="11">
      <c r="A519" s="18" t="n">
        <v>504</v>
      </c>
      <c r="B519" s="56" t="inlineStr">
        <is>
          <t>00018-PLM</t>
        </is>
      </c>
      <c r="C519" s="56">
        <f>IFERROR(_xlfn.XLOOKUP(PRODUCTOS[[#This Row],[CODIGO]],LISTADO[CODIGOS],LISTADO[CATEGORIA]),"NO EXISTE")</f>
        <v/>
      </c>
      <c r="D519" s="56">
        <f>IFERROR(_xlfn.XLOOKUP(PRODUCTOS[[#This Row],[CODIGO]],LISTADO[CODIGOS],LISTADO[PRODUCTOS]),"NO EXISTE")</f>
        <v/>
      </c>
      <c r="E519" s="56">
        <f>IFERROR(_xlfn.XLOOKUP(PRODUCTOS[[#This Row],[CODIGO]],LISTADO[CODIGOS],LISTADO[UBICACIÓN]),"NO EXISTE")</f>
        <v/>
      </c>
      <c r="F519" s="56">
        <f>SUMIFS(ENTRADAS[CANTIDAD],ENTRADAS[CODIGO],PRODUCTOS[[#This Row],[CODIGO]])</f>
        <v/>
      </c>
      <c r="G519" s="56">
        <f>SUMIFS(SALIDAS[CANTIDAD],SALIDAS[CODIGO],PRODUCTOS[[#This Row],[CODIGO]])</f>
        <v/>
      </c>
      <c r="H519" s="56">
        <f>PRODUCTOS[[#This Row],[ENTRADAS]]-PRODUCTOS[[#This Row],[SALIDAS ]]</f>
        <v/>
      </c>
      <c r="I519" s="76" t="n">
        <v>0</v>
      </c>
      <c r="J519">
        <f>IF(PRODUCTOS[[#This Row],[STOCK]]&lt;0,"NEGATIVO",IF(PRODUCTOS[[#This Row],[STOCK]]=0,"SIN STOCK",IF(PRODUCTOS[[#This Row],[STOCK]]&lt;=PRODUCTOS[[#This Row],[STOCK MÍN.]],"BAJO","OK")))</f>
        <v/>
      </c>
      <c r="K5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20" hidden="1" s="11">
      <c r="A520" s="18" t="n">
        <v>505</v>
      </c>
      <c r="B520" s="56" t="inlineStr">
        <is>
          <t>00019-PLM</t>
        </is>
      </c>
      <c r="C520" s="56">
        <f>IFERROR(_xlfn.XLOOKUP(PRODUCTOS[[#This Row],[CODIGO]],LISTADO[CODIGOS],LISTADO[CATEGORIA]),"NO EXISTE")</f>
        <v/>
      </c>
      <c r="D520" s="56">
        <f>IFERROR(_xlfn.XLOOKUP(PRODUCTOS[[#This Row],[CODIGO]],LISTADO[CODIGOS],LISTADO[PRODUCTOS]),"NO EXISTE")</f>
        <v/>
      </c>
      <c r="E520" s="56">
        <f>IFERROR(_xlfn.XLOOKUP(PRODUCTOS[[#This Row],[CODIGO]],LISTADO[CODIGOS],LISTADO[UBICACIÓN]),"NO EXISTE")</f>
        <v/>
      </c>
      <c r="F520" s="56">
        <f>SUMIFS(ENTRADAS[CANTIDAD],ENTRADAS[CODIGO],PRODUCTOS[[#This Row],[CODIGO]])</f>
        <v/>
      </c>
      <c r="G520" s="56">
        <f>SUMIFS(SALIDAS[CANTIDAD],SALIDAS[CODIGO],PRODUCTOS[[#This Row],[CODIGO]])</f>
        <v/>
      </c>
      <c r="H520" s="56">
        <f>PRODUCTOS[[#This Row],[ENTRADAS]]-PRODUCTOS[[#This Row],[SALIDAS ]]</f>
        <v/>
      </c>
      <c r="I520" s="76" t="n">
        <v>0</v>
      </c>
      <c r="J520">
        <f>IF(PRODUCTOS[[#This Row],[STOCK]]&lt;0,"NEGATIVO",IF(PRODUCTOS[[#This Row],[STOCK]]=0,"SIN STOCK",IF(PRODUCTOS[[#This Row],[STOCK]]&lt;=PRODUCTOS[[#This Row],[STOCK MÍN.]],"BAJO","OK")))</f>
        <v/>
      </c>
      <c r="K5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21" hidden="1" s="11">
      <c r="A521" s="18" t="n">
        <v>506</v>
      </c>
      <c r="B521" s="56" t="inlineStr">
        <is>
          <t>00020-PLM</t>
        </is>
      </c>
      <c r="C521" s="56">
        <f>IFERROR(_xlfn.XLOOKUP(PRODUCTOS[[#This Row],[CODIGO]],LISTADO[CODIGOS],LISTADO[CATEGORIA]),"NO EXISTE")</f>
        <v/>
      </c>
      <c r="D521" s="56">
        <f>IFERROR(_xlfn.XLOOKUP(PRODUCTOS[[#This Row],[CODIGO]],LISTADO[CODIGOS],LISTADO[PRODUCTOS]),"NO EXISTE")</f>
        <v/>
      </c>
      <c r="E521" s="56">
        <f>IFERROR(_xlfn.XLOOKUP(PRODUCTOS[[#This Row],[CODIGO]],LISTADO[CODIGOS],LISTADO[UBICACIÓN]),"NO EXISTE")</f>
        <v/>
      </c>
      <c r="F521" s="56">
        <f>SUMIFS(ENTRADAS[CANTIDAD],ENTRADAS[CODIGO],PRODUCTOS[[#This Row],[CODIGO]])</f>
        <v/>
      </c>
      <c r="G521" s="56">
        <f>SUMIFS(SALIDAS[CANTIDAD],SALIDAS[CODIGO],PRODUCTOS[[#This Row],[CODIGO]])</f>
        <v/>
      </c>
      <c r="H521" s="56">
        <f>PRODUCTOS[[#This Row],[ENTRADAS]]-PRODUCTOS[[#This Row],[SALIDAS ]]</f>
        <v/>
      </c>
      <c r="I521" s="76" t="n">
        <v>0</v>
      </c>
      <c r="J521">
        <f>IF(PRODUCTOS[[#This Row],[STOCK]]&lt;0,"NEGATIVO",IF(PRODUCTOS[[#This Row],[STOCK]]=0,"SIN STOCK",IF(PRODUCTOS[[#This Row],[STOCK]]&lt;=PRODUCTOS[[#This Row],[STOCK MÍN.]],"BAJO","OK")))</f>
        <v/>
      </c>
      <c r="K5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22" hidden="1" s="11">
      <c r="A522" s="18" t="n">
        <v>507</v>
      </c>
      <c r="B522" s="56" t="inlineStr">
        <is>
          <t>00021-PLM</t>
        </is>
      </c>
      <c r="C522" s="56">
        <f>IFERROR(_xlfn.XLOOKUP(PRODUCTOS[[#This Row],[CODIGO]],LISTADO[CODIGOS],LISTADO[CATEGORIA]),"NO EXISTE")</f>
        <v/>
      </c>
      <c r="D522" s="56">
        <f>IFERROR(_xlfn.XLOOKUP(PRODUCTOS[[#This Row],[CODIGO]],LISTADO[CODIGOS],LISTADO[PRODUCTOS]),"NO EXISTE")</f>
        <v/>
      </c>
      <c r="E522" s="56">
        <f>IFERROR(_xlfn.XLOOKUP(PRODUCTOS[[#This Row],[CODIGO]],LISTADO[CODIGOS],LISTADO[UBICACIÓN]),"NO EXISTE")</f>
        <v/>
      </c>
      <c r="F522" s="56">
        <f>SUMIFS(ENTRADAS[CANTIDAD],ENTRADAS[CODIGO],PRODUCTOS[[#This Row],[CODIGO]])</f>
        <v/>
      </c>
      <c r="G522" s="56">
        <f>SUMIFS(SALIDAS[CANTIDAD],SALIDAS[CODIGO],PRODUCTOS[[#This Row],[CODIGO]])</f>
        <v/>
      </c>
      <c r="H522" s="56">
        <f>PRODUCTOS[[#This Row],[ENTRADAS]]-PRODUCTOS[[#This Row],[SALIDAS ]]</f>
        <v/>
      </c>
      <c r="I522" s="76" t="n">
        <v>0</v>
      </c>
      <c r="J522">
        <f>IF(PRODUCTOS[[#This Row],[STOCK]]&lt;0,"NEGATIVO",IF(PRODUCTOS[[#This Row],[STOCK]]=0,"SIN STOCK",IF(PRODUCTOS[[#This Row],[STOCK]]&lt;=PRODUCTOS[[#This Row],[STOCK MÍN.]],"BAJO","OK")))</f>
        <v/>
      </c>
      <c r="K5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23" hidden="1" s="11">
      <c r="A523" s="18" t="n">
        <v>508</v>
      </c>
      <c r="B523" s="56" t="inlineStr">
        <is>
          <t>00022-PLM</t>
        </is>
      </c>
      <c r="C523" s="56">
        <f>IFERROR(_xlfn.XLOOKUP(PRODUCTOS[[#This Row],[CODIGO]],LISTADO[CODIGOS],LISTADO[CATEGORIA]),"NO EXISTE")</f>
        <v/>
      </c>
      <c r="D523" s="56">
        <f>IFERROR(_xlfn.XLOOKUP(PRODUCTOS[[#This Row],[CODIGO]],LISTADO[CODIGOS],LISTADO[PRODUCTOS]),"NO EXISTE")</f>
        <v/>
      </c>
      <c r="E523" s="56">
        <f>IFERROR(_xlfn.XLOOKUP(PRODUCTOS[[#This Row],[CODIGO]],LISTADO[CODIGOS],LISTADO[UBICACIÓN]),"NO EXISTE")</f>
        <v/>
      </c>
      <c r="F523" s="56">
        <f>SUMIFS(ENTRADAS[CANTIDAD],ENTRADAS[CODIGO],PRODUCTOS[[#This Row],[CODIGO]])</f>
        <v/>
      </c>
      <c r="G523" s="56">
        <f>SUMIFS(SALIDAS[CANTIDAD],SALIDAS[CODIGO],PRODUCTOS[[#This Row],[CODIGO]])</f>
        <v/>
      </c>
      <c r="H523" s="56">
        <f>PRODUCTOS[[#This Row],[ENTRADAS]]-PRODUCTOS[[#This Row],[SALIDAS ]]</f>
        <v/>
      </c>
      <c r="I523" s="76" t="n">
        <v>0</v>
      </c>
      <c r="J523">
        <f>IF(PRODUCTOS[[#This Row],[STOCK]]&lt;0,"NEGATIVO",IF(PRODUCTOS[[#This Row],[STOCK]]=0,"SIN STOCK",IF(PRODUCTOS[[#This Row],[STOCK]]&lt;=PRODUCTOS[[#This Row],[STOCK MÍN.]],"BAJO","OK")))</f>
        <v/>
      </c>
      <c r="K5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24" hidden="1" s="11">
      <c r="A524" s="18" t="n">
        <v>509</v>
      </c>
      <c r="B524" s="56" t="inlineStr">
        <is>
          <t>00023-PLM</t>
        </is>
      </c>
      <c r="C524" s="56">
        <f>IFERROR(_xlfn.XLOOKUP(PRODUCTOS[[#This Row],[CODIGO]],LISTADO[CODIGOS],LISTADO[CATEGORIA]),"NO EXISTE")</f>
        <v/>
      </c>
      <c r="D524" s="56">
        <f>IFERROR(_xlfn.XLOOKUP(PRODUCTOS[[#This Row],[CODIGO]],LISTADO[CODIGOS],LISTADO[PRODUCTOS]),"NO EXISTE")</f>
        <v/>
      </c>
      <c r="E524" s="56">
        <f>IFERROR(_xlfn.XLOOKUP(PRODUCTOS[[#This Row],[CODIGO]],LISTADO[CODIGOS],LISTADO[UBICACIÓN]),"NO EXISTE")</f>
        <v/>
      </c>
      <c r="F524" s="56">
        <f>SUMIFS(ENTRADAS[CANTIDAD],ENTRADAS[CODIGO],PRODUCTOS[[#This Row],[CODIGO]])</f>
        <v/>
      </c>
      <c r="G524" s="56">
        <f>SUMIFS(SALIDAS[CANTIDAD],SALIDAS[CODIGO],PRODUCTOS[[#This Row],[CODIGO]])</f>
        <v/>
      </c>
      <c r="H524" s="56">
        <f>PRODUCTOS[[#This Row],[ENTRADAS]]-PRODUCTOS[[#This Row],[SALIDAS ]]</f>
        <v/>
      </c>
      <c r="I524" s="76" t="n">
        <v>0</v>
      </c>
      <c r="J524">
        <f>IF(PRODUCTOS[[#This Row],[STOCK]]&lt;0,"NEGATIVO",IF(PRODUCTOS[[#This Row],[STOCK]]=0,"SIN STOCK",IF(PRODUCTOS[[#This Row],[STOCK]]&lt;=PRODUCTOS[[#This Row],[STOCK MÍN.]],"BAJO","OK")))</f>
        <v/>
      </c>
      <c r="K5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25" hidden="1" s="11">
      <c r="A525" s="18" t="n">
        <v>510</v>
      </c>
      <c r="B525" s="56" t="inlineStr">
        <is>
          <t>00024-PLM</t>
        </is>
      </c>
      <c r="C525" s="56">
        <f>IFERROR(_xlfn.XLOOKUP(PRODUCTOS[[#This Row],[CODIGO]],LISTADO[CODIGOS],LISTADO[CATEGORIA]),"NO EXISTE")</f>
        <v/>
      </c>
      <c r="D525" s="56">
        <f>IFERROR(_xlfn.XLOOKUP(PRODUCTOS[[#This Row],[CODIGO]],LISTADO[CODIGOS],LISTADO[PRODUCTOS]),"NO EXISTE")</f>
        <v/>
      </c>
      <c r="E525" s="56">
        <f>IFERROR(_xlfn.XLOOKUP(PRODUCTOS[[#This Row],[CODIGO]],LISTADO[CODIGOS],LISTADO[UBICACIÓN]),"NO EXISTE")</f>
        <v/>
      </c>
      <c r="F525" s="56">
        <f>SUMIFS(ENTRADAS[CANTIDAD],ENTRADAS[CODIGO],PRODUCTOS[[#This Row],[CODIGO]])</f>
        <v/>
      </c>
      <c r="G525" s="56">
        <f>SUMIFS(SALIDAS[CANTIDAD],SALIDAS[CODIGO],PRODUCTOS[[#This Row],[CODIGO]])</f>
        <v/>
      </c>
      <c r="H525" s="56">
        <f>PRODUCTOS[[#This Row],[ENTRADAS]]-PRODUCTOS[[#This Row],[SALIDAS ]]</f>
        <v/>
      </c>
      <c r="I525" s="76" t="n">
        <v>0</v>
      </c>
      <c r="J525">
        <f>IF(PRODUCTOS[[#This Row],[STOCK]]&lt;0,"NEGATIVO",IF(PRODUCTOS[[#This Row],[STOCK]]=0,"SIN STOCK",IF(PRODUCTOS[[#This Row],[STOCK]]&lt;=PRODUCTOS[[#This Row],[STOCK MÍN.]],"BAJO","OK")))</f>
        <v/>
      </c>
      <c r="K5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26" hidden="1" s="11">
      <c r="A526" s="18" t="n">
        <v>511</v>
      </c>
      <c r="B526" s="56" t="inlineStr">
        <is>
          <t>00025-PLM</t>
        </is>
      </c>
      <c r="C526" s="56">
        <f>IFERROR(_xlfn.XLOOKUP(PRODUCTOS[[#This Row],[CODIGO]],LISTADO[CODIGOS],LISTADO[CATEGORIA]),"NO EXISTE")</f>
        <v/>
      </c>
      <c r="D526" s="56">
        <f>IFERROR(_xlfn.XLOOKUP(PRODUCTOS[[#This Row],[CODIGO]],LISTADO[CODIGOS],LISTADO[PRODUCTOS]),"NO EXISTE")</f>
        <v/>
      </c>
      <c r="E526" s="56">
        <f>IFERROR(_xlfn.XLOOKUP(PRODUCTOS[[#This Row],[CODIGO]],LISTADO[CODIGOS],LISTADO[UBICACIÓN]),"NO EXISTE")</f>
        <v/>
      </c>
      <c r="F526" s="56">
        <f>SUMIFS(ENTRADAS[CANTIDAD],ENTRADAS[CODIGO],PRODUCTOS[[#This Row],[CODIGO]])</f>
        <v/>
      </c>
      <c r="G526" s="56">
        <f>SUMIFS(SALIDAS[CANTIDAD],SALIDAS[CODIGO],PRODUCTOS[[#This Row],[CODIGO]])</f>
        <v/>
      </c>
      <c r="H526" s="56">
        <f>PRODUCTOS[[#This Row],[ENTRADAS]]-PRODUCTOS[[#This Row],[SALIDAS ]]</f>
        <v/>
      </c>
      <c r="I526" s="76" t="n">
        <v>0</v>
      </c>
      <c r="J526">
        <f>IF(PRODUCTOS[[#This Row],[STOCK]]&lt;0,"NEGATIVO",IF(PRODUCTOS[[#This Row],[STOCK]]=0,"SIN STOCK",IF(PRODUCTOS[[#This Row],[STOCK]]&lt;=PRODUCTOS[[#This Row],[STOCK MÍN.]],"BAJO","OK")))</f>
        <v/>
      </c>
      <c r="K5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27" hidden="1" s="11">
      <c r="A527" s="18" t="n">
        <v>512</v>
      </c>
      <c r="B527" s="56" t="inlineStr">
        <is>
          <t>00026-PLM</t>
        </is>
      </c>
      <c r="C527" s="56">
        <f>IFERROR(_xlfn.XLOOKUP(PRODUCTOS[[#This Row],[CODIGO]],LISTADO[CODIGOS],LISTADO[CATEGORIA]),"NO EXISTE")</f>
        <v/>
      </c>
      <c r="D527" s="56">
        <f>IFERROR(_xlfn.XLOOKUP(PRODUCTOS[[#This Row],[CODIGO]],LISTADO[CODIGOS],LISTADO[PRODUCTOS]),"NO EXISTE")</f>
        <v/>
      </c>
      <c r="E527" s="56">
        <f>IFERROR(_xlfn.XLOOKUP(PRODUCTOS[[#This Row],[CODIGO]],LISTADO[CODIGOS],LISTADO[UBICACIÓN]),"NO EXISTE")</f>
        <v/>
      </c>
      <c r="F527" s="56">
        <f>SUMIFS(ENTRADAS[CANTIDAD],ENTRADAS[CODIGO],PRODUCTOS[[#This Row],[CODIGO]])</f>
        <v/>
      </c>
      <c r="G527" s="56">
        <f>SUMIFS(SALIDAS[CANTIDAD],SALIDAS[CODIGO],PRODUCTOS[[#This Row],[CODIGO]])</f>
        <v/>
      </c>
      <c r="H527" s="56">
        <f>PRODUCTOS[[#This Row],[ENTRADAS]]-PRODUCTOS[[#This Row],[SALIDAS ]]</f>
        <v/>
      </c>
      <c r="I527" s="76" t="n">
        <v>0</v>
      </c>
      <c r="J527">
        <f>IF(PRODUCTOS[[#This Row],[STOCK]]&lt;0,"NEGATIVO",IF(PRODUCTOS[[#This Row],[STOCK]]=0,"SIN STOCK",IF(PRODUCTOS[[#This Row],[STOCK]]&lt;=PRODUCTOS[[#This Row],[STOCK MÍN.]],"BAJO","OK")))</f>
        <v/>
      </c>
      <c r="K5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28" hidden="1" s="11">
      <c r="A528" s="18" t="n">
        <v>513</v>
      </c>
      <c r="B528" s="56" t="inlineStr">
        <is>
          <t>00013-HRR</t>
        </is>
      </c>
      <c r="C528" s="56">
        <f>IFERROR(_xlfn.XLOOKUP(PRODUCTOS[[#This Row],[CODIGO]],LISTADO[CODIGOS],LISTADO[CATEGORIA]),"NO EXISTE")</f>
        <v/>
      </c>
      <c r="D528" s="56">
        <f>IFERROR(_xlfn.XLOOKUP(PRODUCTOS[[#This Row],[CODIGO]],LISTADO[CODIGOS],LISTADO[PRODUCTOS]),"NO EXISTE")</f>
        <v/>
      </c>
      <c r="E528" s="56">
        <f>IFERROR(_xlfn.XLOOKUP(PRODUCTOS[[#This Row],[CODIGO]],LISTADO[CODIGOS],LISTADO[UBICACIÓN]),"NO EXISTE")</f>
        <v/>
      </c>
      <c r="F528" s="56">
        <f>SUMIFS(ENTRADAS[CANTIDAD],ENTRADAS[CODIGO],PRODUCTOS[[#This Row],[CODIGO]])</f>
        <v/>
      </c>
      <c r="G528" s="56">
        <f>SUMIFS(SALIDAS[CANTIDAD],SALIDAS[CODIGO],PRODUCTOS[[#This Row],[CODIGO]])</f>
        <v/>
      </c>
      <c r="H528" s="56">
        <f>PRODUCTOS[[#This Row],[ENTRADAS]]-PRODUCTOS[[#This Row],[SALIDAS ]]</f>
        <v/>
      </c>
      <c r="I528" s="76" t="n">
        <v>0</v>
      </c>
      <c r="J528">
        <f>IF(PRODUCTOS[[#This Row],[STOCK]]&lt;0,"NEGATIVO",IF(PRODUCTOS[[#This Row],[STOCK]]=0,"SIN STOCK",IF(PRODUCTOS[[#This Row],[STOCK]]&lt;=PRODUCTOS[[#This Row],[STOCK MÍN.]],"BAJO","OK")))</f>
        <v/>
      </c>
      <c r="K5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29" hidden="1" s="11">
      <c r="A529" s="18" t="n">
        <v>514</v>
      </c>
      <c r="B529" s="56" t="inlineStr">
        <is>
          <t>00014-HRR</t>
        </is>
      </c>
      <c r="C529" s="56">
        <f>IFERROR(_xlfn.XLOOKUP(PRODUCTOS[[#This Row],[CODIGO]],LISTADO[CODIGOS],LISTADO[CATEGORIA]),"NO EXISTE")</f>
        <v/>
      </c>
      <c r="D529" s="56">
        <f>IFERROR(_xlfn.XLOOKUP(PRODUCTOS[[#This Row],[CODIGO]],LISTADO[CODIGOS],LISTADO[PRODUCTOS]),"NO EXISTE")</f>
        <v/>
      </c>
      <c r="E529" s="56">
        <f>IFERROR(_xlfn.XLOOKUP(PRODUCTOS[[#This Row],[CODIGO]],LISTADO[CODIGOS],LISTADO[UBICACIÓN]),"NO EXISTE")</f>
        <v/>
      </c>
      <c r="F529" s="56">
        <f>SUMIFS(ENTRADAS[CANTIDAD],ENTRADAS[CODIGO],PRODUCTOS[[#This Row],[CODIGO]])</f>
        <v/>
      </c>
      <c r="G529" s="56">
        <f>SUMIFS(SALIDAS[CANTIDAD],SALIDAS[CODIGO],PRODUCTOS[[#This Row],[CODIGO]])</f>
        <v/>
      </c>
      <c r="H529" s="56">
        <f>PRODUCTOS[[#This Row],[ENTRADAS]]-PRODUCTOS[[#This Row],[SALIDAS ]]</f>
        <v/>
      </c>
      <c r="I529" s="76" t="n">
        <v>0</v>
      </c>
      <c r="J529">
        <f>IF(PRODUCTOS[[#This Row],[STOCK]]&lt;0,"NEGATIVO",IF(PRODUCTOS[[#This Row],[STOCK]]=0,"SIN STOCK",IF(PRODUCTOS[[#This Row],[STOCK]]&lt;=PRODUCTOS[[#This Row],[STOCK MÍN.]],"BAJO","OK")))</f>
        <v/>
      </c>
      <c r="K5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30" hidden="1" s="11">
      <c r="A530" s="18" t="n">
        <v>515</v>
      </c>
      <c r="B530" s="56" t="inlineStr">
        <is>
          <t>00015-HRR</t>
        </is>
      </c>
      <c r="C530" s="56">
        <f>IFERROR(_xlfn.XLOOKUP(PRODUCTOS[[#This Row],[CODIGO]],LISTADO[CODIGOS],LISTADO[CATEGORIA]),"NO EXISTE")</f>
        <v/>
      </c>
      <c r="D530" s="56">
        <f>IFERROR(_xlfn.XLOOKUP(PRODUCTOS[[#This Row],[CODIGO]],LISTADO[CODIGOS],LISTADO[PRODUCTOS]),"NO EXISTE")</f>
        <v/>
      </c>
      <c r="E530" s="56">
        <f>IFERROR(_xlfn.XLOOKUP(PRODUCTOS[[#This Row],[CODIGO]],LISTADO[CODIGOS],LISTADO[UBICACIÓN]),"NO EXISTE")</f>
        <v/>
      </c>
      <c r="F530" s="56">
        <f>SUMIFS(ENTRADAS[CANTIDAD],ENTRADAS[CODIGO],PRODUCTOS[[#This Row],[CODIGO]])</f>
        <v/>
      </c>
      <c r="G530" s="56">
        <f>SUMIFS(SALIDAS[CANTIDAD],SALIDAS[CODIGO],PRODUCTOS[[#This Row],[CODIGO]])</f>
        <v/>
      </c>
      <c r="H530" s="56">
        <f>PRODUCTOS[[#This Row],[ENTRADAS]]-PRODUCTOS[[#This Row],[SALIDAS ]]</f>
        <v/>
      </c>
      <c r="I530" s="76" t="n">
        <v>0</v>
      </c>
      <c r="J530">
        <f>IF(PRODUCTOS[[#This Row],[STOCK]]&lt;0,"NEGATIVO",IF(PRODUCTOS[[#This Row],[STOCK]]=0,"SIN STOCK",IF(PRODUCTOS[[#This Row],[STOCK]]&lt;=PRODUCTOS[[#This Row],[STOCK MÍN.]],"BAJO","OK")))</f>
        <v/>
      </c>
      <c r="K5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31" hidden="1" s="11">
      <c r="A531" s="18" t="n">
        <v>516</v>
      </c>
      <c r="B531" s="56" t="inlineStr">
        <is>
          <t>00016-HRR</t>
        </is>
      </c>
      <c r="C531" s="56">
        <f>IFERROR(_xlfn.XLOOKUP(PRODUCTOS[[#This Row],[CODIGO]],LISTADO[CODIGOS],LISTADO[CATEGORIA]),"NO EXISTE")</f>
        <v/>
      </c>
      <c r="D531" s="56">
        <f>IFERROR(_xlfn.XLOOKUP(PRODUCTOS[[#This Row],[CODIGO]],LISTADO[CODIGOS],LISTADO[PRODUCTOS]),"NO EXISTE")</f>
        <v/>
      </c>
      <c r="E531" s="56">
        <f>IFERROR(_xlfn.XLOOKUP(PRODUCTOS[[#This Row],[CODIGO]],LISTADO[CODIGOS],LISTADO[UBICACIÓN]),"NO EXISTE")</f>
        <v/>
      </c>
      <c r="F531" s="56">
        <f>SUMIFS(ENTRADAS[CANTIDAD],ENTRADAS[CODIGO],PRODUCTOS[[#This Row],[CODIGO]])</f>
        <v/>
      </c>
      <c r="G531" s="56">
        <f>SUMIFS(SALIDAS[CANTIDAD],SALIDAS[CODIGO],PRODUCTOS[[#This Row],[CODIGO]])</f>
        <v/>
      </c>
      <c r="H531" s="56">
        <f>PRODUCTOS[[#This Row],[ENTRADAS]]-PRODUCTOS[[#This Row],[SALIDAS ]]</f>
        <v/>
      </c>
      <c r="I531" s="76" t="n">
        <v>0</v>
      </c>
      <c r="J531">
        <f>IF(PRODUCTOS[[#This Row],[STOCK]]&lt;0,"NEGATIVO",IF(PRODUCTOS[[#This Row],[STOCK]]=0,"SIN STOCK",IF(PRODUCTOS[[#This Row],[STOCK]]&lt;=PRODUCTOS[[#This Row],[STOCK MÍN.]],"BAJO","OK")))</f>
        <v/>
      </c>
      <c r="K5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32" hidden="1" s="11">
      <c r="A532" s="18" t="n">
        <v>517</v>
      </c>
      <c r="B532" s="56" t="inlineStr">
        <is>
          <t>00017-HRR</t>
        </is>
      </c>
      <c r="C532" s="56">
        <f>IFERROR(_xlfn.XLOOKUP(PRODUCTOS[[#This Row],[CODIGO]],LISTADO[CODIGOS],LISTADO[CATEGORIA]),"NO EXISTE")</f>
        <v/>
      </c>
      <c r="D532" s="56">
        <f>IFERROR(_xlfn.XLOOKUP(PRODUCTOS[[#This Row],[CODIGO]],LISTADO[CODIGOS],LISTADO[PRODUCTOS]),"NO EXISTE")</f>
        <v/>
      </c>
      <c r="E532" s="56">
        <f>IFERROR(_xlfn.XLOOKUP(PRODUCTOS[[#This Row],[CODIGO]],LISTADO[CODIGOS],LISTADO[UBICACIÓN]),"NO EXISTE")</f>
        <v/>
      </c>
      <c r="F532" s="56">
        <f>SUMIFS(ENTRADAS[CANTIDAD],ENTRADAS[CODIGO],PRODUCTOS[[#This Row],[CODIGO]])</f>
        <v/>
      </c>
      <c r="G532" s="56">
        <f>SUMIFS(SALIDAS[CANTIDAD],SALIDAS[CODIGO],PRODUCTOS[[#This Row],[CODIGO]])</f>
        <v/>
      </c>
      <c r="H532" s="56">
        <f>PRODUCTOS[[#This Row],[ENTRADAS]]-PRODUCTOS[[#This Row],[SALIDAS ]]</f>
        <v/>
      </c>
      <c r="I532" s="76" t="n">
        <v>0</v>
      </c>
      <c r="J532">
        <f>IF(PRODUCTOS[[#This Row],[STOCK]]&lt;0,"NEGATIVO",IF(PRODUCTOS[[#This Row],[STOCK]]=0,"SIN STOCK",IF(PRODUCTOS[[#This Row],[STOCK]]&lt;=PRODUCTOS[[#This Row],[STOCK MÍN.]],"BAJO","OK")))</f>
        <v/>
      </c>
      <c r="K5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33" hidden="1" s="11">
      <c r="A533" s="18" t="n">
        <v>518</v>
      </c>
      <c r="B533" s="56" t="inlineStr">
        <is>
          <t>00027-PLM</t>
        </is>
      </c>
      <c r="C533" s="56">
        <f>IFERROR(_xlfn.XLOOKUP(PRODUCTOS[[#This Row],[CODIGO]],LISTADO[CODIGOS],LISTADO[CATEGORIA]),"NO EXISTE")</f>
        <v/>
      </c>
      <c r="D533" s="56">
        <f>IFERROR(_xlfn.XLOOKUP(PRODUCTOS[[#This Row],[CODIGO]],LISTADO[CODIGOS],LISTADO[PRODUCTOS]),"NO EXISTE")</f>
        <v/>
      </c>
      <c r="E533" s="56">
        <f>IFERROR(_xlfn.XLOOKUP(PRODUCTOS[[#This Row],[CODIGO]],LISTADO[CODIGOS],LISTADO[UBICACIÓN]),"NO EXISTE")</f>
        <v/>
      </c>
      <c r="F533" s="56">
        <f>SUMIFS(ENTRADAS[CANTIDAD],ENTRADAS[CODIGO],PRODUCTOS[[#This Row],[CODIGO]])</f>
        <v/>
      </c>
      <c r="G533" s="56">
        <f>SUMIFS(SALIDAS[CANTIDAD],SALIDAS[CODIGO],PRODUCTOS[[#This Row],[CODIGO]])</f>
        <v/>
      </c>
      <c r="H533" s="56">
        <f>PRODUCTOS[[#This Row],[ENTRADAS]]-PRODUCTOS[[#This Row],[SALIDAS ]]</f>
        <v/>
      </c>
      <c r="I533" s="76" t="n">
        <v>0</v>
      </c>
      <c r="J533">
        <f>IF(PRODUCTOS[[#This Row],[STOCK]]&lt;0,"NEGATIVO",IF(PRODUCTOS[[#This Row],[STOCK]]=0,"SIN STOCK",IF(PRODUCTOS[[#This Row],[STOCK]]&lt;=PRODUCTOS[[#This Row],[STOCK MÍN.]],"BAJO","OK")))</f>
        <v/>
      </c>
      <c r="K5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34" hidden="1" s="11">
      <c r="A534" s="18" t="n">
        <v>519</v>
      </c>
      <c r="B534" s="56" t="inlineStr">
        <is>
          <t>00028-PLM</t>
        </is>
      </c>
      <c r="C534" s="56">
        <f>IFERROR(_xlfn.XLOOKUP(PRODUCTOS[[#This Row],[CODIGO]],LISTADO[CODIGOS],LISTADO[CATEGORIA]),"NO EXISTE")</f>
        <v/>
      </c>
      <c r="D534" s="56">
        <f>IFERROR(_xlfn.XLOOKUP(PRODUCTOS[[#This Row],[CODIGO]],LISTADO[CODIGOS],LISTADO[PRODUCTOS]),"NO EXISTE")</f>
        <v/>
      </c>
      <c r="E534" s="56">
        <f>IFERROR(_xlfn.XLOOKUP(PRODUCTOS[[#This Row],[CODIGO]],LISTADO[CODIGOS],LISTADO[UBICACIÓN]),"NO EXISTE")</f>
        <v/>
      </c>
      <c r="F534" s="56">
        <f>SUMIFS(ENTRADAS[CANTIDAD],ENTRADAS[CODIGO],PRODUCTOS[[#This Row],[CODIGO]])</f>
        <v/>
      </c>
      <c r="G534" s="56">
        <f>SUMIFS(SALIDAS[CANTIDAD],SALIDAS[CODIGO],PRODUCTOS[[#This Row],[CODIGO]])</f>
        <v/>
      </c>
      <c r="H534" s="56">
        <f>PRODUCTOS[[#This Row],[ENTRADAS]]-PRODUCTOS[[#This Row],[SALIDAS ]]</f>
        <v/>
      </c>
      <c r="I534" s="76" t="n">
        <v>0</v>
      </c>
      <c r="J534">
        <f>IF(PRODUCTOS[[#This Row],[STOCK]]&lt;0,"NEGATIVO",IF(PRODUCTOS[[#This Row],[STOCK]]=0,"SIN STOCK",IF(PRODUCTOS[[#This Row],[STOCK]]&lt;=PRODUCTOS[[#This Row],[STOCK MÍN.]],"BAJO","OK")))</f>
        <v/>
      </c>
      <c r="K5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35" hidden="1" s="11">
      <c r="A535" s="18" t="n">
        <v>520</v>
      </c>
      <c r="B535" s="56" t="inlineStr">
        <is>
          <t>00029-PLM</t>
        </is>
      </c>
      <c r="C535" s="56">
        <f>IFERROR(_xlfn.XLOOKUP(PRODUCTOS[[#This Row],[CODIGO]],LISTADO[CODIGOS],LISTADO[CATEGORIA]),"NO EXISTE")</f>
        <v/>
      </c>
      <c r="D535" s="56">
        <f>IFERROR(_xlfn.XLOOKUP(PRODUCTOS[[#This Row],[CODIGO]],LISTADO[CODIGOS],LISTADO[PRODUCTOS]),"NO EXISTE")</f>
        <v/>
      </c>
      <c r="E535" s="56">
        <f>IFERROR(_xlfn.XLOOKUP(PRODUCTOS[[#This Row],[CODIGO]],LISTADO[CODIGOS],LISTADO[UBICACIÓN]),"NO EXISTE")</f>
        <v/>
      </c>
      <c r="F535" s="56">
        <f>SUMIFS(ENTRADAS[CANTIDAD],ENTRADAS[CODIGO],PRODUCTOS[[#This Row],[CODIGO]])</f>
        <v/>
      </c>
      <c r="G535" s="56">
        <f>SUMIFS(SALIDAS[CANTIDAD],SALIDAS[CODIGO],PRODUCTOS[[#This Row],[CODIGO]])</f>
        <v/>
      </c>
      <c r="H535" s="56">
        <f>PRODUCTOS[[#This Row],[ENTRADAS]]-PRODUCTOS[[#This Row],[SALIDAS ]]</f>
        <v/>
      </c>
      <c r="I535" s="76" t="n">
        <v>0</v>
      </c>
      <c r="J535">
        <f>IF(PRODUCTOS[[#This Row],[STOCK]]&lt;0,"NEGATIVO",IF(PRODUCTOS[[#This Row],[STOCK]]=0,"SIN STOCK",IF(PRODUCTOS[[#This Row],[STOCK]]&lt;=PRODUCTOS[[#This Row],[STOCK MÍN.]],"BAJO","OK")))</f>
        <v/>
      </c>
      <c r="K5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36" hidden="1" s="11">
      <c r="A536" s="18" t="n">
        <v>521</v>
      </c>
      <c r="B536" s="56" t="inlineStr">
        <is>
          <t>00018-HRR</t>
        </is>
      </c>
      <c r="C536" s="56">
        <f>IFERROR(_xlfn.XLOOKUP(PRODUCTOS[[#This Row],[CODIGO]],LISTADO[CODIGOS],LISTADO[CATEGORIA]),"NO EXISTE")</f>
        <v/>
      </c>
      <c r="D536" s="56">
        <f>IFERROR(_xlfn.XLOOKUP(PRODUCTOS[[#This Row],[CODIGO]],LISTADO[CODIGOS],LISTADO[PRODUCTOS]),"NO EXISTE")</f>
        <v/>
      </c>
      <c r="E536" s="56">
        <f>IFERROR(_xlfn.XLOOKUP(PRODUCTOS[[#This Row],[CODIGO]],LISTADO[CODIGOS],LISTADO[UBICACIÓN]),"NO EXISTE")</f>
        <v/>
      </c>
      <c r="F536" s="56">
        <f>SUMIFS(ENTRADAS[CANTIDAD],ENTRADAS[CODIGO],PRODUCTOS[[#This Row],[CODIGO]])</f>
        <v/>
      </c>
      <c r="G536" s="56">
        <f>SUMIFS(SALIDAS[CANTIDAD],SALIDAS[CODIGO],PRODUCTOS[[#This Row],[CODIGO]])</f>
        <v/>
      </c>
      <c r="H536" s="56">
        <f>PRODUCTOS[[#This Row],[ENTRADAS]]-PRODUCTOS[[#This Row],[SALIDAS ]]</f>
        <v/>
      </c>
      <c r="I536" s="76" t="n">
        <v>0</v>
      </c>
      <c r="J536">
        <f>IF(PRODUCTOS[[#This Row],[STOCK]]&lt;0,"NEGATIVO",IF(PRODUCTOS[[#This Row],[STOCK]]=0,"SIN STOCK",IF(PRODUCTOS[[#This Row],[STOCK]]&lt;=PRODUCTOS[[#This Row],[STOCK MÍN.]],"BAJO","OK")))</f>
        <v/>
      </c>
      <c r="K5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37" hidden="1" s="11">
      <c r="A537" s="18" t="n">
        <v>522</v>
      </c>
      <c r="B537" s="56" t="inlineStr">
        <is>
          <t>00030-PLM</t>
        </is>
      </c>
      <c r="C537" s="56">
        <f>IFERROR(_xlfn.XLOOKUP(PRODUCTOS[[#This Row],[CODIGO]],LISTADO[CODIGOS],LISTADO[CATEGORIA]),"NO EXISTE")</f>
        <v/>
      </c>
      <c r="D537" s="56">
        <f>IFERROR(_xlfn.XLOOKUP(PRODUCTOS[[#This Row],[CODIGO]],LISTADO[CODIGOS],LISTADO[PRODUCTOS]),"NO EXISTE")</f>
        <v/>
      </c>
      <c r="E537" s="56">
        <f>IFERROR(_xlfn.XLOOKUP(PRODUCTOS[[#This Row],[CODIGO]],LISTADO[CODIGOS],LISTADO[UBICACIÓN]),"NO EXISTE")</f>
        <v/>
      </c>
      <c r="F537" s="56">
        <f>SUMIFS(ENTRADAS[CANTIDAD],ENTRADAS[CODIGO],PRODUCTOS[[#This Row],[CODIGO]])</f>
        <v/>
      </c>
      <c r="G537" s="56">
        <f>SUMIFS(SALIDAS[CANTIDAD],SALIDAS[CODIGO],PRODUCTOS[[#This Row],[CODIGO]])</f>
        <v/>
      </c>
      <c r="H537" s="56">
        <f>PRODUCTOS[[#This Row],[ENTRADAS]]-PRODUCTOS[[#This Row],[SALIDAS ]]</f>
        <v/>
      </c>
      <c r="I537" s="76" t="n">
        <v>0</v>
      </c>
      <c r="J537">
        <f>IF(PRODUCTOS[[#This Row],[STOCK]]&lt;0,"NEGATIVO",IF(PRODUCTOS[[#This Row],[STOCK]]=0,"SIN STOCK",IF(PRODUCTOS[[#This Row],[STOCK]]&lt;=PRODUCTOS[[#This Row],[STOCK MÍN.]],"BAJO","OK")))</f>
        <v/>
      </c>
      <c r="K5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38" hidden="1" s="11">
      <c r="A538" s="18" t="n">
        <v>523</v>
      </c>
      <c r="B538" s="56" t="inlineStr">
        <is>
          <t>00031-PLM</t>
        </is>
      </c>
      <c r="C538" s="56">
        <f>IFERROR(_xlfn.XLOOKUP(PRODUCTOS[[#This Row],[CODIGO]],LISTADO[CODIGOS],LISTADO[CATEGORIA]),"NO EXISTE")</f>
        <v/>
      </c>
      <c r="D538" s="56">
        <f>IFERROR(_xlfn.XLOOKUP(PRODUCTOS[[#This Row],[CODIGO]],LISTADO[CODIGOS],LISTADO[PRODUCTOS]),"NO EXISTE")</f>
        <v/>
      </c>
      <c r="E538" s="56">
        <f>IFERROR(_xlfn.XLOOKUP(PRODUCTOS[[#This Row],[CODIGO]],LISTADO[CODIGOS],LISTADO[UBICACIÓN]),"NO EXISTE")</f>
        <v/>
      </c>
      <c r="F538" s="56">
        <f>SUMIFS(ENTRADAS[CANTIDAD],ENTRADAS[CODIGO],PRODUCTOS[[#This Row],[CODIGO]])</f>
        <v/>
      </c>
      <c r="G538" s="56">
        <f>SUMIFS(SALIDAS[CANTIDAD],SALIDAS[CODIGO],PRODUCTOS[[#This Row],[CODIGO]])</f>
        <v/>
      </c>
      <c r="H538" s="56">
        <f>PRODUCTOS[[#This Row],[ENTRADAS]]-PRODUCTOS[[#This Row],[SALIDAS ]]</f>
        <v/>
      </c>
      <c r="I538" s="76" t="n">
        <v>0</v>
      </c>
      <c r="J538">
        <f>IF(PRODUCTOS[[#This Row],[STOCK]]&lt;0,"NEGATIVO",IF(PRODUCTOS[[#This Row],[STOCK]]=0,"SIN STOCK",IF(PRODUCTOS[[#This Row],[STOCK]]&lt;=PRODUCTOS[[#This Row],[STOCK MÍN.]],"BAJO","OK")))</f>
        <v/>
      </c>
      <c r="K5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39" hidden="1" s="11">
      <c r="A539" s="18" t="n">
        <v>524</v>
      </c>
      <c r="B539" s="56" t="inlineStr">
        <is>
          <t>00032-PLM</t>
        </is>
      </c>
      <c r="C539" s="56">
        <f>IFERROR(_xlfn.XLOOKUP(PRODUCTOS[[#This Row],[CODIGO]],LISTADO[CODIGOS],LISTADO[CATEGORIA]),"NO EXISTE")</f>
        <v/>
      </c>
      <c r="D539" s="56">
        <f>IFERROR(_xlfn.XLOOKUP(PRODUCTOS[[#This Row],[CODIGO]],LISTADO[CODIGOS],LISTADO[PRODUCTOS]),"NO EXISTE")</f>
        <v/>
      </c>
      <c r="E539" s="56">
        <f>IFERROR(_xlfn.XLOOKUP(PRODUCTOS[[#This Row],[CODIGO]],LISTADO[CODIGOS],LISTADO[UBICACIÓN]),"NO EXISTE")</f>
        <v/>
      </c>
      <c r="F539" s="56">
        <f>SUMIFS(ENTRADAS[CANTIDAD],ENTRADAS[CODIGO],PRODUCTOS[[#This Row],[CODIGO]])</f>
        <v/>
      </c>
      <c r="G539" s="56">
        <f>SUMIFS(SALIDAS[CANTIDAD],SALIDAS[CODIGO],PRODUCTOS[[#This Row],[CODIGO]])</f>
        <v/>
      </c>
      <c r="H539" s="56">
        <f>PRODUCTOS[[#This Row],[ENTRADAS]]-PRODUCTOS[[#This Row],[SALIDAS ]]</f>
        <v/>
      </c>
      <c r="I539" s="76" t="n">
        <v>0</v>
      </c>
      <c r="J539">
        <f>IF(PRODUCTOS[[#This Row],[STOCK]]&lt;0,"NEGATIVO",IF(PRODUCTOS[[#This Row],[STOCK]]=0,"SIN STOCK",IF(PRODUCTOS[[#This Row],[STOCK]]&lt;=PRODUCTOS[[#This Row],[STOCK MÍN.]],"BAJO","OK")))</f>
        <v/>
      </c>
      <c r="K5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40" hidden="1" s="11">
      <c r="A540" s="18" t="n">
        <v>525</v>
      </c>
      <c r="B540" s="56" t="inlineStr">
        <is>
          <t>00033-PLM</t>
        </is>
      </c>
      <c r="C540" s="56">
        <f>IFERROR(_xlfn.XLOOKUP(PRODUCTOS[[#This Row],[CODIGO]],LISTADO[CODIGOS],LISTADO[CATEGORIA]),"NO EXISTE")</f>
        <v/>
      </c>
      <c r="D540" s="56">
        <f>IFERROR(_xlfn.XLOOKUP(PRODUCTOS[[#This Row],[CODIGO]],LISTADO[CODIGOS],LISTADO[PRODUCTOS]),"NO EXISTE")</f>
        <v/>
      </c>
      <c r="E540" s="56">
        <f>IFERROR(_xlfn.XLOOKUP(PRODUCTOS[[#This Row],[CODIGO]],LISTADO[CODIGOS],LISTADO[UBICACIÓN]),"NO EXISTE")</f>
        <v/>
      </c>
      <c r="F540" s="56">
        <f>SUMIFS(ENTRADAS[CANTIDAD],ENTRADAS[CODIGO],PRODUCTOS[[#This Row],[CODIGO]])</f>
        <v/>
      </c>
      <c r="G540" s="56">
        <f>SUMIFS(SALIDAS[CANTIDAD],SALIDAS[CODIGO],PRODUCTOS[[#This Row],[CODIGO]])</f>
        <v/>
      </c>
      <c r="H540" s="56">
        <f>PRODUCTOS[[#This Row],[ENTRADAS]]-PRODUCTOS[[#This Row],[SALIDAS ]]</f>
        <v/>
      </c>
      <c r="I540" s="76" t="n">
        <v>0</v>
      </c>
      <c r="J540">
        <f>IF(PRODUCTOS[[#This Row],[STOCK]]&lt;0,"NEGATIVO",IF(PRODUCTOS[[#This Row],[STOCK]]=0,"SIN STOCK",IF(PRODUCTOS[[#This Row],[STOCK]]&lt;=PRODUCTOS[[#This Row],[STOCK MÍN.]],"BAJO","OK")))</f>
        <v/>
      </c>
      <c r="K5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41" hidden="1" s="11">
      <c r="A541" s="18" t="n">
        <v>526</v>
      </c>
      <c r="B541" s="56" t="inlineStr">
        <is>
          <t>00034-PLM</t>
        </is>
      </c>
      <c r="C541" s="56">
        <f>IFERROR(_xlfn.XLOOKUP(PRODUCTOS[[#This Row],[CODIGO]],LISTADO[CODIGOS],LISTADO[CATEGORIA]),"NO EXISTE")</f>
        <v/>
      </c>
      <c r="D541" s="56">
        <f>IFERROR(_xlfn.XLOOKUP(PRODUCTOS[[#This Row],[CODIGO]],LISTADO[CODIGOS],LISTADO[PRODUCTOS]),"NO EXISTE")</f>
        <v/>
      </c>
      <c r="E541" s="56">
        <f>IFERROR(_xlfn.XLOOKUP(PRODUCTOS[[#This Row],[CODIGO]],LISTADO[CODIGOS],LISTADO[UBICACIÓN]),"NO EXISTE")</f>
        <v/>
      </c>
      <c r="F541" s="56">
        <f>SUMIFS(ENTRADAS[CANTIDAD],ENTRADAS[CODIGO],PRODUCTOS[[#This Row],[CODIGO]])</f>
        <v/>
      </c>
      <c r="G541" s="56">
        <f>SUMIFS(SALIDAS[CANTIDAD],SALIDAS[CODIGO],PRODUCTOS[[#This Row],[CODIGO]])</f>
        <v/>
      </c>
      <c r="H541" s="56">
        <f>PRODUCTOS[[#This Row],[ENTRADAS]]-PRODUCTOS[[#This Row],[SALIDAS ]]</f>
        <v/>
      </c>
      <c r="I541" s="76" t="n">
        <v>0</v>
      </c>
      <c r="J541">
        <f>IF(PRODUCTOS[[#This Row],[STOCK]]&lt;0,"NEGATIVO",IF(PRODUCTOS[[#This Row],[STOCK]]=0,"SIN STOCK",IF(PRODUCTOS[[#This Row],[STOCK]]&lt;=PRODUCTOS[[#This Row],[STOCK MÍN.]],"BAJO","OK")))</f>
        <v/>
      </c>
      <c r="K5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42" hidden="1" s="11">
      <c r="A542" s="18" t="n">
        <v>527</v>
      </c>
      <c r="B542" s="56" t="inlineStr">
        <is>
          <t>00035-PLM</t>
        </is>
      </c>
      <c r="C542" s="56">
        <f>IFERROR(_xlfn.XLOOKUP(PRODUCTOS[[#This Row],[CODIGO]],LISTADO[CODIGOS],LISTADO[CATEGORIA]),"NO EXISTE")</f>
        <v/>
      </c>
      <c r="D542" s="56">
        <f>IFERROR(_xlfn.XLOOKUP(PRODUCTOS[[#This Row],[CODIGO]],LISTADO[CODIGOS],LISTADO[PRODUCTOS]),"NO EXISTE")</f>
        <v/>
      </c>
      <c r="E542" s="56">
        <f>IFERROR(_xlfn.XLOOKUP(PRODUCTOS[[#This Row],[CODIGO]],LISTADO[CODIGOS],LISTADO[UBICACIÓN]),"NO EXISTE")</f>
        <v/>
      </c>
      <c r="F542" s="56">
        <f>SUMIFS(ENTRADAS[CANTIDAD],ENTRADAS[CODIGO],PRODUCTOS[[#This Row],[CODIGO]])</f>
        <v/>
      </c>
      <c r="G542" s="56">
        <f>SUMIFS(SALIDAS[CANTIDAD],SALIDAS[CODIGO],PRODUCTOS[[#This Row],[CODIGO]])</f>
        <v/>
      </c>
      <c r="H542" s="56">
        <f>PRODUCTOS[[#This Row],[ENTRADAS]]-PRODUCTOS[[#This Row],[SALIDAS ]]</f>
        <v/>
      </c>
      <c r="I542" s="76" t="n">
        <v>0</v>
      </c>
      <c r="J542">
        <f>IF(PRODUCTOS[[#This Row],[STOCK]]&lt;0,"NEGATIVO",IF(PRODUCTOS[[#This Row],[STOCK]]=0,"SIN STOCK",IF(PRODUCTOS[[#This Row],[STOCK]]&lt;=PRODUCTOS[[#This Row],[STOCK MÍN.]],"BAJO","OK")))</f>
        <v/>
      </c>
      <c r="K5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43" hidden="1" s="11">
      <c r="A543" s="18" t="n">
        <v>528</v>
      </c>
      <c r="B543" s="56" t="inlineStr">
        <is>
          <t>00080-FER</t>
        </is>
      </c>
      <c r="C543" s="56">
        <f>IFERROR(_xlfn.XLOOKUP(PRODUCTOS[[#This Row],[CODIGO]],LISTADO[CODIGOS],LISTADO[CATEGORIA]),"NO EXISTE")</f>
        <v/>
      </c>
      <c r="D543" s="56">
        <f>IFERROR(_xlfn.XLOOKUP(PRODUCTOS[[#This Row],[CODIGO]],LISTADO[CODIGOS],LISTADO[PRODUCTOS]),"NO EXISTE")</f>
        <v/>
      </c>
      <c r="E543" s="56">
        <f>IFERROR(_xlfn.XLOOKUP(PRODUCTOS[[#This Row],[CODIGO]],LISTADO[CODIGOS],LISTADO[UBICACIÓN]),"NO EXISTE")</f>
        <v/>
      </c>
      <c r="F543" s="56">
        <f>SUMIFS(ENTRADAS[CANTIDAD],ENTRADAS[CODIGO],PRODUCTOS[[#This Row],[CODIGO]])</f>
        <v/>
      </c>
      <c r="G543" s="56">
        <f>SUMIFS(SALIDAS[CANTIDAD],SALIDAS[CODIGO],PRODUCTOS[[#This Row],[CODIGO]])</f>
        <v/>
      </c>
      <c r="H543" s="56">
        <f>PRODUCTOS[[#This Row],[ENTRADAS]]-PRODUCTOS[[#This Row],[SALIDAS ]]</f>
        <v/>
      </c>
      <c r="I543" s="76" t="n">
        <v>0</v>
      </c>
      <c r="J543">
        <f>IF(PRODUCTOS[[#This Row],[STOCK]]&lt;0,"NEGATIVO",IF(PRODUCTOS[[#This Row],[STOCK]]=0,"SIN STOCK",IF(PRODUCTOS[[#This Row],[STOCK]]&lt;=PRODUCTOS[[#This Row],[STOCK MÍN.]],"BAJO","OK")))</f>
        <v/>
      </c>
      <c r="K5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44" hidden="1" s="11">
      <c r="A544" s="18" t="n">
        <v>529</v>
      </c>
      <c r="B544" s="56" t="inlineStr">
        <is>
          <t>00081-FER</t>
        </is>
      </c>
      <c r="C544" s="56">
        <f>IFERROR(_xlfn.XLOOKUP(PRODUCTOS[[#This Row],[CODIGO]],LISTADO[CODIGOS],LISTADO[CATEGORIA]),"NO EXISTE")</f>
        <v/>
      </c>
      <c r="D544" s="56">
        <f>IFERROR(_xlfn.XLOOKUP(PRODUCTOS[[#This Row],[CODIGO]],LISTADO[CODIGOS],LISTADO[PRODUCTOS]),"NO EXISTE")</f>
        <v/>
      </c>
      <c r="E544" s="56">
        <f>IFERROR(_xlfn.XLOOKUP(PRODUCTOS[[#This Row],[CODIGO]],LISTADO[CODIGOS],LISTADO[UBICACIÓN]),"NO EXISTE")</f>
        <v/>
      </c>
      <c r="F544" s="56">
        <f>SUMIFS(ENTRADAS[CANTIDAD],ENTRADAS[CODIGO],PRODUCTOS[[#This Row],[CODIGO]])</f>
        <v/>
      </c>
      <c r="G544" s="56">
        <f>SUMIFS(SALIDAS[CANTIDAD],SALIDAS[CODIGO],PRODUCTOS[[#This Row],[CODIGO]])</f>
        <v/>
      </c>
      <c r="H544" s="56">
        <f>PRODUCTOS[[#This Row],[ENTRADAS]]-PRODUCTOS[[#This Row],[SALIDAS ]]</f>
        <v/>
      </c>
      <c r="I544" s="76" t="n">
        <v>0</v>
      </c>
      <c r="J544">
        <f>IF(PRODUCTOS[[#This Row],[STOCK]]&lt;0,"NEGATIVO",IF(PRODUCTOS[[#This Row],[STOCK]]=0,"SIN STOCK",IF(PRODUCTOS[[#This Row],[STOCK]]&lt;=PRODUCTOS[[#This Row],[STOCK MÍN.]],"BAJO","OK")))</f>
        <v/>
      </c>
      <c r="K5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45" hidden="1" s="11">
      <c r="A545" s="18" t="n">
        <v>530</v>
      </c>
      <c r="B545" s="56" t="inlineStr">
        <is>
          <t>00036-PLM</t>
        </is>
      </c>
      <c r="C545" s="56">
        <f>IFERROR(_xlfn.XLOOKUP(PRODUCTOS[[#This Row],[CODIGO]],LISTADO[CODIGOS],LISTADO[CATEGORIA]),"NO EXISTE")</f>
        <v/>
      </c>
      <c r="D545" s="56">
        <f>IFERROR(_xlfn.XLOOKUP(PRODUCTOS[[#This Row],[CODIGO]],LISTADO[CODIGOS],LISTADO[PRODUCTOS]),"NO EXISTE")</f>
        <v/>
      </c>
      <c r="E545" s="56">
        <f>IFERROR(_xlfn.XLOOKUP(PRODUCTOS[[#This Row],[CODIGO]],LISTADO[CODIGOS],LISTADO[UBICACIÓN]),"NO EXISTE")</f>
        <v/>
      </c>
      <c r="F545" s="56">
        <f>SUMIFS(ENTRADAS[CANTIDAD],ENTRADAS[CODIGO],PRODUCTOS[[#This Row],[CODIGO]])</f>
        <v/>
      </c>
      <c r="G545" s="56">
        <f>SUMIFS(SALIDAS[CANTIDAD],SALIDAS[CODIGO],PRODUCTOS[[#This Row],[CODIGO]])</f>
        <v/>
      </c>
      <c r="H545" s="56">
        <f>PRODUCTOS[[#This Row],[ENTRADAS]]-PRODUCTOS[[#This Row],[SALIDAS ]]</f>
        <v/>
      </c>
      <c r="I545" s="76" t="n">
        <v>0</v>
      </c>
      <c r="J545">
        <f>IF(PRODUCTOS[[#This Row],[STOCK]]&lt;0,"NEGATIVO",IF(PRODUCTOS[[#This Row],[STOCK]]=0,"SIN STOCK",IF(PRODUCTOS[[#This Row],[STOCK]]&lt;=PRODUCTOS[[#This Row],[STOCK MÍN.]],"BAJO","OK")))</f>
        <v/>
      </c>
      <c r="K5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46" hidden="1" s="11">
      <c r="A546" s="18" t="n">
        <v>531</v>
      </c>
      <c r="B546" s="56" t="inlineStr">
        <is>
          <t>00037-PLM</t>
        </is>
      </c>
      <c r="C546" s="56">
        <f>IFERROR(_xlfn.XLOOKUP(PRODUCTOS[[#This Row],[CODIGO]],LISTADO[CODIGOS],LISTADO[CATEGORIA]),"NO EXISTE")</f>
        <v/>
      </c>
      <c r="D546" s="56">
        <f>IFERROR(_xlfn.XLOOKUP(PRODUCTOS[[#This Row],[CODIGO]],LISTADO[CODIGOS],LISTADO[PRODUCTOS]),"NO EXISTE")</f>
        <v/>
      </c>
      <c r="E546" s="56">
        <f>IFERROR(_xlfn.XLOOKUP(PRODUCTOS[[#This Row],[CODIGO]],LISTADO[CODIGOS],LISTADO[UBICACIÓN]),"NO EXISTE")</f>
        <v/>
      </c>
      <c r="F546" s="56">
        <f>SUMIFS(ENTRADAS[CANTIDAD],ENTRADAS[CODIGO],PRODUCTOS[[#This Row],[CODIGO]])</f>
        <v/>
      </c>
      <c r="G546" s="56">
        <f>SUMIFS(SALIDAS[CANTIDAD],SALIDAS[CODIGO],PRODUCTOS[[#This Row],[CODIGO]])</f>
        <v/>
      </c>
      <c r="H546" s="56">
        <f>PRODUCTOS[[#This Row],[ENTRADAS]]-PRODUCTOS[[#This Row],[SALIDAS ]]</f>
        <v/>
      </c>
      <c r="I546" s="76" t="n">
        <v>0</v>
      </c>
      <c r="J546">
        <f>IF(PRODUCTOS[[#This Row],[STOCK]]&lt;0,"NEGATIVO",IF(PRODUCTOS[[#This Row],[STOCK]]=0,"SIN STOCK",IF(PRODUCTOS[[#This Row],[STOCK]]&lt;=PRODUCTOS[[#This Row],[STOCK MÍN.]],"BAJO","OK")))</f>
        <v/>
      </c>
      <c r="K5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47" hidden="1" s="11">
      <c r="A547" s="18" t="n">
        <v>532</v>
      </c>
      <c r="B547" s="56" t="inlineStr">
        <is>
          <t>00038-PLM</t>
        </is>
      </c>
      <c r="C547" s="56">
        <f>IFERROR(_xlfn.XLOOKUP(PRODUCTOS[[#This Row],[CODIGO]],LISTADO[CODIGOS],LISTADO[CATEGORIA]),"NO EXISTE")</f>
        <v/>
      </c>
      <c r="D547" s="56">
        <f>IFERROR(_xlfn.XLOOKUP(PRODUCTOS[[#This Row],[CODIGO]],LISTADO[CODIGOS],LISTADO[PRODUCTOS]),"NO EXISTE")</f>
        <v/>
      </c>
      <c r="E547" s="56">
        <f>IFERROR(_xlfn.XLOOKUP(PRODUCTOS[[#This Row],[CODIGO]],LISTADO[CODIGOS],LISTADO[UBICACIÓN]),"NO EXISTE")</f>
        <v/>
      </c>
      <c r="F547" s="56">
        <f>SUMIFS(ENTRADAS[CANTIDAD],ENTRADAS[CODIGO],PRODUCTOS[[#This Row],[CODIGO]])</f>
        <v/>
      </c>
      <c r="G547" s="56">
        <f>SUMIFS(SALIDAS[CANTIDAD],SALIDAS[CODIGO],PRODUCTOS[[#This Row],[CODIGO]])</f>
        <v/>
      </c>
      <c r="H547" s="56">
        <f>PRODUCTOS[[#This Row],[ENTRADAS]]-PRODUCTOS[[#This Row],[SALIDAS ]]</f>
        <v/>
      </c>
      <c r="I547" s="76" t="n">
        <v>0</v>
      </c>
      <c r="J547">
        <f>IF(PRODUCTOS[[#This Row],[STOCK]]&lt;0,"NEGATIVO",IF(PRODUCTOS[[#This Row],[STOCK]]=0,"SIN STOCK",IF(PRODUCTOS[[#This Row],[STOCK]]&lt;=PRODUCTOS[[#This Row],[STOCK MÍN.]],"BAJO","OK")))</f>
        <v/>
      </c>
      <c r="K5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48" hidden="1" s="11">
      <c r="A548" s="18" t="n">
        <v>533</v>
      </c>
      <c r="B548" s="56" t="inlineStr">
        <is>
          <t>00075-REF</t>
        </is>
      </c>
      <c r="C548" s="56">
        <f>IFERROR(_xlfn.XLOOKUP(PRODUCTOS[[#This Row],[CODIGO]],LISTADO[CODIGOS],LISTADO[CATEGORIA]),"NO EXISTE")</f>
        <v/>
      </c>
      <c r="D548" s="56">
        <f>IFERROR(_xlfn.XLOOKUP(PRODUCTOS[[#This Row],[CODIGO]],LISTADO[CODIGOS],LISTADO[PRODUCTOS]),"NO EXISTE")</f>
        <v/>
      </c>
      <c r="E548" s="56">
        <f>IFERROR(_xlfn.XLOOKUP(PRODUCTOS[[#This Row],[CODIGO]],LISTADO[CODIGOS],LISTADO[UBICACIÓN]),"NO EXISTE")</f>
        <v/>
      </c>
      <c r="F548" s="56">
        <f>SUMIFS(ENTRADAS[CANTIDAD],ENTRADAS[CODIGO],PRODUCTOS[[#This Row],[CODIGO]])</f>
        <v/>
      </c>
      <c r="G548" s="56">
        <f>SUMIFS(SALIDAS[CANTIDAD],SALIDAS[CODIGO],PRODUCTOS[[#This Row],[CODIGO]])</f>
        <v/>
      </c>
      <c r="H548" s="56">
        <f>PRODUCTOS[[#This Row],[ENTRADAS]]-PRODUCTOS[[#This Row],[SALIDAS ]]</f>
        <v/>
      </c>
      <c r="I548" s="76" t="n">
        <v>0</v>
      </c>
      <c r="J548">
        <f>IF(PRODUCTOS[[#This Row],[STOCK]]&lt;0,"NEGATIVO",IF(PRODUCTOS[[#This Row],[STOCK]]=0,"SIN STOCK",IF(PRODUCTOS[[#This Row],[STOCK]]&lt;=PRODUCTOS[[#This Row],[STOCK MÍN.]],"BAJO","OK")))</f>
        <v/>
      </c>
      <c r="K5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49" hidden="1" s="11">
      <c r="A549" s="18" t="n">
        <v>534</v>
      </c>
      <c r="B549" s="56" t="inlineStr">
        <is>
          <t>00034-ILU</t>
        </is>
      </c>
      <c r="C549" s="56">
        <f>IFERROR(_xlfn.XLOOKUP(PRODUCTOS[[#This Row],[CODIGO]],LISTADO[CODIGOS],LISTADO[CATEGORIA]),"NO EXISTE")</f>
        <v/>
      </c>
      <c r="D549" s="56">
        <f>IFERROR(_xlfn.XLOOKUP(PRODUCTOS[[#This Row],[CODIGO]],LISTADO[CODIGOS],LISTADO[PRODUCTOS]),"NO EXISTE")</f>
        <v/>
      </c>
      <c r="E549" s="56">
        <f>IFERROR(_xlfn.XLOOKUP(PRODUCTOS[[#This Row],[CODIGO]],LISTADO[CODIGOS],LISTADO[UBICACIÓN]),"NO EXISTE")</f>
        <v/>
      </c>
      <c r="F549" s="56">
        <f>SUMIFS(ENTRADAS[CANTIDAD],ENTRADAS[CODIGO],PRODUCTOS[[#This Row],[CODIGO]])</f>
        <v/>
      </c>
      <c r="G549" s="56">
        <f>SUMIFS(SALIDAS[CANTIDAD],SALIDAS[CODIGO],PRODUCTOS[[#This Row],[CODIGO]])</f>
        <v/>
      </c>
      <c r="H549" s="56">
        <f>PRODUCTOS[[#This Row],[ENTRADAS]]-PRODUCTOS[[#This Row],[SALIDAS ]]</f>
        <v/>
      </c>
      <c r="I549" s="76" t="n">
        <v>0</v>
      </c>
      <c r="J549">
        <f>IF(PRODUCTOS[[#This Row],[STOCK]]&lt;0,"NEGATIVO",IF(PRODUCTOS[[#This Row],[STOCK]]=0,"SIN STOCK",IF(PRODUCTOS[[#This Row],[STOCK]]&lt;=PRODUCTOS[[#This Row],[STOCK MÍN.]],"BAJO","OK")))</f>
        <v/>
      </c>
      <c r="K5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50" hidden="1" s="11">
      <c r="A550" s="18" t="n">
        <v>535</v>
      </c>
      <c r="B550" s="56" t="inlineStr">
        <is>
          <t>00035-ILU</t>
        </is>
      </c>
      <c r="C550" s="56">
        <f>IFERROR(_xlfn.XLOOKUP(PRODUCTOS[[#This Row],[CODIGO]],LISTADO[CODIGOS],LISTADO[CATEGORIA]),"NO EXISTE")</f>
        <v/>
      </c>
      <c r="D550" s="56">
        <f>IFERROR(_xlfn.XLOOKUP(PRODUCTOS[[#This Row],[CODIGO]],LISTADO[CODIGOS],LISTADO[PRODUCTOS]),"NO EXISTE")</f>
        <v/>
      </c>
      <c r="E550" s="56">
        <f>IFERROR(_xlfn.XLOOKUP(PRODUCTOS[[#This Row],[CODIGO]],LISTADO[CODIGOS],LISTADO[UBICACIÓN]),"NO EXISTE")</f>
        <v/>
      </c>
      <c r="F550" s="56">
        <f>SUMIFS(ENTRADAS[CANTIDAD],ENTRADAS[CODIGO],PRODUCTOS[[#This Row],[CODIGO]])</f>
        <v/>
      </c>
      <c r="G550" s="56">
        <f>SUMIFS(SALIDAS[CANTIDAD],SALIDAS[CODIGO],PRODUCTOS[[#This Row],[CODIGO]])</f>
        <v/>
      </c>
      <c r="H550" s="56">
        <f>PRODUCTOS[[#This Row],[ENTRADAS]]-PRODUCTOS[[#This Row],[SALIDAS ]]</f>
        <v/>
      </c>
      <c r="I550" s="76" t="n">
        <v>0</v>
      </c>
      <c r="J550">
        <f>IF(PRODUCTOS[[#This Row],[STOCK]]&lt;0,"NEGATIVO",IF(PRODUCTOS[[#This Row],[STOCK]]=0,"SIN STOCK",IF(PRODUCTOS[[#This Row],[STOCK]]&lt;=PRODUCTOS[[#This Row],[STOCK MÍN.]],"BAJO","OK")))</f>
        <v/>
      </c>
      <c r="K5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51" hidden="1" s="11">
      <c r="A551" s="18" t="n">
        <v>536</v>
      </c>
      <c r="B551" s="56" t="inlineStr">
        <is>
          <t>00036-ILU</t>
        </is>
      </c>
      <c r="C551" s="56">
        <f>IFERROR(_xlfn.XLOOKUP(PRODUCTOS[[#This Row],[CODIGO]],LISTADO[CODIGOS],LISTADO[CATEGORIA]),"NO EXISTE")</f>
        <v/>
      </c>
      <c r="D551" s="56">
        <f>IFERROR(_xlfn.XLOOKUP(PRODUCTOS[[#This Row],[CODIGO]],LISTADO[CODIGOS],LISTADO[PRODUCTOS]),"NO EXISTE")</f>
        <v/>
      </c>
      <c r="E551" s="56">
        <f>IFERROR(_xlfn.XLOOKUP(PRODUCTOS[[#This Row],[CODIGO]],LISTADO[CODIGOS],LISTADO[UBICACIÓN]),"NO EXISTE")</f>
        <v/>
      </c>
      <c r="F551" s="56">
        <f>SUMIFS(ENTRADAS[CANTIDAD],ENTRADAS[CODIGO],PRODUCTOS[[#This Row],[CODIGO]])</f>
        <v/>
      </c>
      <c r="G551" s="56">
        <f>SUMIFS(SALIDAS[CANTIDAD],SALIDAS[CODIGO],PRODUCTOS[[#This Row],[CODIGO]])</f>
        <v/>
      </c>
      <c r="H551" s="56">
        <f>PRODUCTOS[[#This Row],[ENTRADAS]]-PRODUCTOS[[#This Row],[SALIDAS ]]</f>
        <v/>
      </c>
      <c r="I551" s="76" t="n">
        <v>0</v>
      </c>
      <c r="J551">
        <f>IF(PRODUCTOS[[#This Row],[STOCK]]&lt;0,"NEGATIVO",IF(PRODUCTOS[[#This Row],[STOCK]]=0,"SIN STOCK",IF(PRODUCTOS[[#This Row],[STOCK]]&lt;=PRODUCTOS[[#This Row],[STOCK MÍN.]],"BAJO","OK")))</f>
        <v/>
      </c>
      <c r="K5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52" hidden="1" s="11">
      <c r="A552" s="18" t="n">
        <v>537</v>
      </c>
      <c r="B552" s="56" t="inlineStr">
        <is>
          <t>00037-ILU</t>
        </is>
      </c>
      <c r="C552" s="56">
        <f>IFERROR(_xlfn.XLOOKUP(PRODUCTOS[[#This Row],[CODIGO]],LISTADO[CODIGOS],LISTADO[CATEGORIA]),"NO EXISTE")</f>
        <v/>
      </c>
      <c r="D552" s="56">
        <f>IFERROR(_xlfn.XLOOKUP(PRODUCTOS[[#This Row],[CODIGO]],LISTADO[CODIGOS],LISTADO[PRODUCTOS]),"NO EXISTE")</f>
        <v/>
      </c>
      <c r="E552" s="56">
        <f>IFERROR(_xlfn.XLOOKUP(PRODUCTOS[[#This Row],[CODIGO]],LISTADO[CODIGOS],LISTADO[UBICACIÓN]),"NO EXISTE")</f>
        <v/>
      </c>
      <c r="F552" s="56">
        <f>SUMIFS(ENTRADAS[CANTIDAD],ENTRADAS[CODIGO],PRODUCTOS[[#This Row],[CODIGO]])</f>
        <v/>
      </c>
      <c r="G552" s="56">
        <f>SUMIFS(SALIDAS[CANTIDAD],SALIDAS[CODIGO],PRODUCTOS[[#This Row],[CODIGO]])</f>
        <v/>
      </c>
      <c r="H552" s="56">
        <f>PRODUCTOS[[#This Row],[ENTRADAS]]-PRODUCTOS[[#This Row],[SALIDAS ]]</f>
        <v/>
      </c>
      <c r="I552" s="76" t="n">
        <v>0</v>
      </c>
      <c r="J552">
        <f>IF(PRODUCTOS[[#This Row],[STOCK]]&lt;0,"NEGATIVO",IF(PRODUCTOS[[#This Row],[STOCK]]=0,"SIN STOCK",IF(PRODUCTOS[[#This Row],[STOCK]]&lt;=PRODUCTOS[[#This Row],[STOCK MÍN.]],"BAJO","OK")))</f>
        <v/>
      </c>
      <c r="K5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53" hidden="1" s="11">
      <c r="A553" s="18" t="n">
        <v>538</v>
      </c>
      <c r="B553" s="56" t="inlineStr">
        <is>
          <t>00038-ILU</t>
        </is>
      </c>
      <c r="C553" s="56">
        <f>IFERROR(_xlfn.XLOOKUP(PRODUCTOS[[#This Row],[CODIGO]],LISTADO[CODIGOS],LISTADO[CATEGORIA]),"NO EXISTE")</f>
        <v/>
      </c>
      <c r="D553" s="56">
        <f>IFERROR(_xlfn.XLOOKUP(PRODUCTOS[[#This Row],[CODIGO]],LISTADO[CODIGOS],LISTADO[PRODUCTOS]),"NO EXISTE")</f>
        <v/>
      </c>
      <c r="E553" s="56">
        <f>IFERROR(_xlfn.XLOOKUP(PRODUCTOS[[#This Row],[CODIGO]],LISTADO[CODIGOS],LISTADO[UBICACIÓN]),"NO EXISTE")</f>
        <v/>
      </c>
      <c r="F553" s="56">
        <f>SUMIFS(ENTRADAS[CANTIDAD],ENTRADAS[CODIGO],PRODUCTOS[[#This Row],[CODIGO]])</f>
        <v/>
      </c>
      <c r="G553" s="56">
        <f>SUMIFS(SALIDAS[CANTIDAD],SALIDAS[CODIGO],PRODUCTOS[[#This Row],[CODIGO]])</f>
        <v/>
      </c>
      <c r="H553" s="56">
        <f>PRODUCTOS[[#This Row],[ENTRADAS]]-PRODUCTOS[[#This Row],[SALIDAS ]]</f>
        <v/>
      </c>
      <c r="I553" s="76" t="n">
        <v>0</v>
      </c>
      <c r="J553">
        <f>IF(PRODUCTOS[[#This Row],[STOCK]]&lt;0,"NEGATIVO",IF(PRODUCTOS[[#This Row],[STOCK]]=0,"SIN STOCK",IF(PRODUCTOS[[#This Row],[STOCK]]&lt;=PRODUCTOS[[#This Row],[STOCK MÍN.]],"BAJO","OK")))</f>
        <v/>
      </c>
      <c r="K5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54" hidden="1" s="11">
      <c r="A554" s="18" t="n">
        <v>539</v>
      </c>
      <c r="B554" s="56" t="inlineStr">
        <is>
          <t>00019-HRR</t>
        </is>
      </c>
      <c r="C554" s="56">
        <f>IFERROR(_xlfn.XLOOKUP(PRODUCTOS[[#This Row],[CODIGO]],LISTADO[CODIGOS],LISTADO[CATEGORIA]),"NO EXISTE")</f>
        <v/>
      </c>
      <c r="D554" s="56">
        <f>IFERROR(_xlfn.XLOOKUP(PRODUCTOS[[#This Row],[CODIGO]],LISTADO[CODIGOS],LISTADO[PRODUCTOS]),"NO EXISTE")</f>
        <v/>
      </c>
      <c r="E554" s="56">
        <f>IFERROR(_xlfn.XLOOKUP(PRODUCTOS[[#This Row],[CODIGO]],LISTADO[CODIGOS],LISTADO[UBICACIÓN]),"NO EXISTE")</f>
        <v/>
      </c>
      <c r="F554" s="56">
        <f>SUMIFS(ENTRADAS[CANTIDAD],ENTRADAS[CODIGO],PRODUCTOS[[#This Row],[CODIGO]])</f>
        <v/>
      </c>
      <c r="G554" s="56">
        <f>SUMIFS(SALIDAS[CANTIDAD],SALIDAS[CODIGO],PRODUCTOS[[#This Row],[CODIGO]])</f>
        <v/>
      </c>
      <c r="H554" s="56">
        <f>PRODUCTOS[[#This Row],[ENTRADAS]]-PRODUCTOS[[#This Row],[SALIDAS ]]</f>
        <v/>
      </c>
      <c r="I554" s="76" t="n">
        <v>0</v>
      </c>
      <c r="J554">
        <f>IF(PRODUCTOS[[#This Row],[STOCK]]&lt;0,"NEGATIVO",IF(PRODUCTOS[[#This Row],[STOCK]]=0,"SIN STOCK",IF(PRODUCTOS[[#This Row],[STOCK]]&lt;=PRODUCTOS[[#This Row],[STOCK MÍN.]],"BAJO","OK")))</f>
        <v/>
      </c>
      <c r="K5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55" hidden="1" s="11">
      <c r="A555" s="18" t="n">
        <v>540</v>
      </c>
      <c r="B555" s="56" t="inlineStr">
        <is>
          <t>00020-HRR</t>
        </is>
      </c>
      <c r="C555" s="56">
        <f>IFERROR(_xlfn.XLOOKUP(PRODUCTOS[[#This Row],[CODIGO]],LISTADO[CODIGOS],LISTADO[CATEGORIA]),"NO EXISTE")</f>
        <v/>
      </c>
      <c r="D555" s="56">
        <f>IFERROR(_xlfn.XLOOKUP(PRODUCTOS[[#This Row],[CODIGO]],LISTADO[CODIGOS],LISTADO[PRODUCTOS]),"NO EXISTE")</f>
        <v/>
      </c>
      <c r="E555" s="56">
        <f>IFERROR(_xlfn.XLOOKUP(PRODUCTOS[[#This Row],[CODIGO]],LISTADO[CODIGOS],LISTADO[UBICACIÓN]),"NO EXISTE")</f>
        <v/>
      </c>
      <c r="F555" s="56">
        <f>SUMIFS(ENTRADAS[CANTIDAD],ENTRADAS[CODIGO],PRODUCTOS[[#This Row],[CODIGO]])</f>
        <v/>
      </c>
      <c r="G555" s="56">
        <f>SUMIFS(SALIDAS[CANTIDAD],SALIDAS[CODIGO],PRODUCTOS[[#This Row],[CODIGO]])</f>
        <v/>
      </c>
      <c r="H555" s="56">
        <f>PRODUCTOS[[#This Row],[ENTRADAS]]-PRODUCTOS[[#This Row],[SALIDAS ]]</f>
        <v/>
      </c>
      <c r="I555" s="76" t="n">
        <v>0</v>
      </c>
      <c r="J555">
        <f>IF(PRODUCTOS[[#This Row],[STOCK]]&lt;0,"NEGATIVO",IF(PRODUCTOS[[#This Row],[STOCK]]=0,"SIN STOCK",IF(PRODUCTOS[[#This Row],[STOCK]]&lt;=PRODUCTOS[[#This Row],[STOCK MÍN.]],"BAJO","OK")))</f>
        <v/>
      </c>
      <c r="K5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56" hidden="1" s="11">
      <c r="A556" s="18" t="n">
        <v>541</v>
      </c>
      <c r="B556" s="56" t="inlineStr">
        <is>
          <t>00021-HRR</t>
        </is>
      </c>
      <c r="C556" s="56">
        <f>IFERROR(_xlfn.XLOOKUP(PRODUCTOS[[#This Row],[CODIGO]],LISTADO[CODIGOS],LISTADO[CATEGORIA]),"NO EXISTE")</f>
        <v/>
      </c>
      <c r="D556" s="56">
        <f>IFERROR(_xlfn.XLOOKUP(PRODUCTOS[[#This Row],[CODIGO]],LISTADO[CODIGOS],LISTADO[PRODUCTOS]),"NO EXISTE")</f>
        <v/>
      </c>
      <c r="E556" s="56">
        <f>IFERROR(_xlfn.XLOOKUP(PRODUCTOS[[#This Row],[CODIGO]],LISTADO[CODIGOS],LISTADO[UBICACIÓN]),"NO EXISTE")</f>
        <v/>
      </c>
      <c r="F556" s="56">
        <f>SUMIFS(ENTRADAS[CANTIDAD],ENTRADAS[CODIGO],PRODUCTOS[[#This Row],[CODIGO]])</f>
        <v/>
      </c>
      <c r="G556" s="56">
        <f>SUMIFS(SALIDAS[CANTIDAD],SALIDAS[CODIGO],PRODUCTOS[[#This Row],[CODIGO]])</f>
        <v/>
      </c>
      <c r="H556" s="56">
        <f>PRODUCTOS[[#This Row],[ENTRADAS]]-PRODUCTOS[[#This Row],[SALIDAS ]]</f>
        <v/>
      </c>
      <c r="I556" s="76" t="n">
        <v>0</v>
      </c>
      <c r="J556">
        <f>IF(PRODUCTOS[[#This Row],[STOCK]]&lt;0,"NEGATIVO",IF(PRODUCTOS[[#This Row],[STOCK]]=0,"SIN STOCK",IF(PRODUCTOS[[#This Row],[STOCK]]&lt;=PRODUCTOS[[#This Row],[STOCK MÍN.]],"BAJO","OK")))</f>
        <v/>
      </c>
      <c r="K5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57" hidden="1" s="11">
      <c r="A557" s="18" t="n">
        <v>542</v>
      </c>
      <c r="B557" s="56" t="inlineStr">
        <is>
          <t>00039-PLM</t>
        </is>
      </c>
      <c r="C557" s="56">
        <f>IFERROR(_xlfn.XLOOKUP(PRODUCTOS[[#This Row],[CODIGO]],LISTADO[CODIGOS],LISTADO[CATEGORIA]),"NO EXISTE")</f>
        <v/>
      </c>
      <c r="D557" s="56">
        <f>IFERROR(_xlfn.XLOOKUP(PRODUCTOS[[#This Row],[CODIGO]],LISTADO[CODIGOS],LISTADO[PRODUCTOS]),"NO EXISTE")</f>
        <v/>
      </c>
      <c r="E557" s="56">
        <f>IFERROR(_xlfn.XLOOKUP(PRODUCTOS[[#This Row],[CODIGO]],LISTADO[CODIGOS],LISTADO[UBICACIÓN]),"NO EXISTE")</f>
        <v/>
      </c>
      <c r="F557" s="56">
        <f>SUMIFS(ENTRADAS[CANTIDAD],ENTRADAS[CODIGO],PRODUCTOS[[#This Row],[CODIGO]])</f>
        <v/>
      </c>
      <c r="G557" s="56">
        <f>SUMIFS(SALIDAS[CANTIDAD],SALIDAS[CODIGO],PRODUCTOS[[#This Row],[CODIGO]])</f>
        <v/>
      </c>
      <c r="H557" s="56">
        <f>PRODUCTOS[[#This Row],[ENTRADAS]]-PRODUCTOS[[#This Row],[SALIDAS ]]</f>
        <v/>
      </c>
      <c r="I557" s="76" t="n">
        <v>0</v>
      </c>
      <c r="J557">
        <f>IF(PRODUCTOS[[#This Row],[STOCK]]&lt;0,"NEGATIVO",IF(PRODUCTOS[[#This Row],[STOCK]]=0,"SIN STOCK",IF(PRODUCTOS[[#This Row],[STOCK]]&lt;=PRODUCTOS[[#This Row],[STOCK MÍN.]],"BAJO","OK")))</f>
        <v/>
      </c>
      <c r="K5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58" hidden="1" s="11">
      <c r="A558" s="18" t="n">
        <v>543</v>
      </c>
      <c r="B558" s="56" t="inlineStr">
        <is>
          <t>00104-HER</t>
        </is>
      </c>
      <c r="C558" s="56">
        <f>IFERROR(_xlfn.XLOOKUP(PRODUCTOS[[#This Row],[CODIGO]],LISTADO[CODIGOS],LISTADO[CATEGORIA]),"NO EXISTE")</f>
        <v/>
      </c>
      <c r="D558" s="56">
        <f>IFERROR(_xlfn.XLOOKUP(PRODUCTOS[[#This Row],[CODIGO]],LISTADO[CODIGOS],LISTADO[PRODUCTOS]),"NO EXISTE")</f>
        <v/>
      </c>
      <c r="E558" s="56">
        <f>IFERROR(_xlfn.XLOOKUP(PRODUCTOS[[#This Row],[CODIGO]],LISTADO[CODIGOS],LISTADO[UBICACIÓN]),"NO EXISTE")</f>
        <v/>
      </c>
      <c r="F558" s="56">
        <f>SUMIFS(ENTRADAS[CANTIDAD],ENTRADAS[CODIGO],PRODUCTOS[[#This Row],[CODIGO]])</f>
        <v/>
      </c>
      <c r="G558" s="56">
        <f>SUMIFS(SALIDAS[CANTIDAD],SALIDAS[CODIGO],PRODUCTOS[[#This Row],[CODIGO]])</f>
        <v/>
      </c>
      <c r="H558" s="56">
        <f>PRODUCTOS[[#This Row],[ENTRADAS]]-PRODUCTOS[[#This Row],[SALIDAS ]]</f>
        <v/>
      </c>
      <c r="I558" s="76" t="n">
        <v>0</v>
      </c>
      <c r="J558">
        <f>IF(PRODUCTOS[[#This Row],[STOCK]]&lt;0,"NEGATIVO",IF(PRODUCTOS[[#This Row],[STOCK]]=0,"SIN STOCK",IF(PRODUCTOS[[#This Row],[STOCK]]&lt;=PRODUCTOS[[#This Row],[STOCK MÍN.]],"BAJO","OK")))</f>
        <v/>
      </c>
      <c r="K5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59" hidden="1" s="11">
      <c r="A559" s="18" t="n">
        <v>544</v>
      </c>
      <c r="B559" s="56" t="inlineStr">
        <is>
          <t>00082-FER</t>
        </is>
      </c>
      <c r="C559" s="56">
        <f>IFERROR(_xlfn.XLOOKUP(PRODUCTOS[[#This Row],[CODIGO]],LISTADO[CODIGOS],LISTADO[CATEGORIA]),"NO EXISTE")</f>
        <v/>
      </c>
      <c r="D559" s="56">
        <f>IFERROR(_xlfn.XLOOKUP(PRODUCTOS[[#This Row],[CODIGO]],LISTADO[CODIGOS],LISTADO[PRODUCTOS]),"NO EXISTE")</f>
        <v/>
      </c>
      <c r="E559" s="56">
        <f>IFERROR(_xlfn.XLOOKUP(PRODUCTOS[[#This Row],[CODIGO]],LISTADO[CODIGOS],LISTADO[UBICACIÓN]),"NO EXISTE")</f>
        <v/>
      </c>
      <c r="F559" s="56">
        <f>SUMIFS(ENTRADAS[CANTIDAD],ENTRADAS[CODIGO],PRODUCTOS[[#This Row],[CODIGO]])</f>
        <v/>
      </c>
      <c r="G559" s="56">
        <f>SUMIFS(SALIDAS[CANTIDAD],SALIDAS[CODIGO],PRODUCTOS[[#This Row],[CODIGO]])</f>
        <v/>
      </c>
      <c r="H559" s="56">
        <f>PRODUCTOS[[#This Row],[ENTRADAS]]-PRODUCTOS[[#This Row],[SALIDAS ]]</f>
        <v/>
      </c>
      <c r="I559" s="76" t="n">
        <v>0</v>
      </c>
      <c r="J559">
        <f>IF(PRODUCTOS[[#This Row],[STOCK]]&lt;0,"NEGATIVO",IF(PRODUCTOS[[#This Row],[STOCK]]=0,"SIN STOCK",IF(PRODUCTOS[[#This Row],[STOCK]]&lt;=PRODUCTOS[[#This Row],[STOCK MÍN.]],"BAJO","OK")))</f>
        <v/>
      </c>
      <c r="K5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60" hidden="1" s="11">
      <c r="A560" s="18" t="n">
        <v>545</v>
      </c>
      <c r="B560" s="56" t="inlineStr">
        <is>
          <t>00083-FER</t>
        </is>
      </c>
      <c r="C560" s="56">
        <f>IFERROR(_xlfn.XLOOKUP(PRODUCTOS[[#This Row],[CODIGO]],LISTADO[CODIGOS],LISTADO[CATEGORIA]),"NO EXISTE")</f>
        <v/>
      </c>
      <c r="D560" s="56">
        <f>IFERROR(_xlfn.XLOOKUP(PRODUCTOS[[#This Row],[CODIGO]],LISTADO[CODIGOS],LISTADO[PRODUCTOS]),"NO EXISTE")</f>
        <v/>
      </c>
      <c r="E560" s="56">
        <f>IFERROR(_xlfn.XLOOKUP(PRODUCTOS[[#This Row],[CODIGO]],LISTADO[CODIGOS],LISTADO[UBICACIÓN]),"NO EXISTE")</f>
        <v/>
      </c>
      <c r="F560" s="56">
        <f>SUMIFS(ENTRADAS[CANTIDAD],ENTRADAS[CODIGO],PRODUCTOS[[#This Row],[CODIGO]])</f>
        <v/>
      </c>
      <c r="G560" s="56">
        <f>SUMIFS(SALIDAS[CANTIDAD],SALIDAS[CODIGO],PRODUCTOS[[#This Row],[CODIGO]])</f>
        <v/>
      </c>
      <c r="H560" s="56">
        <f>PRODUCTOS[[#This Row],[ENTRADAS]]-PRODUCTOS[[#This Row],[SALIDAS ]]</f>
        <v/>
      </c>
      <c r="I560" s="76" t="n">
        <v>0</v>
      </c>
      <c r="J560">
        <f>IF(PRODUCTOS[[#This Row],[STOCK]]&lt;0,"NEGATIVO",IF(PRODUCTOS[[#This Row],[STOCK]]=0,"SIN STOCK",IF(PRODUCTOS[[#This Row],[STOCK]]&lt;=PRODUCTOS[[#This Row],[STOCK MÍN.]],"BAJO","OK")))</f>
        <v/>
      </c>
      <c r="K5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61" hidden="1" s="11">
      <c r="A561" s="18" t="n">
        <v>546</v>
      </c>
      <c r="B561" s="56" t="inlineStr">
        <is>
          <t>00084-FER</t>
        </is>
      </c>
      <c r="C561" s="56">
        <f>IFERROR(_xlfn.XLOOKUP(PRODUCTOS[[#This Row],[CODIGO]],LISTADO[CODIGOS],LISTADO[CATEGORIA]),"NO EXISTE")</f>
        <v/>
      </c>
      <c r="D561" s="56">
        <f>IFERROR(_xlfn.XLOOKUP(PRODUCTOS[[#This Row],[CODIGO]],LISTADO[CODIGOS],LISTADO[PRODUCTOS]),"NO EXISTE")</f>
        <v/>
      </c>
      <c r="E561" s="56">
        <f>IFERROR(_xlfn.XLOOKUP(PRODUCTOS[[#This Row],[CODIGO]],LISTADO[CODIGOS],LISTADO[UBICACIÓN]),"NO EXISTE")</f>
        <v/>
      </c>
      <c r="F561" s="56">
        <f>SUMIFS(ENTRADAS[CANTIDAD],ENTRADAS[CODIGO],PRODUCTOS[[#This Row],[CODIGO]])</f>
        <v/>
      </c>
      <c r="G561" s="56">
        <f>SUMIFS(SALIDAS[CANTIDAD],SALIDAS[CODIGO],PRODUCTOS[[#This Row],[CODIGO]])</f>
        <v/>
      </c>
      <c r="H561" s="56">
        <f>PRODUCTOS[[#This Row],[ENTRADAS]]-PRODUCTOS[[#This Row],[SALIDAS ]]</f>
        <v/>
      </c>
      <c r="I561" s="76" t="n">
        <v>0</v>
      </c>
      <c r="J561">
        <f>IF(PRODUCTOS[[#This Row],[STOCK]]&lt;0,"NEGATIVO",IF(PRODUCTOS[[#This Row],[STOCK]]=0,"SIN STOCK",IF(PRODUCTOS[[#This Row],[STOCK]]&lt;=PRODUCTOS[[#This Row],[STOCK MÍN.]],"BAJO","OK")))</f>
        <v/>
      </c>
      <c r="K5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62" hidden="1" s="11">
      <c r="A562" s="18" t="n">
        <v>547</v>
      </c>
      <c r="B562" s="56" t="inlineStr">
        <is>
          <t>00085-FER</t>
        </is>
      </c>
      <c r="C562" s="56">
        <f>IFERROR(_xlfn.XLOOKUP(PRODUCTOS[[#This Row],[CODIGO]],LISTADO[CODIGOS],LISTADO[CATEGORIA]),"NO EXISTE")</f>
        <v/>
      </c>
      <c r="D562" s="56">
        <f>IFERROR(_xlfn.XLOOKUP(PRODUCTOS[[#This Row],[CODIGO]],LISTADO[CODIGOS],LISTADO[PRODUCTOS]),"NO EXISTE")</f>
        <v/>
      </c>
      <c r="E562" s="56">
        <f>IFERROR(_xlfn.XLOOKUP(PRODUCTOS[[#This Row],[CODIGO]],LISTADO[CODIGOS],LISTADO[UBICACIÓN]),"NO EXISTE")</f>
        <v/>
      </c>
      <c r="F562" s="56">
        <f>SUMIFS(ENTRADAS[CANTIDAD],ENTRADAS[CODIGO],PRODUCTOS[[#This Row],[CODIGO]])</f>
        <v/>
      </c>
      <c r="G562" s="56">
        <f>SUMIFS(SALIDAS[CANTIDAD],SALIDAS[CODIGO],PRODUCTOS[[#This Row],[CODIGO]])</f>
        <v/>
      </c>
      <c r="H562" s="56">
        <f>PRODUCTOS[[#This Row],[ENTRADAS]]-PRODUCTOS[[#This Row],[SALIDAS ]]</f>
        <v/>
      </c>
      <c r="I562" s="76" t="n">
        <v>0</v>
      </c>
      <c r="J562">
        <f>IF(PRODUCTOS[[#This Row],[STOCK]]&lt;0,"NEGATIVO",IF(PRODUCTOS[[#This Row],[STOCK]]=0,"SIN STOCK",IF(PRODUCTOS[[#This Row],[STOCK]]&lt;=PRODUCTOS[[#This Row],[STOCK MÍN.]],"BAJO","OK")))</f>
        <v/>
      </c>
      <c r="K5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63" hidden="1" s="11">
      <c r="A563" s="18" t="n">
        <v>548</v>
      </c>
      <c r="B563" s="56" t="inlineStr">
        <is>
          <t>00086-FER</t>
        </is>
      </c>
      <c r="C563" s="56">
        <f>IFERROR(_xlfn.XLOOKUP(PRODUCTOS[[#This Row],[CODIGO]],LISTADO[CODIGOS],LISTADO[CATEGORIA]),"NO EXISTE")</f>
        <v/>
      </c>
      <c r="D563" s="56">
        <f>IFERROR(_xlfn.XLOOKUP(PRODUCTOS[[#This Row],[CODIGO]],LISTADO[CODIGOS],LISTADO[PRODUCTOS]),"NO EXISTE")</f>
        <v/>
      </c>
      <c r="E563" s="56">
        <f>IFERROR(_xlfn.XLOOKUP(PRODUCTOS[[#This Row],[CODIGO]],LISTADO[CODIGOS],LISTADO[UBICACIÓN]),"NO EXISTE")</f>
        <v/>
      </c>
      <c r="F563" s="56">
        <f>SUMIFS(ENTRADAS[CANTIDAD],ENTRADAS[CODIGO],PRODUCTOS[[#This Row],[CODIGO]])</f>
        <v/>
      </c>
      <c r="G563" s="56">
        <f>SUMIFS(SALIDAS[CANTIDAD],SALIDAS[CODIGO],PRODUCTOS[[#This Row],[CODIGO]])</f>
        <v/>
      </c>
      <c r="H563" s="56">
        <f>PRODUCTOS[[#This Row],[ENTRADAS]]-PRODUCTOS[[#This Row],[SALIDAS ]]</f>
        <v/>
      </c>
      <c r="I563" s="76" t="n">
        <v>0</v>
      </c>
      <c r="J563">
        <f>IF(PRODUCTOS[[#This Row],[STOCK]]&lt;0,"NEGATIVO",IF(PRODUCTOS[[#This Row],[STOCK]]=0,"SIN STOCK",IF(PRODUCTOS[[#This Row],[STOCK]]&lt;=PRODUCTOS[[#This Row],[STOCK MÍN.]],"BAJO","OK")))</f>
        <v/>
      </c>
      <c r="K5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64" hidden="1" s="11">
      <c r="A564" s="18" t="n">
        <v>549</v>
      </c>
      <c r="B564" s="56" t="inlineStr">
        <is>
          <t>00025-ELC</t>
        </is>
      </c>
      <c r="C564" s="56">
        <f>IFERROR(_xlfn.XLOOKUP(PRODUCTOS[[#This Row],[CODIGO]],LISTADO[CODIGOS],LISTADO[CATEGORIA]),"NO EXISTE")</f>
        <v/>
      </c>
      <c r="D564" s="56">
        <f>IFERROR(_xlfn.XLOOKUP(PRODUCTOS[[#This Row],[CODIGO]],LISTADO[CODIGOS],LISTADO[PRODUCTOS]),"NO EXISTE")</f>
        <v/>
      </c>
      <c r="E564" s="56">
        <f>IFERROR(_xlfn.XLOOKUP(PRODUCTOS[[#This Row],[CODIGO]],LISTADO[CODIGOS],LISTADO[UBICACIÓN]),"NO EXISTE")</f>
        <v/>
      </c>
      <c r="F564" s="56">
        <f>SUMIFS(ENTRADAS[CANTIDAD],ENTRADAS[CODIGO],PRODUCTOS[[#This Row],[CODIGO]])</f>
        <v/>
      </c>
      <c r="G564" s="56">
        <f>SUMIFS(SALIDAS[CANTIDAD],SALIDAS[CODIGO],PRODUCTOS[[#This Row],[CODIGO]])</f>
        <v/>
      </c>
      <c r="H564" s="56">
        <f>PRODUCTOS[[#This Row],[ENTRADAS]]-PRODUCTOS[[#This Row],[SALIDAS ]]</f>
        <v/>
      </c>
      <c r="I564" s="76" t="n">
        <v>0</v>
      </c>
      <c r="J564">
        <f>IF(PRODUCTOS[[#This Row],[STOCK]]&lt;0,"NEGATIVO",IF(PRODUCTOS[[#This Row],[STOCK]]=0,"SIN STOCK",IF(PRODUCTOS[[#This Row],[STOCK]]&lt;=PRODUCTOS[[#This Row],[STOCK MÍN.]],"BAJO","OK")))</f>
        <v/>
      </c>
      <c r="K5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65" hidden="1" s="11">
      <c r="A565" s="18" t="n">
        <v>550</v>
      </c>
      <c r="B565" s="56" t="inlineStr">
        <is>
          <t>00087-FER</t>
        </is>
      </c>
      <c r="C565" s="56">
        <f>IFERROR(_xlfn.XLOOKUP(PRODUCTOS[[#This Row],[CODIGO]],LISTADO[CODIGOS],LISTADO[CATEGORIA]),"NO EXISTE")</f>
        <v/>
      </c>
      <c r="D565" s="56">
        <f>IFERROR(_xlfn.XLOOKUP(PRODUCTOS[[#This Row],[CODIGO]],LISTADO[CODIGOS],LISTADO[PRODUCTOS]),"NO EXISTE")</f>
        <v/>
      </c>
      <c r="E565" s="56">
        <f>IFERROR(_xlfn.XLOOKUP(PRODUCTOS[[#This Row],[CODIGO]],LISTADO[CODIGOS],LISTADO[UBICACIÓN]),"NO EXISTE")</f>
        <v/>
      </c>
      <c r="F565" s="56">
        <f>SUMIFS(ENTRADAS[CANTIDAD],ENTRADAS[CODIGO],PRODUCTOS[[#This Row],[CODIGO]])</f>
        <v/>
      </c>
      <c r="G565" s="56">
        <f>SUMIFS(SALIDAS[CANTIDAD],SALIDAS[CODIGO],PRODUCTOS[[#This Row],[CODIGO]])</f>
        <v/>
      </c>
      <c r="H565" s="56">
        <f>PRODUCTOS[[#This Row],[ENTRADAS]]-PRODUCTOS[[#This Row],[SALIDAS ]]</f>
        <v/>
      </c>
      <c r="I565" s="76" t="n">
        <v>0</v>
      </c>
      <c r="J565">
        <f>IF(PRODUCTOS[[#This Row],[STOCK]]&lt;0,"NEGATIVO",IF(PRODUCTOS[[#This Row],[STOCK]]=0,"SIN STOCK",IF(PRODUCTOS[[#This Row],[STOCK]]&lt;=PRODUCTOS[[#This Row],[STOCK MÍN.]],"BAJO","OK")))</f>
        <v/>
      </c>
      <c r="K5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66" hidden="1" s="11">
      <c r="A566" s="18" t="n">
        <v>551</v>
      </c>
      <c r="B566" s="56" t="inlineStr">
        <is>
          <t>00039-ILU</t>
        </is>
      </c>
      <c r="C566" s="56">
        <f>IFERROR(_xlfn.XLOOKUP(PRODUCTOS[[#This Row],[CODIGO]],LISTADO[CODIGOS],LISTADO[CATEGORIA]),"NO EXISTE")</f>
        <v/>
      </c>
      <c r="D566" s="56">
        <f>IFERROR(_xlfn.XLOOKUP(PRODUCTOS[[#This Row],[CODIGO]],LISTADO[CODIGOS],LISTADO[PRODUCTOS]),"NO EXISTE")</f>
        <v/>
      </c>
      <c r="E566" s="56">
        <f>IFERROR(_xlfn.XLOOKUP(PRODUCTOS[[#This Row],[CODIGO]],LISTADO[CODIGOS],LISTADO[UBICACIÓN]),"NO EXISTE")</f>
        <v/>
      </c>
      <c r="F566" s="56">
        <f>SUMIFS(ENTRADAS[CANTIDAD],ENTRADAS[CODIGO],PRODUCTOS[[#This Row],[CODIGO]])</f>
        <v/>
      </c>
      <c r="G566" s="56">
        <f>SUMIFS(SALIDAS[CANTIDAD],SALIDAS[CODIGO],PRODUCTOS[[#This Row],[CODIGO]])</f>
        <v/>
      </c>
      <c r="H566" s="56">
        <f>PRODUCTOS[[#This Row],[ENTRADAS]]-PRODUCTOS[[#This Row],[SALIDAS ]]</f>
        <v/>
      </c>
      <c r="I566" s="76" t="n">
        <v>0</v>
      </c>
      <c r="J566">
        <f>IF(PRODUCTOS[[#This Row],[STOCK]]&lt;0,"NEGATIVO",IF(PRODUCTOS[[#This Row],[STOCK]]=0,"SIN STOCK",IF(PRODUCTOS[[#This Row],[STOCK]]&lt;=PRODUCTOS[[#This Row],[STOCK MÍN.]],"BAJO","OK")))</f>
        <v/>
      </c>
      <c r="K5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67" hidden="1" s="11">
      <c r="A567" s="18" t="n">
        <v>552</v>
      </c>
      <c r="B567" s="56" t="inlineStr">
        <is>
          <t>00038-ELE</t>
        </is>
      </c>
      <c r="C567" s="56">
        <f>IFERROR(_xlfn.XLOOKUP(PRODUCTOS[[#This Row],[CODIGO]],LISTADO[CODIGOS],LISTADO[CATEGORIA]),"NO EXISTE")</f>
        <v/>
      </c>
      <c r="D567" s="56">
        <f>IFERROR(_xlfn.XLOOKUP(PRODUCTOS[[#This Row],[CODIGO]],LISTADO[CODIGOS],LISTADO[PRODUCTOS]),"NO EXISTE")</f>
        <v/>
      </c>
      <c r="E567" s="56">
        <f>IFERROR(_xlfn.XLOOKUP(PRODUCTOS[[#This Row],[CODIGO]],LISTADO[CODIGOS],LISTADO[UBICACIÓN]),"NO EXISTE")</f>
        <v/>
      </c>
      <c r="F567" s="56">
        <f>SUMIFS(ENTRADAS[CANTIDAD],ENTRADAS[CODIGO],PRODUCTOS[[#This Row],[CODIGO]])</f>
        <v/>
      </c>
      <c r="G567" s="56">
        <f>SUMIFS(SALIDAS[CANTIDAD],SALIDAS[CODIGO],PRODUCTOS[[#This Row],[CODIGO]])</f>
        <v/>
      </c>
      <c r="H567" s="56">
        <f>PRODUCTOS[[#This Row],[ENTRADAS]]-PRODUCTOS[[#This Row],[SALIDAS ]]</f>
        <v/>
      </c>
      <c r="I567" s="76" t="n">
        <v>0</v>
      </c>
      <c r="J567">
        <f>IF(PRODUCTOS[[#This Row],[STOCK]]&lt;0,"NEGATIVO",IF(PRODUCTOS[[#This Row],[STOCK]]=0,"SIN STOCK",IF(PRODUCTOS[[#This Row],[STOCK]]&lt;=PRODUCTOS[[#This Row],[STOCK MÍN.]],"BAJO","OK")))</f>
        <v/>
      </c>
      <c r="K5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68" hidden="1" s="11">
      <c r="A568" s="18" t="n">
        <v>553</v>
      </c>
      <c r="B568" s="56" t="inlineStr">
        <is>
          <t>00039-ELE</t>
        </is>
      </c>
      <c r="C568" s="56">
        <f>IFERROR(_xlfn.XLOOKUP(PRODUCTOS[[#This Row],[CODIGO]],LISTADO[CODIGOS],LISTADO[CATEGORIA]),"NO EXISTE")</f>
        <v/>
      </c>
      <c r="D568" s="56">
        <f>IFERROR(_xlfn.XLOOKUP(PRODUCTOS[[#This Row],[CODIGO]],LISTADO[CODIGOS],LISTADO[PRODUCTOS]),"NO EXISTE")</f>
        <v/>
      </c>
      <c r="E568" s="56">
        <f>IFERROR(_xlfn.XLOOKUP(PRODUCTOS[[#This Row],[CODIGO]],LISTADO[CODIGOS],LISTADO[UBICACIÓN]),"NO EXISTE")</f>
        <v/>
      </c>
      <c r="F568" s="56">
        <f>SUMIFS(ENTRADAS[CANTIDAD],ENTRADAS[CODIGO],PRODUCTOS[[#This Row],[CODIGO]])</f>
        <v/>
      </c>
      <c r="G568" s="56">
        <f>SUMIFS(SALIDAS[CANTIDAD],SALIDAS[CODIGO],PRODUCTOS[[#This Row],[CODIGO]])</f>
        <v/>
      </c>
      <c r="H568" s="56">
        <f>PRODUCTOS[[#This Row],[ENTRADAS]]-PRODUCTOS[[#This Row],[SALIDAS ]]</f>
        <v/>
      </c>
      <c r="I568" s="76" t="n">
        <v>0</v>
      </c>
      <c r="J568">
        <f>IF(PRODUCTOS[[#This Row],[STOCK]]&lt;0,"NEGATIVO",IF(PRODUCTOS[[#This Row],[STOCK]]=0,"SIN STOCK",IF(PRODUCTOS[[#This Row],[STOCK]]&lt;=PRODUCTOS[[#This Row],[STOCK MÍN.]],"BAJO","OK")))</f>
        <v/>
      </c>
      <c r="K5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69" hidden="1" s="11">
      <c r="A569" s="18" t="n">
        <v>554</v>
      </c>
      <c r="B569" s="56" t="inlineStr">
        <is>
          <t>00040-ILU</t>
        </is>
      </c>
      <c r="C569" s="56">
        <f>IFERROR(_xlfn.XLOOKUP(PRODUCTOS[[#This Row],[CODIGO]],LISTADO[CODIGOS],LISTADO[CATEGORIA]),"NO EXISTE")</f>
        <v/>
      </c>
      <c r="D569" s="56">
        <f>IFERROR(_xlfn.XLOOKUP(PRODUCTOS[[#This Row],[CODIGO]],LISTADO[CODIGOS],LISTADO[PRODUCTOS]),"NO EXISTE")</f>
        <v/>
      </c>
      <c r="E569" s="56">
        <f>IFERROR(_xlfn.XLOOKUP(PRODUCTOS[[#This Row],[CODIGO]],LISTADO[CODIGOS],LISTADO[UBICACIÓN]),"NO EXISTE")</f>
        <v/>
      </c>
      <c r="F569" s="56">
        <f>SUMIFS(ENTRADAS[CANTIDAD],ENTRADAS[CODIGO],PRODUCTOS[[#This Row],[CODIGO]])</f>
        <v/>
      </c>
      <c r="G569" s="56">
        <f>SUMIFS(SALIDAS[CANTIDAD],SALIDAS[CODIGO],PRODUCTOS[[#This Row],[CODIGO]])</f>
        <v/>
      </c>
      <c r="H569" s="56">
        <f>PRODUCTOS[[#This Row],[ENTRADAS]]-PRODUCTOS[[#This Row],[SALIDAS ]]</f>
        <v/>
      </c>
      <c r="I569" s="76" t="n">
        <v>0</v>
      </c>
      <c r="J569">
        <f>IF(PRODUCTOS[[#This Row],[STOCK]]&lt;0,"NEGATIVO",IF(PRODUCTOS[[#This Row],[STOCK]]=0,"SIN STOCK",IF(PRODUCTOS[[#This Row],[STOCK]]&lt;=PRODUCTOS[[#This Row],[STOCK MÍN.]],"BAJO","OK")))</f>
        <v/>
      </c>
      <c r="K5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70" hidden="1" s="11">
      <c r="A570" s="18" t="n">
        <v>555</v>
      </c>
      <c r="B570" s="56" t="inlineStr">
        <is>
          <t>00040-ELE</t>
        </is>
      </c>
      <c r="C570" s="56">
        <f>IFERROR(_xlfn.XLOOKUP(PRODUCTOS[[#This Row],[CODIGO]],LISTADO[CODIGOS],LISTADO[CATEGORIA]),"NO EXISTE")</f>
        <v/>
      </c>
      <c r="D570" s="56">
        <f>IFERROR(_xlfn.XLOOKUP(PRODUCTOS[[#This Row],[CODIGO]],LISTADO[CODIGOS],LISTADO[PRODUCTOS]),"NO EXISTE")</f>
        <v/>
      </c>
      <c r="E570" s="56">
        <f>IFERROR(_xlfn.XLOOKUP(PRODUCTOS[[#This Row],[CODIGO]],LISTADO[CODIGOS],LISTADO[UBICACIÓN]),"NO EXISTE")</f>
        <v/>
      </c>
      <c r="F570" s="56">
        <f>SUMIFS(ENTRADAS[CANTIDAD],ENTRADAS[CODIGO],PRODUCTOS[[#This Row],[CODIGO]])</f>
        <v/>
      </c>
      <c r="G570" s="56">
        <f>SUMIFS(SALIDAS[CANTIDAD],SALIDAS[CODIGO],PRODUCTOS[[#This Row],[CODIGO]])</f>
        <v/>
      </c>
      <c r="H570" s="56">
        <f>PRODUCTOS[[#This Row],[ENTRADAS]]-PRODUCTOS[[#This Row],[SALIDAS ]]</f>
        <v/>
      </c>
      <c r="I570" s="76" t="n">
        <v>0</v>
      </c>
      <c r="J570">
        <f>IF(PRODUCTOS[[#This Row],[STOCK]]&lt;0,"NEGATIVO",IF(PRODUCTOS[[#This Row],[STOCK]]=0,"SIN STOCK",IF(PRODUCTOS[[#This Row],[STOCK]]&lt;=PRODUCTOS[[#This Row],[STOCK MÍN.]],"BAJO","OK")))</f>
        <v/>
      </c>
      <c r="K5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71" hidden="1" s="11">
      <c r="A571" s="18" t="n">
        <v>625</v>
      </c>
      <c r="B571" s="56" t="inlineStr">
        <is>
          <t>00041-ELE</t>
        </is>
      </c>
      <c r="C571" s="56">
        <f>IFERROR(_xlfn.XLOOKUP(PRODUCTOS[[#This Row],[CODIGO]],LISTADO[CODIGOS],LISTADO[CATEGORIA]),"NO EXISTE")</f>
        <v/>
      </c>
      <c r="D571" s="56">
        <f>IFERROR(_xlfn.XLOOKUP(PRODUCTOS[[#This Row],[CODIGO]],LISTADO[CODIGOS],LISTADO[PRODUCTOS]),"NO EXISTE")</f>
        <v/>
      </c>
      <c r="E571" s="56">
        <f>IFERROR(_xlfn.XLOOKUP(PRODUCTOS[[#This Row],[CODIGO]],LISTADO[CODIGOS],LISTADO[UBICACIÓN]),"NO EXISTE")</f>
        <v/>
      </c>
      <c r="F571" s="56">
        <f>SUMIFS(ENTRADAS[CANTIDAD],ENTRADAS[CODIGO],PRODUCTOS[[#This Row],[CODIGO]])</f>
        <v/>
      </c>
      <c r="G571" s="56">
        <f>SUMIFS(SALIDAS[CANTIDAD],SALIDAS[CODIGO],PRODUCTOS[[#This Row],[CODIGO]])</f>
        <v/>
      </c>
      <c r="H571" s="56">
        <f>PRODUCTOS[[#This Row],[ENTRADAS]]-PRODUCTOS[[#This Row],[SALIDAS ]]</f>
        <v/>
      </c>
      <c r="I571" s="76" t="n">
        <v>0</v>
      </c>
      <c r="J571">
        <f>IF(PRODUCTOS[[#This Row],[STOCK]]&lt;0,"NEGATIVO",IF(PRODUCTOS[[#This Row],[STOCK]]=0,"SIN STOCK",IF(PRODUCTOS[[#This Row],[STOCK]]&lt;=PRODUCTOS[[#This Row],[STOCK MÍN.]],"BAJO","OK")))</f>
        <v/>
      </c>
      <c r="K5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72" hidden="1" s="11">
      <c r="A572" s="18" t="n">
        <v>57</v>
      </c>
      <c r="B572" s="56" t="inlineStr">
        <is>
          <t>00042-ELE</t>
        </is>
      </c>
      <c r="C572" s="56">
        <f>IFERROR(_xlfn.XLOOKUP(PRODUCTOS[[#This Row],[CODIGO]],LISTADO[CODIGOS],LISTADO[CATEGORIA]),"NO EXISTE")</f>
        <v/>
      </c>
      <c r="D572" s="56">
        <f>IFERROR(_xlfn.XLOOKUP(PRODUCTOS[[#This Row],[CODIGO]],LISTADO[CODIGOS],LISTADO[PRODUCTOS]),"NO EXISTE")</f>
        <v/>
      </c>
      <c r="E572" s="56">
        <f>IFERROR(_xlfn.XLOOKUP(PRODUCTOS[[#This Row],[CODIGO]],LISTADO[CODIGOS],LISTADO[UBICACIÓN]),"NO EXISTE")</f>
        <v/>
      </c>
      <c r="F572" s="56">
        <f>SUMIFS(ENTRADAS[CANTIDAD],ENTRADAS[CODIGO],PRODUCTOS[[#This Row],[CODIGO]])</f>
        <v/>
      </c>
      <c r="G572" s="56">
        <f>SUMIFS(SALIDAS[CANTIDAD],SALIDAS[CODIGO],PRODUCTOS[[#This Row],[CODIGO]])</f>
        <v/>
      </c>
      <c r="H572" s="56">
        <f>PRODUCTOS[[#This Row],[ENTRADAS]]-PRODUCTOS[[#This Row],[SALIDAS ]]</f>
        <v/>
      </c>
      <c r="I572" s="76" t="n">
        <v>0</v>
      </c>
      <c r="J572">
        <f>IF(PRODUCTOS[[#This Row],[STOCK]]&lt;0,"NEGATIVO",IF(PRODUCTOS[[#This Row],[STOCK]]=0,"SIN STOCK",IF(PRODUCTOS[[#This Row],[STOCK]]&lt;=PRODUCTOS[[#This Row],[STOCK MÍN.]],"BAJO","OK")))</f>
        <v/>
      </c>
      <c r="K5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73" hidden="1" s="11">
      <c r="A573" s="18" t="n">
        <v>58</v>
      </c>
      <c r="B573" s="56" t="inlineStr">
        <is>
          <t>00043-ELE</t>
        </is>
      </c>
      <c r="C573" s="56">
        <f>IFERROR(_xlfn.XLOOKUP(PRODUCTOS[[#This Row],[CODIGO]],LISTADO[CODIGOS],LISTADO[CATEGORIA]),"NO EXISTE")</f>
        <v/>
      </c>
      <c r="D573" s="56">
        <f>IFERROR(_xlfn.XLOOKUP(PRODUCTOS[[#This Row],[CODIGO]],LISTADO[CODIGOS],LISTADO[PRODUCTOS]),"NO EXISTE")</f>
        <v/>
      </c>
      <c r="E573" s="56">
        <f>IFERROR(_xlfn.XLOOKUP(PRODUCTOS[[#This Row],[CODIGO]],LISTADO[CODIGOS],LISTADO[UBICACIÓN]),"NO EXISTE")</f>
        <v/>
      </c>
      <c r="F573" s="56">
        <f>SUMIFS(ENTRADAS[CANTIDAD],ENTRADAS[CODIGO],PRODUCTOS[[#This Row],[CODIGO]])</f>
        <v/>
      </c>
      <c r="G573" s="56">
        <f>SUMIFS(SALIDAS[CANTIDAD],SALIDAS[CODIGO],PRODUCTOS[[#This Row],[CODIGO]])</f>
        <v/>
      </c>
      <c r="H573" s="56">
        <f>PRODUCTOS[[#This Row],[ENTRADAS]]-PRODUCTOS[[#This Row],[SALIDAS ]]</f>
        <v/>
      </c>
      <c r="I573" s="76" t="n">
        <v>0</v>
      </c>
      <c r="J573">
        <f>IF(PRODUCTOS[[#This Row],[STOCK]]&lt;0,"NEGATIVO",IF(PRODUCTOS[[#This Row],[STOCK]]=0,"SIN STOCK",IF(PRODUCTOS[[#This Row],[STOCK]]&lt;=PRODUCTOS[[#This Row],[STOCK MÍN.]],"BAJO","OK")))</f>
        <v/>
      </c>
      <c r="K5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74" hidden="1" s="11">
      <c r="A574" s="18" t="n">
        <v>559</v>
      </c>
      <c r="B574" s="56" t="inlineStr">
        <is>
          <t>00044-ELE</t>
        </is>
      </c>
      <c r="C574" s="56">
        <f>IFERROR(_xlfn.XLOOKUP(PRODUCTOS[[#This Row],[CODIGO]],LISTADO[CODIGOS],LISTADO[CATEGORIA]),"NO EXISTE")</f>
        <v/>
      </c>
      <c r="D574" s="56">
        <f>IFERROR(_xlfn.XLOOKUP(PRODUCTOS[[#This Row],[CODIGO]],LISTADO[CODIGOS],LISTADO[PRODUCTOS]),"NO EXISTE")</f>
        <v/>
      </c>
      <c r="E574" s="56">
        <f>IFERROR(_xlfn.XLOOKUP(PRODUCTOS[[#This Row],[CODIGO]],LISTADO[CODIGOS],LISTADO[UBICACIÓN]),"NO EXISTE")</f>
        <v/>
      </c>
      <c r="F574" s="56">
        <f>SUMIFS(ENTRADAS[CANTIDAD],ENTRADAS[CODIGO],PRODUCTOS[[#This Row],[CODIGO]])</f>
        <v/>
      </c>
      <c r="G574" s="56">
        <f>SUMIFS(SALIDAS[CANTIDAD],SALIDAS[CODIGO],PRODUCTOS[[#This Row],[CODIGO]])</f>
        <v/>
      </c>
      <c r="H574" s="56">
        <f>PRODUCTOS[[#This Row],[ENTRADAS]]-PRODUCTOS[[#This Row],[SALIDAS ]]</f>
        <v/>
      </c>
      <c r="I574" s="76" t="n">
        <v>0</v>
      </c>
      <c r="J574">
        <f>IF(PRODUCTOS[[#This Row],[STOCK]]&lt;0,"NEGATIVO",IF(PRODUCTOS[[#This Row],[STOCK]]=0,"SIN STOCK",IF(PRODUCTOS[[#This Row],[STOCK]]&lt;=PRODUCTOS[[#This Row],[STOCK MÍN.]],"BAJO","OK")))</f>
        <v/>
      </c>
      <c r="K5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75" hidden="1" s="11">
      <c r="A575" s="18" t="n">
        <v>642</v>
      </c>
      <c r="B575" s="56" t="inlineStr">
        <is>
          <t>00045-ELE</t>
        </is>
      </c>
      <c r="C575" s="56">
        <f>IFERROR(_xlfn.XLOOKUP(PRODUCTOS[[#This Row],[CODIGO]],LISTADO[CODIGOS],LISTADO[CATEGORIA]),"NO EXISTE")</f>
        <v/>
      </c>
      <c r="D575" s="56">
        <f>IFERROR(_xlfn.XLOOKUP(PRODUCTOS[[#This Row],[CODIGO]],LISTADO[CODIGOS],LISTADO[PRODUCTOS]),"NO EXISTE")</f>
        <v/>
      </c>
      <c r="E575" s="56">
        <f>IFERROR(_xlfn.XLOOKUP(PRODUCTOS[[#This Row],[CODIGO]],LISTADO[CODIGOS],LISTADO[UBICACIÓN]),"NO EXISTE")</f>
        <v/>
      </c>
      <c r="F575" s="56">
        <f>SUMIFS(ENTRADAS[CANTIDAD],ENTRADAS[CODIGO],PRODUCTOS[[#This Row],[CODIGO]])</f>
        <v/>
      </c>
      <c r="G575" s="56">
        <f>SUMIFS(SALIDAS[CANTIDAD],SALIDAS[CODIGO],PRODUCTOS[[#This Row],[CODIGO]])</f>
        <v/>
      </c>
      <c r="H575" s="56">
        <f>PRODUCTOS[[#This Row],[ENTRADAS]]-PRODUCTOS[[#This Row],[SALIDAS ]]</f>
        <v/>
      </c>
      <c r="I575" s="76" t="n">
        <v>0</v>
      </c>
      <c r="J575">
        <f>IF(PRODUCTOS[[#This Row],[STOCK]]&lt;0,"NEGATIVO",IF(PRODUCTOS[[#This Row],[STOCK]]=0,"SIN STOCK",IF(PRODUCTOS[[#This Row],[STOCK]]&lt;=PRODUCTOS[[#This Row],[STOCK MÍN.]],"BAJO","OK")))</f>
        <v/>
      </c>
      <c r="K5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76" hidden="1" s="11">
      <c r="A576" s="18" t="n">
        <v>564</v>
      </c>
      <c r="B576" s="56" t="inlineStr">
        <is>
          <t>00088-FER</t>
        </is>
      </c>
      <c r="C576" s="56">
        <f>IFERROR(_xlfn.XLOOKUP(PRODUCTOS[[#This Row],[CODIGO]],LISTADO[CODIGOS],LISTADO[CATEGORIA]),"NO EXISTE")</f>
        <v/>
      </c>
      <c r="D576" s="56">
        <f>IFERROR(_xlfn.XLOOKUP(PRODUCTOS[[#This Row],[CODIGO]],LISTADO[CODIGOS],LISTADO[PRODUCTOS]),"NO EXISTE")</f>
        <v/>
      </c>
      <c r="E576" s="56">
        <f>IFERROR(_xlfn.XLOOKUP(PRODUCTOS[[#This Row],[CODIGO]],LISTADO[CODIGOS],LISTADO[UBICACIÓN]),"NO EXISTE")</f>
        <v/>
      </c>
      <c r="F576" s="56">
        <f>SUMIFS(ENTRADAS[CANTIDAD],ENTRADAS[CODIGO],PRODUCTOS[[#This Row],[CODIGO]])</f>
        <v/>
      </c>
      <c r="G576" s="56">
        <f>SUMIFS(SALIDAS[CANTIDAD],SALIDAS[CODIGO],PRODUCTOS[[#This Row],[CODIGO]])</f>
        <v/>
      </c>
      <c r="H576" s="56">
        <f>PRODUCTOS[[#This Row],[ENTRADAS]]-PRODUCTOS[[#This Row],[SALIDAS ]]</f>
        <v/>
      </c>
      <c r="I576" s="76" t="n">
        <v>0</v>
      </c>
      <c r="J576">
        <f>IF(PRODUCTOS[[#This Row],[STOCK]]&lt;0,"NEGATIVO",IF(PRODUCTOS[[#This Row],[STOCK]]=0,"SIN STOCK",IF(PRODUCTOS[[#This Row],[STOCK]]&lt;=PRODUCTOS[[#This Row],[STOCK MÍN.]],"BAJO","OK")))</f>
        <v/>
      </c>
      <c r="K5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77" hidden="1" s="11">
      <c r="A577" s="18" t="n">
        <v>562</v>
      </c>
      <c r="B577" s="56" t="inlineStr">
        <is>
          <t>00089-FER</t>
        </is>
      </c>
      <c r="C577" s="56">
        <f>IFERROR(_xlfn.XLOOKUP(PRODUCTOS[[#This Row],[CODIGO]],LISTADO[CODIGOS],LISTADO[CATEGORIA]),"NO EXISTE")</f>
        <v/>
      </c>
      <c r="D577" s="56">
        <f>IFERROR(_xlfn.XLOOKUP(PRODUCTOS[[#This Row],[CODIGO]],LISTADO[CODIGOS],LISTADO[PRODUCTOS]),"NO EXISTE")</f>
        <v/>
      </c>
      <c r="E577" s="56">
        <f>IFERROR(_xlfn.XLOOKUP(PRODUCTOS[[#This Row],[CODIGO]],LISTADO[CODIGOS],LISTADO[UBICACIÓN]),"NO EXISTE")</f>
        <v/>
      </c>
      <c r="F577" s="56">
        <f>SUMIFS(ENTRADAS[CANTIDAD],ENTRADAS[CODIGO],PRODUCTOS[[#This Row],[CODIGO]])</f>
        <v/>
      </c>
      <c r="G577" s="56">
        <f>SUMIFS(SALIDAS[CANTIDAD],SALIDAS[CODIGO],PRODUCTOS[[#This Row],[CODIGO]])</f>
        <v/>
      </c>
      <c r="H577" s="56">
        <f>PRODUCTOS[[#This Row],[ENTRADAS]]-PRODUCTOS[[#This Row],[SALIDAS ]]</f>
        <v/>
      </c>
      <c r="I577" s="76" t="n">
        <v>0</v>
      </c>
      <c r="J577">
        <f>IF(PRODUCTOS[[#This Row],[STOCK]]&lt;0,"NEGATIVO",IF(PRODUCTOS[[#This Row],[STOCK]]=0,"SIN STOCK",IF(PRODUCTOS[[#This Row],[STOCK]]&lt;=PRODUCTOS[[#This Row],[STOCK MÍN.]],"BAJO","OK")))</f>
        <v/>
      </c>
      <c r="K5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78" hidden="1" s="11">
      <c r="A578" s="18" t="n">
        <v>563</v>
      </c>
      <c r="B578" s="56" t="inlineStr">
        <is>
          <t>00090-FER</t>
        </is>
      </c>
      <c r="C578" s="56">
        <f>IFERROR(_xlfn.XLOOKUP(PRODUCTOS[[#This Row],[CODIGO]],LISTADO[CODIGOS],LISTADO[CATEGORIA]),"NO EXISTE")</f>
        <v/>
      </c>
      <c r="D578" s="56">
        <f>IFERROR(_xlfn.XLOOKUP(PRODUCTOS[[#This Row],[CODIGO]],LISTADO[CODIGOS],LISTADO[PRODUCTOS]),"NO EXISTE")</f>
        <v/>
      </c>
      <c r="E578" s="56">
        <f>IFERROR(_xlfn.XLOOKUP(PRODUCTOS[[#This Row],[CODIGO]],LISTADO[CODIGOS],LISTADO[UBICACIÓN]),"NO EXISTE")</f>
        <v/>
      </c>
      <c r="F578" s="56">
        <f>SUMIFS(ENTRADAS[CANTIDAD],ENTRADAS[CODIGO],PRODUCTOS[[#This Row],[CODIGO]])</f>
        <v/>
      </c>
      <c r="G578" s="56">
        <f>SUMIFS(SALIDAS[CANTIDAD],SALIDAS[CODIGO],PRODUCTOS[[#This Row],[CODIGO]])</f>
        <v/>
      </c>
      <c r="H578" s="56">
        <f>PRODUCTOS[[#This Row],[ENTRADAS]]-PRODUCTOS[[#This Row],[SALIDAS ]]</f>
        <v/>
      </c>
      <c r="I578" s="76" t="n">
        <v>0</v>
      </c>
      <c r="J578">
        <f>IF(PRODUCTOS[[#This Row],[STOCK]]&lt;0,"NEGATIVO",IF(PRODUCTOS[[#This Row],[STOCK]]=0,"SIN STOCK",IF(PRODUCTOS[[#This Row],[STOCK]]&lt;=PRODUCTOS[[#This Row],[STOCK MÍN.]],"BAJO","OK")))</f>
        <v/>
      </c>
      <c r="K5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79" hidden="1" s="11">
      <c r="A579" s="18" t="n">
        <v>561</v>
      </c>
      <c r="B579" s="56" t="inlineStr">
        <is>
          <t>00091-FER</t>
        </is>
      </c>
      <c r="C579" s="56">
        <f>IFERROR(_xlfn.XLOOKUP(PRODUCTOS[[#This Row],[CODIGO]],LISTADO[CODIGOS],LISTADO[CATEGORIA]),"NO EXISTE")</f>
        <v/>
      </c>
      <c r="D579" s="56">
        <f>IFERROR(_xlfn.XLOOKUP(PRODUCTOS[[#This Row],[CODIGO]],LISTADO[CODIGOS],LISTADO[PRODUCTOS]),"NO EXISTE")</f>
        <v/>
      </c>
      <c r="E579" s="56">
        <f>IFERROR(_xlfn.XLOOKUP(PRODUCTOS[[#This Row],[CODIGO]],LISTADO[CODIGOS],LISTADO[UBICACIÓN]),"NO EXISTE")</f>
        <v/>
      </c>
      <c r="F579" s="56">
        <f>SUMIFS(ENTRADAS[CANTIDAD],ENTRADAS[CODIGO],PRODUCTOS[[#This Row],[CODIGO]])</f>
        <v/>
      </c>
      <c r="G579" s="56">
        <f>SUMIFS(SALIDAS[CANTIDAD],SALIDAS[CODIGO],PRODUCTOS[[#This Row],[CODIGO]])</f>
        <v/>
      </c>
      <c r="H579" s="56">
        <f>PRODUCTOS[[#This Row],[ENTRADAS]]-PRODUCTOS[[#This Row],[SALIDAS ]]</f>
        <v/>
      </c>
      <c r="I579" s="76" t="n">
        <v>0</v>
      </c>
      <c r="J579">
        <f>IF(PRODUCTOS[[#This Row],[STOCK]]&lt;0,"NEGATIVO",IF(PRODUCTOS[[#This Row],[STOCK]]=0,"SIN STOCK",IF(PRODUCTOS[[#This Row],[STOCK]]&lt;=PRODUCTOS[[#This Row],[STOCK MÍN.]],"BAJO","OK")))</f>
        <v/>
      </c>
      <c r="K5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80" hidden="1" s="11">
      <c r="A580" s="18" t="n">
        <v>565</v>
      </c>
      <c r="B580" s="56" t="inlineStr">
        <is>
          <t>00092-FER</t>
        </is>
      </c>
      <c r="C580" s="56">
        <f>IFERROR(_xlfn.XLOOKUP(PRODUCTOS[[#This Row],[CODIGO]],LISTADO[CODIGOS],LISTADO[CATEGORIA]),"NO EXISTE")</f>
        <v/>
      </c>
      <c r="D580" s="56">
        <f>IFERROR(_xlfn.XLOOKUP(PRODUCTOS[[#This Row],[CODIGO]],LISTADO[CODIGOS],LISTADO[PRODUCTOS]),"NO EXISTE")</f>
        <v/>
      </c>
      <c r="E580" s="56">
        <f>IFERROR(_xlfn.XLOOKUP(PRODUCTOS[[#This Row],[CODIGO]],LISTADO[CODIGOS],LISTADO[UBICACIÓN]),"NO EXISTE")</f>
        <v/>
      </c>
      <c r="F580" s="56">
        <f>SUMIFS(ENTRADAS[CANTIDAD],ENTRADAS[CODIGO],PRODUCTOS[[#This Row],[CODIGO]])</f>
        <v/>
      </c>
      <c r="G580" s="56">
        <f>SUMIFS(SALIDAS[CANTIDAD],SALIDAS[CODIGO],PRODUCTOS[[#This Row],[CODIGO]])</f>
        <v/>
      </c>
      <c r="H580" s="56">
        <f>PRODUCTOS[[#This Row],[ENTRADAS]]-PRODUCTOS[[#This Row],[SALIDAS ]]</f>
        <v/>
      </c>
      <c r="I580" s="76" t="n">
        <v>0</v>
      </c>
      <c r="J580">
        <f>IF(PRODUCTOS[[#This Row],[STOCK]]&lt;0,"NEGATIVO",IF(PRODUCTOS[[#This Row],[STOCK]]=0,"SIN STOCK",IF(PRODUCTOS[[#This Row],[STOCK]]&lt;=PRODUCTOS[[#This Row],[STOCK MÍN.]],"BAJO","OK")))</f>
        <v/>
      </c>
      <c r="K5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81" hidden="1" s="11">
      <c r="A581" s="18" t="n">
        <v>566</v>
      </c>
      <c r="B581" s="56" t="inlineStr">
        <is>
          <t>00093-FER</t>
        </is>
      </c>
      <c r="C581" s="56">
        <f>IFERROR(_xlfn.XLOOKUP(PRODUCTOS[[#This Row],[CODIGO]],LISTADO[CODIGOS],LISTADO[CATEGORIA]),"NO EXISTE")</f>
        <v/>
      </c>
      <c r="D581" s="56">
        <f>IFERROR(_xlfn.XLOOKUP(PRODUCTOS[[#This Row],[CODIGO]],LISTADO[CODIGOS],LISTADO[PRODUCTOS]),"NO EXISTE")</f>
        <v/>
      </c>
      <c r="E581" s="56">
        <f>IFERROR(_xlfn.XLOOKUP(PRODUCTOS[[#This Row],[CODIGO]],LISTADO[CODIGOS],LISTADO[UBICACIÓN]),"NO EXISTE")</f>
        <v/>
      </c>
      <c r="F581" s="56">
        <f>SUMIFS(ENTRADAS[CANTIDAD],ENTRADAS[CODIGO],PRODUCTOS[[#This Row],[CODIGO]])</f>
        <v/>
      </c>
      <c r="G581" s="56">
        <f>SUMIFS(SALIDAS[CANTIDAD],SALIDAS[CODIGO],PRODUCTOS[[#This Row],[CODIGO]])</f>
        <v/>
      </c>
      <c r="H581" s="56">
        <f>PRODUCTOS[[#This Row],[ENTRADAS]]-PRODUCTOS[[#This Row],[SALIDAS ]]</f>
        <v/>
      </c>
      <c r="I581" s="76" t="n">
        <v>0</v>
      </c>
      <c r="J581">
        <f>IF(PRODUCTOS[[#This Row],[STOCK]]&lt;0,"NEGATIVO",IF(PRODUCTOS[[#This Row],[STOCK]]=0,"SIN STOCK",IF(PRODUCTOS[[#This Row],[STOCK]]&lt;=PRODUCTOS[[#This Row],[STOCK MÍN.]],"BAJO","OK")))</f>
        <v/>
      </c>
      <c r="K5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82" hidden="1" s="11">
      <c r="A582" s="18" t="n">
        <v>567</v>
      </c>
      <c r="B582" s="56" t="inlineStr">
        <is>
          <t>00094-FER</t>
        </is>
      </c>
      <c r="C582" s="56">
        <f>IFERROR(_xlfn.XLOOKUP(PRODUCTOS[[#This Row],[CODIGO]],LISTADO[CODIGOS],LISTADO[CATEGORIA]),"NO EXISTE")</f>
        <v/>
      </c>
      <c r="D582" s="56">
        <f>IFERROR(_xlfn.XLOOKUP(PRODUCTOS[[#This Row],[CODIGO]],LISTADO[CODIGOS],LISTADO[PRODUCTOS]),"NO EXISTE")</f>
        <v/>
      </c>
      <c r="E582" s="56">
        <f>IFERROR(_xlfn.XLOOKUP(PRODUCTOS[[#This Row],[CODIGO]],LISTADO[CODIGOS],LISTADO[UBICACIÓN]),"NO EXISTE")</f>
        <v/>
      </c>
      <c r="F582" s="56">
        <f>SUMIFS(ENTRADAS[CANTIDAD],ENTRADAS[CODIGO],PRODUCTOS[[#This Row],[CODIGO]])</f>
        <v/>
      </c>
      <c r="G582" s="56">
        <f>SUMIFS(SALIDAS[CANTIDAD],SALIDAS[CODIGO],PRODUCTOS[[#This Row],[CODIGO]])</f>
        <v/>
      </c>
      <c r="H582" s="56">
        <f>PRODUCTOS[[#This Row],[ENTRADAS]]-PRODUCTOS[[#This Row],[SALIDAS ]]</f>
        <v/>
      </c>
      <c r="I582" s="76" t="n">
        <v>0</v>
      </c>
      <c r="J582">
        <f>IF(PRODUCTOS[[#This Row],[STOCK]]&lt;0,"NEGATIVO",IF(PRODUCTOS[[#This Row],[STOCK]]=0,"SIN STOCK",IF(PRODUCTOS[[#This Row],[STOCK]]&lt;=PRODUCTOS[[#This Row],[STOCK MÍN.]],"BAJO","OK")))</f>
        <v/>
      </c>
      <c r="K5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83" hidden="1" s="11">
      <c r="A583" s="18" t="n">
        <v>568</v>
      </c>
      <c r="B583" s="56" t="inlineStr">
        <is>
          <t>00095-FER</t>
        </is>
      </c>
      <c r="C583" s="56">
        <f>IFERROR(_xlfn.XLOOKUP(PRODUCTOS[[#This Row],[CODIGO]],LISTADO[CODIGOS],LISTADO[CATEGORIA]),"NO EXISTE")</f>
        <v/>
      </c>
      <c r="D583" s="56">
        <f>IFERROR(_xlfn.XLOOKUP(PRODUCTOS[[#This Row],[CODIGO]],LISTADO[CODIGOS],LISTADO[PRODUCTOS]),"NO EXISTE")</f>
        <v/>
      </c>
      <c r="E583" s="56">
        <f>IFERROR(_xlfn.XLOOKUP(PRODUCTOS[[#This Row],[CODIGO]],LISTADO[CODIGOS],LISTADO[UBICACIÓN]),"NO EXISTE")</f>
        <v/>
      </c>
      <c r="F583" s="56">
        <f>SUMIFS(ENTRADAS[CANTIDAD],ENTRADAS[CODIGO],PRODUCTOS[[#This Row],[CODIGO]])</f>
        <v/>
      </c>
      <c r="G583" s="56">
        <f>SUMIFS(SALIDAS[CANTIDAD],SALIDAS[CODIGO],PRODUCTOS[[#This Row],[CODIGO]])</f>
        <v/>
      </c>
      <c r="H583" s="56">
        <f>PRODUCTOS[[#This Row],[ENTRADAS]]-PRODUCTOS[[#This Row],[SALIDAS ]]</f>
        <v/>
      </c>
      <c r="I583" s="76" t="n">
        <v>0</v>
      </c>
      <c r="J583">
        <f>IF(PRODUCTOS[[#This Row],[STOCK]]&lt;0,"NEGATIVO",IF(PRODUCTOS[[#This Row],[STOCK]]=0,"SIN STOCK",IF(PRODUCTOS[[#This Row],[STOCK]]&lt;=PRODUCTOS[[#This Row],[STOCK MÍN.]],"BAJO","OK")))</f>
        <v/>
      </c>
      <c r="K5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84" hidden="1" s="11">
      <c r="A584" s="18" t="n">
        <v>569</v>
      </c>
      <c r="B584" s="56" t="inlineStr">
        <is>
          <t>00096-FER</t>
        </is>
      </c>
      <c r="C584" s="56">
        <f>IFERROR(_xlfn.XLOOKUP(PRODUCTOS[[#This Row],[CODIGO]],LISTADO[CODIGOS],LISTADO[CATEGORIA]),"NO EXISTE")</f>
        <v/>
      </c>
      <c r="D584" s="56">
        <f>IFERROR(_xlfn.XLOOKUP(PRODUCTOS[[#This Row],[CODIGO]],LISTADO[CODIGOS],LISTADO[PRODUCTOS]),"NO EXISTE")</f>
        <v/>
      </c>
      <c r="E584" s="56">
        <f>IFERROR(_xlfn.XLOOKUP(PRODUCTOS[[#This Row],[CODIGO]],LISTADO[CODIGOS],LISTADO[UBICACIÓN]),"NO EXISTE")</f>
        <v/>
      </c>
      <c r="F584" s="56">
        <f>SUMIFS(ENTRADAS[CANTIDAD],ENTRADAS[CODIGO],PRODUCTOS[[#This Row],[CODIGO]])</f>
        <v/>
      </c>
      <c r="G584" s="56">
        <f>SUMIFS(SALIDAS[CANTIDAD],SALIDAS[CODIGO],PRODUCTOS[[#This Row],[CODIGO]])</f>
        <v/>
      </c>
      <c r="H584" s="56">
        <f>PRODUCTOS[[#This Row],[ENTRADAS]]-PRODUCTOS[[#This Row],[SALIDAS ]]</f>
        <v/>
      </c>
      <c r="I584" s="76" t="n">
        <v>0</v>
      </c>
      <c r="J584">
        <f>IF(PRODUCTOS[[#This Row],[STOCK]]&lt;0,"NEGATIVO",IF(PRODUCTOS[[#This Row],[STOCK]]=0,"SIN STOCK",IF(PRODUCTOS[[#This Row],[STOCK]]&lt;=PRODUCTOS[[#This Row],[STOCK MÍN.]],"BAJO","OK")))</f>
        <v/>
      </c>
      <c r="K5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85" hidden="1" s="11">
      <c r="A585" s="18" t="n">
        <v>570</v>
      </c>
      <c r="B585" s="56" t="inlineStr">
        <is>
          <t>00097-FER</t>
        </is>
      </c>
      <c r="C585" s="56">
        <f>IFERROR(_xlfn.XLOOKUP(PRODUCTOS[[#This Row],[CODIGO]],LISTADO[CODIGOS],LISTADO[CATEGORIA]),"NO EXISTE")</f>
        <v/>
      </c>
      <c r="D585" s="56">
        <f>IFERROR(_xlfn.XLOOKUP(PRODUCTOS[[#This Row],[CODIGO]],LISTADO[CODIGOS],LISTADO[PRODUCTOS]),"NO EXISTE")</f>
        <v/>
      </c>
      <c r="E585" s="56">
        <f>IFERROR(_xlfn.XLOOKUP(PRODUCTOS[[#This Row],[CODIGO]],LISTADO[CODIGOS],LISTADO[UBICACIÓN]),"NO EXISTE")</f>
        <v/>
      </c>
      <c r="F585" s="56">
        <f>SUMIFS(ENTRADAS[CANTIDAD],ENTRADAS[CODIGO],PRODUCTOS[[#This Row],[CODIGO]])</f>
        <v/>
      </c>
      <c r="G585" s="56">
        <f>SUMIFS(SALIDAS[CANTIDAD],SALIDAS[CODIGO],PRODUCTOS[[#This Row],[CODIGO]])</f>
        <v/>
      </c>
      <c r="H585" s="56">
        <f>PRODUCTOS[[#This Row],[ENTRADAS]]-PRODUCTOS[[#This Row],[SALIDAS ]]</f>
        <v/>
      </c>
      <c r="I585" s="76" t="n">
        <v>0</v>
      </c>
      <c r="J585">
        <f>IF(PRODUCTOS[[#This Row],[STOCK]]&lt;0,"NEGATIVO",IF(PRODUCTOS[[#This Row],[STOCK]]=0,"SIN STOCK",IF(PRODUCTOS[[#This Row],[STOCK]]&lt;=PRODUCTOS[[#This Row],[STOCK MÍN.]],"BAJO","OK")))</f>
        <v/>
      </c>
      <c r="K5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86" hidden="1" s="11">
      <c r="A586" s="18" t="n">
        <v>571</v>
      </c>
      <c r="B586" s="56" t="inlineStr">
        <is>
          <t>00098-FER</t>
        </is>
      </c>
      <c r="C586" s="56">
        <f>IFERROR(_xlfn.XLOOKUP(PRODUCTOS[[#This Row],[CODIGO]],LISTADO[CODIGOS],LISTADO[CATEGORIA]),"NO EXISTE")</f>
        <v/>
      </c>
      <c r="D586" s="56">
        <f>IFERROR(_xlfn.XLOOKUP(PRODUCTOS[[#This Row],[CODIGO]],LISTADO[CODIGOS],LISTADO[PRODUCTOS]),"NO EXISTE")</f>
        <v/>
      </c>
      <c r="E586" s="56">
        <f>IFERROR(_xlfn.XLOOKUP(PRODUCTOS[[#This Row],[CODIGO]],LISTADO[CODIGOS],LISTADO[UBICACIÓN]),"NO EXISTE")</f>
        <v/>
      </c>
      <c r="F586" s="56">
        <f>SUMIFS(ENTRADAS[CANTIDAD],ENTRADAS[CODIGO],PRODUCTOS[[#This Row],[CODIGO]])</f>
        <v/>
      </c>
      <c r="G586" s="56">
        <f>SUMIFS(SALIDAS[CANTIDAD],SALIDAS[CODIGO],PRODUCTOS[[#This Row],[CODIGO]])</f>
        <v/>
      </c>
      <c r="H586" s="56">
        <f>PRODUCTOS[[#This Row],[ENTRADAS]]-PRODUCTOS[[#This Row],[SALIDAS ]]</f>
        <v/>
      </c>
      <c r="I586" s="76" t="n">
        <v>0</v>
      </c>
      <c r="J586">
        <f>IF(PRODUCTOS[[#This Row],[STOCK]]&lt;0,"NEGATIVO",IF(PRODUCTOS[[#This Row],[STOCK]]=0,"SIN STOCK",IF(PRODUCTOS[[#This Row],[STOCK]]&lt;=PRODUCTOS[[#This Row],[STOCK MÍN.]],"BAJO","OK")))</f>
        <v/>
      </c>
      <c r="K5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87" hidden="1" s="11">
      <c r="A587" s="18" t="n">
        <v>572</v>
      </c>
      <c r="B587" s="56" t="inlineStr">
        <is>
          <t>00099-FER</t>
        </is>
      </c>
      <c r="C587" s="56">
        <f>IFERROR(_xlfn.XLOOKUP(PRODUCTOS[[#This Row],[CODIGO]],LISTADO[CODIGOS],LISTADO[CATEGORIA]),"NO EXISTE")</f>
        <v/>
      </c>
      <c r="D587" s="56">
        <f>IFERROR(_xlfn.XLOOKUP(PRODUCTOS[[#This Row],[CODIGO]],LISTADO[CODIGOS],LISTADO[PRODUCTOS]),"NO EXISTE")</f>
        <v/>
      </c>
      <c r="E587" s="56">
        <f>IFERROR(_xlfn.XLOOKUP(PRODUCTOS[[#This Row],[CODIGO]],LISTADO[CODIGOS],LISTADO[UBICACIÓN]),"NO EXISTE")</f>
        <v/>
      </c>
      <c r="F587" s="56">
        <f>SUMIFS(ENTRADAS[CANTIDAD],ENTRADAS[CODIGO],PRODUCTOS[[#This Row],[CODIGO]])</f>
        <v/>
      </c>
      <c r="G587" s="56">
        <f>SUMIFS(SALIDAS[CANTIDAD],SALIDAS[CODIGO],PRODUCTOS[[#This Row],[CODIGO]])</f>
        <v/>
      </c>
      <c r="H587" s="56">
        <f>PRODUCTOS[[#This Row],[ENTRADAS]]-PRODUCTOS[[#This Row],[SALIDAS ]]</f>
        <v/>
      </c>
      <c r="I587" s="76" t="n">
        <v>0</v>
      </c>
      <c r="J587">
        <f>IF(PRODUCTOS[[#This Row],[STOCK]]&lt;0,"NEGATIVO",IF(PRODUCTOS[[#This Row],[STOCK]]=0,"SIN STOCK",IF(PRODUCTOS[[#This Row],[STOCK]]&lt;=PRODUCTOS[[#This Row],[STOCK MÍN.]],"BAJO","OK")))</f>
        <v/>
      </c>
      <c r="K5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88" hidden="1" s="11">
      <c r="A588" s="18" t="n">
        <v>573</v>
      </c>
      <c r="B588" s="56" t="inlineStr">
        <is>
          <t>00100-FER</t>
        </is>
      </c>
      <c r="C588" s="56">
        <f>IFERROR(_xlfn.XLOOKUP(PRODUCTOS[[#This Row],[CODIGO]],LISTADO[CODIGOS],LISTADO[CATEGORIA]),"NO EXISTE")</f>
        <v/>
      </c>
      <c r="D588" s="56">
        <f>IFERROR(_xlfn.XLOOKUP(PRODUCTOS[[#This Row],[CODIGO]],LISTADO[CODIGOS],LISTADO[PRODUCTOS]),"NO EXISTE")</f>
        <v/>
      </c>
      <c r="E588" s="56">
        <f>IFERROR(_xlfn.XLOOKUP(PRODUCTOS[[#This Row],[CODIGO]],LISTADO[CODIGOS],LISTADO[UBICACIÓN]),"NO EXISTE")</f>
        <v/>
      </c>
      <c r="F588" s="56">
        <f>SUMIFS(ENTRADAS[CANTIDAD],ENTRADAS[CODIGO],PRODUCTOS[[#This Row],[CODIGO]])</f>
        <v/>
      </c>
      <c r="G588" s="56">
        <f>SUMIFS(SALIDAS[CANTIDAD],SALIDAS[CODIGO],PRODUCTOS[[#This Row],[CODIGO]])</f>
        <v/>
      </c>
      <c r="H588" s="56">
        <f>PRODUCTOS[[#This Row],[ENTRADAS]]-PRODUCTOS[[#This Row],[SALIDAS ]]</f>
        <v/>
      </c>
      <c r="I588" s="76" t="n">
        <v>0</v>
      </c>
      <c r="J588">
        <f>IF(PRODUCTOS[[#This Row],[STOCK]]&lt;0,"NEGATIVO",IF(PRODUCTOS[[#This Row],[STOCK]]=0,"SIN STOCK",IF(PRODUCTOS[[#This Row],[STOCK]]&lt;=PRODUCTOS[[#This Row],[STOCK MÍN.]],"BAJO","OK")))</f>
        <v/>
      </c>
      <c r="K5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89" hidden="1" s="11">
      <c r="A589" s="18" t="n">
        <v>574</v>
      </c>
      <c r="B589" s="56" t="inlineStr">
        <is>
          <t>00101-FER</t>
        </is>
      </c>
      <c r="C589" s="56">
        <f>IFERROR(_xlfn.XLOOKUP(PRODUCTOS[[#This Row],[CODIGO]],LISTADO[CODIGOS],LISTADO[CATEGORIA]),"NO EXISTE")</f>
        <v/>
      </c>
      <c r="D589" s="56">
        <f>IFERROR(_xlfn.XLOOKUP(PRODUCTOS[[#This Row],[CODIGO]],LISTADO[CODIGOS],LISTADO[PRODUCTOS]),"NO EXISTE")</f>
        <v/>
      </c>
      <c r="E589" s="56">
        <f>IFERROR(_xlfn.XLOOKUP(PRODUCTOS[[#This Row],[CODIGO]],LISTADO[CODIGOS],LISTADO[UBICACIÓN]),"NO EXISTE")</f>
        <v/>
      </c>
      <c r="F589" s="56">
        <f>SUMIFS(ENTRADAS[CANTIDAD],ENTRADAS[CODIGO],PRODUCTOS[[#This Row],[CODIGO]])</f>
        <v/>
      </c>
      <c r="G589" s="56">
        <f>SUMIFS(SALIDAS[CANTIDAD],SALIDAS[CODIGO],PRODUCTOS[[#This Row],[CODIGO]])</f>
        <v/>
      </c>
      <c r="H589" s="56">
        <f>PRODUCTOS[[#This Row],[ENTRADAS]]-PRODUCTOS[[#This Row],[SALIDAS ]]</f>
        <v/>
      </c>
      <c r="I589" s="76" t="n">
        <v>0</v>
      </c>
      <c r="J589">
        <f>IF(PRODUCTOS[[#This Row],[STOCK]]&lt;0,"NEGATIVO",IF(PRODUCTOS[[#This Row],[STOCK]]=0,"SIN STOCK",IF(PRODUCTOS[[#This Row],[STOCK]]&lt;=PRODUCTOS[[#This Row],[STOCK MÍN.]],"BAJO","OK")))</f>
        <v/>
      </c>
      <c r="K5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90" hidden="1" s="11">
      <c r="A590" s="18" t="n">
        <v>575</v>
      </c>
      <c r="B590" s="56" t="inlineStr">
        <is>
          <t>00102-FER</t>
        </is>
      </c>
      <c r="C590" s="56">
        <f>IFERROR(_xlfn.XLOOKUP(PRODUCTOS[[#This Row],[CODIGO]],LISTADO[CODIGOS],LISTADO[CATEGORIA]),"NO EXISTE")</f>
        <v/>
      </c>
      <c r="D590" s="56">
        <f>IFERROR(_xlfn.XLOOKUP(PRODUCTOS[[#This Row],[CODIGO]],LISTADO[CODIGOS],LISTADO[PRODUCTOS]),"NO EXISTE")</f>
        <v/>
      </c>
      <c r="E590" s="56">
        <f>IFERROR(_xlfn.XLOOKUP(PRODUCTOS[[#This Row],[CODIGO]],LISTADO[CODIGOS],LISTADO[UBICACIÓN]),"NO EXISTE")</f>
        <v/>
      </c>
      <c r="F590" s="56">
        <f>SUMIFS(ENTRADAS[CANTIDAD],ENTRADAS[CODIGO],PRODUCTOS[[#This Row],[CODIGO]])</f>
        <v/>
      </c>
      <c r="G590" s="56">
        <f>SUMIFS(SALIDAS[CANTIDAD],SALIDAS[CODIGO],PRODUCTOS[[#This Row],[CODIGO]])</f>
        <v/>
      </c>
      <c r="H590" s="56">
        <f>PRODUCTOS[[#This Row],[ENTRADAS]]-PRODUCTOS[[#This Row],[SALIDAS ]]</f>
        <v/>
      </c>
      <c r="I590" s="76" t="n">
        <v>0</v>
      </c>
      <c r="J590">
        <f>IF(PRODUCTOS[[#This Row],[STOCK]]&lt;0,"NEGATIVO",IF(PRODUCTOS[[#This Row],[STOCK]]=0,"SIN STOCK",IF(PRODUCTOS[[#This Row],[STOCK]]&lt;=PRODUCTOS[[#This Row],[STOCK MÍN.]],"BAJO","OK")))</f>
        <v/>
      </c>
      <c r="K5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91" hidden="1" s="11">
      <c r="A591" s="18" t="n">
        <v>576</v>
      </c>
      <c r="B591" s="56" t="inlineStr">
        <is>
          <t>00103-FER</t>
        </is>
      </c>
      <c r="C591" s="56">
        <f>IFERROR(_xlfn.XLOOKUP(PRODUCTOS[[#This Row],[CODIGO]],LISTADO[CODIGOS],LISTADO[CATEGORIA]),"NO EXISTE")</f>
        <v/>
      </c>
      <c r="D591" s="56">
        <f>IFERROR(_xlfn.XLOOKUP(PRODUCTOS[[#This Row],[CODIGO]],LISTADO[CODIGOS],LISTADO[PRODUCTOS]),"NO EXISTE")</f>
        <v/>
      </c>
      <c r="E591" s="56">
        <f>IFERROR(_xlfn.XLOOKUP(PRODUCTOS[[#This Row],[CODIGO]],LISTADO[CODIGOS],LISTADO[UBICACIÓN]),"NO EXISTE")</f>
        <v/>
      </c>
      <c r="F591" s="56">
        <f>SUMIFS(ENTRADAS[CANTIDAD],ENTRADAS[CODIGO],PRODUCTOS[[#This Row],[CODIGO]])</f>
        <v/>
      </c>
      <c r="G591" s="56">
        <f>SUMIFS(SALIDAS[CANTIDAD],SALIDAS[CODIGO],PRODUCTOS[[#This Row],[CODIGO]])</f>
        <v/>
      </c>
      <c r="H591" s="56">
        <f>PRODUCTOS[[#This Row],[ENTRADAS]]-PRODUCTOS[[#This Row],[SALIDAS ]]</f>
        <v/>
      </c>
      <c r="I591" s="76" t="n">
        <v>0</v>
      </c>
      <c r="J591">
        <f>IF(PRODUCTOS[[#This Row],[STOCK]]&lt;0,"NEGATIVO",IF(PRODUCTOS[[#This Row],[STOCK]]=0,"SIN STOCK",IF(PRODUCTOS[[#This Row],[STOCK]]&lt;=PRODUCTOS[[#This Row],[STOCK MÍN.]],"BAJO","OK")))</f>
        <v/>
      </c>
      <c r="K5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92" hidden="1" s="11">
      <c r="A592" s="18" t="n">
        <v>577</v>
      </c>
      <c r="B592" s="56" t="inlineStr">
        <is>
          <t>00104-FER</t>
        </is>
      </c>
      <c r="C592" s="56">
        <f>IFERROR(_xlfn.XLOOKUP(PRODUCTOS[[#This Row],[CODIGO]],LISTADO[CODIGOS],LISTADO[CATEGORIA]),"NO EXISTE")</f>
        <v/>
      </c>
      <c r="D592" s="56">
        <f>IFERROR(_xlfn.XLOOKUP(PRODUCTOS[[#This Row],[CODIGO]],LISTADO[CODIGOS],LISTADO[PRODUCTOS]),"NO EXISTE")</f>
        <v/>
      </c>
      <c r="E592" s="56">
        <f>IFERROR(_xlfn.XLOOKUP(PRODUCTOS[[#This Row],[CODIGO]],LISTADO[CODIGOS],LISTADO[UBICACIÓN]),"NO EXISTE")</f>
        <v/>
      </c>
      <c r="F592" s="56">
        <f>SUMIFS(ENTRADAS[CANTIDAD],ENTRADAS[CODIGO],PRODUCTOS[[#This Row],[CODIGO]])</f>
        <v/>
      </c>
      <c r="G592" s="56">
        <f>SUMIFS(SALIDAS[CANTIDAD],SALIDAS[CODIGO],PRODUCTOS[[#This Row],[CODIGO]])</f>
        <v/>
      </c>
      <c r="H592" s="56">
        <f>PRODUCTOS[[#This Row],[ENTRADAS]]-PRODUCTOS[[#This Row],[SALIDAS ]]</f>
        <v/>
      </c>
      <c r="I592" s="76" t="n">
        <v>0</v>
      </c>
      <c r="J592">
        <f>IF(PRODUCTOS[[#This Row],[STOCK]]&lt;0,"NEGATIVO",IF(PRODUCTOS[[#This Row],[STOCK]]=0,"SIN STOCK",IF(PRODUCTOS[[#This Row],[STOCK]]&lt;=PRODUCTOS[[#This Row],[STOCK MÍN.]],"BAJO","OK")))</f>
        <v/>
      </c>
      <c r="K5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93" hidden="1" s="11">
      <c r="A593" s="18" t="n">
        <v>578</v>
      </c>
      <c r="B593" s="56" t="inlineStr">
        <is>
          <t>00105-FER</t>
        </is>
      </c>
      <c r="C593" s="56">
        <f>IFERROR(_xlfn.XLOOKUP(PRODUCTOS[[#This Row],[CODIGO]],LISTADO[CODIGOS],LISTADO[CATEGORIA]),"NO EXISTE")</f>
        <v/>
      </c>
      <c r="D593" s="56">
        <f>IFERROR(_xlfn.XLOOKUP(PRODUCTOS[[#This Row],[CODIGO]],LISTADO[CODIGOS],LISTADO[PRODUCTOS]),"NO EXISTE")</f>
        <v/>
      </c>
      <c r="E593" s="56">
        <f>IFERROR(_xlfn.XLOOKUP(PRODUCTOS[[#This Row],[CODIGO]],LISTADO[CODIGOS],LISTADO[UBICACIÓN]),"NO EXISTE")</f>
        <v/>
      </c>
      <c r="F593" s="56">
        <f>SUMIFS(ENTRADAS[CANTIDAD],ENTRADAS[CODIGO],PRODUCTOS[[#This Row],[CODIGO]])</f>
        <v/>
      </c>
      <c r="G593" s="56">
        <f>SUMIFS(SALIDAS[CANTIDAD],SALIDAS[CODIGO],PRODUCTOS[[#This Row],[CODIGO]])</f>
        <v/>
      </c>
      <c r="H593" s="56">
        <f>PRODUCTOS[[#This Row],[ENTRADAS]]-PRODUCTOS[[#This Row],[SALIDAS ]]</f>
        <v/>
      </c>
      <c r="I593" s="76" t="n">
        <v>0</v>
      </c>
      <c r="J593">
        <f>IF(PRODUCTOS[[#This Row],[STOCK]]&lt;0,"NEGATIVO",IF(PRODUCTOS[[#This Row],[STOCK]]=0,"SIN STOCK",IF(PRODUCTOS[[#This Row],[STOCK]]&lt;=PRODUCTOS[[#This Row],[STOCK MÍN.]],"BAJO","OK")))</f>
        <v/>
      </c>
      <c r="K5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94" hidden="1" s="11">
      <c r="A594" s="18" t="n">
        <v>579</v>
      </c>
      <c r="B594" s="56" t="inlineStr">
        <is>
          <t>00106-FER</t>
        </is>
      </c>
      <c r="C594" s="56">
        <f>IFERROR(_xlfn.XLOOKUP(PRODUCTOS[[#This Row],[CODIGO]],LISTADO[CODIGOS],LISTADO[CATEGORIA]),"NO EXISTE")</f>
        <v/>
      </c>
      <c r="D594" s="56">
        <f>IFERROR(_xlfn.XLOOKUP(PRODUCTOS[[#This Row],[CODIGO]],LISTADO[CODIGOS],LISTADO[PRODUCTOS]),"NO EXISTE")</f>
        <v/>
      </c>
      <c r="E594" s="56">
        <f>IFERROR(_xlfn.XLOOKUP(PRODUCTOS[[#This Row],[CODIGO]],LISTADO[CODIGOS],LISTADO[UBICACIÓN]),"NO EXISTE")</f>
        <v/>
      </c>
      <c r="F594" s="56">
        <f>SUMIFS(ENTRADAS[CANTIDAD],ENTRADAS[CODIGO],PRODUCTOS[[#This Row],[CODIGO]])</f>
        <v/>
      </c>
      <c r="G594" s="56">
        <f>SUMIFS(SALIDAS[CANTIDAD],SALIDAS[CODIGO],PRODUCTOS[[#This Row],[CODIGO]])</f>
        <v/>
      </c>
      <c r="H594" s="56">
        <f>PRODUCTOS[[#This Row],[ENTRADAS]]-PRODUCTOS[[#This Row],[SALIDAS ]]</f>
        <v/>
      </c>
      <c r="I594" s="76" t="n">
        <v>0</v>
      </c>
      <c r="J594">
        <f>IF(PRODUCTOS[[#This Row],[STOCK]]&lt;0,"NEGATIVO",IF(PRODUCTOS[[#This Row],[STOCK]]=0,"SIN STOCK",IF(PRODUCTOS[[#This Row],[STOCK]]&lt;=PRODUCTOS[[#This Row],[STOCK MÍN.]],"BAJO","OK")))</f>
        <v/>
      </c>
      <c r="K5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95" hidden="1" s="11">
      <c r="A595" s="18" t="n">
        <v>580</v>
      </c>
      <c r="B595" s="56" t="inlineStr">
        <is>
          <t>00107-FER</t>
        </is>
      </c>
      <c r="C595" s="56">
        <f>IFERROR(_xlfn.XLOOKUP(PRODUCTOS[[#This Row],[CODIGO]],LISTADO[CODIGOS],LISTADO[CATEGORIA]),"NO EXISTE")</f>
        <v/>
      </c>
      <c r="D595" s="56">
        <f>IFERROR(_xlfn.XLOOKUP(PRODUCTOS[[#This Row],[CODIGO]],LISTADO[CODIGOS],LISTADO[PRODUCTOS]),"NO EXISTE")</f>
        <v/>
      </c>
      <c r="E595" s="56">
        <f>IFERROR(_xlfn.XLOOKUP(PRODUCTOS[[#This Row],[CODIGO]],LISTADO[CODIGOS],LISTADO[UBICACIÓN]),"NO EXISTE")</f>
        <v/>
      </c>
      <c r="F595" s="56">
        <f>SUMIFS(ENTRADAS[CANTIDAD],ENTRADAS[CODIGO],PRODUCTOS[[#This Row],[CODIGO]])</f>
        <v/>
      </c>
      <c r="G595" s="56">
        <f>SUMIFS(SALIDAS[CANTIDAD],SALIDAS[CODIGO],PRODUCTOS[[#This Row],[CODIGO]])</f>
        <v/>
      </c>
      <c r="H595" s="56">
        <f>PRODUCTOS[[#This Row],[ENTRADAS]]-PRODUCTOS[[#This Row],[SALIDAS ]]</f>
        <v/>
      </c>
      <c r="I595" s="76" t="n">
        <v>0</v>
      </c>
      <c r="J595">
        <f>IF(PRODUCTOS[[#This Row],[STOCK]]&lt;0,"NEGATIVO",IF(PRODUCTOS[[#This Row],[STOCK]]=0,"SIN STOCK",IF(PRODUCTOS[[#This Row],[STOCK]]&lt;=PRODUCTOS[[#This Row],[STOCK MÍN.]],"BAJO","OK")))</f>
        <v/>
      </c>
      <c r="K5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96" hidden="1" s="11">
      <c r="A596" s="18" t="n">
        <v>581</v>
      </c>
      <c r="B596" s="56" t="inlineStr">
        <is>
          <t>00026-ELC</t>
        </is>
      </c>
      <c r="C596" s="56">
        <f>IFERROR(_xlfn.XLOOKUP(PRODUCTOS[[#This Row],[CODIGO]],LISTADO[CODIGOS],LISTADO[CATEGORIA]),"NO EXISTE")</f>
        <v/>
      </c>
      <c r="D596" s="56">
        <f>IFERROR(_xlfn.XLOOKUP(PRODUCTOS[[#This Row],[CODIGO]],LISTADO[CODIGOS],LISTADO[PRODUCTOS]),"NO EXISTE")</f>
        <v/>
      </c>
      <c r="E596" s="56">
        <f>IFERROR(_xlfn.XLOOKUP(PRODUCTOS[[#This Row],[CODIGO]],LISTADO[CODIGOS],LISTADO[UBICACIÓN]),"NO EXISTE")</f>
        <v/>
      </c>
      <c r="F596" s="56">
        <f>SUMIFS(ENTRADAS[CANTIDAD],ENTRADAS[CODIGO],PRODUCTOS[[#This Row],[CODIGO]])</f>
        <v/>
      </c>
      <c r="G596" s="56">
        <f>SUMIFS(SALIDAS[CANTIDAD],SALIDAS[CODIGO],PRODUCTOS[[#This Row],[CODIGO]])</f>
        <v/>
      </c>
      <c r="H596" s="56">
        <f>PRODUCTOS[[#This Row],[ENTRADAS]]-PRODUCTOS[[#This Row],[SALIDAS ]]</f>
        <v/>
      </c>
      <c r="I596" s="76" t="n">
        <v>0</v>
      </c>
      <c r="J596">
        <f>IF(PRODUCTOS[[#This Row],[STOCK]]&lt;0,"NEGATIVO",IF(PRODUCTOS[[#This Row],[STOCK]]=0,"SIN STOCK",IF(PRODUCTOS[[#This Row],[STOCK]]&lt;=PRODUCTOS[[#This Row],[STOCK MÍN.]],"BAJO","OK")))</f>
        <v/>
      </c>
      <c r="K5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97" hidden="1" s="11">
      <c r="A597" s="18" t="n">
        <v>582</v>
      </c>
      <c r="B597" s="56" t="inlineStr">
        <is>
          <t>00027-ELC</t>
        </is>
      </c>
      <c r="C597" s="56">
        <f>IFERROR(_xlfn.XLOOKUP(PRODUCTOS[[#This Row],[CODIGO]],LISTADO[CODIGOS],LISTADO[CATEGORIA]),"NO EXISTE")</f>
        <v/>
      </c>
      <c r="D597" s="56">
        <f>IFERROR(_xlfn.XLOOKUP(PRODUCTOS[[#This Row],[CODIGO]],LISTADO[CODIGOS],LISTADO[PRODUCTOS]),"NO EXISTE")</f>
        <v/>
      </c>
      <c r="E597" s="56">
        <f>IFERROR(_xlfn.XLOOKUP(PRODUCTOS[[#This Row],[CODIGO]],LISTADO[CODIGOS],LISTADO[UBICACIÓN]),"NO EXISTE")</f>
        <v/>
      </c>
      <c r="F597" s="56">
        <f>SUMIFS(ENTRADAS[CANTIDAD],ENTRADAS[CODIGO],PRODUCTOS[[#This Row],[CODIGO]])</f>
        <v/>
      </c>
      <c r="G597" s="56">
        <f>SUMIFS(SALIDAS[CANTIDAD],SALIDAS[CODIGO],PRODUCTOS[[#This Row],[CODIGO]])</f>
        <v/>
      </c>
      <c r="H597" s="56">
        <f>PRODUCTOS[[#This Row],[ENTRADAS]]-PRODUCTOS[[#This Row],[SALIDAS ]]</f>
        <v/>
      </c>
      <c r="I597" s="76" t="n">
        <v>0</v>
      </c>
      <c r="J597">
        <f>IF(PRODUCTOS[[#This Row],[STOCK]]&lt;0,"NEGATIVO",IF(PRODUCTOS[[#This Row],[STOCK]]=0,"SIN STOCK",IF(PRODUCTOS[[#This Row],[STOCK]]&lt;=PRODUCTOS[[#This Row],[STOCK MÍN.]],"BAJO","OK")))</f>
        <v/>
      </c>
      <c r="K5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98" hidden="1" s="11">
      <c r="A598" s="18" t="n">
        <v>583</v>
      </c>
      <c r="B598" s="56" t="inlineStr">
        <is>
          <t>00028-ELC</t>
        </is>
      </c>
      <c r="C598" s="56">
        <f>IFERROR(_xlfn.XLOOKUP(PRODUCTOS[[#This Row],[CODIGO]],LISTADO[CODIGOS],LISTADO[CATEGORIA]),"NO EXISTE")</f>
        <v/>
      </c>
      <c r="D598" s="56">
        <f>IFERROR(_xlfn.XLOOKUP(PRODUCTOS[[#This Row],[CODIGO]],LISTADO[CODIGOS],LISTADO[PRODUCTOS]),"NO EXISTE")</f>
        <v/>
      </c>
      <c r="E598" s="56">
        <f>IFERROR(_xlfn.XLOOKUP(PRODUCTOS[[#This Row],[CODIGO]],LISTADO[CODIGOS],LISTADO[UBICACIÓN]),"NO EXISTE")</f>
        <v/>
      </c>
      <c r="F598" s="56">
        <f>SUMIFS(ENTRADAS[CANTIDAD],ENTRADAS[CODIGO],PRODUCTOS[[#This Row],[CODIGO]])</f>
        <v/>
      </c>
      <c r="G598" s="56">
        <f>SUMIFS(SALIDAS[CANTIDAD],SALIDAS[CODIGO],PRODUCTOS[[#This Row],[CODIGO]])</f>
        <v/>
      </c>
      <c r="H598" s="56">
        <f>PRODUCTOS[[#This Row],[ENTRADAS]]-PRODUCTOS[[#This Row],[SALIDAS ]]</f>
        <v/>
      </c>
      <c r="I598" s="76" t="n">
        <v>0</v>
      </c>
      <c r="J598">
        <f>IF(PRODUCTOS[[#This Row],[STOCK]]&lt;0,"NEGATIVO",IF(PRODUCTOS[[#This Row],[STOCK]]=0,"SIN STOCK",IF(PRODUCTOS[[#This Row],[STOCK]]&lt;=PRODUCTOS[[#This Row],[STOCK MÍN.]],"BAJO","OK")))</f>
        <v/>
      </c>
      <c r="K5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599" hidden="1" s="11">
      <c r="A599" s="18" t="n">
        <v>584</v>
      </c>
      <c r="B599" s="56" t="inlineStr">
        <is>
          <t>00029-ELC</t>
        </is>
      </c>
      <c r="C599" s="56">
        <f>IFERROR(_xlfn.XLOOKUP(PRODUCTOS[[#This Row],[CODIGO]],LISTADO[CODIGOS],LISTADO[CATEGORIA]),"NO EXISTE")</f>
        <v/>
      </c>
      <c r="D599" s="56">
        <f>IFERROR(_xlfn.XLOOKUP(PRODUCTOS[[#This Row],[CODIGO]],LISTADO[CODIGOS],LISTADO[PRODUCTOS]),"NO EXISTE")</f>
        <v/>
      </c>
      <c r="E599" s="56">
        <f>IFERROR(_xlfn.XLOOKUP(PRODUCTOS[[#This Row],[CODIGO]],LISTADO[CODIGOS],LISTADO[UBICACIÓN]),"NO EXISTE")</f>
        <v/>
      </c>
      <c r="F599" s="56">
        <f>SUMIFS(ENTRADAS[CANTIDAD],ENTRADAS[CODIGO],PRODUCTOS[[#This Row],[CODIGO]])</f>
        <v/>
      </c>
      <c r="G599" s="56">
        <f>SUMIFS(SALIDAS[CANTIDAD],SALIDAS[CODIGO],PRODUCTOS[[#This Row],[CODIGO]])</f>
        <v/>
      </c>
      <c r="H599" s="56">
        <f>PRODUCTOS[[#This Row],[ENTRADAS]]-PRODUCTOS[[#This Row],[SALIDAS ]]</f>
        <v/>
      </c>
      <c r="I599" s="76" t="n">
        <v>0</v>
      </c>
      <c r="J599">
        <f>IF(PRODUCTOS[[#This Row],[STOCK]]&lt;0,"NEGATIVO",IF(PRODUCTOS[[#This Row],[STOCK]]=0,"SIN STOCK",IF(PRODUCTOS[[#This Row],[STOCK]]&lt;=PRODUCTOS[[#This Row],[STOCK MÍN.]],"BAJO","OK")))</f>
        <v/>
      </c>
      <c r="K5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00" hidden="1" s="11">
      <c r="A600" s="18" t="n">
        <v>585</v>
      </c>
      <c r="B600" s="56" t="inlineStr">
        <is>
          <t>00030-ELC</t>
        </is>
      </c>
      <c r="C600" s="56">
        <f>IFERROR(_xlfn.XLOOKUP(PRODUCTOS[[#This Row],[CODIGO]],LISTADO[CODIGOS],LISTADO[CATEGORIA]),"NO EXISTE")</f>
        <v/>
      </c>
      <c r="D600" s="56">
        <f>IFERROR(_xlfn.XLOOKUP(PRODUCTOS[[#This Row],[CODIGO]],LISTADO[CODIGOS],LISTADO[PRODUCTOS]),"NO EXISTE")</f>
        <v/>
      </c>
      <c r="E600" s="56">
        <f>IFERROR(_xlfn.XLOOKUP(PRODUCTOS[[#This Row],[CODIGO]],LISTADO[CODIGOS],LISTADO[UBICACIÓN]),"NO EXISTE")</f>
        <v/>
      </c>
      <c r="F600" s="56">
        <f>SUMIFS(ENTRADAS[CANTIDAD],ENTRADAS[CODIGO],PRODUCTOS[[#This Row],[CODIGO]])</f>
        <v/>
      </c>
      <c r="G600" s="56">
        <f>SUMIFS(SALIDAS[CANTIDAD],SALIDAS[CODIGO],PRODUCTOS[[#This Row],[CODIGO]])</f>
        <v/>
      </c>
      <c r="H600" s="56">
        <f>PRODUCTOS[[#This Row],[ENTRADAS]]-PRODUCTOS[[#This Row],[SALIDAS ]]</f>
        <v/>
      </c>
      <c r="I600" s="76" t="n">
        <v>0</v>
      </c>
      <c r="J600">
        <f>IF(PRODUCTOS[[#This Row],[STOCK]]&lt;0,"NEGATIVO",IF(PRODUCTOS[[#This Row],[STOCK]]=0,"SIN STOCK",IF(PRODUCTOS[[#This Row],[STOCK]]&lt;=PRODUCTOS[[#This Row],[STOCK MÍN.]],"BAJO","OK")))</f>
        <v/>
      </c>
      <c r="K6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01" hidden="1" s="11">
      <c r="A601" s="18" t="n">
        <v>586</v>
      </c>
      <c r="B601" s="56" t="inlineStr">
        <is>
          <t>00031-ELC</t>
        </is>
      </c>
      <c r="C601" s="56">
        <f>IFERROR(_xlfn.XLOOKUP(PRODUCTOS[[#This Row],[CODIGO]],LISTADO[CODIGOS],LISTADO[CATEGORIA]),"NO EXISTE")</f>
        <v/>
      </c>
      <c r="D601" s="56">
        <f>IFERROR(_xlfn.XLOOKUP(PRODUCTOS[[#This Row],[CODIGO]],LISTADO[CODIGOS],LISTADO[PRODUCTOS]),"NO EXISTE")</f>
        <v/>
      </c>
      <c r="E601" s="56">
        <f>IFERROR(_xlfn.XLOOKUP(PRODUCTOS[[#This Row],[CODIGO]],LISTADO[CODIGOS],LISTADO[UBICACIÓN]),"NO EXISTE")</f>
        <v/>
      </c>
      <c r="F601" s="56">
        <f>SUMIFS(ENTRADAS[CANTIDAD],ENTRADAS[CODIGO],PRODUCTOS[[#This Row],[CODIGO]])</f>
        <v/>
      </c>
      <c r="G601" s="56">
        <f>SUMIFS(SALIDAS[CANTIDAD],SALIDAS[CODIGO],PRODUCTOS[[#This Row],[CODIGO]])</f>
        <v/>
      </c>
      <c r="H601" s="56">
        <f>PRODUCTOS[[#This Row],[ENTRADAS]]-PRODUCTOS[[#This Row],[SALIDAS ]]</f>
        <v/>
      </c>
      <c r="I601" s="76" t="n">
        <v>0</v>
      </c>
      <c r="J601">
        <f>IF(PRODUCTOS[[#This Row],[STOCK]]&lt;0,"NEGATIVO",IF(PRODUCTOS[[#This Row],[STOCK]]=0,"SIN STOCK",IF(PRODUCTOS[[#This Row],[STOCK]]&lt;=PRODUCTOS[[#This Row],[STOCK MÍN.]],"BAJO","OK")))</f>
        <v/>
      </c>
      <c r="K6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02" hidden="1" s="11">
      <c r="A602" s="18" t="n">
        <v>587</v>
      </c>
      <c r="B602" s="56" t="inlineStr">
        <is>
          <t>00032-ELC</t>
        </is>
      </c>
      <c r="C602" s="56">
        <f>IFERROR(_xlfn.XLOOKUP(PRODUCTOS[[#This Row],[CODIGO]],LISTADO[CODIGOS],LISTADO[CATEGORIA]),"NO EXISTE")</f>
        <v/>
      </c>
      <c r="D602" s="56">
        <f>IFERROR(_xlfn.XLOOKUP(PRODUCTOS[[#This Row],[CODIGO]],LISTADO[CODIGOS],LISTADO[PRODUCTOS]),"NO EXISTE")</f>
        <v/>
      </c>
      <c r="E602" s="56">
        <f>IFERROR(_xlfn.XLOOKUP(PRODUCTOS[[#This Row],[CODIGO]],LISTADO[CODIGOS],LISTADO[UBICACIÓN]),"NO EXISTE")</f>
        <v/>
      </c>
      <c r="F602" s="56">
        <f>SUMIFS(ENTRADAS[CANTIDAD],ENTRADAS[CODIGO],PRODUCTOS[[#This Row],[CODIGO]])</f>
        <v/>
      </c>
      <c r="G602" s="56">
        <f>SUMIFS(SALIDAS[CANTIDAD],SALIDAS[CODIGO],PRODUCTOS[[#This Row],[CODIGO]])</f>
        <v/>
      </c>
      <c r="H602" s="56">
        <f>PRODUCTOS[[#This Row],[ENTRADAS]]-PRODUCTOS[[#This Row],[SALIDAS ]]</f>
        <v/>
      </c>
      <c r="I602" s="76" t="n">
        <v>0</v>
      </c>
      <c r="J602">
        <f>IF(PRODUCTOS[[#This Row],[STOCK]]&lt;0,"NEGATIVO",IF(PRODUCTOS[[#This Row],[STOCK]]=0,"SIN STOCK",IF(PRODUCTOS[[#This Row],[STOCK]]&lt;=PRODUCTOS[[#This Row],[STOCK MÍN.]],"BAJO","OK")))</f>
        <v/>
      </c>
      <c r="K6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03" hidden="1" s="11">
      <c r="A603" s="18" t="n">
        <v>588</v>
      </c>
      <c r="B603" s="56" t="inlineStr">
        <is>
          <t>00033-ELC</t>
        </is>
      </c>
      <c r="C603" s="56">
        <f>IFERROR(_xlfn.XLOOKUP(PRODUCTOS[[#This Row],[CODIGO]],LISTADO[CODIGOS],LISTADO[CATEGORIA]),"NO EXISTE")</f>
        <v/>
      </c>
      <c r="D603" s="56">
        <f>IFERROR(_xlfn.XLOOKUP(PRODUCTOS[[#This Row],[CODIGO]],LISTADO[CODIGOS],LISTADO[PRODUCTOS]),"NO EXISTE")</f>
        <v/>
      </c>
      <c r="E603" s="56">
        <f>IFERROR(_xlfn.XLOOKUP(PRODUCTOS[[#This Row],[CODIGO]],LISTADO[CODIGOS],LISTADO[UBICACIÓN]),"NO EXISTE")</f>
        <v/>
      </c>
      <c r="F603" s="56">
        <f>SUMIFS(ENTRADAS[CANTIDAD],ENTRADAS[CODIGO],PRODUCTOS[[#This Row],[CODIGO]])</f>
        <v/>
      </c>
      <c r="G603" s="56">
        <f>SUMIFS(SALIDAS[CANTIDAD],SALIDAS[CODIGO],PRODUCTOS[[#This Row],[CODIGO]])</f>
        <v/>
      </c>
      <c r="H603" s="56">
        <f>PRODUCTOS[[#This Row],[ENTRADAS]]-PRODUCTOS[[#This Row],[SALIDAS ]]</f>
        <v/>
      </c>
      <c r="I603" s="76" t="n">
        <v>0</v>
      </c>
      <c r="J603">
        <f>IF(PRODUCTOS[[#This Row],[STOCK]]&lt;0,"NEGATIVO",IF(PRODUCTOS[[#This Row],[STOCK]]=0,"SIN STOCK",IF(PRODUCTOS[[#This Row],[STOCK]]&lt;=PRODUCTOS[[#This Row],[STOCK MÍN.]],"BAJO","OK")))</f>
        <v/>
      </c>
      <c r="K6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04" hidden="1" s="11">
      <c r="A604" s="18" t="n">
        <v>589</v>
      </c>
      <c r="B604" s="56" t="inlineStr">
        <is>
          <t>00034-ELC</t>
        </is>
      </c>
      <c r="C604" s="56">
        <f>IFERROR(_xlfn.XLOOKUP(PRODUCTOS[[#This Row],[CODIGO]],LISTADO[CODIGOS],LISTADO[CATEGORIA]),"NO EXISTE")</f>
        <v/>
      </c>
      <c r="D604" s="56">
        <f>IFERROR(_xlfn.XLOOKUP(PRODUCTOS[[#This Row],[CODIGO]],LISTADO[CODIGOS],LISTADO[PRODUCTOS]),"NO EXISTE")</f>
        <v/>
      </c>
      <c r="E604" s="56">
        <f>IFERROR(_xlfn.XLOOKUP(PRODUCTOS[[#This Row],[CODIGO]],LISTADO[CODIGOS],LISTADO[UBICACIÓN]),"NO EXISTE")</f>
        <v/>
      </c>
      <c r="F604" s="56">
        <f>SUMIFS(ENTRADAS[CANTIDAD],ENTRADAS[CODIGO],PRODUCTOS[[#This Row],[CODIGO]])</f>
        <v/>
      </c>
      <c r="G604" s="56">
        <f>SUMIFS(SALIDAS[CANTIDAD],SALIDAS[CODIGO],PRODUCTOS[[#This Row],[CODIGO]])</f>
        <v/>
      </c>
      <c r="H604" s="56">
        <f>PRODUCTOS[[#This Row],[ENTRADAS]]-PRODUCTOS[[#This Row],[SALIDAS ]]</f>
        <v/>
      </c>
      <c r="I604" s="76" t="n">
        <v>0</v>
      </c>
      <c r="J604">
        <f>IF(PRODUCTOS[[#This Row],[STOCK]]&lt;0,"NEGATIVO",IF(PRODUCTOS[[#This Row],[STOCK]]=0,"SIN STOCK",IF(PRODUCTOS[[#This Row],[STOCK]]&lt;=PRODUCTOS[[#This Row],[STOCK MÍN.]],"BAJO","OK")))</f>
        <v/>
      </c>
      <c r="K6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05" hidden="1" s="11">
      <c r="A605" s="18" t="n">
        <v>590</v>
      </c>
      <c r="B605" s="56" t="inlineStr">
        <is>
          <t>00035-ELC</t>
        </is>
      </c>
      <c r="C605" s="56">
        <f>IFERROR(_xlfn.XLOOKUP(PRODUCTOS[[#This Row],[CODIGO]],LISTADO[CODIGOS],LISTADO[CATEGORIA]),"NO EXISTE")</f>
        <v/>
      </c>
      <c r="D605" s="56">
        <f>IFERROR(_xlfn.XLOOKUP(PRODUCTOS[[#This Row],[CODIGO]],LISTADO[CODIGOS],LISTADO[PRODUCTOS]),"NO EXISTE")</f>
        <v/>
      </c>
      <c r="E605" s="56">
        <f>IFERROR(_xlfn.XLOOKUP(PRODUCTOS[[#This Row],[CODIGO]],LISTADO[CODIGOS],LISTADO[UBICACIÓN]),"NO EXISTE")</f>
        <v/>
      </c>
      <c r="F605" s="56">
        <f>SUMIFS(ENTRADAS[CANTIDAD],ENTRADAS[CODIGO],PRODUCTOS[[#This Row],[CODIGO]])</f>
        <v/>
      </c>
      <c r="G605" s="56">
        <f>SUMIFS(SALIDAS[CANTIDAD],SALIDAS[CODIGO],PRODUCTOS[[#This Row],[CODIGO]])</f>
        <v/>
      </c>
      <c r="H605" s="56">
        <f>PRODUCTOS[[#This Row],[ENTRADAS]]-PRODUCTOS[[#This Row],[SALIDAS ]]</f>
        <v/>
      </c>
      <c r="I605" s="76" t="n">
        <v>0</v>
      </c>
      <c r="J605">
        <f>IF(PRODUCTOS[[#This Row],[STOCK]]&lt;0,"NEGATIVO",IF(PRODUCTOS[[#This Row],[STOCK]]=0,"SIN STOCK",IF(PRODUCTOS[[#This Row],[STOCK]]&lt;=PRODUCTOS[[#This Row],[STOCK MÍN.]],"BAJO","OK")))</f>
        <v/>
      </c>
      <c r="K6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06" hidden="1" s="11">
      <c r="A606" s="18" t="n">
        <v>591</v>
      </c>
      <c r="B606" s="56" t="inlineStr">
        <is>
          <t>00036-ELC</t>
        </is>
      </c>
      <c r="C606" s="56">
        <f>IFERROR(_xlfn.XLOOKUP(PRODUCTOS[[#This Row],[CODIGO]],LISTADO[CODIGOS],LISTADO[CATEGORIA]),"NO EXISTE")</f>
        <v/>
      </c>
      <c r="D606" s="56">
        <f>IFERROR(_xlfn.XLOOKUP(PRODUCTOS[[#This Row],[CODIGO]],LISTADO[CODIGOS],LISTADO[PRODUCTOS]),"NO EXISTE")</f>
        <v/>
      </c>
      <c r="E606" s="56">
        <f>IFERROR(_xlfn.XLOOKUP(PRODUCTOS[[#This Row],[CODIGO]],LISTADO[CODIGOS],LISTADO[UBICACIÓN]),"NO EXISTE")</f>
        <v/>
      </c>
      <c r="F606" s="56">
        <f>SUMIFS(ENTRADAS[CANTIDAD],ENTRADAS[CODIGO],PRODUCTOS[[#This Row],[CODIGO]])</f>
        <v/>
      </c>
      <c r="G606" s="56">
        <f>SUMIFS(SALIDAS[CANTIDAD],SALIDAS[CODIGO],PRODUCTOS[[#This Row],[CODIGO]])</f>
        <v/>
      </c>
      <c r="H606" s="56">
        <f>PRODUCTOS[[#This Row],[ENTRADAS]]-PRODUCTOS[[#This Row],[SALIDAS ]]</f>
        <v/>
      </c>
      <c r="I606" s="76" t="n">
        <v>0</v>
      </c>
      <c r="J606">
        <f>IF(PRODUCTOS[[#This Row],[STOCK]]&lt;0,"NEGATIVO",IF(PRODUCTOS[[#This Row],[STOCK]]=0,"SIN STOCK",IF(PRODUCTOS[[#This Row],[STOCK]]&lt;=PRODUCTOS[[#This Row],[STOCK MÍN.]],"BAJO","OK")))</f>
        <v/>
      </c>
      <c r="K6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07" hidden="1" s="11">
      <c r="A607" s="18" t="n">
        <v>592</v>
      </c>
      <c r="B607" s="56" t="inlineStr">
        <is>
          <t>00037-ELC</t>
        </is>
      </c>
      <c r="C607" s="56">
        <f>IFERROR(_xlfn.XLOOKUP(PRODUCTOS[[#This Row],[CODIGO]],LISTADO[CODIGOS],LISTADO[CATEGORIA]),"NO EXISTE")</f>
        <v/>
      </c>
      <c r="D607" s="56">
        <f>IFERROR(_xlfn.XLOOKUP(PRODUCTOS[[#This Row],[CODIGO]],LISTADO[CODIGOS],LISTADO[PRODUCTOS]),"NO EXISTE")</f>
        <v/>
      </c>
      <c r="E607" s="56">
        <f>IFERROR(_xlfn.XLOOKUP(PRODUCTOS[[#This Row],[CODIGO]],LISTADO[CODIGOS],LISTADO[UBICACIÓN]),"NO EXISTE")</f>
        <v/>
      </c>
      <c r="F607" s="56">
        <f>SUMIFS(ENTRADAS[CANTIDAD],ENTRADAS[CODIGO],PRODUCTOS[[#This Row],[CODIGO]])</f>
        <v/>
      </c>
      <c r="G607" s="56">
        <f>SUMIFS(SALIDAS[CANTIDAD],SALIDAS[CODIGO],PRODUCTOS[[#This Row],[CODIGO]])</f>
        <v/>
      </c>
      <c r="H607" s="56">
        <f>PRODUCTOS[[#This Row],[ENTRADAS]]-PRODUCTOS[[#This Row],[SALIDAS ]]</f>
        <v/>
      </c>
      <c r="I607" s="76" t="n">
        <v>0</v>
      </c>
      <c r="J607">
        <f>IF(PRODUCTOS[[#This Row],[STOCK]]&lt;0,"NEGATIVO",IF(PRODUCTOS[[#This Row],[STOCK]]=0,"SIN STOCK",IF(PRODUCTOS[[#This Row],[STOCK]]&lt;=PRODUCTOS[[#This Row],[STOCK MÍN.]],"BAJO","OK")))</f>
        <v/>
      </c>
      <c r="K6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08" hidden="1" s="11">
      <c r="A608" s="18" t="n">
        <v>593</v>
      </c>
      <c r="B608" s="56" t="inlineStr">
        <is>
          <t>00038-ELC</t>
        </is>
      </c>
      <c r="C608" s="56">
        <f>IFERROR(_xlfn.XLOOKUP(PRODUCTOS[[#This Row],[CODIGO]],LISTADO[CODIGOS],LISTADO[CATEGORIA]),"NO EXISTE")</f>
        <v/>
      </c>
      <c r="D608" s="56">
        <f>IFERROR(_xlfn.XLOOKUP(PRODUCTOS[[#This Row],[CODIGO]],LISTADO[CODIGOS],LISTADO[PRODUCTOS]),"NO EXISTE")</f>
        <v/>
      </c>
      <c r="E608" s="56">
        <f>IFERROR(_xlfn.XLOOKUP(PRODUCTOS[[#This Row],[CODIGO]],LISTADO[CODIGOS],LISTADO[UBICACIÓN]),"NO EXISTE")</f>
        <v/>
      </c>
      <c r="F608" s="56">
        <f>SUMIFS(ENTRADAS[CANTIDAD],ENTRADAS[CODIGO],PRODUCTOS[[#This Row],[CODIGO]])</f>
        <v/>
      </c>
      <c r="G608" s="56">
        <f>SUMIFS(SALIDAS[CANTIDAD],SALIDAS[CODIGO],PRODUCTOS[[#This Row],[CODIGO]])</f>
        <v/>
      </c>
      <c r="H608" s="56">
        <f>PRODUCTOS[[#This Row],[ENTRADAS]]-PRODUCTOS[[#This Row],[SALIDAS ]]</f>
        <v/>
      </c>
      <c r="I608" s="76" t="n">
        <v>0</v>
      </c>
      <c r="J608">
        <f>IF(PRODUCTOS[[#This Row],[STOCK]]&lt;0,"NEGATIVO",IF(PRODUCTOS[[#This Row],[STOCK]]=0,"SIN STOCK",IF(PRODUCTOS[[#This Row],[STOCK]]&lt;=PRODUCTOS[[#This Row],[STOCK MÍN.]],"BAJO","OK")))</f>
        <v/>
      </c>
      <c r="K6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09" hidden="1" s="11">
      <c r="A609" s="18" t="n">
        <v>594</v>
      </c>
      <c r="B609" s="56" t="inlineStr">
        <is>
          <t>00039-ELC</t>
        </is>
      </c>
      <c r="C609" s="56">
        <f>IFERROR(_xlfn.XLOOKUP(PRODUCTOS[[#This Row],[CODIGO]],LISTADO[CODIGOS],LISTADO[CATEGORIA]),"NO EXISTE")</f>
        <v/>
      </c>
      <c r="D609" s="56">
        <f>IFERROR(_xlfn.XLOOKUP(PRODUCTOS[[#This Row],[CODIGO]],LISTADO[CODIGOS],LISTADO[PRODUCTOS]),"NO EXISTE")</f>
        <v/>
      </c>
      <c r="E609" s="56">
        <f>IFERROR(_xlfn.XLOOKUP(PRODUCTOS[[#This Row],[CODIGO]],LISTADO[CODIGOS],LISTADO[UBICACIÓN]),"NO EXISTE")</f>
        <v/>
      </c>
      <c r="F609" s="56">
        <f>SUMIFS(ENTRADAS[CANTIDAD],ENTRADAS[CODIGO],PRODUCTOS[[#This Row],[CODIGO]])</f>
        <v/>
      </c>
      <c r="G609" s="56">
        <f>SUMIFS(SALIDAS[CANTIDAD],SALIDAS[CODIGO],PRODUCTOS[[#This Row],[CODIGO]])</f>
        <v/>
      </c>
      <c r="H609" s="56">
        <f>PRODUCTOS[[#This Row],[ENTRADAS]]-PRODUCTOS[[#This Row],[SALIDAS ]]</f>
        <v/>
      </c>
      <c r="I609" s="76" t="n">
        <v>0</v>
      </c>
      <c r="J609">
        <f>IF(PRODUCTOS[[#This Row],[STOCK]]&lt;0,"NEGATIVO",IF(PRODUCTOS[[#This Row],[STOCK]]=0,"SIN STOCK",IF(PRODUCTOS[[#This Row],[STOCK]]&lt;=PRODUCTOS[[#This Row],[STOCK MÍN.]],"BAJO","OK")))</f>
        <v/>
      </c>
      <c r="K6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10" hidden="1" s="11">
      <c r="A610" s="18" t="n">
        <v>595</v>
      </c>
      <c r="B610" s="56" t="inlineStr">
        <is>
          <t>00040-ELC</t>
        </is>
      </c>
      <c r="C610" s="56">
        <f>IFERROR(_xlfn.XLOOKUP(PRODUCTOS[[#This Row],[CODIGO]],LISTADO[CODIGOS],LISTADO[CATEGORIA]),"NO EXISTE")</f>
        <v/>
      </c>
      <c r="D610" s="56">
        <f>IFERROR(_xlfn.XLOOKUP(PRODUCTOS[[#This Row],[CODIGO]],LISTADO[CODIGOS],LISTADO[PRODUCTOS]),"NO EXISTE")</f>
        <v/>
      </c>
      <c r="E610" s="56">
        <f>IFERROR(_xlfn.XLOOKUP(PRODUCTOS[[#This Row],[CODIGO]],LISTADO[CODIGOS],LISTADO[UBICACIÓN]),"NO EXISTE")</f>
        <v/>
      </c>
      <c r="F610" s="56">
        <f>SUMIFS(ENTRADAS[CANTIDAD],ENTRADAS[CODIGO],PRODUCTOS[[#This Row],[CODIGO]])</f>
        <v/>
      </c>
      <c r="G610" s="56">
        <f>SUMIFS(SALIDAS[CANTIDAD],SALIDAS[CODIGO],PRODUCTOS[[#This Row],[CODIGO]])</f>
        <v/>
      </c>
      <c r="H610" s="56">
        <f>PRODUCTOS[[#This Row],[ENTRADAS]]-PRODUCTOS[[#This Row],[SALIDAS ]]</f>
        <v/>
      </c>
      <c r="I610" s="76" t="n">
        <v>0</v>
      </c>
      <c r="J610">
        <f>IF(PRODUCTOS[[#This Row],[STOCK]]&lt;0,"NEGATIVO",IF(PRODUCTOS[[#This Row],[STOCK]]=0,"SIN STOCK",IF(PRODUCTOS[[#This Row],[STOCK]]&lt;=PRODUCTOS[[#This Row],[STOCK MÍN.]],"BAJO","OK")))</f>
        <v/>
      </c>
      <c r="K6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11" hidden="1" s="11">
      <c r="A611" s="18" t="n">
        <v>596</v>
      </c>
      <c r="B611" s="56" t="inlineStr">
        <is>
          <t>00041-ELC</t>
        </is>
      </c>
      <c r="C611" s="56">
        <f>IFERROR(_xlfn.XLOOKUP(PRODUCTOS[[#This Row],[CODIGO]],LISTADO[CODIGOS],LISTADO[CATEGORIA]),"NO EXISTE")</f>
        <v/>
      </c>
      <c r="D611" s="56">
        <f>IFERROR(_xlfn.XLOOKUP(PRODUCTOS[[#This Row],[CODIGO]],LISTADO[CODIGOS],LISTADO[PRODUCTOS]),"NO EXISTE")</f>
        <v/>
      </c>
      <c r="E611" s="56">
        <f>IFERROR(_xlfn.XLOOKUP(PRODUCTOS[[#This Row],[CODIGO]],LISTADO[CODIGOS],LISTADO[UBICACIÓN]),"NO EXISTE")</f>
        <v/>
      </c>
      <c r="F611" s="56">
        <f>SUMIFS(ENTRADAS[CANTIDAD],ENTRADAS[CODIGO],PRODUCTOS[[#This Row],[CODIGO]])</f>
        <v/>
      </c>
      <c r="G611" s="56">
        <f>SUMIFS(SALIDAS[CANTIDAD],SALIDAS[CODIGO],PRODUCTOS[[#This Row],[CODIGO]])</f>
        <v/>
      </c>
      <c r="H611" s="56">
        <f>PRODUCTOS[[#This Row],[ENTRADAS]]-PRODUCTOS[[#This Row],[SALIDAS ]]</f>
        <v/>
      </c>
      <c r="I611" s="76" t="n">
        <v>0</v>
      </c>
      <c r="J611">
        <f>IF(PRODUCTOS[[#This Row],[STOCK]]&lt;0,"NEGATIVO",IF(PRODUCTOS[[#This Row],[STOCK]]=0,"SIN STOCK",IF(PRODUCTOS[[#This Row],[STOCK]]&lt;=PRODUCTOS[[#This Row],[STOCK MÍN.]],"BAJO","OK")))</f>
        <v/>
      </c>
      <c r="K6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12" hidden="1" s="11">
      <c r="A612" s="18" t="n">
        <v>597</v>
      </c>
      <c r="B612" s="56" t="inlineStr">
        <is>
          <t>00076-REF</t>
        </is>
      </c>
      <c r="C612" s="56">
        <f>IFERROR(_xlfn.XLOOKUP(PRODUCTOS[[#This Row],[CODIGO]],LISTADO[CODIGOS],LISTADO[CATEGORIA]),"NO EXISTE")</f>
        <v/>
      </c>
      <c r="D612" s="56">
        <f>IFERROR(_xlfn.XLOOKUP(PRODUCTOS[[#This Row],[CODIGO]],LISTADO[CODIGOS],LISTADO[PRODUCTOS]),"NO EXISTE")</f>
        <v/>
      </c>
      <c r="E612" s="56">
        <f>IFERROR(_xlfn.XLOOKUP(PRODUCTOS[[#This Row],[CODIGO]],LISTADO[CODIGOS],LISTADO[UBICACIÓN]),"NO EXISTE")</f>
        <v/>
      </c>
      <c r="F612" s="56">
        <f>SUMIFS(ENTRADAS[CANTIDAD],ENTRADAS[CODIGO],PRODUCTOS[[#This Row],[CODIGO]])</f>
        <v/>
      </c>
      <c r="G612" s="56">
        <f>SUMIFS(SALIDAS[CANTIDAD],SALIDAS[CODIGO],PRODUCTOS[[#This Row],[CODIGO]])</f>
        <v/>
      </c>
      <c r="H612" s="56">
        <f>PRODUCTOS[[#This Row],[ENTRADAS]]-PRODUCTOS[[#This Row],[SALIDAS ]]</f>
        <v/>
      </c>
      <c r="I612" s="76" t="n">
        <v>0</v>
      </c>
      <c r="J612">
        <f>IF(PRODUCTOS[[#This Row],[STOCK]]&lt;0,"NEGATIVO",IF(PRODUCTOS[[#This Row],[STOCK]]=0,"SIN STOCK",IF(PRODUCTOS[[#This Row],[STOCK]]&lt;=PRODUCTOS[[#This Row],[STOCK MÍN.]],"BAJO","OK")))</f>
        <v/>
      </c>
      <c r="K6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13" hidden="1" s="11">
      <c r="A613" s="18" t="n">
        <v>598</v>
      </c>
      <c r="B613" s="56" t="inlineStr">
        <is>
          <t>00108-FER</t>
        </is>
      </c>
      <c r="C613" s="56">
        <f>IFERROR(_xlfn.XLOOKUP(PRODUCTOS[[#This Row],[CODIGO]],LISTADO[CODIGOS],LISTADO[CATEGORIA]),"NO EXISTE")</f>
        <v/>
      </c>
      <c r="D613" s="56">
        <f>IFERROR(_xlfn.XLOOKUP(PRODUCTOS[[#This Row],[CODIGO]],LISTADO[CODIGOS],LISTADO[PRODUCTOS]),"NO EXISTE")</f>
        <v/>
      </c>
      <c r="E613" s="56">
        <f>IFERROR(_xlfn.XLOOKUP(PRODUCTOS[[#This Row],[CODIGO]],LISTADO[CODIGOS],LISTADO[UBICACIÓN]),"NO EXISTE")</f>
        <v/>
      </c>
      <c r="F613" s="56">
        <f>SUMIFS(ENTRADAS[CANTIDAD],ENTRADAS[CODIGO],PRODUCTOS[[#This Row],[CODIGO]])</f>
        <v/>
      </c>
      <c r="G613" s="56">
        <f>SUMIFS(SALIDAS[CANTIDAD],SALIDAS[CODIGO],PRODUCTOS[[#This Row],[CODIGO]])</f>
        <v/>
      </c>
      <c r="H613" s="56">
        <f>PRODUCTOS[[#This Row],[ENTRADAS]]-PRODUCTOS[[#This Row],[SALIDAS ]]</f>
        <v/>
      </c>
      <c r="I613" s="76" t="n">
        <v>0</v>
      </c>
      <c r="J613">
        <f>IF(PRODUCTOS[[#This Row],[STOCK]]&lt;0,"NEGATIVO",IF(PRODUCTOS[[#This Row],[STOCK]]=0,"SIN STOCK",IF(PRODUCTOS[[#This Row],[STOCK]]&lt;=PRODUCTOS[[#This Row],[STOCK MÍN.]],"BAJO","OK")))</f>
        <v/>
      </c>
      <c r="K6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14" hidden="1" s="11">
      <c r="A614" s="18" t="n">
        <v>599</v>
      </c>
      <c r="B614" s="56" t="inlineStr">
        <is>
          <t>00109-FER</t>
        </is>
      </c>
      <c r="C614" s="56">
        <f>IFERROR(_xlfn.XLOOKUP(PRODUCTOS[[#This Row],[CODIGO]],LISTADO[CODIGOS],LISTADO[CATEGORIA]),"NO EXISTE")</f>
        <v/>
      </c>
      <c r="D614" s="56">
        <f>IFERROR(_xlfn.XLOOKUP(PRODUCTOS[[#This Row],[CODIGO]],LISTADO[CODIGOS],LISTADO[PRODUCTOS]),"NO EXISTE")</f>
        <v/>
      </c>
      <c r="E614" s="56">
        <f>IFERROR(_xlfn.XLOOKUP(PRODUCTOS[[#This Row],[CODIGO]],LISTADO[CODIGOS],LISTADO[UBICACIÓN]),"NO EXISTE")</f>
        <v/>
      </c>
      <c r="F614" s="56">
        <f>SUMIFS(ENTRADAS[CANTIDAD],ENTRADAS[CODIGO],PRODUCTOS[[#This Row],[CODIGO]])</f>
        <v/>
      </c>
      <c r="G614" s="56">
        <f>SUMIFS(SALIDAS[CANTIDAD],SALIDAS[CODIGO],PRODUCTOS[[#This Row],[CODIGO]])</f>
        <v/>
      </c>
      <c r="H614" s="56">
        <f>PRODUCTOS[[#This Row],[ENTRADAS]]-PRODUCTOS[[#This Row],[SALIDAS ]]</f>
        <v/>
      </c>
      <c r="I614" s="76" t="n">
        <v>0</v>
      </c>
      <c r="J614">
        <f>IF(PRODUCTOS[[#This Row],[STOCK]]&lt;0,"NEGATIVO",IF(PRODUCTOS[[#This Row],[STOCK]]=0,"SIN STOCK",IF(PRODUCTOS[[#This Row],[STOCK]]&lt;=PRODUCTOS[[#This Row],[STOCK MÍN.]],"BAJO","OK")))</f>
        <v/>
      </c>
      <c r="K6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15" hidden="1" s="11">
      <c r="A615" s="18" t="n">
        <v>600</v>
      </c>
      <c r="B615" s="56" t="inlineStr">
        <is>
          <t>00110-FER</t>
        </is>
      </c>
      <c r="C615" s="56">
        <f>IFERROR(_xlfn.XLOOKUP(PRODUCTOS[[#This Row],[CODIGO]],LISTADO[CODIGOS],LISTADO[CATEGORIA]),"NO EXISTE")</f>
        <v/>
      </c>
      <c r="D615" s="56">
        <f>IFERROR(_xlfn.XLOOKUP(PRODUCTOS[[#This Row],[CODIGO]],LISTADO[CODIGOS],LISTADO[PRODUCTOS]),"NO EXISTE")</f>
        <v/>
      </c>
      <c r="E615" s="56">
        <f>IFERROR(_xlfn.XLOOKUP(PRODUCTOS[[#This Row],[CODIGO]],LISTADO[CODIGOS],LISTADO[UBICACIÓN]),"NO EXISTE")</f>
        <v/>
      </c>
      <c r="F615" s="56">
        <f>SUMIFS(ENTRADAS[CANTIDAD],ENTRADAS[CODIGO],PRODUCTOS[[#This Row],[CODIGO]])</f>
        <v/>
      </c>
      <c r="G615" s="56">
        <f>SUMIFS(SALIDAS[CANTIDAD],SALIDAS[CODIGO],PRODUCTOS[[#This Row],[CODIGO]])</f>
        <v/>
      </c>
      <c r="H615" s="56">
        <f>PRODUCTOS[[#This Row],[ENTRADAS]]-PRODUCTOS[[#This Row],[SALIDAS ]]</f>
        <v/>
      </c>
      <c r="I615" s="76" t="n">
        <v>0</v>
      </c>
      <c r="J615">
        <f>IF(PRODUCTOS[[#This Row],[STOCK]]&lt;0,"NEGATIVO",IF(PRODUCTOS[[#This Row],[STOCK]]=0,"SIN STOCK",IF(PRODUCTOS[[#This Row],[STOCK]]&lt;=PRODUCTOS[[#This Row],[STOCK MÍN.]],"BAJO","OK")))</f>
        <v/>
      </c>
      <c r="K6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16" hidden="1" s="11">
      <c r="A616" s="18" t="n">
        <v>601</v>
      </c>
      <c r="B616" s="56" t="inlineStr">
        <is>
          <t>00040-PLM</t>
        </is>
      </c>
      <c r="C616" s="56">
        <f>IFERROR(_xlfn.XLOOKUP(PRODUCTOS[[#This Row],[CODIGO]],LISTADO[CODIGOS],LISTADO[CATEGORIA]),"NO EXISTE")</f>
        <v/>
      </c>
      <c r="D616" s="56">
        <f>IFERROR(_xlfn.XLOOKUP(PRODUCTOS[[#This Row],[CODIGO]],LISTADO[CODIGOS],LISTADO[PRODUCTOS]),"NO EXISTE")</f>
        <v/>
      </c>
      <c r="E616" s="56">
        <f>IFERROR(_xlfn.XLOOKUP(PRODUCTOS[[#This Row],[CODIGO]],LISTADO[CODIGOS],LISTADO[UBICACIÓN]),"NO EXISTE")</f>
        <v/>
      </c>
      <c r="F616" s="56">
        <f>SUMIFS(ENTRADAS[CANTIDAD],ENTRADAS[CODIGO],PRODUCTOS[[#This Row],[CODIGO]])</f>
        <v/>
      </c>
      <c r="G616" s="56">
        <f>SUMIFS(SALIDAS[CANTIDAD],SALIDAS[CODIGO],PRODUCTOS[[#This Row],[CODIGO]])</f>
        <v/>
      </c>
      <c r="H616" s="56">
        <f>PRODUCTOS[[#This Row],[ENTRADAS]]-PRODUCTOS[[#This Row],[SALIDAS ]]</f>
        <v/>
      </c>
      <c r="I616" s="76" t="n">
        <v>0</v>
      </c>
      <c r="J616">
        <f>IF(PRODUCTOS[[#This Row],[STOCK]]&lt;0,"NEGATIVO",IF(PRODUCTOS[[#This Row],[STOCK]]=0,"SIN STOCK",IF(PRODUCTOS[[#This Row],[STOCK]]&lt;=PRODUCTOS[[#This Row],[STOCK MÍN.]],"BAJO","OK")))</f>
        <v/>
      </c>
      <c r="K6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17" hidden="1" s="11">
      <c r="A617" s="18" t="n">
        <v>602</v>
      </c>
      <c r="B617" s="56" t="inlineStr">
        <is>
          <t>00111-FER</t>
        </is>
      </c>
      <c r="C617" s="56">
        <f>IFERROR(_xlfn.XLOOKUP(PRODUCTOS[[#This Row],[CODIGO]],LISTADO[CODIGOS],LISTADO[CATEGORIA]),"NO EXISTE")</f>
        <v/>
      </c>
      <c r="D617" s="56">
        <f>IFERROR(_xlfn.XLOOKUP(PRODUCTOS[[#This Row],[CODIGO]],LISTADO[CODIGOS],LISTADO[PRODUCTOS]),"NO EXISTE")</f>
        <v/>
      </c>
      <c r="E617" s="56">
        <f>IFERROR(_xlfn.XLOOKUP(PRODUCTOS[[#This Row],[CODIGO]],LISTADO[CODIGOS],LISTADO[UBICACIÓN]),"NO EXISTE")</f>
        <v/>
      </c>
      <c r="F617" s="56">
        <f>SUMIFS(ENTRADAS[CANTIDAD],ENTRADAS[CODIGO],PRODUCTOS[[#This Row],[CODIGO]])</f>
        <v/>
      </c>
      <c r="G617" s="56">
        <f>SUMIFS(SALIDAS[CANTIDAD],SALIDAS[CODIGO],PRODUCTOS[[#This Row],[CODIGO]])</f>
        <v/>
      </c>
      <c r="H617" s="56">
        <f>PRODUCTOS[[#This Row],[ENTRADAS]]-PRODUCTOS[[#This Row],[SALIDAS ]]</f>
        <v/>
      </c>
      <c r="I617" s="76" t="n">
        <v>0</v>
      </c>
      <c r="J617">
        <f>IF(PRODUCTOS[[#This Row],[STOCK]]&lt;0,"NEGATIVO",IF(PRODUCTOS[[#This Row],[STOCK]]=0,"SIN STOCK",IF(PRODUCTOS[[#This Row],[STOCK]]&lt;=PRODUCTOS[[#This Row],[STOCK MÍN.]],"BAJO","OK")))</f>
        <v/>
      </c>
      <c r="K6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18" hidden="1" s="11">
      <c r="A618" s="18" t="n">
        <v>603</v>
      </c>
      <c r="B618" s="56" t="inlineStr">
        <is>
          <t>00041-PLM</t>
        </is>
      </c>
      <c r="C618" s="56">
        <f>IFERROR(_xlfn.XLOOKUP(PRODUCTOS[[#This Row],[CODIGO]],LISTADO[CODIGOS],LISTADO[CATEGORIA]),"NO EXISTE")</f>
        <v/>
      </c>
      <c r="D618" s="56">
        <f>IFERROR(_xlfn.XLOOKUP(PRODUCTOS[[#This Row],[CODIGO]],LISTADO[CODIGOS],LISTADO[PRODUCTOS]),"NO EXISTE")</f>
        <v/>
      </c>
      <c r="E618" s="56">
        <f>IFERROR(_xlfn.XLOOKUP(PRODUCTOS[[#This Row],[CODIGO]],LISTADO[CODIGOS],LISTADO[UBICACIÓN]),"NO EXISTE")</f>
        <v/>
      </c>
      <c r="F618" s="56">
        <f>SUMIFS(ENTRADAS[CANTIDAD],ENTRADAS[CODIGO],PRODUCTOS[[#This Row],[CODIGO]])</f>
        <v/>
      </c>
      <c r="G618" s="56">
        <f>SUMIFS(SALIDAS[CANTIDAD],SALIDAS[CODIGO],PRODUCTOS[[#This Row],[CODIGO]])</f>
        <v/>
      </c>
      <c r="H618" s="56">
        <f>PRODUCTOS[[#This Row],[ENTRADAS]]-PRODUCTOS[[#This Row],[SALIDAS ]]</f>
        <v/>
      </c>
      <c r="I618" s="76" t="n">
        <v>0</v>
      </c>
      <c r="J618">
        <f>IF(PRODUCTOS[[#This Row],[STOCK]]&lt;0,"NEGATIVO",IF(PRODUCTOS[[#This Row],[STOCK]]=0,"SIN STOCK",IF(PRODUCTOS[[#This Row],[STOCK]]&lt;=PRODUCTOS[[#This Row],[STOCK MÍN.]],"BAJO","OK")))</f>
        <v/>
      </c>
      <c r="K6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19" hidden="1" s="11">
      <c r="A619" s="18" t="n">
        <v>604</v>
      </c>
      <c r="B619" s="56" t="inlineStr">
        <is>
          <t>00112-FER</t>
        </is>
      </c>
      <c r="C619" s="56">
        <f>IFERROR(_xlfn.XLOOKUP(PRODUCTOS[[#This Row],[CODIGO]],LISTADO[CODIGOS],LISTADO[CATEGORIA]),"NO EXISTE")</f>
        <v/>
      </c>
      <c r="D619" s="56">
        <f>IFERROR(_xlfn.XLOOKUP(PRODUCTOS[[#This Row],[CODIGO]],LISTADO[CODIGOS],LISTADO[PRODUCTOS]),"NO EXISTE")</f>
        <v/>
      </c>
      <c r="E619" s="56">
        <f>IFERROR(_xlfn.XLOOKUP(PRODUCTOS[[#This Row],[CODIGO]],LISTADO[CODIGOS],LISTADO[UBICACIÓN]),"NO EXISTE")</f>
        <v/>
      </c>
      <c r="F619" s="56">
        <f>SUMIFS(ENTRADAS[CANTIDAD],ENTRADAS[CODIGO],PRODUCTOS[[#This Row],[CODIGO]])</f>
        <v/>
      </c>
      <c r="G619" s="56">
        <f>SUMIFS(SALIDAS[CANTIDAD],SALIDAS[CODIGO],PRODUCTOS[[#This Row],[CODIGO]])</f>
        <v/>
      </c>
      <c r="H619" s="56">
        <f>PRODUCTOS[[#This Row],[ENTRADAS]]-PRODUCTOS[[#This Row],[SALIDAS ]]</f>
        <v/>
      </c>
      <c r="I619" s="76" t="n">
        <v>0</v>
      </c>
      <c r="J619">
        <f>IF(PRODUCTOS[[#This Row],[STOCK]]&lt;0,"NEGATIVO",IF(PRODUCTOS[[#This Row],[STOCK]]=0,"SIN STOCK",IF(PRODUCTOS[[#This Row],[STOCK]]&lt;=PRODUCTOS[[#This Row],[STOCK MÍN.]],"BAJO","OK")))</f>
        <v/>
      </c>
      <c r="K6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20" hidden="1" s="11">
      <c r="A620" s="18" t="n">
        <v>605</v>
      </c>
      <c r="B620" s="56" t="inlineStr">
        <is>
          <t>00113-FER</t>
        </is>
      </c>
      <c r="C620" s="56">
        <f>IFERROR(_xlfn.XLOOKUP(PRODUCTOS[[#This Row],[CODIGO]],LISTADO[CODIGOS],LISTADO[CATEGORIA]),"NO EXISTE")</f>
        <v/>
      </c>
      <c r="D620" s="56">
        <f>IFERROR(_xlfn.XLOOKUP(PRODUCTOS[[#This Row],[CODIGO]],LISTADO[CODIGOS],LISTADO[PRODUCTOS]),"NO EXISTE")</f>
        <v/>
      </c>
      <c r="E620" s="56">
        <f>IFERROR(_xlfn.XLOOKUP(PRODUCTOS[[#This Row],[CODIGO]],LISTADO[CODIGOS],LISTADO[UBICACIÓN]),"NO EXISTE")</f>
        <v/>
      </c>
      <c r="F620" s="56">
        <f>SUMIFS(ENTRADAS[CANTIDAD],ENTRADAS[CODIGO],PRODUCTOS[[#This Row],[CODIGO]])</f>
        <v/>
      </c>
      <c r="G620" s="56">
        <f>SUMIFS(SALIDAS[CANTIDAD],SALIDAS[CODIGO],PRODUCTOS[[#This Row],[CODIGO]])</f>
        <v/>
      </c>
      <c r="H620" s="56">
        <f>PRODUCTOS[[#This Row],[ENTRADAS]]-PRODUCTOS[[#This Row],[SALIDAS ]]</f>
        <v/>
      </c>
      <c r="I620" s="76" t="n">
        <v>0</v>
      </c>
      <c r="J620">
        <f>IF(PRODUCTOS[[#This Row],[STOCK]]&lt;0,"NEGATIVO",IF(PRODUCTOS[[#This Row],[STOCK]]=0,"SIN STOCK",IF(PRODUCTOS[[#This Row],[STOCK]]&lt;=PRODUCTOS[[#This Row],[STOCK MÍN.]],"BAJO","OK")))</f>
        <v/>
      </c>
      <c r="K6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21" hidden="1" s="11">
      <c r="A621" s="18" t="n">
        <v>606</v>
      </c>
      <c r="B621" s="56" t="inlineStr">
        <is>
          <t>00114-FER</t>
        </is>
      </c>
      <c r="C621" s="56">
        <f>IFERROR(_xlfn.XLOOKUP(PRODUCTOS[[#This Row],[CODIGO]],LISTADO[CODIGOS],LISTADO[CATEGORIA]),"NO EXISTE")</f>
        <v/>
      </c>
      <c r="D621" s="56">
        <f>IFERROR(_xlfn.XLOOKUP(PRODUCTOS[[#This Row],[CODIGO]],LISTADO[CODIGOS],LISTADO[PRODUCTOS]),"NO EXISTE")</f>
        <v/>
      </c>
      <c r="E621" s="56">
        <f>IFERROR(_xlfn.XLOOKUP(PRODUCTOS[[#This Row],[CODIGO]],LISTADO[CODIGOS],LISTADO[UBICACIÓN]),"NO EXISTE")</f>
        <v/>
      </c>
      <c r="F621" s="56">
        <f>SUMIFS(ENTRADAS[CANTIDAD],ENTRADAS[CODIGO],PRODUCTOS[[#This Row],[CODIGO]])</f>
        <v/>
      </c>
      <c r="G621" s="56">
        <f>SUMIFS(SALIDAS[CANTIDAD],SALIDAS[CODIGO],PRODUCTOS[[#This Row],[CODIGO]])</f>
        <v/>
      </c>
      <c r="H621" s="56">
        <f>PRODUCTOS[[#This Row],[ENTRADAS]]-PRODUCTOS[[#This Row],[SALIDAS ]]</f>
        <v/>
      </c>
      <c r="I621" s="76" t="n">
        <v>0</v>
      </c>
      <c r="J621">
        <f>IF(PRODUCTOS[[#This Row],[STOCK]]&lt;0,"NEGATIVO",IF(PRODUCTOS[[#This Row],[STOCK]]=0,"SIN STOCK",IF(PRODUCTOS[[#This Row],[STOCK]]&lt;=PRODUCTOS[[#This Row],[STOCK MÍN.]],"BAJO","OK")))</f>
        <v/>
      </c>
      <c r="K6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22" hidden="1" s="11">
      <c r="A622" s="18" t="n">
        <v>607</v>
      </c>
      <c r="B622" s="56" t="inlineStr">
        <is>
          <t>00105-HER</t>
        </is>
      </c>
      <c r="C622" s="56">
        <f>IFERROR(_xlfn.XLOOKUP(PRODUCTOS[[#This Row],[CODIGO]],LISTADO[CODIGOS],LISTADO[CATEGORIA]),"NO EXISTE")</f>
        <v/>
      </c>
      <c r="D622" s="56">
        <f>IFERROR(_xlfn.XLOOKUP(PRODUCTOS[[#This Row],[CODIGO]],LISTADO[CODIGOS],LISTADO[PRODUCTOS]),"NO EXISTE")</f>
        <v/>
      </c>
      <c r="E622" s="56">
        <f>IFERROR(_xlfn.XLOOKUP(PRODUCTOS[[#This Row],[CODIGO]],LISTADO[CODIGOS],LISTADO[UBICACIÓN]),"NO EXISTE")</f>
        <v/>
      </c>
      <c r="F622" s="56">
        <f>SUMIFS(ENTRADAS[CANTIDAD],ENTRADAS[CODIGO],PRODUCTOS[[#This Row],[CODIGO]])</f>
        <v/>
      </c>
      <c r="G622" s="56">
        <f>SUMIFS(SALIDAS[CANTIDAD],SALIDAS[CODIGO],PRODUCTOS[[#This Row],[CODIGO]])</f>
        <v/>
      </c>
      <c r="H622" s="56">
        <f>PRODUCTOS[[#This Row],[ENTRADAS]]-PRODUCTOS[[#This Row],[SALIDAS ]]</f>
        <v/>
      </c>
      <c r="I622" s="76" t="n">
        <v>0</v>
      </c>
      <c r="J622">
        <f>IF(PRODUCTOS[[#This Row],[STOCK]]&lt;0,"NEGATIVO",IF(PRODUCTOS[[#This Row],[STOCK]]=0,"SIN STOCK",IF(PRODUCTOS[[#This Row],[STOCK]]&lt;=PRODUCTOS[[#This Row],[STOCK MÍN.]],"BAJO","OK")))</f>
        <v/>
      </c>
      <c r="K6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23" hidden="1" s="11">
      <c r="A623" s="18" t="n">
        <v>608</v>
      </c>
      <c r="B623" s="56" t="inlineStr">
        <is>
          <t>00115-FER</t>
        </is>
      </c>
      <c r="C623" s="56">
        <f>IFERROR(_xlfn.XLOOKUP(PRODUCTOS[[#This Row],[CODIGO]],LISTADO[CODIGOS],LISTADO[CATEGORIA]),"NO EXISTE")</f>
        <v/>
      </c>
      <c r="D623" s="56">
        <f>IFERROR(_xlfn.XLOOKUP(PRODUCTOS[[#This Row],[CODIGO]],LISTADO[CODIGOS],LISTADO[PRODUCTOS]),"NO EXISTE")</f>
        <v/>
      </c>
      <c r="E623" s="56">
        <f>IFERROR(_xlfn.XLOOKUP(PRODUCTOS[[#This Row],[CODIGO]],LISTADO[CODIGOS],LISTADO[UBICACIÓN]),"NO EXISTE")</f>
        <v/>
      </c>
      <c r="F623" s="56">
        <f>SUMIFS(ENTRADAS[CANTIDAD],ENTRADAS[CODIGO],PRODUCTOS[[#This Row],[CODIGO]])</f>
        <v/>
      </c>
      <c r="G623" s="56">
        <f>SUMIFS(SALIDAS[CANTIDAD],SALIDAS[CODIGO],PRODUCTOS[[#This Row],[CODIGO]])</f>
        <v/>
      </c>
      <c r="H623" s="56">
        <f>PRODUCTOS[[#This Row],[ENTRADAS]]-PRODUCTOS[[#This Row],[SALIDAS ]]</f>
        <v/>
      </c>
      <c r="I623" s="76" t="n">
        <v>0</v>
      </c>
      <c r="J623">
        <f>IF(PRODUCTOS[[#This Row],[STOCK]]&lt;0,"NEGATIVO",IF(PRODUCTOS[[#This Row],[STOCK]]=0,"SIN STOCK",IF(PRODUCTOS[[#This Row],[STOCK]]&lt;=PRODUCTOS[[#This Row],[STOCK MÍN.]],"BAJO","OK")))</f>
        <v/>
      </c>
      <c r="K6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24" hidden="1" s="11">
      <c r="A624" s="18" t="n">
        <v>609</v>
      </c>
      <c r="B624" s="56" t="inlineStr">
        <is>
          <t>00116-FER</t>
        </is>
      </c>
      <c r="C624" s="56">
        <f>IFERROR(_xlfn.XLOOKUP(PRODUCTOS[[#This Row],[CODIGO]],LISTADO[CODIGOS],LISTADO[CATEGORIA]),"NO EXISTE")</f>
        <v/>
      </c>
      <c r="D624" s="56">
        <f>IFERROR(_xlfn.XLOOKUP(PRODUCTOS[[#This Row],[CODIGO]],LISTADO[CODIGOS],LISTADO[PRODUCTOS]),"NO EXISTE")</f>
        <v/>
      </c>
      <c r="E624" s="56">
        <f>IFERROR(_xlfn.XLOOKUP(PRODUCTOS[[#This Row],[CODIGO]],LISTADO[CODIGOS],LISTADO[UBICACIÓN]),"NO EXISTE")</f>
        <v/>
      </c>
      <c r="F624" s="56">
        <f>SUMIFS(ENTRADAS[CANTIDAD],ENTRADAS[CODIGO],PRODUCTOS[[#This Row],[CODIGO]])</f>
        <v/>
      </c>
      <c r="G624" s="56">
        <f>SUMIFS(SALIDAS[CANTIDAD],SALIDAS[CODIGO],PRODUCTOS[[#This Row],[CODIGO]])</f>
        <v/>
      </c>
      <c r="H624" s="56">
        <f>PRODUCTOS[[#This Row],[ENTRADAS]]-PRODUCTOS[[#This Row],[SALIDAS ]]</f>
        <v/>
      </c>
      <c r="I624" s="76" t="n">
        <v>0</v>
      </c>
      <c r="J624">
        <f>IF(PRODUCTOS[[#This Row],[STOCK]]&lt;0,"NEGATIVO",IF(PRODUCTOS[[#This Row],[STOCK]]=0,"SIN STOCK",IF(PRODUCTOS[[#This Row],[STOCK]]&lt;=PRODUCTOS[[#This Row],[STOCK MÍN.]],"BAJO","OK")))</f>
        <v/>
      </c>
      <c r="K6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25" hidden="1" s="11">
      <c r="A625" s="18" t="n">
        <v>610</v>
      </c>
      <c r="B625" s="56" t="inlineStr">
        <is>
          <t>00077-REF</t>
        </is>
      </c>
      <c r="C625" s="56">
        <f>IFERROR(_xlfn.XLOOKUP(PRODUCTOS[[#This Row],[CODIGO]],LISTADO[CODIGOS],LISTADO[CATEGORIA]),"NO EXISTE")</f>
        <v/>
      </c>
      <c r="D625" s="56">
        <f>IFERROR(_xlfn.XLOOKUP(PRODUCTOS[[#This Row],[CODIGO]],LISTADO[CODIGOS],LISTADO[PRODUCTOS]),"NO EXISTE")</f>
        <v/>
      </c>
      <c r="E625" s="56">
        <f>IFERROR(_xlfn.XLOOKUP(PRODUCTOS[[#This Row],[CODIGO]],LISTADO[CODIGOS],LISTADO[UBICACIÓN]),"NO EXISTE")</f>
        <v/>
      </c>
      <c r="F625" s="56">
        <f>SUMIFS(ENTRADAS[CANTIDAD],ENTRADAS[CODIGO],PRODUCTOS[[#This Row],[CODIGO]])</f>
        <v/>
      </c>
      <c r="G625" s="56">
        <f>SUMIFS(SALIDAS[CANTIDAD],SALIDAS[CODIGO],PRODUCTOS[[#This Row],[CODIGO]])</f>
        <v/>
      </c>
      <c r="H625" s="56">
        <f>PRODUCTOS[[#This Row],[ENTRADAS]]-PRODUCTOS[[#This Row],[SALIDAS ]]</f>
        <v/>
      </c>
      <c r="I625" s="76" t="n">
        <v>0</v>
      </c>
      <c r="J625">
        <f>IF(PRODUCTOS[[#This Row],[STOCK]]&lt;0,"NEGATIVO",IF(PRODUCTOS[[#This Row],[STOCK]]=0,"SIN STOCK",IF(PRODUCTOS[[#This Row],[STOCK]]&lt;=PRODUCTOS[[#This Row],[STOCK MÍN.]],"BAJO","OK")))</f>
        <v/>
      </c>
      <c r="K6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26" hidden="1" s="11">
      <c r="A626" s="18" t="n">
        <v>611</v>
      </c>
      <c r="B626" s="56" t="inlineStr">
        <is>
          <t>00042-PLM</t>
        </is>
      </c>
      <c r="C626" s="56">
        <f>IFERROR(_xlfn.XLOOKUP(PRODUCTOS[[#This Row],[CODIGO]],LISTADO[CODIGOS],LISTADO[CATEGORIA]),"NO EXISTE")</f>
        <v/>
      </c>
      <c r="D626" s="56">
        <f>IFERROR(_xlfn.XLOOKUP(PRODUCTOS[[#This Row],[CODIGO]],LISTADO[CODIGOS],LISTADO[PRODUCTOS]),"NO EXISTE")</f>
        <v/>
      </c>
      <c r="E626" s="56">
        <f>IFERROR(_xlfn.XLOOKUP(PRODUCTOS[[#This Row],[CODIGO]],LISTADO[CODIGOS],LISTADO[UBICACIÓN]),"NO EXISTE")</f>
        <v/>
      </c>
      <c r="F626" s="56">
        <f>SUMIFS(ENTRADAS[CANTIDAD],ENTRADAS[CODIGO],PRODUCTOS[[#This Row],[CODIGO]])</f>
        <v/>
      </c>
      <c r="G626" s="56">
        <f>SUMIFS(SALIDAS[CANTIDAD],SALIDAS[CODIGO],PRODUCTOS[[#This Row],[CODIGO]])</f>
        <v/>
      </c>
      <c r="H626" s="56">
        <f>PRODUCTOS[[#This Row],[ENTRADAS]]-PRODUCTOS[[#This Row],[SALIDAS ]]</f>
        <v/>
      </c>
      <c r="I626" s="76" t="n">
        <v>0</v>
      </c>
      <c r="J626">
        <f>IF(PRODUCTOS[[#This Row],[STOCK]]&lt;0,"NEGATIVO",IF(PRODUCTOS[[#This Row],[STOCK]]=0,"SIN STOCK",IF(PRODUCTOS[[#This Row],[STOCK]]&lt;=PRODUCTOS[[#This Row],[STOCK MÍN.]],"BAJO","OK")))</f>
        <v/>
      </c>
      <c r="K6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27" hidden="1" s="11">
      <c r="A627" s="18" t="n">
        <v>612</v>
      </c>
      <c r="B627" s="56" t="inlineStr">
        <is>
          <t>00117-FER</t>
        </is>
      </c>
      <c r="C627" s="56">
        <f>IFERROR(_xlfn.XLOOKUP(PRODUCTOS[[#This Row],[CODIGO]],LISTADO[CODIGOS],LISTADO[CATEGORIA]),"NO EXISTE")</f>
        <v/>
      </c>
      <c r="D627" s="56">
        <f>IFERROR(_xlfn.XLOOKUP(PRODUCTOS[[#This Row],[CODIGO]],LISTADO[CODIGOS],LISTADO[PRODUCTOS]),"NO EXISTE")</f>
        <v/>
      </c>
      <c r="E627" s="56">
        <f>IFERROR(_xlfn.XLOOKUP(PRODUCTOS[[#This Row],[CODIGO]],LISTADO[CODIGOS],LISTADO[UBICACIÓN]),"NO EXISTE")</f>
        <v/>
      </c>
      <c r="F627" s="56">
        <f>SUMIFS(ENTRADAS[CANTIDAD],ENTRADAS[CODIGO],PRODUCTOS[[#This Row],[CODIGO]])</f>
        <v/>
      </c>
      <c r="G627" s="56">
        <f>SUMIFS(SALIDAS[CANTIDAD],SALIDAS[CODIGO],PRODUCTOS[[#This Row],[CODIGO]])</f>
        <v/>
      </c>
      <c r="H627" s="56">
        <f>PRODUCTOS[[#This Row],[ENTRADAS]]-PRODUCTOS[[#This Row],[SALIDAS ]]</f>
        <v/>
      </c>
      <c r="I627" s="76" t="n">
        <v>0</v>
      </c>
      <c r="J627">
        <f>IF(PRODUCTOS[[#This Row],[STOCK]]&lt;0,"NEGATIVO",IF(PRODUCTOS[[#This Row],[STOCK]]=0,"SIN STOCK",IF(PRODUCTOS[[#This Row],[STOCK]]&lt;=PRODUCTOS[[#This Row],[STOCK MÍN.]],"BAJO","OK")))</f>
        <v/>
      </c>
      <c r="K6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28" hidden="1" s="11">
      <c r="A628" s="18" t="n">
        <v>613</v>
      </c>
      <c r="B628" s="56" t="inlineStr">
        <is>
          <t>00118-FER</t>
        </is>
      </c>
      <c r="C628" s="56">
        <f>IFERROR(_xlfn.XLOOKUP(PRODUCTOS[[#This Row],[CODIGO]],LISTADO[CODIGOS],LISTADO[CATEGORIA]),"NO EXISTE")</f>
        <v/>
      </c>
      <c r="D628" s="56">
        <f>IFERROR(_xlfn.XLOOKUP(PRODUCTOS[[#This Row],[CODIGO]],LISTADO[CODIGOS],LISTADO[PRODUCTOS]),"NO EXISTE")</f>
        <v/>
      </c>
      <c r="E628" s="56">
        <f>IFERROR(_xlfn.XLOOKUP(PRODUCTOS[[#This Row],[CODIGO]],LISTADO[CODIGOS],LISTADO[UBICACIÓN]),"NO EXISTE")</f>
        <v/>
      </c>
      <c r="F628" s="56">
        <f>SUMIFS(ENTRADAS[CANTIDAD],ENTRADAS[CODIGO],PRODUCTOS[[#This Row],[CODIGO]])</f>
        <v/>
      </c>
      <c r="G628" s="56">
        <f>SUMIFS(SALIDAS[CANTIDAD],SALIDAS[CODIGO],PRODUCTOS[[#This Row],[CODIGO]])</f>
        <v/>
      </c>
      <c r="H628" s="56">
        <f>PRODUCTOS[[#This Row],[ENTRADAS]]-PRODUCTOS[[#This Row],[SALIDAS ]]</f>
        <v/>
      </c>
      <c r="I628" s="76" t="n">
        <v>0</v>
      </c>
      <c r="J628">
        <f>IF(PRODUCTOS[[#This Row],[STOCK]]&lt;0,"NEGATIVO",IF(PRODUCTOS[[#This Row],[STOCK]]=0,"SIN STOCK",IF(PRODUCTOS[[#This Row],[STOCK]]&lt;=PRODUCTOS[[#This Row],[STOCK MÍN.]],"BAJO","OK")))</f>
        <v/>
      </c>
      <c r="K6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29" hidden="1" s="11">
      <c r="A629" s="18" t="n">
        <v>614</v>
      </c>
      <c r="B629" s="56" t="inlineStr">
        <is>
          <t>00022-HRR</t>
        </is>
      </c>
      <c r="C629" s="56">
        <f>IFERROR(_xlfn.XLOOKUP(PRODUCTOS[[#This Row],[CODIGO]],LISTADO[CODIGOS],LISTADO[CATEGORIA]),"NO EXISTE")</f>
        <v/>
      </c>
      <c r="D629" s="56">
        <f>IFERROR(_xlfn.XLOOKUP(PRODUCTOS[[#This Row],[CODIGO]],LISTADO[CODIGOS],LISTADO[PRODUCTOS]),"NO EXISTE")</f>
        <v/>
      </c>
      <c r="E629" s="56">
        <f>IFERROR(_xlfn.XLOOKUP(PRODUCTOS[[#This Row],[CODIGO]],LISTADO[CODIGOS],LISTADO[UBICACIÓN]),"NO EXISTE")</f>
        <v/>
      </c>
      <c r="F629" s="56">
        <f>SUMIFS(ENTRADAS[CANTIDAD],ENTRADAS[CODIGO],PRODUCTOS[[#This Row],[CODIGO]])</f>
        <v/>
      </c>
      <c r="G629" s="56">
        <f>SUMIFS(SALIDAS[CANTIDAD],SALIDAS[CODIGO],PRODUCTOS[[#This Row],[CODIGO]])</f>
        <v/>
      </c>
      <c r="H629" s="56">
        <f>PRODUCTOS[[#This Row],[ENTRADAS]]-PRODUCTOS[[#This Row],[SALIDAS ]]</f>
        <v/>
      </c>
      <c r="I629" s="76" t="n">
        <v>0</v>
      </c>
      <c r="J629">
        <f>IF(PRODUCTOS[[#This Row],[STOCK]]&lt;0,"NEGATIVO",IF(PRODUCTOS[[#This Row],[STOCK]]=0,"SIN STOCK",IF(PRODUCTOS[[#This Row],[STOCK]]&lt;=PRODUCTOS[[#This Row],[STOCK MÍN.]],"BAJO","OK")))</f>
        <v/>
      </c>
      <c r="K6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30" hidden="1" s="11">
      <c r="A630" s="18" t="n">
        <v>615</v>
      </c>
      <c r="B630" s="56" t="inlineStr">
        <is>
          <t>00023-HRR</t>
        </is>
      </c>
      <c r="C630" s="56">
        <f>IFERROR(_xlfn.XLOOKUP(PRODUCTOS[[#This Row],[CODIGO]],LISTADO[CODIGOS],LISTADO[CATEGORIA]),"NO EXISTE")</f>
        <v/>
      </c>
      <c r="D630" s="56">
        <f>IFERROR(_xlfn.XLOOKUP(PRODUCTOS[[#This Row],[CODIGO]],LISTADO[CODIGOS],LISTADO[PRODUCTOS]),"NO EXISTE")</f>
        <v/>
      </c>
      <c r="E630" s="56">
        <f>IFERROR(_xlfn.XLOOKUP(PRODUCTOS[[#This Row],[CODIGO]],LISTADO[CODIGOS],LISTADO[UBICACIÓN]),"NO EXISTE")</f>
        <v/>
      </c>
      <c r="F630" s="56">
        <f>SUMIFS(ENTRADAS[CANTIDAD],ENTRADAS[CODIGO],PRODUCTOS[[#This Row],[CODIGO]])</f>
        <v/>
      </c>
      <c r="G630" s="56">
        <f>SUMIFS(SALIDAS[CANTIDAD],SALIDAS[CODIGO],PRODUCTOS[[#This Row],[CODIGO]])</f>
        <v/>
      </c>
      <c r="H630" s="56">
        <f>PRODUCTOS[[#This Row],[ENTRADAS]]-PRODUCTOS[[#This Row],[SALIDAS ]]</f>
        <v/>
      </c>
      <c r="I630" s="76" t="n">
        <v>0</v>
      </c>
      <c r="J630">
        <f>IF(PRODUCTOS[[#This Row],[STOCK]]&lt;0,"NEGATIVO",IF(PRODUCTOS[[#This Row],[STOCK]]=0,"SIN STOCK",IF(PRODUCTOS[[#This Row],[STOCK]]&lt;=PRODUCTOS[[#This Row],[STOCK MÍN.]],"BAJO","OK")))</f>
        <v/>
      </c>
      <c r="K6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31" hidden="1" s="11">
      <c r="A631" s="18" t="n">
        <v>616</v>
      </c>
      <c r="B631" s="56" t="inlineStr">
        <is>
          <t>00024-HRR</t>
        </is>
      </c>
      <c r="C631" s="56">
        <f>IFERROR(_xlfn.XLOOKUP(PRODUCTOS[[#This Row],[CODIGO]],LISTADO[CODIGOS],LISTADO[CATEGORIA]),"NO EXISTE")</f>
        <v/>
      </c>
      <c r="D631" s="56">
        <f>IFERROR(_xlfn.XLOOKUP(PRODUCTOS[[#This Row],[CODIGO]],LISTADO[CODIGOS],LISTADO[PRODUCTOS]),"NO EXISTE")</f>
        <v/>
      </c>
      <c r="E631" s="56">
        <f>IFERROR(_xlfn.XLOOKUP(PRODUCTOS[[#This Row],[CODIGO]],LISTADO[CODIGOS],LISTADO[UBICACIÓN]),"NO EXISTE")</f>
        <v/>
      </c>
      <c r="F631" s="56">
        <f>SUMIFS(ENTRADAS[CANTIDAD],ENTRADAS[CODIGO],PRODUCTOS[[#This Row],[CODIGO]])</f>
        <v/>
      </c>
      <c r="G631" s="56">
        <f>SUMIFS(SALIDAS[CANTIDAD],SALIDAS[CODIGO],PRODUCTOS[[#This Row],[CODIGO]])</f>
        <v/>
      </c>
      <c r="H631" s="56">
        <f>PRODUCTOS[[#This Row],[ENTRADAS]]-PRODUCTOS[[#This Row],[SALIDAS ]]</f>
        <v/>
      </c>
      <c r="I631" s="76" t="n">
        <v>0</v>
      </c>
      <c r="J631">
        <f>IF(PRODUCTOS[[#This Row],[STOCK]]&lt;0,"NEGATIVO",IF(PRODUCTOS[[#This Row],[STOCK]]=0,"SIN STOCK",IF(PRODUCTOS[[#This Row],[STOCK]]&lt;=PRODUCTOS[[#This Row],[STOCK MÍN.]],"BAJO","OK")))</f>
        <v/>
      </c>
      <c r="K6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32" hidden="1" s="11">
      <c r="A632" s="18" t="n">
        <v>617</v>
      </c>
      <c r="B632" s="56" t="inlineStr">
        <is>
          <t>00025-HRR</t>
        </is>
      </c>
      <c r="C632" s="56">
        <f>IFERROR(_xlfn.XLOOKUP(PRODUCTOS[[#This Row],[CODIGO]],LISTADO[CODIGOS],LISTADO[CATEGORIA]),"NO EXISTE")</f>
        <v/>
      </c>
      <c r="D632" s="56">
        <f>IFERROR(_xlfn.XLOOKUP(PRODUCTOS[[#This Row],[CODIGO]],LISTADO[CODIGOS],LISTADO[PRODUCTOS]),"NO EXISTE")</f>
        <v/>
      </c>
      <c r="E632" s="56">
        <f>IFERROR(_xlfn.XLOOKUP(PRODUCTOS[[#This Row],[CODIGO]],LISTADO[CODIGOS],LISTADO[UBICACIÓN]),"NO EXISTE")</f>
        <v/>
      </c>
      <c r="F632" s="56">
        <f>SUMIFS(ENTRADAS[CANTIDAD],ENTRADAS[CODIGO],PRODUCTOS[[#This Row],[CODIGO]])</f>
        <v/>
      </c>
      <c r="G632" s="56">
        <f>SUMIFS(SALIDAS[CANTIDAD],SALIDAS[CODIGO],PRODUCTOS[[#This Row],[CODIGO]])</f>
        <v/>
      </c>
      <c r="H632" s="56">
        <f>PRODUCTOS[[#This Row],[ENTRADAS]]-PRODUCTOS[[#This Row],[SALIDAS ]]</f>
        <v/>
      </c>
      <c r="I632" s="76" t="n">
        <v>0</v>
      </c>
      <c r="J632">
        <f>IF(PRODUCTOS[[#This Row],[STOCK]]&lt;0,"NEGATIVO",IF(PRODUCTOS[[#This Row],[STOCK]]=0,"SIN STOCK",IF(PRODUCTOS[[#This Row],[STOCK]]&lt;=PRODUCTOS[[#This Row],[STOCK MÍN.]],"BAJO","OK")))</f>
        <v/>
      </c>
      <c r="K6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33" hidden="1" s="11">
      <c r="A633" s="18" t="n">
        <v>618</v>
      </c>
      <c r="B633" s="56" t="inlineStr">
        <is>
          <t>00026-HRR</t>
        </is>
      </c>
      <c r="C633" s="56">
        <f>IFERROR(_xlfn.XLOOKUP(PRODUCTOS[[#This Row],[CODIGO]],LISTADO[CODIGOS],LISTADO[CATEGORIA]),"NO EXISTE")</f>
        <v/>
      </c>
      <c r="D633" s="56">
        <f>IFERROR(_xlfn.XLOOKUP(PRODUCTOS[[#This Row],[CODIGO]],LISTADO[CODIGOS],LISTADO[PRODUCTOS]),"NO EXISTE")</f>
        <v/>
      </c>
      <c r="E633" s="56">
        <f>IFERROR(_xlfn.XLOOKUP(PRODUCTOS[[#This Row],[CODIGO]],LISTADO[CODIGOS],LISTADO[UBICACIÓN]),"NO EXISTE")</f>
        <v/>
      </c>
      <c r="F633" s="56">
        <f>SUMIFS(ENTRADAS[CANTIDAD],ENTRADAS[CODIGO],PRODUCTOS[[#This Row],[CODIGO]])</f>
        <v/>
      </c>
      <c r="G633" s="56">
        <f>SUMIFS(SALIDAS[CANTIDAD],SALIDAS[CODIGO],PRODUCTOS[[#This Row],[CODIGO]])</f>
        <v/>
      </c>
      <c r="H633" s="56">
        <f>PRODUCTOS[[#This Row],[ENTRADAS]]-PRODUCTOS[[#This Row],[SALIDAS ]]</f>
        <v/>
      </c>
      <c r="I633" s="76" t="n">
        <v>0</v>
      </c>
      <c r="J633">
        <f>IF(PRODUCTOS[[#This Row],[STOCK]]&lt;0,"NEGATIVO",IF(PRODUCTOS[[#This Row],[STOCK]]=0,"SIN STOCK",IF(PRODUCTOS[[#This Row],[STOCK]]&lt;=PRODUCTOS[[#This Row],[STOCK MÍN.]],"BAJO","OK")))</f>
        <v/>
      </c>
      <c r="K6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34" hidden="1" s="11">
      <c r="A634" s="18" t="n">
        <v>619</v>
      </c>
      <c r="B634" s="56" t="inlineStr">
        <is>
          <t>00027-HRR</t>
        </is>
      </c>
      <c r="C634" s="56">
        <f>IFERROR(_xlfn.XLOOKUP(PRODUCTOS[[#This Row],[CODIGO]],LISTADO[CODIGOS],LISTADO[CATEGORIA]),"NO EXISTE")</f>
        <v/>
      </c>
      <c r="D634" s="56">
        <f>IFERROR(_xlfn.XLOOKUP(PRODUCTOS[[#This Row],[CODIGO]],LISTADO[CODIGOS],LISTADO[PRODUCTOS]),"NO EXISTE")</f>
        <v/>
      </c>
      <c r="E634" s="56">
        <f>IFERROR(_xlfn.XLOOKUP(PRODUCTOS[[#This Row],[CODIGO]],LISTADO[CODIGOS],LISTADO[UBICACIÓN]),"NO EXISTE")</f>
        <v/>
      </c>
      <c r="F634" s="56">
        <f>SUMIFS(ENTRADAS[CANTIDAD],ENTRADAS[CODIGO],PRODUCTOS[[#This Row],[CODIGO]])</f>
        <v/>
      </c>
      <c r="G634" s="56">
        <f>SUMIFS(SALIDAS[CANTIDAD],SALIDAS[CODIGO],PRODUCTOS[[#This Row],[CODIGO]])</f>
        <v/>
      </c>
      <c r="H634" s="56">
        <f>PRODUCTOS[[#This Row],[ENTRADAS]]-PRODUCTOS[[#This Row],[SALIDAS ]]</f>
        <v/>
      </c>
      <c r="I634" s="76" t="n">
        <v>0</v>
      </c>
      <c r="J634">
        <f>IF(PRODUCTOS[[#This Row],[STOCK]]&lt;0,"NEGATIVO",IF(PRODUCTOS[[#This Row],[STOCK]]=0,"SIN STOCK",IF(PRODUCTOS[[#This Row],[STOCK]]&lt;=PRODUCTOS[[#This Row],[STOCK MÍN.]],"BAJO","OK")))</f>
        <v/>
      </c>
      <c r="K6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35" hidden="1" s="11">
      <c r="A635" s="18" t="n">
        <v>620</v>
      </c>
      <c r="B635" s="56" t="inlineStr">
        <is>
          <t>00028-HRR</t>
        </is>
      </c>
      <c r="C635" s="56">
        <f>IFERROR(_xlfn.XLOOKUP(PRODUCTOS[[#This Row],[CODIGO]],LISTADO[CODIGOS],LISTADO[CATEGORIA]),"NO EXISTE")</f>
        <v/>
      </c>
      <c r="D635" s="56">
        <f>IFERROR(_xlfn.XLOOKUP(PRODUCTOS[[#This Row],[CODIGO]],LISTADO[CODIGOS],LISTADO[PRODUCTOS]),"NO EXISTE")</f>
        <v/>
      </c>
      <c r="E635" s="56">
        <f>IFERROR(_xlfn.XLOOKUP(PRODUCTOS[[#This Row],[CODIGO]],LISTADO[CODIGOS],LISTADO[UBICACIÓN]),"NO EXISTE")</f>
        <v/>
      </c>
      <c r="F635" s="56">
        <f>SUMIFS(ENTRADAS[CANTIDAD],ENTRADAS[CODIGO],PRODUCTOS[[#This Row],[CODIGO]])</f>
        <v/>
      </c>
      <c r="G635" s="56">
        <f>SUMIFS(SALIDAS[CANTIDAD],SALIDAS[CODIGO],PRODUCTOS[[#This Row],[CODIGO]])</f>
        <v/>
      </c>
      <c r="H635" s="56">
        <f>PRODUCTOS[[#This Row],[ENTRADAS]]-PRODUCTOS[[#This Row],[SALIDAS ]]</f>
        <v/>
      </c>
      <c r="I635" s="76" t="n">
        <v>0</v>
      </c>
      <c r="J635">
        <f>IF(PRODUCTOS[[#This Row],[STOCK]]&lt;0,"NEGATIVO",IF(PRODUCTOS[[#This Row],[STOCK]]=0,"SIN STOCK",IF(PRODUCTOS[[#This Row],[STOCK]]&lt;=PRODUCTOS[[#This Row],[STOCK MÍN.]],"BAJO","OK")))</f>
        <v/>
      </c>
      <c r="K6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36" hidden="1" s="11">
      <c r="A636" s="18" t="n">
        <v>621</v>
      </c>
      <c r="B636" s="56" t="inlineStr">
        <is>
          <t>00029-HRR</t>
        </is>
      </c>
      <c r="C636" s="56">
        <f>IFERROR(_xlfn.XLOOKUP(PRODUCTOS[[#This Row],[CODIGO]],LISTADO[CODIGOS],LISTADO[CATEGORIA]),"NO EXISTE")</f>
        <v/>
      </c>
      <c r="D636" s="56">
        <f>IFERROR(_xlfn.XLOOKUP(PRODUCTOS[[#This Row],[CODIGO]],LISTADO[CODIGOS],LISTADO[PRODUCTOS]),"NO EXISTE")</f>
        <v/>
      </c>
      <c r="E636" s="56">
        <f>IFERROR(_xlfn.XLOOKUP(PRODUCTOS[[#This Row],[CODIGO]],LISTADO[CODIGOS],LISTADO[UBICACIÓN]),"NO EXISTE")</f>
        <v/>
      </c>
      <c r="F636" s="56">
        <f>SUMIFS(ENTRADAS[CANTIDAD],ENTRADAS[CODIGO],PRODUCTOS[[#This Row],[CODIGO]])</f>
        <v/>
      </c>
      <c r="G636" s="56">
        <f>SUMIFS(SALIDAS[CANTIDAD],SALIDAS[CODIGO],PRODUCTOS[[#This Row],[CODIGO]])</f>
        <v/>
      </c>
      <c r="H636" s="56">
        <f>PRODUCTOS[[#This Row],[ENTRADAS]]-PRODUCTOS[[#This Row],[SALIDAS ]]</f>
        <v/>
      </c>
      <c r="I636" s="76" t="n">
        <v>0</v>
      </c>
      <c r="J636">
        <f>IF(PRODUCTOS[[#This Row],[STOCK]]&lt;0,"NEGATIVO",IF(PRODUCTOS[[#This Row],[STOCK]]=0,"SIN STOCK",IF(PRODUCTOS[[#This Row],[STOCK]]&lt;=PRODUCTOS[[#This Row],[STOCK MÍN.]],"BAJO","OK")))</f>
        <v/>
      </c>
      <c r="K6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37" hidden="1" s="11">
      <c r="A637" s="18" t="n">
        <v>622</v>
      </c>
      <c r="B637" s="56" t="inlineStr">
        <is>
          <t>00030-HRR</t>
        </is>
      </c>
      <c r="C637" s="56">
        <f>IFERROR(_xlfn.XLOOKUP(PRODUCTOS[[#This Row],[CODIGO]],LISTADO[CODIGOS],LISTADO[CATEGORIA]),"NO EXISTE")</f>
        <v/>
      </c>
      <c r="D637" s="56">
        <f>IFERROR(_xlfn.XLOOKUP(PRODUCTOS[[#This Row],[CODIGO]],LISTADO[CODIGOS],LISTADO[PRODUCTOS]),"NO EXISTE")</f>
        <v/>
      </c>
      <c r="E637" s="56">
        <f>IFERROR(_xlfn.XLOOKUP(PRODUCTOS[[#This Row],[CODIGO]],LISTADO[CODIGOS],LISTADO[UBICACIÓN]),"NO EXISTE")</f>
        <v/>
      </c>
      <c r="F637" s="56">
        <f>SUMIFS(ENTRADAS[CANTIDAD],ENTRADAS[CODIGO],PRODUCTOS[[#This Row],[CODIGO]])</f>
        <v/>
      </c>
      <c r="G637" s="56">
        <f>SUMIFS(SALIDAS[CANTIDAD],SALIDAS[CODIGO],PRODUCTOS[[#This Row],[CODIGO]])</f>
        <v/>
      </c>
      <c r="H637" s="56">
        <f>PRODUCTOS[[#This Row],[ENTRADAS]]-PRODUCTOS[[#This Row],[SALIDAS ]]</f>
        <v/>
      </c>
      <c r="I637" s="76" t="n">
        <v>0</v>
      </c>
      <c r="J637">
        <f>IF(PRODUCTOS[[#This Row],[STOCK]]&lt;0,"NEGATIVO",IF(PRODUCTOS[[#This Row],[STOCK]]=0,"SIN STOCK",IF(PRODUCTOS[[#This Row],[STOCK]]&lt;=PRODUCTOS[[#This Row],[STOCK MÍN.]],"BAJO","OK")))</f>
        <v/>
      </c>
      <c r="K6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38" hidden="1" s="11">
      <c r="A638" s="18" t="n">
        <v>623</v>
      </c>
      <c r="B638" s="56" t="inlineStr">
        <is>
          <t>00042-ELC</t>
        </is>
      </c>
      <c r="C638" s="56">
        <f>IFERROR(_xlfn.XLOOKUP(PRODUCTOS[[#This Row],[CODIGO]],LISTADO[CODIGOS],LISTADO[CATEGORIA]),"NO EXISTE")</f>
        <v/>
      </c>
      <c r="D638" s="56">
        <f>IFERROR(_xlfn.XLOOKUP(PRODUCTOS[[#This Row],[CODIGO]],LISTADO[CODIGOS],LISTADO[PRODUCTOS]),"NO EXISTE")</f>
        <v/>
      </c>
      <c r="E638" s="56">
        <f>IFERROR(_xlfn.XLOOKUP(PRODUCTOS[[#This Row],[CODIGO]],LISTADO[CODIGOS],LISTADO[UBICACIÓN]),"NO EXISTE")</f>
        <v/>
      </c>
      <c r="F638" s="56">
        <f>SUMIFS(ENTRADAS[CANTIDAD],ENTRADAS[CODIGO],PRODUCTOS[[#This Row],[CODIGO]])</f>
        <v/>
      </c>
      <c r="G638" s="56">
        <f>SUMIFS(SALIDAS[CANTIDAD],SALIDAS[CODIGO],PRODUCTOS[[#This Row],[CODIGO]])</f>
        <v/>
      </c>
      <c r="H638" s="56">
        <f>PRODUCTOS[[#This Row],[ENTRADAS]]-PRODUCTOS[[#This Row],[SALIDAS ]]</f>
        <v/>
      </c>
      <c r="I638" s="76" t="n">
        <v>0</v>
      </c>
      <c r="J638">
        <f>IF(PRODUCTOS[[#This Row],[STOCK]]&lt;0,"NEGATIVO",IF(PRODUCTOS[[#This Row],[STOCK]]=0,"SIN STOCK",IF(PRODUCTOS[[#This Row],[STOCK]]&lt;=PRODUCTOS[[#This Row],[STOCK MÍN.]],"BAJO","OK")))</f>
        <v/>
      </c>
      <c r="K6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39" hidden="1" s="11">
      <c r="A639" s="18" t="n">
        <v>624</v>
      </c>
      <c r="B639" s="56" t="inlineStr">
        <is>
          <t>00106-HER</t>
        </is>
      </c>
      <c r="C639" s="56">
        <f>IFERROR(_xlfn.XLOOKUP(PRODUCTOS[[#This Row],[CODIGO]],LISTADO[CODIGOS],LISTADO[CATEGORIA]),"NO EXISTE")</f>
        <v/>
      </c>
      <c r="D639" s="56">
        <f>IFERROR(_xlfn.XLOOKUP(PRODUCTOS[[#This Row],[CODIGO]],LISTADO[CODIGOS],LISTADO[PRODUCTOS]),"NO EXISTE")</f>
        <v/>
      </c>
      <c r="E639" s="56">
        <f>IFERROR(_xlfn.XLOOKUP(PRODUCTOS[[#This Row],[CODIGO]],LISTADO[CODIGOS],LISTADO[UBICACIÓN]),"NO EXISTE")</f>
        <v/>
      </c>
      <c r="F639" s="56">
        <f>SUMIFS(ENTRADAS[CANTIDAD],ENTRADAS[CODIGO],PRODUCTOS[[#This Row],[CODIGO]])</f>
        <v/>
      </c>
      <c r="G639" s="56">
        <f>SUMIFS(SALIDAS[CANTIDAD],SALIDAS[CODIGO],PRODUCTOS[[#This Row],[CODIGO]])</f>
        <v/>
      </c>
      <c r="H639" s="56">
        <f>PRODUCTOS[[#This Row],[ENTRADAS]]-PRODUCTOS[[#This Row],[SALIDAS ]]</f>
        <v/>
      </c>
      <c r="I639" s="76" t="n">
        <v>0</v>
      </c>
      <c r="J639">
        <f>IF(PRODUCTOS[[#This Row],[STOCK]]&lt;0,"NEGATIVO",IF(PRODUCTOS[[#This Row],[STOCK]]=0,"SIN STOCK",IF(PRODUCTOS[[#This Row],[STOCK]]&lt;=PRODUCTOS[[#This Row],[STOCK MÍN.]],"BAJO","OK")))</f>
        <v/>
      </c>
      <c r="K6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40" hidden="1" s="11">
      <c r="A640" s="18" t="n">
        <v>196</v>
      </c>
      <c r="B640" s="56" t="inlineStr">
        <is>
          <t>00046-ELE</t>
        </is>
      </c>
      <c r="C640" s="56">
        <f>IFERROR(_xlfn.XLOOKUP(PRODUCTOS[[#This Row],[CODIGO]],LISTADO[CODIGOS],LISTADO[CATEGORIA]),"NO EXISTE")</f>
        <v/>
      </c>
      <c r="D640" s="56">
        <f>IFERROR(_xlfn.XLOOKUP(PRODUCTOS[[#This Row],[CODIGO]],LISTADO[CODIGOS],LISTADO[PRODUCTOS]),"NO EXISTE")</f>
        <v/>
      </c>
      <c r="E640" s="56">
        <f>IFERROR(_xlfn.XLOOKUP(PRODUCTOS[[#This Row],[CODIGO]],LISTADO[CODIGOS],LISTADO[UBICACIÓN]),"NO EXISTE")</f>
        <v/>
      </c>
      <c r="F640" s="56">
        <f>SUMIFS(ENTRADAS[CANTIDAD],ENTRADAS[CODIGO],PRODUCTOS[[#This Row],[CODIGO]])</f>
        <v/>
      </c>
      <c r="G640" s="56">
        <f>SUMIFS(SALIDAS[CANTIDAD],SALIDAS[CODIGO],PRODUCTOS[[#This Row],[CODIGO]])</f>
        <v/>
      </c>
      <c r="H640" s="56">
        <f>PRODUCTOS[[#This Row],[ENTRADAS]]-PRODUCTOS[[#This Row],[SALIDAS ]]</f>
        <v/>
      </c>
      <c r="I640" s="76" t="n">
        <v>0</v>
      </c>
      <c r="J640">
        <f>IF(PRODUCTOS[[#This Row],[STOCK]]&lt;0,"NEGATIVO",IF(PRODUCTOS[[#This Row],[STOCK]]=0,"SIN STOCK",IF(PRODUCTOS[[#This Row],[STOCK]]&lt;=PRODUCTOS[[#This Row],[STOCK MÍN.]],"BAJO","OK")))</f>
        <v/>
      </c>
      <c r="K6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41" hidden="1" s="11">
      <c r="A641" s="18" t="n">
        <v>626</v>
      </c>
      <c r="B641" s="56" t="inlineStr">
        <is>
          <t>00119-FER</t>
        </is>
      </c>
      <c r="C641" s="56">
        <f>IFERROR(_xlfn.XLOOKUP(PRODUCTOS[[#This Row],[CODIGO]],LISTADO[CODIGOS],LISTADO[CATEGORIA]),"NO EXISTE")</f>
        <v/>
      </c>
      <c r="D641" s="56">
        <f>IFERROR(_xlfn.XLOOKUP(PRODUCTOS[[#This Row],[CODIGO]],LISTADO[CODIGOS],LISTADO[PRODUCTOS]),"NO EXISTE")</f>
        <v/>
      </c>
      <c r="E641" s="56">
        <f>IFERROR(_xlfn.XLOOKUP(PRODUCTOS[[#This Row],[CODIGO]],LISTADO[CODIGOS],LISTADO[UBICACIÓN]),"NO EXISTE")</f>
        <v/>
      </c>
      <c r="F641" s="56">
        <f>SUMIFS(ENTRADAS[CANTIDAD],ENTRADAS[CODIGO],PRODUCTOS[[#This Row],[CODIGO]])</f>
        <v/>
      </c>
      <c r="G641" s="56">
        <f>SUMIFS(SALIDAS[CANTIDAD],SALIDAS[CODIGO],PRODUCTOS[[#This Row],[CODIGO]])</f>
        <v/>
      </c>
      <c r="H641" s="56">
        <f>PRODUCTOS[[#This Row],[ENTRADAS]]-PRODUCTOS[[#This Row],[SALIDAS ]]</f>
        <v/>
      </c>
      <c r="I641" s="76" t="n">
        <v>0</v>
      </c>
      <c r="J641">
        <f>IF(PRODUCTOS[[#This Row],[STOCK]]&lt;0,"NEGATIVO",IF(PRODUCTOS[[#This Row],[STOCK]]=0,"SIN STOCK",IF(PRODUCTOS[[#This Row],[STOCK]]&lt;=PRODUCTOS[[#This Row],[STOCK MÍN.]],"BAJO","OK")))</f>
        <v/>
      </c>
      <c r="K6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42" hidden="1" s="11">
      <c r="A642" s="18" t="n">
        <v>627</v>
      </c>
      <c r="B642" s="56" t="inlineStr">
        <is>
          <t>00031-HRR</t>
        </is>
      </c>
      <c r="C642" s="56">
        <f>IFERROR(_xlfn.XLOOKUP(PRODUCTOS[[#This Row],[CODIGO]],LISTADO[CODIGOS],LISTADO[CATEGORIA]),"NO EXISTE")</f>
        <v/>
      </c>
      <c r="D642" s="56">
        <f>IFERROR(_xlfn.XLOOKUP(PRODUCTOS[[#This Row],[CODIGO]],LISTADO[CODIGOS],LISTADO[PRODUCTOS]),"NO EXISTE")</f>
        <v/>
      </c>
      <c r="E642" s="56">
        <f>IFERROR(_xlfn.XLOOKUP(PRODUCTOS[[#This Row],[CODIGO]],LISTADO[CODIGOS],LISTADO[UBICACIÓN]),"NO EXISTE")</f>
        <v/>
      </c>
      <c r="F642" s="56">
        <f>SUMIFS(ENTRADAS[CANTIDAD],ENTRADAS[CODIGO],PRODUCTOS[[#This Row],[CODIGO]])</f>
        <v/>
      </c>
      <c r="G642" s="56">
        <f>SUMIFS(SALIDAS[CANTIDAD],SALIDAS[CODIGO],PRODUCTOS[[#This Row],[CODIGO]])</f>
        <v/>
      </c>
      <c r="H642" s="56">
        <f>PRODUCTOS[[#This Row],[ENTRADAS]]-PRODUCTOS[[#This Row],[SALIDAS ]]</f>
        <v/>
      </c>
      <c r="I642" s="76" t="n">
        <v>0</v>
      </c>
      <c r="J642">
        <f>IF(PRODUCTOS[[#This Row],[STOCK]]&lt;0,"NEGATIVO",IF(PRODUCTOS[[#This Row],[STOCK]]=0,"SIN STOCK",IF(PRODUCTOS[[#This Row],[STOCK]]&lt;=PRODUCTOS[[#This Row],[STOCK MÍN.]],"BAJO","OK")))</f>
        <v/>
      </c>
      <c r="K6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43" hidden="1" s="11">
      <c r="A643" s="18" t="n">
        <v>628</v>
      </c>
      <c r="B643" s="56" t="inlineStr">
        <is>
          <t>00047-ELE</t>
        </is>
      </c>
      <c r="C643" s="56">
        <f>IFERROR(_xlfn.XLOOKUP(PRODUCTOS[[#This Row],[CODIGO]],LISTADO[CODIGOS],LISTADO[CATEGORIA]),"NO EXISTE")</f>
        <v/>
      </c>
      <c r="D643" s="56">
        <f>IFERROR(_xlfn.XLOOKUP(PRODUCTOS[[#This Row],[CODIGO]],LISTADO[CODIGOS],LISTADO[PRODUCTOS]),"NO EXISTE")</f>
        <v/>
      </c>
      <c r="E643" s="56">
        <f>IFERROR(_xlfn.XLOOKUP(PRODUCTOS[[#This Row],[CODIGO]],LISTADO[CODIGOS],LISTADO[UBICACIÓN]),"NO EXISTE")</f>
        <v/>
      </c>
      <c r="F643" s="56">
        <f>SUMIFS(ENTRADAS[CANTIDAD],ENTRADAS[CODIGO],PRODUCTOS[[#This Row],[CODIGO]])</f>
        <v/>
      </c>
      <c r="G643" s="56">
        <f>SUMIFS(SALIDAS[CANTIDAD],SALIDAS[CODIGO],PRODUCTOS[[#This Row],[CODIGO]])</f>
        <v/>
      </c>
      <c r="H643" s="56">
        <f>PRODUCTOS[[#This Row],[ENTRADAS]]-PRODUCTOS[[#This Row],[SALIDAS ]]</f>
        <v/>
      </c>
      <c r="I643" s="76" t="n">
        <v>0</v>
      </c>
      <c r="J643">
        <f>IF(PRODUCTOS[[#This Row],[STOCK]]&lt;0,"NEGATIVO",IF(PRODUCTOS[[#This Row],[STOCK]]=0,"SIN STOCK",IF(PRODUCTOS[[#This Row],[STOCK]]&lt;=PRODUCTOS[[#This Row],[STOCK MÍN.]],"BAJO","OK")))</f>
        <v/>
      </c>
      <c r="K6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44" hidden="1" s="11">
      <c r="A644" s="18" t="n">
        <v>629</v>
      </c>
      <c r="B644" s="56" t="inlineStr">
        <is>
          <t>00048-ELE</t>
        </is>
      </c>
      <c r="C644" s="56">
        <f>IFERROR(_xlfn.XLOOKUP(PRODUCTOS[[#This Row],[CODIGO]],LISTADO[CODIGOS],LISTADO[CATEGORIA]),"NO EXISTE")</f>
        <v/>
      </c>
      <c r="D644" s="56">
        <f>IFERROR(_xlfn.XLOOKUP(PRODUCTOS[[#This Row],[CODIGO]],LISTADO[CODIGOS],LISTADO[PRODUCTOS]),"NO EXISTE")</f>
        <v/>
      </c>
      <c r="E644" s="56">
        <f>IFERROR(_xlfn.XLOOKUP(PRODUCTOS[[#This Row],[CODIGO]],LISTADO[CODIGOS],LISTADO[UBICACIÓN]),"NO EXISTE")</f>
        <v/>
      </c>
      <c r="F644" s="56">
        <f>SUMIFS(ENTRADAS[CANTIDAD],ENTRADAS[CODIGO],PRODUCTOS[[#This Row],[CODIGO]])</f>
        <v/>
      </c>
      <c r="G644" s="56">
        <f>SUMIFS(SALIDAS[CANTIDAD],SALIDAS[CODIGO],PRODUCTOS[[#This Row],[CODIGO]])</f>
        <v/>
      </c>
      <c r="H644" s="56">
        <f>PRODUCTOS[[#This Row],[ENTRADAS]]-PRODUCTOS[[#This Row],[SALIDAS ]]</f>
        <v/>
      </c>
      <c r="I644" s="76" t="n">
        <v>0</v>
      </c>
      <c r="J644">
        <f>IF(PRODUCTOS[[#This Row],[STOCK]]&lt;0,"NEGATIVO",IF(PRODUCTOS[[#This Row],[STOCK]]=0,"SIN STOCK",IF(PRODUCTOS[[#This Row],[STOCK]]&lt;=PRODUCTOS[[#This Row],[STOCK MÍN.]],"BAJO","OK")))</f>
        <v/>
      </c>
      <c r="K6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45" hidden="1" s="11">
      <c r="A645" s="18" t="n">
        <v>630</v>
      </c>
      <c r="B645" s="56" t="inlineStr">
        <is>
          <t>00049-ELE</t>
        </is>
      </c>
      <c r="C645" s="56">
        <f>IFERROR(_xlfn.XLOOKUP(PRODUCTOS[[#This Row],[CODIGO]],LISTADO[CODIGOS],LISTADO[CATEGORIA]),"NO EXISTE")</f>
        <v/>
      </c>
      <c r="D645" s="56">
        <f>IFERROR(_xlfn.XLOOKUP(PRODUCTOS[[#This Row],[CODIGO]],LISTADO[CODIGOS],LISTADO[PRODUCTOS]),"NO EXISTE")</f>
        <v/>
      </c>
      <c r="E645" s="56">
        <f>IFERROR(_xlfn.XLOOKUP(PRODUCTOS[[#This Row],[CODIGO]],LISTADO[CODIGOS],LISTADO[UBICACIÓN]),"NO EXISTE")</f>
        <v/>
      </c>
      <c r="F645" s="56">
        <f>SUMIFS(ENTRADAS[CANTIDAD],ENTRADAS[CODIGO],PRODUCTOS[[#This Row],[CODIGO]])</f>
        <v/>
      </c>
      <c r="G645" s="56">
        <f>SUMIFS(SALIDAS[CANTIDAD],SALIDAS[CODIGO],PRODUCTOS[[#This Row],[CODIGO]])</f>
        <v/>
      </c>
      <c r="H645" s="56">
        <f>PRODUCTOS[[#This Row],[ENTRADAS]]-PRODUCTOS[[#This Row],[SALIDAS ]]</f>
        <v/>
      </c>
      <c r="I645" s="76" t="n">
        <v>0</v>
      </c>
      <c r="J645">
        <f>IF(PRODUCTOS[[#This Row],[STOCK]]&lt;0,"NEGATIVO",IF(PRODUCTOS[[#This Row],[STOCK]]=0,"SIN STOCK",IF(PRODUCTOS[[#This Row],[STOCK]]&lt;=PRODUCTOS[[#This Row],[STOCK MÍN.]],"BAJO","OK")))</f>
        <v/>
      </c>
      <c r="K6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46" hidden="1" s="11">
      <c r="A646" s="18" t="n">
        <v>631</v>
      </c>
      <c r="B646" s="56" t="inlineStr">
        <is>
          <t>00120-FER</t>
        </is>
      </c>
      <c r="C646" s="56">
        <f>IFERROR(_xlfn.XLOOKUP(PRODUCTOS[[#This Row],[CODIGO]],LISTADO[CODIGOS],LISTADO[CATEGORIA]),"NO EXISTE")</f>
        <v/>
      </c>
      <c r="D646" s="56">
        <f>IFERROR(_xlfn.XLOOKUP(PRODUCTOS[[#This Row],[CODIGO]],LISTADO[CODIGOS],LISTADO[PRODUCTOS]),"NO EXISTE")</f>
        <v/>
      </c>
      <c r="E646" s="56">
        <f>IFERROR(_xlfn.XLOOKUP(PRODUCTOS[[#This Row],[CODIGO]],LISTADO[CODIGOS],LISTADO[UBICACIÓN]),"NO EXISTE")</f>
        <v/>
      </c>
      <c r="F646" s="56">
        <f>SUMIFS(ENTRADAS[CANTIDAD],ENTRADAS[CODIGO],PRODUCTOS[[#This Row],[CODIGO]])</f>
        <v/>
      </c>
      <c r="G646" s="56">
        <f>SUMIFS(SALIDAS[CANTIDAD],SALIDAS[CODIGO],PRODUCTOS[[#This Row],[CODIGO]])</f>
        <v/>
      </c>
      <c r="H646" s="56">
        <f>PRODUCTOS[[#This Row],[ENTRADAS]]-PRODUCTOS[[#This Row],[SALIDAS ]]</f>
        <v/>
      </c>
      <c r="I646" s="76" t="n">
        <v>0</v>
      </c>
      <c r="J646">
        <f>IF(PRODUCTOS[[#This Row],[STOCK]]&lt;0,"NEGATIVO",IF(PRODUCTOS[[#This Row],[STOCK]]=0,"SIN STOCK",IF(PRODUCTOS[[#This Row],[STOCK]]&lt;=PRODUCTOS[[#This Row],[STOCK MÍN.]],"BAJO","OK")))</f>
        <v/>
      </c>
      <c r="K6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47" hidden="1" s="11">
      <c r="A647" s="18" t="n">
        <v>632</v>
      </c>
      <c r="B647" s="56" t="inlineStr">
        <is>
          <t>00107-HER</t>
        </is>
      </c>
      <c r="C647" s="56">
        <f>IFERROR(_xlfn.XLOOKUP(PRODUCTOS[[#This Row],[CODIGO]],LISTADO[CODIGOS],LISTADO[CATEGORIA]),"NO EXISTE")</f>
        <v/>
      </c>
      <c r="D647" s="56">
        <f>IFERROR(_xlfn.XLOOKUP(PRODUCTOS[[#This Row],[CODIGO]],LISTADO[CODIGOS],LISTADO[PRODUCTOS]),"NO EXISTE")</f>
        <v/>
      </c>
      <c r="E647" s="56">
        <f>IFERROR(_xlfn.XLOOKUP(PRODUCTOS[[#This Row],[CODIGO]],LISTADO[CODIGOS],LISTADO[UBICACIÓN]),"NO EXISTE")</f>
        <v/>
      </c>
      <c r="F647" s="56">
        <f>SUMIFS(ENTRADAS[CANTIDAD],ENTRADAS[CODIGO],PRODUCTOS[[#This Row],[CODIGO]])</f>
        <v/>
      </c>
      <c r="G647" s="56">
        <f>SUMIFS(SALIDAS[CANTIDAD],SALIDAS[CODIGO],PRODUCTOS[[#This Row],[CODIGO]])</f>
        <v/>
      </c>
      <c r="H647" s="56">
        <f>PRODUCTOS[[#This Row],[ENTRADAS]]-PRODUCTOS[[#This Row],[SALIDAS ]]</f>
        <v/>
      </c>
      <c r="I647" s="76" t="n">
        <v>0</v>
      </c>
      <c r="J647">
        <f>IF(PRODUCTOS[[#This Row],[STOCK]]&lt;0,"NEGATIVO",IF(PRODUCTOS[[#This Row],[STOCK]]=0,"SIN STOCK",IF(PRODUCTOS[[#This Row],[STOCK]]&lt;=PRODUCTOS[[#This Row],[STOCK MÍN.]],"BAJO","OK")))</f>
        <v/>
      </c>
      <c r="K6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48" hidden="1" s="11">
      <c r="A648" s="18" t="n">
        <v>633</v>
      </c>
      <c r="B648" s="56" t="inlineStr">
        <is>
          <t>00043-PLM</t>
        </is>
      </c>
      <c r="C648" s="56">
        <f>IFERROR(_xlfn.XLOOKUP(PRODUCTOS[[#This Row],[CODIGO]],LISTADO[CODIGOS],LISTADO[CATEGORIA]),"NO EXISTE")</f>
        <v/>
      </c>
      <c r="D648" s="56">
        <f>IFERROR(_xlfn.XLOOKUP(PRODUCTOS[[#This Row],[CODIGO]],LISTADO[CODIGOS],LISTADO[PRODUCTOS]),"NO EXISTE")</f>
        <v/>
      </c>
      <c r="E648" s="56">
        <f>IFERROR(_xlfn.XLOOKUP(PRODUCTOS[[#This Row],[CODIGO]],LISTADO[CODIGOS],LISTADO[UBICACIÓN]),"NO EXISTE")</f>
        <v/>
      </c>
      <c r="F648" s="56">
        <f>SUMIFS(ENTRADAS[CANTIDAD],ENTRADAS[CODIGO],PRODUCTOS[[#This Row],[CODIGO]])</f>
        <v/>
      </c>
      <c r="G648" s="56">
        <f>SUMIFS(SALIDAS[CANTIDAD],SALIDAS[CODIGO],PRODUCTOS[[#This Row],[CODIGO]])</f>
        <v/>
      </c>
      <c r="H648" s="56">
        <f>PRODUCTOS[[#This Row],[ENTRADAS]]-PRODUCTOS[[#This Row],[SALIDAS ]]</f>
        <v/>
      </c>
      <c r="I648" s="76" t="n">
        <v>0</v>
      </c>
      <c r="J648">
        <f>IF(PRODUCTOS[[#This Row],[STOCK]]&lt;0,"NEGATIVO",IF(PRODUCTOS[[#This Row],[STOCK]]=0,"SIN STOCK",IF(PRODUCTOS[[#This Row],[STOCK]]&lt;=PRODUCTOS[[#This Row],[STOCK MÍN.]],"BAJO","OK")))</f>
        <v/>
      </c>
      <c r="K6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49" hidden="1" s="11">
      <c r="A649" s="18" t="n">
        <v>634</v>
      </c>
      <c r="B649" s="56" t="inlineStr">
        <is>
          <t>00121-FER</t>
        </is>
      </c>
      <c r="C649" s="56">
        <f>IFERROR(_xlfn.XLOOKUP(PRODUCTOS[[#This Row],[CODIGO]],LISTADO[CODIGOS],LISTADO[CATEGORIA]),"NO EXISTE")</f>
        <v/>
      </c>
      <c r="D649" s="56">
        <f>IFERROR(_xlfn.XLOOKUP(PRODUCTOS[[#This Row],[CODIGO]],LISTADO[CODIGOS],LISTADO[PRODUCTOS]),"NO EXISTE")</f>
        <v/>
      </c>
      <c r="E649" s="56">
        <f>IFERROR(_xlfn.XLOOKUP(PRODUCTOS[[#This Row],[CODIGO]],LISTADO[CODIGOS],LISTADO[UBICACIÓN]),"NO EXISTE")</f>
        <v/>
      </c>
      <c r="F649" s="56">
        <f>SUMIFS(ENTRADAS[CANTIDAD],ENTRADAS[CODIGO],PRODUCTOS[[#This Row],[CODIGO]])</f>
        <v/>
      </c>
      <c r="G649" s="56">
        <f>SUMIFS(SALIDAS[CANTIDAD],SALIDAS[CODIGO],PRODUCTOS[[#This Row],[CODIGO]])</f>
        <v/>
      </c>
      <c r="H649" s="56">
        <f>PRODUCTOS[[#This Row],[ENTRADAS]]-PRODUCTOS[[#This Row],[SALIDAS ]]</f>
        <v/>
      </c>
      <c r="I649" s="76" t="n">
        <v>0</v>
      </c>
      <c r="J649">
        <f>IF(PRODUCTOS[[#This Row],[STOCK]]&lt;0,"NEGATIVO",IF(PRODUCTOS[[#This Row],[STOCK]]=0,"SIN STOCK",IF(PRODUCTOS[[#This Row],[STOCK]]&lt;=PRODUCTOS[[#This Row],[STOCK MÍN.]],"BAJO","OK")))</f>
        <v/>
      </c>
      <c r="K6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50" hidden="1" s="11">
      <c r="A650" s="18" t="n">
        <v>640</v>
      </c>
      <c r="B650" s="56" t="inlineStr">
        <is>
          <t>00078-REF</t>
        </is>
      </c>
      <c r="C650" s="56">
        <f>IFERROR(_xlfn.XLOOKUP(PRODUCTOS[[#This Row],[CODIGO]],LISTADO[CODIGOS],LISTADO[CATEGORIA]),"NO EXISTE")</f>
        <v/>
      </c>
      <c r="D650" s="56">
        <f>IFERROR(_xlfn.XLOOKUP(PRODUCTOS[[#This Row],[CODIGO]],LISTADO[CODIGOS],LISTADO[PRODUCTOS]),"NO EXISTE")</f>
        <v/>
      </c>
      <c r="E650" s="56">
        <f>IFERROR(_xlfn.XLOOKUP(PRODUCTOS[[#This Row],[CODIGO]],LISTADO[CODIGOS],LISTADO[UBICACIÓN]),"NO EXISTE")</f>
        <v/>
      </c>
      <c r="F650" s="56">
        <f>SUMIFS(ENTRADAS[CANTIDAD],ENTRADAS[CODIGO],PRODUCTOS[[#This Row],[CODIGO]])</f>
        <v/>
      </c>
      <c r="G650" s="56">
        <f>SUMIFS(SALIDAS[CANTIDAD],SALIDAS[CODIGO],PRODUCTOS[[#This Row],[CODIGO]])</f>
        <v/>
      </c>
      <c r="H650" s="56">
        <f>PRODUCTOS[[#This Row],[ENTRADAS]]-PRODUCTOS[[#This Row],[SALIDAS ]]</f>
        <v/>
      </c>
      <c r="I650" s="76" t="n">
        <v>0</v>
      </c>
      <c r="J650">
        <f>IF(PRODUCTOS[[#This Row],[STOCK]]&lt;0,"NEGATIVO",IF(PRODUCTOS[[#This Row],[STOCK]]=0,"SIN STOCK",IF(PRODUCTOS[[#This Row],[STOCK]]&lt;=PRODUCTOS[[#This Row],[STOCK MÍN.]],"BAJO","OK")))</f>
        <v/>
      </c>
      <c r="K6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51" hidden="1" s="11">
      <c r="A651" s="18" t="n">
        <v>979</v>
      </c>
      <c r="B651" s="56" t="inlineStr">
        <is>
          <t>00079-REF</t>
        </is>
      </c>
      <c r="C651" s="56">
        <f>IFERROR(_xlfn.XLOOKUP(PRODUCTOS[[#This Row],[CODIGO]],LISTADO[CODIGOS],LISTADO[CATEGORIA]),"NO EXISTE")</f>
        <v/>
      </c>
      <c r="D651" s="56">
        <f>IFERROR(_xlfn.XLOOKUP(PRODUCTOS[[#This Row],[CODIGO]],LISTADO[CODIGOS],LISTADO[PRODUCTOS]),"NO EXISTE")</f>
        <v/>
      </c>
      <c r="E651" s="56">
        <f>IFERROR(_xlfn.XLOOKUP(PRODUCTOS[[#This Row],[CODIGO]],LISTADO[CODIGOS],LISTADO[UBICACIÓN]),"NO EXISTE")</f>
        <v/>
      </c>
      <c r="F651" s="56">
        <f>SUMIFS(ENTRADAS[CANTIDAD],ENTRADAS[CODIGO],PRODUCTOS[[#This Row],[CODIGO]])</f>
        <v/>
      </c>
      <c r="G651" s="56">
        <f>SUMIFS(SALIDAS[CANTIDAD],SALIDAS[CODIGO],PRODUCTOS[[#This Row],[CODIGO]])</f>
        <v/>
      </c>
      <c r="H651" s="56">
        <f>PRODUCTOS[[#This Row],[ENTRADAS]]-PRODUCTOS[[#This Row],[SALIDAS ]]</f>
        <v/>
      </c>
      <c r="I651" s="76" t="n">
        <v>0</v>
      </c>
      <c r="J651">
        <f>IF(PRODUCTOS[[#This Row],[STOCK]]&lt;0,"NEGATIVO",IF(PRODUCTOS[[#This Row],[STOCK]]=0,"SIN STOCK",IF(PRODUCTOS[[#This Row],[STOCK]]&lt;=PRODUCTOS[[#This Row],[STOCK MÍN.]],"BAJO","OK")))</f>
        <v/>
      </c>
      <c r="K6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52" hidden="1" s="11">
      <c r="A652" s="18" t="n">
        <v>857</v>
      </c>
      <c r="B652" s="56" t="inlineStr">
        <is>
          <t>00080-REF</t>
        </is>
      </c>
      <c r="C652" s="56">
        <f>IFERROR(_xlfn.XLOOKUP(PRODUCTOS[[#This Row],[CODIGO]],LISTADO[CODIGOS],LISTADO[CATEGORIA]),"NO EXISTE")</f>
        <v/>
      </c>
      <c r="D652" s="56">
        <f>IFERROR(_xlfn.XLOOKUP(PRODUCTOS[[#This Row],[CODIGO]],LISTADO[CODIGOS],LISTADO[PRODUCTOS]),"NO EXISTE")</f>
        <v/>
      </c>
      <c r="E652" s="56">
        <f>IFERROR(_xlfn.XLOOKUP(PRODUCTOS[[#This Row],[CODIGO]],LISTADO[CODIGOS],LISTADO[UBICACIÓN]),"NO EXISTE")</f>
        <v/>
      </c>
      <c r="F652" s="56">
        <f>SUMIFS(ENTRADAS[CANTIDAD],ENTRADAS[CODIGO],PRODUCTOS[[#This Row],[CODIGO]])</f>
        <v/>
      </c>
      <c r="G652" s="56">
        <f>SUMIFS(SALIDAS[CANTIDAD],SALIDAS[CODIGO],PRODUCTOS[[#This Row],[CODIGO]])</f>
        <v/>
      </c>
      <c r="H652" s="56">
        <f>PRODUCTOS[[#This Row],[ENTRADAS]]-PRODUCTOS[[#This Row],[SALIDAS ]]</f>
        <v/>
      </c>
      <c r="I652" s="76" t="n">
        <v>0</v>
      </c>
      <c r="J652">
        <f>IF(PRODUCTOS[[#This Row],[STOCK]]&lt;0,"NEGATIVO",IF(PRODUCTOS[[#This Row],[STOCK]]=0,"SIN STOCK",IF(PRODUCTOS[[#This Row],[STOCK]]&lt;=PRODUCTOS[[#This Row],[STOCK MÍN.]],"BAJO","OK")))</f>
        <v/>
      </c>
      <c r="K6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53" hidden="1" s="11">
      <c r="A653" s="18" t="n">
        <v>858</v>
      </c>
      <c r="B653" s="56" t="inlineStr">
        <is>
          <t>00081-REF</t>
        </is>
      </c>
      <c r="C653" s="56">
        <f>IFERROR(_xlfn.XLOOKUP(PRODUCTOS[[#This Row],[CODIGO]],LISTADO[CODIGOS],LISTADO[CATEGORIA]),"NO EXISTE")</f>
        <v/>
      </c>
      <c r="D653" s="56">
        <f>IFERROR(_xlfn.XLOOKUP(PRODUCTOS[[#This Row],[CODIGO]],LISTADO[CODIGOS],LISTADO[PRODUCTOS]),"NO EXISTE")</f>
        <v/>
      </c>
      <c r="E653" s="56">
        <f>IFERROR(_xlfn.XLOOKUP(PRODUCTOS[[#This Row],[CODIGO]],LISTADO[CODIGOS],LISTADO[UBICACIÓN]),"NO EXISTE")</f>
        <v/>
      </c>
      <c r="F653" s="56">
        <f>SUMIFS(ENTRADAS[CANTIDAD],ENTRADAS[CODIGO],PRODUCTOS[[#This Row],[CODIGO]])</f>
        <v/>
      </c>
      <c r="G653" s="56">
        <f>SUMIFS(SALIDAS[CANTIDAD],SALIDAS[CODIGO],PRODUCTOS[[#This Row],[CODIGO]])</f>
        <v/>
      </c>
      <c r="H653" s="56">
        <f>PRODUCTOS[[#This Row],[ENTRADAS]]-PRODUCTOS[[#This Row],[SALIDAS ]]</f>
        <v/>
      </c>
      <c r="I653" s="76" t="n">
        <v>0</v>
      </c>
      <c r="J653">
        <f>IF(PRODUCTOS[[#This Row],[STOCK]]&lt;0,"NEGATIVO",IF(PRODUCTOS[[#This Row],[STOCK]]=0,"SIN STOCK",IF(PRODUCTOS[[#This Row],[STOCK]]&lt;=PRODUCTOS[[#This Row],[STOCK MÍN.]],"BAJO","OK")))</f>
        <v/>
      </c>
      <c r="K6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54" hidden="1" s="11">
      <c r="A654" s="18" t="n">
        <v>639</v>
      </c>
      <c r="B654" s="56" t="inlineStr">
        <is>
          <t>00082-REF</t>
        </is>
      </c>
      <c r="C654" s="56">
        <f>IFERROR(_xlfn.XLOOKUP(PRODUCTOS[[#This Row],[CODIGO]],LISTADO[CODIGOS],LISTADO[CATEGORIA]),"NO EXISTE")</f>
        <v/>
      </c>
      <c r="D654" s="56">
        <f>IFERROR(_xlfn.XLOOKUP(PRODUCTOS[[#This Row],[CODIGO]],LISTADO[CODIGOS],LISTADO[PRODUCTOS]),"NO EXISTE")</f>
        <v/>
      </c>
      <c r="E654" s="56">
        <f>IFERROR(_xlfn.XLOOKUP(PRODUCTOS[[#This Row],[CODIGO]],LISTADO[CODIGOS],LISTADO[UBICACIÓN]),"NO EXISTE")</f>
        <v/>
      </c>
      <c r="F654" s="56">
        <f>SUMIFS(ENTRADAS[CANTIDAD],ENTRADAS[CODIGO],PRODUCTOS[[#This Row],[CODIGO]])</f>
        <v/>
      </c>
      <c r="G654" s="56">
        <f>SUMIFS(SALIDAS[CANTIDAD],SALIDAS[CODIGO],PRODUCTOS[[#This Row],[CODIGO]])</f>
        <v/>
      </c>
      <c r="H654" s="56">
        <f>PRODUCTOS[[#This Row],[ENTRADAS]]-PRODUCTOS[[#This Row],[SALIDAS ]]</f>
        <v/>
      </c>
      <c r="I654" s="76" t="n">
        <v>0</v>
      </c>
      <c r="J654">
        <f>IF(PRODUCTOS[[#This Row],[STOCK]]&lt;0,"NEGATIVO",IF(PRODUCTOS[[#This Row],[STOCK]]=0,"SIN STOCK",IF(PRODUCTOS[[#This Row],[STOCK]]&lt;=PRODUCTOS[[#This Row],[STOCK MÍN.]],"BAJO","OK")))</f>
        <v/>
      </c>
      <c r="K6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55" hidden="1" s="11">
      <c r="A655" s="18" t="n">
        <v>635</v>
      </c>
      <c r="B655" s="56" t="inlineStr">
        <is>
          <t>00083-REF</t>
        </is>
      </c>
      <c r="C655" s="56">
        <f>IFERROR(_xlfn.XLOOKUP(PRODUCTOS[[#This Row],[CODIGO]],LISTADO[CODIGOS],LISTADO[CATEGORIA]),"NO EXISTE")</f>
        <v/>
      </c>
      <c r="D655" s="56">
        <f>IFERROR(_xlfn.XLOOKUP(PRODUCTOS[[#This Row],[CODIGO]],LISTADO[CODIGOS],LISTADO[PRODUCTOS]),"NO EXISTE")</f>
        <v/>
      </c>
      <c r="E655" s="56">
        <f>IFERROR(_xlfn.XLOOKUP(PRODUCTOS[[#This Row],[CODIGO]],LISTADO[CODIGOS],LISTADO[UBICACIÓN]),"NO EXISTE")</f>
        <v/>
      </c>
      <c r="F655" s="56">
        <f>SUMIFS(ENTRADAS[CANTIDAD],ENTRADAS[CODIGO],PRODUCTOS[[#This Row],[CODIGO]])</f>
        <v/>
      </c>
      <c r="G655" s="56">
        <f>SUMIFS(SALIDAS[CANTIDAD],SALIDAS[CODIGO],PRODUCTOS[[#This Row],[CODIGO]])</f>
        <v/>
      </c>
      <c r="H655" s="56">
        <f>PRODUCTOS[[#This Row],[ENTRADAS]]-PRODUCTOS[[#This Row],[SALIDAS ]]</f>
        <v/>
      </c>
      <c r="I655" s="76" t="n">
        <v>0</v>
      </c>
      <c r="J655">
        <f>IF(PRODUCTOS[[#This Row],[STOCK]]&lt;0,"NEGATIVO",IF(PRODUCTOS[[#This Row],[STOCK]]=0,"SIN STOCK",IF(PRODUCTOS[[#This Row],[STOCK]]&lt;=PRODUCTOS[[#This Row],[STOCK MÍN.]],"BAJO","OK")))</f>
        <v/>
      </c>
      <c r="K6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56" hidden="1" s="11">
      <c r="A656" s="18" t="n">
        <v>641</v>
      </c>
      <c r="B656" s="56" t="inlineStr">
        <is>
          <t>00084-REF</t>
        </is>
      </c>
      <c r="C656" s="56">
        <f>IFERROR(_xlfn.XLOOKUP(PRODUCTOS[[#This Row],[CODIGO]],LISTADO[CODIGOS],LISTADO[CATEGORIA]),"NO EXISTE")</f>
        <v/>
      </c>
      <c r="D656" s="56">
        <f>IFERROR(_xlfn.XLOOKUP(PRODUCTOS[[#This Row],[CODIGO]],LISTADO[CODIGOS],LISTADO[PRODUCTOS]),"NO EXISTE")</f>
        <v/>
      </c>
      <c r="E656" s="56">
        <f>IFERROR(_xlfn.XLOOKUP(PRODUCTOS[[#This Row],[CODIGO]],LISTADO[CODIGOS],LISTADO[UBICACIÓN]),"NO EXISTE")</f>
        <v/>
      </c>
      <c r="F656" s="56">
        <f>SUMIFS(ENTRADAS[CANTIDAD],ENTRADAS[CODIGO],PRODUCTOS[[#This Row],[CODIGO]])</f>
        <v/>
      </c>
      <c r="G656" s="56">
        <f>SUMIFS(SALIDAS[CANTIDAD],SALIDAS[CODIGO],PRODUCTOS[[#This Row],[CODIGO]])</f>
        <v/>
      </c>
      <c r="H656" s="56">
        <f>PRODUCTOS[[#This Row],[ENTRADAS]]-PRODUCTOS[[#This Row],[SALIDAS ]]</f>
        <v/>
      </c>
      <c r="I656" s="76" t="n">
        <v>0</v>
      </c>
      <c r="J656">
        <f>IF(PRODUCTOS[[#This Row],[STOCK]]&lt;0,"NEGATIVO",IF(PRODUCTOS[[#This Row],[STOCK]]=0,"SIN STOCK",IF(PRODUCTOS[[#This Row],[STOCK]]&lt;=PRODUCTOS[[#This Row],[STOCK MÍN.]],"BAJO","OK")))</f>
        <v/>
      </c>
      <c r="K6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57" hidden="1" s="11">
      <c r="A657" s="18" t="n">
        <v>638</v>
      </c>
      <c r="B657" s="56" t="inlineStr">
        <is>
          <t>00085-REF</t>
        </is>
      </c>
      <c r="C657" s="56">
        <f>IFERROR(_xlfn.XLOOKUP(PRODUCTOS[[#This Row],[CODIGO]],LISTADO[CODIGOS],LISTADO[CATEGORIA]),"NO EXISTE")</f>
        <v/>
      </c>
      <c r="D657" s="56">
        <f>IFERROR(_xlfn.XLOOKUP(PRODUCTOS[[#This Row],[CODIGO]],LISTADO[CODIGOS],LISTADO[PRODUCTOS]),"NO EXISTE")</f>
        <v/>
      </c>
      <c r="E657" s="56">
        <f>IFERROR(_xlfn.XLOOKUP(PRODUCTOS[[#This Row],[CODIGO]],LISTADO[CODIGOS],LISTADO[UBICACIÓN]),"NO EXISTE")</f>
        <v/>
      </c>
      <c r="F657" s="56">
        <f>SUMIFS(ENTRADAS[CANTIDAD],ENTRADAS[CODIGO],PRODUCTOS[[#This Row],[CODIGO]])</f>
        <v/>
      </c>
      <c r="G657" s="56">
        <f>SUMIFS(SALIDAS[CANTIDAD],SALIDAS[CODIGO],PRODUCTOS[[#This Row],[CODIGO]])</f>
        <v/>
      </c>
      <c r="H657" s="56">
        <f>PRODUCTOS[[#This Row],[ENTRADAS]]-PRODUCTOS[[#This Row],[SALIDAS ]]</f>
        <v/>
      </c>
      <c r="I657" s="76" t="n">
        <v>0</v>
      </c>
      <c r="J657">
        <f>IF(PRODUCTOS[[#This Row],[STOCK]]&lt;0,"NEGATIVO",IF(PRODUCTOS[[#This Row],[STOCK]]=0,"SIN STOCK",IF(PRODUCTOS[[#This Row],[STOCK]]&lt;=PRODUCTOS[[#This Row],[STOCK MÍN.]],"BAJO","OK")))</f>
        <v/>
      </c>
      <c r="K6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58" hidden="1" s="11">
      <c r="A658" s="18" t="n">
        <v>643</v>
      </c>
      <c r="B658" s="56" t="inlineStr">
        <is>
          <t>00122-FER</t>
        </is>
      </c>
      <c r="C658" s="56">
        <f>IFERROR(_xlfn.XLOOKUP(PRODUCTOS[[#This Row],[CODIGO]],LISTADO[CODIGOS],LISTADO[CATEGORIA]),"NO EXISTE")</f>
        <v/>
      </c>
      <c r="D658" s="56">
        <f>IFERROR(_xlfn.XLOOKUP(PRODUCTOS[[#This Row],[CODIGO]],LISTADO[CODIGOS],LISTADO[PRODUCTOS]),"NO EXISTE")</f>
        <v/>
      </c>
      <c r="E658" s="56">
        <f>IFERROR(_xlfn.XLOOKUP(PRODUCTOS[[#This Row],[CODIGO]],LISTADO[CODIGOS],LISTADO[UBICACIÓN]),"NO EXISTE")</f>
        <v/>
      </c>
      <c r="F658" s="56">
        <f>SUMIFS(ENTRADAS[CANTIDAD],ENTRADAS[CODIGO],PRODUCTOS[[#This Row],[CODIGO]])</f>
        <v/>
      </c>
      <c r="G658" s="56">
        <f>SUMIFS(SALIDAS[CANTIDAD],SALIDAS[CODIGO],PRODUCTOS[[#This Row],[CODIGO]])</f>
        <v/>
      </c>
      <c r="H658" s="56">
        <f>PRODUCTOS[[#This Row],[ENTRADAS]]-PRODUCTOS[[#This Row],[SALIDAS ]]</f>
        <v/>
      </c>
      <c r="I658" s="76" t="n">
        <v>0</v>
      </c>
      <c r="J658">
        <f>IF(PRODUCTOS[[#This Row],[STOCK]]&lt;0,"NEGATIVO",IF(PRODUCTOS[[#This Row],[STOCK]]=0,"SIN STOCK",IF(PRODUCTOS[[#This Row],[STOCK]]&lt;=PRODUCTOS[[#This Row],[STOCK MÍN.]],"BAJO","OK")))</f>
        <v/>
      </c>
      <c r="K6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59" hidden="1" s="11">
      <c r="A659" s="18" t="n">
        <v>644</v>
      </c>
      <c r="B659" s="56" t="inlineStr">
        <is>
          <t>00123-FER</t>
        </is>
      </c>
      <c r="C659" s="56">
        <f>IFERROR(_xlfn.XLOOKUP(PRODUCTOS[[#This Row],[CODIGO]],LISTADO[CODIGOS],LISTADO[CATEGORIA]),"NO EXISTE")</f>
        <v/>
      </c>
      <c r="D659" s="56">
        <f>IFERROR(_xlfn.XLOOKUP(PRODUCTOS[[#This Row],[CODIGO]],LISTADO[CODIGOS],LISTADO[PRODUCTOS]),"NO EXISTE")</f>
        <v/>
      </c>
      <c r="E659" s="56">
        <f>IFERROR(_xlfn.XLOOKUP(PRODUCTOS[[#This Row],[CODIGO]],LISTADO[CODIGOS],LISTADO[UBICACIÓN]),"NO EXISTE")</f>
        <v/>
      </c>
      <c r="F659" s="56">
        <f>SUMIFS(ENTRADAS[CANTIDAD],ENTRADAS[CODIGO],PRODUCTOS[[#This Row],[CODIGO]])</f>
        <v/>
      </c>
      <c r="G659" s="56">
        <f>SUMIFS(SALIDAS[CANTIDAD],SALIDAS[CODIGO],PRODUCTOS[[#This Row],[CODIGO]])</f>
        <v/>
      </c>
      <c r="H659" s="56">
        <f>PRODUCTOS[[#This Row],[ENTRADAS]]-PRODUCTOS[[#This Row],[SALIDAS ]]</f>
        <v/>
      </c>
      <c r="I659" s="76" t="n">
        <v>0</v>
      </c>
      <c r="J659">
        <f>IF(PRODUCTOS[[#This Row],[STOCK]]&lt;0,"NEGATIVO",IF(PRODUCTOS[[#This Row],[STOCK]]=0,"SIN STOCK",IF(PRODUCTOS[[#This Row],[STOCK]]&lt;=PRODUCTOS[[#This Row],[STOCK MÍN.]],"BAJO","OK")))</f>
        <v/>
      </c>
      <c r="K6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60" hidden="1" s="11">
      <c r="A660" s="18" t="n">
        <v>645</v>
      </c>
      <c r="B660" s="56" t="inlineStr">
        <is>
          <t>00001-LIM</t>
        </is>
      </c>
      <c r="C660" s="56">
        <f>IFERROR(_xlfn.XLOOKUP(PRODUCTOS[[#This Row],[CODIGO]],LISTADO[CODIGOS],LISTADO[CATEGORIA]),"NO EXISTE")</f>
        <v/>
      </c>
      <c r="D660" s="56">
        <f>IFERROR(_xlfn.XLOOKUP(PRODUCTOS[[#This Row],[CODIGO]],LISTADO[CODIGOS],LISTADO[PRODUCTOS]),"NO EXISTE")</f>
        <v/>
      </c>
      <c r="E660" s="56">
        <f>IFERROR(_xlfn.XLOOKUP(PRODUCTOS[[#This Row],[CODIGO]],LISTADO[CODIGOS],LISTADO[UBICACIÓN]),"NO EXISTE")</f>
        <v/>
      </c>
      <c r="F660" s="56">
        <f>SUMIFS(ENTRADAS[CANTIDAD],ENTRADAS[CODIGO],PRODUCTOS[[#This Row],[CODIGO]])</f>
        <v/>
      </c>
      <c r="G660" s="56">
        <f>SUMIFS(SALIDAS[CANTIDAD],SALIDAS[CODIGO],PRODUCTOS[[#This Row],[CODIGO]])</f>
        <v/>
      </c>
      <c r="H660" s="56">
        <f>PRODUCTOS[[#This Row],[ENTRADAS]]-PRODUCTOS[[#This Row],[SALIDAS ]]</f>
        <v/>
      </c>
      <c r="I660" s="76" t="n">
        <v>0</v>
      </c>
      <c r="J660">
        <f>IF(PRODUCTOS[[#This Row],[STOCK]]&lt;0,"NEGATIVO",IF(PRODUCTOS[[#This Row],[STOCK]]=0,"SIN STOCK",IF(PRODUCTOS[[#This Row],[STOCK]]&lt;=PRODUCTOS[[#This Row],[STOCK MÍN.]],"BAJO","OK")))</f>
        <v/>
      </c>
      <c r="K6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61" hidden="1" s="11">
      <c r="A661" s="18" t="n">
        <v>646</v>
      </c>
      <c r="B661" s="56" t="inlineStr">
        <is>
          <t>00002-LIM</t>
        </is>
      </c>
      <c r="C661" s="56">
        <f>IFERROR(_xlfn.XLOOKUP(PRODUCTOS[[#This Row],[CODIGO]],LISTADO[CODIGOS],LISTADO[CATEGORIA]),"NO EXISTE")</f>
        <v/>
      </c>
      <c r="D661" s="56">
        <f>IFERROR(_xlfn.XLOOKUP(PRODUCTOS[[#This Row],[CODIGO]],LISTADO[CODIGOS],LISTADO[PRODUCTOS]),"NO EXISTE")</f>
        <v/>
      </c>
      <c r="E661" s="56">
        <f>IFERROR(_xlfn.XLOOKUP(PRODUCTOS[[#This Row],[CODIGO]],LISTADO[CODIGOS],LISTADO[UBICACIÓN]),"NO EXISTE")</f>
        <v/>
      </c>
      <c r="F661" s="56">
        <f>SUMIFS(ENTRADAS[CANTIDAD],ENTRADAS[CODIGO],PRODUCTOS[[#This Row],[CODIGO]])</f>
        <v/>
      </c>
      <c r="G661" s="56">
        <f>SUMIFS(SALIDAS[CANTIDAD],SALIDAS[CODIGO],PRODUCTOS[[#This Row],[CODIGO]])</f>
        <v/>
      </c>
      <c r="H661" s="56">
        <f>PRODUCTOS[[#This Row],[ENTRADAS]]-PRODUCTOS[[#This Row],[SALIDAS ]]</f>
        <v/>
      </c>
      <c r="I661" s="76" t="n">
        <v>0</v>
      </c>
      <c r="J661">
        <f>IF(PRODUCTOS[[#This Row],[STOCK]]&lt;0,"NEGATIVO",IF(PRODUCTOS[[#This Row],[STOCK]]=0,"SIN STOCK",IF(PRODUCTOS[[#This Row],[STOCK]]&lt;=PRODUCTOS[[#This Row],[STOCK MÍN.]],"BAJO","OK")))</f>
        <v/>
      </c>
      <c r="K6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62" hidden="1" s="11">
      <c r="A662" s="18" t="n">
        <v>647</v>
      </c>
      <c r="B662" s="56" t="inlineStr">
        <is>
          <t>00003-LIM</t>
        </is>
      </c>
      <c r="C662" s="56">
        <f>IFERROR(_xlfn.XLOOKUP(PRODUCTOS[[#This Row],[CODIGO]],LISTADO[CODIGOS],LISTADO[CATEGORIA]),"NO EXISTE")</f>
        <v/>
      </c>
      <c r="D662" s="56">
        <f>IFERROR(_xlfn.XLOOKUP(PRODUCTOS[[#This Row],[CODIGO]],LISTADO[CODIGOS],LISTADO[PRODUCTOS]),"NO EXISTE")</f>
        <v/>
      </c>
      <c r="E662" s="56">
        <f>IFERROR(_xlfn.XLOOKUP(PRODUCTOS[[#This Row],[CODIGO]],LISTADO[CODIGOS],LISTADO[UBICACIÓN]),"NO EXISTE")</f>
        <v/>
      </c>
      <c r="F662" s="56">
        <f>SUMIFS(ENTRADAS[CANTIDAD],ENTRADAS[CODIGO],PRODUCTOS[[#This Row],[CODIGO]])</f>
        <v/>
      </c>
      <c r="G662" s="56">
        <f>SUMIFS(SALIDAS[CANTIDAD],SALIDAS[CODIGO],PRODUCTOS[[#This Row],[CODIGO]])</f>
        <v/>
      </c>
      <c r="H662" s="56">
        <f>PRODUCTOS[[#This Row],[ENTRADAS]]-PRODUCTOS[[#This Row],[SALIDAS ]]</f>
        <v/>
      </c>
      <c r="I662" s="76" t="n">
        <v>0</v>
      </c>
      <c r="J662">
        <f>IF(PRODUCTOS[[#This Row],[STOCK]]&lt;0,"NEGATIVO",IF(PRODUCTOS[[#This Row],[STOCK]]=0,"SIN STOCK",IF(PRODUCTOS[[#This Row],[STOCK]]&lt;=PRODUCTOS[[#This Row],[STOCK MÍN.]],"BAJO","OK")))</f>
        <v/>
      </c>
      <c r="K6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63" hidden="1" s="11">
      <c r="A663" s="18" t="n">
        <v>648</v>
      </c>
      <c r="B663" s="56" t="inlineStr">
        <is>
          <t>00015-MSC</t>
        </is>
      </c>
      <c r="C663" s="56">
        <f>IFERROR(_xlfn.XLOOKUP(PRODUCTOS[[#This Row],[CODIGO]],LISTADO[CODIGOS],LISTADO[CATEGORIA]),"NO EXISTE")</f>
        <v/>
      </c>
      <c r="D663" s="56">
        <f>IFERROR(_xlfn.XLOOKUP(PRODUCTOS[[#This Row],[CODIGO]],LISTADO[CODIGOS],LISTADO[PRODUCTOS]),"NO EXISTE")</f>
        <v/>
      </c>
      <c r="E663" s="56">
        <f>IFERROR(_xlfn.XLOOKUP(PRODUCTOS[[#This Row],[CODIGO]],LISTADO[CODIGOS],LISTADO[UBICACIÓN]),"NO EXISTE")</f>
        <v/>
      </c>
      <c r="F663" s="56">
        <f>SUMIFS(ENTRADAS[CANTIDAD],ENTRADAS[CODIGO],PRODUCTOS[[#This Row],[CODIGO]])</f>
        <v/>
      </c>
      <c r="G663" s="56">
        <f>SUMIFS(SALIDAS[CANTIDAD],SALIDAS[CODIGO],PRODUCTOS[[#This Row],[CODIGO]])</f>
        <v/>
      </c>
      <c r="H663" s="56">
        <f>PRODUCTOS[[#This Row],[ENTRADAS]]-PRODUCTOS[[#This Row],[SALIDAS ]]</f>
        <v/>
      </c>
      <c r="I663" s="76" t="n">
        <v>0</v>
      </c>
      <c r="J663">
        <f>IF(PRODUCTOS[[#This Row],[STOCK]]&lt;0,"NEGATIVO",IF(PRODUCTOS[[#This Row],[STOCK]]=0,"SIN STOCK",IF(PRODUCTOS[[#This Row],[STOCK]]&lt;=PRODUCTOS[[#This Row],[STOCK MÍN.]],"BAJO","OK")))</f>
        <v/>
      </c>
      <c r="K6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64" hidden="1" s="11">
      <c r="A664" s="18" t="n">
        <v>649</v>
      </c>
      <c r="B664" s="56" t="inlineStr">
        <is>
          <t>00016-MSC</t>
        </is>
      </c>
      <c r="C664" s="56">
        <f>IFERROR(_xlfn.XLOOKUP(PRODUCTOS[[#This Row],[CODIGO]],LISTADO[CODIGOS],LISTADO[CATEGORIA]),"NO EXISTE")</f>
        <v/>
      </c>
      <c r="D664" s="56">
        <f>IFERROR(_xlfn.XLOOKUP(PRODUCTOS[[#This Row],[CODIGO]],LISTADO[CODIGOS],LISTADO[PRODUCTOS]),"NO EXISTE")</f>
        <v/>
      </c>
      <c r="E664" s="56">
        <f>IFERROR(_xlfn.XLOOKUP(PRODUCTOS[[#This Row],[CODIGO]],LISTADO[CODIGOS],LISTADO[UBICACIÓN]),"NO EXISTE")</f>
        <v/>
      </c>
      <c r="F664" s="56">
        <f>SUMIFS(ENTRADAS[CANTIDAD],ENTRADAS[CODIGO],PRODUCTOS[[#This Row],[CODIGO]])</f>
        <v/>
      </c>
      <c r="G664" s="56">
        <f>SUMIFS(SALIDAS[CANTIDAD],SALIDAS[CODIGO],PRODUCTOS[[#This Row],[CODIGO]])</f>
        <v/>
      </c>
      <c r="H664" s="56">
        <f>PRODUCTOS[[#This Row],[ENTRADAS]]-PRODUCTOS[[#This Row],[SALIDAS ]]</f>
        <v/>
      </c>
      <c r="I664" s="76" t="n">
        <v>0</v>
      </c>
      <c r="J664">
        <f>IF(PRODUCTOS[[#This Row],[STOCK]]&lt;0,"NEGATIVO",IF(PRODUCTOS[[#This Row],[STOCK]]=0,"SIN STOCK",IF(PRODUCTOS[[#This Row],[STOCK]]&lt;=PRODUCTOS[[#This Row],[STOCK MÍN.]],"BAJO","OK")))</f>
        <v/>
      </c>
      <c r="K6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65" hidden="1" s="11">
      <c r="A665" s="18" t="n">
        <v>650</v>
      </c>
      <c r="B665" s="56" t="inlineStr">
        <is>
          <t>00017-MSC</t>
        </is>
      </c>
      <c r="C665" s="56">
        <f>IFERROR(_xlfn.XLOOKUP(PRODUCTOS[[#This Row],[CODIGO]],LISTADO[CODIGOS],LISTADO[CATEGORIA]),"NO EXISTE")</f>
        <v/>
      </c>
      <c r="D665" s="56">
        <f>IFERROR(_xlfn.XLOOKUP(PRODUCTOS[[#This Row],[CODIGO]],LISTADO[CODIGOS],LISTADO[PRODUCTOS]),"NO EXISTE")</f>
        <v/>
      </c>
      <c r="E665" s="56">
        <f>IFERROR(_xlfn.XLOOKUP(PRODUCTOS[[#This Row],[CODIGO]],LISTADO[CODIGOS],LISTADO[UBICACIÓN]),"NO EXISTE")</f>
        <v/>
      </c>
      <c r="F665" s="56">
        <f>SUMIFS(ENTRADAS[CANTIDAD],ENTRADAS[CODIGO],PRODUCTOS[[#This Row],[CODIGO]])</f>
        <v/>
      </c>
      <c r="G665" s="56">
        <f>SUMIFS(SALIDAS[CANTIDAD],SALIDAS[CODIGO],PRODUCTOS[[#This Row],[CODIGO]])</f>
        <v/>
      </c>
      <c r="H665" s="56">
        <f>PRODUCTOS[[#This Row],[ENTRADAS]]-PRODUCTOS[[#This Row],[SALIDAS ]]</f>
        <v/>
      </c>
      <c r="I665" s="76" t="n">
        <v>0</v>
      </c>
      <c r="J665">
        <f>IF(PRODUCTOS[[#This Row],[STOCK]]&lt;0,"NEGATIVO",IF(PRODUCTOS[[#This Row],[STOCK]]=0,"SIN STOCK",IF(PRODUCTOS[[#This Row],[STOCK]]&lt;=PRODUCTOS[[#This Row],[STOCK MÍN.]],"BAJO","OK")))</f>
        <v/>
      </c>
      <c r="K6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66" hidden="1" s="11">
      <c r="A666" s="18" t="n">
        <v>651</v>
      </c>
      <c r="B666" s="56" t="inlineStr">
        <is>
          <t>00004-LIM</t>
        </is>
      </c>
      <c r="C666" s="56">
        <f>IFERROR(_xlfn.XLOOKUP(PRODUCTOS[[#This Row],[CODIGO]],LISTADO[CODIGOS],LISTADO[CATEGORIA]),"NO EXISTE")</f>
        <v/>
      </c>
      <c r="D666" s="56">
        <f>IFERROR(_xlfn.XLOOKUP(PRODUCTOS[[#This Row],[CODIGO]],LISTADO[CODIGOS],LISTADO[PRODUCTOS]),"NO EXISTE")</f>
        <v/>
      </c>
      <c r="E666" s="56">
        <f>IFERROR(_xlfn.XLOOKUP(PRODUCTOS[[#This Row],[CODIGO]],LISTADO[CODIGOS],LISTADO[UBICACIÓN]),"NO EXISTE")</f>
        <v/>
      </c>
      <c r="F666" s="56">
        <f>SUMIFS(ENTRADAS[CANTIDAD],ENTRADAS[CODIGO],PRODUCTOS[[#This Row],[CODIGO]])</f>
        <v/>
      </c>
      <c r="G666" s="56">
        <f>SUMIFS(SALIDAS[CANTIDAD],SALIDAS[CODIGO],PRODUCTOS[[#This Row],[CODIGO]])</f>
        <v/>
      </c>
      <c r="H666" s="56">
        <f>PRODUCTOS[[#This Row],[ENTRADAS]]-PRODUCTOS[[#This Row],[SALIDAS ]]</f>
        <v/>
      </c>
      <c r="I666" s="76" t="n">
        <v>0</v>
      </c>
      <c r="J666">
        <f>IF(PRODUCTOS[[#This Row],[STOCK]]&lt;0,"NEGATIVO",IF(PRODUCTOS[[#This Row],[STOCK]]=0,"SIN STOCK",IF(PRODUCTOS[[#This Row],[STOCK]]&lt;=PRODUCTOS[[#This Row],[STOCK MÍN.]],"BAJO","OK")))</f>
        <v/>
      </c>
      <c r="K6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67" hidden="1" s="11">
      <c r="A667" s="18" t="n">
        <v>1058</v>
      </c>
      <c r="B667" s="56" t="inlineStr">
        <is>
          <t>00086-REF</t>
        </is>
      </c>
      <c r="C667" s="56">
        <f>IFERROR(_xlfn.XLOOKUP(PRODUCTOS[[#This Row],[CODIGO]],LISTADO[CODIGOS],LISTADO[CATEGORIA]),"NO EXISTE")</f>
        <v/>
      </c>
      <c r="D667" s="56">
        <f>IFERROR(_xlfn.XLOOKUP(PRODUCTOS[[#This Row],[CODIGO]],LISTADO[CODIGOS],LISTADO[PRODUCTOS]),"NO EXISTE")</f>
        <v/>
      </c>
      <c r="E667" s="56">
        <f>IFERROR(_xlfn.XLOOKUP(PRODUCTOS[[#This Row],[CODIGO]],LISTADO[CODIGOS],LISTADO[UBICACIÓN]),"NO EXISTE")</f>
        <v/>
      </c>
      <c r="F667" s="56">
        <f>SUMIFS(ENTRADAS[CANTIDAD],ENTRADAS[CODIGO],PRODUCTOS[[#This Row],[CODIGO]])</f>
        <v/>
      </c>
      <c r="G667" s="56">
        <f>SUMIFS(SALIDAS[CANTIDAD],SALIDAS[CODIGO],PRODUCTOS[[#This Row],[CODIGO]])</f>
        <v/>
      </c>
      <c r="H667" s="56">
        <f>PRODUCTOS[[#This Row],[ENTRADAS]]-PRODUCTOS[[#This Row],[SALIDAS ]]</f>
        <v/>
      </c>
      <c r="I667" s="76" t="n">
        <v>0</v>
      </c>
      <c r="J667">
        <f>IF(PRODUCTOS[[#This Row],[STOCK]]&lt;0,"NEGATIVO",IF(PRODUCTOS[[#This Row],[STOCK]]=0,"SIN STOCK",IF(PRODUCTOS[[#This Row],[STOCK]]&lt;=PRODUCTOS[[#This Row],[STOCK MÍN.]],"BAJO","OK")))</f>
        <v/>
      </c>
      <c r="K6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68" hidden="1" s="11">
      <c r="A668" s="18" t="n">
        <v>653</v>
      </c>
      <c r="B668" s="56" t="inlineStr">
        <is>
          <t>00124-FER</t>
        </is>
      </c>
      <c r="C668" s="56">
        <f>IFERROR(_xlfn.XLOOKUP(PRODUCTOS[[#This Row],[CODIGO]],LISTADO[CODIGOS],LISTADO[CATEGORIA]),"NO EXISTE")</f>
        <v/>
      </c>
      <c r="D668" s="56">
        <f>IFERROR(_xlfn.XLOOKUP(PRODUCTOS[[#This Row],[CODIGO]],LISTADO[CODIGOS],LISTADO[PRODUCTOS]),"NO EXISTE")</f>
        <v/>
      </c>
      <c r="E668" s="56">
        <f>IFERROR(_xlfn.XLOOKUP(PRODUCTOS[[#This Row],[CODIGO]],LISTADO[CODIGOS],LISTADO[UBICACIÓN]),"NO EXISTE")</f>
        <v/>
      </c>
      <c r="F668" s="56">
        <f>SUMIFS(ENTRADAS[CANTIDAD],ENTRADAS[CODIGO],PRODUCTOS[[#This Row],[CODIGO]])</f>
        <v/>
      </c>
      <c r="G668" s="56">
        <f>SUMIFS(SALIDAS[CANTIDAD],SALIDAS[CODIGO],PRODUCTOS[[#This Row],[CODIGO]])</f>
        <v/>
      </c>
      <c r="H668" s="56">
        <f>PRODUCTOS[[#This Row],[ENTRADAS]]-PRODUCTOS[[#This Row],[SALIDAS ]]</f>
        <v/>
      </c>
      <c r="I668" s="76" t="n">
        <v>0</v>
      </c>
      <c r="J668">
        <f>IF(PRODUCTOS[[#This Row],[STOCK]]&lt;0,"NEGATIVO",IF(PRODUCTOS[[#This Row],[STOCK]]=0,"SIN STOCK",IF(PRODUCTOS[[#This Row],[STOCK]]&lt;=PRODUCTOS[[#This Row],[STOCK MÍN.]],"BAJO","OK")))</f>
        <v/>
      </c>
      <c r="K6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69" hidden="1" s="11">
      <c r="A669" s="18" t="n">
        <v>431</v>
      </c>
      <c r="B669" s="56" t="inlineStr">
        <is>
          <t>00010-AUT</t>
        </is>
      </c>
      <c r="C669" s="56">
        <f>IFERROR(_xlfn.XLOOKUP(PRODUCTOS[[#This Row],[CODIGO]],LISTADO[CODIGOS],LISTADO[CATEGORIA]),"NO EXISTE")</f>
        <v/>
      </c>
      <c r="D669" s="56">
        <f>IFERROR(_xlfn.XLOOKUP(PRODUCTOS[[#This Row],[CODIGO]],LISTADO[CODIGOS],LISTADO[PRODUCTOS]),"NO EXISTE")</f>
        <v/>
      </c>
      <c r="E669" s="56">
        <f>IFERROR(_xlfn.XLOOKUP(PRODUCTOS[[#This Row],[CODIGO]],LISTADO[CODIGOS],LISTADO[UBICACIÓN]),"NO EXISTE")</f>
        <v/>
      </c>
      <c r="F669" s="56">
        <f>SUMIFS(ENTRADAS[CANTIDAD],ENTRADAS[CODIGO],PRODUCTOS[[#This Row],[CODIGO]])</f>
        <v/>
      </c>
      <c r="G669" s="56">
        <f>SUMIFS(SALIDAS[CANTIDAD],SALIDAS[CODIGO],PRODUCTOS[[#This Row],[CODIGO]])</f>
        <v/>
      </c>
      <c r="H669" s="56">
        <f>PRODUCTOS[[#This Row],[ENTRADAS]]-PRODUCTOS[[#This Row],[SALIDAS ]]</f>
        <v/>
      </c>
      <c r="I669" s="76" t="n">
        <v>0</v>
      </c>
      <c r="J669">
        <f>IF(PRODUCTOS[[#This Row],[STOCK]]&lt;0,"NEGATIVO",IF(PRODUCTOS[[#This Row],[STOCK]]=0,"SIN STOCK",IF(PRODUCTOS[[#This Row],[STOCK]]&lt;=PRODUCTOS[[#This Row],[STOCK MÍN.]],"BAJO","OK")))</f>
        <v/>
      </c>
      <c r="K6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70" hidden="1" s="11">
      <c r="A670" s="18" t="n">
        <v>426</v>
      </c>
      <c r="B670" s="56" t="inlineStr">
        <is>
          <t>00011-AUT</t>
        </is>
      </c>
      <c r="C670" s="56">
        <f>IFERROR(_xlfn.XLOOKUP(PRODUCTOS[[#This Row],[CODIGO]],LISTADO[CODIGOS],LISTADO[CATEGORIA]),"NO EXISTE")</f>
        <v/>
      </c>
      <c r="D670" s="56">
        <f>IFERROR(_xlfn.XLOOKUP(PRODUCTOS[[#This Row],[CODIGO]],LISTADO[CODIGOS],LISTADO[PRODUCTOS]),"NO EXISTE")</f>
        <v/>
      </c>
      <c r="E670" s="56">
        <f>IFERROR(_xlfn.XLOOKUP(PRODUCTOS[[#This Row],[CODIGO]],LISTADO[CODIGOS],LISTADO[UBICACIÓN]),"NO EXISTE")</f>
        <v/>
      </c>
      <c r="F670" s="56">
        <f>SUMIFS(ENTRADAS[CANTIDAD],ENTRADAS[CODIGO],PRODUCTOS[[#This Row],[CODIGO]])</f>
        <v/>
      </c>
      <c r="G670" s="56">
        <f>SUMIFS(SALIDAS[CANTIDAD],SALIDAS[CODIGO],PRODUCTOS[[#This Row],[CODIGO]])</f>
        <v/>
      </c>
      <c r="H670" s="56">
        <f>PRODUCTOS[[#This Row],[ENTRADAS]]-PRODUCTOS[[#This Row],[SALIDAS ]]</f>
        <v/>
      </c>
      <c r="I670" s="76" t="n">
        <v>0</v>
      </c>
      <c r="J670">
        <f>IF(PRODUCTOS[[#This Row],[STOCK]]&lt;0,"NEGATIVO",IF(PRODUCTOS[[#This Row],[STOCK]]=0,"SIN STOCK",IF(PRODUCTOS[[#This Row],[STOCK]]&lt;=PRODUCTOS[[#This Row],[STOCK MÍN.]],"BAJO","OK")))</f>
        <v/>
      </c>
      <c r="K6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71" hidden="1" s="11">
      <c r="A671" s="18" t="n">
        <v>656</v>
      </c>
      <c r="B671" s="56" t="inlineStr">
        <is>
          <t>00005-LIM</t>
        </is>
      </c>
      <c r="C671" s="56">
        <f>IFERROR(_xlfn.XLOOKUP(PRODUCTOS[[#This Row],[CODIGO]],LISTADO[CODIGOS],LISTADO[CATEGORIA]),"NO EXISTE")</f>
        <v/>
      </c>
      <c r="D671" s="56">
        <f>IFERROR(_xlfn.XLOOKUP(PRODUCTOS[[#This Row],[CODIGO]],LISTADO[CODIGOS],LISTADO[PRODUCTOS]),"NO EXISTE")</f>
        <v/>
      </c>
      <c r="E671" s="56">
        <f>IFERROR(_xlfn.XLOOKUP(PRODUCTOS[[#This Row],[CODIGO]],LISTADO[CODIGOS],LISTADO[UBICACIÓN]),"NO EXISTE")</f>
        <v/>
      </c>
      <c r="F671" s="56">
        <f>SUMIFS(ENTRADAS[CANTIDAD],ENTRADAS[CODIGO],PRODUCTOS[[#This Row],[CODIGO]])</f>
        <v/>
      </c>
      <c r="G671" s="56">
        <f>SUMIFS(SALIDAS[CANTIDAD],SALIDAS[CODIGO],PRODUCTOS[[#This Row],[CODIGO]])</f>
        <v/>
      </c>
      <c r="H671" s="56">
        <f>PRODUCTOS[[#This Row],[ENTRADAS]]-PRODUCTOS[[#This Row],[SALIDAS ]]</f>
        <v/>
      </c>
      <c r="I671" s="76" t="n">
        <v>0</v>
      </c>
      <c r="J671">
        <f>IF(PRODUCTOS[[#This Row],[STOCK]]&lt;0,"NEGATIVO",IF(PRODUCTOS[[#This Row],[STOCK]]=0,"SIN STOCK",IF(PRODUCTOS[[#This Row],[STOCK]]&lt;=PRODUCTOS[[#This Row],[STOCK MÍN.]],"BAJO","OK")))</f>
        <v/>
      </c>
      <c r="K6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72" hidden="1" s="11">
      <c r="A672" s="18" t="n">
        <v>657</v>
      </c>
      <c r="B672" s="56" t="inlineStr">
        <is>
          <t>00006-LIM</t>
        </is>
      </c>
      <c r="C672" s="56">
        <f>IFERROR(_xlfn.XLOOKUP(PRODUCTOS[[#This Row],[CODIGO]],LISTADO[CODIGOS],LISTADO[CATEGORIA]),"NO EXISTE")</f>
        <v/>
      </c>
      <c r="D672" s="56">
        <f>IFERROR(_xlfn.XLOOKUP(PRODUCTOS[[#This Row],[CODIGO]],LISTADO[CODIGOS],LISTADO[PRODUCTOS]),"NO EXISTE")</f>
        <v/>
      </c>
      <c r="E672" s="56">
        <f>IFERROR(_xlfn.XLOOKUP(PRODUCTOS[[#This Row],[CODIGO]],LISTADO[CODIGOS],LISTADO[UBICACIÓN]),"NO EXISTE")</f>
        <v/>
      </c>
      <c r="F672" s="56">
        <f>SUMIFS(ENTRADAS[CANTIDAD],ENTRADAS[CODIGO],PRODUCTOS[[#This Row],[CODIGO]])</f>
        <v/>
      </c>
      <c r="G672" s="56">
        <f>SUMIFS(SALIDAS[CANTIDAD],SALIDAS[CODIGO],PRODUCTOS[[#This Row],[CODIGO]])</f>
        <v/>
      </c>
      <c r="H672" s="56">
        <f>PRODUCTOS[[#This Row],[ENTRADAS]]-PRODUCTOS[[#This Row],[SALIDAS ]]</f>
        <v/>
      </c>
      <c r="I672" s="76" t="n">
        <v>0</v>
      </c>
      <c r="J672">
        <f>IF(PRODUCTOS[[#This Row],[STOCK]]&lt;0,"NEGATIVO",IF(PRODUCTOS[[#This Row],[STOCK]]=0,"SIN STOCK",IF(PRODUCTOS[[#This Row],[STOCK]]&lt;=PRODUCTOS[[#This Row],[STOCK MÍN.]],"BAJO","OK")))</f>
        <v/>
      </c>
      <c r="K6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73" hidden="1" s="11">
      <c r="A673" s="18" t="n">
        <v>658</v>
      </c>
      <c r="B673" s="56" t="inlineStr">
        <is>
          <t>00007-LIM</t>
        </is>
      </c>
      <c r="C673" s="56">
        <f>IFERROR(_xlfn.XLOOKUP(PRODUCTOS[[#This Row],[CODIGO]],LISTADO[CODIGOS],LISTADO[CATEGORIA]),"NO EXISTE")</f>
        <v/>
      </c>
      <c r="D673" s="56">
        <f>IFERROR(_xlfn.XLOOKUP(PRODUCTOS[[#This Row],[CODIGO]],LISTADO[CODIGOS],LISTADO[PRODUCTOS]),"NO EXISTE")</f>
        <v/>
      </c>
      <c r="E673" s="56">
        <f>IFERROR(_xlfn.XLOOKUP(PRODUCTOS[[#This Row],[CODIGO]],LISTADO[CODIGOS],LISTADO[UBICACIÓN]),"NO EXISTE")</f>
        <v/>
      </c>
      <c r="F673" s="56">
        <f>SUMIFS(ENTRADAS[CANTIDAD],ENTRADAS[CODIGO],PRODUCTOS[[#This Row],[CODIGO]])</f>
        <v/>
      </c>
      <c r="G673" s="56">
        <f>SUMIFS(SALIDAS[CANTIDAD],SALIDAS[CODIGO],PRODUCTOS[[#This Row],[CODIGO]])</f>
        <v/>
      </c>
      <c r="H673" s="56">
        <f>PRODUCTOS[[#This Row],[ENTRADAS]]-PRODUCTOS[[#This Row],[SALIDAS ]]</f>
        <v/>
      </c>
      <c r="I673" s="76" t="n">
        <v>0</v>
      </c>
      <c r="J673">
        <f>IF(PRODUCTOS[[#This Row],[STOCK]]&lt;0,"NEGATIVO",IF(PRODUCTOS[[#This Row],[STOCK]]=0,"SIN STOCK",IF(PRODUCTOS[[#This Row],[STOCK]]&lt;=PRODUCTOS[[#This Row],[STOCK MÍN.]],"BAJO","OK")))</f>
        <v/>
      </c>
      <c r="K6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74" hidden="1" s="11">
      <c r="A674" s="18" t="n">
        <v>659</v>
      </c>
      <c r="B674" s="56" t="inlineStr">
        <is>
          <t>00008-LIM</t>
        </is>
      </c>
      <c r="C674" s="56">
        <f>IFERROR(_xlfn.XLOOKUP(PRODUCTOS[[#This Row],[CODIGO]],LISTADO[CODIGOS],LISTADO[CATEGORIA]),"NO EXISTE")</f>
        <v/>
      </c>
      <c r="D674" s="56">
        <f>IFERROR(_xlfn.XLOOKUP(PRODUCTOS[[#This Row],[CODIGO]],LISTADO[CODIGOS],LISTADO[PRODUCTOS]),"NO EXISTE")</f>
        <v/>
      </c>
      <c r="E674" s="56">
        <f>IFERROR(_xlfn.XLOOKUP(PRODUCTOS[[#This Row],[CODIGO]],LISTADO[CODIGOS],LISTADO[UBICACIÓN]),"NO EXISTE")</f>
        <v/>
      </c>
      <c r="F674" s="56">
        <f>SUMIFS(ENTRADAS[CANTIDAD],ENTRADAS[CODIGO],PRODUCTOS[[#This Row],[CODIGO]])</f>
        <v/>
      </c>
      <c r="G674" s="56">
        <f>SUMIFS(SALIDAS[CANTIDAD],SALIDAS[CODIGO],PRODUCTOS[[#This Row],[CODIGO]])</f>
        <v/>
      </c>
      <c r="H674" s="56">
        <f>PRODUCTOS[[#This Row],[ENTRADAS]]-PRODUCTOS[[#This Row],[SALIDAS ]]</f>
        <v/>
      </c>
      <c r="I674" s="76" t="n">
        <v>0</v>
      </c>
      <c r="J674">
        <f>IF(PRODUCTOS[[#This Row],[STOCK]]&lt;0,"NEGATIVO",IF(PRODUCTOS[[#This Row],[STOCK]]=0,"SIN STOCK",IF(PRODUCTOS[[#This Row],[STOCK]]&lt;=PRODUCTOS[[#This Row],[STOCK MÍN.]],"BAJO","OK")))</f>
        <v/>
      </c>
      <c r="K6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75" hidden="1" s="11">
      <c r="A675" s="18" t="n">
        <v>660</v>
      </c>
      <c r="B675" s="56" t="inlineStr">
        <is>
          <t>00009-LIM</t>
        </is>
      </c>
      <c r="C675" s="56">
        <f>IFERROR(_xlfn.XLOOKUP(PRODUCTOS[[#This Row],[CODIGO]],LISTADO[CODIGOS],LISTADO[CATEGORIA]),"NO EXISTE")</f>
        <v/>
      </c>
      <c r="D675" s="56">
        <f>IFERROR(_xlfn.XLOOKUP(PRODUCTOS[[#This Row],[CODIGO]],LISTADO[CODIGOS],LISTADO[PRODUCTOS]),"NO EXISTE")</f>
        <v/>
      </c>
      <c r="E675" s="56">
        <f>IFERROR(_xlfn.XLOOKUP(PRODUCTOS[[#This Row],[CODIGO]],LISTADO[CODIGOS],LISTADO[UBICACIÓN]),"NO EXISTE")</f>
        <v/>
      </c>
      <c r="F675" s="56">
        <f>SUMIFS(ENTRADAS[CANTIDAD],ENTRADAS[CODIGO],PRODUCTOS[[#This Row],[CODIGO]])</f>
        <v/>
      </c>
      <c r="G675" s="56">
        <f>SUMIFS(SALIDAS[CANTIDAD],SALIDAS[CODIGO],PRODUCTOS[[#This Row],[CODIGO]])</f>
        <v/>
      </c>
      <c r="H675" s="56">
        <f>PRODUCTOS[[#This Row],[ENTRADAS]]-PRODUCTOS[[#This Row],[SALIDAS ]]</f>
        <v/>
      </c>
      <c r="I675" s="76" t="n">
        <v>0</v>
      </c>
      <c r="J675">
        <f>IF(PRODUCTOS[[#This Row],[STOCK]]&lt;0,"NEGATIVO",IF(PRODUCTOS[[#This Row],[STOCK]]=0,"SIN STOCK",IF(PRODUCTOS[[#This Row],[STOCK]]&lt;=PRODUCTOS[[#This Row],[STOCK MÍN.]],"BAJO","OK")))</f>
        <v/>
      </c>
      <c r="K6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76" hidden="1" s="11">
      <c r="A676" s="18" t="n">
        <v>661</v>
      </c>
      <c r="B676" s="56" t="inlineStr">
        <is>
          <t>00125-FER</t>
        </is>
      </c>
      <c r="C676" s="56">
        <f>IFERROR(_xlfn.XLOOKUP(PRODUCTOS[[#This Row],[CODIGO]],LISTADO[CODIGOS],LISTADO[CATEGORIA]),"NO EXISTE")</f>
        <v/>
      </c>
      <c r="D676" s="56">
        <f>IFERROR(_xlfn.XLOOKUP(PRODUCTOS[[#This Row],[CODIGO]],LISTADO[CODIGOS],LISTADO[PRODUCTOS]),"NO EXISTE")</f>
        <v/>
      </c>
      <c r="E676" s="56">
        <f>IFERROR(_xlfn.XLOOKUP(PRODUCTOS[[#This Row],[CODIGO]],LISTADO[CODIGOS],LISTADO[UBICACIÓN]),"NO EXISTE")</f>
        <v/>
      </c>
      <c r="F676" s="56">
        <f>SUMIFS(ENTRADAS[CANTIDAD],ENTRADAS[CODIGO],PRODUCTOS[[#This Row],[CODIGO]])</f>
        <v/>
      </c>
      <c r="G676" s="56">
        <f>SUMIFS(SALIDAS[CANTIDAD],SALIDAS[CODIGO],PRODUCTOS[[#This Row],[CODIGO]])</f>
        <v/>
      </c>
      <c r="H676" s="56">
        <f>PRODUCTOS[[#This Row],[ENTRADAS]]-PRODUCTOS[[#This Row],[SALIDAS ]]</f>
        <v/>
      </c>
      <c r="I676" s="76" t="n">
        <v>0</v>
      </c>
      <c r="J676">
        <f>IF(PRODUCTOS[[#This Row],[STOCK]]&lt;0,"NEGATIVO",IF(PRODUCTOS[[#This Row],[STOCK]]=0,"SIN STOCK",IF(PRODUCTOS[[#This Row],[STOCK]]&lt;=PRODUCTOS[[#This Row],[STOCK MÍN.]],"BAJO","OK")))</f>
        <v/>
      </c>
      <c r="K6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77" hidden="1" s="11">
      <c r="A677" s="18" t="n">
        <v>662</v>
      </c>
      <c r="B677" s="56" t="inlineStr">
        <is>
          <t>00126-FER</t>
        </is>
      </c>
      <c r="C677" s="56">
        <f>IFERROR(_xlfn.XLOOKUP(PRODUCTOS[[#This Row],[CODIGO]],LISTADO[CODIGOS],LISTADO[CATEGORIA]),"NO EXISTE")</f>
        <v/>
      </c>
      <c r="D677" s="56">
        <f>IFERROR(_xlfn.XLOOKUP(PRODUCTOS[[#This Row],[CODIGO]],LISTADO[CODIGOS],LISTADO[PRODUCTOS]),"NO EXISTE")</f>
        <v/>
      </c>
      <c r="E677" s="56">
        <f>IFERROR(_xlfn.XLOOKUP(PRODUCTOS[[#This Row],[CODIGO]],LISTADO[CODIGOS],LISTADO[UBICACIÓN]),"NO EXISTE")</f>
        <v/>
      </c>
      <c r="F677" s="56">
        <f>SUMIFS(ENTRADAS[CANTIDAD],ENTRADAS[CODIGO],PRODUCTOS[[#This Row],[CODIGO]])</f>
        <v/>
      </c>
      <c r="G677" s="56">
        <f>SUMIFS(SALIDAS[CANTIDAD],SALIDAS[CODIGO],PRODUCTOS[[#This Row],[CODIGO]])</f>
        <v/>
      </c>
      <c r="H677" s="56">
        <f>PRODUCTOS[[#This Row],[ENTRADAS]]-PRODUCTOS[[#This Row],[SALIDAS ]]</f>
        <v/>
      </c>
      <c r="I677" s="76" t="n">
        <v>0</v>
      </c>
      <c r="J677">
        <f>IF(PRODUCTOS[[#This Row],[STOCK]]&lt;0,"NEGATIVO",IF(PRODUCTOS[[#This Row],[STOCK]]=0,"SIN STOCK",IF(PRODUCTOS[[#This Row],[STOCK]]&lt;=PRODUCTOS[[#This Row],[STOCK MÍN.]],"BAJO","OK")))</f>
        <v/>
      </c>
      <c r="K6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78" hidden="1" s="11">
      <c r="A678" s="18" t="n">
        <v>663</v>
      </c>
      <c r="B678" s="56" t="inlineStr">
        <is>
          <t>00032-HRR</t>
        </is>
      </c>
      <c r="C678" s="56">
        <f>IFERROR(_xlfn.XLOOKUP(PRODUCTOS[[#This Row],[CODIGO]],LISTADO[CODIGOS],LISTADO[CATEGORIA]),"NO EXISTE")</f>
        <v/>
      </c>
      <c r="D678" s="56">
        <f>IFERROR(_xlfn.XLOOKUP(PRODUCTOS[[#This Row],[CODIGO]],LISTADO[CODIGOS],LISTADO[PRODUCTOS]),"NO EXISTE")</f>
        <v/>
      </c>
      <c r="E678" s="56">
        <f>IFERROR(_xlfn.XLOOKUP(PRODUCTOS[[#This Row],[CODIGO]],LISTADO[CODIGOS],LISTADO[UBICACIÓN]),"NO EXISTE")</f>
        <v/>
      </c>
      <c r="F678" s="56">
        <f>SUMIFS(ENTRADAS[CANTIDAD],ENTRADAS[CODIGO],PRODUCTOS[[#This Row],[CODIGO]])</f>
        <v/>
      </c>
      <c r="G678" s="56">
        <f>SUMIFS(SALIDAS[CANTIDAD],SALIDAS[CODIGO],PRODUCTOS[[#This Row],[CODIGO]])</f>
        <v/>
      </c>
      <c r="H678" s="56">
        <f>PRODUCTOS[[#This Row],[ENTRADAS]]-PRODUCTOS[[#This Row],[SALIDAS ]]</f>
        <v/>
      </c>
      <c r="I678" s="76" t="n">
        <v>0</v>
      </c>
      <c r="J678">
        <f>IF(PRODUCTOS[[#This Row],[STOCK]]&lt;0,"NEGATIVO",IF(PRODUCTOS[[#This Row],[STOCK]]=0,"SIN STOCK",IF(PRODUCTOS[[#This Row],[STOCK]]&lt;=PRODUCTOS[[#This Row],[STOCK MÍN.]],"BAJO","OK")))</f>
        <v/>
      </c>
      <c r="K6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79" hidden="1" s="11">
      <c r="A679" s="18" t="n">
        <v>664</v>
      </c>
      <c r="B679" s="56" t="inlineStr">
        <is>
          <t>00127-FER</t>
        </is>
      </c>
      <c r="C679" s="56">
        <f>IFERROR(_xlfn.XLOOKUP(PRODUCTOS[[#This Row],[CODIGO]],LISTADO[CODIGOS],LISTADO[CATEGORIA]),"NO EXISTE")</f>
        <v/>
      </c>
      <c r="D679" s="56">
        <f>IFERROR(_xlfn.XLOOKUP(PRODUCTOS[[#This Row],[CODIGO]],LISTADO[CODIGOS],LISTADO[PRODUCTOS]),"NO EXISTE")</f>
        <v/>
      </c>
      <c r="E679" s="56">
        <f>IFERROR(_xlfn.XLOOKUP(PRODUCTOS[[#This Row],[CODIGO]],LISTADO[CODIGOS],LISTADO[UBICACIÓN]),"NO EXISTE")</f>
        <v/>
      </c>
      <c r="F679" s="56">
        <f>SUMIFS(ENTRADAS[CANTIDAD],ENTRADAS[CODIGO],PRODUCTOS[[#This Row],[CODIGO]])</f>
        <v/>
      </c>
      <c r="G679" s="56">
        <f>SUMIFS(SALIDAS[CANTIDAD],SALIDAS[CODIGO],PRODUCTOS[[#This Row],[CODIGO]])</f>
        <v/>
      </c>
      <c r="H679" s="56">
        <f>PRODUCTOS[[#This Row],[ENTRADAS]]-PRODUCTOS[[#This Row],[SALIDAS ]]</f>
        <v/>
      </c>
      <c r="I679" s="76" t="n">
        <v>0</v>
      </c>
      <c r="J679">
        <f>IF(PRODUCTOS[[#This Row],[STOCK]]&lt;0,"NEGATIVO",IF(PRODUCTOS[[#This Row],[STOCK]]=0,"SIN STOCK",IF(PRODUCTOS[[#This Row],[STOCK]]&lt;=PRODUCTOS[[#This Row],[STOCK MÍN.]],"BAJO","OK")))</f>
        <v/>
      </c>
      <c r="K6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80" hidden="1" s="11">
      <c r="A680" s="18" t="n">
        <v>665</v>
      </c>
      <c r="B680" s="56" t="inlineStr">
        <is>
          <t>00128-FER</t>
        </is>
      </c>
      <c r="C680" s="56">
        <f>IFERROR(_xlfn.XLOOKUP(PRODUCTOS[[#This Row],[CODIGO]],LISTADO[CODIGOS],LISTADO[CATEGORIA]),"NO EXISTE")</f>
        <v/>
      </c>
      <c r="D680" s="56">
        <f>IFERROR(_xlfn.XLOOKUP(PRODUCTOS[[#This Row],[CODIGO]],LISTADO[CODIGOS],LISTADO[PRODUCTOS]),"NO EXISTE")</f>
        <v/>
      </c>
      <c r="E680" s="56">
        <f>IFERROR(_xlfn.XLOOKUP(PRODUCTOS[[#This Row],[CODIGO]],LISTADO[CODIGOS],LISTADO[UBICACIÓN]),"NO EXISTE")</f>
        <v/>
      </c>
      <c r="F680" s="56">
        <f>SUMIFS(ENTRADAS[CANTIDAD],ENTRADAS[CODIGO],PRODUCTOS[[#This Row],[CODIGO]])</f>
        <v/>
      </c>
      <c r="G680" s="56">
        <f>SUMIFS(SALIDAS[CANTIDAD],SALIDAS[CODIGO],PRODUCTOS[[#This Row],[CODIGO]])</f>
        <v/>
      </c>
      <c r="H680" s="56">
        <f>PRODUCTOS[[#This Row],[ENTRADAS]]-PRODUCTOS[[#This Row],[SALIDAS ]]</f>
        <v/>
      </c>
      <c r="I680" s="76" t="n">
        <v>0</v>
      </c>
      <c r="J680">
        <f>IF(PRODUCTOS[[#This Row],[STOCK]]&lt;0,"NEGATIVO",IF(PRODUCTOS[[#This Row],[STOCK]]=0,"SIN STOCK",IF(PRODUCTOS[[#This Row],[STOCK]]&lt;=PRODUCTOS[[#This Row],[STOCK MÍN.]],"BAJO","OK")))</f>
        <v/>
      </c>
      <c r="K6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81" hidden="1" s="11">
      <c r="A681" s="18" t="n">
        <v>666</v>
      </c>
      <c r="B681" s="56" t="inlineStr">
        <is>
          <t>00033-HRR</t>
        </is>
      </c>
      <c r="C681" s="56">
        <f>IFERROR(_xlfn.XLOOKUP(PRODUCTOS[[#This Row],[CODIGO]],LISTADO[CODIGOS],LISTADO[CATEGORIA]),"NO EXISTE")</f>
        <v/>
      </c>
      <c r="D681" s="56">
        <f>IFERROR(_xlfn.XLOOKUP(PRODUCTOS[[#This Row],[CODIGO]],LISTADO[CODIGOS],LISTADO[PRODUCTOS]),"NO EXISTE")</f>
        <v/>
      </c>
      <c r="E681" s="56">
        <f>IFERROR(_xlfn.XLOOKUP(PRODUCTOS[[#This Row],[CODIGO]],LISTADO[CODIGOS],LISTADO[UBICACIÓN]),"NO EXISTE")</f>
        <v/>
      </c>
      <c r="F681" s="56">
        <f>SUMIFS(ENTRADAS[CANTIDAD],ENTRADAS[CODIGO],PRODUCTOS[[#This Row],[CODIGO]])</f>
        <v/>
      </c>
      <c r="G681" s="56">
        <f>SUMIFS(SALIDAS[CANTIDAD],SALIDAS[CODIGO],PRODUCTOS[[#This Row],[CODIGO]])</f>
        <v/>
      </c>
      <c r="H681" s="56">
        <f>PRODUCTOS[[#This Row],[ENTRADAS]]-PRODUCTOS[[#This Row],[SALIDAS ]]</f>
        <v/>
      </c>
      <c r="I681" s="76" t="n">
        <v>0</v>
      </c>
      <c r="J681">
        <f>IF(PRODUCTOS[[#This Row],[STOCK]]&lt;0,"NEGATIVO",IF(PRODUCTOS[[#This Row],[STOCK]]=0,"SIN STOCK",IF(PRODUCTOS[[#This Row],[STOCK]]&lt;=PRODUCTOS[[#This Row],[STOCK MÍN.]],"BAJO","OK")))</f>
        <v/>
      </c>
      <c r="K6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82">
      <c r="A682" s="18" t="n">
        <v>667</v>
      </c>
      <c r="B682" s="56" t="inlineStr">
        <is>
          <t>00129-FER</t>
        </is>
      </c>
      <c r="C682" s="56">
        <f>IFERROR(_xlfn.XLOOKUP(PRODUCTOS[[#This Row],[CODIGO]],LISTADO[CODIGOS],LISTADO[CATEGORIA]),"NO EXISTE")</f>
        <v/>
      </c>
      <c r="D682" s="56">
        <f>IFERROR(_xlfn.XLOOKUP(PRODUCTOS[[#This Row],[CODIGO]],LISTADO[CODIGOS],LISTADO[PRODUCTOS]),"NO EXISTE")</f>
        <v/>
      </c>
      <c r="E682" s="56">
        <f>IFERROR(_xlfn.XLOOKUP(PRODUCTOS[[#This Row],[CODIGO]],LISTADO[CODIGOS],LISTADO[UBICACIÓN]),"NO EXISTE")</f>
        <v/>
      </c>
      <c r="F682" s="56">
        <f>SUMIFS(ENTRADAS[CANTIDAD],ENTRADAS[CODIGO],PRODUCTOS[[#This Row],[CODIGO]])</f>
        <v/>
      </c>
      <c r="G682" s="56">
        <f>SUMIFS(SALIDAS[CANTIDAD],SALIDAS[CODIGO],PRODUCTOS[[#This Row],[CODIGO]])</f>
        <v/>
      </c>
      <c r="H682" s="56">
        <f>PRODUCTOS[[#This Row],[ENTRADAS]]-PRODUCTOS[[#This Row],[SALIDAS ]]</f>
        <v/>
      </c>
      <c r="I682" s="76" t="n">
        <v>0</v>
      </c>
      <c r="J682">
        <f>IF(PRODUCTOS[[#This Row],[STOCK]]&lt;0,"NEGATIVO",IF(PRODUCTOS[[#This Row],[STOCK]]=0,"SIN STOCK",IF(PRODUCTOS[[#This Row],[STOCK]]&lt;=PRODUCTOS[[#This Row],[STOCK MÍN.]],"BAJO","OK")))</f>
        <v/>
      </c>
      <c r="K6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83" hidden="1" s="11">
      <c r="A683" s="18" t="n">
        <v>668</v>
      </c>
      <c r="B683" s="56" t="inlineStr">
        <is>
          <t>00034-HRR</t>
        </is>
      </c>
      <c r="C683" s="56">
        <f>IFERROR(_xlfn.XLOOKUP(PRODUCTOS[[#This Row],[CODIGO]],LISTADO[CODIGOS],LISTADO[CATEGORIA]),"NO EXISTE")</f>
        <v/>
      </c>
      <c r="D683" s="56">
        <f>IFERROR(_xlfn.XLOOKUP(PRODUCTOS[[#This Row],[CODIGO]],LISTADO[CODIGOS],LISTADO[PRODUCTOS]),"NO EXISTE")</f>
        <v/>
      </c>
      <c r="E683" s="56">
        <f>IFERROR(_xlfn.XLOOKUP(PRODUCTOS[[#This Row],[CODIGO]],LISTADO[CODIGOS],LISTADO[UBICACIÓN]),"NO EXISTE")</f>
        <v/>
      </c>
      <c r="F683" s="56">
        <f>SUMIFS(ENTRADAS[CANTIDAD],ENTRADAS[CODIGO],PRODUCTOS[[#This Row],[CODIGO]])</f>
        <v/>
      </c>
      <c r="G683" s="56">
        <f>SUMIFS(SALIDAS[CANTIDAD],SALIDAS[CODIGO],PRODUCTOS[[#This Row],[CODIGO]])</f>
        <v/>
      </c>
      <c r="H683" s="56">
        <f>PRODUCTOS[[#This Row],[ENTRADAS]]-PRODUCTOS[[#This Row],[SALIDAS ]]</f>
        <v/>
      </c>
      <c r="I683" s="76" t="n">
        <v>0</v>
      </c>
      <c r="J683">
        <f>IF(PRODUCTOS[[#This Row],[STOCK]]&lt;0,"NEGATIVO",IF(PRODUCTOS[[#This Row],[STOCK]]=0,"SIN STOCK",IF(PRODUCTOS[[#This Row],[STOCK]]&lt;=PRODUCTOS[[#This Row],[STOCK MÍN.]],"BAJO","OK")))</f>
        <v/>
      </c>
      <c r="K6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84" hidden="1" s="11">
      <c r="A684" s="18" t="n">
        <v>669</v>
      </c>
      <c r="B684" s="56" t="inlineStr">
        <is>
          <t>00130-FER</t>
        </is>
      </c>
      <c r="C684" s="56">
        <f>IFERROR(_xlfn.XLOOKUP(PRODUCTOS[[#This Row],[CODIGO]],LISTADO[CODIGOS],LISTADO[CATEGORIA]),"NO EXISTE")</f>
        <v/>
      </c>
      <c r="D684" s="56">
        <f>IFERROR(_xlfn.XLOOKUP(PRODUCTOS[[#This Row],[CODIGO]],LISTADO[CODIGOS],LISTADO[PRODUCTOS]),"NO EXISTE")</f>
        <v/>
      </c>
      <c r="E684" s="56">
        <f>IFERROR(_xlfn.XLOOKUP(PRODUCTOS[[#This Row],[CODIGO]],LISTADO[CODIGOS],LISTADO[UBICACIÓN]),"NO EXISTE")</f>
        <v/>
      </c>
      <c r="F684" s="56">
        <f>SUMIFS(ENTRADAS[CANTIDAD],ENTRADAS[CODIGO],PRODUCTOS[[#This Row],[CODIGO]])</f>
        <v/>
      </c>
      <c r="G684" s="56">
        <f>SUMIFS(SALIDAS[CANTIDAD],SALIDAS[CODIGO],PRODUCTOS[[#This Row],[CODIGO]])</f>
        <v/>
      </c>
      <c r="H684" s="56">
        <f>PRODUCTOS[[#This Row],[ENTRADAS]]-PRODUCTOS[[#This Row],[SALIDAS ]]</f>
        <v/>
      </c>
      <c r="I684" s="76" t="n">
        <v>0</v>
      </c>
      <c r="J684">
        <f>IF(PRODUCTOS[[#This Row],[STOCK]]&lt;0,"NEGATIVO",IF(PRODUCTOS[[#This Row],[STOCK]]=0,"SIN STOCK",IF(PRODUCTOS[[#This Row],[STOCK]]&lt;=PRODUCTOS[[#This Row],[STOCK MÍN.]],"BAJO","OK")))</f>
        <v/>
      </c>
      <c r="K6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85" hidden="1" s="11">
      <c r="A685" s="18" t="n">
        <v>670</v>
      </c>
      <c r="B685" s="56" t="inlineStr">
        <is>
          <t>00131-FER</t>
        </is>
      </c>
      <c r="C685" s="56">
        <f>IFERROR(_xlfn.XLOOKUP(PRODUCTOS[[#This Row],[CODIGO]],LISTADO[CODIGOS],LISTADO[CATEGORIA]),"NO EXISTE")</f>
        <v/>
      </c>
      <c r="D685" s="56">
        <f>IFERROR(_xlfn.XLOOKUP(PRODUCTOS[[#This Row],[CODIGO]],LISTADO[CODIGOS],LISTADO[PRODUCTOS]),"NO EXISTE")</f>
        <v/>
      </c>
      <c r="E685" s="56">
        <f>IFERROR(_xlfn.XLOOKUP(PRODUCTOS[[#This Row],[CODIGO]],LISTADO[CODIGOS],LISTADO[UBICACIÓN]),"NO EXISTE")</f>
        <v/>
      </c>
      <c r="F685" s="56">
        <f>SUMIFS(ENTRADAS[CANTIDAD],ENTRADAS[CODIGO],PRODUCTOS[[#This Row],[CODIGO]])</f>
        <v/>
      </c>
      <c r="G685" s="56">
        <f>SUMIFS(SALIDAS[CANTIDAD],SALIDAS[CODIGO],PRODUCTOS[[#This Row],[CODIGO]])</f>
        <v/>
      </c>
      <c r="H685" s="56">
        <f>PRODUCTOS[[#This Row],[ENTRADAS]]-PRODUCTOS[[#This Row],[SALIDAS ]]</f>
        <v/>
      </c>
      <c r="I685" s="76" t="n">
        <v>0</v>
      </c>
      <c r="J685">
        <f>IF(PRODUCTOS[[#This Row],[STOCK]]&lt;0,"NEGATIVO",IF(PRODUCTOS[[#This Row],[STOCK]]=0,"SIN STOCK",IF(PRODUCTOS[[#This Row],[STOCK]]&lt;=PRODUCTOS[[#This Row],[STOCK MÍN.]],"BAJO","OK")))</f>
        <v/>
      </c>
      <c r="K6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86" hidden="1" s="11">
      <c r="A686" s="18" t="n">
        <v>671</v>
      </c>
      <c r="B686" s="56" t="inlineStr">
        <is>
          <t>00132-FER</t>
        </is>
      </c>
      <c r="C686" s="56">
        <f>IFERROR(_xlfn.XLOOKUP(PRODUCTOS[[#This Row],[CODIGO]],LISTADO[CODIGOS],LISTADO[CATEGORIA]),"NO EXISTE")</f>
        <v/>
      </c>
      <c r="D686" s="56">
        <f>IFERROR(_xlfn.XLOOKUP(PRODUCTOS[[#This Row],[CODIGO]],LISTADO[CODIGOS],LISTADO[PRODUCTOS]),"NO EXISTE")</f>
        <v/>
      </c>
      <c r="E686" s="56">
        <f>IFERROR(_xlfn.XLOOKUP(PRODUCTOS[[#This Row],[CODIGO]],LISTADO[CODIGOS],LISTADO[UBICACIÓN]),"NO EXISTE")</f>
        <v/>
      </c>
      <c r="F686" s="56">
        <f>SUMIFS(ENTRADAS[CANTIDAD],ENTRADAS[CODIGO],PRODUCTOS[[#This Row],[CODIGO]])</f>
        <v/>
      </c>
      <c r="G686" s="56">
        <f>SUMIFS(SALIDAS[CANTIDAD],SALIDAS[CODIGO],PRODUCTOS[[#This Row],[CODIGO]])</f>
        <v/>
      </c>
      <c r="H686" s="56">
        <f>PRODUCTOS[[#This Row],[ENTRADAS]]-PRODUCTOS[[#This Row],[SALIDAS ]]</f>
        <v/>
      </c>
      <c r="I686" s="76" t="n">
        <v>0</v>
      </c>
      <c r="J686">
        <f>IF(PRODUCTOS[[#This Row],[STOCK]]&lt;0,"NEGATIVO",IF(PRODUCTOS[[#This Row],[STOCK]]=0,"SIN STOCK",IF(PRODUCTOS[[#This Row],[STOCK]]&lt;=PRODUCTOS[[#This Row],[STOCK MÍN.]],"BAJO","OK")))</f>
        <v/>
      </c>
      <c r="K6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87" hidden="1" s="11">
      <c r="A687" s="18" t="n">
        <v>672</v>
      </c>
      <c r="B687" s="56" t="inlineStr">
        <is>
          <t>00087-REF</t>
        </is>
      </c>
      <c r="C687" s="56">
        <f>IFERROR(_xlfn.XLOOKUP(PRODUCTOS[[#This Row],[CODIGO]],LISTADO[CODIGOS],LISTADO[CATEGORIA]),"NO EXISTE")</f>
        <v/>
      </c>
      <c r="D687" s="56">
        <f>IFERROR(_xlfn.XLOOKUP(PRODUCTOS[[#This Row],[CODIGO]],LISTADO[CODIGOS],LISTADO[PRODUCTOS]),"NO EXISTE")</f>
        <v/>
      </c>
      <c r="E687" s="56">
        <f>IFERROR(_xlfn.XLOOKUP(PRODUCTOS[[#This Row],[CODIGO]],LISTADO[CODIGOS],LISTADO[UBICACIÓN]),"NO EXISTE")</f>
        <v/>
      </c>
      <c r="F687" s="56">
        <f>SUMIFS(ENTRADAS[CANTIDAD],ENTRADAS[CODIGO],PRODUCTOS[[#This Row],[CODIGO]])</f>
        <v/>
      </c>
      <c r="G687" s="56">
        <f>SUMIFS(SALIDAS[CANTIDAD],SALIDAS[CODIGO],PRODUCTOS[[#This Row],[CODIGO]])</f>
        <v/>
      </c>
      <c r="H687" s="56">
        <f>PRODUCTOS[[#This Row],[ENTRADAS]]-PRODUCTOS[[#This Row],[SALIDAS ]]</f>
        <v/>
      </c>
      <c r="I687" s="76" t="n">
        <v>0</v>
      </c>
      <c r="J687">
        <f>IF(PRODUCTOS[[#This Row],[STOCK]]&lt;0,"NEGATIVO",IF(PRODUCTOS[[#This Row],[STOCK]]=0,"SIN STOCK",IF(PRODUCTOS[[#This Row],[STOCK]]&lt;=PRODUCTOS[[#This Row],[STOCK MÍN.]],"BAJO","OK")))</f>
        <v/>
      </c>
      <c r="K6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88" hidden="1" s="11">
      <c r="A688" s="18" t="n">
        <v>673</v>
      </c>
      <c r="B688" s="56" t="inlineStr">
        <is>
          <t>00133-FER</t>
        </is>
      </c>
      <c r="C688" s="56">
        <f>IFERROR(_xlfn.XLOOKUP(PRODUCTOS[[#This Row],[CODIGO]],LISTADO[CODIGOS],LISTADO[CATEGORIA]),"NO EXISTE")</f>
        <v/>
      </c>
      <c r="D688" s="56">
        <f>IFERROR(_xlfn.XLOOKUP(PRODUCTOS[[#This Row],[CODIGO]],LISTADO[CODIGOS],LISTADO[PRODUCTOS]),"NO EXISTE")</f>
        <v/>
      </c>
      <c r="E688" s="56">
        <f>IFERROR(_xlfn.XLOOKUP(PRODUCTOS[[#This Row],[CODIGO]],LISTADO[CODIGOS],LISTADO[UBICACIÓN]),"NO EXISTE")</f>
        <v/>
      </c>
      <c r="F688" s="56">
        <f>SUMIFS(ENTRADAS[CANTIDAD],ENTRADAS[CODIGO],PRODUCTOS[[#This Row],[CODIGO]])</f>
        <v/>
      </c>
      <c r="G688" s="56">
        <f>SUMIFS(SALIDAS[CANTIDAD],SALIDAS[CODIGO],PRODUCTOS[[#This Row],[CODIGO]])</f>
        <v/>
      </c>
      <c r="H688" s="56">
        <f>PRODUCTOS[[#This Row],[ENTRADAS]]-PRODUCTOS[[#This Row],[SALIDAS ]]</f>
        <v/>
      </c>
      <c r="I688" s="76" t="n">
        <v>0</v>
      </c>
      <c r="J688">
        <f>IF(PRODUCTOS[[#This Row],[STOCK]]&lt;0,"NEGATIVO",IF(PRODUCTOS[[#This Row],[STOCK]]=0,"SIN STOCK",IF(PRODUCTOS[[#This Row],[STOCK]]&lt;=PRODUCTOS[[#This Row],[STOCK MÍN.]],"BAJO","OK")))</f>
        <v/>
      </c>
      <c r="K6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89" hidden="1" s="11">
      <c r="A689" s="18" t="n">
        <v>674</v>
      </c>
      <c r="B689" s="56" t="inlineStr">
        <is>
          <t>00134-FER</t>
        </is>
      </c>
      <c r="C689" s="56">
        <f>IFERROR(_xlfn.XLOOKUP(PRODUCTOS[[#This Row],[CODIGO]],LISTADO[CODIGOS],LISTADO[CATEGORIA]),"NO EXISTE")</f>
        <v/>
      </c>
      <c r="D689" s="56">
        <f>IFERROR(_xlfn.XLOOKUP(PRODUCTOS[[#This Row],[CODIGO]],LISTADO[CODIGOS],LISTADO[PRODUCTOS]),"NO EXISTE")</f>
        <v/>
      </c>
      <c r="E689" s="56">
        <f>IFERROR(_xlfn.XLOOKUP(PRODUCTOS[[#This Row],[CODIGO]],LISTADO[CODIGOS],LISTADO[UBICACIÓN]),"NO EXISTE")</f>
        <v/>
      </c>
      <c r="F689" s="56">
        <f>SUMIFS(ENTRADAS[CANTIDAD],ENTRADAS[CODIGO],PRODUCTOS[[#This Row],[CODIGO]])</f>
        <v/>
      </c>
      <c r="G689" s="56">
        <f>SUMIFS(SALIDAS[CANTIDAD],SALIDAS[CODIGO],PRODUCTOS[[#This Row],[CODIGO]])</f>
        <v/>
      </c>
      <c r="H689" s="56">
        <f>PRODUCTOS[[#This Row],[ENTRADAS]]-PRODUCTOS[[#This Row],[SALIDAS ]]</f>
        <v/>
      </c>
      <c r="I689" s="76" t="n">
        <v>0</v>
      </c>
      <c r="J689">
        <f>IF(PRODUCTOS[[#This Row],[STOCK]]&lt;0,"NEGATIVO",IF(PRODUCTOS[[#This Row],[STOCK]]=0,"SIN STOCK",IF(PRODUCTOS[[#This Row],[STOCK]]&lt;=PRODUCTOS[[#This Row],[STOCK MÍN.]],"BAJO","OK")))</f>
        <v/>
      </c>
      <c r="K6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90" hidden="1" s="11">
      <c r="A690" s="18" t="n">
        <v>675</v>
      </c>
      <c r="B690" s="56" t="inlineStr">
        <is>
          <t>00035-HRR</t>
        </is>
      </c>
      <c r="C690" s="56">
        <f>IFERROR(_xlfn.XLOOKUP(PRODUCTOS[[#This Row],[CODIGO]],LISTADO[CODIGOS],LISTADO[CATEGORIA]),"NO EXISTE")</f>
        <v/>
      </c>
      <c r="D690" s="56">
        <f>IFERROR(_xlfn.XLOOKUP(PRODUCTOS[[#This Row],[CODIGO]],LISTADO[CODIGOS],LISTADO[PRODUCTOS]),"NO EXISTE")</f>
        <v/>
      </c>
      <c r="E690" s="56">
        <f>IFERROR(_xlfn.XLOOKUP(PRODUCTOS[[#This Row],[CODIGO]],LISTADO[CODIGOS],LISTADO[UBICACIÓN]),"NO EXISTE")</f>
        <v/>
      </c>
      <c r="F690" s="56">
        <f>SUMIFS(ENTRADAS[CANTIDAD],ENTRADAS[CODIGO],PRODUCTOS[[#This Row],[CODIGO]])</f>
        <v/>
      </c>
      <c r="G690" s="56">
        <f>SUMIFS(SALIDAS[CANTIDAD],SALIDAS[CODIGO],PRODUCTOS[[#This Row],[CODIGO]])</f>
        <v/>
      </c>
      <c r="H690" s="56">
        <f>PRODUCTOS[[#This Row],[ENTRADAS]]-PRODUCTOS[[#This Row],[SALIDAS ]]</f>
        <v/>
      </c>
      <c r="I690" s="76" t="n">
        <v>0</v>
      </c>
      <c r="J690">
        <f>IF(PRODUCTOS[[#This Row],[STOCK]]&lt;0,"NEGATIVO",IF(PRODUCTOS[[#This Row],[STOCK]]=0,"SIN STOCK",IF(PRODUCTOS[[#This Row],[STOCK]]&lt;=PRODUCTOS[[#This Row],[STOCK MÍN.]],"BAJO","OK")))</f>
        <v/>
      </c>
      <c r="K6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91" hidden="1" s="11">
      <c r="A691" s="18" t="n">
        <v>676</v>
      </c>
      <c r="B691" s="56" t="inlineStr">
        <is>
          <t>00135-FER</t>
        </is>
      </c>
      <c r="C691" s="56">
        <f>IFERROR(_xlfn.XLOOKUP(PRODUCTOS[[#This Row],[CODIGO]],LISTADO[CODIGOS],LISTADO[CATEGORIA]),"NO EXISTE")</f>
        <v/>
      </c>
      <c r="D691" s="56">
        <f>IFERROR(_xlfn.XLOOKUP(PRODUCTOS[[#This Row],[CODIGO]],LISTADO[CODIGOS],LISTADO[PRODUCTOS]),"NO EXISTE")</f>
        <v/>
      </c>
      <c r="E691" s="56">
        <f>IFERROR(_xlfn.XLOOKUP(PRODUCTOS[[#This Row],[CODIGO]],LISTADO[CODIGOS],LISTADO[UBICACIÓN]),"NO EXISTE")</f>
        <v/>
      </c>
      <c r="F691" s="56">
        <f>SUMIFS(ENTRADAS[CANTIDAD],ENTRADAS[CODIGO],PRODUCTOS[[#This Row],[CODIGO]])</f>
        <v/>
      </c>
      <c r="G691" s="56">
        <f>SUMIFS(SALIDAS[CANTIDAD],SALIDAS[CODIGO],PRODUCTOS[[#This Row],[CODIGO]])</f>
        <v/>
      </c>
      <c r="H691" s="56">
        <f>PRODUCTOS[[#This Row],[ENTRADAS]]-PRODUCTOS[[#This Row],[SALIDAS ]]</f>
        <v/>
      </c>
      <c r="I691" s="76" t="n">
        <v>0</v>
      </c>
      <c r="J691">
        <f>IF(PRODUCTOS[[#This Row],[STOCK]]&lt;0,"NEGATIVO",IF(PRODUCTOS[[#This Row],[STOCK]]=0,"SIN STOCK",IF(PRODUCTOS[[#This Row],[STOCK]]&lt;=PRODUCTOS[[#This Row],[STOCK MÍN.]],"BAJO","OK")))</f>
        <v/>
      </c>
      <c r="K6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92" hidden="1" s="11">
      <c r="A692" s="18" t="n">
        <v>677</v>
      </c>
      <c r="B692" s="56" t="inlineStr">
        <is>
          <t>00136-FER</t>
        </is>
      </c>
      <c r="C692" s="56">
        <f>IFERROR(_xlfn.XLOOKUP(PRODUCTOS[[#This Row],[CODIGO]],LISTADO[CODIGOS],LISTADO[CATEGORIA]),"NO EXISTE")</f>
        <v/>
      </c>
      <c r="D692" s="56">
        <f>IFERROR(_xlfn.XLOOKUP(PRODUCTOS[[#This Row],[CODIGO]],LISTADO[CODIGOS],LISTADO[PRODUCTOS]),"NO EXISTE")</f>
        <v/>
      </c>
      <c r="E692" s="56">
        <f>IFERROR(_xlfn.XLOOKUP(PRODUCTOS[[#This Row],[CODIGO]],LISTADO[CODIGOS],LISTADO[UBICACIÓN]),"NO EXISTE")</f>
        <v/>
      </c>
      <c r="F692" s="56">
        <f>SUMIFS(ENTRADAS[CANTIDAD],ENTRADAS[CODIGO],PRODUCTOS[[#This Row],[CODIGO]])</f>
        <v/>
      </c>
      <c r="G692" s="56">
        <f>SUMIFS(SALIDAS[CANTIDAD],SALIDAS[CODIGO],PRODUCTOS[[#This Row],[CODIGO]])</f>
        <v/>
      </c>
      <c r="H692" s="56">
        <f>PRODUCTOS[[#This Row],[ENTRADAS]]-PRODUCTOS[[#This Row],[SALIDAS ]]</f>
        <v/>
      </c>
      <c r="I692" s="76" t="n">
        <v>0</v>
      </c>
      <c r="J692">
        <f>IF(PRODUCTOS[[#This Row],[STOCK]]&lt;0,"NEGATIVO",IF(PRODUCTOS[[#This Row],[STOCK]]=0,"SIN STOCK",IF(PRODUCTOS[[#This Row],[STOCK]]&lt;=PRODUCTOS[[#This Row],[STOCK MÍN.]],"BAJO","OK")))</f>
        <v/>
      </c>
      <c r="K6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93" hidden="1" s="11">
      <c r="A693" s="18" t="n">
        <v>678</v>
      </c>
      <c r="B693" s="56" t="inlineStr">
        <is>
          <t>00137-FER</t>
        </is>
      </c>
      <c r="C693" s="56">
        <f>IFERROR(_xlfn.XLOOKUP(PRODUCTOS[[#This Row],[CODIGO]],LISTADO[CODIGOS],LISTADO[CATEGORIA]),"NO EXISTE")</f>
        <v/>
      </c>
      <c r="D693" s="56">
        <f>IFERROR(_xlfn.XLOOKUP(PRODUCTOS[[#This Row],[CODIGO]],LISTADO[CODIGOS],LISTADO[PRODUCTOS]),"NO EXISTE")</f>
        <v/>
      </c>
      <c r="E693" s="56">
        <f>IFERROR(_xlfn.XLOOKUP(PRODUCTOS[[#This Row],[CODIGO]],LISTADO[CODIGOS],LISTADO[UBICACIÓN]),"NO EXISTE")</f>
        <v/>
      </c>
      <c r="F693" s="56">
        <f>SUMIFS(ENTRADAS[CANTIDAD],ENTRADAS[CODIGO],PRODUCTOS[[#This Row],[CODIGO]])</f>
        <v/>
      </c>
      <c r="G693" s="56">
        <f>SUMIFS(SALIDAS[CANTIDAD],SALIDAS[CODIGO],PRODUCTOS[[#This Row],[CODIGO]])</f>
        <v/>
      </c>
      <c r="H693" s="56">
        <f>PRODUCTOS[[#This Row],[ENTRADAS]]-PRODUCTOS[[#This Row],[SALIDAS ]]</f>
        <v/>
      </c>
      <c r="I693" s="76" t="n">
        <v>0</v>
      </c>
      <c r="J693">
        <f>IF(PRODUCTOS[[#This Row],[STOCK]]&lt;0,"NEGATIVO",IF(PRODUCTOS[[#This Row],[STOCK]]=0,"SIN STOCK",IF(PRODUCTOS[[#This Row],[STOCK]]&lt;=PRODUCTOS[[#This Row],[STOCK MÍN.]],"BAJO","OK")))</f>
        <v/>
      </c>
      <c r="K6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94" hidden="1" s="11">
      <c r="A694" s="18" t="n">
        <v>679</v>
      </c>
      <c r="B694" s="56" t="inlineStr">
        <is>
          <t>00138-FER</t>
        </is>
      </c>
      <c r="C694" s="56">
        <f>IFERROR(_xlfn.XLOOKUP(PRODUCTOS[[#This Row],[CODIGO]],LISTADO[CODIGOS],LISTADO[CATEGORIA]),"NO EXISTE")</f>
        <v/>
      </c>
      <c r="D694" s="56">
        <f>IFERROR(_xlfn.XLOOKUP(PRODUCTOS[[#This Row],[CODIGO]],LISTADO[CODIGOS],LISTADO[PRODUCTOS]),"NO EXISTE")</f>
        <v/>
      </c>
      <c r="E694" s="56">
        <f>IFERROR(_xlfn.XLOOKUP(PRODUCTOS[[#This Row],[CODIGO]],LISTADO[CODIGOS],LISTADO[UBICACIÓN]),"NO EXISTE")</f>
        <v/>
      </c>
      <c r="F694" s="56">
        <f>SUMIFS(ENTRADAS[CANTIDAD],ENTRADAS[CODIGO],PRODUCTOS[[#This Row],[CODIGO]])</f>
        <v/>
      </c>
      <c r="G694" s="56">
        <f>SUMIFS(SALIDAS[CANTIDAD],SALIDAS[CODIGO],PRODUCTOS[[#This Row],[CODIGO]])</f>
        <v/>
      </c>
      <c r="H694" s="56">
        <f>PRODUCTOS[[#This Row],[ENTRADAS]]-PRODUCTOS[[#This Row],[SALIDAS ]]</f>
        <v/>
      </c>
      <c r="I694" s="76" t="n">
        <v>0</v>
      </c>
      <c r="J694">
        <f>IF(PRODUCTOS[[#This Row],[STOCK]]&lt;0,"NEGATIVO",IF(PRODUCTOS[[#This Row],[STOCK]]=0,"SIN STOCK",IF(PRODUCTOS[[#This Row],[STOCK]]&lt;=PRODUCTOS[[#This Row],[STOCK MÍN.]],"BAJO","OK")))</f>
        <v/>
      </c>
      <c r="K6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95" hidden="1" s="11">
      <c r="A695" s="18" t="n">
        <v>680</v>
      </c>
      <c r="B695" s="56" t="inlineStr">
        <is>
          <t>00139-FER</t>
        </is>
      </c>
      <c r="C695" s="56">
        <f>IFERROR(_xlfn.XLOOKUP(PRODUCTOS[[#This Row],[CODIGO]],LISTADO[CODIGOS],LISTADO[CATEGORIA]),"NO EXISTE")</f>
        <v/>
      </c>
      <c r="D695" s="56">
        <f>IFERROR(_xlfn.XLOOKUP(PRODUCTOS[[#This Row],[CODIGO]],LISTADO[CODIGOS],LISTADO[PRODUCTOS]),"NO EXISTE")</f>
        <v/>
      </c>
      <c r="E695" s="56">
        <f>IFERROR(_xlfn.XLOOKUP(PRODUCTOS[[#This Row],[CODIGO]],LISTADO[CODIGOS],LISTADO[UBICACIÓN]),"NO EXISTE")</f>
        <v/>
      </c>
      <c r="F695" s="56">
        <f>SUMIFS(ENTRADAS[CANTIDAD],ENTRADAS[CODIGO],PRODUCTOS[[#This Row],[CODIGO]])</f>
        <v/>
      </c>
      <c r="G695" s="56">
        <f>SUMIFS(SALIDAS[CANTIDAD],SALIDAS[CODIGO],PRODUCTOS[[#This Row],[CODIGO]])</f>
        <v/>
      </c>
      <c r="H695" s="56">
        <f>PRODUCTOS[[#This Row],[ENTRADAS]]-PRODUCTOS[[#This Row],[SALIDAS ]]</f>
        <v/>
      </c>
      <c r="I695" s="76" t="n">
        <v>0</v>
      </c>
      <c r="J695">
        <f>IF(PRODUCTOS[[#This Row],[STOCK]]&lt;0,"NEGATIVO",IF(PRODUCTOS[[#This Row],[STOCK]]=0,"SIN STOCK",IF(PRODUCTOS[[#This Row],[STOCK]]&lt;=PRODUCTOS[[#This Row],[STOCK MÍN.]],"BAJO","OK")))</f>
        <v/>
      </c>
      <c r="K6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96" hidden="1" s="11">
      <c r="A696" s="18" t="n">
        <v>681</v>
      </c>
      <c r="B696" s="56" t="inlineStr">
        <is>
          <t>00043-ELC</t>
        </is>
      </c>
      <c r="C696" s="56">
        <f>IFERROR(_xlfn.XLOOKUP(PRODUCTOS[[#This Row],[CODIGO]],LISTADO[CODIGOS],LISTADO[CATEGORIA]),"NO EXISTE")</f>
        <v/>
      </c>
      <c r="D696" s="56">
        <f>IFERROR(_xlfn.XLOOKUP(PRODUCTOS[[#This Row],[CODIGO]],LISTADO[CODIGOS],LISTADO[PRODUCTOS]),"NO EXISTE")</f>
        <v/>
      </c>
      <c r="E696" s="56">
        <f>IFERROR(_xlfn.XLOOKUP(PRODUCTOS[[#This Row],[CODIGO]],LISTADO[CODIGOS],LISTADO[UBICACIÓN]),"NO EXISTE")</f>
        <v/>
      </c>
      <c r="F696" s="56">
        <f>SUMIFS(ENTRADAS[CANTIDAD],ENTRADAS[CODIGO],PRODUCTOS[[#This Row],[CODIGO]])</f>
        <v/>
      </c>
      <c r="G696" s="56">
        <f>SUMIFS(SALIDAS[CANTIDAD],SALIDAS[CODIGO],PRODUCTOS[[#This Row],[CODIGO]])</f>
        <v/>
      </c>
      <c r="H696" s="56">
        <f>PRODUCTOS[[#This Row],[ENTRADAS]]-PRODUCTOS[[#This Row],[SALIDAS ]]</f>
        <v/>
      </c>
      <c r="I696" s="76" t="n">
        <v>0</v>
      </c>
      <c r="J696">
        <f>IF(PRODUCTOS[[#This Row],[STOCK]]&lt;0,"NEGATIVO",IF(PRODUCTOS[[#This Row],[STOCK]]=0,"SIN STOCK",IF(PRODUCTOS[[#This Row],[STOCK]]&lt;=PRODUCTOS[[#This Row],[STOCK MÍN.]],"BAJO","OK")))</f>
        <v/>
      </c>
      <c r="K6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97" hidden="1" s="11">
      <c r="A697" s="18" t="n">
        <v>682</v>
      </c>
      <c r="B697" s="56" t="inlineStr">
        <is>
          <t>00010-LIM</t>
        </is>
      </c>
      <c r="C697" s="56">
        <f>IFERROR(_xlfn.XLOOKUP(PRODUCTOS[[#This Row],[CODIGO]],LISTADO[CODIGOS],LISTADO[CATEGORIA]),"NO EXISTE")</f>
        <v/>
      </c>
      <c r="D697" s="56">
        <f>IFERROR(_xlfn.XLOOKUP(PRODUCTOS[[#This Row],[CODIGO]],LISTADO[CODIGOS],LISTADO[PRODUCTOS]),"NO EXISTE")</f>
        <v/>
      </c>
      <c r="E697" s="56">
        <f>IFERROR(_xlfn.XLOOKUP(PRODUCTOS[[#This Row],[CODIGO]],LISTADO[CODIGOS],LISTADO[UBICACIÓN]),"NO EXISTE")</f>
        <v/>
      </c>
      <c r="F697" s="56">
        <f>SUMIFS(ENTRADAS[CANTIDAD],ENTRADAS[CODIGO],PRODUCTOS[[#This Row],[CODIGO]])</f>
        <v/>
      </c>
      <c r="G697" s="56">
        <f>SUMIFS(SALIDAS[CANTIDAD],SALIDAS[CODIGO],PRODUCTOS[[#This Row],[CODIGO]])</f>
        <v/>
      </c>
      <c r="H697" s="56">
        <f>PRODUCTOS[[#This Row],[ENTRADAS]]-PRODUCTOS[[#This Row],[SALIDAS ]]</f>
        <v/>
      </c>
      <c r="I697" s="76" t="n">
        <v>0</v>
      </c>
      <c r="J697">
        <f>IF(PRODUCTOS[[#This Row],[STOCK]]&lt;0,"NEGATIVO",IF(PRODUCTOS[[#This Row],[STOCK]]=0,"SIN STOCK",IF(PRODUCTOS[[#This Row],[STOCK]]&lt;=PRODUCTOS[[#This Row],[STOCK MÍN.]],"BAJO","OK")))</f>
        <v/>
      </c>
      <c r="K6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98" hidden="1" s="11">
      <c r="A698" s="18" t="n">
        <v>683</v>
      </c>
      <c r="B698" s="56" t="inlineStr">
        <is>
          <t>00011-LIM</t>
        </is>
      </c>
      <c r="C698" s="56">
        <f>IFERROR(_xlfn.XLOOKUP(PRODUCTOS[[#This Row],[CODIGO]],LISTADO[CODIGOS],LISTADO[CATEGORIA]),"NO EXISTE")</f>
        <v/>
      </c>
      <c r="D698" s="56">
        <f>IFERROR(_xlfn.XLOOKUP(PRODUCTOS[[#This Row],[CODIGO]],LISTADO[CODIGOS],LISTADO[PRODUCTOS]),"NO EXISTE")</f>
        <v/>
      </c>
      <c r="E698" s="56">
        <f>IFERROR(_xlfn.XLOOKUP(PRODUCTOS[[#This Row],[CODIGO]],LISTADO[CODIGOS],LISTADO[UBICACIÓN]),"NO EXISTE")</f>
        <v/>
      </c>
      <c r="F698" s="56">
        <f>SUMIFS(ENTRADAS[CANTIDAD],ENTRADAS[CODIGO],PRODUCTOS[[#This Row],[CODIGO]])</f>
        <v/>
      </c>
      <c r="G698" s="56">
        <f>SUMIFS(SALIDAS[CANTIDAD],SALIDAS[CODIGO],PRODUCTOS[[#This Row],[CODIGO]])</f>
        <v/>
      </c>
      <c r="H698" s="56">
        <f>PRODUCTOS[[#This Row],[ENTRADAS]]-PRODUCTOS[[#This Row],[SALIDAS ]]</f>
        <v/>
      </c>
      <c r="I698" s="76" t="n">
        <v>0</v>
      </c>
      <c r="J698">
        <f>IF(PRODUCTOS[[#This Row],[STOCK]]&lt;0,"NEGATIVO",IF(PRODUCTOS[[#This Row],[STOCK]]=0,"SIN STOCK",IF(PRODUCTOS[[#This Row],[STOCK]]&lt;=PRODUCTOS[[#This Row],[STOCK MÍN.]],"BAJO","OK")))</f>
        <v/>
      </c>
      <c r="K6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699" hidden="1" s="11">
      <c r="A699" s="18" t="n">
        <v>684</v>
      </c>
      <c r="B699" s="56" t="inlineStr">
        <is>
          <t>00140-FER</t>
        </is>
      </c>
      <c r="C699" s="56">
        <f>IFERROR(_xlfn.XLOOKUP(PRODUCTOS[[#This Row],[CODIGO]],LISTADO[CODIGOS],LISTADO[CATEGORIA]),"NO EXISTE")</f>
        <v/>
      </c>
      <c r="D699" s="56">
        <f>IFERROR(_xlfn.XLOOKUP(PRODUCTOS[[#This Row],[CODIGO]],LISTADO[CODIGOS],LISTADO[PRODUCTOS]),"NO EXISTE")</f>
        <v/>
      </c>
      <c r="E699" s="56">
        <f>IFERROR(_xlfn.XLOOKUP(PRODUCTOS[[#This Row],[CODIGO]],LISTADO[CODIGOS],LISTADO[UBICACIÓN]),"NO EXISTE")</f>
        <v/>
      </c>
      <c r="F699" s="56">
        <f>SUMIFS(ENTRADAS[CANTIDAD],ENTRADAS[CODIGO],PRODUCTOS[[#This Row],[CODIGO]])</f>
        <v/>
      </c>
      <c r="G699" s="56">
        <f>SUMIFS(SALIDAS[CANTIDAD],SALIDAS[CODIGO],PRODUCTOS[[#This Row],[CODIGO]])</f>
        <v/>
      </c>
      <c r="H699" s="56">
        <f>PRODUCTOS[[#This Row],[ENTRADAS]]-PRODUCTOS[[#This Row],[SALIDAS ]]</f>
        <v/>
      </c>
      <c r="I699" s="76" t="n">
        <v>0</v>
      </c>
      <c r="J699">
        <f>IF(PRODUCTOS[[#This Row],[STOCK]]&lt;0,"NEGATIVO",IF(PRODUCTOS[[#This Row],[STOCK]]=0,"SIN STOCK",IF(PRODUCTOS[[#This Row],[STOCK]]&lt;=PRODUCTOS[[#This Row],[STOCK MÍN.]],"BAJO","OK")))</f>
        <v/>
      </c>
      <c r="K6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00" hidden="1" s="11">
      <c r="A700" s="18" t="n">
        <v>685</v>
      </c>
      <c r="B700" s="56" t="inlineStr">
        <is>
          <t>00044-PLM</t>
        </is>
      </c>
      <c r="C700" s="56">
        <f>IFERROR(_xlfn.XLOOKUP(PRODUCTOS[[#This Row],[CODIGO]],LISTADO[CODIGOS],LISTADO[CATEGORIA]),"NO EXISTE")</f>
        <v/>
      </c>
      <c r="D700" s="56">
        <f>IFERROR(_xlfn.XLOOKUP(PRODUCTOS[[#This Row],[CODIGO]],LISTADO[CODIGOS],LISTADO[PRODUCTOS]),"NO EXISTE")</f>
        <v/>
      </c>
      <c r="E700" s="56">
        <f>IFERROR(_xlfn.XLOOKUP(PRODUCTOS[[#This Row],[CODIGO]],LISTADO[CODIGOS],LISTADO[UBICACIÓN]),"NO EXISTE")</f>
        <v/>
      </c>
      <c r="F700" s="56">
        <f>SUMIFS(ENTRADAS[CANTIDAD],ENTRADAS[CODIGO],PRODUCTOS[[#This Row],[CODIGO]])</f>
        <v/>
      </c>
      <c r="G700" s="56">
        <f>SUMIFS(SALIDAS[CANTIDAD],SALIDAS[CODIGO],PRODUCTOS[[#This Row],[CODIGO]])</f>
        <v/>
      </c>
      <c r="H700" s="56">
        <f>PRODUCTOS[[#This Row],[ENTRADAS]]-PRODUCTOS[[#This Row],[SALIDAS ]]</f>
        <v/>
      </c>
      <c r="I700" s="76" t="n">
        <v>0</v>
      </c>
      <c r="J700">
        <f>IF(PRODUCTOS[[#This Row],[STOCK]]&lt;0,"NEGATIVO",IF(PRODUCTOS[[#This Row],[STOCK]]=0,"SIN STOCK",IF(PRODUCTOS[[#This Row],[STOCK]]&lt;=PRODUCTOS[[#This Row],[STOCK MÍN.]],"BAJO","OK")))</f>
        <v/>
      </c>
      <c r="K7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01">
      <c r="A701" s="18" t="n">
        <v>686</v>
      </c>
      <c r="B701" s="56" t="inlineStr">
        <is>
          <t>00050-ELE</t>
        </is>
      </c>
      <c r="C701" s="56">
        <f>IFERROR(_xlfn.XLOOKUP(PRODUCTOS[[#This Row],[CODIGO]],LISTADO[CODIGOS],LISTADO[CATEGORIA]),"NO EXISTE")</f>
        <v/>
      </c>
      <c r="D701" s="56">
        <f>IFERROR(_xlfn.XLOOKUP(PRODUCTOS[[#This Row],[CODIGO]],LISTADO[CODIGOS],LISTADO[PRODUCTOS]),"NO EXISTE")</f>
        <v/>
      </c>
      <c r="E701" s="56">
        <f>IFERROR(_xlfn.XLOOKUP(PRODUCTOS[[#This Row],[CODIGO]],LISTADO[CODIGOS],LISTADO[UBICACIÓN]),"NO EXISTE")</f>
        <v/>
      </c>
      <c r="F701" s="56">
        <f>SUMIFS(ENTRADAS[CANTIDAD],ENTRADAS[CODIGO],PRODUCTOS[[#This Row],[CODIGO]])</f>
        <v/>
      </c>
      <c r="G701" s="56">
        <f>SUMIFS(SALIDAS[CANTIDAD],SALIDAS[CODIGO],PRODUCTOS[[#This Row],[CODIGO]])</f>
        <v/>
      </c>
      <c r="H701" s="56">
        <f>PRODUCTOS[[#This Row],[ENTRADAS]]-PRODUCTOS[[#This Row],[SALIDAS ]]</f>
        <v/>
      </c>
      <c r="I701" s="76" t="n">
        <v>0</v>
      </c>
      <c r="J701">
        <f>IF(PRODUCTOS[[#This Row],[STOCK]]&lt;0,"NEGATIVO",IF(PRODUCTOS[[#This Row],[STOCK]]=0,"SIN STOCK",IF(PRODUCTOS[[#This Row],[STOCK]]&lt;=PRODUCTOS[[#This Row],[STOCK MÍN.]],"BAJO","OK")))</f>
        <v/>
      </c>
      <c r="K7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02">
      <c r="A702" s="18" t="n">
        <v>687</v>
      </c>
      <c r="B702" s="56" t="inlineStr">
        <is>
          <t>00051-ELE</t>
        </is>
      </c>
      <c r="C702" s="56">
        <f>IFERROR(_xlfn.XLOOKUP(PRODUCTOS[[#This Row],[CODIGO]],LISTADO[CODIGOS],LISTADO[CATEGORIA]),"NO EXISTE")</f>
        <v/>
      </c>
      <c r="D702" s="56">
        <f>IFERROR(_xlfn.XLOOKUP(PRODUCTOS[[#This Row],[CODIGO]],LISTADO[CODIGOS],LISTADO[PRODUCTOS]),"NO EXISTE")</f>
        <v/>
      </c>
      <c r="E702" s="56">
        <f>IFERROR(_xlfn.XLOOKUP(PRODUCTOS[[#This Row],[CODIGO]],LISTADO[CODIGOS],LISTADO[UBICACIÓN]),"NO EXISTE")</f>
        <v/>
      </c>
      <c r="F702" s="56">
        <f>SUMIFS(ENTRADAS[CANTIDAD],ENTRADAS[CODIGO],PRODUCTOS[[#This Row],[CODIGO]])</f>
        <v/>
      </c>
      <c r="G702" s="56">
        <f>SUMIFS(SALIDAS[CANTIDAD],SALIDAS[CODIGO],PRODUCTOS[[#This Row],[CODIGO]])</f>
        <v/>
      </c>
      <c r="H702" s="56">
        <f>PRODUCTOS[[#This Row],[ENTRADAS]]-PRODUCTOS[[#This Row],[SALIDAS ]]</f>
        <v/>
      </c>
      <c r="I702" s="76" t="n">
        <v>0</v>
      </c>
      <c r="J702">
        <f>IF(PRODUCTOS[[#This Row],[STOCK]]&lt;0,"NEGATIVO",IF(PRODUCTOS[[#This Row],[STOCK]]=0,"SIN STOCK",IF(PRODUCTOS[[#This Row],[STOCK]]&lt;=PRODUCTOS[[#This Row],[STOCK MÍN.]],"BAJO","OK")))</f>
        <v/>
      </c>
      <c r="K7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03">
      <c r="A703" s="18" t="n">
        <v>688</v>
      </c>
      <c r="B703" s="56" t="inlineStr">
        <is>
          <t>00052-ELE</t>
        </is>
      </c>
      <c r="C703" s="56">
        <f>IFERROR(_xlfn.XLOOKUP(PRODUCTOS[[#This Row],[CODIGO]],LISTADO[CODIGOS],LISTADO[CATEGORIA]),"NO EXISTE")</f>
        <v/>
      </c>
      <c r="D703" s="56">
        <f>IFERROR(_xlfn.XLOOKUP(PRODUCTOS[[#This Row],[CODIGO]],LISTADO[CODIGOS],LISTADO[PRODUCTOS]),"NO EXISTE")</f>
        <v/>
      </c>
      <c r="E703" s="56">
        <f>IFERROR(_xlfn.XLOOKUP(PRODUCTOS[[#This Row],[CODIGO]],LISTADO[CODIGOS],LISTADO[UBICACIÓN]),"NO EXISTE")</f>
        <v/>
      </c>
      <c r="F703" s="56">
        <f>SUMIFS(ENTRADAS[CANTIDAD],ENTRADAS[CODIGO],PRODUCTOS[[#This Row],[CODIGO]])</f>
        <v/>
      </c>
      <c r="G703" s="56">
        <f>SUMIFS(SALIDAS[CANTIDAD],SALIDAS[CODIGO],PRODUCTOS[[#This Row],[CODIGO]])</f>
        <v/>
      </c>
      <c r="H703" s="56">
        <f>PRODUCTOS[[#This Row],[ENTRADAS]]-PRODUCTOS[[#This Row],[SALIDAS ]]</f>
        <v/>
      </c>
      <c r="I703" s="76" t="n">
        <v>0</v>
      </c>
      <c r="J703">
        <f>IF(PRODUCTOS[[#This Row],[STOCK]]&lt;0,"NEGATIVO",IF(PRODUCTOS[[#This Row],[STOCK]]=0,"SIN STOCK",IF(PRODUCTOS[[#This Row],[STOCK]]&lt;=PRODUCTOS[[#This Row],[STOCK MÍN.]],"BAJO","OK")))</f>
        <v/>
      </c>
      <c r="K7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04">
      <c r="A704" s="18" t="n">
        <v>689</v>
      </c>
      <c r="B704" s="56" t="inlineStr">
        <is>
          <t>00053-ELE</t>
        </is>
      </c>
      <c r="C704" s="56">
        <f>IFERROR(_xlfn.XLOOKUP(PRODUCTOS[[#This Row],[CODIGO]],LISTADO[CODIGOS],LISTADO[CATEGORIA]),"NO EXISTE")</f>
        <v/>
      </c>
      <c r="D704" s="56">
        <f>IFERROR(_xlfn.XLOOKUP(PRODUCTOS[[#This Row],[CODIGO]],LISTADO[CODIGOS],LISTADO[PRODUCTOS]),"NO EXISTE")</f>
        <v/>
      </c>
      <c r="E704" s="56">
        <f>IFERROR(_xlfn.XLOOKUP(PRODUCTOS[[#This Row],[CODIGO]],LISTADO[CODIGOS],LISTADO[UBICACIÓN]),"NO EXISTE")</f>
        <v/>
      </c>
      <c r="F704" s="56">
        <f>SUMIFS(ENTRADAS[CANTIDAD],ENTRADAS[CODIGO],PRODUCTOS[[#This Row],[CODIGO]])</f>
        <v/>
      </c>
      <c r="G704" s="56">
        <f>SUMIFS(SALIDAS[CANTIDAD],SALIDAS[CODIGO],PRODUCTOS[[#This Row],[CODIGO]])</f>
        <v/>
      </c>
      <c r="H704" s="56">
        <f>PRODUCTOS[[#This Row],[ENTRADAS]]-PRODUCTOS[[#This Row],[SALIDAS ]]</f>
        <v/>
      </c>
      <c r="I704" s="76" t="n">
        <v>0</v>
      </c>
      <c r="J704">
        <f>IF(PRODUCTOS[[#This Row],[STOCK]]&lt;0,"NEGATIVO",IF(PRODUCTOS[[#This Row],[STOCK]]=0,"SIN STOCK",IF(PRODUCTOS[[#This Row],[STOCK]]&lt;=PRODUCTOS[[#This Row],[STOCK MÍN.]],"BAJO","OK")))</f>
        <v/>
      </c>
      <c r="K7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05">
      <c r="A705" s="18" t="n">
        <v>690</v>
      </c>
      <c r="B705" s="56" t="inlineStr">
        <is>
          <t>00054-ELE</t>
        </is>
      </c>
      <c r="C705" s="56">
        <f>IFERROR(_xlfn.XLOOKUP(PRODUCTOS[[#This Row],[CODIGO]],LISTADO[CODIGOS],LISTADO[CATEGORIA]),"NO EXISTE")</f>
        <v/>
      </c>
      <c r="D705" s="56">
        <f>IFERROR(_xlfn.XLOOKUP(PRODUCTOS[[#This Row],[CODIGO]],LISTADO[CODIGOS],LISTADO[PRODUCTOS]),"NO EXISTE")</f>
        <v/>
      </c>
      <c r="E705" s="56">
        <f>IFERROR(_xlfn.XLOOKUP(PRODUCTOS[[#This Row],[CODIGO]],LISTADO[CODIGOS],LISTADO[UBICACIÓN]),"NO EXISTE")</f>
        <v/>
      </c>
      <c r="F705" s="56">
        <f>SUMIFS(ENTRADAS[CANTIDAD],ENTRADAS[CODIGO],PRODUCTOS[[#This Row],[CODIGO]])</f>
        <v/>
      </c>
      <c r="G705" s="56">
        <f>SUMIFS(SALIDAS[CANTIDAD],SALIDAS[CODIGO],PRODUCTOS[[#This Row],[CODIGO]])</f>
        <v/>
      </c>
      <c r="H705" s="56">
        <f>PRODUCTOS[[#This Row],[ENTRADAS]]-PRODUCTOS[[#This Row],[SALIDAS ]]</f>
        <v/>
      </c>
      <c r="I705" s="76" t="n">
        <v>0</v>
      </c>
      <c r="J705">
        <f>IF(PRODUCTOS[[#This Row],[STOCK]]&lt;0,"NEGATIVO",IF(PRODUCTOS[[#This Row],[STOCK]]=0,"SIN STOCK",IF(PRODUCTOS[[#This Row],[STOCK]]&lt;=PRODUCTOS[[#This Row],[STOCK MÍN.]],"BAJO","OK")))</f>
        <v/>
      </c>
      <c r="K7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06" hidden="1" s="11">
      <c r="A706" s="18" t="n">
        <v>691</v>
      </c>
      <c r="B706" s="56" t="inlineStr">
        <is>
          <t>00088-REF</t>
        </is>
      </c>
      <c r="C706" s="56">
        <f>IFERROR(_xlfn.XLOOKUP(PRODUCTOS[[#This Row],[CODIGO]],LISTADO[CODIGOS],LISTADO[CATEGORIA]),"NO EXISTE")</f>
        <v/>
      </c>
      <c r="D706" s="56">
        <f>IFERROR(_xlfn.XLOOKUP(PRODUCTOS[[#This Row],[CODIGO]],LISTADO[CODIGOS],LISTADO[PRODUCTOS]),"NO EXISTE")</f>
        <v/>
      </c>
      <c r="E706" s="56">
        <f>IFERROR(_xlfn.XLOOKUP(PRODUCTOS[[#This Row],[CODIGO]],LISTADO[CODIGOS],LISTADO[UBICACIÓN]),"NO EXISTE")</f>
        <v/>
      </c>
      <c r="F706" s="56">
        <f>SUMIFS(ENTRADAS[CANTIDAD],ENTRADAS[CODIGO],PRODUCTOS[[#This Row],[CODIGO]])</f>
        <v/>
      </c>
      <c r="G706" s="56">
        <f>SUMIFS(SALIDAS[CANTIDAD],SALIDAS[CODIGO],PRODUCTOS[[#This Row],[CODIGO]])</f>
        <v/>
      </c>
      <c r="H706" s="56">
        <f>PRODUCTOS[[#This Row],[ENTRADAS]]-PRODUCTOS[[#This Row],[SALIDAS ]]</f>
        <v/>
      </c>
      <c r="I706" s="76" t="n">
        <v>0</v>
      </c>
      <c r="J706">
        <f>IF(PRODUCTOS[[#This Row],[STOCK]]&lt;0,"NEGATIVO",IF(PRODUCTOS[[#This Row],[STOCK]]=0,"SIN STOCK",IF(PRODUCTOS[[#This Row],[STOCK]]&lt;=PRODUCTOS[[#This Row],[STOCK MÍN.]],"BAJO","OK")))</f>
        <v/>
      </c>
      <c r="K7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07" hidden="1" s="11">
      <c r="A707" s="18" t="n">
        <v>692</v>
      </c>
      <c r="B707" s="56" t="inlineStr">
        <is>
          <t>00089-REF</t>
        </is>
      </c>
      <c r="C707" s="56">
        <f>IFERROR(_xlfn.XLOOKUP(PRODUCTOS[[#This Row],[CODIGO]],LISTADO[CODIGOS],LISTADO[CATEGORIA]),"NO EXISTE")</f>
        <v/>
      </c>
      <c r="D707" s="56">
        <f>IFERROR(_xlfn.XLOOKUP(PRODUCTOS[[#This Row],[CODIGO]],LISTADO[CODIGOS],LISTADO[PRODUCTOS]),"NO EXISTE")</f>
        <v/>
      </c>
      <c r="E707" s="56">
        <f>IFERROR(_xlfn.XLOOKUP(PRODUCTOS[[#This Row],[CODIGO]],LISTADO[CODIGOS],LISTADO[UBICACIÓN]),"NO EXISTE")</f>
        <v/>
      </c>
      <c r="F707" s="56">
        <f>SUMIFS(ENTRADAS[CANTIDAD],ENTRADAS[CODIGO],PRODUCTOS[[#This Row],[CODIGO]])</f>
        <v/>
      </c>
      <c r="G707" s="56">
        <f>SUMIFS(SALIDAS[CANTIDAD],SALIDAS[CODIGO],PRODUCTOS[[#This Row],[CODIGO]])</f>
        <v/>
      </c>
      <c r="H707" s="56">
        <f>PRODUCTOS[[#This Row],[ENTRADAS]]-PRODUCTOS[[#This Row],[SALIDAS ]]</f>
        <v/>
      </c>
      <c r="I707" s="76" t="n">
        <v>0</v>
      </c>
      <c r="J707">
        <f>IF(PRODUCTOS[[#This Row],[STOCK]]&lt;0,"NEGATIVO",IF(PRODUCTOS[[#This Row],[STOCK]]=0,"SIN STOCK",IF(PRODUCTOS[[#This Row],[STOCK]]&lt;=PRODUCTOS[[#This Row],[STOCK MÍN.]],"BAJO","OK")))</f>
        <v/>
      </c>
      <c r="K7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08" hidden="1" s="11">
      <c r="A708" s="18" t="n">
        <v>693</v>
      </c>
      <c r="B708" s="56" t="inlineStr">
        <is>
          <t>00090-REF</t>
        </is>
      </c>
      <c r="C708" s="56">
        <f>IFERROR(_xlfn.XLOOKUP(PRODUCTOS[[#This Row],[CODIGO]],LISTADO[CODIGOS],LISTADO[CATEGORIA]),"NO EXISTE")</f>
        <v/>
      </c>
      <c r="D708" s="56">
        <f>IFERROR(_xlfn.XLOOKUP(PRODUCTOS[[#This Row],[CODIGO]],LISTADO[CODIGOS],LISTADO[PRODUCTOS]),"NO EXISTE")</f>
        <v/>
      </c>
      <c r="E708" s="56">
        <f>IFERROR(_xlfn.XLOOKUP(PRODUCTOS[[#This Row],[CODIGO]],LISTADO[CODIGOS],LISTADO[UBICACIÓN]),"NO EXISTE")</f>
        <v/>
      </c>
      <c r="F708" s="56">
        <f>SUMIFS(ENTRADAS[CANTIDAD],ENTRADAS[CODIGO],PRODUCTOS[[#This Row],[CODIGO]])</f>
        <v/>
      </c>
      <c r="G708" s="56">
        <f>SUMIFS(SALIDAS[CANTIDAD],SALIDAS[CODIGO],PRODUCTOS[[#This Row],[CODIGO]])</f>
        <v/>
      </c>
      <c r="H708" s="56">
        <f>PRODUCTOS[[#This Row],[ENTRADAS]]-PRODUCTOS[[#This Row],[SALIDAS ]]</f>
        <v/>
      </c>
      <c r="I708" s="76" t="n">
        <v>0</v>
      </c>
      <c r="J708">
        <f>IF(PRODUCTOS[[#This Row],[STOCK]]&lt;0,"NEGATIVO",IF(PRODUCTOS[[#This Row],[STOCK]]=0,"SIN STOCK",IF(PRODUCTOS[[#This Row],[STOCK]]&lt;=PRODUCTOS[[#This Row],[STOCK MÍN.]],"BAJO","OK")))</f>
        <v/>
      </c>
      <c r="K7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09" hidden="1" s="11">
      <c r="A709" s="18" t="n">
        <v>428</v>
      </c>
      <c r="B709" s="56" t="inlineStr">
        <is>
          <t>00091-REF</t>
        </is>
      </c>
      <c r="C709" s="56">
        <f>IFERROR(_xlfn.XLOOKUP(PRODUCTOS[[#This Row],[CODIGO]],LISTADO[CODIGOS],LISTADO[CATEGORIA]),"NO EXISTE")</f>
        <v/>
      </c>
      <c r="D709" s="56">
        <f>IFERROR(_xlfn.XLOOKUP(PRODUCTOS[[#This Row],[CODIGO]],LISTADO[CODIGOS],LISTADO[PRODUCTOS]),"NO EXISTE")</f>
        <v/>
      </c>
      <c r="E709" s="56">
        <f>IFERROR(_xlfn.XLOOKUP(PRODUCTOS[[#This Row],[CODIGO]],LISTADO[CODIGOS],LISTADO[UBICACIÓN]),"NO EXISTE")</f>
        <v/>
      </c>
      <c r="F709" s="56">
        <f>SUMIFS(ENTRADAS[CANTIDAD],ENTRADAS[CODIGO],PRODUCTOS[[#This Row],[CODIGO]])</f>
        <v/>
      </c>
      <c r="G709" s="56">
        <f>SUMIFS(SALIDAS[CANTIDAD],SALIDAS[CODIGO],PRODUCTOS[[#This Row],[CODIGO]])</f>
        <v/>
      </c>
      <c r="H709" s="56">
        <f>PRODUCTOS[[#This Row],[ENTRADAS]]-PRODUCTOS[[#This Row],[SALIDAS ]]</f>
        <v/>
      </c>
      <c r="I709" s="76" t="n">
        <v>0</v>
      </c>
      <c r="J709">
        <f>IF(PRODUCTOS[[#This Row],[STOCK]]&lt;0,"NEGATIVO",IF(PRODUCTOS[[#This Row],[STOCK]]=0,"SIN STOCK",IF(PRODUCTOS[[#This Row],[STOCK]]&lt;=PRODUCTOS[[#This Row],[STOCK MÍN.]],"BAJO","OK")))</f>
        <v/>
      </c>
      <c r="K7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10" hidden="1" s="11">
      <c r="A710" s="18" t="n">
        <v>695</v>
      </c>
      <c r="B710" s="56" t="inlineStr">
        <is>
          <t>00068-UNI</t>
        </is>
      </c>
      <c r="C710" s="56">
        <f>IFERROR(_xlfn.XLOOKUP(PRODUCTOS[[#This Row],[CODIGO]],LISTADO[CODIGOS],LISTADO[CATEGORIA]),"NO EXISTE")</f>
        <v/>
      </c>
      <c r="D710" s="56">
        <f>IFERROR(_xlfn.XLOOKUP(PRODUCTOS[[#This Row],[CODIGO]],LISTADO[CODIGOS],LISTADO[PRODUCTOS]),"NO EXISTE")</f>
        <v/>
      </c>
      <c r="E710" s="56">
        <f>IFERROR(_xlfn.XLOOKUP(PRODUCTOS[[#This Row],[CODIGO]],LISTADO[CODIGOS],LISTADO[UBICACIÓN]),"NO EXISTE")</f>
        <v/>
      </c>
      <c r="F710" s="56">
        <f>SUMIFS(ENTRADAS[CANTIDAD],ENTRADAS[CODIGO],PRODUCTOS[[#This Row],[CODIGO]])</f>
        <v/>
      </c>
      <c r="G710" s="56">
        <f>SUMIFS(SALIDAS[CANTIDAD],SALIDAS[CODIGO],PRODUCTOS[[#This Row],[CODIGO]])</f>
        <v/>
      </c>
      <c r="H710" s="56">
        <f>PRODUCTOS[[#This Row],[ENTRADAS]]-PRODUCTOS[[#This Row],[SALIDAS ]]</f>
        <v/>
      </c>
      <c r="I710" s="76" t="n">
        <v>0</v>
      </c>
      <c r="J710">
        <f>IF(PRODUCTOS[[#This Row],[STOCK]]&lt;0,"NEGATIVO",IF(PRODUCTOS[[#This Row],[STOCK]]=0,"SIN STOCK",IF(PRODUCTOS[[#This Row],[STOCK]]&lt;=PRODUCTOS[[#This Row],[STOCK MÍN.]],"BAJO","OK")))</f>
        <v/>
      </c>
      <c r="K7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11" hidden="1" s="11">
      <c r="A711" s="18" t="n">
        <v>696</v>
      </c>
      <c r="B711" s="56" t="inlineStr">
        <is>
          <t>00055-ELE</t>
        </is>
      </c>
      <c r="C711" s="56">
        <f>IFERROR(_xlfn.XLOOKUP(PRODUCTOS[[#This Row],[CODIGO]],LISTADO[CODIGOS],LISTADO[CATEGORIA]),"NO EXISTE")</f>
        <v/>
      </c>
      <c r="D711" s="56">
        <f>IFERROR(_xlfn.XLOOKUP(PRODUCTOS[[#This Row],[CODIGO]],LISTADO[CODIGOS],LISTADO[PRODUCTOS]),"NO EXISTE")</f>
        <v/>
      </c>
      <c r="E711" s="56">
        <f>IFERROR(_xlfn.XLOOKUP(PRODUCTOS[[#This Row],[CODIGO]],LISTADO[CODIGOS],LISTADO[UBICACIÓN]),"NO EXISTE")</f>
        <v/>
      </c>
      <c r="F711" s="56">
        <f>SUMIFS(ENTRADAS[CANTIDAD],ENTRADAS[CODIGO],PRODUCTOS[[#This Row],[CODIGO]])</f>
        <v/>
      </c>
      <c r="G711" s="56">
        <f>SUMIFS(SALIDAS[CANTIDAD],SALIDAS[CODIGO],PRODUCTOS[[#This Row],[CODIGO]])</f>
        <v/>
      </c>
      <c r="H711" s="56">
        <f>PRODUCTOS[[#This Row],[ENTRADAS]]-PRODUCTOS[[#This Row],[SALIDAS ]]</f>
        <v/>
      </c>
      <c r="I711" s="76" t="n">
        <v>0</v>
      </c>
      <c r="J711">
        <f>IF(PRODUCTOS[[#This Row],[STOCK]]&lt;0,"NEGATIVO",IF(PRODUCTOS[[#This Row],[STOCK]]=0,"SIN STOCK",IF(PRODUCTOS[[#This Row],[STOCK]]&lt;=PRODUCTOS[[#This Row],[STOCK MÍN.]],"BAJO","OK")))</f>
        <v/>
      </c>
      <c r="K7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12" hidden="1" s="11">
      <c r="A712" s="18" t="n">
        <v>697</v>
      </c>
      <c r="B712" s="56" t="inlineStr">
        <is>
          <t>00056-ELE</t>
        </is>
      </c>
      <c r="C712" s="56">
        <f>IFERROR(_xlfn.XLOOKUP(PRODUCTOS[[#This Row],[CODIGO]],LISTADO[CODIGOS],LISTADO[CATEGORIA]),"NO EXISTE")</f>
        <v/>
      </c>
      <c r="D712" s="56">
        <f>IFERROR(_xlfn.XLOOKUP(PRODUCTOS[[#This Row],[CODIGO]],LISTADO[CODIGOS],LISTADO[PRODUCTOS]),"NO EXISTE")</f>
        <v/>
      </c>
      <c r="E712" s="56">
        <f>IFERROR(_xlfn.XLOOKUP(PRODUCTOS[[#This Row],[CODIGO]],LISTADO[CODIGOS],LISTADO[UBICACIÓN]),"NO EXISTE")</f>
        <v/>
      </c>
      <c r="F712" s="56">
        <f>SUMIFS(ENTRADAS[CANTIDAD],ENTRADAS[CODIGO],PRODUCTOS[[#This Row],[CODIGO]])</f>
        <v/>
      </c>
      <c r="G712" s="56">
        <f>SUMIFS(SALIDAS[CANTIDAD],SALIDAS[CODIGO],PRODUCTOS[[#This Row],[CODIGO]])</f>
        <v/>
      </c>
      <c r="H712" s="56">
        <f>PRODUCTOS[[#This Row],[ENTRADAS]]-PRODUCTOS[[#This Row],[SALIDAS ]]</f>
        <v/>
      </c>
      <c r="I712" s="76" t="n">
        <v>0</v>
      </c>
      <c r="J712">
        <f>IF(PRODUCTOS[[#This Row],[STOCK]]&lt;0,"NEGATIVO",IF(PRODUCTOS[[#This Row],[STOCK]]=0,"SIN STOCK",IF(PRODUCTOS[[#This Row],[STOCK]]&lt;=PRODUCTOS[[#This Row],[STOCK MÍN.]],"BAJO","OK")))</f>
        <v/>
      </c>
      <c r="K7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13" hidden="1" s="11">
      <c r="A713" s="18" t="n">
        <v>694</v>
      </c>
      <c r="B713" s="56" t="inlineStr">
        <is>
          <t>00092-REF</t>
        </is>
      </c>
      <c r="C713" s="56">
        <f>IFERROR(_xlfn.XLOOKUP(PRODUCTOS[[#This Row],[CODIGO]],LISTADO[CODIGOS],LISTADO[CATEGORIA]),"NO EXISTE")</f>
        <v/>
      </c>
      <c r="D713" s="56">
        <f>IFERROR(_xlfn.XLOOKUP(PRODUCTOS[[#This Row],[CODIGO]],LISTADO[CODIGOS],LISTADO[PRODUCTOS]),"NO EXISTE")</f>
        <v/>
      </c>
      <c r="E713" s="56">
        <f>IFERROR(_xlfn.XLOOKUP(PRODUCTOS[[#This Row],[CODIGO]],LISTADO[CODIGOS],LISTADO[UBICACIÓN]),"NO EXISTE")</f>
        <v/>
      </c>
      <c r="F713" s="56">
        <f>SUMIFS(ENTRADAS[CANTIDAD],ENTRADAS[CODIGO],PRODUCTOS[[#This Row],[CODIGO]])</f>
        <v/>
      </c>
      <c r="G713" s="56">
        <f>SUMIFS(SALIDAS[CANTIDAD],SALIDAS[CODIGO],PRODUCTOS[[#This Row],[CODIGO]])</f>
        <v/>
      </c>
      <c r="H713" s="56">
        <f>PRODUCTOS[[#This Row],[ENTRADAS]]-PRODUCTOS[[#This Row],[SALIDAS ]]</f>
        <v/>
      </c>
      <c r="I713" s="76" t="n">
        <v>0</v>
      </c>
      <c r="J713">
        <f>IF(PRODUCTOS[[#This Row],[STOCK]]&lt;0,"NEGATIVO",IF(PRODUCTOS[[#This Row],[STOCK]]=0,"SIN STOCK",IF(PRODUCTOS[[#This Row],[STOCK]]&lt;=PRODUCTOS[[#This Row],[STOCK MÍN.]],"BAJO","OK")))</f>
        <v/>
      </c>
      <c r="K7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14" hidden="1" s="11">
      <c r="A714" s="18" t="n">
        <v>699</v>
      </c>
      <c r="B714" s="56" t="inlineStr">
        <is>
          <t>00141-FER</t>
        </is>
      </c>
      <c r="C714" s="56">
        <f>IFERROR(_xlfn.XLOOKUP(PRODUCTOS[[#This Row],[CODIGO]],LISTADO[CODIGOS],LISTADO[CATEGORIA]),"NO EXISTE")</f>
        <v/>
      </c>
      <c r="D714" s="56">
        <f>IFERROR(_xlfn.XLOOKUP(PRODUCTOS[[#This Row],[CODIGO]],LISTADO[CODIGOS],LISTADO[PRODUCTOS]),"NO EXISTE")</f>
        <v/>
      </c>
      <c r="E714" s="56">
        <f>IFERROR(_xlfn.XLOOKUP(PRODUCTOS[[#This Row],[CODIGO]],LISTADO[CODIGOS],LISTADO[UBICACIÓN]),"NO EXISTE")</f>
        <v/>
      </c>
      <c r="F714" s="56">
        <f>SUMIFS(ENTRADAS[CANTIDAD],ENTRADAS[CODIGO],PRODUCTOS[[#This Row],[CODIGO]])</f>
        <v/>
      </c>
      <c r="G714" s="56">
        <f>SUMIFS(SALIDAS[CANTIDAD],SALIDAS[CODIGO],PRODUCTOS[[#This Row],[CODIGO]])</f>
        <v/>
      </c>
      <c r="H714" s="56">
        <f>PRODUCTOS[[#This Row],[ENTRADAS]]-PRODUCTOS[[#This Row],[SALIDAS ]]</f>
        <v/>
      </c>
      <c r="I714" s="76" t="n">
        <v>0</v>
      </c>
      <c r="J714">
        <f>IF(PRODUCTOS[[#This Row],[STOCK]]&lt;0,"NEGATIVO",IF(PRODUCTOS[[#This Row],[STOCK]]=0,"SIN STOCK",IF(PRODUCTOS[[#This Row],[STOCK]]&lt;=PRODUCTOS[[#This Row],[STOCK MÍN.]],"BAJO","OK")))</f>
        <v/>
      </c>
      <c r="K7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15" hidden="1" s="11">
      <c r="A715" s="18" t="n">
        <v>700</v>
      </c>
      <c r="B715" s="56" t="inlineStr">
        <is>
          <t>00142-FER</t>
        </is>
      </c>
      <c r="C715" s="56">
        <f>IFERROR(_xlfn.XLOOKUP(PRODUCTOS[[#This Row],[CODIGO]],LISTADO[CODIGOS],LISTADO[CATEGORIA]),"NO EXISTE")</f>
        <v/>
      </c>
      <c r="D715" s="56">
        <f>IFERROR(_xlfn.XLOOKUP(PRODUCTOS[[#This Row],[CODIGO]],LISTADO[CODIGOS],LISTADO[PRODUCTOS]),"NO EXISTE")</f>
        <v/>
      </c>
      <c r="E715" s="56">
        <f>IFERROR(_xlfn.XLOOKUP(PRODUCTOS[[#This Row],[CODIGO]],LISTADO[CODIGOS],LISTADO[UBICACIÓN]),"NO EXISTE")</f>
        <v/>
      </c>
      <c r="F715" s="56">
        <f>SUMIFS(ENTRADAS[CANTIDAD],ENTRADAS[CODIGO],PRODUCTOS[[#This Row],[CODIGO]])</f>
        <v/>
      </c>
      <c r="G715" s="56">
        <f>SUMIFS(SALIDAS[CANTIDAD],SALIDAS[CODIGO],PRODUCTOS[[#This Row],[CODIGO]])</f>
        <v/>
      </c>
      <c r="H715" s="56">
        <f>PRODUCTOS[[#This Row],[ENTRADAS]]-PRODUCTOS[[#This Row],[SALIDAS ]]</f>
        <v/>
      </c>
      <c r="I715" s="76" t="n">
        <v>0</v>
      </c>
      <c r="J715">
        <f>IF(PRODUCTOS[[#This Row],[STOCK]]&lt;0,"NEGATIVO",IF(PRODUCTOS[[#This Row],[STOCK]]=0,"SIN STOCK",IF(PRODUCTOS[[#This Row],[STOCK]]&lt;=PRODUCTOS[[#This Row],[STOCK MÍN.]],"BAJO","OK")))</f>
        <v/>
      </c>
      <c r="K7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16" hidden="1" s="11">
      <c r="A716" s="18" t="n">
        <v>701</v>
      </c>
      <c r="B716" s="56" t="inlineStr">
        <is>
          <t>00036-HRR</t>
        </is>
      </c>
      <c r="C716" s="56">
        <f>IFERROR(_xlfn.XLOOKUP(PRODUCTOS[[#This Row],[CODIGO]],LISTADO[CODIGOS],LISTADO[CATEGORIA]),"NO EXISTE")</f>
        <v/>
      </c>
      <c r="D716" s="56">
        <f>IFERROR(_xlfn.XLOOKUP(PRODUCTOS[[#This Row],[CODIGO]],LISTADO[CODIGOS],LISTADO[PRODUCTOS]),"NO EXISTE")</f>
        <v/>
      </c>
      <c r="E716" s="56">
        <f>IFERROR(_xlfn.XLOOKUP(PRODUCTOS[[#This Row],[CODIGO]],LISTADO[CODIGOS],LISTADO[UBICACIÓN]),"NO EXISTE")</f>
        <v/>
      </c>
      <c r="F716" s="56">
        <f>SUMIFS(ENTRADAS[CANTIDAD],ENTRADAS[CODIGO],PRODUCTOS[[#This Row],[CODIGO]])</f>
        <v/>
      </c>
      <c r="G716" s="56">
        <f>SUMIFS(SALIDAS[CANTIDAD],SALIDAS[CODIGO],PRODUCTOS[[#This Row],[CODIGO]])</f>
        <v/>
      </c>
      <c r="H716" s="56">
        <f>PRODUCTOS[[#This Row],[ENTRADAS]]-PRODUCTOS[[#This Row],[SALIDAS ]]</f>
        <v/>
      </c>
      <c r="I716" s="76" t="n">
        <v>0</v>
      </c>
      <c r="J716">
        <f>IF(PRODUCTOS[[#This Row],[STOCK]]&lt;0,"NEGATIVO",IF(PRODUCTOS[[#This Row],[STOCK]]=0,"SIN STOCK",IF(PRODUCTOS[[#This Row],[STOCK]]&lt;=PRODUCTOS[[#This Row],[STOCK MÍN.]],"BAJO","OK")))</f>
        <v/>
      </c>
      <c r="K7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17" hidden="1" s="11">
      <c r="A717" s="18" t="n">
        <v>702</v>
      </c>
      <c r="B717" s="56" t="inlineStr">
        <is>
          <t>00143-FER</t>
        </is>
      </c>
      <c r="C717" s="56">
        <f>IFERROR(_xlfn.XLOOKUP(PRODUCTOS[[#This Row],[CODIGO]],LISTADO[CODIGOS],LISTADO[CATEGORIA]),"NO EXISTE")</f>
        <v/>
      </c>
      <c r="D717" s="56">
        <f>IFERROR(_xlfn.XLOOKUP(PRODUCTOS[[#This Row],[CODIGO]],LISTADO[CODIGOS],LISTADO[PRODUCTOS]),"NO EXISTE")</f>
        <v/>
      </c>
      <c r="E717" s="56">
        <f>IFERROR(_xlfn.XLOOKUP(PRODUCTOS[[#This Row],[CODIGO]],LISTADO[CODIGOS],LISTADO[UBICACIÓN]),"NO EXISTE")</f>
        <v/>
      </c>
      <c r="F717" s="56">
        <f>SUMIFS(ENTRADAS[CANTIDAD],ENTRADAS[CODIGO],PRODUCTOS[[#This Row],[CODIGO]])</f>
        <v/>
      </c>
      <c r="G717" s="56">
        <f>SUMIFS(SALIDAS[CANTIDAD],SALIDAS[CODIGO],PRODUCTOS[[#This Row],[CODIGO]])</f>
        <v/>
      </c>
      <c r="H717" s="56">
        <f>PRODUCTOS[[#This Row],[ENTRADAS]]-PRODUCTOS[[#This Row],[SALIDAS ]]</f>
        <v/>
      </c>
      <c r="I717" s="76" t="n">
        <v>0</v>
      </c>
      <c r="J717">
        <f>IF(PRODUCTOS[[#This Row],[STOCK]]&lt;0,"NEGATIVO",IF(PRODUCTOS[[#This Row],[STOCK]]=0,"SIN STOCK",IF(PRODUCTOS[[#This Row],[STOCK]]&lt;=PRODUCTOS[[#This Row],[STOCK MÍN.]],"BAJO","OK")))</f>
        <v/>
      </c>
      <c r="K7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18" hidden="1" s="11">
      <c r="A718" s="18" t="n">
        <v>703</v>
      </c>
      <c r="B718" s="56" t="inlineStr">
        <is>
          <t>00037-HRR</t>
        </is>
      </c>
      <c r="C718" s="56">
        <f>IFERROR(_xlfn.XLOOKUP(PRODUCTOS[[#This Row],[CODIGO]],LISTADO[CODIGOS],LISTADO[CATEGORIA]),"NO EXISTE")</f>
        <v/>
      </c>
      <c r="D718" s="56">
        <f>IFERROR(_xlfn.XLOOKUP(PRODUCTOS[[#This Row],[CODIGO]],LISTADO[CODIGOS],LISTADO[PRODUCTOS]),"NO EXISTE")</f>
        <v/>
      </c>
      <c r="E718" s="56">
        <f>IFERROR(_xlfn.XLOOKUP(PRODUCTOS[[#This Row],[CODIGO]],LISTADO[CODIGOS],LISTADO[UBICACIÓN]),"NO EXISTE")</f>
        <v/>
      </c>
      <c r="F718" s="56">
        <f>SUMIFS(ENTRADAS[CANTIDAD],ENTRADAS[CODIGO],PRODUCTOS[[#This Row],[CODIGO]])</f>
        <v/>
      </c>
      <c r="G718" s="56">
        <f>SUMIFS(SALIDAS[CANTIDAD],SALIDAS[CODIGO],PRODUCTOS[[#This Row],[CODIGO]])</f>
        <v/>
      </c>
      <c r="H718" s="56">
        <f>PRODUCTOS[[#This Row],[ENTRADAS]]-PRODUCTOS[[#This Row],[SALIDAS ]]</f>
        <v/>
      </c>
      <c r="I718" s="76" t="n">
        <v>0</v>
      </c>
      <c r="J718">
        <f>IF(PRODUCTOS[[#This Row],[STOCK]]&lt;0,"NEGATIVO",IF(PRODUCTOS[[#This Row],[STOCK]]=0,"SIN STOCK",IF(PRODUCTOS[[#This Row],[STOCK]]&lt;=PRODUCTOS[[#This Row],[STOCK MÍN.]],"BAJO","OK")))</f>
        <v/>
      </c>
      <c r="K7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19" hidden="1" s="11">
      <c r="A719" s="18" t="n">
        <v>704</v>
      </c>
      <c r="B719" s="56" t="inlineStr">
        <is>
          <t>00144-FER</t>
        </is>
      </c>
      <c r="C719" s="56">
        <f>IFERROR(_xlfn.XLOOKUP(PRODUCTOS[[#This Row],[CODIGO]],LISTADO[CODIGOS],LISTADO[CATEGORIA]),"NO EXISTE")</f>
        <v/>
      </c>
      <c r="D719" s="56">
        <f>IFERROR(_xlfn.XLOOKUP(PRODUCTOS[[#This Row],[CODIGO]],LISTADO[CODIGOS],LISTADO[PRODUCTOS]),"NO EXISTE")</f>
        <v/>
      </c>
      <c r="E719" s="56">
        <f>IFERROR(_xlfn.XLOOKUP(PRODUCTOS[[#This Row],[CODIGO]],LISTADO[CODIGOS],LISTADO[UBICACIÓN]),"NO EXISTE")</f>
        <v/>
      </c>
      <c r="F719" s="56">
        <f>SUMIFS(ENTRADAS[CANTIDAD],ENTRADAS[CODIGO],PRODUCTOS[[#This Row],[CODIGO]])</f>
        <v/>
      </c>
      <c r="G719" s="56">
        <f>SUMIFS(SALIDAS[CANTIDAD],SALIDAS[CODIGO],PRODUCTOS[[#This Row],[CODIGO]])</f>
        <v/>
      </c>
      <c r="H719" s="56">
        <f>PRODUCTOS[[#This Row],[ENTRADAS]]-PRODUCTOS[[#This Row],[SALIDAS ]]</f>
        <v/>
      </c>
      <c r="I719" s="76" t="n">
        <v>0</v>
      </c>
      <c r="J719">
        <f>IF(PRODUCTOS[[#This Row],[STOCK]]&lt;0,"NEGATIVO",IF(PRODUCTOS[[#This Row],[STOCK]]=0,"SIN STOCK",IF(PRODUCTOS[[#This Row],[STOCK]]&lt;=PRODUCTOS[[#This Row],[STOCK MÍN.]],"BAJO","OK")))</f>
        <v/>
      </c>
      <c r="K7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20" hidden="1" s="11">
      <c r="A720" s="18" t="n">
        <v>705</v>
      </c>
      <c r="B720" s="56" t="inlineStr">
        <is>
          <t>00057-ELE</t>
        </is>
      </c>
      <c r="C720" s="56">
        <f>IFERROR(_xlfn.XLOOKUP(PRODUCTOS[[#This Row],[CODIGO]],LISTADO[CODIGOS],LISTADO[CATEGORIA]),"NO EXISTE")</f>
        <v/>
      </c>
      <c r="D720" s="56">
        <f>IFERROR(_xlfn.XLOOKUP(PRODUCTOS[[#This Row],[CODIGO]],LISTADO[CODIGOS],LISTADO[PRODUCTOS]),"NO EXISTE")</f>
        <v/>
      </c>
      <c r="E720" s="56">
        <f>IFERROR(_xlfn.XLOOKUP(PRODUCTOS[[#This Row],[CODIGO]],LISTADO[CODIGOS],LISTADO[UBICACIÓN]),"NO EXISTE")</f>
        <v/>
      </c>
      <c r="F720" s="56">
        <f>SUMIFS(ENTRADAS[CANTIDAD],ENTRADAS[CODIGO],PRODUCTOS[[#This Row],[CODIGO]])</f>
        <v/>
      </c>
      <c r="G720" s="56">
        <f>SUMIFS(SALIDAS[CANTIDAD],SALIDAS[CODIGO],PRODUCTOS[[#This Row],[CODIGO]])</f>
        <v/>
      </c>
      <c r="H720" s="56">
        <f>PRODUCTOS[[#This Row],[ENTRADAS]]-PRODUCTOS[[#This Row],[SALIDAS ]]</f>
        <v/>
      </c>
      <c r="I720" s="76" t="n">
        <v>0</v>
      </c>
      <c r="J720">
        <f>IF(PRODUCTOS[[#This Row],[STOCK]]&lt;0,"NEGATIVO",IF(PRODUCTOS[[#This Row],[STOCK]]=0,"SIN STOCK",IF(PRODUCTOS[[#This Row],[STOCK]]&lt;=PRODUCTOS[[#This Row],[STOCK MÍN.]],"BAJO","OK")))</f>
        <v/>
      </c>
      <c r="K7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21" hidden="1" s="11">
      <c r="A721" s="18" t="n">
        <v>706</v>
      </c>
      <c r="B721" s="56" t="inlineStr">
        <is>
          <t>00045-PLM</t>
        </is>
      </c>
      <c r="C721" s="56">
        <f>IFERROR(_xlfn.XLOOKUP(PRODUCTOS[[#This Row],[CODIGO]],LISTADO[CODIGOS],LISTADO[CATEGORIA]),"NO EXISTE")</f>
        <v/>
      </c>
      <c r="D721" s="56">
        <f>IFERROR(_xlfn.XLOOKUP(PRODUCTOS[[#This Row],[CODIGO]],LISTADO[CODIGOS],LISTADO[PRODUCTOS]),"NO EXISTE")</f>
        <v/>
      </c>
      <c r="E721" s="56">
        <f>IFERROR(_xlfn.XLOOKUP(PRODUCTOS[[#This Row],[CODIGO]],LISTADO[CODIGOS],LISTADO[UBICACIÓN]),"NO EXISTE")</f>
        <v/>
      </c>
      <c r="F721" s="56">
        <f>SUMIFS(ENTRADAS[CANTIDAD],ENTRADAS[CODIGO],PRODUCTOS[[#This Row],[CODIGO]])</f>
        <v/>
      </c>
      <c r="G721" s="56">
        <f>SUMIFS(SALIDAS[CANTIDAD],SALIDAS[CODIGO],PRODUCTOS[[#This Row],[CODIGO]])</f>
        <v/>
      </c>
      <c r="H721" s="56">
        <f>PRODUCTOS[[#This Row],[ENTRADAS]]-PRODUCTOS[[#This Row],[SALIDAS ]]</f>
        <v/>
      </c>
      <c r="I721" s="76" t="n">
        <v>0</v>
      </c>
      <c r="J721">
        <f>IF(PRODUCTOS[[#This Row],[STOCK]]&lt;0,"NEGATIVO",IF(PRODUCTOS[[#This Row],[STOCK]]=0,"SIN STOCK",IF(PRODUCTOS[[#This Row],[STOCK]]&lt;=PRODUCTOS[[#This Row],[STOCK MÍN.]],"BAJO","OK")))</f>
        <v/>
      </c>
      <c r="K7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22" hidden="1" s="11">
      <c r="A722" s="18" t="n">
        <v>707</v>
      </c>
      <c r="B722" s="56" t="inlineStr">
        <is>
          <t>00046-PLM</t>
        </is>
      </c>
      <c r="C722" s="56">
        <f>IFERROR(_xlfn.XLOOKUP(PRODUCTOS[[#This Row],[CODIGO]],LISTADO[CODIGOS],LISTADO[CATEGORIA]),"NO EXISTE")</f>
        <v/>
      </c>
      <c r="D722" s="56">
        <f>IFERROR(_xlfn.XLOOKUP(PRODUCTOS[[#This Row],[CODIGO]],LISTADO[CODIGOS],LISTADO[PRODUCTOS]),"NO EXISTE")</f>
        <v/>
      </c>
      <c r="E722" s="56">
        <f>IFERROR(_xlfn.XLOOKUP(PRODUCTOS[[#This Row],[CODIGO]],LISTADO[CODIGOS],LISTADO[UBICACIÓN]),"NO EXISTE")</f>
        <v/>
      </c>
      <c r="F722" s="56">
        <f>SUMIFS(ENTRADAS[CANTIDAD],ENTRADAS[CODIGO],PRODUCTOS[[#This Row],[CODIGO]])</f>
        <v/>
      </c>
      <c r="G722" s="56">
        <f>SUMIFS(SALIDAS[CANTIDAD],SALIDAS[CODIGO],PRODUCTOS[[#This Row],[CODIGO]])</f>
        <v/>
      </c>
      <c r="H722" s="56">
        <f>PRODUCTOS[[#This Row],[ENTRADAS]]-PRODUCTOS[[#This Row],[SALIDAS ]]</f>
        <v/>
      </c>
      <c r="I722" s="76" t="n">
        <v>0</v>
      </c>
      <c r="J722">
        <f>IF(PRODUCTOS[[#This Row],[STOCK]]&lt;0,"NEGATIVO",IF(PRODUCTOS[[#This Row],[STOCK]]=0,"SIN STOCK",IF(PRODUCTOS[[#This Row],[STOCK]]&lt;=PRODUCTOS[[#This Row],[STOCK MÍN.]],"BAJO","OK")))</f>
        <v/>
      </c>
      <c r="K7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23" hidden="1" s="11">
      <c r="A723" s="18" t="n">
        <v>708</v>
      </c>
      <c r="B723" s="56" t="inlineStr">
        <is>
          <t>00047-PLM</t>
        </is>
      </c>
      <c r="C723" s="56">
        <f>IFERROR(_xlfn.XLOOKUP(PRODUCTOS[[#This Row],[CODIGO]],LISTADO[CODIGOS],LISTADO[CATEGORIA]),"NO EXISTE")</f>
        <v/>
      </c>
      <c r="D723" s="56">
        <f>IFERROR(_xlfn.XLOOKUP(PRODUCTOS[[#This Row],[CODIGO]],LISTADO[CODIGOS],LISTADO[PRODUCTOS]),"NO EXISTE")</f>
        <v/>
      </c>
      <c r="E723" s="56">
        <f>IFERROR(_xlfn.XLOOKUP(PRODUCTOS[[#This Row],[CODIGO]],LISTADO[CODIGOS],LISTADO[UBICACIÓN]),"NO EXISTE")</f>
        <v/>
      </c>
      <c r="F723" s="56">
        <f>SUMIFS(ENTRADAS[CANTIDAD],ENTRADAS[CODIGO],PRODUCTOS[[#This Row],[CODIGO]])</f>
        <v/>
      </c>
      <c r="G723" s="56">
        <f>SUMIFS(SALIDAS[CANTIDAD],SALIDAS[CODIGO],PRODUCTOS[[#This Row],[CODIGO]])</f>
        <v/>
      </c>
      <c r="H723" s="56">
        <f>PRODUCTOS[[#This Row],[ENTRADAS]]-PRODUCTOS[[#This Row],[SALIDAS ]]</f>
        <v/>
      </c>
      <c r="I723" s="76" t="n">
        <v>0</v>
      </c>
      <c r="J723">
        <f>IF(PRODUCTOS[[#This Row],[STOCK]]&lt;0,"NEGATIVO",IF(PRODUCTOS[[#This Row],[STOCK]]=0,"SIN STOCK",IF(PRODUCTOS[[#This Row],[STOCK]]&lt;=PRODUCTOS[[#This Row],[STOCK MÍN.]],"BAJO","OK")))</f>
        <v/>
      </c>
      <c r="K7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24" hidden="1" s="11">
      <c r="A724" s="18" t="n">
        <v>709</v>
      </c>
      <c r="B724" s="56" t="inlineStr">
        <is>
          <t>00038-HRR</t>
        </is>
      </c>
      <c r="C724" s="56">
        <f>IFERROR(_xlfn.XLOOKUP(PRODUCTOS[[#This Row],[CODIGO]],LISTADO[CODIGOS],LISTADO[CATEGORIA]),"NO EXISTE")</f>
        <v/>
      </c>
      <c r="D724" s="56">
        <f>IFERROR(_xlfn.XLOOKUP(PRODUCTOS[[#This Row],[CODIGO]],LISTADO[CODIGOS],LISTADO[PRODUCTOS]),"NO EXISTE")</f>
        <v/>
      </c>
      <c r="E724" s="56">
        <f>IFERROR(_xlfn.XLOOKUP(PRODUCTOS[[#This Row],[CODIGO]],LISTADO[CODIGOS],LISTADO[UBICACIÓN]),"NO EXISTE")</f>
        <v/>
      </c>
      <c r="F724" s="56">
        <f>SUMIFS(ENTRADAS[CANTIDAD],ENTRADAS[CODIGO],PRODUCTOS[[#This Row],[CODIGO]])</f>
        <v/>
      </c>
      <c r="G724" s="56">
        <f>SUMIFS(SALIDAS[CANTIDAD],SALIDAS[CODIGO],PRODUCTOS[[#This Row],[CODIGO]])</f>
        <v/>
      </c>
      <c r="H724" s="56">
        <f>PRODUCTOS[[#This Row],[ENTRADAS]]-PRODUCTOS[[#This Row],[SALIDAS ]]</f>
        <v/>
      </c>
      <c r="I724" s="76" t="n">
        <v>0</v>
      </c>
      <c r="J724">
        <f>IF(PRODUCTOS[[#This Row],[STOCK]]&lt;0,"NEGATIVO",IF(PRODUCTOS[[#This Row],[STOCK]]=0,"SIN STOCK",IF(PRODUCTOS[[#This Row],[STOCK]]&lt;=PRODUCTOS[[#This Row],[STOCK MÍN.]],"BAJO","OK")))</f>
        <v/>
      </c>
      <c r="K7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25" hidden="1" s="11">
      <c r="A725" s="18" t="n">
        <v>710</v>
      </c>
      <c r="B725" s="56" t="inlineStr">
        <is>
          <t>00039-HRR</t>
        </is>
      </c>
      <c r="C725" s="56">
        <f>IFERROR(_xlfn.XLOOKUP(PRODUCTOS[[#This Row],[CODIGO]],LISTADO[CODIGOS],LISTADO[CATEGORIA]),"NO EXISTE")</f>
        <v/>
      </c>
      <c r="D725" s="56">
        <f>IFERROR(_xlfn.XLOOKUP(PRODUCTOS[[#This Row],[CODIGO]],LISTADO[CODIGOS],LISTADO[PRODUCTOS]),"NO EXISTE")</f>
        <v/>
      </c>
      <c r="E725" s="56">
        <f>IFERROR(_xlfn.XLOOKUP(PRODUCTOS[[#This Row],[CODIGO]],LISTADO[CODIGOS],LISTADO[UBICACIÓN]),"NO EXISTE")</f>
        <v/>
      </c>
      <c r="F725" s="56">
        <f>SUMIFS(ENTRADAS[CANTIDAD],ENTRADAS[CODIGO],PRODUCTOS[[#This Row],[CODIGO]])</f>
        <v/>
      </c>
      <c r="G725" s="56">
        <f>SUMIFS(SALIDAS[CANTIDAD],SALIDAS[CODIGO],PRODUCTOS[[#This Row],[CODIGO]])</f>
        <v/>
      </c>
      <c r="H725" s="56">
        <f>PRODUCTOS[[#This Row],[ENTRADAS]]-PRODUCTOS[[#This Row],[SALIDAS ]]</f>
        <v/>
      </c>
      <c r="I725" s="76" t="n">
        <v>0</v>
      </c>
      <c r="J725">
        <f>IF(PRODUCTOS[[#This Row],[STOCK]]&lt;0,"NEGATIVO",IF(PRODUCTOS[[#This Row],[STOCK]]=0,"SIN STOCK",IF(PRODUCTOS[[#This Row],[STOCK]]&lt;=PRODUCTOS[[#This Row],[STOCK MÍN.]],"BAJO","OK")))</f>
        <v/>
      </c>
      <c r="K7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26" hidden="1" s="11">
      <c r="A726" s="18" t="n">
        <v>711</v>
      </c>
      <c r="B726" s="56" t="inlineStr">
        <is>
          <t>00040-HRR</t>
        </is>
      </c>
      <c r="C726" s="56">
        <f>IFERROR(_xlfn.XLOOKUP(PRODUCTOS[[#This Row],[CODIGO]],LISTADO[CODIGOS],LISTADO[CATEGORIA]),"NO EXISTE")</f>
        <v/>
      </c>
      <c r="D726" s="56">
        <f>IFERROR(_xlfn.XLOOKUP(PRODUCTOS[[#This Row],[CODIGO]],LISTADO[CODIGOS],LISTADO[PRODUCTOS]),"NO EXISTE")</f>
        <v/>
      </c>
      <c r="E726" s="56">
        <f>IFERROR(_xlfn.XLOOKUP(PRODUCTOS[[#This Row],[CODIGO]],LISTADO[CODIGOS],LISTADO[UBICACIÓN]),"NO EXISTE")</f>
        <v/>
      </c>
      <c r="F726" s="56">
        <f>SUMIFS(ENTRADAS[CANTIDAD],ENTRADAS[CODIGO],PRODUCTOS[[#This Row],[CODIGO]])</f>
        <v/>
      </c>
      <c r="G726" s="56">
        <f>SUMIFS(SALIDAS[CANTIDAD],SALIDAS[CODIGO],PRODUCTOS[[#This Row],[CODIGO]])</f>
        <v/>
      </c>
      <c r="H726" s="56">
        <f>PRODUCTOS[[#This Row],[ENTRADAS]]-PRODUCTOS[[#This Row],[SALIDAS ]]</f>
        <v/>
      </c>
      <c r="I726" s="76" t="n">
        <v>0</v>
      </c>
      <c r="J726">
        <f>IF(PRODUCTOS[[#This Row],[STOCK]]&lt;0,"NEGATIVO",IF(PRODUCTOS[[#This Row],[STOCK]]=0,"SIN STOCK",IF(PRODUCTOS[[#This Row],[STOCK]]&lt;=PRODUCTOS[[#This Row],[STOCK MÍN.]],"BAJO","OK")))</f>
        <v/>
      </c>
      <c r="K7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27" hidden="1" s="11">
      <c r="A727" s="18" t="n">
        <v>712</v>
      </c>
      <c r="B727" s="56" t="inlineStr">
        <is>
          <t>00058-ELE</t>
        </is>
      </c>
      <c r="C727" s="56">
        <f>IFERROR(_xlfn.XLOOKUP(PRODUCTOS[[#This Row],[CODIGO]],LISTADO[CODIGOS],LISTADO[CATEGORIA]),"NO EXISTE")</f>
        <v/>
      </c>
      <c r="D727" s="56">
        <f>IFERROR(_xlfn.XLOOKUP(PRODUCTOS[[#This Row],[CODIGO]],LISTADO[CODIGOS],LISTADO[PRODUCTOS]),"NO EXISTE")</f>
        <v/>
      </c>
      <c r="E727" s="56">
        <f>IFERROR(_xlfn.XLOOKUP(PRODUCTOS[[#This Row],[CODIGO]],LISTADO[CODIGOS],LISTADO[UBICACIÓN]),"NO EXISTE")</f>
        <v/>
      </c>
      <c r="F727" s="56">
        <f>SUMIFS(ENTRADAS[CANTIDAD],ENTRADAS[CODIGO],PRODUCTOS[[#This Row],[CODIGO]])</f>
        <v/>
      </c>
      <c r="G727" s="56">
        <f>SUMIFS(SALIDAS[CANTIDAD],SALIDAS[CODIGO],PRODUCTOS[[#This Row],[CODIGO]])</f>
        <v/>
      </c>
      <c r="H727" s="56">
        <f>PRODUCTOS[[#This Row],[ENTRADAS]]-PRODUCTOS[[#This Row],[SALIDAS ]]</f>
        <v/>
      </c>
      <c r="I727" s="76" t="n">
        <v>0</v>
      </c>
      <c r="J727">
        <f>IF(PRODUCTOS[[#This Row],[STOCK]]&lt;0,"NEGATIVO",IF(PRODUCTOS[[#This Row],[STOCK]]=0,"SIN STOCK",IF(PRODUCTOS[[#This Row],[STOCK]]&lt;=PRODUCTOS[[#This Row],[STOCK MÍN.]],"BAJO","OK")))</f>
        <v/>
      </c>
      <c r="K7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28" hidden="1" s="11">
      <c r="A728" s="18" t="n">
        <v>713</v>
      </c>
      <c r="B728" s="56" t="inlineStr">
        <is>
          <t>00059-ELE</t>
        </is>
      </c>
      <c r="C728" s="56">
        <f>IFERROR(_xlfn.XLOOKUP(PRODUCTOS[[#This Row],[CODIGO]],LISTADO[CODIGOS],LISTADO[CATEGORIA]),"NO EXISTE")</f>
        <v/>
      </c>
      <c r="D728" s="56">
        <f>IFERROR(_xlfn.XLOOKUP(PRODUCTOS[[#This Row],[CODIGO]],LISTADO[CODIGOS],LISTADO[PRODUCTOS]),"NO EXISTE")</f>
        <v/>
      </c>
      <c r="E728" s="56">
        <f>IFERROR(_xlfn.XLOOKUP(PRODUCTOS[[#This Row],[CODIGO]],LISTADO[CODIGOS],LISTADO[UBICACIÓN]),"NO EXISTE")</f>
        <v/>
      </c>
      <c r="F728" s="56">
        <f>SUMIFS(ENTRADAS[CANTIDAD],ENTRADAS[CODIGO],PRODUCTOS[[#This Row],[CODIGO]])</f>
        <v/>
      </c>
      <c r="G728" s="56">
        <f>SUMIFS(SALIDAS[CANTIDAD],SALIDAS[CODIGO],PRODUCTOS[[#This Row],[CODIGO]])</f>
        <v/>
      </c>
      <c r="H728" s="56">
        <f>PRODUCTOS[[#This Row],[ENTRADAS]]-PRODUCTOS[[#This Row],[SALIDAS ]]</f>
        <v/>
      </c>
      <c r="I728" s="76" t="n">
        <v>0</v>
      </c>
      <c r="J728">
        <f>IF(PRODUCTOS[[#This Row],[STOCK]]&lt;0,"NEGATIVO",IF(PRODUCTOS[[#This Row],[STOCK]]=0,"SIN STOCK",IF(PRODUCTOS[[#This Row],[STOCK]]&lt;=PRODUCTOS[[#This Row],[STOCK MÍN.]],"BAJO","OK")))</f>
        <v/>
      </c>
      <c r="K7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29" hidden="1" s="11">
      <c r="A729" s="18" t="n">
        <v>714</v>
      </c>
      <c r="B729" s="56" t="inlineStr">
        <is>
          <t>00060-ELE</t>
        </is>
      </c>
      <c r="C729" s="56">
        <f>IFERROR(_xlfn.XLOOKUP(PRODUCTOS[[#This Row],[CODIGO]],LISTADO[CODIGOS],LISTADO[CATEGORIA]),"NO EXISTE")</f>
        <v/>
      </c>
      <c r="D729" s="56">
        <f>IFERROR(_xlfn.XLOOKUP(PRODUCTOS[[#This Row],[CODIGO]],LISTADO[CODIGOS],LISTADO[PRODUCTOS]),"NO EXISTE")</f>
        <v/>
      </c>
      <c r="E729" s="56">
        <f>IFERROR(_xlfn.XLOOKUP(PRODUCTOS[[#This Row],[CODIGO]],LISTADO[CODIGOS],LISTADO[UBICACIÓN]),"NO EXISTE")</f>
        <v/>
      </c>
      <c r="F729" s="56">
        <f>SUMIFS(ENTRADAS[CANTIDAD],ENTRADAS[CODIGO],PRODUCTOS[[#This Row],[CODIGO]])</f>
        <v/>
      </c>
      <c r="G729" s="56">
        <f>SUMIFS(SALIDAS[CANTIDAD],SALIDAS[CODIGO],PRODUCTOS[[#This Row],[CODIGO]])</f>
        <v/>
      </c>
      <c r="H729" s="56">
        <f>PRODUCTOS[[#This Row],[ENTRADAS]]-PRODUCTOS[[#This Row],[SALIDAS ]]</f>
        <v/>
      </c>
      <c r="I729" s="76" t="n">
        <v>0</v>
      </c>
      <c r="J729">
        <f>IF(PRODUCTOS[[#This Row],[STOCK]]&lt;0,"NEGATIVO",IF(PRODUCTOS[[#This Row],[STOCK]]=0,"SIN STOCK",IF(PRODUCTOS[[#This Row],[STOCK]]&lt;=PRODUCTOS[[#This Row],[STOCK MÍN.]],"BAJO","OK")))</f>
        <v/>
      </c>
      <c r="K7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30" hidden="1" s="11">
      <c r="A730" s="18" t="n">
        <v>715</v>
      </c>
      <c r="B730" s="56" t="inlineStr">
        <is>
          <t>00061-ELE</t>
        </is>
      </c>
      <c r="C730" s="56">
        <f>IFERROR(_xlfn.XLOOKUP(PRODUCTOS[[#This Row],[CODIGO]],LISTADO[CODIGOS],LISTADO[CATEGORIA]),"NO EXISTE")</f>
        <v/>
      </c>
      <c r="D730" s="56">
        <f>IFERROR(_xlfn.XLOOKUP(PRODUCTOS[[#This Row],[CODIGO]],LISTADO[CODIGOS],LISTADO[PRODUCTOS]),"NO EXISTE")</f>
        <v/>
      </c>
      <c r="E730" s="56">
        <f>IFERROR(_xlfn.XLOOKUP(PRODUCTOS[[#This Row],[CODIGO]],LISTADO[CODIGOS],LISTADO[UBICACIÓN]),"NO EXISTE")</f>
        <v/>
      </c>
      <c r="F730" s="56">
        <f>SUMIFS(ENTRADAS[CANTIDAD],ENTRADAS[CODIGO],PRODUCTOS[[#This Row],[CODIGO]])</f>
        <v/>
      </c>
      <c r="G730" s="56">
        <f>SUMIFS(SALIDAS[CANTIDAD],SALIDAS[CODIGO],PRODUCTOS[[#This Row],[CODIGO]])</f>
        <v/>
      </c>
      <c r="H730" s="56">
        <f>PRODUCTOS[[#This Row],[ENTRADAS]]-PRODUCTOS[[#This Row],[SALIDAS ]]</f>
        <v/>
      </c>
      <c r="I730" s="76" t="n">
        <v>0</v>
      </c>
      <c r="J730">
        <f>IF(PRODUCTOS[[#This Row],[STOCK]]&lt;0,"NEGATIVO",IF(PRODUCTOS[[#This Row],[STOCK]]=0,"SIN STOCK",IF(PRODUCTOS[[#This Row],[STOCK]]&lt;=PRODUCTOS[[#This Row],[STOCK MÍN.]],"BAJO","OK")))</f>
        <v/>
      </c>
      <c r="K7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31" hidden="1" s="11">
      <c r="A731" s="18" t="n">
        <v>716</v>
      </c>
      <c r="B731" s="56" t="inlineStr">
        <is>
          <t>00041-ILU</t>
        </is>
      </c>
      <c r="C731" s="56">
        <f>IFERROR(_xlfn.XLOOKUP(PRODUCTOS[[#This Row],[CODIGO]],LISTADO[CODIGOS],LISTADO[CATEGORIA]),"NO EXISTE")</f>
        <v/>
      </c>
      <c r="D731" s="56">
        <f>IFERROR(_xlfn.XLOOKUP(PRODUCTOS[[#This Row],[CODIGO]],LISTADO[CODIGOS],LISTADO[PRODUCTOS]),"NO EXISTE")</f>
        <v/>
      </c>
      <c r="E731" s="56">
        <f>IFERROR(_xlfn.XLOOKUP(PRODUCTOS[[#This Row],[CODIGO]],LISTADO[CODIGOS],LISTADO[UBICACIÓN]),"NO EXISTE")</f>
        <v/>
      </c>
      <c r="F731" s="56">
        <f>SUMIFS(ENTRADAS[CANTIDAD],ENTRADAS[CODIGO],PRODUCTOS[[#This Row],[CODIGO]])</f>
        <v/>
      </c>
      <c r="G731" s="56">
        <f>SUMIFS(SALIDAS[CANTIDAD],SALIDAS[CODIGO],PRODUCTOS[[#This Row],[CODIGO]])</f>
        <v/>
      </c>
      <c r="H731" s="56">
        <f>PRODUCTOS[[#This Row],[ENTRADAS]]-PRODUCTOS[[#This Row],[SALIDAS ]]</f>
        <v/>
      </c>
      <c r="I731" s="76" t="n">
        <v>0</v>
      </c>
      <c r="J731">
        <f>IF(PRODUCTOS[[#This Row],[STOCK]]&lt;0,"NEGATIVO",IF(PRODUCTOS[[#This Row],[STOCK]]=0,"SIN STOCK",IF(PRODUCTOS[[#This Row],[STOCK]]&lt;=PRODUCTOS[[#This Row],[STOCK MÍN.]],"BAJO","OK")))</f>
        <v/>
      </c>
      <c r="K7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32" hidden="1" s="11">
      <c r="A732" s="18" t="n">
        <v>717</v>
      </c>
      <c r="B732" s="56" t="inlineStr">
        <is>
          <t>00041-HRR</t>
        </is>
      </c>
      <c r="C732" s="56">
        <f>IFERROR(_xlfn.XLOOKUP(PRODUCTOS[[#This Row],[CODIGO]],LISTADO[CODIGOS],LISTADO[CATEGORIA]),"NO EXISTE")</f>
        <v/>
      </c>
      <c r="D732" s="56">
        <f>IFERROR(_xlfn.XLOOKUP(PRODUCTOS[[#This Row],[CODIGO]],LISTADO[CODIGOS],LISTADO[PRODUCTOS]),"NO EXISTE")</f>
        <v/>
      </c>
      <c r="E732" s="56">
        <f>IFERROR(_xlfn.XLOOKUP(PRODUCTOS[[#This Row],[CODIGO]],LISTADO[CODIGOS],LISTADO[UBICACIÓN]),"NO EXISTE")</f>
        <v/>
      </c>
      <c r="F732" s="56">
        <f>SUMIFS(ENTRADAS[CANTIDAD],ENTRADAS[CODIGO],PRODUCTOS[[#This Row],[CODIGO]])</f>
        <v/>
      </c>
      <c r="G732" s="56">
        <f>SUMIFS(SALIDAS[CANTIDAD],SALIDAS[CODIGO],PRODUCTOS[[#This Row],[CODIGO]])</f>
        <v/>
      </c>
      <c r="H732" s="56">
        <f>PRODUCTOS[[#This Row],[ENTRADAS]]-PRODUCTOS[[#This Row],[SALIDAS ]]</f>
        <v/>
      </c>
      <c r="I732" s="76" t="n">
        <v>0</v>
      </c>
      <c r="J732">
        <f>IF(PRODUCTOS[[#This Row],[STOCK]]&lt;0,"NEGATIVO",IF(PRODUCTOS[[#This Row],[STOCK]]=0,"SIN STOCK",IF(PRODUCTOS[[#This Row],[STOCK]]&lt;=PRODUCTOS[[#This Row],[STOCK MÍN.]],"BAJO","OK")))</f>
        <v/>
      </c>
      <c r="K7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33" hidden="1" s="11">
      <c r="A733" s="18" t="n">
        <v>718</v>
      </c>
      <c r="B733" s="56" t="inlineStr">
        <is>
          <t>00042-HRR</t>
        </is>
      </c>
      <c r="C733" s="56">
        <f>IFERROR(_xlfn.XLOOKUP(PRODUCTOS[[#This Row],[CODIGO]],LISTADO[CODIGOS],LISTADO[CATEGORIA]),"NO EXISTE")</f>
        <v/>
      </c>
      <c r="D733" s="56">
        <f>IFERROR(_xlfn.XLOOKUP(PRODUCTOS[[#This Row],[CODIGO]],LISTADO[CODIGOS],LISTADO[PRODUCTOS]),"NO EXISTE")</f>
        <v/>
      </c>
      <c r="E733" s="56">
        <f>IFERROR(_xlfn.XLOOKUP(PRODUCTOS[[#This Row],[CODIGO]],LISTADO[CODIGOS],LISTADO[UBICACIÓN]),"NO EXISTE")</f>
        <v/>
      </c>
      <c r="F733" s="56">
        <f>SUMIFS(ENTRADAS[CANTIDAD],ENTRADAS[CODIGO],PRODUCTOS[[#This Row],[CODIGO]])</f>
        <v/>
      </c>
      <c r="G733" s="56">
        <f>SUMIFS(SALIDAS[CANTIDAD],SALIDAS[CODIGO],PRODUCTOS[[#This Row],[CODIGO]])</f>
        <v/>
      </c>
      <c r="H733" s="56">
        <f>PRODUCTOS[[#This Row],[ENTRADAS]]-PRODUCTOS[[#This Row],[SALIDAS ]]</f>
        <v/>
      </c>
      <c r="I733" s="76" t="n">
        <v>0</v>
      </c>
      <c r="J733">
        <f>IF(PRODUCTOS[[#This Row],[STOCK]]&lt;0,"NEGATIVO",IF(PRODUCTOS[[#This Row],[STOCK]]=0,"SIN STOCK",IF(PRODUCTOS[[#This Row],[STOCK]]&lt;=PRODUCTOS[[#This Row],[STOCK MÍN.]],"BAJO","OK")))</f>
        <v/>
      </c>
      <c r="K7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34" hidden="1" s="11">
      <c r="A734" s="18" t="n">
        <v>719</v>
      </c>
      <c r="B734" s="56" t="inlineStr">
        <is>
          <t>00043-HRR</t>
        </is>
      </c>
      <c r="C734" s="56">
        <f>IFERROR(_xlfn.XLOOKUP(PRODUCTOS[[#This Row],[CODIGO]],LISTADO[CODIGOS],LISTADO[CATEGORIA]),"NO EXISTE")</f>
        <v/>
      </c>
      <c r="D734" s="56">
        <f>IFERROR(_xlfn.XLOOKUP(PRODUCTOS[[#This Row],[CODIGO]],LISTADO[CODIGOS],LISTADO[PRODUCTOS]),"NO EXISTE")</f>
        <v/>
      </c>
      <c r="E734" s="56">
        <f>IFERROR(_xlfn.XLOOKUP(PRODUCTOS[[#This Row],[CODIGO]],LISTADO[CODIGOS],LISTADO[UBICACIÓN]),"NO EXISTE")</f>
        <v/>
      </c>
      <c r="F734" s="56">
        <f>SUMIFS(ENTRADAS[CANTIDAD],ENTRADAS[CODIGO],PRODUCTOS[[#This Row],[CODIGO]])</f>
        <v/>
      </c>
      <c r="G734" s="56">
        <f>SUMIFS(SALIDAS[CANTIDAD],SALIDAS[CODIGO],PRODUCTOS[[#This Row],[CODIGO]])</f>
        <v/>
      </c>
      <c r="H734" s="56">
        <f>PRODUCTOS[[#This Row],[ENTRADAS]]-PRODUCTOS[[#This Row],[SALIDAS ]]</f>
        <v/>
      </c>
      <c r="I734" s="76" t="n">
        <v>0</v>
      </c>
      <c r="J734">
        <f>IF(PRODUCTOS[[#This Row],[STOCK]]&lt;0,"NEGATIVO",IF(PRODUCTOS[[#This Row],[STOCK]]=0,"SIN STOCK",IF(PRODUCTOS[[#This Row],[STOCK]]&lt;=PRODUCTOS[[#This Row],[STOCK MÍN.]],"BAJO","OK")))</f>
        <v/>
      </c>
      <c r="K7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35" hidden="1" s="11">
      <c r="A735" s="18" t="n">
        <v>720</v>
      </c>
      <c r="B735" s="56" t="inlineStr">
        <is>
          <t>00044-HRR</t>
        </is>
      </c>
      <c r="C735" s="56">
        <f>IFERROR(_xlfn.XLOOKUP(PRODUCTOS[[#This Row],[CODIGO]],LISTADO[CODIGOS],LISTADO[CATEGORIA]),"NO EXISTE")</f>
        <v/>
      </c>
      <c r="D735" s="56">
        <f>IFERROR(_xlfn.XLOOKUP(PRODUCTOS[[#This Row],[CODIGO]],LISTADO[CODIGOS],LISTADO[PRODUCTOS]),"NO EXISTE")</f>
        <v/>
      </c>
      <c r="E735" s="56">
        <f>IFERROR(_xlfn.XLOOKUP(PRODUCTOS[[#This Row],[CODIGO]],LISTADO[CODIGOS],LISTADO[UBICACIÓN]),"NO EXISTE")</f>
        <v/>
      </c>
      <c r="F735" s="56">
        <f>SUMIFS(ENTRADAS[CANTIDAD],ENTRADAS[CODIGO],PRODUCTOS[[#This Row],[CODIGO]])</f>
        <v/>
      </c>
      <c r="G735" s="56">
        <f>SUMIFS(SALIDAS[CANTIDAD],SALIDAS[CODIGO],PRODUCTOS[[#This Row],[CODIGO]])</f>
        <v/>
      </c>
      <c r="H735" s="56">
        <f>PRODUCTOS[[#This Row],[ENTRADAS]]-PRODUCTOS[[#This Row],[SALIDAS ]]</f>
        <v/>
      </c>
      <c r="I735" s="76" t="n">
        <v>0</v>
      </c>
      <c r="J735">
        <f>IF(PRODUCTOS[[#This Row],[STOCK]]&lt;0,"NEGATIVO",IF(PRODUCTOS[[#This Row],[STOCK]]=0,"SIN STOCK",IF(PRODUCTOS[[#This Row],[STOCK]]&lt;=PRODUCTOS[[#This Row],[STOCK MÍN.]],"BAJO","OK")))</f>
        <v/>
      </c>
      <c r="K7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36" hidden="1" s="11">
      <c r="A736" s="18" t="n">
        <v>721</v>
      </c>
      <c r="B736" s="56" t="inlineStr">
        <is>
          <t>00045-HRR</t>
        </is>
      </c>
      <c r="C736" s="56">
        <f>IFERROR(_xlfn.XLOOKUP(PRODUCTOS[[#This Row],[CODIGO]],LISTADO[CODIGOS],LISTADO[CATEGORIA]),"NO EXISTE")</f>
        <v/>
      </c>
      <c r="D736" s="56">
        <f>IFERROR(_xlfn.XLOOKUP(PRODUCTOS[[#This Row],[CODIGO]],LISTADO[CODIGOS],LISTADO[PRODUCTOS]),"NO EXISTE")</f>
        <v/>
      </c>
      <c r="E736" s="56">
        <f>IFERROR(_xlfn.XLOOKUP(PRODUCTOS[[#This Row],[CODIGO]],LISTADO[CODIGOS],LISTADO[UBICACIÓN]),"NO EXISTE")</f>
        <v/>
      </c>
      <c r="F736" s="56">
        <f>SUMIFS(ENTRADAS[CANTIDAD],ENTRADAS[CODIGO],PRODUCTOS[[#This Row],[CODIGO]])</f>
        <v/>
      </c>
      <c r="G736" s="56">
        <f>SUMIFS(SALIDAS[CANTIDAD],SALIDAS[CODIGO],PRODUCTOS[[#This Row],[CODIGO]])</f>
        <v/>
      </c>
      <c r="H736" s="56">
        <f>PRODUCTOS[[#This Row],[ENTRADAS]]-PRODUCTOS[[#This Row],[SALIDAS ]]</f>
        <v/>
      </c>
      <c r="I736" s="76" t="n">
        <v>0</v>
      </c>
      <c r="J736">
        <f>IF(PRODUCTOS[[#This Row],[STOCK]]&lt;0,"NEGATIVO",IF(PRODUCTOS[[#This Row],[STOCK]]=0,"SIN STOCK",IF(PRODUCTOS[[#This Row],[STOCK]]&lt;=PRODUCTOS[[#This Row],[STOCK MÍN.]],"BAJO","OK")))</f>
        <v/>
      </c>
      <c r="K7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37" hidden="1" s="11">
      <c r="A737" s="18" t="n">
        <v>722</v>
      </c>
      <c r="B737" s="56" t="inlineStr">
        <is>
          <t>00046-HRR</t>
        </is>
      </c>
      <c r="C737" s="56">
        <f>IFERROR(_xlfn.XLOOKUP(PRODUCTOS[[#This Row],[CODIGO]],LISTADO[CODIGOS],LISTADO[CATEGORIA]),"NO EXISTE")</f>
        <v/>
      </c>
      <c r="D737" s="56">
        <f>IFERROR(_xlfn.XLOOKUP(PRODUCTOS[[#This Row],[CODIGO]],LISTADO[CODIGOS],LISTADO[PRODUCTOS]),"NO EXISTE")</f>
        <v/>
      </c>
      <c r="E737" s="56">
        <f>IFERROR(_xlfn.XLOOKUP(PRODUCTOS[[#This Row],[CODIGO]],LISTADO[CODIGOS],LISTADO[UBICACIÓN]),"NO EXISTE")</f>
        <v/>
      </c>
      <c r="F737" s="56">
        <f>SUMIFS(ENTRADAS[CANTIDAD],ENTRADAS[CODIGO],PRODUCTOS[[#This Row],[CODIGO]])</f>
        <v/>
      </c>
      <c r="G737" s="56">
        <f>SUMIFS(SALIDAS[CANTIDAD],SALIDAS[CODIGO],PRODUCTOS[[#This Row],[CODIGO]])</f>
        <v/>
      </c>
      <c r="H737" s="56">
        <f>PRODUCTOS[[#This Row],[ENTRADAS]]-PRODUCTOS[[#This Row],[SALIDAS ]]</f>
        <v/>
      </c>
      <c r="I737" s="76" t="n">
        <v>0</v>
      </c>
      <c r="J737">
        <f>IF(PRODUCTOS[[#This Row],[STOCK]]&lt;0,"NEGATIVO",IF(PRODUCTOS[[#This Row],[STOCK]]=0,"SIN STOCK",IF(PRODUCTOS[[#This Row],[STOCK]]&lt;=PRODUCTOS[[#This Row],[STOCK MÍN.]],"BAJO","OK")))</f>
        <v/>
      </c>
      <c r="K7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38" hidden="1" s="11">
      <c r="A738" s="18" t="n">
        <v>723</v>
      </c>
      <c r="B738" s="56" t="inlineStr">
        <is>
          <t>00047-HRR</t>
        </is>
      </c>
      <c r="C738" s="56">
        <f>IFERROR(_xlfn.XLOOKUP(PRODUCTOS[[#This Row],[CODIGO]],LISTADO[CODIGOS],LISTADO[CATEGORIA]),"NO EXISTE")</f>
        <v/>
      </c>
      <c r="D738" s="56">
        <f>IFERROR(_xlfn.XLOOKUP(PRODUCTOS[[#This Row],[CODIGO]],LISTADO[CODIGOS],LISTADO[PRODUCTOS]),"NO EXISTE")</f>
        <v/>
      </c>
      <c r="E738" s="56">
        <f>IFERROR(_xlfn.XLOOKUP(PRODUCTOS[[#This Row],[CODIGO]],LISTADO[CODIGOS],LISTADO[UBICACIÓN]),"NO EXISTE")</f>
        <v/>
      </c>
      <c r="F738" s="56">
        <f>SUMIFS(ENTRADAS[CANTIDAD],ENTRADAS[CODIGO],PRODUCTOS[[#This Row],[CODIGO]])</f>
        <v/>
      </c>
      <c r="G738" s="56">
        <f>SUMIFS(SALIDAS[CANTIDAD],SALIDAS[CODIGO],PRODUCTOS[[#This Row],[CODIGO]])</f>
        <v/>
      </c>
      <c r="H738" s="56">
        <f>PRODUCTOS[[#This Row],[ENTRADAS]]-PRODUCTOS[[#This Row],[SALIDAS ]]</f>
        <v/>
      </c>
      <c r="I738" s="76" t="n">
        <v>0</v>
      </c>
      <c r="J738">
        <f>IF(PRODUCTOS[[#This Row],[STOCK]]&lt;0,"NEGATIVO",IF(PRODUCTOS[[#This Row],[STOCK]]=0,"SIN STOCK",IF(PRODUCTOS[[#This Row],[STOCK]]&lt;=PRODUCTOS[[#This Row],[STOCK MÍN.]],"BAJO","OK")))</f>
        <v/>
      </c>
      <c r="K7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39" hidden="1" s="11">
      <c r="A739" s="18" t="n">
        <v>724</v>
      </c>
      <c r="B739" s="56" t="inlineStr">
        <is>
          <t>00048-HRR</t>
        </is>
      </c>
      <c r="C739" s="56">
        <f>IFERROR(_xlfn.XLOOKUP(PRODUCTOS[[#This Row],[CODIGO]],LISTADO[CODIGOS],LISTADO[CATEGORIA]),"NO EXISTE")</f>
        <v/>
      </c>
      <c r="D739" s="56">
        <f>IFERROR(_xlfn.XLOOKUP(PRODUCTOS[[#This Row],[CODIGO]],LISTADO[CODIGOS],LISTADO[PRODUCTOS]),"NO EXISTE")</f>
        <v/>
      </c>
      <c r="E739" s="56">
        <f>IFERROR(_xlfn.XLOOKUP(PRODUCTOS[[#This Row],[CODIGO]],LISTADO[CODIGOS],LISTADO[UBICACIÓN]),"NO EXISTE")</f>
        <v/>
      </c>
      <c r="F739" s="56">
        <f>SUMIFS(ENTRADAS[CANTIDAD],ENTRADAS[CODIGO],PRODUCTOS[[#This Row],[CODIGO]])</f>
        <v/>
      </c>
      <c r="G739" s="56">
        <f>SUMIFS(SALIDAS[CANTIDAD],SALIDAS[CODIGO],PRODUCTOS[[#This Row],[CODIGO]])</f>
        <v/>
      </c>
      <c r="H739" s="56">
        <f>PRODUCTOS[[#This Row],[ENTRADAS]]-PRODUCTOS[[#This Row],[SALIDAS ]]</f>
        <v/>
      </c>
      <c r="I739" s="76" t="n">
        <v>0</v>
      </c>
      <c r="J739">
        <f>IF(PRODUCTOS[[#This Row],[STOCK]]&lt;0,"NEGATIVO",IF(PRODUCTOS[[#This Row],[STOCK]]=0,"SIN STOCK",IF(PRODUCTOS[[#This Row],[STOCK]]&lt;=PRODUCTOS[[#This Row],[STOCK MÍN.]],"BAJO","OK")))</f>
        <v/>
      </c>
      <c r="K7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40" hidden="1" s="11">
      <c r="A740" s="18" t="n">
        <v>725</v>
      </c>
      <c r="B740" s="56" t="inlineStr">
        <is>
          <t>00049-HRR</t>
        </is>
      </c>
      <c r="C740" s="56">
        <f>IFERROR(_xlfn.XLOOKUP(PRODUCTOS[[#This Row],[CODIGO]],LISTADO[CODIGOS],LISTADO[CATEGORIA]),"NO EXISTE")</f>
        <v/>
      </c>
      <c r="D740" s="56">
        <f>IFERROR(_xlfn.XLOOKUP(PRODUCTOS[[#This Row],[CODIGO]],LISTADO[CODIGOS],LISTADO[PRODUCTOS]),"NO EXISTE")</f>
        <v/>
      </c>
      <c r="E740" s="56">
        <f>IFERROR(_xlfn.XLOOKUP(PRODUCTOS[[#This Row],[CODIGO]],LISTADO[CODIGOS],LISTADO[UBICACIÓN]),"NO EXISTE")</f>
        <v/>
      </c>
      <c r="F740" s="56">
        <f>SUMIFS(ENTRADAS[CANTIDAD],ENTRADAS[CODIGO],PRODUCTOS[[#This Row],[CODIGO]])</f>
        <v/>
      </c>
      <c r="G740" s="56">
        <f>SUMIFS(SALIDAS[CANTIDAD],SALIDAS[CODIGO],PRODUCTOS[[#This Row],[CODIGO]])</f>
        <v/>
      </c>
      <c r="H740" s="56">
        <f>PRODUCTOS[[#This Row],[ENTRADAS]]-PRODUCTOS[[#This Row],[SALIDAS ]]</f>
        <v/>
      </c>
      <c r="I740" s="76" t="n">
        <v>0</v>
      </c>
      <c r="J740">
        <f>IF(PRODUCTOS[[#This Row],[STOCK]]&lt;0,"NEGATIVO",IF(PRODUCTOS[[#This Row],[STOCK]]=0,"SIN STOCK",IF(PRODUCTOS[[#This Row],[STOCK]]&lt;=PRODUCTOS[[#This Row],[STOCK MÍN.]],"BAJO","OK")))</f>
        <v/>
      </c>
      <c r="K7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41" hidden="1" s="11">
      <c r="A741" s="18" t="n">
        <v>726</v>
      </c>
      <c r="B741" s="56" t="inlineStr">
        <is>
          <t>00050-HRR</t>
        </is>
      </c>
      <c r="C741" s="56">
        <f>IFERROR(_xlfn.XLOOKUP(PRODUCTOS[[#This Row],[CODIGO]],LISTADO[CODIGOS],LISTADO[CATEGORIA]),"NO EXISTE")</f>
        <v/>
      </c>
      <c r="D741" s="56">
        <f>IFERROR(_xlfn.XLOOKUP(PRODUCTOS[[#This Row],[CODIGO]],LISTADO[CODIGOS],LISTADO[PRODUCTOS]),"NO EXISTE")</f>
        <v/>
      </c>
      <c r="E741" s="56">
        <f>IFERROR(_xlfn.XLOOKUP(PRODUCTOS[[#This Row],[CODIGO]],LISTADO[CODIGOS],LISTADO[UBICACIÓN]),"NO EXISTE")</f>
        <v/>
      </c>
      <c r="F741" s="56">
        <f>SUMIFS(ENTRADAS[CANTIDAD],ENTRADAS[CODIGO],PRODUCTOS[[#This Row],[CODIGO]])</f>
        <v/>
      </c>
      <c r="G741" s="56">
        <f>SUMIFS(SALIDAS[CANTIDAD],SALIDAS[CODIGO],PRODUCTOS[[#This Row],[CODIGO]])</f>
        <v/>
      </c>
      <c r="H741" s="56">
        <f>PRODUCTOS[[#This Row],[ENTRADAS]]-PRODUCTOS[[#This Row],[SALIDAS ]]</f>
        <v/>
      </c>
      <c r="I741" s="76" t="n">
        <v>0</v>
      </c>
      <c r="J741">
        <f>IF(PRODUCTOS[[#This Row],[STOCK]]&lt;0,"NEGATIVO",IF(PRODUCTOS[[#This Row],[STOCK]]=0,"SIN STOCK",IF(PRODUCTOS[[#This Row],[STOCK]]&lt;=PRODUCTOS[[#This Row],[STOCK MÍN.]],"BAJO","OK")))</f>
        <v/>
      </c>
      <c r="K7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42" hidden="1" s="11">
      <c r="A742" s="18" t="n">
        <v>727</v>
      </c>
      <c r="B742" s="56" t="inlineStr">
        <is>
          <t>00051-HRR</t>
        </is>
      </c>
      <c r="C742" s="56">
        <f>IFERROR(_xlfn.XLOOKUP(PRODUCTOS[[#This Row],[CODIGO]],LISTADO[CODIGOS],LISTADO[CATEGORIA]),"NO EXISTE")</f>
        <v/>
      </c>
      <c r="D742" s="56">
        <f>IFERROR(_xlfn.XLOOKUP(PRODUCTOS[[#This Row],[CODIGO]],LISTADO[CODIGOS],LISTADO[PRODUCTOS]),"NO EXISTE")</f>
        <v/>
      </c>
      <c r="E742" s="56">
        <f>IFERROR(_xlfn.XLOOKUP(PRODUCTOS[[#This Row],[CODIGO]],LISTADO[CODIGOS],LISTADO[UBICACIÓN]),"NO EXISTE")</f>
        <v/>
      </c>
      <c r="F742" s="56">
        <f>SUMIFS(ENTRADAS[CANTIDAD],ENTRADAS[CODIGO],PRODUCTOS[[#This Row],[CODIGO]])</f>
        <v/>
      </c>
      <c r="G742" s="56">
        <f>SUMIFS(SALIDAS[CANTIDAD],SALIDAS[CODIGO],PRODUCTOS[[#This Row],[CODIGO]])</f>
        <v/>
      </c>
      <c r="H742" s="56">
        <f>PRODUCTOS[[#This Row],[ENTRADAS]]-PRODUCTOS[[#This Row],[SALIDAS ]]</f>
        <v/>
      </c>
      <c r="I742" s="76" t="n">
        <v>0</v>
      </c>
      <c r="J742">
        <f>IF(PRODUCTOS[[#This Row],[STOCK]]&lt;0,"NEGATIVO",IF(PRODUCTOS[[#This Row],[STOCK]]=0,"SIN STOCK",IF(PRODUCTOS[[#This Row],[STOCK]]&lt;=PRODUCTOS[[#This Row],[STOCK MÍN.]],"BAJO","OK")))</f>
        <v/>
      </c>
      <c r="K7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43" hidden="1" s="11">
      <c r="A743" s="18" t="n">
        <v>728</v>
      </c>
      <c r="B743" s="56" t="inlineStr">
        <is>
          <t>00052-HRR</t>
        </is>
      </c>
      <c r="C743" s="56">
        <f>IFERROR(_xlfn.XLOOKUP(PRODUCTOS[[#This Row],[CODIGO]],LISTADO[CODIGOS],LISTADO[CATEGORIA]),"NO EXISTE")</f>
        <v/>
      </c>
      <c r="D743" s="56">
        <f>IFERROR(_xlfn.XLOOKUP(PRODUCTOS[[#This Row],[CODIGO]],LISTADO[CODIGOS],LISTADO[PRODUCTOS]),"NO EXISTE")</f>
        <v/>
      </c>
      <c r="E743" s="56">
        <f>IFERROR(_xlfn.XLOOKUP(PRODUCTOS[[#This Row],[CODIGO]],LISTADO[CODIGOS],LISTADO[UBICACIÓN]),"NO EXISTE")</f>
        <v/>
      </c>
      <c r="F743" s="56">
        <f>SUMIFS(ENTRADAS[CANTIDAD],ENTRADAS[CODIGO],PRODUCTOS[[#This Row],[CODIGO]])</f>
        <v/>
      </c>
      <c r="G743" s="56">
        <f>SUMIFS(SALIDAS[CANTIDAD],SALIDAS[CODIGO],PRODUCTOS[[#This Row],[CODIGO]])</f>
        <v/>
      </c>
      <c r="H743" s="56">
        <f>PRODUCTOS[[#This Row],[ENTRADAS]]-PRODUCTOS[[#This Row],[SALIDAS ]]</f>
        <v/>
      </c>
      <c r="I743" s="76" t="n">
        <v>0</v>
      </c>
      <c r="J743">
        <f>IF(PRODUCTOS[[#This Row],[STOCK]]&lt;0,"NEGATIVO",IF(PRODUCTOS[[#This Row],[STOCK]]=0,"SIN STOCK",IF(PRODUCTOS[[#This Row],[STOCK]]&lt;=PRODUCTOS[[#This Row],[STOCK MÍN.]],"BAJO","OK")))</f>
        <v/>
      </c>
      <c r="K7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44" hidden="1" s="11">
      <c r="A744" s="18" t="n">
        <v>729</v>
      </c>
      <c r="B744" s="56" t="inlineStr">
        <is>
          <t>00108-HER</t>
        </is>
      </c>
      <c r="C744" s="56">
        <f>IFERROR(_xlfn.XLOOKUP(PRODUCTOS[[#This Row],[CODIGO]],LISTADO[CODIGOS],LISTADO[CATEGORIA]),"NO EXISTE")</f>
        <v/>
      </c>
      <c r="D744" s="56">
        <f>IFERROR(_xlfn.XLOOKUP(PRODUCTOS[[#This Row],[CODIGO]],LISTADO[CODIGOS],LISTADO[PRODUCTOS]),"NO EXISTE")</f>
        <v/>
      </c>
      <c r="E744" s="56">
        <f>IFERROR(_xlfn.XLOOKUP(PRODUCTOS[[#This Row],[CODIGO]],LISTADO[CODIGOS],LISTADO[UBICACIÓN]),"NO EXISTE")</f>
        <v/>
      </c>
      <c r="F744" s="56">
        <f>SUMIFS(ENTRADAS[CANTIDAD],ENTRADAS[CODIGO],PRODUCTOS[[#This Row],[CODIGO]])</f>
        <v/>
      </c>
      <c r="G744" s="56">
        <f>SUMIFS(SALIDAS[CANTIDAD],SALIDAS[CODIGO],PRODUCTOS[[#This Row],[CODIGO]])</f>
        <v/>
      </c>
      <c r="H744" s="56">
        <f>PRODUCTOS[[#This Row],[ENTRADAS]]-PRODUCTOS[[#This Row],[SALIDAS ]]</f>
        <v/>
      </c>
      <c r="I744" s="76" t="n">
        <v>0</v>
      </c>
      <c r="J744">
        <f>IF(PRODUCTOS[[#This Row],[STOCK]]&lt;0,"NEGATIVO",IF(PRODUCTOS[[#This Row],[STOCK]]=0,"SIN STOCK",IF(PRODUCTOS[[#This Row],[STOCK]]&lt;=PRODUCTOS[[#This Row],[STOCK MÍN.]],"BAJO","OK")))</f>
        <v/>
      </c>
      <c r="K7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45" hidden="1" s="11">
      <c r="A745" s="18" t="n">
        <v>730</v>
      </c>
      <c r="B745" s="56" t="inlineStr">
        <is>
          <t>00093-REF</t>
        </is>
      </c>
      <c r="C745" s="56">
        <f>IFERROR(_xlfn.XLOOKUP(PRODUCTOS[[#This Row],[CODIGO]],LISTADO[CODIGOS],LISTADO[CATEGORIA]),"NO EXISTE")</f>
        <v/>
      </c>
      <c r="D745" s="56">
        <f>IFERROR(_xlfn.XLOOKUP(PRODUCTOS[[#This Row],[CODIGO]],LISTADO[CODIGOS],LISTADO[PRODUCTOS]),"NO EXISTE")</f>
        <v/>
      </c>
      <c r="E745" s="56">
        <f>IFERROR(_xlfn.XLOOKUP(PRODUCTOS[[#This Row],[CODIGO]],LISTADO[CODIGOS],LISTADO[UBICACIÓN]),"NO EXISTE")</f>
        <v/>
      </c>
      <c r="F745" s="56">
        <f>SUMIFS(ENTRADAS[CANTIDAD],ENTRADAS[CODIGO],PRODUCTOS[[#This Row],[CODIGO]])</f>
        <v/>
      </c>
      <c r="G745" s="56">
        <f>SUMIFS(SALIDAS[CANTIDAD],SALIDAS[CODIGO],PRODUCTOS[[#This Row],[CODIGO]])</f>
        <v/>
      </c>
      <c r="H745" s="56">
        <f>PRODUCTOS[[#This Row],[ENTRADAS]]-PRODUCTOS[[#This Row],[SALIDAS ]]</f>
        <v/>
      </c>
      <c r="I745" s="76" t="n">
        <v>0</v>
      </c>
      <c r="J745">
        <f>IF(PRODUCTOS[[#This Row],[STOCK]]&lt;0,"NEGATIVO",IF(PRODUCTOS[[#This Row],[STOCK]]=0,"SIN STOCK",IF(PRODUCTOS[[#This Row],[STOCK]]&lt;=PRODUCTOS[[#This Row],[STOCK MÍN.]],"BAJO","OK")))</f>
        <v/>
      </c>
      <c r="K7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46" hidden="1" s="11">
      <c r="A746" s="18" t="n">
        <v>731</v>
      </c>
      <c r="B746" s="56" t="inlineStr">
        <is>
          <t>00094-REF</t>
        </is>
      </c>
      <c r="C746" s="56">
        <f>IFERROR(_xlfn.XLOOKUP(PRODUCTOS[[#This Row],[CODIGO]],LISTADO[CODIGOS],LISTADO[CATEGORIA]),"NO EXISTE")</f>
        <v/>
      </c>
      <c r="D746" s="56">
        <f>IFERROR(_xlfn.XLOOKUP(PRODUCTOS[[#This Row],[CODIGO]],LISTADO[CODIGOS],LISTADO[PRODUCTOS]),"NO EXISTE")</f>
        <v/>
      </c>
      <c r="E746" s="56">
        <f>IFERROR(_xlfn.XLOOKUP(PRODUCTOS[[#This Row],[CODIGO]],LISTADO[CODIGOS],LISTADO[UBICACIÓN]),"NO EXISTE")</f>
        <v/>
      </c>
      <c r="F746" s="56">
        <f>SUMIFS(ENTRADAS[CANTIDAD],ENTRADAS[CODIGO],PRODUCTOS[[#This Row],[CODIGO]])</f>
        <v/>
      </c>
      <c r="G746" s="56">
        <f>SUMIFS(SALIDAS[CANTIDAD],SALIDAS[CODIGO],PRODUCTOS[[#This Row],[CODIGO]])</f>
        <v/>
      </c>
      <c r="H746" s="56">
        <f>PRODUCTOS[[#This Row],[ENTRADAS]]-PRODUCTOS[[#This Row],[SALIDAS ]]</f>
        <v/>
      </c>
      <c r="I746" s="76" t="n">
        <v>0</v>
      </c>
      <c r="J746">
        <f>IF(PRODUCTOS[[#This Row],[STOCK]]&lt;0,"NEGATIVO",IF(PRODUCTOS[[#This Row],[STOCK]]=0,"SIN STOCK",IF(PRODUCTOS[[#This Row],[STOCK]]&lt;=PRODUCTOS[[#This Row],[STOCK MÍN.]],"BAJO","OK")))</f>
        <v/>
      </c>
      <c r="K7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47" hidden="1" s="11">
      <c r="A747" s="18" t="n">
        <v>732</v>
      </c>
      <c r="B747" s="56" t="inlineStr">
        <is>
          <t>00012-AUT</t>
        </is>
      </c>
      <c r="C747" s="56">
        <f>IFERROR(_xlfn.XLOOKUP(PRODUCTOS[[#This Row],[CODIGO]],LISTADO[CODIGOS],LISTADO[CATEGORIA]),"NO EXISTE")</f>
        <v/>
      </c>
      <c r="D747" s="56">
        <f>IFERROR(_xlfn.XLOOKUP(PRODUCTOS[[#This Row],[CODIGO]],LISTADO[CODIGOS],LISTADO[PRODUCTOS]),"NO EXISTE")</f>
        <v/>
      </c>
      <c r="E747" s="56">
        <f>IFERROR(_xlfn.XLOOKUP(PRODUCTOS[[#This Row],[CODIGO]],LISTADO[CODIGOS],LISTADO[UBICACIÓN]),"NO EXISTE")</f>
        <v/>
      </c>
      <c r="F747" s="56">
        <f>SUMIFS(ENTRADAS[CANTIDAD],ENTRADAS[CODIGO],PRODUCTOS[[#This Row],[CODIGO]])</f>
        <v/>
      </c>
      <c r="G747" s="56">
        <f>SUMIFS(SALIDAS[CANTIDAD],SALIDAS[CODIGO],PRODUCTOS[[#This Row],[CODIGO]])</f>
        <v/>
      </c>
      <c r="H747" s="56">
        <f>PRODUCTOS[[#This Row],[ENTRADAS]]-PRODUCTOS[[#This Row],[SALIDAS ]]</f>
        <v/>
      </c>
      <c r="I747" s="76" t="n">
        <v>0</v>
      </c>
      <c r="J747">
        <f>IF(PRODUCTOS[[#This Row],[STOCK]]&lt;0,"NEGATIVO",IF(PRODUCTOS[[#This Row],[STOCK]]=0,"SIN STOCK",IF(PRODUCTOS[[#This Row],[STOCK]]&lt;=PRODUCTOS[[#This Row],[STOCK MÍN.]],"BAJO","OK")))</f>
        <v/>
      </c>
      <c r="K7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48" hidden="1" s="11">
      <c r="A748" s="18" t="n">
        <v>733</v>
      </c>
      <c r="B748" s="56" t="inlineStr">
        <is>
          <t>00013-AUT</t>
        </is>
      </c>
      <c r="C748" s="56">
        <f>IFERROR(_xlfn.XLOOKUP(PRODUCTOS[[#This Row],[CODIGO]],LISTADO[CODIGOS],LISTADO[CATEGORIA]),"NO EXISTE")</f>
        <v/>
      </c>
      <c r="D748" s="56">
        <f>IFERROR(_xlfn.XLOOKUP(PRODUCTOS[[#This Row],[CODIGO]],LISTADO[CODIGOS],LISTADO[PRODUCTOS]),"NO EXISTE")</f>
        <v/>
      </c>
      <c r="E748" s="56">
        <f>IFERROR(_xlfn.XLOOKUP(PRODUCTOS[[#This Row],[CODIGO]],LISTADO[CODIGOS],LISTADO[UBICACIÓN]),"NO EXISTE")</f>
        <v/>
      </c>
      <c r="F748" s="56">
        <f>SUMIFS(ENTRADAS[CANTIDAD],ENTRADAS[CODIGO],PRODUCTOS[[#This Row],[CODIGO]])</f>
        <v/>
      </c>
      <c r="G748" s="56">
        <f>SUMIFS(SALIDAS[CANTIDAD],SALIDAS[CODIGO],PRODUCTOS[[#This Row],[CODIGO]])</f>
        <v/>
      </c>
      <c r="H748" s="56">
        <f>PRODUCTOS[[#This Row],[ENTRADAS]]-PRODUCTOS[[#This Row],[SALIDAS ]]</f>
        <v/>
      </c>
      <c r="I748" s="76" t="n">
        <v>0</v>
      </c>
      <c r="J748">
        <f>IF(PRODUCTOS[[#This Row],[STOCK]]&lt;0,"NEGATIVO",IF(PRODUCTOS[[#This Row],[STOCK]]=0,"SIN STOCK",IF(PRODUCTOS[[#This Row],[STOCK]]&lt;=PRODUCTOS[[#This Row],[STOCK MÍN.]],"BAJO","OK")))</f>
        <v/>
      </c>
      <c r="K7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49" hidden="1" s="11">
      <c r="A749" s="18" t="n">
        <v>734</v>
      </c>
      <c r="B749" s="56" t="inlineStr">
        <is>
          <t>00014-AUT</t>
        </is>
      </c>
      <c r="C749" s="56">
        <f>IFERROR(_xlfn.XLOOKUP(PRODUCTOS[[#This Row],[CODIGO]],LISTADO[CODIGOS],LISTADO[CATEGORIA]),"NO EXISTE")</f>
        <v/>
      </c>
      <c r="D749" s="56">
        <f>IFERROR(_xlfn.XLOOKUP(PRODUCTOS[[#This Row],[CODIGO]],LISTADO[CODIGOS],LISTADO[PRODUCTOS]),"NO EXISTE")</f>
        <v/>
      </c>
      <c r="E749" s="56">
        <f>IFERROR(_xlfn.XLOOKUP(PRODUCTOS[[#This Row],[CODIGO]],LISTADO[CODIGOS],LISTADO[UBICACIÓN]),"NO EXISTE")</f>
        <v/>
      </c>
      <c r="F749" s="56">
        <f>SUMIFS(ENTRADAS[CANTIDAD],ENTRADAS[CODIGO],PRODUCTOS[[#This Row],[CODIGO]])</f>
        <v/>
      </c>
      <c r="G749" s="56">
        <f>SUMIFS(SALIDAS[CANTIDAD],SALIDAS[CODIGO],PRODUCTOS[[#This Row],[CODIGO]])</f>
        <v/>
      </c>
      <c r="H749" s="56">
        <f>PRODUCTOS[[#This Row],[ENTRADAS]]-PRODUCTOS[[#This Row],[SALIDAS ]]</f>
        <v/>
      </c>
      <c r="I749" s="76" t="n">
        <v>0</v>
      </c>
      <c r="J749">
        <f>IF(PRODUCTOS[[#This Row],[STOCK]]&lt;0,"NEGATIVO",IF(PRODUCTOS[[#This Row],[STOCK]]=0,"SIN STOCK",IF(PRODUCTOS[[#This Row],[STOCK]]&lt;=PRODUCTOS[[#This Row],[STOCK MÍN.]],"BAJO","OK")))</f>
        <v/>
      </c>
      <c r="K7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50" hidden="1" s="11">
      <c r="A750" s="18" t="n">
        <v>735</v>
      </c>
      <c r="B750" s="56" t="inlineStr">
        <is>
          <t>00062-ELE</t>
        </is>
      </c>
      <c r="C750" s="56">
        <f>IFERROR(_xlfn.XLOOKUP(PRODUCTOS[[#This Row],[CODIGO]],LISTADO[CODIGOS],LISTADO[CATEGORIA]),"NO EXISTE")</f>
        <v/>
      </c>
      <c r="D750" s="56">
        <f>IFERROR(_xlfn.XLOOKUP(PRODUCTOS[[#This Row],[CODIGO]],LISTADO[CODIGOS],LISTADO[PRODUCTOS]),"NO EXISTE")</f>
        <v/>
      </c>
      <c r="E750" s="56">
        <f>IFERROR(_xlfn.XLOOKUP(PRODUCTOS[[#This Row],[CODIGO]],LISTADO[CODIGOS],LISTADO[UBICACIÓN]),"NO EXISTE")</f>
        <v/>
      </c>
      <c r="F750" s="56">
        <f>SUMIFS(ENTRADAS[CANTIDAD],ENTRADAS[CODIGO],PRODUCTOS[[#This Row],[CODIGO]])</f>
        <v/>
      </c>
      <c r="G750" s="56">
        <f>SUMIFS(SALIDAS[CANTIDAD],SALIDAS[CODIGO],PRODUCTOS[[#This Row],[CODIGO]])</f>
        <v/>
      </c>
      <c r="H750" s="56">
        <f>PRODUCTOS[[#This Row],[ENTRADAS]]-PRODUCTOS[[#This Row],[SALIDAS ]]</f>
        <v/>
      </c>
      <c r="I750" s="76" t="n">
        <v>0</v>
      </c>
      <c r="J750">
        <f>IF(PRODUCTOS[[#This Row],[STOCK]]&lt;0,"NEGATIVO",IF(PRODUCTOS[[#This Row],[STOCK]]=0,"SIN STOCK",IF(PRODUCTOS[[#This Row],[STOCK]]&lt;=PRODUCTOS[[#This Row],[STOCK MÍN.]],"BAJO","OK")))</f>
        <v/>
      </c>
      <c r="K7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51" hidden="1" s="11">
      <c r="A751" s="18" t="n">
        <v>736</v>
      </c>
      <c r="B751" s="56" t="inlineStr">
        <is>
          <t>00145-FER</t>
        </is>
      </c>
      <c r="C751" s="56">
        <f>IFERROR(_xlfn.XLOOKUP(PRODUCTOS[[#This Row],[CODIGO]],LISTADO[CODIGOS],LISTADO[CATEGORIA]),"NO EXISTE")</f>
        <v/>
      </c>
      <c r="D751" s="56">
        <f>IFERROR(_xlfn.XLOOKUP(PRODUCTOS[[#This Row],[CODIGO]],LISTADO[CODIGOS],LISTADO[PRODUCTOS]),"NO EXISTE")</f>
        <v/>
      </c>
      <c r="E751" s="56">
        <f>IFERROR(_xlfn.XLOOKUP(PRODUCTOS[[#This Row],[CODIGO]],LISTADO[CODIGOS],LISTADO[UBICACIÓN]),"NO EXISTE")</f>
        <v/>
      </c>
      <c r="F751" s="56">
        <f>SUMIFS(ENTRADAS[CANTIDAD],ENTRADAS[CODIGO],PRODUCTOS[[#This Row],[CODIGO]])</f>
        <v/>
      </c>
      <c r="G751" s="56">
        <f>SUMIFS(SALIDAS[CANTIDAD],SALIDAS[CODIGO],PRODUCTOS[[#This Row],[CODIGO]])</f>
        <v/>
      </c>
      <c r="H751" s="56">
        <f>PRODUCTOS[[#This Row],[ENTRADAS]]-PRODUCTOS[[#This Row],[SALIDAS ]]</f>
        <v/>
      </c>
      <c r="I751" s="76" t="n">
        <v>0</v>
      </c>
      <c r="J751">
        <f>IF(PRODUCTOS[[#This Row],[STOCK]]&lt;0,"NEGATIVO",IF(PRODUCTOS[[#This Row],[STOCK]]=0,"SIN STOCK",IF(PRODUCTOS[[#This Row],[STOCK]]&lt;=PRODUCTOS[[#This Row],[STOCK MÍN.]],"BAJO","OK")))</f>
        <v/>
      </c>
      <c r="K7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52" hidden="1" s="11">
      <c r="A752" s="18" t="n">
        <v>737</v>
      </c>
      <c r="B752" s="56" t="inlineStr">
        <is>
          <t>00063-ELE</t>
        </is>
      </c>
      <c r="C752" s="56">
        <f>IFERROR(_xlfn.XLOOKUP(PRODUCTOS[[#This Row],[CODIGO]],LISTADO[CODIGOS],LISTADO[CATEGORIA]),"NO EXISTE")</f>
        <v/>
      </c>
      <c r="D752" s="56">
        <f>IFERROR(_xlfn.XLOOKUP(PRODUCTOS[[#This Row],[CODIGO]],LISTADO[CODIGOS],LISTADO[PRODUCTOS]),"NO EXISTE")</f>
        <v/>
      </c>
      <c r="E752" s="56">
        <f>IFERROR(_xlfn.XLOOKUP(PRODUCTOS[[#This Row],[CODIGO]],LISTADO[CODIGOS],LISTADO[UBICACIÓN]),"NO EXISTE")</f>
        <v/>
      </c>
      <c r="F752" s="56">
        <f>SUMIFS(ENTRADAS[CANTIDAD],ENTRADAS[CODIGO],PRODUCTOS[[#This Row],[CODIGO]])</f>
        <v/>
      </c>
      <c r="G752" s="56">
        <f>SUMIFS(SALIDAS[CANTIDAD],SALIDAS[CODIGO],PRODUCTOS[[#This Row],[CODIGO]])</f>
        <v/>
      </c>
      <c r="H752" s="56">
        <f>PRODUCTOS[[#This Row],[ENTRADAS]]-PRODUCTOS[[#This Row],[SALIDAS ]]</f>
        <v/>
      </c>
      <c r="I752" s="76" t="n">
        <v>0</v>
      </c>
      <c r="J752">
        <f>IF(PRODUCTOS[[#This Row],[STOCK]]&lt;0,"NEGATIVO",IF(PRODUCTOS[[#This Row],[STOCK]]=0,"SIN STOCK",IF(PRODUCTOS[[#This Row],[STOCK]]&lt;=PRODUCTOS[[#This Row],[STOCK MÍN.]],"BAJO","OK")))</f>
        <v/>
      </c>
      <c r="K7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53" hidden="1" s="11">
      <c r="A753" s="18" t="n">
        <v>738</v>
      </c>
      <c r="B753" s="56" t="inlineStr">
        <is>
          <t>00146-FER</t>
        </is>
      </c>
      <c r="C753" s="56">
        <f>IFERROR(_xlfn.XLOOKUP(PRODUCTOS[[#This Row],[CODIGO]],LISTADO[CODIGOS],LISTADO[CATEGORIA]),"NO EXISTE")</f>
        <v/>
      </c>
      <c r="D753" s="56">
        <f>IFERROR(_xlfn.XLOOKUP(PRODUCTOS[[#This Row],[CODIGO]],LISTADO[CODIGOS],LISTADO[PRODUCTOS]),"NO EXISTE")</f>
        <v/>
      </c>
      <c r="E753" s="56">
        <f>IFERROR(_xlfn.XLOOKUP(PRODUCTOS[[#This Row],[CODIGO]],LISTADO[CODIGOS],LISTADO[UBICACIÓN]),"NO EXISTE")</f>
        <v/>
      </c>
      <c r="F753" s="56">
        <f>SUMIFS(ENTRADAS[CANTIDAD],ENTRADAS[CODIGO],PRODUCTOS[[#This Row],[CODIGO]])</f>
        <v/>
      </c>
      <c r="G753" s="56">
        <f>SUMIFS(SALIDAS[CANTIDAD],SALIDAS[CODIGO],PRODUCTOS[[#This Row],[CODIGO]])</f>
        <v/>
      </c>
      <c r="H753" s="56">
        <f>PRODUCTOS[[#This Row],[ENTRADAS]]-PRODUCTOS[[#This Row],[SALIDAS ]]</f>
        <v/>
      </c>
      <c r="I753" s="76" t="n">
        <v>0</v>
      </c>
      <c r="J753">
        <f>IF(PRODUCTOS[[#This Row],[STOCK]]&lt;0,"NEGATIVO",IF(PRODUCTOS[[#This Row],[STOCK]]=0,"SIN STOCK",IF(PRODUCTOS[[#This Row],[STOCK]]&lt;=PRODUCTOS[[#This Row],[STOCK MÍN.]],"BAJO","OK")))</f>
        <v/>
      </c>
      <c r="K7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54" hidden="1" s="11">
      <c r="A754" s="18" t="n">
        <v>739</v>
      </c>
      <c r="B754" s="56" t="inlineStr">
        <is>
          <t>00018-MSC</t>
        </is>
      </c>
      <c r="C754" s="56">
        <f>IFERROR(_xlfn.XLOOKUP(PRODUCTOS[[#This Row],[CODIGO]],LISTADO[CODIGOS],LISTADO[CATEGORIA]),"NO EXISTE")</f>
        <v/>
      </c>
      <c r="D754" s="56">
        <f>IFERROR(_xlfn.XLOOKUP(PRODUCTOS[[#This Row],[CODIGO]],LISTADO[CODIGOS],LISTADO[PRODUCTOS]),"NO EXISTE")</f>
        <v/>
      </c>
      <c r="E754" s="56">
        <f>IFERROR(_xlfn.XLOOKUP(PRODUCTOS[[#This Row],[CODIGO]],LISTADO[CODIGOS],LISTADO[UBICACIÓN]),"NO EXISTE")</f>
        <v/>
      </c>
      <c r="F754" s="56">
        <f>SUMIFS(ENTRADAS[CANTIDAD],ENTRADAS[CODIGO],PRODUCTOS[[#This Row],[CODIGO]])</f>
        <v/>
      </c>
      <c r="G754" s="56">
        <f>SUMIFS(SALIDAS[CANTIDAD],SALIDAS[CODIGO],PRODUCTOS[[#This Row],[CODIGO]])</f>
        <v/>
      </c>
      <c r="H754" s="56">
        <f>PRODUCTOS[[#This Row],[ENTRADAS]]-PRODUCTOS[[#This Row],[SALIDAS ]]</f>
        <v/>
      </c>
      <c r="I754" s="76" t="n">
        <v>0</v>
      </c>
      <c r="J754">
        <f>IF(PRODUCTOS[[#This Row],[STOCK]]&lt;0,"NEGATIVO",IF(PRODUCTOS[[#This Row],[STOCK]]=0,"SIN STOCK",IF(PRODUCTOS[[#This Row],[STOCK]]&lt;=PRODUCTOS[[#This Row],[STOCK MÍN.]],"BAJO","OK")))</f>
        <v/>
      </c>
      <c r="K7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55" hidden="1" s="11">
      <c r="A755" s="18" t="n">
        <v>740</v>
      </c>
      <c r="B755" s="56" t="inlineStr">
        <is>
          <t>00109-HER</t>
        </is>
      </c>
      <c r="C755" s="56">
        <f>IFERROR(_xlfn.XLOOKUP(PRODUCTOS[[#This Row],[CODIGO]],LISTADO[CODIGOS],LISTADO[CATEGORIA]),"NO EXISTE")</f>
        <v/>
      </c>
      <c r="D755" s="56">
        <f>IFERROR(_xlfn.XLOOKUP(PRODUCTOS[[#This Row],[CODIGO]],LISTADO[CODIGOS],LISTADO[PRODUCTOS]),"NO EXISTE")</f>
        <v/>
      </c>
      <c r="E755" s="56">
        <f>IFERROR(_xlfn.XLOOKUP(PRODUCTOS[[#This Row],[CODIGO]],LISTADO[CODIGOS],LISTADO[UBICACIÓN]),"NO EXISTE")</f>
        <v/>
      </c>
      <c r="F755" s="56">
        <f>SUMIFS(ENTRADAS[CANTIDAD],ENTRADAS[CODIGO],PRODUCTOS[[#This Row],[CODIGO]])</f>
        <v/>
      </c>
      <c r="G755" s="56">
        <f>SUMIFS(SALIDAS[CANTIDAD],SALIDAS[CODIGO],PRODUCTOS[[#This Row],[CODIGO]])</f>
        <v/>
      </c>
      <c r="H755" s="56">
        <f>PRODUCTOS[[#This Row],[ENTRADAS]]-PRODUCTOS[[#This Row],[SALIDAS ]]</f>
        <v/>
      </c>
      <c r="I755" s="76" t="n">
        <v>0</v>
      </c>
      <c r="J755">
        <f>IF(PRODUCTOS[[#This Row],[STOCK]]&lt;0,"NEGATIVO",IF(PRODUCTOS[[#This Row],[STOCK]]=0,"SIN STOCK",IF(PRODUCTOS[[#This Row],[STOCK]]&lt;=PRODUCTOS[[#This Row],[STOCK MÍN.]],"BAJO","OK")))</f>
        <v/>
      </c>
      <c r="K7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56" hidden="1" s="11">
      <c r="A756" s="18" t="n">
        <v>741</v>
      </c>
      <c r="B756" s="56" t="inlineStr">
        <is>
          <t>00044-ELC</t>
        </is>
      </c>
      <c r="C756" s="56">
        <f>IFERROR(_xlfn.XLOOKUP(PRODUCTOS[[#This Row],[CODIGO]],LISTADO[CODIGOS],LISTADO[CATEGORIA]),"NO EXISTE")</f>
        <v/>
      </c>
      <c r="D756" s="56">
        <f>IFERROR(_xlfn.XLOOKUP(PRODUCTOS[[#This Row],[CODIGO]],LISTADO[CODIGOS],LISTADO[PRODUCTOS]),"NO EXISTE")</f>
        <v/>
      </c>
      <c r="E756" s="56">
        <f>IFERROR(_xlfn.XLOOKUP(PRODUCTOS[[#This Row],[CODIGO]],LISTADO[CODIGOS],LISTADO[UBICACIÓN]),"NO EXISTE")</f>
        <v/>
      </c>
      <c r="F756" s="56">
        <f>SUMIFS(ENTRADAS[CANTIDAD],ENTRADAS[CODIGO],PRODUCTOS[[#This Row],[CODIGO]])</f>
        <v/>
      </c>
      <c r="G756" s="56">
        <f>SUMIFS(SALIDAS[CANTIDAD],SALIDAS[CODIGO],PRODUCTOS[[#This Row],[CODIGO]])</f>
        <v/>
      </c>
      <c r="H756" s="56">
        <f>PRODUCTOS[[#This Row],[ENTRADAS]]-PRODUCTOS[[#This Row],[SALIDAS ]]</f>
        <v/>
      </c>
      <c r="I756" s="76" t="n">
        <v>0</v>
      </c>
      <c r="J756">
        <f>IF(PRODUCTOS[[#This Row],[STOCK]]&lt;0,"NEGATIVO",IF(PRODUCTOS[[#This Row],[STOCK]]=0,"SIN STOCK",IF(PRODUCTOS[[#This Row],[STOCK]]&lt;=PRODUCTOS[[#This Row],[STOCK MÍN.]],"BAJO","OK")))</f>
        <v/>
      </c>
      <c r="K7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57" hidden="1" s="11">
      <c r="A757" s="18" t="n">
        <v>742</v>
      </c>
      <c r="B757" s="56" t="inlineStr">
        <is>
          <t>00045-ELC</t>
        </is>
      </c>
      <c r="C757" s="56">
        <f>IFERROR(_xlfn.XLOOKUP(PRODUCTOS[[#This Row],[CODIGO]],LISTADO[CODIGOS],LISTADO[CATEGORIA]),"NO EXISTE")</f>
        <v/>
      </c>
      <c r="D757" s="56">
        <f>IFERROR(_xlfn.XLOOKUP(PRODUCTOS[[#This Row],[CODIGO]],LISTADO[CODIGOS],LISTADO[PRODUCTOS]),"NO EXISTE")</f>
        <v/>
      </c>
      <c r="E757" s="56">
        <f>IFERROR(_xlfn.XLOOKUP(PRODUCTOS[[#This Row],[CODIGO]],LISTADO[CODIGOS],LISTADO[UBICACIÓN]),"NO EXISTE")</f>
        <v/>
      </c>
      <c r="F757" s="56">
        <f>SUMIFS(ENTRADAS[CANTIDAD],ENTRADAS[CODIGO],PRODUCTOS[[#This Row],[CODIGO]])</f>
        <v/>
      </c>
      <c r="G757" s="56">
        <f>SUMIFS(SALIDAS[CANTIDAD],SALIDAS[CODIGO],PRODUCTOS[[#This Row],[CODIGO]])</f>
        <v/>
      </c>
      <c r="H757" s="56">
        <f>PRODUCTOS[[#This Row],[ENTRADAS]]-PRODUCTOS[[#This Row],[SALIDAS ]]</f>
        <v/>
      </c>
      <c r="I757" s="76" t="n">
        <v>0</v>
      </c>
      <c r="J757">
        <f>IF(PRODUCTOS[[#This Row],[STOCK]]&lt;0,"NEGATIVO",IF(PRODUCTOS[[#This Row],[STOCK]]=0,"SIN STOCK",IF(PRODUCTOS[[#This Row],[STOCK]]&lt;=PRODUCTOS[[#This Row],[STOCK MÍN.]],"BAJO","OK")))</f>
        <v/>
      </c>
      <c r="K7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58" hidden="1" s="11">
      <c r="A758" s="18" t="n">
        <v>743</v>
      </c>
      <c r="B758" s="56" t="inlineStr">
        <is>
          <t>00046-ELC</t>
        </is>
      </c>
      <c r="C758" s="56">
        <f>IFERROR(_xlfn.XLOOKUP(PRODUCTOS[[#This Row],[CODIGO]],LISTADO[CODIGOS],LISTADO[CATEGORIA]),"NO EXISTE")</f>
        <v/>
      </c>
      <c r="D758" s="56">
        <f>IFERROR(_xlfn.XLOOKUP(PRODUCTOS[[#This Row],[CODIGO]],LISTADO[CODIGOS],LISTADO[PRODUCTOS]),"NO EXISTE")</f>
        <v/>
      </c>
      <c r="E758" s="56">
        <f>IFERROR(_xlfn.XLOOKUP(PRODUCTOS[[#This Row],[CODIGO]],LISTADO[CODIGOS],LISTADO[UBICACIÓN]),"NO EXISTE")</f>
        <v/>
      </c>
      <c r="F758" s="56">
        <f>SUMIFS(ENTRADAS[CANTIDAD],ENTRADAS[CODIGO],PRODUCTOS[[#This Row],[CODIGO]])</f>
        <v/>
      </c>
      <c r="G758" s="56">
        <f>SUMIFS(SALIDAS[CANTIDAD],SALIDAS[CODIGO],PRODUCTOS[[#This Row],[CODIGO]])</f>
        <v/>
      </c>
      <c r="H758" s="56">
        <f>PRODUCTOS[[#This Row],[ENTRADAS]]-PRODUCTOS[[#This Row],[SALIDAS ]]</f>
        <v/>
      </c>
      <c r="I758" s="76" t="n">
        <v>0</v>
      </c>
      <c r="J758">
        <f>IF(PRODUCTOS[[#This Row],[STOCK]]&lt;0,"NEGATIVO",IF(PRODUCTOS[[#This Row],[STOCK]]=0,"SIN STOCK",IF(PRODUCTOS[[#This Row],[STOCK]]&lt;=PRODUCTOS[[#This Row],[STOCK MÍN.]],"BAJO","OK")))</f>
        <v/>
      </c>
      <c r="K7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59" hidden="1" s="11">
      <c r="A759" s="18" t="n">
        <v>744</v>
      </c>
      <c r="B759" s="56" t="inlineStr">
        <is>
          <t>00012-LIM</t>
        </is>
      </c>
      <c r="C759" s="56">
        <f>IFERROR(_xlfn.XLOOKUP(PRODUCTOS[[#This Row],[CODIGO]],LISTADO[CODIGOS],LISTADO[CATEGORIA]),"NO EXISTE")</f>
        <v/>
      </c>
      <c r="D759" s="56">
        <f>IFERROR(_xlfn.XLOOKUP(PRODUCTOS[[#This Row],[CODIGO]],LISTADO[CODIGOS],LISTADO[PRODUCTOS]),"NO EXISTE")</f>
        <v/>
      </c>
      <c r="E759" s="56">
        <f>IFERROR(_xlfn.XLOOKUP(PRODUCTOS[[#This Row],[CODIGO]],LISTADO[CODIGOS],LISTADO[UBICACIÓN]),"NO EXISTE")</f>
        <v/>
      </c>
      <c r="F759" s="56">
        <f>SUMIFS(ENTRADAS[CANTIDAD],ENTRADAS[CODIGO],PRODUCTOS[[#This Row],[CODIGO]])</f>
        <v/>
      </c>
      <c r="G759" s="56">
        <f>SUMIFS(SALIDAS[CANTIDAD],SALIDAS[CODIGO],PRODUCTOS[[#This Row],[CODIGO]])</f>
        <v/>
      </c>
      <c r="H759" s="56">
        <f>PRODUCTOS[[#This Row],[ENTRADAS]]-PRODUCTOS[[#This Row],[SALIDAS ]]</f>
        <v/>
      </c>
      <c r="I759" s="76" t="n">
        <v>0</v>
      </c>
      <c r="J759">
        <f>IF(PRODUCTOS[[#This Row],[STOCK]]&lt;0,"NEGATIVO",IF(PRODUCTOS[[#This Row],[STOCK]]=0,"SIN STOCK",IF(PRODUCTOS[[#This Row],[STOCK]]&lt;=PRODUCTOS[[#This Row],[STOCK MÍN.]],"BAJO","OK")))</f>
        <v/>
      </c>
      <c r="K7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60" hidden="1" s="11">
      <c r="A760" s="18" t="n">
        <v>745</v>
      </c>
      <c r="B760" s="56" t="inlineStr">
        <is>
          <t>00013-LIM</t>
        </is>
      </c>
      <c r="C760" s="56">
        <f>IFERROR(_xlfn.XLOOKUP(PRODUCTOS[[#This Row],[CODIGO]],LISTADO[CODIGOS],LISTADO[CATEGORIA]),"NO EXISTE")</f>
        <v/>
      </c>
      <c r="D760" s="56">
        <f>IFERROR(_xlfn.XLOOKUP(PRODUCTOS[[#This Row],[CODIGO]],LISTADO[CODIGOS],LISTADO[PRODUCTOS]),"NO EXISTE")</f>
        <v/>
      </c>
      <c r="E760" s="56">
        <f>IFERROR(_xlfn.XLOOKUP(PRODUCTOS[[#This Row],[CODIGO]],LISTADO[CODIGOS],LISTADO[UBICACIÓN]),"NO EXISTE")</f>
        <v/>
      </c>
      <c r="F760" s="56">
        <f>SUMIFS(ENTRADAS[CANTIDAD],ENTRADAS[CODIGO],PRODUCTOS[[#This Row],[CODIGO]])</f>
        <v/>
      </c>
      <c r="G760" s="56">
        <f>SUMIFS(SALIDAS[CANTIDAD],SALIDAS[CODIGO],PRODUCTOS[[#This Row],[CODIGO]])</f>
        <v/>
      </c>
      <c r="H760" s="56">
        <f>PRODUCTOS[[#This Row],[ENTRADAS]]-PRODUCTOS[[#This Row],[SALIDAS ]]</f>
        <v/>
      </c>
      <c r="I760" s="76" t="n">
        <v>0</v>
      </c>
      <c r="J760">
        <f>IF(PRODUCTOS[[#This Row],[STOCK]]&lt;0,"NEGATIVO",IF(PRODUCTOS[[#This Row],[STOCK]]=0,"SIN STOCK",IF(PRODUCTOS[[#This Row],[STOCK]]&lt;=PRODUCTOS[[#This Row],[STOCK MÍN.]],"BAJO","OK")))</f>
        <v/>
      </c>
      <c r="K7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61" hidden="1" s="11">
      <c r="A761" s="18" t="n">
        <v>746</v>
      </c>
      <c r="B761" s="56" t="inlineStr">
        <is>
          <t>00014-LIM</t>
        </is>
      </c>
      <c r="C761" s="56">
        <f>IFERROR(_xlfn.XLOOKUP(PRODUCTOS[[#This Row],[CODIGO]],LISTADO[CODIGOS],LISTADO[CATEGORIA]),"NO EXISTE")</f>
        <v/>
      </c>
      <c r="D761" s="56">
        <f>IFERROR(_xlfn.XLOOKUP(PRODUCTOS[[#This Row],[CODIGO]],LISTADO[CODIGOS],LISTADO[PRODUCTOS]),"NO EXISTE")</f>
        <v/>
      </c>
      <c r="E761" s="56">
        <f>IFERROR(_xlfn.XLOOKUP(PRODUCTOS[[#This Row],[CODIGO]],LISTADO[CODIGOS],LISTADO[UBICACIÓN]),"NO EXISTE")</f>
        <v/>
      </c>
      <c r="F761" s="56">
        <f>SUMIFS(ENTRADAS[CANTIDAD],ENTRADAS[CODIGO],PRODUCTOS[[#This Row],[CODIGO]])</f>
        <v/>
      </c>
      <c r="G761" s="56">
        <f>SUMIFS(SALIDAS[CANTIDAD],SALIDAS[CODIGO],PRODUCTOS[[#This Row],[CODIGO]])</f>
        <v/>
      </c>
      <c r="H761" s="56">
        <f>PRODUCTOS[[#This Row],[ENTRADAS]]-PRODUCTOS[[#This Row],[SALIDAS ]]</f>
        <v/>
      </c>
      <c r="I761" s="76" t="n">
        <v>0</v>
      </c>
      <c r="J761">
        <f>IF(PRODUCTOS[[#This Row],[STOCK]]&lt;0,"NEGATIVO",IF(PRODUCTOS[[#This Row],[STOCK]]=0,"SIN STOCK",IF(PRODUCTOS[[#This Row],[STOCK]]&lt;=PRODUCTOS[[#This Row],[STOCK MÍN.]],"BAJO","OK")))</f>
        <v/>
      </c>
      <c r="K7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62" hidden="1" s="11">
      <c r="A762" s="18" t="n">
        <v>747</v>
      </c>
      <c r="B762" s="56" t="inlineStr">
        <is>
          <t>00095-REF</t>
        </is>
      </c>
      <c r="C762" s="56">
        <f>IFERROR(_xlfn.XLOOKUP(PRODUCTOS[[#This Row],[CODIGO]],LISTADO[CODIGOS],LISTADO[CATEGORIA]),"NO EXISTE")</f>
        <v/>
      </c>
      <c r="D762" s="56">
        <f>IFERROR(_xlfn.XLOOKUP(PRODUCTOS[[#This Row],[CODIGO]],LISTADO[CODIGOS],LISTADO[PRODUCTOS]),"NO EXISTE")</f>
        <v/>
      </c>
      <c r="E762" s="56">
        <f>IFERROR(_xlfn.XLOOKUP(PRODUCTOS[[#This Row],[CODIGO]],LISTADO[CODIGOS],LISTADO[UBICACIÓN]),"NO EXISTE")</f>
        <v/>
      </c>
      <c r="F762" s="56">
        <f>SUMIFS(ENTRADAS[CANTIDAD],ENTRADAS[CODIGO],PRODUCTOS[[#This Row],[CODIGO]])</f>
        <v/>
      </c>
      <c r="G762" s="56">
        <f>SUMIFS(SALIDAS[CANTIDAD],SALIDAS[CODIGO],PRODUCTOS[[#This Row],[CODIGO]])</f>
        <v/>
      </c>
      <c r="H762" s="56">
        <f>PRODUCTOS[[#This Row],[ENTRADAS]]-PRODUCTOS[[#This Row],[SALIDAS ]]</f>
        <v/>
      </c>
      <c r="I762" s="76" t="n">
        <v>0</v>
      </c>
      <c r="J762">
        <f>IF(PRODUCTOS[[#This Row],[STOCK]]&lt;0,"NEGATIVO",IF(PRODUCTOS[[#This Row],[STOCK]]=0,"SIN STOCK",IF(PRODUCTOS[[#This Row],[STOCK]]&lt;=PRODUCTOS[[#This Row],[STOCK MÍN.]],"BAJO","OK")))</f>
        <v/>
      </c>
      <c r="K7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63" hidden="1" s="11">
      <c r="A763" s="18" t="n">
        <v>748</v>
      </c>
      <c r="B763" s="56" t="inlineStr">
        <is>
          <t>00042-ILU</t>
        </is>
      </c>
      <c r="C763" s="56">
        <f>IFERROR(_xlfn.XLOOKUP(PRODUCTOS[[#This Row],[CODIGO]],LISTADO[CODIGOS],LISTADO[CATEGORIA]),"NO EXISTE")</f>
        <v/>
      </c>
      <c r="D763" s="56">
        <f>IFERROR(_xlfn.XLOOKUP(PRODUCTOS[[#This Row],[CODIGO]],LISTADO[CODIGOS],LISTADO[PRODUCTOS]),"NO EXISTE")</f>
        <v/>
      </c>
      <c r="E763" s="56">
        <f>IFERROR(_xlfn.XLOOKUP(PRODUCTOS[[#This Row],[CODIGO]],LISTADO[CODIGOS],LISTADO[UBICACIÓN]),"NO EXISTE")</f>
        <v/>
      </c>
      <c r="F763" s="56">
        <f>SUMIFS(ENTRADAS[CANTIDAD],ENTRADAS[CODIGO],PRODUCTOS[[#This Row],[CODIGO]])</f>
        <v/>
      </c>
      <c r="G763" s="56">
        <f>SUMIFS(SALIDAS[CANTIDAD],SALIDAS[CODIGO],PRODUCTOS[[#This Row],[CODIGO]])</f>
        <v/>
      </c>
      <c r="H763" s="56">
        <f>PRODUCTOS[[#This Row],[ENTRADAS]]-PRODUCTOS[[#This Row],[SALIDAS ]]</f>
        <v/>
      </c>
      <c r="I763" s="76" t="n">
        <v>0</v>
      </c>
      <c r="J763">
        <f>IF(PRODUCTOS[[#This Row],[STOCK]]&lt;0,"NEGATIVO",IF(PRODUCTOS[[#This Row],[STOCK]]=0,"SIN STOCK",IF(PRODUCTOS[[#This Row],[STOCK]]&lt;=PRODUCTOS[[#This Row],[STOCK MÍN.]],"BAJO","OK")))</f>
        <v/>
      </c>
      <c r="K7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64" hidden="1" s="11">
      <c r="A764" s="18" t="n">
        <v>749</v>
      </c>
      <c r="B764" s="56" t="inlineStr">
        <is>
          <t>00043-ILU</t>
        </is>
      </c>
      <c r="C764" s="56">
        <f>IFERROR(_xlfn.XLOOKUP(PRODUCTOS[[#This Row],[CODIGO]],LISTADO[CODIGOS],LISTADO[CATEGORIA]),"NO EXISTE")</f>
        <v/>
      </c>
      <c r="D764" s="56">
        <f>IFERROR(_xlfn.XLOOKUP(PRODUCTOS[[#This Row],[CODIGO]],LISTADO[CODIGOS],LISTADO[PRODUCTOS]),"NO EXISTE")</f>
        <v/>
      </c>
      <c r="E764" s="56">
        <f>IFERROR(_xlfn.XLOOKUP(PRODUCTOS[[#This Row],[CODIGO]],LISTADO[CODIGOS],LISTADO[UBICACIÓN]),"NO EXISTE")</f>
        <v/>
      </c>
      <c r="F764" s="56">
        <f>SUMIFS(ENTRADAS[CANTIDAD],ENTRADAS[CODIGO],PRODUCTOS[[#This Row],[CODIGO]])</f>
        <v/>
      </c>
      <c r="G764" s="56">
        <f>SUMIFS(SALIDAS[CANTIDAD],SALIDAS[CODIGO],PRODUCTOS[[#This Row],[CODIGO]])</f>
        <v/>
      </c>
      <c r="H764" s="56">
        <f>PRODUCTOS[[#This Row],[ENTRADAS]]-PRODUCTOS[[#This Row],[SALIDAS ]]</f>
        <v/>
      </c>
      <c r="I764" s="76" t="n">
        <v>0</v>
      </c>
      <c r="J764">
        <f>IF(PRODUCTOS[[#This Row],[STOCK]]&lt;0,"NEGATIVO",IF(PRODUCTOS[[#This Row],[STOCK]]=0,"SIN STOCK",IF(PRODUCTOS[[#This Row],[STOCK]]&lt;=PRODUCTOS[[#This Row],[STOCK MÍN.]],"BAJO","OK")))</f>
        <v/>
      </c>
      <c r="K7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65" hidden="1" s="11">
      <c r="A765" s="18" t="n">
        <v>750</v>
      </c>
      <c r="B765" s="56" t="inlineStr">
        <is>
          <t>00044-ILU</t>
        </is>
      </c>
      <c r="C765" s="56">
        <f>IFERROR(_xlfn.XLOOKUP(PRODUCTOS[[#This Row],[CODIGO]],LISTADO[CODIGOS],LISTADO[CATEGORIA]),"NO EXISTE")</f>
        <v/>
      </c>
      <c r="D765" s="56">
        <f>IFERROR(_xlfn.XLOOKUP(PRODUCTOS[[#This Row],[CODIGO]],LISTADO[CODIGOS],LISTADO[PRODUCTOS]),"NO EXISTE")</f>
        <v/>
      </c>
      <c r="E765" s="56">
        <f>IFERROR(_xlfn.XLOOKUP(PRODUCTOS[[#This Row],[CODIGO]],LISTADO[CODIGOS],LISTADO[UBICACIÓN]),"NO EXISTE")</f>
        <v/>
      </c>
      <c r="F765" s="56">
        <f>SUMIFS(ENTRADAS[CANTIDAD],ENTRADAS[CODIGO],PRODUCTOS[[#This Row],[CODIGO]])</f>
        <v/>
      </c>
      <c r="G765" s="56">
        <f>SUMIFS(SALIDAS[CANTIDAD],SALIDAS[CODIGO],PRODUCTOS[[#This Row],[CODIGO]])</f>
        <v/>
      </c>
      <c r="H765" s="56">
        <f>PRODUCTOS[[#This Row],[ENTRADAS]]-PRODUCTOS[[#This Row],[SALIDAS ]]</f>
        <v/>
      </c>
      <c r="I765" s="76" t="n">
        <v>0</v>
      </c>
      <c r="J765">
        <f>IF(PRODUCTOS[[#This Row],[STOCK]]&lt;0,"NEGATIVO",IF(PRODUCTOS[[#This Row],[STOCK]]=0,"SIN STOCK",IF(PRODUCTOS[[#This Row],[STOCK]]&lt;=PRODUCTOS[[#This Row],[STOCK MÍN.]],"BAJO","OK")))</f>
        <v/>
      </c>
      <c r="K7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66" hidden="1" s="11">
      <c r="A766" s="18" t="n">
        <v>751</v>
      </c>
      <c r="B766" s="56" t="inlineStr">
        <is>
          <t>00096-REF</t>
        </is>
      </c>
      <c r="C766" s="56">
        <f>IFERROR(_xlfn.XLOOKUP(PRODUCTOS[[#This Row],[CODIGO]],LISTADO[CODIGOS],LISTADO[CATEGORIA]),"NO EXISTE")</f>
        <v/>
      </c>
      <c r="D766" s="56">
        <f>IFERROR(_xlfn.XLOOKUP(PRODUCTOS[[#This Row],[CODIGO]],LISTADO[CODIGOS],LISTADO[PRODUCTOS]),"NO EXISTE")</f>
        <v/>
      </c>
      <c r="E766" s="56">
        <f>IFERROR(_xlfn.XLOOKUP(PRODUCTOS[[#This Row],[CODIGO]],LISTADO[CODIGOS],LISTADO[UBICACIÓN]),"NO EXISTE")</f>
        <v/>
      </c>
      <c r="F766" s="56">
        <f>SUMIFS(ENTRADAS[CANTIDAD],ENTRADAS[CODIGO],PRODUCTOS[[#This Row],[CODIGO]])</f>
        <v/>
      </c>
      <c r="G766" s="56">
        <f>SUMIFS(SALIDAS[CANTIDAD],SALIDAS[CODIGO],PRODUCTOS[[#This Row],[CODIGO]])</f>
        <v/>
      </c>
      <c r="H766" s="56">
        <f>PRODUCTOS[[#This Row],[ENTRADAS]]-PRODUCTOS[[#This Row],[SALIDAS ]]</f>
        <v/>
      </c>
      <c r="I766" s="76" t="n">
        <v>0</v>
      </c>
      <c r="J766">
        <f>IF(PRODUCTOS[[#This Row],[STOCK]]&lt;0,"NEGATIVO",IF(PRODUCTOS[[#This Row],[STOCK]]=0,"SIN STOCK",IF(PRODUCTOS[[#This Row],[STOCK]]&lt;=PRODUCTOS[[#This Row],[STOCK MÍN.]],"BAJO","OK")))</f>
        <v/>
      </c>
      <c r="K7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67" hidden="1" s="11">
      <c r="A767" s="18" t="n">
        <v>752</v>
      </c>
      <c r="B767" s="56" t="inlineStr">
        <is>
          <t>00097-REF</t>
        </is>
      </c>
      <c r="C767" s="56">
        <f>IFERROR(_xlfn.XLOOKUP(PRODUCTOS[[#This Row],[CODIGO]],LISTADO[CODIGOS],LISTADO[CATEGORIA]),"NO EXISTE")</f>
        <v/>
      </c>
      <c r="D767" s="56">
        <f>IFERROR(_xlfn.XLOOKUP(PRODUCTOS[[#This Row],[CODIGO]],LISTADO[CODIGOS],LISTADO[PRODUCTOS]),"NO EXISTE")</f>
        <v/>
      </c>
      <c r="E767" s="56">
        <f>IFERROR(_xlfn.XLOOKUP(PRODUCTOS[[#This Row],[CODIGO]],LISTADO[CODIGOS],LISTADO[UBICACIÓN]),"NO EXISTE")</f>
        <v/>
      </c>
      <c r="F767" s="56">
        <f>SUMIFS(ENTRADAS[CANTIDAD],ENTRADAS[CODIGO],PRODUCTOS[[#This Row],[CODIGO]])</f>
        <v/>
      </c>
      <c r="G767" s="56">
        <f>SUMIFS(SALIDAS[CANTIDAD],SALIDAS[CODIGO],PRODUCTOS[[#This Row],[CODIGO]])</f>
        <v/>
      </c>
      <c r="H767" s="56">
        <f>PRODUCTOS[[#This Row],[ENTRADAS]]-PRODUCTOS[[#This Row],[SALIDAS ]]</f>
        <v/>
      </c>
      <c r="I767" s="76" t="n">
        <v>0</v>
      </c>
      <c r="J767">
        <f>IF(PRODUCTOS[[#This Row],[STOCK]]&lt;0,"NEGATIVO",IF(PRODUCTOS[[#This Row],[STOCK]]=0,"SIN STOCK",IF(PRODUCTOS[[#This Row],[STOCK]]&lt;=PRODUCTOS[[#This Row],[STOCK MÍN.]],"BAJO","OK")))</f>
        <v/>
      </c>
      <c r="K7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68" hidden="1" s="11">
      <c r="A768" s="18" t="n">
        <v>753</v>
      </c>
      <c r="B768" s="56" t="inlineStr">
        <is>
          <t>00015-LIM</t>
        </is>
      </c>
      <c r="C768" s="56">
        <f>IFERROR(_xlfn.XLOOKUP(PRODUCTOS[[#This Row],[CODIGO]],LISTADO[CODIGOS],LISTADO[CATEGORIA]),"NO EXISTE")</f>
        <v/>
      </c>
      <c r="D768" s="56">
        <f>IFERROR(_xlfn.XLOOKUP(PRODUCTOS[[#This Row],[CODIGO]],LISTADO[CODIGOS],LISTADO[PRODUCTOS]),"NO EXISTE")</f>
        <v/>
      </c>
      <c r="E768" s="56">
        <f>IFERROR(_xlfn.XLOOKUP(PRODUCTOS[[#This Row],[CODIGO]],LISTADO[CODIGOS],LISTADO[UBICACIÓN]),"NO EXISTE")</f>
        <v/>
      </c>
      <c r="F768" s="56">
        <f>SUMIFS(ENTRADAS[CANTIDAD],ENTRADAS[CODIGO],PRODUCTOS[[#This Row],[CODIGO]])</f>
        <v/>
      </c>
      <c r="G768" s="56">
        <f>SUMIFS(SALIDAS[CANTIDAD],SALIDAS[CODIGO],PRODUCTOS[[#This Row],[CODIGO]])</f>
        <v/>
      </c>
      <c r="H768" s="56">
        <f>PRODUCTOS[[#This Row],[ENTRADAS]]-PRODUCTOS[[#This Row],[SALIDAS ]]</f>
        <v/>
      </c>
      <c r="I768" s="76" t="n">
        <v>0</v>
      </c>
      <c r="J768">
        <f>IF(PRODUCTOS[[#This Row],[STOCK]]&lt;0,"NEGATIVO",IF(PRODUCTOS[[#This Row],[STOCK]]=0,"SIN STOCK",IF(PRODUCTOS[[#This Row],[STOCK]]&lt;=PRODUCTOS[[#This Row],[STOCK MÍN.]],"BAJO","OK")))</f>
        <v/>
      </c>
      <c r="K7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69" hidden="1" s="11">
      <c r="A769" s="18" t="n">
        <v>754</v>
      </c>
      <c r="B769" s="56" t="inlineStr">
        <is>
          <t>00147-FER</t>
        </is>
      </c>
      <c r="C769" s="56">
        <f>IFERROR(_xlfn.XLOOKUP(PRODUCTOS[[#This Row],[CODIGO]],LISTADO[CODIGOS],LISTADO[CATEGORIA]),"NO EXISTE")</f>
        <v/>
      </c>
      <c r="D769" s="56">
        <f>IFERROR(_xlfn.XLOOKUP(PRODUCTOS[[#This Row],[CODIGO]],LISTADO[CODIGOS],LISTADO[PRODUCTOS]),"NO EXISTE")</f>
        <v/>
      </c>
      <c r="E769" s="56">
        <f>IFERROR(_xlfn.XLOOKUP(PRODUCTOS[[#This Row],[CODIGO]],LISTADO[CODIGOS],LISTADO[UBICACIÓN]),"NO EXISTE")</f>
        <v/>
      </c>
      <c r="F769" s="56">
        <f>SUMIFS(ENTRADAS[CANTIDAD],ENTRADAS[CODIGO],PRODUCTOS[[#This Row],[CODIGO]])</f>
        <v/>
      </c>
      <c r="G769" s="56">
        <f>SUMIFS(SALIDAS[CANTIDAD],SALIDAS[CODIGO],PRODUCTOS[[#This Row],[CODIGO]])</f>
        <v/>
      </c>
      <c r="H769" s="56">
        <f>PRODUCTOS[[#This Row],[ENTRADAS]]-PRODUCTOS[[#This Row],[SALIDAS ]]</f>
        <v/>
      </c>
      <c r="I769" s="76" t="n">
        <v>0</v>
      </c>
      <c r="J769">
        <f>IF(PRODUCTOS[[#This Row],[STOCK]]&lt;0,"NEGATIVO",IF(PRODUCTOS[[#This Row],[STOCK]]=0,"SIN STOCK",IF(PRODUCTOS[[#This Row],[STOCK]]&lt;=PRODUCTOS[[#This Row],[STOCK MÍN.]],"BAJO","OK")))</f>
        <v/>
      </c>
      <c r="K7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70" hidden="1" s="11">
      <c r="A770" s="18" t="n">
        <v>755</v>
      </c>
      <c r="B770" s="56" t="inlineStr">
        <is>
          <t>00148-FER</t>
        </is>
      </c>
      <c r="C770" s="56">
        <f>IFERROR(_xlfn.XLOOKUP(PRODUCTOS[[#This Row],[CODIGO]],LISTADO[CODIGOS],LISTADO[CATEGORIA]),"NO EXISTE")</f>
        <v/>
      </c>
      <c r="D770" s="56">
        <f>IFERROR(_xlfn.XLOOKUP(PRODUCTOS[[#This Row],[CODIGO]],LISTADO[CODIGOS],LISTADO[PRODUCTOS]),"NO EXISTE")</f>
        <v/>
      </c>
      <c r="E770" s="56">
        <f>IFERROR(_xlfn.XLOOKUP(PRODUCTOS[[#This Row],[CODIGO]],LISTADO[CODIGOS],LISTADO[UBICACIÓN]),"NO EXISTE")</f>
        <v/>
      </c>
      <c r="F770" s="56">
        <f>SUMIFS(ENTRADAS[CANTIDAD],ENTRADAS[CODIGO],PRODUCTOS[[#This Row],[CODIGO]])</f>
        <v/>
      </c>
      <c r="G770" s="56">
        <f>SUMIFS(SALIDAS[CANTIDAD],SALIDAS[CODIGO],PRODUCTOS[[#This Row],[CODIGO]])</f>
        <v/>
      </c>
      <c r="H770" s="56">
        <f>PRODUCTOS[[#This Row],[ENTRADAS]]-PRODUCTOS[[#This Row],[SALIDAS ]]</f>
        <v/>
      </c>
      <c r="I770" s="76" t="n">
        <v>0</v>
      </c>
      <c r="J770">
        <f>IF(PRODUCTOS[[#This Row],[STOCK]]&lt;0,"NEGATIVO",IF(PRODUCTOS[[#This Row],[STOCK]]=0,"SIN STOCK",IF(PRODUCTOS[[#This Row],[STOCK]]&lt;=PRODUCTOS[[#This Row],[STOCK MÍN.]],"BAJO","OK")))</f>
        <v/>
      </c>
      <c r="K7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71" hidden="1" s="11">
      <c r="A771" s="18" t="n">
        <v>756</v>
      </c>
      <c r="B771" s="56" t="inlineStr">
        <is>
          <t>00149-FER</t>
        </is>
      </c>
      <c r="C771" s="56">
        <f>IFERROR(_xlfn.XLOOKUP(PRODUCTOS[[#This Row],[CODIGO]],LISTADO[CODIGOS],LISTADO[CATEGORIA]),"NO EXISTE")</f>
        <v/>
      </c>
      <c r="D771" s="56">
        <f>IFERROR(_xlfn.XLOOKUP(PRODUCTOS[[#This Row],[CODIGO]],LISTADO[CODIGOS],LISTADO[PRODUCTOS]),"NO EXISTE")</f>
        <v/>
      </c>
      <c r="E771" s="56">
        <f>IFERROR(_xlfn.XLOOKUP(PRODUCTOS[[#This Row],[CODIGO]],LISTADO[CODIGOS],LISTADO[UBICACIÓN]),"NO EXISTE")</f>
        <v/>
      </c>
      <c r="F771" s="56">
        <f>SUMIFS(ENTRADAS[CANTIDAD],ENTRADAS[CODIGO],PRODUCTOS[[#This Row],[CODIGO]])</f>
        <v/>
      </c>
      <c r="G771" s="56">
        <f>SUMIFS(SALIDAS[CANTIDAD],SALIDAS[CODIGO],PRODUCTOS[[#This Row],[CODIGO]])</f>
        <v/>
      </c>
      <c r="H771" s="56">
        <f>PRODUCTOS[[#This Row],[ENTRADAS]]-PRODUCTOS[[#This Row],[SALIDAS ]]</f>
        <v/>
      </c>
      <c r="I771" s="76" t="n">
        <v>0</v>
      </c>
      <c r="J771">
        <f>IF(PRODUCTOS[[#This Row],[STOCK]]&lt;0,"NEGATIVO",IF(PRODUCTOS[[#This Row],[STOCK]]=0,"SIN STOCK",IF(PRODUCTOS[[#This Row],[STOCK]]&lt;=PRODUCTOS[[#This Row],[STOCK MÍN.]],"BAJO","OK")))</f>
        <v/>
      </c>
      <c r="K7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72" hidden="1" s="11">
      <c r="A772" s="18" t="n">
        <v>757</v>
      </c>
      <c r="B772" s="56" t="inlineStr">
        <is>
          <t>00150-FER</t>
        </is>
      </c>
      <c r="C772" s="56">
        <f>IFERROR(_xlfn.XLOOKUP(PRODUCTOS[[#This Row],[CODIGO]],LISTADO[CODIGOS],LISTADO[CATEGORIA]),"NO EXISTE")</f>
        <v/>
      </c>
      <c r="D772" s="56">
        <f>IFERROR(_xlfn.XLOOKUP(PRODUCTOS[[#This Row],[CODIGO]],LISTADO[CODIGOS],LISTADO[PRODUCTOS]),"NO EXISTE")</f>
        <v/>
      </c>
      <c r="E772" s="56">
        <f>IFERROR(_xlfn.XLOOKUP(PRODUCTOS[[#This Row],[CODIGO]],LISTADO[CODIGOS],LISTADO[UBICACIÓN]),"NO EXISTE")</f>
        <v/>
      </c>
      <c r="F772" s="56">
        <f>SUMIFS(ENTRADAS[CANTIDAD],ENTRADAS[CODIGO],PRODUCTOS[[#This Row],[CODIGO]])</f>
        <v/>
      </c>
      <c r="G772" s="56">
        <f>SUMIFS(SALIDAS[CANTIDAD],SALIDAS[CODIGO],PRODUCTOS[[#This Row],[CODIGO]])</f>
        <v/>
      </c>
      <c r="H772" s="56">
        <f>PRODUCTOS[[#This Row],[ENTRADAS]]-PRODUCTOS[[#This Row],[SALIDAS ]]</f>
        <v/>
      </c>
      <c r="I772" s="76" t="n">
        <v>0</v>
      </c>
      <c r="J772">
        <f>IF(PRODUCTOS[[#This Row],[STOCK]]&lt;0,"NEGATIVO",IF(PRODUCTOS[[#This Row],[STOCK]]=0,"SIN STOCK",IF(PRODUCTOS[[#This Row],[STOCK]]&lt;=PRODUCTOS[[#This Row],[STOCK MÍN.]],"BAJO","OK")))</f>
        <v/>
      </c>
      <c r="K7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73" hidden="1" s="11">
      <c r="A773" s="18" t="n">
        <v>758</v>
      </c>
      <c r="B773" s="56" t="inlineStr">
        <is>
          <t>00053-HRR</t>
        </is>
      </c>
      <c r="C773" s="56">
        <f>IFERROR(_xlfn.XLOOKUP(PRODUCTOS[[#This Row],[CODIGO]],LISTADO[CODIGOS],LISTADO[CATEGORIA]),"NO EXISTE")</f>
        <v/>
      </c>
      <c r="D773" s="56">
        <f>IFERROR(_xlfn.XLOOKUP(PRODUCTOS[[#This Row],[CODIGO]],LISTADO[CODIGOS],LISTADO[PRODUCTOS]),"NO EXISTE")</f>
        <v/>
      </c>
      <c r="E773" s="56">
        <f>IFERROR(_xlfn.XLOOKUP(PRODUCTOS[[#This Row],[CODIGO]],LISTADO[CODIGOS],LISTADO[UBICACIÓN]),"NO EXISTE")</f>
        <v/>
      </c>
      <c r="F773" s="56">
        <f>SUMIFS(ENTRADAS[CANTIDAD],ENTRADAS[CODIGO],PRODUCTOS[[#This Row],[CODIGO]])</f>
        <v/>
      </c>
      <c r="G773" s="56">
        <f>SUMIFS(SALIDAS[CANTIDAD],SALIDAS[CODIGO],PRODUCTOS[[#This Row],[CODIGO]])</f>
        <v/>
      </c>
      <c r="H773" s="56">
        <f>PRODUCTOS[[#This Row],[ENTRADAS]]-PRODUCTOS[[#This Row],[SALIDAS ]]</f>
        <v/>
      </c>
      <c r="I773" s="76" t="n">
        <v>0</v>
      </c>
      <c r="J773">
        <f>IF(PRODUCTOS[[#This Row],[STOCK]]&lt;0,"NEGATIVO",IF(PRODUCTOS[[#This Row],[STOCK]]=0,"SIN STOCK",IF(PRODUCTOS[[#This Row],[STOCK]]&lt;=PRODUCTOS[[#This Row],[STOCK MÍN.]],"BAJO","OK")))</f>
        <v/>
      </c>
      <c r="K7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74" hidden="1" s="11">
      <c r="A774" s="18" t="n">
        <v>759</v>
      </c>
      <c r="B774" s="56" t="inlineStr">
        <is>
          <t>00151-FER</t>
        </is>
      </c>
      <c r="C774" s="56">
        <f>IFERROR(_xlfn.XLOOKUP(PRODUCTOS[[#This Row],[CODIGO]],LISTADO[CODIGOS],LISTADO[CATEGORIA]),"NO EXISTE")</f>
        <v/>
      </c>
      <c r="D774" s="56">
        <f>IFERROR(_xlfn.XLOOKUP(PRODUCTOS[[#This Row],[CODIGO]],LISTADO[CODIGOS],LISTADO[PRODUCTOS]),"NO EXISTE")</f>
        <v/>
      </c>
      <c r="E774" s="56">
        <f>IFERROR(_xlfn.XLOOKUP(PRODUCTOS[[#This Row],[CODIGO]],LISTADO[CODIGOS],LISTADO[UBICACIÓN]),"NO EXISTE")</f>
        <v/>
      </c>
      <c r="F774" s="56">
        <f>SUMIFS(ENTRADAS[CANTIDAD],ENTRADAS[CODIGO],PRODUCTOS[[#This Row],[CODIGO]])</f>
        <v/>
      </c>
      <c r="G774" s="56">
        <f>SUMIFS(SALIDAS[CANTIDAD],SALIDAS[CODIGO],PRODUCTOS[[#This Row],[CODIGO]])</f>
        <v/>
      </c>
      <c r="H774" s="56">
        <f>PRODUCTOS[[#This Row],[ENTRADAS]]-PRODUCTOS[[#This Row],[SALIDAS ]]</f>
        <v/>
      </c>
      <c r="I774" s="76" t="n">
        <v>0</v>
      </c>
      <c r="J774">
        <f>IF(PRODUCTOS[[#This Row],[STOCK]]&lt;0,"NEGATIVO",IF(PRODUCTOS[[#This Row],[STOCK]]=0,"SIN STOCK",IF(PRODUCTOS[[#This Row],[STOCK]]&lt;=PRODUCTOS[[#This Row],[STOCK MÍN.]],"BAJO","OK")))</f>
        <v/>
      </c>
      <c r="K7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75" hidden="1" s="11">
      <c r="A775" s="18" t="n">
        <v>760</v>
      </c>
      <c r="B775" s="56" t="inlineStr">
        <is>
          <t>00152-FER</t>
        </is>
      </c>
      <c r="C775" s="56">
        <f>IFERROR(_xlfn.XLOOKUP(PRODUCTOS[[#This Row],[CODIGO]],LISTADO[CODIGOS],LISTADO[CATEGORIA]),"NO EXISTE")</f>
        <v/>
      </c>
      <c r="D775" s="56">
        <f>IFERROR(_xlfn.XLOOKUP(PRODUCTOS[[#This Row],[CODIGO]],LISTADO[CODIGOS],LISTADO[PRODUCTOS]),"NO EXISTE")</f>
        <v/>
      </c>
      <c r="E775" s="56">
        <f>IFERROR(_xlfn.XLOOKUP(PRODUCTOS[[#This Row],[CODIGO]],LISTADO[CODIGOS],LISTADO[UBICACIÓN]),"NO EXISTE")</f>
        <v/>
      </c>
      <c r="F775" s="56">
        <f>SUMIFS(ENTRADAS[CANTIDAD],ENTRADAS[CODIGO],PRODUCTOS[[#This Row],[CODIGO]])</f>
        <v/>
      </c>
      <c r="G775" s="56">
        <f>SUMIFS(SALIDAS[CANTIDAD],SALIDAS[CODIGO],PRODUCTOS[[#This Row],[CODIGO]])</f>
        <v/>
      </c>
      <c r="H775" s="56">
        <f>PRODUCTOS[[#This Row],[ENTRADAS]]-PRODUCTOS[[#This Row],[SALIDAS ]]</f>
        <v/>
      </c>
      <c r="I775" s="76" t="n">
        <v>0</v>
      </c>
      <c r="J775">
        <f>IF(PRODUCTOS[[#This Row],[STOCK]]&lt;0,"NEGATIVO",IF(PRODUCTOS[[#This Row],[STOCK]]=0,"SIN STOCK",IF(PRODUCTOS[[#This Row],[STOCK]]&lt;=PRODUCTOS[[#This Row],[STOCK MÍN.]],"BAJO","OK")))</f>
        <v/>
      </c>
      <c r="K7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76" hidden="1" s="11">
      <c r="A776" s="18" t="n">
        <v>761</v>
      </c>
      <c r="B776" s="56" t="inlineStr">
        <is>
          <t>00054-HRR</t>
        </is>
      </c>
      <c r="C776" s="56">
        <f>IFERROR(_xlfn.XLOOKUP(PRODUCTOS[[#This Row],[CODIGO]],LISTADO[CODIGOS],LISTADO[CATEGORIA]),"NO EXISTE")</f>
        <v/>
      </c>
      <c r="D776" s="56">
        <f>IFERROR(_xlfn.XLOOKUP(PRODUCTOS[[#This Row],[CODIGO]],LISTADO[CODIGOS],LISTADO[PRODUCTOS]),"NO EXISTE")</f>
        <v/>
      </c>
      <c r="E776" s="56">
        <f>IFERROR(_xlfn.XLOOKUP(PRODUCTOS[[#This Row],[CODIGO]],LISTADO[CODIGOS],LISTADO[UBICACIÓN]),"NO EXISTE")</f>
        <v/>
      </c>
      <c r="F776" s="56">
        <f>SUMIFS(ENTRADAS[CANTIDAD],ENTRADAS[CODIGO],PRODUCTOS[[#This Row],[CODIGO]])</f>
        <v/>
      </c>
      <c r="G776" s="56">
        <f>SUMIFS(SALIDAS[CANTIDAD],SALIDAS[CODIGO],PRODUCTOS[[#This Row],[CODIGO]])</f>
        <v/>
      </c>
      <c r="H776" s="56">
        <f>PRODUCTOS[[#This Row],[ENTRADAS]]-PRODUCTOS[[#This Row],[SALIDAS ]]</f>
        <v/>
      </c>
      <c r="I776" s="76" t="n">
        <v>0</v>
      </c>
      <c r="J776">
        <f>IF(PRODUCTOS[[#This Row],[STOCK]]&lt;0,"NEGATIVO",IF(PRODUCTOS[[#This Row],[STOCK]]=0,"SIN STOCK",IF(PRODUCTOS[[#This Row],[STOCK]]&lt;=PRODUCTOS[[#This Row],[STOCK MÍN.]],"BAJO","OK")))</f>
        <v/>
      </c>
      <c r="K7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77" hidden="1" s="11">
      <c r="A777" s="18" t="n">
        <v>762</v>
      </c>
      <c r="B777" s="56" t="inlineStr">
        <is>
          <t>00055-HRR</t>
        </is>
      </c>
      <c r="C777" s="56">
        <f>IFERROR(_xlfn.XLOOKUP(PRODUCTOS[[#This Row],[CODIGO]],LISTADO[CODIGOS],LISTADO[CATEGORIA]),"NO EXISTE")</f>
        <v/>
      </c>
      <c r="D777" s="56">
        <f>IFERROR(_xlfn.XLOOKUP(PRODUCTOS[[#This Row],[CODIGO]],LISTADO[CODIGOS],LISTADO[PRODUCTOS]),"NO EXISTE")</f>
        <v/>
      </c>
      <c r="E777" s="56">
        <f>IFERROR(_xlfn.XLOOKUP(PRODUCTOS[[#This Row],[CODIGO]],LISTADO[CODIGOS],LISTADO[UBICACIÓN]),"NO EXISTE")</f>
        <v/>
      </c>
      <c r="F777" s="56">
        <f>SUMIFS(ENTRADAS[CANTIDAD],ENTRADAS[CODIGO],PRODUCTOS[[#This Row],[CODIGO]])</f>
        <v/>
      </c>
      <c r="G777" s="56">
        <f>SUMIFS(SALIDAS[CANTIDAD],SALIDAS[CODIGO],PRODUCTOS[[#This Row],[CODIGO]])</f>
        <v/>
      </c>
      <c r="H777" s="56">
        <f>PRODUCTOS[[#This Row],[ENTRADAS]]-PRODUCTOS[[#This Row],[SALIDAS ]]</f>
        <v/>
      </c>
      <c r="I777" s="76" t="n">
        <v>0</v>
      </c>
      <c r="J777">
        <f>IF(PRODUCTOS[[#This Row],[STOCK]]&lt;0,"NEGATIVO",IF(PRODUCTOS[[#This Row],[STOCK]]=0,"SIN STOCK",IF(PRODUCTOS[[#This Row],[STOCK]]&lt;=PRODUCTOS[[#This Row],[STOCK MÍN.]],"BAJO","OK")))</f>
        <v/>
      </c>
      <c r="K7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78" hidden="1" s="11">
      <c r="A778" s="18" t="n">
        <v>763</v>
      </c>
      <c r="B778" s="56" t="inlineStr">
        <is>
          <t>00056-HRR</t>
        </is>
      </c>
      <c r="C778" s="56">
        <f>IFERROR(_xlfn.XLOOKUP(PRODUCTOS[[#This Row],[CODIGO]],LISTADO[CODIGOS],LISTADO[CATEGORIA]),"NO EXISTE")</f>
        <v/>
      </c>
      <c r="D778" s="56">
        <f>IFERROR(_xlfn.XLOOKUP(PRODUCTOS[[#This Row],[CODIGO]],LISTADO[CODIGOS],LISTADO[PRODUCTOS]),"NO EXISTE")</f>
        <v/>
      </c>
      <c r="E778" s="56">
        <f>IFERROR(_xlfn.XLOOKUP(PRODUCTOS[[#This Row],[CODIGO]],LISTADO[CODIGOS],LISTADO[UBICACIÓN]),"NO EXISTE")</f>
        <v/>
      </c>
      <c r="F778" s="56">
        <f>SUMIFS(ENTRADAS[CANTIDAD],ENTRADAS[CODIGO],PRODUCTOS[[#This Row],[CODIGO]])</f>
        <v/>
      </c>
      <c r="G778" s="56">
        <f>SUMIFS(SALIDAS[CANTIDAD],SALIDAS[CODIGO],PRODUCTOS[[#This Row],[CODIGO]])</f>
        <v/>
      </c>
      <c r="H778" s="56">
        <f>PRODUCTOS[[#This Row],[ENTRADAS]]-PRODUCTOS[[#This Row],[SALIDAS ]]</f>
        <v/>
      </c>
      <c r="I778" s="76" t="n">
        <v>0</v>
      </c>
      <c r="J778">
        <f>IF(PRODUCTOS[[#This Row],[STOCK]]&lt;0,"NEGATIVO",IF(PRODUCTOS[[#This Row],[STOCK]]=0,"SIN STOCK",IF(PRODUCTOS[[#This Row],[STOCK]]&lt;=PRODUCTOS[[#This Row],[STOCK MÍN.]],"BAJO","OK")))</f>
        <v/>
      </c>
      <c r="K7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79" hidden="1" s="11">
      <c r="A779" s="18" t="n">
        <v>764</v>
      </c>
      <c r="B779" s="56" t="inlineStr">
        <is>
          <t>00153-FER</t>
        </is>
      </c>
      <c r="C779" s="56">
        <f>IFERROR(_xlfn.XLOOKUP(PRODUCTOS[[#This Row],[CODIGO]],LISTADO[CODIGOS],LISTADO[CATEGORIA]),"NO EXISTE")</f>
        <v/>
      </c>
      <c r="D779" s="56">
        <f>IFERROR(_xlfn.XLOOKUP(PRODUCTOS[[#This Row],[CODIGO]],LISTADO[CODIGOS],LISTADO[PRODUCTOS]),"NO EXISTE")</f>
        <v/>
      </c>
      <c r="E779" s="56">
        <f>IFERROR(_xlfn.XLOOKUP(PRODUCTOS[[#This Row],[CODIGO]],LISTADO[CODIGOS],LISTADO[UBICACIÓN]),"NO EXISTE")</f>
        <v/>
      </c>
      <c r="F779" s="56">
        <f>SUMIFS(ENTRADAS[CANTIDAD],ENTRADAS[CODIGO],PRODUCTOS[[#This Row],[CODIGO]])</f>
        <v/>
      </c>
      <c r="G779" s="56">
        <f>SUMIFS(SALIDAS[CANTIDAD],SALIDAS[CODIGO],PRODUCTOS[[#This Row],[CODIGO]])</f>
        <v/>
      </c>
      <c r="H779" s="56">
        <f>PRODUCTOS[[#This Row],[ENTRADAS]]-PRODUCTOS[[#This Row],[SALIDAS ]]</f>
        <v/>
      </c>
      <c r="I779" s="76" t="n">
        <v>0</v>
      </c>
      <c r="J779">
        <f>IF(PRODUCTOS[[#This Row],[STOCK]]&lt;0,"NEGATIVO",IF(PRODUCTOS[[#This Row],[STOCK]]=0,"SIN STOCK",IF(PRODUCTOS[[#This Row],[STOCK]]&lt;=PRODUCTOS[[#This Row],[STOCK MÍN.]],"BAJO","OK")))</f>
        <v/>
      </c>
      <c r="K7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80" hidden="1" s="11">
      <c r="A780" s="18" t="n">
        <v>765</v>
      </c>
      <c r="B780" s="56" t="inlineStr">
        <is>
          <t>00045-ILU</t>
        </is>
      </c>
      <c r="C780" s="56">
        <f>IFERROR(_xlfn.XLOOKUP(PRODUCTOS[[#This Row],[CODIGO]],LISTADO[CODIGOS],LISTADO[CATEGORIA]),"NO EXISTE")</f>
        <v/>
      </c>
      <c r="D780" s="56">
        <f>IFERROR(_xlfn.XLOOKUP(PRODUCTOS[[#This Row],[CODIGO]],LISTADO[CODIGOS],LISTADO[PRODUCTOS]),"NO EXISTE")</f>
        <v/>
      </c>
      <c r="E780" s="56">
        <f>IFERROR(_xlfn.XLOOKUP(PRODUCTOS[[#This Row],[CODIGO]],LISTADO[CODIGOS],LISTADO[UBICACIÓN]),"NO EXISTE")</f>
        <v/>
      </c>
      <c r="F780" s="56">
        <f>SUMIFS(ENTRADAS[CANTIDAD],ENTRADAS[CODIGO],PRODUCTOS[[#This Row],[CODIGO]])</f>
        <v/>
      </c>
      <c r="G780" s="56">
        <f>SUMIFS(SALIDAS[CANTIDAD],SALIDAS[CODIGO],PRODUCTOS[[#This Row],[CODIGO]])</f>
        <v/>
      </c>
      <c r="H780" s="56">
        <f>PRODUCTOS[[#This Row],[ENTRADAS]]-PRODUCTOS[[#This Row],[SALIDAS ]]</f>
        <v/>
      </c>
      <c r="I780" s="76" t="n">
        <v>0</v>
      </c>
      <c r="J780">
        <f>IF(PRODUCTOS[[#This Row],[STOCK]]&lt;0,"NEGATIVO",IF(PRODUCTOS[[#This Row],[STOCK]]=0,"SIN STOCK",IF(PRODUCTOS[[#This Row],[STOCK]]&lt;=PRODUCTOS[[#This Row],[STOCK MÍN.]],"BAJO","OK")))</f>
        <v/>
      </c>
      <c r="K7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81" hidden="1" s="11">
      <c r="A781" s="18" t="n">
        <v>766</v>
      </c>
      <c r="B781" s="56" t="inlineStr">
        <is>
          <t>00046-ILU</t>
        </is>
      </c>
      <c r="C781" s="56">
        <f>IFERROR(_xlfn.XLOOKUP(PRODUCTOS[[#This Row],[CODIGO]],LISTADO[CODIGOS],LISTADO[CATEGORIA]),"NO EXISTE")</f>
        <v/>
      </c>
      <c r="D781" s="56">
        <f>IFERROR(_xlfn.XLOOKUP(PRODUCTOS[[#This Row],[CODIGO]],LISTADO[CODIGOS],LISTADO[PRODUCTOS]),"NO EXISTE")</f>
        <v/>
      </c>
      <c r="E781" s="56">
        <f>IFERROR(_xlfn.XLOOKUP(PRODUCTOS[[#This Row],[CODIGO]],LISTADO[CODIGOS],LISTADO[UBICACIÓN]),"NO EXISTE")</f>
        <v/>
      </c>
      <c r="F781" s="56">
        <f>SUMIFS(ENTRADAS[CANTIDAD],ENTRADAS[CODIGO],PRODUCTOS[[#This Row],[CODIGO]])</f>
        <v/>
      </c>
      <c r="G781" s="56">
        <f>SUMIFS(SALIDAS[CANTIDAD],SALIDAS[CODIGO],PRODUCTOS[[#This Row],[CODIGO]])</f>
        <v/>
      </c>
      <c r="H781" s="56">
        <f>PRODUCTOS[[#This Row],[ENTRADAS]]-PRODUCTOS[[#This Row],[SALIDAS ]]</f>
        <v/>
      </c>
      <c r="I781" s="76" t="n">
        <v>0</v>
      </c>
      <c r="J781">
        <f>IF(PRODUCTOS[[#This Row],[STOCK]]&lt;0,"NEGATIVO",IF(PRODUCTOS[[#This Row],[STOCK]]=0,"SIN STOCK",IF(PRODUCTOS[[#This Row],[STOCK]]&lt;=PRODUCTOS[[#This Row],[STOCK MÍN.]],"BAJO","OK")))</f>
        <v/>
      </c>
      <c r="K7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82" hidden="1" s="11">
      <c r="A782" s="18" t="n">
        <v>767</v>
      </c>
      <c r="B782" s="56" t="inlineStr">
        <is>
          <t>00048-PLM</t>
        </is>
      </c>
      <c r="C782" s="56">
        <f>IFERROR(_xlfn.XLOOKUP(PRODUCTOS[[#This Row],[CODIGO]],LISTADO[CODIGOS],LISTADO[CATEGORIA]),"NO EXISTE")</f>
        <v/>
      </c>
      <c r="D782" s="56">
        <f>IFERROR(_xlfn.XLOOKUP(PRODUCTOS[[#This Row],[CODIGO]],LISTADO[CODIGOS],LISTADO[PRODUCTOS]),"NO EXISTE")</f>
        <v/>
      </c>
      <c r="E782" s="56">
        <f>IFERROR(_xlfn.XLOOKUP(PRODUCTOS[[#This Row],[CODIGO]],LISTADO[CODIGOS],LISTADO[UBICACIÓN]),"NO EXISTE")</f>
        <v/>
      </c>
      <c r="F782" s="56">
        <f>SUMIFS(ENTRADAS[CANTIDAD],ENTRADAS[CODIGO],PRODUCTOS[[#This Row],[CODIGO]])</f>
        <v/>
      </c>
      <c r="G782" s="56">
        <f>SUMIFS(SALIDAS[CANTIDAD],SALIDAS[CODIGO],PRODUCTOS[[#This Row],[CODIGO]])</f>
        <v/>
      </c>
      <c r="H782" s="56">
        <f>PRODUCTOS[[#This Row],[ENTRADAS]]-PRODUCTOS[[#This Row],[SALIDAS ]]</f>
        <v/>
      </c>
      <c r="I782" s="76" t="n">
        <v>0</v>
      </c>
      <c r="J782">
        <f>IF(PRODUCTOS[[#This Row],[STOCK]]&lt;0,"NEGATIVO",IF(PRODUCTOS[[#This Row],[STOCK]]=0,"SIN STOCK",IF(PRODUCTOS[[#This Row],[STOCK]]&lt;=PRODUCTOS[[#This Row],[STOCK MÍN.]],"BAJO","OK")))</f>
        <v/>
      </c>
      <c r="K7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83" hidden="1" s="11">
      <c r="A783" s="18" t="n">
        <v>768</v>
      </c>
      <c r="B783" s="56" t="inlineStr">
        <is>
          <t>00049-PLM</t>
        </is>
      </c>
      <c r="C783" s="56">
        <f>IFERROR(_xlfn.XLOOKUP(PRODUCTOS[[#This Row],[CODIGO]],LISTADO[CODIGOS],LISTADO[CATEGORIA]),"NO EXISTE")</f>
        <v/>
      </c>
      <c r="D783" s="56">
        <f>IFERROR(_xlfn.XLOOKUP(PRODUCTOS[[#This Row],[CODIGO]],LISTADO[CODIGOS],LISTADO[PRODUCTOS]),"NO EXISTE")</f>
        <v/>
      </c>
      <c r="E783" s="56">
        <f>IFERROR(_xlfn.XLOOKUP(PRODUCTOS[[#This Row],[CODIGO]],LISTADO[CODIGOS],LISTADO[UBICACIÓN]),"NO EXISTE")</f>
        <v/>
      </c>
      <c r="F783" s="56">
        <f>SUMIFS(ENTRADAS[CANTIDAD],ENTRADAS[CODIGO],PRODUCTOS[[#This Row],[CODIGO]])</f>
        <v/>
      </c>
      <c r="G783" s="56">
        <f>SUMIFS(SALIDAS[CANTIDAD],SALIDAS[CODIGO],PRODUCTOS[[#This Row],[CODIGO]])</f>
        <v/>
      </c>
      <c r="H783" s="56">
        <f>PRODUCTOS[[#This Row],[ENTRADAS]]-PRODUCTOS[[#This Row],[SALIDAS ]]</f>
        <v/>
      </c>
      <c r="I783" s="76" t="n">
        <v>0</v>
      </c>
      <c r="J783">
        <f>IF(PRODUCTOS[[#This Row],[STOCK]]&lt;0,"NEGATIVO",IF(PRODUCTOS[[#This Row],[STOCK]]=0,"SIN STOCK",IF(PRODUCTOS[[#This Row],[STOCK]]&lt;=PRODUCTOS[[#This Row],[STOCK MÍN.]],"BAJO","OK")))</f>
        <v/>
      </c>
      <c r="K7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84" hidden="1" s="11">
      <c r="A784" s="18" t="n">
        <v>769</v>
      </c>
      <c r="B784" s="56" t="inlineStr">
        <is>
          <t>00050-PLM</t>
        </is>
      </c>
      <c r="C784" s="56">
        <f>IFERROR(_xlfn.XLOOKUP(PRODUCTOS[[#This Row],[CODIGO]],LISTADO[CODIGOS],LISTADO[CATEGORIA]),"NO EXISTE")</f>
        <v/>
      </c>
      <c r="D784" s="56">
        <f>IFERROR(_xlfn.XLOOKUP(PRODUCTOS[[#This Row],[CODIGO]],LISTADO[CODIGOS],LISTADO[PRODUCTOS]),"NO EXISTE")</f>
        <v/>
      </c>
      <c r="E784" s="56">
        <f>IFERROR(_xlfn.XLOOKUP(PRODUCTOS[[#This Row],[CODIGO]],LISTADO[CODIGOS],LISTADO[UBICACIÓN]),"NO EXISTE")</f>
        <v/>
      </c>
      <c r="F784" s="56">
        <f>SUMIFS(ENTRADAS[CANTIDAD],ENTRADAS[CODIGO],PRODUCTOS[[#This Row],[CODIGO]])</f>
        <v/>
      </c>
      <c r="G784" s="56">
        <f>SUMIFS(SALIDAS[CANTIDAD],SALIDAS[CODIGO],PRODUCTOS[[#This Row],[CODIGO]])</f>
        <v/>
      </c>
      <c r="H784" s="56">
        <f>PRODUCTOS[[#This Row],[ENTRADAS]]-PRODUCTOS[[#This Row],[SALIDAS ]]</f>
        <v/>
      </c>
      <c r="I784" s="76" t="n">
        <v>0</v>
      </c>
      <c r="J784">
        <f>IF(PRODUCTOS[[#This Row],[STOCK]]&lt;0,"NEGATIVO",IF(PRODUCTOS[[#This Row],[STOCK]]=0,"SIN STOCK",IF(PRODUCTOS[[#This Row],[STOCK]]&lt;=PRODUCTOS[[#This Row],[STOCK MÍN.]],"BAJO","OK")))</f>
        <v/>
      </c>
      <c r="K7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85" hidden="1" s="11">
      <c r="A785" s="18" t="n">
        <v>770</v>
      </c>
      <c r="B785" s="56" t="inlineStr">
        <is>
          <t>00057-HRR</t>
        </is>
      </c>
      <c r="C785" s="56">
        <f>IFERROR(_xlfn.XLOOKUP(PRODUCTOS[[#This Row],[CODIGO]],LISTADO[CODIGOS],LISTADO[CATEGORIA]),"NO EXISTE")</f>
        <v/>
      </c>
      <c r="D785" s="56">
        <f>IFERROR(_xlfn.XLOOKUP(PRODUCTOS[[#This Row],[CODIGO]],LISTADO[CODIGOS],LISTADO[PRODUCTOS]),"NO EXISTE")</f>
        <v/>
      </c>
      <c r="E785" s="56">
        <f>IFERROR(_xlfn.XLOOKUP(PRODUCTOS[[#This Row],[CODIGO]],LISTADO[CODIGOS],LISTADO[UBICACIÓN]),"NO EXISTE")</f>
        <v/>
      </c>
      <c r="F785" s="56">
        <f>SUMIFS(ENTRADAS[CANTIDAD],ENTRADAS[CODIGO],PRODUCTOS[[#This Row],[CODIGO]])</f>
        <v/>
      </c>
      <c r="G785" s="56">
        <f>SUMIFS(SALIDAS[CANTIDAD],SALIDAS[CODIGO],PRODUCTOS[[#This Row],[CODIGO]])</f>
        <v/>
      </c>
      <c r="H785" s="56">
        <f>PRODUCTOS[[#This Row],[ENTRADAS]]-PRODUCTOS[[#This Row],[SALIDAS ]]</f>
        <v/>
      </c>
      <c r="I785" s="76" t="n">
        <v>0</v>
      </c>
      <c r="J785">
        <f>IF(PRODUCTOS[[#This Row],[STOCK]]&lt;0,"NEGATIVO",IF(PRODUCTOS[[#This Row],[STOCK]]=0,"SIN STOCK",IF(PRODUCTOS[[#This Row],[STOCK]]&lt;=PRODUCTOS[[#This Row],[STOCK MÍN.]],"BAJO","OK")))</f>
        <v/>
      </c>
      <c r="K7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86" hidden="1" s="11">
      <c r="A786" s="18" t="n">
        <v>771</v>
      </c>
      <c r="B786" s="56" t="inlineStr">
        <is>
          <t>00154-FER</t>
        </is>
      </c>
      <c r="C786" s="56">
        <f>IFERROR(_xlfn.XLOOKUP(PRODUCTOS[[#This Row],[CODIGO]],LISTADO[CODIGOS],LISTADO[CATEGORIA]),"NO EXISTE")</f>
        <v/>
      </c>
      <c r="D786" s="56">
        <f>IFERROR(_xlfn.XLOOKUP(PRODUCTOS[[#This Row],[CODIGO]],LISTADO[CODIGOS],LISTADO[PRODUCTOS]),"NO EXISTE")</f>
        <v/>
      </c>
      <c r="E786" s="56">
        <f>IFERROR(_xlfn.XLOOKUP(PRODUCTOS[[#This Row],[CODIGO]],LISTADO[CODIGOS],LISTADO[UBICACIÓN]),"NO EXISTE")</f>
        <v/>
      </c>
      <c r="F786" s="56">
        <f>SUMIFS(ENTRADAS[CANTIDAD],ENTRADAS[CODIGO],PRODUCTOS[[#This Row],[CODIGO]])</f>
        <v/>
      </c>
      <c r="G786" s="56">
        <f>SUMIFS(SALIDAS[CANTIDAD],SALIDAS[CODIGO],PRODUCTOS[[#This Row],[CODIGO]])</f>
        <v/>
      </c>
      <c r="H786" s="56">
        <f>PRODUCTOS[[#This Row],[ENTRADAS]]-PRODUCTOS[[#This Row],[SALIDAS ]]</f>
        <v/>
      </c>
      <c r="I786" s="76" t="n">
        <v>0</v>
      </c>
      <c r="J786">
        <f>IF(PRODUCTOS[[#This Row],[STOCK]]&lt;0,"NEGATIVO",IF(PRODUCTOS[[#This Row],[STOCK]]=0,"SIN STOCK",IF(PRODUCTOS[[#This Row],[STOCK]]&lt;=PRODUCTOS[[#This Row],[STOCK MÍN.]],"BAJO","OK")))</f>
        <v/>
      </c>
      <c r="K7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87" hidden="1" s="11">
      <c r="A787" s="18" t="n">
        <v>772</v>
      </c>
      <c r="B787" s="56" t="inlineStr">
        <is>
          <t>00155-FER</t>
        </is>
      </c>
      <c r="C787" s="56">
        <f>IFERROR(_xlfn.XLOOKUP(PRODUCTOS[[#This Row],[CODIGO]],LISTADO[CODIGOS],LISTADO[CATEGORIA]),"NO EXISTE")</f>
        <v/>
      </c>
      <c r="D787" s="56">
        <f>IFERROR(_xlfn.XLOOKUP(PRODUCTOS[[#This Row],[CODIGO]],LISTADO[CODIGOS],LISTADO[PRODUCTOS]),"NO EXISTE")</f>
        <v/>
      </c>
      <c r="E787" s="56">
        <f>IFERROR(_xlfn.XLOOKUP(PRODUCTOS[[#This Row],[CODIGO]],LISTADO[CODIGOS],LISTADO[UBICACIÓN]),"NO EXISTE")</f>
        <v/>
      </c>
      <c r="F787" s="56">
        <f>SUMIFS(ENTRADAS[CANTIDAD],ENTRADAS[CODIGO],PRODUCTOS[[#This Row],[CODIGO]])</f>
        <v/>
      </c>
      <c r="G787" s="56">
        <f>SUMIFS(SALIDAS[CANTIDAD],SALIDAS[CODIGO],PRODUCTOS[[#This Row],[CODIGO]])</f>
        <v/>
      </c>
      <c r="H787" s="56">
        <f>PRODUCTOS[[#This Row],[ENTRADAS]]-PRODUCTOS[[#This Row],[SALIDAS ]]</f>
        <v/>
      </c>
      <c r="I787" s="76" t="n">
        <v>0</v>
      </c>
      <c r="J787">
        <f>IF(PRODUCTOS[[#This Row],[STOCK]]&lt;0,"NEGATIVO",IF(PRODUCTOS[[#This Row],[STOCK]]=0,"SIN STOCK",IF(PRODUCTOS[[#This Row],[STOCK]]&lt;=PRODUCTOS[[#This Row],[STOCK MÍN.]],"BAJO","OK")))</f>
        <v/>
      </c>
      <c r="K7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88" hidden="1" s="11">
      <c r="A788" s="18" t="n">
        <v>773</v>
      </c>
      <c r="B788" s="56" t="inlineStr">
        <is>
          <t>00156-FER</t>
        </is>
      </c>
      <c r="C788" s="56">
        <f>IFERROR(_xlfn.XLOOKUP(PRODUCTOS[[#This Row],[CODIGO]],LISTADO[CODIGOS],LISTADO[CATEGORIA]),"NO EXISTE")</f>
        <v/>
      </c>
      <c r="D788" s="56">
        <f>IFERROR(_xlfn.XLOOKUP(PRODUCTOS[[#This Row],[CODIGO]],LISTADO[CODIGOS],LISTADO[PRODUCTOS]),"NO EXISTE")</f>
        <v/>
      </c>
      <c r="E788" s="56">
        <f>IFERROR(_xlfn.XLOOKUP(PRODUCTOS[[#This Row],[CODIGO]],LISTADO[CODIGOS],LISTADO[UBICACIÓN]),"NO EXISTE")</f>
        <v/>
      </c>
      <c r="F788" s="56">
        <f>SUMIFS(ENTRADAS[CANTIDAD],ENTRADAS[CODIGO],PRODUCTOS[[#This Row],[CODIGO]])</f>
        <v/>
      </c>
      <c r="G788" s="56">
        <f>SUMIFS(SALIDAS[CANTIDAD],SALIDAS[CODIGO],PRODUCTOS[[#This Row],[CODIGO]])</f>
        <v/>
      </c>
      <c r="H788" s="56">
        <f>PRODUCTOS[[#This Row],[ENTRADAS]]-PRODUCTOS[[#This Row],[SALIDAS ]]</f>
        <v/>
      </c>
      <c r="I788" s="76" t="n">
        <v>0</v>
      </c>
      <c r="J788">
        <f>IF(PRODUCTOS[[#This Row],[STOCK]]&lt;0,"NEGATIVO",IF(PRODUCTOS[[#This Row],[STOCK]]=0,"SIN STOCK",IF(PRODUCTOS[[#This Row],[STOCK]]&lt;=PRODUCTOS[[#This Row],[STOCK MÍN.]],"BAJO","OK")))</f>
        <v/>
      </c>
      <c r="K7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89" hidden="1" s="11">
      <c r="A789" s="18" t="n">
        <v>774</v>
      </c>
      <c r="B789" s="56" t="inlineStr">
        <is>
          <t>00157-FER</t>
        </is>
      </c>
      <c r="C789" s="56">
        <f>IFERROR(_xlfn.XLOOKUP(PRODUCTOS[[#This Row],[CODIGO]],LISTADO[CODIGOS],LISTADO[CATEGORIA]),"NO EXISTE")</f>
        <v/>
      </c>
      <c r="D789" s="56">
        <f>IFERROR(_xlfn.XLOOKUP(PRODUCTOS[[#This Row],[CODIGO]],LISTADO[CODIGOS],LISTADO[PRODUCTOS]),"NO EXISTE")</f>
        <v/>
      </c>
      <c r="E789" s="56">
        <f>IFERROR(_xlfn.XLOOKUP(PRODUCTOS[[#This Row],[CODIGO]],LISTADO[CODIGOS],LISTADO[UBICACIÓN]),"NO EXISTE")</f>
        <v/>
      </c>
      <c r="F789" s="56">
        <f>SUMIFS(ENTRADAS[CANTIDAD],ENTRADAS[CODIGO],PRODUCTOS[[#This Row],[CODIGO]])</f>
        <v/>
      </c>
      <c r="G789" s="56">
        <f>SUMIFS(SALIDAS[CANTIDAD],SALIDAS[CODIGO],PRODUCTOS[[#This Row],[CODIGO]])</f>
        <v/>
      </c>
      <c r="H789" s="56">
        <f>PRODUCTOS[[#This Row],[ENTRADAS]]-PRODUCTOS[[#This Row],[SALIDAS ]]</f>
        <v/>
      </c>
      <c r="I789" s="76" t="n">
        <v>0</v>
      </c>
      <c r="J789">
        <f>IF(PRODUCTOS[[#This Row],[STOCK]]&lt;0,"NEGATIVO",IF(PRODUCTOS[[#This Row],[STOCK]]=0,"SIN STOCK",IF(PRODUCTOS[[#This Row],[STOCK]]&lt;=PRODUCTOS[[#This Row],[STOCK MÍN.]],"BAJO","OK")))</f>
        <v/>
      </c>
      <c r="K7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90" hidden="1" s="11">
      <c r="A790" s="18" t="n">
        <v>775</v>
      </c>
      <c r="B790" s="56" t="inlineStr">
        <is>
          <t>00064-ELE</t>
        </is>
      </c>
      <c r="C790" s="56">
        <f>IFERROR(_xlfn.XLOOKUP(PRODUCTOS[[#This Row],[CODIGO]],LISTADO[CODIGOS],LISTADO[CATEGORIA]),"NO EXISTE")</f>
        <v/>
      </c>
      <c r="D790" s="56">
        <f>IFERROR(_xlfn.XLOOKUP(PRODUCTOS[[#This Row],[CODIGO]],LISTADO[CODIGOS],LISTADO[PRODUCTOS]),"NO EXISTE")</f>
        <v/>
      </c>
      <c r="E790" s="56">
        <f>IFERROR(_xlfn.XLOOKUP(PRODUCTOS[[#This Row],[CODIGO]],LISTADO[CODIGOS],LISTADO[UBICACIÓN]),"NO EXISTE")</f>
        <v/>
      </c>
      <c r="F790" s="56">
        <f>SUMIFS(ENTRADAS[CANTIDAD],ENTRADAS[CODIGO],PRODUCTOS[[#This Row],[CODIGO]])</f>
        <v/>
      </c>
      <c r="G790" s="56">
        <f>SUMIFS(SALIDAS[CANTIDAD],SALIDAS[CODIGO],PRODUCTOS[[#This Row],[CODIGO]])</f>
        <v/>
      </c>
      <c r="H790" s="56">
        <f>PRODUCTOS[[#This Row],[ENTRADAS]]-PRODUCTOS[[#This Row],[SALIDAS ]]</f>
        <v/>
      </c>
      <c r="I790" s="76" t="n">
        <v>0</v>
      </c>
      <c r="J790">
        <f>IF(PRODUCTOS[[#This Row],[STOCK]]&lt;0,"NEGATIVO",IF(PRODUCTOS[[#This Row],[STOCK]]=0,"SIN STOCK",IF(PRODUCTOS[[#This Row],[STOCK]]&lt;=PRODUCTOS[[#This Row],[STOCK MÍN.]],"BAJO","OK")))</f>
        <v/>
      </c>
      <c r="K7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91" hidden="1" s="11">
      <c r="A791" s="18" t="n">
        <v>776</v>
      </c>
      <c r="B791" s="56" t="inlineStr">
        <is>
          <t>00065-ELE</t>
        </is>
      </c>
      <c r="C791" s="56">
        <f>IFERROR(_xlfn.XLOOKUP(PRODUCTOS[[#This Row],[CODIGO]],LISTADO[CODIGOS],LISTADO[CATEGORIA]),"NO EXISTE")</f>
        <v/>
      </c>
      <c r="D791" s="56">
        <f>IFERROR(_xlfn.XLOOKUP(PRODUCTOS[[#This Row],[CODIGO]],LISTADO[CODIGOS],LISTADO[PRODUCTOS]),"NO EXISTE")</f>
        <v/>
      </c>
      <c r="E791" s="56">
        <f>IFERROR(_xlfn.XLOOKUP(PRODUCTOS[[#This Row],[CODIGO]],LISTADO[CODIGOS],LISTADO[UBICACIÓN]),"NO EXISTE")</f>
        <v/>
      </c>
      <c r="F791" s="56">
        <f>SUMIFS(ENTRADAS[CANTIDAD],ENTRADAS[CODIGO],PRODUCTOS[[#This Row],[CODIGO]])</f>
        <v/>
      </c>
      <c r="G791" s="56">
        <f>SUMIFS(SALIDAS[CANTIDAD],SALIDAS[CODIGO],PRODUCTOS[[#This Row],[CODIGO]])</f>
        <v/>
      </c>
      <c r="H791" s="56">
        <f>PRODUCTOS[[#This Row],[ENTRADAS]]-PRODUCTOS[[#This Row],[SALIDAS ]]</f>
        <v/>
      </c>
      <c r="I791" s="76" t="n">
        <v>0</v>
      </c>
      <c r="J791">
        <f>IF(PRODUCTOS[[#This Row],[STOCK]]&lt;0,"NEGATIVO",IF(PRODUCTOS[[#This Row],[STOCK]]=0,"SIN STOCK",IF(PRODUCTOS[[#This Row],[STOCK]]&lt;=PRODUCTOS[[#This Row],[STOCK MÍN.]],"BAJO","OK")))</f>
        <v/>
      </c>
      <c r="K7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92" hidden="1" s="11">
      <c r="A792" s="18" t="n">
        <v>777</v>
      </c>
      <c r="B792" s="56" t="inlineStr">
        <is>
          <t>00051-PLM</t>
        </is>
      </c>
      <c r="C792" s="56">
        <f>IFERROR(_xlfn.XLOOKUP(PRODUCTOS[[#This Row],[CODIGO]],LISTADO[CODIGOS],LISTADO[CATEGORIA]),"NO EXISTE")</f>
        <v/>
      </c>
      <c r="D792" s="56">
        <f>IFERROR(_xlfn.XLOOKUP(PRODUCTOS[[#This Row],[CODIGO]],LISTADO[CODIGOS],LISTADO[PRODUCTOS]),"NO EXISTE")</f>
        <v/>
      </c>
      <c r="E792" s="56">
        <f>IFERROR(_xlfn.XLOOKUP(PRODUCTOS[[#This Row],[CODIGO]],LISTADO[CODIGOS],LISTADO[UBICACIÓN]),"NO EXISTE")</f>
        <v/>
      </c>
      <c r="F792" s="56">
        <f>SUMIFS(ENTRADAS[CANTIDAD],ENTRADAS[CODIGO],PRODUCTOS[[#This Row],[CODIGO]])</f>
        <v/>
      </c>
      <c r="G792" s="56">
        <f>SUMIFS(SALIDAS[CANTIDAD],SALIDAS[CODIGO],PRODUCTOS[[#This Row],[CODIGO]])</f>
        <v/>
      </c>
      <c r="H792" s="56">
        <f>PRODUCTOS[[#This Row],[ENTRADAS]]-PRODUCTOS[[#This Row],[SALIDAS ]]</f>
        <v/>
      </c>
      <c r="I792" s="76" t="n">
        <v>0</v>
      </c>
      <c r="J792">
        <f>IF(PRODUCTOS[[#This Row],[STOCK]]&lt;0,"NEGATIVO",IF(PRODUCTOS[[#This Row],[STOCK]]=0,"SIN STOCK",IF(PRODUCTOS[[#This Row],[STOCK]]&lt;=PRODUCTOS[[#This Row],[STOCK MÍN.]],"BAJO","OK")))</f>
        <v/>
      </c>
      <c r="K7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93">
      <c r="A793" s="18" t="n">
        <v>778</v>
      </c>
      <c r="B793" s="56" t="inlineStr">
        <is>
          <t>00066-ELE</t>
        </is>
      </c>
      <c r="C793" s="56">
        <f>IFERROR(_xlfn.XLOOKUP(PRODUCTOS[[#This Row],[CODIGO]],LISTADO[CODIGOS],LISTADO[CATEGORIA]),"NO EXISTE")</f>
        <v/>
      </c>
      <c r="D793" s="56">
        <f>IFERROR(_xlfn.XLOOKUP(PRODUCTOS[[#This Row],[CODIGO]],LISTADO[CODIGOS],LISTADO[PRODUCTOS]),"NO EXISTE")</f>
        <v/>
      </c>
      <c r="E793" s="56">
        <f>IFERROR(_xlfn.XLOOKUP(PRODUCTOS[[#This Row],[CODIGO]],LISTADO[CODIGOS],LISTADO[UBICACIÓN]),"NO EXISTE")</f>
        <v/>
      </c>
      <c r="F793" s="56">
        <f>SUMIFS(ENTRADAS[CANTIDAD],ENTRADAS[CODIGO],PRODUCTOS[[#This Row],[CODIGO]])</f>
        <v/>
      </c>
      <c r="G793" s="56">
        <f>SUMIFS(SALIDAS[CANTIDAD],SALIDAS[CODIGO],PRODUCTOS[[#This Row],[CODIGO]])</f>
        <v/>
      </c>
      <c r="H793" s="56">
        <f>PRODUCTOS[[#This Row],[ENTRADAS]]-PRODUCTOS[[#This Row],[SALIDAS ]]</f>
        <v/>
      </c>
      <c r="I793" s="76" t="n">
        <v>0</v>
      </c>
      <c r="J793">
        <f>IF(PRODUCTOS[[#This Row],[STOCK]]&lt;0,"NEGATIVO",IF(PRODUCTOS[[#This Row],[STOCK]]=0,"SIN STOCK",IF(PRODUCTOS[[#This Row],[STOCK]]&lt;=PRODUCTOS[[#This Row],[STOCK MÍN.]],"BAJO","OK")))</f>
        <v/>
      </c>
      <c r="K7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94">
      <c r="A794" s="18" t="n">
        <v>779</v>
      </c>
      <c r="B794" s="56" t="inlineStr">
        <is>
          <t>00067-ELE</t>
        </is>
      </c>
      <c r="C794" s="56">
        <f>IFERROR(_xlfn.XLOOKUP(PRODUCTOS[[#This Row],[CODIGO]],LISTADO[CODIGOS],LISTADO[CATEGORIA]),"NO EXISTE")</f>
        <v/>
      </c>
      <c r="D794" s="56">
        <f>IFERROR(_xlfn.XLOOKUP(PRODUCTOS[[#This Row],[CODIGO]],LISTADO[CODIGOS],LISTADO[PRODUCTOS]),"NO EXISTE")</f>
        <v/>
      </c>
      <c r="E794" s="56">
        <f>IFERROR(_xlfn.XLOOKUP(PRODUCTOS[[#This Row],[CODIGO]],LISTADO[CODIGOS],LISTADO[UBICACIÓN]),"NO EXISTE")</f>
        <v/>
      </c>
      <c r="F794" s="56">
        <f>SUMIFS(ENTRADAS[CANTIDAD],ENTRADAS[CODIGO],PRODUCTOS[[#This Row],[CODIGO]])</f>
        <v/>
      </c>
      <c r="G794" s="56">
        <f>SUMIFS(SALIDAS[CANTIDAD],SALIDAS[CODIGO],PRODUCTOS[[#This Row],[CODIGO]])</f>
        <v/>
      </c>
      <c r="H794" s="56">
        <f>PRODUCTOS[[#This Row],[ENTRADAS]]-PRODUCTOS[[#This Row],[SALIDAS ]]</f>
        <v/>
      </c>
      <c r="I794" s="76" t="n">
        <v>0</v>
      </c>
      <c r="J794">
        <f>IF(PRODUCTOS[[#This Row],[STOCK]]&lt;0,"NEGATIVO",IF(PRODUCTOS[[#This Row],[STOCK]]=0,"SIN STOCK",IF(PRODUCTOS[[#This Row],[STOCK]]&lt;=PRODUCTOS[[#This Row],[STOCK MÍN.]],"BAJO","OK")))</f>
        <v/>
      </c>
      <c r="K7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95" hidden="1" s="11">
      <c r="A795" s="18" t="n">
        <v>780</v>
      </c>
      <c r="B795" s="56" t="inlineStr">
        <is>
          <t>00047-ILU</t>
        </is>
      </c>
      <c r="C795" s="56">
        <f>IFERROR(_xlfn.XLOOKUP(PRODUCTOS[[#This Row],[CODIGO]],LISTADO[CODIGOS],LISTADO[CATEGORIA]),"NO EXISTE")</f>
        <v/>
      </c>
      <c r="D795" s="56">
        <f>IFERROR(_xlfn.XLOOKUP(PRODUCTOS[[#This Row],[CODIGO]],LISTADO[CODIGOS],LISTADO[PRODUCTOS]),"NO EXISTE")</f>
        <v/>
      </c>
      <c r="E795" s="56">
        <f>IFERROR(_xlfn.XLOOKUP(PRODUCTOS[[#This Row],[CODIGO]],LISTADO[CODIGOS],LISTADO[UBICACIÓN]),"NO EXISTE")</f>
        <v/>
      </c>
      <c r="F795" s="56">
        <f>SUMIFS(ENTRADAS[CANTIDAD],ENTRADAS[CODIGO],PRODUCTOS[[#This Row],[CODIGO]])</f>
        <v/>
      </c>
      <c r="G795" s="56">
        <f>SUMIFS(SALIDAS[CANTIDAD],SALIDAS[CODIGO],PRODUCTOS[[#This Row],[CODIGO]])</f>
        <v/>
      </c>
      <c r="H795" s="56">
        <f>PRODUCTOS[[#This Row],[ENTRADAS]]-PRODUCTOS[[#This Row],[SALIDAS ]]</f>
        <v/>
      </c>
      <c r="I795" s="76" t="n">
        <v>0</v>
      </c>
      <c r="J795">
        <f>IF(PRODUCTOS[[#This Row],[STOCK]]&lt;0,"NEGATIVO",IF(PRODUCTOS[[#This Row],[STOCK]]=0,"SIN STOCK",IF(PRODUCTOS[[#This Row],[STOCK]]&lt;=PRODUCTOS[[#This Row],[STOCK MÍN.]],"BAJO","OK")))</f>
        <v/>
      </c>
      <c r="K7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96" hidden="1" s="11">
      <c r="A796" s="18" t="n">
        <v>781</v>
      </c>
      <c r="B796" s="56" t="inlineStr">
        <is>
          <t>00048-ILU</t>
        </is>
      </c>
      <c r="C796" s="56">
        <f>IFERROR(_xlfn.XLOOKUP(PRODUCTOS[[#This Row],[CODIGO]],LISTADO[CODIGOS],LISTADO[CATEGORIA]),"NO EXISTE")</f>
        <v/>
      </c>
      <c r="D796" s="56">
        <f>IFERROR(_xlfn.XLOOKUP(PRODUCTOS[[#This Row],[CODIGO]],LISTADO[CODIGOS],LISTADO[PRODUCTOS]),"NO EXISTE")</f>
        <v/>
      </c>
      <c r="E796" s="56">
        <f>IFERROR(_xlfn.XLOOKUP(PRODUCTOS[[#This Row],[CODIGO]],LISTADO[CODIGOS],LISTADO[UBICACIÓN]),"NO EXISTE")</f>
        <v/>
      </c>
      <c r="F796" s="56">
        <f>SUMIFS(ENTRADAS[CANTIDAD],ENTRADAS[CODIGO],PRODUCTOS[[#This Row],[CODIGO]])</f>
        <v/>
      </c>
      <c r="G796" s="56">
        <f>SUMIFS(SALIDAS[CANTIDAD],SALIDAS[CODIGO],PRODUCTOS[[#This Row],[CODIGO]])</f>
        <v/>
      </c>
      <c r="H796" s="56">
        <f>PRODUCTOS[[#This Row],[ENTRADAS]]-PRODUCTOS[[#This Row],[SALIDAS ]]</f>
        <v/>
      </c>
      <c r="I796" s="76" t="n">
        <v>0</v>
      </c>
      <c r="J796">
        <f>IF(PRODUCTOS[[#This Row],[STOCK]]&lt;0,"NEGATIVO",IF(PRODUCTOS[[#This Row],[STOCK]]=0,"SIN STOCK",IF(PRODUCTOS[[#This Row],[STOCK]]&lt;=PRODUCTOS[[#This Row],[STOCK MÍN.]],"BAJO","OK")))</f>
        <v/>
      </c>
      <c r="K7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97" hidden="1" s="11">
      <c r="A797" s="18" t="n">
        <v>782</v>
      </c>
      <c r="B797" s="56" t="inlineStr">
        <is>
          <t>00098-REF</t>
        </is>
      </c>
      <c r="C797" s="56">
        <f>IFERROR(_xlfn.XLOOKUP(PRODUCTOS[[#This Row],[CODIGO]],LISTADO[CODIGOS],LISTADO[CATEGORIA]),"NO EXISTE")</f>
        <v/>
      </c>
      <c r="D797" s="56">
        <f>IFERROR(_xlfn.XLOOKUP(PRODUCTOS[[#This Row],[CODIGO]],LISTADO[CODIGOS],LISTADO[PRODUCTOS]),"NO EXISTE")</f>
        <v/>
      </c>
      <c r="E797" s="56">
        <f>IFERROR(_xlfn.XLOOKUP(PRODUCTOS[[#This Row],[CODIGO]],LISTADO[CODIGOS],LISTADO[UBICACIÓN]),"NO EXISTE")</f>
        <v/>
      </c>
      <c r="F797" s="56">
        <f>SUMIFS(ENTRADAS[CANTIDAD],ENTRADAS[CODIGO],PRODUCTOS[[#This Row],[CODIGO]])</f>
        <v/>
      </c>
      <c r="G797" s="56">
        <f>SUMIFS(SALIDAS[CANTIDAD],SALIDAS[CODIGO],PRODUCTOS[[#This Row],[CODIGO]])</f>
        <v/>
      </c>
      <c r="H797" s="56">
        <f>PRODUCTOS[[#This Row],[ENTRADAS]]-PRODUCTOS[[#This Row],[SALIDAS ]]</f>
        <v/>
      </c>
      <c r="I797" s="76" t="n">
        <v>0</v>
      </c>
      <c r="J797">
        <f>IF(PRODUCTOS[[#This Row],[STOCK]]&lt;0,"NEGATIVO",IF(PRODUCTOS[[#This Row],[STOCK]]=0,"SIN STOCK",IF(PRODUCTOS[[#This Row],[STOCK]]&lt;=PRODUCTOS[[#This Row],[STOCK MÍN.]],"BAJO","OK")))</f>
        <v/>
      </c>
      <c r="K7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98" hidden="1" s="11">
      <c r="A798" s="18" t="n">
        <v>783</v>
      </c>
      <c r="B798" s="56" t="inlineStr">
        <is>
          <t>00099-REF</t>
        </is>
      </c>
      <c r="C798" s="56">
        <f>IFERROR(_xlfn.XLOOKUP(PRODUCTOS[[#This Row],[CODIGO]],LISTADO[CODIGOS],LISTADO[CATEGORIA]),"NO EXISTE")</f>
        <v/>
      </c>
      <c r="D798" s="56">
        <f>IFERROR(_xlfn.XLOOKUP(PRODUCTOS[[#This Row],[CODIGO]],LISTADO[CODIGOS],LISTADO[PRODUCTOS]),"NO EXISTE")</f>
        <v/>
      </c>
      <c r="E798" s="56">
        <f>IFERROR(_xlfn.XLOOKUP(PRODUCTOS[[#This Row],[CODIGO]],LISTADO[CODIGOS],LISTADO[UBICACIÓN]),"NO EXISTE")</f>
        <v/>
      </c>
      <c r="F798" s="56">
        <f>SUMIFS(ENTRADAS[CANTIDAD],ENTRADAS[CODIGO],PRODUCTOS[[#This Row],[CODIGO]])</f>
        <v/>
      </c>
      <c r="G798" s="56">
        <f>SUMIFS(SALIDAS[CANTIDAD],SALIDAS[CODIGO],PRODUCTOS[[#This Row],[CODIGO]])</f>
        <v/>
      </c>
      <c r="H798" s="56">
        <f>PRODUCTOS[[#This Row],[ENTRADAS]]-PRODUCTOS[[#This Row],[SALIDAS ]]</f>
        <v/>
      </c>
      <c r="I798" s="76" t="n">
        <v>0</v>
      </c>
      <c r="J798">
        <f>IF(PRODUCTOS[[#This Row],[STOCK]]&lt;0,"NEGATIVO",IF(PRODUCTOS[[#This Row],[STOCK]]=0,"SIN STOCK",IF(PRODUCTOS[[#This Row],[STOCK]]&lt;=PRODUCTOS[[#This Row],[STOCK MÍN.]],"BAJO","OK")))</f>
        <v/>
      </c>
      <c r="K7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799" hidden="1" s="11">
      <c r="A799" s="18" t="n">
        <v>784</v>
      </c>
      <c r="B799" s="56" t="inlineStr">
        <is>
          <t>00100-REF</t>
        </is>
      </c>
      <c r="C799" s="56">
        <f>IFERROR(_xlfn.XLOOKUP(PRODUCTOS[[#This Row],[CODIGO]],LISTADO[CODIGOS],LISTADO[CATEGORIA]),"NO EXISTE")</f>
        <v/>
      </c>
      <c r="D799" s="56">
        <f>IFERROR(_xlfn.XLOOKUP(PRODUCTOS[[#This Row],[CODIGO]],LISTADO[CODIGOS],LISTADO[PRODUCTOS]),"NO EXISTE")</f>
        <v/>
      </c>
      <c r="E799" s="56">
        <f>IFERROR(_xlfn.XLOOKUP(PRODUCTOS[[#This Row],[CODIGO]],LISTADO[CODIGOS],LISTADO[UBICACIÓN]),"NO EXISTE")</f>
        <v/>
      </c>
      <c r="F799" s="56">
        <f>SUMIFS(ENTRADAS[CANTIDAD],ENTRADAS[CODIGO],PRODUCTOS[[#This Row],[CODIGO]])</f>
        <v/>
      </c>
      <c r="G799" s="56">
        <f>SUMIFS(SALIDAS[CANTIDAD],SALIDAS[CODIGO],PRODUCTOS[[#This Row],[CODIGO]])</f>
        <v/>
      </c>
      <c r="H799" s="56">
        <f>PRODUCTOS[[#This Row],[ENTRADAS]]-PRODUCTOS[[#This Row],[SALIDAS ]]</f>
        <v/>
      </c>
      <c r="I799" s="76" t="n">
        <v>0</v>
      </c>
      <c r="J799">
        <f>IF(PRODUCTOS[[#This Row],[STOCK]]&lt;0,"NEGATIVO",IF(PRODUCTOS[[#This Row],[STOCK]]=0,"SIN STOCK",IF(PRODUCTOS[[#This Row],[STOCK]]&lt;=PRODUCTOS[[#This Row],[STOCK MÍN.]],"BAJO","OK")))</f>
        <v/>
      </c>
      <c r="K7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00" hidden="1" s="11">
      <c r="A800" s="18" t="n">
        <v>785</v>
      </c>
      <c r="B800" s="56" t="inlineStr">
        <is>
          <t>00049-ILU</t>
        </is>
      </c>
      <c r="C800" s="56">
        <f>IFERROR(_xlfn.XLOOKUP(PRODUCTOS[[#This Row],[CODIGO]],LISTADO[CODIGOS],LISTADO[CATEGORIA]),"NO EXISTE")</f>
        <v/>
      </c>
      <c r="D800" s="56">
        <f>IFERROR(_xlfn.XLOOKUP(PRODUCTOS[[#This Row],[CODIGO]],LISTADO[CODIGOS],LISTADO[PRODUCTOS]),"NO EXISTE")</f>
        <v/>
      </c>
      <c r="E800" s="56">
        <f>IFERROR(_xlfn.XLOOKUP(PRODUCTOS[[#This Row],[CODIGO]],LISTADO[CODIGOS],LISTADO[UBICACIÓN]),"NO EXISTE")</f>
        <v/>
      </c>
      <c r="F800" s="56">
        <f>SUMIFS(ENTRADAS[CANTIDAD],ENTRADAS[CODIGO],PRODUCTOS[[#This Row],[CODIGO]])</f>
        <v/>
      </c>
      <c r="G800" s="56">
        <f>SUMIFS(SALIDAS[CANTIDAD],SALIDAS[CODIGO],PRODUCTOS[[#This Row],[CODIGO]])</f>
        <v/>
      </c>
      <c r="H800" s="56">
        <f>PRODUCTOS[[#This Row],[ENTRADAS]]-PRODUCTOS[[#This Row],[SALIDAS ]]</f>
        <v/>
      </c>
      <c r="I800" s="76" t="n">
        <v>0</v>
      </c>
      <c r="J800">
        <f>IF(PRODUCTOS[[#This Row],[STOCK]]&lt;0,"NEGATIVO",IF(PRODUCTOS[[#This Row],[STOCK]]=0,"SIN STOCK",IF(PRODUCTOS[[#This Row],[STOCK]]&lt;=PRODUCTOS[[#This Row],[STOCK MÍN.]],"BAJO","OK")))</f>
        <v/>
      </c>
      <c r="K8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01" hidden="1" s="11">
      <c r="A801" s="18" t="n">
        <v>786</v>
      </c>
      <c r="B801" s="56" t="inlineStr">
        <is>
          <t>00016-LIM</t>
        </is>
      </c>
      <c r="C801" s="56">
        <f>IFERROR(_xlfn.XLOOKUP(PRODUCTOS[[#This Row],[CODIGO]],LISTADO[CODIGOS],LISTADO[CATEGORIA]),"NO EXISTE")</f>
        <v/>
      </c>
      <c r="D801" s="56">
        <f>IFERROR(_xlfn.XLOOKUP(PRODUCTOS[[#This Row],[CODIGO]],LISTADO[CODIGOS],LISTADO[PRODUCTOS]),"NO EXISTE")</f>
        <v/>
      </c>
      <c r="E801" s="56">
        <f>IFERROR(_xlfn.XLOOKUP(PRODUCTOS[[#This Row],[CODIGO]],LISTADO[CODIGOS],LISTADO[UBICACIÓN]),"NO EXISTE")</f>
        <v/>
      </c>
      <c r="F801" s="56">
        <f>SUMIFS(ENTRADAS[CANTIDAD],ENTRADAS[CODIGO],PRODUCTOS[[#This Row],[CODIGO]])</f>
        <v/>
      </c>
      <c r="G801" s="56">
        <f>SUMIFS(SALIDAS[CANTIDAD],SALIDAS[CODIGO],PRODUCTOS[[#This Row],[CODIGO]])</f>
        <v/>
      </c>
      <c r="H801" s="56">
        <f>PRODUCTOS[[#This Row],[ENTRADAS]]-PRODUCTOS[[#This Row],[SALIDAS ]]</f>
        <v/>
      </c>
      <c r="I801" s="76" t="n">
        <v>0</v>
      </c>
      <c r="J801">
        <f>IF(PRODUCTOS[[#This Row],[STOCK]]&lt;0,"NEGATIVO",IF(PRODUCTOS[[#This Row],[STOCK]]=0,"SIN STOCK",IF(PRODUCTOS[[#This Row],[STOCK]]&lt;=PRODUCTOS[[#This Row],[STOCK MÍN.]],"BAJO","OK")))</f>
        <v/>
      </c>
      <c r="K8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02" hidden="1" s="11">
      <c r="A802" s="18" t="n">
        <v>787</v>
      </c>
      <c r="B802" s="56" t="inlineStr">
        <is>
          <t>00017-LIM</t>
        </is>
      </c>
      <c r="C802" s="56">
        <f>IFERROR(_xlfn.XLOOKUP(PRODUCTOS[[#This Row],[CODIGO]],LISTADO[CODIGOS],LISTADO[CATEGORIA]),"NO EXISTE")</f>
        <v/>
      </c>
      <c r="D802" s="56">
        <f>IFERROR(_xlfn.XLOOKUP(PRODUCTOS[[#This Row],[CODIGO]],LISTADO[CODIGOS],LISTADO[PRODUCTOS]),"NO EXISTE")</f>
        <v/>
      </c>
      <c r="E802" s="56">
        <f>IFERROR(_xlfn.XLOOKUP(PRODUCTOS[[#This Row],[CODIGO]],LISTADO[CODIGOS],LISTADO[UBICACIÓN]),"NO EXISTE")</f>
        <v/>
      </c>
      <c r="F802" s="56">
        <f>SUMIFS(ENTRADAS[CANTIDAD],ENTRADAS[CODIGO],PRODUCTOS[[#This Row],[CODIGO]])</f>
        <v/>
      </c>
      <c r="G802" s="56">
        <f>SUMIFS(SALIDAS[CANTIDAD],SALIDAS[CODIGO],PRODUCTOS[[#This Row],[CODIGO]])</f>
        <v/>
      </c>
      <c r="H802" s="56">
        <f>PRODUCTOS[[#This Row],[ENTRADAS]]-PRODUCTOS[[#This Row],[SALIDAS ]]</f>
        <v/>
      </c>
      <c r="I802" s="76" t="n">
        <v>0</v>
      </c>
      <c r="J802">
        <f>IF(PRODUCTOS[[#This Row],[STOCK]]&lt;0,"NEGATIVO",IF(PRODUCTOS[[#This Row],[STOCK]]=0,"SIN STOCK",IF(PRODUCTOS[[#This Row],[STOCK]]&lt;=PRODUCTOS[[#This Row],[STOCK MÍN.]],"BAJO","OK")))</f>
        <v/>
      </c>
      <c r="K8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03" hidden="1" s="11">
      <c r="A803" s="18" t="n">
        <v>788</v>
      </c>
      <c r="B803" s="56" t="inlineStr">
        <is>
          <t>00018-LIM</t>
        </is>
      </c>
      <c r="C803" s="56">
        <f>IFERROR(_xlfn.XLOOKUP(PRODUCTOS[[#This Row],[CODIGO]],LISTADO[CODIGOS],LISTADO[CATEGORIA]),"NO EXISTE")</f>
        <v/>
      </c>
      <c r="D803" s="56">
        <f>IFERROR(_xlfn.XLOOKUP(PRODUCTOS[[#This Row],[CODIGO]],LISTADO[CODIGOS],LISTADO[PRODUCTOS]),"NO EXISTE")</f>
        <v/>
      </c>
      <c r="E803" s="56">
        <f>IFERROR(_xlfn.XLOOKUP(PRODUCTOS[[#This Row],[CODIGO]],LISTADO[CODIGOS],LISTADO[UBICACIÓN]),"NO EXISTE")</f>
        <v/>
      </c>
      <c r="F803" s="56">
        <f>SUMIFS(ENTRADAS[CANTIDAD],ENTRADAS[CODIGO],PRODUCTOS[[#This Row],[CODIGO]])</f>
        <v/>
      </c>
      <c r="G803" s="56">
        <f>SUMIFS(SALIDAS[CANTIDAD],SALIDAS[CODIGO],PRODUCTOS[[#This Row],[CODIGO]])</f>
        <v/>
      </c>
      <c r="H803" s="56">
        <f>PRODUCTOS[[#This Row],[ENTRADAS]]-PRODUCTOS[[#This Row],[SALIDAS ]]</f>
        <v/>
      </c>
      <c r="I803" s="76" t="n">
        <v>0</v>
      </c>
      <c r="J803">
        <f>IF(PRODUCTOS[[#This Row],[STOCK]]&lt;0,"NEGATIVO",IF(PRODUCTOS[[#This Row],[STOCK]]=0,"SIN STOCK",IF(PRODUCTOS[[#This Row],[STOCK]]&lt;=PRODUCTOS[[#This Row],[STOCK MÍN.]],"BAJO","OK")))</f>
        <v/>
      </c>
      <c r="K8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04" hidden="1" s="11">
      <c r="A804" s="18" t="n">
        <v>789</v>
      </c>
      <c r="B804" s="56" t="inlineStr">
        <is>
          <t>00068-ELE</t>
        </is>
      </c>
      <c r="C804" s="56">
        <f>IFERROR(_xlfn.XLOOKUP(PRODUCTOS[[#This Row],[CODIGO]],LISTADO[CODIGOS],LISTADO[CATEGORIA]),"NO EXISTE")</f>
        <v/>
      </c>
      <c r="D804" s="56">
        <f>IFERROR(_xlfn.XLOOKUP(PRODUCTOS[[#This Row],[CODIGO]],LISTADO[CODIGOS],LISTADO[PRODUCTOS]),"NO EXISTE")</f>
        <v/>
      </c>
      <c r="E804" s="56">
        <f>IFERROR(_xlfn.XLOOKUP(PRODUCTOS[[#This Row],[CODIGO]],LISTADO[CODIGOS],LISTADO[UBICACIÓN]),"NO EXISTE")</f>
        <v/>
      </c>
      <c r="F804" s="56">
        <f>SUMIFS(ENTRADAS[CANTIDAD],ENTRADAS[CODIGO],PRODUCTOS[[#This Row],[CODIGO]])</f>
        <v/>
      </c>
      <c r="G804" s="56">
        <f>SUMIFS(SALIDAS[CANTIDAD],SALIDAS[CODIGO],PRODUCTOS[[#This Row],[CODIGO]])</f>
        <v/>
      </c>
      <c r="H804" s="56">
        <f>PRODUCTOS[[#This Row],[ENTRADAS]]-PRODUCTOS[[#This Row],[SALIDAS ]]</f>
        <v/>
      </c>
      <c r="I804" s="76" t="n">
        <v>0</v>
      </c>
      <c r="J804">
        <f>IF(PRODUCTOS[[#This Row],[STOCK]]&lt;0,"NEGATIVO",IF(PRODUCTOS[[#This Row],[STOCK]]=0,"SIN STOCK",IF(PRODUCTOS[[#This Row],[STOCK]]&lt;=PRODUCTOS[[#This Row],[STOCK MÍN.]],"BAJO","OK")))</f>
        <v/>
      </c>
      <c r="K8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05" hidden="1" s="11">
      <c r="A805" s="18" t="n">
        <v>790</v>
      </c>
      <c r="B805" s="56" t="inlineStr">
        <is>
          <t>00052-PLM</t>
        </is>
      </c>
      <c r="C805" s="56">
        <f>IFERROR(_xlfn.XLOOKUP(PRODUCTOS[[#This Row],[CODIGO]],LISTADO[CODIGOS],LISTADO[CATEGORIA]),"NO EXISTE")</f>
        <v/>
      </c>
      <c r="D805" s="56">
        <f>IFERROR(_xlfn.XLOOKUP(PRODUCTOS[[#This Row],[CODIGO]],LISTADO[CODIGOS],LISTADO[PRODUCTOS]),"NO EXISTE")</f>
        <v/>
      </c>
      <c r="E805" s="56">
        <f>IFERROR(_xlfn.XLOOKUP(PRODUCTOS[[#This Row],[CODIGO]],LISTADO[CODIGOS],LISTADO[UBICACIÓN]),"NO EXISTE")</f>
        <v/>
      </c>
      <c r="F805" s="56">
        <f>SUMIFS(ENTRADAS[CANTIDAD],ENTRADAS[CODIGO],PRODUCTOS[[#This Row],[CODIGO]])</f>
        <v/>
      </c>
      <c r="G805" s="56">
        <f>SUMIFS(SALIDAS[CANTIDAD],SALIDAS[CODIGO],PRODUCTOS[[#This Row],[CODIGO]])</f>
        <v/>
      </c>
      <c r="H805" s="56">
        <f>PRODUCTOS[[#This Row],[ENTRADAS]]-PRODUCTOS[[#This Row],[SALIDAS ]]</f>
        <v/>
      </c>
      <c r="I805" s="76" t="n">
        <v>0</v>
      </c>
      <c r="J805">
        <f>IF(PRODUCTOS[[#This Row],[STOCK]]&lt;0,"NEGATIVO",IF(PRODUCTOS[[#This Row],[STOCK]]=0,"SIN STOCK",IF(PRODUCTOS[[#This Row],[STOCK]]&lt;=PRODUCTOS[[#This Row],[STOCK MÍN.]],"BAJO","OK")))</f>
        <v/>
      </c>
      <c r="K8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06" hidden="1" s="11">
      <c r="A806" s="18" t="n">
        <v>791</v>
      </c>
      <c r="B806" s="56" t="inlineStr">
        <is>
          <t>00053-PLM</t>
        </is>
      </c>
      <c r="C806" s="56">
        <f>IFERROR(_xlfn.XLOOKUP(PRODUCTOS[[#This Row],[CODIGO]],LISTADO[CODIGOS],LISTADO[CATEGORIA]),"NO EXISTE")</f>
        <v/>
      </c>
      <c r="D806" s="56">
        <f>IFERROR(_xlfn.XLOOKUP(PRODUCTOS[[#This Row],[CODIGO]],LISTADO[CODIGOS],LISTADO[PRODUCTOS]),"NO EXISTE")</f>
        <v/>
      </c>
      <c r="E806" s="56">
        <f>IFERROR(_xlfn.XLOOKUP(PRODUCTOS[[#This Row],[CODIGO]],LISTADO[CODIGOS],LISTADO[UBICACIÓN]),"NO EXISTE")</f>
        <v/>
      </c>
      <c r="F806" s="56">
        <f>SUMIFS(ENTRADAS[CANTIDAD],ENTRADAS[CODIGO],PRODUCTOS[[#This Row],[CODIGO]])</f>
        <v/>
      </c>
      <c r="G806" s="56">
        <f>SUMIFS(SALIDAS[CANTIDAD],SALIDAS[CODIGO],PRODUCTOS[[#This Row],[CODIGO]])</f>
        <v/>
      </c>
      <c r="H806" s="56">
        <f>PRODUCTOS[[#This Row],[ENTRADAS]]-PRODUCTOS[[#This Row],[SALIDAS ]]</f>
        <v/>
      </c>
      <c r="I806" s="76" t="n">
        <v>0</v>
      </c>
      <c r="J806">
        <f>IF(PRODUCTOS[[#This Row],[STOCK]]&lt;0,"NEGATIVO",IF(PRODUCTOS[[#This Row],[STOCK]]=0,"SIN STOCK",IF(PRODUCTOS[[#This Row],[STOCK]]&lt;=PRODUCTOS[[#This Row],[STOCK MÍN.]],"BAJO","OK")))</f>
        <v/>
      </c>
      <c r="K8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07" hidden="1" s="11">
      <c r="A807" s="18" t="n">
        <v>792</v>
      </c>
      <c r="B807" s="56" t="inlineStr">
        <is>
          <t>00058-HRR</t>
        </is>
      </c>
      <c r="C807" s="56">
        <f>IFERROR(_xlfn.XLOOKUP(PRODUCTOS[[#This Row],[CODIGO]],LISTADO[CODIGOS],LISTADO[CATEGORIA]),"NO EXISTE")</f>
        <v/>
      </c>
      <c r="D807" s="56">
        <f>IFERROR(_xlfn.XLOOKUP(PRODUCTOS[[#This Row],[CODIGO]],LISTADO[CODIGOS],LISTADO[PRODUCTOS]),"NO EXISTE")</f>
        <v/>
      </c>
      <c r="E807" s="56">
        <f>IFERROR(_xlfn.XLOOKUP(PRODUCTOS[[#This Row],[CODIGO]],LISTADO[CODIGOS],LISTADO[UBICACIÓN]),"NO EXISTE")</f>
        <v/>
      </c>
      <c r="F807" s="56">
        <f>SUMIFS(ENTRADAS[CANTIDAD],ENTRADAS[CODIGO],PRODUCTOS[[#This Row],[CODIGO]])</f>
        <v/>
      </c>
      <c r="G807" s="56">
        <f>SUMIFS(SALIDAS[CANTIDAD],SALIDAS[CODIGO],PRODUCTOS[[#This Row],[CODIGO]])</f>
        <v/>
      </c>
      <c r="H807" s="56">
        <f>PRODUCTOS[[#This Row],[ENTRADAS]]-PRODUCTOS[[#This Row],[SALIDAS ]]</f>
        <v/>
      </c>
      <c r="I807" s="76" t="n">
        <v>0</v>
      </c>
      <c r="J807">
        <f>IF(PRODUCTOS[[#This Row],[STOCK]]&lt;0,"NEGATIVO",IF(PRODUCTOS[[#This Row],[STOCK]]=0,"SIN STOCK",IF(PRODUCTOS[[#This Row],[STOCK]]&lt;=PRODUCTOS[[#This Row],[STOCK MÍN.]],"BAJO","OK")))</f>
        <v/>
      </c>
      <c r="K8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08" hidden="1" s="11">
      <c r="A808" s="18" t="n">
        <v>793</v>
      </c>
      <c r="B808" s="56" t="inlineStr">
        <is>
          <t>00069-ELE</t>
        </is>
      </c>
      <c r="C808" s="56">
        <f>IFERROR(_xlfn.XLOOKUP(PRODUCTOS[[#This Row],[CODIGO]],LISTADO[CODIGOS],LISTADO[CATEGORIA]),"NO EXISTE")</f>
        <v/>
      </c>
      <c r="D808" s="56">
        <f>IFERROR(_xlfn.XLOOKUP(PRODUCTOS[[#This Row],[CODIGO]],LISTADO[CODIGOS],LISTADO[PRODUCTOS]),"NO EXISTE")</f>
        <v/>
      </c>
      <c r="E808" s="56">
        <f>IFERROR(_xlfn.XLOOKUP(PRODUCTOS[[#This Row],[CODIGO]],LISTADO[CODIGOS],LISTADO[UBICACIÓN]),"NO EXISTE")</f>
        <v/>
      </c>
      <c r="F808" s="56">
        <f>SUMIFS(ENTRADAS[CANTIDAD],ENTRADAS[CODIGO],PRODUCTOS[[#This Row],[CODIGO]])</f>
        <v/>
      </c>
      <c r="G808" s="56">
        <f>SUMIFS(SALIDAS[CANTIDAD],SALIDAS[CODIGO],PRODUCTOS[[#This Row],[CODIGO]])</f>
        <v/>
      </c>
      <c r="H808" s="56">
        <f>PRODUCTOS[[#This Row],[ENTRADAS]]-PRODUCTOS[[#This Row],[SALIDAS ]]</f>
        <v/>
      </c>
      <c r="I808" s="76" t="n">
        <v>0</v>
      </c>
      <c r="J808">
        <f>IF(PRODUCTOS[[#This Row],[STOCK]]&lt;0,"NEGATIVO",IF(PRODUCTOS[[#This Row],[STOCK]]=0,"SIN STOCK",IF(PRODUCTOS[[#This Row],[STOCK]]&lt;=PRODUCTOS[[#This Row],[STOCK MÍN.]],"BAJO","OK")))</f>
        <v/>
      </c>
      <c r="K8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09" hidden="1" s="11">
      <c r="A809" s="18" t="n">
        <v>794</v>
      </c>
      <c r="B809" s="56" t="inlineStr">
        <is>
          <t>00158-FER</t>
        </is>
      </c>
      <c r="C809" s="56">
        <f>IFERROR(_xlfn.XLOOKUP(PRODUCTOS[[#This Row],[CODIGO]],LISTADO[CODIGOS],LISTADO[CATEGORIA]),"NO EXISTE")</f>
        <v/>
      </c>
      <c r="D809" s="56">
        <f>IFERROR(_xlfn.XLOOKUP(PRODUCTOS[[#This Row],[CODIGO]],LISTADO[CODIGOS],LISTADO[PRODUCTOS]),"NO EXISTE")</f>
        <v/>
      </c>
      <c r="E809" s="56">
        <f>IFERROR(_xlfn.XLOOKUP(PRODUCTOS[[#This Row],[CODIGO]],LISTADO[CODIGOS],LISTADO[UBICACIÓN]),"NO EXISTE")</f>
        <v/>
      </c>
      <c r="F809" s="56">
        <f>SUMIFS(ENTRADAS[CANTIDAD],ENTRADAS[CODIGO],PRODUCTOS[[#This Row],[CODIGO]])</f>
        <v/>
      </c>
      <c r="G809" s="56">
        <f>SUMIFS(SALIDAS[CANTIDAD],SALIDAS[CODIGO],PRODUCTOS[[#This Row],[CODIGO]])</f>
        <v/>
      </c>
      <c r="H809" s="56">
        <f>PRODUCTOS[[#This Row],[ENTRADAS]]-PRODUCTOS[[#This Row],[SALIDAS ]]</f>
        <v/>
      </c>
      <c r="I809" s="76" t="n">
        <v>0</v>
      </c>
      <c r="J809">
        <f>IF(PRODUCTOS[[#This Row],[STOCK]]&lt;0,"NEGATIVO",IF(PRODUCTOS[[#This Row],[STOCK]]=0,"SIN STOCK",IF(PRODUCTOS[[#This Row],[STOCK]]&lt;=PRODUCTOS[[#This Row],[STOCK MÍN.]],"BAJO","OK")))</f>
        <v/>
      </c>
      <c r="K8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10" hidden="1" s="11">
      <c r="A810" s="18" t="n">
        <v>795</v>
      </c>
      <c r="B810" s="56" t="inlineStr">
        <is>
          <t>00159-FER</t>
        </is>
      </c>
      <c r="C810" s="56">
        <f>IFERROR(_xlfn.XLOOKUP(PRODUCTOS[[#This Row],[CODIGO]],LISTADO[CODIGOS],LISTADO[CATEGORIA]),"NO EXISTE")</f>
        <v/>
      </c>
      <c r="D810" s="56">
        <f>IFERROR(_xlfn.XLOOKUP(PRODUCTOS[[#This Row],[CODIGO]],LISTADO[CODIGOS],LISTADO[PRODUCTOS]),"NO EXISTE")</f>
        <v/>
      </c>
      <c r="E810" s="56">
        <f>IFERROR(_xlfn.XLOOKUP(PRODUCTOS[[#This Row],[CODIGO]],LISTADO[CODIGOS],LISTADO[UBICACIÓN]),"NO EXISTE")</f>
        <v/>
      </c>
      <c r="F810" s="56">
        <f>SUMIFS(ENTRADAS[CANTIDAD],ENTRADAS[CODIGO],PRODUCTOS[[#This Row],[CODIGO]])</f>
        <v/>
      </c>
      <c r="G810" s="56">
        <f>SUMIFS(SALIDAS[CANTIDAD],SALIDAS[CODIGO],PRODUCTOS[[#This Row],[CODIGO]])</f>
        <v/>
      </c>
      <c r="H810" s="56">
        <f>PRODUCTOS[[#This Row],[ENTRADAS]]-PRODUCTOS[[#This Row],[SALIDAS ]]</f>
        <v/>
      </c>
      <c r="I810" s="76" t="n">
        <v>0</v>
      </c>
      <c r="J810">
        <f>IF(PRODUCTOS[[#This Row],[STOCK]]&lt;0,"NEGATIVO",IF(PRODUCTOS[[#This Row],[STOCK]]=0,"SIN STOCK",IF(PRODUCTOS[[#This Row],[STOCK]]&lt;=PRODUCTOS[[#This Row],[STOCK MÍN.]],"BAJO","OK")))</f>
        <v/>
      </c>
      <c r="K8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11" hidden="1" s="11">
      <c r="A811" s="18" t="n">
        <v>796</v>
      </c>
      <c r="B811" s="56" t="inlineStr">
        <is>
          <t>00160-FER</t>
        </is>
      </c>
      <c r="C811" s="56">
        <f>IFERROR(_xlfn.XLOOKUP(PRODUCTOS[[#This Row],[CODIGO]],LISTADO[CODIGOS],LISTADO[CATEGORIA]),"NO EXISTE")</f>
        <v/>
      </c>
      <c r="D811" s="56">
        <f>IFERROR(_xlfn.XLOOKUP(PRODUCTOS[[#This Row],[CODIGO]],LISTADO[CODIGOS],LISTADO[PRODUCTOS]),"NO EXISTE")</f>
        <v/>
      </c>
      <c r="E811" s="56">
        <f>IFERROR(_xlfn.XLOOKUP(PRODUCTOS[[#This Row],[CODIGO]],LISTADO[CODIGOS],LISTADO[UBICACIÓN]),"NO EXISTE")</f>
        <v/>
      </c>
      <c r="F811" s="56">
        <f>SUMIFS(ENTRADAS[CANTIDAD],ENTRADAS[CODIGO],PRODUCTOS[[#This Row],[CODIGO]])</f>
        <v/>
      </c>
      <c r="G811" s="56">
        <f>SUMIFS(SALIDAS[CANTIDAD],SALIDAS[CODIGO],PRODUCTOS[[#This Row],[CODIGO]])</f>
        <v/>
      </c>
      <c r="H811" s="56">
        <f>PRODUCTOS[[#This Row],[ENTRADAS]]-PRODUCTOS[[#This Row],[SALIDAS ]]</f>
        <v/>
      </c>
      <c r="I811" s="76" t="n">
        <v>0</v>
      </c>
      <c r="J811">
        <f>IF(PRODUCTOS[[#This Row],[STOCK]]&lt;0,"NEGATIVO",IF(PRODUCTOS[[#This Row],[STOCK]]=0,"SIN STOCK",IF(PRODUCTOS[[#This Row],[STOCK]]&lt;=PRODUCTOS[[#This Row],[STOCK MÍN.]],"BAJO","OK")))</f>
        <v/>
      </c>
      <c r="K8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12" hidden="1" s="11">
      <c r="A812" s="18" t="n">
        <v>797</v>
      </c>
      <c r="B812" s="56" t="inlineStr">
        <is>
          <t>00161-FER</t>
        </is>
      </c>
      <c r="C812" s="56">
        <f>IFERROR(_xlfn.XLOOKUP(PRODUCTOS[[#This Row],[CODIGO]],LISTADO[CODIGOS],LISTADO[CATEGORIA]),"NO EXISTE")</f>
        <v/>
      </c>
      <c r="D812" s="56">
        <f>IFERROR(_xlfn.XLOOKUP(PRODUCTOS[[#This Row],[CODIGO]],LISTADO[CODIGOS],LISTADO[PRODUCTOS]),"NO EXISTE")</f>
        <v/>
      </c>
      <c r="E812" s="56">
        <f>IFERROR(_xlfn.XLOOKUP(PRODUCTOS[[#This Row],[CODIGO]],LISTADO[CODIGOS],LISTADO[UBICACIÓN]),"NO EXISTE")</f>
        <v/>
      </c>
      <c r="F812" s="56">
        <f>SUMIFS(ENTRADAS[CANTIDAD],ENTRADAS[CODIGO],PRODUCTOS[[#This Row],[CODIGO]])</f>
        <v/>
      </c>
      <c r="G812" s="56">
        <f>SUMIFS(SALIDAS[CANTIDAD],SALIDAS[CODIGO],PRODUCTOS[[#This Row],[CODIGO]])</f>
        <v/>
      </c>
      <c r="H812" s="56">
        <f>PRODUCTOS[[#This Row],[ENTRADAS]]-PRODUCTOS[[#This Row],[SALIDAS ]]</f>
        <v/>
      </c>
      <c r="I812" s="76" t="n">
        <v>0</v>
      </c>
      <c r="J812">
        <f>IF(PRODUCTOS[[#This Row],[STOCK]]&lt;0,"NEGATIVO",IF(PRODUCTOS[[#This Row],[STOCK]]=0,"SIN STOCK",IF(PRODUCTOS[[#This Row],[STOCK]]&lt;=PRODUCTOS[[#This Row],[STOCK MÍN.]],"BAJO","OK")))</f>
        <v/>
      </c>
      <c r="K8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13" hidden="1" s="11">
      <c r="A813" s="18" t="n">
        <v>798</v>
      </c>
      <c r="B813" s="56" t="inlineStr">
        <is>
          <t>00162-FER</t>
        </is>
      </c>
      <c r="C813" s="56">
        <f>IFERROR(_xlfn.XLOOKUP(PRODUCTOS[[#This Row],[CODIGO]],LISTADO[CODIGOS],LISTADO[CATEGORIA]),"NO EXISTE")</f>
        <v/>
      </c>
      <c r="D813" s="56">
        <f>IFERROR(_xlfn.XLOOKUP(PRODUCTOS[[#This Row],[CODIGO]],LISTADO[CODIGOS],LISTADO[PRODUCTOS]),"NO EXISTE")</f>
        <v/>
      </c>
      <c r="E813" s="56">
        <f>IFERROR(_xlfn.XLOOKUP(PRODUCTOS[[#This Row],[CODIGO]],LISTADO[CODIGOS],LISTADO[UBICACIÓN]),"NO EXISTE")</f>
        <v/>
      </c>
      <c r="F813" s="56">
        <f>SUMIFS(ENTRADAS[CANTIDAD],ENTRADAS[CODIGO],PRODUCTOS[[#This Row],[CODIGO]])</f>
        <v/>
      </c>
      <c r="G813" s="56">
        <f>SUMIFS(SALIDAS[CANTIDAD],SALIDAS[CODIGO],PRODUCTOS[[#This Row],[CODIGO]])</f>
        <v/>
      </c>
      <c r="H813" s="56">
        <f>PRODUCTOS[[#This Row],[ENTRADAS]]-PRODUCTOS[[#This Row],[SALIDAS ]]</f>
        <v/>
      </c>
      <c r="I813" s="76" t="n">
        <v>0</v>
      </c>
      <c r="J813">
        <f>IF(PRODUCTOS[[#This Row],[STOCK]]&lt;0,"NEGATIVO",IF(PRODUCTOS[[#This Row],[STOCK]]=0,"SIN STOCK",IF(PRODUCTOS[[#This Row],[STOCK]]&lt;=PRODUCTOS[[#This Row],[STOCK MÍN.]],"BAJO","OK")))</f>
        <v/>
      </c>
      <c r="K8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14" hidden="1" s="11">
      <c r="A814" s="18" t="n">
        <v>799</v>
      </c>
      <c r="B814" s="56" t="inlineStr">
        <is>
          <t>00050-ILU</t>
        </is>
      </c>
      <c r="C814" s="56">
        <f>IFERROR(_xlfn.XLOOKUP(PRODUCTOS[[#This Row],[CODIGO]],LISTADO[CODIGOS],LISTADO[CATEGORIA]),"NO EXISTE")</f>
        <v/>
      </c>
      <c r="D814" s="56">
        <f>IFERROR(_xlfn.XLOOKUP(PRODUCTOS[[#This Row],[CODIGO]],LISTADO[CODIGOS],LISTADO[PRODUCTOS]),"NO EXISTE")</f>
        <v/>
      </c>
      <c r="E814" s="56">
        <f>IFERROR(_xlfn.XLOOKUP(PRODUCTOS[[#This Row],[CODIGO]],LISTADO[CODIGOS],LISTADO[UBICACIÓN]),"NO EXISTE")</f>
        <v/>
      </c>
      <c r="F814" s="56">
        <f>SUMIFS(ENTRADAS[CANTIDAD],ENTRADAS[CODIGO],PRODUCTOS[[#This Row],[CODIGO]])</f>
        <v/>
      </c>
      <c r="G814" s="56">
        <f>SUMIFS(SALIDAS[CANTIDAD],SALIDAS[CODIGO],PRODUCTOS[[#This Row],[CODIGO]])</f>
        <v/>
      </c>
      <c r="H814" s="56">
        <f>PRODUCTOS[[#This Row],[ENTRADAS]]-PRODUCTOS[[#This Row],[SALIDAS ]]</f>
        <v/>
      </c>
      <c r="I814" s="76" t="n">
        <v>0</v>
      </c>
      <c r="J814">
        <f>IF(PRODUCTOS[[#This Row],[STOCK]]&lt;0,"NEGATIVO",IF(PRODUCTOS[[#This Row],[STOCK]]=0,"SIN STOCK",IF(PRODUCTOS[[#This Row],[STOCK]]&lt;=PRODUCTOS[[#This Row],[STOCK MÍN.]],"BAJO","OK")))</f>
        <v/>
      </c>
      <c r="K8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15" hidden="1" s="11">
      <c r="A815" s="18" t="n">
        <v>800</v>
      </c>
      <c r="B815" s="56" t="inlineStr">
        <is>
          <t>00101-REF</t>
        </is>
      </c>
      <c r="C815" s="56">
        <f>IFERROR(_xlfn.XLOOKUP(PRODUCTOS[[#This Row],[CODIGO]],LISTADO[CODIGOS],LISTADO[CATEGORIA]),"NO EXISTE")</f>
        <v/>
      </c>
      <c r="D815" s="56">
        <f>IFERROR(_xlfn.XLOOKUP(PRODUCTOS[[#This Row],[CODIGO]],LISTADO[CODIGOS],LISTADO[PRODUCTOS]),"NO EXISTE")</f>
        <v/>
      </c>
      <c r="E815" s="56">
        <f>IFERROR(_xlfn.XLOOKUP(PRODUCTOS[[#This Row],[CODIGO]],LISTADO[CODIGOS],LISTADO[UBICACIÓN]),"NO EXISTE")</f>
        <v/>
      </c>
      <c r="F815" s="56">
        <f>SUMIFS(ENTRADAS[CANTIDAD],ENTRADAS[CODIGO],PRODUCTOS[[#This Row],[CODIGO]])</f>
        <v/>
      </c>
      <c r="G815" s="56">
        <f>SUMIFS(SALIDAS[CANTIDAD],SALIDAS[CODIGO],PRODUCTOS[[#This Row],[CODIGO]])</f>
        <v/>
      </c>
      <c r="H815" s="56">
        <f>PRODUCTOS[[#This Row],[ENTRADAS]]-PRODUCTOS[[#This Row],[SALIDAS ]]</f>
        <v/>
      </c>
      <c r="I815" s="76" t="n">
        <v>0</v>
      </c>
      <c r="J815">
        <f>IF(PRODUCTOS[[#This Row],[STOCK]]&lt;0,"NEGATIVO",IF(PRODUCTOS[[#This Row],[STOCK]]=0,"SIN STOCK",IF(PRODUCTOS[[#This Row],[STOCK]]&lt;=PRODUCTOS[[#This Row],[STOCK MÍN.]],"BAJO","OK")))</f>
        <v/>
      </c>
      <c r="K8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16" hidden="1" s="11">
      <c r="A816" s="18" t="n">
        <v>801</v>
      </c>
      <c r="B816" s="56" t="inlineStr">
        <is>
          <t>00163-FER</t>
        </is>
      </c>
      <c r="C816" s="56">
        <f>IFERROR(_xlfn.XLOOKUP(PRODUCTOS[[#This Row],[CODIGO]],LISTADO[CODIGOS],LISTADO[CATEGORIA]),"NO EXISTE")</f>
        <v/>
      </c>
      <c r="D816" s="56">
        <f>IFERROR(_xlfn.XLOOKUP(PRODUCTOS[[#This Row],[CODIGO]],LISTADO[CODIGOS],LISTADO[PRODUCTOS]),"NO EXISTE")</f>
        <v/>
      </c>
      <c r="E816" s="56">
        <f>IFERROR(_xlfn.XLOOKUP(PRODUCTOS[[#This Row],[CODIGO]],LISTADO[CODIGOS],LISTADO[UBICACIÓN]),"NO EXISTE")</f>
        <v/>
      </c>
      <c r="F816" s="56">
        <f>SUMIFS(ENTRADAS[CANTIDAD],ENTRADAS[CODIGO],PRODUCTOS[[#This Row],[CODIGO]])</f>
        <v/>
      </c>
      <c r="G816" s="56">
        <f>SUMIFS(SALIDAS[CANTIDAD],SALIDAS[CODIGO],PRODUCTOS[[#This Row],[CODIGO]])</f>
        <v/>
      </c>
      <c r="H816" s="56">
        <f>PRODUCTOS[[#This Row],[ENTRADAS]]-PRODUCTOS[[#This Row],[SALIDAS ]]</f>
        <v/>
      </c>
      <c r="I816" s="76" t="n">
        <v>0</v>
      </c>
      <c r="J816">
        <f>IF(PRODUCTOS[[#This Row],[STOCK]]&lt;0,"NEGATIVO",IF(PRODUCTOS[[#This Row],[STOCK]]=0,"SIN STOCK",IF(PRODUCTOS[[#This Row],[STOCK]]&lt;=PRODUCTOS[[#This Row],[STOCK MÍN.]],"BAJO","OK")))</f>
        <v/>
      </c>
      <c r="K8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17" hidden="1" s="11">
      <c r="A817" s="18" t="n">
        <v>802</v>
      </c>
      <c r="B817" s="56" t="inlineStr">
        <is>
          <t>00070-ELE</t>
        </is>
      </c>
      <c r="C817" s="56">
        <f>IFERROR(_xlfn.XLOOKUP(PRODUCTOS[[#This Row],[CODIGO]],LISTADO[CODIGOS],LISTADO[CATEGORIA]),"NO EXISTE")</f>
        <v/>
      </c>
      <c r="D817" s="56">
        <f>IFERROR(_xlfn.XLOOKUP(PRODUCTOS[[#This Row],[CODIGO]],LISTADO[CODIGOS],LISTADO[PRODUCTOS]),"NO EXISTE")</f>
        <v/>
      </c>
      <c r="E817" s="56">
        <f>IFERROR(_xlfn.XLOOKUP(PRODUCTOS[[#This Row],[CODIGO]],LISTADO[CODIGOS],LISTADO[UBICACIÓN]),"NO EXISTE")</f>
        <v/>
      </c>
      <c r="F817" s="56">
        <f>SUMIFS(ENTRADAS[CANTIDAD],ENTRADAS[CODIGO],PRODUCTOS[[#This Row],[CODIGO]])</f>
        <v/>
      </c>
      <c r="G817" s="56">
        <f>SUMIFS(SALIDAS[CANTIDAD],SALIDAS[CODIGO],PRODUCTOS[[#This Row],[CODIGO]])</f>
        <v/>
      </c>
      <c r="H817" s="56">
        <f>PRODUCTOS[[#This Row],[ENTRADAS]]-PRODUCTOS[[#This Row],[SALIDAS ]]</f>
        <v/>
      </c>
      <c r="I817" s="76" t="n">
        <v>0</v>
      </c>
      <c r="J817">
        <f>IF(PRODUCTOS[[#This Row],[STOCK]]&lt;0,"NEGATIVO",IF(PRODUCTOS[[#This Row],[STOCK]]=0,"SIN STOCK",IF(PRODUCTOS[[#This Row],[STOCK]]&lt;=PRODUCTOS[[#This Row],[STOCK MÍN.]],"BAJO","OK")))</f>
        <v/>
      </c>
      <c r="K8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18" hidden="1" s="11">
      <c r="A818" s="18" t="n">
        <v>803</v>
      </c>
      <c r="B818" s="56" t="inlineStr">
        <is>
          <t>00071-ELE</t>
        </is>
      </c>
      <c r="C818" s="56">
        <f>IFERROR(_xlfn.XLOOKUP(PRODUCTOS[[#This Row],[CODIGO]],LISTADO[CODIGOS],LISTADO[CATEGORIA]),"NO EXISTE")</f>
        <v/>
      </c>
      <c r="D818" s="56">
        <f>IFERROR(_xlfn.XLOOKUP(PRODUCTOS[[#This Row],[CODIGO]],LISTADO[CODIGOS],LISTADO[PRODUCTOS]),"NO EXISTE")</f>
        <v/>
      </c>
      <c r="E818" s="56">
        <f>IFERROR(_xlfn.XLOOKUP(PRODUCTOS[[#This Row],[CODIGO]],LISTADO[CODIGOS],LISTADO[UBICACIÓN]),"NO EXISTE")</f>
        <v/>
      </c>
      <c r="F818" s="56">
        <f>SUMIFS(ENTRADAS[CANTIDAD],ENTRADAS[CODIGO],PRODUCTOS[[#This Row],[CODIGO]])</f>
        <v/>
      </c>
      <c r="G818" s="56">
        <f>SUMIFS(SALIDAS[CANTIDAD],SALIDAS[CODIGO],PRODUCTOS[[#This Row],[CODIGO]])</f>
        <v/>
      </c>
      <c r="H818" s="56">
        <f>PRODUCTOS[[#This Row],[ENTRADAS]]-PRODUCTOS[[#This Row],[SALIDAS ]]</f>
        <v/>
      </c>
      <c r="I818" s="76" t="n">
        <v>0</v>
      </c>
      <c r="J818">
        <f>IF(PRODUCTOS[[#This Row],[STOCK]]&lt;0,"NEGATIVO",IF(PRODUCTOS[[#This Row],[STOCK]]=0,"SIN STOCK",IF(PRODUCTOS[[#This Row],[STOCK]]&lt;=PRODUCTOS[[#This Row],[STOCK MÍN.]],"BAJO","OK")))</f>
        <v/>
      </c>
      <c r="K8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19" hidden="1" s="11">
      <c r="A819" s="18" t="n">
        <v>804</v>
      </c>
      <c r="B819" s="56" t="inlineStr">
        <is>
          <t>00072-ELE</t>
        </is>
      </c>
      <c r="C819" s="56">
        <f>IFERROR(_xlfn.XLOOKUP(PRODUCTOS[[#This Row],[CODIGO]],LISTADO[CODIGOS],LISTADO[CATEGORIA]),"NO EXISTE")</f>
        <v/>
      </c>
      <c r="D819" s="56">
        <f>IFERROR(_xlfn.XLOOKUP(PRODUCTOS[[#This Row],[CODIGO]],LISTADO[CODIGOS],LISTADO[PRODUCTOS]),"NO EXISTE")</f>
        <v/>
      </c>
      <c r="E819" s="56">
        <f>IFERROR(_xlfn.XLOOKUP(PRODUCTOS[[#This Row],[CODIGO]],LISTADO[CODIGOS],LISTADO[UBICACIÓN]),"NO EXISTE")</f>
        <v/>
      </c>
      <c r="F819" s="56">
        <f>SUMIFS(ENTRADAS[CANTIDAD],ENTRADAS[CODIGO],PRODUCTOS[[#This Row],[CODIGO]])</f>
        <v/>
      </c>
      <c r="G819" s="56">
        <f>SUMIFS(SALIDAS[CANTIDAD],SALIDAS[CODIGO],PRODUCTOS[[#This Row],[CODIGO]])</f>
        <v/>
      </c>
      <c r="H819" s="56">
        <f>PRODUCTOS[[#This Row],[ENTRADAS]]-PRODUCTOS[[#This Row],[SALIDAS ]]</f>
        <v/>
      </c>
      <c r="I819" s="76" t="n">
        <v>0</v>
      </c>
      <c r="J819">
        <f>IF(PRODUCTOS[[#This Row],[STOCK]]&lt;0,"NEGATIVO",IF(PRODUCTOS[[#This Row],[STOCK]]=0,"SIN STOCK",IF(PRODUCTOS[[#This Row],[STOCK]]&lt;=PRODUCTOS[[#This Row],[STOCK MÍN.]],"BAJO","OK")))</f>
        <v/>
      </c>
      <c r="K8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20" hidden="1" s="11">
      <c r="A820" s="18" t="n">
        <v>805</v>
      </c>
      <c r="B820" s="56" t="inlineStr">
        <is>
          <t>00073-ELE</t>
        </is>
      </c>
      <c r="C820" s="56">
        <f>IFERROR(_xlfn.XLOOKUP(PRODUCTOS[[#This Row],[CODIGO]],LISTADO[CODIGOS],LISTADO[CATEGORIA]),"NO EXISTE")</f>
        <v/>
      </c>
      <c r="D820" s="56">
        <f>IFERROR(_xlfn.XLOOKUP(PRODUCTOS[[#This Row],[CODIGO]],LISTADO[CODIGOS],LISTADO[PRODUCTOS]),"NO EXISTE")</f>
        <v/>
      </c>
      <c r="E820" s="56">
        <f>IFERROR(_xlfn.XLOOKUP(PRODUCTOS[[#This Row],[CODIGO]],LISTADO[CODIGOS],LISTADO[UBICACIÓN]),"NO EXISTE")</f>
        <v/>
      </c>
      <c r="F820" s="56">
        <f>SUMIFS(ENTRADAS[CANTIDAD],ENTRADAS[CODIGO],PRODUCTOS[[#This Row],[CODIGO]])</f>
        <v/>
      </c>
      <c r="G820" s="56">
        <f>SUMIFS(SALIDAS[CANTIDAD],SALIDAS[CODIGO],PRODUCTOS[[#This Row],[CODIGO]])</f>
        <v/>
      </c>
      <c r="H820" s="56">
        <f>PRODUCTOS[[#This Row],[ENTRADAS]]-PRODUCTOS[[#This Row],[SALIDAS ]]</f>
        <v/>
      </c>
      <c r="I820" s="76" t="n">
        <v>0</v>
      </c>
      <c r="J820">
        <f>IF(PRODUCTOS[[#This Row],[STOCK]]&lt;0,"NEGATIVO",IF(PRODUCTOS[[#This Row],[STOCK]]=0,"SIN STOCK",IF(PRODUCTOS[[#This Row],[STOCK]]&lt;=PRODUCTOS[[#This Row],[STOCK MÍN.]],"BAJO","OK")))</f>
        <v/>
      </c>
      <c r="K8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21" hidden="1" s="11">
      <c r="A821" s="18" t="n">
        <v>806</v>
      </c>
      <c r="B821" s="56" t="inlineStr">
        <is>
          <t>00164-FER</t>
        </is>
      </c>
      <c r="C821" s="56">
        <f>IFERROR(_xlfn.XLOOKUP(PRODUCTOS[[#This Row],[CODIGO]],LISTADO[CODIGOS],LISTADO[CATEGORIA]),"NO EXISTE")</f>
        <v/>
      </c>
      <c r="D821" s="56">
        <f>IFERROR(_xlfn.XLOOKUP(PRODUCTOS[[#This Row],[CODIGO]],LISTADO[CODIGOS],LISTADO[PRODUCTOS]),"NO EXISTE")</f>
        <v/>
      </c>
      <c r="E821" s="56">
        <f>IFERROR(_xlfn.XLOOKUP(PRODUCTOS[[#This Row],[CODIGO]],LISTADO[CODIGOS],LISTADO[UBICACIÓN]),"NO EXISTE")</f>
        <v/>
      </c>
      <c r="F821" s="56">
        <f>SUMIFS(ENTRADAS[CANTIDAD],ENTRADAS[CODIGO],PRODUCTOS[[#This Row],[CODIGO]])</f>
        <v/>
      </c>
      <c r="G821" s="56">
        <f>SUMIFS(SALIDAS[CANTIDAD],SALIDAS[CODIGO],PRODUCTOS[[#This Row],[CODIGO]])</f>
        <v/>
      </c>
      <c r="H821" s="56">
        <f>PRODUCTOS[[#This Row],[ENTRADAS]]-PRODUCTOS[[#This Row],[SALIDAS ]]</f>
        <v/>
      </c>
      <c r="I821" s="76" t="n">
        <v>0</v>
      </c>
      <c r="J821">
        <f>IF(PRODUCTOS[[#This Row],[STOCK]]&lt;0,"NEGATIVO",IF(PRODUCTOS[[#This Row],[STOCK]]=0,"SIN STOCK",IF(PRODUCTOS[[#This Row],[STOCK]]&lt;=PRODUCTOS[[#This Row],[STOCK MÍN.]],"BAJO","OK")))</f>
        <v/>
      </c>
      <c r="K8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22" hidden="1" s="11">
      <c r="A822" s="18" t="n">
        <v>807</v>
      </c>
      <c r="B822" s="56" t="inlineStr">
        <is>
          <t>00165-FER</t>
        </is>
      </c>
      <c r="C822" s="56">
        <f>IFERROR(_xlfn.XLOOKUP(PRODUCTOS[[#This Row],[CODIGO]],LISTADO[CODIGOS],LISTADO[CATEGORIA]),"NO EXISTE")</f>
        <v/>
      </c>
      <c r="D822" s="56">
        <f>IFERROR(_xlfn.XLOOKUP(PRODUCTOS[[#This Row],[CODIGO]],LISTADO[CODIGOS],LISTADO[PRODUCTOS]),"NO EXISTE")</f>
        <v/>
      </c>
      <c r="E822" s="56">
        <f>IFERROR(_xlfn.XLOOKUP(PRODUCTOS[[#This Row],[CODIGO]],LISTADO[CODIGOS],LISTADO[UBICACIÓN]),"NO EXISTE")</f>
        <v/>
      </c>
      <c r="F822" s="56">
        <f>SUMIFS(ENTRADAS[CANTIDAD],ENTRADAS[CODIGO],PRODUCTOS[[#This Row],[CODIGO]])</f>
        <v/>
      </c>
      <c r="G822" s="56">
        <f>SUMIFS(SALIDAS[CANTIDAD],SALIDAS[CODIGO],PRODUCTOS[[#This Row],[CODIGO]])</f>
        <v/>
      </c>
      <c r="H822" s="56">
        <f>PRODUCTOS[[#This Row],[ENTRADAS]]-PRODUCTOS[[#This Row],[SALIDAS ]]</f>
        <v/>
      </c>
      <c r="I822" s="76" t="n">
        <v>0</v>
      </c>
      <c r="J822">
        <f>IF(PRODUCTOS[[#This Row],[STOCK]]&lt;0,"NEGATIVO",IF(PRODUCTOS[[#This Row],[STOCK]]=0,"SIN STOCK",IF(PRODUCTOS[[#This Row],[STOCK]]&lt;=PRODUCTOS[[#This Row],[STOCK MÍN.]],"BAJO","OK")))</f>
        <v/>
      </c>
      <c r="K8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23" hidden="1" s="11">
      <c r="A823" s="18" t="n">
        <v>808</v>
      </c>
      <c r="B823" s="56" t="inlineStr">
        <is>
          <t>00166-FER</t>
        </is>
      </c>
      <c r="C823" s="56">
        <f>IFERROR(_xlfn.XLOOKUP(PRODUCTOS[[#This Row],[CODIGO]],LISTADO[CODIGOS],LISTADO[CATEGORIA]),"NO EXISTE")</f>
        <v/>
      </c>
      <c r="D823" s="56">
        <f>IFERROR(_xlfn.XLOOKUP(PRODUCTOS[[#This Row],[CODIGO]],LISTADO[CODIGOS],LISTADO[PRODUCTOS]),"NO EXISTE")</f>
        <v/>
      </c>
      <c r="E823" s="56">
        <f>IFERROR(_xlfn.XLOOKUP(PRODUCTOS[[#This Row],[CODIGO]],LISTADO[CODIGOS],LISTADO[UBICACIÓN]),"NO EXISTE")</f>
        <v/>
      </c>
      <c r="F823" s="56">
        <f>SUMIFS(ENTRADAS[CANTIDAD],ENTRADAS[CODIGO],PRODUCTOS[[#This Row],[CODIGO]])</f>
        <v/>
      </c>
      <c r="G823" s="56">
        <f>SUMIFS(SALIDAS[CANTIDAD],SALIDAS[CODIGO],PRODUCTOS[[#This Row],[CODIGO]])</f>
        <v/>
      </c>
      <c r="H823" s="56">
        <f>PRODUCTOS[[#This Row],[ENTRADAS]]-PRODUCTOS[[#This Row],[SALIDAS ]]</f>
        <v/>
      </c>
      <c r="I823" s="76" t="n">
        <v>0</v>
      </c>
      <c r="J823">
        <f>IF(PRODUCTOS[[#This Row],[STOCK]]&lt;0,"NEGATIVO",IF(PRODUCTOS[[#This Row],[STOCK]]=0,"SIN STOCK",IF(PRODUCTOS[[#This Row],[STOCK]]&lt;=PRODUCTOS[[#This Row],[STOCK MÍN.]],"BAJO","OK")))</f>
        <v/>
      </c>
      <c r="K8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24" hidden="1" s="11">
      <c r="A824" s="18" t="n">
        <v>809</v>
      </c>
      <c r="B824" s="56" t="inlineStr">
        <is>
          <t>00167-FER</t>
        </is>
      </c>
      <c r="C824" s="56">
        <f>IFERROR(_xlfn.XLOOKUP(PRODUCTOS[[#This Row],[CODIGO]],LISTADO[CODIGOS],LISTADO[CATEGORIA]),"NO EXISTE")</f>
        <v/>
      </c>
      <c r="D824" s="56">
        <f>IFERROR(_xlfn.XLOOKUP(PRODUCTOS[[#This Row],[CODIGO]],LISTADO[CODIGOS],LISTADO[PRODUCTOS]),"NO EXISTE")</f>
        <v/>
      </c>
      <c r="E824" s="56">
        <f>IFERROR(_xlfn.XLOOKUP(PRODUCTOS[[#This Row],[CODIGO]],LISTADO[CODIGOS],LISTADO[UBICACIÓN]),"NO EXISTE")</f>
        <v/>
      </c>
      <c r="F824" s="56">
        <f>SUMIFS(ENTRADAS[CANTIDAD],ENTRADAS[CODIGO],PRODUCTOS[[#This Row],[CODIGO]])</f>
        <v/>
      </c>
      <c r="G824" s="56">
        <f>SUMIFS(SALIDAS[CANTIDAD],SALIDAS[CODIGO],PRODUCTOS[[#This Row],[CODIGO]])</f>
        <v/>
      </c>
      <c r="H824" s="56">
        <f>PRODUCTOS[[#This Row],[ENTRADAS]]-PRODUCTOS[[#This Row],[SALIDAS ]]</f>
        <v/>
      </c>
      <c r="I824" s="76" t="n">
        <v>0</v>
      </c>
      <c r="J824">
        <f>IF(PRODUCTOS[[#This Row],[STOCK]]&lt;0,"NEGATIVO",IF(PRODUCTOS[[#This Row],[STOCK]]=0,"SIN STOCK",IF(PRODUCTOS[[#This Row],[STOCK]]&lt;=PRODUCTOS[[#This Row],[STOCK MÍN.]],"BAJO","OK")))</f>
        <v/>
      </c>
      <c r="K8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25" hidden="1" s="11">
      <c r="A825" s="18" t="n">
        <v>810</v>
      </c>
      <c r="B825" s="56" t="inlineStr">
        <is>
          <t>00168-FER</t>
        </is>
      </c>
      <c r="C825" s="56">
        <f>IFERROR(_xlfn.XLOOKUP(PRODUCTOS[[#This Row],[CODIGO]],LISTADO[CODIGOS],LISTADO[CATEGORIA]),"NO EXISTE")</f>
        <v/>
      </c>
      <c r="D825" s="56">
        <f>IFERROR(_xlfn.XLOOKUP(PRODUCTOS[[#This Row],[CODIGO]],LISTADO[CODIGOS],LISTADO[PRODUCTOS]),"NO EXISTE")</f>
        <v/>
      </c>
      <c r="E825" s="56">
        <f>IFERROR(_xlfn.XLOOKUP(PRODUCTOS[[#This Row],[CODIGO]],LISTADO[CODIGOS],LISTADO[UBICACIÓN]),"NO EXISTE")</f>
        <v/>
      </c>
      <c r="F825" s="56">
        <f>SUMIFS(ENTRADAS[CANTIDAD],ENTRADAS[CODIGO],PRODUCTOS[[#This Row],[CODIGO]])</f>
        <v/>
      </c>
      <c r="G825" s="56">
        <f>SUMIFS(SALIDAS[CANTIDAD],SALIDAS[CODIGO],PRODUCTOS[[#This Row],[CODIGO]])</f>
        <v/>
      </c>
      <c r="H825" s="56">
        <f>PRODUCTOS[[#This Row],[ENTRADAS]]-PRODUCTOS[[#This Row],[SALIDAS ]]</f>
        <v/>
      </c>
      <c r="I825" s="76" t="n">
        <v>0</v>
      </c>
      <c r="J825">
        <f>IF(PRODUCTOS[[#This Row],[STOCK]]&lt;0,"NEGATIVO",IF(PRODUCTOS[[#This Row],[STOCK]]=0,"SIN STOCK",IF(PRODUCTOS[[#This Row],[STOCK]]&lt;=PRODUCTOS[[#This Row],[STOCK MÍN.]],"BAJO","OK")))</f>
        <v/>
      </c>
      <c r="K8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26" hidden="1" s="11">
      <c r="A826" s="18" t="n">
        <v>811</v>
      </c>
      <c r="B826" s="56" t="inlineStr">
        <is>
          <t>00169-FER</t>
        </is>
      </c>
      <c r="C826" s="56">
        <f>IFERROR(_xlfn.XLOOKUP(PRODUCTOS[[#This Row],[CODIGO]],LISTADO[CODIGOS],LISTADO[CATEGORIA]),"NO EXISTE")</f>
        <v/>
      </c>
      <c r="D826" s="56">
        <f>IFERROR(_xlfn.XLOOKUP(PRODUCTOS[[#This Row],[CODIGO]],LISTADO[CODIGOS],LISTADO[PRODUCTOS]),"NO EXISTE")</f>
        <v/>
      </c>
      <c r="E826" s="56">
        <f>IFERROR(_xlfn.XLOOKUP(PRODUCTOS[[#This Row],[CODIGO]],LISTADO[CODIGOS],LISTADO[UBICACIÓN]),"NO EXISTE")</f>
        <v/>
      </c>
      <c r="F826" s="56">
        <f>SUMIFS(ENTRADAS[CANTIDAD],ENTRADAS[CODIGO],PRODUCTOS[[#This Row],[CODIGO]])</f>
        <v/>
      </c>
      <c r="G826" s="56">
        <f>SUMIFS(SALIDAS[CANTIDAD],SALIDAS[CODIGO],PRODUCTOS[[#This Row],[CODIGO]])</f>
        <v/>
      </c>
      <c r="H826" s="56">
        <f>PRODUCTOS[[#This Row],[ENTRADAS]]-PRODUCTOS[[#This Row],[SALIDAS ]]</f>
        <v/>
      </c>
      <c r="I826" s="76" t="n">
        <v>0</v>
      </c>
      <c r="J826">
        <f>IF(PRODUCTOS[[#This Row],[STOCK]]&lt;0,"NEGATIVO",IF(PRODUCTOS[[#This Row],[STOCK]]=0,"SIN STOCK",IF(PRODUCTOS[[#This Row],[STOCK]]&lt;=PRODUCTOS[[#This Row],[STOCK MÍN.]],"BAJO","OK")))</f>
        <v/>
      </c>
      <c r="K8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27" hidden="1" s="11">
      <c r="A827" s="18" t="n">
        <v>812</v>
      </c>
      <c r="B827" s="56" t="inlineStr">
        <is>
          <t>00170-FER</t>
        </is>
      </c>
      <c r="C827" s="56">
        <f>IFERROR(_xlfn.XLOOKUP(PRODUCTOS[[#This Row],[CODIGO]],LISTADO[CODIGOS],LISTADO[CATEGORIA]),"NO EXISTE")</f>
        <v/>
      </c>
      <c r="D827" s="56">
        <f>IFERROR(_xlfn.XLOOKUP(PRODUCTOS[[#This Row],[CODIGO]],LISTADO[CODIGOS],LISTADO[PRODUCTOS]),"NO EXISTE")</f>
        <v/>
      </c>
      <c r="E827" s="56">
        <f>IFERROR(_xlfn.XLOOKUP(PRODUCTOS[[#This Row],[CODIGO]],LISTADO[CODIGOS],LISTADO[UBICACIÓN]),"NO EXISTE")</f>
        <v/>
      </c>
      <c r="F827" s="56">
        <f>SUMIFS(ENTRADAS[CANTIDAD],ENTRADAS[CODIGO],PRODUCTOS[[#This Row],[CODIGO]])</f>
        <v/>
      </c>
      <c r="G827" s="56">
        <f>SUMIFS(SALIDAS[CANTIDAD],SALIDAS[CODIGO],PRODUCTOS[[#This Row],[CODIGO]])</f>
        <v/>
      </c>
      <c r="H827" s="56">
        <f>PRODUCTOS[[#This Row],[ENTRADAS]]-PRODUCTOS[[#This Row],[SALIDAS ]]</f>
        <v/>
      </c>
      <c r="I827" s="76" t="n">
        <v>0</v>
      </c>
      <c r="J827">
        <f>IF(PRODUCTOS[[#This Row],[STOCK]]&lt;0,"NEGATIVO",IF(PRODUCTOS[[#This Row],[STOCK]]=0,"SIN STOCK",IF(PRODUCTOS[[#This Row],[STOCK]]&lt;=PRODUCTOS[[#This Row],[STOCK MÍN.]],"BAJO","OK")))</f>
        <v/>
      </c>
      <c r="K8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28" hidden="1" s="11">
      <c r="A828" s="18" t="n">
        <v>813</v>
      </c>
      <c r="B828" s="56" t="inlineStr">
        <is>
          <t>00059-HRR</t>
        </is>
      </c>
      <c r="C828" s="56">
        <f>IFERROR(_xlfn.XLOOKUP(PRODUCTOS[[#This Row],[CODIGO]],LISTADO[CODIGOS],LISTADO[CATEGORIA]),"NO EXISTE")</f>
        <v/>
      </c>
      <c r="D828" s="56">
        <f>IFERROR(_xlfn.XLOOKUP(PRODUCTOS[[#This Row],[CODIGO]],LISTADO[CODIGOS],LISTADO[PRODUCTOS]),"NO EXISTE")</f>
        <v/>
      </c>
      <c r="E828" s="56">
        <f>IFERROR(_xlfn.XLOOKUP(PRODUCTOS[[#This Row],[CODIGO]],LISTADO[CODIGOS],LISTADO[UBICACIÓN]),"NO EXISTE")</f>
        <v/>
      </c>
      <c r="F828" s="56">
        <f>SUMIFS(ENTRADAS[CANTIDAD],ENTRADAS[CODIGO],PRODUCTOS[[#This Row],[CODIGO]])</f>
        <v/>
      </c>
      <c r="G828" s="56">
        <f>SUMIFS(SALIDAS[CANTIDAD],SALIDAS[CODIGO],PRODUCTOS[[#This Row],[CODIGO]])</f>
        <v/>
      </c>
      <c r="H828" s="56">
        <f>PRODUCTOS[[#This Row],[ENTRADAS]]-PRODUCTOS[[#This Row],[SALIDAS ]]</f>
        <v/>
      </c>
      <c r="I828" s="76" t="n">
        <v>0</v>
      </c>
      <c r="J828">
        <f>IF(PRODUCTOS[[#This Row],[STOCK]]&lt;0,"NEGATIVO",IF(PRODUCTOS[[#This Row],[STOCK]]=0,"SIN STOCK",IF(PRODUCTOS[[#This Row],[STOCK]]&lt;=PRODUCTOS[[#This Row],[STOCK MÍN.]],"BAJO","OK")))</f>
        <v/>
      </c>
      <c r="K8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29" hidden="1" s="11">
      <c r="A829" s="18" t="n">
        <v>814</v>
      </c>
      <c r="B829" s="56" t="inlineStr">
        <is>
          <t>00110-HER</t>
        </is>
      </c>
      <c r="C829" s="56">
        <f>IFERROR(_xlfn.XLOOKUP(PRODUCTOS[[#This Row],[CODIGO]],LISTADO[CODIGOS],LISTADO[CATEGORIA]),"NO EXISTE")</f>
        <v/>
      </c>
      <c r="D829" s="56">
        <f>IFERROR(_xlfn.XLOOKUP(PRODUCTOS[[#This Row],[CODIGO]],LISTADO[CODIGOS],LISTADO[PRODUCTOS]),"NO EXISTE")</f>
        <v/>
      </c>
      <c r="E829" s="56">
        <f>IFERROR(_xlfn.XLOOKUP(PRODUCTOS[[#This Row],[CODIGO]],LISTADO[CODIGOS],LISTADO[UBICACIÓN]),"NO EXISTE")</f>
        <v/>
      </c>
      <c r="F829" s="56">
        <f>SUMIFS(ENTRADAS[CANTIDAD],ENTRADAS[CODIGO],PRODUCTOS[[#This Row],[CODIGO]])</f>
        <v/>
      </c>
      <c r="G829" s="56">
        <f>SUMIFS(SALIDAS[CANTIDAD],SALIDAS[CODIGO],PRODUCTOS[[#This Row],[CODIGO]])</f>
        <v/>
      </c>
      <c r="H829" s="56">
        <f>PRODUCTOS[[#This Row],[ENTRADAS]]-PRODUCTOS[[#This Row],[SALIDAS ]]</f>
        <v/>
      </c>
      <c r="I829" s="76" t="n">
        <v>0</v>
      </c>
      <c r="J829">
        <f>IF(PRODUCTOS[[#This Row],[STOCK]]&lt;0,"NEGATIVO",IF(PRODUCTOS[[#This Row],[STOCK]]=0,"SIN STOCK",IF(PRODUCTOS[[#This Row],[STOCK]]&lt;=PRODUCTOS[[#This Row],[STOCK MÍN.]],"BAJO","OK")))</f>
        <v/>
      </c>
      <c r="K8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30" hidden="1" s="11">
      <c r="A830" s="18" t="n">
        <v>815</v>
      </c>
      <c r="B830" s="56" t="inlineStr">
        <is>
          <t>00074-ELE</t>
        </is>
      </c>
      <c r="C830" s="56">
        <f>IFERROR(_xlfn.XLOOKUP(PRODUCTOS[[#This Row],[CODIGO]],LISTADO[CODIGOS],LISTADO[CATEGORIA]),"NO EXISTE")</f>
        <v/>
      </c>
      <c r="D830" s="56">
        <f>IFERROR(_xlfn.XLOOKUP(PRODUCTOS[[#This Row],[CODIGO]],LISTADO[CODIGOS],LISTADO[PRODUCTOS]),"NO EXISTE")</f>
        <v/>
      </c>
      <c r="E830" s="56">
        <f>IFERROR(_xlfn.XLOOKUP(PRODUCTOS[[#This Row],[CODIGO]],LISTADO[CODIGOS],LISTADO[UBICACIÓN]),"NO EXISTE")</f>
        <v/>
      </c>
      <c r="F830" s="56">
        <f>SUMIFS(ENTRADAS[CANTIDAD],ENTRADAS[CODIGO],PRODUCTOS[[#This Row],[CODIGO]])</f>
        <v/>
      </c>
      <c r="G830" s="56">
        <f>SUMIFS(SALIDAS[CANTIDAD],SALIDAS[CODIGO],PRODUCTOS[[#This Row],[CODIGO]])</f>
        <v/>
      </c>
      <c r="H830" s="56">
        <f>PRODUCTOS[[#This Row],[ENTRADAS]]-PRODUCTOS[[#This Row],[SALIDAS ]]</f>
        <v/>
      </c>
      <c r="I830" s="76" t="n">
        <v>0</v>
      </c>
      <c r="J830">
        <f>IF(PRODUCTOS[[#This Row],[STOCK]]&lt;0,"NEGATIVO",IF(PRODUCTOS[[#This Row],[STOCK]]=0,"SIN STOCK",IF(PRODUCTOS[[#This Row],[STOCK]]&lt;=PRODUCTOS[[#This Row],[STOCK MÍN.]],"BAJO","OK")))</f>
        <v/>
      </c>
      <c r="K8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31" hidden="1" s="11">
      <c r="A831" s="18" t="n">
        <v>816</v>
      </c>
      <c r="B831" s="56" t="inlineStr">
        <is>
          <t>00019-LIM</t>
        </is>
      </c>
      <c r="C831" s="56">
        <f>IFERROR(_xlfn.XLOOKUP(PRODUCTOS[[#This Row],[CODIGO]],LISTADO[CODIGOS],LISTADO[CATEGORIA]),"NO EXISTE")</f>
        <v/>
      </c>
      <c r="D831" s="56">
        <f>IFERROR(_xlfn.XLOOKUP(PRODUCTOS[[#This Row],[CODIGO]],LISTADO[CODIGOS],LISTADO[PRODUCTOS]),"NO EXISTE")</f>
        <v/>
      </c>
      <c r="E831" s="56">
        <f>IFERROR(_xlfn.XLOOKUP(PRODUCTOS[[#This Row],[CODIGO]],LISTADO[CODIGOS],LISTADO[UBICACIÓN]),"NO EXISTE")</f>
        <v/>
      </c>
      <c r="F831" s="56">
        <f>SUMIFS(ENTRADAS[CANTIDAD],ENTRADAS[CODIGO],PRODUCTOS[[#This Row],[CODIGO]])</f>
        <v/>
      </c>
      <c r="G831" s="56">
        <f>SUMIFS(SALIDAS[CANTIDAD],SALIDAS[CODIGO],PRODUCTOS[[#This Row],[CODIGO]])</f>
        <v/>
      </c>
      <c r="H831" s="56">
        <f>PRODUCTOS[[#This Row],[ENTRADAS]]-PRODUCTOS[[#This Row],[SALIDAS ]]</f>
        <v/>
      </c>
      <c r="I831" s="76" t="n">
        <v>0</v>
      </c>
      <c r="J831">
        <f>IF(PRODUCTOS[[#This Row],[STOCK]]&lt;0,"NEGATIVO",IF(PRODUCTOS[[#This Row],[STOCK]]=0,"SIN STOCK",IF(PRODUCTOS[[#This Row],[STOCK]]&lt;=PRODUCTOS[[#This Row],[STOCK MÍN.]],"BAJO","OK")))</f>
        <v/>
      </c>
      <c r="K8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32" hidden="1" s="11">
      <c r="A832" s="18" t="n">
        <v>817</v>
      </c>
      <c r="B832" s="56" t="inlineStr">
        <is>
          <t>00051-ILU</t>
        </is>
      </c>
      <c r="C832" s="56">
        <f>IFERROR(_xlfn.XLOOKUP(PRODUCTOS[[#This Row],[CODIGO]],LISTADO[CODIGOS],LISTADO[CATEGORIA]),"NO EXISTE")</f>
        <v/>
      </c>
      <c r="D832" s="56">
        <f>IFERROR(_xlfn.XLOOKUP(PRODUCTOS[[#This Row],[CODIGO]],LISTADO[CODIGOS],LISTADO[PRODUCTOS]),"NO EXISTE")</f>
        <v/>
      </c>
      <c r="E832" s="56">
        <f>IFERROR(_xlfn.XLOOKUP(PRODUCTOS[[#This Row],[CODIGO]],LISTADO[CODIGOS],LISTADO[UBICACIÓN]),"NO EXISTE")</f>
        <v/>
      </c>
      <c r="F832" s="56">
        <f>SUMIFS(ENTRADAS[CANTIDAD],ENTRADAS[CODIGO],PRODUCTOS[[#This Row],[CODIGO]])</f>
        <v/>
      </c>
      <c r="G832" s="56">
        <f>SUMIFS(SALIDAS[CANTIDAD],SALIDAS[CODIGO],PRODUCTOS[[#This Row],[CODIGO]])</f>
        <v/>
      </c>
      <c r="H832" s="56">
        <f>PRODUCTOS[[#This Row],[ENTRADAS]]-PRODUCTOS[[#This Row],[SALIDAS ]]</f>
        <v/>
      </c>
      <c r="I832" s="76" t="n">
        <v>0</v>
      </c>
      <c r="J832">
        <f>IF(PRODUCTOS[[#This Row],[STOCK]]&lt;0,"NEGATIVO",IF(PRODUCTOS[[#This Row],[STOCK]]=0,"SIN STOCK",IF(PRODUCTOS[[#This Row],[STOCK]]&lt;=PRODUCTOS[[#This Row],[STOCK MÍN.]],"BAJO","OK")))</f>
        <v/>
      </c>
      <c r="K8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33" hidden="1" s="11">
      <c r="A833" s="18" t="n">
        <v>818</v>
      </c>
      <c r="B833" s="56" t="inlineStr">
        <is>
          <t>00102-REF</t>
        </is>
      </c>
      <c r="C833" s="56">
        <f>IFERROR(_xlfn.XLOOKUP(PRODUCTOS[[#This Row],[CODIGO]],LISTADO[CODIGOS],LISTADO[CATEGORIA]),"NO EXISTE")</f>
        <v/>
      </c>
      <c r="D833" s="56">
        <f>IFERROR(_xlfn.XLOOKUP(PRODUCTOS[[#This Row],[CODIGO]],LISTADO[CODIGOS],LISTADO[PRODUCTOS]),"NO EXISTE")</f>
        <v/>
      </c>
      <c r="E833" s="56">
        <f>IFERROR(_xlfn.XLOOKUP(PRODUCTOS[[#This Row],[CODIGO]],LISTADO[CODIGOS],LISTADO[UBICACIÓN]),"NO EXISTE")</f>
        <v/>
      </c>
      <c r="F833" s="56">
        <f>SUMIFS(ENTRADAS[CANTIDAD],ENTRADAS[CODIGO],PRODUCTOS[[#This Row],[CODIGO]])</f>
        <v/>
      </c>
      <c r="G833" s="56">
        <f>SUMIFS(SALIDAS[CANTIDAD],SALIDAS[CODIGO],PRODUCTOS[[#This Row],[CODIGO]])</f>
        <v/>
      </c>
      <c r="H833" s="56">
        <f>PRODUCTOS[[#This Row],[ENTRADAS]]-PRODUCTOS[[#This Row],[SALIDAS ]]</f>
        <v/>
      </c>
      <c r="I833" s="76" t="n">
        <v>0</v>
      </c>
      <c r="J833">
        <f>IF(PRODUCTOS[[#This Row],[STOCK]]&lt;0,"NEGATIVO",IF(PRODUCTOS[[#This Row],[STOCK]]=0,"SIN STOCK",IF(PRODUCTOS[[#This Row],[STOCK]]&lt;=PRODUCTOS[[#This Row],[STOCK MÍN.]],"BAJO","OK")))</f>
        <v/>
      </c>
      <c r="K8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34" hidden="1" s="11">
      <c r="A834" s="18" t="n">
        <v>698</v>
      </c>
      <c r="B834" s="56" t="inlineStr">
        <is>
          <t>00103-REF</t>
        </is>
      </c>
      <c r="C834" s="56">
        <f>IFERROR(_xlfn.XLOOKUP(PRODUCTOS[[#This Row],[CODIGO]],LISTADO[CODIGOS],LISTADO[CATEGORIA]),"NO EXISTE")</f>
        <v/>
      </c>
      <c r="D834" s="56">
        <f>IFERROR(_xlfn.XLOOKUP(PRODUCTOS[[#This Row],[CODIGO]],LISTADO[CODIGOS],LISTADO[PRODUCTOS]),"NO EXISTE")</f>
        <v/>
      </c>
      <c r="E834" s="56">
        <f>IFERROR(_xlfn.XLOOKUP(PRODUCTOS[[#This Row],[CODIGO]],LISTADO[CODIGOS],LISTADO[UBICACIÓN]),"NO EXISTE")</f>
        <v/>
      </c>
      <c r="F834" s="56">
        <f>SUMIFS(ENTRADAS[CANTIDAD],ENTRADAS[CODIGO],PRODUCTOS[[#This Row],[CODIGO]])</f>
        <v/>
      </c>
      <c r="G834" s="56">
        <f>SUMIFS(SALIDAS[CANTIDAD],SALIDAS[CODIGO],PRODUCTOS[[#This Row],[CODIGO]])</f>
        <v/>
      </c>
      <c r="H834" s="56">
        <f>PRODUCTOS[[#This Row],[ENTRADAS]]-PRODUCTOS[[#This Row],[SALIDAS ]]</f>
        <v/>
      </c>
      <c r="I834" s="76" t="n">
        <v>0</v>
      </c>
      <c r="J834">
        <f>IF(PRODUCTOS[[#This Row],[STOCK]]&lt;0,"NEGATIVO",IF(PRODUCTOS[[#This Row],[STOCK]]=0,"SIN STOCK",IF(PRODUCTOS[[#This Row],[STOCK]]&lt;=PRODUCTOS[[#This Row],[STOCK MÍN.]],"BAJO","OK")))</f>
        <v/>
      </c>
      <c r="K8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35" hidden="1" s="11">
      <c r="A835" s="18" t="n">
        <v>820</v>
      </c>
      <c r="B835" s="56" t="inlineStr">
        <is>
          <t>00111-HER</t>
        </is>
      </c>
      <c r="C835" s="56">
        <f>IFERROR(_xlfn.XLOOKUP(PRODUCTOS[[#This Row],[CODIGO]],LISTADO[CODIGOS],LISTADO[CATEGORIA]),"NO EXISTE")</f>
        <v/>
      </c>
      <c r="D835" s="56">
        <f>IFERROR(_xlfn.XLOOKUP(PRODUCTOS[[#This Row],[CODIGO]],LISTADO[CODIGOS],LISTADO[PRODUCTOS]),"NO EXISTE")</f>
        <v/>
      </c>
      <c r="E835" s="56">
        <f>IFERROR(_xlfn.XLOOKUP(PRODUCTOS[[#This Row],[CODIGO]],LISTADO[CODIGOS],LISTADO[UBICACIÓN]),"NO EXISTE")</f>
        <v/>
      </c>
      <c r="F835" s="56">
        <f>SUMIFS(ENTRADAS[CANTIDAD],ENTRADAS[CODIGO],PRODUCTOS[[#This Row],[CODIGO]])</f>
        <v/>
      </c>
      <c r="G835" s="56">
        <f>SUMIFS(SALIDAS[CANTIDAD],SALIDAS[CODIGO],PRODUCTOS[[#This Row],[CODIGO]])</f>
        <v/>
      </c>
      <c r="H835" s="56">
        <f>PRODUCTOS[[#This Row],[ENTRADAS]]-PRODUCTOS[[#This Row],[SALIDAS ]]</f>
        <v/>
      </c>
      <c r="I835" s="76" t="n">
        <v>0</v>
      </c>
      <c r="J835">
        <f>IF(PRODUCTOS[[#This Row],[STOCK]]&lt;0,"NEGATIVO",IF(PRODUCTOS[[#This Row],[STOCK]]=0,"SIN STOCK",IF(PRODUCTOS[[#This Row],[STOCK]]&lt;=PRODUCTOS[[#This Row],[STOCK MÍN.]],"BAJO","OK")))</f>
        <v/>
      </c>
      <c r="K8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36" hidden="1" s="11">
      <c r="A836" s="18" t="n">
        <v>821</v>
      </c>
      <c r="B836" s="56" t="inlineStr">
        <is>
          <t>00112-HER</t>
        </is>
      </c>
      <c r="C836" s="56">
        <f>IFERROR(_xlfn.XLOOKUP(PRODUCTOS[[#This Row],[CODIGO]],LISTADO[CODIGOS],LISTADO[CATEGORIA]),"NO EXISTE")</f>
        <v/>
      </c>
      <c r="D836" s="56">
        <f>IFERROR(_xlfn.XLOOKUP(PRODUCTOS[[#This Row],[CODIGO]],LISTADO[CODIGOS],LISTADO[PRODUCTOS]),"NO EXISTE")</f>
        <v/>
      </c>
      <c r="E836" s="56">
        <f>IFERROR(_xlfn.XLOOKUP(PRODUCTOS[[#This Row],[CODIGO]],LISTADO[CODIGOS],LISTADO[UBICACIÓN]),"NO EXISTE")</f>
        <v/>
      </c>
      <c r="F836" s="56">
        <f>SUMIFS(ENTRADAS[CANTIDAD],ENTRADAS[CODIGO],PRODUCTOS[[#This Row],[CODIGO]])</f>
        <v/>
      </c>
      <c r="G836" s="56">
        <f>SUMIFS(SALIDAS[CANTIDAD],SALIDAS[CODIGO],PRODUCTOS[[#This Row],[CODIGO]])</f>
        <v/>
      </c>
      <c r="H836" s="56">
        <f>PRODUCTOS[[#This Row],[ENTRADAS]]-PRODUCTOS[[#This Row],[SALIDAS ]]</f>
        <v/>
      </c>
      <c r="I836" s="76" t="n">
        <v>0</v>
      </c>
      <c r="J836">
        <f>IF(PRODUCTOS[[#This Row],[STOCK]]&lt;0,"NEGATIVO",IF(PRODUCTOS[[#This Row],[STOCK]]=0,"SIN STOCK",IF(PRODUCTOS[[#This Row],[STOCK]]&lt;=PRODUCTOS[[#This Row],[STOCK MÍN.]],"BAJO","OK")))</f>
        <v/>
      </c>
      <c r="K8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37" hidden="1" s="11">
      <c r="A837" s="18" t="n">
        <v>822</v>
      </c>
      <c r="B837" s="56" t="inlineStr">
        <is>
          <t>00104-REF</t>
        </is>
      </c>
      <c r="C837" s="56">
        <f>IFERROR(_xlfn.XLOOKUP(PRODUCTOS[[#This Row],[CODIGO]],LISTADO[CODIGOS],LISTADO[CATEGORIA]),"NO EXISTE")</f>
        <v/>
      </c>
      <c r="D837" s="56">
        <f>IFERROR(_xlfn.XLOOKUP(PRODUCTOS[[#This Row],[CODIGO]],LISTADO[CODIGOS],LISTADO[PRODUCTOS]),"NO EXISTE")</f>
        <v/>
      </c>
      <c r="E837" s="56">
        <f>IFERROR(_xlfn.XLOOKUP(PRODUCTOS[[#This Row],[CODIGO]],LISTADO[CODIGOS],LISTADO[UBICACIÓN]),"NO EXISTE")</f>
        <v/>
      </c>
      <c r="F837" s="56">
        <f>SUMIFS(ENTRADAS[CANTIDAD],ENTRADAS[CODIGO],PRODUCTOS[[#This Row],[CODIGO]])</f>
        <v/>
      </c>
      <c r="G837" s="56">
        <f>SUMIFS(SALIDAS[CANTIDAD],SALIDAS[CODIGO],PRODUCTOS[[#This Row],[CODIGO]])</f>
        <v/>
      </c>
      <c r="H837" s="56">
        <f>PRODUCTOS[[#This Row],[ENTRADAS]]-PRODUCTOS[[#This Row],[SALIDAS ]]</f>
        <v/>
      </c>
      <c r="I837" s="76" t="n">
        <v>0</v>
      </c>
      <c r="J837">
        <f>IF(PRODUCTOS[[#This Row],[STOCK]]&lt;0,"NEGATIVO",IF(PRODUCTOS[[#This Row],[STOCK]]=0,"SIN STOCK",IF(PRODUCTOS[[#This Row],[STOCK]]&lt;=PRODUCTOS[[#This Row],[STOCK MÍN.]],"BAJO","OK")))</f>
        <v/>
      </c>
      <c r="K8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38" hidden="1" s="11">
      <c r="A838" s="18" t="n">
        <v>823</v>
      </c>
      <c r="B838" s="56" t="inlineStr">
        <is>
          <t>00105-REF</t>
        </is>
      </c>
      <c r="C838" s="56">
        <f>IFERROR(_xlfn.XLOOKUP(PRODUCTOS[[#This Row],[CODIGO]],LISTADO[CODIGOS],LISTADO[CATEGORIA]),"NO EXISTE")</f>
        <v/>
      </c>
      <c r="D838" s="56">
        <f>IFERROR(_xlfn.XLOOKUP(PRODUCTOS[[#This Row],[CODIGO]],LISTADO[CODIGOS],LISTADO[PRODUCTOS]),"NO EXISTE")</f>
        <v/>
      </c>
      <c r="E838" s="56">
        <f>IFERROR(_xlfn.XLOOKUP(PRODUCTOS[[#This Row],[CODIGO]],LISTADO[CODIGOS],LISTADO[UBICACIÓN]),"NO EXISTE")</f>
        <v/>
      </c>
      <c r="F838" s="56">
        <f>SUMIFS(ENTRADAS[CANTIDAD],ENTRADAS[CODIGO],PRODUCTOS[[#This Row],[CODIGO]])</f>
        <v/>
      </c>
      <c r="G838" s="56">
        <f>SUMIFS(SALIDAS[CANTIDAD],SALIDAS[CODIGO],PRODUCTOS[[#This Row],[CODIGO]])</f>
        <v/>
      </c>
      <c r="H838" s="56">
        <f>PRODUCTOS[[#This Row],[ENTRADAS]]-PRODUCTOS[[#This Row],[SALIDAS ]]</f>
        <v/>
      </c>
      <c r="I838" s="76" t="n">
        <v>0</v>
      </c>
      <c r="J838">
        <f>IF(PRODUCTOS[[#This Row],[STOCK]]&lt;0,"NEGATIVO",IF(PRODUCTOS[[#This Row],[STOCK]]=0,"SIN STOCK",IF(PRODUCTOS[[#This Row],[STOCK]]&lt;=PRODUCTOS[[#This Row],[STOCK MÍN.]],"BAJO","OK")))</f>
        <v/>
      </c>
      <c r="K8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39" hidden="1" s="11">
      <c r="A839" s="18" t="n">
        <v>824</v>
      </c>
      <c r="B839" s="56" t="inlineStr">
        <is>
          <t>00015-AUT</t>
        </is>
      </c>
      <c r="C839" s="56">
        <f>IFERROR(_xlfn.XLOOKUP(PRODUCTOS[[#This Row],[CODIGO]],LISTADO[CODIGOS],LISTADO[CATEGORIA]),"NO EXISTE")</f>
        <v/>
      </c>
      <c r="D839" s="56">
        <f>IFERROR(_xlfn.XLOOKUP(PRODUCTOS[[#This Row],[CODIGO]],LISTADO[CODIGOS],LISTADO[PRODUCTOS]),"NO EXISTE")</f>
        <v/>
      </c>
      <c r="E839" s="56">
        <f>IFERROR(_xlfn.XLOOKUP(PRODUCTOS[[#This Row],[CODIGO]],LISTADO[CODIGOS],LISTADO[UBICACIÓN]),"NO EXISTE")</f>
        <v/>
      </c>
      <c r="F839" s="56">
        <f>SUMIFS(ENTRADAS[CANTIDAD],ENTRADAS[CODIGO],PRODUCTOS[[#This Row],[CODIGO]])</f>
        <v/>
      </c>
      <c r="G839" s="56">
        <f>SUMIFS(SALIDAS[CANTIDAD],SALIDAS[CODIGO],PRODUCTOS[[#This Row],[CODIGO]])</f>
        <v/>
      </c>
      <c r="H839" s="56">
        <f>PRODUCTOS[[#This Row],[ENTRADAS]]-PRODUCTOS[[#This Row],[SALIDAS ]]</f>
        <v/>
      </c>
      <c r="I839" s="76" t="n">
        <v>0</v>
      </c>
      <c r="J839">
        <f>IF(PRODUCTOS[[#This Row],[STOCK]]&lt;0,"NEGATIVO",IF(PRODUCTOS[[#This Row],[STOCK]]=0,"SIN STOCK",IF(PRODUCTOS[[#This Row],[STOCK]]&lt;=PRODUCTOS[[#This Row],[STOCK MÍN.]],"BAJO","OK")))</f>
        <v/>
      </c>
      <c r="K8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40" hidden="1" s="11">
      <c r="A840" s="18" t="n">
        <v>825</v>
      </c>
      <c r="B840" s="56" t="inlineStr">
        <is>
          <t>00171-FER</t>
        </is>
      </c>
      <c r="C840" s="56">
        <f>IFERROR(_xlfn.XLOOKUP(PRODUCTOS[[#This Row],[CODIGO]],LISTADO[CODIGOS],LISTADO[CATEGORIA]),"NO EXISTE")</f>
        <v/>
      </c>
      <c r="D840" s="56">
        <f>IFERROR(_xlfn.XLOOKUP(PRODUCTOS[[#This Row],[CODIGO]],LISTADO[CODIGOS],LISTADO[PRODUCTOS]),"NO EXISTE")</f>
        <v/>
      </c>
      <c r="E840" s="56">
        <f>IFERROR(_xlfn.XLOOKUP(PRODUCTOS[[#This Row],[CODIGO]],LISTADO[CODIGOS],LISTADO[UBICACIÓN]),"NO EXISTE")</f>
        <v/>
      </c>
      <c r="F840" s="56">
        <f>SUMIFS(ENTRADAS[CANTIDAD],ENTRADAS[CODIGO],PRODUCTOS[[#This Row],[CODIGO]])</f>
        <v/>
      </c>
      <c r="G840" s="56">
        <f>SUMIFS(SALIDAS[CANTIDAD],SALIDAS[CODIGO],PRODUCTOS[[#This Row],[CODIGO]])</f>
        <v/>
      </c>
      <c r="H840" s="56">
        <f>PRODUCTOS[[#This Row],[ENTRADAS]]-PRODUCTOS[[#This Row],[SALIDAS ]]</f>
        <v/>
      </c>
      <c r="I840" s="76" t="n">
        <v>0</v>
      </c>
      <c r="J840">
        <f>IF(PRODUCTOS[[#This Row],[STOCK]]&lt;0,"NEGATIVO",IF(PRODUCTOS[[#This Row],[STOCK]]=0,"SIN STOCK",IF(PRODUCTOS[[#This Row],[STOCK]]&lt;=PRODUCTOS[[#This Row],[STOCK MÍN.]],"BAJO","OK")))</f>
        <v/>
      </c>
      <c r="K8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41" hidden="1" s="11">
      <c r="A841" s="18" t="n">
        <v>826</v>
      </c>
      <c r="B841" s="56" t="inlineStr">
        <is>
          <t>00113-HER</t>
        </is>
      </c>
      <c r="C841" s="56">
        <f>IFERROR(_xlfn.XLOOKUP(PRODUCTOS[[#This Row],[CODIGO]],LISTADO[CODIGOS],LISTADO[CATEGORIA]),"NO EXISTE")</f>
        <v/>
      </c>
      <c r="D841" s="56">
        <f>IFERROR(_xlfn.XLOOKUP(PRODUCTOS[[#This Row],[CODIGO]],LISTADO[CODIGOS],LISTADO[PRODUCTOS]),"NO EXISTE")</f>
        <v/>
      </c>
      <c r="E841" s="56">
        <f>IFERROR(_xlfn.XLOOKUP(PRODUCTOS[[#This Row],[CODIGO]],LISTADO[CODIGOS],LISTADO[UBICACIÓN]),"NO EXISTE")</f>
        <v/>
      </c>
      <c r="F841" s="56">
        <f>SUMIFS(ENTRADAS[CANTIDAD],ENTRADAS[CODIGO],PRODUCTOS[[#This Row],[CODIGO]])</f>
        <v/>
      </c>
      <c r="G841" s="56">
        <f>SUMIFS(SALIDAS[CANTIDAD],SALIDAS[CODIGO],PRODUCTOS[[#This Row],[CODIGO]])</f>
        <v/>
      </c>
      <c r="H841" s="56">
        <f>PRODUCTOS[[#This Row],[ENTRADAS]]-PRODUCTOS[[#This Row],[SALIDAS ]]</f>
        <v/>
      </c>
      <c r="I841" s="76" t="n">
        <v>0</v>
      </c>
      <c r="J841">
        <f>IF(PRODUCTOS[[#This Row],[STOCK]]&lt;0,"NEGATIVO",IF(PRODUCTOS[[#This Row],[STOCK]]=0,"SIN STOCK",IF(PRODUCTOS[[#This Row],[STOCK]]&lt;=PRODUCTOS[[#This Row],[STOCK MÍN.]],"BAJO","OK")))</f>
        <v/>
      </c>
      <c r="K8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42" hidden="1" s="11">
      <c r="A842" s="18" t="n">
        <v>827</v>
      </c>
      <c r="B842" s="56" t="inlineStr">
        <is>
          <t>00054-PLM</t>
        </is>
      </c>
      <c r="C842" s="56">
        <f>IFERROR(_xlfn.XLOOKUP(PRODUCTOS[[#This Row],[CODIGO]],LISTADO[CODIGOS],LISTADO[CATEGORIA]),"NO EXISTE")</f>
        <v/>
      </c>
      <c r="D842" s="56">
        <f>IFERROR(_xlfn.XLOOKUP(PRODUCTOS[[#This Row],[CODIGO]],LISTADO[CODIGOS],LISTADO[PRODUCTOS]),"NO EXISTE")</f>
        <v/>
      </c>
      <c r="E842" s="56">
        <f>IFERROR(_xlfn.XLOOKUP(PRODUCTOS[[#This Row],[CODIGO]],LISTADO[CODIGOS],LISTADO[UBICACIÓN]),"NO EXISTE")</f>
        <v/>
      </c>
      <c r="F842" s="56">
        <f>SUMIFS(ENTRADAS[CANTIDAD],ENTRADAS[CODIGO],PRODUCTOS[[#This Row],[CODIGO]])</f>
        <v/>
      </c>
      <c r="G842" s="56">
        <f>SUMIFS(SALIDAS[CANTIDAD],SALIDAS[CODIGO],PRODUCTOS[[#This Row],[CODIGO]])</f>
        <v/>
      </c>
      <c r="H842" s="56">
        <f>PRODUCTOS[[#This Row],[ENTRADAS]]-PRODUCTOS[[#This Row],[SALIDAS ]]</f>
        <v/>
      </c>
      <c r="I842" s="76" t="n">
        <v>0</v>
      </c>
      <c r="J842">
        <f>IF(PRODUCTOS[[#This Row],[STOCK]]&lt;0,"NEGATIVO",IF(PRODUCTOS[[#This Row],[STOCK]]=0,"SIN STOCK",IF(PRODUCTOS[[#This Row],[STOCK]]&lt;=PRODUCTOS[[#This Row],[STOCK MÍN.]],"BAJO","OK")))</f>
        <v/>
      </c>
      <c r="K8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43" hidden="1" s="11">
      <c r="A843" s="18" t="n">
        <v>828</v>
      </c>
      <c r="B843" s="56" t="inlineStr">
        <is>
          <t>00114-HER</t>
        </is>
      </c>
      <c r="C843" s="56">
        <f>IFERROR(_xlfn.XLOOKUP(PRODUCTOS[[#This Row],[CODIGO]],LISTADO[CODIGOS],LISTADO[CATEGORIA]),"NO EXISTE")</f>
        <v/>
      </c>
      <c r="D843" s="56">
        <f>IFERROR(_xlfn.XLOOKUP(PRODUCTOS[[#This Row],[CODIGO]],LISTADO[CODIGOS],LISTADO[PRODUCTOS]),"NO EXISTE")</f>
        <v/>
      </c>
      <c r="E843" s="56">
        <f>IFERROR(_xlfn.XLOOKUP(PRODUCTOS[[#This Row],[CODIGO]],LISTADO[CODIGOS],LISTADO[UBICACIÓN]),"NO EXISTE")</f>
        <v/>
      </c>
      <c r="F843" s="56">
        <f>SUMIFS(ENTRADAS[CANTIDAD],ENTRADAS[CODIGO],PRODUCTOS[[#This Row],[CODIGO]])</f>
        <v/>
      </c>
      <c r="G843" s="56">
        <f>SUMIFS(SALIDAS[CANTIDAD],SALIDAS[CODIGO],PRODUCTOS[[#This Row],[CODIGO]])</f>
        <v/>
      </c>
      <c r="H843" s="56">
        <f>PRODUCTOS[[#This Row],[ENTRADAS]]-PRODUCTOS[[#This Row],[SALIDAS ]]</f>
        <v/>
      </c>
      <c r="I843" s="76" t="n">
        <v>0</v>
      </c>
      <c r="J843">
        <f>IF(PRODUCTOS[[#This Row],[STOCK]]&lt;0,"NEGATIVO",IF(PRODUCTOS[[#This Row],[STOCK]]=0,"SIN STOCK",IF(PRODUCTOS[[#This Row],[STOCK]]&lt;=PRODUCTOS[[#This Row],[STOCK MÍN.]],"BAJO","OK")))</f>
        <v/>
      </c>
      <c r="K8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44" hidden="1" s="11">
      <c r="A844" s="18" t="n">
        <v>829</v>
      </c>
      <c r="B844" s="56" t="inlineStr">
        <is>
          <t>00172-FER</t>
        </is>
      </c>
      <c r="C844" s="56">
        <f>IFERROR(_xlfn.XLOOKUP(PRODUCTOS[[#This Row],[CODIGO]],LISTADO[CODIGOS],LISTADO[CATEGORIA]),"NO EXISTE")</f>
        <v/>
      </c>
      <c r="D844" s="56">
        <f>IFERROR(_xlfn.XLOOKUP(PRODUCTOS[[#This Row],[CODIGO]],LISTADO[CODIGOS],LISTADO[PRODUCTOS]),"NO EXISTE")</f>
        <v/>
      </c>
      <c r="E844" s="56">
        <f>IFERROR(_xlfn.XLOOKUP(PRODUCTOS[[#This Row],[CODIGO]],LISTADO[CODIGOS],LISTADO[UBICACIÓN]),"NO EXISTE")</f>
        <v/>
      </c>
      <c r="F844" s="56">
        <f>SUMIFS(ENTRADAS[CANTIDAD],ENTRADAS[CODIGO],PRODUCTOS[[#This Row],[CODIGO]])</f>
        <v/>
      </c>
      <c r="G844" s="56">
        <f>SUMIFS(SALIDAS[CANTIDAD],SALIDAS[CODIGO],PRODUCTOS[[#This Row],[CODIGO]])</f>
        <v/>
      </c>
      <c r="H844" s="56">
        <f>PRODUCTOS[[#This Row],[ENTRADAS]]-PRODUCTOS[[#This Row],[SALIDAS ]]</f>
        <v/>
      </c>
      <c r="I844" s="76" t="n">
        <v>0</v>
      </c>
      <c r="J844">
        <f>IF(PRODUCTOS[[#This Row],[STOCK]]&lt;0,"NEGATIVO",IF(PRODUCTOS[[#This Row],[STOCK]]=0,"SIN STOCK",IF(PRODUCTOS[[#This Row],[STOCK]]&lt;=PRODUCTOS[[#This Row],[STOCK MÍN.]],"BAJO","OK")))</f>
        <v/>
      </c>
      <c r="K8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45">
      <c r="A845" s="18" t="n">
        <v>830</v>
      </c>
      <c r="B845" s="56" t="inlineStr">
        <is>
          <t>00075-ELE</t>
        </is>
      </c>
      <c r="C845" s="56">
        <f>IFERROR(_xlfn.XLOOKUP(PRODUCTOS[[#This Row],[CODIGO]],LISTADO[CODIGOS],LISTADO[CATEGORIA]),"NO EXISTE")</f>
        <v/>
      </c>
      <c r="D845" s="56">
        <f>IFERROR(_xlfn.XLOOKUP(PRODUCTOS[[#This Row],[CODIGO]],LISTADO[CODIGOS],LISTADO[PRODUCTOS]),"NO EXISTE")</f>
        <v/>
      </c>
      <c r="E845" s="56">
        <f>IFERROR(_xlfn.XLOOKUP(PRODUCTOS[[#This Row],[CODIGO]],LISTADO[CODIGOS],LISTADO[UBICACIÓN]),"NO EXISTE")</f>
        <v/>
      </c>
      <c r="F845" s="56">
        <f>SUMIFS(ENTRADAS[CANTIDAD],ENTRADAS[CODIGO],PRODUCTOS[[#This Row],[CODIGO]])</f>
        <v/>
      </c>
      <c r="G845" s="56">
        <f>SUMIFS(SALIDAS[CANTIDAD],SALIDAS[CODIGO],PRODUCTOS[[#This Row],[CODIGO]])</f>
        <v/>
      </c>
      <c r="H845" s="56">
        <f>PRODUCTOS[[#This Row],[ENTRADAS]]-PRODUCTOS[[#This Row],[SALIDAS ]]</f>
        <v/>
      </c>
      <c r="I845" s="76" t="n">
        <v>0</v>
      </c>
      <c r="J845">
        <f>IF(PRODUCTOS[[#This Row],[STOCK]]&lt;0,"NEGATIVO",IF(PRODUCTOS[[#This Row],[STOCK]]=0,"SIN STOCK",IF(PRODUCTOS[[#This Row],[STOCK]]&lt;=PRODUCTOS[[#This Row],[STOCK MÍN.]],"BAJO","OK")))</f>
        <v/>
      </c>
      <c r="K8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46" hidden="1" s="11">
      <c r="A846" s="18" t="n">
        <v>831</v>
      </c>
      <c r="B846" s="56" t="inlineStr">
        <is>
          <t>00020-LIM</t>
        </is>
      </c>
      <c r="C846" s="56">
        <f>IFERROR(_xlfn.XLOOKUP(PRODUCTOS[[#This Row],[CODIGO]],LISTADO[CODIGOS],LISTADO[CATEGORIA]),"NO EXISTE")</f>
        <v/>
      </c>
      <c r="D846" s="56">
        <f>IFERROR(_xlfn.XLOOKUP(PRODUCTOS[[#This Row],[CODIGO]],LISTADO[CODIGOS],LISTADO[PRODUCTOS]),"NO EXISTE")</f>
        <v/>
      </c>
      <c r="E846" s="56">
        <f>IFERROR(_xlfn.XLOOKUP(PRODUCTOS[[#This Row],[CODIGO]],LISTADO[CODIGOS],LISTADO[UBICACIÓN]),"NO EXISTE")</f>
        <v/>
      </c>
      <c r="F846" s="56">
        <f>SUMIFS(ENTRADAS[CANTIDAD],ENTRADAS[CODIGO],PRODUCTOS[[#This Row],[CODIGO]])</f>
        <v/>
      </c>
      <c r="G846" s="56">
        <f>SUMIFS(SALIDAS[CANTIDAD],SALIDAS[CODIGO],PRODUCTOS[[#This Row],[CODIGO]])</f>
        <v/>
      </c>
      <c r="H846" s="56">
        <f>PRODUCTOS[[#This Row],[ENTRADAS]]-PRODUCTOS[[#This Row],[SALIDAS ]]</f>
        <v/>
      </c>
      <c r="I846" s="76" t="n">
        <v>0</v>
      </c>
      <c r="J846">
        <f>IF(PRODUCTOS[[#This Row],[STOCK]]&lt;0,"NEGATIVO",IF(PRODUCTOS[[#This Row],[STOCK]]=0,"SIN STOCK",IF(PRODUCTOS[[#This Row],[STOCK]]&lt;=PRODUCTOS[[#This Row],[STOCK MÍN.]],"BAJO","OK")))</f>
        <v/>
      </c>
      <c r="K8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47" hidden="1" s="11">
      <c r="A847" s="18" t="n">
        <v>832</v>
      </c>
      <c r="B847" s="56" t="inlineStr">
        <is>
          <t>00076-ELE</t>
        </is>
      </c>
      <c r="C847" s="56">
        <f>IFERROR(_xlfn.XLOOKUP(PRODUCTOS[[#This Row],[CODIGO]],LISTADO[CODIGOS],LISTADO[CATEGORIA]),"NO EXISTE")</f>
        <v/>
      </c>
      <c r="D847" s="56">
        <f>IFERROR(_xlfn.XLOOKUP(PRODUCTOS[[#This Row],[CODIGO]],LISTADO[CODIGOS],LISTADO[PRODUCTOS]),"NO EXISTE")</f>
        <v/>
      </c>
      <c r="E847" s="56">
        <f>IFERROR(_xlfn.XLOOKUP(PRODUCTOS[[#This Row],[CODIGO]],LISTADO[CODIGOS],LISTADO[UBICACIÓN]),"NO EXISTE")</f>
        <v/>
      </c>
      <c r="F847" s="56">
        <f>SUMIFS(ENTRADAS[CANTIDAD],ENTRADAS[CODIGO],PRODUCTOS[[#This Row],[CODIGO]])</f>
        <v/>
      </c>
      <c r="G847" s="56">
        <f>SUMIFS(SALIDAS[CANTIDAD],SALIDAS[CODIGO],PRODUCTOS[[#This Row],[CODIGO]])</f>
        <v/>
      </c>
      <c r="H847" s="56">
        <f>PRODUCTOS[[#This Row],[ENTRADAS]]-PRODUCTOS[[#This Row],[SALIDAS ]]</f>
        <v/>
      </c>
      <c r="I847" s="76" t="n">
        <v>0</v>
      </c>
      <c r="J847">
        <f>IF(PRODUCTOS[[#This Row],[STOCK]]&lt;0,"NEGATIVO",IF(PRODUCTOS[[#This Row],[STOCK]]=0,"SIN STOCK",IF(PRODUCTOS[[#This Row],[STOCK]]&lt;=PRODUCTOS[[#This Row],[STOCK MÍN.]],"BAJO","OK")))</f>
        <v/>
      </c>
      <c r="K8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48" hidden="1" s="11">
      <c r="A848" s="18" t="n">
        <v>833</v>
      </c>
      <c r="B848" s="56" t="inlineStr">
        <is>
          <t>00173-FER</t>
        </is>
      </c>
      <c r="C848" s="56">
        <f>IFERROR(_xlfn.XLOOKUP(PRODUCTOS[[#This Row],[CODIGO]],LISTADO[CODIGOS],LISTADO[CATEGORIA]),"NO EXISTE")</f>
        <v/>
      </c>
      <c r="D848" s="56">
        <f>IFERROR(_xlfn.XLOOKUP(PRODUCTOS[[#This Row],[CODIGO]],LISTADO[CODIGOS],LISTADO[PRODUCTOS]),"NO EXISTE")</f>
        <v/>
      </c>
      <c r="E848" s="56">
        <f>IFERROR(_xlfn.XLOOKUP(PRODUCTOS[[#This Row],[CODIGO]],LISTADO[CODIGOS],LISTADO[UBICACIÓN]),"NO EXISTE")</f>
        <v/>
      </c>
      <c r="F848" s="56">
        <f>SUMIFS(ENTRADAS[CANTIDAD],ENTRADAS[CODIGO],PRODUCTOS[[#This Row],[CODIGO]])</f>
        <v/>
      </c>
      <c r="G848" s="56">
        <f>SUMIFS(SALIDAS[CANTIDAD],SALIDAS[CODIGO],PRODUCTOS[[#This Row],[CODIGO]])</f>
        <v/>
      </c>
      <c r="H848" s="56">
        <f>PRODUCTOS[[#This Row],[ENTRADAS]]-PRODUCTOS[[#This Row],[SALIDAS ]]</f>
        <v/>
      </c>
      <c r="I848" s="76" t="n">
        <v>0</v>
      </c>
      <c r="J848">
        <f>IF(PRODUCTOS[[#This Row],[STOCK]]&lt;0,"NEGATIVO",IF(PRODUCTOS[[#This Row],[STOCK]]=0,"SIN STOCK",IF(PRODUCTOS[[#This Row],[STOCK]]&lt;=PRODUCTOS[[#This Row],[STOCK MÍN.]],"BAJO","OK")))</f>
        <v/>
      </c>
      <c r="K8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49" hidden="1" s="11">
      <c r="A849" s="18" t="n">
        <v>834</v>
      </c>
      <c r="B849" s="56" t="inlineStr">
        <is>
          <t>00047-ELC</t>
        </is>
      </c>
      <c r="C849" s="56">
        <f>IFERROR(_xlfn.XLOOKUP(PRODUCTOS[[#This Row],[CODIGO]],LISTADO[CODIGOS],LISTADO[CATEGORIA]),"NO EXISTE")</f>
        <v/>
      </c>
      <c r="D849" s="56">
        <f>IFERROR(_xlfn.XLOOKUP(PRODUCTOS[[#This Row],[CODIGO]],LISTADO[CODIGOS],LISTADO[PRODUCTOS]),"NO EXISTE")</f>
        <v/>
      </c>
      <c r="E849" s="56">
        <f>IFERROR(_xlfn.XLOOKUP(PRODUCTOS[[#This Row],[CODIGO]],LISTADO[CODIGOS],LISTADO[UBICACIÓN]),"NO EXISTE")</f>
        <v/>
      </c>
      <c r="F849" s="56">
        <f>SUMIFS(ENTRADAS[CANTIDAD],ENTRADAS[CODIGO],PRODUCTOS[[#This Row],[CODIGO]])</f>
        <v/>
      </c>
      <c r="G849" s="56">
        <f>SUMIFS(SALIDAS[CANTIDAD],SALIDAS[CODIGO],PRODUCTOS[[#This Row],[CODIGO]])</f>
        <v/>
      </c>
      <c r="H849" s="56">
        <f>PRODUCTOS[[#This Row],[ENTRADAS]]-PRODUCTOS[[#This Row],[SALIDAS ]]</f>
        <v/>
      </c>
      <c r="I849" s="76" t="n">
        <v>0</v>
      </c>
      <c r="J849">
        <f>IF(PRODUCTOS[[#This Row],[STOCK]]&lt;0,"NEGATIVO",IF(PRODUCTOS[[#This Row],[STOCK]]=0,"SIN STOCK",IF(PRODUCTOS[[#This Row],[STOCK]]&lt;=PRODUCTOS[[#This Row],[STOCK MÍN.]],"BAJO","OK")))</f>
        <v/>
      </c>
      <c r="K8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50" hidden="1" s="11">
      <c r="A850" s="18" t="n">
        <v>835</v>
      </c>
      <c r="B850" s="56" t="inlineStr">
        <is>
          <t>00052-ILU</t>
        </is>
      </c>
      <c r="C850" s="56">
        <f>IFERROR(_xlfn.XLOOKUP(PRODUCTOS[[#This Row],[CODIGO]],LISTADO[CODIGOS],LISTADO[CATEGORIA]),"NO EXISTE")</f>
        <v/>
      </c>
      <c r="D850" s="56">
        <f>IFERROR(_xlfn.XLOOKUP(PRODUCTOS[[#This Row],[CODIGO]],LISTADO[CODIGOS],LISTADO[PRODUCTOS]),"NO EXISTE")</f>
        <v/>
      </c>
      <c r="E850" s="56">
        <f>IFERROR(_xlfn.XLOOKUP(PRODUCTOS[[#This Row],[CODIGO]],LISTADO[CODIGOS],LISTADO[UBICACIÓN]),"NO EXISTE")</f>
        <v/>
      </c>
      <c r="F850" s="56">
        <f>SUMIFS(ENTRADAS[CANTIDAD],ENTRADAS[CODIGO],PRODUCTOS[[#This Row],[CODIGO]])</f>
        <v/>
      </c>
      <c r="G850" s="56">
        <f>SUMIFS(SALIDAS[CANTIDAD],SALIDAS[CODIGO],PRODUCTOS[[#This Row],[CODIGO]])</f>
        <v/>
      </c>
      <c r="H850" s="56">
        <f>PRODUCTOS[[#This Row],[ENTRADAS]]-PRODUCTOS[[#This Row],[SALIDAS ]]</f>
        <v/>
      </c>
      <c r="I850" s="76" t="n">
        <v>0</v>
      </c>
      <c r="J850">
        <f>IF(PRODUCTOS[[#This Row],[STOCK]]&lt;0,"NEGATIVO",IF(PRODUCTOS[[#This Row],[STOCK]]=0,"SIN STOCK",IF(PRODUCTOS[[#This Row],[STOCK]]&lt;=PRODUCTOS[[#This Row],[STOCK MÍN.]],"BAJO","OK")))</f>
        <v/>
      </c>
      <c r="K8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51" hidden="1" s="11">
      <c r="A851" s="18" t="n">
        <v>836</v>
      </c>
      <c r="B851" s="56" t="inlineStr">
        <is>
          <t>00106-REF</t>
        </is>
      </c>
      <c r="C851" s="56">
        <f>IFERROR(_xlfn.XLOOKUP(PRODUCTOS[[#This Row],[CODIGO]],LISTADO[CODIGOS],LISTADO[CATEGORIA]),"NO EXISTE")</f>
        <v/>
      </c>
      <c r="D851" s="56">
        <f>IFERROR(_xlfn.XLOOKUP(PRODUCTOS[[#This Row],[CODIGO]],LISTADO[CODIGOS],LISTADO[PRODUCTOS]),"NO EXISTE")</f>
        <v/>
      </c>
      <c r="E851" s="56">
        <f>IFERROR(_xlfn.XLOOKUP(PRODUCTOS[[#This Row],[CODIGO]],LISTADO[CODIGOS],LISTADO[UBICACIÓN]),"NO EXISTE")</f>
        <v/>
      </c>
      <c r="F851" s="56">
        <f>SUMIFS(ENTRADAS[CANTIDAD],ENTRADAS[CODIGO],PRODUCTOS[[#This Row],[CODIGO]])</f>
        <v/>
      </c>
      <c r="G851" s="56">
        <f>SUMIFS(SALIDAS[CANTIDAD],SALIDAS[CODIGO],PRODUCTOS[[#This Row],[CODIGO]])</f>
        <v/>
      </c>
      <c r="H851" s="56">
        <f>PRODUCTOS[[#This Row],[ENTRADAS]]-PRODUCTOS[[#This Row],[SALIDAS ]]</f>
        <v/>
      </c>
      <c r="I851" s="76" t="n">
        <v>0</v>
      </c>
      <c r="J851">
        <f>IF(PRODUCTOS[[#This Row],[STOCK]]&lt;0,"NEGATIVO",IF(PRODUCTOS[[#This Row],[STOCK]]=0,"SIN STOCK",IF(PRODUCTOS[[#This Row],[STOCK]]&lt;=PRODUCTOS[[#This Row],[STOCK MÍN.]],"BAJO","OK")))</f>
        <v/>
      </c>
      <c r="K8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52" hidden="1" s="11">
      <c r="A852" s="18" t="n">
        <v>837</v>
      </c>
      <c r="B852" s="56" t="inlineStr">
        <is>
          <t>00107-REF</t>
        </is>
      </c>
      <c r="C852" s="56">
        <f>IFERROR(_xlfn.XLOOKUP(PRODUCTOS[[#This Row],[CODIGO]],LISTADO[CODIGOS],LISTADO[CATEGORIA]),"NO EXISTE")</f>
        <v/>
      </c>
      <c r="D852" s="56">
        <f>IFERROR(_xlfn.XLOOKUP(PRODUCTOS[[#This Row],[CODIGO]],LISTADO[CODIGOS],LISTADO[PRODUCTOS]),"NO EXISTE")</f>
        <v/>
      </c>
      <c r="E852" s="56">
        <f>IFERROR(_xlfn.XLOOKUP(PRODUCTOS[[#This Row],[CODIGO]],LISTADO[CODIGOS],LISTADO[UBICACIÓN]),"NO EXISTE")</f>
        <v/>
      </c>
      <c r="F852" s="56">
        <f>SUMIFS(ENTRADAS[CANTIDAD],ENTRADAS[CODIGO],PRODUCTOS[[#This Row],[CODIGO]])</f>
        <v/>
      </c>
      <c r="G852" s="56">
        <f>SUMIFS(SALIDAS[CANTIDAD],SALIDAS[CODIGO],PRODUCTOS[[#This Row],[CODIGO]])</f>
        <v/>
      </c>
      <c r="H852" s="56">
        <f>PRODUCTOS[[#This Row],[ENTRADAS]]-PRODUCTOS[[#This Row],[SALIDAS ]]</f>
        <v/>
      </c>
      <c r="I852" s="76" t="n">
        <v>0</v>
      </c>
      <c r="J852">
        <f>IF(PRODUCTOS[[#This Row],[STOCK]]&lt;0,"NEGATIVO",IF(PRODUCTOS[[#This Row],[STOCK]]=0,"SIN STOCK",IF(PRODUCTOS[[#This Row],[STOCK]]&lt;=PRODUCTOS[[#This Row],[STOCK MÍN.]],"BAJO","OK")))</f>
        <v/>
      </c>
      <c r="K8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53" hidden="1" s="11">
      <c r="A853" s="18" t="n">
        <v>838</v>
      </c>
      <c r="B853" s="56" t="inlineStr">
        <is>
          <t>00115-HER</t>
        </is>
      </c>
      <c r="C853" s="56">
        <f>IFERROR(_xlfn.XLOOKUP(PRODUCTOS[[#This Row],[CODIGO]],LISTADO[CODIGOS],LISTADO[CATEGORIA]),"NO EXISTE")</f>
        <v/>
      </c>
      <c r="D853" s="56">
        <f>IFERROR(_xlfn.XLOOKUP(PRODUCTOS[[#This Row],[CODIGO]],LISTADO[CODIGOS],LISTADO[PRODUCTOS]),"NO EXISTE")</f>
        <v/>
      </c>
      <c r="E853" s="56">
        <f>IFERROR(_xlfn.XLOOKUP(PRODUCTOS[[#This Row],[CODIGO]],LISTADO[CODIGOS],LISTADO[UBICACIÓN]),"NO EXISTE")</f>
        <v/>
      </c>
      <c r="F853" s="56">
        <f>SUMIFS(ENTRADAS[CANTIDAD],ENTRADAS[CODIGO],PRODUCTOS[[#This Row],[CODIGO]])</f>
        <v/>
      </c>
      <c r="G853" s="56">
        <f>SUMIFS(SALIDAS[CANTIDAD],SALIDAS[CODIGO],PRODUCTOS[[#This Row],[CODIGO]])</f>
        <v/>
      </c>
      <c r="H853" s="56">
        <f>PRODUCTOS[[#This Row],[ENTRADAS]]-PRODUCTOS[[#This Row],[SALIDAS ]]</f>
        <v/>
      </c>
      <c r="I853" s="76" t="n">
        <v>0</v>
      </c>
      <c r="J853">
        <f>IF(PRODUCTOS[[#This Row],[STOCK]]&lt;0,"NEGATIVO",IF(PRODUCTOS[[#This Row],[STOCK]]=0,"SIN STOCK",IF(PRODUCTOS[[#This Row],[STOCK]]&lt;=PRODUCTOS[[#This Row],[STOCK MÍN.]],"BAJO","OK")))</f>
        <v/>
      </c>
      <c r="K8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54" hidden="1" s="11">
      <c r="A854" s="18" t="n">
        <v>839</v>
      </c>
      <c r="B854" s="56" t="inlineStr">
        <is>
          <t>00053-ILU</t>
        </is>
      </c>
      <c r="C854" s="56">
        <f>IFERROR(_xlfn.XLOOKUP(PRODUCTOS[[#This Row],[CODIGO]],LISTADO[CODIGOS],LISTADO[CATEGORIA]),"NO EXISTE")</f>
        <v/>
      </c>
      <c r="D854" s="56">
        <f>IFERROR(_xlfn.XLOOKUP(PRODUCTOS[[#This Row],[CODIGO]],LISTADO[CODIGOS],LISTADO[PRODUCTOS]),"NO EXISTE")</f>
        <v/>
      </c>
      <c r="E854" s="56">
        <f>IFERROR(_xlfn.XLOOKUP(PRODUCTOS[[#This Row],[CODIGO]],LISTADO[CODIGOS],LISTADO[UBICACIÓN]),"NO EXISTE")</f>
        <v/>
      </c>
      <c r="F854" s="56">
        <f>SUMIFS(ENTRADAS[CANTIDAD],ENTRADAS[CODIGO],PRODUCTOS[[#This Row],[CODIGO]])</f>
        <v/>
      </c>
      <c r="G854" s="56">
        <f>SUMIFS(SALIDAS[CANTIDAD],SALIDAS[CODIGO],PRODUCTOS[[#This Row],[CODIGO]])</f>
        <v/>
      </c>
      <c r="H854" s="56">
        <f>PRODUCTOS[[#This Row],[ENTRADAS]]-PRODUCTOS[[#This Row],[SALIDAS ]]</f>
        <v/>
      </c>
      <c r="I854" s="76" t="n">
        <v>0</v>
      </c>
      <c r="J854">
        <f>IF(PRODUCTOS[[#This Row],[STOCK]]&lt;0,"NEGATIVO",IF(PRODUCTOS[[#This Row],[STOCK]]=0,"SIN STOCK",IF(PRODUCTOS[[#This Row],[STOCK]]&lt;=PRODUCTOS[[#This Row],[STOCK MÍN.]],"BAJO","OK")))</f>
        <v/>
      </c>
      <c r="K8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55" hidden="1" s="11">
      <c r="A855" s="18" t="n">
        <v>840</v>
      </c>
      <c r="B855" s="56" t="inlineStr">
        <is>
          <t>00174-FER</t>
        </is>
      </c>
      <c r="C855" s="56">
        <f>IFERROR(_xlfn.XLOOKUP(PRODUCTOS[[#This Row],[CODIGO]],LISTADO[CODIGOS],LISTADO[CATEGORIA]),"NO EXISTE")</f>
        <v/>
      </c>
      <c r="D855" s="56">
        <f>IFERROR(_xlfn.XLOOKUP(PRODUCTOS[[#This Row],[CODIGO]],LISTADO[CODIGOS],LISTADO[PRODUCTOS]),"NO EXISTE")</f>
        <v/>
      </c>
      <c r="E855" s="56">
        <f>IFERROR(_xlfn.XLOOKUP(PRODUCTOS[[#This Row],[CODIGO]],LISTADO[CODIGOS],LISTADO[UBICACIÓN]),"NO EXISTE")</f>
        <v/>
      </c>
      <c r="F855" s="56">
        <f>SUMIFS(ENTRADAS[CANTIDAD],ENTRADAS[CODIGO],PRODUCTOS[[#This Row],[CODIGO]])</f>
        <v/>
      </c>
      <c r="G855" s="56">
        <f>SUMIFS(SALIDAS[CANTIDAD],SALIDAS[CODIGO],PRODUCTOS[[#This Row],[CODIGO]])</f>
        <v/>
      </c>
      <c r="H855" s="56">
        <f>PRODUCTOS[[#This Row],[ENTRADAS]]-PRODUCTOS[[#This Row],[SALIDAS ]]</f>
        <v/>
      </c>
      <c r="I855" s="76" t="n">
        <v>0</v>
      </c>
      <c r="J855">
        <f>IF(PRODUCTOS[[#This Row],[STOCK]]&lt;0,"NEGATIVO",IF(PRODUCTOS[[#This Row],[STOCK]]=0,"SIN STOCK",IF(PRODUCTOS[[#This Row],[STOCK]]&lt;=PRODUCTOS[[#This Row],[STOCK MÍN.]],"BAJO","OK")))</f>
        <v/>
      </c>
      <c r="K8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56" hidden="1" s="11">
      <c r="A856" s="18" t="n">
        <v>841</v>
      </c>
      <c r="B856" s="56" t="inlineStr">
        <is>
          <t>00175-FER</t>
        </is>
      </c>
      <c r="C856" s="56">
        <f>IFERROR(_xlfn.XLOOKUP(PRODUCTOS[[#This Row],[CODIGO]],LISTADO[CODIGOS],LISTADO[CATEGORIA]),"NO EXISTE")</f>
        <v/>
      </c>
      <c r="D856" s="56">
        <f>IFERROR(_xlfn.XLOOKUP(PRODUCTOS[[#This Row],[CODIGO]],LISTADO[CODIGOS],LISTADO[PRODUCTOS]),"NO EXISTE")</f>
        <v/>
      </c>
      <c r="E856" s="56">
        <f>IFERROR(_xlfn.XLOOKUP(PRODUCTOS[[#This Row],[CODIGO]],LISTADO[CODIGOS],LISTADO[UBICACIÓN]),"NO EXISTE")</f>
        <v/>
      </c>
      <c r="F856" s="56">
        <f>SUMIFS(ENTRADAS[CANTIDAD],ENTRADAS[CODIGO],PRODUCTOS[[#This Row],[CODIGO]])</f>
        <v/>
      </c>
      <c r="G856" s="56">
        <f>SUMIFS(SALIDAS[CANTIDAD],SALIDAS[CODIGO],PRODUCTOS[[#This Row],[CODIGO]])</f>
        <v/>
      </c>
      <c r="H856" s="56">
        <f>PRODUCTOS[[#This Row],[ENTRADAS]]-PRODUCTOS[[#This Row],[SALIDAS ]]</f>
        <v/>
      </c>
      <c r="I856" s="76" t="n">
        <v>0</v>
      </c>
      <c r="J856">
        <f>IF(PRODUCTOS[[#This Row],[STOCK]]&lt;0,"NEGATIVO",IF(PRODUCTOS[[#This Row],[STOCK]]=0,"SIN STOCK",IF(PRODUCTOS[[#This Row],[STOCK]]&lt;=PRODUCTOS[[#This Row],[STOCK MÍN.]],"BAJO","OK")))</f>
        <v/>
      </c>
      <c r="K8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57" hidden="1" s="11">
      <c r="A857" s="18" t="n">
        <v>842</v>
      </c>
      <c r="B857" s="56" t="inlineStr">
        <is>
          <t>00060-HRR</t>
        </is>
      </c>
      <c r="C857" s="56">
        <f>IFERROR(_xlfn.XLOOKUP(PRODUCTOS[[#This Row],[CODIGO]],LISTADO[CODIGOS],LISTADO[CATEGORIA]),"NO EXISTE")</f>
        <v/>
      </c>
      <c r="D857" s="56">
        <f>IFERROR(_xlfn.XLOOKUP(PRODUCTOS[[#This Row],[CODIGO]],LISTADO[CODIGOS],LISTADO[PRODUCTOS]),"NO EXISTE")</f>
        <v/>
      </c>
      <c r="E857" s="56">
        <f>IFERROR(_xlfn.XLOOKUP(PRODUCTOS[[#This Row],[CODIGO]],LISTADO[CODIGOS],LISTADO[UBICACIÓN]),"NO EXISTE")</f>
        <v/>
      </c>
      <c r="F857" s="56">
        <f>SUMIFS(ENTRADAS[CANTIDAD],ENTRADAS[CODIGO],PRODUCTOS[[#This Row],[CODIGO]])</f>
        <v/>
      </c>
      <c r="G857" s="56">
        <f>SUMIFS(SALIDAS[CANTIDAD],SALIDAS[CODIGO],PRODUCTOS[[#This Row],[CODIGO]])</f>
        <v/>
      </c>
      <c r="H857" s="56">
        <f>PRODUCTOS[[#This Row],[ENTRADAS]]-PRODUCTOS[[#This Row],[SALIDAS ]]</f>
        <v/>
      </c>
      <c r="I857" s="76" t="n">
        <v>0</v>
      </c>
      <c r="J857">
        <f>IF(PRODUCTOS[[#This Row],[STOCK]]&lt;0,"NEGATIVO",IF(PRODUCTOS[[#This Row],[STOCK]]=0,"SIN STOCK",IF(PRODUCTOS[[#This Row],[STOCK]]&lt;=PRODUCTOS[[#This Row],[STOCK MÍN.]],"BAJO","OK")))</f>
        <v/>
      </c>
      <c r="K8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58" hidden="1" s="11">
      <c r="A858" s="18" t="n">
        <v>843</v>
      </c>
      <c r="B858" s="56" t="inlineStr">
        <is>
          <t>00019-MSC</t>
        </is>
      </c>
      <c r="C858" s="56">
        <f>IFERROR(_xlfn.XLOOKUP(PRODUCTOS[[#This Row],[CODIGO]],LISTADO[CODIGOS],LISTADO[CATEGORIA]),"NO EXISTE")</f>
        <v/>
      </c>
      <c r="D858" s="56">
        <f>IFERROR(_xlfn.XLOOKUP(PRODUCTOS[[#This Row],[CODIGO]],LISTADO[CODIGOS],LISTADO[PRODUCTOS]),"NO EXISTE")</f>
        <v/>
      </c>
      <c r="E858" s="56">
        <f>IFERROR(_xlfn.XLOOKUP(PRODUCTOS[[#This Row],[CODIGO]],LISTADO[CODIGOS],LISTADO[UBICACIÓN]),"NO EXISTE")</f>
        <v/>
      </c>
      <c r="F858" s="56">
        <f>SUMIFS(ENTRADAS[CANTIDAD],ENTRADAS[CODIGO],PRODUCTOS[[#This Row],[CODIGO]])</f>
        <v/>
      </c>
      <c r="G858" s="56">
        <f>SUMIFS(SALIDAS[CANTIDAD],SALIDAS[CODIGO],PRODUCTOS[[#This Row],[CODIGO]])</f>
        <v/>
      </c>
      <c r="H858" s="56">
        <f>PRODUCTOS[[#This Row],[ENTRADAS]]-PRODUCTOS[[#This Row],[SALIDAS ]]</f>
        <v/>
      </c>
      <c r="I858" s="76" t="n">
        <v>0</v>
      </c>
      <c r="J858">
        <f>IF(PRODUCTOS[[#This Row],[STOCK]]&lt;0,"NEGATIVO",IF(PRODUCTOS[[#This Row],[STOCK]]=0,"SIN STOCK",IF(PRODUCTOS[[#This Row],[STOCK]]&lt;=PRODUCTOS[[#This Row],[STOCK MÍN.]],"BAJO","OK")))</f>
        <v/>
      </c>
      <c r="K8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59" hidden="1" s="11">
      <c r="A859" s="18" t="n">
        <v>844</v>
      </c>
      <c r="B859" s="56" t="inlineStr">
        <is>
          <t>00020-MSC</t>
        </is>
      </c>
      <c r="C859" s="56">
        <f>IFERROR(_xlfn.XLOOKUP(PRODUCTOS[[#This Row],[CODIGO]],LISTADO[CODIGOS],LISTADO[CATEGORIA]),"NO EXISTE")</f>
        <v/>
      </c>
      <c r="D859" s="56">
        <f>IFERROR(_xlfn.XLOOKUP(PRODUCTOS[[#This Row],[CODIGO]],LISTADO[CODIGOS],LISTADO[PRODUCTOS]),"NO EXISTE")</f>
        <v/>
      </c>
      <c r="E859" s="56">
        <f>IFERROR(_xlfn.XLOOKUP(PRODUCTOS[[#This Row],[CODIGO]],LISTADO[CODIGOS],LISTADO[UBICACIÓN]),"NO EXISTE")</f>
        <v/>
      </c>
      <c r="F859" s="56">
        <f>SUMIFS(ENTRADAS[CANTIDAD],ENTRADAS[CODIGO],PRODUCTOS[[#This Row],[CODIGO]])</f>
        <v/>
      </c>
      <c r="G859" s="56">
        <f>SUMIFS(SALIDAS[CANTIDAD],SALIDAS[CODIGO],PRODUCTOS[[#This Row],[CODIGO]])</f>
        <v/>
      </c>
      <c r="H859" s="56">
        <f>PRODUCTOS[[#This Row],[ENTRADAS]]-PRODUCTOS[[#This Row],[SALIDAS ]]</f>
        <v/>
      </c>
      <c r="I859" s="76" t="n">
        <v>0</v>
      </c>
      <c r="J859">
        <f>IF(PRODUCTOS[[#This Row],[STOCK]]&lt;0,"NEGATIVO",IF(PRODUCTOS[[#This Row],[STOCK]]=0,"SIN STOCK",IF(PRODUCTOS[[#This Row],[STOCK]]&lt;=PRODUCTOS[[#This Row],[STOCK MÍN.]],"BAJO","OK")))</f>
        <v/>
      </c>
      <c r="K8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60" hidden="1" s="11">
      <c r="A860" s="18" t="n">
        <v>845</v>
      </c>
      <c r="B860" s="56" t="inlineStr">
        <is>
          <t>00021-LIM</t>
        </is>
      </c>
      <c r="C860" s="56">
        <f>IFERROR(_xlfn.XLOOKUP(PRODUCTOS[[#This Row],[CODIGO]],LISTADO[CODIGOS],LISTADO[CATEGORIA]),"NO EXISTE")</f>
        <v/>
      </c>
      <c r="D860" s="56">
        <f>IFERROR(_xlfn.XLOOKUP(PRODUCTOS[[#This Row],[CODIGO]],LISTADO[CODIGOS],LISTADO[PRODUCTOS]),"NO EXISTE")</f>
        <v/>
      </c>
      <c r="E860" s="56">
        <f>IFERROR(_xlfn.XLOOKUP(PRODUCTOS[[#This Row],[CODIGO]],LISTADO[CODIGOS],LISTADO[UBICACIÓN]),"NO EXISTE")</f>
        <v/>
      </c>
      <c r="F860" s="56">
        <f>SUMIFS(ENTRADAS[CANTIDAD],ENTRADAS[CODIGO],PRODUCTOS[[#This Row],[CODIGO]])</f>
        <v/>
      </c>
      <c r="G860" s="56">
        <f>SUMIFS(SALIDAS[CANTIDAD],SALIDAS[CODIGO],PRODUCTOS[[#This Row],[CODIGO]])</f>
        <v/>
      </c>
      <c r="H860" s="56">
        <f>PRODUCTOS[[#This Row],[ENTRADAS]]-PRODUCTOS[[#This Row],[SALIDAS ]]</f>
        <v/>
      </c>
      <c r="I860" s="76" t="n">
        <v>0</v>
      </c>
      <c r="J860">
        <f>IF(PRODUCTOS[[#This Row],[STOCK]]&lt;0,"NEGATIVO",IF(PRODUCTOS[[#This Row],[STOCK]]=0,"SIN STOCK",IF(PRODUCTOS[[#This Row],[STOCK]]&lt;=PRODUCTOS[[#This Row],[STOCK MÍN.]],"BAJO","OK")))</f>
        <v/>
      </c>
      <c r="K8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61" hidden="1" s="11">
      <c r="A861" s="18" t="n">
        <v>846</v>
      </c>
      <c r="B861" s="56" t="inlineStr">
        <is>
          <t>00022-LIM</t>
        </is>
      </c>
      <c r="C861" s="56">
        <f>IFERROR(_xlfn.XLOOKUP(PRODUCTOS[[#This Row],[CODIGO]],LISTADO[CODIGOS],LISTADO[CATEGORIA]),"NO EXISTE")</f>
        <v/>
      </c>
      <c r="D861" s="56">
        <f>IFERROR(_xlfn.XLOOKUP(PRODUCTOS[[#This Row],[CODIGO]],LISTADO[CODIGOS],LISTADO[PRODUCTOS]),"NO EXISTE")</f>
        <v/>
      </c>
      <c r="E861" s="56">
        <f>IFERROR(_xlfn.XLOOKUP(PRODUCTOS[[#This Row],[CODIGO]],LISTADO[CODIGOS],LISTADO[UBICACIÓN]),"NO EXISTE")</f>
        <v/>
      </c>
      <c r="F861" s="56">
        <f>SUMIFS(ENTRADAS[CANTIDAD],ENTRADAS[CODIGO],PRODUCTOS[[#This Row],[CODIGO]])</f>
        <v/>
      </c>
      <c r="G861" s="56">
        <f>SUMIFS(SALIDAS[CANTIDAD],SALIDAS[CODIGO],PRODUCTOS[[#This Row],[CODIGO]])</f>
        <v/>
      </c>
      <c r="H861" s="56">
        <f>PRODUCTOS[[#This Row],[ENTRADAS]]-PRODUCTOS[[#This Row],[SALIDAS ]]</f>
        <v/>
      </c>
      <c r="I861" s="76" t="n">
        <v>0</v>
      </c>
      <c r="J861">
        <f>IF(PRODUCTOS[[#This Row],[STOCK]]&lt;0,"NEGATIVO",IF(PRODUCTOS[[#This Row],[STOCK]]=0,"SIN STOCK",IF(PRODUCTOS[[#This Row],[STOCK]]&lt;=PRODUCTOS[[#This Row],[STOCK MÍN.]],"BAJO","OK")))</f>
        <v/>
      </c>
      <c r="K8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62" hidden="1" s="11">
      <c r="A862" s="18" t="n">
        <v>847</v>
      </c>
      <c r="B862" s="56" t="inlineStr">
        <is>
          <t>00023-LIM</t>
        </is>
      </c>
      <c r="C862" s="56">
        <f>IFERROR(_xlfn.XLOOKUP(PRODUCTOS[[#This Row],[CODIGO]],LISTADO[CODIGOS],LISTADO[CATEGORIA]),"NO EXISTE")</f>
        <v/>
      </c>
      <c r="D862" s="56">
        <f>IFERROR(_xlfn.XLOOKUP(PRODUCTOS[[#This Row],[CODIGO]],LISTADO[CODIGOS],LISTADO[PRODUCTOS]),"NO EXISTE")</f>
        <v/>
      </c>
      <c r="E862" s="56">
        <f>IFERROR(_xlfn.XLOOKUP(PRODUCTOS[[#This Row],[CODIGO]],LISTADO[CODIGOS],LISTADO[UBICACIÓN]),"NO EXISTE")</f>
        <v/>
      </c>
      <c r="F862" s="56">
        <f>SUMIFS(ENTRADAS[CANTIDAD],ENTRADAS[CODIGO],PRODUCTOS[[#This Row],[CODIGO]])</f>
        <v/>
      </c>
      <c r="G862" s="56">
        <f>SUMIFS(SALIDAS[CANTIDAD],SALIDAS[CODIGO],PRODUCTOS[[#This Row],[CODIGO]])</f>
        <v/>
      </c>
      <c r="H862" s="56">
        <f>PRODUCTOS[[#This Row],[ENTRADAS]]-PRODUCTOS[[#This Row],[SALIDAS ]]</f>
        <v/>
      </c>
      <c r="I862" s="76" t="n">
        <v>0</v>
      </c>
      <c r="J862">
        <f>IF(PRODUCTOS[[#This Row],[STOCK]]&lt;0,"NEGATIVO",IF(PRODUCTOS[[#This Row],[STOCK]]=0,"SIN STOCK",IF(PRODUCTOS[[#This Row],[STOCK]]&lt;=PRODUCTOS[[#This Row],[STOCK MÍN.]],"BAJO","OK")))</f>
        <v/>
      </c>
      <c r="K8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63" hidden="1" s="11">
      <c r="A863" s="18" t="n">
        <v>848</v>
      </c>
      <c r="B863" s="56" t="inlineStr">
        <is>
          <t>00024-LIM</t>
        </is>
      </c>
      <c r="C863" s="56">
        <f>IFERROR(_xlfn.XLOOKUP(PRODUCTOS[[#This Row],[CODIGO]],LISTADO[CODIGOS],LISTADO[CATEGORIA]),"NO EXISTE")</f>
        <v/>
      </c>
      <c r="D863" s="56">
        <f>IFERROR(_xlfn.XLOOKUP(PRODUCTOS[[#This Row],[CODIGO]],LISTADO[CODIGOS],LISTADO[PRODUCTOS]),"NO EXISTE")</f>
        <v/>
      </c>
      <c r="E863" s="56">
        <f>IFERROR(_xlfn.XLOOKUP(PRODUCTOS[[#This Row],[CODIGO]],LISTADO[CODIGOS],LISTADO[UBICACIÓN]),"NO EXISTE")</f>
        <v/>
      </c>
      <c r="F863" s="56">
        <f>SUMIFS(ENTRADAS[CANTIDAD],ENTRADAS[CODIGO],PRODUCTOS[[#This Row],[CODIGO]])</f>
        <v/>
      </c>
      <c r="G863" s="56">
        <f>SUMIFS(SALIDAS[CANTIDAD],SALIDAS[CODIGO],PRODUCTOS[[#This Row],[CODIGO]])</f>
        <v/>
      </c>
      <c r="H863" s="56">
        <f>PRODUCTOS[[#This Row],[ENTRADAS]]-PRODUCTOS[[#This Row],[SALIDAS ]]</f>
        <v/>
      </c>
      <c r="I863" s="76" t="n">
        <v>0</v>
      </c>
      <c r="J863">
        <f>IF(PRODUCTOS[[#This Row],[STOCK]]&lt;0,"NEGATIVO",IF(PRODUCTOS[[#This Row],[STOCK]]=0,"SIN STOCK",IF(PRODUCTOS[[#This Row],[STOCK]]&lt;=PRODUCTOS[[#This Row],[STOCK MÍN.]],"BAJO","OK")))</f>
        <v/>
      </c>
      <c r="K8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64" hidden="1" s="11">
      <c r="A864" s="18" t="n">
        <v>849</v>
      </c>
      <c r="B864" s="56" t="inlineStr">
        <is>
          <t>00021-MSC</t>
        </is>
      </c>
      <c r="C864" s="56">
        <f>IFERROR(_xlfn.XLOOKUP(PRODUCTOS[[#This Row],[CODIGO]],LISTADO[CODIGOS],LISTADO[CATEGORIA]),"NO EXISTE")</f>
        <v/>
      </c>
      <c r="D864" s="56">
        <f>IFERROR(_xlfn.XLOOKUP(PRODUCTOS[[#This Row],[CODIGO]],LISTADO[CODIGOS],LISTADO[PRODUCTOS]),"NO EXISTE")</f>
        <v/>
      </c>
      <c r="E864" s="56">
        <f>IFERROR(_xlfn.XLOOKUP(PRODUCTOS[[#This Row],[CODIGO]],LISTADO[CODIGOS],LISTADO[UBICACIÓN]),"NO EXISTE")</f>
        <v/>
      </c>
      <c r="F864" s="56">
        <f>SUMIFS(ENTRADAS[CANTIDAD],ENTRADAS[CODIGO],PRODUCTOS[[#This Row],[CODIGO]])</f>
        <v/>
      </c>
      <c r="G864" s="56">
        <f>SUMIFS(SALIDAS[CANTIDAD],SALIDAS[CODIGO],PRODUCTOS[[#This Row],[CODIGO]])</f>
        <v/>
      </c>
      <c r="H864" s="56">
        <f>PRODUCTOS[[#This Row],[ENTRADAS]]-PRODUCTOS[[#This Row],[SALIDAS ]]</f>
        <v/>
      </c>
      <c r="I864" s="76" t="n">
        <v>0</v>
      </c>
      <c r="J864">
        <f>IF(PRODUCTOS[[#This Row],[STOCK]]&lt;0,"NEGATIVO",IF(PRODUCTOS[[#This Row],[STOCK]]=0,"SIN STOCK",IF(PRODUCTOS[[#This Row],[STOCK]]&lt;=PRODUCTOS[[#This Row],[STOCK MÍN.]],"BAJO","OK")))</f>
        <v/>
      </c>
      <c r="K8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65" hidden="1" s="11">
      <c r="A865" s="18" t="n">
        <v>850</v>
      </c>
      <c r="B865" s="56" t="inlineStr">
        <is>
          <t>00176-FER</t>
        </is>
      </c>
      <c r="C865" s="56">
        <f>IFERROR(_xlfn.XLOOKUP(PRODUCTOS[[#This Row],[CODIGO]],LISTADO[CODIGOS],LISTADO[CATEGORIA]),"NO EXISTE")</f>
        <v/>
      </c>
      <c r="D865" s="56">
        <f>IFERROR(_xlfn.XLOOKUP(PRODUCTOS[[#This Row],[CODIGO]],LISTADO[CODIGOS],LISTADO[PRODUCTOS]),"NO EXISTE")</f>
        <v/>
      </c>
      <c r="E865" s="56">
        <f>IFERROR(_xlfn.XLOOKUP(PRODUCTOS[[#This Row],[CODIGO]],LISTADO[CODIGOS],LISTADO[UBICACIÓN]),"NO EXISTE")</f>
        <v/>
      </c>
      <c r="F865" s="56">
        <f>SUMIFS(ENTRADAS[CANTIDAD],ENTRADAS[CODIGO],PRODUCTOS[[#This Row],[CODIGO]])</f>
        <v/>
      </c>
      <c r="G865" s="56">
        <f>SUMIFS(SALIDAS[CANTIDAD],SALIDAS[CODIGO],PRODUCTOS[[#This Row],[CODIGO]])</f>
        <v/>
      </c>
      <c r="H865" s="56">
        <f>PRODUCTOS[[#This Row],[ENTRADAS]]-PRODUCTOS[[#This Row],[SALIDAS ]]</f>
        <v/>
      </c>
      <c r="I865" s="76" t="n">
        <v>0</v>
      </c>
      <c r="J865">
        <f>IF(PRODUCTOS[[#This Row],[STOCK]]&lt;0,"NEGATIVO",IF(PRODUCTOS[[#This Row],[STOCK]]=0,"SIN STOCK",IF(PRODUCTOS[[#This Row],[STOCK]]&lt;=PRODUCTOS[[#This Row],[STOCK MÍN.]],"BAJO","OK")))</f>
        <v/>
      </c>
      <c r="K8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66" hidden="1" s="11">
      <c r="A866" s="18" t="n">
        <v>851</v>
      </c>
      <c r="B866" s="56" t="inlineStr">
        <is>
          <t>00055-PLM</t>
        </is>
      </c>
      <c r="C866" s="56">
        <f>IFERROR(_xlfn.XLOOKUP(PRODUCTOS[[#This Row],[CODIGO]],LISTADO[CODIGOS],LISTADO[CATEGORIA]),"NO EXISTE")</f>
        <v/>
      </c>
      <c r="D866" s="56">
        <f>IFERROR(_xlfn.XLOOKUP(PRODUCTOS[[#This Row],[CODIGO]],LISTADO[CODIGOS],LISTADO[PRODUCTOS]),"NO EXISTE")</f>
        <v/>
      </c>
      <c r="E866" s="56">
        <f>IFERROR(_xlfn.XLOOKUP(PRODUCTOS[[#This Row],[CODIGO]],LISTADO[CODIGOS],LISTADO[UBICACIÓN]),"NO EXISTE")</f>
        <v/>
      </c>
      <c r="F866" s="56">
        <f>SUMIFS(ENTRADAS[CANTIDAD],ENTRADAS[CODIGO],PRODUCTOS[[#This Row],[CODIGO]])</f>
        <v/>
      </c>
      <c r="G866" s="56">
        <f>SUMIFS(SALIDAS[CANTIDAD],SALIDAS[CODIGO],PRODUCTOS[[#This Row],[CODIGO]])</f>
        <v/>
      </c>
      <c r="H866" s="56">
        <f>PRODUCTOS[[#This Row],[ENTRADAS]]-PRODUCTOS[[#This Row],[SALIDAS ]]</f>
        <v/>
      </c>
      <c r="I866" s="76" t="n">
        <v>0</v>
      </c>
      <c r="J866">
        <f>IF(PRODUCTOS[[#This Row],[STOCK]]&lt;0,"NEGATIVO",IF(PRODUCTOS[[#This Row],[STOCK]]=0,"SIN STOCK",IF(PRODUCTOS[[#This Row],[STOCK]]&lt;=PRODUCTOS[[#This Row],[STOCK MÍN.]],"BAJO","OK")))</f>
        <v/>
      </c>
      <c r="K8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67" hidden="1" s="11">
      <c r="A867" s="18" t="n">
        <v>852</v>
      </c>
      <c r="B867" s="56" t="inlineStr">
        <is>
          <t>00056-PLM</t>
        </is>
      </c>
      <c r="C867" s="56">
        <f>IFERROR(_xlfn.XLOOKUP(PRODUCTOS[[#This Row],[CODIGO]],LISTADO[CODIGOS],LISTADO[CATEGORIA]),"NO EXISTE")</f>
        <v/>
      </c>
      <c r="D867" s="56">
        <f>IFERROR(_xlfn.XLOOKUP(PRODUCTOS[[#This Row],[CODIGO]],LISTADO[CODIGOS],LISTADO[PRODUCTOS]),"NO EXISTE")</f>
        <v/>
      </c>
      <c r="E867" s="56">
        <f>IFERROR(_xlfn.XLOOKUP(PRODUCTOS[[#This Row],[CODIGO]],LISTADO[CODIGOS],LISTADO[UBICACIÓN]),"NO EXISTE")</f>
        <v/>
      </c>
      <c r="F867" s="56">
        <f>SUMIFS(ENTRADAS[CANTIDAD],ENTRADAS[CODIGO],PRODUCTOS[[#This Row],[CODIGO]])</f>
        <v/>
      </c>
      <c r="G867" s="56">
        <f>SUMIFS(SALIDAS[CANTIDAD],SALIDAS[CODIGO],PRODUCTOS[[#This Row],[CODIGO]])</f>
        <v/>
      </c>
      <c r="H867" s="56">
        <f>PRODUCTOS[[#This Row],[ENTRADAS]]-PRODUCTOS[[#This Row],[SALIDAS ]]</f>
        <v/>
      </c>
      <c r="I867" s="76" t="n">
        <v>0</v>
      </c>
      <c r="J867">
        <f>IF(PRODUCTOS[[#This Row],[STOCK]]&lt;0,"NEGATIVO",IF(PRODUCTOS[[#This Row],[STOCK]]=0,"SIN STOCK",IF(PRODUCTOS[[#This Row],[STOCK]]&lt;=PRODUCTOS[[#This Row],[STOCK MÍN.]],"BAJO","OK")))</f>
        <v/>
      </c>
      <c r="K8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68" hidden="1" s="11">
      <c r="A868" s="18" t="n">
        <v>853</v>
      </c>
      <c r="B868" s="56" t="inlineStr">
        <is>
          <t>00108-REF</t>
        </is>
      </c>
      <c r="C868" s="56">
        <f>IFERROR(_xlfn.XLOOKUP(PRODUCTOS[[#This Row],[CODIGO]],LISTADO[CODIGOS],LISTADO[CATEGORIA]),"NO EXISTE")</f>
        <v/>
      </c>
      <c r="D868" s="56">
        <f>IFERROR(_xlfn.XLOOKUP(PRODUCTOS[[#This Row],[CODIGO]],LISTADO[CODIGOS],LISTADO[PRODUCTOS]),"NO EXISTE")</f>
        <v/>
      </c>
      <c r="E868" s="56">
        <f>IFERROR(_xlfn.XLOOKUP(PRODUCTOS[[#This Row],[CODIGO]],LISTADO[CODIGOS],LISTADO[UBICACIÓN]),"NO EXISTE")</f>
        <v/>
      </c>
      <c r="F868" s="56">
        <f>SUMIFS(ENTRADAS[CANTIDAD],ENTRADAS[CODIGO],PRODUCTOS[[#This Row],[CODIGO]])</f>
        <v/>
      </c>
      <c r="G868" s="56">
        <f>SUMIFS(SALIDAS[CANTIDAD],SALIDAS[CODIGO],PRODUCTOS[[#This Row],[CODIGO]])</f>
        <v/>
      </c>
      <c r="H868" s="56">
        <f>PRODUCTOS[[#This Row],[ENTRADAS]]-PRODUCTOS[[#This Row],[SALIDAS ]]</f>
        <v/>
      </c>
      <c r="I868" s="76" t="n">
        <v>0</v>
      </c>
      <c r="J868">
        <f>IF(PRODUCTOS[[#This Row],[STOCK]]&lt;0,"NEGATIVO",IF(PRODUCTOS[[#This Row],[STOCK]]=0,"SIN STOCK",IF(PRODUCTOS[[#This Row],[STOCK]]&lt;=PRODUCTOS[[#This Row],[STOCK MÍN.]],"BAJO","OK")))</f>
        <v/>
      </c>
      <c r="K8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69" hidden="1" s="11">
      <c r="A869" s="18" t="n">
        <v>854</v>
      </c>
      <c r="B869" s="56" t="inlineStr">
        <is>
          <t>00048-ELC</t>
        </is>
      </c>
      <c r="C869" s="56">
        <f>IFERROR(_xlfn.XLOOKUP(PRODUCTOS[[#This Row],[CODIGO]],LISTADO[CODIGOS],LISTADO[CATEGORIA]),"NO EXISTE")</f>
        <v/>
      </c>
      <c r="D869" s="56">
        <f>IFERROR(_xlfn.XLOOKUP(PRODUCTOS[[#This Row],[CODIGO]],LISTADO[CODIGOS],LISTADO[PRODUCTOS]),"NO EXISTE")</f>
        <v/>
      </c>
      <c r="E869" s="56">
        <f>IFERROR(_xlfn.XLOOKUP(PRODUCTOS[[#This Row],[CODIGO]],LISTADO[CODIGOS],LISTADO[UBICACIÓN]),"NO EXISTE")</f>
        <v/>
      </c>
      <c r="F869" s="56">
        <f>SUMIFS(ENTRADAS[CANTIDAD],ENTRADAS[CODIGO],PRODUCTOS[[#This Row],[CODIGO]])</f>
        <v/>
      </c>
      <c r="G869" s="56">
        <f>SUMIFS(SALIDAS[CANTIDAD],SALIDAS[CODIGO],PRODUCTOS[[#This Row],[CODIGO]])</f>
        <v/>
      </c>
      <c r="H869" s="56">
        <f>PRODUCTOS[[#This Row],[ENTRADAS]]-PRODUCTOS[[#This Row],[SALIDAS ]]</f>
        <v/>
      </c>
      <c r="I869" s="76" t="n">
        <v>0</v>
      </c>
      <c r="J869">
        <f>IF(PRODUCTOS[[#This Row],[STOCK]]&lt;0,"NEGATIVO",IF(PRODUCTOS[[#This Row],[STOCK]]=0,"SIN STOCK",IF(PRODUCTOS[[#This Row],[STOCK]]&lt;=PRODUCTOS[[#This Row],[STOCK MÍN.]],"BAJO","OK")))</f>
        <v/>
      </c>
      <c r="K8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70" hidden="1" s="11">
      <c r="A870" s="18" t="n">
        <v>855</v>
      </c>
      <c r="B870" s="56" t="inlineStr">
        <is>
          <t>00057-PLM</t>
        </is>
      </c>
      <c r="C870" s="56">
        <f>IFERROR(_xlfn.XLOOKUP(PRODUCTOS[[#This Row],[CODIGO]],LISTADO[CODIGOS],LISTADO[CATEGORIA]),"NO EXISTE")</f>
        <v/>
      </c>
      <c r="D870" s="56">
        <f>IFERROR(_xlfn.XLOOKUP(PRODUCTOS[[#This Row],[CODIGO]],LISTADO[CODIGOS],LISTADO[PRODUCTOS]),"NO EXISTE")</f>
        <v/>
      </c>
      <c r="E870" s="56">
        <f>IFERROR(_xlfn.XLOOKUP(PRODUCTOS[[#This Row],[CODIGO]],LISTADO[CODIGOS],LISTADO[UBICACIÓN]),"NO EXISTE")</f>
        <v/>
      </c>
      <c r="F870" s="56">
        <f>SUMIFS(ENTRADAS[CANTIDAD],ENTRADAS[CODIGO],PRODUCTOS[[#This Row],[CODIGO]])</f>
        <v/>
      </c>
      <c r="G870" s="56">
        <f>SUMIFS(SALIDAS[CANTIDAD],SALIDAS[CODIGO],PRODUCTOS[[#This Row],[CODIGO]])</f>
        <v/>
      </c>
      <c r="H870" s="56">
        <f>PRODUCTOS[[#This Row],[ENTRADAS]]-PRODUCTOS[[#This Row],[SALIDAS ]]</f>
        <v/>
      </c>
      <c r="I870" s="76" t="n">
        <v>0</v>
      </c>
      <c r="J870">
        <f>IF(PRODUCTOS[[#This Row],[STOCK]]&lt;0,"NEGATIVO",IF(PRODUCTOS[[#This Row],[STOCK]]=0,"SIN STOCK",IF(PRODUCTOS[[#This Row],[STOCK]]&lt;=PRODUCTOS[[#This Row],[STOCK MÍN.]],"BAJO","OK")))</f>
        <v/>
      </c>
      <c r="K8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71" hidden="1" s="11">
      <c r="A871" s="18" t="n">
        <v>856</v>
      </c>
      <c r="B871" s="56" t="inlineStr">
        <is>
          <t>00049-ELC</t>
        </is>
      </c>
      <c r="C871" s="56">
        <f>IFERROR(_xlfn.XLOOKUP(PRODUCTOS[[#This Row],[CODIGO]],LISTADO[CODIGOS],LISTADO[CATEGORIA]),"NO EXISTE")</f>
        <v/>
      </c>
      <c r="D871" s="56">
        <f>IFERROR(_xlfn.XLOOKUP(PRODUCTOS[[#This Row],[CODIGO]],LISTADO[CODIGOS],LISTADO[PRODUCTOS]),"NO EXISTE")</f>
        <v/>
      </c>
      <c r="E871" s="56">
        <f>IFERROR(_xlfn.XLOOKUP(PRODUCTOS[[#This Row],[CODIGO]],LISTADO[CODIGOS],LISTADO[UBICACIÓN]),"NO EXISTE")</f>
        <v/>
      </c>
      <c r="F871" s="56">
        <f>SUMIFS(ENTRADAS[CANTIDAD],ENTRADAS[CODIGO],PRODUCTOS[[#This Row],[CODIGO]])</f>
        <v/>
      </c>
      <c r="G871" s="56">
        <f>SUMIFS(SALIDAS[CANTIDAD],SALIDAS[CODIGO],PRODUCTOS[[#This Row],[CODIGO]])</f>
        <v/>
      </c>
      <c r="H871" s="56">
        <f>PRODUCTOS[[#This Row],[ENTRADAS]]-PRODUCTOS[[#This Row],[SALIDAS ]]</f>
        <v/>
      </c>
      <c r="I871" s="76" t="n">
        <v>0</v>
      </c>
      <c r="J871">
        <f>IF(PRODUCTOS[[#This Row],[STOCK]]&lt;0,"NEGATIVO",IF(PRODUCTOS[[#This Row],[STOCK]]=0,"SIN STOCK",IF(PRODUCTOS[[#This Row],[STOCK]]&lt;=PRODUCTOS[[#This Row],[STOCK MÍN.]],"BAJO","OK")))</f>
        <v/>
      </c>
      <c r="K8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72" hidden="1" s="11">
      <c r="A872" s="18" t="n">
        <v>560</v>
      </c>
      <c r="B872" s="56" t="inlineStr">
        <is>
          <t>00109-REF</t>
        </is>
      </c>
      <c r="C872" s="56">
        <f>IFERROR(_xlfn.XLOOKUP(PRODUCTOS[[#This Row],[CODIGO]],LISTADO[CODIGOS],LISTADO[CATEGORIA]),"NO EXISTE")</f>
        <v/>
      </c>
      <c r="D872" s="56">
        <f>IFERROR(_xlfn.XLOOKUP(PRODUCTOS[[#This Row],[CODIGO]],LISTADO[CODIGOS],LISTADO[PRODUCTOS]),"NO EXISTE")</f>
        <v/>
      </c>
      <c r="E872" s="56">
        <f>IFERROR(_xlfn.XLOOKUP(PRODUCTOS[[#This Row],[CODIGO]],LISTADO[CODIGOS],LISTADO[UBICACIÓN]),"NO EXISTE")</f>
        <v/>
      </c>
      <c r="F872" s="56">
        <f>SUMIFS(ENTRADAS[CANTIDAD],ENTRADAS[CODIGO],PRODUCTOS[[#This Row],[CODIGO]])</f>
        <v/>
      </c>
      <c r="G872" s="56">
        <f>SUMIFS(SALIDAS[CANTIDAD],SALIDAS[CODIGO],PRODUCTOS[[#This Row],[CODIGO]])</f>
        <v/>
      </c>
      <c r="H872" s="56">
        <f>PRODUCTOS[[#This Row],[ENTRADAS]]-PRODUCTOS[[#This Row],[SALIDAS ]]</f>
        <v/>
      </c>
      <c r="I872" s="76" t="n">
        <v>0</v>
      </c>
      <c r="J872">
        <f>IF(PRODUCTOS[[#This Row],[STOCK]]&lt;0,"NEGATIVO",IF(PRODUCTOS[[#This Row],[STOCK]]=0,"SIN STOCK",IF(PRODUCTOS[[#This Row],[STOCK]]&lt;=PRODUCTOS[[#This Row],[STOCK MÍN.]],"BAJO","OK")))</f>
        <v/>
      </c>
      <c r="K8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73" hidden="1" s="11">
      <c r="A873" s="18" t="n">
        <v>637</v>
      </c>
      <c r="B873" s="56" t="inlineStr">
        <is>
          <t>00110-REF</t>
        </is>
      </c>
      <c r="C873" s="56">
        <f>IFERROR(_xlfn.XLOOKUP(PRODUCTOS[[#This Row],[CODIGO]],LISTADO[CODIGOS],LISTADO[CATEGORIA]),"NO EXISTE")</f>
        <v/>
      </c>
      <c r="D873" s="56">
        <f>IFERROR(_xlfn.XLOOKUP(PRODUCTOS[[#This Row],[CODIGO]],LISTADO[CODIGOS],LISTADO[PRODUCTOS]),"NO EXISTE")</f>
        <v/>
      </c>
      <c r="E873" s="56">
        <f>IFERROR(_xlfn.XLOOKUP(PRODUCTOS[[#This Row],[CODIGO]],LISTADO[CODIGOS],LISTADO[UBICACIÓN]),"NO EXISTE")</f>
        <v/>
      </c>
      <c r="F873" s="56">
        <f>SUMIFS(ENTRADAS[CANTIDAD],ENTRADAS[CODIGO],PRODUCTOS[[#This Row],[CODIGO]])</f>
        <v/>
      </c>
      <c r="G873" s="56">
        <f>SUMIFS(SALIDAS[CANTIDAD],SALIDAS[CODIGO],PRODUCTOS[[#This Row],[CODIGO]])</f>
        <v/>
      </c>
      <c r="H873" s="56">
        <f>PRODUCTOS[[#This Row],[ENTRADAS]]-PRODUCTOS[[#This Row],[SALIDAS ]]</f>
        <v/>
      </c>
      <c r="I873" s="76" t="n">
        <v>0</v>
      </c>
      <c r="J873">
        <f>IF(PRODUCTOS[[#This Row],[STOCK]]&lt;0,"NEGATIVO",IF(PRODUCTOS[[#This Row],[STOCK]]=0,"SIN STOCK",IF(PRODUCTOS[[#This Row],[STOCK]]&lt;=PRODUCTOS[[#This Row],[STOCK MÍN.]],"BAJO","OK")))</f>
        <v/>
      </c>
      <c r="K8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74" hidden="1" s="11">
      <c r="A874" s="18" t="n">
        <v>859</v>
      </c>
      <c r="B874" s="56" t="inlineStr">
        <is>
          <t>00111-REF</t>
        </is>
      </c>
      <c r="C874" s="56">
        <f>IFERROR(_xlfn.XLOOKUP(PRODUCTOS[[#This Row],[CODIGO]],LISTADO[CODIGOS],LISTADO[CATEGORIA]),"NO EXISTE")</f>
        <v/>
      </c>
      <c r="D874" s="56">
        <f>IFERROR(_xlfn.XLOOKUP(PRODUCTOS[[#This Row],[CODIGO]],LISTADO[CODIGOS],LISTADO[PRODUCTOS]),"NO EXISTE")</f>
        <v/>
      </c>
      <c r="E874" s="56">
        <f>IFERROR(_xlfn.XLOOKUP(PRODUCTOS[[#This Row],[CODIGO]],LISTADO[CODIGOS],LISTADO[UBICACIÓN]),"NO EXISTE")</f>
        <v/>
      </c>
      <c r="F874" s="56">
        <f>SUMIFS(ENTRADAS[CANTIDAD],ENTRADAS[CODIGO],PRODUCTOS[[#This Row],[CODIGO]])</f>
        <v/>
      </c>
      <c r="G874" s="56">
        <f>SUMIFS(SALIDAS[CANTIDAD],SALIDAS[CODIGO],PRODUCTOS[[#This Row],[CODIGO]])</f>
        <v/>
      </c>
      <c r="H874" s="56">
        <f>PRODUCTOS[[#This Row],[ENTRADAS]]-PRODUCTOS[[#This Row],[SALIDAS ]]</f>
        <v/>
      </c>
      <c r="I874" s="76" t="n">
        <v>0</v>
      </c>
      <c r="J874">
        <f>IF(PRODUCTOS[[#This Row],[STOCK]]&lt;0,"NEGATIVO",IF(PRODUCTOS[[#This Row],[STOCK]]=0,"SIN STOCK",IF(PRODUCTOS[[#This Row],[STOCK]]&lt;=PRODUCTOS[[#This Row],[STOCK MÍN.]],"BAJO","OK")))</f>
        <v/>
      </c>
      <c r="K8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75" hidden="1" s="11">
      <c r="A875" s="18" t="n">
        <v>111</v>
      </c>
      <c r="B875" s="56" t="inlineStr">
        <is>
          <t>00112-REF</t>
        </is>
      </c>
      <c r="C875" s="56">
        <f>IFERROR(_xlfn.XLOOKUP(PRODUCTOS[[#This Row],[CODIGO]],LISTADO[CODIGOS],LISTADO[CATEGORIA]),"NO EXISTE")</f>
        <v/>
      </c>
      <c r="D875" s="56">
        <f>IFERROR(_xlfn.XLOOKUP(PRODUCTOS[[#This Row],[CODIGO]],LISTADO[CODIGOS],LISTADO[PRODUCTOS]),"NO EXISTE")</f>
        <v/>
      </c>
      <c r="E875" s="56">
        <f>IFERROR(_xlfn.XLOOKUP(PRODUCTOS[[#This Row],[CODIGO]],LISTADO[CODIGOS],LISTADO[UBICACIÓN]),"NO EXISTE")</f>
        <v/>
      </c>
      <c r="F875" s="56">
        <f>SUMIFS(ENTRADAS[CANTIDAD],ENTRADAS[CODIGO],PRODUCTOS[[#This Row],[CODIGO]])</f>
        <v/>
      </c>
      <c r="G875" s="56">
        <f>SUMIFS(SALIDAS[CANTIDAD],SALIDAS[CODIGO],PRODUCTOS[[#This Row],[CODIGO]])</f>
        <v/>
      </c>
      <c r="H875" s="56">
        <f>PRODUCTOS[[#This Row],[ENTRADAS]]-PRODUCTOS[[#This Row],[SALIDAS ]]</f>
        <v/>
      </c>
      <c r="I875" s="76" t="n">
        <v>0</v>
      </c>
      <c r="J875">
        <f>IF(PRODUCTOS[[#This Row],[STOCK]]&lt;0,"NEGATIVO",IF(PRODUCTOS[[#This Row],[STOCK]]=0,"SIN STOCK",IF(PRODUCTOS[[#This Row],[STOCK]]&lt;=PRODUCTOS[[#This Row],[STOCK MÍN.]],"BAJO","OK")))</f>
        <v/>
      </c>
      <c r="K8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76" hidden="1" s="11">
      <c r="A876" s="18" t="n">
        <v>1057</v>
      </c>
      <c r="B876" s="56" t="inlineStr">
        <is>
          <t>00113-REF</t>
        </is>
      </c>
      <c r="C876" s="56">
        <f>IFERROR(_xlfn.XLOOKUP(PRODUCTOS[[#This Row],[CODIGO]],LISTADO[CODIGOS],LISTADO[CATEGORIA]),"NO EXISTE")</f>
        <v/>
      </c>
      <c r="D876" s="56">
        <f>IFERROR(_xlfn.XLOOKUP(PRODUCTOS[[#This Row],[CODIGO]],LISTADO[CODIGOS],LISTADO[PRODUCTOS]),"NO EXISTE")</f>
        <v/>
      </c>
      <c r="E876" s="56">
        <f>IFERROR(_xlfn.XLOOKUP(PRODUCTOS[[#This Row],[CODIGO]],LISTADO[CODIGOS],LISTADO[UBICACIÓN]),"NO EXISTE")</f>
        <v/>
      </c>
      <c r="F876" s="56">
        <f>SUMIFS(ENTRADAS[CANTIDAD],ENTRADAS[CODIGO],PRODUCTOS[[#This Row],[CODIGO]])</f>
        <v/>
      </c>
      <c r="G876" s="56">
        <f>SUMIFS(SALIDAS[CANTIDAD],SALIDAS[CODIGO],PRODUCTOS[[#This Row],[CODIGO]])</f>
        <v/>
      </c>
      <c r="H876" s="56">
        <f>PRODUCTOS[[#This Row],[ENTRADAS]]-PRODUCTOS[[#This Row],[SALIDAS ]]</f>
        <v/>
      </c>
      <c r="I876" s="76" t="n">
        <v>0</v>
      </c>
      <c r="J876">
        <f>IF(PRODUCTOS[[#This Row],[STOCK]]&lt;0,"NEGATIVO",IF(PRODUCTOS[[#This Row],[STOCK]]=0,"SIN STOCK",IF(PRODUCTOS[[#This Row],[STOCK]]&lt;=PRODUCTOS[[#This Row],[STOCK MÍN.]],"BAJO","OK")))</f>
        <v/>
      </c>
      <c r="K8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77" hidden="1" s="11">
      <c r="A877" s="18" t="n">
        <v>862</v>
      </c>
      <c r="B877" s="56" t="inlineStr">
        <is>
          <t>00177-FER</t>
        </is>
      </c>
      <c r="C877" s="56">
        <f>IFERROR(_xlfn.XLOOKUP(PRODUCTOS[[#This Row],[CODIGO]],LISTADO[CODIGOS],LISTADO[CATEGORIA]),"NO EXISTE")</f>
        <v/>
      </c>
      <c r="D877" s="56">
        <f>IFERROR(_xlfn.XLOOKUP(PRODUCTOS[[#This Row],[CODIGO]],LISTADO[CODIGOS],LISTADO[PRODUCTOS]),"NO EXISTE")</f>
        <v/>
      </c>
      <c r="E877" s="56">
        <f>IFERROR(_xlfn.XLOOKUP(PRODUCTOS[[#This Row],[CODIGO]],LISTADO[CODIGOS],LISTADO[UBICACIÓN]),"NO EXISTE")</f>
        <v/>
      </c>
      <c r="F877" s="56">
        <f>SUMIFS(ENTRADAS[CANTIDAD],ENTRADAS[CODIGO],PRODUCTOS[[#This Row],[CODIGO]])</f>
        <v/>
      </c>
      <c r="G877" s="56">
        <f>SUMIFS(SALIDAS[CANTIDAD],SALIDAS[CODIGO],PRODUCTOS[[#This Row],[CODIGO]])</f>
        <v/>
      </c>
      <c r="H877" s="56">
        <f>PRODUCTOS[[#This Row],[ENTRADAS]]-PRODUCTOS[[#This Row],[SALIDAS ]]</f>
        <v/>
      </c>
      <c r="I877" s="76" t="n">
        <v>0</v>
      </c>
      <c r="J877">
        <f>IF(PRODUCTOS[[#This Row],[STOCK]]&lt;0,"NEGATIVO",IF(PRODUCTOS[[#This Row],[STOCK]]=0,"SIN STOCK",IF(PRODUCTOS[[#This Row],[STOCK]]&lt;=PRODUCTOS[[#This Row],[STOCK MÍN.]],"BAJO","OK")))</f>
        <v/>
      </c>
      <c r="K8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78" hidden="1" s="11">
      <c r="A878" s="18" t="n">
        <v>941</v>
      </c>
      <c r="B878" s="56" t="inlineStr">
        <is>
          <t>00114-REF</t>
        </is>
      </c>
      <c r="C878" s="56">
        <f>IFERROR(_xlfn.XLOOKUP(PRODUCTOS[[#This Row],[CODIGO]],LISTADO[CODIGOS],LISTADO[CATEGORIA]),"NO EXISTE")</f>
        <v/>
      </c>
      <c r="D878" s="56">
        <f>IFERROR(_xlfn.XLOOKUP(PRODUCTOS[[#This Row],[CODIGO]],LISTADO[CODIGOS],LISTADO[PRODUCTOS]),"NO EXISTE")</f>
        <v/>
      </c>
      <c r="E878" s="56">
        <f>IFERROR(_xlfn.XLOOKUP(PRODUCTOS[[#This Row],[CODIGO]],LISTADO[CODIGOS],LISTADO[UBICACIÓN]),"NO EXISTE")</f>
        <v/>
      </c>
      <c r="F878" s="56">
        <f>SUMIFS(ENTRADAS[CANTIDAD],ENTRADAS[CODIGO],PRODUCTOS[[#This Row],[CODIGO]])</f>
        <v/>
      </c>
      <c r="G878" s="56">
        <f>SUMIFS(SALIDAS[CANTIDAD],SALIDAS[CODIGO],PRODUCTOS[[#This Row],[CODIGO]])</f>
        <v/>
      </c>
      <c r="H878" s="56">
        <f>PRODUCTOS[[#This Row],[ENTRADAS]]-PRODUCTOS[[#This Row],[SALIDAS ]]</f>
        <v/>
      </c>
      <c r="I878" s="76" t="n">
        <v>0</v>
      </c>
      <c r="J878">
        <f>IF(PRODUCTOS[[#This Row],[STOCK]]&lt;0,"NEGATIVO",IF(PRODUCTOS[[#This Row],[STOCK]]=0,"SIN STOCK",IF(PRODUCTOS[[#This Row],[STOCK]]&lt;=PRODUCTOS[[#This Row],[STOCK MÍN.]],"BAJO","OK")))</f>
        <v/>
      </c>
      <c r="K8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79" hidden="1" s="11">
      <c r="A879" s="18" t="n">
        <v>864</v>
      </c>
      <c r="B879" s="56" t="inlineStr">
        <is>
          <t>00115-REF</t>
        </is>
      </c>
      <c r="C879" s="56">
        <f>IFERROR(_xlfn.XLOOKUP(PRODUCTOS[[#This Row],[CODIGO]],LISTADO[CODIGOS],LISTADO[CATEGORIA]),"NO EXISTE")</f>
        <v/>
      </c>
      <c r="D879" s="56">
        <f>IFERROR(_xlfn.XLOOKUP(PRODUCTOS[[#This Row],[CODIGO]],LISTADO[CODIGOS],LISTADO[PRODUCTOS]),"NO EXISTE")</f>
        <v/>
      </c>
      <c r="E879" s="56">
        <f>IFERROR(_xlfn.XLOOKUP(PRODUCTOS[[#This Row],[CODIGO]],LISTADO[CODIGOS],LISTADO[UBICACIÓN]),"NO EXISTE")</f>
        <v/>
      </c>
      <c r="F879" s="56">
        <f>SUMIFS(ENTRADAS[CANTIDAD],ENTRADAS[CODIGO],PRODUCTOS[[#This Row],[CODIGO]])</f>
        <v/>
      </c>
      <c r="G879" s="56">
        <f>SUMIFS(SALIDAS[CANTIDAD],SALIDAS[CODIGO],PRODUCTOS[[#This Row],[CODIGO]])</f>
        <v/>
      </c>
      <c r="H879" s="56">
        <f>PRODUCTOS[[#This Row],[ENTRADAS]]-PRODUCTOS[[#This Row],[SALIDAS ]]</f>
        <v/>
      </c>
      <c r="I879" s="76" t="n">
        <v>0</v>
      </c>
      <c r="J879">
        <f>IF(PRODUCTOS[[#This Row],[STOCK]]&lt;0,"NEGATIVO",IF(PRODUCTOS[[#This Row],[STOCK]]=0,"SIN STOCK",IF(PRODUCTOS[[#This Row],[STOCK]]&lt;=PRODUCTOS[[#This Row],[STOCK MÍN.]],"BAJO","OK")))</f>
        <v/>
      </c>
      <c r="K8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80" hidden="1" s="11">
      <c r="A880" s="18" t="n">
        <v>865</v>
      </c>
      <c r="B880" s="56" t="inlineStr">
        <is>
          <t>00116-REF</t>
        </is>
      </c>
      <c r="C880" s="56">
        <f>IFERROR(_xlfn.XLOOKUP(PRODUCTOS[[#This Row],[CODIGO]],LISTADO[CODIGOS],LISTADO[CATEGORIA]),"NO EXISTE")</f>
        <v/>
      </c>
      <c r="D880" s="56">
        <f>IFERROR(_xlfn.XLOOKUP(PRODUCTOS[[#This Row],[CODIGO]],LISTADO[CODIGOS],LISTADO[PRODUCTOS]),"NO EXISTE")</f>
        <v/>
      </c>
      <c r="E880" s="56">
        <f>IFERROR(_xlfn.XLOOKUP(PRODUCTOS[[#This Row],[CODIGO]],LISTADO[CODIGOS],LISTADO[UBICACIÓN]),"NO EXISTE")</f>
        <v/>
      </c>
      <c r="F880" s="56">
        <f>SUMIFS(ENTRADAS[CANTIDAD],ENTRADAS[CODIGO],PRODUCTOS[[#This Row],[CODIGO]])</f>
        <v/>
      </c>
      <c r="G880" s="56">
        <f>SUMIFS(SALIDAS[CANTIDAD],SALIDAS[CODIGO],PRODUCTOS[[#This Row],[CODIGO]])</f>
        <v/>
      </c>
      <c r="H880" s="56">
        <f>PRODUCTOS[[#This Row],[ENTRADAS]]-PRODUCTOS[[#This Row],[SALIDAS ]]</f>
        <v/>
      </c>
      <c r="I880" s="76" t="n">
        <v>0</v>
      </c>
      <c r="J880">
        <f>IF(PRODUCTOS[[#This Row],[STOCK]]&lt;0,"NEGATIVO",IF(PRODUCTOS[[#This Row],[STOCK]]=0,"SIN STOCK",IF(PRODUCTOS[[#This Row],[STOCK]]&lt;=PRODUCTOS[[#This Row],[STOCK MÍN.]],"BAJO","OK")))</f>
        <v/>
      </c>
      <c r="K8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81" hidden="1" s="11">
      <c r="A881" s="18" t="n">
        <v>866</v>
      </c>
      <c r="B881" s="56" t="inlineStr">
        <is>
          <t>00117-REF</t>
        </is>
      </c>
      <c r="C881" s="56">
        <f>IFERROR(_xlfn.XLOOKUP(PRODUCTOS[[#This Row],[CODIGO]],LISTADO[CODIGOS],LISTADO[CATEGORIA]),"NO EXISTE")</f>
        <v/>
      </c>
      <c r="D881" s="56">
        <f>IFERROR(_xlfn.XLOOKUP(PRODUCTOS[[#This Row],[CODIGO]],LISTADO[CODIGOS],LISTADO[PRODUCTOS]),"NO EXISTE")</f>
        <v/>
      </c>
      <c r="E881" s="56">
        <f>IFERROR(_xlfn.XLOOKUP(PRODUCTOS[[#This Row],[CODIGO]],LISTADO[CODIGOS],LISTADO[UBICACIÓN]),"NO EXISTE")</f>
        <v/>
      </c>
      <c r="F881" s="56">
        <f>SUMIFS(ENTRADAS[CANTIDAD],ENTRADAS[CODIGO],PRODUCTOS[[#This Row],[CODIGO]])</f>
        <v/>
      </c>
      <c r="G881" s="56">
        <f>SUMIFS(SALIDAS[CANTIDAD],SALIDAS[CODIGO],PRODUCTOS[[#This Row],[CODIGO]])</f>
        <v/>
      </c>
      <c r="H881" s="56">
        <f>PRODUCTOS[[#This Row],[ENTRADAS]]-PRODUCTOS[[#This Row],[SALIDAS ]]</f>
        <v/>
      </c>
      <c r="I881" s="76" t="n">
        <v>0</v>
      </c>
      <c r="J881">
        <f>IF(PRODUCTOS[[#This Row],[STOCK]]&lt;0,"NEGATIVO",IF(PRODUCTOS[[#This Row],[STOCK]]=0,"SIN STOCK",IF(PRODUCTOS[[#This Row],[STOCK]]&lt;=PRODUCTOS[[#This Row],[STOCK MÍN.]],"BAJO","OK")))</f>
        <v/>
      </c>
      <c r="K8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82" hidden="1" s="11">
      <c r="A882" s="18" t="n">
        <v>867</v>
      </c>
      <c r="B882" s="56" t="inlineStr">
        <is>
          <t>00178-FER</t>
        </is>
      </c>
      <c r="C882" s="56">
        <f>IFERROR(_xlfn.XLOOKUP(PRODUCTOS[[#This Row],[CODIGO]],LISTADO[CODIGOS],LISTADO[CATEGORIA]),"NO EXISTE")</f>
        <v/>
      </c>
      <c r="D882" s="56">
        <f>IFERROR(_xlfn.XLOOKUP(PRODUCTOS[[#This Row],[CODIGO]],LISTADO[CODIGOS],LISTADO[PRODUCTOS]),"NO EXISTE")</f>
        <v/>
      </c>
      <c r="E882" s="56">
        <f>IFERROR(_xlfn.XLOOKUP(PRODUCTOS[[#This Row],[CODIGO]],LISTADO[CODIGOS],LISTADO[UBICACIÓN]),"NO EXISTE")</f>
        <v/>
      </c>
      <c r="F882" s="56">
        <f>SUMIFS(ENTRADAS[CANTIDAD],ENTRADAS[CODIGO],PRODUCTOS[[#This Row],[CODIGO]])</f>
        <v/>
      </c>
      <c r="G882" s="56">
        <f>SUMIFS(SALIDAS[CANTIDAD],SALIDAS[CODIGO],PRODUCTOS[[#This Row],[CODIGO]])</f>
        <v/>
      </c>
      <c r="H882" s="56">
        <f>PRODUCTOS[[#This Row],[ENTRADAS]]-PRODUCTOS[[#This Row],[SALIDAS ]]</f>
        <v/>
      </c>
      <c r="I882" s="76" t="n">
        <v>0</v>
      </c>
      <c r="J882">
        <f>IF(PRODUCTOS[[#This Row],[STOCK]]&lt;0,"NEGATIVO",IF(PRODUCTOS[[#This Row],[STOCK]]=0,"SIN STOCK",IF(PRODUCTOS[[#This Row],[STOCK]]&lt;=PRODUCTOS[[#This Row],[STOCK MÍN.]],"BAJO","OK")))</f>
        <v/>
      </c>
      <c r="K8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83" hidden="1" s="11">
      <c r="A883" s="18" t="n">
        <v>868</v>
      </c>
      <c r="B883" s="56" t="inlineStr">
        <is>
          <t>00050-ELC</t>
        </is>
      </c>
      <c r="C883" s="56">
        <f>IFERROR(_xlfn.XLOOKUP(PRODUCTOS[[#This Row],[CODIGO]],LISTADO[CODIGOS],LISTADO[CATEGORIA]),"NO EXISTE")</f>
        <v/>
      </c>
      <c r="D883" s="56">
        <f>IFERROR(_xlfn.XLOOKUP(PRODUCTOS[[#This Row],[CODIGO]],LISTADO[CODIGOS],LISTADO[PRODUCTOS]),"NO EXISTE")</f>
        <v/>
      </c>
      <c r="E883" s="56">
        <f>IFERROR(_xlfn.XLOOKUP(PRODUCTOS[[#This Row],[CODIGO]],LISTADO[CODIGOS],LISTADO[UBICACIÓN]),"NO EXISTE")</f>
        <v/>
      </c>
      <c r="F883" s="56">
        <f>SUMIFS(ENTRADAS[CANTIDAD],ENTRADAS[CODIGO],PRODUCTOS[[#This Row],[CODIGO]])</f>
        <v/>
      </c>
      <c r="G883" s="56">
        <f>SUMIFS(SALIDAS[CANTIDAD],SALIDAS[CODIGO],PRODUCTOS[[#This Row],[CODIGO]])</f>
        <v/>
      </c>
      <c r="H883" s="56">
        <f>PRODUCTOS[[#This Row],[ENTRADAS]]-PRODUCTOS[[#This Row],[SALIDAS ]]</f>
        <v/>
      </c>
      <c r="I883" s="76" t="n">
        <v>0</v>
      </c>
      <c r="J883">
        <f>IF(PRODUCTOS[[#This Row],[STOCK]]&lt;0,"NEGATIVO",IF(PRODUCTOS[[#This Row],[STOCK]]=0,"SIN STOCK",IF(PRODUCTOS[[#This Row],[STOCK]]&lt;=PRODUCTOS[[#This Row],[STOCK MÍN.]],"BAJO","OK")))</f>
        <v/>
      </c>
      <c r="K8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84" hidden="1" s="11">
      <c r="A884" s="18" t="n">
        <v>869</v>
      </c>
      <c r="B884" s="56" t="inlineStr">
        <is>
          <t>00051-ELC</t>
        </is>
      </c>
      <c r="C884" s="56">
        <f>IFERROR(_xlfn.XLOOKUP(PRODUCTOS[[#This Row],[CODIGO]],LISTADO[CODIGOS],LISTADO[CATEGORIA]),"NO EXISTE")</f>
        <v/>
      </c>
      <c r="D884" s="56">
        <f>IFERROR(_xlfn.XLOOKUP(PRODUCTOS[[#This Row],[CODIGO]],LISTADO[CODIGOS],LISTADO[PRODUCTOS]),"NO EXISTE")</f>
        <v/>
      </c>
      <c r="E884" s="56">
        <f>IFERROR(_xlfn.XLOOKUP(PRODUCTOS[[#This Row],[CODIGO]],LISTADO[CODIGOS],LISTADO[UBICACIÓN]),"NO EXISTE")</f>
        <v/>
      </c>
      <c r="F884" s="56">
        <f>SUMIFS(ENTRADAS[CANTIDAD],ENTRADAS[CODIGO],PRODUCTOS[[#This Row],[CODIGO]])</f>
        <v/>
      </c>
      <c r="G884" s="56">
        <f>SUMIFS(SALIDAS[CANTIDAD],SALIDAS[CODIGO],PRODUCTOS[[#This Row],[CODIGO]])</f>
        <v/>
      </c>
      <c r="H884" s="56">
        <f>PRODUCTOS[[#This Row],[ENTRADAS]]-PRODUCTOS[[#This Row],[SALIDAS ]]</f>
        <v/>
      </c>
      <c r="I884" s="76" t="n">
        <v>0</v>
      </c>
      <c r="J884">
        <f>IF(PRODUCTOS[[#This Row],[STOCK]]&lt;0,"NEGATIVO",IF(PRODUCTOS[[#This Row],[STOCK]]=0,"SIN STOCK",IF(PRODUCTOS[[#This Row],[STOCK]]&lt;=PRODUCTOS[[#This Row],[STOCK MÍN.]],"BAJO","OK")))</f>
        <v/>
      </c>
      <c r="K8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85" hidden="1" s="11">
      <c r="A885" s="18" t="n">
        <v>870</v>
      </c>
      <c r="B885" s="56" t="inlineStr">
        <is>
          <t>00052-ELC</t>
        </is>
      </c>
      <c r="C885" s="56">
        <f>IFERROR(_xlfn.XLOOKUP(PRODUCTOS[[#This Row],[CODIGO]],LISTADO[CODIGOS],LISTADO[CATEGORIA]),"NO EXISTE")</f>
        <v/>
      </c>
      <c r="D885" s="56">
        <f>IFERROR(_xlfn.XLOOKUP(PRODUCTOS[[#This Row],[CODIGO]],LISTADO[CODIGOS],LISTADO[PRODUCTOS]),"NO EXISTE")</f>
        <v/>
      </c>
      <c r="E885" s="56">
        <f>IFERROR(_xlfn.XLOOKUP(PRODUCTOS[[#This Row],[CODIGO]],LISTADO[CODIGOS],LISTADO[UBICACIÓN]),"NO EXISTE")</f>
        <v/>
      </c>
      <c r="F885" s="56">
        <f>SUMIFS(ENTRADAS[CANTIDAD],ENTRADAS[CODIGO],PRODUCTOS[[#This Row],[CODIGO]])</f>
        <v/>
      </c>
      <c r="G885" s="56">
        <f>SUMIFS(SALIDAS[CANTIDAD],SALIDAS[CODIGO],PRODUCTOS[[#This Row],[CODIGO]])</f>
        <v/>
      </c>
      <c r="H885" s="56">
        <f>PRODUCTOS[[#This Row],[ENTRADAS]]-PRODUCTOS[[#This Row],[SALIDAS ]]</f>
        <v/>
      </c>
      <c r="I885" s="76" t="n">
        <v>0</v>
      </c>
      <c r="J885">
        <f>IF(PRODUCTOS[[#This Row],[STOCK]]&lt;0,"NEGATIVO",IF(PRODUCTOS[[#This Row],[STOCK]]=0,"SIN STOCK",IF(PRODUCTOS[[#This Row],[STOCK]]&lt;=PRODUCTOS[[#This Row],[STOCK MÍN.]],"BAJO","OK")))</f>
        <v/>
      </c>
      <c r="K8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86" hidden="1" s="11">
      <c r="A886" s="18" t="n">
        <v>871</v>
      </c>
      <c r="B886" s="56" t="inlineStr">
        <is>
          <t>00053-ELC</t>
        </is>
      </c>
      <c r="C886" s="56">
        <f>IFERROR(_xlfn.XLOOKUP(PRODUCTOS[[#This Row],[CODIGO]],LISTADO[CODIGOS],LISTADO[CATEGORIA]),"NO EXISTE")</f>
        <v/>
      </c>
      <c r="D886" s="56">
        <f>IFERROR(_xlfn.XLOOKUP(PRODUCTOS[[#This Row],[CODIGO]],LISTADO[CODIGOS],LISTADO[PRODUCTOS]),"NO EXISTE")</f>
        <v/>
      </c>
      <c r="E886" s="56">
        <f>IFERROR(_xlfn.XLOOKUP(PRODUCTOS[[#This Row],[CODIGO]],LISTADO[CODIGOS],LISTADO[UBICACIÓN]),"NO EXISTE")</f>
        <v/>
      </c>
      <c r="F886" s="56">
        <f>SUMIFS(ENTRADAS[CANTIDAD],ENTRADAS[CODIGO],PRODUCTOS[[#This Row],[CODIGO]])</f>
        <v/>
      </c>
      <c r="G886" s="56">
        <f>SUMIFS(SALIDAS[CANTIDAD],SALIDAS[CODIGO],PRODUCTOS[[#This Row],[CODIGO]])</f>
        <v/>
      </c>
      <c r="H886" s="56">
        <f>PRODUCTOS[[#This Row],[ENTRADAS]]-PRODUCTOS[[#This Row],[SALIDAS ]]</f>
        <v/>
      </c>
      <c r="I886" s="76" t="n">
        <v>0</v>
      </c>
      <c r="J886">
        <f>IF(PRODUCTOS[[#This Row],[STOCK]]&lt;0,"NEGATIVO",IF(PRODUCTOS[[#This Row],[STOCK]]=0,"SIN STOCK",IF(PRODUCTOS[[#This Row],[STOCK]]&lt;=PRODUCTOS[[#This Row],[STOCK MÍN.]],"BAJO","OK")))</f>
        <v/>
      </c>
      <c r="K8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87" hidden="1" s="11">
      <c r="A887" s="18" t="n">
        <v>872</v>
      </c>
      <c r="B887" s="56" t="inlineStr">
        <is>
          <t>00054-ELC</t>
        </is>
      </c>
      <c r="C887" s="56">
        <f>IFERROR(_xlfn.XLOOKUP(PRODUCTOS[[#This Row],[CODIGO]],LISTADO[CODIGOS],LISTADO[CATEGORIA]),"NO EXISTE")</f>
        <v/>
      </c>
      <c r="D887" s="56">
        <f>IFERROR(_xlfn.XLOOKUP(PRODUCTOS[[#This Row],[CODIGO]],LISTADO[CODIGOS],LISTADO[PRODUCTOS]),"NO EXISTE")</f>
        <v/>
      </c>
      <c r="E887" s="56">
        <f>IFERROR(_xlfn.XLOOKUP(PRODUCTOS[[#This Row],[CODIGO]],LISTADO[CODIGOS],LISTADO[UBICACIÓN]),"NO EXISTE")</f>
        <v/>
      </c>
      <c r="F887" s="56">
        <f>SUMIFS(ENTRADAS[CANTIDAD],ENTRADAS[CODIGO],PRODUCTOS[[#This Row],[CODIGO]])</f>
        <v/>
      </c>
      <c r="G887" s="56">
        <f>SUMIFS(SALIDAS[CANTIDAD],SALIDAS[CODIGO],PRODUCTOS[[#This Row],[CODIGO]])</f>
        <v/>
      </c>
      <c r="H887" s="56">
        <f>PRODUCTOS[[#This Row],[ENTRADAS]]-PRODUCTOS[[#This Row],[SALIDAS ]]</f>
        <v/>
      </c>
      <c r="I887" s="76" t="n">
        <v>0</v>
      </c>
      <c r="J887">
        <f>IF(PRODUCTOS[[#This Row],[STOCK]]&lt;0,"NEGATIVO",IF(PRODUCTOS[[#This Row],[STOCK]]=0,"SIN STOCK",IF(PRODUCTOS[[#This Row],[STOCK]]&lt;=PRODUCTOS[[#This Row],[STOCK MÍN.]],"BAJO","OK")))</f>
        <v/>
      </c>
      <c r="K8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88" hidden="1" s="11">
      <c r="A888" s="18" t="n">
        <v>873</v>
      </c>
      <c r="B888" s="56" t="inlineStr">
        <is>
          <t>00179-FER</t>
        </is>
      </c>
      <c r="C888" s="56">
        <f>IFERROR(_xlfn.XLOOKUP(PRODUCTOS[[#This Row],[CODIGO]],LISTADO[CODIGOS],LISTADO[CATEGORIA]),"NO EXISTE")</f>
        <v/>
      </c>
      <c r="D888" s="56">
        <f>IFERROR(_xlfn.XLOOKUP(PRODUCTOS[[#This Row],[CODIGO]],LISTADO[CODIGOS],LISTADO[PRODUCTOS]),"NO EXISTE")</f>
        <v/>
      </c>
      <c r="E888" s="56">
        <f>IFERROR(_xlfn.XLOOKUP(PRODUCTOS[[#This Row],[CODIGO]],LISTADO[CODIGOS],LISTADO[UBICACIÓN]),"NO EXISTE")</f>
        <v/>
      </c>
      <c r="F888" s="56">
        <f>SUMIFS(ENTRADAS[CANTIDAD],ENTRADAS[CODIGO],PRODUCTOS[[#This Row],[CODIGO]])</f>
        <v/>
      </c>
      <c r="G888" s="56">
        <f>SUMIFS(SALIDAS[CANTIDAD],SALIDAS[CODIGO],PRODUCTOS[[#This Row],[CODIGO]])</f>
        <v/>
      </c>
      <c r="H888" s="56">
        <f>PRODUCTOS[[#This Row],[ENTRADAS]]-PRODUCTOS[[#This Row],[SALIDAS ]]</f>
        <v/>
      </c>
      <c r="I888" s="76" t="n">
        <v>0</v>
      </c>
      <c r="J888">
        <f>IF(PRODUCTOS[[#This Row],[STOCK]]&lt;0,"NEGATIVO",IF(PRODUCTOS[[#This Row],[STOCK]]=0,"SIN STOCK",IF(PRODUCTOS[[#This Row],[STOCK]]&lt;=PRODUCTOS[[#This Row],[STOCK MÍN.]],"BAJO","OK")))</f>
        <v/>
      </c>
      <c r="K8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89" hidden="1" s="11">
      <c r="A889" s="18" t="n">
        <v>874</v>
      </c>
      <c r="B889" s="56" t="inlineStr">
        <is>
          <t>00055-ELC</t>
        </is>
      </c>
      <c r="C889" s="56">
        <f>IFERROR(_xlfn.XLOOKUP(PRODUCTOS[[#This Row],[CODIGO]],LISTADO[CODIGOS],LISTADO[CATEGORIA]),"NO EXISTE")</f>
        <v/>
      </c>
      <c r="D889" s="56">
        <f>IFERROR(_xlfn.XLOOKUP(PRODUCTOS[[#This Row],[CODIGO]],LISTADO[CODIGOS],LISTADO[PRODUCTOS]),"NO EXISTE")</f>
        <v/>
      </c>
      <c r="E889" s="56">
        <f>IFERROR(_xlfn.XLOOKUP(PRODUCTOS[[#This Row],[CODIGO]],LISTADO[CODIGOS],LISTADO[UBICACIÓN]),"NO EXISTE")</f>
        <v/>
      </c>
      <c r="F889" s="56">
        <f>SUMIFS(ENTRADAS[CANTIDAD],ENTRADAS[CODIGO],PRODUCTOS[[#This Row],[CODIGO]])</f>
        <v/>
      </c>
      <c r="G889" s="56">
        <f>SUMIFS(SALIDAS[CANTIDAD],SALIDAS[CODIGO],PRODUCTOS[[#This Row],[CODIGO]])</f>
        <v/>
      </c>
      <c r="H889" s="56">
        <f>PRODUCTOS[[#This Row],[ENTRADAS]]-PRODUCTOS[[#This Row],[SALIDAS ]]</f>
        <v/>
      </c>
      <c r="I889" s="76" t="n">
        <v>0</v>
      </c>
      <c r="J889">
        <f>IF(PRODUCTOS[[#This Row],[STOCK]]&lt;0,"NEGATIVO",IF(PRODUCTOS[[#This Row],[STOCK]]=0,"SIN STOCK",IF(PRODUCTOS[[#This Row],[STOCK]]&lt;=PRODUCTOS[[#This Row],[STOCK MÍN.]],"BAJO","OK")))</f>
        <v/>
      </c>
      <c r="K8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90" hidden="1" s="11">
      <c r="A890" s="18" t="n">
        <v>875</v>
      </c>
      <c r="B890" s="56" t="inlineStr">
        <is>
          <t>00056-ELC</t>
        </is>
      </c>
      <c r="C890" s="56">
        <f>IFERROR(_xlfn.XLOOKUP(PRODUCTOS[[#This Row],[CODIGO]],LISTADO[CODIGOS],LISTADO[CATEGORIA]),"NO EXISTE")</f>
        <v/>
      </c>
      <c r="D890" s="56">
        <f>IFERROR(_xlfn.XLOOKUP(PRODUCTOS[[#This Row],[CODIGO]],LISTADO[CODIGOS],LISTADO[PRODUCTOS]),"NO EXISTE")</f>
        <v/>
      </c>
      <c r="E890" s="56">
        <f>IFERROR(_xlfn.XLOOKUP(PRODUCTOS[[#This Row],[CODIGO]],LISTADO[CODIGOS],LISTADO[UBICACIÓN]),"NO EXISTE")</f>
        <v/>
      </c>
      <c r="F890" s="56">
        <f>SUMIFS(ENTRADAS[CANTIDAD],ENTRADAS[CODIGO],PRODUCTOS[[#This Row],[CODIGO]])</f>
        <v/>
      </c>
      <c r="G890" s="56">
        <f>SUMIFS(SALIDAS[CANTIDAD],SALIDAS[CODIGO],PRODUCTOS[[#This Row],[CODIGO]])</f>
        <v/>
      </c>
      <c r="H890" s="56">
        <f>PRODUCTOS[[#This Row],[ENTRADAS]]-PRODUCTOS[[#This Row],[SALIDAS ]]</f>
        <v/>
      </c>
      <c r="I890" s="76" t="n">
        <v>0</v>
      </c>
      <c r="J890">
        <f>IF(PRODUCTOS[[#This Row],[STOCK]]&lt;0,"NEGATIVO",IF(PRODUCTOS[[#This Row],[STOCK]]=0,"SIN STOCK",IF(PRODUCTOS[[#This Row],[STOCK]]&lt;=PRODUCTOS[[#This Row],[STOCK MÍN.]],"BAJO","OK")))</f>
        <v/>
      </c>
      <c r="K8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91" hidden="1" s="11">
      <c r="A891" s="18" t="n">
        <v>876</v>
      </c>
      <c r="B891" s="56" t="inlineStr">
        <is>
          <t>00057-ELC</t>
        </is>
      </c>
      <c r="C891" s="56">
        <f>IFERROR(_xlfn.XLOOKUP(PRODUCTOS[[#This Row],[CODIGO]],LISTADO[CODIGOS],LISTADO[CATEGORIA]),"NO EXISTE")</f>
        <v/>
      </c>
      <c r="D891" s="56">
        <f>IFERROR(_xlfn.XLOOKUP(PRODUCTOS[[#This Row],[CODIGO]],LISTADO[CODIGOS],LISTADO[PRODUCTOS]),"NO EXISTE")</f>
        <v/>
      </c>
      <c r="E891" s="56">
        <f>IFERROR(_xlfn.XLOOKUP(PRODUCTOS[[#This Row],[CODIGO]],LISTADO[CODIGOS],LISTADO[UBICACIÓN]),"NO EXISTE")</f>
        <v/>
      </c>
      <c r="F891" s="56">
        <f>SUMIFS(ENTRADAS[CANTIDAD],ENTRADAS[CODIGO],PRODUCTOS[[#This Row],[CODIGO]])</f>
        <v/>
      </c>
      <c r="G891" s="56">
        <f>SUMIFS(SALIDAS[CANTIDAD],SALIDAS[CODIGO],PRODUCTOS[[#This Row],[CODIGO]])</f>
        <v/>
      </c>
      <c r="H891" s="56">
        <f>PRODUCTOS[[#This Row],[ENTRADAS]]-PRODUCTOS[[#This Row],[SALIDAS ]]</f>
        <v/>
      </c>
      <c r="I891" s="76" t="n">
        <v>0</v>
      </c>
      <c r="J891">
        <f>IF(PRODUCTOS[[#This Row],[STOCK]]&lt;0,"NEGATIVO",IF(PRODUCTOS[[#This Row],[STOCK]]=0,"SIN STOCK",IF(PRODUCTOS[[#This Row],[STOCK]]&lt;=PRODUCTOS[[#This Row],[STOCK MÍN.]],"BAJO","OK")))</f>
        <v/>
      </c>
      <c r="K8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92" hidden="1" s="11">
      <c r="A892" s="18" t="n">
        <v>877</v>
      </c>
      <c r="B892" s="56" t="inlineStr">
        <is>
          <t>00058-ELC</t>
        </is>
      </c>
      <c r="C892" s="56">
        <f>IFERROR(_xlfn.XLOOKUP(PRODUCTOS[[#This Row],[CODIGO]],LISTADO[CODIGOS],LISTADO[CATEGORIA]),"NO EXISTE")</f>
        <v/>
      </c>
      <c r="D892" s="56">
        <f>IFERROR(_xlfn.XLOOKUP(PRODUCTOS[[#This Row],[CODIGO]],LISTADO[CODIGOS],LISTADO[PRODUCTOS]),"NO EXISTE")</f>
        <v/>
      </c>
      <c r="E892" s="56">
        <f>IFERROR(_xlfn.XLOOKUP(PRODUCTOS[[#This Row],[CODIGO]],LISTADO[CODIGOS],LISTADO[UBICACIÓN]),"NO EXISTE")</f>
        <v/>
      </c>
      <c r="F892" s="56">
        <f>SUMIFS(ENTRADAS[CANTIDAD],ENTRADAS[CODIGO],PRODUCTOS[[#This Row],[CODIGO]])</f>
        <v/>
      </c>
      <c r="G892" s="56">
        <f>SUMIFS(SALIDAS[CANTIDAD],SALIDAS[CODIGO],PRODUCTOS[[#This Row],[CODIGO]])</f>
        <v/>
      </c>
      <c r="H892" s="56">
        <f>PRODUCTOS[[#This Row],[ENTRADAS]]-PRODUCTOS[[#This Row],[SALIDAS ]]</f>
        <v/>
      </c>
      <c r="I892" s="76" t="n">
        <v>0</v>
      </c>
      <c r="J892">
        <f>IF(PRODUCTOS[[#This Row],[STOCK]]&lt;0,"NEGATIVO",IF(PRODUCTOS[[#This Row],[STOCK]]=0,"SIN STOCK",IF(PRODUCTOS[[#This Row],[STOCK]]&lt;=PRODUCTOS[[#This Row],[STOCK MÍN.]],"BAJO","OK")))</f>
        <v/>
      </c>
      <c r="K8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93" hidden="1" s="11">
      <c r="A893" s="18" t="n">
        <v>878</v>
      </c>
      <c r="B893" s="56" t="inlineStr">
        <is>
          <t>00059-ELC</t>
        </is>
      </c>
      <c r="C893" s="56">
        <f>IFERROR(_xlfn.XLOOKUP(PRODUCTOS[[#This Row],[CODIGO]],LISTADO[CODIGOS],LISTADO[CATEGORIA]),"NO EXISTE")</f>
        <v/>
      </c>
      <c r="D893" s="56">
        <f>IFERROR(_xlfn.XLOOKUP(PRODUCTOS[[#This Row],[CODIGO]],LISTADO[CODIGOS],LISTADO[PRODUCTOS]),"NO EXISTE")</f>
        <v/>
      </c>
      <c r="E893" s="56">
        <f>IFERROR(_xlfn.XLOOKUP(PRODUCTOS[[#This Row],[CODIGO]],LISTADO[CODIGOS],LISTADO[UBICACIÓN]),"NO EXISTE")</f>
        <v/>
      </c>
      <c r="F893" s="56">
        <f>SUMIFS(ENTRADAS[CANTIDAD],ENTRADAS[CODIGO],PRODUCTOS[[#This Row],[CODIGO]])</f>
        <v/>
      </c>
      <c r="G893" s="56">
        <f>SUMIFS(SALIDAS[CANTIDAD],SALIDAS[CODIGO],PRODUCTOS[[#This Row],[CODIGO]])</f>
        <v/>
      </c>
      <c r="H893" s="56">
        <f>PRODUCTOS[[#This Row],[ENTRADAS]]-PRODUCTOS[[#This Row],[SALIDAS ]]</f>
        <v/>
      </c>
      <c r="I893" s="76" t="n">
        <v>0</v>
      </c>
      <c r="J893">
        <f>IF(PRODUCTOS[[#This Row],[STOCK]]&lt;0,"NEGATIVO",IF(PRODUCTOS[[#This Row],[STOCK]]=0,"SIN STOCK",IF(PRODUCTOS[[#This Row],[STOCK]]&lt;=PRODUCTOS[[#This Row],[STOCK MÍN.]],"BAJO","OK")))</f>
        <v/>
      </c>
      <c r="K8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94" hidden="1" s="11">
      <c r="A894" s="18" t="n">
        <v>879</v>
      </c>
      <c r="B894" s="56" t="inlineStr">
        <is>
          <t>00180-FER</t>
        </is>
      </c>
      <c r="C894" s="56">
        <f>IFERROR(_xlfn.XLOOKUP(PRODUCTOS[[#This Row],[CODIGO]],LISTADO[CODIGOS],LISTADO[CATEGORIA]),"NO EXISTE")</f>
        <v/>
      </c>
      <c r="D894" s="56">
        <f>IFERROR(_xlfn.XLOOKUP(PRODUCTOS[[#This Row],[CODIGO]],LISTADO[CODIGOS],LISTADO[PRODUCTOS]),"NO EXISTE")</f>
        <v/>
      </c>
      <c r="E894" s="56">
        <f>IFERROR(_xlfn.XLOOKUP(PRODUCTOS[[#This Row],[CODIGO]],LISTADO[CODIGOS],LISTADO[UBICACIÓN]),"NO EXISTE")</f>
        <v/>
      </c>
      <c r="F894" s="56">
        <f>SUMIFS(ENTRADAS[CANTIDAD],ENTRADAS[CODIGO],PRODUCTOS[[#This Row],[CODIGO]])</f>
        <v/>
      </c>
      <c r="G894" s="56">
        <f>SUMIFS(SALIDAS[CANTIDAD],SALIDAS[CODIGO],PRODUCTOS[[#This Row],[CODIGO]])</f>
        <v/>
      </c>
      <c r="H894" s="56">
        <f>PRODUCTOS[[#This Row],[ENTRADAS]]-PRODUCTOS[[#This Row],[SALIDAS ]]</f>
        <v/>
      </c>
      <c r="I894" s="76" t="n">
        <v>0</v>
      </c>
      <c r="J894">
        <f>IF(PRODUCTOS[[#This Row],[STOCK]]&lt;0,"NEGATIVO",IF(PRODUCTOS[[#This Row],[STOCK]]=0,"SIN STOCK",IF(PRODUCTOS[[#This Row],[STOCK]]&lt;=PRODUCTOS[[#This Row],[STOCK MÍN.]],"BAJO","OK")))</f>
        <v/>
      </c>
      <c r="K8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95" hidden="1" s="11">
      <c r="A895" s="18" t="n">
        <v>880</v>
      </c>
      <c r="B895" s="56" t="inlineStr">
        <is>
          <t>00181-FER</t>
        </is>
      </c>
      <c r="C895" s="56">
        <f>IFERROR(_xlfn.XLOOKUP(PRODUCTOS[[#This Row],[CODIGO]],LISTADO[CODIGOS],LISTADO[CATEGORIA]),"NO EXISTE")</f>
        <v/>
      </c>
      <c r="D895" s="56">
        <f>IFERROR(_xlfn.XLOOKUP(PRODUCTOS[[#This Row],[CODIGO]],LISTADO[CODIGOS],LISTADO[PRODUCTOS]),"NO EXISTE")</f>
        <v/>
      </c>
      <c r="E895" s="56">
        <f>IFERROR(_xlfn.XLOOKUP(PRODUCTOS[[#This Row],[CODIGO]],LISTADO[CODIGOS],LISTADO[UBICACIÓN]),"NO EXISTE")</f>
        <v/>
      </c>
      <c r="F895" s="56">
        <f>SUMIFS(ENTRADAS[CANTIDAD],ENTRADAS[CODIGO],PRODUCTOS[[#This Row],[CODIGO]])</f>
        <v/>
      </c>
      <c r="G895" s="56">
        <f>SUMIFS(SALIDAS[CANTIDAD],SALIDAS[CODIGO],PRODUCTOS[[#This Row],[CODIGO]])</f>
        <v/>
      </c>
      <c r="H895" s="56">
        <f>PRODUCTOS[[#This Row],[ENTRADAS]]-PRODUCTOS[[#This Row],[SALIDAS ]]</f>
        <v/>
      </c>
      <c r="I895" s="76" t="n">
        <v>0</v>
      </c>
      <c r="J895">
        <f>IF(PRODUCTOS[[#This Row],[STOCK]]&lt;0,"NEGATIVO",IF(PRODUCTOS[[#This Row],[STOCK]]=0,"SIN STOCK",IF(PRODUCTOS[[#This Row],[STOCK]]&lt;=PRODUCTOS[[#This Row],[STOCK MÍN.]],"BAJO","OK")))</f>
        <v/>
      </c>
      <c r="K8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96" hidden="1" s="11">
      <c r="A896" s="18" t="n">
        <v>881</v>
      </c>
      <c r="B896" s="56" t="inlineStr">
        <is>
          <t>00116-HER</t>
        </is>
      </c>
      <c r="C896" s="56">
        <f>IFERROR(_xlfn.XLOOKUP(PRODUCTOS[[#This Row],[CODIGO]],LISTADO[CODIGOS],LISTADO[CATEGORIA]),"NO EXISTE")</f>
        <v/>
      </c>
      <c r="D896" s="56">
        <f>IFERROR(_xlfn.XLOOKUP(PRODUCTOS[[#This Row],[CODIGO]],LISTADO[CODIGOS],LISTADO[PRODUCTOS]),"NO EXISTE")</f>
        <v/>
      </c>
      <c r="E896" s="56">
        <f>IFERROR(_xlfn.XLOOKUP(PRODUCTOS[[#This Row],[CODIGO]],LISTADO[CODIGOS],LISTADO[UBICACIÓN]),"NO EXISTE")</f>
        <v/>
      </c>
      <c r="F896" s="56">
        <f>SUMIFS(ENTRADAS[CANTIDAD],ENTRADAS[CODIGO],PRODUCTOS[[#This Row],[CODIGO]])</f>
        <v/>
      </c>
      <c r="G896" s="56">
        <f>SUMIFS(SALIDAS[CANTIDAD],SALIDAS[CODIGO],PRODUCTOS[[#This Row],[CODIGO]])</f>
        <v/>
      </c>
      <c r="H896" s="56">
        <f>PRODUCTOS[[#This Row],[ENTRADAS]]-PRODUCTOS[[#This Row],[SALIDAS ]]</f>
        <v/>
      </c>
      <c r="I896" s="76" t="n">
        <v>0</v>
      </c>
      <c r="J896">
        <f>IF(PRODUCTOS[[#This Row],[STOCK]]&lt;0,"NEGATIVO",IF(PRODUCTOS[[#This Row],[STOCK]]=0,"SIN STOCK",IF(PRODUCTOS[[#This Row],[STOCK]]&lt;=PRODUCTOS[[#This Row],[STOCK MÍN.]],"BAJO","OK")))</f>
        <v/>
      </c>
      <c r="K8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97" hidden="1" s="11">
      <c r="A897" s="18" t="n">
        <v>882</v>
      </c>
      <c r="B897" s="56" t="inlineStr">
        <is>
          <t>00118-REF</t>
        </is>
      </c>
      <c r="C897" s="56">
        <f>IFERROR(_xlfn.XLOOKUP(PRODUCTOS[[#This Row],[CODIGO]],LISTADO[CODIGOS],LISTADO[CATEGORIA]),"NO EXISTE")</f>
        <v/>
      </c>
      <c r="D897" s="56">
        <f>IFERROR(_xlfn.XLOOKUP(PRODUCTOS[[#This Row],[CODIGO]],LISTADO[CODIGOS],LISTADO[PRODUCTOS]),"NO EXISTE")</f>
        <v/>
      </c>
      <c r="E897" s="56">
        <f>IFERROR(_xlfn.XLOOKUP(PRODUCTOS[[#This Row],[CODIGO]],LISTADO[CODIGOS],LISTADO[UBICACIÓN]),"NO EXISTE")</f>
        <v/>
      </c>
      <c r="F897" s="56">
        <f>SUMIFS(ENTRADAS[CANTIDAD],ENTRADAS[CODIGO],PRODUCTOS[[#This Row],[CODIGO]])</f>
        <v/>
      </c>
      <c r="G897" s="56">
        <f>SUMIFS(SALIDAS[CANTIDAD],SALIDAS[CODIGO],PRODUCTOS[[#This Row],[CODIGO]])</f>
        <v/>
      </c>
      <c r="H897" s="56">
        <f>PRODUCTOS[[#This Row],[ENTRADAS]]-PRODUCTOS[[#This Row],[SALIDAS ]]</f>
        <v/>
      </c>
      <c r="I897" s="76" t="n">
        <v>0</v>
      </c>
      <c r="J897">
        <f>IF(PRODUCTOS[[#This Row],[STOCK]]&lt;0,"NEGATIVO",IF(PRODUCTOS[[#This Row],[STOCK]]=0,"SIN STOCK",IF(PRODUCTOS[[#This Row],[STOCK]]&lt;=PRODUCTOS[[#This Row],[STOCK MÍN.]],"BAJO","OK")))</f>
        <v/>
      </c>
      <c r="K8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98" hidden="1" s="11">
      <c r="A898" s="18" t="n">
        <v>883</v>
      </c>
      <c r="B898" s="56" t="inlineStr">
        <is>
          <t>00119-REF</t>
        </is>
      </c>
      <c r="C898" s="56">
        <f>IFERROR(_xlfn.XLOOKUP(PRODUCTOS[[#This Row],[CODIGO]],LISTADO[CODIGOS],LISTADO[CATEGORIA]),"NO EXISTE")</f>
        <v/>
      </c>
      <c r="D898" s="56">
        <f>IFERROR(_xlfn.XLOOKUP(PRODUCTOS[[#This Row],[CODIGO]],LISTADO[CODIGOS],LISTADO[PRODUCTOS]),"NO EXISTE")</f>
        <v/>
      </c>
      <c r="E898" s="56">
        <f>IFERROR(_xlfn.XLOOKUP(PRODUCTOS[[#This Row],[CODIGO]],LISTADO[CODIGOS],LISTADO[UBICACIÓN]),"NO EXISTE")</f>
        <v/>
      </c>
      <c r="F898" s="56">
        <f>SUMIFS(ENTRADAS[CANTIDAD],ENTRADAS[CODIGO],PRODUCTOS[[#This Row],[CODIGO]])</f>
        <v/>
      </c>
      <c r="G898" s="56">
        <f>SUMIFS(SALIDAS[CANTIDAD],SALIDAS[CODIGO],PRODUCTOS[[#This Row],[CODIGO]])</f>
        <v/>
      </c>
      <c r="H898" s="56">
        <f>PRODUCTOS[[#This Row],[ENTRADAS]]-PRODUCTOS[[#This Row],[SALIDAS ]]</f>
        <v/>
      </c>
      <c r="I898" s="76" t="n">
        <v>0</v>
      </c>
      <c r="J898">
        <f>IF(PRODUCTOS[[#This Row],[STOCK]]&lt;0,"NEGATIVO",IF(PRODUCTOS[[#This Row],[STOCK]]=0,"SIN STOCK",IF(PRODUCTOS[[#This Row],[STOCK]]&lt;=PRODUCTOS[[#This Row],[STOCK MÍN.]],"BAJO","OK")))</f>
        <v/>
      </c>
      <c r="K8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899" hidden="1" s="11">
      <c r="A899" s="18" t="n">
        <v>884</v>
      </c>
      <c r="B899" s="56" t="inlineStr">
        <is>
          <t>00182-FER</t>
        </is>
      </c>
      <c r="C899" s="56">
        <f>IFERROR(_xlfn.XLOOKUP(PRODUCTOS[[#This Row],[CODIGO]],LISTADO[CODIGOS],LISTADO[CATEGORIA]),"NO EXISTE")</f>
        <v/>
      </c>
      <c r="D899" s="56">
        <f>IFERROR(_xlfn.XLOOKUP(PRODUCTOS[[#This Row],[CODIGO]],LISTADO[CODIGOS],LISTADO[PRODUCTOS]),"NO EXISTE")</f>
        <v/>
      </c>
      <c r="E899" s="56">
        <f>IFERROR(_xlfn.XLOOKUP(PRODUCTOS[[#This Row],[CODIGO]],LISTADO[CODIGOS],LISTADO[UBICACIÓN]),"NO EXISTE")</f>
        <v/>
      </c>
      <c r="F899" s="56">
        <f>SUMIFS(ENTRADAS[CANTIDAD],ENTRADAS[CODIGO],PRODUCTOS[[#This Row],[CODIGO]])</f>
        <v/>
      </c>
      <c r="G899" s="56">
        <f>SUMIFS(SALIDAS[CANTIDAD],SALIDAS[CODIGO],PRODUCTOS[[#This Row],[CODIGO]])</f>
        <v/>
      </c>
      <c r="H899" s="56">
        <f>PRODUCTOS[[#This Row],[ENTRADAS]]-PRODUCTOS[[#This Row],[SALIDAS ]]</f>
        <v/>
      </c>
      <c r="I899" s="76" t="n">
        <v>0</v>
      </c>
      <c r="J899">
        <f>IF(PRODUCTOS[[#This Row],[STOCK]]&lt;0,"NEGATIVO",IF(PRODUCTOS[[#This Row],[STOCK]]=0,"SIN STOCK",IF(PRODUCTOS[[#This Row],[STOCK]]&lt;=PRODUCTOS[[#This Row],[STOCK MÍN.]],"BAJO","OK")))</f>
        <v/>
      </c>
      <c r="K8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00" hidden="1" s="11">
      <c r="A900" s="18" t="n">
        <v>885</v>
      </c>
      <c r="B900" s="56" t="inlineStr">
        <is>
          <t>00183-FER</t>
        </is>
      </c>
      <c r="C900" s="56">
        <f>IFERROR(_xlfn.XLOOKUP(PRODUCTOS[[#This Row],[CODIGO]],LISTADO[CODIGOS],LISTADO[CATEGORIA]),"NO EXISTE")</f>
        <v/>
      </c>
      <c r="D900" s="56">
        <f>IFERROR(_xlfn.XLOOKUP(PRODUCTOS[[#This Row],[CODIGO]],LISTADO[CODIGOS],LISTADO[PRODUCTOS]),"NO EXISTE")</f>
        <v/>
      </c>
      <c r="E900" s="56">
        <f>IFERROR(_xlfn.XLOOKUP(PRODUCTOS[[#This Row],[CODIGO]],LISTADO[CODIGOS],LISTADO[UBICACIÓN]),"NO EXISTE")</f>
        <v/>
      </c>
      <c r="F900" s="56">
        <f>SUMIFS(ENTRADAS[CANTIDAD],ENTRADAS[CODIGO],PRODUCTOS[[#This Row],[CODIGO]])</f>
        <v/>
      </c>
      <c r="G900" s="56">
        <f>SUMIFS(SALIDAS[CANTIDAD],SALIDAS[CODIGO],PRODUCTOS[[#This Row],[CODIGO]])</f>
        <v/>
      </c>
      <c r="H900" s="56">
        <f>PRODUCTOS[[#This Row],[ENTRADAS]]-PRODUCTOS[[#This Row],[SALIDAS ]]</f>
        <v/>
      </c>
      <c r="I900" s="76" t="n">
        <v>0</v>
      </c>
      <c r="J900">
        <f>IF(PRODUCTOS[[#This Row],[STOCK]]&lt;0,"NEGATIVO",IF(PRODUCTOS[[#This Row],[STOCK]]=0,"SIN STOCK",IF(PRODUCTOS[[#This Row],[STOCK]]&lt;=PRODUCTOS[[#This Row],[STOCK MÍN.]],"BAJO","OK")))</f>
        <v/>
      </c>
      <c r="K9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01" hidden="1" s="11">
      <c r="A901" s="18" t="n">
        <v>886</v>
      </c>
      <c r="B901" s="56" t="inlineStr">
        <is>
          <t>00058-PLM</t>
        </is>
      </c>
      <c r="C901" s="56">
        <f>IFERROR(_xlfn.XLOOKUP(PRODUCTOS[[#This Row],[CODIGO]],LISTADO[CODIGOS],LISTADO[CATEGORIA]),"NO EXISTE")</f>
        <v/>
      </c>
      <c r="D901" s="56">
        <f>IFERROR(_xlfn.XLOOKUP(PRODUCTOS[[#This Row],[CODIGO]],LISTADO[CODIGOS],LISTADO[PRODUCTOS]),"NO EXISTE")</f>
        <v/>
      </c>
      <c r="E901" s="56">
        <f>IFERROR(_xlfn.XLOOKUP(PRODUCTOS[[#This Row],[CODIGO]],LISTADO[CODIGOS],LISTADO[UBICACIÓN]),"NO EXISTE")</f>
        <v/>
      </c>
      <c r="F901" s="56">
        <f>SUMIFS(ENTRADAS[CANTIDAD],ENTRADAS[CODIGO],PRODUCTOS[[#This Row],[CODIGO]])</f>
        <v/>
      </c>
      <c r="G901" s="56">
        <f>SUMIFS(SALIDAS[CANTIDAD],SALIDAS[CODIGO],PRODUCTOS[[#This Row],[CODIGO]])</f>
        <v/>
      </c>
      <c r="H901" s="56">
        <f>PRODUCTOS[[#This Row],[ENTRADAS]]-PRODUCTOS[[#This Row],[SALIDAS ]]</f>
        <v/>
      </c>
      <c r="I901" s="76" t="n">
        <v>0</v>
      </c>
      <c r="J901">
        <f>IF(PRODUCTOS[[#This Row],[STOCK]]&lt;0,"NEGATIVO",IF(PRODUCTOS[[#This Row],[STOCK]]=0,"SIN STOCK",IF(PRODUCTOS[[#This Row],[STOCK]]&lt;=PRODUCTOS[[#This Row],[STOCK MÍN.]],"BAJO","OK")))</f>
        <v/>
      </c>
      <c r="K9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02" hidden="1" s="11">
      <c r="A902" s="18" t="n">
        <v>887</v>
      </c>
      <c r="B902" s="56" t="inlineStr">
        <is>
          <t>00184-FER</t>
        </is>
      </c>
      <c r="C902" s="56">
        <f>IFERROR(_xlfn.XLOOKUP(PRODUCTOS[[#This Row],[CODIGO]],LISTADO[CODIGOS],LISTADO[CATEGORIA]),"NO EXISTE")</f>
        <v/>
      </c>
      <c r="D902" s="56">
        <f>IFERROR(_xlfn.XLOOKUP(PRODUCTOS[[#This Row],[CODIGO]],LISTADO[CODIGOS],LISTADO[PRODUCTOS]),"NO EXISTE")</f>
        <v/>
      </c>
      <c r="E902" s="56">
        <f>IFERROR(_xlfn.XLOOKUP(PRODUCTOS[[#This Row],[CODIGO]],LISTADO[CODIGOS],LISTADO[UBICACIÓN]),"NO EXISTE")</f>
        <v/>
      </c>
      <c r="F902" s="56">
        <f>SUMIFS(ENTRADAS[CANTIDAD],ENTRADAS[CODIGO],PRODUCTOS[[#This Row],[CODIGO]])</f>
        <v/>
      </c>
      <c r="G902" s="56">
        <f>SUMIFS(SALIDAS[CANTIDAD],SALIDAS[CODIGO],PRODUCTOS[[#This Row],[CODIGO]])</f>
        <v/>
      </c>
      <c r="H902" s="56">
        <f>PRODUCTOS[[#This Row],[ENTRADAS]]-PRODUCTOS[[#This Row],[SALIDAS ]]</f>
        <v/>
      </c>
      <c r="I902" s="76" t="n">
        <v>0</v>
      </c>
      <c r="J902">
        <f>IF(PRODUCTOS[[#This Row],[STOCK]]&lt;0,"NEGATIVO",IF(PRODUCTOS[[#This Row],[STOCK]]=0,"SIN STOCK",IF(PRODUCTOS[[#This Row],[STOCK]]&lt;=PRODUCTOS[[#This Row],[STOCK MÍN.]],"BAJO","OK")))</f>
        <v/>
      </c>
      <c r="K9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03" hidden="1" s="11">
      <c r="A903" s="18" t="n">
        <v>1056</v>
      </c>
      <c r="B903" s="56" t="inlineStr">
        <is>
          <t>00120-REF</t>
        </is>
      </c>
      <c r="C903" s="56">
        <f>IFERROR(_xlfn.XLOOKUP(PRODUCTOS[[#This Row],[CODIGO]],LISTADO[CODIGOS],LISTADO[CATEGORIA]),"NO EXISTE")</f>
        <v/>
      </c>
      <c r="D903" s="56">
        <f>IFERROR(_xlfn.XLOOKUP(PRODUCTOS[[#This Row],[CODIGO]],LISTADO[CODIGOS],LISTADO[PRODUCTOS]),"NO EXISTE")</f>
        <v/>
      </c>
      <c r="E903" s="56">
        <f>IFERROR(_xlfn.XLOOKUP(PRODUCTOS[[#This Row],[CODIGO]],LISTADO[CODIGOS],LISTADO[UBICACIÓN]),"NO EXISTE")</f>
        <v/>
      </c>
      <c r="F903" s="56">
        <f>SUMIFS(ENTRADAS[CANTIDAD],ENTRADAS[CODIGO],PRODUCTOS[[#This Row],[CODIGO]])</f>
        <v/>
      </c>
      <c r="G903" s="56">
        <f>SUMIFS(SALIDAS[CANTIDAD],SALIDAS[CODIGO],PRODUCTOS[[#This Row],[CODIGO]])</f>
        <v/>
      </c>
      <c r="H903" s="56">
        <f>PRODUCTOS[[#This Row],[ENTRADAS]]-PRODUCTOS[[#This Row],[SALIDAS ]]</f>
        <v/>
      </c>
      <c r="I903" s="76" t="n">
        <v>0</v>
      </c>
      <c r="J903">
        <f>IF(PRODUCTOS[[#This Row],[STOCK]]&lt;0,"NEGATIVO",IF(PRODUCTOS[[#This Row],[STOCK]]=0,"SIN STOCK",IF(PRODUCTOS[[#This Row],[STOCK]]&lt;=PRODUCTOS[[#This Row],[STOCK MÍN.]],"BAJO","OK")))</f>
        <v/>
      </c>
      <c r="K9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04" hidden="1" s="11">
      <c r="A904" s="18" t="n">
        <v>889</v>
      </c>
      <c r="B904" s="56" t="inlineStr">
        <is>
          <t>00016-AUT</t>
        </is>
      </c>
      <c r="C904" s="56">
        <f>IFERROR(_xlfn.XLOOKUP(PRODUCTOS[[#This Row],[CODIGO]],LISTADO[CODIGOS],LISTADO[CATEGORIA]),"NO EXISTE")</f>
        <v/>
      </c>
      <c r="D904" s="56">
        <f>IFERROR(_xlfn.XLOOKUP(PRODUCTOS[[#This Row],[CODIGO]],LISTADO[CODIGOS],LISTADO[PRODUCTOS]),"NO EXISTE")</f>
        <v/>
      </c>
      <c r="E904" s="56">
        <f>IFERROR(_xlfn.XLOOKUP(PRODUCTOS[[#This Row],[CODIGO]],LISTADO[CODIGOS],LISTADO[UBICACIÓN]),"NO EXISTE")</f>
        <v/>
      </c>
      <c r="F904" s="56">
        <f>SUMIFS(ENTRADAS[CANTIDAD],ENTRADAS[CODIGO],PRODUCTOS[[#This Row],[CODIGO]])</f>
        <v/>
      </c>
      <c r="G904" s="56">
        <f>SUMIFS(SALIDAS[CANTIDAD],SALIDAS[CODIGO],PRODUCTOS[[#This Row],[CODIGO]])</f>
        <v/>
      </c>
      <c r="H904" s="56">
        <f>PRODUCTOS[[#This Row],[ENTRADAS]]-PRODUCTOS[[#This Row],[SALIDAS ]]</f>
        <v/>
      </c>
      <c r="I904" s="76" t="n">
        <v>0</v>
      </c>
      <c r="J904">
        <f>IF(PRODUCTOS[[#This Row],[STOCK]]&lt;0,"NEGATIVO",IF(PRODUCTOS[[#This Row],[STOCK]]=0,"SIN STOCK",IF(PRODUCTOS[[#This Row],[STOCK]]&lt;=PRODUCTOS[[#This Row],[STOCK MÍN.]],"BAJO","OK")))</f>
        <v/>
      </c>
      <c r="K9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05" hidden="1" s="11">
      <c r="A905" s="18" t="n">
        <v>890</v>
      </c>
      <c r="B905" s="56" t="inlineStr">
        <is>
          <t>00077-ELE</t>
        </is>
      </c>
      <c r="C905" s="56">
        <f>IFERROR(_xlfn.XLOOKUP(PRODUCTOS[[#This Row],[CODIGO]],LISTADO[CODIGOS],LISTADO[CATEGORIA]),"NO EXISTE")</f>
        <v/>
      </c>
      <c r="D905" s="56">
        <f>IFERROR(_xlfn.XLOOKUP(PRODUCTOS[[#This Row],[CODIGO]],LISTADO[CODIGOS],LISTADO[PRODUCTOS]),"NO EXISTE")</f>
        <v/>
      </c>
      <c r="E905" s="56">
        <f>IFERROR(_xlfn.XLOOKUP(PRODUCTOS[[#This Row],[CODIGO]],LISTADO[CODIGOS],LISTADO[UBICACIÓN]),"NO EXISTE")</f>
        <v/>
      </c>
      <c r="F905" s="56">
        <f>SUMIFS(ENTRADAS[CANTIDAD],ENTRADAS[CODIGO],PRODUCTOS[[#This Row],[CODIGO]])</f>
        <v/>
      </c>
      <c r="G905" s="56">
        <f>SUMIFS(SALIDAS[CANTIDAD],SALIDAS[CODIGO],PRODUCTOS[[#This Row],[CODIGO]])</f>
        <v/>
      </c>
      <c r="H905" s="56">
        <f>PRODUCTOS[[#This Row],[ENTRADAS]]-PRODUCTOS[[#This Row],[SALIDAS ]]</f>
        <v/>
      </c>
      <c r="I905" s="76" t="n">
        <v>0</v>
      </c>
      <c r="J905">
        <f>IF(PRODUCTOS[[#This Row],[STOCK]]&lt;0,"NEGATIVO",IF(PRODUCTOS[[#This Row],[STOCK]]=0,"SIN STOCK",IF(PRODUCTOS[[#This Row],[STOCK]]&lt;=PRODUCTOS[[#This Row],[STOCK MÍN.]],"BAJO","OK")))</f>
        <v/>
      </c>
      <c r="K9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06" hidden="1" s="11">
      <c r="A906" s="18" t="n">
        <v>891</v>
      </c>
      <c r="B906" s="56" t="inlineStr">
        <is>
          <t>00185-FER</t>
        </is>
      </c>
      <c r="C906" s="56">
        <f>IFERROR(_xlfn.XLOOKUP(PRODUCTOS[[#This Row],[CODIGO]],LISTADO[CODIGOS],LISTADO[CATEGORIA]),"NO EXISTE")</f>
        <v/>
      </c>
      <c r="D906" s="56">
        <f>IFERROR(_xlfn.XLOOKUP(PRODUCTOS[[#This Row],[CODIGO]],LISTADO[CODIGOS],LISTADO[PRODUCTOS]),"NO EXISTE")</f>
        <v/>
      </c>
      <c r="E906" s="56">
        <f>IFERROR(_xlfn.XLOOKUP(PRODUCTOS[[#This Row],[CODIGO]],LISTADO[CODIGOS],LISTADO[UBICACIÓN]),"NO EXISTE")</f>
        <v/>
      </c>
      <c r="F906" s="56">
        <f>SUMIFS(ENTRADAS[CANTIDAD],ENTRADAS[CODIGO],PRODUCTOS[[#This Row],[CODIGO]])</f>
        <v/>
      </c>
      <c r="G906" s="56">
        <f>SUMIFS(SALIDAS[CANTIDAD],SALIDAS[CODIGO],PRODUCTOS[[#This Row],[CODIGO]])</f>
        <v/>
      </c>
      <c r="H906" s="56">
        <f>PRODUCTOS[[#This Row],[ENTRADAS]]-PRODUCTOS[[#This Row],[SALIDAS ]]</f>
        <v/>
      </c>
      <c r="I906" s="76" t="n">
        <v>0</v>
      </c>
      <c r="J906">
        <f>IF(PRODUCTOS[[#This Row],[STOCK]]&lt;0,"NEGATIVO",IF(PRODUCTOS[[#This Row],[STOCK]]=0,"SIN STOCK",IF(PRODUCTOS[[#This Row],[STOCK]]&lt;=PRODUCTOS[[#This Row],[STOCK MÍN.]],"BAJO","OK")))</f>
        <v/>
      </c>
      <c r="K9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07" hidden="1" s="11">
      <c r="A907" s="18" t="n">
        <v>892</v>
      </c>
      <c r="B907" s="56" t="inlineStr">
        <is>
          <t>00186-FER</t>
        </is>
      </c>
      <c r="C907" s="56">
        <f>IFERROR(_xlfn.XLOOKUP(PRODUCTOS[[#This Row],[CODIGO]],LISTADO[CODIGOS],LISTADO[CATEGORIA]),"NO EXISTE")</f>
        <v/>
      </c>
      <c r="D907" s="56">
        <f>IFERROR(_xlfn.XLOOKUP(PRODUCTOS[[#This Row],[CODIGO]],LISTADO[CODIGOS],LISTADO[PRODUCTOS]),"NO EXISTE")</f>
        <v/>
      </c>
      <c r="E907" s="56">
        <f>IFERROR(_xlfn.XLOOKUP(PRODUCTOS[[#This Row],[CODIGO]],LISTADO[CODIGOS],LISTADO[UBICACIÓN]),"NO EXISTE")</f>
        <v/>
      </c>
      <c r="F907" s="56">
        <f>SUMIFS(ENTRADAS[CANTIDAD],ENTRADAS[CODIGO],PRODUCTOS[[#This Row],[CODIGO]])</f>
        <v/>
      </c>
      <c r="G907" s="56">
        <f>SUMIFS(SALIDAS[CANTIDAD],SALIDAS[CODIGO],PRODUCTOS[[#This Row],[CODIGO]])</f>
        <v/>
      </c>
      <c r="H907" s="56">
        <f>PRODUCTOS[[#This Row],[ENTRADAS]]-PRODUCTOS[[#This Row],[SALIDAS ]]</f>
        <v/>
      </c>
      <c r="I907" s="76" t="n">
        <v>0</v>
      </c>
      <c r="J907">
        <f>IF(PRODUCTOS[[#This Row],[STOCK]]&lt;0,"NEGATIVO",IF(PRODUCTOS[[#This Row],[STOCK]]=0,"SIN STOCK",IF(PRODUCTOS[[#This Row],[STOCK]]&lt;=PRODUCTOS[[#This Row],[STOCK MÍN.]],"BAJO","OK")))</f>
        <v/>
      </c>
      <c r="K9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08">
      <c r="A908" s="18" t="n">
        <v>893</v>
      </c>
      <c r="B908" s="56" t="inlineStr">
        <is>
          <t>00187-FER</t>
        </is>
      </c>
      <c r="C908" s="56">
        <f>IFERROR(_xlfn.XLOOKUP(PRODUCTOS[[#This Row],[CODIGO]],LISTADO[CODIGOS],LISTADO[CATEGORIA]),"NO EXISTE")</f>
        <v/>
      </c>
      <c r="D908" s="56">
        <f>IFERROR(_xlfn.XLOOKUP(PRODUCTOS[[#This Row],[CODIGO]],LISTADO[CODIGOS],LISTADO[PRODUCTOS]),"NO EXISTE")</f>
        <v/>
      </c>
      <c r="E908" s="56">
        <f>IFERROR(_xlfn.XLOOKUP(PRODUCTOS[[#This Row],[CODIGO]],LISTADO[CODIGOS],LISTADO[UBICACIÓN]),"NO EXISTE")</f>
        <v/>
      </c>
      <c r="F908" s="56">
        <f>SUMIFS(ENTRADAS[CANTIDAD],ENTRADAS[CODIGO],PRODUCTOS[[#This Row],[CODIGO]])</f>
        <v/>
      </c>
      <c r="G908" s="56">
        <f>SUMIFS(SALIDAS[CANTIDAD],SALIDAS[CODIGO],PRODUCTOS[[#This Row],[CODIGO]])</f>
        <v/>
      </c>
      <c r="H908" s="56">
        <f>PRODUCTOS[[#This Row],[ENTRADAS]]-PRODUCTOS[[#This Row],[SALIDAS ]]</f>
        <v/>
      </c>
      <c r="I908" s="76" t="n">
        <v>0</v>
      </c>
      <c r="J908">
        <f>IF(PRODUCTOS[[#This Row],[STOCK]]&lt;0,"NEGATIVO",IF(PRODUCTOS[[#This Row],[STOCK]]=0,"SIN STOCK",IF(PRODUCTOS[[#This Row],[STOCK]]&lt;=PRODUCTOS[[#This Row],[STOCK MÍN.]],"BAJO","OK")))</f>
        <v/>
      </c>
      <c r="K9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09" hidden="1" s="11">
      <c r="A909" s="18" t="n">
        <v>894</v>
      </c>
      <c r="B909" s="56" t="inlineStr">
        <is>
          <t>00059-PLM</t>
        </is>
      </c>
      <c r="C909" s="56">
        <f>IFERROR(_xlfn.XLOOKUP(PRODUCTOS[[#This Row],[CODIGO]],LISTADO[CODIGOS],LISTADO[CATEGORIA]),"NO EXISTE")</f>
        <v/>
      </c>
      <c r="D909" s="56">
        <f>IFERROR(_xlfn.XLOOKUP(PRODUCTOS[[#This Row],[CODIGO]],LISTADO[CODIGOS],LISTADO[PRODUCTOS]),"NO EXISTE")</f>
        <v/>
      </c>
      <c r="E909" s="56">
        <f>IFERROR(_xlfn.XLOOKUP(PRODUCTOS[[#This Row],[CODIGO]],LISTADO[CODIGOS],LISTADO[UBICACIÓN]),"NO EXISTE")</f>
        <v/>
      </c>
      <c r="F909" s="56">
        <f>SUMIFS(ENTRADAS[CANTIDAD],ENTRADAS[CODIGO],PRODUCTOS[[#This Row],[CODIGO]])</f>
        <v/>
      </c>
      <c r="G909" s="56">
        <f>SUMIFS(SALIDAS[CANTIDAD],SALIDAS[CODIGO],PRODUCTOS[[#This Row],[CODIGO]])</f>
        <v/>
      </c>
      <c r="H909" s="56">
        <f>PRODUCTOS[[#This Row],[ENTRADAS]]-PRODUCTOS[[#This Row],[SALIDAS ]]</f>
        <v/>
      </c>
      <c r="I909" s="76" t="n">
        <v>0</v>
      </c>
      <c r="J909">
        <f>IF(PRODUCTOS[[#This Row],[STOCK]]&lt;0,"NEGATIVO",IF(PRODUCTOS[[#This Row],[STOCK]]=0,"SIN STOCK",IF(PRODUCTOS[[#This Row],[STOCK]]&lt;=PRODUCTOS[[#This Row],[STOCK MÍN.]],"BAJO","OK")))</f>
        <v/>
      </c>
      <c r="K9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10" hidden="1" s="11">
      <c r="A910" s="18" t="n">
        <v>895</v>
      </c>
      <c r="B910" s="56" t="inlineStr">
        <is>
          <t>00061-HRR</t>
        </is>
      </c>
      <c r="C910" s="56">
        <f>IFERROR(_xlfn.XLOOKUP(PRODUCTOS[[#This Row],[CODIGO]],LISTADO[CODIGOS],LISTADO[CATEGORIA]),"NO EXISTE")</f>
        <v/>
      </c>
      <c r="D910" s="56">
        <f>IFERROR(_xlfn.XLOOKUP(PRODUCTOS[[#This Row],[CODIGO]],LISTADO[CODIGOS],LISTADO[PRODUCTOS]),"NO EXISTE")</f>
        <v/>
      </c>
      <c r="E910" s="56">
        <f>IFERROR(_xlfn.XLOOKUP(PRODUCTOS[[#This Row],[CODIGO]],LISTADO[CODIGOS],LISTADO[UBICACIÓN]),"NO EXISTE")</f>
        <v/>
      </c>
      <c r="F910" s="56">
        <f>SUMIFS(ENTRADAS[CANTIDAD],ENTRADAS[CODIGO],PRODUCTOS[[#This Row],[CODIGO]])</f>
        <v/>
      </c>
      <c r="G910" s="56">
        <f>SUMIFS(SALIDAS[CANTIDAD],SALIDAS[CODIGO],PRODUCTOS[[#This Row],[CODIGO]])</f>
        <v/>
      </c>
      <c r="H910" s="56">
        <f>PRODUCTOS[[#This Row],[ENTRADAS]]-PRODUCTOS[[#This Row],[SALIDAS ]]</f>
        <v/>
      </c>
      <c r="I910" s="76" t="n">
        <v>0</v>
      </c>
      <c r="J910">
        <f>IF(PRODUCTOS[[#This Row],[STOCK]]&lt;0,"NEGATIVO",IF(PRODUCTOS[[#This Row],[STOCK]]=0,"SIN STOCK",IF(PRODUCTOS[[#This Row],[STOCK]]&lt;=PRODUCTOS[[#This Row],[STOCK MÍN.]],"BAJO","OK")))</f>
        <v/>
      </c>
      <c r="K9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11">
      <c r="A911" s="18" t="n">
        <v>896</v>
      </c>
      <c r="B911" s="56" t="inlineStr">
        <is>
          <t>00188-FER</t>
        </is>
      </c>
      <c r="C911" s="56">
        <f>IFERROR(_xlfn.XLOOKUP(PRODUCTOS[[#This Row],[CODIGO]],LISTADO[CODIGOS],LISTADO[CATEGORIA]),"NO EXISTE")</f>
        <v/>
      </c>
      <c r="D911" s="56">
        <f>IFERROR(_xlfn.XLOOKUP(PRODUCTOS[[#This Row],[CODIGO]],LISTADO[CODIGOS],LISTADO[PRODUCTOS]),"NO EXISTE")</f>
        <v/>
      </c>
      <c r="E911" s="56">
        <f>IFERROR(_xlfn.XLOOKUP(PRODUCTOS[[#This Row],[CODIGO]],LISTADO[CODIGOS],LISTADO[UBICACIÓN]),"NO EXISTE")</f>
        <v/>
      </c>
      <c r="F911" s="56">
        <f>SUMIFS(ENTRADAS[CANTIDAD],ENTRADAS[CODIGO],PRODUCTOS[[#This Row],[CODIGO]])</f>
        <v/>
      </c>
      <c r="G911" s="56">
        <f>SUMIFS(SALIDAS[CANTIDAD],SALIDAS[CODIGO],PRODUCTOS[[#This Row],[CODIGO]])</f>
        <v/>
      </c>
      <c r="H911" s="56">
        <f>PRODUCTOS[[#This Row],[ENTRADAS]]-PRODUCTOS[[#This Row],[SALIDAS ]]</f>
        <v/>
      </c>
      <c r="I911" s="76" t="n">
        <v>0</v>
      </c>
      <c r="J911">
        <f>IF(PRODUCTOS[[#This Row],[STOCK]]&lt;0,"NEGATIVO",IF(PRODUCTOS[[#This Row],[STOCK]]=0,"SIN STOCK",IF(PRODUCTOS[[#This Row],[STOCK]]&lt;=PRODUCTOS[[#This Row],[STOCK MÍN.]],"BAJO","OK")))</f>
        <v/>
      </c>
      <c r="K9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12" hidden="1" s="11">
      <c r="A912" s="18" t="n">
        <v>897</v>
      </c>
      <c r="B912" s="56" t="inlineStr">
        <is>
          <t>00189-FER</t>
        </is>
      </c>
      <c r="C912" s="56">
        <f>IFERROR(_xlfn.XLOOKUP(PRODUCTOS[[#This Row],[CODIGO]],LISTADO[CODIGOS],LISTADO[CATEGORIA]),"NO EXISTE")</f>
        <v/>
      </c>
      <c r="D912" s="56">
        <f>IFERROR(_xlfn.XLOOKUP(PRODUCTOS[[#This Row],[CODIGO]],LISTADO[CODIGOS],LISTADO[PRODUCTOS]),"NO EXISTE")</f>
        <v/>
      </c>
      <c r="E912" s="56">
        <f>IFERROR(_xlfn.XLOOKUP(PRODUCTOS[[#This Row],[CODIGO]],LISTADO[CODIGOS],LISTADO[UBICACIÓN]),"NO EXISTE")</f>
        <v/>
      </c>
      <c r="F912" s="56">
        <f>SUMIFS(ENTRADAS[CANTIDAD],ENTRADAS[CODIGO],PRODUCTOS[[#This Row],[CODIGO]])</f>
        <v/>
      </c>
      <c r="G912" s="56">
        <f>SUMIFS(SALIDAS[CANTIDAD],SALIDAS[CODIGO],PRODUCTOS[[#This Row],[CODIGO]])</f>
        <v/>
      </c>
      <c r="H912" s="56">
        <f>PRODUCTOS[[#This Row],[ENTRADAS]]-PRODUCTOS[[#This Row],[SALIDAS ]]</f>
        <v/>
      </c>
      <c r="I912" s="76" t="n">
        <v>0</v>
      </c>
      <c r="J912">
        <f>IF(PRODUCTOS[[#This Row],[STOCK]]&lt;0,"NEGATIVO",IF(PRODUCTOS[[#This Row],[STOCK]]=0,"SIN STOCK",IF(PRODUCTOS[[#This Row],[STOCK]]&lt;=PRODUCTOS[[#This Row],[STOCK MÍN.]],"BAJO","OK")))</f>
        <v/>
      </c>
      <c r="K9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13" hidden="1" s="11">
      <c r="A913" s="18" t="n">
        <v>898</v>
      </c>
      <c r="B913" s="56" t="inlineStr">
        <is>
          <t>00078-ELE</t>
        </is>
      </c>
      <c r="C913" s="56">
        <f>IFERROR(_xlfn.XLOOKUP(PRODUCTOS[[#This Row],[CODIGO]],LISTADO[CODIGOS],LISTADO[CATEGORIA]),"NO EXISTE")</f>
        <v/>
      </c>
      <c r="D913" s="56">
        <f>IFERROR(_xlfn.XLOOKUP(PRODUCTOS[[#This Row],[CODIGO]],LISTADO[CODIGOS],LISTADO[PRODUCTOS]),"NO EXISTE")</f>
        <v/>
      </c>
      <c r="E913" s="56">
        <f>IFERROR(_xlfn.XLOOKUP(PRODUCTOS[[#This Row],[CODIGO]],LISTADO[CODIGOS],LISTADO[UBICACIÓN]),"NO EXISTE")</f>
        <v/>
      </c>
      <c r="F913" s="56">
        <f>SUMIFS(ENTRADAS[CANTIDAD],ENTRADAS[CODIGO],PRODUCTOS[[#This Row],[CODIGO]])</f>
        <v/>
      </c>
      <c r="G913" s="56">
        <f>SUMIFS(SALIDAS[CANTIDAD],SALIDAS[CODIGO],PRODUCTOS[[#This Row],[CODIGO]])</f>
        <v/>
      </c>
      <c r="H913" s="56">
        <f>PRODUCTOS[[#This Row],[ENTRADAS]]-PRODUCTOS[[#This Row],[SALIDAS ]]</f>
        <v/>
      </c>
      <c r="I913" s="76" t="n">
        <v>0</v>
      </c>
      <c r="J913">
        <f>IF(PRODUCTOS[[#This Row],[STOCK]]&lt;0,"NEGATIVO",IF(PRODUCTOS[[#This Row],[STOCK]]=0,"SIN STOCK",IF(PRODUCTOS[[#This Row],[STOCK]]&lt;=PRODUCTOS[[#This Row],[STOCK MÍN.]],"BAJO","OK")))</f>
        <v/>
      </c>
      <c r="K9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14" hidden="1" s="11">
      <c r="A914" s="18" t="n">
        <v>899</v>
      </c>
      <c r="B914" s="56" t="inlineStr">
        <is>
          <t>00060-PLM</t>
        </is>
      </c>
      <c r="C914" s="56">
        <f>IFERROR(_xlfn.XLOOKUP(PRODUCTOS[[#This Row],[CODIGO]],LISTADO[CODIGOS],LISTADO[CATEGORIA]),"NO EXISTE")</f>
        <v/>
      </c>
      <c r="D914" s="56">
        <f>IFERROR(_xlfn.XLOOKUP(PRODUCTOS[[#This Row],[CODIGO]],LISTADO[CODIGOS],LISTADO[PRODUCTOS]),"NO EXISTE")</f>
        <v/>
      </c>
      <c r="E914" s="56">
        <f>IFERROR(_xlfn.XLOOKUP(PRODUCTOS[[#This Row],[CODIGO]],LISTADO[CODIGOS],LISTADO[UBICACIÓN]),"NO EXISTE")</f>
        <v/>
      </c>
      <c r="F914" s="56">
        <f>SUMIFS(ENTRADAS[CANTIDAD],ENTRADAS[CODIGO],PRODUCTOS[[#This Row],[CODIGO]])</f>
        <v/>
      </c>
      <c r="G914" s="56">
        <f>SUMIFS(SALIDAS[CANTIDAD],SALIDAS[CODIGO],PRODUCTOS[[#This Row],[CODIGO]])</f>
        <v/>
      </c>
      <c r="H914" s="56">
        <f>PRODUCTOS[[#This Row],[ENTRADAS]]-PRODUCTOS[[#This Row],[SALIDAS ]]</f>
        <v/>
      </c>
      <c r="I914" s="76" t="n">
        <v>0</v>
      </c>
      <c r="J914">
        <f>IF(PRODUCTOS[[#This Row],[STOCK]]&lt;0,"NEGATIVO",IF(PRODUCTOS[[#This Row],[STOCK]]=0,"SIN STOCK",IF(PRODUCTOS[[#This Row],[STOCK]]&lt;=PRODUCTOS[[#This Row],[STOCK MÍN.]],"BAJO","OK")))</f>
        <v/>
      </c>
      <c r="K9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15" hidden="1" s="11">
      <c r="A915" s="18" t="n">
        <v>900</v>
      </c>
      <c r="B915" s="56" t="inlineStr">
        <is>
          <t>00061-PLM</t>
        </is>
      </c>
      <c r="C915" s="56">
        <f>IFERROR(_xlfn.XLOOKUP(PRODUCTOS[[#This Row],[CODIGO]],LISTADO[CODIGOS],LISTADO[CATEGORIA]),"NO EXISTE")</f>
        <v/>
      </c>
      <c r="D915" s="56">
        <f>IFERROR(_xlfn.XLOOKUP(PRODUCTOS[[#This Row],[CODIGO]],LISTADO[CODIGOS],LISTADO[PRODUCTOS]),"NO EXISTE")</f>
        <v/>
      </c>
      <c r="E915" s="56">
        <f>IFERROR(_xlfn.XLOOKUP(PRODUCTOS[[#This Row],[CODIGO]],LISTADO[CODIGOS],LISTADO[UBICACIÓN]),"NO EXISTE")</f>
        <v/>
      </c>
      <c r="F915" s="56">
        <f>SUMIFS(ENTRADAS[CANTIDAD],ENTRADAS[CODIGO],PRODUCTOS[[#This Row],[CODIGO]])</f>
        <v/>
      </c>
      <c r="G915" s="56">
        <f>SUMIFS(SALIDAS[CANTIDAD],SALIDAS[CODIGO],PRODUCTOS[[#This Row],[CODIGO]])</f>
        <v/>
      </c>
      <c r="H915" s="56">
        <f>PRODUCTOS[[#This Row],[ENTRADAS]]-PRODUCTOS[[#This Row],[SALIDAS ]]</f>
        <v/>
      </c>
      <c r="I915" s="76" t="n">
        <v>0</v>
      </c>
      <c r="J915">
        <f>IF(PRODUCTOS[[#This Row],[STOCK]]&lt;0,"NEGATIVO",IF(PRODUCTOS[[#This Row],[STOCK]]=0,"SIN STOCK",IF(PRODUCTOS[[#This Row],[STOCK]]&lt;=PRODUCTOS[[#This Row],[STOCK MÍN.]],"BAJO","OK")))</f>
        <v/>
      </c>
      <c r="K9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16" hidden="1" s="11">
      <c r="A916" s="18" t="n">
        <v>901</v>
      </c>
      <c r="B916" s="56" t="inlineStr">
        <is>
          <t>00190-FER</t>
        </is>
      </c>
      <c r="C916" s="56">
        <f>IFERROR(_xlfn.XLOOKUP(PRODUCTOS[[#This Row],[CODIGO]],LISTADO[CODIGOS],LISTADO[CATEGORIA]),"NO EXISTE")</f>
        <v/>
      </c>
      <c r="D916" s="56">
        <f>IFERROR(_xlfn.XLOOKUP(PRODUCTOS[[#This Row],[CODIGO]],LISTADO[CODIGOS],LISTADO[PRODUCTOS]),"NO EXISTE")</f>
        <v/>
      </c>
      <c r="E916" s="56">
        <f>IFERROR(_xlfn.XLOOKUP(PRODUCTOS[[#This Row],[CODIGO]],LISTADO[CODIGOS],LISTADO[UBICACIÓN]),"NO EXISTE")</f>
        <v/>
      </c>
      <c r="F916" s="56">
        <f>SUMIFS(ENTRADAS[CANTIDAD],ENTRADAS[CODIGO],PRODUCTOS[[#This Row],[CODIGO]])</f>
        <v/>
      </c>
      <c r="G916" s="56">
        <f>SUMIFS(SALIDAS[CANTIDAD],SALIDAS[CODIGO],PRODUCTOS[[#This Row],[CODIGO]])</f>
        <v/>
      </c>
      <c r="H916" s="56">
        <f>PRODUCTOS[[#This Row],[ENTRADAS]]-PRODUCTOS[[#This Row],[SALIDAS ]]</f>
        <v/>
      </c>
      <c r="I916" s="76" t="n">
        <v>0</v>
      </c>
      <c r="J916">
        <f>IF(PRODUCTOS[[#This Row],[STOCK]]&lt;0,"NEGATIVO",IF(PRODUCTOS[[#This Row],[STOCK]]=0,"SIN STOCK",IF(PRODUCTOS[[#This Row],[STOCK]]&lt;=PRODUCTOS[[#This Row],[STOCK MÍN.]],"BAJO","OK")))</f>
        <v/>
      </c>
      <c r="K9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17" hidden="1" s="11">
      <c r="A917" s="18" t="n">
        <v>902</v>
      </c>
      <c r="B917" s="56" t="inlineStr">
        <is>
          <t>00191-FER</t>
        </is>
      </c>
      <c r="C917" s="56">
        <f>IFERROR(_xlfn.XLOOKUP(PRODUCTOS[[#This Row],[CODIGO]],LISTADO[CODIGOS],LISTADO[CATEGORIA]),"NO EXISTE")</f>
        <v/>
      </c>
      <c r="D917" s="56">
        <f>IFERROR(_xlfn.XLOOKUP(PRODUCTOS[[#This Row],[CODIGO]],LISTADO[CODIGOS],LISTADO[PRODUCTOS]),"NO EXISTE")</f>
        <v/>
      </c>
      <c r="E917" s="56">
        <f>IFERROR(_xlfn.XLOOKUP(PRODUCTOS[[#This Row],[CODIGO]],LISTADO[CODIGOS],LISTADO[UBICACIÓN]),"NO EXISTE")</f>
        <v/>
      </c>
      <c r="F917" s="56">
        <f>SUMIFS(ENTRADAS[CANTIDAD],ENTRADAS[CODIGO],PRODUCTOS[[#This Row],[CODIGO]])</f>
        <v/>
      </c>
      <c r="G917" s="56">
        <f>SUMIFS(SALIDAS[CANTIDAD],SALIDAS[CODIGO],PRODUCTOS[[#This Row],[CODIGO]])</f>
        <v/>
      </c>
      <c r="H917" s="56">
        <f>PRODUCTOS[[#This Row],[ENTRADAS]]-PRODUCTOS[[#This Row],[SALIDAS ]]</f>
        <v/>
      </c>
      <c r="I917" s="76" t="n">
        <v>0</v>
      </c>
      <c r="J917">
        <f>IF(PRODUCTOS[[#This Row],[STOCK]]&lt;0,"NEGATIVO",IF(PRODUCTOS[[#This Row],[STOCK]]=0,"SIN STOCK",IF(PRODUCTOS[[#This Row],[STOCK]]&lt;=PRODUCTOS[[#This Row],[STOCK MÍN.]],"BAJO","OK")))</f>
        <v/>
      </c>
      <c r="K9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18" hidden="1" s="11">
      <c r="A918" s="18" t="n">
        <v>903</v>
      </c>
      <c r="B918" s="56" t="inlineStr">
        <is>
          <t>00062-HRR</t>
        </is>
      </c>
      <c r="C918" s="56">
        <f>IFERROR(_xlfn.XLOOKUP(PRODUCTOS[[#This Row],[CODIGO]],LISTADO[CODIGOS],LISTADO[CATEGORIA]),"NO EXISTE")</f>
        <v/>
      </c>
      <c r="D918" s="56">
        <f>IFERROR(_xlfn.XLOOKUP(PRODUCTOS[[#This Row],[CODIGO]],LISTADO[CODIGOS],LISTADO[PRODUCTOS]),"NO EXISTE")</f>
        <v/>
      </c>
      <c r="E918" s="56">
        <f>IFERROR(_xlfn.XLOOKUP(PRODUCTOS[[#This Row],[CODIGO]],LISTADO[CODIGOS],LISTADO[UBICACIÓN]),"NO EXISTE")</f>
        <v/>
      </c>
      <c r="F918" s="56">
        <f>SUMIFS(ENTRADAS[CANTIDAD],ENTRADAS[CODIGO],PRODUCTOS[[#This Row],[CODIGO]])</f>
        <v/>
      </c>
      <c r="G918" s="56">
        <f>SUMIFS(SALIDAS[CANTIDAD],SALIDAS[CODIGO],PRODUCTOS[[#This Row],[CODIGO]])</f>
        <v/>
      </c>
      <c r="H918" s="56">
        <f>PRODUCTOS[[#This Row],[ENTRADAS]]-PRODUCTOS[[#This Row],[SALIDAS ]]</f>
        <v/>
      </c>
      <c r="I918" s="76" t="n">
        <v>0</v>
      </c>
      <c r="J918">
        <f>IF(PRODUCTOS[[#This Row],[STOCK]]&lt;0,"NEGATIVO",IF(PRODUCTOS[[#This Row],[STOCK]]=0,"SIN STOCK",IF(PRODUCTOS[[#This Row],[STOCK]]&lt;=PRODUCTOS[[#This Row],[STOCK MÍN.]],"BAJO","OK")))</f>
        <v/>
      </c>
      <c r="K9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19" hidden="1" s="11">
      <c r="A919" s="18" t="n">
        <v>904</v>
      </c>
      <c r="B919" s="56" t="inlineStr">
        <is>
          <t>00192-FER</t>
        </is>
      </c>
      <c r="C919" s="56">
        <f>IFERROR(_xlfn.XLOOKUP(PRODUCTOS[[#This Row],[CODIGO]],LISTADO[CODIGOS],LISTADO[CATEGORIA]),"NO EXISTE")</f>
        <v/>
      </c>
      <c r="D919" s="56">
        <f>IFERROR(_xlfn.XLOOKUP(PRODUCTOS[[#This Row],[CODIGO]],LISTADO[CODIGOS],LISTADO[PRODUCTOS]),"NO EXISTE")</f>
        <v/>
      </c>
      <c r="E919" s="56">
        <f>IFERROR(_xlfn.XLOOKUP(PRODUCTOS[[#This Row],[CODIGO]],LISTADO[CODIGOS],LISTADO[UBICACIÓN]),"NO EXISTE")</f>
        <v/>
      </c>
      <c r="F919" s="56">
        <f>SUMIFS(ENTRADAS[CANTIDAD],ENTRADAS[CODIGO],PRODUCTOS[[#This Row],[CODIGO]])</f>
        <v/>
      </c>
      <c r="G919" s="56">
        <f>SUMIFS(SALIDAS[CANTIDAD],SALIDAS[CODIGO],PRODUCTOS[[#This Row],[CODIGO]])</f>
        <v/>
      </c>
      <c r="H919" s="56">
        <f>PRODUCTOS[[#This Row],[ENTRADAS]]-PRODUCTOS[[#This Row],[SALIDAS ]]</f>
        <v/>
      </c>
      <c r="I919" s="76" t="n">
        <v>0</v>
      </c>
      <c r="J919">
        <f>IF(PRODUCTOS[[#This Row],[STOCK]]&lt;0,"NEGATIVO",IF(PRODUCTOS[[#This Row],[STOCK]]=0,"SIN STOCK",IF(PRODUCTOS[[#This Row],[STOCK]]&lt;=PRODUCTOS[[#This Row],[STOCK MÍN.]],"BAJO","OK")))</f>
        <v/>
      </c>
      <c r="K9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20" hidden="1" s="11">
      <c r="A920" s="18" t="n">
        <v>905</v>
      </c>
      <c r="B920" s="56" t="inlineStr">
        <is>
          <t>00117-HER</t>
        </is>
      </c>
      <c r="C920" s="56">
        <f>IFERROR(_xlfn.XLOOKUP(PRODUCTOS[[#This Row],[CODIGO]],LISTADO[CODIGOS],LISTADO[CATEGORIA]),"NO EXISTE")</f>
        <v/>
      </c>
      <c r="D920" s="56">
        <f>IFERROR(_xlfn.XLOOKUP(PRODUCTOS[[#This Row],[CODIGO]],LISTADO[CODIGOS],LISTADO[PRODUCTOS]),"NO EXISTE")</f>
        <v/>
      </c>
      <c r="E920" s="56">
        <f>IFERROR(_xlfn.XLOOKUP(PRODUCTOS[[#This Row],[CODIGO]],LISTADO[CODIGOS],LISTADO[UBICACIÓN]),"NO EXISTE")</f>
        <v/>
      </c>
      <c r="F920" s="56">
        <f>SUMIFS(ENTRADAS[CANTIDAD],ENTRADAS[CODIGO],PRODUCTOS[[#This Row],[CODIGO]])</f>
        <v/>
      </c>
      <c r="G920" s="56">
        <f>SUMIFS(SALIDAS[CANTIDAD],SALIDAS[CODIGO],PRODUCTOS[[#This Row],[CODIGO]])</f>
        <v/>
      </c>
      <c r="H920" s="56">
        <f>PRODUCTOS[[#This Row],[ENTRADAS]]-PRODUCTOS[[#This Row],[SALIDAS ]]</f>
        <v/>
      </c>
      <c r="I920" s="76" t="n">
        <v>0</v>
      </c>
      <c r="J920">
        <f>IF(PRODUCTOS[[#This Row],[STOCK]]&lt;0,"NEGATIVO",IF(PRODUCTOS[[#This Row],[STOCK]]=0,"SIN STOCK",IF(PRODUCTOS[[#This Row],[STOCK]]&lt;=PRODUCTOS[[#This Row],[STOCK MÍN.]],"BAJO","OK")))</f>
        <v/>
      </c>
      <c r="K9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21" hidden="1" s="11">
      <c r="A921" s="18" t="n">
        <v>906</v>
      </c>
      <c r="B921" s="56" t="inlineStr">
        <is>
          <t>00193-FER</t>
        </is>
      </c>
      <c r="C921" s="56">
        <f>IFERROR(_xlfn.XLOOKUP(PRODUCTOS[[#This Row],[CODIGO]],LISTADO[CODIGOS],LISTADO[CATEGORIA]),"NO EXISTE")</f>
        <v/>
      </c>
      <c r="D921" s="56">
        <f>IFERROR(_xlfn.XLOOKUP(PRODUCTOS[[#This Row],[CODIGO]],LISTADO[CODIGOS],LISTADO[PRODUCTOS]),"NO EXISTE")</f>
        <v/>
      </c>
      <c r="E921" s="56">
        <f>IFERROR(_xlfn.XLOOKUP(PRODUCTOS[[#This Row],[CODIGO]],LISTADO[CODIGOS],LISTADO[UBICACIÓN]),"NO EXISTE")</f>
        <v/>
      </c>
      <c r="F921" s="56">
        <f>SUMIFS(ENTRADAS[CANTIDAD],ENTRADAS[CODIGO],PRODUCTOS[[#This Row],[CODIGO]])</f>
        <v/>
      </c>
      <c r="G921" s="56">
        <f>SUMIFS(SALIDAS[CANTIDAD],SALIDAS[CODIGO],PRODUCTOS[[#This Row],[CODIGO]])</f>
        <v/>
      </c>
      <c r="H921" s="56">
        <f>PRODUCTOS[[#This Row],[ENTRADAS]]-PRODUCTOS[[#This Row],[SALIDAS ]]</f>
        <v/>
      </c>
      <c r="I921" s="76" t="n">
        <v>0</v>
      </c>
      <c r="J921">
        <f>IF(PRODUCTOS[[#This Row],[STOCK]]&lt;0,"NEGATIVO",IF(PRODUCTOS[[#This Row],[STOCK]]=0,"SIN STOCK",IF(PRODUCTOS[[#This Row],[STOCK]]&lt;=PRODUCTOS[[#This Row],[STOCK MÍN.]],"BAJO","OK")))</f>
        <v/>
      </c>
      <c r="K9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22" hidden="1" s="11">
      <c r="A922" s="18" t="n">
        <v>907</v>
      </c>
      <c r="B922" s="56" t="inlineStr">
        <is>
          <t>00194-FER</t>
        </is>
      </c>
      <c r="C922" s="56">
        <f>IFERROR(_xlfn.XLOOKUP(PRODUCTOS[[#This Row],[CODIGO]],LISTADO[CODIGOS],LISTADO[CATEGORIA]),"NO EXISTE")</f>
        <v/>
      </c>
      <c r="D922" s="56">
        <f>IFERROR(_xlfn.XLOOKUP(PRODUCTOS[[#This Row],[CODIGO]],LISTADO[CODIGOS],LISTADO[PRODUCTOS]),"NO EXISTE")</f>
        <v/>
      </c>
      <c r="E922" s="56">
        <f>IFERROR(_xlfn.XLOOKUP(PRODUCTOS[[#This Row],[CODIGO]],LISTADO[CODIGOS],LISTADO[UBICACIÓN]),"NO EXISTE")</f>
        <v/>
      </c>
      <c r="F922" s="56">
        <f>SUMIFS(ENTRADAS[CANTIDAD],ENTRADAS[CODIGO],PRODUCTOS[[#This Row],[CODIGO]])</f>
        <v/>
      </c>
      <c r="G922" s="56">
        <f>SUMIFS(SALIDAS[CANTIDAD],SALIDAS[CODIGO],PRODUCTOS[[#This Row],[CODIGO]])</f>
        <v/>
      </c>
      <c r="H922" s="56">
        <f>PRODUCTOS[[#This Row],[ENTRADAS]]-PRODUCTOS[[#This Row],[SALIDAS ]]</f>
        <v/>
      </c>
      <c r="I922" s="76" t="n">
        <v>0</v>
      </c>
      <c r="J922">
        <f>IF(PRODUCTOS[[#This Row],[STOCK]]&lt;0,"NEGATIVO",IF(PRODUCTOS[[#This Row],[STOCK]]=0,"SIN STOCK",IF(PRODUCTOS[[#This Row],[STOCK]]&lt;=PRODUCTOS[[#This Row],[STOCK MÍN.]],"BAJO","OK")))</f>
        <v/>
      </c>
      <c r="K9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23" hidden="1" s="11">
      <c r="A923" s="18" t="n">
        <v>908</v>
      </c>
      <c r="B923" s="56" t="inlineStr">
        <is>
          <t>00063-HRR</t>
        </is>
      </c>
      <c r="C923" s="56">
        <f>IFERROR(_xlfn.XLOOKUP(PRODUCTOS[[#This Row],[CODIGO]],LISTADO[CODIGOS],LISTADO[CATEGORIA]),"NO EXISTE")</f>
        <v/>
      </c>
      <c r="D923" s="56">
        <f>IFERROR(_xlfn.XLOOKUP(PRODUCTOS[[#This Row],[CODIGO]],LISTADO[CODIGOS],LISTADO[PRODUCTOS]),"NO EXISTE")</f>
        <v/>
      </c>
      <c r="E923" s="56">
        <f>IFERROR(_xlfn.XLOOKUP(PRODUCTOS[[#This Row],[CODIGO]],LISTADO[CODIGOS],LISTADO[UBICACIÓN]),"NO EXISTE")</f>
        <v/>
      </c>
      <c r="F923" s="56">
        <f>SUMIFS(ENTRADAS[CANTIDAD],ENTRADAS[CODIGO],PRODUCTOS[[#This Row],[CODIGO]])</f>
        <v/>
      </c>
      <c r="G923" s="56">
        <f>SUMIFS(SALIDAS[CANTIDAD],SALIDAS[CODIGO],PRODUCTOS[[#This Row],[CODIGO]])</f>
        <v/>
      </c>
      <c r="H923" s="56">
        <f>PRODUCTOS[[#This Row],[ENTRADAS]]-PRODUCTOS[[#This Row],[SALIDAS ]]</f>
        <v/>
      </c>
      <c r="I923" s="76" t="n">
        <v>0</v>
      </c>
      <c r="J923">
        <f>IF(PRODUCTOS[[#This Row],[STOCK]]&lt;0,"NEGATIVO",IF(PRODUCTOS[[#This Row],[STOCK]]=0,"SIN STOCK",IF(PRODUCTOS[[#This Row],[STOCK]]&lt;=PRODUCTOS[[#This Row],[STOCK MÍN.]],"BAJO","OK")))</f>
        <v/>
      </c>
      <c r="K9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24" hidden="1" s="11">
      <c r="A924" s="18" t="n">
        <v>909</v>
      </c>
      <c r="B924" s="56" t="inlineStr">
        <is>
          <t>00195-FER</t>
        </is>
      </c>
      <c r="C924" s="56">
        <f>IFERROR(_xlfn.XLOOKUP(PRODUCTOS[[#This Row],[CODIGO]],LISTADO[CODIGOS],LISTADO[CATEGORIA]),"NO EXISTE")</f>
        <v/>
      </c>
      <c r="D924" s="56">
        <f>IFERROR(_xlfn.XLOOKUP(PRODUCTOS[[#This Row],[CODIGO]],LISTADO[CODIGOS],LISTADO[PRODUCTOS]),"NO EXISTE")</f>
        <v/>
      </c>
      <c r="E924" s="56">
        <f>IFERROR(_xlfn.XLOOKUP(PRODUCTOS[[#This Row],[CODIGO]],LISTADO[CODIGOS],LISTADO[UBICACIÓN]),"NO EXISTE")</f>
        <v/>
      </c>
      <c r="F924" s="56">
        <f>SUMIFS(ENTRADAS[CANTIDAD],ENTRADAS[CODIGO],PRODUCTOS[[#This Row],[CODIGO]])</f>
        <v/>
      </c>
      <c r="G924" s="56">
        <f>SUMIFS(SALIDAS[CANTIDAD],SALIDAS[CODIGO],PRODUCTOS[[#This Row],[CODIGO]])</f>
        <v/>
      </c>
      <c r="H924" s="56">
        <f>PRODUCTOS[[#This Row],[ENTRADAS]]-PRODUCTOS[[#This Row],[SALIDAS ]]</f>
        <v/>
      </c>
      <c r="I924" s="76" t="n">
        <v>0</v>
      </c>
      <c r="J924">
        <f>IF(PRODUCTOS[[#This Row],[STOCK]]&lt;0,"NEGATIVO",IF(PRODUCTOS[[#This Row],[STOCK]]=0,"SIN STOCK",IF(PRODUCTOS[[#This Row],[STOCK]]&lt;=PRODUCTOS[[#This Row],[STOCK MÍN.]],"BAJO","OK")))</f>
        <v/>
      </c>
      <c r="K9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25" hidden="1" s="11">
      <c r="A925" s="18" t="n">
        <v>910</v>
      </c>
      <c r="B925" s="56" t="inlineStr">
        <is>
          <t>00196-FER</t>
        </is>
      </c>
      <c r="C925" s="56">
        <f>IFERROR(_xlfn.XLOOKUP(PRODUCTOS[[#This Row],[CODIGO]],LISTADO[CODIGOS],LISTADO[CATEGORIA]),"NO EXISTE")</f>
        <v/>
      </c>
      <c r="D925" s="56">
        <f>IFERROR(_xlfn.XLOOKUP(PRODUCTOS[[#This Row],[CODIGO]],LISTADO[CODIGOS],LISTADO[PRODUCTOS]),"NO EXISTE")</f>
        <v/>
      </c>
      <c r="E925" s="56">
        <f>IFERROR(_xlfn.XLOOKUP(PRODUCTOS[[#This Row],[CODIGO]],LISTADO[CODIGOS],LISTADO[UBICACIÓN]),"NO EXISTE")</f>
        <v/>
      </c>
      <c r="F925" s="56">
        <f>SUMIFS(ENTRADAS[CANTIDAD],ENTRADAS[CODIGO],PRODUCTOS[[#This Row],[CODIGO]])</f>
        <v/>
      </c>
      <c r="G925" s="56">
        <f>SUMIFS(SALIDAS[CANTIDAD],SALIDAS[CODIGO],PRODUCTOS[[#This Row],[CODIGO]])</f>
        <v/>
      </c>
      <c r="H925" s="56">
        <f>PRODUCTOS[[#This Row],[ENTRADAS]]-PRODUCTOS[[#This Row],[SALIDAS ]]</f>
        <v/>
      </c>
      <c r="I925" s="76" t="n">
        <v>0</v>
      </c>
      <c r="J925">
        <f>IF(PRODUCTOS[[#This Row],[STOCK]]&lt;0,"NEGATIVO",IF(PRODUCTOS[[#This Row],[STOCK]]=0,"SIN STOCK",IF(PRODUCTOS[[#This Row],[STOCK]]&lt;=PRODUCTOS[[#This Row],[STOCK MÍN.]],"BAJO","OK")))</f>
        <v/>
      </c>
      <c r="K9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26" hidden="1" s="11">
      <c r="A926" s="18" t="n">
        <v>911</v>
      </c>
      <c r="B926" s="56" t="inlineStr">
        <is>
          <t>00060-ELC</t>
        </is>
      </c>
      <c r="C926" s="56">
        <f>IFERROR(_xlfn.XLOOKUP(PRODUCTOS[[#This Row],[CODIGO]],LISTADO[CODIGOS],LISTADO[CATEGORIA]),"NO EXISTE")</f>
        <v/>
      </c>
      <c r="D926" s="56">
        <f>IFERROR(_xlfn.XLOOKUP(PRODUCTOS[[#This Row],[CODIGO]],LISTADO[CODIGOS],LISTADO[PRODUCTOS]),"NO EXISTE")</f>
        <v/>
      </c>
      <c r="E926" s="56">
        <f>IFERROR(_xlfn.XLOOKUP(PRODUCTOS[[#This Row],[CODIGO]],LISTADO[CODIGOS],LISTADO[UBICACIÓN]),"NO EXISTE")</f>
        <v/>
      </c>
      <c r="F926" s="56">
        <f>SUMIFS(ENTRADAS[CANTIDAD],ENTRADAS[CODIGO],PRODUCTOS[[#This Row],[CODIGO]])</f>
        <v/>
      </c>
      <c r="G926" s="56">
        <f>SUMIFS(SALIDAS[CANTIDAD],SALIDAS[CODIGO],PRODUCTOS[[#This Row],[CODIGO]])</f>
        <v/>
      </c>
      <c r="H926" s="56">
        <f>PRODUCTOS[[#This Row],[ENTRADAS]]-PRODUCTOS[[#This Row],[SALIDAS ]]</f>
        <v/>
      </c>
      <c r="I926" s="76" t="n">
        <v>0</v>
      </c>
      <c r="J926">
        <f>IF(PRODUCTOS[[#This Row],[STOCK]]&lt;0,"NEGATIVO",IF(PRODUCTOS[[#This Row],[STOCK]]=0,"SIN STOCK",IF(PRODUCTOS[[#This Row],[STOCK]]&lt;=PRODUCTOS[[#This Row],[STOCK MÍN.]],"BAJO","OK")))</f>
        <v/>
      </c>
      <c r="K9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27" hidden="1" s="11">
      <c r="A927" s="18" t="n">
        <v>912</v>
      </c>
      <c r="B927" s="56" t="inlineStr">
        <is>
          <t>00064-HRR</t>
        </is>
      </c>
      <c r="C927" s="56">
        <f>IFERROR(_xlfn.XLOOKUP(PRODUCTOS[[#This Row],[CODIGO]],LISTADO[CODIGOS],LISTADO[CATEGORIA]),"NO EXISTE")</f>
        <v/>
      </c>
      <c r="D927" s="56">
        <f>IFERROR(_xlfn.XLOOKUP(PRODUCTOS[[#This Row],[CODIGO]],LISTADO[CODIGOS],LISTADO[PRODUCTOS]),"NO EXISTE")</f>
        <v/>
      </c>
      <c r="E927" s="56">
        <f>IFERROR(_xlfn.XLOOKUP(PRODUCTOS[[#This Row],[CODIGO]],LISTADO[CODIGOS],LISTADO[UBICACIÓN]),"NO EXISTE")</f>
        <v/>
      </c>
      <c r="F927" s="56">
        <f>SUMIFS(ENTRADAS[CANTIDAD],ENTRADAS[CODIGO],PRODUCTOS[[#This Row],[CODIGO]])</f>
        <v/>
      </c>
      <c r="G927" s="56">
        <f>SUMIFS(SALIDAS[CANTIDAD],SALIDAS[CODIGO],PRODUCTOS[[#This Row],[CODIGO]])</f>
        <v/>
      </c>
      <c r="H927" s="56">
        <f>PRODUCTOS[[#This Row],[ENTRADAS]]-PRODUCTOS[[#This Row],[SALIDAS ]]</f>
        <v/>
      </c>
      <c r="I927" s="76" t="n">
        <v>0</v>
      </c>
      <c r="J927">
        <f>IF(PRODUCTOS[[#This Row],[STOCK]]&lt;0,"NEGATIVO",IF(PRODUCTOS[[#This Row],[STOCK]]=0,"SIN STOCK",IF(PRODUCTOS[[#This Row],[STOCK]]&lt;=PRODUCTOS[[#This Row],[STOCK MÍN.]],"BAJO","OK")))</f>
        <v/>
      </c>
      <c r="K9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28" hidden="1" s="11">
      <c r="A928" s="18" t="n">
        <v>913</v>
      </c>
      <c r="B928" s="56" t="inlineStr">
        <is>
          <t>00065-HRR</t>
        </is>
      </c>
      <c r="C928" s="56">
        <f>IFERROR(_xlfn.XLOOKUP(PRODUCTOS[[#This Row],[CODIGO]],LISTADO[CODIGOS],LISTADO[CATEGORIA]),"NO EXISTE")</f>
        <v/>
      </c>
      <c r="D928" s="56">
        <f>IFERROR(_xlfn.XLOOKUP(PRODUCTOS[[#This Row],[CODIGO]],LISTADO[CODIGOS],LISTADO[PRODUCTOS]),"NO EXISTE")</f>
        <v/>
      </c>
      <c r="E928" s="56">
        <f>IFERROR(_xlfn.XLOOKUP(PRODUCTOS[[#This Row],[CODIGO]],LISTADO[CODIGOS],LISTADO[UBICACIÓN]),"NO EXISTE")</f>
        <v/>
      </c>
      <c r="F928" s="56">
        <f>SUMIFS(ENTRADAS[CANTIDAD],ENTRADAS[CODIGO],PRODUCTOS[[#This Row],[CODIGO]])</f>
        <v/>
      </c>
      <c r="G928" s="56">
        <f>SUMIFS(SALIDAS[CANTIDAD],SALIDAS[CODIGO],PRODUCTOS[[#This Row],[CODIGO]])</f>
        <v/>
      </c>
      <c r="H928" s="56">
        <f>PRODUCTOS[[#This Row],[ENTRADAS]]-PRODUCTOS[[#This Row],[SALIDAS ]]</f>
        <v/>
      </c>
      <c r="I928" s="76" t="n">
        <v>0</v>
      </c>
      <c r="J928">
        <f>IF(PRODUCTOS[[#This Row],[STOCK]]&lt;0,"NEGATIVO",IF(PRODUCTOS[[#This Row],[STOCK]]=0,"SIN STOCK",IF(PRODUCTOS[[#This Row],[STOCK]]&lt;=PRODUCTOS[[#This Row],[STOCK MÍN.]],"BAJO","OK")))</f>
        <v/>
      </c>
      <c r="K9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29" hidden="1" s="11">
      <c r="A929" s="18" t="n">
        <v>914</v>
      </c>
      <c r="B929" s="56" t="inlineStr">
        <is>
          <t>00025-LIM</t>
        </is>
      </c>
      <c r="C929" s="56">
        <f>IFERROR(_xlfn.XLOOKUP(PRODUCTOS[[#This Row],[CODIGO]],LISTADO[CODIGOS],LISTADO[CATEGORIA]),"NO EXISTE")</f>
        <v/>
      </c>
      <c r="D929" s="56">
        <f>IFERROR(_xlfn.XLOOKUP(PRODUCTOS[[#This Row],[CODIGO]],LISTADO[CODIGOS],LISTADO[PRODUCTOS]),"NO EXISTE")</f>
        <v/>
      </c>
      <c r="E929" s="56">
        <f>IFERROR(_xlfn.XLOOKUP(PRODUCTOS[[#This Row],[CODIGO]],LISTADO[CODIGOS],LISTADO[UBICACIÓN]),"NO EXISTE")</f>
        <v/>
      </c>
      <c r="F929" s="56">
        <f>SUMIFS(ENTRADAS[CANTIDAD],ENTRADAS[CODIGO],PRODUCTOS[[#This Row],[CODIGO]])</f>
        <v/>
      </c>
      <c r="G929" s="56">
        <f>SUMIFS(SALIDAS[CANTIDAD],SALIDAS[CODIGO],PRODUCTOS[[#This Row],[CODIGO]])</f>
        <v/>
      </c>
      <c r="H929" s="56">
        <f>PRODUCTOS[[#This Row],[ENTRADAS]]-PRODUCTOS[[#This Row],[SALIDAS ]]</f>
        <v/>
      </c>
      <c r="I929" s="76" t="n">
        <v>0</v>
      </c>
      <c r="J929">
        <f>IF(PRODUCTOS[[#This Row],[STOCK]]&lt;0,"NEGATIVO",IF(PRODUCTOS[[#This Row],[STOCK]]=0,"SIN STOCK",IF(PRODUCTOS[[#This Row],[STOCK]]&lt;=PRODUCTOS[[#This Row],[STOCK MÍN.]],"BAJO","OK")))</f>
        <v/>
      </c>
      <c r="K9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30" hidden="1" s="11">
      <c r="A930" s="18" t="n">
        <v>915</v>
      </c>
      <c r="B930" s="56" t="inlineStr">
        <is>
          <t>00061-ELC</t>
        </is>
      </c>
      <c r="C930" s="56">
        <f>IFERROR(_xlfn.XLOOKUP(PRODUCTOS[[#This Row],[CODIGO]],LISTADO[CODIGOS],LISTADO[CATEGORIA]),"NO EXISTE")</f>
        <v/>
      </c>
      <c r="D930" s="56">
        <f>IFERROR(_xlfn.XLOOKUP(PRODUCTOS[[#This Row],[CODIGO]],LISTADO[CODIGOS],LISTADO[PRODUCTOS]),"NO EXISTE")</f>
        <v/>
      </c>
      <c r="E930" s="56">
        <f>IFERROR(_xlfn.XLOOKUP(PRODUCTOS[[#This Row],[CODIGO]],LISTADO[CODIGOS],LISTADO[UBICACIÓN]),"NO EXISTE")</f>
        <v/>
      </c>
      <c r="F930" s="56">
        <f>SUMIFS(ENTRADAS[CANTIDAD],ENTRADAS[CODIGO],PRODUCTOS[[#This Row],[CODIGO]])</f>
        <v/>
      </c>
      <c r="G930" s="56">
        <f>SUMIFS(SALIDAS[CANTIDAD],SALIDAS[CODIGO],PRODUCTOS[[#This Row],[CODIGO]])</f>
        <v/>
      </c>
      <c r="H930" s="56">
        <f>PRODUCTOS[[#This Row],[ENTRADAS]]-PRODUCTOS[[#This Row],[SALIDAS ]]</f>
        <v/>
      </c>
      <c r="I930" s="76" t="n">
        <v>0</v>
      </c>
      <c r="J930">
        <f>IF(PRODUCTOS[[#This Row],[STOCK]]&lt;0,"NEGATIVO",IF(PRODUCTOS[[#This Row],[STOCK]]=0,"SIN STOCK",IF(PRODUCTOS[[#This Row],[STOCK]]&lt;=PRODUCTOS[[#This Row],[STOCK MÍN.]],"BAJO","OK")))</f>
        <v/>
      </c>
      <c r="K9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31" hidden="1" s="11">
      <c r="A931" s="18" t="n">
        <v>916</v>
      </c>
      <c r="B931" s="56" t="inlineStr">
        <is>
          <t>00062-ELC</t>
        </is>
      </c>
      <c r="C931" s="56">
        <f>IFERROR(_xlfn.XLOOKUP(PRODUCTOS[[#This Row],[CODIGO]],LISTADO[CODIGOS],LISTADO[CATEGORIA]),"NO EXISTE")</f>
        <v/>
      </c>
      <c r="D931" s="56">
        <f>IFERROR(_xlfn.XLOOKUP(PRODUCTOS[[#This Row],[CODIGO]],LISTADO[CODIGOS],LISTADO[PRODUCTOS]),"NO EXISTE")</f>
        <v/>
      </c>
      <c r="E931" s="56">
        <f>IFERROR(_xlfn.XLOOKUP(PRODUCTOS[[#This Row],[CODIGO]],LISTADO[CODIGOS],LISTADO[UBICACIÓN]),"NO EXISTE")</f>
        <v/>
      </c>
      <c r="F931" s="56">
        <f>SUMIFS(ENTRADAS[CANTIDAD],ENTRADAS[CODIGO],PRODUCTOS[[#This Row],[CODIGO]])</f>
        <v/>
      </c>
      <c r="G931" s="56">
        <f>SUMIFS(SALIDAS[CANTIDAD],SALIDAS[CODIGO],PRODUCTOS[[#This Row],[CODIGO]])</f>
        <v/>
      </c>
      <c r="H931" s="56">
        <f>PRODUCTOS[[#This Row],[ENTRADAS]]-PRODUCTOS[[#This Row],[SALIDAS ]]</f>
        <v/>
      </c>
      <c r="I931" s="76" t="n">
        <v>0</v>
      </c>
      <c r="J931">
        <f>IF(PRODUCTOS[[#This Row],[STOCK]]&lt;0,"NEGATIVO",IF(PRODUCTOS[[#This Row],[STOCK]]=0,"SIN STOCK",IF(PRODUCTOS[[#This Row],[STOCK]]&lt;=PRODUCTOS[[#This Row],[STOCK MÍN.]],"BAJO","OK")))</f>
        <v/>
      </c>
      <c r="K9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32" hidden="1" s="11">
      <c r="A932" s="18" t="n">
        <v>917</v>
      </c>
      <c r="B932" s="56" t="inlineStr">
        <is>
          <t>00063-ELC</t>
        </is>
      </c>
      <c r="C932" s="56">
        <f>IFERROR(_xlfn.XLOOKUP(PRODUCTOS[[#This Row],[CODIGO]],LISTADO[CODIGOS],LISTADO[CATEGORIA]),"NO EXISTE")</f>
        <v/>
      </c>
      <c r="D932" s="56">
        <f>IFERROR(_xlfn.XLOOKUP(PRODUCTOS[[#This Row],[CODIGO]],LISTADO[CODIGOS],LISTADO[PRODUCTOS]),"NO EXISTE")</f>
        <v/>
      </c>
      <c r="E932" s="56">
        <f>IFERROR(_xlfn.XLOOKUP(PRODUCTOS[[#This Row],[CODIGO]],LISTADO[CODIGOS],LISTADO[UBICACIÓN]),"NO EXISTE")</f>
        <v/>
      </c>
      <c r="F932" s="56">
        <f>SUMIFS(ENTRADAS[CANTIDAD],ENTRADAS[CODIGO],PRODUCTOS[[#This Row],[CODIGO]])</f>
        <v/>
      </c>
      <c r="G932" s="56">
        <f>SUMIFS(SALIDAS[CANTIDAD],SALIDAS[CODIGO],PRODUCTOS[[#This Row],[CODIGO]])</f>
        <v/>
      </c>
      <c r="H932" s="56">
        <f>PRODUCTOS[[#This Row],[ENTRADAS]]-PRODUCTOS[[#This Row],[SALIDAS ]]</f>
        <v/>
      </c>
      <c r="I932" s="76" t="n">
        <v>0</v>
      </c>
      <c r="J932">
        <f>IF(PRODUCTOS[[#This Row],[STOCK]]&lt;0,"NEGATIVO",IF(PRODUCTOS[[#This Row],[STOCK]]=0,"SIN STOCK",IF(PRODUCTOS[[#This Row],[STOCK]]&lt;=PRODUCTOS[[#This Row],[STOCK MÍN.]],"BAJO","OK")))</f>
        <v/>
      </c>
      <c r="K9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33" hidden="1" s="11">
      <c r="A933" s="18" t="n">
        <v>918</v>
      </c>
      <c r="B933" s="56" t="inlineStr">
        <is>
          <t>00064-ELC</t>
        </is>
      </c>
      <c r="C933" s="56">
        <f>IFERROR(_xlfn.XLOOKUP(PRODUCTOS[[#This Row],[CODIGO]],LISTADO[CODIGOS],LISTADO[CATEGORIA]),"NO EXISTE")</f>
        <v/>
      </c>
      <c r="D933" s="56">
        <f>IFERROR(_xlfn.XLOOKUP(PRODUCTOS[[#This Row],[CODIGO]],LISTADO[CODIGOS],LISTADO[PRODUCTOS]),"NO EXISTE")</f>
        <v/>
      </c>
      <c r="E933" s="56">
        <f>IFERROR(_xlfn.XLOOKUP(PRODUCTOS[[#This Row],[CODIGO]],LISTADO[CODIGOS],LISTADO[UBICACIÓN]),"NO EXISTE")</f>
        <v/>
      </c>
      <c r="F933" s="56">
        <f>SUMIFS(ENTRADAS[CANTIDAD],ENTRADAS[CODIGO],PRODUCTOS[[#This Row],[CODIGO]])</f>
        <v/>
      </c>
      <c r="G933" s="56">
        <f>SUMIFS(SALIDAS[CANTIDAD],SALIDAS[CODIGO],PRODUCTOS[[#This Row],[CODIGO]])</f>
        <v/>
      </c>
      <c r="H933" s="56">
        <f>PRODUCTOS[[#This Row],[ENTRADAS]]-PRODUCTOS[[#This Row],[SALIDAS ]]</f>
        <v/>
      </c>
      <c r="I933" s="76" t="n">
        <v>0</v>
      </c>
      <c r="J933">
        <f>IF(PRODUCTOS[[#This Row],[STOCK]]&lt;0,"NEGATIVO",IF(PRODUCTOS[[#This Row],[STOCK]]=0,"SIN STOCK",IF(PRODUCTOS[[#This Row],[STOCK]]&lt;=PRODUCTOS[[#This Row],[STOCK MÍN.]],"BAJO","OK")))</f>
        <v/>
      </c>
      <c r="K9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34" hidden="1" s="11">
      <c r="A934" s="18" t="n">
        <v>919</v>
      </c>
      <c r="B934" s="56" t="inlineStr">
        <is>
          <t>00197-FER</t>
        </is>
      </c>
      <c r="C934" s="56">
        <f>IFERROR(_xlfn.XLOOKUP(PRODUCTOS[[#This Row],[CODIGO]],LISTADO[CODIGOS],LISTADO[CATEGORIA]),"NO EXISTE")</f>
        <v/>
      </c>
      <c r="D934" s="56">
        <f>IFERROR(_xlfn.XLOOKUP(PRODUCTOS[[#This Row],[CODIGO]],LISTADO[CODIGOS],LISTADO[PRODUCTOS]),"NO EXISTE")</f>
        <v/>
      </c>
      <c r="E934" s="56">
        <f>IFERROR(_xlfn.XLOOKUP(PRODUCTOS[[#This Row],[CODIGO]],LISTADO[CODIGOS],LISTADO[UBICACIÓN]),"NO EXISTE")</f>
        <v/>
      </c>
      <c r="F934" s="56">
        <f>SUMIFS(ENTRADAS[CANTIDAD],ENTRADAS[CODIGO],PRODUCTOS[[#This Row],[CODIGO]])</f>
        <v/>
      </c>
      <c r="G934" s="56">
        <f>SUMIFS(SALIDAS[CANTIDAD],SALIDAS[CODIGO],PRODUCTOS[[#This Row],[CODIGO]])</f>
        <v/>
      </c>
      <c r="H934" s="56">
        <f>PRODUCTOS[[#This Row],[ENTRADAS]]-PRODUCTOS[[#This Row],[SALIDAS ]]</f>
        <v/>
      </c>
      <c r="I934" s="76" t="n">
        <v>0</v>
      </c>
      <c r="J934">
        <f>IF(PRODUCTOS[[#This Row],[STOCK]]&lt;0,"NEGATIVO",IF(PRODUCTOS[[#This Row],[STOCK]]=0,"SIN STOCK",IF(PRODUCTOS[[#This Row],[STOCK]]&lt;=PRODUCTOS[[#This Row],[STOCK MÍN.]],"BAJO","OK")))</f>
        <v/>
      </c>
      <c r="K9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35" hidden="1" s="11">
      <c r="A935" s="18" t="n">
        <v>920</v>
      </c>
      <c r="B935" s="56" t="inlineStr">
        <is>
          <t>00079-ELE</t>
        </is>
      </c>
      <c r="C935" s="56">
        <f>IFERROR(_xlfn.XLOOKUP(PRODUCTOS[[#This Row],[CODIGO]],LISTADO[CODIGOS],LISTADO[CATEGORIA]),"NO EXISTE")</f>
        <v/>
      </c>
      <c r="D935" s="56">
        <f>IFERROR(_xlfn.XLOOKUP(PRODUCTOS[[#This Row],[CODIGO]],LISTADO[CODIGOS],LISTADO[PRODUCTOS]),"NO EXISTE")</f>
        <v/>
      </c>
      <c r="E935" s="56">
        <f>IFERROR(_xlfn.XLOOKUP(PRODUCTOS[[#This Row],[CODIGO]],LISTADO[CODIGOS],LISTADO[UBICACIÓN]),"NO EXISTE")</f>
        <v/>
      </c>
      <c r="F935" s="56">
        <f>SUMIFS(ENTRADAS[CANTIDAD],ENTRADAS[CODIGO],PRODUCTOS[[#This Row],[CODIGO]])</f>
        <v/>
      </c>
      <c r="G935" s="56">
        <f>SUMIFS(SALIDAS[CANTIDAD],SALIDAS[CODIGO],PRODUCTOS[[#This Row],[CODIGO]])</f>
        <v/>
      </c>
      <c r="H935" s="56">
        <f>PRODUCTOS[[#This Row],[ENTRADAS]]-PRODUCTOS[[#This Row],[SALIDAS ]]</f>
        <v/>
      </c>
      <c r="I935" s="76" t="n">
        <v>0</v>
      </c>
      <c r="J935">
        <f>IF(PRODUCTOS[[#This Row],[STOCK]]&lt;0,"NEGATIVO",IF(PRODUCTOS[[#This Row],[STOCK]]=0,"SIN STOCK",IF(PRODUCTOS[[#This Row],[STOCK]]&lt;=PRODUCTOS[[#This Row],[STOCK MÍN.]],"BAJO","OK")))</f>
        <v/>
      </c>
      <c r="K9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36" hidden="1" s="11">
      <c r="A936" s="18" t="n">
        <v>921</v>
      </c>
      <c r="B936" s="56" t="inlineStr">
        <is>
          <t>00080-ELE</t>
        </is>
      </c>
      <c r="C936" s="56">
        <f>IFERROR(_xlfn.XLOOKUP(PRODUCTOS[[#This Row],[CODIGO]],LISTADO[CODIGOS],LISTADO[CATEGORIA]),"NO EXISTE")</f>
        <v/>
      </c>
      <c r="D936" s="56">
        <f>IFERROR(_xlfn.XLOOKUP(PRODUCTOS[[#This Row],[CODIGO]],LISTADO[CODIGOS],LISTADO[PRODUCTOS]),"NO EXISTE")</f>
        <v/>
      </c>
      <c r="E936" s="56">
        <f>IFERROR(_xlfn.XLOOKUP(PRODUCTOS[[#This Row],[CODIGO]],LISTADO[CODIGOS],LISTADO[UBICACIÓN]),"NO EXISTE")</f>
        <v/>
      </c>
      <c r="F936" s="56">
        <f>SUMIFS(ENTRADAS[CANTIDAD],ENTRADAS[CODIGO],PRODUCTOS[[#This Row],[CODIGO]])</f>
        <v/>
      </c>
      <c r="G936" s="56">
        <f>SUMIFS(SALIDAS[CANTIDAD],SALIDAS[CODIGO],PRODUCTOS[[#This Row],[CODIGO]])</f>
        <v/>
      </c>
      <c r="H936" s="56">
        <f>PRODUCTOS[[#This Row],[ENTRADAS]]-PRODUCTOS[[#This Row],[SALIDAS ]]</f>
        <v/>
      </c>
      <c r="I936" s="76" t="n">
        <v>0</v>
      </c>
      <c r="J936">
        <f>IF(PRODUCTOS[[#This Row],[STOCK]]&lt;0,"NEGATIVO",IF(PRODUCTOS[[#This Row],[STOCK]]=0,"SIN STOCK",IF(PRODUCTOS[[#This Row],[STOCK]]&lt;=PRODUCTOS[[#This Row],[STOCK MÍN.]],"BAJO","OK")))</f>
        <v/>
      </c>
      <c r="K9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37" hidden="1" s="11">
      <c r="A937" s="18" t="n">
        <v>922</v>
      </c>
      <c r="B937" s="56" t="inlineStr">
        <is>
          <t>00065-ELC</t>
        </is>
      </c>
      <c r="C937" s="56">
        <f>IFERROR(_xlfn.XLOOKUP(PRODUCTOS[[#This Row],[CODIGO]],LISTADO[CODIGOS],LISTADO[CATEGORIA]),"NO EXISTE")</f>
        <v/>
      </c>
      <c r="D937" s="56">
        <f>IFERROR(_xlfn.XLOOKUP(PRODUCTOS[[#This Row],[CODIGO]],LISTADO[CODIGOS],LISTADO[PRODUCTOS]),"NO EXISTE")</f>
        <v/>
      </c>
      <c r="E937" s="56">
        <f>IFERROR(_xlfn.XLOOKUP(PRODUCTOS[[#This Row],[CODIGO]],LISTADO[CODIGOS],LISTADO[UBICACIÓN]),"NO EXISTE")</f>
        <v/>
      </c>
      <c r="F937" s="56">
        <f>SUMIFS(ENTRADAS[CANTIDAD],ENTRADAS[CODIGO],PRODUCTOS[[#This Row],[CODIGO]])</f>
        <v/>
      </c>
      <c r="G937" s="56">
        <f>SUMIFS(SALIDAS[CANTIDAD],SALIDAS[CODIGO],PRODUCTOS[[#This Row],[CODIGO]])</f>
        <v/>
      </c>
      <c r="H937" s="56">
        <f>PRODUCTOS[[#This Row],[ENTRADAS]]-PRODUCTOS[[#This Row],[SALIDAS ]]</f>
        <v/>
      </c>
      <c r="I937" s="76" t="n">
        <v>0</v>
      </c>
      <c r="J937">
        <f>IF(PRODUCTOS[[#This Row],[STOCK]]&lt;0,"NEGATIVO",IF(PRODUCTOS[[#This Row],[STOCK]]=0,"SIN STOCK",IF(PRODUCTOS[[#This Row],[STOCK]]&lt;=PRODUCTOS[[#This Row],[STOCK MÍN.]],"BAJO","OK")))</f>
        <v/>
      </c>
      <c r="K9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38" hidden="1" s="11">
      <c r="A938" s="18" t="n">
        <v>923</v>
      </c>
      <c r="B938" s="56" t="inlineStr">
        <is>
          <t>00066-ELC</t>
        </is>
      </c>
      <c r="C938" s="56">
        <f>IFERROR(_xlfn.XLOOKUP(PRODUCTOS[[#This Row],[CODIGO]],LISTADO[CODIGOS],LISTADO[CATEGORIA]),"NO EXISTE")</f>
        <v/>
      </c>
      <c r="D938" s="56">
        <f>IFERROR(_xlfn.XLOOKUP(PRODUCTOS[[#This Row],[CODIGO]],LISTADO[CODIGOS],LISTADO[PRODUCTOS]),"NO EXISTE")</f>
        <v/>
      </c>
      <c r="E938" s="56">
        <f>IFERROR(_xlfn.XLOOKUP(PRODUCTOS[[#This Row],[CODIGO]],LISTADO[CODIGOS],LISTADO[UBICACIÓN]),"NO EXISTE")</f>
        <v/>
      </c>
      <c r="F938" s="56">
        <f>SUMIFS(ENTRADAS[CANTIDAD],ENTRADAS[CODIGO],PRODUCTOS[[#This Row],[CODIGO]])</f>
        <v/>
      </c>
      <c r="G938" s="56">
        <f>SUMIFS(SALIDAS[CANTIDAD],SALIDAS[CODIGO],PRODUCTOS[[#This Row],[CODIGO]])</f>
        <v/>
      </c>
      <c r="H938" s="56">
        <f>PRODUCTOS[[#This Row],[ENTRADAS]]-PRODUCTOS[[#This Row],[SALIDAS ]]</f>
        <v/>
      </c>
      <c r="I938" s="76" t="n">
        <v>0</v>
      </c>
      <c r="J938">
        <f>IF(PRODUCTOS[[#This Row],[STOCK]]&lt;0,"NEGATIVO",IF(PRODUCTOS[[#This Row],[STOCK]]=0,"SIN STOCK",IF(PRODUCTOS[[#This Row],[STOCK]]&lt;=PRODUCTOS[[#This Row],[STOCK MÍN.]],"BAJO","OK")))</f>
        <v/>
      </c>
      <c r="K9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39" hidden="1" s="11">
      <c r="A939" s="18" t="n">
        <v>924</v>
      </c>
      <c r="B939" s="56" t="inlineStr">
        <is>
          <t>00067-ELC</t>
        </is>
      </c>
      <c r="C939" s="56">
        <f>IFERROR(_xlfn.XLOOKUP(PRODUCTOS[[#This Row],[CODIGO]],LISTADO[CODIGOS],LISTADO[CATEGORIA]),"NO EXISTE")</f>
        <v/>
      </c>
      <c r="D939" s="56">
        <f>IFERROR(_xlfn.XLOOKUP(PRODUCTOS[[#This Row],[CODIGO]],LISTADO[CODIGOS],LISTADO[PRODUCTOS]),"NO EXISTE")</f>
        <v/>
      </c>
      <c r="E939" s="56">
        <f>IFERROR(_xlfn.XLOOKUP(PRODUCTOS[[#This Row],[CODIGO]],LISTADO[CODIGOS],LISTADO[UBICACIÓN]),"NO EXISTE")</f>
        <v/>
      </c>
      <c r="F939" s="56">
        <f>SUMIFS(ENTRADAS[CANTIDAD],ENTRADAS[CODIGO],PRODUCTOS[[#This Row],[CODIGO]])</f>
        <v/>
      </c>
      <c r="G939" s="56">
        <f>SUMIFS(SALIDAS[CANTIDAD],SALIDAS[CODIGO],PRODUCTOS[[#This Row],[CODIGO]])</f>
        <v/>
      </c>
      <c r="H939" s="56">
        <f>PRODUCTOS[[#This Row],[ENTRADAS]]-PRODUCTOS[[#This Row],[SALIDAS ]]</f>
        <v/>
      </c>
      <c r="I939" s="76" t="n">
        <v>0</v>
      </c>
      <c r="J939">
        <f>IF(PRODUCTOS[[#This Row],[STOCK]]&lt;0,"NEGATIVO",IF(PRODUCTOS[[#This Row],[STOCK]]=0,"SIN STOCK",IF(PRODUCTOS[[#This Row],[STOCK]]&lt;=PRODUCTOS[[#This Row],[STOCK MÍN.]],"BAJO","OK")))</f>
        <v/>
      </c>
      <c r="K9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40" hidden="1" s="11">
      <c r="A940" s="18" t="n">
        <v>925</v>
      </c>
      <c r="B940" s="56" t="inlineStr">
        <is>
          <t>00068-ELC</t>
        </is>
      </c>
      <c r="C940" s="56">
        <f>IFERROR(_xlfn.XLOOKUP(PRODUCTOS[[#This Row],[CODIGO]],LISTADO[CODIGOS],LISTADO[CATEGORIA]),"NO EXISTE")</f>
        <v/>
      </c>
      <c r="D940" s="56">
        <f>IFERROR(_xlfn.XLOOKUP(PRODUCTOS[[#This Row],[CODIGO]],LISTADO[CODIGOS],LISTADO[PRODUCTOS]),"NO EXISTE")</f>
        <v/>
      </c>
      <c r="E940" s="56">
        <f>IFERROR(_xlfn.XLOOKUP(PRODUCTOS[[#This Row],[CODIGO]],LISTADO[CODIGOS],LISTADO[UBICACIÓN]),"NO EXISTE")</f>
        <v/>
      </c>
      <c r="F940" s="56">
        <f>SUMIFS(ENTRADAS[CANTIDAD],ENTRADAS[CODIGO],PRODUCTOS[[#This Row],[CODIGO]])</f>
        <v/>
      </c>
      <c r="G940" s="56">
        <f>SUMIFS(SALIDAS[CANTIDAD],SALIDAS[CODIGO],PRODUCTOS[[#This Row],[CODIGO]])</f>
        <v/>
      </c>
      <c r="H940" s="56">
        <f>PRODUCTOS[[#This Row],[ENTRADAS]]-PRODUCTOS[[#This Row],[SALIDAS ]]</f>
        <v/>
      </c>
      <c r="I940" s="76" t="n">
        <v>0</v>
      </c>
      <c r="J940">
        <f>IF(PRODUCTOS[[#This Row],[STOCK]]&lt;0,"NEGATIVO",IF(PRODUCTOS[[#This Row],[STOCK]]=0,"SIN STOCK",IF(PRODUCTOS[[#This Row],[STOCK]]&lt;=PRODUCTOS[[#This Row],[STOCK MÍN.]],"BAJO","OK")))</f>
        <v/>
      </c>
      <c r="K9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41" hidden="1" s="11">
      <c r="A941" s="18" t="n">
        <v>926</v>
      </c>
      <c r="B941" s="56" t="inlineStr">
        <is>
          <t>00069-ELC</t>
        </is>
      </c>
      <c r="C941" s="56">
        <f>IFERROR(_xlfn.XLOOKUP(PRODUCTOS[[#This Row],[CODIGO]],LISTADO[CODIGOS],LISTADO[CATEGORIA]),"NO EXISTE")</f>
        <v/>
      </c>
      <c r="D941" s="56">
        <f>IFERROR(_xlfn.XLOOKUP(PRODUCTOS[[#This Row],[CODIGO]],LISTADO[CODIGOS],LISTADO[PRODUCTOS]),"NO EXISTE")</f>
        <v/>
      </c>
      <c r="E941" s="56">
        <f>IFERROR(_xlfn.XLOOKUP(PRODUCTOS[[#This Row],[CODIGO]],LISTADO[CODIGOS],LISTADO[UBICACIÓN]),"NO EXISTE")</f>
        <v/>
      </c>
      <c r="F941" s="56">
        <f>SUMIFS(ENTRADAS[CANTIDAD],ENTRADAS[CODIGO],PRODUCTOS[[#This Row],[CODIGO]])</f>
        <v/>
      </c>
      <c r="G941" s="56">
        <f>SUMIFS(SALIDAS[CANTIDAD],SALIDAS[CODIGO],PRODUCTOS[[#This Row],[CODIGO]])</f>
        <v/>
      </c>
      <c r="H941" s="56">
        <f>PRODUCTOS[[#This Row],[ENTRADAS]]-PRODUCTOS[[#This Row],[SALIDAS ]]</f>
        <v/>
      </c>
      <c r="I941" s="76" t="n">
        <v>0</v>
      </c>
      <c r="J941">
        <f>IF(PRODUCTOS[[#This Row],[STOCK]]&lt;0,"NEGATIVO",IF(PRODUCTOS[[#This Row],[STOCK]]=0,"SIN STOCK",IF(PRODUCTOS[[#This Row],[STOCK]]&lt;=PRODUCTOS[[#This Row],[STOCK MÍN.]],"BAJO","OK")))</f>
        <v/>
      </c>
      <c r="K9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42" hidden="1" s="11">
      <c r="A942" s="18" t="n">
        <v>927</v>
      </c>
      <c r="B942" s="56" t="inlineStr">
        <is>
          <t>00070-ELC</t>
        </is>
      </c>
      <c r="C942" s="56">
        <f>IFERROR(_xlfn.XLOOKUP(PRODUCTOS[[#This Row],[CODIGO]],LISTADO[CODIGOS],LISTADO[CATEGORIA]),"NO EXISTE")</f>
        <v/>
      </c>
      <c r="D942" s="56">
        <f>IFERROR(_xlfn.XLOOKUP(PRODUCTOS[[#This Row],[CODIGO]],LISTADO[CODIGOS],LISTADO[PRODUCTOS]),"NO EXISTE")</f>
        <v/>
      </c>
      <c r="E942" s="56">
        <f>IFERROR(_xlfn.XLOOKUP(PRODUCTOS[[#This Row],[CODIGO]],LISTADO[CODIGOS],LISTADO[UBICACIÓN]),"NO EXISTE")</f>
        <v/>
      </c>
      <c r="F942" s="56">
        <f>SUMIFS(ENTRADAS[CANTIDAD],ENTRADAS[CODIGO],PRODUCTOS[[#This Row],[CODIGO]])</f>
        <v/>
      </c>
      <c r="G942" s="56">
        <f>SUMIFS(SALIDAS[CANTIDAD],SALIDAS[CODIGO],PRODUCTOS[[#This Row],[CODIGO]])</f>
        <v/>
      </c>
      <c r="H942" s="56">
        <f>PRODUCTOS[[#This Row],[ENTRADAS]]-PRODUCTOS[[#This Row],[SALIDAS ]]</f>
        <v/>
      </c>
      <c r="I942" s="76" t="n">
        <v>0</v>
      </c>
      <c r="J942">
        <f>IF(PRODUCTOS[[#This Row],[STOCK]]&lt;0,"NEGATIVO",IF(PRODUCTOS[[#This Row],[STOCK]]=0,"SIN STOCK",IF(PRODUCTOS[[#This Row],[STOCK]]&lt;=PRODUCTOS[[#This Row],[STOCK MÍN.]],"BAJO","OK")))</f>
        <v/>
      </c>
      <c r="K9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43" hidden="1" s="11">
      <c r="A943" s="18" t="n">
        <v>928</v>
      </c>
      <c r="B943" s="56" t="inlineStr">
        <is>
          <t>00071-ELC</t>
        </is>
      </c>
      <c r="C943" s="56">
        <f>IFERROR(_xlfn.XLOOKUP(PRODUCTOS[[#This Row],[CODIGO]],LISTADO[CODIGOS],LISTADO[CATEGORIA]),"NO EXISTE")</f>
        <v/>
      </c>
      <c r="D943" s="56">
        <f>IFERROR(_xlfn.XLOOKUP(PRODUCTOS[[#This Row],[CODIGO]],LISTADO[CODIGOS],LISTADO[PRODUCTOS]),"NO EXISTE")</f>
        <v/>
      </c>
      <c r="E943" s="56">
        <f>IFERROR(_xlfn.XLOOKUP(PRODUCTOS[[#This Row],[CODIGO]],LISTADO[CODIGOS],LISTADO[UBICACIÓN]),"NO EXISTE")</f>
        <v/>
      </c>
      <c r="F943" s="56">
        <f>SUMIFS(ENTRADAS[CANTIDAD],ENTRADAS[CODIGO],PRODUCTOS[[#This Row],[CODIGO]])</f>
        <v/>
      </c>
      <c r="G943" s="56">
        <f>SUMIFS(SALIDAS[CANTIDAD],SALIDAS[CODIGO],PRODUCTOS[[#This Row],[CODIGO]])</f>
        <v/>
      </c>
      <c r="H943" s="56">
        <f>PRODUCTOS[[#This Row],[ENTRADAS]]-PRODUCTOS[[#This Row],[SALIDAS ]]</f>
        <v/>
      </c>
      <c r="I943" s="76" t="n">
        <v>0</v>
      </c>
      <c r="J943">
        <f>IF(PRODUCTOS[[#This Row],[STOCK]]&lt;0,"NEGATIVO",IF(PRODUCTOS[[#This Row],[STOCK]]=0,"SIN STOCK",IF(PRODUCTOS[[#This Row],[STOCK]]&lt;=PRODUCTOS[[#This Row],[STOCK MÍN.]],"BAJO","OK")))</f>
        <v/>
      </c>
      <c r="K9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44" hidden="1" s="11">
      <c r="A944" s="18" t="n">
        <v>929</v>
      </c>
      <c r="B944" s="56" t="inlineStr">
        <is>
          <t>00072-ELC</t>
        </is>
      </c>
      <c r="C944" s="56">
        <f>IFERROR(_xlfn.XLOOKUP(PRODUCTOS[[#This Row],[CODIGO]],LISTADO[CODIGOS],LISTADO[CATEGORIA]),"NO EXISTE")</f>
        <v/>
      </c>
      <c r="D944" s="56">
        <f>IFERROR(_xlfn.XLOOKUP(PRODUCTOS[[#This Row],[CODIGO]],LISTADO[CODIGOS],LISTADO[PRODUCTOS]),"NO EXISTE")</f>
        <v/>
      </c>
      <c r="E944" s="56">
        <f>IFERROR(_xlfn.XLOOKUP(PRODUCTOS[[#This Row],[CODIGO]],LISTADO[CODIGOS],LISTADO[UBICACIÓN]),"NO EXISTE")</f>
        <v/>
      </c>
      <c r="F944" s="56">
        <f>SUMIFS(ENTRADAS[CANTIDAD],ENTRADAS[CODIGO],PRODUCTOS[[#This Row],[CODIGO]])</f>
        <v/>
      </c>
      <c r="G944" s="56">
        <f>SUMIFS(SALIDAS[CANTIDAD],SALIDAS[CODIGO],PRODUCTOS[[#This Row],[CODIGO]])</f>
        <v/>
      </c>
      <c r="H944" s="56">
        <f>PRODUCTOS[[#This Row],[ENTRADAS]]-PRODUCTOS[[#This Row],[SALIDAS ]]</f>
        <v/>
      </c>
      <c r="I944" s="76" t="n">
        <v>0</v>
      </c>
      <c r="J944">
        <f>IF(PRODUCTOS[[#This Row],[STOCK]]&lt;0,"NEGATIVO",IF(PRODUCTOS[[#This Row],[STOCK]]=0,"SIN STOCK",IF(PRODUCTOS[[#This Row],[STOCK]]&lt;=PRODUCTOS[[#This Row],[STOCK MÍN.]],"BAJO","OK")))</f>
        <v/>
      </c>
      <c r="K9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45" hidden="1" s="11">
      <c r="A945" s="18" t="n">
        <v>930</v>
      </c>
      <c r="B945" s="56" t="inlineStr">
        <is>
          <t>00073-ELC</t>
        </is>
      </c>
      <c r="C945" s="56">
        <f>IFERROR(_xlfn.XLOOKUP(PRODUCTOS[[#This Row],[CODIGO]],LISTADO[CODIGOS],LISTADO[CATEGORIA]),"NO EXISTE")</f>
        <v/>
      </c>
      <c r="D945" s="56">
        <f>IFERROR(_xlfn.XLOOKUP(PRODUCTOS[[#This Row],[CODIGO]],LISTADO[CODIGOS],LISTADO[PRODUCTOS]),"NO EXISTE")</f>
        <v/>
      </c>
      <c r="E945" s="56">
        <f>IFERROR(_xlfn.XLOOKUP(PRODUCTOS[[#This Row],[CODIGO]],LISTADO[CODIGOS],LISTADO[UBICACIÓN]),"NO EXISTE")</f>
        <v/>
      </c>
      <c r="F945" s="56">
        <f>SUMIFS(ENTRADAS[CANTIDAD],ENTRADAS[CODIGO],PRODUCTOS[[#This Row],[CODIGO]])</f>
        <v/>
      </c>
      <c r="G945" s="56">
        <f>SUMIFS(SALIDAS[CANTIDAD],SALIDAS[CODIGO],PRODUCTOS[[#This Row],[CODIGO]])</f>
        <v/>
      </c>
      <c r="H945" s="56">
        <f>PRODUCTOS[[#This Row],[ENTRADAS]]-PRODUCTOS[[#This Row],[SALIDAS ]]</f>
        <v/>
      </c>
      <c r="I945" s="76" t="n">
        <v>0</v>
      </c>
      <c r="J945">
        <f>IF(PRODUCTOS[[#This Row],[STOCK]]&lt;0,"NEGATIVO",IF(PRODUCTOS[[#This Row],[STOCK]]=0,"SIN STOCK",IF(PRODUCTOS[[#This Row],[STOCK]]&lt;=PRODUCTOS[[#This Row],[STOCK MÍN.]],"BAJO","OK")))</f>
        <v/>
      </c>
      <c r="K9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46" hidden="1" s="11">
      <c r="A946" s="18" t="n">
        <v>931</v>
      </c>
      <c r="B946" s="56" t="inlineStr">
        <is>
          <t>00074-ELC</t>
        </is>
      </c>
      <c r="C946" s="56">
        <f>IFERROR(_xlfn.XLOOKUP(PRODUCTOS[[#This Row],[CODIGO]],LISTADO[CODIGOS],LISTADO[CATEGORIA]),"NO EXISTE")</f>
        <v/>
      </c>
      <c r="D946" s="56">
        <f>IFERROR(_xlfn.XLOOKUP(PRODUCTOS[[#This Row],[CODIGO]],LISTADO[CODIGOS],LISTADO[PRODUCTOS]),"NO EXISTE")</f>
        <v/>
      </c>
      <c r="E946" s="56">
        <f>IFERROR(_xlfn.XLOOKUP(PRODUCTOS[[#This Row],[CODIGO]],LISTADO[CODIGOS],LISTADO[UBICACIÓN]),"NO EXISTE")</f>
        <v/>
      </c>
      <c r="F946" s="56">
        <f>SUMIFS(ENTRADAS[CANTIDAD],ENTRADAS[CODIGO],PRODUCTOS[[#This Row],[CODIGO]])</f>
        <v/>
      </c>
      <c r="G946" s="56">
        <f>SUMIFS(SALIDAS[CANTIDAD],SALIDAS[CODIGO],PRODUCTOS[[#This Row],[CODIGO]])</f>
        <v/>
      </c>
      <c r="H946" s="56">
        <f>PRODUCTOS[[#This Row],[ENTRADAS]]-PRODUCTOS[[#This Row],[SALIDAS ]]</f>
        <v/>
      </c>
      <c r="I946" s="76" t="n">
        <v>0</v>
      </c>
      <c r="J946">
        <f>IF(PRODUCTOS[[#This Row],[STOCK]]&lt;0,"NEGATIVO",IF(PRODUCTOS[[#This Row],[STOCK]]=0,"SIN STOCK",IF(PRODUCTOS[[#This Row],[STOCK]]&lt;=PRODUCTOS[[#This Row],[STOCK MÍN.]],"BAJO","OK")))</f>
        <v/>
      </c>
      <c r="K9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47" hidden="1" s="11">
      <c r="A947" s="18" t="n">
        <v>932</v>
      </c>
      <c r="B947" s="56" t="inlineStr">
        <is>
          <t>00075-ELC</t>
        </is>
      </c>
      <c r="C947" s="56">
        <f>IFERROR(_xlfn.XLOOKUP(PRODUCTOS[[#This Row],[CODIGO]],LISTADO[CODIGOS],LISTADO[CATEGORIA]),"NO EXISTE")</f>
        <v/>
      </c>
      <c r="D947" s="56">
        <f>IFERROR(_xlfn.XLOOKUP(PRODUCTOS[[#This Row],[CODIGO]],LISTADO[CODIGOS],LISTADO[PRODUCTOS]),"NO EXISTE")</f>
        <v/>
      </c>
      <c r="E947" s="56">
        <f>IFERROR(_xlfn.XLOOKUP(PRODUCTOS[[#This Row],[CODIGO]],LISTADO[CODIGOS],LISTADO[UBICACIÓN]),"NO EXISTE")</f>
        <v/>
      </c>
      <c r="F947" s="56">
        <f>SUMIFS(ENTRADAS[CANTIDAD],ENTRADAS[CODIGO],PRODUCTOS[[#This Row],[CODIGO]])</f>
        <v/>
      </c>
      <c r="G947" s="56">
        <f>SUMIFS(SALIDAS[CANTIDAD],SALIDAS[CODIGO],PRODUCTOS[[#This Row],[CODIGO]])</f>
        <v/>
      </c>
      <c r="H947" s="56">
        <f>PRODUCTOS[[#This Row],[ENTRADAS]]-PRODUCTOS[[#This Row],[SALIDAS ]]</f>
        <v/>
      </c>
      <c r="I947" s="76" t="n">
        <v>0</v>
      </c>
      <c r="J947">
        <f>IF(PRODUCTOS[[#This Row],[STOCK]]&lt;0,"NEGATIVO",IF(PRODUCTOS[[#This Row],[STOCK]]=0,"SIN STOCK",IF(PRODUCTOS[[#This Row],[STOCK]]&lt;=PRODUCTOS[[#This Row],[STOCK MÍN.]],"BAJO","OK")))</f>
        <v/>
      </c>
      <c r="K9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48" hidden="1" s="11">
      <c r="A948" s="18" t="n">
        <v>933</v>
      </c>
      <c r="B948" s="56" t="inlineStr">
        <is>
          <t>00076-ELC</t>
        </is>
      </c>
      <c r="C948" s="56">
        <f>IFERROR(_xlfn.XLOOKUP(PRODUCTOS[[#This Row],[CODIGO]],LISTADO[CODIGOS],LISTADO[CATEGORIA]),"NO EXISTE")</f>
        <v/>
      </c>
      <c r="D948" s="56">
        <f>IFERROR(_xlfn.XLOOKUP(PRODUCTOS[[#This Row],[CODIGO]],LISTADO[CODIGOS],LISTADO[PRODUCTOS]),"NO EXISTE")</f>
        <v/>
      </c>
      <c r="E948" s="56">
        <f>IFERROR(_xlfn.XLOOKUP(PRODUCTOS[[#This Row],[CODIGO]],LISTADO[CODIGOS],LISTADO[UBICACIÓN]),"NO EXISTE")</f>
        <v/>
      </c>
      <c r="F948" s="56">
        <f>SUMIFS(ENTRADAS[CANTIDAD],ENTRADAS[CODIGO],PRODUCTOS[[#This Row],[CODIGO]])</f>
        <v/>
      </c>
      <c r="G948" s="56">
        <f>SUMIFS(SALIDAS[CANTIDAD],SALIDAS[CODIGO],PRODUCTOS[[#This Row],[CODIGO]])</f>
        <v/>
      </c>
      <c r="H948" s="56">
        <f>PRODUCTOS[[#This Row],[ENTRADAS]]-PRODUCTOS[[#This Row],[SALIDAS ]]</f>
        <v/>
      </c>
      <c r="I948" s="76" t="n">
        <v>0</v>
      </c>
      <c r="J948">
        <f>IF(PRODUCTOS[[#This Row],[STOCK]]&lt;0,"NEGATIVO",IF(PRODUCTOS[[#This Row],[STOCK]]=0,"SIN STOCK",IF(PRODUCTOS[[#This Row],[STOCK]]&lt;=PRODUCTOS[[#This Row],[STOCK MÍN.]],"BAJO","OK")))</f>
        <v/>
      </c>
      <c r="K9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49" hidden="1" s="11">
      <c r="A949" s="18" t="n">
        <v>934</v>
      </c>
      <c r="B949" s="56" t="inlineStr">
        <is>
          <t>00035-OFC</t>
        </is>
      </c>
      <c r="C949" s="56">
        <f>IFERROR(_xlfn.XLOOKUP(PRODUCTOS[[#This Row],[CODIGO]],LISTADO[CODIGOS],LISTADO[CATEGORIA]),"NO EXISTE")</f>
        <v/>
      </c>
      <c r="D949" s="56">
        <f>IFERROR(_xlfn.XLOOKUP(PRODUCTOS[[#This Row],[CODIGO]],LISTADO[CODIGOS],LISTADO[PRODUCTOS]),"NO EXISTE")</f>
        <v/>
      </c>
      <c r="E949" s="56">
        <f>IFERROR(_xlfn.XLOOKUP(PRODUCTOS[[#This Row],[CODIGO]],LISTADO[CODIGOS],LISTADO[UBICACIÓN]),"NO EXISTE")</f>
        <v/>
      </c>
      <c r="F949" s="56">
        <f>SUMIFS(ENTRADAS[CANTIDAD],ENTRADAS[CODIGO],PRODUCTOS[[#This Row],[CODIGO]])</f>
        <v/>
      </c>
      <c r="G949" s="56">
        <f>SUMIFS(SALIDAS[CANTIDAD],SALIDAS[CODIGO],PRODUCTOS[[#This Row],[CODIGO]])</f>
        <v/>
      </c>
      <c r="H949" s="56">
        <f>PRODUCTOS[[#This Row],[ENTRADAS]]-PRODUCTOS[[#This Row],[SALIDAS ]]</f>
        <v/>
      </c>
      <c r="I949" s="76" t="n">
        <v>0</v>
      </c>
      <c r="J949">
        <f>IF(PRODUCTOS[[#This Row],[STOCK]]&lt;0,"NEGATIVO",IF(PRODUCTOS[[#This Row],[STOCK]]=0,"SIN STOCK",IF(PRODUCTOS[[#This Row],[STOCK]]&lt;=PRODUCTOS[[#This Row],[STOCK MÍN.]],"BAJO","OK")))</f>
        <v/>
      </c>
      <c r="K9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50" hidden="1" s="11">
      <c r="A950" s="18" t="n">
        <v>935</v>
      </c>
      <c r="B950" s="56" t="inlineStr">
        <is>
          <t>00036-OFC</t>
        </is>
      </c>
      <c r="C950" s="56">
        <f>IFERROR(_xlfn.XLOOKUP(PRODUCTOS[[#This Row],[CODIGO]],LISTADO[CODIGOS],LISTADO[CATEGORIA]),"NO EXISTE")</f>
        <v/>
      </c>
      <c r="D950" s="56">
        <f>IFERROR(_xlfn.XLOOKUP(PRODUCTOS[[#This Row],[CODIGO]],LISTADO[CODIGOS],LISTADO[PRODUCTOS]),"NO EXISTE")</f>
        <v/>
      </c>
      <c r="E950" s="56">
        <f>IFERROR(_xlfn.XLOOKUP(PRODUCTOS[[#This Row],[CODIGO]],LISTADO[CODIGOS],LISTADO[UBICACIÓN]),"NO EXISTE")</f>
        <v/>
      </c>
      <c r="F950" s="56">
        <f>SUMIFS(ENTRADAS[CANTIDAD],ENTRADAS[CODIGO],PRODUCTOS[[#This Row],[CODIGO]])</f>
        <v/>
      </c>
      <c r="G950" s="56">
        <f>SUMIFS(SALIDAS[CANTIDAD],SALIDAS[CODIGO],PRODUCTOS[[#This Row],[CODIGO]])</f>
        <v/>
      </c>
      <c r="H950" s="56">
        <f>PRODUCTOS[[#This Row],[ENTRADAS]]-PRODUCTOS[[#This Row],[SALIDAS ]]</f>
        <v/>
      </c>
      <c r="I950" s="76" t="n">
        <v>0</v>
      </c>
      <c r="J950">
        <f>IF(PRODUCTOS[[#This Row],[STOCK]]&lt;0,"NEGATIVO",IF(PRODUCTOS[[#This Row],[STOCK]]=0,"SIN STOCK",IF(PRODUCTOS[[#This Row],[STOCK]]&lt;=PRODUCTOS[[#This Row],[STOCK MÍN.]],"BAJO","OK")))</f>
        <v/>
      </c>
      <c r="K9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51" hidden="1" s="11">
      <c r="A951" s="18" t="n">
        <v>936</v>
      </c>
      <c r="B951" s="56" t="inlineStr">
        <is>
          <t>00037-OFC</t>
        </is>
      </c>
      <c r="C951" s="56">
        <f>IFERROR(_xlfn.XLOOKUP(PRODUCTOS[[#This Row],[CODIGO]],LISTADO[CODIGOS],LISTADO[CATEGORIA]),"NO EXISTE")</f>
        <v/>
      </c>
      <c r="D951" s="56">
        <f>IFERROR(_xlfn.XLOOKUP(PRODUCTOS[[#This Row],[CODIGO]],LISTADO[CODIGOS],LISTADO[PRODUCTOS]),"NO EXISTE")</f>
        <v/>
      </c>
      <c r="E951" s="56">
        <f>IFERROR(_xlfn.XLOOKUP(PRODUCTOS[[#This Row],[CODIGO]],LISTADO[CODIGOS],LISTADO[UBICACIÓN]),"NO EXISTE")</f>
        <v/>
      </c>
      <c r="F951" s="56">
        <f>SUMIFS(ENTRADAS[CANTIDAD],ENTRADAS[CODIGO],PRODUCTOS[[#This Row],[CODIGO]])</f>
        <v/>
      </c>
      <c r="G951" s="56">
        <f>SUMIFS(SALIDAS[CANTIDAD],SALIDAS[CODIGO],PRODUCTOS[[#This Row],[CODIGO]])</f>
        <v/>
      </c>
      <c r="H951" s="56">
        <f>PRODUCTOS[[#This Row],[ENTRADAS]]-PRODUCTOS[[#This Row],[SALIDAS ]]</f>
        <v/>
      </c>
      <c r="I951" s="76" t="n">
        <v>0</v>
      </c>
      <c r="J951">
        <f>IF(PRODUCTOS[[#This Row],[STOCK]]&lt;0,"NEGATIVO",IF(PRODUCTOS[[#This Row],[STOCK]]=0,"SIN STOCK",IF(PRODUCTOS[[#This Row],[STOCK]]&lt;=PRODUCTOS[[#This Row],[STOCK MÍN.]],"BAJO","OK")))</f>
        <v/>
      </c>
      <c r="K9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52" hidden="1" s="11">
      <c r="A952" s="18" t="n">
        <v>937</v>
      </c>
      <c r="B952" s="56" t="inlineStr">
        <is>
          <t>00022-MSC</t>
        </is>
      </c>
      <c r="C952" s="56">
        <f>IFERROR(_xlfn.XLOOKUP(PRODUCTOS[[#This Row],[CODIGO]],LISTADO[CODIGOS],LISTADO[CATEGORIA]),"NO EXISTE")</f>
        <v/>
      </c>
      <c r="D952" s="56">
        <f>IFERROR(_xlfn.XLOOKUP(PRODUCTOS[[#This Row],[CODIGO]],LISTADO[CODIGOS],LISTADO[PRODUCTOS]),"NO EXISTE")</f>
        <v/>
      </c>
      <c r="E952" s="56">
        <f>IFERROR(_xlfn.XLOOKUP(PRODUCTOS[[#This Row],[CODIGO]],LISTADO[CODIGOS],LISTADO[UBICACIÓN]),"NO EXISTE")</f>
        <v/>
      </c>
      <c r="F952" s="56">
        <f>SUMIFS(ENTRADAS[CANTIDAD],ENTRADAS[CODIGO],PRODUCTOS[[#This Row],[CODIGO]])</f>
        <v/>
      </c>
      <c r="G952" s="56">
        <f>SUMIFS(SALIDAS[CANTIDAD],SALIDAS[CODIGO],PRODUCTOS[[#This Row],[CODIGO]])</f>
        <v/>
      </c>
      <c r="H952" s="56">
        <f>PRODUCTOS[[#This Row],[ENTRADAS]]-PRODUCTOS[[#This Row],[SALIDAS ]]</f>
        <v/>
      </c>
      <c r="I952" s="76" t="n">
        <v>0</v>
      </c>
      <c r="J952">
        <f>IF(PRODUCTOS[[#This Row],[STOCK]]&lt;0,"NEGATIVO",IF(PRODUCTOS[[#This Row],[STOCK]]=0,"SIN STOCK",IF(PRODUCTOS[[#This Row],[STOCK]]&lt;=PRODUCTOS[[#This Row],[STOCK MÍN.]],"BAJO","OK")))</f>
        <v/>
      </c>
      <c r="K9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53" hidden="1" s="11">
      <c r="A953" s="18" t="n">
        <v>938</v>
      </c>
      <c r="B953" s="56" t="inlineStr">
        <is>
          <t>00077-ELC</t>
        </is>
      </c>
      <c r="C953" s="56">
        <f>IFERROR(_xlfn.XLOOKUP(PRODUCTOS[[#This Row],[CODIGO]],LISTADO[CODIGOS],LISTADO[CATEGORIA]),"NO EXISTE")</f>
        <v/>
      </c>
      <c r="D953" s="56">
        <f>IFERROR(_xlfn.XLOOKUP(PRODUCTOS[[#This Row],[CODIGO]],LISTADO[CODIGOS],LISTADO[PRODUCTOS]),"NO EXISTE")</f>
        <v/>
      </c>
      <c r="E953" s="56">
        <f>IFERROR(_xlfn.XLOOKUP(PRODUCTOS[[#This Row],[CODIGO]],LISTADO[CODIGOS],LISTADO[UBICACIÓN]),"NO EXISTE")</f>
        <v/>
      </c>
      <c r="F953" s="56">
        <f>SUMIFS(ENTRADAS[CANTIDAD],ENTRADAS[CODIGO],PRODUCTOS[[#This Row],[CODIGO]])</f>
        <v/>
      </c>
      <c r="G953" s="56">
        <f>SUMIFS(SALIDAS[CANTIDAD],SALIDAS[CODIGO],PRODUCTOS[[#This Row],[CODIGO]])</f>
        <v/>
      </c>
      <c r="H953" s="56">
        <f>PRODUCTOS[[#This Row],[ENTRADAS]]-PRODUCTOS[[#This Row],[SALIDAS ]]</f>
        <v/>
      </c>
      <c r="I953" s="76" t="n">
        <v>0</v>
      </c>
      <c r="J953">
        <f>IF(PRODUCTOS[[#This Row],[STOCK]]&lt;0,"NEGATIVO",IF(PRODUCTOS[[#This Row],[STOCK]]=0,"SIN STOCK",IF(PRODUCTOS[[#This Row],[STOCK]]&lt;=PRODUCTOS[[#This Row],[STOCK MÍN.]],"BAJO","OK")))</f>
        <v/>
      </c>
      <c r="K9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54" hidden="1" s="11">
      <c r="A954" s="18" t="n">
        <v>939</v>
      </c>
      <c r="B954" s="56" t="inlineStr">
        <is>
          <t>00054-ILU</t>
        </is>
      </c>
      <c r="C954" s="56">
        <f>IFERROR(_xlfn.XLOOKUP(PRODUCTOS[[#This Row],[CODIGO]],LISTADO[CODIGOS],LISTADO[CATEGORIA]),"NO EXISTE")</f>
        <v/>
      </c>
      <c r="D954" s="56">
        <f>IFERROR(_xlfn.XLOOKUP(PRODUCTOS[[#This Row],[CODIGO]],LISTADO[CODIGOS],LISTADO[PRODUCTOS]),"NO EXISTE")</f>
        <v/>
      </c>
      <c r="E954" s="56">
        <f>IFERROR(_xlfn.XLOOKUP(PRODUCTOS[[#This Row],[CODIGO]],LISTADO[CODIGOS],LISTADO[UBICACIÓN]),"NO EXISTE")</f>
        <v/>
      </c>
      <c r="F954" s="56">
        <f>SUMIFS(ENTRADAS[CANTIDAD],ENTRADAS[CODIGO],PRODUCTOS[[#This Row],[CODIGO]])</f>
        <v/>
      </c>
      <c r="G954" s="56">
        <f>SUMIFS(SALIDAS[CANTIDAD],SALIDAS[CODIGO],PRODUCTOS[[#This Row],[CODIGO]])</f>
        <v/>
      </c>
      <c r="H954" s="56">
        <f>PRODUCTOS[[#This Row],[ENTRADAS]]-PRODUCTOS[[#This Row],[SALIDAS ]]</f>
        <v/>
      </c>
      <c r="I954" s="76" t="n">
        <v>0</v>
      </c>
      <c r="J954">
        <f>IF(PRODUCTOS[[#This Row],[STOCK]]&lt;0,"NEGATIVO",IF(PRODUCTOS[[#This Row],[STOCK]]=0,"SIN STOCK",IF(PRODUCTOS[[#This Row],[STOCK]]&lt;=PRODUCTOS[[#This Row],[STOCK MÍN.]],"BAJO","OK")))</f>
        <v/>
      </c>
      <c r="K9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55" hidden="1" s="11">
      <c r="A955" s="18" t="n">
        <v>940</v>
      </c>
      <c r="B955" s="56" t="inlineStr">
        <is>
          <t>00121-REF</t>
        </is>
      </c>
      <c r="C955" s="56">
        <f>IFERROR(_xlfn.XLOOKUP(PRODUCTOS[[#This Row],[CODIGO]],LISTADO[CODIGOS],LISTADO[CATEGORIA]),"NO EXISTE")</f>
        <v/>
      </c>
      <c r="D955" s="56">
        <f>IFERROR(_xlfn.XLOOKUP(PRODUCTOS[[#This Row],[CODIGO]],LISTADO[CODIGOS],LISTADO[PRODUCTOS]),"NO EXISTE")</f>
        <v/>
      </c>
      <c r="E955" s="56">
        <f>IFERROR(_xlfn.XLOOKUP(PRODUCTOS[[#This Row],[CODIGO]],LISTADO[CODIGOS],LISTADO[UBICACIÓN]),"NO EXISTE")</f>
        <v/>
      </c>
      <c r="F955" s="56">
        <f>SUMIFS(ENTRADAS[CANTIDAD],ENTRADAS[CODIGO],PRODUCTOS[[#This Row],[CODIGO]])</f>
        <v/>
      </c>
      <c r="G955" s="56">
        <f>SUMIFS(SALIDAS[CANTIDAD],SALIDAS[CODIGO],PRODUCTOS[[#This Row],[CODIGO]])</f>
        <v/>
      </c>
      <c r="H955" s="56">
        <f>PRODUCTOS[[#This Row],[ENTRADAS]]-PRODUCTOS[[#This Row],[SALIDAS ]]</f>
        <v/>
      </c>
      <c r="I955" s="76" t="n">
        <v>0</v>
      </c>
      <c r="J955">
        <f>IF(PRODUCTOS[[#This Row],[STOCK]]&lt;0,"NEGATIVO",IF(PRODUCTOS[[#This Row],[STOCK]]=0,"SIN STOCK",IF(PRODUCTOS[[#This Row],[STOCK]]&lt;=PRODUCTOS[[#This Row],[STOCK MÍN.]],"BAJO","OK")))</f>
        <v/>
      </c>
      <c r="K9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56" hidden="1" s="11">
      <c r="A956" s="18" t="n">
        <v>393</v>
      </c>
      <c r="B956" s="56" t="inlineStr">
        <is>
          <t>00122-REF</t>
        </is>
      </c>
      <c r="C956" s="56">
        <f>IFERROR(_xlfn.XLOOKUP(PRODUCTOS[[#This Row],[CODIGO]],LISTADO[CODIGOS],LISTADO[CATEGORIA]),"NO EXISTE")</f>
        <v/>
      </c>
      <c r="D956" s="56">
        <f>IFERROR(_xlfn.XLOOKUP(PRODUCTOS[[#This Row],[CODIGO]],LISTADO[CODIGOS],LISTADO[PRODUCTOS]),"NO EXISTE")</f>
        <v/>
      </c>
      <c r="E956" s="56">
        <f>IFERROR(_xlfn.XLOOKUP(PRODUCTOS[[#This Row],[CODIGO]],LISTADO[CODIGOS],LISTADO[UBICACIÓN]),"NO EXISTE")</f>
        <v/>
      </c>
      <c r="F956" s="56">
        <f>SUMIFS(ENTRADAS[CANTIDAD],ENTRADAS[CODIGO],PRODUCTOS[[#This Row],[CODIGO]])</f>
        <v/>
      </c>
      <c r="G956" s="56">
        <f>SUMIFS(SALIDAS[CANTIDAD],SALIDAS[CODIGO],PRODUCTOS[[#This Row],[CODIGO]])</f>
        <v/>
      </c>
      <c r="H956" s="56">
        <f>PRODUCTOS[[#This Row],[ENTRADAS]]-PRODUCTOS[[#This Row],[SALIDAS ]]</f>
        <v/>
      </c>
      <c r="I956" s="76" t="n">
        <v>0</v>
      </c>
      <c r="J956">
        <f>IF(PRODUCTOS[[#This Row],[STOCK]]&lt;0,"NEGATIVO",IF(PRODUCTOS[[#This Row],[STOCK]]=0,"SIN STOCK",IF(PRODUCTOS[[#This Row],[STOCK]]&lt;=PRODUCTOS[[#This Row],[STOCK MÍN.]],"BAJO","OK")))</f>
        <v/>
      </c>
      <c r="K9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57" hidden="1" s="11">
      <c r="A957" s="18" t="n">
        <v>942</v>
      </c>
      <c r="B957" s="56" t="inlineStr">
        <is>
          <t>00198-FER</t>
        </is>
      </c>
      <c r="C957" s="56">
        <f>IFERROR(_xlfn.XLOOKUP(PRODUCTOS[[#This Row],[CODIGO]],LISTADO[CODIGOS],LISTADO[CATEGORIA]),"NO EXISTE")</f>
        <v/>
      </c>
      <c r="D957" s="56">
        <f>IFERROR(_xlfn.XLOOKUP(PRODUCTOS[[#This Row],[CODIGO]],LISTADO[CODIGOS],LISTADO[PRODUCTOS]),"NO EXISTE")</f>
        <v/>
      </c>
      <c r="E957" s="56">
        <f>IFERROR(_xlfn.XLOOKUP(PRODUCTOS[[#This Row],[CODIGO]],LISTADO[CODIGOS],LISTADO[UBICACIÓN]),"NO EXISTE")</f>
        <v/>
      </c>
      <c r="F957" s="56">
        <f>SUMIFS(ENTRADAS[CANTIDAD],ENTRADAS[CODIGO],PRODUCTOS[[#This Row],[CODIGO]])</f>
        <v/>
      </c>
      <c r="G957" s="56">
        <f>SUMIFS(SALIDAS[CANTIDAD],SALIDAS[CODIGO],PRODUCTOS[[#This Row],[CODIGO]])</f>
        <v/>
      </c>
      <c r="H957" s="56">
        <f>PRODUCTOS[[#This Row],[ENTRADAS]]-PRODUCTOS[[#This Row],[SALIDAS ]]</f>
        <v/>
      </c>
      <c r="I957" s="76" t="n">
        <v>0</v>
      </c>
      <c r="J957">
        <f>IF(PRODUCTOS[[#This Row],[STOCK]]&lt;0,"NEGATIVO",IF(PRODUCTOS[[#This Row],[STOCK]]=0,"SIN STOCK",IF(PRODUCTOS[[#This Row],[STOCK]]&lt;=PRODUCTOS[[#This Row],[STOCK MÍN.]],"BAJO","OK")))</f>
        <v/>
      </c>
      <c r="K9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58" hidden="1" s="11">
      <c r="A958" s="18" t="n">
        <v>943</v>
      </c>
      <c r="B958" s="56" t="inlineStr">
        <is>
          <t>00199-FER</t>
        </is>
      </c>
      <c r="C958" s="56">
        <f>IFERROR(_xlfn.XLOOKUP(PRODUCTOS[[#This Row],[CODIGO]],LISTADO[CODIGOS],LISTADO[CATEGORIA]),"NO EXISTE")</f>
        <v/>
      </c>
      <c r="D958" s="56">
        <f>IFERROR(_xlfn.XLOOKUP(PRODUCTOS[[#This Row],[CODIGO]],LISTADO[CODIGOS],LISTADO[PRODUCTOS]),"NO EXISTE")</f>
        <v/>
      </c>
      <c r="E958" s="56">
        <f>IFERROR(_xlfn.XLOOKUP(PRODUCTOS[[#This Row],[CODIGO]],LISTADO[CODIGOS],LISTADO[UBICACIÓN]),"NO EXISTE")</f>
        <v/>
      </c>
      <c r="F958" s="56">
        <f>SUMIFS(ENTRADAS[CANTIDAD],ENTRADAS[CODIGO],PRODUCTOS[[#This Row],[CODIGO]])</f>
        <v/>
      </c>
      <c r="G958" s="56">
        <f>SUMIFS(SALIDAS[CANTIDAD],SALIDAS[CODIGO],PRODUCTOS[[#This Row],[CODIGO]])</f>
        <v/>
      </c>
      <c r="H958" s="56">
        <f>PRODUCTOS[[#This Row],[ENTRADAS]]-PRODUCTOS[[#This Row],[SALIDAS ]]</f>
        <v/>
      </c>
      <c r="I958" s="76" t="n">
        <v>0</v>
      </c>
      <c r="J958">
        <f>IF(PRODUCTOS[[#This Row],[STOCK]]&lt;0,"NEGATIVO",IF(PRODUCTOS[[#This Row],[STOCK]]=0,"SIN STOCK",IF(PRODUCTOS[[#This Row],[STOCK]]&lt;=PRODUCTOS[[#This Row],[STOCK MÍN.]],"BAJO","OK")))</f>
        <v/>
      </c>
      <c r="K9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59" hidden="1" s="11">
      <c r="A959" s="18" t="n">
        <v>944</v>
      </c>
      <c r="B959" s="56" t="inlineStr">
        <is>
          <t>00081-ELE</t>
        </is>
      </c>
      <c r="C959" s="56">
        <f>IFERROR(_xlfn.XLOOKUP(PRODUCTOS[[#This Row],[CODIGO]],LISTADO[CODIGOS],LISTADO[CATEGORIA]),"NO EXISTE")</f>
        <v/>
      </c>
      <c r="D959" s="56">
        <f>IFERROR(_xlfn.XLOOKUP(PRODUCTOS[[#This Row],[CODIGO]],LISTADO[CODIGOS],LISTADO[PRODUCTOS]),"NO EXISTE")</f>
        <v/>
      </c>
      <c r="E959" s="56">
        <f>IFERROR(_xlfn.XLOOKUP(PRODUCTOS[[#This Row],[CODIGO]],LISTADO[CODIGOS],LISTADO[UBICACIÓN]),"NO EXISTE")</f>
        <v/>
      </c>
      <c r="F959" s="56">
        <f>SUMIFS(ENTRADAS[CANTIDAD],ENTRADAS[CODIGO],PRODUCTOS[[#This Row],[CODIGO]])</f>
        <v/>
      </c>
      <c r="G959" s="56">
        <f>SUMIFS(SALIDAS[CANTIDAD],SALIDAS[CODIGO],PRODUCTOS[[#This Row],[CODIGO]])</f>
        <v/>
      </c>
      <c r="H959" s="56">
        <f>PRODUCTOS[[#This Row],[ENTRADAS]]-PRODUCTOS[[#This Row],[SALIDAS ]]</f>
        <v/>
      </c>
      <c r="I959" s="76" t="n">
        <v>0</v>
      </c>
      <c r="J959">
        <f>IF(PRODUCTOS[[#This Row],[STOCK]]&lt;0,"NEGATIVO",IF(PRODUCTOS[[#This Row],[STOCK]]=0,"SIN STOCK",IF(PRODUCTOS[[#This Row],[STOCK]]&lt;=PRODUCTOS[[#This Row],[STOCK MÍN.]],"BAJO","OK")))</f>
        <v/>
      </c>
      <c r="K9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60" hidden="1" s="11">
      <c r="A960" s="18" t="n">
        <v>945</v>
      </c>
      <c r="B960" s="56" t="inlineStr">
        <is>
          <t>00200-FER</t>
        </is>
      </c>
      <c r="C960" s="56">
        <f>IFERROR(_xlfn.XLOOKUP(PRODUCTOS[[#This Row],[CODIGO]],LISTADO[CODIGOS],LISTADO[CATEGORIA]),"NO EXISTE")</f>
        <v/>
      </c>
      <c r="D960" s="56">
        <f>IFERROR(_xlfn.XLOOKUP(PRODUCTOS[[#This Row],[CODIGO]],LISTADO[CODIGOS],LISTADO[PRODUCTOS]),"NO EXISTE")</f>
        <v/>
      </c>
      <c r="E960" s="56">
        <f>IFERROR(_xlfn.XLOOKUP(PRODUCTOS[[#This Row],[CODIGO]],LISTADO[CODIGOS],LISTADO[UBICACIÓN]),"NO EXISTE")</f>
        <v/>
      </c>
      <c r="F960" s="56">
        <f>SUMIFS(ENTRADAS[CANTIDAD],ENTRADAS[CODIGO],PRODUCTOS[[#This Row],[CODIGO]])</f>
        <v/>
      </c>
      <c r="G960" s="56">
        <f>SUMIFS(SALIDAS[CANTIDAD],SALIDAS[CODIGO],PRODUCTOS[[#This Row],[CODIGO]])</f>
        <v/>
      </c>
      <c r="H960" s="56">
        <f>PRODUCTOS[[#This Row],[ENTRADAS]]-PRODUCTOS[[#This Row],[SALIDAS ]]</f>
        <v/>
      </c>
      <c r="I960" s="76" t="n">
        <v>0</v>
      </c>
      <c r="J960">
        <f>IF(PRODUCTOS[[#This Row],[STOCK]]&lt;0,"NEGATIVO",IF(PRODUCTOS[[#This Row],[STOCK]]=0,"SIN STOCK",IF(PRODUCTOS[[#This Row],[STOCK]]&lt;=PRODUCTOS[[#This Row],[STOCK MÍN.]],"BAJO","OK")))</f>
        <v/>
      </c>
      <c r="K9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61" hidden="1" s="11">
      <c r="A961" s="18" t="n">
        <v>946</v>
      </c>
      <c r="B961" s="56" t="inlineStr">
        <is>
          <t>00026-LIM</t>
        </is>
      </c>
      <c r="C961" s="56">
        <f>IFERROR(_xlfn.XLOOKUP(PRODUCTOS[[#This Row],[CODIGO]],LISTADO[CODIGOS],LISTADO[CATEGORIA]),"NO EXISTE")</f>
        <v/>
      </c>
      <c r="D961" s="56">
        <f>IFERROR(_xlfn.XLOOKUP(PRODUCTOS[[#This Row],[CODIGO]],LISTADO[CODIGOS],LISTADO[PRODUCTOS]),"NO EXISTE")</f>
        <v/>
      </c>
      <c r="E961" s="56">
        <f>IFERROR(_xlfn.XLOOKUP(PRODUCTOS[[#This Row],[CODIGO]],LISTADO[CODIGOS],LISTADO[UBICACIÓN]),"NO EXISTE")</f>
        <v/>
      </c>
      <c r="F961" s="56">
        <f>SUMIFS(ENTRADAS[CANTIDAD],ENTRADAS[CODIGO],PRODUCTOS[[#This Row],[CODIGO]])</f>
        <v/>
      </c>
      <c r="G961" s="56">
        <f>SUMIFS(SALIDAS[CANTIDAD],SALIDAS[CODIGO],PRODUCTOS[[#This Row],[CODIGO]])</f>
        <v/>
      </c>
      <c r="H961" s="56">
        <f>PRODUCTOS[[#This Row],[ENTRADAS]]-PRODUCTOS[[#This Row],[SALIDAS ]]</f>
        <v/>
      </c>
      <c r="I961" s="76" t="n">
        <v>0</v>
      </c>
      <c r="J961">
        <f>IF(PRODUCTOS[[#This Row],[STOCK]]&lt;0,"NEGATIVO",IF(PRODUCTOS[[#This Row],[STOCK]]=0,"SIN STOCK",IF(PRODUCTOS[[#This Row],[STOCK]]&lt;=PRODUCTOS[[#This Row],[STOCK MÍN.]],"BAJO","OK")))</f>
        <v/>
      </c>
      <c r="K9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62" hidden="1" s="11">
      <c r="A962" s="18" t="n">
        <v>947</v>
      </c>
      <c r="B962" s="56" t="inlineStr">
        <is>
          <t>00027-LIM</t>
        </is>
      </c>
      <c r="C962" s="56">
        <f>IFERROR(_xlfn.XLOOKUP(PRODUCTOS[[#This Row],[CODIGO]],LISTADO[CODIGOS],LISTADO[CATEGORIA]),"NO EXISTE")</f>
        <v/>
      </c>
      <c r="D962" s="56">
        <f>IFERROR(_xlfn.XLOOKUP(PRODUCTOS[[#This Row],[CODIGO]],LISTADO[CODIGOS],LISTADO[PRODUCTOS]),"NO EXISTE")</f>
        <v/>
      </c>
      <c r="E962" s="56">
        <f>IFERROR(_xlfn.XLOOKUP(PRODUCTOS[[#This Row],[CODIGO]],LISTADO[CODIGOS],LISTADO[UBICACIÓN]),"NO EXISTE")</f>
        <v/>
      </c>
      <c r="F962" s="56">
        <f>SUMIFS(ENTRADAS[CANTIDAD],ENTRADAS[CODIGO],PRODUCTOS[[#This Row],[CODIGO]])</f>
        <v/>
      </c>
      <c r="G962" s="56">
        <f>SUMIFS(SALIDAS[CANTIDAD],SALIDAS[CODIGO],PRODUCTOS[[#This Row],[CODIGO]])</f>
        <v/>
      </c>
      <c r="H962" s="56">
        <f>PRODUCTOS[[#This Row],[ENTRADAS]]-PRODUCTOS[[#This Row],[SALIDAS ]]</f>
        <v/>
      </c>
      <c r="I962" s="76" t="n">
        <v>0</v>
      </c>
      <c r="J962">
        <f>IF(PRODUCTOS[[#This Row],[STOCK]]&lt;0,"NEGATIVO",IF(PRODUCTOS[[#This Row],[STOCK]]=0,"SIN STOCK",IF(PRODUCTOS[[#This Row],[STOCK]]&lt;=PRODUCTOS[[#This Row],[STOCK MÍN.]],"BAJO","OK")))</f>
        <v/>
      </c>
      <c r="K9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63" hidden="1" s="11">
      <c r="A963" s="18" t="n">
        <v>948</v>
      </c>
      <c r="B963" s="56" t="inlineStr">
        <is>
          <t>00066-HRR</t>
        </is>
      </c>
      <c r="C963" s="56">
        <f>IFERROR(_xlfn.XLOOKUP(PRODUCTOS[[#This Row],[CODIGO]],LISTADO[CODIGOS],LISTADO[CATEGORIA]),"NO EXISTE")</f>
        <v/>
      </c>
      <c r="D963" s="56">
        <f>IFERROR(_xlfn.XLOOKUP(PRODUCTOS[[#This Row],[CODIGO]],LISTADO[CODIGOS],LISTADO[PRODUCTOS]),"NO EXISTE")</f>
        <v/>
      </c>
      <c r="E963" s="56">
        <f>IFERROR(_xlfn.XLOOKUP(PRODUCTOS[[#This Row],[CODIGO]],LISTADO[CODIGOS],LISTADO[UBICACIÓN]),"NO EXISTE")</f>
        <v/>
      </c>
      <c r="F963" s="56">
        <f>SUMIFS(ENTRADAS[CANTIDAD],ENTRADAS[CODIGO],PRODUCTOS[[#This Row],[CODIGO]])</f>
        <v/>
      </c>
      <c r="G963" s="56">
        <f>SUMIFS(SALIDAS[CANTIDAD],SALIDAS[CODIGO],PRODUCTOS[[#This Row],[CODIGO]])</f>
        <v/>
      </c>
      <c r="H963" s="56">
        <f>PRODUCTOS[[#This Row],[ENTRADAS]]-PRODUCTOS[[#This Row],[SALIDAS ]]</f>
        <v/>
      </c>
      <c r="I963" s="76" t="n">
        <v>0</v>
      </c>
      <c r="J963">
        <f>IF(PRODUCTOS[[#This Row],[STOCK]]&lt;0,"NEGATIVO",IF(PRODUCTOS[[#This Row],[STOCK]]=0,"SIN STOCK",IF(PRODUCTOS[[#This Row],[STOCK]]&lt;=PRODUCTOS[[#This Row],[STOCK MÍN.]],"BAJO","OK")))</f>
        <v/>
      </c>
      <c r="K9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64" hidden="1" s="11">
      <c r="A964" s="18" t="n">
        <v>949</v>
      </c>
      <c r="B964" s="56" t="inlineStr">
        <is>
          <t>00118-HER</t>
        </is>
      </c>
      <c r="C964" s="56">
        <f>IFERROR(_xlfn.XLOOKUP(PRODUCTOS[[#This Row],[CODIGO]],LISTADO[CODIGOS],LISTADO[CATEGORIA]),"NO EXISTE")</f>
        <v/>
      </c>
      <c r="D964" s="56">
        <f>IFERROR(_xlfn.XLOOKUP(PRODUCTOS[[#This Row],[CODIGO]],LISTADO[CODIGOS],LISTADO[PRODUCTOS]),"NO EXISTE")</f>
        <v/>
      </c>
      <c r="E964" s="56">
        <f>IFERROR(_xlfn.XLOOKUP(PRODUCTOS[[#This Row],[CODIGO]],LISTADO[CODIGOS],LISTADO[UBICACIÓN]),"NO EXISTE")</f>
        <v/>
      </c>
      <c r="F964" s="56">
        <f>SUMIFS(ENTRADAS[CANTIDAD],ENTRADAS[CODIGO],PRODUCTOS[[#This Row],[CODIGO]])</f>
        <v/>
      </c>
      <c r="G964" s="56">
        <f>SUMIFS(SALIDAS[CANTIDAD],SALIDAS[CODIGO],PRODUCTOS[[#This Row],[CODIGO]])</f>
        <v/>
      </c>
      <c r="H964" s="56">
        <f>PRODUCTOS[[#This Row],[ENTRADAS]]-PRODUCTOS[[#This Row],[SALIDAS ]]</f>
        <v/>
      </c>
      <c r="I964" s="76" t="n">
        <v>0</v>
      </c>
      <c r="J964">
        <f>IF(PRODUCTOS[[#This Row],[STOCK]]&lt;0,"NEGATIVO",IF(PRODUCTOS[[#This Row],[STOCK]]=0,"SIN STOCK",IF(PRODUCTOS[[#This Row],[STOCK]]&lt;=PRODUCTOS[[#This Row],[STOCK MÍN.]],"BAJO","OK")))</f>
        <v/>
      </c>
      <c r="K9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65" hidden="1" s="11">
      <c r="A965" s="18" t="n">
        <v>950</v>
      </c>
      <c r="B965" s="56" t="inlineStr">
        <is>
          <t>00119-HER</t>
        </is>
      </c>
      <c r="C965" s="56">
        <f>IFERROR(_xlfn.XLOOKUP(PRODUCTOS[[#This Row],[CODIGO]],LISTADO[CODIGOS],LISTADO[CATEGORIA]),"NO EXISTE")</f>
        <v/>
      </c>
      <c r="D965" s="56">
        <f>IFERROR(_xlfn.XLOOKUP(PRODUCTOS[[#This Row],[CODIGO]],LISTADO[CODIGOS],LISTADO[PRODUCTOS]),"NO EXISTE")</f>
        <v/>
      </c>
      <c r="E965" s="56">
        <f>IFERROR(_xlfn.XLOOKUP(PRODUCTOS[[#This Row],[CODIGO]],LISTADO[CODIGOS],LISTADO[UBICACIÓN]),"NO EXISTE")</f>
        <v/>
      </c>
      <c r="F965" s="56">
        <f>SUMIFS(ENTRADAS[CANTIDAD],ENTRADAS[CODIGO],PRODUCTOS[[#This Row],[CODIGO]])</f>
        <v/>
      </c>
      <c r="G965" s="56">
        <f>SUMIFS(SALIDAS[CANTIDAD],SALIDAS[CODIGO],PRODUCTOS[[#This Row],[CODIGO]])</f>
        <v/>
      </c>
      <c r="H965" s="56">
        <f>PRODUCTOS[[#This Row],[ENTRADAS]]-PRODUCTOS[[#This Row],[SALIDAS ]]</f>
        <v/>
      </c>
      <c r="I965" s="76" t="n">
        <v>0</v>
      </c>
      <c r="J965">
        <f>IF(PRODUCTOS[[#This Row],[STOCK]]&lt;0,"NEGATIVO",IF(PRODUCTOS[[#This Row],[STOCK]]=0,"SIN STOCK",IF(PRODUCTOS[[#This Row],[STOCK]]&lt;=PRODUCTOS[[#This Row],[STOCK MÍN.]],"BAJO","OK")))</f>
        <v/>
      </c>
      <c r="K9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66" hidden="1" s="11">
      <c r="A966" s="18" t="n">
        <v>951</v>
      </c>
      <c r="B966" s="56" t="inlineStr">
        <is>
          <t>00120-HER</t>
        </is>
      </c>
      <c r="C966" s="56">
        <f>IFERROR(_xlfn.XLOOKUP(PRODUCTOS[[#This Row],[CODIGO]],LISTADO[CODIGOS],LISTADO[CATEGORIA]),"NO EXISTE")</f>
        <v/>
      </c>
      <c r="D966" s="56">
        <f>IFERROR(_xlfn.XLOOKUP(PRODUCTOS[[#This Row],[CODIGO]],LISTADO[CODIGOS],LISTADO[PRODUCTOS]),"NO EXISTE")</f>
        <v/>
      </c>
      <c r="E966" s="56">
        <f>IFERROR(_xlfn.XLOOKUP(PRODUCTOS[[#This Row],[CODIGO]],LISTADO[CODIGOS],LISTADO[UBICACIÓN]),"NO EXISTE")</f>
        <v/>
      </c>
      <c r="F966" s="56">
        <f>SUMIFS(ENTRADAS[CANTIDAD],ENTRADAS[CODIGO],PRODUCTOS[[#This Row],[CODIGO]])</f>
        <v/>
      </c>
      <c r="G966" s="56">
        <f>SUMIFS(SALIDAS[CANTIDAD],SALIDAS[CODIGO],PRODUCTOS[[#This Row],[CODIGO]])</f>
        <v/>
      </c>
      <c r="H966" s="56">
        <f>PRODUCTOS[[#This Row],[ENTRADAS]]-PRODUCTOS[[#This Row],[SALIDAS ]]</f>
        <v/>
      </c>
      <c r="I966" s="76" t="n">
        <v>0</v>
      </c>
      <c r="J966">
        <f>IF(PRODUCTOS[[#This Row],[STOCK]]&lt;0,"NEGATIVO",IF(PRODUCTOS[[#This Row],[STOCK]]=0,"SIN STOCK",IF(PRODUCTOS[[#This Row],[STOCK]]&lt;=PRODUCTOS[[#This Row],[STOCK MÍN.]],"BAJO","OK")))</f>
        <v/>
      </c>
      <c r="K9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67" hidden="1" s="11">
      <c r="A967" s="18" t="n">
        <v>952</v>
      </c>
      <c r="B967" s="56" t="inlineStr">
        <is>
          <t>00121-HER</t>
        </is>
      </c>
      <c r="C967" s="56">
        <f>IFERROR(_xlfn.XLOOKUP(PRODUCTOS[[#This Row],[CODIGO]],LISTADO[CODIGOS],LISTADO[CATEGORIA]),"NO EXISTE")</f>
        <v/>
      </c>
      <c r="D967" s="56">
        <f>IFERROR(_xlfn.XLOOKUP(PRODUCTOS[[#This Row],[CODIGO]],LISTADO[CODIGOS],LISTADO[PRODUCTOS]),"NO EXISTE")</f>
        <v/>
      </c>
      <c r="E967" s="56">
        <f>IFERROR(_xlfn.XLOOKUP(PRODUCTOS[[#This Row],[CODIGO]],LISTADO[CODIGOS],LISTADO[UBICACIÓN]),"NO EXISTE")</f>
        <v/>
      </c>
      <c r="F967" s="56">
        <f>SUMIFS(ENTRADAS[CANTIDAD],ENTRADAS[CODIGO],PRODUCTOS[[#This Row],[CODIGO]])</f>
        <v/>
      </c>
      <c r="G967" s="56">
        <f>SUMIFS(SALIDAS[CANTIDAD],SALIDAS[CODIGO],PRODUCTOS[[#This Row],[CODIGO]])</f>
        <v/>
      </c>
      <c r="H967" s="56">
        <f>PRODUCTOS[[#This Row],[ENTRADAS]]-PRODUCTOS[[#This Row],[SALIDAS ]]</f>
        <v/>
      </c>
      <c r="I967" s="76" t="n">
        <v>0</v>
      </c>
      <c r="J967">
        <f>IF(PRODUCTOS[[#This Row],[STOCK]]&lt;0,"NEGATIVO",IF(PRODUCTOS[[#This Row],[STOCK]]=0,"SIN STOCK",IF(PRODUCTOS[[#This Row],[STOCK]]&lt;=PRODUCTOS[[#This Row],[STOCK MÍN.]],"BAJO","OK")))</f>
        <v/>
      </c>
      <c r="K9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68" hidden="1" s="11">
      <c r="A968" s="18" t="n">
        <v>953</v>
      </c>
      <c r="B968" s="56" t="inlineStr">
        <is>
          <t>00023-MSC</t>
        </is>
      </c>
      <c r="C968" s="56">
        <f>IFERROR(_xlfn.XLOOKUP(PRODUCTOS[[#This Row],[CODIGO]],LISTADO[CODIGOS],LISTADO[CATEGORIA]),"NO EXISTE")</f>
        <v/>
      </c>
      <c r="D968" s="56">
        <f>IFERROR(_xlfn.XLOOKUP(PRODUCTOS[[#This Row],[CODIGO]],LISTADO[CODIGOS],LISTADO[PRODUCTOS]),"NO EXISTE")</f>
        <v/>
      </c>
      <c r="E968" s="56">
        <f>IFERROR(_xlfn.XLOOKUP(PRODUCTOS[[#This Row],[CODIGO]],LISTADO[CODIGOS],LISTADO[UBICACIÓN]),"NO EXISTE")</f>
        <v/>
      </c>
      <c r="F968" s="56">
        <f>SUMIFS(ENTRADAS[CANTIDAD],ENTRADAS[CODIGO],PRODUCTOS[[#This Row],[CODIGO]])</f>
        <v/>
      </c>
      <c r="G968" s="56">
        <f>SUMIFS(SALIDAS[CANTIDAD],SALIDAS[CODIGO],PRODUCTOS[[#This Row],[CODIGO]])</f>
        <v/>
      </c>
      <c r="H968" s="56">
        <f>PRODUCTOS[[#This Row],[ENTRADAS]]-PRODUCTOS[[#This Row],[SALIDAS ]]</f>
        <v/>
      </c>
      <c r="I968" s="76" t="n">
        <v>0</v>
      </c>
      <c r="J968">
        <f>IF(PRODUCTOS[[#This Row],[STOCK]]&lt;0,"NEGATIVO",IF(PRODUCTOS[[#This Row],[STOCK]]=0,"SIN STOCK",IF(PRODUCTOS[[#This Row],[STOCK]]&lt;=PRODUCTOS[[#This Row],[STOCK MÍN.]],"BAJO","OK")))</f>
        <v/>
      </c>
      <c r="K9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69" hidden="1" s="11">
      <c r="A969" s="18" t="n">
        <v>954</v>
      </c>
      <c r="B969" s="56" t="inlineStr">
        <is>
          <t>00028-LIM</t>
        </is>
      </c>
      <c r="C969" s="56">
        <f>IFERROR(_xlfn.XLOOKUP(PRODUCTOS[[#This Row],[CODIGO]],LISTADO[CODIGOS],LISTADO[CATEGORIA]),"NO EXISTE")</f>
        <v/>
      </c>
      <c r="D969" s="56">
        <f>IFERROR(_xlfn.XLOOKUP(PRODUCTOS[[#This Row],[CODIGO]],LISTADO[CODIGOS],LISTADO[PRODUCTOS]),"NO EXISTE")</f>
        <v/>
      </c>
      <c r="E969" s="56">
        <f>IFERROR(_xlfn.XLOOKUP(PRODUCTOS[[#This Row],[CODIGO]],LISTADO[CODIGOS],LISTADO[UBICACIÓN]),"NO EXISTE")</f>
        <v/>
      </c>
      <c r="F969" s="56">
        <f>SUMIFS(ENTRADAS[CANTIDAD],ENTRADAS[CODIGO],PRODUCTOS[[#This Row],[CODIGO]])</f>
        <v/>
      </c>
      <c r="G969" s="56">
        <f>SUMIFS(SALIDAS[CANTIDAD],SALIDAS[CODIGO],PRODUCTOS[[#This Row],[CODIGO]])</f>
        <v/>
      </c>
      <c r="H969" s="56">
        <f>PRODUCTOS[[#This Row],[ENTRADAS]]-PRODUCTOS[[#This Row],[SALIDAS ]]</f>
        <v/>
      </c>
      <c r="I969" s="76" t="n">
        <v>0</v>
      </c>
      <c r="J969">
        <f>IF(PRODUCTOS[[#This Row],[STOCK]]&lt;0,"NEGATIVO",IF(PRODUCTOS[[#This Row],[STOCK]]=0,"SIN STOCK",IF(PRODUCTOS[[#This Row],[STOCK]]&lt;=PRODUCTOS[[#This Row],[STOCK MÍN.]],"BAJO","OK")))</f>
        <v/>
      </c>
      <c r="K9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70" hidden="1" s="11">
      <c r="A970" s="18" t="n">
        <v>955</v>
      </c>
      <c r="B970" s="56" t="inlineStr">
        <is>
          <t>00055-ILU</t>
        </is>
      </c>
      <c r="C970" s="56">
        <f>IFERROR(_xlfn.XLOOKUP(PRODUCTOS[[#This Row],[CODIGO]],LISTADO[CODIGOS],LISTADO[CATEGORIA]),"NO EXISTE")</f>
        <v/>
      </c>
      <c r="D970" s="56">
        <f>IFERROR(_xlfn.XLOOKUP(PRODUCTOS[[#This Row],[CODIGO]],LISTADO[CODIGOS],LISTADO[PRODUCTOS]),"NO EXISTE")</f>
        <v/>
      </c>
      <c r="E970" s="56">
        <f>IFERROR(_xlfn.XLOOKUP(PRODUCTOS[[#This Row],[CODIGO]],LISTADO[CODIGOS],LISTADO[UBICACIÓN]),"NO EXISTE")</f>
        <v/>
      </c>
      <c r="F970" s="56">
        <f>SUMIFS(ENTRADAS[CANTIDAD],ENTRADAS[CODIGO],PRODUCTOS[[#This Row],[CODIGO]])</f>
        <v/>
      </c>
      <c r="G970" s="56">
        <f>SUMIFS(SALIDAS[CANTIDAD],SALIDAS[CODIGO],PRODUCTOS[[#This Row],[CODIGO]])</f>
        <v/>
      </c>
      <c r="H970" s="56">
        <f>PRODUCTOS[[#This Row],[ENTRADAS]]-PRODUCTOS[[#This Row],[SALIDAS ]]</f>
        <v/>
      </c>
      <c r="I970" s="76" t="n">
        <v>0</v>
      </c>
      <c r="J970">
        <f>IF(PRODUCTOS[[#This Row],[STOCK]]&lt;0,"NEGATIVO",IF(PRODUCTOS[[#This Row],[STOCK]]=0,"SIN STOCK",IF(PRODUCTOS[[#This Row],[STOCK]]&lt;=PRODUCTOS[[#This Row],[STOCK MÍN.]],"BAJO","OK")))</f>
        <v/>
      </c>
      <c r="K9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71" hidden="1" s="11">
      <c r="A971" s="18" t="n">
        <v>956</v>
      </c>
      <c r="B971" s="56" t="inlineStr">
        <is>
          <t>00201-FER</t>
        </is>
      </c>
      <c r="C971" s="56">
        <f>IFERROR(_xlfn.XLOOKUP(PRODUCTOS[[#This Row],[CODIGO]],LISTADO[CODIGOS],LISTADO[CATEGORIA]),"NO EXISTE")</f>
        <v/>
      </c>
      <c r="D971" s="56">
        <f>IFERROR(_xlfn.XLOOKUP(PRODUCTOS[[#This Row],[CODIGO]],LISTADO[CODIGOS],LISTADO[PRODUCTOS]),"NO EXISTE")</f>
        <v/>
      </c>
      <c r="E971" s="56">
        <f>IFERROR(_xlfn.XLOOKUP(PRODUCTOS[[#This Row],[CODIGO]],LISTADO[CODIGOS],LISTADO[UBICACIÓN]),"NO EXISTE")</f>
        <v/>
      </c>
      <c r="F971" s="56">
        <f>SUMIFS(ENTRADAS[CANTIDAD],ENTRADAS[CODIGO],PRODUCTOS[[#This Row],[CODIGO]])</f>
        <v/>
      </c>
      <c r="G971" s="56">
        <f>SUMIFS(SALIDAS[CANTIDAD],SALIDAS[CODIGO],PRODUCTOS[[#This Row],[CODIGO]])</f>
        <v/>
      </c>
      <c r="H971" s="56">
        <f>PRODUCTOS[[#This Row],[ENTRADAS]]-PRODUCTOS[[#This Row],[SALIDAS ]]</f>
        <v/>
      </c>
      <c r="I971" s="76" t="n">
        <v>0</v>
      </c>
      <c r="J971">
        <f>IF(PRODUCTOS[[#This Row],[STOCK]]&lt;0,"NEGATIVO",IF(PRODUCTOS[[#This Row],[STOCK]]=0,"SIN STOCK",IF(PRODUCTOS[[#This Row],[STOCK]]&lt;=PRODUCTOS[[#This Row],[STOCK MÍN.]],"BAJO","OK")))</f>
        <v/>
      </c>
      <c r="K9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72" hidden="1" s="11">
      <c r="A972" s="18" t="n">
        <v>957</v>
      </c>
      <c r="B972" s="56" t="inlineStr">
        <is>
          <t>00082-ELE</t>
        </is>
      </c>
      <c r="C972" s="56">
        <f>IFERROR(_xlfn.XLOOKUP(PRODUCTOS[[#This Row],[CODIGO]],LISTADO[CODIGOS],LISTADO[CATEGORIA]),"NO EXISTE")</f>
        <v/>
      </c>
      <c r="D972" s="56">
        <f>IFERROR(_xlfn.XLOOKUP(PRODUCTOS[[#This Row],[CODIGO]],LISTADO[CODIGOS],LISTADO[PRODUCTOS]),"NO EXISTE")</f>
        <v/>
      </c>
      <c r="E972" s="56">
        <f>IFERROR(_xlfn.XLOOKUP(PRODUCTOS[[#This Row],[CODIGO]],LISTADO[CODIGOS],LISTADO[UBICACIÓN]),"NO EXISTE")</f>
        <v/>
      </c>
      <c r="F972" s="56">
        <f>SUMIFS(ENTRADAS[CANTIDAD],ENTRADAS[CODIGO],PRODUCTOS[[#This Row],[CODIGO]])</f>
        <v/>
      </c>
      <c r="G972" s="56">
        <f>SUMIFS(SALIDAS[CANTIDAD],SALIDAS[CODIGO],PRODUCTOS[[#This Row],[CODIGO]])</f>
        <v/>
      </c>
      <c r="H972" s="56">
        <f>PRODUCTOS[[#This Row],[ENTRADAS]]-PRODUCTOS[[#This Row],[SALIDAS ]]</f>
        <v/>
      </c>
      <c r="I972" s="76" t="n">
        <v>0</v>
      </c>
      <c r="J972">
        <f>IF(PRODUCTOS[[#This Row],[STOCK]]&lt;0,"NEGATIVO",IF(PRODUCTOS[[#This Row],[STOCK]]=0,"SIN STOCK",IF(PRODUCTOS[[#This Row],[STOCK]]&lt;=PRODUCTOS[[#This Row],[STOCK MÍN.]],"BAJO","OK")))</f>
        <v/>
      </c>
      <c r="K9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73">
      <c r="A973" s="18" t="n">
        <v>958</v>
      </c>
      <c r="B973" s="56" t="inlineStr">
        <is>
          <t>00202-FER</t>
        </is>
      </c>
      <c r="C973" s="56">
        <f>IFERROR(_xlfn.XLOOKUP(PRODUCTOS[[#This Row],[CODIGO]],LISTADO[CODIGOS],LISTADO[CATEGORIA]),"NO EXISTE")</f>
        <v/>
      </c>
      <c r="D973" s="56">
        <f>IFERROR(_xlfn.XLOOKUP(PRODUCTOS[[#This Row],[CODIGO]],LISTADO[CODIGOS],LISTADO[PRODUCTOS]),"NO EXISTE")</f>
        <v/>
      </c>
      <c r="E973" s="56">
        <f>IFERROR(_xlfn.XLOOKUP(PRODUCTOS[[#This Row],[CODIGO]],LISTADO[CODIGOS],LISTADO[UBICACIÓN]),"NO EXISTE")</f>
        <v/>
      </c>
      <c r="F973" s="56">
        <f>SUMIFS(ENTRADAS[CANTIDAD],ENTRADAS[CODIGO],PRODUCTOS[[#This Row],[CODIGO]])</f>
        <v/>
      </c>
      <c r="G973" s="56">
        <f>SUMIFS(SALIDAS[CANTIDAD],SALIDAS[CODIGO],PRODUCTOS[[#This Row],[CODIGO]])</f>
        <v/>
      </c>
      <c r="H973" s="56">
        <f>PRODUCTOS[[#This Row],[ENTRADAS]]-PRODUCTOS[[#This Row],[SALIDAS ]]</f>
        <v/>
      </c>
      <c r="I973" s="76" t="n">
        <v>0</v>
      </c>
      <c r="J973">
        <f>IF(PRODUCTOS[[#This Row],[STOCK]]&lt;0,"NEGATIVO",IF(PRODUCTOS[[#This Row],[STOCK]]=0,"SIN STOCK",IF(PRODUCTOS[[#This Row],[STOCK]]&lt;=PRODUCTOS[[#This Row],[STOCK MÍN.]],"BAJO","OK")))</f>
        <v/>
      </c>
      <c r="K9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74">
      <c r="A974" s="18" t="n">
        <v>959</v>
      </c>
      <c r="B974" s="56" t="inlineStr">
        <is>
          <t>00083-ELE</t>
        </is>
      </c>
      <c r="C974" s="56">
        <f>IFERROR(_xlfn.XLOOKUP(PRODUCTOS[[#This Row],[CODIGO]],LISTADO[CODIGOS],LISTADO[CATEGORIA]),"NO EXISTE")</f>
        <v/>
      </c>
      <c r="D974" s="56">
        <f>IFERROR(_xlfn.XLOOKUP(PRODUCTOS[[#This Row],[CODIGO]],LISTADO[CODIGOS],LISTADO[PRODUCTOS]),"NO EXISTE")</f>
        <v/>
      </c>
      <c r="E974" s="56">
        <f>IFERROR(_xlfn.XLOOKUP(PRODUCTOS[[#This Row],[CODIGO]],LISTADO[CODIGOS],LISTADO[UBICACIÓN]),"NO EXISTE")</f>
        <v/>
      </c>
      <c r="F974" s="56">
        <f>SUMIFS(ENTRADAS[CANTIDAD],ENTRADAS[CODIGO],PRODUCTOS[[#This Row],[CODIGO]])</f>
        <v/>
      </c>
      <c r="G974" s="56">
        <f>SUMIFS(SALIDAS[CANTIDAD],SALIDAS[CODIGO],PRODUCTOS[[#This Row],[CODIGO]])</f>
        <v/>
      </c>
      <c r="H974" s="56">
        <f>PRODUCTOS[[#This Row],[ENTRADAS]]-PRODUCTOS[[#This Row],[SALIDAS ]]</f>
        <v/>
      </c>
      <c r="I974" s="76" t="n">
        <v>0</v>
      </c>
      <c r="J974">
        <f>IF(PRODUCTOS[[#This Row],[STOCK]]&lt;0,"NEGATIVO",IF(PRODUCTOS[[#This Row],[STOCK]]=0,"SIN STOCK",IF(PRODUCTOS[[#This Row],[STOCK]]&lt;=PRODUCTOS[[#This Row],[STOCK MÍN.]],"BAJO","OK")))</f>
        <v/>
      </c>
      <c r="K9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75">
      <c r="A975" s="18" t="n">
        <v>960</v>
      </c>
      <c r="B975" s="56" t="inlineStr">
        <is>
          <t>00084-ELE</t>
        </is>
      </c>
      <c r="C975" s="56">
        <f>IFERROR(_xlfn.XLOOKUP(PRODUCTOS[[#This Row],[CODIGO]],LISTADO[CODIGOS],LISTADO[CATEGORIA]),"NO EXISTE")</f>
        <v/>
      </c>
      <c r="D975" s="56">
        <f>IFERROR(_xlfn.XLOOKUP(PRODUCTOS[[#This Row],[CODIGO]],LISTADO[CODIGOS],LISTADO[PRODUCTOS]),"NO EXISTE")</f>
        <v/>
      </c>
      <c r="E975" s="56">
        <f>IFERROR(_xlfn.XLOOKUP(PRODUCTOS[[#This Row],[CODIGO]],LISTADO[CODIGOS],LISTADO[UBICACIÓN]),"NO EXISTE")</f>
        <v/>
      </c>
      <c r="F975" s="56">
        <f>SUMIFS(ENTRADAS[CANTIDAD],ENTRADAS[CODIGO],PRODUCTOS[[#This Row],[CODIGO]])</f>
        <v/>
      </c>
      <c r="G975" s="56">
        <f>SUMIFS(SALIDAS[CANTIDAD],SALIDAS[CODIGO],PRODUCTOS[[#This Row],[CODIGO]])</f>
        <v/>
      </c>
      <c r="H975" s="56">
        <f>PRODUCTOS[[#This Row],[ENTRADAS]]-PRODUCTOS[[#This Row],[SALIDAS ]]</f>
        <v/>
      </c>
      <c r="I975" s="76" t="n">
        <v>0</v>
      </c>
      <c r="J975">
        <f>IF(PRODUCTOS[[#This Row],[STOCK]]&lt;0,"NEGATIVO",IF(PRODUCTOS[[#This Row],[STOCK]]=0,"SIN STOCK",IF(PRODUCTOS[[#This Row],[STOCK]]&lt;=PRODUCTOS[[#This Row],[STOCK MÍN.]],"BAJO","OK")))</f>
        <v/>
      </c>
      <c r="K9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76">
      <c r="A976" s="18" t="n">
        <v>961</v>
      </c>
      <c r="B976" s="56" t="inlineStr">
        <is>
          <t>00085-ELE</t>
        </is>
      </c>
      <c r="C976" s="56">
        <f>IFERROR(_xlfn.XLOOKUP(PRODUCTOS[[#This Row],[CODIGO]],LISTADO[CODIGOS],LISTADO[CATEGORIA]),"NO EXISTE")</f>
        <v/>
      </c>
      <c r="D976" s="56">
        <f>IFERROR(_xlfn.XLOOKUP(PRODUCTOS[[#This Row],[CODIGO]],LISTADO[CODIGOS],LISTADO[PRODUCTOS]),"NO EXISTE")</f>
        <v/>
      </c>
      <c r="E976" s="56">
        <f>IFERROR(_xlfn.XLOOKUP(PRODUCTOS[[#This Row],[CODIGO]],LISTADO[CODIGOS],LISTADO[UBICACIÓN]),"NO EXISTE")</f>
        <v/>
      </c>
      <c r="F976" s="56">
        <f>SUMIFS(ENTRADAS[CANTIDAD],ENTRADAS[CODIGO],PRODUCTOS[[#This Row],[CODIGO]])</f>
        <v/>
      </c>
      <c r="G976" s="56">
        <f>SUMIFS(SALIDAS[CANTIDAD],SALIDAS[CODIGO],PRODUCTOS[[#This Row],[CODIGO]])</f>
        <v/>
      </c>
      <c r="H976" s="56">
        <f>PRODUCTOS[[#This Row],[ENTRADAS]]-PRODUCTOS[[#This Row],[SALIDAS ]]</f>
        <v/>
      </c>
      <c r="I976" s="76" t="n">
        <v>0</v>
      </c>
      <c r="J976">
        <f>IF(PRODUCTOS[[#This Row],[STOCK]]&lt;0,"NEGATIVO",IF(PRODUCTOS[[#This Row],[STOCK]]=0,"SIN STOCK",IF(PRODUCTOS[[#This Row],[STOCK]]&lt;=PRODUCTOS[[#This Row],[STOCK MÍN.]],"BAJO","OK")))</f>
        <v/>
      </c>
      <c r="K9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77">
      <c r="A977" s="18" t="n">
        <v>962</v>
      </c>
      <c r="B977" s="56" t="inlineStr">
        <is>
          <t>00086-ELE</t>
        </is>
      </c>
      <c r="C977" s="56">
        <f>IFERROR(_xlfn.XLOOKUP(PRODUCTOS[[#This Row],[CODIGO]],LISTADO[CODIGOS],LISTADO[CATEGORIA]),"NO EXISTE")</f>
        <v/>
      </c>
      <c r="D977" s="56">
        <f>IFERROR(_xlfn.XLOOKUP(PRODUCTOS[[#This Row],[CODIGO]],LISTADO[CODIGOS],LISTADO[PRODUCTOS]),"NO EXISTE")</f>
        <v/>
      </c>
      <c r="E977" s="56">
        <f>IFERROR(_xlfn.XLOOKUP(PRODUCTOS[[#This Row],[CODIGO]],LISTADO[CODIGOS],LISTADO[UBICACIÓN]),"NO EXISTE")</f>
        <v/>
      </c>
      <c r="F977" s="56">
        <f>SUMIFS(ENTRADAS[CANTIDAD],ENTRADAS[CODIGO],PRODUCTOS[[#This Row],[CODIGO]])</f>
        <v/>
      </c>
      <c r="G977" s="56">
        <f>SUMIFS(SALIDAS[CANTIDAD],SALIDAS[CODIGO],PRODUCTOS[[#This Row],[CODIGO]])</f>
        <v/>
      </c>
      <c r="H977" s="56">
        <f>PRODUCTOS[[#This Row],[ENTRADAS]]-PRODUCTOS[[#This Row],[SALIDAS ]]</f>
        <v/>
      </c>
      <c r="I977" s="76" t="n">
        <v>0</v>
      </c>
      <c r="J977">
        <f>IF(PRODUCTOS[[#This Row],[STOCK]]&lt;0,"NEGATIVO",IF(PRODUCTOS[[#This Row],[STOCK]]=0,"SIN STOCK",IF(PRODUCTOS[[#This Row],[STOCK]]&lt;=PRODUCTOS[[#This Row],[STOCK MÍN.]],"BAJO","OK")))</f>
        <v/>
      </c>
      <c r="K9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78">
      <c r="A978" s="18" t="n">
        <v>963</v>
      </c>
      <c r="B978" s="56" t="inlineStr">
        <is>
          <t>00087-ELE</t>
        </is>
      </c>
      <c r="C978" s="56">
        <f>IFERROR(_xlfn.XLOOKUP(PRODUCTOS[[#This Row],[CODIGO]],LISTADO[CODIGOS],LISTADO[CATEGORIA]),"NO EXISTE")</f>
        <v/>
      </c>
      <c r="D978" s="56">
        <f>IFERROR(_xlfn.XLOOKUP(PRODUCTOS[[#This Row],[CODIGO]],LISTADO[CODIGOS],LISTADO[PRODUCTOS]),"NO EXISTE")</f>
        <v/>
      </c>
      <c r="E978" s="56">
        <f>IFERROR(_xlfn.XLOOKUP(PRODUCTOS[[#This Row],[CODIGO]],LISTADO[CODIGOS],LISTADO[UBICACIÓN]),"NO EXISTE")</f>
        <v/>
      </c>
      <c r="F978" s="56">
        <f>SUMIFS(ENTRADAS[CANTIDAD],ENTRADAS[CODIGO],PRODUCTOS[[#This Row],[CODIGO]])</f>
        <v/>
      </c>
      <c r="G978" s="56">
        <f>SUMIFS(SALIDAS[CANTIDAD],SALIDAS[CODIGO],PRODUCTOS[[#This Row],[CODIGO]])</f>
        <v/>
      </c>
      <c r="H978" s="56">
        <f>PRODUCTOS[[#This Row],[ENTRADAS]]-PRODUCTOS[[#This Row],[SALIDAS ]]</f>
        <v/>
      </c>
      <c r="I978" s="76" t="n">
        <v>0</v>
      </c>
      <c r="J978">
        <f>IF(PRODUCTOS[[#This Row],[STOCK]]&lt;0,"NEGATIVO",IF(PRODUCTOS[[#This Row],[STOCK]]=0,"SIN STOCK",IF(PRODUCTOS[[#This Row],[STOCK]]&lt;=PRODUCTOS[[#This Row],[STOCK MÍN.]],"BAJO","OK")))</f>
        <v/>
      </c>
      <c r="K9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79">
      <c r="A979" s="18" t="n">
        <v>964</v>
      </c>
      <c r="B979" s="56" t="inlineStr">
        <is>
          <t>00088-ELE</t>
        </is>
      </c>
      <c r="C979" s="56">
        <f>IFERROR(_xlfn.XLOOKUP(PRODUCTOS[[#This Row],[CODIGO]],LISTADO[CODIGOS],LISTADO[CATEGORIA]),"NO EXISTE")</f>
        <v/>
      </c>
      <c r="D979" s="56">
        <f>IFERROR(_xlfn.XLOOKUP(PRODUCTOS[[#This Row],[CODIGO]],LISTADO[CODIGOS],LISTADO[PRODUCTOS]),"NO EXISTE")</f>
        <v/>
      </c>
      <c r="E979" s="56">
        <f>IFERROR(_xlfn.XLOOKUP(PRODUCTOS[[#This Row],[CODIGO]],LISTADO[CODIGOS],LISTADO[UBICACIÓN]),"NO EXISTE")</f>
        <v/>
      </c>
      <c r="F979" s="56">
        <f>SUMIFS(ENTRADAS[CANTIDAD],ENTRADAS[CODIGO],PRODUCTOS[[#This Row],[CODIGO]])</f>
        <v/>
      </c>
      <c r="G979" s="56">
        <f>SUMIFS(SALIDAS[CANTIDAD],SALIDAS[CODIGO],PRODUCTOS[[#This Row],[CODIGO]])</f>
        <v/>
      </c>
      <c r="H979" s="56">
        <f>PRODUCTOS[[#This Row],[ENTRADAS]]-PRODUCTOS[[#This Row],[SALIDAS ]]</f>
        <v/>
      </c>
      <c r="I979" s="76" t="n">
        <v>0</v>
      </c>
      <c r="J979">
        <f>IF(PRODUCTOS[[#This Row],[STOCK]]&lt;0,"NEGATIVO",IF(PRODUCTOS[[#This Row],[STOCK]]=0,"SIN STOCK",IF(PRODUCTOS[[#This Row],[STOCK]]&lt;=PRODUCTOS[[#This Row],[STOCK MÍN.]],"BAJO","OK")))</f>
        <v/>
      </c>
      <c r="K9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80" hidden="1" s="11">
      <c r="A980" s="18" t="n">
        <v>965</v>
      </c>
      <c r="B980" s="56" t="inlineStr">
        <is>
          <t>00056-ILU</t>
        </is>
      </c>
      <c r="C980" s="56">
        <f>IFERROR(_xlfn.XLOOKUP(PRODUCTOS[[#This Row],[CODIGO]],LISTADO[CODIGOS],LISTADO[CATEGORIA]),"NO EXISTE")</f>
        <v/>
      </c>
      <c r="D980" s="56">
        <f>IFERROR(_xlfn.XLOOKUP(PRODUCTOS[[#This Row],[CODIGO]],LISTADO[CODIGOS],LISTADO[PRODUCTOS]),"NO EXISTE")</f>
        <v/>
      </c>
      <c r="E980" s="56">
        <f>IFERROR(_xlfn.XLOOKUP(PRODUCTOS[[#This Row],[CODIGO]],LISTADO[CODIGOS],LISTADO[UBICACIÓN]),"NO EXISTE")</f>
        <v/>
      </c>
      <c r="F980" s="56">
        <f>SUMIFS(ENTRADAS[CANTIDAD],ENTRADAS[CODIGO],PRODUCTOS[[#This Row],[CODIGO]])</f>
        <v/>
      </c>
      <c r="G980" s="56">
        <f>SUMIFS(SALIDAS[CANTIDAD],SALIDAS[CODIGO],PRODUCTOS[[#This Row],[CODIGO]])</f>
        <v/>
      </c>
      <c r="H980" s="56">
        <f>PRODUCTOS[[#This Row],[ENTRADAS]]-PRODUCTOS[[#This Row],[SALIDAS ]]</f>
        <v/>
      </c>
      <c r="I980" s="76" t="n">
        <v>0</v>
      </c>
      <c r="J980">
        <f>IF(PRODUCTOS[[#This Row],[STOCK]]&lt;0,"NEGATIVO",IF(PRODUCTOS[[#This Row],[STOCK]]=0,"SIN STOCK",IF(PRODUCTOS[[#This Row],[STOCK]]&lt;=PRODUCTOS[[#This Row],[STOCK MÍN.]],"BAJO","OK")))</f>
        <v/>
      </c>
      <c r="K9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81" hidden="1" s="11">
      <c r="A981" s="18" t="n">
        <v>966</v>
      </c>
      <c r="B981" s="56" t="inlineStr">
        <is>
          <t>00123-REF</t>
        </is>
      </c>
      <c r="C981" s="56">
        <f>IFERROR(_xlfn.XLOOKUP(PRODUCTOS[[#This Row],[CODIGO]],LISTADO[CODIGOS],LISTADO[CATEGORIA]),"NO EXISTE")</f>
        <v/>
      </c>
      <c r="D981" s="56">
        <f>IFERROR(_xlfn.XLOOKUP(PRODUCTOS[[#This Row],[CODIGO]],LISTADO[CODIGOS],LISTADO[PRODUCTOS]),"NO EXISTE")</f>
        <v/>
      </c>
      <c r="E981" s="56">
        <f>IFERROR(_xlfn.XLOOKUP(PRODUCTOS[[#This Row],[CODIGO]],LISTADO[CODIGOS],LISTADO[UBICACIÓN]),"NO EXISTE")</f>
        <v/>
      </c>
      <c r="F981" s="56">
        <f>SUMIFS(ENTRADAS[CANTIDAD],ENTRADAS[CODIGO],PRODUCTOS[[#This Row],[CODIGO]])</f>
        <v/>
      </c>
      <c r="G981" s="56">
        <f>SUMIFS(SALIDAS[CANTIDAD],SALIDAS[CODIGO],PRODUCTOS[[#This Row],[CODIGO]])</f>
        <v/>
      </c>
      <c r="H981" s="56">
        <f>PRODUCTOS[[#This Row],[ENTRADAS]]-PRODUCTOS[[#This Row],[SALIDAS ]]</f>
        <v/>
      </c>
      <c r="I981" s="76" t="n">
        <v>0</v>
      </c>
      <c r="J981">
        <f>IF(PRODUCTOS[[#This Row],[STOCK]]&lt;0,"NEGATIVO",IF(PRODUCTOS[[#This Row],[STOCK]]=0,"SIN STOCK",IF(PRODUCTOS[[#This Row],[STOCK]]&lt;=PRODUCTOS[[#This Row],[STOCK MÍN.]],"BAJO","OK")))</f>
        <v/>
      </c>
      <c r="K9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82" hidden="1" s="11">
      <c r="A982" s="18" t="n">
        <v>967</v>
      </c>
      <c r="B982" s="56" t="inlineStr">
        <is>
          <t>00203-FER</t>
        </is>
      </c>
      <c r="C982" s="56">
        <f>IFERROR(_xlfn.XLOOKUP(PRODUCTOS[[#This Row],[CODIGO]],LISTADO[CODIGOS],LISTADO[CATEGORIA]),"NO EXISTE")</f>
        <v/>
      </c>
      <c r="D982" s="56">
        <f>IFERROR(_xlfn.XLOOKUP(PRODUCTOS[[#This Row],[CODIGO]],LISTADO[CODIGOS],LISTADO[PRODUCTOS]),"NO EXISTE")</f>
        <v/>
      </c>
      <c r="E982" s="56">
        <f>IFERROR(_xlfn.XLOOKUP(PRODUCTOS[[#This Row],[CODIGO]],LISTADO[CODIGOS],LISTADO[UBICACIÓN]),"NO EXISTE")</f>
        <v/>
      </c>
      <c r="F982" s="56">
        <f>SUMIFS(ENTRADAS[CANTIDAD],ENTRADAS[CODIGO],PRODUCTOS[[#This Row],[CODIGO]])</f>
        <v/>
      </c>
      <c r="G982" s="56">
        <f>SUMIFS(SALIDAS[CANTIDAD],SALIDAS[CODIGO],PRODUCTOS[[#This Row],[CODIGO]])</f>
        <v/>
      </c>
      <c r="H982" s="56">
        <f>PRODUCTOS[[#This Row],[ENTRADAS]]-PRODUCTOS[[#This Row],[SALIDAS ]]</f>
        <v/>
      </c>
      <c r="I982" s="76" t="n">
        <v>0</v>
      </c>
      <c r="J982">
        <f>IF(PRODUCTOS[[#This Row],[STOCK]]&lt;0,"NEGATIVO",IF(PRODUCTOS[[#This Row],[STOCK]]=0,"SIN STOCK",IF(PRODUCTOS[[#This Row],[STOCK]]&lt;=PRODUCTOS[[#This Row],[STOCK MÍN.]],"BAJO","OK")))</f>
        <v/>
      </c>
      <c r="K9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83" hidden="1" s="11">
      <c r="A983" s="18" t="n">
        <v>968</v>
      </c>
      <c r="B983" s="56" t="inlineStr">
        <is>
          <t>00062-PLM</t>
        </is>
      </c>
      <c r="C983" s="56">
        <f>IFERROR(_xlfn.XLOOKUP(PRODUCTOS[[#This Row],[CODIGO]],LISTADO[CODIGOS],LISTADO[CATEGORIA]),"NO EXISTE")</f>
        <v/>
      </c>
      <c r="D983" s="56">
        <f>IFERROR(_xlfn.XLOOKUP(PRODUCTOS[[#This Row],[CODIGO]],LISTADO[CODIGOS],LISTADO[PRODUCTOS]),"NO EXISTE")</f>
        <v/>
      </c>
      <c r="E983" s="56">
        <f>IFERROR(_xlfn.XLOOKUP(PRODUCTOS[[#This Row],[CODIGO]],LISTADO[CODIGOS],LISTADO[UBICACIÓN]),"NO EXISTE")</f>
        <v/>
      </c>
      <c r="F983" s="56">
        <f>SUMIFS(ENTRADAS[CANTIDAD],ENTRADAS[CODIGO],PRODUCTOS[[#This Row],[CODIGO]])</f>
        <v/>
      </c>
      <c r="G983" s="56">
        <f>SUMIFS(SALIDAS[CANTIDAD],SALIDAS[CODIGO],PRODUCTOS[[#This Row],[CODIGO]])</f>
        <v/>
      </c>
      <c r="H983" s="56">
        <f>PRODUCTOS[[#This Row],[ENTRADAS]]-PRODUCTOS[[#This Row],[SALIDAS ]]</f>
        <v/>
      </c>
      <c r="I983" s="76" t="n">
        <v>0</v>
      </c>
      <c r="J983">
        <f>IF(PRODUCTOS[[#This Row],[STOCK]]&lt;0,"NEGATIVO",IF(PRODUCTOS[[#This Row],[STOCK]]=0,"SIN STOCK",IF(PRODUCTOS[[#This Row],[STOCK]]&lt;=PRODUCTOS[[#This Row],[STOCK MÍN.]],"BAJO","OK")))</f>
        <v/>
      </c>
      <c r="K9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84" hidden="1" s="11">
      <c r="A984" s="18" t="n">
        <v>969</v>
      </c>
      <c r="B984" s="56" t="inlineStr">
        <is>
          <t>00063-PLM</t>
        </is>
      </c>
      <c r="C984" s="56">
        <f>IFERROR(_xlfn.XLOOKUP(PRODUCTOS[[#This Row],[CODIGO]],LISTADO[CODIGOS],LISTADO[CATEGORIA]),"NO EXISTE")</f>
        <v/>
      </c>
      <c r="D984" s="56">
        <f>IFERROR(_xlfn.XLOOKUP(PRODUCTOS[[#This Row],[CODIGO]],LISTADO[CODIGOS],LISTADO[PRODUCTOS]),"NO EXISTE")</f>
        <v/>
      </c>
      <c r="E984" s="56">
        <f>IFERROR(_xlfn.XLOOKUP(PRODUCTOS[[#This Row],[CODIGO]],LISTADO[CODIGOS],LISTADO[UBICACIÓN]),"NO EXISTE")</f>
        <v/>
      </c>
      <c r="F984" s="56">
        <f>SUMIFS(ENTRADAS[CANTIDAD],ENTRADAS[CODIGO],PRODUCTOS[[#This Row],[CODIGO]])</f>
        <v/>
      </c>
      <c r="G984" s="56">
        <f>SUMIFS(SALIDAS[CANTIDAD],SALIDAS[CODIGO],PRODUCTOS[[#This Row],[CODIGO]])</f>
        <v/>
      </c>
      <c r="H984" s="56">
        <f>PRODUCTOS[[#This Row],[ENTRADAS]]-PRODUCTOS[[#This Row],[SALIDAS ]]</f>
        <v/>
      </c>
      <c r="I984" s="76" t="n">
        <v>0</v>
      </c>
      <c r="J984">
        <f>IF(PRODUCTOS[[#This Row],[STOCK]]&lt;0,"NEGATIVO",IF(PRODUCTOS[[#This Row],[STOCK]]=0,"SIN STOCK",IF(PRODUCTOS[[#This Row],[STOCK]]&lt;=PRODUCTOS[[#This Row],[STOCK MÍN.]],"BAJO","OK")))</f>
        <v/>
      </c>
      <c r="K9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85" hidden="1" s="11">
      <c r="A985" s="18" t="n">
        <v>970</v>
      </c>
      <c r="B985" s="56" t="inlineStr">
        <is>
          <t>00204-FER</t>
        </is>
      </c>
      <c r="C985" s="56">
        <f>IFERROR(_xlfn.XLOOKUP(PRODUCTOS[[#This Row],[CODIGO]],LISTADO[CODIGOS],LISTADO[CATEGORIA]),"NO EXISTE")</f>
        <v/>
      </c>
      <c r="D985" s="56">
        <f>IFERROR(_xlfn.XLOOKUP(PRODUCTOS[[#This Row],[CODIGO]],LISTADO[CODIGOS],LISTADO[PRODUCTOS]),"NO EXISTE")</f>
        <v/>
      </c>
      <c r="E985" s="56">
        <f>IFERROR(_xlfn.XLOOKUP(PRODUCTOS[[#This Row],[CODIGO]],LISTADO[CODIGOS],LISTADO[UBICACIÓN]),"NO EXISTE")</f>
        <v/>
      </c>
      <c r="F985" s="56">
        <f>SUMIFS(ENTRADAS[CANTIDAD],ENTRADAS[CODIGO],PRODUCTOS[[#This Row],[CODIGO]])</f>
        <v/>
      </c>
      <c r="G985" s="56">
        <f>SUMIFS(SALIDAS[CANTIDAD],SALIDAS[CODIGO],PRODUCTOS[[#This Row],[CODIGO]])</f>
        <v/>
      </c>
      <c r="H985" s="56">
        <f>PRODUCTOS[[#This Row],[ENTRADAS]]-PRODUCTOS[[#This Row],[SALIDAS ]]</f>
        <v/>
      </c>
      <c r="I985" s="76" t="n">
        <v>0</v>
      </c>
      <c r="J985">
        <f>IF(PRODUCTOS[[#This Row],[STOCK]]&lt;0,"NEGATIVO",IF(PRODUCTOS[[#This Row],[STOCK]]=0,"SIN STOCK",IF(PRODUCTOS[[#This Row],[STOCK]]&lt;=PRODUCTOS[[#This Row],[STOCK MÍN.]],"BAJO","OK")))</f>
        <v/>
      </c>
      <c r="K9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86" hidden="1" s="11">
      <c r="A986" s="18" t="n">
        <v>971</v>
      </c>
      <c r="B986" s="56" t="inlineStr">
        <is>
          <t>00078-ELC</t>
        </is>
      </c>
      <c r="C986" s="56">
        <f>IFERROR(_xlfn.XLOOKUP(PRODUCTOS[[#This Row],[CODIGO]],LISTADO[CODIGOS],LISTADO[CATEGORIA]),"NO EXISTE")</f>
        <v/>
      </c>
      <c r="D986" s="56">
        <f>IFERROR(_xlfn.XLOOKUP(PRODUCTOS[[#This Row],[CODIGO]],LISTADO[CODIGOS],LISTADO[PRODUCTOS]),"NO EXISTE")</f>
        <v/>
      </c>
      <c r="E986" s="56">
        <f>IFERROR(_xlfn.XLOOKUP(PRODUCTOS[[#This Row],[CODIGO]],LISTADO[CODIGOS],LISTADO[UBICACIÓN]),"NO EXISTE")</f>
        <v/>
      </c>
      <c r="F986" s="56">
        <f>SUMIFS(ENTRADAS[CANTIDAD],ENTRADAS[CODIGO],PRODUCTOS[[#This Row],[CODIGO]])</f>
        <v/>
      </c>
      <c r="G986" s="56">
        <f>SUMIFS(SALIDAS[CANTIDAD],SALIDAS[CODIGO],PRODUCTOS[[#This Row],[CODIGO]])</f>
        <v/>
      </c>
      <c r="H986" s="56">
        <f>PRODUCTOS[[#This Row],[ENTRADAS]]-PRODUCTOS[[#This Row],[SALIDAS ]]</f>
        <v/>
      </c>
      <c r="I986" s="76" t="n">
        <v>0</v>
      </c>
      <c r="J986">
        <f>IF(PRODUCTOS[[#This Row],[STOCK]]&lt;0,"NEGATIVO",IF(PRODUCTOS[[#This Row],[STOCK]]=0,"SIN STOCK",IF(PRODUCTOS[[#This Row],[STOCK]]&lt;=PRODUCTOS[[#This Row],[STOCK MÍN.]],"BAJO","OK")))</f>
        <v/>
      </c>
      <c r="K9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87" hidden="1" s="11">
      <c r="A987" s="18" t="n">
        <v>972</v>
      </c>
      <c r="B987" s="56" t="inlineStr">
        <is>
          <t>00205-FER</t>
        </is>
      </c>
      <c r="C987" s="56">
        <f>IFERROR(_xlfn.XLOOKUP(PRODUCTOS[[#This Row],[CODIGO]],LISTADO[CODIGOS],LISTADO[CATEGORIA]),"NO EXISTE")</f>
        <v/>
      </c>
      <c r="D987" s="56">
        <f>IFERROR(_xlfn.XLOOKUP(PRODUCTOS[[#This Row],[CODIGO]],LISTADO[CODIGOS],LISTADO[PRODUCTOS]),"NO EXISTE")</f>
        <v/>
      </c>
      <c r="E987" s="56">
        <f>IFERROR(_xlfn.XLOOKUP(PRODUCTOS[[#This Row],[CODIGO]],LISTADO[CODIGOS],LISTADO[UBICACIÓN]),"NO EXISTE")</f>
        <v/>
      </c>
      <c r="F987" s="56">
        <f>SUMIFS(ENTRADAS[CANTIDAD],ENTRADAS[CODIGO],PRODUCTOS[[#This Row],[CODIGO]])</f>
        <v/>
      </c>
      <c r="G987" s="56">
        <f>SUMIFS(SALIDAS[CANTIDAD],SALIDAS[CODIGO],PRODUCTOS[[#This Row],[CODIGO]])</f>
        <v/>
      </c>
      <c r="H987" s="56">
        <f>PRODUCTOS[[#This Row],[ENTRADAS]]-PRODUCTOS[[#This Row],[SALIDAS ]]</f>
        <v/>
      </c>
      <c r="I987" s="76" t="n">
        <v>0</v>
      </c>
      <c r="J987">
        <f>IF(PRODUCTOS[[#This Row],[STOCK]]&lt;0,"NEGATIVO",IF(PRODUCTOS[[#This Row],[STOCK]]=0,"SIN STOCK",IF(PRODUCTOS[[#This Row],[STOCK]]&lt;=PRODUCTOS[[#This Row],[STOCK MÍN.]],"BAJO","OK")))</f>
        <v/>
      </c>
      <c r="K9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88">
      <c r="A988" s="18" t="n">
        <v>973</v>
      </c>
      <c r="B988" s="56" t="inlineStr">
        <is>
          <t>00089-ELE</t>
        </is>
      </c>
      <c r="C988" s="56">
        <f>IFERROR(_xlfn.XLOOKUP(PRODUCTOS[[#This Row],[CODIGO]],LISTADO[CODIGOS],LISTADO[CATEGORIA]),"NO EXISTE")</f>
        <v/>
      </c>
      <c r="D988" s="56">
        <f>IFERROR(_xlfn.XLOOKUP(PRODUCTOS[[#This Row],[CODIGO]],LISTADO[CODIGOS],LISTADO[PRODUCTOS]),"NO EXISTE")</f>
        <v/>
      </c>
      <c r="E988" s="56">
        <f>IFERROR(_xlfn.XLOOKUP(PRODUCTOS[[#This Row],[CODIGO]],LISTADO[CODIGOS],LISTADO[UBICACIÓN]),"NO EXISTE")</f>
        <v/>
      </c>
      <c r="F988" s="56">
        <f>SUMIFS(ENTRADAS[CANTIDAD],ENTRADAS[CODIGO],PRODUCTOS[[#This Row],[CODIGO]])</f>
        <v/>
      </c>
      <c r="G988" s="56">
        <f>SUMIFS(SALIDAS[CANTIDAD],SALIDAS[CODIGO],PRODUCTOS[[#This Row],[CODIGO]])</f>
        <v/>
      </c>
      <c r="H988" s="56">
        <f>PRODUCTOS[[#This Row],[ENTRADAS]]-PRODUCTOS[[#This Row],[SALIDAS ]]</f>
        <v/>
      </c>
      <c r="I988" s="76" t="n">
        <v>0</v>
      </c>
      <c r="J988">
        <f>IF(PRODUCTOS[[#This Row],[STOCK]]&lt;0,"NEGATIVO",IF(PRODUCTOS[[#This Row],[STOCK]]=0,"SIN STOCK",IF(PRODUCTOS[[#This Row],[STOCK]]&lt;=PRODUCTOS[[#This Row],[STOCK MÍN.]],"BAJO","OK")))</f>
        <v/>
      </c>
      <c r="K9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89">
      <c r="A989" s="18" t="n">
        <v>974</v>
      </c>
      <c r="B989" s="56" t="inlineStr">
        <is>
          <t>00090-ELE</t>
        </is>
      </c>
      <c r="C989" s="56">
        <f>IFERROR(_xlfn.XLOOKUP(PRODUCTOS[[#This Row],[CODIGO]],LISTADO[CODIGOS],LISTADO[CATEGORIA]),"NO EXISTE")</f>
        <v/>
      </c>
      <c r="D989" s="56">
        <f>IFERROR(_xlfn.XLOOKUP(PRODUCTOS[[#This Row],[CODIGO]],LISTADO[CODIGOS],LISTADO[PRODUCTOS]),"NO EXISTE")</f>
        <v/>
      </c>
      <c r="E989" s="56">
        <f>IFERROR(_xlfn.XLOOKUP(PRODUCTOS[[#This Row],[CODIGO]],LISTADO[CODIGOS],LISTADO[UBICACIÓN]),"NO EXISTE")</f>
        <v/>
      </c>
      <c r="F989" s="56">
        <f>SUMIFS(ENTRADAS[CANTIDAD],ENTRADAS[CODIGO],PRODUCTOS[[#This Row],[CODIGO]])</f>
        <v/>
      </c>
      <c r="G989" s="56">
        <f>SUMIFS(SALIDAS[CANTIDAD],SALIDAS[CODIGO],PRODUCTOS[[#This Row],[CODIGO]])</f>
        <v/>
      </c>
      <c r="H989" s="56">
        <f>PRODUCTOS[[#This Row],[ENTRADAS]]-PRODUCTOS[[#This Row],[SALIDAS ]]</f>
        <v/>
      </c>
      <c r="I989" s="76" t="n">
        <v>0</v>
      </c>
      <c r="J989">
        <f>IF(PRODUCTOS[[#This Row],[STOCK]]&lt;0,"NEGATIVO",IF(PRODUCTOS[[#This Row],[STOCK]]=0,"SIN STOCK",IF(PRODUCTOS[[#This Row],[STOCK]]&lt;=PRODUCTOS[[#This Row],[STOCK MÍN.]],"BAJO","OK")))</f>
        <v/>
      </c>
      <c r="K9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90" hidden="1" s="11">
      <c r="A990" s="18" t="n">
        <v>975</v>
      </c>
      <c r="B990" s="56" t="inlineStr">
        <is>
          <t>00124-REF</t>
        </is>
      </c>
      <c r="C990" s="56">
        <f>IFERROR(_xlfn.XLOOKUP(PRODUCTOS[[#This Row],[CODIGO]],LISTADO[CODIGOS],LISTADO[CATEGORIA]),"NO EXISTE")</f>
        <v/>
      </c>
      <c r="D990" s="56">
        <f>IFERROR(_xlfn.XLOOKUP(PRODUCTOS[[#This Row],[CODIGO]],LISTADO[CODIGOS],LISTADO[PRODUCTOS]),"NO EXISTE")</f>
        <v/>
      </c>
      <c r="E990" s="56">
        <f>IFERROR(_xlfn.XLOOKUP(PRODUCTOS[[#This Row],[CODIGO]],LISTADO[CODIGOS],LISTADO[UBICACIÓN]),"NO EXISTE")</f>
        <v/>
      </c>
      <c r="F990" s="56">
        <f>SUMIFS(ENTRADAS[CANTIDAD],ENTRADAS[CODIGO],PRODUCTOS[[#This Row],[CODIGO]])</f>
        <v/>
      </c>
      <c r="G990" s="56">
        <f>SUMIFS(SALIDAS[CANTIDAD],SALIDAS[CODIGO],PRODUCTOS[[#This Row],[CODIGO]])</f>
        <v/>
      </c>
      <c r="H990" s="56">
        <f>PRODUCTOS[[#This Row],[ENTRADAS]]-PRODUCTOS[[#This Row],[SALIDAS ]]</f>
        <v/>
      </c>
      <c r="I990" s="76" t="n">
        <v>0</v>
      </c>
      <c r="J990">
        <f>IF(PRODUCTOS[[#This Row],[STOCK]]&lt;0,"NEGATIVO",IF(PRODUCTOS[[#This Row],[STOCK]]=0,"SIN STOCK",IF(PRODUCTOS[[#This Row],[STOCK]]&lt;=PRODUCTOS[[#This Row],[STOCK MÍN.]],"BAJO","OK")))</f>
        <v/>
      </c>
      <c r="K9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91" hidden="1" s="11">
      <c r="A991" s="18" t="n">
        <v>976</v>
      </c>
      <c r="B991" s="56" t="inlineStr">
        <is>
          <t>00125-REF</t>
        </is>
      </c>
      <c r="C991" s="56">
        <f>IFERROR(_xlfn.XLOOKUP(PRODUCTOS[[#This Row],[CODIGO]],LISTADO[CODIGOS],LISTADO[CATEGORIA]),"NO EXISTE")</f>
        <v/>
      </c>
      <c r="D991" s="56">
        <f>IFERROR(_xlfn.XLOOKUP(PRODUCTOS[[#This Row],[CODIGO]],LISTADO[CODIGOS],LISTADO[PRODUCTOS]),"NO EXISTE")</f>
        <v/>
      </c>
      <c r="E991" s="56">
        <f>IFERROR(_xlfn.XLOOKUP(PRODUCTOS[[#This Row],[CODIGO]],LISTADO[CODIGOS],LISTADO[UBICACIÓN]),"NO EXISTE")</f>
        <v/>
      </c>
      <c r="F991" s="56">
        <f>SUMIFS(ENTRADAS[CANTIDAD],ENTRADAS[CODIGO],PRODUCTOS[[#This Row],[CODIGO]])</f>
        <v/>
      </c>
      <c r="G991" s="56">
        <f>SUMIFS(SALIDAS[CANTIDAD],SALIDAS[CODIGO],PRODUCTOS[[#This Row],[CODIGO]])</f>
        <v/>
      </c>
      <c r="H991" s="56">
        <f>PRODUCTOS[[#This Row],[ENTRADAS]]-PRODUCTOS[[#This Row],[SALIDAS ]]</f>
        <v/>
      </c>
      <c r="I991" s="76" t="n">
        <v>0</v>
      </c>
      <c r="J991">
        <f>IF(PRODUCTOS[[#This Row],[STOCK]]&lt;0,"NEGATIVO",IF(PRODUCTOS[[#This Row],[STOCK]]=0,"SIN STOCK",IF(PRODUCTOS[[#This Row],[STOCK]]&lt;=PRODUCTOS[[#This Row],[STOCK MÍN.]],"BAJO","OK")))</f>
        <v/>
      </c>
      <c r="K9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92" hidden="1" s="11">
      <c r="A992" s="18" t="n">
        <v>977</v>
      </c>
      <c r="B992" s="56" t="inlineStr">
        <is>
          <t>00079-ELC</t>
        </is>
      </c>
      <c r="C992" s="56">
        <f>IFERROR(_xlfn.XLOOKUP(PRODUCTOS[[#This Row],[CODIGO]],LISTADO[CODIGOS],LISTADO[CATEGORIA]),"NO EXISTE")</f>
        <v/>
      </c>
      <c r="D992" s="56">
        <f>IFERROR(_xlfn.XLOOKUP(PRODUCTOS[[#This Row],[CODIGO]],LISTADO[CODIGOS],LISTADO[PRODUCTOS]),"NO EXISTE")</f>
        <v/>
      </c>
      <c r="E992" s="56">
        <f>IFERROR(_xlfn.XLOOKUP(PRODUCTOS[[#This Row],[CODIGO]],LISTADO[CODIGOS],LISTADO[UBICACIÓN]),"NO EXISTE")</f>
        <v/>
      </c>
      <c r="F992" s="56">
        <f>SUMIFS(ENTRADAS[CANTIDAD],ENTRADAS[CODIGO],PRODUCTOS[[#This Row],[CODIGO]])</f>
        <v/>
      </c>
      <c r="G992" s="56">
        <f>SUMIFS(SALIDAS[CANTIDAD],SALIDAS[CODIGO],PRODUCTOS[[#This Row],[CODIGO]])</f>
        <v/>
      </c>
      <c r="H992" s="56">
        <f>PRODUCTOS[[#This Row],[ENTRADAS]]-PRODUCTOS[[#This Row],[SALIDAS ]]</f>
        <v/>
      </c>
      <c r="I992" s="76" t="n">
        <v>0</v>
      </c>
      <c r="J992">
        <f>IF(PRODUCTOS[[#This Row],[STOCK]]&lt;0,"NEGATIVO",IF(PRODUCTOS[[#This Row],[STOCK]]=0,"SIN STOCK",IF(PRODUCTOS[[#This Row],[STOCK]]&lt;=PRODUCTOS[[#This Row],[STOCK MÍN.]],"BAJO","OK")))</f>
        <v/>
      </c>
      <c r="K9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93" hidden="1" s="11">
      <c r="A993" s="18" t="n">
        <v>978</v>
      </c>
      <c r="B993" s="56" t="inlineStr">
        <is>
          <t>00017-AUT</t>
        </is>
      </c>
      <c r="C993" s="56">
        <f>IFERROR(_xlfn.XLOOKUP(PRODUCTOS[[#This Row],[CODIGO]],LISTADO[CODIGOS],LISTADO[CATEGORIA]),"NO EXISTE")</f>
        <v/>
      </c>
      <c r="D993" s="56">
        <f>IFERROR(_xlfn.XLOOKUP(PRODUCTOS[[#This Row],[CODIGO]],LISTADO[CODIGOS],LISTADO[PRODUCTOS]),"NO EXISTE")</f>
        <v/>
      </c>
      <c r="E993" s="56">
        <f>IFERROR(_xlfn.XLOOKUP(PRODUCTOS[[#This Row],[CODIGO]],LISTADO[CODIGOS],LISTADO[UBICACIÓN]),"NO EXISTE")</f>
        <v/>
      </c>
      <c r="F993" s="56">
        <f>SUMIFS(ENTRADAS[CANTIDAD],ENTRADAS[CODIGO],PRODUCTOS[[#This Row],[CODIGO]])</f>
        <v/>
      </c>
      <c r="G993" s="56">
        <f>SUMIFS(SALIDAS[CANTIDAD],SALIDAS[CODIGO],PRODUCTOS[[#This Row],[CODIGO]])</f>
        <v/>
      </c>
      <c r="H993" s="56">
        <f>PRODUCTOS[[#This Row],[ENTRADAS]]-PRODUCTOS[[#This Row],[SALIDAS ]]</f>
        <v/>
      </c>
      <c r="I993" s="76" t="n">
        <v>0</v>
      </c>
      <c r="J993">
        <f>IF(PRODUCTOS[[#This Row],[STOCK]]&lt;0,"NEGATIVO",IF(PRODUCTOS[[#This Row],[STOCK]]=0,"SIN STOCK",IF(PRODUCTOS[[#This Row],[STOCK]]&lt;=PRODUCTOS[[#This Row],[STOCK MÍN.]],"BAJO","OK")))</f>
        <v/>
      </c>
      <c r="K9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94" hidden="1" s="11">
      <c r="A994" s="18" t="n">
        <v>636</v>
      </c>
      <c r="B994" s="56" t="inlineStr">
        <is>
          <t>00126-REF</t>
        </is>
      </c>
      <c r="C994" s="56">
        <f>IFERROR(_xlfn.XLOOKUP(PRODUCTOS[[#This Row],[CODIGO]],LISTADO[CODIGOS],LISTADO[CATEGORIA]),"NO EXISTE")</f>
        <v/>
      </c>
      <c r="D994" s="56">
        <f>IFERROR(_xlfn.XLOOKUP(PRODUCTOS[[#This Row],[CODIGO]],LISTADO[CODIGOS],LISTADO[PRODUCTOS]),"NO EXISTE")</f>
        <v/>
      </c>
      <c r="E994" s="56">
        <f>IFERROR(_xlfn.XLOOKUP(PRODUCTOS[[#This Row],[CODIGO]],LISTADO[CODIGOS],LISTADO[UBICACIÓN]),"NO EXISTE")</f>
        <v/>
      </c>
      <c r="F994" s="56">
        <f>SUMIFS(ENTRADAS[CANTIDAD],ENTRADAS[CODIGO],PRODUCTOS[[#This Row],[CODIGO]])</f>
        <v/>
      </c>
      <c r="G994" s="56">
        <f>SUMIFS(SALIDAS[CANTIDAD],SALIDAS[CODIGO],PRODUCTOS[[#This Row],[CODIGO]])</f>
        <v/>
      </c>
      <c r="H994" s="56">
        <f>PRODUCTOS[[#This Row],[ENTRADAS]]-PRODUCTOS[[#This Row],[SALIDAS ]]</f>
        <v/>
      </c>
      <c r="I994" s="76" t="n">
        <v>0</v>
      </c>
      <c r="J994">
        <f>IF(PRODUCTOS[[#This Row],[STOCK]]&lt;0,"NEGATIVO",IF(PRODUCTOS[[#This Row],[STOCK]]=0,"SIN STOCK",IF(PRODUCTOS[[#This Row],[STOCK]]&lt;=PRODUCTOS[[#This Row],[STOCK MÍN.]],"BAJO","OK")))</f>
        <v/>
      </c>
      <c r="K9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95" hidden="1" s="11">
      <c r="A995" s="18" t="n">
        <v>1055</v>
      </c>
      <c r="B995" s="56" t="inlineStr">
        <is>
          <t>00127-REF</t>
        </is>
      </c>
      <c r="C995" s="56">
        <f>IFERROR(_xlfn.XLOOKUP(PRODUCTOS[[#This Row],[CODIGO]],LISTADO[CODIGOS],LISTADO[CATEGORIA]),"NO EXISTE")</f>
        <v/>
      </c>
      <c r="D995" s="56">
        <f>IFERROR(_xlfn.XLOOKUP(PRODUCTOS[[#This Row],[CODIGO]],LISTADO[CODIGOS],LISTADO[PRODUCTOS]),"NO EXISTE")</f>
        <v/>
      </c>
      <c r="E995" s="56">
        <f>IFERROR(_xlfn.XLOOKUP(PRODUCTOS[[#This Row],[CODIGO]],LISTADO[CODIGOS],LISTADO[UBICACIÓN]),"NO EXISTE")</f>
        <v/>
      </c>
      <c r="F995" s="56">
        <f>SUMIFS(ENTRADAS[CANTIDAD],ENTRADAS[CODIGO],PRODUCTOS[[#This Row],[CODIGO]])</f>
        <v/>
      </c>
      <c r="G995" s="56">
        <f>SUMIFS(SALIDAS[CANTIDAD],SALIDAS[CODIGO],PRODUCTOS[[#This Row],[CODIGO]])</f>
        <v/>
      </c>
      <c r="H995" s="56">
        <f>PRODUCTOS[[#This Row],[ENTRADAS]]-PRODUCTOS[[#This Row],[SALIDAS ]]</f>
        <v/>
      </c>
      <c r="I995" s="76" t="n">
        <v>0</v>
      </c>
      <c r="J995">
        <f>IF(PRODUCTOS[[#This Row],[STOCK]]&lt;0,"NEGATIVO",IF(PRODUCTOS[[#This Row],[STOCK]]=0,"SIN STOCK",IF(PRODUCTOS[[#This Row],[STOCK]]&lt;=PRODUCTOS[[#This Row],[STOCK MÍN.]],"BAJO","OK")))</f>
        <v/>
      </c>
      <c r="K9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96" hidden="1" s="11">
      <c r="A996" s="18" t="n">
        <v>981</v>
      </c>
      <c r="B996" s="56" t="inlineStr">
        <is>
          <t>00057-ILU</t>
        </is>
      </c>
      <c r="C996" s="56">
        <f>IFERROR(_xlfn.XLOOKUP(PRODUCTOS[[#This Row],[CODIGO]],LISTADO[CODIGOS],LISTADO[CATEGORIA]),"NO EXISTE")</f>
        <v/>
      </c>
      <c r="D996" s="56">
        <f>IFERROR(_xlfn.XLOOKUP(PRODUCTOS[[#This Row],[CODIGO]],LISTADO[CODIGOS],LISTADO[PRODUCTOS]),"NO EXISTE")</f>
        <v/>
      </c>
      <c r="E996" s="56">
        <f>IFERROR(_xlfn.XLOOKUP(PRODUCTOS[[#This Row],[CODIGO]],LISTADO[CODIGOS],LISTADO[UBICACIÓN]),"NO EXISTE")</f>
        <v/>
      </c>
      <c r="F996" s="56">
        <f>SUMIFS(ENTRADAS[CANTIDAD],ENTRADAS[CODIGO],PRODUCTOS[[#This Row],[CODIGO]])</f>
        <v/>
      </c>
      <c r="G996" s="56">
        <f>SUMIFS(SALIDAS[CANTIDAD],SALIDAS[CODIGO],PRODUCTOS[[#This Row],[CODIGO]])</f>
        <v/>
      </c>
      <c r="H996" s="56">
        <f>PRODUCTOS[[#This Row],[ENTRADAS]]-PRODUCTOS[[#This Row],[SALIDAS ]]</f>
        <v/>
      </c>
      <c r="I996" s="76" t="n">
        <v>0</v>
      </c>
      <c r="J996">
        <f>IF(PRODUCTOS[[#This Row],[STOCK]]&lt;0,"NEGATIVO",IF(PRODUCTOS[[#This Row],[STOCK]]=0,"SIN STOCK",IF(PRODUCTOS[[#This Row],[STOCK]]&lt;=PRODUCTOS[[#This Row],[STOCK MÍN.]],"BAJO","OK")))</f>
        <v/>
      </c>
      <c r="K9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97" hidden="1" s="11">
      <c r="A997" s="18" t="n">
        <v>982</v>
      </c>
      <c r="B997" s="56" t="inlineStr">
        <is>
          <t>00018-AUT</t>
        </is>
      </c>
      <c r="C997" s="56">
        <f>IFERROR(_xlfn.XLOOKUP(PRODUCTOS[[#This Row],[CODIGO]],LISTADO[CODIGOS],LISTADO[CATEGORIA]),"NO EXISTE")</f>
        <v/>
      </c>
      <c r="D997" s="56">
        <f>IFERROR(_xlfn.XLOOKUP(PRODUCTOS[[#This Row],[CODIGO]],LISTADO[CODIGOS],LISTADO[PRODUCTOS]),"NO EXISTE")</f>
        <v/>
      </c>
      <c r="E997" s="56">
        <f>IFERROR(_xlfn.XLOOKUP(PRODUCTOS[[#This Row],[CODIGO]],LISTADO[CODIGOS],LISTADO[UBICACIÓN]),"NO EXISTE")</f>
        <v/>
      </c>
      <c r="F997" s="56">
        <f>SUMIFS(ENTRADAS[CANTIDAD],ENTRADAS[CODIGO],PRODUCTOS[[#This Row],[CODIGO]])</f>
        <v/>
      </c>
      <c r="G997" s="56">
        <f>SUMIFS(SALIDAS[CANTIDAD],SALIDAS[CODIGO],PRODUCTOS[[#This Row],[CODIGO]])</f>
        <v/>
      </c>
      <c r="H997" s="56">
        <f>PRODUCTOS[[#This Row],[ENTRADAS]]-PRODUCTOS[[#This Row],[SALIDAS ]]</f>
        <v/>
      </c>
      <c r="I997" s="76" t="n">
        <v>0</v>
      </c>
      <c r="J997">
        <f>IF(PRODUCTOS[[#This Row],[STOCK]]&lt;0,"NEGATIVO",IF(PRODUCTOS[[#This Row],[STOCK]]=0,"SIN STOCK",IF(PRODUCTOS[[#This Row],[STOCK]]&lt;=PRODUCTOS[[#This Row],[STOCK MÍN.]],"BAJO","OK")))</f>
        <v/>
      </c>
      <c r="K9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98" hidden="1" s="11">
      <c r="A998" s="18" t="n">
        <v>983</v>
      </c>
      <c r="B998" s="56" t="inlineStr">
        <is>
          <t>00019-AUT</t>
        </is>
      </c>
      <c r="C998" s="56">
        <f>IFERROR(_xlfn.XLOOKUP(PRODUCTOS[[#This Row],[CODIGO]],LISTADO[CODIGOS],LISTADO[CATEGORIA]),"NO EXISTE")</f>
        <v/>
      </c>
      <c r="D998" s="56">
        <f>IFERROR(_xlfn.XLOOKUP(PRODUCTOS[[#This Row],[CODIGO]],LISTADO[CODIGOS],LISTADO[PRODUCTOS]),"NO EXISTE")</f>
        <v/>
      </c>
      <c r="E998" s="56">
        <f>IFERROR(_xlfn.XLOOKUP(PRODUCTOS[[#This Row],[CODIGO]],LISTADO[CODIGOS],LISTADO[UBICACIÓN]),"NO EXISTE")</f>
        <v/>
      </c>
      <c r="F998" s="56">
        <f>SUMIFS(ENTRADAS[CANTIDAD],ENTRADAS[CODIGO],PRODUCTOS[[#This Row],[CODIGO]])</f>
        <v/>
      </c>
      <c r="G998" s="56">
        <f>SUMIFS(SALIDAS[CANTIDAD],SALIDAS[CODIGO],PRODUCTOS[[#This Row],[CODIGO]])</f>
        <v/>
      </c>
      <c r="H998" s="56">
        <f>PRODUCTOS[[#This Row],[ENTRADAS]]-PRODUCTOS[[#This Row],[SALIDAS ]]</f>
        <v/>
      </c>
      <c r="I998" s="76" t="n">
        <v>0</v>
      </c>
      <c r="J998">
        <f>IF(PRODUCTOS[[#This Row],[STOCK]]&lt;0,"NEGATIVO",IF(PRODUCTOS[[#This Row],[STOCK]]=0,"SIN STOCK",IF(PRODUCTOS[[#This Row],[STOCK]]&lt;=PRODUCTOS[[#This Row],[STOCK MÍN.]],"BAJO","OK")))</f>
        <v/>
      </c>
      <c r="K9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999" hidden="1" s="11">
      <c r="A999" s="18" t="n">
        <v>984</v>
      </c>
      <c r="B999" s="56" t="inlineStr">
        <is>
          <t>00020-AUT</t>
        </is>
      </c>
      <c r="C999" s="56">
        <f>IFERROR(_xlfn.XLOOKUP(PRODUCTOS[[#This Row],[CODIGO]],LISTADO[CODIGOS],LISTADO[CATEGORIA]),"NO EXISTE")</f>
        <v/>
      </c>
      <c r="D999" s="56">
        <f>IFERROR(_xlfn.XLOOKUP(PRODUCTOS[[#This Row],[CODIGO]],LISTADO[CODIGOS],LISTADO[PRODUCTOS]),"NO EXISTE")</f>
        <v/>
      </c>
      <c r="E999" s="56">
        <f>IFERROR(_xlfn.XLOOKUP(PRODUCTOS[[#This Row],[CODIGO]],LISTADO[CODIGOS],LISTADO[UBICACIÓN]),"NO EXISTE")</f>
        <v/>
      </c>
      <c r="F999" s="56">
        <f>SUMIFS(ENTRADAS[CANTIDAD],ENTRADAS[CODIGO],PRODUCTOS[[#This Row],[CODIGO]])</f>
        <v/>
      </c>
      <c r="G999" s="56">
        <f>SUMIFS(SALIDAS[CANTIDAD],SALIDAS[CODIGO],PRODUCTOS[[#This Row],[CODIGO]])</f>
        <v/>
      </c>
      <c r="H999" s="56">
        <f>PRODUCTOS[[#This Row],[ENTRADAS]]-PRODUCTOS[[#This Row],[SALIDAS ]]</f>
        <v/>
      </c>
      <c r="I999" s="76" t="n">
        <v>0</v>
      </c>
      <c r="J999">
        <f>IF(PRODUCTOS[[#This Row],[STOCK]]&lt;0,"NEGATIVO",IF(PRODUCTOS[[#This Row],[STOCK]]=0,"SIN STOCK",IF(PRODUCTOS[[#This Row],[STOCK]]&lt;=PRODUCTOS[[#This Row],[STOCK MÍN.]],"BAJO","OK")))</f>
        <v/>
      </c>
      <c r="K9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00" hidden="1" s="11">
      <c r="A1000" s="18" t="n">
        <v>985</v>
      </c>
      <c r="B1000" s="56" t="inlineStr">
        <is>
          <t>00024-MSC</t>
        </is>
      </c>
      <c r="C1000" s="56">
        <f>IFERROR(_xlfn.XLOOKUP(PRODUCTOS[[#This Row],[CODIGO]],LISTADO[CODIGOS],LISTADO[CATEGORIA]),"NO EXISTE")</f>
        <v/>
      </c>
      <c r="D1000" s="56">
        <f>IFERROR(_xlfn.XLOOKUP(PRODUCTOS[[#This Row],[CODIGO]],LISTADO[CODIGOS],LISTADO[PRODUCTOS]),"NO EXISTE")</f>
        <v/>
      </c>
      <c r="E1000" s="56">
        <f>IFERROR(_xlfn.XLOOKUP(PRODUCTOS[[#This Row],[CODIGO]],LISTADO[CODIGOS],LISTADO[UBICACIÓN]),"NO EXISTE")</f>
        <v/>
      </c>
      <c r="F1000" s="56">
        <f>SUMIFS(ENTRADAS[CANTIDAD],ENTRADAS[CODIGO],PRODUCTOS[[#This Row],[CODIGO]])</f>
        <v/>
      </c>
      <c r="G1000" s="56">
        <f>SUMIFS(SALIDAS[CANTIDAD],SALIDAS[CODIGO],PRODUCTOS[[#This Row],[CODIGO]])</f>
        <v/>
      </c>
      <c r="H1000" s="56">
        <f>PRODUCTOS[[#This Row],[ENTRADAS]]-PRODUCTOS[[#This Row],[SALIDAS ]]</f>
        <v/>
      </c>
      <c r="I1000" s="76" t="n">
        <v>0</v>
      </c>
      <c r="J1000">
        <f>IF(PRODUCTOS[[#This Row],[STOCK]]&lt;0,"NEGATIVO",IF(PRODUCTOS[[#This Row],[STOCK]]=0,"SIN STOCK",IF(PRODUCTOS[[#This Row],[STOCK]]&lt;=PRODUCTOS[[#This Row],[STOCK MÍN.]],"BAJO","OK")))</f>
        <v/>
      </c>
      <c r="K10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01" hidden="1" s="11">
      <c r="A1001" s="18" t="n">
        <v>986</v>
      </c>
      <c r="B1001" s="56" t="inlineStr">
        <is>
          <t>00021-AUT</t>
        </is>
      </c>
      <c r="C1001" s="56">
        <f>IFERROR(_xlfn.XLOOKUP(PRODUCTOS[[#This Row],[CODIGO]],LISTADO[CODIGOS],LISTADO[CATEGORIA]),"NO EXISTE")</f>
        <v/>
      </c>
      <c r="D1001" s="56">
        <f>IFERROR(_xlfn.XLOOKUP(PRODUCTOS[[#This Row],[CODIGO]],LISTADO[CODIGOS],LISTADO[PRODUCTOS]),"NO EXISTE")</f>
        <v/>
      </c>
      <c r="E1001" s="56">
        <f>IFERROR(_xlfn.XLOOKUP(PRODUCTOS[[#This Row],[CODIGO]],LISTADO[CODIGOS],LISTADO[UBICACIÓN]),"NO EXISTE")</f>
        <v/>
      </c>
      <c r="F1001" s="56">
        <f>SUMIFS(ENTRADAS[CANTIDAD],ENTRADAS[CODIGO],PRODUCTOS[[#This Row],[CODIGO]])</f>
        <v/>
      </c>
      <c r="G1001" s="56">
        <f>SUMIFS(SALIDAS[CANTIDAD],SALIDAS[CODIGO],PRODUCTOS[[#This Row],[CODIGO]])</f>
        <v/>
      </c>
      <c r="H1001" s="56">
        <f>PRODUCTOS[[#This Row],[ENTRADAS]]-PRODUCTOS[[#This Row],[SALIDAS ]]</f>
        <v/>
      </c>
      <c r="I1001" s="76" t="n">
        <v>0</v>
      </c>
      <c r="J1001">
        <f>IF(PRODUCTOS[[#This Row],[STOCK]]&lt;0,"NEGATIVO",IF(PRODUCTOS[[#This Row],[STOCK]]=0,"SIN STOCK",IF(PRODUCTOS[[#This Row],[STOCK]]&lt;=PRODUCTOS[[#This Row],[STOCK MÍN.]],"BAJO","OK")))</f>
        <v/>
      </c>
      <c r="K10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02" hidden="1" s="11">
      <c r="A1002" s="18" t="n">
        <v>987</v>
      </c>
      <c r="B1002" s="56" t="inlineStr">
        <is>
          <t>00206-FER</t>
        </is>
      </c>
      <c r="C1002" s="56">
        <f>IFERROR(_xlfn.XLOOKUP(PRODUCTOS[[#This Row],[CODIGO]],LISTADO[CODIGOS],LISTADO[CATEGORIA]),"NO EXISTE")</f>
        <v/>
      </c>
      <c r="D1002" s="56">
        <f>IFERROR(_xlfn.XLOOKUP(PRODUCTOS[[#This Row],[CODIGO]],LISTADO[CODIGOS],LISTADO[PRODUCTOS]),"NO EXISTE")</f>
        <v/>
      </c>
      <c r="E1002" s="56">
        <f>IFERROR(_xlfn.XLOOKUP(PRODUCTOS[[#This Row],[CODIGO]],LISTADO[CODIGOS],LISTADO[UBICACIÓN]),"NO EXISTE")</f>
        <v/>
      </c>
      <c r="F1002" s="56">
        <f>SUMIFS(ENTRADAS[CANTIDAD],ENTRADAS[CODIGO],PRODUCTOS[[#This Row],[CODIGO]])</f>
        <v/>
      </c>
      <c r="G1002" s="56">
        <f>SUMIFS(SALIDAS[CANTIDAD],SALIDAS[CODIGO],PRODUCTOS[[#This Row],[CODIGO]])</f>
        <v/>
      </c>
      <c r="H1002" s="56">
        <f>PRODUCTOS[[#This Row],[ENTRADAS]]-PRODUCTOS[[#This Row],[SALIDAS ]]</f>
        <v/>
      </c>
      <c r="I1002" s="76" t="n">
        <v>0</v>
      </c>
      <c r="J1002">
        <f>IF(PRODUCTOS[[#This Row],[STOCK]]&lt;0,"NEGATIVO",IF(PRODUCTOS[[#This Row],[STOCK]]=0,"SIN STOCK",IF(PRODUCTOS[[#This Row],[STOCK]]&lt;=PRODUCTOS[[#This Row],[STOCK MÍN.]],"BAJO","OK")))</f>
        <v/>
      </c>
      <c r="K10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03" hidden="1" s="11">
      <c r="A1003" s="18" t="n">
        <v>988</v>
      </c>
      <c r="B1003" s="56" t="inlineStr">
        <is>
          <t>00207-FER</t>
        </is>
      </c>
      <c r="C1003" s="56">
        <f>IFERROR(_xlfn.XLOOKUP(PRODUCTOS[[#This Row],[CODIGO]],LISTADO[CODIGOS],LISTADO[CATEGORIA]),"NO EXISTE")</f>
        <v/>
      </c>
      <c r="D1003" s="56">
        <f>IFERROR(_xlfn.XLOOKUP(PRODUCTOS[[#This Row],[CODIGO]],LISTADO[CODIGOS],LISTADO[PRODUCTOS]),"NO EXISTE")</f>
        <v/>
      </c>
      <c r="E1003" s="56">
        <f>IFERROR(_xlfn.XLOOKUP(PRODUCTOS[[#This Row],[CODIGO]],LISTADO[CODIGOS],LISTADO[UBICACIÓN]),"NO EXISTE")</f>
        <v/>
      </c>
      <c r="F1003" s="56">
        <f>SUMIFS(ENTRADAS[CANTIDAD],ENTRADAS[CODIGO],PRODUCTOS[[#This Row],[CODIGO]])</f>
        <v/>
      </c>
      <c r="G1003" s="56">
        <f>SUMIFS(SALIDAS[CANTIDAD],SALIDAS[CODIGO],PRODUCTOS[[#This Row],[CODIGO]])</f>
        <v/>
      </c>
      <c r="H1003" s="56">
        <f>PRODUCTOS[[#This Row],[ENTRADAS]]-PRODUCTOS[[#This Row],[SALIDAS ]]</f>
        <v/>
      </c>
      <c r="I1003" s="76" t="n">
        <v>0</v>
      </c>
      <c r="J1003">
        <f>IF(PRODUCTOS[[#This Row],[STOCK]]&lt;0,"NEGATIVO",IF(PRODUCTOS[[#This Row],[STOCK]]=0,"SIN STOCK",IF(PRODUCTOS[[#This Row],[STOCK]]&lt;=PRODUCTOS[[#This Row],[STOCK MÍN.]],"BAJO","OK")))</f>
        <v/>
      </c>
      <c r="K10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04" hidden="1" s="11">
      <c r="A1004" s="18" t="n">
        <v>989</v>
      </c>
      <c r="B1004" s="56" t="inlineStr">
        <is>
          <t>00022-AUT</t>
        </is>
      </c>
      <c r="C1004" s="56">
        <f>IFERROR(_xlfn.XLOOKUP(PRODUCTOS[[#This Row],[CODIGO]],LISTADO[CODIGOS],LISTADO[CATEGORIA]),"NO EXISTE")</f>
        <v/>
      </c>
      <c r="D1004" s="56">
        <f>IFERROR(_xlfn.XLOOKUP(PRODUCTOS[[#This Row],[CODIGO]],LISTADO[CODIGOS],LISTADO[PRODUCTOS]),"NO EXISTE")</f>
        <v/>
      </c>
      <c r="E1004" s="56">
        <f>IFERROR(_xlfn.XLOOKUP(PRODUCTOS[[#This Row],[CODIGO]],LISTADO[CODIGOS],LISTADO[UBICACIÓN]),"NO EXISTE")</f>
        <v/>
      </c>
      <c r="F1004" s="56">
        <f>SUMIFS(ENTRADAS[CANTIDAD],ENTRADAS[CODIGO],PRODUCTOS[[#This Row],[CODIGO]])</f>
        <v/>
      </c>
      <c r="G1004" s="56">
        <f>SUMIFS(SALIDAS[CANTIDAD],SALIDAS[CODIGO],PRODUCTOS[[#This Row],[CODIGO]])</f>
        <v/>
      </c>
      <c r="H1004" s="56">
        <f>PRODUCTOS[[#This Row],[ENTRADAS]]-PRODUCTOS[[#This Row],[SALIDAS ]]</f>
        <v/>
      </c>
      <c r="I1004" s="76" t="n">
        <v>0</v>
      </c>
      <c r="J1004">
        <f>IF(PRODUCTOS[[#This Row],[STOCK]]&lt;0,"NEGATIVO",IF(PRODUCTOS[[#This Row],[STOCK]]=0,"SIN STOCK",IF(PRODUCTOS[[#This Row],[STOCK]]&lt;=PRODUCTOS[[#This Row],[STOCK MÍN.]],"BAJO","OK")))</f>
        <v/>
      </c>
      <c r="K10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05" hidden="1" s="11">
      <c r="A1005" s="18" t="n">
        <v>990</v>
      </c>
      <c r="B1005" s="56" t="inlineStr">
        <is>
          <t>00023-AUT</t>
        </is>
      </c>
      <c r="C1005" s="56">
        <f>IFERROR(_xlfn.XLOOKUP(PRODUCTOS[[#This Row],[CODIGO]],LISTADO[CODIGOS],LISTADO[CATEGORIA]),"NO EXISTE")</f>
        <v/>
      </c>
      <c r="D1005" s="56">
        <f>IFERROR(_xlfn.XLOOKUP(PRODUCTOS[[#This Row],[CODIGO]],LISTADO[CODIGOS],LISTADO[PRODUCTOS]),"NO EXISTE")</f>
        <v/>
      </c>
      <c r="E1005" s="56">
        <f>IFERROR(_xlfn.XLOOKUP(PRODUCTOS[[#This Row],[CODIGO]],LISTADO[CODIGOS],LISTADO[UBICACIÓN]),"NO EXISTE")</f>
        <v/>
      </c>
      <c r="F1005" s="56">
        <f>SUMIFS(ENTRADAS[CANTIDAD],ENTRADAS[CODIGO],PRODUCTOS[[#This Row],[CODIGO]])</f>
        <v/>
      </c>
      <c r="G1005" s="56">
        <f>SUMIFS(SALIDAS[CANTIDAD],SALIDAS[CODIGO],PRODUCTOS[[#This Row],[CODIGO]])</f>
        <v/>
      </c>
      <c r="H1005" s="56">
        <f>PRODUCTOS[[#This Row],[ENTRADAS]]-PRODUCTOS[[#This Row],[SALIDAS ]]</f>
        <v/>
      </c>
      <c r="I1005" s="76" t="n">
        <v>0</v>
      </c>
      <c r="J1005">
        <f>IF(PRODUCTOS[[#This Row],[STOCK]]&lt;0,"NEGATIVO",IF(PRODUCTOS[[#This Row],[STOCK]]=0,"SIN STOCK",IF(PRODUCTOS[[#This Row],[STOCK]]&lt;=PRODUCTOS[[#This Row],[STOCK MÍN.]],"BAJO","OK")))</f>
        <v/>
      </c>
      <c r="K10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06" hidden="1" s="11">
      <c r="A1006" s="18" t="n">
        <v>991</v>
      </c>
      <c r="B1006" s="56" t="inlineStr">
        <is>
          <t>00024-AUT</t>
        </is>
      </c>
      <c r="C1006" s="56">
        <f>IFERROR(_xlfn.XLOOKUP(PRODUCTOS[[#This Row],[CODIGO]],LISTADO[CODIGOS],LISTADO[CATEGORIA]),"NO EXISTE")</f>
        <v/>
      </c>
      <c r="D1006" s="56">
        <f>IFERROR(_xlfn.XLOOKUP(PRODUCTOS[[#This Row],[CODIGO]],LISTADO[CODIGOS],LISTADO[PRODUCTOS]),"NO EXISTE")</f>
        <v/>
      </c>
      <c r="E1006" s="56">
        <f>IFERROR(_xlfn.XLOOKUP(PRODUCTOS[[#This Row],[CODIGO]],LISTADO[CODIGOS],LISTADO[UBICACIÓN]),"NO EXISTE")</f>
        <v/>
      </c>
      <c r="F1006" s="56">
        <f>SUMIFS(ENTRADAS[CANTIDAD],ENTRADAS[CODIGO],PRODUCTOS[[#This Row],[CODIGO]])</f>
        <v/>
      </c>
      <c r="G1006" s="56">
        <f>SUMIFS(SALIDAS[CANTIDAD],SALIDAS[CODIGO],PRODUCTOS[[#This Row],[CODIGO]])</f>
        <v/>
      </c>
      <c r="H1006" s="56">
        <f>PRODUCTOS[[#This Row],[ENTRADAS]]-PRODUCTOS[[#This Row],[SALIDAS ]]</f>
        <v/>
      </c>
      <c r="I1006" s="76" t="n">
        <v>0</v>
      </c>
      <c r="J1006">
        <f>IF(PRODUCTOS[[#This Row],[STOCK]]&lt;0,"NEGATIVO",IF(PRODUCTOS[[#This Row],[STOCK]]=0,"SIN STOCK",IF(PRODUCTOS[[#This Row],[STOCK]]&lt;=PRODUCTOS[[#This Row],[STOCK MÍN.]],"BAJO","OK")))</f>
        <v/>
      </c>
      <c r="K10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07" hidden="1" s="11">
      <c r="A1007" s="18" t="n">
        <v>992</v>
      </c>
      <c r="B1007" s="56" t="inlineStr">
        <is>
          <t>00091-ELE</t>
        </is>
      </c>
      <c r="C1007" s="56">
        <f>IFERROR(_xlfn.XLOOKUP(PRODUCTOS[[#This Row],[CODIGO]],LISTADO[CODIGOS],LISTADO[CATEGORIA]),"NO EXISTE")</f>
        <v/>
      </c>
      <c r="D1007" s="56">
        <f>IFERROR(_xlfn.XLOOKUP(PRODUCTOS[[#This Row],[CODIGO]],LISTADO[CODIGOS],LISTADO[PRODUCTOS]),"NO EXISTE")</f>
        <v/>
      </c>
      <c r="E1007" s="56">
        <f>IFERROR(_xlfn.XLOOKUP(PRODUCTOS[[#This Row],[CODIGO]],LISTADO[CODIGOS],LISTADO[UBICACIÓN]),"NO EXISTE")</f>
        <v/>
      </c>
      <c r="F1007" s="56">
        <f>SUMIFS(ENTRADAS[CANTIDAD],ENTRADAS[CODIGO],PRODUCTOS[[#This Row],[CODIGO]])</f>
        <v/>
      </c>
      <c r="G1007" s="56">
        <f>SUMIFS(SALIDAS[CANTIDAD],SALIDAS[CODIGO],PRODUCTOS[[#This Row],[CODIGO]])</f>
        <v/>
      </c>
      <c r="H1007" s="56">
        <f>PRODUCTOS[[#This Row],[ENTRADAS]]-PRODUCTOS[[#This Row],[SALIDAS ]]</f>
        <v/>
      </c>
      <c r="I1007" s="76" t="n">
        <v>0</v>
      </c>
      <c r="J1007">
        <f>IF(PRODUCTOS[[#This Row],[STOCK]]&lt;0,"NEGATIVO",IF(PRODUCTOS[[#This Row],[STOCK]]=0,"SIN STOCK",IF(PRODUCTOS[[#This Row],[STOCK]]&lt;=PRODUCTOS[[#This Row],[STOCK MÍN.]],"BAJO","OK")))</f>
        <v/>
      </c>
      <c r="K10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08" hidden="1" s="11">
      <c r="A1008" s="18" t="n">
        <v>993</v>
      </c>
      <c r="B1008" s="56" t="inlineStr">
        <is>
          <t>00128-REF</t>
        </is>
      </c>
      <c r="C1008" s="56">
        <f>IFERROR(_xlfn.XLOOKUP(PRODUCTOS[[#This Row],[CODIGO]],LISTADO[CODIGOS],LISTADO[CATEGORIA]),"NO EXISTE")</f>
        <v/>
      </c>
      <c r="D1008" s="56">
        <f>IFERROR(_xlfn.XLOOKUP(PRODUCTOS[[#This Row],[CODIGO]],LISTADO[CODIGOS],LISTADO[PRODUCTOS]),"NO EXISTE")</f>
        <v/>
      </c>
      <c r="E1008" s="56">
        <f>IFERROR(_xlfn.XLOOKUP(PRODUCTOS[[#This Row],[CODIGO]],LISTADO[CODIGOS],LISTADO[UBICACIÓN]),"NO EXISTE")</f>
        <v/>
      </c>
      <c r="F1008" s="56">
        <f>SUMIFS(ENTRADAS[CANTIDAD],ENTRADAS[CODIGO],PRODUCTOS[[#This Row],[CODIGO]])</f>
        <v/>
      </c>
      <c r="G1008" s="56">
        <f>SUMIFS(SALIDAS[CANTIDAD],SALIDAS[CODIGO],PRODUCTOS[[#This Row],[CODIGO]])</f>
        <v/>
      </c>
      <c r="H1008" s="56">
        <f>PRODUCTOS[[#This Row],[ENTRADAS]]-PRODUCTOS[[#This Row],[SALIDAS ]]</f>
        <v/>
      </c>
      <c r="I1008" s="76" t="n">
        <v>0</v>
      </c>
      <c r="J1008">
        <f>IF(PRODUCTOS[[#This Row],[STOCK]]&lt;0,"NEGATIVO",IF(PRODUCTOS[[#This Row],[STOCK]]=0,"SIN STOCK",IF(PRODUCTOS[[#This Row],[STOCK]]&lt;=PRODUCTOS[[#This Row],[STOCK MÍN.]],"BAJO","OK")))</f>
        <v/>
      </c>
      <c r="K10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09" hidden="1" s="11">
      <c r="A1009" s="18" t="n">
        <v>994</v>
      </c>
      <c r="B1009" s="56" t="inlineStr">
        <is>
          <t>00092-ELE</t>
        </is>
      </c>
      <c r="C1009" s="56">
        <f>IFERROR(_xlfn.XLOOKUP(PRODUCTOS[[#This Row],[CODIGO]],LISTADO[CODIGOS],LISTADO[CATEGORIA]),"NO EXISTE")</f>
        <v/>
      </c>
      <c r="D1009" s="56">
        <f>IFERROR(_xlfn.XLOOKUP(PRODUCTOS[[#This Row],[CODIGO]],LISTADO[CODIGOS],LISTADO[PRODUCTOS]),"NO EXISTE")</f>
        <v/>
      </c>
      <c r="E1009" s="56">
        <f>IFERROR(_xlfn.XLOOKUP(PRODUCTOS[[#This Row],[CODIGO]],LISTADO[CODIGOS],LISTADO[UBICACIÓN]),"NO EXISTE")</f>
        <v/>
      </c>
      <c r="F1009" s="56">
        <f>SUMIFS(ENTRADAS[CANTIDAD],ENTRADAS[CODIGO],PRODUCTOS[[#This Row],[CODIGO]])</f>
        <v/>
      </c>
      <c r="G1009" s="56">
        <f>SUMIFS(SALIDAS[CANTIDAD],SALIDAS[CODIGO],PRODUCTOS[[#This Row],[CODIGO]])</f>
        <v/>
      </c>
      <c r="H1009" s="56">
        <f>PRODUCTOS[[#This Row],[ENTRADAS]]-PRODUCTOS[[#This Row],[SALIDAS ]]</f>
        <v/>
      </c>
      <c r="I1009" s="76" t="n">
        <v>0</v>
      </c>
      <c r="J1009">
        <f>IF(PRODUCTOS[[#This Row],[STOCK]]&lt;0,"NEGATIVO",IF(PRODUCTOS[[#This Row],[STOCK]]=0,"SIN STOCK",IF(PRODUCTOS[[#This Row],[STOCK]]&lt;=PRODUCTOS[[#This Row],[STOCK MÍN.]],"BAJO","OK")))</f>
        <v/>
      </c>
      <c r="K10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10" hidden="1" s="11">
      <c r="A1010" s="18" t="n">
        <v>995</v>
      </c>
      <c r="B1010" s="56" t="inlineStr">
        <is>
          <t>00129-REF</t>
        </is>
      </c>
      <c r="C1010" s="56">
        <f>IFERROR(_xlfn.XLOOKUP(PRODUCTOS[[#This Row],[CODIGO]],LISTADO[CODIGOS],LISTADO[CATEGORIA]),"NO EXISTE")</f>
        <v/>
      </c>
      <c r="D1010" s="56">
        <f>IFERROR(_xlfn.XLOOKUP(PRODUCTOS[[#This Row],[CODIGO]],LISTADO[CODIGOS],LISTADO[PRODUCTOS]),"NO EXISTE")</f>
        <v/>
      </c>
      <c r="E1010" s="56">
        <f>IFERROR(_xlfn.XLOOKUP(PRODUCTOS[[#This Row],[CODIGO]],LISTADO[CODIGOS],LISTADO[UBICACIÓN]),"NO EXISTE")</f>
        <v/>
      </c>
      <c r="F1010" s="56">
        <f>SUMIFS(ENTRADAS[CANTIDAD],ENTRADAS[CODIGO],PRODUCTOS[[#This Row],[CODIGO]])</f>
        <v/>
      </c>
      <c r="G1010" s="56">
        <f>SUMIFS(SALIDAS[CANTIDAD],SALIDAS[CODIGO],PRODUCTOS[[#This Row],[CODIGO]])</f>
        <v/>
      </c>
      <c r="H1010" s="56">
        <f>PRODUCTOS[[#This Row],[ENTRADAS]]-PRODUCTOS[[#This Row],[SALIDAS ]]</f>
        <v/>
      </c>
      <c r="I1010" s="76" t="n">
        <v>0</v>
      </c>
      <c r="J1010">
        <f>IF(PRODUCTOS[[#This Row],[STOCK]]&lt;0,"NEGATIVO",IF(PRODUCTOS[[#This Row],[STOCK]]=0,"SIN STOCK",IF(PRODUCTOS[[#This Row],[STOCK]]&lt;=PRODUCTOS[[#This Row],[STOCK MÍN.]],"BAJO","OK")))</f>
        <v/>
      </c>
      <c r="K10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11" hidden="1" s="11">
      <c r="A1011" s="18" t="n">
        <v>996</v>
      </c>
      <c r="B1011" s="56" t="inlineStr">
        <is>
          <t>00093-ELE</t>
        </is>
      </c>
      <c r="C1011" s="56">
        <f>IFERROR(_xlfn.XLOOKUP(PRODUCTOS[[#This Row],[CODIGO]],LISTADO[CODIGOS],LISTADO[CATEGORIA]),"NO EXISTE")</f>
        <v/>
      </c>
      <c r="D1011" s="56">
        <f>IFERROR(_xlfn.XLOOKUP(PRODUCTOS[[#This Row],[CODIGO]],LISTADO[CODIGOS],LISTADO[PRODUCTOS]),"NO EXISTE")</f>
        <v/>
      </c>
      <c r="E1011" s="56">
        <f>IFERROR(_xlfn.XLOOKUP(PRODUCTOS[[#This Row],[CODIGO]],LISTADO[CODIGOS],LISTADO[UBICACIÓN]),"NO EXISTE")</f>
        <v/>
      </c>
      <c r="F1011" s="56">
        <f>SUMIFS(ENTRADAS[CANTIDAD],ENTRADAS[CODIGO],PRODUCTOS[[#This Row],[CODIGO]])</f>
        <v/>
      </c>
      <c r="G1011" s="56">
        <f>SUMIFS(SALIDAS[CANTIDAD],SALIDAS[CODIGO],PRODUCTOS[[#This Row],[CODIGO]])</f>
        <v/>
      </c>
      <c r="H1011" s="56">
        <f>PRODUCTOS[[#This Row],[ENTRADAS]]-PRODUCTOS[[#This Row],[SALIDAS ]]</f>
        <v/>
      </c>
      <c r="I1011" s="76" t="n">
        <v>0</v>
      </c>
      <c r="J1011">
        <f>IF(PRODUCTOS[[#This Row],[STOCK]]&lt;0,"NEGATIVO",IF(PRODUCTOS[[#This Row],[STOCK]]=0,"SIN STOCK",IF(PRODUCTOS[[#This Row],[STOCK]]&lt;=PRODUCTOS[[#This Row],[STOCK MÍN.]],"BAJO","OK")))</f>
        <v/>
      </c>
      <c r="K10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12" hidden="1" s="11">
      <c r="A1012" s="18" t="n">
        <v>997</v>
      </c>
      <c r="B1012" s="56" t="inlineStr">
        <is>
          <t>00094-ELE</t>
        </is>
      </c>
      <c r="C1012" s="56">
        <f>IFERROR(_xlfn.XLOOKUP(PRODUCTOS[[#This Row],[CODIGO]],LISTADO[CODIGOS],LISTADO[CATEGORIA]),"NO EXISTE")</f>
        <v/>
      </c>
      <c r="D1012" s="56">
        <f>IFERROR(_xlfn.XLOOKUP(PRODUCTOS[[#This Row],[CODIGO]],LISTADO[CODIGOS],LISTADO[PRODUCTOS]),"NO EXISTE")</f>
        <v/>
      </c>
      <c r="E1012" s="56">
        <f>IFERROR(_xlfn.XLOOKUP(PRODUCTOS[[#This Row],[CODIGO]],LISTADO[CODIGOS],LISTADO[UBICACIÓN]),"NO EXISTE")</f>
        <v/>
      </c>
      <c r="F1012" s="56">
        <f>SUMIFS(ENTRADAS[CANTIDAD],ENTRADAS[CODIGO],PRODUCTOS[[#This Row],[CODIGO]])</f>
        <v/>
      </c>
      <c r="G1012" s="56">
        <f>SUMIFS(SALIDAS[CANTIDAD],SALIDAS[CODIGO],PRODUCTOS[[#This Row],[CODIGO]])</f>
        <v/>
      </c>
      <c r="H1012" s="56">
        <f>PRODUCTOS[[#This Row],[ENTRADAS]]-PRODUCTOS[[#This Row],[SALIDAS ]]</f>
        <v/>
      </c>
      <c r="I1012" s="76" t="n">
        <v>0</v>
      </c>
      <c r="J1012">
        <f>IF(PRODUCTOS[[#This Row],[STOCK]]&lt;0,"NEGATIVO",IF(PRODUCTOS[[#This Row],[STOCK]]=0,"SIN STOCK",IF(PRODUCTOS[[#This Row],[STOCK]]&lt;=PRODUCTOS[[#This Row],[STOCK MÍN.]],"BAJO","OK")))</f>
        <v/>
      </c>
      <c r="K10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13" hidden="1" s="11">
      <c r="A1013" s="18" t="n">
        <v>998</v>
      </c>
      <c r="B1013" s="56" t="inlineStr">
        <is>
          <t>00095-ELE</t>
        </is>
      </c>
      <c r="C1013" s="56">
        <f>IFERROR(_xlfn.XLOOKUP(PRODUCTOS[[#This Row],[CODIGO]],LISTADO[CODIGOS],LISTADO[CATEGORIA]),"NO EXISTE")</f>
        <v/>
      </c>
      <c r="D1013" s="56">
        <f>IFERROR(_xlfn.XLOOKUP(PRODUCTOS[[#This Row],[CODIGO]],LISTADO[CODIGOS],LISTADO[PRODUCTOS]),"NO EXISTE")</f>
        <v/>
      </c>
      <c r="E1013" s="56">
        <f>IFERROR(_xlfn.XLOOKUP(PRODUCTOS[[#This Row],[CODIGO]],LISTADO[CODIGOS],LISTADO[UBICACIÓN]),"NO EXISTE")</f>
        <v/>
      </c>
      <c r="F1013" s="56">
        <f>SUMIFS(ENTRADAS[CANTIDAD],ENTRADAS[CODIGO],PRODUCTOS[[#This Row],[CODIGO]])</f>
        <v/>
      </c>
      <c r="G1013" s="56">
        <f>SUMIFS(SALIDAS[CANTIDAD],SALIDAS[CODIGO],PRODUCTOS[[#This Row],[CODIGO]])</f>
        <v/>
      </c>
      <c r="H1013" s="56">
        <f>PRODUCTOS[[#This Row],[ENTRADAS]]-PRODUCTOS[[#This Row],[SALIDAS ]]</f>
        <v/>
      </c>
      <c r="I1013" s="76" t="n">
        <v>0</v>
      </c>
      <c r="J1013">
        <f>IF(PRODUCTOS[[#This Row],[STOCK]]&lt;0,"NEGATIVO",IF(PRODUCTOS[[#This Row],[STOCK]]=0,"SIN STOCK",IF(PRODUCTOS[[#This Row],[STOCK]]&lt;=PRODUCTOS[[#This Row],[STOCK MÍN.]],"BAJO","OK")))</f>
        <v/>
      </c>
      <c r="K10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14" hidden="1" s="11">
      <c r="A1014" s="18" t="n">
        <v>999</v>
      </c>
      <c r="B1014" s="56" t="inlineStr">
        <is>
          <t>00096-ELE</t>
        </is>
      </c>
      <c r="C1014" s="56">
        <f>IFERROR(_xlfn.XLOOKUP(PRODUCTOS[[#This Row],[CODIGO]],LISTADO[CODIGOS],LISTADO[CATEGORIA]),"NO EXISTE")</f>
        <v/>
      </c>
      <c r="D1014" s="56">
        <f>IFERROR(_xlfn.XLOOKUP(PRODUCTOS[[#This Row],[CODIGO]],LISTADO[CODIGOS],LISTADO[PRODUCTOS]),"NO EXISTE")</f>
        <v/>
      </c>
      <c r="E1014" s="56">
        <f>IFERROR(_xlfn.XLOOKUP(PRODUCTOS[[#This Row],[CODIGO]],LISTADO[CODIGOS],LISTADO[UBICACIÓN]),"NO EXISTE")</f>
        <v/>
      </c>
      <c r="F1014" s="56">
        <f>SUMIFS(ENTRADAS[CANTIDAD],ENTRADAS[CODIGO],PRODUCTOS[[#This Row],[CODIGO]])</f>
        <v/>
      </c>
      <c r="G1014" s="56">
        <f>SUMIFS(SALIDAS[CANTIDAD],SALIDAS[CODIGO],PRODUCTOS[[#This Row],[CODIGO]])</f>
        <v/>
      </c>
      <c r="H1014" s="56">
        <f>PRODUCTOS[[#This Row],[ENTRADAS]]-PRODUCTOS[[#This Row],[SALIDAS ]]</f>
        <v/>
      </c>
      <c r="I1014" s="76" t="n">
        <v>0</v>
      </c>
      <c r="J1014">
        <f>IF(PRODUCTOS[[#This Row],[STOCK]]&lt;0,"NEGATIVO",IF(PRODUCTOS[[#This Row],[STOCK]]=0,"SIN STOCK",IF(PRODUCTOS[[#This Row],[STOCK]]&lt;=PRODUCTOS[[#This Row],[STOCK MÍN.]],"BAJO","OK")))</f>
        <v/>
      </c>
      <c r="K10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15" hidden="1" s="11">
      <c r="A1015" s="18" t="n">
        <v>1000</v>
      </c>
      <c r="B1015" s="56" t="inlineStr">
        <is>
          <t>00097-ELE</t>
        </is>
      </c>
      <c r="C1015" s="56">
        <f>IFERROR(_xlfn.XLOOKUP(PRODUCTOS[[#This Row],[CODIGO]],LISTADO[CODIGOS],LISTADO[CATEGORIA]),"NO EXISTE")</f>
        <v/>
      </c>
      <c r="D1015" s="56">
        <f>IFERROR(_xlfn.XLOOKUP(PRODUCTOS[[#This Row],[CODIGO]],LISTADO[CODIGOS],LISTADO[PRODUCTOS]),"NO EXISTE")</f>
        <v/>
      </c>
      <c r="E1015" s="56">
        <f>IFERROR(_xlfn.XLOOKUP(PRODUCTOS[[#This Row],[CODIGO]],LISTADO[CODIGOS],LISTADO[UBICACIÓN]),"NO EXISTE")</f>
        <v/>
      </c>
      <c r="F1015" s="56">
        <f>SUMIFS(ENTRADAS[CANTIDAD],ENTRADAS[CODIGO],PRODUCTOS[[#This Row],[CODIGO]])</f>
        <v/>
      </c>
      <c r="G1015" s="56">
        <f>SUMIFS(SALIDAS[CANTIDAD],SALIDAS[CODIGO],PRODUCTOS[[#This Row],[CODIGO]])</f>
        <v/>
      </c>
      <c r="H1015" s="56">
        <f>PRODUCTOS[[#This Row],[ENTRADAS]]-PRODUCTOS[[#This Row],[SALIDAS ]]</f>
        <v/>
      </c>
      <c r="I1015" s="76" t="n">
        <v>0</v>
      </c>
      <c r="J1015">
        <f>IF(PRODUCTOS[[#This Row],[STOCK]]&lt;0,"NEGATIVO",IF(PRODUCTOS[[#This Row],[STOCK]]=0,"SIN STOCK",IF(PRODUCTOS[[#This Row],[STOCK]]&lt;=PRODUCTOS[[#This Row],[STOCK MÍN.]],"BAJO","OK")))</f>
        <v/>
      </c>
      <c r="K10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16" hidden="1" s="11">
      <c r="A1016" s="18" t="n">
        <v>1001</v>
      </c>
      <c r="B1016" s="56" t="inlineStr">
        <is>
          <t>00208-FER</t>
        </is>
      </c>
      <c r="C1016" s="56">
        <f>IFERROR(_xlfn.XLOOKUP(PRODUCTOS[[#This Row],[CODIGO]],LISTADO[CODIGOS],LISTADO[CATEGORIA]),"NO EXISTE")</f>
        <v/>
      </c>
      <c r="D1016" s="56">
        <f>IFERROR(_xlfn.XLOOKUP(PRODUCTOS[[#This Row],[CODIGO]],LISTADO[CODIGOS],LISTADO[PRODUCTOS]),"NO EXISTE")</f>
        <v/>
      </c>
      <c r="E1016" s="56">
        <f>IFERROR(_xlfn.XLOOKUP(PRODUCTOS[[#This Row],[CODIGO]],LISTADO[CODIGOS],LISTADO[UBICACIÓN]),"NO EXISTE")</f>
        <v/>
      </c>
      <c r="F1016" s="56">
        <f>SUMIFS(ENTRADAS[CANTIDAD],ENTRADAS[CODIGO],PRODUCTOS[[#This Row],[CODIGO]])</f>
        <v/>
      </c>
      <c r="G1016" s="56">
        <f>SUMIFS(SALIDAS[CANTIDAD],SALIDAS[CODIGO],PRODUCTOS[[#This Row],[CODIGO]])</f>
        <v/>
      </c>
      <c r="H1016" s="56">
        <f>PRODUCTOS[[#This Row],[ENTRADAS]]-PRODUCTOS[[#This Row],[SALIDAS ]]</f>
        <v/>
      </c>
      <c r="I1016" s="76" t="n">
        <v>0</v>
      </c>
      <c r="J1016">
        <f>IF(PRODUCTOS[[#This Row],[STOCK]]&lt;0,"NEGATIVO",IF(PRODUCTOS[[#This Row],[STOCK]]=0,"SIN STOCK",IF(PRODUCTOS[[#This Row],[STOCK]]&lt;=PRODUCTOS[[#This Row],[STOCK MÍN.]],"BAJO","OK")))</f>
        <v/>
      </c>
      <c r="K10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17" hidden="1" s="11">
      <c r="A1017" s="18" t="n">
        <v>1002</v>
      </c>
      <c r="B1017" s="56" t="inlineStr">
        <is>
          <t>00209-FER</t>
        </is>
      </c>
      <c r="C1017" s="56">
        <f>IFERROR(_xlfn.XLOOKUP(PRODUCTOS[[#This Row],[CODIGO]],LISTADO[CODIGOS],LISTADO[CATEGORIA]),"NO EXISTE")</f>
        <v/>
      </c>
      <c r="D1017" s="56">
        <f>IFERROR(_xlfn.XLOOKUP(PRODUCTOS[[#This Row],[CODIGO]],LISTADO[CODIGOS],LISTADO[PRODUCTOS]),"NO EXISTE")</f>
        <v/>
      </c>
      <c r="E1017" s="56">
        <f>IFERROR(_xlfn.XLOOKUP(PRODUCTOS[[#This Row],[CODIGO]],LISTADO[CODIGOS],LISTADO[UBICACIÓN]),"NO EXISTE")</f>
        <v/>
      </c>
      <c r="F1017" s="56">
        <f>SUMIFS(ENTRADAS[CANTIDAD],ENTRADAS[CODIGO],PRODUCTOS[[#This Row],[CODIGO]])</f>
        <v/>
      </c>
      <c r="G1017" s="56">
        <f>SUMIFS(SALIDAS[CANTIDAD],SALIDAS[CODIGO],PRODUCTOS[[#This Row],[CODIGO]])</f>
        <v/>
      </c>
      <c r="H1017" s="56">
        <f>PRODUCTOS[[#This Row],[ENTRADAS]]-PRODUCTOS[[#This Row],[SALIDAS ]]</f>
        <v/>
      </c>
      <c r="I1017" s="76" t="n">
        <v>0</v>
      </c>
      <c r="J1017">
        <f>IF(PRODUCTOS[[#This Row],[STOCK]]&lt;0,"NEGATIVO",IF(PRODUCTOS[[#This Row],[STOCK]]=0,"SIN STOCK",IF(PRODUCTOS[[#This Row],[STOCK]]&lt;=PRODUCTOS[[#This Row],[STOCK MÍN.]],"BAJO","OK")))</f>
        <v/>
      </c>
      <c r="K10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18">
      <c r="A1018" s="18" t="n">
        <v>1003</v>
      </c>
      <c r="B1018" s="56" t="inlineStr">
        <is>
          <t>00098-ELE</t>
        </is>
      </c>
      <c r="C1018" s="56">
        <f>IFERROR(_xlfn.XLOOKUP(PRODUCTOS[[#This Row],[CODIGO]],LISTADO[CODIGOS],LISTADO[CATEGORIA]),"NO EXISTE")</f>
        <v/>
      </c>
      <c r="D1018" s="56">
        <f>IFERROR(_xlfn.XLOOKUP(PRODUCTOS[[#This Row],[CODIGO]],LISTADO[CODIGOS],LISTADO[PRODUCTOS]),"NO EXISTE")</f>
        <v/>
      </c>
      <c r="E1018" s="56">
        <f>IFERROR(_xlfn.XLOOKUP(PRODUCTOS[[#This Row],[CODIGO]],LISTADO[CODIGOS],LISTADO[UBICACIÓN]),"NO EXISTE")</f>
        <v/>
      </c>
      <c r="F1018" s="56">
        <f>SUMIFS(ENTRADAS[CANTIDAD],ENTRADAS[CODIGO],PRODUCTOS[[#This Row],[CODIGO]])</f>
        <v/>
      </c>
      <c r="G1018" s="56">
        <f>SUMIFS(SALIDAS[CANTIDAD],SALIDAS[CODIGO],PRODUCTOS[[#This Row],[CODIGO]])</f>
        <v/>
      </c>
      <c r="H1018" s="56">
        <f>PRODUCTOS[[#This Row],[ENTRADAS]]-PRODUCTOS[[#This Row],[SALIDAS ]]</f>
        <v/>
      </c>
      <c r="I1018" s="76" t="n">
        <v>0</v>
      </c>
      <c r="J1018">
        <f>IF(PRODUCTOS[[#This Row],[STOCK]]&lt;0,"NEGATIVO",IF(PRODUCTOS[[#This Row],[STOCK]]=0,"SIN STOCK",IF(PRODUCTOS[[#This Row],[STOCK]]&lt;=PRODUCTOS[[#This Row],[STOCK MÍN.]],"BAJO","OK")))</f>
        <v/>
      </c>
      <c r="K10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19" hidden="1" s="11">
      <c r="A1019" s="18" t="n">
        <v>1004</v>
      </c>
      <c r="B1019" s="56" t="inlineStr">
        <is>
          <t>00025-AUT</t>
        </is>
      </c>
      <c r="C1019" s="56">
        <f>IFERROR(_xlfn.XLOOKUP(PRODUCTOS[[#This Row],[CODIGO]],LISTADO[CODIGOS],LISTADO[CATEGORIA]),"NO EXISTE")</f>
        <v/>
      </c>
      <c r="D1019" s="56">
        <f>IFERROR(_xlfn.XLOOKUP(PRODUCTOS[[#This Row],[CODIGO]],LISTADO[CODIGOS],LISTADO[PRODUCTOS]),"NO EXISTE")</f>
        <v/>
      </c>
      <c r="E1019" s="56">
        <f>IFERROR(_xlfn.XLOOKUP(PRODUCTOS[[#This Row],[CODIGO]],LISTADO[CODIGOS],LISTADO[UBICACIÓN]),"NO EXISTE")</f>
        <v/>
      </c>
      <c r="F1019" s="56">
        <f>SUMIFS(ENTRADAS[CANTIDAD],ENTRADAS[CODIGO],PRODUCTOS[[#This Row],[CODIGO]])</f>
        <v/>
      </c>
      <c r="G1019" s="56">
        <f>SUMIFS(SALIDAS[CANTIDAD],SALIDAS[CODIGO],PRODUCTOS[[#This Row],[CODIGO]])</f>
        <v/>
      </c>
      <c r="H1019" s="56">
        <f>PRODUCTOS[[#This Row],[ENTRADAS]]-PRODUCTOS[[#This Row],[SALIDAS ]]</f>
        <v/>
      </c>
      <c r="I1019" s="76" t="n">
        <v>0</v>
      </c>
      <c r="J1019">
        <f>IF(PRODUCTOS[[#This Row],[STOCK]]&lt;0,"NEGATIVO",IF(PRODUCTOS[[#This Row],[STOCK]]=0,"SIN STOCK",IF(PRODUCTOS[[#This Row],[STOCK]]&lt;=PRODUCTOS[[#This Row],[STOCK MÍN.]],"BAJO","OK")))</f>
        <v/>
      </c>
      <c r="K10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20" hidden="1" s="11">
      <c r="A1020" s="18" t="n">
        <v>1005</v>
      </c>
      <c r="B1020" s="56" t="inlineStr">
        <is>
          <t>00080-ELC</t>
        </is>
      </c>
      <c r="C1020" s="56">
        <f>IFERROR(_xlfn.XLOOKUP(PRODUCTOS[[#This Row],[CODIGO]],LISTADO[CODIGOS],LISTADO[CATEGORIA]),"NO EXISTE")</f>
        <v/>
      </c>
      <c r="D1020" s="56">
        <f>IFERROR(_xlfn.XLOOKUP(PRODUCTOS[[#This Row],[CODIGO]],LISTADO[CODIGOS],LISTADO[PRODUCTOS]),"NO EXISTE")</f>
        <v/>
      </c>
      <c r="E1020" s="56">
        <f>IFERROR(_xlfn.XLOOKUP(PRODUCTOS[[#This Row],[CODIGO]],LISTADO[CODIGOS],LISTADO[UBICACIÓN]),"NO EXISTE")</f>
        <v/>
      </c>
      <c r="F1020" s="56">
        <f>SUMIFS(ENTRADAS[CANTIDAD],ENTRADAS[CODIGO],PRODUCTOS[[#This Row],[CODIGO]])</f>
        <v/>
      </c>
      <c r="G1020" s="56">
        <f>SUMIFS(SALIDAS[CANTIDAD],SALIDAS[CODIGO],PRODUCTOS[[#This Row],[CODIGO]])</f>
        <v/>
      </c>
      <c r="H1020" s="56">
        <f>PRODUCTOS[[#This Row],[ENTRADAS]]-PRODUCTOS[[#This Row],[SALIDAS ]]</f>
        <v/>
      </c>
      <c r="I1020" s="76" t="n">
        <v>0</v>
      </c>
      <c r="J1020">
        <f>IF(PRODUCTOS[[#This Row],[STOCK]]&lt;0,"NEGATIVO",IF(PRODUCTOS[[#This Row],[STOCK]]=0,"SIN STOCK",IF(PRODUCTOS[[#This Row],[STOCK]]&lt;=PRODUCTOS[[#This Row],[STOCK MÍN.]],"BAJO","OK")))</f>
        <v/>
      </c>
      <c r="K10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21" hidden="1" s="11">
      <c r="A1021" s="18" t="n">
        <v>1006</v>
      </c>
      <c r="B1021" s="56" t="inlineStr">
        <is>
          <t>00210-FER</t>
        </is>
      </c>
      <c r="C1021" s="56">
        <f>IFERROR(_xlfn.XLOOKUP(PRODUCTOS[[#This Row],[CODIGO]],LISTADO[CODIGOS],LISTADO[CATEGORIA]),"NO EXISTE")</f>
        <v/>
      </c>
      <c r="D1021" s="56">
        <f>IFERROR(_xlfn.XLOOKUP(PRODUCTOS[[#This Row],[CODIGO]],LISTADO[CODIGOS],LISTADO[PRODUCTOS]),"NO EXISTE")</f>
        <v/>
      </c>
      <c r="E1021" s="56">
        <f>IFERROR(_xlfn.XLOOKUP(PRODUCTOS[[#This Row],[CODIGO]],LISTADO[CODIGOS],LISTADO[UBICACIÓN]),"NO EXISTE")</f>
        <v/>
      </c>
      <c r="F1021" s="56">
        <f>SUMIFS(ENTRADAS[CANTIDAD],ENTRADAS[CODIGO],PRODUCTOS[[#This Row],[CODIGO]])</f>
        <v/>
      </c>
      <c r="G1021" s="56">
        <f>SUMIFS(SALIDAS[CANTIDAD],SALIDAS[CODIGO],PRODUCTOS[[#This Row],[CODIGO]])</f>
        <v/>
      </c>
      <c r="H1021" s="56">
        <f>PRODUCTOS[[#This Row],[ENTRADAS]]-PRODUCTOS[[#This Row],[SALIDAS ]]</f>
        <v/>
      </c>
      <c r="I1021" s="76" t="n">
        <v>0</v>
      </c>
      <c r="J1021">
        <f>IF(PRODUCTOS[[#This Row],[STOCK]]&lt;0,"NEGATIVO",IF(PRODUCTOS[[#This Row],[STOCK]]=0,"SIN STOCK",IF(PRODUCTOS[[#This Row],[STOCK]]&lt;=PRODUCTOS[[#This Row],[STOCK MÍN.]],"BAJO","OK")))</f>
        <v/>
      </c>
      <c r="K10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22" hidden="1" s="11">
      <c r="A1022" s="18" t="n">
        <v>1007</v>
      </c>
      <c r="B1022" s="56" t="inlineStr">
        <is>
          <t>00064-PLM</t>
        </is>
      </c>
      <c r="C1022" s="56">
        <f>IFERROR(_xlfn.XLOOKUP(PRODUCTOS[[#This Row],[CODIGO]],LISTADO[CODIGOS],LISTADO[CATEGORIA]),"NO EXISTE")</f>
        <v/>
      </c>
      <c r="D1022" s="56">
        <f>IFERROR(_xlfn.XLOOKUP(PRODUCTOS[[#This Row],[CODIGO]],LISTADO[CODIGOS],LISTADO[PRODUCTOS]),"NO EXISTE")</f>
        <v/>
      </c>
      <c r="E1022" s="56">
        <f>IFERROR(_xlfn.XLOOKUP(PRODUCTOS[[#This Row],[CODIGO]],LISTADO[CODIGOS],LISTADO[UBICACIÓN]),"NO EXISTE")</f>
        <v/>
      </c>
      <c r="F1022" s="56">
        <f>SUMIFS(ENTRADAS[CANTIDAD],ENTRADAS[CODIGO],PRODUCTOS[[#This Row],[CODIGO]])</f>
        <v/>
      </c>
      <c r="G1022" s="56">
        <f>SUMIFS(SALIDAS[CANTIDAD],SALIDAS[CODIGO],PRODUCTOS[[#This Row],[CODIGO]])</f>
        <v/>
      </c>
      <c r="H1022" s="56">
        <f>PRODUCTOS[[#This Row],[ENTRADAS]]-PRODUCTOS[[#This Row],[SALIDAS ]]</f>
        <v/>
      </c>
      <c r="I1022" s="76" t="n">
        <v>0</v>
      </c>
      <c r="J1022">
        <f>IF(PRODUCTOS[[#This Row],[STOCK]]&lt;0,"NEGATIVO",IF(PRODUCTOS[[#This Row],[STOCK]]=0,"SIN STOCK",IF(PRODUCTOS[[#This Row],[STOCK]]&lt;=PRODUCTOS[[#This Row],[STOCK MÍN.]],"BAJO","OK")))</f>
        <v/>
      </c>
      <c r="K10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23" hidden="1" s="11">
      <c r="A1023" s="18" t="n">
        <v>1008</v>
      </c>
      <c r="B1023" s="56" t="inlineStr">
        <is>
          <t>00065-PLM</t>
        </is>
      </c>
      <c r="C1023" s="56">
        <f>IFERROR(_xlfn.XLOOKUP(PRODUCTOS[[#This Row],[CODIGO]],LISTADO[CODIGOS],LISTADO[CATEGORIA]),"NO EXISTE")</f>
        <v/>
      </c>
      <c r="D1023" s="56">
        <f>IFERROR(_xlfn.XLOOKUP(PRODUCTOS[[#This Row],[CODIGO]],LISTADO[CODIGOS],LISTADO[PRODUCTOS]),"NO EXISTE")</f>
        <v/>
      </c>
      <c r="E1023" s="56">
        <f>IFERROR(_xlfn.XLOOKUP(PRODUCTOS[[#This Row],[CODIGO]],LISTADO[CODIGOS],LISTADO[UBICACIÓN]),"NO EXISTE")</f>
        <v/>
      </c>
      <c r="F1023" s="56">
        <f>SUMIFS(ENTRADAS[CANTIDAD],ENTRADAS[CODIGO],PRODUCTOS[[#This Row],[CODIGO]])</f>
        <v/>
      </c>
      <c r="G1023" s="56">
        <f>SUMIFS(SALIDAS[CANTIDAD],SALIDAS[CODIGO],PRODUCTOS[[#This Row],[CODIGO]])</f>
        <v/>
      </c>
      <c r="H1023" s="56">
        <f>PRODUCTOS[[#This Row],[ENTRADAS]]-PRODUCTOS[[#This Row],[SALIDAS ]]</f>
        <v/>
      </c>
      <c r="I1023" s="76" t="n">
        <v>0</v>
      </c>
      <c r="J1023">
        <f>IF(PRODUCTOS[[#This Row],[STOCK]]&lt;0,"NEGATIVO",IF(PRODUCTOS[[#This Row],[STOCK]]=0,"SIN STOCK",IF(PRODUCTOS[[#This Row],[STOCK]]&lt;=PRODUCTOS[[#This Row],[STOCK MÍN.]],"BAJO","OK")))</f>
        <v/>
      </c>
      <c r="K10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24" hidden="1" s="11">
      <c r="A1024" s="18" t="n">
        <v>1009</v>
      </c>
      <c r="B1024" s="56" t="inlineStr">
        <is>
          <t>00026-AUT</t>
        </is>
      </c>
      <c r="C1024" s="56">
        <f>IFERROR(_xlfn.XLOOKUP(PRODUCTOS[[#This Row],[CODIGO]],LISTADO[CODIGOS],LISTADO[CATEGORIA]),"NO EXISTE")</f>
        <v/>
      </c>
      <c r="D1024" s="56">
        <f>IFERROR(_xlfn.XLOOKUP(PRODUCTOS[[#This Row],[CODIGO]],LISTADO[CODIGOS],LISTADO[PRODUCTOS]),"NO EXISTE")</f>
        <v/>
      </c>
      <c r="E1024" s="56">
        <f>IFERROR(_xlfn.XLOOKUP(PRODUCTOS[[#This Row],[CODIGO]],LISTADO[CODIGOS],LISTADO[UBICACIÓN]),"NO EXISTE")</f>
        <v/>
      </c>
      <c r="F1024" s="56">
        <f>SUMIFS(ENTRADAS[CANTIDAD],ENTRADAS[CODIGO],PRODUCTOS[[#This Row],[CODIGO]])</f>
        <v/>
      </c>
      <c r="G1024" s="56">
        <f>SUMIFS(SALIDAS[CANTIDAD],SALIDAS[CODIGO],PRODUCTOS[[#This Row],[CODIGO]])</f>
        <v/>
      </c>
      <c r="H1024" s="56">
        <f>PRODUCTOS[[#This Row],[ENTRADAS]]-PRODUCTOS[[#This Row],[SALIDAS ]]</f>
        <v/>
      </c>
      <c r="I1024" s="76" t="n">
        <v>0</v>
      </c>
      <c r="J1024">
        <f>IF(PRODUCTOS[[#This Row],[STOCK]]&lt;0,"NEGATIVO",IF(PRODUCTOS[[#This Row],[STOCK]]=0,"SIN STOCK",IF(PRODUCTOS[[#This Row],[STOCK]]&lt;=PRODUCTOS[[#This Row],[STOCK MÍN.]],"BAJO","OK")))</f>
        <v/>
      </c>
      <c r="K10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25" hidden="1" s="11">
      <c r="A1025" s="18" t="n">
        <v>1010</v>
      </c>
      <c r="B1025" s="56" t="inlineStr">
        <is>
          <t>00211-FER</t>
        </is>
      </c>
      <c r="C1025" s="56">
        <f>IFERROR(_xlfn.XLOOKUP(PRODUCTOS[[#This Row],[CODIGO]],LISTADO[CODIGOS],LISTADO[CATEGORIA]),"NO EXISTE")</f>
        <v/>
      </c>
      <c r="D1025" s="56">
        <f>IFERROR(_xlfn.XLOOKUP(PRODUCTOS[[#This Row],[CODIGO]],LISTADO[CODIGOS],LISTADO[PRODUCTOS]),"NO EXISTE")</f>
        <v/>
      </c>
      <c r="E1025" s="56">
        <f>IFERROR(_xlfn.XLOOKUP(PRODUCTOS[[#This Row],[CODIGO]],LISTADO[CODIGOS],LISTADO[UBICACIÓN]),"NO EXISTE")</f>
        <v/>
      </c>
      <c r="F1025" s="56">
        <f>SUMIFS(ENTRADAS[CANTIDAD],ENTRADAS[CODIGO],PRODUCTOS[[#This Row],[CODIGO]])</f>
        <v/>
      </c>
      <c r="G1025" s="56">
        <f>SUMIFS(SALIDAS[CANTIDAD],SALIDAS[CODIGO],PRODUCTOS[[#This Row],[CODIGO]])</f>
        <v/>
      </c>
      <c r="H1025" s="56">
        <f>PRODUCTOS[[#This Row],[ENTRADAS]]-PRODUCTOS[[#This Row],[SALIDAS ]]</f>
        <v/>
      </c>
      <c r="I1025" s="76" t="n">
        <v>0</v>
      </c>
      <c r="J1025">
        <f>IF(PRODUCTOS[[#This Row],[STOCK]]&lt;0,"NEGATIVO",IF(PRODUCTOS[[#This Row],[STOCK]]=0,"SIN STOCK",IF(PRODUCTOS[[#This Row],[STOCK]]&lt;=PRODUCTOS[[#This Row],[STOCK MÍN.]],"BAJO","OK")))</f>
        <v/>
      </c>
      <c r="K10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26" hidden="1" s="11">
      <c r="A1026" s="18" t="n">
        <v>1011</v>
      </c>
      <c r="B1026" s="56" t="inlineStr">
        <is>
          <t>00212-FER</t>
        </is>
      </c>
      <c r="C1026" s="56">
        <f>IFERROR(_xlfn.XLOOKUP(PRODUCTOS[[#This Row],[CODIGO]],LISTADO[CODIGOS],LISTADO[CATEGORIA]),"NO EXISTE")</f>
        <v/>
      </c>
      <c r="D1026" s="56">
        <f>IFERROR(_xlfn.XLOOKUP(PRODUCTOS[[#This Row],[CODIGO]],LISTADO[CODIGOS],LISTADO[PRODUCTOS]),"NO EXISTE")</f>
        <v/>
      </c>
      <c r="E1026" s="56">
        <f>IFERROR(_xlfn.XLOOKUP(PRODUCTOS[[#This Row],[CODIGO]],LISTADO[CODIGOS],LISTADO[UBICACIÓN]),"NO EXISTE")</f>
        <v/>
      </c>
      <c r="F1026" s="56">
        <f>SUMIFS(ENTRADAS[CANTIDAD],ENTRADAS[CODIGO],PRODUCTOS[[#This Row],[CODIGO]])</f>
        <v/>
      </c>
      <c r="G1026" s="56">
        <f>SUMIFS(SALIDAS[CANTIDAD],SALIDAS[CODIGO],PRODUCTOS[[#This Row],[CODIGO]])</f>
        <v/>
      </c>
      <c r="H1026" s="56">
        <f>PRODUCTOS[[#This Row],[ENTRADAS]]-PRODUCTOS[[#This Row],[SALIDAS ]]</f>
        <v/>
      </c>
      <c r="I1026" s="76" t="n">
        <v>0</v>
      </c>
      <c r="J1026">
        <f>IF(PRODUCTOS[[#This Row],[STOCK]]&lt;0,"NEGATIVO",IF(PRODUCTOS[[#This Row],[STOCK]]=0,"SIN STOCK",IF(PRODUCTOS[[#This Row],[STOCK]]&lt;=PRODUCTOS[[#This Row],[STOCK MÍN.]],"BAJO","OK")))</f>
        <v/>
      </c>
      <c r="K10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27" hidden="1" s="11">
      <c r="A1027" s="18" t="n">
        <v>1012</v>
      </c>
      <c r="B1027" s="56" t="inlineStr">
        <is>
          <t>00027-AUT</t>
        </is>
      </c>
      <c r="C1027" s="56">
        <f>IFERROR(_xlfn.XLOOKUP(PRODUCTOS[[#This Row],[CODIGO]],LISTADO[CODIGOS],LISTADO[CATEGORIA]),"NO EXISTE")</f>
        <v/>
      </c>
      <c r="D1027" s="56">
        <f>IFERROR(_xlfn.XLOOKUP(PRODUCTOS[[#This Row],[CODIGO]],LISTADO[CODIGOS],LISTADO[PRODUCTOS]),"NO EXISTE")</f>
        <v/>
      </c>
      <c r="E1027" s="56">
        <f>IFERROR(_xlfn.XLOOKUP(PRODUCTOS[[#This Row],[CODIGO]],LISTADO[CODIGOS],LISTADO[UBICACIÓN]),"NO EXISTE")</f>
        <v/>
      </c>
      <c r="F1027" s="56">
        <f>SUMIFS(ENTRADAS[CANTIDAD],ENTRADAS[CODIGO],PRODUCTOS[[#This Row],[CODIGO]])</f>
        <v/>
      </c>
      <c r="G1027" s="56">
        <f>SUMIFS(SALIDAS[CANTIDAD],SALIDAS[CODIGO],PRODUCTOS[[#This Row],[CODIGO]])</f>
        <v/>
      </c>
      <c r="H1027" s="56">
        <f>PRODUCTOS[[#This Row],[ENTRADAS]]-PRODUCTOS[[#This Row],[SALIDAS ]]</f>
        <v/>
      </c>
      <c r="I1027" s="76" t="n">
        <v>0</v>
      </c>
      <c r="J1027">
        <f>IF(PRODUCTOS[[#This Row],[STOCK]]&lt;0,"NEGATIVO",IF(PRODUCTOS[[#This Row],[STOCK]]=0,"SIN STOCK",IF(PRODUCTOS[[#This Row],[STOCK]]&lt;=PRODUCTOS[[#This Row],[STOCK MÍN.]],"BAJO","OK")))</f>
        <v/>
      </c>
      <c r="K10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28" hidden="1" s="11">
      <c r="A1028" s="18" t="n">
        <v>1013</v>
      </c>
      <c r="B1028" s="56" t="inlineStr">
        <is>
          <t>00025-MSC</t>
        </is>
      </c>
      <c r="C1028" s="56">
        <f>IFERROR(_xlfn.XLOOKUP(PRODUCTOS[[#This Row],[CODIGO]],LISTADO[CODIGOS],LISTADO[CATEGORIA]),"NO EXISTE")</f>
        <v/>
      </c>
      <c r="D1028" s="56">
        <f>IFERROR(_xlfn.XLOOKUP(PRODUCTOS[[#This Row],[CODIGO]],LISTADO[CODIGOS],LISTADO[PRODUCTOS]),"NO EXISTE")</f>
        <v/>
      </c>
      <c r="E1028" s="56">
        <f>IFERROR(_xlfn.XLOOKUP(PRODUCTOS[[#This Row],[CODIGO]],LISTADO[CODIGOS],LISTADO[UBICACIÓN]),"NO EXISTE")</f>
        <v/>
      </c>
      <c r="F1028" s="56">
        <f>SUMIFS(ENTRADAS[CANTIDAD],ENTRADAS[CODIGO],PRODUCTOS[[#This Row],[CODIGO]])</f>
        <v/>
      </c>
      <c r="G1028" s="56">
        <f>SUMIFS(SALIDAS[CANTIDAD],SALIDAS[CODIGO],PRODUCTOS[[#This Row],[CODIGO]])</f>
        <v/>
      </c>
      <c r="H1028" s="56">
        <f>PRODUCTOS[[#This Row],[ENTRADAS]]-PRODUCTOS[[#This Row],[SALIDAS ]]</f>
        <v/>
      </c>
      <c r="I1028" s="76" t="n">
        <v>0</v>
      </c>
      <c r="J1028">
        <f>IF(PRODUCTOS[[#This Row],[STOCK]]&lt;0,"NEGATIVO",IF(PRODUCTOS[[#This Row],[STOCK]]=0,"SIN STOCK",IF(PRODUCTOS[[#This Row],[STOCK]]&lt;=PRODUCTOS[[#This Row],[STOCK MÍN.]],"BAJO","OK")))</f>
        <v/>
      </c>
      <c r="K10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29" hidden="1" s="11">
      <c r="A1029" s="18" t="n">
        <v>1014</v>
      </c>
      <c r="B1029" s="56" t="inlineStr">
        <is>
          <t>00130-REF</t>
        </is>
      </c>
      <c r="C1029" s="56">
        <f>IFERROR(_xlfn.XLOOKUP(PRODUCTOS[[#This Row],[CODIGO]],LISTADO[CODIGOS],LISTADO[CATEGORIA]),"NO EXISTE")</f>
        <v/>
      </c>
      <c r="D1029" s="56">
        <f>IFERROR(_xlfn.XLOOKUP(PRODUCTOS[[#This Row],[CODIGO]],LISTADO[CODIGOS],LISTADO[PRODUCTOS]),"NO EXISTE")</f>
        <v/>
      </c>
      <c r="E1029" s="56">
        <f>IFERROR(_xlfn.XLOOKUP(PRODUCTOS[[#This Row],[CODIGO]],LISTADO[CODIGOS],LISTADO[UBICACIÓN]),"NO EXISTE")</f>
        <v/>
      </c>
      <c r="F1029" s="56">
        <f>SUMIFS(ENTRADAS[CANTIDAD],ENTRADAS[CODIGO],PRODUCTOS[[#This Row],[CODIGO]])</f>
        <v/>
      </c>
      <c r="G1029" s="56">
        <f>SUMIFS(SALIDAS[CANTIDAD],SALIDAS[CODIGO],PRODUCTOS[[#This Row],[CODIGO]])</f>
        <v/>
      </c>
      <c r="H1029" s="56">
        <f>PRODUCTOS[[#This Row],[ENTRADAS]]-PRODUCTOS[[#This Row],[SALIDAS ]]</f>
        <v/>
      </c>
      <c r="I1029" s="76" t="n">
        <v>0</v>
      </c>
      <c r="J1029">
        <f>IF(PRODUCTOS[[#This Row],[STOCK]]&lt;0,"NEGATIVO",IF(PRODUCTOS[[#This Row],[STOCK]]=0,"SIN STOCK",IF(PRODUCTOS[[#This Row],[STOCK]]&lt;=PRODUCTOS[[#This Row],[STOCK MÍN.]],"BAJO","OK")))</f>
        <v/>
      </c>
      <c r="K10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30" hidden="1" s="11">
      <c r="A1030" s="18" t="n">
        <v>1015</v>
      </c>
      <c r="B1030" s="56" t="inlineStr">
        <is>
          <t>00131-REF</t>
        </is>
      </c>
      <c r="C1030" s="56">
        <f>IFERROR(_xlfn.XLOOKUP(PRODUCTOS[[#This Row],[CODIGO]],LISTADO[CODIGOS],LISTADO[CATEGORIA]),"NO EXISTE")</f>
        <v/>
      </c>
      <c r="D1030" s="56">
        <f>IFERROR(_xlfn.XLOOKUP(PRODUCTOS[[#This Row],[CODIGO]],LISTADO[CODIGOS],LISTADO[PRODUCTOS]),"NO EXISTE")</f>
        <v/>
      </c>
      <c r="E1030" s="56">
        <f>IFERROR(_xlfn.XLOOKUP(PRODUCTOS[[#This Row],[CODIGO]],LISTADO[CODIGOS],LISTADO[UBICACIÓN]),"NO EXISTE")</f>
        <v/>
      </c>
      <c r="F1030" s="56">
        <f>SUMIFS(ENTRADAS[CANTIDAD],ENTRADAS[CODIGO],PRODUCTOS[[#This Row],[CODIGO]])</f>
        <v/>
      </c>
      <c r="G1030" s="56">
        <f>SUMIFS(SALIDAS[CANTIDAD],SALIDAS[CODIGO],PRODUCTOS[[#This Row],[CODIGO]])</f>
        <v/>
      </c>
      <c r="H1030" s="56">
        <f>PRODUCTOS[[#This Row],[ENTRADAS]]-PRODUCTOS[[#This Row],[SALIDAS ]]</f>
        <v/>
      </c>
      <c r="I1030" s="76" t="n">
        <v>0</v>
      </c>
      <c r="J1030">
        <f>IF(PRODUCTOS[[#This Row],[STOCK]]&lt;0,"NEGATIVO",IF(PRODUCTOS[[#This Row],[STOCK]]=0,"SIN STOCK",IF(PRODUCTOS[[#This Row],[STOCK]]&lt;=PRODUCTOS[[#This Row],[STOCK MÍN.]],"BAJO","OK")))</f>
        <v/>
      </c>
      <c r="K10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31" hidden="1" s="11">
      <c r="A1031" s="18" t="n">
        <v>1016</v>
      </c>
      <c r="B1031" s="56" t="inlineStr">
        <is>
          <t>00132-REF</t>
        </is>
      </c>
      <c r="C1031" s="56">
        <f>IFERROR(_xlfn.XLOOKUP(PRODUCTOS[[#This Row],[CODIGO]],LISTADO[CODIGOS],LISTADO[CATEGORIA]),"NO EXISTE")</f>
        <v/>
      </c>
      <c r="D1031" s="56">
        <f>IFERROR(_xlfn.XLOOKUP(PRODUCTOS[[#This Row],[CODIGO]],LISTADO[CODIGOS],LISTADO[PRODUCTOS]),"NO EXISTE")</f>
        <v/>
      </c>
      <c r="E1031" s="56">
        <f>IFERROR(_xlfn.XLOOKUP(PRODUCTOS[[#This Row],[CODIGO]],LISTADO[CODIGOS],LISTADO[UBICACIÓN]),"NO EXISTE")</f>
        <v/>
      </c>
      <c r="F1031" s="56">
        <f>SUMIFS(ENTRADAS[CANTIDAD],ENTRADAS[CODIGO],PRODUCTOS[[#This Row],[CODIGO]])</f>
        <v/>
      </c>
      <c r="G1031" s="56">
        <f>SUMIFS(SALIDAS[CANTIDAD],SALIDAS[CODIGO],PRODUCTOS[[#This Row],[CODIGO]])</f>
        <v/>
      </c>
      <c r="H1031" s="56">
        <f>PRODUCTOS[[#This Row],[ENTRADAS]]-PRODUCTOS[[#This Row],[SALIDAS ]]</f>
        <v/>
      </c>
      <c r="I1031" s="76" t="n">
        <v>0</v>
      </c>
      <c r="J1031">
        <f>IF(PRODUCTOS[[#This Row],[STOCK]]&lt;0,"NEGATIVO",IF(PRODUCTOS[[#This Row],[STOCK]]=0,"SIN STOCK",IF(PRODUCTOS[[#This Row],[STOCK]]&lt;=PRODUCTOS[[#This Row],[STOCK MÍN.]],"BAJO","OK")))</f>
        <v/>
      </c>
      <c r="K10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32" hidden="1" s="11">
      <c r="A1032" s="18" t="n">
        <v>1017</v>
      </c>
      <c r="B1032" s="56" t="inlineStr">
        <is>
          <t>00213-FER</t>
        </is>
      </c>
      <c r="C1032" s="56">
        <f>IFERROR(_xlfn.XLOOKUP(PRODUCTOS[[#This Row],[CODIGO]],LISTADO[CODIGOS],LISTADO[CATEGORIA]),"NO EXISTE")</f>
        <v/>
      </c>
      <c r="D1032" s="56">
        <f>IFERROR(_xlfn.XLOOKUP(PRODUCTOS[[#This Row],[CODIGO]],LISTADO[CODIGOS],LISTADO[PRODUCTOS]),"NO EXISTE")</f>
        <v/>
      </c>
      <c r="E1032" s="56">
        <f>IFERROR(_xlfn.XLOOKUP(PRODUCTOS[[#This Row],[CODIGO]],LISTADO[CODIGOS],LISTADO[UBICACIÓN]),"NO EXISTE")</f>
        <v/>
      </c>
      <c r="F1032" s="56">
        <f>SUMIFS(ENTRADAS[CANTIDAD],ENTRADAS[CODIGO],PRODUCTOS[[#This Row],[CODIGO]])</f>
        <v/>
      </c>
      <c r="G1032" s="56">
        <f>SUMIFS(SALIDAS[CANTIDAD],SALIDAS[CODIGO],PRODUCTOS[[#This Row],[CODIGO]])</f>
        <v/>
      </c>
      <c r="H1032" s="56">
        <f>PRODUCTOS[[#This Row],[ENTRADAS]]-PRODUCTOS[[#This Row],[SALIDAS ]]</f>
        <v/>
      </c>
      <c r="I1032" s="76" t="n">
        <v>0</v>
      </c>
      <c r="J1032">
        <f>IF(PRODUCTOS[[#This Row],[STOCK]]&lt;0,"NEGATIVO",IF(PRODUCTOS[[#This Row],[STOCK]]=0,"SIN STOCK",IF(PRODUCTOS[[#This Row],[STOCK]]&lt;=PRODUCTOS[[#This Row],[STOCK MÍN.]],"BAJO","OK")))</f>
        <v/>
      </c>
      <c r="K10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33" hidden="1" s="11">
      <c r="A1033" s="18" t="n">
        <v>1018</v>
      </c>
      <c r="B1033" s="56" t="inlineStr">
        <is>
          <t>00099-ELE</t>
        </is>
      </c>
      <c r="C1033" s="56">
        <f>IFERROR(_xlfn.XLOOKUP(PRODUCTOS[[#This Row],[CODIGO]],LISTADO[CODIGOS],LISTADO[CATEGORIA]),"NO EXISTE")</f>
        <v/>
      </c>
      <c r="D1033" s="56">
        <f>IFERROR(_xlfn.XLOOKUP(PRODUCTOS[[#This Row],[CODIGO]],LISTADO[CODIGOS],LISTADO[PRODUCTOS]),"NO EXISTE")</f>
        <v/>
      </c>
      <c r="E1033" s="56">
        <f>IFERROR(_xlfn.XLOOKUP(PRODUCTOS[[#This Row],[CODIGO]],LISTADO[CODIGOS],LISTADO[UBICACIÓN]),"NO EXISTE")</f>
        <v/>
      </c>
      <c r="F1033" s="56">
        <f>SUMIFS(ENTRADAS[CANTIDAD],ENTRADAS[CODIGO],PRODUCTOS[[#This Row],[CODIGO]])</f>
        <v/>
      </c>
      <c r="G1033" s="56">
        <f>SUMIFS(SALIDAS[CANTIDAD],SALIDAS[CODIGO],PRODUCTOS[[#This Row],[CODIGO]])</f>
        <v/>
      </c>
      <c r="H1033" s="56">
        <f>PRODUCTOS[[#This Row],[ENTRADAS]]-PRODUCTOS[[#This Row],[SALIDAS ]]</f>
        <v/>
      </c>
      <c r="I1033" s="76" t="n">
        <v>0</v>
      </c>
      <c r="J1033">
        <f>IF(PRODUCTOS[[#This Row],[STOCK]]&lt;0,"NEGATIVO",IF(PRODUCTOS[[#This Row],[STOCK]]=0,"SIN STOCK",IF(PRODUCTOS[[#This Row],[STOCK]]&lt;=PRODUCTOS[[#This Row],[STOCK MÍN.]],"BAJO","OK")))</f>
        <v/>
      </c>
      <c r="K10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34" hidden="1" s="11">
      <c r="A1034" s="18" t="n">
        <v>1019</v>
      </c>
      <c r="B1034" s="56" t="inlineStr">
        <is>
          <t>00122-HER</t>
        </is>
      </c>
      <c r="C1034" s="56">
        <f>IFERROR(_xlfn.XLOOKUP(PRODUCTOS[[#This Row],[CODIGO]],LISTADO[CODIGOS],LISTADO[CATEGORIA]),"NO EXISTE")</f>
        <v/>
      </c>
      <c r="D1034" s="56">
        <f>IFERROR(_xlfn.XLOOKUP(PRODUCTOS[[#This Row],[CODIGO]],LISTADO[CODIGOS],LISTADO[PRODUCTOS]),"NO EXISTE")</f>
        <v/>
      </c>
      <c r="E1034" s="56">
        <f>IFERROR(_xlfn.XLOOKUP(PRODUCTOS[[#This Row],[CODIGO]],LISTADO[CODIGOS],LISTADO[UBICACIÓN]),"NO EXISTE")</f>
        <v/>
      </c>
      <c r="F1034" s="56">
        <f>SUMIFS(ENTRADAS[CANTIDAD],ENTRADAS[CODIGO],PRODUCTOS[[#This Row],[CODIGO]])</f>
        <v/>
      </c>
      <c r="G1034" s="56">
        <f>SUMIFS(SALIDAS[CANTIDAD],SALIDAS[CODIGO],PRODUCTOS[[#This Row],[CODIGO]])</f>
        <v/>
      </c>
      <c r="H1034" s="56">
        <f>PRODUCTOS[[#This Row],[ENTRADAS]]-PRODUCTOS[[#This Row],[SALIDAS ]]</f>
        <v/>
      </c>
      <c r="I1034" s="76" t="n">
        <v>0</v>
      </c>
      <c r="J1034">
        <f>IF(PRODUCTOS[[#This Row],[STOCK]]&lt;0,"NEGATIVO",IF(PRODUCTOS[[#This Row],[STOCK]]=0,"SIN STOCK",IF(PRODUCTOS[[#This Row],[STOCK]]&lt;=PRODUCTOS[[#This Row],[STOCK MÍN.]],"BAJO","OK")))</f>
        <v/>
      </c>
      <c r="K10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35" hidden="1" s="11">
      <c r="A1035" s="18" t="n">
        <v>1020</v>
      </c>
      <c r="B1035" s="56" t="inlineStr">
        <is>
          <t>00123-HER</t>
        </is>
      </c>
      <c r="C1035" s="56">
        <f>IFERROR(_xlfn.XLOOKUP(PRODUCTOS[[#This Row],[CODIGO]],LISTADO[CODIGOS],LISTADO[CATEGORIA]),"NO EXISTE")</f>
        <v/>
      </c>
      <c r="D1035" s="56">
        <f>IFERROR(_xlfn.XLOOKUP(PRODUCTOS[[#This Row],[CODIGO]],LISTADO[CODIGOS],LISTADO[PRODUCTOS]),"NO EXISTE")</f>
        <v/>
      </c>
      <c r="E1035" s="56">
        <f>IFERROR(_xlfn.XLOOKUP(PRODUCTOS[[#This Row],[CODIGO]],LISTADO[CODIGOS],LISTADO[UBICACIÓN]),"NO EXISTE")</f>
        <v/>
      </c>
      <c r="F1035" s="56">
        <f>SUMIFS(ENTRADAS[CANTIDAD],ENTRADAS[CODIGO],PRODUCTOS[[#This Row],[CODIGO]])</f>
        <v/>
      </c>
      <c r="G1035" s="56">
        <f>SUMIFS(SALIDAS[CANTIDAD],SALIDAS[CODIGO],PRODUCTOS[[#This Row],[CODIGO]])</f>
        <v/>
      </c>
      <c r="H1035" s="56">
        <f>PRODUCTOS[[#This Row],[ENTRADAS]]-PRODUCTOS[[#This Row],[SALIDAS ]]</f>
        <v/>
      </c>
      <c r="I1035" s="76" t="n">
        <v>0</v>
      </c>
      <c r="J1035">
        <f>IF(PRODUCTOS[[#This Row],[STOCK]]&lt;0,"NEGATIVO",IF(PRODUCTOS[[#This Row],[STOCK]]=0,"SIN STOCK",IF(PRODUCTOS[[#This Row],[STOCK]]&lt;=PRODUCTOS[[#This Row],[STOCK MÍN.]],"BAJO","OK")))</f>
        <v/>
      </c>
      <c r="K10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36" hidden="1" s="11">
      <c r="A1036" s="18" t="n">
        <v>1021</v>
      </c>
      <c r="B1036" s="56" t="inlineStr">
        <is>
          <t>00124-HER</t>
        </is>
      </c>
      <c r="C1036" s="56">
        <f>IFERROR(_xlfn.XLOOKUP(PRODUCTOS[[#This Row],[CODIGO]],LISTADO[CODIGOS],LISTADO[CATEGORIA]),"NO EXISTE")</f>
        <v/>
      </c>
      <c r="D1036" s="56">
        <f>IFERROR(_xlfn.XLOOKUP(PRODUCTOS[[#This Row],[CODIGO]],LISTADO[CODIGOS],LISTADO[PRODUCTOS]),"NO EXISTE")</f>
        <v/>
      </c>
      <c r="E1036" s="56">
        <f>IFERROR(_xlfn.XLOOKUP(PRODUCTOS[[#This Row],[CODIGO]],LISTADO[CODIGOS],LISTADO[UBICACIÓN]),"NO EXISTE")</f>
        <v/>
      </c>
      <c r="F1036" s="56">
        <f>SUMIFS(ENTRADAS[CANTIDAD],ENTRADAS[CODIGO],PRODUCTOS[[#This Row],[CODIGO]])</f>
        <v/>
      </c>
      <c r="G1036" s="56">
        <f>SUMIFS(SALIDAS[CANTIDAD],SALIDAS[CODIGO],PRODUCTOS[[#This Row],[CODIGO]])</f>
        <v/>
      </c>
      <c r="H1036" s="56">
        <f>PRODUCTOS[[#This Row],[ENTRADAS]]-PRODUCTOS[[#This Row],[SALIDAS ]]</f>
        <v/>
      </c>
      <c r="I1036" s="76" t="n">
        <v>0</v>
      </c>
      <c r="J1036">
        <f>IF(PRODUCTOS[[#This Row],[STOCK]]&lt;0,"NEGATIVO",IF(PRODUCTOS[[#This Row],[STOCK]]=0,"SIN STOCK",IF(PRODUCTOS[[#This Row],[STOCK]]&lt;=PRODUCTOS[[#This Row],[STOCK MÍN.]],"BAJO","OK")))</f>
        <v/>
      </c>
      <c r="K10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37" hidden="1" s="11">
      <c r="A1037" s="18" t="n">
        <v>1022</v>
      </c>
      <c r="B1037" s="56" t="inlineStr">
        <is>
          <t>00125-HER</t>
        </is>
      </c>
      <c r="C1037" s="56">
        <f>IFERROR(_xlfn.XLOOKUP(PRODUCTOS[[#This Row],[CODIGO]],LISTADO[CODIGOS],LISTADO[CATEGORIA]),"NO EXISTE")</f>
        <v/>
      </c>
      <c r="D1037" s="56">
        <f>IFERROR(_xlfn.XLOOKUP(PRODUCTOS[[#This Row],[CODIGO]],LISTADO[CODIGOS],LISTADO[PRODUCTOS]),"NO EXISTE")</f>
        <v/>
      </c>
      <c r="E1037" s="56">
        <f>IFERROR(_xlfn.XLOOKUP(PRODUCTOS[[#This Row],[CODIGO]],LISTADO[CODIGOS],LISTADO[UBICACIÓN]),"NO EXISTE")</f>
        <v/>
      </c>
      <c r="F1037" s="56">
        <f>SUMIFS(ENTRADAS[CANTIDAD],ENTRADAS[CODIGO],PRODUCTOS[[#This Row],[CODIGO]])</f>
        <v/>
      </c>
      <c r="G1037" s="56">
        <f>SUMIFS(SALIDAS[CANTIDAD],SALIDAS[CODIGO],PRODUCTOS[[#This Row],[CODIGO]])</f>
        <v/>
      </c>
      <c r="H1037" s="56">
        <f>PRODUCTOS[[#This Row],[ENTRADAS]]-PRODUCTOS[[#This Row],[SALIDAS ]]</f>
        <v/>
      </c>
      <c r="I1037" s="76" t="n">
        <v>0</v>
      </c>
      <c r="J1037">
        <f>IF(PRODUCTOS[[#This Row],[STOCK]]&lt;0,"NEGATIVO",IF(PRODUCTOS[[#This Row],[STOCK]]=0,"SIN STOCK",IF(PRODUCTOS[[#This Row],[STOCK]]&lt;=PRODUCTOS[[#This Row],[STOCK MÍN.]],"BAJO","OK")))</f>
        <v/>
      </c>
      <c r="K10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38" hidden="1" s="11">
      <c r="A1038" s="18" t="n">
        <v>1023</v>
      </c>
      <c r="B1038" s="56" t="inlineStr">
        <is>
          <t>00126-HER</t>
        </is>
      </c>
      <c r="C1038" s="56">
        <f>IFERROR(_xlfn.XLOOKUP(PRODUCTOS[[#This Row],[CODIGO]],LISTADO[CODIGOS],LISTADO[CATEGORIA]),"NO EXISTE")</f>
        <v/>
      </c>
      <c r="D1038" s="56">
        <f>IFERROR(_xlfn.XLOOKUP(PRODUCTOS[[#This Row],[CODIGO]],LISTADO[CODIGOS],LISTADO[PRODUCTOS]),"NO EXISTE")</f>
        <v/>
      </c>
      <c r="E1038" s="56">
        <f>IFERROR(_xlfn.XLOOKUP(PRODUCTOS[[#This Row],[CODIGO]],LISTADO[CODIGOS],LISTADO[UBICACIÓN]),"NO EXISTE")</f>
        <v/>
      </c>
      <c r="F1038" s="56">
        <f>SUMIFS(ENTRADAS[CANTIDAD],ENTRADAS[CODIGO],PRODUCTOS[[#This Row],[CODIGO]])</f>
        <v/>
      </c>
      <c r="G1038" s="56">
        <f>SUMIFS(SALIDAS[CANTIDAD],SALIDAS[CODIGO],PRODUCTOS[[#This Row],[CODIGO]])</f>
        <v/>
      </c>
      <c r="H1038" s="56">
        <f>PRODUCTOS[[#This Row],[ENTRADAS]]-PRODUCTOS[[#This Row],[SALIDAS ]]</f>
        <v/>
      </c>
      <c r="I1038" s="76" t="n">
        <v>0</v>
      </c>
      <c r="J1038">
        <f>IF(PRODUCTOS[[#This Row],[STOCK]]&lt;0,"NEGATIVO",IF(PRODUCTOS[[#This Row],[STOCK]]=0,"SIN STOCK",IF(PRODUCTOS[[#This Row],[STOCK]]&lt;=PRODUCTOS[[#This Row],[STOCK MÍN.]],"BAJO","OK")))</f>
        <v/>
      </c>
      <c r="K10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39" hidden="1" s="11">
      <c r="A1039" s="18" t="n">
        <v>1024</v>
      </c>
      <c r="B1039" s="56" t="inlineStr">
        <is>
          <t>00127-HER</t>
        </is>
      </c>
      <c r="C1039" s="56">
        <f>IFERROR(_xlfn.XLOOKUP(PRODUCTOS[[#This Row],[CODIGO]],LISTADO[CODIGOS],LISTADO[CATEGORIA]),"NO EXISTE")</f>
        <v/>
      </c>
      <c r="D1039" s="56">
        <f>IFERROR(_xlfn.XLOOKUP(PRODUCTOS[[#This Row],[CODIGO]],LISTADO[CODIGOS],LISTADO[PRODUCTOS]),"NO EXISTE")</f>
        <v/>
      </c>
      <c r="E1039" s="56">
        <f>IFERROR(_xlfn.XLOOKUP(PRODUCTOS[[#This Row],[CODIGO]],LISTADO[CODIGOS],LISTADO[UBICACIÓN]),"NO EXISTE")</f>
        <v/>
      </c>
      <c r="F1039" s="56">
        <f>SUMIFS(ENTRADAS[CANTIDAD],ENTRADAS[CODIGO],PRODUCTOS[[#This Row],[CODIGO]])</f>
        <v/>
      </c>
      <c r="G1039" s="56">
        <f>SUMIFS(SALIDAS[CANTIDAD],SALIDAS[CODIGO],PRODUCTOS[[#This Row],[CODIGO]])</f>
        <v/>
      </c>
      <c r="H1039" s="56">
        <f>PRODUCTOS[[#This Row],[ENTRADAS]]-PRODUCTOS[[#This Row],[SALIDAS ]]</f>
        <v/>
      </c>
      <c r="I1039" s="76" t="n">
        <v>0</v>
      </c>
      <c r="J1039">
        <f>IF(PRODUCTOS[[#This Row],[STOCK]]&lt;0,"NEGATIVO",IF(PRODUCTOS[[#This Row],[STOCK]]=0,"SIN STOCK",IF(PRODUCTOS[[#This Row],[STOCK]]&lt;=PRODUCTOS[[#This Row],[STOCK MÍN.]],"BAJO","OK")))</f>
        <v/>
      </c>
      <c r="K10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40" hidden="1" s="11">
      <c r="A1040" s="18" t="n">
        <v>1025</v>
      </c>
      <c r="B1040" s="56" t="inlineStr">
        <is>
          <t>00128-HER</t>
        </is>
      </c>
      <c r="C1040" s="56">
        <f>IFERROR(_xlfn.XLOOKUP(PRODUCTOS[[#This Row],[CODIGO]],LISTADO[CODIGOS],LISTADO[CATEGORIA]),"NO EXISTE")</f>
        <v/>
      </c>
      <c r="D1040" s="56">
        <f>IFERROR(_xlfn.XLOOKUP(PRODUCTOS[[#This Row],[CODIGO]],LISTADO[CODIGOS],LISTADO[PRODUCTOS]),"NO EXISTE")</f>
        <v/>
      </c>
      <c r="E1040" s="56">
        <f>IFERROR(_xlfn.XLOOKUP(PRODUCTOS[[#This Row],[CODIGO]],LISTADO[CODIGOS],LISTADO[UBICACIÓN]),"NO EXISTE")</f>
        <v/>
      </c>
      <c r="F1040" s="56">
        <f>SUMIFS(ENTRADAS[CANTIDAD],ENTRADAS[CODIGO],PRODUCTOS[[#This Row],[CODIGO]])</f>
        <v/>
      </c>
      <c r="G1040" s="56">
        <f>SUMIFS(SALIDAS[CANTIDAD],SALIDAS[CODIGO],PRODUCTOS[[#This Row],[CODIGO]])</f>
        <v/>
      </c>
      <c r="H1040" s="56">
        <f>PRODUCTOS[[#This Row],[ENTRADAS]]-PRODUCTOS[[#This Row],[SALIDAS ]]</f>
        <v/>
      </c>
      <c r="I1040" s="76" t="n">
        <v>0</v>
      </c>
      <c r="J1040">
        <f>IF(PRODUCTOS[[#This Row],[STOCK]]&lt;0,"NEGATIVO",IF(PRODUCTOS[[#This Row],[STOCK]]=0,"SIN STOCK",IF(PRODUCTOS[[#This Row],[STOCK]]&lt;=PRODUCTOS[[#This Row],[STOCK MÍN.]],"BAJO","OK")))</f>
        <v/>
      </c>
      <c r="K10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41" hidden="1" s="11">
      <c r="A1041" s="18" t="n">
        <v>1026</v>
      </c>
      <c r="B1041" s="56" t="inlineStr">
        <is>
          <t>00129-HER</t>
        </is>
      </c>
      <c r="C1041" s="56">
        <f>IFERROR(_xlfn.XLOOKUP(PRODUCTOS[[#This Row],[CODIGO]],LISTADO[CODIGOS],LISTADO[CATEGORIA]),"NO EXISTE")</f>
        <v/>
      </c>
      <c r="D1041" s="56">
        <f>IFERROR(_xlfn.XLOOKUP(PRODUCTOS[[#This Row],[CODIGO]],LISTADO[CODIGOS],LISTADO[PRODUCTOS]),"NO EXISTE")</f>
        <v/>
      </c>
      <c r="E1041" s="56">
        <f>IFERROR(_xlfn.XLOOKUP(PRODUCTOS[[#This Row],[CODIGO]],LISTADO[CODIGOS],LISTADO[UBICACIÓN]),"NO EXISTE")</f>
        <v/>
      </c>
      <c r="F1041" s="56">
        <f>SUMIFS(ENTRADAS[CANTIDAD],ENTRADAS[CODIGO],PRODUCTOS[[#This Row],[CODIGO]])</f>
        <v/>
      </c>
      <c r="G1041" s="56">
        <f>SUMIFS(SALIDAS[CANTIDAD],SALIDAS[CODIGO],PRODUCTOS[[#This Row],[CODIGO]])</f>
        <v/>
      </c>
      <c r="H1041" s="56">
        <f>PRODUCTOS[[#This Row],[ENTRADAS]]-PRODUCTOS[[#This Row],[SALIDAS ]]</f>
        <v/>
      </c>
      <c r="I1041" s="76" t="n">
        <v>0</v>
      </c>
      <c r="J1041">
        <f>IF(PRODUCTOS[[#This Row],[STOCK]]&lt;0,"NEGATIVO",IF(PRODUCTOS[[#This Row],[STOCK]]=0,"SIN STOCK",IF(PRODUCTOS[[#This Row],[STOCK]]&lt;=PRODUCTOS[[#This Row],[STOCK MÍN.]],"BAJO","OK")))</f>
        <v/>
      </c>
      <c r="K10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42" hidden="1" s="11">
      <c r="A1042" s="18" t="n">
        <v>1027</v>
      </c>
      <c r="B1042" s="56" t="inlineStr">
        <is>
          <t>00038-OFC</t>
        </is>
      </c>
      <c r="C1042" s="56">
        <f>IFERROR(_xlfn.XLOOKUP(PRODUCTOS[[#This Row],[CODIGO]],LISTADO[CODIGOS],LISTADO[CATEGORIA]),"NO EXISTE")</f>
        <v/>
      </c>
      <c r="D1042" s="56">
        <f>IFERROR(_xlfn.XLOOKUP(PRODUCTOS[[#This Row],[CODIGO]],LISTADO[CODIGOS],LISTADO[PRODUCTOS]),"NO EXISTE")</f>
        <v/>
      </c>
      <c r="E1042" s="56">
        <f>IFERROR(_xlfn.XLOOKUP(PRODUCTOS[[#This Row],[CODIGO]],LISTADO[CODIGOS],LISTADO[UBICACIÓN]),"NO EXISTE")</f>
        <v/>
      </c>
      <c r="F1042" s="56">
        <f>SUMIFS(ENTRADAS[CANTIDAD],ENTRADAS[CODIGO],PRODUCTOS[[#This Row],[CODIGO]])</f>
        <v/>
      </c>
      <c r="G1042" s="56">
        <f>SUMIFS(SALIDAS[CANTIDAD],SALIDAS[CODIGO],PRODUCTOS[[#This Row],[CODIGO]])</f>
        <v/>
      </c>
      <c r="H1042" s="56">
        <f>PRODUCTOS[[#This Row],[ENTRADAS]]-PRODUCTOS[[#This Row],[SALIDAS ]]</f>
        <v/>
      </c>
      <c r="I1042" s="76" t="n">
        <v>0</v>
      </c>
      <c r="J1042">
        <f>IF(PRODUCTOS[[#This Row],[STOCK]]&lt;0,"NEGATIVO",IF(PRODUCTOS[[#This Row],[STOCK]]=0,"SIN STOCK",IF(PRODUCTOS[[#This Row],[STOCK]]&lt;=PRODUCTOS[[#This Row],[STOCK MÍN.]],"BAJO","OK")))</f>
        <v/>
      </c>
      <c r="K10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43" hidden="1" s="11">
      <c r="A1043" s="18" t="n">
        <v>1028</v>
      </c>
      <c r="B1043" s="56" t="inlineStr">
        <is>
          <t>00214-FER</t>
        </is>
      </c>
      <c r="C1043" s="56">
        <f>IFERROR(_xlfn.XLOOKUP(PRODUCTOS[[#This Row],[CODIGO]],LISTADO[CODIGOS],LISTADO[CATEGORIA]),"NO EXISTE")</f>
        <v/>
      </c>
      <c r="D1043" s="56">
        <f>IFERROR(_xlfn.XLOOKUP(PRODUCTOS[[#This Row],[CODIGO]],LISTADO[CODIGOS],LISTADO[PRODUCTOS]),"NO EXISTE")</f>
        <v/>
      </c>
      <c r="E1043" s="56">
        <f>IFERROR(_xlfn.XLOOKUP(PRODUCTOS[[#This Row],[CODIGO]],LISTADO[CODIGOS],LISTADO[UBICACIÓN]),"NO EXISTE")</f>
        <v/>
      </c>
      <c r="F1043" s="56">
        <f>SUMIFS(ENTRADAS[CANTIDAD],ENTRADAS[CODIGO],PRODUCTOS[[#This Row],[CODIGO]])</f>
        <v/>
      </c>
      <c r="G1043" s="56">
        <f>SUMIFS(SALIDAS[CANTIDAD],SALIDAS[CODIGO],PRODUCTOS[[#This Row],[CODIGO]])</f>
        <v/>
      </c>
      <c r="H1043" s="56">
        <f>PRODUCTOS[[#This Row],[ENTRADAS]]-PRODUCTOS[[#This Row],[SALIDAS ]]</f>
        <v/>
      </c>
      <c r="I1043" s="76" t="n">
        <v>0</v>
      </c>
      <c r="J1043">
        <f>IF(PRODUCTOS[[#This Row],[STOCK]]&lt;0,"NEGATIVO",IF(PRODUCTOS[[#This Row],[STOCK]]=0,"SIN STOCK",IF(PRODUCTOS[[#This Row],[STOCK]]&lt;=PRODUCTOS[[#This Row],[STOCK MÍN.]],"BAJO","OK")))</f>
        <v/>
      </c>
      <c r="K10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44" hidden="1" s="11">
      <c r="A1044" s="18" t="n">
        <v>1029</v>
      </c>
      <c r="B1044" s="56" t="inlineStr">
        <is>
          <t>00215-FER</t>
        </is>
      </c>
      <c r="C1044" s="56">
        <f>IFERROR(_xlfn.XLOOKUP(PRODUCTOS[[#This Row],[CODIGO]],LISTADO[CODIGOS],LISTADO[CATEGORIA]),"NO EXISTE")</f>
        <v/>
      </c>
      <c r="D1044" s="56">
        <f>IFERROR(_xlfn.XLOOKUP(PRODUCTOS[[#This Row],[CODIGO]],LISTADO[CODIGOS],LISTADO[PRODUCTOS]),"NO EXISTE")</f>
        <v/>
      </c>
      <c r="E1044" s="56">
        <f>IFERROR(_xlfn.XLOOKUP(PRODUCTOS[[#This Row],[CODIGO]],LISTADO[CODIGOS],LISTADO[UBICACIÓN]),"NO EXISTE")</f>
        <v/>
      </c>
      <c r="F1044" s="56">
        <f>SUMIFS(ENTRADAS[CANTIDAD],ENTRADAS[CODIGO],PRODUCTOS[[#This Row],[CODIGO]])</f>
        <v/>
      </c>
      <c r="G1044" s="56">
        <f>SUMIFS(SALIDAS[CANTIDAD],SALIDAS[CODIGO],PRODUCTOS[[#This Row],[CODIGO]])</f>
        <v/>
      </c>
      <c r="H1044" s="56">
        <f>PRODUCTOS[[#This Row],[ENTRADAS]]-PRODUCTOS[[#This Row],[SALIDAS ]]</f>
        <v/>
      </c>
      <c r="I1044" s="76" t="n">
        <v>0</v>
      </c>
      <c r="J1044">
        <f>IF(PRODUCTOS[[#This Row],[STOCK]]&lt;0,"NEGATIVO",IF(PRODUCTOS[[#This Row],[STOCK]]=0,"SIN STOCK",IF(PRODUCTOS[[#This Row],[STOCK]]&lt;=PRODUCTOS[[#This Row],[STOCK MÍN.]],"BAJO","OK")))</f>
        <v/>
      </c>
      <c r="K10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45" hidden="1" s="11">
      <c r="A1045" s="18" t="n">
        <v>1030</v>
      </c>
      <c r="B1045" s="56" t="inlineStr">
        <is>
          <t>00216-FER</t>
        </is>
      </c>
      <c r="C1045" s="56">
        <f>IFERROR(_xlfn.XLOOKUP(PRODUCTOS[[#This Row],[CODIGO]],LISTADO[CODIGOS],LISTADO[CATEGORIA]),"NO EXISTE")</f>
        <v/>
      </c>
      <c r="D1045" s="56">
        <f>IFERROR(_xlfn.XLOOKUP(PRODUCTOS[[#This Row],[CODIGO]],LISTADO[CODIGOS],LISTADO[PRODUCTOS]),"NO EXISTE")</f>
        <v/>
      </c>
      <c r="E1045" s="56">
        <f>IFERROR(_xlfn.XLOOKUP(PRODUCTOS[[#This Row],[CODIGO]],LISTADO[CODIGOS],LISTADO[UBICACIÓN]),"NO EXISTE")</f>
        <v/>
      </c>
      <c r="F1045" s="56">
        <f>SUMIFS(ENTRADAS[CANTIDAD],ENTRADAS[CODIGO],PRODUCTOS[[#This Row],[CODIGO]])</f>
        <v/>
      </c>
      <c r="G1045" s="56">
        <f>SUMIFS(SALIDAS[CANTIDAD],SALIDAS[CODIGO],PRODUCTOS[[#This Row],[CODIGO]])</f>
        <v/>
      </c>
      <c r="H1045" s="56">
        <f>PRODUCTOS[[#This Row],[ENTRADAS]]-PRODUCTOS[[#This Row],[SALIDAS ]]</f>
        <v/>
      </c>
      <c r="I1045" s="76" t="n">
        <v>0</v>
      </c>
      <c r="J1045">
        <f>IF(PRODUCTOS[[#This Row],[STOCK]]&lt;0,"NEGATIVO",IF(PRODUCTOS[[#This Row],[STOCK]]=0,"SIN STOCK",IF(PRODUCTOS[[#This Row],[STOCK]]&lt;=PRODUCTOS[[#This Row],[STOCK MÍN.]],"BAJO","OK")))</f>
        <v/>
      </c>
      <c r="K10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46" hidden="1" s="11">
      <c r="A1046" s="18" t="n">
        <v>1031</v>
      </c>
      <c r="B1046" s="56" t="inlineStr">
        <is>
          <t>00100-ELE</t>
        </is>
      </c>
      <c r="C1046" s="56">
        <f>IFERROR(_xlfn.XLOOKUP(PRODUCTOS[[#This Row],[CODIGO]],LISTADO[CODIGOS],LISTADO[CATEGORIA]),"NO EXISTE")</f>
        <v/>
      </c>
      <c r="D1046" s="56">
        <f>IFERROR(_xlfn.XLOOKUP(PRODUCTOS[[#This Row],[CODIGO]],LISTADO[CODIGOS],LISTADO[PRODUCTOS]),"NO EXISTE")</f>
        <v/>
      </c>
      <c r="E1046" s="56">
        <f>IFERROR(_xlfn.XLOOKUP(PRODUCTOS[[#This Row],[CODIGO]],LISTADO[CODIGOS],LISTADO[UBICACIÓN]),"NO EXISTE")</f>
        <v/>
      </c>
      <c r="F1046" s="56">
        <f>SUMIFS(ENTRADAS[CANTIDAD],ENTRADAS[CODIGO],PRODUCTOS[[#This Row],[CODIGO]])</f>
        <v/>
      </c>
      <c r="G1046" s="56">
        <f>SUMIFS(SALIDAS[CANTIDAD],SALIDAS[CODIGO],PRODUCTOS[[#This Row],[CODIGO]])</f>
        <v/>
      </c>
      <c r="H1046" s="56">
        <f>PRODUCTOS[[#This Row],[ENTRADAS]]-PRODUCTOS[[#This Row],[SALIDAS ]]</f>
        <v/>
      </c>
      <c r="I1046" s="76" t="n">
        <v>0</v>
      </c>
      <c r="J1046">
        <f>IF(PRODUCTOS[[#This Row],[STOCK]]&lt;0,"NEGATIVO",IF(PRODUCTOS[[#This Row],[STOCK]]=0,"SIN STOCK",IF(PRODUCTOS[[#This Row],[STOCK]]&lt;=PRODUCTOS[[#This Row],[STOCK MÍN.]],"BAJO","OK")))</f>
        <v/>
      </c>
      <c r="K10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47" hidden="1" s="11">
      <c r="A1047" s="18" t="n">
        <v>1032</v>
      </c>
      <c r="B1047" s="56" t="inlineStr">
        <is>
          <t>00101-ELE</t>
        </is>
      </c>
      <c r="C1047" s="56">
        <f>IFERROR(_xlfn.XLOOKUP(PRODUCTOS[[#This Row],[CODIGO]],LISTADO[CODIGOS],LISTADO[CATEGORIA]),"NO EXISTE")</f>
        <v/>
      </c>
      <c r="D1047" s="56">
        <f>IFERROR(_xlfn.XLOOKUP(PRODUCTOS[[#This Row],[CODIGO]],LISTADO[CODIGOS],LISTADO[PRODUCTOS]),"NO EXISTE")</f>
        <v/>
      </c>
      <c r="E1047" s="56">
        <f>IFERROR(_xlfn.XLOOKUP(PRODUCTOS[[#This Row],[CODIGO]],LISTADO[CODIGOS],LISTADO[UBICACIÓN]),"NO EXISTE")</f>
        <v/>
      </c>
      <c r="F1047" s="56">
        <f>SUMIFS(ENTRADAS[CANTIDAD],ENTRADAS[CODIGO],PRODUCTOS[[#This Row],[CODIGO]])</f>
        <v/>
      </c>
      <c r="G1047" s="56">
        <f>SUMIFS(SALIDAS[CANTIDAD],SALIDAS[CODIGO],PRODUCTOS[[#This Row],[CODIGO]])</f>
        <v/>
      </c>
      <c r="H1047" s="56">
        <f>PRODUCTOS[[#This Row],[ENTRADAS]]-PRODUCTOS[[#This Row],[SALIDAS ]]</f>
        <v/>
      </c>
      <c r="I1047" s="76" t="n">
        <v>0</v>
      </c>
      <c r="J1047">
        <f>IF(PRODUCTOS[[#This Row],[STOCK]]&lt;0,"NEGATIVO",IF(PRODUCTOS[[#This Row],[STOCK]]=0,"SIN STOCK",IF(PRODUCTOS[[#This Row],[STOCK]]&lt;=PRODUCTOS[[#This Row],[STOCK MÍN.]],"BAJO","OK")))</f>
        <v/>
      </c>
      <c r="K10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48" hidden="1" s="11">
      <c r="A1048" s="18" t="n">
        <v>1033</v>
      </c>
      <c r="B1048" s="56" t="inlineStr">
        <is>
          <t>00102-ELE</t>
        </is>
      </c>
      <c r="C1048" s="56">
        <f>IFERROR(_xlfn.XLOOKUP(PRODUCTOS[[#This Row],[CODIGO]],LISTADO[CODIGOS],LISTADO[CATEGORIA]),"NO EXISTE")</f>
        <v/>
      </c>
      <c r="D1048" s="56">
        <f>IFERROR(_xlfn.XLOOKUP(PRODUCTOS[[#This Row],[CODIGO]],LISTADO[CODIGOS],LISTADO[PRODUCTOS]),"NO EXISTE")</f>
        <v/>
      </c>
      <c r="E1048" s="56">
        <f>IFERROR(_xlfn.XLOOKUP(PRODUCTOS[[#This Row],[CODIGO]],LISTADO[CODIGOS],LISTADO[UBICACIÓN]),"NO EXISTE")</f>
        <v/>
      </c>
      <c r="F1048" s="56">
        <f>SUMIFS(ENTRADAS[CANTIDAD],ENTRADAS[CODIGO],PRODUCTOS[[#This Row],[CODIGO]])</f>
        <v/>
      </c>
      <c r="G1048" s="56">
        <f>SUMIFS(SALIDAS[CANTIDAD],SALIDAS[CODIGO],PRODUCTOS[[#This Row],[CODIGO]])</f>
        <v/>
      </c>
      <c r="H1048" s="56">
        <f>PRODUCTOS[[#This Row],[ENTRADAS]]-PRODUCTOS[[#This Row],[SALIDAS ]]</f>
        <v/>
      </c>
      <c r="I1048" s="76" t="n">
        <v>0</v>
      </c>
      <c r="J1048">
        <f>IF(PRODUCTOS[[#This Row],[STOCK]]&lt;0,"NEGATIVO",IF(PRODUCTOS[[#This Row],[STOCK]]=0,"SIN STOCK",IF(PRODUCTOS[[#This Row],[STOCK]]&lt;=PRODUCTOS[[#This Row],[STOCK MÍN.]],"BAJO","OK")))</f>
        <v/>
      </c>
      <c r="K10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49" hidden="1" s="11">
      <c r="A1049" s="18" t="n">
        <v>1034</v>
      </c>
      <c r="B1049" s="56" t="inlineStr">
        <is>
          <t>00069-UNI</t>
        </is>
      </c>
      <c r="C1049" s="56">
        <f>IFERROR(_xlfn.XLOOKUP(PRODUCTOS[[#This Row],[CODIGO]],LISTADO[CODIGOS],LISTADO[CATEGORIA]),"NO EXISTE")</f>
        <v/>
      </c>
      <c r="D1049" s="56">
        <f>IFERROR(_xlfn.XLOOKUP(PRODUCTOS[[#This Row],[CODIGO]],LISTADO[CODIGOS],LISTADO[PRODUCTOS]),"NO EXISTE")</f>
        <v/>
      </c>
      <c r="E1049" s="56">
        <f>IFERROR(_xlfn.XLOOKUP(PRODUCTOS[[#This Row],[CODIGO]],LISTADO[CODIGOS],LISTADO[UBICACIÓN]),"NO EXISTE")</f>
        <v/>
      </c>
      <c r="F1049" s="56">
        <f>SUMIFS(ENTRADAS[CANTIDAD],ENTRADAS[CODIGO],PRODUCTOS[[#This Row],[CODIGO]])</f>
        <v/>
      </c>
      <c r="G1049" s="56">
        <f>SUMIFS(SALIDAS[CANTIDAD],SALIDAS[CODIGO],PRODUCTOS[[#This Row],[CODIGO]])</f>
        <v/>
      </c>
      <c r="H1049" s="56">
        <f>PRODUCTOS[[#This Row],[ENTRADAS]]-PRODUCTOS[[#This Row],[SALIDAS ]]</f>
        <v/>
      </c>
      <c r="I1049" s="76" t="n">
        <v>0</v>
      </c>
      <c r="J1049">
        <f>IF(PRODUCTOS[[#This Row],[STOCK]]&lt;0,"NEGATIVO",IF(PRODUCTOS[[#This Row],[STOCK]]=0,"SIN STOCK",IF(PRODUCTOS[[#This Row],[STOCK]]&lt;=PRODUCTOS[[#This Row],[STOCK MÍN.]],"BAJO","OK")))</f>
        <v/>
      </c>
      <c r="K10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50" hidden="1" s="11">
      <c r="A1050" s="18" t="n">
        <v>1035</v>
      </c>
      <c r="B1050" s="56" t="inlineStr">
        <is>
          <t>00070-UNI</t>
        </is>
      </c>
      <c r="C1050" s="56">
        <f>IFERROR(_xlfn.XLOOKUP(PRODUCTOS[[#This Row],[CODIGO]],LISTADO[CODIGOS],LISTADO[CATEGORIA]),"NO EXISTE")</f>
        <v/>
      </c>
      <c r="D1050" s="56">
        <f>IFERROR(_xlfn.XLOOKUP(PRODUCTOS[[#This Row],[CODIGO]],LISTADO[CODIGOS],LISTADO[PRODUCTOS]),"NO EXISTE")</f>
        <v/>
      </c>
      <c r="E1050" s="56">
        <f>IFERROR(_xlfn.XLOOKUP(PRODUCTOS[[#This Row],[CODIGO]],LISTADO[CODIGOS],LISTADO[UBICACIÓN]),"NO EXISTE")</f>
        <v/>
      </c>
      <c r="F1050" s="56">
        <f>SUMIFS(ENTRADAS[CANTIDAD],ENTRADAS[CODIGO],PRODUCTOS[[#This Row],[CODIGO]])</f>
        <v/>
      </c>
      <c r="G1050" s="56">
        <f>SUMIFS(SALIDAS[CANTIDAD],SALIDAS[CODIGO],PRODUCTOS[[#This Row],[CODIGO]])</f>
        <v/>
      </c>
      <c r="H1050" s="56">
        <f>PRODUCTOS[[#This Row],[ENTRADAS]]-PRODUCTOS[[#This Row],[SALIDAS ]]</f>
        <v/>
      </c>
      <c r="I1050" s="76" t="n">
        <v>0</v>
      </c>
      <c r="J1050">
        <f>IF(PRODUCTOS[[#This Row],[STOCK]]&lt;0,"NEGATIVO",IF(PRODUCTOS[[#This Row],[STOCK]]=0,"SIN STOCK",IF(PRODUCTOS[[#This Row],[STOCK]]&lt;=PRODUCTOS[[#This Row],[STOCK MÍN.]],"BAJO","OK")))</f>
        <v/>
      </c>
      <c r="K10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51" hidden="1" s="11">
      <c r="A1051" s="18" t="n">
        <v>1036</v>
      </c>
      <c r="B1051" s="56" t="inlineStr">
        <is>
          <t>00071-UNI</t>
        </is>
      </c>
      <c r="C1051" s="56">
        <f>IFERROR(_xlfn.XLOOKUP(PRODUCTOS[[#This Row],[CODIGO]],LISTADO[CODIGOS],LISTADO[CATEGORIA]),"NO EXISTE")</f>
        <v/>
      </c>
      <c r="D1051" s="56">
        <f>IFERROR(_xlfn.XLOOKUP(PRODUCTOS[[#This Row],[CODIGO]],LISTADO[CODIGOS],LISTADO[PRODUCTOS]),"NO EXISTE")</f>
        <v/>
      </c>
      <c r="E1051" s="56">
        <f>IFERROR(_xlfn.XLOOKUP(PRODUCTOS[[#This Row],[CODIGO]],LISTADO[CODIGOS],LISTADO[UBICACIÓN]),"NO EXISTE")</f>
        <v/>
      </c>
      <c r="F1051" s="56">
        <f>SUMIFS(ENTRADAS[CANTIDAD],ENTRADAS[CODIGO],PRODUCTOS[[#This Row],[CODIGO]])</f>
        <v/>
      </c>
      <c r="G1051" s="56">
        <f>SUMIFS(SALIDAS[CANTIDAD],SALIDAS[CODIGO],PRODUCTOS[[#This Row],[CODIGO]])</f>
        <v/>
      </c>
      <c r="H1051" s="56">
        <f>PRODUCTOS[[#This Row],[ENTRADAS]]-PRODUCTOS[[#This Row],[SALIDAS ]]</f>
        <v/>
      </c>
      <c r="I1051" s="76" t="n">
        <v>0</v>
      </c>
      <c r="J1051">
        <f>IF(PRODUCTOS[[#This Row],[STOCK]]&lt;0,"NEGATIVO",IF(PRODUCTOS[[#This Row],[STOCK]]=0,"SIN STOCK",IF(PRODUCTOS[[#This Row],[STOCK]]&lt;=PRODUCTOS[[#This Row],[STOCK MÍN.]],"BAJO","OK")))</f>
        <v/>
      </c>
      <c r="K10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52" hidden="1" s="11">
      <c r="A1052" s="18" t="n">
        <v>1037</v>
      </c>
      <c r="B1052" s="56" t="inlineStr">
        <is>
          <t>00133-REF</t>
        </is>
      </c>
      <c r="C1052" s="56">
        <f>IFERROR(_xlfn.XLOOKUP(PRODUCTOS[[#This Row],[CODIGO]],LISTADO[CODIGOS],LISTADO[CATEGORIA]),"NO EXISTE")</f>
        <v/>
      </c>
      <c r="D1052" s="56">
        <f>IFERROR(_xlfn.XLOOKUP(PRODUCTOS[[#This Row],[CODIGO]],LISTADO[CODIGOS],LISTADO[PRODUCTOS]),"NO EXISTE")</f>
        <v/>
      </c>
      <c r="E1052" s="56">
        <f>IFERROR(_xlfn.XLOOKUP(PRODUCTOS[[#This Row],[CODIGO]],LISTADO[CODIGOS],LISTADO[UBICACIÓN]),"NO EXISTE")</f>
        <v/>
      </c>
      <c r="F1052" s="56">
        <f>SUMIFS(ENTRADAS[CANTIDAD],ENTRADAS[CODIGO],PRODUCTOS[[#This Row],[CODIGO]])</f>
        <v/>
      </c>
      <c r="G1052" s="56">
        <f>SUMIFS(SALIDAS[CANTIDAD],SALIDAS[CODIGO],PRODUCTOS[[#This Row],[CODIGO]])</f>
        <v/>
      </c>
      <c r="H1052" s="56">
        <f>PRODUCTOS[[#This Row],[ENTRADAS]]-PRODUCTOS[[#This Row],[SALIDAS ]]</f>
        <v/>
      </c>
      <c r="I1052" s="76" t="n">
        <v>0</v>
      </c>
      <c r="J1052">
        <f>IF(PRODUCTOS[[#This Row],[STOCK]]&lt;0,"NEGATIVO",IF(PRODUCTOS[[#This Row],[STOCK]]=0,"SIN STOCK",IF(PRODUCTOS[[#This Row],[STOCK]]&lt;=PRODUCTOS[[#This Row],[STOCK MÍN.]],"BAJO","OK")))</f>
        <v/>
      </c>
      <c r="K10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53" hidden="1" s="11">
      <c r="A1053" s="18" t="n">
        <v>1038</v>
      </c>
      <c r="B1053" s="56" t="inlineStr">
        <is>
          <t>00134-REF</t>
        </is>
      </c>
      <c r="C1053" s="56">
        <f>IFERROR(_xlfn.XLOOKUP(PRODUCTOS[[#This Row],[CODIGO]],LISTADO[CODIGOS],LISTADO[CATEGORIA]),"NO EXISTE")</f>
        <v/>
      </c>
      <c r="D1053" s="56">
        <f>IFERROR(_xlfn.XLOOKUP(PRODUCTOS[[#This Row],[CODIGO]],LISTADO[CODIGOS],LISTADO[PRODUCTOS]),"NO EXISTE")</f>
        <v/>
      </c>
      <c r="E1053" s="56">
        <f>IFERROR(_xlfn.XLOOKUP(PRODUCTOS[[#This Row],[CODIGO]],LISTADO[CODIGOS],LISTADO[UBICACIÓN]),"NO EXISTE")</f>
        <v/>
      </c>
      <c r="F1053" s="56">
        <f>SUMIFS(ENTRADAS[CANTIDAD],ENTRADAS[CODIGO],PRODUCTOS[[#This Row],[CODIGO]])</f>
        <v/>
      </c>
      <c r="G1053" s="56">
        <f>SUMIFS(SALIDAS[CANTIDAD],SALIDAS[CODIGO],PRODUCTOS[[#This Row],[CODIGO]])</f>
        <v/>
      </c>
      <c r="H1053" s="56">
        <f>PRODUCTOS[[#This Row],[ENTRADAS]]-PRODUCTOS[[#This Row],[SALIDAS ]]</f>
        <v/>
      </c>
      <c r="I1053" s="76" t="n">
        <v>0</v>
      </c>
      <c r="J1053">
        <f>IF(PRODUCTOS[[#This Row],[STOCK]]&lt;0,"NEGATIVO",IF(PRODUCTOS[[#This Row],[STOCK]]=0,"SIN STOCK",IF(PRODUCTOS[[#This Row],[STOCK]]&lt;=PRODUCTOS[[#This Row],[STOCK MÍN.]],"BAJO","OK")))</f>
        <v/>
      </c>
      <c r="K10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54" hidden="1" s="11">
      <c r="A1054" s="18" t="n">
        <v>1039</v>
      </c>
      <c r="B1054" s="56" t="inlineStr">
        <is>
          <t>00066-PLM</t>
        </is>
      </c>
      <c r="C1054" s="56">
        <f>IFERROR(_xlfn.XLOOKUP(PRODUCTOS[[#This Row],[CODIGO]],LISTADO[CODIGOS],LISTADO[CATEGORIA]),"NO EXISTE")</f>
        <v/>
      </c>
      <c r="D1054" s="56">
        <f>IFERROR(_xlfn.XLOOKUP(PRODUCTOS[[#This Row],[CODIGO]],LISTADO[CODIGOS],LISTADO[PRODUCTOS]),"NO EXISTE")</f>
        <v/>
      </c>
      <c r="E1054" s="56">
        <f>IFERROR(_xlfn.XLOOKUP(PRODUCTOS[[#This Row],[CODIGO]],LISTADO[CODIGOS],LISTADO[UBICACIÓN]),"NO EXISTE")</f>
        <v/>
      </c>
      <c r="F1054" s="56">
        <f>SUMIFS(ENTRADAS[CANTIDAD],ENTRADAS[CODIGO],PRODUCTOS[[#This Row],[CODIGO]])</f>
        <v/>
      </c>
      <c r="G1054" s="56">
        <f>SUMIFS(SALIDAS[CANTIDAD],SALIDAS[CODIGO],PRODUCTOS[[#This Row],[CODIGO]])</f>
        <v/>
      </c>
      <c r="H1054" s="56">
        <f>PRODUCTOS[[#This Row],[ENTRADAS]]-PRODUCTOS[[#This Row],[SALIDAS ]]</f>
        <v/>
      </c>
      <c r="I1054" s="76" t="n">
        <v>0</v>
      </c>
      <c r="J1054">
        <f>IF(PRODUCTOS[[#This Row],[STOCK]]&lt;0,"NEGATIVO",IF(PRODUCTOS[[#This Row],[STOCK]]=0,"SIN STOCK",IF(PRODUCTOS[[#This Row],[STOCK]]&lt;=PRODUCTOS[[#This Row],[STOCK MÍN.]],"BAJO","OK")))</f>
        <v/>
      </c>
      <c r="K10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55" hidden="1" s="11">
      <c r="A1055" s="18" t="n">
        <v>1040</v>
      </c>
      <c r="B1055" s="56" t="inlineStr">
        <is>
          <t>00103-ELE</t>
        </is>
      </c>
      <c r="C1055" s="56">
        <f>IFERROR(_xlfn.XLOOKUP(PRODUCTOS[[#This Row],[CODIGO]],LISTADO[CODIGOS],LISTADO[CATEGORIA]),"NO EXISTE")</f>
        <v/>
      </c>
      <c r="D1055" s="56">
        <f>IFERROR(_xlfn.XLOOKUP(PRODUCTOS[[#This Row],[CODIGO]],LISTADO[CODIGOS],LISTADO[PRODUCTOS]),"NO EXISTE")</f>
        <v/>
      </c>
      <c r="E1055" s="56">
        <f>IFERROR(_xlfn.XLOOKUP(PRODUCTOS[[#This Row],[CODIGO]],LISTADO[CODIGOS],LISTADO[UBICACIÓN]),"NO EXISTE")</f>
        <v/>
      </c>
      <c r="F1055" s="56">
        <f>SUMIFS(ENTRADAS[CANTIDAD],ENTRADAS[CODIGO],PRODUCTOS[[#This Row],[CODIGO]])</f>
        <v/>
      </c>
      <c r="G1055" s="56">
        <f>SUMIFS(SALIDAS[CANTIDAD],SALIDAS[CODIGO],PRODUCTOS[[#This Row],[CODIGO]])</f>
        <v/>
      </c>
      <c r="H1055" s="56">
        <f>PRODUCTOS[[#This Row],[ENTRADAS]]-PRODUCTOS[[#This Row],[SALIDAS ]]</f>
        <v/>
      </c>
      <c r="I1055" s="76" t="n">
        <v>0</v>
      </c>
      <c r="J1055">
        <f>IF(PRODUCTOS[[#This Row],[STOCK]]&lt;0,"NEGATIVO",IF(PRODUCTOS[[#This Row],[STOCK]]=0,"SIN STOCK",IF(PRODUCTOS[[#This Row],[STOCK]]&lt;=PRODUCTOS[[#This Row],[STOCK MÍN.]],"BAJO","OK")))</f>
        <v/>
      </c>
      <c r="K10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56" hidden="1" s="11">
      <c r="A1056" s="18" t="n">
        <v>1041</v>
      </c>
      <c r="B1056" s="56" t="inlineStr">
        <is>
          <t>00104-ELE</t>
        </is>
      </c>
      <c r="C1056" s="56">
        <f>IFERROR(_xlfn.XLOOKUP(PRODUCTOS[[#This Row],[CODIGO]],LISTADO[CODIGOS],LISTADO[CATEGORIA]),"NO EXISTE")</f>
        <v/>
      </c>
      <c r="D1056" s="56">
        <f>IFERROR(_xlfn.XLOOKUP(PRODUCTOS[[#This Row],[CODIGO]],LISTADO[CODIGOS],LISTADO[PRODUCTOS]),"NO EXISTE")</f>
        <v/>
      </c>
      <c r="E1056" s="56">
        <f>IFERROR(_xlfn.XLOOKUP(PRODUCTOS[[#This Row],[CODIGO]],LISTADO[CODIGOS],LISTADO[UBICACIÓN]),"NO EXISTE")</f>
        <v/>
      </c>
      <c r="F1056" s="56">
        <f>SUMIFS(ENTRADAS[CANTIDAD],ENTRADAS[CODIGO],PRODUCTOS[[#This Row],[CODIGO]])</f>
        <v/>
      </c>
      <c r="G1056" s="56">
        <f>SUMIFS(SALIDAS[CANTIDAD],SALIDAS[CODIGO],PRODUCTOS[[#This Row],[CODIGO]])</f>
        <v/>
      </c>
      <c r="H1056" s="56">
        <f>PRODUCTOS[[#This Row],[ENTRADAS]]-PRODUCTOS[[#This Row],[SALIDAS ]]</f>
        <v/>
      </c>
      <c r="I1056" s="76" t="n">
        <v>0</v>
      </c>
      <c r="J1056">
        <f>IF(PRODUCTOS[[#This Row],[STOCK]]&lt;0,"NEGATIVO",IF(PRODUCTOS[[#This Row],[STOCK]]=0,"SIN STOCK",IF(PRODUCTOS[[#This Row],[STOCK]]&lt;=PRODUCTOS[[#This Row],[STOCK MÍN.]],"BAJO","OK")))</f>
        <v/>
      </c>
      <c r="K10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57" hidden="1" s="11">
      <c r="A1057" s="18" t="n">
        <v>1042</v>
      </c>
      <c r="B1057" s="56" t="inlineStr">
        <is>
          <t>00028-AUT</t>
        </is>
      </c>
      <c r="C1057" s="56">
        <f>IFERROR(_xlfn.XLOOKUP(PRODUCTOS[[#This Row],[CODIGO]],LISTADO[CODIGOS],LISTADO[CATEGORIA]),"NO EXISTE")</f>
        <v/>
      </c>
      <c r="D1057" s="56">
        <f>IFERROR(_xlfn.XLOOKUP(PRODUCTOS[[#This Row],[CODIGO]],LISTADO[CODIGOS],LISTADO[PRODUCTOS]),"NO EXISTE")</f>
        <v/>
      </c>
      <c r="E1057" s="56">
        <f>IFERROR(_xlfn.XLOOKUP(PRODUCTOS[[#This Row],[CODIGO]],LISTADO[CODIGOS],LISTADO[UBICACIÓN]),"NO EXISTE")</f>
        <v/>
      </c>
      <c r="F1057" s="56">
        <f>SUMIFS(ENTRADAS[CANTIDAD],ENTRADAS[CODIGO],PRODUCTOS[[#This Row],[CODIGO]])</f>
        <v/>
      </c>
      <c r="G1057" s="56">
        <f>SUMIFS(SALIDAS[CANTIDAD],SALIDAS[CODIGO],PRODUCTOS[[#This Row],[CODIGO]])</f>
        <v/>
      </c>
      <c r="H1057" s="56">
        <f>PRODUCTOS[[#This Row],[ENTRADAS]]-PRODUCTOS[[#This Row],[SALIDAS ]]</f>
        <v/>
      </c>
      <c r="I1057" s="76" t="n">
        <v>0</v>
      </c>
      <c r="J1057">
        <f>IF(PRODUCTOS[[#This Row],[STOCK]]&lt;0,"NEGATIVO",IF(PRODUCTOS[[#This Row],[STOCK]]=0,"SIN STOCK",IF(PRODUCTOS[[#This Row],[STOCK]]&lt;=PRODUCTOS[[#This Row],[STOCK MÍN.]],"BAJO","OK")))</f>
        <v/>
      </c>
      <c r="K10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58" hidden="1" s="11">
      <c r="A1058" s="18" t="n">
        <v>1043</v>
      </c>
      <c r="B1058" s="56" t="inlineStr">
        <is>
          <t>00039-OFC</t>
        </is>
      </c>
      <c r="C1058" s="56">
        <f>IFERROR(_xlfn.XLOOKUP(PRODUCTOS[[#This Row],[CODIGO]],LISTADO[CODIGOS],LISTADO[CATEGORIA]),"NO EXISTE")</f>
        <v/>
      </c>
      <c r="D1058" s="56">
        <f>IFERROR(_xlfn.XLOOKUP(PRODUCTOS[[#This Row],[CODIGO]],LISTADO[CODIGOS],LISTADO[PRODUCTOS]),"NO EXISTE")</f>
        <v/>
      </c>
      <c r="E1058" s="56">
        <f>IFERROR(_xlfn.XLOOKUP(PRODUCTOS[[#This Row],[CODIGO]],LISTADO[CODIGOS],LISTADO[UBICACIÓN]),"NO EXISTE")</f>
        <v/>
      </c>
      <c r="F1058" s="56">
        <f>SUMIFS(ENTRADAS[CANTIDAD],ENTRADAS[CODIGO],PRODUCTOS[[#This Row],[CODIGO]])</f>
        <v/>
      </c>
      <c r="G1058" s="56">
        <f>SUMIFS(SALIDAS[CANTIDAD],SALIDAS[CODIGO],PRODUCTOS[[#This Row],[CODIGO]])</f>
        <v/>
      </c>
      <c r="H1058" s="56">
        <f>PRODUCTOS[[#This Row],[ENTRADAS]]-PRODUCTOS[[#This Row],[SALIDAS ]]</f>
        <v/>
      </c>
      <c r="I1058" s="76" t="n">
        <v>0</v>
      </c>
      <c r="J1058">
        <f>IF(PRODUCTOS[[#This Row],[STOCK]]&lt;0,"NEGATIVO",IF(PRODUCTOS[[#This Row],[STOCK]]=0,"SIN STOCK",IF(PRODUCTOS[[#This Row],[STOCK]]&lt;=PRODUCTOS[[#This Row],[STOCK MÍN.]],"BAJO","OK")))</f>
        <v/>
      </c>
      <c r="K10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59" hidden="1" s="11">
      <c r="A1059" s="18" t="n">
        <v>1044</v>
      </c>
      <c r="B1059" s="56" t="inlineStr">
        <is>
          <t>00029-AUT</t>
        </is>
      </c>
      <c r="C1059" s="56">
        <f>IFERROR(_xlfn.XLOOKUP(PRODUCTOS[[#This Row],[CODIGO]],LISTADO[CODIGOS],LISTADO[CATEGORIA]),"NO EXISTE")</f>
        <v/>
      </c>
      <c r="D1059" s="56">
        <f>IFERROR(_xlfn.XLOOKUP(PRODUCTOS[[#This Row],[CODIGO]],LISTADO[CODIGOS],LISTADO[PRODUCTOS]),"NO EXISTE")</f>
        <v/>
      </c>
      <c r="E1059" s="56">
        <f>IFERROR(_xlfn.XLOOKUP(PRODUCTOS[[#This Row],[CODIGO]],LISTADO[CODIGOS],LISTADO[UBICACIÓN]),"NO EXISTE")</f>
        <v/>
      </c>
      <c r="F1059" s="56">
        <f>SUMIFS(ENTRADAS[CANTIDAD],ENTRADAS[CODIGO],PRODUCTOS[[#This Row],[CODIGO]])</f>
        <v/>
      </c>
      <c r="G1059" s="56">
        <f>SUMIFS(SALIDAS[CANTIDAD],SALIDAS[CODIGO],PRODUCTOS[[#This Row],[CODIGO]])</f>
        <v/>
      </c>
      <c r="H1059" s="56">
        <f>PRODUCTOS[[#This Row],[ENTRADAS]]-PRODUCTOS[[#This Row],[SALIDAS ]]</f>
        <v/>
      </c>
      <c r="I1059" s="76" t="n">
        <v>0</v>
      </c>
      <c r="J1059">
        <f>IF(PRODUCTOS[[#This Row],[STOCK]]&lt;0,"NEGATIVO",IF(PRODUCTOS[[#This Row],[STOCK]]=0,"SIN STOCK",IF(PRODUCTOS[[#This Row],[STOCK]]&lt;=PRODUCTOS[[#This Row],[STOCK MÍN.]],"BAJO","OK")))</f>
        <v/>
      </c>
      <c r="K10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60" hidden="1" s="11">
      <c r="A1060" s="18" t="n">
        <v>1045</v>
      </c>
      <c r="B1060" s="56" t="inlineStr">
        <is>
          <t>00030-AUT</t>
        </is>
      </c>
      <c r="C1060" s="56">
        <f>IFERROR(_xlfn.XLOOKUP(PRODUCTOS[[#This Row],[CODIGO]],LISTADO[CODIGOS],LISTADO[CATEGORIA]),"NO EXISTE")</f>
        <v/>
      </c>
      <c r="D1060" s="56">
        <f>IFERROR(_xlfn.XLOOKUP(PRODUCTOS[[#This Row],[CODIGO]],LISTADO[CODIGOS],LISTADO[PRODUCTOS]),"NO EXISTE")</f>
        <v/>
      </c>
      <c r="E1060" s="56">
        <f>IFERROR(_xlfn.XLOOKUP(PRODUCTOS[[#This Row],[CODIGO]],LISTADO[CODIGOS],LISTADO[UBICACIÓN]),"NO EXISTE")</f>
        <v/>
      </c>
      <c r="F1060" s="56">
        <f>SUMIFS(ENTRADAS[CANTIDAD],ENTRADAS[CODIGO],PRODUCTOS[[#This Row],[CODIGO]])</f>
        <v/>
      </c>
      <c r="G1060" s="56">
        <f>SUMIFS(SALIDAS[CANTIDAD],SALIDAS[CODIGO],PRODUCTOS[[#This Row],[CODIGO]])</f>
        <v/>
      </c>
      <c r="H1060" s="56">
        <f>PRODUCTOS[[#This Row],[ENTRADAS]]-PRODUCTOS[[#This Row],[SALIDAS ]]</f>
        <v/>
      </c>
      <c r="I1060" s="76" t="n">
        <v>0</v>
      </c>
      <c r="J1060">
        <f>IF(PRODUCTOS[[#This Row],[STOCK]]&lt;0,"NEGATIVO",IF(PRODUCTOS[[#This Row],[STOCK]]=0,"SIN STOCK",IF(PRODUCTOS[[#This Row],[STOCK]]&lt;=PRODUCTOS[[#This Row],[STOCK MÍN.]],"BAJO","OK")))</f>
        <v/>
      </c>
      <c r="K10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61" hidden="1" s="11">
      <c r="A1061" s="18" t="n">
        <v>1046</v>
      </c>
      <c r="B1061" s="56" t="inlineStr">
        <is>
          <t>00031-AUT</t>
        </is>
      </c>
      <c r="C1061" s="56">
        <f>IFERROR(_xlfn.XLOOKUP(PRODUCTOS[[#This Row],[CODIGO]],LISTADO[CODIGOS],LISTADO[CATEGORIA]),"NO EXISTE")</f>
        <v/>
      </c>
      <c r="D1061" s="56">
        <f>IFERROR(_xlfn.XLOOKUP(PRODUCTOS[[#This Row],[CODIGO]],LISTADO[CODIGOS],LISTADO[PRODUCTOS]),"NO EXISTE")</f>
        <v/>
      </c>
      <c r="E1061" s="56">
        <f>IFERROR(_xlfn.XLOOKUP(PRODUCTOS[[#This Row],[CODIGO]],LISTADO[CODIGOS],LISTADO[UBICACIÓN]),"NO EXISTE")</f>
        <v/>
      </c>
      <c r="F1061" s="56">
        <f>SUMIFS(ENTRADAS[CANTIDAD],ENTRADAS[CODIGO],PRODUCTOS[[#This Row],[CODIGO]])</f>
        <v/>
      </c>
      <c r="G1061" s="56">
        <f>SUMIFS(SALIDAS[CANTIDAD],SALIDAS[CODIGO],PRODUCTOS[[#This Row],[CODIGO]])</f>
        <v/>
      </c>
      <c r="H1061" s="56">
        <f>PRODUCTOS[[#This Row],[ENTRADAS]]-PRODUCTOS[[#This Row],[SALIDAS ]]</f>
        <v/>
      </c>
      <c r="I1061" s="76" t="n">
        <v>0</v>
      </c>
      <c r="J1061">
        <f>IF(PRODUCTOS[[#This Row],[STOCK]]&lt;0,"NEGATIVO",IF(PRODUCTOS[[#This Row],[STOCK]]=0,"SIN STOCK",IF(PRODUCTOS[[#This Row],[STOCK]]&lt;=PRODUCTOS[[#This Row],[STOCK MÍN.]],"BAJO","OK")))</f>
        <v/>
      </c>
      <c r="K10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62" hidden="1" s="11">
      <c r="A1062" s="18" t="n">
        <v>1047</v>
      </c>
      <c r="B1062" s="56" t="inlineStr">
        <is>
          <t>00217-FER</t>
        </is>
      </c>
      <c r="C1062" s="56">
        <f>IFERROR(_xlfn.XLOOKUP(PRODUCTOS[[#This Row],[CODIGO]],LISTADO[CODIGOS],LISTADO[CATEGORIA]),"NO EXISTE")</f>
        <v/>
      </c>
      <c r="D1062" s="56">
        <f>IFERROR(_xlfn.XLOOKUP(PRODUCTOS[[#This Row],[CODIGO]],LISTADO[CODIGOS],LISTADO[PRODUCTOS]),"NO EXISTE")</f>
        <v/>
      </c>
      <c r="E1062" s="56">
        <f>IFERROR(_xlfn.XLOOKUP(PRODUCTOS[[#This Row],[CODIGO]],LISTADO[CODIGOS],LISTADO[UBICACIÓN]),"NO EXISTE")</f>
        <v/>
      </c>
      <c r="F1062" s="56">
        <f>SUMIFS(ENTRADAS[CANTIDAD],ENTRADAS[CODIGO],PRODUCTOS[[#This Row],[CODIGO]])</f>
        <v/>
      </c>
      <c r="G1062" s="56">
        <f>SUMIFS(SALIDAS[CANTIDAD],SALIDAS[CODIGO],PRODUCTOS[[#This Row],[CODIGO]])</f>
        <v/>
      </c>
      <c r="H1062" s="56">
        <f>PRODUCTOS[[#This Row],[ENTRADAS]]-PRODUCTOS[[#This Row],[SALIDAS ]]</f>
        <v/>
      </c>
      <c r="I1062" s="76" t="n">
        <v>0</v>
      </c>
      <c r="J1062">
        <f>IF(PRODUCTOS[[#This Row],[STOCK]]&lt;0,"NEGATIVO",IF(PRODUCTOS[[#This Row],[STOCK]]=0,"SIN STOCK",IF(PRODUCTOS[[#This Row],[STOCK]]&lt;=PRODUCTOS[[#This Row],[STOCK MÍN.]],"BAJO","OK")))</f>
        <v/>
      </c>
      <c r="K10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63" hidden="1" s="11">
      <c r="A1063" s="18" t="n">
        <v>1048</v>
      </c>
      <c r="B1063" s="56" t="inlineStr">
        <is>
          <t>00105-ELE</t>
        </is>
      </c>
      <c r="C1063" s="56">
        <f>IFERROR(_xlfn.XLOOKUP(PRODUCTOS[[#This Row],[CODIGO]],LISTADO[CODIGOS],LISTADO[CATEGORIA]),"NO EXISTE")</f>
        <v/>
      </c>
      <c r="D1063" s="56">
        <f>IFERROR(_xlfn.XLOOKUP(PRODUCTOS[[#This Row],[CODIGO]],LISTADO[CODIGOS],LISTADO[PRODUCTOS]),"NO EXISTE")</f>
        <v/>
      </c>
      <c r="E1063" s="56">
        <f>IFERROR(_xlfn.XLOOKUP(PRODUCTOS[[#This Row],[CODIGO]],LISTADO[CODIGOS],LISTADO[UBICACIÓN]),"NO EXISTE")</f>
        <v/>
      </c>
      <c r="F1063" s="56">
        <f>SUMIFS(ENTRADAS[CANTIDAD],ENTRADAS[CODIGO],PRODUCTOS[[#This Row],[CODIGO]])</f>
        <v/>
      </c>
      <c r="G1063" s="56">
        <f>SUMIFS(SALIDAS[CANTIDAD],SALIDAS[CODIGO],PRODUCTOS[[#This Row],[CODIGO]])</f>
        <v/>
      </c>
      <c r="H1063" s="56">
        <f>PRODUCTOS[[#This Row],[ENTRADAS]]-PRODUCTOS[[#This Row],[SALIDAS ]]</f>
        <v/>
      </c>
      <c r="I1063" s="76" t="n">
        <v>0</v>
      </c>
      <c r="J1063">
        <f>IF(PRODUCTOS[[#This Row],[STOCK]]&lt;0,"NEGATIVO",IF(PRODUCTOS[[#This Row],[STOCK]]=0,"SIN STOCK",IF(PRODUCTOS[[#This Row],[STOCK]]&lt;=PRODUCTOS[[#This Row],[STOCK MÍN.]],"BAJO","OK")))</f>
        <v/>
      </c>
      <c r="K10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64" hidden="1" s="11">
      <c r="A1064" s="18" t="n">
        <v>1049</v>
      </c>
      <c r="B1064" s="56" t="inlineStr">
        <is>
          <t>00106-ELE</t>
        </is>
      </c>
      <c r="C1064" s="56">
        <f>IFERROR(_xlfn.XLOOKUP(PRODUCTOS[[#This Row],[CODIGO]],LISTADO[CODIGOS],LISTADO[CATEGORIA]),"NO EXISTE")</f>
        <v/>
      </c>
      <c r="D1064" s="56">
        <f>IFERROR(_xlfn.XLOOKUP(PRODUCTOS[[#This Row],[CODIGO]],LISTADO[CODIGOS],LISTADO[PRODUCTOS]),"NO EXISTE")</f>
        <v/>
      </c>
      <c r="E1064" s="56">
        <f>IFERROR(_xlfn.XLOOKUP(PRODUCTOS[[#This Row],[CODIGO]],LISTADO[CODIGOS],LISTADO[UBICACIÓN]),"NO EXISTE")</f>
        <v/>
      </c>
      <c r="F1064" s="56">
        <f>SUMIFS(ENTRADAS[CANTIDAD],ENTRADAS[CODIGO],PRODUCTOS[[#This Row],[CODIGO]])</f>
        <v/>
      </c>
      <c r="G1064" s="56">
        <f>SUMIFS(SALIDAS[CANTIDAD],SALIDAS[CODIGO],PRODUCTOS[[#This Row],[CODIGO]])</f>
        <v/>
      </c>
      <c r="H1064" s="56">
        <f>PRODUCTOS[[#This Row],[ENTRADAS]]-PRODUCTOS[[#This Row],[SALIDAS ]]</f>
        <v/>
      </c>
      <c r="I1064" s="76" t="n">
        <v>0</v>
      </c>
      <c r="J1064">
        <f>IF(PRODUCTOS[[#This Row],[STOCK]]&lt;0,"NEGATIVO",IF(PRODUCTOS[[#This Row],[STOCK]]=0,"SIN STOCK",IF(PRODUCTOS[[#This Row],[STOCK]]&lt;=PRODUCTOS[[#This Row],[STOCK MÍN.]],"BAJO","OK")))</f>
        <v/>
      </c>
      <c r="K10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65" hidden="1" s="11">
      <c r="A1065" s="18" t="n">
        <v>1050</v>
      </c>
      <c r="B1065" s="56" t="inlineStr">
        <is>
          <t>00107-ELE</t>
        </is>
      </c>
      <c r="C1065" s="56">
        <f>IFERROR(_xlfn.XLOOKUP(PRODUCTOS[[#This Row],[CODIGO]],LISTADO[CODIGOS],LISTADO[CATEGORIA]),"NO EXISTE")</f>
        <v/>
      </c>
      <c r="D1065" s="56">
        <f>IFERROR(_xlfn.XLOOKUP(PRODUCTOS[[#This Row],[CODIGO]],LISTADO[CODIGOS],LISTADO[PRODUCTOS]),"NO EXISTE")</f>
        <v/>
      </c>
      <c r="E1065" s="56">
        <f>IFERROR(_xlfn.XLOOKUP(PRODUCTOS[[#This Row],[CODIGO]],LISTADO[CODIGOS],LISTADO[UBICACIÓN]),"NO EXISTE")</f>
        <v/>
      </c>
      <c r="F1065" s="56">
        <f>SUMIFS(ENTRADAS[CANTIDAD],ENTRADAS[CODIGO],PRODUCTOS[[#This Row],[CODIGO]])</f>
        <v/>
      </c>
      <c r="G1065" s="56">
        <f>SUMIFS(SALIDAS[CANTIDAD],SALIDAS[CODIGO],PRODUCTOS[[#This Row],[CODIGO]])</f>
        <v/>
      </c>
      <c r="H1065" s="56">
        <f>PRODUCTOS[[#This Row],[ENTRADAS]]-PRODUCTOS[[#This Row],[SALIDAS ]]</f>
        <v/>
      </c>
      <c r="I1065" s="76" t="n">
        <v>0</v>
      </c>
      <c r="J1065">
        <f>IF(PRODUCTOS[[#This Row],[STOCK]]&lt;0,"NEGATIVO",IF(PRODUCTOS[[#This Row],[STOCK]]=0,"SIN STOCK",IF(PRODUCTOS[[#This Row],[STOCK]]&lt;=PRODUCTOS[[#This Row],[STOCK MÍN.]],"BAJO","OK")))</f>
        <v/>
      </c>
      <c r="K10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66" hidden="1" s="11">
      <c r="A1066" s="18" t="n">
        <v>652</v>
      </c>
      <c r="B1066" s="56" t="inlineStr">
        <is>
          <t>00081-ELC</t>
        </is>
      </c>
      <c r="C1066" s="56">
        <f>IFERROR(_xlfn.XLOOKUP(PRODUCTOS[[#This Row],[CODIGO]],LISTADO[CODIGOS],LISTADO[CATEGORIA]),"NO EXISTE")</f>
        <v/>
      </c>
      <c r="D1066" s="56">
        <f>IFERROR(_xlfn.XLOOKUP(PRODUCTOS[[#This Row],[CODIGO]],LISTADO[CODIGOS],LISTADO[PRODUCTOS]),"NO EXISTE")</f>
        <v/>
      </c>
      <c r="E1066" s="56">
        <f>IFERROR(_xlfn.XLOOKUP(PRODUCTOS[[#This Row],[CODIGO]],LISTADO[CODIGOS],LISTADO[UBICACIÓN]),"NO EXISTE")</f>
        <v/>
      </c>
      <c r="F1066" s="56">
        <f>SUMIFS(ENTRADAS[CANTIDAD],ENTRADAS[CODIGO],PRODUCTOS[[#This Row],[CODIGO]])</f>
        <v/>
      </c>
      <c r="G1066" s="56">
        <f>SUMIFS(SALIDAS[CANTIDAD],SALIDAS[CODIGO],PRODUCTOS[[#This Row],[CODIGO]])</f>
        <v/>
      </c>
      <c r="H1066" s="56">
        <f>PRODUCTOS[[#This Row],[ENTRADAS]]-PRODUCTOS[[#This Row],[SALIDAS ]]</f>
        <v/>
      </c>
      <c r="I1066" s="76" t="n">
        <v>0</v>
      </c>
      <c r="J1066">
        <f>IF(PRODUCTOS[[#This Row],[STOCK]]&lt;0,"NEGATIVO",IF(PRODUCTOS[[#This Row],[STOCK]]=0,"SIN STOCK",IF(PRODUCTOS[[#This Row],[STOCK]]&lt;=PRODUCTOS[[#This Row],[STOCK MÍN.]],"BAJO","OK")))</f>
        <v/>
      </c>
      <c r="K10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67" hidden="1" s="11">
      <c r="A1067" s="18" t="n">
        <v>1052</v>
      </c>
      <c r="B1067" s="56" t="inlineStr">
        <is>
          <t>00218-FER</t>
        </is>
      </c>
      <c r="C1067" s="56">
        <f>IFERROR(_xlfn.XLOOKUP(PRODUCTOS[[#This Row],[CODIGO]],LISTADO[CODIGOS],LISTADO[CATEGORIA]),"NO EXISTE")</f>
        <v/>
      </c>
      <c r="D1067" s="56">
        <f>IFERROR(_xlfn.XLOOKUP(PRODUCTOS[[#This Row],[CODIGO]],LISTADO[CODIGOS],LISTADO[PRODUCTOS]),"NO EXISTE")</f>
        <v/>
      </c>
      <c r="E1067" s="56">
        <f>IFERROR(_xlfn.XLOOKUP(PRODUCTOS[[#This Row],[CODIGO]],LISTADO[CODIGOS],LISTADO[UBICACIÓN]),"NO EXISTE")</f>
        <v/>
      </c>
      <c r="F1067" s="56">
        <f>SUMIFS(ENTRADAS[CANTIDAD],ENTRADAS[CODIGO],PRODUCTOS[[#This Row],[CODIGO]])</f>
        <v/>
      </c>
      <c r="G1067" s="56">
        <f>SUMIFS(SALIDAS[CANTIDAD],SALIDAS[CODIGO],PRODUCTOS[[#This Row],[CODIGO]])</f>
        <v/>
      </c>
      <c r="H1067" s="56">
        <f>PRODUCTOS[[#This Row],[ENTRADAS]]-PRODUCTOS[[#This Row],[SALIDAS ]]</f>
        <v/>
      </c>
      <c r="I1067" s="76" t="n">
        <v>0</v>
      </c>
      <c r="J1067">
        <f>IF(PRODUCTOS[[#This Row],[STOCK]]&lt;0,"NEGATIVO",IF(PRODUCTOS[[#This Row],[STOCK]]=0,"SIN STOCK",IF(PRODUCTOS[[#This Row],[STOCK]]&lt;=PRODUCTOS[[#This Row],[STOCK MÍN.]],"BAJO","OK")))</f>
        <v/>
      </c>
      <c r="K10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68" hidden="1" s="11">
      <c r="A1068" s="18" t="n">
        <v>1053</v>
      </c>
      <c r="B1068" s="56" t="inlineStr">
        <is>
          <t>00067-PLM</t>
        </is>
      </c>
      <c r="C1068" s="56">
        <f>IFERROR(_xlfn.XLOOKUP(PRODUCTOS[[#This Row],[CODIGO]],LISTADO[CODIGOS],LISTADO[CATEGORIA]),"NO EXISTE")</f>
        <v/>
      </c>
      <c r="D1068" s="56">
        <f>IFERROR(_xlfn.XLOOKUP(PRODUCTOS[[#This Row],[CODIGO]],LISTADO[CODIGOS],LISTADO[PRODUCTOS]),"NO EXISTE")</f>
        <v/>
      </c>
      <c r="E1068" s="56">
        <f>IFERROR(_xlfn.XLOOKUP(PRODUCTOS[[#This Row],[CODIGO]],LISTADO[CODIGOS],LISTADO[UBICACIÓN]),"NO EXISTE")</f>
        <v/>
      </c>
      <c r="F1068" s="56">
        <f>SUMIFS(ENTRADAS[CANTIDAD],ENTRADAS[CODIGO],PRODUCTOS[[#This Row],[CODIGO]])</f>
        <v/>
      </c>
      <c r="G1068" s="56">
        <f>SUMIFS(SALIDAS[CANTIDAD],SALIDAS[CODIGO],PRODUCTOS[[#This Row],[CODIGO]])</f>
        <v/>
      </c>
      <c r="H1068" s="56">
        <f>PRODUCTOS[[#This Row],[ENTRADAS]]-PRODUCTOS[[#This Row],[SALIDAS ]]</f>
        <v/>
      </c>
      <c r="I1068" s="76" t="n">
        <v>0</v>
      </c>
      <c r="J1068">
        <f>IF(PRODUCTOS[[#This Row],[STOCK]]&lt;0,"NEGATIVO",IF(PRODUCTOS[[#This Row],[STOCK]]=0,"SIN STOCK",IF(PRODUCTOS[[#This Row],[STOCK]]&lt;=PRODUCTOS[[#This Row],[STOCK MÍN.]],"BAJO","OK")))</f>
        <v/>
      </c>
      <c r="K10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69" hidden="1" s="11">
      <c r="A1069" s="18" t="n">
        <v>1054</v>
      </c>
      <c r="B1069" s="56" t="inlineStr">
        <is>
          <t>00135-REF</t>
        </is>
      </c>
      <c r="C1069" s="56">
        <f>IFERROR(_xlfn.XLOOKUP(PRODUCTOS[[#This Row],[CODIGO]],LISTADO[CODIGOS],LISTADO[CATEGORIA]),"NO EXISTE")</f>
        <v/>
      </c>
      <c r="D1069" s="56">
        <f>IFERROR(_xlfn.XLOOKUP(PRODUCTOS[[#This Row],[CODIGO]],LISTADO[CODIGOS],LISTADO[PRODUCTOS]),"NO EXISTE")</f>
        <v/>
      </c>
      <c r="E1069" s="56">
        <f>IFERROR(_xlfn.XLOOKUP(PRODUCTOS[[#This Row],[CODIGO]],LISTADO[CODIGOS],LISTADO[UBICACIÓN]),"NO EXISTE")</f>
        <v/>
      </c>
      <c r="F1069" s="56">
        <f>SUMIFS(ENTRADAS[CANTIDAD],ENTRADAS[CODIGO],PRODUCTOS[[#This Row],[CODIGO]])</f>
        <v/>
      </c>
      <c r="G1069" s="56">
        <f>SUMIFS(SALIDAS[CANTIDAD],SALIDAS[CODIGO],PRODUCTOS[[#This Row],[CODIGO]])</f>
        <v/>
      </c>
      <c r="H1069" s="56">
        <f>PRODUCTOS[[#This Row],[ENTRADAS]]-PRODUCTOS[[#This Row],[SALIDAS ]]</f>
        <v/>
      </c>
      <c r="I1069" s="76" t="n">
        <v>0</v>
      </c>
      <c r="J1069">
        <f>IF(PRODUCTOS[[#This Row],[STOCK]]&lt;0,"NEGATIVO",IF(PRODUCTOS[[#This Row],[STOCK]]=0,"SIN STOCK",IF(PRODUCTOS[[#This Row],[STOCK]]&lt;=PRODUCTOS[[#This Row],[STOCK MÍN.]],"BAJO","OK")))</f>
        <v/>
      </c>
      <c r="K10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70" hidden="1" s="11">
      <c r="A1070" s="18" t="n">
        <v>861</v>
      </c>
      <c r="B1070" s="56" t="inlineStr">
        <is>
          <t>00136-REF</t>
        </is>
      </c>
      <c r="C1070" s="56">
        <f>IFERROR(_xlfn.XLOOKUP(PRODUCTOS[[#This Row],[CODIGO]],LISTADO[CODIGOS],LISTADO[CATEGORIA]),"NO EXISTE")</f>
        <v/>
      </c>
      <c r="D1070" s="56">
        <f>IFERROR(_xlfn.XLOOKUP(PRODUCTOS[[#This Row],[CODIGO]],LISTADO[CODIGOS],LISTADO[PRODUCTOS]),"NO EXISTE")</f>
        <v/>
      </c>
      <c r="E1070" s="56">
        <f>IFERROR(_xlfn.XLOOKUP(PRODUCTOS[[#This Row],[CODIGO]],LISTADO[CODIGOS],LISTADO[UBICACIÓN]),"NO EXISTE")</f>
        <v/>
      </c>
      <c r="F1070" s="56">
        <f>SUMIFS(ENTRADAS[CANTIDAD],ENTRADAS[CODIGO],PRODUCTOS[[#This Row],[CODIGO]])</f>
        <v/>
      </c>
      <c r="G1070" s="56">
        <f>SUMIFS(SALIDAS[CANTIDAD],SALIDAS[CODIGO],PRODUCTOS[[#This Row],[CODIGO]])</f>
        <v/>
      </c>
      <c r="H1070" s="56">
        <f>PRODUCTOS[[#This Row],[ENTRADAS]]-PRODUCTOS[[#This Row],[SALIDAS ]]</f>
        <v/>
      </c>
      <c r="I1070" s="76" t="n">
        <v>0</v>
      </c>
      <c r="J1070">
        <f>IF(PRODUCTOS[[#This Row],[STOCK]]&lt;0,"NEGATIVO",IF(PRODUCTOS[[#This Row],[STOCK]]=0,"SIN STOCK",IF(PRODUCTOS[[#This Row],[STOCK]]&lt;=PRODUCTOS[[#This Row],[STOCK MÍN.]],"BAJO","OK")))</f>
        <v/>
      </c>
      <c r="K10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71" hidden="1" s="11">
      <c r="A1071" s="18" t="n">
        <v>1051</v>
      </c>
      <c r="B1071" s="56" t="inlineStr">
        <is>
          <t>00137-REF</t>
        </is>
      </c>
      <c r="C1071" s="56">
        <f>IFERROR(_xlfn.XLOOKUP(PRODUCTOS[[#This Row],[CODIGO]],LISTADO[CODIGOS],LISTADO[CATEGORIA]),"NO EXISTE")</f>
        <v/>
      </c>
      <c r="D1071" s="56">
        <f>IFERROR(_xlfn.XLOOKUP(PRODUCTOS[[#This Row],[CODIGO]],LISTADO[CODIGOS],LISTADO[PRODUCTOS]),"NO EXISTE")</f>
        <v/>
      </c>
      <c r="E1071" s="56">
        <f>IFERROR(_xlfn.XLOOKUP(PRODUCTOS[[#This Row],[CODIGO]],LISTADO[CODIGOS],LISTADO[UBICACIÓN]),"NO EXISTE")</f>
        <v/>
      </c>
      <c r="F1071" s="56">
        <f>SUMIFS(ENTRADAS[CANTIDAD],ENTRADAS[CODIGO],PRODUCTOS[[#This Row],[CODIGO]])</f>
        <v/>
      </c>
      <c r="G1071" s="56">
        <f>SUMIFS(SALIDAS[CANTIDAD],SALIDAS[CODIGO],PRODUCTOS[[#This Row],[CODIGO]])</f>
        <v/>
      </c>
      <c r="H1071" s="56">
        <f>PRODUCTOS[[#This Row],[ENTRADAS]]-PRODUCTOS[[#This Row],[SALIDAS ]]</f>
        <v/>
      </c>
      <c r="I1071" s="76" t="n">
        <v>0</v>
      </c>
      <c r="J1071">
        <f>IF(PRODUCTOS[[#This Row],[STOCK]]&lt;0,"NEGATIVO",IF(PRODUCTOS[[#This Row],[STOCK]]=0,"SIN STOCK",IF(PRODUCTOS[[#This Row],[STOCK]]&lt;=PRODUCTOS[[#This Row],[STOCK MÍN.]],"BAJO","OK")))</f>
        <v/>
      </c>
      <c r="K10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72" hidden="1" s="11">
      <c r="A1072" s="18" t="n">
        <v>980</v>
      </c>
      <c r="B1072" s="56" t="inlineStr">
        <is>
          <t>00138-REF</t>
        </is>
      </c>
      <c r="C1072" s="56">
        <f>IFERROR(_xlfn.XLOOKUP(PRODUCTOS[[#This Row],[CODIGO]],LISTADO[CODIGOS],LISTADO[CATEGORIA]),"NO EXISTE")</f>
        <v/>
      </c>
      <c r="D1072" s="56">
        <f>IFERROR(_xlfn.XLOOKUP(PRODUCTOS[[#This Row],[CODIGO]],LISTADO[CODIGOS],LISTADO[PRODUCTOS]),"NO EXISTE")</f>
        <v/>
      </c>
      <c r="E1072" s="56">
        <f>IFERROR(_xlfn.XLOOKUP(PRODUCTOS[[#This Row],[CODIGO]],LISTADO[CODIGOS],LISTADO[UBICACIÓN]),"NO EXISTE")</f>
        <v/>
      </c>
      <c r="F1072" s="56">
        <f>SUMIFS(ENTRADAS[CANTIDAD],ENTRADAS[CODIGO],PRODUCTOS[[#This Row],[CODIGO]])</f>
        <v/>
      </c>
      <c r="G1072" s="56">
        <f>SUMIFS(SALIDAS[CANTIDAD],SALIDAS[CODIGO],PRODUCTOS[[#This Row],[CODIGO]])</f>
        <v/>
      </c>
      <c r="H1072" s="56">
        <f>PRODUCTOS[[#This Row],[ENTRADAS]]-PRODUCTOS[[#This Row],[SALIDAS ]]</f>
        <v/>
      </c>
      <c r="I1072" s="76" t="n">
        <v>0</v>
      </c>
      <c r="J1072">
        <f>IF(PRODUCTOS[[#This Row],[STOCK]]&lt;0,"NEGATIVO",IF(PRODUCTOS[[#This Row],[STOCK]]=0,"SIN STOCK",IF(PRODUCTOS[[#This Row],[STOCK]]&lt;=PRODUCTOS[[#This Row],[STOCK MÍN.]],"BAJO","OK")))</f>
        <v/>
      </c>
      <c r="K10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73" hidden="1" s="11">
      <c r="A1073" s="18" t="n">
        <v>888</v>
      </c>
      <c r="B1073" s="56" t="inlineStr">
        <is>
          <t>00139-REF</t>
        </is>
      </c>
      <c r="C1073" s="56">
        <f>IFERROR(_xlfn.XLOOKUP(PRODUCTOS[[#This Row],[CODIGO]],LISTADO[CODIGOS],LISTADO[CATEGORIA]),"NO EXISTE")</f>
        <v/>
      </c>
      <c r="D1073" s="56">
        <f>IFERROR(_xlfn.XLOOKUP(PRODUCTOS[[#This Row],[CODIGO]],LISTADO[CODIGOS],LISTADO[PRODUCTOS]),"NO EXISTE")</f>
        <v/>
      </c>
      <c r="E1073" s="56">
        <f>IFERROR(_xlfn.XLOOKUP(PRODUCTOS[[#This Row],[CODIGO]],LISTADO[CODIGOS],LISTADO[UBICACIÓN]),"NO EXISTE")</f>
        <v/>
      </c>
      <c r="F1073" s="56">
        <f>SUMIFS(ENTRADAS[CANTIDAD],ENTRADAS[CODIGO],PRODUCTOS[[#This Row],[CODIGO]])</f>
        <v/>
      </c>
      <c r="G1073" s="56">
        <f>SUMIFS(SALIDAS[CANTIDAD],SALIDAS[CODIGO],PRODUCTOS[[#This Row],[CODIGO]])</f>
        <v/>
      </c>
      <c r="H1073" s="56">
        <f>PRODUCTOS[[#This Row],[ENTRADAS]]-PRODUCTOS[[#This Row],[SALIDAS ]]</f>
        <v/>
      </c>
      <c r="I1073" s="76" t="n">
        <v>0</v>
      </c>
      <c r="J1073">
        <f>IF(PRODUCTOS[[#This Row],[STOCK]]&lt;0,"NEGATIVO",IF(PRODUCTOS[[#This Row],[STOCK]]=0,"SIN STOCK",IF(PRODUCTOS[[#This Row],[STOCK]]&lt;=PRODUCTOS[[#This Row],[STOCK MÍN.]],"BAJO","OK")))</f>
        <v/>
      </c>
      <c r="K10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74" hidden="1" s="11">
      <c r="A1074" s="18" t="n">
        <v>1059</v>
      </c>
      <c r="B1074" s="56" t="inlineStr">
        <is>
          <t>00140-REF</t>
        </is>
      </c>
      <c r="C1074" s="56">
        <f>IFERROR(_xlfn.XLOOKUP(PRODUCTOS[[#This Row],[CODIGO]],LISTADO[CODIGOS],LISTADO[CATEGORIA]),"NO EXISTE")</f>
        <v/>
      </c>
      <c r="D1074" s="56">
        <f>IFERROR(_xlfn.XLOOKUP(PRODUCTOS[[#This Row],[CODIGO]],LISTADO[CODIGOS],LISTADO[PRODUCTOS]),"NO EXISTE")</f>
        <v/>
      </c>
      <c r="E1074" s="56">
        <f>IFERROR(_xlfn.XLOOKUP(PRODUCTOS[[#This Row],[CODIGO]],LISTADO[CODIGOS],LISTADO[UBICACIÓN]),"NO EXISTE")</f>
        <v/>
      </c>
      <c r="F1074" s="56">
        <f>SUMIFS(ENTRADAS[CANTIDAD],ENTRADAS[CODIGO],PRODUCTOS[[#This Row],[CODIGO]])</f>
        <v/>
      </c>
      <c r="G1074" s="56">
        <f>SUMIFS(SALIDAS[CANTIDAD],SALIDAS[CODIGO],PRODUCTOS[[#This Row],[CODIGO]])</f>
        <v/>
      </c>
      <c r="H1074" s="56">
        <f>PRODUCTOS[[#This Row],[ENTRADAS]]-PRODUCTOS[[#This Row],[SALIDAS ]]</f>
        <v/>
      </c>
      <c r="I1074" s="76" t="n">
        <v>0</v>
      </c>
      <c r="J1074">
        <f>IF(PRODUCTOS[[#This Row],[STOCK]]&lt;0,"NEGATIVO",IF(PRODUCTOS[[#This Row],[STOCK]]=0,"SIN STOCK",IF(PRODUCTOS[[#This Row],[STOCK]]&lt;=PRODUCTOS[[#This Row],[STOCK MÍN.]],"BAJO","OK")))</f>
        <v/>
      </c>
      <c r="K10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75" hidden="1" s="11">
      <c r="A1075" s="18" t="n">
        <v>1060</v>
      </c>
      <c r="B1075" s="56" t="inlineStr">
        <is>
          <t>00141-REF</t>
        </is>
      </c>
      <c r="C1075" s="56">
        <f>IFERROR(_xlfn.XLOOKUP(PRODUCTOS[[#This Row],[CODIGO]],LISTADO[CODIGOS],LISTADO[CATEGORIA]),"NO EXISTE")</f>
        <v/>
      </c>
      <c r="D1075" s="56">
        <f>IFERROR(_xlfn.XLOOKUP(PRODUCTOS[[#This Row],[CODIGO]],LISTADO[CODIGOS],LISTADO[PRODUCTOS]),"NO EXISTE")</f>
        <v/>
      </c>
      <c r="E1075" s="56">
        <f>IFERROR(_xlfn.XLOOKUP(PRODUCTOS[[#This Row],[CODIGO]],LISTADO[CODIGOS],LISTADO[UBICACIÓN]),"NO EXISTE")</f>
        <v/>
      </c>
      <c r="F1075" s="56">
        <f>SUMIFS(ENTRADAS[CANTIDAD],ENTRADAS[CODIGO],PRODUCTOS[[#This Row],[CODIGO]])</f>
        <v/>
      </c>
      <c r="G1075" s="56">
        <f>SUMIFS(SALIDAS[CANTIDAD],SALIDAS[CODIGO],PRODUCTOS[[#This Row],[CODIGO]])</f>
        <v/>
      </c>
      <c r="H1075" s="56">
        <f>PRODUCTOS[[#This Row],[ENTRADAS]]-PRODUCTOS[[#This Row],[SALIDAS ]]</f>
        <v/>
      </c>
      <c r="I1075" s="76" t="n">
        <v>0</v>
      </c>
      <c r="J1075">
        <f>IF(PRODUCTOS[[#This Row],[STOCK]]&lt;0,"NEGATIVO",IF(PRODUCTOS[[#This Row],[STOCK]]=0,"SIN STOCK",IF(PRODUCTOS[[#This Row],[STOCK]]&lt;=PRODUCTOS[[#This Row],[STOCK MÍN.]],"BAJO","OK")))</f>
        <v/>
      </c>
      <c r="K10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76" hidden="1" s="11">
      <c r="A1076" s="18" t="n">
        <v>1061</v>
      </c>
      <c r="B1076" s="56" t="inlineStr">
        <is>
          <t>00142-REF</t>
        </is>
      </c>
      <c r="C1076" s="56">
        <f>IFERROR(_xlfn.XLOOKUP(PRODUCTOS[[#This Row],[CODIGO]],LISTADO[CODIGOS],LISTADO[CATEGORIA]),"NO EXISTE")</f>
        <v/>
      </c>
      <c r="D1076" s="56">
        <f>IFERROR(_xlfn.XLOOKUP(PRODUCTOS[[#This Row],[CODIGO]],LISTADO[CODIGOS],LISTADO[PRODUCTOS]),"NO EXISTE")</f>
        <v/>
      </c>
      <c r="E1076" s="56">
        <f>IFERROR(_xlfn.XLOOKUP(PRODUCTOS[[#This Row],[CODIGO]],LISTADO[CODIGOS],LISTADO[UBICACIÓN]),"NO EXISTE")</f>
        <v/>
      </c>
      <c r="F1076" s="56">
        <f>SUMIFS(ENTRADAS[CANTIDAD],ENTRADAS[CODIGO],PRODUCTOS[[#This Row],[CODIGO]])</f>
        <v/>
      </c>
      <c r="G1076" s="56">
        <f>SUMIFS(SALIDAS[CANTIDAD],SALIDAS[CODIGO],PRODUCTOS[[#This Row],[CODIGO]])</f>
        <v/>
      </c>
      <c r="H1076" s="56">
        <f>PRODUCTOS[[#This Row],[ENTRADAS]]-PRODUCTOS[[#This Row],[SALIDAS ]]</f>
        <v/>
      </c>
      <c r="I1076" s="76" t="n">
        <v>0</v>
      </c>
      <c r="J1076">
        <f>IF(PRODUCTOS[[#This Row],[STOCK]]&lt;0,"NEGATIVO",IF(PRODUCTOS[[#This Row],[STOCK]]=0,"SIN STOCK",IF(PRODUCTOS[[#This Row],[STOCK]]&lt;=PRODUCTOS[[#This Row],[STOCK MÍN.]],"BAJO","OK")))</f>
        <v/>
      </c>
      <c r="K10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77" hidden="1" s="11">
      <c r="A1077" s="18" t="n">
        <v>1062</v>
      </c>
      <c r="B1077" s="56" t="inlineStr">
        <is>
          <t>00219-FER</t>
        </is>
      </c>
      <c r="C1077" s="56">
        <f>IFERROR(_xlfn.XLOOKUP(PRODUCTOS[[#This Row],[CODIGO]],LISTADO[CODIGOS],LISTADO[CATEGORIA]),"NO EXISTE")</f>
        <v/>
      </c>
      <c r="D1077" s="56">
        <f>IFERROR(_xlfn.XLOOKUP(PRODUCTOS[[#This Row],[CODIGO]],LISTADO[CODIGOS],LISTADO[PRODUCTOS]),"NO EXISTE")</f>
        <v/>
      </c>
      <c r="E1077" s="56">
        <f>IFERROR(_xlfn.XLOOKUP(PRODUCTOS[[#This Row],[CODIGO]],LISTADO[CODIGOS],LISTADO[UBICACIÓN]),"NO EXISTE")</f>
        <v/>
      </c>
      <c r="F1077" s="56">
        <f>SUMIFS(ENTRADAS[CANTIDAD],ENTRADAS[CODIGO],PRODUCTOS[[#This Row],[CODIGO]])</f>
        <v/>
      </c>
      <c r="G1077" s="56">
        <f>SUMIFS(SALIDAS[CANTIDAD],SALIDAS[CODIGO],PRODUCTOS[[#This Row],[CODIGO]])</f>
        <v/>
      </c>
      <c r="H1077" s="56">
        <f>PRODUCTOS[[#This Row],[ENTRADAS]]-PRODUCTOS[[#This Row],[SALIDAS ]]</f>
        <v/>
      </c>
      <c r="I1077" s="76" t="n">
        <v>0</v>
      </c>
      <c r="J1077">
        <f>IF(PRODUCTOS[[#This Row],[STOCK]]&lt;0,"NEGATIVO",IF(PRODUCTOS[[#This Row],[STOCK]]=0,"SIN STOCK",IF(PRODUCTOS[[#This Row],[STOCK]]&lt;=PRODUCTOS[[#This Row],[STOCK MÍN.]],"BAJO","OK")))</f>
        <v/>
      </c>
      <c r="K10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78" hidden="1" s="11">
      <c r="A1078" s="18" t="n">
        <v>1063</v>
      </c>
      <c r="B1078" s="56" t="inlineStr">
        <is>
          <t>00108-ELE</t>
        </is>
      </c>
      <c r="C1078" s="56">
        <f>IFERROR(_xlfn.XLOOKUP(PRODUCTOS[[#This Row],[CODIGO]],LISTADO[CODIGOS],LISTADO[CATEGORIA]),"NO EXISTE")</f>
        <v/>
      </c>
      <c r="D1078" s="56">
        <f>IFERROR(_xlfn.XLOOKUP(PRODUCTOS[[#This Row],[CODIGO]],LISTADO[CODIGOS],LISTADO[PRODUCTOS]),"NO EXISTE")</f>
        <v/>
      </c>
      <c r="E1078" s="56">
        <f>IFERROR(_xlfn.XLOOKUP(PRODUCTOS[[#This Row],[CODIGO]],LISTADO[CODIGOS],LISTADO[UBICACIÓN]),"NO EXISTE")</f>
        <v/>
      </c>
      <c r="F1078" s="56">
        <f>SUMIFS(ENTRADAS[CANTIDAD],ENTRADAS[CODIGO],PRODUCTOS[[#This Row],[CODIGO]])</f>
        <v/>
      </c>
      <c r="G1078" s="56">
        <f>SUMIFS(SALIDAS[CANTIDAD],SALIDAS[CODIGO],PRODUCTOS[[#This Row],[CODIGO]])</f>
        <v/>
      </c>
      <c r="H1078" s="56">
        <f>PRODUCTOS[[#This Row],[ENTRADAS]]-PRODUCTOS[[#This Row],[SALIDAS ]]</f>
        <v/>
      </c>
      <c r="I1078" s="76" t="n">
        <v>0</v>
      </c>
      <c r="J1078">
        <f>IF(PRODUCTOS[[#This Row],[STOCK]]&lt;0,"NEGATIVO",IF(PRODUCTOS[[#This Row],[STOCK]]=0,"SIN STOCK",IF(PRODUCTOS[[#This Row],[STOCK]]&lt;=PRODUCTOS[[#This Row],[STOCK MÍN.]],"BAJO","OK")))</f>
        <v/>
      </c>
      <c r="K10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79">
      <c r="A1079" s="18" t="n">
        <v>1064</v>
      </c>
      <c r="B1079" s="56" t="inlineStr">
        <is>
          <t>00109-ELE</t>
        </is>
      </c>
      <c r="C1079" s="56">
        <f>IFERROR(_xlfn.XLOOKUP(PRODUCTOS[[#This Row],[CODIGO]],LISTADO[CODIGOS],LISTADO[CATEGORIA]),"NO EXISTE")</f>
        <v/>
      </c>
      <c r="D1079" s="56">
        <f>IFERROR(_xlfn.XLOOKUP(PRODUCTOS[[#This Row],[CODIGO]],LISTADO[CODIGOS],LISTADO[PRODUCTOS]),"NO EXISTE")</f>
        <v/>
      </c>
      <c r="E1079" s="56">
        <f>IFERROR(_xlfn.XLOOKUP(PRODUCTOS[[#This Row],[CODIGO]],LISTADO[CODIGOS],LISTADO[UBICACIÓN]),"NO EXISTE")</f>
        <v/>
      </c>
      <c r="F1079" s="56">
        <f>SUMIFS(ENTRADAS[CANTIDAD],ENTRADAS[CODIGO],PRODUCTOS[[#This Row],[CODIGO]])</f>
        <v/>
      </c>
      <c r="G1079" s="56">
        <f>SUMIFS(SALIDAS[CANTIDAD],SALIDAS[CODIGO],PRODUCTOS[[#This Row],[CODIGO]])</f>
        <v/>
      </c>
      <c r="H1079" s="56">
        <f>PRODUCTOS[[#This Row],[ENTRADAS]]-PRODUCTOS[[#This Row],[SALIDAS ]]</f>
        <v/>
      </c>
      <c r="I1079" s="76" t="n">
        <v>0</v>
      </c>
      <c r="J1079">
        <f>IF(PRODUCTOS[[#This Row],[STOCK]]&lt;0,"NEGATIVO",IF(PRODUCTOS[[#This Row],[STOCK]]=0,"SIN STOCK",IF(PRODUCTOS[[#This Row],[STOCK]]&lt;=PRODUCTOS[[#This Row],[STOCK MÍN.]],"BAJO","OK")))</f>
        <v/>
      </c>
      <c r="K10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80" hidden="1" s="11">
      <c r="A1080" s="18" t="n">
        <v>1065</v>
      </c>
      <c r="B1080" s="56" t="inlineStr">
        <is>
          <t>00032-AUT</t>
        </is>
      </c>
      <c r="C1080" s="56">
        <f>IFERROR(_xlfn.XLOOKUP(PRODUCTOS[[#This Row],[CODIGO]],LISTADO[CODIGOS],LISTADO[CATEGORIA]),"NO EXISTE")</f>
        <v/>
      </c>
      <c r="D1080" s="56">
        <f>IFERROR(_xlfn.XLOOKUP(PRODUCTOS[[#This Row],[CODIGO]],LISTADO[CODIGOS],LISTADO[PRODUCTOS]),"NO EXISTE")</f>
        <v/>
      </c>
      <c r="E1080" s="56">
        <f>IFERROR(_xlfn.XLOOKUP(PRODUCTOS[[#This Row],[CODIGO]],LISTADO[CODIGOS],LISTADO[UBICACIÓN]),"NO EXISTE")</f>
        <v/>
      </c>
      <c r="F1080" s="56">
        <f>SUMIFS(ENTRADAS[CANTIDAD],ENTRADAS[CODIGO],PRODUCTOS[[#This Row],[CODIGO]])</f>
        <v/>
      </c>
      <c r="G1080" s="56">
        <f>SUMIFS(SALIDAS[CANTIDAD],SALIDAS[CODIGO],PRODUCTOS[[#This Row],[CODIGO]])</f>
        <v/>
      </c>
      <c r="H1080" s="56">
        <f>PRODUCTOS[[#This Row],[ENTRADAS]]-PRODUCTOS[[#This Row],[SALIDAS ]]</f>
        <v/>
      </c>
      <c r="I1080" s="76" t="n">
        <v>0</v>
      </c>
      <c r="J1080">
        <f>IF(PRODUCTOS[[#This Row],[STOCK]]&lt;0,"NEGATIVO",IF(PRODUCTOS[[#This Row],[STOCK]]=0,"SIN STOCK",IF(PRODUCTOS[[#This Row],[STOCK]]&lt;=PRODUCTOS[[#This Row],[STOCK MÍN.]],"BAJO","OK")))</f>
        <v/>
      </c>
      <c r="K10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81" hidden="1" s="11">
      <c r="A1081" s="18" t="n">
        <v>1066</v>
      </c>
      <c r="B1081" s="56" t="inlineStr">
        <is>
          <t>00068-PLM</t>
        </is>
      </c>
      <c r="C1081" s="56">
        <f>IFERROR(_xlfn.XLOOKUP(PRODUCTOS[[#This Row],[CODIGO]],LISTADO[CODIGOS],LISTADO[CATEGORIA]),"NO EXISTE")</f>
        <v/>
      </c>
      <c r="D1081" s="56">
        <f>IFERROR(_xlfn.XLOOKUP(PRODUCTOS[[#This Row],[CODIGO]],LISTADO[CODIGOS],LISTADO[PRODUCTOS]),"NO EXISTE")</f>
        <v/>
      </c>
      <c r="E1081" s="56">
        <f>IFERROR(_xlfn.XLOOKUP(PRODUCTOS[[#This Row],[CODIGO]],LISTADO[CODIGOS],LISTADO[UBICACIÓN]),"NO EXISTE")</f>
        <v/>
      </c>
      <c r="F1081" s="56">
        <f>SUMIFS(ENTRADAS[CANTIDAD],ENTRADAS[CODIGO],PRODUCTOS[[#This Row],[CODIGO]])</f>
        <v/>
      </c>
      <c r="G1081" s="56">
        <f>SUMIFS(SALIDAS[CANTIDAD],SALIDAS[CODIGO],PRODUCTOS[[#This Row],[CODIGO]])</f>
        <v/>
      </c>
      <c r="H1081" s="56">
        <f>PRODUCTOS[[#This Row],[ENTRADAS]]-PRODUCTOS[[#This Row],[SALIDAS ]]</f>
        <v/>
      </c>
      <c r="I1081" s="76" t="n">
        <v>0</v>
      </c>
      <c r="J1081">
        <f>IF(PRODUCTOS[[#This Row],[STOCK]]&lt;0,"NEGATIVO",IF(PRODUCTOS[[#This Row],[STOCK]]=0,"SIN STOCK",IF(PRODUCTOS[[#This Row],[STOCK]]&lt;=PRODUCTOS[[#This Row],[STOCK MÍN.]],"BAJO","OK")))</f>
        <v/>
      </c>
      <c r="K10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82" hidden="1" s="11">
      <c r="A1082" s="18" t="n">
        <v>1067</v>
      </c>
      <c r="B1082" s="56" t="inlineStr">
        <is>
          <t>00220-FER</t>
        </is>
      </c>
      <c r="C1082" s="56">
        <f>IFERROR(_xlfn.XLOOKUP(PRODUCTOS[[#This Row],[CODIGO]],LISTADO[CODIGOS],LISTADO[CATEGORIA]),"NO EXISTE")</f>
        <v/>
      </c>
      <c r="D1082" s="56">
        <f>IFERROR(_xlfn.XLOOKUP(PRODUCTOS[[#This Row],[CODIGO]],LISTADO[CODIGOS],LISTADO[PRODUCTOS]),"NO EXISTE")</f>
        <v/>
      </c>
      <c r="E1082" s="56">
        <f>IFERROR(_xlfn.XLOOKUP(PRODUCTOS[[#This Row],[CODIGO]],LISTADO[CODIGOS],LISTADO[UBICACIÓN]),"NO EXISTE")</f>
        <v/>
      </c>
      <c r="F1082" s="56">
        <f>SUMIFS(ENTRADAS[CANTIDAD],ENTRADAS[CODIGO],PRODUCTOS[[#This Row],[CODIGO]])</f>
        <v/>
      </c>
      <c r="G1082" s="56">
        <f>SUMIFS(SALIDAS[CANTIDAD],SALIDAS[CODIGO],PRODUCTOS[[#This Row],[CODIGO]])</f>
        <v/>
      </c>
      <c r="H1082" s="56">
        <f>PRODUCTOS[[#This Row],[ENTRADAS]]-PRODUCTOS[[#This Row],[SALIDAS ]]</f>
        <v/>
      </c>
      <c r="I1082" s="76" t="n">
        <v>0</v>
      </c>
      <c r="J1082">
        <f>IF(PRODUCTOS[[#This Row],[STOCK]]&lt;0,"NEGATIVO",IF(PRODUCTOS[[#This Row],[STOCK]]=0,"SIN STOCK",IF(PRODUCTOS[[#This Row],[STOCK]]&lt;=PRODUCTOS[[#This Row],[STOCK MÍN.]],"BAJO","OK")))</f>
        <v/>
      </c>
      <c r="K10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83" hidden="1" s="11">
      <c r="A1083" s="18" t="n">
        <v>1068</v>
      </c>
      <c r="B1083" s="56" t="inlineStr">
        <is>
          <t>00221-FER</t>
        </is>
      </c>
      <c r="C1083" s="56">
        <f>IFERROR(_xlfn.XLOOKUP(PRODUCTOS[[#This Row],[CODIGO]],LISTADO[CODIGOS],LISTADO[CATEGORIA]),"NO EXISTE")</f>
        <v/>
      </c>
      <c r="D1083" s="56">
        <f>IFERROR(_xlfn.XLOOKUP(PRODUCTOS[[#This Row],[CODIGO]],LISTADO[CODIGOS],LISTADO[PRODUCTOS]),"NO EXISTE")</f>
        <v/>
      </c>
      <c r="E1083" s="56">
        <f>IFERROR(_xlfn.XLOOKUP(PRODUCTOS[[#This Row],[CODIGO]],LISTADO[CODIGOS],LISTADO[UBICACIÓN]),"NO EXISTE")</f>
        <v/>
      </c>
      <c r="F1083" s="56">
        <f>SUMIFS(ENTRADAS[CANTIDAD],ENTRADAS[CODIGO],PRODUCTOS[[#This Row],[CODIGO]])</f>
        <v/>
      </c>
      <c r="G1083" s="56">
        <f>SUMIFS(SALIDAS[CANTIDAD],SALIDAS[CODIGO],PRODUCTOS[[#This Row],[CODIGO]])</f>
        <v/>
      </c>
      <c r="H1083" s="56">
        <f>PRODUCTOS[[#This Row],[ENTRADAS]]-PRODUCTOS[[#This Row],[SALIDAS ]]</f>
        <v/>
      </c>
      <c r="I1083" s="76" t="n">
        <v>0</v>
      </c>
      <c r="J1083">
        <f>IF(PRODUCTOS[[#This Row],[STOCK]]&lt;0,"NEGATIVO",IF(PRODUCTOS[[#This Row],[STOCK]]=0,"SIN STOCK",IF(PRODUCTOS[[#This Row],[STOCK]]&lt;=PRODUCTOS[[#This Row],[STOCK MÍN.]],"BAJO","OK")))</f>
        <v/>
      </c>
      <c r="K10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84" hidden="1" s="11">
      <c r="A1084" s="18" t="n">
        <v>1069</v>
      </c>
      <c r="B1084" s="56" t="inlineStr">
        <is>
          <t>00222-FER</t>
        </is>
      </c>
      <c r="C1084" s="56">
        <f>IFERROR(_xlfn.XLOOKUP(PRODUCTOS[[#This Row],[CODIGO]],LISTADO[CODIGOS],LISTADO[CATEGORIA]),"NO EXISTE")</f>
        <v/>
      </c>
      <c r="D1084" s="56">
        <f>IFERROR(_xlfn.XLOOKUP(PRODUCTOS[[#This Row],[CODIGO]],LISTADO[CODIGOS],LISTADO[PRODUCTOS]),"NO EXISTE")</f>
        <v/>
      </c>
      <c r="E1084" s="56">
        <f>IFERROR(_xlfn.XLOOKUP(PRODUCTOS[[#This Row],[CODIGO]],LISTADO[CODIGOS],LISTADO[UBICACIÓN]),"NO EXISTE")</f>
        <v/>
      </c>
      <c r="F1084" s="56">
        <f>SUMIFS(ENTRADAS[CANTIDAD],ENTRADAS[CODIGO],PRODUCTOS[[#This Row],[CODIGO]])</f>
        <v/>
      </c>
      <c r="G1084" s="56">
        <f>SUMIFS(SALIDAS[CANTIDAD],SALIDAS[CODIGO],PRODUCTOS[[#This Row],[CODIGO]])</f>
        <v/>
      </c>
      <c r="H1084" s="56">
        <f>PRODUCTOS[[#This Row],[ENTRADAS]]-PRODUCTOS[[#This Row],[SALIDAS ]]</f>
        <v/>
      </c>
      <c r="I1084" s="76" t="n">
        <v>0</v>
      </c>
      <c r="J1084">
        <f>IF(PRODUCTOS[[#This Row],[STOCK]]&lt;0,"NEGATIVO",IF(PRODUCTOS[[#This Row],[STOCK]]=0,"SIN STOCK",IF(PRODUCTOS[[#This Row],[STOCK]]&lt;=PRODUCTOS[[#This Row],[STOCK MÍN.]],"BAJO","OK")))</f>
        <v/>
      </c>
      <c r="K10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85" hidden="1" s="11">
      <c r="A1085" s="18" t="n">
        <v>1070</v>
      </c>
      <c r="B1085" s="56" t="inlineStr">
        <is>
          <t>00223-FER</t>
        </is>
      </c>
      <c r="C1085" s="56">
        <f>IFERROR(_xlfn.XLOOKUP(PRODUCTOS[[#This Row],[CODIGO]],LISTADO[CODIGOS],LISTADO[CATEGORIA]),"NO EXISTE")</f>
        <v/>
      </c>
      <c r="D1085" s="56">
        <f>IFERROR(_xlfn.XLOOKUP(PRODUCTOS[[#This Row],[CODIGO]],LISTADO[CODIGOS],LISTADO[PRODUCTOS]),"NO EXISTE")</f>
        <v/>
      </c>
      <c r="E1085" s="56">
        <f>IFERROR(_xlfn.XLOOKUP(PRODUCTOS[[#This Row],[CODIGO]],LISTADO[CODIGOS],LISTADO[UBICACIÓN]),"NO EXISTE")</f>
        <v/>
      </c>
      <c r="F1085" s="56">
        <f>SUMIFS(ENTRADAS[CANTIDAD],ENTRADAS[CODIGO],PRODUCTOS[[#This Row],[CODIGO]])</f>
        <v/>
      </c>
      <c r="G1085" s="56">
        <f>SUMIFS(SALIDAS[CANTIDAD],SALIDAS[CODIGO],PRODUCTOS[[#This Row],[CODIGO]])</f>
        <v/>
      </c>
      <c r="H1085" s="56">
        <f>PRODUCTOS[[#This Row],[ENTRADAS]]-PRODUCTOS[[#This Row],[SALIDAS ]]</f>
        <v/>
      </c>
      <c r="I1085" s="76" t="n">
        <v>0</v>
      </c>
      <c r="J1085">
        <f>IF(PRODUCTOS[[#This Row],[STOCK]]&lt;0,"NEGATIVO",IF(PRODUCTOS[[#This Row],[STOCK]]=0,"SIN STOCK",IF(PRODUCTOS[[#This Row],[STOCK]]&lt;=PRODUCTOS[[#This Row],[STOCK MÍN.]],"BAJO","OK")))</f>
        <v/>
      </c>
      <c r="K10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86" hidden="1" s="11">
      <c r="A1086" s="18" t="n">
        <v>1071</v>
      </c>
      <c r="B1086" s="56" t="inlineStr">
        <is>
          <t>00224-FER</t>
        </is>
      </c>
      <c r="C1086" s="56">
        <f>IFERROR(_xlfn.XLOOKUP(PRODUCTOS[[#This Row],[CODIGO]],LISTADO[CODIGOS],LISTADO[CATEGORIA]),"NO EXISTE")</f>
        <v/>
      </c>
      <c r="D1086" s="56">
        <f>IFERROR(_xlfn.XLOOKUP(PRODUCTOS[[#This Row],[CODIGO]],LISTADO[CODIGOS],LISTADO[PRODUCTOS]),"NO EXISTE")</f>
        <v/>
      </c>
      <c r="E1086" s="56">
        <f>IFERROR(_xlfn.XLOOKUP(PRODUCTOS[[#This Row],[CODIGO]],LISTADO[CODIGOS],LISTADO[UBICACIÓN]),"NO EXISTE")</f>
        <v/>
      </c>
      <c r="F1086" s="56">
        <f>SUMIFS(ENTRADAS[CANTIDAD],ENTRADAS[CODIGO],PRODUCTOS[[#This Row],[CODIGO]])</f>
        <v/>
      </c>
      <c r="G1086" s="56">
        <f>SUMIFS(SALIDAS[CANTIDAD],SALIDAS[CODIGO],PRODUCTOS[[#This Row],[CODIGO]])</f>
        <v/>
      </c>
      <c r="H1086" s="56">
        <f>PRODUCTOS[[#This Row],[ENTRADAS]]-PRODUCTOS[[#This Row],[SALIDAS ]]</f>
        <v/>
      </c>
      <c r="I1086" s="76" t="n">
        <v>0</v>
      </c>
      <c r="J1086">
        <f>IF(PRODUCTOS[[#This Row],[STOCK]]&lt;0,"NEGATIVO",IF(PRODUCTOS[[#This Row],[STOCK]]=0,"SIN STOCK",IF(PRODUCTOS[[#This Row],[STOCK]]&lt;=PRODUCTOS[[#This Row],[STOCK MÍN.]],"BAJO","OK")))</f>
        <v/>
      </c>
      <c r="K10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87" hidden="1" s="11">
      <c r="A1087" s="18" t="n">
        <v>1072</v>
      </c>
      <c r="B1087" s="56" t="inlineStr">
        <is>
          <t>00225-FER</t>
        </is>
      </c>
      <c r="C1087" s="56">
        <f>IFERROR(_xlfn.XLOOKUP(PRODUCTOS[[#This Row],[CODIGO]],LISTADO[CODIGOS],LISTADO[CATEGORIA]),"NO EXISTE")</f>
        <v/>
      </c>
      <c r="D1087" s="56">
        <f>IFERROR(_xlfn.XLOOKUP(PRODUCTOS[[#This Row],[CODIGO]],LISTADO[CODIGOS],LISTADO[PRODUCTOS]),"NO EXISTE")</f>
        <v/>
      </c>
      <c r="E1087" s="56">
        <f>IFERROR(_xlfn.XLOOKUP(PRODUCTOS[[#This Row],[CODIGO]],LISTADO[CODIGOS],LISTADO[UBICACIÓN]),"NO EXISTE")</f>
        <v/>
      </c>
      <c r="F1087" s="56">
        <f>SUMIFS(ENTRADAS[CANTIDAD],ENTRADAS[CODIGO],PRODUCTOS[[#This Row],[CODIGO]])</f>
        <v/>
      </c>
      <c r="G1087" s="56">
        <f>SUMIFS(SALIDAS[CANTIDAD],SALIDAS[CODIGO],PRODUCTOS[[#This Row],[CODIGO]])</f>
        <v/>
      </c>
      <c r="H1087" s="56">
        <f>PRODUCTOS[[#This Row],[ENTRADAS]]-PRODUCTOS[[#This Row],[SALIDAS ]]</f>
        <v/>
      </c>
      <c r="I1087" s="76" t="n">
        <v>0</v>
      </c>
      <c r="J1087">
        <f>IF(PRODUCTOS[[#This Row],[STOCK]]&lt;0,"NEGATIVO",IF(PRODUCTOS[[#This Row],[STOCK]]=0,"SIN STOCK",IF(PRODUCTOS[[#This Row],[STOCK]]&lt;=PRODUCTOS[[#This Row],[STOCK MÍN.]],"BAJO","OK")))</f>
        <v/>
      </c>
      <c r="K10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88" hidden="1" s="11">
      <c r="A1088" s="18" t="n">
        <v>1073</v>
      </c>
      <c r="B1088" s="56" t="inlineStr">
        <is>
          <t>00029-LIM</t>
        </is>
      </c>
      <c r="C1088" s="56">
        <f>IFERROR(_xlfn.XLOOKUP(PRODUCTOS[[#This Row],[CODIGO]],LISTADO[CODIGOS],LISTADO[CATEGORIA]),"NO EXISTE")</f>
        <v/>
      </c>
      <c r="D1088" s="56">
        <f>IFERROR(_xlfn.XLOOKUP(PRODUCTOS[[#This Row],[CODIGO]],LISTADO[CODIGOS],LISTADO[PRODUCTOS]),"NO EXISTE")</f>
        <v/>
      </c>
      <c r="E1088" s="56">
        <f>IFERROR(_xlfn.XLOOKUP(PRODUCTOS[[#This Row],[CODIGO]],LISTADO[CODIGOS],LISTADO[UBICACIÓN]),"NO EXISTE")</f>
        <v/>
      </c>
      <c r="F1088" s="56">
        <f>SUMIFS(ENTRADAS[CANTIDAD],ENTRADAS[CODIGO],PRODUCTOS[[#This Row],[CODIGO]])</f>
        <v/>
      </c>
      <c r="G1088" s="56">
        <f>SUMIFS(SALIDAS[CANTIDAD],SALIDAS[CODIGO],PRODUCTOS[[#This Row],[CODIGO]])</f>
        <v/>
      </c>
      <c r="H1088" s="56">
        <f>PRODUCTOS[[#This Row],[ENTRADAS]]-PRODUCTOS[[#This Row],[SALIDAS ]]</f>
        <v/>
      </c>
      <c r="I1088" s="76" t="n">
        <v>0</v>
      </c>
      <c r="J1088">
        <f>IF(PRODUCTOS[[#This Row],[STOCK]]&lt;0,"NEGATIVO",IF(PRODUCTOS[[#This Row],[STOCK]]=0,"SIN STOCK",IF(PRODUCTOS[[#This Row],[STOCK]]&lt;=PRODUCTOS[[#This Row],[STOCK MÍN.]],"BAJO","OK")))</f>
        <v/>
      </c>
      <c r="K10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89" hidden="1" s="11">
      <c r="A1089" s="18" t="n">
        <v>1074</v>
      </c>
      <c r="B1089" s="56" t="inlineStr">
        <is>
          <t>00030-LIM</t>
        </is>
      </c>
      <c r="C1089" s="56">
        <f>IFERROR(_xlfn.XLOOKUP(PRODUCTOS[[#This Row],[CODIGO]],LISTADO[CODIGOS],LISTADO[CATEGORIA]),"NO EXISTE")</f>
        <v/>
      </c>
      <c r="D1089" s="56">
        <f>IFERROR(_xlfn.XLOOKUP(PRODUCTOS[[#This Row],[CODIGO]],LISTADO[CODIGOS],LISTADO[PRODUCTOS]),"NO EXISTE")</f>
        <v/>
      </c>
      <c r="E1089" s="56">
        <f>IFERROR(_xlfn.XLOOKUP(PRODUCTOS[[#This Row],[CODIGO]],LISTADO[CODIGOS],LISTADO[UBICACIÓN]),"NO EXISTE")</f>
        <v/>
      </c>
      <c r="F1089" s="56">
        <f>SUMIFS(ENTRADAS[CANTIDAD],ENTRADAS[CODIGO],PRODUCTOS[[#This Row],[CODIGO]])</f>
        <v/>
      </c>
      <c r="G1089" s="56">
        <f>SUMIFS(SALIDAS[CANTIDAD],SALIDAS[CODIGO],PRODUCTOS[[#This Row],[CODIGO]])</f>
        <v/>
      </c>
      <c r="H1089" s="56">
        <f>PRODUCTOS[[#This Row],[ENTRADAS]]-PRODUCTOS[[#This Row],[SALIDAS ]]</f>
        <v/>
      </c>
      <c r="I1089" s="76" t="n">
        <v>0</v>
      </c>
      <c r="J1089">
        <f>IF(PRODUCTOS[[#This Row],[STOCK]]&lt;0,"NEGATIVO",IF(PRODUCTOS[[#This Row],[STOCK]]=0,"SIN STOCK",IF(PRODUCTOS[[#This Row],[STOCK]]&lt;=PRODUCTOS[[#This Row],[STOCK MÍN.]],"BAJO","OK")))</f>
        <v/>
      </c>
      <c r="K10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90" hidden="1" s="11">
      <c r="A1090" s="18" t="n">
        <v>1075</v>
      </c>
      <c r="B1090" s="56" t="inlineStr">
        <is>
          <t>00033-AUT</t>
        </is>
      </c>
      <c r="C1090" s="56">
        <f>IFERROR(_xlfn.XLOOKUP(PRODUCTOS[[#This Row],[CODIGO]],LISTADO[CODIGOS],LISTADO[CATEGORIA]),"NO EXISTE")</f>
        <v/>
      </c>
      <c r="D1090" s="56">
        <f>IFERROR(_xlfn.XLOOKUP(PRODUCTOS[[#This Row],[CODIGO]],LISTADO[CODIGOS],LISTADO[PRODUCTOS]),"NO EXISTE")</f>
        <v/>
      </c>
      <c r="E1090" s="56">
        <f>IFERROR(_xlfn.XLOOKUP(PRODUCTOS[[#This Row],[CODIGO]],LISTADO[CODIGOS],LISTADO[UBICACIÓN]),"NO EXISTE")</f>
        <v/>
      </c>
      <c r="F1090" s="56">
        <f>SUMIFS(ENTRADAS[CANTIDAD],ENTRADAS[CODIGO],PRODUCTOS[[#This Row],[CODIGO]])</f>
        <v/>
      </c>
      <c r="G1090" s="56">
        <f>SUMIFS(SALIDAS[CANTIDAD],SALIDAS[CODIGO],PRODUCTOS[[#This Row],[CODIGO]])</f>
        <v/>
      </c>
      <c r="H1090" s="56">
        <f>PRODUCTOS[[#This Row],[ENTRADAS]]-PRODUCTOS[[#This Row],[SALIDAS ]]</f>
        <v/>
      </c>
      <c r="I1090" s="76" t="n">
        <v>0</v>
      </c>
      <c r="J1090">
        <f>IF(PRODUCTOS[[#This Row],[STOCK]]&lt;0,"NEGATIVO",IF(PRODUCTOS[[#This Row],[STOCK]]=0,"SIN STOCK",IF(PRODUCTOS[[#This Row],[STOCK]]&lt;=PRODUCTOS[[#This Row],[STOCK MÍN.]],"BAJO","OK")))</f>
        <v/>
      </c>
      <c r="K10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91" hidden="1" s="11">
      <c r="A1091" s="18" t="n">
        <v>1076</v>
      </c>
      <c r="B1091" s="56" t="inlineStr">
        <is>
          <t>00034-AUT</t>
        </is>
      </c>
      <c r="C1091" s="56">
        <f>IFERROR(_xlfn.XLOOKUP(PRODUCTOS[[#This Row],[CODIGO]],LISTADO[CODIGOS],LISTADO[CATEGORIA]),"NO EXISTE")</f>
        <v/>
      </c>
      <c r="D1091" s="56">
        <f>IFERROR(_xlfn.XLOOKUP(PRODUCTOS[[#This Row],[CODIGO]],LISTADO[CODIGOS],LISTADO[PRODUCTOS]),"NO EXISTE")</f>
        <v/>
      </c>
      <c r="E1091" s="56">
        <f>IFERROR(_xlfn.XLOOKUP(PRODUCTOS[[#This Row],[CODIGO]],LISTADO[CODIGOS],LISTADO[UBICACIÓN]),"NO EXISTE")</f>
        <v/>
      </c>
      <c r="F1091" s="56">
        <f>SUMIFS(ENTRADAS[CANTIDAD],ENTRADAS[CODIGO],PRODUCTOS[[#This Row],[CODIGO]])</f>
        <v/>
      </c>
      <c r="G1091" s="56">
        <f>SUMIFS(SALIDAS[CANTIDAD],SALIDAS[CODIGO],PRODUCTOS[[#This Row],[CODIGO]])</f>
        <v/>
      </c>
      <c r="H1091" s="56">
        <f>PRODUCTOS[[#This Row],[ENTRADAS]]-PRODUCTOS[[#This Row],[SALIDAS ]]</f>
        <v/>
      </c>
      <c r="I1091" s="76" t="n">
        <v>0</v>
      </c>
      <c r="J1091">
        <f>IF(PRODUCTOS[[#This Row],[STOCK]]&lt;0,"NEGATIVO",IF(PRODUCTOS[[#This Row],[STOCK]]=0,"SIN STOCK",IF(PRODUCTOS[[#This Row],[STOCK]]&lt;=PRODUCTOS[[#This Row],[STOCK MÍN.]],"BAJO","OK")))</f>
        <v/>
      </c>
      <c r="K10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92">
      <c r="A1092" s="18" t="n">
        <v>1077</v>
      </c>
      <c r="B1092" s="56" t="inlineStr">
        <is>
          <t>00035-AUT</t>
        </is>
      </c>
      <c r="C1092" s="56">
        <f>IFERROR(_xlfn.XLOOKUP(PRODUCTOS[[#This Row],[CODIGO]],LISTADO[CODIGOS],LISTADO[CATEGORIA]),"NO EXISTE")</f>
        <v/>
      </c>
      <c r="D1092" s="56">
        <f>IFERROR(_xlfn.XLOOKUP(PRODUCTOS[[#This Row],[CODIGO]],LISTADO[CODIGOS],LISTADO[PRODUCTOS]),"NO EXISTE")</f>
        <v/>
      </c>
      <c r="E1092" s="56">
        <f>IFERROR(_xlfn.XLOOKUP(PRODUCTOS[[#This Row],[CODIGO]],LISTADO[CODIGOS],LISTADO[UBICACIÓN]),"NO EXISTE")</f>
        <v/>
      </c>
      <c r="F1092" s="56">
        <f>SUMIFS(ENTRADAS[CANTIDAD],ENTRADAS[CODIGO],PRODUCTOS[[#This Row],[CODIGO]])</f>
        <v/>
      </c>
      <c r="G1092" s="56">
        <f>SUMIFS(SALIDAS[CANTIDAD],SALIDAS[CODIGO],PRODUCTOS[[#This Row],[CODIGO]])</f>
        <v/>
      </c>
      <c r="H1092" s="56">
        <f>PRODUCTOS[[#This Row],[ENTRADAS]]-PRODUCTOS[[#This Row],[SALIDAS ]]</f>
        <v/>
      </c>
      <c r="I1092" s="76" t="n">
        <v>0</v>
      </c>
      <c r="J1092">
        <f>IF(PRODUCTOS[[#This Row],[STOCK]]&lt;0,"NEGATIVO",IF(PRODUCTOS[[#This Row],[STOCK]]=0,"SIN STOCK",IF(PRODUCTOS[[#This Row],[STOCK]]&lt;=PRODUCTOS[[#This Row],[STOCK MÍN.]],"BAJO","OK")))</f>
        <v/>
      </c>
      <c r="K10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93" hidden="1" s="11">
      <c r="A1093" s="18" t="n">
        <v>1078</v>
      </c>
      <c r="B1093" s="56" t="inlineStr">
        <is>
          <t>00036-AUT</t>
        </is>
      </c>
      <c r="C1093" s="56">
        <f>IFERROR(_xlfn.XLOOKUP(PRODUCTOS[[#This Row],[CODIGO]],LISTADO[CODIGOS],LISTADO[CATEGORIA]),"NO EXISTE")</f>
        <v/>
      </c>
      <c r="D1093" s="56">
        <f>IFERROR(_xlfn.XLOOKUP(PRODUCTOS[[#This Row],[CODIGO]],LISTADO[CODIGOS],LISTADO[PRODUCTOS]),"NO EXISTE")</f>
        <v/>
      </c>
      <c r="E1093" s="56">
        <f>IFERROR(_xlfn.XLOOKUP(PRODUCTOS[[#This Row],[CODIGO]],LISTADO[CODIGOS],LISTADO[UBICACIÓN]),"NO EXISTE")</f>
        <v/>
      </c>
      <c r="F1093" s="56">
        <f>SUMIFS(ENTRADAS[CANTIDAD],ENTRADAS[CODIGO],PRODUCTOS[[#This Row],[CODIGO]])</f>
        <v/>
      </c>
      <c r="G1093" s="56">
        <f>SUMIFS(SALIDAS[CANTIDAD],SALIDAS[CODIGO],PRODUCTOS[[#This Row],[CODIGO]])</f>
        <v/>
      </c>
      <c r="H1093" s="56">
        <f>PRODUCTOS[[#This Row],[ENTRADAS]]-PRODUCTOS[[#This Row],[SALIDAS ]]</f>
        <v/>
      </c>
      <c r="I1093" s="76" t="n">
        <v>0</v>
      </c>
      <c r="J1093">
        <f>IF(PRODUCTOS[[#This Row],[STOCK]]&lt;0,"NEGATIVO",IF(PRODUCTOS[[#This Row],[STOCK]]=0,"SIN STOCK",IF(PRODUCTOS[[#This Row],[STOCK]]&lt;=PRODUCTOS[[#This Row],[STOCK MÍN.]],"BAJO","OK")))</f>
        <v/>
      </c>
      <c r="K10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94" hidden="1" s="11">
      <c r="A1094" s="18" t="n">
        <v>1079</v>
      </c>
      <c r="B1094" s="56" t="inlineStr">
        <is>
          <t>00037-AUT</t>
        </is>
      </c>
      <c r="C1094" s="56">
        <f>IFERROR(_xlfn.XLOOKUP(PRODUCTOS[[#This Row],[CODIGO]],LISTADO[CODIGOS],LISTADO[CATEGORIA]),"NO EXISTE")</f>
        <v/>
      </c>
      <c r="D1094" s="56">
        <f>IFERROR(_xlfn.XLOOKUP(PRODUCTOS[[#This Row],[CODIGO]],LISTADO[CODIGOS],LISTADO[PRODUCTOS]),"NO EXISTE")</f>
        <v/>
      </c>
      <c r="E1094" s="56">
        <f>IFERROR(_xlfn.XLOOKUP(PRODUCTOS[[#This Row],[CODIGO]],LISTADO[CODIGOS],LISTADO[UBICACIÓN]),"NO EXISTE")</f>
        <v/>
      </c>
      <c r="F1094" s="56">
        <f>SUMIFS(ENTRADAS[CANTIDAD],ENTRADAS[CODIGO],PRODUCTOS[[#This Row],[CODIGO]])</f>
        <v/>
      </c>
      <c r="G1094" s="56">
        <f>SUMIFS(SALIDAS[CANTIDAD],SALIDAS[CODIGO],PRODUCTOS[[#This Row],[CODIGO]])</f>
        <v/>
      </c>
      <c r="H1094" s="56">
        <f>PRODUCTOS[[#This Row],[ENTRADAS]]-PRODUCTOS[[#This Row],[SALIDAS ]]</f>
        <v/>
      </c>
      <c r="I1094" s="76" t="n">
        <v>0</v>
      </c>
      <c r="J1094">
        <f>IF(PRODUCTOS[[#This Row],[STOCK]]&lt;0,"NEGATIVO",IF(PRODUCTOS[[#This Row],[STOCK]]=0,"SIN STOCK",IF(PRODUCTOS[[#This Row],[STOCK]]&lt;=PRODUCTOS[[#This Row],[STOCK MÍN.]],"BAJO","OK")))</f>
        <v/>
      </c>
      <c r="K10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95" hidden="1" s="11">
      <c r="A1095" s="18" t="n">
        <v>1080</v>
      </c>
      <c r="B1095" s="56" t="inlineStr">
        <is>
          <t>00143-REF</t>
        </is>
      </c>
      <c r="C1095" s="56">
        <f>IFERROR(_xlfn.XLOOKUP(PRODUCTOS[[#This Row],[CODIGO]],LISTADO[CODIGOS],LISTADO[CATEGORIA]),"NO EXISTE")</f>
        <v/>
      </c>
      <c r="D1095" s="56">
        <f>IFERROR(_xlfn.XLOOKUP(PRODUCTOS[[#This Row],[CODIGO]],LISTADO[CODIGOS],LISTADO[PRODUCTOS]),"NO EXISTE")</f>
        <v/>
      </c>
      <c r="E1095" s="56">
        <f>IFERROR(_xlfn.XLOOKUP(PRODUCTOS[[#This Row],[CODIGO]],LISTADO[CODIGOS],LISTADO[UBICACIÓN]),"NO EXISTE")</f>
        <v/>
      </c>
      <c r="F1095" s="56">
        <f>SUMIFS(ENTRADAS[CANTIDAD],ENTRADAS[CODIGO],PRODUCTOS[[#This Row],[CODIGO]])</f>
        <v/>
      </c>
      <c r="G1095" s="56">
        <f>SUMIFS(SALIDAS[CANTIDAD],SALIDAS[CODIGO],PRODUCTOS[[#This Row],[CODIGO]])</f>
        <v/>
      </c>
      <c r="H1095" s="56">
        <f>PRODUCTOS[[#This Row],[ENTRADAS]]-PRODUCTOS[[#This Row],[SALIDAS ]]</f>
        <v/>
      </c>
      <c r="I1095" s="76" t="n">
        <v>0</v>
      </c>
      <c r="J1095">
        <f>IF(PRODUCTOS[[#This Row],[STOCK]]&lt;0,"NEGATIVO",IF(PRODUCTOS[[#This Row],[STOCK]]=0,"SIN STOCK",IF(PRODUCTOS[[#This Row],[STOCK]]&lt;=PRODUCTOS[[#This Row],[STOCK MÍN.]],"BAJO","OK")))</f>
        <v/>
      </c>
      <c r="K10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96" hidden="1" s="11">
      <c r="A1096" s="18" t="n">
        <v>1081</v>
      </c>
      <c r="B1096" s="56" t="inlineStr">
        <is>
          <t>00226-FER</t>
        </is>
      </c>
      <c r="C1096" s="56">
        <f>IFERROR(_xlfn.XLOOKUP(PRODUCTOS[[#This Row],[CODIGO]],LISTADO[CODIGOS],LISTADO[CATEGORIA]),"NO EXISTE")</f>
        <v/>
      </c>
      <c r="D1096" s="56">
        <f>IFERROR(_xlfn.XLOOKUP(PRODUCTOS[[#This Row],[CODIGO]],LISTADO[CODIGOS],LISTADO[PRODUCTOS]),"NO EXISTE")</f>
        <v/>
      </c>
      <c r="E1096" s="56">
        <f>IFERROR(_xlfn.XLOOKUP(PRODUCTOS[[#This Row],[CODIGO]],LISTADO[CODIGOS],LISTADO[UBICACIÓN]),"NO EXISTE")</f>
        <v/>
      </c>
      <c r="F1096" s="56">
        <f>SUMIFS(ENTRADAS[CANTIDAD],ENTRADAS[CODIGO],PRODUCTOS[[#This Row],[CODIGO]])</f>
        <v/>
      </c>
      <c r="G1096" s="56">
        <f>SUMIFS(SALIDAS[CANTIDAD],SALIDAS[CODIGO],PRODUCTOS[[#This Row],[CODIGO]])</f>
        <v/>
      </c>
      <c r="H1096" s="56">
        <f>PRODUCTOS[[#This Row],[ENTRADAS]]-PRODUCTOS[[#This Row],[SALIDAS ]]</f>
        <v/>
      </c>
      <c r="I1096" s="76" t="n">
        <v>0</v>
      </c>
      <c r="J1096">
        <f>IF(PRODUCTOS[[#This Row],[STOCK]]&lt;0,"NEGATIVO",IF(PRODUCTOS[[#This Row],[STOCK]]=0,"SIN STOCK",IF(PRODUCTOS[[#This Row],[STOCK]]&lt;=PRODUCTOS[[#This Row],[STOCK MÍN.]],"BAJO","OK")))</f>
        <v/>
      </c>
      <c r="K10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97" hidden="1" s="11">
      <c r="A1097" s="18" t="n">
        <v>1082</v>
      </c>
      <c r="B1097" s="56" t="inlineStr">
        <is>
          <t>00038-AUT</t>
        </is>
      </c>
      <c r="C1097" s="56">
        <f>IFERROR(_xlfn.XLOOKUP(PRODUCTOS[[#This Row],[CODIGO]],LISTADO[CODIGOS],LISTADO[CATEGORIA]),"NO EXISTE")</f>
        <v/>
      </c>
      <c r="D1097" s="56">
        <f>IFERROR(_xlfn.XLOOKUP(PRODUCTOS[[#This Row],[CODIGO]],LISTADO[CODIGOS],LISTADO[PRODUCTOS]),"NO EXISTE")</f>
        <v/>
      </c>
      <c r="E1097" s="56">
        <f>IFERROR(_xlfn.XLOOKUP(PRODUCTOS[[#This Row],[CODIGO]],LISTADO[CODIGOS],LISTADO[UBICACIÓN]),"NO EXISTE")</f>
        <v/>
      </c>
      <c r="F1097" s="56">
        <f>SUMIFS(ENTRADAS[CANTIDAD],ENTRADAS[CODIGO],PRODUCTOS[[#This Row],[CODIGO]])</f>
        <v/>
      </c>
      <c r="G1097" s="56">
        <f>SUMIFS(SALIDAS[CANTIDAD],SALIDAS[CODIGO],PRODUCTOS[[#This Row],[CODIGO]])</f>
        <v/>
      </c>
      <c r="H1097" s="56">
        <f>PRODUCTOS[[#This Row],[ENTRADAS]]-PRODUCTOS[[#This Row],[SALIDAS ]]</f>
        <v/>
      </c>
      <c r="I1097" s="76" t="n">
        <v>0</v>
      </c>
      <c r="J1097">
        <f>IF(PRODUCTOS[[#This Row],[STOCK]]&lt;0,"NEGATIVO",IF(PRODUCTOS[[#This Row],[STOCK]]=0,"SIN STOCK",IF(PRODUCTOS[[#This Row],[STOCK]]&lt;=PRODUCTOS[[#This Row],[STOCK MÍN.]],"BAJO","OK")))</f>
        <v/>
      </c>
      <c r="K10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98" hidden="1" s="11">
      <c r="A1098" s="18" t="n">
        <v>1083</v>
      </c>
      <c r="B1098" s="56" t="inlineStr">
        <is>
          <t>00144-REF</t>
        </is>
      </c>
      <c r="C1098" s="56">
        <f>IFERROR(_xlfn.XLOOKUP(PRODUCTOS[[#This Row],[CODIGO]],LISTADO[CODIGOS],LISTADO[CATEGORIA]),"NO EXISTE")</f>
        <v/>
      </c>
      <c r="D1098" s="56">
        <f>IFERROR(_xlfn.XLOOKUP(PRODUCTOS[[#This Row],[CODIGO]],LISTADO[CODIGOS],LISTADO[PRODUCTOS]),"NO EXISTE")</f>
        <v/>
      </c>
      <c r="E1098" s="56">
        <f>IFERROR(_xlfn.XLOOKUP(PRODUCTOS[[#This Row],[CODIGO]],LISTADO[CODIGOS],LISTADO[UBICACIÓN]),"NO EXISTE")</f>
        <v/>
      </c>
      <c r="F1098" s="56">
        <f>SUMIFS(ENTRADAS[CANTIDAD],ENTRADAS[CODIGO],PRODUCTOS[[#This Row],[CODIGO]])</f>
        <v/>
      </c>
      <c r="G1098" s="56">
        <f>SUMIFS(SALIDAS[CANTIDAD],SALIDAS[CODIGO],PRODUCTOS[[#This Row],[CODIGO]])</f>
        <v/>
      </c>
      <c r="H1098" s="56">
        <f>PRODUCTOS[[#This Row],[ENTRADAS]]-PRODUCTOS[[#This Row],[SALIDAS ]]</f>
        <v/>
      </c>
      <c r="I1098" s="76" t="n">
        <v>0</v>
      </c>
      <c r="J1098">
        <f>IF(PRODUCTOS[[#This Row],[STOCK]]&lt;0,"NEGATIVO",IF(PRODUCTOS[[#This Row],[STOCK]]=0,"SIN STOCK",IF(PRODUCTOS[[#This Row],[STOCK]]&lt;=PRODUCTOS[[#This Row],[STOCK MÍN.]],"BAJO","OK")))</f>
        <v/>
      </c>
      <c r="K10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099">
      <c r="A1099" s="18" t="n">
        <v>1084</v>
      </c>
      <c r="B1099" s="56" t="inlineStr">
        <is>
          <t>00110-ELE</t>
        </is>
      </c>
      <c r="C1099" s="56">
        <f>IFERROR(_xlfn.XLOOKUP(PRODUCTOS[[#This Row],[CODIGO]],LISTADO[CODIGOS],LISTADO[CATEGORIA]),"NO EXISTE")</f>
        <v/>
      </c>
      <c r="D1099" s="56">
        <f>IFERROR(_xlfn.XLOOKUP(PRODUCTOS[[#This Row],[CODIGO]],LISTADO[CODIGOS],LISTADO[PRODUCTOS]),"NO EXISTE")</f>
        <v/>
      </c>
      <c r="E1099" s="56">
        <f>IFERROR(_xlfn.XLOOKUP(PRODUCTOS[[#This Row],[CODIGO]],LISTADO[CODIGOS],LISTADO[UBICACIÓN]),"NO EXISTE")</f>
        <v/>
      </c>
      <c r="F1099" s="56">
        <f>SUMIFS(ENTRADAS[CANTIDAD],ENTRADAS[CODIGO],PRODUCTOS[[#This Row],[CODIGO]])</f>
        <v/>
      </c>
      <c r="G1099" s="56">
        <f>SUMIFS(SALIDAS[CANTIDAD],SALIDAS[CODIGO],PRODUCTOS[[#This Row],[CODIGO]])</f>
        <v/>
      </c>
      <c r="H1099" s="56">
        <f>PRODUCTOS[[#This Row],[ENTRADAS]]-PRODUCTOS[[#This Row],[SALIDAS ]]</f>
        <v/>
      </c>
      <c r="I1099" s="76" t="n">
        <v>0</v>
      </c>
      <c r="J1099">
        <f>IF(PRODUCTOS[[#This Row],[STOCK]]&lt;0,"NEGATIVO",IF(PRODUCTOS[[#This Row],[STOCK]]=0,"SIN STOCK",IF(PRODUCTOS[[#This Row],[STOCK]]&lt;=PRODUCTOS[[#This Row],[STOCK MÍN.]],"BAJO","OK")))</f>
        <v/>
      </c>
      <c r="K10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00" hidden="1" s="11">
      <c r="A1100" s="18" t="n">
        <v>1085</v>
      </c>
      <c r="B1100" s="56" t="inlineStr">
        <is>
          <t>00145-REF</t>
        </is>
      </c>
      <c r="C1100" s="56">
        <f>IFERROR(_xlfn.XLOOKUP(PRODUCTOS[[#This Row],[CODIGO]],LISTADO[CODIGOS],LISTADO[CATEGORIA]),"NO EXISTE")</f>
        <v/>
      </c>
      <c r="D1100" s="56">
        <f>IFERROR(_xlfn.XLOOKUP(PRODUCTOS[[#This Row],[CODIGO]],LISTADO[CODIGOS],LISTADO[PRODUCTOS]),"NO EXISTE")</f>
        <v/>
      </c>
      <c r="E1100" s="56">
        <f>IFERROR(_xlfn.XLOOKUP(PRODUCTOS[[#This Row],[CODIGO]],LISTADO[CODIGOS],LISTADO[UBICACIÓN]),"NO EXISTE")</f>
        <v/>
      </c>
      <c r="F1100" s="56">
        <f>SUMIFS(ENTRADAS[CANTIDAD],ENTRADAS[CODIGO],PRODUCTOS[[#This Row],[CODIGO]])</f>
        <v/>
      </c>
      <c r="G1100" s="56">
        <f>SUMIFS(SALIDAS[CANTIDAD],SALIDAS[CODIGO],PRODUCTOS[[#This Row],[CODIGO]])</f>
        <v/>
      </c>
      <c r="H1100" s="56">
        <f>PRODUCTOS[[#This Row],[ENTRADAS]]-PRODUCTOS[[#This Row],[SALIDAS ]]</f>
        <v/>
      </c>
      <c r="I1100" s="76" t="n">
        <v>0</v>
      </c>
      <c r="J1100">
        <f>IF(PRODUCTOS[[#This Row],[STOCK]]&lt;0,"NEGATIVO",IF(PRODUCTOS[[#This Row],[STOCK]]=0,"SIN STOCK",IF(PRODUCTOS[[#This Row],[STOCK]]&lt;=PRODUCTOS[[#This Row],[STOCK MÍN.]],"BAJO","OK")))</f>
        <v/>
      </c>
      <c r="K11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01" hidden="1" s="11">
      <c r="A1101" s="18" t="n">
        <v>1086</v>
      </c>
      <c r="B1101" s="56" t="inlineStr">
        <is>
          <t>00227-FER</t>
        </is>
      </c>
      <c r="C1101" s="56">
        <f>IFERROR(_xlfn.XLOOKUP(PRODUCTOS[[#This Row],[CODIGO]],LISTADO[CODIGOS],LISTADO[CATEGORIA]),"NO EXISTE")</f>
        <v/>
      </c>
      <c r="D1101" s="56">
        <f>IFERROR(_xlfn.XLOOKUP(PRODUCTOS[[#This Row],[CODIGO]],LISTADO[CODIGOS],LISTADO[PRODUCTOS]),"NO EXISTE")</f>
        <v/>
      </c>
      <c r="E1101" s="56">
        <f>IFERROR(_xlfn.XLOOKUP(PRODUCTOS[[#This Row],[CODIGO]],LISTADO[CODIGOS],LISTADO[UBICACIÓN]),"NO EXISTE")</f>
        <v/>
      </c>
      <c r="F1101" s="56">
        <f>SUMIFS(ENTRADAS[CANTIDAD],ENTRADAS[CODIGO],PRODUCTOS[[#This Row],[CODIGO]])</f>
        <v/>
      </c>
      <c r="G1101" s="56">
        <f>SUMIFS(SALIDAS[CANTIDAD],SALIDAS[CODIGO],PRODUCTOS[[#This Row],[CODIGO]])</f>
        <v/>
      </c>
      <c r="H1101" s="56">
        <f>PRODUCTOS[[#This Row],[ENTRADAS]]-PRODUCTOS[[#This Row],[SALIDAS ]]</f>
        <v/>
      </c>
      <c r="I1101" s="76" t="n">
        <v>0</v>
      </c>
      <c r="J1101">
        <f>IF(PRODUCTOS[[#This Row],[STOCK]]&lt;0,"NEGATIVO",IF(PRODUCTOS[[#This Row],[STOCK]]=0,"SIN STOCK",IF(PRODUCTOS[[#This Row],[STOCK]]&lt;=PRODUCTOS[[#This Row],[STOCK MÍN.]],"BAJO","OK")))</f>
        <v/>
      </c>
      <c r="K11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02" hidden="1" s="11">
      <c r="A1102" s="18" t="n">
        <v>1087</v>
      </c>
      <c r="B1102" s="56" t="inlineStr">
        <is>
          <t>00039-AUT</t>
        </is>
      </c>
      <c r="C1102" s="56">
        <f>IFERROR(_xlfn.XLOOKUP(PRODUCTOS[[#This Row],[CODIGO]],LISTADO[CODIGOS],LISTADO[CATEGORIA]),"NO EXISTE")</f>
        <v/>
      </c>
      <c r="D1102" s="56">
        <f>IFERROR(_xlfn.XLOOKUP(PRODUCTOS[[#This Row],[CODIGO]],LISTADO[CODIGOS],LISTADO[PRODUCTOS]),"NO EXISTE")</f>
        <v/>
      </c>
      <c r="E1102" s="56">
        <f>IFERROR(_xlfn.XLOOKUP(PRODUCTOS[[#This Row],[CODIGO]],LISTADO[CODIGOS],LISTADO[UBICACIÓN]),"NO EXISTE")</f>
        <v/>
      </c>
      <c r="F1102" s="56">
        <f>SUMIFS(ENTRADAS[CANTIDAD],ENTRADAS[CODIGO],PRODUCTOS[[#This Row],[CODIGO]])</f>
        <v/>
      </c>
      <c r="G1102" s="56">
        <f>SUMIFS(SALIDAS[CANTIDAD],SALIDAS[CODIGO],PRODUCTOS[[#This Row],[CODIGO]])</f>
        <v/>
      </c>
      <c r="H1102" s="56">
        <f>PRODUCTOS[[#This Row],[ENTRADAS]]-PRODUCTOS[[#This Row],[SALIDAS ]]</f>
        <v/>
      </c>
      <c r="I1102" s="76" t="n">
        <v>0</v>
      </c>
      <c r="J1102">
        <f>IF(PRODUCTOS[[#This Row],[STOCK]]&lt;0,"NEGATIVO",IF(PRODUCTOS[[#This Row],[STOCK]]=0,"SIN STOCK",IF(PRODUCTOS[[#This Row],[STOCK]]&lt;=PRODUCTOS[[#This Row],[STOCK MÍN.]],"BAJO","OK")))</f>
        <v/>
      </c>
      <c r="K11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03" hidden="1" s="11">
      <c r="A1103" s="18" t="n">
        <v>1088</v>
      </c>
      <c r="B1103" s="56" t="inlineStr">
        <is>
          <t>00040-AUT</t>
        </is>
      </c>
      <c r="C1103" s="56">
        <f>IFERROR(_xlfn.XLOOKUP(PRODUCTOS[[#This Row],[CODIGO]],LISTADO[CODIGOS],LISTADO[CATEGORIA]),"NO EXISTE")</f>
        <v/>
      </c>
      <c r="D1103" s="56">
        <f>IFERROR(_xlfn.XLOOKUP(PRODUCTOS[[#This Row],[CODIGO]],LISTADO[CODIGOS],LISTADO[PRODUCTOS]),"NO EXISTE")</f>
        <v/>
      </c>
      <c r="E1103" s="56">
        <f>IFERROR(_xlfn.XLOOKUP(PRODUCTOS[[#This Row],[CODIGO]],LISTADO[CODIGOS],LISTADO[UBICACIÓN]),"NO EXISTE")</f>
        <v/>
      </c>
      <c r="F1103" s="56">
        <f>SUMIFS(ENTRADAS[CANTIDAD],ENTRADAS[CODIGO],PRODUCTOS[[#This Row],[CODIGO]])</f>
        <v/>
      </c>
      <c r="G1103" s="56">
        <f>SUMIFS(SALIDAS[CANTIDAD],SALIDAS[CODIGO],PRODUCTOS[[#This Row],[CODIGO]])</f>
        <v/>
      </c>
      <c r="H1103" s="56">
        <f>PRODUCTOS[[#This Row],[ENTRADAS]]-PRODUCTOS[[#This Row],[SALIDAS ]]</f>
        <v/>
      </c>
      <c r="I1103" s="76" t="n">
        <v>0</v>
      </c>
      <c r="J1103">
        <f>IF(PRODUCTOS[[#This Row],[STOCK]]&lt;0,"NEGATIVO",IF(PRODUCTOS[[#This Row],[STOCK]]=0,"SIN STOCK",IF(PRODUCTOS[[#This Row],[STOCK]]&lt;=PRODUCTOS[[#This Row],[STOCK MÍN.]],"BAJO","OK")))</f>
        <v/>
      </c>
      <c r="K11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04" hidden="1" s="11">
      <c r="A1104" s="18" t="n">
        <v>1089</v>
      </c>
      <c r="B1104" s="56" t="inlineStr">
        <is>
          <t>00069-PLM</t>
        </is>
      </c>
      <c r="C1104" s="56">
        <f>IFERROR(_xlfn.XLOOKUP(PRODUCTOS[[#This Row],[CODIGO]],LISTADO[CODIGOS],LISTADO[CATEGORIA]),"NO EXISTE")</f>
        <v/>
      </c>
      <c r="D1104" s="56">
        <f>IFERROR(_xlfn.XLOOKUP(PRODUCTOS[[#This Row],[CODIGO]],LISTADO[CODIGOS],LISTADO[PRODUCTOS]),"NO EXISTE")</f>
        <v/>
      </c>
      <c r="E1104" s="56">
        <f>IFERROR(_xlfn.XLOOKUP(PRODUCTOS[[#This Row],[CODIGO]],LISTADO[CODIGOS],LISTADO[UBICACIÓN]),"NO EXISTE")</f>
        <v/>
      </c>
      <c r="F1104" s="56">
        <f>SUMIFS(ENTRADAS[CANTIDAD],ENTRADAS[CODIGO],PRODUCTOS[[#This Row],[CODIGO]])</f>
        <v/>
      </c>
      <c r="G1104" s="56">
        <f>SUMIFS(SALIDAS[CANTIDAD],SALIDAS[CODIGO],PRODUCTOS[[#This Row],[CODIGO]])</f>
        <v/>
      </c>
      <c r="H1104" s="56">
        <f>PRODUCTOS[[#This Row],[ENTRADAS]]-PRODUCTOS[[#This Row],[SALIDAS ]]</f>
        <v/>
      </c>
      <c r="I1104" s="76" t="n">
        <v>0</v>
      </c>
      <c r="J1104">
        <f>IF(PRODUCTOS[[#This Row],[STOCK]]&lt;0,"NEGATIVO",IF(PRODUCTOS[[#This Row],[STOCK]]=0,"SIN STOCK",IF(PRODUCTOS[[#This Row],[STOCK]]&lt;=PRODUCTOS[[#This Row],[STOCK MÍN.]],"BAJO","OK")))</f>
        <v/>
      </c>
      <c r="K11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05" hidden="1" s="11">
      <c r="A1105" s="18" t="n">
        <v>1090</v>
      </c>
      <c r="B1105" s="56" t="inlineStr">
        <is>
          <t>00070-PLM</t>
        </is>
      </c>
      <c r="C1105" s="56">
        <f>IFERROR(_xlfn.XLOOKUP(PRODUCTOS[[#This Row],[CODIGO]],LISTADO[CODIGOS],LISTADO[CATEGORIA]),"NO EXISTE")</f>
        <v/>
      </c>
      <c r="D1105" s="56">
        <f>IFERROR(_xlfn.XLOOKUP(PRODUCTOS[[#This Row],[CODIGO]],LISTADO[CODIGOS],LISTADO[PRODUCTOS]),"NO EXISTE")</f>
        <v/>
      </c>
      <c r="E1105" s="56">
        <f>IFERROR(_xlfn.XLOOKUP(PRODUCTOS[[#This Row],[CODIGO]],LISTADO[CODIGOS],LISTADO[UBICACIÓN]),"NO EXISTE")</f>
        <v/>
      </c>
      <c r="F1105" s="56">
        <f>SUMIFS(ENTRADAS[CANTIDAD],ENTRADAS[CODIGO],PRODUCTOS[[#This Row],[CODIGO]])</f>
        <v/>
      </c>
      <c r="G1105" s="56">
        <f>SUMIFS(SALIDAS[CANTIDAD],SALIDAS[CODIGO],PRODUCTOS[[#This Row],[CODIGO]])</f>
        <v/>
      </c>
      <c r="H1105" s="56">
        <f>PRODUCTOS[[#This Row],[ENTRADAS]]-PRODUCTOS[[#This Row],[SALIDAS ]]</f>
        <v/>
      </c>
      <c r="I1105" s="76" t="n">
        <v>0</v>
      </c>
      <c r="J1105">
        <f>IF(PRODUCTOS[[#This Row],[STOCK]]&lt;0,"NEGATIVO",IF(PRODUCTOS[[#This Row],[STOCK]]=0,"SIN STOCK",IF(PRODUCTOS[[#This Row],[STOCK]]&lt;=PRODUCTOS[[#This Row],[STOCK MÍN.]],"BAJO","OK")))</f>
        <v/>
      </c>
      <c r="K11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06" hidden="1" s="11">
      <c r="A1106" s="18" t="n">
        <v>1091</v>
      </c>
      <c r="B1106" s="56" t="inlineStr">
        <is>
          <t>00071-PLM</t>
        </is>
      </c>
      <c r="C1106" s="56">
        <f>IFERROR(_xlfn.XLOOKUP(PRODUCTOS[[#This Row],[CODIGO]],LISTADO[CODIGOS],LISTADO[CATEGORIA]),"NO EXISTE")</f>
        <v/>
      </c>
      <c r="D1106" s="56">
        <f>IFERROR(_xlfn.XLOOKUP(PRODUCTOS[[#This Row],[CODIGO]],LISTADO[CODIGOS],LISTADO[PRODUCTOS]),"NO EXISTE")</f>
        <v/>
      </c>
      <c r="E1106" s="56">
        <f>IFERROR(_xlfn.XLOOKUP(PRODUCTOS[[#This Row],[CODIGO]],LISTADO[CODIGOS],LISTADO[UBICACIÓN]),"NO EXISTE")</f>
        <v/>
      </c>
      <c r="F1106" s="56">
        <f>SUMIFS(ENTRADAS[CANTIDAD],ENTRADAS[CODIGO],PRODUCTOS[[#This Row],[CODIGO]])</f>
        <v/>
      </c>
      <c r="G1106" s="56">
        <f>SUMIFS(SALIDAS[CANTIDAD],SALIDAS[CODIGO],PRODUCTOS[[#This Row],[CODIGO]])</f>
        <v/>
      </c>
      <c r="H1106" s="56">
        <f>PRODUCTOS[[#This Row],[ENTRADAS]]-PRODUCTOS[[#This Row],[SALIDAS ]]</f>
        <v/>
      </c>
      <c r="I1106" s="76" t="n">
        <v>0</v>
      </c>
      <c r="J1106">
        <f>IF(PRODUCTOS[[#This Row],[STOCK]]&lt;0,"NEGATIVO",IF(PRODUCTOS[[#This Row],[STOCK]]=0,"SIN STOCK",IF(PRODUCTOS[[#This Row],[STOCK]]&lt;=PRODUCTOS[[#This Row],[STOCK MÍN.]],"BAJO","OK")))</f>
        <v/>
      </c>
      <c r="K11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07" hidden="1" s="11">
      <c r="A1107" s="18" t="n">
        <v>1092</v>
      </c>
      <c r="B1107" s="56" t="inlineStr">
        <is>
          <t>00072-PLM</t>
        </is>
      </c>
      <c r="C1107" s="56">
        <f>IFERROR(_xlfn.XLOOKUP(PRODUCTOS[[#This Row],[CODIGO]],LISTADO[CODIGOS],LISTADO[CATEGORIA]),"NO EXISTE")</f>
        <v/>
      </c>
      <c r="D1107" s="56">
        <f>IFERROR(_xlfn.XLOOKUP(PRODUCTOS[[#This Row],[CODIGO]],LISTADO[CODIGOS],LISTADO[PRODUCTOS]),"NO EXISTE")</f>
        <v/>
      </c>
      <c r="E1107" s="56">
        <f>IFERROR(_xlfn.XLOOKUP(PRODUCTOS[[#This Row],[CODIGO]],LISTADO[CODIGOS],LISTADO[UBICACIÓN]),"NO EXISTE")</f>
        <v/>
      </c>
      <c r="F1107" s="56">
        <f>SUMIFS(ENTRADAS[CANTIDAD],ENTRADAS[CODIGO],PRODUCTOS[[#This Row],[CODIGO]])</f>
        <v/>
      </c>
      <c r="G1107" s="56">
        <f>SUMIFS(SALIDAS[CANTIDAD],SALIDAS[CODIGO],PRODUCTOS[[#This Row],[CODIGO]])</f>
        <v/>
      </c>
      <c r="H1107" s="56">
        <f>PRODUCTOS[[#This Row],[ENTRADAS]]-PRODUCTOS[[#This Row],[SALIDAS ]]</f>
        <v/>
      </c>
      <c r="I1107" s="76" t="n">
        <v>0</v>
      </c>
      <c r="J1107">
        <f>IF(PRODUCTOS[[#This Row],[STOCK]]&lt;0,"NEGATIVO",IF(PRODUCTOS[[#This Row],[STOCK]]=0,"SIN STOCK",IF(PRODUCTOS[[#This Row],[STOCK]]&lt;=PRODUCTOS[[#This Row],[STOCK MÍN.]],"BAJO","OK")))</f>
        <v/>
      </c>
      <c r="K11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08" hidden="1" s="11">
      <c r="A1108" s="18" t="n">
        <v>1093</v>
      </c>
      <c r="B1108" s="56" t="inlineStr">
        <is>
          <t>00073-PLM</t>
        </is>
      </c>
      <c r="C1108" s="56">
        <f>IFERROR(_xlfn.XLOOKUP(PRODUCTOS[[#This Row],[CODIGO]],LISTADO[CODIGOS],LISTADO[CATEGORIA]),"NO EXISTE")</f>
        <v/>
      </c>
      <c r="D1108" s="56">
        <f>IFERROR(_xlfn.XLOOKUP(PRODUCTOS[[#This Row],[CODIGO]],LISTADO[CODIGOS],LISTADO[PRODUCTOS]),"NO EXISTE")</f>
        <v/>
      </c>
      <c r="E1108" s="56">
        <f>IFERROR(_xlfn.XLOOKUP(PRODUCTOS[[#This Row],[CODIGO]],LISTADO[CODIGOS],LISTADO[UBICACIÓN]),"NO EXISTE")</f>
        <v/>
      </c>
      <c r="F1108" s="56">
        <f>SUMIFS(ENTRADAS[CANTIDAD],ENTRADAS[CODIGO],PRODUCTOS[[#This Row],[CODIGO]])</f>
        <v/>
      </c>
      <c r="G1108" s="56">
        <f>SUMIFS(SALIDAS[CANTIDAD],SALIDAS[CODIGO],PRODUCTOS[[#This Row],[CODIGO]])</f>
        <v/>
      </c>
      <c r="H1108" s="56">
        <f>PRODUCTOS[[#This Row],[ENTRADAS]]-PRODUCTOS[[#This Row],[SALIDAS ]]</f>
        <v/>
      </c>
      <c r="I1108" s="76" t="n">
        <v>0</v>
      </c>
      <c r="J1108">
        <f>IF(PRODUCTOS[[#This Row],[STOCK]]&lt;0,"NEGATIVO",IF(PRODUCTOS[[#This Row],[STOCK]]=0,"SIN STOCK",IF(PRODUCTOS[[#This Row],[STOCK]]&lt;=PRODUCTOS[[#This Row],[STOCK MÍN.]],"BAJO","OK")))</f>
        <v/>
      </c>
      <c r="K11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09" hidden="1" s="11">
      <c r="A1109" s="18" t="n">
        <v>1094</v>
      </c>
      <c r="B1109" s="56" t="inlineStr">
        <is>
          <t>00228-FER</t>
        </is>
      </c>
      <c r="C1109" s="56">
        <f>IFERROR(_xlfn.XLOOKUP(PRODUCTOS[[#This Row],[CODIGO]],LISTADO[CODIGOS],LISTADO[CATEGORIA]),"NO EXISTE")</f>
        <v/>
      </c>
      <c r="D1109" s="56">
        <f>IFERROR(_xlfn.XLOOKUP(PRODUCTOS[[#This Row],[CODIGO]],LISTADO[CODIGOS],LISTADO[PRODUCTOS]),"NO EXISTE")</f>
        <v/>
      </c>
      <c r="E1109" s="56">
        <f>IFERROR(_xlfn.XLOOKUP(PRODUCTOS[[#This Row],[CODIGO]],LISTADO[CODIGOS],LISTADO[UBICACIÓN]),"NO EXISTE")</f>
        <v/>
      </c>
      <c r="F1109" s="56">
        <f>SUMIFS(ENTRADAS[CANTIDAD],ENTRADAS[CODIGO],PRODUCTOS[[#This Row],[CODIGO]])</f>
        <v/>
      </c>
      <c r="G1109" s="56">
        <f>SUMIFS(SALIDAS[CANTIDAD],SALIDAS[CODIGO],PRODUCTOS[[#This Row],[CODIGO]])</f>
        <v/>
      </c>
      <c r="H1109" s="56">
        <f>PRODUCTOS[[#This Row],[ENTRADAS]]-PRODUCTOS[[#This Row],[SALIDAS ]]</f>
        <v/>
      </c>
      <c r="I1109" s="76" t="n">
        <v>0</v>
      </c>
      <c r="J1109">
        <f>IF(PRODUCTOS[[#This Row],[STOCK]]&lt;0,"NEGATIVO",IF(PRODUCTOS[[#This Row],[STOCK]]=0,"SIN STOCK",IF(PRODUCTOS[[#This Row],[STOCK]]&lt;=PRODUCTOS[[#This Row],[STOCK MÍN.]],"BAJO","OK")))</f>
        <v/>
      </c>
      <c r="K11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10" hidden="1" s="11">
      <c r="A1110" s="18" t="n">
        <v>1095</v>
      </c>
      <c r="B1110" s="56" t="inlineStr">
        <is>
          <t>00146-REF</t>
        </is>
      </c>
      <c r="C1110" s="56">
        <f>IFERROR(_xlfn.XLOOKUP(PRODUCTOS[[#This Row],[CODIGO]],LISTADO[CODIGOS],LISTADO[CATEGORIA]),"NO EXISTE")</f>
        <v/>
      </c>
      <c r="D1110" s="56">
        <f>IFERROR(_xlfn.XLOOKUP(PRODUCTOS[[#This Row],[CODIGO]],LISTADO[CODIGOS],LISTADO[PRODUCTOS]),"NO EXISTE")</f>
        <v/>
      </c>
      <c r="E1110" s="56">
        <f>IFERROR(_xlfn.XLOOKUP(PRODUCTOS[[#This Row],[CODIGO]],LISTADO[CODIGOS],LISTADO[UBICACIÓN]),"NO EXISTE")</f>
        <v/>
      </c>
      <c r="F1110" s="56">
        <f>SUMIFS(ENTRADAS[CANTIDAD],ENTRADAS[CODIGO],PRODUCTOS[[#This Row],[CODIGO]])</f>
        <v/>
      </c>
      <c r="G1110" s="56">
        <f>SUMIFS(SALIDAS[CANTIDAD],SALIDAS[CODIGO],PRODUCTOS[[#This Row],[CODIGO]])</f>
        <v/>
      </c>
      <c r="H1110" s="56">
        <f>PRODUCTOS[[#This Row],[ENTRADAS]]-PRODUCTOS[[#This Row],[SALIDAS ]]</f>
        <v/>
      </c>
      <c r="I1110" s="76" t="n">
        <v>0</v>
      </c>
      <c r="J1110">
        <f>IF(PRODUCTOS[[#This Row],[STOCK]]&lt;0,"NEGATIVO",IF(PRODUCTOS[[#This Row],[STOCK]]=0,"SIN STOCK",IF(PRODUCTOS[[#This Row],[STOCK]]&lt;=PRODUCTOS[[#This Row],[STOCK MÍN.]],"BAJO","OK")))</f>
        <v/>
      </c>
      <c r="K11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11" hidden="1" s="11">
      <c r="A1111" s="18" t="n">
        <v>1096</v>
      </c>
      <c r="B1111" s="56" t="inlineStr">
        <is>
          <t>00147-REF</t>
        </is>
      </c>
      <c r="C1111" s="56">
        <f>IFERROR(_xlfn.XLOOKUP(PRODUCTOS[[#This Row],[CODIGO]],LISTADO[CODIGOS],LISTADO[CATEGORIA]),"NO EXISTE")</f>
        <v/>
      </c>
      <c r="D1111" s="56">
        <f>IFERROR(_xlfn.XLOOKUP(PRODUCTOS[[#This Row],[CODIGO]],LISTADO[CODIGOS],LISTADO[PRODUCTOS]),"NO EXISTE")</f>
        <v/>
      </c>
      <c r="E1111" s="56">
        <f>IFERROR(_xlfn.XLOOKUP(PRODUCTOS[[#This Row],[CODIGO]],LISTADO[CODIGOS],LISTADO[UBICACIÓN]),"NO EXISTE")</f>
        <v/>
      </c>
      <c r="F1111" s="56">
        <f>SUMIFS(ENTRADAS[CANTIDAD],ENTRADAS[CODIGO],PRODUCTOS[[#This Row],[CODIGO]])</f>
        <v/>
      </c>
      <c r="G1111" s="56">
        <f>SUMIFS(SALIDAS[CANTIDAD],SALIDAS[CODIGO],PRODUCTOS[[#This Row],[CODIGO]])</f>
        <v/>
      </c>
      <c r="H1111" s="56">
        <f>PRODUCTOS[[#This Row],[ENTRADAS]]-PRODUCTOS[[#This Row],[SALIDAS ]]</f>
        <v/>
      </c>
      <c r="I1111" s="76" t="n">
        <v>0</v>
      </c>
      <c r="J1111">
        <f>IF(PRODUCTOS[[#This Row],[STOCK]]&lt;0,"NEGATIVO",IF(PRODUCTOS[[#This Row],[STOCK]]=0,"SIN STOCK",IF(PRODUCTOS[[#This Row],[STOCK]]&lt;=PRODUCTOS[[#This Row],[STOCK MÍN.]],"BAJO","OK")))</f>
        <v/>
      </c>
      <c r="K11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12" hidden="1" s="11">
      <c r="A1112" s="18" t="n">
        <v>1097</v>
      </c>
      <c r="B1112" s="56" t="inlineStr">
        <is>
          <t>00067-HRR</t>
        </is>
      </c>
      <c r="C1112" s="56">
        <f>IFERROR(_xlfn.XLOOKUP(PRODUCTOS[[#This Row],[CODIGO]],LISTADO[CODIGOS],LISTADO[CATEGORIA]),"NO EXISTE")</f>
        <v/>
      </c>
      <c r="D1112" s="56">
        <f>IFERROR(_xlfn.XLOOKUP(PRODUCTOS[[#This Row],[CODIGO]],LISTADO[CODIGOS],LISTADO[PRODUCTOS]),"NO EXISTE")</f>
        <v/>
      </c>
      <c r="E1112" s="56">
        <f>IFERROR(_xlfn.XLOOKUP(PRODUCTOS[[#This Row],[CODIGO]],LISTADO[CODIGOS],LISTADO[UBICACIÓN]),"NO EXISTE")</f>
        <v/>
      </c>
      <c r="F1112" s="56">
        <f>SUMIFS(ENTRADAS[CANTIDAD],ENTRADAS[CODIGO],PRODUCTOS[[#This Row],[CODIGO]])</f>
        <v/>
      </c>
      <c r="G1112" s="56">
        <f>SUMIFS(SALIDAS[CANTIDAD],SALIDAS[CODIGO],PRODUCTOS[[#This Row],[CODIGO]])</f>
        <v/>
      </c>
      <c r="H1112" s="56">
        <f>PRODUCTOS[[#This Row],[ENTRADAS]]-PRODUCTOS[[#This Row],[SALIDAS ]]</f>
        <v/>
      </c>
      <c r="I1112" s="76" t="n">
        <v>0</v>
      </c>
      <c r="J1112">
        <f>IF(PRODUCTOS[[#This Row],[STOCK]]&lt;0,"NEGATIVO",IF(PRODUCTOS[[#This Row],[STOCK]]=0,"SIN STOCK",IF(PRODUCTOS[[#This Row],[STOCK]]&lt;=PRODUCTOS[[#This Row],[STOCK MÍN.]],"BAJO","OK")))</f>
        <v/>
      </c>
      <c r="K11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13" hidden="1" s="11">
      <c r="A1113" s="18" t="n">
        <v>1098</v>
      </c>
      <c r="B1113" s="56" t="inlineStr">
        <is>
          <t>00229-FER</t>
        </is>
      </c>
      <c r="C1113" s="56">
        <f>IFERROR(_xlfn.XLOOKUP(PRODUCTOS[[#This Row],[CODIGO]],LISTADO[CODIGOS],LISTADO[CATEGORIA]),"NO EXISTE")</f>
        <v/>
      </c>
      <c r="D1113" s="56">
        <f>IFERROR(_xlfn.XLOOKUP(PRODUCTOS[[#This Row],[CODIGO]],LISTADO[CODIGOS],LISTADO[PRODUCTOS]),"NO EXISTE")</f>
        <v/>
      </c>
      <c r="E1113" s="56">
        <f>IFERROR(_xlfn.XLOOKUP(PRODUCTOS[[#This Row],[CODIGO]],LISTADO[CODIGOS],LISTADO[UBICACIÓN]),"NO EXISTE")</f>
        <v/>
      </c>
      <c r="F1113" s="56">
        <f>SUMIFS(ENTRADAS[CANTIDAD],ENTRADAS[CODIGO],PRODUCTOS[[#This Row],[CODIGO]])</f>
        <v/>
      </c>
      <c r="G1113" s="56">
        <f>SUMIFS(SALIDAS[CANTIDAD],SALIDAS[CODIGO],PRODUCTOS[[#This Row],[CODIGO]])</f>
        <v/>
      </c>
      <c r="H1113" s="56">
        <f>PRODUCTOS[[#This Row],[ENTRADAS]]-PRODUCTOS[[#This Row],[SALIDAS ]]</f>
        <v/>
      </c>
      <c r="I1113" s="76" t="n">
        <v>0</v>
      </c>
      <c r="J1113">
        <f>IF(PRODUCTOS[[#This Row],[STOCK]]&lt;0,"NEGATIVO",IF(PRODUCTOS[[#This Row],[STOCK]]=0,"SIN STOCK",IF(PRODUCTOS[[#This Row],[STOCK]]&lt;=PRODUCTOS[[#This Row],[STOCK MÍN.]],"BAJO","OK")))</f>
        <v/>
      </c>
      <c r="K11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14" hidden="1" s="11">
      <c r="A1114" s="18" t="n">
        <v>1099</v>
      </c>
      <c r="B1114" s="56" t="inlineStr">
        <is>
          <t>00230-FER</t>
        </is>
      </c>
      <c r="C1114" s="56">
        <f>IFERROR(_xlfn.XLOOKUP(PRODUCTOS[[#This Row],[CODIGO]],LISTADO[CODIGOS],LISTADO[CATEGORIA]),"NO EXISTE")</f>
        <v/>
      </c>
      <c r="D1114" s="56">
        <f>IFERROR(_xlfn.XLOOKUP(PRODUCTOS[[#This Row],[CODIGO]],LISTADO[CODIGOS],LISTADO[PRODUCTOS]),"NO EXISTE")</f>
        <v/>
      </c>
      <c r="E1114" s="56">
        <f>IFERROR(_xlfn.XLOOKUP(PRODUCTOS[[#This Row],[CODIGO]],LISTADO[CODIGOS],LISTADO[UBICACIÓN]),"NO EXISTE")</f>
        <v/>
      </c>
      <c r="F1114" s="56">
        <f>SUMIFS(ENTRADAS[CANTIDAD],ENTRADAS[CODIGO],PRODUCTOS[[#This Row],[CODIGO]])</f>
        <v/>
      </c>
      <c r="G1114" s="56">
        <f>SUMIFS(SALIDAS[CANTIDAD],SALIDAS[CODIGO],PRODUCTOS[[#This Row],[CODIGO]])</f>
        <v/>
      </c>
      <c r="H1114" s="56">
        <f>PRODUCTOS[[#This Row],[ENTRADAS]]-PRODUCTOS[[#This Row],[SALIDAS ]]</f>
        <v/>
      </c>
      <c r="I1114" s="76" t="n">
        <v>0</v>
      </c>
      <c r="J1114">
        <f>IF(PRODUCTOS[[#This Row],[STOCK]]&lt;0,"NEGATIVO",IF(PRODUCTOS[[#This Row],[STOCK]]=0,"SIN STOCK",IF(PRODUCTOS[[#This Row],[STOCK]]&lt;=PRODUCTOS[[#This Row],[STOCK MÍN.]],"BAJO","OK")))</f>
        <v/>
      </c>
      <c r="K11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15" hidden="1" s="11">
      <c r="A1115" s="18" t="n">
        <v>1100</v>
      </c>
      <c r="B1115" s="56" t="inlineStr">
        <is>
          <t>00074-PLM</t>
        </is>
      </c>
      <c r="C1115" s="56">
        <f>IFERROR(_xlfn.XLOOKUP(PRODUCTOS[[#This Row],[CODIGO]],LISTADO[CODIGOS],LISTADO[CATEGORIA]),"NO EXISTE")</f>
        <v/>
      </c>
      <c r="D1115" s="56">
        <f>IFERROR(_xlfn.XLOOKUP(PRODUCTOS[[#This Row],[CODIGO]],LISTADO[CODIGOS],LISTADO[PRODUCTOS]),"NO EXISTE")</f>
        <v/>
      </c>
      <c r="E1115" s="56">
        <f>IFERROR(_xlfn.XLOOKUP(PRODUCTOS[[#This Row],[CODIGO]],LISTADO[CODIGOS],LISTADO[UBICACIÓN]),"NO EXISTE")</f>
        <v/>
      </c>
      <c r="F1115" s="56">
        <f>SUMIFS(ENTRADAS[CANTIDAD],ENTRADAS[CODIGO],PRODUCTOS[[#This Row],[CODIGO]])</f>
        <v/>
      </c>
      <c r="G1115" s="56">
        <f>SUMIFS(SALIDAS[CANTIDAD],SALIDAS[CODIGO],PRODUCTOS[[#This Row],[CODIGO]])</f>
        <v/>
      </c>
      <c r="H1115" s="56">
        <f>PRODUCTOS[[#This Row],[ENTRADAS]]-PRODUCTOS[[#This Row],[SALIDAS ]]</f>
        <v/>
      </c>
      <c r="I1115" s="76" t="n">
        <v>0</v>
      </c>
      <c r="J1115">
        <f>IF(PRODUCTOS[[#This Row],[STOCK]]&lt;0,"NEGATIVO",IF(PRODUCTOS[[#This Row],[STOCK]]=0,"SIN STOCK",IF(PRODUCTOS[[#This Row],[STOCK]]&lt;=PRODUCTOS[[#This Row],[STOCK MÍN.]],"BAJO","OK")))</f>
        <v/>
      </c>
      <c r="K11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16" hidden="1" s="11">
      <c r="A1116" s="18" t="n">
        <v>1101</v>
      </c>
      <c r="B1116" s="56" t="inlineStr">
        <is>
          <t>00075-PLM</t>
        </is>
      </c>
      <c r="C1116" s="56">
        <f>IFERROR(_xlfn.XLOOKUP(PRODUCTOS[[#This Row],[CODIGO]],LISTADO[CODIGOS],LISTADO[CATEGORIA]),"NO EXISTE")</f>
        <v/>
      </c>
      <c r="D1116" s="56">
        <f>IFERROR(_xlfn.XLOOKUP(PRODUCTOS[[#This Row],[CODIGO]],LISTADO[CODIGOS],LISTADO[PRODUCTOS]),"NO EXISTE")</f>
        <v/>
      </c>
      <c r="E1116" s="56">
        <f>IFERROR(_xlfn.XLOOKUP(PRODUCTOS[[#This Row],[CODIGO]],LISTADO[CODIGOS],LISTADO[UBICACIÓN]),"NO EXISTE")</f>
        <v/>
      </c>
      <c r="F1116" s="56">
        <f>SUMIFS(ENTRADAS[CANTIDAD],ENTRADAS[CODIGO],PRODUCTOS[[#This Row],[CODIGO]])</f>
        <v/>
      </c>
      <c r="G1116" s="56">
        <f>SUMIFS(SALIDAS[CANTIDAD],SALIDAS[CODIGO],PRODUCTOS[[#This Row],[CODIGO]])</f>
        <v/>
      </c>
      <c r="H1116" s="56">
        <f>PRODUCTOS[[#This Row],[ENTRADAS]]-PRODUCTOS[[#This Row],[SALIDAS ]]</f>
        <v/>
      </c>
      <c r="I1116" s="76" t="n">
        <v>0</v>
      </c>
      <c r="J1116">
        <f>IF(PRODUCTOS[[#This Row],[STOCK]]&lt;0,"NEGATIVO",IF(PRODUCTOS[[#This Row],[STOCK]]=0,"SIN STOCK",IF(PRODUCTOS[[#This Row],[STOCK]]&lt;=PRODUCTOS[[#This Row],[STOCK MÍN.]],"BAJO","OK")))</f>
        <v/>
      </c>
      <c r="K11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17" hidden="1" s="11">
      <c r="A1117" s="18" t="n">
        <v>1102</v>
      </c>
      <c r="B1117" s="56" t="inlineStr">
        <is>
          <t>00231-FER</t>
        </is>
      </c>
      <c r="C1117" s="56">
        <f>IFERROR(_xlfn.XLOOKUP(PRODUCTOS[[#This Row],[CODIGO]],LISTADO[CODIGOS],LISTADO[CATEGORIA]),"NO EXISTE")</f>
        <v/>
      </c>
      <c r="D1117" s="56">
        <f>IFERROR(_xlfn.XLOOKUP(PRODUCTOS[[#This Row],[CODIGO]],LISTADO[CODIGOS],LISTADO[PRODUCTOS]),"NO EXISTE")</f>
        <v/>
      </c>
      <c r="E1117" s="56">
        <f>IFERROR(_xlfn.XLOOKUP(PRODUCTOS[[#This Row],[CODIGO]],LISTADO[CODIGOS],LISTADO[UBICACIÓN]),"NO EXISTE")</f>
        <v/>
      </c>
      <c r="F1117" s="56">
        <f>SUMIFS(ENTRADAS[CANTIDAD],ENTRADAS[CODIGO],PRODUCTOS[[#This Row],[CODIGO]])</f>
        <v/>
      </c>
      <c r="G1117" s="56">
        <f>SUMIFS(SALIDAS[CANTIDAD],SALIDAS[CODIGO],PRODUCTOS[[#This Row],[CODIGO]])</f>
        <v/>
      </c>
      <c r="H1117" s="56">
        <f>PRODUCTOS[[#This Row],[ENTRADAS]]-PRODUCTOS[[#This Row],[SALIDAS ]]</f>
        <v/>
      </c>
      <c r="I1117" s="76" t="n">
        <v>0</v>
      </c>
      <c r="J1117">
        <f>IF(PRODUCTOS[[#This Row],[STOCK]]&lt;0,"NEGATIVO",IF(PRODUCTOS[[#This Row],[STOCK]]=0,"SIN STOCK",IF(PRODUCTOS[[#This Row],[STOCK]]&lt;=PRODUCTOS[[#This Row],[STOCK MÍN.]],"BAJO","OK")))</f>
        <v/>
      </c>
      <c r="K11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18" hidden="1" s="11">
      <c r="A1118" s="18" t="n">
        <v>1103</v>
      </c>
      <c r="B1118" s="56" t="inlineStr">
        <is>
          <t>00232-FER</t>
        </is>
      </c>
      <c r="C1118" s="56">
        <f>IFERROR(_xlfn.XLOOKUP(PRODUCTOS[[#This Row],[CODIGO]],LISTADO[CODIGOS],LISTADO[CATEGORIA]),"NO EXISTE")</f>
        <v/>
      </c>
      <c r="D1118" s="56">
        <f>IFERROR(_xlfn.XLOOKUP(PRODUCTOS[[#This Row],[CODIGO]],LISTADO[CODIGOS],LISTADO[PRODUCTOS]),"NO EXISTE")</f>
        <v/>
      </c>
      <c r="E1118" s="56">
        <f>IFERROR(_xlfn.XLOOKUP(PRODUCTOS[[#This Row],[CODIGO]],LISTADO[CODIGOS],LISTADO[UBICACIÓN]),"NO EXISTE")</f>
        <v/>
      </c>
      <c r="F1118" s="56">
        <f>SUMIFS(ENTRADAS[CANTIDAD],ENTRADAS[CODIGO],PRODUCTOS[[#This Row],[CODIGO]])</f>
        <v/>
      </c>
      <c r="G1118" s="56">
        <f>SUMIFS(SALIDAS[CANTIDAD],SALIDAS[CODIGO],PRODUCTOS[[#This Row],[CODIGO]])</f>
        <v/>
      </c>
      <c r="H1118" s="56">
        <f>PRODUCTOS[[#This Row],[ENTRADAS]]-PRODUCTOS[[#This Row],[SALIDAS ]]</f>
        <v/>
      </c>
      <c r="I1118" s="76" t="n">
        <v>0</v>
      </c>
      <c r="J1118">
        <f>IF(PRODUCTOS[[#This Row],[STOCK]]&lt;0,"NEGATIVO",IF(PRODUCTOS[[#This Row],[STOCK]]=0,"SIN STOCK",IF(PRODUCTOS[[#This Row],[STOCK]]&lt;=PRODUCTOS[[#This Row],[STOCK MÍN.]],"BAJO","OK")))</f>
        <v/>
      </c>
      <c r="K11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19">
      <c r="A1119" s="18" t="n">
        <v>1104</v>
      </c>
      <c r="B1119" s="56" t="inlineStr">
        <is>
          <t>00111-ELE</t>
        </is>
      </c>
      <c r="C1119" s="56">
        <f>IFERROR(_xlfn.XLOOKUP(PRODUCTOS[[#This Row],[CODIGO]],LISTADO[CODIGOS],LISTADO[CATEGORIA]),"NO EXISTE")</f>
        <v/>
      </c>
      <c r="D1119" s="56">
        <f>IFERROR(_xlfn.XLOOKUP(PRODUCTOS[[#This Row],[CODIGO]],LISTADO[CODIGOS],LISTADO[PRODUCTOS]),"NO EXISTE")</f>
        <v/>
      </c>
      <c r="E1119" s="56">
        <f>IFERROR(_xlfn.XLOOKUP(PRODUCTOS[[#This Row],[CODIGO]],LISTADO[CODIGOS],LISTADO[UBICACIÓN]),"NO EXISTE")</f>
        <v/>
      </c>
      <c r="F1119" s="56">
        <f>SUMIFS(ENTRADAS[CANTIDAD],ENTRADAS[CODIGO],PRODUCTOS[[#This Row],[CODIGO]])</f>
        <v/>
      </c>
      <c r="G1119" s="56">
        <f>SUMIFS(SALIDAS[CANTIDAD],SALIDAS[CODIGO],PRODUCTOS[[#This Row],[CODIGO]])</f>
        <v/>
      </c>
      <c r="H1119" s="56">
        <f>PRODUCTOS[[#This Row],[ENTRADAS]]-PRODUCTOS[[#This Row],[SALIDAS ]]</f>
        <v/>
      </c>
      <c r="I1119" s="76" t="n">
        <v>0</v>
      </c>
      <c r="J1119">
        <f>IF(PRODUCTOS[[#This Row],[STOCK]]&lt;0,"NEGATIVO",IF(PRODUCTOS[[#This Row],[STOCK]]=0,"SIN STOCK",IF(PRODUCTOS[[#This Row],[STOCK]]&lt;=PRODUCTOS[[#This Row],[STOCK MÍN.]],"BAJO","OK")))</f>
        <v/>
      </c>
      <c r="K11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20" hidden="1" s="11">
      <c r="A1120" s="18" t="n">
        <v>1105</v>
      </c>
      <c r="B1120" s="56" t="inlineStr">
        <is>
          <t>00233-FER</t>
        </is>
      </c>
      <c r="C1120" s="56">
        <f>IFERROR(_xlfn.XLOOKUP(PRODUCTOS[[#This Row],[CODIGO]],LISTADO[CODIGOS],LISTADO[CATEGORIA]),"NO EXISTE")</f>
        <v/>
      </c>
      <c r="D1120" s="56">
        <f>IFERROR(_xlfn.XLOOKUP(PRODUCTOS[[#This Row],[CODIGO]],LISTADO[CODIGOS],LISTADO[PRODUCTOS]),"NO EXISTE")</f>
        <v/>
      </c>
      <c r="E1120" s="56">
        <f>IFERROR(_xlfn.XLOOKUP(PRODUCTOS[[#This Row],[CODIGO]],LISTADO[CODIGOS],LISTADO[UBICACIÓN]),"NO EXISTE")</f>
        <v/>
      </c>
      <c r="F1120" s="56">
        <f>SUMIFS(ENTRADAS[CANTIDAD],ENTRADAS[CODIGO],PRODUCTOS[[#This Row],[CODIGO]])</f>
        <v/>
      </c>
      <c r="G1120" s="56">
        <f>SUMIFS(SALIDAS[CANTIDAD],SALIDAS[CODIGO],PRODUCTOS[[#This Row],[CODIGO]])</f>
        <v/>
      </c>
      <c r="H1120" s="56">
        <f>PRODUCTOS[[#This Row],[ENTRADAS]]-PRODUCTOS[[#This Row],[SALIDAS ]]</f>
        <v/>
      </c>
      <c r="I1120" s="76" t="n">
        <v>0</v>
      </c>
      <c r="J1120">
        <f>IF(PRODUCTOS[[#This Row],[STOCK]]&lt;0,"NEGATIVO",IF(PRODUCTOS[[#This Row],[STOCK]]=0,"SIN STOCK",IF(PRODUCTOS[[#This Row],[STOCK]]&lt;=PRODUCTOS[[#This Row],[STOCK MÍN.]],"BAJO","OK")))</f>
        <v/>
      </c>
      <c r="K11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21" hidden="1" s="11">
      <c r="A1121" s="18" t="n">
        <v>1106</v>
      </c>
      <c r="B1121" s="56" t="inlineStr">
        <is>
          <t>00082-ELC</t>
        </is>
      </c>
      <c r="C1121" s="56">
        <f>IFERROR(_xlfn.XLOOKUP(PRODUCTOS[[#This Row],[CODIGO]],LISTADO[CODIGOS],LISTADO[CATEGORIA]),"NO EXISTE")</f>
        <v/>
      </c>
      <c r="D1121" s="56">
        <f>IFERROR(_xlfn.XLOOKUP(PRODUCTOS[[#This Row],[CODIGO]],LISTADO[CODIGOS],LISTADO[PRODUCTOS]),"NO EXISTE")</f>
        <v/>
      </c>
      <c r="E1121" s="56">
        <f>IFERROR(_xlfn.XLOOKUP(PRODUCTOS[[#This Row],[CODIGO]],LISTADO[CODIGOS],LISTADO[UBICACIÓN]),"NO EXISTE")</f>
        <v/>
      </c>
      <c r="F1121" s="56">
        <f>SUMIFS(ENTRADAS[CANTIDAD],ENTRADAS[CODIGO],PRODUCTOS[[#This Row],[CODIGO]])</f>
        <v/>
      </c>
      <c r="G1121" s="56">
        <f>SUMIFS(SALIDAS[CANTIDAD],SALIDAS[CODIGO],PRODUCTOS[[#This Row],[CODIGO]])</f>
        <v/>
      </c>
      <c r="H1121" s="56">
        <f>PRODUCTOS[[#This Row],[ENTRADAS]]-PRODUCTOS[[#This Row],[SALIDAS ]]</f>
        <v/>
      </c>
      <c r="I1121" s="76" t="n">
        <v>0</v>
      </c>
      <c r="J1121">
        <f>IF(PRODUCTOS[[#This Row],[STOCK]]&lt;0,"NEGATIVO",IF(PRODUCTOS[[#This Row],[STOCK]]=0,"SIN STOCK",IF(PRODUCTOS[[#This Row],[STOCK]]&lt;=PRODUCTOS[[#This Row],[STOCK MÍN.]],"BAJO","OK")))</f>
        <v/>
      </c>
      <c r="K11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22" hidden="1" s="11">
      <c r="A1122" s="18" t="n">
        <v>1107</v>
      </c>
      <c r="B1122" s="56" t="inlineStr">
        <is>
          <t>00234-FER</t>
        </is>
      </c>
      <c r="C1122" s="56">
        <f>IFERROR(_xlfn.XLOOKUP(PRODUCTOS[[#This Row],[CODIGO]],LISTADO[CODIGOS],LISTADO[CATEGORIA]),"NO EXISTE")</f>
        <v/>
      </c>
      <c r="D1122" s="56">
        <f>IFERROR(_xlfn.XLOOKUP(PRODUCTOS[[#This Row],[CODIGO]],LISTADO[CODIGOS],LISTADO[PRODUCTOS]),"NO EXISTE")</f>
        <v/>
      </c>
      <c r="E1122" s="56">
        <f>IFERROR(_xlfn.XLOOKUP(PRODUCTOS[[#This Row],[CODIGO]],LISTADO[CODIGOS],LISTADO[UBICACIÓN]),"NO EXISTE")</f>
        <v/>
      </c>
      <c r="F1122" s="56">
        <f>SUMIFS(ENTRADAS[CANTIDAD],ENTRADAS[CODIGO],PRODUCTOS[[#This Row],[CODIGO]])</f>
        <v/>
      </c>
      <c r="G1122" s="56">
        <f>SUMIFS(SALIDAS[CANTIDAD],SALIDAS[CODIGO],PRODUCTOS[[#This Row],[CODIGO]])</f>
        <v/>
      </c>
      <c r="H1122" s="56">
        <f>PRODUCTOS[[#This Row],[ENTRADAS]]-PRODUCTOS[[#This Row],[SALIDAS ]]</f>
        <v/>
      </c>
      <c r="I1122" s="76" t="n">
        <v>0</v>
      </c>
      <c r="J1122">
        <f>IF(PRODUCTOS[[#This Row],[STOCK]]&lt;0,"NEGATIVO",IF(PRODUCTOS[[#This Row],[STOCK]]=0,"SIN STOCK",IF(PRODUCTOS[[#This Row],[STOCK]]&lt;=PRODUCTOS[[#This Row],[STOCK MÍN.]],"BAJO","OK")))</f>
        <v/>
      </c>
      <c r="K11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23" hidden="1" s="11">
      <c r="A1123" s="18" t="n">
        <v>1108</v>
      </c>
      <c r="B1123" s="56" t="inlineStr">
        <is>
          <t>00235-FER</t>
        </is>
      </c>
      <c r="C1123" s="56">
        <f>IFERROR(_xlfn.XLOOKUP(PRODUCTOS[[#This Row],[CODIGO]],LISTADO[CODIGOS],LISTADO[CATEGORIA]),"NO EXISTE")</f>
        <v/>
      </c>
      <c r="D1123" s="56">
        <f>IFERROR(_xlfn.XLOOKUP(PRODUCTOS[[#This Row],[CODIGO]],LISTADO[CODIGOS],LISTADO[PRODUCTOS]),"NO EXISTE")</f>
        <v/>
      </c>
      <c r="E1123" s="56">
        <f>IFERROR(_xlfn.XLOOKUP(PRODUCTOS[[#This Row],[CODIGO]],LISTADO[CODIGOS],LISTADO[UBICACIÓN]),"NO EXISTE")</f>
        <v/>
      </c>
      <c r="F1123" s="56">
        <f>SUMIFS(ENTRADAS[CANTIDAD],ENTRADAS[CODIGO],PRODUCTOS[[#This Row],[CODIGO]])</f>
        <v/>
      </c>
      <c r="G1123" s="56">
        <f>SUMIFS(SALIDAS[CANTIDAD],SALIDAS[CODIGO],PRODUCTOS[[#This Row],[CODIGO]])</f>
        <v/>
      </c>
      <c r="H1123" s="56">
        <f>PRODUCTOS[[#This Row],[ENTRADAS]]-PRODUCTOS[[#This Row],[SALIDAS ]]</f>
        <v/>
      </c>
      <c r="I1123" s="76" t="n">
        <v>0</v>
      </c>
      <c r="J1123">
        <f>IF(PRODUCTOS[[#This Row],[STOCK]]&lt;0,"NEGATIVO",IF(PRODUCTOS[[#This Row],[STOCK]]=0,"SIN STOCK",IF(PRODUCTOS[[#This Row],[STOCK]]&lt;=PRODUCTOS[[#This Row],[STOCK MÍN.]],"BAJO","OK")))</f>
        <v/>
      </c>
      <c r="K11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24" hidden="1" s="11">
      <c r="A1124" s="18" t="n">
        <v>1109</v>
      </c>
      <c r="B1124" s="56" t="inlineStr">
        <is>
          <t>00041-AUT</t>
        </is>
      </c>
      <c r="C1124" s="56">
        <f>IFERROR(_xlfn.XLOOKUP(PRODUCTOS[[#This Row],[CODIGO]],LISTADO[CODIGOS],LISTADO[CATEGORIA]),"NO EXISTE")</f>
        <v/>
      </c>
      <c r="D1124" s="56">
        <f>IFERROR(_xlfn.XLOOKUP(PRODUCTOS[[#This Row],[CODIGO]],LISTADO[CODIGOS],LISTADO[PRODUCTOS]),"NO EXISTE")</f>
        <v/>
      </c>
      <c r="E1124" s="56">
        <f>IFERROR(_xlfn.XLOOKUP(PRODUCTOS[[#This Row],[CODIGO]],LISTADO[CODIGOS],LISTADO[UBICACIÓN]),"NO EXISTE")</f>
        <v/>
      </c>
      <c r="F1124" s="56">
        <f>SUMIFS(ENTRADAS[CANTIDAD],ENTRADAS[CODIGO],PRODUCTOS[[#This Row],[CODIGO]])</f>
        <v/>
      </c>
      <c r="G1124" s="56">
        <f>SUMIFS(SALIDAS[CANTIDAD],SALIDAS[CODIGO],PRODUCTOS[[#This Row],[CODIGO]])</f>
        <v/>
      </c>
      <c r="H1124" s="56">
        <f>PRODUCTOS[[#This Row],[ENTRADAS]]-PRODUCTOS[[#This Row],[SALIDAS ]]</f>
        <v/>
      </c>
      <c r="I1124" s="76" t="n">
        <v>0</v>
      </c>
      <c r="J1124">
        <f>IF(PRODUCTOS[[#This Row],[STOCK]]&lt;0,"NEGATIVO",IF(PRODUCTOS[[#This Row],[STOCK]]=0,"SIN STOCK",IF(PRODUCTOS[[#This Row],[STOCK]]&lt;=PRODUCTOS[[#This Row],[STOCK MÍN.]],"BAJO","OK")))</f>
        <v/>
      </c>
      <c r="K11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25" hidden="1" s="11">
      <c r="A1125" s="18" t="n">
        <v>1110</v>
      </c>
      <c r="B1125" s="56" t="inlineStr">
        <is>
          <t>00026-MSC</t>
        </is>
      </c>
      <c r="C1125" s="56">
        <f>IFERROR(_xlfn.XLOOKUP(PRODUCTOS[[#This Row],[CODIGO]],LISTADO[CODIGOS],LISTADO[CATEGORIA]),"NO EXISTE")</f>
        <v/>
      </c>
      <c r="D1125" s="56">
        <f>IFERROR(_xlfn.XLOOKUP(PRODUCTOS[[#This Row],[CODIGO]],LISTADO[CODIGOS],LISTADO[PRODUCTOS]),"NO EXISTE")</f>
        <v/>
      </c>
      <c r="E1125" s="56">
        <f>IFERROR(_xlfn.XLOOKUP(PRODUCTOS[[#This Row],[CODIGO]],LISTADO[CODIGOS],LISTADO[UBICACIÓN]),"NO EXISTE")</f>
        <v/>
      </c>
      <c r="F1125" s="56">
        <f>SUMIFS(ENTRADAS[CANTIDAD],ENTRADAS[CODIGO],PRODUCTOS[[#This Row],[CODIGO]])</f>
        <v/>
      </c>
      <c r="G1125" s="56">
        <f>SUMIFS(SALIDAS[CANTIDAD],SALIDAS[CODIGO],PRODUCTOS[[#This Row],[CODIGO]])</f>
        <v/>
      </c>
      <c r="H1125" s="56">
        <f>PRODUCTOS[[#This Row],[ENTRADAS]]-PRODUCTOS[[#This Row],[SALIDAS ]]</f>
        <v/>
      </c>
      <c r="I1125" s="76" t="n">
        <v>0</v>
      </c>
      <c r="J1125">
        <f>IF(PRODUCTOS[[#This Row],[STOCK]]&lt;0,"NEGATIVO",IF(PRODUCTOS[[#This Row],[STOCK]]=0,"SIN STOCK",IF(PRODUCTOS[[#This Row],[STOCK]]&lt;=PRODUCTOS[[#This Row],[STOCK MÍN.]],"BAJO","OK")))</f>
        <v/>
      </c>
      <c r="K11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26" hidden="1" s="11">
      <c r="A1126" s="18" t="n">
        <v>1111</v>
      </c>
      <c r="B1126" s="56" t="inlineStr">
        <is>
          <t>00027-MSC</t>
        </is>
      </c>
      <c r="C1126" s="56">
        <f>IFERROR(_xlfn.XLOOKUP(PRODUCTOS[[#This Row],[CODIGO]],LISTADO[CODIGOS],LISTADO[CATEGORIA]),"NO EXISTE")</f>
        <v/>
      </c>
      <c r="D1126" s="56">
        <f>IFERROR(_xlfn.XLOOKUP(PRODUCTOS[[#This Row],[CODIGO]],LISTADO[CODIGOS],LISTADO[PRODUCTOS]),"NO EXISTE")</f>
        <v/>
      </c>
      <c r="E1126" s="56">
        <f>IFERROR(_xlfn.XLOOKUP(PRODUCTOS[[#This Row],[CODIGO]],LISTADO[CODIGOS],LISTADO[UBICACIÓN]),"NO EXISTE")</f>
        <v/>
      </c>
      <c r="F1126" s="56">
        <f>SUMIFS(ENTRADAS[CANTIDAD],ENTRADAS[CODIGO],PRODUCTOS[[#This Row],[CODIGO]])</f>
        <v/>
      </c>
      <c r="G1126" s="56">
        <f>SUMIFS(SALIDAS[CANTIDAD],SALIDAS[CODIGO],PRODUCTOS[[#This Row],[CODIGO]])</f>
        <v/>
      </c>
      <c r="H1126" s="56">
        <f>PRODUCTOS[[#This Row],[ENTRADAS]]-PRODUCTOS[[#This Row],[SALIDAS ]]</f>
        <v/>
      </c>
      <c r="I1126" s="76" t="n">
        <v>0</v>
      </c>
      <c r="J1126">
        <f>IF(PRODUCTOS[[#This Row],[STOCK]]&lt;0,"NEGATIVO",IF(PRODUCTOS[[#This Row],[STOCK]]=0,"SIN STOCK",IF(PRODUCTOS[[#This Row],[STOCK]]&lt;=PRODUCTOS[[#This Row],[STOCK MÍN.]],"BAJO","OK")))</f>
        <v/>
      </c>
      <c r="K11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27" hidden="1" s="11">
      <c r="A1127" s="18" t="n">
        <v>1112</v>
      </c>
      <c r="B1127" s="56" t="inlineStr">
        <is>
          <t>00083-ELC</t>
        </is>
      </c>
      <c r="C1127" s="56">
        <f>IFERROR(_xlfn.XLOOKUP(PRODUCTOS[[#This Row],[CODIGO]],LISTADO[CODIGOS],LISTADO[CATEGORIA]),"NO EXISTE")</f>
        <v/>
      </c>
      <c r="D1127" s="56">
        <f>IFERROR(_xlfn.XLOOKUP(PRODUCTOS[[#This Row],[CODIGO]],LISTADO[CODIGOS],LISTADO[PRODUCTOS]),"NO EXISTE")</f>
        <v/>
      </c>
      <c r="E1127" s="56">
        <f>IFERROR(_xlfn.XLOOKUP(PRODUCTOS[[#This Row],[CODIGO]],LISTADO[CODIGOS],LISTADO[UBICACIÓN]),"NO EXISTE")</f>
        <v/>
      </c>
      <c r="F1127" s="56">
        <f>SUMIFS(ENTRADAS[CANTIDAD],ENTRADAS[CODIGO],PRODUCTOS[[#This Row],[CODIGO]])</f>
        <v/>
      </c>
      <c r="G1127" s="56">
        <f>SUMIFS(SALIDAS[CANTIDAD],SALIDAS[CODIGO],PRODUCTOS[[#This Row],[CODIGO]])</f>
        <v/>
      </c>
      <c r="H1127" s="56">
        <f>PRODUCTOS[[#This Row],[ENTRADAS]]-PRODUCTOS[[#This Row],[SALIDAS ]]</f>
        <v/>
      </c>
      <c r="I1127" s="76" t="n">
        <v>0</v>
      </c>
      <c r="J1127">
        <f>IF(PRODUCTOS[[#This Row],[STOCK]]&lt;0,"NEGATIVO",IF(PRODUCTOS[[#This Row],[STOCK]]=0,"SIN STOCK",IF(PRODUCTOS[[#This Row],[STOCK]]&lt;=PRODUCTOS[[#This Row],[STOCK MÍN.]],"BAJO","OK")))</f>
        <v/>
      </c>
      <c r="K11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28" hidden="1" s="11">
      <c r="A1128" s="18" t="n">
        <v>1113</v>
      </c>
      <c r="B1128" s="56" t="inlineStr">
        <is>
          <t>00130-HER</t>
        </is>
      </c>
      <c r="C1128" s="56">
        <f>IFERROR(_xlfn.XLOOKUP(PRODUCTOS[[#This Row],[CODIGO]],LISTADO[CODIGOS],LISTADO[CATEGORIA]),"NO EXISTE")</f>
        <v/>
      </c>
      <c r="D1128" s="56">
        <f>IFERROR(_xlfn.XLOOKUP(PRODUCTOS[[#This Row],[CODIGO]],LISTADO[CODIGOS],LISTADO[PRODUCTOS]),"NO EXISTE")</f>
        <v/>
      </c>
      <c r="E1128" s="56">
        <f>IFERROR(_xlfn.XLOOKUP(PRODUCTOS[[#This Row],[CODIGO]],LISTADO[CODIGOS],LISTADO[UBICACIÓN]),"NO EXISTE")</f>
        <v/>
      </c>
      <c r="F1128" s="56">
        <f>SUMIFS(ENTRADAS[CANTIDAD],ENTRADAS[CODIGO],PRODUCTOS[[#This Row],[CODIGO]])</f>
        <v/>
      </c>
      <c r="G1128" s="56">
        <f>SUMIFS(SALIDAS[CANTIDAD],SALIDAS[CODIGO],PRODUCTOS[[#This Row],[CODIGO]])</f>
        <v/>
      </c>
      <c r="H1128" s="56">
        <f>PRODUCTOS[[#This Row],[ENTRADAS]]-PRODUCTOS[[#This Row],[SALIDAS ]]</f>
        <v/>
      </c>
      <c r="I1128" s="76" t="n">
        <v>0</v>
      </c>
      <c r="J1128">
        <f>IF(PRODUCTOS[[#This Row],[STOCK]]&lt;0,"NEGATIVO",IF(PRODUCTOS[[#This Row],[STOCK]]=0,"SIN STOCK",IF(PRODUCTOS[[#This Row],[STOCK]]&lt;=PRODUCTOS[[#This Row],[STOCK MÍN.]],"BAJO","OK")))</f>
        <v/>
      </c>
      <c r="K11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29" hidden="1" s="11">
      <c r="A1129" s="18" t="n">
        <v>1114</v>
      </c>
      <c r="B1129" s="56" t="inlineStr">
        <is>
          <t>00236-FER</t>
        </is>
      </c>
      <c r="C1129" s="56">
        <f>IFERROR(_xlfn.XLOOKUP(PRODUCTOS[[#This Row],[CODIGO]],LISTADO[CODIGOS],LISTADO[CATEGORIA]),"NO EXISTE")</f>
        <v/>
      </c>
      <c r="D1129" s="56">
        <f>IFERROR(_xlfn.XLOOKUP(PRODUCTOS[[#This Row],[CODIGO]],LISTADO[CODIGOS],LISTADO[PRODUCTOS]),"NO EXISTE")</f>
        <v/>
      </c>
      <c r="E1129" s="56">
        <f>IFERROR(_xlfn.XLOOKUP(PRODUCTOS[[#This Row],[CODIGO]],LISTADO[CODIGOS],LISTADO[UBICACIÓN]),"NO EXISTE")</f>
        <v/>
      </c>
      <c r="F1129" s="56">
        <f>SUMIFS(ENTRADAS[CANTIDAD],ENTRADAS[CODIGO],PRODUCTOS[[#This Row],[CODIGO]])</f>
        <v/>
      </c>
      <c r="G1129" s="56">
        <f>SUMIFS(SALIDAS[CANTIDAD],SALIDAS[CODIGO],PRODUCTOS[[#This Row],[CODIGO]])</f>
        <v/>
      </c>
      <c r="H1129" s="56">
        <f>PRODUCTOS[[#This Row],[ENTRADAS]]-PRODUCTOS[[#This Row],[SALIDAS ]]</f>
        <v/>
      </c>
      <c r="I1129" s="76" t="n">
        <v>0</v>
      </c>
      <c r="J1129">
        <f>IF(PRODUCTOS[[#This Row],[STOCK]]&lt;0,"NEGATIVO",IF(PRODUCTOS[[#This Row],[STOCK]]=0,"SIN STOCK",IF(PRODUCTOS[[#This Row],[STOCK]]&lt;=PRODUCTOS[[#This Row],[STOCK MÍN.]],"BAJO","OK")))</f>
        <v/>
      </c>
      <c r="K11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30" hidden="1" s="11">
      <c r="A1130" s="18" t="n">
        <v>1115</v>
      </c>
      <c r="B1130" s="56" t="inlineStr">
        <is>
          <t>00131-HER</t>
        </is>
      </c>
      <c r="C1130" s="56">
        <f>IFERROR(_xlfn.XLOOKUP(PRODUCTOS[[#This Row],[CODIGO]],LISTADO[CODIGOS],LISTADO[CATEGORIA]),"NO EXISTE")</f>
        <v/>
      </c>
      <c r="D1130" s="56">
        <f>IFERROR(_xlfn.XLOOKUP(PRODUCTOS[[#This Row],[CODIGO]],LISTADO[CODIGOS],LISTADO[PRODUCTOS]),"NO EXISTE")</f>
        <v/>
      </c>
      <c r="E1130" s="56">
        <f>IFERROR(_xlfn.XLOOKUP(PRODUCTOS[[#This Row],[CODIGO]],LISTADO[CODIGOS],LISTADO[UBICACIÓN]),"NO EXISTE")</f>
        <v/>
      </c>
      <c r="F1130" s="56">
        <f>SUMIFS(ENTRADAS[CANTIDAD],ENTRADAS[CODIGO],PRODUCTOS[[#This Row],[CODIGO]])</f>
        <v/>
      </c>
      <c r="G1130" s="56">
        <f>SUMIFS(SALIDAS[CANTIDAD],SALIDAS[CODIGO],PRODUCTOS[[#This Row],[CODIGO]])</f>
        <v/>
      </c>
      <c r="H1130" s="56">
        <f>PRODUCTOS[[#This Row],[ENTRADAS]]-PRODUCTOS[[#This Row],[SALIDAS ]]</f>
        <v/>
      </c>
      <c r="I1130" s="76" t="n">
        <v>0</v>
      </c>
      <c r="J1130">
        <f>IF(PRODUCTOS[[#This Row],[STOCK]]&lt;0,"NEGATIVO",IF(PRODUCTOS[[#This Row],[STOCK]]=0,"SIN STOCK",IF(PRODUCTOS[[#This Row],[STOCK]]&lt;=PRODUCTOS[[#This Row],[STOCK MÍN.]],"BAJO","OK")))</f>
        <v/>
      </c>
      <c r="K11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31" hidden="1" s="11">
      <c r="A1131" s="18" t="n">
        <v>1116</v>
      </c>
      <c r="B1131" s="56" t="inlineStr">
        <is>
          <t>00132-HER</t>
        </is>
      </c>
      <c r="C1131" s="56">
        <f>IFERROR(_xlfn.XLOOKUP(PRODUCTOS[[#This Row],[CODIGO]],LISTADO[CODIGOS],LISTADO[CATEGORIA]),"NO EXISTE")</f>
        <v/>
      </c>
      <c r="D1131" s="56">
        <f>IFERROR(_xlfn.XLOOKUP(PRODUCTOS[[#This Row],[CODIGO]],LISTADO[CODIGOS],LISTADO[PRODUCTOS]),"NO EXISTE")</f>
        <v/>
      </c>
      <c r="E1131" s="56">
        <f>IFERROR(_xlfn.XLOOKUP(PRODUCTOS[[#This Row],[CODIGO]],LISTADO[CODIGOS],LISTADO[UBICACIÓN]),"NO EXISTE")</f>
        <v/>
      </c>
      <c r="F1131" s="56">
        <f>SUMIFS(ENTRADAS[CANTIDAD],ENTRADAS[CODIGO],PRODUCTOS[[#This Row],[CODIGO]])</f>
        <v/>
      </c>
      <c r="G1131" s="56">
        <f>SUMIFS(SALIDAS[CANTIDAD],SALIDAS[CODIGO],PRODUCTOS[[#This Row],[CODIGO]])</f>
        <v/>
      </c>
      <c r="H1131" s="56">
        <f>PRODUCTOS[[#This Row],[ENTRADAS]]-PRODUCTOS[[#This Row],[SALIDAS ]]</f>
        <v/>
      </c>
      <c r="I1131" s="76" t="n">
        <v>0</v>
      </c>
      <c r="J1131">
        <f>IF(PRODUCTOS[[#This Row],[STOCK]]&lt;0,"NEGATIVO",IF(PRODUCTOS[[#This Row],[STOCK]]=0,"SIN STOCK",IF(PRODUCTOS[[#This Row],[STOCK]]&lt;=PRODUCTOS[[#This Row],[STOCK MÍN.]],"BAJO","OK")))</f>
        <v/>
      </c>
      <c r="K11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32" hidden="1" s="11">
      <c r="A1132" s="18" t="n">
        <v>1117</v>
      </c>
      <c r="B1132" s="56" t="inlineStr">
        <is>
          <t>00237-FER</t>
        </is>
      </c>
      <c r="C1132" s="56">
        <f>IFERROR(_xlfn.XLOOKUP(PRODUCTOS[[#This Row],[CODIGO]],LISTADO[CODIGOS],LISTADO[CATEGORIA]),"NO EXISTE")</f>
        <v/>
      </c>
      <c r="D1132" s="56">
        <f>IFERROR(_xlfn.XLOOKUP(PRODUCTOS[[#This Row],[CODIGO]],LISTADO[CODIGOS],LISTADO[PRODUCTOS]),"NO EXISTE")</f>
        <v/>
      </c>
      <c r="E1132" s="56">
        <f>IFERROR(_xlfn.XLOOKUP(PRODUCTOS[[#This Row],[CODIGO]],LISTADO[CODIGOS],LISTADO[UBICACIÓN]),"NO EXISTE")</f>
        <v/>
      </c>
      <c r="F1132" s="56">
        <f>SUMIFS(ENTRADAS[CANTIDAD],ENTRADAS[CODIGO],PRODUCTOS[[#This Row],[CODIGO]])</f>
        <v/>
      </c>
      <c r="G1132" s="56">
        <f>SUMIFS(SALIDAS[CANTIDAD],SALIDAS[CODIGO],PRODUCTOS[[#This Row],[CODIGO]])</f>
        <v/>
      </c>
      <c r="H1132" s="56">
        <f>PRODUCTOS[[#This Row],[ENTRADAS]]-PRODUCTOS[[#This Row],[SALIDAS ]]</f>
        <v/>
      </c>
      <c r="I1132" s="76" t="n">
        <v>0</v>
      </c>
      <c r="J1132">
        <f>IF(PRODUCTOS[[#This Row],[STOCK]]&lt;0,"NEGATIVO",IF(PRODUCTOS[[#This Row],[STOCK]]=0,"SIN STOCK",IF(PRODUCTOS[[#This Row],[STOCK]]&lt;=PRODUCTOS[[#This Row],[STOCK MÍN.]],"BAJO","OK")))</f>
        <v/>
      </c>
      <c r="K11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33">
      <c r="A1133" s="18" t="n">
        <v>1118</v>
      </c>
      <c r="B1133" s="56" t="inlineStr">
        <is>
          <t>00238-FER</t>
        </is>
      </c>
      <c r="C1133" s="56">
        <f>IFERROR(_xlfn.XLOOKUP(PRODUCTOS[[#This Row],[CODIGO]],LISTADO[CODIGOS],LISTADO[CATEGORIA]),"NO EXISTE")</f>
        <v/>
      </c>
      <c r="D1133" s="56">
        <f>IFERROR(_xlfn.XLOOKUP(PRODUCTOS[[#This Row],[CODIGO]],LISTADO[CODIGOS],LISTADO[PRODUCTOS]),"NO EXISTE")</f>
        <v/>
      </c>
      <c r="E1133" s="56">
        <f>IFERROR(_xlfn.XLOOKUP(PRODUCTOS[[#This Row],[CODIGO]],LISTADO[CODIGOS],LISTADO[UBICACIÓN]),"NO EXISTE")</f>
        <v/>
      </c>
      <c r="F1133" s="56">
        <f>SUMIFS(ENTRADAS[CANTIDAD],ENTRADAS[CODIGO],PRODUCTOS[[#This Row],[CODIGO]])</f>
        <v/>
      </c>
      <c r="G1133" s="56">
        <f>SUMIFS(SALIDAS[CANTIDAD],SALIDAS[CODIGO],PRODUCTOS[[#This Row],[CODIGO]])</f>
        <v/>
      </c>
      <c r="H1133" s="56">
        <f>PRODUCTOS[[#This Row],[ENTRADAS]]-PRODUCTOS[[#This Row],[SALIDAS ]]</f>
        <v/>
      </c>
      <c r="I1133" s="76" t="n">
        <v>0</v>
      </c>
      <c r="J1133">
        <f>IF(PRODUCTOS[[#This Row],[STOCK]]&lt;0,"NEGATIVO",IF(PRODUCTOS[[#This Row],[STOCK]]=0,"SIN STOCK",IF(PRODUCTOS[[#This Row],[STOCK]]&lt;=PRODUCTOS[[#This Row],[STOCK MÍN.]],"BAJO","OK")))</f>
        <v/>
      </c>
      <c r="K11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34">
      <c r="A1134" s="18" t="n">
        <v>1119</v>
      </c>
      <c r="B1134" s="56" t="inlineStr">
        <is>
          <t>00239-FER</t>
        </is>
      </c>
      <c r="C1134" s="56">
        <f>IFERROR(_xlfn.XLOOKUP(PRODUCTOS[[#This Row],[CODIGO]],LISTADO[CODIGOS],LISTADO[CATEGORIA]),"NO EXISTE")</f>
        <v/>
      </c>
      <c r="D1134" s="56">
        <f>IFERROR(_xlfn.XLOOKUP(PRODUCTOS[[#This Row],[CODIGO]],LISTADO[CODIGOS],LISTADO[PRODUCTOS]),"NO EXISTE")</f>
        <v/>
      </c>
      <c r="E1134" s="56">
        <f>IFERROR(_xlfn.XLOOKUP(PRODUCTOS[[#This Row],[CODIGO]],LISTADO[CODIGOS],LISTADO[UBICACIÓN]),"NO EXISTE")</f>
        <v/>
      </c>
      <c r="F1134" s="56">
        <f>SUMIFS(ENTRADAS[CANTIDAD],ENTRADAS[CODIGO],PRODUCTOS[[#This Row],[CODIGO]])</f>
        <v/>
      </c>
      <c r="G1134" s="56">
        <f>SUMIFS(SALIDAS[CANTIDAD],SALIDAS[CODIGO],PRODUCTOS[[#This Row],[CODIGO]])</f>
        <v/>
      </c>
      <c r="H1134" s="56">
        <f>PRODUCTOS[[#This Row],[ENTRADAS]]-PRODUCTOS[[#This Row],[SALIDAS ]]</f>
        <v/>
      </c>
      <c r="I1134" s="76" t="n">
        <v>0</v>
      </c>
      <c r="J1134">
        <f>IF(PRODUCTOS[[#This Row],[STOCK]]&lt;0,"NEGATIVO",IF(PRODUCTOS[[#This Row],[STOCK]]=0,"SIN STOCK",IF(PRODUCTOS[[#This Row],[STOCK]]&lt;=PRODUCTOS[[#This Row],[STOCK MÍN.]],"BAJO","OK")))</f>
        <v/>
      </c>
      <c r="K11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35" hidden="1" s="11">
      <c r="A1135" s="18" t="n">
        <v>1120</v>
      </c>
      <c r="B1135" s="56" t="inlineStr">
        <is>
          <t>00084-ELC</t>
        </is>
      </c>
      <c r="C1135" s="56">
        <f>IFERROR(_xlfn.XLOOKUP(PRODUCTOS[[#This Row],[CODIGO]],LISTADO[CODIGOS],LISTADO[CATEGORIA]),"NO EXISTE")</f>
        <v/>
      </c>
      <c r="D1135" s="56">
        <f>IFERROR(_xlfn.XLOOKUP(PRODUCTOS[[#This Row],[CODIGO]],LISTADO[CODIGOS],LISTADO[PRODUCTOS]),"NO EXISTE")</f>
        <v/>
      </c>
      <c r="E1135" s="56">
        <f>IFERROR(_xlfn.XLOOKUP(PRODUCTOS[[#This Row],[CODIGO]],LISTADO[CODIGOS],LISTADO[UBICACIÓN]),"NO EXISTE")</f>
        <v/>
      </c>
      <c r="F1135" s="56">
        <f>SUMIFS(ENTRADAS[CANTIDAD],ENTRADAS[CODIGO],PRODUCTOS[[#This Row],[CODIGO]])</f>
        <v/>
      </c>
      <c r="G1135" s="56">
        <f>SUMIFS(SALIDAS[CANTIDAD],SALIDAS[CODIGO],PRODUCTOS[[#This Row],[CODIGO]])</f>
        <v/>
      </c>
      <c r="H1135" s="56">
        <f>PRODUCTOS[[#This Row],[ENTRADAS]]-PRODUCTOS[[#This Row],[SALIDAS ]]</f>
        <v/>
      </c>
      <c r="I1135" s="76" t="n">
        <v>0</v>
      </c>
      <c r="J1135">
        <f>IF(PRODUCTOS[[#This Row],[STOCK]]&lt;0,"NEGATIVO",IF(PRODUCTOS[[#This Row],[STOCK]]=0,"SIN STOCK",IF(PRODUCTOS[[#This Row],[STOCK]]&lt;=PRODUCTOS[[#This Row],[STOCK MÍN.]],"BAJO","OK")))</f>
        <v/>
      </c>
      <c r="K11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36" hidden="1" s="11">
      <c r="A1136" s="18" t="n">
        <v>1121</v>
      </c>
      <c r="B1136" s="56" t="inlineStr">
        <is>
          <t>00112-ELE</t>
        </is>
      </c>
      <c r="C1136" s="56">
        <f>IFERROR(_xlfn.XLOOKUP(PRODUCTOS[[#This Row],[CODIGO]],LISTADO[CODIGOS],LISTADO[CATEGORIA]),"NO EXISTE")</f>
        <v/>
      </c>
      <c r="D1136" s="56">
        <f>IFERROR(_xlfn.XLOOKUP(PRODUCTOS[[#This Row],[CODIGO]],LISTADO[CODIGOS],LISTADO[PRODUCTOS]),"NO EXISTE")</f>
        <v/>
      </c>
      <c r="E1136" s="56">
        <f>IFERROR(_xlfn.XLOOKUP(PRODUCTOS[[#This Row],[CODIGO]],LISTADO[CODIGOS],LISTADO[UBICACIÓN]),"NO EXISTE")</f>
        <v/>
      </c>
      <c r="F1136" s="56">
        <f>SUMIFS(ENTRADAS[CANTIDAD],ENTRADAS[CODIGO],PRODUCTOS[[#This Row],[CODIGO]])</f>
        <v/>
      </c>
      <c r="G1136" s="56">
        <f>SUMIFS(SALIDAS[CANTIDAD],SALIDAS[CODIGO],PRODUCTOS[[#This Row],[CODIGO]])</f>
        <v/>
      </c>
      <c r="H1136" s="56">
        <f>PRODUCTOS[[#This Row],[ENTRADAS]]-PRODUCTOS[[#This Row],[SALIDAS ]]</f>
        <v/>
      </c>
      <c r="I1136" s="76" t="n">
        <v>0</v>
      </c>
      <c r="J1136">
        <f>IF(PRODUCTOS[[#This Row],[STOCK]]&lt;0,"NEGATIVO",IF(PRODUCTOS[[#This Row],[STOCK]]=0,"SIN STOCK",IF(PRODUCTOS[[#This Row],[STOCK]]&lt;=PRODUCTOS[[#This Row],[STOCK MÍN.]],"BAJO","OK")))</f>
        <v/>
      </c>
      <c r="K11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37" hidden="1" s="11">
      <c r="A1137" s="18" t="n">
        <v>1122</v>
      </c>
      <c r="B1137" s="56" t="inlineStr">
        <is>
          <t>00076-PLM</t>
        </is>
      </c>
      <c r="C1137" s="56">
        <f>IFERROR(_xlfn.XLOOKUP(PRODUCTOS[[#This Row],[CODIGO]],LISTADO[CODIGOS],LISTADO[CATEGORIA]),"NO EXISTE")</f>
        <v/>
      </c>
      <c r="D1137" s="56">
        <f>IFERROR(_xlfn.XLOOKUP(PRODUCTOS[[#This Row],[CODIGO]],LISTADO[CODIGOS],LISTADO[PRODUCTOS]),"NO EXISTE")</f>
        <v/>
      </c>
      <c r="E1137" s="56">
        <f>IFERROR(_xlfn.XLOOKUP(PRODUCTOS[[#This Row],[CODIGO]],LISTADO[CODIGOS],LISTADO[UBICACIÓN]),"NO EXISTE")</f>
        <v/>
      </c>
      <c r="F1137" s="56">
        <f>SUMIFS(ENTRADAS[CANTIDAD],ENTRADAS[CODIGO],PRODUCTOS[[#This Row],[CODIGO]])</f>
        <v/>
      </c>
      <c r="G1137" s="56">
        <f>SUMIFS(SALIDAS[CANTIDAD],SALIDAS[CODIGO],PRODUCTOS[[#This Row],[CODIGO]])</f>
        <v/>
      </c>
      <c r="H1137" s="56">
        <f>PRODUCTOS[[#This Row],[ENTRADAS]]-PRODUCTOS[[#This Row],[SALIDAS ]]</f>
        <v/>
      </c>
      <c r="I1137" s="76" t="n">
        <v>0</v>
      </c>
      <c r="J1137">
        <f>IF(PRODUCTOS[[#This Row],[STOCK]]&lt;0,"NEGATIVO",IF(PRODUCTOS[[#This Row],[STOCK]]=0,"SIN STOCK",IF(PRODUCTOS[[#This Row],[STOCK]]&lt;=PRODUCTOS[[#This Row],[STOCK MÍN.]],"BAJO","OK")))</f>
        <v/>
      </c>
      <c r="K11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38" hidden="1" s="11">
      <c r="A1138" s="18" t="n">
        <v>1123</v>
      </c>
      <c r="B1138" s="56" t="inlineStr">
        <is>
          <t>00077-PLM</t>
        </is>
      </c>
      <c r="C1138" s="56">
        <f>IFERROR(_xlfn.XLOOKUP(PRODUCTOS[[#This Row],[CODIGO]],LISTADO[CODIGOS],LISTADO[CATEGORIA]),"NO EXISTE")</f>
        <v/>
      </c>
      <c r="D1138" s="56">
        <f>IFERROR(_xlfn.XLOOKUP(PRODUCTOS[[#This Row],[CODIGO]],LISTADO[CODIGOS],LISTADO[PRODUCTOS]),"NO EXISTE")</f>
        <v/>
      </c>
      <c r="E1138" s="56">
        <f>IFERROR(_xlfn.XLOOKUP(PRODUCTOS[[#This Row],[CODIGO]],LISTADO[CODIGOS],LISTADO[UBICACIÓN]),"NO EXISTE")</f>
        <v/>
      </c>
      <c r="F1138" s="56">
        <f>SUMIFS(ENTRADAS[CANTIDAD],ENTRADAS[CODIGO],PRODUCTOS[[#This Row],[CODIGO]])</f>
        <v/>
      </c>
      <c r="G1138" s="56">
        <f>SUMIFS(SALIDAS[CANTIDAD],SALIDAS[CODIGO],PRODUCTOS[[#This Row],[CODIGO]])</f>
        <v/>
      </c>
      <c r="H1138" s="56">
        <f>PRODUCTOS[[#This Row],[ENTRADAS]]-PRODUCTOS[[#This Row],[SALIDAS ]]</f>
        <v/>
      </c>
      <c r="I1138" s="76" t="n">
        <v>0</v>
      </c>
      <c r="J1138">
        <f>IF(PRODUCTOS[[#This Row],[STOCK]]&lt;0,"NEGATIVO",IF(PRODUCTOS[[#This Row],[STOCK]]=0,"SIN STOCK",IF(PRODUCTOS[[#This Row],[STOCK]]&lt;=PRODUCTOS[[#This Row],[STOCK MÍN.]],"BAJO","OK")))</f>
        <v/>
      </c>
      <c r="K11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39" hidden="1" s="11">
      <c r="A1139" s="18" t="n">
        <v>1124</v>
      </c>
      <c r="B1139" s="56" t="inlineStr">
        <is>
          <t>00148-REF</t>
        </is>
      </c>
      <c r="C1139" s="56">
        <f>IFERROR(_xlfn.XLOOKUP(PRODUCTOS[[#This Row],[CODIGO]],LISTADO[CODIGOS],LISTADO[CATEGORIA]),"NO EXISTE")</f>
        <v/>
      </c>
      <c r="D1139" s="56">
        <f>IFERROR(_xlfn.XLOOKUP(PRODUCTOS[[#This Row],[CODIGO]],LISTADO[CODIGOS],LISTADO[PRODUCTOS]),"NO EXISTE")</f>
        <v/>
      </c>
      <c r="E1139" s="56">
        <f>IFERROR(_xlfn.XLOOKUP(PRODUCTOS[[#This Row],[CODIGO]],LISTADO[CODIGOS],LISTADO[UBICACIÓN]),"NO EXISTE")</f>
        <v/>
      </c>
      <c r="F1139" s="56">
        <f>SUMIFS(ENTRADAS[CANTIDAD],ENTRADAS[CODIGO],PRODUCTOS[[#This Row],[CODIGO]])</f>
        <v/>
      </c>
      <c r="G1139" s="56">
        <f>SUMIFS(SALIDAS[CANTIDAD],SALIDAS[CODIGO],PRODUCTOS[[#This Row],[CODIGO]])</f>
        <v/>
      </c>
      <c r="H1139" s="56">
        <f>PRODUCTOS[[#This Row],[ENTRADAS]]-PRODUCTOS[[#This Row],[SALIDAS ]]</f>
        <v/>
      </c>
      <c r="I1139" s="76" t="n">
        <v>0</v>
      </c>
      <c r="J1139">
        <f>IF(PRODUCTOS[[#This Row],[STOCK]]&lt;0,"NEGATIVO",IF(PRODUCTOS[[#This Row],[STOCK]]=0,"SIN STOCK",IF(PRODUCTOS[[#This Row],[STOCK]]&lt;=PRODUCTOS[[#This Row],[STOCK MÍN.]],"BAJO","OK")))</f>
        <v/>
      </c>
      <c r="K11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40" hidden="1" s="11">
      <c r="A1140" s="18" t="n">
        <v>1125</v>
      </c>
      <c r="B1140" s="56" t="inlineStr">
        <is>
          <t>00058-ILU</t>
        </is>
      </c>
      <c r="C1140" s="56">
        <f>IFERROR(_xlfn.XLOOKUP(PRODUCTOS[[#This Row],[CODIGO]],LISTADO[CODIGOS],LISTADO[CATEGORIA]),"NO EXISTE")</f>
        <v/>
      </c>
      <c r="D1140" s="56">
        <f>IFERROR(_xlfn.XLOOKUP(PRODUCTOS[[#This Row],[CODIGO]],LISTADO[CODIGOS],LISTADO[PRODUCTOS]),"NO EXISTE")</f>
        <v/>
      </c>
      <c r="E1140" s="56">
        <f>IFERROR(_xlfn.XLOOKUP(PRODUCTOS[[#This Row],[CODIGO]],LISTADO[CODIGOS],LISTADO[UBICACIÓN]),"NO EXISTE")</f>
        <v/>
      </c>
      <c r="F1140" s="56">
        <f>SUMIFS(ENTRADAS[CANTIDAD],ENTRADAS[CODIGO],PRODUCTOS[[#This Row],[CODIGO]])</f>
        <v/>
      </c>
      <c r="G1140" s="56">
        <f>SUMIFS(SALIDAS[CANTIDAD],SALIDAS[CODIGO],PRODUCTOS[[#This Row],[CODIGO]])</f>
        <v/>
      </c>
      <c r="H1140" s="56">
        <f>PRODUCTOS[[#This Row],[ENTRADAS]]-PRODUCTOS[[#This Row],[SALIDAS ]]</f>
        <v/>
      </c>
      <c r="I1140" s="76" t="n">
        <v>0</v>
      </c>
      <c r="J1140">
        <f>IF(PRODUCTOS[[#This Row],[STOCK]]&lt;0,"NEGATIVO",IF(PRODUCTOS[[#This Row],[STOCK]]=0,"SIN STOCK",IF(PRODUCTOS[[#This Row],[STOCK]]&lt;=PRODUCTOS[[#This Row],[STOCK MÍN.]],"BAJO","OK")))</f>
        <v/>
      </c>
      <c r="K11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41" hidden="1" s="11">
      <c r="A1141" s="18" t="n">
        <v>1126</v>
      </c>
      <c r="B1141" s="56" t="inlineStr">
        <is>
          <t>00113-ELE</t>
        </is>
      </c>
      <c r="C1141" s="56">
        <f>IFERROR(_xlfn.XLOOKUP(PRODUCTOS[[#This Row],[CODIGO]],LISTADO[CODIGOS],LISTADO[CATEGORIA]),"NO EXISTE")</f>
        <v/>
      </c>
      <c r="D1141" s="56">
        <f>IFERROR(_xlfn.XLOOKUP(PRODUCTOS[[#This Row],[CODIGO]],LISTADO[CODIGOS],LISTADO[PRODUCTOS]),"NO EXISTE")</f>
        <v/>
      </c>
      <c r="E1141" s="56">
        <f>IFERROR(_xlfn.XLOOKUP(PRODUCTOS[[#This Row],[CODIGO]],LISTADO[CODIGOS],LISTADO[UBICACIÓN]),"NO EXISTE")</f>
        <v/>
      </c>
      <c r="F1141" s="56">
        <f>SUMIFS(ENTRADAS[CANTIDAD],ENTRADAS[CODIGO],PRODUCTOS[[#This Row],[CODIGO]])</f>
        <v/>
      </c>
      <c r="G1141" s="56">
        <f>SUMIFS(SALIDAS[CANTIDAD],SALIDAS[CODIGO],PRODUCTOS[[#This Row],[CODIGO]])</f>
        <v/>
      </c>
      <c r="H1141" s="56">
        <f>PRODUCTOS[[#This Row],[ENTRADAS]]-PRODUCTOS[[#This Row],[SALIDAS ]]</f>
        <v/>
      </c>
      <c r="I1141" s="76" t="n">
        <v>0</v>
      </c>
      <c r="J1141">
        <f>IF(PRODUCTOS[[#This Row],[STOCK]]&lt;0,"NEGATIVO",IF(PRODUCTOS[[#This Row],[STOCK]]=0,"SIN STOCK",IF(PRODUCTOS[[#This Row],[STOCK]]&lt;=PRODUCTOS[[#This Row],[STOCK MÍN.]],"BAJO","OK")))</f>
        <v/>
      </c>
      <c r="K11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42" hidden="1" s="11">
      <c r="A1142" s="18" t="n">
        <v>1127</v>
      </c>
      <c r="B1142" s="56" t="inlineStr">
        <is>
          <t>00240-FER</t>
        </is>
      </c>
      <c r="C1142" s="56">
        <f>IFERROR(_xlfn.XLOOKUP(PRODUCTOS[[#This Row],[CODIGO]],LISTADO[CODIGOS],LISTADO[CATEGORIA]),"NO EXISTE")</f>
        <v/>
      </c>
      <c r="D1142" s="56">
        <f>IFERROR(_xlfn.XLOOKUP(PRODUCTOS[[#This Row],[CODIGO]],LISTADO[CODIGOS],LISTADO[PRODUCTOS]),"NO EXISTE")</f>
        <v/>
      </c>
      <c r="E1142" s="56">
        <f>IFERROR(_xlfn.XLOOKUP(PRODUCTOS[[#This Row],[CODIGO]],LISTADO[CODIGOS],LISTADO[UBICACIÓN]),"NO EXISTE")</f>
        <v/>
      </c>
      <c r="F1142" s="56">
        <f>SUMIFS(ENTRADAS[CANTIDAD],ENTRADAS[CODIGO],PRODUCTOS[[#This Row],[CODIGO]])</f>
        <v/>
      </c>
      <c r="G1142" s="56">
        <f>SUMIFS(SALIDAS[CANTIDAD],SALIDAS[CODIGO],PRODUCTOS[[#This Row],[CODIGO]])</f>
        <v/>
      </c>
      <c r="H1142" s="56">
        <f>PRODUCTOS[[#This Row],[ENTRADAS]]-PRODUCTOS[[#This Row],[SALIDAS ]]</f>
        <v/>
      </c>
      <c r="I1142" s="76" t="n">
        <v>0</v>
      </c>
      <c r="J1142">
        <f>IF(PRODUCTOS[[#This Row],[STOCK]]&lt;0,"NEGATIVO",IF(PRODUCTOS[[#This Row],[STOCK]]=0,"SIN STOCK",IF(PRODUCTOS[[#This Row],[STOCK]]&lt;=PRODUCTOS[[#This Row],[STOCK MÍN.]],"BAJO","OK")))</f>
        <v/>
      </c>
      <c r="K11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43" hidden="1" s="11">
      <c r="A1143" s="18" t="n">
        <v>1128</v>
      </c>
      <c r="B1143" s="56" t="inlineStr">
        <is>
          <t>00031-LIM</t>
        </is>
      </c>
      <c r="C1143" s="56">
        <f>IFERROR(_xlfn.XLOOKUP(PRODUCTOS[[#This Row],[CODIGO]],LISTADO[CODIGOS],LISTADO[CATEGORIA]),"NO EXISTE")</f>
        <v/>
      </c>
      <c r="D1143" s="56">
        <f>IFERROR(_xlfn.XLOOKUP(PRODUCTOS[[#This Row],[CODIGO]],LISTADO[CODIGOS],LISTADO[PRODUCTOS]),"NO EXISTE")</f>
        <v/>
      </c>
      <c r="E1143" s="56">
        <f>IFERROR(_xlfn.XLOOKUP(PRODUCTOS[[#This Row],[CODIGO]],LISTADO[CODIGOS],LISTADO[UBICACIÓN]),"NO EXISTE")</f>
        <v/>
      </c>
      <c r="F1143" s="56">
        <f>SUMIFS(ENTRADAS[CANTIDAD],ENTRADAS[CODIGO],PRODUCTOS[[#This Row],[CODIGO]])</f>
        <v/>
      </c>
      <c r="G1143" s="56">
        <f>SUMIFS(SALIDAS[CANTIDAD],SALIDAS[CODIGO],PRODUCTOS[[#This Row],[CODIGO]])</f>
        <v/>
      </c>
      <c r="H1143" s="56">
        <f>PRODUCTOS[[#This Row],[ENTRADAS]]-PRODUCTOS[[#This Row],[SALIDAS ]]</f>
        <v/>
      </c>
      <c r="I1143" s="76" t="n">
        <v>0</v>
      </c>
      <c r="J1143">
        <f>IF(PRODUCTOS[[#This Row],[STOCK]]&lt;0,"NEGATIVO",IF(PRODUCTOS[[#This Row],[STOCK]]=0,"SIN STOCK",IF(PRODUCTOS[[#This Row],[STOCK]]&lt;=PRODUCTOS[[#This Row],[STOCK MÍN.]],"BAJO","OK")))</f>
        <v/>
      </c>
      <c r="K11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44" hidden="1" s="11">
      <c r="A1144" s="18" t="n">
        <v>1129</v>
      </c>
      <c r="B1144" s="56" t="inlineStr">
        <is>
          <t>00059-ILU</t>
        </is>
      </c>
      <c r="C1144" s="56">
        <f>IFERROR(_xlfn.XLOOKUP(PRODUCTOS[[#This Row],[CODIGO]],LISTADO[CODIGOS],LISTADO[CATEGORIA]),"NO EXISTE")</f>
        <v/>
      </c>
      <c r="D1144" s="56">
        <f>IFERROR(_xlfn.XLOOKUP(PRODUCTOS[[#This Row],[CODIGO]],LISTADO[CODIGOS],LISTADO[PRODUCTOS]),"NO EXISTE")</f>
        <v/>
      </c>
      <c r="E1144" s="56">
        <f>IFERROR(_xlfn.XLOOKUP(PRODUCTOS[[#This Row],[CODIGO]],LISTADO[CODIGOS],LISTADO[UBICACIÓN]),"NO EXISTE")</f>
        <v/>
      </c>
      <c r="F1144" s="56">
        <f>SUMIFS(ENTRADAS[CANTIDAD],ENTRADAS[CODIGO],PRODUCTOS[[#This Row],[CODIGO]])</f>
        <v/>
      </c>
      <c r="G1144" s="56">
        <f>SUMIFS(SALIDAS[CANTIDAD],SALIDAS[CODIGO],PRODUCTOS[[#This Row],[CODIGO]])</f>
        <v/>
      </c>
      <c r="H1144" s="56">
        <f>PRODUCTOS[[#This Row],[ENTRADAS]]-PRODUCTOS[[#This Row],[SALIDAS ]]</f>
        <v/>
      </c>
      <c r="I1144" s="76" t="n">
        <v>0</v>
      </c>
      <c r="J1144">
        <f>IF(PRODUCTOS[[#This Row],[STOCK]]&lt;0,"NEGATIVO",IF(PRODUCTOS[[#This Row],[STOCK]]=0,"SIN STOCK",IF(PRODUCTOS[[#This Row],[STOCK]]&lt;=PRODUCTOS[[#This Row],[STOCK MÍN.]],"BAJO","OK")))</f>
        <v/>
      </c>
      <c r="K11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45" hidden="1" s="11">
      <c r="A1145" s="18" t="n">
        <v>1130</v>
      </c>
      <c r="B1145" s="56" t="inlineStr">
        <is>
          <t>00241-FER</t>
        </is>
      </c>
      <c r="C1145" s="56">
        <f>IFERROR(_xlfn.XLOOKUP(PRODUCTOS[[#This Row],[CODIGO]],LISTADO[CODIGOS],LISTADO[CATEGORIA]),"NO EXISTE")</f>
        <v/>
      </c>
      <c r="D1145" s="56">
        <f>IFERROR(_xlfn.XLOOKUP(PRODUCTOS[[#This Row],[CODIGO]],LISTADO[CODIGOS],LISTADO[PRODUCTOS]),"NO EXISTE")</f>
        <v/>
      </c>
      <c r="E1145" s="56">
        <f>IFERROR(_xlfn.XLOOKUP(PRODUCTOS[[#This Row],[CODIGO]],LISTADO[CODIGOS],LISTADO[UBICACIÓN]),"NO EXISTE")</f>
        <v/>
      </c>
      <c r="F1145" s="56">
        <f>SUMIFS(ENTRADAS[CANTIDAD],ENTRADAS[CODIGO],PRODUCTOS[[#This Row],[CODIGO]])</f>
        <v/>
      </c>
      <c r="G1145" s="56">
        <f>SUMIFS(SALIDAS[CANTIDAD],SALIDAS[CODIGO],PRODUCTOS[[#This Row],[CODIGO]])</f>
        <v/>
      </c>
      <c r="H1145" s="56">
        <f>PRODUCTOS[[#This Row],[ENTRADAS]]-PRODUCTOS[[#This Row],[SALIDAS ]]</f>
        <v/>
      </c>
      <c r="I1145" s="76" t="n">
        <v>0</v>
      </c>
      <c r="J1145">
        <f>IF(PRODUCTOS[[#This Row],[STOCK]]&lt;0,"NEGATIVO",IF(PRODUCTOS[[#This Row],[STOCK]]=0,"SIN STOCK",IF(PRODUCTOS[[#This Row],[STOCK]]&lt;=PRODUCTOS[[#This Row],[STOCK MÍN.]],"BAJO","OK")))</f>
        <v/>
      </c>
      <c r="K11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46" hidden="1" s="11">
      <c r="A1146" s="18" t="n">
        <v>1131</v>
      </c>
      <c r="B1146" s="56" t="inlineStr">
        <is>
          <t>00114-ELE</t>
        </is>
      </c>
      <c r="C1146" s="56">
        <f>IFERROR(_xlfn.XLOOKUP(PRODUCTOS[[#This Row],[CODIGO]],LISTADO[CODIGOS],LISTADO[CATEGORIA]),"NO EXISTE")</f>
        <v/>
      </c>
      <c r="D1146" s="56">
        <f>IFERROR(_xlfn.XLOOKUP(PRODUCTOS[[#This Row],[CODIGO]],LISTADO[CODIGOS],LISTADO[PRODUCTOS]),"NO EXISTE")</f>
        <v/>
      </c>
      <c r="E1146" s="56">
        <f>IFERROR(_xlfn.XLOOKUP(PRODUCTOS[[#This Row],[CODIGO]],LISTADO[CODIGOS],LISTADO[UBICACIÓN]),"NO EXISTE")</f>
        <v/>
      </c>
      <c r="F1146" s="56">
        <f>SUMIFS(ENTRADAS[CANTIDAD],ENTRADAS[CODIGO],PRODUCTOS[[#This Row],[CODIGO]])</f>
        <v/>
      </c>
      <c r="G1146" s="56">
        <f>SUMIFS(SALIDAS[CANTIDAD],SALIDAS[CODIGO],PRODUCTOS[[#This Row],[CODIGO]])</f>
        <v/>
      </c>
      <c r="H1146" s="56">
        <f>PRODUCTOS[[#This Row],[ENTRADAS]]-PRODUCTOS[[#This Row],[SALIDAS ]]</f>
        <v/>
      </c>
      <c r="I1146" s="76" t="n">
        <v>0</v>
      </c>
      <c r="J1146">
        <f>IF(PRODUCTOS[[#This Row],[STOCK]]&lt;0,"NEGATIVO",IF(PRODUCTOS[[#This Row],[STOCK]]=0,"SIN STOCK",IF(PRODUCTOS[[#This Row],[STOCK]]&lt;=PRODUCTOS[[#This Row],[STOCK MÍN.]],"BAJO","OK")))</f>
        <v/>
      </c>
      <c r="K11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47" hidden="1" s="11">
      <c r="A1147" s="18" t="n">
        <v>1132</v>
      </c>
      <c r="B1147" s="56" t="inlineStr">
        <is>
          <t>00115-ELE</t>
        </is>
      </c>
      <c r="C1147" s="56">
        <f>IFERROR(_xlfn.XLOOKUP(PRODUCTOS[[#This Row],[CODIGO]],LISTADO[CODIGOS],LISTADO[CATEGORIA]),"NO EXISTE")</f>
        <v/>
      </c>
      <c r="D1147" s="56">
        <f>IFERROR(_xlfn.XLOOKUP(PRODUCTOS[[#This Row],[CODIGO]],LISTADO[CODIGOS],LISTADO[PRODUCTOS]),"NO EXISTE")</f>
        <v/>
      </c>
      <c r="E1147" s="56">
        <f>IFERROR(_xlfn.XLOOKUP(PRODUCTOS[[#This Row],[CODIGO]],LISTADO[CODIGOS],LISTADO[UBICACIÓN]),"NO EXISTE")</f>
        <v/>
      </c>
      <c r="F1147" s="56">
        <f>SUMIFS(ENTRADAS[CANTIDAD],ENTRADAS[CODIGO],PRODUCTOS[[#This Row],[CODIGO]])</f>
        <v/>
      </c>
      <c r="G1147" s="56">
        <f>SUMIFS(SALIDAS[CANTIDAD],SALIDAS[CODIGO],PRODUCTOS[[#This Row],[CODIGO]])</f>
        <v/>
      </c>
      <c r="H1147" s="56">
        <f>PRODUCTOS[[#This Row],[ENTRADAS]]-PRODUCTOS[[#This Row],[SALIDAS ]]</f>
        <v/>
      </c>
      <c r="I1147" s="76" t="n">
        <v>0</v>
      </c>
      <c r="J1147">
        <f>IF(PRODUCTOS[[#This Row],[STOCK]]&lt;0,"NEGATIVO",IF(PRODUCTOS[[#This Row],[STOCK]]=0,"SIN STOCK",IF(PRODUCTOS[[#This Row],[STOCK]]&lt;=PRODUCTOS[[#This Row],[STOCK MÍN.]],"BAJO","OK")))</f>
        <v/>
      </c>
      <c r="K11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48" hidden="1" s="11">
      <c r="A1148" s="18" t="n">
        <v>1133</v>
      </c>
      <c r="B1148" s="56" t="inlineStr">
        <is>
          <t>00042-AUT</t>
        </is>
      </c>
      <c r="C1148" s="56">
        <f>IFERROR(_xlfn.XLOOKUP(PRODUCTOS[[#This Row],[CODIGO]],LISTADO[CODIGOS],LISTADO[CATEGORIA]),"NO EXISTE")</f>
        <v/>
      </c>
      <c r="D1148" s="56">
        <f>IFERROR(_xlfn.XLOOKUP(PRODUCTOS[[#This Row],[CODIGO]],LISTADO[CODIGOS],LISTADO[PRODUCTOS]),"NO EXISTE")</f>
        <v/>
      </c>
      <c r="E1148" s="56">
        <f>IFERROR(_xlfn.XLOOKUP(PRODUCTOS[[#This Row],[CODIGO]],LISTADO[CODIGOS],LISTADO[UBICACIÓN]),"NO EXISTE")</f>
        <v/>
      </c>
      <c r="F1148" s="56">
        <f>SUMIFS(ENTRADAS[CANTIDAD],ENTRADAS[CODIGO],PRODUCTOS[[#This Row],[CODIGO]])</f>
        <v/>
      </c>
      <c r="G1148" s="56">
        <f>SUMIFS(SALIDAS[CANTIDAD],SALIDAS[CODIGO],PRODUCTOS[[#This Row],[CODIGO]])</f>
        <v/>
      </c>
      <c r="H1148" s="56">
        <f>PRODUCTOS[[#This Row],[ENTRADAS]]-PRODUCTOS[[#This Row],[SALIDAS ]]</f>
        <v/>
      </c>
      <c r="I1148" s="76" t="n">
        <v>0</v>
      </c>
      <c r="J1148">
        <f>IF(PRODUCTOS[[#This Row],[STOCK]]&lt;0,"NEGATIVO",IF(PRODUCTOS[[#This Row],[STOCK]]=0,"SIN STOCK",IF(PRODUCTOS[[#This Row],[STOCK]]&lt;=PRODUCTOS[[#This Row],[STOCK MÍN.]],"BAJO","OK")))</f>
        <v/>
      </c>
      <c r="K11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49" hidden="1" s="11">
      <c r="A1149" s="18" t="n">
        <v>1134</v>
      </c>
      <c r="B1149" s="56" t="inlineStr">
        <is>
          <t>00032-LIM</t>
        </is>
      </c>
      <c r="C1149" s="56">
        <f>IFERROR(_xlfn.XLOOKUP(PRODUCTOS[[#This Row],[CODIGO]],LISTADO[CODIGOS],LISTADO[CATEGORIA]),"NO EXISTE")</f>
        <v/>
      </c>
      <c r="D1149" s="56">
        <f>IFERROR(_xlfn.XLOOKUP(PRODUCTOS[[#This Row],[CODIGO]],LISTADO[CODIGOS],LISTADO[PRODUCTOS]),"NO EXISTE")</f>
        <v/>
      </c>
      <c r="E1149" s="56">
        <f>IFERROR(_xlfn.XLOOKUP(PRODUCTOS[[#This Row],[CODIGO]],LISTADO[CODIGOS],LISTADO[UBICACIÓN]),"NO EXISTE")</f>
        <v/>
      </c>
      <c r="F1149" s="56">
        <f>SUMIFS(ENTRADAS[CANTIDAD],ENTRADAS[CODIGO],PRODUCTOS[[#This Row],[CODIGO]])</f>
        <v/>
      </c>
      <c r="G1149" s="56">
        <f>SUMIFS(SALIDAS[CANTIDAD],SALIDAS[CODIGO],PRODUCTOS[[#This Row],[CODIGO]])</f>
        <v/>
      </c>
      <c r="H1149" s="56">
        <f>PRODUCTOS[[#This Row],[ENTRADAS]]-PRODUCTOS[[#This Row],[SALIDAS ]]</f>
        <v/>
      </c>
      <c r="I1149" s="76" t="n">
        <v>0</v>
      </c>
      <c r="J1149">
        <f>IF(PRODUCTOS[[#This Row],[STOCK]]&lt;0,"NEGATIVO",IF(PRODUCTOS[[#This Row],[STOCK]]=0,"SIN STOCK",IF(PRODUCTOS[[#This Row],[STOCK]]&lt;=PRODUCTOS[[#This Row],[STOCK MÍN.]],"BAJO","OK")))</f>
        <v/>
      </c>
      <c r="K11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50" hidden="1" s="11">
      <c r="A1150" s="18" t="n">
        <v>1135</v>
      </c>
      <c r="B1150" s="56" t="inlineStr">
        <is>
          <t>00043-AUT</t>
        </is>
      </c>
      <c r="C1150" s="56">
        <f>IFERROR(_xlfn.XLOOKUP(PRODUCTOS[[#This Row],[CODIGO]],LISTADO[CODIGOS],LISTADO[CATEGORIA]),"NO EXISTE")</f>
        <v/>
      </c>
      <c r="D1150" s="56">
        <f>IFERROR(_xlfn.XLOOKUP(PRODUCTOS[[#This Row],[CODIGO]],LISTADO[CODIGOS],LISTADO[PRODUCTOS]),"NO EXISTE")</f>
        <v/>
      </c>
      <c r="E1150" s="56">
        <f>IFERROR(_xlfn.XLOOKUP(PRODUCTOS[[#This Row],[CODIGO]],LISTADO[CODIGOS],LISTADO[UBICACIÓN]),"NO EXISTE")</f>
        <v/>
      </c>
      <c r="F1150" s="56">
        <f>SUMIFS(ENTRADAS[CANTIDAD],ENTRADAS[CODIGO],PRODUCTOS[[#This Row],[CODIGO]])</f>
        <v/>
      </c>
      <c r="G1150" s="56">
        <f>SUMIFS(SALIDAS[CANTIDAD],SALIDAS[CODIGO],PRODUCTOS[[#This Row],[CODIGO]])</f>
        <v/>
      </c>
      <c r="H1150" s="56">
        <f>PRODUCTOS[[#This Row],[ENTRADAS]]-PRODUCTOS[[#This Row],[SALIDAS ]]</f>
        <v/>
      </c>
      <c r="I1150" s="76" t="n">
        <v>0</v>
      </c>
      <c r="J1150">
        <f>IF(PRODUCTOS[[#This Row],[STOCK]]&lt;0,"NEGATIVO",IF(PRODUCTOS[[#This Row],[STOCK]]=0,"SIN STOCK",IF(PRODUCTOS[[#This Row],[STOCK]]&lt;=PRODUCTOS[[#This Row],[STOCK MÍN.]],"BAJO","OK")))</f>
        <v/>
      </c>
      <c r="K11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51" hidden="1" s="11">
      <c r="A1151" s="18" t="n">
        <v>1136</v>
      </c>
      <c r="B1151" s="56" t="inlineStr">
        <is>
          <t>00044-AUT</t>
        </is>
      </c>
      <c r="C1151" s="56">
        <f>IFERROR(_xlfn.XLOOKUP(PRODUCTOS[[#This Row],[CODIGO]],LISTADO[CODIGOS],LISTADO[CATEGORIA]),"NO EXISTE")</f>
        <v/>
      </c>
      <c r="D1151" s="56">
        <f>IFERROR(_xlfn.XLOOKUP(PRODUCTOS[[#This Row],[CODIGO]],LISTADO[CODIGOS],LISTADO[PRODUCTOS]),"NO EXISTE")</f>
        <v/>
      </c>
      <c r="E1151" s="56">
        <f>IFERROR(_xlfn.XLOOKUP(PRODUCTOS[[#This Row],[CODIGO]],LISTADO[CODIGOS],LISTADO[UBICACIÓN]),"NO EXISTE")</f>
        <v/>
      </c>
      <c r="F1151" s="56">
        <f>SUMIFS(ENTRADAS[CANTIDAD],ENTRADAS[CODIGO],PRODUCTOS[[#This Row],[CODIGO]])</f>
        <v/>
      </c>
      <c r="G1151" s="56">
        <f>SUMIFS(SALIDAS[CANTIDAD],SALIDAS[CODIGO],PRODUCTOS[[#This Row],[CODIGO]])</f>
        <v/>
      </c>
      <c r="H1151" s="56">
        <f>PRODUCTOS[[#This Row],[ENTRADAS]]-PRODUCTOS[[#This Row],[SALIDAS ]]</f>
        <v/>
      </c>
      <c r="I1151" s="76" t="n">
        <v>0</v>
      </c>
      <c r="J1151">
        <f>IF(PRODUCTOS[[#This Row],[STOCK]]&lt;0,"NEGATIVO",IF(PRODUCTOS[[#This Row],[STOCK]]=0,"SIN STOCK",IF(PRODUCTOS[[#This Row],[STOCK]]&lt;=PRODUCTOS[[#This Row],[STOCK MÍN.]],"BAJO","OK")))</f>
        <v/>
      </c>
      <c r="K11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52" hidden="1" s="11">
      <c r="A1152" s="18" t="n">
        <v>1137</v>
      </c>
      <c r="B1152" s="56" t="inlineStr">
        <is>
          <t>00045-AUT</t>
        </is>
      </c>
      <c r="C1152" s="56">
        <f>IFERROR(_xlfn.XLOOKUP(PRODUCTOS[[#This Row],[CODIGO]],LISTADO[CODIGOS],LISTADO[CATEGORIA]),"NO EXISTE")</f>
        <v/>
      </c>
      <c r="D1152" s="56">
        <f>IFERROR(_xlfn.XLOOKUP(PRODUCTOS[[#This Row],[CODIGO]],LISTADO[CODIGOS],LISTADO[PRODUCTOS]),"NO EXISTE")</f>
        <v/>
      </c>
      <c r="E1152" s="56">
        <f>IFERROR(_xlfn.XLOOKUP(PRODUCTOS[[#This Row],[CODIGO]],LISTADO[CODIGOS],LISTADO[UBICACIÓN]),"NO EXISTE")</f>
        <v/>
      </c>
      <c r="F1152" s="56">
        <f>SUMIFS(ENTRADAS[CANTIDAD],ENTRADAS[CODIGO],PRODUCTOS[[#This Row],[CODIGO]])</f>
        <v/>
      </c>
      <c r="G1152" s="56">
        <f>SUMIFS(SALIDAS[CANTIDAD],SALIDAS[CODIGO],PRODUCTOS[[#This Row],[CODIGO]])</f>
        <v/>
      </c>
      <c r="H1152" s="56">
        <f>PRODUCTOS[[#This Row],[ENTRADAS]]-PRODUCTOS[[#This Row],[SALIDAS ]]</f>
        <v/>
      </c>
      <c r="I1152" s="76" t="n">
        <v>0</v>
      </c>
      <c r="J1152">
        <f>IF(PRODUCTOS[[#This Row],[STOCK]]&lt;0,"NEGATIVO",IF(PRODUCTOS[[#This Row],[STOCK]]=0,"SIN STOCK",IF(PRODUCTOS[[#This Row],[STOCK]]&lt;=PRODUCTOS[[#This Row],[STOCK MÍN.]],"BAJO","OK")))</f>
        <v/>
      </c>
      <c r="K11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53" hidden="1" s="11">
      <c r="A1153" s="18" t="n">
        <v>1138</v>
      </c>
      <c r="B1153" s="56" t="inlineStr">
        <is>
          <t>00046-AUT</t>
        </is>
      </c>
      <c r="C1153" s="56">
        <f>IFERROR(_xlfn.XLOOKUP(PRODUCTOS[[#This Row],[CODIGO]],LISTADO[CODIGOS],LISTADO[CATEGORIA]),"NO EXISTE")</f>
        <v/>
      </c>
      <c r="D1153" s="56">
        <f>IFERROR(_xlfn.XLOOKUP(PRODUCTOS[[#This Row],[CODIGO]],LISTADO[CODIGOS],LISTADO[PRODUCTOS]),"NO EXISTE")</f>
        <v/>
      </c>
      <c r="E1153" s="56">
        <f>IFERROR(_xlfn.XLOOKUP(PRODUCTOS[[#This Row],[CODIGO]],LISTADO[CODIGOS],LISTADO[UBICACIÓN]),"NO EXISTE")</f>
        <v/>
      </c>
      <c r="F1153" s="56">
        <f>SUMIFS(ENTRADAS[CANTIDAD],ENTRADAS[CODIGO],PRODUCTOS[[#This Row],[CODIGO]])</f>
        <v/>
      </c>
      <c r="G1153" s="56">
        <f>SUMIFS(SALIDAS[CANTIDAD],SALIDAS[CODIGO],PRODUCTOS[[#This Row],[CODIGO]])</f>
        <v/>
      </c>
      <c r="H1153" s="56">
        <f>PRODUCTOS[[#This Row],[ENTRADAS]]-PRODUCTOS[[#This Row],[SALIDAS ]]</f>
        <v/>
      </c>
      <c r="I1153" s="76" t="n">
        <v>0</v>
      </c>
      <c r="J1153">
        <f>IF(PRODUCTOS[[#This Row],[STOCK]]&lt;0,"NEGATIVO",IF(PRODUCTOS[[#This Row],[STOCK]]=0,"SIN STOCK",IF(PRODUCTOS[[#This Row],[STOCK]]&lt;=PRODUCTOS[[#This Row],[STOCK MÍN.]],"BAJO","OK")))</f>
        <v/>
      </c>
      <c r="K11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54" hidden="1" s="11">
      <c r="A1154" s="18" t="n">
        <v>1139</v>
      </c>
      <c r="B1154" s="56" t="inlineStr">
        <is>
          <t>00047-AUT</t>
        </is>
      </c>
      <c r="C1154" s="56">
        <f>IFERROR(_xlfn.XLOOKUP(PRODUCTOS[[#This Row],[CODIGO]],LISTADO[CODIGOS],LISTADO[CATEGORIA]),"NO EXISTE")</f>
        <v/>
      </c>
      <c r="D1154" s="56">
        <f>IFERROR(_xlfn.XLOOKUP(PRODUCTOS[[#This Row],[CODIGO]],LISTADO[CODIGOS],LISTADO[PRODUCTOS]),"NO EXISTE")</f>
        <v/>
      </c>
      <c r="E1154" s="56">
        <f>IFERROR(_xlfn.XLOOKUP(PRODUCTOS[[#This Row],[CODIGO]],LISTADO[CODIGOS],LISTADO[UBICACIÓN]),"NO EXISTE")</f>
        <v/>
      </c>
      <c r="F1154" s="56">
        <f>SUMIFS(ENTRADAS[CANTIDAD],ENTRADAS[CODIGO],PRODUCTOS[[#This Row],[CODIGO]])</f>
        <v/>
      </c>
      <c r="G1154" s="56">
        <f>SUMIFS(SALIDAS[CANTIDAD],SALIDAS[CODIGO],PRODUCTOS[[#This Row],[CODIGO]])</f>
        <v/>
      </c>
      <c r="H1154" s="56">
        <f>PRODUCTOS[[#This Row],[ENTRADAS]]-PRODUCTOS[[#This Row],[SALIDAS ]]</f>
        <v/>
      </c>
      <c r="I1154" s="76" t="n">
        <v>0</v>
      </c>
      <c r="J1154">
        <f>IF(PRODUCTOS[[#This Row],[STOCK]]&lt;0,"NEGATIVO",IF(PRODUCTOS[[#This Row],[STOCK]]=0,"SIN STOCK",IF(PRODUCTOS[[#This Row],[STOCK]]&lt;=PRODUCTOS[[#This Row],[STOCK MÍN.]],"BAJO","OK")))</f>
        <v/>
      </c>
      <c r="K11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55" hidden="1" s="11">
      <c r="A1155" s="18" t="n">
        <v>1140</v>
      </c>
      <c r="B1155" s="56" t="inlineStr">
        <is>
          <t>00048-AUT</t>
        </is>
      </c>
      <c r="C1155" s="56">
        <f>IFERROR(_xlfn.XLOOKUP(PRODUCTOS[[#This Row],[CODIGO]],LISTADO[CODIGOS],LISTADO[CATEGORIA]),"NO EXISTE")</f>
        <v/>
      </c>
      <c r="D1155" s="56">
        <f>IFERROR(_xlfn.XLOOKUP(PRODUCTOS[[#This Row],[CODIGO]],LISTADO[CODIGOS],LISTADO[PRODUCTOS]),"NO EXISTE")</f>
        <v/>
      </c>
      <c r="E1155" s="56">
        <f>IFERROR(_xlfn.XLOOKUP(PRODUCTOS[[#This Row],[CODIGO]],LISTADO[CODIGOS],LISTADO[UBICACIÓN]),"NO EXISTE")</f>
        <v/>
      </c>
      <c r="F1155" s="56">
        <f>SUMIFS(ENTRADAS[CANTIDAD],ENTRADAS[CODIGO],PRODUCTOS[[#This Row],[CODIGO]])</f>
        <v/>
      </c>
      <c r="G1155" s="56">
        <f>SUMIFS(SALIDAS[CANTIDAD],SALIDAS[CODIGO],PRODUCTOS[[#This Row],[CODIGO]])</f>
        <v/>
      </c>
      <c r="H1155" s="56">
        <f>PRODUCTOS[[#This Row],[ENTRADAS]]-PRODUCTOS[[#This Row],[SALIDAS ]]</f>
        <v/>
      </c>
      <c r="I1155" s="76" t="n">
        <v>0</v>
      </c>
      <c r="J1155">
        <f>IF(PRODUCTOS[[#This Row],[STOCK]]&lt;0,"NEGATIVO",IF(PRODUCTOS[[#This Row],[STOCK]]=0,"SIN STOCK",IF(PRODUCTOS[[#This Row],[STOCK]]&lt;=PRODUCTOS[[#This Row],[STOCK MÍN.]],"BAJO","OK")))</f>
        <v/>
      </c>
      <c r="K11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56" hidden="1" s="11">
      <c r="A1156" s="18" t="n">
        <v>1141</v>
      </c>
      <c r="B1156" s="56" t="inlineStr">
        <is>
          <t>00049-AUT</t>
        </is>
      </c>
      <c r="C1156" s="56">
        <f>IFERROR(_xlfn.XLOOKUP(PRODUCTOS[[#This Row],[CODIGO]],LISTADO[CODIGOS],LISTADO[CATEGORIA]),"NO EXISTE")</f>
        <v/>
      </c>
      <c r="D1156" s="56">
        <f>IFERROR(_xlfn.XLOOKUP(PRODUCTOS[[#This Row],[CODIGO]],LISTADO[CODIGOS],LISTADO[PRODUCTOS]),"NO EXISTE")</f>
        <v/>
      </c>
      <c r="E1156" s="56">
        <f>IFERROR(_xlfn.XLOOKUP(PRODUCTOS[[#This Row],[CODIGO]],LISTADO[CODIGOS],LISTADO[UBICACIÓN]),"NO EXISTE")</f>
        <v/>
      </c>
      <c r="F1156" s="56">
        <f>SUMIFS(ENTRADAS[CANTIDAD],ENTRADAS[CODIGO],PRODUCTOS[[#This Row],[CODIGO]])</f>
        <v/>
      </c>
      <c r="G1156" s="56">
        <f>SUMIFS(SALIDAS[CANTIDAD],SALIDAS[CODIGO],PRODUCTOS[[#This Row],[CODIGO]])</f>
        <v/>
      </c>
      <c r="H1156" s="56">
        <f>PRODUCTOS[[#This Row],[ENTRADAS]]-PRODUCTOS[[#This Row],[SALIDAS ]]</f>
        <v/>
      </c>
      <c r="I1156" s="76" t="n">
        <v>0</v>
      </c>
      <c r="J1156">
        <f>IF(PRODUCTOS[[#This Row],[STOCK]]&lt;0,"NEGATIVO",IF(PRODUCTOS[[#This Row],[STOCK]]=0,"SIN STOCK",IF(PRODUCTOS[[#This Row],[STOCK]]&lt;=PRODUCTOS[[#This Row],[STOCK MÍN.]],"BAJO","OK")))</f>
        <v/>
      </c>
      <c r="K11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57" hidden="1" s="11">
      <c r="A1157" s="18" t="n">
        <v>1142</v>
      </c>
      <c r="B1157" s="56" t="inlineStr">
        <is>
          <t>00050-AUT</t>
        </is>
      </c>
      <c r="C1157" s="56">
        <f>IFERROR(_xlfn.XLOOKUP(PRODUCTOS[[#This Row],[CODIGO]],LISTADO[CODIGOS],LISTADO[CATEGORIA]),"NO EXISTE")</f>
        <v/>
      </c>
      <c r="D1157" s="56">
        <f>IFERROR(_xlfn.XLOOKUP(PRODUCTOS[[#This Row],[CODIGO]],LISTADO[CODIGOS],LISTADO[PRODUCTOS]),"NO EXISTE")</f>
        <v/>
      </c>
      <c r="E1157" s="56">
        <f>IFERROR(_xlfn.XLOOKUP(PRODUCTOS[[#This Row],[CODIGO]],LISTADO[CODIGOS],LISTADO[UBICACIÓN]),"NO EXISTE")</f>
        <v/>
      </c>
      <c r="F1157" s="56">
        <f>SUMIFS(ENTRADAS[CANTIDAD],ENTRADAS[CODIGO],PRODUCTOS[[#This Row],[CODIGO]])</f>
        <v/>
      </c>
      <c r="G1157" s="56">
        <f>SUMIFS(SALIDAS[CANTIDAD],SALIDAS[CODIGO],PRODUCTOS[[#This Row],[CODIGO]])</f>
        <v/>
      </c>
      <c r="H1157" s="56">
        <f>PRODUCTOS[[#This Row],[ENTRADAS]]-PRODUCTOS[[#This Row],[SALIDAS ]]</f>
        <v/>
      </c>
      <c r="I1157" s="76" t="n">
        <v>0</v>
      </c>
      <c r="J1157">
        <f>IF(PRODUCTOS[[#This Row],[STOCK]]&lt;0,"NEGATIVO",IF(PRODUCTOS[[#This Row],[STOCK]]=0,"SIN STOCK",IF(PRODUCTOS[[#This Row],[STOCK]]&lt;=PRODUCTOS[[#This Row],[STOCK MÍN.]],"BAJO","OK")))</f>
        <v/>
      </c>
      <c r="K11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58" hidden="1" s="11">
      <c r="A1158" s="18" t="n">
        <v>1143</v>
      </c>
      <c r="B1158" s="56" t="inlineStr">
        <is>
          <t>00149-REF</t>
        </is>
      </c>
      <c r="C1158" s="56">
        <f>IFERROR(_xlfn.XLOOKUP(PRODUCTOS[[#This Row],[CODIGO]],LISTADO[CODIGOS],LISTADO[CATEGORIA]),"NO EXISTE")</f>
        <v/>
      </c>
      <c r="D1158" s="56">
        <f>IFERROR(_xlfn.XLOOKUP(PRODUCTOS[[#This Row],[CODIGO]],LISTADO[CODIGOS],LISTADO[PRODUCTOS]),"NO EXISTE")</f>
        <v/>
      </c>
      <c r="E1158" s="56">
        <f>IFERROR(_xlfn.XLOOKUP(PRODUCTOS[[#This Row],[CODIGO]],LISTADO[CODIGOS],LISTADO[UBICACIÓN]),"NO EXISTE")</f>
        <v/>
      </c>
      <c r="F1158" s="56">
        <f>SUMIFS(ENTRADAS[CANTIDAD],ENTRADAS[CODIGO],PRODUCTOS[[#This Row],[CODIGO]])</f>
        <v/>
      </c>
      <c r="G1158" s="56">
        <f>SUMIFS(SALIDAS[CANTIDAD],SALIDAS[CODIGO],PRODUCTOS[[#This Row],[CODIGO]])</f>
        <v/>
      </c>
      <c r="H1158" s="56">
        <f>PRODUCTOS[[#This Row],[ENTRADAS]]-PRODUCTOS[[#This Row],[SALIDAS ]]</f>
        <v/>
      </c>
      <c r="I1158" s="76" t="n">
        <v>0</v>
      </c>
      <c r="J1158">
        <f>IF(PRODUCTOS[[#This Row],[STOCK]]&lt;0,"NEGATIVO",IF(PRODUCTOS[[#This Row],[STOCK]]=0,"SIN STOCK",IF(PRODUCTOS[[#This Row],[STOCK]]&lt;=PRODUCTOS[[#This Row],[STOCK MÍN.]],"BAJO","OK")))</f>
        <v/>
      </c>
      <c r="K11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59" hidden="1" s="11">
      <c r="A1159" s="18" t="n">
        <v>1144</v>
      </c>
      <c r="B1159" s="56" t="inlineStr">
        <is>
          <t>00150-REF</t>
        </is>
      </c>
      <c r="C1159" s="56">
        <f>IFERROR(_xlfn.XLOOKUP(PRODUCTOS[[#This Row],[CODIGO]],LISTADO[CODIGOS],LISTADO[CATEGORIA]),"NO EXISTE")</f>
        <v/>
      </c>
      <c r="D1159" s="56">
        <f>IFERROR(_xlfn.XLOOKUP(PRODUCTOS[[#This Row],[CODIGO]],LISTADO[CODIGOS],LISTADO[PRODUCTOS]),"NO EXISTE")</f>
        <v/>
      </c>
      <c r="E1159" s="56">
        <f>IFERROR(_xlfn.XLOOKUP(PRODUCTOS[[#This Row],[CODIGO]],LISTADO[CODIGOS],LISTADO[UBICACIÓN]),"NO EXISTE")</f>
        <v/>
      </c>
      <c r="F1159" s="56">
        <f>SUMIFS(ENTRADAS[CANTIDAD],ENTRADAS[CODIGO],PRODUCTOS[[#This Row],[CODIGO]])</f>
        <v/>
      </c>
      <c r="G1159" s="56">
        <f>SUMIFS(SALIDAS[CANTIDAD],SALIDAS[CODIGO],PRODUCTOS[[#This Row],[CODIGO]])</f>
        <v/>
      </c>
      <c r="H1159" s="56">
        <f>PRODUCTOS[[#This Row],[ENTRADAS]]-PRODUCTOS[[#This Row],[SALIDAS ]]</f>
        <v/>
      </c>
      <c r="I1159" s="76" t="n">
        <v>0</v>
      </c>
      <c r="J1159">
        <f>IF(PRODUCTOS[[#This Row],[STOCK]]&lt;0,"NEGATIVO",IF(PRODUCTOS[[#This Row],[STOCK]]=0,"SIN STOCK",IF(PRODUCTOS[[#This Row],[STOCK]]&lt;=PRODUCTOS[[#This Row],[STOCK MÍN.]],"BAJO","OK")))</f>
        <v/>
      </c>
      <c r="K11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60" hidden="1" s="11">
      <c r="A1160" s="18" t="n">
        <v>1145</v>
      </c>
      <c r="B1160" s="56" t="inlineStr">
        <is>
          <t>00242-FER</t>
        </is>
      </c>
      <c r="C1160" s="56">
        <f>IFERROR(_xlfn.XLOOKUP(PRODUCTOS[[#This Row],[CODIGO]],LISTADO[CODIGOS],LISTADO[CATEGORIA]),"NO EXISTE")</f>
        <v/>
      </c>
      <c r="D1160" s="56">
        <f>IFERROR(_xlfn.XLOOKUP(PRODUCTOS[[#This Row],[CODIGO]],LISTADO[CODIGOS],LISTADO[PRODUCTOS]),"NO EXISTE")</f>
        <v/>
      </c>
      <c r="E1160" s="56">
        <f>IFERROR(_xlfn.XLOOKUP(PRODUCTOS[[#This Row],[CODIGO]],LISTADO[CODIGOS],LISTADO[UBICACIÓN]),"NO EXISTE")</f>
        <v/>
      </c>
      <c r="F1160" s="56">
        <f>SUMIFS(ENTRADAS[CANTIDAD],ENTRADAS[CODIGO],PRODUCTOS[[#This Row],[CODIGO]])</f>
        <v/>
      </c>
      <c r="G1160" s="56">
        <f>SUMIFS(SALIDAS[CANTIDAD],SALIDAS[CODIGO],PRODUCTOS[[#This Row],[CODIGO]])</f>
        <v/>
      </c>
      <c r="H1160" s="56">
        <f>PRODUCTOS[[#This Row],[ENTRADAS]]-PRODUCTOS[[#This Row],[SALIDAS ]]</f>
        <v/>
      </c>
      <c r="I1160" s="76" t="n">
        <v>0</v>
      </c>
      <c r="J1160">
        <f>IF(PRODUCTOS[[#This Row],[STOCK]]&lt;0,"NEGATIVO",IF(PRODUCTOS[[#This Row],[STOCK]]=0,"SIN STOCK",IF(PRODUCTOS[[#This Row],[STOCK]]&lt;=PRODUCTOS[[#This Row],[STOCK MÍN.]],"BAJO","OK")))</f>
        <v/>
      </c>
      <c r="K11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61" hidden="1" s="11">
      <c r="A1161" s="18" t="n">
        <v>1146</v>
      </c>
      <c r="B1161" s="56" t="inlineStr">
        <is>
          <t>00243-FER</t>
        </is>
      </c>
      <c r="C1161" s="56">
        <f>IFERROR(_xlfn.XLOOKUP(PRODUCTOS[[#This Row],[CODIGO]],LISTADO[CODIGOS],LISTADO[CATEGORIA]),"NO EXISTE")</f>
        <v/>
      </c>
      <c r="D1161" s="56">
        <f>IFERROR(_xlfn.XLOOKUP(PRODUCTOS[[#This Row],[CODIGO]],LISTADO[CODIGOS],LISTADO[PRODUCTOS]),"NO EXISTE")</f>
        <v/>
      </c>
      <c r="E1161" s="56">
        <f>IFERROR(_xlfn.XLOOKUP(PRODUCTOS[[#This Row],[CODIGO]],LISTADO[CODIGOS],LISTADO[UBICACIÓN]),"NO EXISTE")</f>
        <v/>
      </c>
      <c r="F1161" s="56">
        <f>SUMIFS(ENTRADAS[CANTIDAD],ENTRADAS[CODIGO],PRODUCTOS[[#This Row],[CODIGO]])</f>
        <v/>
      </c>
      <c r="G1161" s="56">
        <f>SUMIFS(SALIDAS[CANTIDAD],SALIDAS[CODIGO],PRODUCTOS[[#This Row],[CODIGO]])</f>
        <v/>
      </c>
      <c r="H1161" s="56">
        <f>PRODUCTOS[[#This Row],[ENTRADAS]]-PRODUCTOS[[#This Row],[SALIDAS ]]</f>
        <v/>
      </c>
      <c r="I1161" s="76" t="n">
        <v>0</v>
      </c>
      <c r="J1161">
        <f>IF(PRODUCTOS[[#This Row],[STOCK]]&lt;0,"NEGATIVO",IF(PRODUCTOS[[#This Row],[STOCK]]=0,"SIN STOCK",IF(PRODUCTOS[[#This Row],[STOCK]]&lt;=PRODUCTOS[[#This Row],[STOCK MÍN.]],"BAJO","OK")))</f>
        <v/>
      </c>
      <c r="K11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62" hidden="1" s="11">
      <c r="A1162" s="18" t="n">
        <v>1147</v>
      </c>
      <c r="B1162" s="56" t="inlineStr">
        <is>
          <t>00028-MSC</t>
        </is>
      </c>
      <c r="C1162" s="56">
        <f>IFERROR(_xlfn.XLOOKUP(PRODUCTOS[[#This Row],[CODIGO]],LISTADO[CODIGOS],LISTADO[CATEGORIA]),"NO EXISTE")</f>
        <v/>
      </c>
      <c r="D1162" s="56">
        <f>IFERROR(_xlfn.XLOOKUP(PRODUCTOS[[#This Row],[CODIGO]],LISTADO[CODIGOS],LISTADO[PRODUCTOS]),"NO EXISTE")</f>
        <v/>
      </c>
      <c r="E1162" s="56">
        <f>IFERROR(_xlfn.XLOOKUP(PRODUCTOS[[#This Row],[CODIGO]],LISTADO[CODIGOS],LISTADO[UBICACIÓN]),"NO EXISTE")</f>
        <v/>
      </c>
      <c r="F1162" s="56">
        <f>SUMIFS(ENTRADAS[CANTIDAD],ENTRADAS[CODIGO],PRODUCTOS[[#This Row],[CODIGO]])</f>
        <v/>
      </c>
      <c r="G1162" s="56">
        <f>SUMIFS(SALIDAS[CANTIDAD],SALIDAS[CODIGO],PRODUCTOS[[#This Row],[CODIGO]])</f>
        <v/>
      </c>
      <c r="H1162" s="56">
        <f>PRODUCTOS[[#This Row],[ENTRADAS]]-PRODUCTOS[[#This Row],[SALIDAS ]]</f>
        <v/>
      </c>
      <c r="I1162" s="76" t="n">
        <v>0</v>
      </c>
      <c r="J1162">
        <f>IF(PRODUCTOS[[#This Row],[STOCK]]&lt;0,"NEGATIVO",IF(PRODUCTOS[[#This Row],[STOCK]]=0,"SIN STOCK",IF(PRODUCTOS[[#This Row],[STOCK]]&lt;=PRODUCTOS[[#This Row],[STOCK MÍN.]],"BAJO","OK")))</f>
        <v/>
      </c>
      <c r="K11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63" hidden="1" s="11">
      <c r="A1163" s="18" t="n">
        <v>1148</v>
      </c>
      <c r="B1163" s="56" t="inlineStr">
        <is>
          <t>00029-MSC</t>
        </is>
      </c>
      <c r="C1163" s="56">
        <f>IFERROR(_xlfn.XLOOKUP(PRODUCTOS[[#This Row],[CODIGO]],LISTADO[CODIGOS],LISTADO[CATEGORIA]),"NO EXISTE")</f>
        <v/>
      </c>
      <c r="D1163" s="56">
        <f>IFERROR(_xlfn.XLOOKUP(PRODUCTOS[[#This Row],[CODIGO]],LISTADO[CODIGOS],LISTADO[PRODUCTOS]),"NO EXISTE")</f>
        <v/>
      </c>
      <c r="E1163" s="56">
        <f>IFERROR(_xlfn.XLOOKUP(PRODUCTOS[[#This Row],[CODIGO]],LISTADO[CODIGOS],LISTADO[UBICACIÓN]),"NO EXISTE")</f>
        <v/>
      </c>
      <c r="F1163" s="56">
        <f>SUMIFS(ENTRADAS[CANTIDAD],ENTRADAS[CODIGO],PRODUCTOS[[#This Row],[CODIGO]])</f>
        <v/>
      </c>
      <c r="G1163" s="56">
        <f>SUMIFS(SALIDAS[CANTIDAD],SALIDAS[CODIGO],PRODUCTOS[[#This Row],[CODIGO]])</f>
        <v/>
      </c>
      <c r="H1163" s="56">
        <f>PRODUCTOS[[#This Row],[ENTRADAS]]-PRODUCTOS[[#This Row],[SALIDAS ]]</f>
        <v/>
      </c>
      <c r="I1163" s="76" t="n">
        <v>0</v>
      </c>
      <c r="J1163">
        <f>IF(PRODUCTOS[[#This Row],[STOCK]]&lt;0,"NEGATIVO",IF(PRODUCTOS[[#This Row],[STOCK]]=0,"SIN STOCK",IF(PRODUCTOS[[#This Row],[STOCK]]&lt;=PRODUCTOS[[#This Row],[STOCK MÍN.]],"BAJO","OK")))</f>
        <v/>
      </c>
      <c r="K11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64" hidden="1" s="11">
      <c r="A1164" s="18" t="n">
        <v>1149</v>
      </c>
      <c r="B1164" s="56" t="inlineStr">
        <is>
          <t>00030-MSC</t>
        </is>
      </c>
      <c r="C1164" s="56">
        <f>IFERROR(_xlfn.XLOOKUP(PRODUCTOS[[#This Row],[CODIGO]],LISTADO[CODIGOS],LISTADO[CATEGORIA]),"NO EXISTE")</f>
        <v/>
      </c>
      <c r="D1164" s="56">
        <f>IFERROR(_xlfn.XLOOKUP(PRODUCTOS[[#This Row],[CODIGO]],LISTADO[CODIGOS],LISTADO[PRODUCTOS]),"NO EXISTE")</f>
        <v/>
      </c>
      <c r="E1164" s="56">
        <f>IFERROR(_xlfn.XLOOKUP(PRODUCTOS[[#This Row],[CODIGO]],LISTADO[CODIGOS],LISTADO[UBICACIÓN]),"NO EXISTE")</f>
        <v/>
      </c>
      <c r="F1164" s="56">
        <f>SUMIFS(ENTRADAS[CANTIDAD],ENTRADAS[CODIGO],PRODUCTOS[[#This Row],[CODIGO]])</f>
        <v/>
      </c>
      <c r="G1164" s="56">
        <f>SUMIFS(SALIDAS[CANTIDAD],SALIDAS[CODIGO],PRODUCTOS[[#This Row],[CODIGO]])</f>
        <v/>
      </c>
      <c r="H1164" s="56">
        <f>PRODUCTOS[[#This Row],[ENTRADAS]]-PRODUCTOS[[#This Row],[SALIDAS ]]</f>
        <v/>
      </c>
      <c r="I1164" s="76" t="n">
        <v>0</v>
      </c>
      <c r="J1164">
        <f>IF(PRODUCTOS[[#This Row],[STOCK]]&lt;0,"NEGATIVO",IF(PRODUCTOS[[#This Row],[STOCK]]=0,"SIN STOCK",IF(PRODUCTOS[[#This Row],[STOCK]]&lt;=PRODUCTOS[[#This Row],[STOCK MÍN.]],"BAJO","OK")))</f>
        <v/>
      </c>
      <c r="K11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65" hidden="1" s="11">
      <c r="A1165" s="18" t="n">
        <v>1150</v>
      </c>
      <c r="B1165" s="56" t="inlineStr">
        <is>
          <t>00031-MSC</t>
        </is>
      </c>
      <c r="C1165" s="56">
        <f>IFERROR(_xlfn.XLOOKUP(PRODUCTOS[[#This Row],[CODIGO]],LISTADO[CODIGOS],LISTADO[CATEGORIA]),"NO EXISTE")</f>
        <v/>
      </c>
      <c r="D1165" s="56">
        <f>IFERROR(_xlfn.XLOOKUP(PRODUCTOS[[#This Row],[CODIGO]],LISTADO[CODIGOS],LISTADO[PRODUCTOS]),"NO EXISTE")</f>
        <v/>
      </c>
      <c r="E1165" s="56">
        <f>IFERROR(_xlfn.XLOOKUP(PRODUCTOS[[#This Row],[CODIGO]],LISTADO[CODIGOS],LISTADO[UBICACIÓN]),"NO EXISTE")</f>
        <v/>
      </c>
      <c r="F1165" s="56">
        <f>SUMIFS(ENTRADAS[CANTIDAD],ENTRADAS[CODIGO],PRODUCTOS[[#This Row],[CODIGO]])</f>
        <v/>
      </c>
      <c r="G1165" s="56">
        <f>SUMIFS(SALIDAS[CANTIDAD],SALIDAS[CODIGO],PRODUCTOS[[#This Row],[CODIGO]])</f>
        <v/>
      </c>
      <c r="H1165" s="56">
        <f>PRODUCTOS[[#This Row],[ENTRADAS]]-PRODUCTOS[[#This Row],[SALIDAS ]]</f>
        <v/>
      </c>
      <c r="I1165" s="76" t="n">
        <v>0</v>
      </c>
      <c r="J1165">
        <f>IF(PRODUCTOS[[#This Row],[STOCK]]&lt;0,"NEGATIVO",IF(PRODUCTOS[[#This Row],[STOCK]]=0,"SIN STOCK",IF(PRODUCTOS[[#This Row],[STOCK]]&lt;=PRODUCTOS[[#This Row],[STOCK MÍN.]],"BAJO","OK")))</f>
        <v/>
      </c>
      <c r="K11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66" hidden="1" s="11">
      <c r="A1166" s="18" t="n">
        <v>1151</v>
      </c>
      <c r="B1166" s="56" t="inlineStr">
        <is>
          <t>00133-HER</t>
        </is>
      </c>
      <c r="C1166" s="56">
        <f>IFERROR(_xlfn.XLOOKUP(PRODUCTOS[[#This Row],[CODIGO]],LISTADO[CODIGOS],LISTADO[CATEGORIA]),"NO EXISTE")</f>
        <v/>
      </c>
      <c r="D1166" s="56">
        <f>IFERROR(_xlfn.XLOOKUP(PRODUCTOS[[#This Row],[CODIGO]],LISTADO[CODIGOS],LISTADO[PRODUCTOS]),"NO EXISTE")</f>
        <v/>
      </c>
      <c r="E1166" s="56">
        <f>IFERROR(_xlfn.XLOOKUP(PRODUCTOS[[#This Row],[CODIGO]],LISTADO[CODIGOS],LISTADO[UBICACIÓN]),"NO EXISTE")</f>
        <v/>
      </c>
      <c r="F1166" s="56">
        <f>SUMIFS(ENTRADAS[CANTIDAD],ENTRADAS[CODIGO],PRODUCTOS[[#This Row],[CODIGO]])</f>
        <v/>
      </c>
      <c r="G1166" s="56">
        <f>SUMIFS(SALIDAS[CANTIDAD],SALIDAS[CODIGO],PRODUCTOS[[#This Row],[CODIGO]])</f>
        <v/>
      </c>
      <c r="H1166" s="56">
        <f>PRODUCTOS[[#This Row],[ENTRADAS]]-PRODUCTOS[[#This Row],[SALIDAS ]]</f>
        <v/>
      </c>
      <c r="I1166" s="76" t="n">
        <v>0</v>
      </c>
      <c r="J1166">
        <f>IF(PRODUCTOS[[#This Row],[STOCK]]&lt;0,"NEGATIVO",IF(PRODUCTOS[[#This Row],[STOCK]]=0,"SIN STOCK",IF(PRODUCTOS[[#This Row],[STOCK]]&lt;=PRODUCTOS[[#This Row],[STOCK MÍN.]],"BAJO","OK")))</f>
        <v/>
      </c>
      <c r="K11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67" hidden="1" s="11">
      <c r="A1167" s="18" t="n">
        <v>1152</v>
      </c>
      <c r="B1167" s="56" t="inlineStr">
        <is>
          <t>00116-ELE</t>
        </is>
      </c>
      <c r="C1167" s="56">
        <f>IFERROR(_xlfn.XLOOKUP(PRODUCTOS[[#This Row],[CODIGO]],LISTADO[CODIGOS],LISTADO[CATEGORIA]),"NO EXISTE")</f>
        <v/>
      </c>
      <c r="D1167" s="56">
        <f>IFERROR(_xlfn.XLOOKUP(PRODUCTOS[[#This Row],[CODIGO]],LISTADO[CODIGOS],LISTADO[PRODUCTOS]),"NO EXISTE")</f>
        <v/>
      </c>
      <c r="E1167" s="56">
        <f>IFERROR(_xlfn.XLOOKUP(PRODUCTOS[[#This Row],[CODIGO]],LISTADO[CODIGOS],LISTADO[UBICACIÓN]),"NO EXISTE")</f>
        <v/>
      </c>
      <c r="F1167" s="56">
        <f>SUMIFS(ENTRADAS[CANTIDAD],ENTRADAS[CODIGO],PRODUCTOS[[#This Row],[CODIGO]])</f>
        <v/>
      </c>
      <c r="G1167" s="56">
        <f>SUMIFS(SALIDAS[CANTIDAD],SALIDAS[CODIGO],PRODUCTOS[[#This Row],[CODIGO]])</f>
        <v/>
      </c>
      <c r="H1167" s="56">
        <f>PRODUCTOS[[#This Row],[ENTRADAS]]-PRODUCTOS[[#This Row],[SALIDAS ]]</f>
        <v/>
      </c>
      <c r="I1167" s="76" t="n">
        <v>0</v>
      </c>
      <c r="J1167">
        <f>IF(PRODUCTOS[[#This Row],[STOCK]]&lt;0,"NEGATIVO",IF(PRODUCTOS[[#This Row],[STOCK]]=0,"SIN STOCK",IF(PRODUCTOS[[#This Row],[STOCK]]&lt;=PRODUCTOS[[#This Row],[STOCK MÍN.]],"BAJO","OK")))</f>
        <v/>
      </c>
      <c r="K11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68" hidden="1" s="11">
      <c r="A1168" s="18" t="n">
        <v>1153</v>
      </c>
      <c r="B1168" s="56" t="inlineStr">
        <is>
          <t>00244-FER</t>
        </is>
      </c>
      <c r="C1168" s="56">
        <f>IFERROR(_xlfn.XLOOKUP(PRODUCTOS[[#This Row],[CODIGO]],LISTADO[CODIGOS],LISTADO[CATEGORIA]),"NO EXISTE")</f>
        <v/>
      </c>
      <c r="D1168" s="56">
        <f>IFERROR(_xlfn.XLOOKUP(PRODUCTOS[[#This Row],[CODIGO]],LISTADO[CODIGOS],LISTADO[PRODUCTOS]),"NO EXISTE")</f>
        <v/>
      </c>
      <c r="E1168" s="56">
        <f>IFERROR(_xlfn.XLOOKUP(PRODUCTOS[[#This Row],[CODIGO]],LISTADO[CODIGOS],LISTADO[UBICACIÓN]),"NO EXISTE")</f>
        <v/>
      </c>
      <c r="F1168" s="56">
        <f>SUMIFS(ENTRADAS[CANTIDAD],ENTRADAS[CODIGO],PRODUCTOS[[#This Row],[CODIGO]])</f>
        <v/>
      </c>
      <c r="G1168" s="56">
        <f>SUMIFS(SALIDAS[CANTIDAD],SALIDAS[CODIGO],PRODUCTOS[[#This Row],[CODIGO]])</f>
        <v/>
      </c>
      <c r="H1168" s="56">
        <f>PRODUCTOS[[#This Row],[ENTRADAS]]-PRODUCTOS[[#This Row],[SALIDAS ]]</f>
        <v/>
      </c>
      <c r="I1168" s="76" t="n">
        <v>0</v>
      </c>
      <c r="J1168">
        <f>IF(PRODUCTOS[[#This Row],[STOCK]]&lt;0,"NEGATIVO",IF(PRODUCTOS[[#This Row],[STOCK]]=0,"SIN STOCK",IF(PRODUCTOS[[#This Row],[STOCK]]&lt;=PRODUCTOS[[#This Row],[STOCK MÍN.]],"BAJO","OK")))</f>
        <v/>
      </c>
      <c r="K11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69" hidden="1" s="11">
      <c r="A1169" s="18" t="n">
        <v>1154</v>
      </c>
      <c r="B1169" s="56" t="inlineStr">
        <is>
          <t>00032-MSC</t>
        </is>
      </c>
      <c r="C1169" s="56">
        <f>IFERROR(_xlfn.XLOOKUP(PRODUCTOS[[#This Row],[CODIGO]],LISTADO[CODIGOS],LISTADO[CATEGORIA]),"NO EXISTE")</f>
        <v/>
      </c>
      <c r="D1169" s="56">
        <f>IFERROR(_xlfn.XLOOKUP(PRODUCTOS[[#This Row],[CODIGO]],LISTADO[CODIGOS],LISTADO[PRODUCTOS]),"NO EXISTE")</f>
        <v/>
      </c>
      <c r="E1169" s="56">
        <f>IFERROR(_xlfn.XLOOKUP(PRODUCTOS[[#This Row],[CODIGO]],LISTADO[CODIGOS],LISTADO[UBICACIÓN]),"NO EXISTE")</f>
        <v/>
      </c>
      <c r="F1169" s="56">
        <f>SUMIFS(ENTRADAS[CANTIDAD],ENTRADAS[CODIGO],PRODUCTOS[[#This Row],[CODIGO]])</f>
        <v/>
      </c>
      <c r="G1169" s="56">
        <f>SUMIFS(SALIDAS[CANTIDAD],SALIDAS[CODIGO],PRODUCTOS[[#This Row],[CODIGO]])</f>
        <v/>
      </c>
      <c r="H1169" s="56">
        <f>PRODUCTOS[[#This Row],[ENTRADAS]]-PRODUCTOS[[#This Row],[SALIDAS ]]</f>
        <v/>
      </c>
      <c r="I1169" s="76" t="n">
        <v>0</v>
      </c>
      <c r="J1169">
        <f>IF(PRODUCTOS[[#This Row],[STOCK]]&lt;0,"NEGATIVO",IF(PRODUCTOS[[#This Row],[STOCK]]=0,"SIN STOCK",IF(PRODUCTOS[[#This Row],[STOCK]]&lt;=PRODUCTOS[[#This Row],[STOCK MÍN.]],"BAJO","OK")))</f>
        <v/>
      </c>
      <c r="K11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70">
      <c r="A1170" s="18" t="n">
        <v>1155</v>
      </c>
      <c r="B1170" s="56" t="inlineStr">
        <is>
          <t>00117-ELE</t>
        </is>
      </c>
      <c r="C1170" s="56">
        <f>IFERROR(_xlfn.XLOOKUP(PRODUCTOS[[#This Row],[CODIGO]],LISTADO[CODIGOS],LISTADO[CATEGORIA]),"NO EXISTE")</f>
        <v/>
      </c>
      <c r="D1170" s="56">
        <f>IFERROR(_xlfn.XLOOKUP(PRODUCTOS[[#This Row],[CODIGO]],LISTADO[CODIGOS],LISTADO[PRODUCTOS]),"NO EXISTE")</f>
        <v/>
      </c>
      <c r="E1170" s="56">
        <f>IFERROR(_xlfn.XLOOKUP(PRODUCTOS[[#This Row],[CODIGO]],LISTADO[CODIGOS],LISTADO[UBICACIÓN]),"NO EXISTE")</f>
        <v/>
      </c>
      <c r="F1170" s="56">
        <f>SUMIFS(ENTRADAS[CANTIDAD],ENTRADAS[CODIGO],PRODUCTOS[[#This Row],[CODIGO]])</f>
        <v/>
      </c>
      <c r="G1170" s="56">
        <f>SUMIFS(SALIDAS[CANTIDAD],SALIDAS[CODIGO],PRODUCTOS[[#This Row],[CODIGO]])</f>
        <v/>
      </c>
      <c r="H1170" s="56">
        <f>PRODUCTOS[[#This Row],[ENTRADAS]]-PRODUCTOS[[#This Row],[SALIDAS ]]</f>
        <v/>
      </c>
      <c r="I1170" s="76" t="n">
        <v>0</v>
      </c>
      <c r="J1170">
        <f>IF(PRODUCTOS[[#This Row],[STOCK]]&lt;0,"NEGATIVO",IF(PRODUCTOS[[#This Row],[STOCK]]=0,"SIN STOCK",IF(PRODUCTOS[[#This Row],[STOCK]]&lt;=PRODUCTOS[[#This Row],[STOCK MÍN.]],"BAJO","OK")))</f>
        <v/>
      </c>
      <c r="K11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71">
      <c r="A1171" s="18" t="n">
        <v>1156</v>
      </c>
      <c r="B1171" s="56" t="inlineStr">
        <is>
          <t>00118-ELE</t>
        </is>
      </c>
      <c r="C1171" s="56">
        <f>IFERROR(_xlfn.XLOOKUP(PRODUCTOS[[#This Row],[CODIGO]],LISTADO[CODIGOS],LISTADO[CATEGORIA]),"NO EXISTE")</f>
        <v/>
      </c>
      <c r="D1171" s="56">
        <f>IFERROR(_xlfn.XLOOKUP(PRODUCTOS[[#This Row],[CODIGO]],LISTADO[CODIGOS],LISTADO[PRODUCTOS]),"NO EXISTE")</f>
        <v/>
      </c>
      <c r="E1171" s="56">
        <f>IFERROR(_xlfn.XLOOKUP(PRODUCTOS[[#This Row],[CODIGO]],LISTADO[CODIGOS],LISTADO[UBICACIÓN]),"NO EXISTE")</f>
        <v/>
      </c>
      <c r="F1171" s="56">
        <f>SUMIFS(ENTRADAS[CANTIDAD],ENTRADAS[CODIGO],PRODUCTOS[[#This Row],[CODIGO]])</f>
        <v/>
      </c>
      <c r="G1171" s="56">
        <f>SUMIFS(SALIDAS[CANTIDAD],SALIDAS[CODIGO],PRODUCTOS[[#This Row],[CODIGO]])</f>
        <v/>
      </c>
      <c r="H1171" s="56">
        <f>PRODUCTOS[[#This Row],[ENTRADAS]]-PRODUCTOS[[#This Row],[SALIDAS ]]</f>
        <v/>
      </c>
      <c r="I1171" s="76" t="n">
        <v>0</v>
      </c>
      <c r="J1171">
        <f>IF(PRODUCTOS[[#This Row],[STOCK]]&lt;0,"NEGATIVO",IF(PRODUCTOS[[#This Row],[STOCK]]=0,"SIN STOCK",IF(PRODUCTOS[[#This Row],[STOCK]]&lt;=PRODUCTOS[[#This Row],[STOCK MÍN.]],"BAJO","OK")))</f>
        <v/>
      </c>
      <c r="K11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72">
      <c r="A1172" s="18" t="n">
        <v>1157</v>
      </c>
      <c r="B1172" s="56" t="inlineStr">
        <is>
          <t>00119-ELE</t>
        </is>
      </c>
      <c r="C1172" s="56">
        <f>IFERROR(_xlfn.XLOOKUP(PRODUCTOS[[#This Row],[CODIGO]],LISTADO[CODIGOS],LISTADO[CATEGORIA]),"NO EXISTE")</f>
        <v/>
      </c>
      <c r="D1172" s="56">
        <f>IFERROR(_xlfn.XLOOKUP(PRODUCTOS[[#This Row],[CODIGO]],LISTADO[CODIGOS],LISTADO[PRODUCTOS]),"NO EXISTE")</f>
        <v/>
      </c>
      <c r="E1172" s="56">
        <f>IFERROR(_xlfn.XLOOKUP(PRODUCTOS[[#This Row],[CODIGO]],LISTADO[CODIGOS],LISTADO[UBICACIÓN]),"NO EXISTE")</f>
        <v/>
      </c>
      <c r="F1172" s="56">
        <f>SUMIFS(ENTRADAS[CANTIDAD],ENTRADAS[CODIGO],PRODUCTOS[[#This Row],[CODIGO]])</f>
        <v/>
      </c>
      <c r="G1172" s="56">
        <f>SUMIFS(SALIDAS[CANTIDAD],SALIDAS[CODIGO],PRODUCTOS[[#This Row],[CODIGO]])</f>
        <v/>
      </c>
      <c r="H1172" s="56">
        <f>PRODUCTOS[[#This Row],[ENTRADAS]]-PRODUCTOS[[#This Row],[SALIDAS ]]</f>
        <v/>
      </c>
      <c r="I1172" s="76" t="n">
        <v>0</v>
      </c>
      <c r="J1172">
        <f>IF(PRODUCTOS[[#This Row],[STOCK]]&lt;0,"NEGATIVO",IF(PRODUCTOS[[#This Row],[STOCK]]=0,"SIN STOCK",IF(PRODUCTOS[[#This Row],[STOCK]]&lt;=PRODUCTOS[[#This Row],[STOCK MÍN.]],"BAJO","OK")))</f>
        <v/>
      </c>
      <c r="K11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73">
      <c r="A1173" s="18" t="n">
        <v>1158</v>
      </c>
      <c r="B1173" s="56" t="inlineStr">
        <is>
          <t>00120-ELE</t>
        </is>
      </c>
      <c r="C1173" s="56">
        <f>IFERROR(_xlfn.XLOOKUP(PRODUCTOS[[#This Row],[CODIGO]],LISTADO[CODIGOS],LISTADO[CATEGORIA]),"NO EXISTE")</f>
        <v/>
      </c>
      <c r="D1173" s="56">
        <f>IFERROR(_xlfn.XLOOKUP(PRODUCTOS[[#This Row],[CODIGO]],LISTADO[CODIGOS],LISTADO[PRODUCTOS]),"NO EXISTE")</f>
        <v/>
      </c>
      <c r="E1173" s="56">
        <f>IFERROR(_xlfn.XLOOKUP(PRODUCTOS[[#This Row],[CODIGO]],LISTADO[CODIGOS],LISTADO[UBICACIÓN]),"NO EXISTE")</f>
        <v/>
      </c>
      <c r="F1173" s="56">
        <f>SUMIFS(ENTRADAS[CANTIDAD],ENTRADAS[CODIGO],PRODUCTOS[[#This Row],[CODIGO]])</f>
        <v/>
      </c>
      <c r="G1173" s="56">
        <f>SUMIFS(SALIDAS[CANTIDAD],SALIDAS[CODIGO],PRODUCTOS[[#This Row],[CODIGO]])</f>
        <v/>
      </c>
      <c r="H1173" s="56">
        <f>PRODUCTOS[[#This Row],[ENTRADAS]]-PRODUCTOS[[#This Row],[SALIDAS ]]</f>
        <v/>
      </c>
      <c r="I1173" s="76" t="n">
        <v>0</v>
      </c>
      <c r="J1173">
        <f>IF(PRODUCTOS[[#This Row],[STOCK]]&lt;0,"NEGATIVO",IF(PRODUCTOS[[#This Row],[STOCK]]=0,"SIN STOCK",IF(PRODUCTOS[[#This Row],[STOCK]]&lt;=PRODUCTOS[[#This Row],[STOCK MÍN.]],"BAJO","OK")))</f>
        <v/>
      </c>
      <c r="K11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74" hidden="1" s="11">
      <c r="A1174" s="18" t="n">
        <v>1159</v>
      </c>
      <c r="B1174" s="56" t="inlineStr">
        <is>
          <t>00060-ILU</t>
        </is>
      </c>
      <c r="C1174" s="56">
        <f>IFERROR(_xlfn.XLOOKUP(PRODUCTOS[[#This Row],[CODIGO]],LISTADO[CODIGOS],LISTADO[CATEGORIA]),"NO EXISTE")</f>
        <v/>
      </c>
      <c r="D1174" s="56">
        <f>IFERROR(_xlfn.XLOOKUP(PRODUCTOS[[#This Row],[CODIGO]],LISTADO[CODIGOS],LISTADO[PRODUCTOS]),"NO EXISTE")</f>
        <v/>
      </c>
      <c r="E1174" s="56">
        <f>IFERROR(_xlfn.XLOOKUP(PRODUCTOS[[#This Row],[CODIGO]],LISTADO[CODIGOS],LISTADO[UBICACIÓN]),"NO EXISTE")</f>
        <v/>
      </c>
      <c r="F1174" s="56">
        <f>SUMIFS(ENTRADAS[CANTIDAD],ENTRADAS[CODIGO],PRODUCTOS[[#This Row],[CODIGO]])</f>
        <v/>
      </c>
      <c r="G1174" s="56">
        <f>SUMIFS(SALIDAS[CANTIDAD],SALIDAS[CODIGO],PRODUCTOS[[#This Row],[CODIGO]])</f>
        <v/>
      </c>
      <c r="H1174" s="56">
        <f>PRODUCTOS[[#This Row],[ENTRADAS]]-PRODUCTOS[[#This Row],[SALIDAS ]]</f>
        <v/>
      </c>
      <c r="I1174" s="76" t="n">
        <v>0</v>
      </c>
      <c r="J1174">
        <f>IF(PRODUCTOS[[#This Row],[STOCK]]&lt;0,"NEGATIVO",IF(PRODUCTOS[[#This Row],[STOCK]]=0,"SIN STOCK",IF(PRODUCTOS[[#This Row],[STOCK]]&lt;=PRODUCTOS[[#This Row],[STOCK MÍN.]],"BAJO","OK")))</f>
        <v/>
      </c>
      <c r="K11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75" hidden="1" s="11">
      <c r="A1175" s="18" t="n">
        <v>1160</v>
      </c>
      <c r="B1175" s="56" t="inlineStr">
        <is>
          <t>00151-REF</t>
        </is>
      </c>
      <c r="C1175" s="56">
        <f>IFERROR(_xlfn.XLOOKUP(PRODUCTOS[[#This Row],[CODIGO]],LISTADO[CODIGOS],LISTADO[CATEGORIA]),"NO EXISTE")</f>
        <v/>
      </c>
      <c r="D1175" s="56">
        <f>IFERROR(_xlfn.XLOOKUP(PRODUCTOS[[#This Row],[CODIGO]],LISTADO[CODIGOS],LISTADO[PRODUCTOS]),"NO EXISTE")</f>
        <v/>
      </c>
      <c r="E1175" s="56">
        <f>IFERROR(_xlfn.XLOOKUP(PRODUCTOS[[#This Row],[CODIGO]],LISTADO[CODIGOS],LISTADO[UBICACIÓN]),"NO EXISTE")</f>
        <v/>
      </c>
      <c r="F1175" s="56">
        <f>SUMIFS(ENTRADAS[CANTIDAD],ENTRADAS[CODIGO],PRODUCTOS[[#This Row],[CODIGO]])</f>
        <v/>
      </c>
      <c r="G1175" s="56">
        <f>SUMIFS(SALIDAS[CANTIDAD],SALIDAS[CODIGO],PRODUCTOS[[#This Row],[CODIGO]])</f>
        <v/>
      </c>
      <c r="H1175" s="56">
        <f>PRODUCTOS[[#This Row],[ENTRADAS]]-PRODUCTOS[[#This Row],[SALIDAS ]]</f>
        <v/>
      </c>
      <c r="I1175" s="76" t="n">
        <v>0</v>
      </c>
      <c r="J1175">
        <f>IF(PRODUCTOS[[#This Row],[STOCK]]&lt;0,"NEGATIVO",IF(PRODUCTOS[[#This Row],[STOCK]]=0,"SIN STOCK",IF(PRODUCTOS[[#This Row],[STOCK]]&lt;=PRODUCTOS[[#This Row],[STOCK MÍN.]],"BAJO","OK")))</f>
        <v/>
      </c>
      <c r="K11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76" hidden="1" s="11">
      <c r="A1176" s="18" t="n">
        <v>1161</v>
      </c>
      <c r="B1176" s="56" t="inlineStr">
        <is>
          <t>00152-REF</t>
        </is>
      </c>
      <c r="C1176" s="56">
        <f>IFERROR(_xlfn.XLOOKUP(PRODUCTOS[[#This Row],[CODIGO]],LISTADO[CODIGOS],LISTADO[CATEGORIA]),"NO EXISTE")</f>
        <v/>
      </c>
      <c r="D1176" s="56">
        <f>IFERROR(_xlfn.XLOOKUP(PRODUCTOS[[#This Row],[CODIGO]],LISTADO[CODIGOS],LISTADO[PRODUCTOS]),"NO EXISTE")</f>
        <v/>
      </c>
      <c r="E1176" s="56">
        <f>IFERROR(_xlfn.XLOOKUP(PRODUCTOS[[#This Row],[CODIGO]],LISTADO[CODIGOS],LISTADO[UBICACIÓN]),"NO EXISTE")</f>
        <v/>
      </c>
      <c r="F1176" s="56">
        <f>SUMIFS(ENTRADAS[CANTIDAD],ENTRADAS[CODIGO],PRODUCTOS[[#This Row],[CODIGO]])</f>
        <v/>
      </c>
      <c r="G1176" s="56">
        <f>SUMIFS(SALIDAS[CANTIDAD],SALIDAS[CODIGO],PRODUCTOS[[#This Row],[CODIGO]])</f>
        <v/>
      </c>
      <c r="H1176" s="56">
        <f>PRODUCTOS[[#This Row],[ENTRADAS]]-PRODUCTOS[[#This Row],[SALIDAS ]]</f>
        <v/>
      </c>
      <c r="I1176" s="76" t="n">
        <v>0</v>
      </c>
      <c r="J1176">
        <f>IF(PRODUCTOS[[#This Row],[STOCK]]&lt;0,"NEGATIVO",IF(PRODUCTOS[[#This Row],[STOCK]]=0,"SIN STOCK",IF(PRODUCTOS[[#This Row],[STOCK]]&lt;=PRODUCTOS[[#This Row],[STOCK MÍN.]],"BAJO","OK")))</f>
        <v/>
      </c>
      <c r="K11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77" hidden="1" s="11">
      <c r="A1177" s="18" t="n">
        <v>1162</v>
      </c>
      <c r="B1177" s="56" t="inlineStr">
        <is>
          <t>00153-REF</t>
        </is>
      </c>
      <c r="C1177" s="56">
        <f>IFERROR(_xlfn.XLOOKUP(PRODUCTOS[[#This Row],[CODIGO]],LISTADO[CODIGOS],LISTADO[CATEGORIA]),"NO EXISTE")</f>
        <v/>
      </c>
      <c r="D1177" s="56">
        <f>IFERROR(_xlfn.XLOOKUP(PRODUCTOS[[#This Row],[CODIGO]],LISTADO[CODIGOS],LISTADO[PRODUCTOS]),"NO EXISTE")</f>
        <v/>
      </c>
      <c r="E1177" s="56">
        <f>IFERROR(_xlfn.XLOOKUP(PRODUCTOS[[#This Row],[CODIGO]],LISTADO[CODIGOS],LISTADO[UBICACIÓN]),"NO EXISTE")</f>
        <v/>
      </c>
      <c r="F1177" s="56">
        <f>SUMIFS(ENTRADAS[CANTIDAD],ENTRADAS[CODIGO],PRODUCTOS[[#This Row],[CODIGO]])</f>
        <v/>
      </c>
      <c r="G1177" s="56">
        <f>SUMIFS(SALIDAS[CANTIDAD],SALIDAS[CODIGO],PRODUCTOS[[#This Row],[CODIGO]])</f>
        <v/>
      </c>
      <c r="H1177" s="56">
        <f>PRODUCTOS[[#This Row],[ENTRADAS]]-PRODUCTOS[[#This Row],[SALIDAS ]]</f>
        <v/>
      </c>
      <c r="I1177" s="76" t="n">
        <v>0</v>
      </c>
      <c r="J1177">
        <f>IF(PRODUCTOS[[#This Row],[STOCK]]&lt;0,"NEGATIVO",IF(PRODUCTOS[[#This Row],[STOCK]]=0,"SIN STOCK",IF(PRODUCTOS[[#This Row],[STOCK]]&lt;=PRODUCTOS[[#This Row],[STOCK MÍN.]],"BAJO","OK")))</f>
        <v/>
      </c>
      <c r="K11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78" hidden="1" s="11">
      <c r="A1178" s="18" t="n">
        <v>1163</v>
      </c>
      <c r="B1178" s="56" t="inlineStr">
        <is>
          <t>00154-REF</t>
        </is>
      </c>
      <c r="C1178" s="56">
        <f>IFERROR(_xlfn.XLOOKUP(PRODUCTOS[[#This Row],[CODIGO]],LISTADO[CODIGOS],LISTADO[CATEGORIA]),"NO EXISTE")</f>
        <v/>
      </c>
      <c r="D1178" s="56">
        <f>IFERROR(_xlfn.XLOOKUP(PRODUCTOS[[#This Row],[CODIGO]],LISTADO[CODIGOS],LISTADO[PRODUCTOS]),"NO EXISTE")</f>
        <v/>
      </c>
      <c r="E1178" s="56">
        <f>IFERROR(_xlfn.XLOOKUP(PRODUCTOS[[#This Row],[CODIGO]],LISTADO[CODIGOS],LISTADO[UBICACIÓN]),"NO EXISTE")</f>
        <v/>
      </c>
      <c r="F1178" s="56">
        <f>SUMIFS(ENTRADAS[CANTIDAD],ENTRADAS[CODIGO],PRODUCTOS[[#This Row],[CODIGO]])</f>
        <v/>
      </c>
      <c r="G1178" s="56">
        <f>SUMIFS(SALIDAS[CANTIDAD],SALIDAS[CODIGO],PRODUCTOS[[#This Row],[CODIGO]])</f>
        <v/>
      </c>
      <c r="H1178" s="56">
        <f>PRODUCTOS[[#This Row],[ENTRADAS]]-PRODUCTOS[[#This Row],[SALIDAS ]]</f>
        <v/>
      </c>
      <c r="I1178" s="76" t="n">
        <v>0</v>
      </c>
      <c r="J1178">
        <f>IF(PRODUCTOS[[#This Row],[STOCK]]&lt;0,"NEGATIVO",IF(PRODUCTOS[[#This Row],[STOCK]]=0,"SIN STOCK",IF(PRODUCTOS[[#This Row],[STOCK]]&lt;=PRODUCTOS[[#This Row],[STOCK MÍN.]],"BAJO","OK")))</f>
        <v/>
      </c>
      <c r="K11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79" hidden="1" s="11">
      <c r="A1179" s="18" t="n">
        <v>1164</v>
      </c>
      <c r="B1179" s="56" t="inlineStr">
        <is>
          <t>00155-REF</t>
        </is>
      </c>
      <c r="C1179" s="56">
        <f>IFERROR(_xlfn.XLOOKUP(PRODUCTOS[[#This Row],[CODIGO]],LISTADO[CODIGOS],LISTADO[CATEGORIA]),"NO EXISTE")</f>
        <v/>
      </c>
      <c r="D1179" s="56">
        <f>IFERROR(_xlfn.XLOOKUP(PRODUCTOS[[#This Row],[CODIGO]],LISTADO[CODIGOS],LISTADO[PRODUCTOS]),"NO EXISTE")</f>
        <v/>
      </c>
      <c r="E1179" s="56">
        <f>IFERROR(_xlfn.XLOOKUP(PRODUCTOS[[#This Row],[CODIGO]],LISTADO[CODIGOS],LISTADO[UBICACIÓN]),"NO EXISTE")</f>
        <v/>
      </c>
      <c r="F1179" s="56">
        <f>SUMIFS(ENTRADAS[CANTIDAD],ENTRADAS[CODIGO],PRODUCTOS[[#This Row],[CODIGO]])</f>
        <v/>
      </c>
      <c r="G1179" s="56">
        <f>SUMIFS(SALIDAS[CANTIDAD],SALIDAS[CODIGO],PRODUCTOS[[#This Row],[CODIGO]])</f>
        <v/>
      </c>
      <c r="H1179" s="56">
        <f>PRODUCTOS[[#This Row],[ENTRADAS]]-PRODUCTOS[[#This Row],[SALIDAS ]]</f>
        <v/>
      </c>
      <c r="I1179" s="76" t="n">
        <v>0</v>
      </c>
      <c r="J1179">
        <f>IF(PRODUCTOS[[#This Row],[STOCK]]&lt;0,"NEGATIVO",IF(PRODUCTOS[[#This Row],[STOCK]]=0,"SIN STOCK",IF(PRODUCTOS[[#This Row],[STOCK]]&lt;=PRODUCTOS[[#This Row],[STOCK MÍN.]],"BAJO","OK")))</f>
        <v/>
      </c>
      <c r="K11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80" hidden="1" s="11">
      <c r="A1180" s="18" t="n">
        <v>1165</v>
      </c>
      <c r="B1180" s="56" t="inlineStr">
        <is>
          <t>00156-REF</t>
        </is>
      </c>
      <c r="C1180" s="56">
        <f>IFERROR(_xlfn.XLOOKUP(PRODUCTOS[[#This Row],[CODIGO]],LISTADO[CODIGOS],LISTADO[CATEGORIA]),"NO EXISTE")</f>
        <v/>
      </c>
      <c r="D1180" s="56">
        <f>IFERROR(_xlfn.XLOOKUP(PRODUCTOS[[#This Row],[CODIGO]],LISTADO[CODIGOS],LISTADO[PRODUCTOS]),"NO EXISTE")</f>
        <v/>
      </c>
      <c r="E1180" s="56">
        <f>IFERROR(_xlfn.XLOOKUP(PRODUCTOS[[#This Row],[CODIGO]],LISTADO[CODIGOS],LISTADO[UBICACIÓN]),"NO EXISTE")</f>
        <v/>
      </c>
      <c r="F1180" s="56">
        <f>SUMIFS(ENTRADAS[CANTIDAD],ENTRADAS[CODIGO],PRODUCTOS[[#This Row],[CODIGO]])</f>
        <v/>
      </c>
      <c r="G1180" s="56">
        <f>SUMIFS(SALIDAS[CANTIDAD],SALIDAS[CODIGO],PRODUCTOS[[#This Row],[CODIGO]])</f>
        <v/>
      </c>
      <c r="H1180" s="56">
        <f>PRODUCTOS[[#This Row],[ENTRADAS]]-PRODUCTOS[[#This Row],[SALIDAS ]]</f>
        <v/>
      </c>
      <c r="I1180" s="76" t="n">
        <v>0</v>
      </c>
      <c r="J1180">
        <f>IF(PRODUCTOS[[#This Row],[STOCK]]&lt;0,"NEGATIVO",IF(PRODUCTOS[[#This Row],[STOCK]]=0,"SIN STOCK",IF(PRODUCTOS[[#This Row],[STOCK]]&lt;=PRODUCTOS[[#This Row],[STOCK MÍN.]],"BAJO","OK")))</f>
        <v/>
      </c>
      <c r="K11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81" hidden="1" s="11">
      <c r="A1181" s="18" t="n">
        <v>1166</v>
      </c>
      <c r="B1181" s="56" t="inlineStr">
        <is>
          <t>00157-REF</t>
        </is>
      </c>
      <c r="C1181" s="56">
        <f>IFERROR(_xlfn.XLOOKUP(PRODUCTOS[[#This Row],[CODIGO]],LISTADO[CODIGOS],LISTADO[CATEGORIA]),"NO EXISTE")</f>
        <v/>
      </c>
      <c r="D1181" s="56">
        <f>IFERROR(_xlfn.XLOOKUP(PRODUCTOS[[#This Row],[CODIGO]],LISTADO[CODIGOS],LISTADO[PRODUCTOS]),"NO EXISTE")</f>
        <v/>
      </c>
      <c r="E1181" s="56">
        <f>IFERROR(_xlfn.XLOOKUP(PRODUCTOS[[#This Row],[CODIGO]],LISTADO[CODIGOS],LISTADO[UBICACIÓN]),"NO EXISTE")</f>
        <v/>
      </c>
      <c r="F1181" s="56">
        <f>SUMIFS(ENTRADAS[CANTIDAD],ENTRADAS[CODIGO],PRODUCTOS[[#This Row],[CODIGO]])</f>
        <v/>
      </c>
      <c r="G1181" s="56">
        <f>SUMIFS(SALIDAS[CANTIDAD],SALIDAS[CODIGO],PRODUCTOS[[#This Row],[CODIGO]])</f>
        <v/>
      </c>
      <c r="H1181" s="56">
        <f>PRODUCTOS[[#This Row],[ENTRADAS]]-PRODUCTOS[[#This Row],[SALIDAS ]]</f>
        <v/>
      </c>
      <c r="I1181" s="76" t="n">
        <v>0</v>
      </c>
      <c r="J1181">
        <f>IF(PRODUCTOS[[#This Row],[STOCK]]&lt;0,"NEGATIVO",IF(PRODUCTOS[[#This Row],[STOCK]]=0,"SIN STOCK",IF(PRODUCTOS[[#This Row],[STOCK]]&lt;=PRODUCTOS[[#This Row],[STOCK MÍN.]],"BAJO","OK")))</f>
        <v/>
      </c>
      <c r="K11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82" hidden="1" s="11">
      <c r="A1182" s="18" t="n">
        <v>1167</v>
      </c>
      <c r="B1182" s="56" t="inlineStr">
        <is>
          <t>00245-FER</t>
        </is>
      </c>
      <c r="C1182" s="56">
        <f>IFERROR(_xlfn.XLOOKUP(PRODUCTOS[[#This Row],[CODIGO]],LISTADO[CODIGOS],LISTADO[CATEGORIA]),"NO EXISTE")</f>
        <v/>
      </c>
      <c r="D1182" s="56">
        <f>IFERROR(_xlfn.XLOOKUP(PRODUCTOS[[#This Row],[CODIGO]],LISTADO[CODIGOS],LISTADO[PRODUCTOS]),"NO EXISTE")</f>
        <v/>
      </c>
      <c r="E1182" s="56">
        <f>IFERROR(_xlfn.XLOOKUP(PRODUCTOS[[#This Row],[CODIGO]],LISTADO[CODIGOS],LISTADO[UBICACIÓN]),"NO EXISTE")</f>
        <v/>
      </c>
      <c r="F1182" s="56">
        <f>SUMIFS(ENTRADAS[CANTIDAD],ENTRADAS[CODIGO],PRODUCTOS[[#This Row],[CODIGO]])</f>
        <v/>
      </c>
      <c r="G1182" s="56">
        <f>SUMIFS(SALIDAS[CANTIDAD],SALIDAS[CODIGO],PRODUCTOS[[#This Row],[CODIGO]])</f>
        <v/>
      </c>
      <c r="H1182" s="56">
        <f>PRODUCTOS[[#This Row],[ENTRADAS]]-PRODUCTOS[[#This Row],[SALIDAS ]]</f>
        <v/>
      </c>
      <c r="I1182" s="76" t="n">
        <v>0</v>
      </c>
      <c r="J1182">
        <f>IF(PRODUCTOS[[#This Row],[STOCK]]&lt;0,"NEGATIVO",IF(PRODUCTOS[[#This Row],[STOCK]]=0,"SIN STOCK",IF(PRODUCTOS[[#This Row],[STOCK]]&lt;=PRODUCTOS[[#This Row],[STOCK MÍN.]],"BAJO","OK")))</f>
        <v/>
      </c>
      <c r="K11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83" hidden="1" s="11">
      <c r="A1183" s="18" t="n">
        <v>1168</v>
      </c>
      <c r="B1183" s="56" t="inlineStr">
        <is>
          <t>00158-REF</t>
        </is>
      </c>
      <c r="C1183" s="56">
        <f>IFERROR(_xlfn.XLOOKUP(PRODUCTOS[[#This Row],[CODIGO]],LISTADO[CODIGOS],LISTADO[CATEGORIA]),"NO EXISTE")</f>
        <v/>
      </c>
      <c r="D1183" s="56">
        <f>IFERROR(_xlfn.XLOOKUP(PRODUCTOS[[#This Row],[CODIGO]],LISTADO[CODIGOS],LISTADO[PRODUCTOS]),"NO EXISTE")</f>
        <v/>
      </c>
      <c r="E1183" s="56">
        <f>IFERROR(_xlfn.XLOOKUP(PRODUCTOS[[#This Row],[CODIGO]],LISTADO[CODIGOS],LISTADO[UBICACIÓN]),"NO EXISTE")</f>
        <v/>
      </c>
      <c r="F1183" s="56">
        <f>SUMIFS(ENTRADAS[CANTIDAD],ENTRADAS[CODIGO],PRODUCTOS[[#This Row],[CODIGO]])</f>
        <v/>
      </c>
      <c r="G1183" s="56">
        <f>SUMIFS(SALIDAS[CANTIDAD],SALIDAS[CODIGO],PRODUCTOS[[#This Row],[CODIGO]])</f>
        <v/>
      </c>
      <c r="H1183" s="56">
        <f>PRODUCTOS[[#This Row],[ENTRADAS]]-PRODUCTOS[[#This Row],[SALIDAS ]]</f>
        <v/>
      </c>
      <c r="I1183" s="76" t="n">
        <v>0</v>
      </c>
      <c r="J1183">
        <f>IF(PRODUCTOS[[#This Row],[STOCK]]&lt;0,"NEGATIVO",IF(PRODUCTOS[[#This Row],[STOCK]]=0,"SIN STOCK",IF(PRODUCTOS[[#This Row],[STOCK]]&lt;=PRODUCTOS[[#This Row],[STOCK MÍN.]],"BAJO","OK")))</f>
        <v/>
      </c>
      <c r="K11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84" hidden="1" s="11">
      <c r="A1184" s="18" t="n">
        <v>1169</v>
      </c>
      <c r="B1184" s="56" t="inlineStr">
        <is>
          <t>00159-REF</t>
        </is>
      </c>
      <c r="C1184" s="56">
        <f>IFERROR(_xlfn.XLOOKUP(PRODUCTOS[[#This Row],[CODIGO]],LISTADO[CODIGOS],LISTADO[CATEGORIA]),"NO EXISTE")</f>
        <v/>
      </c>
      <c r="D1184" s="56">
        <f>IFERROR(_xlfn.XLOOKUP(PRODUCTOS[[#This Row],[CODIGO]],LISTADO[CODIGOS],LISTADO[PRODUCTOS]),"NO EXISTE")</f>
        <v/>
      </c>
      <c r="E1184" s="56">
        <f>IFERROR(_xlfn.XLOOKUP(PRODUCTOS[[#This Row],[CODIGO]],LISTADO[CODIGOS],LISTADO[UBICACIÓN]),"NO EXISTE")</f>
        <v/>
      </c>
      <c r="F1184" s="56">
        <f>SUMIFS(ENTRADAS[CANTIDAD],ENTRADAS[CODIGO],PRODUCTOS[[#This Row],[CODIGO]])</f>
        <v/>
      </c>
      <c r="G1184" s="56">
        <f>SUMIFS(SALIDAS[CANTIDAD],SALIDAS[CODIGO],PRODUCTOS[[#This Row],[CODIGO]])</f>
        <v/>
      </c>
      <c r="H1184" s="56">
        <f>PRODUCTOS[[#This Row],[ENTRADAS]]-PRODUCTOS[[#This Row],[SALIDAS ]]</f>
        <v/>
      </c>
      <c r="I1184" s="76" t="n">
        <v>0</v>
      </c>
      <c r="J1184">
        <f>IF(PRODUCTOS[[#This Row],[STOCK]]&lt;0,"NEGATIVO",IF(PRODUCTOS[[#This Row],[STOCK]]=0,"SIN STOCK",IF(PRODUCTOS[[#This Row],[STOCK]]&lt;=PRODUCTOS[[#This Row],[STOCK MÍN.]],"BAJO","OK")))</f>
        <v/>
      </c>
      <c r="K11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85" hidden="1" s="11">
      <c r="A1185" s="18" t="n">
        <v>1170</v>
      </c>
      <c r="B1185" s="56" t="inlineStr">
        <is>
          <t>00121-ELE</t>
        </is>
      </c>
      <c r="C1185" s="56">
        <f>IFERROR(_xlfn.XLOOKUP(PRODUCTOS[[#This Row],[CODIGO]],LISTADO[CODIGOS],LISTADO[CATEGORIA]),"NO EXISTE")</f>
        <v/>
      </c>
      <c r="D1185" s="56">
        <f>IFERROR(_xlfn.XLOOKUP(PRODUCTOS[[#This Row],[CODIGO]],LISTADO[CODIGOS],LISTADO[PRODUCTOS]),"NO EXISTE")</f>
        <v/>
      </c>
      <c r="E1185" s="56">
        <f>IFERROR(_xlfn.XLOOKUP(PRODUCTOS[[#This Row],[CODIGO]],LISTADO[CODIGOS],LISTADO[UBICACIÓN]),"NO EXISTE")</f>
        <v/>
      </c>
      <c r="F1185" s="56">
        <f>SUMIFS(ENTRADAS[CANTIDAD],ENTRADAS[CODIGO],PRODUCTOS[[#This Row],[CODIGO]])</f>
        <v/>
      </c>
      <c r="G1185" s="56">
        <f>SUMIFS(SALIDAS[CANTIDAD],SALIDAS[CODIGO],PRODUCTOS[[#This Row],[CODIGO]])</f>
        <v/>
      </c>
      <c r="H1185" s="56">
        <f>PRODUCTOS[[#This Row],[ENTRADAS]]-PRODUCTOS[[#This Row],[SALIDAS ]]</f>
        <v/>
      </c>
      <c r="I1185" s="76" t="n">
        <v>0</v>
      </c>
      <c r="J1185">
        <f>IF(PRODUCTOS[[#This Row],[STOCK]]&lt;0,"NEGATIVO",IF(PRODUCTOS[[#This Row],[STOCK]]=0,"SIN STOCK",IF(PRODUCTOS[[#This Row],[STOCK]]&lt;=PRODUCTOS[[#This Row],[STOCK MÍN.]],"BAJO","OK")))</f>
        <v/>
      </c>
      <c r="K11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86" hidden="1" s="11">
      <c r="A1186" s="18" t="n">
        <v>1171</v>
      </c>
      <c r="B1186" s="56" t="inlineStr">
        <is>
          <t>00160-REF</t>
        </is>
      </c>
      <c r="C1186" s="56">
        <f>IFERROR(_xlfn.XLOOKUP(PRODUCTOS[[#This Row],[CODIGO]],LISTADO[CODIGOS],LISTADO[CATEGORIA]),"NO EXISTE")</f>
        <v/>
      </c>
      <c r="D1186" s="56">
        <f>IFERROR(_xlfn.XLOOKUP(PRODUCTOS[[#This Row],[CODIGO]],LISTADO[CODIGOS],LISTADO[PRODUCTOS]),"NO EXISTE")</f>
        <v/>
      </c>
      <c r="E1186" s="56">
        <f>IFERROR(_xlfn.XLOOKUP(PRODUCTOS[[#This Row],[CODIGO]],LISTADO[CODIGOS],LISTADO[UBICACIÓN]),"NO EXISTE")</f>
        <v/>
      </c>
      <c r="F1186" s="56">
        <f>SUMIFS(ENTRADAS[CANTIDAD],ENTRADAS[CODIGO],PRODUCTOS[[#This Row],[CODIGO]])</f>
        <v/>
      </c>
      <c r="G1186" s="56">
        <f>SUMIFS(SALIDAS[CANTIDAD],SALIDAS[CODIGO],PRODUCTOS[[#This Row],[CODIGO]])</f>
        <v/>
      </c>
      <c r="H1186" s="56">
        <f>PRODUCTOS[[#This Row],[ENTRADAS]]-PRODUCTOS[[#This Row],[SALIDAS ]]</f>
        <v/>
      </c>
      <c r="I1186" s="76" t="n">
        <v>0</v>
      </c>
      <c r="J1186">
        <f>IF(PRODUCTOS[[#This Row],[STOCK]]&lt;0,"NEGATIVO",IF(PRODUCTOS[[#This Row],[STOCK]]=0,"SIN STOCK",IF(PRODUCTOS[[#This Row],[STOCK]]&lt;=PRODUCTOS[[#This Row],[STOCK MÍN.]],"BAJO","OK")))</f>
        <v/>
      </c>
      <c r="K11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87" hidden="1" s="11">
      <c r="A1187" s="18" t="n">
        <v>1172</v>
      </c>
      <c r="B1187" s="56" t="inlineStr">
        <is>
          <t>00078-PLM</t>
        </is>
      </c>
      <c r="C1187" s="56">
        <f>IFERROR(_xlfn.XLOOKUP(PRODUCTOS[[#This Row],[CODIGO]],LISTADO[CODIGOS],LISTADO[CATEGORIA]),"NO EXISTE")</f>
        <v/>
      </c>
      <c r="D1187" s="56">
        <f>IFERROR(_xlfn.XLOOKUP(PRODUCTOS[[#This Row],[CODIGO]],LISTADO[CODIGOS],LISTADO[PRODUCTOS]),"NO EXISTE")</f>
        <v/>
      </c>
      <c r="E1187" s="56">
        <f>IFERROR(_xlfn.XLOOKUP(PRODUCTOS[[#This Row],[CODIGO]],LISTADO[CODIGOS],LISTADO[UBICACIÓN]),"NO EXISTE")</f>
        <v/>
      </c>
      <c r="F1187" s="56">
        <f>SUMIFS(ENTRADAS[CANTIDAD],ENTRADAS[CODIGO],PRODUCTOS[[#This Row],[CODIGO]])</f>
        <v/>
      </c>
      <c r="G1187" s="56">
        <f>SUMIFS(SALIDAS[CANTIDAD],SALIDAS[CODIGO],PRODUCTOS[[#This Row],[CODIGO]])</f>
        <v/>
      </c>
      <c r="H1187" s="56">
        <f>PRODUCTOS[[#This Row],[ENTRADAS]]-PRODUCTOS[[#This Row],[SALIDAS ]]</f>
        <v/>
      </c>
      <c r="I1187" s="76" t="n">
        <v>0</v>
      </c>
      <c r="J1187">
        <f>IF(PRODUCTOS[[#This Row],[STOCK]]&lt;0,"NEGATIVO",IF(PRODUCTOS[[#This Row],[STOCK]]=0,"SIN STOCK",IF(PRODUCTOS[[#This Row],[STOCK]]&lt;=PRODUCTOS[[#This Row],[STOCK MÍN.]],"BAJO","OK")))</f>
        <v/>
      </c>
      <c r="K11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88">
      <c r="A1188" s="18" t="n"/>
      <c r="B1188" s="56" t="inlineStr">
        <is>
          <t>00122-ELE</t>
        </is>
      </c>
      <c r="C1188" s="56">
        <f>IFERROR(_xlfn.XLOOKUP(PRODUCTOS[[#This Row],[CODIGO]],LISTADO[CODIGOS],LISTADO[CATEGORIA]),"NO EXISTE")</f>
        <v/>
      </c>
      <c r="D1188" s="56">
        <f>IFERROR(_xlfn.XLOOKUP(PRODUCTOS[[#This Row],[CODIGO]],LISTADO[CODIGOS],LISTADO[PRODUCTOS]),"NO EXISTE")</f>
        <v/>
      </c>
      <c r="E1188" s="56">
        <f>IFERROR(_xlfn.XLOOKUP(PRODUCTOS[[#This Row],[CODIGO]],LISTADO[CODIGOS],LISTADO[UBICACIÓN]),"NO EXISTE")</f>
        <v/>
      </c>
      <c r="F1188" s="56">
        <f>SUMIFS(ENTRADAS[CANTIDAD],ENTRADAS[CODIGO],PRODUCTOS[[#This Row],[CODIGO]])</f>
        <v/>
      </c>
      <c r="G1188" s="56">
        <f>SUMIFS(SALIDAS[CANTIDAD],SALIDAS[CODIGO],PRODUCTOS[[#This Row],[CODIGO]])</f>
        <v/>
      </c>
      <c r="H1188" s="56">
        <f>PRODUCTOS[[#This Row],[ENTRADAS]]-PRODUCTOS[[#This Row],[SALIDAS ]]</f>
        <v/>
      </c>
      <c r="I1188" s="76" t="n">
        <v>0</v>
      </c>
      <c r="J1188">
        <f>IF(PRODUCTOS[[#This Row],[STOCK]]&lt;0,"NEGATIVO",IF(PRODUCTOS[[#This Row],[STOCK]]=0,"SIN STOCK",IF(PRODUCTOS[[#This Row],[STOCK]]&lt;=PRODUCTOS[[#This Row],[STOCK MÍN.]],"BAJO","OK")))</f>
        <v/>
      </c>
      <c r="K11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89">
      <c r="A1189" s="18" t="n"/>
      <c r="B1189" s="56" t="inlineStr">
        <is>
          <t>00123-ELE</t>
        </is>
      </c>
      <c r="C1189" s="56">
        <f>IFERROR(_xlfn.XLOOKUP(PRODUCTOS[[#This Row],[CODIGO]],LISTADO[CODIGOS],LISTADO[CATEGORIA]),"NO EXISTE")</f>
        <v/>
      </c>
      <c r="D1189" s="56">
        <f>IFERROR(_xlfn.XLOOKUP(PRODUCTOS[[#This Row],[CODIGO]],LISTADO[CODIGOS],LISTADO[PRODUCTOS]),"NO EXISTE")</f>
        <v/>
      </c>
      <c r="E1189" s="56">
        <f>IFERROR(_xlfn.XLOOKUP(PRODUCTOS[[#This Row],[CODIGO]],LISTADO[CODIGOS],LISTADO[UBICACIÓN]),"NO EXISTE")</f>
        <v/>
      </c>
      <c r="F1189" s="56">
        <f>SUMIFS(ENTRADAS[CANTIDAD],ENTRADAS[CODIGO],PRODUCTOS[[#This Row],[CODIGO]])</f>
        <v/>
      </c>
      <c r="G1189" s="56">
        <f>SUMIFS(SALIDAS[CANTIDAD],SALIDAS[CODIGO],PRODUCTOS[[#This Row],[CODIGO]])</f>
        <v/>
      </c>
      <c r="H1189" s="56">
        <f>PRODUCTOS[[#This Row],[ENTRADAS]]-PRODUCTOS[[#This Row],[SALIDAS ]]</f>
        <v/>
      </c>
      <c r="I1189" s="76" t="n">
        <v>0</v>
      </c>
      <c r="J1189">
        <f>IF(PRODUCTOS[[#This Row],[STOCK]]&lt;0,"NEGATIVO",IF(PRODUCTOS[[#This Row],[STOCK]]=0,"SIN STOCK",IF(PRODUCTOS[[#This Row],[STOCK]]&lt;=PRODUCTOS[[#This Row],[STOCK MÍN.]],"BAJO","OK")))</f>
        <v/>
      </c>
      <c r="K11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90" hidden="1" s="11">
      <c r="A1190" s="18" t="n"/>
      <c r="B1190" s="56" t="inlineStr">
        <is>
          <t>00085-ELC</t>
        </is>
      </c>
      <c r="C1190" s="56">
        <f>IFERROR(_xlfn.XLOOKUP(PRODUCTOS[[#This Row],[CODIGO]],LISTADO[CODIGOS],LISTADO[CATEGORIA]),"NO EXISTE")</f>
        <v/>
      </c>
      <c r="D1190" s="56">
        <f>IFERROR(_xlfn.XLOOKUP(PRODUCTOS[[#This Row],[CODIGO]],LISTADO[CODIGOS],LISTADO[PRODUCTOS]),"NO EXISTE")</f>
        <v/>
      </c>
      <c r="E1190" s="56">
        <f>IFERROR(_xlfn.XLOOKUP(PRODUCTOS[[#This Row],[CODIGO]],LISTADO[CODIGOS],LISTADO[UBICACIÓN]),"NO EXISTE")</f>
        <v/>
      </c>
      <c r="F1190" s="56">
        <f>SUMIFS(ENTRADAS[CANTIDAD],ENTRADAS[CODIGO],PRODUCTOS[[#This Row],[CODIGO]])</f>
        <v/>
      </c>
      <c r="G1190" s="56">
        <f>SUMIFS(SALIDAS[CANTIDAD],SALIDAS[CODIGO],PRODUCTOS[[#This Row],[CODIGO]])</f>
        <v/>
      </c>
      <c r="H1190" s="56">
        <f>PRODUCTOS[[#This Row],[ENTRADAS]]-PRODUCTOS[[#This Row],[SALIDAS ]]</f>
        <v/>
      </c>
      <c r="I1190" s="76" t="n">
        <v>0</v>
      </c>
      <c r="J1190">
        <f>IF(PRODUCTOS[[#This Row],[STOCK]]&lt;0,"NEGATIVO",IF(PRODUCTOS[[#This Row],[STOCK]]=0,"SIN STOCK",IF(PRODUCTOS[[#This Row],[STOCK]]&lt;=PRODUCTOS[[#This Row],[STOCK MÍN.]],"BAJO","OK")))</f>
        <v/>
      </c>
      <c r="K119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91" hidden="1" s="11">
      <c r="A1191" s="18" t="n"/>
      <c r="B1191" s="56" t="inlineStr">
        <is>
          <t>00040-OFC</t>
        </is>
      </c>
      <c r="C1191" s="56">
        <f>IFERROR(_xlfn.XLOOKUP(PRODUCTOS[[#This Row],[CODIGO]],LISTADO[CODIGOS],LISTADO[CATEGORIA]),"NO EXISTE")</f>
        <v/>
      </c>
      <c r="D1191" s="56">
        <f>IFERROR(_xlfn.XLOOKUP(PRODUCTOS[[#This Row],[CODIGO]],LISTADO[CODIGOS],LISTADO[PRODUCTOS]),"NO EXISTE")</f>
        <v/>
      </c>
      <c r="E1191" s="56">
        <f>IFERROR(_xlfn.XLOOKUP(PRODUCTOS[[#This Row],[CODIGO]],LISTADO[CODIGOS],LISTADO[UBICACIÓN]),"NO EXISTE")</f>
        <v/>
      </c>
      <c r="F1191" s="56">
        <f>SUMIFS(ENTRADAS[CANTIDAD],ENTRADAS[CODIGO],PRODUCTOS[[#This Row],[CODIGO]])</f>
        <v/>
      </c>
      <c r="G1191" s="56">
        <f>SUMIFS(SALIDAS[CANTIDAD],SALIDAS[CODIGO],PRODUCTOS[[#This Row],[CODIGO]])</f>
        <v/>
      </c>
      <c r="H1191" s="56">
        <f>PRODUCTOS[[#This Row],[ENTRADAS]]-PRODUCTOS[[#This Row],[SALIDAS ]]</f>
        <v/>
      </c>
      <c r="I1191" s="76" t="n">
        <v>0</v>
      </c>
      <c r="J1191">
        <f>IF(PRODUCTOS[[#This Row],[STOCK]]&lt;0,"NEGATIVO",IF(PRODUCTOS[[#This Row],[STOCK]]=0,"SIN STOCK",IF(PRODUCTOS[[#This Row],[STOCK]]&lt;=PRODUCTOS[[#This Row],[STOCK MÍN.]],"BAJO","OK")))</f>
        <v/>
      </c>
      <c r="K119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92" hidden="1" s="11">
      <c r="A1192" s="18" t="n"/>
      <c r="B1192" s="56" t="inlineStr">
        <is>
          <t>00086-ELC</t>
        </is>
      </c>
      <c r="C1192" s="56">
        <f>IFERROR(_xlfn.XLOOKUP(PRODUCTOS[[#This Row],[CODIGO]],LISTADO[CODIGOS],LISTADO[CATEGORIA]),"NO EXISTE")</f>
        <v/>
      </c>
      <c r="D1192" s="56">
        <f>IFERROR(_xlfn.XLOOKUP(PRODUCTOS[[#This Row],[CODIGO]],LISTADO[CODIGOS],LISTADO[PRODUCTOS]),"NO EXISTE")</f>
        <v/>
      </c>
      <c r="E1192" s="56">
        <f>IFERROR(_xlfn.XLOOKUP(PRODUCTOS[[#This Row],[CODIGO]],LISTADO[CODIGOS],LISTADO[UBICACIÓN]),"NO EXISTE")</f>
        <v/>
      </c>
      <c r="F1192" s="56">
        <f>SUMIFS(ENTRADAS[CANTIDAD],ENTRADAS[CODIGO],PRODUCTOS[[#This Row],[CODIGO]])</f>
        <v/>
      </c>
      <c r="G1192" s="56">
        <f>SUMIFS(SALIDAS[CANTIDAD],SALIDAS[CODIGO],PRODUCTOS[[#This Row],[CODIGO]])</f>
        <v/>
      </c>
      <c r="H1192" s="56">
        <f>PRODUCTOS[[#This Row],[ENTRADAS]]-PRODUCTOS[[#This Row],[SALIDAS ]]</f>
        <v/>
      </c>
      <c r="I1192" s="76" t="n">
        <v>0</v>
      </c>
      <c r="J1192">
        <f>IF(PRODUCTOS[[#This Row],[STOCK]]&lt;0,"NEGATIVO",IF(PRODUCTOS[[#This Row],[STOCK]]=0,"SIN STOCK",IF(PRODUCTOS[[#This Row],[STOCK]]&lt;=PRODUCTOS[[#This Row],[STOCK MÍN.]],"BAJO","OK")))</f>
        <v/>
      </c>
      <c r="K119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93" hidden="1" s="11">
      <c r="A1193" s="18" t="n"/>
      <c r="B1193" s="56" t="inlineStr">
        <is>
          <t>00033-LIM</t>
        </is>
      </c>
      <c r="C1193" s="56">
        <f>IFERROR(_xlfn.XLOOKUP(PRODUCTOS[[#This Row],[CODIGO]],LISTADO[CODIGOS],LISTADO[CATEGORIA]),"NO EXISTE")</f>
        <v/>
      </c>
      <c r="D1193" s="56">
        <f>IFERROR(_xlfn.XLOOKUP(PRODUCTOS[[#This Row],[CODIGO]],LISTADO[CODIGOS],LISTADO[PRODUCTOS]),"NO EXISTE")</f>
        <v/>
      </c>
      <c r="E1193" s="56">
        <f>IFERROR(_xlfn.XLOOKUP(PRODUCTOS[[#This Row],[CODIGO]],LISTADO[CODIGOS],LISTADO[UBICACIÓN]),"NO EXISTE")</f>
        <v/>
      </c>
      <c r="F1193" s="56">
        <f>SUMIFS(ENTRADAS[CANTIDAD],ENTRADAS[CODIGO],PRODUCTOS[[#This Row],[CODIGO]])</f>
        <v/>
      </c>
      <c r="G1193" s="56">
        <f>SUMIFS(SALIDAS[CANTIDAD],SALIDAS[CODIGO],PRODUCTOS[[#This Row],[CODIGO]])</f>
        <v/>
      </c>
      <c r="H1193" s="56">
        <f>PRODUCTOS[[#This Row],[ENTRADAS]]-PRODUCTOS[[#This Row],[SALIDAS ]]</f>
        <v/>
      </c>
      <c r="I1193" s="76" t="n">
        <v>0</v>
      </c>
      <c r="J1193">
        <f>IF(PRODUCTOS[[#This Row],[STOCK]]&lt;0,"NEGATIVO",IF(PRODUCTOS[[#This Row],[STOCK]]=0,"SIN STOCK",IF(PRODUCTOS[[#This Row],[STOCK]]&lt;=PRODUCTOS[[#This Row],[STOCK MÍN.]],"BAJO","OK")))</f>
        <v/>
      </c>
      <c r="K119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94" hidden="1" s="11">
      <c r="A1194" s="18" t="n"/>
      <c r="B1194" s="56" t="inlineStr">
        <is>
          <t>00034-LIM</t>
        </is>
      </c>
      <c r="C1194" s="56">
        <f>IFERROR(_xlfn.XLOOKUP(PRODUCTOS[[#This Row],[CODIGO]],LISTADO[CODIGOS],LISTADO[CATEGORIA]),"NO EXISTE")</f>
        <v/>
      </c>
      <c r="D1194" s="56">
        <f>IFERROR(_xlfn.XLOOKUP(PRODUCTOS[[#This Row],[CODIGO]],LISTADO[CODIGOS],LISTADO[PRODUCTOS]),"NO EXISTE")</f>
        <v/>
      </c>
      <c r="E1194" s="56">
        <f>IFERROR(_xlfn.XLOOKUP(PRODUCTOS[[#This Row],[CODIGO]],LISTADO[CODIGOS],LISTADO[UBICACIÓN]),"NO EXISTE")</f>
        <v/>
      </c>
      <c r="F1194" s="56">
        <f>SUMIFS(ENTRADAS[CANTIDAD],ENTRADAS[CODIGO],PRODUCTOS[[#This Row],[CODIGO]])</f>
        <v/>
      </c>
      <c r="G1194" s="56">
        <f>SUMIFS(SALIDAS[CANTIDAD],SALIDAS[CODIGO],PRODUCTOS[[#This Row],[CODIGO]])</f>
        <v/>
      </c>
      <c r="H1194" s="56">
        <f>PRODUCTOS[[#This Row],[ENTRADAS]]-PRODUCTOS[[#This Row],[SALIDAS ]]</f>
        <v/>
      </c>
      <c r="I1194" s="76" t="n">
        <v>0</v>
      </c>
      <c r="J1194">
        <f>IF(PRODUCTOS[[#This Row],[STOCK]]&lt;0,"NEGATIVO",IF(PRODUCTOS[[#This Row],[STOCK]]=0,"SIN STOCK",IF(PRODUCTOS[[#This Row],[STOCK]]&lt;=PRODUCTOS[[#This Row],[STOCK MÍN.]],"BAJO","OK")))</f>
        <v/>
      </c>
      <c r="K119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95" hidden="1" s="11">
      <c r="A1195" s="18" t="n"/>
      <c r="B1195" s="56" t="inlineStr">
        <is>
          <t>00033-MSC</t>
        </is>
      </c>
      <c r="C1195" s="56">
        <f>IFERROR(_xlfn.XLOOKUP(PRODUCTOS[[#This Row],[CODIGO]],LISTADO[CODIGOS],LISTADO[CATEGORIA]),"NO EXISTE")</f>
        <v/>
      </c>
      <c r="D1195" s="56">
        <f>IFERROR(_xlfn.XLOOKUP(PRODUCTOS[[#This Row],[CODIGO]],LISTADO[CODIGOS],LISTADO[PRODUCTOS]),"NO EXISTE")</f>
        <v/>
      </c>
      <c r="E1195" s="56">
        <f>IFERROR(_xlfn.XLOOKUP(PRODUCTOS[[#This Row],[CODIGO]],LISTADO[CODIGOS],LISTADO[UBICACIÓN]),"NO EXISTE")</f>
        <v/>
      </c>
      <c r="F1195" s="56">
        <f>SUMIFS(ENTRADAS[CANTIDAD],ENTRADAS[CODIGO],PRODUCTOS[[#This Row],[CODIGO]])</f>
        <v/>
      </c>
      <c r="G1195" s="56">
        <f>SUMIFS(SALIDAS[CANTIDAD],SALIDAS[CODIGO],PRODUCTOS[[#This Row],[CODIGO]])</f>
        <v/>
      </c>
      <c r="H1195" s="56">
        <f>PRODUCTOS[[#This Row],[ENTRADAS]]-PRODUCTOS[[#This Row],[SALIDAS ]]</f>
        <v/>
      </c>
      <c r="I1195" s="76" t="n">
        <v>0</v>
      </c>
      <c r="J1195">
        <f>IF(PRODUCTOS[[#This Row],[STOCK]]&lt;0,"NEGATIVO",IF(PRODUCTOS[[#This Row],[STOCK]]=0,"SIN STOCK",IF(PRODUCTOS[[#This Row],[STOCK]]&lt;=PRODUCTOS[[#This Row],[STOCK MÍN.]],"BAJO","OK")))</f>
        <v/>
      </c>
      <c r="K119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96" hidden="1" s="11">
      <c r="A1196" s="18" t="n"/>
      <c r="B1196" s="56" t="inlineStr">
        <is>
          <t>00051-AUT</t>
        </is>
      </c>
      <c r="C1196" s="56">
        <f>IFERROR(_xlfn.XLOOKUP(PRODUCTOS[[#This Row],[CODIGO]],LISTADO[CODIGOS],LISTADO[CATEGORIA]),"NO EXISTE")</f>
        <v/>
      </c>
      <c r="D1196" s="56">
        <f>IFERROR(_xlfn.XLOOKUP(PRODUCTOS[[#This Row],[CODIGO]],LISTADO[CODIGOS],LISTADO[PRODUCTOS]),"NO EXISTE")</f>
        <v/>
      </c>
      <c r="E1196" s="56">
        <f>IFERROR(_xlfn.XLOOKUP(PRODUCTOS[[#This Row],[CODIGO]],LISTADO[CODIGOS],LISTADO[UBICACIÓN]),"NO EXISTE")</f>
        <v/>
      </c>
      <c r="F1196" s="56">
        <f>SUMIFS(ENTRADAS[CANTIDAD],ENTRADAS[CODIGO],PRODUCTOS[[#This Row],[CODIGO]])</f>
        <v/>
      </c>
      <c r="G1196" s="56">
        <f>SUMIFS(SALIDAS[CANTIDAD],SALIDAS[CODIGO],PRODUCTOS[[#This Row],[CODIGO]])</f>
        <v/>
      </c>
      <c r="H1196" s="56">
        <f>PRODUCTOS[[#This Row],[ENTRADAS]]-PRODUCTOS[[#This Row],[SALIDAS ]]</f>
        <v/>
      </c>
      <c r="I1196" s="76" t="n">
        <v>0</v>
      </c>
      <c r="J1196">
        <f>IF(PRODUCTOS[[#This Row],[STOCK]]&lt;0,"NEGATIVO",IF(PRODUCTOS[[#This Row],[STOCK]]=0,"SIN STOCK",IF(PRODUCTOS[[#This Row],[STOCK]]&lt;=PRODUCTOS[[#This Row],[STOCK MÍN.]],"BAJO","OK")))</f>
        <v/>
      </c>
      <c r="K119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97" hidden="1" s="11">
      <c r="A1197" s="18" t="n"/>
      <c r="B1197" s="56" t="inlineStr">
        <is>
          <t>00246-FER</t>
        </is>
      </c>
      <c r="C1197" s="56">
        <f>IFERROR(_xlfn.XLOOKUP(PRODUCTOS[[#This Row],[CODIGO]],LISTADO[CODIGOS],LISTADO[CATEGORIA]),"NO EXISTE")</f>
        <v/>
      </c>
      <c r="D1197" s="56">
        <f>IFERROR(_xlfn.XLOOKUP(PRODUCTOS[[#This Row],[CODIGO]],LISTADO[CODIGOS],LISTADO[PRODUCTOS]),"NO EXISTE")</f>
        <v/>
      </c>
      <c r="E1197" s="56">
        <f>IFERROR(_xlfn.XLOOKUP(PRODUCTOS[[#This Row],[CODIGO]],LISTADO[CODIGOS],LISTADO[UBICACIÓN]),"NO EXISTE")</f>
        <v/>
      </c>
      <c r="F1197" s="56">
        <f>SUMIFS(ENTRADAS[CANTIDAD],ENTRADAS[CODIGO],PRODUCTOS[[#This Row],[CODIGO]])</f>
        <v/>
      </c>
      <c r="G1197" s="56">
        <f>SUMIFS(SALIDAS[CANTIDAD],SALIDAS[CODIGO],PRODUCTOS[[#This Row],[CODIGO]])</f>
        <v/>
      </c>
      <c r="H1197" s="56">
        <f>PRODUCTOS[[#This Row],[ENTRADAS]]-PRODUCTOS[[#This Row],[SALIDAS ]]</f>
        <v/>
      </c>
      <c r="I1197" s="76" t="n">
        <v>0</v>
      </c>
      <c r="J1197">
        <f>IF(PRODUCTOS[[#This Row],[STOCK]]&lt;0,"NEGATIVO",IF(PRODUCTOS[[#This Row],[STOCK]]=0,"SIN STOCK",IF(PRODUCTOS[[#This Row],[STOCK]]&lt;=PRODUCTOS[[#This Row],[STOCK MÍN.]],"BAJO","OK")))</f>
        <v/>
      </c>
      <c r="K119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98" hidden="1" s="11">
      <c r="A1198" s="18" t="n"/>
      <c r="B1198" s="56" t="inlineStr">
        <is>
          <t>00134-HER</t>
        </is>
      </c>
      <c r="C1198" s="56">
        <f>IFERROR(_xlfn.XLOOKUP(PRODUCTOS[[#This Row],[CODIGO]],LISTADO[CODIGOS],LISTADO[CATEGORIA]),"NO EXISTE")</f>
        <v/>
      </c>
      <c r="D1198" s="56">
        <f>IFERROR(_xlfn.XLOOKUP(PRODUCTOS[[#This Row],[CODIGO]],LISTADO[CODIGOS],LISTADO[PRODUCTOS]),"NO EXISTE")</f>
        <v/>
      </c>
      <c r="E1198" s="56">
        <f>IFERROR(_xlfn.XLOOKUP(PRODUCTOS[[#This Row],[CODIGO]],LISTADO[CODIGOS],LISTADO[UBICACIÓN]),"NO EXISTE")</f>
        <v/>
      </c>
      <c r="F1198" s="56">
        <f>SUMIFS(ENTRADAS[CANTIDAD],ENTRADAS[CODIGO],PRODUCTOS[[#This Row],[CODIGO]])</f>
        <v/>
      </c>
      <c r="G1198" s="56">
        <f>SUMIFS(SALIDAS[CANTIDAD],SALIDAS[CODIGO],PRODUCTOS[[#This Row],[CODIGO]])</f>
        <v/>
      </c>
      <c r="H1198" s="56">
        <f>PRODUCTOS[[#This Row],[ENTRADAS]]-PRODUCTOS[[#This Row],[SALIDAS ]]</f>
        <v/>
      </c>
      <c r="I1198" s="76" t="n">
        <v>0</v>
      </c>
      <c r="J1198">
        <f>IF(PRODUCTOS[[#This Row],[STOCK]]&lt;0,"NEGATIVO",IF(PRODUCTOS[[#This Row],[STOCK]]=0,"SIN STOCK",IF(PRODUCTOS[[#This Row],[STOCK]]&lt;=PRODUCTOS[[#This Row],[STOCK MÍN.]],"BAJO","OK")))</f>
        <v/>
      </c>
      <c r="K119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199" hidden="1" s="11">
      <c r="A1199" s="18" t="n"/>
      <c r="B1199" s="56" t="inlineStr">
        <is>
          <t>00135-HER</t>
        </is>
      </c>
      <c r="C1199" s="56">
        <f>IFERROR(_xlfn.XLOOKUP(PRODUCTOS[[#This Row],[CODIGO]],LISTADO[CODIGOS],LISTADO[CATEGORIA]),"NO EXISTE")</f>
        <v/>
      </c>
      <c r="D1199" s="56">
        <f>IFERROR(_xlfn.XLOOKUP(PRODUCTOS[[#This Row],[CODIGO]],LISTADO[CODIGOS],LISTADO[PRODUCTOS]),"NO EXISTE")</f>
        <v/>
      </c>
      <c r="E1199" s="56">
        <f>IFERROR(_xlfn.XLOOKUP(PRODUCTOS[[#This Row],[CODIGO]],LISTADO[CODIGOS],LISTADO[UBICACIÓN]),"NO EXISTE")</f>
        <v/>
      </c>
      <c r="F1199" s="56">
        <f>SUMIFS(ENTRADAS[CANTIDAD],ENTRADAS[CODIGO],PRODUCTOS[[#This Row],[CODIGO]])</f>
        <v/>
      </c>
      <c r="G1199" s="56">
        <f>SUMIFS(SALIDAS[CANTIDAD],SALIDAS[CODIGO],PRODUCTOS[[#This Row],[CODIGO]])</f>
        <v/>
      </c>
      <c r="H1199" s="56">
        <f>PRODUCTOS[[#This Row],[ENTRADAS]]-PRODUCTOS[[#This Row],[SALIDAS ]]</f>
        <v/>
      </c>
      <c r="I1199" s="76" t="n">
        <v>0</v>
      </c>
      <c r="J1199">
        <f>IF(PRODUCTOS[[#This Row],[STOCK]]&lt;0,"NEGATIVO",IF(PRODUCTOS[[#This Row],[STOCK]]=0,"SIN STOCK",IF(PRODUCTOS[[#This Row],[STOCK]]&lt;=PRODUCTOS[[#This Row],[STOCK MÍN.]],"BAJO","OK")))</f>
        <v/>
      </c>
      <c r="K119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00" hidden="1" s="11">
      <c r="A1200" s="18" t="n"/>
      <c r="B1200" s="56" t="inlineStr">
        <is>
          <t>00136-HER</t>
        </is>
      </c>
      <c r="C1200" s="56">
        <f>IFERROR(_xlfn.XLOOKUP(PRODUCTOS[[#This Row],[CODIGO]],LISTADO[CODIGOS],LISTADO[CATEGORIA]),"NO EXISTE")</f>
        <v/>
      </c>
      <c r="D1200" s="56">
        <f>IFERROR(_xlfn.XLOOKUP(PRODUCTOS[[#This Row],[CODIGO]],LISTADO[CODIGOS],LISTADO[PRODUCTOS]),"NO EXISTE")</f>
        <v/>
      </c>
      <c r="E1200" s="56">
        <f>IFERROR(_xlfn.XLOOKUP(PRODUCTOS[[#This Row],[CODIGO]],LISTADO[CODIGOS],LISTADO[UBICACIÓN]),"NO EXISTE")</f>
        <v/>
      </c>
      <c r="F1200" s="56">
        <f>SUMIFS(ENTRADAS[CANTIDAD],ENTRADAS[CODIGO],PRODUCTOS[[#This Row],[CODIGO]])</f>
        <v/>
      </c>
      <c r="G1200" s="56">
        <f>SUMIFS(SALIDAS[CANTIDAD],SALIDAS[CODIGO],PRODUCTOS[[#This Row],[CODIGO]])</f>
        <v/>
      </c>
      <c r="H1200" s="56">
        <f>PRODUCTOS[[#This Row],[ENTRADAS]]-PRODUCTOS[[#This Row],[SALIDAS ]]</f>
        <v/>
      </c>
      <c r="I1200" s="76" t="n">
        <v>0</v>
      </c>
      <c r="J1200">
        <f>IF(PRODUCTOS[[#This Row],[STOCK]]&lt;0,"NEGATIVO",IF(PRODUCTOS[[#This Row],[STOCK]]=0,"SIN STOCK",IF(PRODUCTOS[[#This Row],[STOCK]]&lt;=PRODUCTOS[[#This Row],[STOCK MÍN.]],"BAJO","OK")))</f>
        <v/>
      </c>
      <c r="K120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01" hidden="1" s="11">
      <c r="A1201" s="18" t="n"/>
      <c r="B1201" s="56" t="inlineStr">
        <is>
          <t>00087-ELC</t>
        </is>
      </c>
      <c r="C1201" s="56">
        <f>IFERROR(_xlfn.XLOOKUP(PRODUCTOS[[#This Row],[CODIGO]],LISTADO[CODIGOS],LISTADO[CATEGORIA]),"NO EXISTE")</f>
        <v/>
      </c>
      <c r="D1201" s="56">
        <f>IFERROR(_xlfn.XLOOKUP(PRODUCTOS[[#This Row],[CODIGO]],LISTADO[CODIGOS],LISTADO[PRODUCTOS]),"NO EXISTE")</f>
        <v/>
      </c>
      <c r="E1201" s="56">
        <f>IFERROR(_xlfn.XLOOKUP(PRODUCTOS[[#This Row],[CODIGO]],LISTADO[CODIGOS],LISTADO[UBICACIÓN]),"NO EXISTE")</f>
        <v/>
      </c>
      <c r="F1201" s="56">
        <f>SUMIFS(ENTRADAS[CANTIDAD],ENTRADAS[CODIGO],PRODUCTOS[[#This Row],[CODIGO]])</f>
        <v/>
      </c>
      <c r="G1201" s="56">
        <f>SUMIFS(SALIDAS[CANTIDAD],SALIDAS[CODIGO],PRODUCTOS[[#This Row],[CODIGO]])</f>
        <v/>
      </c>
      <c r="H1201" s="56">
        <f>PRODUCTOS[[#This Row],[ENTRADAS]]-PRODUCTOS[[#This Row],[SALIDAS ]]</f>
        <v/>
      </c>
      <c r="I1201" s="76" t="n">
        <v>0</v>
      </c>
      <c r="J1201">
        <f>IF(PRODUCTOS[[#This Row],[STOCK]]&lt;0,"NEGATIVO",IF(PRODUCTOS[[#This Row],[STOCK]]=0,"SIN STOCK",IF(PRODUCTOS[[#This Row],[STOCK]]&lt;=PRODUCTOS[[#This Row],[STOCK MÍN.]],"BAJO","OK")))</f>
        <v/>
      </c>
      <c r="K120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02" hidden="1" s="11">
      <c r="A1202" s="18" t="n"/>
      <c r="B1202" s="56" t="inlineStr">
        <is>
          <t>00088-ELC</t>
        </is>
      </c>
      <c r="C1202" s="56">
        <f>IFERROR(_xlfn.XLOOKUP(PRODUCTOS[[#This Row],[CODIGO]],LISTADO[CODIGOS],LISTADO[CATEGORIA]),"NO EXISTE")</f>
        <v/>
      </c>
      <c r="D1202" s="56">
        <f>IFERROR(_xlfn.XLOOKUP(PRODUCTOS[[#This Row],[CODIGO]],LISTADO[CODIGOS],LISTADO[PRODUCTOS]),"NO EXISTE")</f>
        <v/>
      </c>
      <c r="E1202" s="56">
        <f>IFERROR(_xlfn.XLOOKUP(PRODUCTOS[[#This Row],[CODIGO]],LISTADO[CODIGOS],LISTADO[UBICACIÓN]),"NO EXISTE")</f>
        <v/>
      </c>
      <c r="F1202" s="56">
        <f>SUMIFS(ENTRADAS[CANTIDAD],ENTRADAS[CODIGO],PRODUCTOS[[#This Row],[CODIGO]])</f>
        <v/>
      </c>
      <c r="G1202" s="56">
        <f>SUMIFS(SALIDAS[CANTIDAD],SALIDAS[CODIGO],PRODUCTOS[[#This Row],[CODIGO]])</f>
        <v/>
      </c>
      <c r="H1202" s="56">
        <f>PRODUCTOS[[#This Row],[ENTRADAS]]-PRODUCTOS[[#This Row],[SALIDAS ]]</f>
        <v/>
      </c>
      <c r="I1202" s="76" t="n">
        <v>0</v>
      </c>
      <c r="J1202">
        <f>IF(PRODUCTOS[[#This Row],[STOCK]]&lt;0,"NEGATIVO",IF(PRODUCTOS[[#This Row],[STOCK]]=0,"SIN STOCK",IF(PRODUCTOS[[#This Row],[STOCK]]&lt;=PRODUCTOS[[#This Row],[STOCK MÍN.]],"BAJO","OK")))</f>
        <v/>
      </c>
      <c r="K120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03" hidden="1" s="11">
      <c r="A1203" s="18" t="n"/>
      <c r="B1203" s="56" t="inlineStr">
        <is>
          <t>00247-FER</t>
        </is>
      </c>
      <c r="C1203" s="56">
        <f>IFERROR(_xlfn.XLOOKUP(PRODUCTOS[[#This Row],[CODIGO]],LISTADO[CODIGOS],LISTADO[CATEGORIA]),"NO EXISTE")</f>
        <v/>
      </c>
      <c r="D1203" s="56">
        <f>IFERROR(_xlfn.XLOOKUP(PRODUCTOS[[#This Row],[CODIGO]],LISTADO[CODIGOS],LISTADO[PRODUCTOS]),"NO EXISTE")</f>
        <v/>
      </c>
      <c r="E1203" s="56">
        <f>IFERROR(_xlfn.XLOOKUP(PRODUCTOS[[#This Row],[CODIGO]],LISTADO[CODIGOS],LISTADO[UBICACIÓN]),"NO EXISTE")</f>
        <v/>
      </c>
      <c r="F1203" s="56">
        <f>SUMIFS(ENTRADAS[CANTIDAD],ENTRADAS[CODIGO],PRODUCTOS[[#This Row],[CODIGO]])</f>
        <v/>
      </c>
      <c r="G1203" s="56">
        <f>SUMIFS(SALIDAS[CANTIDAD],SALIDAS[CODIGO],PRODUCTOS[[#This Row],[CODIGO]])</f>
        <v/>
      </c>
      <c r="H1203" s="56">
        <f>PRODUCTOS[[#This Row],[ENTRADAS]]-PRODUCTOS[[#This Row],[SALIDAS ]]</f>
        <v/>
      </c>
      <c r="I1203" s="76" t="n">
        <v>0</v>
      </c>
      <c r="J1203">
        <f>IF(PRODUCTOS[[#This Row],[STOCK]]&lt;0,"NEGATIVO",IF(PRODUCTOS[[#This Row],[STOCK]]=0,"SIN STOCK",IF(PRODUCTOS[[#This Row],[STOCK]]&lt;=PRODUCTOS[[#This Row],[STOCK MÍN.]],"BAJO","OK")))</f>
        <v/>
      </c>
      <c r="K120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04" hidden="1" s="11">
      <c r="A1204" s="18" t="n"/>
      <c r="B1204" s="56" t="inlineStr">
        <is>
          <t>00248-FER</t>
        </is>
      </c>
      <c r="C1204" s="56">
        <f>IFERROR(_xlfn.XLOOKUP(PRODUCTOS[[#This Row],[CODIGO]],LISTADO[CODIGOS],LISTADO[CATEGORIA]),"NO EXISTE")</f>
        <v/>
      </c>
      <c r="D1204" s="56">
        <f>IFERROR(_xlfn.XLOOKUP(PRODUCTOS[[#This Row],[CODIGO]],LISTADO[CODIGOS],LISTADO[PRODUCTOS]),"NO EXISTE")</f>
        <v/>
      </c>
      <c r="E1204" s="56">
        <f>IFERROR(_xlfn.XLOOKUP(PRODUCTOS[[#This Row],[CODIGO]],LISTADO[CODIGOS],LISTADO[UBICACIÓN]),"NO EXISTE")</f>
        <v/>
      </c>
      <c r="F1204" s="56">
        <f>SUMIFS(ENTRADAS[CANTIDAD],ENTRADAS[CODIGO],PRODUCTOS[[#This Row],[CODIGO]])</f>
        <v/>
      </c>
      <c r="G1204" s="56">
        <f>SUMIFS(SALIDAS[CANTIDAD],SALIDAS[CODIGO],PRODUCTOS[[#This Row],[CODIGO]])</f>
        <v/>
      </c>
      <c r="H1204" s="56">
        <f>PRODUCTOS[[#This Row],[ENTRADAS]]-PRODUCTOS[[#This Row],[SALIDAS ]]</f>
        <v/>
      </c>
      <c r="I1204" s="76" t="n">
        <v>0</v>
      </c>
      <c r="J1204">
        <f>IF(PRODUCTOS[[#This Row],[STOCK]]&lt;0,"NEGATIVO",IF(PRODUCTOS[[#This Row],[STOCK]]=0,"SIN STOCK",IF(PRODUCTOS[[#This Row],[STOCK]]&lt;=PRODUCTOS[[#This Row],[STOCK MÍN.]],"BAJO","OK")))</f>
        <v/>
      </c>
      <c r="K120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05" hidden="1" s="11">
      <c r="A1205" s="18" t="n"/>
      <c r="B1205" s="56" t="inlineStr">
        <is>
          <t>00137-HER</t>
        </is>
      </c>
      <c r="C1205" s="56">
        <f>IFERROR(_xlfn.XLOOKUP(PRODUCTOS[[#This Row],[CODIGO]],LISTADO[CODIGOS],LISTADO[CATEGORIA]),"NO EXISTE")</f>
        <v/>
      </c>
      <c r="D1205" s="56">
        <f>IFERROR(_xlfn.XLOOKUP(PRODUCTOS[[#This Row],[CODIGO]],LISTADO[CODIGOS],LISTADO[PRODUCTOS]),"NO EXISTE")</f>
        <v/>
      </c>
      <c r="E1205" s="56">
        <f>IFERROR(_xlfn.XLOOKUP(PRODUCTOS[[#This Row],[CODIGO]],LISTADO[CODIGOS],LISTADO[UBICACIÓN]),"NO EXISTE")</f>
        <v/>
      </c>
      <c r="F1205" s="56">
        <f>SUMIFS(ENTRADAS[CANTIDAD],ENTRADAS[CODIGO],PRODUCTOS[[#This Row],[CODIGO]])</f>
        <v/>
      </c>
      <c r="G1205" s="56">
        <f>SUMIFS(SALIDAS[CANTIDAD],SALIDAS[CODIGO],PRODUCTOS[[#This Row],[CODIGO]])</f>
        <v/>
      </c>
      <c r="H1205" s="56">
        <f>PRODUCTOS[[#This Row],[ENTRADAS]]-PRODUCTOS[[#This Row],[SALIDAS ]]</f>
        <v/>
      </c>
      <c r="I1205" s="76" t="n">
        <v>0</v>
      </c>
      <c r="J1205">
        <f>IF(PRODUCTOS[[#This Row],[STOCK]]&lt;0,"NEGATIVO",IF(PRODUCTOS[[#This Row],[STOCK]]=0,"SIN STOCK",IF(PRODUCTOS[[#This Row],[STOCK]]&lt;=PRODUCTOS[[#This Row],[STOCK MÍN.]],"BAJO","OK")))</f>
        <v/>
      </c>
      <c r="K120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06" hidden="1" s="11">
      <c r="A1206" s="18" t="n"/>
      <c r="B1206" s="56" t="inlineStr">
        <is>
          <t>00249-FER</t>
        </is>
      </c>
      <c r="C1206" s="56">
        <f>IFERROR(_xlfn.XLOOKUP(PRODUCTOS[[#This Row],[CODIGO]],LISTADO[CODIGOS],LISTADO[CATEGORIA]),"NO EXISTE")</f>
        <v/>
      </c>
      <c r="D1206" s="56">
        <f>IFERROR(_xlfn.XLOOKUP(PRODUCTOS[[#This Row],[CODIGO]],LISTADO[CODIGOS],LISTADO[PRODUCTOS]),"NO EXISTE")</f>
        <v/>
      </c>
      <c r="E1206" s="56">
        <f>IFERROR(_xlfn.XLOOKUP(PRODUCTOS[[#This Row],[CODIGO]],LISTADO[CODIGOS],LISTADO[UBICACIÓN]),"NO EXISTE")</f>
        <v/>
      </c>
      <c r="F1206" s="56">
        <f>SUMIFS(ENTRADAS[CANTIDAD],ENTRADAS[CODIGO],PRODUCTOS[[#This Row],[CODIGO]])</f>
        <v/>
      </c>
      <c r="G1206" s="56">
        <f>SUMIFS(SALIDAS[CANTIDAD],SALIDAS[CODIGO],PRODUCTOS[[#This Row],[CODIGO]])</f>
        <v/>
      </c>
      <c r="H1206" s="56">
        <f>PRODUCTOS[[#This Row],[ENTRADAS]]-PRODUCTOS[[#This Row],[SALIDAS ]]</f>
        <v/>
      </c>
      <c r="I1206" s="76" t="n">
        <v>0</v>
      </c>
      <c r="J1206">
        <f>IF(PRODUCTOS[[#This Row],[STOCK]]&lt;0,"NEGATIVO",IF(PRODUCTOS[[#This Row],[STOCK]]=0,"SIN STOCK",IF(PRODUCTOS[[#This Row],[STOCK]]&lt;=PRODUCTOS[[#This Row],[STOCK MÍN.]],"BAJO","OK")))</f>
        <v/>
      </c>
      <c r="K120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07" hidden="1" s="11">
      <c r="A1207" s="18" t="n"/>
      <c r="B1207" s="56" t="inlineStr">
        <is>
          <t>00250-FER</t>
        </is>
      </c>
      <c r="C1207" s="56">
        <f>IFERROR(_xlfn.XLOOKUP(PRODUCTOS[[#This Row],[CODIGO]],LISTADO[CODIGOS],LISTADO[CATEGORIA]),"NO EXISTE")</f>
        <v/>
      </c>
      <c r="D1207" s="56">
        <f>IFERROR(_xlfn.XLOOKUP(PRODUCTOS[[#This Row],[CODIGO]],LISTADO[CODIGOS],LISTADO[PRODUCTOS]),"NO EXISTE")</f>
        <v/>
      </c>
      <c r="E1207" s="56">
        <f>IFERROR(_xlfn.XLOOKUP(PRODUCTOS[[#This Row],[CODIGO]],LISTADO[CODIGOS],LISTADO[UBICACIÓN]),"NO EXISTE")</f>
        <v/>
      </c>
      <c r="F1207" s="56">
        <f>SUMIFS(ENTRADAS[CANTIDAD],ENTRADAS[CODIGO],PRODUCTOS[[#This Row],[CODIGO]])</f>
        <v/>
      </c>
      <c r="G1207" s="56">
        <f>SUMIFS(SALIDAS[CANTIDAD],SALIDAS[CODIGO],PRODUCTOS[[#This Row],[CODIGO]])</f>
        <v/>
      </c>
      <c r="H1207" s="56">
        <f>PRODUCTOS[[#This Row],[ENTRADAS]]-PRODUCTOS[[#This Row],[SALIDAS ]]</f>
        <v/>
      </c>
      <c r="I1207" s="76" t="n">
        <v>0</v>
      </c>
      <c r="J1207">
        <f>IF(PRODUCTOS[[#This Row],[STOCK]]&lt;0,"NEGATIVO",IF(PRODUCTOS[[#This Row],[STOCK]]=0,"SIN STOCK",IF(PRODUCTOS[[#This Row],[STOCK]]&lt;=PRODUCTOS[[#This Row],[STOCK MÍN.]],"BAJO","OK")))</f>
        <v/>
      </c>
      <c r="K120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08" hidden="1" s="11">
      <c r="A1208" s="18" t="n"/>
      <c r="B1208" s="56" t="inlineStr">
        <is>
          <t>00251-FER</t>
        </is>
      </c>
      <c r="C1208" s="56">
        <f>IFERROR(_xlfn.XLOOKUP(PRODUCTOS[[#This Row],[CODIGO]],LISTADO[CODIGOS],LISTADO[CATEGORIA]),"NO EXISTE")</f>
        <v/>
      </c>
      <c r="D1208" s="56">
        <f>IFERROR(_xlfn.XLOOKUP(PRODUCTOS[[#This Row],[CODIGO]],LISTADO[CODIGOS],LISTADO[PRODUCTOS]),"NO EXISTE")</f>
        <v/>
      </c>
      <c r="E1208" s="56">
        <f>IFERROR(_xlfn.XLOOKUP(PRODUCTOS[[#This Row],[CODIGO]],LISTADO[CODIGOS],LISTADO[UBICACIÓN]),"NO EXISTE")</f>
        <v/>
      </c>
      <c r="F1208" s="56">
        <f>SUMIFS(ENTRADAS[CANTIDAD],ENTRADAS[CODIGO],PRODUCTOS[[#This Row],[CODIGO]])</f>
        <v/>
      </c>
      <c r="G1208" s="56">
        <f>SUMIFS(SALIDAS[CANTIDAD],SALIDAS[CODIGO],PRODUCTOS[[#This Row],[CODIGO]])</f>
        <v/>
      </c>
      <c r="H1208" s="56">
        <f>PRODUCTOS[[#This Row],[ENTRADAS]]-PRODUCTOS[[#This Row],[SALIDAS ]]</f>
        <v/>
      </c>
      <c r="I1208" s="76" t="n">
        <v>0</v>
      </c>
      <c r="J1208">
        <f>IF(PRODUCTOS[[#This Row],[STOCK]]&lt;0,"NEGATIVO",IF(PRODUCTOS[[#This Row],[STOCK]]=0,"SIN STOCK",IF(PRODUCTOS[[#This Row],[STOCK]]&lt;=PRODUCTOS[[#This Row],[STOCK MÍN.]],"BAJO","OK")))</f>
        <v/>
      </c>
      <c r="K120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09" hidden="1" s="11">
      <c r="A1209" s="18" t="n"/>
      <c r="B1209" s="56" t="inlineStr">
        <is>
          <t>00252-FER</t>
        </is>
      </c>
      <c r="C1209" s="56">
        <f>IFERROR(_xlfn.XLOOKUP(PRODUCTOS[[#This Row],[CODIGO]],LISTADO[CODIGOS],LISTADO[CATEGORIA]),"NO EXISTE")</f>
        <v/>
      </c>
      <c r="D1209" s="56">
        <f>IFERROR(_xlfn.XLOOKUP(PRODUCTOS[[#This Row],[CODIGO]],LISTADO[CODIGOS],LISTADO[PRODUCTOS]),"NO EXISTE")</f>
        <v/>
      </c>
      <c r="E1209" s="56">
        <f>IFERROR(_xlfn.XLOOKUP(PRODUCTOS[[#This Row],[CODIGO]],LISTADO[CODIGOS],LISTADO[UBICACIÓN]),"NO EXISTE")</f>
        <v/>
      </c>
      <c r="F1209" s="56">
        <f>SUMIFS(ENTRADAS[CANTIDAD],ENTRADAS[CODIGO],PRODUCTOS[[#This Row],[CODIGO]])</f>
        <v/>
      </c>
      <c r="G1209" s="56">
        <f>SUMIFS(SALIDAS[CANTIDAD],SALIDAS[CODIGO],PRODUCTOS[[#This Row],[CODIGO]])</f>
        <v/>
      </c>
      <c r="H1209" s="56">
        <f>PRODUCTOS[[#This Row],[ENTRADAS]]-PRODUCTOS[[#This Row],[SALIDAS ]]</f>
        <v/>
      </c>
      <c r="I1209" s="76" t="n">
        <v>0</v>
      </c>
      <c r="J1209">
        <f>IF(PRODUCTOS[[#This Row],[STOCK]]&lt;0,"NEGATIVO",IF(PRODUCTOS[[#This Row],[STOCK]]=0,"SIN STOCK",IF(PRODUCTOS[[#This Row],[STOCK]]&lt;=PRODUCTOS[[#This Row],[STOCK MÍN.]],"BAJO","OK")))</f>
        <v/>
      </c>
      <c r="K120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10" hidden="1" s="11">
      <c r="A1210" s="18" t="n"/>
      <c r="B1210" s="56" t="inlineStr">
        <is>
          <t>00079-PLM</t>
        </is>
      </c>
      <c r="C1210" s="56">
        <f>IFERROR(_xlfn.XLOOKUP(PRODUCTOS[[#This Row],[CODIGO]],LISTADO[CODIGOS],LISTADO[CATEGORIA]),"NO EXISTE")</f>
        <v/>
      </c>
      <c r="D1210" s="56">
        <f>IFERROR(_xlfn.XLOOKUP(PRODUCTOS[[#This Row],[CODIGO]],LISTADO[CODIGOS],LISTADO[PRODUCTOS]),"NO EXISTE")</f>
        <v/>
      </c>
      <c r="E1210" s="56">
        <f>IFERROR(_xlfn.XLOOKUP(PRODUCTOS[[#This Row],[CODIGO]],LISTADO[CODIGOS],LISTADO[UBICACIÓN]),"NO EXISTE")</f>
        <v/>
      </c>
      <c r="F1210" s="56">
        <f>SUMIFS(ENTRADAS[CANTIDAD],ENTRADAS[CODIGO],PRODUCTOS[[#This Row],[CODIGO]])</f>
        <v/>
      </c>
      <c r="G1210" s="56">
        <f>SUMIFS(SALIDAS[CANTIDAD],SALIDAS[CODIGO],PRODUCTOS[[#This Row],[CODIGO]])</f>
        <v/>
      </c>
      <c r="H1210" s="56">
        <f>PRODUCTOS[[#This Row],[ENTRADAS]]-PRODUCTOS[[#This Row],[SALIDAS ]]</f>
        <v/>
      </c>
      <c r="I1210" s="76" t="n">
        <v>0</v>
      </c>
      <c r="J1210">
        <f>IF(PRODUCTOS[[#This Row],[STOCK]]&lt;0,"NEGATIVO",IF(PRODUCTOS[[#This Row],[STOCK]]=0,"SIN STOCK",IF(PRODUCTOS[[#This Row],[STOCK]]&lt;=PRODUCTOS[[#This Row],[STOCK MÍN.]],"BAJO","OK")))</f>
        <v/>
      </c>
      <c r="K121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11" hidden="1" s="11">
      <c r="A1211" s="18" t="n"/>
      <c r="B1211" s="56" t="inlineStr">
        <is>
          <t>00253-FER</t>
        </is>
      </c>
      <c r="C1211" s="56">
        <f>IFERROR(_xlfn.XLOOKUP(PRODUCTOS[[#This Row],[CODIGO]],LISTADO[CODIGOS],LISTADO[CATEGORIA]),"NO EXISTE")</f>
        <v/>
      </c>
      <c r="D1211" s="56">
        <f>IFERROR(_xlfn.XLOOKUP(PRODUCTOS[[#This Row],[CODIGO]],LISTADO[CODIGOS],LISTADO[PRODUCTOS]),"NO EXISTE")</f>
        <v/>
      </c>
      <c r="E1211" s="56">
        <f>IFERROR(_xlfn.XLOOKUP(PRODUCTOS[[#This Row],[CODIGO]],LISTADO[CODIGOS],LISTADO[UBICACIÓN]),"NO EXISTE")</f>
        <v/>
      </c>
      <c r="F1211" s="56">
        <f>SUMIFS(ENTRADAS[CANTIDAD],ENTRADAS[CODIGO],PRODUCTOS[[#This Row],[CODIGO]])</f>
        <v/>
      </c>
      <c r="G1211" s="56">
        <f>SUMIFS(SALIDAS[CANTIDAD],SALIDAS[CODIGO],PRODUCTOS[[#This Row],[CODIGO]])</f>
        <v/>
      </c>
      <c r="H1211" s="56">
        <f>PRODUCTOS[[#This Row],[ENTRADAS]]-PRODUCTOS[[#This Row],[SALIDAS ]]</f>
        <v/>
      </c>
      <c r="I1211" s="76" t="n">
        <v>0</v>
      </c>
      <c r="J1211">
        <f>IF(PRODUCTOS[[#This Row],[STOCK]]&lt;0,"NEGATIVO",IF(PRODUCTOS[[#This Row],[STOCK]]=0,"SIN STOCK",IF(PRODUCTOS[[#This Row],[STOCK]]&lt;=PRODUCTOS[[#This Row],[STOCK MÍN.]],"BAJO","OK")))</f>
        <v/>
      </c>
      <c r="K121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12" hidden="1" s="11">
      <c r="A1212" s="18" t="n"/>
      <c r="B1212" s="56" t="inlineStr">
        <is>
          <t>00254-FER</t>
        </is>
      </c>
      <c r="C1212" s="56">
        <f>IFERROR(_xlfn.XLOOKUP(PRODUCTOS[[#This Row],[CODIGO]],LISTADO[CODIGOS],LISTADO[CATEGORIA]),"NO EXISTE")</f>
        <v/>
      </c>
      <c r="D1212" s="56">
        <f>IFERROR(_xlfn.XLOOKUP(PRODUCTOS[[#This Row],[CODIGO]],LISTADO[CODIGOS],LISTADO[PRODUCTOS]),"NO EXISTE")</f>
        <v/>
      </c>
      <c r="E1212" s="56">
        <f>IFERROR(_xlfn.XLOOKUP(PRODUCTOS[[#This Row],[CODIGO]],LISTADO[CODIGOS],LISTADO[UBICACIÓN]),"NO EXISTE")</f>
        <v/>
      </c>
      <c r="F1212" s="56">
        <f>SUMIFS(ENTRADAS[CANTIDAD],ENTRADAS[CODIGO],PRODUCTOS[[#This Row],[CODIGO]])</f>
        <v/>
      </c>
      <c r="G1212" s="56">
        <f>SUMIFS(SALIDAS[CANTIDAD],SALIDAS[CODIGO],PRODUCTOS[[#This Row],[CODIGO]])</f>
        <v/>
      </c>
      <c r="H1212" s="56">
        <f>PRODUCTOS[[#This Row],[ENTRADAS]]-PRODUCTOS[[#This Row],[SALIDAS ]]</f>
        <v/>
      </c>
      <c r="I1212" s="76" t="n">
        <v>0</v>
      </c>
      <c r="J1212">
        <f>IF(PRODUCTOS[[#This Row],[STOCK]]&lt;0,"NEGATIVO",IF(PRODUCTOS[[#This Row],[STOCK]]=0,"SIN STOCK",IF(PRODUCTOS[[#This Row],[STOCK]]&lt;=PRODUCTOS[[#This Row],[STOCK MÍN.]],"BAJO","OK")))</f>
        <v/>
      </c>
      <c r="K121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13" hidden="1" s="11">
      <c r="A1213" s="18" t="n"/>
      <c r="B1213" s="56" t="inlineStr">
        <is>
          <t>00255-FER</t>
        </is>
      </c>
      <c r="C1213" s="56">
        <f>IFERROR(_xlfn.XLOOKUP(PRODUCTOS[[#This Row],[CODIGO]],LISTADO[CODIGOS],LISTADO[CATEGORIA]),"NO EXISTE")</f>
        <v/>
      </c>
      <c r="D1213" s="56">
        <f>IFERROR(_xlfn.XLOOKUP(PRODUCTOS[[#This Row],[CODIGO]],LISTADO[CODIGOS],LISTADO[PRODUCTOS]),"NO EXISTE")</f>
        <v/>
      </c>
      <c r="E1213" s="56">
        <f>IFERROR(_xlfn.XLOOKUP(PRODUCTOS[[#This Row],[CODIGO]],LISTADO[CODIGOS],LISTADO[UBICACIÓN]),"NO EXISTE")</f>
        <v/>
      </c>
      <c r="F1213" s="56">
        <f>SUMIFS(ENTRADAS[CANTIDAD],ENTRADAS[CODIGO],PRODUCTOS[[#This Row],[CODIGO]])</f>
        <v/>
      </c>
      <c r="G1213" s="56">
        <f>SUMIFS(SALIDAS[CANTIDAD],SALIDAS[CODIGO],PRODUCTOS[[#This Row],[CODIGO]])</f>
        <v/>
      </c>
      <c r="H1213" s="56">
        <f>PRODUCTOS[[#This Row],[ENTRADAS]]-PRODUCTOS[[#This Row],[SALIDAS ]]</f>
        <v/>
      </c>
      <c r="I1213" s="76" t="n">
        <v>0</v>
      </c>
      <c r="J1213">
        <f>IF(PRODUCTOS[[#This Row],[STOCK]]&lt;0,"NEGATIVO",IF(PRODUCTOS[[#This Row],[STOCK]]=0,"SIN STOCK",IF(PRODUCTOS[[#This Row],[STOCK]]&lt;=PRODUCTOS[[#This Row],[STOCK MÍN.]],"BAJO","OK")))</f>
        <v/>
      </c>
      <c r="K121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14" hidden="1" s="11">
      <c r="A1214" s="18" t="n"/>
      <c r="B1214" s="56" t="inlineStr">
        <is>
          <t>00161-REF</t>
        </is>
      </c>
      <c r="C1214" s="56">
        <f>IFERROR(_xlfn.XLOOKUP(PRODUCTOS[[#This Row],[CODIGO]],LISTADO[CODIGOS],LISTADO[CATEGORIA]),"NO EXISTE")</f>
        <v/>
      </c>
      <c r="D1214" s="56">
        <f>IFERROR(_xlfn.XLOOKUP(PRODUCTOS[[#This Row],[CODIGO]],LISTADO[CODIGOS],LISTADO[PRODUCTOS]),"NO EXISTE")</f>
        <v/>
      </c>
      <c r="E1214" s="56">
        <f>IFERROR(_xlfn.XLOOKUP(PRODUCTOS[[#This Row],[CODIGO]],LISTADO[CODIGOS],LISTADO[UBICACIÓN]),"NO EXISTE")</f>
        <v/>
      </c>
      <c r="F1214" s="56">
        <f>SUMIFS(ENTRADAS[CANTIDAD],ENTRADAS[CODIGO],PRODUCTOS[[#This Row],[CODIGO]])</f>
        <v/>
      </c>
      <c r="G1214" s="56">
        <f>SUMIFS(SALIDAS[CANTIDAD],SALIDAS[CODIGO],PRODUCTOS[[#This Row],[CODIGO]])</f>
        <v/>
      </c>
      <c r="H1214" s="56">
        <f>PRODUCTOS[[#This Row],[ENTRADAS]]-PRODUCTOS[[#This Row],[SALIDAS ]]</f>
        <v/>
      </c>
      <c r="I1214" s="76" t="n">
        <v>0</v>
      </c>
      <c r="J1214">
        <f>IF(PRODUCTOS[[#This Row],[STOCK]]&lt;0,"NEGATIVO",IF(PRODUCTOS[[#This Row],[STOCK]]=0,"SIN STOCK",IF(PRODUCTOS[[#This Row],[STOCK]]&lt;=PRODUCTOS[[#This Row],[STOCK MÍN.]],"BAJO","OK")))</f>
        <v/>
      </c>
      <c r="K121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15" hidden="1" s="11">
      <c r="A1215" s="18" t="n"/>
      <c r="B1215" s="56" t="inlineStr">
        <is>
          <t>00162-REF</t>
        </is>
      </c>
      <c r="C1215" s="56">
        <f>IFERROR(_xlfn.XLOOKUP(PRODUCTOS[[#This Row],[CODIGO]],LISTADO[CODIGOS],LISTADO[CATEGORIA]),"NO EXISTE")</f>
        <v/>
      </c>
      <c r="D1215" s="56">
        <f>IFERROR(_xlfn.XLOOKUP(PRODUCTOS[[#This Row],[CODIGO]],LISTADO[CODIGOS],LISTADO[PRODUCTOS]),"NO EXISTE")</f>
        <v/>
      </c>
      <c r="E1215" s="56">
        <f>IFERROR(_xlfn.XLOOKUP(PRODUCTOS[[#This Row],[CODIGO]],LISTADO[CODIGOS],LISTADO[UBICACIÓN]),"NO EXISTE")</f>
        <v/>
      </c>
      <c r="F1215" s="56">
        <f>SUMIFS(ENTRADAS[CANTIDAD],ENTRADAS[CODIGO],PRODUCTOS[[#This Row],[CODIGO]])</f>
        <v/>
      </c>
      <c r="G1215" s="56">
        <f>SUMIFS(SALIDAS[CANTIDAD],SALIDAS[CODIGO],PRODUCTOS[[#This Row],[CODIGO]])</f>
        <v/>
      </c>
      <c r="H1215" s="56">
        <f>PRODUCTOS[[#This Row],[ENTRADAS]]-PRODUCTOS[[#This Row],[SALIDAS ]]</f>
        <v/>
      </c>
      <c r="I1215" s="76" t="n">
        <v>0</v>
      </c>
      <c r="J1215">
        <f>IF(PRODUCTOS[[#This Row],[STOCK]]&lt;0,"NEGATIVO",IF(PRODUCTOS[[#This Row],[STOCK]]=0,"SIN STOCK",IF(PRODUCTOS[[#This Row],[STOCK]]&lt;=PRODUCTOS[[#This Row],[STOCK MÍN.]],"BAJO","OK")))</f>
        <v/>
      </c>
      <c r="K121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16" hidden="1" s="11">
      <c r="A1216" s="18" t="n"/>
      <c r="B1216" s="56" t="inlineStr">
        <is>
          <t>00256-FER</t>
        </is>
      </c>
      <c r="C1216" s="56">
        <f>IFERROR(_xlfn.XLOOKUP(PRODUCTOS[[#This Row],[CODIGO]],LISTADO[CODIGOS],LISTADO[CATEGORIA]),"NO EXISTE")</f>
        <v/>
      </c>
      <c r="D1216" s="56">
        <f>IFERROR(_xlfn.XLOOKUP(PRODUCTOS[[#This Row],[CODIGO]],LISTADO[CODIGOS],LISTADO[PRODUCTOS]),"NO EXISTE")</f>
        <v/>
      </c>
      <c r="E1216" s="56">
        <f>IFERROR(_xlfn.XLOOKUP(PRODUCTOS[[#This Row],[CODIGO]],LISTADO[CODIGOS],LISTADO[UBICACIÓN]),"NO EXISTE")</f>
        <v/>
      </c>
      <c r="F1216" s="56">
        <f>SUMIFS(ENTRADAS[CANTIDAD],ENTRADAS[CODIGO],PRODUCTOS[[#This Row],[CODIGO]])</f>
        <v/>
      </c>
      <c r="G1216" s="56">
        <f>SUMIFS(SALIDAS[CANTIDAD],SALIDAS[CODIGO],PRODUCTOS[[#This Row],[CODIGO]])</f>
        <v/>
      </c>
      <c r="H1216" s="56">
        <f>PRODUCTOS[[#This Row],[ENTRADAS]]-PRODUCTOS[[#This Row],[SALIDAS ]]</f>
        <v/>
      </c>
      <c r="I1216" s="76" t="n">
        <v>0</v>
      </c>
      <c r="J1216">
        <f>IF(PRODUCTOS[[#This Row],[STOCK]]&lt;0,"NEGATIVO",IF(PRODUCTOS[[#This Row],[STOCK]]=0,"SIN STOCK",IF(PRODUCTOS[[#This Row],[STOCK]]&lt;=PRODUCTOS[[#This Row],[STOCK MÍN.]],"BAJO","OK")))</f>
        <v/>
      </c>
      <c r="K121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17" hidden="1" s="11">
      <c r="A1217" s="18" t="n"/>
      <c r="B1217" s="56" t="inlineStr">
        <is>
          <t>00163-REF</t>
        </is>
      </c>
      <c r="C1217" s="56">
        <f>IFERROR(_xlfn.XLOOKUP(PRODUCTOS[[#This Row],[CODIGO]],LISTADO[CODIGOS],LISTADO[CATEGORIA]),"NO EXISTE")</f>
        <v/>
      </c>
      <c r="D1217" s="56">
        <f>IFERROR(_xlfn.XLOOKUP(PRODUCTOS[[#This Row],[CODIGO]],LISTADO[CODIGOS],LISTADO[PRODUCTOS]),"NO EXISTE")</f>
        <v/>
      </c>
      <c r="E1217" s="56">
        <f>IFERROR(_xlfn.XLOOKUP(PRODUCTOS[[#This Row],[CODIGO]],LISTADO[CODIGOS],LISTADO[UBICACIÓN]),"NO EXISTE")</f>
        <v/>
      </c>
      <c r="F1217" s="56">
        <f>SUMIFS(ENTRADAS[CANTIDAD],ENTRADAS[CODIGO],PRODUCTOS[[#This Row],[CODIGO]])</f>
        <v/>
      </c>
      <c r="G1217" s="56">
        <f>SUMIFS(SALIDAS[CANTIDAD],SALIDAS[CODIGO],PRODUCTOS[[#This Row],[CODIGO]])</f>
        <v/>
      </c>
      <c r="H1217" s="56">
        <f>PRODUCTOS[[#This Row],[ENTRADAS]]-PRODUCTOS[[#This Row],[SALIDAS ]]</f>
        <v/>
      </c>
      <c r="I1217" s="76" t="n">
        <v>0</v>
      </c>
      <c r="J1217">
        <f>IF(PRODUCTOS[[#This Row],[STOCK]]&lt;0,"NEGATIVO",IF(PRODUCTOS[[#This Row],[STOCK]]=0,"SIN STOCK",IF(PRODUCTOS[[#This Row],[STOCK]]&lt;=PRODUCTOS[[#This Row],[STOCK MÍN.]],"BAJO","OK")))</f>
        <v/>
      </c>
      <c r="K121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18" hidden="1" s="11">
      <c r="A1218" s="18" t="n"/>
      <c r="B1218" s="56" t="inlineStr">
        <is>
          <t>00164-REF</t>
        </is>
      </c>
      <c r="C1218" s="56">
        <f>IFERROR(_xlfn.XLOOKUP(PRODUCTOS[[#This Row],[CODIGO]],LISTADO[CODIGOS],LISTADO[CATEGORIA]),"NO EXISTE")</f>
        <v/>
      </c>
      <c r="D1218" s="56">
        <f>IFERROR(_xlfn.XLOOKUP(PRODUCTOS[[#This Row],[CODIGO]],LISTADO[CODIGOS],LISTADO[PRODUCTOS]),"NO EXISTE")</f>
        <v/>
      </c>
      <c r="E1218" s="56">
        <f>IFERROR(_xlfn.XLOOKUP(PRODUCTOS[[#This Row],[CODIGO]],LISTADO[CODIGOS],LISTADO[UBICACIÓN]),"NO EXISTE")</f>
        <v/>
      </c>
      <c r="F1218" s="56">
        <f>SUMIFS(ENTRADAS[CANTIDAD],ENTRADAS[CODIGO],PRODUCTOS[[#This Row],[CODIGO]])</f>
        <v/>
      </c>
      <c r="G1218" s="56">
        <f>SUMIFS(SALIDAS[CANTIDAD],SALIDAS[CODIGO],PRODUCTOS[[#This Row],[CODIGO]])</f>
        <v/>
      </c>
      <c r="H1218" s="56">
        <f>PRODUCTOS[[#This Row],[ENTRADAS]]-PRODUCTOS[[#This Row],[SALIDAS ]]</f>
        <v/>
      </c>
      <c r="I1218" s="76" t="n">
        <v>0</v>
      </c>
      <c r="J1218">
        <f>IF(PRODUCTOS[[#This Row],[STOCK]]&lt;0,"NEGATIVO",IF(PRODUCTOS[[#This Row],[STOCK]]=0,"SIN STOCK",IF(PRODUCTOS[[#This Row],[STOCK]]&lt;=PRODUCTOS[[#This Row],[STOCK MÍN.]],"BAJO","OK")))</f>
        <v/>
      </c>
      <c r="K121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19" hidden="1" s="11">
      <c r="A1219" s="18" t="n"/>
      <c r="B1219" s="56" t="inlineStr">
        <is>
          <t>00165-REF</t>
        </is>
      </c>
      <c r="C1219" s="56">
        <f>IFERROR(_xlfn.XLOOKUP(PRODUCTOS[[#This Row],[CODIGO]],LISTADO[CODIGOS],LISTADO[CATEGORIA]),"NO EXISTE")</f>
        <v/>
      </c>
      <c r="D1219" s="56">
        <f>IFERROR(_xlfn.XLOOKUP(PRODUCTOS[[#This Row],[CODIGO]],LISTADO[CODIGOS],LISTADO[PRODUCTOS]),"NO EXISTE")</f>
        <v/>
      </c>
      <c r="E1219" s="56">
        <f>IFERROR(_xlfn.XLOOKUP(PRODUCTOS[[#This Row],[CODIGO]],LISTADO[CODIGOS],LISTADO[UBICACIÓN]),"NO EXISTE")</f>
        <v/>
      </c>
      <c r="F1219" s="56">
        <f>SUMIFS(ENTRADAS[CANTIDAD],ENTRADAS[CODIGO],PRODUCTOS[[#This Row],[CODIGO]])</f>
        <v/>
      </c>
      <c r="G1219" s="56">
        <f>SUMIFS(SALIDAS[CANTIDAD],SALIDAS[CODIGO],PRODUCTOS[[#This Row],[CODIGO]])</f>
        <v/>
      </c>
      <c r="H1219" s="56">
        <f>PRODUCTOS[[#This Row],[ENTRADAS]]-PRODUCTOS[[#This Row],[SALIDAS ]]</f>
        <v/>
      </c>
      <c r="I1219" s="76" t="n">
        <v>0</v>
      </c>
      <c r="J1219">
        <f>IF(PRODUCTOS[[#This Row],[STOCK]]&lt;0,"NEGATIVO",IF(PRODUCTOS[[#This Row],[STOCK]]=0,"SIN STOCK",IF(PRODUCTOS[[#This Row],[STOCK]]&lt;=PRODUCTOS[[#This Row],[STOCK MÍN.]],"BAJO","OK")))</f>
        <v/>
      </c>
      <c r="K121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20" hidden="1" s="11">
      <c r="A1220" s="18" t="n"/>
      <c r="B1220" s="56" t="inlineStr">
        <is>
          <t>00166-REF</t>
        </is>
      </c>
      <c r="C1220" s="56">
        <f>IFERROR(_xlfn.XLOOKUP(PRODUCTOS[[#This Row],[CODIGO]],LISTADO[CODIGOS],LISTADO[CATEGORIA]),"NO EXISTE")</f>
        <v/>
      </c>
      <c r="D1220" s="56">
        <f>IFERROR(_xlfn.XLOOKUP(PRODUCTOS[[#This Row],[CODIGO]],LISTADO[CODIGOS],LISTADO[PRODUCTOS]),"NO EXISTE")</f>
        <v/>
      </c>
      <c r="E1220" s="56">
        <f>IFERROR(_xlfn.XLOOKUP(PRODUCTOS[[#This Row],[CODIGO]],LISTADO[CODIGOS],LISTADO[UBICACIÓN]),"NO EXISTE")</f>
        <v/>
      </c>
      <c r="F1220" s="56">
        <f>SUMIFS(ENTRADAS[CANTIDAD],ENTRADAS[CODIGO],PRODUCTOS[[#This Row],[CODIGO]])</f>
        <v/>
      </c>
      <c r="G1220" s="56">
        <f>SUMIFS(SALIDAS[CANTIDAD],SALIDAS[CODIGO],PRODUCTOS[[#This Row],[CODIGO]])</f>
        <v/>
      </c>
      <c r="H1220" s="56">
        <f>PRODUCTOS[[#This Row],[ENTRADAS]]-PRODUCTOS[[#This Row],[SALIDAS ]]</f>
        <v/>
      </c>
      <c r="I1220" s="76" t="n">
        <v>0</v>
      </c>
      <c r="J1220">
        <f>IF(PRODUCTOS[[#This Row],[STOCK]]&lt;0,"NEGATIVO",IF(PRODUCTOS[[#This Row],[STOCK]]=0,"SIN STOCK",IF(PRODUCTOS[[#This Row],[STOCK]]&lt;=PRODUCTOS[[#This Row],[STOCK MÍN.]],"BAJO","OK")))</f>
        <v/>
      </c>
      <c r="K122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21" hidden="1" s="11">
      <c r="A1221" s="18" t="n"/>
      <c r="B1221" s="56" t="inlineStr">
        <is>
          <t>00167-REF</t>
        </is>
      </c>
      <c r="C1221" s="56">
        <f>IFERROR(_xlfn.XLOOKUP(PRODUCTOS[[#This Row],[CODIGO]],LISTADO[CODIGOS],LISTADO[CATEGORIA]),"NO EXISTE")</f>
        <v/>
      </c>
      <c r="D1221" s="56">
        <f>IFERROR(_xlfn.XLOOKUP(PRODUCTOS[[#This Row],[CODIGO]],LISTADO[CODIGOS],LISTADO[PRODUCTOS]),"NO EXISTE")</f>
        <v/>
      </c>
      <c r="E1221" s="56">
        <f>IFERROR(_xlfn.XLOOKUP(PRODUCTOS[[#This Row],[CODIGO]],LISTADO[CODIGOS],LISTADO[UBICACIÓN]),"NO EXISTE")</f>
        <v/>
      </c>
      <c r="F1221" s="56">
        <f>SUMIFS(ENTRADAS[CANTIDAD],ENTRADAS[CODIGO],PRODUCTOS[[#This Row],[CODIGO]])</f>
        <v/>
      </c>
      <c r="G1221" s="56">
        <f>SUMIFS(SALIDAS[CANTIDAD],SALIDAS[CODIGO],PRODUCTOS[[#This Row],[CODIGO]])</f>
        <v/>
      </c>
      <c r="H1221" s="56">
        <f>PRODUCTOS[[#This Row],[ENTRADAS]]-PRODUCTOS[[#This Row],[SALIDAS ]]</f>
        <v/>
      </c>
      <c r="I1221" s="76" t="n">
        <v>0</v>
      </c>
      <c r="J1221">
        <f>IF(PRODUCTOS[[#This Row],[STOCK]]&lt;0,"NEGATIVO",IF(PRODUCTOS[[#This Row],[STOCK]]=0,"SIN STOCK",IF(PRODUCTOS[[#This Row],[STOCK]]&lt;=PRODUCTOS[[#This Row],[STOCK MÍN.]],"BAJO","OK")))</f>
        <v/>
      </c>
      <c r="K122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22" hidden="1" s="11">
      <c r="A1222" s="18" t="n"/>
      <c r="B1222" s="56" t="inlineStr">
        <is>
          <t>00257-FER</t>
        </is>
      </c>
      <c r="C1222" s="56">
        <f>IFERROR(_xlfn.XLOOKUP(PRODUCTOS[[#This Row],[CODIGO]],LISTADO[CODIGOS],LISTADO[CATEGORIA]),"NO EXISTE")</f>
        <v/>
      </c>
      <c r="D1222" s="56">
        <f>IFERROR(_xlfn.XLOOKUP(PRODUCTOS[[#This Row],[CODIGO]],LISTADO[CODIGOS],LISTADO[PRODUCTOS]),"NO EXISTE")</f>
        <v/>
      </c>
      <c r="E1222" s="56">
        <f>IFERROR(_xlfn.XLOOKUP(PRODUCTOS[[#This Row],[CODIGO]],LISTADO[CODIGOS],LISTADO[UBICACIÓN]),"NO EXISTE")</f>
        <v/>
      </c>
      <c r="F1222" s="56">
        <f>SUMIFS(ENTRADAS[CANTIDAD],ENTRADAS[CODIGO],PRODUCTOS[[#This Row],[CODIGO]])</f>
        <v/>
      </c>
      <c r="G1222" s="56">
        <f>SUMIFS(SALIDAS[CANTIDAD],SALIDAS[CODIGO],PRODUCTOS[[#This Row],[CODIGO]])</f>
        <v/>
      </c>
      <c r="H1222" s="56">
        <f>PRODUCTOS[[#This Row],[ENTRADAS]]-PRODUCTOS[[#This Row],[SALIDAS ]]</f>
        <v/>
      </c>
      <c r="I1222" s="76" t="n">
        <v>0</v>
      </c>
      <c r="J1222">
        <f>IF(PRODUCTOS[[#This Row],[STOCK]]&lt;0,"NEGATIVO",IF(PRODUCTOS[[#This Row],[STOCK]]=0,"SIN STOCK",IF(PRODUCTOS[[#This Row],[STOCK]]&lt;=PRODUCTOS[[#This Row],[STOCK MÍN.]],"BAJO","OK")))</f>
        <v/>
      </c>
      <c r="K122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23" hidden="1" s="11">
      <c r="A1223" s="18" t="n"/>
      <c r="B1223" s="56" t="inlineStr">
        <is>
          <t>00258-FER</t>
        </is>
      </c>
      <c r="C1223" s="56">
        <f>IFERROR(_xlfn.XLOOKUP(PRODUCTOS[[#This Row],[CODIGO]],LISTADO[CODIGOS],LISTADO[CATEGORIA]),"NO EXISTE")</f>
        <v/>
      </c>
      <c r="D1223" s="56">
        <f>IFERROR(_xlfn.XLOOKUP(PRODUCTOS[[#This Row],[CODIGO]],LISTADO[CODIGOS],LISTADO[PRODUCTOS]),"NO EXISTE")</f>
        <v/>
      </c>
      <c r="E1223" s="56">
        <f>IFERROR(_xlfn.XLOOKUP(PRODUCTOS[[#This Row],[CODIGO]],LISTADO[CODIGOS],LISTADO[UBICACIÓN]),"NO EXISTE")</f>
        <v/>
      </c>
      <c r="F1223" s="56">
        <f>SUMIFS(ENTRADAS[CANTIDAD],ENTRADAS[CODIGO],PRODUCTOS[[#This Row],[CODIGO]])</f>
        <v/>
      </c>
      <c r="G1223" s="56">
        <f>SUMIFS(SALIDAS[CANTIDAD],SALIDAS[CODIGO],PRODUCTOS[[#This Row],[CODIGO]])</f>
        <v/>
      </c>
      <c r="H1223" s="56">
        <f>PRODUCTOS[[#This Row],[ENTRADAS]]-PRODUCTOS[[#This Row],[SALIDAS ]]</f>
        <v/>
      </c>
      <c r="I1223" s="76" t="n">
        <v>0</v>
      </c>
      <c r="J1223">
        <f>IF(PRODUCTOS[[#This Row],[STOCK]]&lt;0,"NEGATIVO",IF(PRODUCTOS[[#This Row],[STOCK]]=0,"SIN STOCK",IF(PRODUCTOS[[#This Row],[STOCK]]&lt;=PRODUCTOS[[#This Row],[STOCK MÍN.]],"BAJO","OK")))</f>
        <v/>
      </c>
      <c r="K122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24" hidden="1" s="11">
      <c r="A1224" s="18" t="n"/>
      <c r="B1224" s="56" t="inlineStr">
        <is>
          <t>00259-FER</t>
        </is>
      </c>
      <c r="C1224" s="56">
        <f>IFERROR(_xlfn.XLOOKUP(PRODUCTOS[[#This Row],[CODIGO]],LISTADO[CODIGOS],LISTADO[CATEGORIA]),"NO EXISTE")</f>
        <v/>
      </c>
      <c r="D1224" s="56">
        <f>IFERROR(_xlfn.XLOOKUP(PRODUCTOS[[#This Row],[CODIGO]],LISTADO[CODIGOS],LISTADO[PRODUCTOS]),"NO EXISTE")</f>
        <v/>
      </c>
      <c r="E1224" s="56">
        <f>IFERROR(_xlfn.XLOOKUP(PRODUCTOS[[#This Row],[CODIGO]],LISTADO[CODIGOS],LISTADO[UBICACIÓN]),"NO EXISTE")</f>
        <v/>
      </c>
      <c r="F1224" s="56">
        <f>SUMIFS(ENTRADAS[CANTIDAD],ENTRADAS[CODIGO],PRODUCTOS[[#This Row],[CODIGO]])</f>
        <v/>
      </c>
      <c r="G1224" s="56">
        <f>SUMIFS(SALIDAS[CANTIDAD],SALIDAS[CODIGO],PRODUCTOS[[#This Row],[CODIGO]])</f>
        <v/>
      </c>
      <c r="H1224" s="56">
        <f>PRODUCTOS[[#This Row],[ENTRADAS]]-PRODUCTOS[[#This Row],[SALIDAS ]]</f>
        <v/>
      </c>
      <c r="I1224" s="76" t="n">
        <v>0</v>
      </c>
      <c r="J1224">
        <f>IF(PRODUCTOS[[#This Row],[STOCK]]&lt;0,"NEGATIVO",IF(PRODUCTOS[[#This Row],[STOCK]]=0,"SIN STOCK",IF(PRODUCTOS[[#This Row],[STOCK]]&lt;=PRODUCTOS[[#This Row],[STOCK MÍN.]],"BAJO","OK")))</f>
        <v/>
      </c>
      <c r="K122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25" hidden="1" s="11">
      <c r="A1225" s="18" t="n"/>
      <c r="B1225" s="56" t="inlineStr">
        <is>
          <t>00168-REF</t>
        </is>
      </c>
      <c r="C1225" s="56">
        <f>IFERROR(_xlfn.XLOOKUP(PRODUCTOS[[#This Row],[CODIGO]],LISTADO[CODIGOS],LISTADO[CATEGORIA]),"NO EXISTE")</f>
        <v/>
      </c>
      <c r="D1225" s="56">
        <f>IFERROR(_xlfn.XLOOKUP(PRODUCTOS[[#This Row],[CODIGO]],LISTADO[CODIGOS],LISTADO[PRODUCTOS]),"NO EXISTE")</f>
        <v/>
      </c>
      <c r="E1225" s="56">
        <f>IFERROR(_xlfn.XLOOKUP(PRODUCTOS[[#This Row],[CODIGO]],LISTADO[CODIGOS],LISTADO[UBICACIÓN]),"NO EXISTE")</f>
        <v/>
      </c>
      <c r="F1225" s="56">
        <f>SUMIFS(ENTRADAS[CANTIDAD],ENTRADAS[CODIGO],PRODUCTOS[[#This Row],[CODIGO]])</f>
        <v/>
      </c>
      <c r="G1225" s="56">
        <f>SUMIFS(SALIDAS[CANTIDAD],SALIDAS[CODIGO],PRODUCTOS[[#This Row],[CODIGO]])</f>
        <v/>
      </c>
      <c r="H1225" s="56">
        <f>PRODUCTOS[[#This Row],[ENTRADAS]]-PRODUCTOS[[#This Row],[SALIDAS ]]</f>
        <v/>
      </c>
      <c r="I1225" s="76" t="n">
        <v>0</v>
      </c>
      <c r="J1225">
        <f>IF(PRODUCTOS[[#This Row],[STOCK]]&lt;0,"NEGATIVO",IF(PRODUCTOS[[#This Row],[STOCK]]=0,"SIN STOCK",IF(PRODUCTOS[[#This Row],[STOCK]]&lt;=PRODUCTOS[[#This Row],[STOCK MÍN.]],"BAJO","OK")))</f>
        <v/>
      </c>
      <c r="K122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26" hidden="1" s="11">
      <c r="A1226" s="18" t="n"/>
      <c r="B1226" s="56" t="inlineStr">
        <is>
          <t>00260-FER</t>
        </is>
      </c>
      <c r="C1226" s="56">
        <f>IFERROR(_xlfn.XLOOKUP(PRODUCTOS[[#This Row],[CODIGO]],LISTADO[CODIGOS],LISTADO[CATEGORIA]),"NO EXISTE")</f>
        <v/>
      </c>
      <c r="D1226" s="56">
        <f>IFERROR(_xlfn.XLOOKUP(PRODUCTOS[[#This Row],[CODIGO]],LISTADO[CODIGOS],LISTADO[PRODUCTOS]),"NO EXISTE")</f>
        <v/>
      </c>
      <c r="E1226" s="56">
        <f>IFERROR(_xlfn.XLOOKUP(PRODUCTOS[[#This Row],[CODIGO]],LISTADO[CODIGOS],LISTADO[UBICACIÓN]),"NO EXISTE")</f>
        <v/>
      </c>
      <c r="F1226" s="56">
        <f>SUMIFS(ENTRADAS[CANTIDAD],ENTRADAS[CODIGO],PRODUCTOS[[#This Row],[CODIGO]])</f>
        <v/>
      </c>
      <c r="G1226" s="56">
        <f>SUMIFS(SALIDAS[CANTIDAD],SALIDAS[CODIGO],PRODUCTOS[[#This Row],[CODIGO]])</f>
        <v/>
      </c>
      <c r="H1226" s="56">
        <f>PRODUCTOS[[#This Row],[ENTRADAS]]-PRODUCTOS[[#This Row],[SALIDAS ]]</f>
        <v/>
      </c>
      <c r="I1226" s="76" t="n">
        <v>0</v>
      </c>
      <c r="J1226">
        <f>IF(PRODUCTOS[[#This Row],[STOCK]]&lt;0,"NEGATIVO",IF(PRODUCTOS[[#This Row],[STOCK]]=0,"SIN STOCK",IF(PRODUCTOS[[#This Row],[STOCK]]&lt;=PRODUCTOS[[#This Row],[STOCK MÍN.]],"BAJO","OK")))</f>
        <v/>
      </c>
      <c r="K122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27" hidden="1" s="11">
      <c r="A1227" s="18" t="n"/>
      <c r="B1227" s="56" t="inlineStr">
        <is>
          <t>00169-REF</t>
        </is>
      </c>
      <c r="C1227" s="56">
        <f>IFERROR(_xlfn.XLOOKUP(PRODUCTOS[[#This Row],[CODIGO]],LISTADO[CODIGOS],LISTADO[CATEGORIA]),"NO EXISTE")</f>
        <v/>
      </c>
      <c r="D1227" s="56">
        <f>IFERROR(_xlfn.XLOOKUP(PRODUCTOS[[#This Row],[CODIGO]],LISTADO[CODIGOS],LISTADO[PRODUCTOS]),"NO EXISTE")</f>
        <v/>
      </c>
      <c r="E1227" s="56">
        <f>IFERROR(_xlfn.XLOOKUP(PRODUCTOS[[#This Row],[CODIGO]],LISTADO[CODIGOS],LISTADO[UBICACIÓN]),"NO EXISTE")</f>
        <v/>
      </c>
      <c r="F1227" s="56">
        <f>SUMIFS(ENTRADAS[CANTIDAD],ENTRADAS[CODIGO],PRODUCTOS[[#This Row],[CODIGO]])</f>
        <v/>
      </c>
      <c r="G1227" s="56">
        <f>SUMIFS(SALIDAS[CANTIDAD],SALIDAS[CODIGO],PRODUCTOS[[#This Row],[CODIGO]])</f>
        <v/>
      </c>
      <c r="H1227" s="56">
        <f>PRODUCTOS[[#This Row],[ENTRADAS]]-PRODUCTOS[[#This Row],[SALIDAS ]]</f>
        <v/>
      </c>
      <c r="I1227" s="76" t="n">
        <v>0</v>
      </c>
      <c r="J1227">
        <f>IF(PRODUCTOS[[#This Row],[STOCK]]&lt;0,"NEGATIVO",IF(PRODUCTOS[[#This Row],[STOCK]]=0,"SIN STOCK",IF(PRODUCTOS[[#This Row],[STOCK]]&lt;=PRODUCTOS[[#This Row],[STOCK MÍN.]],"BAJO","OK")))</f>
        <v/>
      </c>
      <c r="K122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28" hidden="1" s="11">
      <c r="A1228" s="18" t="n"/>
      <c r="B1228" s="56" t="inlineStr">
        <is>
          <t>00261-FER</t>
        </is>
      </c>
      <c r="C1228" s="56">
        <f>IFERROR(_xlfn.XLOOKUP(PRODUCTOS[[#This Row],[CODIGO]],LISTADO[CODIGOS],LISTADO[CATEGORIA]),"NO EXISTE")</f>
        <v/>
      </c>
      <c r="D1228" s="56">
        <f>IFERROR(_xlfn.XLOOKUP(PRODUCTOS[[#This Row],[CODIGO]],LISTADO[CODIGOS],LISTADO[PRODUCTOS]),"NO EXISTE")</f>
        <v/>
      </c>
      <c r="E1228" s="56">
        <f>IFERROR(_xlfn.XLOOKUP(PRODUCTOS[[#This Row],[CODIGO]],LISTADO[CODIGOS],LISTADO[UBICACIÓN]),"NO EXISTE")</f>
        <v/>
      </c>
      <c r="F1228" s="56">
        <f>SUMIFS(ENTRADAS[CANTIDAD],ENTRADAS[CODIGO],PRODUCTOS[[#This Row],[CODIGO]])</f>
        <v/>
      </c>
      <c r="G1228" s="56">
        <f>SUMIFS(SALIDAS[CANTIDAD],SALIDAS[CODIGO],PRODUCTOS[[#This Row],[CODIGO]])</f>
        <v/>
      </c>
      <c r="H1228" s="56">
        <f>PRODUCTOS[[#This Row],[ENTRADAS]]-PRODUCTOS[[#This Row],[SALIDAS ]]</f>
        <v/>
      </c>
      <c r="I1228" s="76" t="n">
        <v>0</v>
      </c>
      <c r="J1228">
        <f>IF(PRODUCTOS[[#This Row],[STOCK]]&lt;0,"NEGATIVO",IF(PRODUCTOS[[#This Row],[STOCK]]=0,"SIN STOCK",IF(PRODUCTOS[[#This Row],[STOCK]]&lt;=PRODUCTOS[[#This Row],[STOCK MÍN.]],"BAJO","OK")))</f>
        <v/>
      </c>
      <c r="K122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29" hidden="1" s="11">
      <c r="A1229" s="18" t="n"/>
      <c r="B1229" s="56" t="inlineStr">
        <is>
          <t>00138-HER</t>
        </is>
      </c>
      <c r="C1229" s="56">
        <f>IFERROR(_xlfn.XLOOKUP(PRODUCTOS[[#This Row],[CODIGO]],LISTADO[CODIGOS],LISTADO[CATEGORIA]),"NO EXISTE")</f>
        <v/>
      </c>
      <c r="D1229" s="56">
        <f>IFERROR(_xlfn.XLOOKUP(PRODUCTOS[[#This Row],[CODIGO]],LISTADO[CODIGOS],LISTADO[PRODUCTOS]),"NO EXISTE")</f>
        <v/>
      </c>
      <c r="E1229" s="56">
        <f>IFERROR(_xlfn.XLOOKUP(PRODUCTOS[[#This Row],[CODIGO]],LISTADO[CODIGOS],LISTADO[UBICACIÓN]),"NO EXISTE")</f>
        <v/>
      </c>
      <c r="F1229" s="56">
        <f>SUMIFS(ENTRADAS[CANTIDAD],ENTRADAS[CODIGO],PRODUCTOS[[#This Row],[CODIGO]])</f>
        <v/>
      </c>
      <c r="G1229" s="56">
        <f>SUMIFS(SALIDAS[CANTIDAD],SALIDAS[CODIGO],PRODUCTOS[[#This Row],[CODIGO]])</f>
        <v/>
      </c>
      <c r="H1229" s="56">
        <f>PRODUCTOS[[#This Row],[ENTRADAS]]-PRODUCTOS[[#This Row],[SALIDAS ]]</f>
        <v/>
      </c>
      <c r="I1229" s="76" t="n">
        <v>0</v>
      </c>
      <c r="J1229">
        <f>IF(PRODUCTOS[[#This Row],[STOCK]]&lt;0,"NEGATIVO",IF(PRODUCTOS[[#This Row],[STOCK]]=0,"SIN STOCK",IF(PRODUCTOS[[#This Row],[STOCK]]&lt;=PRODUCTOS[[#This Row],[STOCK MÍN.]],"BAJO","OK")))</f>
        <v/>
      </c>
      <c r="K122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30" hidden="1" s="11">
      <c r="A1230" s="18" t="n"/>
      <c r="B1230" s="56" t="inlineStr">
        <is>
          <t>00052-AUT</t>
        </is>
      </c>
      <c r="C1230" s="56">
        <f>IFERROR(_xlfn.XLOOKUP(PRODUCTOS[[#This Row],[CODIGO]],LISTADO[CODIGOS],LISTADO[CATEGORIA]),"NO EXISTE")</f>
        <v/>
      </c>
      <c r="D1230" s="56">
        <f>IFERROR(_xlfn.XLOOKUP(PRODUCTOS[[#This Row],[CODIGO]],LISTADO[CODIGOS],LISTADO[PRODUCTOS]),"NO EXISTE")</f>
        <v/>
      </c>
      <c r="E1230" s="56">
        <f>IFERROR(_xlfn.XLOOKUP(PRODUCTOS[[#This Row],[CODIGO]],LISTADO[CODIGOS],LISTADO[UBICACIÓN]),"NO EXISTE")</f>
        <v/>
      </c>
      <c r="F1230" s="56">
        <f>SUMIFS(ENTRADAS[CANTIDAD],ENTRADAS[CODIGO],PRODUCTOS[[#This Row],[CODIGO]])</f>
        <v/>
      </c>
      <c r="G1230" s="56">
        <f>SUMIFS(SALIDAS[CANTIDAD],SALIDAS[CODIGO],PRODUCTOS[[#This Row],[CODIGO]])</f>
        <v/>
      </c>
      <c r="H1230" s="56">
        <f>PRODUCTOS[[#This Row],[ENTRADAS]]-PRODUCTOS[[#This Row],[SALIDAS ]]</f>
        <v/>
      </c>
      <c r="I1230" s="76" t="n">
        <v>0</v>
      </c>
      <c r="J1230">
        <f>IF(PRODUCTOS[[#This Row],[STOCK]]&lt;0,"NEGATIVO",IF(PRODUCTOS[[#This Row],[STOCK]]=0,"SIN STOCK",IF(PRODUCTOS[[#This Row],[STOCK]]&lt;=PRODUCTOS[[#This Row],[STOCK MÍN.]],"BAJO","OK")))</f>
        <v/>
      </c>
      <c r="K123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31" hidden="1" s="11">
      <c r="A1231" s="18" t="n"/>
      <c r="B1231" s="56" t="inlineStr">
        <is>
          <t>00068-HRR</t>
        </is>
      </c>
      <c r="C1231" s="56">
        <f>IFERROR(_xlfn.XLOOKUP(PRODUCTOS[[#This Row],[CODIGO]],LISTADO[CODIGOS],LISTADO[CATEGORIA]),"NO EXISTE")</f>
        <v/>
      </c>
      <c r="D1231" s="56">
        <f>IFERROR(_xlfn.XLOOKUP(PRODUCTOS[[#This Row],[CODIGO]],LISTADO[CODIGOS],LISTADO[PRODUCTOS]),"NO EXISTE")</f>
        <v/>
      </c>
      <c r="E1231" s="56">
        <f>IFERROR(_xlfn.XLOOKUP(PRODUCTOS[[#This Row],[CODIGO]],LISTADO[CODIGOS],LISTADO[UBICACIÓN]),"NO EXISTE")</f>
        <v/>
      </c>
      <c r="F1231" s="56">
        <f>SUMIFS(ENTRADAS[CANTIDAD],ENTRADAS[CODIGO],PRODUCTOS[[#This Row],[CODIGO]])</f>
        <v/>
      </c>
      <c r="G1231" s="56">
        <f>SUMIFS(SALIDAS[CANTIDAD],SALIDAS[CODIGO],PRODUCTOS[[#This Row],[CODIGO]])</f>
        <v/>
      </c>
      <c r="H1231" s="56">
        <f>PRODUCTOS[[#This Row],[ENTRADAS]]-PRODUCTOS[[#This Row],[SALIDAS ]]</f>
        <v/>
      </c>
      <c r="I1231" s="76" t="n">
        <v>0</v>
      </c>
      <c r="J1231">
        <f>IF(PRODUCTOS[[#This Row],[STOCK]]&lt;0,"NEGATIVO",IF(PRODUCTOS[[#This Row],[STOCK]]=0,"SIN STOCK",IF(PRODUCTOS[[#This Row],[STOCK]]&lt;=PRODUCTOS[[#This Row],[STOCK MÍN.]],"BAJO","OK")))</f>
        <v/>
      </c>
      <c r="K123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32">
      <c r="A1232" s="18" t="n"/>
      <c r="B1232" s="56" t="inlineStr">
        <is>
          <t>00124-ELE</t>
        </is>
      </c>
      <c r="C1232" s="56">
        <f>IFERROR(_xlfn.XLOOKUP(PRODUCTOS[[#This Row],[CODIGO]],LISTADO[CODIGOS],LISTADO[CATEGORIA]),"NO EXISTE")</f>
        <v/>
      </c>
      <c r="D1232" s="56">
        <f>IFERROR(_xlfn.XLOOKUP(PRODUCTOS[[#This Row],[CODIGO]],LISTADO[CODIGOS],LISTADO[PRODUCTOS]),"NO EXISTE")</f>
        <v/>
      </c>
      <c r="E1232" s="56">
        <f>IFERROR(_xlfn.XLOOKUP(PRODUCTOS[[#This Row],[CODIGO]],LISTADO[CODIGOS],LISTADO[UBICACIÓN]),"NO EXISTE")</f>
        <v/>
      </c>
      <c r="F1232" s="56">
        <f>SUMIFS(ENTRADAS[CANTIDAD],ENTRADAS[CODIGO],PRODUCTOS[[#This Row],[CODIGO]])</f>
        <v/>
      </c>
      <c r="G1232" s="56">
        <f>SUMIFS(SALIDAS[CANTIDAD],SALIDAS[CODIGO],PRODUCTOS[[#This Row],[CODIGO]])</f>
        <v/>
      </c>
      <c r="H1232" s="56">
        <f>PRODUCTOS[[#This Row],[ENTRADAS]]-PRODUCTOS[[#This Row],[SALIDAS ]]</f>
        <v/>
      </c>
      <c r="I1232" s="76" t="n">
        <v>0</v>
      </c>
      <c r="J1232">
        <f>IF(PRODUCTOS[[#This Row],[STOCK]]&lt;0,"NEGATIVO",IF(PRODUCTOS[[#This Row],[STOCK]]=0,"SIN STOCK",IF(PRODUCTOS[[#This Row],[STOCK]]&lt;=PRODUCTOS[[#This Row],[STOCK MÍN.]],"BAJO","OK")))</f>
        <v/>
      </c>
      <c r="K123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33">
      <c r="A1233" s="18" t="n"/>
      <c r="B1233" s="56" t="inlineStr">
        <is>
          <t>00125-ELE</t>
        </is>
      </c>
      <c r="C1233" s="56">
        <f>IFERROR(_xlfn.XLOOKUP(PRODUCTOS[[#This Row],[CODIGO]],LISTADO[CODIGOS],LISTADO[CATEGORIA]),"NO EXISTE")</f>
        <v/>
      </c>
      <c r="D1233" s="56">
        <f>IFERROR(_xlfn.XLOOKUP(PRODUCTOS[[#This Row],[CODIGO]],LISTADO[CODIGOS],LISTADO[PRODUCTOS]),"NO EXISTE")</f>
        <v/>
      </c>
      <c r="E1233" s="56">
        <f>IFERROR(_xlfn.XLOOKUP(PRODUCTOS[[#This Row],[CODIGO]],LISTADO[CODIGOS],LISTADO[UBICACIÓN]),"NO EXISTE")</f>
        <v/>
      </c>
      <c r="F1233" s="56">
        <f>SUMIFS(ENTRADAS[CANTIDAD],ENTRADAS[CODIGO],PRODUCTOS[[#This Row],[CODIGO]])</f>
        <v/>
      </c>
      <c r="G1233" s="56">
        <f>SUMIFS(SALIDAS[CANTIDAD],SALIDAS[CODIGO],PRODUCTOS[[#This Row],[CODIGO]])</f>
        <v/>
      </c>
      <c r="H1233" s="56">
        <f>PRODUCTOS[[#This Row],[ENTRADAS]]-PRODUCTOS[[#This Row],[SALIDAS ]]</f>
        <v/>
      </c>
      <c r="I1233" s="76" t="n">
        <v>0</v>
      </c>
      <c r="J1233">
        <f>IF(PRODUCTOS[[#This Row],[STOCK]]&lt;0,"NEGATIVO",IF(PRODUCTOS[[#This Row],[STOCK]]=0,"SIN STOCK",IF(PRODUCTOS[[#This Row],[STOCK]]&lt;=PRODUCTOS[[#This Row],[STOCK MÍN.]],"BAJO","OK")))</f>
        <v/>
      </c>
      <c r="K123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34" hidden="1" s="11">
      <c r="A1234" s="18" t="n"/>
      <c r="B1234" s="56" t="inlineStr">
        <is>
          <t>00139-HER</t>
        </is>
      </c>
      <c r="C1234" s="56">
        <f>IFERROR(_xlfn.XLOOKUP(PRODUCTOS[[#This Row],[CODIGO]],LISTADO[CODIGOS],LISTADO[CATEGORIA]),"NO EXISTE")</f>
        <v/>
      </c>
      <c r="D1234" s="56">
        <f>IFERROR(_xlfn.XLOOKUP(PRODUCTOS[[#This Row],[CODIGO]],LISTADO[CODIGOS],LISTADO[PRODUCTOS]),"NO EXISTE")</f>
        <v/>
      </c>
      <c r="E1234" s="56">
        <f>IFERROR(_xlfn.XLOOKUP(PRODUCTOS[[#This Row],[CODIGO]],LISTADO[CODIGOS],LISTADO[UBICACIÓN]),"NO EXISTE")</f>
        <v/>
      </c>
      <c r="F1234" s="56">
        <f>SUMIFS(ENTRADAS[CANTIDAD],ENTRADAS[CODIGO],PRODUCTOS[[#This Row],[CODIGO]])</f>
        <v/>
      </c>
      <c r="G1234" s="56">
        <f>SUMIFS(SALIDAS[CANTIDAD],SALIDAS[CODIGO],PRODUCTOS[[#This Row],[CODIGO]])</f>
        <v/>
      </c>
      <c r="H1234" s="56">
        <f>PRODUCTOS[[#This Row],[ENTRADAS]]-PRODUCTOS[[#This Row],[SALIDAS ]]</f>
        <v/>
      </c>
      <c r="I1234" s="76" t="n">
        <v>0</v>
      </c>
      <c r="J1234">
        <f>IF(PRODUCTOS[[#This Row],[STOCK]]&lt;0,"NEGATIVO",IF(PRODUCTOS[[#This Row],[STOCK]]=0,"SIN STOCK",IF(PRODUCTOS[[#This Row],[STOCK]]&lt;=PRODUCTOS[[#This Row],[STOCK MÍN.]],"BAJO","OK")))</f>
        <v/>
      </c>
      <c r="K123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35" hidden="1" s="11">
      <c r="A1235" s="18" t="n"/>
      <c r="B1235" s="56" t="inlineStr">
        <is>
          <t>00080-PLM</t>
        </is>
      </c>
      <c r="C1235" s="56">
        <f>IFERROR(_xlfn.XLOOKUP(PRODUCTOS[[#This Row],[CODIGO]],LISTADO[CODIGOS],LISTADO[CATEGORIA]),"NO EXISTE")</f>
        <v/>
      </c>
      <c r="D1235" s="56">
        <f>IFERROR(_xlfn.XLOOKUP(PRODUCTOS[[#This Row],[CODIGO]],LISTADO[CODIGOS],LISTADO[PRODUCTOS]),"NO EXISTE")</f>
        <v/>
      </c>
      <c r="E1235" s="56">
        <f>IFERROR(_xlfn.XLOOKUP(PRODUCTOS[[#This Row],[CODIGO]],LISTADO[CODIGOS],LISTADO[UBICACIÓN]),"NO EXISTE")</f>
        <v/>
      </c>
      <c r="F1235" s="56">
        <f>SUMIFS(ENTRADAS[CANTIDAD],ENTRADAS[CODIGO],PRODUCTOS[[#This Row],[CODIGO]])</f>
        <v/>
      </c>
      <c r="G1235" s="56">
        <f>SUMIFS(SALIDAS[CANTIDAD],SALIDAS[CODIGO],PRODUCTOS[[#This Row],[CODIGO]])</f>
        <v/>
      </c>
      <c r="H1235" s="56">
        <f>PRODUCTOS[[#This Row],[ENTRADAS]]-PRODUCTOS[[#This Row],[SALIDAS ]]</f>
        <v/>
      </c>
      <c r="I1235" s="76" t="n">
        <v>0</v>
      </c>
      <c r="J1235">
        <f>IF(PRODUCTOS[[#This Row],[STOCK]]&lt;0,"NEGATIVO",IF(PRODUCTOS[[#This Row],[STOCK]]=0,"SIN STOCK",IF(PRODUCTOS[[#This Row],[STOCK]]&lt;=PRODUCTOS[[#This Row],[STOCK MÍN.]],"BAJO","OK")))</f>
        <v/>
      </c>
      <c r="K123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36" hidden="1" s="11">
      <c r="A1236" s="18" t="n"/>
      <c r="B1236" s="56" t="inlineStr">
        <is>
          <t>00081-PLM</t>
        </is>
      </c>
      <c r="C1236" s="56">
        <f>IFERROR(_xlfn.XLOOKUP(PRODUCTOS[[#This Row],[CODIGO]],LISTADO[CODIGOS],LISTADO[CATEGORIA]),"NO EXISTE")</f>
        <v/>
      </c>
      <c r="D1236" s="56">
        <f>IFERROR(_xlfn.XLOOKUP(PRODUCTOS[[#This Row],[CODIGO]],LISTADO[CODIGOS],LISTADO[PRODUCTOS]),"NO EXISTE")</f>
        <v/>
      </c>
      <c r="E1236" s="56">
        <f>IFERROR(_xlfn.XLOOKUP(PRODUCTOS[[#This Row],[CODIGO]],LISTADO[CODIGOS],LISTADO[UBICACIÓN]),"NO EXISTE")</f>
        <v/>
      </c>
      <c r="F1236" s="56">
        <f>SUMIFS(ENTRADAS[CANTIDAD],ENTRADAS[CODIGO],PRODUCTOS[[#This Row],[CODIGO]])</f>
        <v/>
      </c>
      <c r="G1236" s="56">
        <f>SUMIFS(SALIDAS[CANTIDAD],SALIDAS[CODIGO],PRODUCTOS[[#This Row],[CODIGO]])</f>
        <v/>
      </c>
      <c r="H1236" s="56">
        <f>PRODUCTOS[[#This Row],[ENTRADAS]]-PRODUCTOS[[#This Row],[SALIDAS ]]</f>
        <v/>
      </c>
      <c r="I1236" s="76" t="n">
        <v>0</v>
      </c>
      <c r="J1236">
        <f>IF(PRODUCTOS[[#This Row],[STOCK]]&lt;0,"NEGATIVO",IF(PRODUCTOS[[#This Row],[STOCK]]=0,"SIN STOCK",IF(PRODUCTOS[[#This Row],[STOCK]]&lt;=PRODUCTOS[[#This Row],[STOCK MÍN.]],"BAJO","OK")))</f>
        <v/>
      </c>
      <c r="K123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37" hidden="1" s="11">
      <c r="A1237" s="18" t="n"/>
      <c r="B1237" s="56" t="inlineStr">
        <is>
          <t>00082-PLM</t>
        </is>
      </c>
      <c r="C1237" s="56">
        <f>IFERROR(_xlfn.XLOOKUP(PRODUCTOS[[#This Row],[CODIGO]],LISTADO[CODIGOS],LISTADO[CATEGORIA]),"NO EXISTE")</f>
        <v/>
      </c>
      <c r="D1237" s="56">
        <f>IFERROR(_xlfn.XLOOKUP(PRODUCTOS[[#This Row],[CODIGO]],LISTADO[CODIGOS],LISTADO[PRODUCTOS]),"NO EXISTE")</f>
        <v/>
      </c>
      <c r="E1237" s="56">
        <f>IFERROR(_xlfn.XLOOKUP(PRODUCTOS[[#This Row],[CODIGO]],LISTADO[CODIGOS],LISTADO[UBICACIÓN]),"NO EXISTE")</f>
        <v/>
      </c>
      <c r="F1237" s="56">
        <f>SUMIFS(ENTRADAS[CANTIDAD],ENTRADAS[CODIGO],PRODUCTOS[[#This Row],[CODIGO]])</f>
        <v/>
      </c>
      <c r="G1237" s="56">
        <f>SUMIFS(SALIDAS[CANTIDAD],SALIDAS[CODIGO],PRODUCTOS[[#This Row],[CODIGO]])</f>
        <v/>
      </c>
      <c r="H1237" s="56">
        <f>PRODUCTOS[[#This Row],[ENTRADAS]]-PRODUCTOS[[#This Row],[SALIDAS ]]</f>
        <v/>
      </c>
      <c r="I1237" s="76" t="n">
        <v>0</v>
      </c>
      <c r="J1237">
        <f>IF(PRODUCTOS[[#This Row],[STOCK]]&lt;0,"NEGATIVO",IF(PRODUCTOS[[#This Row],[STOCK]]=0,"SIN STOCK",IF(PRODUCTOS[[#This Row],[STOCK]]&lt;=PRODUCTOS[[#This Row],[STOCK MÍN.]],"BAJO","OK")))</f>
        <v/>
      </c>
      <c r="K123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38" hidden="1" s="11">
      <c r="A1238" s="18" t="n"/>
      <c r="B1238" s="56" t="inlineStr">
        <is>
          <t>00083-PLM</t>
        </is>
      </c>
      <c r="C1238" s="56">
        <f>IFERROR(_xlfn.XLOOKUP(PRODUCTOS[[#This Row],[CODIGO]],LISTADO[CODIGOS],LISTADO[CATEGORIA]),"NO EXISTE")</f>
        <v/>
      </c>
      <c r="D1238" s="56">
        <f>IFERROR(_xlfn.XLOOKUP(PRODUCTOS[[#This Row],[CODIGO]],LISTADO[CODIGOS],LISTADO[PRODUCTOS]),"NO EXISTE")</f>
        <v/>
      </c>
      <c r="E1238" s="56">
        <f>IFERROR(_xlfn.XLOOKUP(PRODUCTOS[[#This Row],[CODIGO]],LISTADO[CODIGOS],LISTADO[UBICACIÓN]),"NO EXISTE")</f>
        <v/>
      </c>
      <c r="F1238" s="56">
        <f>SUMIFS(ENTRADAS[CANTIDAD],ENTRADAS[CODIGO],PRODUCTOS[[#This Row],[CODIGO]])</f>
        <v/>
      </c>
      <c r="G1238" s="56">
        <f>SUMIFS(SALIDAS[CANTIDAD],SALIDAS[CODIGO],PRODUCTOS[[#This Row],[CODIGO]])</f>
        <v/>
      </c>
      <c r="H1238" s="56">
        <f>PRODUCTOS[[#This Row],[ENTRADAS]]-PRODUCTOS[[#This Row],[SALIDAS ]]</f>
        <v/>
      </c>
      <c r="I1238" s="76" t="n">
        <v>0</v>
      </c>
      <c r="J1238">
        <f>IF(PRODUCTOS[[#This Row],[STOCK]]&lt;0,"NEGATIVO",IF(PRODUCTOS[[#This Row],[STOCK]]=0,"SIN STOCK",IF(PRODUCTOS[[#This Row],[STOCK]]&lt;=PRODUCTOS[[#This Row],[STOCK MÍN.]],"BAJO","OK")))</f>
        <v/>
      </c>
      <c r="K123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39" hidden="1" s="11">
      <c r="A1239" s="18" t="n"/>
      <c r="B1239" s="56" t="inlineStr">
        <is>
          <t>00170-REF</t>
        </is>
      </c>
      <c r="C1239" s="56">
        <f>IFERROR(_xlfn.XLOOKUP(PRODUCTOS[[#This Row],[CODIGO]],LISTADO[CODIGOS],LISTADO[CATEGORIA]),"NO EXISTE")</f>
        <v/>
      </c>
      <c r="D1239" s="56">
        <f>IFERROR(_xlfn.XLOOKUP(PRODUCTOS[[#This Row],[CODIGO]],LISTADO[CODIGOS],LISTADO[PRODUCTOS]),"NO EXISTE")</f>
        <v/>
      </c>
      <c r="E1239" s="56">
        <f>IFERROR(_xlfn.XLOOKUP(PRODUCTOS[[#This Row],[CODIGO]],LISTADO[CODIGOS],LISTADO[UBICACIÓN]),"NO EXISTE")</f>
        <v/>
      </c>
      <c r="F1239" s="56">
        <f>SUMIFS(ENTRADAS[CANTIDAD],ENTRADAS[CODIGO],PRODUCTOS[[#This Row],[CODIGO]])</f>
        <v/>
      </c>
      <c r="G1239" s="56">
        <f>SUMIFS(SALIDAS[CANTIDAD],SALIDAS[CODIGO],PRODUCTOS[[#This Row],[CODIGO]])</f>
        <v/>
      </c>
      <c r="H1239" s="56">
        <f>PRODUCTOS[[#This Row],[ENTRADAS]]-PRODUCTOS[[#This Row],[SALIDAS ]]</f>
        <v/>
      </c>
      <c r="I1239" s="76" t="n">
        <v>0</v>
      </c>
      <c r="J1239">
        <f>IF(PRODUCTOS[[#This Row],[STOCK]]&lt;0,"NEGATIVO",IF(PRODUCTOS[[#This Row],[STOCK]]=0,"SIN STOCK",IF(PRODUCTOS[[#This Row],[STOCK]]&lt;=PRODUCTOS[[#This Row],[STOCK MÍN.]],"BAJO","OK")))</f>
        <v/>
      </c>
      <c r="K123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40" hidden="1" s="11">
      <c r="A1240" s="18" t="n"/>
      <c r="B1240" s="56" t="inlineStr">
        <is>
          <t>00126-ELE</t>
        </is>
      </c>
      <c r="C1240" s="56">
        <f>IFERROR(_xlfn.XLOOKUP(PRODUCTOS[[#This Row],[CODIGO]],LISTADO[CODIGOS],LISTADO[CATEGORIA]),"NO EXISTE")</f>
        <v/>
      </c>
      <c r="D1240" s="56">
        <f>IFERROR(_xlfn.XLOOKUP(PRODUCTOS[[#This Row],[CODIGO]],LISTADO[CODIGOS],LISTADO[PRODUCTOS]),"NO EXISTE")</f>
        <v/>
      </c>
      <c r="E1240" s="56">
        <f>IFERROR(_xlfn.XLOOKUP(PRODUCTOS[[#This Row],[CODIGO]],LISTADO[CODIGOS],LISTADO[UBICACIÓN]),"NO EXISTE")</f>
        <v/>
      </c>
      <c r="F1240" s="56">
        <f>SUMIFS(ENTRADAS[CANTIDAD],ENTRADAS[CODIGO],PRODUCTOS[[#This Row],[CODIGO]])</f>
        <v/>
      </c>
      <c r="G1240" s="56">
        <f>SUMIFS(SALIDAS[CANTIDAD],SALIDAS[CODIGO],PRODUCTOS[[#This Row],[CODIGO]])</f>
        <v/>
      </c>
      <c r="H1240" s="56">
        <f>PRODUCTOS[[#This Row],[ENTRADAS]]-PRODUCTOS[[#This Row],[SALIDAS ]]</f>
        <v/>
      </c>
      <c r="I1240" s="76" t="n">
        <v>0</v>
      </c>
      <c r="J1240">
        <f>IF(PRODUCTOS[[#This Row],[STOCK]]&lt;0,"NEGATIVO",IF(PRODUCTOS[[#This Row],[STOCK]]=0,"SIN STOCK",IF(PRODUCTOS[[#This Row],[STOCK]]&lt;=PRODUCTOS[[#This Row],[STOCK MÍN.]],"BAJO","OK")))</f>
        <v/>
      </c>
      <c r="K124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41" hidden="1" s="11">
      <c r="A1241" s="18" t="n"/>
      <c r="B1241" s="56" t="inlineStr">
        <is>
          <t>00127-ELE</t>
        </is>
      </c>
      <c r="C1241" s="56">
        <f>IFERROR(_xlfn.XLOOKUP(PRODUCTOS[[#This Row],[CODIGO]],LISTADO[CODIGOS],LISTADO[CATEGORIA]),"NO EXISTE")</f>
        <v/>
      </c>
      <c r="D1241" s="56">
        <f>IFERROR(_xlfn.XLOOKUP(PRODUCTOS[[#This Row],[CODIGO]],LISTADO[CODIGOS],LISTADO[PRODUCTOS]),"NO EXISTE")</f>
        <v/>
      </c>
      <c r="E1241" s="56">
        <f>IFERROR(_xlfn.XLOOKUP(PRODUCTOS[[#This Row],[CODIGO]],LISTADO[CODIGOS],LISTADO[UBICACIÓN]),"NO EXISTE")</f>
        <v/>
      </c>
      <c r="F1241" s="56">
        <f>SUMIFS(ENTRADAS[CANTIDAD],ENTRADAS[CODIGO],PRODUCTOS[[#This Row],[CODIGO]])</f>
        <v/>
      </c>
      <c r="G1241" s="56">
        <f>SUMIFS(SALIDAS[CANTIDAD],SALIDAS[CODIGO],PRODUCTOS[[#This Row],[CODIGO]])</f>
        <v/>
      </c>
      <c r="H1241" s="56">
        <f>PRODUCTOS[[#This Row],[ENTRADAS]]-PRODUCTOS[[#This Row],[SALIDAS ]]</f>
        <v/>
      </c>
      <c r="I1241" s="76" t="n">
        <v>0</v>
      </c>
      <c r="J1241">
        <f>IF(PRODUCTOS[[#This Row],[STOCK]]&lt;0,"NEGATIVO",IF(PRODUCTOS[[#This Row],[STOCK]]=0,"SIN STOCK",IF(PRODUCTOS[[#This Row],[STOCK]]&lt;=PRODUCTOS[[#This Row],[STOCK MÍN.]],"BAJO","OK")))</f>
        <v/>
      </c>
      <c r="K124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42" hidden="1" s="11">
      <c r="A1242" s="18" t="n"/>
      <c r="B1242" s="56" t="inlineStr">
        <is>
          <t>00128-ELE</t>
        </is>
      </c>
      <c r="C1242" s="56">
        <f>IFERROR(_xlfn.XLOOKUP(PRODUCTOS[[#This Row],[CODIGO]],LISTADO[CODIGOS],LISTADO[CATEGORIA]),"NO EXISTE")</f>
        <v/>
      </c>
      <c r="D1242" s="56">
        <f>IFERROR(_xlfn.XLOOKUP(PRODUCTOS[[#This Row],[CODIGO]],LISTADO[CODIGOS],LISTADO[PRODUCTOS]),"NO EXISTE")</f>
        <v/>
      </c>
      <c r="E1242" s="56">
        <f>IFERROR(_xlfn.XLOOKUP(PRODUCTOS[[#This Row],[CODIGO]],LISTADO[CODIGOS],LISTADO[UBICACIÓN]),"NO EXISTE")</f>
        <v/>
      </c>
      <c r="F1242" s="56">
        <f>SUMIFS(ENTRADAS[CANTIDAD],ENTRADAS[CODIGO],PRODUCTOS[[#This Row],[CODIGO]])</f>
        <v/>
      </c>
      <c r="G1242" s="56">
        <f>SUMIFS(SALIDAS[CANTIDAD],SALIDAS[CODIGO],PRODUCTOS[[#This Row],[CODIGO]])</f>
        <v/>
      </c>
      <c r="H1242" s="56">
        <f>PRODUCTOS[[#This Row],[ENTRADAS]]-PRODUCTOS[[#This Row],[SALIDAS ]]</f>
        <v/>
      </c>
      <c r="I1242" s="76" t="n">
        <v>0</v>
      </c>
      <c r="J1242">
        <f>IF(PRODUCTOS[[#This Row],[STOCK]]&lt;0,"NEGATIVO",IF(PRODUCTOS[[#This Row],[STOCK]]=0,"SIN STOCK",IF(PRODUCTOS[[#This Row],[STOCK]]&lt;=PRODUCTOS[[#This Row],[STOCK MÍN.]],"BAJO","OK")))</f>
        <v/>
      </c>
      <c r="K124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43" hidden="1" s="11">
      <c r="A1243" s="18" t="n"/>
      <c r="B1243" s="56" t="inlineStr">
        <is>
          <t>00069-HRR</t>
        </is>
      </c>
      <c r="C1243" s="56">
        <f>IFERROR(_xlfn.XLOOKUP(PRODUCTOS[[#This Row],[CODIGO]],LISTADO[CODIGOS],LISTADO[CATEGORIA]),"NO EXISTE")</f>
        <v/>
      </c>
      <c r="D1243" s="56">
        <f>IFERROR(_xlfn.XLOOKUP(PRODUCTOS[[#This Row],[CODIGO]],LISTADO[CODIGOS],LISTADO[PRODUCTOS]),"NO EXISTE")</f>
        <v/>
      </c>
      <c r="E1243" s="56">
        <f>IFERROR(_xlfn.XLOOKUP(PRODUCTOS[[#This Row],[CODIGO]],LISTADO[CODIGOS],LISTADO[UBICACIÓN]),"NO EXISTE")</f>
        <v/>
      </c>
      <c r="F1243" s="56">
        <f>SUMIFS(ENTRADAS[CANTIDAD],ENTRADAS[CODIGO],PRODUCTOS[[#This Row],[CODIGO]])</f>
        <v/>
      </c>
      <c r="G1243" s="56">
        <f>SUMIFS(SALIDAS[CANTIDAD],SALIDAS[CODIGO],PRODUCTOS[[#This Row],[CODIGO]])</f>
        <v/>
      </c>
      <c r="H1243" s="56">
        <f>PRODUCTOS[[#This Row],[ENTRADAS]]-PRODUCTOS[[#This Row],[SALIDAS ]]</f>
        <v/>
      </c>
      <c r="I1243" s="76" t="n">
        <v>0</v>
      </c>
      <c r="J1243">
        <f>IF(PRODUCTOS[[#This Row],[STOCK]]&lt;0,"NEGATIVO",IF(PRODUCTOS[[#This Row],[STOCK]]=0,"SIN STOCK",IF(PRODUCTOS[[#This Row],[STOCK]]&lt;=PRODUCTOS[[#This Row],[STOCK MÍN.]],"BAJO","OK")))</f>
        <v/>
      </c>
      <c r="K124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44" hidden="1" s="11">
      <c r="A1244" s="18" t="n"/>
      <c r="B1244" s="56" t="inlineStr">
        <is>
          <t>00070-HRR</t>
        </is>
      </c>
      <c r="C1244" s="56">
        <f>IFERROR(_xlfn.XLOOKUP(PRODUCTOS[[#This Row],[CODIGO]],LISTADO[CODIGOS],LISTADO[CATEGORIA]),"NO EXISTE")</f>
        <v/>
      </c>
      <c r="D1244" s="56">
        <f>IFERROR(_xlfn.XLOOKUP(PRODUCTOS[[#This Row],[CODIGO]],LISTADO[CODIGOS],LISTADO[PRODUCTOS]),"NO EXISTE")</f>
        <v/>
      </c>
      <c r="E1244" s="56">
        <f>IFERROR(_xlfn.XLOOKUP(PRODUCTOS[[#This Row],[CODIGO]],LISTADO[CODIGOS],LISTADO[UBICACIÓN]),"NO EXISTE")</f>
        <v/>
      </c>
      <c r="F1244" s="56">
        <f>SUMIFS(ENTRADAS[CANTIDAD],ENTRADAS[CODIGO],PRODUCTOS[[#This Row],[CODIGO]])</f>
        <v/>
      </c>
      <c r="G1244" s="56">
        <f>SUMIFS(SALIDAS[CANTIDAD],SALIDAS[CODIGO],PRODUCTOS[[#This Row],[CODIGO]])</f>
        <v/>
      </c>
      <c r="H1244" s="56">
        <f>PRODUCTOS[[#This Row],[ENTRADAS]]-PRODUCTOS[[#This Row],[SALIDAS ]]</f>
        <v/>
      </c>
      <c r="I1244" s="76" t="n">
        <v>0</v>
      </c>
      <c r="J1244">
        <f>IF(PRODUCTOS[[#This Row],[STOCK]]&lt;0,"NEGATIVO",IF(PRODUCTOS[[#This Row],[STOCK]]=0,"SIN STOCK",IF(PRODUCTOS[[#This Row],[STOCK]]&lt;=PRODUCTOS[[#This Row],[STOCK MÍN.]],"BAJO","OK")))</f>
        <v/>
      </c>
      <c r="K124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45" hidden="1" s="11">
      <c r="A1245" s="18" t="n"/>
      <c r="B1245" s="56" t="inlineStr">
        <is>
          <t>00129-ELE</t>
        </is>
      </c>
      <c r="C1245" s="56">
        <f>IFERROR(_xlfn.XLOOKUP(PRODUCTOS[[#This Row],[CODIGO]],LISTADO[CODIGOS],LISTADO[CATEGORIA]),"NO EXISTE")</f>
        <v/>
      </c>
      <c r="D1245" s="56">
        <f>IFERROR(_xlfn.XLOOKUP(PRODUCTOS[[#This Row],[CODIGO]],LISTADO[CODIGOS],LISTADO[PRODUCTOS]),"NO EXISTE")</f>
        <v/>
      </c>
      <c r="E1245" s="56">
        <f>IFERROR(_xlfn.XLOOKUP(PRODUCTOS[[#This Row],[CODIGO]],LISTADO[CODIGOS],LISTADO[UBICACIÓN]),"NO EXISTE")</f>
        <v/>
      </c>
      <c r="F1245" s="56">
        <f>SUMIFS(ENTRADAS[CANTIDAD],ENTRADAS[CODIGO],PRODUCTOS[[#This Row],[CODIGO]])</f>
        <v/>
      </c>
      <c r="G1245" s="56">
        <f>SUMIFS(SALIDAS[CANTIDAD],SALIDAS[CODIGO],PRODUCTOS[[#This Row],[CODIGO]])</f>
        <v/>
      </c>
      <c r="H1245" s="56">
        <f>PRODUCTOS[[#This Row],[ENTRADAS]]-PRODUCTOS[[#This Row],[SALIDAS ]]</f>
        <v/>
      </c>
      <c r="I1245" s="76" t="n">
        <v>0</v>
      </c>
      <c r="J1245">
        <f>IF(PRODUCTOS[[#This Row],[STOCK]]&lt;0,"NEGATIVO",IF(PRODUCTOS[[#This Row],[STOCK]]=0,"SIN STOCK",IF(PRODUCTOS[[#This Row],[STOCK]]&lt;=PRODUCTOS[[#This Row],[STOCK MÍN.]],"BAJO","OK")))</f>
        <v/>
      </c>
      <c r="K124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46" hidden="1" s="11">
      <c r="A1246" s="18" t="n"/>
      <c r="B1246" s="56" t="inlineStr">
        <is>
          <t>00035-LIM</t>
        </is>
      </c>
      <c r="C1246" s="56">
        <f>IFERROR(_xlfn.XLOOKUP(PRODUCTOS[[#This Row],[CODIGO]],LISTADO[CODIGOS],LISTADO[CATEGORIA]),"NO EXISTE")</f>
        <v/>
      </c>
      <c r="D1246" s="56">
        <f>IFERROR(_xlfn.XLOOKUP(PRODUCTOS[[#This Row],[CODIGO]],LISTADO[CODIGOS],LISTADO[PRODUCTOS]),"NO EXISTE")</f>
        <v/>
      </c>
      <c r="E1246" s="56">
        <f>IFERROR(_xlfn.XLOOKUP(PRODUCTOS[[#This Row],[CODIGO]],LISTADO[CODIGOS],LISTADO[UBICACIÓN]),"NO EXISTE")</f>
        <v/>
      </c>
      <c r="F1246" s="56">
        <f>SUMIFS(ENTRADAS[CANTIDAD],ENTRADAS[CODIGO],PRODUCTOS[[#This Row],[CODIGO]])</f>
        <v/>
      </c>
      <c r="G1246" s="56">
        <f>SUMIFS(SALIDAS[CANTIDAD],SALIDAS[CODIGO],PRODUCTOS[[#This Row],[CODIGO]])</f>
        <v/>
      </c>
      <c r="H1246" s="56">
        <f>PRODUCTOS[[#This Row],[ENTRADAS]]-PRODUCTOS[[#This Row],[SALIDAS ]]</f>
        <v/>
      </c>
      <c r="I1246" s="76" t="n">
        <v>0</v>
      </c>
      <c r="J1246">
        <f>IF(PRODUCTOS[[#This Row],[STOCK]]&lt;0,"NEGATIVO",IF(PRODUCTOS[[#This Row],[STOCK]]=0,"SIN STOCK",IF(PRODUCTOS[[#This Row],[STOCK]]&lt;=PRODUCTOS[[#This Row],[STOCK MÍN.]],"BAJO","OK")))</f>
        <v/>
      </c>
      <c r="K124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47" hidden="1" s="11">
      <c r="A1247" s="18" t="n"/>
      <c r="B1247" s="56" t="inlineStr">
        <is>
          <t>00034-MSC</t>
        </is>
      </c>
      <c r="C1247" s="56">
        <f>IFERROR(_xlfn.XLOOKUP(PRODUCTOS[[#This Row],[CODIGO]],LISTADO[CODIGOS],LISTADO[CATEGORIA]),"NO EXISTE")</f>
        <v/>
      </c>
      <c r="D1247" s="56">
        <f>IFERROR(_xlfn.XLOOKUP(PRODUCTOS[[#This Row],[CODIGO]],LISTADO[CODIGOS],LISTADO[PRODUCTOS]),"NO EXISTE")</f>
        <v/>
      </c>
      <c r="E1247" s="56">
        <f>IFERROR(_xlfn.XLOOKUP(PRODUCTOS[[#This Row],[CODIGO]],LISTADO[CODIGOS],LISTADO[UBICACIÓN]),"NO EXISTE")</f>
        <v/>
      </c>
      <c r="F1247" s="56">
        <f>SUMIFS(ENTRADAS[CANTIDAD],ENTRADAS[CODIGO],PRODUCTOS[[#This Row],[CODIGO]])</f>
        <v/>
      </c>
      <c r="G1247" s="56">
        <f>SUMIFS(SALIDAS[CANTIDAD],SALIDAS[CODIGO],PRODUCTOS[[#This Row],[CODIGO]])</f>
        <v/>
      </c>
      <c r="H1247" s="56">
        <f>PRODUCTOS[[#This Row],[ENTRADAS]]-PRODUCTOS[[#This Row],[SALIDAS ]]</f>
        <v/>
      </c>
      <c r="I1247" s="76" t="n">
        <v>0</v>
      </c>
      <c r="J1247">
        <f>IF(PRODUCTOS[[#This Row],[STOCK]]&lt;0,"NEGATIVO",IF(PRODUCTOS[[#This Row],[STOCK]]=0,"SIN STOCK",IF(PRODUCTOS[[#This Row],[STOCK]]&lt;=PRODUCTOS[[#This Row],[STOCK MÍN.]],"BAJO","OK")))</f>
        <v/>
      </c>
      <c r="K124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48" hidden="1" s="11">
      <c r="A1248" s="18" t="n"/>
      <c r="B1248" s="56" t="inlineStr">
        <is>
          <t>00262-FER</t>
        </is>
      </c>
      <c r="C1248" s="56">
        <f>IFERROR(_xlfn.XLOOKUP(PRODUCTOS[[#This Row],[CODIGO]],LISTADO[CODIGOS],LISTADO[CATEGORIA]),"NO EXISTE")</f>
        <v/>
      </c>
      <c r="D1248" s="56">
        <f>IFERROR(_xlfn.XLOOKUP(PRODUCTOS[[#This Row],[CODIGO]],LISTADO[CODIGOS],LISTADO[PRODUCTOS]),"NO EXISTE")</f>
        <v/>
      </c>
      <c r="E1248" s="56">
        <f>IFERROR(_xlfn.XLOOKUP(PRODUCTOS[[#This Row],[CODIGO]],LISTADO[CODIGOS],LISTADO[UBICACIÓN]),"NO EXISTE")</f>
        <v/>
      </c>
      <c r="F1248" s="56">
        <f>SUMIFS(ENTRADAS[CANTIDAD],ENTRADAS[CODIGO],PRODUCTOS[[#This Row],[CODIGO]])</f>
        <v/>
      </c>
      <c r="G1248" s="56">
        <f>SUMIFS(SALIDAS[CANTIDAD],SALIDAS[CODIGO],PRODUCTOS[[#This Row],[CODIGO]])</f>
        <v/>
      </c>
      <c r="H1248" s="56">
        <f>PRODUCTOS[[#This Row],[ENTRADAS]]-PRODUCTOS[[#This Row],[SALIDAS ]]</f>
        <v/>
      </c>
      <c r="I1248" s="76" t="n">
        <v>0</v>
      </c>
      <c r="J1248">
        <f>IF(PRODUCTOS[[#This Row],[STOCK]]&lt;0,"NEGATIVO",IF(PRODUCTOS[[#This Row],[STOCK]]=0,"SIN STOCK",IF(PRODUCTOS[[#This Row],[STOCK]]&lt;=PRODUCTOS[[#This Row],[STOCK MÍN.]],"BAJO","OK")))</f>
        <v/>
      </c>
      <c r="K124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49" hidden="1" s="11">
      <c r="A1249" s="18" t="n"/>
      <c r="B1249" s="56" t="inlineStr">
        <is>
          <t>00035-MSC</t>
        </is>
      </c>
      <c r="C1249" s="56">
        <f>IFERROR(_xlfn.XLOOKUP(PRODUCTOS[[#This Row],[CODIGO]],LISTADO[CODIGOS],LISTADO[CATEGORIA]),"NO EXISTE")</f>
        <v/>
      </c>
      <c r="D1249" s="56">
        <f>IFERROR(_xlfn.XLOOKUP(PRODUCTOS[[#This Row],[CODIGO]],LISTADO[CODIGOS],LISTADO[PRODUCTOS]),"NO EXISTE")</f>
        <v/>
      </c>
      <c r="E1249" s="56">
        <f>IFERROR(_xlfn.XLOOKUP(PRODUCTOS[[#This Row],[CODIGO]],LISTADO[CODIGOS],LISTADO[UBICACIÓN]),"NO EXISTE")</f>
        <v/>
      </c>
      <c r="F1249" s="56">
        <f>SUMIFS(ENTRADAS[CANTIDAD],ENTRADAS[CODIGO],PRODUCTOS[[#This Row],[CODIGO]])</f>
        <v/>
      </c>
      <c r="G1249" s="56">
        <f>SUMIFS(SALIDAS[CANTIDAD],SALIDAS[CODIGO],PRODUCTOS[[#This Row],[CODIGO]])</f>
        <v/>
      </c>
      <c r="H1249" s="56">
        <f>PRODUCTOS[[#This Row],[ENTRADAS]]-PRODUCTOS[[#This Row],[SALIDAS ]]</f>
        <v/>
      </c>
      <c r="I1249" s="76" t="n">
        <v>0</v>
      </c>
      <c r="J1249">
        <f>IF(PRODUCTOS[[#This Row],[STOCK]]&lt;0,"NEGATIVO",IF(PRODUCTOS[[#This Row],[STOCK]]=0,"SIN STOCK",IF(PRODUCTOS[[#This Row],[STOCK]]&lt;=PRODUCTOS[[#This Row],[STOCK MÍN.]],"BAJO","OK")))</f>
        <v/>
      </c>
      <c r="K124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50" hidden="1" s="11">
      <c r="A1250" s="18" t="n"/>
      <c r="B1250" s="56" t="inlineStr">
        <is>
          <t>00036-MSC</t>
        </is>
      </c>
      <c r="C1250" s="56">
        <f>IFERROR(_xlfn.XLOOKUP(PRODUCTOS[[#This Row],[CODIGO]],LISTADO[CODIGOS],LISTADO[CATEGORIA]),"NO EXISTE")</f>
        <v/>
      </c>
      <c r="D1250" s="56">
        <f>IFERROR(_xlfn.XLOOKUP(PRODUCTOS[[#This Row],[CODIGO]],LISTADO[CODIGOS],LISTADO[PRODUCTOS]),"NO EXISTE")</f>
        <v/>
      </c>
      <c r="E1250" s="56">
        <f>IFERROR(_xlfn.XLOOKUP(PRODUCTOS[[#This Row],[CODIGO]],LISTADO[CODIGOS],LISTADO[UBICACIÓN]),"NO EXISTE")</f>
        <v/>
      </c>
      <c r="F1250" s="56">
        <f>SUMIFS(ENTRADAS[CANTIDAD],ENTRADAS[CODIGO],PRODUCTOS[[#This Row],[CODIGO]])</f>
        <v/>
      </c>
      <c r="G1250" s="56">
        <f>SUMIFS(SALIDAS[CANTIDAD],SALIDAS[CODIGO],PRODUCTOS[[#This Row],[CODIGO]])</f>
        <v/>
      </c>
      <c r="H1250" s="56">
        <f>PRODUCTOS[[#This Row],[ENTRADAS]]-PRODUCTOS[[#This Row],[SALIDAS ]]</f>
        <v/>
      </c>
      <c r="I1250" s="76" t="n">
        <v>0</v>
      </c>
      <c r="J1250">
        <f>IF(PRODUCTOS[[#This Row],[STOCK]]&lt;0,"NEGATIVO",IF(PRODUCTOS[[#This Row],[STOCK]]=0,"SIN STOCK",IF(PRODUCTOS[[#This Row],[STOCK]]&lt;=PRODUCTOS[[#This Row],[STOCK MÍN.]],"BAJO","OK")))</f>
        <v/>
      </c>
      <c r="K125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51" hidden="1" s="11">
      <c r="A1251" s="18" t="n"/>
      <c r="B1251" s="56" t="inlineStr">
        <is>
          <t>00037-MSC</t>
        </is>
      </c>
      <c r="C1251" s="56">
        <f>IFERROR(_xlfn.XLOOKUP(PRODUCTOS[[#This Row],[CODIGO]],LISTADO[CODIGOS],LISTADO[CATEGORIA]),"NO EXISTE")</f>
        <v/>
      </c>
      <c r="D1251" s="56">
        <f>IFERROR(_xlfn.XLOOKUP(PRODUCTOS[[#This Row],[CODIGO]],LISTADO[CODIGOS],LISTADO[PRODUCTOS]),"NO EXISTE")</f>
        <v/>
      </c>
      <c r="E1251" s="56">
        <f>IFERROR(_xlfn.XLOOKUP(PRODUCTOS[[#This Row],[CODIGO]],LISTADO[CODIGOS],LISTADO[UBICACIÓN]),"NO EXISTE")</f>
        <v/>
      </c>
      <c r="F1251" s="56">
        <f>SUMIFS(ENTRADAS[CANTIDAD],ENTRADAS[CODIGO],PRODUCTOS[[#This Row],[CODIGO]])</f>
        <v/>
      </c>
      <c r="G1251" s="56">
        <f>SUMIFS(SALIDAS[CANTIDAD],SALIDAS[CODIGO],PRODUCTOS[[#This Row],[CODIGO]])</f>
        <v/>
      </c>
      <c r="H1251" s="56">
        <f>PRODUCTOS[[#This Row],[ENTRADAS]]-PRODUCTOS[[#This Row],[SALIDAS ]]</f>
        <v/>
      </c>
      <c r="I1251" s="76" t="n">
        <v>0</v>
      </c>
      <c r="J1251">
        <f>IF(PRODUCTOS[[#This Row],[STOCK]]&lt;0,"NEGATIVO",IF(PRODUCTOS[[#This Row],[STOCK]]=0,"SIN STOCK",IF(PRODUCTOS[[#This Row],[STOCK]]&lt;=PRODUCTOS[[#This Row],[STOCK MÍN.]],"BAJO","OK")))</f>
        <v/>
      </c>
      <c r="K125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52" hidden="1" s="11">
      <c r="A1252" s="18" t="n"/>
      <c r="B1252" s="56" t="inlineStr">
        <is>
          <t>00038-MSC</t>
        </is>
      </c>
      <c r="C1252" s="56">
        <f>IFERROR(_xlfn.XLOOKUP(PRODUCTOS[[#This Row],[CODIGO]],LISTADO[CODIGOS],LISTADO[CATEGORIA]),"NO EXISTE")</f>
        <v/>
      </c>
      <c r="D1252" s="56">
        <f>IFERROR(_xlfn.XLOOKUP(PRODUCTOS[[#This Row],[CODIGO]],LISTADO[CODIGOS],LISTADO[PRODUCTOS]),"NO EXISTE")</f>
        <v/>
      </c>
      <c r="E1252" s="56">
        <f>IFERROR(_xlfn.XLOOKUP(PRODUCTOS[[#This Row],[CODIGO]],LISTADO[CODIGOS],LISTADO[UBICACIÓN]),"NO EXISTE")</f>
        <v/>
      </c>
      <c r="F1252" s="56">
        <f>SUMIFS(ENTRADAS[CANTIDAD],ENTRADAS[CODIGO],PRODUCTOS[[#This Row],[CODIGO]])</f>
        <v/>
      </c>
      <c r="G1252" s="56">
        <f>SUMIFS(SALIDAS[CANTIDAD],SALIDAS[CODIGO],PRODUCTOS[[#This Row],[CODIGO]])</f>
        <v/>
      </c>
      <c r="H1252" s="56">
        <f>PRODUCTOS[[#This Row],[ENTRADAS]]-PRODUCTOS[[#This Row],[SALIDAS ]]</f>
        <v/>
      </c>
      <c r="I1252" s="76" t="n">
        <v>0</v>
      </c>
      <c r="J1252">
        <f>IF(PRODUCTOS[[#This Row],[STOCK]]&lt;0,"NEGATIVO",IF(PRODUCTOS[[#This Row],[STOCK]]=0,"SIN STOCK",IF(PRODUCTOS[[#This Row],[STOCK]]&lt;=PRODUCTOS[[#This Row],[STOCK MÍN.]],"BAJO","OK")))</f>
        <v/>
      </c>
      <c r="K125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53" hidden="1" s="11">
      <c r="A1253" s="18" t="n"/>
      <c r="B1253" s="56" t="inlineStr">
        <is>
          <t>00089-ELC</t>
        </is>
      </c>
      <c r="C1253" s="56">
        <f>IFERROR(_xlfn.XLOOKUP(PRODUCTOS[[#This Row],[CODIGO]],LISTADO[CODIGOS],LISTADO[CATEGORIA]),"NO EXISTE")</f>
        <v/>
      </c>
      <c r="D1253" s="56">
        <f>IFERROR(_xlfn.XLOOKUP(PRODUCTOS[[#This Row],[CODIGO]],LISTADO[CODIGOS],LISTADO[PRODUCTOS]),"NO EXISTE")</f>
        <v/>
      </c>
      <c r="E1253" s="56">
        <f>IFERROR(_xlfn.XLOOKUP(PRODUCTOS[[#This Row],[CODIGO]],LISTADO[CODIGOS],LISTADO[UBICACIÓN]),"NO EXISTE")</f>
        <v/>
      </c>
      <c r="F1253" s="56">
        <f>SUMIFS(ENTRADAS[CANTIDAD],ENTRADAS[CODIGO],PRODUCTOS[[#This Row],[CODIGO]])</f>
        <v/>
      </c>
      <c r="G1253" s="56">
        <f>SUMIFS(SALIDAS[CANTIDAD],SALIDAS[CODIGO],PRODUCTOS[[#This Row],[CODIGO]])</f>
        <v/>
      </c>
      <c r="H1253" s="56">
        <f>PRODUCTOS[[#This Row],[ENTRADAS]]-PRODUCTOS[[#This Row],[SALIDAS ]]</f>
        <v/>
      </c>
      <c r="I1253" s="76" t="n">
        <v>0</v>
      </c>
      <c r="J1253">
        <f>IF(PRODUCTOS[[#This Row],[STOCK]]&lt;0,"NEGATIVO",IF(PRODUCTOS[[#This Row],[STOCK]]=0,"SIN STOCK",IF(PRODUCTOS[[#This Row],[STOCK]]&lt;=PRODUCTOS[[#This Row],[STOCK MÍN.]],"BAJO","OK")))</f>
        <v/>
      </c>
      <c r="K125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54" hidden="1" s="11">
      <c r="A1254" s="18" t="n"/>
      <c r="B1254" s="56" t="inlineStr">
        <is>
          <t>00090-ELC</t>
        </is>
      </c>
      <c r="C1254" s="56">
        <f>IFERROR(_xlfn.XLOOKUP(PRODUCTOS[[#This Row],[CODIGO]],LISTADO[CODIGOS],LISTADO[CATEGORIA]),"NO EXISTE")</f>
        <v/>
      </c>
      <c r="D1254" s="56">
        <f>IFERROR(_xlfn.XLOOKUP(PRODUCTOS[[#This Row],[CODIGO]],LISTADO[CODIGOS],LISTADO[PRODUCTOS]),"NO EXISTE")</f>
        <v/>
      </c>
      <c r="E1254" s="56">
        <f>IFERROR(_xlfn.XLOOKUP(PRODUCTOS[[#This Row],[CODIGO]],LISTADO[CODIGOS],LISTADO[UBICACIÓN]),"NO EXISTE")</f>
        <v/>
      </c>
      <c r="F1254" s="56">
        <f>SUMIFS(ENTRADAS[CANTIDAD],ENTRADAS[CODIGO],PRODUCTOS[[#This Row],[CODIGO]])</f>
        <v/>
      </c>
      <c r="G1254" s="56">
        <f>SUMIFS(SALIDAS[CANTIDAD],SALIDAS[CODIGO],PRODUCTOS[[#This Row],[CODIGO]])</f>
        <v/>
      </c>
      <c r="H1254" s="56">
        <f>PRODUCTOS[[#This Row],[ENTRADAS]]-PRODUCTOS[[#This Row],[SALIDAS ]]</f>
        <v/>
      </c>
      <c r="I1254" s="76" t="n">
        <v>0</v>
      </c>
      <c r="J1254">
        <f>IF(PRODUCTOS[[#This Row],[STOCK]]&lt;0,"NEGATIVO",IF(PRODUCTOS[[#This Row],[STOCK]]=0,"SIN STOCK",IF(PRODUCTOS[[#This Row],[STOCK]]&lt;=PRODUCTOS[[#This Row],[STOCK MÍN.]],"BAJO","OK")))</f>
        <v/>
      </c>
      <c r="K125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55" hidden="1" s="11">
      <c r="A1255" s="18" t="n"/>
      <c r="B1255" s="56" t="inlineStr">
        <is>
          <t>00130-ELE</t>
        </is>
      </c>
      <c r="C1255" s="56">
        <f>IFERROR(_xlfn.XLOOKUP(PRODUCTOS[[#This Row],[CODIGO]],LISTADO[CODIGOS],LISTADO[CATEGORIA]),"NO EXISTE")</f>
        <v/>
      </c>
      <c r="D1255" s="56">
        <f>IFERROR(_xlfn.XLOOKUP(PRODUCTOS[[#This Row],[CODIGO]],LISTADO[CODIGOS],LISTADO[PRODUCTOS]),"NO EXISTE")</f>
        <v/>
      </c>
      <c r="E1255" s="56">
        <f>IFERROR(_xlfn.XLOOKUP(PRODUCTOS[[#This Row],[CODIGO]],LISTADO[CODIGOS],LISTADO[UBICACIÓN]),"NO EXISTE")</f>
        <v/>
      </c>
      <c r="F1255" s="56">
        <f>SUMIFS(ENTRADAS[CANTIDAD],ENTRADAS[CODIGO],PRODUCTOS[[#This Row],[CODIGO]])</f>
        <v/>
      </c>
      <c r="G1255" s="56">
        <f>SUMIFS(SALIDAS[CANTIDAD],SALIDAS[CODIGO],PRODUCTOS[[#This Row],[CODIGO]])</f>
        <v/>
      </c>
      <c r="H1255" s="56">
        <f>PRODUCTOS[[#This Row],[ENTRADAS]]-PRODUCTOS[[#This Row],[SALIDAS ]]</f>
        <v/>
      </c>
      <c r="I1255" s="76" t="n">
        <v>0</v>
      </c>
      <c r="J1255">
        <f>IF(PRODUCTOS[[#This Row],[STOCK]]&lt;0,"NEGATIVO",IF(PRODUCTOS[[#This Row],[STOCK]]=0,"SIN STOCK",IF(PRODUCTOS[[#This Row],[STOCK]]&lt;=PRODUCTOS[[#This Row],[STOCK MÍN.]],"BAJO","OK")))</f>
        <v/>
      </c>
      <c r="K125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56" hidden="1" s="11">
      <c r="A1256" s="18" t="n"/>
      <c r="B1256" s="56" t="inlineStr">
        <is>
          <t>00263-FER</t>
        </is>
      </c>
      <c r="C1256" s="56">
        <f>IFERROR(_xlfn.XLOOKUP(PRODUCTOS[[#This Row],[CODIGO]],LISTADO[CODIGOS],LISTADO[CATEGORIA]),"NO EXISTE")</f>
        <v/>
      </c>
      <c r="D1256" s="56">
        <f>IFERROR(_xlfn.XLOOKUP(PRODUCTOS[[#This Row],[CODIGO]],LISTADO[CODIGOS],LISTADO[PRODUCTOS]),"NO EXISTE")</f>
        <v/>
      </c>
      <c r="E1256" s="56">
        <f>IFERROR(_xlfn.XLOOKUP(PRODUCTOS[[#This Row],[CODIGO]],LISTADO[CODIGOS],LISTADO[UBICACIÓN]),"NO EXISTE")</f>
        <v/>
      </c>
      <c r="F1256" s="56">
        <f>SUMIFS(ENTRADAS[CANTIDAD],ENTRADAS[CODIGO],PRODUCTOS[[#This Row],[CODIGO]])</f>
        <v/>
      </c>
      <c r="G1256" s="56">
        <f>SUMIFS(SALIDAS[CANTIDAD],SALIDAS[CODIGO],PRODUCTOS[[#This Row],[CODIGO]])</f>
        <v/>
      </c>
      <c r="H1256" s="56">
        <f>PRODUCTOS[[#This Row],[ENTRADAS]]-PRODUCTOS[[#This Row],[SALIDAS ]]</f>
        <v/>
      </c>
      <c r="I1256" s="76" t="n">
        <v>0</v>
      </c>
      <c r="J1256">
        <f>IF(PRODUCTOS[[#This Row],[STOCK]]&lt;0,"NEGATIVO",IF(PRODUCTOS[[#This Row],[STOCK]]=0,"SIN STOCK",IF(PRODUCTOS[[#This Row],[STOCK]]&lt;=PRODUCTOS[[#This Row],[STOCK MÍN.]],"BAJO","OK")))</f>
        <v/>
      </c>
      <c r="K125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57" hidden="1" s="11">
      <c r="A1257" s="18" t="n"/>
      <c r="B1257" s="56" t="inlineStr">
        <is>
          <t>00091-ELC</t>
        </is>
      </c>
      <c r="C1257" s="56">
        <f>IFERROR(_xlfn.XLOOKUP(PRODUCTOS[[#This Row],[CODIGO]],LISTADO[CODIGOS],LISTADO[CATEGORIA]),"NO EXISTE")</f>
        <v/>
      </c>
      <c r="D1257" s="56">
        <f>IFERROR(_xlfn.XLOOKUP(PRODUCTOS[[#This Row],[CODIGO]],LISTADO[CODIGOS],LISTADO[PRODUCTOS]),"NO EXISTE")</f>
        <v/>
      </c>
      <c r="E1257" s="56">
        <f>IFERROR(_xlfn.XLOOKUP(PRODUCTOS[[#This Row],[CODIGO]],LISTADO[CODIGOS],LISTADO[UBICACIÓN]),"NO EXISTE")</f>
        <v/>
      </c>
      <c r="F1257" s="56">
        <f>SUMIFS(ENTRADAS[CANTIDAD],ENTRADAS[CODIGO],PRODUCTOS[[#This Row],[CODIGO]])</f>
        <v/>
      </c>
      <c r="G1257" s="56">
        <f>SUMIFS(SALIDAS[CANTIDAD],SALIDAS[CODIGO],PRODUCTOS[[#This Row],[CODIGO]])</f>
        <v/>
      </c>
      <c r="H1257" s="56">
        <f>PRODUCTOS[[#This Row],[ENTRADAS]]-PRODUCTOS[[#This Row],[SALIDAS ]]</f>
        <v/>
      </c>
      <c r="I1257" s="76" t="n">
        <v>0</v>
      </c>
      <c r="J1257">
        <f>IF(PRODUCTOS[[#This Row],[STOCK]]&lt;0,"NEGATIVO",IF(PRODUCTOS[[#This Row],[STOCK]]=0,"SIN STOCK",IF(PRODUCTOS[[#This Row],[STOCK]]&lt;=PRODUCTOS[[#This Row],[STOCK MÍN.]],"BAJO","OK")))</f>
        <v/>
      </c>
      <c r="K125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58" hidden="1" s="11">
      <c r="A1258" s="18" t="n"/>
      <c r="B1258" s="56" t="inlineStr">
        <is>
          <t>00140-HER</t>
        </is>
      </c>
      <c r="C1258" s="56">
        <f>IFERROR(_xlfn.XLOOKUP(PRODUCTOS[[#This Row],[CODIGO]],LISTADO[CODIGOS],LISTADO[CATEGORIA]),"NO EXISTE")</f>
        <v/>
      </c>
      <c r="D1258" s="56">
        <f>IFERROR(_xlfn.XLOOKUP(PRODUCTOS[[#This Row],[CODIGO]],LISTADO[CODIGOS],LISTADO[PRODUCTOS]),"NO EXISTE")</f>
        <v/>
      </c>
      <c r="E1258" s="56">
        <f>IFERROR(_xlfn.XLOOKUP(PRODUCTOS[[#This Row],[CODIGO]],LISTADO[CODIGOS],LISTADO[UBICACIÓN]),"NO EXISTE")</f>
        <v/>
      </c>
      <c r="F1258" s="56">
        <f>SUMIFS(ENTRADAS[CANTIDAD],ENTRADAS[CODIGO],PRODUCTOS[[#This Row],[CODIGO]])</f>
        <v/>
      </c>
      <c r="G1258" s="56">
        <f>SUMIFS(SALIDAS[CANTIDAD],SALIDAS[CODIGO],PRODUCTOS[[#This Row],[CODIGO]])</f>
        <v/>
      </c>
      <c r="H1258" s="56">
        <f>PRODUCTOS[[#This Row],[ENTRADAS]]-PRODUCTOS[[#This Row],[SALIDAS ]]</f>
        <v/>
      </c>
      <c r="I1258" s="76" t="n">
        <v>0</v>
      </c>
      <c r="J1258">
        <f>IF(PRODUCTOS[[#This Row],[STOCK]]&lt;0,"NEGATIVO",IF(PRODUCTOS[[#This Row],[STOCK]]=0,"SIN STOCK",IF(PRODUCTOS[[#This Row],[STOCK]]&lt;=PRODUCTOS[[#This Row],[STOCK MÍN.]],"BAJO","OK")))</f>
        <v/>
      </c>
      <c r="K125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59" hidden="1" s="11">
      <c r="A1259" s="18" t="n"/>
      <c r="B1259" s="56" t="inlineStr">
        <is>
          <t>00092-ELC</t>
        </is>
      </c>
      <c r="C1259" s="56">
        <f>IFERROR(_xlfn.XLOOKUP(PRODUCTOS[[#This Row],[CODIGO]],LISTADO[CODIGOS],LISTADO[CATEGORIA]),"NO EXISTE")</f>
        <v/>
      </c>
      <c r="D1259" s="56">
        <f>IFERROR(_xlfn.XLOOKUP(PRODUCTOS[[#This Row],[CODIGO]],LISTADO[CODIGOS],LISTADO[PRODUCTOS]),"NO EXISTE")</f>
        <v/>
      </c>
      <c r="E1259" s="56">
        <f>IFERROR(_xlfn.XLOOKUP(PRODUCTOS[[#This Row],[CODIGO]],LISTADO[CODIGOS],LISTADO[UBICACIÓN]),"NO EXISTE")</f>
        <v/>
      </c>
      <c r="F1259" s="56">
        <f>SUMIFS(ENTRADAS[CANTIDAD],ENTRADAS[CODIGO],PRODUCTOS[[#This Row],[CODIGO]])</f>
        <v/>
      </c>
      <c r="G1259" s="56">
        <f>SUMIFS(SALIDAS[CANTIDAD],SALIDAS[CODIGO],PRODUCTOS[[#This Row],[CODIGO]])</f>
        <v/>
      </c>
      <c r="H1259" s="56">
        <f>PRODUCTOS[[#This Row],[ENTRADAS]]-PRODUCTOS[[#This Row],[SALIDAS ]]</f>
        <v/>
      </c>
      <c r="I1259" s="76" t="n">
        <v>0</v>
      </c>
      <c r="J1259">
        <f>IF(PRODUCTOS[[#This Row],[STOCK]]&lt;0,"NEGATIVO",IF(PRODUCTOS[[#This Row],[STOCK]]=0,"SIN STOCK",IF(PRODUCTOS[[#This Row],[STOCK]]&lt;=PRODUCTOS[[#This Row],[STOCK MÍN.]],"BAJO","OK")))</f>
        <v/>
      </c>
      <c r="K125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60" hidden="1" s="11">
      <c r="A1260" s="18" t="n"/>
      <c r="B1260" s="56" t="inlineStr">
        <is>
          <t>00171-REF</t>
        </is>
      </c>
      <c r="C1260" s="56">
        <f>IFERROR(_xlfn.XLOOKUP(PRODUCTOS[[#This Row],[CODIGO]],LISTADO[CODIGOS],LISTADO[CATEGORIA]),"NO EXISTE")</f>
        <v/>
      </c>
      <c r="D1260" s="56">
        <f>IFERROR(_xlfn.XLOOKUP(PRODUCTOS[[#This Row],[CODIGO]],LISTADO[CODIGOS],LISTADO[PRODUCTOS]),"NO EXISTE")</f>
        <v/>
      </c>
      <c r="E1260" s="56">
        <f>IFERROR(_xlfn.XLOOKUP(PRODUCTOS[[#This Row],[CODIGO]],LISTADO[CODIGOS],LISTADO[UBICACIÓN]),"NO EXISTE")</f>
        <v/>
      </c>
      <c r="F1260" s="56">
        <f>SUMIFS(ENTRADAS[CANTIDAD],ENTRADAS[CODIGO],PRODUCTOS[[#This Row],[CODIGO]])</f>
        <v/>
      </c>
      <c r="G1260" s="56">
        <f>SUMIFS(SALIDAS[CANTIDAD],SALIDAS[CODIGO],PRODUCTOS[[#This Row],[CODIGO]])</f>
        <v/>
      </c>
      <c r="H1260" s="56">
        <f>PRODUCTOS[[#This Row],[ENTRADAS]]-PRODUCTOS[[#This Row],[SALIDAS ]]</f>
        <v/>
      </c>
      <c r="I1260" s="76" t="n">
        <v>0</v>
      </c>
      <c r="J1260">
        <f>IF(PRODUCTOS[[#This Row],[STOCK]]&lt;0,"NEGATIVO",IF(PRODUCTOS[[#This Row],[STOCK]]=0,"SIN STOCK",IF(PRODUCTOS[[#This Row],[STOCK]]&lt;=PRODUCTOS[[#This Row],[STOCK MÍN.]],"BAJO","OK")))</f>
        <v/>
      </c>
      <c r="K126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61" hidden="1" s="11">
      <c r="A1261" s="18" t="n"/>
      <c r="B1261" s="56" t="inlineStr">
        <is>
          <t>00172-REF</t>
        </is>
      </c>
      <c r="C1261" s="56">
        <f>IFERROR(_xlfn.XLOOKUP(PRODUCTOS[[#This Row],[CODIGO]],LISTADO[CODIGOS],LISTADO[CATEGORIA]),"NO EXISTE")</f>
        <v/>
      </c>
      <c r="D1261" s="56">
        <f>IFERROR(_xlfn.XLOOKUP(PRODUCTOS[[#This Row],[CODIGO]],LISTADO[CODIGOS],LISTADO[PRODUCTOS]),"NO EXISTE")</f>
        <v/>
      </c>
      <c r="E1261" s="56">
        <f>IFERROR(_xlfn.XLOOKUP(PRODUCTOS[[#This Row],[CODIGO]],LISTADO[CODIGOS],LISTADO[UBICACIÓN]),"NO EXISTE")</f>
        <v/>
      </c>
      <c r="F1261" s="56">
        <f>SUMIFS(ENTRADAS[CANTIDAD],ENTRADAS[CODIGO],PRODUCTOS[[#This Row],[CODIGO]])</f>
        <v/>
      </c>
      <c r="G1261" s="56">
        <f>SUMIFS(SALIDAS[CANTIDAD],SALIDAS[CODIGO],PRODUCTOS[[#This Row],[CODIGO]])</f>
        <v/>
      </c>
      <c r="H1261" s="56">
        <f>PRODUCTOS[[#This Row],[ENTRADAS]]-PRODUCTOS[[#This Row],[SALIDAS ]]</f>
        <v/>
      </c>
      <c r="I1261" s="76" t="n">
        <v>0</v>
      </c>
      <c r="J1261">
        <f>IF(PRODUCTOS[[#This Row],[STOCK]]&lt;0,"NEGATIVO",IF(PRODUCTOS[[#This Row],[STOCK]]=0,"SIN STOCK",IF(PRODUCTOS[[#This Row],[STOCK]]&lt;=PRODUCTOS[[#This Row],[STOCK MÍN.]],"BAJO","OK")))</f>
        <v/>
      </c>
      <c r="K126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62" hidden="1" s="11">
      <c r="A1262" s="18" t="n"/>
      <c r="B1262" s="56" t="inlineStr">
        <is>
          <t>00173-REF</t>
        </is>
      </c>
      <c r="C1262" s="56">
        <f>IFERROR(_xlfn.XLOOKUP(PRODUCTOS[[#This Row],[CODIGO]],LISTADO[CODIGOS],LISTADO[CATEGORIA]),"NO EXISTE")</f>
        <v/>
      </c>
      <c r="D1262" s="56">
        <f>IFERROR(_xlfn.XLOOKUP(PRODUCTOS[[#This Row],[CODIGO]],LISTADO[CODIGOS],LISTADO[PRODUCTOS]),"NO EXISTE")</f>
        <v/>
      </c>
      <c r="E1262" s="56">
        <f>IFERROR(_xlfn.XLOOKUP(PRODUCTOS[[#This Row],[CODIGO]],LISTADO[CODIGOS],LISTADO[UBICACIÓN]),"NO EXISTE")</f>
        <v/>
      </c>
      <c r="F1262" s="56">
        <f>SUMIFS(ENTRADAS[CANTIDAD],ENTRADAS[CODIGO],PRODUCTOS[[#This Row],[CODIGO]])</f>
        <v/>
      </c>
      <c r="G1262" s="56">
        <f>SUMIFS(SALIDAS[CANTIDAD],SALIDAS[CODIGO],PRODUCTOS[[#This Row],[CODIGO]])</f>
        <v/>
      </c>
      <c r="H1262" s="56">
        <f>PRODUCTOS[[#This Row],[ENTRADAS]]-PRODUCTOS[[#This Row],[SALIDAS ]]</f>
        <v/>
      </c>
      <c r="I1262" s="76" t="n">
        <v>0</v>
      </c>
      <c r="J1262">
        <f>IF(PRODUCTOS[[#This Row],[STOCK]]&lt;0,"NEGATIVO",IF(PRODUCTOS[[#This Row],[STOCK]]=0,"SIN STOCK",IF(PRODUCTOS[[#This Row],[STOCK]]&lt;=PRODUCTOS[[#This Row],[STOCK MÍN.]],"BAJO","OK")))</f>
        <v/>
      </c>
      <c r="K126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63" hidden="1" s="11">
      <c r="A1263" s="18" t="n"/>
      <c r="B1263" s="56" t="inlineStr">
        <is>
          <t>00036-LIM</t>
        </is>
      </c>
      <c r="C1263" s="56">
        <f>IFERROR(_xlfn.XLOOKUP(PRODUCTOS[[#This Row],[CODIGO]],LISTADO[CODIGOS],LISTADO[CATEGORIA]),"NO EXISTE")</f>
        <v/>
      </c>
      <c r="D1263" s="56">
        <f>IFERROR(_xlfn.XLOOKUP(PRODUCTOS[[#This Row],[CODIGO]],LISTADO[CODIGOS],LISTADO[PRODUCTOS]),"NO EXISTE")</f>
        <v/>
      </c>
      <c r="E1263" s="56">
        <f>IFERROR(_xlfn.XLOOKUP(PRODUCTOS[[#This Row],[CODIGO]],LISTADO[CODIGOS],LISTADO[UBICACIÓN]),"NO EXISTE")</f>
        <v/>
      </c>
      <c r="F1263" s="56">
        <f>SUMIFS(ENTRADAS[CANTIDAD],ENTRADAS[CODIGO],PRODUCTOS[[#This Row],[CODIGO]])</f>
        <v/>
      </c>
      <c r="G1263" s="56">
        <f>SUMIFS(SALIDAS[CANTIDAD],SALIDAS[CODIGO],PRODUCTOS[[#This Row],[CODIGO]])</f>
        <v/>
      </c>
      <c r="H1263" s="56">
        <f>PRODUCTOS[[#This Row],[ENTRADAS]]-PRODUCTOS[[#This Row],[SALIDAS ]]</f>
        <v/>
      </c>
      <c r="I1263" s="76" t="n">
        <v>0</v>
      </c>
      <c r="J1263">
        <f>IF(PRODUCTOS[[#This Row],[STOCK]]&lt;0,"NEGATIVO",IF(PRODUCTOS[[#This Row],[STOCK]]=0,"SIN STOCK",IF(PRODUCTOS[[#This Row],[STOCK]]&lt;=PRODUCTOS[[#This Row],[STOCK MÍN.]],"BAJO","OK")))</f>
        <v/>
      </c>
      <c r="K126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64" hidden="1" s="11">
      <c r="A1264" s="18" t="n"/>
      <c r="B1264" s="56" t="inlineStr">
        <is>
          <t>00141-HER</t>
        </is>
      </c>
      <c r="C1264" s="56">
        <f>IFERROR(_xlfn.XLOOKUP(PRODUCTOS[[#This Row],[CODIGO]],LISTADO[CODIGOS],LISTADO[CATEGORIA]),"NO EXISTE")</f>
        <v/>
      </c>
      <c r="D1264" s="56">
        <f>IFERROR(_xlfn.XLOOKUP(PRODUCTOS[[#This Row],[CODIGO]],LISTADO[CODIGOS],LISTADO[PRODUCTOS]),"NO EXISTE")</f>
        <v/>
      </c>
      <c r="E1264" s="56">
        <f>IFERROR(_xlfn.XLOOKUP(PRODUCTOS[[#This Row],[CODIGO]],LISTADO[CODIGOS],LISTADO[UBICACIÓN]),"NO EXISTE")</f>
        <v/>
      </c>
      <c r="F1264" s="56">
        <f>SUMIFS(ENTRADAS[CANTIDAD],ENTRADAS[CODIGO],PRODUCTOS[[#This Row],[CODIGO]])</f>
        <v/>
      </c>
      <c r="G1264" s="56">
        <f>SUMIFS(SALIDAS[CANTIDAD],SALIDAS[CODIGO],PRODUCTOS[[#This Row],[CODIGO]])</f>
        <v/>
      </c>
      <c r="H1264" s="56">
        <f>PRODUCTOS[[#This Row],[ENTRADAS]]-PRODUCTOS[[#This Row],[SALIDAS ]]</f>
        <v/>
      </c>
      <c r="I1264" s="76" t="n">
        <v>0</v>
      </c>
      <c r="J1264">
        <f>IF(PRODUCTOS[[#This Row],[STOCK]]&lt;0,"NEGATIVO",IF(PRODUCTOS[[#This Row],[STOCK]]=0,"SIN STOCK",IF(PRODUCTOS[[#This Row],[STOCK]]&lt;=PRODUCTOS[[#This Row],[STOCK MÍN.]],"BAJO","OK")))</f>
        <v/>
      </c>
      <c r="K126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65" hidden="1" s="11">
      <c r="A1265" s="18" t="n"/>
      <c r="B1265" s="56" t="inlineStr">
        <is>
          <t>00264-FER</t>
        </is>
      </c>
      <c r="C1265" s="56">
        <f>IFERROR(_xlfn.XLOOKUP(PRODUCTOS[[#This Row],[CODIGO]],LISTADO[CODIGOS],LISTADO[CATEGORIA]),"NO EXISTE")</f>
        <v/>
      </c>
      <c r="D1265" s="56">
        <f>IFERROR(_xlfn.XLOOKUP(PRODUCTOS[[#This Row],[CODIGO]],LISTADO[CODIGOS],LISTADO[PRODUCTOS]),"NO EXISTE")</f>
        <v/>
      </c>
      <c r="E1265" s="56">
        <f>IFERROR(_xlfn.XLOOKUP(PRODUCTOS[[#This Row],[CODIGO]],LISTADO[CODIGOS],LISTADO[UBICACIÓN]),"NO EXISTE")</f>
        <v/>
      </c>
      <c r="F1265" s="56">
        <f>SUMIFS(ENTRADAS[CANTIDAD],ENTRADAS[CODIGO],PRODUCTOS[[#This Row],[CODIGO]])</f>
        <v/>
      </c>
      <c r="G1265" s="56">
        <f>SUMIFS(SALIDAS[CANTIDAD],SALIDAS[CODIGO],PRODUCTOS[[#This Row],[CODIGO]])</f>
        <v/>
      </c>
      <c r="H1265" s="56">
        <f>PRODUCTOS[[#This Row],[ENTRADAS]]-PRODUCTOS[[#This Row],[SALIDAS ]]</f>
        <v/>
      </c>
      <c r="I1265" s="76" t="n">
        <v>0</v>
      </c>
      <c r="J1265">
        <f>IF(PRODUCTOS[[#This Row],[STOCK]]&lt;0,"NEGATIVO",IF(PRODUCTOS[[#This Row],[STOCK]]=0,"SIN STOCK",IF(PRODUCTOS[[#This Row],[STOCK]]&lt;=PRODUCTOS[[#This Row],[STOCK MÍN.]],"BAJO","OK")))</f>
        <v/>
      </c>
      <c r="K126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66" hidden="1" s="11">
      <c r="A1266" s="18" t="n"/>
      <c r="B1266" s="56" t="inlineStr">
        <is>
          <t>00053-AUT</t>
        </is>
      </c>
      <c r="C1266" s="56">
        <f>IFERROR(_xlfn.XLOOKUP(PRODUCTOS[[#This Row],[CODIGO]],LISTADO[CODIGOS],LISTADO[CATEGORIA]),"NO EXISTE")</f>
        <v/>
      </c>
      <c r="D1266" s="56">
        <f>IFERROR(_xlfn.XLOOKUP(PRODUCTOS[[#This Row],[CODIGO]],LISTADO[CODIGOS],LISTADO[PRODUCTOS]),"NO EXISTE")</f>
        <v/>
      </c>
      <c r="E1266" s="56">
        <f>IFERROR(_xlfn.XLOOKUP(PRODUCTOS[[#This Row],[CODIGO]],LISTADO[CODIGOS],LISTADO[UBICACIÓN]),"NO EXISTE")</f>
        <v/>
      </c>
      <c r="F1266" s="56">
        <f>SUMIFS(ENTRADAS[CANTIDAD],ENTRADAS[CODIGO],PRODUCTOS[[#This Row],[CODIGO]])</f>
        <v/>
      </c>
      <c r="G1266" s="56">
        <f>SUMIFS(SALIDAS[CANTIDAD],SALIDAS[CODIGO],PRODUCTOS[[#This Row],[CODIGO]])</f>
        <v/>
      </c>
      <c r="H1266" s="56">
        <f>PRODUCTOS[[#This Row],[ENTRADAS]]-PRODUCTOS[[#This Row],[SALIDAS ]]</f>
        <v/>
      </c>
      <c r="I1266" s="76" t="n">
        <v>0</v>
      </c>
      <c r="J1266">
        <f>IF(PRODUCTOS[[#This Row],[STOCK]]&lt;0,"NEGATIVO",IF(PRODUCTOS[[#This Row],[STOCK]]=0,"SIN STOCK",IF(PRODUCTOS[[#This Row],[STOCK]]&lt;=PRODUCTOS[[#This Row],[STOCK MÍN.]],"BAJO","OK")))</f>
        <v/>
      </c>
      <c r="K126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67" hidden="1" s="11">
      <c r="A1267" s="18" t="n"/>
      <c r="B1267" s="56" t="inlineStr">
        <is>
          <t>00037-LIM</t>
        </is>
      </c>
      <c r="C1267" s="56">
        <f>IFERROR(_xlfn.XLOOKUP(PRODUCTOS[[#This Row],[CODIGO]],LISTADO[CODIGOS],LISTADO[CATEGORIA]),"NO EXISTE")</f>
        <v/>
      </c>
      <c r="D1267" s="56">
        <f>IFERROR(_xlfn.XLOOKUP(PRODUCTOS[[#This Row],[CODIGO]],LISTADO[CODIGOS],LISTADO[PRODUCTOS]),"NO EXISTE")</f>
        <v/>
      </c>
      <c r="E1267" s="56">
        <f>IFERROR(_xlfn.XLOOKUP(PRODUCTOS[[#This Row],[CODIGO]],LISTADO[CODIGOS],LISTADO[UBICACIÓN]),"NO EXISTE")</f>
        <v/>
      </c>
      <c r="F1267" s="56">
        <f>SUMIFS(ENTRADAS[CANTIDAD],ENTRADAS[CODIGO],PRODUCTOS[[#This Row],[CODIGO]])</f>
        <v/>
      </c>
      <c r="G1267" s="56">
        <f>SUMIFS(SALIDAS[CANTIDAD],SALIDAS[CODIGO],PRODUCTOS[[#This Row],[CODIGO]])</f>
        <v/>
      </c>
      <c r="H1267" s="56">
        <f>PRODUCTOS[[#This Row],[ENTRADAS]]-PRODUCTOS[[#This Row],[SALIDAS ]]</f>
        <v/>
      </c>
      <c r="I1267" s="76" t="n">
        <v>0</v>
      </c>
      <c r="J1267">
        <f>IF(PRODUCTOS[[#This Row],[STOCK]]&lt;0,"NEGATIVO",IF(PRODUCTOS[[#This Row],[STOCK]]=0,"SIN STOCK",IF(PRODUCTOS[[#This Row],[STOCK]]&lt;=PRODUCTOS[[#This Row],[STOCK MÍN.]],"BAJO","OK")))</f>
        <v/>
      </c>
      <c r="K126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68" hidden="1" s="11">
      <c r="A1268" s="18" t="n"/>
      <c r="B1268" s="56" t="inlineStr">
        <is>
          <t>00084-PLM</t>
        </is>
      </c>
      <c r="C1268" s="56">
        <f>IFERROR(_xlfn.XLOOKUP(PRODUCTOS[[#This Row],[CODIGO]],LISTADO[CODIGOS],LISTADO[CATEGORIA]),"NO EXISTE")</f>
        <v/>
      </c>
      <c r="D1268" s="56">
        <f>IFERROR(_xlfn.XLOOKUP(PRODUCTOS[[#This Row],[CODIGO]],LISTADO[CODIGOS],LISTADO[PRODUCTOS]),"NO EXISTE")</f>
        <v/>
      </c>
      <c r="E1268" s="56">
        <f>IFERROR(_xlfn.XLOOKUP(PRODUCTOS[[#This Row],[CODIGO]],LISTADO[CODIGOS],LISTADO[UBICACIÓN]),"NO EXISTE")</f>
        <v/>
      </c>
      <c r="F1268" s="56">
        <f>SUMIFS(ENTRADAS[CANTIDAD],ENTRADAS[CODIGO],PRODUCTOS[[#This Row],[CODIGO]])</f>
        <v/>
      </c>
      <c r="G1268" s="56">
        <f>SUMIFS(SALIDAS[CANTIDAD],SALIDAS[CODIGO],PRODUCTOS[[#This Row],[CODIGO]])</f>
        <v/>
      </c>
      <c r="H1268" s="56">
        <f>PRODUCTOS[[#This Row],[ENTRADAS]]-PRODUCTOS[[#This Row],[SALIDAS ]]</f>
        <v/>
      </c>
      <c r="I1268" s="76" t="n">
        <v>0</v>
      </c>
      <c r="J1268">
        <f>IF(PRODUCTOS[[#This Row],[STOCK]]&lt;0,"NEGATIVO",IF(PRODUCTOS[[#This Row],[STOCK]]=0,"SIN STOCK",IF(PRODUCTOS[[#This Row],[STOCK]]&lt;=PRODUCTOS[[#This Row],[STOCK MÍN.]],"BAJO","OK")))</f>
        <v/>
      </c>
      <c r="K126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69" hidden="1" s="11">
      <c r="A1269" s="18" t="n"/>
      <c r="B1269" s="56" t="inlineStr">
        <is>
          <t>00085-PLM</t>
        </is>
      </c>
      <c r="C1269" s="56">
        <f>IFERROR(_xlfn.XLOOKUP(PRODUCTOS[[#This Row],[CODIGO]],LISTADO[CODIGOS],LISTADO[CATEGORIA]),"NO EXISTE")</f>
        <v/>
      </c>
      <c r="D1269" s="56">
        <f>IFERROR(_xlfn.XLOOKUP(PRODUCTOS[[#This Row],[CODIGO]],LISTADO[CODIGOS],LISTADO[PRODUCTOS]),"NO EXISTE")</f>
        <v/>
      </c>
      <c r="E1269" s="56">
        <f>IFERROR(_xlfn.XLOOKUP(PRODUCTOS[[#This Row],[CODIGO]],LISTADO[CODIGOS],LISTADO[UBICACIÓN]),"NO EXISTE")</f>
        <v/>
      </c>
      <c r="F1269" s="56">
        <f>SUMIFS(ENTRADAS[CANTIDAD],ENTRADAS[CODIGO],PRODUCTOS[[#This Row],[CODIGO]])</f>
        <v/>
      </c>
      <c r="G1269" s="56">
        <f>SUMIFS(SALIDAS[CANTIDAD],SALIDAS[CODIGO],PRODUCTOS[[#This Row],[CODIGO]])</f>
        <v/>
      </c>
      <c r="H1269" s="56">
        <f>PRODUCTOS[[#This Row],[ENTRADAS]]-PRODUCTOS[[#This Row],[SALIDAS ]]</f>
        <v/>
      </c>
      <c r="I1269" s="76" t="n">
        <v>0</v>
      </c>
      <c r="J1269">
        <f>IF(PRODUCTOS[[#This Row],[STOCK]]&lt;0,"NEGATIVO",IF(PRODUCTOS[[#This Row],[STOCK]]=0,"SIN STOCK",IF(PRODUCTOS[[#This Row],[STOCK]]&lt;=PRODUCTOS[[#This Row],[STOCK MÍN.]],"BAJO","OK")))</f>
        <v/>
      </c>
      <c r="K126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70" hidden="1" s="11">
      <c r="A1270" s="18" t="n"/>
      <c r="B1270" s="56" t="inlineStr">
        <is>
          <t>00265-FER</t>
        </is>
      </c>
      <c r="C1270" s="56">
        <f>IFERROR(_xlfn.XLOOKUP(PRODUCTOS[[#This Row],[CODIGO]],LISTADO[CODIGOS],LISTADO[CATEGORIA]),"NO EXISTE")</f>
        <v/>
      </c>
      <c r="D1270" s="56">
        <f>IFERROR(_xlfn.XLOOKUP(PRODUCTOS[[#This Row],[CODIGO]],LISTADO[CODIGOS],LISTADO[PRODUCTOS]),"NO EXISTE")</f>
        <v/>
      </c>
      <c r="E1270" s="56">
        <f>IFERROR(_xlfn.XLOOKUP(PRODUCTOS[[#This Row],[CODIGO]],LISTADO[CODIGOS],LISTADO[UBICACIÓN]),"NO EXISTE")</f>
        <v/>
      </c>
      <c r="F1270" s="56">
        <f>SUMIFS(ENTRADAS[CANTIDAD],ENTRADAS[CODIGO],PRODUCTOS[[#This Row],[CODIGO]])</f>
        <v/>
      </c>
      <c r="G1270" s="56">
        <f>SUMIFS(SALIDAS[CANTIDAD],SALIDAS[CODIGO],PRODUCTOS[[#This Row],[CODIGO]])</f>
        <v/>
      </c>
      <c r="H1270" s="56">
        <f>PRODUCTOS[[#This Row],[ENTRADAS]]-PRODUCTOS[[#This Row],[SALIDAS ]]</f>
        <v/>
      </c>
      <c r="I1270" s="76" t="n">
        <v>0</v>
      </c>
      <c r="J1270">
        <f>IF(PRODUCTOS[[#This Row],[STOCK]]&lt;0,"NEGATIVO",IF(PRODUCTOS[[#This Row],[STOCK]]=0,"SIN STOCK",IF(PRODUCTOS[[#This Row],[STOCK]]&lt;=PRODUCTOS[[#This Row],[STOCK MÍN.]],"BAJO","OK")))</f>
        <v/>
      </c>
      <c r="K127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71" hidden="1" s="11">
      <c r="A1271" s="18" t="n"/>
      <c r="B1271" s="56" t="inlineStr">
        <is>
          <t>00131-ELE</t>
        </is>
      </c>
      <c r="C1271" s="56">
        <f>IFERROR(_xlfn.XLOOKUP(PRODUCTOS[[#This Row],[CODIGO]],LISTADO[CODIGOS],LISTADO[CATEGORIA]),"NO EXISTE")</f>
        <v/>
      </c>
      <c r="D1271" s="56">
        <f>IFERROR(_xlfn.XLOOKUP(PRODUCTOS[[#This Row],[CODIGO]],LISTADO[CODIGOS],LISTADO[PRODUCTOS]),"NO EXISTE")</f>
        <v/>
      </c>
      <c r="E1271" s="56">
        <f>IFERROR(_xlfn.XLOOKUP(PRODUCTOS[[#This Row],[CODIGO]],LISTADO[CODIGOS],LISTADO[UBICACIÓN]),"NO EXISTE")</f>
        <v/>
      </c>
      <c r="F1271" s="56">
        <f>SUMIFS(ENTRADAS[CANTIDAD],ENTRADAS[CODIGO],PRODUCTOS[[#This Row],[CODIGO]])</f>
        <v/>
      </c>
      <c r="G1271" s="56">
        <f>SUMIFS(SALIDAS[CANTIDAD],SALIDAS[CODIGO],PRODUCTOS[[#This Row],[CODIGO]])</f>
        <v/>
      </c>
      <c r="H1271" s="56">
        <f>PRODUCTOS[[#This Row],[ENTRADAS]]-PRODUCTOS[[#This Row],[SALIDAS ]]</f>
        <v/>
      </c>
      <c r="I1271" s="76" t="n">
        <v>0</v>
      </c>
      <c r="J1271">
        <f>IF(PRODUCTOS[[#This Row],[STOCK]]&lt;0,"NEGATIVO",IF(PRODUCTOS[[#This Row],[STOCK]]=0,"SIN STOCK",IF(PRODUCTOS[[#This Row],[STOCK]]&lt;=PRODUCTOS[[#This Row],[STOCK MÍN.]],"BAJO","OK")))</f>
        <v/>
      </c>
      <c r="K127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72" hidden="1" s="11">
      <c r="A1272" s="18" t="n"/>
      <c r="B1272" s="56" t="inlineStr">
        <is>
          <t>00093-ELC</t>
        </is>
      </c>
      <c r="C1272" s="56">
        <f>IFERROR(_xlfn.XLOOKUP(PRODUCTOS[[#This Row],[CODIGO]],LISTADO[CODIGOS],LISTADO[CATEGORIA]),"NO EXISTE")</f>
        <v/>
      </c>
      <c r="D1272" s="56">
        <f>IFERROR(_xlfn.XLOOKUP(PRODUCTOS[[#This Row],[CODIGO]],LISTADO[CODIGOS],LISTADO[PRODUCTOS]),"NO EXISTE")</f>
        <v/>
      </c>
      <c r="E1272" s="56">
        <f>IFERROR(_xlfn.XLOOKUP(PRODUCTOS[[#This Row],[CODIGO]],LISTADO[CODIGOS],LISTADO[UBICACIÓN]),"NO EXISTE")</f>
        <v/>
      </c>
      <c r="F1272" s="56">
        <f>SUMIFS(ENTRADAS[CANTIDAD],ENTRADAS[CODIGO],PRODUCTOS[[#This Row],[CODIGO]])</f>
        <v/>
      </c>
      <c r="G1272" s="56">
        <f>SUMIFS(SALIDAS[CANTIDAD],SALIDAS[CODIGO],PRODUCTOS[[#This Row],[CODIGO]])</f>
        <v/>
      </c>
      <c r="H1272" s="56">
        <f>PRODUCTOS[[#This Row],[ENTRADAS]]-PRODUCTOS[[#This Row],[SALIDAS ]]</f>
        <v/>
      </c>
      <c r="I1272" s="76" t="n">
        <v>0</v>
      </c>
      <c r="J1272">
        <f>IF(PRODUCTOS[[#This Row],[STOCK]]&lt;0,"NEGATIVO",IF(PRODUCTOS[[#This Row],[STOCK]]=0,"SIN STOCK",IF(PRODUCTOS[[#This Row],[STOCK]]&lt;=PRODUCTOS[[#This Row],[STOCK MÍN.]],"BAJO","OK")))</f>
        <v/>
      </c>
      <c r="K127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73" hidden="1" s="11">
      <c r="A1273" s="18" t="n"/>
      <c r="B1273" s="56" t="inlineStr">
        <is>
          <t>00174-REF</t>
        </is>
      </c>
      <c r="C1273" s="56">
        <f>IFERROR(_xlfn.XLOOKUP(PRODUCTOS[[#This Row],[CODIGO]],LISTADO[CODIGOS],LISTADO[CATEGORIA]),"NO EXISTE")</f>
        <v/>
      </c>
      <c r="D1273" s="56">
        <f>IFERROR(_xlfn.XLOOKUP(PRODUCTOS[[#This Row],[CODIGO]],LISTADO[CODIGOS],LISTADO[PRODUCTOS]),"NO EXISTE")</f>
        <v/>
      </c>
      <c r="E1273" s="56">
        <f>IFERROR(_xlfn.XLOOKUP(PRODUCTOS[[#This Row],[CODIGO]],LISTADO[CODIGOS],LISTADO[UBICACIÓN]),"NO EXISTE")</f>
        <v/>
      </c>
      <c r="F1273" s="56">
        <f>SUMIFS(ENTRADAS[CANTIDAD],ENTRADAS[CODIGO],PRODUCTOS[[#This Row],[CODIGO]])</f>
        <v/>
      </c>
      <c r="G1273" s="56">
        <f>SUMIFS(SALIDAS[CANTIDAD],SALIDAS[CODIGO],PRODUCTOS[[#This Row],[CODIGO]])</f>
        <v/>
      </c>
      <c r="H1273" s="56">
        <f>PRODUCTOS[[#This Row],[ENTRADAS]]-PRODUCTOS[[#This Row],[SALIDAS ]]</f>
        <v/>
      </c>
      <c r="I1273" s="76" t="n">
        <v>0</v>
      </c>
      <c r="J1273">
        <f>IF(PRODUCTOS[[#This Row],[STOCK]]&lt;0,"NEGATIVO",IF(PRODUCTOS[[#This Row],[STOCK]]=0,"SIN STOCK",IF(PRODUCTOS[[#This Row],[STOCK]]&lt;=PRODUCTOS[[#This Row],[STOCK MÍN.]],"BAJO","OK")))</f>
        <v/>
      </c>
      <c r="K127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74" hidden="1" s="11">
      <c r="A1274" s="18" t="n"/>
      <c r="B1274" s="56" t="inlineStr">
        <is>
          <t>00086-PLM</t>
        </is>
      </c>
      <c r="C1274" s="56">
        <f>IFERROR(_xlfn.XLOOKUP(PRODUCTOS[[#This Row],[CODIGO]],LISTADO[CODIGOS],LISTADO[CATEGORIA]),"NO EXISTE")</f>
        <v/>
      </c>
      <c r="D1274" s="56">
        <f>IFERROR(_xlfn.XLOOKUP(PRODUCTOS[[#This Row],[CODIGO]],LISTADO[CODIGOS],LISTADO[PRODUCTOS]),"NO EXISTE")</f>
        <v/>
      </c>
      <c r="E1274" s="56">
        <f>IFERROR(_xlfn.XLOOKUP(PRODUCTOS[[#This Row],[CODIGO]],LISTADO[CODIGOS],LISTADO[UBICACIÓN]),"NO EXISTE")</f>
        <v/>
      </c>
      <c r="F1274" s="56">
        <f>SUMIFS(ENTRADAS[CANTIDAD],ENTRADAS[CODIGO],PRODUCTOS[[#This Row],[CODIGO]])</f>
        <v/>
      </c>
      <c r="G1274" s="56">
        <f>SUMIFS(SALIDAS[CANTIDAD],SALIDAS[CODIGO],PRODUCTOS[[#This Row],[CODIGO]])</f>
        <v/>
      </c>
      <c r="H1274" s="56">
        <f>PRODUCTOS[[#This Row],[ENTRADAS]]-PRODUCTOS[[#This Row],[SALIDAS ]]</f>
        <v/>
      </c>
      <c r="I1274" s="76" t="n">
        <v>0</v>
      </c>
      <c r="J1274">
        <f>IF(PRODUCTOS[[#This Row],[STOCK]]&lt;0,"NEGATIVO",IF(PRODUCTOS[[#This Row],[STOCK]]=0,"SIN STOCK",IF(PRODUCTOS[[#This Row],[STOCK]]&lt;=PRODUCTOS[[#This Row],[STOCK MÍN.]],"BAJO","OK")))</f>
        <v/>
      </c>
      <c r="K127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75" hidden="1" s="11">
      <c r="A1275" s="18" t="n"/>
      <c r="B1275" s="56" t="inlineStr">
        <is>
          <t>00142-HER</t>
        </is>
      </c>
      <c r="C1275" s="56">
        <f>IFERROR(_xlfn.XLOOKUP(PRODUCTOS[[#This Row],[CODIGO]],LISTADO[CODIGOS],LISTADO[CATEGORIA]),"NO EXISTE")</f>
        <v/>
      </c>
      <c r="D1275" s="56">
        <f>IFERROR(_xlfn.XLOOKUP(PRODUCTOS[[#This Row],[CODIGO]],LISTADO[CODIGOS],LISTADO[PRODUCTOS]),"NO EXISTE")</f>
        <v/>
      </c>
      <c r="E1275" s="56">
        <f>IFERROR(_xlfn.XLOOKUP(PRODUCTOS[[#This Row],[CODIGO]],LISTADO[CODIGOS],LISTADO[UBICACIÓN]),"NO EXISTE")</f>
        <v/>
      </c>
      <c r="F1275" s="56">
        <f>SUMIFS(ENTRADAS[CANTIDAD],ENTRADAS[CODIGO],PRODUCTOS[[#This Row],[CODIGO]])</f>
        <v/>
      </c>
      <c r="G1275" s="56">
        <f>SUMIFS(SALIDAS[CANTIDAD],SALIDAS[CODIGO],PRODUCTOS[[#This Row],[CODIGO]])</f>
        <v/>
      </c>
      <c r="H1275" s="56">
        <f>PRODUCTOS[[#This Row],[ENTRADAS]]-PRODUCTOS[[#This Row],[SALIDAS ]]</f>
        <v/>
      </c>
      <c r="I1275" s="76" t="n">
        <v>0</v>
      </c>
      <c r="J1275">
        <f>IF(PRODUCTOS[[#This Row],[STOCK]]&lt;0,"NEGATIVO",IF(PRODUCTOS[[#This Row],[STOCK]]=0,"SIN STOCK",IF(PRODUCTOS[[#This Row],[STOCK]]&lt;=PRODUCTOS[[#This Row],[STOCK MÍN.]],"BAJO","OK")))</f>
        <v/>
      </c>
      <c r="K127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76" hidden="1" s="11">
      <c r="A1276" s="18" t="n"/>
      <c r="B1276" s="56" t="inlineStr">
        <is>
          <t>00175-REF</t>
        </is>
      </c>
      <c r="C1276" s="56">
        <f>IFERROR(_xlfn.XLOOKUP(PRODUCTOS[[#This Row],[CODIGO]],LISTADO[CODIGOS],LISTADO[CATEGORIA]),"NO EXISTE")</f>
        <v/>
      </c>
      <c r="D1276" s="56">
        <f>IFERROR(_xlfn.XLOOKUP(PRODUCTOS[[#This Row],[CODIGO]],LISTADO[CODIGOS],LISTADO[PRODUCTOS]),"NO EXISTE")</f>
        <v/>
      </c>
      <c r="E1276" s="56">
        <f>IFERROR(_xlfn.XLOOKUP(PRODUCTOS[[#This Row],[CODIGO]],LISTADO[CODIGOS],LISTADO[UBICACIÓN]),"NO EXISTE")</f>
        <v/>
      </c>
      <c r="F1276" s="56">
        <f>SUMIFS(ENTRADAS[CANTIDAD],ENTRADAS[CODIGO],PRODUCTOS[[#This Row],[CODIGO]])</f>
        <v/>
      </c>
      <c r="G1276" s="56">
        <f>SUMIFS(SALIDAS[CANTIDAD],SALIDAS[CODIGO],PRODUCTOS[[#This Row],[CODIGO]])</f>
        <v/>
      </c>
      <c r="H1276" s="56">
        <f>PRODUCTOS[[#This Row],[ENTRADAS]]-PRODUCTOS[[#This Row],[SALIDAS ]]</f>
        <v/>
      </c>
      <c r="I1276" s="76" t="n">
        <v>0</v>
      </c>
      <c r="J1276">
        <f>IF(PRODUCTOS[[#This Row],[STOCK]]&lt;0,"NEGATIVO",IF(PRODUCTOS[[#This Row],[STOCK]]=0,"SIN STOCK",IF(PRODUCTOS[[#This Row],[STOCK]]&lt;=PRODUCTOS[[#This Row],[STOCK MÍN.]],"BAJO","OK")))</f>
        <v/>
      </c>
      <c r="K127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77" hidden="1" s="11">
      <c r="A1277" s="18" t="n"/>
      <c r="B1277" s="56" t="inlineStr">
        <is>
          <t>00132-ELE</t>
        </is>
      </c>
      <c r="C1277" s="56">
        <f>IFERROR(_xlfn.XLOOKUP(PRODUCTOS[[#This Row],[CODIGO]],LISTADO[CODIGOS],LISTADO[CATEGORIA]),"NO EXISTE")</f>
        <v/>
      </c>
      <c r="D1277" s="56">
        <f>IFERROR(_xlfn.XLOOKUP(PRODUCTOS[[#This Row],[CODIGO]],LISTADO[CODIGOS],LISTADO[PRODUCTOS]),"NO EXISTE")</f>
        <v/>
      </c>
      <c r="E1277" s="56">
        <f>IFERROR(_xlfn.XLOOKUP(PRODUCTOS[[#This Row],[CODIGO]],LISTADO[CODIGOS],LISTADO[UBICACIÓN]),"NO EXISTE")</f>
        <v/>
      </c>
      <c r="F1277" s="56">
        <f>SUMIFS(ENTRADAS[CANTIDAD],ENTRADAS[CODIGO],PRODUCTOS[[#This Row],[CODIGO]])</f>
        <v/>
      </c>
      <c r="G1277" s="56">
        <f>SUMIFS(SALIDAS[CANTIDAD],SALIDAS[CODIGO],PRODUCTOS[[#This Row],[CODIGO]])</f>
        <v/>
      </c>
      <c r="H1277" s="56">
        <f>PRODUCTOS[[#This Row],[ENTRADAS]]-PRODUCTOS[[#This Row],[SALIDAS ]]</f>
        <v/>
      </c>
      <c r="I1277" s="76" t="n">
        <v>0</v>
      </c>
      <c r="J1277">
        <f>IF(PRODUCTOS[[#This Row],[STOCK]]&lt;0,"NEGATIVO",IF(PRODUCTOS[[#This Row],[STOCK]]=0,"SIN STOCK",IF(PRODUCTOS[[#This Row],[STOCK]]&lt;=PRODUCTOS[[#This Row],[STOCK MÍN.]],"BAJO","OK")))</f>
        <v/>
      </c>
      <c r="K127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78" hidden="1" s="11">
      <c r="A1278" s="18" t="n"/>
      <c r="B1278" s="56" t="inlineStr">
        <is>
          <t>00266-FER</t>
        </is>
      </c>
      <c r="C1278" s="56">
        <f>IFERROR(_xlfn.XLOOKUP(PRODUCTOS[[#This Row],[CODIGO]],LISTADO[CODIGOS],LISTADO[CATEGORIA]),"NO EXISTE")</f>
        <v/>
      </c>
      <c r="D1278" s="56">
        <f>IFERROR(_xlfn.XLOOKUP(PRODUCTOS[[#This Row],[CODIGO]],LISTADO[CODIGOS],LISTADO[PRODUCTOS]),"NO EXISTE")</f>
        <v/>
      </c>
      <c r="E1278" s="56">
        <f>IFERROR(_xlfn.XLOOKUP(PRODUCTOS[[#This Row],[CODIGO]],LISTADO[CODIGOS],LISTADO[UBICACIÓN]),"NO EXISTE")</f>
        <v/>
      </c>
      <c r="F1278" s="56">
        <f>SUMIFS(ENTRADAS[CANTIDAD],ENTRADAS[CODIGO],PRODUCTOS[[#This Row],[CODIGO]])</f>
        <v/>
      </c>
      <c r="G1278" s="56">
        <f>SUMIFS(SALIDAS[CANTIDAD],SALIDAS[CODIGO],PRODUCTOS[[#This Row],[CODIGO]])</f>
        <v/>
      </c>
      <c r="H1278" s="56">
        <f>PRODUCTOS[[#This Row],[ENTRADAS]]-PRODUCTOS[[#This Row],[SALIDAS ]]</f>
        <v/>
      </c>
      <c r="I1278" s="76" t="n">
        <v>0</v>
      </c>
      <c r="J1278">
        <f>IF(PRODUCTOS[[#This Row],[STOCK]]&lt;0,"NEGATIVO",IF(PRODUCTOS[[#This Row],[STOCK]]=0,"SIN STOCK",IF(PRODUCTOS[[#This Row],[STOCK]]&lt;=PRODUCTOS[[#This Row],[STOCK MÍN.]],"BAJO","OK")))</f>
        <v/>
      </c>
      <c r="K127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79" hidden="1" s="11">
      <c r="A1279" s="18" t="n"/>
      <c r="B1279" s="56" t="inlineStr">
        <is>
          <t>00176-REF</t>
        </is>
      </c>
      <c r="C1279" s="56">
        <f>IFERROR(_xlfn.XLOOKUP(PRODUCTOS[[#This Row],[CODIGO]],LISTADO[CODIGOS],LISTADO[CATEGORIA]),"NO EXISTE")</f>
        <v/>
      </c>
      <c r="D1279" s="56">
        <f>IFERROR(_xlfn.XLOOKUP(PRODUCTOS[[#This Row],[CODIGO]],LISTADO[CODIGOS],LISTADO[PRODUCTOS]),"NO EXISTE")</f>
        <v/>
      </c>
      <c r="E1279" s="56">
        <f>IFERROR(_xlfn.XLOOKUP(PRODUCTOS[[#This Row],[CODIGO]],LISTADO[CODIGOS],LISTADO[UBICACIÓN]),"NO EXISTE")</f>
        <v/>
      </c>
      <c r="F1279" s="56">
        <f>SUMIFS(ENTRADAS[CANTIDAD],ENTRADAS[CODIGO],PRODUCTOS[[#This Row],[CODIGO]])</f>
        <v/>
      </c>
      <c r="G1279" s="56">
        <f>SUMIFS(SALIDAS[CANTIDAD],SALIDAS[CODIGO],PRODUCTOS[[#This Row],[CODIGO]])</f>
        <v/>
      </c>
      <c r="H1279" s="56">
        <f>PRODUCTOS[[#This Row],[ENTRADAS]]-PRODUCTOS[[#This Row],[SALIDAS ]]</f>
        <v/>
      </c>
      <c r="I1279" s="76" t="n">
        <v>0</v>
      </c>
      <c r="J1279">
        <f>IF(PRODUCTOS[[#This Row],[STOCK]]&lt;0,"NEGATIVO",IF(PRODUCTOS[[#This Row],[STOCK]]=0,"SIN STOCK",IF(PRODUCTOS[[#This Row],[STOCK]]&lt;=PRODUCTOS[[#This Row],[STOCK MÍN.]],"BAJO","OK")))</f>
        <v/>
      </c>
      <c r="K127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80" hidden="1" s="11">
      <c r="A1280" s="18" t="n"/>
      <c r="B1280" s="56" t="inlineStr">
        <is>
          <t>00143-HER</t>
        </is>
      </c>
      <c r="C1280" s="56">
        <f>IFERROR(_xlfn.XLOOKUP(PRODUCTOS[[#This Row],[CODIGO]],LISTADO[CODIGOS],LISTADO[CATEGORIA]),"NO EXISTE")</f>
        <v/>
      </c>
      <c r="D1280" s="56">
        <f>IFERROR(_xlfn.XLOOKUP(PRODUCTOS[[#This Row],[CODIGO]],LISTADO[CODIGOS],LISTADO[PRODUCTOS]),"NO EXISTE")</f>
        <v/>
      </c>
      <c r="E1280" s="56">
        <f>IFERROR(_xlfn.XLOOKUP(PRODUCTOS[[#This Row],[CODIGO]],LISTADO[CODIGOS],LISTADO[UBICACIÓN]),"NO EXISTE")</f>
        <v/>
      </c>
      <c r="F1280" s="56">
        <f>SUMIFS(ENTRADAS[CANTIDAD],ENTRADAS[CODIGO],PRODUCTOS[[#This Row],[CODIGO]])</f>
        <v/>
      </c>
      <c r="G1280" s="56">
        <f>SUMIFS(SALIDAS[CANTIDAD],SALIDAS[CODIGO],PRODUCTOS[[#This Row],[CODIGO]])</f>
        <v/>
      </c>
      <c r="H1280" s="56">
        <f>PRODUCTOS[[#This Row],[ENTRADAS]]-PRODUCTOS[[#This Row],[SALIDAS ]]</f>
        <v/>
      </c>
      <c r="I1280" s="76" t="n">
        <v>0</v>
      </c>
      <c r="J1280">
        <f>IF(PRODUCTOS[[#This Row],[STOCK]]&lt;0,"NEGATIVO",IF(PRODUCTOS[[#This Row],[STOCK]]=0,"SIN STOCK",IF(PRODUCTOS[[#This Row],[STOCK]]&lt;=PRODUCTOS[[#This Row],[STOCK MÍN.]],"BAJO","OK")))</f>
        <v/>
      </c>
      <c r="K1280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81" hidden="1" s="11">
      <c r="A1281" s="18" t="n"/>
      <c r="B1281" s="56" t="inlineStr">
        <is>
          <t>00054-AUT</t>
        </is>
      </c>
      <c r="C1281" s="56">
        <f>IFERROR(_xlfn.XLOOKUP(PRODUCTOS[[#This Row],[CODIGO]],LISTADO[CODIGOS],LISTADO[CATEGORIA]),"NO EXISTE")</f>
        <v/>
      </c>
      <c r="D1281" s="56">
        <f>IFERROR(_xlfn.XLOOKUP(PRODUCTOS[[#This Row],[CODIGO]],LISTADO[CODIGOS],LISTADO[PRODUCTOS]),"NO EXISTE")</f>
        <v/>
      </c>
      <c r="E1281" s="56">
        <f>IFERROR(_xlfn.XLOOKUP(PRODUCTOS[[#This Row],[CODIGO]],LISTADO[CODIGOS],LISTADO[UBICACIÓN]),"NO EXISTE")</f>
        <v/>
      </c>
      <c r="F1281" s="56">
        <f>SUMIFS(ENTRADAS[CANTIDAD],ENTRADAS[CODIGO],PRODUCTOS[[#This Row],[CODIGO]])</f>
        <v/>
      </c>
      <c r="G1281" s="56">
        <f>SUMIFS(SALIDAS[CANTIDAD],SALIDAS[CODIGO],PRODUCTOS[[#This Row],[CODIGO]])</f>
        <v/>
      </c>
      <c r="H1281" s="56">
        <f>PRODUCTOS[[#This Row],[ENTRADAS]]-PRODUCTOS[[#This Row],[SALIDAS ]]</f>
        <v/>
      </c>
      <c r="I1281" s="76" t="n">
        <v>0</v>
      </c>
      <c r="J1281">
        <f>IF(PRODUCTOS[[#This Row],[STOCK]]&lt;0,"NEGATIVO",IF(PRODUCTOS[[#This Row],[STOCK]]=0,"SIN STOCK",IF(PRODUCTOS[[#This Row],[STOCK]]&lt;=PRODUCTOS[[#This Row],[STOCK MÍN.]],"BAJO","OK")))</f>
        <v/>
      </c>
      <c r="K1281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82" hidden="1" s="11">
      <c r="A1282" s="18" t="n"/>
      <c r="B1282" s="56" t="inlineStr">
        <is>
          <t>00055-AUT</t>
        </is>
      </c>
      <c r="C1282" s="56">
        <f>IFERROR(_xlfn.XLOOKUP(PRODUCTOS[[#This Row],[CODIGO]],LISTADO[CODIGOS],LISTADO[CATEGORIA]),"NO EXISTE")</f>
        <v/>
      </c>
      <c r="D1282" s="56">
        <f>IFERROR(_xlfn.XLOOKUP(PRODUCTOS[[#This Row],[CODIGO]],LISTADO[CODIGOS],LISTADO[PRODUCTOS]),"NO EXISTE")</f>
        <v/>
      </c>
      <c r="E1282" s="56">
        <f>IFERROR(_xlfn.XLOOKUP(PRODUCTOS[[#This Row],[CODIGO]],LISTADO[CODIGOS],LISTADO[UBICACIÓN]),"NO EXISTE")</f>
        <v/>
      </c>
      <c r="F1282" s="56">
        <f>SUMIFS(ENTRADAS[CANTIDAD],ENTRADAS[CODIGO],PRODUCTOS[[#This Row],[CODIGO]])</f>
        <v/>
      </c>
      <c r="G1282" s="56">
        <f>SUMIFS(SALIDAS[CANTIDAD],SALIDAS[CODIGO],PRODUCTOS[[#This Row],[CODIGO]])</f>
        <v/>
      </c>
      <c r="H1282" s="56">
        <f>PRODUCTOS[[#This Row],[ENTRADAS]]-PRODUCTOS[[#This Row],[SALIDAS ]]</f>
        <v/>
      </c>
      <c r="I1282" s="76" t="n">
        <v>0</v>
      </c>
      <c r="J1282">
        <f>IF(PRODUCTOS[[#This Row],[STOCK]]&lt;0,"NEGATIVO",IF(PRODUCTOS[[#This Row],[STOCK]]=0,"SIN STOCK",IF(PRODUCTOS[[#This Row],[STOCK]]&lt;=PRODUCTOS[[#This Row],[STOCK MÍN.]],"BAJO","OK")))</f>
        <v/>
      </c>
      <c r="K1282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83" hidden="1" s="11">
      <c r="A1283" s="18" t="n"/>
      <c r="B1283" s="56" t="inlineStr">
        <is>
          <t>00056-AUT</t>
        </is>
      </c>
      <c r="C1283" s="56">
        <f>IFERROR(_xlfn.XLOOKUP(PRODUCTOS[[#This Row],[CODIGO]],LISTADO[CODIGOS],LISTADO[CATEGORIA]),"NO EXISTE")</f>
        <v/>
      </c>
      <c r="D1283" s="56">
        <f>IFERROR(_xlfn.XLOOKUP(PRODUCTOS[[#This Row],[CODIGO]],LISTADO[CODIGOS],LISTADO[PRODUCTOS]),"NO EXISTE")</f>
        <v/>
      </c>
      <c r="E1283" s="56">
        <f>IFERROR(_xlfn.XLOOKUP(PRODUCTOS[[#This Row],[CODIGO]],LISTADO[CODIGOS],LISTADO[UBICACIÓN]),"NO EXISTE")</f>
        <v/>
      </c>
      <c r="F1283" s="56">
        <f>SUMIFS(ENTRADAS[CANTIDAD],ENTRADAS[CODIGO],PRODUCTOS[[#This Row],[CODIGO]])</f>
        <v/>
      </c>
      <c r="G1283" s="56">
        <f>SUMIFS(SALIDAS[CANTIDAD],SALIDAS[CODIGO],PRODUCTOS[[#This Row],[CODIGO]])</f>
        <v/>
      </c>
      <c r="H1283" s="56">
        <f>PRODUCTOS[[#This Row],[ENTRADAS]]-PRODUCTOS[[#This Row],[SALIDAS ]]</f>
        <v/>
      </c>
      <c r="I1283" s="76" t="n">
        <v>0</v>
      </c>
      <c r="J1283">
        <f>IF(PRODUCTOS[[#This Row],[STOCK]]&lt;0,"NEGATIVO",IF(PRODUCTOS[[#This Row],[STOCK]]=0,"SIN STOCK",IF(PRODUCTOS[[#This Row],[STOCK]]&lt;=PRODUCTOS[[#This Row],[STOCK MÍN.]],"BAJO","OK")))</f>
        <v/>
      </c>
      <c r="K1283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84" hidden="1" s="11">
      <c r="A1284" s="18" t="n"/>
      <c r="B1284" s="56" t="inlineStr">
        <is>
          <t>00177-REF</t>
        </is>
      </c>
      <c r="C1284" s="56">
        <f>IFERROR(_xlfn.XLOOKUP(PRODUCTOS[[#This Row],[CODIGO]],LISTADO[CODIGOS],LISTADO[CATEGORIA]),"NO EXISTE")</f>
        <v/>
      </c>
      <c r="D1284" s="56">
        <f>IFERROR(_xlfn.XLOOKUP(PRODUCTOS[[#This Row],[CODIGO]],LISTADO[CODIGOS],LISTADO[PRODUCTOS]),"NO EXISTE")</f>
        <v/>
      </c>
      <c r="E1284" s="56">
        <f>IFERROR(_xlfn.XLOOKUP(PRODUCTOS[[#This Row],[CODIGO]],LISTADO[CODIGOS],LISTADO[UBICACIÓN]),"NO EXISTE")</f>
        <v/>
      </c>
      <c r="F1284" s="56">
        <f>SUMIFS(ENTRADAS[CANTIDAD],ENTRADAS[CODIGO],PRODUCTOS[[#This Row],[CODIGO]])</f>
        <v/>
      </c>
      <c r="G1284" s="56">
        <f>SUMIFS(SALIDAS[CANTIDAD],SALIDAS[CODIGO],PRODUCTOS[[#This Row],[CODIGO]])</f>
        <v/>
      </c>
      <c r="H1284" s="56">
        <f>PRODUCTOS[[#This Row],[ENTRADAS]]-PRODUCTOS[[#This Row],[SALIDAS ]]</f>
        <v/>
      </c>
      <c r="I1284" s="76" t="n">
        <v>0</v>
      </c>
      <c r="J1284">
        <f>IF(PRODUCTOS[[#This Row],[STOCK]]&lt;0,"NEGATIVO",IF(PRODUCTOS[[#This Row],[STOCK]]=0,"SIN STOCK",IF(PRODUCTOS[[#This Row],[STOCK]]&lt;=PRODUCTOS[[#This Row],[STOCK MÍN.]],"BAJO","OK")))</f>
        <v/>
      </c>
      <c r="K1284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85" hidden="1" s="11">
      <c r="A1285" s="18" t="n"/>
      <c r="B1285" s="56" t="inlineStr">
        <is>
          <t>00178-REF</t>
        </is>
      </c>
      <c r="C1285" s="56">
        <f>IFERROR(_xlfn.XLOOKUP(PRODUCTOS[[#This Row],[CODIGO]],LISTADO[CODIGOS],LISTADO[CATEGORIA]),"NO EXISTE")</f>
        <v/>
      </c>
      <c r="D1285" s="56">
        <f>IFERROR(_xlfn.XLOOKUP(PRODUCTOS[[#This Row],[CODIGO]],LISTADO[CODIGOS],LISTADO[PRODUCTOS]),"NO EXISTE")</f>
        <v/>
      </c>
      <c r="E1285" s="56">
        <f>IFERROR(_xlfn.XLOOKUP(PRODUCTOS[[#This Row],[CODIGO]],LISTADO[CODIGOS],LISTADO[UBICACIÓN]),"NO EXISTE")</f>
        <v/>
      </c>
      <c r="F1285" s="56">
        <f>SUMIFS(ENTRADAS[CANTIDAD],ENTRADAS[CODIGO],PRODUCTOS[[#This Row],[CODIGO]])</f>
        <v/>
      </c>
      <c r="G1285" s="56">
        <f>SUMIFS(SALIDAS[CANTIDAD],SALIDAS[CODIGO],PRODUCTOS[[#This Row],[CODIGO]])</f>
        <v/>
      </c>
      <c r="H1285" s="56">
        <f>PRODUCTOS[[#This Row],[ENTRADAS]]-PRODUCTOS[[#This Row],[SALIDAS ]]</f>
        <v/>
      </c>
      <c r="I1285" s="76" t="n">
        <v>0</v>
      </c>
      <c r="J1285">
        <f>IF(PRODUCTOS[[#This Row],[STOCK]]&lt;0,"NEGATIVO",IF(PRODUCTOS[[#This Row],[STOCK]]=0,"SIN STOCK",IF(PRODUCTOS[[#This Row],[STOCK]]&lt;=PRODUCTOS[[#This Row],[STOCK MÍN.]],"BAJO","OK")))</f>
        <v/>
      </c>
      <c r="K1285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86" hidden="1" s="11">
      <c r="A1286" s="18" t="n"/>
      <c r="B1286" s="56" t="inlineStr">
        <is>
          <t>00057-AUT</t>
        </is>
      </c>
      <c r="C1286" s="56">
        <f>IFERROR(_xlfn.XLOOKUP(PRODUCTOS[[#This Row],[CODIGO]],LISTADO[CODIGOS],LISTADO[CATEGORIA]),"NO EXISTE")</f>
        <v/>
      </c>
      <c r="D1286" s="56">
        <f>IFERROR(_xlfn.XLOOKUP(PRODUCTOS[[#This Row],[CODIGO]],LISTADO[CODIGOS],LISTADO[PRODUCTOS]),"NO EXISTE")</f>
        <v/>
      </c>
      <c r="E1286" s="56">
        <f>IFERROR(_xlfn.XLOOKUP(PRODUCTOS[[#This Row],[CODIGO]],LISTADO[CODIGOS],LISTADO[UBICACIÓN]),"NO EXISTE")</f>
        <v/>
      </c>
      <c r="F1286" s="56">
        <f>SUMIFS(ENTRADAS[CANTIDAD],ENTRADAS[CODIGO],PRODUCTOS[[#This Row],[CODIGO]])</f>
        <v/>
      </c>
      <c r="G1286" s="56">
        <f>SUMIFS(SALIDAS[CANTIDAD],SALIDAS[CODIGO],PRODUCTOS[[#This Row],[CODIGO]])</f>
        <v/>
      </c>
      <c r="H1286" s="56">
        <f>PRODUCTOS[[#This Row],[ENTRADAS]]-PRODUCTOS[[#This Row],[SALIDAS ]]</f>
        <v/>
      </c>
      <c r="I1286" s="76" t="n">
        <v>0</v>
      </c>
      <c r="J1286">
        <f>IF(PRODUCTOS[[#This Row],[STOCK]]&lt;0,"NEGATIVO",IF(PRODUCTOS[[#This Row],[STOCK]]=0,"SIN STOCK",IF(PRODUCTOS[[#This Row],[STOCK]]&lt;=PRODUCTOS[[#This Row],[STOCK MÍN.]],"BAJO","OK")))</f>
        <v/>
      </c>
      <c r="K1286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87" hidden="1" s="11">
      <c r="A1287" s="18" t="n"/>
      <c r="B1287" s="56" t="inlineStr">
        <is>
          <t>00133-ELE</t>
        </is>
      </c>
      <c r="C1287" s="56">
        <f>IFERROR(_xlfn.XLOOKUP(PRODUCTOS[[#This Row],[CODIGO]],LISTADO[CODIGOS],LISTADO[CATEGORIA]),"NO EXISTE")</f>
        <v/>
      </c>
      <c r="D1287" s="56">
        <f>IFERROR(_xlfn.XLOOKUP(PRODUCTOS[[#This Row],[CODIGO]],LISTADO[CODIGOS],LISTADO[PRODUCTOS]),"NO EXISTE")</f>
        <v/>
      </c>
      <c r="E1287" s="56">
        <f>IFERROR(_xlfn.XLOOKUP(PRODUCTOS[[#This Row],[CODIGO]],LISTADO[CODIGOS],LISTADO[UBICACIÓN]),"NO EXISTE")</f>
        <v/>
      </c>
      <c r="F1287" s="56">
        <f>SUMIFS(ENTRADAS[CANTIDAD],ENTRADAS[CODIGO],PRODUCTOS[[#This Row],[CODIGO]])</f>
        <v/>
      </c>
      <c r="G1287" s="56">
        <f>SUMIFS(SALIDAS[CANTIDAD],SALIDAS[CODIGO],PRODUCTOS[[#This Row],[CODIGO]])</f>
        <v/>
      </c>
      <c r="H1287" s="56">
        <f>PRODUCTOS[[#This Row],[ENTRADAS]]-PRODUCTOS[[#This Row],[SALIDAS ]]</f>
        <v/>
      </c>
      <c r="I1287" s="76" t="n">
        <v>0</v>
      </c>
      <c r="J1287">
        <f>IF(PRODUCTOS[[#This Row],[STOCK]]&lt;0,"NEGATIVO",IF(PRODUCTOS[[#This Row],[STOCK]]=0,"SIN STOCK",IF(PRODUCTOS[[#This Row],[STOCK]]&lt;=PRODUCTOS[[#This Row],[STOCK MÍN.]],"BAJO","OK")))</f>
        <v/>
      </c>
      <c r="K1287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88" hidden="1" s="11">
      <c r="A1288" s="18" t="n"/>
      <c r="B1288" s="56" t="inlineStr">
        <is>
          <t>00087-PLM</t>
        </is>
      </c>
      <c r="C1288" s="56">
        <f>IFERROR(_xlfn.XLOOKUP(PRODUCTOS[[#This Row],[CODIGO]],LISTADO[CODIGOS],LISTADO[CATEGORIA]),"NO EXISTE")</f>
        <v/>
      </c>
      <c r="D1288" s="56">
        <f>IFERROR(_xlfn.XLOOKUP(PRODUCTOS[[#This Row],[CODIGO]],LISTADO[CODIGOS],LISTADO[PRODUCTOS]),"NO EXISTE")</f>
        <v/>
      </c>
      <c r="E1288" s="56">
        <f>IFERROR(_xlfn.XLOOKUP(PRODUCTOS[[#This Row],[CODIGO]],LISTADO[CODIGOS],LISTADO[UBICACIÓN]),"NO EXISTE")</f>
        <v/>
      </c>
      <c r="F1288" s="56">
        <f>SUMIFS(ENTRADAS[CANTIDAD],ENTRADAS[CODIGO],PRODUCTOS[[#This Row],[CODIGO]])</f>
        <v/>
      </c>
      <c r="G1288" s="56">
        <f>SUMIFS(SALIDAS[CANTIDAD],SALIDAS[CODIGO],PRODUCTOS[[#This Row],[CODIGO]])</f>
        <v/>
      </c>
      <c r="H1288" s="56">
        <f>PRODUCTOS[[#This Row],[ENTRADAS]]-PRODUCTOS[[#This Row],[SALIDAS ]]</f>
        <v/>
      </c>
      <c r="I1288" s="76" t="n">
        <v>0</v>
      </c>
      <c r="J1288">
        <f>IF(PRODUCTOS[[#This Row],[STOCK]]&lt;0,"NEGATIVO",IF(PRODUCTOS[[#This Row],[STOCK]]=0,"SIN STOCK",IF(PRODUCTOS[[#This Row],[STOCK]]&lt;=PRODUCTOS[[#This Row],[STOCK MÍN.]],"BAJO","OK")))</f>
        <v/>
      </c>
      <c r="K1288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89" hidden="1" s="11">
      <c r="A1289" s="18" t="n"/>
      <c r="B1289" s="56" t="inlineStr">
        <is>
          <t>00088-PLM</t>
        </is>
      </c>
      <c r="C1289" s="56">
        <f>IFERROR(_xlfn.XLOOKUP(PRODUCTOS[[#This Row],[CODIGO]],LISTADO[CODIGOS],LISTADO[CATEGORIA]),"NO EXISTE")</f>
        <v/>
      </c>
      <c r="D1289" s="56">
        <f>IFERROR(_xlfn.XLOOKUP(PRODUCTOS[[#This Row],[CODIGO]],LISTADO[CODIGOS],LISTADO[PRODUCTOS]),"NO EXISTE")</f>
        <v/>
      </c>
      <c r="E1289" s="56">
        <f>IFERROR(_xlfn.XLOOKUP(PRODUCTOS[[#This Row],[CODIGO]],LISTADO[CODIGOS],LISTADO[UBICACIÓN]),"NO EXISTE")</f>
        <v/>
      </c>
      <c r="F1289" s="56">
        <f>SUMIFS(ENTRADAS[CANTIDAD],ENTRADAS[CODIGO],PRODUCTOS[[#This Row],[CODIGO]])</f>
        <v/>
      </c>
      <c r="G1289" s="56">
        <f>SUMIFS(SALIDAS[CANTIDAD],SALIDAS[CODIGO],PRODUCTOS[[#This Row],[CODIGO]])</f>
        <v/>
      </c>
      <c r="H1289" s="56">
        <f>PRODUCTOS[[#This Row],[ENTRADAS]]-PRODUCTOS[[#This Row],[SALIDAS ]]</f>
        <v/>
      </c>
      <c r="I1289" s="76" t="n">
        <v>0</v>
      </c>
      <c r="J1289">
        <f>IF(PRODUCTOS[[#This Row],[STOCK]]&lt;0,"NEGATIVO",IF(PRODUCTOS[[#This Row],[STOCK]]=0,"SIN STOCK",IF(PRODUCTOS[[#This Row],[STOCK]]&lt;=PRODUCTOS[[#This Row],[STOCK MÍN.]],"BAJO","OK")))</f>
        <v/>
      </c>
      <c r="K1289">
        <f>IF(PRODUCTOS[[#This Row],[STOCK]]&lt;0,"Revisar movimientos: salidas &gt; entradas",IF(AND(PRODUCTOS[[#This Row],[STOCK]]&gt;0,PRODUCTOS[[#This Row],[STOCK]]&lt;=PRODUCTOS[[#This Row],[STOCK MÍN.]]),"Programar reposición",""))</f>
        <v/>
      </c>
    </row>
    <row r="1290">
      <c r="C1290" s="56" t="n"/>
      <c r="D1290" s="56" t="n"/>
      <c r="E1290" s="56" t="n"/>
      <c r="F1290" s="56">
        <f>SUBTOTAL(109,PRODUCTOS[ENTRADAS])</f>
        <v/>
      </c>
      <c r="G1290" s="56">
        <f>SUBTOTAL(109,PRODUCTOS[[SALIDAS ]])</f>
        <v/>
      </c>
      <c r="H1290" s="56">
        <f>SUBTOTAL(109,PRODUCTOS[STOCK])</f>
        <v/>
      </c>
    </row>
    <row r="1291">
      <c r="H1291" s="18" t="n"/>
    </row>
    <row r="1292">
      <c r="H1292" s="18" t="n"/>
    </row>
    <row r="1293">
      <c r="H1293" s="18" t="n"/>
    </row>
    <row r="1294">
      <c r="H1294" s="18" t="n"/>
    </row>
    <row r="1295">
      <c r="H1295" s="18" t="n"/>
    </row>
  </sheetData>
  <mergeCells count="2">
    <mergeCell ref="A5:G5"/>
    <mergeCell ref="F8:G8"/>
  </mergeCells>
  <conditionalFormatting sqref="H16:H1289">
    <cfRule type="cellIs" priority="1" operator="lessThan" dxfId="89">
      <formula>0</formula>
    </cfRule>
    <cfRule type="cellIs" priority="2" operator="equal" dxfId="90">
      <formula>0</formula>
    </cfRule>
  </conditionalFormatting>
  <conditionalFormatting sqref="J16:J1289">
    <cfRule type="expression" priority="3" dxfId="91">
      <formula>J16="OK"</formula>
    </cfRule>
    <cfRule type="expression" priority="4" dxfId="90">
      <formula>J16="BAJO"</formula>
    </cfRule>
    <cfRule type="expression" priority="5" dxfId="89">
      <formula>OR(J16="NEGATIVO",J16="SIN STOCK")</formula>
    </cfRule>
  </conditionalFormatting>
  <printOptions horizontalCentered="1"/>
  <pageMargins left="0.7086614173228347" right="0.7086614173228347" top="0.7480314960629921" bottom="0.7480314960629921" header="0.3149606299212598" footer="0.3149606299212598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Hoja2">
    <outlinePr summaryBelow="1" summaryRight="1"/>
    <pageSetUpPr/>
  </sheetPr>
  <dimension ref="A1:N2258"/>
  <sheetViews>
    <sheetView showGridLines="0" topLeftCell="C2246" zoomScale="99" zoomScaleNormal="99" workbookViewId="0">
      <selection activeCell="E2267" sqref="E2267"/>
    </sheetView>
  </sheetViews>
  <sheetFormatPr baseColWidth="10" defaultColWidth="11.453125" defaultRowHeight="14.5"/>
  <cols>
    <col width="5.1796875" bestFit="1" customWidth="1" style="18" min="1" max="1"/>
    <col width="14.26953125" bestFit="1" customWidth="1" style="18" min="2" max="2"/>
    <col width="14.453125" bestFit="1" customWidth="1" style="18" min="3" max="3"/>
    <col width="55.1796875" bestFit="1" customWidth="1" style="18" min="4" max="4"/>
    <col width="11.453125" customWidth="1" style="18" min="5" max="5"/>
    <col width="11.90625" bestFit="1" customWidth="1" style="18" min="6" max="6"/>
    <col width="11.90625" customWidth="1" style="18" min="7" max="7"/>
    <col width="35.90625" bestFit="1" customWidth="1" style="1" min="8" max="8"/>
    <col width="13.90625" customWidth="1" style="1" min="9" max="9"/>
    <col width="13.54296875" bestFit="1" customWidth="1" style="1" min="10" max="10"/>
    <col width="11.453125" customWidth="1" style="1" min="11" max="11"/>
    <col hidden="1" style="1" min="12" max="12"/>
    <col width="11.453125" customWidth="1" style="1" min="13" max="16384"/>
  </cols>
  <sheetData>
    <row r="1">
      <c r="L1">
        <f>"CANTIDAD INGRESADA: " &amp; TEXT(SUBTOTAL(109, ENTRADAS[CANTIDAD]), "#,##0")</f>
        <v/>
      </c>
    </row>
    <row r="2"/>
    <row r="3"/>
    <row r="4" ht="21" customHeight="1" s="11">
      <c r="A4" s="74" t="inlineStr">
        <is>
          <t>MOVIMIENTOS DE ENTRADAS</t>
        </is>
      </c>
      <c r="B4" s="1" t="n"/>
      <c r="C4" s="1" t="n"/>
      <c r="D4" s="1" t="n"/>
      <c r="E4" s="1" t="n"/>
      <c r="F4" s="1" t="n"/>
      <c r="G4" s="59" t="n"/>
    </row>
    <row r="5" ht="21" customHeight="1" s="11">
      <c r="A5" s="59" t="n"/>
      <c r="B5" s="59" t="n"/>
      <c r="C5" s="59" t="n"/>
      <c r="D5" s="59" t="n"/>
      <c r="E5" s="59" t="n"/>
      <c r="F5" s="59" t="n"/>
      <c r="G5" s="59" t="n"/>
    </row>
    <row r="6" ht="32.5" customHeight="1" s="11">
      <c r="F6" s="60" t="n"/>
    </row>
    <row r="7"/>
    <row r="8"/>
    <row r="9"/>
    <row r="10"/>
    <row r="11"/>
    <row r="12"/>
    <row r="13" ht="39" customHeight="1" s="11"/>
    <row r="14"/>
    <row r="15"/>
    <row r="16" ht="29" customFormat="1" customHeight="1" s="44">
      <c r="A16" s="43" t="inlineStr">
        <is>
          <t>N°</t>
        </is>
      </c>
      <c r="B16" s="43" t="inlineStr">
        <is>
          <t>CODIGO</t>
        </is>
      </c>
      <c r="C16" s="43" t="inlineStr">
        <is>
          <t>CATEGORIA</t>
        </is>
      </c>
      <c r="D16" s="43" t="inlineStr">
        <is>
          <t>PRODUCTO</t>
        </is>
      </c>
      <c r="E16" s="43" t="inlineStr">
        <is>
          <t>FECHA</t>
        </is>
      </c>
      <c r="F16" s="43" t="inlineStr">
        <is>
          <t>CANTIDAD</t>
        </is>
      </c>
      <c r="G16" s="43" t="inlineStr">
        <is>
          <t>MOTIVO</t>
        </is>
      </c>
      <c r="H16" s="43" t="inlineStr">
        <is>
          <t>PROVEEDOR</t>
        </is>
      </c>
      <c r="I16" s="43" t="inlineStr">
        <is>
          <t>COSTO UNITARIO $</t>
        </is>
      </c>
      <c r="J16" s="43" t="inlineStr">
        <is>
          <t>COSTO UNITARIO Bs</t>
        </is>
      </c>
      <c r="K16" s="43" t="inlineStr">
        <is>
          <t>TASA</t>
        </is>
      </c>
    </row>
    <row r="17">
      <c r="B17" s="18" t="inlineStr">
        <is>
          <t>00189-FER</t>
        </is>
      </c>
      <c r="C17" s="18">
        <f>IFERROR(_xlfn.XLOOKUP(ENTRADAS[[#This Row],[CODIGO]],LISTADO[CODIGOS],LISTADO[CATEGORIA]),"NO EXISTE")</f>
        <v/>
      </c>
      <c r="D17" s="18">
        <f>IFERROR(_xlfn.XLOOKUP(ENTRADAS[[#This Row],[CODIGO]],LISTADO[CODIGOS],LISTADO[PRODUCTOS]),"NO EXISTE")</f>
        <v/>
      </c>
      <c r="E17" s="19" t="n">
        <v>45811</v>
      </c>
      <c r="F17" s="18" t="n">
        <v>65</v>
      </c>
      <c r="G17" s="18" t="inlineStr">
        <is>
          <t>INGRESO</t>
        </is>
      </c>
      <c r="H17" s="1" t="inlineStr">
        <is>
          <t>R.O.C.A</t>
        </is>
      </c>
      <c r="I17" s="45" t="n">
        <v>4.55</v>
      </c>
      <c r="J17" s="77" t="n"/>
      <c r="K17" s="18" t="n"/>
    </row>
    <row r="18">
      <c r="B18" s="18" t="inlineStr">
        <is>
          <t>00100-REF</t>
        </is>
      </c>
      <c r="C18" s="18">
        <f>IFERROR(_xlfn.XLOOKUP(ENTRADAS[[#This Row],[CODIGO]],LISTADO[CODIGOS],LISTADO[CATEGORIA]),"NO EXISTE")</f>
        <v/>
      </c>
      <c r="D18" s="18">
        <f>IFERROR(_xlfn.XLOOKUP(ENTRADAS[[#This Row],[CODIGO]],LISTADO[CODIGOS],LISTADO[PRODUCTOS]),"NO EXISTE")</f>
        <v/>
      </c>
      <c r="E18" s="19" t="n">
        <v>45811</v>
      </c>
      <c r="F18" s="18" t="n">
        <v>1</v>
      </c>
      <c r="G18" s="18" t="inlineStr">
        <is>
          <t>INGRESO</t>
        </is>
      </c>
      <c r="H18" s="1" t="inlineStr">
        <is>
          <t>R.O.C.A</t>
        </is>
      </c>
      <c r="I18" s="45" t="n">
        <v>242.95</v>
      </c>
      <c r="J18" s="77" t="n"/>
      <c r="K18" s="18" t="n"/>
    </row>
    <row r="19">
      <c r="B19" s="56" t="inlineStr">
        <is>
          <t>00036-REF</t>
        </is>
      </c>
      <c r="C19" s="18">
        <f>IFERROR(_xlfn.XLOOKUP(ENTRADAS[[#This Row],[CODIGO]],LISTADO[CODIGOS],LISTADO[CATEGORIA]),"NO EXISTE")</f>
        <v/>
      </c>
      <c r="D19" s="18">
        <f>IFERROR(_xlfn.XLOOKUP(ENTRADAS[[#This Row],[CODIGO]],LISTADO[CODIGOS],LISTADO[PRODUCTOS]),"NO EXISTE")</f>
        <v/>
      </c>
      <c r="E19" s="19" t="n">
        <v>45811</v>
      </c>
      <c r="F19" s="18" t="n">
        <v>10</v>
      </c>
      <c r="G19" s="18" t="inlineStr">
        <is>
          <t>INGRESO</t>
        </is>
      </c>
      <c r="H19" s="1" t="inlineStr">
        <is>
          <t>R.O.C.A</t>
        </is>
      </c>
      <c r="I19" s="45" t="n">
        <v>8.5</v>
      </c>
      <c r="J19" s="77" t="n"/>
      <c r="K19" s="18" t="n"/>
    </row>
    <row r="20">
      <c r="B20" s="18" t="inlineStr">
        <is>
          <t>00134-HER</t>
        </is>
      </c>
      <c r="C20" s="18">
        <f>IFERROR(_xlfn.XLOOKUP(ENTRADAS[[#This Row],[CODIGO]],LISTADO[CODIGOS],LISTADO[CATEGORIA]),"NO EXISTE")</f>
        <v/>
      </c>
      <c r="D20" s="18">
        <f>IFERROR(_xlfn.XLOOKUP(ENTRADAS[[#This Row],[CODIGO]],LISTADO[CODIGOS],LISTADO[PRODUCTOS]),"NO EXISTE")</f>
        <v/>
      </c>
      <c r="E20" s="19" t="n">
        <v>45811</v>
      </c>
      <c r="F20" s="18" t="n">
        <v>1</v>
      </c>
      <c r="G20" s="18" t="inlineStr">
        <is>
          <t>INGRESO</t>
        </is>
      </c>
      <c r="H20" s="1" t="inlineStr">
        <is>
          <t>R.O.C.A</t>
        </is>
      </c>
      <c r="I20" s="45" t="n">
        <v>365</v>
      </c>
      <c r="J20" s="77" t="n"/>
      <c r="K20" s="18" t="n"/>
    </row>
    <row r="21">
      <c r="A21" s="18" t="n">
        <v>288</v>
      </c>
      <c r="B21" s="56" t="inlineStr">
        <is>
          <t>00016-REF</t>
        </is>
      </c>
      <c r="C21" s="56">
        <f>IFERROR(_xlfn.XLOOKUP(ENTRADAS[[#This Row],[CODIGO]],LISTADO[CODIGOS],LISTADO[CATEGORIA]),"NO EXISTE")</f>
        <v/>
      </c>
      <c r="D21" s="56">
        <f>IFERROR(_xlfn.XLOOKUP(ENTRADAS[[#This Row],[CODIGO]],LISTADO[CODIGOS],LISTADO[PRODUCTOS]),"NO EXISTE")</f>
        <v/>
      </c>
      <c r="E21" s="19" t="n">
        <v>46062</v>
      </c>
      <c r="F21" s="18" t="n">
        <v>15</v>
      </c>
      <c r="G21" s="18" t="inlineStr">
        <is>
          <t>INGRESO</t>
        </is>
      </c>
      <c r="H21" s="18" t="n"/>
      <c r="I21" s="45" t="n"/>
      <c r="J21" s="77" t="n"/>
      <c r="K21" s="18" t="n"/>
    </row>
    <row r="22">
      <c r="A22" s="18" t="n">
        <v>289</v>
      </c>
      <c r="B22" s="56" t="inlineStr">
        <is>
          <t>00002-REF</t>
        </is>
      </c>
      <c r="C22" s="56">
        <f>IFERROR(_xlfn.XLOOKUP(ENTRADAS[[#This Row],[CODIGO]],LISTADO[CODIGOS],LISTADO[CATEGORIA]),"NO EXISTE")</f>
        <v/>
      </c>
      <c r="D22" s="56">
        <f>IFERROR(_xlfn.XLOOKUP(ENTRADAS[[#This Row],[CODIGO]],LISTADO[CODIGOS],LISTADO[PRODUCTOS]),"NO EXISTE")</f>
        <v/>
      </c>
      <c r="E22" s="19" t="n">
        <v>46062</v>
      </c>
      <c r="F22" s="18" t="n">
        <v>10</v>
      </c>
      <c r="G22" s="18" t="inlineStr">
        <is>
          <t>INGRESO</t>
        </is>
      </c>
      <c r="H22" s="18" t="n"/>
      <c r="I22" s="45" t="n"/>
      <c r="J22" s="77" t="n"/>
      <c r="K22" s="18" t="n"/>
    </row>
    <row r="23">
      <c r="A23" s="18" t="n">
        <v>290</v>
      </c>
      <c r="B23" s="56" t="inlineStr">
        <is>
          <t>00003-ELE</t>
        </is>
      </c>
      <c r="C23" s="56">
        <f>IFERROR(_xlfn.XLOOKUP(ENTRADAS[[#This Row],[CODIGO]],LISTADO[CODIGOS],LISTADO[CATEGORIA]),"NO EXISTE")</f>
        <v/>
      </c>
      <c r="D23" s="56">
        <f>IFERROR(_xlfn.XLOOKUP(ENTRADAS[[#This Row],[CODIGO]],LISTADO[CODIGOS],LISTADO[PRODUCTOS]),"NO EXISTE")</f>
        <v/>
      </c>
      <c r="E23" s="19" t="n">
        <v>46062</v>
      </c>
      <c r="F23" s="18" t="n">
        <v>100</v>
      </c>
      <c r="G23" s="18" t="inlineStr">
        <is>
          <t>INGRESO</t>
        </is>
      </c>
      <c r="H23" s="18" t="n"/>
      <c r="I23" s="45" t="n"/>
      <c r="J23" s="77" t="n"/>
      <c r="K23" s="18" t="n"/>
    </row>
    <row r="24">
      <c r="A24" s="18" t="n">
        <v>291</v>
      </c>
      <c r="B24" s="56" t="inlineStr">
        <is>
          <t>00001-REF</t>
        </is>
      </c>
      <c r="C24" s="56">
        <f>IFERROR(_xlfn.XLOOKUP(ENTRADAS[[#This Row],[CODIGO]],LISTADO[CODIGOS],LISTADO[CATEGORIA]),"NO EXISTE")</f>
        <v/>
      </c>
      <c r="D24" s="56">
        <f>IFERROR(_xlfn.XLOOKUP(ENTRADAS[[#This Row],[CODIGO]],LISTADO[CODIGOS],LISTADO[PRODUCTOS]),"NO EXISTE")</f>
        <v/>
      </c>
      <c r="E24" s="19" t="n">
        <v>46062</v>
      </c>
      <c r="F24" s="18" t="n">
        <v>5</v>
      </c>
      <c r="G24" s="18" t="inlineStr">
        <is>
          <t>INGRESO</t>
        </is>
      </c>
      <c r="H24" s="18" t="n"/>
      <c r="I24" s="45" t="n"/>
      <c r="J24" s="77" t="n"/>
      <c r="K24" s="18" t="n"/>
    </row>
    <row r="25">
      <c r="A25" s="18" t="n">
        <v>119</v>
      </c>
      <c r="B25" s="56" t="inlineStr">
        <is>
          <t>00090-HER</t>
        </is>
      </c>
      <c r="C25" s="56">
        <f>IFERROR(_xlfn.XLOOKUP(ENTRADAS[[#This Row],[CODIGO]],LISTADO[CODIGOS],LISTADO[CATEGORIA]),"NO EXISTE")</f>
        <v/>
      </c>
      <c r="D25" s="56">
        <f>IFERROR(_xlfn.XLOOKUP(ENTRADAS[[#This Row],[CODIGO]],LISTADO[CODIGOS],LISTADO[PRODUCTOS]),"NO EXISTE")</f>
        <v/>
      </c>
      <c r="E25" s="19" t="n">
        <v>46063</v>
      </c>
      <c r="F25" s="18" t="n">
        <v>5</v>
      </c>
      <c r="G25" s="18" t="inlineStr">
        <is>
          <t>INGRESO</t>
        </is>
      </c>
      <c r="H25" s="18" t="n"/>
      <c r="I25" s="45" t="n"/>
      <c r="J25" s="77" t="n"/>
      <c r="K25" s="18" t="n"/>
    </row>
    <row r="26">
      <c r="A26" s="18" t="n">
        <v>120</v>
      </c>
      <c r="B26" s="56" t="inlineStr">
        <is>
          <t>00073-FER</t>
        </is>
      </c>
      <c r="C26" s="56">
        <f>IFERROR(_xlfn.XLOOKUP(ENTRADAS[[#This Row],[CODIGO]],LISTADO[CODIGOS],LISTADO[CATEGORIA]),"NO EXISTE")</f>
        <v/>
      </c>
      <c r="D26" s="56">
        <f>IFERROR(_xlfn.XLOOKUP(ENTRADAS[[#This Row],[CODIGO]],LISTADO[CODIGOS],LISTADO[PRODUCTOS]),"NO EXISTE")</f>
        <v/>
      </c>
      <c r="E26" s="19" t="n">
        <v>46063</v>
      </c>
      <c r="F26" s="18" t="n">
        <v>6</v>
      </c>
      <c r="G26" s="18" t="inlineStr">
        <is>
          <t>INGRESO</t>
        </is>
      </c>
      <c r="H26" s="18" t="n"/>
      <c r="I26" s="45" t="n"/>
      <c r="J26" s="77" t="n"/>
      <c r="K26" s="18" t="n"/>
    </row>
    <row r="27">
      <c r="A27" s="18" t="n">
        <v>121</v>
      </c>
      <c r="B27" s="56" t="inlineStr">
        <is>
          <t>00021-HER</t>
        </is>
      </c>
      <c r="C27" s="56">
        <f>IFERROR(_xlfn.XLOOKUP(ENTRADAS[[#This Row],[CODIGO]],LISTADO[CODIGOS],LISTADO[CATEGORIA]),"NO EXISTE")</f>
        <v/>
      </c>
      <c r="D27" s="56">
        <f>IFERROR(_xlfn.XLOOKUP(ENTRADAS[[#This Row],[CODIGO]],LISTADO[CODIGOS],LISTADO[PRODUCTOS]),"NO EXISTE")</f>
        <v/>
      </c>
      <c r="E27" s="19" t="n">
        <v>46063</v>
      </c>
      <c r="F27" s="18" t="n">
        <v>4</v>
      </c>
      <c r="G27" s="18" t="inlineStr">
        <is>
          <t>INGRESO</t>
        </is>
      </c>
      <c r="H27" s="18" t="n"/>
      <c r="I27" s="45" t="n"/>
      <c r="J27" s="77" t="n"/>
      <c r="K27" s="18" t="n"/>
    </row>
    <row r="28">
      <c r="A28" s="18" t="n">
        <v>122</v>
      </c>
      <c r="B28" s="56" t="inlineStr">
        <is>
          <t>00024-HER</t>
        </is>
      </c>
      <c r="C28" s="56">
        <f>IFERROR(_xlfn.XLOOKUP(ENTRADAS[[#This Row],[CODIGO]],LISTADO[CODIGOS],LISTADO[CATEGORIA]),"NO EXISTE")</f>
        <v/>
      </c>
      <c r="D28" s="56">
        <f>IFERROR(_xlfn.XLOOKUP(ENTRADAS[[#This Row],[CODIGO]],LISTADO[CODIGOS],LISTADO[PRODUCTOS]),"NO EXISTE")</f>
        <v/>
      </c>
      <c r="E28" s="19" t="n">
        <v>46063</v>
      </c>
      <c r="F28" s="18" t="n">
        <v>1</v>
      </c>
      <c r="G28" s="18" t="inlineStr">
        <is>
          <t>INGRESO</t>
        </is>
      </c>
      <c r="H28" s="18" t="n"/>
      <c r="I28" s="45" t="n"/>
      <c r="J28" s="77" t="n"/>
      <c r="K28" s="18" t="n"/>
    </row>
    <row r="29">
      <c r="A29" s="18" t="n">
        <v>123</v>
      </c>
      <c r="B29" s="56" t="inlineStr">
        <is>
          <t>00030-HER</t>
        </is>
      </c>
      <c r="C29" s="56">
        <f>IFERROR(_xlfn.XLOOKUP(ENTRADAS[[#This Row],[CODIGO]],LISTADO[CODIGOS],LISTADO[CATEGORIA]),"NO EXISTE")</f>
        <v/>
      </c>
      <c r="D29" s="56">
        <f>IFERROR(_xlfn.XLOOKUP(ENTRADAS[[#This Row],[CODIGO]],LISTADO[CODIGOS],LISTADO[PRODUCTOS]),"NO EXISTE")</f>
        <v/>
      </c>
      <c r="E29" s="19" t="n">
        <v>46063</v>
      </c>
      <c r="F29" s="18" t="n">
        <v>4</v>
      </c>
      <c r="G29" s="18" t="inlineStr">
        <is>
          <t>INGRESO</t>
        </is>
      </c>
      <c r="H29" s="18" t="n"/>
      <c r="I29" s="45" t="n"/>
      <c r="J29" s="77" t="n"/>
      <c r="K29" s="18" t="n"/>
    </row>
    <row r="30">
      <c r="A30" s="18" t="n">
        <v>124</v>
      </c>
      <c r="B30" s="56" t="inlineStr">
        <is>
          <t>00040-HER</t>
        </is>
      </c>
      <c r="C30" s="56">
        <f>IFERROR(_xlfn.XLOOKUP(ENTRADAS[[#This Row],[CODIGO]],LISTADO[CODIGOS],LISTADO[CATEGORIA]),"NO EXISTE")</f>
        <v/>
      </c>
      <c r="D30" s="56">
        <f>IFERROR(_xlfn.XLOOKUP(ENTRADAS[[#This Row],[CODIGO]],LISTADO[CODIGOS],LISTADO[PRODUCTOS]),"NO EXISTE")</f>
        <v/>
      </c>
      <c r="E30" s="19" t="n">
        <v>46063</v>
      </c>
      <c r="F30" s="18" t="n">
        <v>11</v>
      </c>
      <c r="G30" s="18" t="inlineStr">
        <is>
          <t>INGRESO</t>
        </is>
      </c>
      <c r="H30" s="18" t="n"/>
      <c r="I30" s="45" t="n"/>
      <c r="J30" s="77" t="n"/>
      <c r="K30" s="18" t="n"/>
    </row>
    <row r="31">
      <c r="A31" s="18" t="n">
        <v>125</v>
      </c>
      <c r="B31" s="56" t="inlineStr">
        <is>
          <t>00071-FER</t>
        </is>
      </c>
      <c r="C31" s="56">
        <f>IFERROR(_xlfn.XLOOKUP(ENTRADAS[[#This Row],[CODIGO]],LISTADO[CODIGOS],LISTADO[CATEGORIA]),"NO EXISTE")</f>
        <v/>
      </c>
      <c r="D31" s="56">
        <f>IFERROR(_xlfn.XLOOKUP(ENTRADAS[[#This Row],[CODIGO]],LISTADO[CODIGOS],LISTADO[PRODUCTOS]),"NO EXISTE")</f>
        <v/>
      </c>
      <c r="E31" s="19" t="n">
        <v>46063</v>
      </c>
      <c r="F31" s="18" t="n">
        <v>4</v>
      </c>
      <c r="G31" s="18" t="inlineStr">
        <is>
          <t>INGRESO</t>
        </is>
      </c>
      <c r="H31" s="18" t="n"/>
      <c r="I31" s="45" t="n"/>
      <c r="J31" s="77" t="n"/>
      <c r="K31" s="18" t="n"/>
    </row>
    <row r="32">
      <c r="A32" s="18" t="n">
        <v>126</v>
      </c>
      <c r="B32" s="56" t="inlineStr">
        <is>
          <t>00072-FER</t>
        </is>
      </c>
      <c r="C32" s="56">
        <f>IFERROR(_xlfn.XLOOKUP(ENTRADAS[[#This Row],[CODIGO]],LISTADO[CODIGOS],LISTADO[CATEGORIA]),"NO EXISTE")</f>
        <v/>
      </c>
      <c r="D32" s="56">
        <f>IFERROR(_xlfn.XLOOKUP(ENTRADAS[[#This Row],[CODIGO]],LISTADO[CODIGOS],LISTADO[PRODUCTOS]),"NO EXISTE")</f>
        <v/>
      </c>
      <c r="E32" s="19" t="n">
        <v>46063</v>
      </c>
      <c r="F32" s="18" t="n">
        <v>2</v>
      </c>
      <c r="G32" s="18" t="inlineStr">
        <is>
          <t>INGRESO</t>
        </is>
      </c>
      <c r="H32" s="18" t="n"/>
      <c r="I32" s="45" t="n"/>
      <c r="J32" s="77" t="n"/>
      <c r="K32" s="18" t="n"/>
    </row>
    <row r="33">
      <c r="A33" s="18" t="n">
        <v>127</v>
      </c>
      <c r="B33" s="56" t="inlineStr">
        <is>
          <t>00089-HER</t>
        </is>
      </c>
      <c r="C33" s="56">
        <f>IFERROR(_xlfn.XLOOKUP(ENTRADAS[[#This Row],[CODIGO]],LISTADO[CODIGOS],LISTADO[CATEGORIA]),"NO EXISTE")</f>
        <v/>
      </c>
      <c r="D33" s="56">
        <f>IFERROR(_xlfn.XLOOKUP(ENTRADAS[[#This Row],[CODIGO]],LISTADO[CODIGOS],LISTADO[PRODUCTOS]),"NO EXISTE")</f>
        <v/>
      </c>
      <c r="E33" s="19" t="n">
        <v>46063</v>
      </c>
      <c r="F33" s="18" t="n">
        <v>3</v>
      </c>
      <c r="G33" s="18" t="inlineStr">
        <is>
          <t>INGRESO</t>
        </is>
      </c>
      <c r="H33" s="18" t="n"/>
      <c r="I33" s="45" t="n"/>
      <c r="J33" s="77" t="n"/>
      <c r="K33" s="18" t="n"/>
    </row>
    <row r="34">
      <c r="A34" s="18" t="n">
        <v>128</v>
      </c>
      <c r="B34" s="56" t="inlineStr">
        <is>
          <t>00049-HER</t>
        </is>
      </c>
      <c r="C34" s="56">
        <f>IFERROR(_xlfn.XLOOKUP(ENTRADAS[[#This Row],[CODIGO]],LISTADO[CODIGOS],LISTADO[CATEGORIA]),"NO EXISTE")</f>
        <v/>
      </c>
      <c r="D34" s="56">
        <f>IFERROR(_xlfn.XLOOKUP(ENTRADAS[[#This Row],[CODIGO]],LISTADO[CODIGOS],LISTADO[PRODUCTOS]),"NO EXISTE")</f>
        <v/>
      </c>
      <c r="E34" s="19" t="n">
        <v>46063</v>
      </c>
      <c r="F34" s="18" t="n">
        <v>1</v>
      </c>
      <c r="G34" s="18" t="inlineStr">
        <is>
          <t>INGRESO</t>
        </is>
      </c>
      <c r="H34" s="18" t="n"/>
      <c r="I34" s="45" t="n"/>
      <c r="J34" s="77" t="n"/>
      <c r="K34" s="18" t="n"/>
    </row>
    <row r="35">
      <c r="A35" s="18" t="n">
        <v>129</v>
      </c>
      <c r="B35" s="56" t="inlineStr">
        <is>
          <t>00003-HER</t>
        </is>
      </c>
      <c r="C35" s="56">
        <f>IFERROR(_xlfn.XLOOKUP(ENTRADAS[[#This Row],[CODIGO]],LISTADO[CODIGOS],LISTADO[CATEGORIA]),"NO EXISTE")</f>
        <v/>
      </c>
      <c r="D35" s="56">
        <f>IFERROR(_xlfn.XLOOKUP(ENTRADAS[[#This Row],[CODIGO]],LISTADO[CODIGOS],LISTADO[PRODUCTOS]),"NO EXISTE")</f>
        <v/>
      </c>
      <c r="E35" s="19" t="n">
        <v>46063</v>
      </c>
      <c r="F35" s="18" t="n">
        <v>1</v>
      </c>
      <c r="G35" s="18" t="inlineStr">
        <is>
          <t>INGRESO</t>
        </is>
      </c>
      <c r="H35" s="18" t="n"/>
      <c r="I35" s="45" t="n"/>
      <c r="J35" s="77" t="n"/>
      <c r="K35" s="18" t="n"/>
    </row>
    <row r="36">
      <c r="A36" s="18" t="n">
        <v>130</v>
      </c>
      <c r="B36" s="56" t="inlineStr">
        <is>
          <t>00037-HER</t>
        </is>
      </c>
      <c r="C36" s="56">
        <f>IFERROR(_xlfn.XLOOKUP(ENTRADAS[[#This Row],[CODIGO]],LISTADO[CODIGOS],LISTADO[CATEGORIA]),"NO EXISTE")</f>
        <v/>
      </c>
      <c r="D36" s="56">
        <f>IFERROR(_xlfn.XLOOKUP(ENTRADAS[[#This Row],[CODIGO]],LISTADO[CODIGOS],LISTADO[PRODUCTOS]),"NO EXISTE")</f>
        <v/>
      </c>
      <c r="E36" s="19" t="n">
        <v>46063</v>
      </c>
      <c r="F36" s="18" t="n">
        <v>2</v>
      </c>
      <c r="G36" s="18" t="inlineStr">
        <is>
          <t>INGRESO</t>
        </is>
      </c>
      <c r="H36" s="18" t="n"/>
      <c r="I36" s="45" t="n"/>
      <c r="J36" s="77" t="n"/>
      <c r="K36" s="18" t="n"/>
    </row>
    <row r="37">
      <c r="A37" s="18" t="n">
        <v>131</v>
      </c>
      <c r="B37" s="56" t="inlineStr">
        <is>
          <t>00038-HER</t>
        </is>
      </c>
      <c r="C37" s="56">
        <f>IFERROR(_xlfn.XLOOKUP(ENTRADAS[[#This Row],[CODIGO]],LISTADO[CODIGOS],LISTADO[CATEGORIA]),"NO EXISTE")</f>
        <v/>
      </c>
      <c r="D37" s="56">
        <f>IFERROR(_xlfn.XLOOKUP(ENTRADAS[[#This Row],[CODIGO]],LISTADO[CODIGOS],LISTADO[PRODUCTOS]),"NO EXISTE")</f>
        <v/>
      </c>
      <c r="E37" s="19" t="n">
        <v>46063</v>
      </c>
      <c r="F37" s="18" t="n">
        <v>1</v>
      </c>
      <c r="G37" s="18" t="inlineStr">
        <is>
          <t>INGRESO</t>
        </is>
      </c>
      <c r="H37" s="18" t="n"/>
      <c r="I37" s="45" t="n"/>
      <c r="J37" s="77" t="n"/>
      <c r="K37" s="18" t="n"/>
    </row>
    <row r="38">
      <c r="A38" s="18" t="n">
        <v>132</v>
      </c>
      <c r="B38" s="56" t="inlineStr">
        <is>
          <t>00013-HER</t>
        </is>
      </c>
      <c r="C38" s="56">
        <f>IFERROR(_xlfn.XLOOKUP(ENTRADAS[[#This Row],[CODIGO]],LISTADO[CODIGOS],LISTADO[CATEGORIA]),"NO EXISTE")</f>
        <v/>
      </c>
      <c r="D38" s="56">
        <f>IFERROR(_xlfn.XLOOKUP(ENTRADAS[[#This Row],[CODIGO]],LISTADO[CODIGOS],LISTADO[PRODUCTOS]),"NO EXISTE")</f>
        <v/>
      </c>
      <c r="E38" s="19" t="n">
        <v>46063</v>
      </c>
      <c r="F38" s="18" t="n">
        <v>2</v>
      </c>
      <c r="G38" s="18" t="inlineStr">
        <is>
          <t>INGRESO</t>
        </is>
      </c>
      <c r="H38" s="18" t="n"/>
      <c r="I38" s="45" t="n"/>
      <c r="J38" s="77" t="n"/>
      <c r="K38" s="18" t="n"/>
    </row>
    <row r="39">
      <c r="A39" s="18" t="n">
        <v>133</v>
      </c>
      <c r="B39" s="56" t="inlineStr">
        <is>
          <t>00039-HER</t>
        </is>
      </c>
      <c r="C39" s="56">
        <f>IFERROR(_xlfn.XLOOKUP(ENTRADAS[[#This Row],[CODIGO]],LISTADO[CODIGOS],LISTADO[CATEGORIA]),"NO EXISTE")</f>
        <v/>
      </c>
      <c r="D39" s="56">
        <f>IFERROR(_xlfn.XLOOKUP(ENTRADAS[[#This Row],[CODIGO]],LISTADO[CODIGOS],LISTADO[PRODUCTOS]),"NO EXISTE")</f>
        <v/>
      </c>
      <c r="E39" s="19" t="n">
        <v>46063</v>
      </c>
      <c r="F39" s="18" t="n">
        <v>1</v>
      </c>
      <c r="G39" s="18" t="inlineStr">
        <is>
          <t>INGRESO</t>
        </is>
      </c>
      <c r="H39" s="18" t="n"/>
      <c r="I39" s="45" t="n"/>
      <c r="J39" s="77" t="n"/>
      <c r="K39" s="18" t="n"/>
    </row>
    <row r="40">
      <c r="A40" s="18" t="n">
        <v>134</v>
      </c>
      <c r="B40" s="56" t="inlineStr">
        <is>
          <t>00050-HER</t>
        </is>
      </c>
      <c r="C40" s="56">
        <f>IFERROR(_xlfn.XLOOKUP(ENTRADAS[[#This Row],[CODIGO]],LISTADO[CODIGOS],LISTADO[CATEGORIA]),"NO EXISTE")</f>
        <v/>
      </c>
      <c r="D40" s="56">
        <f>IFERROR(_xlfn.XLOOKUP(ENTRADAS[[#This Row],[CODIGO]],LISTADO[CODIGOS],LISTADO[PRODUCTOS]),"NO EXISTE")</f>
        <v/>
      </c>
      <c r="E40" s="19" t="n">
        <v>46063</v>
      </c>
      <c r="F40" s="18" t="n">
        <v>3</v>
      </c>
      <c r="G40" s="18" t="inlineStr">
        <is>
          <t>INGRESO</t>
        </is>
      </c>
      <c r="H40" s="18" t="n"/>
      <c r="I40" s="45" t="n"/>
      <c r="J40" s="77" t="n"/>
      <c r="K40" s="18" t="n"/>
    </row>
    <row r="41">
      <c r="A41" s="18" t="n">
        <v>135</v>
      </c>
      <c r="B41" s="56" t="inlineStr">
        <is>
          <t>00008-FER</t>
        </is>
      </c>
      <c r="C41" s="56">
        <f>IFERROR(_xlfn.XLOOKUP(ENTRADAS[[#This Row],[CODIGO]],LISTADO[CODIGOS],LISTADO[CATEGORIA]),"NO EXISTE")</f>
        <v/>
      </c>
      <c r="D41" s="56">
        <f>IFERROR(_xlfn.XLOOKUP(ENTRADAS[[#This Row],[CODIGO]],LISTADO[CODIGOS],LISTADO[PRODUCTOS]),"NO EXISTE")</f>
        <v/>
      </c>
      <c r="E41" s="19" t="n">
        <v>46063</v>
      </c>
      <c r="F41" s="18" t="n">
        <v>2</v>
      </c>
      <c r="G41" s="18" t="inlineStr">
        <is>
          <t>INGRESO</t>
        </is>
      </c>
      <c r="H41" s="18" t="n"/>
      <c r="I41" s="45" t="n"/>
      <c r="J41" s="77" t="n"/>
      <c r="K41" s="18" t="n"/>
    </row>
    <row r="42">
      <c r="A42" s="18" t="n">
        <v>136</v>
      </c>
      <c r="B42" s="56" t="inlineStr">
        <is>
          <t>00051-HER</t>
        </is>
      </c>
      <c r="C42" s="56">
        <f>IFERROR(_xlfn.XLOOKUP(ENTRADAS[[#This Row],[CODIGO]],LISTADO[CODIGOS],LISTADO[CATEGORIA]),"NO EXISTE")</f>
        <v/>
      </c>
      <c r="D42" s="56">
        <f>IFERROR(_xlfn.XLOOKUP(ENTRADAS[[#This Row],[CODIGO]],LISTADO[CODIGOS],LISTADO[PRODUCTOS]),"NO EXISTE")</f>
        <v/>
      </c>
      <c r="E42" s="19" t="n">
        <v>46063</v>
      </c>
      <c r="F42" s="18" t="n">
        <v>1</v>
      </c>
      <c r="G42" s="18" t="inlineStr">
        <is>
          <t>INGRESO</t>
        </is>
      </c>
      <c r="H42" s="18" t="n"/>
      <c r="I42" s="45" t="n"/>
      <c r="J42" s="77" t="n"/>
      <c r="K42" s="18" t="n"/>
    </row>
    <row r="43">
      <c r="A43" s="18" t="n">
        <v>137</v>
      </c>
      <c r="B43" s="56" t="inlineStr">
        <is>
          <t>00034-HER</t>
        </is>
      </c>
      <c r="C43" s="56">
        <f>IFERROR(_xlfn.XLOOKUP(ENTRADAS[[#This Row],[CODIGO]],LISTADO[CODIGOS],LISTADO[CATEGORIA]),"NO EXISTE")</f>
        <v/>
      </c>
      <c r="D43" s="56">
        <f>IFERROR(_xlfn.XLOOKUP(ENTRADAS[[#This Row],[CODIGO]],LISTADO[CODIGOS],LISTADO[PRODUCTOS]),"NO EXISTE")</f>
        <v/>
      </c>
      <c r="E43" s="19" t="n">
        <v>46063</v>
      </c>
      <c r="F43" s="18" t="n">
        <v>1</v>
      </c>
      <c r="G43" s="18" t="inlineStr">
        <is>
          <t>INGRESO</t>
        </is>
      </c>
      <c r="H43" s="18" t="n"/>
      <c r="I43" s="45" t="n"/>
      <c r="J43" s="77" t="n"/>
      <c r="K43" s="18" t="n"/>
    </row>
    <row r="44">
      <c r="A44" s="18" t="n">
        <v>138</v>
      </c>
      <c r="B44" s="56" t="inlineStr">
        <is>
          <t>00041-HER</t>
        </is>
      </c>
      <c r="C44" s="56">
        <f>IFERROR(_xlfn.XLOOKUP(ENTRADAS[[#This Row],[CODIGO]],LISTADO[CODIGOS],LISTADO[CATEGORIA]),"NO EXISTE")</f>
        <v/>
      </c>
      <c r="D44" s="56">
        <f>IFERROR(_xlfn.XLOOKUP(ENTRADAS[[#This Row],[CODIGO]],LISTADO[CODIGOS],LISTADO[PRODUCTOS]),"NO EXISTE")</f>
        <v/>
      </c>
      <c r="E44" s="19" t="n">
        <v>46063</v>
      </c>
      <c r="F44" s="18" t="n">
        <v>1</v>
      </c>
      <c r="G44" s="18" t="inlineStr">
        <is>
          <t>INGRESO</t>
        </is>
      </c>
      <c r="H44" s="18" t="n"/>
      <c r="I44" s="45" t="n"/>
      <c r="J44" s="77" t="n"/>
      <c r="K44" s="18" t="n"/>
    </row>
    <row r="45">
      <c r="A45" s="18" t="n">
        <v>139</v>
      </c>
      <c r="B45" s="56" t="inlineStr">
        <is>
          <t>00036-HER</t>
        </is>
      </c>
      <c r="C45" s="56">
        <f>IFERROR(_xlfn.XLOOKUP(ENTRADAS[[#This Row],[CODIGO]],LISTADO[CODIGOS],LISTADO[CATEGORIA]),"NO EXISTE")</f>
        <v/>
      </c>
      <c r="D45" s="56">
        <f>IFERROR(_xlfn.XLOOKUP(ENTRADAS[[#This Row],[CODIGO]],LISTADO[CODIGOS],LISTADO[PRODUCTOS]),"NO EXISTE")</f>
        <v/>
      </c>
      <c r="E45" s="19" t="n">
        <v>46063</v>
      </c>
      <c r="F45" s="18" t="n">
        <v>2</v>
      </c>
      <c r="G45" s="18" t="inlineStr">
        <is>
          <t>INGRESO</t>
        </is>
      </c>
      <c r="H45" s="18" t="n"/>
      <c r="I45" s="45" t="n"/>
      <c r="J45" s="77" t="n"/>
      <c r="K45" s="18" t="n"/>
    </row>
    <row r="46">
      <c r="A46" s="18" t="n">
        <v>140</v>
      </c>
      <c r="B46" s="56" t="inlineStr">
        <is>
          <t>00035-HER</t>
        </is>
      </c>
      <c r="C46" s="56">
        <f>IFERROR(_xlfn.XLOOKUP(ENTRADAS[[#This Row],[CODIGO]],LISTADO[CODIGOS],LISTADO[CATEGORIA]),"NO EXISTE")</f>
        <v/>
      </c>
      <c r="D46" s="56">
        <f>IFERROR(_xlfn.XLOOKUP(ENTRADAS[[#This Row],[CODIGO]],LISTADO[CODIGOS],LISTADO[PRODUCTOS]),"NO EXISTE")</f>
        <v/>
      </c>
      <c r="E46" s="19" t="n">
        <v>46063</v>
      </c>
      <c r="F46" s="18" t="n">
        <v>1</v>
      </c>
      <c r="G46" s="18" t="inlineStr">
        <is>
          <t>INGRESO</t>
        </is>
      </c>
      <c r="H46" s="18" t="n"/>
      <c r="I46" s="45" t="n"/>
      <c r="J46" s="77" t="n"/>
      <c r="K46" s="18" t="n"/>
    </row>
    <row r="47">
      <c r="A47" s="18" t="n">
        <v>1</v>
      </c>
      <c r="B47" s="56" t="inlineStr">
        <is>
          <t>00010-ELC</t>
        </is>
      </c>
      <c r="C47" s="56">
        <f>IFERROR(_xlfn.XLOOKUP(ENTRADAS[[#This Row],[CODIGO]],LISTADO[CODIGOS],LISTADO[CATEGORIA]),"NO EXISTE")</f>
        <v/>
      </c>
      <c r="D47" s="56">
        <f>IFERROR(_xlfn.XLOOKUP(ENTRADAS[[#This Row],[CODIGO]],LISTADO[CODIGOS],LISTADO[PRODUCTOS]),"NO EXISTE")</f>
        <v/>
      </c>
      <c r="E47" s="19" t="n">
        <v>46065</v>
      </c>
      <c r="F47" s="18" t="n">
        <v>2</v>
      </c>
      <c r="G47" s="18" t="inlineStr">
        <is>
          <t>INVENTARIO</t>
        </is>
      </c>
      <c r="H47" s="18" t="n"/>
      <c r="I47" s="45" t="n"/>
      <c r="J47" s="77" t="n"/>
      <c r="K47" s="18" t="n"/>
    </row>
    <row r="48">
      <c r="A48" s="18" t="n">
        <v>2</v>
      </c>
      <c r="B48" s="56" t="inlineStr">
        <is>
          <t>00011-ELC</t>
        </is>
      </c>
      <c r="C48" s="56">
        <f>IFERROR(_xlfn.XLOOKUP(ENTRADAS[[#This Row],[CODIGO]],LISTADO[CODIGOS],LISTADO[CATEGORIA]),"NO EXISTE")</f>
        <v/>
      </c>
      <c r="D48" s="56">
        <f>IFERROR(_xlfn.XLOOKUP(ENTRADAS[[#This Row],[CODIGO]],LISTADO[CODIGOS],LISTADO[PRODUCTOS]),"NO EXISTE")</f>
        <v/>
      </c>
      <c r="E48" s="19" t="n">
        <v>46065</v>
      </c>
      <c r="F48" s="18" t="n">
        <v>1</v>
      </c>
      <c r="G48" s="18" t="inlineStr">
        <is>
          <t>INVENTARIO</t>
        </is>
      </c>
      <c r="H48" s="18" t="n"/>
      <c r="I48" s="45" t="n"/>
      <c r="J48" s="77" t="n"/>
      <c r="K48" s="18" t="n"/>
    </row>
    <row r="49">
      <c r="A49" s="18" t="n">
        <v>3</v>
      </c>
      <c r="B49" s="56" t="inlineStr">
        <is>
          <t>00014-ELC</t>
        </is>
      </c>
      <c r="C49" s="56">
        <f>IFERROR(_xlfn.XLOOKUP(ENTRADAS[[#This Row],[CODIGO]],LISTADO[CODIGOS],LISTADO[CATEGORIA]),"NO EXISTE")</f>
        <v/>
      </c>
      <c r="D49" s="56">
        <f>IFERROR(_xlfn.XLOOKUP(ENTRADAS[[#This Row],[CODIGO]],LISTADO[CODIGOS],LISTADO[PRODUCTOS]),"NO EXISTE")</f>
        <v/>
      </c>
      <c r="E49" s="19" t="n">
        <v>46065</v>
      </c>
      <c r="F49" s="18" t="n">
        <v>8</v>
      </c>
      <c r="G49" s="18" t="inlineStr">
        <is>
          <t>INVENTARIO</t>
        </is>
      </c>
      <c r="H49" s="18" t="n"/>
      <c r="I49" s="45" t="n"/>
      <c r="J49" s="77" t="n"/>
      <c r="K49" s="18" t="n"/>
    </row>
    <row r="50">
      <c r="A50" s="18" t="n">
        <v>4</v>
      </c>
      <c r="B50" s="56" t="inlineStr">
        <is>
          <t>00015-ELC</t>
        </is>
      </c>
      <c r="C50" s="56">
        <f>IFERROR(_xlfn.XLOOKUP(ENTRADAS[[#This Row],[CODIGO]],LISTADO[CODIGOS],LISTADO[CATEGORIA]),"NO EXISTE")</f>
        <v/>
      </c>
      <c r="D50" s="56">
        <f>IFERROR(_xlfn.XLOOKUP(ENTRADAS[[#This Row],[CODIGO]],LISTADO[CODIGOS],LISTADO[PRODUCTOS]),"NO EXISTE")</f>
        <v/>
      </c>
      <c r="E50" s="19" t="n">
        <v>46065</v>
      </c>
      <c r="F50" s="18" t="n">
        <v>1</v>
      </c>
      <c r="G50" s="18" t="inlineStr">
        <is>
          <t>INVENTARIO</t>
        </is>
      </c>
      <c r="H50" s="18" t="n"/>
      <c r="I50" s="45" t="n"/>
      <c r="J50" s="77" t="n"/>
      <c r="K50" s="18" t="n"/>
    </row>
    <row r="51">
      <c r="A51" s="18" t="n">
        <v>5</v>
      </c>
      <c r="B51" s="56" t="inlineStr">
        <is>
          <t>00016-ELC</t>
        </is>
      </c>
      <c r="C51" s="56">
        <f>IFERROR(_xlfn.XLOOKUP(ENTRADAS[[#This Row],[CODIGO]],LISTADO[CODIGOS],LISTADO[CATEGORIA]),"NO EXISTE")</f>
        <v/>
      </c>
      <c r="D51" s="56">
        <f>IFERROR(_xlfn.XLOOKUP(ENTRADAS[[#This Row],[CODIGO]],LISTADO[CODIGOS],LISTADO[PRODUCTOS]),"NO EXISTE")</f>
        <v/>
      </c>
      <c r="E51" s="19" t="n">
        <v>46065</v>
      </c>
      <c r="F51" s="18" t="n">
        <v>1</v>
      </c>
      <c r="G51" s="18" t="inlineStr">
        <is>
          <t>INVENTARIO</t>
        </is>
      </c>
      <c r="H51" s="18" t="n"/>
      <c r="I51" s="45" t="n"/>
      <c r="J51" s="77" t="n"/>
      <c r="K51" s="18" t="n"/>
    </row>
    <row r="52">
      <c r="A52" s="18" t="n">
        <v>6</v>
      </c>
      <c r="B52" s="56" t="inlineStr">
        <is>
          <t>00017-ELC</t>
        </is>
      </c>
      <c r="C52" s="56">
        <f>IFERROR(_xlfn.XLOOKUP(ENTRADAS[[#This Row],[CODIGO]],LISTADO[CODIGOS],LISTADO[CATEGORIA]),"NO EXISTE")</f>
        <v/>
      </c>
      <c r="D52" s="56">
        <f>IFERROR(_xlfn.XLOOKUP(ENTRADAS[[#This Row],[CODIGO]],LISTADO[CODIGOS],LISTADO[PRODUCTOS]),"NO EXISTE")</f>
        <v/>
      </c>
      <c r="E52" s="19" t="n">
        <v>46065</v>
      </c>
      <c r="F52" s="18" t="n">
        <v>1</v>
      </c>
      <c r="G52" s="18" t="inlineStr">
        <is>
          <t>INVENTARIO</t>
        </is>
      </c>
      <c r="H52" s="18" t="n"/>
      <c r="I52" s="45" t="n"/>
      <c r="J52" s="77" t="n"/>
      <c r="K52" s="18" t="n"/>
    </row>
    <row r="53">
      <c r="A53" s="18" t="n">
        <v>7</v>
      </c>
      <c r="B53" s="56" t="inlineStr">
        <is>
          <t>00019-ELC</t>
        </is>
      </c>
      <c r="C53" s="56">
        <f>IFERROR(_xlfn.XLOOKUP(ENTRADAS[[#This Row],[CODIGO]],LISTADO[CODIGOS],LISTADO[CATEGORIA]),"NO EXISTE")</f>
        <v/>
      </c>
      <c r="D53" s="56">
        <f>IFERROR(_xlfn.XLOOKUP(ENTRADAS[[#This Row],[CODIGO]],LISTADO[CODIGOS],LISTADO[PRODUCTOS]),"NO EXISTE")</f>
        <v/>
      </c>
      <c r="E53" s="19" t="n">
        <v>46065</v>
      </c>
      <c r="F53" s="18" t="n">
        <v>2</v>
      </c>
      <c r="G53" s="18" t="inlineStr">
        <is>
          <t>INVENTARIO</t>
        </is>
      </c>
      <c r="H53" s="18" t="n"/>
      <c r="I53" s="45" t="n"/>
      <c r="J53" s="77" t="n"/>
      <c r="K53" s="18" t="n"/>
    </row>
    <row r="54">
      <c r="A54" s="18" t="n">
        <v>8</v>
      </c>
      <c r="B54" s="56" t="inlineStr">
        <is>
          <t>00018-ELC</t>
        </is>
      </c>
      <c r="C54" s="56">
        <f>IFERROR(_xlfn.XLOOKUP(ENTRADAS[[#This Row],[CODIGO]],LISTADO[CODIGOS],LISTADO[CATEGORIA]),"NO EXISTE")</f>
        <v/>
      </c>
      <c r="D54" s="56">
        <f>IFERROR(_xlfn.XLOOKUP(ENTRADAS[[#This Row],[CODIGO]],LISTADO[CODIGOS],LISTADO[PRODUCTOS]),"NO EXISTE")</f>
        <v/>
      </c>
      <c r="E54" s="19" t="n">
        <v>46065</v>
      </c>
      <c r="F54" s="18" t="n">
        <v>1</v>
      </c>
      <c r="G54" s="18" t="inlineStr">
        <is>
          <t>INVENTARIO</t>
        </is>
      </c>
      <c r="H54" s="18" t="n"/>
      <c r="I54" s="45" t="n"/>
      <c r="J54" s="77" t="n"/>
      <c r="K54" s="18" t="n"/>
    </row>
    <row r="55">
      <c r="A55" s="18" t="n">
        <v>9</v>
      </c>
      <c r="B55" s="56" t="inlineStr">
        <is>
          <t>00001-ELC</t>
        </is>
      </c>
      <c r="C55" s="56">
        <f>IFERROR(_xlfn.XLOOKUP(ENTRADAS[[#This Row],[CODIGO]],LISTADO[CODIGOS],LISTADO[CATEGORIA]),"NO EXISTE")</f>
        <v/>
      </c>
      <c r="D55" s="56">
        <f>IFERROR(_xlfn.XLOOKUP(ENTRADAS[[#This Row],[CODIGO]],LISTADO[CODIGOS],LISTADO[PRODUCTOS]),"NO EXISTE")</f>
        <v/>
      </c>
      <c r="E55" s="19" t="n">
        <v>46065</v>
      </c>
      <c r="F55" s="18" t="n">
        <v>1</v>
      </c>
      <c r="G55" s="18" t="inlineStr">
        <is>
          <t>INVENTARIO</t>
        </is>
      </c>
      <c r="H55" s="18" t="n"/>
      <c r="I55" s="45" t="n"/>
      <c r="J55" s="77" t="n"/>
      <c r="K55" s="18" t="n"/>
    </row>
    <row r="56">
      <c r="A56" s="18" t="n">
        <v>10</v>
      </c>
      <c r="B56" s="56" t="inlineStr">
        <is>
          <t>00004-ELC</t>
        </is>
      </c>
      <c r="C56" s="56">
        <f>IFERROR(_xlfn.XLOOKUP(ENTRADAS[[#This Row],[CODIGO]],LISTADO[CODIGOS],LISTADO[CATEGORIA]),"NO EXISTE")</f>
        <v/>
      </c>
      <c r="D56" s="56">
        <f>IFERROR(_xlfn.XLOOKUP(ENTRADAS[[#This Row],[CODIGO]],LISTADO[CODIGOS],LISTADO[PRODUCTOS]),"NO EXISTE")</f>
        <v/>
      </c>
      <c r="E56" s="19" t="n">
        <v>46065</v>
      </c>
      <c r="F56" s="18" t="n">
        <v>1</v>
      </c>
      <c r="G56" s="18" t="inlineStr">
        <is>
          <t>INVENTARIO</t>
        </is>
      </c>
      <c r="H56" s="18" t="n"/>
      <c r="I56" s="45" t="n"/>
      <c r="J56" s="77" t="n"/>
      <c r="K56" s="18" t="n"/>
    </row>
    <row r="57">
      <c r="A57" s="18" t="n">
        <v>11</v>
      </c>
      <c r="B57" s="56" t="inlineStr">
        <is>
          <t>00020-ELC</t>
        </is>
      </c>
      <c r="C57" s="56">
        <f>IFERROR(_xlfn.XLOOKUP(ENTRADAS[[#This Row],[CODIGO]],LISTADO[CODIGOS],LISTADO[CATEGORIA]),"NO EXISTE")</f>
        <v/>
      </c>
      <c r="D57" s="56">
        <f>IFERROR(_xlfn.XLOOKUP(ENTRADAS[[#This Row],[CODIGO]],LISTADO[CODIGOS],LISTADO[PRODUCTOS]),"NO EXISTE")</f>
        <v/>
      </c>
      <c r="E57" s="19" t="n">
        <v>46065</v>
      </c>
      <c r="F57" s="18" t="n">
        <v>1</v>
      </c>
      <c r="G57" s="18" t="inlineStr">
        <is>
          <t>INVENTARIO</t>
        </is>
      </c>
      <c r="H57" s="18" t="n"/>
      <c r="I57" s="45" t="n"/>
      <c r="J57" s="77" t="n"/>
      <c r="K57" s="18" t="n"/>
    </row>
    <row r="58">
      <c r="A58" s="18" t="n">
        <v>12</v>
      </c>
      <c r="B58" s="56" t="inlineStr">
        <is>
          <t>00009-ELC</t>
        </is>
      </c>
      <c r="C58" s="56">
        <f>IFERROR(_xlfn.XLOOKUP(ENTRADAS[[#This Row],[CODIGO]],LISTADO[CODIGOS],LISTADO[CATEGORIA]),"NO EXISTE")</f>
        <v/>
      </c>
      <c r="D58" s="56">
        <f>IFERROR(_xlfn.XLOOKUP(ENTRADAS[[#This Row],[CODIGO]],LISTADO[CODIGOS],LISTADO[PRODUCTOS]),"NO EXISTE")</f>
        <v/>
      </c>
      <c r="E58" s="19" t="n">
        <v>46065</v>
      </c>
      <c r="F58" s="18" t="n">
        <v>1</v>
      </c>
      <c r="G58" s="18" t="inlineStr">
        <is>
          <t>INVENTARIO</t>
        </is>
      </c>
      <c r="H58" s="18" t="n"/>
      <c r="I58" s="45" t="n"/>
      <c r="J58" s="77" t="n"/>
      <c r="K58" s="18" t="n"/>
    </row>
    <row r="59">
      <c r="A59" s="18" t="n">
        <v>13</v>
      </c>
      <c r="B59" s="56" t="inlineStr">
        <is>
          <t>00022-ELC</t>
        </is>
      </c>
      <c r="C59" s="56">
        <f>IFERROR(_xlfn.XLOOKUP(ENTRADAS[[#This Row],[CODIGO]],LISTADO[CODIGOS],LISTADO[CATEGORIA]),"NO EXISTE")</f>
        <v/>
      </c>
      <c r="D59" s="56">
        <f>IFERROR(_xlfn.XLOOKUP(ENTRADAS[[#This Row],[CODIGO]],LISTADO[CODIGOS],LISTADO[PRODUCTOS]),"NO EXISTE")</f>
        <v/>
      </c>
      <c r="E59" s="19" t="n">
        <v>46065</v>
      </c>
      <c r="F59" s="18" t="n">
        <v>1</v>
      </c>
      <c r="G59" s="18" t="inlineStr">
        <is>
          <t>INVENTARIO</t>
        </is>
      </c>
      <c r="H59" s="18" t="n"/>
      <c r="I59" s="45" t="n"/>
      <c r="J59" s="77" t="n"/>
      <c r="K59" s="18" t="n"/>
    </row>
    <row r="60">
      <c r="A60" s="18" t="n">
        <v>14</v>
      </c>
      <c r="B60" s="56" t="inlineStr">
        <is>
          <t>00021-ELC</t>
        </is>
      </c>
      <c r="C60" s="56">
        <f>IFERROR(_xlfn.XLOOKUP(ENTRADAS[[#This Row],[CODIGO]],LISTADO[CODIGOS],LISTADO[CATEGORIA]),"NO EXISTE")</f>
        <v/>
      </c>
      <c r="D60" s="56">
        <f>IFERROR(_xlfn.XLOOKUP(ENTRADAS[[#This Row],[CODIGO]],LISTADO[CODIGOS],LISTADO[PRODUCTOS]),"NO EXISTE")</f>
        <v/>
      </c>
      <c r="E60" s="19" t="n">
        <v>46065</v>
      </c>
      <c r="F60" s="18" t="n">
        <v>2</v>
      </c>
      <c r="G60" s="18" t="inlineStr">
        <is>
          <t>INVENTARIO</t>
        </is>
      </c>
      <c r="H60" s="18" t="n"/>
      <c r="I60" s="45" t="n"/>
      <c r="J60" s="77" t="n"/>
      <c r="K60" s="18" t="n"/>
    </row>
    <row r="61">
      <c r="A61" s="18" t="n">
        <v>15</v>
      </c>
      <c r="B61" s="56" t="inlineStr">
        <is>
          <t>00013-ELC</t>
        </is>
      </c>
      <c r="C61" s="56">
        <f>IFERROR(_xlfn.XLOOKUP(ENTRADAS[[#This Row],[CODIGO]],LISTADO[CODIGOS],LISTADO[CATEGORIA]),"NO EXISTE")</f>
        <v/>
      </c>
      <c r="D61" s="56">
        <f>IFERROR(_xlfn.XLOOKUP(ENTRADAS[[#This Row],[CODIGO]],LISTADO[CODIGOS],LISTADO[PRODUCTOS]),"NO EXISTE")</f>
        <v/>
      </c>
      <c r="E61" s="19" t="n">
        <v>46065</v>
      </c>
      <c r="F61" s="18" t="n">
        <v>1</v>
      </c>
      <c r="G61" s="18" t="inlineStr">
        <is>
          <t>INVENTARIO</t>
        </is>
      </c>
      <c r="H61" s="18" t="n"/>
      <c r="I61" s="45" t="n"/>
      <c r="J61" s="77" t="n"/>
      <c r="K61" s="18" t="n"/>
    </row>
    <row r="62">
      <c r="A62" s="18" t="n">
        <v>16</v>
      </c>
      <c r="B62" s="56" t="inlineStr">
        <is>
          <t>00003-ELC</t>
        </is>
      </c>
      <c r="C62" s="56">
        <f>IFERROR(_xlfn.XLOOKUP(ENTRADAS[[#This Row],[CODIGO]],LISTADO[CODIGOS],LISTADO[CATEGORIA]),"NO EXISTE")</f>
        <v/>
      </c>
      <c r="D62" s="56">
        <f>IFERROR(_xlfn.XLOOKUP(ENTRADAS[[#This Row],[CODIGO]],LISTADO[CODIGOS],LISTADO[PRODUCTOS]),"NO EXISTE")</f>
        <v/>
      </c>
      <c r="E62" s="19" t="n">
        <v>46065</v>
      </c>
      <c r="F62" s="18" t="n">
        <v>1</v>
      </c>
      <c r="G62" s="18" t="inlineStr">
        <is>
          <t>INVENTARIO</t>
        </is>
      </c>
      <c r="H62" s="18" t="n"/>
      <c r="I62" s="45" t="n"/>
      <c r="J62" s="77" t="n"/>
      <c r="K62" s="18" t="n"/>
    </row>
    <row r="63">
      <c r="A63" s="18" t="n">
        <v>17</v>
      </c>
      <c r="B63" s="56" t="inlineStr">
        <is>
          <t>00002-ELC</t>
        </is>
      </c>
      <c r="C63" s="56">
        <f>IFERROR(_xlfn.XLOOKUP(ENTRADAS[[#This Row],[CODIGO]],LISTADO[CODIGOS],LISTADO[CATEGORIA]),"NO EXISTE")</f>
        <v/>
      </c>
      <c r="D63" s="56">
        <f>IFERROR(_xlfn.XLOOKUP(ENTRADAS[[#This Row],[CODIGO]],LISTADO[CODIGOS],LISTADO[PRODUCTOS]),"NO EXISTE")</f>
        <v/>
      </c>
      <c r="E63" s="19" t="n">
        <v>46065</v>
      </c>
      <c r="F63" s="18" t="n">
        <v>1</v>
      </c>
      <c r="G63" s="18" t="inlineStr">
        <is>
          <t>INVENTARIO</t>
        </is>
      </c>
      <c r="H63" s="18" t="n"/>
      <c r="I63" s="45" t="n"/>
      <c r="J63" s="77" t="n"/>
      <c r="K63" s="18" t="n"/>
    </row>
    <row r="64">
      <c r="A64" s="18" t="n">
        <v>18</v>
      </c>
      <c r="B64" s="56" t="inlineStr">
        <is>
          <t>00026-OFC</t>
        </is>
      </c>
      <c r="C64" s="56">
        <f>IFERROR(_xlfn.XLOOKUP(ENTRADAS[[#This Row],[CODIGO]],LISTADO[CODIGOS],LISTADO[CATEGORIA]),"NO EXISTE")</f>
        <v/>
      </c>
      <c r="D64" s="56">
        <f>IFERROR(_xlfn.XLOOKUP(ENTRADAS[[#This Row],[CODIGO]],LISTADO[CODIGOS],LISTADO[PRODUCTOS]),"NO EXISTE")</f>
        <v/>
      </c>
      <c r="E64" s="19" t="n">
        <v>46065</v>
      </c>
      <c r="F64" s="56">
        <f>35+46</f>
        <v/>
      </c>
      <c r="G64" s="18" t="inlineStr">
        <is>
          <t>INVENTARIO</t>
        </is>
      </c>
      <c r="H64" s="18" t="n"/>
      <c r="I64" s="45" t="n"/>
      <c r="J64" s="77" t="n"/>
      <c r="K64" s="18" t="n"/>
    </row>
    <row r="65">
      <c r="A65" s="18" t="n">
        <v>19</v>
      </c>
      <c r="B65" s="56" t="inlineStr">
        <is>
          <t>00020-OFC</t>
        </is>
      </c>
      <c r="C65" s="56">
        <f>IFERROR(_xlfn.XLOOKUP(ENTRADAS[[#This Row],[CODIGO]],LISTADO[CODIGOS],LISTADO[CATEGORIA]),"NO EXISTE")</f>
        <v/>
      </c>
      <c r="D65" s="56">
        <f>IFERROR(_xlfn.XLOOKUP(ENTRADAS[[#This Row],[CODIGO]],LISTADO[CODIGOS],LISTADO[PRODUCTOS]),"NO EXISTE")</f>
        <v/>
      </c>
      <c r="E65" s="19" t="n">
        <v>46065</v>
      </c>
      <c r="F65" s="18" t="n">
        <v>100</v>
      </c>
      <c r="G65" s="18" t="inlineStr">
        <is>
          <t>INVENTARIO</t>
        </is>
      </c>
      <c r="H65" s="18" t="n"/>
      <c r="I65" s="45" t="n"/>
      <c r="J65" s="77" t="n"/>
      <c r="K65" s="18" t="n"/>
    </row>
    <row r="66">
      <c r="A66" s="18" t="n">
        <v>20</v>
      </c>
      <c r="B66" s="56" t="inlineStr">
        <is>
          <t>00029-OFC</t>
        </is>
      </c>
      <c r="C66" s="56">
        <f>IFERROR(_xlfn.XLOOKUP(ENTRADAS[[#This Row],[CODIGO]],LISTADO[CODIGOS],LISTADO[CATEGORIA]),"NO EXISTE")</f>
        <v/>
      </c>
      <c r="D66" s="56">
        <f>IFERROR(_xlfn.XLOOKUP(ENTRADAS[[#This Row],[CODIGO]],LISTADO[CODIGOS],LISTADO[PRODUCTOS]),"NO EXISTE")</f>
        <v/>
      </c>
      <c r="E66" s="19" t="n">
        <v>46065</v>
      </c>
      <c r="F66" s="18" t="n">
        <v>4</v>
      </c>
      <c r="G66" s="18" t="inlineStr">
        <is>
          <t>INVENTARIO</t>
        </is>
      </c>
      <c r="H66" s="18" t="n"/>
      <c r="I66" s="45" t="n"/>
      <c r="J66" s="77" t="n"/>
      <c r="K66" s="18" t="n"/>
    </row>
    <row r="67">
      <c r="A67" s="18" t="n">
        <v>21</v>
      </c>
      <c r="B67" s="56" t="inlineStr">
        <is>
          <t>00028-OFC</t>
        </is>
      </c>
      <c r="C67" s="56">
        <f>IFERROR(_xlfn.XLOOKUP(ENTRADAS[[#This Row],[CODIGO]],LISTADO[CODIGOS],LISTADO[CATEGORIA]),"NO EXISTE")</f>
        <v/>
      </c>
      <c r="D67" s="56">
        <f>IFERROR(_xlfn.XLOOKUP(ENTRADAS[[#This Row],[CODIGO]],LISTADO[CODIGOS],LISTADO[PRODUCTOS]),"NO EXISTE")</f>
        <v/>
      </c>
      <c r="E67" s="19" t="n">
        <v>46065</v>
      </c>
      <c r="F67" s="18" t="n">
        <v>4</v>
      </c>
      <c r="G67" s="18" t="inlineStr">
        <is>
          <t>INVENTARIO</t>
        </is>
      </c>
      <c r="H67" s="18" t="n"/>
      <c r="I67" s="45" t="n"/>
      <c r="J67" s="77" t="n"/>
      <c r="K67" s="18" t="n"/>
    </row>
    <row r="68">
      <c r="A68" s="18" t="n">
        <v>22</v>
      </c>
      <c r="B68" s="56" t="inlineStr">
        <is>
          <t>00032-OFC</t>
        </is>
      </c>
      <c r="C68" s="56">
        <f>IFERROR(_xlfn.XLOOKUP(ENTRADAS[[#This Row],[CODIGO]],LISTADO[CODIGOS],LISTADO[CATEGORIA]),"NO EXISTE")</f>
        <v/>
      </c>
      <c r="D68" s="56">
        <f>IFERROR(_xlfn.XLOOKUP(ENTRADAS[[#This Row],[CODIGO]],LISTADO[CODIGOS],LISTADO[PRODUCTOS]),"NO EXISTE")</f>
        <v/>
      </c>
      <c r="E68" s="19" t="n">
        <v>46065</v>
      </c>
      <c r="F68" s="18" t="n">
        <v>2</v>
      </c>
      <c r="G68" s="18" t="inlineStr">
        <is>
          <t>INVENTARIO</t>
        </is>
      </c>
      <c r="H68" s="18" t="n"/>
      <c r="I68" s="45" t="n"/>
      <c r="J68" s="77" t="n"/>
      <c r="K68" s="18" t="n"/>
    </row>
    <row r="69">
      <c r="A69" s="18" t="n">
        <v>23</v>
      </c>
      <c r="B69" s="56" t="inlineStr">
        <is>
          <t>00024-OFC</t>
        </is>
      </c>
      <c r="C69" s="56">
        <f>IFERROR(_xlfn.XLOOKUP(ENTRADAS[[#This Row],[CODIGO]],LISTADO[CODIGOS],LISTADO[CATEGORIA]),"NO EXISTE")</f>
        <v/>
      </c>
      <c r="D69" s="56">
        <f>IFERROR(_xlfn.XLOOKUP(ENTRADAS[[#This Row],[CODIGO]],LISTADO[CODIGOS],LISTADO[PRODUCTOS]),"NO EXISTE")</f>
        <v/>
      </c>
      <c r="E69" s="19" t="n">
        <v>46065</v>
      </c>
      <c r="F69" s="18" t="n">
        <v>12</v>
      </c>
      <c r="G69" s="18" t="inlineStr">
        <is>
          <t>INVENTARIO</t>
        </is>
      </c>
      <c r="H69" s="18" t="n"/>
      <c r="I69" s="45" t="n"/>
      <c r="J69" s="77" t="n"/>
      <c r="K69" s="18" t="n"/>
    </row>
    <row r="70">
      <c r="A70" s="18" t="n">
        <v>24</v>
      </c>
      <c r="B70" s="56" t="inlineStr">
        <is>
          <t>00003-OFC</t>
        </is>
      </c>
      <c r="C70" s="56">
        <f>IFERROR(_xlfn.XLOOKUP(ENTRADAS[[#This Row],[CODIGO]],LISTADO[CODIGOS],LISTADO[CATEGORIA]),"NO EXISTE")</f>
        <v/>
      </c>
      <c r="D70" s="56">
        <f>IFERROR(_xlfn.XLOOKUP(ENTRADAS[[#This Row],[CODIGO]],LISTADO[CODIGOS],LISTADO[PRODUCTOS]),"NO EXISTE")</f>
        <v/>
      </c>
      <c r="E70" s="19" t="n">
        <v>46065</v>
      </c>
      <c r="F70" s="18" t="n">
        <v>82</v>
      </c>
      <c r="G70" s="18" t="inlineStr">
        <is>
          <t>INVENTARIO</t>
        </is>
      </c>
      <c r="H70" s="18" t="n"/>
      <c r="I70" s="45" t="n"/>
      <c r="J70" s="77" t="n"/>
      <c r="K70" s="18" t="n"/>
    </row>
    <row r="71">
      <c r="A71" s="18" t="n">
        <v>25</v>
      </c>
      <c r="B71" s="56" t="inlineStr">
        <is>
          <t>00021-OFC</t>
        </is>
      </c>
      <c r="C71" s="56">
        <f>IFERROR(_xlfn.XLOOKUP(ENTRADAS[[#This Row],[CODIGO]],LISTADO[CODIGOS],LISTADO[CATEGORIA]),"NO EXISTE")</f>
        <v/>
      </c>
      <c r="D71" s="56">
        <f>IFERROR(_xlfn.XLOOKUP(ENTRADAS[[#This Row],[CODIGO]],LISTADO[CODIGOS],LISTADO[PRODUCTOS]),"NO EXISTE")</f>
        <v/>
      </c>
      <c r="E71" s="19" t="n">
        <v>46065</v>
      </c>
      <c r="F71" s="18" t="n">
        <v>10</v>
      </c>
      <c r="G71" s="18" t="inlineStr">
        <is>
          <t>INVENTARIO</t>
        </is>
      </c>
      <c r="H71" s="18" t="n"/>
      <c r="I71" s="45" t="n"/>
      <c r="J71" s="77" t="n"/>
      <c r="K71" s="18" t="n"/>
    </row>
    <row r="72">
      <c r="A72" s="18" t="n">
        <v>26</v>
      </c>
      <c r="B72" s="56" t="inlineStr">
        <is>
          <t>00027-OFC</t>
        </is>
      </c>
      <c r="C72" s="56">
        <f>IFERROR(_xlfn.XLOOKUP(ENTRADAS[[#This Row],[CODIGO]],LISTADO[CODIGOS],LISTADO[CATEGORIA]),"NO EXISTE")</f>
        <v/>
      </c>
      <c r="D72" s="56">
        <f>IFERROR(_xlfn.XLOOKUP(ENTRADAS[[#This Row],[CODIGO]],LISTADO[CODIGOS],LISTADO[PRODUCTOS]),"NO EXISTE")</f>
        <v/>
      </c>
      <c r="E72" s="19" t="n">
        <v>46065</v>
      </c>
      <c r="F72" s="18" t="n">
        <v>36</v>
      </c>
      <c r="G72" s="18" t="inlineStr">
        <is>
          <t>INVENTARIO</t>
        </is>
      </c>
      <c r="H72" s="18" t="n"/>
      <c r="I72" s="45" t="n"/>
      <c r="J72" s="77" t="n"/>
      <c r="K72" s="18" t="n"/>
    </row>
    <row r="73">
      <c r="A73" s="18" t="n">
        <v>27</v>
      </c>
      <c r="B73" s="56" t="inlineStr">
        <is>
          <t>00004-OFC</t>
        </is>
      </c>
      <c r="C73" s="56">
        <f>IFERROR(_xlfn.XLOOKUP(ENTRADAS[[#This Row],[CODIGO]],LISTADO[CODIGOS],LISTADO[CATEGORIA]),"NO EXISTE")</f>
        <v/>
      </c>
      <c r="D73" s="56">
        <f>IFERROR(_xlfn.XLOOKUP(ENTRADAS[[#This Row],[CODIGO]],LISTADO[CODIGOS],LISTADO[PRODUCTOS]),"NO EXISTE")</f>
        <v/>
      </c>
      <c r="E73" s="19" t="n">
        <v>46065</v>
      </c>
      <c r="F73" s="18" t="n">
        <v>8</v>
      </c>
      <c r="G73" s="18" t="inlineStr">
        <is>
          <t>INVENTARIO</t>
        </is>
      </c>
      <c r="H73" s="18" t="n"/>
      <c r="I73" s="45" t="n"/>
      <c r="J73" s="77" t="n"/>
      <c r="K73" s="18" t="n"/>
    </row>
    <row r="74">
      <c r="A74" s="18" t="n">
        <v>28</v>
      </c>
      <c r="B74" s="56" t="inlineStr">
        <is>
          <t>00019-OFC</t>
        </is>
      </c>
      <c r="C74" s="56">
        <f>IFERROR(_xlfn.XLOOKUP(ENTRADAS[[#This Row],[CODIGO]],LISTADO[CODIGOS],LISTADO[CATEGORIA]),"NO EXISTE")</f>
        <v/>
      </c>
      <c r="D74" s="56">
        <f>IFERROR(_xlfn.XLOOKUP(ENTRADAS[[#This Row],[CODIGO]],LISTADO[CODIGOS],LISTADO[PRODUCTOS]),"NO EXISTE")</f>
        <v/>
      </c>
      <c r="E74" s="19" t="n">
        <v>46065</v>
      </c>
      <c r="F74" s="18" t="n">
        <v>1</v>
      </c>
      <c r="G74" s="18" t="inlineStr">
        <is>
          <t>INVENTARIO</t>
        </is>
      </c>
      <c r="H74" s="18" t="n"/>
      <c r="I74" s="45" t="n"/>
      <c r="J74" s="77" t="n"/>
      <c r="K74" s="18" t="n"/>
    </row>
    <row r="75">
      <c r="A75" s="18" t="n">
        <v>29</v>
      </c>
      <c r="B75" s="56" t="inlineStr">
        <is>
          <t>00006-OFC</t>
        </is>
      </c>
      <c r="C75" s="56">
        <f>IFERROR(_xlfn.XLOOKUP(ENTRADAS[[#This Row],[CODIGO]],LISTADO[CODIGOS],LISTADO[CATEGORIA]),"NO EXISTE")</f>
        <v/>
      </c>
      <c r="D75" s="56">
        <f>IFERROR(_xlfn.XLOOKUP(ENTRADAS[[#This Row],[CODIGO]],LISTADO[CODIGOS],LISTADO[PRODUCTOS]),"NO EXISTE")</f>
        <v/>
      </c>
      <c r="E75" s="19" t="n">
        <v>46065</v>
      </c>
      <c r="F75" s="18" t="n">
        <v>1</v>
      </c>
      <c r="G75" s="18" t="inlineStr">
        <is>
          <t>INVENTARIO</t>
        </is>
      </c>
      <c r="H75" s="18" t="n"/>
      <c r="I75" s="45" t="n"/>
      <c r="J75" s="77" t="n"/>
      <c r="K75" s="18" t="n"/>
    </row>
    <row r="76">
      <c r="A76" s="18" t="n">
        <v>30</v>
      </c>
      <c r="B76" s="56" t="inlineStr">
        <is>
          <t>00023-OFC</t>
        </is>
      </c>
      <c r="C76" s="56">
        <f>IFERROR(_xlfn.XLOOKUP(ENTRADAS[[#This Row],[CODIGO]],LISTADO[CODIGOS],LISTADO[CATEGORIA]),"NO EXISTE")</f>
        <v/>
      </c>
      <c r="D76" s="56">
        <f>IFERROR(_xlfn.XLOOKUP(ENTRADAS[[#This Row],[CODIGO]],LISTADO[CODIGOS],LISTADO[PRODUCTOS]),"NO EXISTE")</f>
        <v/>
      </c>
      <c r="E76" s="19" t="n">
        <v>46065</v>
      </c>
      <c r="F76" s="18" t="n">
        <v>2</v>
      </c>
      <c r="G76" s="18" t="inlineStr">
        <is>
          <t>INVENTARIO</t>
        </is>
      </c>
      <c r="H76" s="18" t="n"/>
      <c r="I76" s="45" t="n"/>
      <c r="J76" s="77" t="n"/>
      <c r="K76" s="18" t="n"/>
    </row>
    <row r="77">
      <c r="A77" s="18" t="n">
        <v>31</v>
      </c>
      <c r="B77" s="56" t="inlineStr">
        <is>
          <t>00013-OFC</t>
        </is>
      </c>
      <c r="C77" s="56">
        <f>IFERROR(_xlfn.XLOOKUP(ENTRADAS[[#This Row],[CODIGO]],LISTADO[CODIGOS],LISTADO[CATEGORIA]),"NO EXISTE")</f>
        <v/>
      </c>
      <c r="D77" s="56">
        <f>IFERROR(_xlfn.XLOOKUP(ENTRADAS[[#This Row],[CODIGO]],LISTADO[CODIGOS],LISTADO[PRODUCTOS]),"NO EXISTE")</f>
        <v/>
      </c>
      <c r="E77" s="19" t="n">
        <v>46065</v>
      </c>
      <c r="F77" s="18" t="n">
        <v>2</v>
      </c>
      <c r="G77" s="18" t="inlineStr">
        <is>
          <t>INVENTARIO</t>
        </is>
      </c>
      <c r="H77" s="18" t="n"/>
      <c r="I77" s="45" t="n"/>
      <c r="J77" s="77" t="n"/>
      <c r="K77" s="18" t="n"/>
    </row>
    <row r="78">
      <c r="A78" s="18" t="n">
        <v>32</v>
      </c>
      <c r="B78" s="56" t="inlineStr">
        <is>
          <t>00025-OFC</t>
        </is>
      </c>
      <c r="C78" s="56">
        <f>IFERROR(_xlfn.XLOOKUP(ENTRADAS[[#This Row],[CODIGO]],LISTADO[CODIGOS],LISTADO[CATEGORIA]),"NO EXISTE")</f>
        <v/>
      </c>
      <c r="D78" s="56">
        <f>IFERROR(_xlfn.XLOOKUP(ENTRADAS[[#This Row],[CODIGO]],LISTADO[CODIGOS],LISTADO[PRODUCTOS]),"NO EXISTE")</f>
        <v/>
      </c>
      <c r="E78" s="19" t="n">
        <v>46065</v>
      </c>
      <c r="F78" s="18" t="n">
        <v>1</v>
      </c>
      <c r="G78" s="18" t="inlineStr">
        <is>
          <t>INVENTARIO</t>
        </is>
      </c>
      <c r="H78" s="18" t="n"/>
      <c r="I78" s="45" t="n"/>
      <c r="J78" s="77" t="n"/>
      <c r="K78" s="18" t="n"/>
    </row>
    <row r="79">
      <c r="A79" s="18" t="n">
        <v>33</v>
      </c>
      <c r="B79" s="56" t="inlineStr">
        <is>
          <t>00033-OFC</t>
        </is>
      </c>
      <c r="C79" s="56">
        <f>IFERROR(_xlfn.XLOOKUP(ENTRADAS[[#This Row],[CODIGO]],LISTADO[CODIGOS],LISTADO[CATEGORIA]),"NO EXISTE")</f>
        <v/>
      </c>
      <c r="D79" s="56">
        <f>IFERROR(_xlfn.XLOOKUP(ENTRADAS[[#This Row],[CODIGO]],LISTADO[CODIGOS],LISTADO[PRODUCTOS]),"NO EXISTE")</f>
        <v/>
      </c>
      <c r="E79" s="19" t="n">
        <v>46065</v>
      </c>
      <c r="F79" s="18" t="n">
        <v>4</v>
      </c>
      <c r="G79" s="18" t="inlineStr">
        <is>
          <t>INVENTARIO</t>
        </is>
      </c>
      <c r="H79" s="18" t="n"/>
      <c r="I79" s="45" t="n"/>
      <c r="J79" s="77" t="n"/>
      <c r="K79" s="18" t="n"/>
    </row>
    <row r="80">
      <c r="A80" s="18" t="n">
        <v>34</v>
      </c>
      <c r="B80" s="56" t="inlineStr">
        <is>
          <t>00018-OFC</t>
        </is>
      </c>
      <c r="C80" s="56">
        <f>IFERROR(_xlfn.XLOOKUP(ENTRADAS[[#This Row],[CODIGO]],LISTADO[CODIGOS],LISTADO[CATEGORIA]),"NO EXISTE")</f>
        <v/>
      </c>
      <c r="D80" s="56">
        <f>IFERROR(_xlfn.XLOOKUP(ENTRADAS[[#This Row],[CODIGO]],LISTADO[CODIGOS],LISTADO[PRODUCTOS]),"NO EXISTE")</f>
        <v/>
      </c>
      <c r="E80" s="19" t="n">
        <v>46065</v>
      </c>
      <c r="F80" s="18" t="n">
        <v>31</v>
      </c>
      <c r="G80" s="18" t="inlineStr">
        <is>
          <t>INVENTARIO</t>
        </is>
      </c>
      <c r="H80" s="18" t="n"/>
      <c r="I80" s="45" t="n"/>
      <c r="J80" s="77" t="n"/>
      <c r="K80" s="18" t="n"/>
    </row>
    <row r="81">
      <c r="A81" s="18" t="n">
        <v>35</v>
      </c>
      <c r="B81" s="56" t="inlineStr">
        <is>
          <t>00030-OFC</t>
        </is>
      </c>
      <c r="C81" s="56">
        <f>IFERROR(_xlfn.XLOOKUP(ENTRADAS[[#This Row],[CODIGO]],LISTADO[CODIGOS],LISTADO[CATEGORIA]),"NO EXISTE")</f>
        <v/>
      </c>
      <c r="D81" s="56">
        <f>IFERROR(_xlfn.XLOOKUP(ENTRADAS[[#This Row],[CODIGO]],LISTADO[CODIGOS],LISTADO[PRODUCTOS]),"NO EXISTE")</f>
        <v/>
      </c>
      <c r="E81" s="19" t="n">
        <v>46065</v>
      </c>
      <c r="F81" s="18" t="n">
        <v>3</v>
      </c>
      <c r="G81" s="18" t="inlineStr">
        <is>
          <t>INVENTARIO</t>
        </is>
      </c>
      <c r="H81" s="18" t="n"/>
      <c r="I81" s="45" t="n"/>
      <c r="J81" s="77" t="n"/>
      <c r="K81" s="18" t="n"/>
    </row>
    <row r="82">
      <c r="A82" s="18" t="n">
        <v>36</v>
      </c>
      <c r="B82" s="56" t="inlineStr">
        <is>
          <t>00005-OFC</t>
        </is>
      </c>
      <c r="C82" s="56">
        <f>IFERROR(_xlfn.XLOOKUP(ENTRADAS[[#This Row],[CODIGO]],LISTADO[CODIGOS],LISTADO[CATEGORIA]),"NO EXISTE")</f>
        <v/>
      </c>
      <c r="D82" s="56">
        <f>IFERROR(_xlfn.XLOOKUP(ENTRADAS[[#This Row],[CODIGO]],LISTADO[CODIGOS],LISTADO[PRODUCTOS]),"NO EXISTE")</f>
        <v/>
      </c>
      <c r="E82" s="19" t="n">
        <v>46065</v>
      </c>
      <c r="F82" s="18" t="n">
        <v>2</v>
      </c>
      <c r="G82" s="18" t="inlineStr">
        <is>
          <t>INVENTARIO</t>
        </is>
      </c>
      <c r="H82" s="18" t="n"/>
      <c r="I82" s="45" t="n"/>
      <c r="J82" s="77" t="n"/>
      <c r="K82" s="18" t="n"/>
    </row>
    <row r="83">
      <c r="A83" s="18" t="n">
        <v>37</v>
      </c>
      <c r="B83" s="56" t="inlineStr">
        <is>
          <t>00012-OFC</t>
        </is>
      </c>
      <c r="C83" s="56">
        <f>IFERROR(_xlfn.XLOOKUP(ENTRADAS[[#This Row],[CODIGO]],LISTADO[CODIGOS],LISTADO[CATEGORIA]),"NO EXISTE")</f>
        <v/>
      </c>
      <c r="D83" s="56">
        <f>IFERROR(_xlfn.XLOOKUP(ENTRADAS[[#This Row],[CODIGO]],LISTADO[CODIGOS],LISTADO[PRODUCTOS]),"NO EXISTE")</f>
        <v/>
      </c>
      <c r="E83" s="19" t="n">
        <v>46065</v>
      </c>
      <c r="F83" s="18" t="n">
        <v>6</v>
      </c>
      <c r="G83" s="18" t="inlineStr">
        <is>
          <t>INVENTARIO</t>
        </is>
      </c>
      <c r="H83" s="18" t="n"/>
      <c r="I83" s="45" t="n"/>
      <c r="J83" s="77" t="n"/>
      <c r="K83" s="18" t="n"/>
    </row>
    <row r="84">
      <c r="A84" s="18" t="n">
        <v>38</v>
      </c>
      <c r="B84" s="56" t="inlineStr">
        <is>
          <t>00010-OFC</t>
        </is>
      </c>
      <c r="C84" s="56">
        <f>IFERROR(_xlfn.XLOOKUP(ENTRADAS[[#This Row],[CODIGO]],LISTADO[CODIGOS],LISTADO[CATEGORIA]),"NO EXISTE")</f>
        <v/>
      </c>
      <c r="D84" s="56">
        <f>IFERROR(_xlfn.XLOOKUP(ENTRADAS[[#This Row],[CODIGO]],LISTADO[CODIGOS],LISTADO[PRODUCTOS]),"NO EXISTE")</f>
        <v/>
      </c>
      <c r="E84" s="19" t="n">
        <v>46065</v>
      </c>
      <c r="F84" s="18" t="n">
        <v>3</v>
      </c>
      <c r="G84" s="18" t="inlineStr">
        <is>
          <t>INVENTARIO</t>
        </is>
      </c>
      <c r="H84" s="18" t="n"/>
      <c r="I84" s="45" t="n"/>
      <c r="J84" s="77" t="n"/>
      <c r="K84" s="18" t="n"/>
    </row>
    <row r="85">
      <c r="A85" s="18" t="n">
        <v>39</v>
      </c>
      <c r="B85" s="56" t="inlineStr">
        <is>
          <t>00011-OFC</t>
        </is>
      </c>
      <c r="C85" s="56">
        <f>IFERROR(_xlfn.XLOOKUP(ENTRADAS[[#This Row],[CODIGO]],LISTADO[CODIGOS],LISTADO[CATEGORIA]),"NO EXISTE")</f>
        <v/>
      </c>
      <c r="D85" s="56">
        <f>IFERROR(_xlfn.XLOOKUP(ENTRADAS[[#This Row],[CODIGO]],LISTADO[CODIGOS],LISTADO[PRODUCTOS]),"NO EXISTE")</f>
        <v/>
      </c>
      <c r="E85" s="19" t="n">
        <v>46065</v>
      </c>
      <c r="F85" s="18" t="n">
        <v>2</v>
      </c>
      <c r="G85" s="18" t="inlineStr">
        <is>
          <t>INVENTARIO</t>
        </is>
      </c>
      <c r="H85" s="18" t="n"/>
      <c r="I85" s="45" t="n"/>
      <c r="J85" s="77" t="n"/>
      <c r="K85" s="18" t="n"/>
    </row>
    <row r="86">
      <c r="A86" s="18" t="n">
        <v>40</v>
      </c>
      <c r="B86" s="56" t="inlineStr">
        <is>
          <t>00015-OFC</t>
        </is>
      </c>
      <c r="C86" s="56">
        <f>IFERROR(_xlfn.XLOOKUP(ENTRADAS[[#This Row],[CODIGO]],LISTADO[CODIGOS],LISTADO[CATEGORIA]),"NO EXISTE")</f>
        <v/>
      </c>
      <c r="D86" s="56">
        <f>IFERROR(_xlfn.XLOOKUP(ENTRADAS[[#This Row],[CODIGO]],LISTADO[CODIGOS],LISTADO[PRODUCTOS]),"NO EXISTE")</f>
        <v/>
      </c>
      <c r="E86" s="19" t="n">
        <v>46065</v>
      </c>
      <c r="F86" s="18" t="n">
        <v>3</v>
      </c>
      <c r="G86" s="18" t="inlineStr">
        <is>
          <t>INVENTARIO</t>
        </is>
      </c>
      <c r="H86" s="18" t="n"/>
      <c r="I86" s="45" t="n"/>
      <c r="J86" s="77" t="n"/>
      <c r="K86" s="18" t="n"/>
    </row>
    <row r="87">
      <c r="A87" s="18" t="n">
        <v>41</v>
      </c>
      <c r="B87" s="56" t="inlineStr">
        <is>
          <t>00014-OFC</t>
        </is>
      </c>
      <c r="C87" s="56">
        <f>IFERROR(_xlfn.XLOOKUP(ENTRADAS[[#This Row],[CODIGO]],LISTADO[CODIGOS],LISTADO[CATEGORIA]),"NO EXISTE")</f>
        <v/>
      </c>
      <c r="D87" s="56">
        <f>IFERROR(_xlfn.XLOOKUP(ENTRADAS[[#This Row],[CODIGO]],LISTADO[CODIGOS],LISTADO[PRODUCTOS]),"NO EXISTE")</f>
        <v/>
      </c>
      <c r="E87" s="19" t="n">
        <v>46065</v>
      </c>
      <c r="F87" s="18" t="n">
        <v>1</v>
      </c>
      <c r="G87" s="18" t="inlineStr">
        <is>
          <t>INVENTARIO</t>
        </is>
      </c>
      <c r="H87" s="18" t="n"/>
      <c r="I87" s="45" t="n"/>
      <c r="J87" s="77" t="n"/>
      <c r="K87" s="18" t="n"/>
    </row>
    <row r="88">
      <c r="A88" s="18" t="n">
        <v>42</v>
      </c>
      <c r="B88" s="56" t="inlineStr">
        <is>
          <t>00009-OFC</t>
        </is>
      </c>
      <c r="C88" s="56">
        <f>IFERROR(_xlfn.XLOOKUP(ENTRADAS[[#This Row],[CODIGO]],LISTADO[CODIGOS],LISTADO[CATEGORIA]),"NO EXISTE")</f>
        <v/>
      </c>
      <c r="D88" s="56">
        <f>IFERROR(_xlfn.XLOOKUP(ENTRADAS[[#This Row],[CODIGO]],LISTADO[CODIGOS],LISTADO[PRODUCTOS]),"NO EXISTE")</f>
        <v/>
      </c>
      <c r="E88" s="19" t="n">
        <v>46065</v>
      </c>
      <c r="F88" s="18" t="n">
        <v>2</v>
      </c>
      <c r="G88" s="18" t="inlineStr">
        <is>
          <t>INVENTARIO</t>
        </is>
      </c>
      <c r="H88" s="18" t="n"/>
      <c r="I88" s="45" t="n"/>
      <c r="J88" s="77" t="n"/>
      <c r="K88" s="18" t="n"/>
    </row>
    <row r="89">
      <c r="A89" s="18" t="n">
        <v>43</v>
      </c>
      <c r="B89" s="56" t="inlineStr">
        <is>
          <t>00016-OFC</t>
        </is>
      </c>
      <c r="C89" s="56">
        <f>IFERROR(_xlfn.XLOOKUP(ENTRADAS[[#This Row],[CODIGO]],LISTADO[CODIGOS],LISTADO[CATEGORIA]),"NO EXISTE")</f>
        <v/>
      </c>
      <c r="D89" s="56">
        <f>IFERROR(_xlfn.XLOOKUP(ENTRADAS[[#This Row],[CODIGO]],LISTADO[CODIGOS],LISTADO[PRODUCTOS]),"NO EXISTE")</f>
        <v/>
      </c>
      <c r="E89" s="19" t="n">
        <v>46065</v>
      </c>
      <c r="F89" s="18" t="n">
        <v>3</v>
      </c>
      <c r="G89" s="18" t="inlineStr">
        <is>
          <t>INVENTARIO</t>
        </is>
      </c>
      <c r="H89" s="18" t="n"/>
      <c r="I89" s="45" t="n"/>
      <c r="J89" s="77" t="n"/>
      <c r="K89" s="18" t="n"/>
    </row>
    <row r="90">
      <c r="A90" s="18" t="n">
        <v>44</v>
      </c>
      <c r="B90" s="56" t="inlineStr">
        <is>
          <t>00017-OFC</t>
        </is>
      </c>
      <c r="C90" s="56">
        <f>IFERROR(_xlfn.XLOOKUP(ENTRADAS[[#This Row],[CODIGO]],LISTADO[CODIGOS],LISTADO[CATEGORIA]),"NO EXISTE")</f>
        <v/>
      </c>
      <c r="D90" s="56">
        <f>IFERROR(_xlfn.XLOOKUP(ENTRADAS[[#This Row],[CODIGO]],LISTADO[CODIGOS],LISTADO[PRODUCTOS]),"NO EXISTE")</f>
        <v/>
      </c>
      <c r="E90" s="19" t="n">
        <v>46065</v>
      </c>
      <c r="F90" s="18" t="n">
        <v>1</v>
      </c>
      <c r="G90" s="18" t="inlineStr">
        <is>
          <t>INVENTARIO</t>
        </is>
      </c>
      <c r="H90" s="18" t="n"/>
      <c r="I90" s="45" t="n"/>
      <c r="J90" s="77" t="n"/>
      <c r="K90" s="18" t="n"/>
    </row>
    <row r="91">
      <c r="A91" s="18" t="n">
        <v>45</v>
      </c>
      <c r="B91" s="56" t="inlineStr">
        <is>
          <t>00007-OFC</t>
        </is>
      </c>
      <c r="C91" s="56">
        <f>IFERROR(_xlfn.XLOOKUP(ENTRADAS[[#This Row],[CODIGO]],LISTADO[CODIGOS],LISTADO[CATEGORIA]),"NO EXISTE")</f>
        <v/>
      </c>
      <c r="D91" s="56">
        <f>IFERROR(_xlfn.XLOOKUP(ENTRADAS[[#This Row],[CODIGO]],LISTADO[CODIGOS],LISTADO[PRODUCTOS]),"NO EXISTE")</f>
        <v/>
      </c>
      <c r="E91" s="19" t="n">
        <v>46065</v>
      </c>
      <c r="F91" s="18" t="n">
        <v>1</v>
      </c>
      <c r="G91" s="18" t="inlineStr">
        <is>
          <t>INVENTARIO</t>
        </is>
      </c>
      <c r="H91" s="18" t="n"/>
      <c r="I91" s="45" t="n"/>
      <c r="J91" s="77" t="n"/>
      <c r="K91" s="18" t="n"/>
    </row>
    <row r="92">
      <c r="A92" s="18" t="n">
        <v>46</v>
      </c>
      <c r="B92" s="56" t="inlineStr">
        <is>
          <t>00002-OFC</t>
        </is>
      </c>
      <c r="C92" s="56">
        <f>IFERROR(_xlfn.XLOOKUP(ENTRADAS[[#This Row],[CODIGO]],LISTADO[CODIGOS],LISTADO[CATEGORIA]),"NO EXISTE")</f>
        <v/>
      </c>
      <c r="D92" s="56">
        <f>IFERROR(_xlfn.XLOOKUP(ENTRADAS[[#This Row],[CODIGO]],LISTADO[CODIGOS],LISTADO[PRODUCTOS]),"NO EXISTE")</f>
        <v/>
      </c>
      <c r="E92" s="19" t="n">
        <v>46065</v>
      </c>
      <c r="F92" s="18" t="n">
        <v>1</v>
      </c>
      <c r="G92" s="18" t="inlineStr">
        <is>
          <t>INVENTARIO</t>
        </is>
      </c>
      <c r="H92" s="18" t="n"/>
      <c r="I92" s="45" t="n"/>
      <c r="J92" s="77" t="n"/>
      <c r="K92" s="18" t="n"/>
    </row>
    <row r="93">
      <c r="A93" s="18" t="n">
        <v>47</v>
      </c>
      <c r="B93" s="56" t="inlineStr">
        <is>
          <t>00022-OFC</t>
        </is>
      </c>
      <c r="C93" s="56">
        <f>IFERROR(_xlfn.XLOOKUP(ENTRADAS[[#This Row],[CODIGO]],LISTADO[CODIGOS],LISTADO[CATEGORIA]),"NO EXISTE")</f>
        <v/>
      </c>
      <c r="D93" s="56">
        <f>IFERROR(_xlfn.XLOOKUP(ENTRADAS[[#This Row],[CODIGO]],LISTADO[CODIGOS],LISTADO[PRODUCTOS]),"NO EXISTE")</f>
        <v/>
      </c>
      <c r="E93" s="19" t="n">
        <v>46065</v>
      </c>
      <c r="F93" s="18" t="n">
        <v>1</v>
      </c>
      <c r="G93" s="18" t="inlineStr">
        <is>
          <t>INVENTARIO</t>
        </is>
      </c>
      <c r="H93" s="18" t="n"/>
      <c r="I93" s="45" t="n"/>
      <c r="J93" s="77" t="n"/>
      <c r="K93" s="18" t="n"/>
    </row>
    <row r="94">
      <c r="A94" s="18" t="n">
        <v>48</v>
      </c>
      <c r="B94" s="56" t="inlineStr">
        <is>
          <t>00001-OFC</t>
        </is>
      </c>
      <c r="C94" s="56">
        <f>IFERROR(_xlfn.XLOOKUP(ENTRADAS[[#This Row],[CODIGO]],LISTADO[CODIGOS],LISTADO[CATEGORIA]),"NO EXISTE")</f>
        <v/>
      </c>
      <c r="D94" s="56">
        <f>IFERROR(_xlfn.XLOOKUP(ENTRADAS[[#This Row],[CODIGO]],LISTADO[CODIGOS],LISTADO[PRODUCTOS]),"NO EXISTE")</f>
        <v/>
      </c>
      <c r="E94" s="19" t="n">
        <v>46065</v>
      </c>
      <c r="F94" s="18" t="n">
        <v>1</v>
      </c>
      <c r="G94" s="18" t="inlineStr">
        <is>
          <t>INVENTARIO</t>
        </is>
      </c>
      <c r="H94" s="18" t="n"/>
      <c r="I94" s="45" t="n"/>
      <c r="J94" s="77" t="n"/>
      <c r="K94" s="18" t="n"/>
    </row>
    <row r="95">
      <c r="A95" s="18" t="n">
        <v>49</v>
      </c>
      <c r="B95" s="56" t="inlineStr">
        <is>
          <t>00008-OFC</t>
        </is>
      </c>
      <c r="C95" s="56">
        <f>IFERROR(_xlfn.XLOOKUP(ENTRADAS[[#This Row],[CODIGO]],LISTADO[CODIGOS],LISTADO[CATEGORIA]),"NO EXISTE")</f>
        <v/>
      </c>
      <c r="D95" s="56">
        <f>IFERROR(_xlfn.XLOOKUP(ENTRADAS[[#This Row],[CODIGO]],LISTADO[CODIGOS],LISTADO[PRODUCTOS]),"NO EXISTE")</f>
        <v/>
      </c>
      <c r="E95" s="19" t="n">
        <v>46065</v>
      </c>
      <c r="F95" s="18" t="n">
        <v>7</v>
      </c>
      <c r="G95" s="18" t="inlineStr">
        <is>
          <t>INVENTARIO</t>
        </is>
      </c>
      <c r="H95" s="18" t="n"/>
      <c r="I95" s="45" t="n"/>
      <c r="J95" s="77" t="n"/>
      <c r="K95" s="18" t="n"/>
    </row>
    <row r="96">
      <c r="A96" s="18" t="n">
        <v>50</v>
      </c>
      <c r="B96" s="56" t="inlineStr">
        <is>
          <t>00017-REF</t>
        </is>
      </c>
      <c r="C96" s="56">
        <f>IFERROR(_xlfn.XLOOKUP(ENTRADAS[[#This Row],[CODIGO]],LISTADO[CODIGOS],LISTADO[CATEGORIA]),"NO EXISTE")</f>
        <v/>
      </c>
      <c r="D96" s="56">
        <f>IFERROR(_xlfn.XLOOKUP(ENTRADAS[[#This Row],[CODIGO]],LISTADO[CODIGOS],LISTADO[PRODUCTOS]),"NO EXISTE")</f>
        <v/>
      </c>
      <c r="E96" s="19" t="n">
        <v>46065</v>
      </c>
      <c r="F96" s="18" t="n">
        <v>3</v>
      </c>
      <c r="G96" s="18" t="inlineStr">
        <is>
          <t>INGRESO</t>
        </is>
      </c>
      <c r="H96" s="18" t="n"/>
      <c r="I96" s="45" t="n"/>
      <c r="J96" s="77" t="n"/>
      <c r="K96" s="18" t="n"/>
    </row>
    <row r="97">
      <c r="A97" s="18" t="n">
        <v>51</v>
      </c>
      <c r="B97" s="56" t="inlineStr">
        <is>
          <t>00023-FER</t>
        </is>
      </c>
      <c r="C97" s="56">
        <f>IFERROR(_xlfn.XLOOKUP(ENTRADAS[[#This Row],[CODIGO]],LISTADO[CODIGOS],LISTADO[CATEGORIA]),"NO EXISTE")</f>
        <v/>
      </c>
      <c r="D97" s="56">
        <f>IFERROR(_xlfn.XLOOKUP(ENTRADAS[[#This Row],[CODIGO]],LISTADO[CODIGOS],LISTADO[PRODUCTOS]),"NO EXISTE")</f>
        <v/>
      </c>
      <c r="E97" s="19" t="n">
        <v>46065</v>
      </c>
      <c r="F97" s="18" t="n">
        <v>40</v>
      </c>
      <c r="G97" s="18" t="inlineStr">
        <is>
          <t>INGRESO</t>
        </is>
      </c>
      <c r="H97" s="18" t="n"/>
      <c r="I97" s="45" t="n"/>
      <c r="J97" s="77" t="n"/>
      <c r="K97" s="18" t="n"/>
    </row>
    <row r="98">
      <c r="A98" s="18" t="n">
        <v>52</v>
      </c>
      <c r="B98" s="56" t="inlineStr">
        <is>
          <t>00015-REF</t>
        </is>
      </c>
      <c r="C98" s="56">
        <f>IFERROR(_xlfn.XLOOKUP(ENTRADAS[[#This Row],[CODIGO]],LISTADO[CODIGOS],LISTADO[CATEGORIA]),"NO EXISTE")</f>
        <v/>
      </c>
      <c r="D98" s="56">
        <f>IFERROR(_xlfn.XLOOKUP(ENTRADAS[[#This Row],[CODIGO]],LISTADO[CODIGOS],LISTADO[PRODUCTOS]),"NO EXISTE")</f>
        <v/>
      </c>
      <c r="E98" s="19" t="n">
        <v>46065</v>
      </c>
      <c r="F98" s="18" t="n">
        <v>1</v>
      </c>
      <c r="G98" s="18" t="inlineStr">
        <is>
          <t>INGRESO</t>
        </is>
      </c>
      <c r="H98" s="18" t="n"/>
      <c r="I98" s="45" t="n"/>
      <c r="J98" s="77" t="n"/>
      <c r="K98" s="18" t="n"/>
    </row>
    <row r="99">
      <c r="A99" s="18" t="n">
        <v>53</v>
      </c>
      <c r="B99" s="56" t="inlineStr">
        <is>
          <t>00002-ELE</t>
        </is>
      </c>
      <c r="C99" s="56">
        <f>IFERROR(_xlfn.XLOOKUP(ENTRADAS[[#This Row],[CODIGO]],LISTADO[CODIGOS],LISTADO[CATEGORIA]),"NO EXISTE")</f>
        <v/>
      </c>
      <c r="D99" s="56">
        <f>IFERROR(_xlfn.XLOOKUP(ENTRADAS[[#This Row],[CODIGO]],LISTADO[CODIGOS],LISTADO[PRODUCTOS]),"NO EXISTE")</f>
        <v/>
      </c>
      <c r="E99" s="19" t="n">
        <v>46065</v>
      </c>
      <c r="F99" s="18" t="n">
        <v>10</v>
      </c>
      <c r="G99" s="18" t="inlineStr">
        <is>
          <t>INGRESO</t>
        </is>
      </c>
      <c r="H99" s="18" t="n"/>
      <c r="I99" s="45" t="n"/>
      <c r="J99" s="77" t="n"/>
      <c r="K99" s="18" t="n"/>
    </row>
    <row r="100">
      <c r="A100" s="18" t="n">
        <v>54</v>
      </c>
      <c r="B100" s="56" t="inlineStr">
        <is>
          <t>00001-ELE</t>
        </is>
      </c>
      <c r="C100" s="56">
        <f>IFERROR(_xlfn.XLOOKUP(ENTRADAS[[#This Row],[CODIGO]],LISTADO[CODIGOS],LISTADO[CATEGORIA]),"NO EXISTE")</f>
        <v/>
      </c>
      <c r="D100" s="56">
        <f>IFERROR(_xlfn.XLOOKUP(ENTRADAS[[#This Row],[CODIGO]],LISTADO[CODIGOS],LISTADO[PRODUCTOS]),"NO EXISTE")</f>
        <v/>
      </c>
      <c r="E100" s="19" t="n">
        <v>46065</v>
      </c>
      <c r="F100" s="18" t="n">
        <v>9</v>
      </c>
      <c r="G100" s="18" t="inlineStr">
        <is>
          <t>INGRESO</t>
        </is>
      </c>
      <c r="H100" s="18" t="n"/>
      <c r="I100" s="45" t="n"/>
      <c r="J100" s="77" t="n"/>
      <c r="K100" s="18" t="n"/>
    </row>
    <row r="101">
      <c r="A101" s="18" t="n">
        <v>55</v>
      </c>
      <c r="B101" s="56" t="inlineStr">
        <is>
          <t>00058-FER</t>
        </is>
      </c>
      <c r="C101" s="56">
        <f>IFERROR(_xlfn.XLOOKUP(ENTRADAS[[#This Row],[CODIGO]],LISTADO[CODIGOS],LISTADO[CATEGORIA]),"NO EXISTE")</f>
        <v/>
      </c>
      <c r="D101" s="56">
        <f>IFERROR(_xlfn.XLOOKUP(ENTRADAS[[#This Row],[CODIGO]],LISTADO[CODIGOS],LISTADO[PRODUCTOS]),"NO EXISTE")</f>
        <v/>
      </c>
      <c r="E101" s="19" t="n">
        <v>46065</v>
      </c>
      <c r="F101" s="18" t="n">
        <v>1</v>
      </c>
      <c r="G101" s="18" t="inlineStr">
        <is>
          <t>INGRESO</t>
        </is>
      </c>
      <c r="H101" s="18" t="n"/>
      <c r="I101" s="45" t="n"/>
      <c r="J101" s="77" t="n"/>
      <c r="K101" s="18" t="n"/>
    </row>
    <row r="102">
      <c r="A102" s="18" t="n">
        <v>56</v>
      </c>
      <c r="B102" s="56" t="inlineStr">
        <is>
          <t>00007-FER</t>
        </is>
      </c>
      <c r="C102" s="56">
        <f>IFERROR(_xlfn.XLOOKUP(ENTRADAS[[#This Row],[CODIGO]],LISTADO[CODIGOS],LISTADO[CATEGORIA]),"NO EXISTE")</f>
        <v/>
      </c>
      <c r="D102" s="56">
        <f>IFERROR(_xlfn.XLOOKUP(ENTRADAS[[#This Row],[CODIGO]],LISTADO[CODIGOS],LISTADO[PRODUCTOS]),"NO EXISTE")</f>
        <v/>
      </c>
      <c r="E102" s="19" t="n">
        <v>46065</v>
      </c>
      <c r="F102" s="18" t="n">
        <v>1</v>
      </c>
      <c r="G102" s="18" t="inlineStr">
        <is>
          <t>INGRESO</t>
        </is>
      </c>
      <c r="H102" s="18" t="n"/>
      <c r="I102" s="45" t="n"/>
      <c r="J102" s="77" t="n"/>
      <c r="K102" s="18" t="n"/>
    </row>
    <row r="103">
      <c r="A103" s="18" t="n">
        <v>57</v>
      </c>
      <c r="B103" s="56" t="inlineStr">
        <is>
          <t>00069-FER</t>
        </is>
      </c>
      <c r="C103" s="56">
        <f>IFERROR(_xlfn.XLOOKUP(ENTRADAS[[#This Row],[CODIGO]],LISTADO[CODIGOS],LISTADO[CATEGORIA]),"NO EXISTE")</f>
        <v/>
      </c>
      <c r="D103" s="56">
        <f>IFERROR(_xlfn.XLOOKUP(ENTRADAS[[#This Row],[CODIGO]],LISTADO[CODIGOS],LISTADO[PRODUCTOS]),"NO EXISTE")</f>
        <v/>
      </c>
      <c r="E103" s="19" t="n">
        <v>46065</v>
      </c>
      <c r="F103" s="18" t="n">
        <v>1</v>
      </c>
      <c r="G103" s="18" t="inlineStr">
        <is>
          <t>INGRESO</t>
        </is>
      </c>
      <c r="H103" s="18" t="n"/>
      <c r="I103" s="45" t="n"/>
      <c r="J103" s="77" t="n"/>
      <c r="K103" s="18" t="n"/>
    </row>
    <row r="104">
      <c r="A104" s="18" t="n">
        <v>58</v>
      </c>
      <c r="B104" s="56" t="inlineStr">
        <is>
          <t>00072-HER</t>
        </is>
      </c>
      <c r="C104" s="56">
        <f>IFERROR(_xlfn.XLOOKUP(ENTRADAS[[#This Row],[CODIGO]],LISTADO[CODIGOS],LISTADO[CATEGORIA]),"NO EXISTE")</f>
        <v/>
      </c>
      <c r="D104" s="56">
        <f>IFERROR(_xlfn.XLOOKUP(ENTRADAS[[#This Row],[CODIGO]],LISTADO[CODIGOS],LISTADO[PRODUCTOS]),"NO EXISTE")</f>
        <v/>
      </c>
      <c r="E104" s="19" t="n">
        <v>46065</v>
      </c>
      <c r="F104" s="18" t="n">
        <v>1</v>
      </c>
      <c r="G104" s="18" t="inlineStr">
        <is>
          <t>INGRESO</t>
        </is>
      </c>
      <c r="H104" s="18" t="n"/>
      <c r="I104" s="45" t="n"/>
      <c r="J104" s="77" t="n"/>
      <c r="K104" s="18" t="n"/>
    </row>
    <row r="105">
      <c r="A105" s="18" t="n">
        <v>59</v>
      </c>
      <c r="B105" s="56" t="inlineStr">
        <is>
          <t>00012-HER</t>
        </is>
      </c>
      <c r="C105" s="56">
        <f>IFERROR(_xlfn.XLOOKUP(ENTRADAS[[#This Row],[CODIGO]],LISTADO[CODIGOS],LISTADO[CATEGORIA]),"NO EXISTE")</f>
        <v/>
      </c>
      <c r="D105" s="56">
        <f>IFERROR(_xlfn.XLOOKUP(ENTRADAS[[#This Row],[CODIGO]],LISTADO[CODIGOS],LISTADO[PRODUCTOS]),"NO EXISTE")</f>
        <v/>
      </c>
      <c r="E105" s="19" t="n">
        <v>46065</v>
      </c>
      <c r="F105" s="18" t="n">
        <v>1</v>
      </c>
      <c r="G105" s="18" t="inlineStr">
        <is>
          <t>INGRESO</t>
        </is>
      </c>
      <c r="H105" s="18" t="n"/>
      <c r="I105" s="45" t="n"/>
      <c r="J105" s="77" t="n"/>
      <c r="K105" s="18" t="n"/>
    </row>
    <row r="106">
      <c r="A106" s="18" t="n">
        <v>60</v>
      </c>
      <c r="B106" s="56" t="inlineStr">
        <is>
          <t>00012-REF</t>
        </is>
      </c>
      <c r="C106" s="56">
        <f>IFERROR(_xlfn.XLOOKUP(ENTRADAS[[#This Row],[CODIGO]],LISTADO[CODIGOS],LISTADO[CATEGORIA]),"NO EXISTE")</f>
        <v/>
      </c>
      <c r="D106" s="56">
        <f>IFERROR(_xlfn.XLOOKUP(ENTRADAS[[#This Row],[CODIGO]],LISTADO[CODIGOS],LISTADO[PRODUCTOS]),"NO EXISTE")</f>
        <v/>
      </c>
      <c r="E106" s="19" t="n">
        <v>46065</v>
      </c>
      <c r="F106" s="18" t="n">
        <v>1</v>
      </c>
      <c r="G106" s="18" t="inlineStr">
        <is>
          <t>INGRESO</t>
        </is>
      </c>
      <c r="H106" s="18" t="n"/>
      <c r="I106" s="45" t="n"/>
      <c r="J106" s="77" t="n"/>
      <c r="K106" s="18" t="n"/>
    </row>
    <row r="107">
      <c r="A107" s="18" t="n">
        <v>61</v>
      </c>
      <c r="B107" s="56" t="inlineStr">
        <is>
          <t>00009-REF</t>
        </is>
      </c>
      <c r="C107" s="56">
        <f>IFERROR(_xlfn.XLOOKUP(ENTRADAS[[#This Row],[CODIGO]],LISTADO[CODIGOS],LISTADO[CATEGORIA]),"NO EXISTE")</f>
        <v/>
      </c>
      <c r="D107" s="56">
        <f>IFERROR(_xlfn.XLOOKUP(ENTRADAS[[#This Row],[CODIGO]],LISTADO[CODIGOS],LISTADO[PRODUCTOS]),"NO EXISTE")</f>
        <v/>
      </c>
      <c r="E107" s="19" t="n">
        <v>46065</v>
      </c>
      <c r="F107" s="18" t="n">
        <v>1</v>
      </c>
      <c r="G107" s="18" t="inlineStr">
        <is>
          <t>INGRESO</t>
        </is>
      </c>
      <c r="H107" s="18" t="n"/>
      <c r="I107" s="45" t="n"/>
      <c r="J107" s="77" t="n"/>
      <c r="K107" s="18" t="n"/>
    </row>
    <row r="108">
      <c r="A108" s="18" t="n">
        <v>62</v>
      </c>
      <c r="B108" s="56" t="inlineStr">
        <is>
          <t>00067-FER</t>
        </is>
      </c>
      <c r="C108" s="56">
        <f>IFERROR(_xlfn.XLOOKUP(ENTRADAS[[#This Row],[CODIGO]],LISTADO[CODIGOS],LISTADO[CATEGORIA]),"NO EXISTE")</f>
        <v/>
      </c>
      <c r="D108" s="56">
        <f>IFERROR(_xlfn.XLOOKUP(ENTRADAS[[#This Row],[CODIGO]],LISTADO[CODIGOS],LISTADO[PRODUCTOS]),"NO EXISTE")</f>
        <v/>
      </c>
      <c r="E108" s="19" t="n">
        <v>46065</v>
      </c>
      <c r="F108" s="18" t="n">
        <v>14</v>
      </c>
      <c r="G108" s="18" t="inlineStr">
        <is>
          <t>INVENTARIO</t>
        </is>
      </c>
      <c r="H108" s="18" t="n"/>
      <c r="I108" s="45" t="n"/>
      <c r="J108" s="77" t="n"/>
      <c r="K108" s="18" t="n"/>
    </row>
    <row r="109">
      <c r="A109" s="18" t="n">
        <v>63</v>
      </c>
      <c r="B109" s="56" t="inlineStr">
        <is>
          <t>00059-FER</t>
        </is>
      </c>
      <c r="C109" s="56">
        <f>IFERROR(_xlfn.XLOOKUP(ENTRADAS[[#This Row],[CODIGO]],LISTADO[CODIGOS],LISTADO[CATEGORIA]),"NO EXISTE")</f>
        <v/>
      </c>
      <c r="D109" s="56">
        <f>IFERROR(_xlfn.XLOOKUP(ENTRADAS[[#This Row],[CODIGO]],LISTADO[CODIGOS],LISTADO[PRODUCTOS]),"NO EXISTE")</f>
        <v/>
      </c>
      <c r="E109" s="19" t="n">
        <v>46065</v>
      </c>
      <c r="F109" s="18" t="n">
        <v>1</v>
      </c>
      <c r="G109" s="18" t="inlineStr">
        <is>
          <t>INVENTARIO</t>
        </is>
      </c>
      <c r="H109" s="18" t="n"/>
      <c r="I109" s="45" t="n"/>
      <c r="J109" s="77" t="n"/>
      <c r="K109" s="18" t="n"/>
    </row>
    <row r="110">
      <c r="A110" s="18" t="n">
        <v>64</v>
      </c>
      <c r="B110" s="56" t="inlineStr">
        <is>
          <t>00063-FER</t>
        </is>
      </c>
      <c r="C110" s="56">
        <f>IFERROR(_xlfn.XLOOKUP(ENTRADAS[[#This Row],[CODIGO]],LISTADO[CODIGOS],LISTADO[CATEGORIA]),"NO EXISTE")</f>
        <v/>
      </c>
      <c r="D110" s="56">
        <f>IFERROR(_xlfn.XLOOKUP(ENTRADAS[[#This Row],[CODIGO]],LISTADO[CODIGOS],LISTADO[PRODUCTOS]),"NO EXISTE")</f>
        <v/>
      </c>
      <c r="E110" s="19" t="n">
        <v>46065</v>
      </c>
      <c r="F110" s="18" t="n">
        <v>7</v>
      </c>
      <c r="G110" s="18" t="inlineStr">
        <is>
          <t>INVENTARIO</t>
        </is>
      </c>
      <c r="H110" s="18" t="n"/>
      <c r="I110" s="45" t="n"/>
      <c r="J110" s="77" t="n"/>
      <c r="K110" s="18" t="n"/>
    </row>
    <row r="111">
      <c r="A111" s="18" t="n">
        <v>65</v>
      </c>
      <c r="B111" s="56" t="inlineStr">
        <is>
          <t>00060-FER</t>
        </is>
      </c>
      <c r="C111" s="56">
        <f>IFERROR(_xlfn.XLOOKUP(ENTRADAS[[#This Row],[CODIGO]],LISTADO[CODIGOS],LISTADO[CATEGORIA]),"NO EXISTE")</f>
        <v/>
      </c>
      <c r="D111" s="56">
        <f>IFERROR(_xlfn.XLOOKUP(ENTRADAS[[#This Row],[CODIGO]],LISTADO[CODIGOS],LISTADO[PRODUCTOS]),"NO EXISTE")</f>
        <v/>
      </c>
      <c r="E111" s="19" t="n">
        <v>46065</v>
      </c>
      <c r="F111" s="18" t="n">
        <v>4</v>
      </c>
      <c r="G111" s="18" t="inlineStr">
        <is>
          <t>INVENTARIO</t>
        </is>
      </c>
      <c r="H111" s="18" t="n"/>
      <c r="I111" s="45" t="n"/>
      <c r="J111" s="77" t="n"/>
      <c r="K111" s="18" t="n"/>
    </row>
    <row r="112">
      <c r="A112" s="18" t="n">
        <v>66</v>
      </c>
      <c r="B112" s="56" t="inlineStr">
        <is>
          <t>00065-FER</t>
        </is>
      </c>
      <c r="C112" s="56">
        <f>IFERROR(_xlfn.XLOOKUP(ENTRADAS[[#This Row],[CODIGO]],LISTADO[CODIGOS],LISTADO[CATEGORIA]),"NO EXISTE")</f>
        <v/>
      </c>
      <c r="D112" s="56">
        <f>IFERROR(_xlfn.XLOOKUP(ENTRADAS[[#This Row],[CODIGO]],LISTADO[CODIGOS],LISTADO[PRODUCTOS]),"NO EXISTE")</f>
        <v/>
      </c>
      <c r="E112" s="19" t="n">
        <v>46065</v>
      </c>
      <c r="F112" s="18" t="n">
        <v>1</v>
      </c>
      <c r="G112" s="18" t="inlineStr">
        <is>
          <t>INVENTARIO</t>
        </is>
      </c>
      <c r="H112" s="18" t="n"/>
      <c r="I112" s="45" t="n"/>
      <c r="J112" s="77" t="n"/>
      <c r="K112" s="18" t="n"/>
    </row>
    <row r="113">
      <c r="A113" s="18" t="n">
        <v>67</v>
      </c>
      <c r="B113" s="56" t="inlineStr">
        <is>
          <t>00061-FER</t>
        </is>
      </c>
      <c r="C113" s="56">
        <f>IFERROR(_xlfn.XLOOKUP(ENTRADAS[[#This Row],[CODIGO]],LISTADO[CODIGOS],LISTADO[CATEGORIA]),"NO EXISTE")</f>
        <v/>
      </c>
      <c r="D113" s="56">
        <f>IFERROR(_xlfn.XLOOKUP(ENTRADAS[[#This Row],[CODIGO]],LISTADO[CODIGOS],LISTADO[PRODUCTOS]),"NO EXISTE")</f>
        <v/>
      </c>
      <c r="E113" s="19" t="n">
        <v>46065</v>
      </c>
      <c r="F113" s="18" t="n">
        <v>2</v>
      </c>
      <c r="G113" s="18" t="inlineStr">
        <is>
          <t>INVENTARIO</t>
        </is>
      </c>
      <c r="H113" s="18" t="n"/>
      <c r="I113" s="45" t="n"/>
      <c r="J113" s="77" t="n"/>
      <c r="K113" s="18" t="n"/>
    </row>
    <row r="114">
      <c r="A114" s="18" t="n">
        <v>68</v>
      </c>
      <c r="B114" s="56" t="inlineStr">
        <is>
          <t>00062-FER</t>
        </is>
      </c>
      <c r="C114" s="56">
        <f>IFERROR(_xlfn.XLOOKUP(ENTRADAS[[#This Row],[CODIGO]],LISTADO[CODIGOS],LISTADO[CATEGORIA]),"NO EXISTE")</f>
        <v/>
      </c>
      <c r="D114" s="56">
        <f>IFERROR(_xlfn.XLOOKUP(ENTRADAS[[#This Row],[CODIGO]],LISTADO[CODIGOS],LISTADO[PRODUCTOS]),"NO EXISTE")</f>
        <v/>
      </c>
      <c r="E114" s="19" t="n">
        <v>46065</v>
      </c>
      <c r="F114" s="18" t="n">
        <v>2</v>
      </c>
      <c r="G114" s="18" t="inlineStr">
        <is>
          <t>INVENTARIO</t>
        </is>
      </c>
      <c r="H114" s="18" t="n"/>
      <c r="I114" s="45" t="n"/>
      <c r="J114" s="77" t="n"/>
      <c r="K114" s="18" t="n"/>
    </row>
    <row r="115">
      <c r="A115" s="18" t="n">
        <v>69</v>
      </c>
      <c r="B115" s="56" t="inlineStr">
        <is>
          <t>00066-FER</t>
        </is>
      </c>
      <c r="C115" s="56">
        <f>IFERROR(_xlfn.XLOOKUP(ENTRADAS[[#This Row],[CODIGO]],LISTADO[CODIGOS],LISTADO[CATEGORIA]),"NO EXISTE")</f>
        <v/>
      </c>
      <c r="D115" s="56">
        <f>IFERROR(_xlfn.XLOOKUP(ENTRADAS[[#This Row],[CODIGO]],LISTADO[CODIGOS],LISTADO[PRODUCTOS]),"NO EXISTE")</f>
        <v/>
      </c>
      <c r="E115" s="19" t="n">
        <v>46065</v>
      </c>
      <c r="F115" s="18" t="n">
        <v>1</v>
      </c>
      <c r="G115" s="18" t="inlineStr">
        <is>
          <t>INVENTARIO</t>
        </is>
      </c>
      <c r="H115" s="18" t="n"/>
      <c r="I115" s="45" t="n"/>
      <c r="J115" s="77" t="n"/>
      <c r="K115" s="18" t="n"/>
    </row>
    <row r="116">
      <c r="A116" s="18" t="n">
        <v>70</v>
      </c>
      <c r="B116" s="56" t="inlineStr">
        <is>
          <t>00064-FER</t>
        </is>
      </c>
      <c r="C116" s="56">
        <f>IFERROR(_xlfn.XLOOKUP(ENTRADAS[[#This Row],[CODIGO]],LISTADO[CODIGOS],LISTADO[CATEGORIA]),"NO EXISTE")</f>
        <v/>
      </c>
      <c r="D116" s="56">
        <f>IFERROR(_xlfn.XLOOKUP(ENTRADAS[[#This Row],[CODIGO]],LISTADO[CODIGOS],LISTADO[PRODUCTOS]),"NO EXISTE")</f>
        <v/>
      </c>
      <c r="E116" s="19" t="n">
        <v>46065</v>
      </c>
      <c r="F116" s="18" t="n">
        <v>2</v>
      </c>
      <c r="G116" s="18" t="inlineStr">
        <is>
          <t>INVENTARIO</t>
        </is>
      </c>
      <c r="H116" s="18" t="n"/>
      <c r="I116" s="45" t="n"/>
      <c r="J116" s="77" t="n"/>
      <c r="K116" s="18" t="n"/>
    </row>
    <row r="117">
      <c r="A117" s="18" t="n">
        <v>71</v>
      </c>
      <c r="B117" s="56" t="inlineStr">
        <is>
          <t>00008-ELC</t>
        </is>
      </c>
      <c r="C117" s="56">
        <f>IFERROR(_xlfn.XLOOKUP(ENTRADAS[[#This Row],[CODIGO]],LISTADO[CODIGOS],LISTADO[CATEGORIA]),"NO EXISTE")</f>
        <v/>
      </c>
      <c r="D117" s="56">
        <f>IFERROR(_xlfn.XLOOKUP(ENTRADAS[[#This Row],[CODIGO]],LISTADO[CODIGOS],LISTADO[PRODUCTOS]),"NO EXISTE")</f>
        <v/>
      </c>
      <c r="E117" s="19" t="n">
        <v>46065</v>
      </c>
      <c r="F117" s="18" t="n">
        <v>39</v>
      </c>
      <c r="G117" s="18" t="inlineStr">
        <is>
          <t>INVENTARIO</t>
        </is>
      </c>
      <c r="H117" s="18" t="n"/>
      <c r="I117" s="45" t="n"/>
      <c r="J117" s="77" t="n"/>
      <c r="K117" s="18" t="n"/>
    </row>
    <row r="118">
      <c r="A118" s="18" t="n">
        <v>72</v>
      </c>
      <c r="B118" s="56" t="inlineStr">
        <is>
          <t>00007-ELC</t>
        </is>
      </c>
      <c r="C118" s="56">
        <f>IFERROR(_xlfn.XLOOKUP(ENTRADAS[[#This Row],[CODIGO]],LISTADO[CODIGOS],LISTADO[CATEGORIA]),"NO EXISTE")</f>
        <v/>
      </c>
      <c r="D118" s="56">
        <f>IFERROR(_xlfn.XLOOKUP(ENTRADAS[[#This Row],[CODIGO]],LISTADO[CODIGOS],LISTADO[PRODUCTOS]),"NO EXISTE")</f>
        <v/>
      </c>
      <c r="E118" s="19" t="n">
        <v>46065</v>
      </c>
      <c r="F118" s="18" t="n">
        <v>2</v>
      </c>
      <c r="G118" s="18" t="inlineStr">
        <is>
          <t>INVENTARIO</t>
        </is>
      </c>
      <c r="H118" s="18" t="n"/>
      <c r="I118" s="45" t="n"/>
      <c r="J118" s="77" t="n"/>
      <c r="K118" s="18" t="n"/>
    </row>
    <row r="119">
      <c r="A119" s="18" t="n">
        <v>73</v>
      </c>
      <c r="B119" s="56" t="inlineStr">
        <is>
          <t>00002-MSC</t>
        </is>
      </c>
      <c r="C119" s="56">
        <f>IFERROR(_xlfn.XLOOKUP(ENTRADAS[[#This Row],[CODIGO]],LISTADO[CODIGOS],LISTADO[CATEGORIA]),"NO EXISTE")</f>
        <v/>
      </c>
      <c r="D119" s="56">
        <f>IFERROR(_xlfn.XLOOKUP(ENTRADAS[[#This Row],[CODIGO]],LISTADO[CODIGOS],LISTADO[PRODUCTOS]),"NO EXISTE")</f>
        <v/>
      </c>
      <c r="E119" s="19" t="n">
        <v>46065</v>
      </c>
      <c r="F119" s="18" t="n">
        <v>2</v>
      </c>
      <c r="G119" s="18" t="inlineStr">
        <is>
          <t>INVENTARIO</t>
        </is>
      </c>
      <c r="H119" s="18" t="n"/>
      <c r="I119" s="45" t="n"/>
      <c r="J119" s="77" t="n"/>
      <c r="K119" s="18" t="n"/>
    </row>
    <row r="120">
      <c r="A120" s="18" t="n">
        <v>74</v>
      </c>
      <c r="B120" s="56" t="inlineStr">
        <is>
          <t>00005-MSC</t>
        </is>
      </c>
      <c r="C120" s="56">
        <f>IFERROR(_xlfn.XLOOKUP(ENTRADAS[[#This Row],[CODIGO]],LISTADO[CODIGOS],LISTADO[CATEGORIA]),"NO EXISTE")</f>
        <v/>
      </c>
      <c r="D120" s="56">
        <f>IFERROR(_xlfn.XLOOKUP(ENTRADAS[[#This Row],[CODIGO]],LISTADO[CODIGOS],LISTADO[PRODUCTOS]),"NO EXISTE")</f>
        <v/>
      </c>
      <c r="E120" s="19" t="n">
        <v>46065</v>
      </c>
      <c r="F120" s="18" t="n">
        <v>5</v>
      </c>
      <c r="G120" s="18" t="inlineStr">
        <is>
          <t>INVENTARIO</t>
        </is>
      </c>
      <c r="H120" s="18" t="n"/>
      <c r="I120" s="45" t="n"/>
      <c r="J120" s="77" t="n"/>
      <c r="K120" s="18" t="n"/>
    </row>
    <row r="121">
      <c r="A121" s="18" t="n">
        <v>75</v>
      </c>
      <c r="B121" s="56" t="inlineStr">
        <is>
          <t>00025-ILU</t>
        </is>
      </c>
      <c r="C121" s="56">
        <f>IFERROR(_xlfn.XLOOKUP(ENTRADAS[[#This Row],[CODIGO]],LISTADO[CODIGOS],LISTADO[CATEGORIA]),"NO EXISTE")</f>
        <v/>
      </c>
      <c r="D121" s="56">
        <f>IFERROR(_xlfn.XLOOKUP(ENTRADAS[[#This Row],[CODIGO]],LISTADO[CODIGOS],LISTADO[PRODUCTOS]),"NO EXISTE")</f>
        <v/>
      </c>
      <c r="E121" s="19" t="n">
        <v>46065</v>
      </c>
      <c r="F121" s="18" t="n">
        <v>2</v>
      </c>
      <c r="G121" s="18" t="inlineStr">
        <is>
          <t>INVENTARIO</t>
        </is>
      </c>
      <c r="H121" s="18" t="n"/>
      <c r="I121" s="45" t="n"/>
      <c r="J121" s="77" t="n"/>
      <c r="K121" s="18" t="n"/>
    </row>
    <row r="122">
      <c r="A122" s="18" t="n">
        <v>76</v>
      </c>
      <c r="B122" s="56" t="inlineStr">
        <is>
          <t>00052-HER</t>
        </is>
      </c>
      <c r="C122" s="56">
        <f>IFERROR(_xlfn.XLOOKUP(ENTRADAS[[#This Row],[CODIGO]],LISTADO[CODIGOS],LISTADO[CATEGORIA]),"NO EXISTE")</f>
        <v/>
      </c>
      <c r="D122" s="56">
        <f>IFERROR(_xlfn.XLOOKUP(ENTRADAS[[#This Row],[CODIGO]],LISTADO[CODIGOS],LISTADO[PRODUCTOS]),"NO EXISTE")</f>
        <v/>
      </c>
      <c r="E122" s="19" t="n">
        <v>46065</v>
      </c>
      <c r="F122" s="18" t="n">
        <v>1</v>
      </c>
      <c r="G122" s="18" t="inlineStr">
        <is>
          <t>INVENTARIO</t>
        </is>
      </c>
      <c r="H122" s="18" t="n"/>
      <c r="I122" s="45" t="n"/>
      <c r="J122" s="77" t="n"/>
      <c r="K122" s="18" t="n"/>
    </row>
    <row r="123">
      <c r="A123" s="18" t="n">
        <v>77</v>
      </c>
      <c r="B123" s="56" t="inlineStr">
        <is>
          <t>00005-ELC</t>
        </is>
      </c>
      <c r="C123" s="56">
        <f>IFERROR(_xlfn.XLOOKUP(ENTRADAS[[#This Row],[CODIGO]],LISTADO[CODIGOS],LISTADO[CATEGORIA]),"NO EXISTE")</f>
        <v/>
      </c>
      <c r="D123" s="56">
        <f>IFERROR(_xlfn.XLOOKUP(ENTRADAS[[#This Row],[CODIGO]],LISTADO[CODIGOS],LISTADO[PRODUCTOS]),"NO EXISTE")</f>
        <v/>
      </c>
      <c r="E123" s="19" t="n">
        <v>46065</v>
      </c>
      <c r="F123" s="18" t="n">
        <v>2</v>
      </c>
      <c r="G123" s="18" t="inlineStr">
        <is>
          <t>INVENTARIO</t>
        </is>
      </c>
      <c r="H123" s="18" t="n"/>
      <c r="I123" s="45" t="n"/>
      <c r="J123" s="77" t="n"/>
      <c r="K123" s="18" t="n"/>
    </row>
    <row r="124">
      <c r="A124" s="18" t="n">
        <v>78</v>
      </c>
      <c r="B124" s="56" t="inlineStr">
        <is>
          <t>00006-ELC</t>
        </is>
      </c>
      <c r="C124" s="56">
        <f>IFERROR(_xlfn.XLOOKUP(ENTRADAS[[#This Row],[CODIGO]],LISTADO[CODIGOS],LISTADO[CATEGORIA]),"NO EXISTE")</f>
        <v/>
      </c>
      <c r="D124" s="56">
        <f>IFERROR(_xlfn.XLOOKUP(ENTRADAS[[#This Row],[CODIGO]],LISTADO[CODIGOS],LISTADO[PRODUCTOS]),"NO EXISTE")</f>
        <v/>
      </c>
      <c r="E124" s="19" t="n">
        <v>46065</v>
      </c>
      <c r="F124" s="18" t="n">
        <v>1</v>
      </c>
      <c r="G124" s="18" t="inlineStr">
        <is>
          <t>INVENTARIO</t>
        </is>
      </c>
      <c r="H124" s="18" t="n"/>
      <c r="I124" s="45" t="n"/>
      <c r="J124" s="77" t="n"/>
      <c r="K124" s="18" t="n"/>
    </row>
    <row r="125">
      <c r="A125" s="18" t="n">
        <v>79</v>
      </c>
      <c r="B125" s="56" t="inlineStr">
        <is>
          <t>00004-MSC</t>
        </is>
      </c>
      <c r="C125" s="56">
        <f>IFERROR(_xlfn.XLOOKUP(ENTRADAS[[#This Row],[CODIGO]],LISTADO[CODIGOS],LISTADO[CATEGORIA]),"NO EXISTE")</f>
        <v/>
      </c>
      <c r="D125" s="56">
        <f>IFERROR(_xlfn.XLOOKUP(ENTRADAS[[#This Row],[CODIGO]],LISTADO[CODIGOS],LISTADO[PRODUCTOS]),"NO EXISTE")</f>
        <v/>
      </c>
      <c r="E125" s="19" t="n">
        <v>46065</v>
      </c>
      <c r="F125" s="18" t="n">
        <v>1</v>
      </c>
      <c r="G125" s="18" t="inlineStr">
        <is>
          <t>INVENTARIO</t>
        </is>
      </c>
      <c r="H125" s="18" t="n"/>
      <c r="I125" s="45" t="n"/>
      <c r="J125" s="77" t="n"/>
      <c r="K125" s="18" t="n"/>
    </row>
    <row r="126">
      <c r="A126" s="18" t="n">
        <v>80</v>
      </c>
      <c r="B126" s="56" t="inlineStr">
        <is>
          <t>00010-MSC</t>
        </is>
      </c>
      <c r="C126" s="56">
        <f>IFERROR(_xlfn.XLOOKUP(ENTRADAS[[#This Row],[CODIGO]],LISTADO[CODIGOS],LISTADO[CATEGORIA]),"NO EXISTE")</f>
        <v/>
      </c>
      <c r="D126" s="56">
        <f>IFERROR(_xlfn.XLOOKUP(ENTRADAS[[#This Row],[CODIGO]],LISTADO[CODIGOS],LISTADO[PRODUCTOS]),"NO EXISTE")</f>
        <v/>
      </c>
      <c r="E126" s="19" t="n">
        <v>46065</v>
      </c>
      <c r="F126" s="18" t="n">
        <v>3</v>
      </c>
      <c r="G126" s="18" t="inlineStr">
        <is>
          <t>INVENTARIO</t>
        </is>
      </c>
      <c r="H126" s="18" t="n"/>
      <c r="I126" s="45" t="n"/>
      <c r="J126" s="77" t="n"/>
      <c r="K126" s="18" t="n"/>
    </row>
    <row r="127">
      <c r="A127" s="18" t="n">
        <v>81</v>
      </c>
      <c r="B127" s="56" t="inlineStr">
        <is>
          <t>00009-MSC</t>
        </is>
      </c>
      <c r="C127" s="56">
        <f>IFERROR(_xlfn.XLOOKUP(ENTRADAS[[#This Row],[CODIGO]],LISTADO[CODIGOS],LISTADO[CATEGORIA]),"NO EXISTE")</f>
        <v/>
      </c>
      <c r="D127" s="56">
        <f>IFERROR(_xlfn.XLOOKUP(ENTRADAS[[#This Row],[CODIGO]],LISTADO[CODIGOS],LISTADO[PRODUCTOS]),"NO EXISTE")</f>
        <v/>
      </c>
      <c r="E127" s="19" t="n">
        <v>46065</v>
      </c>
      <c r="F127" s="18" t="n">
        <v>7</v>
      </c>
      <c r="G127" s="18" t="inlineStr">
        <is>
          <t>INVENTARIO</t>
        </is>
      </c>
      <c r="H127" s="18" t="n"/>
      <c r="I127" s="45" t="n"/>
      <c r="J127" s="77" t="n"/>
      <c r="K127" s="18" t="n"/>
    </row>
    <row r="128">
      <c r="A128" s="18" t="n">
        <v>82</v>
      </c>
      <c r="B128" s="56" t="inlineStr">
        <is>
          <t>00012-MSC</t>
        </is>
      </c>
      <c r="C128" s="56">
        <f>IFERROR(_xlfn.XLOOKUP(ENTRADAS[[#This Row],[CODIGO]],LISTADO[CODIGOS],LISTADO[CATEGORIA]),"NO EXISTE")</f>
        <v/>
      </c>
      <c r="D128" s="56">
        <f>IFERROR(_xlfn.XLOOKUP(ENTRADAS[[#This Row],[CODIGO]],LISTADO[CODIGOS],LISTADO[PRODUCTOS]),"NO EXISTE")</f>
        <v/>
      </c>
      <c r="E128" s="19" t="n">
        <v>46065</v>
      </c>
      <c r="F128" s="18" t="n">
        <v>3</v>
      </c>
      <c r="G128" s="18" t="inlineStr">
        <is>
          <t>INVENTARIO</t>
        </is>
      </c>
      <c r="H128" s="18" t="n"/>
      <c r="I128" s="45" t="n"/>
      <c r="J128" s="77" t="n"/>
      <c r="K128" s="18" t="n"/>
    </row>
    <row r="129">
      <c r="A129" s="18" t="n">
        <v>83</v>
      </c>
      <c r="B129" s="56" t="inlineStr">
        <is>
          <t>00011-MSC</t>
        </is>
      </c>
      <c r="C129" s="56">
        <f>IFERROR(_xlfn.XLOOKUP(ENTRADAS[[#This Row],[CODIGO]],LISTADO[CODIGOS],LISTADO[CATEGORIA]),"NO EXISTE")</f>
        <v/>
      </c>
      <c r="D129" s="56">
        <f>IFERROR(_xlfn.XLOOKUP(ENTRADAS[[#This Row],[CODIGO]],LISTADO[CODIGOS],LISTADO[PRODUCTOS]),"NO EXISTE")</f>
        <v/>
      </c>
      <c r="E129" s="19" t="n">
        <v>46065</v>
      </c>
      <c r="F129" s="18" t="n">
        <v>4</v>
      </c>
      <c r="G129" s="18" t="inlineStr">
        <is>
          <t>INVENTARIO</t>
        </is>
      </c>
      <c r="H129" s="18" t="n"/>
      <c r="I129" s="45" t="n"/>
      <c r="J129" s="77" t="n"/>
      <c r="K129" s="18" t="n"/>
    </row>
    <row r="130">
      <c r="A130" s="18" t="n">
        <v>84</v>
      </c>
      <c r="B130" s="56" t="inlineStr">
        <is>
          <t>00004-HER</t>
        </is>
      </c>
      <c r="C130" s="56">
        <f>IFERROR(_xlfn.XLOOKUP(ENTRADAS[[#This Row],[CODIGO]],LISTADO[CODIGOS],LISTADO[CATEGORIA]),"NO EXISTE")</f>
        <v/>
      </c>
      <c r="D130" s="56">
        <f>IFERROR(_xlfn.XLOOKUP(ENTRADAS[[#This Row],[CODIGO]],LISTADO[CODIGOS],LISTADO[PRODUCTOS]),"NO EXISTE")</f>
        <v/>
      </c>
      <c r="E130" s="19" t="n">
        <v>46065</v>
      </c>
      <c r="F130" s="18" t="n">
        <v>1</v>
      </c>
      <c r="G130" s="18" t="inlineStr">
        <is>
          <t>INVENTARIO</t>
        </is>
      </c>
      <c r="H130" s="18" t="n"/>
      <c r="I130" s="45" t="n"/>
      <c r="J130" s="77" t="n"/>
      <c r="K130" s="18" t="n"/>
    </row>
    <row r="131">
      <c r="A131" s="18" t="n">
        <v>85</v>
      </c>
      <c r="B131" s="56" t="inlineStr">
        <is>
          <t>00008-MSC</t>
        </is>
      </c>
      <c r="C131" s="56">
        <f>IFERROR(_xlfn.XLOOKUP(ENTRADAS[[#This Row],[CODIGO]],LISTADO[CODIGOS],LISTADO[CATEGORIA]),"NO EXISTE")</f>
        <v/>
      </c>
      <c r="D131" s="56">
        <f>IFERROR(_xlfn.XLOOKUP(ENTRADAS[[#This Row],[CODIGO]],LISTADO[CODIGOS],LISTADO[PRODUCTOS]),"NO EXISTE")</f>
        <v/>
      </c>
      <c r="E131" s="19" t="n">
        <v>46065</v>
      </c>
      <c r="F131" s="18" t="n">
        <v>3</v>
      </c>
      <c r="G131" s="18" t="inlineStr">
        <is>
          <t>INVENTARIO</t>
        </is>
      </c>
      <c r="H131" s="18" t="n"/>
      <c r="I131" s="45" t="n"/>
      <c r="J131" s="77" t="n"/>
      <c r="K131" s="18" t="n"/>
    </row>
    <row r="132">
      <c r="A132" s="18" t="n">
        <v>86</v>
      </c>
      <c r="B132" s="56" t="inlineStr">
        <is>
          <t>00012-ELC</t>
        </is>
      </c>
      <c r="C132" s="56">
        <f>IFERROR(_xlfn.XLOOKUP(ENTRADAS[[#This Row],[CODIGO]],LISTADO[CODIGOS],LISTADO[CATEGORIA]),"NO EXISTE")</f>
        <v/>
      </c>
      <c r="D132" s="56">
        <f>IFERROR(_xlfn.XLOOKUP(ENTRADAS[[#This Row],[CODIGO]],LISTADO[CODIGOS],LISTADO[PRODUCTOS]),"NO EXISTE")</f>
        <v/>
      </c>
      <c r="E132" s="19" t="n">
        <v>46065</v>
      </c>
      <c r="F132" s="18" t="n">
        <v>2</v>
      </c>
      <c r="G132" s="18" t="inlineStr">
        <is>
          <t>INVENTARIO</t>
        </is>
      </c>
      <c r="H132" s="18" t="n"/>
      <c r="I132" s="45" t="n"/>
      <c r="J132" s="77" t="n"/>
      <c r="K132" s="18" t="n"/>
    </row>
    <row r="133">
      <c r="A133" s="18" t="n">
        <v>87</v>
      </c>
      <c r="B133" s="56" t="inlineStr">
        <is>
          <t>00028-ELE</t>
        </is>
      </c>
      <c r="C133" s="56">
        <f>IFERROR(_xlfn.XLOOKUP(ENTRADAS[[#This Row],[CODIGO]],LISTADO[CODIGOS],LISTADO[CATEGORIA]),"NO EXISTE")</f>
        <v/>
      </c>
      <c r="D133" s="56">
        <f>IFERROR(_xlfn.XLOOKUP(ENTRADAS[[#This Row],[CODIGO]],LISTADO[CODIGOS],LISTADO[PRODUCTOS]),"NO EXISTE")</f>
        <v/>
      </c>
      <c r="E133" s="19" t="n">
        <v>46065</v>
      </c>
      <c r="F133" s="18" t="n">
        <v>27</v>
      </c>
      <c r="G133" s="18" t="inlineStr">
        <is>
          <t>INVENTARIO</t>
        </is>
      </c>
      <c r="H133" s="18" t="n"/>
      <c r="I133" s="45" t="n"/>
      <c r="J133" s="77" t="n"/>
      <c r="K133" s="18" t="n"/>
    </row>
    <row r="134">
      <c r="A134" s="18" t="n">
        <v>88</v>
      </c>
      <c r="B134" s="56" t="inlineStr">
        <is>
          <t>00029-ELE</t>
        </is>
      </c>
      <c r="C134" s="56">
        <f>IFERROR(_xlfn.XLOOKUP(ENTRADAS[[#This Row],[CODIGO]],LISTADO[CODIGOS],LISTADO[CATEGORIA]),"NO EXISTE")</f>
        <v/>
      </c>
      <c r="D134" s="56">
        <f>IFERROR(_xlfn.XLOOKUP(ENTRADAS[[#This Row],[CODIGO]],LISTADO[CODIGOS],LISTADO[PRODUCTOS]),"NO EXISTE")</f>
        <v/>
      </c>
      <c r="E134" s="19" t="n">
        <v>46065</v>
      </c>
      <c r="F134" s="18" t="n">
        <v>30</v>
      </c>
      <c r="G134" s="18" t="inlineStr">
        <is>
          <t>INVENTARIO</t>
        </is>
      </c>
      <c r="H134" s="18" t="n"/>
      <c r="I134" s="45" t="n"/>
      <c r="J134" s="77" t="n"/>
      <c r="K134" s="18" t="n"/>
    </row>
    <row r="135">
      <c r="A135" s="18" t="n">
        <v>89</v>
      </c>
      <c r="B135" s="56" t="inlineStr">
        <is>
          <t>00030-ELE</t>
        </is>
      </c>
      <c r="C135" s="56">
        <f>IFERROR(_xlfn.XLOOKUP(ENTRADAS[[#This Row],[CODIGO]],LISTADO[CODIGOS],LISTADO[CATEGORIA]),"NO EXISTE")</f>
        <v/>
      </c>
      <c r="D135" s="56">
        <f>IFERROR(_xlfn.XLOOKUP(ENTRADAS[[#This Row],[CODIGO]],LISTADO[CODIGOS],LISTADO[PRODUCTOS]),"NO EXISTE")</f>
        <v/>
      </c>
      <c r="E135" s="19" t="n">
        <v>46065</v>
      </c>
      <c r="F135" s="18" t="n">
        <v>48</v>
      </c>
      <c r="G135" s="18" t="inlineStr">
        <is>
          <t>INVENTARIO</t>
        </is>
      </c>
      <c r="H135" s="18" t="n"/>
      <c r="I135" s="45" t="n"/>
      <c r="J135" s="77" t="n"/>
      <c r="K135" s="18" t="n"/>
    </row>
    <row r="136">
      <c r="A136" s="18" t="n">
        <v>90</v>
      </c>
      <c r="B136" s="56" t="inlineStr">
        <is>
          <t>00033-ELE</t>
        </is>
      </c>
      <c r="C136" s="56">
        <f>IFERROR(_xlfn.XLOOKUP(ENTRADAS[[#This Row],[CODIGO]],LISTADO[CODIGOS],LISTADO[CATEGORIA]),"NO EXISTE")</f>
        <v/>
      </c>
      <c r="D136" s="56">
        <f>IFERROR(_xlfn.XLOOKUP(ENTRADAS[[#This Row],[CODIGO]],LISTADO[CODIGOS],LISTADO[PRODUCTOS]),"NO EXISTE")</f>
        <v/>
      </c>
      <c r="E136" s="19" t="n">
        <v>46065</v>
      </c>
      <c r="F136" s="18" t="n">
        <v>14</v>
      </c>
      <c r="G136" s="18" t="inlineStr">
        <is>
          <t>INVENTARIO</t>
        </is>
      </c>
      <c r="H136" s="18" t="n"/>
      <c r="I136" s="45" t="n"/>
      <c r="J136" s="77" t="n"/>
      <c r="K136" s="18" t="n"/>
    </row>
    <row r="137">
      <c r="A137" s="18" t="n">
        <v>91</v>
      </c>
      <c r="B137" s="56" t="inlineStr">
        <is>
          <t>00035-ELE</t>
        </is>
      </c>
      <c r="C137" s="56">
        <f>IFERROR(_xlfn.XLOOKUP(ENTRADAS[[#This Row],[CODIGO]],LISTADO[CODIGOS],LISTADO[CATEGORIA]),"NO EXISTE")</f>
        <v/>
      </c>
      <c r="D137" s="56">
        <f>IFERROR(_xlfn.XLOOKUP(ENTRADAS[[#This Row],[CODIGO]],LISTADO[CODIGOS],LISTADO[PRODUCTOS]),"NO EXISTE")</f>
        <v/>
      </c>
      <c r="E137" s="19" t="n">
        <v>46065</v>
      </c>
      <c r="F137" s="18" t="n">
        <v>5</v>
      </c>
      <c r="G137" s="18" t="inlineStr">
        <is>
          <t>INVENTARIO</t>
        </is>
      </c>
      <c r="H137" s="18" t="n"/>
      <c r="I137" s="45" t="n"/>
      <c r="J137" s="77" t="n"/>
      <c r="K137" s="18" t="n"/>
    </row>
    <row r="138">
      <c r="A138" s="18" t="n">
        <v>92</v>
      </c>
      <c r="B138" s="56" t="inlineStr">
        <is>
          <t>00036-ELE</t>
        </is>
      </c>
      <c r="C138" s="56">
        <f>IFERROR(_xlfn.XLOOKUP(ENTRADAS[[#This Row],[CODIGO]],LISTADO[CODIGOS],LISTADO[CATEGORIA]),"NO EXISTE")</f>
        <v/>
      </c>
      <c r="D138" s="56">
        <f>IFERROR(_xlfn.XLOOKUP(ENTRADAS[[#This Row],[CODIGO]],LISTADO[CODIGOS],LISTADO[PRODUCTOS]),"NO EXISTE")</f>
        <v/>
      </c>
      <c r="E138" s="19" t="n">
        <v>46065</v>
      </c>
      <c r="F138" s="18" t="n">
        <v>1</v>
      </c>
      <c r="G138" s="18" t="inlineStr">
        <is>
          <t>INVENTARIO</t>
        </is>
      </c>
      <c r="H138" s="18" t="n"/>
      <c r="I138" s="45" t="n"/>
      <c r="J138" s="77" t="n"/>
      <c r="K138" s="18" t="n"/>
    </row>
    <row r="139">
      <c r="A139" s="18" t="n">
        <v>93</v>
      </c>
      <c r="B139" s="56" t="inlineStr">
        <is>
          <t>00034-ELE</t>
        </is>
      </c>
      <c r="C139" s="56">
        <f>IFERROR(_xlfn.XLOOKUP(ENTRADAS[[#This Row],[CODIGO]],LISTADO[CODIGOS],LISTADO[CATEGORIA]),"NO EXISTE")</f>
        <v/>
      </c>
      <c r="D139" s="56">
        <f>IFERROR(_xlfn.XLOOKUP(ENTRADAS[[#This Row],[CODIGO]],LISTADO[CODIGOS],LISTADO[PRODUCTOS]),"NO EXISTE")</f>
        <v/>
      </c>
      <c r="E139" s="19" t="n">
        <v>46065</v>
      </c>
      <c r="F139" s="18" t="n">
        <v>3</v>
      </c>
      <c r="G139" s="18" t="inlineStr">
        <is>
          <t>INVENTARIO</t>
        </is>
      </c>
      <c r="H139" s="18" t="n"/>
      <c r="I139" s="45" t="n"/>
      <c r="J139" s="77" t="n"/>
      <c r="K139" s="18" t="n"/>
    </row>
    <row r="140">
      <c r="A140" s="18" t="n">
        <v>94</v>
      </c>
      <c r="B140" s="56" t="inlineStr">
        <is>
          <t>00031-ELE</t>
        </is>
      </c>
      <c r="C140" s="56">
        <f>IFERROR(_xlfn.XLOOKUP(ENTRADAS[[#This Row],[CODIGO]],LISTADO[CODIGOS],LISTADO[CATEGORIA]),"NO EXISTE")</f>
        <v/>
      </c>
      <c r="D140" s="56">
        <f>IFERROR(_xlfn.XLOOKUP(ENTRADAS[[#This Row],[CODIGO]],LISTADO[CODIGOS],LISTADO[PRODUCTOS]),"NO EXISTE")</f>
        <v/>
      </c>
      <c r="E140" s="19" t="n">
        <v>46065</v>
      </c>
      <c r="F140" s="18" t="n">
        <v>1</v>
      </c>
      <c r="G140" s="18" t="inlineStr">
        <is>
          <t>INVENTARIO</t>
        </is>
      </c>
      <c r="H140" s="18" t="n"/>
      <c r="I140" s="45" t="n"/>
      <c r="J140" s="77" t="n"/>
      <c r="K140" s="18" t="n"/>
    </row>
    <row r="141">
      <c r="A141" s="18" t="n">
        <v>95</v>
      </c>
      <c r="B141" s="56" t="inlineStr">
        <is>
          <t>00032-ELE</t>
        </is>
      </c>
      <c r="C141" s="56">
        <f>IFERROR(_xlfn.XLOOKUP(ENTRADAS[[#This Row],[CODIGO]],LISTADO[CODIGOS],LISTADO[CATEGORIA]),"NO EXISTE")</f>
        <v/>
      </c>
      <c r="D141" s="56">
        <f>IFERROR(_xlfn.XLOOKUP(ENTRADAS[[#This Row],[CODIGO]],LISTADO[CODIGOS],LISTADO[PRODUCTOS]),"NO EXISTE")</f>
        <v/>
      </c>
      <c r="E141" s="19" t="n">
        <v>46065</v>
      </c>
      <c r="F141" s="18" t="n">
        <v>1</v>
      </c>
      <c r="G141" s="18" t="inlineStr">
        <is>
          <t>INVENTARIO</t>
        </is>
      </c>
      <c r="H141" s="18" t="n"/>
      <c r="I141" s="45" t="n"/>
      <c r="J141" s="77" t="n"/>
      <c r="K141" s="18" t="n"/>
    </row>
    <row r="142">
      <c r="A142" s="18" t="n">
        <v>96</v>
      </c>
      <c r="B142" s="56" t="inlineStr">
        <is>
          <t>00027-ELE</t>
        </is>
      </c>
      <c r="C142" s="56">
        <f>IFERROR(_xlfn.XLOOKUP(ENTRADAS[[#This Row],[CODIGO]],LISTADO[CODIGOS],LISTADO[CATEGORIA]),"NO EXISTE")</f>
        <v/>
      </c>
      <c r="D142" s="56">
        <f>IFERROR(_xlfn.XLOOKUP(ENTRADAS[[#This Row],[CODIGO]],LISTADO[CODIGOS],LISTADO[PRODUCTOS]),"NO EXISTE")</f>
        <v/>
      </c>
      <c r="E142" s="19" t="n">
        <v>46065</v>
      </c>
      <c r="F142" s="18" t="n">
        <v>3</v>
      </c>
      <c r="G142" s="18" t="inlineStr">
        <is>
          <t>INVENTARIO</t>
        </is>
      </c>
      <c r="H142" s="18" t="n"/>
      <c r="I142" s="45" t="n"/>
      <c r="J142" s="77" t="n"/>
      <c r="K142" s="18" t="n"/>
    </row>
    <row r="143">
      <c r="A143" s="18" t="n">
        <v>97</v>
      </c>
      <c r="B143" s="56" t="inlineStr">
        <is>
          <t>00026-ELE</t>
        </is>
      </c>
      <c r="C143" s="56">
        <f>IFERROR(_xlfn.XLOOKUP(ENTRADAS[[#This Row],[CODIGO]],LISTADO[CODIGOS],LISTADO[CATEGORIA]),"NO EXISTE")</f>
        <v/>
      </c>
      <c r="D143" s="56">
        <f>IFERROR(_xlfn.XLOOKUP(ENTRADAS[[#This Row],[CODIGO]],LISTADO[CODIGOS],LISTADO[PRODUCTOS]),"NO EXISTE")</f>
        <v/>
      </c>
      <c r="E143" s="19" t="n">
        <v>46065</v>
      </c>
      <c r="F143" s="18" t="n">
        <v>1</v>
      </c>
      <c r="G143" s="18" t="inlineStr">
        <is>
          <t>INVENTARIO</t>
        </is>
      </c>
      <c r="H143" s="18" t="n"/>
      <c r="I143" s="45" t="n"/>
      <c r="J143" s="77" t="n"/>
      <c r="K143" s="18" t="n"/>
    </row>
    <row r="144">
      <c r="A144" s="18" t="n">
        <v>98</v>
      </c>
      <c r="B144" s="56" t="inlineStr">
        <is>
          <t>00023-ELE</t>
        </is>
      </c>
      <c r="C144" s="56">
        <f>IFERROR(_xlfn.XLOOKUP(ENTRADAS[[#This Row],[CODIGO]],LISTADO[CODIGOS],LISTADO[CATEGORIA]),"NO EXISTE")</f>
        <v/>
      </c>
      <c r="D144" s="56">
        <f>IFERROR(_xlfn.XLOOKUP(ENTRADAS[[#This Row],[CODIGO]],LISTADO[CODIGOS],LISTADO[PRODUCTOS]),"NO EXISTE")</f>
        <v/>
      </c>
      <c r="E144" s="19" t="n">
        <v>46065</v>
      </c>
      <c r="F144" s="18" t="n">
        <v>3</v>
      </c>
      <c r="G144" s="18" t="inlineStr">
        <is>
          <t>INVENTARIO</t>
        </is>
      </c>
      <c r="H144" s="18" t="n"/>
      <c r="I144" s="45" t="n"/>
      <c r="J144" s="77" t="n"/>
      <c r="K144" s="18" t="n"/>
    </row>
    <row r="145">
      <c r="A145" s="18" t="n">
        <v>99</v>
      </c>
      <c r="B145" s="56" t="inlineStr">
        <is>
          <t>00022-ELE</t>
        </is>
      </c>
      <c r="C145" s="56">
        <f>IFERROR(_xlfn.XLOOKUP(ENTRADAS[[#This Row],[CODIGO]],LISTADO[CODIGOS],LISTADO[CATEGORIA]),"NO EXISTE")</f>
        <v/>
      </c>
      <c r="D145" s="56">
        <f>IFERROR(_xlfn.XLOOKUP(ENTRADAS[[#This Row],[CODIGO]],LISTADO[CODIGOS],LISTADO[PRODUCTOS]),"NO EXISTE")</f>
        <v/>
      </c>
      <c r="E145" s="19" t="n">
        <v>46065</v>
      </c>
      <c r="F145" s="18" t="n">
        <v>2</v>
      </c>
      <c r="G145" s="18" t="inlineStr">
        <is>
          <t>INVENTARIO</t>
        </is>
      </c>
      <c r="H145" s="18" t="n"/>
      <c r="I145" s="45" t="n"/>
      <c r="J145" s="77" t="n"/>
      <c r="K145" s="18" t="n"/>
    </row>
    <row r="146">
      <c r="A146" s="18" t="n">
        <v>100</v>
      </c>
      <c r="B146" s="56" t="inlineStr">
        <is>
          <t>00024-ELE</t>
        </is>
      </c>
      <c r="C146" s="56">
        <f>IFERROR(_xlfn.XLOOKUP(ENTRADAS[[#This Row],[CODIGO]],LISTADO[CODIGOS],LISTADO[CATEGORIA]),"NO EXISTE")</f>
        <v/>
      </c>
      <c r="D146" s="56">
        <f>IFERROR(_xlfn.XLOOKUP(ENTRADAS[[#This Row],[CODIGO]],LISTADO[CODIGOS],LISTADO[PRODUCTOS]),"NO EXISTE")</f>
        <v/>
      </c>
      <c r="E146" s="19" t="n">
        <v>46065</v>
      </c>
      <c r="F146" s="18" t="n">
        <v>1</v>
      </c>
      <c r="G146" s="18" t="inlineStr">
        <is>
          <t>INVENTARIO</t>
        </is>
      </c>
      <c r="H146" s="18" t="n"/>
      <c r="I146" s="45" t="n"/>
      <c r="J146" s="77" t="n"/>
      <c r="K146" s="18" t="n"/>
    </row>
    <row r="147">
      <c r="A147" s="18" t="n">
        <v>101</v>
      </c>
      <c r="B147" s="56" t="inlineStr">
        <is>
          <t>00025-ELE</t>
        </is>
      </c>
      <c r="C147" s="56">
        <f>IFERROR(_xlfn.XLOOKUP(ENTRADAS[[#This Row],[CODIGO]],LISTADO[CODIGOS],LISTADO[CATEGORIA]),"NO EXISTE")</f>
        <v/>
      </c>
      <c r="D147" s="56">
        <f>IFERROR(_xlfn.XLOOKUP(ENTRADAS[[#This Row],[CODIGO]],LISTADO[CODIGOS],LISTADO[PRODUCTOS]),"NO EXISTE")</f>
        <v/>
      </c>
      <c r="E147" s="19" t="n">
        <v>46065</v>
      </c>
      <c r="F147" s="18" t="n">
        <v>3</v>
      </c>
      <c r="G147" s="18" t="inlineStr">
        <is>
          <t>INVENTARIO</t>
        </is>
      </c>
      <c r="H147" s="18" t="n"/>
      <c r="I147" s="45" t="n"/>
      <c r="J147" s="77" t="n"/>
      <c r="K147" s="18" t="n"/>
    </row>
    <row r="148">
      <c r="A148" s="18" t="n">
        <v>102</v>
      </c>
      <c r="B148" s="56" t="inlineStr">
        <is>
          <t>00011-ELE</t>
        </is>
      </c>
      <c r="C148" s="56">
        <f>IFERROR(_xlfn.XLOOKUP(ENTRADAS[[#This Row],[CODIGO]],LISTADO[CODIGOS],LISTADO[CATEGORIA]),"NO EXISTE")</f>
        <v/>
      </c>
      <c r="D148" s="56">
        <f>IFERROR(_xlfn.XLOOKUP(ENTRADAS[[#This Row],[CODIGO]],LISTADO[CODIGOS],LISTADO[PRODUCTOS]),"NO EXISTE")</f>
        <v/>
      </c>
      <c r="E148" s="19" t="n">
        <v>46065</v>
      </c>
      <c r="F148" s="18" t="n">
        <v>1</v>
      </c>
      <c r="G148" s="18" t="inlineStr">
        <is>
          <t>INVENTARIO</t>
        </is>
      </c>
      <c r="H148" s="18" t="n"/>
      <c r="I148" s="45" t="n"/>
      <c r="J148" s="77" t="n"/>
      <c r="K148" s="18" t="n"/>
    </row>
    <row r="149">
      <c r="A149" s="18" t="n">
        <v>103</v>
      </c>
      <c r="B149" s="56" t="inlineStr">
        <is>
          <t>00008-ELE</t>
        </is>
      </c>
      <c r="C149" s="56">
        <f>IFERROR(_xlfn.XLOOKUP(ENTRADAS[[#This Row],[CODIGO]],LISTADO[CODIGOS],LISTADO[CATEGORIA]),"NO EXISTE")</f>
        <v/>
      </c>
      <c r="D149" s="56">
        <f>IFERROR(_xlfn.XLOOKUP(ENTRADAS[[#This Row],[CODIGO]],LISTADO[CODIGOS],LISTADO[PRODUCTOS]),"NO EXISTE")</f>
        <v/>
      </c>
      <c r="E149" s="19" t="n">
        <v>46065</v>
      </c>
      <c r="F149" s="18" t="n">
        <v>1</v>
      </c>
      <c r="G149" s="18" t="inlineStr">
        <is>
          <t>INVENTARIO</t>
        </is>
      </c>
      <c r="H149" s="18" t="n"/>
      <c r="I149" s="45" t="n"/>
      <c r="J149" s="77" t="n"/>
      <c r="K149" s="18" t="n"/>
    </row>
    <row r="150">
      <c r="A150" s="18" t="n">
        <v>104</v>
      </c>
      <c r="B150" s="56" t="inlineStr">
        <is>
          <t>00018-FER</t>
        </is>
      </c>
      <c r="C150" s="56">
        <f>IFERROR(_xlfn.XLOOKUP(ENTRADAS[[#This Row],[CODIGO]],LISTADO[CODIGOS],LISTADO[CATEGORIA]),"NO EXISTE")</f>
        <v/>
      </c>
      <c r="D150" s="56">
        <f>IFERROR(_xlfn.XLOOKUP(ENTRADAS[[#This Row],[CODIGO]],LISTADO[CODIGOS],LISTADO[PRODUCTOS]),"NO EXISTE")</f>
        <v/>
      </c>
      <c r="E150" s="19" t="n">
        <v>46065</v>
      </c>
      <c r="F150" s="18" t="n">
        <v>9</v>
      </c>
      <c r="G150" s="18" t="inlineStr">
        <is>
          <t>INVENTARIO</t>
        </is>
      </c>
      <c r="H150" s="18" t="n"/>
      <c r="I150" s="45" t="n"/>
      <c r="J150" s="77" t="n"/>
      <c r="K150" s="18" t="n"/>
    </row>
    <row r="151">
      <c r="A151" s="18" t="n">
        <v>105</v>
      </c>
      <c r="B151" s="56" t="inlineStr">
        <is>
          <t>00015-FER</t>
        </is>
      </c>
      <c r="C151" s="56">
        <f>IFERROR(_xlfn.XLOOKUP(ENTRADAS[[#This Row],[CODIGO]],LISTADO[CODIGOS],LISTADO[CATEGORIA]),"NO EXISTE")</f>
        <v/>
      </c>
      <c r="D151" s="56">
        <f>IFERROR(_xlfn.XLOOKUP(ENTRADAS[[#This Row],[CODIGO]],LISTADO[CODIGOS],LISTADO[PRODUCTOS]),"NO EXISTE")</f>
        <v/>
      </c>
      <c r="E151" s="19" t="n">
        <v>46065</v>
      </c>
      <c r="F151" s="18" t="n">
        <v>9</v>
      </c>
      <c r="G151" s="18" t="inlineStr">
        <is>
          <t>INVENTARIO</t>
        </is>
      </c>
      <c r="H151" s="18" t="n"/>
      <c r="I151" s="45" t="n"/>
      <c r="J151" s="77" t="n"/>
      <c r="K151" s="18" t="n"/>
    </row>
    <row r="152">
      <c r="A152" s="18" t="n">
        <v>106</v>
      </c>
      <c r="B152" s="56" t="inlineStr">
        <is>
          <t>00016-FER</t>
        </is>
      </c>
      <c r="C152" s="56">
        <f>IFERROR(_xlfn.XLOOKUP(ENTRADAS[[#This Row],[CODIGO]],LISTADO[CODIGOS],LISTADO[CATEGORIA]),"NO EXISTE")</f>
        <v/>
      </c>
      <c r="D152" s="56">
        <f>IFERROR(_xlfn.XLOOKUP(ENTRADAS[[#This Row],[CODIGO]],LISTADO[CODIGOS],LISTADO[PRODUCTOS]),"NO EXISTE")</f>
        <v/>
      </c>
      <c r="E152" s="19" t="n">
        <v>46065</v>
      </c>
      <c r="F152" s="18" t="n">
        <v>1</v>
      </c>
      <c r="G152" s="18" t="inlineStr">
        <is>
          <t>INVENTARIO</t>
        </is>
      </c>
      <c r="H152" s="18" t="n"/>
      <c r="I152" s="45" t="n"/>
      <c r="J152" s="77" t="n"/>
      <c r="K152" s="18" t="n"/>
    </row>
    <row r="153">
      <c r="A153" s="18" t="n">
        <v>107</v>
      </c>
      <c r="B153" s="56" t="inlineStr">
        <is>
          <t>00014-FER</t>
        </is>
      </c>
      <c r="C153" s="56">
        <f>IFERROR(_xlfn.XLOOKUP(ENTRADAS[[#This Row],[CODIGO]],LISTADO[CODIGOS],LISTADO[CATEGORIA]),"NO EXISTE")</f>
        <v/>
      </c>
      <c r="D153" s="56">
        <f>IFERROR(_xlfn.XLOOKUP(ENTRADAS[[#This Row],[CODIGO]],LISTADO[CODIGOS],LISTADO[PRODUCTOS]),"NO EXISTE")</f>
        <v/>
      </c>
      <c r="E153" s="19" t="n">
        <v>46065</v>
      </c>
      <c r="F153" s="18" t="n">
        <v>1</v>
      </c>
      <c r="G153" s="18" t="inlineStr">
        <is>
          <t>INVENTARIO</t>
        </is>
      </c>
      <c r="H153" s="18" t="n"/>
      <c r="I153" s="45" t="n"/>
      <c r="J153" s="77" t="n"/>
      <c r="K153" s="18" t="n"/>
    </row>
    <row r="154">
      <c r="A154" s="18" t="n">
        <v>108</v>
      </c>
      <c r="B154" s="56" t="inlineStr">
        <is>
          <t>00017-FER</t>
        </is>
      </c>
      <c r="C154" s="56">
        <f>IFERROR(_xlfn.XLOOKUP(ENTRADAS[[#This Row],[CODIGO]],LISTADO[CODIGOS],LISTADO[CATEGORIA]),"NO EXISTE")</f>
        <v/>
      </c>
      <c r="D154" s="56">
        <f>IFERROR(_xlfn.XLOOKUP(ENTRADAS[[#This Row],[CODIGO]],LISTADO[CODIGOS],LISTADO[PRODUCTOS]),"NO EXISTE")</f>
        <v/>
      </c>
      <c r="E154" s="19" t="n">
        <v>46065</v>
      </c>
      <c r="F154" s="18" t="n">
        <v>1</v>
      </c>
      <c r="G154" s="18" t="inlineStr">
        <is>
          <t>INVENTARIO</t>
        </is>
      </c>
      <c r="H154" s="18" t="n"/>
      <c r="I154" s="45" t="n"/>
      <c r="J154" s="77" t="n"/>
      <c r="K154" s="18" t="n"/>
    </row>
    <row r="155">
      <c r="A155" s="18" t="n">
        <v>109</v>
      </c>
      <c r="B155" s="56" t="inlineStr">
        <is>
          <t>00012-ELE</t>
        </is>
      </c>
      <c r="C155" s="56">
        <f>IFERROR(_xlfn.XLOOKUP(ENTRADAS[[#This Row],[CODIGO]],LISTADO[CODIGOS],LISTADO[CATEGORIA]),"NO EXISTE")</f>
        <v/>
      </c>
      <c r="D155" s="56">
        <f>IFERROR(_xlfn.XLOOKUP(ENTRADAS[[#This Row],[CODIGO]],LISTADO[CODIGOS],LISTADO[PRODUCTOS]),"NO EXISTE")</f>
        <v/>
      </c>
      <c r="E155" s="19" t="n">
        <v>46065</v>
      </c>
      <c r="F155" s="18" t="n">
        <v>400</v>
      </c>
      <c r="G155" s="18" t="inlineStr">
        <is>
          <t>INVENTARIO</t>
        </is>
      </c>
      <c r="H155" s="18" t="n"/>
      <c r="I155" s="45" t="n"/>
      <c r="J155" s="77" t="n"/>
      <c r="K155" s="18" t="n"/>
    </row>
    <row r="156">
      <c r="A156" s="18" t="n">
        <v>110</v>
      </c>
      <c r="B156" s="56" t="inlineStr">
        <is>
          <t>00013-ELE</t>
        </is>
      </c>
      <c r="C156" s="56">
        <f>IFERROR(_xlfn.XLOOKUP(ENTRADAS[[#This Row],[CODIGO]],LISTADO[CODIGOS],LISTADO[CATEGORIA]),"NO EXISTE")</f>
        <v/>
      </c>
      <c r="D156" s="56">
        <f>IFERROR(_xlfn.XLOOKUP(ENTRADAS[[#This Row],[CODIGO]],LISTADO[CODIGOS],LISTADO[PRODUCTOS]),"NO EXISTE")</f>
        <v/>
      </c>
      <c r="E156" s="19" t="n">
        <v>46065</v>
      </c>
      <c r="F156" s="18" t="n">
        <v>100</v>
      </c>
      <c r="G156" s="18" t="inlineStr">
        <is>
          <t>INVENTARIO</t>
        </is>
      </c>
      <c r="H156" s="18" t="n"/>
      <c r="I156" s="45" t="n"/>
      <c r="J156" s="77" t="n"/>
      <c r="K156" s="18" t="n"/>
    </row>
    <row r="157">
      <c r="A157" s="18" t="n">
        <v>111</v>
      </c>
      <c r="B157" s="56" t="inlineStr">
        <is>
          <t>00018-ELE</t>
        </is>
      </c>
      <c r="C157" s="56">
        <f>IFERROR(_xlfn.XLOOKUP(ENTRADAS[[#This Row],[CODIGO]],LISTADO[CODIGOS],LISTADO[CATEGORIA]),"NO EXISTE")</f>
        <v/>
      </c>
      <c r="D157" s="56">
        <f>IFERROR(_xlfn.XLOOKUP(ENTRADAS[[#This Row],[CODIGO]],LISTADO[CODIGOS],LISTADO[PRODUCTOS]),"NO EXISTE")</f>
        <v/>
      </c>
      <c r="E157" s="19" t="n">
        <v>46065</v>
      </c>
      <c r="F157" s="18" t="n">
        <v>200</v>
      </c>
      <c r="G157" s="18" t="inlineStr">
        <is>
          <t>INVENTARIO</t>
        </is>
      </c>
      <c r="H157" s="18" t="n"/>
      <c r="I157" s="45" t="n"/>
      <c r="J157" s="77" t="n"/>
      <c r="K157" s="18" t="n"/>
    </row>
    <row r="158">
      <c r="A158" s="18" t="n">
        <v>112</v>
      </c>
      <c r="B158" s="56" t="inlineStr">
        <is>
          <t>00019-ELE</t>
        </is>
      </c>
      <c r="C158" s="56">
        <f>IFERROR(_xlfn.XLOOKUP(ENTRADAS[[#This Row],[CODIGO]],LISTADO[CODIGOS],LISTADO[CATEGORIA]),"NO EXISTE")</f>
        <v/>
      </c>
      <c r="D158" s="56">
        <f>IFERROR(_xlfn.XLOOKUP(ENTRADAS[[#This Row],[CODIGO]],LISTADO[CODIGOS],LISTADO[PRODUCTOS]),"NO EXISTE")</f>
        <v/>
      </c>
      <c r="E158" s="19" t="n">
        <v>46065</v>
      </c>
      <c r="F158" s="18" t="n">
        <v>200</v>
      </c>
      <c r="G158" s="18" t="inlineStr">
        <is>
          <t>INVENTARIO</t>
        </is>
      </c>
      <c r="H158" s="18" t="n"/>
      <c r="I158" s="45" t="n"/>
      <c r="J158" s="77" t="n"/>
      <c r="K158" s="18" t="n"/>
    </row>
    <row r="159">
      <c r="A159" s="18" t="n">
        <v>113</v>
      </c>
      <c r="B159" s="56" t="inlineStr">
        <is>
          <t>00016-ELE</t>
        </is>
      </c>
      <c r="C159" s="56">
        <f>IFERROR(_xlfn.XLOOKUP(ENTRADAS[[#This Row],[CODIGO]],LISTADO[CODIGOS],LISTADO[CATEGORIA]),"NO EXISTE")</f>
        <v/>
      </c>
      <c r="D159" s="56">
        <f>IFERROR(_xlfn.XLOOKUP(ENTRADAS[[#This Row],[CODIGO]],LISTADO[CODIGOS],LISTADO[PRODUCTOS]),"NO EXISTE")</f>
        <v/>
      </c>
      <c r="E159" s="19" t="n">
        <v>46065</v>
      </c>
      <c r="F159" s="18" t="n">
        <v>500</v>
      </c>
      <c r="G159" s="18" t="inlineStr">
        <is>
          <t>INVENTARIO</t>
        </is>
      </c>
      <c r="H159" s="18" t="n"/>
      <c r="I159" s="45" t="n"/>
      <c r="J159" s="77" t="n"/>
      <c r="K159" s="18" t="n"/>
    </row>
    <row r="160">
      <c r="A160" s="18" t="n">
        <v>114</v>
      </c>
      <c r="B160" s="56" t="inlineStr">
        <is>
          <t>00017-ELE</t>
        </is>
      </c>
      <c r="C160" s="56">
        <f>IFERROR(_xlfn.XLOOKUP(ENTRADAS[[#This Row],[CODIGO]],LISTADO[CODIGOS],LISTADO[CATEGORIA]),"NO EXISTE")</f>
        <v/>
      </c>
      <c r="D160" s="56">
        <f>IFERROR(_xlfn.XLOOKUP(ENTRADAS[[#This Row],[CODIGO]],LISTADO[CODIGOS],LISTADO[PRODUCTOS]),"NO EXISTE")</f>
        <v/>
      </c>
      <c r="E160" s="19" t="n">
        <v>46065</v>
      </c>
      <c r="F160" s="18" t="n">
        <v>300</v>
      </c>
      <c r="G160" s="18" t="inlineStr">
        <is>
          <t>INVENTARIO</t>
        </is>
      </c>
      <c r="H160" s="18" t="n"/>
      <c r="I160" s="45" t="n"/>
      <c r="J160" s="77" t="n"/>
      <c r="K160" s="18" t="n"/>
    </row>
    <row r="161">
      <c r="A161" s="18" t="n">
        <v>115</v>
      </c>
      <c r="B161" s="56" t="inlineStr">
        <is>
          <t>00015-ELE</t>
        </is>
      </c>
      <c r="C161" s="56">
        <f>IFERROR(_xlfn.XLOOKUP(ENTRADAS[[#This Row],[CODIGO]],LISTADO[CODIGOS],LISTADO[CATEGORIA]),"NO EXISTE")</f>
        <v/>
      </c>
      <c r="D161" s="56">
        <f>IFERROR(_xlfn.XLOOKUP(ENTRADAS[[#This Row],[CODIGO]],LISTADO[CODIGOS],LISTADO[PRODUCTOS]),"NO EXISTE")</f>
        <v/>
      </c>
      <c r="E161" s="19" t="n">
        <v>46065</v>
      </c>
      <c r="F161" s="18" t="n">
        <v>300</v>
      </c>
      <c r="G161" s="18" t="inlineStr">
        <is>
          <t>INVENTARIO</t>
        </is>
      </c>
      <c r="H161" s="18" t="n"/>
      <c r="I161" s="45" t="n"/>
      <c r="J161" s="77" t="n"/>
      <c r="K161" s="18" t="n"/>
    </row>
    <row r="162">
      <c r="A162" s="18" t="n">
        <v>116</v>
      </c>
      <c r="B162" s="56" t="inlineStr">
        <is>
          <t>00014-ELE</t>
        </is>
      </c>
      <c r="C162" s="56">
        <f>IFERROR(_xlfn.XLOOKUP(ENTRADAS[[#This Row],[CODIGO]],LISTADO[CODIGOS],LISTADO[CATEGORIA]),"NO EXISTE")</f>
        <v/>
      </c>
      <c r="D162" s="56">
        <f>IFERROR(_xlfn.XLOOKUP(ENTRADAS[[#This Row],[CODIGO]],LISTADO[CODIGOS],LISTADO[PRODUCTOS]),"NO EXISTE")</f>
        <v/>
      </c>
      <c r="E162" s="19" t="n">
        <v>46065</v>
      </c>
      <c r="F162" s="18" t="n">
        <v>200</v>
      </c>
      <c r="G162" s="18" t="inlineStr">
        <is>
          <t>INVENTARIO</t>
        </is>
      </c>
      <c r="H162" s="18" t="n"/>
      <c r="I162" s="45" t="n"/>
      <c r="J162" s="77" t="n"/>
      <c r="K162" s="18" t="n"/>
    </row>
    <row r="163">
      <c r="A163" s="18" t="n">
        <v>117</v>
      </c>
      <c r="B163" s="56" t="inlineStr">
        <is>
          <t>00020-ELE</t>
        </is>
      </c>
      <c r="C163" s="56">
        <f>IFERROR(_xlfn.XLOOKUP(ENTRADAS[[#This Row],[CODIGO]],LISTADO[CODIGOS],LISTADO[CATEGORIA]),"NO EXISTE")</f>
        <v/>
      </c>
      <c r="D163" s="56">
        <f>IFERROR(_xlfn.XLOOKUP(ENTRADAS[[#This Row],[CODIGO]],LISTADO[CODIGOS],LISTADO[PRODUCTOS]),"NO EXISTE")</f>
        <v/>
      </c>
      <c r="E163" s="19" t="n">
        <v>46065</v>
      </c>
      <c r="F163" s="18" t="n">
        <v>100</v>
      </c>
      <c r="G163" s="18" t="inlineStr">
        <is>
          <t>INVENTARIO</t>
        </is>
      </c>
      <c r="H163" s="18" t="n"/>
      <c r="I163" s="45" t="n"/>
      <c r="J163" s="77" t="n"/>
      <c r="K163" s="18" t="n"/>
    </row>
    <row r="164">
      <c r="A164" s="18" t="n">
        <v>118</v>
      </c>
      <c r="B164" s="56" t="inlineStr">
        <is>
          <t>00021-ELE</t>
        </is>
      </c>
      <c r="C164" s="56">
        <f>IFERROR(_xlfn.XLOOKUP(ENTRADAS[[#This Row],[CODIGO]],LISTADO[CODIGOS],LISTADO[CATEGORIA]),"NO EXISTE")</f>
        <v/>
      </c>
      <c r="D164" s="56">
        <f>IFERROR(_xlfn.XLOOKUP(ENTRADAS[[#This Row],[CODIGO]],LISTADO[CODIGOS],LISTADO[PRODUCTOS]),"NO EXISTE")</f>
        <v/>
      </c>
      <c r="E164" s="19" t="n">
        <v>46065</v>
      </c>
      <c r="F164" s="18" t="n">
        <v>100</v>
      </c>
      <c r="G164" s="18" t="inlineStr">
        <is>
          <t>INVENTARIO</t>
        </is>
      </c>
      <c r="H164" s="18" t="n"/>
      <c r="I164" s="45" t="n"/>
      <c r="J164" s="77" t="n"/>
      <c r="K164" s="18" t="n"/>
    </row>
    <row r="165">
      <c r="A165" s="18" t="n">
        <v>279</v>
      </c>
      <c r="B165" s="56" t="inlineStr">
        <is>
          <t>00014-REF</t>
        </is>
      </c>
      <c r="C165" s="56">
        <f>IFERROR(_xlfn.XLOOKUP(ENTRADAS[[#This Row],[CODIGO]],LISTADO[CODIGOS],LISTADO[CATEGORIA]),"NO EXISTE")</f>
        <v/>
      </c>
      <c r="D165" s="56">
        <f>IFERROR(_xlfn.XLOOKUP(ENTRADAS[[#This Row],[CODIGO]],LISTADO[CODIGOS],LISTADO[PRODUCTOS]),"NO EXISTE")</f>
        <v/>
      </c>
      <c r="E165" s="19" t="n">
        <v>46065</v>
      </c>
      <c r="F165" s="18" t="n">
        <v>1</v>
      </c>
      <c r="G165" s="18" t="inlineStr">
        <is>
          <t>INGRESO</t>
        </is>
      </c>
      <c r="H165" s="18" t="n"/>
      <c r="I165" s="45" t="n"/>
      <c r="J165" s="77" t="n"/>
      <c r="K165" s="18" t="n"/>
    </row>
    <row r="166">
      <c r="A166" s="18" t="n">
        <v>281</v>
      </c>
      <c r="B166" s="56" t="inlineStr">
        <is>
          <t>00001-REF</t>
        </is>
      </c>
      <c r="C166" s="56">
        <f>IFERROR(_xlfn.XLOOKUP(ENTRADAS[[#This Row],[CODIGO]],LISTADO[CODIGOS],LISTADO[CATEGORIA]),"NO EXISTE")</f>
        <v/>
      </c>
      <c r="D166" s="56">
        <f>IFERROR(_xlfn.XLOOKUP(ENTRADAS[[#This Row],[CODIGO]],LISTADO[CODIGOS],LISTADO[PRODUCTOS]),"NO EXISTE")</f>
        <v/>
      </c>
      <c r="E166" s="19" t="n">
        <v>46065</v>
      </c>
      <c r="F166" s="18" t="n">
        <v>10</v>
      </c>
      <c r="G166" s="18" t="inlineStr">
        <is>
          <t>INGRESO</t>
        </is>
      </c>
      <c r="H166" s="18" t="n"/>
      <c r="I166" s="45" t="n"/>
      <c r="J166" s="77" t="n"/>
      <c r="K166" s="18" t="n"/>
    </row>
    <row r="167">
      <c r="A167" s="18" t="n">
        <v>282</v>
      </c>
      <c r="B167" s="56" t="inlineStr">
        <is>
          <t>00010-REF</t>
        </is>
      </c>
      <c r="C167" s="56">
        <f>IFERROR(_xlfn.XLOOKUP(ENTRADAS[[#This Row],[CODIGO]],LISTADO[CODIGOS],LISTADO[CATEGORIA]),"NO EXISTE")</f>
        <v/>
      </c>
      <c r="D167" s="56">
        <f>IFERROR(_xlfn.XLOOKUP(ENTRADAS[[#This Row],[CODIGO]],LISTADO[CODIGOS],LISTADO[PRODUCTOS]),"NO EXISTE")</f>
        <v/>
      </c>
      <c r="E167" s="19" t="n">
        <v>46065</v>
      </c>
      <c r="F167" s="18" t="n">
        <v>1</v>
      </c>
      <c r="G167" s="18" t="inlineStr">
        <is>
          <t>INGRESO</t>
        </is>
      </c>
      <c r="H167" s="18" t="n"/>
      <c r="I167" s="45" t="n"/>
      <c r="J167" s="77" t="n"/>
      <c r="K167" s="18" t="n"/>
    </row>
    <row r="168">
      <c r="A168" s="18" t="n">
        <v>283</v>
      </c>
      <c r="B168" s="56" t="inlineStr">
        <is>
          <t>00011-REF</t>
        </is>
      </c>
      <c r="C168" s="56">
        <f>IFERROR(_xlfn.XLOOKUP(ENTRADAS[[#This Row],[CODIGO]],LISTADO[CODIGOS],LISTADO[CATEGORIA]),"NO EXISTE")</f>
        <v/>
      </c>
      <c r="D168" s="56">
        <f>IFERROR(_xlfn.XLOOKUP(ENTRADAS[[#This Row],[CODIGO]],LISTADO[CODIGOS],LISTADO[PRODUCTOS]),"NO EXISTE")</f>
        <v/>
      </c>
      <c r="E168" s="19" t="n">
        <v>46065</v>
      </c>
      <c r="F168" s="18" t="n">
        <v>2</v>
      </c>
      <c r="G168" s="18" t="inlineStr">
        <is>
          <t>INGRESO</t>
        </is>
      </c>
      <c r="H168" s="18" t="n"/>
      <c r="I168" s="45" t="n"/>
      <c r="J168" s="77" t="n"/>
      <c r="K168" s="18" t="n"/>
    </row>
    <row r="169">
      <c r="A169" s="18" t="n">
        <v>280</v>
      </c>
      <c r="B169" s="56" t="inlineStr">
        <is>
          <t>00013-REF</t>
        </is>
      </c>
      <c r="C169" s="56">
        <f>IFERROR(_xlfn.XLOOKUP(ENTRADAS[[#This Row],[CODIGO]],LISTADO[CODIGOS],LISTADO[CATEGORIA]),"NO EXISTE")</f>
        <v/>
      </c>
      <c r="D169" s="56">
        <f>IFERROR(_xlfn.XLOOKUP(ENTRADAS[[#This Row],[CODIGO]],LISTADO[CODIGOS],LISTADO[PRODUCTOS]),"NO EXISTE")</f>
        <v/>
      </c>
      <c r="E169" s="19" t="n">
        <v>46065</v>
      </c>
      <c r="F169" s="18" t="n">
        <v>1</v>
      </c>
      <c r="G169" s="18" t="inlineStr">
        <is>
          <t>INGRESO</t>
        </is>
      </c>
      <c r="H169" s="18" t="n"/>
      <c r="I169" s="45" t="n"/>
      <c r="J169" s="77" t="n"/>
      <c r="K169" s="18" t="n"/>
    </row>
    <row r="170">
      <c r="A170" s="18" t="n">
        <v>141</v>
      </c>
      <c r="B170" s="56" t="inlineStr">
        <is>
          <t>00049-FER</t>
        </is>
      </c>
      <c r="C170" s="56">
        <f>IFERROR(_xlfn.XLOOKUP(ENTRADAS[[#This Row],[CODIGO]],LISTADO[CODIGOS],LISTADO[CATEGORIA]),"NO EXISTE")</f>
        <v/>
      </c>
      <c r="D170" s="56">
        <f>IFERROR(_xlfn.XLOOKUP(ENTRADAS[[#This Row],[CODIGO]],LISTADO[CODIGOS],LISTADO[PRODUCTOS]),"NO EXISTE")</f>
        <v/>
      </c>
      <c r="E170" s="19" t="n">
        <v>46066</v>
      </c>
      <c r="F170" s="18" t="n">
        <v>20</v>
      </c>
      <c r="G170" s="18" t="inlineStr">
        <is>
          <t>INVENTARIO</t>
        </is>
      </c>
      <c r="H170" s="18" t="n"/>
      <c r="I170" s="45" t="n"/>
      <c r="J170" s="77" t="n"/>
      <c r="K170" s="18" t="n"/>
    </row>
    <row r="171">
      <c r="A171" s="18" t="n">
        <v>142</v>
      </c>
      <c r="B171" s="56" t="inlineStr">
        <is>
          <t>00050-FER</t>
        </is>
      </c>
      <c r="C171" s="56">
        <f>IFERROR(_xlfn.XLOOKUP(ENTRADAS[[#This Row],[CODIGO]],LISTADO[CODIGOS],LISTADO[CATEGORIA]),"NO EXISTE")</f>
        <v/>
      </c>
      <c r="D171" s="56">
        <f>IFERROR(_xlfn.XLOOKUP(ENTRADAS[[#This Row],[CODIGO]],LISTADO[CODIGOS],LISTADO[PRODUCTOS]),"NO EXISTE")</f>
        <v/>
      </c>
      <c r="E171" s="19" t="n">
        <v>46066</v>
      </c>
      <c r="F171" s="18" t="n">
        <v>8</v>
      </c>
      <c r="G171" s="18" t="inlineStr">
        <is>
          <t>INVENTARIO</t>
        </is>
      </c>
      <c r="H171" s="18" t="n"/>
      <c r="I171" s="45" t="n"/>
      <c r="J171" s="77" t="n"/>
      <c r="K171" s="18" t="n"/>
    </row>
    <row r="172">
      <c r="A172" s="18" t="n">
        <v>143</v>
      </c>
      <c r="B172" s="56" t="inlineStr">
        <is>
          <t>00048-FER</t>
        </is>
      </c>
      <c r="C172" s="56">
        <f>IFERROR(_xlfn.XLOOKUP(ENTRADAS[[#This Row],[CODIGO]],LISTADO[CODIGOS],LISTADO[CATEGORIA]),"NO EXISTE")</f>
        <v/>
      </c>
      <c r="D172" s="56">
        <f>IFERROR(_xlfn.XLOOKUP(ENTRADAS[[#This Row],[CODIGO]],LISTADO[CODIGOS],LISTADO[PRODUCTOS]),"NO EXISTE")</f>
        <v/>
      </c>
      <c r="E172" s="19" t="n">
        <v>46066</v>
      </c>
      <c r="F172" s="18" t="n">
        <v>7</v>
      </c>
      <c r="G172" s="18" t="inlineStr">
        <is>
          <t>INVENTARIO</t>
        </is>
      </c>
      <c r="H172" s="18" t="n"/>
      <c r="I172" s="45" t="n"/>
      <c r="J172" s="77" t="n"/>
      <c r="K172" s="18" t="n"/>
    </row>
    <row r="173">
      <c r="A173" s="18" t="n">
        <v>144</v>
      </c>
      <c r="B173" s="56" t="inlineStr">
        <is>
          <t>00047-FER</t>
        </is>
      </c>
      <c r="C173" s="56">
        <f>IFERROR(_xlfn.XLOOKUP(ENTRADAS[[#This Row],[CODIGO]],LISTADO[CODIGOS],LISTADO[CATEGORIA]),"NO EXISTE")</f>
        <v/>
      </c>
      <c r="D173" s="56">
        <f>IFERROR(_xlfn.XLOOKUP(ENTRADAS[[#This Row],[CODIGO]],LISTADO[CODIGOS],LISTADO[PRODUCTOS]),"NO EXISTE")</f>
        <v/>
      </c>
      <c r="E173" s="19" t="n">
        <v>46066</v>
      </c>
      <c r="F173" s="18" t="n">
        <v>3</v>
      </c>
      <c r="G173" s="18" t="inlineStr">
        <is>
          <t>INVENTARIO</t>
        </is>
      </c>
      <c r="H173" s="18" t="n"/>
      <c r="I173" s="45" t="n"/>
      <c r="J173" s="77" t="n"/>
      <c r="K173" s="18" t="n"/>
    </row>
    <row r="174">
      <c r="A174" s="18" t="n">
        <v>145</v>
      </c>
      <c r="B174" s="56" t="inlineStr">
        <is>
          <t>00052-FER</t>
        </is>
      </c>
      <c r="C174" s="56">
        <f>IFERROR(_xlfn.XLOOKUP(ENTRADAS[[#This Row],[CODIGO]],LISTADO[CODIGOS],LISTADO[CATEGORIA]),"NO EXISTE")</f>
        <v/>
      </c>
      <c r="D174" s="56">
        <f>IFERROR(_xlfn.XLOOKUP(ENTRADAS[[#This Row],[CODIGO]],LISTADO[CODIGOS],LISTADO[PRODUCTOS]),"NO EXISTE")</f>
        <v/>
      </c>
      <c r="E174" s="19" t="n">
        <v>46066</v>
      </c>
      <c r="F174" s="18" t="n">
        <v>1.5</v>
      </c>
      <c r="G174" s="18" t="inlineStr">
        <is>
          <t>INVENTARIO</t>
        </is>
      </c>
      <c r="H174" s="18" t="n"/>
      <c r="I174" s="45" t="n"/>
      <c r="J174" s="77" t="n"/>
      <c r="K174" s="18" t="n"/>
    </row>
    <row r="175">
      <c r="A175" s="18" t="n">
        <v>146</v>
      </c>
      <c r="B175" s="56" t="inlineStr">
        <is>
          <t>00030-FER</t>
        </is>
      </c>
      <c r="C175" s="56">
        <f>IFERROR(_xlfn.XLOOKUP(ENTRADAS[[#This Row],[CODIGO]],LISTADO[CODIGOS],LISTADO[CATEGORIA]),"NO EXISTE")</f>
        <v/>
      </c>
      <c r="D175" s="56">
        <f>IFERROR(_xlfn.XLOOKUP(ENTRADAS[[#This Row],[CODIGO]],LISTADO[CODIGOS],LISTADO[PRODUCTOS]),"NO EXISTE")</f>
        <v/>
      </c>
      <c r="E175" s="19" t="n">
        <v>46066</v>
      </c>
      <c r="F175" s="15" t="n">
        <v>7</v>
      </c>
      <c r="G175" s="18" t="inlineStr">
        <is>
          <t>INVENTARIO</t>
        </is>
      </c>
      <c r="H175" s="18" t="n"/>
      <c r="I175" s="45" t="n"/>
      <c r="J175" s="77" t="n"/>
      <c r="K175" s="18" t="n"/>
    </row>
    <row r="176">
      <c r="A176" s="18" t="n">
        <v>147</v>
      </c>
      <c r="B176" s="56" t="inlineStr">
        <is>
          <t>00039-FER</t>
        </is>
      </c>
      <c r="C176" s="56">
        <f>IFERROR(_xlfn.XLOOKUP(ENTRADAS[[#This Row],[CODIGO]],LISTADO[CODIGOS],LISTADO[CATEGORIA]),"NO EXISTE")</f>
        <v/>
      </c>
      <c r="D176" s="56">
        <f>IFERROR(_xlfn.XLOOKUP(ENTRADAS[[#This Row],[CODIGO]],LISTADO[CODIGOS],LISTADO[PRODUCTOS]),"NO EXISTE")</f>
        <v/>
      </c>
      <c r="E176" s="19" t="n">
        <v>46066</v>
      </c>
      <c r="F176" s="18" t="n">
        <v>8</v>
      </c>
      <c r="G176" s="18" t="inlineStr">
        <is>
          <t>INVENTARIO</t>
        </is>
      </c>
      <c r="H176" s="18" t="n"/>
      <c r="I176" s="45" t="n"/>
      <c r="J176" s="77" t="n"/>
      <c r="K176" s="18" t="n"/>
    </row>
    <row r="177">
      <c r="A177" s="18" t="n">
        <v>148</v>
      </c>
      <c r="B177" s="56" t="inlineStr">
        <is>
          <t>00032-FER</t>
        </is>
      </c>
      <c r="C177" s="56">
        <f>IFERROR(_xlfn.XLOOKUP(ENTRADAS[[#This Row],[CODIGO]],LISTADO[CODIGOS],LISTADO[CATEGORIA]),"NO EXISTE")</f>
        <v/>
      </c>
      <c r="D177" s="56">
        <f>IFERROR(_xlfn.XLOOKUP(ENTRADAS[[#This Row],[CODIGO]],LISTADO[CODIGOS],LISTADO[PRODUCTOS]),"NO EXISTE")</f>
        <v/>
      </c>
      <c r="E177" s="19" t="n">
        <v>46066</v>
      </c>
      <c r="F177" s="18" t="n">
        <v>12</v>
      </c>
      <c r="G177" s="18" t="inlineStr">
        <is>
          <t>INVENTARIO</t>
        </is>
      </c>
      <c r="H177" s="18" t="n"/>
      <c r="I177" s="45" t="n"/>
      <c r="J177" s="77" t="n"/>
      <c r="K177" s="18" t="n"/>
    </row>
    <row r="178">
      <c r="A178" s="18" t="n">
        <v>149</v>
      </c>
      <c r="B178" s="56" t="inlineStr">
        <is>
          <t>00027-FER</t>
        </is>
      </c>
      <c r="C178" s="56">
        <f>IFERROR(_xlfn.XLOOKUP(ENTRADAS[[#This Row],[CODIGO]],LISTADO[CODIGOS],LISTADO[CATEGORIA]),"NO EXISTE")</f>
        <v/>
      </c>
      <c r="D178" s="56">
        <f>IFERROR(_xlfn.XLOOKUP(ENTRADAS[[#This Row],[CODIGO]],LISTADO[CODIGOS],LISTADO[PRODUCTOS]),"NO EXISTE")</f>
        <v/>
      </c>
      <c r="E178" s="19" t="n">
        <v>46066</v>
      </c>
      <c r="F178" s="18" t="n">
        <v>3</v>
      </c>
      <c r="G178" s="18" t="inlineStr">
        <is>
          <t>INVENTARIO</t>
        </is>
      </c>
      <c r="H178" s="18" t="n"/>
      <c r="I178" s="45" t="n"/>
      <c r="J178" s="77" t="n"/>
      <c r="K178" s="18" t="n"/>
    </row>
    <row r="179">
      <c r="A179" s="18" t="n">
        <v>150</v>
      </c>
      <c r="B179" s="56" t="inlineStr">
        <is>
          <t>00029-FER</t>
        </is>
      </c>
      <c r="C179" s="56">
        <f>IFERROR(_xlfn.XLOOKUP(ENTRADAS[[#This Row],[CODIGO]],LISTADO[CODIGOS],LISTADO[CATEGORIA]),"NO EXISTE")</f>
        <v/>
      </c>
      <c r="D179" s="56">
        <f>IFERROR(_xlfn.XLOOKUP(ENTRADAS[[#This Row],[CODIGO]],LISTADO[CODIGOS],LISTADO[PRODUCTOS]),"NO EXISTE")</f>
        <v/>
      </c>
      <c r="E179" s="19" t="n">
        <v>46066</v>
      </c>
      <c r="F179" s="18" t="n">
        <v>4</v>
      </c>
      <c r="G179" s="18" t="inlineStr">
        <is>
          <t>INVENTARIO</t>
        </is>
      </c>
      <c r="H179" s="18" t="n"/>
      <c r="I179" s="45" t="n"/>
      <c r="J179" s="77" t="n"/>
      <c r="K179" s="18" t="n"/>
    </row>
    <row r="180">
      <c r="A180" s="18" t="n">
        <v>151</v>
      </c>
      <c r="B180" s="56" t="inlineStr">
        <is>
          <t>00041-FER</t>
        </is>
      </c>
      <c r="C180" s="56">
        <f>IFERROR(_xlfn.XLOOKUP(ENTRADAS[[#This Row],[CODIGO]],LISTADO[CODIGOS],LISTADO[CATEGORIA]),"NO EXISTE")</f>
        <v/>
      </c>
      <c r="D180" s="56">
        <f>IFERROR(_xlfn.XLOOKUP(ENTRADAS[[#This Row],[CODIGO]],LISTADO[CODIGOS],LISTADO[PRODUCTOS]),"NO EXISTE")</f>
        <v/>
      </c>
      <c r="E180" s="19" t="n">
        <v>46066</v>
      </c>
      <c r="F180" s="18" t="n">
        <v>4</v>
      </c>
      <c r="G180" s="18" t="inlineStr">
        <is>
          <t>INVENTARIO</t>
        </is>
      </c>
      <c r="H180" s="18" t="n"/>
      <c r="I180" s="45" t="n"/>
      <c r="J180" s="77" t="n"/>
      <c r="K180" s="18" t="n"/>
    </row>
    <row r="181">
      <c r="A181" s="18" t="n">
        <v>152</v>
      </c>
      <c r="B181" s="56" t="inlineStr">
        <is>
          <t>00040-FER</t>
        </is>
      </c>
      <c r="C181" s="56">
        <f>IFERROR(_xlfn.XLOOKUP(ENTRADAS[[#This Row],[CODIGO]],LISTADO[CODIGOS],LISTADO[CATEGORIA]),"NO EXISTE")</f>
        <v/>
      </c>
      <c r="D181" s="56">
        <f>IFERROR(_xlfn.XLOOKUP(ENTRADAS[[#This Row],[CODIGO]],LISTADO[CODIGOS],LISTADO[PRODUCTOS]),"NO EXISTE")</f>
        <v/>
      </c>
      <c r="E181" s="19" t="n">
        <v>46066</v>
      </c>
      <c r="F181" s="18" t="n">
        <v>0.5</v>
      </c>
      <c r="G181" s="18" t="inlineStr">
        <is>
          <t>INVENTARIO</t>
        </is>
      </c>
      <c r="H181" s="18" t="n"/>
      <c r="I181" s="45" t="n"/>
      <c r="J181" s="77" t="n"/>
      <c r="K181" s="18" t="n"/>
    </row>
    <row r="182">
      <c r="A182" s="18" t="n">
        <v>153</v>
      </c>
      <c r="B182" s="56" t="inlineStr">
        <is>
          <t>00044-FER</t>
        </is>
      </c>
      <c r="C182" s="56">
        <f>IFERROR(_xlfn.XLOOKUP(ENTRADAS[[#This Row],[CODIGO]],LISTADO[CODIGOS],LISTADO[CATEGORIA]),"NO EXISTE")</f>
        <v/>
      </c>
      <c r="D182" s="56">
        <f>IFERROR(_xlfn.XLOOKUP(ENTRADAS[[#This Row],[CODIGO]],LISTADO[CODIGOS],LISTADO[PRODUCTOS]),"NO EXISTE")</f>
        <v/>
      </c>
      <c r="E182" s="19" t="n">
        <v>46066</v>
      </c>
      <c r="F182" s="18" t="n">
        <v>2</v>
      </c>
      <c r="G182" s="18" t="inlineStr">
        <is>
          <t>INVENTARIO</t>
        </is>
      </c>
      <c r="H182" s="18" t="n"/>
      <c r="I182" s="45" t="n"/>
      <c r="J182" s="77" t="n"/>
      <c r="K182" s="18" t="n"/>
    </row>
    <row r="183">
      <c r="A183" s="18" t="n">
        <v>154</v>
      </c>
      <c r="B183" s="56" t="inlineStr">
        <is>
          <t>00046-FER</t>
        </is>
      </c>
      <c r="C183" s="56">
        <f>IFERROR(_xlfn.XLOOKUP(ENTRADAS[[#This Row],[CODIGO]],LISTADO[CODIGOS],LISTADO[CATEGORIA]),"NO EXISTE")</f>
        <v/>
      </c>
      <c r="D183" s="56">
        <f>IFERROR(_xlfn.XLOOKUP(ENTRADAS[[#This Row],[CODIGO]],LISTADO[CODIGOS],LISTADO[PRODUCTOS]),"NO EXISTE")</f>
        <v/>
      </c>
      <c r="E183" s="19" t="n">
        <v>46066</v>
      </c>
      <c r="F183" s="18" t="n">
        <v>0.5</v>
      </c>
      <c r="G183" s="18" t="inlineStr">
        <is>
          <t>INVENTARIO</t>
        </is>
      </c>
      <c r="H183" s="18" t="n"/>
      <c r="I183" s="45" t="n"/>
      <c r="J183" s="77" t="n"/>
      <c r="K183" s="18" t="n"/>
    </row>
    <row r="184">
      <c r="A184" s="18" t="n">
        <v>155</v>
      </c>
      <c r="B184" s="56" t="inlineStr">
        <is>
          <t>00075-FER</t>
        </is>
      </c>
      <c r="C184" s="56">
        <f>IFERROR(_xlfn.XLOOKUP(ENTRADAS[[#This Row],[CODIGO]],LISTADO[CODIGOS],LISTADO[CATEGORIA]),"NO EXISTE")</f>
        <v/>
      </c>
      <c r="D184" s="56">
        <f>IFERROR(_xlfn.XLOOKUP(ENTRADAS[[#This Row],[CODIGO]],LISTADO[CODIGOS],LISTADO[PRODUCTOS]),"NO EXISTE")</f>
        <v/>
      </c>
      <c r="E184" s="19" t="n">
        <v>46066</v>
      </c>
      <c r="F184" s="18" t="n">
        <v>1</v>
      </c>
      <c r="G184" s="18" t="inlineStr">
        <is>
          <t>INVENTARIO</t>
        </is>
      </c>
      <c r="H184" s="18" t="n"/>
      <c r="I184" s="45" t="n"/>
      <c r="J184" s="77" t="n"/>
      <c r="K184" s="18" t="n"/>
    </row>
    <row r="185">
      <c r="A185" s="18" t="n">
        <v>156</v>
      </c>
      <c r="B185" s="56" t="inlineStr">
        <is>
          <t>00031-FER</t>
        </is>
      </c>
      <c r="C185" s="56">
        <f>IFERROR(_xlfn.XLOOKUP(ENTRADAS[[#This Row],[CODIGO]],LISTADO[CODIGOS],LISTADO[CATEGORIA]),"NO EXISTE")</f>
        <v/>
      </c>
      <c r="D185" s="56">
        <f>IFERROR(_xlfn.XLOOKUP(ENTRADAS[[#This Row],[CODIGO]],LISTADO[CODIGOS],LISTADO[PRODUCTOS]),"NO EXISTE")</f>
        <v/>
      </c>
      <c r="E185" s="19" t="n">
        <v>46066</v>
      </c>
      <c r="F185" s="18" t="n">
        <v>10</v>
      </c>
      <c r="G185" s="18" t="inlineStr">
        <is>
          <t>INVENTARIO</t>
        </is>
      </c>
      <c r="H185" s="18" t="n"/>
      <c r="I185" s="45" t="n"/>
      <c r="J185" s="77" t="n"/>
      <c r="K185" s="18" t="n"/>
    </row>
    <row r="186">
      <c r="A186" s="18" t="n">
        <v>157</v>
      </c>
      <c r="B186" s="56" t="inlineStr">
        <is>
          <t>00057-FER</t>
        </is>
      </c>
      <c r="C186" s="56">
        <f>IFERROR(_xlfn.XLOOKUP(ENTRADAS[[#This Row],[CODIGO]],LISTADO[CODIGOS],LISTADO[CATEGORIA]),"NO EXISTE")</f>
        <v/>
      </c>
      <c r="D186" s="56">
        <f>IFERROR(_xlfn.XLOOKUP(ENTRADAS[[#This Row],[CODIGO]],LISTADO[CODIGOS],LISTADO[PRODUCTOS]),"NO EXISTE")</f>
        <v/>
      </c>
      <c r="E186" s="19" t="n">
        <v>46066</v>
      </c>
      <c r="F186" s="18" t="n">
        <v>1</v>
      </c>
      <c r="G186" s="18" t="inlineStr">
        <is>
          <t>INVENTARIO</t>
        </is>
      </c>
      <c r="H186" s="18" t="n"/>
      <c r="I186" s="45" t="n"/>
      <c r="J186" s="77" t="n"/>
      <c r="K186" s="18" t="n"/>
    </row>
    <row r="187">
      <c r="A187" s="18" t="n">
        <v>158</v>
      </c>
      <c r="B187" s="56" t="inlineStr">
        <is>
          <t>00045-FER</t>
        </is>
      </c>
      <c r="C187" s="56">
        <f>IFERROR(_xlfn.XLOOKUP(ENTRADAS[[#This Row],[CODIGO]],LISTADO[CODIGOS],LISTADO[CATEGORIA]),"NO EXISTE")</f>
        <v/>
      </c>
      <c r="D187" s="56">
        <f>IFERROR(_xlfn.XLOOKUP(ENTRADAS[[#This Row],[CODIGO]],LISTADO[CODIGOS],LISTADO[PRODUCTOS]),"NO EXISTE")</f>
        <v/>
      </c>
      <c r="E187" s="19" t="n">
        <v>46066</v>
      </c>
      <c r="F187" s="18" t="n">
        <v>1</v>
      </c>
      <c r="G187" s="18" t="inlineStr">
        <is>
          <t>INVENTARIO</t>
        </is>
      </c>
      <c r="H187" s="18" t="n"/>
      <c r="I187" s="45" t="n"/>
      <c r="J187" s="77" t="n"/>
      <c r="K187" s="18" t="n"/>
    </row>
    <row r="188">
      <c r="A188" s="18" t="n">
        <v>159</v>
      </c>
      <c r="B188" s="56" t="inlineStr">
        <is>
          <t>00033-FER</t>
        </is>
      </c>
      <c r="C188" s="56">
        <f>IFERROR(_xlfn.XLOOKUP(ENTRADAS[[#This Row],[CODIGO]],LISTADO[CODIGOS],LISTADO[CATEGORIA]),"NO EXISTE")</f>
        <v/>
      </c>
      <c r="D188" s="56">
        <f>IFERROR(_xlfn.XLOOKUP(ENTRADAS[[#This Row],[CODIGO]],LISTADO[CODIGOS],LISTADO[PRODUCTOS]),"NO EXISTE")</f>
        <v/>
      </c>
      <c r="E188" s="19" t="n">
        <v>46066</v>
      </c>
      <c r="F188" s="18" t="n">
        <v>2</v>
      </c>
      <c r="G188" s="18" t="inlineStr">
        <is>
          <t>INVENTARIO</t>
        </is>
      </c>
      <c r="H188" s="18" t="n"/>
      <c r="I188" s="45" t="n"/>
      <c r="J188" s="77" t="n"/>
      <c r="K188" s="18" t="n"/>
    </row>
    <row r="189">
      <c r="A189" s="18" t="n">
        <v>160</v>
      </c>
      <c r="B189" s="56" t="inlineStr">
        <is>
          <t>00034-FER</t>
        </is>
      </c>
      <c r="C189" s="56">
        <f>IFERROR(_xlfn.XLOOKUP(ENTRADAS[[#This Row],[CODIGO]],LISTADO[CODIGOS],LISTADO[CATEGORIA]),"NO EXISTE")</f>
        <v/>
      </c>
      <c r="D189" s="56">
        <f>IFERROR(_xlfn.XLOOKUP(ENTRADAS[[#This Row],[CODIGO]],LISTADO[CODIGOS],LISTADO[PRODUCTOS]),"NO EXISTE")</f>
        <v/>
      </c>
      <c r="E189" s="19" t="n">
        <v>46066</v>
      </c>
      <c r="F189" s="18" t="n">
        <v>1</v>
      </c>
      <c r="G189" s="18" t="inlineStr">
        <is>
          <t>INVENTARIO</t>
        </is>
      </c>
      <c r="H189" s="18" t="n"/>
      <c r="I189" s="45" t="n"/>
      <c r="J189" s="77" t="n"/>
      <c r="K189" s="18" t="n"/>
    </row>
    <row r="190">
      <c r="A190" s="18" t="n">
        <v>161</v>
      </c>
      <c r="B190" s="56" t="inlineStr">
        <is>
          <t>00076-FER</t>
        </is>
      </c>
      <c r="C190" s="56">
        <f>IFERROR(_xlfn.XLOOKUP(ENTRADAS[[#This Row],[CODIGO]],LISTADO[CODIGOS],LISTADO[CATEGORIA]),"NO EXISTE")</f>
        <v/>
      </c>
      <c r="D190" s="56">
        <f>IFERROR(_xlfn.XLOOKUP(ENTRADAS[[#This Row],[CODIGO]],LISTADO[CODIGOS],LISTADO[PRODUCTOS]),"NO EXISTE")</f>
        <v/>
      </c>
      <c r="E190" s="19" t="n">
        <v>46066</v>
      </c>
      <c r="F190" s="18" t="n">
        <v>5</v>
      </c>
      <c r="G190" s="18" t="inlineStr">
        <is>
          <t>INVENTARIO</t>
        </is>
      </c>
      <c r="H190" s="18" t="n"/>
      <c r="I190" s="45" t="n"/>
      <c r="J190" s="77" t="n"/>
      <c r="K190" s="18" t="n"/>
    </row>
    <row r="191">
      <c r="A191" s="18" t="n">
        <v>162</v>
      </c>
      <c r="B191" s="56" t="inlineStr">
        <is>
          <t>00036-FER</t>
        </is>
      </c>
      <c r="C191" s="56">
        <f>IFERROR(_xlfn.XLOOKUP(ENTRADAS[[#This Row],[CODIGO]],LISTADO[CODIGOS],LISTADO[CATEGORIA]),"NO EXISTE")</f>
        <v/>
      </c>
      <c r="D191" s="56">
        <f>IFERROR(_xlfn.XLOOKUP(ENTRADAS[[#This Row],[CODIGO]],LISTADO[CODIGOS],LISTADO[PRODUCTOS]),"NO EXISTE")</f>
        <v/>
      </c>
      <c r="E191" s="19" t="n">
        <v>46066</v>
      </c>
      <c r="F191" s="18" t="n">
        <v>3</v>
      </c>
      <c r="G191" s="18" t="inlineStr">
        <is>
          <t>INVENTARIO</t>
        </is>
      </c>
      <c r="H191" s="18" t="n"/>
      <c r="I191" s="45" t="n"/>
      <c r="J191" s="77" t="n"/>
      <c r="K191" s="18" t="n"/>
    </row>
    <row r="192">
      <c r="A192" s="18" t="n">
        <v>163</v>
      </c>
      <c r="B192" s="56" t="inlineStr">
        <is>
          <t>00038-FER</t>
        </is>
      </c>
      <c r="C192" s="56">
        <f>IFERROR(_xlfn.XLOOKUP(ENTRADAS[[#This Row],[CODIGO]],LISTADO[CODIGOS],LISTADO[CATEGORIA]),"NO EXISTE")</f>
        <v/>
      </c>
      <c r="D192" s="56">
        <f>IFERROR(_xlfn.XLOOKUP(ENTRADAS[[#This Row],[CODIGO]],LISTADO[CODIGOS],LISTADO[PRODUCTOS]),"NO EXISTE")</f>
        <v/>
      </c>
      <c r="E192" s="19" t="n">
        <v>46066</v>
      </c>
      <c r="F192" s="18" t="n">
        <v>1</v>
      </c>
      <c r="G192" s="18" t="inlineStr">
        <is>
          <t>INVENTARIO</t>
        </is>
      </c>
      <c r="H192" s="18" t="n"/>
      <c r="I192" s="45" t="n"/>
      <c r="J192" s="77" t="n"/>
      <c r="K192" s="18" t="n"/>
    </row>
    <row r="193">
      <c r="A193" s="18" t="n">
        <v>164</v>
      </c>
      <c r="B193" s="56" t="inlineStr">
        <is>
          <t>00037-FER</t>
        </is>
      </c>
      <c r="C193" s="56">
        <f>IFERROR(_xlfn.XLOOKUP(ENTRADAS[[#This Row],[CODIGO]],LISTADO[CODIGOS],LISTADO[CATEGORIA]),"NO EXISTE")</f>
        <v/>
      </c>
      <c r="D193" s="56">
        <f>IFERROR(_xlfn.XLOOKUP(ENTRADAS[[#This Row],[CODIGO]],LISTADO[CODIGOS],LISTADO[PRODUCTOS]),"NO EXISTE")</f>
        <v/>
      </c>
      <c r="E193" s="19" t="n">
        <v>46066</v>
      </c>
      <c r="F193" s="18" t="n">
        <v>1</v>
      </c>
      <c r="G193" s="18" t="inlineStr">
        <is>
          <t>INVENTARIO</t>
        </is>
      </c>
      <c r="H193" s="18" t="n"/>
      <c r="I193" s="45" t="n"/>
      <c r="J193" s="77" t="n"/>
      <c r="K193" s="18" t="n"/>
    </row>
    <row r="194">
      <c r="A194" s="18" t="n">
        <v>165</v>
      </c>
      <c r="B194" s="56" t="inlineStr">
        <is>
          <t>00025-FER</t>
        </is>
      </c>
      <c r="C194" s="56">
        <f>IFERROR(_xlfn.XLOOKUP(ENTRADAS[[#This Row],[CODIGO]],LISTADO[CODIGOS],LISTADO[CATEGORIA]),"NO EXISTE")</f>
        <v/>
      </c>
      <c r="D194" s="56">
        <f>IFERROR(_xlfn.XLOOKUP(ENTRADAS[[#This Row],[CODIGO]],LISTADO[CODIGOS],LISTADO[PRODUCTOS]),"NO EXISTE")</f>
        <v/>
      </c>
      <c r="E194" s="19" t="n">
        <v>46066</v>
      </c>
      <c r="F194" s="18" t="n">
        <v>1</v>
      </c>
      <c r="G194" s="18" t="inlineStr">
        <is>
          <t>INVENTARIO</t>
        </is>
      </c>
      <c r="H194" s="18" t="n"/>
      <c r="I194" s="45" t="n"/>
      <c r="J194" s="77" t="n"/>
      <c r="K194" s="18" t="n"/>
    </row>
    <row r="195">
      <c r="A195" s="18" t="n">
        <v>166</v>
      </c>
      <c r="B195" s="56" t="inlineStr">
        <is>
          <t>00035-FER</t>
        </is>
      </c>
      <c r="C195" s="56">
        <f>IFERROR(_xlfn.XLOOKUP(ENTRADAS[[#This Row],[CODIGO]],LISTADO[CODIGOS],LISTADO[CATEGORIA]),"NO EXISTE")</f>
        <v/>
      </c>
      <c r="D195" s="56">
        <f>IFERROR(_xlfn.XLOOKUP(ENTRADAS[[#This Row],[CODIGO]],LISTADO[CODIGOS],LISTADO[PRODUCTOS]),"NO EXISTE")</f>
        <v/>
      </c>
      <c r="E195" s="19" t="n">
        <v>46066</v>
      </c>
      <c r="F195" s="18" t="n">
        <v>1</v>
      </c>
      <c r="G195" s="18" t="inlineStr">
        <is>
          <t>INVENTARIO</t>
        </is>
      </c>
      <c r="H195" s="18" t="n"/>
      <c r="I195" s="45" t="n"/>
      <c r="J195" s="77" t="n"/>
      <c r="K195" s="18" t="n"/>
    </row>
    <row r="196">
      <c r="A196" s="18" t="n">
        <v>167</v>
      </c>
      <c r="B196" s="56" t="inlineStr">
        <is>
          <t>00042-FER</t>
        </is>
      </c>
      <c r="C196" s="56">
        <f>IFERROR(_xlfn.XLOOKUP(ENTRADAS[[#This Row],[CODIGO]],LISTADO[CODIGOS],LISTADO[CATEGORIA]),"NO EXISTE")</f>
        <v/>
      </c>
      <c r="D196" s="56">
        <f>IFERROR(_xlfn.XLOOKUP(ENTRADAS[[#This Row],[CODIGO]],LISTADO[CODIGOS],LISTADO[PRODUCTOS]),"NO EXISTE")</f>
        <v/>
      </c>
      <c r="E196" s="19" t="n">
        <v>46066</v>
      </c>
      <c r="F196" s="18" t="n">
        <v>0.5</v>
      </c>
      <c r="G196" s="18" t="inlineStr">
        <is>
          <t>INVENTARIO</t>
        </is>
      </c>
      <c r="H196" s="18" t="n"/>
      <c r="I196" s="45" t="n"/>
      <c r="J196" s="77" t="n"/>
      <c r="K196" s="18" t="n"/>
    </row>
    <row r="197">
      <c r="A197" s="18" t="n">
        <v>168</v>
      </c>
      <c r="B197" s="56" t="inlineStr">
        <is>
          <t>00053-FER</t>
        </is>
      </c>
      <c r="C197" s="56">
        <f>IFERROR(_xlfn.XLOOKUP(ENTRADAS[[#This Row],[CODIGO]],LISTADO[CODIGOS],LISTADO[CATEGORIA]),"NO EXISTE")</f>
        <v/>
      </c>
      <c r="D197" s="56">
        <f>IFERROR(_xlfn.XLOOKUP(ENTRADAS[[#This Row],[CODIGO]],LISTADO[CODIGOS],LISTADO[PRODUCTOS]),"NO EXISTE")</f>
        <v/>
      </c>
      <c r="E197" s="19" t="n">
        <v>46066</v>
      </c>
      <c r="F197" s="18" t="n">
        <v>0.25</v>
      </c>
      <c r="G197" s="18" t="inlineStr">
        <is>
          <t>INVENTARIO</t>
        </is>
      </c>
      <c r="H197" s="18" t="n"/>
      <c r="I197" s="45" t="n"/>
      <c r="J197" s="77" t="n"/>
      <c r="K197" s="18" t="n"/>
    </row>
    <row r="198">
      <c r="A198" s="18" t="n">
        <v>169</v>
      </c>
      <c r="B198" s="56" t="inlineStr">
        <is>
          <t>00005-HRR</t>
        </is>
      </c>
      <c r="C198" s="56">
        <f>IFERROR(_xlfn.XLOOKUP(ENTRADAS[[#This Row],[CODIGO]],LISTADO[CODIGOS],LISTADO[CATEGORIA]),"NO EXISTE")</f>
        <v/>
      </c>
      <c r="D198" s="56">
        <f>IFERROR(_xlfn.XLOOKUP(ENTRADAS[[#This Row],[CODIGO]],LISTADO[CODIGOS],LISTADO[PRODUCTOS]),"NO EXISTE")</f>
        <v/>
      </c>
      <c r="E198" s="19" t="n">
        <v>46066</v>
      </c>
      <c r="F198" s="18" t="n">
        <v>21</v>
      </c>
      <c r="G198" s="18" t="inlineStr">
        <is>
          <t>INVENTARIO</t>
        </is>
      </c>
      <c r="H198" s="18" t="n"/>
      <c r="I198" s="45" t="n"/>
      <c r="J198" s="77" t="n"/>
      <c r="K198" s="18" t="n"/>
    </row>
    <row r="199">
      <c r="A199" s="18" t="n">
        <v>170</v>
      </c>
      <c r="B199" s="56" t="inlineStr">
        <is>
          <t>00004-HRR</t>
        </is>
      </c>
      <c r="C199" s="56">
        <f>IFERROR(_xlfn.XLOOKUP(ENTRADAS[[#This Row],[CODIGO]],LISTADO[CODIGOS],LISTADO[CATEGORIA]),"NO EXISTE")</f>
        <v/>
      </c>
      <c r="D199" s="56">
        <f>IFERROR(_xlfn.XLOOKUP(ENTRADAS[[#This Row],[CODIGO]],LISTADO[CODIGOS],LISTADO[PRODUCTOS]),"NO EXISTE")</f>
        <v/>
      </c>
      <c r="E199" s="19" t="n">
        <v>46066</v>
      </c>
      <c r="F199" s="18" t="n">
        <v>31</v>
      </c>
      <c r="G199" s="18" t="inlineStr">
        <is>
          <t>INVENTARIO</t>
        </is>
      </c>
      <c r="H199" s="18" t="n"/>
      <c r="I199" s="45" t="n"/>
      <c r="J199" s="77" t="n"/>
      <c r="K199" s="18" t="n"/>
    </row>
    <row r="200">
      <c r="A200" s="18" t="n">
        <v>171</v>
      </c>
      <c r="B200" s="56" t="inlineStr">
        <is>
          <t>00006-HRR</t>
        </is>
      </c>
      <c r="C200" s="56">
        <f>IFERROR(_xlfn.XLOOKUP(ENTRADAS[[#This Row],[CODIGO]],LISTADO[CODIGOS],LISTADO[CATEGORIA]),"NO EXISTE")</f>
        <v/>
      </c>
      <c r="D200" s="56">
        <f>IFERROR(_xlfn.XLOOKUP(ENTRADAS[[#This Row],[CODIGO]],LISTADO[CODIGOS],LISTADO[PRODUCTOS]),"NO EXISTE")</f>
        <v/>
      </c>
      <c r="E200" s="19" t="n">
        <v>46066</v>
      </c>
      <c r="F200" s="18" t="n">
        <v>34</v>
      </c>
      <c r="G200" s="18" t="inlineStr">
        <is>
          <t>INVENTARIO</t>
        </is>
      </c>
      <c r="H200" s="18" t="n"/>
      <c r="I200" s="45" t="n"/>
      <c r="J200" s="77" t="n"/>
      <c r="K200" s="18" t="n"/>
    </row>
    <row r="201">
      <c r="A201" s="18" t="n">
        <v>172</v>
      </c>
      <c r="B201" s="56" t="inlineStr">
        <is>
          <t>00007-HRR</t>
        </is>
      </c>
      <c r="C201" s="56">
        <f>IFERROR(_xlfn.XLOOKUP(ENTRADAS[[#This Row],[CODIGO]],LISTADO[CODIGOS],LISTADO[CATEGORIA]),"NO EXISTE")</f>
        <v/>
      </c>
      <c r="D201" s="56">
        <f>IFERROR(_xlfn.XLOOKUP(ENTRADAS[[#This Row],[CODIGO]],LISTADO[CODIGOS],LISTADO[PRODUCTOS]),"NO EXISTE")</f>
        <v/>
      </c>
      <c r="E201" s="19" t="n">
        <v>46066</v>
      </c>
      <c r="F201" s="56">
        <f>12+48</f>
        <v/>
      </c>
      <c r="G201" s="18" t="inlineStr">
        <is>
          <t>INVENTARIO</t>
        </is>
      </c>
      <c r="H201" s="18" t="n"/>
      <c r="I201" s="45" t="n"/>
      <c r="J201" s="77" t="n"/>
      <c r="K201" s="18" t="n"/>
    </row>
    <row r="202">
      <c r="A202" s="18" t="n">
        <v>173</v>
      </c>
      <c r="B202" s="56" t="inlineStr">
        <is>
          <t>00003-HRR</t>
        </is>
      </c>
      <c r="C202" s="56">
        <f>IFERROR(_xlfn.XLOOKUP(ENTRADAS[[#This Row],[CODIGO]],LISTADO[CODIGOS],LISTADO[CATEGORIA]),"NO EXISTE")</f>
        <v/>
      </c>
      <c r="D202" s="56">
        <f>IFERROR(_xlfn.XLOOKUP(ENTRADAS[[#This Row],[CODIGO]],LISTADO[CODIGOS],LISTADO[PRODUCTOS]),"NO EXISTE")</f>
        <v/>
      </c>
      <c r="E202" s="19" t="n">
        <v>46066</v>
      </c>
      <c r="F202" s="18" t="n">
        <v>32</v>
      </c>
      <c r="G202" s="18" t="inlineStr">
        <is>
          <t>INVENTARIO</t>
        </is>
      </c>
      <c r="H202" s="18" t="n"/>
      <c r="I202" s="45" t="n"/>
      <c r="J202" s="77" t="n"/>
      <c r="K202" s="18" t="n"/>
    </row>
    <row r="203">
      <c r="A203" s="18" t="n">
        <v>174</v>
      </c>
      <c r="B203" s="56" t="inlineStr">
        <is>
          <t>00022-FER</t>
        </is>
      </c>
      <c r="C203" s="56">
        <f>IFERROR(_xlfn.XLOOKUP(ENTRADAS[[#This Row],[CODIGO]],LISTADO[CODIGOS],LISTADO[CATEGORIA]),"NO EXISTE")</f>
        <v/>
      </c>
      <c r="D203" s="56">
        <f>IFERROR(_xlfn.XLOOKUP(ENTRADAS[[#This Row],[CODIGO]],LISTADO[CODIGOS],LISTADO[PRODUCTOS]),"NO EXISTE")</f>
        <v/>
      </c>
      <c r="E203" s="19" t="n">
        <v>46066</v>
      </c>
      <c r="F203" s="18" t="n">
        <v>3</v>
      </c>
      <c r="G203" s="18" t="inlineStr">
        <is>
          <t>INVENTARIO</t>
        </is>
      </c>
      <c r="H203" s="18" t="n"/>
      <c r="I203" s="45" t="n"/>
      <c r="J203" s="77" t="n"/>
      <c r="K203" s="18" t="n"/>
    </row>
    <row r="204">
      <c r="A204" s="18" t="n">
        <v>175</v>
      </c>
      <c r="B204" s="56" t="inlineStr">
        <is>
          <t>00002-HRR</t>
        </is>
      </c>
      <c r="C204" s="56">
        <f>IFERROR(_xlfn.XLOOKUP(ENTRADAS[[#This Row],[CODIGO]],LISTADO[CODIGOS],LISTADO[CATEGORIA]),"NO EXISTE")</f>
        <v/>
      </c>
      <c r="D204" s="56">
        <f>IFERROR(_xlfn.XLOOKUP(ENTRADAS[[#This Row],[CODIGO]],LISTADO[CODIGOS],LISTADO[PRODUCTOS]),"NO EXISTE")</f>
        <v/>
      </c>
      <c r="E204" s="19" t="n">
        <v>46066</v>
      </c>
      <c r="F204" s="18" t="n">
        <v>3</v>
      </c>
      <c r="G204" s="18" t="inlineStr">
        <is>
          <t>INVENTARIO</t>
        </is>
      </c>
      <c r="H204" s="18" t="n"/>
      <c r="I204" s="45" t="n"/>
      <c r="J204" s="77" t="n"/>
      <c r="K204" s="18" t="n"/>
    </row>
    <row r="205">
      <c r="A205" s="18" t="n">
        <v>176</v>
      </c>
      <c r="B205" s="56" t="inlineStr">
        <is>
          <t>00007-HRR</t>
        </is>
      </c>
      <c r="C205" s="56">
        <f>IFERROR(_xlfn.XLOOKUP(ENTRADAS[[#This Row],[CODIGO]],LISTADO[CODIGOS],LISTADO[CATEGORIA]),"NO EXISTE")</f>
        <v/>
      </c>
      <c r="D205" s="56">
        <f>IFERROR(_xlfn.XLOOKUP(ENTRADAS[[#This Row],[CODIGO]],LISTADO[CODIGOS],LISTADO[PRODUCTOS]),"NO EXISTE")</f>
        <v/>
      </c>
      <c r="E205" s="19" t="n">
        <v>46066</v>
      </c>
      <c r="F205" s="18" t="n">
        <v>2</v>
      </c>
      <c r="G205" s="18" t="inlineStr">
        <is>
          <t>DEVOLUCION</t>
        </is>
      </c>
      <c r="H205" s="18" t="n"/>
      <c r="I205" s="45" t="n"/>
      <c r="J205" s="77" t="n"/>
      <c r="K205" s="18" t="n"/>
    </row>
    <row r="206">
      <c r="A206" s="18" t="n">
        <v>217</v>
      </c>
      <c r="B206" s="56" t="inlineStr">
        <is>
          <t>00051-FER</t>
        </is>
      </c>
      <c r="C206" s="56">
        <f>IFERROR(_xlfn.XLOOKUP(ENTRADAS[[#This Row],[CODIGO]],LISTADO[CODIGOS],LISTADO[CATEGORIA]),"NO EXISTE")</f>
        <v/>
      </c>
      <c r="D206" s="56">
        <f>IFERROR(_xlfn.XLOOKUP(ENTRADAS[[#This Row],[CODIGO]],LISTADO[CODIGOS],LISTADO[PRODUCTOS]),"NO EXISTE")</f>
        <v/>
      </c>
      <c r="E206" s="19" t="n">
        <v>46066</v>
      </c>
      <c r="F206" s="18" t="n">
        <v>2</v>
      </c>
      <c r="G206" s="18" t="inlineStr">
        <is>
          <t>INVENTARIO</t>
        </is>
      </c>
      <c r="H206" s="18" t="n"/>
      <c r="I206" s="45" t="n"/>
      <c r="J206" s="77" t="n"/>
      <c r="K206" s="18" t="n"/>
    </row>
    <row r="207">
      <c r="A207" s="18" t="n">
        <v>177</v>
      </c>
      <c r="B207" s="56" t="inlineStr">
        <is>
          <t>00008-REF</t>
        </is>
      </c>
      <c r="C207" s="56">
        <f>IFERROR(_xlfn.XLOOKUP(ENTRADAS[[#This Row],[CODIGO]],LISTADO[CODIGOS],LISTADO[CATEGORIA]),"NO EXISTE")</f>
        <v/>
      </c>
      <c r="D207" s="56">
        <f>IFERROR(_xlfn.XLOOKUP(ENTRADAS[[#This Row],[CODIGO]],LISTADO[CODIGOS],LISTADO[PRODUCTOS]),"NO EXISTE")</f>
        <v/>
      </c>
      <c r="E207" s="19" t="n">
        <v>46067</v>
      </c>
      <c r="F207" s="18" t="n">
        <v>3</v>
      </c>
      <c r="G207" s="18" t="inlineStr">
        <is>
          <t>INGRESO</t>
        </is>
      </c>
      <c r="H207" s="18" t="n"/>
      <c r="I207" s="45" t="n"/>
      <c r="J207" s="77" t="n"/>
      <c r="K207" s="18" t="n"/>
    </row>
    <row r="208">
      <c r="A208" s="18" t="n">
        <v>178</v>
      </c>
      <c r="B208" s="56" t="inlineStr">
        <is>
          <t>00003-REF</t>
        </is>
      </c>
      <c r="C208" s="56">
        <f>IFERROR(_xlfn.XLOOKUP(ENTRADAS[[#This Row],[CODIGO]],LISTADO[CODIGOS],LISTADO[CATEGORIA]),"NO EXISTE")</f>
        <v/>
      </c>
      <c r="D208" s="56">
        <f>IFERROR(_xlfn.XLOOKUP(ENTRADAS[[#This Row],[CODIGO]],LISTADO[CODIGOS],LISTADO[PRODUCTOS]),"NO EXISTE")</f>
        <v/>
      </c>
      <c r="E208" s="19" t="n">
        <v>46067</v>
      </c>
      <c r="F208" s="18" t="n">
        <v>4</v>
      </c>
      <c r="G208" s="18" t="inlineStr">
        <is>
          <t>INGRESO</t>
        </is>
      </c>
      <c r="H208" s="18" t="n"/>
      <c r="I208" s="45" t="n"/>
      <c r="J208" s="77" t="n"/>
      <c r="K208" s="18" t="n"/>
    </row>
    <row r="209">
      <c r="A209" s="18" t="n">
        <v>179</v>
      </c>
      <c r="B209" s="56" t="inlineStr">
        <is>
          <t>00006-REF</t>
        </is>
      </c>
      <c r="C209" s="56">
        <f>IFERROR(_xlfn.XLOOKUP(ENTRADAS[[#This Row],[CODIGO]],LISTADO[CODIGOS],LISTADO[CATEGORIA]),"NO EXISTE")</f>
        <v/>
      </c>
      <c r="D209" s="56">
        <f>IFERROR(_xlfn.XLOOKUP(ENTRADAS[[#This Row],[CODIGO]],LISTADO[CODIGOS],LISTADO[PRODUCTOS]),"NO EXISTE")</f>
        <v/>
      </c>
      <c r="E209" s="19" t="n">
        <v>46067</v>
      </c>
      <c r="F209" s="18" t="n">
        <v>4</v>
      </c>
      <c r="G209" s="18" t="inlineStr">
        <is>
          <t>INGRESO</t>
        </is>
      </c>
      <c r="H209" s="18" t="n"/>
      <c r="I209" s="45" t="n"/>
      <c r="J209" s="77" t="n"/>
      <c r="K209" s="18" t="n"/>
    </row>
    <row r="210">
      <c r="A210" s="18" t="n">
        <v>180</v>
      </c>
      <c r="B210" s="56" t="inlineStr">
        <is>
          <t>00007-REF</t>
        </is>
      </c>
      <c r="C210" s="56">
        <f>IFERROR(_xlfn.XLOOKUP(ENTRADAS[[#This Row],[CODIGO]],LISTADO[CODIGOS],LISTADO[CATEGORIA]),"NO EXISTE")</f>
        <v/>
      </c>
      <c r="D210" s="56">
        <f>IFERROR(_xlfn.XLOOKUP(ENTRADAS[[#This Row],[CODIGO]],LISTADO[CODIGOS],LISTADO[PRODUCTOS]),"NO EXISTE")</f>
        <v/>
      </c>
      <c r="E210" s="19" t="n">
        <v>46067</v>
      </c>
      <c r="F210" s="18" t="n">
        <v>2</v>
      </c>
      <c r="G210" s="18" t="inlineStr">
        <is>
          <t>INGRESO</t>
        </is>
      </c>
      <c r="H210" s="18" t="n"/>
      <c r="I210" s="45" t="n"/>
      <c r="J210" s="77" t="n"/>
      <c r="K210" s="18" t="n"/>
    </row>
    <row r="211">
      <c r="A211" s="18" t="n">
        <v>181</v>
      </c>
      <c r="B211" s="56" t="inlineStr">
        <is>
          <t>00005-REF</t>
        </is>
      </c>
      <c r="C211" s="56">
        <f>IFERROR(_xlfn.XLOOKUP(ENTRADAS[[#This Row],[CODIGO]],LISTADO[CODIGOS],LISTADO[CATEGORIA]),"NO EXISTE")</f>
        <v/>
      </c>
      <c r="D211" s="56">
        <f>IFERROR(_xlfn.XLOOKUP(ENTRADAS[[#This Row],[CODIGO]],LISTADO[CODIGOS],LISTADO[PRODUCTOS]),"NO EXISTE")</f>
        <v/>
      </c>
      <c r="E211" s="19" t="n">
        <v>46067</v>
      </c>
      <c r="F211" s="18" t="n">
        <v>2</v>
      </c>
      <c r="G211" s="18" t="inlineStr">
        <is>
          <t>INGRESO</t>
        </is>
      </c>
      <c r="H211" s="18" t="n"/>
      <c r="I211" s="45" t="n"/>
      <c r="J211" s="77" t="n"/>
      <c r="K211" s="18" t="n"/>
    </row>
    <row r="212">
      <c r="A212" s="18" t="n">
        <v>182</v>
      </c>
      <c r="B212" s="56" t="inlineStr">
        <is>
          <t>00004-REF</t>
        </is>
      </c>
      <c r="C212" s="56">
        <f>IFERROR(_xlfn.XLOOKUP(ENTRADAS[[#This Row],[CODIGO]],LISTADO[CODIGOS],LISTADO[CATEGORIA]),"NO EXISTE")</f>
        <v/>
      </c>
      <c r="D212" s="56">
        <f>IFERROR(_xlfn.XLOOKUP(ENTRADAS[[#This Row],[CODIGO]],LISTADO[CODIGOS],LISTADO[PRODUCTOS]),"NO EXISTE")</f>
        <v/>
      </c>
      <c r="E212" s="19" t="n">
        <v>46067</v>
      </c>
      <c r="F212" s="18" t="n">
        <v>2</v>
      </c>
      <c r="G212" s="18" t="inlineStr">
        <is>
          <t>INGRESO</t>
        </is>
      </c>
      <c r="H212" s="18" t="n"/>
      <c r="I212" s="45" t="n"/>
      <c r="J212" s="77" t="n"/>
      <c r="K212" s="18" t="n"/>
    </row>
    <row r="213">
      <c r="A213" s="18" t="n">
        <v>183</v>
      </c>
      <c r="B213" s="56" t="inlineStr">
        <is>
          <t>00008-ILU</t>
        </is>
      </c>
      <c r="C213" s="56">
        <f>IFERROR(_xlfn.XLOOKUP(ENTRADAS[[#This Row],[CODIGO]],LISTADO[CODIGOS],LISTADO[CATEGORIA]),"NO EXISTE")</f>
        <v/>
      </c>
      <c r="D213" s="56">
        <f>IFERROR(_xlfn.XLOOKUP(ENTRADAS[[#This Row],[CODIGO]],LISTADO[CODIGOS],LISTADO[PRODUCTOS]),"NO EXISTE")</f>
        <v/>
      </c>
      <c r="E213" s="19" t="n">
        <v>46067</v>
      </c>
      <c r="F213" s="18" t="n">
        <v>4</v>
      </c>
      <c r="G213" s="18" t="inlineStr">
        <is>
          <t>INVENTARIO</t>
        </is>
      </c>
      <c r="H213" s="18" t="n"/>
      <c r="I213" s="45" t="n"/>
      <c r="J213" s="77" t="n"/>
      <c r="K213" s="18" t="n"/>
    </row>
    <row r="214">
      <c r="A214" s="18" t="n">
        <v>184</v>
      </c>
      <c r="B214" s="56" t="inlineStr">
        <is>
          <t>00005-ILU</t>
        </is>
      </c>
      <c r="C214" s="56">
        <f>IFERROR(_xlfn.XLOOKUP(ENTRADAS[[#This Row],[CODIGO]],LISTADO[CODIGOS],LISTADO[CATEGORIA]),"NO EXISTE")</f>
        <v/>
      </c>
      <c r="D214" s="56">
        <f>IFERROR(_xlfn.XLOOKUP(ENTRADAS[[#This Row],[CODIGO]],LISTADO[CODIGOS],LISTADO[PRODUCTOS]),"NO EXISTE")</f>
        <v/>
      </c>
      <c r="E214" s="19" t="n">
        <v>46067</v>
      </c>
      <c r="F214" s="18" t="n">
        <v>8</v>
      </c>
      <c r="G214" s="18" t="inlineStr">
        <is>
          <t>INVENTARIO</t>
        </is>
      </c>
      <c r="H214" s="18" t="n"/>
      <c r="I214" s="45" t="n"/>
      <c r="J214" s="77" t="n"/>
      <c r="K214" s="18" t="n"/>
    </row>
    <row r="215">
      <c r="A215" s="18" t="n">
        <v>185</v>
      </c>
      <c r="B215" s="56" t="inlineStr">
        <is>
          <t>00007-ILU</t>
        </is>
      </c>
      <c r="C215" s="56">
        <f>IFERROR(_xlfn.XLOOKUP(ENTRADAS[[#This Row],[CODIGO]],LISTADO[CODIGOS],LISTADO[CATEGORIA]),"NO EXISTE")</f>
        <v/>
      </c>
      <c r="D215" s="56">
        <f>IFERROR(_xlfn.XLOOKUP(ENTRADAS[[#This Row],[CODIGO]],LISTADO[CODIGOS],LISTADO[PRODUCTOS]),"NO EXISTE")</f>
        <v/>
      </c>
      <c r="E215" s="19" t="n">
        <v>46067</v>
      </c>
      <c r="F215" s="18" t="n">
        <v>14</v>
      </c>
      <c r="G215" s="18" t="inlineStr">
        <is>
          <t>INVENTARIO</t>
        </is>
      </c>
      <c r="H215" s="18" t="n"/>
      <c r="I215" s="45" t="n"/>
      <c r="J215" s="77" t="n"/>
      <c r="K215" s="18" t="n"/>
    </row>
    <row r="216">
      <c r="A216" s="18" t="n">
        <v>186</v>
      </c>
      <c r="B216" s="56" t="inlineStr">
        <is>
          <t>00002-ILU</t>
        </is>
      </c>
      <c r="C216" s="56">
        <f>IFERROR(_xlfn.XLOOKUP(ENTRADAS[[#This Row],[CODIGO]],LISTADO[CODIGOS],LISTADO[CATEGORIA]),"NO EXISTE")</f>
        <v/>
      </c>
      <c r="D216" s="56">
        <f>IFERROR(_xlfn.XLOOKUP(ENTRADAS[[#This Row],[CODIGO]],LISTADO[CODIGOS],LISTADO[PRODUCTOS]),"NO EXISTE")</f>
        <v/>
      </c>
      <c r="E216" s="19" t="n">
        <v>46067</v>
      </c>
      <c r="F216" s="18" t="n">
        <v>2</v>
      </c>
      <c r="G216" s="18" t="inlineStr">
        <is>
          <t>INVENTARIO</t>
        </is>
      </c>
      <c r="H216" s="18" t="n"/>
      <c r="I216" s="45" t="n"/>
      <c r="J216" s="77" t="n"/>
      <c r="K216" s="18" t="n"/>
    </row>
    <row r="217">
      <c r="A217" s="18" t="n">
        <v>187</v>
      </c>
      <c r="B217" s="56" t="inlineStr">
        <is>
          <t>00009-ILU</t>
        </is>
      </c>
      <c r="C217" s="56">
        <f>IFERROR(_xlfn.XLOOKUP(ENTRADAS[[#This Row],[CODIGO]],LISTADO[CODIGOS],LISTADO[CATEGORIA]),"NO EXISTE")</f>
        <v/>
      </c>
      <c r="D217" s="56">
        <f>IFERROR(_xlfn.XLOOKUP(ENTRADAS[[#This Row],[CODIGO]],LISTADO[CODIGOS],LISTADO[PRODUCTOS]),"NO EXISTE")</f>
        <v/>
      </c>
      <c r="E217" s="19" t="n">
        <v>46067</v>
      </c>
      <c r="F217" s="18" t="n">
        <v>3</v>
      </c>
      <c r="G217" s="18" t="inlineStr">
        <is>
          <t>INVENTARIO</t>
        </is>
      </c>
      <c r="H217" s="18" t="n"/>
      <c r="I217" s="45" t="n"/>
      <c r="J217" s="77" t="n"/>
      <c r="K217" s="18" t="n"/>
    </row>
    <row r="218">
      <c r="A218" s="18" t="n">
        <v>188</v>
      </c>
      <c r="B218" s="56" t="inlineStr">
        <is>
          <t>00021-ILU</t>
        </is>
      </c>
      <c r="C218" s="56">
        <f>IFERROR(_xlfn.XLOOKUP(ENTRADAS[[#This Row],[CODIGO]],LISTADO[CODIGOS],LISTADO[CATEGORIA]),"NO EXISTE")</f>
        <v/>
      </c>
      <c r="D218" s="56">
        <f>IFERROR(_xlfn.XLOOKUP(ENTRADAS[[#This Row],[CODIGO]],LISTADO[CODIGOS],LISTADO[PRODUCTOS]),"NO EXISTE")</f>
        <v/>
      </c>
      <c r="E218" s="19" t="n">
        <v>46067</v>
      </c>
      <c r="F218" s="18" t="n">
        <v>4</v>
      </c>
      <c r="G218" s="18" t="inlineStr">
        <is>
          <t>INVENTARIO</t>
        </is>
      </c>
      <c r="H218" s="18" t="n"/>
      <c r="I218" s="45" t="n"/>
      <c r="J218" s="77" t="n"/>
      <c r="K218" s="18" t="n"/>
    </row>
    <row r="219">
      <c r="A219" s="18" t="n">
        <v>189</v>
      </c>
      <c r="B219" s="56" t="inlineStr">
        <is>
          <t>00019-ILU</t>
        </is>
      </c>
      <c r="C219" s="56">
        <f>IFERROR(_xlfn.XLOOKUP(ENTRADAS[[#This Row],[CODIGO]],LISTADO[CODIGOS],LISTADO[CATEGORIA]),"NO EXISTE")</f>
        <v/>
      </c>
      <c r="D219" s="56">
        <f>IFERROR(_xlfn.XLOOKUP(ENTRADAS[[#This Row],[CODIGO]],LISTADO[CODIGOS],LISTADO[PRODUCTOS]),"NO EXISTE")</f>
        <v/>
      </c>
      <c r="E219" s="19" t="n">
        <v>46067</v>
      </c>
      <c r="F219" s="18" t="n">
        <v>2</v>
      </c>
      <c r="G219" s="18" t="inlineStr">
        <is>
          <t>INVENTARIO</t>
        </is>
      </c>
      <c r="H219" s="18" t="n"/>
      <c r="I219" s="45" t="n"/>
      <c r="J219" s="77" t="n"/>
      <c r="K219" s="18" t="n"/>
    </row>
    <row r="220">
      <c r="A220" s="18" t="n">
        <v>190</v>
      </c>
      <c r="B220" s="56" t="inlineStr">
        <is>
          <t>00012-ILU</t>
        </is>
      </c>
      <c r="C220" s="56">
        <f>IFERROR(_xlfn.XLOOKUP(ENTRADAS[[#This Row],[CODIGO]],LISTADO[CODIGOS],LISTADO[CATEGORIA]),"NO EXISTE")</f>
        <v/>
      </c>
      <c r="D220" s="56">
        <f>IFERROR(_xlfn.XLOOKUP(ENTRADAS[[#This Row],[CODIGO]],LISTADO[CODIGOS],LISTADO[PRODUCTOS]),"NO EXISTE")</f>
        <v/>
      </c>
      <c r="E220" s="19" t="n">
        <v>46067</v>
      </c>
      <c r="F220" s="18" t="n">
        <v>3</v>
      </c>
      <c r="G220" s="18" t="inlineStr">
        <is>
          <t>INVENTARIO</t>
        </is>
      </c>
      <c r="H220" s="18" t="n"/>
      <c r="I220" s="45" t="n"/>
      <c r="J220" s="77" t="n"/>
      <c r="K220" s="18" t="n"/>
    </row>
    <row r="221">
      <c r="A221" s="18" t="n">
        <v>192</v>
      </c>
      <c r="B221" s="56" t="inlineStr">
        <is>
          <t>00031-ILU</t>
        </is>
      </c>
      <c r="C221" s="56">
        <f>IFERROR(_xlfn.XLOOKUP(ENTRADAS[[#This Row],[CODIGO]],LISTADO[CODIGOS],LISTADO[CATEGORIA]),"NO EXISTE")</f>
        <v/>
      </c>
      <c r="D221" s="56">
        <f>IFERROR(_xlfn.XLOOKUP(ENTRADAS[[#This Row],[CODIGO]],LISTADO[CODIGOS],LISTADO[PRODUCTOS]),"NO EXISTE")</f>
        <v/>
      </c>
      <c r="E221" s="19" t="n">
        <v>46067</v>
      </c>
      <c r="F221" s="18" t="n">
        <v>1</v>
      </c>
      <c r="G221" s="18" t="inlineStr">
        <is>
          <t>INVENTARIO</t>
        </is>
      </c>
      <c r="H221" s="18" t="n"/>
      <c r="I221" s="45" t="n"/>
      <c r="J221" s="77" t="n"/>
      <c r="K221" s="18" t="n"/>
    </row>
    <row r="222">
      <c r="A222" s="18" t="n">
        <v>193</v>
      </c>
      <c r="B222" s="56" t="inlineStr">
        <is>
          <t>00026-ILU</t>
        </is>
      </c>
      <c r="C222" s="56">
        <f>IFERROR(_xlfn.XLOOKUP(ENTRADAS[[#This Row],[CODIGO]],LISTADO[CODIGOS],LISTADO[CATEGORIA]),"NO EXISTE")</f>
        <v/>
      </c>
      <c r="D222" s="56">
        <f>IFERROR(_xlfn.XLOOKUP(ENTRADAS[[#This Row],[CODIGO]],LISTADO[CODIGOS],LISTADO[PRODUCTOS]),"NO EXISTE")</f>
        <v/>
      </c>
      <c r="E222" s="19" t="n">
        <v>46067</v>
      </c>
      <c r="F222" s="18" t="n">
        <v>6</v>
      </c>
      <c r="G222" s="18" t="inlineStr">
        <is>
          <t>INVENTARIO</t>
        </is>
      </c>
      <c r="H222" s="18" t="n"/>
      <c r="I222" s="45" t="n"/>
      <c r="J222" s="77" t="n"/>
      <c r="K222" s="18" t="n"/>
    </row>
    <row r="223">
      <c r="A223" s="18" t="n">
        <v>194</v>
      </c>
      <c r="B223" s="56" t="inlineStr">
        <is>
          <t>00003-ILU</t>
        </is>
      </c>
      <c r="C223" s="56">
        <f>IFERROR(_xlfn.XLOOKUP(ENTRADAS[[#This Row],[CODIGO]],LISTADO[CODIGOS],LISTADO[CATEGORIA]),"NO EXISTE")</f>
        <v/>
      </c>
      <c r="D223" s="56">
        <f>IFERROR(_xlfn.XLOOKUP(ENTRADAS[[#This Row],[CODIGO]],LISTADO[CODIGOS],LISTADO[PRODUCTOS]),"NO EXISTE")</f>
        <v/>
      </c>
      <c r="E223" s="19" t="n">
        <v>46067</v>
      </c>
      <c r="F223" s="18" t="n">
        <v>1</v>
      </c>
      <c r="G223" s="18" t="inlineStr">
        <is>
          <t>INVENTARIO</t>
        </is>
      </c>
      <c r="H223" s="18" t="n"/>
      <c r="I223" s="45" t="n"/>
      <c r="J223" s="77" t="n"/>
      <c r="K223" s="18" t="n"/>
    </row>
    <row r="224">
      <c r="A224" s="18" t="n">
        <v>195</v>
      </c>
      <c r="B224" s="56" t="inlineStr">
        <is>
          <t>00032-ILU</t>
        </is>
      </c>
      <c r="C224" s="56">
        <f>IFERROR(_xlfn.XLOOKUP(ENTRADAS[[#This Row],[CODIGO]],LISTADO[CODIGOS],LISTADO[CATEGORIA]),"NO EXISTE")</f>
        <v/>
      </c>
      <c r="D224" s="56">
        <f>IFERROR(_xlfn.XLOOKUP(ENTRADAS[[#This Row],[CODIGO]],LISTADO[CODIGOS],LISTADO[PRODUCTOS]),"NO EXISTE")</f>
        <v/>
      </c>
      <c r="E224" s="19" t="n">
        <v>46067</v>
      </c>
      <c r="F224" s="18" t="n">
        <v>2</v>
      </c>
      <c r="G224" s="18" t="inlineStr">
        <is>
          <t>INVENTARIO</t>
        </is>
      </c>
      <c r="H224" s="18" t="n"/>
      <c r="I224" s="45" t="n"/>
      <c r="J224" s="77" t="n"/>
      <c r="K224" s="18" t="n"/>
    </row>
    <row r="225">
      <c r="A225" s="18" t="n">
        <v>196</v>
      </c>
      <c r="B225" s="56" t="inlineStr">
        <is>
          <t>00020-ILU</t>
        </is>
      </c>
      <c r="C225" s="56">
        <f>IFERROR(_xlfn.XLOOKUP(ENTRADAS[[#This Row],[CODIGO]],LISTADO[CODIGOS],LISTADO[CATEGORIA]),"NO EXISTE")</f>
        <v/>
      </c>
      <c r="D225" s="56">
        <f>IFERROR(_xlfn.XLOOKUP(ENTRADAS[[#This Row],[CODIGO]],LISTADO[CODIGOS],LISTADO[PRODUCTOS]),"NO EXISTE")</f>
        <v/>
      </c>
      <c r="E225" s="19" t="n">
        <v>46067</v>
      </c>
      <c r="F225" s="18" t="n">
        <v>2</v>
      </c>
      <c r="G225" s="18" t="inlineStr">
        <is>
          <t>INVENTARIO</t>
        </is>
      </c>
      <c r="H225" s="18" t="n"/>
      <c r="I225" s="45" t="n"/>
      <c r="J225" s="77" t="n"/>
      <c r="K225" s="18" t="n"/>
    </row>
    <row r="226">
      <c r="A226" s="18" t="n">
        <v>197</v>
      </c>
      <c r="B226" s="56" t="inlineStr">
        <is>
          <t>00006-ILU</t>
        </is>
      </c>
      <c r="C226" s="56">
        <f>IFERROR(_xlfn.XLOOKUP(ENTRADAS[[#This Row],[CODIGO]],LISTADO[CODIGOS],LISTADO[CATEGORIA]),"NO EXISTE")</f>
        <v/>
      </c>
      <c r="D226" s="56">
        <f>IFERROR(_xlfn.XLOOKUP(ENTRADAS[[#This Row],[CODIGO]],LISTADO[CODIGOS],LISTADO[PRODUCTOS]),"NO EXISTE")</f>
        <v/>
      </c>
      <c r="E226" s="19" t="n">
        <v>46067</v>
      </c>
      <c r="F226" s="18" t="n">
        <v>1</v>
      </c>
      <c r="G226" s="18" t="inlineStr">
        <is>
          <t>INVENTARIO</t>
        </is>
      </c>
      <c r="H226" s="18" t="n"/>
      <c r="I226" s="45" t="n"/>
      <c r="J226" s="77" t="n"/>
      <c r="K226" s="18" t="n"/>
    </row>
    <row r="227">
      <c r="A227" s="18" t="n">
        <v>198</v>
      </c>
      <c r="B227" s="56" t="inlineStr">
        <is>
          <t>00017-ILU</t>
        </is>
      </c>
      <c r="C227" s="56">
        <f>IFERROR(_xlfn.XLOOKUP(ENTRADAS[[#This Row],[CODIGO]],LISTADO[CODIGOS],LISTADO[CATEGORIA]),"NO EXISTE")</f>
        <v/>
      </c>
      <c r="D227" s="56">
        <f>IFERROR(_xlfn.XLOOKUP(ENTRADAS[[#This Row],[CODIGO]],LISTADO[CODIGOS],LISTADO[PRODUCTOS]),"NO EXISTE")</f>
        <v/>
      </c>
      <c r="E227" s="19" t="n">
        <v>46067</v>
      </c>
      <c r="F227" s="18" t="n">
        <v>1</v>
      </c>
      <c r="G227" s="18" t="inlineStr">
        <is>
          <t>INVENTARIO</t>
        </is>
      </c>
      <c r="H227" s="18" t="n"/>
      <c r="I227" s="45" t="n"/>
      <c r="J227" s="77" t="n"/>
      <c r="K227" s="18" t="n"/>
    </row>
    <row r="228">
      <c r="A228" s="18" t="n">
        <v>199</v>
      </c>
      <c r="B228" s="56" t="inlineStr">
        <is>
          <t>00004-ILU</t>
        </is>
      </c>
      <c r="C228" s="56">
        <f>IFERROR(_xlfn.XLOOKUP(ENTRADAS[[#This Row],[CODIGO]],LISTADO[CODIGOS],LISTADO[CATEGORIA]),"NO EXISTE")</f>
        <v/>
      </c>
      <c r="D228" s="56">
        <f>IFERROR(_xlfn.XLOOKUP(ENTRADAS[[#This Row],[CODIGO]],LISTADO[CODIGOS],LISTADO[PRODUCTOS]),"NO EXISTE")</f>
        <v/>
      </c>
      <c r="E228" s="19" t="n">
        <v>46067</v>
      </c>
      <c r="F228" s="18" t="n">
        <v>1</v>
      </c>
      <c r="G228" s="18" t="inlineStr">
        <is>
          <t>INVENTARIO</t>
        </is>
      </c>
      <c r="H228" s="18" t="n"/>
      <c r="I228" s="45" t="n"/>
      <c r="J228" s="77" t="n"/>
      <c r="K228" s="18" t="n"/>
    </row>
    <row r="229">
      <c r="A229" s="18" t="n">
        <v>200</v>
      </c>
      <c r="B229" s="56" t="inlineStr">
        <is>
          <t>00028-ILU</t>
        </is>
      </c>
      <c r="C229" s="56">
        <f>IFERROR(_xlfn.XLOOKUP(ENTRADAS[[#This Row],[CODIGO]],LISTADO[CODIGOS],LISTADO[CATEGORIA]),"NO EXISTE")</f>
        <v/>
      </c>
      <c r="D229" s="56">
        <f>IFERROR(_xlfn.XLOOKUP(ENTRADAS[[#This Row],[CODIGO]],LISTADO[CODIGOS],LISTADO[PRODUCTOS]),"NO EXISTE")</f>
        <v/>
      </c>
      <c r="E229" s="19" t="n">
        <v>46067</v>
      </c>
      <c r="F229" s="18" t="n">
        <v>13</v>
      </c>
      <c r="G229" s="18" t="inlineStr">
        <is>
          <t>INVENTARIO</t>
        </is>
      </c>
      <c r="H229" s="18" t="n"/>
      <c r="I229" s="45" t="n"/>
      <c r="J229" s="77" t="n"/>
      <c r="K229" s="18" t="n"/>
    </row>
    <row r="230">
      <c r="A230" s="18" t="n">
        <v>201</v>
      </c>
      <c r="B230" s="56" t="inlineStr">
        <is>
          <t>00029-ILU</t>
        </is>
      </c>
      <c r="C230" s="56">
        <f>IFERROR(_xlfn.XLOOKUP(ENTRADAS[[#This Row],[CODIGO]],LISTADO[CODIGOS],LISTADO[CATEGORIA]),"NO EXISTE")</f>
        <v/>
      </c>
      <c r="D230" s="56">
        <f>IFERROR(_xlfn.XLOOKUP(ENTRADAS[[#This Row],[CODIGO]],LISTADO[CODIGOS],LISTADO[PRODUCTOS]),"NO EXISTE")</f>
        <v/>
      </c>
      <c r="E230" s="19" t="n">
        <v>46067</v>
      </c>
      <c r="F230" s="18" t="n">
        <v>1</v>
      </c>
      <c r="G230" s="18" t="inlineStr">
        <is>
          <t>INVENTARIO</t>
        </is>
      </c>
      <c r="H230" s="18" t="n"/>
      <c r="I230" s="45" t="n"/>
      <c r="J230" s="77" t="n"/>
      <c r="K230" s="18" t="n"/>
    </row>
    <row r="231">
      <c r="A231" s="18" t="n">
        <v>202</v>
      </c>
      <c r="B231" s="56" t="inlineStr">
        <is>
          <t>00027-ILU</t>
        </is>
      </c>
      <c r="C231" s="56">
        <f>IFERROR(_xlfn.XLOOKUP(ENTRADAS[[#This Row],[CODIGO]],LISTADO[CODIGOS],LISTADO[CATEGORIA]),"NO EXISTE")</f>
        <v/>
      </c>
      <c r="D231" s="56">
        <f>IFERROR(_xlfn.XLOOKUP(ENTRADAS[[#This Row],[CODIGO]],LISTADO[CODIGOS],LISTADO[PRODUCTOS]),"NO EXISTE")</f>
        <v/>
      </c>
      <c r="E231" s="19" t="n">
        <v>46067</v>
      </c>
      <c r="F231" s="18" t="n">
        <v>1</v>
      </c>
      <c r="G231" s="18" t="inlineStr">
        <is>
          <t>INVENTARIO</t>
        </is>
      </c>
      <c r="H231" s="18" t="n"/>
      <c r="I231" s="45" t="n"/>
      <c r="J231" s="77" t="n"/>
      <c r="K231" s="18" t="n"/>
    </row>
    <row r="232">
      <c r="A232" s="18" t="n">
        <v>203</v>
      </c>
      <c r="B232" s="56" t="inlineStr">
        <is>
          <t>00030-ILU</t>
        </is>
      </c>
      <c r="C232" s="56">
        <f>IFERROR(_xlfn.XLOOKUP(ENTRADAS[[#This Row],[CODIGO]],LISTADO[CODIGOS],LISTADO[CATEGORIA]),"NO EXISTE")</f>
        <v/>
      </c>
      <c r="D232" s="56">
        <f>IFERROR(_xlfn.XLOOKUP(ENTRADAS[[#This Row],[CODIGO]],LISTADO[CODIGOS],LISTADO[PRODUCTOS]),"NO EXISTE")</f>
        <v/>
      </c>
      <c r="E232" s="19" t="n">
        <v>46067</v>
      </c>
      <c r="F232" s="18" t="n">
        <v>1</v>
      </c>
      <c r="G232" s="18" t="inlineStr">
        <is>
          <t>INVENTARIO</t>
        </is>
      </c>
      <c r="H232" s="18" t="n"/>
      <c r="I232" s="45" t="n"/>
      <c r="J232" s="77" t="n"/>
      <c r="K232" s="18" t="n"/>
    </row>
    <row r="233">
      <c r="A233" s="18" t="n">
        <v>204</v>
      </c>
      <c r="B233" s="56" t="inlineStr">
        <is>
          <t>00024-ILU</t>
        </is>
      </c>
      <c r="C233" s="56">
        <f>IFERROR(_xlfn.XLOOKUP(ENTRADAS[[#This Row],[CODIGO]],LISTADO[CODIGOS],LISTADO[CATEGORIA]),"NO EXISTE")</f>
        <v/>
      </c>
      <c r="D233" s="56">
        <f>IFERROR(_xlfn.XLOOKUP(ENTRADAS[[#This Row],[CODIGO]],LISTADO[CODIGOS],LISTADO[PRODUCTOS]),"NO EXISTE")</f>
        <v/>
      </c>
      <c r="E233" s="19" t="n">
        <v>46067</v>
      </c>
      <c r="F233" s="18" t="n">
        <v>1</v>
      </c>
      <c r="G233" s="18" t="inlineStr">
        <is>
          <t>INVENTARIO</t>
        </is>
      </c>
      <c r="H233" s="18" t="n"/>
      <c r="I233" s="45" t="n"/>
      <c r="J233" s="77" t="n"/>
      <c r="K233" s="18" t="n"/>
    </row>
    <row r="234">
      <c r="A234" s="18" t="n">
        <v>205</v>
      </c>
      <c r="B234" s="56" t="inlineStr">
        <is>
          <t>00018-ILU</t>
        </is>
      </c>
      <c r="C234" s="56">
        <f>IFERROR(_xlfn.XLOOKUP(ENTRADAS[[#This Row],[CODIGO]],LISTADO[CODIGOS],LISTADO[CATEGORIA]),"NO EXISTE")</f>
        <v/>
      </c>
      <c r="D234" s="56">
        <f>IFERROR(_xlfn.XLOOKUP(ENTRADAS[[#This Row],[CODIGO]],LISTADO[CODIGOS],LISTADO[PRODUCTOS]),"NO EXISTE")</f>
        <v/>
      </c>
      <c r="E234" s="19" t="n">
        <v>46067</v>
      </c>
      <c r="F234" s="18" t="n">
        <v>2</v>
      </c>
      <c r="G234" s="18" t="inlineStr">
        <is>
          <t>INVENTARIO</t>
        </is>
      </c>
      <c r="H234" s="18" t="n"/>
      <c r="I234" s="45" t="n"/>
      <c r="J234" s="77" t="n"/>
      <c r="K234" s="18" t="n"/>
    </row>
    <row r="235">
      <c r="A235" s="18" t="n">
        <v>206</v>
      </c>
      <c r="B235" s="56" t="inlineStr">
        <is>
          <t>00006-REF</t>
        </is>
      </c>
      <c r="C235" s="56">
        <f>IFERROR(_xlfn.XLOOKUP(ENTRADAS[[#This Row],[CODIGO]],LISTADO[CODIGOS],LISTADO[CATEGORIA]),"NO EXISTE")</f>
        <v/>
      </c>
      <c r="D235" s="56">
        <f>IFERROR(_xlfn.XLOOKUP(ENTRADAS[[#This Row],[CODIGO]],LISTADO[CODIGOS],LISTADO[PRODUCTOS]),"NO EXISTE")</f>
        <v/>
      </c>
      <c r="E235" s="19" t="n">
        <v>46067</v>
      </c>
      <c r="F235" s="18" t="n">
        <v>1</v>
      </c>
      <c r="G235" s="18" t="inlineStr">
        <is>
          <t>DEVOLUCION</t>
        </is>
      </c>
      <c r="H235" s="18" t="n"/>
      <c r="I235" s="45" t="n"/>
      <c r="J235" s="77" t="n"/>
      <c r="K235" s="18" t="n"/>
    </row>
    <row r="236">
      <c r="A236" s="18" t="n">
        <v>207</v>
      </c>
      <c r="B236" s="56" t="inlineStr">
        <is>
          <t>00010-ILU</t>
        </is>
      </c>
      <c r="C236" s="56">
        <f>IFERROR(_xlfn.XLOOKUP(ENTRADAS[[#This Row],[CODIGO]],LISTADO[CODIGOS],LISTADO[CATEGORIA]),"NO EXISTE")</f>
        <v/>
      </c>
      <c r="D236" s="56">
        <f>IFERROR(_xlfn.XLOOKUP(ENTRADAS[[#This Row],[CODIGO]],LISTADO[CODIGOS],LISTADO[PRODUCTOS]),"NO EXISTE")</f>
        <v/>
      </c>
      <c r="E236" s="19" t="n">
        <v>46067</v>
      </c>
      <c r="F236" s="18" t="n">
        <v>3</v>
      </c>
      <c r="G236" s="18" t="inlineStr">
        <is>
          <t>INVENTARIO</t>
        </is>
      </c>
      <c r="H236" s="18" t="n"/>
      <c r="I236" s="45" t="n"/>
      <c r="J236" s="77" t="n"/>
      <c r="K236" s="18" t="n"/>
    </row>
    <row r="237">
      <c r="A237" s="18" t="n">
        <v>208</v>
      </c>
      <c r="B237" s="56" t="inlineStr">
        <is>
          <t>00011-ILU</t>
        </is>
      </c>
      <c r="C237" s="56">
        <f>IFERROR(_xlfn.XLOOKUP(ENTRADAS[[#This Row],[CODIGO]],LISTADO[CODIGOS],LISTADO[CATEGORIA]),"NO EXISTE")</f>
        <v/>
      </c>
      <c r="D237" s="56">
        <f>IFERROR(_xlfn.XLOOKUP(ENTRADAS[[#This Row],[CODIGO]],LISTADO[CODIGOS],LISTADO[PRODUCTOS]),"NO EXISTE")</f>
        <v/>
      </c>
      <c r="E237" s="19" t="n">
        <v>46067</v>
      </c>
      <c r="F237" s="18" t="n">
        <v>3</v>
      </c>
      <c r="G237" s="18" t="inlineStr">
        <is>
          <t>INVENTARIO</t>
        </is>
      </c>
      <c r="H237" s="18" t="n"/>
      <c r="I237" s="45" t="n"/>
      <c r="J237" s="77" t="n"/>
      <c r="K237" s="18" t="n"/>
    </row>
    <row r="238">
      <c r="A238" s="18" t="n">
        <v>209</v>
      </c>
      <c r="B238" s="56" t="inlineStr">
        <is>
          <t>00013-ILU</t>
        </is>
      </c>
      <c r="C238" s="56">
        <f>IFERROR(_xlfn.XLOOKUP(ENTRADAS[[#This Row],[CODIGO]],LISTADO[CODIGOS],LISTADO[CATEGORIA]),"NO EXISTE")</f>
        <v/>
      </c>
      <c r="D238" s="56">
        <f>IFERROR(_xlfn.XLOOKUP(ENTRADAS[[#This Row],[CODIGO]],LISTADO[CODIGOS],LISTADO[PRODUCTOS]),"NO EXISTE")</f>
        <v/>
      </c>
      <c r="E238" s="19" t="n">
        <v>46067</v>
      </c>
      <c r="F238" s="18" t="n">
        <v>1</v>
      </c>
      <c r="G238" s="18" t="inlineStr">
        <is>
          <t>INVENTARIO</t>
        </is>
      </c>
      <c r="H238" s="18" t="n"/>
      <c r="I238" s="45" t="n"/>
      <c r="J238" s="77" t="n"/>
      <c r="K238" s="18" t="n"/>
    </row>
    <row r="239">
      <c r="A239" s="18" t="n">
        <v>210</v>
      </c>
      <c r="B239" s="56" t="inlineStr">
        <is>
          <t>00014-ILU</t>
        </is>
      </c>
      <c r="C239" s="56">
        <f>IFERROR(_xlfn.XLOOKUP(ENTRADAS[[#This Row],[CODIGO]],LISTADO[CODIGOS],LISTADO[CATEGORIA]),"NO EXISTE")</f>
        <v/>
      </c>
      <c r="D239" s="56">
        <f>IFERROR(_xlfn.XLOOKUP(ENTRADAS[[#This Row],[CODIGO]],LISTADO[CODIGOS],LISTADO[PRODUCTOS]),"NO EXISTE")</f>
        <v/>
      </c>
      <c r="E239" s="19" t="n">
        <v>46067</v>
      </c>
      <c r="F239" s="18" t="n">
        <v>1</v>
      </c>
      <c r="G239" s="18" t="inlineStr">
        <is>
          <t>INVENTARIO</t>
        </is>
      </c>
      <c r="H239" s="18" t="n"/>
      <c r="I239" s="45" t="n"/>
      <c r="J239" s="77" t="n"/>
      <c r="K239" s="18" t="n"/>
    </row>
    <row r="240">
      <c r="A240" s="18" t="n">
        <v>211</v>
      </c>
      <c r="B240" s="56" t="inlineStr">
        <is>
          <t>00015-ILU</t>
        </is>
      </c>
      <c r="C240" s="56">
        <f>IFERROR(_xlfn.XLOOKUP(ENTRADAS[[#This Row],[CODIGO]],LISTADO[CODIGOS],LISTADO[CATEGORIA]),"NO EXISTE")</f>
        <v/>
      </c>
      <c r="D240" s="56">
        <f>IFERROR(_xlfn.XLOOKUP(ENTRADAS[[#This Row],[CODIGO]],LISTADO[CODIGOS],LISTADO[PRODUCTOS]),"NO EXISTE")</f>
        <v/>
      </c>
      <c r="E240" s="19" t="n">
        <v>46067</v>
      </c>
      <c r="F240" s="18" t="n">
        <v>1</v>
      </c>
      <c r="G240" s="18" t="inlineStr">
        <is>
          <t>INVENTARIO</t>
        </is>
      </c>
      <c r="H240" s="18" t="n"/>
      <c r="I240" s="45" t="n"/>
      <c r="J240" s="77" t="n"/>
      <c r="K240" s="18" t="n"/>
    </row>
    <row r="241">
      <c r="A241" s="18" t="n">
        <v>212</v>
      </c>
      <c r="B241" s="56" t="inlineStr">
        <is>
          <t>00016-ILU</t>
        </is>
      </c>
      <c r="C241" s="56">
        <f>IFERROR(_xlfn.XLOOKUP(ENTRADAS[[#This Row],[CODIGO]],LISTADO[CODIGOS],LISTADO[CATEGORIA]),"NO EXISTE")</f>
        <v/>
      </c>
      <c r="D241" s="56">
        <f>IFERROR(_xlfn.XLOOKUP(ENTRADAS[[#This Row],[CODIGO]],LISTADO[CODIGOS],LISTADO[PRODUCTOS]),"NO EXISTE")</f>
        <v/>
      </c>
      <c r="E241" s="19" t="n">
        <v>46067</v>
      </c>
      <c r="F241" s="18" t="n">
        <v>1</v>
      </c>
      <c r="G241" s="18" t="inlineStr">
        <is>
          <t>INVENTARIO</t>
        </is>
      </c>
      <c r="H241" s="18" t="n"/>
      <c r="I241" s="45" t="n"/>
      <c r="J241" s="77" t="n"/>
      <c r="K241" s="18" t="n"/>
    </row>
    <row r="242">
      <c r="A242" s="18" t="n">
        <v>213</v>
      </c>
      <c r="B242" s="56" t="inlineStr">
        <is>
          <t>00023-ILU</t>
        </is>
      </c>
      <c r="C242" s="56">
        <f>IFERROR(_xlfn.XLOOKUP(ENTRADAS[[#This Row],[CODIGO]],LISTADO[CODIGOS],LISTADO[CATEGORIA]),"NO EXISTE")</f>
        <v/>
      </c>
      <c r="D242" s="56">
        <f>IFERROR(_xlfn.XLOOKUP(ENTRADAS[[#This Row],[CODIGO]],LISTADO[CODIGOS],LISTADO[PRODUCTOS]),"NO EXISTE")</f>
        <v/>
      </c>
      <c r="E242" s="19" t="n">
        <v>46067</v>
      </c>
      <c r="F242" s="18" t="n">
        <v>1</v>
      </c>
      <c r="G242" s="18" t="inlineStr">
        <is>
          <t>INVENTARIO</t>
        </is>
      </c>
      <c r="H242" s="18" t="n"/>
      <c r="I242" s="45" t="n"/>
      <c r="J242" s="77" t="n"/>
      <c r="K242" s="18" t="n"/>
    </row>
    <row r="243">
      <c r="A243" s="18" t="n">
        <v>214</v>
      </c>
      <c r="B243" s="56" t="inlineStr">
        <is>
          <t>00022-ILU</t>
        </is>
      </c>
      <c r="C243" s="56">
        <f>IFERROR(_xlfn.XLOOKUP(ENTRADAS[[#This Row],[CODIGO]],LISTADO[CODIGOS],LISTADO[CATEGORIA]),"NO EXISTE")</f>
        <v/>
      </c>
      <c r="D243" s="56">
        <f>IFERROR(_xlfn.XLOOKUP(ENTRADAS[[#This Row],[CODIGO]],LISTADO[CODIGOS],LISTADO[PRODUCTOS]),"NO EXISTE")</f>
        <v/>
      </c>
      <c r="E243" s="19" t="n">
        <v>46067</v>
      </c>
      <c r="F243" s="18" t="n">
        <v>1</v>
      </c>
      <c r="G243" s="18" t="inlineStr">
        <is>
          <t>INVENTARIO</t>
        </is>
      </c>
      <c r="H243" s="18" t="n"/>
      <c r="I243" s="45" t="n"/>
      <c r="J243" s="77" t="n"/>
      <c r="K243" s="18" t="n"/>
    </row>
    <row r="244">
      <c r="A244" s="18" t="n">
        <v>215</v>
      </c>
      <c r="B244" s="56" t="inlineStr">
        <is>
          <t>00007-HRR</t>
        </is>
      </c>
      <c r="C244" s="56">
        <f>IFERROR(_xlfn.XLOOKUP(ENTRADAS[[#This Row],[CODIGO]],LISTADO[CODIGOS],LISTADO[CATEGORIA]),"NO EXISTE")</f>
        <v/>
      </c>
      <c r="D244" s="56">
        <f>IFERROR(_xlfn.XLOOKUP(ENTRADAS[[#This Row],[CODIGO]],LISTADO[CODIGOS],LISTADO[PRODUCTOS]),"NO EXISTE")</f>
        <v/>
      </c>
      <c r="E244" s="19" t="n">
        <v>46067</v>
      </c>
      <c r="F244" s="18" t="n">
        <v>1</v>
      </c>
      <c r="G244" s="18" t="inlineStr">
        <is>
          <t>DEVOLUCION</t>
        </is>
      </c>
      <c r="H244" s="18" t="n"/>
      <c r="I244" s="45" t="n"/>
      <c r="J244" s="77" t="n"/>
      <c r="K244" s="18" t="n"/>
    </row>
    <row r="245">
      <c r="A245" s="18" t="n">
        <v>216</v>
      </c>
      <c r="B245" s="56" t="inlineStr">
        <is>
          <t>00012-HER</t>
        </is>
      </c>
      <c r="C245" s="56">
        <f>IFERROR(_xlfn.XLOOKUP(ENTRADAS[[#This Row],[CODIGO]],LISTADO[CODIGOS],LISTADO[CATEGORIA]),"NO EXISTE")</f>
        <v/>
      </c>
      <c r="D245" s="56">
        <f>IFERROR(_xlfn.XLOOKUP(ENTRADAS[[#This Row],[CODIGO]],LISTADO[CODIGOS],LISTADO[PRODUCTOS]),"NO EXISTE")</f>
        <v/>
      </c>
      <c r="E245" s="19" t="n">
        <v>46069</v>
      </c>
      <c r="F245" s="18" t="n">
        <v>2</v>
      </c>
      <c r="G245" s="18" t="inlineStr">
        <is>
          <t>INVENTARIO</t>
        </is>
      </c>
      <c r="H245" s="18" t="n"/>
      <c r="I245" s="45" t="n"/>
      <c r="J245" s="77" t="n"/>
      <c r="K245" s="18" t="n"/>
    </row>
    <row r="246">
      <c r="A246" s="18" t="n">
        <v>218</v>
      </c>
      <c r="B246" s="56" t="inlineStr">
        <is>
          <t>00010-MSC</t>
        </is>
      </c>
      <c r="C246" s="56">
        <f>IFERROR(_xlfn.XLOOKUP(ENTRADAS[[#This Row],[CODIGO]],LISTADO[CODIGOS],LISTADO[CATEGORIA]),"NO EXISTE")</f>
        <v/>
      </c>
      <c r="D246" s="56">
        <f>IFERROR(_xlfn.XLOOKUP(ENTRADAS[[#This Row],[CODIGO]],LISTADO[CODIGOS],LISTADO[PRODUCTOS]),"NO EXISTE")</f>
        <v/>
      </c>
      <c r="E246" s="19" t="n">
        <v>46069</v>
      </c>
      <c r="F246" s="18" t="n">
        <v>3</v>
      </c>
      <c r="G246" s="18" t="inlineStr">
        <is>
          <t>DEVOLUCION</t>
        </is>
      </c>
      <c r="H246" s="18" t="n"/>
      <c r="I246" s="45" t="n"/>
      <c r="J246" s="77" t="n"/>
      <c r="K246" s="18" t="n"/>
    </row>
    <row r="247">
      <c r="A247" s="18" t="n">
        <v>219</v>
      </c>
      <c r="B247" s="56" t="inlineStr">
        <is>
          <t>00005-UNI</t>
        </is>
      </c>
      <c r="C247" s="56">
        <f>IFERROR(_xlfn.XLOOKUP(ENTRADAS[[#This Row],[CODIGO]],LISTADO[CODIGOS],LISTADO[CATEGORIA]),"NO EXISTE")</f>
        <v/>
      </c>
      <c r="D247" s="56">
        <f>IFERROR(_xlfn.XLOOKUP(ENTRADAS[[#This Row],[CODIGO]],LISTADO[CODIGOS],LISTADO[PRODUCTOS]),"NO EXISTE")</f>
        <v/>
      </c>
      <c r="E247" s="19" t="n">
        <v>46069</v>
      </c>
      <c r="F247" s="18" t="n">
        <v>49</v>
      </c>
      <c r="G247" s="18" t="inlineStr">
        <is>
          <t>INVENTARIO</t>
        </is>
      </c>
      <c r="H247" s="18" t="n"/>
      <c r="I247" s="45" t="n"/>
      <c r="J247" s="77" t="n"/>
      <c r="K247" s="18" t="n"/>
    </row>
    <row r="248">
      <c r="A248" s="18" t="n">
        <v>220</v>
      </c>
      <c r="B248" s="56" t="inlineStr">
        <is>
          <t>00006-UNI</t>
        </is>
      </c>
      <c r="C248" s="56">
        <f>IFERROR(_xlfn.XLOOKUP(ENTRADAS[[#This Row],[CODIGO]],LISTADO[CODIGOS],LISTADO[CATEGORIA]),"NO EXISTE")</f>
        <v/>
      </c>
      <c r="D248" s="56">
        <f>IFERROR(_xlfn.XLOOKUP(ENTRADAS[[#This Row],[CODIGO]],LISTADO[CODIGOS],LISTADO[PRODUCTOS]),"NO EXISTE")</f>
        <v/>
      </c>
      <c r="E248" s="19" t="n">
        <v>46069</v>
      </c>
      <c r="F248" s="18" t="n">
        <v>94</v>
      </c>
      <c r="G248" s="18" t="inlineStr">
        <is>
          <t>INVENTARIO</t>
        </is>
      </c>
      <c r="H248" s="18" t="n"/>
      <c r="I248" s="45" t="n"/>
      <c r="J248" s="77" t="n"/>
      <c r="K248" s="18" t="n"/>
    </row>
    <row r="249">
      <c r="A249" s="18" t="n">
        <v>221</v>
      </c>
      <c r="B249" s="56" t="inlineStr">
        <is>
          <t>00009-UNI</t>
        </is>
      </c>
      <c r="C249" s="56">
        <f>IFERROR(_xlfn.XLOOKUP(ENTRADAS[[#This Row],[CODIGO]],LISTADO[CODIGOS],LISTADO[CATEGORIA]),"NO EXISTE")</f>
        <v/>
      </c>
      <c r="D249" s="56">
        <f>IFERROR(_xlfn.XLOOKUP(ENTRADAS[[#This Row],[CODIGO]],LISTADO[CODIGOS],LISTADO[PRODUCTOS]),"NO EXISTE")</f>
        <v/>
      </c>
      <c r="E249" s="19" t="n">
        <v>46069</v>
      </c>
      <c r="F249" s="18" t="n">
        <v>440</v>
      </c>
      <c r="G249" s="18" t="inlineStr">
        <is>
          <t>INVENTARIO</t>
        </is>
      </c>
      <c r="H249" s="18" t="n"/>
      <c r="I249" s="45" t="n"/>
      <c r="J249" s="77" t="n"/>
      <c r="K249" s="18" t="n"/>
    </row>
    <row r="250">
      <c r="A250" s="18" t="n">
        <v>222</v>
      </c>
      <c r="B250" s="56" t="inlineStr">
        <is>
          <t>00008-UNI</t>
        </is>
      </c>
      <c r="C250" s="56">
        <f>IFERROR(_xlfn.XLOOKUP(ENTRADAS[[#This Row],[CODIGO]],LISTADO[CODIGOS],LISTADO[CATEGORIA]),"NO EXISTE")</f>
        <v/>
      </c>
      <c r="D250" s="56">
        <f>IFERROR(_xlfn.XLOOKUP(ENTRADAS[[#This Row],[CODIGO]],LISTADO[CODIGOS],LISTADO[PRODUCTOS]),"NO EXISTE")</f>
        <v/>
      </c>
      <c r="E250" s="19" t="n">
        <v>46069</v>
      </c>
      <c r="F250" s="18" t="n">
        <v>163</v>
      </c>
      <c r="G250" s="18" t="inlineStr">
        <is>
          <t>INVENTARIO</t>
        </is>
      </c>
      <c r="H250" s="18" t="n"/>
      <c r="I250" s="45" t="n"/>
      <c r="J250" s="77" t="n"/>
      <c r="K250" s="18" t="n"/>
    </row>
    <row r="251">
      <c r="A251" s="18" t="n">
        <v>223</v>
      </c>
      <c r="B251" s="56" t="inlineStr">
        <is>
          <t>00007-UNI</t>
        </is>
      </c>
      <c r="C251" s="56">
        <f>IFERROR(_xlfn.XLOOKUP(ENTRADAS[[#This Row],[CODIGO]],LISTADO[CODIGOS],LISTADO[CATEGORIA]),"NO EXISTE")</f>
        <v/>
      </c>
      <c r="D251" s="56">
        <f>IFERROR(_xlfn.XLOOKUP(ENTRADAS[[#This Row],[CODIGO]],LISTADO[CODIGOS],LISTADO[PRODUCTOS]),"NO EXISTE")</f>
        <v/>
      </c>
      <c r="E251" s="19" t="n">
        <v>46069</v>
      </c>
      <c r="F251" s="18" t="n">
        <v>48</v>
      </c>
      <c r="G251" s="18" t="inlineStr">
        <is>
          <t>INVENTARIO</t>
        </is>
      </c>
      <c r="H251" s="18" t="n"/>
      <c r="I251" s="45" t="n"/>
      <c r="J251" s="77" t="n"/>
      <c r="K251" s="18" t="n"/>
    </row>
    <row r="252">
      <c r="A252" s="18" t="n">
        <v>224</v>
      </c>
      <c r="B252" s="56" t="inlineStr">
        <is>
          <t>00028-FER</t>
        </is>
      </c>
      <c r="C252" s="56">
        <f>IFERROR(_xlfn.XLOOKUP(ENTRADAS[[#This Row],[CODIGO]],LISTADO[CODIGOS],LISTADO[CATEGORIA]),"NO EXISTE")</f>
        <v/>
      </c>
      <c r="D252" s="56">
        <f>IFERROR(_xlfn.XLOOKUP(ENTRADAS[[#This Row],[CODIGO]],LISTADO[CODIGOS],LISTADO[PRODUCTOS]),"NO EXISTE")</f>
        <v/>
      </c>
      <c r="E252" s="19" t="n">
        <v>46070</v>
      </c>
      <c r="F252" s="18" t="n">
        <v>1</v>
      </c>
      <c r="G252" s="18" t="inlineStr">
        <is>
          <t>INVENTARIO</t>
        </is>
      </c>
      <c r="H252" s="18" t="n"/>
      <c r="I252" s="45" t="n"/>
      <c r="J252" s="77" t="n"/>
      <c r="K252" s="18" t="n"/>
    </row>
    <row r="253">
      <c r="A253" s="18" t="n">
        <v>225</v>
      </c>
      <c r="B253" s="56" t="inlineStr">
        <is>
          <t>00010-UNI</t>
        </is>
      </c>
      <c r="C253" s="56">
        <f>IFERROR(_xlfn.XLOOKUP(ENTRADAS[[#This Row],[CODIGO]],LISTADO[CODIGOS],LISTADO[CATEGORIA]),"NO EXISTE")</f>
        <v/>
      </c>
      <c r="D253" s="56">
        <f>IFERROR(_xlfn.XLOOKUP(ENTRADAS[[#This Row],[CODIGO]],LISTADO[CODIGOS],LISTADO[PRODUCTOS]),"NO EXISTE")</f>
        <v/>
      </c>
      <c r="E253" s="19" t="n">
        <v>46071</v>
      </c>
      <c r="F253" s="18" t="n">
        <v>44</v>
      </c>
      <c r="G253" s="18" t="inlineStr">
        <is>
          <t>INVENTARIO</t>
        </is>
      </c>
      <c r="H253" s="18" t="n"/>
      <c r="I253" s="45" t="n"/>
      <c r="J253" s="77" t="n"/>
      <c r="K253" s="18" t="n"/>
    </row>
    <row r="254">
      <c r="A254" s="18" t="n">
        <v>226</v>
      </c>
      <c r="B254" s="56" t="inlineStr">
        <is>
          <t>00011-UNI</t>
        </is>
      </c>
      <c r="C254" s="56">
        <f>IFERROR(_xlfn.XLOOKUP(ENTRADAS[[#This Row],[CODIGO]],LISTADO[CODIGOS],LISTADO[CATEGORIA]),"NO EXISTE")</f>
        <v/>
      </c>
      <c r="D254" s="56">
        <f>IFERROR(_xlfn.XLOOKUP(ENTRADAS[[#This Row],[CODIGO]],LISTADO[CODIGOS],LISTADO[PRODUCTOS]),"NO EXISTE")</f>
        <v/>
      </c>
      <c r="E254" s="19" t="n">
        <v>46071</v>
      </c>
      <c r="F254" s="18" t="n">
        <v>192</v>
      </c>
      <c r="G254" s="18" t="inlineStr">
        <is>
          <t>INVENTARIO</t>
        </is>
      </c>
      <c r="H254" s="18" t="n"/>
      <c r="I254" s="45" t="n"/>
      <c r="J254" s="77" t="n"/>
      <c r="K254" s="18" t="n"/>
    </row>
    <row r="255">
      <c r="A255" s="18" t="n">
        <v>227</v>
      </c>
      <c r="B255" s="56" t="inlineStr">
        <is>
          <t>00013-UNI</t>
        </is>
      </c>
      <c r="C255" s="56">
        <f>IFERROR(_xlfn.XLOOKUP(ENTRADAS[[#This Row],[CODIGO]],LISTADO[CODIGOS],LISTADO[CATEGORIA]),"NO EXISTE")</f>
        <v/>
      </c>
      <c r="D255" s="56">
        <f>IFERROR(_xlfn.XLOOKUP(ENTRADAS[[#This Row],[CODIGO]],LISTADO[CODIGOS],LISTADO[PRODUCTOS]),"NO EXISTE")</f>
        <v/>
      </c>
      <c r="E255" s="19" t="n">
        <v>46071</v>
      </c>
      <c r="F255" s="18" t="n">
        <v>251</v>
      </c>
      <c r="G255" s="18" t="inlineStr">
        <is>
          <t>INVENTARIO</t>
        </is>
      </c>
      <c r="H255" s="18" t="n"/>
      <c r="I255" s="45" t="n"/>
      <c r="J255" s="77" t="n"/>
      <c r="K255" s="18" t="n"/>
    </row>
    <row r="256">
      <c r="A256" s="18" t="n">
        <v>228</v>
      </c>
      <c r="B256" s="56" t="inlineStr">
        <is>
          <t>00012-UNI</t>
        </is>
      </c>
      <c r="C256" s="56">
        <f>IFERROR(_xlfn.XLOOKUP(ENTRADAS[[#This Row],[CODIGO]],LISTADO[CODIGOS],LISTADO[CATEGORIA]),"NO EXISTE")</f>
        <v/>
      </c>
      <c r="D256" s="56">
        <f>IFERROR(_xlfn.XLOOKUP(ENTRADAS[[#This Row],[CODIGO]],LISTADO[CODIGOS],LISTADO[PRODUCTOS]),"NO EXISTE")</f>
        <v/>
      </c>
      <c r="E256" s="19" t="n">
        <v>46071</v>
      </c>
      <c r="F256" s="18" t="n">
        <v>85</v>
      </c>
      <c r="G256" s="18" t="inlineStr">
        <is>
          <t>INVENTARIO</t>
        </is>
      </c>
      <c r="H256" s="18" t="n"/>
      <c r="I256" s="45" t="n"/>
      <c r="J256" s="77" t="n"/>
      <c r="K256" s="18" t="n"/>
    </row>
    <row r="257">
      <c r="A257" s="18" t="n">
        <v>229</v>
      </c>
      <c r="B257" s="56" t="inlineStr">
        <is>
          <t>00032-UNI</t>
        </is>
      </c>
      <c r="C257" s="56">
        <f>IFERROR(_xlfn.XLOOKUP(ENTRADAS[[#This Row],[CODIGO]],LISTADO[CODIGOS],LISTADO[CATEGORIA]),"NO EXISTE")</f>
        <v/>
      </c>
      <c r="D257" s="56">
        <f>IFERROR(_xlfn.XLOOKUP(ENTRADAS[[#This Row],[CODIGO]],LISTADO[CODIGOS],LISTADO[PRODUCTOS]),"NO EXISTE")</f>
        <v/>
      </c>
      <c r="E257" s="19" t="n">
        <v>46071</v>
      </c>
      <c r="F257" s="18" t="n">
        <v>111</v>
      </c>
      <c r="G257" s="18" t="inlineStr">
        <is>
          <t>INVENTARIO</t>
        </is>
      </c>
      <c r="H257" s="18" t="n"/>
      <c r="I257" s="45" t="n"/>
      <c r="J257" s="77" t="n"/>
      <c r="K257" s="18" t="n"/>
    </row>
    <row r="258">
      <c r="A258" s="18" t="n">
        <v>230</v>
      </c>
      <c r="B258" s="56" t="inlineStr">
        <is>
          <t>00033-UNI</t>
        </is>
      </c>
      <c r="C258" s="56">
        <f>IFERROR(_xlfn.XLOOKUP(ENTRADAS[[#This Row],[CODIGO]],LISTADO[CODIGOS],LISTADO[CATEGORIA]),"NO EXISTE")</f>
        <v/>
      </c>
      <c r="D258" s="56">
        <f>IFERROR(_xlfn.XLOOKUP(ENTRADAS[[#This Row],[CODIGO]],LISTADO[CODIGOS],LISTADO[PRODUCTOS]),"NO EXISTE")</f>
        <v/>
      </c>
      <c r="E258" s="19" t="n">
        <v>46071</v>
      </c>
      <c r="F258" s="18" t="n">
        <v>58</v>
      </c>
      <c r="G258" s="18" t="inlineStr">
        <is>
          <t>INVENTARIO</t>
        </is>
      </c>
      <c r="H258" s="18" t="n"/>
      <c r="I258" s="45" t="n"/>
      <c r="J258" s="77" t="n"/>
      <c r="K258" s="18" t="n"/>
    </row>
    <row r="259">
      <c r="A259" s="18" t="n">
        <v>231</v>
      </c>
      <c r="B259" s="56" t="inlineStr">
        <is>
          <t>00030-UNI</t>
        </is>
      </c>
      <c r="C259" s="56">
        <f>IFERROR(_xlfn.XLOOKUP(ENTRADAS[[#This Row],[CODIGO]],LISTADO[CODIGOS],LISTADO[CATEGORIA]),"NO EXISTE")</f>
        <v/>
      </c>
      <c r="D259" s="56">
        <f>IFERROR(_xlfn.XLOOKUP(ENTRADAS[[#This Row],[CODIGO]],LISTADO[CODIGOS],LISTADO[PRODUCTOS]),"NO EXISTE")</f>
        <v/>
      </c>
      <c r="E259" s="19" t="n">
        <v>46071</v>
      </c>
      <c r="F259" s="18" t="n">
        <v>13</v>
      </c>
      <c r="G259" s="18" t="inlineStr">
        <is>
          <t>INVENTARIO</t>
        </is>
      </c>
      <c r="H259" s="18" t="n"/>
      <c r="I259" s="45" t="n"/>
      <c r="J259" s="77" t="n"/>
      <c r="K259" s="18" t="n"/>
    </row>
    <row r="260">
      <c r="A260" s="18" t="n">
        <v>232</v>
      </c>
      <c r="B260" s="56" t="inlineStr">
        <is>
          <t>00028-UNI</t>
        </is>
      </c>
      <c r="C260" s="56">
        <f>IFERROR(_xlfn.XLOOKUP(ENTRADAS[[#This Row],[CODIGO]],LISTADO[CODIGOS],LISTADO[CATEGORIA]),"NO EXISTE")</f>
        <v/>
      </c>
      <c r="D260" s="56">
        <f>IFERROR(_xlfn.XLOOKUP(ENTRADAS[[#This Row],[CODIGO]],LISTADO[CODIGOS],LISTADO[PRODUCTOS]),"NO EXISTE")</f>
        <v/>
      </c>
      <c r="E260" s="19" t="n">
        <v>46071</v>
      </c>
      <c r="F260" s="18" t="n">
        <v>93</v>
      </c>
      <c r="G260" s="18" t="inlineStr">
        <is>
          <t>INVENTARIO</t>
        </is>
      </c>
      <c r="H260" s="18" t="n"/>
      <c r="I260" s="45" t="n"/>
      <c r="J260" s="77" t="n"/>
      <c r="K260" s="18" t="n"/>
    </row>
    <row r="261">
      <c r="A261" s="18" t="n">
        <v>233</v>
      </c>
      <c r="B261" s="56" t="inlineStr">
        <is>
          <t>00027-UNI</t>
        </is>
      </c>
      <c r="C261" s="56">
        <f>IFERROR(_xlfn.XLOOKUP(ENTRADAS[[#This Row],[CODIGO]],LISTADO[CODIGOS],LISTADO[CATEGORIA]),"NO EXISTE")</f>
        <v/>
      </c>
      <c r="D261" s="56">
        <f>IFERROR(_xlfn.XLOOKUP(ENTRADAS[[#This Row],[CODIGO]],LISTADO[CODIGOS],LISTADO[PRODUCTOS]),"NO EXISTE")</f>
        <v/>
      </c>
      <c r="E261" s="19" t="n">
        <v>46071</v>
      </c>
      <c r="F261" s="56">
        <f>33+63+25</f>
        <v/>
      </c>
      <c r="G261" s="18" t="inlineStr">
        <is>
          <t>INVENTARIO</t>
        </is>
      </c>
      <c r="H261" s="18" t="n"/>
      <c r="I261" s="45" t="n"/>
      <c r="J261" s="77" t="n"/>
      <c r="K261" s="18" t="n"/>
    </row>
    <row r="262">
      <c r="A262" s="18" t="n">
        <v>234</v>
      </c>
      <c r="B262" s="56" t="inlineStr">
        <is>
          <t>00025-UNI</t>
        </is>
      </c>
      <c r="C262" s="56">
        <f>IFERROR(_xlfn.XLOOKUP(ENTRADAS[[#This Row],[CODIGO]],LISTADO[CODIGOS],LISTADO[CATEGORIA]),"NO EXISTE")</f>
        <v/>
      </c>
      <c r="D262" s="56">
        <f>IFERROR(_xlfn.XLOOKUP(ENTRADAS[[#This Row],[CODIGO]],LISTADO[CODIGOS],LISTADO[PRODUCTOS]),"NO EXISTE")</f>
        <v/>
      </c>
      <c r="E262" s="19" t="n">
        <v>46071</v>
      </c>
      <c r="F262" s="18" t="n">
        <v>19</v>
      </c>
      <c r="G262" s="18" t="inlineStr">
        <is>
          <t>INVENTARIO</t>
        </is>
      </c>
      <c r="H262" s="18" t="n"/>
      <c r="I262" s="45" t="n"/>
      <c r="J262" s="77" t="n"/>
      <c r="K262" s="18" t="n"/>
    </row>
    <row r="263">
      <c r="A263" s="18" t="n">
        <v>235</v>
      </c>
      <c r="B263" s="56" t="inlineStr">
        <is>
          <t>00026-UNI</t>
        </is>
      </c>
      <c r="C263" s="56">
        <f>IFERROR(_xlfn.XLOOKUP(ENTRADAS[[#This Row],[CODIGO]],LISTADO[CODIGOS],LISTADO[CATEGORIA]),"NO EXISTE")</f>
        <v/>
      </c>
      <c r="D263" s="56">
        <f>IFERROR(_xlfn.XLOOKUP(ENTRADAS[[#This Row],[CODIGO]],LISTADO[CODIGOS],LISTADO[PRODUCTOS]),"NO EXISTE")</f>
        <v/>
      </c>
      <c r="E263" s="19" t="n">
        <v>46071</v>
      </c>
      <c r="F263" s="18" t="n">
        <v>90</v>
      </c>
      <c r="G263" s="18" t="inlineStr">
        <is>
          <t>INVENTARIO</t>
        </is>
      </c>
      <c r="H263" s="18" t="n"/>
      <c r="I263" s="45" t="n"/>
      <c r="J263" s="77" t="n"/>
      <c r="K263" s="18" t="n"/>
    </row>
    <row r="264">
      <c r="A264" s="18" t="n">
        <v>236</v>
      </c>
      <c r="B264" s="56" t="inlineStr">
        <is>
          <t>00031-UNI</t>
        </is>
      </c>
      <c r="C264" s="56">
        <f>IFERROR(_xlfn.XLOOKUP(ENTRADAS[[#This Row],[CODIGO]],LISTADO[CODIGOS],LISTADO[CATEGORIA]),"NO EXISTE")</f>
        <v/>
      </c>
      <c r="D264" s="56">
        <f>IFERROR(_xlfn.XLOOKUP(ENTRADAS[[#This Row],[CODIGO]],LISTADO[CODIGOS],LISTADO[PRODUCTOS]),"NO EXISTE")</f>
        <v/>
      </c>
      <c r="E264" s="19" t="n">
        <v>46071</v>
      </c>
      <c r="F264" s="18" t="n">
        <v>21</v>
      </c>
      <c r="G264" s="18" t="inlineStr">
        <is>
          <t>INVENTARIO</t>
        </is>
      </c>
      <c r="H264" s="18" t="n"/>
      <c r="I264" s="45" t="n"/>
      <c r="J264" s="77" t="n"/>
      <c r="K264" s="18" t="n"/>
    </row>
    <row r="265">
      <c r="A265" s="18" t="n">
        <v>237</v>
      </c>
      <c r="B265" s="56" t="inlineStr">
        <is>
          <t>00029-UNI</t>
        </is>
      </c>
      <c r="C265" s="56">
        <f>IFERROR(_xlfn.XLOOKUP(ENTRADAS[[#This Row],[CODIGO]],LISTADO[CODIGOS],LISTADO[CATEGORIA]),"NO EXISTE")</f>
        <v/>
      </c>
      <c r="D265" s="56">
        <f>IFERROR(_xlfn.XLOOKUP(ENTRADAS[[#This Row],[CODIGO]],LISTADO[CODIGOS],LISTADO[PRODUCTOS]),"NO EXISTE")</f>
        <v/>
      </c>
      <c r="E265" s="19" t="n">
        <v>46071</v>
      </c>
      <c r="F265" s="18" t="n">
        <v>10</v>
      </c>
      <c r="G265" s="18" t="inlineStr">
        <is>
          <t>INVENTARIO</t>
        </is>
      </c>
      <c r="H265" s="18" t="n"/>
      <c r="I265" s="45" t="n"/>
      <c r="J265" s="77" t="n"/>
      <c r="K265" s="18" t="n"/>
    </row>
    <row r="266">
      <c r="A266" s="18" t="n">
        <v>238</v>
      </c>
      <c r="B266" s="56" t="inlineStr">
        <is>
          <t>00024-UNI</t>
        </is>
      </c>
      <c r="C266" s="56">
        <f>IFERROR(_xlfn.XLOOKUP(ENTRADAS[[#This Row],[CODIGO]],LISTADO[CODIGOS],LISTADO[CATEGORIA]),"NO EXISTE")</f>
        <v/>
      </c>
      <c r="D266" s="56">
        <f>IFERROR(_xlfn.XLOOKUP(ENTRADAS[[#This Row],[CODIGO]],LISTADO[CODIGOS],LISTADO[PRODUCTOS]),"NO EXISTE")</f>
        <v/>
      </c>
      <c r="E266" s="19" t="n">
        <v>46071</v>
      </c>
      <c r="F266" s="18" t="n">
        <v>10</v>
      </c>
      <c r="G266" s="18" t="inlineStr">
        <is>
          <t>INVENTARIO</t>
        </is>
      </c>
      <c r="H266" s="18" t="n"/>
      <c r="I266" s="45" t="n"/>
      <c r="J266" s="77" t="n"/>
      <c r="K266" s="18" t="n"/>
    </row>
    <row r="267">
      <c r="A267" s="18" t="n">
        <v>239</v>
      </c>
      <c r="B267" s="56" t="inlineStr">
        <is>
          <t>00044-UNI</t>
        </is>
      </c>
      <c r="C267" s="56">
        <f>IFERROR(_xlfn.XLOOKUP(ENTRADAS[[#This Row],[CODIGO]],LISTADO[CODIGOS],LISTADO[CATEGORIA]),"NO EXISTE")</f>
        <v/>
      </c>
      <c r="D267" s="56">
        <f>IFERROR(_xlfn.XLOOKUP(ENTRADAS[[#This Row],[CODIGO]],LISTADO[CODIGOS],LISTADO[PRODUCTOS]),"NO EXISTE")</f>
        <v/>
      </c>
      <c r="E267" s="19" t="n">
        <v>46071</v>
      </c>
      <c r="F267" s="18" t="n">
        <v>6</v>
      </c>
      <c r="G267" s="18" t="inlineStr">
        <is>
          <t>INVENTARIO</t>
        </is>
      </c>
      <c r="H267" s="18" t="n"/>
      <c r="I267" s="45" t="n"/>
      <c r="J267" s="77" t="n"/>
      <c r="K267" s="18" t="n"/>
    </row>
    <row r="268">
      <c r="A268" s="18" t="n">
        <v>240</v>
      </c>
      <c r="B268" s="56" t="inlineStr">
        <is>
          <t>00042-UNI</t>
        </is>
      </c>
      <c r="C268" s="56">
        <f>IFERROR(_xlfn.XLOOKUP(ENTRADAS[[#This Row],[CODIGO]],LISTADO[CODIGOS],LISTADO[CATEGORIA]),"NO EXISTE")</f>
        <v/>
      </c>
      <c r="D268" s="56">
        <f>IFERROR(_xlfn.XLOOKUP(ENTRADAS[[#This Row],[CODIGO]],LISTADO[CODIGOS],LISTADO[PRODUCTOS]),"NO EXISTE")</f>
        <v/>
      </c>
      <c r="E268" s="19" t="n">
        <v>46071</v>
      </c>
      <c r="F268" s="18" t="n">
        <v>10</v>
      </c>
      <c r="G268" s="18" t="inlineStr">
        <is>
          <t>INVENTARIO</t>
        </is>
      </c>
      <c r="H268" s="18" t="n"/>
      <c r="I268" s="45" t="n"/>
      <c r="J268" s="77" t="n"/>
      <c r="K268" s="18" t="n"/>
    </row>
    <row r="269">
      <c r="A269" s="18" t="n">
        <v>241</v>
      </c>
      <c r="B269" s="56" t="inlineStr">
        <is>
          <t>00043-UNI</t>
        </is>
      </c>
      <c r="C269" s="56">
        <f>IFERROR(_xlfn.XLOOKUP(ENTRADAS[[#This Row],[CODIGO]],LISTADO[CODIGOS],LISTADO[CATEGORIA]),"NO EXISTE")</f>
        <v/>
      </c>
      <c r="D269" s="56">
        <f>IFERROR(_xlfn.XLOOKUP(ENTRADAS[[#This Row],[CODIGO]],LISTADO[CODIGOS],LISTADO[PRODUCTOS]),"NO EXISTE")</f>
        <v/>
      </c>
      <c r="E269" s="19" t="n">
        <v>46071</v>
      </c>
      <c r="F269" s="18" t="n">
        <v>3</v>
      </c>
      <c r="G269" s="18" t="inlineStr">
        <is>
          <t>INVENTARIO</t>
        </is>
      </c>
      <c r="H269" s="18" t="n"/>
      <c r="I269" s="45" t="n"/>
      <c r="J269" s="77" t="n"/>
      <c r="K269" s="18" t="n"/>
    </row>
    <row r="270">
      <c r="A270" s="18" t="n">
        <v>242</v>
      </c>
      <c r="B270" s="56" t="inlineStr">
        <is>
          <t>00046-UNI</t>
        </is>
      </c>
      <c r="C270" s="56">
        <f>IFERROR(_xlfn.XLOOKUP(ENTRADAS[[#This Row],[CODIGO]],LISTADO[CODIGOS],LISTADO[CATEGORIA]),"NO EXISTE")</f>
        <v/>
      </c>
      <c r="D270" s="56">
        <f>IFERROR(_xlfn.XLOOKUP(ENTRADAS[[#This Row],[CODIGO]],LISTADO[CODIGOS],LISTADO[PRODUCTOS]),"NO EXISTE")</f>
        <v/>
      </c>
      <c r="E270" s="19" t="n">
        <v>46071</v>
      </c>
      <c r="F270" s="18" t="n">
        <v>12</v>
      </c>
      <c r="G270" s="18" t="inlineStr">
        <is>
          <t>INVENTARIO</t>
        </is>
      </c>
      <c r="H270" s="18" t="n"/>
      <c r="I270" s="45" t="n"/>
      <c r="J270" s="77" t="n"/>
      <c r="K270" s="18" t="n"/>
    </row>
    <row r="271">
      <c r="A271" s="18" t="n">
        <v>243</v>
      </c>
      <c r="B271" s="56" t="inlineStr">
        <is>
          <t>00045-UNI</t>
        </is>
      </c>
      <c r="C271" s="56">
        <f>IFERROR(_xlfn.XLOOKUP(ENTRADAS[[#This Row],[CODIGO]],LISTADO[CODIGOS],LISTADO[CATEGORIA]),"NO EXISTE")</f>
        <v/>
      </c>
      <c r="D271" s="56">
        <f>IFERROR(_xlfn.XLOOKUP(ENTRADAS[[#This Row],[CODIGO]],LISTADO[CODIGOS],LISTADO[PRODUCTOS]),"NO EXISTE")</f>
        <v/>
      </c>
      <c r="E271" s="19" t="n">
        <v>46071</v>
      </c>
      <c r="F271" s="18" t="n">
        <v>10</v>
      </c>
      <c r="G271" s="18" t="inlineStr">
        <is>
          <t>INVENTARIO</t>
        </is>
      </c>
      <c r="H271" s="18" t="n"/>
      <c r="I271" s="45" t="n"/>
      <c r="J271" s="77" t="n"/>
      <c r="K271" s="18" t="n"/>
    </row>
    <row r="272">
      <c r="A272" s="18" t="n">
        <v>244</v>
      </c>
      <c r="B272" s="56" t="inlineStr">
        <is>
          <t>00048-UNI</t>
        </is>
      </c>
      <c r="C272" s="56">
        <f>IFERROR(_xlfn.XLOOKUP(ENTRADAS[[#This Row],[CODIGO]],LISTADO[CODIGOS],LISTADO[CATEGORIA]),"NO EXISTE")</f>
        <v/>
      </c>
      <c r="D272" s="56">
        <f>IFERROR(_xlfn.XLOOKUP(ENTRADAS[[#This Row],[CODIGO]],LISTADO[CODIGOS],LISTADO[PRODUCTOS]),"NO EXISTE")</f>
        <v/>
      </c>
      <c r="E272" s="19" t="n">
        <v>46071</v>
      </c>
      <c r="F272" s="18" t="n">
        <v>3</v>
      </c>
      <c r="G272" s="18" t="inlineStr">
        <is>
          <t>INVENTARIO</t>
        </is>
      </c>
      <c r="H272" s="18" t="n"/>
      <c r="I272" s="45" t="n"/>
      <c r="J272" s="77" t="n"/>
      <c r="K272" s="18" t="n"/>
    </row>
    <row r="273">
      <c r="A273" s="18" t="n">
        <v>245</v>
      </c>
      <c r="B273" s="56" t="inlineStr">
        <is>
          <t>00047-UNI</t>
        </is>
      </c>
      <c r="C273" s="56">
        <f>IFERROR(_xlfn.XLOOKUP(ENTRADAS[[#This Row],[CODIGO]],LISTADO[CODIGOS],LISTADO[CATEGORIA]),"NO EXISTE")</f>
        <v/>
      </c>
      <c r="D273" s="56">
        <f>IFERROR(_xlfn.XLOOKUP(ENTRADAS[[#This Row],[CODIGO]],LISTADO[CODIGOS],LISTADO[PRODUCTOS]),"NO EXISTE")</f>
        <v/>
      </c>
      <c r="E273" s="19" t="n">
        <v>46071</v>
      </c>
      <c r="F273" s="18" t="n">
        <v>9</v>
      </c>
      <c r="G273" s="18" t="inlineStr">
        <is>
          <t>INVENTARIO</t>
        </is>
      </c>
      <c r="H273" s="18" t="n"/>
      <c r="I273" s="45" t="n"/>
      <c r="J273" s="77" t="n"/>
      <c r="K273" s="18" t="n"/>
    </row>
    <row r="274">
      <c r="A274" s="18" t="n">
        <v>246</v>
      </c>
      <c r="B274" s="56" t="inlineStr">
        <is>
          <t>00055-UNI</t>
        </is>
      </c>
      <c r="C274" s="56">
        <f>IFERROR(_xlfn.XLOOKUP(ENTRADAS[[#This Row],[CODIGO]],LISTADO[CODIGOS],LISTADO[CATEGORIA]),"NO EXISTE")</f>
        <v/>
      </c>
      <c r="D274" s="56">
        <f>IFERROR(_xlfn.XLOOKUP(ENTRADAS[[#This Row],[CODIGO]],LISTADO[CODIGOS],LISTADO[PRODUCTOS]),"NO EXISTE")</f>
        <v/>
      </c>
      <c r="E274" s="19" t="n">
        <v>46071</v>
      </c>
      <c r="F274" s="18" t="n">
        <v>3</v>
      </c>
      <c r="G274" s="18" t="inlineStr">
        <is>
          <t>INVENTARIO</t>
        </is>
      </c>
      <c r="H274" s="18" t="n"/>
      <c r="I274" s="45" t="n"/>
      <c r="J274" s="77" t="n"/>
      <c r="K274" s="18" t="n"/>
    </row>
    <row r="275">
      <c r="A275" s="18" t="n">
        <v>247</v>
      </c>
      <c r="B275" s="56" t="inlineStr">
        <is>
          <t>00056-UNI</t>
        </is>
      </c>
      <c r="C275" s="56">
        <f>IFERROR(_xlfn.XLOOKUP(ENTRADAS[[#This Row],[CODIGO]],LISTADO[CODIGOS],LISTADO[CATEGORIA]),"NO EXISTE")</f>
        <v/>
      </c>
      <c r="D275" s="56">
        <f>IFERROR(_xlfn.XLOOKUP(ENTRADAS[[#This Row],[CODIGO]],LISTADO[CODIGOS],LISTADO[PRODUCTOS]),"NO EXISTE")</f>
        <v/>
      </c>
      <c r="E275" s="19" t="n">
        <v>46071</v>
      </c>
      <c r="F275" s="18" t="n">
        <v>7</v>
      </c>
      <c r="G275" s="18" t="inlineStr">
        <is>
          <t>INVENTARIO</t>
        </is>
      </c>
      <c r="H275" s="18" t="n"/>
      <c r="I275" s="45" t="n"/>
      <c r="J275" s="77" t="n"/>
      <c r="K275" s="18" t="n"/>
    </row>
    <row r="276">
      <c r="A276" s="18" t="n">
        <v>248</v>
      </c>
      <c r="B276" s="56" t="inlineStr">
        <is>
          <t>00057-UNI</t>
        </is>
      </c>
      <c r="C276" s="56">
        <f>IFERROR(_xlfn.XLOOKUP(ENTRADAS[[#This Row],[CODIGO]],LISTADO[CODIGOS],LISTADO[CATEGORIA]),"NO EXISTE")</f>
        <v/>
      </c>
      <c r="D276" s="56">
        <f>IFERROR(_xlfn.XLOOKUP(ENTRADAS[[#This Row],[CODIGO]],LISTADO[CODIGOS],LISTADO[PRODUCTOS]),"NO EXISTE")</f>
        <v/>
      </c>
      <c r="E276" s="19" t="n">
        <v>46071</v>
      </c>
      <c r="F276" s="18" t="n">
        <v>13</v>
      </c>
      <c r="G276" s="18" t="inlineStr">
        <is>
          <t>INVENTARIO</t>
        </is>
      </c>
      <c r="H276" s="18" t="n"/>
      <c r="I276" s="45" t="n"/>
      <c r="J276" s="77" t="n"/>
      <c r="K276" s="18" t="n"/>
    </row>
    <row r="277">
      <c r="A277" s="18" t="n">
        <v>249</v>
      </c>
      <c r="B277" s="56" t="inlineStr">
        <is>
          <t>00061-UNI</t>
        </is>
      </c>
      <c r="C277" s="56">
        <f>IFERROR(_xlfn.XLOOKUP(ENTRADAS[[#This Row],[CODIGO]],LISTADO[CODIGOS],LISTADO[CATEGORIA]),"NO EXISTE")</f>
        <v/>
      </c>
      <c r="D277" s="56">
        <f>IFERROR(_xlfn.XLOOKUP(ENTRADAS[[#This Row],[CODIGO]],LISTADO[CODIGOS],LISTADO[PRODUCTOS]),"NO EXISTE")</f>
        <v/>
      </c>
      <c r="E277" s="19" t="n">
        <v>46071</v>
      </c>
      <c r="F277" s="18" t="n">
        <v>5</v>
      </c>
      <c r="G277" s="18" t="inlineStr">
        <is>
          <t>INVENTARIO</t>
        </is>
      </c>
      <c r="H277" s="18" t="n"/>
      <c r="I277" s="45" t="n"/>
      <c r="J277" s="77" t="n"/>
      <c r="K277" s="18" t="n"/>
    </row>
    <row r="278">
      <c r="A278" s="18" t="n">
        <v>250</v>
      </c>
      <c r="B278" s="56" t="inlineStr">
        <is>
          <t>00060-UNI</t>
        </is>
      </c>
      <c r="C278" s="56">
        <f>IFERROR(_xlfn.XLOOKUP(ENTRADAS[[#This Row],[CODIGO]],LISTADO[CODIGOS],LISTADO[CATEGORIA]),"NO EXISTE")</f>
        <v/>
      </c>
      <c r="D278" s="56">
        <f>IFERROR(_xlfn.XLOOKUP(ENTRADAS[[#This Row],[CODIGO]],LISTADO[CODIGOS],LISTADO[PRODUCTOS]),"NO EXISTE")</f>
        <v/>
      </c>
      <c r="E278" s="19" t="n">
        <v>46071</v>
      </c>
      <c r="F278" s="18" t="n">
        <v>9</v>
      </c>
      <c r="G278" s="18" t="inlineStr">
        <is>
          <t>INVENTARIO</t>
        </is>
      </c>
      <c r="H278" s="18" t="n"/>
      <c r="I278" s="45" t="n"/>
      <c r="J278" s="77" t="n"/>
      <c r="K278" s="18" t="n"/>
    </row>
    <row r="279">
      <c r="A279" s="18" t="n">
        <v>251</v>
      </c>
      <c r="B279" s="56" t="inlineStr">
        <is>
          <t>00059-UNI</t>
        </is>
      </c>
      <c r="C279" s="56">
        <f>IFERROR(_xlfn.XLOOKUP(ENTRADAS[[#This Row],[CODIGO]],LISTADO[CODIGOS],LISTADO[CATEGORIA]),"NO EXISTE")</f>
        <v/>
      </c>
      <c r="D279" s="56">
        <f>IFERROR(_xlfn.XLOOKUP(ENTRADAS[[#This Row],[CODIGO]],LISTADO[CODIGOS],LISTADO[PRODUCTOS]),"NO EXISTE")</f>
        <v/>
      </c>
      <c r="E279" s="19" t="n">
        <v>46071</v>
      </c>
      <c r="F279" s="18" t="n">
        <v>1</v>
      </c>
      <c r="G279" s="18" t="inlineStr">
        <is>
          <t>INVENTARIO</t>
        </is>
      </c>
      <c r="H279" s="18" t="n"/>
      <c r="I279" s="45" t="n"/>
      <c r="J279" s="77" t="n"/>
      <c r="K279" s="18" t="n"/>
    </row>
    <row r="280">
      <c r="A280" s="18" t="n">
        <v>252</v>
      </c>
      <c r="B280" s="56" t="inlineStr">
        <is>
          <t>00054-UNI</t>
        </is>
      </c>
      <c r="C280" s="56">
        <f>IFERROR(_xlfn.XLOOKUP(ENTRADAS[[#This Row],[CODIGO]],LISTADO[CODIGOS],LISTADO[CATEGORIA]),"NO EXISTE")</f>
        <v/>
      </c>
      <c r="D280" s="56">
        <f>IFERROR(_xlfn.XLOOKUP(ENTRADAS[[#This Row],[CODIGO]],LISTADO[CODIGOS],LISTADO[PRODUCTOS]),"NO EXISTE")</f>
        <v/>
      </c>
      <c r="E280" s="19" t="n">
        <v>46071</v>
      </c>
      <c r="F280" s="18" t="n">
        <v>4</v>
      </c>
      <c r="G280" s="18" t="inlineStr">
        <is>
          <t>INVENTARIO</t>
        </is>
      </c>
      <c r="H280" s="18" t="n"/>
      <c r="I280" s="45" t="n"/>
      <c r="J280" s="77" t="n"/>
      <c r="K280" s="18" t="n"/>
    </row>
    <row r="281">
      <c r="A281" s="18" t="n">
        <v>253</v>
      </c>
      <c r="B281" s="56" t="inlineStr">
        <is>
          <t>00053-UNI</t>
        </is>
      </c>
      <c r="C281" s="56">
        <f>IFERROR(_xlfn.XLOOKUP(ENTRADAS[[#This Row],[CODIGO]],LISTADO[CODIGOS],LISTADO[CATEGORIA]),"NO EXISTE")</f>
        <v/>
      </c>
      <c r="D281" s="56">
        <f>IFERROR(_xlfn.XLOOKUP(ENTRADAS[[#This Row],[CODIGO]],LISTADO[CODIGOS],LISTADO[PRODUCTOS]),"NO EXISTE")</f>
        <v/>
      </c>
      <c r="E281" s="19" t="n">
        <v>46071</v>
      </c>
      <c r="F281" s="18" t="n">
        <v>1</v>
      </c>
      <c r="G281" s="18" t="inlineStr">
        <is>
          <t>INVENTARIO</t>
        </is>
      </c>
      <c r="H281" s="18" t="n"/>
      <c r="I281" s="45" t="n"/>
      <c r="J281" s="77" t="n"/>
      <c r="K281" s="18" t="n"/>
    </row>
    <row r="282">
      <c r="A282" s="18" t="n">
        <v>254</v>
      </c>
      <c r="B282" s="56" t="inlineStr">
        <is>
          <t>00058-UNI</t>
        </is>
      </c>
      <c r="C282" s="56">
        <f>IFERROR(_xlfn.XLOOKUP(ENTRADAS[[#This Row],[CODIGO]],LISTADO[CODIGOS],LISTADO[CATEGORIA]),"NO EXISTE")</f>
        <v/>
      </c>
      <c r="D282" s="56">
        <f>IFERROR(_xlfn.XLOOKUP(ENTRADAS[[#This Row],[CODIGO]],LISTADO[CODIGOS],LISTADO[PRODUCTOS]),"NO EXISTE")</f>
        <v/>
      </c>
      <c r="E282" s="19" t="n">
        <v>46071</v>
      </c>
      <c r="F282" s="18" t="n">
        <v>1</v>
      </c>
      <c r="G282" s="18" t="inlineStr">
        <is>
          <t>INVENTARIO</t>
        </is>
      </c>
      <c r="H282" s="18" t="n"/>
      <c r="I282" s="45" t="n"/>
      <c r="J282" s="77" t="n"/>
      <c r="K282" s="18" t="n"/>
    </row>
    <row r="283">
      <c r="A283" s="18" t="n">
        <v>255</v>
      </c>
      <c r="B283" s="56" t="inlineStr">
        <is>
          <t>00064-UNI</t>
        </is>
      </c>
      <c r="C283" s="56">
        <f>IFERROR(_xlfn.XLOOKUP(ENTRADAS[[#This Row],[CODIGO]],LISTADO[CODIGOS],LISTADO[CATEGORIA]),"NO EXISTE")</f>
        <v/>
      </c>
      <c r="D283" s="56">
        <f>IFERROR(_xlfn.XLOOKUP(ENTRADAS[[#This Row],[CODIGO]],LISTADO[CODIGOS],LISTADO[PRODUCTOS]),"NO EXISTE")</f>
        <v/>
      </c>
      <c r="E283" s="19" t="n">
        <v>46071</v>
      </c>
      <c r="F283" s="18" t="n">
        <v>31</v>
      </c>
      <c r="G283" s="18" t="inlineStr">
        <is>
          <t>INVENTARIO</t>
        </is>
      </c>
      <c r="H283" s="18" t="n"/>
      <c r="I283" s="45" t="n"/>
      <c r="J283" s="77" t="n"/>
      <c r="K283" s="18" t="n"/>
    </row>
    <row r="284">
      <c r="A284" s="18" t="n">
        <v>256</v>
      </c>
      <c r="B284" s="56" t="inlineStr">
        <is>
          <t>00065-UNI</t>
        </is>
      </c>
      <c r="C284" s="56">
        <f>IFERROR(_xlfn.XLOOKUP(ENTRADAS[[#This Row],[CODIGO]],LISTADO[CODIGOS],LISTADO[CATEGORIA]),"NO EXISTE")</f>
        <v/>
      </c>
      <c r="D284" s="56">
        <f>IFERROR(_xlfn.XLOOKUP(ENTRADAS[[#This Row],[CODIGO]],LISTADO[CODIGOS],LISTADO[PRODUCTOS]),"NO EXISTE")</f>
        <v/>
      </c>
      <c r="E284" s="19" t="n">
        <v>46071</v>
      </c>
      <c r="F284" s="18" t="n">
        <v>16</v>
      </c>
      <c r="G284" s="18" t="inlineStr">
        <is>
          <t>INVENTARIO</t>
        </is>
      </c>
      <c r="H284" s="18" t="n"/>
      <c r="I284" s="45" t="n"/>
      <c r="J284" s="77" t="n"/>
      <c r="K284" s="18" t="n"/>
    </row>
    <row r="285">
      <c r="A285" s="18" t="n">
        <v>257</v>
      </c>
      <c r="B285" s="56" t="inlineStr">
        <is>
          <t>00067-UNI</t>
        </is>
      </c>
      <c r="C285" s="56">
        <f>IFERROR(_xlfn.XLOOKUP(ENTRADAS[[#This Row],[CODIGO]],LISTADO[CODIGOS],LISTADO[CATEGORIA]),"NO EXISTE")</f>
        <v/>
      </c>
      <c r="D285" s="56">
        <f>IFERROR(_xlfn.XLOOKUP(ENTRADAS[[#This Row],[CODIGO]],LISTADO[CODIGOS],LISTADO[PRODUCTOS]),"NO EXISTE")</f>
        <v/>
      </c>
      <c r="E285" s="19" t="n">
        <v>46071</v>
      </c>
      <c r="F285" s="18" t="n">
        <v>9</v>
      </c>
      <c r="G285" s="18" t="inlineStr">
        <is>
          <t>INVENTARIO</t>
        </is>
      </c>
      <c r="H285" s="18" t="n"/>
      <c r="I285" s="45" t="n"/>
      <c r="J285" s="77" t="n"/>
      <c r="K285" s="18" t="n"/>
    </row>
    <row r="286">
      <c r="A286" s="18" t="n">
        <v>258</v>
      </c>
      <c r="B286" s="56" t="inlineStr">
        <is>
          <t>00063-UNI</t>
        </is>
      </c>
      <c r="C286" s="56">
        <f>IFERROR(_xlfn.XLOOKUP(ENTRADAS[[#This Row],[CODIGO]],LISTADO[CODIGOS],LISTADO[CATEGORIA]),"NO EXISTE")</f>
        <v/>
      </c>
      <c r="D286" s="56">
        <f>IFERROR(_xlfn.XLOOKUP(ENTRADAS[[#This Row],[CODIGO]],LISTADO[CODIGOS],LISTADO[PRODUCTOS]),"NO EXISTE")</f>
        <v/>
      </c>
      <c r="E286" s="19" t="n">
        <v>46071</v>
      </c>
      <c r="F286" s="18" t="n">
        <v>3</v>
      </c>
      <c r="G286" s="18" t="inlineStr">
        <is>
          <t>INVENTARIO</t>
        </is>
      </c>
      <c r="H286" s="18" t="n"/>
      <c r="I286" s="45" t="n"/>
      <c r="J286" s="77" t="n"/>
      <c r="K286" s="18" t="n"/>
    </row>
    <row r="287">
      <c r="A287" s="18" t="n">
        <v>259</v>
      </c>
      <c r="B287" s="56" t="inlineStr">
        <is>
          <t>00062-UNI</t>
        </is>
      </c>
      <c r="C287" s="56">
        <f>IFERROR(_xlfn.XLOOKUP(ENTRADAS[[#This Row],[CODIGO]],LISTADO[CODIGOS],LISTADO[CATEGORIA]),"NO EXISTE")</f>
        <v/>
      </c>
      <c r="D287" s="56">
        <f>IFERROR(_xlfn.XLOOKUP(ENTRADAS[[#This Row],[CODIGO]],LISTADO[CODIGOS],LISTADO[PRODUCTOS]),"NO EXISTE")</f>
        <v/>
      </c>
      <c r="E287" s="19" t="n">
        <v>46071</v>
      </c>
      <c r="F287" s="18" t="n">
        <v>1</v>
      </c>
      <c r="G287" s="18" t="inlineStr">
        <is>
          <t>INVENTARIO</t>
        </is>
      </c>
      <c r="H287" s="18" t="n"/>
      <c r="I287" s="45" t="n"/>
      <c r="J287" s="77" t="n"/>
      <c r="K287" s="18" t="n"/>
    </row>
    <row r="288">
      <c r="A288" s="18" t="n">
        <v>260</v>
      </c>
      <c r="B288" s="56" t="inlineStr">
        <is>
          <t>00001-UNI</t>
        </is>
      </c>
      <c r="C288" s="56">
        <f>IFERROR(_xlfn.XLOOKUP(ENTRADAS[[#This Row],[CODIGO]],LISTADO[CODIGOS],LISTADO[CATEGORIA]),"NO EXISTE")</f>
        <v/>
      </c>
      <c r="D288" s="56">
        <f>IFERROR(_xlfn.XLOOKUP(ENTRADAS[[#This Row],[CODIGO]],LISTADO[CODIGOS],LISTADO[PRODUCTOS]),"NO EXISTE")</f>
        <v/>
      </c>
      <c r="E288" s="19" t="n">
        <v>46071</v>
      </c>
      <c r="F288" s="18" t="n">
        <v>110</v>
      </c>
      <c r="G288" s="18" t="inlineStr">
        <is>
          <t>INVENTARIO</t>
        </is>
      </c>
      <c r="H288" s="18" t="n"/>
      <c r="I288" s="45" t="n"/>
      <c r="J288" s="77" t="n"/>
      <c r="K288" s="18" t="n"/>
    </row>
    <row r="289">
      <c r="A289" s="18" t="n">
        <v>261</v>
      </c>
      <c r="B289" s="56" t="inlineStr">
        <is>
          <t>00029-FER</t>
        </is>
      </c>
      <c r="C289" s="56">
        <f>IFERROR(_xlfn.XLOOKUP(ENTRADAS[[#This Row],[CODIGO]],LISTADO[CODIGOS],LISTADO[CATEGORIA]),"NO EXISTE")</f>
        <v/>
      </c>
      <c r="D289" s="56">
        <f>IFERROR(_xlfn.XLOOKUP(ENTRADAS[[#This Row],[CODIGO]],LISTADO[CODIGOS],LISTADO[PRODUCTOS]),"NO EXISTE")</f>
        <v/>
      </c>
      <c r="E289" s="19" t="n">
        <v>46071</v>
      </c>
      <c r="F289" s="18" t="n">
        <v>1</v>
      </c>
      <c r="G289" s="18" t="inlineStr">
        <is>
          <t>INVENTARIO</t>
        </is>
      </c>
      <c r="H289" s="18" t="n"/>
      <c r="I289" s="45" t="n"/>
      <c r="J289" s="77" t="n"/>
      <c r="K289" s="18" t="n"/>
    </row>
    <row r="290">
      <c r="A290" s="18" t="n">
        <v>262</v>
      </c>
      <c r="B290" s="56" t="inlineStr">
        <is>
          <t>00031-FER</t>
        </is>
      </c>
      <c r="C290" s="56">
        <f>IFERROR(_xlfn.XLOOKUP(ENTRADAS[[#This Row],[CODIGO]],LISTADO[CODIGOS],LISTADO[CATEGORIA]),"NO EXISTE")</f>
        <v/>
      </c>
      <c r="D290" s="56">
        <f>IFERROR(_xlfn.XLOOKUP(ENTRADAS[[#This Row],[CODIGO]],LISTADO[CODIGOS],LISTADO[PRODUCTOS]),"NO EXISTE")</f>
        <v/>
      </c>
      <c r="E290" s="19" t="n">
        <v>46071</v>
      </c>
      <c r="F290" s="18" t="n">
        <v>1</v>
      </c>
      <c r="G290" s="18" t="inlineStr">
        <is>
          <t>INVENTARIO</t>
        </is>
      </c>
      <c r="H290" s="18" t="n"/>
      <c r="I290" s="45" t="n"/>
      <c r="J290" s="77" t="n"/>
      <c r="K290" s="18" t="n"/>
    </row>
    <row r="291">
      <c r="A291" s="18" t="n">
        <v>263</v>
      </c>
      <c r="B291" s="56" t="inlineStr">
        <is>
          <t>00054-FER</t>
        </is>
      </c>
      <c r="C291" s="56">
        <f>IFERROR(_xlfn.XLOOKUP(ENTRADAS[[#This Row],[CODIGO]],LISTADO[CODIGOS],LISTADO[CATEGORIA]),"NO EXISTE")</f>
        <v/>
      </c>
      <c r="D291" s="56">
        <f>IFERROR(_xlfn.XLOOKUP(ENTRADAS[[#This Row],[CODIGO]],LISTADO[CODIGOS],LISTADO[PRODUCTOS]),"NO EXISTE")</f>
        <v/>
      </c>
      <c r="E291" s="19" t="n">
        <v>46071</v>
      </c>
      <c r="F291" s="18" t="n">
        <v>2</v>
      </c>
      <c r="G291" s="18" t="inlineStr">
        <is>
          <t>INVENTARIO</t>
        </is>
      </c>
      <c r="H291" s="18" t="n"/>
      <c r="I291" s="45" t="n"/>
      <c r="J291" s="77" t="n"/>
      <c r="K291" s="18" t="n"/>
    </row>
    <row r="292">
      <c r="A292" s="18" t="n">
        <v>264</v>
      </c>
      <c r="B292" s="56" t="inlineStr">
        <is>
          <t>00056-FER</t>
        </is>
      </c>
      <c r="C292" s="56">
        <f>IFERROR(_xlfn.XLOOKUP(ENTRADAS[[#This Row],[CODIGO]],LISTADO[CODIGOS],LISTADO[CATEGORIA]),"NO EXISTE")</f>
        <v/>
      </c>
      <c r="D292" s="56">
        <f>IFERROR(_xlfn.XLOOKUP(ENTRADAS[[#This Row],[CODIGO]],LISTADO[CODIGOS],LISTADO[PRODUCTOS]),"NO EXISTE")</f>
        <v/>
      </c>
      <c r="E292" s="19" t="n">
        <v>46071</v>
      </c>
      <c r="F292" s="18" t="n">
        <v>1</v>
      </c>
      <c r="G292" s="18" t="inlineStr">
        <is>
          <t>INVENTARIO</t>
        </is>
      </c>
      <c r="H292" s="18" t="n"/>
      <c r="I292" s="45" t="n"/>
      <c r="J292" s="77" t="n"/>
      <c r="K292" s="18" t="n"/>
    </row>
    <row r="293">
      <c r="A293" s="18" t="n">
        <v>265</v>
      </c>
      <c r="B293" s="56" t="inlineStr">
        <is>
          <t>00031-OFC</t>
        </is>
      </c>
      <c r="C293" s="56">
        <f>IFERROR(_xlfn.XLOOKUP(ENTRADAS[[#This Row],[CODIGO]],LISTADO[CODIGOS],LISTADO[CATEGORIA]),"NO EXISTE")</f>
        <v/>
      </c>
      <c r="D293" s="56">
        <f>IFERROR(_xlfn.XLOOKUP(ENTRADAS[[#This Row],[CODIGO]],LISTADO[CODIGOS],LISTADO[PRODUCTOS]),"NO EXISTE")</f>
        <v/>
      </c>
      <c r="E293" s="19" t="n">
        <v>46071</v>
      </c>
      <c r="F293" s="18" t="n">
        <v>7</v>
      </c>
      <c r="G293" s="18" t="inlineStr">
        <is>
          <t>INVENTARIO</t>
        </is>
      </c>
      <c r="H293" s="18" t="n"/>
      <c r="I293" s="45" t="n"/>
      <c r="J293" s="77" t="n"/>
      <c r="K293" s="18" t="n"/>
    </row>
    <row r="294">
      <c r="A294" s="18" t="n">
        <v>266</v>
      </c>
      <c r="B294" s="56" t="inlineStr">
        <is>
          <t>00010-ELE</t>
        </is>
      </c>
      <c r="C294" s="56">
        <f>IFERROR(_xlfn.XLOOKUP(ENTRADAS[[#This Row],[CODIGO]],LISTADO[CODIGOS],LISTADO[CATEGORIA]),"NO EXISTE")</f>
        <v/>
      </c>
      <c r="D294" s="56">
        <f>IFERROR(_xlfn.XLOOKUP(ENTRADAS[[#This Row],[CODIGO]],LISTADO[CODIGOS],LISTADO[PRODUCTOS]),"NO EXISTE")</f>
        <v/>
      </c>
      <c r="E294" s="19" t="n">
        <v>46071</v>
      </c>
      <c r="F294" s="18" t="n">
        <v>2</v>
      </c>
      <c r="G294" s="18" t="inlineStr">
        <is>
          <t>INGRESO</t>
        </is>
      </c>
      <c r="H294" s="18" t="n"/>
      <c r="I294" s="45" t="n"/>
      <c r="J294" s="77" t="n"/>
      <c r="K294" s="18" t="n"/>
    </row>
    <row r="295">
      <c r="A295" s="18" t="n">
        <v>267</v>
      </c>
      <c r="B295" s="56" t="inlineStr">
        <is>
          <t>00009-ELE</t>
        </is>
      </c>
      <c r="C295" s="56">
        <f>IFERROR(_xlfn.XLOOKUP(ENTRADAS[[#This Row],[CODIGO]],LISTADO[CODIGOS],LISTADO[CATEGORIA]),"NO EXISTE")</f>
        <v/>
      </c>
      <c r="D295" s="56">
        <f>IFERROR(_xlfn.XLOOKUP(ENTRADAS[[#This Row],[CODIGO]],LISTADO[CODIGOS],LISTADO[PRODUCTOS]),"NO EXISTE")</f>
        <v/>
      </c>
      <c r="E295" s="19" t="n">
        <v>46071</v>
      </c>
      <c r="F295" s="18" t="n">
        <v>15</v>
      </c>
      <c r="G295" s="18" t="inlineStr">
        <is>
          <t>INGRESO</t>
        </is>
      </c>
      <c r="H295" s="18" t="n"/>
      <c r="I295" s="45" t="n"/>
      <c r="J295" s="77" t="n"/>
      <c r="K295" s="18" t="n"/>
    </row>
    <row r="296">
      <c r="A296" s="18" t="n">
        <v>268</v>
      </c>
      <c r="B296" s="56" t="inlineStr">
        <is>
          <t>00005-ELE</t>
        </is>
      </c>
      <c r="C296" s="56">
        <f>IFERROR(_xlfn.XLOOKUP(ENTRADAS[[#This Row],[CODIGO]],LISTADO[CODIGOS],LISTADO[CATEGORIA]),"NO EXISTE")</f>
        <v/>
      </c>
      <c r="D296" s="56">
        <f>IFERROR(_xlfn.XLOOKUP(ENTRADAS[[#This Row],[CODIGO]],LISTADO[CODIGOS],LISTADO[PRODUCTOS]),"NO EXISTE")</f>
        <v/>
      </c>
      <c r="E296" s="19" t="n">
        <v>46071</v>
      </c>
      <c r="F296" s="18" t="n">
        <v>20</v>
      </c>
      <c r="G296" s="18" t="inlineStr">
        <is>
          <t>INGRESO</t>
        </is>
      </c>
      <c r="H296" s="18" t="n"/>
      <c r="I296" s="45" t="n"/>
      <c r="J296" s="77" t="n"/>
      <c r="K296" s="18" t="n"/>
    </row>
    <row r="297">
      <c r="A297" s="18" t="n">
        <v>269</v>
      </c>
      <c r="B297" s="56" t="inlineStr">
        <is>
          <t>00006-ELE</t>
        </is>
      </c>
      <c r="C297" s="56">
        <f>IFERROR(_xlfn.XLOOKUP(ENTRADAS[[#This Row],[CODIGO]],LISTADO[CODIGOS],LISTADO[CATEGORIA]),"NO EXISTE")</f>
        <v/>
      </c>
      <c r="D297" s="56">
        <f>IFERROR(_xlfn.XLOOKUP(ENTRADAS[[#This Row],[CODIGO]],LISTADO[CODIGOS],LISTADO[PRODUCTOS]),"NO EXISTE")</f>
        <v/>
      </c>
      <c r="E297" s="19" t="n">
        <v>46071</v>
      </c>
      <c r="F297" s="18" t="n">
        <v>1</v>
      </c>
      <c r="G297" s="18" t="inlineStr">
        <is>
          <t>INGRESO</t>
        </is>
      </c>
      <c r="H297" s="18" t="n"/>
      <c r="I297" s="45" t="n"/>
      <c r="J297" s="77" t="n"/>
      <c r="K297" s="18" t="n"/>
    </row>
    <row r="298">
      <c r="A298" s="18" t="n">
        <v>270</v>
      </c>
      <c r="B298" s="56" t="inlineStr">
        <is>
          <t>00006-ELE</t>
        </is>
      </c>
      <c r="C298" s="56">
        <f>IFERROR(_xlfn.XLOOKUP(ENTRADAS[[#This Row],[CODIGO]],LISTADO[CODIGOS],LISTADO[CATEGORIA]),"NO EXISTE")</f>
        <v/>
      </c>
      <c r="D298" s="56">
        <f>IFERROR(_xlfn.XLOOKUP(ENTRADAS[[#This Row],[CODIGO]],LISTADO[CODIGOS],LISTADO[PRODUCTOS]),"NO EXISTE")</f>
        <v/>
      </c>
      <c r="E298" s="19" t="n">
        <v>46071</v>
      </c>
      <c r="F298" s="18" t="n">
        <v>3</v>
      </c>
      <c r="G298" s="18" t="inlineStr">
        <is>
          <t>INGRESO</t>
        </is>
      </c>
      <c r="H298" s="18" t="n"/>
      <c r="I298" s="45" t="n"/>
      <c r="J298" s="77" t="n"/>
      <c r="K298" s="18" t="n"/>
    </row>
    <row r="299">
      <c r="A299" s="18" t="n">
        <v>271</v>
      </c>
      <c r="B299" s="56" t="inlineStr">
        <is>
          <t>00005-FER</t>
        </is>
      </c>
      <c r="C299" s="56">
        <f>IFERROR(_xlfn.XLOOKUP(ENTRADAS[[#This Row],[CODIGO]],LISTADO[CODIGOS],LISTADO[CATEGORIA]),"NO EXISTE")</f>
        <v/>
      </c>
      <c r="D299" s="56">
        <f>IFERROR(_xlfn.XLOOKUP(ENTRADAS[[#This Row],[CODIGO]],LISTADO[CODIGOS],LISTADO[PRODUCTOS]),"NO EXISTE")</f>
        <v/>
      </c>
      <c r="E299" s="19" t="n">
        <v>46071</v>
      </c>
      <c r="F299" s="18" t="n">
        <v>300</v>
      </c>
      <c r="G299" s="18" t="inlineStr">
        <is>
          <t>INGRESO</t>
        </is>
      </c>
      <c r="H299" s="18" t="n"/>
      <c r="I299" s="45" t="n"/>
      <c r="J299" s="77" t="n"/>
      <c r="K299" s="18" t="n"/>
    </row>
    <row r="300">
      <c r="A300" s="18" t="n">
        <v>272</v>
      </c>
      <c r="B300" s="56" t="inlineStr">
        <is>
          <t>00001-FER</t>
        </is>
      </c>
      <c r="C300" s="56">
        <f>IFERROR(_xlfn.XLOOKUP(ENTRADAS[[#This Row],[CODIGO]],LISTADO[CODIGOS],LISTADO[CATEGORIA]),"NO EXISTE")</f>
        <v/>
      </c>
      <c r="D300" s="56">
        <f>IFERROR(_xlfn.XLOOKUP(ENTRADAS[[#This Row],[CODIGO]],LISTADO[CODIGOS],LISTADO[PRODUCTOS]),"NO EXISTE")</f>
        <v/>
      </c>
      <c r="E300" s="19" t="n">
        <v>46071</v>
      </c>
      <c r="F300" s="18" t="n">
        <v>300</v>
      </c>
      <c r="G300" s="18" t="inlineStr">
        <is>
          <t>INGRESO</t>
        </is>
      </c>
      <c r="H300" s="18" t="n"/>
      <c r="I300" s="45" t="n"/>
      <c r="J300" s="77" t="n"/>
      <c r="K300" s="18" t="n"/>
    </row>
    <row r="301">
      <c r="A301" s="18" t="n">
        <v>273</v>
      </c>
      <c r="B301" s="56" t="inlineStr">
        <is>
          <t>00008-HRR</t>
        </is>
      </c>
      <c r="C301" s="56">
        <f>IFERROR(_xlfn.XLOOKUP(ENTRADAS[[#This Row],[CODIGO]],LISTADO[CODIGOS],LISTADO[CATEGORIA]),"NO EXISTE")</f>
        <v/>
      </c>
      <c r="D301" s="56">
        <f>IFERROR(_xlfn.XLOOKUP(ENTRADAS[[#This Row],[CODIGO]],LISTADO[CODIGOS],LISTADO[PRODUCTOS]),"NO EXISTE")</f>
        <v/>
      </c>
      <c r="E301" s="19" t="n">
        <v>46071</v>
      </c>
      <c r="F301" s="18" t="n">
        <v>600</v>
      </c>
      <c r="G301" s="18" t="inlineStr">
        <is>
          <t>INGRESO</t>
        </is>
      </c>
      <c r="H301" s="18" t="n"/>
      <c r="I301" s="45" t="n"/>
      <c r="J301" s="77" t="n"/>
      <c r="K301" s="18" t="n"/>
    </row>
    <row r="302">
      <c r="A302" s="18" t="n">
        <v>274</v>
      </c>
      <c r="B302" s="56" t="inlineStr">
        <is>
          <t>00070-FER</t>
        </is>
      </c>
      <c r="C302" s="56">
        <f>IFERROR(_xlfn.XLOOKUP(ENTRADAS[[#This Row],[CODIGO]],LISTADO[CODIGOS],LISTADO[CATEGORIA]),"NO EXISTE")</f>
        <v/>
      </c>
      <c r="D302" s="56">
        <f>IFERROR(_xlfn.XLOOKUP(ENTRADAS[[#This Row],[CODIGO]],LISTADO[CODIGOS],LISTADO[PRODUCTOS]),"NO EXISTE")</f>
        <v/>
      </c>
      <c r="E302" s="19" t="n">
        <v>46071</v>
      </c>
      <c r="F302" s="18" t="n">
        <v>2</v>
      </c>
      <c r="G302" s="18" t="inlineStr">
        <is>
          <t>INGRESO</t>
        </is>
      </c>
      <c r="H302" s="18" t="n"/>
      <c r="I302" s="45" t="n"/>
      <c r="J302" s="77" t="n"/>
      <c r="K302" s="18" t="n"/>
    </row>
    <row r="303">
      <c r="A303" s="18" t="n">
        <v>275</v>
      </c>
      <c r="B303" s="56" t="inlineStr">
        <is>
          <t>00006-FER</t>
        </is>
      </c>
      <c r="C303" s="56">
        <f>IFERROR(_xlfn.XLOOKUP(ENTRADAS[[#This Row],[CODIGO]],LISTADO[CODIGOS],LISTADO[CATEGORIA]),"NO EXISTE")</f>
        <v/>
      </c>
      <c r="D303" s="56">
        <f>IFERROR(_xlfn.XLOOKUP(ENTRADAS[[#This Row],[CODIGO]],LISTADO[CODIGOS],LISTADO[PRODUCTOS]),"NO EXISTE")</f>
        <v/>
      </c>
      <c r="E303" s="19" t="n">
        <v>46071</v>
      </c>
      <c r="F303" s="18" t="n">
        <v>100</v>
      </c>
      <c r="G303" s="18" t="inlineStr">
        <is>
          <t>INGRESO</t>
        </is>
      </c>
      <c r="H303" s="18" t="n"/>
      <c r="I303" s="45" t="n"/>
      <c r="J303" s="77" t="n"/>
      <c r="K303" s="18" t="n"/>
    </row>
    <row r="304">
      <c r="A304" s="18" t="n">
        <v>276</v>
      </c>
      <c r="B304" s="56" t="inlineStr">
        <is>
          <t>00002-FER</t>
        </is>
      </c>
      <c r="C304" s="56">
        <f>IFERROR(_xlfn.XLOOKUP(ENTRADAS[[#This Row],[CODIGO]],LISTADO[CODIGOS],LISTADO[CATEGORIA]),"NO EXISTE")</f>
        <v/>
      </c>
      <c r="D304" s="56">
        <f>IFERROR(_xlfn.XLOOKUP(ENTRADAS[[#This Row],[CODIGO]],LISTADO[CODIGOS],LISTADO[PRODUCTOS]),"NO EXISTE")</f>
        <v/>
      </c>
      <c r="E304" s="19" t="n">
        <v>46071</v>
      </c>
      <c r="F304" s="18" t="n">
        <v>100</v>
      </c>
      <c r="G304" s="18" t="inlineStr">
        <is>
          <t>INGRESO</t>
        </is>
      </c>
      <c r="H304" s="18" t="n"/>
      <c r="I304" s="45" t="n"/>
      <c r="J304" s="77" t="n"/>
      <c r="K304" s="18" t="n"/>
    </row>
    <row r="305">
      <c r="A305" s="18" t="n">
        <v>277</v>
      </c>
      <c r="B305" s="56" t="inlineStr">
        <is>
          <t>00009-HRR</t>
        </is>
      </c>
      <c r="C305" s="56">
        <f>IFERROR(_xlfn.XLOOKUP(ENTRADAS[[#This Row],[CODIGO]],LISTADO[CODIGOS],LISTADO[CATEGORIA]),"NO EXISTE")</f>
        <v/>
      </c>
      <c r="D305" s="56">
        <f>IFERROR(_xlfn.XLOOKUP(ENTRADAS[[#This Row],[CODIGO]],LISTADO[CODIGOS],LISTADO[PRODUCTOS]),"NO EXISTE")</f>
        <v/>
      </c>
      <c r="E305" s="19" t="n">
        <v>46071</v>
      </c>
      <c r="F305" s="18" t="n">
        <v>300</v>
      </c>
      <c r="G305" s="18" t="inlineStr">
        <is>
          <t>INGRESO</t>
        </is>
      </c>
      <c r="H305" s="18" t="n"/>
      <c r="I305" s="45" t="n"/>
      <c r="J305" s="77" t="n"/>
      <c r="K305" s="18" t="n"/>
    </row>
    <row r="306">
      <c r="A306" s="18" t="n">
        <v>278</v>
      </c>
      <c r="B306" s="56" t="inlineStr">
        <is>
          <t>00021-FER</t>
        </is>
      </c>
      <c r="C306" s="56">
        <f>IFERROR(_xlfn.XLOOKUP(ENTRADAS[[#This Row],[CODIGO]],LISTADO[CODIGOS],LISTADO[CATEGORIA]),"NO EXISTE")</f>
        <v/>
      </c>
      <c r="D306" s="56">
        <f>IFERROR(_xlfn.XLOOKUP(ENTRADAS[[#This Row],[CODIGO]],LISTADO[CODIGOS],LISTADO[PRODUCTOS]),"NO EXISTE")</f>
        <v/>
      </c>
      <c r="E306" s="19" t="n">
        <v>46071</v>
      </c>
      <c r="F306" s="18" t="n">
        <v>2</v>
      </c>
      <c r="G306" s="18" t="inlineStr">
        <is>
          <t>INGRESO</t>
        </is>
      </c>
      <c r="H306" s="18" t="n"/>
      <c r="I306" s="45" t="n"/>
      <c r="J306" s="77" t="n"/>
      <c r="K306" s="18" t="n"/>
    </row>
    <row r="307">
      <c r="A307" s="18" t="n">
        <v>284</v>
      </c>
      <c r="B307" s="56" t="inlineStr">
        <is>
          <t>00010-FER</t>
        </is>
      </c>
      <c r="C307" s="56">
        <f>IFERROR(_xlfn.XLOOKUP(ENTRADAS[[#This Row],[CODIGO]],LISTADO[CODIGOS],LISTADO[CATEGORIA]),"NO EXISTE")</f>
        <v/>
      </c>
      <c r="D307" s="56">
        <f>IFERROR(_xlfn.XLOOKUP(ENTRADAS[[#This Row],[CODIGO]],LISTADO[CODIGOS],LISTADO[PRODUCTOS]),"NO EXISTE")</f>
        <v/>
      </c>
      <c r="E307" s="19" t="n">
        <v>46071</v>
      </c>
      <c r="F307" s="18" t="n">
        <v>20</v>
      </c>
      <c r="G307" s="18" t="inlineStr">
        <is>
          <t>INGRESO</t>
        </is>
      </c>
      <c r="H307" s="18" t="n"/>
      <c r="I307" s="45" t="n"/>
      <c r="J307" s="77" t="n"/>
      <c r="K307" s="18" t="n"/>
    </row>
    <row r="308">
      <c r="A308" s="18" t="n">
        <v>285</v>
      </c>
      <c r="B308" s="56" t="inlineStr">
        <is>
          <t>00009-FER</t>
        </is>
      </c>
      <c r="C308" s="56">
        <f>IFERROR(_xlfn.XLOOKUP(ENTRADAS[[#This Row],[CODIGO]],LISTADO[CODIGOS],LISTADO[CATEGORIA]),"NO EXISTE")</f>
        <v/>
      </c>
      <c r="D308" s="56">
        <f>IFERROR(_xlfn.XLOOKUP(ENTRADAS[[#This Row],[CODIGO]],LISTADO[CODIGOS],LISTADO[PRODUCTOS]),"NO EXISTE")</f>
        <v/>
      </c>
      <c r="E308" s="19" t="n">
        <v>46071</v>
      </c>
      <c r="F308" s="18" t="n">
        <v>20</v>
      </c>
      <c r="G308" s="18" t="inlineStr">
        <is>
          <t>INGRESO</t>
        </is>
      </c>
      <c r="H308" s="18" t="n"/>
      <c r="I308" s="45" t="n"/>
      <c r="J308" s="77" t="n"/>
      <c r="K308" s="18" t="n"/>
    </row>
    <row r="309">
      <c r="A309" s="18" t="n">
        <v>286</v>
      </c>
      <c r="B309" s="56" t="inlineStr">
        <is>
          <t>00012-FER</t>
        </is>
      </c>
      <c r="C309" s="56">
        <f>IFERROR(_xlfn.XLOOKUP(ENTRADAS[[#This Row],[CODIGO]],LISTADO[CODIGOS],LISTADO[CATEGORIA]),"NO EXISTE")</f>
        <v/>
      </c>
      <c r="D309" s="56">
        <f>IFERROR(_xlfn.XLOOKUP(ENTRADAS[[#This Row],[CODIGO]],LISTADO[CODIGOS],LISTADO[PRODUCTOS]),"NO EXISTE")</f>
        <v/>
      </c>
      <c r="E309" s="19" t="n">
        <v>46071</v>
      </c>
      <c r="F309" s="18" t="n">
        <v>200</v>
      </c>
      <c r="G309" s="18" t="inlineStr">
        <is>
          <t>INGRESO</t>
        </is>
      </c>
      <c r="H309" s="18" t="n"/>
      <c r="I309" s="45" t="n"/>
      <c r="J309" s="77" t="n"/>
      <c r="K309" s="18" t="n"/>
    </row>
    <row r="310">
      <c r="A310" s="18" t="n">
        <v>287</v>
      </c>
      <c r="B310" s="56" t="inlineStr">
        <is>
          <t>00028-FER</t>
        </is>
      </c>
      <c r="C310" s="56">
        <f>IFERROR(_xlfn.XLOOKUP(ENTRADAS[[#This Row],[CODIGO]],LISTADO[CODIGOS],LISTADO[CATEGORIA]),"NO EXISTE")</f>
        <v/>
      </c>
      <c r="D310" s="56">
        <f>IFERROR(_xlfn.XLOOKUP(ENTRADAS[[#This Row],[CODIGO]],LISTADO[CODIGOS],LISTADO[PRODUCTOS]),"NO EXISTE")</f>
        <v/>
      </c>
      <c r="E310" s="19" t="n">
        <v>46071</v>
      </c>
      <c r="F310" s="18" t="n">
        <v>1</v>
      </c>
      <c r="G310" s="18" t="inlineStr">
        <is>
          <t>INVENTARIO</t>
        </is>
      </c>
      <c r="H310" s="18" t="n"/>
      <c r="I310" s="45" t="n"/>
      <c r="J310" s="77" t="n"/>
      <c r="K310" s="18" t="n"/>
    </row>
    <row r="311">
      <c r="A311" s="18" t="n">
        <v>484</v>
      </c>
      <c r="B311" s="56" t="inlineStr">
        <is>
          <t>00050-FER</t>
        </is>
      </c>
      <c r="C311" s="56">
        <f>IFERROR(_xlfn.XLOOKUP(ENTRADAS[[#This Row],[CODIGO]],LISTADO[CODIGOS],LISTADO[CATEGORIA]),"NO EXISTE")</f>
        <v/>
      </c>
      <c r="D311" s="56">
        <f>IFERROR(_xlfn.XLOOKUP(ENTRADAS[[#This Row],[CODIGO]],LISTADO[CODIGOS],LISTADO[PRODUCTOS]),"NO EXISTE")</f>
        <v/>
      </c>
      <c r="E311" s="19" t="n">
        <v>46071</v>
      </c>
      <c r="F311" s="18" t="n">
        <v>3</v>
      </c>
      <c r="G311" s="18" t="inlineStr">
        <is>
          <t>INGRESO</t>
        </is>
      </c>
      <c r="H311" s="18" t="n"/>
      <c r="I311" s="45" t="n"/>
      <c r="J311" s="77" t="n"/>
      <c r="K311" s="18" t="n"/>
    </row>
    <row r="312">
      <c r="A312" s="18" t="n">
        <v>485</v>
      </c>
      <c r="B312" s="56" t="inlineStr">
        <is>
          <t>00052-FER</t>
        </is>
      </c>
      <c r="C312" s="56">
        <f>IFERROR(_xlfn.XLOOKUP(ENTRADAS[[#This Row],[CODIGO]],LISTADO[CODIGOS],LISTADO[CATEGORIA]),"NO EXISTE")</f>
        <v/>
      </c>
      <c r="D312" s="56">
        <f>IFERROR(_xlfn.XLOOKUP(ENTRADAS[[#This Row],[CODIGO]],LISTADO[CODIGOS],LISTADO[PRODUCTOS]),"NO EXISTE")</f>
        <v/>
      </c>
      <c r="E312" s="19" t="n">
        <v>46071</v>
      </c>
      <c r="F312" s="18" t="n">
        <v>10</v>
      </c>
      <c r="G312" s="18" t="inlineStr">
        <is>
          <t>INGRESO</t>
        </is>
      </c>
      <c r="H312" s="18" t="n"/>
      <c r="I312" s="45" t="n"/>
      <c r="J312" s="77" t="n"/>
      <c r="K312" s="18" t="n"/>
    </row>
    <row r="313">
      <c r="A313" s="18" t="n">
        <v>486</v>
      </c>
      <c r="B313" s="56" t="inlineStr">
        <is>
          <t>00041-FER</t>
        </is>
      </c>
      <c r="C313" s="56">
        <f>IFERROR(_xlfn.XLOOKUP(ENTRADAS[[#This Row],[CODIGO]],LISTADO[CODIGOS],LISTADO[CATEGORIA]),"NO EXISTE")</f>
        <v/>
      </c>
      <c r="D313" s="56">
        <f>IFERROR(_xlfn.XLOOKUP(ENTRADAS[[#This Row],[CODIGO]],LISTADO[CODIGOS],LISTADO[PRODUCTOS]),"NO EXISTE")</f>
        <v/>
      </c>
      <c r="E313" s="19" t="n">
        <v>46071</v>
      </c>
      <c r="F313" s="18" t="n">
        <v>7</v>
      </c>
      <c r="G313" s="18" t="inlineStr">
        <is>
          <t>INGRESO</t>
        </is>
      </c>
      <c r="H313" s="18" t="n"/>
      <c r="I313" s="45" t="n"/>
      <c r="J313" s="77" t="n"/>
      <c r="K313" s="18" t="n"/>
    </row>
    <row r="314">
      <c r="A314" s="18" t="n">
        <v>487</v>
      </c>
      <c r="B314" s="56" t="inlineStr">
        <is>
          <t>00040-FER</t>
        </is>
      </c>
      <c r="C314" s="56">
        <f>IFERROR(_xlfn.XLOOKUP(ENTRADAS[[#This Row],[CODIGO]],LISTADO[CODIGOS],LISTADO[CATEGORIA]),"NO EXISTE")</f>
        <v/>
      </c>
      <c r="D314" s="56">
        <f>IFERROR(_xlfn.XLOOKUP(ENTRADAS[[#This Row],[CODIGO]],LISTADO[CODIGOS],LISTADO[PRODUCTOS]),"NO EXISTE")</f>
        <v/>
      </c>
      <c r="E314" s="19" t="n">
        <v>46071</v>
      </c>
      <c r="F314" s="18" t="n">
        <v>2</v>
      </c>
      <c r="G314" s="18" t="inlineStr">
        <is>
          <t>INGRESO</t>
        </is>
      </c>
      <c r="H314" s="18" t="n"/>
      <c r="I314" s="45" t="n"/>
      <c r="J314" s="77" t="n"/>
      <c r="K314" s="18" t="n"/>
    </row>
    <row r="315">
      <c r="A315" s="18" t="n">
        <v>488</v>
      </c>
      <c r="B315" s="56" t="inlineStr">
        <is>
          <t>00046-FER</t>
        </is>
      </c>
      <c r="C315" s="56">
        <f>IFERROR(_xlfn.XLOOKUP(ENTRADAS[[#This Row],[CODIGO]],LISTADO[CODIGOS],LISTADO[CATEGORIA]),"NO EXISTE")</f>
        <v/>
      </c>
      <c r="D315" s="56">
        <f>IFERROR(_xlfn.XLOOKUP(ENTRADAS[[#This Row],[CODIGO]],LISTADO[CODIGOS],LISTADO[PRODUCTOS]),"NO EXISTE")</f>
        <v/>
      </c>
      <c r="E315" s="19" t="n">
        <v>46071</v>
      </c>
      <c r="F315" s="18" t="n">
        <v>6</v>
      </c>
      <c r="G315" s="18" t="inlineStr">
        <is>
          <t>INGRESO</t>
        </is>
      </c>
      <c r="H315" s="18" t="n"/>
      <c r="I315" s="45" t="n"/>
      <c r="J315" s="77" t="n"/>
      <c r="K315" s="18" t="n"/>
    </row>
    <row r="316">
      <c r="A316" s="18" t="n">
        <v>489</v>
      </c>
      <c r="B316" s="56" t="inlineStr">
        <is>
          <t>00055-FER</t>
        </is>
      </c>
      <c r="C316" s="56">
        <f>IFERROR(_xlfn.XLOOKUP(ENTRADAS[[#This Row],[CODIGO]],LISTADO[CODIGOS],LISTADO[CATEGORIA]),"NO EXISTE")</f>
        <v/>
      </c>
      <c r="D316" s="56">
        <f>IFERROR(_xlfn.XLOOKUP(ENTRADAS[[#This Row],[CODIGO]],LISTADO[CODIGOS],LISTADO[PRODUCTOS]),"NO EXISTE")</f>
        <v/>
      </c>
      <c r="E316" s="19" t="n">
        <v>46071</v>
      </c>
      <c r="F316" s="18" t="n">
        <v>5</v>
      </c>
      <c r="G316" s="18" t="inlineStr">
        <is>
          <t>INGRESO</t>
        </is>
      </c>
      <c r="H316" s="18" t="n"/>
      <c r="I316" s="45" t="n"/>
      <c r="J316" s="77" t="n"/>
      <c r="K316" s="18" t="n"/>
    </row>
    <row r="317">
      <c r="A317" s="18" t="n">
        <v>490</v>
      </c>
      <c r="B317" s="56" t="inlineStr">
        <is>
          <t>00043-FER</t>
        </is>
      </c>
      <c r="C317" s="56">
        <f>IFERROR(_xlfn.XLOOKUP(ENTRADAS[[#This Row],[CODIGO]],LISTADO[CODIGOS],LISTADO[CATEGORIA]),"NO EXISTE")</f>
        <v/>
      </c>
      <c r="D317" s="56">
        <f>IFERROR(_xlfn.XLOOKUP(ENTRADAS[[#This Row],[CODIGO]],LISTADO[CODIGOS],LISTADO[PRODUCTOS]),"NO EXISTE")</f>
        <v/>
      </c>
      <c r="E317" s="19" t="n">
        <v>46071</v>
      </c>
      <c r="F317" s="18" t="n">
        <v>10</v>
      </c>
      <c r="G317" s="18" t="inlineStr">
        <is>
          <t>INGRESO</t>
        </is>
      </c>
      <c r="H317" s="18" t="n"/>
      <c r="I317" s="45" t="n"/>
      <c r="J317" s="77" t="n"/>
      <c r="K317" s="18" t="n"/>
    </row>
    <row r="318">
      <c r="A318" s="18" t="n">
        <v>491</v>
      </c>
      <c r="B318" s="56" t="inlineStr">
        <is>
          <t>00028-FER</t>
        </is>
      </c>
      <c r="C318" s="56">
        <f>IFERROR(_xlfn.XLOOKUP(ENTRADAS[[#This Row],[CODIGO]],LISTADO[CODIGOS],LISTADO[CATEGORIA]),"NO EXISTE")</f>
        <v/>
      </c>
      <c r="D318" s="56">
        <f>IFERROR(_xlfn.XLOOKUP(ENTRADAS[[#This Row],[CODIGO]],LISTADO[CODIGOS],LISTADO[PRODUCTOS]),"NO EXISTE")</f>
        <v/>
      </c>
      <c r="E318" s="19" t="n">
        <v>46071</v>
      </c>
      <c r="F318" s="18" t="n">
        <v>10</v>
      </c>
      <c r="G318" s="18" t="inlineStr">
        <is>
          <t>INGRESO</t>
        </is>
      </c>
      <c r="H318" s="18" t="n"/>
      <c r="I318" s="45" t="n"/>
      <c r="J318" s="77" t="n"/>
      <c r="K318" s="18" t="n"/>
    </row>
    <row r="319">
      <c r="B319" s="56" t="inlineStr">
        <is>
          <t>00023-MSC</t>
        </is>
      </c>
      <c r="C319" s="18">
        <f>IFERROR(_xlfn.XLOOKUP(ENTRADAS[[#This Row],[CODIGO]],LISTADO[CODIGOS],LISTADO[CATEGORIA]),"NO EXISTE")</f>
        <v/>
      </c>
      <c r="D319" s="18">
        <f>IFERROR(_xlfn.XLOOKUP(ENTRADAS[[#This Row],[CODIGO]],LISTADO[CODIGOS],LISTADO[PRODUCTOS]),"NO EXISTE")</f>
        <v/>
      </c>
      <c r="E319" s="19" t="n">
        <v>46071</v>
      </c>
      <c r="F319" s="18" t="n">
        <v>16</v>
      </c>
      <c r="G319" s="18" t="inlineStr">
        <is>
          <t>INGRESO</t>
        </is>
      </c>
      <c r="H319" s="18" t="n"/>
      <c r="I319" s="45" t="n"/>
      <c r="J319" s="77" t="n"/>
      <c r="K319" s="18" t="n"/>
    </row>
    <row r="320">
      <c r="A320" s="18" t="n">
        <v>292</v>
      </c>
      <c r="B320" s="56" t="inlineStr">
        <is>
          <t>00003-MSC</t>
        </is>
      </c>
      <c r="C320" s="56">
        <f>IFERROR(_xlfn.XLOOKUP(ENTRADAS[[#This Row],[CODIGO]],LISTADO[CODIGOS],LISTADO[CATEGORIA]),"NO EXISTE")</f>
        <v/>
      </c>
      <c r="D320" s="56">
        <f>IFERROR(_xlfn.XLOOKUP(ENTRADAS[[#This Row],[CODIGO]],LISTADO[CODIGOS],LISTADO[PRODUCTOS]),"NO EXISTE")</f>
        <v/>
      </c>
      <c r="E320" s="19" t="n">
        <v>46072</v>
      </c>
      <c r="F320" s="18" t="n">
        <v>2</v>
      </c>
      <c r="G320" s="18" t="inlineStr">
        <is>
          <t>INGRESO</t>
        </is>
      </c>
      <c r="H320" s="18" t="n"/>
      <c r="I320" s="45" t="n"/>
      <c r="J320" s="77" t="n"/>
      <c r="K320" s="18" t="n"/>
    </row>
    <row r="321">
      <c r="A321" s="18" t="n">
        <v>293</v>
      </c>
      <c r="B321" s="56" t="inlineStr">
        <is>
          <t>00066-UNI</t>
        </is>
      </c>
      <c r="C321" s="56">
        <f>IFERROR(_xlfn.XLOOKUP(ENTRADAS[[#This Row],[CODIGO]],LISTADO[CODIGOS],LISTADO[CATEGORIA]),"NO EXISTE")</f>
        <v/>
      </c>
      <c r="D321" s="56">
        <f>IFERROR(_xlfn.XLOOKUP(ENTRADAS[[#This Row],[CODIGO]],LISTADO[CODIGOS],LISTADO[PRODUCTOS]),"NO EXISTE")</f>
        <v/>
      </c>
      <c r="E321" s="19" t="n">
        <v>46072</v>
      </c>
      <c r="F321" s="18" t="n">
        <v>1</v>
      </c>
      <c r="G321" s="18" t="inlineStr">
        <is>
          <t>INVENTARIO</t>
        </is>
      </c>
      <c r="H321" s="18" t="n"/>
      <c r="I321" s="45" t="n"/>
      <c r="J321" s="77" t="n"/>
      <c r="K321" s="18" t="n"/>
    </row>
    <row r="322">
      <c r="A322" s="18" t="n">
        <v>294</v>
      </c>
      <c r="B322" s="56" t="inlineStr">
        <is>
          <t>00049-UNI</t>
        </is>
      </c>
      <c r="C322" s="56">
        <f>IFERROR(_xlfn.XLOOKUP(ENTRADAS[[#This Row],[CODIGO]],LISTADO[CODIGOS],LISTADO[CATEGORIA]),"NO EXISTE")</f>
        <v/>
      </c>
      <c r="D322" s="56">
        <f>IFERROR(_xlfn.XLOOKUP(ENTRADAS[[#This Row],[CODIGO]],LISTADO[CODIGOS],LISTADO[PRODUCTOS]),"NO EXISTE")</f>
        <v/>
      </c>
      <c r="E322" s="19" t="n">
        <v>46072</v>
      </c>
      <c r="F322" s="18" t="n">
        <v>305</v>
      </c>
      <c r="G322" s="18" t="inlineStr">
        <is>
          <t>INVENTARIO</t>
        </is>
      </c>
      <c r="H322" s="18" t="n"/>
      <c r="I322" s="45" t="n"/>
      <c r="J322" s="77" t="n"/>
      <c r="K322" s="18" t="n"/>
    </row>
    <row r="323">
      <c r="A323" s="18" t="n">
        <v>295</v>
      </c>
      <c r="B323" s="56" t="inlineStr">
        <is>
          <t>00052-UNI</t>
        </is>
      </c>
      <c r="C323" s="56">
        <f>IFERROR(_xlfn.XLOOKUP(ENTRADAS[[#This Row],[CODIGO]],LISTADO[CODIGOS],LISTADO[CATEGORIA]),"NO EXISTE")</f>
        <v/>
      </c>
      <c r="D323" s="56">
        <f>IFERROR(_xlfn.XLOOKUP(ENTRADAS[[#This Row],[CODIGO]],LISTADO[CODIGOS],LISTADO[PRODUCTOS]),"NO EXISTE")</f>
        <v/>
      </c>
      <c r="E323" s="19" t="n">
        <v>46072</v>
      </c>
      <c r="F323" s="18" t="n">
        <v>285</v>
      </c>
      <c r="G323" s="18" t="inlineStr">
        <is>
          <t>INVENTARIO</t>
        </is>
      </c>
      <c r="H323" s="18" t="n"/>
      <c r="I323" s="45" t="n"/>
      <c r="J323" s="77" t="n"/>
      <c r="K323" s="18" t="n"/>
    </row>
    <row r="324">
      <c r="A324" s="18" t="n">
        <v>296</v>
      </c>
      <c r="B324" s="56" t="inlineStr">
        <is>
          <t>00051-UNI</t>
        </is>
      </c>
      <c r="C324" s="56">
        <f>IFERROR(_xlfn.XLOOKUP(ENTRADAS[[#This Row],[CODIGO]],LISTADO[CODIGOS],LISTADO[CATEGORIA]),"NO EXISTE")</f>
        <v/>
      </c>
      <c r="D324" s="56">
        <f>IFERROR(_xlfn.XLOOKUP(ENTRADAS[[#This Row],[CODIGO]],LISTADO[CODIGOS],LISTADO[PRODUCTOS]),"NO EXISTE")</f>
        <v/>
      </c>
      <c r="E324" s="19" t="n">
        <v>46072</v>
      </c>
      <c r="F324" s="18" t="n">
        <v>217</v>
      </c>
      <c r="G324" s="18" t="inlineStr">
        <is>
          <t>INVENTARIO</t>
        </is>
      </c>
      <c r="H324" s="18" t="n"/>
      <c r="I324" s="45" t="n"/>
      <c r="J324" s="77" t="n"/>
      <c r="K324" s="18" t="n"/>
    </row>
    <row r="325">
      <c r="A325" s="18" t="n">
        <v>297</v>
      </c>
      <c r="B325" s="56" t="inlineStr">
        <is>
          <t>00050-UNI</t>
        </is>
      </c>
      <c r="C325" s="56">
        <f>IFERROR(_xlfn.XLOOKUP(ENTRADAS[[#This Row],[CODIGO]],LISTADO[CODIGOS],LISTADO[CATEGORIA]),"NO EXISTE")</f>
        <v/>
      </c>
      <c r="D325" s="56">
        <f>IFERROR(_xlfn.XLOOKUP(ENTRADAS[[#This Row],[CODIGO]],LISTADO[CODIGOS],LISTADO[PRODUCTOS]),"NO EXISTE")</f>
        <v/>
      </c>
      <c r="E325" s="19" t="n">
        <v>46072</v>
      </c>
      <c r="F325" s="18" t="n">
        <v>182</v>
      </c>
      <c r="G325" s="18" t="inlineStr">
        <is>
          <t>INVENTARIO</t>
        </is>
      </c>
      <c r="H325" s="18" t="n"/>
      <c r="I325" s="45" t="n"/>
      <c r="J325" s="77" t="n"/>
      <c r="K325" s="18" t="n"/>
    </row>
    <row r="326">
      <c r="A326" s="18" t="n">
        <v>298</v>
      </c>
      <c r="B326" s="56" t="inlineStr">
        <is>
          <t>00023-UNI</t>
        </is>
      </c>
      <c r="C326" s="56">
        <f>IFERROR(_xlfn.XLOOKUP(ENTRADAS[[#This Row],[CODIGO]],LISTADO[CODIGOS],LISTADO[CATEGORIA]),"NO EXISTE")</f>
        <v/>
      </c>
      <c r="D326" s="56">
        <f>IFERROR(_xlfn.XLOOKUP(ENTRADAS[[#This Row],[CODIGO]],LISTADO[CODIGOS],LISTADO[PRODUCTOS]),"NO EXISTE")</f>
        <v/>
      </c>
      <c r="E326" s="19" t="n">
        <v>46072</v>
      </c>
      <c r="F326" s="18" t="n">
        <v>263</v>
      </c>
      <c r="G326" s="18" t="inlineStr">
        <is>
          <t>INVENTARIO</t>
        </is>
      </c>
      <c r="H326" s="18" t="n"/>
      <c r="I326" s="45" t="n"/>
      <c r="J326" s="77" t="n"/>
      <c r="K326" s="18" t="n"/>
    </row>
    <row r="327">
      <c r="A327" s="18" t="n">
        <v>299</v>
      </c>
      <c r="B327" s="56" t="inlineStr">
        <is>
          <t>00018-UNI</t>
        </is>
      </c>
      <c r="C327" s="56">
        <f>IFERROR(_xlfn.XLOOKUP(ENTRADAS[[#This Row],[CODIGO]],LISTADO[CODIGOS],LISTADO[CATEGORIA]),"NO EXISTE")</f>
        <v/>
      </c>
      <c r="D327" s="56">
        <f>IFERROR(_xlfn.XLOOKUP(ENTRADAS[[#This Row],[CODIGO]],LISTADO[CODIGOS],LISTADO[PRODUCTOS]),"NO EXISTE")</f>
        <v/>
      </c>
      <c r="E327" s="19" t="n">
        <v>46072</v>
      </c>
      <c r="F327" s="18" t="n">
        <v>62</v>
      </c>
      <c r="G327" s="18" t="inlineStr">
        <is>
          <t>INVENTARIO</t>
        </is>
      </c>
      <c r="H327" s="18" t="n"/>
      <c r="I327" s="45" t="n"/>
      <c r="J327" s="77" t="n"/>
      <c r="K327" s="18" t="n"/>
    </row>
    <row r="328">
      <c r="A328" s="18" t="n">
        <v>300</v>
      </c>
      <c r="B328" s="56" t="inlineStr">
        <is>
          <t>00021-UNI</t>
        </is>
      </c>
      <c r="C328" s="56">
        <f>IFERROR(_xlfn.XLOOKUP(ENTRADAS[[#This Row],[CODIGO]],LISTADO[CODIGOS],LISTADO[CATEGORIA]),"NO EXISTE")</f>
        <v/>
      </c>
      <c r="D328" s="56">
        <f>IFERROR(_xlfn.XLOOKUP(ENTRADAS[[#This Row],[CODIGO]],LISTADO[CODIGOS],LISTADO[PRODUCTOS]),"NO EXISTE")</f>
        <v/>
      </c>
      <c r="E328" s="19" t="n">
        <v>46072</v>
      </c>
      <c r="F328" s="18" t="n">
        <v>114</v>
      </c>
      <c r="G328" s="18" t="inlineStr">
        <is>
          <t>INVENTARIO</t>
        </is>
      </c>
      <c r="H328" s="18" t="n"/>
      <c r="I328" s="45" t="n"/>
      <c r="J328" s="77" t="n"/>
      <c r="K328" s="18" t="n"/>
    </row>
    <row r="329">
      <c r="A329" s="18" t="n">
        <v>301</v>
      </c>
      <c r="B329" s="56" t="inlineStr">
        <is>
          <t>00022-UNI</t>
        </is>
      </c>
      <c r="C329" s="56">
        <f>IFERROR(_xlfn.XLOOKUP(ENTRADAS[[#This Row],[CODIGO]],LISTADO[CODIGOS],LISTADO[CATEGORIA]),"NO EXISTE")</f>
        <v/>
      </c>
      <c r="D329" s="56">
        <f>IFERROR(_xlfn.XLOOKUP(ENTRADAS[[#This Row],[CODIGO]],LISTADO[CODIGOS],LISTADO[PRODUCTOS]),"NO EXISTE")</f>
        <v/>
      </c>
      <c r="E329" s="19" t="n">
        <v>46072</v>
      </c>
      <c r="F329" s="18" t="n">
        <v>44</v>
      </c>
      <c r="G329" s="18" t="inlineStr">
        <is>
          <t>INVENTARIO</t>
        </is>
      </c>
      <c r="H329" s="18" t="n"/>
      <c r="I329" s="45" t="n"/>
      <c r="J329" s="77" t="n"/>
      <c r="K329" s="18" t="n"/>
    </row>
    <row r="330">
      <c r="A330" s="18" t="n">
        <v>302</v>
      </c>
      <c r="B330" s="56" t="inlineStr">
        <is>
          <t>00019-UNI</t>
        </is>
      </c>
      <c r="C330" s="56">
        <f>IFERROR(_xlfn.XLOOKUP(ENTRADAS[[#This Row],[CODIGO]],LISTADO[CODIGOS],LISTADO[CATEGORIA]),"NO EXISTE")</f>
        <v/>
      </c>
      <c r="D330" s="56">
        <f>IFERROR(_xlfn.XLOOKUP(ENTRADAS[[#This Row],[CODIGO]],LISTADO[CODIGOS],LISTADO[PRODUCTOS]),"NO EXISTE")</f>
        <v/>
      </c>
      <c r="E330" s="19" t="n">
        <v>46072</v>
      </c>
      <c r="F330" s="18" t="n">
        <v>133</v>
      </c>
      <c r="G330" s="18" t="inlineStr">
        <is>
          <t>INVENTARIO</t>
        </is>
      </c>
      <c r="H330" s="18" t="n"/>
      <c r="I330" s="45" t="n"/>
      <c r="J330" s="77" t="n"/>
      <c r="K330" s="18" t="n"/>
    </row>
    <row r="331">
      <c r="A331" s="18" t="n">
        <v>303</v>
      </c>
      <c r="B331" s="56" t="inlineStr">
        <is>
          <t>00020-UNI</t>
        </is>
      </c>
      <c r="C331" s="56">
        <f>IFERROR(_xlfn.XLOOKUP(ENTRADAS[[#This Row],[CODIGO]],LISTADO[CODIGOS],LISTADO[CATEGORIA]),"NO EXISTE")</f>
        <v/>
      </c>
      <c r="D331" s="56">
        <f>IFERROR(_xlfn.XLOOKUP(ENTRADAS[[#This Row],[CODIGO]],LISTADO[CODIGOS],LISTADO[PRODUCTOS]),"NO EXISTE")</f>
        <v/>
      </c>
      <c r="E331" s="19" t="n">
        <v>46072</v>
      </c>
      <c r="F331" s="18" t="n">
        <v>160</v>
      </c>
      <c r="G331" s="18" t="inlineStr">
        <is>
          <t>INVENTARIO</t>
        </is>
      </c>
      <c r="H331" s="18" t="n"/>
      <c r="I331" s="45" t="n"/>
      <c r="J331" s="77" t="n"/>
      <c r="K331" s="18" t="n"/>
    </row>
    <row r="332">
      <c r="A332" s="18" t="n">
        <v>304</v>
      </c>
      <c r="B332" s="56" t="inlineStr">
        <is>
          <t>00016-UNI</t>
        </is>
      </c>
      <c r="C332" s="56">
        <f>IFERROR(_xlfn.XLOOKUP(ENTRADAS[[#This Row],[CODIGO]],LISTADO[CODIGOS],LISTADO[CATEGORIA]),"NO EXISTE")</f>
        <v/>
      </c>
      <c r="D332" s="56">
        <f>IFERROR(_xlfn.XLOOKUP(ENTRADAS[[#This Row],[CODIGO]],LISTADO[CODIGOS],LISTADO[PRODUCTOS]),"NO EXISTE")</f>
        <v/>
      </c>
      <c r="E332" s="19" t="n">
        <v>46072</v>
      </c>
      <c r="F332" s="18" t="n">
        <v>1</v>
      </c>
      <c r="G332" s="18" t="inlineStr">
        <is>
          <t>INVENTARIO</t>
        </is>
      </c>
      <c r="H332" s="18" t="n"/>
      <c r="I332" s="45" t="n"/>
      <c r="J332" s="77" t="n"/>
      <c r="K332" s="18" t="n"/>
    </row>
    <row r="333">
      <c r="A333" s="18" t="n">
        <v>305</v>
      </c>
      <c r="B333" s="56" t="inlineStr">
        <is>
          <t>00017-UNI</t>
        </is>
      </c>
      <c r="C333" s="56">
        <f>IFERROR(_xlfn.XLOOKUP(ENTRADAS[[#This Row],[CODIGO]],LISTADO[CODIGOS],LISTADO[CATEGORIA]),"NO EXISTE")</f>
        <v/>
      </c>
      <c r="D333" s="56">
        <f>IFERROR(_xlfn.XLOOKUP(ENTRADAS[[#This Row],[CODIGO]],LISTADO[CODIGOS],LISTADO[PRODUCTOS]),"NO EXISTE")</f>
        <v/>
      </c>
      <c r="E333" s="19" t="n">
        <v>46072</v>
      </c>
      <c r="F333" s="18" t="n">
        <v>120</v>
      </c>
      <c r="G333" s="18" t="inlineStr">
        <is>
          <t>INVENTARIO</t>
        </is>
      </c>
      <c r="H333" s="18" t="n"/>
      <c r="I333" s="45" t="n"/>
      <c r="J333" s="77" t="n"/>
      <c r="K333" s="18" t="n"/>
    </row>
    <row r="334">
      <c r="A334" s="18" t="n">
        <v>306</v>
      </c>
      <c r="B334" s="56" t="inlineStr">
        <is>
          <t>00015-UNI</t>
        </is>
      </c>
      <c r="C334" s="56">
        <f>IFERROR(_xlfn.XLOOKUP(ENTRADAS[[#This Row],[CODIGO]],LISTADO[CODIGOS],LISTADO[CATEGORIA]),"NO EXISTE")</f>
        <v/>
      </c>
      <c r="D334" s="56">
        <f>IFERROR(_xlfn.XLOOKUP(ENTRADAS[[#This Row],[CODIGO]],LISTADO[CODIGOS],LISTADO[PRODUCTOS]),"NO EXISTE")</f>
        <v/>
      </c>
      <c r="E334" s="19" t="n">
        <v>46072</v>
      </c>
      <c r="F334" s="18" t="n">
        <v>44</v>
      </c>
      <c r="G334" s="18" t="inlineStr">
        <is>
          <t>INVENTARIO</t>
        </is>
      </c>
      <c r="H334" s="18" t="n"/>
      <c r="I334" s="45" t="n"/>
      <c r="J334" s="77" t="n"/>
      <c r="K334" s="18" t="n"/>
    </row>
    <row r="335">
      <c r="A335" s="18" t="n">
        <v>307</v>
      </c>
      <c r="B335" s="56" t="inlineStr">
        <is>
          <t>00002-UNI</t>
        </is>
      </c>
      <c r="C335" s="56">
        <f>IFERROR(_xlfn.XLOOKUP(ENTRADAS[[#This Row],[CODIGO]],LISTADO[CODIGOS],LISTADO[CATEGORIA]),"NO EXISTE")</f>
        <v/>
      </c>
      <c r="D335" s="56">
        <f>IFERROR(_xlfn.XLOOKUP(ENTRADAS[[#This Row],[CODIGO]],LISTADO[CODIGOS],LISTADO[PRODUCTOS]),"NO EXISTE")</f>
        <v/>
      </c>
      <c r="E335" s="19" t="n">
        <v>46072</v>
      </c>
      <c r="F335" s="18" t="n">
        <v>25</v>
      </c>
      <c r="G335" s="18" t="inlineStr">
        <is>
          <t>INVENTARIO</t>
        </is>
      </c>
      <c r="H335" s="18" t="n"/>
      <c r="I335" s="45" t="n"/>
      <c r="J335" s="77" t="n"/>
      <c r="K335" s="18" t="n"/>
    </row>
    <row r="336">
      <c r="A336" s="18" t="n">
        <v>308</v>
      </c>
      <c r="B336" s="56" t="inlineStr">
        <is>
          <t>00003-UNI</t>
        </is>
      </c>
      <c r="C336" s="56">
        <f>IFERROR(_xlfn.XLOOKUP(ENTRADAS[[#This Row],[CODIGO]],LISTADO[CODIGOS],LISTADO[CATEGORIA]),"NO EXISTE")</f>
        <v/>
      </c>
      <c r="D336" s="56">
        <f>IFERROR(_xlfn.XLOOKUP(ENTRADAS[[#This Row],[CODIGO]],LISTADO[CODIGOS],LISTADO[PRODUCTOS]),"NO EXISTE")</f>
        <v/>
      </c>
      <c r="E336" s="19" t="n">
        <v>46072</v>
      </c>
      <c r="F336" s="18" t="n">
        <v>8</v>
      </c>
      <c r="G336" s="18" t="inlineStr">
        <is>
          <t>INVENTARIO</t>
        </is>
      </c>
      <c r="H336" s="18" t="n"/>
      <c r="I336" s="45" t="n"/>
      <c r="J336" s="77" t="n"/>
      <c r="K336" s="18" t="n"/>
    </row>
    <row r="337">
      <c r="A337" s="18" t="n">
        <v>309</v>
      </c>
      <c r="B337" s="56" t="inlineStr">
        <is>
          <t>00004-UNI</t>
        </is>
      </c>
      <c r="C337" s="56">
        <f>IFERROR(_xlfn.XLOOKUP(ENTRADAS[[#This Row],[CODIGO]],LISTADO[CODIGOS],LISTADO[CATEGORIA]),"NO EXISTE")</f>
        <v/>
      </c>
      <c r="D337" s="56">
        <f>IFERROR(_xlfn.XLOOKUP(ENTRADAS[[#This Row],[CODIGO]],LISTADO[CODIGOS],LISTADO[PRODUCTOS]),"NO EXISTE")</f>
        <v/>
      </c>
      <c r="E337" s="19" t="n">
        <v>46072</v>
      </c>
      <c r="F337" s="18" t="n">
        <v>33</v>
      </c>
      <c r="G337" s="18" t="inlineStr">
        <is>
          <t>INVENTARIO</t>
        </is>
      </c>
      <c r="H337" s="18" t="n"/>
      <c r="I337" s="45" t="n"/>
      <c r="J337" s="77" t="n"/>
      <c r="K337" s="18" t="n"/>
    </row>
    <row r="338">
      <c r="A338" s="18" t="n">
        <v>310</v>
      </c>
      <c r="B338" s="56" t="inlineStr">
        <is>
          <t>00039-UNI</t>
        </is>
      </c>
      <c r="C338" s="56">
        <f>IFERROR(_xlfn.XLOOKUP(ENTRADAS[[#This Row],[CODIGO]],LISTADO[CODIGOS],LISTADO[CATEGORIA]),"NO EXISTE")</f>
        <v/>
      </c>
      <c r="D338" s="56">
        <f>IFERROR(_xlfn.XLOOKUP(ENTRADAS[[#This Row],[CODIGO]],LISTADO[CODIGOS],LISTADO[PRODUCTOS]),"NO EXISTE")</f>
        <v/>
      </c>
      <c r="E338" s="19" t="n">
        <v>46072</v>
      </c>
      <c r="F338" s="18" t="n">
        <v>6</v>
      </c>
      <c r="G338" s="18" t="inlineStr">
        <is>
          <t>INVENTARIO</t>
        </is>
      </c>
      <c r="H338" s="18" t="n"/>
      <c r="I338" s="45" t="n"/>
      <c r="J338" s="77" t="n"/>
      <c r="K338" s="18" t="n"/>
    </row>
    <row r="339">
      <c r="A339" s="18" t="n">
        <v>311</v>
      </c>
      <c r="B339" s="56" t="inlineStr">
        <is>
          <t>00034-UNI</t>
        </is>
      </c>
      <c r="C339" s="56">
        <f>IFERROR(_xlfn.XLOOKUP(ENTRADAS[[#This Row],[CODIGO]],LISTADO[CODIGOS],LISTADO[CATEGORIA]),"NO EXISTE")</f>
        <v/>
      </c>
      <c r="D339" s="56">
        <f>IFERROR(_xlfn.XLOOKUP(ENTRADAS[[#This Row],[CODIGO]],LISTADO[CODIGOS],LISTADO[PRODUCTOS]),"NO EXISTE")</f>
        <v/>
      </c>
      <c r="E339" s="19" t="n">
        <v>46072</v>
      </c>
      <c r="F339" s="18" t="n">
        <v>3</v>
      </c>
      <c r="G339" s="18" t="inlineStr">
        <is>
          <t>INVENTARIO</t>
        </is>
      </c>
      <c r="H339" s="18" t="n"/>
      <c r="I339" s="45" t="n"/>
      <c r="J339" s="77" t="n"/>
      <c r="K339" s="18" t="n"/>
    </row>
    <row r="340">
      <c r="A340" s="18" t="n">
        <v>312</v>
      </c>
      <c r="B340" s="56" t="inlineStr">
        <is>
          <t>00036-UNI</t>
        </is>
      </c>
      <c r="C340" s="56">
        <f>IFERROR(_xlfn.XLOOKUP(ENTRADAS[[#This Row],[CODIGO]],LISTADO[CODIGOS],LISTADO[CATEGORIA]),"NO EXISTE")</f>
        <v/>
      </c>
      <c r="D340" s="56">
        <f>IFERROR(_xlfn.XLOOKUP(ENTRADAS[[#This Row],[CODIGO]],LISTADO[CODIGOS],LISTADO[PRODUCTOS]),"NO EXISTE")</f>
        <v/>
      </c>
      <c r="E340" s="19" t="n">
        <v>46072</v>
      </c>
      <c r="F340" s="18" t="n">
        <v>16</v>
      </c>
      <c r="G340" s="18" t="inlineStr">
        <is>
          <t>INVENTARIO</t>
        </is>
      </c>
      <c r="H340" s="18" t="n"/>
      <c r="I340" s="45" t="n"/>
      <c r="J340" s="77" t="n"/>
      <c r="K340" s="18" t="n"/>
    </row>
    <row r="341">
      <c r="A341" s="18" t="n">
        <v>313</v>
      </c>
      <c r="B341" s="56" t="inlineStr">
        <is>
          <t>00040-UNI</t>
        </is>
      </c>
      <c r="C341" s="56">
        <f>IFERROR(_xlfn.XLOOKUP(ENTRADAS[[#This Row],[CODIGO]],LISTADO[CODIGOS],LISTADO[CATEGORIA]),"NO EXISTE")</f>
        <v/>
      </c>
      <c r="D341" s="56">
        <f>IFERROR(_xlfn.XLOOKUP(ENTRADAS[[#This Row],[CODIGO]],LISTADO[CODIGOS],LISTADO[PRODUCTOS]),"NO EXISTE")</f>
        <v/>
      </c>
      <c r="E341" s="19" t="n">
        <v>46072</v>
      </c>
      <c r="F341" s="18" t="n">
        <v>18</v>
      </c>
      <c r="G341" s="18" t="inlineStr">
        <is>
          <t>INVENTARIO</t>
        </is>
      </c>
      <c r="H341" s="18" t="n"/>
      <c r="I341" s="45" t="n"/>
      <c r="J341" s="77" t="n"/>
      <c r="K341" s="18" t="n"/>
    </row>
    <row r="342">
      <c r="A342" s="18" t="n">
        <v>314</v>
      </c>
      <c r="B342" s="56" t="inlineStr">
        <is>
          <t>00035-UNI</t>
        </is>
      </c>
      <c r="C342" s="56">
        <f>IFERROR(_xlfn.XLOOKUP(ENTRADAS[[#This Row],[CODIGO]],LISTADO[CODIGOS],LISTADO[CATEGORIA]),"NO EXISTE")</f>
        <v/>
      </c>
      <c r="D342" s="56">
        <f>IFERROR(_xlfn.XLOOKUP(ENTRADAS[[#This Row],[CODIGO]],LISTADO[CODIGOS],LISTADO[PRODUCTOS]),"NO EXISTE")</f>
        <v/>
      </c>
      <c r="E342" s="19" t="n">
        <v>46072</v>
      </c>
      <c r="F342" s="18" t="n">
        <v>9</v>
      </c>
      <c r="G342" s="18" t="inlineStr">
        <is>
          <t>INVENTARIO</t>
        </is>
      </c>
      <c r="H342" s="18" t="n"/>
      <c r="I342" s="45" t="n"/>
      <c r="J342" s="77" t="n"/>
      <c r="K342" s="18" t="n"/>
    </row>
    <row r="343">
      <c r="A343" s="18" t="n">
        <v>315</v>
      </c>
      <c r="B343" s="56" t="inlineStr">
        <is>
          <t>00038-UNI</t>
        </is>
      </c>
      <c r="C343" s="56">
        <f>IFERROR(_xlfn.XLOOKUP(ENTRADAS[[#This Row],[CODIGO]],LISTADO[CODIGOS],LISTADO[CATEGORIA]),"NO EXISTE")</f>
        <v/>
      </c>
      <c r="D343" s="56">
        <f>IFERROR(_xlfn.XLOOKUP(ENTRADAS[[#This Row],[CODIGO]],LISTADO[CODIGOS],LISTADO[PRODUCTOS]),"NO EXISTE")</f>
        <v/>
      </c>
      <c r="E343" s="19" t="n">
        <v>46072</v>
      </c>
      <c r="F343" s="18" t="n">
        <v>5</v>
      </c>
      <c r="G343" s="18" t="inlineStr">
        <is>
          <t>INVENTARIO</t>
        </is>
      </c>
      <c r="H343" s="18" t="n"/>
      <c r="I343" s="45" t="n"/>
      <c r="J343" s="77" t="n"/>
      <c r="K343" s="18" t="n"/>
    </row>
    <row r="344">
      <c r="A344" s="18" t="n">
        <v>316</v>
      </c>
      <c r="B344" s="56" t="inlineStr">
        <is>
          <t>00037-UNI</t>
        </is>
      </c>
      <c r="C344" s="56">
        <f>IFERROR(_xlfn.XLOOKUP(ENTRADAS[[#This Row],[CODIGO]],LISTADO[CODIGOS],LISTADO[CATEGORIA]),"NO EXISTE")</f>
        <v/>
      </c>
      <c r="D344" s="56">
        <f>IFERROR(_xlfn.XLOOKUP(ENTRADAS[[#This Row],[CODIGO]],LISTADO[CODIGOS],LISTADO[PRODUCTOS]),"NO EXISTE")</f>
        <v/>
      </c>
      <c r="E344" s="19" t="n">
        <v>46072</v>
      </c>
      <c r="F344" s="18" t="n">
        <v>8</v>
      </c>
      <c r="G344" s="18" t="inlineStr">
        <is>
          <t>INVENTARIO</t>
        </is>
      </c>
      <c r="H344" s="18" t="n"/>
      <c r="I344" s="45" t="n"/>
      <c r="J344" s="77" t="n"/>
      <c r="K344" s="18" t="n"/>
    </row>
    <row r="345">
      <c r="A345" s="18" t="n">
        <v>317</v>
      </c>
      <c r="B345" s="56" t="inlineStr">
        <is>
          <t>00041-UNI</t>
        </is>
      </c>
      <c r="C345" s="56">
        <f>IFERROR(_xlfn.XLOOKUP(ENTRADAS[[#This Row],[CODIGO]],LISTADO[CODIGOS],LISTADO[CATEGORIA]),"NO EXISTE")</f>
        <v/>
      </c>
      <c r="D345" s="56">
        <f>IFERROR(_xlfn.XLOOKUP(ENTRADAS[[#This Row],[CODIGO]],LISTADO[CODIGOS],LISTADO[PRODUCTOS]),"NO EXISTE")</f>
        <v/>
      </c>
      <c r="E345" s="19" t="n">
        <v>46072</v>
      </c>
      <c r="F345" s="18" t="n">
        <v>11</v>
      </c>
      <c r="G345" s="18" t="inlineStr">
        <is>
          <t>INVENTARIO</t>
        </is>
      </c>
      <c r="H345" s="18" t="n"/>
      <c r="I345" s="45" t="n"/>
      <c r="J345" s="77" t="n"/>
      <c r="K345" s="18" t="n"/>
    </row>
    <row r="346">
      <c r="A346" s="18" t="n">
        <v>318</v>
      </c>
      <c r="B346" s="56" t="inlineStr">
        <is>
          <t>00004-FER</t>
        </is>
      </c>
      <c r="C346" s="56">
        <f>IFERROR(_xlfn.XLOOKUP(ENTRADAS[[#This Row],[CODIGO]],LISTADO[CODIGOS],LISTADO[CATEGORIA]),"NO EXISTE")</f>
        <v/>
      </c>
      <c r="D346" s="56">
        <f>IFERROR(_xlfn.XLOOKUP(ENTRADAS[[#This Row],[CODIGO]],LISTADO[CODIGOS],LISTADO[PRODUCTOS]),"NO EXISTE")</f>
        <v/>
      </c>
      <c r="E346" s="19" t="n">
        <v>46072</v>
      </c>
      <c r="F346" s="18" t="n">
        <v>2777</v>
      </c>
      <c r="G346" s="18" t="inlineStr">
        <is>
          <t>INVENTARIO</t>
        </is>
      </c>
      <c r="H346" s="18" t="n"/>
      <c r="I346" s="45" t="n"/>
      <c r="J346" s="77" t="n"/>
      <c r="K346" s="18" t="n"/>
    </row>
    <row r="347">
      <c r="A347" s="18" t="n">
        <v>319</v>
      </c>
      <c r="B347" s="56" t="inlineStr">
        <is>
          <t>00003-FER</t>
        </is>
      </c>
      <c r="C347" s="56">
        <f>IFERROR(_xlfn.XLOOKUP(ENTRADAS[[#This Row],[CODIGO]],LISTADO[CODIGOS],LISTADO[CATEGORIA]),"NO EXISTE")</f>
        <v/>
      </c>
      <c r="D347" s="56">
        <f>IFERROR(_xlfn.XLOOKUP(ENTRADAS[[#This Row],[CODIGO]],LISTADO[CODIGOS],LISTADO[PRODUCTOS]),"NO EXISTE")</f>
        <v/>
      </c>
      <c r="E347" s="19" t="n">
        <v>46072</v>
      </c>
      <c r="F347" s="18" t="n">
        <v>114</v>
      </c>
      <c r="G347" s="18" t="inlineStr">
        <is>
          <t>INVENTARIO</t>
        </is>
      </c>
      <c r="H347" s="18" t="n"/>
      <c r="I347" s="45" t="n"/>
      <c r="J347" s="77" t="n"/>
      <c r="K347" s="18" t="n"/>
    </row>
    <row r="348">
      <c r="A348" s="18" t="n">
        <v>320</v>
      </c>
      <c r="B348" s="56" t="inlineStr">
        <is>
          <t>00003-ELE</t>
        </is>
      </c>
      <c r="C348" s="56">
        <f>IFERROR(_xlfn.XLOOKUP(ENTRADAS[[#This Row],[CODIGO]],LISTADO[CODIGOS],LISTADO[CATEGORIA]),"NO EXISTE")</f>
        <v/>
      </c>
      <c r="D348" s="56">
        <f>IFERROR(_xlfn.XLOOKUP(ENTRADAS[[#This Row],[CODIGO]],LISTADO[CODIGOS],LISTADO[PRODUCTOS]),"NO EXISTE")</f>
        <v/>
      </c>
      <c r="E348" s="19" t="n">
        <v>46072</v>
      </c>
      <c r="F348" s="18" t="n">
        <v>5</v>
      </c>
      <c r="G348" s="18" t="inlineStr">
        <is>
          <t>INVENTARIO</t>
        </is>
      </c>
      <c r="H348" s="18" t="n"/>
      <c r="I348" s="45" t="n"/>
      <c r="J348" s="77" t="n"/>
      <c r="K348" s="18" t="n"/>
    </row>
    <row r="349">
      <c r="A349" s="18" t="n">
        <v>321</v>
      </c>
      <c r="B349" s="56" t="inlineStr">
        <is>
          <t>00068-FER</t>
        </is>
      </c>
      <c r="C349" s="56">
        <f>IFERROR(_xlfn.XLOOKUP(ENTRADAS[[#This Row],[CODIGO]],LISTADO[CODIGOS],LISTADO[CATEGORIA]),"NO EXISTE")</f>
        <v/>
      </c>
      <c r="D349" s="56">
        <f>IFERROR(_xlfn.XLOOKUP(ENTRADAS[[#This Row],[CODIGO]],LISTADO[CODIGOS],LISTADO[PRODUCTOS]),"NO EXISTE")</f>
        <v/>
      </c>
      <c r="E349" s="19" t="n">
        <v>46072</v>
      </c>
      <c r="F349" s="18" t="n">
        <v>1</v>
      </c>
      <c r="G349" s="18" t="inlineStr">
        <is>
          <t>INGRESO</t>
        </is>
      </c>
      <c r="H349" s="18" t="n"/>
      <c r="I349" s="45" t="n"/>
      <c r="J349" s="77" t="n"/>
      <c r="K349" s="18" t="n"/>
    </row>
    <row r="350">
      <c r="A350" s="18" t="n">
        <v>409</v>
      </c>
      <c r="B350" s="56" t="inlineStr">
        <is>
          <t>00007-ELE</t>
        </is>
      </c>
      <c r="C350" s="56">
        <f>IFERROR(_xlfn.XLOOKUP(ENTRADAS[[#This Row],[CODIGO]],LISTADO[CODIGOS],LISTADO[CATEGORIA]),"NO EXISTE")</f>
        <v/>
      </c>
      <c r="D350" s="56">
        <f>IFERROR(_xlfn.XLOOKUP(ENTRADAS[[#This Row],[CODIGO]],LISTADO[CODIGOS],LISTADO[PRODUCTOS]),"NO EXISTE")</f>
        <v/>
      </c>
      <c r="E350" s="19" t="n">
        <v>46072</v>
      </c>
      <c r="F350" s="18" t="n">
        <v>4</v>
      </c>
      <c r="G350" s="18" t="inlineStr">
        <is>
          <t>INVENTARIO</t>
        </is>
      </c>
      <c r="H350" s="18" t="n"/>
      <c r="I350" s="45" t="n"/>
      <c r="J350" s="77" t="n"/>
      <c r="K350" s="18" t="n"/>
    </row>
    <row r="351">
      <c r="A351" s="18" t="n">
        <v>479</v>
      </c>
      <c r="B351" s="56" t="inlineStr">
        <is>
          <t>00004-AUT</t>
        </is>
      </c>
      <c r="C351" s="56">
        <f>IFERROR(_xlfn.XLOOKUP(ENTRADAS[[#This Row],[CODIGO]],LISTADO[CODIGOS],LISTADO[CATEGORIA]),"NO EXISTE")</f>
        <v/>
      </c>
      <c r="D351" s="56">
        <f>IFERROR(_xlfn.XLOOKUP(ENTRADAS[[#This Row],[CODIGO]],LISTADO[CODIGOS],LISTADO[PRODUCTOS]),"NO EXISTE")</f>
        <v/>
      </c>
      <c r="E351" s="19" t="n">
        <v>46072</v>
      </c>
      <c r="F351" s="18" t="n">
        <v>4</v>
      </c>
      <c r="G351" s="18" t="inlineStr">
        <is>
          <t>INVENTARIO</t>
        </is>
      </c>
      <c r="H351" s="18" t="n"/>
      <c r="I351" s="45" t="n"/>
      <c r="J351" s="77" t="n"/>
      <c r="K351" s="18" t="n"/>
    </row>
    <row r="352">
      <c r="A352" s="18" t="n">
        <v>480</v>
      </c>
      <c r="B352" s="56" t="inlineStr">
        <is>
          <t>00005-AUT</t>
        </is>
      </c>
      <c r="C352" s="56">
        <f>IFERROR(_xlfn.XLOOKUP(ENTRADAS[[#This Row],[CODIGO]],LISTADO[CODIGOS],LISTADO[CATEGORIA]),"NO EXISTE")</f>
        <v/>
      </c>
      <c r="D352" s="56">
        <f>IFERROR(_xlfn.XLOOKUP(ENTRADAS[[#This Row],[CODIGO]],LISTADO[CODIGOS],LISTADO[PRODUCTOS]),"NO EXISTE")</f>
        <v/>
      </c>
      <c r="E352" s="19" t="n">
        <v>46072</v>
      </c>
      <c r="F352" s="18" t="n">
        <v>1</v>
      </c>
      <c r="G352" s="18" t="inlineStr">
        <is>
          <t>INVENTARIO</t>
        </is>
      </c>
      <c r="H352" s="18" t="n"/>
      <c r="I352" s="45" t="n"/>
      <c r="J352" s="77" t="n"/>
      <c r="K352" s="18" t="n"/>
    </row>
    <row r="353">
      <c r="A353" s="18" t="n">
        <v>481</v>
      </c>
      <c r="B353" s="56" t="inlineStr">
        <is>
          <t>00006-AUT</t>
        </is>
      </c>
      <c r="C353" s="56">
        <f>IFERROR(_xlfn.XLOOKUP(ENTRADAS[[#This Row],[CODIGO]],LISTADO[CODIGOS],LISTADO[CATEGORIA]),"NO EXISTE")</f>
        <v/>
      </c>
      <c r="D353" s="56">
        <f>IFERROR(_xlfn.XLOOKUP(ENTRADAS[[#This Row],[CODIGO]],LISTADO[CODIGOS],LISTADO[PRODUCTOS]),"NO EXISTE")</f>
        <v/>
      </c>
      <c r="E353" s="19" t="n">
        <v>46072</v>
      </c>
      <c r="F353" s="18" t="n">
        <v>2</v>
      </c>
      <c r="G353" s="18" t="inlineStr">
        <is>
          <t>INVENTARIO</t>
        </is>
      </c>
      <c r="H353" s="18" t="n"/>
      <c r="I353" s="45" t="n"/>
      <c r="J353" s="77" t="n"/>
      <c r="K353" s="18" t="n"/>
    </row>
    <row r="354">
      <c r="A354" s="18" t="n">
        <v>492</v>
      </c>
      <c r="B354" s="56" t="inlineStr">
        <is>
          <t>00026-FER</t>
        </is>
      </c>
      <c r="C354" s="56">
        <f>IFERROR(_xlfn.XLOOKUP(ENTRADAS[[#This Row],[CODIGO]],LISTADO[CODIGOS],LISTADO[CATEGORIA]),"NO EXISTE")</f>
        <v/>
      </c>
      <c r="D354" s="56">
        <f>IFERROR(_xlfn.XLOOKUP(ENTRADAS[[#This Row],[CODIGO]],LISTADO[CODIGOS],LISTADO[PRODUCTOS]),"NO EXISTE")</f>
        <v/>
      </c>
      <c r="E354" s="19" t="n">
        <v>46072</v>
      </c>
      <c r="F354" s="18" t="n">
        <v>3</v>
      </c>
      <c r="G354" s="18" t="inlineStr">
        <is>
          <t>INGRESO</t>
        </is>
      </c>
      <c r="H354" s="18" t="n"/>
      <c r="I354" s="45" t="n"/>
      <c r="J354" s="77" t="n"/>
      <c r="K354" s="18" t="n"/>
    </row>
    <row r="355">
      <c r="A355" s="18" t="n">
        <v>516</v>
      </c>
      <c r="B355" s="56" t="inlineStr">
        <is>
          <t>00102-HER</t>
        </is>
      </c>
      <c r="C355" s="56">
        <f>IFERROR(_xlfn.XLOOKUP(ENTRADAS[[#This Row],[CODIGO]],LISTADO[CODIGOS],LISTADO[CATEGORIA]),"NO EXISTE")</f>
        <v/>
      </c>
      <c r="D355" s="56">
        <f>IFERROR(_xlfn.XLOOKUP(ENTRADAS[[#This Row],[CODIGO]],LISTADO[CODIGOS],LISTADO[PRODUCTOS]),"NO EXISTE")</f>
        <v/>
      </c>
      <c r="E355" s="19" t="n">
        <v>46072</v>
      </c>
      <c r="F355" s="18" t="n">
        <v>2</v>
      </c>
      <c r="G355" s="18" t="inlineStr">
        <is>
          <t>INGRESO</t>
        </is>
      </c>
      <c r="H355" s="18" t="n"/>
      <c r="I355" s="45" t="n"/>
      <c r="J355" s="77" t="n"/>
      <c r="K355" s="18" t="n"/>
    </row>
    <row r="356">
      <c r="A356" s="18" t="n">
        <v>517</v>
      </c>
      <c r="B356" s="56" t="inlineStr">
        <is>
          <t>00103-HER</t>
        </is>
      </c>
      <c r="C356" s="56">
        <f>IFERROR(_xlfn.XLOOKUP(ENTRADAS[[#This Row],[CODIGO]],LISTADO[CODIGOS],LISTADO[CATEGORIA]),"NO EXISTE")</f>
        <v/>
      </c>
      <c r="D356" s="56">
        <f>IFERROR(_xlfn.XLOOKUP(ENTRADAS[[#This Row],[CODIGO]],LISTADO[CODIGOS],LISTADO[PRODUCTOS]),"NO EXISTE")</f>
        <v/>
      </c>
      <c r="E356" s="19" t="n">
        <v>46072</v>
      </c>
      <c r="F356" s="18" t="n">
        <v>3</v>
      </c>
      <c r="G356" s="18" t="inlineStr">
        <is>
          <t>INGRESO</t>
        </is>
      </c>
      <c r="H356" s="18" t="n"/>
      <c r="I356" s="45" t="n"/>
      <c r="J356" s="77" t="n"/>
      <c r="K356" s="18" t="n"/>
    </row>
    <row r="357">
      <c r="A357" s="18" t="n">
        <v>322</v>
      </c>
      <c r="B357" s="56" t="inlineStr">
        <is>
          <t>00068-FER</t>
        </is>
      </c>
      <c r="C357" s="56">
        <f>IFERROR(_xlfn.XLOOKUP(ENTRADAS[[#This Row],[CODIGO]],LISTADO[CODIGOS],LISTADO[CATEGORIA]),"NO EXISTE")</f>
        <v/>
      </c>
      <c r="D357" s="56">
        <f>IFERROR(_xlfn.XLOOKUP(ENTRADAS[[#This Row],[CODIGO]],LISTADO[CODIGOS],LISTADO[PRODUCTOS]),"NO EXISTE")</f>
        <v/>
      </c>
      <c r="E357" s="19" t="n">
        <v>46073</v>
      </c>
      <c r="F357" s="18" t="n">
        <v>1</v>
      </c>
      <c r="G357" s="18" t="inlineStr">
        <is>
          <t>INGRESO</t>
        </is>
      </c>
      <c r="H357" s="18" t="n"/>
      <c r="I357" s="45" t="n"/>
      <c r="J357" s="77" t="n"/>
      <c r="K357" s="18" t="n"/>
    </row>
    <row r="358">
      <c r="A358" s="18" t="n">
        <v>323</v>
      </c>
      <c r="B358" s="56" t="inlineStr">
        <is>
          <t>00010-ELE</t>
        </is>
      </c>
      <c r="C358" s="56">
        <f>IFERROR(_xlfn.XLOOKUP(ENTRADAS[[#This Row],[CODIGO]],LISTADO[CODIGOS],LISTADO[CATEGORIA]),"NO EXISTE")</f>
        <v/>
      </c>
      <c r="D358" s="56">
        <f>IFERROR(_xlfn.XLOOKUP(ENTRADAS[[#This Row],[CODIGO]],LISTADO[CODIGOS],LISTADO[PRODUCTOS]),"NO EXISTE")</f>
        <v/>
      </c>
      <c r="E358" s="19" t="n">
        <v>46073</v>
      </c>
      <c r="F358" s="18" t="n">
        <v>2</v>
      </c>
      <c r="G358" s="18" t="inlineStr">
        <is>
          <t>DEVOLUCION</t>
        </is>
      </c>
      <c r="H358" s="18" t="n"/>
      <c r="I358" s="45" t="n"/>
      <c r="J358" s="77" t="n"/>
      <c r="K358" s="18" t="n"/>
    </row>
    <row r="359">
      <c r="A359" s="18" t="n">
        <v>324</v>
      </c>
      <c r="B359" s="56" t="inlineStr">
        <is>
          <t>00005-ELE</t>
        </is>
      </c>
      <c r="C359" s="56">
        <f>IFERROR(_xlfn.XLOOKUP(ENTRADAS[[#This Row],[CODIGO]],LISTADO[CODIGOS],LISTADO[CATEGORIA]),"NO EXISTE")</f>
        <v/>
      </c>
      <c r="D359" s="56">
        <f>IFERROR(_xlfn.XLOOKUP(ENTRADAS[[#This Row],[CODIGO]],LISTADO[CODIGOS],LISTADO[PRODUCTOS]),"NO EXISTE")</f>
        <v/>
      </c>
      <c r="E359" s="19" t="n">
        <v>46073</v>
      </c>
      <c r="F359" s="18" t="n">
        <v>5</v>
      </c>
      <c r="G359" s="18" t="inlineStr">
        <is>
          <t>DEVOLUCION</t>
        </is>
      </c>
      <c r="H359" s="18" t="n"/>
      <c r="I359" s="45" t="n"/>
      <c r="J359" s="77" t="n"/>
      <c r="K359" s="18" t="n"/>
    </row>
    <row r="360">
      <c r="A360" s="18" t="n">
        <v>325</v>
      </c>
      <c r="B360" s="56" t="inlineStr">
        <is>
          <t>00009-ELE</t>
        </is>
      </c>
      <c r="C360" s="56">
        <f>IFERROR(_xlfn.XLOOKUP(ENTRADAS[[#This Row],[CODIGO]],LISTADO[CODIGOS],LISTADO[CATEGORIA]),"NO EXISTE")</f>
        <v/>
      </c>
      <c r="D360" s="56">
        <f>IFERROR(_xlfn.XLOOKUP(ENTRADAS[[#This Row],[CODIGO]],LISTADO[CODIGOS],LISTADO[PRODUCTOS]),"NO EXISTE")</f>
        <v/>
      </c>
      <c r="E360" s="19" t="n">
        <v>46073</v>
      </c>
      <c r="F360" s="18" t="n">
        <v>11</v>
      </c>
      <c r="G360" s="18" t="inlineStr">
        <is>
          <t>DEVOLUCION</t>
        </is>
      </c>
      <c r="H360" s="18" t="n"/>
      <c r="I360" s="45" t="n"/>
      <c r="J360" s="77" t="n"/>
      <c r="K360" s="18" t="n"/>
    </row>
    <row r="361">
      <c r="A361" s="18" t="n">
        <v>326</v>
      </c>
      <c r="B361" s="56" t="inlineStr">
        <is>
          <t>00007-ELE</t>
        </is>
      </c>
      <c r="C361" s="56">
        <f>IFERROR(_xlfn.XLOOKUP(ENTRADAS[[#This Row],[CODIGO]],LISTADO[CODIGOS],LISTADO[CATEGORIA]),"NO EXISTE")</f>
        <v/>
      </c>
      <c r="D361" s="56">
        <f>IFERROR(_xlfn.XLOOKUP(ENTRADAS[[#This Row],[CODIGO]],LISTADO[CODIGOS],LISTADO[PRODUCTOS]),"NO EXISTE")</f>
        <v/>
      </c>
      <c r="E361" s="19" t="n">
        <v>46073</v>
      </c>
      <c r="F361" s="18" t="n">
        <v>2</v>
      </c>
      <c r="G361" s="18" t="inlineStr">
        <is>
          <t>DEVOLUCION</t>
        </is>
      </c>
      <c r="H361" s="18" t="n"/>
      <c r="I361" s="45" t="n"/>
      <c r="J361" s="77" t="n"/>
      <c r="K361" s="18" t="n"/>
    </row>
    <row r="362">
      <c r="A362" s="18" t="n">
        <v>327</v>
      </c>
      <c r="B362" s="56" t="inlineStr">
        <is>
          <t>00019-FER</t>
        </is>
      </c>
      <c r="C362" s="56">
        <f>IFERROR(_xlfn.XLOOKUP(ENTRADAS[[#This Row],[CODIGO]],LISTADO[CODIGOS],LISTADO[CATEGORIA]),"NO EXISTE")</f>
        <v/>
      </c>
      <c r="D362" s="56">
        <f>IFERROR(_xlfn.XLOOKUP(ENTRADAS[[#This Row],[CODIGO]],LISTADO[CODIGOS],LISTADO[PRODUCTOS]),"NO EXISTE")</f>
        <v/>
      </c>
      <c r="E362" s="19" t="n">
        <v>46074</v>
      </c>
      <c r="F362" s="18" t="n">
        <v>1</v>
      </c>
      <c r="G362" s="18" t="inlineStr">
        <is>
          <t>INVENTARIO</t>
        </is>
      </c>
      <c r="H362" s="18" t="n"/>
      <c r="I362" s="45" t="n"/>
      <c r="J362" s="77" t="n"/>
      <c r="K362" s="18" t="n"/>
    </row>
    <row r="363">
      <c r="A363" s="18" t="n">
        <v>328</v>
      </c>
      <c r="B363" s="56" t="inlineStr">
        <is>
          <t>00020-HER</t>
        </is>
      </c>
      <c r="C363" s="56">
        <f>IFERROR(_xlfn.XLOOKUP(ENTRADAS[[#This Row],[CODIGO]],LISTADO[CODIGOS],LISTADO[CATEGORIA]),"NO EXISTE")</f>
        <v/>
      </c>
      <c r="D363" s="56">
        <f>IFERROR(_xlfn.XLOOKUP(ENTRADAS[[#This Row],[CODIGO]],LISTADO[CODIGOS],LISTADO[PRODUCTOS]),"NO EXISTE")</f>
        <v/>
      </c>
      <c r="E363" s="19" t="n">
        <v>46074</v>
      </c>
      <c r="F363" s="18" t="n">
        <v>1</v>
      </c>
      <c r="G363" s="18" t="inlineStr">
        <is>
          <t>INVENTARIO</t>
        </is>
      </c>
      <c r="H363" s="18" t="n"/>
      <c r="I363" s="45" t="n"/>
      <c r="J363" s="77" t="n"/>
      <c r="K363" s="18" t="n"/>
    </row>
    <row r="364">
      <c r="A364" s="18" t="n">
        <v>329</v>
      </c>
      <c r="B364" s="56" t="inlineStr">
        <is>
          <t>00031-HER</t>
        </is>
      </c>
      <c r="C364" s="56">
        <f>IFERROR(_xlfn.XLOOKUP(ENTRADAS[[#This Row],[CODIGO]],LISTADO[CODIGOS],LISTADO[CATEGORIA]),"NO EXISTE")</f>
        <v/>
      </c>
      <c r="D364" s="56">
        <f>IFERROR(_xlfn.XLOOKUP(ENTRADAS[[#This Row],[CODIGO]],LISTADO[CODIGOS],LISTADO[PRODUCTOS]),"NO EXISTE")</f>
        <v/>
      </c>
      <c r="E364" s="19" t="n">
        <v>46074</v>
      </c>
      <c r="F364" s="18" t="n">
        <v>3</v>
      </c>
      <c r="G364" s="18" t="inlineStr">
        <is>
          <t>INVENTARIO</t>
        </is>
      </c>
      <c r="H364" s="18" t="n"/>
      <c r="I364" s="45" t="n"/>
      <c r="J364" s="77" t="n"/>
      <c r="K364" s="18" t="n"/>
    </row>
    <row r="365">
      <c r="A365" s="18" t="n">
        <v>330</v>
      </c>
      <c r="B365" s="56" t="inlineStr">
        <is>
          <t>00029-HER</t>
        </is>
      </c>
      <c r="C365" s="56">
        <f>IFERROR(_xlfn.XLOOKUP(ENTRADAS[[#This Row],[CODIGO]],LISTADO[CODIGOS],LISTADO[CATEGORIA]),"NO EXISTE")</f>
        <v/>
      </c>
      <c r="D365" s="56">
        <f>IFERROR(_xlfn.XLOOKUP(ENTRADAS[[#This Row],[CODIGO]],LISTADO[CODIGOS],LISTADO[PRODUCTOS]),"NO EXISTE")</f>
        <v/>
      </c>
      <c r="E365" s="19" t="n">
        <v>46074</v>
      </c>
      <c r="F365" s="18" t="n">
        <v>3</v>
      </c>
      <c r="G365" s="18" t="inlineStr">
        <is>
          <t>INVENTARIO</t>
        </is>
      </c>
      <c r="H365" s="18" t="n"/>
      <c r="I365" s="45" t="n"/>
      <c r="J365" s="77" t="n"/>
      <c r="K365" s="18" t="n"/>
    </row>
    <row r="366">
      <c r="A366" s="18" t="n">
        <v>331</v>
      </c>
      <c r="B366" s="56" t="inlineStr">
        <is>
          <t>00028-HER</t>
        </is>
      </c>
      <c r="C366" s="56">
        <f>IFERROR(_xlfn.XLOOKUP(ENTRADAS[[#This Row],[CODIGO]],LISTADO[CODIGOS],LISTADO[CATEGORIA]),"NO EXISTE")</f>
        <v/>
      </c>
      <c r="D366" s="56">
        <f>IFERROR(_xlfn.XLOOKUP(ENTRADAS[[#This Row],[CODIGO]],LISTADO[CODIGOS],LISTADO[PRODUCTOS]),"NO EXISTE")</f>
        <v/>
      </c>
      <c r="E366" s="19" t="n">
        <v>46074</v>
      </c>
      <c r="F366" s="18" t="n">
        <v>1</v>
      </c>
      <c r="G366" s="18" t="inlineStr">
        <is>
          <t>INVENTARIO</t>
        </is>
      </c>
      <c r="H366" s="18" t="n"/>
      <c r="I366" s="45" t="n"/>
      <c r="J366" s="77" t="n"/>
      <c r="K366" s="18" t="n"/>
    </row>
    <row r="367">
      <c r="A367" s="18" t="n">
        <v>332</v>
      </c>
      <c r="B367" s="56" t="inlineStr">
        <is>
          <t>00008-HER</t>
        </is>
      </c>
      <c r="C367" s="56">
        <f>IFERROR(_xlfn.XLOOKUP(ENTRADAS[[#This Row],[CODIGO]],LISTADO[CODIGOS],LISTADO[CATEGORIA]),"NO EXISTE")</f>
        <v/>
      </c>
      <c r="D367" s="56">
        <f>IFERROR(_xlfn.XLOOKUP(ENTRADAS[[#This Row],[CODIGO]],LISTADO[CODIGOS],LISTADO[PRODUCTOS]),"NO EXISTE")</f>
        <v/>
      </c>
      <c r="E367" s="19" t="n">
        <v>46074</v>
      </c>
      <c r="F367" s="18" t="n">
        <v>1</v>
      </c>
      <c r="G367" s="18" t="inlineStr">
        <is>
          <t>INVENTARIO</t>
        </is>
      </c>
      <c r="H367" s="18" t="n"/>
      <c r="I367" s="45" t="n"/>
      <c r="J367" s="77" t="n"/>
      <c r="K367" s="18" t="n"/>
    </row>
    <row r="368">
      <c r="A368" s="18" t="n">
        <v>333</v>
      </c>
      <c r="B368" s="56" t="inlineStr">
        <is>
          <t>00062-HER</t>
        </is>
      </c>
      <c r="C368" s="56">
        <f>IFERROR(_xlfn.XLOOKUP(ENTRADAS[[#This Row],[CODIGO]],LISTADO[CODIGOS],LISTADO[CATEGORIA]),"NO EXISTE")</f>
        <v/>
      </c>
      <c r="D368" s="56">
        <f>IFERROR(_xlfn.XLOOKUP(ENTRADAS[[#This Row],[CODIGO]],LISTADO[CODIGOS],LISTADO[PRODUCTOS]),"NO EXISTE")</f>
        <v/>
      </c>
      <c r="E368" s="19" t="n">
        <v>46074</v>
      </c>
      <c r="F368" s="18" t="n">
        <v>2</v>
      </c>
      <c r="G368" s="18" t="inlineStr">
        <is>
          <t>INVENTARIO</t>
        </is>
      </c>
      <c r="H368" s="18" t="n"/>
      <c r="I368" s="45" t="n"/>
      <c r="J368" s="77" t="n"/>
      <c r="K368" s="18" t="n"/>
    </row>
    <row r="369">
      <c r="A369" s="18" t="n">
        <v>334</v>
      </c>
      <c r="B369" s="56" t="inlineStr">
        <is>
          <t>00063-HER</t>
        </is>
      </c>
      <c r="C369" s="56">
        <f>IFERROR(_xlfn.XLOOKUP(ENTRADAS[[#This Row],[CODIGO]],LISTADO[CODIGOS],LISTADO[CATEGORIA]),"NO EXISTE")</f>
        <v/>
      </c>
      <c r="D369" s="56">
        <f>IFERROR(_xlfn.XLOOKUP(ENTRADAS[[#This Row],[CODIGO]],LISTADO[CODIGOS],LISTADO[PRODUCTOS]),"NO EXISTE")</f>
        <v/>
      </c>
      <c r="E369" s="19" t="n">
        <v>46074</v>
      </c>
      <c r="F369" s="18" t="n">
        <v>1</v>
      </c>
      <c r="G369" s="18" t="inlineStr">
        <is>
          <t>INVENTARIO</t>
        </is>
      </c>
      <c r="H369" s="18" t="n"/>
      <c r="I369" s="45" t="n"/>
      <c r="J369" s="77" t="n"/>
      <c r="K369" s="18" t="n"/>
    </row>
    <row r="370">
      <c r="A370" s="18" t="n">
        <v>335</v>
      </c>
      <c r="B370" s="56" t="inlineStr">
        <is>
          <t>00060-HER</t>
        </is>
      </c>
      <c r="C370" s="56">
        <f>IFERROR(_xlfn.XLOOKUP(ENTRADAS[[#This Row],[CODIGO]],LISTADO[CODIGOS],LISTADO[CATEGORIA]),"NO EXISTE")</f>
        <v/>
      </c>
      <c r="D370" s="56">
        <f>IFERROR(_xlfn.XLOOKUP(ENTRADAS[[#This Row],[CODIGO]],LISTADO[CODIGOS],LISTADO[PRODUCTOS]),"NO EXISTE")</f>
        <v/>
      </c>
      <c r="E370" s="19" t="n">
        <v>46074</v>
      </c>
      <c r="F370" s="18" t="n">
        <v>2</v>
      </c>
      <c r="G370" s="18" t="inlineStr">
        <is>
          <t>INVENTARIO</t>
        </is>
      </c>
      <c r="H370" s="18" t="n"/>
      <c r="I370" s="45" t="n"/>
      <c r="J370" s="77" t="n"/>
      <c r="K370" s="18" t="n"/>
    </row>
    <row r="371">
      <c r="A371" s="18" t="n">
        <v>336</v>
      </c>
      <c r="B371" s="56" t="inlineStr">
        <is>
          <t>00067-HER</t>
        </is>
      </c>
      <c r="C371" s="56">
        <f>IFERROR(_xlfn.XLOOKUP(ENTRADAS[[#This Row],[CODIGO]],LISTADO[CODIGOS],LISTADO[CATEGORIA]),"NO EXISTE")</f>
        <v/>
      </c>
      <c r="D371" s="56">
        <f>IFERROR(_xlfn.XLOOKUP(ENTRADAS[[#This Row],[CODIGO]],LISTADO[CODIGOS],LISTADO[PRODUCTOS]),"NO EXISTE")</f>
        <v/>
      </c>
      <c r="E371" s="19" t="n">
        <v>46074</v>
      </c>
      <c r="F371" s="18" t="n">
        <v>1</v>
      </c>
      <c r="G371" s="18" t="inlineStr">
        <is>
          <t>INVENTARIO</t>
        </is>
      </c>
      <c r="H371" s="18" t="n"/>
      <c r="I371" s="45" t="n"/>
      <c r="J371" s="77" t="n"/>
      <c r="K371" s="18" t="n"/>
    </row>
    <row r="372">
      <c r="A372" s="18" t="n">
        <v>337</v>
      </c>
      <c r="B372" s="56" t="inlineStr">
        <is>
          <t>00007-HER</t>
        </is>
      </c>
      <c r="C372" s="56">
        <f>IFERROR(_xlfn.XLOOKUP(ENTRADAS[[#This Row],[CODIGO]],LISTADO[CODIGOS],LISTADO[CATEGORIA]),"NO EXISTE")</f>
        <v/>
      </c>
      <c r="D372" s="56">
        <f>IFERROR(_xlfn.XLOOKUP(ENTRADAS[[#This Row],[CODIGO]],LISTADO[CODIGOS],LISTADO[PRODUCTOS]),"NO EXISTE")</f>
        <v/>
      </c>
      <c r="E372" s="19" t="n">
        <v>46074</v>
      </c>
      <c r="F372" s="18" t="n">
        <v>1</v>
      </c>
      <c r="G372" s="18" t="inlineStr">
        <is>
          <t>INVENTARIO</t>
        </is>
      </c>
      <c r="H372" s="18" t="n"/>
      <c r="I372" s="45" t="n"/>
      <c r="J372" s="77" t="n"/>
      <c r="K372" s="18" t="n"/>
    </row>
    <row r="373">
      <c r="A373" s="18" t="n">
        <v>338</v>
      </c>
      <c r="B373" s="56" t="inlineStr">
        <is>
          <t>00027-HER</t>
        </is>
      </c>
      <c r="C373" s="56">
        <f>IFERROR(_xlfn.XLOOKUP(ENTRADAS[[#This Row],[CODIGO]],LISTADO[CODIGOS],LISTADO[CATEGORIA]),"NO EXISTE")</f>
        <v/>
      </c>
      <c r="D373" s="56">
        <f>IFERROR(_xlfn.XLOOKUP(ENTRADAS[[#This Row],[CODIGO]],LISTADO[CODIGOS],LISTADO[PRODUCTOS]),"NO EXISTE")</f>
        <v/>
      </c>
      <c r="E373" s="19" t="n">
        <v>46074</v>
      </c>
      <c r="F373" s="18" t="n">
        <v>7</v>
      </c>
      <c r="G373" s="18" t="inlineStr">
        <is>
          <t>INVENTARIO</t>
        </is>
      </c>
      <c r="H373" s="18" t="n"/>
      <c r="I373" s="45" t="n"/>
      <c r="J373" s="77" t="n"/>
      <c r="K373" s="18" t="n"/>
    </row>
    <row r="374">
      <c r="A374" s="18" t="n">
        <v>339</v>
      </c>
      <c r="B374" s="56" t="inlineStr">
        <is>
          <t>00070-HER</t>
        </is>
      </c>
      <c r="C374" s="56">
        <f>IFERROR(_xlfn.XLOOKUP(ENTRADAS[[#This Row],[CODIGO]],LISTADO[CODIGOS],LISTADO[CATEGORIA]),"NO EXISTE")</f>
        <v/>
      </c>
      <c r="D374" s="56">
        <f>IFERROR(_xlfn.XLOOKUP(ENTRADAS[[#This Row],[CODIGO]],LISTADO[CODIGOS],LISTADO[PRODUCTOS]),"NO EXISTE")</f>
        <v/>
      </c>
      <c r="E374" s="19" t="n">
        <v>46074</v>
      </c>
      <c r="F374" s="18" t="n">
        <v>1</v>
      </c>
      <c r="G374" s="18" t="inlineStr">
        <is>
          <t>INVENTARIO</t>
        </is>
      </c>
      <c r="H374" s="18" t="n"/>
      <c r="I374" s="45" t="n"/>
      <c r="J374" s="77" t="n"/>
      <c r="K374" s="18" t="n"/>
    </row>
    <row r="375">
      <c r="A375" s="18" t="n">
        <v>340</v>
      </c>
      <c r="B375" s="56" t="inlineStr">
        <is>
          <t>00014-HER</t>
        </is>
      </c>
      <c r="C375" s="56">
        <f>IFERROR(_xlfn.XLOOKUP(ENTRADAS[[#This Row],[CODIGO]],LISTADO[CODIGOS],LISTADO[CATEGORIA]),"NO EXISTE")</f>
        <v/>
      </c>
      <c r="D375" s="56">
        <f>IFERROR(_xlfn.XLOOKUP(ENTRADAS[[#This Row],[CODIGO]],LISTADO[CODIGOS],LISTADO[PRODUCTOS]),"NO EXISTE")</f>
        <v/>
      </c>
      <c r="E375" s="19" t="n">
        <v>46074</v>
      </c>
      <c r="F375" s="18" t="n">
        <v>1</v>
      </c>
      <c r="G375" s="18" t="inlineStr">
        <is>
          <t>INVENTARIO</t>
        </is>
      </c>
      <c r="H375" s="18" t="n"/>
      <c r="I375" s="45" t="n"/>
      <c r="J375" s="77" t="n"/>
      <c r="K375" s="18" t="n"/>
    </row>
    <row r="376">
      <c r="A376" s="18" t="n">
        <v>341</v>
      </c>
      <c r="B376" s="56" t="inlineStr">
        <is>
          <t>00047-HER</t>
        </is>
      </c>
      <c r="C376" s="56">
        <f>IFERROR(_xlfn.XLOOKUP(ENTRADAS[[#This Row],[CODIGO]],LISTADO[CODIGOS],LISTADO[CATEGORIA]),"NO EXISTE")</f>
        <v/>
      </c>
      <c r="D376" s="56">
        <f>IFERROR(_xlfn.XLOOKUP(ENTRADAS[[#This Row],[CODIGO]],LISTADO[CODIGOS],LISTADO[PRODUCTOS]),"NO EXISTE")</f>
        <v/>
      </c>
      <c r="E376" s="19" t="n">
        <v>46074</v>
      </c>
      <c r="F376" s="18" t="n">
        <v>1</v>
      </c>
      <c r="G376" s="18" t="inlineStr">
        <is>
          <t>INVENTARIO</t>
        </is>
      </c>
      <c r="H376" s="18" t="n"/>
      <c r="I376" s="45" t="n"/>
      <c r="J376" s="77" t="n"/>
      <c r="K376" s="18" t="n"/>
    </row>
    <row r="377">
      <c r="A377" s="18" t="n">
        <v>342</v>
      </c>
      <c r="B377" s="56" t="inlineStr">
        <is>
          <t>00042-HER</t>
        </is>
      </c>
      <c r="C377" s="56">
        <f>IFERROR(_xlfn.XLOOKUP(ENTRADAS[[#This Row],[CODIGO]],LISTADO[CODIGOS],LISTADO[CATEGORIA]),"NO EXISTE")</f>
        <v/>
      </c>
      <c r="D377" s="56">
        <f>IFERROR(_xlfn.XLOOKUP(ENTRADAS[[#This Row],[CODIGO]],LISTADO[CODIGOS],LISTADO[PRODUCTOS]),"NO EXISTE")</f>
        <v/>
      </c>
      <c r="E377" s="19" t="n">
        <v>46074</v>
      </c>
      <c r="F377" s="18" t="n">
        <v>1</v>
      </c>
      <c r="G377" s="18" t="inlineStr">
        <is>
          <t>INVENTARIO</t>
        </is>
      </c>
      <c r="H377" s="18" t="n"/>
      <c r="I377" s="45" t="n"/>
      <c r="J377" s="77" t="n"/>
      <c r="K377" s="18" t="n"/>
    </row>
    <row r="378">
      <c r="A378" s="18" t="n">
        <v>343</v>
      </c>
      <c r="B378" s="56" t="inlineStr">
        <is>
          <t>00006-HER</t>
        </is>
      </c>
      <c r="C378" s="56">
        <f>IFERROR(_xlfn.XLOOKUP(ENTRADAS[[#This Row],[CODIGO]],LISTADO[CODIGOS],LISTADO[CATEGORIA]),"NO EXISTE")</f>
        <v/>
      </c>
      <c r="D378" s="56">
        <f>IFERROR(_xlfn.XLOOKUP(ENTRADAS[[#This Row],[CODIGO]],LISTADO[CODIGOS],LISTADO[PRODUCTOS]),"NO EXISTE")</f>
        <v/>
      </c>
      <c r="E378" s="19" t="n">
        <v>46074</v>
      </c>
      <c r="F378" s="18" t="n">
        <v>1</v>
      </c>
      <c r="G378" s="18" t="inlineStr">
        <is>
          <t>INVENTARIO</t>
        </is>
      </c>
      <c r="H378" s="18" t="n"/>
      <c r="I378" s="45" t="n"/>
      <c r="J378" s="77" t="n"/>
      <c r="K378" s="18" t="n"/>
    </row>
    <row r="379">
      <c r="A379" s="18" t="n">
        <v>344</v>
      </c>
      <c r="B379" s="56" t="inlineStr">
        <is>
          <t>00015-HER</t>
        </is>
      </c>
      <c r="C379" s="56">
        <f>IFERROR(_xlfn.XLOOKUP(ENTRADAS[[#This Row],[CODIGO]],LISTADO[CODIGOS],LISTADO[CATEGORIA]),"NO EXISTE")</f>
        <v/>
      </c>
      <c r="D379" s="56">
        <f>IFERROR(_xlfn.XLOOKUP(ENTRADAS[[#This Row],[CODIGO]],LISTADO[CODIGOS],LISTADO[PRODUCTOS]),"NO EXISTE")</f>
        <v/>
      </c>
      <c r="E379" s="19" t="n">
        <v>46074</v>
      </c>
      <c r="F379" s="18" t="n">
        <v>2</v>
      </c>
      <c r="G379" s="18" t="inlineStr">
        <is>
          <t>INVENTARIO</t>
        </is>
      </c>
      <c r="H379" s="18" t="n"/>
      <c r="I379" s="45" t="n"/>
      <c r="J379" s="77" t="n"/>
      <c r="K379" s="18" t="n"/>
    </row>
    <row r="380">
      <c r="A380" s="18" t="n">
        <v>345</v>
      </c>
      <c r="B380" s="56" t="inlineStr">
        <is>
          <t>00066-HER</t>
        </is>
      </c>
      <c r="C380" s="56">
        <f>IFERROR(_xlfn.XLOOKUP(ENTRADAS[[#This Row],[CODIGO]],LISTADO[CODIGOS],LISTADO[CATEGORIA]),"NO EXISTE")</f>
        <v/>
      </c>
      <c r="D380" s="56">
        <f>IFERROR(_xlfn.XLOOKUP(ENTRADAS[[#This Row],[CODIGO]],LISTADO[CODIGOS],LISTADO[PRODUCTOS]),"NO EXISTE")</f>
        <v/>
      </c>
      <c r="E380" s="19" t="n">
        <v>46074</v>
      </c>
      <c r="F380" s="18" t="n">
        <v>2</v>
      </c>
      <c r="G380" s="18" t="inlineStr">
        <is>
          <t>INVENTARIO</t>
        </is>
      </c>
      <c r="H380" s="18" t="n"/>
      <c r="I380" s="45" t="n"/>
      <c r="J380" s="77" t="n"/>
      <c r="K380" s="18" t="n"/>
    </row>
    <row r="381">
      <c r="A381" s="18" t="n">
        <v>346</v>
      </c>
      <c r="B381" s="56" t="inlineStr">
        <is>
          <t>00025-HER</t>
        </is>
      </c>
      <c r="C381" s="56">
        <f>IFERROR(_xlfn.XLOOKUP(ENTRADAS[[#This Row],[CODIGO]],LISTADO[CODIGOS],LISTADO[CATEGORIA]),"NO EXISTE")</f>
        <v/>
      </c>
      <c r="D381" s="56">
        <f>IFERROR(_xlfn.XLOOKUP(ENTRADAS[[#This Row],[CODIGO]],LISTADO[CODIGOS],LISTADO[PRODUCTOS]),"NO EXISTE")</f>
        <v/>
      </c>
      <c r="E381" s="19" t="n">
        <v>46074</v>
      </c>
      <c r="F381" s="18" t="n">
        <v>1</v>
      </c>
      <c r="G381" s="18" t="inlineStr">
        <is>
          <t>INVENTARIO</t>
        </is>
      </c>
      <c r="H381" s="18" t="n"/>
      <c r="I381" s="45" t="n"/>
      <c r="J381" s="77" t="n"/>
      <c r="K381" s="18" t="n"/>
    </row>
    <row r="382">
      <c r="A382" s="18" t="n">
        <v>347</v>
      </c>
      <c r="B382" s="56" t="inlineStr">
        <is>
          <t>00033-HER</t>
        </is>
      </c>
      <c r="C382" s="56">
        <f>IFERROR(_xlfn.XLOOKUP(ENTRADAS[[#This Row],[CODIGO]],LISTADO[CODIGOS],LISTADO[CATEGORIA]),"NO EXISTE")</f>
        <v/>
      </c>
      <c r="D382" s="56">
        <f>IFERROR(_xlfn.XLOOKUP(ENTRADAS[[#This Row],[CODIGO]],LISTADO[CODIGOS],LISTADO[PRODUCTOS]),"NO EXISTE")</f>
        <v/>
      </c>
      <c r="E382" s="19" t="n">
        <v>46074</v>
      </c>
      <c r="F382" s="18" t="n">
        <v>2</v>
      </c>
      <c r="G382" s="18" t="inlineStr">
        <is>
          <t>INVENTARIO</t>
        </is>
      </c>
      <c r="H382" s="18" t="n"/>
      <c r="I382" s="45" t="n"/>
      <c r="J382" s="77" t="n"/>
      <c r="K382" s="18" t="n"/>
    </row>
    <row r="383">
      <c r="A383" s="18" t="n">
        <v>348</v>
      </c>
      <c r="B383" s="56" t="inlineStr">
        <is>
          <t>00048-HER</t>
        </is>
      </c>
      <c r="C383" s="56">
        <f>IFERROR(_xlfn.XLOOKUP(ENTRADAS[[#This Row],[CODIGO]],LISTADO[CODIGOS],LISTADO[CATEGORIA]),"NO EXISTE")</f>
        <v/>
      </c>
      <c r="D383" s="56">
        <f>IFERROR(_xlfn.XLOOKUP(ENTRADAS[[#This Row],[CODIGO]],LISTADO[CODIGOS],LISTADO[PRODUCTOS]),"NO EXISTE")</f>
        <v/>
      </c>
      <c r="E383" s="19" t="n">
        <v>46074</v>
      </c>
      <c r="F383" s="18" t="n">
        <v>1</v>
      </c>
      <c r="G383" s="18" t="inlineStr">
        <is>
          <t>INVENTARIO</t>
        </is>
      </c>
      <c r="H383" s="18" t="n"/>
      <c r="I383" s="45" t="n"/>
      <c r="J383" s="77" t="n"/>
      <c r="K383" s="18" t="n"/>
    </row>
    <row r="384">
      <c r="A384" s="18" t="n">
        <v>349</v>
      </c>
      <c r="B384" s="56" t="inlineStr">
        <is>
          <t>00061-HER</t>
        </is>
      </c>
      <c r="C384" s="56">
        <f>IFERROR(_xlfn.XLOOKUP(ENTRADAS[[#This Row],[CODIGO]],LISTADO[CODIGOS],LISTADO[CATEGORIA]),"NO EXISTE")</f>
        <v/>
      </c>
      <c r="D384" s="56">
        <f>IFERROR(_xlfn.XLOOKUP(ENTRADAS[[#This Row],[CODIGO]],LISTADO[CODIGOS],LISTADO[PRODUCTOS]),"NO EXISTE")</f>
        <v/>
      </c>
      <c r="E384" s="19" t="n">
        <v>46074</v>
      </c>
      <c r="F384" s="18" t="n">
        <v>1</v>
      </c>
      <c r="G384" s="18" t="inlineStr">
        <is>
          <t>INVENTARIO</t>
        </is>
      </c>
      <c r="H384" s="18" t="n"/>
      <c r="I384" s="45" t="n"/>
      <c r="J384" s="77" t="n"/>
      <c r="K384" s="18" t="n"/>
    </row>
    <row r="385">
      <c r="A385" s="18" t="n">
        <v>350</v>
      </c>
      <c r="B385" s="56" t="inlineStr">
        <is>
          <t>00043-HER</t>
        </is>
      </c>
      <c r="C385" s="56">
        <f>IFERROR(_xlfn.XLOOKUP(ENTRADAS[[#This Row],[CODIGO]],LISTADO[CODIGOS],LISTADO[CATEGORIA]),"NO EXISTE")</f>
        <v/>
      </c>
      <c r="D385" s="56">
        <f>IFERROR(_xlfn.XLOOKUP(ENTRADAS[[#This Row],[CODIGO]],LISTADO[CODIGOS],LISTADO[PRODUCTOS]),"NO EXISTE")</f>
        <v/>
      </c>
      <c r="E385" s="19" t="n">
        <v>46074</v>
      </c>
      <c r="F385" s="18" t="n">
        <v>1</v>
      </c>
      <c r="G385" s="18" t="inlineStr">
        <is>
          <t>INVENTARIO</t>
        </is>
      </c>
      <c r="H385" s="18" t="n"/>
      <c r="I385" s="45" t="n"/>
      <c r="J385" s="77" t="n"/>
      <c r="K385" s="18" t="n"/>
    </row>
    <row r="386">
      <c r="A386" s="18" t="n">
        <v>351</v>
      </c>
      <c r="B386" s="56" t="inlineStr">
        <is>
          <t>00044-HER</t>
        </is>
      </c>
      <c r="C386" s="56">
        <f>IFERROR(_xlfn.XLOOKUP(ENTRADAS[[#This Row],[CODIGO]],LISTADO[CODIGOS],LISTADO[CATEGORIA]),"NO EXISTE")</f>
        <v/>
      </c>
      <c r="D386" s="56">
        <f>IFERROR(_xlfn.XLOOKUP(ENTRADAS[[#This Row],[CODIGO]],LISTADO[CODIGOS],LISTADO[PRODUCTOS]),"NO EXISTE")</f>
        <v/>
      </c>
      <c r="E386" s="19" t="n">
        <v>46074</v>
      </c>
      <c r="F386" s="18" t="n">
        <v>1</v>
      </c>
      <c r="G386" s="18" t="inlineStr">
        <is>
          <t>INVENTARIO</t>
        </is>
      </c>
      <c r="H386" s="18" t="n"/>
      <c r="I386" s="45" t="n"/>
      <c r="J386" s="77" t="n"/>
      <c r="K386" s="18" t="n"/>
    </row>
    <row r="387">
      <c r="A387" s="18" t="n">
        <v>352</v>
      </c>
      <c r="B387" s="56" t="inlineStr">
        <is>
          <t>00065-HER</t>
        </is>
      </c>
      <c r="C387" s="56">
        <f>IFERROR(_xlfn.XLOOKUP(ENTRADAS[[#This Row],[CODIGO]],LISTADO[CODIGOS],LISTADO[CATEGORIA]),"NO EXISTE")</f>
        <v/>
      </c>
      <c r="D387" s="56">
        <f>IFERROR(_xlfn.XLOOKUP(ENTRADAS[[#This Row],[CODIGO]],LISTADO[CODIGOS],LISTADO[PRODUCTOS]),"NO EXISTE")</f>
        <v/>
      </c>
      <c r="E387" s="19" t="n">
        <v>46074</v>
      </c>
      <c r="F387" s="18" t="n">
        <v>1</v>
      </c>
      <c r="G387" s="18" t="inlineStr">
        <is>
          <t>INVENTARIO</t>
        </is>
      </c>
      <c r="H387" s="18" t="n"/>
      <c r="I387" s="45" t="n"/>
      <c r="J387" s="77" t="n"/>
      <c r="K387" s="18" t="n"/>
    </row>
    <row r="388">
      <c r="A388" s="18" t="n">
        <v>353</v>
      </c>
      <c r="B388" s="56" t="inlineStr">
        <is>
          <t>00032-HER</t>
        </is>
      </c>
      <c r="C388" s="56">
        <f>IFERROR(_xlfn.XLOOKUP(ENTRADAS[[#This Row],[CODIGO]],LISTADO[CODIGOS],LISTADO[CATEGORIA]),"NO EXISTE")</f>
        <v/>
      </c>
      <c r="D388" s="56">
        <f>IFERROR(_xlfn.XLOOKUP(ENTRADAS[[#This Row],[CODIGO]],LISTADO[CODIGOS],LISTADO[PRODUCTOS]),"NO EXISTE")</f>
        <v/>
      </c>
      <c r="E388" s="19" t="n">
        <v>46074</v>
      </c>
      <c r="F388" s="18" t="n">
        <v>1</v>
      </c>
      <c r="G388" s="18" t="inlineStr">
        <is>
          <t>INVENTARIO</t>
        </is>
      </c>
      <c r="H388" s="18" t="n"/>
      <c r="I388" s="45" t="n"/>
      <c r="J388" s="77" t="n"/>
      <c r="K388" s="18" t="n"/>
    </row>
    <row r="389">
      <c r="A389" s="18" t="n">
        <v>354</v>
      </c>
      <c r="B389" s="56" t="inlineStr">
        <is>
          <t>00003-AUT</t>
        </is>
      </c>
      <c r="C389" s="56">
        <f>IFERROR(_xlfn.XLOOKUP(ENTRADAS[[#This Row],[CODIGO]],LISTADO[CODIGOS],LISTADO[CATEGORIA]),"NO EXISTE")</f>
        <v/>
      </c>
      <c r="D389" s="56">
        <f>IFERROR(_xlfn.XLOOKUP(ENTRADAS[[#This Row],[CODIGO]],LISTADO[CODIGOS],LISTADO[PRODUCTOS]),"NO EXISTE")</f>
        <v/>
      </c>
      <c r="E389" s="19" t="n">
        <v>46074</v>
      </c>
      <c r="F389" s="18" t="n">
        <v>1</v>
      </c>
      <c r="G389" s="18" t="inlineStr">
        <is>
          <t>INVENTARIO</t>
        </is>
      </c>
      <c r="H389" s="18" t="n"/>
      <c r="I389" s="45" t="n"/>
      <c r="J389" s="77" t="n"/>
      <c r="K389" s="18" t="n"/>
    </row>
    <row r="390">
      <c r="A390" s="18" t="n">
        <v>355</v>
      </c>
      <c r="B390" s="56" t="inlineStr">
        <is>
          <t>00002-AUT</t>
        </is>
      </c>
      <c r="C390" s="56">
        <f>IFERROR(_xlfn.XLOOKUP(ENTRADAS[[#This Row],[CODIGO]],LISTADO[CODIGOS],LISTADO[CATEGORIA]),"NO EXISTE")</f>
        <v/>
      </c>
      <c r="D390" s="56">
        <f>IFERROR(_xlfn.XLOOKUP(ENTRADAS[[#This Row],[CODIGO]],LISTADO[CODIGOS],LISTADO[PRODUCTOS]),"NO EXISTE")</f>
        <v/>
      </c>
      <c r="E390" s="19" t="n">
        <v>46074</v>
      </c>
      <c r="F390" s="18" t="n">
        <v>1</v>
      </c>
      <c r="G390" s="18" t="inlineStr">
        <is>
          <t>INVENTARIO</t>
        </is>
      </c>
      <c r="H390" s="18" t="n"/>
      <c r="I390" s="45" t="n"/>
      <c r="J390" s="77" t="n"/>
      <c r="K390" s="18" t="n"/>
    </row>
    <row r="391">
      <c r="A391" s="18" t="n">
        <v>356</v>
      </c>
      <c r="B391" s="56" t="inlineStr">
        <is>
          <t>00001-AUT</t>
        </is>
      </c>
      <c r="C391" s="56">
        <f>IFERROR(_xlfn.XLOOKUP(ENTRADAS[[#This Row],[CODIGO]],LISTADO[CODIGOS],LISTADO[CATEGORIA]),"NO EXISTE")</f>
        <v/>
      </c>
      <c r="D391" s="56">
        <f>IFERROR(_xlfn.XLOOKUP(ENTRADAS[[#This Row],[CODIGO]],LISTADO[CODIGOS],LISTADO[PRODUCTOS]),"NO EXISTE")</f>
        <v/>
      </c>
      <c r="E391" s="19" t="n">
        <v>46074</v>
      </c>
      <c r="F391" s="18" t="n">
        <v>1</v>
      </c>
      <c r="G391" s="18" t="inlineStr">
        <is>
          <t>INVENTARIO</t>
        </is>
      </c>
      <c r="H391" s="18" t="n"/>
      <c r="I391" s="45" t="n"/>
      <c r="J391" s="77" t="n"/>
      <c r="K391" s="18" t="n"/>
    </row>
    <row r="392">
      <c r="A392" s="18" t="n">
        <v>357</v>
      </c>
      <c r="B392" s="56" t="inlineStr">
        <is>
          <t>00016-HER</t>
        </is>
      </c>
      <c r="C392" s="56">
        <f>IFERROR(_xlfn.XLOOKUP(ENTRADAS[[#This Row],[CODIGO]],LISTADO[CODIGOS],LISTADO[CATEGORIA]),"NO EXISTE")</f>
        <v/>
      </c>
      <c r="D392" s="56">
        <f>IFERROR(_xlfn.XLOOKUP(ENTRADAS[[#This Row],[CODIGO]],LISTADO[CODIGOS],LISTADO[PRODUCTOS]),"NO EXISTE")</f>
        <v/>
      </c>
      <c r="E392" s="19" t="n">
        <v>46074</v>
      </c>
      <c r="F392" s="18" t="n">
        <v>1</v>
      </c>
      <c r="G392" s="18" t="inlineStr">
        <is>
          <t>INVENTARIO</t>
        </is>
      </c>
      <c r="H392" s="18" t="n"/>
      <c r="I392" s="45" t="n"/>
      <c r="J392" s="77" t="n"/>
      <c r="K392" s="18" t="n"/>
    </row>
    <row r="393">
      <c r="A393" s="18" t="n">
        <v>358</v>
      </c>
      <c r="B393" s="56" t="inlineStr">
        <is>
          <t>00018-HER</t>
        </is>
      </c>
      <c r="C393" s="56">
        <f>IFERROR(_xlfn.XLOOKUP(ENTRADAS[[#This Row],[CODIGO]],LISTADO[CODIGOS],LISTADO[CATEGORIA]),"NO EXISTE")</f>
        <v/>
      </c>
      <c r="D393" s="56">
        <f>IFERROR(_xlfn.XLOOKUP(ENTRADAS[[#This Row],[CODIGO]],LISTADO[CODIGOS],LISTADO[PRODUCTOS]),"NO EXISTE")</f>
        <v/>
      </c>
      <c r="E393" s="19" t="n">
        <v>46074</v>
      </c>
      <c r="F393" s="18" t="n">
        <v>1</v>
      </c>
      <c r="G393" s="18" t="inlineStr">
        <is>
          <t>INVENTARIO</t>
        </is>
      </c>
      <c r="H393" s="18" t="n"/>
      <c r="I393" s="45" t="n"/>
      <c r="J393" s="77" t="n"/>
      <c r="K393" s="18" t="n"/>
    </row>
    <row r="394">
      <c r="A394" s="18" t="n">
        <v>359</v>
      </c>
      <c r="B394" s="56" t="inlineStr">
        <is>
          <t>00073-HER</t>
        </is>
      </c>
      <c r="C394" s="56">
        <f>IFERROR(_xlfn.XLOOKUP(ENTRADAS[[#This Row],[CODIGO]],LISTADO[CODIGOS],LISTADO[CATEGORIA]),"NO EXISTE")</f>
        <v/>
      </c>
      <c r="D394" s="56">
        <f>IFERROR(_xlfn.XLOOKUP(ENTRADAS[[#This Row],[CODIGO]],LISTADO[CODIGOS],LISTADO[PRODUCTOS]),"NO EXISTE")</f>
        <v/>
      </c>
      <c r="E394" s="19" t="n">
        <v>46074</v>
      </c>
      <c r="F394" s="18" t="n">
        <v>1</v>
      </c>
      <c r="G394" s="18" t="inlineStr">
        <is>
          <t>INVENTARIO</t>
        </is>
      </c>
      <c r="H394" s="18" t="n"/>
      <c r="I394" s="45" t="n"/>
      <c r="J394" s="77" t="n"/>
      <c r="K394" s="18" t="n"/>
    </row>
    <row r="395">
      <c r="A395" s="18" t="n">
        <v>360</v>
      </c>
      <c r="B395" s="56" t="inlineStr">
        <is>
          <t>00017-HER</t>
        </is>
      </c>
      <c r="C395" s="56">
        <f>IFERROR(_xlfn.XLOOKUP(ENTRADAS[[#This Row],[CODIGO]],LISTADO[CODIGOS],LISTADO[CATEGORIA]),"NO EXISTE")</f>
        <v/>
      </c>
      <c r="D395" s="56">
        <f>IFERROR(_xlfn.XLOOKUP(ENTRADAS[[#This Row],[CODIGO]],LISTADO[CODIGOS],LISTADO[PRODUCTOS]),"NO EXISTE")</f>
        <v/>
      </c>
      <c r="E395" s="19" t="n">
        <v>46074</v>
      </c>
      <c r="F395" s="18" t="n">
        <v>1</v>
      </c>
      <c r="G395" s="18" t="inlineStr">
        <is>
          <t>INVENTARIO</t>
        </is>
      </c>
      <c r="H395" s="18" t="n"/>
      <c r="I395" s="45" t="n"/>
      <c r="J395" s="77" t="n"/>
      <c r="K395" s="18" t="n"/>
    </row>
    <row r="396">
      <c r="A396" s="18" t="n">
        <v>361</v>
      </c>
      <c r="B396" s="56" t="inlineStr">
        <is>
          <t>00086-HER</t>
        </is>
      </c>
      <c r="C396" s="56">
        <f>IFERROR(_xlfn.XLOOKUP(ENTRADAS[[#This Row],[CODIGO]],LISTADO[CODIGOS],LISTADO[CATEGORIA]),"NO EXISTE")</f>
        <v/>
      </c>
      <c r="D396" s="56">
        <f>IFERROR(_xlfn.XLOOKUP(ENTRADAS[[#This Row],[CODIGO]],LISTADO[CODIGOS],LISTADO[PRODUCTOS]),"NO EXISTE")</f>
        <v/>
      </c>
      <c r="E396" s="19" t="n">
        <v>46074</v>
      </c>
      <c r="F396" s="18" t="n">
        <v>1</v>
      </c>
      <c r="G396" s="18" t="inlineStr">
        <is>
          <t>INVENTARIO</t>
        </is>
      </c>
      <c r="H396" s="18" t="n"/>
      <c r="I396" s="45" t="n"/>
      <c r="J396" s="77" t="n"/>
      <c r="K396" s="18" t="n"/>
    </row>
    <row r="397">
      <c r="A397" s="18" t="n">
        <v>362</v>
      </c>
      <c r="B397" s="56" t="inlineStr">
        <is>
          <t>00074-HER</t>
        </is>
      </c>
      <c r="C397" s="56">
        <f>IFERROR(_xlfn.XLOOKUP(ENTRADAS[[#This Row],[CODIGO]],LISTADO[CODIGOS],LISTADO[CATEGORIA]),"NO EXISTE")</f>
        <v/>
      </c>
      <c r="D397" s="56">
        <f>IFERROR(_xlfn.XLOOKUP(ENTRADAS[[#This Row],[CODIGO]],LISTADO[CODIGOS],LISTADO[PRODUCTOS]),"NO EXISTE")</f>
        <v/>
      </c>
      <c r="E397" s="19" t="n">
        <v>46074</v>
      </c>
      <c r="F397" s="18" t="n">
        <v>1</v>
      </c>
      <c r="G397" s="18" t="inlineStr">
        <is>
          <t>INVENTARIO</t>
        </is>
      </c>
      <c r="H397" s="18" t="n"/>
      <c r="I397" s="45" t="n"/>
      <c r="J397" s="77" t="n"/>
      <c r="K397" s="18" t="n"/>
    </row>
    <row r="398">
      <c r="A398" s="18" t="n">
        <v>363</v>
      </c>
      <c r="B398" s="56" t="inlineStr">
        <is>
          <t>00026-HER</t>
        </is>
      </c>
      <c r="C398" s="56">
        <f>IFERROR(_xlfn.XLOOKUP(ENTRADAS[[#This Row],[CODIGO]],LISTADO[CODIGOS],LISTADO[CATEGORIA]),"NO EXISTE")</f>
        <v/>
      </c>
      <c r="D398" s="56">
        <f>IFERROR(_xlfn.XLOOKUP(ENTRADAS[[#This Row],[CODIGO]],LISTADO[CODIGOS],LISTADO[PRODUCTOS]),"NO EXISTE")</f>
        <v/>
      </c>
      <c r="E398" s="19" t="n">
        <v>46074</v>
      </c>
      <c r="F398" s="18" t="n">
        <v>2</v>
      </c>
      <c r="G398" s="18" t="inlineStr">
        <is>
          <t>INVENTARIO</t>
        </is>
      </c>
      <c r="H398" s="18" t="n"/>
      <c r="I398" s="45" t="n"/>
      <c r="J398" s="77" t="n"/>
      <c r="K398" s="18" t="n"/>
    </row>
    <row r="399">
      <c r="A399" s="18" t="n">
        <v>364</v>
      </c>
      <c r="B399" s="56" t="inlineStr">
        <is>
          <t>00001-HER</t>
        </is>
      </c>
      <c r="C399" s="56">
        <f>IFERROR(_xlfn.XLOOKUP(ENTRADAS[[#This Row],[CODIGO]],LISTADO[CODIGOS],LISTADO[CATEGORIA]),"NO EXISTE")</f>
        <v/>
      </c>
      <c r="D399" s="56">
        <f>IFERROR(_xlfn.XLOOKUP(ENTRADAS[[#This Row],[CODIGO]],LISTADO[CODIGOS],LISTADO[PRODUCTOS]),"NO EXISTE")</f>
        <v/>
      </c>
      <c r="E399" s="19" t="n">
        <v>46074</v>
      </c>
      <c r="F399" s="18" t="n">
        <v>1</v>
      </c>
      <c r="G399" s="18" t="inlineStr">
        <is>
          <t>INVENTARIO</t>
        </is>
      </c>
      <c r="H399" s="18" t="n"/>
      <c r="I399" s="45" t="n"/>
      <c r="J399" s="77" t="n"/>
      <c r="K399" s="18" t="n"/>
    </row>
    <row r="400">
      <c r="A400" s="18" t="n">
        <v>365</v>
      </c>
      <c r="B400" s="56" t="inlineStr">
        <is>
          <t>00002-HER</t>
        </is>
      </c>
      <c r="C400" s="56">
        <f>IFERROR(_xlfn.XLOOKUP(ENTRADAS[[#This Row],[CODIGO]],LISTADO[CODIGOS],LISTADO[CATEGORIA]),"NO EXISTE")</f>
        <v/>
      </c>
      <c r="D400" s="56">
        <f>IFERROR(_xlfn.XLOOKUP(ENTRADAS[[#This Row],[CODIGO]],LISTADO[CODIGOS],LISTADO[PRODUCTOS]),"NO EXISTE")</f>
        <v/>
      </c>
      <c r="E400" s="19" t="n">
        <v>46074</v>
      </c>
      <c r="F400" s="18" t="n">
        <v>1</v>
      </c>
      <c r="G400" s="18" t="inlineStr">
        <is>
          <t>INVENTARIO</t>
        </is>
      </c>
      <c r="H400" s="18" t="n"/>
      <c r="I400" s="45" t="n"/>
      <c r="J400" s="77" t="n"/>
      <c r="K400" s="18" t="n"/>
    </row>
    <row r="401">
      <c r="A401" s="18" t="n">
        <v>366</v>
      </c>
      <c r="B401" s="56" t="inlineStr">
        <is>
          <t>00087-HER</t>
        </is>
      </c>
      <c r="C401" s="56">
        <f>IFERROR(_xlfn.XLOOKUP(ENTRADAS[[#This Row],[CODIGO]],LISTADO[CODIGOS],LISTADO[CATEGORIA]),"NO EXISTE")</f>
        <v/>
      </c>
      <c r="D401" s="56">
        <f>IFERROR(_xlfn.XLOOKUP(ENTRADAS[[#This Row],[CODIGO]],LISTADO[CODIGOS],LISTADO[PRODUCTOS]),"NO EXISTE")</f>
        <v/>
      </c>
      <c r="E401" s="19" t="n">
        <v>46074</v>
      </c>
      <c r="F401" s="18" t="n">
        <v>2</v>
      </c>
      <c r="G401" s="18" t="inlineStr">
        <is>
          <t>INVENTARIO</t>
        </is>
      </c>
      <c r="H401" s="18" t="n"/>
      <c r="I401" s="45" t="n"/>
      <c r="J401" s="77" t="n"/>
      <c r="K401" s="18" t="n"/>
    </row>
    <row r="402">
      <c r="A402" s="18" t="n">
        <v>367</v>
      </c>
      <c r="B402" s="56" t="inlineStr">
        <is>
          <t>00081-HER</t>
        </is>
      </c>
      <c r="C402" s="56">
        <f>IFERROR(_xlfn.XLOOKUP(ENTRADAS[[#This Row],[CODIGO]],LISTADO[CODIGOS],LISTADO[CATEGORIA]),"NO EXISTE")</f>
        <v/>
      </c>
      <c r="D402" s="56">
        <f>IFERROR(_xlfn.XLOOKUP(ENTRADAS[[#This Row],[CODIGO]],LISTADO[CODIGOS],LISTADO[PRODUCTOS]),"NO EXISTE")</f>
        <v/>
      </c>
      <c r="E402" s="19" t="n">
        <v>46074</v>
      </c>
      <c r="F402" s="18" t="n">
        <v>1</v>
      </c>
      <c r="G402" s="18" t="inlineStr">
        <is>
          <t>INVENTARIO</t>
        </is>
      </c>
      <c r="H402" s="18" t="n"/>
      <c r="I402" s="45" t="n"/>
      <c r="J402" s="77" t="n"/>
      <c r="K402" s="18" t="n"/>
    </row>
    <row r="403">
      <c r="A403" s="18" t="n">
        <v>368</v>
      </c>
      <c r="B403" s="56" t="inlineStr">
        <is>
          <t>00077-HER</t>
        </is>
      </c>
      <c r="C403" s="56">
        <f>IFERROR(_xlfn.XLOOKUP(ENTRADAS[[#This Row],[CODIGO]],LISTADO[CODIGOS],LISTADO[CATEGORIA]),"NO EXISTE")</f>
        <v/>
      </c>
      <c r="D403" s="56">
        <f>IFERROR(_xlfn.XLOOKUP(ENTRADAS[[#This Row],[CODIGO]],LISTADO[CODIGOS],LISTADO[PRODUCTOS]),"NO EXISTE")</f>
        <v/>
      </c>
      <c r="E403" s="19" t="n">
        <v>46074</v>
      </c>
      <c r="F403" s="18" t="n">
        <v>1</v>
      </c>
      <c r="G403" s="18" t="inlineStr">
        <is>
          <t>INVENTARIO</t>
        </is>
      </c>
      <c r="H403" s="18" t="n"/>
      <c r="I403" s="45" t="n"/>
      <c r="J403" s="77" t="n"/>
      <c r="K403" s="18" t="n"/>
    </row>
    <row r="404">
      <c r="A404" s="18" t="n">
        <v>369</v>
      </c>
      <c r="B404" s="56" t="inlineStr">
        <is>
          <t>00082-HER</t>
        </is>
      </c>
      <c r="C404" s="56">
        <f>IFERROR(_xlfn.XLOOKUP(ENTRADAS[[#This Row],[CODIGO]],LISTADO[CODIGOS],LISTADO[CATEGORIA]),"NO EXISTE")</f>
        <v/>
      </c>
      <c r="D404" s="56">
        <f>IFERROR(_xlfn.XLOOKUP(ENTRADAS[[#This Row],[CODIGO]],LISTADO[CODIGOS],LISTADO[PRODUCTOS]),"NO EXISTE")</f>
        <v/>
      </c>
      <c r="E404" s="19" t="n">
        <v>46074</v>
      </c>
      <c r="F404" s="18" t="n">
        <v>1</v>
      </c>
      <c r="G404" s="18" t="inlineStr">
        <is>
          <t>INVENTARIO</t>
        </is>
      </c>
      <c r="H404" s="18" t="n"/>
      <c r="I404" s="45" t="n"/>
      <c r="J404" s="77" t="n"/>
      <c r="K404" s="18" t="n"/>
    </row>
    <row r="405">
      <c r="A405" s="18" t="n">
        <v>370</v>
      </c>
      <c r="B405" s="56" t="inlineStr">
        <is>
          <t>00084-HER</t>
        </is>
      </c>
      <c r="C405" s="56">
        <f>IFERROR(_xlfn.XLOOKUP(ENTRADAS[[#This Row],[CODIGO]],LISTADO[CODIGOS],LISTADO[CATEGORIA]),"NO EXISTE")</f>
        <v/>
      </c>
      <c r="D405" s="56">
        <f>IFERROR(_xlfn.XLOOKUP(ENTRADAS[[#This Row],[CODIGO]],LISTADO[CODIGOS],LISTADO[PRODUCTOS]),"NO EXISTE")</f>
        <v/>
      </c>
      <c r="E405" s="19" t="n">
        <v>46074</v>
      </c>
      <c r="F405" s="18" t="n">
        <v>1</v>
      </c>
      <c r="G405" s="18" t="inlineStr">
        <is>
          <t>INVENTARIO</t>
        </is>
      </c>
      <c r="H405" s="18" t="n"/>
      <c r="I405" s="45" t="n"/>
      <c r="J405" s="77" t="n"/>
      <c r="K405" s="18" t="n"/>
    </row>
    <row r="406">
      <c r="A406" s="18" t="n">
        <v>371</v>
      </c>
      <c r="B406" s="56" t="inlineStr">
        <is>
          <t>00079-HER</t>
        </is>
      </c>
      <c r="C406" s="56">
        <f>IFERROR(_xlfn.XLOOKUP(ENTRADAS[[#This Row],[CODIGO]],LISTADO[CODIGOS],LISTADO[CATEGORIA]),"NO EXISTE")</f>
        <v/>
      </c>
      <c r="D406" s="56">
        <f>IFERROR(_xlfn.XLOOKUP(ENTRADAS[[#This Row],[CODIGO]],LISTADO[CODIGOS],LISTADO[PRODUCTOS]),"NO EXISTE")</f>
        <v/>
      </c>
      <c r="E406" s="19" t="n">
        <v>46074</v>
      </c>
      <c r="F406" s="18" t="n">
        <v>1</v>
      </c>
      <c r="G406" s="18" t="inlineStr">
        <is>
          <t>INVENTARIO</t>
        </is>
      </c>
      <c r="H406" s="18" t="n"/>
      <c r="I406" s="45" t="n"/>
      <c r="J406" s="77" t="n"/>
      <c r="K406" s="18" t="n"/>
    </row>
    <row r="407">
      <c r="A407" s="18" t="n">
        <v>372</v>
      </c>
      <c r="B407" s="56" t="inlineStr">
        <is>
          <t>00083-HER</t>
        </is>
      </c>
      <c r="C407" s="56">
        <f>IFERROR(_xlfn.XLOOKUP(ENTRADAS[[#This Row],[CODIGO]],LISTADO[CODIGOS],LISTADO[CATEGORIA]),"NO EXISTE")</f>
        <v/>
      </c>
      <c r="D407" s="56">
        <f>IFERROR(_xlfn.XLOOKUP(ENTRADAS[[#This Row],[CODIGO]],LISTADO[CODIGOS],LISTADO[PRODUCTOS]),"NO EXISTE")</f>
        <v/>
      </c>
      <c r="E407" s="19" t="n">
        <v>46074</v>
      </c>
      <c r="F407" s="18" t="n">
        <v>2</v>
      </c>
      <c r="G407" s="18" t="inlineStr">
        <is>
          <t>INVENTARIO</t>
        </is>
      </c>
      <c r="H407" s="18" t="n"/>
      <c r="I407" s="45" t="n"/>
      <c r="J407" s="77" t="n"/>
      <c r="K407" s="18" t="n"/>
    </row>
    <row r="408">
      <c r="A408" s="18" t="n">
        <v>373</v>
      </c>
      <c r="B408" s="56" t="inlineStr">
        <is>
          <t>00078-HER</t>
        </is>
      </c>
      <c r="C408" s="56">
        <f>IFERROR(_xlfn.XLOOKUP(ENTRADAS[[#This Row],[CODIGO]],LISTADO[CODIGOS],LISTADO[CATEGORIA]),"NO EXISTE")</f>
        <v/>
      </c>
      <c r="D408" s="56">
        <f>IFERROR(_xlfn.XLOOKUP(ENTRADAS[[#This Row],[CODIGO]],LISTADO[CODIGOS],LISTADO[PRODUCTOS]),"NO EXISTE")</f>
        <v/>
      </c>
      <c r="E408" s="19" t="n">
        <v>46074</v>
      </c>
      <c r="F408" s="18" t="n">
        <v>1</v>
      </c>
      <c r="G408" s="18" t="inlineStr">
        <is>
          <t>INVENTARIO</t>
        </is>
      </c>
      <c r="H408" s="18" t="n"/>
      <c r="I408" s="45" t="n"/>
      <c r="J408" s="77" t="n"/>
      <c r="K408" s="18" t="n"/>
    </row>
    <row r="409">
      <c r="A409" s="18" t="n">
        <v>374</v>
      </c>
      <c r="B409" s="56" t="inlineStr">
        <is>
          <t>00080-HER</t>
        </is>
      </c>
      <c r="C409" s="56">
        <f>IFERROR(_xlfn.XLOOKUP(ENTRADAS[[#This Row],[CODIGO]],LISTADO[CODIGOS],LISTADO[CATEGORIA]),"NO EXISTE")</f>
        <v/>
      </c>
      <c r="D409" s="56">
        <f>IFERROR(_xlfn.XLOOKUP(ENTRADAS[[#This Row],[CODIGO]],LISTADO[CODIGOS],LISTADO[PRODUCTOS]),"NO EXISTE")</f>
        <v/>
      </c>
      <c r="E409" s="19" t="n">
        <v>46074</v>
      </c>
      <c r="F409" s="18" t="n">
        <v>1</v>
      </c>
      <c r="G409" s="18" t="inlineStr">
        <is>
          <t>INVENTARIO</t>
        </is>
      </c>
      <c r="H409" s="18" t="n"/>
      <c r="I409" s="45" t="n"/>
      <c r="J409" s="77" t="n"/>
      <c r="K409" s="18" t="n"/>
    </row>
    <row r="410">
      <c r="A410" s="18" t="n">
        <v>375</v>
      </c>
      <c r="B410" s="56" t="inlineStr">
        <is>
          <t>00085-HER</t>
        </is>
      </c>
      <c r="C410" s="56">
        <f>IFERROR(_xlfn.XLOOKUP(ENTRADAS[[#This Row],[CODIGO]],LISTADO[CODIGOS],LISTADO[CATEGORIA]),"NO EXISTE")</f>
        <v/>
      </c>
      <c r="D410" s="56">
        <f>IFERROR(_xlfn.XLOOKUP(ENTRADAS[[#This Row],[CODIGO]],LISTADO[CODIGOS],LISTADO[PRODUCTOS]),"NO EXISTE")</f>
        <v/>
      </c>
      <c r="E410" s="19" t="n">
        <v>46074</v>
      </c>
      <c r="F410" s="18" t="n">
        <v>1</v>
      </c>
      <c r="G410" s="18" t="inlineStr">
        <is>
          <t>INVENTARIO</t>
        </is>
      </c>
      <c r="H410" s="18" t="n"/>
      <c r="I410" s="45" t="n"/>
      <c r="J410" s="77" t="n"/>
      <c r="K410" s="18" t="n"/>
    </row>
    <row r="411">
      <c r="A411" s="18" t="n">
        <v>376</v>
      </c>
      <c r="B411" s="56" t="inlineStr">
        <is>
          <t>00075-HER</t>
        </is>
      </c>
      <c r="C411" s="56">
        <f>IFERROR(_xlfn.XLOOKUP(ENTRADAS[[#This Row],[CODIGO]],LISTADO[CODIGOS],LISTADO[CATEGORIA]),"NO EXISTE")</f>
        <v/>
      </c>
      <c r="D411" s="56">
        <f>IFERROR(_xlfn.XLOOKUP(ENTRADAS[[#This Row],[CODIGO]],LISTADO[CODIGOS],LISTADO[PRODUCTOS]),"NO EXISTE")</f>
        <v/>
      </c>
      <c r="E411" s="19" t="n">
        <v>46074</v>
      </c>
      <c r="F411" s="18" t="n">
        <v>1</v>
      </c>
      <c r="G411" s="18" t="inlineStr">
        <is>
          <t>INVENTARIO</t>
        </is>
      </c>
      <c r="H411" s="18" t="n"/>
      <c r="I411" s="45" t="n"/>
      <c r="J411" s="77" t="n"/>
      <c r="K411" s="18" t="n"/>
    </row>
    <row r="412">
      <c r="A412" s="18" t="n">
        <v>377</v>
      </c>
      <c r="B412" s="56" t="inlineStr">
        <is>
          <t>00076-HER</t>
        </is>
      </c>
      <c r="C412" s="56">
        <f>IFERROR(_xlfn.XLOOKUP(ENTRADAS[[#This Row],[CODIGO]],LISTADO[CODIGOS],LISTADO[CATEGORIA]),"NO EXISTE")</f>
        <v/>
      </c>
      <c r="D412" s="56">
        <f>IFERROR(_xlfn.XLOOKUP(ENTRADAS[[#This Row],[CODIGO]],LISTADO[CODIGOS],LISTADO[PRODUCTOS]),"NO EXISTE")</f>
        <v/>
      </c>
      <c r="E412" s="19" t="n">
        <v>46074</v>
      </c>
      <c r="F412" s="18" t="n">
        <v>1</v>
      </c>
      <c r="G412" s="18" t="inlineStr">
        <is>
          <t>INVENTARIO</t>
        </is>
      </c>
      <c r="H412" s="18" t="n"/>
      <c r="I412" s="45" t="n"/>
      <c r="J412" s="77" t="n"/>
      <c r="K412" s="18" t="n"/>
    </row>
    <row r="413">
      <c r="A413" s="18" t="n">
        <v>378</v>
      </c>
      <c r="B413" s="56" t="inlineStr">
        <is>
          <t>00022-HER</t>
        </is>
      </c>
      <c r="C413" s="56">
        <f>IFERROR(_xlfn.XLOOKUP(ENTRADAS[[#This Row],[CODIGO]],LISTADO[CODIGOS],LISTADO[CATEGORIA]),"NO EXISTE")</f>
        <v/>
      </c>
      <c r="D413" s="56">
        <f>IFERROR(_xlfn.XLOOKUP(ENTRADAS[[#This Row],[CODIGO]],LISTADO[CODIGOS],LISTADO[PRODUCTOS]),"NO EXISTE")</f>
        <v/>
      </c>
      <c r="E413" s="19" t="n">
        <v>46074</v>
      </c>
      <c r="F413" s="18" t="n">
        <v>1</v>
      </c>
      <c r="G413" s="18" t="inlineStr">
        <is>
          <t>INVENTARIO</t>
        </is>
      </c>
      <c r="H413" s="18" t="n"/>
      <c r="I413" s="45" t="n"/>
      <c r="J413" s="77" t="n"/>
      <c r="K413" s="18" t="n"/>
    </row>
    <row r="414">
      <c r="A414" s="18" t="n">
        <v>379</v>
      </c>
      <c r="B414" s="56" t="inlineStr">
        <is>
          <t>00010-HER</t>
        </is>
      </c>
      <c r="C414" s="56">
        <f>IFERROR(_xlfn.XLOOKUP(ENTRADAS[[#This Row],[CODIGO]],LISTADO[CODIGOS],LISTADO[CATEGORIA]),"NO EXISTE")</f>
        <v/>
      </c>
      <c r="D414" s="56">
        <f>IFERROR(_xlfn.XLOOKUP(ENTRADAS[[#This Row],[CODIGO]],LISTADO[CODIGOS],LISTADO[PRODUCTOS]),"NO EXISTE")</f>
        <v/>
      </c>
      <c r="E414" s="19" t="n">
        <v>46074</v>
      </c>
      <c r="F414" s="18" t="n">
        <v>1</v>
      </c>
      <c r="G414" s="18" t="inlineStr">
        <is>
          <t>INVENTARIO</t>
        </is>
      </c>
      <c r="H414" s="18" t="n"/>
      <c r="I414" s="45" t="n"/>
      <c r="J414" s="77" t="n"/>
      <c r="K414" s="18" t="n"/>
    </row>
    <row r="415">
      <c r="A415" s="18" t="n">
        <v>380</v>
      </c>
      <c r="B415" s="56" t="inlineStr">
        <is>
          <t>00011-HER</t>
        </is>
      </c>
      <c r="C415" s="56">
        <f>IFERROR(_xlfn.XLOOKUP(ENTRADAS[[#This Row],[CODIGO]],LISTADO[CODIGOS],LISTADO[CATEGORIA]),"NO EXISTE")</f>
        <v/>
      </c>
      <c r="D415" s="56">
        <f>IFERROR(_xlfn.XLOOKUP(ENTRADAS[[#This Row],[CODIGO]],LISTADO[CODIGOS],LISTADO[PRODUCTOS]),"NO EXISTE")</f>
        <v/>
      </c>
      <c r="E415" s="19" t="n">
        <v>46074</v>
      </c>
      <c r="F415" s="18" t="n">
        <v>1</v>
      </c>
      <c r="G415" s="18" t="inlineStr">
        <is>
          <t>INVENTARIO</t>
        </is>
      </c>
      <c r="H415" s="18" t="n"/>
      <c r="I415" s="45" t="n"/>
      <c r="J415" s="77" t="n"/>
      <c r="K415" s="18" t="n"/>
    </row>
    <row r="416">
      <c r="A416" s="18" t="n">
        <v>381</v>
      </c>
      <c r="B416" s="56" t="inlineStr">
        <is>
          <t>00071-HER</t>
        </is>
      </c>
      <c r="C416" s="56">
        <f>IFERROR(_xlfn.XLOOKUP(ENTRADAS[[#This Row],[CODIGO]],LISTADO[CODIGOS],LISTADO[CATEGORIA]),"NO EXISTE")</f>
        <v/>
      </c>
      <c r="D416" s="56">
        <f>IFERROR(_xlfn.XLOOKUP(ENTRADAS[[#This Row],[CODIGO]],LISTADO[CODIGOS],LISTADO[PRODUCTOS]),"NO EXISTE")</f>
        <v/>
      </c>
      <c r="E416" s="19" t="n">
        <v>46074</v>
      </c>
      <c r="F416" s="18" t="n">
        <v>1</v>
      </c>
      <c r="G416" s="18" t="inlineStr">
        <is>
          <t>INVENTARIO</t>
        </is>
      </c>
      <c r="H416" s="18" t="n"/>
      <c r="I416" s="45" t="n"/>
      <c r="J416" s="77" t="n"/>
      <c r="K416" s="18" t="n"/>
    </row>
    <row r="417">
      <c r="A417" s="18" t="n">
        <v>382</v>
      </c>
      <c r="B417" s="56" t="inlineStr">
        <is>
          <t>00064-HER</t>
        </is>
      </c>
      <c r="C417" s="56">
        <f>IFERROR(_xlfn.XLOOKUP(ENTRADAS[[#This Row],[CODIGO]],LISTADO[CODIGOS],LISTADO[CATEGORIA]),"NO EXISTE")</f>
        <v/>
      </c>
      <c r="D417" s="56">
        <f>IFERROR(_xlfn.XLOOKUP(ENTRADAS[[#This Row],[CODIGO]],LISTADO[CODIGOS],LISTADO[PRODUCTOS]),"NO EXISTE")</f>
        <v/>
      </c>
      <c r="E417" s="19" t="n">
        <v>46074</v>
      </c>
      <c r="F417" s="18" t="n">
        <v>1</v>
      </c>
      <c r="G417" s="18" t="inlineStr">
        <is>
          <t>INVENTARIO</t>
        </is>
      </c>
      <c r="H417" s="18" t="n"/>
      <c r="I417" s="45" t="n"/>
      <c r="J417" s="77" t="n"/>
      <c r="K417" s="18" t="n"/>
    </row>
    <row r="418">
      <c r="A418" s="18" t="n">
        <v>383</v>
      </c>
      <c r="B418" s="56" t="inlineStr">
        <is>
          <t>00046-HER</t>
        </is>
      </c>
      <c r="C418" s="56">
        <f>IFERROR(_xlfn.XLOOKUP(ENTRADAS[[#This Row],[CODIGO]],LISTADO[CODIGOS],LISTADO[CATEGORIA]),"NO EXISTE")</f>
        <v/>
      </c>
      <c r="D418" s="56">
        <f>IFERROR(_xlfn.XLOOKUP(ENTRADAS[[#This Row],[CODIGO]],LISTADO[CODIGOS],LISTADO[PRODUCTOS]),"NO EXISTE")</f>
        <v/>
      </c>
      <c r="E418" s="19" t="n">
        <v>46074</v>
      </c>
      <c r="F418" s="18" t="n">
        <v>1</v>
      </c>
      <c r="G418" s="18" t="inlineStr">
        <is>
          <t>INVENTARIO</t>
        </is>
      </c>
      <c r="H418" s="18" t="n"/>
      <c r="I418" s="45" t="n"/>
      <c r="J418" s="77" t="n"/>
      <c r="K418" s="18" t="n"/>
    </row>
    <row r="419">
      <c r="A419" s="18" t="n">
        <v>384</v>
      </c>
      <c r="B419" s="56" t="inlineStr">
        <is>
          <t>00045-HER</t>
        </is>
      </c>
      <c r="C419" s="56">
        <f>IFERROR(_xlfn.XLOOKUP(ENTRADAS[[#This Row],[CODIGO]],LISTADO[CODIGOS],LISTADO[CATEGORIA]),"NO EXISTE")</f>
        <v/>
      </c>
      <c r="D419" s="56">
        <f>IFERROR(_xlfn.XLOOKUP(ENTRADAS[[#This Row],[CODIGO]],LISTADO[CODIGOS],LISTADO[PRODUCTOS]),"NO EXISTE")</f>
        <v/>
      </c>
      <c r="E419" s="19" t="n">
        <v>46074</v>
      </c>
      <c r="F419" s="18" t="n">
        <v>1</v>
      </c>
      <c r="G419" s="18" t="inlineStr">
        <is>
          <t>INVENTARIO</t>
        </is>
      </c>
      <c r="H419" s="18" t="n"/>
      <c r="I419" s="45" t="n"/>
      <c r="J419" s="77" t="n"/>
      <c r="K419" s="18" t="n"/>
    </row>
    <row r="420">
      <c r="A420" s="18" t="n">
        <v>385</v>
      </c>
      <c r="B420" s="56" t="inlineStr">
        <is>
          <t>00019-HER</t>
        </is>
      </c>
      <c r="C420" s="56">
        <f>IFERROR(_xlfn.XLOOKUP(ENTRADAS[[#This Row],[CODIGO]],LISTADO[CODIGOS],LISTADO[CATEGORIA]),"NO EXISTE")</f>
        <v/>
      </c>
      <c r="D420" s="56">
        <f>IFERROR(_xlfn.XLOOKUP(ENTRADAS[[#This Row],[CODIGO]],LISTADO[CODIGOS],LISTADO[PRODUCTOS]),"NO EXISTE")</f>
        <v/>
      </c>
      <c r="E420" s="19" t="n">
        <v>46074</v>
      </c>
      <c r="F420" s="18" t="n">
        <v>1</v>
      </c>
      <c r="G420" s="18" t="inlineStr">
        <is>
          <t>INVENTARIO</t>
        </is>
      </c>
      <c r="H420" s="18" t="n"/>
      <c r="I420" s="45" t="n"/>
      <c r="J420" s="77" t="n"/>
      <c r="K420" s="18" t="n"/>
    </row>
    <row r="421">
      <c r="A421" s="18" t="n">
        <v>386</v>
      </c>
      <c r="B421" s="56" t="inlineStr">
        <is>
          <t>00053-HER</t>
        </is>
      </c>
      <c r="C421" s="56">
        <f>IFERROR(_xlfn.XLOOKUP(ENTRADAS[[#This Row],[CODIGO]],LISTADO[CODIGOS],LISTADO[CATEGORIA]),"NO EXISTE")</f>
        <v/>
      </c>
      <c r="D421" s="56">
        <f>IFERROR(_xlfn.XLOOKUP(ENTRADAS[[#This Row],[CODIGO]],LISTADO[CODIGOS],LISTADO[PRODUCTOS]),"NO EXISTE")</f>
        <v/>
      </c>
      <c r="E421" s="19" t="n">
        <v>46074</v>
      </c>
      <c r="F421" s="18" t="n">
        <v>3</v>
      </c>
      <c r="G421" s="18" t="inlineStr">
        <is>
          <t>INVENTARIO</t>
        </is>
      </c>
      <c r="H421" s="18" t="n"/>
      <c r="I421" s="45" t="n"/>
      <c r="J421" s="77" t="n"/>
      <c r="K421" s="18" t="n"/>
    </row>
    <row r="422">
      <c r="A422" s="18" t="n">
        <v>387</v>
      </c>
      <c r="B422" s="56" t="inlineStr">
        <is>
          <t>00055-HER</t>
        </is>
      </c>
      <c r="C422" s="56">
        <f>IFERROR(_xlfn.XLOOKUP(ENTRADAS[[#This Row],[CODIGO]],LISTADO[CODIGOS],LISTADO[CATEGORIA]),"NO EXISTE")</f>
        <v/>
      </c>
      <c r="D422" s="56">
        <f>IFERROR(_xlfn.XLOOKUP(ENTRADAS[[#This Row],[CODIGO]],LISTADO[CODIGOS],LISTADO[PRODUCTOS]),"NO EXISTE")</f>
        <v/>
      </c>
      <c r="E422" s="19" t="n">
        <v>46074</v>
      </c>
      <c r="F422" s="18" t="n">
        <v>3</v>
      </c>
      <c r="G422" s="18" t="inlineStr">
        <is>
          <t>INVENTARIO</t>
        </is>
      </c>
      <c r="H422" s="18" t="n"/>
      <c r="I422" s="45" t="n"/>
      <c r="J422" s="77" t="n"/>
      <c r="K422" s="18" t="n"/>
    </row>
    <row r="423">
      <c r="A423" s="18" t="n">
        <v>388</v>
      </c>
      <c r="B423" s="56" t="inlineStr">
        <is>
          <t>00054-HER</t>
        </is>
      </c>
      <c r="C423" s="56">
        <f>IFERROR(_xlfn.XLOOKUP(ENTRADAS[[#This Row],[CODIGO]],LISTADO[CODIGOS],LISTADO[CATEGORIA]),"NO EXISTE")</f>
        <v/>
      </c>
      <c r="D423" s="56">
        <f>IFERROR(_xlfn.XLOOKUP(ENTRADAS[[#This Row],[CODIGO]],LISTADO[CODIGOS],LISTADO[PRODUCTOS]),"NO EXISTE")</f>
        <v/>
      </c>
      <c r="E423" s="19" t="n">
        <v>46074</v>
      </c>
      <c r="F423" s="18" t="n">
        <v>3</v>
      </c>
      <c r="G423" s="18" t="inlineStr">
        <is>
          <t>INVENTARIO</t>
        </is>
      </c>
      <c r="H423" s="18" t="n"/>
      <c r="I423" s="45" t="n"/>
      <c r="J423" s="77" t="n"/>
      <c r="K423" s="18" t="n"/>
    </row>
    <row r="424">
      <c r="A424" s="18" t="n">
        <v>389</v>
      </c>
      <c r="B424" s="56" t="inlineStr">
        <is>
          <t>00059-HER</t>
        </is>
      </c>
      <c r="C424" s="56">
        <f>IFERROR(_xlfn.XLOOKUP(ENTRADAS[[#This Row],[CODIGO]],LISTADO[CODIGOS],LISTADO[CATEGORIA]),"NO EXISTE")</f>
        <v/>
      </c>
      <c r="D424" s="56">
        <f>IFERROR(_xlfn.XLOOKUP(ENTRADAS[[#This Row],[CODIGO]],LISTADO[CODIGOS],LISTADO[PRODUCTOS]),"NO EXISTE")</f>
        <v/>
      </c>
      <c r="E424" s="19" t="n">
        <v>46074</v>
      </c>
      <c r="F424" s="18" t="n">
        <v>3</v>
      </c>
      <c r="G424" s="18" t="inlineStr">
        <is>
          <t>INVENTARIO</t>
        </is>
      </c>
      <c r="H424" s="18" t="n"/>
      <c r="I424" s="45" t="n"/>
      <c r="J424" s="77" t="n"/>
      <c r="K424" s="18" t="n"/>
    </row>
    <row r="425">
      <c r="A425" s="18" t="n">
        <v>390</v>
      </c>
      <c r="B425" s="56" t="inlineStr">
        <is>
          <t>00058-HER</t>
        </is>
      </c>
      <c r="C425" s="56">
        <f>IFERROR(_xlfn.XLOOKUP(ENTRADAS[[#This Row],[CODIGO]],LISTADO[CODIGOS],LISTADO[CATEGORIA]),"NO EXISTE")</f>
        <v/>
      </c>
      <c r="D425" s="56">
        <f>IFERROR(_xlfn.XLOOKUP(ENTRADAS[[#This Row],[CODIGO]],LISTADO[CODIGOS],LISTADO[PRODUCTOS]),"NO EXISTE")</f>
        <v/>
      </c>
      <c r="E425" s="19" t="n">
        <v>46074</v>
      </c>
      <c r="F425" s="18" t="n">
        <v>1</v>
      </c>
      <c r="G425" s="18" t="inlineStr">
        <is>
          <t>INVENTARIO</t>
        </is>
      </c>
      <c r="H425" s="18" t="n"/>
      <c r="I425" s="45" t="n"/>
      <c r="J425" s="77" t="n"/>
      <c r="K425" s="18" t="n"/>
    </row>
    <row r="426">
      <c r="A426" s="18" t="n">
        <v>391</v>
      </c>
      <c r="B426" s="56" t="inlineStr">
        <is>
          <t>00057-HER</t>
        </is>
      </c>
      <c r="C426" s="56">
        <f>IFERROR(_xlfn.XLOOKUP(ENTRADAS[[#This Row],[CODIGO]],LISTADO[CODIGOS],LISTADO[CATEGORIA]),"NO EXISTE")</f>
        <v/>
      </c>
      <c r="D426" s="56">
        <f>IFERROR(_xlfn.XLOOKUP(ENTRADAS[[#This Row],[CODIGO]],LISTADO[CODIGOS],LISTADO[PRODUCTOS]),"NO EXISTE")</f>
        <v/>
      </c>
      <c r="E426" s="19" t="n">
        <v>46074</v>
      </c>
      <c r="F426" s="18" t="n">
        <v>2</v>
      </c>
      <c r="G426" s="18" t="inlineStr">
        <is>
          <t>INVENTARIO</t>
        </is>
      </c>
      <c r="H426" s="18" t="n"/>
      <c r="I426" s="45" t="n"/>
      <c r="J426" s="77" t="n"/>
      <c r="K426" s="18" t="n"/>
    </row>
    <row r="427">
      <c r="A427" s="18" t="n">
        <v>392</v>
      </c>
      <c r="B427" s="56" t="inlineStr">
        <is>
          <t>00056-HER</t>
        </is>
      </c>
      <c r="C427" s="56">
        <f>IFERROR(_xlfn.XLOOKUP(ENTRADAS[[#This Row],[CODIGO]],LISTADO[CODIGOS],LISTADO[CATEGORIA]),"NO EXISTE")</f>
        <v/>
      </c>
      <c r="D427" s="56">
        <f>IFERROR(_xlfn.XLOOKUP(ENTRADAS[[#This Row],[CODIGO]],LISTADO[CODIGOS],LISTADO[PRODUCTOS]),"NO EXISTE")</f>
        <v/>
      </c>
      <c r="E427" s="19" t="n">
        <v>46074</v>
      </c>
      <c r="F427" s="18" t="n">
        <v>5</v>
      </c>
      <c r="G427" s="18" t="inlineStr">
        <is>
          <t>INVENTARIO</t>
        </is>
      </c>
      <c r="H427" s="18" t="n"/>
      <c r="I427" s="45" t="n"/>
      <c r="J427" s="77" t="n"/>
      <c r="K427" s="18" t="n"/>
    </row>
    <row r="428">
      <c r="A428" s="18" t="n">
        <v>393</v>
      </c>
      <c r="B428" s="56" t="inlineStr">
        <is>
          <t>00068-HER</t>
        </is>
      </c>
      <c r="C428" s="56">
        <f>IFERROR(_xlfn.XLOOKUP(ENTRADAS[[#This Row],[CODIGO]],LISTADO[CODIGOS],LISTADO[CATEGORIA]),"NO EXISTE")</f>
        <v/>
      </c>
      <c r="D428" s="56">
        <f>IFERROR(_xlfn.XLOOKUP(ENTRADAS[[#This Row],[CODIGO]],LISTADO[CODIGOS],LISTADO[PRODUCTOS]),"NO EXISTE")</f>
        <v/>
      </c>
      <c r="E428" s="19" t="n">
        <v>46074</v>
      </c>
      <c r="F428" s="18" t="n">
        <v>1</v>
      </c>
      <c r="G428" s="18" t="inlineStr">
        <is>
          <t>INVENTARIO</t>
        </is>
      </c>
      <c r="H428" s="18" t="n"/>
      <c r="I428" s="45" t="n"/>
      <c r="J428" s="77" t="n"/>
      <c r="K428" s="18" t="n"/>
    </row>
    <row r="429">
      <c r="A429" s="18" t="n">
        <v>394</v>
      </c>
      <c r="B429" s="56" t="inlineStr">
        <is>
          <t>00069-HER</t>
        </is>
      </c>
      <c r="C429" s="56">
        <f>IFERROR(_xlfn.XLOOKUP(ENTRADAS[[#This Row],[CODIGO]],LISTADO[CODIGOS],LISTADO[CATEGORIA]),"NO EXISTE")</f>
        <v/>
      </c>
      <c r="D429" s="56">
        <f>IFERROR(_xlfn.XLOOKUP(ENTRADAS[[#This Row],[CODIGO]],LISTADO[CODIGOS],LISTADO[PRODUCTOS]),"NO EXISTE")</f>
        <v/>
      </c>
      <c r="E429" s="19" t="n">
        <v>46074</v>
      </c>
      <c r="F429" s="18" t="n">
        <v>1</v>
      </c>
      <c r="G429" s="18" t="inlineStr">
        <is>
          <t>INVENTARIO</t>
        </is>
      </c>
      <c r="H429" s="18" t="n"/>
      <c r="I429" s="45" t="n"/>
      <c r="J429" s="77" t="n"/>
      <c r="K429" s="18" t="n"/>
    </row>
    <row r="430">
      <c r="A430" s="18" t="n">
        <v>395</v>
      </c>
      <c r="B430" s="56" t="inlineStr">
        <is>
          <t>00023-HER</t>
        </is>
      </c>
      <c r="C430" s="56">
        <f>IFERROR(_xlfn.XLOOKUP(ENTRADAS[[#This Row],[CODIGO]],LISTADO[CODIGOS],LISTADO[CATEGORIA]),"NO EXISTE")</f>
        <v/>
      </c>
      <c r="D430" s="56">
        <f>IFERROR(_xlfn.XLOOKUP(ENTRADAS[[#This Row],[CODIGO]],LISTADO[CODIGOS],LISTADO[PRODUCTOS]),"NO EXISTE")</f>
        <v/>
      </c>
      <c r="E430" s="19" t="n">
        <v>46074</v>
      </c>
      <c r="F430" s="18" t="n">
        <v>1</v>
      </c>
      <c r="G430" s="18" t="inlineStr">
        <is>
          <t>INVENTARIO</t>
        </is>
      </c>
      <c r="H430" s="18" t="n"/>
      <c r="I430" s="45" t="n"/>
      <c r="J430" s="77" t="n"/>
      <c r="K430" s="18" t="n"/>
    </row>
    <row r="431">
      <c r="A431" s="18" t="n">
        <v>396</v>
      </c>
      <c r="B431" s="56" t="inlineStr">
        <is>
          <t>00009-HER</t>
        </is>
      </c>
      <c r="C431" s="56">
        <f>IFERROR(_xlfn.XLOOKUP(ENTRADAS[[#This Row],[CODIGO]],LISTADO[CODIGOS],LISTADO[CATEGORIA]),"NO EXISTE")</f>
        <v/>
      </c>
      <c r="D431" s="56">
        <f>IFERROR(_xlfn.XLOOKUP(ENTRADAS[[#This Row],[CODIGO]],LISTADO[CODIGOS],LISTADO[PRODUCTOS]),"NO EXISTE")</f>
        <v/>
      </c>
      <c r="E431" s="19" t="n">
        <v>46074</v>
      </c>
      <c r="F431" s="18" t="n">
        <v>2</v>
      </c>
      <c r="G431" s="18" t="inlineStr">
        <is>
          <t>INVENTARIO</t>
        </is>
      </c>
      <c r="H431" s="18" t="n"/>
      <c r="I431" s="45" t="n"/>
      <c r="J431" s="77" t="n"/>
      <c r="K431" s="18" t="n"/>
    </row>
    <row r="432">
      <c r="A432" s="18" t="n">
        <v>397</v>
      </c>
      <c r="B432" s="56" t="inlineStr">
        <is>
          <t>00088-HER</t>
        </is>
      </c>
      <c r="C432" s="56">
        <f>IFERROR(_xlfn.XLOOKUP(ENTRADAS[[#This Row],[CODIGO]],LISTADO[CODIGOS],LISTADO[CATEGORIA]),"NO EXISTE")</f>
        <v/>
      </c>
      <c r="D432" s="56">
        <f>IFERROR(_xlfn.XLOOKUP(ENTRADAS[[#This Row],[CODIGO]],LISTADO[CODIGOS],LISTADO[PRODUCTOS]),"NO EXISTE")</f>
        <v/>
      </c>
      <c r="E432" s="19" t="n">
        <v>46074</v>
      </c>
      <c r="F432" s="18" t="n">
        <v>1</v>
      </c>
      <c r="G432" s="18" t="inlineStr">
        <is>
          <t>INVENTARIO</t>
        </is>
      </c>
      <c r="H432" s="18" t="n"/>
      <c r="I432" s="45" t="n"/>
      <c r="J432" s="77" t="n"/>
      <c r="K432" s="18" t="n"/>
    </row>
    <row r="433">
      <c r="A433" s="18" t="n">
        <v>398</v>
      </c>
      <c r="B433" s="56" t="inlineStr">
        <is>
          <t>00005-HER</t>
        </is>
      </c>
      <c r="C433" s="56">
        <f>IFERROR(_xlfn.XLOOKUP(ENTRADAS[[#This Row],[CODIGO]],LISTADO[CODIGOS],LISTADO[CATEGORIA]),"NO EXISTE")</f>
        <v/>
      </c>
      <c r="D433" s="56">
        <f>IFERROR(_xlfn.XLOOKUP(ENTRADAS[[#This Row],[CODIGO]],LISTADO[CODIGOS],LISTADO[PRODUCTOS]),"NO EXISTE")</f>
        <v/>
      </c>
      <c r="E433" s="19" t="n">
        <v>46074</v>
      </c>
      <c r="F433" s="18" t="n">
        <v>1</v>
      </c>
      <c r="G433" s="18" t="inlineStr">
        <is>
          <t>INVENTARIO</t>
        </is>
      </c>
      <c r="H433" s="18" t="n"/>
      <c r="I433" s="45" t="n"/>
      <c r="J433" s="77" t="n"/>
      <c r="K433" s="18" t="n"/>
    </row>
    <row r="434">
      <c r="A434" s="18" t="n">
        <v>399</v>
      </c>
      <c r="B434" s="56" t="inlineStr">
        <is>
          <t>00013-MSC</t>
        </is>
      </c>
      <c r="C434" s="56">
        <f>IFERROR(_xlfn.XLOOKUP(ENTRADAS[[#This Row],[CODIGO]],LISTADO[CODIGOS],LISTADO[CATEGORIA]),"NO EXISTE")</f>
        <v/>
      </c>
      <c r="D434" s="56">
        <f>IFERROR(_xlfn.XLOOKUP(ENTRADAS[[#This Row],[CODIGO]],LISTADO[CODIGOS],LISTADO[PRODUCTOS]),"NO EXISTE")</f>
        <v/>
      </c>
      <c r="E434" s="19" t="n">
        <v>46074</v>
      </c>
      <c r="F434" s="18" t="n">
        <v>1</v>
      </c>
      <c r="G434" s="18" t="inlineStr">
        <is>
          <t>INVENTARIO</t>
        </is>
      </c>
      <c r="H434" s="18" t="n"/>
      <c r="I434" s="45" t="n"/>
      <c r="J434" s="77" t="n"/>
      <c r="K434" s="18" t="n"/>
    </row>
    <row r="435">
      <c r="A435" s="18" t="n">
        <v>400</v>
      </c>
      <c r="B435" s="56" t="inlineStr">
        <is>
          <t>00014-MSC</t>
        </is>
      </c>
      <c r="C435" s="56">
        <f>IFERROR(_xlfn.XLOOKUP(ENTRADAS[[#This Row],[CODIGO]],LISTADO[CODIGOS],LISTADO[CATEGORIA]),"NO EXISTE")</f>
        <v/>
      </c>
      <c r="D435" s="56">
        <f>IFERROR(_xlfn.XLOOKUP(ENTRADAS[[#This Row],[CODIGO]],LISTADO[CODIGOS],LISTADO[PRODUCTOS]),"NO EXISTE")</f>
        <v/>
      </c>
      <c r="E435" s="19" t="n">
        <v>46074</v>
      </c>
      <c r="F435" s="18" t="n">
        <v>1</v>
      </c>
      <c r="G435" s="18" t="inlineStr">
        <is>
          <t>INVENTARIO</t>
        </is>
      </c>
      <c r="H435" s="18" t="n"/>
      <c r="I435" s="45" t="n"/>
      <c r="J435" s="77" t="n"/>
      <c r="K435" s="18" t="n"/>
    </row>
    <row r="436">
      <c r="A436" s="18" t="n">
        <v>401</v>
      </c>
      <c r="B436" s="56" t="inlineStr">
        <is>
          <t>00011-FER</t>
        </is>
      </c>
      <c r="C436" s="56">
        <f>IFERROR(_xlfn.XLOOKUP(ENTRADAS[[#This Row],[CODIGO]],LISTADO[CODIGOS],LISTADO[CATEGORIA]),"NO EXISTE")</f>
        <v/>
      </c>
      <c r="D436" s="56">
        <f>IFERROR(_xlfn.XLOOKUP(ENTRADAS[[#This Row],[CODIGO]],LISTADO[CODIGOS],LISTADO[PRODUCTOS]),"NO EXISTE")</f>
        <v/>
      </c>
      <c r="E436" s="19" t="n">
        <v>46074</v>
      </c>
      <c r="F436" s="18" t="n">
        <v>2</v>
      </c>
      <c r="G436" s="18" t="inlineStr">
        <is>
          <t>INGRESO</t>
        </is>
      </c>
      <c r="H436" s="18" t="n"/>
      <c r="I436" s="45" t="n"/>
      <c r="J436" s="77" t="n"/>
      <c r="K436" s="18" t="n"/>
    </row>
    <row r="437">
      <c r="A437" s="18" t="n">
        <v>402</v>
      </c>
      <c r="B437" s="56" t="inlineStr">
        <is>
          <t>00013-FER</t>
        </is>
      </c>
      <c r="C437" s="56">
        <f>IFERROR(_xlfn.XLOOKUP(ENTRADAS[[#This Row],[CODIGO]],LISTADO[CODIGOS],LISTADO[CATEGORIA]),"NO EXISTE")</f>
        <v/>
      </c>
      <c r="D437" s="56">
        <f>IFERROR(_xlfn.XLOOKUP(ENTRADAS[[#This Row],[CODIGO]],LISTADO[CODIGOS],LISTADO[PRODUCTOS]),"NO EXISTE")</f>
        <v/>
      </c>
      <c r="E437" s="19" t="n">
        <v>46074</v>
      </c>
      <c r="F437" s="18" t="n">
        <v>40</v>
      </c>
      <c r="G437" s="18" t="inlineStr">
        <is>
          <t>INGRESO</t>
        </is>
      </c>
      <c r="H437" s="18" t="n"/>
      <c r="I437" s="45" t="n"/>
      <c r="J437" s="77" t="n"/>
      <c r="K437" s="18" t="n"/>
    </row>
    <row r="438">
      <c r="A438" s="18" t="n">
        <v>403</v>
      </c>
      <c r="B438" s="56" t="inlineStr">
        <is>
          <t>00004-ELE</t>
        </is>
      </c>
      <c r="C438" s="56">
        <f>IFERROR(_xlfn.XLOOKUP(ENTRADAS[[#This Row],[CODIGO]],LISTADO[CODIGOS],LISTADO[CATEGORIA]),"NO EXISTE")</f>
        <v/>
      </c>
      <c r="D438" s="56">
        <f>IFERROR(_xlfn.XLOOKUP(ENTRADAS[[#This Row],[CODIGO]],LISTADO[CODIGOS],LISTADO[PRODUCTOS]),"NO EXISTE")</f>
        <v/>
      </c>
      <c r="E438" s="19" t="n">
        <v>46074</v>
      </c>
      <c r="F438" s="18" t="n">
        <v>2</v>
      </c>
      <c r="G438" s="18" t="inlineStr">
        <is>
          <t>INGRESO</t>
        </is>
      </c>
      <c r="H438" s="18" t="n"/>
      <c r="I438" s="45" t="n"/>
      <c r="J438" s="77" t="n"/>
      <c r="K438" s="18" t="n"/>
    </row>
    <row r="439">
      <c r="A439" s="18" t="n">
        <v>404</v>
      </c>
      <c r="B439" s="56" t="inlineStr">
        <is>
          <t>00003-REF</t>
        </is>
      </c>
      <c r="C439" s="56">
        <f>IFERROR(_xlfn.XLOOKUP(ENTRADAS[[#This Row],[CODIGO]],LISTADO[CODIGOS],LISTADO[CATEGORIA]),"NO EXISTE")</f>
        <v/>
      </c>
      <c r="D439" s="56">
        <f>IFERROR(_xlfn.XLOOKUP(ENTRADAS[[#This Row],[CODIGO]],LISTADO[CODIGOS],LISTADO[PRODUCTOS]),"NO EXISTE")</f>
        <v/>
      </c>
      <c r="E439" s="19" t="n">
        <v>46074</v>
      </c>
      <c r="F439" s="18" t="n">
        <v>2</v>
      </c>
      <c r="G439" s="18" t="inlineStr">
        <is>
          <t>INGRESO</t>
        </is>
      </c>
      <c r="H439" s="18" t="n"/>
      <c r="I439" s="45" t="n"/>
      <c r="J439" s="77" t="n"/>
      <c r="K439" s="18" t="n"/>
    </row>
    <row r="440">
      <c r="A440" s="18" t="n">
        <v>405</v>
      </c>
      <c r="B440" s="56" t="inlineStr">
        <is>
          <t>00003-ELE</t>
        </is>
      </c>
      <c r="C440" s="56">
        <f>IFERROR(_xlfn.XLOOKUP(ENTRADAS[[#This Row],[CODIGO]],LISTADO[CODIGOS],LISTADO[CATEGORIA]),"NO EXISTE")</f>
        <v/>
      </c>
      <c r="D440" s="56">
        <f>IFERROR(_xlfn.XLOOKUP(ENTRADAS[[#This Row],[CODIGO]],LISTADO[CODIGOS],LISTADO[PRODUCTOS]),"NO EXISTE")</f>
        <v/>
      </c>
      <c r="E440" s="19" t="n">
        <v>46074</v>
      </c>
      <c r="F440" s="18" t="n">
        <v>20</v>
      </c>
      <c r="G440" s="18" t="inlineStr">
        <is>
          <t>INGRESO</t>
        </is>
      </c>
      <c r="H440" s="18" t="n"/>
      <c r="I440" s="45" t="n"/>
      <c r="J440" s="77" t="n"/>
      <c r="K440" s="18" t="n"/>
    </row>
    <row r="441">
      <c r="A441" s="18" t="n">
        <v>406</v>
      </c>
      <c r="B441" s="56" t="inlineStr">
        <is>
          <t>00014-ELE</t>
        </is>
      </c>
      <c r="C441" s="56">
        <f>IFERROR(_xlfn.XLOOKUP(ENTRADAS[[#This Row],[CODIGO]],LISTADO[CODIGOS],LISTADO[CATEGORIA]),"NO EXISTE")</f>
        <v/>
      </c>
      <c r="D441" s="56">
        <f>IFERROR(_xlfn.XLOOKUP(ENTRADAS[[#This Row],[CODIGO]],LISTADO[CODIGOS],LISTADO[PRODUCTOS]),"NO EXISTE")</f>
        <v/>
      </c>
      <c r="E441" s="19" t="n">
        <v>46074</v>
      </c>
      <c r="F441" s="18" t="n">
        <v>4</v>
      </c>
      <c r="G441" s="18" t="inlineStr">
        <is>
          <t>INGRESO</t>
        </is>
      </c>
      <c r="H441" s="18" t="n"/>
      <c r="I441" s="45" t="n"/>
      <c r="J441" s="77" t="n"/>
      <c r="K441" s="18" t="n"/>
    </row>
    <row r="442">
      <c r="A442" s="18" t="n">
        <v>407</v>
      </c>
      <c r="B442" s="56" t="inlineStr">
        <is>
          <t>00007-MSC</t>
        </is>
      </c>
      <c r="C442" s="56">
        <f>IFERROR(_xlfn.XLOOKUP(ENTRADAS[[#This Row],[CODIGO]],LISTADO[CODIGOS],LISTADO[CATEGORIA]),"NO EXISTE")</f>
        <v/>
      </c>
      <c r="D442" s="56">
        <f>IFERROR(_xlfn.XLOOKUP(ENTRADAS[[#This Row],[CODIGO]],LISTADO[CODIGOS],LISTADO[PRODUCTOS]),"NO EXISTE")</f>
        <v/>
      </c>
      <c r="E442" s="19" t="n">
        <v>46074</v>
      </c>
      <c r="F442" s="18" t="n">
        <v>10</v>
      </c>
      <c r="G442" s="18" t="inlineStr">
        <is>
          <t>INGRESO</t>
        </is>
      </c>
      <c r="H442" s="18" t="n"/>
      <c r="I442" s="45" t="n"/>
      <c r="J442" s="77" t="n"/>
      <c r="K442" s="18" t="n"/>
    </row>
    <row r="443">
      <c r="A443" s="18" t="n">
        <v>408</v>
      </c>
      <c r="B443" s="56" t="inlineStr">
        <is>
          <t>00001-MSC</t>
        </is>
      </c>
      <c r="C443" s="56">
        <f>IFERROR(_xlfn.XLOOKUP(ENTRADAS[[#This Row],[CODIGO]],LISTADO[CODIGOS],LISTADO[CATEGORIA]),"NO EXISTE")</f>
        <v/>
      </c>
      <c r="D443" s="56">
        <f>IFERROR(_xlfn.XLOOKUP(ENTRADAS[[#This Row],[CODIGO]],LISTADO[CODIGOS],LISTADO[PRODUCTOS]),"NO EXISTE")</f>
        <v/>
      </c>
      <c r="E443" s="19" t="n">
        <v>46074</v>
      </c>
      <c r="F443" s="18" t="n">
        <v>19.5</v>
      </c>
      <c r="G443" s="18" t="inlineStr">
        <is>
          <t>INGRESO</t>
        </is>
      </c>
      <c r="H443" s="18" t="n"/>
      <c r="I443" s="45" t="n"/>
      <c r="J443" s="77" t="n"/>
      <c r="K443" s="18" t="n"/>
    </row>
    <row r="444">
      <c r="A444" s="18" t="n">
        <v>411</v>
      </c>
      <c r="B444" s="56" t="inlineStr">
        <is>
          <t>00037-ELE</t>
        </is>
      </c>
      <c r="C444" s="56">
        <f>IFERROR(_xlfn.XLOOKUP(ENTRADAS[[#This Row],[CODIGO]],LISTADO[CODIGOS],LISTADO[CATEGORIA]),"NO EXISTE")</f>
        <v/>
      </c>
      <c r="D444" s="56">
        <f>IFERROR(_xlfn.XLOOKUP(ENTRADAS[[#This Row],[CODIGO]],LISTADO[CODIGOS],LISTADO[PRODUCTOS]),"NO EXISTE")</f>
        <v/>
      </c>
      <c r="E444" s="19" t="n">
        <v>46074</v>
      </c>
      <c r="F444" s="18" t="n">
        <v>1</v>
      </c>
      <c r="G444" s="18" t="inlineStr">
        <is>
          <t>INVENTARIO</t>
        </is>
      </c>
      <c r="H444" s="18" t="n"/>
      <c r="I444" s="45" t="n"/>
      <c r="J444" s="77" t="n"/>
      <c r="K444" s="18" t="n"/>
    </row>
    <row r="445">
      <c r="A445" s="18" t="n">
        <v>412</v>
      </c>
      <c r="B445" s="56" t="inlineStr">
        <is>
          <t>00010-FER</t>
        </is>
      </c>
      <c r="C445" s="56">
        <f>IFERROR(_xlfn.XLOOKUP(ENTRADAS[[#This Row],[CODIGO]],LISTADO[CODIGOS],LISTADO[CATEGORIA]),"NO EXISTE")</f>
        <v/>
      </c>
      <c r="D445" s="56">
        <f>IFERROR(_xlfn.XLOOKUP(ENTRADAS[[#This Row],[CODIGO]],LISTADO[CODIGOS],LISTADO[PRODUCTOS]),"NO EXISTE")</f>
        <v/>
      </c>
      <c r="E445" s="19" t="n">
        <v>46074</v>
      </c>
      <c r="F445" s="18" t="n">
        <v>2</v>
      </c>
      <c r="G445" s="18" t="inlineStr">
        <is>
          <t>DEVOLUCION</t>
        </is>
      </c>
      <c r="H445" s="18" t="n"/>
      <c r="I445" s="45" t="n"/>
      <c r="J445" s="77" t="n"/>
      <c r="K445" s="18" t="n"/>
    </row>
    <row r="446">
      <c r="A446" s="18" t="n">
        <v>413</v>
      </c>
      <c r="B446" s="56" t="inlineStr">
        <is>
          <t>00009-FER</t>
        </is>
      </c>
      <c r="C446" s="56">
        <f>IFERROR(_xlfn.XLOOKUP(ENTRADAS[[#This Row],[CODIGO]],LISTADO[CODIGOS],LISTADO[CATEGORIA]),"NO EXISTE")</f>
        <v/>
      </c>
      <c r="D446" s="56">
        <f>IFERROR(_xlfn.XLOOKUP(ENTRADAS[[#This Row],[CODIGO]],LISTADO[CODIGOS],LISTADO[PRODUCTOS]),"NO EXISTE")</f>
        <v/>
      </c>
      <c r="E446" s="19" t="n">
        <v>46074</v>
      </c>
      <c r="F446" s="18" t="n">
        <v>1</v>
      </c>
      <c r="G446" s="18" t="inlineStr">
        <is>
          <t>DEVOLUCION</t>
        </is>
      </c>
      <c r="H446" s="18" t="n"/>
      <c r="I446" s="45" t="n"/>
      <c r="J446" s="77" t="n"/>
      <c r="K446" s="18" t="n"/>
    </row>
    <row r="447">
      <c r="A447" s="18" t="n">
        <v>410</v>
      </c>
      <c r="B447" s="56" t="inlineStr">
        <is>
          <t>00007-ELE</t>
        </is>
      </c>
      <c r="C447" s="56">
        <f>IFERROR(_xlfn.XLOOKUP(ENTRADAS[[#This Row],[CODIGO]],LISTADO[CODIGOS],LISTADO[CATEGORIA]),"NO EXISTE")</f>
        <v/>
      </c>
      <c r="D447" s="56">
        <f>IFERROR(_xlfn.XLOOKUP(ENTRADAS[[#This Row],[CODIGO]],LISTADO[CODIGOS],LISTADO[PRODUCTOS]),"NO EXISTE")</f>
        <v/>
      </c>
      <c r="E447" s="19" t="n">
        <v>46075</v>
      </c>
      <c r="F447" s="18" t="n">
        <v>1</v>
      </c>
      <c r="G447" s="18" t="inlineStr">
        <is>
          <t>DEVOLUCION</t>
        </is>
      </c>
      <c r="H447" s="18" t="n"/>
      <c r="I447" s="45" t="n"/>
      <c r="J447" s="77" t="n"/>
      <c r="K447" s="18" t="n"/>
    </row>
    <row r="448">
      <c r="A448" s="18" t="n">
        <v>414</v>
      </c>
      <c r="B448" s="56" t="inlineStr">
        <is>
          <t>00012-FER</t>
        </is>
      </c>
      <c r="C448" s="56">
        <f>IFERROR(_xlfn.XLOOKUP(ENTRADAS[[#This Row],[CODIGO]],LISTADO[CODIGOS],LISTADO[CATEGORIA]),"NO EXISTE")</f>
        <v/>
      </c>
      <c r="D448" s="56">
        <f>IFERROR(_xlfn.XLOOKUP(ENTRADAS[[#This Row],[CODIGO]],LISTADO[CODIGOS],LISTADO[PRODUCTOS]),"NO EXISTE")</f>
        <v/>
      </c>
      <c r="E448" s="19" t="n">
        <v>46076</v>
      </c>
      <c r="F448" s="18" t="n">
        <v>1</v>
      </c>
      <c r="G448" s="18" t="inlineStr">
        <is>
          <t>INVENTARIO</t>
        </is>
      </c>
      <c r="H448" s="18" t="n"/>
      <c r="I448" s="45" t="n"/>
      <c r="J448" s="77" t="n"/>
      <c r="K448" s="18" t="n"/>
    </row>
    <row r="449">
      <c r="A449" s="18" t="n">
        <v>415</v>
      </c>
      <c r="B449" s="56" t="inlineStr">
        <is>
          <t>00091-HER</t>
        </is>
      </c>
      <c r="C449" s="56">
        <f>IFERROR(_xlfn.XLOOKUP(ENTRADAS[[#This Row],[CODIGO]],LISTADO[CODIGOS],LISTADO[CATEGORIA]),"NO EXISTE")</f>
        <v/>
      </c>
      <c r="D449" s="56">
        <f>IFERROR(_xlfn.XLOOKUP(ENTRADAS[[#This Row],[CODIGO]],LISTADO[CODIGOS],LISTADO[PRODUCTOS]),"NO EXISTE")</f>
        <v/>
      </c>
      <c r="E449" s="19" t="n">
        <v>46076</v>
      </c>
      <c r="F449" s="18" t="n">
        <v>2</v>
      </c>
      <c r="G449" s="18" t="inlineStr">
        <is>
          <t>INVENTARIO</t>
        </is>
      </c>
      <c r="H449" s="18" t="n"/>
      <c r="I449" s="45" t="n"/>
      <c r="J449" s="77" t="n"/>
      <c r="K449" s="18" t="n"/>
    </row>
    <row r="450">
      <c r="A450" s="18" t="n">
        <v>416</v>
      </c>
      <c r="B450" s="56" t="inlineStr">
        <is>
          <t>00092-HER</t>
        </is>
      </c>
      <c r="C450" s="56">
        <f>IFERROR(_xlfn.XLOOKUP(ENTRADAS[[#This Row],[CODIGO]],LISTADO[CODIGOS],LISTADO[CATEGORIA]),"NO EXISTE")</f>
        <v/>
      </c>
      <c r="D450" s="56">
        <f>IFERROR(_xlfn.XLOOKUP(ENTRADAS[[#This Row],[CODIGO]],LISTADO[CODIGOS],LISTADO[PRODUCTOS]),"NO EXISTE")</f>
        <v/>
      </c>
      <c r="E450" s="19" t="n">
        <v>46076</v>
      </c>
      <c r="F450" s="18" t="n">
        <v>1</v>
      </c>
      <c r="G450" s="18" t="inlineStr">
        <is>
          <t>INVENTARIO</t>
        </is>
      </c>
      <c r="H450" s="18" t="n"/>
      <c r="I450" s="45" t="n"/>
      <c r="J450" s="77" t="n"/>
      <c r="K450" s="18" t="n"/>
    </row>
    <row r="451">
      <c r="A451" s="18" t="n">
        <v>417</v>
      </c>
      <c r="B451" s="56" t="inlineStr">
        <is>
          <t>00093-HER</t>
        </is>
      </c>
      <c r="C451" s="56">
        <f>IFERROR(_xlfn.XLOOKUP(ENTRADAS[[#This Row],[CODIGO]],LISTADO[CODIGOS],LISTADO[CATEGORIA]),"NO EXISTE")</f>
        <v/>
      </c>
      <c r="D451" s="56">
        <f>IFERROR(_xlfn.XLOOKUP(ENTRADAS[[#This Row],[CODIGO]],LISTADO[CODIGOS],LISTADO[PRODUCTOS]),"NO EXISTE")</f>
        <v/>
      </c>
      <c r="E451" s="19" t="n">
        <v>46076</v>
      </c>
      <c r="F451" s="18" t="n">
        <v>1</v>
      </c>
      <c r="G451" s="18" t="inlineStr">
        <is>
          <t>INVENTARIO</t>
        </is>
      </c>
      <c r="H451" s="18" t="n"/>
      <c r="I451" s="45" t="n"/>
      <c r="J451" s="77" t="n"/>
      <c r="K451" s="18" t="n"/>
    </row>
    <row r="452">
      <c r="A452" s="18" t="n">
        <v>418</v>
      </c>
      <c r="B452" s="56" t="inlineStr">
        <is>
          <t>00094-HER</t>
        </is>
      </c>
      <c r="C452" s="56">
        <f>IFERROR(_xlfn.XLOOKUP(ENTRADAS[[#This Row],[CODIGO]],LISTADO[CODIGOS],LISTADO[CATEGORIA]),"NO EXISTE")</f>
        <v/>
      </c>
      <c r="D452" s="56">
        <f>IFERROR(_xlfn.XLOOKUP(ENTRADAS[[#This Row],[CODIGO]],LISTADO[CODIGOS],LISTADO[PRODUCTOS]),"NO EXISTE")</f>
        <v/>
      </c>
      <c r="E452" s="19" t="n">
        <v>46076</v>
      </c>
      <c r="F452" s="18" t="n">
        <v>1</v>
      </c>
      <c r="G452" s="18" t="inlineStr">
        <is>
          <t>INVENTARIO</t>
        </is>
      </c>
      <c r="H452" s="18" t="n"/>
      <c r="I452" s="45" t="n"/>
      <c r="J452" s="77" t="n"/>
      <c r="K452" s="18" t="n"/>
    </row>
    <row r="453">
      <c r="A453" s="18" t="n">
        <v>419</v>
      </c>
      <c r="B453" s="56" t="inlineStr">
        <is>
          <t>00095-HER</t>
        </is>
      </c>
      <c r="C453" s="56">
        <f>IFERROR(_xlfn.XLOOKUP(ENTRADAS[[#This Row],[CODIGO]],LISTADO[CODIGOS],LISTADO[CATEGORIA]),"NO EXISTE")</f>
        <v/>
      </c>
      <c r="D453" s="56">
        <f>IFERROR(_xlfn.XLOOKUP(ENTRADAS[[#This Row],[CODIGO]],LISTADO[CODIGOS],LISTADO[PRODUCTOS]),"NO EXISTE")</f>
        <v/>
      </c>
      <c r="E453" s="19" t="n">
        <v>46076</v>
      </c>
      <c r="F453" s="18" t="n">
        <v>2</v>
      </c>
      <c r="G453" s="18" t="inlineStr">
        <is>
          <t>INVENTARIO</t>
        </is>
      </c>
      <c r="H453" s="18" t="n"/>
      <c r="I453" s="45" t="n"/>
      <c r="J453" s="77" t="n"/>
      <c r="K453" s="18" t="n"/>
    </row>
    <row r="454">
      <c r="A454" s="18" t="n">
        <v>420</v>
      </c>
      <c r="B454" s="56" t="inlineStr">
        <is>
          <t>00096-HER</t>
        </is>
      </c>
      <c r="C454" s="56">
        <f>IFERROR(_xlfn.XLOOKUP(ENTRADAS[[#This Row],[CODIGO]],LISTADO[CODIGOS],LISTADO[CATEGORIA]),"NO EXISTE")</f>
        <v/>
      </c>
      <c r="D454" s="56">
        <f>IFERROR(_xlfn.XLOOKUP(ENTRADAS[[#This Row],[CODIGO]],LISTADO[CODIGOS],LISTADO[PRODUCTOS]),"NO EXISTE")</f>
        <v/>
      </c>
      <c r="E454" s="19" t="n">
        <v>46076</v>
      </c>
      <c r="F454" s="18" t="n">
        <v>1</v>
      </c>
      <c r="G454" s="18" t="inlineStr">
        <is>
          <t>INVENTARIO</t>
        </is>
      </c>
      <c r="H454" s="18" t="n"/>
      <c r="I454" s="45" t="n"/>
      <c r="J454" s="77" t="n"/>
      <c r="K454" s="18" t="n"/>
    </row>
    <row r="455">
      <c r="A455" s="18" t="n">
        <v>421</v>
      </c>
      <c r="B455" s="56" t="inlineStr">
        <is>
          <t>00097-HER</t>
        </is>
      </c>
      <c r="C455" s="56">
        <f>IFERROR(_xlfn.XLOOKUP(ENTRADAS[[#This Row],[CODIGO]],LISTADO[CODIGOS],LISTADO[CATEGORIA]),"NO EXISTE")</f>
        <v/>
      </c>
      <c r="D455" s="56">
        <f>IFERROR(_xlfn.XLOOKUP(ENTRADAS[[#This Row],[CODIGO]],LISTADO[CODIGOS],LISTADO[PRODUCTOS]),"NO EXISTE")</f>
        <v/>
      </c>
      <c r="E455" s="19" t="n">
        <v>46076</v>
      </c>
      <c r="F455" s="18" t="n">
        <v>1</v>
      </c>
      <c r="G455" s="18" t="inlineStr">
        <is>
          <t>INVENTARIO</t>
        </is>
      </c>
      <c r="H455" s="18" t="n"/>
      <c r="I455" s="45" t="n"/>
      <c r="J455" s="77" t="n"/>
      <c r="K455" s="18" t="n"/>
    </row>
    <row r="456">
      <c r="A456" s="18" t="n">
        <v>422</v>
      </c>
      <c r="B456" s="56" t="inlineStr">
        <is>
          <t>00098-HER</t>
        </is>
      </c>
      <c r="C456" s="56">
        <f>IFERROR(_xlfn.XLOOKUP(ENTRADAS[[#This Row],[CODIGO]],LISTADO[CODIGOS],LISTADO[CATEGORIA]),"NO EXISTE")</f>
        <v/>
      </c>
      <c r="D456" s="56">
        <f>IFERROR(_xlfn.XLOOKUP(ENTRADAS[[#This Row],[CODIGO]],LISTADO[CODIGOS],LISTADO[PRODUCTOS]),"NO EXISTE")</f>
        <v/>
      </c>
      <c r="E456" s="19" t="n">
        <v>46076</v>
      </c>
      <c r="F456" s="18" t="n">
        <v>1</v>
      </c>
      <c r="G456" s="18" t="inlineStr">
        <is>
          <t>INVENTARIO</t>
        </is>
      </c>
      <c r="H456" s="18" t="n"/>
      <c r="I456" s="45" t="n"/>
      <c r="J456" s="77" t="n"/>
      <c r="K456" s="18" t="n"/>
    </row>
    <row r="457">
      <c r="A457" s="18" t="n">
        <v>423</v>
      </c>
      <c r="B457" s="56" t="inlineStr">
        <is>
          <t>00018-REF</t>
        </is>
      </c>
      <c r="C457" s="56">
        <f>IFERROR(_xlfn.XLOOKUP(ENTRADAS[[#This Row],[CODIGO]],LISTADO[CODIGOS],LISTADO[CATEGORIA]),"NO EXISTE")</f>
        <v/>
      </c>
      <c r="D457" s="56">
        <f>IFERROR(_xlfn.XLOOKUP(ENTRADAS[[#This Row],[CODIGO]],LISTADO[CODIGOS],LISTADO[PRODUCTOS]),"NO EXISTE")</f>
        <v/>
      </c>
      <c r="E457" s="19" t="n">
        <v>46076</v>
      </c>
      <c r="F457" s="18" t="n">
        <v>8</v>
      </c>
      <c r="G457" s="18" t="inlineStr">
        <is>
          <t>INVENTARIO</t>
        </is>
      </c>
      <c r="H457" s="18" t="n"/>
      <c r="I457" s="45" t="n"/>
      <c r="J457" s="77" t="n"/>
      <c r="K457" s="18" t="n"/>
    </row>
    <row r="458">
      <c r="A458" s="18" t="n">
        <v>424</v>
      </c>
      <c r="B458" s="56" t="inlineStr">
        <is>
          <t>00019-REF</t>
        </is>
      </c>
      <c r="C458" s="56">
        <f>IFERROR(_xlfn.XLOOKUP(ENTRADAS[[#This Row],[CODIGO]],LISTADO[CODIGOS],LISTADO[CATEGORIA]),"NO EXISTE")</f>
        <v/>
      </c>
      <c r="D458" s="56">
        <f>IFERROR(_xlfn.XLOOKUP(ENTRADAS[[#This Row],[CODIGO]],LISTADO[CODIGOS],LISTADO[PRODUCTOS]),"NO EXISTE")</f>
        <v/>
      </c>
      <c r="E458" s="19" t="n">
        <v>46076</v>
      </c>
      <c r="F458" s="18" t="n">
        <v>4</v>
      </c>
      <c r="G458" s="18" t="inlineStr">
        <is>
          <t>INVENTARIO</t>
        </is>
      </c>
      <c r="H458" s="18" t="n"/>
      <c r="I458" s="45" t="n"/>
      <c r="J458" s="77" t="n"/>
      <c r="K458" s="18" t="n"/>
    </row>
    <row r="459">
      <c r="A459" s="18" t="n">
        <v>425</v>
      </c>
      <c r="B459" s="56" t="inlineStr">
        <is>
          <t>00020-REF</t>
        </is>
      </c>
      <c r="C459" s="56">
        <f>IFERROR(_xlfn.XLOOKUP(ENTRADAS[[#This Row],[CODIGO]],LISTADO[CODIGOS],LISTADO[CATEGORIA]),"NO EXISTE")</f>
        <v/>
      </c>
      <c r="D459" s="56">
        <f>IFERROR(_xlfn.XLOOKUP(ENTRADAS[[#This Row],[CODIGO]],LISTADO[CODIGOS],LISTADO[PRODUCTOS]),"NO EXISTE")</f>
        <v/>
      </c>
      <c r="E459" s="19" t="n">
        <v>46076</v>
      </c>
      <c r="F459" s="18" t="n">
        <v>2</v>
      </c>
      <c r="G459" s="18" t="inlineStr">
        <is>
          <t>INVENTARIO</t>
        </is>
      </c>
      <c r="H459" s="18" t="n"/>
      <c r="I459" s="45" t="n"/>
      <c r="J459" s="77" t="n"/>
      <c r="K459" s="18" t="n"/>
    </row>
    <row r="460">
      <c r="A460" s="18" t="n">
        <v>426</v>
      </c>
      <c r="B460" s="56" t="inlineStr">
        <is>
          <t>00021-REF</t>
        </is>
      </c>
      <c r="C460" s="56">
        <f>IFERROR(_xlfn.XLOOKUP(ENTRADAS[[#This Row],[CODIGO]],LISTADO[CODIGOS],LISTADO[CATEGORIA]),"NO EXISTE")</f>
        <v/>
      </c>
      <c r="D460" s="56">
        <f>IFERROR(_xlfn.XLOOKUP(ENTRADAS[[#This Row],[CODIGO]],LISTADO[CODIGOS],LISTADO[PRODUCTOS]),"NO EXISTE")</f>
        <v/>
      </c>
      <c r="E460" s="19" t="n">
        <v>46076</v>
      </c>
      <c r="F460" s="18" t="n">
        <v>5</v>
      </c>
      <c r="G460" s="18" t="inlineStr">
        <is>
          <t>INVENTARIO</t>
        </is>
      </c>
      <c r="H460" s="18" t="n"/>
      <c r="I460" s="45" t="n"/>
      <c r="J460" s="77" t="n"/>
      <c r="K460" s="18" t="n"/>
    </row>
    <row r="461">
      <c r="A461" s="18" t="n">
        <v>427</v>
      </c>
      <c r="B461" s="56" t="inlineStr">
        <is>
          <t>00022-REF</t>
        </is>
      </c>
      <c r="C461" s="56">
        <f>IFERROR(_xlfn.XLOOKUP(ENTRADAS[[#This Row],[CODIGO]],LISTADO[CODIGOS],LISTADO[CATEGORIA]),"NO EXISTE")</f>
        <v/>
      </c>
      <c r="D461" s="56">
        <f>IFERROR(_xlfn.XLOOKUP(ENTRADAS[[#This Row],[CODIGO]],LISTADO[CODIGOS],LISTADO[PRODUCTOS]),"NO EXISTE")</f>
        <v/>
      </c>
      <c r="E461" s="19" t="n">
        <v>46076</v>
      </c>
      <c r="F461" s="18" t="n">
        <v>1</v>
      </c>
      <c r="G461" s="18" t="inlineStr">
        <is>
          <t>INVENTARIO</t>
        </is>
      </c>
      <c r="H461" s="18" t="n"/>
      <c r="I461" s="45" t="n"/>
      <c r="J461" s="77" t="n"/>
      <c r="K461" s="18" t="n"/>
    </row>
    <row r="462">
      <c r="A462" s="18" t="n">
        <v>428</v>
      </c>
      <c r="B462" s="56" t="inlineStr">
        <is>
          <t>00023-REF</t>
        </is>
      </c>
      <c r="C462" s="56">
        <f>IFERROR(_xlfn.XLOOKUP(ENTRADAS[[#This Row],[CODIGO]],LISTADO[CODIGOS],LISTADO[CATEGORIA]),"NO EXISTE")</f>
        <v/>
      </c>
      <c r="D462" s="56">
        <f>IFERROR(_xlfn.XLOOKUP(ENTRADAS[[#This Row],[CODIGO]],LISTADO[CODIGOS],LISTADO[PRODUCTOS]),"NO EXISTE")</f>
        <v/>
      </c>
      <c r="E462" s="19" t="n">
        <v>46076</v>
      </c>
      <c r="F462" s="18" t="n">
        <v>5</v>
      </c>
      <c r="G462" s="18" t="inlineStr">
        <is>
          <t>INVENTARIO</t>
        </is>
      </c>
      <c r="H462" s="18" t="n"/>
      <c r="I462" s="45" t="n"/>
      <c r="J462" s="77" t="n"/>
      <c r="K462" s="18" t="n"/>
    </row>
    <row r="463">
      <c r="A463" s="18" t="n">
        <v>429</v>
      </c>
      <c r="B463" s="56" t="inlineStr">
        <is>
          <t>00024-REF</t>
        </is>
      </c>
      <c r="C463" s="56">
        <f>IFERROR(_xlfn.XLOOKUP(ENTRADAS[[#This Row],[CODIGO]],LISTADO[CODIGOS],LISTADO[CATEGORIA]),"NO EXISTE")</f>
        <v/>
      </c>
      <c r="D463" s="56">
        <f>IFERROR(_xlfn.XLOOKUP(ENTRADAS[[#This Row],[CODIGO]],LISTADO[CODIGOS],LISTADO[PRODUCTOS]),"NO EXISTE")</f>
        <v/>
      </c>
      <c r="E463" s="19" t="n">
        <v>46076</v>
      </c>
      <c r="F463" s="18" t="n">
        <v>1</v>
      </c>
      <c r="G463" s="18" t="inlineStr">
        <is>
          <t>INVENTARIO</t>
        </is>
      </c>
      <c r="H463" s="18" t="n"/>
      <c r="I463" s="45" t="n"/>
      <c r="J463" s="77" t="n"/>
      <c r="K463" s="18" t="n"/>
    </row>
    <row r="464">
      <c r="A464" s="18" t="n">
        <v>430</v>
      </c>
      <c r="B464" s="56" t="inlineStr">
        <is>
          <t>00025-REF</t>
        </is>
      </c>
      <c r="C464" s="56">
        <f>IFERROR(_xlfn.XLOOKUP(ENTRADAS[[#This Row],[CODIGO]],LISTADO[CODIGOS],LISTADO[CATEGORIA]),"NO EXISTE")</f>
        <v/>
      </c>
      <c r="D464" s="56">
        <f>IFERROR(_xlfn.XLOOKUP(ENTRADAS[[#This Row],[CODIGO]],LISTADO[CODIGOS],LISTADO[PRODUCTOS]),"NO EXISTE")</f>
        <v/>
      </c>
      <c r="E464" s="19" t="n">
        <v>46076</v>
      </c>
      <c r="F464" s="18" t="n">
        <v>3</v>
      </c>
      <c r="G464" s="18" t="inlineStr">
        <is>
          <t>INVENTARIO</t>
        </is>
      </c>
      <c r="H464" s="18" t="n"/>
      <c r="I464" s="45" t="n"/>
      <c r="J464" s="77" t="n"/>
      <c r="K464" s="18" t="n"/>
    </row>
    <row r="465">
      <c r="A465" s="18" t="n">
        <v>431</v>
      </c>
      <c r="B465" s="56" t="inlineStr">
        <is>
          <t>00026-REF</t>
        </is>
      </c>
      <c r="C465" s="56">
        <f>IFERROR(_xlfn.XLOOKUP(ENTRADAS[[#This Row],[CODIGO]],LISTADO[CODIGOS],LISTADO[CATEGORIA]),"NO EXISTE")</f>
        <v/>
      </c>
      <c r="D465" s="56">
        <f>IFERROR(_xlfn.XLOOKUP(ENTRADAS[[#This Row],[CODIGO]],LISTADO[CODIGOS],LISTADO[PRODUCTOS]),"NO EXISTE")</f>
        <v/>
      </c>
      <c r="E465" s="19" t="n">
        <v>46076</v>
      </c>
      <c r="F465" s="18" t="n">
        <v>1</v>
      </c>
      <c r="G465" s="18" t="inlineStr">
        <is>
          <t>INVENTARIO</t>
        </is>
      </c>
      <c r="H465" s="18" t="n"/>
      <c r="I465" s="45" t="n"/>
      <c r="J465" s="77" t="n"/>
      <c r="K465" s="18" t="n"/>
    </row>
    <row r="466">
      <c r="A466" s="18" t="n">
        <v>432</v>
      </c>
      <c r="B466" s="56" t="inlineStr">
        <is>
          <t>00027-REF</t>
        </is>
      </c>
      <c r="C466" s="56">
        <f>IFERROR(_xlfn.XLOOKUP(ENTRADAS[[#This Row],[CODIGO]],LISTADO[CODIGOS],LISTADO[CATEGORIA]),"NO EXISTE")</f>
        <v/>
      </c>
      <c r="D466" s="56">
        <f>IFERROR(_xlfn.XLOOKUP(ENTRADAS[[#This Row],[CODIGO]],LISTADO[CODIGOS],LISTADO[PRODUCTOS]),"NO EXISTE")</f>
        <v/>
      </c>
      <c r="E466" s="19" t="n">
        <v>46076</v>
      </c>
      <c r="F466" s="18" t="n">
        <v>1</v>
      </c>
      <c r="G466" s="18" t="inlineStr">
        <is>
          <t>INVENTARIO</t>
        </is>
      </c>
      <c r="H466" s="18" t="n"/>
      <c r="I466" s="45" t="n"/>
      <c r="J466" s="77" t="n"/>
      <c r="K466" s="18" t="n"/>
    </row>
    <row r="467">
      <c r="A467" s="18" t="n">
        <v>433</v>
      </c>
      <c r="B467" s="56" t="inlineStr">
        <is>
          <t>00028-REF</t>
        </is>
      </c>
      <c r="C467" s="56">
        <f>IFERROR(_xlfn.XLOOKUP(ENTRADAS[[#This Row],[CODIGO]],LISTADO[CODIGOS],LISTADO[CATEGORIA]),"NO EXISTE")</f>
        <v/>
      </c>
      <c r="D467" s="56">
        <f>IFERROR(_xlfn.XLOOKUP(ENTRADAS[[#This Row],[CODIGO]],LISTADO[CODIGOS],LISTADO[PRODUCTOS]),"NO EXISTE")</f>
        <v/>
      </c>
      <c r="E467" s="19" t="n">
        <v>46076</v>
      </c>
      <c r="F467" s="18" t="n">
        <v>5</v>
      </c>
      <c r="G467" s="18" t="inlineStr">
        <is>
          <t>INVENTARIO</t>
        </is>
      </c>
      <c r="H467" s="18" t="n"/>
      <c r="I467" s="45" t="n"/>
      <c r="J467" s="77" t="n"/>
      <c r="K467" s="18" t="n"/>
    </row>
    <row r="468">
      <c r="A468" s="18" t="n">
        <v>434</v>
      </c>
      <c r="B468" s="56" t="inlineStr">
        <is>
          <t>00029-REF</t>
        </is>
      </c>
      <c r="C468" s="56">
        <f>IFERROR(_xlfn.XLOOKUP(ENTRADAS[[#This Row],[CODIGO]],LISTADO[CODIGOS],LISTADO[CATEGORIA]),"NO EXISTE")</f>
        <v/>
      </c>
      <c r="D468" s="56">
        <f>IFERROR(_xlfn.XLOOKUP(ENTRADAS[[#This Row],[CODIGO]],LISTADO[CODIGOS],LISTADO[PRODUCTOS]),"NO EXISTE")</f>
        <v/>
      </c>
      <c r="E468" s="19" t="n">
        <v>46076</v>
      </c>
      <c r="F468" s="18" t="n">
        <v>3</v>
      </c>
      <c r="G468" s="18" t="inlineStr">
        <is>
          <t>INVENTARIO</t>
        </is>
      </c>
      <c r="H468" s="18" t="n"/>
      <c r="I468" s="45" t="n"/>
      <c r="J468" s="77" t="n"/>
      <c r="K468" s="18" t="n"/>
    </row>
    <row r="469">
      <c r="A469" s="18" t="n">
        <v>435</v>
      </c>
      <c r="B469" s="56" t="inlineStr">
        <is>
          <t>00030-REF</t>
        </is>
      </c>
      <c r="C469" s="56">
        <f>IFERROR(_xlfn.XLOOKUP(ENTRADAS[[#This Row],[CODIGO]],LISTADO[CODIGOS],LISTADO[CATEGORIA]),"NO EXISTE")</f>
        <v/>
      </c>
      <c r="D469" s="56">
        <f>IFERROR(_xlfn.XLOOKUP(ENTRADAS[[#This Row],[CODIGO]],LISTADO[CODIGOS],LISTADO[PRODUCTOS]),"NO EXISTE")</f>
        <v/>
      </c>
      <c r="E469" s="19" t="n">
        <v>46076</v>
      </c>
      <c r="F469" s="18" t="n">
        <v>5</v>
      </c>
      <c r="G469" s="18" t="inlineStr">
        <is>
          <t>INVENTARIO</t>
        </is>
      </c>
      <c r="H469" s="18" t="n"/>
      <c r="I469" s="45" t="n"/>
      <c r="J469" s="77" t="n"/>
      <c r="K469" s="18" t="n"/>
    </row>
    <row r="470">
      <c r="A470" s="18" t="n">
        <v>436</v>
      </c>
      <c r="B470" s="56" t="inlineStr">
        <is>
          <t>00031-REF</t>
        </is>
      </c>
      <c r="C470" s="56">
        <f>IFERROR(_xlfn.XLOOKUP(ENTRADAS[[#This Row],[CODIGO]],LISTADO[CODIGOS],LISTADO[CATEGORIA]),"NO EXISTE")</f>
        <v/>
      </c>
      <c r="D470" s="56">
        <f>IFERROR(_xlfn.XLOOKUP(ENTRADAS[[#This Row],[CODIGO]],LISTADO[CODIGOS],LISTADO[PRODUCTOS]),"NO EXISTE")</f>
        <v/>
      </c>
      <c r="E470" s="19" t="n">
        <v>46076</v>
      </c>
      <c r="F470" s="18" t="n">
        <v>3</v>
      </c>
      <c r="G470" s="18" t="inlineStr">
        <is>
          <t>INVENTARIO</t>
        </is>
      </c>
      <c r="H470" s="18" t="n"/>
      <c r="I470" s="45" t="n"/>
      <c r="J470" s="77" t="n"/>
      <c r="K470" s="18" t="n"/>
    </row>
    <row r="471">
      <c r="A471" s="18" t="n">
        <v>437</v>
      </c>
      <c r="B471" s="56" t="inlineStr">
        <is>
          <t>00032-REF</t>
        </is>
      </c>
      <c r="C471" s="56">
        <f>IFERROR(_xlfn.XLOOKUP(ENTRADAS[[#This Row],[CODIGO]],LISTADO[CODIGOS],LISTADO[CATEGORIA]),"NO EXISTE")</f>
        <v/>
      </c>
      <c r="D471" s="56">
        <f>IFERROR(_xlfn.XLOOKUP(ENTRADAS[[#This Row],[CODIGO]],LISTADO[CODIGOS],LISTADO[PRODUCTOS]),"NO EXISTE")</f>
        <v/>
      </c>
      <c r="E471" s="19" t="n">
        <v>46076</v>
      </c>
      <c r="F471" s="18" t="n">
        <v>1</v>
      </c>
      <c r="G471" s="18" t="inlineStr">
        <is>
          <t>INVENTARIO</t>
        </is>
      </c>
      <c r="H471" s="18" t="n"/>
      <c r="I471" s="45" t="n"/>
      <c r="J471" s="77" t="n"/>
      <c r="K471" s="18" t="n"/>
    </row>
    <row r="472">
      <c r="A472" s="18" t="n">
        <v>438</v>
      </c>
      <c r="B472" s="56" t="inlineStr">
        <is>
          <t>00033-REF</t>
        </is>
      </c>
      <c r="C472" s="56">
        <f>IFERROR(_xlfn.XLOOKUP(ENTRADAS[[#This Row],[CODIGO]],LISTADO[CODIGOS],LISTADO[CATEGORIA]),"NO EXISTE")</f>
        <v/>
      </c>
      <c r="D472" s="56">
        <f>IFERROR(_xlfn.XLOOKUP(ENTRADAS[[#This Row],[CODIGO]],LISTADO[CODIGOS],LISTADO[PRODUCTOS]),"NO EXISTE")</f>
        <v/>
      </c>
      <c r="E472" s="19" t="n">
        <v>46076</v>
      </c>
      <c r="F472" s="18" t="n">
        <v>5</v>
      </c>
      <c r="G472" s="18" t="inlineStr">
        <is>
          <t>INVENTARIO</t>
        </is>
      </c>
      <c r="H472" s="18" t="n"/>
      <c r="I472" s="45" t="n"/>
      <c r="J472" s="77" t="n"/>
      <c r="K472" s="18" t="n"/>
    </row>
    <row r="473">
      <c r="A473" s="18" t="n">
        <v>439</v>
      </c>
      <c r="B473" s="56" t="inlineStr">
        <is>
          <t>00034-REF</t>
        </is>
      </c>
      <c r="C473" s="56">
        <f>IFERROR(_xlfn.XLOOKUP(ENTRADAS[[#This Row],[CODIGO]],LISTADO[CODIGOS],LISTADO[CATEGORIA]),"NO EXISTE")</f>
        <v/>
      </c>
      <c r="D473" s="56">
        <f>IFERROR(_xlfn.XLOOKUP(ENTRADAS[[#This Row],[CODIGO]],LISTADO[CODIGOS],LISTADO[PRODUCTOS]),"NO EXISTE")</f>
        <v/>
      </c>
      <c r="E473" s="19" t="n">
        <v>46076</v>
      </c>
      <c r="F473" s="18" t="n">
        <v>2</v>
      </c>
      <c r="G473" s="18" t="inlineStr">
        <is>
          <t>INVENTARIO</t>
        </is>
      </c>
      <c r="H473" s="18" t="n"/>
      <c r="I473" s="45" t="n"/>
      <c r="J473" s="77" t="n"/>
      <c r="K473" s="18" t="n"/>
    </row>
    <row r="474">
      <c r="A474" s="18" t="n">
        <v>440</v>
      </c>
      <c r="B474" s="56" t="inlineStr">
        <is>
          <t>00035-REF</t>
        </is>
      </c>
      <c r="C474" s="56">
        <f>IFERROR(_xlfn.XLOOKUP(ENTRADAS[[#This Row],[CODIGO]],LISTADO[CODIGOS],LISTADO[CATEGORIA]),"NO EXISTE")</f>
        <v/>
      </c>
      <c r="D474" s="56">
        <f>IFERROR(_xlfn.XLOOKUP(ENTRADAS[[#This Row],[CODIGO]],LISTADO[CODIGOS],LISTADO[PRODUCTOS]),"NO EXISTE")</f>
        <v/>
      </c>
      <c r="E474" s="19" t="n">
        <v>46076</v>
      </c>
      <c r="F474" s="18" t="n">
        <v>6</v>
      </c>
      <c r="G474" s="18" t="inlineStr">
        <is>
          <t>INVENTARIO</t>
        </is>
      </c>
      <c r="H474" s="18" t="n"/>
      <c r="I474" s="45" t="n"/>
      <c r="J474" s="77" t="n"/>
      <c r="K474" s="18" t="n"/>
    </row>
    <row r="475">
      <c r="A475" s="18" t="n">
        <v>441</v>
      </c>
      <c r="B475" s="56" t="inlineStr">
        <is>
          <t>00036-REF</t>
        </is>
      </c>
      <c r="C475" s="56">
        <f>IFERROR(_xlfn.XLOOKUP(ENTRADAS[[#This Row],[CODIGO]],LISTADO[CODIGOS],LISTADO[CATEGORIA]),"NO EXISTE")</f>
        <v/>
      </c>
      <c r="D475" s="56">
        <f>IFERROR(_xlfn.XLOOKUP(ENTRADAS[[#This Row],[CODIGO]],LISTADO[CODIGOS],LISTADO[PRODUCTOS]),"NO EXISTE")</f>
        <v/>
      </c>
      <c r="E475" s="19" t="n">
        <v>46076</v>
      </c>
      <c r="F475" s="18" t="n">
        <v>18</v>
      </c>
      <c r="G475" s="18" t="inlineStr">
        <is>
          <t>INVENTARIO</t>
        </is>
      </c>
      <c r="H475" s="18" t="n"/>
      <c r="I475" s="45" t="n"/>
      <c r="J475" s="77" t="n"/>
      <c r="K475" s="18" t="n"/>
    </row>
    <row r="476">
      <c r="A476" s="18" t="n">
        <v>442</v>
      </c>
      <c r="B476" s="56" t="inlineStr">
        <is>
          <t>00037-REF</t>
        </is>
      </c>
      <c r="C476" s="56">
        <f>IFERROR(_xlfn.XLOOKUP(ENTRADAS[[#This Row],[CODIGO]],LISTADO[CODIGOS],LISTADO[CATEGORIA]),"NO EXISTE")</f>
        <v/>
      </c>
      <c r="D476" s="56">
        <f>IFERROR(_xlfn.XLOOKUP(ENTRADAS[[#This Row],[CODIGO]],LISTADO[CODIGOS],LISTADO[PRODUCTOS]),"NO EXISTE")</f>
        <v/>
      </c>
      <c r="E476" s="19" t="n">
        <v>46076</v>
      </c>
      <c r="F476" s="18" t="n">
        <v>2</v>
      </c>
      <c r="G476" s="18" t="inlineStr">
        <is>
          <t>INVENTARIO</t>
        </is>
      </c>
      <c r="H476" s="18" t="n"/>
      <c r="I476" s="45" t="n"/>
      <c r="J476" s="77" t="n"/>
      <c r="K476" s="18" t="n"/>
    </row>
    <row r="477">
      <c r="A477" s="18" t="n">
        <v>443</v>
      </c>
      <c r="B477" s="56" t="inlineStr">
        <is>
          <t>00038-REF</t>
        </is>
      </c>
      <c r="C477" s="56">
        <f>IFERROR(_xlfn.XLOOKUP(ENTRADAS[[#This Row],[CODIGO]],LISTADO[CODIGOS],LISTADO[CATEGORIA]),"NO EXISTE")</f>
        <v/>
      </c>
      <c r="D477" s="56">
        <f>IFERROR(_xlfn.XLOOKUP(ENTRADAS[[#This Row],[CODIGO]],LISTADO[CODIGOS],LISTADO[PRODUCTOS]),"NO EXISTE")</f>
        <v/>
      </c>
      <c r="E477" s="19" t="n">
        <v>46076</v>
      </c>
      <c r="F477" s="18" t="n">
        <v>3</v>
      </c>
      <c r="G477" s="18" t="inlineStr">
        <is>
          <t>INVENTARIO</t>
        </is>
      </c>
      <c r="H477" s="18" t="n"/>
      <c r="I477" s="45" t="n"/>
      <c r="J477" s="77" t="n"/>
      <c r="K477" s="18" t="n"/>
    </row>
    <row r="478">
      <c r="A478" s="18" t="n">
        <v>444</v>
      </c>
      <c r="B478" s="56" t="inlineStr">
        <is>
          <t>00039-REF</t>
        </is>
      </c>
      <c r="C478" s="56">
        <f>IFERROR(_xlfn.XLOOKUP(ENTRADAS[[#This Row],[CODIGO]],LISTADO[CODIGOS],LISTADO[CATEGORIA]),"NO EXISTE")</f>
        <v/>
      </c>
      <c r="D478" s="56">
        <f>IFERROR(_xlfn.XLOOKUP(ENTRADAS[[#This Row],[CODIGO]],LISTADO[CODIGOS],LISTADO[PRODUCTOS]),"NO EXISTE")</f>
        <v/>
      </c>
      <c r="E478" s="19" t="n">
        <v>46076</v>
      </c>
      <c r="F478" s="18" t="n">
        <v>3</v>
      </c>
      <c r="G478" s="18" t="inlineStr">
        <is>
          <t>INVENTARIO</t>
        </is>
      </c>
      <c r="H478" s="18" t="n"/>
      <c r="I478" s="45" t="n"/>
      <c r="J478" s="77" t="n"/>
      <c r="K478" s="18" t="n"/>
    </row>
    <row r="479">
      <c r="A479" s="18" t="n">
        <v>445</v>
      </c>
      <c r="B479" s="56" t="inlineStr">
        <is>
          <t>00040-REF</t>
        </is>
      </c>
      <c r="C479" s="56">
        <f>IFERROR(_xlfn.XLOOKUP(ENTRADAS[[#This Row],[CODIGO]],LISTADO[CODIGOS],LISTADO[CATEGORIA]),"NO EXISTE")</f>
        <v/>
      </c>
      <c r="D479" s="56">
        <f>IFERROR(_xlfn.XLOOKUP(ENTRADAS[[#This Row],[CODIGO]],LISTADO[CODIGOS],LISTADO[PRODUCTOS]),"NO EXISTE")</f>
        <v/>
      </c>
      <c r="E479" s="19" t="n">
        <v>46076</v>
      </c>
      <c r="F479" s="18" t="n">
        <v>3</v>
      </c>
      <c r="G479" s="18" t="inlineStr">
        <is>
          <t>INVENTARIO</t>
        </is>
      </c>
      <c r="H479" s="18" t="n"/>
      <c r="I479" s="45" t="n"/>
      <c r="J479" s="77" t="n"/>
      <c r="K479" s="18" t="n"/>
    </row>
    <row r="480">
      <c r="A480" s="18" t="n">
        <v>446</v>
      </c>
      <c r="B480" s="56" t="inlineStr">
        <is>
          <t>00041-REF</t>
        </is>
      </c>
      <c r="C480" s="56">
        <f>IFERROR(_xlfn.XLOOKUP(ENTRADAS[[#This Row],[CODIGO]],LISTADO[CODIGOS],LISTADO[CATEGORIA]),"NO EXISTE")</f>
        <v/>
      </c>
      <c r="D480" s="56">
        <f>IFERROR(_xlfn.XLOOKUP(ENTRADAS[[#This Row],[CODIGO]],LISTADO[CODIGOS],LISTADO[PRODUCTOS]),"NO EXISTE")</f>
        <v/>
      </c>
      <c r="E480" s="19" t="n">
        <v>46076</v>
      </c>
      <c r="F480" s="18" t="n">
        <v>9</v>
      </c>
      <c r="G480" s="18" t="inlineStr">
        <is>
          <t>INVENTARIO</t>
        </is>
      </c>
      <c r="H480" s="18" t="n"/>
      <c r="I480" s="45" t="n"/>
      <c r="J480" s="77" t="n"/>
      <c r="K480" s="18" t="n"/>
    </row>
    <row r="481">
      <c r="A481" s="18" t="n">
        <v>447</v>
      </c>
      <c r="B481" s="56" t="inlineStr">
        <is>
          <t>00042-REF</t>
        </is>
      </c>
      <c r="C481" s="56">
        <f>IFERROR(_xlfn.XLOOKUP(ENTRADAS[[#This Row],[CODIGO]],LISTADO[CODIGOS],LISTADO[CATEGORIA]),"NO EXISTE")</f>
        <v/>
      </c>
      <c r="D481" s="56">
        <f>IFERROR(_xlfn.XLOOKUP(ENTRADAS[[#This Row],[CODIGO]],LISTADO[CODIGOS],LISTADO[PRODUCTOS]),"NO EXISTE")</f>
        <v/>
      </c>
      <c r="E481" s="19" t="n">
        <v>46076</v>
      </c>
      <c r="F481" s="18" t="n">
        <v>1</v>
      </c>
      <c r="G481" s="18" t="inlineStr">
        <is>
          <t>INVENTARIO</t>
        </is>
      </c>
      <c r="H481" s="18" t="n"/>
      <c r="I481" s="45" t="n"/>
      <c r="J481" s="77" t="n"/>
      <c r="K481" s="18" t="n"/>
    </row>
    <row r="482">
      <c r="A482" s="18" t="n">
        <v>448</v>
      </c>
      <c r="B482" s="56" t="inlineStr">
        <is>
          <t>00043-REF</t>
        </is>
      </c>
      <c r="C482" s="56">
        <f>IFERROR(_xlfn.XLOOKUP(ENTRADAS[[#This Row],[CODIGO]],LISTADO[CODIGOS],LISTADO[CATEGORIA]),"NO EXISTE")</f>
        <v/>
      </c>
      <c r="D482" s="56">
        <f>IFERROR(_xlfn.XLOOKUP(ENTRADAS[[#This Row],[CODIGO]],LISTADO[CODIGOS],LISTADO[PRODUCTOS]),"NO EXISTE")</f>
        <v/>
      </c>
      <c r="E482" s="19" t="n">
        <v>46076</v>
      </c>
      <c r="F482" s="18" t="n">
        <v>3</v>
      </c>
      <c r="G482" s="18" t="inlineStr">
        <is>
          <t>INVENTARIO</t>
        </is>
      </c>
      <c r="H482" s="18" t="n"/>
      <c r="I482" s="45" t="n"/>
      <c r="J482" s="77" t="n"/>
      <c r="K482" s="18" t="n"/>
    </row>
    <row r="483">
      <c r="A483" s="18" t="n">
        <v>449</v>
      </c>
      <c r="B483" s="56" t="inlineStr">
        <is>
          <t>00044-REF</t>
        </is>
      </c>
      <c r="C483" s="56">
        <f>IFERROR(_xlfn.XLOOKUP(ENTRADAS[[#This Row],[CODIGO]],LISTADO[CODIGOS],LISTADO[CATEGORIA]),"NO EXISTE")</f>
        <v/>
      </c>
      <c r="D483" s="56">
        <f>IFERROR(_xlfn.XLOOKUP(ENTRADAS[[#This Row],[CODIGO]],LISTADO[CODIGOS],LISTADO[PRODUCTOS]),"NO EXISTE")</f>
        <v/>
      </c>
      <c r="E483" s="19" t="n">
        <v>46076</v>
      </c>
      <c r="F483" s="18" t="n">
        <v>1</v>
      </c>
      <c r="G483" s="18" t="inlineStr">
        <is>
          <t>INVENTARIO</t>
        </is>
      </c>
      <c r="H483" s="18" t="n"/>
      <c r="I483" s="45" t="n"/>
      <c r="J483" s="77" t="n"/>
      <c r="K483" s="18" t="n"/>
    </row>
    <row r="484">
      <c r="A484" s="18" t="n">
        <v>450</v>
      </c>
      <c r="B484" s="56" t="inlineStr">
        <is>
          <t>00045-REF</t>
        </is>
      </c>
      <c r="C484" s="56">
        <f>IFERROR(_xlfn.XLOOKUP(ENTRADAS[[#This Row],[CODIGO]],LISTADO[CODIGOS],LISTADO[CATEGORIA]),"NO EXISTE")</f>
        <v/>
      </c>
      <c r="D484" s="56">
        <f>IFERROR(_xlfn.XLOOKUP(ENTRADAS[[#This Row],[CODIGO]],LISTADO[CODIGOS],LISTADO[PRODUCTOS]),"NO EXISTE")</f>
        <v/>
      </c>
      <c r="E484" s="19" t="n">
        <v>46076</v>
      </c>
      <c r="F484" s="18" t="n">
        <v>2</v>
      </c>
      <c r="G484" s="18" t="inlineStr">
        <is>
          <t>INVENTARIO</t>
        </is>
      </c>
      <c r="H484" s="18" t="n"/>
      <c r="I484" s="45" t="n"/>
      <c r="J484" s="77" t="n"/>
      <c r="K484" s="18" t="n"/>
    </row>
    <row r="485">
      <c r="A485" s="18" t="n">
        <v>451</v>
      </c>
      <c r="B485" s="56" t="inlineStr">
        <is>
          <t>00046-REF</t>
        </is>
      </c>
      <c r="C485" s="56">
        <f>IFERROR(_xlfn.XLOOKUP(ENTRADAS[[#This Row],[CODIGO]],LISTADO[CODIGOS],LISTADO[CATEGORIA]),"NO EXISTE")</f>
        <v/>
      </c>
      <c r="D485" s="56">
        <f>IFERROR(_xlfn.XLOOKUP(ENTRADAS[[#This Row],[CODIGO]],LISTADO[CODIGOS],LISTADO[PRODUCTOS]),"NO EXISTE")</f>
        <v/>
      </c>
      <c r="E485" s="19" t="n">
        <v>46076</v>
      </c>
      <c r="F485" s="18" t="n">
        <v>1</v>
      </c>
      <c r="G485" s="18" t="inlineStr">
        <is>
          <t>INVENTARIO</t>
        </is>
      </c>
      <c r="H485" s="18" t="n"/>
      <c r="I485" s="45" t="n"/>
      <c r="J485" s="77" t="n"/>
      <c r="K485" s="18" t="n"/>
    </row>
    <row r="486">
      <c r="A486" s="18" t="n">
        <v>452</v>
      </c>
      <c r="B486" s="56" t="inlineStr">
        <is>
          <t>00047-REF</t>
        </is>
      </c>
      <c r="C486" s="56">
        <f>IFERROR(_xlfn.XLOOKUP(ENTRADAS[[#This Row],[CODIGO]],LISTADO[CODIGOS],LISTADO[CATEGORIA]),"NO EXISTE")</f>
        <v/>
      </c>
      <c r="D486" s="56">
        <f>IFERROR(_xlfn.XLOOKUP(ENTRADAS[[#This Row],[CODIGO]],LISTADO[CODIGOS],LISTADO[PRODUCTOS]),"NO EXISTE")</f>
        <v/>
      </c>
      <c r="E486" s="19" t="n">
        <v>46076</v>
      </c>
      <c r="F486" s="18" t="n">
        <v>1</v>
      </c>
      <c r="G486" s="18" t="inlineStr">
        <is>
          <t>INVENTARIO</t>
        </is>
      </c>
      <c r="H486" s="18" t="n"/>
      <c r="I486" s="45" t="n"/>
      <c r="J486" s="77" t="n"/>
      <c r="K486" s="18" t="n"/>
    </row>
    <row r="487">
      <c r="A487" s="18" t="n">
        <v>453</v>
      </c>
      <c r="B487" s="56" t="inlineStr">
        <is>
          <t>00048-REF</t>
        </is>
      </c>
      <c r="C487" s="56">
        <f>IFERROR(_xlfn.XLOOKUP(ENTRADAS[[#This Row],[CODIGO]],LISTADO[CODIGOS],LISTADO[CATEGORIA]),"NO EXISTE")</f>
        <v/>
      </c>
      <c r="D487" s="56">
        <f>IFERROR(_xlfn.XLOOKUP(ENTRADAS[[#This Row],[CODIGO]],LISTADO[CODIGOS],LISTADO[PRODUCTOS]),"NO EXISTE")</f>
        <v/>
      </c>
      <c r="E487" s="19" t="n">
        <v>46076</v>
      </c>
      <c r="F487" s="18" t="n">
        <v>1</v>
      </c>
      <c r="G487" s="18" t="inlineStr">
        <is>
          <t>INVENTARIO</t>
        </is>
      </c>
      <c r="H487" s="18" t="n"/>
      <c r="I487" s="45" t="n"/>
      <c r="J487" s="77" t="n"/>
      <c r="K487" s="18" t="n"/>
    </row>
    <row r="488">
      <c r="A488" s="18" t="n">
        <v>455</v>
      </c>
      <c r="B488" s="56" t="inlineStr">
        <is>
          <t>00050-REF</t>
        </is>
      </c>
      <c r="C488" s="56">
        <f>IFERROR(_xlfn.XLOOKUP(ENTRADAS[[#This Row],[CODIGO]],LISTADO[CODIGOS],LISTADO[CATEGORIA]),"NO EXISTE")</f>
        <v/>
      </c>
      <c r="D488" s="56">
        <f>IFERROR(_xlfn.XLOOKUP(ENTRADAS[[#This Row],[CODIGO]],LISTADO[CODIGOS],LISTADO[PRODUCTOS]),"NO EXISTE")</f>
        <v/>
      </c>
      <c r="E488" s="19" t="n">
        <v>46076</v>
      </c>
      <c r="F488" s="18" t="n">
        <v>3</v>
      </c>
      <c r="G488" s="18" t="inlineStr">
        <is>
          <t>INVENTARIO</t>
        </is>
      </c>
      <c r="H488" s="18" t="n"/>
      <c r="I488" s="45" t="n"/>
      <c r="J488" s="77" t="n"/>
      <c r="K488" s="18" t="n"/>
    </row>
    <row r="489">
      <c r="A489" s="18" t="n">
        <v>456</v>
      </c>
      <c r="B489" s="56" t="inlineStr">
        <is>
          <t>00051-REF</t>
        </is>
      </c>
      <c r="C489" s="56">
        <f>IFERROR(_xlfn.XLOOKUP(ENTRADAS[[#This Row],[CODIGO]],LISTADO[CODIGOS],LISTADO[CATEGORIA]),"NO EXISTE")</f>
        <v/>
      </c>
      <c r="D489" s="56">
        <f>IFERROR(_xlfn.XLOOKUP(ENTRADAS[[#This Row],[CODIGO]],LISTADO[CODIGOS],LISTADO[PRODUCTOS]),"NO EXISTE")</f>
        <v/>
      </c>
      <c r="E489" s="19" t="n">
        <v>46076</v>
      </c>
      <c r="F489" s="18" t="n">
        <v>3</v>
      </c>
      <c r="G489" s="18" t="inlineStr">
        <is>
          <t>INVENTARIO</t>
        </is>
      </c>
      <c r="H489" s="18" t="n"/>
      <c r="I489" s="45" t="n"/>
      <c r="J489" s="77" t="n"/>
      <c r="K489" s="18" t="n"/>
    </row>
    <row r="490">
      <c r="A490" s="18" t="n">
        <v>457</v>
      </c>
      <c r="B490" s="56" t="inlineStr">
        <is>
          <t>00052-REF</t>
        </is>
      </c>
      <c r="C490" s="56">
        <f>IFERROR(_xlfn.XLOOKUP(ENTRADAS[[#This Row],[CODIGO]],LISTADO[CODIGOS],LISTADO[CATEGORIA]),"NO EXISTE")</f>
        <v/>
      </c>
      <c r="D490" s="56">
        <f>IFERROR(_xlfn.XLOOKUP(ENTRADAS[[#This Row],[CODIGO]],LISTADO[CODIGOS],LISTADO[PRODUCTOS]),"NO EXISTE")</f>
        <v/>
      </c>
      <c r="E490" s="19" t="n">
        <v>46076</v>
      </c>
      <c r="F490" s="18" t="n">
        <v>4</v>
      </c>
      <c r="G490" s="18" t="inlineStr">
        <is>
          <t>INVENTARIO</t>
        </is>
      </c>
      <c r="H490" s="18" t="n"/>
      <c r="I490" s="45" t="n"/>
      <c r="J490" s="77" t="n"/>
      <c r="K490" s="18" t="n"/>
    </row>
    <row r="491">
      <c r="A491" s="18" t="n">
        <v>458</v>
      </c>
      <c r="B491" s="56" t="inlineStr">
        <is>
          <t>00053-REF</t>
        </is>
      </c>
      <c r="C491" s="56">
        <f>IFERROR(_xlfn.XLOOKUP(ENTRADAS[[#This Row],[CODIGO]],LISTADO[CODIGOS],LISTADO[CATEGORIA]),"NO EXISTE")</f>
        <v/>
      </c>
      <c r="D491" s="56">
        <f>IFERROR(_xlfn.XLOOKUP(ENTRADAS[[#This Row],[CODIGO]],LISTADO[CODIGOS],LISTADO[PRODUCTOS]),"NO EXISTE")</f>
        <v/>
      </c>
      <c r="E491" s="19" t="n">
        <v>46076</v>
      </c>
      <c r="F491" s="18" t="n">
        <v>2</v>
      </c>
      <c r="G491" s="18" t="inlineStr">
        <is>
          <t>INVENTARIO</t>
        </is>
      </c>
      <c r="H491" s="18" t="n"/>
      <c r="I491" s="45" t="n"/>
      <c r="J491" s="77" t="n"/>
      <c r="K491" s="18" t="n"/>
    </row>
    <row r="492">
      <c r="A492" s="18" t="n">
        <v>459</v>
      </c>
      <c r="B492" s="56" t="inlineStr">
        <is>
          <t>00054-REF</t>
        </is>
      </c>
      <c r="C492" s="56">
        <f>IFERROR(_xlfn.XLOOKUP(ENTRADAS[[#This Row],[CODIGO]],LISTADO[CODIGOS],LISTADO[CATEGORIA]),"NO EXISTE")</f>
        <v/>
      </c>
      <c r="D492" s="56">
        <f>IFERROR(_xlfn.XLOOKUP(ENTRADAS[[#This Row],[CODIGO]],LISTADO[CODIGOS],LISTADO[PRODUCTOS]),"NO EXISTE")</f>
        <v/>
      </c>
      <c r="E492" s="19" t="n">
        <v>46076</v>
      </c>
      <c r="F492" s="18" t="n">
        <v>4</v>
      </c>
      <c r="G492" s="18" t="inlineStr">
        <is>
          <t>INVENTARIO</t>
        </is>
      </c>
      <c r="H492" s="18" t="n"/>
      <c r="I492" s="45" t="n"/>
      <c r="J492" s="77" t="n"/>
      <c r="K492" s="18" t="n"/>
    </row>
    <row r="493">
      <c r="A493" s="18" t="n">
        <v>460</v>
      </c>
      <c r="B493" s="56" t="inlineStr">
        <is>
          <t>00055-REF</t>
        </is>
      </c>
      <c r="C493" s="56">
        <f>IFERROR(_xlfn.XLOOKUP(ENTRADAS[[#This Row],[CODIGO]],LISTADO[CODIGOS],LISTADO[CATEGORIA]),"NO EXISTE")</f>
        <v/>
      </c>
      <c r="D493" s="56">
        <f>IFERROR(_xlfn.XLOOKUP(ENTRADAS[[#This Row],[CODIGO]],LISTADO[CODIGOS],LISTADO[PRODUCTOS]),"NO EXISTE")</f>
        <v/>
      </c>
      <c r="E493" s="19" t="n">
        <v>46076</v>
      </c>
      <c r="F493" s="18" t="n">
        <v>1</v>
      </c>
      <c r="G493" s="18" t="inlineStr">
        <is>
          <t>INVENTARIO</t>
        </is>
      </c>
      <c r="H493" s="18" t="n"/>
      <c r="I493" s="45" t="n"/>
      <c r="J493" s="77" t="n"/>
      <c r="K493" s="18" t="n"/>
    </row>
    <row r="494">
      <c r="A494" s="18" t="n">
        <v>461</v>
      </c>
      <c r="B494" s="56" t="inlineStr">
        <is>
          <t>00056-REF</t>
        </is>
      </c>
      <c r="C494" s="56">
        <f>IFERROR(_xlfn.XLOOKUP(ENTRADAS[[#This Row],[CODIGO]],LISTADO[CODIGOS],LISTADO[CATEGORIA]),"NO EXISTE")</f>
        <v/>
      </c>
      <c r="D494" s="56">
        <f>IFERROR(_xlfn.XLOOKUP(ENTRADAS[[#This Row],[CODIGO]],LISTADO[CODIGOS],LISTADO[PRODUCTOS]),"NO EXISTE")</f>
        <v/>
      </c>
      <c r="E494" s="19" t="n">
        <v>46076</v>
      </c>
      <c r="F494" s="18" t="n">
        <v>2</v>
      </c>
      <c r="G494" s="18" t="inlineStr">
        <is>
          <t>INVENTARIO</t>
        </is>
      </c>
      <c r="H494" s="18" t="n"/>
      <c r="I494" s="45" t="n"/>
      <c r="J494" s="77" t="n"/>
      <c r="K494" s="18" t="n"/>
    </row>
    <row r="495">
      <c r="A495" s="18" t="n">
        <v>462</v>
      </c>
      <c r="B495" s="56" t="inlineStr">
        <is>
          <t>00057-REF</t>
        </is>
      </c>
      <c r="C495" s="56">
        <f>IFERROR(_xlfn.XLOOKUP(ENTRADAS[[#This Row],[CODIGO]],LISTADO[CODIGOS],LISTADO[CATEGORIA]),"NO EXISTE")</f>
        <v/>
      </c>
      <c r="D495" s="56">
        <f>IFERROR(_xlfn.XLOOKUP(ENTRADAS[[#This Row],[CODIGO]],LISTADO[CODIGOS],LISTADO[PRODUCTOS]),"NO EXISTE")</f>
        <v/>
      </c>
      <c r="E495" s="19" t="n">
        <v>46076</v>
      </c>
      <c r="F495" s="18" t="n">
        <v>1</v>
      </c>
      <c r="G495" s="18" t="inlineStr">
        <is>
          <t>INVENTARIO</t>
        </is>
      </c>
      <c r="H495" s="18" t="n"/>
      <c r="I495" s="45" t="n"/>
      <c r="J495" s="77" t="n"/>
      <c r="K495" s="18" t="n"/>
    </row>
    <row r="496">
      <c r="A496" s="18" t="n">
        <v>463</v>
      </c>
      <c r="B496" s="56" t="inlineStr">
        <is>
          <t>00058-REF</t>
        </is>
      </c>
      <c r="C496" s="56">
        <f>IFERROR(_xlfn.XLOOKUP(ENTRADAS[[#This Row],[CODIGO]],LISTADO[CODIGOS],LISTADO[CATEGORIA]),"NO EXISTE")</f>
        <v/>
      </c>
      <c r="D496" s="56">
        <f>IFERROR(_xlfn.XLOOKUP(ENTRADAS[[#This Row],[CODIGO]],LISTADO[CODIGOS],LISTADO[PRODUCTOS]),"NO EXISTE")</f>
        <v/>
      </c>
      <c r="E496" s="19" t="n">
        <v>46076</v>
      </c>
      <c r="F496" s="18" t="n">
        <v>1</v>
      </c>
      <c r="G496" s="18" t="inlineStr">
        <is>
          <t>INVENTARIO</t>
        </is>
      </c>
      <c r="H496" s="18" t="n"/>
      <c r="I496" s="45" t="n"/>
      <c r="J496" s="77" t="n"/>
      <c r="K496" s="18" t="n"/>
    </row>
    <row r="497">
      <c r="A497" s="18" t="n">
        <v>464</v>
      </c>
      <c r="B497" s="56" t="inlineStr">
        <is>
          <t>00059-REF</t>
        </is>
      </c>
      <c r="C497" s="56">
        <f>IFERROR(_xlfn.XLOOKUP(ENTRADAS[[#This Row],[CODIGO]],LISTADO[CODIGOS],LISTADO[CATEGORIA]),"NO EXISTE")</f>
        <v/>
      </c>
      <c r="D497" s="56">
        <f>IFERROR(_xlfn.XLOOKUP(ENTRADAS[[#This Row],[CODIGO]],LISTADO[CODIGOS],LISTADO[PRODUCTOS]),"NO EXISTE")</f>
        <v/>
      </c>
      <c r="E497" s="19" t="n">
        <v>46076</v>
      </c>
      <c r="F497" s="18" t="n">
        <v>1</v>
      </c>
      <c r="G497" s="18" t="inlineStr">
        <is>
          <t>INVENTARIO</t>
        </is>
      </c>
      <c r="H497" s="18" t="n"/>
      <c r="I497" s="45" t="n"/>
      <c r="J497" s="77" t="n"/>
      <c r="K497" s="18" t="n"/>
    </row>
    <row r="498">
      <c r="A498" s="18" t="n">
        <v>465</v>
      </c>
      <c r="B498" s="56" t="inlineStr">
        <is>
          <t>00060-REF</t>
        </is>
      </c>
      <c r="C498" s="56">
        <f>IFERROR(_xlfn.XLOOKUP(ENTRADAS[[#This Row],[CODIGO]],LISTADO[CODIGOS],LISTADO[CATEGORIA]),"NO EXISTE")</f>
        <v/>
      </c>
      <c r="D498" s="56">
        <f>IFERROR(_xlfn.XLOOKUP(ENTRADAS[[#This Row],[CODIGO]],LISTADO[CODIGOS],LISTADO[PRODUCTOS]),"NO EXISTE")</f>
        <v/>
      </c>
      <c r="E498" s="19" t="n">
        <v>46076</v>
      </c>
      <c r="F498" s="18" t="n">
        <v>1</v>
      </c>
      <c r="G498" s="18" t="inlineStr">
        <is>
          <t>INVENTARIO</t>
        </is>
      </c>
      <c r="H498" s="18" t="n"/>
      <c r="I498" s="45" t="n"/>
      <c r="J498" s="77" t="n"/>
      <c r="K498" s="18" t="n"/>
    </row>
    <row r="499">
      <c r="A499" s="18" t="n">
        <v>466</v>
      </c>
      <c r="B499" s="56" t="inlineStr">
        <is>
          <t>00061-REF</t>
        </is>
      </c>
      <c r="C499" s="56">
        <f>IFERROR(_xlfn.XLOOKUP(ENTRADAS[[#This Row],[CODIGO]],LISTADO[CODIGOS],LISTADO[CATEGORIA]),"NO EXISTE")</f>
        <v/>
      </c>
      <c r="D499" s="56">
        <f>IFERROR(_xlfn.XLOOKUP(ENTRADAS[[#This Row],[CODIGO]],LISTADO[CODIGOS],LISTADO[PRODUCTOS]),"NO EXISTE")</f>
        <v/>
      </c>
      <c r="E499" s="19" t="n">
        <v>46076</v>
      </c>
      <c r="F499" s="18" t="n">
        <v>1</v>
      </c>
      <c r="G499" s="18" t="inlineStr">
        <is>
          <t>INVENTARIO</t>
        </is>
      </c>
      <c r="H499" s="18" t="n"/>
      <c r="I499" s="45" t="n"/>
      <c r="J499" s="77" t="n"/>
      <c r="K499" s="18" t="n"/>
    </row>
    <row r="500">
      <c r="A500" s="18" t="n">
        <v>467</v>
      </c>
      <c r="B500" s="56" t="inlineStr">
        <is>
          <t>00062-REF</t>
        </is>
      </c>
      <c r="C500" s="56">
        <f>IFERROR(_xlfn.XLOOKUP(ENTRADAS[[#This Row],[CODIGO]],LISTADO[CODIGOS],LISTADO[CATEGORIA]),"NO EXISTE")</f>
        <v/>
      </c>
      <c r="D500" s="56">
        <f>IFERROR(_xlfn.XLOOKUP(ENTRADAS[[#This Row],[CODIGO]],LISTADO[CODIGOS],LISTADO[PRODUCTOS]),"NO EXISTE")</f>
        <v/>
      </c>
      <c r="E500" s="19" t="n">
        <v>46076</v>
      </c>
      <c r="F500" s="18" t="n">
        <v>4</v>
      </c>
      <c r="G500" s="18" t="inlineStr">
        <is>
          <t>INVENTARIO</t>
        </is>
      </c>
      <c r="H500" s="18" t="n"/>
      <c r="I500" s="45" t="n"/>
      <c r="J500" s="77" t="n"/>
      <c r="K500" s="18" t="n"/>
    </row>
    <row r="501">
      <c r="A501" s="18" t="n">
        <v>468</v>
      </c>
      <c r="B501" s="56" t="inlineStr">
        <is>
          <t>00063-REF</t>
        </is>
      </c>
      <c r="C501" s="56">
        <f>IFERROR(_xlfn.XLOOKUP(ENTRADAS[[#This Row],[CODIGO]],LISTADO[CODIGOS],LISTADO[CATEGORIA]),"NO EXISTE")</f>
        <v/>
      </c>
      <c r="D501" s="56">
        <f>IFERROR(_xlfn.XLOOKUP(ENTRADAS[[#This Row],[CODIGO]],LISTADO[CODIGOS],LISTADO[PRODUCTOS]),"NO EXISTE")</f>
        <v/>
      </c>
      <c r="E501" s="19" t="n">
        <v>46076</v>
      </c>
      <c r="F501" s="18" t="n">
        <v>2</v>
      </c>
      <c r="G501" s="18" t="inlineStr">
        <is>
          <t>INVENTARIO</t>
        </is>
      </c>
      <c r="H501" s="18" t="n"/>
      <c r="I501" s="45" t="n"/>
      <c r="J501" s="77" t="n"/>
      <c r="K501" s="18" t="n"/>
    </row>
    <row r="502">
      <c r="A502" s="18" t="n">
        <v>469</v>
      </c>
      <c r="B502" s="56" t="inlineStr">
        <is>
          <t>00064-REF</t>
        </is>
      </c>
      <c r="C502" s="56">
        <f>IFERROR(_xlfn.XLOOKUP(ENTRADAS[[#This Row],[CODIGO]],LISTADO[CODIGOS],LISTADO[CATEGORIA]),"NO EXISTE")</f>
        <v/>
      </c>
      <c r="D502" s="56">
        <f>IFERROR(_xlfn.XLOOKUP(ENTRADAS[[#This Row],[CODIGO]],LISTADO[CODIGOS],LISTADO[PRODUCTOS]),"NO EXISTE")</f>
        <v/>
      </c>
      <c r="E502" s="19" t="n">
        <v>46076</v>
      </c>
      <c r="F502" s="18" t="n">
        <v>2</v>
      </c>
      <c r="G502" s="18" t="inlineStr">
        <is>
          <t>INVENTARIO</t>
        </is>
      </c>
      <c r="H502" s="18" t="n"/>
      <c r="I502" s="45" t="n"/>
      <c r="J502" s="77" t="n"/>
      <c r="K502" s="18" t="n"/>
    </row>
    <row r="503">
      <c r="A503" s="18" t="n">
        <v>470</v>
      </c>
      <c r="B503" s="56" t="inlineStr">
        <is>
          <t>00065-REF</t>
        </is>
      </c>
      <c r="C503" s="56">
        <f>IFERROR(_xlfn.XLOOKUP(ENTRADAS[[#This Row],[CODIGO]],LISTADO[CODIGOS],LISTADO[CATEGORIA]),"NO EXISTE")</f>
        <v/>
      </c>
      <c r="D503" s="56">
        <f>IFERROR(_xlfn.XLOOKUP(ENTRADAS[[#This Row],[CODIGO]],LISTADO[CODIGOS],LISTADO[PRODUCTOS]),"NO EXISTE")</f>
        <v/>
      </c>
      <c r="E503" s="19" t="n">
        <v>46076</v>
      </c>
      <c r="F503" s="18" t="n">
        <v>4</v>
      </c>
      <c r="G503" s="18" t="inlineStr">
        <is>
          <t>INVENTARIO</t>
        </is>
      </c>
      <c r="H503" s="18" t="n"/>
      <c r="I503" s="45" t="n"/>
      <c r="J503" s="77" t="n"/>
      <c r="K503" s="18" t="n"/>
    </row>
    <row r="504">
      <c r="A504" s="18" t="n">
        <v>471</v>
      </c>
      <c r="B504" s="56" t="inlineStr">
        <is>
          <t>00066-REF</t>
        </is>
      </c>
      <c r="C504" s="56">
        <f>IFERROR(_xlfn.XLOOKUP(ENTRADAS[[#This Row],[CODIGO]],LISTADO[CODIGOS],LISTADO[CATEGORIA]),"NO EXISTE")</f>
        <v/>
      </c>
      <c r="D504" s="56">
        <f>IFERROR(_xlfn.XLOOKUP(ENTRADAS[[#This Row],[CODIGO]],LISTADO[CODIGOS],LISTADO[PRODUCTOS]),"NO EXISTE")</f>
        <v/>
      </c>
      <c r="E504" s="19" t="n">
        <v>46076</v>
      </c>
      <c r="F504" s="18" t="n">
        <v>1</v>
      </c>
      <c r="G504" s="18" t="inlineStr">
        <is>
          <t>INVENTARIO</t>
        </is>
      </c>
      <c r="H504" s="18" t="n"/>
      <c r="I504" s="45" t="n"/>
      <c r="J504" s="77" t="n"/>
      <c r="K504" s="18" t="n"/>
    </row>
    <row r="505">
      <c r="A505" s="18" t="n">
        <v>472</v>
      </c>
      <c r="B505" s="56" t="inlineStr">
        <is>
          <t>00067-REF</t>
        </is>
      </c>
      <c r="C505" s="56">
        <f>IFERROR(_xlfn.XLOOKUP(ENTRADAS[[#This Row],[CODIGO]],LISTADO[CODIGOS],LISTADO[CATEGORIA]),"NO EXISTE")</f>
        <v/>
      </c>
      <c r="D505" s="56">
        <f>IFERROR(_xlfn.XLOOKUP(ENTRADAS[[#This Row],[CODIGO]],LISTADO[CODIGOS],LISTADO[PRODUCTOS]),"NO EXISTE")</f>
        <v/>
      </c>
      <c r="E505" s="19" t="n">
        <v>46076</v>
      </c>
      <c r="F505" s="18" t="n">
        <v>1</v>
      </c>
      <c r="G505" s="18" t="inlineStr">
        <is>
          <t>INVENTARIO</t>
        </is>
      </c>
      <c r="H505" s="18" t="n"/>
      <c r="I505" s="45" t="n"/>
      <c r="J505" s="77" t="n"/>
      <c r="K505" s="18" t="n"/>
    </row>
    <row r="506">
      <c r="A506" s="18" t="n">
        <v>473</v>
      </c>
      <c r="B506" s="56" t="inlineStr">
        <is>
          <t>00068-REF</t>
        </is>
      </c>
      <c r="C506" s="56">
        <f>IFERROR(_xlfn.XLOOKUP(ENTRADAS[[#This Row],[CODIGO]],LISTADO[CODIGOS],LISTADO[CATEGORIA]),"NO EXISTE")</f>
        <v/>
      </c>
      <c r="D506" s="56">
        <f>IFERROR(_xlfn.XLOOKUP(ENTRADAS[[#This Row],[CODIGO]],LISTADO[CODIGOS],LISTADO[PRODUCTOS]),"NO EXISTE")</f>
        <v/>
      </c>
      <c r="E506" s="19" t="n">
        <v>46076</v>
      </c>
      <c r="F506" s="18" t="n">
        <v>5</v>
      </c>
      <c r="G506" s="18" t="inlineStr">
        <is>
          <t>INVENTARIO</t>
        </is>
      </c>
      <c r="H506" s="18" t="n"/>
      <c r="I506" s="45" t="n"/>
      <c r="J506" s="77" t="n"/>
      <c r="K506" s="18" t="n"/>
    </row>
    <row r="507">
      <c r="A507" s="18" t="n">
        <v>474</v>
      </c>
      <c r="B507" s="56" t="inlineStr">
        <is>
          <t>00069-REF</t>
        </is>
      </c>
      <c r="C507" s="56">
        <f>IFERROR(_xlfn.XLOOKUP(ENTRADAS[[#This Row],[CODIGO]],LISTADO[CODIGOS],LISTADO[CATEGORIA]),"NO EXISTE")</f>
        <v/>
      </c>
      <c r="D507" s="56">
        <f>IFERROR(_xlfn.XLOOKUP(ENTRADAS[[#This Row],[CODIGO]],LISTADO[CODIGOS],LISTADO[PRODUCTOS]),"NO EXISTE")</f>
        <v/>
      </c>
      <c r="E507" s="19" t="n">
        <v>46076</v>
      </c>
      <c r="F507" s="18" t="n">
        <v>30</v>
      </c>
      <c r="G507" s="18" t="inlineStr">
        <is>
          <t>INVENTARIO</t>
        </is>
      </c>
      <c r="H507" s="18" t="n"/>
      <c r="I507" s="45" t="n"/>
      <c r="J507" s="77" t="n"/>
      <c r="K507" s="18" t="n"/>
    </row>
    <row r="508">
      <c r="A508" s="18" t="n">
        <v>475</v>
      </c>
      <c r="B508" s="56" t="inlineStr">
        <is>
          <t>00070-REF</t>
        </is>
      </c>
      <c r="C508" s="56">
        <f>IFERROR(_xlfn.XLOOKUP(ENTRADAS[[#This Row],[CODIGO]],LISTADO[CODIGOS],LISTADO[CATEGORIA]),"NO EXISTE")</f>
        <v/>
      </c>
      <c r="D508" s="56">
        <f>IFERROR(_xlfn.XLOOKUP(ENTRADAS[[#This Row],[CODIGO]],LISTADO[CODIGOS],LISTADO[PRODUCTOS]),"NO EXISTE")</f>
        <v/>
      </c>
      <c r="E508" s="19" t="n">
        <v>46076</v>
      </c>
      <c r="F508" s="18" t="n">
        <v>30</v>
      </c>
      <c r="G508" s="18" t="inlineStr">
        <is>
          <t>INVENTARIO</t>
        </is>
      </c>
      <c r="H508" s="18" t="n"/>
      <c r="I508" s="45" t="n"/>
      <c r="J508" s="77" t="n"/>
      <c r="K508" s="18" t="n"/>
    </row>
    <row r="509">
      <c r="A509" s="18" t="n">
        <v>476</v>
      </c>
      <c r="B509" s="56" t="inlineStr">
        <is>
          <t>00071-REF</t>
        </is>
      </c>
      <c r="C509" s="56">
        <f>IFERROR(_xlfn.XLOOKUP(ENTRADAS[[#This Row],[CODIGO]],LISTADO[CODIGOS],LISTADO[CATEGORIA]),"NO EXISTE")</f>
        <v/>
      </c>
      <c r="D509" s="56">
        <f>IFERROR(_xlfn.XLOOKUP(ENTRADAS[[#This Row],[CODIGO]],LISTADO[CODIGOS],LISTADO[PRODUCTOS]),"NO EXISTE")</f>
        <v/>
      </c>
      <c r="E509" s="19" t="n">
        <v>46076</v>
      </c>
      <c r="F509" s="18" t="n">
        <v>15</v>
      </c>
      <c r="G509" s="18" t="inlineStr">
        <is>
          <t>INVENTARIO</t>
        </is>
      </c>
      <c r="H509" s="18" t="n"/>
      <c r="I509" s="45" t="n"/>
      <c r="J509" s="77" t="n"/>
      <c r="K509" s="18" t="n"/>
    </row>
    <row r="510">
      <c r="A510" s="18" t="n">
        <v>477</v>
      </c>
      <c r="B510" s="56" t="inlineStr">
        <is>
          <t>00016-REF</t>
        </is>
      </c>
      <c r="C510" s="56">
        <f>IFERROR(_xlfn.XLOOKUP(ENTRADAS[[#This Row],[CODIGO]],LISTADO[CODIGOS],LISTADO[CATEGORIA]),"NO EXISTE")</f>
        <v/>
      </c>
      <c r="D510" s="56">
        <f>IFERROR(_xlfn.XLOOKUP(ENTRADAS[[#This Row],[CODIGO]],LISTADO[CODIGOS],LISTADO[PRODUCTOS]),"NO EXISTE")</f>
        <v/>
      </c>
      <c r="E510" s="19" t="n">
        <v>46076</v>
      </c>
      <c r="F510" s="18" t="n">
        <v>1</v>
      </c>
      <c r="G510" s="18" t="inlineStr">
        <is>
          <t>INVENTARIO</t>
        </is>
      </c>
      <c r="H510" s="18" t="n"/>
      <c r="I510" s="45" t="n"/>
      <c r="J510" s="77" t="n"/>
      <c r="K510" s="18" t="n"/>
    </row>
    <row r="511">
      <c r="A511" s="18" t="n">
        <v>478</v>
      </c>
      <c r="B511" s="56" t="inlineStr">
        <is>
          <t>00003-MSC</t>
        </is>
      </c>
      <c r="C511" s="56">
        <f>IFERROR(_xlfn.XLOOKUP(ENTRADAS[[#This Row],[CODIGO]],LISTADO[CODIGOS],LISTADO[CATEGORIA]),"NO EXISTE")</f>
        <v/>
      </c>
      <c r="D511" s="56">
        <f>IFERROR(_xlfn.XLOOKUP(ENTRADAS[[#This Row],[CODIGO]],LISTADO[CODIGOS],LISTADO[PRODUCTOS]),"NO EXISTE")</f>
        <v/>
      </c>
      <c r="E511" s="19" t="n">
        <v>46076</v>
      </c>
      <c r="F511" s="18" t="n">
        <v>2</v>
      </c>
      <c r="G511" s="18" t="inlineStr">
        <is>
          <t>INVENTARIO</t>
        </is>
      </c>
      <c r="H511" s="18" t="n"/>
      <c r="I511" s="45" t="n"/>
      <c r="J511" s="77" t="n"/>
      <c r="K511" s="18" t="n"/>
    </row>
    <row r="512">
      <c r="A512" s="18" t="n">
        <v>482</v>
      </c>
      <c r="B512" s="56" t="inlineStr">
        <is>
          <t>00007-AUT</t>
        </is>
      </c>
      <c r="C512" s="56">
        <f>IFERROR(_xlfn.XLOOKUP(ENTRADAS[[#This Row],[CODIGO]],LISTADO[CODIGOS],LISTADO[CATEGORIA]),"NO EXISTE")</f>
        <v/>
      </c>
      <c r="D512" s="56">
        <f>IFERROR(_xlfn.XLOOKUP(ENTRADAS[[#This Row],[CODIGO]],LISTADO[CODIGOS],LISTADO[PRODUCTOS]),"NO EXISTE")</f>
        <v/>
      </c>
      <c r="E512" s="19" t="n">
        <v>46076</v>
      </c>
      <c r="F512" s="18" t="n">
        <v>2</v>
      </c>
      <c r="G512" s="18" t="inlineStr">
        <is>
          <t>INVENTARIO</t>
        </is>
      </c>
      <c r="H512" s="18" t="n"/>
      <c r="I512" s="45" t="n"/>
      <c r="J512" s="77" t="n"/>
      <c r="K512" s="18" t="n"/>
    </row>
    <row r="513">
      <c r="A513" s="18" t="n">
        <v>483</v>
      </c>
      <c r="B513" s="56" t="inlineStr">
        <is>
          <t>00008-AUT</t>
        </is>
      </c>
      <c r="C513" s="56">
        <f>IFERROR(_xlfn.XLOOKUP(ENTRADAS[[#This Row],[CODIGO]],LISTADO[CODIGOS],LISTADO[CATEGORIA]),"NO EXISTE")</f>
        <v/>
      </c>
      <c r="D513" s="56">
        <f>IFERROR(_xlfn.XLOOKUP(ENTRADAS[[#This Row],[CODIGO]],LISTADO[CODIGOS],LISTADO[PRODUCTOS]),"NO EXISTE")</f>
        <v/>
      </c>
      <c r="E513" s="19" t="n">
        <v>46076</v>
      </c>
      <c r="F513" s="18" t="n">
        <v>1</v>
      </c>
      <c r="G513" s="18" t="inlineStr">
        <is>
          <t>INVENTARIO</t>
        </is>
      </c>
      <c r="H513" s="18" t="n"/>
      <c r="I513" s="45" t="n"/>
      <c r="J513" s="77" t="n"/>
      <c r="K513" s="18" t="n"/>
    </row>
    <row r="514">
      <c r="A514" s="18" t="n">
        <v>493</v>
      </c>
      <c r="B514" s="56" t="inlineStr">
        <is>
          <t>00033-FER</t>
        </is>
      </c>
      <c r="C514" s="56">
        <f>IFERROR(_xlfn.XLOOKUP(ENTRADAS[[#This Row],[CODIGO]],LISTADO[CODIGOS],LISTADO[CATEGORIA]),"NO EXISTE")</f>
        <v/>
      </c>
      <c r="D514" s="56">
        <f>IFERROR(_xlfn.XLOOKUP(ENTRADAS[[#This Row],[CODIGO]],LISTADO[CODIGOS],LISTADO[PRODUCTOS]),"NO EXISTE")</f>
        <v/>
      </c>
      <c r="E514" s="19" t="n">
        <v>46076</v>
      </c>
      <c r="F514" s="18" t="n">
        <v>1</v>
      </c>
      <c r="G514" s="18" t="inlineStr">
        <is>
          <t>INGRESO</t>
        </is>
      </c>
      <c r="H514" s="18" t="n"/>
      <c r="I514" s="45" t="n"/>
      <c r="J514" s="77" t="n"/>
      <c r="K514" s="18" t="n"/>
    </row>
    <row r="515">
      <c r="A515" s="18" t="n">
        <v>494</v>
      </c>
      <c r="B515" s="56" t="inlineStr">
        <is>
          <t>00072-REF</t>
        </is>
      </c>
      <c r="C515" s="56">
        <f>IFERROR(_xlfn.XLOOKUP(ENTRADAS[[#This Row],[CODIGO]],LISTADO[CODIGOS],LISTADO[CATEGORIA]),"NO EXISTE")</f>
        <v/>
      </c>
      <c r="D515" s="56">
        <f>IFERROR(_xlfn.XLOOKUP(ENTRADAS[[#This Row],[CODIGO]],LISTADO[CODIGOS],LISTADO[PRODUCTOS]),"NO EXISTE")</f>
        <v/>
      </c>
      <c r="E515" s="19" t="n">
        <v>46076</v>
      </c>
      <c r="F515" s="18" t="n">
        <v>1</v>
      </c>
      <c r="G515" s="18" t="inlineStr">
        <is>
          <t>INGRESO</t>
        </is>
      </c>
      <c r="H515" s="18" t="n"/>
      <c r="I515" s="45" t="n"/>
      <c r="J515" s="77" t="n"/>
      <c r="K515" s="18" t="n"/>
    </row>
    <row r="516">
      <c r="A516" s="18" t="n">
        <v>495</v>
      </c>
      <c r="B516" s="56" t="inlineStr">
        <is>
          <t>00073-REF</t>
        </is>
      </c>
      <c r="C516" s="56">
        <f>IFERROR(_xlfn.XLOOKUP(ENTRADAS[[#This Row],[CODIGO]],LISTADO[CODIGOS],LISTADO[CATEGORIA]),"NO EXISTE")</f>
        <v/>
      </c>
      <c r="D516" s="56">
        <f>IFERROR(_xlfn.XLOOKUP(ENTRADAS[[#This Row],[CODIGO]],LISTADO[CODIGOS],LISTADO[PRODUCTOS]),"NO EXISTE")</f>
        <v/>
      </c>
      <c r="E516" s="19" t="n">
        <v>46076</v>
      </c>
      <c r="F516" s="18" t="n">
        <v>10</v>
      </c>
      <c r="G516" s="18" t="inlineStr">
        <is>
          <t>INGRESO</t>
        </is>
      </c>
      <c r="H516" s="18" t="n"/>
      <c r="I516" s="45" t="n"/>
      <c r="J516" s="77" t="n"/>
      <c r="K516" s="18" t="n"/>
    </row>
    <row r="517">
      <c r="A517" s="18" t="n">
        <v>496</v>
      </c>
      <c r="B517" s="56" t="inlineStr">
        <is>
          <t>00016-REF</t>
        </is>
      </c>
      <c r="C517" s="56">
        <f>IFERROR(_xlfn.XLOOKUP(ENTRADAS[[#This Row],[CODIGO]],LISTADO[CODIGOS],LISTADO[CATEGORIA]),"NO EXISTE")</f>
        <v/>
      </c>
      <c r="D517" s="56">
        <f>IFERROR(_xlfn.XLOOKUP(ENTRADAS[[#This Row],[CODIGO]],LISTADO[CODIGOS],LISTADO[PRODUCTOS]),"NO EXISTE")</f>
        <v/>
      </c>
      <c r="E517" s="19" t="n">
        <v>46076</v>
      </c>
      <c r="F517" s="18" t="n">
        <v>4</v>
      </c>
      <c r="G517" s="18" t="inlineStr">
        <is>
          <t>INGRESO</t>
        </is>
      </c>
      <c r="H517" s="18" t="n"/>
      <c r="I517" s="45" t="n"/>
      <c r="J517" s="77" t="n"/>
      <c r="K517" s="18" t="n"/>
    </row>
    <row r="518">
      <c r="A518" s="18" t="n">
        <v>512</v>
      </c>
      <c r="B518" s="56" t="inlineStr">
        <is>
          <t>00023-FER</t>
        </is>
      </c>
      <c r="C518" s="56">
        <f>IFERROR(_xlfn.XLOOKUP(ENTRADAS[[#This Row],[CODIGO]],LISTADO[CODIGOS],LISTADO[CATEGORIA]),"NO EXISTE")</f>
        <v/>
      </c>
      <c r="D518" s="56">
        <f>IFERROR(_xlfn.XLOOKUP(ENTRADAS[[#This Row],[CODIGO]],LISTADO[CODIGOS],LISTADO[PRODUCTOS]),"NO EXISTE")</f>
        <v/>
      </c>
      <c r="E518" s="19" t="n">
        <v>46076</v>
      </c>
      <c r="F518" s="18" t="n">
        <v>20</v>
      </c>
      <c r="G518" s="18" t="inlineStr">
        <is>
          <t>INGRESO</t>
        </is>
      </c>
      <c r="H518" s="18" t="n"/>
      <c r="I518" s="45" t="n"/>
      <c r="J518" s="77" t="n"/>
      <c r="K518" s="18" t="n"/>
    </row>
    <row r="519">
      <c r="A519" s="18" t="n">
        <v>497</v>
      </c>
      <c r="B519" s="56" t="inlineStr">
        <is>
          <t>00099-HER</t>
        </is>
      </c>
      <c r="C519" s="56">
        <f>IFERROR(_xlfn.XLOOKUP(ENTRADAS[[#This Row],[CODIGO]],LISTADO[CODIGOS],LISTADO[CATEGORIA]),"NO EXISTE")</f>
        <v/>
      </c>
      <c r="D519" s="56">
        <f>IFERROR(_xlfn.XLOOKUP(ENTRADAS[[#This Row],[CODIGO]],LISTADO[CODIGOS],LISTADO[PRODUCTOS]),"NO EXISTE")</f>
        <v/>
      </c>
      <c r="E519" s="19" t="n">
        <v>46077</v>
      </c>
      <c r="F519" s="18" t="n">
        <v>4</v>
      </c>
      <c r="G519" s="18" t="inlineStr">
        <is>
          <t>INGRESO</t>
        </is>
      </c>
      <c r="H519" s="18" t="n"/>
      <c r="I519" s="45" t="n"/>
      <c r="J519" s="77" t="n"/>
      <c r="K519" s="18" t="n"/>
    </row>
    <row r="520">
      <c r="A520" s="18" t="n">
        <v>498</v>
      </c>
      <c r="B520" s="56" t="inlineStr">
        <is>
          <t>00100-HER</t>
        </is>
      </c>
      <c r="C520" s="56">
        <f>IFERROR(_xlfn.XLOOKUP(ENTRADAS[[#This Row],[CODIGO]],LISTADO[CODIGOS],LISTADO[CATEGORIA]),"NO EXISTE")</f>
        <v/>
      </c>
      <c r="D520" s="56">
        <f>IFERROR(_xlfn.XLOOKUP(ENTRADAS[[#This Row],[CODIGO]],LISTADO[CODIGOS],LISTADO[PRODUCTOS]),"NO EXISTE")</f>
        <v/>
      </c>
      <c r="E520" s="19" t="n">
        <v>46077</v>
      </c>
      <c r="F520" s="18" t="n">
        <v>3</v>
      </c>
      <c r="G520" s="18" t="inlineStr">
        <is>
          <t>INGRESO</t>
        </is>
      </c>
      <c r="H520" s="18" t="n"/>
      <c r="I520" s="45" t="n"/>
      <c r="J520" s="77" t="n"/>
      <c r="K520" s="18" t="n"/>
    </row>
    <row r="521">
      <c r="A521" s="18" t="n">
        <v>499</v>
      </c>
      <c r="B521" s="56" t="inlineStr">
        <is>
          <t>00101-HER</t>
        </is>
      </c>
      <c r="C521" s="56">
        <f>IFERROR(_xlfn.XLOOKUP(ENTRADAS[[#This Row],[CODIGO]],LISTADO[CODIGOS],LISTADO[CATEGORIA]),"NO EXISTE")</f>
        <v/>
      </c>
      <c r="D521" s="56">
        <f>IFERROR(_xlfn.XLOOKUP(ENTRADAS[[#This Row],[CODIGO]],LISTADO[CODIGOS],LISTADO[PRODUCTOS]),"NO EXISTE")</f>
        <v/>
      </c>
      <c r="E521" s="19" t="n">
        <v>46077</v>
      </c>
      <c r="F521" s="18" t="n">
        <v>2</v>
      </c>
      <c r="G521" s="18" t="inlineStr">
        <is>
          <t>INGRESO</t>
        </is>
      </c>
      <c r="H521" s="18" t="n"/>
      <c r="I521" s="45" t="n"/>
      <c r="J521" s="77" t="n"/>
      <c r="K521" s="18" t="n"/>
    </row>
    <row r="522">
      <c r="A522" s="18" t="n">
        <v>500</v>
      </c>
      <c r="B522" s="56" t="inlineStr">
        <is>
          <t>00074-FER</t>
        </is>
      </c>
      <c r="C522" s="56">
        <f>IFERROR(_xlfn.XLOOKUP(ENTRADAS[[#This Row],[CODIGO]],LISTADO[CODIGOS],LISTADO[CATEGORIA]),"NO EXISTE")</f>
        <v/>
      </c>
      <c r="D522" s="56">
        <f>IFERROR(_xlfn.XLOOKUP(ENTRADAS[[#This Row],[CODIGO]],LISTADO[CODIGOS],LISTADO[PRODUCTOS]),"NO EXISTE")</f>
        <v/>
      </c>
      <c r="E522" s="19" t="n">
        <v>46077</v>
      </c>
      <c r="F522" s="18" t="n">
        <v>4</v>
      </c>
      <c r="G522" s="18" t="inlineStr">
        <is>
          <t>INGRESO</t>
        </is>
      </c>
      <c r="H522" s="18" t="n"/>
      <c r="I522" s="45" t="n"/>
      <c r="J522" s="77" t="n"/>
      <c r="K522" s="18" t="n"/>
    </row>
    <row r="523">
      <c r="A523" s="18" t="n">
        <v>501</v>
      </c>
      <c r="B523" s="56" t="inlineStr">
        <is>
          <t>00024-FER</t>
        </is>
      </c>
      <c r="C523" s="56">
        <f>IFERROR(_xlfn.XLOOKUP(ENTRADAS[[#This Row],[CODIGO]],LISTADO[CODIGOS],LISTADO[CATEGORIA]),"NO EXISTE")</f>
        <v/>
      </c>
      <c r="D523" s="56">
        <f>IFERROR(_xlfn.XLOOKUP(ENTRADAS[[#This Row],[CODIGO]],LISTADO[CODIGOS],LISTADO[PRODUCTOS]),"NO EXISTE")</f>
        <v/>
      </c>
      <c r="E523" s="19" t="n">
        <v>46077</v>
      </c>
      <c r="F523" s="18" t="n">
        <v>1</v>
      </c>
      <c r="G523" s="18" t="inlineStr">
        <is>
          <t>INGRESO</t>
        </is>
      </c>
      <c r="H523" s="18" t="n"/>
      <c r="I523" s="45" t="n"/>
      <c r="J523" s="77" t="n"/>
      <c r="K523" s="18" t="n"/>
    </row>
    <row r="524">
      <c r="A524" s="18" t="n">
        <v>502</v>
      </c>
      <c r="B524" s="56" t="inlineStr">
        <is>
          <t>00001-HRR</t>
        </is>
      </c>
      <c r="C524" s="56">
        <f>IFERROR(_xlfn.XLOOKUP(ENTRADAS[[#This Row],[CODIGO]],LISTADO[CODIGOS],LISTADO[CATEGORIA]),"NO EXISTE")</f>
        <v/>
      </c>
      <c r="D524" s="56">
        <f>IFERROR(_xlfn.XLOOKUP(ENTRADAS[[#This Row],[CODIGO]],LISTADO[CODIGOS],LISTADO[PRODUCTOS]),"NO EXISTE")</f>
        <v/>
      </c>
      <c r="E524" s="19" t="n">
        <v>46077</v>
      </c>
      <c r="F524" s="18" t="n">
        <v>10</v>
      </c>
      <c r="G524" s="18" t="inlineStr">
        <is>
          <t>INGRESO</t>
        </is>
      </c>
      <c r="H524" s="18" t="n"/>
      <c r="I524" s="45" t="n"/>
      <c r="J524" s="77" t="n"/>
      <c r="K524" s="18" t="n"/>
    </row>
    <row r="525">
      <c r="A525" s="18" t="n">
        <v>503</v>
      </c>
      <c r="B525" s="56" t="inlineStr">
        <is>
          <t>00007-HRR</t>
        </is>
      </c>
      <c r="C525" s="56">
        <f>IFERROR(_xlfn.XLOOKUP(ENTRADAS[[#This Row],[CODIGO]],LISTADO[CODIGOS],LISTADO[CATEGORIA]),"NO EXISTE")</f>
        <v/>
      </c>
      <c r="D525" s="56">
        <f>IFERROR(_xlfn.XLOOKUP(ENTRADAS[[#This Row],[CODIGO]],LISTADO[CODIGOS],LISTADO[PRODUCTOS]),"NO EXISTE")</f>
        <v/>
      </c>
      <c r="E525" s="19" t="n">
        <v>46077</v>
      </c>
      <c r="F525" s="18" t="n">
        <v>20</v>
      </c>
      <c r="G525" s="18" t="inlineStr">
        <is>
          <t>INGRESO</t>
        </is>
      </c>
      <c r="H525" s="18" t="n"/>
      <c r="I525" s="45" t="n"/>
      <c r="J525" s="77" t="n"/>
      <c r="K525" s="18" t="n"/>
    </row>
    <row r="526">
      <c r="A526" s="18" t="n">
        <v>504</v>
      </c>
      <c r="B526" s="56" t="inlineStr">
        <is>
          <t>00006-HRR</t>
        </is>
      </c>
      <c r="C526" s="56">
        <f>IFERROR(_xlfn.XLOOKUP(ENTRADAS[[#This Row],[CODIGO]],LISTADO[CODIGOS],LISTADO[CATEGORIA]),"NO EXISTE")</f>
        <v/>
      </c>
      <c r="D526" s="56">
        <f>IFERROR(_xlfn.XLOOKUP(ENTRADAS[[#This Row],[CODIGO]],LISTADO[CODIGOS],LISTADO[PRODUCTOS]),"NO EXISTE")</f>
        <v/>
      </c>
      <c r="E526" s="19" t="n">
        <v>46077</v>
      </c>
      <c r="F526" s="18" t="n">
        <v>20</v>
      </c>
      <c r="G526" s="18" t="inlineStr">
        <is>
          <t>INGRESO</t>
        </is>
      </c>
      <c r="H526" s="18" t="n"/>
      <c r="I526" s="45" t="n"/>
      <c r="J526" s="77" t="n"/>
      <c r="K526" s="18" t="n"/>
    </row>
    <row r="527">
      <c r="A527" s="18" t="n">
        <v>505</v>
      </c>
      <c r="B527" s="56" t="inlineStr">
        <is>
          <t>00003-HRR</t>
        </is>
      </c>
      <c r="C527" s="56">
        <f>IFERROR(_xlfn.XLOOKUP(ENTRADAS[[#This Row],[CODIGO]],LISTADO[CODIGOS],LISTADO[CATEGORIA]),"NO EXISTE")</f>
        <v/>
      </c>
      <c r="D527" s="56">
        <f>IFERROR(_xlfn.XLOOKUP(ENTRADAS[[#This Row],[CODIGO]],LISTADO[CODIGOS],LISTADO[PRODUCTOS]),"NO EXISTE")</f>
        <v/>
      </c>
      <c r="E527" s="19" t="n">
        <v>46077</v>
      </c>
      <c r="F527" s="18" t="n">
        <v>20</v>
      </c>
      <c r="G527" s="18" t="inlineStr">
        <is>
          <t>INGRESO</t>
        </is>
      </c>
      <c r="H527" s="18" t="n"/>
      <c r="I527" s="45" t="n"/>
      <c r="J527" s="77" t="n"/>
      <c r="K527" s="18" t="n"/>
    </row>
    <row r="528">
      <c r="A528" s="18" t="n">
        <v>506</v>
      </c>
      <c r="B528" s="56" t="inlineStr">
        <is>
          <t>00005-HRR</t>
        </is>
      </c>
      <c r="C528" s="56">
        <f>IFERROR(_xlfn.XLOOKUP(ENTRADAS[[#This Row],[CODIGO]],LISTADO[CODIGOS],LISTADO[CATEGORIA]),"NO EXISTE")</f>
        <v/>
      </c>
      <c r="D528" s="56">
        <f>IFERROR(_xlfn.XLOOKUP(ENTRADAS[[#This Row],[CODIGO]],LISTADO[CODIGOS],LISTADO[PRODUCTOS]),"NO EXISTE")</f>
        <v/>
      </c>
      <c r="E528" s="19" t="n">
        <v>46077</v>
      </c>
      <c r="F528" s="18" t="n">
        <v>20</v>
      </c>
      <c r="G528" s="18" t="inlineStr">
        <is>
          <t>INGRESO</t>
        </is>
      </c>
      <c r="H528" s="18" t="n"/>
      <c r="I528" s="45" t="n"/>
      <c r="J528" s="77" t="n"/>
      <c r="K528" s="18" t="n"/>
    </row>
    <row r="529">
      <c r="A529" s="18" t="n">
        <v>507</v>
      </c>
      <c r="B529" s="56" t="inlineStr">
        <is>
          <t>00034-OFC</t>
        </is>
      </c>
      <c r="C529" s="56">
        <f>IFERROR(_xlfn.XLOOKUP(ENTRADAS[[#This Row],[CODIGO]],LISTADO[CODIGOS],LISTADO[CATEGORIA]),"NO EXISTE")</f>
        <v/>
      </c>
      <c r="D529" s="56">
        <f>IFERROR(_xlfn.XLOOKUP(ENTRADAS[[#This Row],[CODIGO]],LISTADO[CODIGOS],LISTADO[PRODUCTOS]),"NO EXISTE")</f>
        <v/>
      </c>
      <c r="E529" s="19" t="n">
        <v>46077</v>
      </c>
      <c r="F529" s="18" t="n">
        <v>12</v>
      </c>
      <c r="G529" s="18" t="inlineStr">
        <is>
          <t>INGRESO</t>
        </is>
      </c>
      <c r="H529" s="18" t="n"/>
      <c r="I529" s="45" t="n"/>
      <c r="J529" s="77" t="n"/>
      <c r="K529" s="18" t="n"/>
    </row>
    <row r="530">
      <c r="A530" s="18" t="n">
        <v>508</v>
      </c>
      <c r="B530" s="56" t="inlineStr">
        <is>
          <t>00010-OFC</t>
        </is>
      </c>
      <c r="C530" s="56">
        <f>IFERROR(_xlfn.XLOOKUP(ENTRADAS[[#This Row],[CODIGO]],LISTADO[CODIGOS],LISTADO[CATEGORIA]),"NO EXISTE")</f>
        <v/>
      </c>
      <c r="D530" s="56">
        <f>IFERROR(_xlfn.XLOOKUP(ENTRADAS[[#This Row],[CODIGO]],LISTADO[CODIGOS],LISTADO[PRODUCTOS]),"NO EXISTE")</f>
        <v/>
      </c>
      <c r="E530" s="19" t="n">
        <v>46077</v>
      </c>
      <c r="F530" s="18" t="n">
        <v>2</v>
      </c>
      <c r="G530" s="18" t="inlineStr">
        <is>
          <t>INGRESO</t>
        </is>
      </c>
      <c r="H530" s="18" t="n"/>
      <c r="I530" s="45" t="n"/>
      <c r="J530" s="77" t="n"/>
      <c r="K530" s="18" t="n"/>
    </row>
    <row r="531">
      <c r="A531" s="18" t="n">
        <v>509</v>
      </c>
      <c r="B531" s="56" t="inlineStr">
        <is>
          <t>00015-OFC</t>
        </is>
      </c>
      <c r="C531" s="56">
        <f>IFERROR(_xlfn.XLOOKUP(ENTRADAS[[#This Row],[CODIGO]],LISTADO[CODIGOS],LISTADO[CATEGORIA]),"NO EXISTE")</f>
        <v/>
      </c>
      <c r="D531" s="56">
        <f>IFERROR(_xlfn.XLOOKUP(ENTRADAS[[#This Row],[CODIGO]],LISTADO[CODIGOS],LISTADO[PRODUCTOS]),"NO EXISTE")</f>
        <v/>
      </c>
      <c r="E531" s="19" t="n">
        <v>46077</v>
      </c>
      <c r="F531" s="18" t="n">
        <v>4</v>
      </c>
      <c r="G531" s="18" t="inlineStr">
        <is>
          <t>INGRESO</t>
        </is>
      </c>
      <c r="H531" s="18" t="n"/>
      <c r="I531" s="45" t="n"/>
      <c r="J531" s="77" t="n"/>
      <c r="K531" s="18" t="n"/>
    </row>
    <row r="532">
      <c r="A532" s="18" t="n">
        <v>510</v>
      </c>
      <c r="B532" s="56" t="inlineStr">
        <is>
          <t>00016-OFC</t>
        </is>
      </c>
      <c r="C532" s="56">
        <f>IFERROR(_xlfn.XLOOKUP(ENTRADAS[[#This Row],[CODIGO]],LISTADO[CODIGOS],LISTADO[CATEGORIA]),"NO EXISTE")</f>
        <v/>
      </c>
      <c r="D532" s="56">
        <f>IFERROR(_xlfn.XLOOKUP(ENTRADAS[[#This Row],[CODIGO]],LISTADO[CODIGOS],LISTADO[PRODUCTOS]),"NO EXISTE")</f>
        <v/>
      </c>
      <c r="E532" s="19" t="n">
        <v>46077</v>
      </c>
      <c r="F532" s="18" t="n">
        <v>6</v>
      </c>
      <c r="G532" s="18" t="inlineStr">
        <is>
          <t>INGRESO</t>
        </is>
      </c>
      <c r="H532" s="18" t="n"/>
      <c r="I532" s="45" t="n"/>
      <c r="J532" s="77" t="n"/>
      <c r="K532" s="18" t="n"/>
    </row>
    <row r="533">
      <c r="A533" s="18" t="n">
        <v>513</v>
      </c>
      <c r="B533" s="56" t="inlineStr">
        <is>
          <t>00005-ELE</t>
        </is>
      </c>
      <c r="C533" s="56">
        <f>IFERROR(_xlfn.XLOOKUP(ENTRADAS[[#This Row],[CODIGO]],LISTADO[CODIGOS],LISTADO[CATEGORIA]),"NO EXISTE")</f>
        <v/>
      </c>
      <c r="D533" s="56">
        <f>IFERROR(_xlfn.XLOOKUP(ENTRADAS[[#This Row],[CODIGO]],LISTADO[CODIGOS],LISTADO[PRODUCTOS]),"NO EXISTE")</f>
        <v/>
      </c>
      <c r="E533" s="19" t="n">
        <v>46077</v>
      </c>
      <c r="F533" s="18" t="n">
        <v>2</v>
      </c>
      <c r="G533" s="18" t="inlineStr">
        <is>
          <t>INGRESO</t>
        </is>
      </c>
      <c r="H533" s="18" t="n"/>
      <c r="I533" s="45" t="n"/>
      <c r="J533" s="77" t="n"/>
      <c r="K533" s="18" t="n"/>
    </row>
    <row r="534">
      <c r="A534" s="18" t="n">
        <v>514</v>
      </c>
      <c r="B534" s="56" t="inlineStr">
        <is>
          <t>00051-REF</t>
        </is>
      </c>
      <c r="C534" s="56">
        <f>IFERROR(_xlfn.XLOOKUP(ENTRADAS[[#This Row],[CODIGO]],LISTADO[CODIGOS],LISTADO[CATEGORIA]),"NO EXISTE")</f>
        <v/>
      </c>
      <c r="D534" s="56">
        <f>IFERROR(_xlfn.XLOOKUP(ENTRADAS[[#This Row],[CODIGO]],LISTADO[CODIGOS],LISTADO[PRODUCTOS]),"NO EXISTE")</f>
        <v/>
      </c>
      <c r="E534" s="19" t="n">
        <v>46077</v>
      </c>
      <c r="F534" s="18" t="n">
        <v>20</v>
      </c>
      <c r="G534" s="18" t="inlineStr">
        <is>
          <t>INGRESO</t>
        </is>
      </c>
      <c r="H534" s="18" t="n"/>
      <c r="I534" s="45" t="n"/>
      <c r="J534" s="77" t="n"/>
      <c r="K534" s="18" t="n"/>
    </row>
    <row r="535">
      <c r="A535" s="18" t="n">
        <v>515</v>
      </c>
      <c r="B535" s="56" t="inlineStr">
        <is>
          <t>00023-ELC</t>
        </is>
      </c>
      <c r="C535" s="56">
        <f>IFERROR(_xlfn.XLOOKUP(ENTRADAS[[#This Row],[CODIGO]],LISTADO[CODIGOS],LISTADO[CATEGORIA]),"NO EXISTE")</f>
        <v/>
      </c>
      <c r="D535" s="56">
        <f>IFERROR(_xlfn.XLOOKUP(ENTRADAS[[#This Row],[CODIGO]],LISTADO[CODIGOS],LISTADO[PRODUCTOS]),"NO EXISTE")</f>
        <v/>
      </c>
      <c r="E535" s="19" t="n">
        <v>46077</v>
      </c>
      <c r="F535" s="18" t="n">
        <v>1</v>
      </c>
      <c r="G535" s="18" t="inlineStr">
        <is>
          <t>INGRESO</t>
        </is>
      </c>
      <c r="H535" s="18" t="n"/>
      <c r="I535" s="45" t="n"/>
      <c r="J535" s="77" t="n"/>
      <c r="K535" s="18" t="n"/>
    </row>
    <row r="536">
      <c r="A536" s="18" t="n">
        <v>518</v>
      </c>
      <c r="B536" s="56" t="inlineStr">
        <is>
          <t>00009-AUT</t>
        </is>
      </c>
      <c r="C536" s="56">
        <f>IFERROR(_xlfn.XLOOKUP(ENTRADAS[[#This Row],[CODIGO]],LISTADO[CODIGOS],LISTADO[CATEGORIA]),"NO EXISTE")</f>
        <v/>
      </c>
      <c r="D536" s="56">
        <f>IFERROR(_xlfn.XLOOKUP(ENTRADAS[[#This Row],[CODIGO]],LISTADO[CODIGOS],LISTADO[PRODUCTOS]),"NO EXISTE")</f>
        <v/>
      </c>
      <c r="E536" s="19" t="n">
        <v>46077</v>
      </c>
      <c r="F536" s="18" t="n">
        <v>4</v>
      </c>
      <c r="G536" s="18" t="inlineStr">
        <is>
          <t>INGRESO</t>
        </is>
      </c>
      <c r="H536" s="18" t="n"/>
      <c r="I536" s="45" t="n"/>
      <c r="J536" s="77" t="n"/>
      <c r="K536" s="18" t="n"/>
    </row>
    <row r="537">
      <c r="A537" s="18" t="n">
        <v>538</v>
      </c>
      <c r="B537" s="56" t="inlineStr">
        <is>
          <t>00079-FER</t>
        </is>
      </c>
      <c r="C537" s="18">
        <f>IFERROR(_xlfn.XLOOKUP(ENTRADAS[[#This Row],[CODIGO]],LISTADO[CODIGOS],LISTADO[CATEGORIA]),"NO EXISTE")</f>
        <v/>
      </c>
      <c r="D537" s="18">
        <f>IFERROR(_xlfn.XLOOKUP(ENTRADAS[[#This Row],[CODIGO]],LISTADO[CODIGOS],LISTADO[PRODUCTOS]),"NO EXISTE")</f>
        <v/>
      </c>
      <c r="E537" s="19" t="n">
        <v>46077</v>
      </c>
      <c r="F537" s="18" t="n">
        <v>1</v>
      </c>
      <c r="G537" s="18" t="inlineStr">
        <is>
          <t>INGRESO</t>
        </is>
      </c>
      <c r="H537" s="18" t="n"/>
      <c r="I537" s="45" t="n"/>
      <c r="J537" s="77" t="n"/>
      <c r="K537" s="18" t="n"/>
    </row>
    <row r="538">
      <c r="A538" s="18" t="n">
        <v>511</v>
      </c>
      <c r="B538" s="56" t="inlineStr">
        <is>
          <t>00074-REF</t>
        </is>
      </c>
      <c r="C538" s="56">
        <f>IFERROR(_xlfn.XLOOKUP(ENTRADAS[[#This Row],[CODIGO]],LISTADO[CODIGOS],LISTADO[CATEGORIA]),"NO EXISTE")</f>
        <v/>
      </c>
      <c r="D538" s="56">
        <f>IFERROR(_xlfn.XLOOKUP(ENTRADAS[[#This Row],[CODIGO]],LISTADO[CODIGOS],LISTADO[PRODUCTOS]),"NO EXISTE")</f>
        <v/>
      </c>
      <c r="E538" s="19" t="n">
        <v>46078</v>
      </c>
      <c r="F538" s="18" t="n">
        <v>1</v>
      </c>
      <c r="G538" s="18" t="inlineStr">
        <is>
          <t>INGRESO</t>
        </is>
      </c>
      <c r="H538" s="18" t="n"/>
      <c r="I538" s="45" t="n"/>
      <c r="J538" s="77" t="n"/>
      <c r="K538" s="18" t="n"/>
    </row>
    <row r="539">
      <c r="A539" s="18" t="n">
        <v>519</v>
      </c>
      <c r="B539" s="56" t="inlineStr">
        <is>
          <t>00010-HRR</t>
        </is>
      </c>
      <c r="C539" s="18">
        <f>IFERROR(_xlfn.XLOOKUP(ENTRADAS[[#This Row],[CODIGO]],LISTADO[CODIGOS],LISTADO[CATEGORIA]),"NO EXISTE")</f>
        <v/>
      </c>
      <c r="D539" s="18">
        <f>IFERROR(_xlfn.XLOOKUP(ENTRADAS[[#This Row],[CODIGO]],LISTADO[CODIGOS],LISTADO[PRODUCTOS]),"NO EXISTE")</f>
        <v/>
      </c>
      <c r="E539" s="19" t="n">
        <v>46078</v>
      </c>
      <c r="F539" s="18" t="n">
        <v>30</v>
      </c>
      <c r="G539" s="18" t="inlineStr">
        <is>
          <t>INGRESO</t>
        </is>
      </c>
      <c r="H539" s="18" t="n"/>
      <c r="I539" s="45" t="n"/>
      <c r="J539" s="77" t="n"/>
      <c r="K539" s="18" t="n"/>
    </row>
    <row r="540">
      <c r="A540" s="18" t="n">
        <v>520</v>
      </c>
      <c r="B540" s="56" t="inlineStr">
        <is>
          <t>00001-PLM</t>
        </is>
      </c>
      <c r="C540" s="18">
        <f>IFERROR(_xlfn.XLOOKUP(ENTRADAS[[#This Row],[CODIGO]],LISTADO[CODIGOS],LISTADO[CATEGORIA]),"NO EXISTE")</f>
        <v/>
      </c>
      <c r="D540" s="18">
        <f>IFERROR(_xlfn.XLOOKUP(ENTRADAS[[#This Row],[CODIGO]],LISTADO[CODIGOS],LISTADO[PRODUCTOS]),"NO EXISTE")</f>
        <v/>
      </c>
      <c r="E540" s="19" t="n">
        <v>46078</v>
      </c>
      <c r="F540" s="18" t="n">
        <v>2</v>
      </c>
      <c r="G540" s="18" t="inlineStr">
        <is>
          <t>INGRESO</t>
        </is>
      </c>
      <c r="H540" s="18" t="n"/>
      <c r="I540" s="45" t="n"/>
      <c r="J540" s="77" t="n"/>
      <c r="K540" s="18" t="n"/>
    </row>
    <row r="541">
      <c r="A541" s="18" t="n">
        <v>521</v>
      </c>
      <c r="B541" s="56" t="inlineStr">
        <is>
          <t>00011-HRR</t>
        </is>
      </c>
      <c r="C541" s="18">
        <f>IFERROR(_xlfn.XLOOKUP(ENTRADAS[[#This Row],[CODIGO]],LISTADO[CODIGOS],LISTADO[CATEGORIA]),"NO EXISTE")</f>
        <v/>
      </c>
      <c r="D541" s="18">
        <f>IFERROR(_xlfn.XLOOKUP(ENTRADAS[[#This Row],[CODIGO]],LISTADO[CODIGOS],LISTADO[PRODUCTOS]),"NO EXISTE")</f>
        <v/>
      </c>
      <c r="E541" s="19" t="n">
        <v>46078</v>
      </c>
      <c r="F541" s="18" t="n">
        <v>4</v>
      </c>
      <c r="G541" s="18" t="inlineStr">
        <is>
          <t>INGRESO</t>
        </is>
      </c>
      <c r="H541" s="18" t="n"/>
      <c r="I541" s="45" t="n"/>
      <c r="J541" s="77" t="n"/>
      <c r="K541" s="18" t="n"/>
    </row>
    <row r="542">
      <c r="A542" s="18" t="n">
        <v>522</v>
      </c>
      <c r="B542" s="56" t="inlineStr">
        <is>
          <t>00012-HRR</t>
        </is>
      </c>
      <c r="C542" s="18">
        <f>IFERROR(_xlfn.XLOOKUP(ENTRADAS[[#This Row],[CODIGO]],LISTADO[CODIGOS],LISTADO[CATEGORIA]),"NO EXISTE")</f>
        <v/>
      </c>
      <c r="D542" s="18">
        <f>IFERROR(_xlfn.XLOOKUP(ENTRADAS[[#This Row],[CODIGO]],LISTADO[CODIGOS],LISTADO[PRODUCTOS]),"NO EXISTE")</f>
        <v/>
      </c>
      <c r="E542" s="19" t="n">
        <v>46078</v>
      </c>
      <c r="F542" s="18" t="n">
        <v>4</v>
      </c>
      <c r="G542" s="18" t="inlineStr">
        <is>
          <t>INGRESO</t>
        </is>
      </c>
      <c r="H542" s="18" t="n"/>
      <c r="I542" s="45" t="n"/>
      <c r="J542" s="77" t="n"/>
      <c r="K542" s="18" t="n"/>
    </row>
    <row r="543">
      <c r="A543" s="18" t="n">
        <v>523</v>
      </c>
      <c r="B543" s="56" t="inlineStr">
        <is>
          <t>00002-PLM</t>
        </is>
      </c>
      <c r="C543" s="18">
        <f>IFERROR(_xlfn.XLOOKUP(ENTRADAS[[#This Row],[CODIGO]],LISTADO[CODIGOS],LISTADO[CATEGORIA]),"NO EXISTE")</f>
        <v/>
      </c>
      <c r="D543" s="18">
        <f>IFERROR(_xlfn.XLOOKUP(ENTRADAS[[#This Row],[CODIGO]],LISTADO[CODIGOS],LISTADO[PRODUCTOS]),"NO EXISTE")</f>
        <v/>
      </c>
      <c r="E543" s="19" t="n">
        <v>46078</v>
      </c>
      <c r="F543" s="18" t="n">
        <v>1</v>
      </c>
      <c r="G543" s="18" t="inlineStr">
        <is>
          <t>INGRESO</t>
        </is>
      </c>
      <c r="H543" s="18" t="n"/>
      <c r="I543" s="45" t="n"/>
      <c r="J543" s="77" t="n"/>
      <c r="K543" s="18" t="n"/>
    </row>
    <row r="544">
      <c r="A544" s="18" t="n">
        <v>524</v>
      </c>
      <c r="B544" s="56" t="inlineStr">
        <is>
          <t>00003-PLM</t>
        </is>
      </c>
      <c r="C544" s="18">
        <f>IFERROR(_xlfn.XLOOKUP(ENTRADAS[[#This Row],[CODIGO]],LISTADO[CODIGOS],LISTADO[CATEGORIA]),"NO EXISTE")</f>
        <v/>
      </c>
      <c r="D544" s="18">
        <f>IFERROR(_xlfn.XLOOKUP(ENTRADAS[[#This Row],[CODIGO]],LISTADO[CODIGOS],LISTADO[PRODUCTOS]),"NO EXISTE")</f>
        <v/>
      </c>
      <c r="E544" s="19" t="n">
        <v>46078</v>
      </c>
      <c r="F544" s="18" t="n">
        <v>1</v>
      </c>
      <c r="G544" s="18" t="inlineStr">
        <is>
          <t>INGRESO</t>
        </is>
      </c>
      <c r="H544" s="18" t="n"/>
      <c r="I544" s="45" t="n"/>
      <c r="J544" s="77" t="n"/>
      <c r="K544" s="18" t="n"/>
    </row>
    <row r="545">
      <c r="A545" s="18" t="n">
        <v>525</v>
      </c>
      <c r="B545" s="56" t="inlineStr">
        <is>
          <t>00004-PLM</t>
        </is>
      </c>
      <c r="C545" s="18">
        <f>IFERROR(_xlfn.XLOOKUP(ENTRADAS[[#This Row],[CODIGO]],LISTADO[CODIGOS],LISTADO[CATEGORIA]),"NO EXISTE")</f>
        <v/>
      </c>
      <c r="D545" s="18">
        <f>IFERROR(_xlfn.XLOOKUP(ENTRADAS[[#This Row],[CODIGO]],LISTADO[CODIGOS],LISTADO[PRODUCTOS]),"NO EXISTE")</f>
        <v/>
      </c>
      <c r="E545" s="19" t="n">
        <v>46078</v>
      </c>
      <c r="F545" s="18" t="n">
        <v>1</v>
      </c>
      <c r="G545" s="18" t="inlineStr">
        <is>
          <t>INGRESO</t>
        </is>
      </c>
      <c r="H545" s="18" t="n"/>
      <c r="I545" s="45" t="n"/>
      <c r="J545" s="77" t="n"/>
      <c r="K545" s="18" t="n"/>
    </row>
    <row r="546">
      <c r="A546" s="18" t="n">
        <v>526</v>
      </c>
      <c r="B546" s="56" t="inlineStr">
        <is>
          <t>00005-PLM</t>
        </is>
      </c>
      <c r="C546" s="18">
        <f>IFERROR(_xlfn.XLOOKUP(ENTRADAS[[#This Row],[CODIGO]],LISTADO[CODIGOS],LISTADO[CATEGORIA]),"NO EXISTE")</f>
        <v/>
      </c>
      <c r="D546" s="18">
        <f>IFERROR(_xlfn.XLOOKUP(ENTRADAS[[#This Row],[CODIGO]],LISTADO[CODIGOS],LISTADO[PRODUCTOS]),"NO EXISTE")</f>
        <v/>
      </c>
      <c r="E546" s="19" t="n">
        <v>46078</v>
      </c>
      <c r="F546" s="18" t="n">
        <v>1</v>
      </c>
      <c r="G546" s="18" t="inlineStr">
        <is>
          <t>INGRESO</t>
        </is>
      </c>
      <c r="H546" s="18" t="n"/>
      <c r="I546" s="45" t="n"/>
      <c r="J546" s="77" t="n"/>
      <c r="K546" s="18" t="n"/>
    </row>
    <row r="547">
      <c r="A547" s="18" t="n">
        <v>527</v>
      </c>
      <c r="B547" s="56" t="inlineStr">
        <is>
          <t>00077-FER</t>
        </is>
      </c>
      <c r="C547" s="18">
        <f>IFERROR(_xlfn.XLOOKUP(ENTRADAS[[#This Row],[CODIGO]],LISTADO[CODIGOS],LISTADO[CATEGORIA]),"NO EXISTE")</f>
        <v/>
      </c>
      <c r="D547" s="18">
        <f>IFERROR(_xlfn.XLOOKUP(ENTRADAS[[#This Row],[CODIGO]],LISTADO[CODIGOS],LISTADO[PRODUCTOS]),"NO EXISTE")</f>
        <v/>
      </c>
      <c r="E547" s="19" t="n">
        <v>46078</v>
      </c>
      <c r="F547" s="18" t="n">
        <v>2</v>
      </c>
      <c r="G547" s="18" t="inlineStr">
        <is>
          <t>INGRESO</t>
        </is>
      </c>
      <c r="H547" s="18" t="n"/>
      <c r="I547" s="45" t="n"/>
      <c r="J547" s="77" t="n"/>
      <c r="K547" s="18" t="n"/>
    </row>
    <row r="548">
      <c r="A548" s="18" t="n">
        <v>528</v>
      </c>
      <c r="B548" s="56" t="inlineStr">
        <is>
          <t>00006-PLM</t>
        </is>
      </c>
      <c r="C548" s="18">
        <f>IFERROR(_xlfn.XLOOKUP(ENTRADAS[[#This Row],[CODIGO]],LISTADO[CODIGOS],LISTADO[CATEGORIA]),"NO EXISTE")</f>
        <v/>
      </c>
      <c r="D548" s="18">
        <f>IFERROR(_xlfn.XLOOKUP(ENTRADAS[[#This Row],[CODIGO]],LISTADO[CODIGOS],LISTADO[PRODUCTOS]),"NO EXISTE")</f>
        <v/>
      </c>
      <c r="E548" s="19" t="n">
        <v>46078</v>
      </c>
      <c r="F548" s="18" t="n">
        <v>6</v>
      </c>
      <c r="G548" s="18" t="inlineStr">
        <is>
          <t>INGRESO</t>
        </is>
      </c>
      <c r="H548" s="18" t="n"/>
      <c r="I548" s="45" t="n"/>
      <c r="J548" s="77" t="n"/>
      <c r="K548" s="18" t="n"/>
    </row>
    <row r="549">
      <c r="A549" s="18" t="n">
        <v>529</v>
      </c>
      <c r="B549" s="56" t="inlineStr">
        <is>
          <t>00007-PLM</t>
        </is>
      </c>
      <c r="C549" s="18">
        <f>IFERROR(_xlfn.XLOOKUP(ENTRADAS[[#This Row],[CODIGO]],LISTADO[CODIGOS],LISTADO[CATEGORIA]),"NO EXISTE")</f>
        <v/>
      </c>
      <c r="D549" s="18">
        <f>IFERROR(_xlfn.XLOOKUP(ENTRADAS[[#This Row],[CODIGO]],LISTADO[CODIGOS],LISTADO[PRODUCTOS]),"NO EXISTE")</f>
        <v/>
      </c>
      <c r="E549" s="19" t="n">
        <v>46078</v>
      </c>
      <c r="F549" s="18" t="n">
        <v>2</v>
      </c>
      <c r="G549" s="18" t="inlineStr">
        <is>
          <t>INGRESO</t>
        </is>
      </c>
      <c r="H549" s="18" t="n"/>
      <c r="I549" s="45" t="n"/>
      <c r="J549" s="77" t="n"/>
      <c r="K549" s="18" t="n"/>
    </row>
    <row r="550">
      <c r="A550" s="18" t="n">
        <v>530</v>
      </c>
      <c r="B550" s="56" t="inlineStr">
        <is>
          <t>00008-PLM</t>
        </is>
      </c>
      <c r="C550" s="18">
        <f>IFERROR(_xlfn.XLOOKUP(ENTRADAS[[#This Row],[CODIGO]],LISTADO[CODIGOS],LISTADO[CATEGORIA]),"NO EXISTE")</f>
        <v/>
      </c>
      <c r="D550" s="18">
        <f>IFERROR(_xlfn.XLOOKUP(ENTRADAS[[#This Row],[CODIGO]],LISTADO[CODIGOS],LISTADO[PRODUCTOS]),"NO EXISTE")</f>
        <v/>
      </c>
      <c r="E550" s="19" t="n">
        <v>46078</v>
      </c>
      <c r="F550" s="18" t="n">
        <v>1</v>
      </c>
      <c r="G550" s="18" t="inlineStr">
        <is>
          <t>INGRESO</t>
        </is>
      </c>
      <c r="H550" s="18" t="n"/>
      <c r="I550" s="45" t="n"/>
      <c r="J550" s="77" t="n"/>
      <c r="K550" s="18" t="n"/>
    </row>
    <row r="551">
      <c r="A551" s="18" t="n">
        <v>531</v>
      </c>
      <c r="B551" s="56" t="inlineStr">
        <is>
          <t>00009-PLM</t>
        </is>
      </c>
      <c r="C551" s="18">
        <f>IFERROR(_xlfn.XLOOKUP(ENTRADAS[[#This Row],[CODIGO]],LISTADO[CODIGOS],LISTADO[CATEGORIA]),"NO EXISTE")</f>
        <v/>
      </c>
      <c r="D551" s="18">
        <f>IFERROR(_xlfn.XLOOKUP(ENTRADAS[[#This Row],[CODIGO]],LISTADO[CODIGOS],LISTADO[PRODUCTOS]),"NO EXISTE")</f>
        <v/>
      </c>
      <c r="E551" s="19" t="n">
        <v>46078</v>
      </c>
      <c r="F551" s="18" t="n">
        <v>1</v>
      </c>
      <c r="G551" s="18" t="inlineStr">
        <is>
          <t>INGRESO</t>
        </is>
      </c>
      <c r="H551" s="18" t="n"/>
      <c r="I551" s="45" t="n"/>
      <c r="J551" s="77" t="n"/>
      <c r="K551" s="18" t="n"/>
    </row>
    <row r="552">
      <c r="A552" s="18" t="n">
        <v>532</v>
      </c>
      <c r="B552" s="56" t="inlineStr">
        <is>
          <t>00078-FER</t>
        </is>
      </c>
      <c r="C552" s="18">
        <f>IFERROR(_xlfn.XLOOKUP(ENTRADAS[[#This Row],[CODIGO]],LISTADO[CODIGOS],LISTADO[CATEGORIA]),"NO EXISTE")</f>
        <v/>
      </c>
      <c r="D552" s="18">
        <f>IFERROR(_xlfn.XLOOKUP(ENTRADAS[[#This Row],[CODIGO]],LISTADO[CODIGOS],LISTADO[PRODUCTOS]),"NO EXISTE")</f>
        <v/>
      </c>
      <c r="E552" s="19" t="n">
        <v>46078</v>
      </c>
      <c r="F552" s="18" t="n">
        <v>1</v>
      </c>
      <c r="G552" s="18" t="inlineStr">
        <is>
          <t>INGRESO</t>
        </is>
      </c>
      <c r="H552" s="18" t="n"/>
      <c r="I552" s="45" t="n"/>
      <c r="J552" s="77" t="n"/>
      <c r="K552" s="18" t="n"/>
    </row>
    <row r="553">
      <c r="A553" s="18" t="n">
        <v>533</v>
      </c>
      <c r="B553" s="56" t="inlineStr">
        <is>
          <t>00010-PLM</t>
        </is>
      </c>
      <c r="C553" s="18">
        <f>IFERROR(_xlfn.XLOOKUP(ENTRADAS[[#This Row],[CODIGO]],LISTADO[CODIGOS],LISTADO[CATEGORIA]),"NO EXISTE")</f>
        <v/>
      </c>
      <c r="D553" s="18">
        <f>IFERROR(_xlfn.XLOOKUP(ENTRADAS[[#This Row],[CODIGO]],LISTADO[CODIGOS],LISTADO[PRODUCTOS]),"NO EXISTE")</f>
        <v/>
      </c>
      <c r="E553" s="19" t="n">
        <v>46078</v>
      </c>
      <c r="F553" s="18" t="n">
        <v>2</v>
      </c>
      <c r="G553" s="18" t="inlineStr">
        <is>
          <t>INGRESO</t>
        </is>
      </c>
      <c r="H553" s="18" t="n"/>
      <c r="I553" s="45" t="n"/>
      <c r="J553" s="77" t="n"/>
      <c r="K553" s="18" t="n"/>
    </row>
    <row r="554">
      <c r="A554" s="18" t="n">
        <v>534</v>
      </c>
      <c r="B554" s="56" t="inlineStr">
        <is>
          <t>00009-HRR</t>
        </is>
      </c>
      <c r="C554" s="18">
        <f>IFERROR(_xlfn.XLOOKUP(ENTRADAS[[#This Row],[CODIGO]],LISTADO[CODIGOS],LISTADO[CATEGORIA]),"NO EXISTE")</f>
        <v/>
      </c>
      <c r="D554" s="18">
        <f>IFERROR(_xlfn.XLOOKUP(ENTRADAS[[#This Row],[CODIGO]],LISTADO[CODIGOS],LISTADO[PRODUCTOS]),"NO EXISTE")</f>
        <v/>
      </c>
      <c r="E554" s="19" t="n">
        <v>46078</v>
      </c>
      <c r="F554" s="18" t="n">
        <v>8</v>
      </c>
      <c r="G554" s="18" t="inlineStr">
        <is>
          <t>INGRESO</t>
        </is>
      </c>
      <c r="H554" s="18" t="n"/>
      <c r="I554" s="45" t="n"/>
      <c r="J554" s="77" t="n"/>
      <c r="K554" s="18" t="n"/>
    </row>
    <row r="555">
      <c r="A555" s="18" t="n">
        <v>535</v>
      </c>
      <c r="B555" s="56" t="inlineStr">
        <is>
          <t>00010-HRR</t>
        </is>
      </c>
      <c r="C555" s="18">
        <f>IFERROR(_xlfn.XLOOKUP(ENTRADAS[[#This Row],[CODIGO]],LISTADO[CODIGOS],LISTADO[CATEGORIA]),"NO EXISTE")</f>
        <v/>
      </c>
      <c r="D555" s="18">
        <f>IFERROR(_xlfn.XLOOKUP(ENTRADAS[[#This Row],[CODIGO]],LISTADO[CODIGOS],LISTADO[PRODUCTOS]),"NO EXISTE")</f>
        <v/>
      </c>
      <c r="E555" s="19" t="n">
        <v>46078</v>
      </c>
      <c r="F555" s="18" t="n">
        <v>20</v>
      </c>
      <c r="G555" s="18" t="inlineStr">
        <is>
          <t>INGRESO</t>
        </is>
      </c>
      <c r="H555" s="18" t="n"/>
      <c r="I555" s="45" t="n"/>
      <c r="J555" s="77" t="n"/>
      <c r="K555" s="18" t="n"/>
    </row>
    <row r="556">
      <c r="A556" s="18" t="n">
        <v>536</v>
      </c>
      <c r="B556" s="56" t="inlineStr">
        <is>
          <t>00024-ELC</t>
        </is>
      </c>
      <c r="C556" s="18">
        <f>IFERROR(_xlfn.XLOOKUP(ENTRADAS[[#This Row],[CODIGO]],LISTADO[CODIGOS],LISTADO[CATEGORIA]),"NO EXISTE")</f>
        <v/>
      </c>
      <c r="D556" s="18">
        <f>IFERROR(_xlfn.XLOOKUP(ENTRADAS[[#This Row],[CODIGO]],LISTADO[CODIGOS],LISTADO[PRODUCTOS]),"NO EXISTE")</f>
        <v/>
      </c>
      <c r="E556" s="19" t="n">
        <v>46078</v>
      </c>
      <c r="F556" s="18" t="n">
        <v>2</v>
      </c>
      <c r="G556" s="18" t="inlineStr">
        <is>
          <t>INGRESO</t>
        </is>
      </c>
      <c r="H556" s="18" t="n"/>
      <c r="I556" s="45" t="n"/>
      <c r="J556" s="77" t="n"/>
      <c r="K556" s="18" t="n"/>
    </row>
    <row r="557">
      <c r="A557" s="18" t="n">
        <v>537</v>
      </c>
      <c r="B557" s="56" t="inlineStr">
        <is>
          <t>00033-ILU</t>
        </is>
      </c>
      <c r="C557" s="18">
        <f>IFERROR(_xlfn.XLOOKUP(ENTRADAS[[#This Row],[CODIGO]],LISTADO[CODIGOS],LISTADO[CATEGORIA]),"NO EXISTE")</f>
        <v/>
      </c>
      <c r="D557" s="18">
        <f>IFERROR(_xlfn.XLOOKUP(ENTRADAS[[#This Row],[CODIGO]],LISTADO[CODIGOS],LISTADO[PRODUCTOS]),"NO EXISTE")</f>
        <v/>
      </c>
      <c r="E557" s="19" t="n">
        <v>46078</v>
      </c>
      <c r="F557" s="18" t="n">
        <v>15</v>
      </c>
      <c r="G557" s="18" t="inlineStr">
        <is>
          <t>INGRESO</t>
        </is>
      </c>
      <c r="H557" s="18" t="n"/>
      <c r="I557" s="45" t="n"/>
      <c r="J557" s="77" t="n"/>
      <c r="K557" s="18" t="n"/>
    </row>
    <row r="558">
      <c r="B558" s="56" t="inlineStr">
        <is>
          <t>00010-PLM</t>
        </is>
      </c>
      <c r="C558" s="18">
        <f>IFERROR(_xlfn.XLOOKUP(ENTRADAS[[#This Row],[CODIGO]],LISTADO[CODIGOS],LISTADO[CATEGORIA]),"NO EXISTE")</f>
        <v/>
      </c>
      <c r="D558" s="18">
        <f>IFERROR(_xlfn.XLOOKUP(ENTRADAS[[#This Row],[CODIGO]],LISTADO[CODIGOS],LISTADO[PRODUCTOS]),"NO EXISTE")</f>
        <v/>
      </c>
      <c r="E558" s="19" t="n">
        <v>46079</v>
      </c>
      <c r="F558" s="18" t="n">
        <v>2</v>
      </c>
      <c r="G558" s="18" t="inlineStr">
        <is>
          <t>DEVOLUCION</t>
        </is>
      </c>
      <c r="H558" s="18" t="n"/>
      <c r="I558" s="45" t="n"/>
      <c r="J558" s="77" t="n"/>
      <c r="K558" s="18" t="n"/>
    </row>
    <row r="559">
      <c r="B559" s="56" t="inlineStr">
        <is>
          <t>00007-PLM</t>
        </is>
      </c>
      <c r="C559" s="18">
        <f>IFERROR(_xlfn.XLOOKUP(ENTRADAS[[#This Row],[CODIGO]],LISTADO[CODIGOS],LISTADO[CATEGORIA]),"NO EXISTE")</f>
        <v/>
      </c>
      <c r="D559" s="18">
        <f>IFERROR(_xlfn.XLOOKUP(ENTRADAS[[#This Row],[CODIGO]],LISTADO[CODIGOS],LISTADO[PRODUCTOS]),"NO EXISTE")</f>
        <v/>
      </c>
      <c r="E559" s="19" t="n">
        <v>46079</v>
      </c>
      <c r="F559" s="18" t="n">
        <v>2</v>
      </c>
      <c r="G559" s="18" t="inlineStr">
        <is>
          <t>DEVOLUCION</t>
        </is>
      </c>
      <c r="H559" s="18" t="n"/>
      <c r="I559" s="45" t="n"/>
      <c r="J559" s="77" t="n"/>
      <c r="K559" s="18" t="n"/>
    </row>
    <row r="560">
      <c r="B560" s="56" t="inlineStr">
        <is>
          <t>00023-FER</t>
        </is>
      </c>
      <c r="C560" s="18">
        <f>IFERROR(_xlfn.XLOOKUP(ENTRADAS[[#This Row],[CODIGO]],LISTADO[CODIGOS],LISTADO[CATEGORIA]),"NO EXISTE")</f>
        <v/>
      </c>
      <c r="D560" s="18">
        <f>IFERROR(_xlfn.XLOOKUP(ENTRADAS[[#This Row],[CODIGO]],LISTADO[CODIGOS],LISTADO[PRODUCTOS]),"NO EXISTE")</f>
        <v/>
      </c>
      <c r="E560" s="19" t="n">
        <v>46079</v>
      </c>
      <c r="F560" s="18" t="n">
        <v>3</v>
      </c>
      <c r="G560" s="18" t="inlineStr">
        <is>
          <t>DEVOLUCION</t>
        </is>
      </c>
      <c r="H560" s="18" t="n"/>
      <c r="I560" s="45" t="n"/>
      <c r="J560" s="77" t="n"/>
      <c r="K560" s="18" t="n"/>
    </row>
    <row r="561">
      <c r="B561" s="56" t="inlineStr">
        <is>
          <t>00049-FER</t>
        </is>
      </c>
      <c r="C561" s="18">
        <f>IFERROR(_xlfn.XLOOKUP(ENTRADAS[[#This Row],[CODIGO]],LISTADO[CODIGOS],LISTADO[CATEGORIA]),"NO EXISTE")</f>
        <v/>
      </c>
      <c r="D561" s="18">
        <f>IFERROR(_xlfn.XLOOKUP(ENTRADAS[[#This Row],[CODIGO]],LISTADO[CODIGOS],LISTADO[PRODUCTOS]),"NO EXISTE")</f>
        <v/>
      </c>
      <c r="E561" s="19" t="n">
        <v>46081</v>
      </c>
      <c r="F561" s="18" t="n">
        <v>0.25</v>
      </c>
      <c r="G561" s="18" t="inlineStr">
        <is>
          <t>DEVOLUCION</t>
        </is>
      </c>
      <c r="H561" s="18" t="n"/>
      <c r="I561" s="45" t="n"/>
      <c r="J561" s="77" t="n"/>
      <c r="K561" s="18" t="n"/>
    </row>
    <row r="562">
      <c r="B562" s="56" t="inlineStr">
        <is>
          <t>00050-FER</t>
        </is>
      </c>
      <c r="C562" s="18">
        <f>IFERROR(_xlfn.XLOOKUP(ENTRADAS[[#This Row],[CODIGO]],LISTADO[CODIGOS],LISTADO[CATEGORIA]),"NO EXISTE")</f>
        <v/>
      </c>
      <c r="D562" s="18">
        <f>IFERROR(_xlfn.XLOOKUP(ENTRADAS[[#This Row],[CODIGO]],LISTADO[CODIGOS],LISTADO[PRODUCTOS]),"NO EXISTE")</f>
        <v/>
      </c>
      <c r="E562" s="19" t="n">
        <v>46081</v>
      </c>
      <c r="F562" s="18" t="n">
        <v>6.5</v>
      </c>
      <c r="G562" s="18" t="inlineStr">
        <is>
          <t>INVENTARIO</t>
        </is>
      </c>
      <c r="H562" s="18" t="n"/>
      <c r="I562" s="45" t="n"/>
      <c r="J562" s="77" t="n"/>
      <c r="K562" s="18" t="n"/>
    </row>
    <row r="563">
      <c r="B563" s="56" t="inlineStr">
        <is>
          <t>00056-FER</t>
        </is>
      </c>
      <c r="C563" s="18">
        <f>IFERROR(_xlfn.XLOOKUP(ENTRADAS[[#This Row],[CODIGO]],LISTADO[CODIGOS],LISTADO[CATEGORIA]),"NO EXISTE")</f>
        <v/>
      </c>
      <c r="D563" s="18">
        <f>IFERROR(_xlfn.XLOOKUP(ENTRADAS[[#This Row],[CODIGO]],LISTADO[CODIGOS],LISTADO[PRODUCTOS]),"NO EXISTE")</f>
        <v/>
      </c>
      <c r="E563" s="19" t="n">
        <v>46081</v>
      </c>
      <c r="F563" s="18" t="n">
        <v>1</v>
      </c>
      <c r="G563" s="18" t="inlineStr">
        <is>
          <t>DEVOLUCION</t>
        </is>
      </c>
      <c r="H563" s="18" t="n"/>
      <c r="I563" s="45" t="n"/>
      <c r="J563" s="77" t="n"/>
      <c r="K563" s="18" t="n"/>
    </row>
    <row r="564">
      <c r="B564" s="56" t="inlineStr">
        <is>
          <t>00054-FER</t>
        </is>
      </c>
      <c r="C564" s="18">
        <f>IFERROR(_xlfn.XLOOKUP(ENTRADAS[[#This Row],[CODIGO]],LISTADO[CODIGOS],LISTADO[CATEGORIA]),"NO EXISTE")</f>
        <v/>
      </c>
      <c r="D564" s="18">
        <f>IFERROR(_xlfn.XLOOKUP(ENTRADAS[[#This Row],[CODIGO]],LISTADO[CODIGOS],LISTADO[PRODUCTOS]),"NO EXISTE")</f>
        <v/>
      </c>
      <c r="E564" s="19" t="n">
        <v>46081</v>
      </c>
      <c r="F564" s="18" t="n">
        <v>1</v>
      </c>
      <c r="G564" s="18" t="inlineStr">
        <is>
          <t>DEVOLUCION</t>
        </is>
      </c>
      <c r="H564" s="18" t="n"/>
      <c r="I564" s="45" t="n"/>
      <c r="J564" s="77" t="n"/>
      <c r="K564" s="18" t="n"/>
    </row>
    <row r="565">
      <c r="B565" s="56" t="inlineStr">
        <is>
          <t>00039-FER</t>
        </is>
      </c>
      <c r="C565" s="18">
        <f>IFERROR(_xlfn.XLOOKUP(ENTRADAS[[#This Row],[CODIGO]],LISTADO[CODIGOS],LISTADO[CATEGORIA]),"NO EXISTE")</f>
        <v/>
      </c>
      <c r="D565" s="18">
        <f>IFERROR(_xlfn.XLOOKUP(ENTRADAS[[#This Row],[CODIGO]],LISTADO[CODIGOS],LISTADO[PRODUCTOS]),"NO EXISTE")</f>
        <v/>
      </c>
      <c r="E565" s="19" t="n">
        <v>46081</v>
      </c>
      <c r="F565" s="18" t="n">
        <v>2</v>
      </c>
      <c r="G565" s="18" t="inlineStr">
        <is>
          <t>INVENTARIO</t>
        </is>
      </c>
      <c r="H565" s="18" t="n"/>
      <c r="I565" s="45" t="n"/>
      <c r="J565" s="77" t="n"/>
      <c r="K565" s="18" t="n"/>
    </row>
    <row r="566">
      <c r="B566" s="56" t="inlineStr">
        <is>
          <t>00041-FER</t>
        </is>
      </c>
      <c r="C566" s="18">
        <f>IFERROR(_xlfn.XLOOKUP(ENTRADAS[[#This Row],[CODIGO]],LISTADO[CODIGOS],LISTADO[CATEGORIA]),"NO EXISTE")</f>
        <v/>
      </c>
      <c r="D566" s="18">
        <f>IFERROR(_xlfn.XLOOKUP(ENTRADAS[[#This Row],[CODIGO]],LISTADO[CODIGOS],LISTADO[PRODUCTOS]),"NO EXISTE")</f>
        <v/>
      </c>
      <c r="E566" s="19" t="n">
        <v>46081</v>
      </c>
      <c r="F566" s="18" t="n">
        <v>4</v>
      </c>
      <c r="G566" s="18" t="inlineStr">
        <is>
          <t>INVENTARIO</t>
        </is>
      </c>
      <c r="H566" s="18" t="n"/>
      <c r="I566" s="45" t="n"/>
      <c r="J566" s="77" t="n"/>
      <c r="K566" s="18" t="n"/>
    </row>
    <row r="567">
      <c r="B567" s="56" t="inlineStr">
        <is>
          <t>00042-FER</t>
        </is>
      </c>
      <c r="C567" s="18">
        <f>IFERROR(_xlfn.XLOOKUP(ENTRADAS[[#This Row],[CODIGO]],LISTADO[CODIGOS],LISTADO[CATEGORIA]),"NO EXISTE")</f>
        <v/>
      </c>
      <c r="D567" s="18">
        <f>IFERROR(_xlfn.XLOOKUP(ENTRADAS[[#This Row],[CODIGO]],LISTADO[CODIGOS],LISTADO[PRODUCTOS]),"NO EXISTE")</f>
        <v/>
      </c>
      <c r="E567" s="19" t="n">
        <v>46081</v>
      </c>
      <c r="F567" s="18" t="n">
        <v>0.5</v>
      </c>
      <c r="G567" s="18" t="inlineStr">
        <is>
          <t>INVENTARIO</t>
        </is>
      </c>
      <c r="H567" s="18" t="n"/>
      <c r="I567" s="45" t="n"/>
      <c r="J567" s="77" t="n"/>
      <c r="K567" s="18" t="n"/>
    </row>
    <row r="568">
      <c r="B568" s="56" t="inlineStr">
        <is>
          <t>00031-FER</t>
        </is>
      </c>
      <c r="C568" s="18">
        <f>IFERROR(_xlfn.XLOOKUP(ENTRADAS[[#This Row],[CODIGO]],LISTADO[CODIGOS],LISTADO[CATEGORIA]),"NO EXISTE")</f>
        <v/>
      </c>
      <c r="D568" s="18">
        <f>IFERROR(_xlfn.XLOOKUP(ENTRADAS[[#This Row],[CODIGO]],LISTADO[CODIGOS],LISTADO[PRODUCTOS]),"NO EXISTE")</f>
        <v/>
      </c>
      <c r="E568" s="19" t="n">
        <v>46081</v>
      </c>
      <c r="F568" s="18" t="n">
        <v>7</v>
      </c>
      <c r="G568" s="18" t="inlineStr">
        <is>
          <t>INVENTARIO</t>
        </is>
      </c>
      <c r="H568" s="18" t="n"/>
      <c r="I568" s="45" t="n"/>
      <c r="J568" s="77" t="n"/>
      <c r="K568" s="18" t="n"/>
    </row>
    <row r="569">
      <c r="B569" s="56" t="inlineStr">
        <is>
          <t>00030-FER</t>
        </is>
      </c>
      <c r="C569" s="18">
        <f>IFERROR(_xlfn.XLOOKUP(ENTRADAS[[#This Row],[CODIGO]],LISTADO[CODIGOS],LISTADO[CATEGORIA]),"NO EXISTE")</f>
        <v/>
      </c>
      <c r="D569" s="18">
        <f>IFERROR(_xlfn.XLOOKUP(ENTRADAS[[#This Row],[CODIGO]],LISTADO[CODIGOS],LISTADO[PRODUCTOS]),"NO EXISTE")</f>
        <v/>
      </c>
      <c r="E569" s="19" t="n">
        <v>46081</v>
      </c>
      <c r="F569" s="18" t="n">
        <v>1</v>
      </c>
      <c r="G569" s="18" t="inlineStr">
        <is>
          <t>INVENTARIO</t>
        </is>
      </c>
      <c r="H569" s="18" t="n"/>
      <c r="I569" s="45" t="n"/>
      <c r="J569" s="77" t="n"/>
      <c r="K569" s="18" t="n"/>
    </row>
    <row r="570">
      <c r="B570" s="56" t="inlineStr">
        <is>
          <t>00029-FER</t>
        </is>
      </c>
      <c r="C570" s="18">
        <f>IFERROR(_xlfn.XLOOKUP(ENTRADAS[[#This Row],[CODIGO]],LISTADO[CODIGOS],LISTADO[CATEGORIA]),"NO EXISTE")</f>
        <v/>
      </c>
      <c r="D570" s="18">
        <f>IFERROR(_xlfn.XLOOKUP(ENTRADAS[[#This Row],[CODIGO]],LISTADO[CODIGOS],LISTADO[PRODUCTOS]),"NO EXISTE")</f>
        <v/>
      </c>
      <c r="E570" s="19" t="n">
        <v>46081</v>
      </c>
      <c r="F570" s="18" t="n">
        <v>3</v>
      </c>
      <c r="G570" s="18" t="inlineStr">
        <is>
          <t>INVENTARIO</t>
        </is>
      </c>
      <c r="H570" s="18" t="n"/>
      <c r="I570" s="45" t="n"/>
      <c r="J570" s="77" t="n"/>
      <c r="K570" s="18" t="n"/>
    </row>
    <row r="571">
      <c r="B571" s="56" t="inlineStr">
        <is>
          <t>00027-FER</t>
        </is>
      </c>
      <c r="C571" s="18">
        <f>IFERROR(_xlfn.XLOOKUP(ENTRADAS[[#This Row],[CODIGO]],LISTADO[CODIGOS],LISTADO[CATEGORIA]),"NO EXISTE")</f>
        <v/>
      </c>
      <c r="D571" s="18">
        <f>IFERROR(_xlfn.XLOOKUP(ENTRADAS[[#This Row],[CODIGO]],LISTADO[CODIGOS],LISTADO[PRODUCTOS]),"NO EXISTE")</f>
        <v/>
      </c>
      <c r="E571" s="19" t="n">
        <v>46081</v>
      </c>
      <c r="F571" s="18" t="n">
        <v>13</v>
      </c>
      <c r="G571" s="18" t="inlineStr">
        <is>
          <t>INVENTARIO</t>
        </is>
      </c>
      <c r="H571" s="18" t="n"/>
      <c r="I571" s="45" t="n"/>
      <c r="J571" s="77" t="n"/>
      <c r="K571" s="18" t="n"/>
    </row>
    <row r="572">
      <c r="B572" s="56" t="inlineStr">
        <is>
          <t>00032-FER</t>
        </is>
      </c>
      <c r="C572" s="18">
        <f>IFERROR(_xlfn.XLOOKUP(ENTRADAS[[#This Row],[CODIGO]],LISTADO[CODIGOS],LISTADO[CATEGORIA]),"NO EXISTE")</f>
        <v/>
      </c>
      <c r="D572" s="18">
        <f>IFERROR(_xlfn.XLOOKUP(ENTRADAS[[#This Row],[CODIGO]],LISTADO[CODIGOS],LISTADO[PRODUCTOS]),"NO EXISTE")</f>
        <v/>
      </c>
      <c r="E572" s="19" t="n">
        <v>46081</v>
      </c>
      <c r="F572" s="18" t="n">
        <v>1</v>
      </c>
      <c r="G572" s="18" t="inlineStr">
        <is>
          <t>INVENTARIO</t>
        </is>
      </c>
      <c r="H572" s="18" t="n"/>
      <c r="I572" s="45" t="n"/>
      <c r="J572" s="77" t="n"/>
      <c r="K572" s="18" t="n"/>
    </row>
    <row r="573">
      <c r="B573" s="56" t="inlineStr">
        <is>
          <t>00011-PLM</t>
        </is>
      </c>
      <c r="C573" s="18">
        <f>IFERROR(_xlfn.XLOOKUP(ENTRADAS[[#This Row],[CODIGO]],LISTADO[CODIGOS],LISTADO[CATEGORIA]),"NO EXISTE")</f>
        <v/>
      </c>
      <c r="D573" s="18">
        <f>IFERROR(_xlfn.XLOOKUP(ENTRADAS[[#This Row],[CODIGO]],LISTADO[CODIGOS],LISTADO[PRODUCTOS]),"NO EXISTE")</f>
        <v/>
      </c>
      <c r="E573" s="19" t="n">
        <v>46081</v>
      </c>
      <c r="F573" s="18" t="n">
        <v>16</v>
      </c>
      <c r="G573" s="18" t="inlineStr">
        <is>
          <t>INVENTARIO</t>
        </is>
      </c>
      <c r="H573" s="18" t="n"/>
      <c r="I573" s="45" t="n"/>
      <c r="J573" s="77" t="n"/>
      <c r="K573" s="18" t="n"/>
    </row>
    <row r="574">
      <c r="B574" s="56" t="inlineStr">
        <is>
          <t>00012-PLM</t>
        </is>
      </c>
      <c r="C574" s="18">
        <f>IFERROR(_xlfn.XLOOKUP(ENTRADAS[[#This Row],[CODIGO]],LISTADO[CODIGOS],LISTADO[CATEGORIA]),"NO EXISTE")</f>
        <v/>
      </c>
      <c r="D574" s="18">
        <f>IFERROR(_xlfn.XLOOKUP(ENTRADAS[[#This Row],[CODIGO]],LISTADO[CODIGOS],LISTADO[PRODUCTOS]),"NO EXISTE")</f>
        <v/>
      </c>
      <c r="E574" s="19" t="n">
        <v>46081</v>
      </c>
      <c r="F574" s="18" t="n">
        <v>8</v>
      </c>
      <c r="G574" s="18" t="inlineStr">
        <is>
          <t>INVENTARIO</t>
        </is>
      </c>
      <c r="H574" s="18" t="n"/>
      <c r="I574" s="45" t="n"/>
      <c r="J574" s="77" t="n"/>
      <c r="K574" s="18" t="n"/>
    </row>
    <row r="575">
      <c r="B575" s="56" t="inlineStr">
        <is>
          <t>00013-PLM</t>
        </is>
      </c>
      <c r="C575" s="18">
        <f>IFERROR(_xlfn.XLOOKUP(ENTRADAS[[#This Row],[CODIGO]],LISTADO[CODIGOS],LISTADO[CATEGORIA]),"NO EXISTE")</f>
        <v/>
      </c>
      <c r="D575" s="18">
        <f>IFERROR(_xlfn.XLOOKUP(ENTRADAS[[#This Row],[CODIGO]],LISTADO[CODIGOS],LISTADO[PRODUCTOS]),"NO EXISTE")</f>
        <v/>
      </c>
      <c r="E575" s="19" t="n">
        <v>46081</v>
      </c>
      <c r="F575" s="18" t="n">
        <v>1</v>
      </c>
      <c r="G575" s="18" t="inlineStr">
        <is>
          <t>INVENTARIO</t>
        </is>
      </c>
      <c r="H575" s="18" t="n"/>
      <c r="I575" s="45" t="n"/>
      <c r="J575" s="77" t="n"/>
      <c r="K575" s="18" t="n"/>
    </row>
    <row r="576">
      <c r="B576" s="56" t="inlineStr">
        <is>
          <t>00014-PLM</t>
        </is>
      </c>
      <c r="C576" s="18">
        <f>IFERROR(_xlfn.XLOOKUP(ENTRADAS[[#This Row],[CODIGO]],LISTADO[CODIGOS],LISTADO[CATEGORIA]),"NO EXISTE")</f>
        <v/>
      </c>
      <c r="D576" s="18">
        <f>IFERROR(_xlfn.XLOOKUP(ENTRADAS[[#This Row],[CODIGO]],LISTADO[CODIGOS],LISTADO[PRODUCTOS]),"NO EXISTE")</f>
        <v/>
      </c>
      <c r="E576" s="19" t="n">
        <v>46081</v>
      </c>
      <c r="F576" s="18" t="n">
        <v>1</v>
      </c>
      <c r="G576" s="18" t="inlineStr">
        <is>
          <t>INVENTARIO</t>
        </is>
      </c>
      <c r="H576" s="18" t="n"/>
      <c r="I576" s="45" t="n"/>
      <c r="J576" s="77" t="n"/>
      <c r="K576" s="18" t="n"/>
    </row>
    <row r="577">
      <c r="B577" s="56" t="inlineStr">
        <is>
          <t>00015-PLM</t>
        </is>
      </c>
      <c r="C577" s="18">
        <f>IFERROR(_xlfn.XLOOKUP(ENTRADAS[[#This Row],[CODIGO]],LISTADO[CODIGOS],LISTADO[CATEGORIA]),"NO EXISTE")</f>
        <v/>
      </c>
      <c r="D577" s="18">
        <f>IFERROR(_xlfn.XLOOKUP(ENTRADAS[[#This Row],[CODIGO]],LISTADO[CODIGOS],LISTADO[PRODUCTOS]),"NO EXISTE")</f>
        <v/>
      </c>
      <c r="E577" s="19" t="n">
        <v>46081</v>
      </c>
      <c r="F577" s="18" t="n">
        <v>1</v>
      </c>
      <c r="G577" s="18" t="inlineStr">
        <is>
          <t>INVENTARIO</t>
        </is>
      </c>
      <c r="H577" s="18" t="n"/>
      <c r="I577" s="45" t="n"/>
      <c r="J577" s="77" t="n"/>
      <c r="K577" s="18" t="n"/>
    </row>
    <row r="578">
      <c r="B578" s="56" t="inlineStr">
        <is>
          <t>00016-PLM</t>
        </is>
      </c>
      <c r="C578" s="18">
        <f>IFERROR(_xlfn.XLOOKUP(ENTRADAS[[#This Row],[CODIGO]],LISTADO[CODIGOS],LISTADO[CATEGORIA]),"NO EXISTE")</f>
        <v/>
      </c>
      <c r="D578" s="18">
        <f>IFERROR(_xlfn.XLOOKUP(ENTRADAS[[#This Row],[CODIGO]],LISTADO[CODIGOS],LISTADO[PRODUCTOS]),"NO EXISTE")</f>
        <v/>
      </c>
      <c r="E578" s="19" t="n">
        <v>46081</v>
      </c>
      <c r="F578" s="18" t="n">
        <v>8</v>
      </c>
      <c r="G578" s="18" t="inlineStr">
        <is>
          <t>INVENTARIO</t>
        </is>
      </c>
      <c r="H578" s="18" t="n"/>
      <c r="I578" s="45" t="n"/>
      <c r="J578" s="77" t="n"/>
      <c r="K578" s="18" t="n"/>
    </row>
    <row r="579">
      <c r="B579" s="56" t="inlineStr">
        <is>
          <t>00017-PLM</t>
        </is>
      </c>
      <c r="C579" s="18">
        <f>IFERROR(_xlfn.XLOOKUP(ENTRADAS[[#This Row],[CODIGO]],LISTADO[CODIGOS],LISTADO[CATEGORIA]),"NO EXISTE")</f>
        <v/>
      </c>
      <c r="D579" s="18">
        <f>IFERROR(_xlfn.XLOOKUP(ENTRADAS[[#This Row],[CODIGO]],LISTADO[CODIGOS],LISTADO[PRODUCTOS]),"NO EXISTE")</f>
        <v/>
      </c>
      <c r="E579" s="19" t="n">
        <v>46081</v>
      </c>
      <c r="F579" s="18" t="n">
        <v>4</v>
      </c>
      <c r="G579" s="18" t="inlineStr">
        <is>
          <t>INVENTARIO</t>
        </is>
      </c>
      <c r="H579" s="18" t="n"/>
      <c r="I579" s="45" t="n"/>
      <c r="J579" s="77" t="n"/>
      <c r="K579" s="18" t="n"/>
    </row>
    <row r="580">
      <c r="B580" s="56" t="inlineStr">
        <is>
          <t>00018-PLM</t>
        </is>
      </c>
      <c r="C580" s="18">
        <f>IFERROR(_xlfn.XLOOKUP(ENTRADAS[[#This Row],[CODIGO]],LISTADO[CODIGOS],LISTADO[CATEGORIA]),"NO EXISTE")</f>
        <v/>
      </c>
      <c r="D580" s="18">
        <f>IFERROR(_xlfn.XLOOKUP(ENTRADAS[[#This Row],[CODIGO]],LISTADO[CODIGOS],LISTADO[PRODUCTOS]),"NO EXISTE")</f>
        <v/>
      </c>
      <c r="E580" s="19" t="n">
        <v>46081</v>
      </c>
      <c r="F580" s="18" t="n">
        <v>18</v>
      </c>
      <c r="G580" s="18" t="inlineStr">
        <is>
          <t>INVENTARIO</t>
        </is>
      </c>
      <c r="H580" s="18" t="n"/>
      <c r="I580" s="45" t="n"/>
      <c r="J580" s="77" t="n"/>
      <c r="K580" s="18" t="n"/>
    </row>
    <row r="581">
      <c r="B581" s="56" t="inlineStr">
        <is>
          <t>00019-PLM</t>
        </is>
      </c>
      <c r="C581" s="18">
        <f>IFERROR(_xlfn.XLOOKUP(ENTRADAS[[#This Row],[CODIGO]],LISTADO[CODIGOS],LISTADO[CATEGORIA]),"NO EXISTE")</f>
        <v/>
      </c>
      <c r="D581" s="18">
        <f>IFERROR(_xlfn.XLOOKUP(ENTRADAS[[#This Row],[CODIGO]],LISTADO[CODIGOS],LISTADO[PRODUCTOS]),"NO EXISTE")</f>
        <v/>
      </c>
      <c r="E581" s="19" t="n">
        <v>46081</v>
      </c>
      <c r="F581" s="18" t="n">
        <v>3</v>
      </c>
      <c r="G581" s="18" t="inlineStr">
        <is>
          <t>INVENTARIO</t>
        </is>
      </c>
      <c r="H581" s="18" t="n"/>
      <c r="I581" s="45" t="n"/>
      <c r="J581" s="77" t="n"/>
      <c r="K581" s="18" t="n"/>
    </row>
    <row r="582">
      <c r="B582" s="56" t="inlineStr">
        <is>
          <t>00020-PLM</t>
        </is>
      </c>
      <c r="C582" s="18">
        <f>IFERROR(_xlfn.XLOOKUP(ENTRADAS[[#This Row],[CODIGO]],LISTADO[CODIGOS],LISTADO[CATEGORIA]),"NO EXISTE")</f>
        <v/>
      </c>
      <c r="D582" s="18">
        <f>IFERROR(_xlfn.XLOOKUP(ENTRADAS[[#This Row],[CODIGO]],LISTADO[CODIGOS],LISTADO[PRODUCTOS]),"NO EXISTE")</f>
        <v/>
      </c>
      <c r="E582" s="19" t="n">
        <v>46081</v>
      </c>
      <c r="F582" s="18" t="n">
        <v>3</v>
      </c>
      <c r="G582" s="18" t="inlineStr">
        <is>
          <t>INVENTARIO</t>
        </is>
      </c>
      <c r="H582" s="18" t="n"/>
      <c r="I582" s="45" t="n"/>
      <c r="J582" s="77" t="n"/>
      <c r="K582" s="18" t="n"/>
    </row>
    <row r="583">
      <c r="B583" s="56" t="inlineStr">
        <is>
          <t>00021-PLM</t>
        </is>
      </c>
      <c r="C583" s="18">
        <f>IFERROR(_xlfn.XLOOKUP(ENTRADAS[[#This Row],[CODIGO]],LISTADO[CODIGOS],LISTADO[CATEGORIA]),"NO EXISTE")</f>
        <v/>
      </c>
      <c r="D583" s="18">
        <f>IFERROR(_xlfn.XLOOKUP(ENTRADAS[[#This Row],[CODIGO]],LISTADO[CODIGOS],LISTADO[PRODUCTOS]),"NO EXISTE")</f>
        <v/>
      </c>
      <c r="E583" s="19" t="n">
        <v>46081</v>
      </c>
      <c r="F583" s="18" t="n">
        <v>1</v>
      </c>
      <c r="G583" s="18" t="inlineStr">
        <is>
          <t>INVENTARIO</t>
        </is>
      </c>
      <c r="H583" s="18" t="n"/>
      <c r="I583" s="45" t="n"/>
      <c r="J583" s="77" t="n"/>
      <c r="K583" s="18" t="n"/>
    </row>
    <row r="584">
      <c r="B584" s="56" t="inlineStr">
        <is>
          <t>00022-PLM</t>
        </is>
      </c>
      <c r="C584" s="18">
        <f>IFERROR(_xlfn.XLOOKUP(ENTRADAS[[#This Row],[CODIGO]],LISTADO[CODIGOS],LISTADO[CATEGORIA]),"NO EXISTE")</f>
        <v/>
      </c>
      <c r="D584" s="18">
        <f>IFERROR(_xlfn.XLOOKUP(ENTRADAS[[#This Row],[CODIGO]],LISTADO[CODIGOS],LISTADO[PRODUCTOS]),"NO EXISTE")</f>
        <v/>
      </c>
      <c r="E584" s="19" t="n">
        <v>46081</v>
      </c>
      <c r="F584" s="18" t="n">
        <v>1</v>
      </c>
      <c r="G584" s="18" t="inlineStr">
        <is>
          <t>INVENTARIO</t>
        </is>
      </c>
      <c r="H584" s="18" t="n"/>
      <c r="I584" s="45" t="n"/>
      <c r="J584" s="77" t="n"/>
      <c r="K584" s="18" t="n"/>
    </row>
    <row r="585">
      <c r="B585" s="56" t="inlineStr">
        <is>
          <t>00023-PLM</t>
        </is>
      </c>
      <c r="C585" s="18">
        <f>IFERROR(_xlfn.XLOOKUP(ENTRADAS[[#This Row],[CODIGO]],LISTADO[CODIGOS],LISTADO[CATEGORIA]),"NO EXISTE")</f>
        <v/>
      </c>
      <c r="D585" s="18">
        <f>IFERROR(_xlfn.XLOOKUP(ENTRADAS[[#This Row],[CODIGO]],LISTADO[CODIGOS],LISTADO[PRODUCTOS]),"NO EXISTE")</f>
        <v/>
      </c>
      <c r="E585" s="19" t="n">
        <v>46081</v>
      </c>
      <c r="F585" s="18" t="n">
        <v>1</v>
      </c>
      <c r="G585" s="18" t="inlineStr">
        <is>
          <t>INVENTARIO</t>
        </is>
      </c>
      <c r="H585" s="18" t="n"/>
      <c r="I585" s="45" t="n"/>
      <c r="J585" s="77" t="n"/>
      <c r="K585" s="18" t="n"/>
    </row>
    <row r="586">
      <c r="B586" s="56" t="inlineStr">
        <is>
          <t>00024-PLM</t>
        </is>
      </c>
      <c r="C586" s="18">
        <f>IFERROR(_xlfn.XLOOKUP(ENTRADAS[[#This Row],[CODIGO]],LISTADO[CODIGOS],LISTADO[CATEGORIA]),"NO EXISTE")</f>
        <v/>
      </c>
      <c r="D586" s="18">
        <f>IFERROR(_xlfn.XLOOKUP(ENTRADAS[[#This Row],[CODIGO]],LISTADO[CODIGOS],LISTADO[PRODUCTOS]),"NO EXISTE")</f>
        <v/>
      </c>
      <c r="E586" s="19" t="n">
        <v>46081</v>
      </c>
      <c r="F586" s="18" t="n">
        <v>1</v>
      </c>
      <c r="G586" s="18" t="inlineStr">
        <is>
          <t>INVENTARIO</t>
        </is>
      </c>
      <c r="H586" s="18" t="n"/>
      <c r="I586" s="45" t="n"/>
      <c r="J586" s="77" t="n"/>
      <c r="K586" s="18" t="n"/>
    </row>
    <row r="587">
      <c r="B587" s="56" t="inlineStr">
        <is>
          <t>00025-PLM</t>
        </is>
      </c>
      <c r="C587" s="18">
        <f>IFERROR(_xlfn.XLOOKUP(ENTRADAS[[#This Row],[CODIGO]],LISTADO[CODIGOS],LISTADO[CATEGORIA]),"NO EXISTE")</f>
        <v/>
      </c>
      <c r="D587" s="18">
        <f>IFERROR(_xlfn.XLOOKUP(ENTRADAS[[#This Row],[CODIGO]],LISTADO[CODIGOS],LISTADO[PRODUCTOS]),"NO EXISTE")</f>
        <v/>
      </c>
      <c r="E587" s="19" t="n">
        <v>46081</v>
      </c>
      <c r="F587" s="18" t="n">
        <v>1</v>
      </c>
      <c r="G587" s="18" t="inlineStr">
        <is>
          <t>INVENTARIO</t>
        </is>
      </c>
      <c r="H587" s="18" t="n"/>
      <c r="I587" s="45" t="n"/>
      <c r="J587" s="77" t="n"/>
      <c r="K587" s="18" t="n"/>
    </row>
    <row r="588">
      <c r="B588" s="56" t="inlineStr">
        <is>
          <t>00026-PLM</t>
        </is>
      </c>
      <c r="C588" s="18">
        <f>IFERROR(_xlfn.XLOOKUP(ENTRADAS[[#This Row],[CODIGO]],LISTADO[CODIGOS],LISTADO[CATEGORIA]),"NO EXISTE")</f>
        <v/>
      </c>
      <c r="D588" s="18">
        <f>IFERROR(_xlfn.XLOOKUP(ENTRADAS[[#This Row],[CODIGO]],LISTADO[CODIGOS],LISTADO[PRODUCTOS]),"NO EXISTE")</f>
        <v/>
      </c>
      <c r="E588" s="19" t="n">
        <v>46081</v>
      </c>
      <c r="F588" s="18" t="n">
        <v>1</v>
      </c>
      <c r="G588" s="18" t="inlineStr">
        <is>
          <t>INVENTARIO</t>
        </is>
      </c>
      <c r="H588" s="18" t="n"/>
      <c r="I588" s="45" t="n"/>
      <c r="J588" s="77" t="n"/>
      <c r="K588" s="18" t="n"/>
    </row>
    <row r="589">
      <c r="B589" s="56" t="inlineStr">
        <is>
          <t>00013-HRR</t>
        </is>
      </c>
      <c r="C589" s="18">
        <f>IFERROR(_xlfn.XLOOKUP(ENTRADAS[[#This Row],[CODIGO]],LISTADO[CODIGOS],LISTADO[CATEGORIA]),"NO EXISTE")</f>
        <v/>
      </c>
      <c r="D589" s="18">
        <f>IFERROR(_xlfn.XLOOKUP(ENTRADAS[[#This Row],[CODIGO]],LISTADO[CODIGOS],LISTADO[PRODUCTOS]),"NO EXISTE")</f>
        <v/>
      </c>
      <c r="E589" s="19" t="n">
        <v>46081</v>
      </c>
      <c r="F589" s="18" t="n">
        <v>8</v>
      </c>
      <c r="G589" s="18" t="inlineStr">
        <is>
          <t>INVENTARIO</t>
        </is>
      </c>
      <c r="H589" s="18" t="n"/>
      <c r="I589" s="45" t="n"/>
      <c r="J589" s="77" t="n"/>
      <c r="K589" s="18" t="n"/>
    </row>
    <row r="590">
      <c r="B590" s="56" t="inlineStr">
        <is>
          <t>00014-HRR</t>
        </is>
      </c>
      <c r="C590" s="18">
        <f>IFERROR(_xlfn.XLOOKUP(ENTRADAS[[#This Row],[CODIGO]],LISTADO[CODIGOS],LISTADO[CATEGORIA]),"NO EXISTE")</f>
        <v/>
      </c>
      <c r="D590" s="18">
        <f>IFERROR(_xlfn.XLOOKUP(ENTRADAS[[#This Row],[CODIGO]],LISTADO[CODIGOS],LISTADO[PRODUCTOS]),"NO EXISTE")</f>
        <v/>
      </c>
      <c r="E590" s="19" t="n">
        <v>46081</v>
      </c>
      <c r="F590" s="18" t="n">
        <v>3</v>
      </c>
      <c r="G590" s="18" t="inlineStr">
        <is>
          <t>INVENTARIO</t>
        </is>
      </c>
      <c r="H590" s="18" t="n"/>
      <c r="I590" s="45" t="n"/>
      <c r="J590" s="77" t="n"/>
      <c r="K590" s="18" t="n"/>
    </row>
    <row r="591">
      <c r="B591" s="56" t="inlineStr">
        <is>
          <t>00015-HRR</t>
        </is>
      </c>
      <c r="C591" s="18">
        <f>IFERROR(_xlfn.XLOOKUP(ENTRADAS[[#This Row],[CODIGO]],LISTADO[CODIGOS],LISTADO[CATEGORIA]),"NO EXISTE")</f>
        <v/>
      </c>
      <c r="D591" s="18">
        <f>IFERROR(_xlfn.XLOOKUP(ENTRADAS[[#This Row],[CODIGO]],LISTADO[CODIGOS],LISTADO[PRODUCTOS]),"NO EXISTE")</f>
        <v/>
      </c>
      <c r="E591" s="19" t="n">
        <v>46081</v>
      </c>
      <c r="F591" s="18" t="n">
        <v>1</v>
      </c>
      <c r="G591" s="18" t="inlineStr">
        <is>
          <t>INVENTARIO</t>
        </is>
      </c>
      <c r="H591" s="18" t="n"/>
      <c r="I591" s="45" t="n"/>
      <c r="J591" s="77" t="n"/>
      <c r="K591" s="18" t="n"/>
    </row>
    <row r="592">
      <c r="B592" s="56" t="inlineStr">
        <is>
          <t>00016-HRR</t>
        </is>
      </c>
      <c r="C592" s="18">
        <f>IFERROR(_xlfn.XLOOKUP(ENTRADAS[[#This Row],[CODIGO]],LISTADO[CODIGOS],LISTADO[CATEGORIA]),"NO EXISTE")</f>
        <v/>
      </c>
      <c r="D592" s="18">
        <f>IFERROR(_xlfn.XLOOKUP(ENTRADAS[[#This Row],[CODIGO]],LISTADO[CODIGOS],LISTADO[PRODUCTOS]),"NO EXISTE")</f>
        <v/>
      </c>
      <c r="E592" s="19" t="n">
        <v>46081</v>
      </c>
      <c r="F592" s="18" t="n">
        <v>5</v>
      </c>
      <c r="G592" s="18" t="inlineStr">
        <is>
          <t>INVENTARIO</t>
        </is>
      </c>
      <c r="H592" s="18" t="n"/>
      <c r="I592" s="45" t="n"/>
      <c r="J592" s="77" t="n"/>
      <c r="K592" s="18" t="n"/>
    </row>
    <row r="593">
      <c r="B593" s="56" t="inlineStr">
        <is>
          <t>00017-HRR</t>
        </is>
      </c>
      <c r="C593" s="18">
        <f>IFERROR(_xlfn.XLOOKUP(ENTRADAS[[#This Row],[CODIGO]],LISTADO[CODIGOS],LISTADO[CATEGORIA]),"NO EXISTE")</f>
        <v/>
      </c>
      <c r="D593" s="18">
        <f>IFERROR(_xlfn.XLOOKUP(ENTRADAS[[#This Row],[CODIGO]],LISTADO[CODIGOS],LISTADO[PRODUCTOS]),"NO EXISTE")</f>
        <v/>
      </c>
      <c r="E593" s="19" t="n">
        <v>46081</v>
      </c>
      <c r="F593" s="18" t="n">
        <v>2</v>
      </c>
      <c r="G593" s="18" t="inlineStr">
        <is>
          <t>INVENTARIO</t>
        </is>
      </c>
      <c r="H593" s="18" t="n"/>
      <c r="I593" s="45" t="n"/>
      <c r="J593" s="77" t="n"/>
      <c r="K593" s="18" t="n"/>
    </row>
    <row r="594">
      <c r="B594" s="56" t="inlineStr">
        <is>
          <t>00027-PLM</t>
        </is>
      </c>
      <c r="C594" s="18">
        <f>IFERROR(_xlfn.XLOOKUP(ENTRADAS[[#This Row],[CODIGO]],LISTADO[CODIGOS],LISTADO[CATEGORIA]),"NO EXISTE")</f>
        <v/>
      </c>
      <c r="D594" s="18">
        <f>IFERROR(_xlfn.XLOOKUP(ENTRADAS[[#This Row],[CODIGO]],LISTADO[CODIGOS],LISTADO[PRODUCTOS]),"NO EXISTE")</f>
        <v/>
      </c>
      <c r="E594" s="19" t="n">
        <v>46081</v>
      </c>
      <c r="F594" s="18" t="n">
        <v>1</v>
      </c>
      <c r="G594" s="18" t="inlineStr">
        <is>
          <t>INVENTARIO</t>
        </is>
      </c>
      <c r="H594" s="18" t="n"/>
      <c r="I594" s="45" t="n"/>
      <c r="J594" s="77" t="n"/>
      <c r="K594" s="18" t="n"/>
    </row>
    <row r="595">
      <c r="B595" s="56" t="inlineStr">
        <is>
          <t>00028-PLM</t>
        </is>
      </c>
      <c r="C595" s="18">
        <f>IFERROR(_xlfn.XLOOKUP(ENTRADAS[[#This Row],[CODIGO]],LISTADO[CODIGOS],LISTADO[CATEGORIA]),"NO EXISTE")</f>
        <v/>
      </c>
      <c r="D595" s="18">
        <f>IFERROR(_xlfn.XLOOKUP(ENTRADAS[[#This Row],[CODIGO]],LISTADO[CODIGOS],LISTADO[PRODUCTOS]),"NO EXISTE")</f>
        <v/>
      </c>
      <c r="E595" s="19" t="n">
        <v>46081</v>
      </c>
      <c r="F595" s="18" t="n">
        <v>2</v>
      </c>
      <c r="G595" s="18" t="inlineStr">
        <is>
          <t>INVENTARIO</t>
        </is>
      </c>
      <c r="H595" s="18" t="n"/>
      <c r="I595" s="45" t="n"/>
      <c r="J595" s="77" t="n"/>
      <c r="K595" s="18" t="n"/>
    </row>
    <row r="596">
      <c r="B596" s="56" t="inlineStr">
        <is>
          <t>00029-PLM</t>
        </is>
      </c>
      <c r="C596" s="18">
        <f>IFERROR(_xlfn.XLOOKUP(ENTRADAS[[#This Row],[CODIGO]],LISTADO[CODIGOS],LISTADO[CATEGORIA]),"NO EXISTE")</f>
        <v/>
      </c>
      <c r="D596" s="18">
        <f>IFERROR(_xlfn.XLOOKUP(ENTRADAS[[#This Row],[CODIGO]],LISTADO[CODIGOS],LISTADO[PRODUCTOS]),"NO EXISTE")</f>
        <v/>
      </c>
      <c r="E596" s="19" t="n">
        <v>46081</v>
      </c>
      <c r="F596" s="18" t="n">
        <v>3</v>
      </c>
      <c r="G596" s="18" t="inlineStr">
        <is>
          <t>INVENTARIO</t>
        </is>
      </c>
      <c r="H596" s="18" t="n"/>
      <c r="I596" s="45" t="n"/>
      <c r="J596" s="77" t="n"/>
      <c r="K596" s="18" t="n"/>
    </row>
    <row r="597">
      <c r="B597" s="56" t="inlineStr">
        <is>
          <t>00018-HRR</t>
        </is>
      </c>
      <c r="C597" s="18">
        <f>IFERROR(_xlfn.XLOOKUP(ENTRADAS[[#This Row],[CODIGO]],LISTADO[CODIGOS],LISTADO[CATEGORIA]),"NO EXISTE")</f>
        <v/>
      </c>
      <c r="D597" s="18">
        <f>IFERROR(_xlfn.XLOOKUP(ENTRADAS[[#This Row],[CODIGO]],LISTADO[CODIGOS],LISTADO[PRODUCTOS]),"NO EXISTE")</f>
        <v/>
      </c>
      <c r="E597" s="19" t="n">
        <v>46081</v>
      </c>
      <c r="F597" s="18" t="n">
        <v>5</v>
      </c>
      <c r="G597" s="18" t="inlineStr">
        <is>
          <t>INVENTARIO</t>
        </is>
      </c>
      <c r="H597" s="18" t="n"/>
      <c r="I597" s="45" t="n"/>
      <c r="J597" s="77" t="n"/>
      <c r="K597" s="18" t="n"/>
    </row>
    <row r="598">
      <c r="B598" s="56" t="inlineStr">
        <is>
          <t>00030-PLM</t>
        </is>
      </c>
      <c r="C598" s="18">
        <f>IFERROR(_xlfn.XLOOKUP(ENTRADAS[[#This Row],[CODIGO]],LISTADO[CODIGOS],LISTADO[CATEGORIA]),"NO EXISTE")</f>
        <v/>
      </c>
      <c r="D598" s="18">
        <f>IFERROR(_xlfn.XLOOKUP(ENTRADAS[[#This Row],[CODIGO]],LISTADO[CODIGOS],LISTADO[PRODUCTOS]),"NO EXISTE")</f>
        <v/>
      </c>
      <c r="E598" s="19" t="n">
        <v>46081</v>
      </c>
      <c r="F598" s="18" t="n">
        <v>2</v>
      </c>
      <c r="G598" s="18" t="inlineStr">
        <is>
          <t>INVENTARIO</t>
        </is>
      </c>
      <c r="H598" s="18" t="n"/>
      <c r="I598" s="45" t="n"/>
      <c r="J598" s="77" t="n"/>
      <c r="K598" s="18" t="n"/>
    </row>
    <row r="599">
      <c r="B599" s="56" t="inlineStr">
        <is>
          <t>00031-PLM</t>
        </is>
      </c>
      <c r="C599" s="18">
        <f>IFERROR(_xlfn.XLOOKUP(ENTRADAS[[#This Row],[CODIGO]],LISTADO[CODIGOS],LISTADO[CATEGORIA]),"NO EXISTE")</f>
        <v/>
      </c>
      <c r="D599" s="18">
        <f>IFERROR(_xlfn.XLOOKUP(ENTRADAS[[#This Row],[CODIGO]],LISTADO[CODIGOS],LISTADO[PRODUCTOS]),"NO EXISTE")</f>
        <v/>
      </c>
      <c r="E599" s="19" t="n">
        <v>46081</v>
      </c>
      <c r="F599" s="18" t="n">
        <v>3</v>
      </c>
      <c r="G599" s="18" t="inlineStr">
        <is>
          <t>INVENTARIO</t>
        </is>
      </c>
      <c r="H599" s="18" t="n"/>
      <c r="I599" s="45" t="n"/>
      <c r="J599" s="77" t="n"/>
      <c r="K599" s="18" t="n"/>
    </row>
    <row r="600">
      <c r="B600" s="56" t="inlineStr">
        <is>
          <t>00032-PLM</t>
        </is>
      </c>
      <c r="C600" s="18">
        <f>IFERROR(_xlfn.XLOOKUP(ENTRADAS[[#This Row],[CODIGO]],LISTADO[CODIGOS],LISTADO[CATEGORIA]),"NO EXISTE")</f>
        <v/>
      </c>
      <c r="D600" s="18">
        <f>IFERROR(_xlfn.XLOOKUP(ENTRADAS[[#This Row],[CODIGO]],LISTADO[CODIGOS],LISTADO[PRODUCTOS]),"NO EXISTE")</f>
        <v/>
      </c>
      <c r="E600" s="19" t="n">
        <v>46081</v>
      </c>
      <c r="F600" s="18" t="n">
        <v>1</v>
      </c>
      <c r="G600" s="18" t="inlineStr">
        <is>
          <t>INVENTARIO</t>
        </is>
      </c>
      <c r="H600" s="18" t="n"/>
      <c r="I600" s="45" t="n"/>
      <c r="J600" s="77" t="n"/>
      <c r="K600" s="18" t="n"/>
    </row>
    <row r="601">
      <c r="B601" s="56" t="inlineStr">
        <is>
          <t>00033-PLM</t>
        </is>
      </c>
      <c r="C601" s="18">
        <f>IFERROR(_xlfn.XLOOKUP(ENTRADAS[[#This Row],[CODIGO]],LISTADO[CODIGOS],LISTADO[CATEGORIA]),"NO EXISTE")</f>
        <v/>
      </c>
      <c r="D601" s="18">
        <f>IFERROR(_xlfn.XLOOKUP(ENTRADAS[[#This Row],[CODIGO]],LISTADO[CODIGOS],LISTADO[PRODUCTOS]),"NO EXISTE")</f>
        <v/>
      </c>
      <c r="E601" s="19" t="n">
        <v>46081</v>
      </c>
      <c r="F601" s="18" t="n">
        <v>1</v>
      </c>
      <c r="G601" s="18" t="inlineStr">
        <is>
          <t>INVENTARIO</t>
        </is>
      </c>
      <c r="H601" s="18" t="n"/>
      <c r="I601" s="45" t="n"/>
      <c r="J601" s="77" t="n"/>
      <c r="K601" s="18" t="n"/>
    </row>
    <row r="602">
      <c r="B602" s="56" t="inlineStr">
        <is>
          <t>00034-PLM</t>
        </is>
      </c>
      <c r="C602" s="18">
        <f>IFERROR(_xlfn.XLOOKUP(ENTRADAS[[#This Row],[CODIGO]],LISTADO[CODIGOS],LISTADO[CATEGORIA]),"NO EXISTE")</f>
        <v/>
      </c>
      <c r="D602" s="18">
        <f>IFERROR(_xlfn.XLOOKUP(ENTRADAS[[#This Row],[CODIGO]],LISTADO[CODIGOS],LISTADO[PRODUCTOS]),"NO EXISTE")</f>
        <v/>
      </c>
      <c r="E602" s="19" t="n">
        <v>46081</v>
      </c>
      <c r="F602" s="18" t="n">
        <v>3</v>
      </c>
      <c r="G602" s="18" t="inlineStr">
        <is>
          <t>INVENTARIO</t>
        </is>
      </c>
      <c r="H602" s="18" t="n"/>
      <c r="I602" s="45" t="n"/>
      <c r="J602" s="77" t="n"/>
      <c r="K602" s="18" t="n"/>
    </row>
    <row r="603">
      <c r="B603" s="56" t="inlineStr">
        <is>
          <t>00035-PLM</t>
        </is>
      </c>
      <c r="C603" s="18">
        <f>IFERROR(_xlfn.XLOOKUP(ENTRADAS[[#This Row],[CODIGO]],LISTADO[CODIGOS],LISTADO[CATEGORIA]),"NO EXISTE")</f>
        <v/>
      </c>
      <c r="D603" s="18">
        <f>IFERROR(_xlfn.XLOOKUP(ENTRADAS[[#This Row],[CODIGO]],LISTADO[CODIGOS],LISTADO[PRODUCTOS]),"NO EXISTE")</f>
        <v/>
      </c>
      <c r="E603" s="19" t="n">
        <v>46081</v>
      </c>
      <c r="F603" s="18" t="n">
        <v>2</v>
      </c>
      <c r="G603" s="18" t="inlineStr">
        <is>
          <t>INVENTARIO</t>
        </is>
      </c>
      <c r="H603" s="18" t="n"/>
      <c r="I603" s="45" t="n"/>
      <c r="J603" s="77" t="n"/>
      <c r="K603" s="18" t="n"/>
    </row>
    <row r="604">
      <c r="B604" s="56" t="inlineStr">
        <is>
          <t>00080-FER</t>
        </is>
      </c>
      <c r="C604" s="18">
        <f>IFERROR(_xlfn.XLOOKUP(ENTRADAS[[#This Row],[CODIGO]],LISTADO[CODIGOS],LISTADO[CATEGORIA]),"NO EXISTE")</f>
        <v/>
      </c>
      <c r="D604" s="18">
        <f>IFERROR(_xlfn.XLOOKUP(ENTRADAS[[#This Row],[CODIGO]],LISTADO[CODIGOS],LISTADO[PRODUCTOS]),"NO EXISTE")</f>
        <v/>
      </c>
      <c r="E604" s="19" t="n">
        <v>46081</v>
      </c>
      <c r="F604" s="18" t="n">
        <v>5</v>
      </c>
      <c r="G604" s="18" t="inlineStr">
        <is>
          <t>INVENTARIO</t>
        </is>
      </c>
      <c r="H604" s="18" t="n"/>
      <c r="I604" s="45" t="n"/>
      <c r="J604" s="77" t="n"/>
      <c r="K604" s="18" t="n"/>
    </row>
    <row r="605">
      <c r="B605" s="56" t="inlineStr">
        <is>
          <t>00081-FER</t>
        </is>
      </c>
      <c r="C605" s="18">
        <f>IFERROR(_xlfn.XLOOKUP(ENTRADAS[[#This Row],[CODIGO]],LISTADO[CODIGOS],LISTADO[CATEGORIA]),"NO EXISTE")</f>
        <v/>
      </c>
      <c r="D605" s="18">
        <f>IFERROR(_xlfn.XLOOKUP(ENTRADAS[[#This Row],[CODIGO]],LISTADO[CODIGOS],LISTADO[PRODUCTOS]),"NO EXISTE")</f>
        <v/>
      </c>
      <c r="E605" s="19" t="n">
        <v>46081</v>
      </c>
      <c r="F605" s="18" t="n">
        <v>2</v>
      </c>
      <c r="G605" s="18" t="inlineStr">
        <is>
          <t>INVENTARIO</t>
        </is>
      </c>
      <c r="H605" s="18" t="n"/>
      <c r="I605" s="45" t="n"/>
      <c r="J605" s="77" t="n"/>
      <c r="K605" s="18" t="n"/>
    </row>
    <row r="606">
      <c r="B606" s="56" t="inlineStr">
        <is>
          <t>00036-PLM</t>
        </is>
      </c>
      <c r="C606" s="18">
        <f>IFERROR(_xlfn.XLOOKUP(ENTRADAS[[#This Row],[CODIGO]],LISTADO[CODIGOS],LISTADO[CATEGORIA]),"NO EXISTE")</f>
        <v/>
      </c>
      <c r="D606" s="18">
        <f>IFERROR(_xlfn.XLOOKUP(ENTRADAS[[#This Row],[CODIGO]],LISTADO[CODIGOS],LISTADO[PRODUCTOS]),"NO EXISTE")</f>
        <v/>
      </c>
      <c r="E606" s="19" t="n">
        <v>46081</v>
      </c>
      <c r="F606" s="18" t="n">
        <v>1</v>
      </c>
      <c r="G606" s="18" t="inlineStr">
        <is>
          <t>INVENTARIO</t>
        </is>
      </c>
      <c r="H606" s="18" t="n"/>
      <c r="I606" s="45" t="n"/>
      <c r="J606" s="77" t="n"/>
      <c r="K606" s="18" t="n"/>
    </row>
    <row r="607">
      <c r="B607" s="56" t="inlineStr">
        <is>
          <t>00037-PLM</t>
        </is>
      </c>
      <c r="C607" s="18">
        <f>IFERROR(_xlfn.XLOOKUP(ENTRADAS[[#This Row],[CODIGO]],LISTADO[CODIGOS],LISTADO[CATEGORIA]),"NO EXISTE")</f>
        <v/>
      </c>
      <c r="D607" s="18">
        <f>IFERROR(_xlfn.XLOOKUP(ENTRADAS[[#This Row],[CODIGO]],LISTADO[CODIGOS],LISTADO[PRODUCTOS]),"NO EXISTE")</f>
        <v/>
      </c>
      <c r="E607" s="19" t="n">
        <v>46081</v>
      </c>
      <c r="F607" s="18" t="n">
        <v>1</v>
      </c>
      <c r="G607" s="18" t="inlineStr">
        <is>
          <t>INVENTARIO</t>
        </is>
      </c>
      <c r="H607" s="18" t="n"/>
      <c r="I607" s="45" t="n"/>
      <c r="J607" s="77" t="n"/>
      <c r="K607" s="18" t="n"/>
    </row>
    <row r="608">
      <c r="B608" s="56" t="inlineStr">
        <is>
          <t>00038-PLM</t>
        </is>
      </c>
      <c r="C608" s="18">
        <f>IFERROR(_xlfn.XLOOKUP(ENTRADAS[[#This Row],[CODIGO]],LISTADO[CODIGOS],LISTADO[CATEGORIA]),"NO EXISTE")</f>
        <v/>
      </c>
      <c r="D608" s="18">
        <f>IFERROR(_xlfn.XLOOKUP(ENTRADAS[[#This Row],[CODIGO]],LISTADO[CODIGOS],LISTADO[PRODUCTOS]),"NO EXISTE")</f>
        <v/>
      </c>
      <c r="E608" s="19" t="n">
        <v>46081</v>
      </c>
      <c r="F608" s="18" t="n">
        <v>3</v>
      </c>
      <c r="G608" s="18" t="inlineStr">
        <is>
          <t>INVENTARIO</t>
        </is>
      </c>
      <c r="H608" s="18" t="n"/>
      <c r="I608" s="45" t="n"/>
      <c r="J608" s="77" t="n"/>
      <c r="K608" s="18" t="n"/>
    </row>
    <row r="609">
      <c r="B609" s="56" t="inlineStr">
        <is>
          <t>00003-HER</t>
        </is>
      </c>
      <c r="C609" s="18">
        <f>IFERROR(_xlfn.XLOOKUP(ENTRADAS[[#This Row],[CODIGO]],LISTADO[CODIGOS],LISTADO[CATEGORIA]),"NO EXISTE")</f>
        <v/>
      </c>
      <c r="D609" s="18">
        <f>IFERROR(_xlfn.XLOOKUP(ENTRADAS[[#This Row],[CODIGO]],LISTADO[CODIGOS],LISTADO[PRODUCTOS]),"NO EXISTE")</f>
        <v/>
      </c>
      <c r="E609" s="19" t="n">
        <v>46081</v>
      </c>
      <c r="F609" s="18" t="n">
        <v>1</v>
      </c>
      <c r="G609" s="18" t="inlineStr">
        <is>
          <t>INGRESO</t>
        </is>
      </c>
      <c r="H609" s="18" t="n"/>
      <c r="I609" s="45" t="n"/>
      <c r="J609" s="77" t="n"/>
      <c r="K609" s="18" t="n"/>
    </row>
    <row r="610">
      <c r="B610" s="56" t="inlineStr">
        <is>
          <t>00075-REF</t>
        </is>
      </c>
      <c r="C610" s="18">
        <f>IFERROR(_xlfn.XLOOKUP(ENTRADAS[[#This Row],[CODIGO]],LISTADO[CODIGOS],LISTADO[CATEGORIA]),"NO EXISTE")</f>
        <v/>
      </c>
      <c r="D610" s="18">
        <f>IFERROR(_xlfn.XLOOKUP(ENTRADAS[[#This Row],[CODIGO]],LISTADO[CODIGOS],LISTADO[PRODUCTOS]),"NO EXISTE")</f>
        <v/>
      </c>
      <c r="E610" s="19" t="n">
        <v>46081</v>
      </c>
      <c r="F610" s="18" t="n">
        <v>6</v>
      </c>
      <c r="G610" s="18" t="inlineStr">
        <is>
          <t>INGRESO</t>
        </is>
      </c>
      <c r="H610" s="18" t="n"/>
      <c r="I610" s="45" t="n"/>
      <c r="J610" s="77" t="n"/>
      <c r="K610" s="18" t="n"/>
    </row>
    <row r="611">
      <c r="B611" s="56" t="inlineStr">
        <is>
          <t>00034-ILU</t>
        </is>
      </c>
      <c r="C611" s="18">
        <f>IFERROR(_xlfn.XLOOKUP(ENTRADAS[[#This Row],[CODIGO]],LISTADO[CODIGOS],LISTADO[CATEGORIA]),"NO EXISTE")</f>
        <v/>
      </c>
      <c r="D611" s="18">
        <f>IFERROR(_xlfn.XLOOKUP(ENTRADAS[[#This Row],[CODIGO]],LISTADO[CODIGOS],LISTADO[PRODUCTOS]),"NO EXISTE")</f>
        <v/>
      </c>
      <c r="E611" s="19" t="n">
        <v>46081</v>
      </c>
      <c r="F611" s="18" t="n">
        <v>15</v>
      </c>
      <c r="G611" s="18" t="inlineStr">
        <is>
          <t>INGRESO</t>
        </is>
      </c>
      <c r="H611" s="18" t="n"/>
      <c r="I611" s="45" t="n"/>
      <c r="J611" s="77" t="n"/>
      <c r="K611" s="18" t="n"/>
    </row>
    <row r="612">
      <c r="B612" s="56" t="inlineStr">
        <is>
          <t>00035-ILU</t>
        </is>
      </c>
      <c r="C612" s="18">
        <f>IFERROR(_xlfn.XLOOKUP(ENTRADAS[[#This Row],[CODIGO]],LISTADO[CODIGOS],LISTADO[CATEGORIA]),"NO EXISTE")</f>
        <v/>
      </c>
      <c r="D612" s="18">
        <f>IFERROR(_xlfn.XLOOKUP(ENTRADAS[[#This Row],[CODIGO]],LISTADO[CODIGOS],LISTADO[PRODUCTOS]),"NO EXISTE")</f>
        <v/>
      </c>
      <c r="E612" s="19" t="n">
        <v>46081</v>
      </c>
      <c r="F612" s="18" t="n">
        <v>20</v>
      </c>
      <c r="G612" s="18" t="inlineStr">
        <is>
          <t>INGRESO</t>
        </is>
      </c>
      <c r="H612" s="18" t="n"/>
      <c r="I612" s="45" t="n"/>
      <c r="J612" s="77" t="n"/>
      <c r="K612" s="18" t="n"/>
    </row>
    <row r="613">
      <c r="B613" s="56" t="inlineStr">
        <is>
          <t>00033-ILU</t>
        </is>
      </c>
      <c r="C613" s="18">
        <f>IFERROR(_xlfn.XLOOKUP(ENTRADAS[[#This Row],[CODIGO]],LISTADO[CODIGOS],LISTADO[CATEGORIA]),"NO EXISTE")</f>
        <v/>
      </c>
      <c r="D613" s="18">
        <f>IFERROR(_xlfn.XLOOKUP(ENTRADAS[[#This Row],[CODIGO]],LISTADO[CODIGOS],LISTADO[PRODUCTOS]),"NO EXISTE")</f>
        <v/>
      </c>
      <c r="E613" s="19" t="n">
        <v>46081</v>
      </c>
      <c r="F613" s="18" t="n">
        <v>30</v>
      </c>
      <c r="G613" s="18" t="inlineStr">
        <is>
          <t>INGRESO</t>
        </is>
      </c>
      <c r="H613" s="18" t="n"/>
      <c r="I613" s="45" t="n"/>
      <c r="J613" s="77" t="n"/>
      <c r="K613" s="18" t="n"/>
    </row>
    <row r="614">
      <c r="B614" s="56" t="inlineStr">
        <is>
          <t>00027-ILU</t>
        </is>
      </c>
      <c r="C614" s="18">
        <f>IFERROR(_xlfn.XLOOKUP(ENTRADAS[[#This Row],[CODIGO]],LISTADO[CODIGOS],LISTADO[CATEGORIA]),"NO EXISTE")</f>
        <v/>
      </c>
      <c r="D614" s="18">
        <f>IFERROR(_xlfn.XLOOKUP(ENTRADAS[[#This Row],[CODIGO]],LISTADO[CODIGOS],LISTADO[PRODUCTOS]),"NO EXISTE")</f>
        <v/>
      </c>
      <c r="E614" s="19" t="n">
        <v>46081</v>
      </c>
      <c r="F614" s="18" t="n">
        <v>30</v>
      </c>
      <c r="G614" s="18" t="inlineStr">
        <is>
          <t>INGRESO</t>
        </is>
      </c>
      <c r="H614" s="18" t="n"/>
      <c r="I614" s="45" t="n"/>
      <c r="J614" s="77" t="n"/>
      <c r="K614" s="18" t="n"/>
    </row>
    <row r="615">
      <c r="B615" s="56" t="inlineStr">
        <is>
          <t>00036-ILU</t>
        </is>
      </c>
      <c r="C615" s="18">
        <f>IFERROR(_xlfn.XLOOKUP(ENTRADAS[[#This Row],[CODIGO]],LISTADO[CODIGOS],LISTADO[CATEGORIA]),"NO EXISTE")</f>
        <v/>
      </c>
      <c r="D615" s="18">
        <f>IFERROR(_xlfn.XLOOKUP(ENTRADAS[[#This Row],[CODIGO]],LISTADO[CODIGOS],LISTADO[PRODUCTOS]),"NO EXISTE")</f>
        <v/>
      </c>
      <c r="E615" s="19" t="n">
        <v>46081</v>
      </c>
      <c r="F615" s="18" t="n">
        <v>20</v>
      </c>
      <c r="G615" s="18" t="inlineStr">
        <is>
          <t>INGRESO</t>
        </is>
      </c>
      <c r="H615" s="18" t="n"/>
      <c r="I615" s="45" t="n"/>
      <c r="J615" s="77" t="n"/>
      <c r="K615" s="18" t="n"/>
    </row>
    <row r="616">
      <c r="B616" s="56" t="inlineStr">
        <is>
          <t>00037-ILU</t>
        </is>
      </c>
      <c r="C616" s="18">
        <f>IFERROR(_xlfn.XLOOKUP(ENTRADAS[[#This Row],[CODIGO]],LISTADO[CODIGOS],LISTADO[CATEGORIA]),"NO EXISTE")</f>
        <v/>
      </c>
      <c r="D616" s="18">
        <f>IFERROR(_xlfn.XLOOKUP(ENTRADAS[[#This Row],[CODIGO]],LISTADO[CODIGOS],LISTADO[PRODUCTOS]),"NO EXISTE")</f>
        <v/>
      </c>
      <c r="E616" s="19" t="n">
        <v>46081</v>
      </c>
      <c r="F616" s="18" t="n">
        <v>15</v>
      </c>
      <c r="G616" s="18" t="inlineStr">
        <is>
          <t>INGRESO</t>
        </is>
      </c>
      <c r="H616" s="18" t="n"/>
      <c r="I616" s="45" t="n"/>
      <c r="J616" s="77" t="n"/>
      <c r="K616" s="18" t="n"/>
    </row>
    <row r="617">
      <c r="B617" s="56" t="inlineStr">
        <is>
          <t>00038-ILU</t>
        </is>
      </c>
      <c r="C617" s="18">
        <f>IFERROR(_xlfn.XLOOKUP(ENTRADAS[[#This Row],[CODIGO]],LISTADO[CODIGOS],LISTADO[CATEGORIA]),"NO EXISTE")</f>
        <v/>
      </c>
      <c r="D617" s="18">
        <f>IFERROR(_xlfn.XLOOKUP(ENTRADAS[[#This Row],[CODIGO]],LISTADO[CODIGOS],LISTADO[PRODUCTOS]),"NO EXISTE")</f>
        <v/>
      </c>
      <c r="E617" s="19" t="n">
        <v>46081</v>
      </c>
      <c r="F617" s="18" t="n">
        <v>5</v>
      </c>
      <c r="G617" s="18" t="inlineStr">
        <is>
          <t>INGRESO</t>
        </is>
      </c>
      <c r="H617" s="18" t="n"/>
      <c r="I617" s="45" t="n"/>
      <c r="J617" s="77" t="n"/>
      <c r="K617" s="18" t="n"/>
    </row>
    <row r="618">
      <c r="B618" s="56" t="inlineStr">
        <is>
          <t>00019-HRR</t>
        </is>
      </c>
      <c r="C618" s="18">
        <f>IFERROR(_xlfn.XLOOKUP(ENTRADAS[[#This Row],[CODIGO]],LISTADO[CODIGOS],LISTADO[CATEGORIA]),"NO EXISTE")</f>
        <v/>
      </c>
      <c r="D618" s="18">
        <f>IFERROR(_xlfn.XLOOKUP(ENTRADAS[[#This Row],[CODIGO]],LISTADO[CODIGOS],LISTADO[PRODUCTOS]),"NO EXISTE")</f>
        <v/>
      </c>
      <c r="E618" s="19" t="n">
        <v>46081</v>
      </c>
      <c r="F618" s="18" t="n">
        <v>9</v>
      </c>
      <c r="G618" s="18" t="inlineStr">
        <is>
          <t>INGRESO</t>
        </is>
      </c>
      <c r="H618" s="18" t="n"/>
      <c r="I618" s="45" t="n"/>
      <c r="J618" s="77" t="n"/>
      <c r="K618" s="18" t="n"/>
    </row>
    <row r="619">
      <c r="B619" s="56" t="inlineStr">
        <is>
          <t>00020-HRR</t>
        </is>
      </c>
      <c r="C619" s="18">
        <f>IFERROR(_xlfn.XLOOKUP(ENTRADAS[[#This Row],[CODIGO]],LISTADO[CODIGOS],LISTADO[CATEGORIA]),"NO EXISTE")</f>
        <v/>
      </c>
      <c r="D619" s="18">
        <f>IFERROR(_xlfn.XLOOKUP(ENTRADAS[[#This Row],[CODIGO]],LISTADO[CODIGOS],LISTADO[PRODUCTOS]),"NO EXISTE")</f>
        <v/>
      </c>
      <c r="E619" s="19" t="n">
        <v>46081</v>
      </c>
      <c r="F619" s="18" t="n">
        <v>15</v>
      </c>
      <c r="G619" s="18" t="inlineStr">
        <is>
          <t>INGRESO</t>
        </is>
      </c>
      <c r="H619" s="18" t="n"/>
      <c r="I619" s="45" t="n"/>
      <c r="J619" s="77" t="n"/>
      <c r="K619" s="18" t="n"/>
    </row>
    <row r="620">
      <c r="B620" s="56" t="inlineStr">
        <is>
          <t>00021-HRR</t>
        </is>
      </c>
      <c r="C620" s="18">
        <f>IFERROR(_xlfn.XLOOKUP(ENTRADAS[[#This Row],[CODIGO]],LISTADO[CODIGOS],LISTADO[CATEGORIA]),"NO EXISTE")</f>
        <v/>
      </c>
      <c r="D620" s="18">
        <f>IFERROR(_xlfn.XLOOKUP(ENTRADAS[[#This Row],[CODIGO]],LISTADO[CODIGOS],LISTADO[PRODUCTOS]),"NO EXISTE")</f>
        <v/>
      </c>
      <c r="E620" s="19" t="n">
        <v>46081</v>
      </c>
      <c r="F620" s="18" t="n">
        <v>4</v>
      </c>
      <c r="G620" s="18" t="inlineStr">
        <is>
          <t>INGRESO</t>
        </is>
      </c>
      <c r="H620" s="18" t="n"/>
      <c r="I620" s="45" t="n"/>
      <c r="J620" s="77" t="n"/>
      <c r="K620" s="18" t="n"/>
    </row>
    <row r="621">
      <c r="B621" s="56" t="inlineStr">
        <is>
          <t>00039-PLM</t>
        </is>
      </c>
      <c r="C621" s="18">
        <f>IFERROR(_xlfn.XLOOKUP(ENTRADAS[[#This Row],[CODIGO]],LISTADO[CODIGOS],LISTADO[CATEGORIA]),"NO EXISTE")</f>
        <v/>
      </c>
      <c r="D621" s="18">
        <f>IFERROR(_xlfn.XLOOKUP(ENTRADAS[[#This Row],[CODIGO]],LISTADO[CODIGOS],LISTADO[PRODUCTOS]),"NO EXISTE")</f>
        <v/>
      </c>
      <c r="E621" s="19" t="n">
        <v>46081</v>
      </c>
      <c r="F621" s="18" t="n">
        <v>6</v>
      </c>
      <c r="G621" s="18" t="inlineStr">
        <is>
          <t>INGRESO</t>
        </is>
      </c>
      <c r="H621" s="18" t="n"/>
      <c r="I621" s="45" t="n"/>
      <c r="J621" s="77" t="n"/>
      <c r="K621" s="18" t="n"/>
    </row>
    <row r="622">
      <c r="B622" s="56" t="inlineStr">
        <is>
          <t>00016-HRR</t>
        </is>
      </c>
      <c r="C622" s="18">
        <f>IFERROR(_xlfn.XLOOKUP(ENTRADAS[[#This Row],[CODIGO]],LISTADO[CODIGOS],LISTADO[CATEGORIA]),"NO EXISTE")</f>
        <v/>
      </c>
      <c r="D622" s="18">
        <f>IFERROR(_xlfn.XLOOKUP(ENTRADAS[[#This Row],[CODIGO]],LISTADO[CODIGOS],LISTADO[PRODUCTOS]),"NO EXISTE")</f>
        <v/>
      </c>
      <c r="E622" s="19" t="n">
        <v>46081</v>
      </c>
      <c r="F622" s="18" t="n">
        <v>5</v>
      </c>
      <c r="G622" s="18" t="inlineStr">
        <is>
          <t>INGRESO</t>
        </is>
      </c>
      <c r="H622" s="18" t="n"/>
      <c r="I622" s="45" t="n"/>
      <c r="J622" s="77" t="n"/>
      <c r="K622" s="18" t="n"/>
    </row>
    <row r="623">
      <c r="B623" s="56" t="inlineStr">
        <is>
          <t>00078-FER</t>
        </is>
      </c>
      <c r="C623" s="18">
        <f>IFERROR(_xlfn.XLOOKUP(ENTRADAS[[#This Row],[CODIGO]],LISTADO[CODIGOS],LISTADO[CATEGORIA]),"NO EXISTE")</f>
        <v/>
      </c>
      <c r="D623" s="18">
        <f>IFERROR(_xlfn.XLOOKUP(ENTRADAS[[#This Row],[CODIGO]],LISTADO[CODIGOS],LISTADO[PRODUCTOS]),"NO EXISTE")</f>
        <v/>
      </c>
      <c r="E623" s="19" t="n">
        <v>46081</v>
      </c>
      <c r="F623" s="18" t="n">
        <v>6</v>
      </c>
      <c r="G623" s="18" t="inlineStr">
        <is>
          <t>INGRESO</t>
        </is>
      </c>
      <c r="H623" s="18" t="n"/>
      <c r="I623" s="45" t="n"/>
      <c r="J623" s="77" t="n"/>
      <c r="K623" s="18" t="n"/>
    </row>
    <row r="624">
      <c r="B624" s="56" t="inlineStr">
        <is>
          <t>00104-HER</t>
        </is>
      </c>
      <c r="C624" s="18">
        <f>IFERROR(_xlfn.XLOOKUP(ENTRADAS[[#This Row],[CODIGO]],LISTADO[CODIGOS],LISTADO[CATEGORIA]),"NO EXISTE")</f>
        <v/>
      </c>
      <c r="D624" s="18">
        <f>IFERROR(_xlfn.XLOOKUP(ENTRADAS[[#This Row],[CODIGO]],LISTADO[CODIGOS],LISTADO[PRODUCTOS]),"NO EXISTE")</f>
        <v/>
      </c>
      <c r="E624" s="19" t="n">
        <v>46081</v>
      </c>
      <c r="F624" s="18" t="n">
        <v>1</v>
      </c>
      <c r="G624" s="18" t="inlineStr">
        <is>
          <t>INGRESO</t>
        </is>
      </c>
      <c r="H624" s="18" t="n"/>
      <c r="I624" s="45" t="n"/>
      <c r="J624" s="77" t="n"/>
      <c r="K624" s="18" t="n"/>
    </row>
    <row r="625">
      <c r="B625" s="56" t="inlineStr">
        <is>
          <t>00082-FER</t>
        </is>
      </c>
      <c r="C625" s="18">
        <f>IFERROR(_xlfn.XLOOKUP(ENTRADAS[[#This Row],[CODIGO]],LISTADO[CODIGOS],LISTADO[CATEGORIA]),"NO EXISTE")</f>
        <v/>
      </c>
      <c r="D625" s="18">
        <f>IFERROR(_xlfn.XLOOKUP(ENTRADAS[[#This Row],[CODIGO]],LISTADO[CODIGOS],LISTADO[PRODUCTOS]),"NO EXISTE")</f>
        <v/>
      </c>
      <c r="E625" s="19" t="n">
        <v>46081</v>
      </c>
      <c r="F625" s="18" t="n">
        <v>2</v>
      </c>
      <c r="G625" s="18" t="inlineStr">
        <is>
          <t>INGRESO</t>
        </is>
      </c>
      <c r="H625" s="18" t="n"/>
      <c r="I625" s="45" t="n"/>
      <c r="J625" s="77" t="n"/>
      <c r="K625" s="18" t="n"/>
    </row>
    <row r="626">
      <c r="B626" s="56" t="inlineStr">
        <is>
          <t>00083-FER</t>
        </is>
      </c>
      <c r="C626" s="18">
        <f>IFERROR(_xlfn.XLOOKUP(ENTRADAS[[#This Row],[CODIGO]],LISTADO[CODIGOS],LISTADO[CATEGORIA]),"NO EXISTE")</f>
        <v/>
      </c>
      <c r="D626" s="18">
        <f>IFERROR(_xlfn.XLOOKUP(ENTRADAS[[#This Row],[CODIGO]],LISTADO[CODIGOS],LISTADO[PRODUCTOS]),"NO EXISTE")</f>
        <v/>
      </c>
      <c r="E626" s="19" t="n">
        <v>46081</v>
      </c>
      <c r="F626" s="18" t="n">
        <v>190</v>
      </c>
      <c r="G626" s="18" t="inlineStr">
        <is>
          <t>INGRESO</t>
        </is>
      </c>
      <c r="H626" s="18" t="n"/>
      <c r="I626" s="45" t="n"/>
      <c r="J626" s="77" t="n"/>
      <c r="K626" s="18" t="n"/>
    </row>
    <row r="627">
      <c r="B627" s="56" t="inlineStr">
        <is>
          <t>00084-FER</t>
        </is>
      </c>
      <c r="C627" s="18">
        <f>IFERROR(_xlfn.XLOOKUP(ENTRADAS[[#This Row],[CODIGO]],LISTADO[CODIGOS],LISTADO[CATEGORIA]),"NO EXISTE")</f>
        <v/>
      </c>
      <c r="D627" s="18">
        <f>IFERROR(_xlfn.XLOOKUP(ENTRADAS[[#This Row],[CODIGO]],LISTADO[CODIGOS],LISTADO[PRODUCTOS]),"NO EXISTE")</f>
        <v/>
      </c>
      <c r="E627" s="19" t="n">
        <v>46081</v>
      </c>
      <c r="F627" s="18" t="n">
        <v>400</v>
      </c>
      <c r="G627" s="18" t="inlineStr">
        <is>
          <t>INGRESO</t>
        </is>
      </c>
      <c r="H627" s="18" t="n"/>
      <c r="I627" s="45" t="n"/>
      <c r="J627" s="77" t="n"/>
      <c r="K627" s="18" t="n"/>
    </row>
    <row r="628">
      <c r="B628" s="56" t="inlineStr">
        <is>
          <t>00085-FER</t>
        </is>
      </c>
      <c r="C628" s="18">
        <f>IFERROR(_xlfn.XLOOKUP(ENTRADAS[[#This Row],[CODIGO]],LISTADO[CODIGOS],LISTADO[CATEGORIA]),"NO EXISTE")</f>
        <v/>
      </c>
      <c r="D628" s="18">
        <f>IFERROR(_xlfn.XLOOKUP(ENTRADAS[[#This Row],[CODIGO]],LISTADO[CODIGOS],LISTADO[PRODUCTOS]),"NO EXISTE")</f>
        <v/>
      </c>
      <c r="E628" s="19" t="n">
        <v>46081</v>
      </c>
      <c r="F628" s="18" t="n">
        <v>300</v>
      </c>
      <c r="G628" s="18" t="inlineStr">
        <is>
          <t>INGRESO</t>
        </is>
      </c>
      <c r="H628" s="18" t="n"/>
      <c r="I628" s="45" t="n"/>
      <c r="J628" s="77" t="n"/>
      <c r="K628" s="18" t="n"/>
    </row>
    <row r="629">
      <c r="B629" s="56" t="inlineStr">
        <is>
          <t>00086-FER</t>
        </is>
      </c>
      <c r="C629" s="18">
        <f>IFERROR(_xlfn.XLOOKUP(ENTRADAS[[#This Row],[CODIGO]],LISTADO[CODIGOS],LISTADO[CATEGORIA]),"NO EXISTE")</f>
        <v/>
      </c>
      <c r="D629" s="18">
        <f>IFERROR(_xlfn.XLOOKUP(ENTRADAS[[#This Row],[CODIGO]],LISTADO[CODIGOS],LISTADO[PRODUCTOS]),"NO EXISTE")</f>
        <v/>
      </c>
      <c r="E629" s="19" t="n">
        <v>46081</v>
      </c>
      <c r="F629" s="18" t="n">
        <v>100</v>
      </c>
      <c r="G629" s="18" t="inlineStr">
        <is>
          <t>INGRESO</t>
        </is>
      </c>
      <c r="H629" s="18" t="n"/>
      <c r="I629" s="45" t="n"/>
      <c r="J629" s="77" t="n"/>
      <c r="K629" s="18" t="n"/>
    </row>
    <row r="630">
      <c r="B630" s="56" t="inlineStr">
        <is>
          <t>00085-FER</t>
        </is>
      </c>
      <c r="C630" s="18">
        <f>IFERROR(_xlfn.XLOOKUP(ENTRADAS[[#This Row],[CODIGO]],LISTADO[CODIGOS],LISTADO[CATEGORIA]),"NO EXISTE")</f>
        <v/>
      </c>
      <c r="D630" s="18">
        <f>IFERROR(_xlfn.XLOOKUP(ENTRADAS[[#This Row],[CODIGO]],LISTADO[CODIGOS],LISTADO[PRODUCTOS]),"NO EXISTE")</f>
        <v/>
      </c>
      <c r="E630" s="19" t="n">
        <v>46081</v>
      </c>
      <c r="F630" s="18" t="n">
        <v>3</v>
      </c>
      <c r="G630" s="18" t="inlineStr">
        <is>
          <t>INVENTARIO</t>
        </is>
      </c>
      <c r="H630" s="18" t="n"/>
      <c r="I630" s="45" t="n"/>
      <c r="J630" s="77" t="n"/>
      <c r="K630" s="18" t="n"/>
    </row>
    <row r="631">
      <c r="B631" s="56" t="inlineStr">
        <is>
          <t>00084-FER</t>
        </is>
      </c>
      <c r="C631" s="18">
        <f>IFERROR(_xlfn.XLOOKUP(ENTRADAS[[#This Row],[CODIGO]],LISTADO[CODIGOS],LISTADO[CATEGORIA]),"NO EXISTE")</f>
        <v/>
      </c>
      <c r="D631" s="18">
        <f>IFERROR(_xlfn.XLOOKUP(ENTRADAS[[#This Row],[CODIGO]],LISTADO[CODIGOS],LISTADO[PRODUCTOS]),"NO EXISTE")</f>
        <v/>
      </c>
      <c r="E631" s="19" t="n">
        <v>46081</v>
      </c>
      <c r="F631" s="18" t="n">
        <v>36</v>
      </c>
      <c r="G631" s="18" t="inlineStr">
        <is>
          <t>INVENTARIO</t>
        </is>
      </c>
      <c r="H631" s="18" t="n"/>
      <c r="I631" s="45" t="n"/>
      <c r="J631" s="77" t="n"/>
      <c r="K631" s="18" t="n"/>
    </row>
    <row r="632">
      <c r="B632" s="56" t="inlineStr">
        <is>
          <t>00086-FER</t>
        </is>
      </c>
      <c r="C632" s="18">
        <f>IFERROR(_xlfn.XLOOKUP(ENTRADAS[[#This Row],[CODIGO]],LISTADO[CODIGOS],LISTADO[CATEGORIA]),"NO EXISTE")</f>
        <v/>
      </c>
      <c r="D632" s="18">
        <f>IFERROR(_xlfn.XLOOKUP(ENTRADAS[[#This Row],[CODIGO]],LISTADO[CODIGOS],LISTADO[PRODUCTOS]),"NO EXISTE")</f>
        <v/>
      </c>
      <c r="E632" s="19" t="n">
        <v>46081</v>
      </c>
      <c r="F632" s="18" t="n">
        <v>40</v>
      </c>
      <c r="G632" s="18" t="inlineStr">
        <is>
          <t>INVENTARIO</t>
        </is>
      </c>
      <c r="H632" s="18" t="n"/>
      <c r="I632" s="45" t="n"/>
      <c r="J632" s="77" t="n"/>
      <c r="K632" s="18" t="n"/>
    </row>
    <row r="633">
      <c r="B633" s="56" t="inlineStr">
        <is>
          <t>00083-FER</t>
        </is>
      </c>
      <c r="C633" s="18">
        <f>IFERROR(_xlfn.XLOOKUP(ENTRADAS[[#This Row],[CODIGO]],LISTADO[CODIGOS],LISTADO[CATEGORIA]),"NO EXISTE")</f>
        <v/>
      </c>
      <c r="D633" s="18">
        <f>IFERROR(_xlfn.XLOOKUP(ENTRADAS[[#This Row],[CODIGO]],LISTADO[CODIGOS],LISTADO[PRODUCTOS]),"NO EXISTE")</f>
        <v/>
      </c>
      <c r="E633" s="19" t="n">
        <v>46081</v>
      </c>
      <c r="F633" s="18" t="n">
        <v>9</v>
      </c>
      <c r="G633" s="18" t="inlineStr">
        <is>
          <t>INVENTARIO</t>
        </is>
      </c>
      <c r="H633" s="18" t="n"/>
      <c r="I633" s="45" t="n"/>
      <c r="J633" s="77" t="n"/>
      <c r="K633" s="18" t="n"/>
    </row>
    <row r="634">
      <c r="B634" s="56" t="inlineStr">
        <is>
          <t>00025-ELC</t>
        </is>
      </c>
      <c r="C634" s="18">
        <f>IFERROR(_xlfn.XLOOKUP(ENTRADAS[[#This Row],[CODIGO]],LISTADO[CODIGOS],LISTADO[CATEGORIA]),"NO EXISTE")</f>
        <v/>
      </c>
      <c r="D634" s="18">
        <f>IFERROR(_xlfn.XLOOKUP(ENTRADAS[[#This Row],[CODIGO]],LISTADO[CODIGOS],LISTADO[PRODUCTOS]),"NO EXISTE")</f>
        <v/>
      </c>
      <c r="E634" s="19" t="n">
        <v>46081</v>
      </c>
      <c r="F634" s="18" t="n">
        <v>1</v>
      </c>
      <c r="G634" s="18" t="inlineStr">
        <is>
          <t>INGRESO</t>
        </is>
      </c>
      <c r="H634" s="18" t="n"/>
      <c r="I634" s="45" t="n"/>
      <c r="J634" s="77" t="n"/>
      <c r="K634" s="18" t="n"/>
    </row>
    <row r="635">
      <c r="B635" s="56" t="inlineStr">
        <is>
          <t>00087-FER</t>
        </is>
      </c>
      <c r="C635" s="18">
        <f>IFERROR(_xlfn.XLOOKUP(ENTRADAS[[#This Row],[CODIGO]],LISTADO[CODIGOS],LISTADO[CATEGORIA]),"NO EXISTE")</f>
        <v/>
      </c>
      <c r="D635" s="18">
        <f>IFERROR(_xlfn.XLOOKUP(ENTRADAS[[#This Row],[CODIGO]],LISTADO[CODIGOS],LISTADO[PRODUCTOS]),"NO EXISTE")</f>
        <v/>
      </c>
      <c r="E635" s="19" t="n">
        <v>46081</v>
      </c>
      <c r="F635" s="18" t="n">
        <v>25</v>
      </c>
      <c r="G635" s="18" t="inlineStr">
        <is>
          <t>INGRESO</t>
        </is>
      </c>
      <c r="H635" s="18" t="n"/>
      <c r="I635" s="45" t="n"/>
      <c r="J635" s="77" t="n"/>
      <c r="K635" s="18" t="n"/>
    </row>
    <row r="636">
      <c r="B636" s="56" t="inlineStr">
        <is>
          <t>00025-ILU</t>
        </is>
      </c>
      <c r="C636" s="18">
        <f>IFERROR(_xlfn.XLOOKUP(ENTRADAS[[#This Row],[CODIGO]],LISTADO[CODIGOS],LISTADO[CATEGORIA]),"NO EXISTE")</f>
        <v/>
      </c>
      <c r="D636" s="18">
        <f>IFERROR(_xlfn.XLOOKUP(ENTRADAS[[#This Row],[CODIGO]],LISTADO[CODIGOS],LISTADO[PRODUCTOS]),"NO EXISTE")</f>
        <v/>
      </c>
      <c r="E636" s="19" t="n">
        <v>46081</v>
      </c>
      <c r="F636" s="18" t="n">
        <v>1</v>
      </c>
      <c r="G636" s="18" t="inlineStr">
        <is>
          <t>INGRESO</t>
        </is>
      </c>
      <c r="H636" s="18" t="n"/>
      <c r="I636" s="45" t="n"/>
      <c r="J636" s="77" t="n"/>
      <c r="K636" s="18" t="n"/>
    </row>
    <row r="637">
      <c r="B637" s="56" t="inlineStr">
        <is>
          <t>00039-ILU</t>
        </is>
      </c>
      <c r="C637" s="18">
        <f>IFERROR(_xlfn.XLOOKUP(ENTRADAS[[#This Row],[CODIGO]],LISTADO[CODIGOS],LISTADO[CATEGORIA]),"NO EXISTE")</f>
        <v/>
      </c>
      <c r="D637" s="18">
        <f>IFERROR(_xlfn.XLOOKUP(ENTRADAS[[#This Row],[CODIGO]],LISTADO[CODIGOS],LISTADO[PRODUCTOS]),"NO EXISTE")</f>
        <v/>
      </c>
      <c r="E637" s="19" t="n">
        <v>46081</v>
      </c>
      <c r="F637" s="18" t="n">
        <v>1</v>
      </c>
      <c r="G637" s="18" t="inlineStr">
        <is>
          <t>INGRESO</t>
        </is>
      </c>
      <c r="H637" s="18" t="n"/>
      <c r="I637" s="45" t="n"/>
      <c r="J637" s="77" t="n"/>
      <c r="K637" s="18" t="n"/>
    </row>
    <row r="638">
      <c r="B638" s="56" t="inlineStr">
        <is>
          <t>00003-ELE</t>
        </is>
      </c>
      <c r="C638" s="18">
        <f>IFERROR(_xlfn.XLOOKUP(ENTRADAS[[#This Row],[CODIGO]],LISTADO[CODIGOS],LISTADO[CATEGORIA]),"NO EXISTE")</f>
        <v/>
      </c>
      <c r="D638" s="18">
        <f>IFERROR(_xlfn.XLOOKUP(ENTRADAS[[#This Row],[CODIGO]],LISTADO[CODIGOS],LISTADO[PRODUCTOS]),"NO EXISTE")</f>
        <v/>
      </c>
      <c r="E638" s="19" t="n">
        <v>46081</v>
      </c>
      <c r="F638" s="18" t="n">
        <v>2</v>
      </c>
      <c r="G638" s="18" t="inlineStr">
        <is>
          <t>INVENTARIO</t>
        </is>
      </c>
      <c r="H638" s="18" t="n"/>
      <c r="I638" s="45" t="n"/>
      <c r="J638" s="77" t="n"/>
      <c r="K638" s="18" t="n"/>
    </row>
    <row r="639">
      <c r="B639" s="56" t="inlineStr">
        <is>
          <t>00038-ELE</t>
        </is>
      </c>
      <c r="C639" s="18">
        <f>IFERROR(_xlfn.XLOOKUP(ENTRADAS[[#This Row],[CODIGO]],LISTADO[CODIGOS],LISTADO[CATEGORIA]),"NO EXISTE")</f>
        <v/>
      </c>
      <c r="D639" s="18">
        <f>IFERROR(_xlfn.XLOOKUP(ENTRADAS[[#This Row],[CODIGO]],LISTADO[CODIGOS],LISTADO[PRODUCTOS]),"NO EXISTE")</f>
        <v/>
      </c>
      <c r="E639" s="19" t="n">
        <v>46081</v>
      </c>
      <c r="F639" s="18" t="n">
        <v>6</v>
      </c>
      <c r="G639" s="18" t="inlineStr">
        <is>
          <t>INVENTARIO</t>
        </is>
      </c>
      <c r="H639" s="18" t="n"/>
      <c r="I639" s="45" t="n"/>
      <c r="J639" s="77" t="n"/>
      <c r="K639" s="18" t="n"/>
    </row>
    <row r="640">
      <c r="B640" s="56" t="inlineStr">
        <is>
          <t>00039-ELE</t>
        </is>
      </c>
      <c r="C640" s="18">
        <f>IFERROR(_xlfn.XLOOKUP(ENTRADAS[[#This Row],[CODIGO]],LISTADO[CODIGOS],LISTADO[CATEGORIA]),"NO EXISTE")</f>
        <v/>
      </c>
      <c r="D640" s="18">
        <f>IFERROR(_xlfn.XLOOKUP(ENTRADAS[[#This Row],[CODIGO]],LISTADO[CODIGOS],LISTADO[PRODUCTOS]),"NO EXISTE")</f>
        <v/>
      </c>
      <c r="E640" s="19" t="n">
        <v>46081</v>
      </c>
      <c r="F640" s="18" t="n">
        <v>4</v>
      </c>
      <c r="G640" s="18" t="inlineStr">
        <is>
          <t>INVENTARIO</t>
        </is>
      </c>
      <c r="H640" s="18" t="n"/>
      <c r="I640" s="45" t="n"/>
      <c r="J640" s="77" t="n"/>
      <c r="K640" s="18" t="n"/>
    </row>
    <row r="641">
      <c r="B641" s="56" t="inlineStr">
        <is>
          <t>00040-ILU</t>
        </is>
      </c>
      <c r="C641" s="18">
        <f>IFERROR(_xlfn.XLOOKUP(ENTRADAS[[#This Row],[CODIGO]],LISTADO[CODIGOS],LISTADO[CATEGORIA]),"NO EXISTE")</f>
        <v/>
      </c>
      <c r="D641" s="18">
        <f>IFERROR(_xlfn.XLOOKUP(ENTRADAS[[#This Row],[CODIGO]],LISTADO[CODIGOS],LISTADO[PRODUCTOS]),"NO EXISTE")</f>
        <v/>
      </c>
      <c r="E641" s="19" t="n">
        <v>46081</v>
      </c>
      <c r="F641" s="18" t="n">
        <v>29</v>
      </c>
      <c r="G641" s="18" t="inlineStr">
        <is>
          <t>INVENTARIO</t>
        </is>
      </c>
      <c r="H641" s="18" t="n"/>
      <c r="I641" s="45" t="n"/>
      <c r="J641" s="77" t="n"/>
      <c r="K641" s="18" t="n"/>
    </row>
    <row r="642">
      <c r="B642" s="56" t="inlineStr">
        <is>
          <t>00040-ELE</t>
        </is>
      </c>
      <c r="C642" s="18">
        <f>IFERROR(_xlfn.XLOOKUP(ENTRADAS[[#This Row],[CODIGO]],LISTADO[CODIGOS],LISTADO[CATEGORIA]),"NO EXISTE")</f>
        <v/>
      </c>
      <c r="D642" s="18">
        <f>IFERROR(_xlfn.XLOOKUP(ENTRADAS[[#This Row],[CODIGO]],LISTADO[CODIGOS],LISTADO[PRODUCTOS]),"NO EXISTE")</f>
        <v/>
      </c>
      <c r="E642" s="19" t="n">
        <v>46081</v>
      </c>
      <c r="F642" s="18" t="n">
        <v>1</v>
      </c>
      <c r="G642" s="18" t="inlineStr">
        <is>
          <t>INVENTARIO</t>
        </is>
      </c>
      <c r="H642" s="18" t="n"/>
      <c r="I642" s="45" t="n"/>
      <c r="J642" s="77" t="n"/>
      <c r="K642" s="18" t="n"/>
    </row>
    <row r="643">
      <c r="B643" s="56" t="inlineStr">
        <is>
          <t>00041-ELE</t>
        </is>
      </c>
      <c r="C643" s="18">
        <f>IFERROR(_xlfn.XLOOKUP(ENTRADAS[[#This Row],[CODIGO]],LISTADO[CODIGOS],LISTADO[CATEGORIA]),"NO EXISTE")</f>
        <v/>
      </c>
      <c r="D643" s="18">
        <f>IFERROR(_xlfn.XLOOKUP(ENTRADAS[[#This Row],[CODIGO]],LISTADO[CODIGOS],LISTADO[PRODUCTOS]),"NO EXISTE")</f>
        <v/>
      </c>
      <c r="E643" s="19" t="n">
        <v>46081</v>
      </c>
      <c r="F643" s="18" t="n">
        <v>62</v>
      </c>
      <c r="G643" s="18" t="inlineStr">
        <is>
          <t>INVENTARIO</t>
        </is>
      </c>
      <c r="H643" s="18" t="n"/>
      <c r="I643" s="45" t="n"/>
      <c r="J643" s="77" t="n"/>
      <c r="K643" s="18" t="n"/>
    </row>
    <row r="644">
      <c r="B644" s="56" t="inlineStr">
        <is>
          <t>00042-ELE</t>
        </is>
      </c>
      <c r="C644" s="18">
        <f>IFERROR(_xlfn.XLOOKUP(ENTRADAS[[#This Row],[CODIGO]],LISTADO[CODIGOS],LISTADO[CATEGORIA]),"NO EXISTE")</f>
        <v/>
      </c>
      <c r="D644" s="18">
        <f>IFERROR(_xlfn.XLOOKUP(ENTRADAS[[#This Row],[CODIGO]],LISTADO[CODIGOS],LISTADO[PRODUCTOS]),"NO EXISTE")</f>
        <v/>
      </c>
      <c r="E644" s="19" t="n">
        <v>46081</v>
      </c>
      <c r="F644" s="18" t="n">
        <v>2</v>
      </c>
      <c r="G644" s="18" t="inlineStr">
        <is>
          <t>INVENTARIO</t>
        </is>
      </c>
      <c r="H644" s="18" t="n"/>
      <c r="I644" s="45" t="n"/>
      <c r="J644" s="77" t="n"/>
      <c r="K644" s="18" t="n"/>
    </row>
    <row r="645">
      <c r="B645" s="56" t="inlineStr">
        <is>
          <t>00043-ELE</t>
        </is>
      </c>
      <c r="C645" s="18">
        <f>IFERROR(_xlfn.XLOOKUP(ENTRADAS[[#This Row],[CODIGO]],LISTADO[CODIGOS],LISTADO[CATEGORIA]),"NO EXISTE")</f>
        <v/>
      </c>
      <c r="D645" s="18">
        <f>IFERROR(_xlfn.XLOOKUP(ENTRADAS[[#This Row],[CODIGO]],LISTADO[CODIGOS],LISTADO[PRODUCTOS]),"NO EXISTE")</f>
        <v/>
      </c>
      <c r="E645" s="19" t="n">
        <v>46081</v>
      </c>
      <c r="F645" s="18" t="n">
        <v>3</v>
      </c>
      <c r="G645" s="18" t="inlineStr">
        <is>
          <t>INVENTARIO</t>
        </is>
      </c>
      <c r="H645" s="18" t="n"/>
      <c r="I645" s="45" t="n"/>
      <c r="J645" s="77" t="n"/>
      <c r="K645" s="18" t="n"/>
    </row>
    <row r="646">
      <c r="B646" s="56" t="inlineStr">
        <is>
          <t>00044-ELE</t>
        </is>
      </c>
      <c r="C646" s="18">
        <f>IFERROR(_xlfn.XLOOKUP(ENTRADAS[[#This Row],[CODIGO]],LISTADO[CODIGOS],LISTADO[CATEGORIA]),"NO EXISTE")</f>
        <v/>
      </c>
      <c r="D646" s="18">
        <f>IFERROR(_xlfn.XLOOKUP(ENTRADAS[[#This Row],[CODIGO]],LISTADO[CODIGOS],LISTADO[PRODUCTOS]),"NO EXISTE")</f>
        <v/>
      </c>
      <c r="E646" s="19" t="n">
        <v>46081</v>
      </c>
      <c r="F646" s="18" t="n">
        <v>1</v>
      </c>
      <c r="G646" s="18" t="inlineStr">
        <is>
          <t>INVENTARIO</t>
        </is>
      </c>
      <c r="H646" s="18" t="n"/>
      <c r="I646" s="45" t="n"/>
      <c r="J646" s="77" t="n"/>
      <c r="K646" s="18" t="n"/>
    </row>
    <row r="647">
      <c r="B647" s="56" t="inlineStr">
        <is>
          <t>00045-ELE</t>
        </is>
      </c>
      <c r="C647" s="18">
        <f>IFERROR(_xlfn.XLOOKUP(ENTRADAS[[#This Row],[CODIGO]],LISTADO[CODIGOS],LISTADO[CATEGORIA]),"NO EXISTE")</f>
        <v/>
      </c>
      <c r="D647" s="18">
        <f>IFERROR(_xlfn.XLOOKUP(ENTRADAS[[#This Row],[CODIGO]],LISTADO[CODIGOS],LISTADO[PRODUCTOS]),"NO EXISTE")</f>
        <v/>
      </c>
      <c r="E647" s="19" t="n">
        <v>46081</v>
      </c>
      <c r="F647" s="18" t="n">
        <v>4</v>
      </c>
      <c r="G647" s="18" t="inlineStr">
        <is>
          <t>INVENTARIO</t>
        </is>
      </c>
      <c r="H647" s="18" t="n"/>
      <c r="I647" s="45" t="n"/>
      <c r="J647" s="77" t="n"/>
      <c r="K647" s="18" t="n"/>
    </row>
    <row r="648">
      <c r="B648" s="56" t="inlineStr">
        <is>
          <t>00088-FER</t>
        </is>
      </c>
      <c r="C648" s="18">
        <f>IFERROR(_xlfn.XLOOKUP(ENTRADAS[[#This Row],[CODIGO]],LISTADO[CODIGOS],LISTADO[CATEGORIA]),"NO EXISTE")</f>
        <v/>
      </c>
      <c r="D648" s="18">
        <f>IFERROR(_xlfn.XLOOKUP(ENTRADAS[[#This Row],[CODIGO]],LISTADO[CODIGOS],LISTADO[PRODUCTOS]),"NO EXISTE")</f>
        <v/>
      </c>
      <c r="E648" s="19" t="n">
        <v>46081</v>
      </c>
      <c r="F648" s="18" t="n">
        <v>18</v>
      </c>
      <c r="G648" s="18" t="inlineStr">
        <is>
          <t>INVENTARIO</t>
        </is>
      </c>
      <c r="H648" s="18" t="n"/>
      <c r="I648" s="45" t="n"/>
      <c r="J648" s="77" t="n"/>
      <c r="K648" s="18" t="n"/>
    </row>
    <row r="649">
      <c r="B649" s="56" t="inlineStr">
        <is>
          <t>00089-FER</t>
        </is>
      </c>
      <c r="C649" s="18">
        <f>IFERROR(_xlfn.XLOOKUP(ENTRADAS[[#This Row],[CODIGO]],LISTADO[CODIGOS],LISTADO[CATEGORIA]),"NO EXISTE")</f>
        <v/>
      </c>
      <c r="D649" s="18">
        <f>IFERROR(_xlfn.XLOOKUP(ENTRADAS[[#This Row],[CODIGO]],LISTADO[CODIGOS],LISTADO[PRODUCTOS]),"NO EXISTE")</f>
        <v/>
      </c>
      <c r="E649" s="19" t="n">
        <v>46081</v>
      </c>
      <c r="F649" s="18" t="n">
        <v>10</v>
      </c>
      <c r="G649" s="18" t="inlineStr">
        <is>
          <t>INVENTARIO</t>
        </is>
      </c>
      <c r="H649" s="18" t="n"/>
      <c r="I649" s="45" t="n"/>
      <c r="J649" s="77" t="n"/>
      <c r="K649" s="18" t="n"/>
    </row>
    <row r="650">
      <c r="B650" s="56" t="inlineStr">
        <is>
          <t>00090-FER</t>
        </is>
      </c>
      <c r="C650" s="18">
        <f>IFERROR(_xlfn.XLOOKUP(ENTRADAS[[#This Row],[CODIGO]],LISTADO[CODIGOS],LISTADO[CATEGORIA]),"NO EXISTE")</f>
        <v/>
      </c>
      <c r="D650" s="18">
        <f>IFERROR(_xlfn.XLOOKUP(ENTRADAS[[#This Row],[CODIGO]],LISTADO[CODIGOS],LISTADO[PRODUCTOS]),"NO EXISTE")</f>
        <v/>
      </c>
      <c r="E650" s="19" t="n">
        <v>46081</v>
      </c>
      <c r="F650" s="18" t="n">
        <v>3</v>
      </c>
      <c r="G650" s="18" t="inlineStr">
        <is>
          <t>INVENTARIO</t>
        </is>
      </c>
      <c r="H650" s="18" t="n"/>
      <c r="I650" s="45" t="n"/>
      <c r="J650" s="77" t="n"/>
      <c r="K650" s="18" t="n"/>
    </row>
    <row r="651">
      <c r="B651" s="56" t="inlineStr">
        <is>
          <t>00091-FER</t>
        </is>
      </c>
      <c r="C651" s="18">
        <f>IFERROR(_xlfn.XLOOKUP(ENTRADAS[[#This Row],[CODIGO]],LISTADO[CODIGOS],LISTADO[CATEGORIA]),"NO EXISTE")</f>
        <v/>
      </c>
      <c r="D651" s="18">
        <f>IFERROR(_xlfn.XLOOKUP(ENTRADAS[[#This Row],[CODIGO]],LISTADO[CODIGOS],LISTADO[PRODUCTOS]),"NO EXISTE")</f>
        <v/>
      </c>
      <c r="E651" s="19" t="n">
        <v>46081</v>
      </c>
      <c r="F651" s="18" t="n">
        <v>11</v>
      </c>
      <c r="G651" s="18" t="inlineStr">
        <is>
          <t>INVENTARIO</t>
        </is>
      </c>
      <c r="H651" s="18" t="n"/>
      <c r="I651" s="45" t="n"/>
      <c r="J651" s="77" t="n"/>
      <c r="K651" s="18" t="n"/>
    </row>
    <row r="652">
      <c r="B652" s="56" t="inlineStr">
        <is>
          <t>00092-FER</t>
        </is>
      </c>
      <c r="C652" s="18">
        <f>IFERROR(_xlfn.XLOOKUP(ENTRADAS[[#This Row],[CODIGO]],LISTADO[CODIGOS],LISTADO[CATEGORIA]),"NO EXISTE")</f>
        <v/>
      </c>
      <c r="D652" s="18">
        <f>IFERROR(_xlfn.XLOOKUP(ENTRADAS[[#This Row],[CODIGO]],LISTADO[CODIGOS],LISTADO[PRODUCTOS]),"NO EXISTE")</f>
        <v/>
      </c>
      <c r="E652" s="19" t="n">
        <v>46081</v>
      </c>
      <c r="F652" s="18" t="n">
        <v>1</v>
      </c>
      <c r="G652" s="18" t="inlineStr">
        <is>
          <t>INVENTARIO</t>
        </is>
      </c>
      <c r="H652" s="18" t="n"/>
      <c r="I652" s="45" t="n"/>
      <c r="J652" s="77" t="n"/>
      <c r="K652" s="18" t="n"/>
    </row>
    <row r="653">
      <c r="B653" s="56" t="inlineStr">
        <is>
          <t>00093-FER</t>
        </is>
      </c>
      <c r="C653" s="18">
        <f>IFERROR(_xlfn.XLOOKUP(ENTRADAS[[#This Row],[CODIGO]],LISTADO[CODIGOS],LISTADO[CATEGORIA]),"NO EXISTE")</f>
        <v/>
      </c>
      <c r="D653" s="18">
        <f>IFERROR(_xlfn.XLOOKUP(ENTRADAS[[#This Row],[CODIGO]],LISTADO[CODIGOS],LISTADO[PRODUCTOS]),"NO EXISTE")</f>
        <v/>
      </c>
      <c r="E653" s="19" t="n">
        <v>46081</v>
      </c>
      <c r="F653" s="18" t="n">
        <v>1</v>
      </c>
      <c r="G653" s="18" t="inlineStr">
        <is>
          <t>INVENTARIO</t>
        </is>
      </c>
      <c r="H653" s="18" t="n"/>
      <c r="I653" s="45" t="n"/>
      <c r="J653" s="77" t="n"/>
      <c r="K653" s="18" t="n"/>
    </row>
    <row r="654">
      <c r="B654" s="56" t="inlineStr">
        <is>
          <t>00094-FER</t>
        </is>
      </c>
      <c r="C654" s="18">
        <f>IFERROR(_xlfn.XLOOKUP(ENTRADAS[[#This Row],[CODIGO]],LISTADO[CODIGOS],LISTADO[CATEGORIA]),"NO EXISTE")</f>
        <v/>
      </c>
      <c r="D654" s="18">
        <f>IFERROR(_xlfn.XLOOKUP(ENTRADAS[[#This Row],[CODIGO]],LISTADO[CODIGOS],LISTADO[PRODUCTOS]),"NO EXISTE")</f>
        <v/>
      </c>
      <c r="E654" s="19" t="n">
        <v>46081</v>
      </c>
      <c r="F654" s="18" t="n">
        <v>12</v>
      </c>
      <c r="G654" s="18" t="inlineStr">
        <is>
          <t>INVENTARIO</t>
        </is>
      </c>
      <c r="H654" s="18" t="n"/>
      <c r="I654" s="45" t="n"/>
      <c r="J654" s="77" t="n"/>
      <c r="K654" s="18" t="n"/>
    </row>
    <row r="655">
      <c r="B655" s="56" t="inlineStr">
        <is>
          <t>00095-FER</t>
        </is>
      </c>
      <c r="C655" s="18">
        <f>IFERROR(_xlfn.XLOOKUP(ENTRADAS[[#This Row],[CODIGO]],LISTADO[CODIGOS],LISTADO[CATEGORIA]),"NO EXISTE")</f>
        <v/>
      </c>
      <c r="D655" s="18">
        <f>IFERROR(_xlfn.XLOOKUP(ENTRADAS[[#This Row],[CODIGO]],LISTADO[CODIGOS],LISTADO[PRODUCTOS]),"NO EXISTE")</f>
        <v/>
      </c>
      <c r="E655" s="19" t="n">
        <v>46081</v>
      </c>
      <c r="F655" s="18" t="n">
        <v>14</v>
      </c>
      <c r="G655" s="18" t="inlineStr">
        <is>
          <t>INVENTARIO</t>
        </is>
      </c>
      <c r="H655" s="18" t="n"/>
      <c r="I655" s="45" t="n"/>
      <c r="J655" s="77" t="n"/>
      <c r="K655" s="18" t="n"/>
    </row>
    <row r="656">
      <c r="B656" s="56" t="inlineStr">
        <is>
          <t>00096-FER</t>
        </is>
      </c>
      <c r="C656" s="18">
        <f>IFERROR(_xlfn.XLOOKUP(ENTRADAS[[#This Row],[CODIGO]],LISTADO[CODIGOS],LISTADO[CATEGORIA]),"NO EXISTE")</f>
        <v/>
      </c>
      <c r="D656" s="18">
        <f>IFERROR(_xlfn.XLOOKUP(ENTRADAS[[#This Row],[CODIGO]],LISTADO[CODIGOS],LISTADO[PRODUCTOS]),"NO EXISTE")</f>
        <v/>
      </c>
      <c r="E656" s="19" t="n">
        <v>46081</v>
      </c>
      <c r="F656" s="18" t="n">
        <v>15</v>
      </c>
      <c r="G656" s="18" t="inlineStr">
        <is>
          <t>INVENTARIO</t>
        </is>
      </c>
      <c r="H656" s="18" t="n"/>
      <c r="I656" s="45" t="n"/>
      <c r="J656" s="77" t="n"/>
      <c r="K656" s="18" t="n"/>
    </row>
    <row r="657">
      <c r="B657" s="56" t="inlineStr">
        <is>
          <t>00097-FER</t>
        </is>
      </c>
      <c r="C657" s="18">
        <f>IFERROR(_xlfn.XLOOKUP(ENTRADAS[[#This Row],[CODIGO]],LISTADO[CODIGOS],LISTADO[CATEGORIA]),"NO EXISTE")</f>
        <v/>
      </c>
      <c r="D657" s="18">
        <f>IFERROR(_xlfn.XLOOKUP(ENTRADAS[[#This Row],[CODIGO]],LISTADO[CODIGOS],LISTADO[PRODUCTOS]),"NO EXISTE")</f>
        <v/>
      </c>
      <c r="E657" s="19" t="n">
        <v>46081</v>
      </c>
      <c r="F657" s="18" t="n">
        <v>7</v>
      </c>
      <c r="G657" s="18" t="inlineStr">
        <is>
          <t>INVENTARIO</t>
        </is>
      </c>
      <c r="H657" s="18" t="n"/>
      <c r="I657" s="45" t="n"/>
      <c r="J657" s="77" t="n"/>
      <c r="K657" s="18" t="n"/>
    </row>
    <row r="658">
      <c r="B658" s="56" t="inlineStr">
        <is>
          <t>00098-FER</t>
        </is>
      </c>
      <c r="C658" s="18">
        <f>IFERROR(_xlfn.XLOOKUP(ENTRADAS[[#This Row],[CODIGO]],LISTADO[CODIGOS],LISTADO[CATEGORIA]),"NO EXISTE")</f>
        <v/>
      </c>
      <c r="D658" s="18">
        <f>IFERROR(_xlfn.XLOOKUP(ENTRADAS[[#This Row],[CODIGO]],LISTADO[CODIGOS],LISTADO[PRODUCTOS]),"NO EXISTE")</f>
        <v/>
      </c>
      <c r="E658" s="19" t="n">
        <v>46081</v>
      </c>
      <c r="F658" s="18" t="n">
        <v>2.5</v>
      </c>
      <c r="G658" s="18" t="inlineStr">
        <is>
          <t>INVENTARIO</t>
        </is>
      </c>
      <c r="H658" s="18" t="n"/>
      <c r="I658" s="45" t="n"/>
      <c r="J658" s="77" t="n"/>
      <c r="K658" s="18" t="n"/>
    </row>
    <row r="659">
      <c r="B659" s="56" t="inlineStr">
        <is>
          <t>00099-FER</t>
        </is>
      </c>
      <c r="C659" s="18">
        <f>IFERROR(_xlfn.XLOOKUP(ENTRADAS[[#This Row],[CODIGO]],LISTADO[CODIGOS],LISTADO[CATEGORIA]),"NO EXISTE")</f>
        <v/>
      </c>
      <c r="D659" s="18">
        <f>IFERROR(_xlfn.XLOOKUP(ENTRADAS[[#This Row],[CODIGO]],LISTADO[CODIGOS],LISTADO[PRODUCTOS]),"NO EXISTE")</f>
        <v/>
      </c>
      <c r="E659" s="19" t="n">
        <v>46081</v>
      </c>
      <c r="F659" s="18" t="n">
        <v>8</v>
      </c>
      <c r="G659" s="18" t="inlineStr">
        <is>
          <t>INVENTARIO</t>
        </is>
      </c>
      <c r="H659" s="18" t="n"/>
      <c r="I659" s="45" t="n"/>
      <c r="J659" s="77" t="n"/>
      <c r="K659" s="18" t="n"/>
    </row>
    <row r="660">
      <c r="B660" s="56" t="inlineStr">
        <is>
          <t>00100-FER</t>
        </is>
      </c>
      <c r="C660" s="18">
        <f>IFERROR(_xlfn.XLOOKUP(ENTRADAS[[#This Row],[CODIGO]],LISTADO[CODIGOS],LISTADO[CATEGORIA]),"NO EXISTE")</f>
        <v/>
      </c>
      <c r="D660" s="18">
        <f>IFERROR(_xlfn.XLOOKUP(ENTRADAS[[#This Row],[CODIGO]],LISTADO[CODIGOS],LISTADO[PRODUCTOS]),"NO EXISTE")</f>
        <v/>
      </c>
      <c r="E660" s="19" t="n">
        <v>46081</v>
      </c>
      <c r="F660" s="18" t="n">
        <v>1</v>
      </c>
      <c r="G660" s="18" t="inlineStr">
        <is>
          <t>INVENTARIO</t>
        </is>
      </c>
      <c r="H660" s="18" t="n"/>
      <c r="I660" s="45" t="n"/>
      <c r="J660" s="77" t="n"/>
      <c r="K660" s="18" t="n"/>
    </row>
    <row r="661">
      <c r="B661" s="56" t="inlineStr">
        <is>
          <t>00101-FER</t>
        </is>
      </c>
      <c r="C661" s="18">
        <f>IFERROR(_xlfn.XLOOKUP(ENTRADAS[[#This Row],[CODIGO]],LISTADO[CODIGOS],LISTADO[CATEGORIA]),"NO EXISTE")</f>
        <v/>
      </c>
      <c r="D661" s="18">
        <f>IFERROR(_xlfn.XLOOKUP(ENTRADAS[[#This Row],[CODIGO]],LISTADO[CODIGOS],LISTADO[PRODUCTOS]),"NO EXISTE")</f>
        <v/>
      </c>
      <c r="E661" s="19" t="n">
        <v>46081</v>
      </c>
      <c r="F661" s="18" t="n">
        <v>13</v>
      </c>
      <c r="G661" s="18" t="inlineStr">
        <is>
          <t>INVENTARIO</t>
        </is>
      </c>
      <c r="H661" s="18" t="n"/>
      <c r="I661" s="45" t="n"/>
      <c r="J661" s="77" t="n"/>
      <c r="K661" s="18" t="n"/>
    </row>
    <row r="662">
      <c r="B662" s="56" t="inlineStr">
        <is>
          <t>00102-FER</t>
        </is>
      </c>
      <c r="C662" s="18">
        <f>IFERROR(_xlfn.XLOOKUP(ENTRADAS[[#This Row],[CODIGO]],LISTADO[CODIGOS],LISTADO[CATEGORIA]),"NO EXISTE")</f>
        <v/>
      </c>
      <c r="D662" s="18">
        <f>IFERROR(_xlfn.XLOOKUP(ENTRADAS[[#This Row],[CODIGO]],LISTADO[CODIGOS],LISTADO[PRODUCTOS]),"NO EXISTE")</f>
        <v/>
      </c>
      <c r="E662" s="19" t="n">
        <v>46081</v>
      </c>
      <c r="F662" s="18" t="n">
        <v>1</v>
      </c>
      <c r="G662" s="18" t="inlineStr">
        <is>
          <t>INVENTARIO</t>
        </is>
      </c>
      <c r="H662" s="18" t="n"/>
      <c r="I662" s="45" t="n"/>
      <c r="J662" s="77" t="n"/>
      <c r="K662" s="18" t="n"/>
    </row>
    <row r="663">
      <c r="B663" s="56" t="inlineStr">
        <is>
          <t>00103-FER</t>
        </is>
      </c>
      <c r="C663" s="18">
        <f>IFERROR(_xlfn.XLOOKUP(ENTRADAS[[#This Row],[CODIGO]],LISTADO[CODIGOS],LISTADO[CATEGORIA]),"NO EXISTE")</f>
        <v/>
      </c>
      <c r="D663" s="18">
        <f>IFERROR(_xlfn.XLOOKUP(ENTRADAS[[#This Row],[CODIGO]],LISTADO[CODIGOS],LISTADO[PRODUCTOS]),"NO EXISTE")</f>
        <v/>
      </c>
      <c r="E663" s="19" t="n">
        <v>46081</v>
      </c>
      <c r="F663" s="18" t="n">
        <v>2</v>
      </c>
      <c r="G663" s="18" t="inlineStr">
        <is>
          <t>INVENTARIO</t>
        </is>
      </c>
      <c r="H663" s="18" t="n"/>
      <c r="I663" s="45" t="n"/>
      <c r="J663" s="77" t="n"/>
      <c r="K663" s="18" t="n"/>
    </row>
    <row r="664">
      <c r="B664" s="56" t="inlineStr">
        <is>
          <t>00104-FER</t>
        </is>
      </c>
      <c r="C664" s="18">
        <f>IFERROR(_xlfn.XLOOKUP(ENTRADAS[[#This Row],[CODIGO]],LISTADO[CODIGOS],LISTADO[CATEGORIA]),"NO EXISTE")</f>
        <v/>
      </c>
      <c r="D664" s="18">
        <f>IFERROR(_xlfn.XLOOKUP(ENTRADAS[[#This Row],[CODIGO]],LISTADO[CODIGOS],LISTADO[PRODUCTOS]),"NO EXISTE")</f>
        <v/>
      </c>
      <c r="E664" s="19" t="n">
        <v>46081</v>
      </c>
      <c r="F664" s="18" t="n">
        <v>53</v>
      </c>
      <c r="G664" s="18" t="inlineStr">
        <is>
          <t>INVENTARIO</t>
        </is>
      </c>
      <c r="H664" s="18" t="n"/>
      <c r="I664" s="45" t="n"/>
      <c r="J664" s="77" t="n"/>
      <c r="K664" s="18" t="n"/>
    </row>
    <row r="665">
      <c r="B665" s="56" t="inlineStr">
        <is>
          <t>00105-FER</t>
        </is>
      </c>
      <c r="C665" s="18">
        <f>IFERROR(_xlfn.XLOOKUP(ENTRADAS[[#This Row],[CODIGO]],LISTADO[CODIGOS],LISTADO[CATEGORIA]),"NO EXISTE")</f>
        <v/>
      </c>
      <c r="D665" s="18">
        <f>IFERROR(_xlfn.XLOOKUP(ENTRADAS[[#This Row],[CODIGO]],LISTADO[CODIGOS],LISTADO[PRODUCTOS]),"NO EXISTE")</f>
        <v/>
      </c>
      <c r="E665" s="19" t="n">
        <v>46081</v>
      </c>
      <c r="F665" s="18" t="n">
        <v>1</v>
      </c>
      <c r="G665" s="18" t="inlineStr">
        <is>
          <t>INVENTARIO</t>
        </is>
      </c>
      <c r="H665" s="18" t="n"/>
      <c r="I665" s="45" t="n"/>
      <c r="J665" s="77" t="n"/>
      <c r="K665" s="18" t="n"/>
    </row>
    <row r="666">
      <c r="B666" s="56" t="inlineStr">
        <is>
          <t>00106-FER</t>
        </is>
      </c>
      <c r="C666" s="18">
        <f>IFERROR(_xlfn.XLOOKUP(ENTRADAS[[#This Row],[CODIGO]],LISTADO[CODIGOS],LISTADO[CATEGORIA]),"NO EXISTE")</f>
        <v/>
      </c>
      <c r="D666" s="18">
        <f>IFERROR(_xlfn.XLOOKUP(ENTRADAS[[#This Row],[CODIGO]],LISTADO[CODIGOS],LISTADO[PRODUCTOS]),"NO EXISTE")</f>
        <v/>
      </c>
      <c r="E666" s="19" t="n">
        <v>46081</v>
      </c>
      <c r="F666" s="18" t="n">
        <v>5</v>
      </c>
      <c r="G666" s="18" t="inlineStr">
        <is>
          <t>INVENTARIO</t>
        </is>
      </c>
      <c r="H666" s="18" t="n"/>
      <c r="I666" s="45" t="n"/>
      <c r="J666" s="77" t="n"/>
      <c r="K666" s="18" t="n"/>
    </row>
    <row r="667">
      <c r="B667" s="56" t="inlineStr">
        <is>
          <t>00107-FER</t>
        </is>
      </c>
      <c r="C667" s="18">
        <f>IFERROR(_xlfn.XLOOKUP(ENTRADAS[[#This Row],[CODIGO]],LISTADO[CODIGOS],LISTADO[CATEGORIA]),"NO EXISTE")</f>
        <v/>
      </c>
      <c r="D667" s="18">
        <f>IFERROR(_xlfn.XLOOKUP(ENTRADAS[[#This Row],[CODIGO]],LISTADO[CODIGOS],LISTADO[PRODUCTOS]),"NO EXISTE")</f>
        <v/>
      </c>
      <c r="E667" s="19" t="n">
        <v>46081</v>
      </c>
      <c r="F667" s="18" t="n">
        <v>1</v>
      </c>
      <c r="G667" s="18" t="inlineStr">
        <is>
          <t>INVENTARIO</t>
        </is>
      </c>
      <c r="H667" s="18" t="n"/>
      <c r="I667" s="45" t="n"/>
      <c r="J667" s="77" t="n"/>
      <c r="K667" s="18" t="n"/>
    </row>
    <row r="668">
      <c r="B668" s="56" t="inlineStr">
        <is>
          <t>00026-ELC</t>
        </is>
      </c>
      <c r="C668" s="18">
        <f>IFERROR(_xlfn.XLOOKUP(ENTRADAS[[#This Row],[CODIGO]],LISTADO[CODIGOS],LISTADO[CATEGORIA]),"NO EXISTE")</f>
        <v/>
      </c>
      <c r="D668" s="18">
        <f>IFERROR(_xlfn.XLOOKUP(ENTRADAS[[#This Row],[CODIGO]],LISTADO[CODIGOS],LISTADO[PRODUCTOS]),"NO EXISTE")</f>
        <v/>
      </c>
      <c r="E668" s="19" t="n">
        <v>46081</v>
      </c>
      <c r="F668" s="18" t="n">
        <v>1</v>
      </c>
      <c r="G668" s="18" t="inlineStr">
        <is>
          <t>INVENTARIO</t>
        </is>
      </c>
      <c r="H668" s="18" t="n"/>
      <c r="I668" s="45" t="n"/>
      <c r="J668" s="77" t="n"/>
      <c r="K668" s="18" t="n"/>
    </row>
    <row r="669">
      <c r="B669" s="56" t="inlineStr">
        <is>
          <t>00027-ELC</t>
        </is>
      </c>
      <c r="C669" s="18">
        <f>IFERROR(_xlfn.XLOOKUP(ENTRADAS[[#This Row],[CODIGO]],LISTADO[CODIGOS],LISTADO[CATEGORIA]),"NO EXISTE")</f>
        <v/>
      </c>
      <c r="D669" s="18">
        <f>IFERROR(_xlfn.XLOOKUP(ENTRADAS[[#This Row],[CODIGO]],LISTADO[CODIGOS],LISTADO[PRODUCTOS]),"NO EXISTE")</f>
        <v/>
      </c>
      <c r="E669" s="19" t="n">
        <v>46081</v>
      </c>
      <c r="F669" s="18" t="n">
        <v>1</v>
      </c>
      <c r="G669" s="18" t="inlineStr">
        <is>
          <t>INVENTARIO</t>
        </is>
      </c>
      <c r="H669" s="18" t="n"/>
      <c r="I669" s="45" t="n"/>
      <c r="J669" s="77" t="n"/>
      <c r="K669" s="18" t="n"/>
    </row>
    <row r="670">
      <c r="B670" s="56" t="inlineStr">
        <is>
          <t>00028-ELC</t>
        </is>
      </c>
      <c r="C670" s="18">
        <f>IFERROR(_xlfn.XLOOKUP(ENTRADAS[[#This Row],[CODIGO]],LISTADO[CODIGOS],LISTADO[CATEGORIA]),"NO EXISTE")</f>
        <v/>
      </c>
      <c r="D670" s="18">
        <f>IFERROR(_xlfn.XLOOKUP(ENTRADAS[[#This Row],[CODIGO]],LISTADO[CODIGOS],LISTADO[PRODUCTOS]),"NO EXISTE")</f>
        <v/>
      </c>
      <c r="E670" s="19" t="n">
        <v>46081</v>
      </c>
      <c r="F670" s="18" t="n">
        <v>3</v>
      </c>
      <c r="G670" s="18" t="inlineStr">
        <is>
          <t>INVENTARIO</t>
        </is>
      </c>
      <c r="H670" s="18" t="n"/>
      <c r="I670" s="45" t="n"/>
      <c r="J670" s="77" t="n"/>
      <c r="K670" s="18" t="n"/>
    </row>
    <row r="671">
      <c r="B671" s="56" t="inlineStr">
        <is>
          <t>00029-ELC</t>
        </is>
      </c>
      <c r="C671" s="18">
        <f>IFERROR(_xlfn.XLOOKUP(ENTRADAS[[#This Row],[CODIGO]],LISTADO[CODIGOS],LISTADO[CATEGORIA]),"NO EXISTE")</f>
        <v/>
      </c>
      <c r="D671" s="18">
        <f>IFERROR(_xlfn.XLOOKUP(ENTRADAS[[#This Row],[CODIGO]],LISTADO[CODIGOS],LISTADO[PRODUCTOS]),"NO EXISTE")</f>
        <v/>
      </c>
      <c r="E671" s="19" t="n">
        <v>46081</v>
      </c>
      <c r="F671" s="18" t="n">
        <v>3</v>
      </c>
      <c r="G671" s="18" t="inlineStr">
        <is>
          <t>INVENTARIO</t>
        </is>
      </c>
      <c r="H671" s="18" t="n"/>
      <c r="I671" s="45" t="n"/>
      <c r="J671" s="77" t="n"/>
      <c r="K671" s="18" t="n"/>
    </row>
    <row r="672">
      <c r="B672" s="56" t="inlineStr">
        <is>
          <t>00030-ELC</t>
        </is>
      </c>
      <c r="C672" s="18">
        <f>IFERROR(_xlfn.XLOOKUP(ENTRADAS[[#This Row],[CODIGO]],LISTADO[CODIGOS],LISTADO[CATEGORIA]),"NO EXISTE")</f>
        <v/>
      </c>
      <c r="D672" s="18">
        <f>IFERROR(_xlfn.XLOOKUP(ENTRADAS[[#This Row],[CODIGO]],LISTADO[CODIGOS],LISTADO[PRODUCTOS]),"NO EXISTE")</f>
        <v/>
      </c>
      <c r="E672" s="19" t="n">
        <v>46081</v>
      </c>
      <c r="F672" s="18" t="n">
        <v>1</v>
      </c>
      <c r="G672" s="18" t="inlineStr">
        <is>
          <t>INVENTARIO</t>
        </is>
      </c>
      <c r="H672" s="18" t="n"/>
      <c r="I672" s="45" t="n"/>
      <c r="J672" s="77" t="n"/>
      <c r="K672" s="18" t="n"/>
    </row>
    <row r="673">
      <c r="B673" s="56" t="inlineStr">
        <is>
          <t>00031-ELC</t>
        </is>
      </c>
      <c r="C673" s="18">
        <f>IFERROR(_xlfn.XLOOKUP(ENTRADAS[[#This Row],[CODIGO]],LISTADO[CODIGOS],LISTADO[CATEGORIA]),"NO EXISTE")</f>
        <v/>
      </c>
      <c r="D673" s="18">
        <f>IFERROR(_xlfn.XLOOKUP(ENTRADAS[[#This Row],[CODIGO]],LISTADO[CODIGOS],LISTADO[PRODUCTOS]),"NO EXISTE")</f>
        <v/>
      </c>
      <c r="E673" s="19" t="n">
        <v>46081</v>
      </c>
      <c r="F673" s="18" t="n">
        <v>1</v>
      </c>
      <c r="G673" s="18" t="inlineStr">
        <is>
          <t>INVENTARIO</t>
        </is>
      </c>
      <c r="H673" s="18" t="n"/>
      <c r="I673" s="45" t="n"/>
      <c r="J673" s="77" t="n"/>
      <c r="K673" s="18" t="n"/>
    </row>
    <row r="674">
      <c r="B674" s="56" t="inlineStr">
        <is>
          <t>00032-ELC</t>
        </is>
      </c>
      <c r="C674" s="18">
        <f>IFERROR(_xlfn.XLOOKUP(ENTRADAS[[#This Row],[CODIGO]],LISTADO[CODIGOS],LISTADO[CATEGORIA]),"NO EXISTE")</f>
        <v/>
      </c>
      <c r="D674" s="18">
        <f>IFERROR(_xlfn.XLOOKUP(ENTRADAS[[#This Row],[CODIGO]],LISTADO[CODIGOS],LISTADO[PRODUCTOS]),"NO EXISTE")</f>
        <v/>
      </c>
      <c r="E674" s="19" t="n">
        <v>46081</v>
      </c>
      <c r="F674" s="18" t="n">
        <v>1</v>
      </c>
      <c r="G674" s="18" t="inlineStr">
        <is>
          <t>INVENTARIO</t>
        </is>
      </c>
      <c r="H674" s="18" t="n"/>
      <c r="I674" s="45" t="n"/>
      <c r="J674" s="77" t="n"/>
      <c r="K674" s="18" t="n"/>
    </row>
    <row r="675">
      <c r="B675" s="56" t="inlineStr">
        <is>
          <t>00033-ELC</t>
        </is>
      </c>
      <c r="C675" s="18">
        <f>IFERROR(_xlfn.XLOOKUP(ENTRADAS[[#This Row],[CODIGO]],LISTADO[CODIGOS],LISTADO[CATEGORIA]),"NO EXISTE")</f>
        <v/>
      </c>
      <c r="D675" s="18">
        <f>IFERROR(_xlfn.XLOOKUP(ENTRADAS[[#This Row],[CODIGO]],LISTADO[CODIGOS],LISTADO[PRODUCTOS]),"NO EXISTE")</f>
        <v/>
      </c>
      <c r="E675" s="19" t="n">
        <v>46081</v>
      </c>
      <c r="F675" s="18" t="n">
        <v>4</v>
      </c>
      <c r="G675" s="18" t="inlineStr">
        <is>
          <t>INVENTARIO</t>
        </is>
      </c>
      <c r="H675" s="18" t="n"/>
      <c r="I675" s="45" t="n"/>
      <c r="J675" s="77" t="n"/>
      <c r="K675" s="18" t="n"/>
    </row>
    <row r="676">
      <c r="B676" s="56" t="inlineStr">
        <is>
          <t>00034-ELC</t>
        </is>
      </c>
      <c r="C676" s="18">
        <f>IFERROR(_xlfn.XLOOKUP(ENTRADAS[[#This Row],[CODIGO]],LISTADO[CODIGOS],LISTADO[CATEGORIA]),"NO EXISTE")</f>
        <v/>
      </c>
      <c r="D676" s="18">
        <f>IFERROR(_xlfn.XLOOKUP(ENTRADAS[[#This Row],[CODIGO]],LISTADO[CODIGOS],LISTADO[PRODUCTOS]),"NO EXISTE")</f>
        <v/>
      </c>
      <c r="E676" s="19" t="n">
        <v>46081</v>
      </c>
      <c r="F676" s="18" t="n">
        <v>3</v>
      </c>
      <c r="G676" s="18" t="inlineStr">
        <is>
          <t>INVENTARIO</t>
        </is>
      </c>
      <c r="H676" s="18" t="n"/>
      <c r="I676" s="45" t="n"/>
      <c r="J676" s="77" t="n"/>
      <c r="K676" s="18" t="n"/>
    </row>
    <row r="677">
      <c r="B677" s="56" t="inlineStr">
        <is>
          <t>00035-ELC</t>
        </is>
      </c>
      <c r="C677" s="18">
        <f>IFERROR(_xlfn.XLOOKUP(ENTRADAS[[#This Row],[CODIGO]],LISTADO[CODIGOS],LISTADO[CATEGORIA]),"NO EXISTE")</f>
        <v/>
      </c>
      <c r="D677" s="18">
        <f>IFERROR(_xlfn.XLOOKUP(ENTRADAS[[#This Row],[CODIGO]],LISTADO[CODIGOS],LISTADO[PRODUCTOS]),"NO EXISTE")</f>
        <v/>
      </c>
      <c r="E677" s="19" t="n">
        <v>46081</v>
      </c>
      <c r="F677" s="18" t="n">
        <v>1</v>
      </c>
      <c r="G677" s="18" t="inlineStr">
        <is>
          <t>INVENTARIO</t>
        </is>
      </c>
      <c r="H677" s="18" t="n"/>
      <c r="I677" s="45" t="n"/>
      <c r="J677" s="77" t="n"/>
      <c r="K677" s="18" t="n"/>
    </row>
    <row r="678">
      <c r="B678" s="56" t="inlineStr">
        <is>
          <t>00036-ELC</t>
        </is>
      </c>
      <c r="C678" s="18">
        <f>IFERROR(_xlfn.XLOOKUP(ENTRADAS[[#This Row],[CODIGO]],LISTADO[CODIGOS],LISTADO[CATEGORIA]),"NO EXISTE")</f>
        <v/>
      </c>
      <c r="D678" s="18">
        <f>IFERROR(_xlfn.XLOOKUP(ENTRADAS[[#This Row],[CODIGO]],LISTADO[CODIGOS],LISTADO[PRODUCTOS]),"NO EXISTE")</f>
        <v/>
      </c>
      <c r="E678" s="19" t="n">
        <v>46081</v>
      </c>
      <c r="F678" s="18" t="n">
        <v>1</v>
      </c>
      <c r="G678" s="18" t="inlineStr">
        <is>
          <t>INVENTARIO</t>
        </is>
      </c>
      <c r="H678" s="18" t="n"/>
      <c r="I678" s="45" t="n"/>
      <c r="J678" s="77" t="n"/>
      <c r="K678" s="18" t="n"/>
    </row>
    <row r="679">
      <c r="B679" s="56" t="inlineStr">
        <is>
          <t>00037-ELC</t>
        </is>
      </c>
      <c r="C679" s="18">
        <f>IFERROR(_xlfn.XLOOKUP(ENTRADAS[[#This Row],[CODIGO]],LISTADO[CODIGOS],LISTADO[CATEGORIA]),"NO EXISTE")</f>
        <v/>
      </c>
      <c r="D679" s="18">
        <f>IFERROR(_xlfn.XLOOKUP(ENTRADAS[[#This Row],[CODIGO]],LISTADO[CODIGOS],LISTADO[PRODUCTOS]),"NO EXISTE")</f>
        <v/>
      </c>
      <c r="E679" s="19" t="n">
        <v>46081</v>
      </c>
      <c r="F679" s="18" t="n">
        <v>9</v>
      </c>
      <c r="G679" s="18" t="inlineStr">
        <is>
          <t>INVENTARIO</t>
        </is>
      </c>
      <c r="H679" s="18" t="n"/>
      <c r="I679" s="45" t="n"/>
      <c r="J679" s="77" t="n"/>
      <c r="K679" s="18" t="n"/>
    </row>
    <row r="680">
      <c r="B680" s="56" t="inlineStr">
        <is>
          <t>00038-ELC</t>
        </is>
      </c>
      <c r="C680" s="18">
        <f>IFERROR(_xlfn.XLOOKUP(ENTRADAS[[#This Row],[CODIGO]],LISTADO[CODIGOS],LISTADO[CATEGORIA]),"NO EXISTE")</f>
        <v/>
      </c>
      <c r="D680" s="18">
        <f>IFERROR(_xlfn.XLOOKUP(ENTRADAS[[#This Row],[CODIGO]],LISTADO[CODIGOS],LISTADO[PRODUCTOS]),"NO EXISTE")</f>
        <v/>
      </c>
      <c r="E680" s="19" t="n">
        <v>46081</v>
      </c>
      <c r="F680" s="18" t="n">
        <v>7</v>
      </c>
      <c r="G680" s="18" t="inlineStr">
        <is>
          <t>INVENTARIO</t>
        </is>
      </c>
      <c r="H680" s="18" t="n"/>
      <c r="I680" s="45" t="n"/>
      <c r="J680" s="77" t="n"/>
      <c r="K680" s="18" t="n"/>
    </row>
    <row r="681">
      <c r="B681" s="56" t="inlineStr">
        <is>
          <t>00039-ELC</t>
        </is>
      </c>
      <c r="C681" s="18">
        <f>IFERROR(_xlfn.XLOOKUP(ENTRADAS[[#This Row],[CODIGO]],LISTADO[CODIGOS],LISTADO[CATEGORIA]),"NO EXISTE")</f>
        <v/>
      </c>
      <c r="D681" s="18">
        <f>IFERROR(_xlfn.XLOOKUP(ENTRADAS[[#This Row],[CODIGO]],LISTADO[CODIGOS],LISTADO[PRODUCTOS]),"NO EXISTE")</f>
        <v/>
      </c>
      <c r="E681" s="19" t="n">
        <v>46081</v>
      </c>
      <c r="F681" s="18" t="n">
        <v>1</v>
      </c>
      <c r="G681" s="18" t="inlineStr">
        <is>
          <t>INVENTARIO</t>
        </is>
      </c>
      <c r="H681" s="18" t="n"/>
      <c r="I681" s="45" t="n"/>
      <c r="J681" s="77" t="n"/>
      <c r="K681" s="18" t="n"/>
    </row>
    <row r="682">
      <c r="B682" s="56" t="inlineStr">
        <is>
          <t>00040-ELC</t>
        </is>
      </c>
      <c r="C682" s="18">
        <f>IFERROR(_xlfn.XLOOKUP(ENTRADAS[[#This Row],[CODIGO]],LISTADO[CODIGOS],LISTADO[CATEGORIA]),"NO EXISTE")</f>
        <v/>
      </c>
      <c r="D682" s="18">
        <f>IFERROR(_xlfn.XLOOKUP(ENTRADAS[[#This Row],[CODIGO]],LISTADO[CODIGOS],LISTADO[PRODUCTOS]),"NO EXISTE")</f>
        <v/>
      </c>
      <c r="E682" s="19" t="n">
        <v>46081</v>
      </c>
      <c r="F682" s="18" t="n">
        <v>1</v>
      </c>
      <c r="G682" s="18" t="inlineStr">
        <is>
          <t>INVENTARIO</t>
        </is>
      </c>
      <c r="H682" s="18" t="n"/>
      <c r="I682" s="45" t="n"/>
      <c r="J682" s="77" t="n"/>
      <c r="K682" s="18" t="n"/>
    </row>
    <row r="683">
      <c r="B683" s="56" t="inlineStr">
        <is>
          <t>00041-ELC</t>
        </is>
      </c>
      <c r="C683" s="18">
        <f>IFERROR(_xlfn.XLOOKUP(ENTRADAS[[#This Row],[CODIGO]],LISTADO[CODIGOS],LISTADO[CATEGORIA]),"NO EXISTE")</f>
        <v/>
      </c>
      <c r="D683" s="18">
        <f>IFERROR(_xlfn.XLOOKUP(ENTRADAS[[#This Row],[CODIGO]],LISTADO[CODIGOS],LISTADO[PRODUCTOS]),"NO EXISTE")</f>
        <v/>
      </c>
      <c r="E683" s="19" t="n">
        <v>46081</v>
      </c>
      <c r="F683" s="18" t="n">
        <v>2</v>
      </c>
      <c r="G683" s="18" t="inlineStr">
        <is>
          <t>INVENTARIO</t>
        </is>
      </c>
      <c r="H683" s="18" t="n"/>
      <c r="I683" s="45" t="n"/>
      <c r="J683" s="77" t="n"/>
      <c r="K683" s="18" t="n"/>
    </row>
    <row r="684">
      <c r="B684" s="56" t="inlineStr">
        <is>
          <t>00109-FER</t>
        </is>
      </c>
      <c r="C684" s="18">
        <f>IFERROR(_xlfn.XLOOKUP(ENTRADAS[[#This Row],[CODIGO]],LISTADO[CODIGOS],LISTADO[CATEGORIA]),"NO EXISTE")</f>
        <v/>
      </c>
      <c r="D684" s="18">
        <f>IFERROR(_xlfn.XLOOKUP(ENTRADAS[[#This Row],[CODIGO]],LISTADO[CODIGOS],LISTADO[PRODUCTOS]),"NO EXISTE")</f>
        <v/>
      </c>
      <c r="E684" s="19" t="n">
        <v>46081</v>
      </c>
      <c r="F684" s="18" t="n">
        <v>100</v>
      </c>
      <c r="G684" s="18" t="inlineStr">
        <is>
          <t>INGRESO</t>
        </is>
      </c>
      <c r="H684" s="18" t="n"/>
      <c r="I684" s="45" t="n"/>
      <c r="J684" s="77" t="n"/>
      <c r="K684" s="18" t="n"/>
    </row>
    <row r="685">
      <c r="B685" s="56" t="inlineStr">
        <is>
          <t>00110-FER</t>
        </is>
      </c>
      <c r="C685" s="18">
        <f>IFERROR(_xlfn.XLOOKUP(ENTRADAS[[#This Row],[CODIGO]],LISTADO[CODIGOS],LISTADO[CATEGORIA]),"NO EXISTE")</f>
        <v/>
      </c>
      <c r="D685" s="18">
        <f>IFERROR(_xlfn.XLOOKUP(ENTRADAS[[#This Row],[CODIGO]],LISTADO[CODIGOS],LISTADO[PRODUCTOS]),"NO EXISTE")</f>
        <v/>
      </c>
      <c r="E685" s="19" t="n">
        <v>46081</v>
      </c>
      <c r="F685" s="18" t="n">
        <v>100</v>
      </c>
      <c r="G685" s="18" t="inlineStr">
        <is>
          <t>INGRESO</t>
        </is>
      </c>
      <c r="H685" s="18" t="n"/>
      <c r="I685" s="45" t="n"/>
      <c r="J685" s="77" t="n"/>
      <c r="K685" s="18" t="n"/>
    </row>
    <row r="686">
      <c r="B686" s="56" t="inlineStr">
        <is>
          <t>00040-PLM</t>
        </is>
      </c>
      <c r="C686" s="18">
        <f>IFERROR(_xlfn.XLOOKUP(ENTRADAS[[#This Row],[CODIGO]],LISTADO[CODIGOS],LISTADO[CATEGORIA]),"NO EXISTE")</f>
        <v/>
      </c>
      <c r="D686" s="18">
        <f>IFERROR(_xlfn.XLOOKUP(ENTRADAS[[#This Row],[CODIGO]],LISTADO[CODIGOS],LISTADO[PRODUCTOS]),"NO EXISTE")</f>
        <v/>
      </c>
      <c r="E686" s="19" t="n">
        <v>46081</v>
      </c>
      <c r="F686" s="18" t="n">
        <v>6</v>
      </c>
      <c r="G686" s="18" t="inlineStr">
        <is>
          <t>INGRESO</t>
        </is>
      </c>
      <c r="H686" s="18" t="n"/>
      <c r="I686" s="45" t="n"/>
      <c r="J686" s="77" t="n"/>
      <c r="K686" s="18" t="n"/>
    </row>
    <row r="687">
      <c r="B687" s="56" t="inlineStr">
        <is>
          <t>00111-FER</t>
        </is>
      </c>
      <c r="C687" s="18">
        <f>IFERROR(_xlfn.XLOOKUP(ENTRADAS[[#This Row],[CODIGO]],LISTADO[CODIGOS],LISTADO[CATEGORIA]),"NO EXISTE")</f>
        <v/>
      </c>
      <c r="D687" s="18">
        <f>IFERROR(_xlfn.XLOOKUP(ENTRADAS[[#This Row],[CODIGO]],LISTADO[CODIGOS],LISTADO[PRODUCTOS]),"NO EXISTE")</f>
        <v/>
      </c>
      <c r="E687" s="19" t="n">
        <v>46081</v>
      </c>
      <c r="F687" s="18" t="n">
        <v>100</v>
      </c>
      <c r="G687" s="18" t="inlineStr">
        <is>
          <t>INGRESO</t>
        </is>
      </c>
      <c r="H687" s="18" t="n"/>
      <c r="I687" s="45" t="n"/>
      <c r="J687" s="77" t="n"/>
      <c r="K687" s="18" t="n"/>
    </row>
    <row r="688">
      <c r="B688" s="56" t="inlineStr">
        <is>
          <t>00041-PLM</t>
        </is>
      </c>
      <c r="C688" s="18">
        <f>IFERROR(_xlfn.XLOOKUP(ENTRADAS[[#This Row],[CODIGO]],LISTADO[CODIGOS],LISTADO[CATEGORIA]),"NO EXISTE")</f>
        <v/>
      </c>
      <c r="D688" s="18">
        <f>IFERROR(_xlfn.XLOOKUP(ENTRADAS[[#This Row],[CODIGO]],LISTADO[CODIGOS],LISTADO[PRODUCTOS]),"NO EXISTE")</f>
        <v/>
      </c>
      <c r="E688" s="19" t="n">
        <v>46081</v>
      </c>
      <c r="F688" s="18" t="n">
        <v>1</v>
      </c>
      <c r="G688" s="18" t="inlineStr">
        <is>
          <t>INGRESO</t>
        </is>
      </c>
      <c r="H688" s="18" t="n"/>
      <c r="I688" s="45" t="n"/>
      <c r="J688" s="77" t="n"/>
      <c r="K688" s="18" t="n"/>
    </row>
    <row r="689">
      <c r="B689" s="56" t="inlineStr">
        <is>
          <t>00016-PLM</t>
        </is>
      </c>
      <c r="C689" s="18">
        <f>IFERROR(_xlfn.XLOOKUP(ENTRADAS[[#This Row],[CODIGO]],LISTADO[CODIGOS],LISTADO[CATEGORIA]),"NO EXISTE")</f>
        <v/>
      </c>
      <c r="D689" s="18">
        <f>IFERROR(_xlfn.XLOOKUP(ENTRADAS[[#This Row],[CODIGO]],LISTADO[CODIGOS],LISTADO[PRODUCTOS]),"NO EXISTE")</f>
        <v/>
      </c>
      <c r="E689" s="19" t="n">
        <v>46081</v>
      </c>
      <c r="F689" s="18" t="n">
        <v>1</v>
      </c>
      <c r="G689" s="18" t="inlineStr">
        <is>
          <t>INGRESO</t>
        </is>
      </c>
      <c r="H689" s="18" t="n"/>
      <c r="I689" s="45" t="n"/>
      <c r="J689" s="77" t="n"/>
      <c r="K689" s="18" t="n"/>
    </row>
    <row r="690">
      <c r="B690" s="56" t="inlineStr">
        <is>
          <t>00112-FER</t>
        </is>
      </c>
      <c r="C690" s="18">
        <f>IFERROR(_xlfn.XLOOKUP(ENTRADAS[[#This Row],[CODIGO]],LISTADO[CODIGOS],LISTADO[CATEGORIA]),"NO EXISTE")</f>
        <v/>
      </c>
      <c r="D690" s="18">
        <f>IFERROR(_xlfn.XLOOKUP(ENTRADAS[[#This Row],[CODIGO]],LISTADO[CODIGOS],LISTADO[PRODUCTOS]),"NO EXISTE")</f>
        <v/>
      </c>
      <c r="E690" s="19" t="n">
        <v>46081</v>
      </c>
      <c r="F690" s="18" t="n">
        <v>4</v>
      </c>
      <c r="G690" s="18" t="inlineStr">
        <is>
          <t>INVENTARIO</t>
        </is>
      </c>
      <c r="H690" s="18" t="n"/>
      <c r="I690" s="45" t="n"/>
      <c r="J690" s="77" t="n"/>
      <c r="K690" s="18" t="n"/>
    </row>
    <row r="691">
      <c r="B691" s="56" t="inlineStr">
        <is>
          <t>00004-FER</t>
        </is>
      </c>
      <c r="C691" s="18">
        <f>IFERROR(_xlfn.XLOOKUP(ENTRADAS[[#This Row],[CODIGO]],LISTADO[CODIGOS],LISTADO[CATEGORIA]),"NO EXISTE")</f>
        <v/>
      </c>
      <c r="D691" s="18">
        <f>IFERROR(_xlfn.XLOOKUP(ENTRADAS[[#This Row],[CODIGO]],LISTADO[CODIGOS],LISTADO[PRODUCTOS]),"NO EXISTE")</f>
        <v/>
      </c>
      <c r="E691" s="19" t="n">
        <v>46081</v>
      </c>
      <c r="F691" s="18" t="n">
        <v>7000</v>
      </c>
      <c r="G691" s="18" t="inlineStr">
        <is>
          <t>INGRESO</t>
        </is>
      </c>
      <c r="H691" s="18" t="n"/>
      <c r="I691" s="45" t="n"/>
      <c r="J691" s="77" t="n"/>
      <c r="K691" s="18" t="n"/>
    </row>
    <row r="692">
      <c r="B692" s="56" t="inlineStr">
        <is>
          <t>00115-FER</t>
        </is>
      </c>
      <c r="C692" s="18">
        <f>IFERROR(_xlfn.XLOOKUP(ENTRADAS[[#This Row],[CODIGO]],LISTADO[CODIGOS],LISTADO[CATEGORIA]),"NO EXISTE")</f>
        <v/>
      </c>
      <c r="D692" s="18">
        <f>IFERROR(_xlfn.XLOOKUP(ENTRADAS[[#This Row],[CODIGO]],LISTADO[CODIGOS],LISTADO[PRODUCTOS]),"NO EXISTE")</f>
        <v/>
      </c>
      <c r="E692" s="19" t="n">
        <v>46081</v>
      </c>
      <c r="F692" s="18" t="n">
        <v>10000</v>
      </c>
      <c r="G692" s="18" t="inlineStr">
        <is>
          <t>INGRESO</t>
        </is>
      </c>
      <c r="H692" s="18" t="n"/>
      <c r="I692" s="45" t="n"/>
      <c r="J692" s="77" t="n"/>
      <c r="K692" s="18" t="n"/>
    </row>
    <row r="693">
      <c r="B693" s="56" t="inlineStr">
        <is>
          <t>00116-FER</t>
        </is>
      </c>
      <c r="C693" s="18">
        <f>IFERROR(_xlfn.XLOOKUP(ENTRADAS[[#This Row],[CODIGO]],LISTADO[CODIGOS],LISTADO[CATEGORIA]),"NO EXISTE")</f>
        <v/>
      </c>
      <c r="D693" s="18">
        <f>IFERROR(_xlfn.XLOOKUP(ENTRADAS[[#This Row],[CODIGO]],LISTADO[CODIGOS],LISTADO[PRODUCTOS]),"NO EXISTE")</f>
        <v/>
      </c>
      <c r="E693" s="19" t="n">
        <v>46081</v>
      </c>
      <c r="F693" s="18" t="n">
        <v>20000</v>
      </c>
      <c r="G693" s="18" t="inlineStr">
        <is>
          <t>INGRESO</t>
        </is>
      </c>
      <c r="H693" s="18" t="n"/>
      <c r="I693" s="45" t="n"/>
      <c r="J693" s="77" t="n"/>
      <c r="K693" s="18" t="n"/>
    </row>
    <row r="694">
      <c r="B694" s="56" t="inlineStr">
        <is>
          <t>00032-HRR</t>
        </is>
      </c>
      <c r="C694" s="18">
        <f>IFERROR(_xlfn.XLOOKUP(ENTRADAS[[#This Row],[CODIGO]],LISTADO[CODIGOS],LISTADO[CATEGORIA]),"NO EXISTE")</f>
        <v/>
      </c>
      <c r="D694" s="18">
        <f>IFERROR(_xlfn.XLOOKUP(ENTRADAS[[#This Row],[CODIGO]],LISTADO[CODIGOS],LISTADO[PRODUCTOS]),"NO EXISTE")</f>
        <v/>
      </c>
      <c r="E694" s="19" t="n">
        <v>46081</v>
      </c>
      <c r="F694" s="18" t="n">
        <v>270</v>
      </c>
      <c r="G694" s="18" t="inlineStr">
        <is>
          <t>DEVOLUCION</t>
        </is>
      </c>
      <c r="H694" s="18" t="n"/>
      <c r="I694" s="45" t="n"/>
      <c r="J694" s="77" t="n"/>
      <c r="K694" s="18" t="n"/>
    </row>
    <row r="695">
      <c r="B695" s="56" t="inlineStr">
        <is>
          <t>00005-ELE</t>
        </is>
      </c>
      <c r="C695" s="18">
        <f>IFERROR(_xlfn.XLOOKUP(ENTRADAS[[#This Row],[CODIGO]],LISTADO[CODIGOS],LISTADO[CATEGORIA]),"NO EXISTE")</f>
        <v/>
      </c>
      <c r="D695" s="18">
        <f>IFERROR(_xlfn.XLOOKUP(ENTRADAS[[#This Row],[CODIGO]],LISTADO[CODIGOS],LISTADO[PRODUCTOS]),"NO EXISTE")</f>
        <v/>
      </c>
      <c r="E695" s="19" t="n">
        <v>46082</v>
      </c>
      <c r="F695" s="18" t="n">
        <v>7</v>
      </c>
      <c r="G695" s="18" t="inlineStr">
        <is>
          <t>INVENTARIO</t>
        </is>
      </c>
      <c r="H695" s="18" t="n"/>
      <c r="I695" s="45" t="n"/>
      <c r="J695" s="77" t="n"/>
      <c r="K695" s="18" t="n"/>
    </row>
    <row r="696">
      <c r="B696" s="56" t="inlineStr">
        <is>
          <t>00007-MSC</t>
        </is>
      </c>
      <c r="C696" s="18">
        <f>IFERROR(_xlfn.XLOOKUP(ENTRADAS[[#This Row],[CODIGO]],LISTADO[CODIGOS],LISTADO[CATEGORIA]),"NO EXISTE")</f>
        <v/>
      </c>
      <c r="D696" s="18">
        <f>IFERROR(_xlfn.XLOOKUP(ENTRADAS[[#This Row],[CODIGO]],LISTADO[CODIGOS],LISTADO[PRODUCTOS]),"NO EXISTE")</f>
        <v/>
      </c>
      <c r="E696" s="19" t="n">
        <v>46083</v>
      </c>
      <c r="F696" s="18" t="n">
        <v>10</v>
      </c>
      <c r="G696" s="18" t="inlineStr">
        <is>
          <t>INGRESO</t>
        </is>
      </c>
      <c r="H696" s="18" t="n"/>
      <c r="I696" s="45" t="n"/>
      <c r="J696" s="77" t="n"/>
      <c r="K696" s="18" t="n"/>
    </row>
    <row r="697">
      <c r="B697" s="56" t="inlineStr">
        <is>
          <t>00113-FER</t>
        </is>
      </c>
      <c r="C697" s="18">
        <f>IFERROR(_xlfn.XLOOKUP(ENTRADAS[[#This Row],[CODIGO]],LISTADO[CODIGOS],LISTADO[CATEGORIA]),"NO EXISTE")</f>
        <v/>
      </c>
      <c r="D697" s="18">
        <f>IFERROR(_xlfn.XLOOKUP(ENTRADAS[[#This Row],[CODIGO]],LISTADO[CODIGOS],LISTADO[PRODUCTOS]),"NO EXISTE")</f>
        <v/>
      </c>
      <c r="E697" s="19" t="n">
        <v>46083</v>
      </c>
      <c r="F697" s="18" t="n">
        <v>2</v>
      </c>
      <c r="G697" s="18" t="inlineStr">
        <is>
          <t>INGRESO</t>
        </is>
      </c>
      <c r="H697" s="18" t="n"/>
      <c r="I697" s="45" t="n"/>
      <c r="J697" s="77" t="n"/>
      <c r="K697" s="18" t="n"/>
    </row>
    <row r="698">
      <c r="B698" s="56" t="inlineStr">
        <is>
          <t>00114-FER</t>
        </is>
      </c>
      <c r="C698" s="18">
        <f>IFERROR(_xlfn.XLOOKUP(ENTRADAS[[#This Row],[CODIGO]],LISTADO[CODIGOS],LISTADO[CATEGORIA]),"NO EXISTE")</f>
        <v/>
      </c>
      <c r="D698" s="18">
        <f>IFERROR(_xlfn.XLOOKUP(ENTRADAS[[#This Row],[CODIGO]],LISTADO[CODIGOS],LISTADO[PRODUCTOS]),"NO EXISTE")</f>
        <v/>
      </c>
      <c r="E698" s="19" t="n">
        <v>46083</v>
      </c>
      <c r="F698" s="18" t="n">
        <v>2</v>
      </c>
      <c r="G698" s="18" t="inlineStr">
        <is>
          <t>INGRESO</t>
        </is>
      </c>
      <c r="H698" s="18" t="n"/>
      <c r="I698" s="45" t="n"/>
      <c r="J698" s="77" t="n"/>
      <c r="K698" s="18" t="n"/>
    </row>
    <row r="699">
      <c r="B699" s="56" t="inlineStr">
        <is>
          <t>00105-HER</t>
        </is>
      </c>
      <c r="C699" s="18">
        <f>IFERROR(_xlfn.XLOOKUP(ENTRADAS[[#This Row],[CODIGO]],LISTADO[CODIGOS],LISTADO[CATEGORIA]),"NO EXISTE")</f>
        <v/>
      </c>
      <c r="D699" s="18">
        <f>IFERROR(_xlfn.XLOOKUP(ENTRADAS[[#This Row],[CODIGO]],LISTADO[CODIGOS],LISTADO[PRODUCTOS]),"NO EXISTE")</f>
        <v/>
      </c>
      <c r="E699" s="19" t="n">
        <v>46083</v>
      </c>
      <c r="F699" s="18" t="n">
        <v>3</v>
      </c>
      <c r="G699" s="18" t="inlineStr">
        <is>
          <t>INGRESO</t>
        </is>
      </c>
      <c r="H699" s="18" t="n"/>
      <c r="I699" s="45" t="n"/>
      <c r="J699" s="77" t="n"/>
      <c r="K699" s="18" t="n"/>
    </row>
    <row r="700">
      <c r="B700" s="56" t="inlineStr">
        <is>
          <t>00022-REF</t>
        </is>
      </c>
      <c r="C700" s="18">
        <f>IFERROR(_xlfn.XLOOKUP(ENTRADAS[[#This Row],[CODIGO]],LISTADO[CODIGOS],LISTADO[CATEGORIA]),"NO EXISTE")</f>
        <v/>
      </c>
      <c r="D700" s="18">
        <f>IFERROR(_xlfn.XLOOKUP(ENTRADAS[[#This Row],[CODIGO]],LISTADO[CODIGOS],LISTADO[PRODUCTOS]),"NO EXISTE")</f>
        <v/>
      </c>
      <c r="E700" s="19" t="n">
        <v>46083</v>
      </c>
      <c r="F700" s="18" t="n">
        <v>1</v>
      </c>
      <c r="G700" s="18" t="inlineStr">
        <is>
          <t>INGRESO</t>
        </is>
      </c>
      <c r="H700" s="18" t="n"/>
      <c r="I700" s="45" t="n"/>
      <c r="J700" s="77" t="n"/>
      <c r="K700" s="18" t="n"/>
    </row>
    <row r="701">
      <c r="B701" s="56" t="inlineStr">
        <is>
          <t>00009-ELE</t>
        </is>
      </c>
      <c r="C701" s="18">
        <f>IFERROR(_xlfn.XLOOKUP(ENTRADAS[[#This Row],[CODIGO]],LISTADO[CODIGOS],LISTADO[CATEGORIA]),"NO EXISTE")</f>
        <v/>
      </c>
      <c r="D701" s="18">
        <f>IFERROR(_xlfn.XLOOKUP(ENTRADAS[[#This Row],[CODIGO]],LISTADO[CODIGOS],LISTADO[PRODUCTOS]),"NO EXISTE")</f>
        <v/>
      </c>
      <c r="E701" s="19" t="n">
        <v>46083</v>
      </c>
      <c r="F701" s="18" t="n">
        <v>1</v>
      </c>
      <c r="G701" s="18" t="inlineStr">
        <is>
          <t>INGRESO</t>
        </is>
      </c>
      <c r="H701" s="18" t="n"/>
      <c r="I701" s="45" t="n"/>
      <c r="J701" s="77" t="n"/>
      <c r="K701" s="18" t="n"/>
    </row>
    <row r="702">
      <c r="B702" s="56" t="inlineStr">
        <is>
          <t>00077-REF</t>
        </is>
      </c>
      <c r="C702" s="18">
        <f>IFERROR(_xlfn.XLOOKUP(ENTRADAS[[#This Row],[CODIGO]],LISTADO[CODIGOS],LISTADO[CATEGORIA]),"NO EXISTE")</f>
        <v/>
      </c>
      <c r="D702" s="18">
        <f>IFERROR(_xlfn.XLOOKUP(ENTRADAS[[#This Row],[CODIGO]],LISTADO[CODIGOS],LISTADO[PRODUCTOS]),"NO EXISTE")</f>
        <v/>
      </c>
      <c r="E702" s="19" t="n">
        <v>46083</v>
      </c>
      <c r="F702" s="18" t="n">
        <v>1</v>
      </c>
      <c r="G702" s="18" t="inlineStr">
        <is>
          <t>INGRESO</t>
        </is>
      </c>
      <c r="H702" s="18" t="n"/>
      <c r="I702" s="45" t="n"/>
      <c r="J702" s="77" t="n"/>
      <c r="K702" s="18" t="n"/>
    </row>
    <row r="703">
      <c r="B703" s="56" t="inlineStr">
        <is>
          <t>00026-REF</t>
        </is>
      </c>
      <c r="C703" s="18">
        <f>IFERROR(_xlfn.XLOOKUP(ENTRADAS[[#This Row],[CODIGO]],LISTADO[CODIGOS],LISTADO[CATEGORIA]),"NO EXISTE")</f>
        <v/>
      </c>
      <c r="D703" s="18">
        <f>IFERROR(_xlfn.XLOOKUP(ENTRADAS[[#This Row],[CODIGO]],LISTADO[CODIGOS],LISTADO[PRODUCTOS]),"NO EXISTE")</f>
        <v/>
      </c>
      <c r="E703" s="19" t="n">
        <v>46083</v>
      </c>
      <c r="F703" s="18" t="n">
        <v>1</v>
      </c>
      <c r="G703" s="18" t="inlineStr">
        <is>
          <t>INGRESO</t>
        </is>
      </c>
      <c r="H703" s="18" t="n"/>
      <c r="I703" s="45" t="n"/>
      <c r="J703" s="77" t="n"/>
      <c r="K703" s="18" t="n"/>
    </row>
    <row r="704">
      <c r="B704" s="56" t="inlineStr">
        <is>
          <t>00042-PLM</t>
        </is>
      </c>
      <c r="C704" s="18">
        <f>IFERROR(_xlfn.XLOOKUP(ENTRADAS[[#This Row],[CODIGO]],LISTADO[CODIGOS],LISTADO[CATEGORIA]),"NO EXISTE")</f>
        <v/>
      </c>
      <c r="D704" s="18">
        <f>IFERROR(_xlfn.XLOOKUP(ENTRADAS[[#This Row],[CODIGO]],LISTADO[CODIGOS],LISTADO[PRODUCTOS]),"NO EXISTE")</f>
        <v/>
      </c>
      <c r="E704" s="19" t="n">
        <v>46083</v>
      </c>
      <c r="F704" s="18" t="n">
        <v>1</v>
      </c>
      <c r="G704" s="18" t="inlineStr">
        <is>
          <t>INGRESO</t>
        </is>
      </c>
      <c r="H704" s="18" t="n"/>
      <c r="I704" s="45" t="n"/>
      <c r="J704" s="77" t="n"/>
      <c r="K704" s="18" t="n"/>
    </row>
    <row r="705">
      <c r="B705" s="56" t="inlineStr">
        <is>
          <t>00117-FER</t>
        </is>
      </c>
      <c r="C705" s="18">
        <f>IFERROR(_xlfn.XLOOKUP(ENTRADAS[[#This Row],[CODIGO]],LISTADO[CODIGOS],LISTADO[CATEGORIA]),"NO EXISTE")</f>
        <v/>
      </c>
      <c r="D705" s="18">
        <f>IFERROR(_xlfn.XLOOKUP(ENTRADAS[[#This Row],[CODIGO]],LISTADO[CODIGOS],LISTADO[PRODUCTOS]),"NO EXISTE")</f>
        <v/>
      </c>
      <c r="E705" s="19" t="n">
        <v>46083</v>
      </c>
      <c r="F705" s="18" t="n">
        <v>1</v>
      </c>
      <c r="G705" s="18" t="inlineStr">
        <is>
          <t>INGRESO</t>
        </is>
      </c>
      <c r="H705" s="18" t="n"/>
      <c r="I705" s="45" t="n"/>
      <c r="J705" s="77" t="n"/>
      <c r="K705" s="18" t="n"/>
    </row>
    <row r="706">
      <c r="B706" s="56" t="inlineStr">
        <is>
          <t>00076-REF</t>
        </is>
      </c>
      <c r="C706" s="18">
        <f>IFERROR(_xlfn.XLOOKUP(ENTRADAS[[#This Row],[CODIGO]],LISTADO[CODIGOS],LISTADO[CATEGORIA]),"NO EXISTE")</f>
        <v/>
      </c>
      <c r="D706" s="18">
        <f>IFERROR(_xlfn.XLOOKUP(ENTRADAS[[#This Row],[CODIGO]],LISTADO[CODIGOS],LISTADO[PRODUCTOS]),"NO EXISTE")</f>
        <v/>
      </c>
      <c r="E706" s="19" t="n">
        <v>46084</v>
      </c>
      <c r="F706" s="18" t="n">
        <v>1</v>
      </c>
      <c r="G706" s="18" t="inlineStr">
        <is>
          <t>INGRESO</t>
        </is>
      </c>
      <c r="H706" s="18" t="n"/>
      <c r="I706" s="45" t="n"/>
      <c r="J706" s="77" t="n"/>
      <c r="K706" s="18" t="n"/>
    </row>
    <row r="707">
      <c r="B707" s="56" t="inlineStr">
        <is>
          <t>00052-FER</t>
        </is>
      </c>
      <c r="C707" s="18">
        <f>IFERROR(_xlfn.XLOOKUP(ENTRADAS[[#This Row],[CODIGO]],LISTADO[CODIGOS],LISTADO[CATEGORIA]),"NO EXISTE")</f>
        <v/>
      </c>
      <c r="D707" s="18">
        <f>IFERROR(_xlfn.XLOOKUP(ENTRADAS[[#This Row],[CODIGO]],LISTADO[CODIGOS],LISTADO[PRODUCTOS]),"NO EXISTE")</f>
        <v/>
      </c>
      <c r="E707" s="19" t="n">
        <v>46084</v>
      </c>
      <c r="F707" s="18" t="n">
        <v>4</v>
      </c>
      <c r="G707" s="18" t="inlineStr">
        <is>
          <t>INGRESO</t>
        </is>
      </c>
      <c r="H707" s="18" t="n"/>
      <c r="I707" s="45" t="n"/>
      <c r="J707" s="77" t="n"/>
      <c r="K707" s="18" t="n"/>
    </row>
    <row r="708">
      <c r="B708" s="56" t="inlineStr">
        <is>
          <t>00028-FER</t>
        </is>
      </c>
      <c r="C708" s="18">
        <f>IFERROR(_xlfn.XLOOKUP(ENTRADAS[[#This Row],[CODIGO]],LISTADO[CODIGOS],LISTADO[CATEGORIA]),"NO EXISTE")</f>
        <v/>
      </c>
      <c r="D708" s="18">
        <f>IFERROR(_xlfn.XLOOKUP(ENTRADAS[[#This Row],[CODIGO]],LISTADO[CODIGOS],LISTADO[PRODUCTOS]),"NO EXISTE")</f>
        <v/>
      </c>
      <c r="E708" s="19" t="n">
        <v>46084</v>
      </c>
      <c r="F708" s="18" t="n">
        <v>8</v>
      </c>
      <c r="G708" s="18" t="inlineStr">
        <is>
          <t>INGRESO</t>
        </is>
      </c>
      <c r="H708" s="18" t="n"/>
      <c r="I708" s="45" t="n"/>
      <c r="J708" s="77" t="n"/>
      <c r="K708" s="18" t="n"/>
    </row>
    <row r="709">
      <c r="B709" s="56" t="inlineStr">
        <is>
          <t>00108-FER</t>
        </is>
      </c>
      <c r="C709" s="18">
        <f>IFERROR(_xlfn.XLOOKUP(ENTRADAS[[#This Row],[CODIGO]],LISTADO[CODIGOS],LISTADO[CATEGORIA]),"NO EXISTE")</f>
        <v/>
      </c>
      <c r="D709" s="18">
        <f>IFERROR(_xlfn.XLOOKUP(ENTRADAS[[#This Row],[CODIGO]],LISTADO[CODIGOS],LISTADO[PRODUCTOS]),"NO EXISTE")</f>
        <v/>
      </c>
      <c r="E709" s="19" t="n">
        <v>46084</v>
      </c>
      <c r="F709" s="18" t="n">
        <v>2</v>
      </c>
      <c r="G709" s="18" t="inlineStr">
        <is>
          <t>INGRESO</t>
        </is>
      </c>
      <c r="H709" s="18" t="n"/>
      <c r="I709" s="45" t="n"/>
      <c r="J709" s="77" t="n"/>
      <c r="K709" s="18" t="n"/>
    </row>
    <row r="710">
      <c r="B710" s="56" t="inlineStr">
        <is>
          <t>00002-PLM</t>
        </is>
      </c>
      <c r="C710" s="18">
        <f>IFERROR(_xlfn.XLOOKUP(ENTRADAS[[#This Row],[CODIGO]],LISTADO[CODIGOS],LISTADO[CATEGORIA]),"NO EXISTE")</f>
        <v/>
      </c>
      <c r="D710" s="18">
        <f>IFERROR(_xlfn.XLOOKUP(ENTRADAS[[#This Row],[CODIGO]],LISTADO[CODIGOS],LISTADO[PRODUCTOS]),"NO EXISTE")</f>
        <v/>
      </c>
      <c r="E710" s="19" t="n">
        <v>46084</v>
      </c>
      <c r="F710" s="18" t="n">
        <v>2</v>
      </c>
      <c r="G710" s="18" t="inlineStr">
        <is>
          <t>INVENTARIO</t>
        </is>
      </c>
      <c r="H710" s="18" t="n"/>
      <c r="I710" s="45" t="n"/>
      <c r="J710" s="77" t="n"/>
      <c r="K710" s="18" t="n"/>
    </row>
    <row r="711">
      <c r="B711" s="56" t="inlineStr">
        <is>
          <t>00042-ELC</t>
        </is>
      </c>
      <c r="C711" s="18">
        <f>IFERROR(_xlfn.XLOOKUP(ENTRADAS[[#This Row],[CODIGO]],LISTADO[CODIGOS],LISTADO[CATEGORIA]),"NO EXISTE")</f>
        <v/>
      </c>
      <c r="D711" s="18">
        <f>IFERROR(_xlfn.XLOOKUP(ENTRADAS[[#This Row],[CODIGO]],LISTADO[CODIGOS],LISTADO[PRODUCTOS]),"NO EXISTE")</f>
        <v/>
      </c>
      <c r="E711" s="19" t="n">
        <v>46084</v>
      </c>
      <c r="F711" s="18" t="n">
        <v>1</v>
      </c>
      <c r="G711" s="18" t="inlineStr">
        <is>
          <t>INGRESO</t>
        </is>
      </c>
      <c r="H711" s="18" t="n"/>
      <c r="I711" s="45" t="n"/>
      <c r="J711" s="77" t="n"/>
      <c r="K711" s="18" t="n"/>
    </row>
    <row r="712">
      <c r="B712" s="56" t="inlineStr">
        <is>
          <t>00024-FER</t>
        </is>
      </c>
      <c r="C712" s="18">
        <f>IFERROR(_xlfn.XLOOKUP(ENTRADAS[[#This Row],[CODIGO]],LISTADO[CODIGOS],LISTADO[CATEGORIA]),"NO EXISTE")</f>
        <v/>
      </c>
      <c r="D712" s="18">
        <f>IFERROR(_xlfn.XLOOKUP(ENTRADAS[[#This Row],[CODIGO]],LISTADO[CODIGOS],LISTADO[PRODUCTOS]),"NO EXISTE")</f>
        <v/>
      </c>
      <c r="E712" s="19" t="n">
        <v>46084</v>
      </c>
      <c r="F712" s="18" t="n">
        <v>1</v>
      </c>
      <c r="G712" s="18" t="inlineStr">
        <is>
          <t>INGRESO</t>
        </is>
      </c>
      <c r="H712" s="18" t="n"/>
      <c r="I712" s="45" t="n"/>
      <c r="J712" s="77" t="n"/>
      <c r="K712" s="18" t="n"/>
    </row>
    <row r="713">
      <c r="B713" s="56" t="inlineStr">
        <is>
          <t>00074-FER</t>
        </is>
      </c>
      <c r="C713" s="18">
        <f>IFERROR(_xlfn.XLOOKUP(ENTRADAS[[#This Row],[CODIGO]],LISTADO[CODIGOS],LISTADO[CATEGORIA]),"NO EXISTE")</f>
        <v/>
      </c>
      <c r="D713" s="18">
        <f>IFERROR(_xlfn.XLOOKUP(ENTRADAS[[#This Row],[CODIGO]],LISTADO[CODIGOS],LISTADO[PRODUCTOS]),"NO EXISTE")</f>
        <v/>
      </c>
      <c r="E713" s="19" t="n">
        <v>46084</v>
      </c>
      <c r="F713" s="18" t="n">
        <v>6</v>
      </c>
      <c r="G713" s="18" t="inlineStr">
        <is>
          <t>INGRESO</t>
        </is>
      </c>
      <c r="H713" s="18" t="n"/>
      <c r="I713" s="45" t="n"/>
      <c r="J713" s="77" t="n"/>
      <c r="K713" s="18" t="n"/>
    </row>
    <row r="714">
      <c r="B714" s="56" t="inlineStr">
        <is>
          <t>00041-ELE</t>
        </is>
      </c>
      <c r="C714" s="18">
        <f>IFERROR(_xlfn.XLOOKUP(ENTRADAS[[#This Row],[CODIGO]],LISTADO[CODIGOS],LISTADO[CATEGORIA]),"NO EXISTE")</f>
        <v/>
      </c>
      <c r="D714" s="18">
        <f>IFERROR(_xlfn.XLOOKUP(ENTRADAS[[#This Row],[CODIGO]],LISTADO[CODIGOS],LISTADO[PRODUCTOS]),"NO EXISTE")</f>
        <v/>
      </c>
      <c r="E714" s="19" t="n">
        <v>46084</v>
      </c>
      <c r="F714" s="18" t="n">
        <v>5</v>
      </c>
      <c r="G714" s="18" t="inlineStr">
        <is>
          <t>INGRESO</t>
        </is>
      </c>
      <c r="H714" s="18" t="n"/>
      <c r="I714" s="45" t="n"/>
      <c r="J714" s="77" t="n"/>
      <c r="K714" s="18" t="n"/>
    </row>
    <row r="715">
      <c r="B715" s="56" t="inlineStr">
        <is>
          <t>00046-ELE</t>
        </is>
      </c>
      <c r="C715" s="18">
        <f>IFERROR(_xlfn.XLOOKUP(ENTRADAS[[#This Row],[CODIGO]],LISTADO[CODIGOS],LISTADO[CATEGORIA]),"NO EXISTE")</f>
        <v/>
      </c>
      <c r="D715" s="18">
        <f>IFERROR(_xlfn.XLOOKUP(ENTRADAS[[#This Row],[CODIGO]],LISTADO[CODIGOS],LISTADO[PRODUCTOS]),"NO EXISTE")</f>
        <v/>
      </c>
      <c r="E715" s="19" t="n">
        <v>46084</v>
      </c>
      <c r="F715" s="18" t="n">
        <v>5</v>
      </c>
      <c r="G715" s="18" t="inlineStr">
        <is>
          <t>INGRESO</t>
        </is>
      </c>
      <c r="H715" s="18" t="n"/>
      <c r="I715" s="45" t="n"/>
      <c r="J715" s="77" t="n"/>
      <c r="K715" s="18" t="n"/>
    </row>
    <row r="716">
      <c r="B716" s="56" t="inlineStr">
        <is>
          <t>00008-HRR</t>
        </is>
      </c>
      <c r="C716" s="18">
        <f>IFERROR(_xlfn.XLOOKUP(ENTRADAS[[#This Row],[CODIGO]],LISTADO[CODIGOS],LISTADO[CATEGORIA]),"NO EXISTE")</f>
        <v/>
      </c>
      <c r="D716" s="18">
        <f>IFERROR(_xlfn.XLOOKUP(ENTRADAS[[#This Row],[CODIGO]],LISTADO[CODIGOS],LISTADO[PRODUCTOS]),"NO EXISTE")</f>
        <v/>
      </c>
      <c r="E716" s="19" t="n">
        <v>46084</v>
      </c>
      <c r="F716" s="18" t="n">
        <v>10</v>
      </c>
      <c r="G716" s="18" t="inlineStr">
        <is>
          <t>INGRESO</t>
        </is>
      </c>
      <c r="H716" s="18" t="n"/>
      <c r="I716" s="45" t="n"/>
      <c r="J716" s="77" t="n"/>
      <c r="K716" s="18" t="n"/>
    </row>
    <row r="717">
      <c r="B717" s="56" t="inlineStr">
        <is>
          <t>00120-FER</t>
        </is>
      </c>
      <c r="C717" s="18">
        <f>IFERROR(_xlfn.XLOOKUP(ENTRADAS[[#This Row],[CODIGO]],LISTADO[CODIGOS],LISTADO[CATEGORIA]),"NO EXISTE")</f>
        <v/>
      </c>
      <c r="D717" s="18">
        <f>IFERROR(_xlfn.XLOOKUP(ENTRADAS[[#This Row],[CODIGO]],LISTADO[CODIGOS],LISTADO[PRODUCTOS]),"NO EXISTE")</f>
        <v/>
      </c>
      <c r="E717" s="19" t="n">
        <v>46084</v>
      </c>
      <c r="F717" s="18" t="n">
        <v>10</v>
      </c>
      <c r="G717" s="18" t="inlineStr">
        <is>
          <t>INGRESO</t>
        </is>
      </c>
      <c r="H717" s="18" t="n"/>
      <c r="I717" s="45" t="n"/>
      <c r="J717" s="77" t="n"/>
      <c r="K717" s="18" t="n"/>
    </row>
    <row r="718">
      <c r="B718" s="56" t="inlineStr">
        <is>
          <t>00107-HER</t>
        </is>
      </c>
      <c r="C718" s="18">
        <f>IFERROR(_xlfn.XLOOKUP(ENTRADAS[[#This Row],[CODIGO]],LISTADO[CODIGOS],LISTADO[CATEGORIA]),"NO EXISTE")</f>
        <v/>
      </c>
      <c r="D718" s="18">
        <f>IFERROR(_xlfn.XLOOKUP(ENTRADAS[[#This Row],[CODIGO]],LISTADO[CODIGOS],LISTADO[PRODUCTOS]),"NO EXISTE")</f>
        <v/>
      </c>
      <c r="E718" s="19" t="n">
        <v>46084</v>
      </c>
      <c r="F718" s="18" t="n">
        <v>2</v>
      </c>
      <c r="G718" s="18" t="inlineStr">
        <is>
          <t>INGRESO</t>
        </is>
      </c>
      <c r="H718" s="18" t="n"/>
      <c r="I718" s="45" t="n"/>
      <c r="J718" s="77" t="n"/>
      <c r="K718" s="18" t="n"/>
    </row>
    <row r="719">
      <c r="B719" s="56" t="inlineStr">
        <is>
          <t>00042-PLM</t>
        </is>
      </c>
      <c r="C719" s="18">
        <f>IFERROR(_xlfn.XLOOKUP(ENTRADAS[[#This Row],[CODIGO]],LISTADO[CODIGOS],LISTADO[CATEGORIA]),"NO EXISTE")</f>
        <v/>
      </c>
      <c r="D719" s="18">
        <f>IFERROR(_xlfn.XLOOKUP(ENTRADAS[[#This Row],[CODIGO]],LISTADO[CODIGOS],LISTADO[PRODUCTOS]),"NO EXISTE")</f>
        <v/>
      </c>
      <c r="E719" s="19" t="n">
        <v>46084</v>
      </c>
      <c r="F719" s="18" t="n">
        <v>3</v>
      </c>
      <c r="G719" s="18" t="inlineStr">
        <is>
          <t>INGRESO</t>
        </is>
      </c>
      <c r="H719" s="18" t="n"/>
      <c r="I719" s="45" t="n"/>
      <c r="J719" s="77" t="n"/>
      <c r="K719" s="18" t="n"/>
    </row>
    <row r="720">
      <c r="B720" s="56" t="inlineStr">
        <is>
          <t>00121-FER</t>
        </is>
      </c>
      <c r="C720" s="18">
        <f>IFERROR(_xlfn.XLOOKUP(ENTRADAS[[#This Row],[CODIGO]],LISTADO[CODIGOS],LISTADO[CATEGORIA]),"NO EXISTE")</f>
        <v/>
      </c>
      <c r="D720" s="18">
        <f>IFERROR(_xlfn.XLOOKUP(ENTRADAS[[#This Row],[CODIGO]],LISTADO[CODIGOS],LISTADO[PRODUCTOS]),"NO EXISTE")</f>
        <v/>
      </c>
      <c r="E720" s="19" t="n">
        <v>46084</v>
      </c>
      <c r="F720" s="18" t="n">
        <v>6</v>
      </c>
      <c r="G720" s="18" t="inlineStr">
        <is>
          <t>INGRESO</t>
        </is>
      </c>
      <c r="H720" s="18" t="n"/>
      <c r="I720" s="45" t="n"/>
      <c r="J720" s="77" t="n"/>
      <c r="K720" s="18" t="n"/>
    </row>
    <row r="721">
      <c r="B721" s="56" t="inlineStr">
        <is>
          <t>00043-PLM</t>
        </is>
      </c>
      <c r="C721" s="18">
        <f>IFERROR(_xlfn.XLOOKUP(ENTRADAS[[#This Row],[CODIGO]],LISTADO[CODIGOS],LISTADO[CATEGORIA]),"NO EXISTE")</f>
        <v/>
      </c>
      <c r="D721" s="18">
        <f>IFERROR(_xlfn.XLOOKUP(ENTRADAS[[#This Row],[CODIGO]],LISTADO[CODIGOS],LISTADO[PRODUCTOS]),"NO EXISTE")</f>
        <v/>
      </c>
      <c r="E721" s="19" t="n">
        <v>46084</v>
      </c>
      <c r="F721" s="18" t="n">
        <v>1</v>
      </c>
      <c r="G721" s="18" t="inlineStr">
        <is>
          <t>INGRESO</t>
        </is>
      </c>
      <c r="H721" s="18" t="n"/>
      <c r="I721" s="45" t="n"/>
      <c r="J721" s="77" t="n"/>
      <c r="K721" s="18" t="n"/>
    </row>
    <row r="722">
      <c r="B722" s="56" t="inlineStr">
        <is>
          <t>00042-PLM</t>
        </is>
      </c>
      <c r="C722" s="18">
        <f>IFERROR(_xlfn.XLOOKUP(ENTRADAS[[#This Row],[CODIGO]],LISTADO[CODIGOS],LISTADO[CATEGORIA]),"NO EXISTE")</f>
        <v/>
      </c>
      <c r="D722" s="18">
        <f>IFERROR(_xlfn.XLOOKUP(ENTRADAS[[#This Row],[CODIGO]],LISTADO[CODIGOS],LISTADO[PRODUCTOS]),"NO EXISTE")</f>
        <v/>
      </c>
      <c r="E722" s="19" t="n">
        <v>46084</v>
      </c>
      <c r="F722" s="18" t="n">
        <v>1</v>
      </c>
      <c r="G722" s="18" t="inlineStr">
        <is>
          <t>DEVOLUCION</t>
        </is>
      </c>
      <c r="H722" s="18" t="n"/>
      <c r="I722" s="45" t="n"/>
      <c r="J722" s="77" t="n"/>
      <c r="K722" s="18" t="n"/>
    </row>
    <row r="723">
      <c r="B723" s="56" t="inlineStr">
        <is>
          <t>00030-FER</t>
        </is>
      </c>
      <c r="C723" s="18">
        <f>IFERROR(_xlfn.XLOOKUP(ENTRADAS[[#This Row],[CODIGO]],LISTADO[CODIGOS],LISTADO[CATEGORIA]),"NO EXISTE")</f>
        <v/>
      </c>
      <c r="D723" s="18">
        <f>IFERROR(_xlfn.XLOOKUP(ENTRADAS[[#This Row],[CODIGO]],LISTADO[CODIGOS],LISTADO[PRODUCTOS]),"NO EXISTE")</f>
        <v/>
      </c>
      <c r="E723" s="19" t="n">
        <v>46085</v>
      </c>
      <c r="F723" s="18" t="n">
        <v>1.25</v>
      </c>
      <c r="G723" s="18" t="inlineStr">
        <is>
          <t>DEVOLUCION</t>
        </is>
      </c>
      <c r="H723" s="18" t="n"/>
      <c r="I723" s="45" t="n"/>
      <c r="J723" s="77" t="n"/>
      <c r="K723" s="18" t="n"/>
    </row>
    <row r="724">
      <c r="B724" s="56" t="inlineStr">
        <is>
          <t>00027-FER</t>
        </is>
      </c>
      <c r="C724" s="18">
        <f>IFERROR(_xlfn.XLOOKUP(ENTRADAS[[#This Row],[CODIGO]],LISTADO[CODIGOS],LISTADO[CATEGORIA]),"NO EXISTE")</f>
        <v/>
      </c>
      <c r="D724" s="18">
        <f>IFERROR(_xlfn.XLOOKUP(ENTRADAS[[#This Row],[CODIGO]],LISTADO[CODIGOS],LISTADO[PRODUCTOS]),"NO EXISTE")</f>
        <v/>
      </c>
      <c r="E724" s="19" t="n">
        <v>46085</v>
      </c>
      <c r="F724" s="18" t="n">
        <v>2</v>
      </c>
      <c r="G724" s="18" t="inlineStr">
        <is>
          <t>DEVOLUCION</t>
        </is>
      </c>
      <c r="H724" s="18" t="n"/>
      <c r="I724" s="45" t="n"/>
      <c r="J724" s="77" t="n"/>
      <c r="K724" s="18" t="n"/>
    </row>
    <row r="725">
      <c r="B725" s="56" t="inlineStr">
        <is>
          <t>00039-FER</t>
        </is>
      </c>
      <c r="C725" s="18">
        <f>IFERROR(_xlfn.XLOOKUP(ENTRADAS[[#This Row],[CODIGO]],LISTADO[CODIGOS],LISTADO[CATEGORIA]),"NO EXISTE")</f>
        <v/>
      </c>
      <c r="D725" s="18">
        <f>IFERROR(_xlfn.XLOOKUP(ENTRADAS[[#This Row],[CODIGO]],LISTADO[CODIGOS],LISTADO[PRODUCTOS]),"NO EXISTE")</f>
        <v/>
      </c>
      <c r="E725" s="19" t="n">
        <v>46085</v>
      </c>
      <c r="F725" s="18" t="n">
        <v>2.5</v>
      </c>
      <c r="G725" s="18" t="inlineStr">
        <is>
          <t>DEVOLUCION</t>
        </is>
      </c>
      <c r="H725" s="18" t="n"/>
      <c r="I725" s="45" t="n"/>
      <c r="J725" s="77" t="n"/>
      <c r="K725" s="18" t="n"/>
    </row>
    <row r="726">
      <c r="B726" s="56" t="inlineStr">
        <is>
          <t>00022-HRR</t>
        </is>
      </c>
      <c r="C726" s="18">
        <f>IFERROR(_xlfn.XLOOKUP(ENTRADAS[[#This Row],[CODIGO]],LISTADO[CODIGOS],LISTADO[CATEGORIA]),"NO EXISTE")</f>
        <v/>
      </c>
      <c r="D726" s="18">
        <f>IFERROR(_xlfn.XLOOKUP(ENTRADAS[[#This Row],[CODIGO]],LISTADO[CODIGOS],LISTADO[PRODUCTOS]),"NO EXISTE")</f>
        <v/>
      </c>
      <c r="E726" s="19" t="n">
        <v>46085</v>
      </c>
      <c r="F726" s="18" t="n">
        <v>2</v>
      </c>
      <c r="G726" s="18" t="inlineStr">
        <is>
          <t>INGRESO</t>
        </is>
      </c>
      <c r="H726" s="18" t="n"/>
      <c r="I726" s="45" t="n"/>
      <c r="J726" s="77" t="n"/>
      <c r="K726" s="18" t="n"/>
    </row>
    <row r="727">
      <c r="B727" s="56" t="inlineStr">
        <is>
          <t>00023-HRR</t>
        </is>
      </c>
      <c r="C727" s="18">
        <f>IFERROR(_xlfn.XLOOKUP(ENTRADAS[[#This Row],[CODIGO]],LISTADO[CODIGOS],LISTADO[CATEGORIA]),"NO EXISTE")</f>
        <v/>
      </c>
      <c r="D727" s="18">
        <f>IFERROR(_xlfn.XLOOKUP(ENTRADAS[[#This Row],[CODIGO]],LISTADO[CODIGOS],LISTADO[PRODUCTOS]),"NO EXISTE")</f>
        <v/>
      </c>
      <c r="E727" s="19" t="n">
        <v>46085</v>
      </c>
      <c r="F727" s="18" t="n">
        <v>6</v>
      </c>
      <c r="G727" s="18" t="inlineStr">
        <is>
          <t>INGRESO</t>
        </is>
      </c>
      <c r="H727" s="18" t="n"/>
      <c r="I727" s="45" t="n"/>
      <c r="J727" s="77" t="n"/>
      <c r="K727" s="18" t="n"/>
    </row>
    <row r="728">
      <c r="B728" s="56" t="inlineStr">
        <is>
          <t>00024-HRR</t>
        </is>
      </c>
      <c r="C728" s="18">
        <f>IFERROR(_xlfn.XLOOKUP(ENTRADAS[[#This Row],[CODIGO]],LISTADO[CODIGOS],LISTADO[CATEGORIA]),"NO EXISTE")</f>
        <v/>
      </c>
      <c r="D728" s="18">
        <f>IFERROR(_xlfn.XLOOKUP(ENTRADAS[[#This Row],[CODIGO]],LISTADO[CODIGOS],LISTADO[PRODUCTOS]),"NO EXISTE")</f>
        <v/>
      </c>
      <c r="E728" s="19" t="n">
        <v>46085</v>
      </c>
      <c r="F728" s="18" t="n">
        <v>1</v>
      </c>
      <c r="G728" s="18" t="inlineStr">
        <is>
          <t>INGRESO</t>
        </is>
      </c>
      <c r="H728" s="18" t="n"/>
      <c r="I728" s="45" t="n"/>
      <c r="J728" s="77" t="n"/>
      <c r="K728" s="18" t="n"/>
    </row>
    <row r="729">
      <c r="B729" s="56" t="inlineStr">
        <is>
          <t>00025-HRR</t>
        </is>
      </c>
      <c r="C729" s="18">
        <f>IFERROR(_xlfn.XLOOKUP(ENTRADAS[[#This Row],[CODIGO]],LISTADO[CODIGOS],LISTADO[CATEGORIA]),"NO EXISTE")</f>
        <v/>
      </c>
      <c r="D729" s="18">
        <f>IFERROR(_xlfn.XLOOKUP(ENTRADAS[[#This Row],[CODIGO]],LISTADO[CODIGOS],LISTADO[PRODUCTOS]),"NO EXISTE")</f>
        <v/>
      </c>
      <c r="E729" s="19" t="n">
        <v>46085</v>
      </c>
      <c r="F729" s="18" t="n">
        <v>4</v>
      </c>
      <c r="G729" s="18" t="inlineStr">
        <is>
          <t>INGRESO</t>
        </is>
      </c>
      <c r="H729" s="18" t="n"/>
      <c r="I729" s="45" t="n"/>
      <c r="J729" s="77" t="n"/>
      <c r="K729" s="18" t="n"/>
    </row>
    <row r="730">
      <c r="B730" s="56" t="inlineStr">
        <is>
          <t>00026-HRR</t>
        </is>
      </c>
      <c r="C730" s="18">
        <f>IFERROR(_xlfn.XLOOKUP(ENTRADAS[[#This Row],[CODIGO]],LISTADO[CODIGOS],LISTADO[CATEGORIA]),"NO EXISTE")</f>
        <v/>
      </c>
      <c r="D730" s="18">
        <f>IFERROR(_xlfn.XLOOKUP(ENTRADAS[[#This Row],[CODIGO]],LISTADO[CODIGOS],LISTADO[PRODUCTOS]),"NO EXISTE")</f>
        <v/>
      </c>
      <c r="E730" s="19" t="n">
        <v>46085</v>
      </c>
      <c r="F730" s="18" t="n">
        <v>1</v>
      </c>
      <c r="G730" s="18" t="inlineStr">
        <is>
          <t>INGRESO</t>
        </is>
      </c>
      <c r="H730" s="18" t="n"/>
      <c r="I730" s="45" t="n"/>
      <c r="J730" s="77" t="n"/>
      <c r="K730" s="18" t="n"/>
    </row>
    <row r="731">
      <c r="B731" s="56" t="inlineStr">
        <is>
          <t>00027-HRR</t>
        </is>
      </c>
      <c r="C731" s="18">
        <f>IFERROR(_xlfn.XLOOKUP(ENTRADAS[[#This Row],[CODIGO]],LISTADO[CODIGOS],LISTADO[CATEGORIA]),"NO EXISTE")</f>
        <v/>
      </c>
      <c r="D731" s="18">
        <f>IFERROR(_xlfn.XLOOKUP(ENTRADAS[[#This Row],[CODIGO]],LISTADO[CODIGOS],LISTADO[PRODUCTOS]),"NO EXISTE")</f>
        <v/>
      </c>
      <c r="E731" s="19" t="n">
        <v>46085</v>
      </c>
      <c r="F731" s="18" t="n">
        <v>1</v>
      </c>
      <c r="G731" s="18" t="inlineStr">
        <is>
          <t>INGRESO</t>
        </is>
      </c>
      <c r="H731" s="18" t="n"/>
      <c r="I731" s="45" t="n"/>
      <c r="J731" s="77" t="n"/>
      <c r="K731" s="18" t="n"/>
    </row>
    <row r="732">
      <c r="B732" s="56" t="inlineStr">
        <is>
          <t>00028-HRR</t>
        </is>
      </c>
      <c r="C732" s="18">
        <f>IFERROR(_xlfn.XLOOKUP(ENTRADAS[[#This Row],[CODIGO]],LISTADO[CODIGOS],LISTADO[CATEGORIA]),"NO EXISTE")</f>
        <v/>
      </c>
      <c r="D732" s="18">
        <f>IFERROR(_xlfn.XLOOKUP(ENTRADAS[[#This Row],[CODIGO]],LISTADO[CODIGOS],LISTADO[PRODUCTOS]),"NO EXISTE")</f>
        <v/>
      </c>
      <c r="E732" s="19" t="n">
        <v>46085</v>
      </c>
      <c r="F732" s="18" t="n">
        <v>1</v>
      </c>
      <c r="G732" s="18" t="inlineStr">
        <is>
          <t>INGRESO</t>
        </is>
      </c>
      <c r="H732" s="18" t="n"/>
      <c r="I732" s="45" t="n"/>
      <c r="J732" s="77" t="n"/>
      <c r="K732" s="18" t="n"/>
    </row>
    <row r="733">
      <c r="B733" s="56" t="inlineStr">
        <is>
          <t>00029-HRR</t>
        </is>
      </c>
      <c r="C733" s="18">
        <f>IFERROR(_xlfn.XLOOKUP(ENTRADAS[[#This Row],[CODIGO]],LISTADO[CODIGOS],LISTADO[CATEGORIA]),"NO EXISTE")</f>
        <v/>
      </c>
      <c r="D733" s="18">
        <f>IFERROR(_xlfn.XLOOKUP(ENTRADAS[[#This Row],[CODIGO]],LISTADO[CODIGOS],LISTADO[PRODUCTOS]),"NO EXISTE")</f>
        <v/>
      </c>
      <c r="E733" s="19" t="n">
        <v>46085</v>
      </c>
      <c r="F733" s="18" t="n">
        <v>1</v>
      </c>
      <c r="G733" s="18" t="inlineStr">
        <is>
          <t>INGRESO</t>
        </is>
      </c>
      <c r="H733" s="18" t="n"/>
      <c r="I733" s="45" t="n"/>
      <c r="J733" s="77" t="n"/>
      <c r="K733" s="18" t="n"/>
    </row>
    <row r="734">
      <c r="B734" s="56" t="inlineStr">
        <is>
          <t>00030-HRR</t>
        </is>
      </c>
      <c r="C734" s="18">
        <f>IFERROR(_xlfn.XLOOKUP(ENTRADAS[[#This Row],[CODIGO]],LISTADO[CODIGOS],LISTADO[CATEGORIA]),"NO EXISTE")</f>
        <v/>
      </c>
      <c r="D734" s="18">
        <f>IFERROR(_xlfn.XLOOKUP(ENTRADAS[[#This Row],[CODIGO]],LISTADO[CODIGOS],LISTADO[PRODUCTOS]),"NO EXISTE")</f>
        <v/>
      </c>
      <c r="E734" s="19" t="n">
        <v>46085</v>
      </c>
      <c r="F734" s="18" t="n">
        <v>1</v>
      </c>
      <c r="G734" s="18" t="inlineStr">
        <is>
          <t>INGRESO</t>
        </is>
      </c>
      <c r="H734" s="18" t="n"/>
      <c r="I734" s="45" t="n"/>
      <c r="J734" s="77" t="n"/>
      <c r="K734" s="18" t="n"/>
    </row>
    <row r="735">
      <c r="B735" s="56" t="inlineStr">
        <is>
          <t>00014-HRR</t>
        </is>
      </c>
      <c r="C735" s="18">
        <f>IFERROR(_xlfn.XLOOKUP(ENTRADAS[[#This Row],[CODIGO]],LISTADO[CODIGOS],LISTADO[CATEGORIA]),"NO EXISTE")</f>
        <v/>
      </c>
      <c r="D735" s="18">
        <f>IFERROR(_xlfn.XLOOKUP(ENTRADAS[[#This Row],[CODIGO]],LISTADO[CODIGOS],LISTADO[PRODUCTOS]),"NO EXISTE")</f>
        <v/>
      </c>
      <c r="E735" s="19" t="n">
        <v>46085</v>
      </c>
      <c r="F735" s="18" t="n">
        <v>1</v>
      </c>
      <c r="G735" s="18" t="inlineStr">
        <is>
          <t>INGRESO</t>
        </is>
      </c>
      <c r="H735" s="18" t="n"/>
      <c r="I735" s="45" t="n"/>
      <c r="J735" s="77" t="n"/>
      <c r="K735" s="18" t="n"/>
    </row>
    <row r="736">
      <c r="B736" s="56" t="inlineStr">
        <is>
          <t>00106-HER</t>
        </is>
      </c>
      <c r="C736" s="18">
        <f>IFERROR(_xlfn.XLOOKUP(ENTRADAS[[#This Row],[CODIGO]],LISTADO[CODIGOS],LISTADO[CATEGORIA]),"NO EXISTE")</f>
        <v/>
      </c>
      <c r="D736" s="18">
        <f>IFERROR(_xlfn.XLOOKUP(ENTRADAS[[#This Row],[CODIGO]],LISTADO[CODIGOS],LISTADO[PRODUCTOS]),"NO EXISTE")</f>
        <v/>
      </c>
      <c r="E736" s="19" t="n">
        <v>46085</v>
      </c>
      <c r="F736" s="18" t="n">
        <v>1</v>
      </c>
      <c r="G736" s="18" t="inlineStr">
        <is>
          <t>INGRESO</t>
        </is>
      </c>
      <c r="H736" s="18" t="n"/>
      <c r="I736" s="45" t="n"/>
      <c r="J736" s="77" t="n"/>
      <c r="K736" s="18" t="n"/>
    </row>
    <row r="737">
      <c r="B737" s="56" t="inlineStr">
        <is>
          <t>00041-ELE</t>
        </is>
      </c>
      <c r="C737" s="18">
        <f>IFERROR(_xlfn.XLOOKUP(ENTRADAS[[#This Row],[CODIGO]],LISTADO[CODIGOS],LISTADO[CATEGORIA]),"NO EXISTE")</f>
        <v/>
      </c>
      <c r="D737" s="18">
        <f>IFERROR(_xlfn.XLOOKUP(ENTRADAS[[#This Row],[CODIGO]],LISTADO[CODIGOS],LISTADO[PRODUCTOS]),"NO EXISTE")</f>
        <v/>
      </c>
      <c r="E737" s="19" t="n">
        <v>46085</v>
      </c>
      <c r="F737" s="18" t="n">
        <v>5</v>
      </c>
      <c r="G737" s="18" t="inlineStr">
        <is>
          <t>INGRESO</t>
        </is>
      </c>
      <c r="H737" s="18" t="n"/>
      <c r="I737" s="45" t="n"/>
      <c r="J737" s="77" t="n"/>
      <c r="K737" s="18" t="n"/>
    </row>
    <row r="738">
      <c r="B738" s="56" t="inlineStr">
        <is>
          <t>00046-ELE</t>
        </is>
      </c>
      <c r="C738" s="18">
        <f>IFERROR(_xlfn.XLOOKUP(ENTRADAS[[#This Row],[CODIGO]],LISTADO[CODIGOS],LISTADO[CATEGORIA]),"NO EXISTE")</f>
        <v/>
      </c>
      <c r="D738" s="18">
        <f>IFERROR(_xlfn.XLOOKUP(ENTRADAS[[#This Row],[CODIGO]],LISTADO[CODIGOS],LISTADO[PRODUCTOS]),"NO EXISTE")</f>
        <v/>
      </c>
      <c r="E738" s="19" t="n">
        <v>46085</v>
      </c>
      <c r="F738" s="18" t="n">
        <v>5</v>
      </c>
      <c r="G738" s="18" t="inlineStr">
        <is>
          <t>INGRESO</t>
        </is>
      </c>
      <c r="H738" s="18" t="n"/>
      <c r="I738" s="45" t="n"/>
      <c r="J738" s="77" t="n"/>
      <c r="K738" s="18" t="n"/>
    </row>
    <row r="739">
      <c r="B739" s="56" t="inlineStr">
        <is>
          <t>00026-HRR</t>
        </is>
      </c>
      <c r="C739" s="18">
        <f>IFERROR(_xlfn.XLOOKUP(ENTRADAS[[#This Row],[CODIGO]],LISTADO[CODIGOS],LISTADO[CATEGORIA]),"NO EXISTE")</f>
        <v/>
      </c>
      <c r="D739" s="18">
        <f>IFERROR(_xlfn.XLOOKUP(ENTRADAS[[#This Row],[CODIGO]],LISTADO[CODIGOS],LISTADO[PRODUCTOS]),"NO EXISTE")</f>
        <v/>
      </c>
      <c r="E739" s="19" t="n">
        <v>46085</v>
      </c>
      <c r="F739" s="18" t="n">
        <v>1</v>
      </c>
      <c r="G739" s="18" t="inlineStr">
        <is>
          <t>INGRESO</t>
        </is>
      </c>
      <c r="H739" s="18" t="n"/>
      <c r="I739" s="45" t="n"/>
      <c r="J739" s="77" t="n"/>
      <c r="K739" s="18" t="n"/>
    </row>
    <row r="740">
      <c r="B740" s="56" t="inlineStr">
        <is>
          <t>00028-HRR</t>
        </is>
      </c>
      <c r="C740" s="18">
        <f>IFERROR(_xlfn.XLOOKUP(ENTRADAS[[#This Row],[CODIGO]],LISTADO[CODIGOS],LISTADO[CATEGORIA]),"NO EXISTE")</f>
        <v/>
      </c>
      <c r="D740" s="18">
        <f>IFERROR(_xlfn.XLOOKUP(ENTRADAS[[#This Row],[CODIGO]],LISTADO[CODIGOS],LISTADO[PRODUCTOS]),"NO EXISTE")</f>
        <v/>
      </c>
      <c r="E740" s="19" t="n">
        <v>46085</v>
      </c>
      <c r="F740" s="18" t="n">
        <v>1</v>
      </c>
      <c r="G740" s="18" t="inlineStr">
        <is>
          <t>INGRESO</t>
        </is>
      </c>
      <c r="H740" s="18" t="n"/>
      <c r="I740" s="45" t="n"/>
      <c r="J740" s="77" t="n"/>
      <c r="K740" s="18" t="n"/>
    </row>
    <row r="741">
      <c r="B741" s="56" t="inlineStr">
        <is>
          <t>00027-HRR</t>
        </is>
      </c>
      <c r="C741" s="18">
        <f>IFERROR(_xlfn.XLOOKUP(ENTRADAS[[#This Row],[CODIGO]],LISTADO[CODIGOS],LISTADO[CATEGORIA]),"NO EXISTE")</f>
        <v/>
      </c>
      <c r="D741" s="18">
        <f>IFERROR(_xlfn.XLOOKUP(ENTRADAS[[#This Row],[CODIGO]],LISTADO[CODIGOS],LISTADO[PRODUCTOS]),"NO EXISTE")</f>
        <v/>
      </c>
      <c r="E741" s="19" t="n">
        <v>46085</v>
      </c>
      <c r="F741" s="18" t="n">
        <v>1</v>
      </c>
      <c r="G741" s="18" t="inlineStr">
        <is>
          <t>INGRESO</t>
        </is>
      </c>
      <c r="H741" s="18" t="n"/>
      <c r="I741" s="45" t="n"/>
      <c r="J741" s="77" t="n"/>
      <c r="K741" s="18" t="n"/>
    </row>
    <row r="742">
      <c r="B742" s="56" t="inlineStr">
        <is>
          <t>00030-HRR</t>
        </is>
      </c>
      <c r="C742" s="18">
        <f>IFERROR(_xlfn.XLOOKUP(ENTRADAS[[#This Row],[CODIGO]],LISTADO[CODIGOS],LISTADO[CATEGORIA]),"NO EXISTE")</f>
        <v/>
      </c>
      <c r="D742" s="18">
        <f>IFERROR(_xlfn.XLOOKUP(ENTRADAS[[#This Row],[CODIGO]],LISTADO[CODIGOS],LISTADO[PRODUCTOS]),"NO EXISTE")</f>
        <v/>
      </c>
      <c r="E742" s="19" t="n">
        <v>46085</v>
      </c>
      <c r="F742" s="18" t="n">
        <v>1</v>
      </c>
      <c r="G742" s="18" t="inlineStr">
        <is>
          <t>INGRESO</t>
        </is>
      </c>
      <c r="H742" s="18" t="n"/>
      <c r="I742" s="45" t="n"/>
      <c r="J742" s="77" t="n"/>
      <c r="K742" s="18" t="n"/>
    </row>
    <row r="743">
      <c r="B743" s="56" t="inlineStr">
        <is>
          <t>00119-FER</t>
        </is>
      </c>
      <c r="C743" s="18">
        <f>IFERROR(_xlfn.XLOOKUP(ENTRADAS[[#This Row],[CODIGO]],LISTADO[CODIGOS],LISTADO[CATEGORIA]),"NO EXISTE")</f>
        <v/>
      </c>
      <c r="D743" s="18">
        <f>IFERROR(_xlfn.XLOOKUP(ENTRADAS[[#This Row],[CODIGO]],LISTADO[CODIGOS],LISTADO[PRODUCTOS]),"NO EXISTE")</f>
        <v/>
      </c>
      <c r="E743" s="19" t="n">
        <v>46085</v>
      </c>
      <c r="F743" s="18" t="n">
        <v>4</v>
      </c>
      <c r="G743" s="18" t="inlineStr">
        <is>
          <t>INGRESO</t>
        </is>
      </c>
      <c r="H743" s="18" t="n"/>
      <c r="I743" s="45" t="n"/>
      <c r="J743" s="77" t="n"/>
      <c r="K743" s="18" t="n"/>
    </row>
    <row r="744">
      <c r="B744" s="56" t="inlineStr">
        <is>
          <t>00031-HRR</t>
        </is>
      </c>
      <c r="C744" s="18">
        <f>IFERROR(_xlfn.XLOOKUP(ENTRADAS[[#This Row],[CODIGO]],LISTADO[CODIGOS],LISTADO[CATEGORIA]),"NO EXISTE")</f>
        <v/>
      </c>
      <c r="D744" s="18">
        <f>IFERROR(_xlfn.XLOOKUP(ENTRADAS[[#This Row],[CODIGO]],LISTADO[CODIGOS],LISTADO[PRODUCTOS]),"NO EXISTE")</f>
        <v/>
      </c>
      <c r="E744" s="19" t="n">
        <v>46085</v>
      </c>
      <c r="F744" s="18" t="n">
        <v>1</v>
      </c>
      <c r="G744" s="18" t="inlineStr">
        <is>
          <t>INGRESO</t>
        </is>
      </c>
      <c r="H744" s="18" t="n"/>
      <c r="I744" s="45" t="n"/>
      <c r="J744" s="77" t="n"/>
      <c r="K744" s="18" t="n"/>
    </row>
    <row r="745">
      <c r="B745" s="56" t="inlineStr">
        <is>
          <t>00047-ELE</t>
        </is>
      </c>
      <c r="C745" s="18">
        <f>IFERROR(_xlfn.XLOOKUP(ENTRADAS[[#This Row],[CODIGO]],LISTADO[CODIGOS],LISTADO[CATEGORIA]),"NO EXISTE")</f>
        <v/>
      </c>
      <c r="D745" s="18">
        <f>IFERROR(_xlfn.XLOOKUP(ENTRADAS[[#This Row],[CODIGO]],LISTADO[CODIGOS],LISTADO[PRODUCTOS]),"NO EXISTE")</f>
        <v/>
      </c>
      <c r="E745" s="19" t="n">
        <v>46085</v>
      </c>
      <c r="F745" s="18" t="n">
        <v>1</v>
      </c>
      <c r="G745" s="18" t="inlineStr">
        <is>
          <t>INGRESO</t>
        </is>
      </c>
      <c r="H745" s="18" t="n"/>
      <c r="I745" s="45" t="n"/>
      <c r="J745" s="77" t="n"/>
      <c r="K745" s="18" t="n"/>
    </row>
    <row r="746">
      <c r="B746" s="56" t="inlineStr">
        <is>
          <t>00048-ELE</t>
        </is>
      </c>
      <c r="C746" s="18">
        <f>IFERROR(_xlfn.XLOOKUP(ENTRADAS[[#This Row],[CODIGO]],LISTADO[CODIGOS],LISTADO[CATEGORIA]),"NO EXISTE")</f>
        <v/>
      </c>
      <c r="D746" s="18">
        <f>IFERROR(_xlfn.XLOOKUP(ENTRADAS[[#This Row],[CODIGO]],LISTADO[CODIGOS],LISTADO[PRODUCTOS]),"NO EXISTE")</f>
        <v/>
      </c>
      <c r="E746" s="19" t="n">
        <v>46085</v>
      </c>
      <c r="F746" s="18" t="n">
        <v>3</v>
      </c>
      <c r="G746" s="18" t="inlineStr">
        <is>
          <t>INGRESO</t>
        </is>
      </c>
      <c r="H746" s="18" t="n"/>
      <c r="I746" s="45" t="n"/>
      <c r="J746" s="77" t="n"/>
      <c r="K746" s="18" t="n"/>
    </row>
    <row r="747">
      <c r="B747" s="56" t="inlineStr">
        <is>
          <t>00049-ELE</t>
        </is>
      </c>
      <c r="C747" s="18">
        <f>IFERROR(_xlfn.XLOOKUP(ENTRADAS[[#This Row],[CODIGO]],LISTADO[CODIGOS],LISTADO[CATEGORIA]),"NO EXISTE")</f>
        <v/>
      </c>
      <c r="D747" s="18">
        <f>IFERROR(_xlfn.XLOOKUP(ENTRADAS[[#This Row],[CODIGO]],LISTADO[CODIGOS],LISTADO[PRODUCTOS]),"NO EXISTE")</f>
        <v/>
      </c>
      <c r="E747" s="19" t="n">
        <v>46085</v>
      </c>
      <c r="F747" s="18" t="n">
        <v>3</v>
      </c>
      <c r="G747" s="18" t="inlineStr">
        <is>
          <t>INGRESO</t>
        </is>
      </c>
      <c r="H747" s="18" t="n"/>
      <c r="I747" s="45" t="n"/>
      <c r="J747" s="77" t="n"/>
      <c r="K747" s="18" t="n"/>
    </row>
    <row r="748">
      <c r="B748" s="56" t="inlineStr">
        <is>
          <t>00041-ELE</t>
        </is>
      </c>
      <c r="C748" s="18">
        <f>IFERROR(_xlfn.XLOOKUP(ENTRADAS[[#This Row],[CODIGO]],LISTADO[CODIGOS],LISTADO[CATEGORIA]),"NO EXISTE")</f>
        <v/>
      </c>
      <c r="D748" s="18">
        <f>IFERROR(_xlfn.XLOOKUP(ENTRADAS[[#This Row],[CODIGO]],LISTADO[CODIGOS],LISTADO[PRODUCTOS]),"NO EXISTE")</f>
        <v/>
      </c>
      <c r="E748" s="19" t="n">
        <v>46085</v>
      </c>
      <c r="F748" s="18" t="n">
        <v>3</v>
      </c>
      <c r="G748" s="18" t="inlineStr">
        <is>
          <t>DEVOLUCION</t>
        </is>
      </c>
      <c r="H748" s="18" t="n"/>
      <c r="I748" s="45" t="n"/>
      <c r="J748" s="77" t="n"/>
      <c r="K748" s="18" t="n"/>
    </row>
    <row r="749">
      <c r="B749" s="56" t="inlineStr">
        <is>
          <t>00046-ELE</t>
        </is>
      </c>
      <c r="C749" s="18">
        <f>IFERROR(_xlfn.XLOOKUP(ENTRADAS[[#This Row],[CODIGO]],LISTADO[CODIGOS],LISTADO[CATEGORIA]),"NO EXISTE")</f>
        <v/>
      </c>
      <c r="D749" s="18">
        <f>IFERROR(_xlfn.XLOOKUP(ENTRADAS[[#This Row],[CODIGO]],LISTADO[CODIGOS],LISTADO[PRODUCTOS]),"NO EXISTE")</f>
        <v/>
      </c>
      <c r="E749" s="19" t="n">
        <v>46085</v>
      </c>
      <c r="F749" s="18" t="n">
        <v>2</v>
      </c>
      <c r="G749" s="18" t="inlineStr">
        <is>
          <t>DEVOLUCION</t>
        </is>
      </c>
      <c r="H749" s="18" t="n"/>
      <c r="I749" s="45" t="n"/>
      <c r="J749" s="77" t="n"/>
      <c r="K749" s="18" t="n"/>
    </row>
    <row r="750">
      <c r="B750" s="56" t="inlineStr">
        <is>
          <t>00043-PLM</t>
        </is>
      </c>
      <c r="C750" s="18">
        <f>IFERROR(_xlfn.XLOOKUP(ENTRADAS[[#This Row],[CODIGO]],LISTADO[CODIGOS],LISTADO[CATEGORIA]),"NO EXISTE")</f>
        <v/>
      </c>
      <c r="D750" s="18">
        <f>IFERROR(_xlfn.XLOOKUP(ENTRADAS[[#This Row],[CODIGO]],LISTADO[CODIGOS],LISTADO[PRODUCTOS]),"NO EXISTE")</f>
        <v/>
      </c>
      <c r="E750" s="19" t="n">
        <v>46085</v>
      </c>
      <c r="F750" s="18" t="n">
        <v>1</v>
      </c>
      <c r="G750" s="18" t="inlineStr">
        <is>
          <t>DEVOLUCION</t>
        </is>
      </c>
      <c r="H750" s="18" t="n"/>
      <c r="I750" s="45" t="n"/>
      <c r="J750" s="77" t="n"/>
      <c r="K750" s="18" t="n"/>
    </row>
    <row r="751">
      <c r="B751" s="56" t="inlineStr">
        <is>
          <t>00118-FER</t>
        </is>
      </c>
      <c r="C751" s="18">
        <f>IFERROR(_xlfn.XLOOKUP(ENTRADAS[[#This Row],[CODIGO]],LISTADO[CODIGOS],LISTADO[CATEGORIA]),"NO EXISTE")</f>
        <v/>
      </c>
      <c r="D751" s="18">
        <f>IFERROR(_xlfn.XLOOKUP(ENTRADAS[[#This Row],[CODIGO]],LISTADO[CODIGOS],LISTADO[PRODUCTOS]),"NO EXISTE")</f>
        <v/>
      </c>
      <c r="E751" s="19" t="n">
        <v>46086</v>
      </c>
      <c r="F751" s="18" t="n">
        <v>5</v>
      </c>
      <c r="G751" s="18" t="inlineStr">
        <is>
          <t>INGRESO</t>
        </is>
      </c>
      <c r="H751" s="18" t="n"/>
      <c r="I751" s="45" t="n"/>
      <c r="J751" s="77" t="n"/>
      <c r="K751" s="18" t="n"/>
    </row>
    <row r="752">
      <c r="B752" s="56" t="inlineStr">
        <is>
          <t>00026-REF</t>
        </is>
      </c>
      <c r="C752" s="18">
        <f>IFERROR(_xlfn.XLOOKUP(ENTRADAS[[#This Row],[CODIGO]],LISTADO[CODIGOS],LISTADO[CATEGORIA]),"NO EXISTE")</f>
        <v/>
      </c>
      <c r="D752" s="18">
        <f>IFERROR(_xlfn.XLOOKUP(ENTRADAS[[#This Row],[CODIGO]],LISTADO[CODIGOS],LISTADO[PRODUCTOS]),"NO EXISTE")</f>
        <v/>
      </c>
      <c r="E752" s="19" t="n">
        <v>46086</v>
      </c>
      <c r="F752" s="18" t="n">
        <v>1</v>
      </c>
      <c r="G752" s="18" t="inlineStr">
        <is>
          <t>DEVOLUCION</t>
        </is>
      </c>
      <c r="H752" s="18" t="n"/>
      <c r="I752" s="45" t="n"/>
      <c r="J752" s="77" t="n"/>
      <c r="K752" s="18" t="n"/>
    </row>
    <row r="753">
      <c r="B753" s="56" t="inlineStr">
        <is>
          <t>00036-REF</t>
        </is>
      </c>
      <c r="C753" s="18">
        <f>IFERROR(_xlfn.XLOOKUP(ENTRADAS[[#This Row],[CODIGO]],LISTADO[CODIGOS],LISTADO[CATEGORIA]),"NO EXISTE")</f>
        <v/>
      </c>
      <c r="D753" s="18">
        <f>IFERROR(_xlfn.XLOOKUP(ENTRADAS[[#This Row],[CODIGO]],LISTADO[CODIGOS],LISTADO[PRODUCTOS]),"NO EXISTE")</f>
        <v/>
      </c>
      <c r="E753" s="19" t="n">
        <v>46086</v>
      </c>
      <c r="F753" s="18" t="n">
        <v>1.5</v>
      </c>
      <c r="G753" s="18" t="inlineStr">
        <is>
          <t>DEVOLUCION</t>
        </is>
      </c>
      <c r="H753" s="18" t="n"/>
      <c r="I753" s="45" t="n"/>
      <c r="J753" s="77" t="n"/>
      <c r="K753" s="18" t="n"/>
    </row>
    <row r="754">
      <c r="B754" s="56" t="inlineStr">
        <is>
          <t>00022-HRR</t>
        </is>
      </c>
      <c r="C754" s="18">
        <f>IFERROR(_xlfn.XLOOKUP(ENTRADAS[[#This Row],[CODIGO]],LISTADO[CODIGOS],LISTADO[CATEGORIA]),"NO EXISTE")</f>
        <v/>
      </c>
      <c r="D754" s="18">
        <f>IFERROR(_xlfn.XLOOKUP(ENTRADAS[[#This Row],[CODIGO]],LISTADO[CODIGOS],LISTADO[PRODUCTOS]),"NO EXISTE")</f>
        <v/>
      </c>
      <c r="E754" s="19" t="n">
        <v>46086</v>
      </c>
      <c r="F754" s="18" t="n">
        <v>6</v>
      </c>
      <c r="G754" s="18" t="inlineStr">
        <is>
          <t>INGRESO</t>
        </is>
      </c>
      <c r="H754" s="18" t="n"/>
      <c r="I754" s="45" t="n"/>
      <c r="J754" s="77" t="n"/>
      <c r="K754" s="18" t="n"/>
    </row>
    <row r="755">
      <c r="B755" s="56" t="inlineStr">
        <is>
          <t>00035-REF</t>
        </is>
      </c>
      <c r="C755" s="18">
        <f>IFERROR(_xlfn.XLOOKUP(ENTRADAS[[#This Row],[CODIGO]],LISTADO[CODIGOS],LISTADO[CATEGORIA]),"NO EXISTE")</f>
        <v/>
      </c>
      <c r="D755" s="18">
        <f>IFERROR(_xlfn.XLOOKUP(ENTRADAS[[#This Row],[CODIGO]],LISTADO[CODIGOS],LISTADO[PRODUCTOS]),"NO EXISTE")</f>
        <v/>
      </c>
      <c r="E755" s="19" t="n">
        <v>46087</v>
      </c>
      <c r="F755" s="18" t="n">
        <v>2</v>
      </c>
      <c r="G755" s="18" t="inlineStr">
        <is>
          <t>DEVOLUCION</t>
        </is>
      </c>
      <c r="H755" s="18" t="n"/>
      <c r="I755" s="45" t="n"/>
      <c r="J755" s="77" t="n"/>
      <c r="K755" s="18" t="n"/>
    </row>
    <row r="756">
      <c r="B756" s="56" t="inlineStr">
        <is>
          <t>00078-REF</t>
        </is>
      </c>
      <c r="C756" s="18">
        <f>IFERROR(_xlfn.XLOOKUP(ENTRADAS[[#This Row],[CODIGO]],LISTADO[CODIGOS],LISTADO[CATEGORIA]),"NO EXISTE")</f>
        <v/>
      </c>
      <c r="D756" s="18">
        <f>IFERROR(_xlfn.XLOOKUP(ENTRADAS[[#This Row],[CODIGO]],LISTADO[CODIGOS],LISTADO[PRODUCTOS]),"NO EXISTE")</f>
        <v/>
      </c>
      <c r="E756" s="19" t="n">
        <v>46087</v>
      </c>
      <c r="F756" s="18" t="n">
        <v>4</v>
      </c>
      <c r="G756" s="18" t="inlineStr">
        <is>
          <t>INVENTARIO</t>
        </is>
      </c>
      <c r="H756" s="18" t="n"/>
      <c r="I756" s="45" t="n"/>
      <c r="J756" s="77" t="n"/>
      <c r="K756" s="18" t="n"/>
    </row>
    <row r="757">
      <c r="B757" s="56" t="inlineStr">
        <is>
          <t>00079-REF</t>
        </is>
      </c>
      <c r="C757" s="18">
        <f>IFERROR(_xlfn.XLOOKUP(ENTRADAS[[#This Row],[CODIGO]],LISTADO[CODIGOS],LISTADO[CATEGORIA]),"NO EXISTE")</f>
        <v/>
      </c>
      <c r="D757" s="18">
        <f>IFERROR(_xlfn.XLOOKUP(ENTRADAS[[#This Row],[CODIGO]],LISTADO[CODIGOS],LISTADO[PRODUCTOS]),"NO EXISTE")</f>
        <v/>
      </c>
      <c r="E757" s="19" t="n">
        <v>46087</v>
      </c>
      <c r="F757" s="18" t="n">
        <v>1</v>
      </c>
      <c r="G757" s="18" t="inlineStr">
        <is>
          <t>INVENTARIO</t>
        </is>
      </c>
      <c r="H757" s="18" t="n"/>
      <c r="I757" s="45" t="n"/>
      <c r="J757" s="77" t="n"/>
      <c r="K757" s="18" t="n"/>
    </row>
    <row r="758">
      <c r="B758" s="56" t="inlineStr">
        <is>
          <t>00080-REF</t>
        </is>
      </c>
      <c r="C758" s="18">
        <f>IFERROR(_xlfn.XLOOKUP(ENTRADAS[[#This Row],[CODIGO]],LISTADO[CODIGOS],LISTADO[CATEGORIA]),"NO EXISTE")</f>
        <v/>
      </c>
      <c r="D758" s="18">
        <f>IFERROR(_xlfn.XLOOKUP(ENTRADAS[[#This Row],[CODIGO]],LISTADO[CODIGOS],LISTADO[PRODUCTOS]),"NO EXISTE")</f>
        <v/>
      </c>
      <c r="E758" s="19" t="n">
        <v>46087</v>
      </c>
      <c r="F758" s="18" t="n">
        <v>1</v>
      </c>
      <c r="G758" s="18" t="inlineStr">
        <is>
          <t>INVENTARIO</t>
        </is>
      </c>
      <c r="H758" s="18" t="n"/>
      <c r="I758" s="45" t="n"/>
      <c r="J758" s="77" t="n"/>
      <c r="K758" s="18" t="n"/>
    </row>
    <row r="759">
      <c r="B759" s="56" t="inlineStr">
        <is>
          <t>00052-FER</t>
        </is>
      </c>
      <c r="C759" s="18">
        <f>IFERROR(_xlfn.XLOOKUP(ENTRADAS[[#This Row],[CODIGO]],LISTADO[CODIGOS],LISTADO[CATEGORIA]),"NO EXISTE")</f>
        <v/>
      </c>
      <c r="D759" s="18">
        <f>IFERROR(_xlfn.XLOOKUP(ENTRADAS[[#This Row],[CODIGO]],LISTADO[CODIGOS],LISTADO[PRODUCTOS]),"NO EXISTE")</f>
        <v/>
      </c>
      <c r="E759" s="19" t="n">
        <v>46087</v>
      </c>
      <c r="F759" s="18" t="n">
        <v>0.25</v>
      </c>
      <c r="G759" s="18" t="inlineStr">
        <is>
          <t>DEVOLUCION</t>
        </is>
      </c>
      <c r="H759" s="18" t="n"/>
      <c r="I759" s="45" t="n"/>
      <c r="J759" s="77" t="n"/>
      <c r="K759" s="18" t="n"/>
    </row>
    <row r="760">
      <c r="B760" s="56" t="inlineStr">
        <is>
          <t>00122-FER</t>
        </is>
      </c>
      <c r="C760" s="18">
        <f>IFERROR(_xlfn.XLOOKUP(ENTRADAS[[#This Row],[CODIGO]],LISTADO[CODIGOS],LISTADO[CATEGORIA]),"NO EXISTE")</f>
        <v/>
      </c>
      <c r="D760" s="18">
        <f>IFERROR(_xlfn.XLOOKUP(ENTRADAS[[#This Row],[CODIGO]],LISTADO[CODIGOS],LISTADO[PRODUCTOS]),"NO EXISTE")</f>
        <v/>
      </c>
      <c r="E760" s="19" t="n">
        <v>46087</v>
      </c>
      <c r="F760" s="18" t="n">
        <v>1</v>
      </c>
      <c r="G760" s="18" t="inlineStr">
        <is>
          <t>INGRESO</t>
        </is>
      </c>
      <c r="H760" s="18" t="n"/>
      <c r="I760" s="45" t="n"/>
      <c r="J760" s="77" t="n"/>
      <c r="K760" s="18" t="n"/>
    </row>
    <row r="761">
      <c r="B761" s="56" t="inlineStr">
        <is>
          <t>00123-FER</t>
        </is>
      </c>
      <c r="C761" s="18">
        <f>IFERROR(_xlfn.XLOOKUP(ENTRADAS[[#This Row],[CODIGO]],LISTADO[CODIGOS],LISTADO[CATEGORIA]),"NO EXISTE")</f>
        <v/>
      </c>
      <c r="D761" s="18">
        <f>IFERROR(_xlfn.XLOOKUP(ENTRADAS[[#This Row],[CODIGO]],LISTADO[CODIGOS],LISTADO[PRODUCTOS]),"NO EXISTE")</f>
        <v/>
      </c>
      <c r="E761" s="19" t="n">
        <v>46087</v>
      </c>
      <c r="F761" s="18" t="n">
        <v>1</v>
      </c>
      <c r="G761" s="18" t="inlineStr">
        <is>
          <t>INGRESO</t>
        </is>
      </c>
      <c r="H761" s="18" t="n"/>
      <c r="I761" s="45" t="n"/>
      <c r="J761" s="77" t="n"/>
      <c r="K761" s="18" t="n"/>
    </row>
    <row r="762">
      <c r="B762" s="56" t="inlineStr">
        <is>
          <t>00001-LIM</t>
        </is>
      </c>
      <c r="C762" s="18">
        <f>IFERROR(_xlfn.XLOOKUP(ENTRADAS[[#This Row],[CODIGO]],LISTADO[CODIGOS],LISTADO[CATEGORIA]),"NO EXISTE")</f>
        <v/>
      </c>
      <c r="D762" s="18">
        <f>IFERROR(_xlfn.XLOOKUP(ENTRADAS[[#This Row],[CODIGO]],LISTADO[CODIGOS],LISTADO[PRODUCTOS]),"NO EXISTE")</f>
        <v/>
      </c>
      <c r="E762" s="19" t="n">
        <v>46087</v>
      </c>
      <c r="F762" s="18" t="n">
        <v>24</v>
      </c>
      <c r="G762" s="18" t="inlineStr">
        <is>
          <t>INGRESO</t>
        </is>
      </c>
      <c r="H762" s="18" t="n"/>
      <c r="I762" s="45" t="n"/>
      <c r="J762" s="77" t="n"/>
      <c r="K762" s="18" t="n"/>
    </row>
    <row r="763">
      <c r="B763" s="56" t="inlineStr">
        <is>
          <t>00002-LIM</t>
        </is>
      </c>
      <c r="C763" s="18">
        <f>IFERROR(_xlfn.XLOOKUP(ENTRADAS[[#This Row],[CODIGO]],LISTADO[CODIGOS],LISTADO[CATEGORIA]),"NO EXISTE")</f>
        <v/>
      </c>
      <c r="D763" s="18">
        <f>IFERROR(_xlfn.XLOOKUP(ENTRADAS[[#This Row],[CODIGO]],LISTADO[CODIGOS],LISTADO[PRODUCTOS]),"NO EXISTE")</f>
        <v/>
      </c>
      <c r="E763" s="19" t="n">
        <v>46087</v>
      </c>
      <c r="F763" s="18" t="n">
        <v>5</v>
      </c>
      <c r="G763" s="18" t="inlineStr">
        <is>
          <t>INGRESO</t>
        </is>
      </c>
      <c r="H763" s="18" t="n"/>
      <c r="I763" s="45" t="n"/>
      <c r="J763" s="77" t="n"/>
      <c r="K763" s="18" t="n"/>
    </row>
    <row r="764">
      <c r="B764" s="56" t="inlineStr">
        <is>
          <t>00003-LIM</t>
        </is>
      </c>
      <c r="C764" s="18">
        <f>IFERROR(_xlfn.XLOOKUP(ENTRADAS[[#This Row],[CODIGO]],LISTADO[CODIGOS],LISTADO[CATEGORIA]),"NO EXISTE")</f>
        <v/>
      </c>
      <c r="D764" s="18">
        <f>IFERROR(_xlfn.XLOOKUP(ENTRADAS[[#This Row],[CODIGO]],LISTADO[CODIGOS],LISTADO[PRODUCTOS]),"NO EXISTE")</f>
        <v/>
      </c>
      <c r="E764" s="19" t="n">
        <v>46087</v>
      </c>
      <c r="F764" s="18" t="n">
        <v>24</v>
      </c>
      <c r="G764" s="18" t="inlineStr">
        <is>
          <t>INGRESO</t>
        </is>
      </c>
      <c r="H764" s="18" t="n"/>
      <c r="I764" s="45" t="n"/>
      <c r="J764" s="77" t="n"/>
      <c r="K764" s="18" t="n"/>
    </row>
    <row r="765">
      <c r="B765" s="56" t="inlineStr">
        <is>
          <t>00015-MSC</t>
        </is>
      </c>
      <c r="C765" s="18">
        <f>IFERROR(_xlfn.XLOOKUP(ENTRADAS[[#This Row],[CODIGO]],LISTADO[CODIGOS],LISTADO[CATEGORIA]),"NO EXISTE")</f>
        <v/>
      </c>
      <c r="D765" s="18">
        <f>IFERROR(_xlfn.XLOOKUP(ENTRADAS[[#This Row],[CODIGO]],LISTADO[CODIGOS],LISTADO[PRODUCTOS]),"NO EXISTE")</f>
        <v/>
      </c>
      <c r="E765" s="19" t="n">
        <v>46087</v>
      </c>
      <c r="F765" s="18" t="n">
        <v>10</v>
      </c>
      <c r="G765" s="18" t="inlineStr">
        <is>
          <t>INGRESO</t>
        </is>
      </c>
      <c r="H765" s="18" t="n"/>
      <c r="I765" s="45" t="n"/>
      <c r="J765" s="77" t="n"/>
      <c r="K765" s="18" t="n"/>
    </row>
    <row r="766">
      <c r="B766" s="56" t="inlineStr">
        <is>
          <t>00016-MSC</t>
        </is>
      </c>
      <c r="C766" s="18">
        <f>IFERROR(_xlfn.XLOOKUP(ENTRADAS[[#This Row],[CODIGO]],LISTADO[CODIGOS],LISTADO[CATEGORIA]),"NO EXISTE")</f>
        <v/>
      </c>
      <c r="D766" s="18">
        <f>IFERROR(_xlfn.XLOOKUP(ENTRADAS[[#This Row],[CODIGO]],LISTADO[CODIGOS],LISTADO[PRODUCTOS]),"NO EXISTE")</f>
        <v/>
      </c>
      <c r="E766" s="19" t="n">
        <v>46087</v>
      </c>
      <c r="F766" s="18" t="n">
        <v>5</v>
      </c>
      <c r="G766" s="18" t="inlineStr">
        <is>
          <t>INGRESO</t>
        </is>
      </c>
      <c r="H766" s="18" t="n"/>
      <c r="I766" s="45" t="n"/>
      <c r="J766" s="77" t="n"/>
      <c r="K766" s="18" t="n"/>
    </row>
    <row r="767">
      <c r="B767" s="56" t="inlineStr">
        <is>
          <t>00017-MSC</t>
        </is>
      </c>
      <c r="C767" s="18">
        <f>IFERROR(_xlfn.XLOOKUP(ENTRADAS[[#This Row],[CODIGO]],LISTADO[CODIGOS],LISTADO[CATEGORIA]),"NO EXISTE")</f>
        <v/>
      </c>
      <c r="D767" s="18">
        <f>IFERROR(_xlfn.XLOOKUP(ENTRADAS[[#This Row],[CODIGO]],LISTADO[CODIGOS],LISTADO[PRODUCTOS]),"NO EXISTE")</f>
        <v/>
      </c>
      <c r="E767" s="19" t="n">
        <v>46087</v>
      </c>
      <c r="F767" s="18" t="n">
        <v>10</v>
      </c>
      <c r="G767" s="18" t="inlineStr">
        <is>
          <t>INGRESO</t>
        </is>
      </c>
      <c r="H767" s="18" t="n"/>
      <c r="I767" s="45" t="n"/>
      <c r="J767" s="77" t="n"/>
      <c r="K767" s="18" t="n"/>
    </row>
    <row r="768">
      <c r="B768" s="56" t="inlineStr">
        <is>
          <t>00004-LIM</t>
        </is>
      </c>
      <c r="C768" s="18">
        <f>IFERROR(_xlfn.XLOOKUP(ENTRADAS[[#This Row],[CODIGO]],LISTADO[CODIGOS],LISTADO[CATEGORIA]),"NO EXISTE")</f>
        <v/>
      </c>
      <c r="D768" s="18">
        <f>IFERROR(_xlfn.XLOOKUP(ENTRADAS[[#This Row],[CODIGO]],LISTADO[CODIGOS],LISTADO[PRODUCTOS]),"NO EXISTE")</f>
        <v/>
      </c>
      <c r="E768" s="19" t="n">
        <v>46087</v>
      </c>
      <c r="F768" s="18" t="n">
        <v>4</v>
      </c>
      <c r="G768" s="18" t="inlineStr">
        <is>
          <t>INGRESO</t>
        </is>
      </c>
      <c r="H768" s="18" t="n"/>
      <c r="I768" s="45" t="n"/>
      <c r="J768" s="77" t="n"/>
      <c r="K768" s="18" t="n"/>
    </row>
    <row r="769">
      <c r="B769" s="56" t="inlineStr">
        <is>
          <t>00010-MSC</t>
        </is>
      </c>
      <c r="C769" s="18">
        <f>IFERROR(_xlfn.XLOOKUP(ENTRADAS[[#This Row],[CODIGO]],LISTADO[CODIGOS],LISTADO[CATEGORIA]),"NO EXISTE")</f>
        <v/>
      </c>
      <c r="D769" s="18">
        <f>IFERROR(_xlfn.XLOOKUP(ENTRADAS[[#This Row],[CODIGO]],LISTADO[CODIGOS],LISTADO[PRODUCTOS]),"NO EXISTE")</f>
        <v/>
      </c>
      <c r="E769" s="19" t="n">
        <v>46087</v>
      </c>
      <c r="F769" s="18" t="n">
        <v>4</v>
      </c>
      <c r="G769" s="18" t="inlineStr">
        <is>
          <t>INGRESO</t>
        </is>
      </c>
      <c r="H769" s="18" t="n"/>
      <c r="I769" s="45" t="n"/>
      <c r="J769" s="77" t="n"/>
      <c r="K769" s="18" t="n"/>
    </row>
    <row r="770">
      <c r="B770" s="56" t="inlineStr">
        <is>
          <t>00086-REF</t>
        </is>
      </c>
      <c r="C770" s="18">
        <f>IFERROR(_xlfn.XLOOKUP(ENTRADAS[[#This Row],[CODIGO]],LISTADO[CODIGOS],LISTADO[CATEGORIA]),"NO EXISTE")</f>
        <v/>
      </c>
      <c r="D770" s="18">
        <f>IFERROR(_xlfn.XLOOKUP(ENTRADAS[[#This Row],[CODIGO]],LISTADO[CODIGOS],LISTADO[PRODUCTOS]),"NO EXISTE")</f>
        <v/>
      </c>
      <c r="E770" s="19" t="n">
        <v>46087</v>
      </c>
      <c r="F770" s="18" t="n">
        <v>5</v>
      </c>
      <c r="G770" s="18" t="inlineStr">
        <is>
          <t>INGRESO</t>
        </is>
      </c>
      <c r="H770" s="18" t="n"/>
      <c r="I770" s="45" t="n"/>
      <c r="J770" s="77" t="n"/>
      <c r="K770" s="18" t="n"/>
    </row>
    <row r="771">
      <c r="B771" s="56" t="inlineStr">
        <is>
          <t>00124-FER</t>
        </is>
      </c>
      <c r="C771" s="18">
        <f>IFERROR(_xlfn.XLOOKUP(ENTRADAS[[#This Row],[CODIGO]],LISTADO[CODIGOS],LISTADO[CATEGORIA]),"NO EXISTE")</f>
        <v/>
      </c>
      <c r="D771" s="18">
        <f>IFERROR(_xlfn.XLOOKUP(ENTRADAS[[#This Row],[CODIGO]],LISTADO[CODIGOS],LISTADO[PRODUCTOS]),"NO EXISTE")</f>
        <v/>
      </c>
      <c r="E771" s="19" t="n">
        <v>46087</v>
      </c>
      <c r="F771" s="18" t="n">
        <v>1</v>
      </c>
      <c r="G771" s="18" t="inlineStr">
        <is>
          <t>INGRESO</t>
        </is>
      </c>
      <c r="H771" s="18" t="n"/>
      <c r="I771" s="45" t="n"/>
      <c r="J771" s="77" t="n"/>
      <c r="K771" s="18" t="n"/>
    </row>
    <row r="772">
      <c r="B772" s="56" t="inlineStr">
        <is>
          <t>00040-FER</t>
        </is>
      </c>
      <c r="C772" s="18">
        <f>IFERROR(_xlfn.XLOOKUP(ENTRADAS[[#This Row],[CODIGO]],LISTADO[CODIGOS],LISTADO[CATEGORIA]),"NO EXISTE")</f>
        <v/>
      </c>
      <c r="D772" s="18">
        <f>IFERROR(_xlfn.XLOOKUP(ENTRADAS[[#This Row],[CODIGO]],LISTADO[CODIGOS],LISTADO[PRODUCTOS]),"NO EXISTE")</f>
        <v/>
      </c>
      <c r="E772" s="19" t="n">
        <v>46087</v>
      </c>
      <c r="F772" s="18" t="n">
        <v>0.5</v>
      </c>
      <c r="G772" s="18" t="inlineStr">
        <is>
          <t>INVENTARIO</t>
        </is>
      </c>
      <c r="H772" s="18" t="n"/>
      <c r="I772" s="45" t="n"/>
      <c r="J772" s="77" t="n"/>
      <c r="K772" s="18" t="n"/>
    </row>
    <row r="773">
      <c r="B773" s="56" t="inlineStr">
        <is>
          <t>00029-FER</t>
        </is>
      </c>
      <c r="C773" s="18">
        <f>IFERROR(_xlfn.XLOOKUP(ENTRADAS[[#This Row],[CODIGO]],LISTADO[CODIGOS],LISTADO[CATEGORIA]),"NO EXISTE")</f>
        <v/>
      </c>
      <c r="D773" s="18">
        <f>IFERROR(_xlfn.XLOOKUP(ENTRADAS[[#This Row],[CODIGO]],LISTADO[CODIGOS],LISTADO[PRODUCTOS]),"NO EXISTE")</f>
        <v/>
      </c>
      <c r="E773" s="19" t="n">
        <v>46087</v>
      </c>
      <c r="F773" s="18" t="n">
        <v>1</v>
      </c>
      <c r="G773" s="18" t="inlineStr">
        <is>
          <t>DEVOLUCION</t>
        </is>
      </c>
      <c r="H773" s="18" t="n"/>
      <c r="I773" s="45" t="n"/>
      <c r="J773" s="77" t="n"/>
      <c r="K773" s="18" t="n"/>
    </row>
    <row r="774">
      <c r="B774" s="56" t="inlineStr">
        <is>
          <t>00049-FER</t>
        </is>
      </c>
      <c r="C774" s="18">
        <f>IFERROR(_xlfn.XLOOKUP(ENTRADAS[[#This Row],[CODIGO]],LISTADO[CODIGOS],LISTADO[CATEGORIA]),"NO EXISTE")</f>
        <v/>
      </c>
      <c r="D774" s="18">
        <f>IFERROR(_xlfn.XLOOKUP(ENTRADAS[[#This Row],[CODIGO]],LISTADO[CODIGOS],LISTADO[PRODUCTOS]),"NO EXISTE")</f>
        <v/>
      </c>
      <c r="E774" s="19" t="n">
        <v>46087</v>
      </c>
      <c r="F774" s="18" t="n">
        <v>0.75</v>
      </c>
      <c r="G774" s="18" t="inlineStr">
        <is>
          <t>DEVOLUCION</t>
        </is>
      </c>
      <c r="H774" s="18" t="n"/>
      <c r="I774" s="45" t="n"/>
      <c r="J774" s="77" t="n"/>
      <c r="K774" s="18" t="n"/>
    </row>
    <row r="775">
      <c r="B775" s="56" t="inlineStr">
        <is>
          <t>00050-FER</t>
        </is>
      </c>
      <c r="C775" s="18">
        <f>IFERROR(_xlfn.XLOOKUP(ENTRADAS[[#This Row],[CODIGO]],LISTADO[CODIGOS],LISTADO[CATEGORIA]),"NO EXISTE")</f>
        <v/>
      </c>
      <c r="D775" s="18">
        <f>IFERROR(_xlfn.XLOOKUP(ENTRADAS[[#This Row],[CODIGO]],LISTADO[CODIGOS],LISTADO[PRODUCTOS]),"NO EXISTE")</f>
        <v/>
      </c>
      <c r="E775" s="19" t="n">
        <v>46087</v>
      </c>
      <c r="F775" s="18" t="n">
        <v>1.75</v>
      </c>
      <c r="G775" s="18" t="inlineStr">
        <is>
          <t>DEVOLUCION</t>
        </is>
      </c>
      <c r="H775" s="18" t="n"/>
      <c r="I775" s="45" t="n"/>
      <c r="J775" s="77" t="n"/>
      <c r="K775" s="18" t="n"/>
    </row>
    <row r="776">
      <c r="B776" s="56" t="inlineStr">
        <is>
          <t>00052-FER</t>
        </is>
      </c>
      <c r="C776" s="18">
        <f>IFERROR(_xlfn.XLOOKUP(ENTRADAS[[#This Row],[CODIGO]],LISTADO[CODIGOS],LISTADO[CATEGORIA]),"NO EXISTE")</f>
        <v/>
      </c>
      <c r="D776" s="18">
        <f>IFERROR(_xlfn.XLOOKUP(ENTRADAS[[#This Row],[CODIGO]],LISTADO[CODIGOS],LISTADO[PRODUCTOS]),"NO EXISTE")</f>
        <v/>
      </c>
      <c r="E776" s="19" t="n">
        <v>46087</v>
      </c>
      <c r="F776" s="18" t="n">
        <v>1.75</v>
      </c>
      <c r="G776" s="18" t="inlineStr">
        <is>
          <t>DEVOLUCION</t>
        </is>
      </c>
      <c r="H776" s="18" t="n"/>
      <c r="I776" s="45" t="n"/>
      <c r="J776" s="77" t="n"/>
      <c r="K776" s="18" t="n"/>
    </row>
    <row r="777">
      <c r="B777" s="56" t="inlineStr">
        <is>
          <t>00010-AUT</t>
        </is>
      </c>
      <c r="C777" s="18">
        <f>IFERROR(_xlfn.XLOOKUP(ENTRADAS[[#This Row],[CODIGO]],LISTADO[CODIGOS],LISTADO[CATEGORIA]),"NO EXISTE")</f>
        <v/>
      </c>
      <c r="D777" s="18">
        <f>IFERROR(_xlfn.XLOOKUP(ENTRADAS[[#This Row],[CODIGO]],LISTADO[CODIGOS],LISTADO[PRODUCTOS]),"NO EXISTE")</f>
        <v/>
      </c>
      <c r="E777" s="19" t="n">
        <v>46087</v>
      </c>
      <c r="F777" s="18" t="n">
        <v>1</v>
      </c>
      <c r="G777" s="18" t="inlineStr">
        <is>
          <t>INGRESO</t>
        </is>
      </c>
      <c r="H777" s="18" t="n"/>
      <c r="I777" s="45" t="n"/>
      <c r="J777" s="77" t="n"/>
      <c r="K777" s="18" t="n"/>
    </row>
    <row r="778">
      <c r="B778" s="56" t="inlineStr">
        <is>
          <t>00011-AUT</t>
        </is>
      </c>
      <c r="C778" s="18">
        <f>IFERROR(_xlfn.XLOOKUP(ENTRADAS[[#This Row],[CODIGO]],LISTADO[CODIGOS],LISTADO[CATEGORIA]),"NO EXISTE")</f>
        <v/>
      </c>
      <c r="D778" s="18">
        <f>IFERROR(_xlfn.XLOOKUP(ENTRADAS[[#This Row],[CODIGO]],LISTADO[CODIGOS],LISTADO[PRODUCTOS]),"NO EXISTE")</f>
        <v/>
      </c>
      <c r="E778" s="19" t="n">
        <v>46087</v>
      </c>
      <c r="F778" s="18" t="n">
        <v>1</v>
      </c>
      <c r="G778" s="18" t="inlineStr">
        <is>
          <t>INGRESO</t>
        </is>
      </c>
      <c r="H778" s="18" t="n"/>
      <c r="I778" s="45" t="n"/>
      <c r="J778" s="77" t="n"/>
      <c r="K778" s="18" t="n"/>
    </row>
    <row r="779">
      <c r="B779" s="56" t="inlineStr">
        <is>
          <t>00140-FER</t>
        </is>
      </c>
      <c r="C779" s="18">
        <f>IFERROR(_xlfn.XLOOKUP(ENTRADAS[[#This Row],[CODIGO]],LISTADO[CODIGOS],LISTADO[CATEGORIA]),"NO EXISTE")</f>
        <v/>
      </c>
      <c r="D779" s="18">
        <f>IFERROR(_xlfn.XLOOKUP(ENTRADAS[[#This Row],[CODIGO]],LISTADO[CODIGOS],LISTADO[PRODUCTOS]),"NO EXISTE")</f>
        <v/>
      </c>
      <c r="E779" s="19" t="n">
        <v>46087</v>
      </c>
      <c r="F779" s="18" t="n">
        <v>1</v>
      </c>
      <c r="G779" s="18" t="inlineStr">
        <is>
          <t>INGRESO</t>
        </is>
      </c>
      <c r="H779" s="18" t="n"/>
      <c r="I779" s="45" t="n"/>
      <c r="J779" s="77" t="n"/>
      <c r="K779" s="18" t="n"/>
    </row>
    <row r="780">
      <c r="B780" s="56" t="inlineStr">
        <is>
          <t>00044-PLM</t>
        </is>
      </c>
      <c r="C780" s="18">
        <f>IFERROR(_xlfn.XLOOKUP(ENTRADAS[[#This Row],[CODIGO]],LISTADO[CODIGOS],LISTADO[CATEGORIA]),"NO EXISTE")</f>
        <v/>
      </c>
      <c r="D780" s="18">
        <f>IFERROR(_xlfn.XLOOKUP(ENTRADAS[[#This Row],[CODIGO]],LISTADO[CODIGOS],LISTADO[PRODUCTOS]),"NO EXISTE")</f>
        <v/>
      </c>
      <c r="E780" s="19" t="n">
        <v>46087</v>
      </c>
      <c r="F780" s="18" t="n">
        <v>1</v>
      </c>
      <c r="G780" s="18" t="inlineStr">
        <is>
          <t>INGRESO</t>
        </is>
      </c>
      <c r="H780" s="18" t="n"/>
      <c r="I780" s="45" t="n"/>
      <c r="J780" s="77" t="n"/>
      <c r="K780" s="18" t="n"/>
    </row>
    <row r="781">
      <c r="B781" s="18" t="inlineStr">
        <is>
          <t>00063-ELE</t>
        </is>
      </c>
      <c r="C781" s="18">
        <f>IFERROR(_xlfn.XLOOKUP(ENTRADAS[[#This Row],[CODIGO]],LISTADO[CODIGOS],LISTADO[CATEGORIA]),"NO EXISTE")</f>
        <v/>
      </c>
      <c r="D781" s="18">
        <f>IFERROR(_xlfn.XLOOKUP(ENTRADAS[[#This Row],[CODIGO]],LISTADO[CODIGOS],LISTADO[PRODUCTOS]),"NO EXISTE")</f>
        <v/>
      </c>
      <c r="E781" s="19" t="n">
        <v>46087</v>
      </c>
      <c r="F781" s="18" t="n">
        <v>1</v>
      </c>
      <c r="G781" s="18" t="inlineStr">
        <is>
          <t>INGRESO</t>
        </is>
      </c>
      <c r="H781" s="18" t="n"/>
      <c r="I781" s="45" t="n"/>
      <c r="J781" s="77" t="n"/>
      <c r="K781" s="18" t="n"/>
    </row>
    <row r="782">
      <c r="B782" s="18" t="inlineStr">
        <is>
          <t>00146-FER</t>
        </is>
      </c>
      <c r="C782" s="18">
        <f>IFERROR(_xlfn.XLOOKUP(ENTRADAS[[#This Row],[CODIGO]],LISTADO[CODIGOS],LISTADO[CATEGORIA]),"NO EXISTE")</f>
        <v/>
      </c>
      <c r="D782" s="18">
        <f>IFERROR(_xlfn.XLOOKUP(ENTRADAS[[#This Row],[CODIGO]],LISTADO[CODIGOS],LISTADO[PRODUCTOS]),"NO EXISTE")</f>
        <v/>
      </c>
      <c r="E782" s="19" t="n">
        <v>46087</v>
      </c>
      <c r="F782" s="18" t="n">
        <v>1</v>
      </c>
      <c r="G782" s="18" t="inlineStr">
        <is>
          <t>INGRESO</t>
        </is>
      </c>
      <c r="H782" s="18" t="n"/>
      <c r="I782" s="45" t="n"/>
      <c r="J782" s="77" t="n"/>
      <c r="K782" s="18" t="n"/>
    </row>
    <row r="783">
      <c r="B783" s="56" t="inlineStr">
        <is>
          <t>00043-ELC</t>
        </is>
      </c>
      <c r="C783" s="18">
        <f>IFERROR(_xlfn.XLOOKUP(ENTRADAS[[#This Row],[CODIGO]],LISTADO[CODIGOS],LISTADO[CATEGORIA]),"NO EXISTE")</f>
        <v/>
      </c>
      <c r="D783" s="18">
        <f>IFERROR(_xlfn.XLOOKUP(ENTRADAS[[#This Row],[CODIGO]],LISTADO[CODIGOS],LISTADO[PRODUCTOS]),"NO EXISTE")</f>
        <v/>
      </c>
      <c r="E783" s="19" t="n">
        <v>46088</v>
      </c>
      <c r="F783" s="18" t="n">
        <v>1</v>
      </c>
      <c r="G783" s="18" t="inlineStr">
        <is>
          <t>INGRESO</t>
        </is>
      </c>
      <c r="H783" s="18" t="n"/>
      <c r="I783" s="45" t="n"/>
      <c r="J783" s="77" t="n"/>
      <c r="K783" s="18" t="n"/>
    </row>
    <row r="784">
      <c r="B784" s="56" t="inlineStr">
        <is>
          <t>00005-LIM</t>
        </is>
      </c>
      <c r="C784" s="18">
        <f>IFERROR(_xlfn.XLOOKUP(ENTRADAS[[#This Row],[CODIGO]],LISTADO[CODIGOS],LISTADO[CATEGORIA]),"NO EXISTE")</f>
        <v/>
      </c>
      <c r="D784" s="18">
        <f>IFERROR(_xlfn.XLOOKUP(ENTRADAS[[#This Row],[CODIGO]],LISTADO[CODIGOS],LISTADO[PRODUCTOS]),"NO EXISTE")</f>
        <v/>
      </c>
      <c r="E784" s="19" t="n">
        <v>46088</v>
      </c>
      <c r="F784" s="18" t="n">
        <v>9</v>
      </c>
      <c r="G784" s="18" t="inlineStr">
        <is>
          <t>INVENTARIO</t>
        </is>
      </c>
      <c r="H784" s="18" t="n"/>
      <c r="I784" s="45" t="n"/>
      <c r="J784" s="77" t="n"/>
      <c r="K784" s="18" t="n"/>
    </row>
    <row r="785">
      <c r="B785" s="56" t="inlineStr">
        <is>
          <t>00006-LIM</t>
        </is>
      </c>
      <c r="C785" s="18">
        <f>IFERROR(_xlfn.XLOOKUP(ENTRADAS[[#This Row],[CODIGO]],LISTADO[CODIGOS],LISTADO[CATEGORIA]),"NO EXISTE")</f>
        <v/>
      </c>
      <c r="D785" s="18">
        <f>IFERROR(_xlfn.XLOOKUP(ENTRADAS[[#This Row],[CODIGO]],LISTADO[CODIGOS],LISTADO[PRODUCTOS]),"NO EXISTE")</f>
        <v/>
      </c>
      <c r="E785" s="19" t="n">
        <v>46088</v>
      </c>
      <c r="F785" s="18" t="n">
        <v>56</v>
      </c>
      <c r="G785" s="18" t="inlineStr">
        <is>
          <t>INVENTARIO</t>
        </is>
      </c>
      <c r="H785" s="18" t="n"/>
      <c r="I785" s="45" t="n"/>
      <c r="J785" s="77" t="n"/>
      <c r="K785" s="18" t="n"/>
    </row>
    <row r="786">
      <c r="B786" s="56" t="inlineStr">
        <is>
          <t>00007-LIM</t>
        </is>
      </c>
      <c r="C786" s="18">
        <f>IFERROR(_xlfn.XLOOKUP(ENTRADAS[[#This Row],[CODIGO]],LISTADO[CODIGOS],LISTADO[CATEGORIA]),"NO EXISTE")</f>
        <v/>
      </c>
      <c r="D786" s="18">
        <f>IFERROR(_xlfn.XLOOKUP(ENTRADAS[[#This Row],[CODIGO]],LISTADO[CODIGOS],LISTADO[PRODUCTOS]),"NO EXISTE")</f>
        <v/>
      </c>
      <c r="E786" s="19" t="n">
        <v>46088</v>
      </c>
      <c r="F786" s="18" t="n">
        <v>150</v>
      </c>
      <c r="G786" s="18" t="inlineStr">
        <is>
          <t>INVENTARIO</t>
        </is>
      </c>
      <c r="H786" s="18" t="n"/>
      <c r="I786" s="45" t="n"/>
      <c r="J786" s="77" t="n"/>
      <c r="K786" s="18" t="n"/>
    </row>
    <row r="787">
      <c r="B787" s="56" t="inlineStr">
        <is>
          <t>00008-LIM</t>
        </is>
      </c>
      <c r="C787" s="18">
        <f>IFERROR(_xlfn.XLOOKUP(ENTRADAS[[#This Row],[CODIGO]],LISTADO[CODIGOS],LISTADO[CATEGORIA]),"NO EXISTE")</f>
        <v/>
      </c>
      <c r="D787" s="18">
        <f>IFERROR(_xlfn.XLOOKUP(ENTRADAS[[#This Row],[CODIGO]],LISTADO[CODIGOS],LISTADO[PRODUCTOS]),"NO EXISTE")</f>
        <v/>
      </c>
      <c r="E787" s="19" t="n">
        <v>46088</v>
      </c>
      <c r="F787" s="18" t="n">
        <v>150</v>
      </c>
      <c r="G787" s="18" t="inlineStr">
        <is>
          <t>INVENTARIO</t>
        </is>
      </c>
      <c r="H787" s="18" t="n"/>
      <c r="I787" s="45" t="n"/>
      <c r="J787" s="77" t="n"/>
      <c r="K787" s="18" t="n"/>
    </row>
    <row r="788">
      <c r="B788" s="56" t="inlineStr">
        <is>
          <t>00009-LIM</t>
        </is>
      </c>
      <c r="C788" s="18">
        <f>IFERROR(_xlfn.XLOOKUP(ENTRADAS[[#This Row],[CODIGO]],LISTADO[CODIGOS],LISTADO[CATEGORIA]),"NO EXISTE")</f>
        <v/>
      </c>
      <c r="D788" s="18">
        <f>IFERROR(_xlfn.XLOOKUP(ENTRADAS[[#This Row],[CODIGO]],LISTADO[CODIGOS],LISTADO[PRODUCTOS]),"NO EXISTE")</f>
        <v/>
      </c>
      <c r="E788" s="19" t="n">
        <v>46088</v>
      </c>
      <c r="F788" s="18" t="n">
        <v>464</v>
      </c>
      <c r="G788" s="18" t="inlineStr">
        <is>
          <t>INVENTARIO</t>
        </is>
      </c>
      <c r="H788" s="18" t="n"/>
      <c r="I788" s="45" t="n"/>
      <c r="J788" s="77" t="n"/>
      <c r="K788" s="18" t="n"/>
    </row>
    <row r="789">
      <c r="B789" s="56" t="inlineStr">
        <is>
          <t>00125-FER</t>
        </is>
      </c>
      <c r="C789" s="18">
        <f>IFERROR(_xlfn.XLOOKUP(ENTRADAS[[#This Row],[CODIGO]],LISTADO[CODIGOS],LISTADO[CATEGORIA]),"NO EXISTE")</f>
        <v/>
      </c>
      <c r="D789" s="18">
        <f>IFERROR(_xlfn.XLOOKUP(ENTRADAS[[#This Row],[CODIGO]],LISTADO[CODIGOS],LISTADO[PRODUCTOS]),"NO EXISTE")</f>
        <v/>
      </c>
      <c r="E789" s="19" t="n">
        <v>46088</v>
      </c>
      <c r="F789" s="18" t="n">
        <v>22</v>
      </c>
      <c r="G789" s="18" t="inlineStr">
        <is>
          <t>INVENTARIO</t>
        </is>
      </c>
      <c r="H789" s="18" t="n"/>
      <c r="I789" s="45" t="n"/>
      <c r="J789" s="77" t="n"/>
      <c r="K789" s="18" t="n"/>
    </row>
    <row r="790">
      <c r="B790" s="56" t="inlineStr">
        <is>
          <t>00126-FER</t>
        </is>
      </c>
      <c r="C790" s="18">
        <f>IFERROR(_xlfn.XLOOKUP(ENTRADAS[[#This Row],[CODIGO]],LISTADO[CODIGOS],LISTADO[CATEGORIA]),"NO EXISTE")</f>
        <v/>
      </c>
      <c r="D790" s="18">
        <f>IFERROR(_xlfn.XLOOKUP(ENTRADAS[[#This Row],[CODIGO]],LISTADO[CODIGOS],LISTADO[PRODUCTOS]),"NO EXISTE")</f>
        <v/>
      </c>
      <c r="E790" s="19" t="n">
        <v>46088</v>
      </c>
      <c r="F790" s="18" t="n">
        <v>62</v>
      </c>
      <c r="G790" s="18" t="inlineStr">
        <is>
          <t>INVENTARIO</t>
        </is>
      </c>
      <c r="H790" s="18" t="n"/>
      <c r="I790" s="45" t="n"/>
      <c r="J790" s="77" t="n"/>
      <c r="K790" s="18" t="n"/>
    </row>
    <row r="791">
      <c r="B791" s="56" t="inlineStr">
        <is>
          <t>00127-FER</t>
        </is>
      </c>
      <c r="C791" s="18">
        <f>IFERROR(_xlfn.XLOOKUP(ENTRADAS[[#This Row],[CODIGO]],LISTADO[CODIGOS],LISTADO[CATEGORIA]),"NO EXISTE")</f>
        <v/>
      </c>
      <c r="D791" s="18">
        <f>IFERROR(_xlfn.XLOOKUP(ENTRADAS[[#This Row],[CODIGO]],LISTADO[CODIGOS],LISTADO[PRODUCTOS]),"NO EXISTE")</f>
        <v/>
      </c>
      <c r="E791" s="19" t="n">
        <v>46088</v>
      </c>
      <c r="F791" s="18" t="n">
        <v>1</v>
      </c>
      <c r="G791" s="18" t="inlineStr">
        <is>
          <t>INVENTARIO</t>
        </is>
      </c>
      <c r="H791" s="18" t="n"/>
      <c r="I791" s="45" t="n"/>
      <c r="J791" s="77" t="n"/>
      <c r="K791" s="18" t="n"/>
    </row>
    <row r="792">
      <c r="B792" s="56" t="inlineStr">
        <is>
          <t>00128-FER</t>
        </is>
      </c>
      <c r="C792" s="18">
        <f>IFERROR(_xlfn.XLOOKUP(ENTRADAS[[#This Row],[CODIGO]],LISTADO[CODIGOS],LISTADO[CATEGORIA]),"NO EXISTE")</f>
        <v/>
      </c>
      <c r="D792" s="18">
        <f>IFERROR(_xlfn.XLOOKUP(ENTRADAS[[#This Row],[CODIGO]],LISTADO[CODIGOS],LISTADO[PRODUCTOS]),"NO EXISTE")</f>
        <v/>
      </c>
      <c r="E792" s="19" t="n">
        <v>46088</v>
      </c>
      <c r="F792" s="18" t="n">
        <v>2</v>
      </c>
      <c r="G792" s="18" t="inlineStr">
        <is>
          <t>INVENTARIO</t>
        </is>
      </c>
      <c r="H792" s="18" t="n"/>
      <c r="I792" s="45" t="n"/>
      <c r="J792" s="77" t="n"/>
      <c r="K792" s="18" t="n"/>
    </row>
    <row r="793">
      <c r="B793" s="56" t="inlineStr">
        <is>
          <t>00033-HRR</t>
        </is>
      </c>
      <c r="C793" s="18">
        <f>IFERROR(_xlfn.XLOOKUP(ENTRADAS[[#This Row],[CODIGO]],LISTADO[CODIGOS],LISTADO[CATEGORIA]),"NO EXISTE")</f>
        <v/>
      </c>
      <c r="D793" s="18">
        <f>IFERROR(_xlfn.XLOOKUP(ENTRADAS[[#This Row],[CODIGO]],LISTADO[CODIGOS],LISTADO[PRODUCTOS]),"NO EXISTE")</f>
        <v/>
      </c>
      <c r="E793" s="19" t="n">
        <v>46088</v>
      </c>
      <c r="F793" s="18" t="n">
        <v>4</v>
      </c>
      <c r="G793" s="18" t="inlineStr">
        <is>
          <t>INVENTARIO</t>
        </is>
      </c>
      <c r="H793" s="18" t="n"/>
      <c r="I793" s="45" t="n"/>
      <c r="J793" s="77" t="n"/>
      <c r="K793" s="18" t="n"/>
    </row>
    <row r="794">
      <c r="B794" s="56" t="inlineStr">
        <is>
          <t>00129-FER</t>
        </is>
      </c>
      <c r="C794" s="18">
        <f>IFERROR(_xlfn.XLOOKUP(ENTRADAS[[#This Row],[CODIGO]],LISTADO[CODIGOS],LISTADO[CATEGORIA]),"NO EXISTE")</f>
        <v/>
      </c>
      <c r="D794" s="18">
        <f>IFERROR(_xlfn.XLOOKUP(ENTRADAS[[#This Row],[CODIGO]],LISTADO[CODIGOS],LISTADO[PRODUCTOS]),"NO EXISTE")</f>
        <v/>
      </c>
      <c r="E794" s="19" t="n">
        <v>46088</v>
      </c>
      <c r="F794" s="18" t="n">
        <v>1</v>
      </c>
      <c r="G794" s="18" t="inlineStr">
        <is>
          <t>INVENTARIO</t>
        </is>
      </c>
      <c r="H794" s="18" t="n"/>
      <c r="I794" s="45" t="n"/>
      <c r="J794" s="77" t="n"/>
      <c r="K794" s="18" t="n"/>
    </row>
    <row r="795">
      <c r="B795" s="56" t="inlineStr">
        <is>
          <t>00034-HRR</t>
        </is>
      </c>
      <c r="C795" s="18">
        <f>IFERROR(_xlfn.XLOOKUP(ENTRADAS[[#This Row],[CODIGO]],LISTADO[CODIGOS],LISTADO[CATEGORIA]),"NO EXISTE")</f>
        <v/>
      </c>
      <c r="D795" s="18">
        <f>IFERROR(_xlfn.XLOOKUP(ENTRADAS[[#This Row],[CODIGO]],LISTADO[CODIGOS],LISTADO[PRODUCTOS]),"NO EXISTE")</f>
        <v/>
      </c>
      <c r="E795" s="19" t="n">
        <v>46088</v>
      </c>
      <c r="F795" s="18" t="n">
        <v>2</v>
      </c>
      <c r="G795" s="18" t="inlineStr">
        <is>
          <t>INVENTARIO</t>
        </is>
      </c>
      <c r="H795" s="18" t="n"/>
      <c r="I795" s="45" t="n"/>
      <c r="J795" s="77" t="n"/>
      <c r="K795" s="18" t="n"/>
    </row>
    <row r="796">
      <c r="B796" s="56" t="inlineStr">
        <is>
          <t>00130-FER</t>
        </is>
      </c>
      <c r="C796" s="18">
        <f>IFERROR(_xlfn.XLOOKUP(ENTRADAS[[#This Row],[CODIGO]],LISTADO[CODIGOS],LISTADO[CATEGORIA]),"NO EXISTE")</f>
        <v/>
      </c>
      <c r="D796" s="18">
        <f>IFERROR(_xlfn.XLOOKUP(ENTRADAS[[#This Row],[CODIGO]],LISTADO[CODIGOS],LISTADO[PRODUCTOS]),"NO EXISTE")</f>
        <v/>
      </c>
      <c r="E796" s="19" t="n">
        <v>46088</v>
      </c>
      <c r="F796" s="18" t="n">
        <v>1</v>
      </c>
      <c r="G796" s="18" t="inlineStr">
        <is>
          <t>INVENTARIO</t>
        </is>
      </c>
      <c r="H796" s="18" t="n"/>
      <c r="I796" s="45" t="n"/>
      <c r="J796" s="77" t="n"/>
      <c r="K796" s="18" t="n"/>
    </row>
    <row r="797">
      <c r="B797" s="56" t="inlineStr">
        <is>
          <t>00131-FER</t>
        </is>
      </c>
      <c r="C797" s="18">
        <f>IFERROR(_xlfn.XLOOKUP(ENTRADAS[[#This Row],[CODIGO]],LISTADO[CODIGOS],LISTADO[CATEGORIA]),"NO EXISTE")</f>
        <v/>
      </c>
      <c r="D797" s="18">
        <f>IFERROR(_xlfn.XLOOKUP(ENTRADAS[[#This Row],[CODIGO]],LISTADO[CODIGOS],LISTADO[PRODUCTOS]),"NO EXISTE")</f>
        <v/>
      </c>
      <c r="E797" s="19" t="n">
        <v>46088</v>
      </c>
      <c r="F797" s="18" t="n">
        <v>1</v>
      </c>
      <c r="G797" s="18" t="inlineStr">
        <is>
          <t>INVENTARIO</t>
        </is>
      </c>
      <c r="H797" s="18" t="n"/>
      <c r="I797" s="45" t="n"/>
      <c r="J797" s="77" t="n"/>
      <c r="K797" s="18" t="n"/>
    </row>
    <row r="798">
      <c r="B798" s="56" t="inlineStr">
        <is>
          <t>00132-FER</t>
        </is>
      </c>
      <c r="C798" s="18">
        <f>IFERROR(_xlfn.XLOOKUP(ENTRADAS[[#This Row],[CODIGO]],LISTADO[CODIGOS],LISTADO[CATEGORIA]),"NO EXISTE")</f>
        <v/>
      </c>
      <c r="D798" s="18">
        <f>IFERROR(_xlfn.XLOOKUP(ENTRADAS[[#This Row],[CODIGO]],LISTADO[CODIGOS],LISTADO[PRODUCTOS]),"NO EXISTE")</f>
        <v/>
      </c>
      <c r="E798" s="19" t="n">
        <v>46088</v>
      </c>
      <c r="F798" s="18" t="n">
        <v>1</v>
      </c>
      <c r="G798" s="18" t="inlineStr">
        <is>
          <t>INVENTARIO</t>
        </is>
      </c>
      <c r="H798" s="18" t="n"/>
      <c r="I798" s="45" t="n"/>
      <c r="J798" s="77" t="n"/>
      <c r="K798" s="18" t="n"/>
    </row>
    <row r="799">
      <c r="B799" s="56" t="inlineStr">
        <is>
          <t>00087-REF</t>
        </is>
      </c>
      <c r="C799" s="18">
        <f>IFERROR(_xlfn.XLOOKUP(ENTRADAS[[#This Row],[CODIGO]],LISTADO[CODIGOS],LISTADO[CATEGORIA]),"NO EXISTE")</f>
        <v/>
      </c>
      <c r="D799" s="18">
        <f>IFERROR(_xlfn.XLOOKUP(ENTRADAS[[#This Row],[CODIGO]],LISTADO[CODIGOS],LISTADO[PRODUCTOS]),"NO EXISTE")</f>
        <v/>
      </c>
      <c r="E799" s="19" t="n">
        <v>46088</v>
      </c>
      <c r="F799" s="18" t="n">
        <v>4</v>
      </c>
      <c r="G799" s="18" t="inlineStr">
        <is>
          <t>INVENTARIO</t>
        </is>
      </c>
      <c r="H799" s="18" t="n"/>
      <c r="I799" s="45" t="n"/>
      <c r="J799" s="77" t="n"/>
      <c r="K799" s="18" t="n"/>
    </row>
    <row r="800">
      <c r="B800" s="56" t="inlineStr">
        <is>
          <t>00133-FER</t>
        </is>
      </c>
      <c r="C800" s="18">
        <f>IFERROR(_xlfn.XLOOKUP(ENTRADAS[[#This Row],[CODIGO]],LISTADO[CODIGOS],LISTADO[CATEGORIA]),"NO EXISTE")</f>
        <v/>
      </c>
      <c r="D800" s="18">
        <f>IFERROR(_xlfn.XLOOKUP(ENTRADAS[[#This Row],[CODIGO]],LISTADO[CODIGOS],LISTADO[PRODUCTOS]),"NO EXISTE")</f>
        <v/>
      </c>
      <c r="E800" s="19" t="n">
        <v>46088</v>
      </c>
      <c r="F800" s="18" t="n">
        <v>1</v>
      </c>
      <c r="G800" s="18" t="inlineStr">
        <is>
          <t>INVENTARIO</t>
        </is>
      </c>
      <c r="H800" s="18" t="n"/>
      <c r="I800" s="45" t="n"/>
      <c r="J800" s="77" t="n"/>
      <c r="K800" s="18" t="n"/>
    </row>
    <row r="801">
      <c r="B801" s="56" t="inlineStr">
        <is>
          <t>00134-FER</t>
        </is>
      </c>
      <c r="C801" s="18">
        <f>IFERROR(_xlfn.XLOOKUP(ENTRADAS[[#This Row],[CODIGO]],LISTADO[CODIGOS],LISTADO[CATEGORIA]),"NO EXISTE")</f>
        <v/>
      </c>
      <c r="D801" s="18">
        <f>IFERROR(_xlfn.XLOOKUP(ENTRADAS[[#This Row],[CODIGO]],LISTADO[CODIGOS],LISTADO[PRODUCTOS]),"NO EXISTE")</f>
        <v/>
      </c>
      <c r="E801" s="19" t="n">
        <v>46088</v>
      </c>
      <c r="F801" s="18" t="n">
        <v>11</v>
      </c>
      <c r="G801" s="18" t="inlineStr">
        <is>
          <t>INVENTARIO</t>
        </is>
      </c>
      <c r="H801" s="18" t="n"/>
      <c r="I801" s="45" t="n"/>
      <c r="J801" s="77" t="n"/>
      <c r="K801" s="18" t="n"/>
    </row>
    <row r="802">
      <c r="B802" s="56" t="inlineStr">
        <is>
          <t>00035-HRR</t>
        </is>
      </c>
      <c r="C802" s="18">
        <f>IFERROR(_xlfn.XLOOKUP(ENTRADAS[[#This Row],[CODIGO]],LISTADO[CODIGOS],LISTADO[CATEGORIA]),"NO EXISTE")</f>
        <v/>
      </c>
      <c r="D802" s="18">
        <f>IFERROR(_xlfn.XLOOKUP(ENTRADAS[[#This Row],[CODIGO]],LISTADO[CODIGOS],LISTADO[PRODUCTOS]),"NO EXISTE")</f>
        <v/>
      </c>
      <c r="E802" s="19" t="n">
        <v>46088</v>
      </c>
      <c r="F802" s="18" t="n">
        <v>21</v>
      </c>
      <c r="G802" s="18" t="inlineStr">
        <is>
          <t>INVENTARIO</t>
        </is>
      </c>
      <c r="H802" s="18" t="n"/>
      <c r="I802" s="45" t="n"/>
      <c r="J802" s="77" t="n"/>
      <c r="K802" s="18" t="n"/>
    </row>
    <row r="803">
      <c r="B803" s="56" t="inlineStr">
        <is>
          <t>00135-FER</t>
        </is>
      </c>
      <c r="C803" s="18">
        <f>IFERROR(_xlfn.XLOOKUP(ENTRADAS[[#This Row],[CODIGO]],LISTADO[CODIGOS],LISTADO[CATEGORIA]),"NO EXISTE")</f>
        <v/>
      </c>
      <c r="D803" s="18">
        <f>IFERROR(_xlfn.XLOOKUP(ENTRADAS[[#This Row],[CODIGO]],LISTADO[CODIGOS],LISTADO[PRODUCTOS]),"NO EXISTE")</f>
        <v/>
      </c>
      <c r="E803" s="19" t="n">
        <v>46088</v>
      </c>
      <c r="F803" s="18" t="n">
        <v>50</v>
      </c>
      <c r="G803" s="18" t="inlineStr">
        <is>
          <t>INVENTARIO</t>
        </is>
      </c>
      <c r="H803" s="18" t="n"/>
      <c r="I803" s="45" t="n"/>
      <c r="J803" s="77" t="n"/>
      <c r="K803" s="18" t="n"/>
    </row>
    <row r="804">
      <c r="B804" s="56" t="inlineStr">
        <is>
          <t>00136-FER</t>
        </is>
      </c>
      <c r="C804" s="18">
        <f>IFERROR(_xlfn.XLOOKUP(ENTRADAS[[#This Row],[CODIGO]],LISTADO[CODIGOS],LISTADO[CATEGORIA]),"NO EXISTE")</f>
        <v/>
      </c>
      <c r="D804" s="18">
        <f>IFERROR(_xlfn.XLOOKUP(ENTRADAS[[#This Row],[CODIGO]],LISTADO[CODIGOS],LISTADO[PRODUCTOS]),"NO EXISTE")</f>
        <v/>
      </c>
      <c r="E804" s="19" t="n">
        <v>46088</v>
      </c>
      <c r="F804" s="18" t="n">
        <v>12</v>
      </c>
      <c r="G804" s="18" t="inlineStr">
        <is>
          <t>INVENTARIO</t>
        </is>
      </c>
      <c r="H804" s="18" t="n"/>
      <c r="I804" s="45" t="n"/>
      <c r="J804" s="77" t="n"/>
      <c r="K804" s="18" t="n"/>
    </row>
    <row r="805">
      <c r="B805" s="56" t="inlineStr">
        <is>
          <t>00137-FER</t>
        </is>
      </c>
      <c r="C805" s="18">
        <f>IFERROR(_xlfn.XLOOKUP(ENTRADAS[[#This Row],[CODIGO]],LISTADO[CODIGOS],LISTADO[CATEGORIA]),"NO EXISTE")</f>
        <v/>
      </c>
      <c r="D805" s="18">
        <f>IFERROR(_xlfn.XLOOKUP(ENTRADAS[[#This Row],[CODIGO]],LISTADO[CODIGOS],LISTADO[PRODUCTOS]),"NO EXISTE")</f>
        <v/>
      </c>
      <c r="E805" s="19" t="n">
        <v>46088</v>
      </c>
      <c r="F805" s="18" t="n">
        <v>6</v>
      </c>
      <c r="G805" s="18" t="inlineStr">
        <is>
          <t>INVENTARIO</t>
        </is>
      </c>
      <c r="H805" s="18" t="n"/>
      <c r="I805" s="45" t="n"/>
      <c r="J805" s="77" t="n"/>
      <c r="K805" s="18" t="n"/>
    </row>
    <row r="806">
      <c r="B806" s="56" t="inlineStr">
        <is>
          <t>00138-FER</t>
        </is>
      </c>
      <c r="C806" s="18">
        <f>IFERROR(_xlfn.XLOOKUP(ENTRADAS[[#This Row],[CODIGO]],LISTADO[CODIGOS],LISTADO[CATEGORIA]),"NO EXISTE")</f>
        <v/>
      </c>
      <c r="D806" s="18">
        <f>IFERROR(_xlfn.XLOOKUP(ENTRADAS[[#This Row],[CODIGO]],LISTADO[CODIGOS],LISTADO[PRODUCTOS]),"NO EXISTE")</f>
        <v/>
      </c>
      <c r="E806" s="19" t="n">
        <v>46088</v>
      </c>
      <c r="F806" s="18" t="n">
        <v>32</v>
      </c>
      <c r="G806" s="18" t="inlineStr">
        <is>
          <t>INVENTARIO</t>
        </is>
      </c>
      <c r="H806" s="18" t="n"/>
      <c r="I806" s="45" t="n"/>
      <c r="J806" s="77" t="n"/>
      <c r="K806" s="18" t="n"/>
    </row>
    <row r="807">
      <c r="B807" s="56" t="inlineStr">
        <is>
          <t>00139-FER</t>
        </is>
      </c>
      <c r="C807" s="18">
        <f>IFERROR(_xlfn.XLOOKUP(ENTRADAS[[#This Row],[CODIGO]],LISTADO[CODIGOS],LISTADO[CATEGORIA]),"NO EXISTE")</f>
        <v/>
      </c>
      <c r="D807" s="18">
        <f>IFERROR(_xlfn.XLOOKUP(ENTRADAS[[#This Row],[CODIGO]],LISTADO[CODIGOS],LISTADO[PRODUCTOS]),"NO EXISTE")</f>
        <v/>
      </c>
      <c r="E807" s="19" t="n">
        <v>46088</v>
      </c>
      <c r="F807" s="18" t="n">
        <v>94</v>
      </c>
      <c r="G807" s="18" t="inlineStr">
        <is>
          <t>INVENTARIO</t>
        </is>
      </c>
      <c r="H807" s="18" t="n"/>
      <c r="I807" s="45" t="n"/>
      <c r="J807" s="77" t="n"/>
      <c r="K807" s="18" t="n"/>
    </row>
    <row r="808">
      <c r="B808" s="56" t="inlineStr">
        <is>
          <t>00010-LIM</t>
        </is>
      </c>
      <c r="C808" s="18">
        <f>IFERROR(_xlfn.XLOOKUP(ENTRADAS[[#This Row],[CODIGO]],LISTADO[CODIGOS],LISTADO[CATEGORIA]),"NO EXISTE")</f>
        <v/>
      </c>
      <c r="D808" s="18">
        <f>IFERROR(_xlfn.XLOOKUP(ENTRADAS[[#This Row],[CODIGO]],LISTADO[CODIGOS],LISTADO[PRODUCTOS]),"NO EXISTE")</f>
        <v/>
      </c>
      <c r="E808" s="19" t="n">
        <v>46088</v>
      </c>
      <c r="F808" s="18" t="n">
        <v>178</v>
      </c>
      <c r="G808" s="18" t="inlineStr">
        <is>
          <t>INVENTARIO</t>
        </is>
      </c>
      <c r="H808" s="18" t="n"/>
      <c r="I808" s="45" t="n"/>
      <c r="J808" s="77" t="n"/>
      <c r="K808" s="18" t="n"/>
    </row>
    <row r="809">
      <c r="B809" s="56" t="inlineStr">
        <is>
          <t>00011-LIM</t>
        </is>
      </c>
      <c r="C809" s="18">
        <f>IFERROR(_xlfn.XLOOKUP(ENTRADAS[[#This Row],[CODIGO]],LISTADO[CODIGOS],LISTADO[CATEGORIA]),"NO EXISTE")</f>
        <v/>
      </c>
      <c r="D809" s="18">
        <f>IFERROR(_xlfn.XLOOKUP(ENTRADAS[[#This Row],[CODIGO]],LISTADO[CODIGOS],LISTADO[PRODUCTOS]),"NO EXISTE")</f>
        <v/>
      </c>
      <c r="E809" s="19" t="n">
        <v>46088</v>
      </c>
      <c r="F809" s="18" t="n">
        <v>8</v>
      </c>
      <c r="G809" s="18" t="inlineStr">
        <is>
          <t>INVENTARIO</t>
        </is>
      </c>
      <c r="H809" s="18" t="n"/>
      <c r="I809" s="45" t="n"/>
      <c r="J809" s="77" t="n"/>
      <c r="K809" s="18" t="n"/>
    </row>
    <row r="810">
      <c r="B810" s="56" t="inlineStr">
        <is>
          <t>00065-UNI</t>
        </is>
      </c>
      <c r="C810" s="18">
        <f>IFERROR(_xlfn.XLOOKUP(ENTRADAS[[#This Row],[CODIGO]],LISTADO[CODIGOS],LISTADO[CATEGORIA]),"NO EXISTE")</f>
        <v/>
      </c>
      <c r="D810" s="18">
        <f>IFERROR(_xlfn.XLOOKUP(ENTRADAS[[#This Row],[CODIGO]],LISTADO[CODIGOS],LISTADO[PRODUCTOS]),"NO EXISTE")</f>
        <v/>
      </c>
      <c r="E810" s="19" t="n">
        <v>46088</v>
      </c>
      <c r="F810" s="18" t="n">
        <v>52</v>
      </c>
      <c r="G810" s="18" t="inlineStr">
        <is>
          <t>INGRESO</t>
        </is>
      </c>
      <c r="H810" s="18" t="n"/>
      <c r="I810" s="45" t="n"/>
      <c r="J810" s="77" t="n"/>
      <c r="K810" s="18" t="n"/>
    </row>
    <row r="811">
      <c r="B811" s="56" t="inlineStr">
        <is>
          <t>00067-UNI</t>
        </is>
      </c>
      <c r="C811" s="18">
        <f>IFERROR(_xlfn.XLOOKUP(ENTRADAS[[#This Row],[CODIGO]],LISTADO[CODIGOS],LISTADO[CATEGORIA]),"NO EXISTE")</f>
        <v/>
      </c>
      <c r="D811" s="18">
        <f>IFERROR(_xlfn.XLOOKUP(ENTRADAS[[#This Row],[CODIGO]],LISTADO[CODIGOS],LISTADO[PRODUCTOS]),"NO EXISTE")</f>
        <v/>
      </c>
      <c r="E811" s="19" t="n">
        <v>46088</v>
      </c>
      <c r="F811" s="18" t="n">
        <v>21</v>
      </c>
      <c r="G811" s="18" t="inlineStr">
        <is>
          <t>INGRESO</t>
        </is>
      </c>
      <c r="H811" s="18" t="n"/>
      <c r="I811" s="45" t="n"/>
      <c r="J811" s="77" t="n"/>
      <c r="K811" s="18" t="n"/>
    </row>
    <row r="812">
      <c r="B812" s="56" t="inlineStr">
        <is>
          <t>00068-UNI</t>
        </is>
      </c>
      <c r="C812" s="18">
        <f>IFERROR(_xlfn.XLOOKUP(ENTRADAS[[#This Row],[CODIGO]],LISTADO[CODIGOS],LISTADO[CATEGORIA]),"NO EXISTE")</f>
        <v/>
      </c>
      <c r="D812" s="18">
        <f>IFERROR(_xlfn.XLOOKUP(ENTRADAS[[#This Row],[CODIGO]],LISTADO[CODIGOS],LISTADO[PRODUCTOS]),"NO EXISTE")</f>
        <v/>
      </c>
      <c r="E812" s="19" t="n">
        <v>46088</v>
      </c>
      <c r="F812" s="18" t="n">
        <v>30</v>
      </c>
      <c r="G812" s="18" t="inlineStr">
        <is>
          <t>INGRESO</t>
        </is>
      </c>
      <c r="H812" s="18" t="n"/>
      <c r="I812" s="45" t="n"/>
      <c r="J812" s="77" t="n"/>
      <c r="K812" s="18" t="n"/>
    </row>
    <row r="813">
      <c r="B813" s="56" t="inlineStr">
        <is>
          <t>00033-UNI</t>
        </is>
      </c>
      <c r="C813" s="18">
        <f>IFERROR(_xlfn.XLOOKUP(ENTRADAS[[#This Row],[CODIGO]],LISTADO[CODIGOS],LISTADO[CATEGORIA]),"NO EXISTE")</f>
        <v/>
      </c>
      <c r="D813" s="18">
        <f>IFERROR(_xlfn.XLOOKUP(ENTRADAS[[#This Row],[CODIGO]],LISTADO[CODIGOS],LISTADO[PRODUCTOS]),"NO EXISTE")</f>
        <v/>
      </c>
      <c r="E813" s="19" t="n">
        <v>46088</v>
      </c>
      <c r="F813" s="18" t="n">
        <v>30</v>
      </c>
      <c r="G813" s="18" t="inlineStr">
        <is>
          <t>INGRESO</t>
        </is>
      </c>
      <c r="H813" s="18" t="n"/>
      <c r="I813" s="45" t="n"/>
      <c r="J813" s="77" t="n"/>
      <c r="K813" s="18" t="n"/>
    </row>
    <row r="814">
      <c r="B814" s="56" t="inlineStr">
        <is>
          <t>00028-UNI</t>
        </is>
      </c>
      <c r="C814" s="18">
        <f>IFERROR(_xlfn.XLOOKUP(ENTRADAS[[#This Row],[CODIGO]],LISTADO[CODIGOS],LISTADO[CATEGORIA]),"NO EXISTE")</f>
        <v/>
      </c>
      <c r="D814" s="18">
        <f>IFERROR(_xlfn.XLOOKUP(ENTRADAS[[#This Row],[CODIGO]],LISTADO[CODIGOS],LISTADO[PRODUCTOS]),"NO EXISTE")</f>
        <v/>
      </c>
      <c r="E814" s="19" t="n">
        <v>46088</v>
      </c>
      <c r="F814" s="18" t="n">
        <v>30</v>
      </c>
      <c r="G814" s="18" t="inlineStr">
        <is>
          <t>INGRESO</t>
        </is>
      </c>
      <c r="H814" s="18" t="n"/>
      <c r="I814" s="45" t="n"/>
      <c r="J814" s="77" t="n"/>
      <c r="K814" s="18" t="n"/>
    </row>
    <row r="815">
      <c r="B815" s="56" t="inlineStr">
        <is>
          <t>00141-FER</t>
        </is>
      </c>
      <c r="C815" s="18">
        <f>IFERROR(_xlfn.XLOOKUP(ENTRADAS[[#This Row],[CODIGO]],LISTADO[CODIGOS],LISTADO[CATEGORIA]),"NO EXISTE")</f>
        <v/>
      </c>
      <c r="D815" s="18">
        <f>IFERROR(_xlfn.XLOOKUP(ENTRADAS[[#This Row],[CODIGO]],LISTADO[CODIGOS],LISTADO[PRODUCTOS]),"NO EXISTE")</f>
        <v/>
      </c>
      <c r="E815" s="19" t="n">
        <v>46088</v>
      </c>
      <c r="F815" s="18" t="n">
        <v>50</v>
      </c>
      <c r="G815" s="18" t="inlineStr">
        <is>
          <t>INGRESO</t>
        </is>
      </c>
      <c r="H815" s="18" t="n"/>
      <c r="I815" s="45" t="n"/>
      <c r="J815" s="77" t="n"/>
      <c r="K815" s="18" t="n"/>
    </row>
    <row r="816">
      <c r="B816" s="56" t="inlineStr">
        <is>
          <t>00142-FER</t>
        </is>
      </c>
      <c r="C816" s="18">
        <f>IFERROR(_xlfn.XLOOKUP(ENTRADAS[[#This Row],[CODIGO]],LISTADO[CODIGOS],LISTADO[CATEGORIA]),"NO EXISTE")</f>
        <v/>
      </c>
      <c r="D816" s="18">
        <f>IFERROR(_xlfn.XLOOKUP(ENTRADAS[[#This Row],[CODIGO]],LISTADO[CODIGOS],LISTADO[PRODUCTOS]),"NO EXISTE")</f>
        <v/>
      </c>
      <c r="E816" s="19" t="n">
        <v>46088</v>
      </c>
      <c r="F816" s="18" t="n">
        <v>2</v>
      </c>
      <c r="G816" s="18" t="inlineStr">
        <is>
          <t>INGRESO</t>
        </is>
      </c>
      <c r="H816" s="18" t="n"/>
      <c r="I816" s="45" t="n"/>
      <c r="J816" s="77" t="n"/>
      <c r="K816" s="18" t="n"/>
    </row>
    <row r="817">
      <c r="B817" s="56" t="inlineStr">
        <is>
          <t>00036-HRR</t>
        </is>
      </c>
      <c r="C817" s="18">
        <f>IFERROR(_xlfn.XLOOKUP(ENTRADAS[[#This Row],[CODIGO]],LISTADO[CODIGOS],LISTADO[CATEGORIA]),"NO EXISTE")</f>
        <v/>
      </c>
      <c r="D817" s="18">
        <f>IFERROR(_xlfn.XLOOKUP(ENTRADAS[[#This Row],[CODIGO]],LISTADO[CODIGOS],LISTADO[PRODUCTOS]),"NO EXISTE")</f>
        <v/>
      </c>
      <c r="E817" s="19" t="n">
        <v>46088</v>
      </c>
      <c r="F817" s="18" t="n">
        <v>1</v>
      </c>
      <c r="G817" s="18" t="inlineStr">
        <is>
          <t>INGRESO</t>
        </is>
      </c>
      <c r="H817" s="18" t="n"/>
      <c r="I817" s="45" t="n"/>
      <c r="J817" s="77" t="n"/>
      <c r="K817" s="18" t="n"/>
    </row>
    <row r="818">
      <c r="B818" s="56" t="inlineStr">
        <is>
          <t>00143-FER</t>
        </is>
      </c>
      <c r="C818" s="18">
        <f>IFERROR(_xlfn.XLOOKUP(ENTRADAS[[#This Row],[CODIGO]],LISTADO[CODIGOS],LISTADO[CATEGORIA]),"NO EXISTE")</f>
        <v/>
      </c>
      <c r="D818" s="18">
        <f>IFERROR(_xlfn.XLOOKUP(ENTRADAS[[#This Row],[CODIGO]],LISTADO[CODIGOS],LISTADO[PRODUCTOS]),"NO EXISTE")</f>
        <v/>
      </c>
      <c r="E818" s="19" t="n">
        <v>46088</v>
      </c>
      <c r="F818" s="18" t="n">
        <v>50</v>
      </c>
      <c r="G818" s="18" t="inlineStr">
        <is>
          <t>INGRESO</t>
        </is>
      </c>
      <c r="H818" s="18" t="n"/>
      <c r="I818" s="45" t="n"/>
      <c r="J818" s="77" t="n"/>
      <c r="K818" s="18" t="n"/>
    </row>
    <row r="819">
      <c r="B819" s="56" t="inlineStr">
        <is>
          <t>00002-PLM</t>
        </is>
      </c>
      <c r="C819" s="18">
        <f>IFERROR(_xlfn.XLOOKUP(ENTRADAS[[#This Row],[CODIGO]],LISTADO[CODIGOS],LISTADO[CATEGORIA]),"NO EXISTE")</f>
        <v/>
      </c>
      <c r="D819" s="18">
        <f>IFERROR(_xlfn.XLOOKUP(ENTRADAS[[#This Row],[CODIGO]],LISTADO[CODIGOS],LISTADO[PRODUCTOS]),"NO EXISTE")</f>
        <v/>
      </c>
      <c r="E819" s="19" t="n">
        <v>46088</v>
      </c>
      <c r="F819" s="18" t="n">
        <v>2</v>
      </c>
      <c r="G819" s="18" t="inlineStr">
        <is>
          <t>INGRESO</t>
        </is>
      </c>
      <c r="H819" s="18" t="n"/>
      <c r="I819" s="45" t="n"/>
      <c r="J819" s="77" t="n"/>
      <c r="K819" s="18" t="n"/>
    </row>
    <row r="820">
      <c r="B820" s="56" t="inlineStr">
        <is>
          <t>00124-FER</t>
        </is>
      </c>
      <c r="C820" s="18">
        <f>IFERROR(_xlfn.XLOOKUP(ENTRADAS[[#This Row],[CODIGO]],LISTADO[CODIGOS],LISTADO[CATEGORIA]),"NO EXISTE")</f>
        <v/>
      </c>
      <c r="D820" s="18">
        <f>IFERROR(_xlfn.XLOOKUP(ENTRADAS[[#This Row],[CODIGO]],LISTADO[CODIGOS],LISTADO[PRODUCTOS]),"NO EXISTE")</f>
        <v/>
      </c>
      <c r="E820" s="19" t="n">
        <v>46088</v>
      </c>
      <c r="F820" s="18" t="n">
        <v>2</v>
      </c>
      <c r="G820" s="18" t="inlineStr">
        <is>
          <t>INGRESO</t>
        </is>
      </c>
      <c r="H820" s="18" t="n"/>
      <c r="I820" s="45" t="n"/>
      <c r="J820" s="77" t="n"/>
      <c r="K820" s="18" t="n"/>
    </row>
    <row r="821">
      <c r="B821" s="56" t="inlineStr">
        <is>
          <t>00140-FER</t>
        </is>
      </c>
      <c r="C821" s="18">
        <f>IFERROR(_xlfn.XLOOKUP(ENTRADAS[[#This Row],[CODIGO]],LISTADO[CODIGOS],LISTADO[CATEGORIA]),"NO EXISTE")</f>
        <v/>
      </c>
      <c r="D821" s="18">
        <f>IFERROR(_xlfn.XLOOKUP(ENTRADAS[[#This Row],[CODIGO]],LISTADO[CODIGOS],LISTADO[PRODUCTOS]),"NO EXISTE")</f>
        <v/>
      </c>
      <c r="E821" s="19" t="n">
        <v>46088</v>
      </c>
      <c r="F821" s="18" t="n">
        <v>1</v>
      </c>
      <c r="G821" s="18" t="inlineStr">
        <is>
          <t>INGRESO</t>
        </is>
      </c>
      <c r="H821" s="18" t="n"/>
      <c r="I821" s="45" t="n"/>
      <c r="J821" s="77" t="n"/>
      <c r="K821" s="18" t="n"/>
    </row>
    <row r="822">
      <c r="B822" s="56" t="inlineStr">
        <is>
          <t>00013-UNI</t>
        </is>
      </c>
      <c r="C822" s="18">
        <f>IFERROR(_xlfn.XLOOKUP(ENTRADAS[[#This Row],[CODIGO]],LISTADO[CODIGOS],LISTADO[CATEGORIA]),"NO EXISTE")</f>
        <v/>
      </c>
      <c r="D822" s="18">
        <f>IFERROR(_xlfn.XLOOKUP(ENTRADAS[[#This Row],[CODIGO]],LISTADO[CODIGOS],LISTADO[PRODUCTOS]),"NO EXISTE")</f>
        <v/>
      </c>
      <c r="E822" s="19" t="n">
        <v>46090</v>
      </c>
      <c r="F822" s="18" t="n">
        <v>440</v>
      </c>
      <c r="G822" s="18" t="inlineStr">
        <is>
          <t>INGRESO</t>
        </is>
      </c>
      <c r="H822" s="18" t="n"/>
      <c r="I822" s="45" t="n"/>
      <c r="J822" s="77" t="n"/>
      <c r="K822" s="18" t="n"/>
    </row>
    <row r="823">
      <c r="B823" s="56" t="inlineStr">
        <is>
          <t>00014-UNI</t>
        </is>
      </c>
      <c r="C823" s="18">
        <f>IFERROR(_xlfn.XLOOKUP(ENTRADAS[[#This Row],[CODIGO]],LISTADO[CODIGOS],LISTADO[CATEGORIA]),"NO EXISTE")</f>
        <v/>
      </c>
      <c r="D823" s="18">
        <f>IFERROR(_xlfn.XLOOKUP(ENTRADAS[[#This Row],[CODIGO]],LISTADO[CODIGOS],LISTADO[PRODUCTOS]),"NO EXISTE")</f>
        <v/>
      </c>
      <c r="E823" s="19" t="n">
        <v>46090</v>
      </c>
      <c r="F823" s="18" t="n">
        <v>360</v>
      </c>
      <c r="G823" s="18" t="inlineStr">
        <is>
          <t>INGRESO</t>
        </is>
      </c>
      <c r="H823" s="18" t="n"/>
      <c r="I823" s="45" t="n"/>
      <c r="J823" s="77" t="n"/>
      <c r="K823" s="18" t="n"/>
    </row>
    <row r="824">
      <c r="B824" s="56" t="inlineStr">
        <is>
          <t>00050-ELE</t>
        </is>
      </c>
      <c r="C824" s="18">
        <f>IFERROR(_xlfn.XLOOKUP(ENTRADAS[[#This Row],[CODIGO]],LISTADO[CODIGOS],LISTADO[CATEGORIA]),"NO EXISTE")</f>
        <v/>
      </c>
      <c r="D824" s="18">
        <f>IFERROR(_xlfn.XLOOKUP(ENTRADAS[[#This Row],[CODIGO]],LISTADO[CODIGOS],LISTADO[PRODUCTOS]),"NO EXISTE")</f>
        <v/>
      </c>
      <c r="E824" s="19" t="n">
        <v>46090</v>
      </c>
      <c r="F824" s="18" t="n">
        <v>100</v>
      </c>
      <c r="G824" s="18" t="inlineStr">
        <is>
          <t>INGRESO</t>
        </is>
      </c>
      <c r="H824" s="18" t="n"/>
      <c r="I824" s="45" t="n"/>
      <c r="J824" s="77" t="n"/>
      <c r="K824" s="18" t="n"/>
    </row>
    <row r="825">
      <c r="B825" s="56" t="inlineStr">
        <is>
          <t>00051-ELE</t>
        </is>
      </c>
      <c r="C825" s="18">
        <f>IFERROR(_xlfn.XLOOKUP(ENTRADAS[[#This Row],[CODIGO]],LISTADO[CODIGOS],LISTADO[CATEGORIA]),"NO EXISTE")</f>
        <v/>
      </c>
      <c r="D825" s="18">
        <f>IFERROR(_xlfn.XLOOKUP(ENTRADAS[[#This Row],[CODIGO]],LISTADO[CODIGOS],LISTADO[PRODUCTOS]),"NO EXISTE")</f>
        <v/>
      </c>
      <c r="E825" s="19" t="n">
        <v>46090</v>
      </c>
      <c r="F825" s="18" t="n">
        <v>100</v>
      </c>
      <c r="G825" s="18" t="inlineStr">
        <is>
          <t>INGRESO</t>
        </is>
      </c>
      <c r="H825" s="18" t="n"/>
      <c r="I825" s="45" t="n"/>
      <c r="J825" s="77" t="n"/>
      <c r="K825" s="18" t="n"/>
    </row>
    <row r="826">
      <c r="B826" s="56" t="inlineStr">
        <is>
          <t>00052-ELE</t>
        </is>
      </c>
      <c r="C826" s="18">
        <f>IFERROR(_xlfn.XLOOKUP(ENTRADAS[[#This Row],[CODIGO]],LISTADO[CODIGOS],LISTADO[CATEGORIA]),"NO EXISTE")</f>
        <v/>
      </c>
      <c r="D826" s="18">
        <f>IFERROR(_xlfn.XLOOKUP(ENTRADAS[[#This Row],[CODIGO]],LISTADO[CODIGOS],LISTADO[PRODUCTOS]),"NO EXISTE")</f>
        <v/>
      </c>
      <c r="E826" s="19" t="n">
        <v>46090</v>
      </c>
      <c r="F826" s="18" t="n">
        <v>100</v>
      </c>
      <c r="G826" s="18" t="inlineStr">
        <is>
          <t>INGRESO</t>
        </is>
      </c>
      <c r="H826" s="18" t="n"/>
      <c r="I826" s="45" t="n"/>
      <c r="J826" s="77" t="n"/>
      <c r="K826" s="18" t="n"/>
    </row>
    <row r="827">
      <c r="B827" s="56" t="inlineStr">
        <is>
          <t>00053-ELE</t>
        </is>
      </c>
      <c r="C827" s="18">
        <f>IFERROR(_xlfn.XLOOKUP(ENTRADAS[[#This Row],[CODIGO]],LISTADO[CODIGOS],LISTADO[CATEGORIA]),"NO EXISTE")</f>
        <v/>
      </c>
      <c r="D827" s="18">
        <f>IFERROR(_xlfn.XLOOKUP(ENTRADAS[[#This Row],[CODIGO]],LISTADO[CODIGOS],LISTADO[PRODUCTOS]),"NO EXISTE")</f>
        <v/>
      </c>
      <c r="E827" s="19" t="n">
        <v>46090</v>
      </c>
      <c r="F827" s="18" t="n">
        <v>100</v>
      </c>
      <c r="G827" s="18" t="inlineStr">
        <is>
          <t>INGRESO</t>
        </is>
      </c>
      <c r="H827" s="18" t="n"/>
      <c r="I827" s="45" t="n"/>
      <c r="J827" s="77" t="n"/>
      <c r="K827" s="18" t="n"/>
    </row>
    <row r="828">
      <c r="B828" s="56" t="inlineStr">
        <is>
          <t>00054-ELE</t>
        </is>
      </c>
      <c r="C828" s="18">
        <f>IFERROR(_xlfn.XLOOKUP(ENTRADAS[[#This Row],[CODIGO]],LISTADO[CODIGOS],LISTADO[CATEGORIA]),"NO EXISTE")</f>
        <v/>
      </c>
      <c r="D828" s="18">
        <f>IFERROR(_xlfn.XLOOKUP(ENTRADAS[[#This Row],[CODIGO]],LISTADO[CODIGOS],LISTADO[PRODUCTOS]),"NO EXISTE")</f>
        <v/>
      </c>
      <c r="E828" s="19" t="n">
        <v>46090</v>
      </c>
      <c r="F828" s="18" t="n">
        <v>20</v>
      </c>
      <c r="G828" s="18" t="inlineStr">
        <is>
          <t>INGRESO</t>
        </is>
      </c>
      <c r="H828" s="18" t="n"/>
      <c r="I828" s="45" t="n"/>
      <c r="J828" s="77" t="n"/>
      <c r="K828" s="18" t="n"/>
    </row>
    <row r="829">
      <c r="B829" s="56" t="inlineStr">
        <is>
          <t>00088-REF</t>
        </is>
      </c>
      <c r="C829" s="18">
        <f>IFERROR(_xlfn.XLOOKUP(ENTRADAS[[#This Row],[CODIGO]],LISTADO[CODIGOS],LISTADO[CATEGORIA]),"NO EXISTE")</f>
        <v/>
      </c>
      <c r="D829" s="18">
        <f>IFERROR(_xlfn.XLOOKUP(ENTRADAS[[#This Row],[CODIGO]],LISTADO[CODIGOS],LISTADO[PRODUCTOS]),"NO EXISTE")</f>
        <v/>
      </c>
      <c r="E829" s="19" t="n">
        <v>46090</v>
      </c>
      <c r="F829" s="18" t="n">
        <v>52</v>
      </c>
      <c r="G829" s="18" t="inlineStr">
        <is>
          <t>INGRESO</t>
        </is>
      </c>
      <c r="H829" s="18" t="n"/>
      <c r="I829" s="45" t="n"/>
      <c r="J829" s="77" t="n"/>
      <c r="K829" s="18" t="n"/>
    </row>
    <row r="830">
      <c r="B830" s="56" t="inlineStr">
        <is>
          <t>00089-REF</t>
        </is>
      </c>
      <c r="C830" s="18">
        <f>IFERROR(_xlfn.XLOOKUP(ENTRADAS[[#This Row],[CODIGO]],LISTADO[CODIGOS],LISTADO[CATEGORIA]),"NO EXISTE")</f>
        <v/>
      </c>
      <c r="D830" s="18">
        <f>IFERROR(_xlfn.XLOOKUP(ENTRADAS[[#This Row],[CODIGO]],LISTADO[CODIGOS],LISTADO[PRODUCTOS]),"NO EXISTE")</f>
        <v/>
      </c>
      <c r="E830" s="19" t="n">
        <v>46090</v>
      </c>
      <c r="F830" s="18" t="n">
        <v>52</v>
      </c>
      <c r="G830" s="18" t="inlineStr">
        <is>
          <t>INGRESO</t>
        </is>
      </c>
      <c r="H830" s="18" t="n"/>
      <c r="I830" s="45" t="n"/>
      <c r="J830" s="77" t="n"/>
      <c r="K830" s="18" t="n"/>
    </row>
    <row r="831">
      <c r="B831" s="56" t="inlineStr">
        <is>
          <t>00090-REF</t>
        </is>
      </c>
      <c r="C831" s="18">
        <f>IFERROR(_xlfn.XLOOKUP(ENTRADAS[[#This Row],[CODIGO]],LISTADO[CODIGOS],LISTADO[CATEGORIA]),"NO EXISTE")</f>
        <v/>
      </c>
      <c r="D831" s="18">
        <f>IFERROR(_xlfn.XLOOKUP(ENTRADAS[[#This Row],[CODIGO]],LISTADO[CODIGOS],LISTADO[PRODUCTOS]),"NO EXISTE")</f>
        <v/>
      </c>
      <c r="E831" s="19" t="n">
        <v>46090</v>
      </c>
      <c r="F831" s="18" t="n">
        <v>8</v>
      </c>
      <c r="G831" s="18" t="inlineStr">
        <is>
          <t>INGRESO</t>
        </is>
      </c>
      <c r="H831" s="18" t="n"/>
      <c r="I831" s="45" t="n"/>
      <c r="J831" s="77" t="n"/>
      <c r="K831" s="18" t="n"/>
    </row>
    <row r="832">
      <c r="B832" s="56" t="inlineStr">
        <is>
          <t>00091-REF</t>
        </is>
      </c>
      <c r="C832" s="18">
        <f>IFERROR(_xlfn.XLOOKUP(ENTRADAS[[#This Row],[CODIGO]],LISTADO[CODIGOS],LISTADO[CATEGORIA]),"NO EXISTE")</f>
        <v/>
      </c>
      <c r="D832" s="18">
        <f>IFERROR(_xlfn.XLOOKUP(ENTRADAS[[#This Row],[CODIGO]],LISTADO[CODIGOS],LISTADO[PRODUCTOS]),"NO EXISTE")</f>
        <v/>
      </c>
      <c r="E832" s="19" t="n">
        <v>46090</v>
      </c>
      <c r="F832" s="18" t="n">
        <v>3</v>
      </c>
      <c r="G832" s="18" t="inlineStr">
        <is>
          <t>INGRESO</t>
        </is>
      </c>
      <c r="H832" s="18" t="n"/>
      <c r="I832" s="45" t="n"/>
      <c r="J832" s="77" t="n"/>
      <c r="K832" s="18" t="n"/>
    </row>
    <row r="833">
      <c r="B833" s="56" t="inlineStr">
        <is>
          <t>00073-REF</t>
        </is>
      </c>
      <c r="C833" s="18">
        <f>IFERROR(_xlfn.XLOOKUP(ENTRADAS[[#This Row],[CODIGO]],LISTADO[CODIGOS],LISTADO[CATEGORIA]),"NO EXISTE")</f>
        <v/>
      </c>
      <c r="D833" s="18">
        <f>IFERROR(_xlfn.XLOOKUP(ENTRADAS[[#This Row],[CODIGO]],LISTADO[CODIGOS],LISTADO[PRODUCTOS]),"NO EXISTE")</f>
        <v/>
      </c>
      <c r="E833" s="19" t="n">
        <v>46090</v>
      </c>
      <c r="F833" s="18" t="n">
        <v>28</v>
      </c>
      <c r="G833" s="18" t="inlineStr">
        <is>
          <t>INGRESO</t>
        </is>
      </c>
      <c r="H833" s="18" t="n"/>
      <c r="I833" s="45" t="n"/>
      <c r="J833" s="77" t="n"/>
      <c r="K833" s="18" t="n"/>
    </row>
    <row r="834">
      <c r="B834" s="56" t="inlineStr">
        <is>
          <t>00001-REF</t>
        </is>
      </c>
      <c r="C834" s="18">
        <f>IFERROR(_xlfn.XLOOKUP(ENTRADAS[[#This Row],[CODIGO]],LISTADO[CODIGOS],LISTADO[CATEGORIA]),"NO EXISTE")</f>
        <v/>
      </c>
      <c r="D834" s="18">
        <f>IFERROR(_xlfn.XLOOKUP(ENTRADAS[[#This Row],[CODIGO]],LISTADO[CODIGOS],LISTADO[PRODUCTOS]),"NO EXISTE")</f>
        <v/>
      </c>
      <c r="E834" s="19" t="n">
        <v>46090</v>
      </c>
      <c r="F834" s="18" t="n">
        <v>12</v>
      </c>
      <c r="G834" s="18" t="inlineStr">
        <is>
          <t>INGRESO</t>
        </is>
      </c>
      <c r="H834" s="18" t="n"/>
      <c r="I834" s="45" t="n"/>
      <c r="J834" s="77" t="n"/>
      <c r="K834" s="18" t="n"/>
    </row>
    <row r="835">
      <c r="B835" s="56" t="inlineStr">
        <is>
          <t>00051-REF</t>
        </is>
      </c>
      <c r="C835" s="18">
        <f>IFERROR(_xlfn.XLOOKUP(ENTRADAS[[#This Row],[CODIGO]],LISTADO[CODIGOS],LISTADO[CATEGORIA]),"NO EXISTE")</f>
        <v/>
      </c>
      <c r="D835" s="18">
        <f>IFERROR(_xlfn.XLOOKUP(ENTRADAS[[#This Row],[CODIGO]],LISTADO[CODIGOS],LISTADO[PRODUCTOS]),"NO EXISTE")</f>
        <v/>
      </c>
      <c r="E835" s="19" t="n">
        <v>46090</v>
      </c>
      <c r="F835" s="18" t="n">
        <v>8</v>
      </c>
      <c r="G835" s="18" t="inlineStr">
        <is>
          <t>INGRESO</t>
        </is>
      </c>
      <c r="H835" s="18" t="n"/>
      <c r="I835" s="45" t="n"/>
      <c r="J835" s="77" t="n"/>
      <c r="K835" s="18" t="n"/>
    </row>
    <row r="836">
      <c r="B836" s="56" t="inlineStr">
        <is>
          <t>00016-REF</t>
        </is>
      </c>
      <c r="C836" s="18">
        <f>IFERROR(_xlfn.XLOOKUP(ENTRADAS[[#This Row],[CODIGO]],LISTADO[CODIGOS],LISTADO[CATEGORIA]),"NO EXISTE")</f>
        <v/>
      </c>
      <c r="D836" s="18">
        <f>IFERROR(_xlfn.XLOOKUP(ENTRADAS[[#This Row],[CODIGO]],LISTADO[CODIGOS],LISTADO[PRODUCTOS]),"NO EXISTE")</f>
        <v/>
      </c>
      <c r="E836" s="19" t="n">
        <v>46090</v>
      </c>
      <c r="F836" s="18" t="n">
        <v>15</v>
      </c>
      <c r="G836" s="18" t="inlineStr">
        <is>
          <t>INGRESO</t>
        </is>
      </c>
      <c r="H836" s="18" t="n"/>
      <c r="I836" s="45" t="n"/>
      <c r="J836" s="77" t="n"/>
      <c r="K836" s="18" t="n"/>
    </row>
    <row r="837">
      <c r="B837" s="56" t="inlineStr">
        <is>
          <t>00048-ELE</t>
        </is>
      </c>
      <c r="C837" s="18">
        <f>IFERROR(_xlfn.XLOOKUP(ENTRADAS[[#This Row],[CODIGO]],LISTADO[CODIGOS],LISTADO[CATEGORIA]),"NO EXISTE")</f>
        <v/>
      </c>
      <c r="D837" s="18">
        <f>IFERROR(_xlfn.XLOOKUP(ENTRADAS[[#This Row],[CODIGO]],LISTADO[CODIGOS],LISTADO[PRODUCTOS]),"NO EXISTE")</f>
        <v/>
      </c>
      <c r="E837" s="19" t="n">
        <v>46090</v>
      </c>
      <c r="F837" s="18" t="n">
        <v>6</v>
      </c>
      <c r="G837" s="18" t="inlineStr">
        <is>
          <t>INGRESO</t>
        </is>
      </c>
      <c r="H837" s="18" t="n"/>
      <c r="I837" s="45" t="n"/>
      <c r="J837" s="77" t="n"/>
      <c r="K837" s="18" t="n"/>
    </row>
    <row r="838">
      <c r="B838" s="56" t="inlineStr">
        <is>
          <t>00055-ELE</t>
        </is>
      </c>
      <c r="C838" s="18">
        <f>IFERROR(_xlfn.XLOOKUP(ENTRADAS[[#This Row],[CODIGO]],LISTADO[CODIGOS],LISTADO[CATEGORIA]),"NO EXISTE")</f>
        <v/>
      </c>
      <c r="D838" s="18">
        <f>IFERROR(_xlfn.XLOOKUP(ENTRADAS[[#This Row],[CODIGO]],LISTADO[CODIGOS],LISTADO[PRODUCTOS]),"NO EXISTE")</f>
        <v/>
      </c>
      <c r="E838" s="19" t="n">
        <v>46090</v>
      </c>
      <c r="F838" s="18" t="n">
        <v>6</v>
      </c>
      <c r="G838" s="18" t="inlineStr">
        <is>
          <t>INGRESO</t>
        </is>
      </c>
      <c r="H838" s="18" t="n"/>
      <c r="I838" s="45" t="n"/>
      <c r="J838" s="77" t="n"/>
      <c r="K838" s="18" t="n"/>
    </row>
    <row r="839">
      <c r="B839" s="56" t="inlineStr">
        <is>
          <t>00049-ELE</t>
        </is>
      </c>
      <c r="C839" s="18">
        <f>IFERROR(_xlfn.XLOOKUP(ENTRADAS[[#This Row],[CODIGO]],LISTADO[CODIGOS],LISTADO[CATEGORIA]),"NO EXISTE")</f>
        <v/>
      </c>
      <c r="D839" s="18">
        <f>IFERROR(_xlfn.XLOOKUP(ENTRADAS[[#This Row],[CODIGO]],LISTADO[CODIGOS],LISTADO[PRODUCTOS]),"NO EXISTE")</f>
        <v/>
      </c>
      <c r="E839" s="19" t="n">
        <v>46090</v>
      </c>
      <c r="F839" s="18" t="n">
        <v>2</v>
      </c>
      <c r="G839" s="18" t="inlineStr">
        <is>
          <t>INGRESO</t>
        </is>
      </c>
      <c r="H839" s="18" t="n"/>
      <c r="I839" s="45" t="n"/>
      <c r="J839" s="77" t="n"/>
      <c r="K839" s="18" t="n"/>
    </row>
    <row r="840">
      <c r="B840" s="56" t="inlineStr">
        <is>
          <t>00094-FER</t>
        </is>
      </c>
      <c r="C840" s="18">
        <f>IFERROR(_xlfn.XLOOKUP(ENTRADAS[[#This Row],[CODIGO]],LISTADO[CODIGOS],LISTADO[CATEGORIA]),"NO EXISTE")</f>
        <v/>
      </c>
      <c r="D840" s="18">
        <f>IFERROR(_xlfn.XLOOKUP(ENTRADAS[[#This Row],[CODIGO]],LISTADO[CODIGOS],LISTADO[PRODUCTOS]),"NO EXISTE")</f>
        <v/>
      </c>
      <c r="E840" s="19" t="n">
        <v>46090</v>
      </c>
      <c r="F840" s="18" t="n">
        <v>6</v>
      </c>
      <c r="G840" s="18" t="inlineStr">
        <is>
          <t>INGRESO</t>
        </is>
      </c>
      <c r="H840" s="18" t="n"/>
      <c r="I840" s="45" t="n"/>
      <c r="J840" s="77" t="n"/>
      <c r="K840" s="18" t="n"/>
    </row>
    <row r="841">
      <c r="B841" s="56" t="inlineStr">
        <is>
          <t>00088-FER</t>
        </is>
      </c>
      <c r="C841" s="18">
        <f>IFERROR(_xlfn.XLOOKUP(ENTRADAS[[#This Row],[CODIGO]],LISTADO[CODIGOS],LISTADO[CATEGORIA]),"NO EXISTE")</f>
        <v/>
      </c>
      <c r="D841" s="18">
        <f>IFERROR(_xlfn.XLOOKUP(ENTRADAS[[#This Row],[CODIGO]],LISTADO[CODIGOS],LISTADO[PRODUCTOS]),"NO EXISTE")</f>
        <v/>
      </c>
      <c r="E841" s="19" t="n">
        <v>46090</v>
      </c>
      <c r="F841" s="18" t="n">
        <v>2</v>
      </c>
      <c r="G841" s="18" t="inlineStr">
        <is>
          <t>INGRESO</t>
        </is>
      </c>
      <c r="H841" s="18" t="n"/>
      <c r="I841" s="45" t="n"/>
      <c r="J841" s="77" t="n"/>
      <c r="K841" s="18" t="n"/>
    </row>
    <row r="842">
      <c r="B842" s="56" t="inlineStr">
        <is>
          <t>00047-ELE</t>
        </is>
      </c>
      <c r="C842" s="18">
        <f>IFERROR(_xlfn.XLOOKUP(ENTRADAS[[#This Row],[CODIGO]],LISTADO[CODIGOS],LISTADO[CATEGORIA]),"NO EXISTE")</f>
        <v/>
      </c>
      <c r="D842" s="18">
        <f>IFERROR(_xlfn.XLOOKUP(ENTRADAS[[#This Row],[CODIGO]],LISTADO[CODIGOS],LISTADO[PRODUCTOS]),"NO EXISTE")</f>
        <v/>
      </c>
      <c r="E842" s="19" t="n">
        <v>46090</v>
      </c>
      <c r="F842" s="18" t="n">
        <v>6</v>
      </c>
      <c r="G842" s="18" t="inlineStr">
        <is>
          <t>INGRESO</t>
        </is>
      </c>
      <c r="H842" s="18" t="n"/>
      <c r="I842" s="45" t="n"/>
      <c r="J842" s="77" t="n"/>
      <c r="K842" s="18" t="n"/>
    </row>
    <row r="843">
      <c r="B843" s="56" t="inlineStr">
        <is>
          <t>00096-FER</t>
        </is>
      </c>
      <c r="C843" s="18">
        <f>IFERROR(_xlfn.XLOOKUP(ENTRADAS[[#This Row],[CODIGO]],LISTADO[CODIGOS],LISTADO[CATEGORIA]),"NO EXISTE")</f>
        <v/>
      </c>
      <c r="D843" s="18">
        <f>IFERROR(_xlfn.XLOOKUP(ENTRADAS[[#This Row],[CODIGO]],LISTADO[CODIGOS],LISTADO[PRODUCTOS]),"NO EXISTE")</f>
        <v/>
      </c>
      <c r="E843" s="19" t="n">
        <v>46090</v>
      </c>
      <c r="F843" s="18" t="n">
        <v>2</v>
      </c>
      <c r="G843" s="18" t="inlineStr">
        <is>
          <t>INGRESO</t>
        </is>
      </c>
      <c r="H843" s="18" t="n"/>
      <c r="I843" s="45" t="n"/>
      <c r="J843" s="77" t="n"/>
      <c r="K843" s="18" t="n"/>
    </row>
    <row r="844">
      <c r="B844" s="56" t="inlineStr">
        <is>
          <t>00056-ELE</t>
        </is>
      </c>
      <c r="C844" s="18">
        <f>IFERROR(_xlfn.XLOOKUP(ENTRADAS[[#This Row],[CODIGO]],LISTADO[CODIGOS],LISTADO[CATEGORIA]),"NO EXISTE")</f>
        <v/>
      </c>
      <c r="D844" s="18">
        <f>IFERROR(_xlfn.XLOOKUP(ENTRADAS[[#This Row],[CODIGO]],LISTADO[CODIGOS],LISTADO[PRODUCTOS]),"NO EXISTE")</f>
        <v/>
      </c>
      <c r="E844" s="19" t="n">
        <v>46090</v>
      </c>
      <c r="F844" s="18" t="n">
        <v>60</v>
      </c>
      <c r="G844" s="18" t="inlineStr">
        <is>
          <t>INGRESO</t>
        </is>
      </c>
      <c r="H844" s="18" t="n"/>
      <c r="I844" s="45" t="n"/>
      <c r="J844" s="77" t="n"/>
      <c r="K844" s="18" t="n"/>
    </row>
    <row r="845">
      <c r="B845" s="56" t="inlineStr">
        <is>
          <t>00092-REF</t>
        </is>
      </c>
      <c r="C845" s="18">
        <f>IFERROR(_xlfn.XLOOKUP(ENTRADAS[[#This Row],[CODIGO]],LISTADO[CODIGOS],LISTADO[CATEGORIA]),"NO EXISTE")</f>
        <v/>
      </c>
      <c r="D845" s="18">
        <f>IFERROR(_xlfn.XLOOKUP(ENTRADAS[[#This Row],[CODIGO]],LISTADO[CODIGOS],LISTADO[PRODUCTOS]),"NO EXISTE")</f>
        <v/>
      </c>
      <c r="E845" s="19" t="n">
        <v>46090</v>
      </c>
      <c r="F845" s="18" t="n">
        <v>2</v>
      </c>
      <c r="G845" s="18" t="inlineStr">
        <is>
          <t>INGRESO</t>
        </is>
      </c>
      <c r="H845" s="18" t="n"/>
      <c r="I845" s="45" t="n"/>
      <c r="J845" s="77" t="n"/>
      <c r="K845" s="18" t="n"/>
    </row>
    <row r="846">
      <c r="B846" s="56" t="inlineStr">
        <is>
          <t>00037-HRR</t>
        </is>
      </c>
      <c r="C846" s="18">
        <f>IFERROR(_xlfn.XLOOKUP(ENTRADAS[[#This Row],[CODIGO]],LISTADO[CODIGOS],LISTADO[CATEGORIA]),"NO EXISTE")</f>
        <v/>
      </c>
      <c r="D846" s="18">
        <f>IFERROR(_xlfn.XLOOKUP(ENTRADAS[[#This Row],[CODIGO]],LISTADO[CODIGOS],LISTADO[PRODUCTOS]),"NO EXISTE")</f>
        <v/>
      </c>
      <c r="E846" s="19" t="n">
        <v>46090</v>
      </c>
      <c r="F846" s="18" t="n">
        <v>6</v>
      </c>
      <c r="G846" s="18" t="inlineStr">
        <is>
          <t>INGRESO</t>
        </is>
      </c>
      <c r="H846" s="18" t="n"/>
      <c r="I846" s="45" t="n"/>
      <c r="J846" s="77" t="n"/>
      <c r="K846" s="18" t="n"/>
    </row>
    <row r="847">
      <c r="B847" s="56" t="inlineStr">
        <is>
          <t>00051-FER</t>
        </is>
      </c>
      <c r="C847" s="18">
        <f>IFERROR(_xlfn.XLOOKUP(ENTRADAS[[#This Row],[CODIGO]],LISTADO[CODIGOS],LISTADO[CATEGORIA]),"NO EXISTE")</f>
        <v/>
      </c>
      <c r="D847" s="18">
        <f>IFERROR(_xlfn.XLOOKUP(ENTRADAS[[#This Row],[CODIGO]],LISTADO[CODIGOS],LISTADO[PRODUCTOS]),"NO EXISTE")</f>
        <v/>
      </c>
      <c r="E847" s="19" t="n">
        <v>46090</v>
      </c>
      <c r="F847" s="18" t="n">
        <v>10</v>
      </c>
      <c r="G847" s="18" t="inlineStr">
        <is>
          <t>INGRESO</t>
        </is>
      </c>
      <c r="H847" s="18" t="n"/>
      <c r="I847" s="45" t="n"/>
      <c r="J847" s="77" t="n"/>
      <c r="K847" s="18" t="n"/>
    </row>
    <row r="848">
      <c r="B848" s="56" t="inlineStr">
        <is>
          <t>00052-FER</t>
        </is>
      </c>
      <c r="C848" s="18">
        <f>IFERROR(_xlfn.XLOOKUP(ENTRADAS[[#This Row],[CODIGO]],LISTADO[CODIGOS],LISTADO[CATEGORIA]),"NO EXISTE")</f>
        <v/>
      </c>
      <c r="D848" s="18">
        <f>IFERROR(_xlfn.XLOOKUP(ENTRADAS[[#This Row],[CODIGO]],LISTADO[CODIGOS],LISTADO[PRODUCTOS]),"NO EXISTE")</f>
        <v/>
      </c>
      <c r="E848" s="19" t="n">
        <v>46090</v>
      </c>
      <c r="F848" s="18" t="n">
        <v>3</v>
      </c>
      <c r="G848" s="18" t="inlineStr">
        <is>
          <t>INGRESO</t>
        </is>
      </c>
      <c r="H848" s="18" t="n"/>
      <c r="I848" s="45" t="n"/>
      <c r="J848" s="77" t="n"/>
      <c r="K848" s="18" t="n"/>
    </row>
    <row r="849">
      <c r="B849" s="56" t="inlineStr">
        <is>
          <t>00028-FER</t>
        </is>
      </c>
      <c r="C849" s="18">
        <f>IFERROR(_xlfn.XLOOKUP(ENTRADAS[[#This Row],[CODIGO]],LISTADO[CODIGOS],LISTADO[CATEGORIA]),"NO EXISTE")</f>
        <v/>
      </c>
      <c r="D849" s="18">
        <f>IFERROR(_xlfn.XLOOKUP(ENTRADAS[[#This Row],[CODIGO]],LISTADO[CODIGOS],LISTADO[PRODUCTOS]),"NO EXISTE")</f>
        <v/>
      </c>
      <c r="E849" s="19" t="n">
        <v>46090</v>
      </c>
      <c r="F849" s="18" t="n">
        <v>6</v>
      </c>
      <c r="G849" s="18" t="inlineStr">
        <is>
          <t>INGRESO</t>
        </is>
      </c>
      <c r="H849" s="18" t="n"/>
      <c r="I849" s="45" t="n"/>
      <c r="J849" s="77" t="n"/>
      <c r="K849" s="18" t="n"/>
    </row>
    <row r="850">
      <c r="B850" s="56" t="inlineStr">
        <is>
          <t>00031-FER</t>
        </is>
      </c>
      <c r="C850" s="18">
        <f>IFERROR(_xlfn.XLOOKUP(ENTRADAS[[#This Row],[CODIGO]],LISTADO[CODIGOS],LISTADO[CATEGORIA]),"NO EXISTE")</f>
        <v/>
      </c>
      <c r="D850" s="18">
        <f>IFERROR(_xlfn.XLOOKUP(ENTRADAS[[#This Row],[CODIGO]],LISTADO[CODIGOS],LISTADO[PRODUCTOS]),"NO EXISTE")</f>
        <v/>
      </c>
      <c r="E850" s="19" t="n">
        <v>46090</v>
      </c>
      <c r="F850" s="18" t="n">
        <v>4</v>
      </c>
      <c r="G850" s="18" t="inlineStr">
        <is>
          <t>INGRESO</t>
        </is>
      </c>
      <c r="H850" s="18" t="n"/>
      <c r="I850" s="45" t="n"/>
      <c r="J850" s="77" t="n"/>
      <c r="K850" s="18" t="n"/>
    </row>
    <row r="851">
      <c r="B851" s="56" t="inlineStr">
        <is>
          <t>00039-FER</t>
        </is>
      </c>
      <c r="C851" s="18">
        <f>IFERROR(_xlfn.XLOOKUP(ENTRADAS[[#This Row],[CODIGO]],LISTADO[CODIGOS],LISTADO[CATEGORIA]),"NO EXISTE")</f>
        <v/>
      </c>
      <c r="D851" s="18">
        <f>IFERROR(_xlfn.XLOOKUP(ENTRADAS[[#This Row],[CODIGO]],LISTADO[CODIGOS],LISTADO[PRODUCTOS]),"NO EXISTE")</f>
        <v/>
      </c>
      <c r="E851" s="19" t="n">
        <v>46090</v>
      </c>
      <c r="F851" s="18" t="n">
        <v>2</v>
      </c>
      <c r="G851" s="18" t="inlineStr">
        <is>
          <t>INGRESO</t>
        </is>
      </c>
      <c r="H851" s="18" t="n"/>
      <c r="I851" s="45" t="n"/>
      <c r="J851" s="77" t="n"/>
      <c r="K851" s="18" t="n"/>
    </row>
    <row r="852">
      <c r="B852" s="56" t="inlineStr">
        <is>
          <t>00040-FER</t>
        </is>
      </c>
      <c r="C852" s="18">
        <f>IFERROR(_xlfn.XLOOKUP(ENTRADAS[[#This Row],[CODIGO]],LISTADO[CODIGOS],LISTADO[CATEGORIA]),"NO EXISTE")</f>
        <v/>
      </c>
      <c r="D852" s="18">
        <f>IFERROR(_xlfn.XLOOKUP(ENTRADAS[[#This Row],[CODIGO]],LISTADO[CODIGOS],LISTADO[PRODUCTOS]),"NO EXISTE")</f>
        <v/>
      </c>
      <c r="E852" s="19" t="n">
        <v>46090</v>
      </c>
      <c r="F852" s="18" t="n">
        <v>3</v>
      </c>
      <c r="G852" s="18" t="inlineStr">
        <is>
          <t>INGRESO</t>
        </is>
      </c>
      <c r="H852" s="18" t="n"/>
      <c r="I852" s="45" t="n"/>
      <c r="J852" s="77" t="n"/>
      <c r="K852" s="18" t="n"/>
    </row>
    <row r="853">
      <c r="B853" s="56" t="inlineStr">
        <is>
          <t>00041-FER</t>
        </is>
      </c>
      <c r="C853" s="18">
        <f>IFERROR(_xlfn.XLOOKUP(ENTRADAS[[#This Row],[CODIGO]],LISTADO[CODIGOS],LISTADO[CATEGORIA]),"NO EXISTE")</f>
        <v/>
      </c>
      <c r="D853" s="18">
        <f>IFERROR(_xlfn.XLOOKUP(ENTRADAS[[#This Row],[CODIGO]],LISTADO[CODIGOS],LISTADO[PRODUCTOS]),"NO EXISTE")</f>
        <v/>
      </c>
      <c r="E853" s="19" t="n">
        <v>46090</v>
      </c>
      <c r="F853" s="18" t="n">
        <v>10</v>
      </c>
      <c r="G853" s="18" t="inlineStr">
        <is>
          <t>INGRESO</t>
        </is>
      </c>
      <c r="H853" s="18" t="n"/>
      <c r="I853" s="45" t="n"/>
      <c r="J853" s="77" t="n"/>
      <c r="K853" s="18" t="n"/>
    </row>
    <row r="854">
      <c r="B854" s="56" t="inlineStr">
        <is>
          <t>00046-FER</t>
        </is>
      </c>
      <c r="C854" s="18">
        <f>IFERROR(_xlfn.XLOOKUP(ENTRADAS[[#This Row],[CODIGO]],LISTADO[CODIGOS],LISTADO[CATEGORIA]),"NO EXISTE")</f>
        <v/>
      </c>
      <c r="D854" s="18">
        <f>IFERROR(_xlfn.XLOOKUP(ENTRADAS[[#This Row],[CODIGO]],LISTADO[CODIGOS],LISTADO[PRODUCTOS]),"NO EXISTE")</f>
        <v/>
      </c>
      <c r="E854" s="19" t="n">
        <v>46090</v>
      </c>
      <c r="F854" s="18" t="n">
        <v>2</v>
      </c>
      <c r="G854" s="18" t="inlineStr">
        <is>
          <t>INGRESO</t>
        </is>
      </c>
      <c r="H854" s="18" t="n"/>
      <c r="I854" s="45" t="n"/>
      <c r="J854" s="77" t="n"/>
      <c r="K854" s="18" t="n"/>
    </row>
    <row r="855">
      <c r="B855" s="18" t="inlineStr">
        <is>
          <t>00012-AUT</t>
        </is>
      </c>
      <c r="C855" s="18">
        <f>IFERROR(_xlfn.XLOOKUP(ENTRADAS[[#This Row],[CODIGO]],LISTADO[CODIGOS],LISTADO[CATEGORIA]),"NO EXISTE")</f>
        <v/>
      </c>
      <c r="D855" s="18">
        <f>IFERROR(_xlfn.XLOOKUP(ENTRADAS[[#This Row],[CODIGO]],LISTADO[CODIGOS],LISTADO[PRODUCTOS]),"NO EXISTE")</f>
        <v/>
      </c>
      <c r="E855" s="19" t="n">
        <v>46090</v>
      </c>
      <c r="F855" s="18" t="n">
        <v>1</v>
      </c>
      <c r="G855" s="18" t="inlineStr">
        <is>
          <t>INGRESO</t>
        </is>
      </c>
      <c r="H855" s="18" t="n"/>
      <c r="I855" s="45" t="n"/>
      <c r="J855" s="77" t="n"/>
      <c r="K855" s="18" t="n"/>
    </row>
    <row r="856">
      <c r="B856" s="18" t="inlineStr">
        <is>
          <t>00013-AUT</t>
        </is>
      </c>
      <c r="C856" s="18">
        <f>IFERROR(_xlfn.XLOOKUP(ENTRADAS[[#This Row],[CODIGO]],LISTADO[CODIGOS],LISTADO[CATEGORIA]),"NO EXISTE")</f>
        <v/>
      </c>
      <c r="D856" s="18">
        <f>IFERROR(_xlfn.XLOOKUP(ENTRADAS[[#This Row],[CODIGO]],LISTADO[CODIGOS],LISTADO[PRODUCTOS]),"NO EXISTE")</f>
        <v/>
      </c>
      <c r="E856" s="19" t="n">
        <v>46090</v>
      </c>
      <c r="F856" s="18" t="n">
        <v>1</v>
      </c>
      <c r="G856" s="18" t="inlineStr">
        <is>
          <t>INGRESO</t>
        </is>
      </c>
      <c r="H856" s="18" t="n"/>
      <c r="I856" s="45" t="n"/>
      <c r="J856" s="77" t="n"/>
      <c r="K856" s="18" t="n"/>
    </row>
    <row r="857">
      <c r="B857" s="18" t="inlineStr">
        <is>
          <t>00014-AUT</t>
        </is>
      </c>
      <c r="C857" s="18">
        <f>IFERROR(_xlfn.XLOOKUP(ENTRADAS[[#This Row],[CODIGO]],LISTADO[CODIGOS],LISTADO[CATEGORIA]),"NO EXISTE")</f>
        <v/>
      </c>
      <c r="D857" s="18">
        <f>IFERROR(_xlfn.XLOOKUP(ENTRADAS[[#This Row],[CODIGO]],LISTADO[CODIGOS],LISTADO[PRODUCTOS]),"NO EXISTE")</f>
        <v/>
      </c>
      <c r="E857" s="19" t="n">
        <v>46090</v>
      </c>
      <c r="F857" s="18" t="n">
        <v>7</v>
      </c>
      <c r="G857" s="18" t="inlineStr">
        <is>
          <t>INGRESO</t>
        </is>
      </c>
      <c r="H857" s="18" t="n"/>
      <c r="I857" s="45" t="n"/>
      <c r="J857" s="77" t="n"/>
      <c r="K857" s="18" t="n"/>
    </row>
    <row r="858">
      <c r="B858" s="18" t="inlineStr">
        <is>
          <t>00062-ELE</t>
        </is>
      </c>
      <c r="C858" s="18">
        <f>IFERROR(_xlfn.XLOOKUP(ENTRADAS[[#This Row],[CODIGO]],LISTADO[CODIGOS],LISTADO[CATEGORIA]),"NO EXISTE")</f>
        <v/>
      </c>
      <c r="D858" s="18">
        <f>IFERROR(_xlfn.XLOOKUP(ENTRADAS[[#This Row],[CODIGO]],LISTADO[CODIGOS],LISTADO[PRODUCTOS]),"NO EXISTE")</f>
        <v/>
      </c>
      <c r="E858" s="19" t="n">
        <v>46090</v>
      </c>
      <c r="F858" s="18" t="n">
        <v>1</v>
      </c>
      <c r="G858" s="18" t="inlineStr">
        <is>
          <t>INGRESO</t>
        </is>
      </c>
      <c r="H858" s="18" t="n"/>
      <c r="I858" s="45" t="n"/>
      <c r="J858" s="77" t="n"/>
      <c r="K858" s="18" t="n"/>
    </row>
    <row r="859">
      <c r="B859" s="18" t="inlineStr">
        <is>
          <t>00053-ELE</t>
        </is>
      </c>
      <c r="C859" s="18">
        <f>IFERROR(_xlfn.XLOOKUP(ENTRADAS[[#This Row],[CODIGO]],LISTADO[CODIGOS],LISTADO[CATEGORIA]),"NO EXISTE")</f>
        <v/>
      </c>
      <c r="D859" s="18">
        <f>IFERROR(_xlfn.XLOOKUP(ENTRADAS[[#This Row],[CODIGO]],LISTADO[CODIGOS],LISTADO[PRODUCTOS]),"NO EXISTE")</f>
        <v/>
      </c>
      <c r="E859" s="19" t="n">
        <v>46090</v>
      </c>
      <c r="F859" s="18" t="n">
        <v>2</v>
      </c>
      <c r="G859" s="18" t="inlineStr">
        <is>
          <t>INGRESO</t>
        </is>
      </c>
      <c r="H859" s="18" t="n"/>
      <c r="I859" s="45" t="n"/>
      <c r="J859" s="77" t="n"/>
      <c r="K859" s="18" t="n"/>
    </row>
    <row r="860">
      <c r="B860" s="56" t="inlineStr">
        <is>
          <t>00135-FER</t>
        </is>
      </c>
      <c r="C860" s="18">
        <f>IFERROR(_xlfn.XLOOKUP(ENTRADAS[[#This Row],[CODIGO]],LISTADO[CODIGOS],LISTADO[CATEGORIA]),"NO EXISTE")</f>
        <v/>
      </c>
      <c r="D860" s="18">
        <f>IFERROR(_xlfn.XLOOKUP(ENTRADAS[[#This Row],[CODIGO]],LISTADO[CODIGOS],LISTADO[PRODUCTOS]),"NO EXISTE")</f>
        <v/>
      </c>
      <c r="E860" s="19" t="n">
        <v>46090</v>
      </c>
      <c r="F860" s="18" t="n">
        <v>4</v>
      </c>
      <c r="G860" s="18" t="inlineStr">
        <is>
          <t>INGRESO</t>
        </is>
      </c>
      <c r="H860" s="18" t="n"/>
      <c r="I860" s="45" t="n"/>
      <c r="J860" s="77" t="n"/>
      <c r="K860" s="18" t="n"/>
    </row>
    <row r="861">
      <c r="B861" s="18" t="inlineStr">
        <is>
          <t>00145-FER</t>
        </is>
      </c>
      <c r="C861" s="18">
        <f>IFERROR(_xlfn.XLOOKUP(ENTRADAS[[#This Row],[CODIGO]],LISTADO[CODIGOS],LISTADO[CATEGORIA]),"NO EXISTE")</f>
        <v/>
      </c>
      <c r="D861" s="18">
        <f>IFERROR(_xlfn.XLOOKUP(ENTRADAS[[#This Row],[CODIGO]],LISTADO[CODIGOS],LISTADO[PRODUCTOS]),"NO EXISTE")</f>
        <v/>
      </c>
      <c r="E861" s="19" t="n">
        <v>46090</v>
      </c>
      <c r="F861" s="18" t="n">
        <v>10</v>
      </c>
      <c r="G861" s="18" t="inlineStr">
        <is>
          <t>INGRESO</t>
        </is>
      </c>
      <c r="H861" s="18" t="n"/>
      <c r="I861" s="45" t="n"/>
      <c r="J861" s="77" t="n"/>
      <c r="K861" s="18" t="n"/>
    </row>
    <row r="862">
      <c r="B862" s="56" t="inlineStr">
        <is>
          <t>00140-FER</t>
        </is>
      </c>
      <c r="C862" s="18">
        <f>IFERROR(_xlfn.XLOOKUP(ENTRADAS[[#This Row],[CODIGO]],LISTADO[CODIGOS],LISTADO[CATEGORIA]),"NO EXISTE")</f>
        <v/>
      </c>
      <c r="D862" s="18">
        <f>IFERROR(_xlfn.XLOOKUP(ENTRADAS[[#This Row],[CODIGO]],LISTADO[CODIGOS],LISTADO[PRODUCTOS]),"NO EXISTE")</f>
        <v/>
      </c>
      <c r="E862" s="19" t="n">
        <v>46090</v>
      </c>
      <c r="F862" s="18" t="n">
        <v>1</v>
      </c>
      <c r="G862" s="18" t="inlineStr">
        <is>
          <t>INGRESO</t>
        </is>
      </c>
      <c r="H862" s="18" t="n"/>
      <c r="I862" s="45" t="n"/>
      <c r="J862" s="77" t="n"/>
      <c r="K862" s="18" t="n"/>
    </row>
    <row r="863">
      <c r="B863" s="18" t="inlineStr">
        <is>
          <t>00155-FER</t>
        </is>
      </c>
      <c r="C863" s="18">
        <f>IFERROR(_xlfn.XLOOKUP(ENTRADAS[[#This Row],[CODIGO]],LISTADO[CODIGOS],LISTADO[CATEGORIA]),"NO EXISTE")</f>
        <v/>
      </c>
      <c r="D863" s="18">
        <f>IFERROR(_xlfn.XLOOKUP(ENTRADAS[[#This Row],[CODIGO]],LISTADO[CODIGOS],LISTADO[PRODUCTOS]),"NO EXISTE")</f>
        <v/>
      </c>
      <c r="E863" s="19" t="n">
        <v>46090</v>
      </c>
      <c r="F863" s="18" t="n">
        <v>3</v>
      </c>
      <c r="G863" s="18" t="inlineStr">
        <is>
          <t>INGRESO</t>
        </is>
      </c>
      <c r="H863" s="18" t="n"/>
      <c r="I863" s="45" t="n"/>
      <c r="J863" s="77" t="n"/>
      <c r="K863" s="18" t="n"/>
    </row>
    <row r="864">
      <c r="B864" s="56" t="inlineStr">
        <is>
          <t>00009-ILU</t>
        </is>
      </c>
      <c r="C864" s="18">
        <f>IFERROR(_xlfn.XLOOKUP(ENTRADAS[[#This Row],[CODIGO]],LISTADO[CODIGOS],LISTADO[CATEGORIA]),"NO EXISTE")</f>
        <v/>
      </c>
      <c r="D864" s="18">
        <f>IFERROR(_xlfn.XLOOKUP(ENTRADAS[[#This Row],[CODIGO]],LISTADO[CODIGOS],LISTADO[PRODUCTOS]),"NO EXISTE")</f>
        <v/>
      </c>
      <c r="E864" s="19" t="n">
        <v>46090</v>
      </c>
      <c r="F864" s="18" t="n">
        <v>2</v>
      </c>
      <c r="G864" s="18" t="inlineStr">
        <is>
          <t>INGRESO</t>
        </is>
      </c>
      <c r="H864" s="18" t="n"/>
      <c r="I864" s="45" t="n"/>
      <c r="J864" s="77" t="n"/>
      <c r="K864" s="18" t="n"/>
    </row>
    <row r="865">
      <c r="B865" s="56" t="inlineStr">
        <is>
          <t>00001-PLM</t>
        </is>
      </c>
      <c r="C865" s="18">
        <f>IFERROR(_xlfn.XLOOKUP(ENTRADAS[[#This Row],[CODIGO]],LISTADO[CODIGOS],LISTADO[CATEGORIA]),"NO EXISTE")</f>
        <v/>
      </c>
      <c r="D865" s="18">
        <f>IFERROR(_xlfn.XLOOKUP(ENTRADAS[[#This Row],[CODIGO]],LISTADO[CODIGOS],LISTADO[PRODUCTOS]),"NO EXISTE")</f>
        <v/>
      </c>
      <c r="E865" s="19" t="n">
        <v>46090</v>
      </c>
      <c r="F865" s="18" t="n">
        <v>1</v>
      </c>
      <c r="G865" s="18" t="inlineStr">
        <is>
          <t>INGRESO</t>
        </is>
      </c>
      <c r="H865" s="18" t="n"/>
      <c r="I865" s="45" t="n"/>
      <c r="J865" s="77" t="n"/>
      <c r="K865" s="18" t="n"/>
    </row>
    <row r="866">
      <c r="B866" s="56" t="inlineStr">
        <is>
          <t>00144-FER</t>
        </is>
      </c>
      <c r="C866" s="18">
        <f>IFERROR(_xlfn.XLOOKUP(ENTRADAS[[#This Row],[CODIGO]],LISTADO[CODIGOS],LISTADO[CATEGORIA]),"NO EXISTE")</f>
        <v/>
      </c>
      <c r="D866" s="18">
        <f>IFERROR(_xlfn.XLOOKUP(ENTRADAS[[#This Row],[CODIGO]],LISTADO[CODIGOS],LISTADO[PRODUCTOS]),"NO EXISTE")</f>
        <v/>
      </c>
      <c r="E866" s="19" t="n">
        <v>46091</v>
      </c>
      <c r="F866" s="18" t="n">
        <v>1</v>
      </c>
      <c r="G866" s="18" t="inlineStr">
        <is>
          <t>INGRESO</t>
        </is>
      </c>
      <c r="H866" s="18" t="n"/>
      <c r="I866" s="45" t="n"/>
      <c r="J866" s="77" t="n"/>
      <c r="K866" s="18" t="n"/>
    </row>
    <row r="867">
      <c r="B867" s="56" t="inlineStr">
        <is>
          <t>00007-MSC</t>
        </is>
      </c>
      <c r="C867" s="18">
        <f>IFERROR(_xlfn.XLOOKUP(ENTRADAS[[#This Row],[CODIGO]],LISTADO[CODIGOS],LISTADO[CATEGORIA]),"NO EXISTE")</f>
        <v/>
      </c>
      <c r="D867" s="18">
        <f>IFERROR(_xlfn.XLOOKUP(ENTRADAS[[#This Row],[CODIGO]],LISTADO[CODIGOS],LISTADO[PRODUCTOS]),"NO EXISTE")</f>
        <v/>
      </c>
      <c r="E867" s="19" t="n">
        <v>46091</v>
      </c>
      <c r="F867" s="18" t="n">
        <v>40</v>
      </c>
      <c r="G867" s="18" t="inlineStr">
        <is>
          <t>INGRESO</t>
        </is>
      </c>
      <c r="H867" s="18" t="n"/>
      <c r="I867" s="45" t="n"/>
      <c r="J867" s="77" t="n"/>
      <c r="K867" s="18" t="n"/>
    </row>
    <row r="868">
      <c r="B868" s="18" t="inlineStr">
        <is>
          <t>00057-ELE</t>
        </is>
      </c>
      <c r="C868" s="18">
        <f>IFERROR(_xlfn.XLOOKUP(ENTRADAS[[#This Row],[CODIGO]],LISTADO[CODIGOS],LISTADO[CATEGORIA]),"NO EXISTE")</f>
        <v/>
      </c>
      <c r="D868" s="18">
        <f>IFERROR(_xlfn.XLOOKUP(ENTRADAS[[#This Row],[CODIGO]],LISTADO[CODIGOS],LISTADO[PRODUCTOS]),"NO EXISTE")</f>
        <v/>
      </c>
      <c r="E868" s="19" t="n">
        <v>46091</v>
      </c>
      <c r="F868" s="18" t="n">
        <v>10</v>
      </c>
      <c r="G868" s="18" t="inlineStr">
        <is>
          <t>INGRESO</t>
        </is>
      </c>
      <c r="H868" s="18" t="n"/>
      <c r="I868" s="45" t="n"/>
      <c r="J868" s="77" t="n"/>
      <c r="K868" s="18" t="n"/>
    </row>
    <row r="869">
      <c r="B869" s="56" t="inlineStr">
        <is>
          <t>00040-PLM</t>
        </is>
      </c>
      <c r="C869" s="18">
        <f>IFERROR(_xlfn.XLOOKUP(ENTRADAS[[#This Row],[CODIGO]],LISTADO[CODIGOS],LISTADO[CATEGORIA]),"NO EXISTE")</f>
        <v/>
      </c>
      <c r="D869" s="18">
        <f>IFERROR(_xlfn.XLOOKUP(ENTRADAS[[#This Row],[CODIGO]],LISTADO[CODIGOS],LISTADO[PRODUCTOS]),"NO EXISTE")</f>
        <v/>
      </c>
      <c r="E869" s="19" t="n">
        <v>46091</v>
      </c>
      <c r="F869" s="18" t="n">
        <v>12</v>
      </c>
      <c r="G869" s="18" t="inlineStr">
        <is>
          <t>INGRESO</t>
        </is>
      </c>
      <c r="H869" s="18" t="n"/>
      <c r="I869" s="45" t="n"/>
      <c r="J869" s="77" t="n"/>
      <c r="K869" s="18" t="n"/>
    </row>
    <row r="870">
      <c r="B870" s="56" t="inlineStr">
        <is>
          <t>00080-FER</t>
        </is>
      </c>
      <c r="C870" s="18">
        <f>IFERROR(_xlfn.XLOOKUP(ENTRADAS[[#This Row],[CODIGO]],LISTADO[CODIGOS],LISTADO[CATEGORIA]),"NO EXISTE")</f>
        <v/>
      </c>
      <c r="D870" s="18">
        <f>IFERROR(_xlfn.XLOOKUP(ENTRADAS[[#This Row],[CODIGO]],LISTADO[CODIGOS],LISTADO[PRODUCTOS]),"NO EXISTE")</f>
        <v/>
      </c>
      <c r="E870" s="19" t="n">
        <v>46091</v>
      </c>
      <c r="F870" s="18" t="n">
        <v>2</v>
      </c>
      <c r="G870" s="18" t="inlineStr">
        <is>
          <t>INGRESO</t>
        </is>
      </c>
      <c r="H870" s="18" t="n"/>
      <c r="I870" s="45" t="n"/>
      <c r="J870" s="77" t="n"/>
      <c r="K870" s="18" t="n"/>
    </row>
    <row r="871">
      <c r="B871" s="18" t="inlineStr">
        <is>
          <t>00045-PLM</t>
        </is>
      </c>
      <c r="C871" s="18">
        <f>IFERROR(_xlfn.XLOOKUP(ENTRADAS[[#This Row],[CODIGO]],LISTADO[CODIGOS],LISTADO[CATEGORIA]),"NO EXISTE")</f>
        <v/>
      </c>
      <c r="D871" s="18">
        <f>IFERROR(_xlfn.XLOOKUP(ENTRADAS[[#This Row],[CODIGO]],LISTADO[CODIGOS],LISTADO[PRODUCTOS]),"NO EXISTE")</f>
        <v/>
      </c>
      <c r="E871" s="19" t="n">
        <v>46091</v>
      </c>
      <c r="F871" s="18" t="n">
        <v>5</v>
      </c>
      <c r="G871" s="18" t="inlineStr">
        <is>
          <t>INGRESO</t>
        </is>
      </c>
      <c r="H871" s="18" t="n"/>
      <c r="I871" s="45" t="n"/>
      <c r="J871" s="77" t="n"/>
      <c r="K871" s="18" t="n"/>
    </row>
    <row r="872">
      <c r="B872" s="56" t="inlineStr">
        <is>
          <t>00018-PLM</t>
        </is>
      </c>
      <c r="C872" s="18">
        <f>IFERROR(_xlfn.XLOOKUP(ENTRADAS[[#This Row],[CODIGO]],LISTADO[CODIGOS],LISTADO[CATEGORIA]),"NO EXISTE")</f>
        <v/>
      </c>
      <c r="D872" s="18">
        <f>IFERROR(_xlfn.XLOOKUP(ENTRADAS[[#This Row],[CODIGO]],LISTADO[CODIGOS],LISTADO[PRODUCTOS]),"NO EXISTE")</f>
        <v/>
      </c>
      <c r="E872" s="19" t="n">
        <v>46091</v>
      </c>
      <c r="F872" s="18" t="n">
        <v>22</v>
      </c>
      <c r="G872" s="18" t="inlineStr">
        <is>
          <t>INGRESO</t>
        </is>
      </c>
      <c r="H872" s="18" t="n"/>
      <c r="I872" s="45" t="n"/>
      <c r="J872" s="77" t="n"/>
      <c r="K872" s="18" t="n"/>
    </row>
    <row r="873">
      <c r="B873" s="18" t="inlineStr">
        <is>
          <t>00046-PLM</t>
        </is>
      </c>
      <c r="C873" s="18">
        <f>IFERROR(_xlfn.XLOOKUP(ENTRADAS[[#This Row],[CODIGO]],LISTADO[CODIGOS],LISTADO[CATEGORIA]),"NO EXISTE")</f>
        <v/>
      </c>
      <c r="D873" s="18">
        <f>IFERROR(_xlfn.XLOOKUP(ENTRADAS[[#This Row],[CODIGO]],LISTADO[CODIGOS],LISTADO[PRODUCTOS]),"NO EXISTE")</f>
        <v/>
      </c>
      <c r="E873" s="19" t="n">
        <v>46091</v>
      </c>
      <c r="F873" s="18" t="n">
        <v>5</v>
      </c>
      <c r="G873" s="18" t="inlineStr">
        <is>
          <t>INGRESO</t>
        </is>
      </c>
      <c r="H873" s="18" t="n"/>
      <c r="I873" s="45" t="n"/>
      <c r="J873" s="77" t="n"/>
      <c r="K873" s="18" t="n"/>
    </row>
    <row r="874">
      <c r="B874" s="56" t="inlineStr">
        <is>
          <t>00015-PLM</t>
        </is>
      </c>
      <c r="C874" s="18">
        <f>IFERROR(_xlfn.XLOOKUP(ENTRADAS[[#This Row],[CODIGO]],LISTADO[CODIGOS],LISTADO[CATEGORIA]),"NO EXISTE")</f>
        <v/>
      </c>
      <c r="D874" s="18">
        <f>IFERROR(_xlfn.XLOOKUP(ENTRADAS[[#This Row],[CODIGO]],LISTADO[CODIGOS],LISTADO[PRODUCTOS]),"NO EXISTE")</f>
        <v/>
      </c>
      <c r="E874" s="19" t="n">
        <v>46091</v>
      </c>
      <c r="F874" s="18" t="n">
        <v>7</v>
      </c>
      <c r="G874" s="18" t="inlineStr">
        <is>
          <t>INGRESO</t>
        </is>
      </c>
      <c r="H874" s="18" t="n"/>
      <c r="I874" s="45" t="n"/>
      <c r="J874" s="77" t="n"/>
      <c r="K874" s="18" t="n"/>
    </row>
    <row r="875">
      <c r="B875" s="18" t="inlineStr">
        <is>
          <t>00047-PLM</t>
        </is>
      </c>
      <c r="C875" s="18">
        <f>IFERROR(_xlfn.XLOOKUP(ENTRADAS[[#This Row],[CODIGO]],LISTADO[CODIGOS],LISTADO[CATEGORIA]),"NO EXISTE")</f>
        <v/>
      </c>
      <c r="D875" s="18">
        <f>IFERROR(_xlfn.XLOOKUP(ENTRADAS[[#This Row],[CODIGO]],LISTADO[CODIGOS],LISTADO[PRODUCTOS]),"NO EXISTE")</f>
        <v/>
      </c>
      <c r="E875" s="19" t="n">
        <v>46091</v>
      </c>
      <c r="F875" s="18" t="n">
        <v>6</v>
      </c>
      <c r="G875" s="18" t="inlineStr">
        <is>
          <t>INGRESO</t>
        </is>
      </c>
      <c r="H875" s="18" t="n"/>
      <c r="I875" s="45" t="n"/>
      <c r="J875" s="77" t="n"/>
      <c r="K875" s="18" t="n"/>
    </row>
    <row r="876">
      <c r="B876" s="56" t="inlineStr">
        <is>
          <t>00017-PLM</t>
        </is>
      </c>
      <c r="C876" s="18">
        <f>IFERROR(_xlfn.XLOOKUP(ENTRADAS[[#This Row],[CODIGO]],LISTADO[CODIGOS],LISTADO[CATEGORIA]),"NO EXISTE")</f>
        <v/>
      </c>
      <c r="D876" s="18">
        <f>IFERROR(_xlfn.XLOOKUP(ENTRADAS[[#This Row],[CODIGO]],LISTADO[CODIGOS],LISTADO[PRODUCTOS]),"NO EXISTE")</f>
        <v/>
      </c>
      <c r="E876" s="19" t="n">
        <v>46091</v>
      </c>
      <c r="F876" s="18" t="n">
        <v>5</v>
      </c>
      <c r="G876" s="18" t="inlineStr">
        <is>
          <t>INGRESO</t>
        </is>
      </c>
      <c r="H876" s="18" t="n"/>
      <c r="I876" s="45" t="n"/>
      <c r="J876" s="77" t="n"/>
      <c r="K876" s="18" t="n"/>
    </row>
    <row r="877">
      <c r="B877" s="18" t="inlineStr">
        <is>
          <t>00038-HRR</t>
        </is>
      </c>
      <c r="C877" s="18">
        <f>IFERROR(_xlfn.XLOOKUP(ENTRADAS[[#This Row],[CODIGO]],LISTADO[CODIGOS],LISTADO[CATEGORIA]),"NO EXISTE")</f>
        <v/>
      </c>
      <c r="D877" s="18">
        <f>IFERROR(_xlfn.XLOOKUP(ENTRADAS[[#This Row],[CODIGO]],LISTADO[CODIGOS],LISTADO[PRODUCTOS]),"NO EXISTE")</f>
        <v/>
      </c>
      <c r="E877" s="19" t="n">
        <v>46091</v>
      </c>
      <c r="F877" s="18" t="n">
        <v>2</v>
      </c>
      <c r="G877" s="18" t="inlineStr">
        <is>
          <t>INGRESO</t>
        </is>
      </c>
      <c r="H877" s="18" t="n"/>
      <c r="I877" s="45" t="n"/>
      <c r="J877" s="77" t="n"/>
      <c r="K877" s="18" t="n"/>
    </row>
    <row r="878">
      <c r="B878" s="18" t="inlineStr">
        <is>
          <t>00039-HRR</t>
        </is>
      </c>
      <c r="C878" s="18">
        <f>IFERROR(_xlfn.XLOOKUP(ENTRADAS[[#This Row],[CODIGO]],LISTADO[CODIGOS],LISTADO[CATEGORIA]),"NO EXISTE")</f>
        <v/>
      </c>
      <c r="D878" s="18">
        <f>IFERROR(_xlfn.XLOOKUP(ENTRADAS[[#This Row],[CODIGO]],LISTADO[CODIGOS],LISTADO[PRODUCTOS]),"NO EXISTE")</f>
        <v/>
      </c>
      <c r="E878" s="19" t="n">
        <v>46091</v>
      </c>
      <c r="F878" s="18" t="n">
        <v>4</v>
      </c>
      <c r="G878" s="18" t="inlineStr">
        <is>
          <t>INGRESO</t>
        </is>
      </c>
      <c r="H878" s="18" t="n"/>
      <c r="I878" s="45" t="n"/>
      <c r="J878" s="77" t="n"/>
      <c r="K878" s="18" t="n"/>
    </row>
    <row r="879">
      <c r="B879" s="18" t="inlineStr">
        <is>
          <t>00040-HRR</t>
        </is>
      </c>
      <c r="C879" s="18">
        <f>IFERROR(_xlfn.XLOOKUP(ENTRADAS[[#This Row],[CODIGO]],LISTADO[CODIGOS],LISTADO[CATEGORIA]),"NO EXISTE")</f>
        <v/>
      </c>
      <c r="D879" s="18">
        <f>IFERROR(_xlfn.XLOOKUP(ENTRADAS[[#This Row],[CODIGO]],LISTADO[CODIGOS],LISTADO[PRODUCTOS]),"NO EXISTE")</f>
        <v/>
      </c>
      <c r="E879" s="19" t="n">
        <v>46091</v>
      </c>
      <c r="F879" s="18" t="n">
        <v>6</v>
      </c>
      <c r="G879" s="18" t="inlineStr">
        <is>
          <t>INGRESO</t>
        </is>
      </c>
      <c r="H879" s="18" t="n"/>
      <c r="I879" s="45" t="n"/>
      <c r="J879" s="77" t="n"/>
      <c r="K879" s="18" t="n"/>
    </row>
    <row r="880">
      <c r="B880" s="18" t="inlineStr">
        <is>
          <t>00058-ELE</t>
        </is>
      </c>
      <c r="C880" s="18">
        <f>IFERROR(_xlfn.XLOOKUP(ENTRADAS[[#This Row],[CODIGO]],LISTADO[CODIGOS],LISTADO[CATEGORIA]),"NO EXISTE")</f>
        <v/>
      </c>
      <c r="D880" s="18">
        <f>IFERROR(_xlfn.XLOOKUP(ENTRADAS[[#This Row],[CODIGO]],LISTADO[CODIGOS],LISTADO[PRODUCTOS]),"NO EXISTE")</f>
        <v/>
      </c>
      <c r="E880" s="19" t="n">
        <v>46091</v>
      </c>
      <c r="F880" s="18" t="n">
        <v>20</v>
      </c>
      <c r="G880" s="18" t="inlineStr">
        <is>
          <t>INGRESO</t>
        </is>
      </c>
      <c r="H880" s="18" t="n"/>
      <c r="I880" s="45" t="n"/>
      <c r="J880" s="77" t="n"/>
      <c r="K880" s="18" t="n"/>
    </row>
    <row r="881">
      <c r="B881" s="18" t="inlineStr">
        <is>
          <t>00059-ELE</t>
        </is>
      </c>
      <c r="C881" s="18">
        <f>IFERROR(_xlfn.XLOOKUP(ENTRADAS[[#This Row],[CODIGO]],LISTADO[CODIGOS],LISTADO[CATEGORIA]),"NO EXISTE")</f>
        <v/>
      </c>
      <c r="D881" s="18">
        <f>IFERROR(_xlfn.XLOOKUP(ENTRADAS[[#This Row],[CODIGO]],LISTADO[CODIGOS],LISTADO[PRODUCTOS]),"NO EXISTE")</f>
        <v/>
      </c>
      <c r="E881" s="19" t="n">
        <v>46091</v>
      </c>
      <c r="F881" s="18" t="n">
        <v>10</v>
      </c>
      <c r="G881" s="18" t="inlineStr">
        <is>
          <t>INGRESO</t>
        </is>
      </c>
      <c r="H881" s="18" t="n"/>
      <c r="I881" s="45" t="n"/>
      <c r="J881" s="77" t="n"/>
      <c r="K881" s="18" t="n"/>
    </row>
    <row r="882">
      <c r="B882" s="18" t="inlineStr">
        <is>
          <t>00060-ELE</t>
        </is>
      </c>
      <c r="C882" s="18">
        <f>IFERROR(_xlfn.XLOOKUP(ENTRADAS[[#This Row],[CODIGO]],LISTADO[CODIGOS],LISTADO[CATEGORIA]),"NO EXISTE")</f>
        <v/>
      </c>
      <c r="D882" s="18">
        <f>IFERROR(_xlfn.XLOOKUP(ENTRADAS[[#This Row],[CODIGO]],LISTADO[CODIGOS],LISTADO[PRODUCTOS]),"NO EXISTE")</f>
        <v/>
      </c>
      <c r="E882" s="19" t="n">
        <v>46091</v>
      </c>
      <c r="F882" s="18" t="n">
        <v>4</v>
      </c>
      <c r="G882" s="18" t="inlineStr">
        <is>
          <t>INGRESO</t>
        </is>
      </c>
      <c r="H882" s="18" t="n"/>
      <c r="I882" s="45" t="n"/>
      <c r="J882" s="77" t="n"/>
      <c r="K882" s="18" t="n"/>
    </row>
    <row r="883">
      <c r="B883" s="18" t="inlineStr">
        <is>
          <t>00018-MSC</t>
        </is>
      </c>
      <c r="C883" s="18">
        <f>IFERROR(_xlfn.XLOOKUP(ENTRADAS[[#This Row],[CODIGO]],LISTADO[CODIGOS],LISTADO[CATEGORIA]),"NO EXISTE")</f>
        <v/>
      </c>
      <c r="D883" s="18">
        <f>IFERROR(_xlfn.XLOOKUP(ENTRADAS[[#This Row],[CODIGO]],LISTADO[CODIGOS],LISTADO[PRODUCTOS]),"NO EXISTE")</f>
        <v/>
      </c>
      <c r="E883" s="19" t="n">
        <v>46091</v>
      </c>
      <c r="F883" s="18" t="n">
        <v>30</v>
      </c>
      <c r="G883" s="18" t="inlineStr">
        <is>
          <t>INGRESO</t>
        </is>
      </c>
      <c r="H883" s="18" t="n"/>
      <c r="I883" s="45" t="n"/>
      <c r="J883" s="77" t="n"/>
      <c r="K883" s="18" t="n"/>
    </row>
    <row r="884">
      <c r="B884" s="18" t="inlineStr">
        <is>
          <t>00147-FER</t>
        </is>
      </c>
      <c r="C884" s="18">
        <f>IFERROR(_xlfn.XLOOKUP(ENTRADAS[[#This Row],[CODIGO]],LISTADO[CODIGOS],LISTADO[CATEGORIA]),"NO EXISTE")</f>
        <v/>
      </c>
      <c r="D884" s="18">
        <f>IFERROR(_xlfn.XLOOKUP(ENTRADAS[[#This Row],[CODIGO]],LISTADO[CODIGOS],LISTADO[PRODUCTOS]),"NO EXISTE")</f>
        <v/>
      </c>
      <c r="E884" s="19" t="n">
        <v>46091</v>
      </c>
      <c r="F884" s="18" t="n">
        <v>6</v>
      </c>
      <c r="G884" s="18" t="inlineStr">
        <is>
          <t>INGRESO</t>
        </is>
      </c>
      <c r="H884" s="18" t="n"/>
      <c r="I884" s="45" t="n"/>
      <c r="J884" s="77" t="n"/>
      <c r="K884" s="18" t="n"/>
    </row>
    <row r="885">
      <c r="B885" s="18" t="inlineStr">
        <is>
          <t>00148-FER</t>
        </is>
      </c>
      <c r="C885" s="18">
        <f>IFERROR(_xlfn.XLOOKUP(ENTRADAS[[#This Row],[CODIGO]],LISTADO[CODIGOS],LISTADO[CATEGORIA]),"NO EXISTE")</f>
        <v/>
      </c>
      <c r="D885" s="18">
        <f>IFERROR(_xlfn.XLOOKUP(ENTRADAS[[#This Row],[CODIGO]],LISTADO[CODIGOS],LISTADO[PRODUCTOS]),"NO EXISTE")</f>
        <v/>
      </c>
      <c r="E885" s="19" t="n">
        <v>46091</v>
      </c>
      <c r="F885" s="18" t="n">
        <v>1</v>
      </c>
      <c r="G885" s="18" t="inlineStr">
        <is>
          <t>INGRESO</t>
        </is>
      </c>
      <c r="H885" s="18" t="n"/>
      <c r="I885" s="45" t="n"/>
      <c r="J885" s="77" t="n"/>
      <c r="K885" s="18" t="n"/>
    </row>
    <row r="886">
      <c r="B886" s="18" t="inlineStr">
        <is>
          <t>00048-PLM</t>
        </is>
      </c>
      <c r="C886" s="18">
        <f>IFERROR(_xlfn.XLOOKUP(ENTRADAS[[#This Row],[CODIGO]],LISTADO[CODIGOS],LISTADO[CATEGORIA]),"NO EXISTE")</f>
        <v/>
      </c>
      <c r="D886" s="18">
        <f>IFERROR(_xlfn.XLOOKUP(ENTRADAS[[#This Row],[CODIGO]],LISTADO[CODIGOS],LISTADO[PRODUCTOS]),"NO EXISTE")</f>
        <v/>
      </c>
      <c r="E886" s="19" t="n">
        <v>46091</v>
      </c>
      <c r="F886" s="18" t="n">
        <v>1</v>
      </c>
      <c r="G886" s="18" t="inlineStr">
        <is>
          <t>INGRESO</t>
        </is>
      </c>
      <c r="H886" s="18" t="n"/>
      <c r="I886" s="45" t="n"/>
      <c r="J886" s="77" t="n"/>
      <c r="K886" s="18" t="n"/>
    </row>
    <row r="887">
      <c r="B887" s="18" t="inlineStr">
        <is>
          <t>00049-PLM</t>
        </is>
      </c>
      <c r="C887" s="18">
        <f>IFERROR(_xlfn.XLOOKUP(ENTRADAS[[#This Row],[CODIGO]],LISTADO[CODIGOS],LISTADO[CATEGORIA]),"NO EXISTE")</f>
        <v/>
      </c>
      <c r="D887" s="18">
        <f>IFERROR(_xlfn.XLOOKUP(ENTRADAS[[#This Row],[CODIGO]],LISTADO[CODIGOS],LISTADO[PRODUCTOS]),"NO EXISTE")</f>
        <v/>
      </c>
      <c r="E887" s="19" t="n">
        <v>46091</v>
      </c>
      <c r="F887" s="18" t="n">
        <v>1</v>
      </c>
      <c r="G887" s="18" t="inlineStr">
        <is>
          <t>INGRESO</t>
        </is>
      </c>
      <c r="H887" s="18" t="n"/>
      <c r="I887" s="45" t="n"/>
      <c r="J887" s="77" t="n"/>
      <c r="K887" s="18" t="n"/>
    </row>
    <row r="888">
      <c r="B888" s="18" t="inlineStr">
        <is>
          <t>00050-PLM</t>
        </is>
      </c>
      <c r="C888" s="18">
        <f>IFERROR(_xlfn.XLOOKUP(ENTRADAS[[#This Row],[CODIGO]],LISTADO[CODIGOS],LISTADO[CATEGORIA]),"NO EXISTE")</f>
        <v/>
      </c>
      <c r="D888" s="18">
        <f>IFERROR(_xlfn.XLOOKUP(ENTRADAS[[#This Row],[CODIGO]],LISTADO[CODIGOS],LISTADO[PRODUCTOS]),"NO EXISTE")</f>
        <v/>
      </c>
      <c r="E888" s="19" t="n">
        <v>46091</v>
      </c>
      <c r="F888" s="18" t="n">
        <v>1</v>
      </c>
      <c r="G888" s="18" t="inlineStr">
        <is>
          <t>INGRESO</t>
        </is>
      </c>
      <c r="H888" s="18" t="n"/>
      <c r="I888" s="45" t="n"/>
      <c r="J888" s="77" t="n"/>
      <c r="K888" s="18" t="n"/>
    </row>
    <row r="889">
      <c r="B889" s="56" t="inlineStr">
        <is>
          <t>00016-HRR</t>
        </is>
      </c>
      <c r="C889" s="18">
        <f>IFERROR(_xlfn.XLOOKUP(ENTRADAS[[#This Row],[CODIGO]],LISTADO[CODIGOS],LISTADO[CATEGORIA]),"NO EXISTE")</f>
        <v/>
      </c>
      <c r="D889" s="18">
        <f>IFERROR(_xlfn.XLOOKUP(ENTRADAS[[#This Row],[CODIGO]],LISTADO[CODIGOS],LISTADO[PRODUCTOS]),"NO EXISTE")</f>
        <v/>
      </c>
      <c r="E889" s="19" t="n">
        <v>46091</v>
      </c>
      <c r="F889" s="18" t="n">
        <v>1</v>
      </c>
      <c r="G889" s="18" t="inlineStr">
        <is>
          <t>INGRESO</t>
        </is>
      </c>
      <c r="H889" s="18" t="n"/>
      <c r="I889" s="45" t="n"/>
      <c r="J889" s="77" t="n"/>
      <c r="K889" s="18" t="n"/>
    </row>
    <row r="890">
      <c r="B890" s="56" t="inlineStr">
        <is>
          <t>00080-FER</t>
        </is>
      </c>
      <c r="C890" s="18">
        <f>IFERROR(_xlfn.XLOOKUP(ENTRADAS[[#This Row],[CODIGO]],LISTADO[CODIGOS],LISTADO[CATEGORIA]),"NO EXISTE")</f>
        <v/>
      </c>
      <c r="D890" s="18">
        <f>IFERROR(_xlfn.XLOOKUP(ENTRADAS[[#This Row],[CODIGO]],LISTADO[CODIGOS],LISTADO[PRODUCTOS]),"NO EXISTE")</f>
        <v/>
      </c>
      <c r="E890" s="19" t="n">
        <v>46091</v>
      </c>
      <c r="F890" s="18" t="n">
        <v>1</v>
      </c>
      <c r="G890" s="18" t="inlineStr">
        <is>
          <t>INGRESO</t>
        </is>
      </c>
      <c r="H890" s="18" t="n"/>
      <c r="I890" s="45" t="n"/>
      <c r="J890" s="77" t="n"/>
      <c r="K890" s="18" t="n"/>
    </row>
    <row r="891">
      <c r="B891" s="56" t="inlineStr">
        <is>
          <t>00010-HRR</t>
        </is>
      </c>
      <c r="C891" s="18">
        <f>IFERROR(_xlfn.XLOOKUP(ENTRADAS[[#This Row],[CODIGO]],LISTADO[CODIGOS],LISTADO[CATEGORIA]),"NO EXISTE")</f>
        <v/>
      </c>
      <c r="D891" s="18">
        <f>IFERROR(_xlfn.XLOOKUP(ENTRADAS[[#This Row],[CODIGO]],LISTADO[CODIGOS],LISTADO[PRODUCTOS]),"NO EXISTE")</f>
        <v/>
      </c>
      <c r="E891" s="19" t="n">
        <v>46091</v>
      </c>
      <c r="F891" s="18" t="n">
        <v>100</v>
      </c>
      <c r="G891" s="18" t="inlineStr">
        <is>
          <t>INGRESO</t>
        </is>
      </c>
      <c r="H891" s="18" t="n"/>
      <c r="I891" s="45" t="n"/>
      <c r="J891" s="77" t="n"/>
      <c r="K891" s="18" t="n"/>
    </row>
    <row r="892">
      <c r="B892" s="18" t="inlineStr">
        <is>
          <t>00053-HRR</t>
        </is>
      </c>
      <c r="C892" s="18">
        <f>IFERROR(_xlfn.XLOOKUP(ENTRADAS[[#This Row],[CODIGO]],LISTADO[CODIGOS],LISTADO[CATEGORIA]),"NO EXISTE")</f>
        <v/>
      </c>
      <c r="D892" s="18">
        <f>IFERROR(_xlfn.XLOOKUP(ENTRADAS[[#This Row],[CODIGO]],LISTADO[CODIGOS],LISTADO[PRODUCTOS]),"NO EXISTE")</f>
        <v/>
      </c>
      <c r="E892" s="19" t="n">
        <v>46091</v>
      </c>
      <c r="F892" s="18" t="n">
        <v>1</v>
      </c>
      <c r="G892" s="18" t="inlineStr">
        <is>
          <t>INGRESO</t>
        </is>
      </c>
      <c r="H892" s="18" t="n"/>
      <c r="I892" s="45" t="n"/>
      <c r="J892" s="77" t="n"/>
      <c r="K892" s="18" t="n"/>
    </row>
    <row r="893">
      <c r="B893" s="18" t="inlineStr">
        <is>
          <t>00057-HRR</t>
        </is>
      </c>
      <c r="C893" s="18">
        <f>IFERROR(_xlfn.XLOOKUP(ENTRADAS[[#This Row],[CODIGO]],LISTADO[CODIGOS],LISTADO[CATEGORIA]),"NO EXISTE")</f>
        <v/>
      </c>
      <c r="D893" s="18">
        <f>IFERROR(_xlfn.XLOOKUP(ENTRADAS[[#This Row],[CODIGO]],LISTADO[CODIGOS],LISTADO[PRODUCTOS]),"NO EXISTE")</f>
        <v/>
      </c>
      <c r="E893" s="19" t="n">
        <v>46091</v>
      </c>
      <c r="F893" s="18" t="n">
        <v>1</v>
      </c>
      <c r="G893" s="18" t="inlineStr">
        <is>
          <t>INGRESO</t>
        </is>
      </c>
      <c r="H893" s="18" t="n"/>
      <c r="I893" s="45" t="n"/>
      <c r="J893" s="77" t="n"/>
      <c r="K893" s="18" t="n"/>
    </row>
    <row r="894">
      <c r="B894" s="18" t="inlineStr">
        <is>
          <t>00154-FER</t>
        </is>
      </c>
      <c r="C894" s="18">
        <f>IFERROR(_xlfn.XLOOKUP(ENTRADAS[[#This Row],[CODIGO]],LISTADO[CODIGOS],LISTADO[CATEGORIA]),"NO EXISTE")</f>
        <v/>
      </c>
      <c r="D894" s="18">
        <f>IFERROR(_xlfn.XLOOKUP(ENTRADAS[[#This Row],[CODIGO]],LISTADO[CODIGOS],LISTADO[PRODUCTOS]),"NO EXISTE")</f>
        <v/>
      </c>
      <c r="E894" s="19" t="n">
        <v>46091</v>
      </c>
      <c r="F894" s="18" t="n">
        <v>1</v>
      </c>
      <c r="G894" s="18" t="inlineStr">
        <is>
          <t>INGRESO</t>
        </is>
      </c>
      <c r="H894" s="18" t="n"/>
      <c r="I894" s="45" t="n"/>
      <c r="J894" s="77" t="n"/>
      <c r="K894" s="18" t="n"/>
    </row>
    <row r="895">
      <c r="B895" s="56" t="inlineStr">
        <is>
          <t>00010-HRR</t>
        </is>
      </c>
      <c r="C895" s="18">
        <f>IFERROR(_xlfn.XLOOKUP(ENTRADAS[[#This Row],[CODIGO]],LISTADO[CODIGOS],LISTADO[CATEGORIA]),"NO EXISTE")</f>
        <v/>
      </c>
      <c r="D895" s="18">
        <f>IFERROR(_xlfn.XLOOKUP(ENTRADAS[[#This Row],[CODIGO]],LISTADO[CODIGOS],LISTADO[PRODUCTOS]),"NO EXISTE")</f>
        <v/>
      </c>
      <c r="E895" s="19" t="n">
        <v>46091</v>
      </c>
      <c r="F895" s="18" t="n">
        <v>70</v>
      </c>
      <c r="G895" s="18" t="inlineStr">
        <is>
          <t>INGRESO</t>
        </is>
      </c>
      <c r="H895" s="18" t="n"/>
      <c r="I895" s="45" t="n"/>
      <c r="J895" s="77" t="n"/>
      <c r="K895" s="18" t="n"/>
    </row>
    <row r="896">
      <c r="B896" s="56" t="inlineStr">
        <is>
          <t>00074-FER</t>
        </is>
      </c>
      <c r="C896" s="18">
        <f>IFERROR(_xlfn.XLOOKUP(ENTRADAS[[#This Row],[CODIGO]],LISTADO[CODIGOS],LISTADO[CATEGORIA]),"NO EXISTE")</f>
        <v/>
      </c>
      <c r="D896" s="18">
        <f>IFERROR(_xlfn.XLOOKUP(ENTRADAS[[#This Row],[CODIGO]],LISTADO[CODIGOS],LISTADO[PRODUCTOS]),"NO EXISTE")</f>
        <v/>
      </c>
      <c r="E896" s="19" t="n">
        <v>46091</v>
      </c>
      <c r="F896" s="18" t="n">
        <v>5</v>
      </c>
      <c r="G896" s="18" t="inlineStr">
        <is>
          <t>INGRESO</t>
        </is>
      </c>
      <c r="H896" s="18" t="n"/>
      <c r="I896" s="45" t="n"/>
      <c r="J896" s="77" t="n"/>
      <c r="K896" s="18" t="n"/>
    </row>
    <row r="897">
      <c r="B897" s="18" t="inlineStr">
        <is>
          <t>00157-FER</t>
        </is>
      </c>
      <c r="C897" s="18">
        <f>IFERROR(_xlfn.XLOOKUP(ENTRADAS[[#This Row],[CODIGO]],LISTADO[CODIGOS],LISTADO[CATEGORIA]),"NO EXISTE")</f>
        <v/>
      </c>
      <c r="D897" s="18">
        <f>IFERROR(_xlfn.XLOOKUP(ENTRADAS[[#This Row],[CODIGO]],LISTADO[CODIGOS],LISTADO[PRODUCTOS]),"NO EXISTE")</f>
        <v/>
      </c>
      <c r="E897" s="19" t="n">
        <v>46091</v>
      </c>
      <c r="F897" s="18" t="n">
        <v>4</v>
      </c>
      <c r="G897" s="18" t="inlineStr">
        <is>
          <t>INGRESO</t>
        </is>
      </c>
      <c r="H897" s="18" t="n"/>
      <c r="I897" s="45" t="n"/>
      <c r="J897" s="77" t="n"/>
      <c r="K897" s="18" t="n"/>
    </row>
    <row r="898">
      <c r="B898" s="18" t="inlineStr">
        <is>
          <t>00094-REF</t>
        </is>
      </c>
      <c r="C898" s="18">
        <f>IFERROR(_xlfn.XLOOKUP(ENTRADAS[[#This Row],[CODIGO]],LISTADO[CODIGOS],LISTADO[CATEGORIA]),"NO EXISTE")</f>
        <v/>
      </c>
      <c r="D898" s="18">
        <f>IFERROR(_xlfn.XLOOKUP(ENTRADAS[[#This Row],[CODIGO]],LISTADO[CODIGOS],LISTADO[PRODUCTOS]),"NO EXISTE")</f>
        <v/>
      </c>
      <c r="E898" s="19" t="n">
        <v>46091</v>
      </c>
      <c r="F898" s="18" t="n">
        <v>1</v>
      </c>
      <c r="G898" s="18" t="inlineStr">
        <is>
          <t>INGRESO</t>
        </is>
      </c>
      <c r="H898" s="18" t="n"/>
      <c r="I898" s="45" t="n"/>
      <c r="J898" s="77" t="n"/>
      <c r="K898" s="18" t="n"/>
    </row>
    <row r="899">
      <c r="B899" s="18" t="inlineStr">
        <is>
          <t>00093-REF</t>
        </is>
      </c>
      <c r="C899" s="18">
        <f>IFERROR(_xlfn.XLOOKUP(ENTRADAS[[#This Row],[CODIGO]],LISTADO[CODIGOS],LISTADO[CATEGORIA]),"NO EXISTE")</f>
        <v/>
      </c>
      <c r="D899" s="18">
        <f>IFERROR(_xlfn.XLOOKUP(ENTRADAS[[#This Row],[CODIGO]],LISTADO[CODIGOS],LISTADO[PRODUCTOS]),"NO EXISTE")</f>
        <v/>
      </c>
      <c r="E899" s="19" t="n">
        <v>46091</v>
      </c>
      <c r="F899" s="18" t="n">
        <v>1</v>
      </c>
      <c r="G899" s="18" t="inlineStr">
        <is>
          <t>INGRESO</t>
        </is>
      </c>
      <c r="H899" s="18" t="n"/>
      <c r="I899" s="45" t="n"/>
      <c r="J899" s="77" t="n"/>
      <c r="K899" s="18" t="n"/>
    </row>
    <row r="900">
      <c r="B900" s="56" t="inlineStr">
        <is>
          <t>00041-ELE</t>
        </is>
      </c>
      <c r="C900" s="18">
        <f>IFERROR(_xlfn.XLOOKUP(ENTRADAS[[#This Row],[CODIGO]],LISTADO[CODIGOS],LISTADO[CATEGORIA]),"NO EXISTE")</f>
        <v/>
      </c>
      <c r="D900" s="18">
        <f>IFERROR(_xlfn.XLOOKUP(ENTRADAS[[#This Row],[CODIGO]],LISTADO[CODIGOS],LISTADO[PRODUCTOS]),"NO EXISTE")</f>
        <v/>
      </c>
      <c r="E900" s="19" t="n">
        <v>46092</v>
      </c>
      <c r="F900" s="18" t="n">
        <v>60</v>
      </c>
      <c r="G900" s="18" t="inlineStr">
        <is>
          <t>INGRESO</t>
        </is>
      </c>
      <c r="H900" s="18" t="n"/>
      <c r="I900" s="45" t="n"/>
      <c r="J900" s="77" t="n"/>
      <c r="K900" s="18" t="n"/>
    </row>
    <row r="901">
      <c r="B901" s="18" t="inlineStr">
        <is>
          <t>00061-ELE</t>
        </is>
      </c>
      <c r="C901" s="18">
        <f>IFERROR(_xlfn.XLOOKUP(ENTRADAS[[#This Row],[CODIGO]],LISTADO[CODIGOS],LISTADO[CATEGORIA]),"NO EXISTE")</f>
        <v/>
      </c>
      <c r="D901" s="18">
        <f>IFERROR(_xlfn.XLOOKUP(ENTRADAS[[#This Row],[CODIGO]],LISTADO[CODIGOS],LISTADO[PRODUCTOS]),"NO EXISTE")</f>
        <v/>
      </c>
      <c r="E901" s="19" t="n">
        <v>46092</v>
      </c>
      <c r="F901" s="18" t="n">
        <v>1</v>
      </c>
      <c r="G901" s="18" t="inlineStr">
        <is>
          <t>INGRESO</t>
        </is>
      </c>
      <c r="H901" s="18" t="n"/>
      <c r="I901" s="45" t="n"/>
      <c r="J901" s="77" t="n"/>
      <c r="K901" s="18" t="n"/>
    </row>
    <row r="902">
      <c r="B902" s="56" t="inlineStr">
        <is>
          <t>00046-ELE</t>
        </is>
      </c>
      <c r="C902" s="18">
        <f>IFERROR(_xlfn.XLOOKUP(ENTRADAS[[#This Row],[CODIGO]],LISTADO[CODIGOS],LISTADO[CATEGORIA]),"NO EXISTE")</f>
        <v/>
      </c>
      <c r="D902" s="18">
        <f>IFERROR(_xlfn.XLOOKUP(ENTRADAS[[#This Row],[CODIGO]],LISTADO[CODIGOS],LISTADO[PRODUCTOS]),"NO EXISTE")</f>
        <v/>
      </c>
      <c r="E902" s="19" t="n">
        <v>46092</v>
      </c>
      <c r="F902" s="18" t="n">
        <v>60</v>
      </c>
      <c r="G902" s="18" t="inlineStr">
        <is>
          <t>INGRESO</t>
        </is>
      </c>
      <c r="H902" s="18" t="n"/>
      <c r="I902" s="45" t="n"/>
      <c r="J902" s="77" t="n"/>
      <c r="K902" s="18" t="n"/>
    </row>
    <row r="903">
      <c r="B903" s="56" t="inlineStr">
        <is>
          <t>00031-ILU</t>
        </is>
      </c>
      <c r="C903" s="18">
        <f>IFERROR(_xlfn.XLOOKUP(ENTRADAS[[#This Row],[CODIGO]],LISTADO[CODIGOS],LISTADO[CATEGORIA]),"NO EXISTE")</f>
        <v/>
      </c>
      <c r="D903" s="18">
        <f>IFERROR(_xlfn.XLOOKUP(ENTRADAS[[#This Row],[CODIGO]],LISTADO[CODIGOS],LISTADO[PRODUCTOS]),"NO EXISTE")</f>
        <v/>
      </c>
      <c r="E903" s="19" t="n">
        <v>46092</v>
      </c>
      <c r="F903" s="18" t="n">
        <v>50</v>
      </c>
      <c r="G903" s="18" t="inlineStr">
        <is>
          <t>INGRESO</t>
        </is>
      </c>
      <c r="H903" s="18" t="n"/>
      <c r="I903" s="45" t="n"/>
      <c r="J903" s="77" t="n"/>
      <c r="K903" s="18" t="n"/>
    </row>
    <row r="904">
      <c r="B904" s="56" t="inlineStr">
        <is>
          <t>00006-ILU</t>
        </is>
      </c>
      <c r="C904" s="18">
        <f>IFERROR(_xlfn.XLOOKUP(ENTRADAS[[#This Row],[CODIGO]],LISTADO[CODIGOS],LISTADO[CATEGORIA]),"NO EXISTE")</f>
        <v/>
      </c>
      <c r="D904" s="18">
        <f>IFERROR(_xlfn.XLOOKUP(ENTRADAS[[#This Row],[CODIGO]],LISTADO[CODIGOS],LISTADO[PRODUCTOS]),"NO EXISTE")</f>
        <v/>
      </c>
      <c r="E904" s="19" t="n">
        <v>46092</v>
      </c>
      <c r="F904" s="18" t="n">
        <v>50</v>
      </c>
      <c r="G904" s="18" t="inlineStr">
        <is>
          <t>INGRESO</t>
        </is>
      </c>
      <c r="H904" s="18" t="n"/>
      <c r="I904" s="45" t="n"/>
      <c r="J904" s="77" t="n"/>
      <c r="K904" s="18" t="n"/>
    </row>
    <row r="905">
      <c r="B905" s="18" t="inlineStr">
        <is>
          <t>00041-ILU</t>
        </is>
      </c>
      <c r="C905" s="18">
        <f>IFERROR(_xlfn.XLOOKUP(ENTRADAS[[#This Row],[CODIGO]],LISTADO[CODIGOS],LISTADO[CATEGORIA]),"NO EXISTE")</f>
        <v/>
      </c>
      <c r="D905" s="18">
        <f>IFERROR(_xlfn.XLOOKUP(ENTRADAS[[#This Row],[CODIGO]],LISTADO[CODIGOS],LISTADO[PRODUCTOS]),"NO EXISTE")</f>
        <v/>
      </c>
      <c r="E905" s="19" t="n">
        <v>46092</v>
      </c>
      <c r="F905" s="18" t="n">
        <v>5</v>
      </c>
      <c r="G905" s="18" t="inlineStr">
        <is>
          <t>INGRESO</t>
        </is>
      </c>
      <c r="H905" s="18" t="n"/>
      <c r="I905" s="45" t="n"/>
      <c r="J905" s="77" t="n"/>
      <c r="K905" s="18" t="n"/>
    </row>
    <row r="906">
      <c r="B906" s="56" t="inlineStr">
        <is>
          <t>00035-ILU</t>
        </is>
      </c>
      <c r="C906" s="18">
        <f>IFERROR(_xlfn.XLOOKUP(ENTRADAS[[#This Row],[CODIGO]],LISTADO[CODIGOS],LISTADO[CATEGORIA]),"NO EXISTE")</f>
        <v/>
      </c>
      <c r="D906" s="18">
        <f>IFERROR(_xlfn.XLOOKUP(ENTRADAS[[#This Row],[CODIGO]],LISTADO[CODIGOS],LISTADO[PRODUCTOS]),"NO EXISTE")</f>
        <v/>
      </c>
      <c r="E906" s="19" t="n">
        <v>46092</v>
      </c>
      <c r="F906" s="18" t="n">
        <v>7</v>
      </c>
      <c r="G906" s="18" t="inlineStr">
        <is>
          <t>INGRESO</t>
        </is>
      </c>
      <c r="H906" s="18" t="n"/>
      <c r="I906" s="45" t="n"/>
      <c r="J906" s="77" t="n"/>
      <c r="K906" s="18" t="n"/>
    </row>
    <row r="907">
      <c r="B907" s="18" t="inlineStr">
        <is>
          <t>00041-HRR</t>
        </is>
      </c>
      <c r="C907" s="18">
        <f>IFERROR(_xlfn.XLOOKUP(ENTRADAS[[#This Row],[CODIGO]],LISTADO[CODIGOS],LISTADO[CATEGORIA]),"NO EXISTE")</f>
        <v/>
      </c>
      <c r="D907" s="18">
        <f>IFERROR(_xlfn.XLOOKUP(ENTRADAS[[#This Row],[CODIGO]],LISTADO[CODIGOS],LISTADO[PRODUCTOS]),"NO EXISTE")</f>
        <v/>
      </c>
      <c r="E907" s="19" t="n">
        <v>46092</v>
      </c>
      <c r="F907" s="18" t="n">
        <v>50</v>
      </c>
      <c r="G907" s="18" t="inlineStr">
        <is>
          <t>INGRESO</t>
        </is>
      </c>
      <c r="H907" s="18" t="n"/>
      <c r="I907" s="45" t="n"/>
      <c r="J907" s="77" t="n"/>
      <c r="K907" s="18" t="n"/>
    </row>
    <row r="908">
      <c r="B908" s="18" t="inlineStr">
        <is>
          <t>00042-HRR</t>
        </is>
      </c>
      <c r="C908" s="18">
        <f>IFERROR(_xlfn.XLOOKUP(ENTRADAS[[#This Row],[CODIGO]],LISTADO[CODIGOS],LISTADO[CATEGORIA]),"NO EXISTE")</f>
        <v/>
      </c>
      <c r="D908" s="18">
        <f>IFERROR(_xlfn.XLOOKUP(ENTRADAS[[#This Row],[CODIGO]],LISTADO[CODIGOS],LISTADO[PRODUCTOS]),"NO EXISTE")</f>
        <v/>
      </c>
      <c r="E908" s="19" t="n">
        <v>46092</v>
      </c>
      <c r="F908" s="18" t="n">
        <v>100</v>
      </c>
      <c r="G908" s="18" t="inlineStr">
        <is>
          <t>INGRESO</t>
        </is>
      </c>
      <c r="H908" s="18" t="n"/>
      <c r="I908" s="45" t="n"/>
      <c r="J908" s="77" t="n"/>
      <c r="K908" s="18" t="n"/>
    </row>
    <row r="909">
      <c r="B909" s="18" t="inlineStr">
        <is>
          <t>00043-HRR</t>
        </is>
      </c>
      <c r="C909" s="18">
        <f>IFERROR(_xlfn.XLOOKUP(ENTRADAS[[#This Row],[CODIGO]],LISTADO[CODIGOS],LISTADO[CATEGORIA]),"NO EXISTE")</f>
        <v/>
      </c>
      <c r="D909" s="18">
        <f>IFERROR(_xlfn.XLOOKUP(ENTRADAS[[#This Row],[CODIGO]],LISTADO[CODIGOS],LISTADO[PRODUCTOS]),"NO EXISTE")</f>
        <v/>
      </c>
      <c r="E909" s="19" t="n">
        <v>46092</v>
      </c>
      <c r="F909" s="18" t="n">
        <v>2</v>
      </c>
      <c r="G909" s="18" t="inlineStr">
        <is>
          <t>INGRESO</t>
        </is>
      </c>
      <c r="H909" s="18" t="n"/>
      <c r="I909" s="45" t="n"/>
      <c r="J909" s="77" t="n"/>
      <c r="K909" s="18" t="n"/>
    </row>
    <row r="910">
      <c r="B910" s="18" t="inlineStr">
        <is>
          <t>00044-HRR</t>
        </is>
      </c>
      <c r="C910" s="18">
        <f>IFERROR(_xlfn.XLOOKUP(ENTRADAS[[#This Row],[CODIGO]],LISTADO[CODIGOS],LISTADO[CATEGORIA]),"NO EXISTE")</f>
        <v/>
      </c>
      <c r="D910" s="18">
        <f>IFERROR(_xlfn.XLOOKUP(ENTRADAS[[#This Row],[CODIGO]],LISTADO[CODIGOS],LISTADO[PRODUCTOS]),"NO EXISTE")</f>
        <v/>
      </c>
      <c r="E910" s="19" t="n">
        <v>46092</v>
      </c>
      <c r="F910" s="18" t="n">
        <v>10</v>
      </c>
      <c r="G910" s="18" t="inlineStr">
        <is>
          <t>INGRESO</t>
        </is>
      </c>
      <c r="H910" s="18" t="n"/>
      <c r="I910" s="45" t="n"/>
      <c r="J910" s="77" t="n"/>
      <c r="K910" s="18" t="n"/>
    </row>
    <row r="911">
      <c r="B911" s="18" t="inlineStr">
        <is>
          <t>00045-HRR</t>
        </is>
      </c>
      <c r="C911" s="18">
        <f>IFERROR(_xlfn.XLOOKUP(ENTRADAS[[#This Row],[CODIGO]],LISTADO[CODIGOS],LISTADO[CATEGORIA]),"NO EXISTE")</f>
        <v/>
      </c>
      <c r="D911" s="18">
        <f>IFERROR(_xlfn.XLOOKUP(ENTRADAS[[#This Row],[CODIGO]],LISTADO[CODIGOS],LISTADO[PRODUCTOS]),"NO EXISTE")</f>
        <v/>
      </c>
      <c r="E911" s="19" t="n">
        <v>46092</v>
      </c>
      <c r="F911" s="18" t="n">
        <v>10</v>
      </c>
      <c r="G911" s="18" t="inlineStr">
        <is>
          <t>INGRESO</t>
        </is>
      </c>
      <c r="H911" s="18" t="n"/>
      <c r="I911" s="45" t="n"/>
      <c r="J911" s="77" t="n"/>
      <c r="K911" s="18" t="n"/>
    </row>
    <row r="912">
      <c r="B912" s="18" t="inlineStr">
        <is>
          <t>00046-HRR</t>
        </is>
      </c>
      <c r="C912" s="18">
        <f>IFERROR(_xlfn.XLOOKUP(ENTRADAS[[#This Row],[CODIGO]],LISTADO[CODIGOS],LISTADO[CATEGORIA]),"NO EXISTE")</f>
        <v/>
      </c>
      <c r="D912" s="18">
        <f>IFERROR(_xlfn.XLOOKUP(ENTRADAS[[#This Row],[CODIGO]],LISTADO[CODIGOS],LISTADO[PRODUCTOS]),"NO EXISTE")</f>
        <v/>
      </c>
      <c r="E912" s="19" t="n">
        <v>46092</v>
      </c>
      <c r="F912" s="18" t="n">
        <v>10</v>
      </c>
      <c r="G912" s="18" t="inlineStr">
        <is>
          <t>INGRESO</t>
        </is>
      </c>
      <c r="H912" s="18" t="n"/>
      <c r="I912" s="45" t="n"/>
      <c r="J912" s="77" t="n"/>
      <c r="K912" s="18" t="n"/>
    </row>
    <row r="913">
      <c r="B913" s="18" t="inlineStr">
        <is>
          <t>00047-HRR</t>
        </is>
      </c>
      <c r="C913" s="18">
        <f>IFERROR(_xlfn.XLOOKUP(ENTRADAS[[#This Row],[CODIGO]],LISTADO[CODIGOS],LISTADO[CATEGORIA]),"NO EXISTE")</f>
        <v/>
      </c>
      <c r="D913" s="18">
        <f>IFERROR(_xlfn.XLOOKUP(ENTRADAS[[#This Row],[CODIGO]],LISTADO[CODIGOS],LISTADO[PRODUCTOS]),"NO EXISTE")</f>
        <v/>
      </c>
      <c r="E913" s="19" t="n">
        <v>46092</v>
      </c>
      <c r="F913" s="18" t="n">
        <v>10</v>
      </c>
      <c r="G913" s="18" t="inlineStr">
        <is>
          <t>INGRESO</t>
        </is>
      </c>
      <c r="H913" s="18" t="n"/>
      <c r="I913" s="45" t="n"/>
      <c r="J913" s="77" t="n"/>
      <c r="K913" s="18" t="n"/>
    </row>
    <row r="914">
      <c r="B914" s="18" t="inlineStr">
        <is>
          <t>00048-HRR</t>
        </is>
      </c>
      <c r="C914" s="18">
        <f>IFERROR(_xlfn.XLOOKUP(ENTRADAS[[#This Row],[CODIGO]],LISTADO[CODIGOS],LISTADO[CATEGORIA]),"NO EXISTE")</f>
        <v/>
      </c>
      <c r="D914" s="18">
        <f>IFERROR(_xlfn.XLOOKUP(ENTRADAS[[#This Row],[CODIGO]],LISTADO[CODIGOS],LISTADO[PRODUCTOS]),"NO EXISTE")</f>
        <v/>
      </c>
      <c r="E914" s="19" t="n">
        <v>46092</v>
      </c>
      <c r="F914" s="18" t="n">
        <v>10</v>
      </c>
      <c r="G914" s="18" t="inlineStr">
        <is>
          <t>INGRESO</t>
        </is>
      </c>
      <c r="H914" s="18" t="n"/>
      <c r="I914" s="45" t="n"/>
      <c r="J914" s="77" t="n"/>
      <c r="K914" s="18" t="n"/>
    </row>
    <row r="915">
      <c r="B915" s="18" t="inlineStr">
        <is>
          <t>00049-HRR</t>
        </is>
      </c>
      <c r="C915" s="18">
        <f>IFERROR(_xlfn.XLOOKUP(ENTRADAS[[#This Row],[CODIGO]],LISTADO[CODIGOS],LISTADO[CATEGORIA]),"NO EXISTE")</f>
        <v/>
      </c>
      <c r="D915" s="18">
        <f>IFERROR(_xlfn.XLOOKUP(ENTRADAS[[#This Row],[CODIGO]],LISTADO[CODIGOS],LISTADO[PRODUCTOS]),"NO EXISTE")</f>
        <v/>
      </c>
      <c r="E915" s="19" t="n">
        <v>46092</v>
      </c>
      <c r="F915" s="18" t="n">
        <v>10</v>
      </c>
      <c r="G915" s="18" t="inlineStr">
        <is>
          <t>INGRESO</t>
        </is>
      </c>
      <c r="H915" s="18" t="n"/>
      <c r="I915" s="45" t="n"/>
      <c r="J915" s="77" t="n"/>
      <c r="K915" s="18" t="n"/>
    </row>
    <row r="916">
      <c r="B916" s="18" t="inlineStr">
        <is>
          <t>00050-HRR</t>
        </is>
      </c>
      <c r="C916" s="18">
        <f>IFERROR(_xlfn.XLOOKUP(ENTRADAS[[#This Row],[CODIGO]],LISTADO[CODIGOS],LISTADO[CATEGORIA]),"NO EXISTE")</f>
        <v/>
      </c>
      <c r="D916" s="18">
        <f>IFERROR(_xlfn.XLOOKUP(ENTRADAS[[#This Row],[CODIGO]],LISTADO[CODIGOS],LISTADO[PRODUCTOS]),"NO EXISTE")</f>
        <v/>
      </c>
      <c r="E916" s="19" t="n">
        <v>46092</v>
      </c>
      <c r="F916" s="18" t="n">
        <v>192</v>
      </c>
      <c r="G916" s="18" t="inlineStr">
        <is>
          <t>INGRESO</t>
        </is>
      </c>
      <c r="H916" s="18" t="n"/>
      <c r="I916" s="45" t="n"/>
      <c r="J916" s="77" t="n"/>
      <c r="K916" s="18" t="n"/>
    </row>
    <row r="917">
      <c r="B917" s="18" t="inlineStr">
        <is>
          <t>00051-HRR</t>
        </is>
      </c>
      <c r="C917" s="18">
        <f>IFERROR(_xlfn.XLOOKUP(ENTRADAS[[#This Row],[CODIGO]],LISTADO[CODIGOS],LISTADO[CATEGORIA]),"NO EXISTE")</f>
        <v/>
      </c>
      <c r="D917" s="18">
        <f>IFERROR(_xlfn.XLOOKUP(ENTRADAS[[#This Row],[CODIGO]],LISTADO[CODIGOS],LISTADO[PRODUCTOS]),"NO EXISTE")</f>
        <v/>
      </c>
      <c r="E917" s="19" t="n">
        <v>46092</v>
      </c>
      <c r="F917" s="18" t="n">
        <v>20</v>
      </c>
      <c r="G917" s="18" t="inlineStr">
        <is>
          <t>INGRESO</t>
        </is>
      </c>
      <c r="H917" s="18" t="n"/>
      <c r="I917" s="45" t="n"/>
      <c r="J917" s="77" t="n"/>
      <c r="K917" s="18" t="n"/>
    </row>
    <row r="918">
      <c r="B918" s="18" t="inlineStr">
        <is>
          <t>00052-HRR</t>
        </is>
      </c>
      <c r="C918" s="18">
        <f>IFERROR(_xlfn.XLOOKUP(ENTRADAS[[#This Row],[CODIGO]],LISTADO[CODIGOS],LISTADO[CATEGORIA]),"NO EXISTE")</f>
        <v/>
      </c>
      <c r="D918" s="18">
        <f>IFERROR(_xlfn.XLOOKUP(ENTRADAS[[#This Row],[CODIGO]],LISTADO[CODIGOS],LISTADO[PRODUCTOS]),"NO EXISTE")</f>
        <v/>
      </c>
      <c r="E918" s="19" t="n">
        <v>46092</v>
      </c>
      <c r="F918" s="18" t="n">
        <v>2</v>
      </c>
      <c r="G918" s="18" t="inlineStr">
        <is>
          <t>INGRESO</t>
        </is>
      </c>
      <c r="H918" s="18" t="n"/>
      <c r="I918" s="45" t="n"/>
      <c r="J918" s="77" t="n"/>
      <c r="K918" s="18" t="n"/>
    </row>
    <row r="919">
      <c r="B919" s="18" t="inlineStr">
        <is>
          <t>00108-HER</t>
        </is>
      </c>
      <c r="C919" s="18">
        <f>IFERROR(_xlfn.XLOOKUP(ENTRADAS[[#This Row],[CODIGO]],LISTADO[CODIGOS],LISTADO[CATEGORIA]),"NO EXISTE")</f>
        <v/>
      </c>
      <c r="D919" s="18">
        <f>IFERROR(_xlfn.XLOOKUP(ENTRADAS[[#This Row],[CODIGO]],LISTADO[CODIGOS],LISTADO[PRODUCTOS]),"NO EXISTE")</f>
        <v/>
      </c>
      <c r="E919" s="19" t="n">
        <v>46092</v>
      </c>
      <c r="F919" s="18" t="n">
        <v>4</v>
      </c>
      <c r="G919" s="18" t="inlineStr">
        <is>
          <t>INGRESO</t>
        </is>
      </c>
      <c r="H919" s="18" t="n"/>
      <c r="I919" s="45" t="n"/>
      <c r="J919" s="77" t="n"/>
      <c r="K919" s="18" t="n"/>
    </row>
    <row r="920">
      <c r="B920" s="56" t="inlineStr">
        <is>
          <t>00051-UNI</t>
        </is>
      </c>
      <c r="C920" s="18">
        <f>IFERROR(_xlfn.XLOOKUP(ENTRADAS[[#This Row],[CODIGO]],LISTADO[CODIGOS],LISTADO[CATEGORIA]),"NO EXISTE")</f>
        <v/>
      </c>
      <c r="D920" s="18">
        <f>IFERROR(_xlfn.XLOOKUP(ENTRADAS[[#This Row],[CODIGO]],LISTADO[CODIGOS],LISTADO[PRODUCTOS]),"NO EXISTE")</f>
        <v/>
      </c>
      <c r="E920" s="19" t="n">
        <v>46092</v>
      </c>
      <c r="F920" s="18" t="n">
        <v>2</v>
      </c>
      <c r="G920" s="18" t="inlineStr">
        <is>
          <t>INGRESO</t>
        </is>
      </c>
      <c r="H920" s="18" t="n"/>
      <c r="I920" s="45" t="n"/>
      <c r="J920" s="77" t="n"/>
      <c r="K920" s="18" t="n"/>
    </row>
    <row r="921">
      <c r="B921" s="18" t="inlineStr">
        <is>
          <t>00149-FER</t>
        </is>
      </c>
      <c r="C921" s="18">
        <f>IFERROR(_xlfn.XLOOKUP(ENTRADAS[[#This Row],[CODIGO]],LISTADO[CODIGOS],LISTADO[CATEGORIA]),"NO EXISTE")</f>
        <v/>
      </c>
      <c r="D921" s="18">
        <f>IFERROR(_xlfn.XLOOKUP(ENTRADAS[[#This Row],[CODIGO]],LISTADO[CODIGOS],LISTADO[PRODUCTOS]),"NO EXISTE")</f>
        <v/>
      </c>
      <c r="E921" s="19" t="n">
        <v>46092</v>
      </c>
      <c r="F921" s="18" t="n">
        <v>1</v>
      </c>
      <c r="G921" s="18" t="inlineStr">
        <is>
          <t>INGRESO</t>
        </is>
      </c>
      <c r="H921" s="18" t="n"/>
      <c r="I921" s="45" t="n"/>
      <c r="J921" s="77" t="n"/>
      <c r="K921" s="18" t="n"/>
    </row>
    <row r="922">
      <c r="B922" s="18" t="inlineStr">
        <is>
          <t>00150-FER</t>
        </is>
      </c>
      <c r="C922" s="18">
        <f>IFERROR(_xlfn.XLOOKUP(ENTRADAS[[#This Row],[CODIGO]],LISTADO[CODIGOS],LISTADO[CATEGORIA]),"NO EXISTE")</f>
        <v/>
      </c>
      <c r="D922" s="18">
        <f>IFERROR(_xlfn.XLOOKUP(ENTRADAS[[#This Row],[CODIGO]],LISTADO[CODIGOS],LISTADO[PRODUCTOS]),"NO EXISTE")</f>
        <v/>
      </c>
      <c r="E922" s="19" t="n">
        <v>46092</v>
      </c>
      <c r="F922" s="18" t="n">
        <v>3</v>
      </c>
      <c r="G922" s="18" t="inlineStr">
        <is>
          <t>INGRESO</t>
        </is>
      </c>
      <c r="H922" s="18" t="n"/>
      <c r="I922" s="45" t="n"/>
      <c r="J922" s="77" t="n"/>
      <c r="K922" s="18" t="n"/>
    </row>
    <row r="923">
      <c r="B923" s="18" t="inlineStr">
        <is>
          <t>00165-FER</t>
        </is>
      </c>
      <c r="C923" s="18">
        <f>IFERROR(_xlfn.XLOOKUP(ENTRADAS[[#This Row],[CODIGO]],LISTADO[CODIGOS],LISTADO[CATEGORIA]),"NO EXISTE")</f>
        <v/>
      </c>
      <c r="D923" s="18">
        <f>IFERROR(_xlfn.XLOOKUP(ENTRADAS[[#This Row],[CODIGO]],LISTADO[CODIGOS],LISTADO[PRODUCTOS]),"NO EXISTE")</f>
        <v/>
      </c>
      <c r="E923" s="19" t="n">
        <v>46092</v>
      </c>
      <c r="F923" s="18" t="n">
        <v>245</v>
      </c>
      <c r="G923" s="18" t="inlineStr">
        <is>
          <t>INGRESO</t>
        </is>
      </c>
      <c r="H923" s="18" t="n"/>
      <c r="I923" s="45" t="n"/>
      <c r="J923" s="77" t="n"/>
      <c r="K923" s="18" t="n"/>
    </row>
    <row r="924">
      <c r="B924" s="18" t="inlineStr">
        <is>
          <t>00166-FER</t>
        </is>
      </c>
      <c r="C924" s="18">
        <f>IFERROR(_xlfn.XLOOKUP(ENTRADAS[[#This Row],[CODIGO]],LISTADO[CODIGOS],LISTADO[CATEGORIA]),"NO EXISTE")</f>
        <v/>
      </c>
      <c r="D924" s="18">
        <f>IFERROR(_xlfn.XLOOKUP(ENTRADAS[[#This Row],[CODIGO]],LISTADO[CODIGOS],LISTADO[PRODUCTOS]),"NO EXISTE")</f>
        <v/>
      </c>
      <c r="E924" s="19" t="n">
        <v>46092</v>
      </c>
      <c r="F924" s="18" t="n">
        <v>200</v>
      </c>
      <c r="G924" s="18" t="inlineStr">
        <is>
          <t>INGRESO</t>
        </is>
      </c>
      <c r="H924" s="18" t="n"/>
      <c r="I924" s="45" t="n"/>
      <c r="J924" s="77" t="n"/>
      <c r="K924" s="18" t="n"/>
    </row>
    <row r="925">
      <c r="B925" s="18" t="inlineStr">
        <is>
          <t>00167-FER</t>
        </is>
      </c>
      <c r="C925" s="18">
        <f>IFERROR(_xlfn.XLOOKUP(ENTRADAS[[#This Row],[CODIGO]],LISTADO[CODIGOS],LISTADO[CATEGORIA]),"NO EXISTE")</f>
        <v/>
      </c>
      <c r="D925" s="18">
        <f>IFERROR(_xlfn.XLOOKUP(ENTRADAS[[#This Row],[CODIGO]],LISTADO[CODIGOS],LISTADO[PRODUCTOS]),"NO EXISTE")</f>
        <v/>
      </c>
      <c r="E925" s="19" t="n">
        <v>46092</v>
      </c>
      <c r="F925" s="18" t="n">
        <v>200</v>
      </c>
      <c r="G925" s="18" t="inlineStr">
        <is>
          <t>INGRESO</t>
        </is>
      </c>
      <c r="H925" s="18" t="n"/>
      <c r="I925" s="45" t="n"/>
      <c r="J925" s="77" t="n"/>
      <c r="K925" s="18" t="n"/>
    </row>
    <row r="926">
      <c r="B926" s="18" t="inlineStr">
        <is>
          <t>00168-FER</t>
        </is>
      </c>
      <c r="C926" s="18">
        <f>IFERROR(_xlfn.XLOOKUP(ENTRADAS[[#This Row],[CODIGO]],LISTADO[CODIGOS],LISTADO[CATEGORIA]),"NO EXISTE")</f>
        <v/>
      </c>
      <c r="D926" s="18">
        <f>IFERROR(_xlfn.XLOOKUP(ENTRADAS[[#This Row],[CODIGO]],LISTADO[CODIGOS],LISTADO[PRODUCTOS]),"NO EXISTE")</f>
        <v/>
      </c>
      <c r="E926" s="19" t="n">
        <v>46092</v>
      </c>
      <c r="F926" s="18" t="n">
        <v>60</v>
      </c>
      <c r="G926" s="18" t="inlineStr">
        <is>
          <t>INGRESO</t>
        </is>
      </c>
      <c r="H926" s="18" t="n"/>
      <c r="I926" s="45" t="n"/>
      <c r="J926" s="77" t="n"/>
      <c r="K926" s="18" t="n"/>
    </row>
    <row r="927">
      <c r="B927" s="18" t="inlineStr">
        <is>
          <t>00169-FER</t>
        </is>
      </c>
      <c r="C927" s="18">
        <f>IFERROR(_xlfn.XLOOKUP(ENTRADAS[[#This Row],[CODIGO]],LISTADO[CODIGOS],LISTADO[CATEGORIA]),"NO EXISTE")</f>
        <v/>
      </c>
      <c r="D927" s="18">
        <f>IFERROR(_xlfn.XLOOKUP(ENTRADAS[[#This Row],[CODIGO]],LISTADO[CODIGOS],LISTADO[PRODUCTOS]),"NO EXISTE")</f>
        <v/>
      </c>
      <c r="E927" s="19" t="n">
        <v>46092</v>
      </c>
      <c r="F927" s="18" t="n">
        <v>40</v>
      </c>
      <c r="G927" s="18" t="inlineStr">
        <is>
          <t>INGRESO</t>
        </is>
      </c>
      <c r="H927" s="18" t="n"/>
      <c r="I927" s="45" t="n"/>
      <c r="J927" s="77" t="n"/>
      <c r="K927" s="18" t="n"/>
    </row>
    <row r="928">
      <c r="B928" s="18" t="inlineStr">
        <is>
          <t>00061-ELE</t>
        </is>
      </c>
      <c r="C928" s="18">
        <f>IFERROR(_xlfn.XLOOKUP(ENTRADAS[[#This Row],[CODIGO]],LISTADO[CODIGOS],LISTADO[CATEGORIA]),"NO EXISTE")</f>
        <v/>
      </c>
      <c r="D928" s="18">
        <f>IFERROR(_xlfn.XLOOKUP(ENTRADAS[[#This Row],[CODIGO]],LISTADO[CODIGOS],LISTADO[PRODUCTOS]),"NO EXISTE")</f>
        <v/>
      </c>
      <c r="E928" s="19" t="n">
        <v>46093</v>
      </c>
      <c r="F928" s="18" t="n">
        <v>1</v>
      </c>
      <c r="G928" s="18" t="inlineStr">
        <is>
          <t>INGRESO</t>
        </is>
      </c>
      <c r="H928" s="18" t="n"/>
      <c r="I928" s="45" t="n"/>
      <c r="J928" s="77" t="n"/>
      <c r="K928" s="18" t="n"/>
    </row>
    <row r="929">
      <c r="B929" s="18" t="inlineStr">
        <is>
          <t>00109-HER</t>
        </is>
      </c>
      <c r="C929" s="18">
        <f>IFERROR(_xlfn.XLOOKUP(ENTRADAS[[#This Row],[CODIGO]],LISTADO[CODIGOS],LISTADO[CATEGORIA]),"NO EXISTE")</f>
        <v/>
      </c>
      <c r="D929" s="18">
        <f>IFERROR(_xlfn.XLOOKUP(ENTRADAS[[#This Row],[CODIGO]],LISTADO[CODIGOS],LISTADO[PRODUCTOS]),"NO EXISTE")</f>
        <v/>
      </c>
      <c r="E929" s="19" t="n">
        <v>46093</v>
      </c>
      <c r="F929" s="18" t="n">
        <v>3</v>
      </c>
      <c r="G929" s="18" t="inlineStr">
        <is>
          <t>INGRESO</t>
        </is>
      </c>
      <c r="H929" s="18" t="n"/>
      <c r="I929" s="45" t="n"/>
      <c r="J929" s="77" t="n"/>
      <c r="K929" s="18" t="n"/>
    </row>
    <row r="930">
      <c r="B930" s="18" t="inlineStr">
        <is>
          <t>00044-ELC</t>
        </is>
      </c>
      <c r="C930" s="18">
        <f>IFERROR(_xlfn.XLOOKUP(ENTRADAS[[#This Row],[CODIGO]],LISTADO[CODIGOS],LISTADO[CATEGORIA]),"NO EXISTE")</f>
        <v/>
      </c>
      <c r="D930" s="18">
        <f>IFERROR(_xlfn.XLOOKUP(ENTRADAS[[#This Row],[CODIGO]],LISTADO[CODIGOS],LISTADO[PRODUCTOS]),"NO EXISTE")</f>
        <v/>
      </c>
      <c r="E930" s="19" t="n">
        <v>46093</v>
      </c>
      <c r="F930" s="18" t="n">
        <v>1</v>
      </c>
      <c r="G930" s="18" t="inlineStr">
        <is>
          <t>INGRESO</t>
        </is>
      </c>
      <c r="H930" s="18" t="n"/>
      <c r="I930" s="45" t="n"/>
      <c r="J930" s="77" t="n"/>
      <c r="K930" s="18" t="n"/>
    </row>
    <row r="931">
      <c r="B931" s="18" t="inlineStr">
        <is>
          <t>00045-ELC</t>
        </is>
      </c>
      <c r="C931" s="18">
        <f>IFERROR(_xlfn.XLOOKUP(ENTRADAS[[#This Row],[CODIGO]],LISTADO[CODIGOS],LISTADO[CATEGORIA]),"NO EXISTE")</f>
        <v/>
      </c>
      <c r="D931" s="18">
        <f>IFERROR(_xlfn.XLOOKUP(ENTRADAS[[#This Row],[CODIGO]],LISTADO[CODIGOS],LISTADO[PRODUCTOS]),"NO EXISTE")</f>
        <v/>
      </c>
      <c r="E931" s="19" t="n">
        <v>46093</v>
      </c>
      <c r="F931" s="18" t="n">
        <v>2</v>
      </c>
      <c r="G931" s="18" t="inlineStr">
        <is>
          <t>INGRESO</t>
        </is>
      </c>
      <c r="H931" s="18" t="n"/>
      <c r="I931" s="45" t="n"/>
      <c r="J931" s="77" t="n"/>
      <c r="K931" s="18" t="n"/>
    </row>
    <row r="932">
      <c r="B932" s="18" t="inlineStr">
        <is>
          <t>00046-ELC</t>
        </is>
      </c>
      <c r="C932" s="18">
        <f>IFERROR(_xlfn.XLOOKUP(ENTRADAS[[#This Row],[CODIGO]],LISTADO[CODIGOS],LISTADO[CATEGORIA]),"NO EXISTE")</f>
        <v/>
      </c>
      <c r="D932" s="18">
        <f>IFERROR(_xlfn.XLOOKUP(ENTRADAS[[#This Row],[CODIGO]],LISTADO[CODIGOS],LISTADO[PRODUCTOS]),"NO EXISTE")</f>
        <v/>
      </c>
      <c r="E932" s="19" t="n">
        <v>46093</v>
      </c>
      <c r="F932" s="18" t="n">
        <v>5</v>
      </c>
      <c r="G932" s="18" t="inlineStr">
        <is>
          <t>INGRESO</t>
        </is>
      </c>
      <c r="H932" s="18" t="n"/>
      <c r="I932" s="45" t="n"/>
      <c r="J932" s="77" t="n"/>
      <c r="K932" s="18" t="n"/>
    </row>
    <row r="933">
      <c r="B933" s="56" t="inlineStr">
        <is>
          <t>00006-ILU</t>
        </is>
      </c>
      <c r="C933" s="18">
        <f>IFERROR(_xlfn.XLOOKUP(ENTRADAS[[#This Row],[CODIGO]],LISTADO[CODIGOS],LISTADO[CATEGORIA]),"NO EXISTE")</f>
        <v/>
      </c>
      <c r="D933" s="18">
        <f>IFERROR(_xlfn.XLOOKUP(ENTRADAS[[#This Row],[CODIGO]],LISTADO[CODIGOS],LISTADO[PRODUCTOS]),"NO EXISTE")</f>
        <v/>
      </c>
      <c r="E933" s="19" t="n">
        <v>46093</v>
      </c>
      <c r="F933" s="18" t="n">
        <v>8</v>
      </c>
      <c r="G933" s="18" t="inlineStr">
        <is>
          <t>DEVOLUCION</t>
        </is>
      </c>
      <c r="H933" s="18" t="n"/>
      <c r="I933" s="45" t="n"/>
      <c r="J933" s="77" t="n"/>
      <c r="K933" s="18" t="n"/>
    </row>
    <row r="934">
      <c r="B934" s="56" t="inlineStr">
        <is>
          <t>00041-ELE</t>
        </is>
      </c>
      <c r="C934" s="18">
        <f>IFERROR(_xlfn.XLOOKUP(ENTRADAS[[#This Row],[CODIGO]],LISTADO[CODIGOS],LISTADO[CATEGORIA]),"NO EXISTE")</f>
        <v/>
      </c>
      <c r="D934" s="18">
        <f>IFERROR(_xlfn.XLOOKUP(ENTRADAS[[#This Row],[CODIGO]],LISTADO[CODIGOS],LISTADO[PRODUCTOS]),"NO EXISTE")</f>
        <v/>
      </c>
      <c r="E934" s="19" t="n">
        <v>46093</v>
      </c>
      <c r="F934" s="18" t="n">
        <v>1</v>
      </c>
      <c r="G934" s="18" t="inlineStr">
        <is>
          <t>DEVOLUCION</t>
        </is>
      </c>
      <c r="H934" s="18" t="n"/>
      <c r="I934" s="45" t="n"/>
      <c r="J934" s="77" t="n"/>
      <c r="K934" s="18" t="n"/>
    </row>
    <row r="935">
      <c r="B935" s="56" t="inlineStr">
        <is>
          <t>00046-ELE</t>
        </is>
      </c>
      <c r="C935" s="18">
        <f>IFERROR(_xlfn.XLOOKUP(ENTRADAS[[#This Row],[CODIGO]],LISTADO[CODIGOS],LISTADO[CATEGORIA]),"NO EXISTE")</f>
        <v/>
      </c>
      <c r="D935" s="18">
        <f>IFERROR(_xlfn.XLOOKUP(ENTRADAS[[#This Row],[CODIGO]],LISTADO[CODIGOS],LISTADO[PRODUCTOS]),"NO EXISTE")</f>
        <v/>
      </c>
      <c r="E935" s="19" t="n">
        <v>46093</v>
      </c>
      <c r="F935" s="18" t="n">
        <v>1</v>
      </c>
      <c r="G935" s="18" t="inlineStr">
        <is>
          <t>DEVOLUCION</t>
        </is>
      </c>
      <c r="H935" s="18" t="n"/>
      <c r="I935" s="45" t="n"/>
      <c r="J935" s="77" t="n"/>
      <c r="K935" s="18" t="n"/>
    </row>
    <row r="936">
      <c r="B936" s="18" t="inlineStr">
        <is>
          <t>00142-FER</t>
        </is>
      </c>
      <c r="C936" s="18">
        <f>IFERROR(_xlfn.XLOOKUP(ENTRADAS[[#This Row],[CODIGO]],LISTADO[CODIGOS],LISTADO[CATEGORIA]),"NO EXISTE")</f>
        <v/>
      </c>
      <c r="D936" s="18">
        <f>IFERROR(_xlfn.XLOOKUP(ENTRADAS[[#This Row],[CODIGO]],LISTADO[CODIGOS],LISTADO[PRODUCTOS]),"NO EXISTE")</f>
        <v/>
      </c>
      <c r="E936" s="19" t="n">
        <v>46093</v>
      </c>
      <c r="F936" s="18" t="n">
        <v>1</v>
      </c>
      <c r="G936" s="18" t="inlineStr">
        <is>
          <t>INVENTARIO</t>
        </is>
      </c>
      <c r="H936" s="18" t="n"/>
      <c r="I936" s="45" t="n"/>
      <c r="J936" s="77" t="n"/>
      <c r="K936" s="18" t="n"/>
    </row>
    <row r="937">
      <c r="B937" s="56" t="inlineStr">
        <is>
          <t>00081-FER</t>
        </is>
      </c>
      <c r="C937" s="18">
        <f>IFERROR(_xlfn.XLOOKUP(ENTRADAS[[#This Row],[CODIGO]],LISTADO[CODIGOS],LISTADO[CATEGORIA]),"NO EXISTE")</f>
        <v/>
      </c>
      <c r="D937" s="18">
        <f>IFERROR(_xlfn.XLOOKUP(ENTRADAS[[#This Row],[CODIGO]],LISTADO[CODIGOS],LISTADO[PRODUCTOS]),"NO EXISTE")</f>
        <v/>
      </c>
      <c r="E937" s="19" t="n">
        <v>46093</v>
      </c>
      <c r="F937" s="18" t="n">
        <v>6</v>
      </c>
      <c r="G937" s="18" t="inlineStr">
        <is>
          <t>INVENTARIO</t>
        </is>
      </c>
      <c r="H937" s="18" t="n"/>
      <c r="I937" s="45" t="n"/>
      <c r="J937" s="77" t="n"/>
      <c r="K937" s="18" t="n"/>
    </row>
    <row r="938">
      <c r="B938" s="56" t="inlineStr">
        <is>
          <t>00078-FER</t>
        </is>
      </c>
      <c r="C938" s="18">
        <f>IFERROR(_xlfn.XLOOKUP(ENTRADAS[[#This Row],[CODIGO]],LISTADO[CODIGOS],LISTADO[CATEGORIA]),"NO EXISTE")</f>
        <v/>
      </c>
      <c r="D938" s="18">
        <f>IFERROR(_xlfn.XLOOKUP(ENTRADAS[[#This Row],[CODIGO]],LISTADO[CODIGOS],LISTADO[PRODUCTOS]),"NO EXISTE")</f>
        <v/>
      </c>
      <c r="E938" s="19" t="n">
        <v>46093</v>
      </c>
      <c r="F938" s="18" t="n">
        <v>2</v>
      </c>
      <c r="G938" s="18" t="inlineStr">
        <is>
          <t>DEVOLUCION</t>
        </is>
      </c>
      <c r="H938" s="18" t="n"/>
      <c r="I938" s="45" t="n"/>
      <c r="J938" s="77" t="n"/>
      <c r="K938" s="18" t="n"/>
    </row>
    <row r="939">
      <c r="B939" s="56" t="inlineStr">
        <is>
          <t>00014-HRR</t>
        </is>
      </c>
      <c r="C939" s="18">
        <f>IFERROR(_xlfn.XLOOKUP(ENTRADAS[[#This Row],[CODIGO]],LISTADO[CODIGOS],LISTADO[CATEGORIA]),"NO EXISTE")</f>
        <v/>
      </c>
      <c r="D939" s="18">
        <f>IFERROR(_xlfn.XLOOKUP(ENTRADAS[[#This Row],[CODIGO]],LISTADO[CODIGOS],LISTADO[PRODUCTOS]),"NO EXISTE")</f>
        <v/>
      </c>
      <c r="E939" s="19" t="n">
        <v>46093</v>
      </c>
      <c r="F939" s="18" t="n">
        <v>2</v>
      </c>
      <c r="G939" s="18" t="inlineStr">
        <is>
          <t>INGRESO</t>
        </is>
      </c>
      <c r="H939" s="18" t="n"/>
      <c r="I939" s="45" t="n"/>
      <c r="J939" s="77" t="n"/>
      <c r="K939" s="18" t="n"/>
    </row>
    <row r="940">
      <c r="B940" s="56" t="inlineStr">
        <is>
          <t>00030-HRR</t>
        </is>
      </c>
      <c r="C940" s="18">
        <f>IFERROR(_xlfn.XLOOKUP(ENTRADAS[[#This Row],[CODIGO]],LISTADO[CODIGOS],LISTADO[CATEGORIA]),"NO EXISTE")</f>
        <v/>
      </c>
      <c r="D940" s="18">
        <f>IFERROR(_xlfn.XLOOKUP(ENTRADAS[[#This Row],[CODIGO]],LISTADO[CODIGOS],LISTADO[PRODUCTOS]),"NO EXISTE")</f>
        <v/>
      </c>
      <c r="E940" s="19" t="n">
        <v>46093</v>
      </c>
      <c r="F940" s="18" t="n">
        <v>2</v>
      </c>
      <c r="G940" s="18" t="inlineStr">
        <is>
          <t>INGRESO</t>
        </is>
      </c>
      <c r="H940" s="18" t="n"/>
      <c r="I940" s="45" t="n"/>
      <c r="J940" s="77" t="n"/>
      <c r="K940" s="18" t="n"/>
    </row>
    <row r="941">
      <c r="B941" s="18" t="inlineStr">
        <is>
          <t>00053-HRR</t>
        </is>
      </c>
      <c r="C941" s="18">
        <f>IFERROR(_xlfn.XLOOKUP(ENTRADAS[[#This Row],[CODIGO]],LISTADO[CODIGOS],LISTADO[CATEGORIA]),"NO EXISTE")</f>
        <v/>
      </c>
      <c r="D941" s="18">
        <f>IFERROR(_xlfn.XLOOKUP(ENTRADAS[[#This Row],[CODIGO]],LISTADO[CODIGOS],LISTADO[PRODUCTOS]),"NO EXISTE")</f>
        <v/>
      </c>
      <c r="E941" s="19" t="n">
        <v>46093</v>
      </c>
      <c r="F941" s="18" t="n">
        <v>1</v>
      </c>
      <c r="G941" s="18" t="inlineStr">
        <is>
          <t>INGRESO</t>
        </is>
      </c>
      <c r="H941" s="18" t="n"/>
      <c r="I941" s="45" t="n"/>
      <c r="J941" s="77" t="n"/>
      <c r="K941" s="18" t="n"/>
    </row>
    <row r="942">
      <c r="B942" s="56" t="inlineStr">
        <is>
          <t>00024-FER</t>
        </is>
      </c>
      <c r="C942" s="18">
        <f>IFERROR(_xlfn.XLOOKUP(ENTRADAS[[#This Row],[CODIGO]],LISTADO[CODIGOS],LISTADO[CATEGORIA]),"NO EXISTE")</f>
        <v/>
      </c>
      <c r="D942" s="18">
        <f>IFERROR(_xlfn.XLOOKUP(ENTRADAS[[#This Row],[CODIGO]],LISTADO[CODIGOS],LISTADO[PRODUCTOS]),"NO EXISTE")</f>
        <v/>
      </c>
      <c r="E942" s="19" t="n">
        <v>46093</v>
      </c>
      <c r="F942" s="18" t="n">
        <v>1</v>
      </c>
      <c r="G942" s="18" t="inlineStr">
        <is>
          <t>INGRESO</t>
        </is>
      </c>
      <c r="H942" s="18" t="n"/>
      <c r="I942" s="45" t="n"/>
      <c r="J942" s="77" t="n"/>
      <c r="K942" s="18" t="n"/>
    </row>
    <row r="943">
      <c r="B943" s="56" t="inlineStr">
        <is>
          <t>00074-FER</t>
        </is>
      </c>
      <c r="C943" s="18">
        <f>IFERROR(_xlfn.XLOOKUP(ENTRADAS[[#This Row],[CODIGO]],LISTADO[CODIGOS],LISTADO[CATEGORIA]),"NO EXISTE")</f>
        <v/>
      </c>
      <c r="D943" s="18">
        <f>IFERROR(_xlfn.XLOOKUP(ENTRADAS[[#This Row],[CODIGO]],LISTADO[CODIGOS],LISTADO[PRODUCTOS]),"NO EXISTE")</f>
        <v/>
      </c>
      <c r="E943" s="19" t="n">
        <v>46093</v>
      </c>
      <c r="F943" s="18" t="n">
        <v>6</v>
      </c>
      <c r="G943" s="18" t="inlineStr">
        <is>
          <t>INGRESO</t>
        </is>
      </c>
      <c r="H943" s="18" t="n"/>
      <c r="I943" s="45" t="n"/>
      <c r="J943" s="77" t="n"/>
      <c r="K943" s="18" t="n"/>
    </row>
    <row r="944">
      <c r="B944" s="18" t="inlineStr">
        <is>
          <t>00141-FER</t>
        </is>
      </c>
      <c r="C944" s="18">
        <f>IFERROR(_xlfn.XLOOKUP(ENTRADAS[[#This Row],[CODIGO]],LISTADO[CODIGOS],LISTADO[CATEGORIA]),"NO EXISTE")</f>
        <v/>
      </c>
      <c r="D944" s="18">
        <f>IFERROR(_xlfn.XLOOKUP(ENTRADAS[[#This Row],[CODIGO]],LISTADO[CODIGOS],LISTADO[PRODUCTOS]),"NO EXISTE")</f>
        <v/>
      </c>
      <c r="E944" s="19" t="n">
        <v>46093</v>
      </c>
      <c r="F944" s="18" t="n">
        <v>4</v>
      </c>
      <c r="G944" s="18" t="inlineStr">
        <is>
          <t>INGRESO</t>
        </is>
      </c>
      <c r="H944" s="18" t="n"/>
      <c r="I944" s="45" t="n"/>
      <c r="J944" s="77" t="n"/>
      <c r="K944" s="18" t="n"/>
    </row>
    <row r="945">
      <c r="B945" s="18" t="inlineStr">
        <is>
          <t>00151-FER</t>
        </is>
      </c>
      <c r="C945" s="18">
        <f>IFERROR(_xlfn.XLOOKUP(ENTRADAS[[#This Row],[CODIGO]],LISTADO[CODIGOS],LISTADO[CATEGORIA]),"NO EXISTE")</f>
        <v/>
      </c>
      <c r="D945" s="18">
        <f>IFERROR(_xlfn.XLOOKUP(ENTRADAS[[#This Row],[CODIGO]],LISTADO[CODIGOS],LISTADO[PRODUCTOS]),"NO EXISTE")</f>
        <v/>
      </c>
      <c r="E945" s="19" t="n">
        <v>46093</v>
      </c>
      <c r="F945" s="18" t="n">
        <v>100</v>
      </c>
      <c r="G945" s="18" t="inlineStr">
        <is>
          <t>INGRESO</t>
        </is>
      </c>
      <c r="H945" s="18" t="n"/>
      <c r="I945" s="45" t="n"/>
      <c r="J945" s="77" t="n"/>
      <c r="K945" s="18" t="n"/>
    </row>
    <row r="946">
      <c r="B946" s="18" t="inlineStr">
        <is>
          <t>00152-FER</t>
        </is>
      </c>
      <c r="C946" s="18">
        <f>IFERROR(_xlfn.XLOOKUP(ENTRADAS[[#This Row],[CODIGO]],LISTADO[CODIGOS],LISTADO[CATEGORIA]),"NO EXISTE")</f>
        <v/>
      </c>
      <c r="D946" s="18">
        <f>IFERROR(_xlfn.XLOOKUP(ENTRADAS[[#This Row],[CODIGO]],LISTADO[CODIGOS],LISTADO[PRODUCTOS]),"NO EXISTE")</f>
        <v/>
      </c>
      <c r="E946" s="19" t="n">
        <v>46093</v>
      </c>
      <c r="F946" s="18" t="n">
        <v>4</v>
      </c>
      <c r="G946" s="18" t="inlineStr">
        <is>
          <t>INGRESO</t>
        </is>
      </c>
      <c r="H946" s="18" t="n"/>
      <c r="I946" s="45" t="n"/>
      <c r="J946" s="77" t="n"/>
      <c r="K946" s="18" t="n"/>
    </row>
    <row r="947">
      <c r="B947" s="18" t="inlineStr">
        <is>
          <t>00054-HRR</t>
        </is>
      </c>
      <c r="C947" s="18">
        <f>IFERROR(_xlfn.XLOOKUP(ENTRADAS[[#This Row],[CODIGO]],LISTADO[CODIGOS],LISTADO[CATEGORIA]),"NO EXISTE")</f>
        <v/>
      </c>
      <c r="D947" s="18">
        <f>IFERROR(_xlfn.XLOOKUP(ENTRADAS[[#This Row],[CODIGO]],LISTADO[CODIGOS],LISTADO[PRODUCTOS]),"NO EXISTE")</f>
        <v/>
      </c>
      <c r="E947" s="19" t="n">
        <v>46093</v>
      </c>
      <c r="F947" s="18" t="n">
        <v>2</v>
      </c>
      <c r="G947" s="18" t="inlineStr">
        <is>
          <t>INGRESO</t>
        </is>
      </c>
      <c r="H947" s="18" t="n"/>
      <c r="I947" s="45" t="n"/>
      <c r="J947" s="77" t="n"/>
      <c r="K947" s="18" t="n"/>
    </row>
    <row r="948">
      <c r="B948" s="18" t="inlineStr">
        <is>
          <t>00055-HRR</t>
        </is>
      </c>
      <c r="C948" s="18">
        <f>IFERROR(_xlfn.XLOOKUP(ENTRADAS[[#This Row],[CODIGO]],LISTADO[CODIGOS],LISTADO[CATEGORIA]),"NO EXISTE")</f>
        <v/>
      </c>
      <c r="D948" s="18">
        <f>IFERROR(_xlfn.XLOOKUP(ENTRADAS[[#This Row],[CODIGO]],LISTADO[CODIGOS],LISTADO[PRODUCTOS]),"NO EXISTE")</f>
        <v/>
      </c>
      <c r="E948" s="19" t="n">
        <v>46093</v>
      </c>
      <c r="F948" s="18" t="n">
        <v>40</v>
      </c>
      <c r="G948" s="18" t="inlineStr">
        <is>
          <t>INGRESO</t>
        </is>
      </c>
      <c r="H948" s="18" t="n"/>
      <c r="I948" s="45" t="n"/>
      <c r="J948" s="77" t="n"/>
      <c r="K948" s="18" t="n"/>
    </row>
    <row r="949">
      <c r="B949" s="18" t="inlineStr">
        <is>
          <t>00056-HRR</t>
        </is>
      </c>
      <c r="C949" s="18">
        <f>IFERROR(_xlfn.XLOOKUP(ENTRADAS[[#This Row],[CODIGO]],LISTADO[CODIGOS],LISTADO[CATEGORIA]),"NO EXISTE")</f>
        <v/>
      </c>
      <c r="D949" s="18">
        <f>IFERROR(_xlfn.XLOOKUP(ENTRADAS[[#This Row],[CODIGO]],LISTADO[CODIGOS],LISTADO[PRODUCTOS]),"NO EXISTE")</f>
        <v/>
      </c>
      <c r="E949" s="19" t="n">
        <v>46093</v>
      </c>
      <c r="F949" s="18" t="n">
        <v>2</v>
      </c>
      <c r="G949" s="18" t="inlineStr">
        <is>
          <t>INGRESO</t>
        </is>
      </c>
      <c r="H949" s="18" t="n"/>
      <c r="I949" s="45" t="n"/>
      <c r="J949" s="77" t="n"/>
      <c r="K949" s="18" t="n"/>
    </row>
    <row r="950">
      <c r="B950" s="18" t="inlineStr">
        <is>
          <t>00153-FER</t>
        </is>
      </c>
      <c r="C950" s="18">
        <f>IFERROR(_xlfn.XLOOKUP(ENTRADAS[[#This Row],[CODIGO]],LISTADO[CODIGOS],LISTADO[CATEGORIA]),"NO EXISTE")</f>
        <v/>
      </c>
      <c r="D950" s="18">
        <f>IFERROR(_xlfn.XLOOKUP(ENTRADAS[[#This Row],[CODIGO]],LISTADO[CODIGOS],LISTADO[PRODUCTOS]),"NO EXISTE")</f>
        <v/>
      </c>
      <c r="E950" s="19" t="n">
        <v>46093</v>
      </c>
      <c r="F950" s="18" t="n">
        <v>10</v>
      </c>
      <c r="G950" s="18" t="inlineStr">
        <is>
          <t>INGRESO</t>
        </is>
      </c>
      <c r="H950" s="18" t="n"/>
      <c r="I950" s="45" t="n"/>
      <c r="J950" s="77" t="n"/>
      <c r="K950" s="18" t="n"/>
    </row>
    <row r="951">
      <c r="B951" s="18" t="inlineStr">
        <is>
          <t>00016-REF</t>
        </is>
      </c>
      <c r="C951" s="18">
        <f>IFERROR(_xlfn.XLOOKUP(ENTRADAS[[#This Row],[CODIGO]],LISTADO[CODIGOS],LISTADO[CATEGORIA]),"NO EXISTE")</f>
        <v/>
      </c>
      <c r="D951" s="18">
        <f>IFERROR(_xlfn.XLOOKUP(ENTRADAS[[#This Row],[CODIGO]],LISTADO[CODIGOS],LISTADO[PRODUCTOS]),"NO EXISTE")</f>
        <v/>
      </c>
      <c r="E951" s="19" t="n">
        <v>46093</v>
      </c>
      <c r="F951" s="18" t="n">
        <v>15</v>
      </c>
      <c r="G951" s="18" t="inlineStr">
        <is>
          <t>INGRESO</t>
        </is>
      </c>
      <c r="H951" s="18" t="n"/>
      <c r="I951" s="45" t="n"/>
      <c r="J951" s="77" t="n"/>
      <c r="K951" s="18" t="n"/>
    </row>
    <row r="952">
      <c r="B952" s="56" t="inlineStr">
        <is>
          <t>00204-FER</t>
        </is>
      </c>
      <c r="C952" s="18">
        <f>IFERROR(_xlfn.XLOOKUP(ENTRADAS[[#This Row],[CODIGO]],LISTADO[CODIGOS],LISTADO[CATEGORIA]),"NO EXISTE")</f>
        <v/>
      </c>
      <c r="D952" s="18">
        <f>IFERROR(_xlfn.XLOOKUP(ENTRADAS[[#This Row],[CODIGO]],LISTADO[CODIGOS],LISTADO[PRODUCTOS]),"NO EXISTE")</f>
        <v/>
      </c>
      <c r="E952" s="19" t="n">
        <v>46093</v>
      </c>
      <c r="F952" s="18" t="n">
        <v>1</v>
      </c>
      <c r="G952" s="18" t="inlineStr">
        <is>
          <t>INGRESO</t>
        </is>
      </c>
      <c r="H952" s="18" t="n"/>
      <c r="I952" s="45" t="n"/>
      <c r="J952" s="77" t="n"/>
      <c r="K952" s="18" t="n"/>
    </row>
    <row r="953">
      <c r="B953" s="18" t="inlineStr">
        <is>
          <t>00045-ILU</t>
        </is>
      </c>
      <c r="C953" s="18">
        <f>IFERROR(_xlfn.XLOOKUP(ENTRADAS[[#This Row],[CODIGO]],LISTADO[CODIGOS],LISTADO[CATEGORIA]),"NO EXISTE")</f>
        <v/>
      </c>
      <c r="D953" s="18">
        <f>IFERROR(_xlfn.XLOOKUP(ENTRADAS[[#This Row],[CODIGO]],LISTADO[CODIGOS],LISTADO[PRODUCTOS]),"NO EXISTE")</f>
        <v/>
      </c>
      <c r="E953" s="19" t="n">
        <v>46094</v>
      </c>
      <c r="F953" s="18" t="n">
        <v>4</v>
      </c>
      <c r="G953" s="18" t="inlineStr">
        <is>
          <t>INGRESO</t>
        </is>
      </c>
      <c r="H953" s="18" t="n"/>
      <c r="I953" s="45" t="n"/>
      <c r="J953" s="77" t="n"/>
      <c r="K953" s="18" t="n"/>
    </row>
    <row r="954">
      <c r="B954" s="18" t="inlineStr">
        <is>
          <t>00046-ILU</t>
        </is>
      </c>
      <c r="C954" s="18">
        <f>IFERROR(_xlfn.XLOOKUP(ENTRADAS[[#This Row],[CODIGO]],LISTADO[CODIGOS],LISTADO[CATEGORIA]),"NO EXISTE")</f>
        <v/>
      </c>
      <c r="D954" s="18">
        <f>IFERROR(_xlfn.XLOOKUP(ENTRADAS[[#This Row],[CODIGO]],LISTADO[CODIGOS],LISTADO[PRODUCTOS]),"NO EXISTE")</f>
        <v/>
      </c>
      <c r="E954" s="19" t="n">
        <v>46094</v>
      </c>
      <c r="F954" s="18" t="n">
        <v>4</v>
      </c>
      <c r="G954" s="18" t="inlineStr">
        <is>
          <t>INGRESO</t>
        </is>
      </c>
      <c r="H954" s="18" t="n"/>
      <c r="I954" s="45" t="n"/>
      <c r="J954" s="77" t="n"/>
      <c r="K954" s="18" t="n"/>
    </row>
    <row r="955">
      <c r="B955" s="56" t="inlineStr">
        <is>
          <t>00001-PLM</t>
        </is>
      </c>
      <c r="C955" s="18">
        <f>IFERROR(_xlfn.XLOOKUP(ENTRADAS[[#This Row],[CODIGO]],LISTADO[CODIGOS],LISTADO[CATEGORIA]),"NO EXISTE")</f>
        <v/>
      </c>
      <c r="D955" s="18">
        <f>IFERROR(_xlfn.XLOOKUP(ENTRADAS[[#This Row],[CODIGO]],LISTADO[CODIGOS],LISTADO[PRODUCTOS]),"NO EXISTE")</f>
        <v/>
      </c>
      <c r="E955" s="19" t="n">
        <v>46094</v>
      </c>
      <c r="F955" s="18" t="n">
        <v>1</v>
      </c>
      <c r="G955" s="18" t="inlineStr">
        <is>
          <t>INGRESO</t>
        </is>
      </c>
      <c r="H955" s="18" t="n"/>
      <c r="I955" s="45" t="n"/>
      <c r="J955" s="77" t="n"/>
      <c r="K955" s="18" t="n"/>
    </row>
    <row r="956">
      <c r="B956" s="56" t="inlineStr">
        <is>
          <t>00047-ELE</t>
        </is>
      </c>
      <c r="C956" s="18">
        <f>IFERROR(_xlfn.XLOOKUP(ENTRADAS[[#This Row],[CODIGO]],LISTADO[CODIGOS],LISTADO[CATEGORIA]),"NO EXISTE")</f>
        <v/>
      </c>
      <c r="D956" s="18">
        <f>IFERROR(_xlfn.XLOOKUP(ENTRADAS[[#This Row],[CODIGO]],LISTADO[CODIGOS],LISTADO[PRODUCTOS]),"NO EXISTE")</f>
        <v/>
      </c>
      <c r="E956" s="19" t="n">
        <v>46094</v>
      </c>
      <c r="F956" s="18" t="n">
        <v>1</v>
      </c>
      <c r="G956" s="18" t="inlineStr">
        <is>
          <t>INGRESO</t>
        </is>
      </c>
      <c r="H956" s="18" t="n"/>
      <c r="I956" s="45" t="n"/>
      <c r="J956" s="77" t="n"/>
      <c r="K956" s="18" t="n"/>
    </row>
    <row r="957">
      <c r="B957" s="56" t="inlineStr">
        <is>
          <t>00047-ELE</t>
        </is>
      </c>
      <c r="C957" s="18">
        <f>IFERROR(_xlfn.XLOOKUP(ENTRADAS[[#This Row],[CODIGO]],LISTADO[CODIGOS],LISTADO[CATEGORIA]),"NO EXISTE")</f>
        <v/>
      </c>
      <c r="D957" s="18">
        <f>IFERROR(_xlfn.XLOOKUP(ENTRADAS[[#This Row],[CODIGO]],LISTADO[CODIGOS],LISTADO[PRODUCTOS]),"NO EXISTE")</f>
        <v/>
      </c>
      <c r="E957" s="19" t="n">
        <v>46094</v>
      </c>
      <c r="F957" s="18" t="n">
        <v>20</v>
      </c>
      <c r="G957" s="18" t="inlineStr">
        <is>
          <t>INGRESO</t>
        </is>
      </c>
      <c r="H957" s="18" t="n"/>
      <c r="I957" s="45" t="n"/>
      <c r="J957" s="77" t="n"/>
      <c r="K957" s="18" t="n"/>
    </row>
    <row r="958">
      <c r="B958" s="18" t="inlineStr">
        <is>
          <t>00070-ELE</t>
        </is>
      </c>
      <c r="C958" s="18">
        <f>IFERROR(_xlfn.XLOOKUP(ENTRADAS[[#This Row],[CODIGO]],LISTADO[CODIGOS],LISTADO[CATEGORIA]),"NO EXISTE")</f>
        <v/>
      </c>
      <c r="D958" s="18">
        <f>IFERROR(_xlfn.XLOOKUP(ENTRADAS[[#This Row],[CODIGO]],LISTADO[CODIGOS],LISTADO[PRODUCTOS]),"NO EXISTE")</f>
        <v/>
      </c>
      <c r="E958" s="19" t="n">
        <v>46094</v>
      </c>
      <c r="F958" s="18" t="n">
        <v>20</v>
      </c>
      <c r="G958" s="18" t="inlineStr">
        <is>
          <t>INGRESO</t>
        </is>
      </c>
      <c r="H958" s="18" t="n"/>
      <c r="I958" s="45" t="n"/>
      <c r="J958" s="77" t="n"/>
      <c r="K958" s="18" t="n"/>
    </row>
    <row r="959">
      <c r="B959" s="18" t="inlineStr">
        <is>
          <t>00073-ELE</t>
        </is>
      </c>
      <c r="C959" s="18">
        <f>IFERROR(_xlfn.XLOOKUP(ENTRADAS[[#This Row],[CODIGO]],LISTADO[CODIGOS],LISTADO[CATEGORIA]),"NO EXISTE")</f>
        <v/>
      </c>
      <c r="D959" s="18">
        <f>IFERROR(_xlfn.XLOOKUP(ENTRADAS[[#This Row],[CODIGO]],LISTADO[CODIGOS],LISTADO[PRODUCTOS]),"NO EXISTE")</f>
        <v/>
      </c>
      <c r="E959" s="19" t="n">
        <v>46094</v>
      </c>
      <c r="F959" s="18" t="n">
        <v>10</v>
      </c>
      <c r="G959" s="18" t="inlineStr">
        <is>
          <t>INGRESO</t>
        </is>
      </c>
      <c r="H959" s="18" t="n"/>
      <c r="I959" s="45" t="n"/>
      <c r="J959" s="77" t="n"/>
      <c r="K959" s="18" t="n"/>
    </row>
    <row r="960">
      <c r="B960" s="18" t="inlineStr">
        <is>
          <t>00012-LIM</t>
        </is>
      </c>
      <c r="C960" s="18">
        <f>IFERROR(_xlfn.XLOOKUP(ENTRADAS[[#This Row],[CODIGO]],LISTADO[CODIGOS],LISTADO[CATEGORIA]),"NO EXISTE")</f>
        <v/>
      </c>
      <c r="D960" s="18">
        <f>IFERROR(_xlfn.XLOOKUP(ENTRADAS[[#This Row],[CODIGO]],LISTADO[CODIGOS],LISTADO[PRODUCTOS]),"NO EXISTE")</f>
        <v/>
      </c>
      <c r="E960" s="19" t="n">
        <v>46095</v>
      </c>
      <c r="F960" s="18" t="n">
        <v>5</v>
      </c>
      <c r="G960" s="18" t="inlineStr">
        <is>
          <t>INVENTARIO</t>
        </is>
      </c>
      <c r="H960" s="18" t="n"/>
      <c r="I960" s="45" t="n"/>
      <c r="J960" s="77" t="n"/>
      <c r="K960" s="18" t="n"/>
    </row>
    <row r="961">
      <c r="B961" s="56" t="inlineStr">
        <is>
          <t>00017-MSC</t>
        </is>
      </c>
      <c r="C961" s="18">
        <f>IFERROR(_xlfn.XLOOKUP(ENTRADAS[[#This Row],[CODIGO]],LISTADO[CODIGOS],LISTADO[CATEGORIA]),"NO EXISTE")</f>
        <v/>
      </c>
      <c r="D961" s="18">
        <f>IFERROR(_xlfn.XLOOKUP(ENTRADAS[[#This Row],[CODIGO]],LISTADO[CODIGOS],LISTADO[PRODUCTOS]),"NO EXISTE")</f>
        <v/>
      </c>
      <c r="E961" s="19" t="n">
        <v>46095</v>
      </c>
      <c r="F961" s="18" t="n">
        <v>13</v>
      </c>
      <c r="G961" s="18" t="inlineStr">
        <is>
          <t>INVENTARIO</t>
        </is>
      </c>
      <c r="H961" s="18" t="n"/>
      <c r="I961" s="45" t="n"/>
      <c r="J961" s="77" t="n"/>
      <c r="K961" s="18" t="n"/>
    </row>
    <row r="962">
      <c r="B962" s="18" t="inlineStr">
        <is>
          <t>00013-LIM</t>
        </is>
      </c>
      <c r="C962" s="18">
        <f>IFERROR(_xlfn.XLOOKUP(ENTRADAS[[#This Row],[CODIGO]],LISTADO[CODIGOS],LISTADO[CATEGORIA]),"NO EXISTE")</f>
        <v/>
      </c>
      <c r="D962" s="18">
        <f>IFERROR(_xlfn.XLOOKUP(ENTRADAS[[#This Row],[CODIGO]],LISTADO[CODIGOS],LISTADO[PRODUCTOS]),"NO EXISTE")</f>
        <v/>
      </c>
      <c r="E962" s="19" t="n">
        <v>46095</v>
      </c>
      <c r="F962" s="18" t="n">
        <v>4</v>
      </c>
      <c r="G962" s="18" t="inlineStr">
        <is>
          <t>INVENTARIO</t>
        </is>
      </c>
      <c r="H962" s="18" t="n"/>
      <c r="I962" s="45" t="n"/>
      <c r="J962" s="77" t="n"/>
      <c r="K962" s="18" t="n"/>
    </row>
    <row r="963">
      <c r="B963" s="18" t="inlineStr">
        <is>
          <t>00014-LIM</t>
        </is>
      </c>
      <c r="C963" s="18">
        <f>IFERROR(_xlfn.XLOOKUP(ENTRADAS[[#This Row],[CODIGO]],LISTADO[CODIGOS],LISTADO[CATEGORIA]),"NO EXISTE")</f>
        <v/>
      </c>
      <c r="D963" s="18">
        <f>IFERROR(_xlfn.XLOOKUP(ENTRADAS[[#This Row],[CODIGO]],LISTADO[CODIGOS],LISTADO[PRODUCTOS]),"NO EXISTE")</f>
        <v/>
      </c>
      <c r="E963" s="19" t="n">
        <v>46095</v>
      </c>
      <c r="F963" s="18" t="n">
        <v>4</v>
      </c>
      <c r="G963" s="18" t="inlineStr">
        <is>
          <t>INVENTARIO</t>
        </is>
      </c>
      <c r="H963" s="18" t="n"/>
      <c r="I963" s="45" t="n"/>
      <c r="J963" s="77" t="n"/>
      <c r="K963" s="18" t="n"/>
    </row>
    <row r="964">
      <c r="B964" s="18" t="inlineStr">
        <is>
          <t>00095-REF</t>
        </is>
      </c>
      <c r="C964" s="18">
        <f>IFERROR(_xlfn.XLOOKUP(ENTRADAS[[#This Row],[CODIGO]],LISTADO[CODIGOS],LISTADO[CATEGORIA]),"NO EXISTE")</f>
        <v/>
      </c>
      <c r="D964" s="18">
        <f>IFERROR(_xlfn.XLOOKUP(ENTRADAS[[#This Row],[CODIGO]],LISTADO[CODIGOS],LISTADO[PRODUCTOS]),"NO EXISTE")</f>
        <v/>
      </c>
      <c r="E964" s="19" t="n">
        <v>46095</v>
      </c>
      <c r="F964" s="18" t="n">
        <v>1</v>
      </c>
      <c r="G964" s="18" t="inlineStr">
        <is>
          <t>INGRESO</t>
        </is>
      </c>
      <c r="H964" s="18" t="n"/>
      <c r="I964" s="45" t="n"/>
      <c r="J964" s="77" t="n"/>
      <c r="K964" s="18" t="n"/>
    </row>
    <row r="965">
      <c r="B965" s="56" t="inlineStr">
        <is>
          <t>00035-ILU</t>
        </is>
      </c>
      <c r="C965" s="18">
        <f>IFERROR(_xlfn.XLOOKUP(ENTRADAS[[#This Row],[CODIGO]],LISTADO[CODIGOS],LISTADO[CATEGORIA]),"NO EXISTE")</f>
        <v/>
      </c>
      <c r="D965" s="18">
        <f>IFERROR(_xlfn.XLOOKUP(ENTRADAS[[#This Row],[CODIGO]],LISTADO[CODIGOS],LISTADO[PRODUCTOS]),"NO EXISTE")</f>
        <v/>
      </c>
      <c r="E965" s="19" t="n">
        <v>46095</v>
      </c>
      <c r="F965" s="18" t="n">
        <v>12</v>
      </c>
      <c r="G965" s="18" t="inlineStr">
        <is>
          <t>INVENTARIO</t>
        </is>
      </c>
      <c r="H965" s="18" t="n"/>
      <c r="I965" s="45" t="n"/>
      <c r="J965" s="77" t="n"/>
      <c r="K965" s="18" t="n"/>
    </row>
    <row r="966">
      <c r="B966" s="56" t="inlineStr">
        <is>
          <t>00034-ILU</t>
        </is>
      </c>
      <c r="C966" s="18">
        <f>IFERROR(_xlfn.XLOOKUP(ENTRADAS[[#This Row],[CODIGO]],LISTADO[CODIGOS],LISTADO[CATEGORIA]),"NO EXISTE")</f>
        <v/>
      </c>
      <c r="D966" s="18">
        <f>IFERROR(_xlfn.XLOOKUP(ENTRADAS[[#This Row],[CODIGO]],LISTADO[CODIGOS],LISTADO[PRODUCTOS]),"NO EXISTE")</f>
        <v/>
      </c>
      <c r="E966" s="19" t="n">
        <v>46095</v>
      </c>
      <c r="F966" s="18" t="n">
        <v>4</v>
      </c>
      <c r="G966" s="18" t="inlineStr">
        <is>
          <t>INVENTARIO</t>
        </is>
      </c>
      <c r="H966" s="18" t="n"/>
      <c r="I966" s="45" t="n"/>
      <c r="J966" s="77" t="n"/>
      <c r="K966" s="18" t="n"/>
    </row>
    <row r="967">
      <c r="B967" s="56" t="inlineStr">
        <is>
          <t>00037-ILU</t>
        </is>
      </c>
      <c r="C967" s="18">
        <f>IFERROR(_xlfn.XLOOKUP(ENTRADAS[[#This Row],[CODIGO]],LISTADO[CODIGOS],LISTADO[CATEGORIA]),"NO EXISTE")</f>
        <v/>
      </c>
      <c r="D967" s="18">
        <f>IFERROR(_xlfn.XLOOKUP(ENTRADAS[[#This Row],[CODIGO]],LISTADO[CODIGOS],LISTADO[PRODUCTOS]),"NO EXISTE")</f>
        <v/>
      </c>
      <c r="E967" s="19" t="n">
        <v>46095</v>
      </c>
      <c r="F967" s="18" t="n">
        <v>25</v>
      </c>
      <c r="G967" s="18" t="inlineStr">
        <is>
          <t>INVENTARIO</t>
        </is>
      </c>
      <c r="H967" s="18" t="n"/>
      <c r="I967" s="45" t="n"/>
      <c r="J967" s="77" t="n"/>
      <c r="K967" s="18" t="n"/>
    </row>
    <row r="968">
      <c r="B968" s="56" t="inlineStr">
        <is>
          <t>00036-ILU</t>
        </is>
      </c>
      <c r="C968" s="18">
        <f>IFERROR(_xlfn.XLOOKUP(ENTRADAS[[#This Row],[CODIGO]],LISTADO[CODIGOS],LISTADO[CATEGORIA]),"NO EXISTE")</f>
        <v/>
      </c>
      <c r="D968" s="18">
        <f>IFERROR(_xlfn.XLOOKUP(ENTRADAS[[#This Row],[CODIGO]],LISTADO[CODIGOS],LISTADO[PRODUCTOS]),"NO EXISTE")</f>
        <v/>
      </c>
      <c r="E968" s="19" t="n">
        <v>46095</v>
      </c>
      <c r="F968" s="18" t="n">
        <v>9</v>
      </c>
      <c r="G968" s="18" t="inlineStr">
        <is>
          <t>INVENTARIO</t>
        </is>
      </c>
      <c r="H968" s="18" t="n"/>
      <c r="I968" s="45" t="n"/>
      <c r="J968" s="77" t="n"/>
      <c r="K968" s="18" t="n"/>
    </row>
    <row r="969">
      <c r="B969" s="18" t="inlineStr">
        <is>
          <t>00042-ILU</t>
        </is>
      </c>
      <c r="C969" s="18">
        <f>IFERROR(_xlfn.XLOOKUP(ENTRADAS[[#This Row],[CODIGO]],LISTADO[CODIGOS],LISTADO[CATEGORIA]),"NO EXISTE")</f>
        <v/>
      </c>
      <c r="D969" s="18">
        <f>IFERROR(_xlfn.XLOOKUP(ENTRADAS[[#This Row],[CODIGO]],LISTADO[CODIGOS],LISTADO[PRODUCTOS]),"NO EXISTE")</f>
        <v/>
      </c>
      <c r="E969" s="19" t="n">
        <v>46095</v>
      </c>
      <c r="F969" s="18" t="n">
        <v>182</v>
      </c>
      <c r="G969" s="18" t="inlineStr">
        <is>
          <t>INVENTARIO</t>
        </is>
      </c>
      <c r="H969" s="18" t="n"/>
      <c r="I969" s="45" t="n"/>
      <c r="J969" s="77" t="n"/>
      <c r="K969" s="18" t="n"/>
    </row>
    <row r="970">
      <c r="B970" s="18" t="inlineStr">
        <is>
          <t>00043-ILU</t>
        </is>
      </c>
      <c r="C970" s="18">
        <f>IFERROR(_xlfn.XLOOKUP(ENTRADAS[[#This Row],[CODIGO]],LISTADO[CODIGOS],LISTADO[CATEGORIA]),"NO EXISTE")</f>
        <v/>
      </c>
      <c r="D970" s="18">
        <f>IFERROR(_xlfn.XLOOKUP(ENTRADAS[[#This Row],[CODIGO]],LISTADO[CODIGOS],LISTADO[PRODUCTOS]),"NO EXISTE")</f>
        <v/>
      </c>
      <c r="E970" s="19" t="n">
        <v>46095</v>
      </c>
      <c r="F970" s="18" t="n">
        <v>4</v>
      </c>
      <c r="G970" s="18" t="inlineStr">
        <is>
          <t>INVENTARIO</t>
        </is>
      </c>
      <c r="H970" s="18" t="n"/>
      <c r="I970" s="45" t="n"/>
      <c r="J970" s="77" t="n"/>
      <c r="K970" s="18" t="n"/>
    </row>
    <row r="971">
      <c r="B971" s="18" t="inlineStr">
        <is>
          <t>00044-ILU</t>
        </is>
      </c>
      <c r="C971" s="18">
        <f>IFERROR(_xlfn.XLOOKUP(ENTRADAS[[#This Row],[CODIGO]],LISTADO[CODIGOS],LISTADO[CATEGORIA]),"NO EXISTE")</f>
        <v/>
      </c>
      <c r="D971" s="18">
        <f>IFERROR(_xlfn.XLOOKUP(ENTRADAS[[#This Row],[CODIGO]],LISTADO[CODIGOS],LISTADO[PRODUCTOS]),"NO EXISTE")</f>
        <v/>
      </c>
      <c r="E971" s="19" t="n">
        <v>46095</v>
      </c>
      <c r="F971" s="18" t="n">
        <v>60</v>
      </c>
      <c r="G971" s="18" t="inlineStr">
        <is>
          <t>INVENTARIO</t>
        </is>
      </c>
      <c r="H971" s="18" t="n"/>
      <c r="I971" s="45" t="n"/>
      <c r="J971" s="77" t="n"/>
      <c r="K971" s="18" t="n"/>
    </row>
    <row r="972">
      <c r="B972" s="18" t="inlineStr">
        <is>
          <t>00096-REF</t>
        </is>
      </c>
      <c r="C972" s="18">
        <f>IFERROR(_xlfn.XLOOKUP(ENTRADAS[[#This Row],[CODIGO]],LISTADO[CODIGOS],LISTADO[CATEGORIA]),"NO EXISTE")</f>
        <v/>
      </c>
      <c r="D972" s="18">
        <f>IFERROR(_xlfn.XLOOKUP(ENTRADAS[[#This Row],[CODIGO]],LISTADO[CODIGOS],LISTADO[PRODUCTOS]),"NO EXISTE")</f>
        <v/>
      </c>
      <c r="E972" s="19" t="n">
        <v>46095</v>
      </c>
      <c r="F972" s="18" t="n">
        <v>1</v>
      </c>
      <c r="G972" s="18" t="inlineStr">
        <is>
          <t>INVENTARIO</t>
        </is>
      </c>
      <c r="H972" s="18" t="n"/>
      <c r="I972" s="45" t="n"/>
      <c r="J972" s="77" t="n"/>
      <c r="K972" s="18" t="n"/>
    </row>
    <row r="973">
      <c r="B973" s="18" t="inlineStr">
        <is>
          <t>00097-REF</t>
        </is>
      </c>
      <c r="C973" s="18">
        <f>IFERROR(_xlfn.XLOOKUP(ENTRADAS[[#This Row],[CODIGO]],LISTADO[CODIGOS],LISTADO[CATEGORIA]),"NO EXISTE")</f>
        <v/>
      </c>
      <c r="D973" s="18">
        <f>IFERROR(_xlfn.XLOOKUP(ENTRADAS[[#This Row],[CODIGO]],LISTADO[CODIGOS],LISTADO[PRODUCTOS]),"NO EXISTE")</f>
        <v/>
      </c>
      <c r="E973" s="19" t="n">
        <v>46095</v>
      </c>
      <c r="F973" s="18" t="n">
        <v>1</v>
      </c>
      <c r="G973" s="18" t="inlineStr">
        <is>
          <t>INVENTARIO</t>
        </is>
      </c>
      <c r="H973" s="18" t="n"/>
      <c r="I973" s="45" t="n"/>
      <c r="J973" s="77" t="n"/>
      <c r="K973" s="18" t="n"/>
    </row>
    <row r="974">
      <c r="B974" s="56" t="inlineStr">
        <is>
          <t>00001-ILU</t>
        </is>
      </c>
      <c r="C974" s="18">
        <f>IFERROR(_xlfn.XLOOKUP(ENTRADAS[[#This Row],[CODIGO]],LISTADO[CODIGOS],LISTADO[CATEGORIA]),"NO EXISTE")</f>
        <v/>
      </c>
      <c r="D974" s="18">
        <f>IFERROR(_xlfn.XLOOKUP(ENTRADAS[[#This Row],[CODIGO]],LISTADO[CODIGOS],LISTADO[PRODUCTOS]),"NO EXISTE")</f>
        <v/>
      </c>
      <c r="E974" s="19" t="n">
        <v>46095</v>
      </c>
      <c r="F974" s="18" t="n">
        <v>4</v>
      </c>
      <c r="G974" s="18" t="inlineStr">
        <is>
          <t>INVENTARIO</t>
        </is>
      </c>
      <c r="H974" s="18" t="n"/>
      <c r="I974" s="45" t="n"/>
      <c r="J974" s="77" t="n"/>
      <c r="K974" s="18" t="n"/>
    </row>
    <row r="975">
      <c r="B975" s="56" t="inlineStr">
        <is>
          <t>00009-REF</t>
        </is>
      </c>
      <c r="C975" s="18">
        <f>IFERROR(_xlfn.XLOOKUP(ENTRADAS[[#This Row],[CODIGO]],LISTADO[CODIGOS],LISTADO[CATEGORIA]),"NO EXISTE")</f>
        <v/>
      </c>
      <c r="D975" s="18">
        <f>IFERROR(_xlfn.XLOOKUP(ENTRADAS[[#This Row],[CODIGO]],LISTADO[CODIGOS],LISTADO[PRODUCTOS]),"NO EXISTE")</f>
        <v/>
      </c>
      <c r="E975" s="19" t="n">
        <v>46095</v>
      </c>
      <c r="F975" s="18" t="n">
        <v>1</v>
      </c>
      <c r="G975" s="18" t="inlineStr">
        <is>
          <t>INVENTARIO</t>
        </is>
      </c>
      <c r="H975" s="18" t="n"/>
      <c r="I975" s="45" t="n"/>
      <c r="J975" s="77" t="n"/>
      <c r="K975" s="18" t="n"/>
    </row>
    <row r="976">
      <c r="B976" s="18" t="inlineStr">
        <is>
          <t>00015-LIM</t>
        </is>
      </c>
      <c r="C976" s="18">
        <f>IFERROR(_xlfn.XLOOKUP(ENTRADAS[[#This Row],[CODIGO]],LISTADO[CODIGOS],LISTADO[CATEGORIA]),"NO EXISTE")</f>
        <v/>
      </c>
      <c r="D976" s="18">
        <f>IFERROR(_xlfn.XLOOKUP(ENTRADAS[[#This Row],[CODIGO]],LISTADO[CODIGOS],LISTADO[PRODUCTOS]),"NO EXISTE")</f>
        <v/>
      </c>
      <c r="E976" s="19" t="n">
        <v>46095</v>
      </c>
      <c r="F976" s="18" t="n">
        <v>5</v>
      </c>
      <c r="G976" s="18" t="inlineStr">
        <is>
          <t>INVENTARIO</t>
        </is>
      </c>
      <c r="H976" s="18" t="n"/>
      <c r="I976" s="45" t="n"/>
      <c r="J976" s="77" t="n"/>
      <c r="K976" s="18" t="n"/>
    </row>
    <row r="977">
      <c r="B977" s="18" t="inlineStr">
        <is>
          <t>00051-PLM</t>
        </is>
      </c>
      <c r="C977" s="18">
        <f>IFERROR(_xlfn.XLOOKUP(ENTRADAS[[#This Row],[CODIGO]],LISTADO[CODIGOS],LISTADO[CATEGORIA]),"NO EXISTE")</f>
        <v/>
      </c>
      <c r="D977" s="18">
        <f>IFERROR(_xlfn.XLOOKUP(ENTRADAS[[#This Row],[CODIGO]],LISTADO[CODIGOS],LISTADO[PRODUCTOS]),"NO EXISTE")</f>
        <v/>
      </c>
      <c r="E977" s="19" t="n">
        <v>46095</v>
      </c>
      <c r="F977" s="18" t="n">
        <v>1</v>
      </c>
      <c r="G977" s="18" t="inlineStr">
        <is>
          <t>INGRESO</t>
        </is>
      </c>
      <c r="H977" s="18" t="n"/>
      <c r="I977" s="45" t="n"/>
      <c r="J977" s="77" t="n"/>
      <c r="K977" s="18" t="n"/>
    </row>
    <row r="978">
      <c r="B978" s="56" t="inlineStr">
        <is>
          <t>00087-FER</t>
        </is>
      </c>
      <c r="C978" s="18">
        <f>IFERROR(_xlfn.XLOOKUP(ENTRADAS[[#This Row],[CODIGO]],LISTADO[CODIGOS],LISTADO[CATEGORIA]),"NO EXISTE")</f>
        <v/>
      </c>
      <c r="D978" s="18">
        <f>IFERROR(_xlfn.XLOOKUP(ENTRADAS[[#This Row],[CODIGO]],LISTADO[CODIGOS],LISTADO[PRODUCTOS]),"NO EXISTE")</f>
        <v/>
      </c>
      <c r="E978" s="19" t="n">
        <v>46095</v>
      </c>
      <c r="F978" s="18" t="n">
        <v>25</v>
      </c>
      <c r="G978" s="18" t="inlineStr">
        <is>
          <t>INGRESO</t>
        </is>
      </c>
      <c r="H978" s="18" t="n"/>
      <c r="I978" s="45" t="n"/>
      <c r="J978" s="77" t="n"/>
      <c r="K978" s="18" t="n"/>
    </row>
    <row r="979">
      <c r="B979" s="18" t="inlineStr">
        <is>
          <t>00156-FER</t>
        </is>
      </c>
      <c r="C979" s="18">
        <f>IFERROR(_xlfn.XLOOKUP(ENTRADAS[[#This Row],[CODIGO]],LISTADO[CODIGOS],LISTADO[CATEGORIA]),"NO EXISTE")</f>
        <v/>
      </c>
      <c r="D979" s="18">
        <f>IFERROR(_xlfn.XLOOKUP(ENTRADAS[[#This Row],[CODIGO]],LISTADO[CODIGOS],LISTADO[PRODUCTOS]),"NO EXISTE")</f>
        <v/>
      </c>
      <c r="E979" s="19" t="n">
        <v>46097</v>
      </c>
      <c r="F979" s="18" t="n">
        <v>1</v>
      </c>
      <c r="G979" s="18" t="inlineStr">
        <is>
          <t>INGRESO</t>
        </is>
      </c>
      <c r="H979" s="18" t="n"/>
      <c r="I979" s="45" t="n"/>
      <c r="J979" s="77" t="n"/>
      <c r="K979" s="18" t="n"/>
    </row>
    <row r="980">
      <c r="B980" s="18" t="inlineStr">
        <is>
          <t>00145-FER</t>
        </is>
      </c>
      <c r="C980" s="18">
        <f>IFERROR(_xlfn.XLOOKUP(ENTRADAS[[#This Row],[CODIGO]],LISTADO[CODIGOS],LISTADO[CATEGORIA]),"NO EXISTE")</f>
        <v/>
      </c>
      <c r="D980" s="18">
        <f>IFERROR(_xlfn.XLOOKUP(ENTRADAS[[#This Row],[CODIGO]],LISTADO[CODIGOS],LISTADO[PRODUCTOS]),"NO EXISTE")</f>
        <v/>
      </c>
      <c r="E980" s="19" t="n">
        <v>46097</v>
      </c>
      <c r="F980" s="18" t="n">
        <v>10</v>
      </c>
      <c r="G980" s="18" t="inlineStr">
        <is>
          <t>INGRESO</t>
        </is>
      </c>
      <c r="H980" s="18" t="n"/>
      <c r="I980" s="45" t="n"/>
      <c r="J980" s="77" t="n"/>
      <c r="K980" s="18" t="n"/>
    </row>
    <row r="981">
      <c r="B981" s="18" t="inlineStr">
        <is>
          <t>00064-ELE</t>
        </is>
      </c>
      <c r="C981" s="18">
        <f>IFERROR(_xlfn.XLOOKUP(ENTRADAS[[#This Row],[CODIGO]],LISTADO[CODIGOS],LISTADO[CATEGORIA]),"NO EXISTE")</f>
        <v/>
      </c>
      <c r="D981" s="18">
        <f>IFERROR(_xlfn.XLOOKUP(ENTRADAS[[#This Row],[CODIGO]],LISTADO[CODIGOS],LISTADO[PRODUCTOS]),"NO EXISTE")</f>
        <v/>
      </c>
      <c r="E981" s="19" t="n">
        <v>46097</v>
      </c>
      <c r="F981" s="18" t="n">
        <v>1</v>
      </c>
      <c r="G981" s="18" t="inlineStr">
        <is>
          <t>INGRESO</t>
        </is>
      </c>
      <c r="H981" s="18" t="n"/>
      <c r="I981" s="45" t="n"/>
      <c r="J981" s="77" t="n"/>
      <c r="K981" s="18" t="n"/>
    </row>
    <row r="982">
      <c r="B982" s="18" t="inlineStr">
        <is>
          <t>00065-ELE</t>
        </is>
      </c>
      <c r="C982" s="18">
        <f>IFERROR(_xlfn.XLOOKUP(ENTRADAS[[#This Row],[CODIGO]],LISTADO[CODIGOS],LISTADO[CATEGORIA]),"NO EXISTE")</f>
        <v/>
      </c>
      <c r="D982" s="18">
        <f>IFERROR(_xlfn.XLOOKUP(ENTRADAS[[#This Row],[CODIGO]],LISTADO[CODIGOS],LISTADO[PRODUCTOS]),"NO EXISTE")</f>
        <v/>
      </c>
      <c r="E982" s="19" t="n">
        <v>46097</v>
      </c>
      <c r="F982" s="18" t="n">
        <v>1</v>
      </c>
      <c r="G982" s="18" t="inlineStr">
        <is>
          <t>INGRESO</t>
        </is>
      </c>
      <c r="H982" s="18" t="n"/>
      <c r="I982" s="45" t="n"/>
      <c r="J982" s="77" t="n"/>
      <c r="K982" s="18" t="n"/>
    </row>
    <row r="983">
      <c r="B983" s="56" t="inlineStr">
        <is>
          <t>00089-FER</t>
        </is>
      </c>
      <c r="C983" s="18">
        <f>IFERROR(_xlfn.XLOOKUP(ENTRADAS[[#This Row],[CODIGO]],LISTADO[CODIGOS],LISTADO[CATEGORIA]),"NO EXISTE")</f>
        <v/>
      </c>
      <c r="D983" s="18">
        <f>IFERROR(_xlfn.XLOOKUP(ENTRADAS[[#This Row],[CODIGO]],LISTADO[CODIGOS],LISTADO[PRODUCTOS]),"NO EXISTE")</f>
        <v/>
      </c>
      <c r="E983" s="19" t="n">
        <v>46097</v>
      </c>
      <c r="F983" s="18" t="n">
        <v>10</v>
      </c>
      <c r="G983" s="18" t="inlineStr">
        <is>
          <t>INGRESO</t>
        </is>
      </c>
      <c r="H983" s="18" t="n"/>
      <c r="I983" s="45" t="n"/>
      <c r="J983" s="77" t="n"/>
      <c r="K983" s="18" t="n"/>
    </row>
    <row r="984">
      <c r="B984" s="56" t="inlineStr">
        <is>
          <t>00135-FER</t>
        </is>
      </c>
      <c r="C984" s="18">
        <f>IFERROR(_xlfn.XLOOKUP(ENTRADAS[[#This Row],[CODIGO]],LISTADO[CODIGOS],LISTADO[CATEGORIA]),"NO EXISTE")</f>
        <v/>
      </c>
      <c r="D984" s="18">
        <f>IFERROR(_xlfn.XLOOKUP(ENTRADAS[[#This Row],[CODIGO]],LISTADO[CODIGOS],LISTADO[PRODUCTOS]),"NO EXISTE")</f>
        <v/>
      </c>
      <c r="E984" s="19" t="n">
        <v>46097</v>
      </c>
      <c r="F984" s="18" t="n">
        <v>100</v>
      </c>
      <c r="G984" s="18" t="inlineStr">
        <is>
          <t>INGRESO</t>
        </is>
      </c>
      <c r="H984" s="18" t="n"/>
      <c r="I984" s="45" t="n"/>
      <c r="J984" s="77" t="n"/>
      <c r="K984" s="18" t="n"/>
    </row>
    <row r="985">
      <c r="B985" s="56" t="inlineStr">
        <is>
          <t>00089-FER</t>
        </is>
      </c>
      <c r="C985" s="18">
        <f>IFERROR(_xlfn.XLOOKUP(ENTRADAS[[#This Row],[CODIGO]],LISTADO[CODIGOS],LISTADO[CATEGORIA]),"NO EXISTE")</f>
        <v/>
      </c>
      <c r="D985" s="18">
        <f>IFERROR(_xlfn.XLOOKUP(ENTRADAS[[#This Row],[CODIGO]],LISTADO[CODIGOS],LISTADO[PRODUCTOS]),"NO EXISTE")</f>
        <v/>
      </c>
      <c r="E985" s="19" t="n">
        <v>46097</v>
      </c>
      <c r="F985" s="18" t="n">
        <v>6</v>
      </c>
      <c r="G985" s="18" t="inlineStr">
        <is>
          <t>DEVOLUCION</t>
        </is>
      </c>
      <c r="H985" s="18" t="n"/>
      <c r="I985" s="45" t="n"/>
      <c r="J985" s="77" t="n"/>
      <c r="K985" s="18" t="n"/>
    </row>
    <row r="986">
      <c r="B986" s="18" t="inlineStr">
        <is>
          <t>00003-MSC</t>
        </is>
      </c>
      <c r="C986" s="18">
        <f>IFERROR(_xlfn.XLOOKUP(ENTRADAS[[#This Row],[CODIGO]],LISTADO[CODIGOS],LISTADO[CATEGORIA]),"NO EXISTE")</f>
        <v/>
      </c>
      <c r="D986" s="18">
        <f>IFERROR(_xlfn.XLOOKUP(ENTRADAS[[#This Row],[CODIGO]],LISTADO[CODIGOS],LISTADO[PRODUCTOS]),"NO EXISTE")</f>
        <v/>
      </c>
      <c r="E986" s="19" t="n">
        <v>46097</v>
      </c>
      <c r="F986" s="18" t="n">
        <v>1</v>
      </c>
      <c r="G986" s="18" t="inlineStr">
        <is>
          <t>DEVOLUCION</t>
        </is>
      </c>
      <c r="H986" s="18" t="n"/>
      <c r="I986" s="45" t="n"/>
      <c r="J986" s="77" t="n"/>
      <c r="K986" s="18" t="n"/>
    </row>
    <row r="987">
      <c r="B987" s="18" t="inlineStr">
        <is>
          <t>00010-ELE</t>
        </is>
      </c>
      <c r="C987" s="18">
        <f>IFERROR(_xlfn.XLOOKUP(ENTRADAS[[#This Row],[CODIGO]],LISTADO[CODIGOS],LISTADO[CATEGORIA]),"NO EXISTE")</f>
        <v/>
      </c>
      <c r="D987" s="18">
        <f>IFERROR(_xlfn.XLOOKUP(ENTRADAS[[#This Row],[CODIGO]],LISTADO[CODIGOS],LISTADO[PRODUCTOS]),"NO EXISTE")</f>
        <v/>
      </c>
      <c r="E987" s="19" t="n">
        <v>46097</v>
      </c>
      <c r="F987" s="18" t="n">
        <v>1</v>
      </c>
      <c r="G987" s="18" t="inlineStr">
        <is>
          <t>DEVOLUCION</t>
        </is>
      </c>
      <c r="H987" s="18" t="n"/>
      <c r="I987" s="45" t="n"/>
      <c r="J987" s="77" t="n"/>
      <c r="K987" s="18" t="n"/>
    </row>
    <row r="988">
      <c r="B988" s="18" t="inlineStr">
        <is>
          <t>00098-REF</t>
        </is>
      </c>
      <c r="C988" s="18">
        <f>IFERROR(_xlfn.XLOOKUP(ENTRADAS[[#This Row],[CODIGO]],LISTADO[CODIGOS],LISTADO[CATEGORIA]),"NO EXISTE")</f>
        <v/>
      </c>
      <c r="D988" s="18">
        <f>IFERROR(_xlfn.XLOOKUP(ENTRADAS[[#This Row],[CODIGO]],LISTADO[CODIGOS],LISTADO[PRODUCTOS]),"NO EXISTE")</f>
        <v/>
      </c>
      <c r="E988" s="19" t="n">
        <v>46098</v>
      </c>
      <c r="F988" s="18" t="n">
        <v>3</v>
      </c>
      <c r="G988" s="18" t="inlineStr">
        <is>
          <t>INGRESO</t>
        </is>
      </c>
      <c r="H988" s="18" t="n"/>
      <c r="I988" s="45" t="n"/>
      <c r="J988" s="77" t="n"/>
      <c r="K988" s="18" t="n"/>
    </row>
    <row r="989">
      <c r="B989" s="56" t="inlineStr">
        <is>
          <t>00041-ELE</t>
        </is>
      </c>
      <c r="C989" s="18">
        <f>IFERROR(_xlfn.XLOOKUP(ENTRADAS[[#This Row],[CODIGO]],LISTADO[CODIGOS],LISTADO[CATEGORIA]),"NO EXISTE")</f>
        <v/>
      </c>
      <c r="D989" s="18">
        <f>IFERROR(_xlfn.XLOOKUP(ENTRADAS[[#This Row],[CODIGO]],LISTADO[CODIGOS],LISTADO[PRODUCTOS]),"NO EXISTE")</f>
        <v/>
      </c>
      <c r="E989" s="19" t="n">
        <v>46098</v>
      </c>
      <c r="F989" s="18" t="n">
        <v>60</v>
      </c>
      <c r="G989" s="18" t="inlineStr">
        <is>
          <t>INGRESO</t>
        </is>
      </c>
      <c r="H989" s="18" t="n"/>
      <c r="I989" s="45" t="n"/>
      <c r="J989" s="77" t="n"/>
      <c r="K989" s="18" t="n"/>
    </row>
    <row r="990">
      <c r="B990" s="56" t="inlineStr">
        <is>
          <t>00046-ELE</t>
        </is>
      </c>
      <c r="C990" s="18">
        <f>IFERROR(_xlfn.XLOOKUP(ENTRADAS[[#This Row],[CODIGO]],LISTADO[CODIGOS],LISTADO[CATEGORIA]),"NO EXISTE")</f>
        <v/>
      </c>
      <c r="D990" s="18">
        <f>IFERROR(_xlfn.XLOOKUP(ENTRADAS[[#This Row],[CODIGO]],LISTADO[CODIGOS],LISTADO[PRODUCTOS]),"NO EXISTE")</f>
        <v/>
      </c>
      <c r="E990" s="19" t="n">
        <v>46098</v>
      </c>
      <c r="F990" s="18" t="n">
        <v>60</v>
      </c>
      <c r="G990" s="18" t="inlineStr">
        <is>
          <t>INGRESO</t>
        </is>
      </c>
      <c r="H990" s="18" t="n"/>
      <c r="I990" s="45" t="n"/>
      <c r="J990" s="77" t="n"/>
      <c r="K990" s="18" t="n"/>
    </row>
    <row r="991">
      <c r="B991" s="56" t="inlineStr">
        <is>
          <t>00061-ELE</t>
        </is>
      </c>
      <c r="C991" s="18">
        <f>IFERROR(_xlfn.XLOOKUP(ENTRADAS[[#This Row],[CODIGO]],LISTADO[CODIGOS],LISTADO[CATEGORIA]),"NO EXISTE")</f>
        <v/>
      </c>
      <c r="D991" s="18">
        <f>IFERROR(_xlfn.XLOOKUP(ENTRADAS[[#This Row],[CODIGO]],LISTADO[CODIGOS],LISTADO[PRODUCTOS]),"NO EXISTE")</f>
        <v/>
      </c>
      <c r="E991" s="19" t="n">
        <v>46098</v>
      </c>
      <c r="F991" s="18" t="n">
        <v>2</v>
      </c>
      <c r="G991" s="18" t="inlineStr">
        <is>
          <t>INGRESO</t>
        </is>
      </c>
      <c r="H991" s="18" t="n"/>
      <c r="I991" s="45" t="n"/>
      <c r="J991" s="77" t="n"/>
      <c r="K991" s="18" t="n"/>
    </row>
    <row r="992">
      <c r="B992" s="18" t="inlineStr">
        <is>
          <t>00066-ELE</t>
        </is>
      </c>
      <c r="C992" s="18">
        <f>IFERROR(_xlfn.XLOOKUP(ENTRADAS[[#This Row],[CODIGO]],LISTADO[CODIGOS],LISTADO[CATEGORIA]),"NO EXISTE")</f>
        <v/>
      </c>
      <c r="D992" s="18">
        <f>IFERROR(_xlfn.XLOOKUP(ENTRADAS[[#This Row],[CODIGO]],LISTADO[CODIGOS],LISTADO[PRODUCTOS]),"NO EXISTE")</f>
        <v/>
      </c>
      <c r="E992" s="19" t="n">
        <v>46098</v>
      </c>
      <c r="F992" s="18" t="n">
        <v>100</v>
      </c>
      <c r="G992" s="18" t="inlineStr">
        <is>
          <t>INGRESO</t>
        </is>
      </c>
      <c r="H992" s="18" t="n"/>
      <c r="I992" s="45" t="n"/>
      <c r="J992" s="77" t="n"/>
      <c r="K992" s="18" t="n"/>
    </row>
    <row r="993">
      <c r="B993" s="18" t="inlineStr">
        <is>
          <t>00067-ELE</t>
        </is>
      </c>
      <c r="C993" s="18">
        <f>IFERROR(_xlfn.XLOOKUP(ENTRADAS[[#This Row],[CODIGO]],LISTADO[CODIGOS],LISTADO[CATEGORIA]),"NO EXISTE")</f>
        <v/>
      </c>
      <c r="D993" s="18">
        <f>IFERROR(_xlfn.XLOOKUP(ENTRADAS[[#This Row],[CODIGO]],LISTADO[CODIGOS],LISTADO[PRODUCTOS]),"NO EXISTE")</f>
        <v/>
      </c>
      <c r="E993" s="19" t="n">
        <v>46098</v>
      </c>
      <c r="F993" s="18" t="n">
        <v>100</v>
      </c>
      <c r="G993" s="18" t="inlineStr">
        <is>
          <t>INGRESO</t>
        </is>
      </c>
      <c r="H993" s="18" t="n"/>
      <c r="I993" s="45" t="n"/>
      <c r="J993" s="77" t="n"/>
      <c r="K993" s="18" t="n"/>
    </row>
    <row r="994">
      <c r="B994" s="18" t="inlineStr">
        <is>
          <t>00047-ILU</t>
        </is>
      </c>
      <c r="C994" s="18">
        <f>IFERROR(_xlfn.XLOOKUP(ENTRADAS[[#This Row],[CODIGO]],LISTADO[CODIGOS],LISTADO[CATEGORIA]),"NO EXISTE")</f>
        <v/>
      </c>
      <c r="D994" s="18">
        <f>IFERROR(_xlfn.XLOOKUP(ENTRADAS[[#This Row],[CODIGO]],LISTADO[CODIGOS],LISTADO[PRODUCTOS]),"NO EXISTE")</f>
        <v/>
      </c>
      <c r="E994" s="19" t="n">
        <v>46098</v>
      </c>
      <c r="F994" s="18" t="n">
        <v>14</v>
      </c>
      <c r="G994" s="18" t="inlineStr">
        <is>
          <t>INGRESO</t>
        </is>
      </c>
      <c r="H994" s="18" t="n"/>
      <c r="I994" s="45" t="n"/>
      <c r="J994" s="77" t="n"/>
      <c r="K994" s="18" t="n"/>
    </row>
    <row r="995">
      <c r="B995" s="18" t="inlineStr">
        <is>
          <t>00048-ILU</t>
        </is>
      </c>
      <c r="C995" s="18">
        <f>IFERROR(_xlfn.XLOOKUP(ENTRADAS[[#This Row],[CODIGO]],LISTADO[CODIGOS],LISTADO[CATEGORIA]),"NO EXISTE")</f>
        <v/>
      </c>
      <c r="D995" s="18">
        <f>IFERROR(_xlfn.XLOOKUP(ENTRADAS[[#This Row],[CODIGO]],LISTADO[CODIGOS],LISTADO[PRODUCTOS]),"NO EXISTE")</f>
        <v/>
      </c>
      <c r="E995" s="19" t="n">
        <v>46098</v>
      </c>
      <c r="F995" s="18" t="n">
        <v>1</v>
      </c>
      <c r="G995" s="18" t="inlineStr">
        <is>
          <t>INGRESO</t>
        </is>
      </c>
      <c r="H995" s="18" t="n"/>
      <c r="I995" s="45" t="n"/>
      <c r="J995" s="77" t="n"/>
      <c r="K995" s="18" t="n"/>
    </row>
    <row r="996">
      <c r="B996" s="18" t="inlineStr">
        <is>
          <t>00099-REF</t>
        </is>
      </c>
      <c r="C996" s="18">
        <f>IFERROR(_xlfn.XLOOKUP(ENTRADAS[[#This Row],[CODIGO]],LISTADO[CODIGOS],LISTADO[CATEGORIA]),"NO EXISTE")</f>
        <v/>
      </c>
      <c r="D996" s="18">
        <f>IFERROR(_xlfn.XLOOKUP(ENTRADAS[[#This Row],[CODIGO]],LISTADO[CODIGOS],LISTADO[PRODUCTOS]),"NO EXISTE")</f>
        <v/>
      </c>
      <c r="E996" s="19" t="n">
        <v>46098</v>
      </c>
      <c r="F996" s="18" t="n">
        <v>1</v>
      </c>
      <c r="G996" s="18" t="inlineStr">
        <is>
          <t>INGRESO</t>
        </is>
      </c>
      <c r="H996" s="18" t="n"/>
      <c r="I996" s="45" t="n"/>
      <c r="J996" s="77" t="n"/>
      <c r="K996" s="18" t="n"/>
    </row>
    <row r="997">
      <c r="B997" s="18" t="inlineStr">
        <is>
          <t>00100-REF</t>
        </is>
      </c>
      <c r="C997" s="18">
        <f>IFERROR(_xlfn.XLOOKUP(ENTRADAS[[#This Row],[CODIGO]],LISTADO[CODIGOS],LISTADO[CATEGORIA]),"NO EXISTE")</f>
        <v/>
      </c>
      <c r="D997" s="18">
        <f>IFERROR(_xlfn.XLOOKUP(ENTRADAS[[#This Row],[CODIGO]],LISTADO[CODIGOS],LISTADO[PRODUCTOS]),"NO EXISTE")</f>
        <v/>
      </c>
      <c r="E997" s="19" t="n">
        <v>46098</v>
      </c>
      <c r="F997" s="18" t="n">
        <v>1</v>
      </c>
      <c r="G997" s="18" t="inlineStr">
        <is>
          <t>INGRESO</t>
        </is>
      </c>
      <c r="H997" s="18" t="n"/>
      <c r="I997" s="45" t="n"/>
      <c r="J997" s="77" t="n"/>
      <c r="K997" s="18" t="n"/>
    </row>
    <row r="998">
      <c r="B998" s="18" t="inlineStr">
        <is>
          <t>00049-ILU</t>
        </is>
      </c>
      <c r="C998" s="18">
        <f>IFERROR(_xlfn.XLOOKUP(ENTRADAS[[#This Row],[CODIGO]],LISTADO[CODIGOS],LISTADO[CATEGORIA]),"NO EXISTE")</f>
        <v/>
      </c>
      <c r="D998" s="18">
        <f>IFERROR(_xlfn.XLOOKUP(ENTRADAS[[#This Row],[CODIGO]],LISTADO[CODIGOS],LISTADO[PRODUCTOS]),"NO EXISTE")</f>
        <v/>
      </c>
      <c r="E998" s="19" t="n">
        <v>46098</v>
      </c>
      <c r="F998" s="18" t="n">
        <v>51</v>
      </c>
      <c r="G998" s="18" t="inlineStr">
        <is>
          <t>DEVOLUCION</t>
        </is>
      </c>
      <c r="H998" s="18" t="n"/>
      <c r="I998" s="45" t="n"/>
      <c r="J998" s="77" t="n"/>
      <c r="K998" s="18" t="n"/>
    </row>
    <row r="999">
      <c r="B999" s="56" t="inlineStr">
        <is>
          <t>00008-LIM</t>
        </is>
      </c>
      <c r="C999" s="18">
        <f>IFERROR(_xlfn.XLOOKUP(ENTRADAS[[#This Row],[CODIGO]],LISTADO[CODIGOS],LISTADO[CATEGORIA]),"NO EXISTE")</f>
        <v/>
      </c>
      <c r="D999" s="18">
        <f>IFERROR(_xlfn.XLOOKUP(ENTRADAS[[#This Row],[CODIGO]],LISTADO[CODIGOS],LISTADO[PRODUCTOS]),"NO EXISTE")</f>
        <v/>
      </c>
      <c r="E999" s="19" t="n">
        <v>46098</v>
      </c>
      <c r="F999" s="18" t="n">
        <v>4</v>
      </c>
      <c r="G999" s="18" t="inlineStr">
        <is>
          <t>DEVOLUCION</t>
        </is>
      </c>
      <c r="H999" s="18" t="n"/>
      <c r="I999" s="45" t="n"/>
      <c r="J999" s="77" t="n"/>
      <c r="K999" s="18" t="n"/>
    </row>
    <row r="1000">
      <c r="B1000" s="18" t="inlineStr">
        <is>
          <t>00007-LIM</t>
        </is>
      </c>
      <c r="C1000" s="18">
        <f>IFERROR(_xlfn.XLOOKUP(ENTRADAS[[#This Row],[CODIGO]],LISTADO[CODIGOS],LISTADO[CATEGORIA]),"NO EXISTE")</f>
        <v/>
      </c>
      <c r="D1000" s="18">
        <f>IFERROR(_xlfn.XLOOKUP(ENTRADAS[[#This Row],[CODIGO]],LISTADO[CODIGOS],LISTADO[PRODUCTOS]),"NO EXISTE")</f>
        <v/>
      </c>
      <c r="E1000" s="19" t="n">
        <v>46098</v>
      </c>
      <c r="F1000" s="18" t="n">
        <v>6</v>
      </c>
      <c r="G1000" s="18" t="inlineStr">
        <is>
          <t>DEVOLUCION</t>
        </is>
      </c>
      <c r="H1000" s="18" t="n"/>
      <c r="I1000" s="45" t="n"/>
      <c r="J1000" s="77" t="n"/>
      <c r="K1000" s="18" t="n"/>
    </row>
    <row r="1001">
      <c r="B1001" s="56" t="inlineStr">
        <is>
          <t>00036-ILU</t>
        </is>
      </c>
      <c r="C1001" s="18">
        <f>IFERROR(_xlfn.XLOOKUP(ENTRADAS[[#This Row],[CODIGO]],LISTADO[CODIGOS],LISTADO[CATEGORIA]),"NO EXISTE")</f>
        <v/>
      </c>
      <c r="D1001" s="18">
        <f>IFERROR(_xlfn.XLOOKUP(ENTRADAS[[#This Row],[CODIGO]],LISTADO[CODIGOS],LISTADO[PRODUCTOS]),"NO EXISTE")</f>
        <v/>
      </c>
      <c r="E1001" s="19" t="n">
        <v>46098</v>
      </c>
      <c r="F1001" s="18" t="n">
        <v>4</v>
      </c>
      <c r="G1001" s="18" t="inlineStr">
        <is>
          <t>DEVOLUCION</t>
        </is>
      </c>
      <c r="H1001" s="18" t="n"/>
      <c r="I1001" s="45" t="n"/>
      <c r="J1001" s="77" t="n"/>
      <c r="K1001" s="18" t="n"/>
    </row>
    <row r="1002">
      <c r="B1002" s="18" t="inlineStr">
        <is>
          <t>00042-ILU</t>
        </is>
      </c>
      <c r="C1002" s="18">
        <f>IFERROR(_xlfn.XLOOKUP(ENTRADAS[[#This Row],[CODIGO]],LISTADO[CODIGOS],LISTADO[CATEGORIA]),"NO EXISTE")</f>
        <v/>
      </c>
      <c r="D1002" s="18">
        <f>IFERROR(_xlfn.XLOOKUP(ENTRADAS[[#This Row],[CODIGO]],LISTADO[CODIGOS],LISTADO[PRODUCTOS]),"NO EXISTE")</f>
        <v/>
      </c>
      <c r="E1002" s="19" t="n">
        <v>46098</v>
      </c>
      <c r="F1002" s="18" t="n">
        <v>4</v>
      </c>
      <c r="G1002" s="18" t="inlineStr">
        <is>
          <t>DEVOLUCION</t>
        </is>
      </c>
      <c r="H1002" s="18" t="n"/>
      <c r="I1002" s="45" t="n"/>
      <c r="J1002" s="77" t="n"/>
      <c r="K1002" s="18" t="n"/>
    </row>
    <row r="1003">
      <c r="B1003" s="18" t="inlineStr">
        <is>
          <t>00016-LIM</t>
        </is>
      </c>
      <c r="C1003" s="18">
        <f>IFERROR(_xlfn.XLOOKUP(ENTRADAS[[#This Row],[CODIGO]],LISTADO[CODIGOS],LISTADO[CATEGORIA]),"NO EXISTE")</f>
        <v/>
      </c>
      <c r="D1003" s="18">
        <f>IFERROR(_xlfn.XLOOKUP(ENTRADAS[[#This Row],[CODIGO]],LISTADO[CODIGOS],LISTADO[PRODUCTOS]),"NO EXISTE")</f>
        <v/>
      </c>
      <c r="E1003" s="19" t="n">
        <v>46098</v>
      </c>
      <c r="F1003" s="18" t="n">
        <v>11</v>
      </c>
      <c r="G1003" s="18" t="inlineStr">
        <is>
          <t>INVENTARIO</t>
        </is>
      </c>
      <c r="H1003" s="18" t="n"/>
      <c r="I1003" s="45" t="n"/>
      <c r="J1003" s="77" t="n"/>
      <c r="K1003" s="18" t="n"/>
    </row>
    <row r="1004">
      <c r="B1004" s="56" t="inlineStr">
        <is>
          <t>00005-LIM</t>
        </is>
      </c>
      <c r="C1004" s="18">
        <f>IFERROR(_xlfn.XLOOKUP(ENTRADAS[[#This Row],[CODIGO]],LISTADO[CODIGOS],LISTADO[CATEGORIA]),"NO EXISTE")</f>
        <v/>
      </c>
      <c r="D1004" s="18">
        <f>IFERROR(_xlfn.XLOOKUP(ENTRADAS[[#This Row],[CODIGO]],LISTADO[CODIGOS],LISTADO[PRODUCTOS]),"NO EXISTE")</f>
        <v/>
      </c>
      <c r="E1004" s="19" t="n">
        <v>46098</v>
      </c>
      <c r="F1004" s="18" t="n">
        <v>1</v>
      </c>
      <c r="G1004" s="18" t="inlineStr">
        <is>
          <t>DEVOLUCION</t>
        </is>
      </c>
      <c r="H1004" s="18" t="n"/>
      <c r="I1004" s="45" t="n"/>
      <c r="J1004" s="77" t="n"/>
      <c r="K1004" s="18" t="n"/>
    </row>
    <row r="1005">
      <c r="B1005" s="18" t="inlineStr">
        <is>
          <t>00017-LIM</t>
        </is>
      </c>
      <c r="C1005" s="18">
        <f>IFERROR(_xlfn.XLOOKUP(ENTRADAS[[#This Row],[CODIGO]],LISTADO[CODIGOS],LISTADO[CATEGORIA]),"NO EXISTE")</f>
        <v/>
      </c>
      <c r="D1005" s="18">
        <f>IFERROR(_xlfn.XLOOKUP(ENTRADAS[[#This Row],[CODIGO]],LISTADO[CODIGOS],LISTADO[PRODUCTOS]),"NO EXISTE")</f>
        <v/>
      </c>
      <c r="E1005" s="19" t="n">
        <v>46098</v>
      </c>
      <c r="F1005" s="18" t="n">
        <v>8</v>
      </c>
      <c r="G1005" s="18" t="inlineStr">
        <is>
          <t>INVENTARIO</t>
        </is>
      </c>
      <c r="H1005" s="18" t="n"/>
      <c r="I1005" s="45" t="n"/>
      <c r="J1005" s="77" t="n"/>
      <c r="K1005" s="18" t="n"/>
    </row>
    <row r="1006">
      <c r="B1006" s="18" t="inlineStr">
        <is>
          <t>00018-LIM</t>
        </is>
      </c>
      <c r="C1006" s="18">
        <f>IFERROR(_xlfn.XLOOKUP(ENTRADAS[[#This Row],[CODIGO]],LISTADO[CODIGOS],LISTADO[CATEGORIA]),"NO EXISTE")</f>
        <v/>
      </c>
      <c r="D1006" s="18">
        <f>IFERROR(_xlfn.XLOOKUP(ENTRADAS[[#This Row],[CODIGO]],LISTADO[CODIGOS],LISTADO[PRODUCTOS]),"NO EXISTE")</f>
        <v/>
      </c>
      <c r="E1006" s="19" t="n">
        <v>46098</v>
      </c>
      <c r="F1006" s="18" t="n">
        <v>3</v>
      </c>
      <c r="G1006" s="18" t="inlineStr">
        <is>
          <t>INVENTARIO</t>
        </is>
      </c>
      <c r="H1006" s="18" t="n"/>
      <c r="I1006" s="45" t="n"/>
      <c r="J1006" s="77" t="n"/>
      <c r="K1006" s="18" t="n"/>
    </row>
    <row r="1007">
      <c r="B1007" s="56" t="inlineStr">
        <is>
          <t>00074-FER</t>
        </is>
      </c>
      <c r="C1007" s="18">
        <f>IFERROR(_xlfn.XLOOKUP(ENTRADAS[[#This Row],[CODIGO]],LISTADO[CODIGOS],LISTADO[CATEGORIA]),"NO EXISTE")</f>
        <v/>
      </c>
      <c r="D1007" s="18">
        <f>IFERROR(_xlfn.XLOOKUP(ENTRADAS[[#This Row],[CODIGO]],LISTADO[CODIGOS],LISTADO[PRODUCTOS]),"NO EXISTE")</f>
        <v/>
      </c>
      <c r="E1007" s="19" t="n">
        <v>46098</v>
      </c>
      <c r="F1007" s="18" t="n">
        <v>2</v>
      </c>
      <c r="G1007" s="18" t="inlineStr">
        <is>
          <t>INGRESO</t>
        </is>
      </c>
      <c r="H1007" s="18" t="n"/>
      <c r="I1007" s="45" t="n"/>
      <c r="J1007" s="77" t="n"/>
      <c r="K1007" s="18" t="n"/>
    </row>
    <row r="1008">
      <c r="B1008" s="56" t="inlineStr">
        <is>
          <t>00024-FER</t>
        </is>
      </c>
      <c r="C1008" s="18">
        <f>IFERROR(_xlfn.XLOOKUP(ENTRADAS[[#This Row],[CODIGO]],LISTADO[CODIGOS],LISTADO[CATEGORIA]),"NO EXISTE")</f>
        <v/>
      </c>
      <c r="D1008" s="18">
        <f>IFERROR(_xlfn.XLOOKUP(ENTRADAS[[#This Row],[CODIGO]],LISTADO[CODIGOS],LISTADO[PRODUCTOS]),"NO EXISTE")</f>
        <v/>
      </c>
      <c r="E1008" s="19" t="n">
        <v>46098</v>
      </c>
      <c r="F1008" s="18" t="n">
        <v>1</v>
      </c>
      <c r="G1008" s="18" t="inlineStr">
        <is>
          <t>INGRESO</t>
        </is>
      </c>
      <c r="H1008" s="18" t="n"/>
      <c r="I1008" s="45" t="n"/>
      <c r="J1008" s="77" t="n"/>
      <c r="K1008" s="18" t="n"/>
    </row>
    <row r="1009">
      <c r="B1009" s="56" t="inlineStr">
        <is>
          <t>00001-PLM</t>
        </is>
      </c>
      <c r="C1009" s="18">
        <f>IFERROR(_xlfn.XLOOKUP(ENTRADAS[[#This Row],[CODIGO]],LISTADO[CODIGOS],LISTADO[CATEGORIA]),"NO EXISTE")</f>
        <v/>
      </c>
      <c r="D1009" s="18">
        <f>IFERROR(_xlfn.XLOOKUP(ENTRADAS[[#This Row],[CODIGO]],LISTADO[CODIGOS],LISTADO[PRODUCTOS]),"NO EXISTE")</f>
        <v/>
      </c>
      <c r="E1009" s="19" t="n">
        <v>46098</v>
      </c>
      <c r="F1009" s="18" t="n">
        <v>2</v>
      </c>
      <c r="G1009" s="18" t="inlineStr">
        <is>
          <t>INGRESO</t>
        </is>
      </c>
      <c r="H1009" s="18" t="n"/>
      <c r="I1009" s="45" t="n"/>
      <c r="J1009" s="77" t="n"/>
      <c r="K1009" s="18" t="n"/>
    </row>
    <row r="1010">
      <c r="B1010" s="56" t="inlineStr">
        <is>
          <t>00002-PLM</t>
        </is>
      </c>
      <c r="C1010" s="18">
        <f>IFERROR(_xlfn.XLOOKUP(ENTRADAS[[#This Row],[CODIGO]],LISTADO[CODIGOS],LISTADO[CATEGORIA]),"NO EXISTE")</f>
        <v/>
      </c>
      <c r="D1010" s="18">
        <f>IFERROR(_xlfn.XLOOKUP(ENTRADAS[[#This Row],[CODIGO]],LISTADO[CODIGOS],LISTADO[PRODUCTOS]),"NO EXISTE")</f>
        <v/>
      </c>
      <c r="E1010" s="19" t="n">
        <v>46098</v>
      </c>
      <c r="F1010" s="18" t="n">
        <v>2</v>
      </c>
      <c r="G1010" s="18" t="inlineStr">
        <is>
          <t>INGRESO</t>
        </is>
      </c>
      <c r="H1010" s="18" t="n"/>
      <c r="I1010" s="45" t="n"/>
      <c r="J1010" s="77" t="n"/>
      <c r="K1010" s="18" t="n"/>
    </row>
    <row r="1011">
      <c r="B1011" s="18" t="inlineStr">
        <is>
          <t>00068-ELE</t>
        </is>
      </c>
      <c r="C1011" s="18">
        <f>IFERROR(_xlfn.XLOOKUP(ENTRADAS[[#This Row],[CODIGO]],LISTADO[CODIGOS],LISTADO[CATEGORIA]),"NO EXISTE")</f>
        <v/>
      </c>
      <c r="D1011" s="18">
        <f>IFERROR(_xlfn.XLOOKUP(ENTRADAS[[#This Row],[CODIGO]],LISTADO[CODIGOS],LISTADO[PRODUCTOS]),"NO EXISTE")</f>
        <v/>
      </c>
      <c r="E1011" s="19" t="n">
        <v>46098</v>
      </c>
      <c r="F1011" s="18" t="n">
        <v>1</v>
      </c>
      <c r="G1011" s="18" t="inlineStr">
        <is>
          <t>INGRESO</t>
        </is>
      </c>
      <c r="H1011" s="18" t="n"/>
      <c r="I1011" s="45" t="n"/>
      <c r="J1011" s="77" t="n"/>
      <c r="K1011" s="18" t="n"/>
    </row>
    <row r="1012">
      <c r="B1012" s="56" t="inlineStr">
        <is>
          <t>00052-PLM</t>
        </is>
      </c>
      <c r="C1012" s="18">
        <f>IFERROR(_xlfn.XLOOKUP(ENTRADAS[[#This Row],[CODIGO]],LISTADO[CODIGOS],LISTADO[CATEGORIA]),"NO EXISTE")</f>
        <v/>
      </c>
      <c r="D1012" s="18">
        <f>IFERROR(_xlfn.XLOOKUP(ENTRADAS[[#This Row],[CODIGO]],LISTADO[CODIGOS],LISTADO[PRODUCTOS]),"NO EXISTE")</f>
        <v/>
      </c>
      <c r="E1012" s="19" t="n">
        <v>46098</v>
      </c>
      <c r="F1012" s="18" t="n">
        <v>2</v>
      </c>
      <c r="G1012" s="18" t="inlineStr">
        <is>
          <t>INGRESO</t>
        </is>
      </c>
      <c r="H1012" s="18" t="n"/>
      <c r="I1012" s="45" t="n"/>
      <c r="J1012" s="77" t="n"/>
      <c r="K1012" s="18" t="n"/>
    </row>
    <row r="1013">
      <c r="B1013" s="18" t="inlineStr">
        <is>
          <t>00049-PLM</t>
        </is>
      </c>
      <c r="C1013" s="18">
        <f>IFERROR(_xlfn.XLOOKUP(ENTRADAS[[#This Row],[CODIGO]],LISTADO[CODIGOS],LISTADO[CATEGORIA]),"NO EXISTE")</f>
        <v/>
      </c>
      <c r="D1013" s="18">
        <f>IFERROR(_xlfn.XLOOKUP(ENTRADAS[[#This Row],[CODIGO]],LISTADO[CODIGOS],LISTADO[PRODUCTOS]),"NO EXISTE")</f>
        <v/>
      </c>
      <c r="E1013" s="19" t="n">
        <v>46098</v>
      </c>
      <c r="F1013" s="18" t="n">
        <v>2</v>
      </c>
      <c r="G1013" s="18" t="inlineStr">
        <is>
          <t>INGRESO</t>
        </is>
      </c>
      <c r="H1013" s="18" t="n"/>
      <c r="I1013" s="45" t="n"/>
      <c r="J1013" s="77" t="n"/>
      <c r="K1013" s="18" t="n"/>
    </row>
    <row r="1014">
      <c r="B1014" s="18" t="inlineStr">
        <is>
          <t>00053-PLM</t>
        </is>
      </c>
      <c r="C1014" s="18">
        <f>IFERROR(_xlfn.XLOOKUP(ENTRADAS[[#This Row],[CODIGO]],LISTADO[CODIGOS],LISTADO[CATEGORIA]),"NO EXISTE")</f>
        <v/>
      </c>
      <c r="D1014" s="18">
        <f>IFERROR(_xlfn.XLOOKUP(ENTRADAS[[#This Row],[CODIGO]],LISTADO[CODIGOS],LISTADO[PRODUCTOS]),"NO EXISTE")</f>
        <v/>
      </c>
      <c r="E1014" s="19" t="n">
        <v>46098</v>
      </c>
      <c r="F1014" s="18" t="n">
        <v>2</v>
      </c>
      <c r="G1014" s="18" t="inlineStr">
        <is>
          <t>INGRESO</t>
        </is>
      </c>
      <c r="H1014" s="18" t="n"/>
      <c r="I1014" s="45" t="n"/>
      <c r="J1014" s="77" t="n"/>
      <c r="K1014" s="18" t="n"/>
    </row>
    <row r="1015">
      <c r="B1015" s="18" t="inlineStr">
        <is>
          <t>00058-HRR</t>
        </is>
      </c>
      <c r="C1015" s="18">
        <f>IFERROR(_xlfn.XLOOKUP(ENTRADAS[[#This Row],[CODIGO]],LISTADO[CODIGOS],LISTADO[CATEGORIA]),"NO EXISTE")</f>
        <v/>
      </c>
      <c r="D1015" s="18">
        <f>IFERROR(_xlfn.XLOOKUP(ENTRADAS[[#This Row],[CODIGO]],LISTADO[CODIGOS],LISTADO[PRODUCTOS]),"NO EXISTE")</f>
        <v/>
      </c>
      <c r="E1015" s="19" t="n">
        <v>46098</v>
      </c>
      <c r="F1015" s="18" t="n">
        <v>4</v>
      </c>
      <c r="G1015" s="18" t="inlineStr">
        <is>
          <t>INGRESO</t>
        </is>
      </c>
      <c r="H1015" s="18" t="n"/>
      <c r="I1015" s="45" t="n"/>
      <c r="J1015" s="77" t="n"/>
      <c r="K1015" s="18" t="n"/>
    </row>
    <row r="1016">
      <c r="B1016" s="56" t="inlineStr">
        <is>
          <t>00039-PLM</t>
        </is>
      </c>
      <c r="C1016" s="18">
        <f>IFERROR(_xlfn.XLOOKUP(ENTRADAS[[#This Row],[CODIGO]],LISTADO[CODIGOS],LISTADO[CATEGORIA]),"NO EXISTE")</f>
        <v/>
      </c>
      <c r="D1016" s="18">
        <f>IFERROR(_xlfn.XLOOKUP(ENTRADAS[[#This Row],[CODIGO]],LISTADO[CODIGOS],LISTADO[PRODUCTOS]),"NO EXISTE")</f>
        <v/>
      </c>
      <c r="E1016" s="19" t="n">
        <v>46098</v>
      </c>
      <c r="F1016" s="18" t="n">
        <v>4</v>
      </c>
      <c r="G1016" s="18" t="inlineStr">
        <is>
          <t>INGRESO</t>
        </is>
      </c>
      <c r="H1016" s="18" t="n"/>
      <c r="I1016" s="45" t="n"/>
      <c r="J1016" s="77" t="n"/>
      <c r="K1016" s="18" t="n"/>
    </row>
    <row r="1017">
      <c r="B1017" s="56" t="inlineStr">
        <is>
          <t>00020-HRR</t>
        </is>
      </c>
      <c r="C1017" s="18">
        <f>IFERROR(_xlfn.XLOOKUP(ENTRADAS[[#This Row],[CODIGO]],LISTADO[CODIGOS],LISTADO[CATEGORIA]),"NO EXISTE")</f>
        <v/>
      </c>
      <c r="D1017" s="18">
        <f>IFERROR(_xlfn.XLOOKUP(ENTRADAS[[#This Row],[CODIGO]],LISTADO[CODIGOS],LISTADO[PRODUCTOS]),"NO EXISTE")</f>
        <v/>
      </c>
      <c r="E1017" s="19" t="n">
        <v>46098</v>
      </c>
      <c r="F1017" s="18" t="n">
        <v>4</v>
      </c>
      <c r="G1017" s="18" t="inlineStr">
        <is>
          <t>INGRESO</t>
        </is>
      </c>
      <c r="H1017" s="18" t="n"/>
      <c r="I1017" s="45" t="n"/>
      <c r="J1017" s="77" t="n"/>
      <c r="K1017" s="18" t="n"/>
    </row>
    <row r="1018">
      <c r="B1018" s="56" t="inlineStr">
        <is>
          <t>00016-HRR</t>
        </is>
      </c>
      <c r="C1018" s="18">
        <f>IFERROR(_xlfn.XLOOKUP(ENTRADAS[[#This Row],[CODIGO]],LISTADO[CODIGOS],LISTADO[CATEGORIA]),"NO EXISTE")</f>
        <v/>
      </c>
      <c r="D1018" s="18">
        <f>IFERROR(_xlfn.XLOOKUP(ENTRADAS[[#This Row],[CODIGO]],LISTADO[CODIGOS],LISTADO[PRODUCTOS]),"NO EXISTE")</f>
        <v/>
      </c>
      <c r="E1018" s="19" t="n">
        <v>46098</v>
      </c>
      <c r="F1018" s="18" t="n">
        <v>4</v>
      </c>
      <c r="G1018" s="18" t="inlineStr">
        <is>
          <t>INGRESO</t>
        </is>
      </c>
      <c r="H1018" s="18" t="n"/>
      <c r="I1018" s="45" t="n"/>
      <c r="J1018" s="77" t="n"/>
      <c r="K1018" s="18" t="n"/>
    </row>
    <row r="1019">
      <c r="B1019" s="56" t="inlineStr">
        <is>
          <t>00142-FER</t>
        </is>
      </c>
      <c r="C1019" s="18">
        <f>IFERROR(_xlfn.XLOOKUP(ENTRADAS[[#This Row],[CODIGO]],LISTADO[CODIGOS],LISTADO[CATEGORIA]),"NO EXISTE")</f>
        <v/>
      </c>
      <c r="D1019" s="18">
        <f>IFERROR(_xlfn.XLOOKUP(ENTRADAS[[#This Row],[CODIGO]],LISTADO[CODIGOS],LISTADO[PRODUCTOS]),"NO EXISTE")</f>
        <v/>
      </c>
      <c r="E1019" s="19" t="n">
        <v>46098</v>
      </c>
      <c r="F1019" s="18" t="n">
        <v>1</v>
      </c>
      <c r="G1019" s="18" t="inlineStr">
        <is>
          <t>INGRESO</t>
        </is>
      </c>
      <c r="H1019" s="18" t="n"/>
      <c r="I1019" s="45" t="n"/>
      <c r="J1019" s="77" t="n"/>
      <c r="K1019" s="18" t="n"/>
    </row>
    <row r="1020">
      <c r="B1020" s="56" t="inlineStr">
        <is>
          <t>00006-PLM</t>
        </is>
      </c>
      <c r="C1020" s="18">
        <f>IFERROR(_xlfn.XLOOKUP(ENTRADAS[[#This Row],[CODIGO]],LISTADO[CODIGOS],LISTADO[CATEGORIA]),"NO EXISTE")</f>
        <v/>
      </c>
      <c r="D1020" s="18">
        <f>IFERROR(_xlfn.XLOOKUP(ENTRADAS[[#This Row],[CODIGO]],LISTADO[CODIGOS],LISTADO[PRODUCTOS]),"NO EXISTE")</f>
        <v/>
      </c>
      <c r="E1020" s="19" t="n">
        <v>46098</v>
      </c>
      <c r="F1020" s="18" t="n">
        <v>2</v>
      </c>
      <c r="G1020" s="18" t="inlineStr">
        <is>
          <t>INGRESO</t>
        </is>
      </c>
      <c r="H1020" s="18" t="n"/>
      <c r="I1020" s="45" t="n"/>
      <c r="J1020" s="77" t="n"/>
      <c r="K1020" s="18" t="n"/>
    </row>
    <row r="1021">
      <c r="B1021" s="56" t="inlineStr">
        <is>
          <t>00078-FER</t>
        </is>
      </c>
      <c r="C1021" s="18">
        <f>IFERROR(_xlfn.XLOOKUP(ENTRADAS[[#This Row],[CODIGO]],LISTADO[CODIGOS],LISTADO[CATEGORIA]),"NO EXISTE")</f>
        <v/>
      </c>
      <c r="D1021" s="18">
        <f>IFERROR(_xlfn.XLOOKUP(ENTRADAS[[#This Row],[CODIGO]],LISTADO[CODIGOS],LISTADO[PRODUCTOS]),"NO EXISTE")</f>
        <v/>
      </c>
      <c r="E1021" s="19" t="n">
        <v>46098</v>
      </c>
      <c r="F1021" s="18" t="n">
        <v>1</v>
      </c>
      <c r="G1021" s="18" t="inlineStr">
        <is>
          <t>INGRESO</t>
        </is>
      </c>
      <c r="H1021" s="18" t="n"/>
      <c r="I1021" s="45" t="n"/>
      <c r="J1021" s="77" t="n"/>
      <c r="K1021" s="18" t="n"/>
    </row>
    <row r="1022">
      <c r="B1022" s="56" t="inlineStr">
        <is>
          <t>00048-ELE</t>
        </is>
      </c>
      <c r="C1022" s="18">
        <f>IFERROR(_xlfn.XLOOKUP(ENTRADAS[[#This Row],[CODIGO]],LISTADO[CODIGOS],LISTADO[CATEGORIA]),"NO EXISTE")</f>
        <v/>
      </c>
      <c r="D1022" s="18">
        <f>IFERROR(_xlfn.XLOOKUP(ENTRADAS[[#This Row],[CODIGO]],LISTADO[CODIGOS],LISTADO[PRODUCTOS]),"NO EXISTE")</f>
        <v/>
      </c>
      <c r="E1022" s="19" t="n">
        <v>46098</v>
      </c>
      <c r="F1022" s="18" t="n">
        <v>12</v>
      </c>
      <c r="G1022" s="18" t="inlineStr">
        <is>
          <t>INGRESO</t>
        </is>
      </c>
      <c r="H1022" s="18" t="n"/>
      <c r="I1022" s="45" t="n"/>
      <c r="J1022" s="77" t="n"/>
      <c r="K1022" s="18" t="n"/>
    </row>
    <row r="1023">
      <c r="B1023" s="56" t="inlineStr">
        <is>
          <t>00049-ELE</t>
        </is>
      </c>
      <c r="C1023" s="18">
        <f>IFERROR(_xlfn.XLOOKUP(ENTRADAS[[#This Row],[CODIGO]],LISTADO[CODIGOS],LISTADO[CATEGORIA]),"NO EXISTE")</f>
        <v/>
      </c>
      <c r="D1023" s="18">
        <f>IFERROR(_xlfn.XLOOKUP(ENTRADAS[[#This Row],[CODIGO]],LISTADO[CODIGOS],LISTADO[PRODUCTOS]),"NO EXISTE")</f>
        <v/>
      </c>
      <c r="E1023" s="19" t="n">
        <v>46098</v>
      </c>
      <c r="F1023" s="18" t="n">
        <v>2</v>
      </c>
      <c r="G1023" s="18" t="inlineStr">
        <is>
          <t>INGRESO</t>
        </is>
      </c>
      <c r="H1023" s="18" t="n"/>
      <c r="I1023" s="45" t="n"/>
      <c r="J1023" s="77" t="n"/>
      <c r="K1023" s="18" t="n"/>
    </row>
    <row r="1024">
      <c r="B1024" s="18" t="inlineStr">
        <is>
          <t>00069-ELE</t>
        </is>
      </c>
      <c r="C1024" s="18">
        <f>IFERROR(_xlfn.XLOOKUP(ENTRADAS[[#This Row],[CODIGO]],LISTADO[CODIGOS],LISTADO[CATEGORIA]),"NO EXISTE")</f>
        <v/>
      </c>
      <c r="D1024" s="18">
        <f>IFERROR(_xlfn.XLOOKUP(ENTRADAS[[#This Row],[CODIGO]],LISTADO[CODIGOS],LISTADO[PRODUCTOS]),"NO EXISTE")</f>
        <v/>
      </c>
      <c r="E1024" s="19" t="n">
        <v>46098</v>
      </c>
      <c r="F1024" s="18" t="n">
        <v>1</v>
      </c>
      <c r="G1024" s="18" t="inlineStr">
        <is>
          <t>INGRESO</t>
        </is>
      </c>
      <c r="H1024" s="18" t="n"/>
      <c r="I1024" s="45" t="n"/>
      <c r="J1024" s="77" t="n"/>
      <c r="K1024" s="18" t="n"/>
    </row>
    <row r="1025">
      <c r="B1025" s="56" t="inlineStr">
        <is>
          <t>00010-PLM</t>
        </is>
      </c>
      <c r="C1025" s="18">
        <f>IFERROR(_xlfn.XLOOKUP(ENTRADAS[[#This Row],[CODIGO]],LISTADO[CODIGOS],LISTADO[CATEGORIA]),"NO EXISTE")</f>
        <v/>
      </c>
      <c r="D1025" s="18">
        <f>IFERROR(_xlfn.XLOOKUP(ENTRADAS[[#This Row],[CODIGO]],LISTADO[CODIGOS],LISTADO[PRODUCTOS]),"NO EXISTE")</f>
        <v/>
      </c>
      <c r="E1025" s="19" t="n">
        <v>46098</v>
      </c>
      <c r="F1025" s="18" t="n">
        <v>2</v>
      </c>
      <c r="G1025" s="18" t="inlineStr">
        <is>
          <t>INGRESO</t>
        </is>
      </c>
      <c r="H1025" s="18" t="n"/>
      <c r="I1025" s="45" t="n"/>
      <c r="J1025" s="77" t="n"/>
      <c r="K1025" s="18" t="n"/>
    </row>
    <row r="1026">
      <c r="B1026" s="18" t="inlineStr">
        <is>
          <t>00158-FER</t>
        </is>
      </c>
      <c r="C1026" s="18">
        <f>IFERROR(_xlfn.XLOOKUP(ENTRADAS[[#This Row],[CODIGO]],LISTADO[CODIGOS],LISTADO[CATEGORIA]),"NO EXISTE")</f>
        <v/>
      </c>
      <c r="D1026" s="18">
        <f>IFERROR(_xlfn.XLOOKUP(ENTRADAS[[#This Row],[CODIGO]],LISTADO[CODIGOS],LISTADO[PRODUCTOS]),"NO EXISTE")</f>
        <v/>
      </c>
      <c r="E1026" s="19" t="n">
        <v>46098</v>
      </c>
      <c r="F1026" s="18" t="n">
        <v>4</v>
      </c>
      <c r="G1026" s="18" t="inlineStr">
        <is>
          <t>INGRESO</t>
        </is>
      </c>
      <c r="H1026" s="18" t="n"/>
      <c r="I1026" s="45" t="n"/>
      <c r="J1026" s="77" t="n"/>
      <c r="K1026" s="18" t="n"/>
    </row>
    <row r="1027">
      <c r="B1027" s="18" t="inlineStr">
        <is>
          <t>00159-FER</t>
        </is>
      </c>
      <c r="C1027" s="18">
        <f>IFERROR(_xlfn.XLOOKUP(ENTRADAS[[#This Row],[CODIGO]],LISTADO[CODIGOS],LISTADO[CATEGORIA]),"NO EXISTE")</f>
        <v/>
      </c>
      <c r="D1027" s="18">
        <f>IFERROR(_xlfn.XLOOKUP(ENTRADAS[[#This Row],[CODIGO]],LISTADO[CODIGOS],LISTADO[PRODUCTOS]),"NO EXISTE")</f>
        <v/>
      </c>
      <c r="E1027" s="19" t="n">
        <v>46098</v>
      </c>
      <c r="F1027" s="18" t="n">
        <v>1</v>
      </c>
      <c r="G1027" s="18" t="inlineStr">
        <is>
          <t>INGRESO</t>
        </is>
      </c>
      <c r="H1027" s="18" t="n"/>
      <c r="I1027" s="45" t="n"/>
      <c r="J1027" s="77" t="n"/>
      <c r="K1027" s="18" t="n"/>
    </row>
    <row r="1028">
      <c r="B1028" s="56" t="inlineStr">
        <is>
          <t>00061-REF</t>
        </is>
      </c>
      <c r="C1028" s="18">
        <f>IFERROR(_xlfn.XLOOKUP(ENTRADAS[[#This Row],[CODIGO]],LISTADO[CODIGOS],LISTADO[CATEGORIA]),"NO EXISTE")</f>
        <v/>
      </c>
      <c r="D1028" s="18">
        <f>IFERROR(_xlfn.XLOOKUP(ENTRADAS[[#This Row],[CODIGO]],LISTADO[CODIGOS],LISTADO[PRODUCTOS]),"NO EXISTE")</f>
        <v/>
      </c>
      <c r="E1028" s="19" t="n">
        <v>46098</v>
      </c>
      <c r="F1028" s="18" t="n">
        <v>1</v>
      </c>
      <c r="G1028" s="18" t="inlineStr">
        <is>
          <t>INGRESO</t>
        </is>
      </c>
      <c r="H1028" s="18" t="n"/>
      <c r="I1028" s="45" t="n"/>
      <c r="J1028" s="77" t="n"/>
      <c r="K1028" s="18" t="n"/>
    </row>
    <row r="1029">
      <c r="B1029" s="18" t="inlineStr">
        <is>
          <t>00160-FER</t>
        </is>
      </c>
      <c r="C1029" s="18">
        <f>IFERROR(_xlfn.XLOOKUP(ENTRADAS[[#This Row],[CODIGO]],LISTADO[CODIGOS],LISTADO[CATEGORIA]),"NO EXISTE")</f>
        <v/>
      </c>
      <c r="D1029" s="18">
        <f>IFERROR(_xlfn.XLOOKUP(ENTRADAS[[#This Row],[CODIGO]],LISTADO[CODIGOS],LISTADO[PRODUCTOS]),"NO EXISTE")</f>
        <v/>
      </c>
      <c r="E1029" s="19" t="n">
        <v>46099</v>
      </c>
      <c r="F1029" s="18" t="n">
        <v>15</v>
      </c>
      <c r="G1029" s="18" t="inlineStr">
        <is>
          <t>INGRESO</t>
        </is>
      </c>
      <c r="H1029" s="18" t="n"/>
      <c r="I1029" s="45" t="n"/>
      <c r="J1029" s="77" t="n"/>
      <c r="K1029" s="18" t="n"/>
    </row>
    <row r="1030">
      <c r="B1030" s="18" t="inlineStr">
        <is>
          <t>00161-FER</t>
        </is>
      </c>
      <c r="C1030" s="18">
        <f>IFERROR(_xlfn.XLOOKUP(ENTRADAS[[#This Row],[CODIGO]],LISTADO[CODIGOS],LISTADO[CATEGORIA]),"NO EXISTE")</f>
        <v/>
      </c>
      <c r="D1030" s="18">
        <f>IFERROR(_xlfn.XLOOKUP(ENTRADAS[[#This Row],[CODIGO]],LISTADO[CODIGOS],LISTADO[PRODUCTOS]),"NO EXISTE")</f>
        <v/>
      </c>
      <c r="E1030" s="19" t="n">
        <v>46099</v>
      </c>
      <c r="F1030" s="18" t="n">
        <v>6</v>
      </c>
      <c r="G1030" s="18" t="inlineStr">
        <is>
          <t>INGRESO</t>
        </is>
      </c>
      <c r="H1030" s="18" t="n"/>
      <c r="I1030" s="45" t="n"/>
      <c r="J1030" s="77" t="n"/>
      <c r="K1030" s="18" t="n"/>
    </row>
    <row r="1031">
      <c r="B1031" s="18" t="inlineStr">
        <is>
          <t>00162-FER</t>
        </is>
      </c>
      <c r="C1031" s="18">
        <f>IFERROR(_xlfn.XLOOKUP(ENTRADAS[[#This Row],[CODIGO]],LISTADO[CODIGOS],LISTADO[CATEGORIA]),"NO EXISTE")</f>
        <v/>
      </c>
      <c r="D1031" s="18">
        <f>IFERROR(_xlfn.XLOOKUP(ENTRADAS[[#This Row],[CODIGO]],LISTADO[CODIGOS],LISTADO[PRODUCTOS]),"NO EXISTE")</f>
        <v/>
      </c>
      <c r="E1031" s="19" t="n">
        <v>46099</v>
      </c>
      <c r="F1031" s="18" t="n">
        <v>6</v>
      </c>
      <c r="G1031" s="18" t="inlineStr">
        <is>
          <t>INGRESO</t>
        </is>
      </c>
      <c r="H1031" s="18" t="n"/>
      <c r="I1031" s="45" t="n"/>
      <c r="J1031" s="77" t="n"/>
      <c r="K1031" s="18" t="n"/>
    </row>
    <row r="1032">
      <c r="B1032" s="18" t="inlineStr">
        <is>
          <t>00050-ILU</t>
        </is>
      </c>
      <c r="C1032" s="18">
        <f>IFERROR(_xlfn.XLOOKUP(ENTRADAS[[#This Row],[CODIGO]],LISTADO[CODIGOS],LISTADO[CATEGORIA]),"NO EXISTE")</f>
        <v/>
      </c>
      <c r="D1032" s="18">
        <f>IFERROR(_xlfn.XLOOKUP(ENTRADAS[[#This Row],[CODIGO]],LISTADO[CODIGOS],LISTADO[PRODUCTOS]),"NO EXISTE")</f>
        <v/>
      </c>
      <c r="E1032" s="19" t="n">
        <v>46099</v>
      </c>
      <c r="F1032" s="18" t="n">
        <v>2</v>
      </c>
      <c r="G1032" s="18" t="inlineStr">
        <is>
          <t>INGRESO</t>
        </is>
      </c>
      <c r="H1032" s="18" t="n"/>
      <c r="I1032" s="45" t="n"/>
      <c r="J1032" s="77" t="n"/>
      <c r="K1032" s="18" t="n"/>
    </row>
    <row r="1033">
      <c r="B1033" s="56" t="inlineStr">
        <is>
          <t>00041-FER</t>
        </is>
      </c>
      <c r="C1033" s="18">
        <f>IFERROR(_xlfn.XLOOKUP(ENTRADAS[[#This Row],[CODIGO]],LISTADO[CODIGOS],LISTADO[CATEGORIA]),"NO EXISTE")</f>
        <v/>
      </c>
      <c r="D1033" s="18">
        <f>IFERROR(_xlfn.XLOOKUP(ENTRADAS[[#This Row],[CODIGO]],LISTADO[CODIGOS],LISTADO[PRODUCTOS]),"NO EXISTE")</f>
        <v/>
      </c>
      <c r="E1033" s="19" t="n">
        <v>46099</v>
      </c>
      <c r="F1033" s="18" t="n">
        <v>3.5</v>
      </c>
      <c r="G1033" s="18" t="inlineStr">
        <is>
          <t>DEVOLUCION</t>
        </is>
      </c>
      <c r="H1033" s="18" t="n"/>
      <c r="I1033" s="45" t="n"/>
      <c r="J1033" s="77" t="n"/>
      <c r="K1033" s="18" t="n"/>
    </row>
    <row r="1034">
      <c r="B1034" s="56" t="inlineStr">
        <is>
          <t>00028-FER</t>
        </is>
      </c>
      <c r="C1034" s="18">
        <f>IFERROR(_xlfn.XLOOKUP(ENTRADAS[[#This Row],[CODIGO]],LISTADO[CODIGOS],LISTADO[CATEGORIA]),"NO EXISTE")</f>
        <v/>
      </c>
      <c r="D1034" s="18">
        <f>IFERROR(_xlfn.XLOOKUP(ENTRADAS[[#This Row],[CODIGO]],LISTADO[CODIGOS],LISTADO[PRODUCTOS]),"NO EXISTE")</f>
        <v/>
      </c>
      <c r="E1034" s="19" t="n">
        <v>46099</v>
      </c>
      <c r="F1034" s="18" t="n">
        <v>0.5</v>
      </c>
      <c r="G1034" s="18" t="inlineStr">
        <is>
          <t>DEVOLUCION</t>
        </is>
      </c>
      <c r="H1034" s="18" t="n"/>
      <c r="I1034" s="45" t="n"/>
      <c r="J1034" s="77" t="n"/>
      <c r="K1034" s="18" t="n"/>
    </row>
    <row r="1035">
      <c r="B1035" s="56" t="inlineStr">
        <is>
          <t>00031-FER</t>
        </is>
      </c>
      <c r="C1035" s="18">
        <f>IFERROR(_xlfn.XLOOKUP(ENTRADAS[[#This Row],[CODIGO]],LISTADO[CODIGOS],LISTADO[CATEGORIA]),"NO EXISTE")</f>
        <v/>
      </c>
      <c r="D1035" s="18">
        <f>IFERROR(_xlfn.XLOOKUP(ENTRADAS[[#This Row],[CODIGO]],LISTADO[CODIGOS],LISTADO[PRODUCTOS]),"NO EXISTE")</f>
        <v/>
      </c>
      <c r="E1035" s="19" t="n">
        <v>46099</v>
      </c>
      <c r="F1035" s="18" t="n">
        <v>2</v>
      </c>
      <c r="G1035" s="18" t="inlineStr">
        <is>
          <t>DEVOLUCION</t>
        </is>
      </c>
      <c r="H1035" s="18" t="n"/>
      <c r="I1035" s="45" t="n"/>
      <c r="J1035" s="77" t="n"/>
      <c r="K1035" s="18" t="n"/>
    </row>
    <row r="1036">
      <c r="B1036" s="56" t="inlineStr">
        <is>
          <t>00029-FER</t>
        </is>
      </c>
      <c r="C1036" s="18">
        <f>IFERROR(_xlfn.XLOOKUP(ENTRADAS[[#This Row],[CODIGO]],LISTADO[CODIGOS],LISTADO[CATEGORIA]),"NO EXISTE")</f>
        <v/>
      </c>
      <c r="D1036" s="18">
        <f>IFERROR(_xlfn.XLOOKUP(ENTRADAS[[#This Row],[CODIGO]],LISTADO[CODIGOS],LISTADO[PRODUCTOS]),"NO EXISTE")</f>
        <v/>
      </c>
      <c r="E1036" s="19" t="n">
        <v>46099</v>
      </c>
      <c r="F1036" s="18" t="n">
        <v>2</v>
      </c>
      <c r="G1036" s="18" t="inlineStr">
        <is>
          <t>DEVOLUCION</t>
        </is>
      </c>
      <c r="H1036" s="18" t="n"/>
      <c r="I1036" s="45" t="n"/>
      <c r="J1036" s="77" t="n"/>
      <c r="K1036" s="18" t="n"/>
    </row>
    <row r="1037">
      <c r="B1037" s="56" t="inlineStr">
        <is>
          <t>00027-FER</t>
        </is>
      </c>
      <c r="C1037" s="18">
        <f>IFERROR(_xlfn.XLOOKUP(ENTRADAS[[#This Row],[CODIGO]],LISTADO[CODIGOS],LISTADO[CATEGORIA]),"NO EXISTE")</f>
        <v/>
      </c>
      <c r="D1037" s="18">
        <f>IFERROR(_xlfn.XLOOKUP(ENTRADAS[[#This Row],[CODIGO]],LISTADO[CODIGOS],LISTADO[PRODUCTOS]),"NO EXISTE")</f>
        <v/>
      </c>
      <c r="E1037" s="19" t="n">
        <v>46099</v>
      </c>
      <c r="F1037" s="18" t="n">
        <v>1.5</v>
      </c>
      <c r="G1037" s="18" t="inlineStr">
        <is>
          <t>DEVOLUCION</t>
        </is>
      </c>
      <c r="H1037" s="18" t="n"/>
      <c r="I1037" s="45" t="n"/>
      <c r="J1037" s="77" t="n"/>
      <c r="K1037" s="18" t="n"/>
    </row>
    <row r="1038">
      <c r="B1038" s="56" t="inlineStr">
        <is>
          <t>00050-FER</t>
        </is>
      </c>
      <c r="C1038" s="18">
        <f>IFERROR(_xlfn.XLOOKUP(ENTRADAS[[#This Row],[CODIGO]],LISTADO[CODIGOS],LISTADO[CATEGORIA]),"NO EXISTE")</f>
        <v/>
      </c>
      <c r="D1038" s="18">
        <f>IFERROR(_xlfn.XLOOKUP(ENTRADAS[[#This Row],[CODIGO]],LISTADO[CODIGOS],LISTADO[PRODUCTOS]),"NO EXISTE")</f>
        <v/>
      </c>
      <c r="E1038" s="19" t="n">
        <v>46099</v>
      </c>
      <c r="F1038" s="18" t="n">
        <v>1</v>
      </c>
      <c r="G1038" s="18" t="inlineStr">
        <is>
          <t>DEVOLUCION</t>
        </is>
      </c>
      <c r="H1038" s="18" t="n"/>
      <c r="I1038" s="45" t="n"/>
      <c r="J1038" s="77" t="n"/>
      <c r="K1038" s="18" t="n"/>
    </row>
    <row r="1039">
      <c r="B1039" s="56" t="inlineStr">
        <is>
          <t>00017-REF</t>
        </is>
      </c>
      <c r="C1039" s="18">
        <f>IFERROR(_xlfn.XLOOKUP(ENTRADAS[[#This Row],[CODIGO]],LISTADO[CODIGOS],LISTADO[CATEGORIA]),"NO EXISTE")</f>
        <v/>
      </c>
      <c r="D1039" s="18">
        <f>IFERROR(_xlfn.XLOOKUP(ENTRADAS[[#This Row],[CODIGO]],LISTADO[CODIGOS],LISTADO[PRODUCTOS]),"NO EXISTE")</f>
        <v/>
      </c>
      <c r="E1039" s="19" t="n">
        <v>46099</v>
      </c>
      <c r="F1039" s="18" t="n">
        <v>3</v>
      </c>
      <c r="G1039" s="18" t="inlineStr">
        <is>
          <t>INGRESO</t>
        </is>
      </c>
      <c r="H1039" s="18" t="n"/>
      <c r="I1039" s="45" t="n"/>
      <c r="J1039" s="77" t="n"/>
      <c r="K1039" s="18" t="n"/>
    </row>
    <row r="1040">
      <c r="B1040" s="18" t="inlineStr">
        <is>
          <t>00101-REF</t>
        </is>
      </c>
      <c r="C1040" s="18">
        <f>IFERROR(_xlfn.XLOOKUP(ENTRADAS[[#This Row],[CODIGO]],LISTADO[CODIGOS],LISTADO[CATEGORIA]),"NO EXISTE")</f>
        <v/>
      </c>
      <c r="D1040" s="18">
        <f>IFERROR(_xlfn.XLOOKUP(ENTRADAS[[#This Row],[CODIGO]],LISTADO[CODIGOS],LISTADO[PRODUCTOS]),"NO EXISTE")</f>
        <v/>
      </c>
      <c r="E1040" s="19" t="n">
        <v>46099</v>
      </c>
      <c r="F1040" s="18" t="n">
        <v>1</v>
      </c>
      <c r="G1040" s="18" t="inlineStr">
        <is>
          <t>INGRESO</t>
        </is>
      </c>
      <c r="H1040" s="18" t="n"/>
      <c r="I1040" s="45" t="n"/>
      <c r="J1040" s="77" t="n"/>
      <c r="K1040" s="18" t="n"/>
    </row>
    <row r="1041">
      <c r="B1041" s="56" t="inlineStr">
        <is>
          <t>00055-ELE</t>
        </is>
      </c>
      <c r="C1041" s="18">
        <f>IFERROR(_xlfn.XLOOKUP(ENTRADAS[[#This Row],[CODIGO]],LISTADO[CODIGOS],LISTADO[CATEGORIA]),"NO EXISTE")</f>
        <v/>
      </c>
      <c r="D1041" s="18">
        <f>IFERROR(_xlfn.XLOOKUP(ENTRADAS[[#This Row],[CODIGO]],LISTADO[CODIGOS],LISTADO[PRODUCTOS]),"NO EXISTE")</f>
        <v/>
      </c>
      <c r="E1041" s="19" t="n">
        <v>46099</v>
      </c>
      <c r="F1041" s="18" t="n">
        <v>75</v>
      </c>
      <c r="G1041" s="18" t="inlineStr">
        <is>
          <t>INGRESO</t>
        </is>
      </c>
      <c r="H1041" s="18" t="n"/>
      <c r="I1041" s="45" t="n"/>
      <c r="J1041" s="77" t="n"/>
      <c r="K1041" s="18" t="n"/>
    </row>
    <row r="1042">
      <c r="B1042" s="56" t="inlineStr">
        <is>
          <t>00088-FER</t>
        </is>
      </c>
      <c r="C1042" s="18">
        <f>IFERROR(_xlfn.XLOOKUP(ENTRADAS[[#This Row],[CODIGO]],LISTADO[CODIGOS],LISTADO[CATEGORIA]),"NO EXISTE")</f>
        <v/>
      </c>
      <c r="D1042" s="18">
        <f>IFERROR(_xlfn.XLOOKUP(ENTRADAS[[#This Row],[CODIGO]],LISTADO[CODIGOS],LISTADO[PRODUCTOS]),"NO EXISTE")</f>
        <v/>
      </c>
      <c r="E1042" s="19" t="n">
        <v>46099</v>
      </c>
      <c r="F1042" s="18" t="n">
        <v>10</v>
      </c>
      <c r="G1042" s="18" t="inlineStr">
        <is>
          <t>INGRESO</t>
        </is>
      </c>
      <c r="H1042" s="18" t="n"/>
      <c r="I1042" s="45" t="n"/>
      <c r="J1042" s="77" t="n"/>
      <c r="K1042" s="18" t="n"/>
    </row>
    <row r="1043">
      <c r="B1043" s="56" t="inlineStr">
        <is>
          <t>00100-FER</t>
        </is>
      </c>
      <c r="C1043" s="18">
        <f>IFERROR(_xlfn.XLOOKUP(ENTRADAS[[#This Row],[CODIGO]],LISTADO[CODIGOS],LISTADO[CATEGORIA]),"NO EXISTE")</f>
        <v/>
      </c>
      <c r="D1043" s="18">
        <f>IFERROR(_xlfn.XLOOKUP(ENTRADAS[[#This Row],[CODIGO]],LISTADO[CODIGOS],LISTADO[PRODUCTOS]),"NO EXISTE")</f>
        <v/>
      </c>
      <c r="E1043" s="19" t="n">
        <v>46099</v>
      </c>
      <c r="F1043" s="18" t="n">
        <v>10</v>
      </c>
      <c r="G1043" s="18" t="inlineStr">
        <is>
          <t>INGRESO</t>
        </is>
      </c>
      <c r="H1043" s="18" t="n"/>
      <c r="I1043" s="45" t="n"/>
      <c r="J1043" s="77" t="n"/>
      <c r="K1043" s="18" t="n"/>
    </row>
    <row r="1044">
      <c r="B1044" s="56" t="inlineStr">
        <is>
          <t>00031-HRR</t>
        </is>
      </c>
      <c r="C1044" s="18">
        <f>IFERROR(_xlfn.XLOOKUP(ENTRADAS[[#This Row],[CODIGO]],LISTADO[CODIGOS],LISTADO[CATEGORIA]),"NO EXISTE")</f>
        <v/>
      </c>
      <c r="D1044" s="18">
        <f>IFERROR(_xlfn.XLOOKUP(ENTRADAS[[#This Row],[CODIGO]],LISTADO[CODIGOS],LISTADO[PRODUCTOS]),"NO EXISTE")</f>
        <v/>
      </c>
      <c r="E1044" s="19" t="n">
        <v>46099</v>
      </c>
      <c r="F1044" s="18" t="n">
        <v>30</v>
      </c>
      <c r="G1044" s="18" t="inlineStr">
        <is>
          <t>INGRESO</t>
        </is>
      </c>
      <c r="H1044" s="18" t="n"/>
      <c r="I1044" s="45" t="n"/>
      <c r="J1044" s="77" t="n"/>
      <c r="K1044" s="18" t="n"/>
    </row>
    <row r="1045">
      <c r="B1045" s="18" t="inlineStr">
        <is>
          <t>00070-ELE</t>
        </is>
      </c>
      <c r="C1045" s="18">
        <f>IFERROR(_xlfn.XLOOKUP(ENTRADAS[[#This Row],[CODIGO]],LISTADO[CODIGOS],LISTADO[CATEGORIA]),"NO EXISTE")</f>
        <v/>
      </c>
      <c r="D1045" s="18">
        <f>IFERROR(_xlfn.XLOOKUP(ENTRADAS[[#This Row],[CODIGO]],LISTADO[CODIGOS],LISTADO[PRODUCTOS]),"NO EXISTE")</f>
        <v/>
      </c>
      <c r="E1045" s="19" t="n">
        <v>46099</v>
      </c>
      <c r="F1045" s="18" t="n">
        <v>10</v>
      </c>
      <c r="G1045" s="18" t="inlineStr">
        <is>
          <t>INGRESO</t>
        </is>
      </c>
      <c r="H1045" s="18" t="n"/>
      <c r="I1045" s="45" t="n"/>
      <c r="J1045" s="77" t="n"/>
      <c r="K1045" s="18" t="n"/>
    </row>
    <row r="1046">
      <c r="B1046" s="18" t="inlineStr">
        <is>
          <t>00170-FER</t>
        </is>
      </c>
      <c r="C1046" s="18">
        <f>IFERROR(_xlfn.XLOOKUP(ENTRADAS[[#This Row],[CODIGO]],LISTADO[CODIGOS],LISTADO[CATEGORIA]),"NO EXISTE")</f>
        <v/>
      </c>
      <c r="D1046" s="18">
        <f>IFERROR(_xlfn.XLOOKUP(ENTRADAS[[#This Row],[CODIGO]],LISTADO[CODIGOS],LISTADO[PRODUCTOS]),"NO EXISTE")</f>
        <v/>
      </c>
      <c r="E1046" s="19" t="n">
        <v>46099</v>
      </c>
      <c r="F1046" s="18" t="n">
        <v>1</v>
      </c>
      <c r="G1046" s="18" t="inlineStr">
        <is>
          <t>INGRESO</t>
        </is>
      </c>
      <c r="H1046" s="18" t="n"/>
      <c r="I1046" s="45" t="n"/>
      <c r="J1046" s="77" t="n"/>
      <c r="K1046" s="18" t="n"/>
    </row>
    <row r="1047">
      <c r="B1047" s="18" t="inlineStr">
        <is>
          <t>00059-HRR</t>
        </is>
      </c>
      <c r="C1047" s="18">
        <f>IFERROR(_xlfn.XLOOKUP(ENTRADAS[[#This Row],[CODIGO]],LISTADO[CODIGOS],LISTADO[CATEGORIA]),"NO EXISTE")</f>
        <v/>
      </c>
      <c r="D1047" s="18">
        <f>IFERROR(_xlfn.XLOOKUP(ENTRADAS[[#This Row],[CODIGO]],LISTADO[CODIGOS],LISTADO[PRODUCTOS]),"NO EXISTE")</f>
        <v/>
      </c>
      <c r="E1047" s="19" t="n">
        <v>46099</v>
      </c>
      <c r="F1047" s="18" t="n">
        <v>1</v>
      </c>
      <c r="G1047" s="18" t="inlineStr">
        <is>
          <t>INGRESO</t>
        </is>
      </c>
      <c r="H1047" s="18" t="n"/>
      <c r="I1047" s="45" t="n"/>
      <c r="J1047" s="77" t="n"/>
      <c r="K1047" s="18" t="n"/>
    </row>
    <row r="1048">
      <c r="B1048" s="56" t="inlineStr">
        <is>
          <t>00119-FER</t>
        </is>
      </c>
      <c r="C1048" s="18">
        <f>IFERROR(_xlfn.XLOOKUP(ENTRADAS[[#This Row],[CODIGO]],LISTADO[CODIGOS],LISTADO[CATEGORIA]),"NO EXISTE")</f>
        <v/>
      </c>
      <c r="D1048" s="18">
        <f>IFERROR(_xlfn.XLOOKUP(ENTRADAS[[#This Row],[CODIGO]],LISTADO[CODIGOS],LISTADO[PRODUCTOS]),"NO EXISTE")</f>
        <v/>
      </c>
      <c r="E1048" s="19" t="n">
        <v>46099</v>
      </c>
      <c r="F1048" s="18" t="n">
        <v>1</v>
      </c>
      <c r="G1048" s="18" t="inlineStr">
        <is>
          <t>INGRESO</t>
        </is>
      </c>
      <c r="H1048" s="18" t="n"/>
      <c r="I1048" s="45" t="n"/>
      <c r="J1048" s="77" t="n"/>
      <c r="K1048" s="18" t="n"/>
    </row>
    <row r="1049">
      <c r="B1049" s="56" t="inlineStr">
        <is>
          <t>00089-FER</t>
        </is>
      </c>
      <c r="C1049" s="18">
        <f>IFERROR(_xlfn.XLOOKUP(ENTRADAS[[#This Row],[CODIGO]],LISTADO[CODIGOS],LISTADO[CATEGORIA]),"NO EXISTE")</f>
        <v/>
      </c>
      <c r="D1049" s="18">
        <f>IFERROR(_xlfn.XLOOKUP(ENTRADAS[[#This Row],[CODIGO]],LISTADO[CODIGOS],LISTADO[PRODUCTOS]),"NO EXISTE")</f>
        <v/>
      </c>
      <c r="E1049" s="19" t="n">
        <v>46100</v>
      </c>
      <c r="F1049" s="18" t="n">
        <v>5</v>
      </c>
      <c r="G1049" s="18" t="inlineStr">
        <is>
          <t>INGRESO</t>
        </is>
      </c>
      <c r="H1049" s="18" t="n"/>
      <c r="I1049" s="45" t="n"/>
      <c r="J1049" s="77" t="n"/>
      <c r="K1049" s="18" t="n"/>
    </row>
    <row r="1050">
      <c r="B1050" s="18" t="inlineStr">
        <is>
          <t>00071-ELE</t>
        </is>
      </c>
      <c r="C1050" s="18">
        <f>IFERROR(_xlfn.XLOOKUP(ENTRADAS[[#This Row],[CODIGO]],LISTADO[CODIGOS],LISTADO[CATEGORIA]),"NO EXISTE")</f>
        <v/>
      </c>
      <c r="D1050" s="18">
        <f>IFERROR(_xlfn.XLOOKUP(ENTRADAS[[#This Row],[CODIGO]],LISTADO[CODIGOS],LISTADO[PRODUCTOS]),"NO EXISTE")</f>
        <v/>
      </c>
      <c r="E1050" s="19" t="n">
        <v>46100</v>
      </c>
      <c r="F1050" s="18" t="n">
        <v>8</v>
      </c>
      <c r="G1050" s="18" t="inlineStr">
        <is>
          <t>INGRESO</t>
        </is>
      </c>
      <c r="H1050" s="18" t="n"/>
      <c r="I1050" s="45" t="n"/>
      <c r="J1050" s="77" t="n"/>
      <c r="K1050" s="18" t="n"/>
    </row>
    <row r="1051">
      <c r="B1051" s="18" t="inlineStr">
        <is>
          <t>00072-ELE</t>
        </is>
      </c>
      <c r="C1051" s="18">
        <f>IFERROR(_xlfn.XLOOKUP(ENTRADAS[[#This Row],[CODIGO]],LISTADO[CODIGOS],LISTADO[CATEGORIA]),"NO EXISTE")</f>
        <v/>
      </c>
      <c r="D1051" s="18">
        <f>IFERROR(_xlfn.XLOOKUP(ENTRADAS[[#This Row],[CODIGO]],LISTADO[CODIGOS],LISTADO[PRODUCTOS]),"NO EXISTE")</f>
        <v/>
      </c>
      <c r="E1051" s="19" t="n">
        <v>46100</v>
      </c>
      <c r="F1051" s="18" t="n">
        <v>6</v>
      </c>
      <c r="G1051" s="18" t="inlineStr">
        <is>
          <t>INGRESO</t>
        </is>
      </c>
      <c r="H1051" s="18" t="n"/>
      <c r="I1051" s="45" t="n"/>
      <c r="J1051" s="77" t="n"/>
      <c r="K1051" s="18" t="n"/>
    </row>
    <row r="1052">
      <c r="B1052" s="56" t="inlineStr">
        <is>
          <t>00035-REF</t>
        </is>
      </c>
      <c r="C1052" s="18">
        <f>IFERROR(_xlfn.XLOOKUP(ENTRADAS[[#This Row],[CODIGO]],LISTADO[CODIGOS],LISTADO[CATEGORIA]),"NO EXISTE")</f>
        <v/>
      </c>
      <c r="D1052" s="18">
        <f>IFERROR(_xlfn.XLOOKUP(ENTRADAS[[#This Row],[CODIGO]],LISTADO[CODIGOS],LISTADO[PRODUCTOS]),"NO EXISTE")</f>
        <v/>
      </c>
      <c r="E1052" s="19" t="n">
        <v>46100</v>
      </c>
      <c r="F1052" s="18" t="n">
        <v>2</v>
      </c>
      <c r="G1052" s="18" t="inlineStr">
        <is>
          <t>DEVOLUCION</t>
        </is>
      </c>
      <c r="H1052" s="18" t="n"/>
      <c r="I1052" s="45" t="n"/>
      <c r="J1052" s="77" t="n"/>
      <c r="K1052" s="18" t="n"/>
    </row>
    <row r="1053">
      <c r="B1053" s="56" t="inlineStr">
        <is>
          <t>00051-FER</t>
        </is>
      </c>
      <c r="C1053" s="18">
        <f>IFERROR(_xlfn.XLOOKUP(ENTRADAS[[#This Row],[CODIGO]],LISTADO[CODIGOS],LISTADO[CATEGORIA]),"NO EXISTE")</f>
        <v/>
      </c>
      <c r="D1053" s="18">
        <f>IFERROR(_xlfn.XLOOKUP(ENTRADAS[[#This Row],[CODIGO]],LISTADO[CODIGOS],LISTADO[PRODUCTOS]),"NO EXISTE")</f>
        <v/>
      </c>
      <c r="E1053" s="19" t="n">
        <v>46100</v>
      </c>
      <c r="F1053" s="18" t="n">
        <v>1</v>
      </c>
      <c r="G1053" s="18" t="inlineStr">
        <is>
          <t>INGRESO</t>
        </is>
      </c>
      <c r="H1053" s="18" t="n"/>
      <c r="I1053" s="45" t="n"/>
      <c r="J1053" s="77" t="n"/>
      <c r="K1053" s="18" t="n"/>
    </row>
    <row r="1054">
      <c r="B1054" s="56" t="inlineStr">
        <is>
          <t>00052-FER</t>
        </is>
      </c>
      <c r="C1054" s="18">
        <f>IFERROR(_xlfn.XLOOKUP(ENTRADAS[[#This Row],[CODIGO]],LISTADO[CODIGOS],LISTADO[CATEGORIA]),"NO EXISTE")</f>
        <v/>
      </c>
      <c r="D1054" s="18">
        <f>IFERROR(_xlfn.XLOOKUP(ENTRADAS[[#This Row],[CODIGO]],LISTADO[CODIGOS],LISTADO[PRODUCTOS]),"NO EXISTE")</f>
        <v/>
      </c>
      <c r="E1054" s="19" t="n">
        <v>46100</v>
      </c>
      <c r="F1054" s="18" t="n">
        <v>8</v>
      </c>
      <c r="G1054" s="18" t="inlineStr">
        <is>
          <t>INGRESO</t>
        </is>
      </c>
      <c r="H1054" s="18" t="n"/>
      <c r="I1054" s="45" t="n"/>
      <c r="J1054" s="77" t="n"/>
      <c r="K1054" s="18" t="n"/>
    </row>
    <row r="1055">
      <c r="B1055" s="56" t="inlineStr">
        <is>
          <t>00028-FER</t>
        </is>
      </c>
      <c r="C1055" s="18">
        <f>IFERROR(_xlfn.XLOOKUP(ENTRADAS[[#This Row],[CODIGO]],LISTADO[CODIGOS],LISTADO[CATEGORIA]),"NO EXISTE")</f>
        <v/>
      </c>
      <c r="D1055" s="18">
        <f>IFERROR(_xlfn.XLOOKUP(ENTRADAS[[#This Row],[CODIGO]],LISTADO[CODIGOS],LISTADO[PRODUCTOS]),"NO EXISTE")</f>
        <v/>
      </c>
      <c r="E1055" s="19" t="n">
        <v>46100</v>
      </c>
      <c r="F1055" s="18" t="n">
        <v>9</v>
      </c>
      <c r="G1055" s="18" t="inlineStr">
        <is>
          <t>INGRESO</t>
        </is>
      </c>
      <c r="H1055" s="18" t="n"/>
      <c r="I1055" s="45" t="n"/>
      <c r="J1055" s="77" t="n"/>
      <c r="K1055" s="18" t="n"/>
    </row>
    <row r="1056">
      <c r="B1056" s="56" t="inlineStr">
        <is>
          <t>00031-FER</t>
        </is>
      </c>
      <c r="C1056" s="18">
        <f>IFERROR(_xlfn.XLOOKUP(ENTRADAS[[#This Row],[CODIGO]],LISTADO[CODIGOS],LISTADO[CATEGORIA]),"NO EXISTE")</f>
        <v/>
      </c>
      <c r="D1056" s="18">
        <f>IFERROR(_xlfn.XLOOKUP(ENTRADAS[[#This Row],[CODIGO]],LISTADO[CODIGOS],LISTADO[PRODUCTOS]),"NO EXISTE")</f>
        <v/>
      </c>
      <c r="E1056" s="19" t="n">
        <v>46100</v>
      </c>
      <c r="F1056" s="18" t="n">
        <v>3</v>
      </c>
      <c r="G1056" s="18" t="inlineStr">
        <is>
          <t>INGRESO</t>
        </is>
      </c>
      <c r="H1056" s="18" t="n"/>
      <c r="I1056" s="45" t="n"/>
      <c r="J1056" s="77" t="n"/>
      <c r="K1056" s="18" t="n"/>
    </row>
    <row r="1057">
      <c r="B1057" s="56" t="inlineStr">
        <is>
          <t>00041-FER</t>
        </is>
      </c>
      <c r="C1057" s="18">
        <f>IFERROR(_xlfn.XLOOKUP(ENTRADAS[[#This Row],[CODIGO]],LISTADO[CODIGOS],LISTADO[CATEGORIA]),"NO EXISTE")</f>
        <v/>
      </c>
      <c r="D1057" s="18">
        <f>IFERROR(_xlfn.XLOOKUP(ENTRADAS[[#This Row],[CODIGO]],LISTADO[CODIGOS],LISTADO[PRODUCTOS]),"NO EXISTE")</f>
        <v/>
      </c>
      <c r="E1057" s="19" t="n">
        <v>46100</v>
      </c>
      <c r="F1057" s="18" t="n">
        <v>2</v>
      </c>
      <c r="G1057" s="18" t="inlineStr">
        <is>
          <t>INGRESO</t>
        </is>
      </c>
      <c r="H1057" s="18" t="n"/>
      <c r="I1057" s="45" t="n"/>
      <c r="J1057" s="77" t="n"/>
      <c r="K1057" s="18" t="n"/>
    </row>
    <row r="1058">
      <c r="B1058" s="56" t="inlineStr">
        <is>
          <t>00043-FER</t>
        </is>
      </c>
      <c r="C1058" s="18">
        <f>IFERROR(_xlfn.XLOOKUP(ENTRADAS[[#This Row],[CODIGO]],LISTADO[CODIGOS],LISTADO[CATEGORIA]),"NO EXISTE")</f>
        <v/>
      </c>
      <c r="D1058" s="18">
        <f>IFERROR(_xlfn.XLOOKUP(ENTRADAS[[#This Row],[CODIGO]],LISTADO[CODIGOS],LISTADO[PRODUCTOS]),"NO EXISTE")</f>
        <v/>
      </c>
      <c r="E1058" s="19" t="n">
        <v>46100</v>
      </c>
      <c r="F1058" s="18" t="n">
        <v>5</v>
      </c>
      <c r="G1058" s="18" t="inlineStr">
        <is>
          <t>INGRESO</t>
        </is>
      </c>
      <c r="H1058" s="18" t="n"/>
      <c r="I1058" s="45" t="n"/>
      <c r="J1058" s="77" t="n"/>
      <c r="K1058" s="18" t="n"/>
    </row>
    <row r="1059">
      <c r="B1059" s="18" t="inlineStr">
        <is>
          <t>00164-FER</t>
        </is>
      </c>
      <c r="C1059" s="18">
        <f>IFERROR(_xlfn.XLOOKUP(ENTRADAS[[#This Row],[CODIGO]],LISTADO[CODIGOS],LISTADO[CATEGORIA]),"NO EXISTE")</f>
        <v/>
      </c>
      <c r="D1059" s="18">
        <f>IFERROR(_xlfn.XLOOKUP(ENTRADAS[[#This Row],[CODIGO]],LISTADO[CODIGOS],LISTADO[PRODUCTOS]),"NO EXISTE")</f>
        <v/>
      </c>
      <c r="E1059" s="19" t="n">
        <v>46100</v>
      </c>
      <c r="F1059" s="18" t="n">
        <v>2</v>
      </c>
      <c r="G1059" s="18" t="inlineStr">
        <is>
          <t>INGRESO</t>
        </is>
      </c>
      <c r="H1059" s="18" t="n"/>
      <c r="I1059" s="45" t="n"/>
      <c r="J1059" s="77" t="n"/>
      <c r="K1059" s="18" t="n"/>
    </row>
    <row r="1060">
      <c r="B1060" s="18" t="inlineStr">
        <is>
          <t>00110-HER</t>
        </is>
      </c>
      <c r="C1060" s="18">
        <f>IFERROR(_xlfn.XLOOKUP(ENTRADAS[[#This Row],[CODIGO]],LISTADO[CODIGOS],LISTADO[CATEGORIA]),"NO EXISTE")</f>
        <v/>
      </c>
      <c r="D1060" s="18">
        <f>IFERROR(_xlfn.XLOOKUP(ENTRADAS[[#This Row],[CODIGO]],LISTADO[CODIGOS],LISTADO[PRODUCTOS]),"NO EXISTE")</f>
        <v/>
      </c>
      <c r="E1060" s="19" t="n">
        <v>46100</v>
      </c>
      <c r="F1060" s="18" t="n">
        <v>1</v>
      </c>
      <c r="G1060" s="18" t="inlineStr">
        <is>
          <t>INGRESO</t>
        </is>
      </c>
      <c r="H1060" s="18" t="n"/>
      <c r="I1060" s="45" t="n"/>
      <c r="J1060" s="77" t="n"/>
      <c r="K1060" s="18" t="n"/>
    </row>
    <row r="1061">
      <c r="B1061" s="18" t="inlineStr">
        <is>
          <t>00074-ELE</t>
        </is>
      </c>
      <c r="C1061" s="18">
        <f>IFERROR(_xlfn.XLOOKUP(ENTRADAS[[#This Row],[CODIGO]],LISTADO[CODIGOS],LISTADO[CATEGORIA]),"NO EXISTE")</f>
        <v/>
      </c>
      <c r="D1061" s="18">
        <f>IFERROR(_xlfn.XLOOKUP(ENTRADAS[[#This Row],[CODIGO]],LISTADO[CODIGOS],LISTADO[PRODUCTOS]),"NO EXISTE")</f>
        <v/>
      </c>
      <c r="E1061" s="19" t="n">
        <v>46100</v>
      </c>
      <c r="F1061" s="18" t="n">
        <v>10</v>
      </c>
      <c r="G1061" s="18" t="inlineStr">
        <is>
          <t>INGRESO</t>
        </is>
      </c>
      <c r="H1061" s="18" t="n"/>
      <c r="I1061" s="45" t="n"/>
      <c r="J1061" s="77" t="n"/>
      <c r="K1061" s="18" t="n"/>
    </row>
    <row r="1062">
      <c r="B1062" s="56" t="inlineStr">
        <is>
          <t>00002-LIM</t>
        </is>
      </c>
      <c r="C1062" s="18">
        <f>IFERROR(_xlfn.XLOOKUP(ENTRADAS[[#This Row],[CODIGO]],LISTADO[CODIGOS],LISTADO[CATEGORIA]),"NO EXISTE")</f>
        <v/>
      </c>
      <c r="D1062" s="18">
        <f>IFERROR(_xlfn.XLOOKUP(ENTRADAS[[#This Row],[CODIGO]],LISTADO[CODIGOS],LISTADO[PRODUCTOS]),"NO EXISTE")</f>
        <v/>
      </c>
      <c r="E1062" s="19" t="n">
        <v>46100</v>
      </c>
      <c r="F1062" s="18" t="n">
        <v>6</v>
      </c>
      <c r="G1062" s="18" t="inlineStr">
        <is>
          <t>INGRESO</t>
        </is>
      </c>
      <c r="H1062" s="18" t="n"/>
      <c r="I1062" s="45" t="n"/>
      <c r="J1062" s="77" t="n"/>
      <c r="K1062" s="18" t="n"/>
    </row>
    <row r="1063">
      <c r="B1063" s="18" t="inlineStr">
        <is>
          <t>00019-LIM</t>
        </is>
      </c>
      <c r="C1063" s="18">
        <f>IFERROR(_xlfn.XLOOKUP(ENTRADAS[[#This Row],[CODIGO]],LISTADO[CODIGOS],LISTADO[CATEGORIA]),"NO EXISTE")</f>
        <v/>
      </c>
      <c r="D1063" s="18">
        <f>IFERROR(_xlfn.XLOOKUP(ENTRADAS[[#This Row],[CODIGO]],LISTADO[CODIGOS],LISTADO[PRODUCTOS]),"NO EXISTE")</f>
        <v/>
      </c>
      <c r="E1063" s="19" t="n">
        <v>46100</v>
      </c>
      <c r="F1063" s="18" t="n">
        <v>1</v>
      </c>
      <c r="G1063" s="18" t="inlineStr">
        <is>
          <t>INGRESO</t>
        </is>
      </c>
      <c r="H1063" s="18" t="n"/>
      <c r="I1063" s="45" t="n"/>
      <c r="J1063" s="77" t="n"/>
      <c r="K1063" s="18" t="n"/>
    </row>
    <row r="1064">
      <c r="B1064" s="56" t="inlineStr">
        <is>
          <t>00024-FER</t>
        </is>
      </c>
      <c r="C1064" s="18">
        <f>IFERROR(_xlfn.XLOOKUP(ENTRADAS[[#This Row],[CODIGO]],LISTADO[CODIGOS],LISTADO[CATEGORIA]),"NO EXISTE")</f>
        <v/>
      </c>
      <c r="D1064" s="18">
        <f>IFERROR(_xlfn.XLOOKUP(ENTRADAS[[#This Row],[CODIGO]],LISTADO[CODIGOS],LISTADO[PRODUCTOS]),"NO EXISTE")</f>
        <v/>
      </c>
      <c r="E1064" s="19" t="n">
        <v>46101</v>
      </c>
      <c r="F1064" s="18" t="n">
        <v>1</v>
      </c>
      <c r="G1064" s="18" t="inlineStr">
        <is>
          <t>INGRESO</t>
        </is>
      </c>
      <c r="H1064" s="18" t="n"/>
      <c r="I1064" s="45" t="n"/>
      <c r="J1064" s="77" t="n"/>
      <c r="K1064" s="18" t="n"/>
    </row>
    <row r="1065">
      <c r="B1065" s="18" t="inlineStr">
        <is>
          <t>00163-FER</t>
        </is>
      </c>
      <c r="C1065" s="18">
        <f>IFERROR(_xlfn.XLOOKUP(ENTRADAS[[#This Row],[CODIGO]],LISTADO[CODIGOS],LISTADO[CATEGORIA]),"NO EXISTE")</f>
        <v/>
      </c>
      <c r="D1065" s="18">
        <f>IFERROR(_xlfn.XLOOKUP(ENTRADAS[[#This Row],[CODIGO]],LISTADO[CODIGOS],LISTADO[PRODUCTOS]),"NO EXISTE")</f>
        <v/>
      </c>
      <c r="E1065" s="19" t="n">
        <v>46101</v>
      </c>
      <c r="F1065" s="18" t="n">
        <v>1</v>
      </c>
      <c r="G1065" s="18" t="inlineStr">
        <is>
          <t>INGRESO</t>
        </is>
      </c>
      <c r="H1065" s="18" t="n"/>
      <c r="I1065" s="45" t="n"/>
      <c r="J1065" s="77" t="n"/>
      <c r="K1065" s="18" t="n"/>
    </row>
    <row r="1066">
      <c r="B1066" s="56" t="inlineStr">
        <is>
          <t>00058-FER</t>
        </is>
      </c>
      <c r="C1066" s="18">
        <f>IFERROR(_xlfn.XLOOKUP(ENTRADAS[[#This Row],[CODIGO]],LISTADO[CODIGOS],LISTADO[CATEGORIA]),"NO EXISTE")</f>
        <v/>
      </c>
      <c r="D1066" s="18">
        <f>IFERROR(_xlfn.XLOOKUP(ENTRADAS[[#This Row],[CODIGO]],LISTADO[CODIGOS],LISTADO[PRODUCTOS]),"NO EXISTE")</f>
        <v/>
      </c>
      <c r="E1066" s="19" t="n">
        <v>46101</v>
      </c>
      <c r="F1066" s="18" t="n">
        <v>2</v>
      </c>
      <c r="G1066" s="18" t="inlineStr">
        <is>
          <t>INGRESO</t>
        </is>
      </c>
      <c r="H1066" s="18" t="n"/>
      <c r="I1066" s="45" t="n"/>
      <c r="J1066" s="77" t="n"/>
      <c r="K1066" s="18" t="n"/>
    </row>
    <row r="1067">
      <c r="B1067" s="56" t="inlineStr">
        <is>
          <t>00077-FER</t>
        </is>
      </c>
      <c r="C1067" s="18">
        <f>IFERROR(_xlfn.XLOOKUP(ENTRADAS[[#This Row],[CODIGO]],LISTADO[CODIGOS],LISTADO[CATEGORIA]),"NO EXISTE")</f>
        <v/>
      </c>
      <c r="D1067" s="18">
        <f>IFERROR(_xlfn.XLOOKUP(ENTRADAS[[#This Row],[CODIGO]],LISTADO[CODIGOS],LISTADO[PRODUCTOS]),"NO EXISTE")</f>
        <v/>
      </c>
      <c r="E1067" s="19" t="n">
        <v>46101</v>
      </c>
      <c r="F1067" s="18" t="n">
        <v>1</v>
      </c>
      <c r="G1067" s="18" t="inlineStr">
        <is>
          <t>INGRESO</t>
        </is>
      </c>
      <c r="H1067" s="18" t="n"/>
      <c r="I1067" s="45" t="n"/>
      <c r="J1067" s="77" t="n"/>
      <c r="K1067" s="18" t="n"/>
    </row>
    <row r="1068">
      <c r="B1068" s="56" t="inlineStr">
        <is>
          <t>00099-HER</t>
        </is>
      </c>
      <c r="C1068" s="18">
        <f>IFERROR(_xlfn.XLOOKUP(ENTRADAS[[#This Row],[CODIGO]],LISTADO[CODIGOS],LISTADO[CATEGORIA]),"NO EXISTE")</f>
        <v/>
      </c>
      <c r="D1068" s="18">
        <f>IFERROR(_xlfn.XLOOKUP(ENTRADAS[[#This Row],[CODIGO]],LISTADO[CODIGOS],LISTADO[PRODUCTOS]),"NO EXISTE")</f>
        <v/>
      </c>
      <c r="E1068" s="19" t="n">
        <v>46101</v>
      </c>
      <c r="F1068" s="18" t="n">
        <v>1</v>
      </c>
      <c r="G1068" s="18" t="inlineStr">
        <is>
          <t>INGRESO</t>
        </is>
      </c>
      <c r="H1068" s="18" t="n"/>
      <c r="I1068" s="45" t="n"/>
      <c r="J1068" s="77" t="n"/>
      <c r="K1068" s="18" t="n"/>
    </row>
    <row r="1069">
      <c r="B1069" s="56" t="inlineStr">
        <is>
          <t>00001-PLM</t>
        </is>
      </c>
      <c r="C1069" s="18">
        <f>IFERROR(_xlfn.XLOOKUP(ENTRADAS[[#This Row],[CODIGO]],LISTADO[CODIGOS],LISTADO[CATEGORIA]),"NO EXISTE")</f>
        <v/>
      </c>
      <c r="D1069" s="18">
        <f>IFERROR(_xlfn.XLOOKUP(ENTRADAS[[#This Row],[CODIGO]],LISTADO[CODIGOS],LISTADO[PRODUCTOS]),"NO EXISTE")</f>
        <v/>
      </c>
      <c r="E1069" s="19" t="n">
        <v>46101</v>
      </c>
      <c r="F1069" s="18" t="n">
        <v>1</v>
      </c>
      <c r="G1069" s="18" t="inlineStr">
        <is>
          <t>INGRESO</t>
        </is>
      </c>
      <c r="H1069" s="18" t="n"/>
      <c r="I1069" s="45" t="n"/>
      <c r="J1069" s="77" t="n"/>
      <c r="K1069" s="18" t="n"/>
    </row>
    <row r="1070">
      <c r="B1070" s="56" t="inlineStr">
        <is>
          <t>00042-PLM</t>
        </is>
      </c>
      <c r="C1070" s="18">
        <f>IFERROR(_xlfn.XLOOKUP(ENTRADAS[[#This Row],[CODIGO]],LISTADO[CODIGOS],LISTADO[CATEGORIA]),"NO EXISTE")</f>
        <v/>
      </c>
      <c r="D1070" s="18">
        <f>IFERROR(_xlfn.XLOOKUP(ENTRADAS[[#This Row],[CODIGO]],LISTADO[CODIGOS],LISTADO[PRODUCTOS]),"NO EXISTE")</f>
        <v/>
      </c>
      <c r="E1070" s="19" t="n">
        <v>46101</v>
      </c>
      <c r="F1070" s="18" t="n">
        <v>1</v>
      </c>
      <c r="G1070" s="18" t="inlineStr">
        <is>
          <t>INGRESO</t>
        </is>
      </c>
      <c r="H1070" s="18" t="n"/>
      <c r="I1070" s="45" t="n"/>
      <c r="J1070" s="77" t="n"/>
      <c r="K1070" s="18" t="n"/>
    </row>
    <row r="1071">
      <c r="B1071" s="56" t="inlineStr">
        <is>
          <t>00099-HER</t>
        </is>
      </c>
      <c r="C1071" s="18">
        <f>IFERROR(_xlfn.XLOOKUP(ENTRADAS[[#This Row],[CODIGO]],LISTADO[CODIGOS],LISTADO[CATEGORIA]),"NO EXISTE")</f>
        <v/>
      </c>
      <c r="D1071" s="18">
        <f>IFERROR(_xlfn.XLOOKUP(ENTRADAS[[#This Row],[CODIGO]],LISTADO[CODIGOS],LISTADO[PRODUCTOS]),"NO EXISTE")</f>
        <v/>
      </c>
      <c r="E1071" s="19" t="n">
        <v>46101</v>
      </c>
      <c r="F1071" s="18" t="n">
        <v>3</v>
      </c>
      <c r="G1071" s="18" t="inlineStr">
        <is>
          <t>INGRESO</t>
        </is>
      </c>
      <c r="H1071" s="18" t="n"/>
      <c r="I1071" s="45" t="n"/>
      <c r="J1071" s="77" t="n"/>
      <c r="K1071" s="18" t="n"/>
    </row>
    <row r="1072">
      <c r="B1072" s="56" t="inlineStr">
        <is>
          <t>00100-HER</t>
        </is>
      </c>
      <c r="C1072" s="18">
        <f>IFERROR(_xlfn.XLOOKUP(ENTRADAS[[#This Row],[CODIGO]],LISTADO[CODIGOS],LISTADO[CATEGORIA]),"NO EXISTE")</f>
        <v/>
      </c>
      <c r="D1072" s="18">
        <f>IFERROR(_xlfn.XLOOKUP(ENTRADAS[[#This Row],[CODIGO]],LISTADO[CODIGOS],LISTADO[PRODUCTOS]),"NO EXISTE")</f>
        <v/>
      </c>
      <c r="E1072" s="19" t="n">
        <v>46101</v>
      </c>
      <c r="F1072" s="18" t="n">
        <v>3</v>
      </c>
      <c r="G1072" s="18" t="inlineStr">
        <is>
          <t>INGRESO</t>
        </is>
      </c>
      <c r="H1072" s="18" t="n"/>
      <c r="I1072" s="45" t="n"/>
      <c r="J1072" s="77" t="n"/>
      <c r="K1072" s="18" t="n"/>
    </row>
    <row r="1073">
      <c r="B1073" s="18" t="inlineStr">
        <is>
          <t>00101-HER</t>
        </is>
      </c>
      <c r="C1073" s="18">
        <f>IFERROR(_xlfn.XLOOKUP(ENTRADAS[[#This Row],[CODIGO]],LISTADO[CODIGOS],LISTADO[CATEGORIA]),"NO EXISTE")</f>
        <v/>
      </c>
      <c r="D1073" s="18">
        <f>IFERROR(_xlfn.XLOOKUP(ENTRADAS[[#This Row],[CODIGO]],LISTADO[CODIGOS],LISTADO[PRODUCTOS]),"NO EXISTE")</f>
        <v/>
      </c>
      <c r="E1073" s="19" t="n">
        <v>46101</v>
      </c>
      <c r="F1073" s="18" t="n">
        <v>3</v>
      </c>
      <c r="G1073" s="18" t="inlineStr">
        <is>
          <t>INGRESO</t>
        </is>
      </c>
      <c r="H1073" s="18" t="n"/>
      <c r="I1073" s="45" t="n"/>
      <c r="J1073" s="77" t="n"/>
      <c r="K1073" s="18" t="n"/>
    </row>
    <row r="1074">
      <c r="B1074" s="56" t="inlineStr">
        <is>
          <t>00058-FER</t>
        </is>
      </c>
      <c r="C1074" s="18">
        <f>IFERROR(_xlfn.XLOOKUP(ENTRADAS[[#This Row],[CODIGO]],LISTADO[CODIGOS],LISTADO[CATEGORIA]),"NO EXISTE")</f>
        <v/>
      </c>
      <c r="D1074" s="18">
        <f>IFERROR(_xlfn.XLOOKUP(ENTRADAS[[#This Row],[CODIGO]],LISTADO[CODIGOS],LISTADO[PRODUCTOS]),"NO EXISTE")</f>
        <v/>
      </c>
      <c r="E1074" s="19" t="n">
        <v>46101</v>
      </c>
      <c r="F1074" s="18" t="n">
        <v>2</v>
      </c>
      <c r="G1074" s="18" t="inlineStr">
        <is>
          <t>DEVOLUCION</t>
        </is>
      </c>
      <c r="H1074" s="18" t="n"/>
      <c r="I1074" s="45" t="n"/>
      <c r="J1074" s="77" t="n"/>
      <c r="K1074" s="18" t="n"/>
    </row>
    <row r="1075">
      <c r="B1075" s="56" t="inlineStr">
        <is>
          <t>00024-FER</t>
        </is>
      </c>
      <c r="C1075" s="18">
        <f>IFERROR(_xlfn.XLOOKUP(ENTRADAS[[#This Row],[CODIGO]],LISTADO[CODIGOS],LISTADO[CATEGORIA]),"NO EXISTE")</f>
        <v/>
      </c>
      <c r="D1075" s="18">
        <f>IFERROR(_xlfn.XLOOKUP(ENTRADAS[[#This Row],[CODIGO]],LISTADO[CODIGOS],LISTADO[PRODUCTOS]),"NO EXISTE")</f>
        <v/>
      </c>
      <c r="E1075" s="19" t="n">
        <v>46101</v>
      </c>
      <c r="F1075" s="33" t="n">
        <v>1</v>
      </c>
      <c r="G1075" s="18" t="inlineStr">
        <is>
          <t>INGRESO</t>
        </is>
      </c>
      <c r="H1075" s="18" t="n"/>
      <c r="I1075" s="45" t="n"/>
      <c r="J1075" s="77" t="n"/>
      <c r="K1075" s="18" t="n"/>
    </row>
    <row r="1076">
      <c r="B1076" s="18" t="inlineStr">
        <is>
          <t>00163-FER</t>
        </is>
      </c>
      <c r="C1076" s="18">
        <f>IFERROR(_xlfn.XLOOKUP(ENTRADAS[[#This Row],[CODIGO]],LISTADO[CODIGOS],LISTADO[CATEGORIA]),"NO EXISTE")</f>
        <v/>
      </c>
      <c r="D1076" s="18">
        <f>IFERROR(_xlfn.XLOOKUP(ENTRADAS[[#This Row],[CODIGO]],LISTADO[CODIGOS],LISTADO[PRODUCTOS]),"NO EXISTE")</f>
        <v/>
      </c>
      <c r="E1076" s="19" t="n">
        <v>46101</v>
      </c>
      <c r="F1076" s="18" t="n">
        <v>1</v>
      </c>
      <c r="G1076" s="18" t="inlineStr">
        <is>
          <t>INGRESO</t>
        </is>
      </c>
      <c r="H1076" s="18" t="n"/>
      <c r="I1076" s="45" t="n"/>
      <c r="J1076" s="77" t="n"/>
      <c r="K1076" s="18" t="n"/>
    </row>
    <row r="1077">
      <c r="B1077" s="18" t="inlineStr">
        <is>
          <t>00165-FER</t>
        </is>
      </c>
      <c r="C1077" s="18">
        <f>IFERROR(_xlfn.XLOOKUP(ENTRADAS[[#This Row],[CODIGO]],LISTADO[CODIGOS],LISTADO[CATEGORIA]),"NO EXISTE")</f>
        <v/>
      </c>
      <c r="D1077" s="18">
        <f>IFERROR(_xlfn.XLOOKUP(ENTRADAS[[#This Row],[CODIGO]],LISTADO[CODIGOS],LISTADO[PRODUCTOS]),"NO EXISTE")</f>
        <v/>
      </c>
      <c r="E1077" s="19" t="n">
        <v>46101</v>
      </c>
      <c r="F1077" s="18" t="n">
        <v>164</v>
      </c>
      <c r="G1077" s="18" t="inlineStr">
        <is>
          <t>INGRESO</t>
        </is>
      </c>
      <c r="H1077" s="18" t="n"/>
      <c r="I1077" s="45" t="n"/>
      <c r="J1077" s="77" t="n"/>
      <c r="K1077" s="18" t="n"/>
    </row>
    <row r="1078">
      <c r="B1078" s="18" t="inlineStr">
        <is>
          <t>00166-FER</t>
        </is>
      </c>
      <c r="C1078" s="18">
        <f>IFERROR(_xlfn.XLOOKUP(ENTRADAS[[#This Row],[CODIGO]],LISTADO[CODIGOS],LISTADO[CATEGORIA]),"NO EXISTE")</f>
        <v/>
      </c>
      <c r="D1078" s="18">
        <f>IFERROR(_xlfn.XLOOKUP(ENTRADAS[[#This Row],[CODIGO]],LISTADO[CODIGOS],LISTADO[PRODUCTOS]),"NO EXISTE")</f>
        <v/>
      </c>
      <c r="E1078" s="19" t="n">
        <v>46101</v>
      </c>
      <c r="F1078" s="18" t="n">
        <v>150</v>
      </c>
      <c r="G1078" s="18" t="inlineStr">
        <is>
          <t>INGRESO</t>
        </is>
      </c>
      <c r="H1078" s="18" t="n"/>
      <c r="I1078" s="45" t="n"/>
      <c r="J1078" s="77" t="n"/>
      <c r="K1078" s="18" t="n"/>
    </row>
    <row r="1079">
      <c r="B1079" s="18" t="inlineStr">
        <is>
          <t>00167-FER</t>
        </is>
      </c>
      <c r="C1079" s="18">
        <f>IFERROR(_xlfn.XLOOKUP(ENTRADAS[[#This Row],[CODIGO]],LISTADO[CODIGOS],LISTADO[CATEGORIA]),"NO EXISTE")</f>
        <v/>
      </c>
      <c r="D1079" s="18">
        <f>IFERROR(_xlfn.XLOOKUP(ENTRADAS[[#This Row],[CODIGO]],LISTADO[CODIGOS],LISTADO[PRODUCTOS]),"NO EXISTE")</f>
        <v/>
      </c>
      <c r="E1079" s="19" t="n">
        <v>46101</v>
      </c>
      <c r="F1079" s="18" t="n">
        <v>150</v>
      </c>
      <c r="G1079" s="18" t="inlineStr">
        <is>
          <t>INGRESO</t>
        </is>
      </c>
      <c r="H1079" s="18" t="n"/>
      <c r="I1079" s="45" t="n"/>
      <c r="J1079" s="77" t="n"/>
      <c r="K1079" s="18" t="n"/>
    </row>
    <row r="1080">
      <c r="B1080" s="56" t="inlineStr">
        <is>
          <t>00093-FER</t>
        </is>
      </c>
      <c r="C1080" s="18">
        <f>IFERROR(_xlfn.XLOOKUP(ENTRADAS[[#This Row],[CODIGO]],LISTADO[CODIGOS],LISTADO[CATEGORIA]),"NO EXISTE")</f>
        <v/>
      </c>
      <c r="D1080" s="18">
        <f>IFERROR(_xlfn.XLOOKUP(ENTRADAS[[#This Row],[CODIGO]],LISTADO[CODIGOS],LISTADO[PRODUCTOS]),"NO EXISTE")</f>
        <v/>
      </c>
      <c r="E1080" s="19" t="n">
        <v>46102</v>
      </c>
      <c r="F1080" s="18" t="n">
        <v>1</v>
      </c>
      <c r="G1080" s="18" t="inlineStr">
        <is>
          <t>INGRESO</t>
        </is>
      </c>
      <c r="H1080" s="18" t="n"/>
      <c r="I1080" s="45" t="n"/>
      <c r="J1080" s="77" t="n"/>
      <c r="K1080" s="18" t="n"/>
    </row>
    <row r="1081">
      <c r="B1081" s="18" t="inlineStr">
        <is>
          <t>00070-ELE</t>
        </is>
      </c>
      <c r="C1081" s="18">
        <f>IFERROR(_xlfn.XLOOKUP(ENTRADAS[[#This Row],[CODIGO]],LISTADO[CODIGOS],LISTADO[CATEGORIA]),"NO EXISTE")</f>
        <v/>
      </c>
      <c r="D1081" s="18">
        <f>IFERROR(_xlfn.XLOOKUP(ENTRADAS[[#This Row],[CODIGO]],LISTADO[CODIGOS],LISTADO[PRODUCTOS]),"NO EXISTE")</f>
        <v/>
      </c>
      <c r="E1081" s="19" t="n">
        <v>46102</v>
      </c>
      <c r="F1081" s="18" t="n">
        <v>5</v>
      </c>
      <c r="G1081" s="18" t="inlineStr">
        <is>
          <t>DEVOLUCION</t>
        </is>
      </c>
      <c r="H1081" s="18" t="n"/>
      <c r="I1081" s="45" t="n"/>
      <c r="J1081" s="77" t="n"/>
      <c r="K1081" s="18" t="n"/>
    </row>
    <row r="1082">
      <c r="B1082" s="56" t="inlineStr">
        <is>
          <t>00047-ELE</t>
        </is>
      </c>
      <c r="C1082" s="18">
        <f>IFERROR(_xlfn.XLOOKUP(ENTRADAS[[#This Row],[CODIGO]],LISTADO[CODIGOS],LISTADO[CATEGORIA]),"NO EXISTE")</f>
        <v/>
      </c>
      <c r="D1082" s="18">
        <f>IFERROR(_xlfn.XLOOKUP(ENTRADAS[[#This Row],[CODIGO]],LISTADO[CODIGOS],LISTADO[PRODUCTOS]),"NO EXISTE")</f>
        <v/>
      </c>
      <c r="E1082" s="19" t="n">
        <v>46102</v>
      </c>
      <c r="F1082" s="18" t="n">
        <v>33</v>
      </c>
      <c r="G1082" s="18" t="inlineStr">
        <is>
          <t>INGRESO</t>
        </is>
      </c>
      <c r="H1082" s="18" t="n"/>
      <c r="I1082" s="45" t="n"/>
      <c r="J1082" s="77" t="n"/>
      <c r="K1082" s="18" t="n"/>
    </row>
    <row r="1083">
      <c r="B1083" s="18" t="inlineStr">
        <is>
          <t>00101-REF</t>
        </is>
      </c>
      <c r="C1083" s="18">
        <f>IFERROR(_xlfn.XLOOKUP(ENTRADAS[[#This Row],[CODIGO]],LISTADO[CODIGOS],LISTADO[CATEGORIA]),"NO EXISTE")</f>
        <v/>
      </c>
      <c r="D1083" s="18">
        <f>IFERROR(_xlfn.XLOOKUP(ENTRADAS[[#This Row],[CODIGO]],LISTADO[CODIGOS],LISTADO[PRODUCTOS]),"NO EXISTE")</f>
        <v/>
      </c>
      <c r="E1083" s="19" t="n">
        <v>46102</v>
      </c>
      <c r="F1083" s="18" t="n">
        <v>1</v>
      </c>
      <c r="G1083" s="18" t="inlineStr">
        <is>
          <t>INGRESO</t>
        </is>
      </c>
      <c r="H1083" s="18" t="n"/>
      <c r="I1083" s="45" t="n"/>
      <c r="J1083" s="77" t="n"/>
      <c r="K1083" s="18" t="n"/>
    </row>
    <row r="1084">
      <c r="B1084" s="56" t="inlineStr">
        <is>
          <t>00017-REF</t>
        </is>
      </c>
      <c r="C1084" s="18">
        <f>IFERROR(_xlfn.XLOOKUP(ENTRADAS[[#This Row],[CODIGO]],LISTADO[CODIGOS],LISTADO[CATEGORIA]),"NO EXISTE")</f>
        <v/>
      </c>
      <c r="D1084" s="18">
        <f>IFERROR(_xlfn.XLOOKUP(ENTRADAS[[#This Row],[CODIGO]],LISTADO[CODIGOS],LISTADO[PRODUCTOS]),"NO EXISTE")</f>
        <v/>
      </c>
      <c r="E1084" s="19" t="n">
        <v>46102</v>
      </c>
      <c r="F1084" s="18" t="n">
        <v>3</v>
      </c>
      <c r="G1084" s="18" t="inlineStr">
        <is>
          <t>INGRESO</t>
        </is>
      </c>
      <c r="H1084" s="18" t="n"/>
      <c r="I1084" s="45" t="n"/>
      <c r="J1084" s="77" t="n"/>
      <c r="K1084" s="18" t="n"/>
    </row>
    <row r="1085">
      <c r="B1085" s="56" t="inlineStr">
        <is>
          <t>00038-REF</t>
        </is>
      </c>
      <c r="C1085" s="18">
        <f>IFERROR(_xlfn.XLOOKUP(ENTRADAS[[#This Row],[CODIGO]],LISTADO[CODIGOS],LISTADO[CATEGORIA]),"NO EXISTE")</f>
        <v/>
      </c>
      <c r="D1085" s="18">
        <f>IFERROR(_xlfn.XLOOKUP(ENTRADAS[[#This Row],[CODIGO]],LISTADO[CODIGOS],LISTADO[PRODUCTOS]),"NO EXISTE")</f>
        <v/>
      </c>
      <c r="E1085" s="19" t="n">
        <v>46102</v>
      </c>
      <c r="F1085" s="18" t="n">
        <v>1</v>
      </c>
      <c r="G1085" s="18" t="inlineStr">
        <is>
          <t>INGRESO</t>
        </is>
      </c>
      <c r="H1085" s="18" t="n"/>
      <c r="I1085" s="45" t="n"/>
      <c r="J1085" s="77" t="n"/>
      <c r="K1085" s="18" t="n"/>
    </row>
    <row r="1086">
      <c r="B1086" s="18" t="inlineStr">
        <is>
          <t>00014-REF</t>
        </is>
      </c>
      <c r="C1086" s="18">
        <f>IFERROR(_xlfn.XLOOKUP(ENTRADAS[[#This Row],[CODIGO]],LISTADO[CODIGOS],LISTADO[CATEGORIA]),"NO EXISTE")</f>
        <v/>
      </c>
      <c r="D1086" s="18">
        <f>IFERROR(_xlfn.XLOOKUP(ENTRADAS[[#This Row],[CODIGO]],LISTADO[CODIGOS],LISTADO[PRODUCTOS]),"NO EXISTE")</f>
        <v/>
      </c>
      <c r="E1086" s="19" t="n">
        <v>46104</v>
      </c>
      <c r="F1086" s="18" t="n">
        <v>1</v>
      </c>
      <c r="G1086" s="18" t="inlineStr">
        <is>
          <t>INGRESO</t>
        </is>
      </c>
      <c r="H1086" s="18" t="n"/>
      <c r="I1086" s="45" t="n"/>
      <c r="J1086" s="77" t="n"/>
      <c r="K1086" s="18" t="n"/>
    </row>
    <row r="1087">
      <c r="A1087" s="18" t="inlineStr">
        <is>
          <t> </t>
        </is>
      </c>
      <c r="B1087" s="56" t="inlineStr">
        <is>
          <t>00001-REF</t>
        </is>
      </c>
      <c r="C1087" s="18">
        <f>IFERROR(_xlfn.XLOOKUP(ENTRADAS[[#This Row],[CODIGO]],LISTADO[CODIGOS],LISTADO[CATEGORIA]),"NO EXISTE")</f>
        <v/>
      </c>
      <c r="D1087" s="18">
        <f>IFERROR(_xlfn.XLOOKUP(ENTRADAS[[#This Row],[CODIGO]],LISTADO[CODIGOS],LISTADO[PRODUCTOS]),"NO EXISTE")</f>
        <v/>
      </c>
      <c r="E1087" s="19" t="n">
        <v>46104</v>
      </c>
      <c r="F1087" s="18" t="n">
        <v>4</v>
      </c>
      <c r="G1087" s="18" t="inlineStr">
        <is>
          <t>DEVOLUCION</t>
        </is>
      </c>
      <c r="H1087" s="18" t="n"/>
      <c r="I1087" s="45" t="n"/>
      <c r="J1087" s="77" t="n"/>
      <c r="K1087" s="18" t="n"/>
    </row>
    <row r="1088">
      <c r="B1088" s="56" t="inlineStr">
        <is>
          <t>00005-HRR</t>
        </is>
      </c>
      <c r="C1088" s="18">
        <f>IFERROR(_xlfn.XLOOKUP(ENTRADAS[[#This Row],[CODIGO]],LISTADO[CODIGOS],LISTADO[CATEGORIA]),"NO EXISTE")</f>
        <v/>
      </c>
      <c r="D1088" s="18">
        <f>IFERROR(_xlfn.XLOOKUP(ENTRADAS[[#This Row],[CODIGO]],LISTADO[CODIGOS],LISTADO[PRODUCTOS]),"NO EXISTE")</f>
        <v/>
      </c>
      <c r="E1088" s="19" t="n">
        <v>46104</v>
      </c>
      <c r="F1088" s="18" t="n">
        <v>8</v>
      </c>
      <c r="G1088" s="18" t="inlineStr">
        <is>
          <t>DEVOLUCION</t>
        </is>
      </c>
      <c r="H1088" s="18" t="n"/>
      <c r="I1088" s="45" t="n"/>
      <c r="J1088" s="77" t="n"/>
      <c r="K1088" s="18" t="n"/>
    </row>
    <row r="1089">
      <c r="B1089" s="18" t="inlineStr">
        <is>
          <t>00069-ELE</t>
        </is>
      </c>
      <c r="C1089" s="18">
        <f>IFERROR(_xlfn.XLOOKUP(ENTRADAS[[#This Row],[CODIGO]],LISTADO[CODIGOS],LISTADO[CATEGORIA]),"NO EXISTE")</f>
        <v/>
      </c>
      <c r="D1089" s="18">
        <f>IFERROR(_xlfn.XLOOKUP(ENTRADAS[[#This Row],[CODIGO]],LISTADO[CODIGOS],LISTADO[PRODUCTOS]),"NO EXISTE")</f>
        <v/>
      </c>
      <c r="E1089" s="19" t="n">
        <v>46104</v>
      </c>
      <c r="F1089" s="18" t="n">
        <v>1</v>
      </c>
      <c r="G1089" s="18" t="inlineStr">
        <is>
          <t>DEVOLUCION</t>
        </is>
      </c>
      <c r="H1089" s="18" t="n"/>
      <c r="I1089" s="45" t="n"/>
      <c r="J1089" s="77" t="n"/>
      <c r="K1089" s="18" t="n"/>
    </row>
    <row r="1090">
      <c r="B1090" s="18" t="inlineStr">
        <is>
          <t>00051-ILU</t>
        </is>
      </c>
      <c r="C1090" s="18">
        <f>IFERROR(_xlfn.XLOOKUP(ENTRADAS[[#This Row],[CODIGO]],LISTADO[CODIGOS],LISTADO[CATEGORIA]),"NO EXISTE")</f>
        <v/>
      </c>
      <c r="D1090" s="18">
        <f>IFERROR(_xlfn.XLOOKUP(ENTRADAS[[#This Row],[CODIGO]],LISTADO[CODIGOS],LISTADO[PRODUCTOS]),"NO EXISTE")</f>
        <v/>
      </c>
      <c r="E1090" s="19" t="n">
        <v>46104</v>
      </c>
      <c r="F1090" s="18" t="n">
        <v>2</v>
      </c>
      <c r="G1090" s="18" t="inlineStr">
        <is>
          <t>DEVOLUCION</t>
        </is>
      </c>
      <c r="H1090" s="18" t="n"/>
      <c r="I1090" s="45" t="n"/>
      <c r="J1090" s="77" t="n"/>
      <c r="K1090" s="18" t="n"/>
    </row>
    <row r="1091">
      <c r="B1091" s="56" t="inlineStr">
        <is>
          <t>00001-REF</t>
        </is>
      </c>
      <c r="C1091" s="18">
        <f>IFERROR(_xlfn.XLOOKUP(ENTRADAS[[#This Row],[CODIGO]],LISTADO[CODIGOS],LISTADO[CATEGORIA]),"NO EXISTE")</f>
        <v/>
      </c>
      <c r="D1091" s="18">
        <f>IFERROR(_xlfn.XLOOKUP(ENTRADAS[[#This Row],[CODIGO]],LISTADO[CODIGOS],LISTADO[PRODUCTOS]),"NO EXISTE")</f>
        <v/>
      </c>
      <c r="E1091" s="19" t="n">
        <v>46104</v>
      </c>
      <c r="F1091" s="18" t="n">
        <v>1</v>
      </c>
      <c r="G1091" s="18" t="inlineStr">
        <is>
          <t>DEVOLUCION</t>
        </is>
      </c>
      <c r="H1091" s="18" t="n"/>
      <c r="I1091" s="45" t="n"/>
      <c r="J1091" s="77" t="n"/>
      <c r="K1091" s="18" t="n"/>
    </row>
    <row r="1092">
      <c r="B1092" s="56" t="inlineStr">
        <is>
          <t>00027-ILU</t>
        </is>
      </c>
      <c r="C1092" s="18">
        <f>IFERROR(_xlfn.XLOOKUP(ENTRADAS[[#This Row],[CODIGO]],LISTADO[CODIGOS],LISTADO[CATEGORIA]),"NO EXISTE")</f>
        <v/>
      </c>
      <c r="D1092" s="18">
        <f>IFERROR(_xlfn.XLOOKUP(ENTRADAS[[#This Row],[CODIGO]],LISTADO[CODIGOS],LISTADO[PRODUCTOS]),"NO EXISTE")</f>
        <v/>
      </c>
      <c r="E1092" s="19" t="n">
        <v>46104</v>
      </c>
      <c r="F1092" s="18" t="n">
        <v>1</v>
      </c>
      <c r="G1092" s="18" t="inlineStr">
        <is>
          <t>DEVOLUCION</t>
        </is>
      </c>
      <c r="H1092" s="18" t="n"/>
      <c r="I1092" s="45" t="n"/>
      <c r="J1092" s="77" t="n"/>
      <c r="K1092" s="18" t="n"/>
    </row>
    <row r="1093">
      <c r="B1093" s="56" t="inlineStr">
        <is>
          <t>00031-ILU</t>
        </is>
      </c>
      <c r="C1093" s="18">
        <f>IFERROR(_xlfn.XLOOKUP(ENTRADAS[[#This Row],[CODIGO]],LISTADO[CODIGOS],LISTADO[CATEGORIA]),"NO EXISTE")</f>
        <v/>
      </c>
      <c r="D1093" s="18">
        <f>IFERROR(_xlfn.XLOOKUP(ENTRADAS[[#This Row],[CODIGO]],LISTADO[CODIGOS],LISTADO[PRODUCTOS]),"NO EXISTE")</f>
        <v/>
      </c>
      <c r="E1093" s="19" t="n">
        <v>46104</v>
      </c>
      <c r="F1093" s="18" t="n">
        <v>2</v>
      </c>
      <c r="G1093" s="18" t="inlineStr">
        <is>
          <t>DEVOLUCION</t>
        </is>
      </c>
      <c r="H1093" s="18" t="n"/>
      <c r="I1093" s="45" t="n"/>
      <c r="J1093" s="77" t="n"/>
      <c r="K1093" s="18" t="n"/>
    </row>
    <row r="1094">
      <c r="B1094" s="56" t="inlineStr">
        <is>
          <t>00135-FER</t>
        </is>
      </c>
      <c r="C1094" s="18">
        <f>IFERROR(_xlfn.XLOOKUP(ENTRADAS[[#This Row],[CODIGO]],LISTADO[CODIGOS],LISTADO[CATEGORIA]),"NO EXISTE")</f>
        <v/>
      </c>
      <c r="D1094" s="18">
        <f>IFERROR(_xlfn.XLOOKUP(ENTRADAS[[#This Row],[CODIGO]],LISTADO[CODIGOS],LISTADO[PRODUCTOS]),"NO EXISTE")</f>
        <v/>
      </c>
      <c r="E1094" s="19" t="n">
        <v>46104</v>
      </c>
      <c r="F1094" s="18" t="n">
        <v>405</v>
      </c>
      <c r="G1094" s="18" t="inlineStr">
        <is>
          <t>INVENTARIO</t>
        </is>
      </c>
      <c r="H1094" s="18" t="n"/>
      <c r="I1094" s="45" t="n"/>
      <c r="J1094" s="77" t="n"/>
      <c r="K1094" s="18" t="n"/>
    </row>
    <row r="1095">
      <c r="B1095" s="56" t="inlineStr">
        <is>
          <t>00068-FER</t>
        </is>
      </c>
      <c r="C1095" s="18">
        <f>IFERROR(_xlfn.XLOOKUP(ENTRADAS[[#This Row],[CODIGO]],LISTADO[CODIGOS],LISTADO[CATEGORIA]),"NO EXISTE")</f>
        <v/>
      </c>
      <c r="D1095" s="18">
        <f>IFERROR(_xlfn.XLOOKUP(ENTRADAS[[#This Row],[CODIGO]],LISTADO[CODIGOS],LISTADO[PRODUCTOS]),"NO EXISTE")</f>
        <v/>
      </c>
      <c r="E1095" s="19" t="n">
        <v>46104</v>
      </c>
      <c r="F1095" s="18" t="n">
        <v>1</v>
      </c>
      <c r="G1095" s="18" t="inlineStr">
        <is>
          <t>INGRESO</t>
        </is>
      </c>
      <c r="H1095" s="18" t="n"/>
      <c r="I1095" s="45" t="n"/>
      <c r="J1095" s="77" t="n"/>
      <c r="K1095" s="18" t="n"/>
    </row>
    <row r="1096">
      <c r="B1096" s="18" t="inlineStr">
        <is>
          <t>00047-ELC</t>
        </is>
      </c>
      <c r="C1096" s="18">
        <f>IFERROR(_xlfn.XLOOKUP(ENTRADAS[[#This Row],[CODIGO]],LISTADO[CODIGOS],LISTADO[CATEGORIA]),"NO EXISTE")</f>
        <v/>
      </c>
      <c r="D1096" s="18">
        <f>IFERROR(_xlfn.XLOOKUP(ENTRADAS[[#This Row],[CODIGO]],LISTADO[CODIGOS],LISTADO[PRODUCTOS]),"NO EXISTE")</f>
        <v/>
      </c>
      <c r="E1096" s="19" t="n">
        <v>46104</v>
      </c>
      <c r="F1096" s="18" t="n">
        <v>1</v>
      </c>
      <c r="G1096" s="18" t="inlineStr">
        <is>
          <t>INGRESO</t>
        </is>
      </c>
      <c r="H1096" s="18" t="n"/>
      <c r="I1096" s="45" t="n"/>
      <c r="J1096" s="77" t="n"/>
      <c r="K1096" s="18" t="n"/>
    </row>
    <row r="1097">
      <c r="B1097" s="56" t="inlineStr">
        <is>
          <t>00107-HER</t>
        </is>
      </c>
      <c r="C1097" s="18">
        <f>IFERROR(_xlfn.XLOOKUP(ENTRADAS[[#This Row],[CODIGO]],LISTADO[CODIGOS],LISTADO[CATEGORIA]),"NO EXISTE")</f>
        <v/>
      </c>
      <c r="D1097" s="18">
        <f>IFERROR(_xlfn.XLOOKUP(ENTRADAS[[#This Row],[CODIGO]],LISTADO[CODIGOS],LISTADO[PRODUCTOS]),"NO EXISTE")</f>
        <v/>
      </c>
      <c r="E1097" s="19" t="n">
        <v>46104</v>
      </c>
      <c r="F1097" s="18" t="n">
        <v>1</v>
      </c>
      <c r="G1097" s="18" t="inlineStr">
        <is>
          <t>INGRESO</t>
        </is>
      </c>
      <c r="H1097" s="18" t="n"/>
      <c r="I1097" s="45" t="n"/>
      <c r="J1097" s="77" t="n"/>
      <c r="K1097" s="18" t="n"/>
    </row>
    <row r="1098">
      <c r="B1098" s="18" t="inlineStr">
        <is>
          <t>00052-ILU</t>
        </is>
      </c>
      <c r="C1098" s="18">
        <f>IFERROR(_xlfn.XLOOKUP(ENTRADAS[[#This Row],[CODIGO]],LISTADO[CODIGOS],LISTADO[CATEGORIA]),"NO EXISTE")</f>
        <v/>
      </c>
      <c r="D1098" s="18">
        <f>IFERROR(_xlfn.XLOOKUP(ENTRADAS[[#This Row],[CODIGO]],LISTADO[CODIGOS],LISTADO[PRODUCTOS]),"NO EXISTE")</f>
        <v/>
      </c>
      <c r="E1098" s="19" t="n">
        <v>46104</v>
      </c>
      <c r="F1098" s="18" t="n">
        <v>1</v>
      </c>
      <c r="G1098" s="18" t="inlineStr">
        <is>
          <t>INGRESO</t>
        </is>
      </c>
      <c r="H1098" s="18" t="n"/>
      <c r="I1098" s="45" t="n"/>
      <c r="J1098" s="77" t="n"/>
      <c r="K1098" s="18" t="n"/>
    </row>
    <row r="1099">
      <c r="B1099" s="18" t="inlineStr">
        <is>
          <t>00115-HER</t>
        </is>
      </c>
      <c r="C1099" s="18">
        <f>IFERROR(_xlfn.XLOOKUP(ENTRADAS[[#This Row],[CODIGO]],LISTADO[CODIGOS],LISTADO[CATEGORIA]),"NO EXISTE")</f>
        <v/>
      </c>
      <c r="D1099" s="18">
        <f>IFERROR(_xlfn.XLOOKUP(ENTRADAS[[#This Row],[CODIGO]],LISTADO[CODIGOS],LISTADO[PRODUCTOS]),"NO EXISTE")</f>
        <v/>
      </c>
      <c r="E1099" s="19" t="n">
        <v>46104</v>
      </c>
      <c r="F1099" s="18" t="n">
        <v>1</v>
      </c>
      <c r="G1099" s="18" t="inlineStr">
        <is>
          <t>INGRESO</t>
        </is>
      </c>
      <c r="H1099" s="18" t="n"/>
      <c r="I1099" s="45" t="n"/>
      <c r="J1099" s="77" t="n"/>
      <c r="K1099" s="18" t="n"/>
    </row>
    <row r="1100">
      <c r="B1100" s="18" t="inlineStr">
        <is>
          <t>00107-REF</t>
        </is>
      </c>
      <c r="C1100" s="18">
        <f>IFERROR(_xlfn.XLOOKUP(ENTRADAS[[#This Row],[CODIGO]],LISTADO[CODIGOS],LISTADO[CATEGORIA]),"NO EXISTE")</f>
        <v/>
      </c>
      <c r="D1100" s="18">
        <f>IFERROR(_xlfn.XLOOKUP(ENTRADAS[[#This Row],[CODIGO]],LISTADO[CODIGOS],LISTADO[PRODUCTOS]),"NO EXISTE")</f>
        <v/>
      </c>
      <c r="E1100" s="19" t="n">
        <v>46104</v>
      </c>
      <c r="F1100" s="18" t="n">
        <v>2</v>
      </c>
      <c r="G1100" s="18" t="inlineStr">
        <is>
          <t>INGRESO</t>
        </is>
      </c>
      <c r="H1100" s="18" t="n"/>
      <c r="I1100" s="45" t="n"/>
      <c r="J1100" s="77" t="n"/>
      <c r="K1100" s="18" t="n"/>
    </row>
    <row r="1101">
      <c r="B1101" s="18" t="inlineStr">
        <is>
          <t>00106-REF</t>
        </is>
      </c>
      <c r="C1101" s="18">
        <f>IFERROR(_xlfn.XLOOKUP(ENTRADAS[[#This Row],[CODIGO]],LISTADO[CODIGOS],LISTADO[CATEGORIA]),"NO EXISTE")</f>
        <v/>
      </c>
      <c r="D1101" s="18">
        <f>IFERROR(_xlfn.XLOOKUP(ENTRADAS[[#This Row],[CODIGO]],LISTADO[CODIGOS],LISTADO[PRODUCTOS]),"NO EXISTE")</f>
        <v/>
      </c>
      <c r="E1101" s="19" t="n">
        <v>46104</v>
      </c>
      <c r="F1101" s="18" t="n">
        <v>2</v>
      </c>
      <c r="G1101" s="18" t="inlineStr">
        <is>
          <t>INGRESO</t>
        </is>
      </c>
      <c r="H1101" s="18" t="n"/>
      <c r="I1101" s="45" t="n"/>
      <c r="J1101" s="77" t="n"/>
      <c r="K1101" s="18" t="n"/>
    </row>
    <row r="1102">
      <c r="B1102" s="56" t="inlineStr">
        <is>
          <t>00104-HER</t>
        </is>
      </c>
      <c r="C1102" s="18">
        <f>IFERROR(_xlfn.XLOOKUP(ENTRADAS[[#This Row],[CODIGO]],LISTADO[CODIGOS],LISTADO[CATEGORIA]),"NO EXISTE")</f>
        <v/>
      </c>
      <c r="D1102" s="18">
        <f>IFERROR(_xlfn.XLOOKUP(ENTRADAS[[#This Row],[CODIGO]],LISTADO[CODIGOS],LISTADO[PRODUCTOS]),"NO EXISTE")</f>
        <v/>
      </c>
      <c r="E1102" s="19" t="n">
        <v>46105</v>
      </c>
      <c r="F1102" s="18" t="n">
        <v>1</v>
      </c>
      <c r="G1102" s="18" t="inlineStr">
        <is>
          <t>INGRESO</t>
        </is>
      </c>
      <c r="H1102" s="18" t="n"/>
      <c r="I1102" s="45" t="n"/>
      <c r="J1102" s="77" t="n"/>
      <c r="K1102" s="18" t="n"/>
    </row>
    <row r="1103">
      <c r="B1103" s="18" t="inlineStr">
        <is>
          <t>00102-REF</t>
        </is>
      </c>
      <c r="C1103" s="18">
        <f>IFERROR(_xlfn.XLOOKUP(ENTRADAS[[#This Row],[CODIGO]],LISTADO[CODIGOS],LISTADO[CATEGORIA]),"NO EXISTE")</f>
        <v/>
      </c>
      <c r="D1103" s="18">
        <f>IFERROR(_xlfn.XLOOKUP(ENTRADAS[[#This Row],[CODIGO]],LISTADO[CODIGOS],LISTADO[PRODUCTOS]),"NO EXISTE")</f>
        <v/>
      </c>
      <c r="E1103" s="19" t="n">
        <v>46105</v>
      </c>
      <c r="F1103" s="18" t="n">
        <v>1</v>
      </c>
      <c r="G1103" s="18" t="inlineStr">
        <is>
          <t>INGRESO</t>
        </is>
      </c>
      <c r="H1103" s="18" t="n"/>
      <c r="I1103" s="45" t="n"/>
      <c r="J1103" s="77" t="n"/>
      <c r="K1103" s="18" t="n"/>
    </row>
    <row r="1104">
      <c r="B1104" s="56" t="inlineStr">
        <is>
          <t>00017-REF</t>
        </is>
      </c>
      <c r="C1104" s="18">
        <f>IFERROR(_xlfn.XLOOKUP(ENTRADAS[[#This Row],[CODIGO]],LISTADO[CODIGOS],LISTADO[CATEGORIA]),"NO EXISTE")</f>
        <v/>
      </c>
      <c r="D1104" s="18">
        <f>IFERROR(_xlfn.XLOOKUP(ENTRADAS[[#This Row],[CODIGO]],LISTADO[CODIGOS],LISTADO[PRODUCTOS]),"NO EXISTE")</f>
        <v/>
      </c>
      <c r="E1104" s="19" t="n">
        <v>46105</v>
      </c>
      <c r="F1104" s="18" t="n">
        <v>3</v>
      </c>
      <c r="G1104" s="18" t="inlineStr">
        <is>
          <t>INGRESO</t>
        </is>
      </c>
      <c r="H1104" s="18" t="n"/>
      <c r="I1104" s="45" t="n"/>
      <c r="J1104" s="77" t="n"/>
      <c r="K1104" s="18" t="n"/>
    </row>
    <row r="1105">
      <c r="B1105" s="56" t="inlineStr">
        <is>
          <t>00001-REF</t>
        </is>
      </c>
      <c r="C1105" s="18">
        <f>IFERROR(_xlfn.XLOOKUP(ENTRADAS[[#This Row],[CODIGO]],LISTADO[CODIGOS],LISTADO[CATEGORIA]),"NO EXISTE")</f>
        <v/>
      </c>
      <c r="D1105" s="18">
        <f>IFERROR(_xlfn.XLOOKUP(ENTRADAS[[#This Row],[CODIGO]],LISTADO[CODIGOS],LISTADO[PRODUCTOS]),"NO EXISTE")</f>
        <v/>
      </c>
      <c r="E1105" s="19" t="n">
        <v>46105</v>
      </c>
      <c r="F1105" s="18" t="n">
        <v>13</v>
      </c>
      <c r="G1105" s="18" t="inlineStr">
        <is>
          <t>INGRESO</t>
        </is>
      </c>
      <c r="H1105" s="18" t="n"/>
      <c r="I1105" s="45" t="n"/>
      <c r="J1105" s="77" t="n"/>
      <c r="K1105" s="18" t="n"/>
    </row>
    <row r="1106">
      <c r="B1106" s="56" t="inlineStr">
        <is>
          <t>00002-REF</t>
        </is>
      </c>
      <c r="C1106" s="18">
        <f>IFERROR(_xlfn.XLOOKUP(ENTRADAS[[#This Row],[CODIGO]],LISTADO[CODIGOS],LISTADO[CATEGORIA]),"NO EXISTE")</f>
        <v/>
      </c>
      <c r="D1106" s="18">
        <f>IFERROR(_xlfn.XLOOKUP(ENTRADAS[[#This Row],[CODIGO]],LISTADO[CODIGOS],LISTADO[PRODUCTOS]),"NO EXISTE")</f>
        <v/>
      </c>
      <c r="E1106" s="19" t="n">
        <v>46105</v>
      </c>
      <c r="F1106" s="18" t="n">
        <v>5</v>
      </c>
      <c r="G1106" s="18" t="inlineStr">
        <is>
          <t>INGRESO</t>
        </is>
      </c>
      <c r="H1106" s="18" t="n"/>
      <c r="I1106" s="45" t="n"/>
      <c r="J1106" s="77" t="n"/>
      <c r="K1106" s="18" t="n"/>
    </row>
    <row r="1107">
      <c r="B1107" s="56" t="inlineStr">
        <is>
          <t>00036-REF</t>
        </is>
      </c>
      <c r="C1107" s="18">
        <f>IFERROR(_xlfn.XLOOKUP(ENTRADAS[[#This Row],[CODIGO]],LISTADO[CODIGOS],LISTADO[CATEGORIA]),"NO EXISTE")</f>
        <v/>
      </c>
      <c r="D1107" s="18">
        <f>IFERROR(_xlfn.XLOOKUP(ENTRADAS[[#This Row],[CODIGO]],LISTADO[CODIGOS],LISTADO[PRODUCTOS]),"NO EXISTE")</f>
        <v/>
      </c>
      <c r="E1107" s="19" t="n">
        <v>46105</v>
      </c>
      <c r="F1107" s="18" t="n">
        <v>24</v>
      </c>
      <c r="G1107" s="18" t="inlineStr">
        <is>
          <t>INGRESO</t>
        </is>
      </c>
      <c r="H1107" s="18" t="n"/>
      <c r="I1107" s="45" t="n"/>
      <c r="J1107" s="77" t="n"/>
      <c r="K1107" s="18" t="n"/>
    </row>
    <row r="1108">
      <c r="B1108" s="18" t="inlineStr">
        <is>
          <t>00103-REF</t>
        </is>
      </c>
      <c r="C1108" s="18">
        <f>IFERROR(_xlfn.XLOOKUP(ENTRADAS[[#This Row],[CODIGO]],LISTADO[CODIGOS],LISTADO[CATEGORIA]),"NO EXISTE")</f>
        <v/>
      </c>
      <c r="D1108" s="18">
        <f>IFERROR(_xlfn.XLOOKUP(ENTRADAS[[#This Row],[CODIGO]],LISTADO[CODIGOS],LISTADO[PRODUCTOS]),"NO EXISTE")</f>
        <v/>
      </c>
      <c r="E1108" s="19" t="n">
        <v>46105</v>
      </c>
      <c r="F1108" s="18" t="n">
        <v>5</v>
      </c>
      <c r="G1108" s="18" t="inlineStr">
        <is>
          <t>INGRESO</t>
        </is>
      </c>
      <c r="H1108" s="18" t="n"/>
      <c r="I1108" s="45" t="n"/>
      <c r="J1108" s="77" t="n"/>
      <c r="K1108" s="18" t="n"/>
    </row>
    <row r="1109">
      <c r="B1109" s="56" t="inlineStr">
        <is>
          <t>00073-REF</t>
        </is>
      </c>
      <c r="C1109" s="18">
        <f>IFERROR(_xlfn.XLOOKUP(ENTRADAS[[#This Row],[CODIGO]],LISTADO[CODIGOS],LISTADO[CATEGORIA]),"NO EXISTE")</f>
        <v/>
      </c>
      <c r="D1109" s="18">
        <f>IFERROR(_xlfn.XLOOKUP(ENTRADAS[[#This Row],[CODIGO]],LISTADO[CODIGOS],LISTADO[PRODUCTOS]),"NO EXISTE")</f>
        <v/>
      </c>
      <c r="E1109" s="19" t="n">
        <v>46105</v>
      </c>
      <c r="F1109" s="18" t="n">
        <v>15</v>
      </c>
      <c r="G1109" s="18" t="inlineStr">
        <is>
          <t>INGRESO</t>
        </is>
      </c>
      <c r="H1109" s="18" t="n"/>
      <c r="I1109" s="45" t="n"/>
      <c r="J1109" s="77" t="n"/>
      <c r="K1109" s="18" t="n"/>
    </row>
    <row r="1110">
      <c r="B1110" s="56" t="inlineStr">
        <is>
          <t>00090-REF</t>
        </is>
      </c>
      <c r="C1110" s="18">
        <f>IFERROR(_xlfn.XLOOKUP(ENTRADAS[[#This Row],[CODIGO]],LISTADO[CODIGOS],LISTADO[CATEGORIA]),"NO EXISTE")</f>
        <v/>
      </c>
      <c r="D1110" s="18">
        <f>IFERROR(_xlfn.XLOOKUP(ENTRADAS[[#This Row],[CODIGO]],LISTADO[CODIGOS],LISTADO[PRODUCTOS]),"NO EXISTE")</f>
        <v/>
      </c>
      <c r="E1110" s="19" t="n">
        <v>46105</v>
      </c>
      <c r="F1110" s="18" t="n">
        <v>15</v>
      </c>
      <c r="G1110" s="18" t="inlineStr">
        <is>
          <t>INGRESO</t>
        </is>
      </c>
      <c r="H1110" s="18" t="n"/>
      <c r="I1110" s="45" t="n"/>
      <c r="J1110" s="77" t="n"/>
      <c r="K1110" s="18" t="n"/>
    </row>
    <row r="1111">
      <c r="B1111" s="56" t="inlineStr">
        <is>
          <t>00045-REF</t>
        </is>
      </c>
      <c r="C1111" s="18">
        <f>IFERROR(_xlfn.XLOOKUP(ENTRADAS[[#This Row],[CODIGO]],LISTADO[CODIGOS],LISTADO[CATEGORIA]),"NO EXISTE")</f>
        <v/>
      </c>
      <c r="D1111" s="18">
        <f>IFERROR(_xlfn.XLOOKUP(ENTRADAS[[#This Row],[CODIGO]],LISTADO[CODIGOS],LISTADO[PRODUCTOS]),"NO EXISTE")</f>
        <v/>
      </c>
      <c r="E1111" s="19" t="n">
        <v>46105</v>
      </c>
      <c r="F1111" s="18" t="n">
        <v>4</v>
      </c>
      <c r="G1111" s="18" t="inlineStr">
        <is>
          <t>INGRESO</t>
        </is>
      </c>
      <c r="H1111" s="18" t="n"/>
      <c r="I1111" s="45" t="n"/>
      <c r="J1111" s="77" t="n"/>
      <c r="K1111" s="18" t="n"/>
    </row>
    <row r="1112">
      <c r="B1112" s="56" t="inlineStr">
        <is>
          <t>00061-REF</t>
        </is>
      </c>
      <c r="C1112" s="18">
        <f>IFERROR(_xlfn.XLOOKUP(ENTRADAS[[#This Row],[CODIGO]],LISTADO[CODIGOS],LISTADO[CATEGORIA]),"NO EXISTE")</f>
        <v/>
      </c>
      <c r="D1112" s="18">
        <f>IFERROR(_xlfn.XLOOKUP(ENTRADAS[[#This Row],[CODIGO]],LISTADO[CODIGOS],LISTADO[PRODUCTOS]),"NO EXISTE")</f>
        <v/>
      </c>
      <c r="E1112" s="19" t="n">
        <v>46105</v>
      </c>
      <c r="F1112" s="18" t="n">
        <v>2</v>
      </c>
      <c r="G1112" s="18" t="inlineStr">
        <is>
          <t>INGRESO</t>
        </is>
      </c>
      <c r="H1112" s="18" t="n"/>
      <c r="I1112" s="45" t="n"/>
      <c r="J1112" s="77" t="n"/>
      <c r="K1112" s="18" t="n"/>
    </row>
    <row r="1113">
      <c r="B1113" s="18" t="inlineStr">
        <is>
          <t>00100-REF</t>
        </is>
      </c>
      <c r="C1113" s="18">
        <f>IFERROR(_xlfn.XLOOKUP(ENTRADAS[[#This Row],[CODIGO]],LISTADO[CODIGOS],LISTADO[CATEGORIA]),"NO EXISTE")</f>
        <v/>
      </c>
      <c r="D1113" s="18">
        <f>IFERROR(_xlfn.XLOOKUP(ENTRADAS[[#This Row],[CODIGO]],LISTADO[CODIGOS],LISTADO[PRODUCTOS]),"NO EXISTE")</f>
        <v/>
      </c>
      <c r="E1113" s="19" t="n">
        <v>46105</v>
      </c>
      <c r="F1113" s="18" t="n">
        <v>1</v>
      </c>
      <c r="G1113" s="18" t="inlineStr">
        <is>
          <t>INGRESO</t>
        </is>
      </c>
      <c r="H1113" s="18" t="n"/>
      <c r="I1113" s="45" t="n"/>
      <c r="J1113" s="77" t="n"/>
      <c r="K1113" s="18" t="n"/>
    </row>
    <row r="1114">
      <c r="B1114" s="18" t="inlineStr">
        <is>
          <t>00111-HER</t>
        </is>
      </c>
      <c r="C1114" s="18">
        <f>IFERROR(_xlfn.XLOOKUP(ENTRADAS[[#This Row],[CODIGO]],LISTADO[CODIGOS],LISTADO[CATEGORIA]),"NO EXISTE")</f>
        <v/>
      </c>
      <c r="D1114" s="18">
        <f>IFERROR(_xlfn.XLOOKUP(ENTRADAS[[#This Row],[CODIGO]],LISTADO[CODIGOS],LISTADO[PRODUCTOS]),"NO EXISTE")</f>
        <v/>
      </c>
      <c r="E1114" s="19" t="n">
        <v>46105</v>
      </c>
      <c r="F1114" s="18" t="n">
        <v>1</v>
      </c>
      <c r="G1114" s="18" t="inlineStr">
        <is>
          <t>INGRESO</t>
        </is>
      </c>
      <c r="H1114" s="18" t="n"/>
      <c r="I1114" s="45" t="n"/>
      <c r="J1114" s="77" t="n"/>
      <c r="K1114" s="18" t="n"/>
    </row>
    <row r="1115">
      <c r="B1115" s="56" t="inlineStr">
        <is>
          <t>00085-REF</t>
        </is>
      </c>
      <c r="C1115" s="18">
        <f>IFERROR(_xlfn.XLOOKUP(ENTRADAS[[#This Row],[CODIGO]],LISTADO[CODIGOS],LISTADO[CATEGORIA]),"NO EXISTE")</f>
        <v/>
      </c>
      <c r="D1115" s="18">
        <f>IFERROR(_xlfn.XLOOKUP(ENTRADAS[[#This Row],[CODIGO]],LISTADO[CODIGOS],LISTADO[PRODUCTOS]),"NO EXISTE")</f>
        <v/>
      </c>
      <c r="E1115" s="19" t="n">
        <v>46105</v>
      </c>
      <c r="F1115" s="18" t="n">
        <v>1</v>
      </c>
      <c r="G1115" s="18" t="inlineStr">
        <is>
          <t>INGRESO</t>
        </is>
      </c>
      <c r="H1115" s="18" t="n"/>
      <c r="I1115" s="45" t="n"/>
      <c r="J1115" s="77" t="n"/>
      <c r="K1115" s="18" t="n"/>
    </row>
    <row r="1116">
      <c r="B1116" s="18" t="inlineStr">
        <is>
          <t>00112-HER</t>
        </is>
      </c>
      <c r="C1116" s="18">
        <f>IFERROR(_xlfn.XLOOKUP(ENTRADAS[[#This Row],[CODIGO]],LISTADO[CODIGOS],LISTADO[CATEGORIA]),"NO EXISTE")</f>
        <v/>
      </c>
      <c r="D1116" s="18">
        <f>IFERROR(_xlfn.XLOOKUP(ENTRADAS[[#This Row],[CODIGO]],LISTADO[CODIGOS],LISTADO[PRODUCTOS]),"NO EXISTE")</f>
        <v/>
      </c>
      <c r="E1116" s="19" t="n">
        <v>46105</v>
      </c>
      <c r="F1116" s="18" t="n">
        <v>1</v>
      </c>
      <c r="G1116" s="18" t="inlineStr">
        <is>
          <t>INGRESO</t>
        </is>
      </c>
      <c r="H1116" s="18" t="n"/>
      <c r="I1116" s="45" t="n"/>
      <c r="J1116" s="77" t="n"/>
      <c r="K1116" s="18" t="n"/>
    </row>
    <row r="1117">
      <c r="B1117" s="18" t="inlineStr">
        <is>
          <t>00101-REF</t>
        </is>
      </c>
      <c r="C1117" s="18">
        <f>IFERROR(_xlfn.XLOOKUP(ENTRADAS[[#This Row],[CODIGO]],LISTADO[CODIGOS],LISTADO[CATEGORIA]),"NO EXISTE")</f>
        <v/>
      </c>
      <c r="D1117" s="18">
        <f>IFERROR(_xlfn.XLOOKUP(ENTRADAS[[#This Row],[CODIGO]],LISTADO[CODIGOS],LISTADO[PRODUCTOS]),"NO EXISTE")</f>
        <v/>
      </c>
      <c r="E1117" s="19" t="n">
        <v>46105</v>
      </c>
      <c r="F1117" s="18" t="n">
        <v>1</v>
      </c>
      <c r="G1117" s="18" t="inlineStr">
        <is>
          <t>INGRESO</t>
        </is>
      </c>
      <c r="H1117" s="18" t="n"/>
      <c r="I1117" s="45" t="n"/>
      <c r="J1117" s="77" t="n"/>
      <c r="K1117" s="18" t="n"/>
    </row>
    <row r="1118">
      <c r="B1118" s="56" t="inlineStr">
        <is>
          <t>00017-REF</t>
        </is>
      </c>
      <c r="C1118" s="18">
        <f>IFERROR(_xlfn.XLOOKUP(ENTRADAS[[#This Row],[CODIGO]],LISTADO[CODIGOS],LISTADO[CATEGORIA]),"NO EXISTE")</f>
        <v/>
      </c>
      <c r="D1118" s="18">
        <f>IFERROR(_xlfn.XLOOKUP(ENTRADAS[[#This Row],[CODIGO]],LISTADO[CODIGOS],LISTADO[PRODUCTOS]),"NO EXISTE")</f>
        <v/>
      </c>
      <c r="E1118" s="19" t="n">
        <v>46105</v>
      </c>
      <c r="F1118" s="18" t="n">
        <v>3</v>
      </c>
      <c r="G1118" s="18" t="inlineStr">
        <is>
          <t>INGRESO</t>
        </is>
      </c>
      <c r="H1118" s="18" t="n"/>
      <c r="I1118" s="45" t="n"/>
      <c r="J1118" s="77" t="n"/>
      <c r="K1118" s="18" t="n"/>
    </row>
    <row r="1119">
      <c r="B1119" s="18" t="inlineStr">
        <is>
          <t>00104-REF</t>
        </is>
      </c>
      <c r="C1119" s="18">
        <f>IFERROR(_xlfn.XLOOKUP(ENTRADAS[[#This Row],[CODIGO]],LISTADO[CODIGOS],LISTADO[CATEGORIA]),"NO EXISTE")</f>
        <v/>
      </c>
      <c r="D1119" s="18">
        <f>IFERROR(_xlfn.XLOOKUP(ENTRADAS[[#This Row],[CODIGO]],LISTADO[CODIGOS],LISTADO[PRODUCTOS]),"NO EXISTE")</f>
        <v/>
      </c>
      <c r="E1119" s="19" t="n">
        <v>46105</v>
      </c>
      <c r="F1119" s="18" t="n">
        <v>1</v>
      </c>
      <c r="G1119" s="18" t="inlineStr">
        <is>
          <t>INGRESO</t>
        </is>
      </c>
      <c r="H1119" s="18" t="n"/>
      <c r="I1119" s="45" t="n"/>
      <c r="J1119" s="77" t="n"/>
      <c r="K1119" s="18" t="n"/>
    </row>
    <row r="1120">
      <c r="B1120" s="18" t="inlineStr">
        <is>
          <t>00039-HRR</t>
        </is>
      </c>
      <c r="C1120" s="18">
        <f>IFERROR(_xlfn.XLOOKUP(ENTRADAS[[#This Row],[CODIGO]],LISTADO[CODIGOS],LISTADO[CATEGORIA]),"NO EXISTE")</f>
        <v/>
      </c>
      <c r="D1120" s="18">
        <f>IFERROR(_xlfn.XLOOKUP(ENTRADAS[[#This Row],[CODIGO]],LISTADO[CODIGOS],LISTADO[PRODUCTOS]),"NO EXISTE")</f>
        <v/>
      </c>
      <c r="E1120" s="19" t="n">
        <v>46105</v>
      </c>
      <c r="F1120" s="18" t="n">
        <v>10</v>
      </c>
      <c r="G1120" s="18" t="inlineStr">
        <is>
          <t>INGRESO</t>
        </is>
      </c>
      <c r="H1120" s="18" t="n"/>
      <c r="I1120" s="45" t="n"/>
      <c r="J1120" s="77" t="n"/>
      <c r="K1120" s="18" t="n"/>
    </row>
    <row r="1121">
      <c r="B1121" s="18" t="inlineStr">
        <is>
          <t>00040-HRR</t>
        </is>
      </c>
      <c r="C1121" s="18">
        <f>IFERROR(_xlfn.XLOOKUP(ENTRADAS[[#This Row],[CODIGO]],LISTADO[CODIGOS],LISTADO[CATEGORIA]),"NO EXISTE")</f>
        <v/>
      </c>
      <c r="D1121" s="18">
        <f>IFERROR(_xlfn.XLOOKUP(ENTRADAS[[#This Row],[CODIGO]],LISTADO[CODIGOS],LISTADO[PRODUCTOS]),"NO EXISTE")</f>
        <v/>
      </c>
      <c r="E1121" s="19" t="n">
        <v>46105</v>
      </c>
      <c r="F1121" s="18" t="n">
        <v>8</v>
      </c>
      <c r="G1121" s="18" t="inlineStr">
        <is>
          <t>INGRESO</t>
        </is>
      </c>
      <c r="H1121" s="18" t="n"/>
      <c r="I1121" s="45" t="n"/>
      <c r="J1121" s="77" t="n"/>
      <c r="K1121" s="18" t="n"/>
    </row>
    <row r="1122">
      <c r="B1122" s="56" t="inlineStr">
        <is>
          <t>00056-ELE</t>
        </is>
      </c>
      <c r="C1122" s="18">
        <f>IFERROR(_xlfn.XLOOKUP(ENTRADAS[[#This Row],[CODIGO]],LISTADO[CODIGOS],LISTADO[CATEGORIA]),"NO EXISTE")</f>
        <v/>
      </c>
      <c r="D1122" s="18">
        <f>IFERROR(_xlfn.XLOOKUP(ENTRADAS[[#This Row],[CODIGO]],LISTADO[CODIGOS],LISTADO[PRODUCTOS]),"NO EXISTE")</f>
        <v/>
      </c>
      <c r="E1122" s="19" t="n">
        <v>46105</v>
      </c>
      <c r="F1122" s="18" t="n">
        <v>16</v>
      </c>
      <c r="G1122" s="18" t="inlineStr">
        <is>
          <t>INGRESO</t>
        </is>
      </c>
      <c r="H1122" s="18" t="n"/>
      <c r="I1122" s="45" t="n"/>
      <c r="J1122" s="77" t="n"/>
      <c r="K1122" s="18" t="n"/>
    </row>
    <row r="1123">
      <c r="B1123" s="18" t="inlineStr">
        <is>
          <t>00105-REF</t>
        </is>
      </c>
      <c r="C1123" s="18">
        <f>IFERROR(_xlfn.XLOOKUP(ENTRADAS[[#This Row],[CODIGO]],LISTADO[CODIGOS],LISTADO[CATEGORIA]),"NO EXISTE")</f>
        <v/>
      </c>
      <c r="D1123" s="18">
        <f>IFERROR(_xlfn.XLOOKUP(ENTRADAS[[#This Row],[CODIGO]],LISTADO[CODIGOS],LISTADO[PRODUCTOS]),"NO EXISTE")</f>
        <v/>
      </c>
      <c r="E1123" s="19" t="n">
        <v>46105</v>
      </c>
      <c r="F1123" s="18" t="n">
        <v>5</v>
      </c>
      <c r="G1123" s="18" t="inlineStr">
        <is>
          <t>INGRESO</t>
        </is>
      </c>
      <c r="H1123" s="18" t="n"/>
      <c r="I1123" s="45" t="n"/>
      <c r="J1123" s="77" t="n"/>
      <c r="K1123" s="18" t="n"/>
    </row>
    <row r="1124">
      <c r="B1124" s="18" t="inlineStr">
        <is>
          <t>00015-AUT</t>
        </is>
      </c>
      <c r="C1124" s="18">
        <f>IFERROR(_xlfn.XLOOKUP(ENTRADAS[[#This Row],[CODIGO]],LISTADO[CODIGOS],LISTADO[CATEGORIA]),"NO EXISTE")</f>
        <v/>
      </c>
      <c r="D1124" s="18">
        <f>IFERROR(_xlfn.XLOOKUP(ENTRADAS[[#This Row],[CODIGO]],LISTADO[CODIGOS],LISTADO[PRODUCTOS]),"NO EXISTE")</f>
        <v/>
      </c>
      <c r="E1124" s="19" t="n">
        <v>46105</v>
      </c>
      <c r="F1124" s="18" t="n">
        <v>1.5</v>
      </c>
      <c r="G1124" s="18" t="inlineStr">
        <is>
          <t>INGRESO</t>
        </is>
      </c>
      <c r="H1124" s="18" t="n"/>
      <c r="I1124" s="45" t="n"/>
      <c r="J1124" s="77" t="n"/>
      <c r="K1124" s="18" t="n"/>
    </row>
    <row r="1125">
      <c r="B1125" s="18" t="inlineStr">
        <is>
          <t>00171-FER</t>
        </is>
      </c>
      <c r="C1125" s="18">
        <f>IFERROR(_xlfn.XLOOKUP(ENTRADAS[[#This Row],[CODIGO]],LISTADO[CODIGOS],LISTADO[CATEGORIA]),"NO EXISTE")</f>
        <v/>
      </c>
      <c r="D1125" s="18">
        <f>IFERROR(_xlfn.XLOOKUP(ENTRADAS[[#This Row],[CODIGO]],LISTADO[CODIGOS],LISTADO[PRODUCTOS]),"NO EXISTE")</f>
        <v/>
      </c>
      <c r="E1125" s="19" t="n">
        <v>46105</v>
      </c>
      <c r="F1125" s="18" t="n">
        <v>1</v>
      </c>
      <c r="G1125" s="18" t="inlineStr">
        <is>
          <t>INGRESO</t>
        </is>
      </c>
      <c r="H1125" s="18" t="n"/>
      <c r="I1125" s="45" t="n"/>
      <c r="J1125" s="77" t="n"/>
      <c r="K1125" s="18" t="n"/>
    </row>
    <row r="1126">
      <c r="B1126" s="18" t="inlineStr">
        <is>
          <t>00113-HER</t>
        </is>
      </c>
      <c r="C1126" s="18">
        <f>IFERROR(_xlfn.XLOOKUP(ENTRADAS[[#This Row],[CODIGO]],LISTADO[CODIGOS],LISTADO[CATEGORIA]),"NO EXISTE")</f>
        <v/>
      </c>
      <c r="D1126" s="18">
        <f>IFERROR(_xlfn.XLOOKUP(ENTRADAS[[#This Row],[CODIGO]],LISTADO[CODIGOS],LISTADO[PRODUCTOS]),"NO EXISTE")</f>
        <v/>
      </c>
      <c r="E1126" s="19" t="n">
        <v>46105</v>
      </c>
      <c r="F1126" s="18" t="n">
        <v>2</v>
      </c>
      <c r="G1126" s="18" t="inlineStr">
        <is>
          <t>INGRESO</t>
        </is>
      </c>
      <c r="H1126" s="18" t="n"/>
      <c r="I1126" s="45" t="n"/>
      <c r="J1126" s="77" t="n"/>
      <c r="K1126" s="18" t="n"/>
    </row>
    <row r="1127">
      <c r="B1127" s="56" t="inlineStr">
        <is>
          <t>00079-FER</t>
        </is>
      </c>
      <c r="C1127" s="18">
        <f>IFERROR(_xlfn.XLOOKUP(ENTRADAS[[#This Row],[CODIGO]],LISTADO[CODIGOS],LISTADO[CATEGORIA]),"NO EXISTE")</f>
        <v/>
      </c>
      <c r="D1127" s="18">
        <f>IFERROR(_xlfn.XLOOKUP(ENTRADAS[[#This Row],[CODIGO]],LISTADO[CODIGOS],LISTADO[PRODUCTOS]),"NO EXISTE")</f>
        <v/>
      </c>
      <c r="E1127" s="19" t="n">
        <v>46105</v>
      </c>
      <c r="F1127" s="18" t="n">
        <v>1</v>
      </c>
      <c r="G1127" s="18" t="inlineStr">
        <is>
          <t>INGRESO</t>
        </is>
      </c>
      <c r="H1127" s="18" t="n"/>
      <c r="I1127" s="45" t="n"/>
      <c r="J1127" s="77" t="n"/>
      <c r="K1127" s="18" t="n"/>
    </row>
    <row r="1128">
      <c r="B1128" s="18" t="inlineStr">
        <is>
          <t>00054-PLM</t>
        </is>
      </c>
      <c r="C1128" s="18">
        <f>IFERROR(_xlfn.XLOOKUP(ENTRADAS[[#This Row],[CODIGO]],LISTADO[CODIGOS],LISTADO[CATEGORIA]),"NO EXISTE")</f>
        <v/>
      </c>
      <c r="D1128" s="18">
        <f>IFERROR(_xlfn.XLOOKUP(ENTRADAS[[#This Row],[CODIGO]],LISTADO[CODIGOS],LISTADO[PRODUCTOS]),"NO EXISTE")</f>
        <v/>
      </c>
      <c r="E1128" s="19" t="n">
        <v>46105</v>
      </c>
      <c r="F1128" s="18" t="n">
        <v>1</v>
      </c>
      <c r="G1128" s="18" t="inlineStr">
        <is>
          <t>INGRESO</t>
        </is>
      </c>
      <c r="H1128" s="18" t="n"/>
      <c r="I1128" s="45" t="n"/>
      <c r="J1128" s="77" t="n"/>
      <c r="K1128" s="18" t="n"/>
    </row>
    <row r="1129">
      <c r="B1129" s="56" t="inlineStr">
        <is>
          <t>00002-MSC</t>
        </is>
      </c>
      <c r="C1129" s="18">
        <f>IFERROR(_xlfn.XLOOKUP(ENTRADAS[[#This Row],[CODIGO]],LISTADO[CODIGOS],LISTADO[CATEGORIA]),"NO EXISTE")</f>
        <v/>
      </c>
      <c r="D1129" s="18">
        <f>IFERROR(_xlfn.XLOOKUP(ENTRADAS[[#This Row],[CODIGO]],LISTADO[CODIGOS],LISTADO[PRODUCTOS]),"NO EXISTE")</f>
        <v/>
      </c>
      <c r="E1129" s="19" t="n">
        <v>46105</v>
      </c>
      <c r="F1129" s="18" t="n">
        <v>1</v>
      </c>
      <c r="G1129" s="18" t="inlineStr">
        <is>
          <t>INGRESO</t>
        </is>
      </c>
      <c r="H1129" s="18" t="n"/>
      <c r="I1129" s="45" t="n"/>
      <c r="J1129" s="77" t="n"/>
      <c r="K1129" s="18" t="n"/>
    </row>
    <row r="1130">
      <c r="B1130" s="18" t="inlineStr">
        <is>
          <t>00114-HER</t>
        </is>
      </c>
      <c r="C1130" s="18">
        <f>IFERROR(_xlfn.XLOOKUP(ENTRADAS[[#This Row],[CODIGO]],LISTADO[CODIGOS],LISTADO[CATEGORIA]),"NO EXISTE")</f>
        <v/>
      </c>
      <c r="D1130" s="18">
        <f>IFERROR(_xlfn.XLOOKUP(ENTRADAS[[#This Row],[CODIGO]],LISTADO[CODIGOS],LISTADO[PRODUCTOS]),"NO EXISTE")</f>
        <v/>
      </c>
      <c r="E1130" s="19" t="n">
        <v>46105</v>
      </c>
      <c r="F1130" s="18" t="n">
        <v>15</v>
      </c>
      <c r="G1130" s="18" t="inlineStr">
        <is>
          <t>INGRESO</t>
        </is>
      </c>
      <c r="H1130" s="18" t="n"/>
      <c r="I1130" s="45" t="n"/>
      <c r="J1130" s="77" t="n"/>
      <c r="K1130" s="18" t="n"/>
    </row>
    <row r="1131">
      <c r="B1131" s="18" t="inlineStr">
        <is>
          <t>00172-FER</t>
        </is>
      </c>
      <c r="C1131" s="18">
        <f>IFERROR(_xlfn.XLOOKUP(ENTRADAS[[#This Row],[CODIGO]],LISTADO[CODIGOS],LISTADO[CATEGORIA]),"NO EXISTE")</f>
        <v/>
      </c>
      <c r="D1131" s="18">
        <f>IFERROR(_xlfn.XLOOKUP(ENTRADAS[[#This Row],[CODIGO]],LISTADO[CODIGOS],LISTADO[PRODUCTOS]),"NO EXISTE")</f>
        <v/>
      </c>
      <c r="E1131" s="19" t="n">
        <v>46105</v>
      </c>
      <c r="F1131" s="18" t="n">
        <v>1</v>
      </c>
      <c r="G1131" s="18" t="inlineStr">
        <is>
          <t>INGRESO</t>
        </is>
      </c>
      <c r="H1131" s="18" t="n"/>
      <c r="I1131" s="45" t="n"/>
      <c r="J1131" s="77" t="n"/>
      <c r="K1131" s="18" t="n"/>
    </row>
    <row r="1132">
      <c r="B1132" s="56" t="inlineStr">
        <is>
          <t>00047-ELE</t>
        </is>
      </c>
      <c r="C1132" s="18">
        <f>IFERROR(_xlfn.XLOOKUP(ENTRADAS[[#This Row],[CODIGO]],LISTADO[CODIGOS],LISTADO[CATEGORIA]),"NO EXISTE")</f>
        <v/>
      </c>
      <c r="D1132" s="18">
        <f>IFERROR(_xlfn.XLOOKUP(ENTRADAS[[#This Row],[CODIGO]],LISTADO[CODIGOS],LISTADO[PRODUCTOS]),"NO EXISTE")</f>
        <v/>
      </c>
      <c r="E1132" s="19" t="n">
        <v>46105</v>
      </c>
      <c r="F1132" s="18" t="n">
        <v>10</v>
      </c>
      <c r="G1132" s="18" t="inlineStr">
        <is>
          <t>INGRESO</t>
        </is>
      </c>
      <c r="H1132" s="18" t="n"/>
      <c r="I1132" s="45" t="n"/>
      <c r="J1132" s="77" t="n"/>
      <c r="K1132" s="18" t="n"/>
    </row>
    <row r="1133">
      <c r="B1133" s="56" t="inlineStr">
        <is>
          <t>00019-ILU</t>
        </is>
      </c>
      <c r="C1133" s="18">
        <f>IFERROR(_xlfn.XLOOKUP(ENTRADAS[[#This Row],[CODIGO]],LISTADO[CODIGOS],LISTADO[CATEGORIA]),"NO EXISTE")</f>
        <v/>
      </c>
      <c r="D1133" s="18">
        <f>IFERROR(_xlfn.XLOOKUP(ENTRADAS[[#This Row],[CODIGO]],LISTADO[CODIGOS],LISTADO[PRODUCTOS]),"NO EXISTE")</f>
        <v/>
      </c>
      <c r="E1133" s="19" t="n">
        <v>46105</v>
      </c>
      <c r="F1133" s="18" t="n">
        <v>5</v>
      </c>
      <c r="G1133" s="18" t="inlineStr">
        <is>
          <t>INGRESO</t>
        </is>
      </c>
      <c r="H1133" s="18" t="n"/>
      <c r="I1133" s="45" t="n"/>
      <c r="J1133" s="77" t="n"/>
      <c r="K1133" s="18" t="n"/>
    </row>
    <row r="1134">
      <c r="B1134" s="18" t="inlineStr">
        <is>
          <t>00075-ELE</t>
        </is>
      </c>
      <c r="C1134" s="18">
        <f>IFERROR(_xlfn.XLOOKUP(ENTRADAS[[#This Row],[CODIGO]],LISTADO[CODIGOS],LISTADO[CATEGORIA]),"NO EXISTE")</f>
        <v/>
      </c>
      <c r="D1134" s="18">
        <f>IFERROR(_xlfn.XLOOKUP(ENTRADAS[[#This Row],[CODIGO]],LISTADO[CODIGOS],LISTADO[PRODUCTOS]),"NO EXISTE")</f>
        <v/>
      </c>
      <c r="E1134" s="19" t="n">
        <v>46105</v>
      </c>
      <c r="F1134" s="18" t="n">
        <v>400</v>
      </c>
      <c r="G1134" s="18" t="inlineStr">
        <is>
          <t>INGRESO</t>
        </is>
      </c>
      <c r="H1134" s="18" t="n"/>
      <c r="I1134" s="45" t="n"/>
      <c r="J1134" s="77" t="n"/>
      <c r="K1134" s="18" t="n"/>
    </row>
    <row r="1135">
      <c r="B1135" s="56" t="inlineStr">
        <is>
          <t>00021-ELE</t>
        </is>
      </c>
      <c r="C1135" s="18">
        <f>IFERROR(_xlfn.XLOOKUP(ENTRADAS[[#This Row],[CODIGO]],LISTADO[CODIGOS],LISTADO[CATEGORIA]),"NO EXISTE")</f>
        <v/>
      </c>
      <c r="D1135" s="18">
        <f>IFERROR(_xlfn.XLOOKUP(ENTRADAS[[#This Row],[CODIGO]],LISTADO[CODIGOS],LISTADO[PRODUCTOS]),"NO EXISTE")</f>
        <v/>
      </c>
      <c r="E1135" s="19" t="n">
        <v>46105</v>
      </c>
      <c r="F1135" s="18" t="n">
        <v>100</v>
      </c>
      <c r="G1135" s="18" t="inlineStr">
        <is>
          <t>INGRESO</t>
        </is>
      </c>
      <c r="H1135" s="18" t="n"/>
      <c r="I1135" s="45" t="n"/>
      <c r="J1135" s="77" t="n"/>
      <c r="K1135" s="18" t="n"/>
    </row>
    <row r="1136">
      <c r="B1136" s="18" t="inlineStr">
        <is>
          <t>00020-LIM</t>
        </is>
      </c>
      <c r="C1136" s="18">
        <f>IFERROR(_xlfn.XLOOKUP(ENTRADAS[[#This Row],[CODIGO]],LISTADO[CODIGOS],LISTADO[CATEGORIA]),"NO EXISTE")</f>
        <v/>
      </c>
      <c r="D1136" s="18">
        <f>IFERROR(_xlfn.XLOOKUP(ENTRADAS[[#This Row],[CODIGO]],LISTADO[CODIGOS],LISTADO[PRODUCTOS]),"NO EXISTE")</f>
        <v/>
      </c>
      <c r="E1136" s="19" t="n">
        <v>46105</v>
      </c>
      <c r="F1136" s="18" t="n">
        <v>20</v>
      </c>
      <c r="G1136" s="18" t="inlineStr">
        <is>
          <t>INGRESO</t>
        </is>
      </c>
      <c r="H1136" s="18" t="n"/>
      <c r="I1136" s="45" t="n"/>
      <c r="J1136" s="77" t="n"/>
      <c r="K1136" s="18" t="n"/>
    </row>
    <row r="1137">
      <c r="B1137" s="56" t="inlineStr">
        <is>
          <t>00035-REF</t>
        </is>
      </c>
      <c r="C1137" s="18">
        <f>IFERROR(_xlfn.XLOOKUP(ENTRADAS[[#This Row],[CODIGO]],LISTADO[CODIGOS],LISTADO[CATEGORIA]),"NO EXISTE")</f>
        <v/>
      </c>
      <c r="D1137" s="18">
        <f>IFERROR(_xlfn.XLOOKUP(ENTRADAS[[#This Row],[CODIGO]],LISTADO[CODIGOS],LISTADO[PRODUCTOS]),"NO EXISTE")</f>
        <v/>
      </c>
      <c r="E1137" s="19" t="n">
        <v>46105</v>
      </c>
      <c r="F1137" s="18" t="n">
        <v>1</v>
      </c>
      <c r="G1137" s="18" t="inlineStr">
        <is>
          <t>DEVOLUCION</t>
        </is>
      </c>
      <c r="H1137" s="18" t="n"/>
      <c r="I1137" s="45" t="n"/>
      <c r="J1137" s="77" t="n"/>
      <c r="K1137" s="18" t="n"/>
    </row>
    <row r="1138">
      <c r="B1138" s="56" t="inlineStr">
        <is>
          <t>00036-REF</t>
        </is>
      </c>
      <c r="C1138" s="18">
        <f>IFERROR(_xlfn.XLOOKUP(ENTRADAS[[#This Row],[CODIGO]],LISTADO[CODIGOS],LISTADO[CATEGORIA]),"NO EXISTE")</f>
        <v/>
      </c>
      <c r="D1138" s="18">
        <f>IFERROR(_xlfn.XLOOKUP(ENTRADAS[[#This Row],[CODIGO]],LISTADO[CODIGOS],LISTADO[PRODUCTOS]),"NO EXISTE")</f>
        <v/>
      </c>
      <c r="E1138" s="19" t="n">
        <v>46105</v>
      </c>
      <c r="F1138" s="18" t="n">
        <v>4</v>
      </c>
      <c r="G1138" s="18" t="inlineStr">
        <is>
          <t>DEVOLUCION</t>
        </is>
      </c>
      <c r="H1138" s="18" t="n"/>
      <c r="I1138" s="45" t="n"/>
      <c r="J1138" s="77" t="n"/>
      <c r="K1138" s="18" t="n"/>
    </row>
    <row r="1139">
      <c r="B1139" s="56" t="inlineStr">
        <is>
          <t>00068-FER</t>
        </is>
      </c>
      <c r="C1139" s="18">
        <f>IFERROR(_xlfn.XLOOKUP(ENTRADAS[[#This Row],[CODIGO]],LISTADO[CODIGOS],LISTADO[CATEGORIA]),"NO EXISTE")</f>
        <v/>
      </c>
      <c r="D1139" s="18">
        <f>IFERROR(_xlfn.XLOOKUP(ENTRADAS[[#This Row],[CODIGO]],LISTADO[CODIGOS],LISTADO[PRODUCTOS]),"NO EXISTE")</f>
        <v/>
      </c>
      <c r="E1139" s="19" t="n">
        <v>46105</v>
      </c>
      <c r="F1139" s="18" t="n">
        <v>1</v>
      </c>
      <c r="G1139" s="18" t="inlineStr">
        <is>
          <t>DEVOLUCION</t>
        </is>
      </c>
      <c r="H1139" s="18" t="n"/>
      <c r="I1139" s="45" t="n"/>
      <c r="J1139" s="77" t="n"/>
      <c r="K1139" s="18" t="n"/>
    </row>
    <row r="1140">
      <c r="B1140" s="56" t="inlineStr">
        <is>
          <t>00095-HER</t>
        </is>
      </c>
      <c r="C1140" s="18">
        <f>IFERROR(_xlfn.XLOOKUP(ENTRADAS[[#This Row],[CODIGO]],LISTADO[CODIGOS],LISTADO[CATEGORIA]),"NO EXISTE")</f>
        <v/>
      </c>
      <c r="D1140" s="18">
        <f>IFERROR(_xlfn.XLOOKUP(ENTRADAS[[#This Row],[CODIGO]],LISTADO[CODIGOS],LISTADO[PRODUCTOS]),"NO EXISTE")</f>
        <v/>
      </c>
      <c r="E1140" s="19" t="n">
        <v>46105</v>
      </c>
      <c r="F1140" s="18" t="n">
        <v>1</v>
      </c>
      <c r="G1140" s="18" t="inlineStr">
        <is>
          <t>INGRESO</t>
        </is>
      </c>
      <c r="H1140" s="18" t="n"/>
      <c r="I1140" s="45" t="n"/>
      <c r="J1140" s="77" t="n"/>
      <c r="K1140" s="18" t="n"/>
    </row>
    <row r="1141">
      <c r="B1141" s="18" t="inlineStr">
        <is>
          <t>00114-HER</t>
        </is>
      </c>
      <c r="C1141" s="18">
        <f>IFERROR(_xlfn.XLOOKUP(ENTRADAS[[#This Row],[CODIGO]],LISTADO[CODIGOS],LISTADO[CATEGORIA]),"NO EXISTE")</f>
        <v/>
      </c>
      <c r="D1141" s="18">
        <f>IFERROR(_xlfn.XLOOKUP(ENTRADAS[[#This Row],[CODIGO]],LISTADO[CODIGOS],LISTADO[PRODUCTOS]),"NO EXISTE")</f>
        <v/>
      </c>
      <c r="E1141" s="19" t="n">
        <v>46105</v>
      </c>
      <c r="F1141" s="18" t="n">
        <v>1</v>
      </c>
      <c r="G1141" s="18" t="inlineStr">
        <is>
          <t>INGRESO</t>
        </is>
      </c>
      <c r="H1141" s="18" t="n"/>
      <c r="I1141" s="45" t="n"/>
      <c r="J1141" s="77" t="n"/>
      <c r="K1141" s="18" t="n"/>
    </row>
    <row r="1142">
      <c r="B1142" s="18" t="inlineStr">
        <is>
          <t>00076-ELE</t>
        </is>
      </c>
      <c r="C1142" s="18">
        <f>IFERROR(_xlfn.XLOOKUP(ENTRADAS[[#This Row],[CODIGO]],LISTADO[CODIGOS],LISTADO[CATEGORIA]),"NO EXISTE")</f>
        <v/>
      </c>
      <c r="D1142" s="18">
        <f>IFERROR(_xlfn.XLOOKUP(ENTRADAS[[#This Row],[CODIGO]],LISTADO[CODIGOS],LISTADO[PRODUCTOS]),"NO EXISTE")</f>
        <v/>
      </c>
      <c r="E1142" s="19" t="n">
        <v>46105</v>
      </c>
      <c r="F1142" s="18" t="n">
        <v>1</v>
      </c>
      <c r="G1142" s="18" t="inlineStr">
        <is>
          <t>INGRESO</t>
        </is>
      </c>
      <c r="H1142" s="18" t="n"/>
      <c r="I1142" s="45" t="n"/>
      <c r="J1142" s="77" t="n"/>
      <c r="K1142" s="18" t="n"/>
    </row>
    <row r="1143">
      <c r="B1143" s="18" t="inlineStr">
        <is>
          <t>00173-FER</t>
        </is>
      </c>
      <c r="C1143" s="18">
        <f>IFERROR(_xlfn.XLOOKUP(ENTRADAS[[#This Row],[CODIGO]],LISTADO[CODIGOS],LISTADO[CATEGORIA]),"NO EXISTE")</f>
        <v/>
      </c>
      <c r="D1143" s="18">
        <f>IFERROR(_xlfn.XLOOKUP(ENTRADAS[[#This Row],[CODIGO]],LISTADO[CODIGOS],LISTADO[PRODUCTOS]),"NO EXISTE")</f>
        <v/>
      </c>
      <c r="E1143" s="19" t="n">
        <v>46105</v>
      </c>
      <c r="F1143" s="18" t="n">
        <v>300</v>
      </c>
      <c r="G1143" s="18" t="inlineStr">
        <is>
          <t>INGRESO</t>
        </is>
      </c>
      <c r="H1143" s="18" t="n"/>
      <c r="I1143" s="45" t="n"/>
      <c r="J1143" s="77" t="n"/>
      <c r="K1143" s="18" t="n"/>
    </row>
    <row r="1144">
      <c r="B1144" s="18" t="inlineStr">
        <is>
          <t>00068-ELE</t>
        </is>
      </c>
      <c r="C1144" s="18">
        <f>IFERROR(_xlfn.XLOOKUP(ENTRADAS[[#This Row],[CODIGO]],LISTADO[CODIGOS],LISTADO[CATEGORIA]),"NO EXISTE")</f>
        <v/>
      </c>
      <c r="D1144" s="18">
        <f>IFERROR(_xlfn.XLOOKUP(ENTRADAS[[#This Row],[CODIGO]],LISTADO[CODIGOS],LISTADO[PRODUCTOS]),"NO EXISTE")</f>
        <v/>
      </c>
      <c r="E1144" s="19" t="n">
        <v>46105</v>
      </c>
      <c r="F1144" s="18" t="n">
        <v>1</v>
      </c>
      <c r="G1144" s="18" t="inlineStr">
        <is>
          <t>INGRESO</t>
        </is>
      </c>
      <c r="H1144" s="18" t="n"/>
      <c r="I1144" s="45" t="n"/>
      <c r="J1144" s="77" t="n"/>
      <c r="K1144" s="18" t="n"/>
    </row>
    <row r="1145">
      <c r="B1145" s="56" t="inlineStr">
        <is>
          <t>00084-HER</t>
        </is>
      </c>
      <c r="C1145" s="18">
        <f>IFERROR(_xlfn.XLOOKUP(ENTRADAS[[#This Row],[CODIGO]],LISTADO[CODIGOS],LISTADO[CATEGORIA]),"NO EXISTE")</f>
        <v/>
      </c>
      <c r="D1145" s="18">
        <f>IFERROR(_xlfn.XLOOKUP(ENTRADAS[[#This Row],[CODIGO]],LISTADO[CODIGOS],LISTADO[PRODUCTOS]),"NO EXISTE")</f>
        <v/>
      </c>
      <c r="E1145" s="19" t="n">
        <v>46105</v>
      </c>
      <c r="F1145" s="18" t="n">
        <v>2</v>
      </c>
      <c r="G1145" s="18" t="inlineStr">
        <is>
          <t>INGRESO</t>
        </is>
      </c>
      <c r="H1145" s="18" t="n"/>
      <c r="I1145" s="45" t="n"/>
      <c r="J1145" s="77" t="n"/>
      <c r="K1145" s="18" t="n"/>
    </row>
    <row r="1146">
      <c r="B1146" s="18" t="inlineStr">
        <is>
          <t>00153-FER</t>
        </is>
      </c>
      <c r="C1146" s="18">
        <f>IFERROR(_xlfn.XLOOKUP(ENTRADAS[[#This Row],[CODIGO]],LISTADO[CODIGOS],LISTADO[CATEGORIA]),"NO EXISTE")</f>
        <v/>
      </c>
      <c r="D1146" s="18">
        <f>IFERROR(_xlfn.XLOOKUP(ENTRADAS[[#This Row],[CODIGO]],LISTADO[CODIGOS],LISTADO[PRODUCTOS]),"NO EXISTE")</f>
        <v/>
      </c>
      <c r="E1146" s="19" t="n">
        <v>46105</v>
      </c>
      <c r="F1146" s="18" t="n">
        <v>10</v>
      </c>
      <c r="G1146" s="18" t="inlineStr">
        <is>
          <t>INGRESO</t>
        </is>
      </c>
      <c r="H1146" s="18" t="n"/>
      <c r="I1146" s="45" t="n"/>
      <c r="J1146" s="77" t="n"/>
      <c r="K1146" s="18" t="n"/>
    </row>
    <row r="1147">
      <c r="B1147" s="18" t="inlineStr">
        <is>
          <t>00141-FER</t>
        </is>
      </c>
      <c r="C1147" s="18">
        <f>IFERROR(_xlfn.XLOOKUP(ENTRADAS[[#This Row],[CODIGO]],LISTADO[CODIGOS],LISTADO[CATEGORIA]),"NO EXISTE")</f>
        <v/>
      </c>
      <c r="D1147" s="18">
        <f>IFERROR(_xlfn.XLOOKUP(ENTRADAS[[#This Row],[CODIGO]],LISTADO[CODIGOS],LISTADO[PRODUCTOS]),"NO EXISTE")</f>
        <v/>
      </c>
      <c r="E1147" s="19" t="n">
        <v>46105</v>
      </c>
      <c r="F1147" s="18" t="n">
        <v>3</v>
      </c>
      <c r="G1147" s="18" t="inlineStr">
        <is>
          <t>INGRESO</t>
        </is>
      </c>
      <c r="H1147" s="18" t="n"/>
      <c r="I1147" s="45" t="n"/>
      <c r="J1147" s="77" t="n"/>
      <c r="K1147" s="18" t="n"/>
    </row>
    <row r="1148">
      <c r="B1148" s="56" t="inlineStr">
        <is>
          <t>00089-FER</t>
        </is>
      </c>
      <c r="C1148" s="18">
        <f>IFERROR(_xlfn.XLOOKUP(ENTRADAS[[#This Row],[CODIGO]],LISTADO[CODIGOS],LISTADO[CATEGORIA]),"NO EXISTE")</f>
        <v/>
      </c>
      <c r="D1148" s="18">
        <f>IFERROR(_xlfn.XLOOKUP(ENTRADAS[[#This Row],[CODIGO]],LISTADO[CODIGOS],LISTADO[PRODUCTOS]),"NO EXISTE")</f>
        <v/>
      </c>
      <c r="E1148" s="19" t="n">
        <v>46105</v>
      </c>
      <c r="F1148" s="18" t="n">
        <v>1</v>
      </c>
      <c r="G1148" s="18" t="inlineStr">
        <is>
          <t>INGRESO</t>
        </is>
      </c>
      <c r="H1148" s="18" t="n"/>
      <c r="I1148" s="45" t="n"/>
      <c r="J1148" s="77" t="n"/>
      <c r="K1148" s="18" t="n"/>
    </row>
    <row r="1149">
      <c r="B1149" s="18" t="inlineStr">
        <is>
          <t>00053-ILU</t>
        </is>
      </c>
      <c r="C1149" s="18">
        <f>IFERROR(_xlfn.XLOOKUP(ENTRADAS[[#This Row],[CODIGO]],LISTADO[CODIGOS],LISTADO[CATEGORIA]),"NO EXISTE")</f>
        <v/>
      </c>
      <c r="D1149" s="18">
        <f>IFERROR(_xlfn.XLOOKUP(ENTRADAS[[#This Row],[CODIGO]],LISTADO[CODIGOS],LISTADO[PRODUCTOS]),"NO EXISTE")</f>
        <v/>
      </c>
      <c r="E1149" s="19" t="n">
        <v>46105</v>
      </c>
      <c r="F1149" s="18" t="n">
        <v>1</v>
      </c>
      <c r="G1149" s="18" t="inlineStr">
        <is>
          <t>INGRESO</t>
        </is>
      </c>
      <c r="H1149" s="18" t="n"/>
      <c r="I1149" s="45" t="n"/>
      <c r="J1149" s="77" t="n"/>
      <c r="K1149" s="18" t="n"/>
    </row>
    <row r="1150">
      <c r="B1150" s="56" t="inlineStr">
        <is>
          <t>00047-ELE</t>
        </is>
      </c>
      <c r="C1150" s="18">
        <f>IFERROR(_xlfn.XLOOKUP(ENTRADAS[[#This Row],[CODIGO]],LISTADO[CODIGOS],LISTADO[CATEGORIA]),"NO EXISTE")</f>
        <v/>
      </c>
      <c r="D1150" s="18">
        <f>IFERROR(_xlfn.XLOOKUP(ENTRADAS[[#This Row],[CODIGO]],LISTADO[CODIGOS],LISTADO[PRODUCTOS]),"NO EXISTE")</f>
        <v/>
      </c>
      <c r="E1150" s="19" t="n">
        <v>46105</v>
      </c>
      <c r="F1150" s="18" t="n">
        <v>1</v>
      </c>
      <c r="G1150" s="18" t="inlineStr">
        <is>
          <t>INGRESO</t>
        </is>
      </c>
      <c r="H1150" s="18" t="n"/>
      <c r="I1150" s="45" t="n"/>
      <c r="J1150" s="77" t="n"/>
      <c r="K1150" s="18" t="n"/>
    </row>
    <row r="1151">
      <c r="B1151" s="18" t="inlineStr">
        <is>
          <t>00174-FER</t>
        </is>
      </c>
      <c r="C1151" s="18">
        <f>IFERROR(_xlfn.XLOOKUP(ENTRADAS[[#This Row],[CODIGO]],LISTADO[CODIGOS],LISTADO[CATEGORIA]),"NO EXISTE")</f>
        <v/>
      </c>
      <c r="D1151" s="18">
        <f>IFERROR(_xlfn.XLOOKUP(ENTRADAS[[#This Row],[CODIGO]],LISTADO[CODIGOS],LISTADO[PRODUCTOS]),"NO EXISTE")</f>
        <v/>
      </c>
      <c r="E1151" s="19" t="n">
        <v>46105</v>
      </c>
      <c r="F1151" s="18" t="n">
        <v>2</v>
      </c>
      <c r="G1151" s="18" t="inlineStr">
        <is>
          <t>INGRESO</t>
        </is>
      </c>
      <c r="H1151" s="18" t="n"/>
      <c r="I1151" s="45" t="n"/>
      <c r="J1151" s="77" t="n"/>
      <c r="K1151" s="18" t="n"/>
    </row>
    <row r="1152">
      <c r="B1152" s="18" t="inlineStr">
        <is>
          <t>00175-FER</t>
        </is>
      </c>
      <c r="C1152" s="18">
        <f>IFERROR(_xlfn.XLOOKUP(ENTRADAS[[#This Row],[CODIGO]],LISTADO[CODIGOS],LISTADO[CATEGORIA]),"NO EXISTE")</f>
        <v/>
      </c>
      <c r="D1152" s="18">
        <f>IFERROR(_xlfn.XLOOKUP(ENTRADAS[[#This Row],[CODIGO]],LISTADO[CODIGOS],LISTADO[PRODUCTOS]),"NO EXISTE")</f>
        <v/>
      </c>
      <c r="E1152" s="19" t="n">
        <v>46105</v>
      </c>
      <c r="F1152" s="18" t="n">
        <v>3</v>
      </c>
      <c r="G1152" s="18" t="inlineStr">
        <is>
          <t>INGRESO</t>
        </is>
      </c>
      <c r="H1152" s="18" t="n"/>
      <c r="I1152" s="45" t="n"/>
      <c r="J1152" s="77" t="n"/>
      <c r="K1152" s="18" t="n"/>
    </row>
    <row r="1153">
      <c r="B1153" s="56" t="inlineStr">
        <is>
          <t>00085-HER</t>
        </is>
      </c>
      <c r="C1153" s="18">
        <f>IFERROR(_xlfn.XLOOKUP(ENTRADAS[[#This Row],[CODIGO]],LISTADO[CODIGOS],LISTADO[CATEGORIA]),"NO EXISTE")</f>
        <v/>
      </c>
      <c r="D1153" s="18">
        <f>IFERROR(_xlfn.XLOOKUP(ENTRADAS[[#This Row],[CODIGO]],LISTADO[CODIGOS],LISTADO[PRODUCTOS]),"NO EXISTE")</f>
        <v/>
      </c>
      <c r="E1153" s="19" t="n">
        <v>46105</v>
      </c>
      <c r="F1153" s="18" t="n">
        <v>1</v>
      </c>
      <c r="G1153" s="18" t="inlineStr">
        <is>
          <t>INGRESO</t>
        </is>
      </c>
      <c r="H1153" s="18" t="n"/>
      <c r="I1153" s="45" t="n"/>
      <c r="J1153" s="77" t="n"/>
      <c r="K1153" s="18" t="n"/>
    </row>
    <row r="1154">
      <c r="B1154" s="18" t="inlineStr">
        <is>
          <t>00030-HRR</t>
        </is>
      </c>
      <c r="C1154" s="18">
        <f>IFERROR(_xlfn.XLOOKUP(ENTRADAS[[#This Row],[CODIGO]],LISTADO[CODIGOS],LISTADO[CATEGORIA]),"NO EXISTE")</f>
        <v/>
      </c>
      <c r="D1154" s="18">
        <f>IFERROR(_xlfn.XLOOKUP(ENTRADAS[[#This Row],[CODIGO]],LISTADO[CODIGOS],LISTADO[PRODUCTOS]),"NO EXISTE")</f>
        <v/>
      </c>
      <c r="E1154" s="19" t="n">
        <v>46105</v>
      </c>
      <c r="F1154" s="18" t="n">
        <v>1</v>
      </c>
      <c r="G1154" s="18" t="inlineStr">
        <is>
          <t>INGRESO</t>
        </is>
      </c>
      <c r="H1154" s="18" t="n"/>
      <c r="I1154" s="45" t="n"/>
      <c r="J1154" s="77" t="n"/>
      <c r="K1154" s="18" t="n"/>
    </row>
    <row r="1155">
      <c r="B1155" s="56" t="inlineStr">
        <is>
          <t>00014-HRR</t>
        </is>
      </c>
      <c r="C1155" s="18">
        <f>IFERROR(_xlfn.XLOOKUP(ENTRADAS[[#This Row],[CODIGO]],LISTADO[CODIGOS],LISTADO[CATEGORIA]),"NO EXISTE")</f>
        <v/>
      </c>
      <c r="D1155" s="18">
        <f>IFERROR(_xlfn.XLOOKUP(ENTRADAS[[#This Row],[CODIGO]],LISTADO[CODIGOS],LISTADO[PRODUCTOS]),"NO EXISTE")</f>
        <v/>
      </c>
      <c r="E1155" s="19" t="n">
        <v>46105</v>
      </c>
      <c r="F1155" s="18" t="n">
        <v>1</v>
      </c>
      <c r="G1155" s="18" t="inlineStr">
        <is>
          <t>INGRESO</t>
        </is>
      </c>
      <c r="H1155" s="18" t="n"/>
      <c r="I1155" s="45" t="n"/>
      <c r="J1155" s="77" t="n"/>
      <c r="K1155" s="18" t="n"/>
    </row>
    <row r="1156">
      <c r="B1156" s="56" t="inlineStr">
        <is>
          <t>00004-PLM</t>
        </is>
      </c>
      <c r="C1156" s="18">
        <f>IFERROR(_xlfn.XLOOKUP(ENTRADAS[[#This Row],[CODIGO]],LISTADO[CODIGOS],LISTADO[CATEGORIA]),"NO EXISTE")</f>
        <v/>
      </c>
      <c r="D1156" s="18">
        <f>IFERROR(_xlfn.XLOOKUP(ENTRADAS[[#This Row],[CODIGO]],LISTADO[CODIGOS],LISTADO[PRODUCTOS]),"NO EXISTE")</f>
        <v/>
      </c>
      <c r="E1156" s="19" t="n">
        <v>46105</v>
      </c>
      <c r="F1156" s="18" t="n">
        <v>1</v>
      </c>
      <c r="G1156" s="18" t="inlineStr">
        <is>
          <t>INGRESO</t>
        </is>
      </c>
      <c r="H1156" s="18" t="n"/>
      <c r="I1156" s="45" t="n"/>
      <c r="J1156" s="77" t="n"/>
      <c r="K1156" s="18" t="n"/>
    </row>
    <row r="1157">
      <c r="B1157" s="18" t="inlineStr">
        <is>
          <t>00060-HRR</t>
        </is>
      </c>
      <c r="C1157" s="18">
        <f>IFERROR(_xlfn.XLOOKUP(ENTRADAS[[#This Row],[CODIGO]],LISTADO[CODIGOS],LISTADO[CATEGORIA]),"NO EXISTE")</f>
        <v/>
      </c>
      <c r="D1157" s="18">
        <f>IFERROR(_xlfn.XLOOKUP(ENTRADAS[[#This Row],[CODIGO]],LISTADO[CODIGOS],LISTADO[PRODUCTOS]),"NO EXISTE")</f>
        <v/>
      </c>
      <c r="E1157" s="19" t="n">
        <v>46105</v>
      </c>
      <c r="F1157" s="18" t="n">
        <v>1</v>
      </c>
      <c r="G1157" s="18" t="inlineStr">
        <is>
          <t>INGRESO</t>
        </is>
      </c>
      <c r="H1157" s="18" t="n"/>
      <c r="I1157" s="45" t="n"/>
      <c r="J1157" s="77" t="n"/>
      <c r="K1157" s="18" t="n"/>
    </row>
    <row r="1158">
      <c r="B1158" s="18" t="inlineStr">
        <is>
          <t>00105-REF</t>
        </is>
      </c>
      <c r="C1158" s="18">
        <f>IFERROR(_xlfn.XLOOKUP(ENTRADAS[[#This Row],[CODIGO]],LISTADO[CODIGOS],LISTADO[CATEGORIA]),"NO EXISTE")</f>
        <v/>
      </c>
      <c r="D1158" s="18">
        <f>IFERROR(_xlfn.XLOOKUP(ENTRADAS[[#This Row],[CODIGO]],LISTADO[CODIGOS],LISTADO[PRODUCTOS]),"NO EXISTE")</f>
        <v/>
      </c>
      <c r="E1158" s="19" t="n">
        <v>46105</v>
      </c>
      <c r="F1158" s="18" t="n">
        <v>1</v>
      </c>
      <c r="G1158" s="18" t="inlineStr">
        <is>
          <t>INGRESO</t>
        </is>
      </c>
      <c r="H1158" s="18" t="n"/>
      <c r="I1158" s="45" t="n"/>
      <c r="J1158" s="77" t="n"/>
      <c r="K1158" s="18" t="n"/>
    </row>
    <row r="1159">
      <c r="B1159" s="18" t="inlineStr">
        <is>
          <t>00176-FER</t>
        </is>
      </c>
      <c r="C1159" s="18">
        <f>IFERROR(_xlfn.XLOOKUP(ENTRADAS[[#This Row],[CODIGO]],LISTADO[CODIGOS],LISTADO[CATEGORIA]),"NO EXISTE")</f>
        <v/>
      </c>
      <c r="D1159" s="18">
        <f>IFERROR(_xlfn.XLOOKUP(ENTRADAS[[#This Row],[CODIGO]],LISTADO[CODIGOS],LISTADO[PRODUCTOS]),"NO EXISTE")</f>
        <v/>
      </c>
      <c r="E1159" s="19" t="n">
        <v>46105</v>
      </c>
      <c r="F1159" s="18" t="n">
        <v>2</v>
      </c>
      <c r="G1159" s="18" t="inlineStr">
        <is>
          <t>INGRESO</t>
        </is>
      </c>
      <c r="H1159" s="18" t="n"/>
      <c r="I1159" s="45" t="n"/>
      <c r="J1159" s="77" t="n"/>
      <c r="K1159" s="18" t="n"/>
    </row>
    <row r="1160">
      <c r="B1160" s="18" t="inlineStr">
        <is>
          <t>00176-FER</t>
        </is>
      </c>
      <c r="C1160" s="18">
        <f>IFERROR(_xlfn.XLOOKUP(ENTRADAS[[#This Row],[CODIGO]],LISTADO[CODIGOS],LISTADO[CATEGORIA]),"NO EXISTE")</f>
        <v/>
      </c>
      <c r="D1160" s="18">
        <f>IFERROR(_xlfn.XLOOKUP(ENTRADAS[[#This Row],[CODIGO]],LISTADO[CODIGOS],LISTADO[PRODUCTOS]),"NO EXISTE")</f>
        <v/>
      </c>
      <c r="E1160" s="19" t="n">
        <v>46105</v>
      </c>
      <c r="F1160" s="18" t="n">
        <v>3</v>
      </c>
      <c r="G1160" s="18" t="inlineStr">
        <is>
          <t>INGRESO</t>
        </is>
      </c>
      <c r="H1160" s="18" t="n"/>
      <c r="I1160" s="45" t="n"/>
      <c r="J1160" s="77" t="n"/>
      <c r="K1160" s="18" t="n"/>
    </row>
    <row r="1161">
      <c r="B1161" s="56" t="inlineStr">
        <is>
          <t>00001-UNI</t>
        </is>
      </c>
      <c r="C1161" s="18">
        <f>IFERROR(_xlfn.XLOOKUP(ENTRADAS[[#This Row],[CODIGO]],LISTADO[CODIGOS],LISTADO[CATEGORIA]),"NO EXISTE")</f>
        <v/>
      </c>
      <c r="D1161" s="18">
        <f>IFERROR(_xlfn.XLOOKUP(ENTRADAS[[#This Row],[CODIGO]],LISTADO[CODIGOS],LISTADO[PRODUCTOS]),"NO EXISTE")</f>
        <v/>
      </c>
      <c r="E1161" s="19" t="n">
        <v>46106</v>
      </c>
      <c r="F1161" s="18" t="n">
        <v>200</v>
      </c>
      <c r="G1161" s="18" t="inlineStr">
        <is>
          <t>INGRESO</t>
        </is>
      </c>
      <c r="H1161" s="18" t="n"/>
      <c r="I1161" s="45" t="n"/>
      <c r="J1161" s="77" t="n"/>
      <c r="K1161" s="18" t="n"/>
    </row>
    <row r="1162">
      <c r="B1162" s="56" t="inlineStr">
        <is>
          <t>00016-MSC</t>
        </is>
      </c>
      <c r="C1162" s="18">
        <f>IFERROR(_xlfn.XLOOKUP(ENTRADAS[[#This Row],[CODIGO]],LISTADO[CODIGOS],LISTADO[CATEGORIA]),"NO EXISTE")</f>
        <v/>
      </c>
      <c r="D1162" s="18">
        <f>IFERROR(_xlfn.XLOOKUP(ENTRADAS[[#This Row],[CODIGO]],LISTADO[CODIGOS],LISTADO[PRODUCTOS]),"NO EXISTE")</f>
        <v/>
      </c>
      <c r="E1162" s="19" t="n">
        <v>46106</v>
      </c>
      <c r="F1162" s="18" t="n">
        <v>2</v>
      </c>
      <c r="G1162" s="18" t="inlineStr">
        <is>
          <t>INGRESO</t>
        </is>
      </c>
      <c r="H1162" s="18" t="n"/>
      <c r="I1162" s="45" t="n"/>
      <c r="J1162" s="77" t="n"/>
      <c r="K1162" s="18" t="n"/>
    </row>
    <row r="1163">
      <c r="B1163" s="56" t="inlineStr">
        <is>
          <t>00010-MSC</t>
        </is>
      </c>
      <c r="C1163" s="18">
        <f>IFERROR(_xlfn.XLOOKUP(ENTRADAS[[#This Row],[CODIGO]],LISTADO[CODIGOS],LISTADO[CATEGORIA]),"NO EXISTE")</f>
        <v/>
      </c>
      <c r="D1163" s="18">
        <f>IFERROR(_xlfn.XLOOKUP(ENTRADAS[[#This Row],[CODIGO]],LISTADO[CODIGOS],LISTADO[PRODUCTOS]),"NO EXISTE")</f>
        <v/>
      </c>
      <c r="E1163" s="19" t="n">
        <v>46106</v>
      </c>
      <c r="F1163" s="18" t="n">
        <v>2</v>
      </c>
      <c r="G1163" s="18" t="inlineStr">
        <is>
          <t>INGRESO</t>
        </is>
      </c>
      <c r="H1163" s="18" t="n"/>
      <c r="I1163" s="45" t="n"/>
      <c r="J1163" s="77" t="n"/>
      <c r="K1163" s="18" t="n"/>
    </row>
    <row r="1164">
      <c r="B1164" s="18" t="inlineStr">
        <is>
          <t>00019-MSC</t>
        </is>
      </c>
      <c r="C1164" s="18">
        <f>IFERROR(_xlfn.XLOOKUP(ENTRADAS[[#This Row],[CODIGO]],LISTADO[CODIGOS],LISTADO[CATEGORIA]),"NO EXISTE")</f>
        <v/>
      </c>
      <c r="D1164" s="18">
        <f>IFERROR(_xlfn.XLOOKUP(ENTRADAS[[#This Row],[CODIGO]],LISTADO[CODIGOS],LISTADO[PRODUCTOS]),"NO EXISTE")</f>
        <v/>
      </c>
      <c r="E1164" s="19" t="n">
        <v>46106</v>
      </c>
      <c r="F1164" s="18" t="n">
        <v>2</v>
      </c>
      <c r="G1164" s="18" t="inlineStr">
        <is>
          <t>INGRESO</t>
        </is>
      </c>
      <c r="H1164" s="18" t="n"/>
      <c r="I1164" s="45" t="n"/>
      <c r="J1164" s="77" t="n"/>
      <c r="K1164" s="18" t="n"/>
    </row>
    <row r="1165">
      <c r="B1165" s="18" t="inlineStr">
        <is>
          <t>00020-MSC</t>
        </is>
      </c>
      <c r="C1165" s="18">
        <f>IFERROR(_xlfn.XLOOKUP(ENTRADAS[[#This Row],[CODIGO]],LISTADO[CODIGOS],LISTADO[CATEGORIA]),"NO EXISTE")</f>
        <v/>
      </c>
      <c r="D1165" s="18">
        <f>IFERROR(_xlfn.XLOOKUP(ENTRADAS[[#This Row],[CODIGO]],LISTADO[CODIGOS],LISTADO[PRODUCTOS]),"NO EXISTE")</f>
        <v/>
      </c>
      <c r="E1165" s="19" t="n">
        <v>46106</v>
      </c>
      <c r="F1165" s="18" t="n">
        <v>1</v>
      </c>
      <c r="G1165" s="18" t="inlineStr">
        <is>
          <t>INGRESO</t>
        </is>
      </c>
      <c r="H1165" s="18" t="n"/>
      <c r="I1165" s="45" t="n"/>
      <c r="J1165" s="77" t="n"/>
      <c r="K1165" s="18" t="n"/>
    </row>
    <row r="1166">
      <c r="B1166" s="56" t="inlineStr">
        <is>
          <t>00017-MSC</t>
        </is>
      </c>
      <c r="C1166" s="18">
        <f>IFERROR(_xlfn.XLOOKUP(ENTRADAS[[#This Row],[CODIGO]],LISTADO[CODIGOS],LISTADO[CATEGORIA]),"NO EXISTE")</f>
        <v/>
      </c>
      <c r="D1166" s="18">
        <f>IFERROR(_xlfn.XLOOKUP(ENTRADAS[[#This Row],[CODIGO]],LISTADO[CODIGOS],LISTADO[PRODUCTOS]),"NO EXISTE")</f>
        <v/>
      </c>
      <c r="E1166" s="19" t="n">
        <v>46106</v>
      </c>
      <c r="F1166" s="18" t="n">
        <v>1</v>
      </c>
      <c r="G1166" s="18" t="inlineStr">
        <is>
          <t>INGRESO</t>
        </is>
      </c>
      <c r="H1166" s="18" t="n"/>
      <c r="I1166" s="45" t="n"/>
      <c r="J1166" s="77" t="n"/>
      <c r="K1166" s="18" t="n"/>
    </row>
    <row r="1167">
      <c r="B1167" s="18" t="inlineStr">
        <is>
          <t>00013-LIM</t>
        </is>
      </c>
      <c r="C1167" s="18">
        <f>IFERROR(_xlfn.XLOOKUP(ENTRADAS[[#This Row],[CODIGO]],LISTADO[CODIGOS],LISTADO[CATEGORIA]),"NO EXISTE")</f>
        <v/>
      </c>
      <c r="D1167" s="18">
        <f>IFERROR(_xlfn.XLOOKUP(ENTRADAS[[#This Row],[CODIGO]],LISTADO[CODIGOS],LISTADO[PRODUCTOS]),"NO EXISTE")</f>
        <v/>
      </c>
      <c r="E1167" s="19" t="n">
        <v>46106</v>
      </c>
      <c r="F1167" s="18" t="n">
        <v>12</v>
      </c>
      <c r="G1167" s="18" t="inlineStr">
        <is>
          <t>INGRESO</t>
        </is>
      </c>
      <c r="H1167" s="18" t="n"/>
      <c r="I1167" s="45" t="n"/>
      <c r="J1167" s="77" t="n"/>
      <c r="K1167" s="18" t="n"/>
    </row>
    <row r="1168">
      <c r="B1168" s="56" t="inlineStr">
        <is>
          <t>00001-LIM</t>
        </is>
      </c>
      <c r="C1168" s="18">
        <f>IFERROR(_xlfn.XLOOKUP(ENTRADAS[[#This Row],[CODIGO]],LISTADO[CODIGOS],LISTADO[CATEGORIA]),"NO EXISTE")</f>
        <v/>
      </c>
      <c r="D1168" s="18">
        <f>IFERROR(_xlfn.XLOOKUP(ENTRADAS[[#This Row],[CODIGO]],LISTADO[CODIGOS],LISTADO[PRODUCTOS]),"NO EXISTE")</f>
        <v/>
      </c>
      <c r="E1168" s="19" t="n">
        <v>46106</v>
      </c>
      <c r="F1168" s="18" t="n">
        <v>12</v>
      </c>
      <c r="G1168" s="18" t="inlineStr">
        <is>
          <t>INGRESO</t>
        </is>
      </c>
      <c r="H1168" s="18" t="n"/>
      <c r="I1168" s="45" t="n"/>
      <c r="J1168" s="77" t="n"/>
      <c r="K1168" s="18" t="n"/>
    </row>
    <row r="1169">
      <c r="B1169" s="56" t="inlineStr">
        <is>
          <t>00005-LIM</t>
        </is>
      </c>
      <c r="C1169" s="18">
        <f>IFERROR(_xlfn.XLOOKUP(ENTRADAS[[#This Row],[CODIGO]],LISTADO[CODIGOS],LISTADO[CATEGORIA]),"NO EXISTE")</f>
        <v/>
      </c>
      <c r="D1169" s="18">
        <f>IFERROR(_xlfn.XLOOKUP(ENTRADAS[[#This Row],[CODIGO]],LISTADO[CODIGOS],LISTADO[PRODUCTOS]),"NO EXISTE")</f>
        <v/>
      </c>
      <c r="E1169" s="19" t="n">
        <v>46106</v>
      </c>
      <c r="F1169" s="18" t="n">
        <v>4</v>
      </c>
      <c r="G1169" s="18" t="inlineStr">
        <is>
          <t>INGRESO</t>
        </is>
      </c>
      <c r="H1169" s="18" t="n"/>
      <c r="I1169" s="45" t="n"/>
      <c r="J1169" s="77" t="n"/>
      <c r="K1169" s="18" t="n"/>
    </row>
    <row r="1170">
      <c r="B1170" s="56" t="inlineStr">
        <is>
          <t>00011-LIM</t>
        </is>
      </c>
      <c r="C1170" s="18">
        <f>IFERROR(_xlfn.XLOOKUP(ENTRADAS[[#This Row],[CODIGO]],LISTADO[CODIGOS],LISTADO[CATEGORIA]),"NO EXISTE")</f>
        <v/>
      </c>
      <c r="D1170" s="18">
        <f>IFERROR(_xlfn.XLOOKUP(ENTRADAS[[#This Row],[CODIGO]],LISTADO[CODIGOS],LISTADO[PRODUCTOS]),"NO EXISTE")</f>
        <v/>
      </c>
      <c r="E1170" s="19" t="n">
        <v>46106</v>
      </c>
      <c r="F1170" s="18" t="n">
        <v>2</v>
      </c>
      <c r="G1170" s="18" t="inlineStr">
        <is>
          <t>INGRESO</t>
        </is>
      </c>
      <c r="H1170" s="18" t="n"/>
      <c r="I1170" s="45" t="n"/>
      <c r="J1170" s="77" t="n"/>
      <c r="K1170" s="18" t="n"/>
    </row>
    <row r="1171">
      <c r="B1171" s="18" t="inlineStr">
        <is>
          <t>00021-LIM</t>
        </is>
      </c>
      <c r="C1171" s="18">
        <f>IFERROR(_xlfn.XLOOKUP(ENTRADAS[[#This Row],[CODIGO]],LISTADO[CODIGOS],LISTADO[CATEGORIA]),"NO EXISTE")</f>
        <v/>
      </c>
      <c r="D1171" s="18">
        <f>IFERROR(_xlfn.XLOOKUP(ENTRADAS[[#This Row],[CODIGO]],LISTADO[CODIGOS],LISTADO[PRODUCTOS]),"NO EXISTE")</f>
        <v/>
      </c>
      <c r="E1171" s="19" t="n">
        <v>46106</v>
      </c>
      <c r="F1171" s="18" t="n">
        <v>1</v>
      </c>
      <c r="G1171" s="18" t="inlineStr">
        <is>
          <t>INGRESO</t>
        </is>
      </c>
      <c r="H1171" s="18" t="n"/>
      <c r="I1171" s="45" t="n"/>
      <c r="J1171" s="77" t="n"/>
      <c r="K1171" s="18" t="n"/>
    </row>
    <row r="1172">
      <c r="B1172" s="18" t="inlineStr">
        <is>
          <t>00022-LIM</t>
        </is>
      </c>
      <c r="C1172" s="18">
        <f>IFERROR(_xlfn.XLOOKUP(ENTRADAS[[#This Row],[CODIGO]],LISTADO[CODIGOS],LISTADO[CATEGORIA]),"NO EXISTE")</f>
        <v/>
      </c>
      <c r="D1172" s="18">
        <f>IFERROR(_xlfn.XLOOKUP(ENTRADAS[[#This Row],[CODIGO]],LISTADO[CODIGOS],LISTADO[PRODUCTOS]),"NO EXISTE")</f>
        <v/>
      </c>
      <c r="E1172" s="19" t="n">
        <v>46106</v>
      </c>
      <c r="F1172" s="18" t="n">
        <v>10</v>
      </c>
      <c r="G1172" s="18" t="inlineStr">
        <is>
          <t>INGRESO</t>
        </is>
      </c>
      <c r="H1172" s="18" t="n"/>
      <c r="I1172" s="45" t="n"/>
      <c r="J1172" s="77" t="n"/>
      <c r="K1172" s="18" t="n"/>
    </row>
    <row r="1173">
      <c r="B1173" s="18" t="inlineStr">
        <is>
          <t>00023-LIM</t>
        </is>
      </c>
      <c r="C1173" s="18">
        <f>IFERROR(_xlfn.XLOOKUP(ENTRADAS[[#This Row],[CODIGO]],LISTADO[CODIGOS],LISTADO[CATEGORIA]),"NO EXISTE")</f>
        <v/>
      </c>
      <c r="D1173" s="18">
        <f>IFERROR(_xlfn.XLOOKUP(ENTRADAS[[#This Row],[CODIGO]],LISTADO[CODIGOS],LISTADO[PRODUCTOS]),"NO EXISTE")</f>
        <v/>
      </c>
      <c r="E1173" s="19" t="n">
        <v>46106</v>
      </c>
      <c r="F1173" s="18" t="n">
        <v>2</v>
      </c>
      <c r="G1173" s="18" t="inlineStr">
        <is>
          <t>INGRESO</t>
        </is>
      </c>
      <c r="H1173" s="18" t="n"/>
      <c r="I1173" s="45" t="n"/>
      <c r="J1173" s="77" t="n"/>
      <c r="K1173" s="18" t="n"/>
    </row>
    <row r="1174">
      <c r="B1174" s="18" t="inlineStr">
        <is>
          <t>00024-LIM</t>
        </is>
      </c>
      <c r="C1174" s="18">
        <f>IFERROR(_xlfn.XLOOKUP(ENTRADAS[[#This Row],[CODIGO]],LISTADO[CODIGOS],LISTADO[CATEGORIA]),"NO EXISTE")</f>
        <v/>
      </c>
      <c r="D1174" s="18">
        <f>IFERROR(_xlfn.XLOOKUP(ENTRADAS[[#This Row],[CODIGO]],LISTADO[CODIGOS],LISTADO[PRODUCTOS]),"NO EXISTE")</f>
        <v/>
      </c>
      <c r="E1174" s="19" t="n">
        <v>46106</v>
      </c>
      <c r="F1174" s="18" t="n">
        <v>1</v>
      </c>
      <c r="G1174" s="18" t="inlineStr">
        <is>
          <t>INGRESO</t>
        </is>
      </c>
      <c r="H1174" s="18" t="n"/>
      <c r="I1174" s="45" t="n"/>
      <c r="J1174" s="77" t="n"/>
      <c r="K1174" s="18" t="n"/>
    </row>
    <row r="1175">
      <c r="B1175" s="18" t="inlineStr">
        <is>
          <t>00003-MSC</t>
        </is>
      </c>
      <c r="C1175" s="18">
        <f>IFERROR(_xlfn.XLOOKUP(ENTRADAS[[#This Row],[CODIGO]],LISTADO[CODIGOS],LISTADO[CATEGORIA]),"NO EXISTE")</f>
        <v/>
      </c>
      <c r="D1175" s="18">
        <f>IFERROR(_xlfn.XLOOKUP(ENTRADAS[[#This Row],[CODIGO]],LISTADO[CODIGOS],LISTADO[PRODUCTOS]),"NO EXISTE")</f>
        <v/>
      </c>
      <c r="E1175" s="19" t="n">
        <v>46106</v>
      </c>
      <c r="F1175" s="18" t="n">
        <v>1</v>
      </c>
      <c r="G1175" s="18" t="inlineStr">
        <is>
          <t>INGRESO</t>
        </is>
      </c>
      <c r="H1175" s="18" t="n"/>
      <c r="I1175" s="45" t="n"/>
      <c r="J1175" s="77" t="n"/>
      <c r="K1175" s="18" t="n"/>
    </row>
    <row r="1176">
      <c r="B1176" s="18" t="inlineStr">
        <is>
          <t>00021-MSC</t>
        </is>
      </c>
      <c r="C1176" s="18">
        <f>IFERROR(_xlfn.XLOOKUP(ENTRADAS[[#This Row],[CODIGO]],LISTADO[CODIGOS],LISTADO[CATEGORIA]),"NO EXISTE")</f>
        <v/>
      </c>
      <c r="D1176" s="18">
        <f>IFERROR(_xlfn.XLOOKUP(ENTRADAS[[#This Row],[CODIGO]],LISTADO[CODIGOS],LISTADO[PRODUCTOS]),"NO EXISTE")</f>
        <v/>
      </c>
      <c r="E1176" s="19" t="n">
        <v>46106</v>
      </c>
      <c r="F1176" s="18" t="n">
        <v>2</v>
      </c>
      <c r="G1176" s="18" t="inlineStr">
        <is>
          <t>INGRESO</t>
        </is>
      </c>
      <c r="H1176" s="18" t="n"/>
      <c r="I1176" s="45" t="n"/>
      <c r="J1176" s="77" t="n"/>
      <c r="K1176" s="18" t="n"/>
    </row>
    <row r="1177">
      <c r="B1177" s="56" t="inlineStr">
        <is>
          <t>00003-ELE</t>
        </is>
      </c>
      <c r="C1177" s="18">
        <f>IFERROR(_xlfn.XLOOKUP(ENTRADAS[[#This Row],[CODIGO]],LISTADO[CODIGOS],LISTADO[CATEGORIA]),"NO EXISTE")</f>
        <v/>
      </c>
      <c r="D1177" s="18">
        <f>IFERROR(_xlfn.XLOOKUP(ENTRADAS[[#This Row],[CODIGO]],LISTADO[CODIGOS],LISTADO[PRODUCTOS]),"NO EXISTE")</f>
        <v/>
      </c>
      <c r="E1177" s="19" t="n">
        <v>46106</v>
      </c>
      <c r="F1177" s="18" t="n">
        <v>10</v>
      </c>
      <c r="G1177" s="18" t="inlineStr">
        <is>
          <t>INGRESO</t>
        </is>
      </c>
      <c r="H1177" s="18" t="n"/>
      <c r="I1177" s="45" t="n"/>
      <c r="J1177" s="77" t="n"/>
      <c r="K1177" s="18" t="n"/>
    </row>
    <row r="1178">
      <c r="B1178" s="18" t="inlineStr">
        <is>
          <t>00055-PLM</t>
        </is>
      </c>
      <c r="C1178" s="18">
        <f>IFERROR(_xlfn.XLOOKUP(ENTRADAS[[#This Row],[CODIGO]],LISTADO[CODIGOS],LISTADO[CATEGORIA]),"NO EXISTE")</f>
        <v/>
      </c>
      <c r="D1178" s="18">
        <f>IFERROR(_xlfn.XLOOKUP(ENTRADAS[[#This Row],[CODIGO]],LISTADO[CODIGOS],LISTADO[PRODUCTOS]),"NO EXISTE")</f>
        <v/>
      </c>
      <c r="E1178" s="19" t="n">
        <v>46106</v>
      </c>
      <c r="F1178" s="18" t="n">
        <v>1</v>
      </c>
      <c r="G1178" s="18" t="inlineStr">
        <is>
          <t>INGRESO</t>
        </is>
      </c>
      <c r="H1178" s="18" t="n"/>
      <c r="I1178" s="45" t="n"/>
      <c r="J1178" s="77" t="n"/>
      <c r="K1178" s="18" t="n"/>
    </row>
    <row r="1179">
      <c r="B1179" s="18" t="inlineStr">
        <is>
          <t>00056-PLM</t>
        </is>
      </c>
      <c r="C1179" s="18">
        <f>IFERROR(_xlfn.XLOOKUP(ENTRADAS[[#This Row],[CODIGO]],LISTADO[CODIGOS],LISTADO[CATEGORIA]),"NO EXISTE")</f>
        <v/>
      </c>
      <c r="D1179" s="18">
        <f>IFERROR(_xlfn.XLOOKUP(ENTRADAS[[#This Row],[CODIGO]],LISTADO[CODIGOS],LISTADO[PRODUCTOS]),"NO EXISTE")</f>
        <v/>
      </c>
      <c r="E1179" s="19" t="n">
        <v>46106</v>
      </c>
      <c r="F1179" s="18" t="n">
        <v>1</v>
      </c>
      <c r="G1179" s="18" t="inlineStr">
        <is>
          <t>INGRESO</t>
        </is>
      </c>
      <c r="H1179" s="18" t="n"/>
      <c r="I1179" s="45" t="n"/>
      <c r="J1179" s="77" t="n"/>
      <c r="K1179" s="18" t="n"/>
    </row>
    <row r="1180">
      <c r="B1180" s="56" t="inlineStr">
        <is>
          <t>00080-FER</t>
        </is>
      </c>
      <c r="C1180" s="18">
        <f>IFERROR(_xlfn.XLOOKUP(ENTRADAS[[#This Row],[CODIGO]],LISTADO[CODIGOS],LISTADO[CATEGORIA]),"NO EXISTE")</f>
        <v/>
      </c>
      <c r="D1180" s="18">
        <f>IFERROR(_xlfn.XLOOKUP(ENTRADAS[[#This Row],[CODIGO]],LISTADO[CODIGOS],LISTADO[PRODUCTOS]),"NO EXISTE")</f>
        <v/>
      </c>
      <c r="E1180" s="19" t="n">
        <v>46106</v>
      </c>
      <c r="F1180" s="18" t="n">
        <v>1</v>
      </c>
      <c r="G1180" s="18" t="inlineStr">
        <is>
          <t>INGRESO</t>
        </is>
      </c>
      <c r="H1180" s="18" t="n"/>
      <c r="I1180" s="45" t="n"/>
      <c r="J1180" s="77" t="n"/>
      <c r="K1180" s="18" t="n"/>
    </row>
    <row r="1181">
      <c r="B1181" s="18" t="inlineStr">
        <is>
          <t>00109-REF</t>
        </is>
      </c>
      <c r="C1181" s="18">
        <f>IFERROR(_xlfn.XLOOKUP(ENTRADAS[[#This Row],[CODIGO]],LISTADO[CODIGOS],LISTADO[CATEGORIA]),"NO EXISTE")</f>
        <v/>
      </c>
      <c r="D1181" s="18">
        <f>IFERROR(_xlfn.XLOOKUP(ENTRADAS[[#This Row],[CODIGO]],LISTADO[CODIGOS],LISTADO[PRODUCTOS]),"NO EXISTE")</f>
        <v/>
      </c>
      <c r="E1181" s="19" t="n">
        <v>46106</v>
      </c>
      <c r="F1181" s="18" t="n">
        <v>1</v>
      </c>
      <c r="G1181" s="18" t="inlineStr">
        <is>
          <t>INGRESO</t>
        </is>
      </c>
      <c r="H1181" s="18" t="n"/>
      <c r="I1181" s="45" t="n"/>
      <c r="J1181" s="77" t="n"/>
      <c r="K1181" s="18" t="n"/>
    </row>
    <row r="1182">
      <c r="B1182" s="18" t="inlineStr">
        <is>
          <t>00110-REF</t>
        </is>
      </c>
      <c r="C1182" s="18">
        <f>IFERROR(_xlfn.XLOOKUP(ENTRADAS[[#This Row],[CODIGO]],LISTADO[CODIGOS],LISTADO[CATEGORIA]),"NO EXISTE")</f>
        <v/>
      </c>
      <c r="D1182" s="18">
        <f>IFERROR(_xlfn.XLOOKUP(ENTRADAS[[#This Row],[CODIGO]],LISTADO[CODIGOS],LISTADO[PRODUCTOS]),"NO EXISTE")</f>
        <v/>
      </c>
      <c r="E1182" s="19" t="n">
        <v>46106</v>
      </c>
      <c r="F1182" s="18" t="n">
        <v>1</v>
      </c>
      <c r="G1182" s="18" t="inlineStr">
        <is>
          <t>INGRESO</t>
        </is>
      </c>
      <c r="H1182" s="18" t="n"/>
      <c r="I1182" s="45" t="n"/>
      <c r="J1182" s="77" t="n"/>
      <c r="K1182" s="18" t="n"/>
    </row>
    <row r="1183">
      <c r="B1183" s="18" t="inlineStr">
        <is>
          <t>00111-REF</t>
        </is>
      </c>
      <c r="C1183" s="18">
        <f>IFERROR(_xlfn.XLOOKUP(ENTRADAS[[#This Row],[CODIGO]],LISTADO[CODIGOS],LISTADO[CATEGORIA]),"NO EXISTE")</f>
        <v/>
      </c>
      <c r="D1183" s="18">
        <f>IFERROR(_xlfn.XLOOKUP(ENTRADAS[[#This Row],[CODIGO]],LISTADO[CODIGOS],LISTADO[PRODUCTOS]),"NO EXISTE")</f>
        <v/>
      </c>
      <c r="E1183" s="19" t="n">
        <v>46106</v>
      </c>
      <c r="F1183" s="18" t="n">
        <v>1</v>
      </c>
      <c r="G1183" s="18" t="inlineStr">
        <is>
          <t>INGRESO</t>
        </is>
      </c>
      <c r="H1183" s="18" t="n"/>
      <c r="I1183" s="45" t="n"/>
      <c r="J1183" s="77" t="n"/>
      <c r="K1183" s="18" t="n"/>
    </row>
    <row r="1184">
      <c r="B1184" s="18" t="inlineStr">
        <is>
          <t>00112-REF</t>
        </is>
      </c>
      <c r="C1184" s="18">
        <f>IFERROR(_xlfn.XLOOKUP(ENTRADAS[[#This Row],[CODIGO]],LISTADO[CODIGOS],LISTADO[CATEGORIA]),"NO EXISTE")</f>
        <v/>
      </c>
      <c r="D1184" s="18">
        <f>IFERROR(_xlfn.XLOOKUP(ENTRADAS[[#This Row],[CODIGO]],LISTADO[CODIGOS],LISTADO[PRODUCTOS]),"NO EXISTE")</f>
        <v/>
      </c>
      <c r="E1184" s="19" t="n">
        <v>46106</v>
      </c>
      <c r="F1184" s="18" t="n">
        <v>6</v>
      </c>
      <c r="G1184" s="18" t="inlineStr">
        <is>
          <t>INGRESO</t>
        </is>
      </c>
      <c r="H1184" s="18" t="n"/>
      <c r="I1184" s="45" t="n"/>
      <c r="J1184" s="77" t="n"/>
      <c r="K1184" s="18" t="n"/>
    </row>
    <row r="1185">
      <c r="B1185" s="56" t="inlineStr">
        <is>
          <t>00082-FER</t>
        </is>
      </c>
      <c r="C1185" s="18">
        <f>IFERROR(_xlfn.XLOOKUP(ENTRADAS[[#This Row],[CODIGO]],LISTADO[CODIGOS],LISTADO[CATEGORIA]),"NO EXISTE")</f>
        <v/>
      </c>
      <c r="D1185" s="18">
        <f>IFERROR(_xlfn.XLOOKUP(ENTRADAS[[#This Row],[CODIGO]],LISTADO[CODIGOS],LISTADO[PRODUCTOS]),"NO EXISTE")</f>
        <v/>
      </c>
      <c r="E1185" s="19" t="n">
        <v>46106</v>
      </c>
      <c r="F1185" s="18" t="n">
        <v>1</v>
      </c>
      <c r="G1185" s="18" t="inlineStr">
        <is>
          <t>INGRESO</t>
        </is>
      </c>
      <c r="H1185" s="18" t="n"/>
      <c r="I1185" s="45" t="n"/>
      <c r="J1185" s="77" t="n"/>
      <c r="K1185" s="18" t="n"/>
    </row>
    <row r="1186">
      <c r="B1186" s="18" t="inlineStr">
        <is>
          <t>00108-REF</t>
        </is>
      </c>
      <c r="C1186" s="18">
        <f>IFERROR(_xlfn.XLOOKUP(ENTRADAS[[#This Row],[CODIGO]],LISTADO[CODIGOS],LISTADO[CATEGORIA]),"NO EXISTE")</f>
        <v/>
      </c>
      <c r="D1186" s="18">
        <f>IFERROR(_xlfn.XLOOKUP(ENTRADAS[[#This Row],[CODIGO]],LISTADO[CODIGOS],LISTADO[PRODUCTOS]),"NO EXISTE")</f>
        <v/>
      </c>
      <c r="E1186" s="19" t="n">
        <v>46107</v>
      </c>
      <c r="F1186" s="18" t="n">
        <v>1</v>
      </c>
      <c r="G1186" s="18" t="inlineStr">
        <is>
          <t>INGRESO</t>
        </is>
      </c>
      <c r="H1186" s="18" t="n"/>
      <c r="I1186" s="45" t="n"/>
      <c r="J1186" s="77" t="n"/>
      <c r="K1186" s="18" t="n"/>
    </row>
    <row r="1187">
      <c r="B1187" s="56" t="inlineStr">
        <is>
          <t>00089-FER</t>
        </is>
      </c>
      <c r="C1187" s="18">
        <f>IFERROR(_xlfn.XLOOKUP(ENTRADAS[[#This Row],[CODIGO]],LISTADO[CODIGOS],LISTADO[CATEGORIA]),"NO EXISTE")</f>
        <v/>
      </c>
      <c r="D1187" s="18">
        <f>IFERROR(_xlfn.XLOOKUP(ENTRADAS[[#This Row],[CODIGO]],LISTADO[CODIGOS],LISTADO[PRODUCTOS]),"NO EXISTE")</f>
        <v/>
      </c>
      <c r="E1187" s="19" t="n">
        <v>46107</v>
      </c>
      <c r="F1187" s="18" t="n">
        <v>10</v>
      </c>
      <c r="G1187" s="18" t="inlineStr">
        <is>
          <t>INGRESO</t>
        </is>
      </c>
      <c r="H1187" s="18" t="n"/>
      <c r="I1187" s="45" t="n"/>
      <c r="J1187" s="77" t="n"/>
      <c r="K1187" s="18" t="n"/>
    </row>
    <row r="1188">
      <c r="B1188" s="18" t="inlineStr">
        <is>
          <t>00048-ELC</t>
        </is>
      </c>
      <c r="C1188" s="18">
        <f>IFERROR(_xlfn.XLOOKUP(ENTRADAS[[#This Row],[CODIGO]],LISTADO[CODIGOS],LISTADO[CATEGORIA]),"NO EXISTE")</f>
        <v/>
      </c>
      <c r="D1188" s="18">
        <f>IFERROR(_xlfn.XLOOKUP(ENTRADAS[[#This Row],[CODIGO]],LISTADO[CODIGOS],LISTADO[PRODUCTOS]),"NO EXISTE")</f>
        <v/>
      </c>
      <c r="E1188" s="19" t="n">
        <v>46108</v>
      </c>
      <c r="F1188" s="18" t="n">
        <v>1</v>
      </c>
      <c r="G1188" s="18" t="inlineStr">
        <is>
          <t>INGRESO</t>
        </is>
      </c>
      <c r="H1188" s="18" t="n"/>
      <c r="I1188" s="45" t="n"/>
      <c r="J1188" s="77" t="n"/>
      <c r="K1188" s="18" t="n"/>
    </row>
    <row r="1189">
      <c r="B1189" s="56" t="inlineStr">
        <is>
          <t>00003-ELE</t>
        </is>
      </c>
      <c r="C1189" s="18">
        <f>IFERROR(_xlfn.XLOOKUP(ENTRADAS[[#This Row],[CODIGO]],LISTADO[CODIGOS],LISTADO[CATEGORIA]),"NO EXISTE")</f>
        <v/>
      </c>
      <c r="D1189" s="18">
        <f>IFERROR(_xlfn.XLOOKUP(ENTRADAS[[#This Row],[CODIGO]],LISTADO[CODIGOS],LISTADO[PRODUCTOS]),"NO EXISTE")</f>
        <v/>
      </c>
      <c r="E1189" s="19" t="n">
        <v>46108</v>
      </c>
      <c r="F1189" s="18" t="n">
        <v>100</v>
      </c>
      <c r="G1189" s="18" t="inlineStr">
        <is>
          <t>INGRESO</t>
        </is>
      </c>
      <c r="H1189" s="18" t="n"/>
      <c r="I1189" s="45" t="n"/>
      <c r="J1189" s="77" t="n"/>
      <c r="K1189" s="18" t="n"/>
    </row>
    <row r="1190">
      <c r="B1190" s="56" t="inlineStr">
        <is>
          <t>00089-FER</t>
        </is>
      </c>
      <c r="C1190" s="18">
        <f>IFERROR(_xlfn.XLOOKUP(ENTRADAS[[#This Row],[CODIGO]],LISTADO[CODIGOS],LISTADO[CATEGORIA]),"NO EXISTE")</f>
        <v/>
      </c>
      <c r="D1190" s="18">
        <f>IFERROR(_xlfn.XLOOKUP(ENTRADAS[[#This Row],[CODIGO]],LISTADO[CODIGOS],LISTADO[PRODUCTOS]),"NO EXISTE")</f>
        <v/>
      </c>
      <c r="E1190" s="19" t="n">
        <v>46108</v>
      </c>
      <c r="F1190" s="18" t="n">
        <v>5</v>
      </c>
      <c r="G1190" s="18" t="inlineStr">
        <is>
          <t>INGRESO</t>
        </is>
      </c>
      <c r="H1190" s="18" t="n"/>
      <c r="I1190" s="45" t="n"/>
      <c r="J1190" s="77" t="n"/>
      <c r="K1190" s="18" t="n"/>
    </row>
    <row r="1191">
      <c r="B1191" s="18" t="inlineStr">
        <is>
          <t>00057-PLM</t>
        </is>
      </c>
      <c r="C1191" s="18">
        <f>IFERROR(_xlfn.XLOOKUP(ENTRADAS[[#This Row],[CODIGO]],LISTADO[CODIGOS],LISTADO[CATEGORIA]),"NO EXISTE")</f>
        <v/>
      </c>
      <c r="D1191" s="18">
        <f>IFERROR(_xlfn.XLOOKUP(ENTRADAS[[#This Row],[CODIGO]],LISTADO[CODIGOS],LISTADO[PRODUCTOS]),"NO EXISTE")</f>
        <v/>
      </c>
      <c r="E1191" s="19" t="n">
        <v>46108</v>
      </c>
      <c r="F1191" s="18" t="n">
        <v>1</v>
      </c>
      <c r="G1191" s="18" t="inlineStr">
        <is>
          <t>INGRESO</t>
        </is>
      </c>
      <c r="H1191" s="18" t="n"/>
      <c r="I1191" s="45" t="n"/>
      <c r="J1191" s="77" t="n"/>
      <c r="K1191" s="18" t="n"/>
    </row>
    <row r="1192">
      <c r="B1192" s="56" t="inlineStr">
        <is>
          <t>00056-ELE</t>
        </is>
      </c>
      <c r="C1192" s="18">
        <f>IFERROR(_xlfn.XLOOKUP(ENTRADAS[[#This Row],[CODIGO]],LISTADO[CODIGOS],LISTADO[CATEGORIA]),"NO EXISTE")</f>
        <v/>
      </c>
      <c r="D1192" s="18">
        <f>IFERROR(_xlfn.XLOOKUP(ENTRADAS[[#This Row],[CODIGO]],LISTADO[CODIGOS],LISTADO[PRODUCTOS]),"NO EXISTE")</f>
        <v/>
      </c>
      <c r="E1192" s="19" t="n">
        <v>46108</v>
      </c>
      <c r="F1192" s="18" t="n">
        <v>30</v>
      </c>
      <c r="G1192" s="18" t="inlineStr">
        <is>
          <t>INGRESO</t>
        </is>
      </c>
      <c r="H1192" s="18" t="n"/>
      <c r="I1192" s="45" t="n"/>
      <c r="J1192" s="77" t="n"/>
      <c r="K1192" s="18" t="n"/>
    </row>
    <row r="1193">
      <c r="B1193" s="56" t="inlineStr">
        <is>
          <t>00010-PLM</t>
        </is>
      </c>
      <c r="C1193" s="18">
        <f>IFERROR(_xlfn.XLOOKUP(ENTRADAS[[#This Row],[CODIGO]],LISTADO[CODIGOS],LISTADO[CATEGORIA]),"NO EXISTE")</f>
        <v/>
      </c>
      <c r="D1193" s="18">
        <f>IFERROR(_xlfn.XLOOKUP(ENTRADAS[[#This Row],[CODIGO]],LISTADO[CODIGOS],LISTADO[PRODUCTOS]),"NO EXISTE")</f>
        <v/>
      </c>
      <c r="E1193" s="19" t="n">
        <v>46108</v>
      </c>
      <c r="F1193" s="18" t="n">
        <v>1</v>
      </c>
      <c r="G1193" s="18" t="inlineStr">
        <is>
          <t>INGRESO</t>
        </is>
      </c>
      <c r="H1193" s="18" t="n"/>
      <c r="I1193" s="45" t="n"/>
      <c r="J1193" s="77" t="n"/>
      <c r="K1193" s="18" t="n"/>
    </row>
    <row r="1194">
      <c r="B1194" s="18" t="inlineStr">
        <is>
          <t>00049-ELC</t>
        </is>
      </c>
      <c r="C1194" s="18">
        <f>IFERROR(_xlfn.XLOOKUP(ENTRADAS[[#This Row],[CODIGO]],LISTADO[CODIGOS],LISTADO[CATEGORIA]),"NO EXISTE")</f>
        <v/>
      </c>
      <c r="D1194" s="18">
        <f>IFERROR(_xlfn.XLOOKUP(ENTRADAS[[#This Row],[CODIGO]],LISTADO[CODIGOS],LISTADO[PRODUCTOS]),"NO EXISTE")</f>
        <v/>
      </c>
      <c r="E1194" s="19" t="n">
        <v>46108</v>
      </c>
      <c r="F1194" s="18" t="n">
        <v>2</v>
      </c>
      <c r="G1194" s="18" t="inlineStr">
        <is>
          <t>INGRESO</t>
        </is>
      </c>
      <c r="H1194" s="18" t="n"/>
      <c r="I1194" s="45" t="n"/>
      <c r="J1194" s="77" t="n"/>
      <c r="K1194" s="18" t="n"/>
    </row>
    <row r="1195">
      <c r="B1195" s="18" t="inlineStr">
        <is>
          <t>00113-REF</t>
        </is>
      </c>
      <c r="C1195" s="18">
        <f>IFERROR(_xlfn.XLOOKUP(ENTRADAS[[#This Row],[CODIGO]],LISTADO[CODIGOS],LISTADO[CATEGORIA]),"NO EXISTE")</f>
        <v/>
      </c>
      <c r="D1195" s="18">
        <f>IFERROR(_xlfn.XLOOKUP(ENTRADAS[[#This Row],[CODIGO]],LISTADO[CODIGOS],LISTADO[PRODUCTOS]),"NO EXISTE")</f>
        <v/>
      </c>
      <c r="E1195" s="19" t="n">
        <v>46108</v>
      </c>
      <c r="F1195" s="18" t="n">
        <v>1</v>
      </c>
      <c r="G1195" s="18" t="inlineStr">
        <is>
          <t>INGRESO</t>
        </is>
      </c>
      <c r="H1195" s="18" t="n"/>
      <c r="I1195" s="45" t="n"/>
      <c r="J1195" s="77" t="n"/>
      <c r="K1195" s="18" t="n"/>
    </row>
    <row r="1196">
      <c r="B1196" s="18" t="inlineStr">
        <is>
          <t>00110-REF</t>
        </is>
      </c>
      <c r="C1196" s="18">
        <f>IFERROR(_xlfn.XLOOKUP(ENTRADAS[[#This Row],[CODIGO]],LISTADO[CODIGOS],LISTADO[CATEGORIA]),"NO EXISTE")</f>
        <v/>
      </c>
      <c r="D1196" s="18">
        <f>IFERROR(_xlfn.XLOOKUP(ENTRADAS[[#This Row],[CODIGO]],LISTADO[CODIGOS],LISTADO[PRODUCTOS]),"NO EXISTE")</f>
        <v/>
      </c>
      <c r="E1196" s="19" t="n">
        <v>46108</v>
      </c>
      <c r="F1196" s="18" t="n">
        <v>1</v>
      </c>
      <c r="G1196" s="18" t="inlineStr">
        <is>
          <t>INGRESO</t>
        </is>
      </c>
      <c r="H1196" s="18" t="n"/>
      <c r="I1196" s="45" t="n"/>
      <c r="J1196" s="77" t="n"/>
      <c r="K1196" s="18" t="n"/>
    </row>
    <row r="1197">
      <c r="B1197" s="18" t="inlineStr">
        <is>
          <t>00177-FER</t>
        </is>
      </c>
      <c r="C1197" s="18">
        <f>IFERROR(_xlfn.XLOOKUP(ENTRADAS[[#This Row],[CODIGO]],LISTADO[CODIGOS],LISTADO[CATEGORIA]),"NO EXISTE")</f>
        <v/>
      </c>
      <c r="D1197" s="18">
        <f>IFERROR(_xlfn.XLOOKUP(ENTRADAS[[#This Row],[CODIGO]],LISTADO[CODIGOS],LISTADO[PRODUCTOS]),"NO EXISTE")</f>
        <v/>
      </c>
      <c r="E1197" s="19" t="n">
        <v>46108</v>
      </c>
      <c r="F1197" s="18" t="n">
        <v>1</v>
      </c>
      <c r="G1197" s="18" t="inlineStr">
        <is>
          <t>INGRESO</t>
        </is>
      </c>
      <c r="H1197" s="18" t="n"/>
      <c r="I1197" s="45" t="n"/>
      <c r="J1197" s="77" t="n"/>
      <c r="K1197" s="18" t="n"/>
    </row>
    <row r="1198">
      <c r="B1198" s="18" t="inlineStr">
        <is>
          <t>00178-FER</t>
        </is>
      </c>
      <c r="C1198" s="18">
        <f>IFERROR(_xlfn.XLOOKUP(ENTRADAS[[#This Row],[CODIGO]],LISTADO[CODIGOS],LISTADO[CATEGORIA]),"NO EXISTE")</f>
        <v/>
      </c>
      <c r="D1198" s="18">
        <f>IFERROR(_xlfn.XLOOKUP(ENTRADAS[[#This Row],[CODIGO]],LISTADO[CODIGOS],LISTADO[PRODUCTOS]),"NO EXISTE")</f>
        <v/>
      </c>
      <c r="E1198" s="19" t="n">
        <v>46108</v>
      </c>
      <c r="F1198" s="18" t="n">
        <v>3</v>
      </c>
      <c r="G1198" s="18" t="inlineStr">
        <is>
          <t>INGRESO</t>
        </is>
      </c>
      <c r="H1198" s="18" t="n"/>
      <c r="I1198" s="45" t="n"/>
      <c r="J1198" s="77" t="n"/>
      <c r="K1198" s="18" t="n"/>
    </row>
    <row r="1199">
      <c r="B1199" s="18" t="inlineStr">
        <is>
          <t>00054-PLM</t>
        </is>
      </c>
      <c r="C1199" s="18">
        <f>IFERROR(_xlfn.XLOOKUP(ENTRADAS[[#This Row],[CODIGO]],LISTADO[CODIGOS],LISTADO[CATEGORIA]),"NO EXISTE")</f>
        <v/>
      </c>
      <c r="D1199" s="18">
        <f>IFERROR(_xlfn.XLOOKUP(ENTRADAS[[#This Row],[CODIGO]],LISTADO[CODIGOS],LISTADO[PRODUCTOS]),"NO EXISTE")</f>
        <v/>
      </c>
      <c r="E1199" s="19" t="n">
        <v>46108</v>
      </c>
      <c r="F1199" s="18" t="n">
        <v>1</v>
      </c>
      <c r="G1199" s="18" t="inlineStr">
        <is>
          <t>INGRESO</t>
        </is>
      </c>
      <c r="H1199" s="18" t="n"/>
      <c r="I1199" s="45" t="n"/>
      <c r="J1199" s="77" t="n"/>
      <c r="K1199" s="18" t="n"/>
    </row>
    <row r="1200">
      <c r="B1200" s="18" t="inlineStr">
        <is>
          <t>00115-REF</t>
        </is>
      </c>
      <c r="C1200" s="18">
        <f>IFERROR(_xlfn.XLOOKUP(ENTRADAS[[#This Row],[CODIGO]],LISTADO[CODIGOS],LISTADO[CATEGORIA]),"NO EXISTE")</f>
        <v/>
      </c>
      <c r="D1200" s="18">
        <f>IFERROR(_xlfn.XLOOKUP(ENTRADAS[[#This Row],[CODIGO]],LISTADO[CODIGOS],LISTADO[PRODUCTOS]),"NO EXISTE")</f>
        <v/>
      </c>
      <c r="E1200" s="19" t="n">
        <v>46109</v>
      </c>
      <c r="F1200" s="18" t="n">
        <v>5</v>
      </c>
      <c r="G1200" s="18" t="inlineStr">
        <is>
          <t>INGRESO</t>
        </is>
      </c>
      <c r="H1200" s="18" t="n"/>
      <c r="I1200" s="45" t="n"/>
      <c r="J1200" s="77" t="n"/>
      <c r="K1200" s="18" t="n"/>
    </row>
    <row r="1201">
      <c r="B1201" s="18" t="inlineStr">
        <is>
          <t>00116-REF</t>
        </is>
      </c>
      <c r="C1201" s="18">
        <f>IFERROR(_xlfn.XLOOKUP(ENTRADAS[[#This Row],[CODIGO]],LISTADO[CODIGOS],LISTADO[CATEGORIA]),"NO EXISTE")</f>
        <v/>
      </c>
      <c r="D1201" s="18">
        <f>IFERROR(_xlfn.XLOOKUP(ENTRADAS[[#This Row],[CODIGO]],LISTADO[CODIGOS],LISTADO[PRODUCTOS]),"NO EXISTE")</f>
        <v/>
      </c>
      <c r="E1201" s="19" t="n">
        <v>46109</v>
      </c>
      <c r="F1201" s="18" t="n">
        <v>3</v>
      </c>
      <c r="G1201" s="18" t="inlineStr">
        <is>
          <t>INGRESO</t>
        </is>
      </c>
      <c r="H1201" s="18" t="n"/>
      <c r="I1201" s="45" t="n"/>
      <c r="J1201" s="77" t="n"/>
      <c r="K1201" s="18" t="n"/>
    </row>
    <row r="1202">
      <c r="B1202" s="18" t="inlineStr">
        <is>
          <t>00117-REF</t>
        </is>
      </c>
      <c r="C1202" s="18">
        <f>IFERROR(_xlfn.XLOOKUP(ENTRADAS[[#This Row],[CODIGO]],LISTADO[CODIGOS],LISTADO[CATEGORIA]),"NO EXISTE")</f>
        <v/>
      </c>
      <c r="D1202" s="18">
        <f>IFERROR(_xlfn.XLOOKUP(ENTRADAS[[#This Row],[CODIGO]],LISTADO[CODIGOS],LISTADO[PRODUCTOS]),"NO EXISTE")</f>
        <v/>
      </c>
      <c r="E1202" s="19" t="n">
        <v>46109</v>
      </c>
      <c r="F1202" s="18" t="n">
        <v>5</v>
      </c>
      <c r="G1202" s="18" t="inlineStr">
        <is>
          <t>INGRESO</t>
        </is>
      </c>
      <c r="H1202" s="18" t="n"/>
      <c r="I1202" s="45" t="n"/>
      <c r="J1202" s="77" t="n"/>
      <c r="K1202" s="18" t="n"/>
    </row>
    <row r="1203">
      <c r="B1203" s="56" t="inlineStr">
        <is>
          <t>00084-REF</t>
        </is>
      </c>
      <c r="C1203" s="18">
        <f>IFERROR(_xlfn.XLOOKUP(ENTRADAS[[#This Row],[CODIGO]],LISTADO[CODIGOS],LISTADO[CATEGORIA]),"NO EXISTE")</f>
        <v/>
      </c>
      <c r="D1203" s="18">
        <f>IFERROR(_xlfn.XLOOKUP(ENTRADAS[[#This Row],[CODIGO]],LISTADO[CODIGOS],LISTADO[PRODUCTOS]),"NO EXISTE")</f>
        <v/>
      </c>
      <c r="E1203" s="19" t="n">
        <v>46109</v>
      </c>
      <c r="F1203" s="18" t="n">
        <v>5</v>
      </c>
      <c r="G1203" s="18" t="inlineStr">
        <is>
          <t>INGRESO</t>
        </is>
      </c>
      <c r="H1203" s="18" t="n"/>
      <c r="I1203" s="45" t="n"/>
      <c r="J1203" s="77" t="n"/>
      <c r="K1203" s="18" t="n"/>
    </row>
    <row r="1204">
      <c r="B1204" s="56" t="inlineStr">
        <is>
          <t>00085-REF</t>
        </is>
      </c>
      <c r="C1204" s="18">
        <f>IFERROR(_xlfn.XLOOKUP(ENTRADAS[[#This Row],[CODIGO]],LISTADO[CODIGOS],LISTADO[CATEGORIA]),"NO EXISTE")</f>
        <v/>
      </c>
      <c r="D1204" s="18">
        <f>IFERROR(_xlfn.XLOOKUP(ENTRADAS[[#This Row],[CODIGO]],LISTADO[CODIGOS],LISTADO[PRODUCTOS]),"NO EXISTE")</f>
        <v/>
      </c>
      <c r="E1204" s="19" t="n">
        <v>46109</v>
      </c>
      <c r="F1204" s="18" t="n">
        <v>5</v>
      </c>
      <c r="G1204" s="18" t="inlineStr">
        <is>
          <t>INGRESO</t>
        </is>
      </c>
      <c r="H1204" s="18" t="n"/>
      <c r="I1204" s="45" t="n"/>
      <c r="J1204" s="77" t="n"/>
      <c r="K1204" s="18" t="n"/>
    </row>
    <row r="1205">
      <c r="B1205" s="56" t="inlineStr">
        <is>
          <t>00074-FER</t>
        </is>
      </c>
      <c r="C1205" s="18">
        <f>IFERROR(_xlfn.XLOOKUP(ENTRADAS[[#This Row],[CODIGO]],LISTADO[CODIGOS],LISTADO[CATEGORIA]),"NO EXISTE")</f>
        <v/>
      </c>
      <c r="D1205" s="18">
        <f>IFERROR(_xlfn.XLOOKUP(ENTRADAS[[#This Row],[CODIGO]],LISTADO[CODIGOS],LISTADO[PRODUCTOS]),"NO EXISTE")</f>
        <v/>
      </c>
      <c r="E1205" s="19" t="n">
        <v>46109</v>
      </c>
      <c r="F1205" s="18" t="n">
        <v>2</v>
      </c>
      <c r="G1205" s="18" t="inlineStr">
        <is>
          <t>INGRESO</t>
        </is>
      </c>
      <c r="H1205" s="18" t="n"/>
      <c r="I1205" s="45" t="n"/>
      <c r="J1205" s="77" t="n"/>
      <c r="K1205" s="18" t="n"/>
    </row>
    <row r="1206">
      <c r="B1206" s="56" t="inlineStr">
        <is>
          <t>00051-REF</t>
        </is>
      </c>
      <c r="C1206" s="18">
        <f>IFERROR(_xlfn.XLOOKUP(ENTRADAS[[#This Row],[CODIGO]],LISTADO[CODIGOS],LISTADO[CATEGORIA]),"NO EXISTE")</f>
        <v/>
      </c>
      <c r="D1206" s="18">
        <f>IFERROR(_xlfn.XLOOKUP(ENTRADAS[[#This Row],[CODIGO]],LISTADO[CODIGOS],LISTADO[PRODUCTOS]),"NO EXISTE")</f>
        <v/>
      </c>
      <c r="E1206" s="19" t="n">
        <v>46109</v>
      </c>
      <c r="F1206" s="18" t="n">
        <v>5</v>
      </c>
      <c r="G1206" s="18" t="inlineStr">
        <is>
          <t>INGRESO</t>
        </is>
      </c>
      <c r="H1206" s="18" t="n"/>
      <c r="I1206" s="45" t="n"/>
      <c r="J1206" s="77" t="n"/>
      <c r="K1206" s="18" t="n"/>
    </row>
    <row r="1207">
      <c r="B1207" s="56" t="inlineStr">
        <is>
          <t>00035-REF</t>
        </is>
      </c>
      <c r="C1207" s="18">
        <f>IFERROR(_xlfn.XLOOKUP(ENTRADAS[[#This Row],[CODIGO]],LISTADO[CODIGOS],LISTADO[CATEGORIA]),"NO EXISTE")</f>
        <v/>
      </c>
      <c r="D1207" s="18">
        <f>IFERROR(_xlfn.XLOOKUP(ENTRADAS[[#This Row],[CODIGO]],LISTADO[CODIGOS],LISTADO[PRODUCTOS]),"NO EXISTE")</f>
        <v/>
      </c>
      <c r="E1207" s="19" t="n">
        <v>46109</v>
      </c>
      <c r="F1207" s="18" t="n">
        <v>5</v>
      </c>
      <c r="G1207" s="18" t="inlineStr">
        <is>
          <t>INGRESO</t>
        </is>
      </c>
      <c r="H1207" s="18" t="n"/>
      <c r="I1207" s="45" t="n"/>
      <c r="J1207" s="77" t="n"/>
      <c r="K1207" s="18" t="n"/>
    </row>
    <row r="1208">
      <c r="B1208" s="56" t="inlineStr">
        <is>
          <t>00036-REF</t>
        </is>
      </c>
      <c r="C1208" s="18">
        <f>IFERROR(_xlfn.XLOOKUP(ENTRADAS[[#This Row],[CODIGO]],LISTADO[CODIGOS],LISTADO[CATEGORIA]),"NO EXISTE")</f>
        <v/>
      </c>
      <c r="D1208" s="18">
        <f>IFERROR(_xlfn.XLOOKUP(ENTRADAS[[#This Row],[CODIGO]],LISTADO[CODIGOS],LISTADO[PRODUCTOS]),"NO EXISTE")</f>
        <v/>
      </c>
      <c r="E1208" s="19" t="n">
        <v>46109</v>
      </c>
      <c r="F1208" s="18" t="n">
        <v>24</v>
      </c>
      <c r="G1208" s="18" t="inlineStr">
        <is>
          <t>INGRESO</t>
        </is>
      </c>
      <c r="H1208" s="18" t="n"/>
      <c r="I1208" s="45" t="n"/>
      <c r="J1208" s="77" t="n"/>
      <c r="K1208" s="18" t="n"/>
    </row>
    <row r="1209">
      <c r="B1209" s="18" t="inlineStr">
        <is>
          <t>00114-REF</t>
        </is>
      </c>
      <c r="C1209" s="18">
        <f>IFERROR(_xlfn.XLOOKUP(ENTRADAS[[#This Row],[CODIGO]],LISTADO[CODIGOS],LISTADO[CATEGORIA]),"NO EXISTE")</f>
        <v/>
      </c>
      <c r="D1209" s="18">
        <f>IFERROR(_xlfn.XLOOKUP(ENTRADAS[[#This Row],[CODIGO]],LISTADO[CODIGOS],LISTADO[PRODUCTOS]),"NO EXISTE")</f>
        <v/>
      </c>
      <c r="E1209" s="19" t="n">
        <v>46109</v>
      </c>
      <c r="F1209" s="18" t="n">
        <v>5</v>
      </c>
      <c r="G1209" s="18" t="inlineStr">
        <is>
          <t>INGRESO</t>
        </is>
      </c>
      <c r="H1209" s="18" t="n"/>
      <c r="I1209" s="45" t="n"/>
      <c r="J1209" s="77" t="n"/>
      <c r="K1209" s="18" t="n"/>
    </row>
    <row r="1210">
      <c r="B1210" s="18" t="inlineStr">
        <is>
          <t>00050-ELC</t>
        </is>
      </c>
      <c r="C1210" s="18">
        <f>IFERROR(_xlfn.XLOOKUP(ENTRADAS[[#This Row],[CODIGO]],LISTADO[CODIGOS],LISTADO[CATEGORIA]),"NO EXISTE")</f>
        <v/>
      </c>
      <c r="D1210" s="18">
        <f>IFERROR(_xlfn.XLOOKUP(ENTRADAS[[#This Row],[CODIGO]],LISTADO[CODIGOS],LISTADO[PRODUCTOS]),"NO EXISTE")</f>
        <v/>
      </c>
      <c r="E1210" s="19" t="n">
        <v>46109</v>
      </c>
      <c r="F1210" s="18" t="n">
        <v>2</v>
      </c>
      <c r="G1210" s="18" t="inlineStr">
        <is>
          <t>INGRESO</t>
        </is>
      </c>
      <c r="H1210" s="18" t="n"/>
      <c r="I1210" s="45" t="n"/>
      <c r="J1210" s="77" t="n"/>
      <c r="K1210" s="18" t="n"/>
    </row>
    <row r="1211">
      <c r="B1211" s="18" t="inlineStr">
        <is>
          <t>00051-ELC</t>
        </is>
      </c>
      <c r="C1211" s="18">
        <f>IFERROR(_xlfn.XLOOKUP(ENTRADAS[[#This Row],[CODIGO]],LISTADO[CODIGOS],LISTADO[CATEGORIA]),"NO EXISTE")</f>
        <v/>
      </c>
      <c r="D1211" s="18">
        <f>IFERROR(_xlfn.XLOOKUP(ENTRADAS[[#This Row],[CODIGO]],LISTADO[CODIGOS],LISTADO[PRODUCTOS]),"NO EXISTE")</f>
        <v/>
      </c>
      <c r="E1211" s="19" t="n">
        <v>46109</v>
      </c>
      <c r="F1211" s="18" t="n">
        <v>3</v>
      </c>
      <c r="G1211" s="18" t="inlineStr">
        <is>
          <t>INGRESO</t>
        </is>
      </c>
      <c r="H1211" s="18" t="n"/>
      <c r="I1211" s="45" t="n"/>
      <c r="J1211" s="77" t="n"/>
      <c r="K1211" s="18" t="n"/>
    </row>
    <row r="1212">
      <c r="B1212" s="18" t="inlineStr">
        <is>
          <t>00052-ELC</t>
        </is>
      </c>
      <c r="C1212" s="18">
        <f>IFERROR(_xlfn.XLOOKUP(ENTRADAS[[#This Row],[CODIGO]],LISTADO[CODIGOS],LISTADO[CATEGORIA]),"NO EXISTE")</f>
        <v/>
      </c>
      <c r="D1212" s="18">
        <f>IFERROR(_xlfn.XLOOKUP(ENTRADAS[[#This Row],[CODIGO]],LISTADO[CODIGOS],LISTADO[PRODUCTOS]),"NO EXISTE")</f>
        <v/>
      </c>
      <c r="E1212" s="19" t="n">
        <v>46109</v>
      </c>
      <c r="F1212" s="18" t="n">
        <v>1</v>
      </c>
      <c r="G1212" s="18" t="inlineStr">
        <is>
          <t>INGRESO</t>
        </is>
      </c>
      <c r="H1212" s="18" t="n"/>
      <c r="I1212" s="45" t="n"/>
      <c r="J1212" s="77" t="n"/>
      <c r="K1212" s="18" t="n"/>
    </row>
    <row r="1213">
      <c r="B1213" s="18" t="inlineStr">
        <is>
          <t>00053-ELC</t>
        </is>
      </c>
      <c r="C1213" s="18">
        <f>IFERROR(_xlfn.XLOOKUP(ENTRADAS[[#This Row],[CODIGO]],LISTADO[CODIGOS],LISTADO[CATEGORIA]),"NO EXISTE")</f>
        <v/>
      </c>
      <c r="D1213" s="18">
        <f>IFERROR(_xlfn.XLOOKUP(ENTRADAS[[#This Row],[CODIGO]],LISTADO[CODIGOS],LISTADO[PRODUCTOS]),"NO EXISTE")</f>
        <v/>
      </c>
      <c r="E1213" s="19" t="n">
        <v>46109</v>
      </c>
      <c r="F1213" s="18" t="n">
        <v>2</v>
      </c>
      <c r="G1213" s="18" t="inlineStr">
        <is>
          <t>INGRESO</t>
        </is>
      </c>
      <c r="H1213" s="18" t="n"/>
      <c r="I1213" s="45" t="n"/>
      <c r="J1213" s="77" t="n"/>
      <c r="K1213" s="18" t="n"/>
    </row>
    <row r="1214">
      <c r="B1214" s="18" t="inlineStr">
        <is>
          <t>00054-ELC</t>
        </is>
      </c>
      <c r="C1214" s="18">
        <f>IFERROR(_xlfn.XLOOKUP(ENTRADAS[[#This Row],[CODIGO]],LISTADO[CODIGOS],LISTADO[CATEGORIA]),"NO EXISTE")</f>
        <v/>
      </c>
      <c r="D1214" s="18">
        <f>IFERROR(_xlfn.XLOOKUP(ENTRADAS[[#This Row],[CODIGO]],LISTADO[CODIGOS],LISTADO[PRODUCTOS]),"NO EXISTE")</f>
        <v/>
      </c>
      <c r="E1214" s="19" t="n">
        <v>46109</v>
      </c>
      <c r="F1214" s="18" t="n">
        <v>1</v>
      </c>
      <c r="G1214" s="18" t="inlineStr">
        <is>
          <t>INGRESO</t>
        </is>
      </c>
      <c r="H1214" s="18" t="n"/>
      <c r="I1214" s="45" t="n"/>
      <c r="J1214" s="77" t="n"/>
      <c r="K1214" s="18" t="n"/>
    </row>
    <row r="1215">
      <c r="B1215" s="18" t="inlineStr">
        <is>
          <t>00179-FER</t>
        </is>
      </c>
      <c r="C1215" s="18">
        <f>IFERROR(_xlfn.XLOOKUP(ENTRADAS[[#This Row],[CODIGO]],LISTADO[CODIGOS],LISTADO[CATEGORIA]),"NO EXISTE")</f>
        <v/>
      </c>
      <c r="D1215" s="18">
        <f>IFERROR(_xlfn.XLOOKUP(ENTRADAS[[#This Row],[CODIGO]],LISTADO[CODIGOS],LISTADO[PRODUCTOS]),"NO EXISTE")</f>
        <v/>
      </c>
      <c r="E1215" s="19" t="n">
        <v>46109</v>
      </c>
      <c r="F1215" s="18" t="n">
        <v>3</v>
      </c>
      <c r="G1215" s="18" t="inlineStr">
        <is>
          <t>INGRESO</t>
        </is>
      </c>
      <c r="H1215" s="18" t="n"/>
      <c r="I1215" s="45" t="n"/>
      <c r="J1215" s="77" t="n"/>
      <c r="K1215" s="18" t="n"/>
    </row>
    <row r="1216">
      <c r="B1216" s="18" t="inlineStr">
        <is>
          <t>00055-ELC</t>
        </is>
      </c>
      <c r="C1216" s="18">
        <f>IFERROR(_xlfn.XLOOKUP(ENTRADAS[[#This Row],[CODIGO]],LISTADO[CODIGOS],LISTADO[CATEGORIA]),"NO EXISTE")</f>
        <v/>
      </c>
      <c r="D1216" s="18">
        <f>IFERROR(_xlfn.XLOOKUP(ENTRADAS[[#This Row],[CODIGO]],LISTADO[CODIGOS],LISTADO[PRODUCTOS]),"NO EXISTE")</f>
        <v/>
      </c>
      <c r="E1216" s="19" t="n">
        <v>46109</v>
      </c>
      <c r="F1216" s="18" t="n">
        <v>1</v>
      </c>
      <c r="G1216" s="18" t="inlineStr">
        <is>
          <t>INGRESO</t>
        </is>
      </c>
      <c r="H1216" s="18" t="n"/>
      <c r="I1216" s="45" t="n"/>
      <c r="J1216" s="77" t="n"/>
      <c r="K1216" s="18" t="n"/>
    </row>
    <row r="1217">
      <c r="B1217" s="56" t="inlineStr">
        <is>
          <t>00034-OFC</t>
        </is>
      </c>
      <c r="C1217" s="18">
        <f>IFERROR(_xlfn.XLOOKUP(ENTRADAS[[#This Row],[CODIGO]],LISTADO[CODIGOS],LISTADO[CATEGORIA]),"NO EXISTE")</f>
        <v/>
      </c>
      <c r="D1217" s="18">
        <f>IFERROR(_xlfn.XLOOKUP(ENTRADAS[[#This Row],[CODIGO]],LISTADO[CODIGOS],LISTADO[PRODUCTOS]),"NO EXISTE")</f>
        <v/>
      </c>
      <c r="E1217" s="19" t="n">
        <v>46109</v>
      </c>
      <c r="F1217" s="18" t="n">
        <v>12</v>
      </c>
      <c r="G1217" s="18" t="inlineStr">
        <is>
          <t>INGRESO</t>
        </is>
      </c>
      <c r="H1217" s="18" t="n"/>
      <c r="I1217" s="45" t="n"/>
      <c r="J1217" s="77" t="n"/>
      <c r="K1217" s="18" t="n"/>
    </row>
    <row r="1218">
      <c r="B1218" s="18" t="inlineStr">
        <is>
          <t>00035-OFC</t>
        </is>
      </c>
      <c r="C1218" s="18">
        <f>IFERROR(_xlfn.XLOOKUP(ENTRADAS[[#This Row],[CODIGO]],LISTADO[CODIGOS],LISTADO[CATEGORIA]),"NO EXISTE")</f>
        <v/>
      </c>
      <c r="D1218" s="18">
        <f>IFERROR(_xlfn.XLOOKUP(ENTRADAS[[#This Row],[CODIGO]],LISTADO[CODIGOS],LISTADO[PRODUCTOS]),"NO EXISTE")</f>
        <v/>
      </c>
      <c r="E1218" s="19" t="n">
        <v>46109</v>
      </c>
      <c r="F1218" s="18" t="n">
        <v>1</v>
      </c>
      <c r="G1218" s="18" t="inlineStr">
        <is>
          <t>INGRESO</t>
        </is>
      </c>
      <c r="H1218" s="18" t="n"/>
      <c r="I1218" s="45" t="n"/>
      <c r="J1218" s="77" t="n"/>
      <c r="K1218" s="18" t="n"/>
    </row>
    <row r="1219">
      <c r="B1219" s="56" t="inlineStr">
        <is>
          <t>00012-OFC</t>
        </is>
      </c>
      <c r="C1219" s="18">
        <f>IFERROR(_xlfn.XLOOKUP(ENTRADAS[[#This Row],[CODIGO]],LISTADO[CODIGOS],LISTADO[CATEGORIA]),"NO EXISTE")</f>
        <v/>
      </c>
      <c r="D1219" s="18">
        <f>IFERROR(_xlfn.XLOOKUP(ENTRADAS[[#This Row],[CODIGO]],LISTADO[CODIGOS],LISTADO[PRODUCTOS]),"NO EXISTE")</f>
        <v/>
      </c>
      <c r="E1219" s="19" t="n">
        <v>46109</v>
      </c>
      <c r="F1219" s="18" t="n">
        <v>3</v>
      </c>
      <c r="G1219" s="18" t="inlineStr">
        <is>
          <t>INGRESO</t>
        </is>
      </c>
      <c r="H1219" s="18" t="n"/>
      <c r="I1219" s="45" t="n"/>
      <c r="J1219" s="77" t="n"/>
      <c r="K1219" s="18" t="n"/>
    </row>
    <row r="1220">
      <c r="B1220" s="56" t="inlineStr">
        <is>
          <t>00018-OFC</t>
        </is>
      </c>
      <c r="C1220" s="18">
        <f>IFERROR(_xlfn.XLOOKUP(ENTRADAS[[#This Row],[CODIGO]],LISTADO[CODIGOS],LISTADO[CATEGORIA]),"NO EXISTE")</f>
        <v/>
      </c>
      <c r="D1220" s="18">
        <f>IFERROR(_xlfn.XLOOKUP(ENTRADAS[[#This Row],[CODIGO]],LISTADO[CODIGOS],LISTADO[PRODUCTOS]),"NO EXISTE")</f>
        <v/>
      </c>
      <c r="E1220" s="19" t="n">
        <v>46109</v>
      </c>
      <c r="F1220" s="18" t="n">
        <v>12</v>
      </c>
      <c r="G1220" s="18" t="inlineStr">
        <is>
          <t>INGRESO</t>
        </is>
      </c>
      <c r="H1220" s="18" t="n"/>
      <c r="I1220" s="45" t="n"/>
      <c r="J1220" s="77" t="n"/>
      <c r="K1220" s="18" t="n"/>
    </row>
    <row r="1221">
      <c r="B1221" s="56" t="inlineStr">
        <is>
          <t>00015-OFC</t>
        </is>
      </c>
      <c r="C1221" s="18">
        <f>IFERROR(_xlfn.XLOOKUP(ENTRADAS[[#This Row],[CODIGO]],LISTADO[CODIGOS],LISTADO[CATEGORIA]),"NO EXISTE")</f>
        <v/>
      </c>
      <c r="D1221" s="18">
        <f>IFERROR(_xlfn.XLOOKUP(ENTRADAS[[#This Row],[CODIGO]],LISTADO[CODIGOS],LISTADO[PRODUCTOS]),"NO EXISTE")</f>
        <v/>
      </c>
      <c r="E1221" s="19" t="n">
        <v>46109</v>
      </c>
      <c r="F1221" s="18" t="n">
        <v>4</v>
      </c>
      <c r="G1221" s="18" t="inlineStr">
        <is>
          <t>INGRESO</t>
        </is>
      </c>
      <c r="H1221" s="18" t="n"/>
      <c r="I1221" s="45" t="n"/>
      <c r="J1221" s="77" t="n"/>
      <c r="K1221" s="18" t="n"/>
    </row>
    <row r="1222">
      <c r="B1222" s="18" t="inlineStr">
        <is>
          <t>00036-OFC</t>
        </is>
      </c>
      <c r="C1222" s="18">
        <f>IFERROR(_xlfn.XLOOKUP(ENTRADAS[[#This Row],[CODIGO]],LISTADO[CODIGOS],LISTADO[CATEGORIA]),"NO EXISTE")</f>
        <v/>
      </c>
      <c r="D1222" s="18">
        <f>IFERROR(_xlfn.XLOOKUP(ENTRADAS[[#This Row],[CODIGO]],LISTADO[CODIGOS],LISTADO[PRODUCTOS]),"NO EXISTE")</f>
        <v/>
      </c>
      <c r="E1222" s="19" t="n">
        <v>46109</v>
      </c>
      <c r="F1222" s="18" t="n">
        <v>2</v>
      </c>
      <c r="G1222" s="18" t="inlineStr">
        <is>
          <t>INGRESO</t>
        </is>
      </c>
      <c r="H1222" s="18" t="n"/>
      <c r="I1222" s="45" t="n"/>
      <c r="J1222" s="77" t="n"/>
      <c r="K1222" s="18" t="n"/>
    </row>
    <row r="1223">
      <c r="B1223" s="56" t="inlineStr">
        <is>
          <t>00016-OFC</t>
        </is>
      </c>
      <c r="C1223" s="18">
        <f>IFERROR(_xlfn.XLOOKUP(ENTRADAS[[#This Row],[CODIGO]],LISTADO[CODIGOS],LISTADO[CATEGORIA]),"NO EXISTE")</f>
        <v/>
      </c>
      <c r="D1223" s="18">
        <f>IFERROR(_xlfn.XLOOKUP(ENTRADAS[[#This Row],[CODIGO]],LISTADO[CODIGOS],LISTADO[PRODUCTOS]),"NO EXISTE")</f>
        <v/>
      </c>
      <c r="E1223" s="19" t="n">
        <v>46109</v>
      </c>
      <c r="F1223" s="18" t="n">
        <v>3</v>
      </c>
      <c r="G1223" s="18" t="inlineStr">
        <is>
          <t>INGRESO</t>
        </is>
      </c>
      <c r="H1223" s="18" t="n"/>
      <c r="I1223" s="45" t="n"/>
      <c r="J1223" s="77" t="n"/>
      <c r="K1223" s="18" t="n"/>
    </row>
    <row r="1224">
      <c r="B1224" s="18" t="inlineStr">
        <is>
          <t>00037-OFC</t>
        </is>
      </c>
      <c r="C1224" s="18">
        <f>IFERROR(_xlfn.XLOOKUP(ENTRADAS[[#This Row],[CODIGO]],LISTADO[CODIGOS],LISTADO[CATEGORIA]),"NO EXISTE")</f>
        <v/>
      </c>
      <c r="D1224" s="18">
        <f>IFERROR(_xlfn.XLOOKUP(ENTRADAS[[#This Row],[CODIGO]],LISTADO[CODIGOS],LISTADO[PRODUCTOS]),"NO EXISTE")</f>
        <v/>
      </c>
      <c r="E1224" s="19" t="n">
        <v>46109</v>
      </c>
      <c r="F1224" s="18" t="n">
        <v>3</v>
      </c>
      <c r="G1224" s="18" t="inlineStr">
        <is>
          <t>INGRESO</t>
        </is>
      </c>
      <c r="H1224" s="18" t="n"/>
      <c r="I1224" s="45" t="n"/>
      <c r="J1224" s="77" t="n"/>
      <c r="K1224" s="18" t="n"/>
    </row>
    <row r="1225">
      <c r="B1225" s="18" t="inlineStr">
        <is>
          <t>00009-OFC</t>
        </is>
      </c>
      <c r="C1225" s="18">
        <f>IFERROR(_xlfn.XLOOKUP(ENTRADAS[[#This Row],[CODIGO]],LISTADO[CODIGOS],LISTADO[CATEGORIA]),"NO EXISTE")</f>
        <v/>
      </c>
      <c r="D1225" s="18">
        <f>IFERROR(_xlfn.XLOOKUP(ENTRADAS[[#This Row],[CODIGO]],LISTADO[CODIGOS],LISTADO[PRODUCTOS]),"NO EXISTE")</f>
        <v/>
      </c>
      <c r="E1225" s="19" t="n">
        <v>46109</v>
      </c>
      <c r="F1225" s="18" t="n">
        <v>2</v>
      </c>
      <c r="G1225" s="18" t="inlineStr">
        <is>
          <t>INGRESO</t>
        </is>
      </c>
      <c r="H1225" s="18" t="n"/>
      <c r="I1225" s="45" t="n"/>
      <c r="J1225" s="77" t="n"/>
      <c r="K1225" s="18" t="n"/>
    </row>
    <row r="1226">
      <c r="B1226" s="18" t="inlineStr">
        <is>
          <t>00001-OFC</t>
        </is>
      </c>
      <c r="C1226" s="18">
        <f>IFERROR(_xlfn.XLOOKUP(ENTRADAS[[#This Row],[CODIGO]],LISTADO[CODIGOS],LISTADO[CATEGORIA]),"NO EXISTE")</f>
        <v/>
      </c>
      <c r="D1226" s="18">
        <f>IFERROR(_xlfn.XLOOKUP(ENTRADAS[[#This Row],[CODIGO]],LISTADO[CODIGOS],LISTADO[PRODUCTOS]),"NO EXISTE")</f>
        <v/>
      </c>
      <c r="E1226" s="19" t="n">
        <v>46109</v>
      </c>
      <c r="F1226" s="18" t="n">
        <v>2</v>
      </c>
      <c r="G1226" s="18" t="inlineStr">
        <is>
          <t>INGRESO</t>
        </is>
      </c>
      <c r="H1226" s="18" t="n"/>
      <c r="I1226" s="45" t="n"/>
      <c r="J1226" s="77" t="n"/>
      <c r="K1226" s="18" t="n"/>
    </row>
    <row r="1227">
      <c r="B1227" s="18" t="inlineStr">
        <is>
          <t>00056-ELC</t>
        </is>
      </c>
      <c r="C1227" s="18">
        <f>IFERROR(_xlfn.XLOOKUP(ENTRADAS[[#This Row],[CODIGO]],LISTADO[CODIGOS],LISTADO[CATEGORIA]),"NO EXISTE")</f>
        <v/>
      </c>
      <c r="D1227" s="18">
        <f>IFERROR(_xlfn.XLOOKUP(ENTRADAS[[#This Row],[CODIGO]],LISTADO[CODIGOS],LISTADO[PRODUCTOS]),"NO EXISTE")</f>
        <v/>
      </c>
      <c r="E1227" s="19" t="n">
        <v>46111</v>
      </c>
      <c r="F1227" s="18" t="n">
        <v>1</v>
      </c>
      <c r="G1227" s="18" t="inlineStr">
        <is>
          <t>INGRESO</t>
        </is>
      </c>
      <c r="H1227" s="18" t="n"/>
      <c r="I1227" s="45" t="n"/>
      <c r="J1227" s="77" t="n"/>
      <c r="K1227" s="18" t="n"/>
    </row>
    <row r="1228">
      <c r="B1228" s="56" t="inlineStr">
        <is>
          <t>00024-ELC</t>
        </is>
      </c>
      <c r="C1228" s="18">
        <f>IFERROR(_xlfn.XLOOKUP(ENTRADAS[[#This Row],[CODIGO]],LISTADO[CODIGOS],LISTADO[CATEGORIA]),"NO EXISTE")</f>
        <v/>
      </c>
      <c r="D1228" s="18">
        <f>IFERROR(_xlfn.XLOOKUP(ENTRADAS[[#This Row],[CODIGO]],LISTADO[CODIGOS],LISTADO[PRODUCTOS]),"NO EXISTE")</f>
        <v/>
      </c>
      <c r="E1228" s="19" t="n">
        <v>46111</v>
      </c>
      <c r="F1228" s="18" t="n">
        <v>2</v>
      </c>
      <c r="G1228" s="18" t="inlineStr">
        <is>
          <t>INGRESO</t>
        </is>
      </c>
      <c r="H1228" s="18" t="n"/>
      <c r="I1228" s="45" t="n"/>
      <c r="J1228" s="77" t="n"/>
      <c r="K1228" s="18" t="n"/>
    </row>
    <row r="1229">
      <c r="B1229" s="18" t="inlineStr">
        <is>
          <t>00057-ELC</t>
        </is>
      </c>
      <c r="C1229" s="18">
        <f>IFERROR(_xlfn.XLOOKUP(ENTRADAS[[#This Row],[CODIGO]],LISTADO[CODIGOS],LISTADO[CATEGORIA]),"NO EXISTE")</f>
        <v/>
      </c>
      <c r="D1229" s="18">
        <f>IFERROR(_xlfn.XLOOKUP(ENTRADAS[[#This Row],[CODIGO]],LISTADO[CODIGOS],LISTADO[PRODUCTOS]),"NO EXISTE")</f>
        <v/>
      </c>
      <c r="E1229" s="19" t="n">
        <v>46111</v>
      </c>
      <c r="F1229" s="18" t="n">
        <v>1</v>
      </c>
      <c r="G1229" s="18" t="inlineStr">
        <is>
          <t>INGRESO</t>
        </is>
      </c>
      <c r="H1229" s="18" t="n"/>
      <c r="I1229" s="45" t="n"/>
      <c r="J1229" s="77" t="n"/>
      <c r="K1229" s="18" t="n"/>
    </row>
    <row r="1230">
      <c r="B1230" s="18" t="inlineStr">
        <is>
          <t>00058-ELC</t>
        </is>
      </c>
      <c r="C1230" s="18">
        <f>IFERROR(_xlfn.XLOOKUP(ENTRADAS[[#This Row],[CODIGO]],LISTADO[CODIGOS],LISTADO[CATEGORIA]),"NO EXISTE")</f>
        <v/>
      </c>
      <c r="D1230" s="18">
        <f>IFERROR(_xlfn.XLOOKUP(ENTRADAS[[#This Row],[CODIGO]],LISTADO[CODIGOS],LISTADO[PRODUCTOS]),"NO EXISTE")</f>
        <v/>
      </c>
      <c r="E1230" s="19" t="n">
        <v>46111</v>
      </c>
      <c r="F1230" s="18" t="n">
        <v>1</v>
      </c>
      <c r="G1230" s="18" t="inlineStr">
        <is>
          <t>INGRESO</t>
        </is>
      </c>
      <c r="H1230" s="18" t="n"/>
      <c r="I1230" s="45" t="n"/>
      <c r="J1230" s="77" t="n"/>
      <c r="K1230" s="18" t="n"/>
    </row>
    <row r="1231">
      <c r="B1231" s="18" t="inlineStr">
        <is>
          <t>00059-ELC</t>
        </is>
      </c>
      <c r="C1231" s="18">
        <f>IFERROR(_xlfn.XLOOKUP(ENTRADAS[[#This Row],[CODIGO]],LISTADO[CODIGOS],LISTADO[CATEGORIA]),"NO EXISTE")</f>
        <v/>
      </c>
      <c r="D1231" s="18">
        <f>IFERROR(_xlfn.XLOOKUP(ENTRADAS[[#This Row],[CODIGO]],LISTADO[CODIGOS],LISTADO[PRODUCTOS]),"NO EXISTE")</f>
        <v/>
      </c>
      <c r="E1231" s="19" t="n">
        <v>46111</v>
      </c>
      <c r="F1231" s="18" t="n">
        <v>1</v>
      </c>
      <c r="G1231" s="18" t="inlineStr">
        <is>
          <t>INGRESO</t>
        </is>
      </c>
      <c r="H1231" s="18" t="n"/>
      <c r="I1231" s="45" t="n"/>
      <c r="J1231" s="77" t="n"/>
      <c r="K1231" s="18" t="n"/>
    </row>
    <row r="1232">
      <c r="B1232" s="56" t="inlineStr">
        <is>
          <t>00108-HER</t>
        </is>
      </c>
      <c r="C1232" s="18">
        <f>IFERROR(_xlfn.XLOOKUP(ENTRADAS[[#This Row],[CODIGO]],LISTADO[CODIGOS],LISTADO[CATEGORIA]),"NO EXISTE")</f>
        <v/>
      </c>
      <c r="D1232" s="18">
        <f>IFERROR(_xlfn.XLOOKUP(ENTRADAS[[#This Row],[CODIGO]],LISTADO[CODIGOS],LISTADO[PRODUCTOS]),"NO EXISTE")</f>
        <v/>
      </c>
      <c r="E1232" s="19" t="n">
        <v>46111</v>
      </c>
      <c r="F1232" s="18" t="n">
        <v>2</v>
      </c>
      <c r="G1232" s="18" t="inlineStr">
        <is>
          <t>INGRESO</t>
        </is>
      </c>
      <c r="H1232" s="18" t="n"/>
      <c r="I1232" s="45" t="n"/>
      <c r="J1232" s="77" t="n"/>
      <c r="K1232" s="18" t="n"/>
    </row>
    <row r="1233">
      <c r="B1233" s="18" t="inlineStr">
        <is>
          <t>00042-ILU</t>
        </is>
      </c>
      <c r="C1233" s="18">
        <f>IFERROR(_xlfn.XLOOKUP(ENTRADAS[[#This Row],[CODIGO]],LISTADO[CODIGOS],LISTADO[CATEGORIA]),"NO EXISTE")</f>
        <v/>
      </c>
      <c r="D1233" s="18">
        <f>IFERROR(_xlfn.XLOOKUP(ENTRADAS[[#This Row],[CODIGO]],LISTADO[CODIGOS],LISTADO[PRODUCTOS]),"NO EXISTE")</f>
        <v/>
      </c>
      <c r="E1233" s="19" t="n">
        <v>46111</v>
      </c>
      <c r="F1233" s="18" t="n">
        <v>48</v>
      </c>
      <c r="G1233" s="18" t="inlineStr">
        <is>
          <t>INGRESO</t>
        </is>
      </c>
      <c r="H1233" s="18" t="n"/>
      <c r="I1233" s="45" t="n"/>
      <c r="J1233" s="77" t="n"/>
      <c r="K1233" s="18" t="n"/>
    </row>
    <row r="1234">
      <c r="B1234" s="56" t="inlineStr">
        <is>
          <t>00035-ILU</t>
        </is>
      </c>
      <c r="C1234" s="18">
        <f>IFERROR(_xlfn.XLOOKUP(ENTRADAS[[#This Row],[CODIGO]],LISTADO[CODIGOS],LISTADO[CATEGORIA]),"NO EXISTE")</f>
        <v/>
      </c>
      <c r="D1234" s="18">
        <f>IFERROR(_xlfn.XLOOKUP(ENTRADAS[[#This Row],[CODIGO]],LISTADO[CODIGOS],LISTADO[PRODUCTOS]),"NO EXISTE")</f>
        <v/>
      </c>
      <c r="E1234" s="19" t="n">
        <v>46111</v>
      </c>
      <c r="F1234" s="18" t="n">
        <v>8</v>
      </c>
      <c r="G1234" s="18" t="inlineStr">
        <is>
          <t>INGRESO</t>
        </is>
      </c>
      <c r="H1234" s="18" t="n"/>
      <c r="I1234" s="45" t="n"/>
      <c r="J1234" s="77" t="n"/>
      <c r="K1234" s="18" t="n"/>
    </row>
    <row r="1235">
      <c r="B1235" s="56" t="inlineStr">
        <is>
          <t>00011-ILU</t>
        </is>
      </c>
      <c r="C1235" s="18">
        <f>IFERROR(_xlfn.XLOOKUP(ENTRADAS[[#This Row],[CODIGO]],LISTADO[CODIGOS],LISTADO[CATEGORIA]),"NO EXISTE")</f>
        <v/>
      </c>
      <c r="D1235" s="18">
        <f>IFERROR(_xlfn.XLOOKUP(ENTRADAS[[#This Row],[CODIGO]],LISTADO[CODIGOS],LISTADO[PRODUCTOS]),"NO EXISTE")</f>
        <v/>
      </c>
      <c r="E1235" s="19" t="n">
        <v>46111</v>
      </c>
      <c r="F1235" s="18" t="n">
        <v>5</v>
      </c>
      <c r="G1235" s="18" t="inlineStr">
        <is>
          <t>INGRESO</t>
        </is>
      </c>
      <c r="H1235" s="18" t="n"/>
      <c r="I1235" s="45" t="n"/>
      <c r="J1235" s="77" t="n"/>
      <c r="K1235" s="18" t="n"/>
    </row>
    <row r="1236">
      <c r="B1236" s="18" t="inlineStr">
        <is>
          <t>00114-REF</t>
        </is>
      </c>
      <c r="C1236" s="18">
        <f>IFERROR(_xlfn.XLOOKUP(ENTRADAS[[#This Row],[CODIGO]],LISTADO[CODIGOS],LISTADO[CATEGORIA]),"NO EXISTE")</f>
        <v/>
      </c>
      <c r="D1236" s="18">
        <f>IFERROR(_xlfn.XLOOKUP(ENTRADAS[[#This Row],[CODIGO]],LISTADO[CODIGOS],LISTADO[PRODUCTOS]),"NO EXISTE")</f>
        <v/>
      </c>
      <c r="E1236" s="19" t="n">
        <v>46111</v>
      </c>
      <c r="F1236" s="18" t="n">
        <v>2</v>
      </c>
      <c r="G1236" s="18" t="inlineStr">
        <is>
          <t>INGRESO</t>
        </is>
      </c>
      <c r="H1236" s="18" t="n"/>
      <c r="I1236" s="45" t="n"/>
      <c r="J1236" s="77" t="n"/>
      <c r="K1236" s="18" t="n"/>
    </row>
    <row r="1237">
      <c r="B1237" s="18" t="inlineStr">
        <is>
          <t>00114-REF</t>
        </is>
      </c>
      <c r="C1237" s="18">
        <f>IFERROR(_xlfn.XLOOKUP(ENTRADAS[[#This Row],[CODIGO]],LISTADO[CODIGOS],LISTADO[CATEGORIA]),"NO EXISTE")</f>
        <v/>
      </c>
      <c r="D1237" s="18">
        <f>IFERROR(_xlfn.XLOOKUP(ENTRADAS[[#This Row],[CODIGO]],LISTADO[CODIGOS],LISTADO[PRODUCTOS]),"NO EXISTE")</f>
        <v/>
      </c>
      <c r="E1237" s="19" t="n">
        <v>46111</v>
      </c>
      <c r="F1237" s="18" t="n">
        <v>1</v>
      </c>
      <c r="G1237" s="18" t="inlineStr">
        <is>
          <t>DEVOLUCION</t>
        </is>
      </c>
      <c r="H1237" s="18" t="n"/>
      <c r="I1237" s="45" t="n"/>
      <c r="J1237" s="77" t="n"/>
      <c r="K1237" s="18" t="n"/>
    </row>
    <row r="1238">
      <c r="B1238" s="18" t="inlineStr">
        <is>
          <t>00118-REF</t>
        </is>
      </c>
      <c r="C1238" s="18">
        <f>IFERROR(_xlfn.XLOOKUP(ENTRADAS[[#This Row],[CODIGO]],LISTADO[CODIGOS],LISTADO[CATEGORIA]),"NO EXISTE")</f>
        <v/>
      </c>
      <c r="D1238" s="18">
        <f>IFERROR(_xlfn.XLOOKUP(ENTRADAS[[#This Row],[CODIGO]],LISTADO[CODIGOS],LISTADO[PRODUCTOS]),"NO EXISTE")</f>
        <v/>
      </c>
      <c r="E1238" s="19" t="n">
        <v>46111</v>
      </c>
      <c r="F1238" s="18" t="n">
        <v>1</v>
      </c>
      <c r="G1238" s="18" t="inlineStr">
        <is>
          <t>INGRESO</t>
        </is>
      </c>
      <c r="H1238" s="18" t="n"/>
      <c r="I1238" s="45" t="n"/>
      <c r="J1238" s="77" t="n"/>
      <c r="K1238" s="18" t="n"/>
    </row>
    <row r="1239">
      <c r="B1239" s="18" t="inlineStr">
        <is>
          <t>00119-REF</t>
        </is>
      </c>
      <c r="C1239" s="18">
        <f>IFERROR(_xlfn.XLOOKUP(ENTRADAS[[#This Row],[CODIGO]],LISTADO[CODIGOS],LISTADO[CATEGORIA]),"NO EXISTE")</f>
        <v/>
      </c>
      <c r="D1239" s="18">
        <f>IFERROR(_xlfn.XLOOKUP(ENTRADAS[[#This Row],[CODIGO]],LISTADO[CODIGOS],LISTADO[PRODUCTOS]),"NO EXISTE")</f>
        <v/>
      </c>
      <c r="E1239" s="19" t="n">
        <v>46111</v>
      </c>
      <c r="F1239" s="18" t="n">
        <v>1</v>
      </c>
      <c r="G1239" s="18" t="inlineStr">
        <is>
          <t>INGRESO</t>
        </is>
      </c>
      <c r="H1239" s="18" t="n"/>
      <c r="I1239" s="45" t="n"/>
      <c r="J1239" s="77" t="n"/>
      <c r="K1239" s="18" t="n"/>
    </row>
    <row r="1240">
      <c r="B1240" s="18" t="inlineStr">
        <is>
          <t>00119-REF</t>
        </is>
      </c>
      <c r="C1240" s="18">
        <f>IFERROR(_xlfn.XLOOKUP(ENTRADAS[[#This Row],[CODIGO]],LISTADO[CODIGOS],LISTADO[CATEGORIA]),"NO EXISTE")</f>
        <v/>
      </c>
      <c r="D1240" s="18">
        <f>IFERROR(_xlfn.XLOOKUP(ENTRADAS[[#This Row],[CODIGO]],LISTADO[CODIGOS],LISTADO[PRODUCTOS]),"NO EXISTE")</f>
        <v/>
      </c>
      <c r="E1240" s="19" t="n">
        <v>46111</v>
      </c>
      <c r="F1240" s="18" t="n">
        <v>1</v>
      </c>
      <c r="G1240" s="18" t="inlineStr">
        <is>
          <t>DEVOLUCION</t>
        </is>
      </c>
      <c r="H1240" s="18" t="n"/>
      <c r="I1240" s="45" t="n"/>
      <c r="J1240" s="77" t="n"/>
      <c r="K1240" s="18" t="n"/>
    </row>
    <row r="1241">
      <c r="B1241" s="56" t="inlineStr">
        <is>
          <t>00190-FER</t>
        </is>
      </c>
      <c r="C1241" s="18">
        <f>IFERROR(_xlfn.XLOOKUP(ENTRADAS[[#This Row],[CODIGO]],LISTADO[CODIGOS],LISTADO[CATEGORIA]),"NO EXISTE")</f>
        <v/>
      </c>
      <c r="D1241" s="18">
        <f>IFERROR(_xlfn.XLOOKUP(ENTRADAS[[#This Row],[CODIGO]],LISTADO[CODIGOS],LISTADO[PRODUCTOS]),"NO EXISTE")</f>
        <v/>
      </c>
      <c r="E1241" s="19" t="n">
        <v>46111</v>
      </c>
      <c r="F1241" s="18" t="n">
        <v>40</v>
      </c>
      <c r="G1241" s="18" t="inlineStr">
        <is>
          <t>INGRESO</t>
        </is>
      </c>
      <c r="H1241" s="18" t="n"/>
      <c r="I1241" s="45" t="n"/>
      <c r="J1241" s="77" t="n"/>
      <c r="K1241" s="18" t="n"/>
    </row>
    <row r="1242">
      <c r="B1242" s="56" t="inlineStr">
        <is>
          <t>00191-FER</t>
        </is>
      </c>
      <c r="C1242" s="18">
        <f>IFERROR(_xlfn.XLOOKUP(ENTRADAS[[#This Row],[CODIGO]],LISTADO[CODIGOS],LISTADO[CATEGORIA]),"NO EXISTE")</f>
        <v/>
      </c>
      <c r="D1242" s="18">
        <f>IFERROR(_xlfn.XLOOKUP(ENTRADAS[[#This Row],[CODIGO]],LISTADO[CODIGOS],LISTADO[PRODUCTOS]),"NO EXISTE")</f>
        <v/>
      </c>
      <c r="E1242" s="19" t="n">
        <v>46111</v>
      </c>
      <c r="F1242" s="18" t="n">
        <v>40</v>
      </c>
      <c r="G1242" s="18" t="inlineStr">
        <is>
          <t>INGRESO</t>
        </is>
      </c>
      <c r="H1242" s="18" t="n"/>
      <c r="I1242" s="45" t="n"/>
      <c r="J1242" s="77" t="n"/>
      <c r="K1242" s="18" t="n"/>
    </row>
    <row r="1243">
      <c r="B1243" s="18" t="inlineStr">
        <is>
          <t>00025-LIM</t>
        </is>
      </c>
      <c r="C1243" s="18">
        <f>IFERROR(_xlfn.XLOOKUP(ENTRADAS[[#This Row],[CODIGO]],LISTADO[CODIGOS],LISTADO[CATEGORIA]),"NO EXISTE")</f>
        <v/>
      </c>
      <c r="D1243" s="18">
        <f>IFERROR(_xlfn.XLOOKUP(ENTRADAS[[#This Row],[CODIGO]],LISTADO[CODIGOS],LISTADO[PRODUCTOS]),"NO EXISTE")</f>
        <v/>
      </c>
      <c r="E1243" s="19" t="n">
        <v>46111</v>
      </c>
      <c r="F1243" s="18" t="n">
        <v>1</v>
      </c>
      <c r="G1243" s="18" t="inlineStr">
        <is>
          <t>INGRESO</t>
        </is>
      </c>
      <c r="H1243" s="18" t="n"/>
      <c r="I1243" s="45" t="n"/>
      <c r="J1243" s="77" t="n"/>
      <c r="K1243" s="18" t="n"/>
    </row>
    <row r="1244">
      <c r="B1244" s="56" t="inlineStr">
        <is>
          <t>00074-FER</t>
        </is>
      </c>
      <c r="C1244" s="18">
        <f>IFERROR(_xlfn.XLOOKUP(ENTRADAS[[#This Row],[CODIGO]],LISTADO[CODIGOS],LISTADO[CATEGORIA]),"NO EXISTE")</f>
        <v/>
      </c>
      <c r="D1244" s="18">
        <f>IFERROR(_xlfn.XLOOKUP(ENTRADAS[[#This Row],[CODIGO]],LISTADO[CODIGOS],LISTADO[PRODUCTOS]),"NO EXISTE")</f>
        <v/>
      </c>
      <c r="E1244" s="19" t="n">
        <v>46112</v>
      </c>
      <c r="F1244" s="18" t="n">
        <v>10</v>
      </c>
      <c r="G1244" s="18" t="inlineStr">
        <is>
          <t>INGRESO</t>
        </is>
      </c>
      <c r="H1244" s="18" t="n"/>
      <c r="I1244" s="45" t="n"/>
      <c r="J1244" s="77" t="n"/>
      <c r="K1244" s="18" t="n"/>
    </row>
    <row r="1245">
      <c r="B1245" s="18" t="inlineStr">
        <is>
          <t>00180-FER</t>
        </is>
      </c>
      <c r="C1245" s="18">
        <f>IFERROR(_xlfn.XLOOKUP(ENTRADAS[[#This Row],[CODIGO]],LISTADO[CODIGOS],LISTADO[CATEGORIA]),"NO EXISTE")</f>
        <v/>
      </c>
      <c r="D1245" s="18">
        <f>IFERROR(_xlfn.XLOOKUP(ENTRADAS[[#This Row],[CODIGO]],LISTADO[CODIGOS],LISTADO[PRODUCTOS]),"NO EXISTE")</f>
        <v/>
      </c>
      <c r="E1245" s="19" t="n">
        <v>46112</v>
      </c>
      <c r="F1245" s="18" t="n">
        <v>10</v>
      </c>
      <c r="G1245" s="18" t="inlineStr">
        <is>
          <t>INGRESO</t>
        </is>
      </c>
      <c r="H1245" s="18" t="n"/>
      <c r="I1245" s="45" t="n"/>
      <c r="J1245" s="77" t="n"/>
      <c r="K1245" s="18" t="n"/>
    </row>
    <row r="1246">
      <c r="B1246" s="18" t="inlineStr">
        <is>
          <t>00181-FER</t>
        </is>
      </c>
      <c r="C1246" s="18">
        <f>IFERROR(_xlfn.XLOOKUP(ENTRADAS[[#This Row],[CODIGO]],LISTADO[CODIGOS],LISTADO[CATEGORIA]),"NO EXISTE")</f>
        <v/>
      </c>
      <c r="D1246" s="18">
        <f>IFERROR(_xlfn.XLOOKUP(ENTRADAS[[#This Row],[CODIGO]],LISTADO[CODIGOS],LISTADO[PRODUCTOS]),"NO EXISTE")</f>
        <v/>
      </c>
      <c r="E1246" s="19" t="n">
        <v>46112</v>
      </c>
      <c r="F1246" s="18" t="n">
        <v>20</v>
      </c>
      <c r="G1246" s="18" t="inlineStr">
        <is>
          <t>INGRESO</t>
        </is>
      </c>
      <c r="H1246" s="18" t="n"/>
      <c r="I1246" s="45" t="n"/>
      <c r="J1246" s="77" t="n"/>
      <c r="K1246" s="18" t="n"/>
    </row>
    <row r="1247">
      <c r="B1247" s="56" t="inlineStr">
        <is>
          <t>00024-FER</t>
        </is>
      </c>
      <c r="C1247" s="18">
        <f>IFERROR(_xlfn.XLOOKUP(ENTRADAS[[#This Row],[CODIGO]],LISTADO[CODIGOS],LISTADO[CATEGORIA]),"NO EXISTE")</f>
        <v/>
      </c>
      <c r="D1247" s="18">
        <f>IFERROR(_xlfn.XLOOKUP(ENTRADAS[[#This Row],[CODIGO]],LISTADO[CODIGOS],LISTADO[PRODUCTOS]),"NO EXISTE")</f>
        <v/>
      </c>
      <c r="E1247" s="19" t="n">
        <v>46112</v>
      </c>
      <c r="F1247" s="18" t="n">
        <v>8</v>
      </c>
      <c r="G1247" s="18" t="inlineStr">
        <is>
          <t>INGRESO</t>
        </is>
      </c>
      <c r="H1247" s="18" t="n"/>
      <c r="I1247" s="45" t="n"/>
      <c r="J1247" s="77" t="n"/>
      <c r="K1247" s="18" t="n"/>
    </row>
    <row r="1248">
      <c r="B1248" s="18" t="inlineStr">
        <is>
          <t>00116-HER</t>
        </is>
      </c>
      <c r="C1248" s="18">
        <f>IFERROR(_xlfn.XLOOKUP(ENTRADAS[[#This Row],[CODIGO]],LISTADO[CODIGOS],LISTADO[CATEGORIA]),"NO EXISTE")</f>
        <v/>
      </c>
      <c r="D1248" s="18">
        <f>IFERROR(_xlfn.XLOOKUP(ENTRADAS[[#This Row],[CODIGO]],LISTADO[CODIGOS],LISTADO[PRODUCTOS]),"NO EXISTE")</f>
        <v/>
      </c>
      <c r="E1248" s="19" t="n">
        <v>46112</v>
      </c>
      <c r="F1248" s="18" t="n">
        <v>1</v>
      </c>
      <c r="G1248" s="18" t="inlineStr">
        <is>
          <t>INGRESO</t>
        </is>
      </c>
      <c r="H1248" s="18" t="n"/>
      <c r="I1248" s="45" t="n"/>
      <c r="J1248" s="77" t="n"/>
      <c r="K1248" s="18" t="n"/>
    </row>
    <row r="1249">
      <c r="B1249" s="18" t="inlineStr">
        <is>
          <t>00182-FER</t>
        </is>
      </c>
      <c r="C1249" s="18">
        <f>IFERROR(_xlfn.XLOOKUP(ENTRADAS[[#This Row],[CODIGO]],LISTADO[CODIGOS],LISTADO[CATEGORIA]),"NO EXISTE")</f>
        <v/>
      </c>
      <c r="D1249" s="18">
        <f>IFERROR(_xlfn.XLOOKUP(ENTRADAS[[#This Row],[CODIGO]],LISTADO[CODIGOS],LISTADO[PRODUCTOS]),"NO EXISTE")</f>
        <v/>
      </c>
      <c r="E1249" s="19" t="n">
        <v>46112</v>
      </c>
      <c r="F1249" s="18" t="n">
        <v>4</v>
      </c>
      <c r="G1249" s="18" t="inlineStr">
        <is>
          <t>INGRESO</t>
        </is>
      </c>
      <c r="H1249" s="18" t="n"/>
      <c r="I1249" s="45" t="n"/>
      <c r="J1249" s="77" t="n"/>
      <c r="K1249" s="18" t="n"/>
    </row>
    <row r="1250">
      <c r="B1250" s="56" t="inlineStr">
        <is>
          <t>00007-HRR</t>
        </is>
      </c>
      <c r="C1250" s="18">
        <f>IFERROR(_xlfn.XLOOKUP(ENTRADAS[[#This Row],[CODIGO]],LISTADO[CODIGOS],LISTADO[CATEGORIA]),"NO EXISTE")</f>
        <v/>
      </c>
      <c r="D1250" s="18">
        <f>IFERROR(_xlfn.XLOOKUP(ENTRADAS[[#This Row],[CODIGO]],LISTADO[CODIGOS],LISTADO[PRODUCTOS]),"NO EXISTE")</f>
        <v/>
      </c>
      <c r="E1250" s="19" t="n">
        <v>46112</v>
      </c>
      <c r="F1250" s="18" t="n">
        <v>15</v>
      </c>
      <c r="G1250" s="18" t="inlineStr">
        <is>
          <t>INGRESO</t>
        </is>
      </c>
      <c r="H1250" s="18" t="n"/>
      <c r="I1250" s="45" t="n"/>
      <c r="J1250" s="77" t="n"/>
      <c r="K1250" s="18" t="n"/>
    </row>
    <row r="1251">
      <c r="B1251" s="56" t="inlineStr">
        <is>
          <t>00047-ELE</t>
        </is>
      </c>
      <c r="C1251" s="18">
        <f>IFERROR(_xlfn.XLOOKUP(ENTRADAS[[#This Row],[CODIGO]],LISTADO[CODIGOS],LISTADO[CATEGORIA]),"NO EXISTE")</f>
        <v/>
      </c>
      <c r="D1251" s="18">
        <f>IFERROR(_xlfn.XLOOKUP(ENTRADAS[[#This Row],[CODIGO]],LISTADO[CODIGOS],LISTADO[PRODUCTOS]),"NO EXISTE")</f>
        <v/>
      </c>
      <c r="E1251" s="19" t="n">
        <v>46112</v>
      </c>
      <c r="F1251" s="18" t="n">
        <v>24</v>
      </c>
      <c r="G1251" s="18" t="inlineStr">
        <is>
          <t>INGRESO</t>
        </is>
      </c>
      <c r="H1251" s="18" t="n"/>
      <c r="I1251" s="45" t="n"/>
      <c r="J1251" s="77" t="n"/>
      <c r="K1251" s="18" t="n"/>
    </row>
    <row r="1252">
      <c r="B1252" s="18" t="inlineStr">
        <is>
          <t>00183-FER</t>
        </is>
      </c>
      <c r="C1252" s="18">
        <f>IFERROR(_xlfn.XLOOKUP(ENTRADAS[[#This Row],[CODIGO]],LISTADO[CODIGOS],LISTADO[CATEGORIA]),"NO EXISTE")</f>
        <v/>
      </c>
      <c r="D1252" s="18">
        <f>IFERROR(_xlfn.XLOOKUP(ENTRADAS[[#This Row],[CODIGO]],LISTADO[CODIGOS],LISTADO[PRODUCTOS]),"NO EXISTE")</f>
        <v/>
      </c>
      <c r="E1252" s="19" t="n">
        <v>46112</v>
      </c>
      <c r="F1252" s="18" t="n">
        <v>1</v>
      </c>
      <c r="G1252" s="18" t="inlineStr">
        <is>
          <t>INGRESO</t>
        </is>
      </c>
      <c r="H1252" s="18" t="n"/>
      <c r="I1252" s="45" t="n"/>
      <c r="J1252" s="77" t="n"/>
      <c r="K1252" s="18" t="n"/>
    </row>
    <row r="1253">
      <c r="B1253" s="56" t="inlineStr">
        <is>
          <t>00089-FER</t>
        </is>
      </c>
      <c r="C1253" s="18">
        <f>IFERROR(_xlfn.XLOOKUP(ENTRADAS[[#This Row],[CODIGO]],LISTADO[CODIGOS],LISTADO[CATEGORIA]),"NO EXISTE")</f>
        <v/>
      </c>
      <c r="D1253" s="18">
        <f>IFERROR(_xlfn.XLOOKUP(ENTRADAS[[#This Row],[CODIGO]],LISTADO[CODIGOS],LISTADO[PRODUCTOS]),"NO EXISTE")</f>
        <v/>
      </c>
      <c r="E1253" s="19" t="n">
        <v>46112</v>
      </c>
      <c r="F1253" s="18" t="n">
        <v>10</v>
      </c>
      <c r="G1253" s="18" t="inlineStr">
        <is>
          <t>INGRESO</t>
        </is>
      </c>
      <c r="H1253" s="18" t="n"/>
      <c r="I1253" s="45" t="n"/>
      <c r="J1253" s="77" t="n"/>
      <c r="K1253" s="18" t="n"/>
    </row>
    <row r="1254">
      <c r="B1254" s="18" t="inlineStr">
        <is>
          <t>00058-PLM</t>
        </is>
      </c>
      <c r="C1254" s="18">
        <f>IFERROR(_xlfn.XLOOKUP(ENTRADAS[[#This Row],[CODIGO]],LISTADO[CODIGOS],LISTADO[CATEGORIA]),"NO EXISTE")</f>
        <v/>
      </c>
      <c r="D1254" s="18">
        <f>IFERROR(_xlfn.XLOOKUP(ENTRADAS[[#This Row],[CODIGO]],LISTADO[CODIGOS],LISTADO[PRODUCTOS]),"NO EXISTE")</f>
        <v/>
      </c>
      <c r="E1254" s="19" t="n">
        <v>46112</v>
      </c>
      <c r="F1254" s="18" t="n">
        <v>1</v>
      </c>
      <c r="G1254" s="18" t="inlineStr">
        <is>
          <t>INGRESO</t>
        </is>
      </c>
      <c r="H1254" s="18" t="n"/>
      <c r="I1254" s="45" t="n"/>
      <c r="J1254" s="77" t="n"/>
      <c r="K1254" s="18" t="n"/>
    </row>
    <row r="1255">
      <c r="B1255" s="56" t="inlineStr">
        <is>
          <t>00060-PLM</t>
        </is>
      </c>
      <c r="C1255" s="18">
        <f>IFERROR(_xlfn.XLOOKUP(ENTRADAS[[#This Row],[CODIGO]],LISTADO[CODIGOS],LISTADO[CATEGORIA]),"NO EXISTE")</f>
        <v/>
      </c>
      <c r="D1255" s="18">
        <f>IFERROR(_xlfn.XLOOKUP(ENTRADAS[[#This Row],[CODIGO]],LISTADO[CODIGOS],LISTADO[PRODUCTOS]),"NO EXISTE")</f>
        <v/>
      </c>
      <c r="E1255" s="19" t="n">
        <v>46112</v>
      </c>
      <c r="F1255" s="18" t="n">
        <v>1</v>
      </c>
      <c r="G1255" s="18" t="inlineStr">
        <is>
          <t>INGRESO</t>
        </is>
      </c>
      <c r="H1255" s="18" t="n"/>
      <c r="I1255" s="45" t="n"/>
      <c r="J1255" s="77" t="n"/>
      <c r="K1255" s="18" t="n"/>
    </row>
    <row r="1256">
      <c r="B1256" s="56" t="inlineStr">
        <is>
          <t>00061-PLM</t>
        </is>
      </c>
      <c r="C1256" s="18">
        <f>IFERROR(_xlfn.XLOOKUP(ENTRADAS[[#This Row],[CODIGO]],LISTADO[CODIGOS],LISTADO[CATEGORIA]),"NO EXISTE")</f>
        <v/>
      </c>
      <c r="D1256" s="18">
        <f>IFERROR(_xlfn.XLOOKUP(ENTRADAS[[#This Row],[CODIGO]],LISTADO[CODIGOS],LISTADO[PRODUCTOS]),"NO EXISTE")</f>
        <v/>
      </c>
      <c r="E1256" s="19" t="n">
        <v>46112</v>
      </c>
      <c r="F1256" s="18" t="n">
        <v>1</v>
      </c>
      <c r="G1256" s="18" t="inlineStr">
        <is>
          <t>INGRESO</t>
        </is>
      </c>
      <c r="H1256" s="18" t="n"/>
      <c r="I1256" s="45" t="n"/>
      <c r="J1256" s="77" t="n"/>
      <c r="K1256" s="18" t="n"/>
    </row>
    <row r="1257">
      <c r="B1257" s="56" t="inlineStr">
        <is>
          <t>00062-HRR</t>
        </is>
      </c>
      <c r="C1257" s="18">
        <f>IFERROR(_xlfn.XLOOKUP(ENTRADAS[[#This Row],[CODIGO]],LISTADO[CODIGOS],LISTADO[CATEGORIA]),"NO EXISTE")</f>
        <v/>
      </c>
      <c r="D1257" s="18">
        <f>IFERROR(_xlfn.XLOOKUP(ENTRADAS[[#This Row],[CODIGO]],LISTADO[CODIGOS],LISTADO[PRODUCTOS]),"NO EXISTE")</f>
        <v/>
      </c>
      <c r="E1257" s="19" t="n">
        <v>46112</v>
      </c>
      <c r="F1257" s="18" t="n">
        <v>8</v>
      </c>
      <c r="G1257" s="18" t="inlineStr">
        <is>
          <t>INGRESO</t>
        </is>
      </c>
      <c r="H1257" s="18" t="n"/>
      <c r="I1257" s="45" t="n"/>
      <c r="J1257" s="77" t="n"/>
      <c r="K1257" s="18" t="n"/>
    </row>
    <row r="1258">
      <c r="B1258" s="56" t="inlineStr">
        <is>
          <t>00031-HRR</t>
        </is>
      </c>
      <c r="C1258" s="18">
        <f>IFERROR(_xlfn.XLOOKUP(ENTRADAS[[#This Row],[CODIGO]],LISTADO[CODIGOS],LISTADO[CATEGORIA]),"NO EXISTE")</f>
        <v/>
      </c>
      <c r="D1258" s="18">
        <f>IFERROR(_xlfn.XLOOKUP(ENTRADAS[[#This Row],[CODIGO]],LISTADO[CODIGOS],LISTADO[PRODUCTOS]),"NO EXISTE")</f>
        <v/>
      </c>
      <c r="E1258" s="19" t="n">
        <v>46112</v>
      </c>
      <c r="F1258" s="18" t="n">
        <v>20</v>
      </c>
      <c r="G1258" s="18" t="inlineStr">
        <is>
          <t>INGRESO</t>
        </is>
      </c>
      <c r="H1258" s="18" t="n"/>
      <c r="I1258" s="45" t="n"/>
      <c r="J1258" s="77" t="n"/>
      <c r="K1258" s="18" t="n"/>
    </row>
    <row r="1259">
      <c r="B1259" s="56" t="inlineStr">
        <is>
          <t>00192-FER</t>
        </is>
      </c>
      <c r="C1259" s="18">
        <f>IFERROR(_xlfn.XLOOKUP(ENTRADAS[[#This Row],[CODIGO]],LISTADO[CODIGOS],LISTADO[CATEGORIA]),"NO EXISTE")</f>
        <v/>
      </c>
      <c r="D1259" s="18">
        <f>IFERROR(_xlfn.XLOOKUP(ENTRADAS[[#This Row],[CODIGO]],LISTADO[CODIGOS],LISTADO[PRODUCTOS]),"NO EXISTE")</f>
        <v/>
      </c>
      <c r="E1259" s="19" t="n">
        <v>46112</v>
      </c>
      <c r="F1259" s="18" t="n">
        <v>1</v>
      </c>
      <c r="G1259" s="18" t="inlineStr">
        <is>
          <t>INGRESO</t>
        </is>
      </c>
      <c r="H1259" s="18" t="n"/>
      <c r="I1259" s="45" t="n"/>
      <c r="J1259" s="77" t="n"/>
      <c r="K1259" s="18" t="n"/>
    </row>
    <row r="1260">
      <c r="B1260" s="56" t="inlineStr">
        <is>
          <t>00117-HER</t>
        </is>
      </c>
      <c r="C1260" s="18">
        <f>IFERROR(_xlfn.XLOOKUP(ENTRADAS[[#This Row],[CODIGO]],LISTADO[CODIGOS],LISTADO[CATEGORIA]),"NO EXISTE")</f>
        <v/>
      </c>
      <c r="D1260" s="18">
        <f>IFERROR(_xlfn.XLOOKUP(ENTRADAS[[#This Row],[CODIGO]],LISTADO[CODIGOS],LISTADO[PRODUCTOS]),"NO EXISTE")</f>
        <v/>
      </c>
      <c r="E1260" s="19" t="n">
        <v>46112</v>
      </c>
      <c r="F1260" s="18" t="n">
        <v>1</v>
      </c>
      <c r="G1260" s="18" t="inlineStr">
        <is>
          <t>INGRESO</t>
        </is>
      </c>
      <c r="H1260" s="18" t="n"/>
      <c r="I1260" s="45" t="n"/>
      <c r="J1260" s="77" t="n"/>
      <c r="K1260" s="18" t="n"/>
    </row>
    <row r="1261">
      <c r="B1261" s="56" t="inlineStr">
        <is>
          <t>00050-HER</t>
        </is>
      </c>
      <c r="C1261" s="18">
        <f>IFERROR(_xlfn.XLOOKUP(ENTRADAS[[#This Row],[CODIGO]],LISTADO[CODIGOS],LISTADO[CATEGORIA]),"NO EXISTE")</f>
        <v/>
      </c>
      <c r="D1261" s="18">
        <f>IFERROR(_xlfn.XLOOKUP(ENTRADAS[[#This Row],[CODIGO]],LISTADO[CODIGOS],LISTADO[PRODUCTOS]),"NO EXISTE")</f>
        <v/>
      </c>
      <c r="E1261" s="19" t="n">
        <v>46112</v>
      </c>
      <c r="F1261" s="18" t="n">
        <v>1</v>
      </c>
      <c r="G1261" s="18" t="inlineStr">
        <is>
          <t>INGRESO</t>
        </is>
      </c>
      <c r="H1261" s="18" t="n"/>
      <c r="I1261" s="45" t="n"/>
      <c r="J1261" s="77" t="n"/>
      <c r="K1261" s="18" t="n"/>
    </row>
    <row r="1262">
      <c r="B1262" s="56" t="inlineStr">
        <is>
          <t>00193-FER</t>
        </is>
      </c>
      <c r="C1262" s="18">
        <f>IFERROR(_xlfn.XLOOKUP(ENTRADAS[[#This Row],[CODIGO]],LISTADO[CODIGOS],LISTADO[CATEGORIA]),"NO EXISTE")</f>
        <v/>
      </c>
      <c r="D1262" s="18">
        <f>IFERROR(_xlfn.XLOOKUP(ENTRADAS[[#This Row],[CODIGO]],LISTADO[CODIGOS],LISTADO[PRODUCTOS]),"NO EXISTE")</f>
        <v/>
      </c>
      <c r="E1262" s="19" t="n">
        <v>46112</v>
      </c>
      <c r="F1262" s="18" t="n">
        <v>1</v>
      </c>
      <c r="G1262" s="18" t="inlineStr">
        <is>
          <t>INGRESO</t>
        </is>
      </c>
      <c r="H1262" s="18" t="n"/>
      <c r="I1262" s="45" t="n"/>
      <c r="J1262" s="77" t="n"/>
      <c r="K1262" s="18" t="n"/>
    </row>
    <row r="1263">
      <c r="B1263" s="56" t="inlineStr">
        <is>
          <t>00194-FER</t>
        </is>
      </c>
      <c r="C1263" s="18">
        <f>IFERROR(_xlfn.XLOOKUP(ENTRADAS[[#This Row],[CODIGO]],LISTADO[CODIGOS],LISTADO[CATEGORIA]),"NO EXISTE")</f>
        <v/>
      </c>
      <c r="D1263" s="18">
        <f>IFERROR(_xlfn.XLOOKUP(ENTRADAS[[#This Row],[CODIGO]],LISTADO[CODIGOS],LISTADO[PRODUCTOS]),"NO EXISTE")</f>
        <v/>
      </c>
      <c r="E1263" s="19" t="n">
        <v>46112</v>
      </c>
      <c r="F1263" s="18" t="n">
        <v>1</v>
      </c>
      <c r="G1263" s="18" t="inlineStr">
        <is>
          <t>INGRESO</t>
        </is>
      </c>
      <c r="H1263" s="18" t="n"/>
      <c r="I1263" s="45" t="n"/>
      <c r="J1263" s="77" t="n"/>
      <c r="K1263" s="18" t="n"/>
    </row>
    <row r="1264">
      <c r="B1264" s="18" t="inlineStr">
        <is>
          <t>00195-FER</t>
        </is>
      </c>
      <c r="C1264" s="18">
        <f>IFERROR(_xlfn.XLOOKUP(ENTRADAS[[#This Row],[CODIGO]],LISTADO[CODIGOS],LISTADO[CATEGORIA]),"NO EXISTE")</f>
        <v/>
      </c>
      <c r="D1264" s="18">
        <f>IFERROR(_xlfn.XLOOKUP(ENTRADAS[[#This Row],[CODIGO]],LISTADO[CODIGOS],LISTADO[PRODUCTOS]),"NO EXISTE")</f>
        <v/>
      </c>
      <c r="E1264" s="19" t="n">
        <v>46112</v>
      </c>
      <c r="F1264" s="18" t="n">
        <v>1</v>
      </c>
      <c r="G1264" s="18" t="inlineStr">
        <is>
          <t>INGRESO</t>
        </is>
      </c>
      <c r="H1264" s="18" t="n"/>
      <c r="I1264" s="45" t="n"/>
      <c r="J1264" s="77" t="n"/>
      <c r="K1264" s="18" t="n"/>
    </row>
    <row r="1265">
      <c r="B1265" s="18" t="inlineStr">
        <is>
          <t>00061-ELC</t>
        </is>
      </c>
      <c r="C1265" s="18">
        <f>IFERROR(_xlfn.XLOOKUP(ENTRADAS[[#This Row],[CODIGO]],LISTADO[CODIGOS],LISTADO[CATEGORIA]),"NO EXISTE")</f>
        <v/>
      </c>
      <c r="D1265" s="18">
        <f>IFERROR(_xlfn.XLOOKUP(ENTRADAS[[#This Row],[CODIGO]],LISTADO[CODIGOS],LISTADO[PRODUCTOS]),"NO EXISTE")</f>
        <v/>
      </c>
      <c r="E1265" s="19" t="n">
        <v>46112</v>
      </c>
      <c r="F1265" s="18" t="n">
        <v>7</v>
      </c>
      <c r="G1265" s="18" t="inlineStr">
        <is>
          <t>INGRESO</t>
        </is>
      </c>
      <c r="H1265" s="18" t="n"/>
      <c r="I1265" s="45" t="n"/>
      <c r="J1265" s="77" t="n"/>
      <c r="K1265" s="18" t="n"/>
    </row>
    <row r="1266">
      <c r="B1266" s="18" t="inlineStr">
        <is>
          <t>00062-ELC</t>
        </is>
      </c>
      <c r="C1266" s="18">
        <f>IFERROR(_xlfn.XLOOKUP(ENTRADAS[[#This Row],[CODIGO]],LISTADO[CODIGOS],LISTADO[CATEGORIA]),"NO EXISTE")</f>
        <v/>
      </c>
      <c r="D1266" s="18">
        <f>IFERROR(_xlfn.XLOOKUP(ENTRADAS[[#This Row],[CODIGO]],LISTADO[CODIGOS],LISTADO[PRODUCTOS]),"NO EXISTE")</f>
        <v/>
      </c>
      <c r="E1266" s="19" t="n">
        <v>46112</v>
      </c>
      <c r="F1266" s="18" t="n">
        <v>1</v>
      </c>
      <c r="G1266" s="18" t="inlineStr">
        <is>
          <t>INGRESO</t>
        </is>
      </c>
      <c r="H1266" s="18" t="n"/>
      <c r="I1266" s="45" t="n"/>
      <c r="J1266" s="77" t="n"/>
      <c r="K1266" s="18" t="n"/>
    </row>
    <row r="1267">
      <c r="B1267" s="18" t="inlineStr">
        <is>
          <t>00063-ELC</t>
        </is>
      </c>
      <c r="C1267" s="18">
        <f>IFERROR(_xlfn.XLOOKUP(ENTRADAS[[#This Row],[CODIGO]],LISTADO[CODIGOS],LISTADO[CATEGORIA]),"NO EXISTE")</f>
        <v/>
      </c>
      <c r="D1267" s="18">
        <f>IFERROR(_xlfn.XLOOKUP(ENTRADAS[[#This Row],[CODIGO]],LISTADO[CODIGOS],LISTADO[PRODUCTOS]),"NO EXISTE")</f>
        <v/>
      </c>
      <c r="E1267" s="19" t="n">
        <v>46112</v>
      </c>
      <c r="F1267" s="18" t="n">
        <v>3</v>
      </c>
      <c r="G1267" s="18" t="inlineStr">
        <is>
          <t>INGRESO</t>
        </is>
      </c>
      <c r="H1267" s="18" t="n"/>
      <c r="I1267" s="45" t="n"/>
      <c r="J1267" s="77" t="n"/>
      <c r="K1267" s="18" t="n"/>
    </row>
    <row r="1268">
      <c r="B1268" s="18" t="inlineStr">
        <is>
          <t>00064-ELC</t>
        </is>
      </c>
      <c r="C1268" s="18">
        <f>IFERROR(_xlfn.XLOOKUP(ENTRADAS[[#This Row],[CODIGO]],LISTADO[CODIGOS],LISTADO[CATEGORIA]),"NO EXISTE")</f>
        <v/>
      </c>
      <c r="D1268" s="18">
        <f>IFERROR(_xlfn.XLOOKUP(ENTRADAS[[#This Row],[CODIGO]],LISTADO[CODIGOS],LISTADO[PRODUCTOS]),"NO EXISTE")</f>
        <v/>
      </c>
      <c r="E1268" s="19" t="n">
        <v>46112</v>
      </c>
      <c r="F1268" s="18" t="n">
        <v>4</v>
      </c>
      <c r="G1268" s="18" t="inlineStr">
        <is>
          <t>INGRESO</t>
        </is>
      </c>
      <c r="H1268" s="18" t="n"/>
      <c r="I1268" s="45" t="n"/>
      <c r="J1268" s="77" t="n"/>
      <c r="K1268" s="18" t="n"/>
    </row>
    <row r="1269">
      <c r="B1269" s="18" t="inlineStr">
        <is>
          <t>00065-ELC</t>
        </is>
      </c>
      <c r="C1269" s="18">
        <f>IFERROR(_xlfn.XLOOKUP(ENTRADAS[[#This Row],[CODIGO]],LISTADO[CODIGOS],LISTADO[CATEGORIA]),"NO EXISTE")</f>
        <v/>
      </c>
      <c r="D1269" s="18">
        <f>IFERROR(_xlfn.XLOOKUP(ENTRADAS[[#This Row],[CODIGO]],LISTADO[CODIGOS],LISTADO[PRODUCTOS]),"NO EXISTE")</f>
        <v/>
      </c>
      <c r="E1269" s="19" t="n">
        <v>46112</v>
      </c>
      <c r="F1269" s="18" t="n">
        <v>6</v>
      </c>
      <c r="G1269" s="18" t="inlineStr">
        <is>
          <t>INGRESO</t>
        </is>
      </c>
      <c r="H1269" s="18" t="n"/>
      <c r="I1269" s="45" t="n"/>
      <c r="J1269" s="77" t="n"/>
      <c r="K1269" s="18" t="n"/>
    </row>
    <row r="1270">
      <c r="B1270" s="18" t="inlineStr">
        <is>
          <t>00066-ELC</t>
        </is>
      </c>
      <c r="C1270" s="18">
        <f>IFERROR(_xlfn.XLOOKUP(ENTRADAS[[#This Row],[CODIGO]],LISTADO[CODIGOS],LISTADO[CATEGORIA]),"NO EXISTE")</f>
        <v/>
      </c>
      <c r="D1270" s="18">
        <f>IFERROR(_xlfn.XLOOKUP(ENTRADAS[[#This Row],[CODIGO]],LISTADO[CODIGOS],LISTADO[PRODUCTOS]),"NO EXISTE")</f>
        <v/>
      </c>
      <c r="E1270" s="19" t="n">
        <v>46112</v>
      </c>
      <c r="F1270" s="18" t="n">
        <v>4</v>
      </c>
      <c r="G1270" s="18" t="inlineStr">
        <is>
          <t>INGRESO</t>
        </is>
      </c>
      <c r="H1270" s="18" t="n"/>
      <c r="I1270" s="45" t="n"/>
      <c r="J1270" s="77" t="n"/>
      <c r="K1270" s="18" t="n"/>
    </row>
    <row r="1271">
      <c r="B1271" s="18" t="inlineStr">
        <is>
          <t>00067-ELC</t>
        </is>
      </c>
      <c r="C1271" s="18">
        <f>IFERROR(_xlfn.XLOOKUP(ENTRADAS[[#This Row],[CODIGO]],LISTADO[CODIGOS],LISTADO[CATEGORIA]),"NO EXISTE")</f>
        <v/>
      </c>
      <c r="D1271" s="18">
        <f>IFERROR(_xlfn.XLOOKUP(ENTRADAS[[#This Row],[CODIGO]],LISTADO[CODIGOS],LISTADO[PRODUCTOS]),"NO EXISTE")</f>
        <v/>
      </c>
      <c r="E1271" s="19" t="n">
        <v>46112</v>
      </c>
      <c r="F1271" s="18" t="n">
        <v>2</v>
      </c>
      <c r="G1271" s="18" t="inlineStr">
        <is>
          <t>INGRESO</t>
        </is>
      </c>
      <c r="H1271" s="18" t="n"/>
      <c r="I1271" s="45" t="n"/>
      <c r="J1271" s="77" t="n"/>
      <c r="K1271" s="18" t="n"/>
    </row>
    <row r="1272">
      <c r="B1272" s="18" t="inlineStr">
        <is>
          <t>00068-ELC</t>
        </is>
      </c>
      <c r="C1272" s="18">
        <f>IFERROR(_xlfn.XLOOKUP(ENTRADAS[[#This Row],[CODIGO]],LISTADO[CODIGOS],LISTADO[CATEGORIA]),"NO EXISTE")</f>
        <v/>
      </c>
      <c r="D1272" s="18">
        <f>IFERROR(_xlfn.XLOOKUP(ENTRADAS[[#This Row],[CODIGO]],LISTADO[CODIGOS],LISTADO[PRODUCTOS]),"NO EXISTE")</f>
        <v/>
      </c>
      <c r="E1272" s="19" t="n">
        <v>46112</v>
      </c>
      <c r="F1272" s="18" t="n">
        <v>3</v>
      </c>
      <c r="G1272" s="18" t="inlineStr">
        <is>
          <t>INGRESO</t>
        </is>
      </c>
      <c r="H1272" s="18" t="n"/>
      <c r="I1272" s="45" t="n"/>
      <c r="J1272" s="77" t="n"/>
      <c r="K1272" s="18" t="n"/>
    </row>
    <row r="1273">
      <c r="B1273" s="18" t="inlineStr">
        <is>
          <t>00069-ELC</t>
        </is>
      </c>
      <c r="C1273" s="18">
        <f>IFERROR(_xlfn.XLOOKUP(ENTRADAS[[#This Row],[CODIGO]],LISTADO[CODIGOS],LISTADO[CATEGORIA]),"NO EXISTE")</f>
        <v/>
      </c>
      <c r="D1273" s="18">
        <f>IFERROR(_xlfn.XLOOKUP(ENTRADAS[[#This Row],[CODIGO]],LISTADO[CODIGOS],LISTADO[PRODUCTOS]),"NO EXISTE")</f>
        <v/>
      </c>
      <c r="E1273" s="19" t="n">
        <v>46112</v>
      </c>
      <c r="F1273" s="18" t="n">
        <v>2</v>
      </c>
      <c r="G1273" s="18" t="inlineStr">
        <is>
          <t>INGRESO</t>
        </is>
      </c>
      <c r="H1273" s="18" t="n"/>
      <c r="I1273" s="45" t="n"/>
      <c r="J1273" s="77" t="n"/>
      <c r="K1273" s="18" t="n"/>
    </row>
    <row r="1274">
      <c r="B1274" s="18" t="inlineStr">
        <is>
          <t>00070-ELC</t>
        </is>
      </c>
      <c r="C1274" s="18">
        <f>IFERROR(_xlfn.XLOOKUP(ENTRADAS[[#This Row],[CODIGO]],LISTADO[CODIGOS],LISTADO[CATEGORIA]),"NO EXISTE")</f>
        <v/>
      </c>
      <c r="D1274" s="18">
        <f>IFERROR(_xlfn.XLOOKUP(ENTRADAS[[#This Row],[CODIGO]],LISTADO[CODIGOS],LISTADO[PRODUCTOS]),"NO EXISTE")</f>
        <v/>
      </c>
      <c r="E1274" s="19" t="n">
        <v>46112</v>
      </c>
      <c r="F1274" s="18" t="n">
        <v>2</v>
      </c>
      <c r="G1274" s="18" t="inlineStr">
        <is>
          <t>INGRESO</t>
        </is>
      </c>
      <c r="H1274" s="18" t="n"/>
      <c r="I1274" s="45" t="n"/>
      <c r="J1274" s="77" t="n"/>
      <c r="K1274" s="18" t="n"/>
    </row>
    <row r="1275">
      <c r="B1275" s="18" t="inlineStr">
        <is>
          <t>00071-ELC</t>
        </is>
      </c>
      <c r="C1275" s="18">
        <f>IFERROR(_xlfn.XLOOKUP(ENTRADAS[[#This Row],[CODIGO]],LISTADO[CODIGOS],LISTADO[CATEGORIA]),"NO EXISTE")</f>
        <v/>
      </c>
      <c r="D1275" s="18">
        <f>IFERROR(_xlfn.XLOOKUP(ENTRADAS[[#This Row],[CODIGO]],LISTADO[CODIGOS],LISTADO[PRODUCTOS]),"NO EXISTE")</f>
        <v/>
      </c>
      <c r="E1275" s="19" t="n">
        <v>46112</v>
      </c>
      <c r="F1275" s="18" t="n">
        <v>3</v>
      </c>
      <c r="G1275" s="18" t="inlineStr">
        <is>
          <t>INGRESO</t>
        </is>
      </c>
      <c r="H1275" s="18" t="n"/>
      <c r="I1275" s="45" t="n"/>
      <c r="J1275" s="77" t="n"/>
      <c r="K1275" s="18" t="n"/>
    </row>
    <row r="1276">
      <c r="B1276" s="18" t="inlineStr">
        <is>
          <t>00072-ELC</t>
        </is>
      </c>
      <c r="C1276" s="18">
        <f>IFERROR(_xlfn.XLOOKUP(ENTRADAS[[#This Row],[CODIGO]],LISTADO[CODIGOS],LISTADO[CATEGORIA]),"NO EXISTE")</f>
        <v/>
      </c>
      <c r="D1276" s="18">
        <f>IFERROR(_xlfn.XLOOKUP(ENTRADAS[[#This Row],[CODIGO]],LISTADO[CODIGOS],LISTADO[PRODUCTOS]),"NO EXISTE")</f>
        <v/>
      </c>
      <c r="E1276" s="19" t="n">
        <v>46112</v>
      </c>
      <c r="F1276" s="18" t="n">
        <v>2</v>
      </c>
      <c r="G1276" s="18" t="inlineStr">
        <is>
          <t>INGRESO</t>
        </is>
      </c>
      <c r="H1276" s="18" t="n"/>
      <c r="I1276" s="45" t="n"/>
      <c r="J1276" s="77" t="n"/>
      <c r="K1276" s="18" t="n"/>
    </row>
    <row r="1277">
      <c r="B1277" s="18" t="inlineStr">
        <is>
          <t>00073-ELC</t>
        </is>
      </c>
      <c r="C1277" s="18">
        <f>IFERROR(_xlfn.XLOOKUP(ENTRADAS[[#This Row],[CODIGO]],LISTADO[CODIGOS],LISTADO[CATEGORIA]),"NO EXISTE")</f>
        <v/>
      </c>
      <c r="D1277" s="18">
        <f>IFERROR(_xlfn.XLOOKUP(ENTRADAS[[#This Row],[CODIGO]],LISTADO[CODIGOS],LISTADO[PRODUCTOS]),"NO EXISTE")</f>
        <v/>
      </c>
      <c r="E1277" s="19" t="n">
        <v>46112</v>
      </c>
      <c r="F1277" s="18" t="n">
        <v>6</v>
      </c>
      <c r="G1277" s="18" t="inlineStr">
        <is>
          <t>INGRESO</t>
        </is>
      </c>
      <c r="H1277" s="18" t="n"/>
      <c r="I1277" s="45" t="n"/>
      <c r="J1277" s="77" t="n"/>
      <c r="K1277" s="18" t="n"/>
    </row>
    <row r="1278">
      <c r="B1278" s="18" t="inlineStr">
        <is>
          <t>00074-ELC</t>
        </is>
      </c>
      <c r="C1278" s="18">
        <f>IFERROR(_xlfn.XLOOKUP(ENTRADAS[[#This Row],[CODIGO]],LISTADO[CODIGOS],LISTADO[CATEGORIA]),"NO EXISTE")</f>
        <v/>
      </c>
      <c r="D1278" s="18">
        <f>IFERROR(_xlfn.XLOOKUP(ENTRADAS[[#This Row],[CODIGO]],LISTADO[CODIGOS],LISTADO[PRODUCTOS]),"NO EXISTE")</f>
        <v/>
      </c>
      <c r="E1278" s="19" t="n">
        <v>46112</v>
      </c>
      <c r="F1278" s="18" t="n">
        <v>2</v>
      </c>
      <c r="G1278" s="18" t="inlineStr">
        <is>
          <t>INGRESO</t>
        </is>
      </c>
      <c r="H1278" s="18" t="n"/>
      <c r="I1278" s="45" t="n"/>
      <c r="J1278" s="77" t="n"/>
      <c r="K1278" s="18" t="n"/>
    </row>
    <row r="1279">
      <c r="B1279" s="18" t="inlineStr">
        <is>
          <t>00075-ELC</t>
        </is>
      </c>
      <c r="C1279" s="18">
        <f>IFERROR(_xlfn.XLOOKUP(ENTRADAS[[#This Row],[CODIGO]],LISTADO[CODIGOS],LISTADO[CATEGORIA]),"NO EXISTE")</f>
        <v/>
      </c>
      <c r="D1279" s="18">
        <f>IFERROR(_xlfn.XLOOKUP(ENTRADAS[[#This Row],[CODIGO]],LISTADO[CODIGOS],LISTADO[PRODUCTOS]),"NO EXISTE")</f>
        <v/>
      </c>
      <c r="E1279" s="19" t="n">
        <v>46112</v>
      </c>
      <c r="F1279" s="18" t="n">
        <v>1</v>
      </c>
      <c r="G1279" s="18" t="inlineStr">
        <is>
          <t>INGRESO</t>
        </is>
      </c>
      <c r="H1279" s="18" t="n"/>
      <c r="I1279" s="45" t="n"/>
      <c r="J1279" s="77" t="n"/>
      <c r="K1279" s="18" t="n"/>
    </row>
    <row r="1280">
      <c r="B1280" s="18" t="inlineStr">
        <is>
          <t>00076-ELC</t>
        </is>
      </c>
      <c r="C1280" s="18">
        <f>IFERROR(_xlfn.XLOOKUP(ENTRADAS[[#This Row],[CODIGO]],LISTADO[CODIGOS],LISTADO[CATEGORIA]),"NO EXISTE")</f>
        <v/>
      </c>
      <c r="D1280" s="18">
        <f>IFERROR(_xlfn.XLOOKUP(ENTRADAS[[#This Row],[CODIGO]],LISTADO[CODIGOS],LISTADO[PRODUCTOS]),"NO EXISTE")</f>
        <v/>
      </c>
      <c r="E1280" s="19" t="n">
        <v>46112</v>
      </c>
      <c r="F1280" s="18" t="n">
        <v>2</v>
      </c>
      <c r="G1280" s="18" t="inlineStr">
        <is>
          <t>INGRESO</t>
        </is>
      </c>
      <c r="H1280" s="18" t="n"/>
      <c r="I1280" s="45" t="n"/>
      <c r="J1280" s="77" t="n"/>
      <c r="K1280" s="18" t="n"/>
    </row>
    <row r="1281">
      <c r="B1281" s="18" t="inlineStr">
        <is>
          <t>00184-FER</t>
        </is>
      </c>
      <c r="C1281" s="18">
        <f>IFERROR(_xlfn.XLOOKUP(ENTRADAS[[#This Row],[CODIGO]],LISTADO[CODIGOS],LISTADO[CATEGORIA]),"NO EXISTE")</f>
        <v/>
      </c>
      <c r="D1281" s="18">
        <f>IFERROR(_xlfn.XLOOKUP(ENTRADAS[[#This Row],[CODIGO]],LISTADO[CODIGOS],LISTADO[PRODUCTOS]),"NO EXISTE")</f>
        <v/>
      </c>
      <c r="E1281" s="19" t="n">
        <v>46113</v>
      </c>
      <c r="F1281" s="18" t="n">
        <v>4</v>
      </c>
      <c r="G1281" s="18" t="inlineStr">
        <is>
          <t>INGRESO</t>
        </is>
      </c>
      <c r="H1281" s="18" t="n"/>
      <c r="I1281" s="45" t="n"/>
      <c r="J1281" s="77" t="n"/>
      <c r="K1281" s="18" t="n"/>
    </row>
    <row r="1282">
      <c r="B1282" s="56" t="inlineStr">
        <is>
          <t>00120-REF</t>
        </is>
      </c>
      <c r="C1282" s="18">
        <f>IFERROR(_xlfn.XLOOKUP(ENTRADAS[[#This Row],[CODIGO]],LISTADO[CODIGOS],LISTADO[CATEGORIA]),"NO EXISTE")</f>
        <v/>
      </c>
      <c r="D1282" s="18">
        <f>IFERROR(_xlfn.XLOOKUP(ENTRADAS[[#This Row],[CODIGO]],LISTADO[CODIGOS],LISTADO[PRODUCTOS]),"NO EXISTE")</f>
        <v/>
      </c>
      <c r="E1282" s="19" t="n">
        <v>46113</v>
      </c>
      <c r="F1282" s="18" t="n">
        <v>1</v>
      </c>
      <c r="G1282" s="18" t="inlineStr">
        <is>
          <t>INGRESO</t>
        </is>
      </c>
      <c r="H1282" s="18" t="n"/>
      <c r="I1282" s="45" t="n"/>
      <c r="J1282" s="77" t="n"/>
      <c r="K1282" s="18" t="n"/>
    </row>
    <row r="1283">
      <c r="B1283" s="18" t="inlineStr">
        <is>
          <t>00016-AUT</t>
        </is>
      </c>
      <c r="C1283" s="18">
        <f>IFERROR(_xlfn.XLOOKUP(ENTRADAS[[#This Row],[CODIGO]],LISTADO[CODIGOS],LISTADO[CATEGORIA]),"NO EXISTE")</f>
        <v/>
      </c>
      <c r="D1283" s="18">
        <f>IFERROR(_xlfn.XLOOKUP(ENTRADAS[[#This Row],[CODIGO]],LISTADO[CODIGOS],LISTADO[PRODUCTOS]),"NO EXISTE")</f>
        <v/>
      </c>
      <c r="E1283" s="19" t="n">
        <v>46113</v>
      </c>
      <c r="F1283" s="18" t="n">
        <v>2</v>
      </c>
      <c r="G1283" s="18" t="inlineStr">
        <is>
          <t>INGRESO</t>
        </is>
      </c>
      <c r="H1283" s="18" t="n"/>
      <c r="I1283" s="45" t="n"/>
      <c r="J1283" s="77" t="n"/>
      <c r="K1283" s="18" t="n"/>
    </row>
    <row r="1284">
      <c r="B1284" s="18" t="inlineStr">
        <is>
          <t>00077-ELE</t>
        </is>
      </c>
      <c r="C1284" s="18">
        <f>IFERROR(_xlfn.XLOOKUP(ENTRADAS[[#This Row],[CODIGO]],LISTADO[CODIGOS],LISTADO[CATEGORIA]),"NO EXISTE")</f>
        <v/>
      </c>
      <c r="D1284" s="18">
        <f>IFERROR(_xlfn.XLOOKUP(ENTRADAS[[#This Row],[CODIGO]],LISTADO[CODIGOS],LISTADO[PRODUCTOS]),"NO EXISTE")</f>
        <v/>
      </c>
      <c r="E1284" s="19" t="n">
        <v>46113</v>
      </c>
      <c r="F1284" s="18" t="n">
        <v>4</v>
      </c>
      <c r="G1284" s="18" t="inlineStr">
        <is>
          <t>INGRESO</t>
        </is>
      </c>
      <c r="H1284" s="18" t="n"/>
      <c r="I1284" s="45" t="n"/>
      <c r="J1284" s="77" t="n"/>
      <c r="K1284" s="18" t="n"/>
    </row>
    <row r="1285">
      <c r="B1285" s="18" t="inlineStr">
        <is>
          <t>00185-FER</t>
        </is>
      </c>
      <c r="C1285" s="18">
        <f>IFERROR(_xlfn.XLOOKUP(ENTRADAS[[#This Row],[CODIGO]],LISTADO[CODIGOS],LISTADO[CATEGORIA]),"NO EXISTE")</f>
        <v/>
      </c>
      <c r="D1285" s="18">
        <f>IFERROR(_xlfn.XLOOKUP(ENTRADAS[[#This Row],[CODIGO]],LISTADO[CODIGOS],LISTADO[PRODUCTOS]),"NO EXISTE")</f>
        <v/>
      </c>
      <c r="E1285" s="19" t="n">
        <v>46113</v>
      </c>
      <c r="F1285" s="18" t="n">
        <v>10</v>
      </c>
      <c r="G1285" s="18" t="inlineStr">
        <is>
          <t>INGRESO</t>
        </is>
      </c>
      <c r="H1285" s="18" t="n"/>
      <c r="I1285" s="45" t="n"/>
      <c r="J1285" s="77" t="n"/>
      <c r="K1285" s="18" t="n"/>
    </row>
    <row r="1286">
      <c r="B1286" s="18" t="inlineStr">
        <is>
          <t>00186-FER</t>
        </is>
      </c>
      <c r="C1286" s="18">
        <f>IFERROR(_xlfn.XLOOKUP(ENTRADAS[[#This Row],[CODIGO]],LISTADO[CODIGOS],LISTADO[CATEGORIA]),"NO EXISTE")</f>
        <v/>
      </c>
      <c r="D1286" s="18">
        <f>IFERROR(_xlfn.XLOOKUP(ENTRADAS[[#This Row],[CODIGO]],LISTADO[CODIGOS],LISTADO[PRODUCTOS]),"NO EXISTE")</f>
        <v/>
      </c>
      <c r="E1286" s="19" t="n">
        <v>46113</v>
      </c>
      <c r="F1286" s="18" t="n">
        <v>20</v>
      </c>
      <c r="G1286" s="18" t="inlineStr">
        <is>
          <t>INGRESO</t>
        </is>
      </c>
      <c r="H1286" s="18" t="n"/>
      <c r="I1286" s="45" t="n"/>
      <c r="J1286" s="77" t="n"/>
      <c r="K1286" s="18" t="n"/>
    </row>
    <row r="1287">
      <c r="B1287" s="56" t="inlineStr">
        <is>
          <t>00187-FER</t>
        </is>
      </c>
      <c r="C1287" s="18">
        <f>IFERROR(_xlfn.XLOOKUP(ENTRADAS[[#This Row],[CODIGO]],LISTADO[CODIGOS],LISTADO[CATEGORIA]),"NO EXISTE")</f>
        <v/>
      </c>
      <c r="D1287" s="18">
        <f>IFERROR(_xlfn.XLOOKUP(ENTRADAS[[#This Row],[CODIGO]],LISTADO[CODIGOS],LISTADO[PRODUCTOS]),"NO EXISTE")</f>
        <v/>
      </c>
      <c r="E1287" s="19" t="n">
        <v>46113</v>
      </c>
      <c r="F1287" s="18" t="n">
        <v>1</v>
      </c>
      <c r="G1287" s="18" t="inlineStr">
        <is>
          <t>INGRESO</t>
        </is>
      </c>
      <c r="H1287" s="18" t="n"/>
      <c r="I1287" s="45" t="n"/>
      <c r="J1287" s="77" t="n"/>
      <c r="K1287" s="18" t="n"/>
    </row>
    <row r="1288">
      <c r="B1288" s="18" t="inlineStr">
        <is>
          <t>00059-PLM</t>
        </is>
      </c>
      <c r="C1288" s="18">
        <f>IFERROR(_xlfn.XLOOKUP(ENTRADAS[[#This Row],[CODIGO]],LISTADO[CODIGOS],LISTADO[CATEGORIA]),"NO EXISTE")</f>
        <v/>
      </c>
      <c r="D1288" s="18">
        <f>IFERROR(_xlfn.XLOOKUP(ENTRADAS[[#This Row],[CODIGO]],LISTADO[CODIGOS],LISTADO[PRODUCTOS]),"NO EXISTE")</f>
        <v/>
      </c>
      <c r="E1288" s="19" t="n">
        <v>46113</v>
      </c>
      <c r="F1288" s="18" t="n">
        <v>4</v>
      </c>
      <c r="G1288" s="18" t="inlineStr">
        <is>
          <t>INGRESO</t>
        </is>
      </c>
      <c r="H1288" s="18" t="n"/>
      <c r="I1288" s="45" t="n"/>
      <c r="J1288" s="77" t="n"/>
      <c r="K1288" s="18" t="n"/>
    </row>
    <row r="1289">
      <c r="B1289" s="56" t="inlineStr">
        <is>
          <t>00061-HRR</t>
        </is>
      </c>
      <c r="C1289" s="18">
        <f>IFERROR(_xlfn.XLOOKUP(ENTRADAS[[#This Row],[CODIGO]],LISTADO[CODIGOS],LISTADO[CATEGORIA]),"NO EXISTE")</f>
        <v/>
      </c>
      <c r="D1289" s="18">
        <f>IFERROR(_xlfn.XLOOKUP(ENTRADAS[[#This Row],[CODIGO]],LISTADO[CODIGOS],LISTADO[PRODUCTOS]),"NO EXISTE")</f>
        <v/>
      </c>
      <c r="E1289" s="19" t="n">
        <v>46113</v>
      </c>
      <c r="F1289" s="18" t="n">
        <v>1</v>
      </c>
      <c r="G1289" s="18" t="inlineStr">
        <is>
          <t>INGRESO</t>
        </is>
      </c>
      <c r="H1289" s="18" t="n"/>
      <c r="I1289" s="45" t="n"/>
      <c r="J1289" s="77" t="n"/>
      <c r="K1289" s="18" t="n"/>
    </row>
    <row r="1290">
      <c r="B1290" s="56" t="inlineStr">
        <is>
          <t>00188-FER</t>
        </is>
      </c>
      <c r="C1290" s="18">
        <f>IFERROR(_xlfn.XLOOKUP(ENTRADAS[[#This Row],[CODIGO]],LISTADO[CODIGOS],LISTADO[CATEGORIA]),"NO EXISTE")</f>
        <v/>
      </c>
      <c r="D1290" s="18">
        <f>IFERROR(_xlfn.XLOOKUP(ENTRADAS[[#This Row],[CODIGO]],LISTADO[CODIGOS],LISTADO[PRODUCTOS]),"NO EXISTE")</f>
        <v/>
      </c>
      <c r="E1290" s="19" t="n">
        <v>46113</v>
      </c>
      <c r="F1290" s="18" t="n">
        <v>600</v>
      </c>
      <c r="G1290" s="18" t="inlineStr">
        <is>
          <t>INGRESO</t>
        </is>
      </c>
      <c r="H1290" s="18" t="n"/>
      <c r="I1290" s="45" t="n"/>
      <c r="J1290" s="77" t="n"/>
      <c r="K1290" s="18" t="n"/>
    </row>
    <row r="1291">
      <c r="B1291" s="56" t="inlineStr">
        <is>
          <t>00189-FER</t>
        </is>
      </c>
      <c r="C1291" s="18">
        <f>IFERROR(_xlfn.XLOOKUP(ENTRADAS[[#This Row],[CODIGO]],LISTADO[CODIGOS],LISTADO[CATEGORIA]),"NO EXISTE")</f>
        <v/>
      </c>
      <c r="D1291" s="18">
        <f>IFERROR(_xlfn.XLOOKUP(ENTRADAS[[#This Row],[CODIGO]],LISTADO[CODIGOS],LISTADO[PRODUCTOS]),"NO EXISTE")</f>
        <v/>
      </c>
      <c r="E1291" s="19" t="n">
        <v>46113</v>
      </c>
      <c r="F1291" s="18" t="n">
        <v>15</v>
      </c>
      <c r="G1291" s="18" t="inlineStr">
        <is>
          <t>INGRESO</t>
        </is>
      </c>
      <c r="H1291" s="18" t="n"/>
      <c r="I1291" s="45" t="n"/>
      <c r="J1291" s="77" t="n"/>
      <c r="K1291" s="18" t="n"/>
    </row>
    <row r="1292">
      <c r="B1292" s="56" t="inlineStr">
        <is>
          <t>00006-ELE</t>
        </is>
      </c>
      <c r="C1292" s="18">
        <f>IFERROR(_xlfn.XLOOKUP(ENTRADAS[[#This Row],[CODIGO]],LISTADO[CODIGOS],LISTADO[CATEGORIA]),"NO EXISTE")</f>
        <v/>
      </c>
      <c r="D1292" s="18">
        <f>IFERROR(_xlfn.XLOOKUP(ENTRADAS[[#This Row],[CODIGO]],LISTADO[CODIGOS],LISTADO[PRODUCTOS]),"NO EXISTE")</f>
        <v/>
      </c>
      <c r="E1292" s="19" t="n">
        <v>46113</v>
      </c>
      <c r="F1292" s="18" t="n">
        <v>3</v>
      </c>
      <c r="G1292" s="18" t="inlineStr">
        <is>
          <t>INGRESO</t>
        </is>
      </c>
      <c r="H1292" s="18" t="n"/>
      <c r="I1292" s="45" t="n"/>
      <c r="J1292" s="77" t="n"/>
      <c r="K1292" s="18" t="n"/>
    </row>
    <row r="1293">
      <c r="B1293" s="56" t="inlineStr">
        <is>
          <t>00078-ELE</t>
        </is>
      </c>
      <c r="C1293" s="18">
        <f>IFERROR(_xlfn.XLOOKUP(ENTRADAS[[#This Row],[CODIGO]],LISTADO[CODIGOS],LISTADO[CATEGORIA]),"NO EXISTE")</f>
        <v/>
      </c>
      <c r="D1293" s="18">
        <f>IFERROR(_xlfn.XLOOKUP(ENTRADAS[[#This Row],[CODIGO]],LISTADO[CODIGOS],LISTADO[PRODUCTOS]),"NO EXISTE")</f>
        <v/>
      </c>
      <c r="E1293" s="19" t="n">
        <v>46113</v>
      </c>
      <c r="F1293" s="18" t="n">
        <v>4</v>
      </c>
      <c r="G1293" s="18" t="inlineStr">
        <is>
          <t>INGRESO</t>
        </is>
      </c>
      <c r="H1293" s="18" t="n"/>
      <c r="I1293" s="45" t="n"/>
      <c r="J1293" s="77" t="n"/>
      <c r="K1293" s="18" t="n"/>
    </row>
    <row r="1294">
      <c r="B1294" s="56" t="inlineStr">
        <is>
          <t>00010-ELE</t>
        </is>
      </c>
      <c r="C1294" s="18">
        <f>IFERROR(_xlfn.XLOOKUP(ENTRADAS[[#This Row],[CODIGO]],LISTADO[CODIGOS],LISTADO[CATEGORIA]),"NO EXISTE")</f>
        <v/>
      </c>
      <c r="D1294" s="18">
        <f>IFERROR(_xlfn.XLOOKUP(ENTRADAS[[#This Row],[CODIGO]],LISTADO[CODIGOS],LISTADO[PRODUCTOS]),"NO EXISTE")</f>
        <v/>
      </c>
      <c r="E1294" s="19" t="n">
        <v>46113</v>
      </c>
      <c r="F1294" s="18" t="n">
        <v>4</v>
      </c>
      <c r="G1294" s="18" t="inlineStr">
        <is>
          <t>INGRESO</t>
        </is>
      </c>
      <c r="H1294" s="18" t="n"/>
      <c r="I1294" s="45" t="n"/>
      <c r="J1294" s="77" t="n"/>
      <c r="K1294" s="18" t="n"/>
    </row>
    <row r="1295">
      <c r="B1295" s="18" t="inlineStr">
        <is>
          <t>00063-HRR</t>
        </is>
      </c>
      <c r="C1295" s="18">
        <f>IFERROR(_xlfn.XLOOKUP(ENTRADAS[[#This Row],[CODIGO]],LISTADO[CODIGOS],LISTADO[CATEGORIA]),"NO EXISTE")</f>
        <v/>
      </c>
      <c r="D1295" s="18">
        <f>IFERROR(_xlfn.XLOOKUP(ENTRADAS[[#This Row],[CODIGO]],LISTADO[CODIGOS],LISTADO[PRODUCTOS]),"NO EXISTE")</f>
        <v/>
      </c>
      <c r="E1295" s="19" t="n">
        <v>46113</v>
      </c>
      <c r="F1295" s="18" t="n">
        <v>4</v>
      </c>
      <c r="G1295" s="18" t="inlineStr">
        <is>
          <t>INGRESO</t>
        </is>
      </c>
      <c r="H1295" s="18" t="n"/>
      <c r="I1295" s="45" t="n"/>
      <c r="J1295" s="77" t="n"/>
      <c r="K1295" s="18" t="n"/>
    </row>
    <row r="1296">
      <c r="B1296" s="18" t="inlineStr">
        <is>
          <t>00184-FER</t>
        </is>
      </c>
      <c r="C1296" s="18">
        <f>IFERROR(_xlfn.XLOOKUP(ENTRADAS[[#This Row],[CODIGO]],LISTADO[CODIGOS],LISTADO[CATEGORIA]),"NO EXISTE")</f>
        <v/>
      </c>
      <c r="D1296" s="18">
        <f>IFERROR(_xlfn.XLOOKUP(ENTRADAS[[#This Row],[CODIGO]],LISTADO[CODIGOS],LISTADO[PRODUCTOS]),"NO EXISTE")</f>
        <v/>
      </c>
      <c r="E1296" s="19" t="n">
        <v>46114</v>
      </c>
      <c r="F1296" s="18" t="n">
        <v>2</v>
      </c>
      <c r="G1296" s="18" t="inlineStr">
        <is>
          <t>DEVOLUCION</t>
        </is>
      </c>
      <c r="H1296" s="18" t="n"/>
      <c r="I1296" s="45" t="n"/>
      <c r="J1296" s="77" t="n"/>
      <c r="K1296" s="18" t="n"/>
    </row>
    <row r="1297">
      <c r="B1297" s="56" t="inlineStr">
        <is>
          <t>00196-FER</t>
        </is>
      </c>
      <c r="C1297" s="18">
        <f>IFERROR(_xlfn.XLOOKUP(ENTRADAS[[#This Row],[CODIGO]],LISTADO[CODIGOS],LISTADO[CATEGORIA]),"NO EXISTE")</f>
        <v/>
      </c>
      <c r="D1297" s="18">
        <f>IFERROR(_xlfn.XLOOKUP(ENTRADAS[[#This Row],[CODIGO]],LISTADO[CODIGOS],LISTADO[PRODUCTOS]),"NO EXISTE")</f>
        <v/>
      </c>
      <c r="E1297" s="19" t="n">
        <v>46114</v>
      </c>
      <c r="F1297" s="18" t="n">
        <v>2</v>
      </c>
      <c r="G1297" s="18" t="inlineStr">
        <is>
          <t>INGRESO</t>
        </is>
      </c>
      <c r="H1297" s="18" t="n"/>
      <c r="I1297" s="45" t="n"/>
      <c r="J1297" s="77" t="n"/>
      <c r="K1297" s="18" t="n"/>
    </row>
    <row r="1298">
      <c r="B1298" s="56" t="inlineStr">
        <is>
          <t>00060-ELC</t>
        </is>
      </c>
      <c r="C1298" s="18">
        <f>IFERROR(_xlfn.XLOOKUP(ENTRADAS[[#This Row],[CODIGO]],LISTADO[CODIGOS],LISTADO[CATEGORIA]),"NO EXISTE")</f>
        <v/>
      </c>
      <c r="D1298" s="18">
        <f>IFERROR(_xlfn.XLOOKUP(ENTRADAS[[#This Row],[CODIGO]],LISTADO[CODIGOS],LISTADO[PRODUCTOS]),"NO EXISTE")</f>
        <v/>
      </c>
      <c r="E1298" s="19" t="n">
        <v>46114</v>
      </c>
      <c r="F1298" s="18" t="n">
        <v>2</v>
      </c>
      <c r="G1298" s="18" t="inlineStr">
        <is>
          <t>INGRESO</t>
        </is>
      </c>
      <c r="H1298" s="18" t="n"/>
      <c r="I1298" s="45" t="n"/>
      <c r="J1298" s="77" t="n"/>
      <c r="K1298" s="18" t="n"/>
    </row>
    <row r="1299">
      <c r="B1299" s="18" t="inlineStr">
        <is>
          <t>00064-HRR</t>
        </is>
      </c>
      <c r="C1299" s="18">
        <f>IFERROR(_xlfn.XLOOKUP(ENTRADAS[[#This Row],[CODIGO]],LISTADO[CODIGOS],LISTADO[CATEGORIA]),"NO EXISTE")</f>
        <v/>
      </c>
      <c r="D1299" s="18">
        <f>IFERROR(_xlfn.XLOOKUP(ENTRADAS[[#This Row],[CODIGO]],LISTADO[CODIGOS],LISTADO[PRODUCTOS]),"NO EXISTE")</f>
        <v/>
      </c>
      <c r="E1299" s="19" t="n">
        <v>46114</v>
      </c>
      <c r="F1299" s="18" t="n">
        <v>1</v>
      </c>
      <c r="G1299" s="18" t="inlineStr">
        <is>
          <t>INGRESO</t>
        </is>
      </c>
      <c r="H1299" s="18" t="n"/>
      <c r="I1299" s="45" t="n"/>
      <c r="J1299" s="77" t="n"/>
      <c r="K1299" s="18" t="n"/>
    </row>
    <row r="1300">
      <c r="B1300" s="18" t="inlineStr">
        <is>
          <t>00065-HRR</t>
        </is>
      </c>
      <c r="C1300" s="18">
        <f>IFERROR(_xlfn.XLOOKUP(ENTRADAS[[#This Row],[CODIGO]],LISTADO[CODIGOS],LISTADO[CATEGORIA]),"NO EXISTE")</f>
        <v/>
      </c>
      <c r="D1300" s="18">
        <f>IFERROR(_xlfn.XLOOKUP(ENTRADAS[[#This Row],[CODIGO]],LISTADO[CODIGOS],LISTADO[PRODUCTOS]),"NO EXISTE")</f>
        <v/>
      </c>
      <c r="E1300" s="19" t="n">
        <v>46114</v>
      </c>
      <c r="F1300" s="18" t="n">
        <v>10</v>
      </c>
      <c r="G1300" s="18" t="inlineStr">
        <is>
          <t>INGRESO</t>
        </is>
      </c>
      <c r="H1300" s="18" t="n"/>
      <c r="I1300" s="45" t="n"/>
      <c r="J1300" s="77" t="n"/>
      <c r="K1300" s="18" t="n"/>
    </row>
    <row r="1301">
      <c r="B1301" s="18" t="inlineStr">
        <is>
          <t>00197-FER</t>
        </is>
      </c>
      <c r="C1301" s="18">
        <f>IFERROR(_xlfn.XLOOKUP(ENTRADAS[[#This Row],[CODIGO]],LISTADO[CODIGOS],LISTADO[CATEGORIA]),"NO EXISTE")</f>
        <v/>
      </c>
      <c r="D1301" s="18">
        <f>IFERROR(_xlfn.XLOOKUP(ENTRADAS[[#This Row],[CODIGO]],LISTADO[CODIGOS],LISTADO[PRODUCTOS]),"NO EXISTE")</f>
        <v/>
      </c>
      <c r="E1301" s="19" t="n">
        <v>46115</v>
      </c>
      <c r="F1301" s="18" t="n">
        <v>1</v>
      </c>
      <c r="G1301" s="18" t="inlineStr">
        <is>
          <t>INGRESO</t>
        </is>
      </c>
      <c r="H1301" s="18" t="n"/>
      <c r="I1301" s="45" t="n"/>
      <c r="J1301" s="77" t="n"/>
      <c r="K1301" s="18" t="n"/>
    </row>
    <row r="1302">
      <c r="B1302" s="18" t="inlineStr">
        <is>
          <t>00079-ELE</t>
        </is>
      </c>
      <c r="C1302" s="18">
        <f>IFERROR(_xlfn.XLOOKUP(ENTRADAS[[#This Row],[CODIGO]],LISTADO[CODIGOS],LISTADO[CATEGORIA]),"NO EXISTE")</f>
        <v/>
      </c>
      <c r="D1302" s="18">
        <f>IFERROR(_xlfn.XLOOKUP(ENTRADAS[[#This Row],[CODIGO]],LISTADO[CODIGOS],LISTADO[PRODUCTOS]),"NO EXISTE")</f>
        <v/>
      </c>
      <c r="E1302" s="19" t="n">
        <v>46115</v>
      </c>
      <c r="F1302" s="18" t="n">
        <v>7</v>
      </c>
      <c r="G1302" s="18" t="inlineStr">
        <is>
          <t>INGRESO</t>
        </is>
      </c>
      <c r="H1302" s="18" t="n"/>
      <c r="I1302" s="45" t="n"/>
      <c r="J1302" s="77" t="n"/>
      <c r="K1302" s="18" t="n"/>
    </row>
    <row r="1303">
      <c r="B1303" s="18" t="inlineStr">
        <is>
          <t>00080-ELE</t>
        </is>
      </c>
      <c r="C1303" s="18">
        <f>IFERROR(_xlfn.XLOOKUP(ENTRADAS[[#This Row],[CODIGO]],LISTADO[CODIGOS],LISTADO[CATEGORIA]),"NO EXISTE")</f>
        <v/>
      </c>
      <c r="D1303" s="18">
        <f>IFERROR(_xlfn.XLOOKUP(ENTRADAS[[#This Row],[CODIGO]],LISTADO[CODIGOS],LISTADO[PRODUCTOS]),"NO EXISTE")</f>
        <v/>
      </c>
      <c r="E1303" s="19" t="n">
        <v>46115</v>
      </c>
      <c r="F1303" s="18" t="n">
        <v>1</v>
      </c>
      <c r="G1303" s="18" t="inlineStr">
        <is>
          <t>INGRESO</t>
        </is>
      </c>
      <c r="H1303" s="18" t="n"/>
      <c r="I1303" s="45" t="n"/>
      <c r="J1303" s="77" t="n"/>
      <c r="K1303" s="18" t="n"/>
    </row>
    <row r="1304">
      <c r="B1304" s="18" t="inlineStr">
        <is>
          <t>00057-HRR</t>
        </is>
      </c>
      <c r="C1304" s="18">
        <f>IFERROR(_xlfn.XLOOKUP(ENTRADAS[[#This Row],[CODIGO]],LISTADO[CODIGOS],LISTADO[CATEGORIA]),"NO EXISTE")</f>
        <v/>
      </c>
      <c r="D1304" s="18">
        <f>IFERROR(_xlfn.XLOOKUP(ENTRADAS[[#This Row],[CODIGO]],LISTADO[CODIGOS],LISTADO[PRODUCTOS]),"NO EXISTE")</f>
        <v/>
      </c>
      <c r="E1304" s="19" t="n">
        <v>46116</v>
      </c>
      <c r="F1304" s="18" t="n">
        <v>2</v>
      </c>
      <c r="G1304" s="18" t="inlineStr">
        <is>
          <t>INGRESO</t>
        </is>
      </c>
      <c r="H1304" s="18" t="n"/>
      <c r="I1304" s="45" t="n"/>
      <c r="J1304" s="77" t="n"/>
      <c r="K1304" s="18" t="n"/>
    </row>
    <row r="1305">
      <c r="B1305" s="56" t="inlineStr">
        <is>
          <t>00005-HER</t>
        </is>
      </c>
      <c r="C1305" s="18">
        <f>IFERROR(_xlfn.XLOOKUP(ENTRADAS[[#This Row],[CODIGO]],LISTADO[CODIGOS],LISTADO[CATEGORIA]),"NO EXISTE")</f>
        <v/>
      </c>
      <c r="D1305" s="18">
        <f>IFERROR(_xlfn.XLOOKUP(ENTRADAS[[#This Row],[CODIGO]],LISTADO[CODIGOS],LISTADO[PRODUCTOS]),"NO EXISTE")</f>
        <v/>
      </c>
      <c r="E1305" s="19" t="n">
        <v>46116</v>
      </c>
      <c r="F1305" s="18" t="n">
        <v>1</v>
      </c>
      <c r="G1305" s="18" t="inlineStr">
        <is>
          <t>INGRESO</t>
        </is>
      </c>
      <c r="H1305" s="18" t="n"/>
      <c r="I1305" s="45" t="n"/>
      <c r="J1305" s="77" t="n"/>
      <c r="K1305" s="18" t="n"/>
    </row>
    <row r="1306">
      <c r="B1306" s="56" t="inlineStr">
        <is>
          <t>00022-MSC</t>
        </is>
      </c>
      <c r="C1306" s="18">
        <f>IFERROR(_xlfn.XLOOKUP(ENTRADAS[[#This Row],[CODIGO]],LISTADO[CODIGOS],LISTADO[CATEGORIA]),"NO EXISTE")</f>
        <v/>
      </c>
      <c r="D1306" s="18">
        <f>IFERROR(_xlfn.XLOOKUP(ENTRADAS[[#This Row],[CODIGO]],LISTADO[CODIGOS],LISTADO[PRODUCTOS]),"NO EXISTE")</f>
        <v/>
      </c>
      <c r="E1306" s="19" t="n">
        <v>46116</v>
      </c>
      <c r="F1306" s="18" t="n">
        <v>3</v>
      </c>
      <c r="G1306" s="18" t="inlineStr">
        <is>
          <t>INGRESO</t>
        </is>
      </c>
      <c r="H1306" s="18" t="n"/>
      <c r="I1306" s="45" t="n"/>
      <c r="J1306" s="77" t="n"/>
      <c r="K1306" s="18" t="n"/>
    </row>
    <row r="1307">
      <c r="B1307" s="18" t="inlineStr">
        <is>
          <t>00077-ELC</t>
        </is>
      </c>
      <c r="C1307" s="18">
        <f>IFERROR(_xlfn.XLOOKUP(ENTRADAS[[#This Row],[CODIGO]],LISTADO[CODIGOS],LISTADO[CATEGORIA]),"NO EXISTE")</f>
        <v/>
      </c>
      <c r="D1307" s="18">
        <f>IFERROR(_xlfn.XLOOKUP(ENTRADAS[[#This Row],[CODIGO]],LISTADO[CODIGOS],LISTADO[PRODUCTOS]),"NO EXISTE")</f>
        <v/>
      </c>
      <c r="E1307" s="19" t="n">
        <v>46116</v>
      </c>
      <c r="F1307" s="18" t="n">
        <v>1</v>
      </c>
      <c r="G1307" s="18" t="inlineStr">
        <is>
          <t>INGRESO</t>
        </is>
      </c>
      <c r="H1307" s="18" t="n"/>
      <c r="I1307" s="45" t="n"/>
      <c r="J1307" s="77" t="n"/>
      <c r="K1307" s="18" t="n"/>
    </row>
    <row r="1308">
      <c r="B1308" s="18" t="inlineStr">
        <is>
          <t>00062-PLM</t>
        </is>
      </c>
      <c r="C1308" s="18">
        <f>IFERROR(_xlfn.XLOOKUP(ENTRADAS[[#This Row],[CODIGO]],LISTADO[CODIGOS],LISTADO[CATEGORIA]),"NO EXISTE")</f>
        <v/>
      </c>
      <c r="D1308" s="18">
        <f>IFERROR(_xlfn.XLOOKUP(ENTRADAS[[#This Row],[CODIGO]],LISTADO[CODIGOS],LISTADO[PRODUCTOS]),"NO EXISTE")</f>
        <v/>
      </c>
      <c r="E1308" s="19" t="n">
        <v>46116</v>
      </c>
      <c r="F1308" s="18" t="n">
        <v>3</v>
      </c>
      <c r="G1308" s="18" t="inlineStr">
        <is>
          <t>INGRESO</t>
        </is>
      </c>
      <c r="H1308" s="18" t="n"/>
      <c r="I1308" s="45" t="n"/>
      <c r="J1308" s="77" t="n"/>
      <c r="K1308" s="18" t="n"/>
    </row>
    <row r="1309">
      <c r="B1309" s="56" t="inlineStr">
        <is>
          <t>00012-PLM</t>
        </is>
      </c>
      <c r="C1309" s="18">
        <f>IFERROR(_xlfn.XLOOKUP(ENTRADAS[[#This Row],[CODIGO]],LISTADO[CODIGOS],LISTADO[CATEGORIA]),"NO EXISTE")</f>
        <v/>
      </c>
      <c r="D1309" s="18">
        <f>IFERROR(_xlfn.XLOOKUP(ENTRADAS[[#This Row],[CODIGO]],LISTADO[CODIGOS],LISTADO[PRODUCTOS]),"NO EXISTE")</f>
        <v/>
      </c>
      <c r="E1309" s="19" t="n">
        <v>46116</v>
      </c>
      <c r="F1309" s="18" t="n">
        <v>8</v>
      </c>
      <c r="G1309" s="18" t="inlineStr">
        <is>
          <t>INGRESO</t>
        </is>
      </c>
      <c r="H1309" s="18" t="n"/>
      <c r="I1309" s="45" t="n"/>
      <c r="J1309" s="77" t="n"/>
      <c r="K1309" s="18" t="n"/>
    </row>
    <row r="1310">
      <c r="B1310" s="18" t="inlineStr">
        <is>
          <t>00063-PLM</t>
        </is>
      </c>
      <c r="C1310" s="18">
        <f>IFERROR(_xlfn.XLOOKUP(ENTRADAS[[#This Row],[CODIGO]],LISTADO[CODIGOS],LISTADO[CATEGORIA]),"NO EXISTE")</f>
        <v/>
      </c>
      <c r="D1310" s="18">
        <f>IFERROR(_xlfn.XLOOKUP(ENTRADAS[[#This Row],[CODIGO]],LISTADO[CODIGOS],LISTADO[PRODUCTOS]),"NO EXISTE")</f>
        <v/>
      </c>
      <c r="E1310" s="19" t="n">
        <v>46116</v>
      </c>
      <c r="F1310" s="18" t="n">
        <v>1</v>
      </c>
      <c r="G1310" s="18" t="inlineStr">
        <is>
          <t>INGRESO</t>
        </is>
      </c>
      <c r="H1310" s="18" t="n"/>
      <c r="I1310" s="45" t="n"/>
      <c r="J1310" s="77" t="n"/>
      <c r="K1310" s="18" t="n"/>
    </row>
    <row r="1311">
      <c r="B1311" s="56" t="inlineStr">
        <is>
          <t>00001-LIM</t>
        </is>
      </c>
      <c r="C1311" s="18">
        <f>IFERROR(_xlfn.XLOOKUP(ENTRADAS[[#This Row],[CODIGO]],LISTADO[CODIGOS],LISTADO[CATEGORIA]),"NO EXISTE")</f>
        <v/>
      </c>
      <c r="D1311" s="18">
        <f>IFERROR(_xlfn.XLOOKUP(ENTRADAS[[#This Row],[CODIGO]],LISTADO[CODIGOS],LISTADO[PRODUCTOS]),"NO EXISTE")</f>
        <v/>
      </c>
      <c r="E1311" s="19" t="n">
        <v>46118</v>
      </c>
      <c r="F1311" s="18" t="n">
        <v>12</v>
      </c>
      <c r="G1311" s="18" t="inlineStr">
        <is>
          <t>INGRESO</t>
        </is>
      </c>
      <c r="H1311" s="18" t="n"/>
      <c r="I1311" s="45" t="n"/>
      <c r="J1311" s="77" t="n"/>
      <c r="K1311" s="18" t="n"/>
    </row>
    <row r="1312">
      <c r="B1312" s="56" t="inlineStr">
        <is>
          <t>00005-LIM</t>
        </is>
      </c>
      <c r="C1312" s="18">
        <f>IFERROR(_xlfn.XLOOKUP(ENTRADAS[[#This Row],[CODIGO]],LISTADO[CODIGOS],LISTADO[CATEGORIA]),"NO EXISTE")</f>
        <v/>
      </c>
      <c r="D1312" s="18">
        <f>IFERROR(_xlfn.XLOOKUP(ENTRADAS[[#This Row],[CODIGO]],LISTADO[CODIGOS],LISTADO[PRODUCTOS]),"NO EXISTE")</f>
        <v/>
      </c>
      <c r="E1312" s="19" t="n">
        <v>46118</v>
      </c>
      <c r="F1312" s="18" t="n">
        <v>15</v>
      </c>
      <c r="G1312" s="18" t="inlineStr">
        <is>
          <t>INGRESO</t>
        </is>
      </c>
      <c r="H1312" s="18" t="n"/>
      <c r="I1312" s="45" t="n"/>
      <c r="J1312" s="77" t="n"/>
      <c r="K1312" s="18" t="n"/>
    </row>
    <row r="1313">
      <c r="B1313" s="18" t="inlineStr">
        <is>
          <t>00028-LIM</t>
        </is>
      </c>
      <c r="C1313" s="18">
        <f>IFERROR(_xlfn.XLOOKUP(ENTRADAS[[#This Row],[CODIGO]],LISTADO[CODIGOS],LISTADO[CATEGORIA]),"NO EXISTE")</f>
        <v/>
      </c>
      <c r="D1313" s="18">
        <f>IFERROR(_xlfn.XLOOKUP(ENTRADAS[[#This Row],[CODIGO]],LISTADO[CODIGOS],LISTADO[PRODUCTOS]),"NO EXISTE")</f>
        <v/>
      </c>
      <c r="E1313" s="19" t="n">
        <v>46118</v>
      </c>
      <c r="F1313" s="18" t="n">
        <v>10</v>
      </c>
      <c r="G1313" s="18" t="inlineStr">
        <is>
          <t>INGRESO</t>
        </is>
      </c>
      <c r="H1313" s="18" t="n"/>
      <c r="I1313" s="45" t="n"/>
      <c r="J1313" s="77" t="n"/>
      <c r="K1313" s="18" t="n"/>
    </row>
    <row r="1314">
      <c r="B1314" s="56" t="inlineStr">
        <is>
          <t>00015-MSC</t>
        </is>
      </c>
      <c r="C1314" s="18">
        <f>IFERROR(_xlfn.XLOOKUP(ENTRADAS[[#This Row],[CODIGO]],LISTADO[CODIGOS],LISTADO[CATEGORIA]),"NO EXISTE")</f>
        <v/>
      </c>
      <c r="D1314" s="18">
        <f>IFERROR(_xlfn.XLOOKUP(ENTRADAS[[#This Row],[CODIGO]],LISTADO[CODIGOS],LISTADO[PRODUCTOS]),"NO EXISTE")</f>
        <v/>
      </c>
      <c r="E1314" s="19" t="n">
        <v>46118</v>
      </c>
      <c r="F1314" s="18" t="n">
        <v>5</v>
      </c>
      <c r="G1314" s="18" t="inlineStr">
        <is>
          <t>INGRESO</t>
        </is>
      </c>
      <c r="H1314" s="18" t="n"/>
      <c r="I1314" s="45" t="n"/>
      <c r="J1314" s="77" t="n"/>
      <c r="K1314" s="18" t="n"/>
    </row>
    <row r="1315">
      <c r="B1315" s="56" t="inlineStr">
        <is>
          <t>00023-MSC</t>
        </is>
      </c>
      <c r="C1315" s="18">
        <f>IFERROR(_xlfn.XLOOKUP(ENTRADAS[[#This Row],[CODIGO]],LISTADO[CODIGOS],LISTADO[CATEGORIA]),"NO EXISTE")</f>
        <v/>
      </c>
      <c r="D1315" s="18">
        <f>IFERROR(_xlfn.XLOOKUP(ENTRADAS[[#This Row],[CODIGO]],LISTADO[CODIGOS],LISTADO[PRODUCTOS]),"NO EXISTE")</f>
        <v/>
      </c>
      <c r="E1315" s="19" t="n">
        <v>46118</v>
      </c>
      <c r="F1315" s="18" t="n">
        <v>24</v>
      </c>
      <c r="G1315" s="18" t="inlineStr">
        <is>
          <t>INGRESO</t>
        </is>
      </c>
      <c r="H1315" s="18" t="n"/>
      <c r="I1315" s="45" t="n"/>
      <c r="J1315" s="77" t="n"/>
      <c r="K1315" s="18" t="n"/>
    </row>
    <row r="1316">
      <c r="B1316" s="18" t="inlineStr">
        <is>
          <t>00066-HRR</t>
        </is>
      </c>
      <c r="C1316" s="18">
        <f>IFERROR(_xlfn.XLOOKUP(ENTRADAS[[#This Row],[CODIGO]],LISTADO[CODIGOS],LISTADO[CATEGORIA]),"NO EXISTE")</f>
        <v/>
      </c>
      <c r="D1316" s="18">
        <f>IFERROR(_xlfn.XLOOKUP(ENTRADAS[[#This Row],[CODIGO]],LISTADO[CODIGOS],LISTADO[PRODUCTOS]),"NO EXISTE")</f>
        <v/>
      </c>
      <c r="E1316" s="19" t="n">
        <v>46119</v>
      </c>
      <c r="F1316" s="18" t="n">
        <v>1</v>
      </c>
      <c r="G1316" s="18" t="inlineStr">
        <is>
          <t>INGRESO</t>
        </is>
      </c>
      <c r="H1316" s="18" t="n"/>
      <c r="I1316" s="45" t="n"/>
      <c r="J1316" s="77" t="n"/>
      <c r="K1316" s="18" t="n"/>
    </row>
    <row r="1317">
      <c r="B1317" s="56" t="inlineStr">
        <is>
          <t>00099-HER</t>
        </is>
      </c>
      <c r="C1317" s="18">
        <f>IFERROR(_xlfn.XLOOKUP(ENTRADAS[[#This Row],[CODIGO]],LISTADO[CODIGOS],LISTADO[CATEGORIA]),"NO EXISTE")</f>
        <v/>
      </c>
      <c r="D1317" s="18">
        <f>IFERROR(_xlfn.XLOOKUP(ENTRADAS[[#This Row],[CODIGO]],LISTADO[CODIGOS],LISTADO[PRODUCTOS]),"NO EXISTE")</f>
        <v/>
      </c>
      <c r="E1317" s="19" t="n">
        <v>46119</v>
      </c>
      <c r="F1317" s="18" t="n">
        <v>1</v>
      </c>
      <c r="G1317" s="18" t="inlineStr">
        <is>
          <t>INGRESO</t>
        </is>
      </c>
      <c r="H1317" s="18" t="n"/>
      <c r="I1317" s="45" t="n"/>
      <c r="J1317" s="77" t="n"/>
      <c r="K1317" s="18" t="n"/>
    </row>
    <row r="1318">
      <c r="B1318" s="18" t="inlineStr">
        <is>
          <t>00119-HER</t>
        </is>
      </c>
      <c r="C1318" s="18">
        <f>IFERROR(_xlfn.XLOOKUP(ENTRADAS[[#This Row],[CODIGO]],LISTADO[CODIGOS],LISTADO[CATEGORIA]),"NO EXISTE")</f>
        <v/>
      </c>
      <c r="D1318" s="18">
        <f>IFERROR(_xlfn.XLOOKUP(ENTRADAS[[#This Row],[CODIGO]],LISTADO[CODIGOS],LISTADO[PRODUCTOS]),"NO EXISTE")</f>
        <v/>
      </c>
      <c r="E1318" s="19" t="n">
        <v>46119</v>
      </c>
      <c r="F1318" s="18" t="n">
        <v>1</v>
      </c>
      <c r="G1318" s="18" t="inlineStr">
        <is>
          <t>INGRESO</t>
        </is>
      </c>
      <c r="H1318" s="18" t="n"/>
      <c r="I1318" s="45" t="n"/>
      <c r="J1318" s="77" t="n"/>
      <c r="K1318" s="18" t="n"/>
    </row>
    <row r="1319">
      <c r="B1319" s="18" t="inlineStr">
        <is>
          <t>00120-HER</t>
        </is>
      </c>
      <c r="C1319" s="18">
        <f>IFERROR(_xlfn.XLOOKUP(ENTRADAS[[#This Row],[CODIGO]],LISTADO[CODIGOS],LISTADO[CATEGORIA]),"NO EXISTE")</f>
        <v/>
      </c>
      <c r="D1319" s="18">
        <f>IFERROR(_xlfn.XLOOKUP(ENTRADAS[[#This Row],[CODIGO]],LISTADO[CODIGOS],LISTADO[PRODUCTOS]),"NO EXISTE")</f>
        <v/>
      </c>
      <c r="E1319" s="19" t="n">
        <v>46119</v>
      </c>
      <c r="F1319" s="18" t="n">
        <v>1</v>
      </c>
      <c r="G1319" s="18" t="inlineStr">
        <is>
          <t>INGRESO</t>
        </is>
      </c>
      <c r="H1319" s="18" t="n"/>
      <c r="I1319" s="45" t="n"/>
      <c r="J1319" s="77" t="n"/>
      <c r="K1319" s="18" t="n"/>
    </row>
    <row r="1320">
      <c r="B1320" s="56" t="inlineStr">
        <is>
          <t>00121-HER</t>
        </is>
      </c>
      <c r="C1320" s="18">
        <f>IFERROR(_xlfn.XLOOKUP(ENTRADAS[[#This Row],[CODIGO]],LISTADO[CODIGOS],LISTADO[CATEGORIA]),"NO EXISTE")</f>
        <v/>
      </c>
      <c r="D1320" s="18">
        <f>IFERROR(_xlfn.XLOOKUP(ENTRADAS[[#This Row],[CODIGO]],LISTADO[CODIGOS],LISTADO[PRODUCTOS]),"NO EXISTE")</f>
        <v/>
      </c>
      <c r="E1320" s="19" t="n">
        <v>46119</v>
      </c>
      <c r="F1320" s="18" t="n">
        <v>3</v>
      </c>
      <c r="G1320" s="18" t="inlineStr">
        <is>
          <t>INGRESO</t>
        </is>
      </c>
      <c r="H1320" s="18" t="n"/>
      <c r="I1320" s="45" t="n"/>
      <c r="J1320" s="77" t="n"/>
      <c r="K1320" s="18" t="n"/>
    </row>
    <row r="1321">
      <c r="B1321" s="18" t="inlineStr">
        <is>
          <t>00001-OFC</t>
        </is>
      </c>
      <c r="C1321" s="18">
        <f>IFERROR(_xlfn.XLOOKUP(ENTRADAS[[#This Row],[CODIGO]],LISTADO[CODIGOS],LISTADO[CATEGORIA]),"NO EXISTE")</f>
        <v/>
      </c>
      <c r="D1321" s="18">
        <f>IFERROR(_xlfn.XLOOKUP(ENTRADAS[[#This Row],[CODIGO]],LISTADO[CODIGOS],LISTADO[PRODUCTOS]),"NO EXISTE")</f>
        <v/>
      </c>
      <c r="E1321" s="19" t="n">
        <v>46119</v>
      </c>
      <c r="F1321" s="18" t="n">
        <v>2</v>
      </c>
      <c r="G1321" s="18" t="inlineStr">
        <is>
          <t>INGRESO</t>
        </is>
      </c>
      <c r="H1321" s="18" t="n"/>
      <c r="I1321" s="45" t="n"/>
      <c r="J1321" s="77" t="n"/>
      <c r="K1321" s="18" t="n"/>
    </row>
    <row r="1322">
      <c r="B1322" s="56" t="inlineStr">
        <is>
          <t>00026-LIM</t>
        </is>
      </c>
      <c r="C1322" s="18">
        <f>IFERROR(_xlfn.XLOOKUP(ENTRADAS[[#This Row],[CODIGO]],LISTADO[CODIGOS],LISTADO[CATEGORIA]),"NO EXISTE")</f>
        <v/>
      </c>
      <c r="D1322" s="18">
        <f>IFERROR(_xlfn.XLOOKUP(ENTRADAS[[#This Row],[CODIGO]],LISTADO[CODIGOS],LISTADO[PRODUCTOS]),"NO EXISTE")</f>
        <v/>
      </c>
      <c r="E1322" s="19" t="n">
        <v>46120</v>
      </c>
      <c r="F1322" s="18" t="n">
        <v>100</v>
      </c>
      <c r="G1322" s="18" t="inlineStr">
        <is>
          <t>INGRESO</t>
        </is>
      </c>
      <c r="H1322" s="18" t="n"/>
      <c r="I1322" s="45" t="n"/>
      <c r="J1322" s="77" t="n"/>
      <c r="K1322" s="18" t="n"/>
    </row>
    <row r="1323">
      <c r="B1323" s="56" t="inlineStr">
        <is>
          <t>00027-LIM</t>
        </is>
      </c>
      <c r="C1323" s="18">
        <f>IFERROR(_xlfn.XLOOKUP(ENTRADAS[[#This Row],[CODIGO]],LISTADO[CODIGOS],LISTADO[CATEGORIA]),"NO EXISTE")</f>
        <v/>
      </c>
      <c r="D1323" s="18">
        <f>IFERROR(_xlfn.XLOOKUP(ENTRADAS[[#This Row],[CODIGO]],LISTADO[CODIGOS],LISTADO[PRODUCTOS]),"NO EXISTE")</f>
        <v/>
      </c>
      <c r="E1323" s="19" t="n">
        <v>46120</v>
      </c>
      <c r="F1323" s="18" t="n">
        <v>100</v>
      </c>
      <c r="G1323" s="18" t="inlineStr">
        <is>
          <t>INGRESO</t>
        </is>
      </c>
      <c r="H1323" s="18" t="n"/>
      <c r="I1323" s="45" t="n"/>
      <c r="J1323" s="77" t="n"/>
      <c r="K1323" s="18" t="n"/>
    </row>
    <row r="1324">
      <c r="B1324" s="18" t="inlineStr">
        <is>
          <t>00009-OFC</t>
        </is>
      </c>
      <c r="C1324" s="18">
        <f>IFERROR(_xlfn.XLOOKUP(ENTRADAS[[#This Row],[CODIGO]],LISTADO[CODIGOS],LISTADO[CATEGORIA]),"NO EXISTE")</f>
        <v/>
      </c>
      <c r="D1324" s="18">
        <f>IFERROR(_xlfn.XLOOKUP(ENTRADAS[[#This Row],[CODIGO]],LISTADO[CODIGOS],LISTADO[PRODUCTOS]),"NO EXISTE")</f>
        <v/>
      </c>
      <c r="E1324" s="19" t="n">
        <v>46120</v>
      </c>
      <c r="F1324" s="18" t="n">
        <v>2</v>
      </c>
      <c r="G1324" s="18" t="inlineStr">
        <is>
          <t>INGRESO</t>
        </is>
      </c>
      <c r="H1324" s="18" t="n"/>
      <c r="I1324" s="45" t="n"/>
      <c r="J1324" s="77" t="n"/>
      <c r="K1324" s="18" t="n"/>
    </row>
    <row r="1325">
      <c r="B1325" s="56" t="inlineStr">
        <is>
          <t>00004-FER</t>
        </is>
      </c>
      <c r="C1325" s="18">
        <f>IFERROR(_xlfn.XLOOKUP(ENTRADAS[[#This Row],[CODIGO]],LISTADO[CODIGOS],LISTADO[CATEGORIA]),"NO EXISTE")</f>
        <v/>
      </c>
      <c r="D1325" s="18">
        <f>IFERROR(_xlfn.XLOOKUP(ENTRADAS[[#This Row],[CODIGO]],LISTADO[CODIGOS],LISTADO[PRODUCTOS]),"NO EXISTE")</f>
        <v/>
      </c>
      <c r="E1325" s="19" t="n">
        <v>46121</v>
      </c>
      <c r="F1325" s="18" t="n">
        <v>8000</v>
      </c>
      <c r="G1325" s="18" t="inlineStr">
        <is>
          <t>INGRESO</t>
        </is>
      </c>
      <c r="H1325" s="18" t="n"/>
      <c r="I1325" s="45" t="n"/>
      <c r="J1325" s="77" t="n"/>
      <c r="K1325" s="18" t="n"/>
    </row>
    <row r="1326">
      <c r="B1326" s="56" t="inlineStr">
        <is>
          <t>00115-FER</t>
        </is>
      </c>
      <c r="C1326" s="18">
        <f>IFERROR(_xlfn.XLOOKUP(ENTRADAS[[#This Row],[CODIGO]],LISTADO[CODIGOS],LISTADO[CATEGORIA]),"NO EXISTE")</f>
        <v/>
      </c>
      <c r="D1326" s="18">
        <f>IFERROR(_xlfn.XLOOKUP(ENTRADAS[[#This Row],[CODIGO]],LISTADO[CODIGOS],LISTADO[PRODUCTOS]),"NO EXISTE")</f>
        <v/>
      </c>
      <c r="E1326" s="19" t="n">
        <v>46121</v>
      </c>
      <c r="F1326" s="18" t="n">
        <v>8000</v>
      </c>
      <c r="G1326" s="18" t="inlineStr">
        <is>
          <t>INGRESO</t>
        </is>
      </c>
      <c r="H1326" s="18" t="n"/>
      <c r="I1326" s="45" t="n"/>
      <c r="J1326" s="77" t="n"/>
      <c r="K1326" s="18" t="n"/>
    </row>
    <row r="1327">
      <c r="B1327" s="56" t="inlineStr">
        <is>
          <t>00116-FER</t>
        </is>
      </c>
      <c r="C1327" s="18">
        <f>IFERROR(_xlfn.XLOOKUP(ENTRADAS[[#This Row],[CODIGO]],LISTADO[CODIGOS],LISTADO[CATEGORIA]),"NO EXISTE")</f>
        <v/>
      </c>
      <c r="D1327" s="18">
        <f>IFERROR(_xlfn.XLOOKUP(ENTRADAS[[#This Row],[CODIGO]],LISTADO[CODIGOS],LISTADO[PRODUCTOS]),"NO EXISTE")</f>
        <v/>
      </c>
      <c r="E1327" s="19" t="n">
        <v>46121</v>
      </c>
      <c r="F1327" s="18" t="n">
        <v>5000</v>
      </c>
      <c r="G1327" s="18" t="inlineStr">
        <is>
          <t>INGRESO</t>
        </is>
      </c>
      <c r="H1327" s="18" t="n"/>
      <c r="I1327" s="45" t="n"/>
      <c r="J1327" s="77" t="n"/>
      <c r="K1327" s="18" t="n"/>
    </row>
    <row r="1328">
      <c r="B1328" s="18" t="inlineStr">
        <is>
          <t>00200-FER</t>
        </is>
      </c>
      <c r="C1328" s="18">
        <f>IFERROR(_xlfn.XLOOKUP(ENTRADAS[[#This Row],[CODIGO]],LISTADO[CODIGOS],LISTADO[CATEGORIA]),"NO EXISTE")</f>
        <v/>
      </c>
      <c r="D1328" s="18">
        <f>IFERROR(_xlfn.XLOOKUP(ENTRADAS[[#This Row],[CODIGO]],LISTADO[CODIGOS],LISTADO[PRODUCTOS]),"NO EXISTE")</f>
        <v/>
      </c>
      <c r="E1328" s="19" t="n">
        <v>46121</v>
      </c>
      <c r="F1328" s="18" t="n">
        <v>100</v>
      </c>
      <c r="G1328" s="18" t="inlineStr">
        <is>
          <t>INGRESO</t>
        </is>
      </c>
      <c r="H1328" s="18" t="n"/>
      <c r="I1328" s="45" t="n"/>
      <c r="J1328" s="77" t="n"/>
      <c r="K1328" s="18" t="n"/>
    </row>
    <row r="1329">
      <c r="B1329" s="18" t="inlineStr">
        <is>
          <t>00118-HER</t>
        </is>
      </c>
      <c r="C1329" s="18">
        <f>IFERROR(_xlfn.XLOOKUP(ENTRADAS[[#This Row],[CODIGO]],LISTADO[CODIGOS],LISTADO[CATEGORIA]),"NO EXISTE")</f>
        <v/>
      </c>
      <c r="D1329" s="18">
        <f>IFERROR(_xlfn.XLOOKUP(ENTRADAS[[#This Row],[CODIGO]],LISTADO[CODIGOS],LISTADO[PRODUCTOS]),"NO EXISTE")</f>
        <v/>
      </c>
      <c r="E1329" s="19" t="n">
        <v>46121</v>
      </c>
      <c r="F1329" s="18" t="n">
        <v>1</v>
      </c>
      <c r="G1329" s="18" t="inlineStr">
        <is>
          <t>INGRESO</t>
        </is>
      </c>
      <c r="H1329" s="18" t="n"/>
      <c r="I1329" s="45" t="n"/>
      <c r="J1329" s="77" t="n"/>
      <c r="K1329" s="18" t="n"/>
    </row>
    <row r="1330">
      <c r="B1330" s="56" t="inlineStr">
        <is>
          <t>00038-ILU</t>
        </is>
      </c>
      <c r="C1330" s="18">
        <f>IFERROR(_xlfn.XLOOKUP(ENTRADAS[[#This Row],[CODIGO]],LISTADO[CODIGOS],LISTADO[CATEGORIA]),"NO EXISTE")</f>
        <v/>
      </c>
      <c r="D1330" s="18">
        <f>IFERROR(_xlfn.XLOOKUP(ENTRADAS[[#This Row],[CODIGO]],LISTADO[CODIGOS],LISTADO[PRODUCTOS]),"NO EXISTE")</f>
        <v/>
      </c>
      <c r="E1330" s="19" t="n">
        <v>46121</v>
      </c>
      <c r="F1330" s="18" t="n">
        <v>8</v>
      </c>
      <c r="G1330" s="18" t="inlineStr">
        <is>
          <t>INGRESO</t>
        </is>
      </c>
      <c r="H1330" s="18" t="n"/>
      <c r="I1330" s="45" t="n"/>
      <c r="J1330" s="77" t="n"/>
      <c r="K1330" s="18" t="n"/>
    </row>
    <row r="1331">
      <c r="B1331" s="56" t="inlineStr">
        <is>
          <t>00055-ILU</t>
        </is>
      </c>
      <c r="C1331" s="18">
        <f>IFERROR(_xlfn.XLOOKUP(ENTRADAS[[#This Row],[CODIGO]],LISTADO[CODIGOS],LISTADO[CATEGORIA]),"NO EXISTE")</f>
        <v/>
      </c>
      <c r="D1331" s="18">
        <f>IFERROR(_xlfn.XLOOKUP(ENTRADAS[[#This Row],[CODIGO]],LISTADO[CODIGOS],LISTADO[PRODUCTOS]),"NO EXISTE")</f>
        <v/>
      </c>
      <c r="E1331" s="19" t="n">
        <v>46121</v>
      </c>
      <c r="F1331" s="18" t="n">
        <v>4</v>
      </c>
      <c r="G1331" s="18" t="inlineStr">
        <is>
          <t>INGRESO</t>
        </is>
      </c>
      <c r="H1331" s="18" t="n"/>
      <c r="I1331" s="45" t="n"/>
      <c r="J1331" s="77" t="n"/>
      <c r="K1331" s="18" t="n"/>
    </row>
    <row r="1332">
      <c r="B1332" s="18" t="inlineStr">
        <is>
          <t>00058-ELC</t>
        </is>
      </c>
      <c r="C1332" s="18">
        <f>IFERROR(_xlfn.XLOOKUP(ENTRADAS[[#This Row],[CODIGO]],LISTADO[CODIGOS],LISTADO[CATEGORIA]),"NO EXISTE")</f>
        <v/>
      </c>
      <c r="D1332" s="18">
        <f>IFERROR(_xlfn.XLOOKUP(ENTRADAS[[#This Row],[CODIGO]],LISTADO[CODIGOS],LISTADO[PRODUCTOS]),"NO EXISTE")</f>
        <v/>
      </c>
      <c r="E1332" s="19" t="n">
        <v>46121</v>
      </c>
      <c r="F1332" s="18" t="n">
        <v>4</v>
      </c>
      <c r="G1332" s="18" t="inlineStr">
        <is>
          <t>INGRESO</t>
        </is>
      </c>
      <c r="H1332" s="18" t="n"/>
      <c r="I1332" s="45" t="n"/>
      <c r="J1332" s="77" t="n"/>
      <c r="K1332" s="18" t="n"/>
    </row>
    <row r="1333">
      <c r="B1333" s="18" t="inlineStr">
        <is>
          <t>00201-FER</t>
        </is>
      </c>
      <c r="C1333" s="18">
        <f>IFERROR(_xlfn.XLOOKUP(ENTRADAS[[#This Row],[CODIGO]],LISTADO[CODIGOS],LISTADO[CATEGORIA]),"NO EXISTE")</f>
        <v/>
      </c>
      <c r="D1333" s="18">
        <f>IFERROR(_xlfn.XLOOKUP(ENTRADAS[[#This Row],[CODIGO]],LISTADO[CODIGOS],LISTADO[PRODUCTOS]),"NO EXISTE")</f>
        <v/>
      </c>
      <c r="E1333" s="19" t="n">
        <v>46121</v>
      </c>
      <c r="F1333" s="18" t="n">
        <v>6</v>
      </c>
      <c r="G1333" s="18" t="inlineStr">
        <is>
          <t>INGRESO</t>
        </is>
      </c>
      <c r="H1333" s="18" t="n"/>
      <c r="I1333" s="45" t="n"/>
      <c r="J1333" s="77" t="n"/>
      <c r="K1333" s="18" t="n"/>
    </row>
    <row r="1334">
      <c r="B1334" s="56" t="inlineStr">
        <is>
          <t>00001-FER</t>
        </is>
      </c>
      <c r="C1334" s="18">
        <f>IFERROR(_xlfn.XLOOKUP(ENTRADAS[[#This Row],[CODIGO]],LISTADO[CODIGOS],LISTADO[CATEGORIA]),"NO EXISTE")</f>
        <v/>
      </c>
      <c r="D1334" s="18">
        <f>IFERROR(_xlfn.XLOOKUP(ENTRADAS[[#This Row],[CODIGO]],LISTADO[CODIGOS],LISTADO[PRODUCTOS]),"NO EXISTE")</f>
        <v/>
      </c>
      <c r="E1334" s="19" t="n">
        <v>46121</v>
      </c>
      <c r="F1334" s="18" t="n">
        <v>50</v>
      </c>
      <c r="G1334" s="18" t="inlineStr">
        <is>
          <t>INGRESO</t>
        </is>
      </c>
      <c r="H1334" s="18" t="n"/>
      <c r="I1334" s="45" t="n"/>
      <c r="J1334" s="77" t="n"/>
      <c r="K1334" s="18" t="n"/>
    </row>
    <row r="1335">
      <c r="B1335" s="56" t="inlineStr">
        <is>
          <t>00008-HRR</t>
        </is>
      </c>
      <c r="C1335" s="18">
        <f>IFERROR(_xlfn.XLOOKUP(ENTRADAS[[#This Row],[CODIGO]],LISTADO[CODIGOS],LISTADO[CATEGORIA]),"NO EXISTE")</f>
        <v/>
      </c>
      <c r="D1335" s="18">
        <f>IFERROR(_xlfn.XLOOKUP(ENTRADAS[[#This Row],[CODIGO]],LISTADO[CODIGOS],LISTADO[PRODUCTOS]),"NO EXISTE")</f>
        <v/>
      </c>
      <c r="E1335" s="19" t="n">
        <v>46121</v>
      </c>
      <c r="F1335" s="18" t="n">
        <v>50</v>
      </c>
      <c r="G1335" s="18" t="inlineStr">
        <is>
          <t>INGRESO</t>
        </is>
      </c>
      <c r="H1335" s="18" t="n"/>
      <c r="I1335" s="45" t="n"/>
      <c r="J1335" s="77" t="n"/>
      <c r="K1335" s="18" t="n"/>
    </row>
    <row r="1336">
      <c r="B1336" s="56" t="inlineStr">
        <is>
          <t>00040-PLM</t>
        </is>
      </c>
      <c r="C1336" s="18">
        <f>IFERROR(_xlfn.XLOOKUP(ENTRADAS[[#This Row],[CODIGO]],LISTADO[CODIGOS],LISTADO[CATEGORIA]),"NO EXISTE")</f>
        <v/>
      </c>
      <c r="D1336" s="18">
        <f>IFERROR(_xlfn.XLOOKUP(ENTRADAS[[#This Row],[CODIGO]],LISTADO[CODIGOS],LISTADO[PRODUCTOS]),"NO EXISTE")</f>
        <v/>
      </c>
      <c r="E1336" s="19" t="n">
        <v>46121</v>
      </c>
      <c r="F1336" s="18" t="n">
        <v>12</v>
      </c>
      <c r="G1336" s="18" t="inlineStr">
        <is>
          <t>INGRESO</t>
        </is>
      </c>
      <c r="H1336" s="18" t="n"/>
      <c r="I1336" s="45" t="n"/>
      <c r="J1336" s="77" t="n"/>
      <c r="K1336" s="18" t="n"/>
    </row>
    <row r="1337">
      <c r="B1337" s="56" t="inlineStr">
        <is>
          <t>00018-PLM</t>
        </is>
      </c>
      <c r="C1337" s="18">
        <f>IFERROR(_xlfn.XLOOKUP(ENTRADAS[[#This Row],[CODIGO]],LISTADO[CODIGOS],LISTADO[CATEGORIA]),"NO EXISTE")</f>
        <v/>
      </c>
      <c r="D1337" s="18">
        <f>IFERROR(_xlfn.XLOOKUP(ENTRADAS[[#This Row],[CODIGO]],LISTADO[CODIGOS],LISTADO[PRODUCTOS]),"NO EXISTE")</f>
        <v/>
      </c>
      <c r="E1337" s="19" t="n">
        <v>46121</v>
      </c>
      <c r="F1337" s="18" t="n">
        <v>8</v>
      </c>
      <c r="G1337" s="18" t="inlineStr">
        <is>
          <t>INGRESO</t>
        </is>
      </c>
      <c r="H1337" s="18" t="n"/>
      <c r="I1337" s="45" t="n"/>
      <c r="J1337" s="77" t="n"/>
      <c r="K1337" s="18" t="n"/>
    </row>
    <row r="1338">
      <c r="B1338" s="18" t="inlineStr">
        <is>
          <t>00082-ELE</t>
        </is>
      </c>
      <c r="C1338" s="18">
        <f>IFERROR(_xlfn.XLOOKUP(ENTRADAS[[#This Row],[CODIGO]],LISTADO[CODIGOS],LISTADO[CATEGORIA]),"NO EXISTE")</f>
        <v/>
      </c>
      <c r="D1338" s="18">
        <f>IFERROR(_xlfn.XLOOKUP(ENTRADAS[[#This Row],[CODIGO]],LISTADO[CODIGOS],LISTADO[PRODUCTOS]),"NO EXISTE")</f>
        <v/>
      </c>
      <c r="E1338" s="19" t="n">
        <v>46121</v>
      </c>
      <c r="F1338" s="18" t="n">
        <v>30</v>
      </c>
      <c r="G1338" s="18" t="inlineStr">
        <is>
          <t>INGRESO</t>
        </is>
      </c>
      <c r="H1338" s="18" t="n"/>
      <c r="I1338" s="45" t="n"/>
      <c r="J1338" s="77" t="n"/>
      <c r="K1338" s="18" t="n"/>
    </row>
    <row r="1339">
      <c r="B1339" s="18" t="inlineStr">
        <is>
          <t>00079-ELE</t>
        </is>
      </c>
      <c r="C1339" s="18">
        <f>IFERROR(_xlfn.XLOOKUP(ENTRADAS[[#This Row],[CODIGO]],LISTADO[CODIGOS],LISTADO[CATEGORIA]),"NO EXISTE")</f>
        <v/>
      </c>
      <c r="D1339" s="18">
        <f>IFERROR(_xlfn.XLOOKUP(ENTRADAS[[#This Row],[CODIGO]],LISTADO[CODIGOS],LISTADO[PRODUCTOS]),"NO EXISTE")</f>
        <v/>
      </c>
      <c r="E1339" s="19" t="n">
        <v>46121</v>
      </c>
      <c r="F1339" s="18" t="n">
        <v>5</v>
      </c>
      <c r="G1339" s="18" t="inlineStr">
        <is>
          <t>INGRESO</t>
        </is>
      </c>
      <c r="H1339" s="18" t="n"/>
      <c r="I1339" s="45" t="n"/>
      <c r="J1339" s="77" t="n"/>
      <c r="K1339" s="18" t="n"/>
    </row>
    <row r="1340">
      <c r="B1340" s="18" t="inlineStr">
        <is>
          <t>00202-FER</t>
        </is>
      </c>
      <c r="C1340" s="18">
        <f>IFERROR(_xlfn.XLOOKUP(ENTRADAS[[#This Row],[CODIGO]],LISTADO[CODIGOS],LISTADO[CATEGORIA]),"NO EXISTE")</f>
        <v/>
      </c>
      <c r="D1340" s="18">
        <f>IFERROR(_xlfn.XLOOKUP(ENTRADAS[[#This Row],[CODIGO]],LISTADO[CODIGOS],LISTADO[PRODUCTOS]),"NO EXISTE")</f>
        <v/>
      </c>
      <c r="E1340" s="19" t="n">
        <v>46121</v>
      </c>
      <c r="F1340" s="18" t="n">
        <v>20</v>
      </c>
      <c r="G1340" s="18" t="inlineStr">
        <is>
          <t>INGRESO</t>
        </is>
      </c>
      <c r="H1340" s="18" t="n"/>
      <c r="I1340" s="45" t="n"/>
      <c r="J1340" s="77" t="n"/>
      <c r="K1340" s="18" t="n"/>
    </row>
    <row r="1341">
      <c r="B1341" s="56" t="inlineStr">
        <is>
          <t>00097-FER</t>
        </is>
      </c>
      <c r="C1341" s="18">
        <f>IFERROR(_xlfn.XLOOKUP(ENTRADAS[[#This Row],[CODIGO]],LISTADO[CODIGOS],LISTADO[CATEGORIA]),"NO EXISTE")</f>
        <v/>
      </c>
      <c r="D1341" s="18">
        <f>IFERROR(_xlfn.XLOOKUP(ENTRADAS[[#This Row],[CODIGO]],LISTADO[CODIGOS],LISTADO[PRODUCTOS]),"NO EXISTE")</f>
        <v/>
      </c>
      <c r="E1341" s="19" t="n">
        <v>46121</v>
      </c>
      <c r="F1341" s="18" t="n">
        <v>12</v>
      </c>
      <c r="G1341" s="18" t="inlineStr">
        <is>
          <t>INGRESO</t>
        </is>
      </c>
      <c r="H1341" s="18" t="n"/>
      <c r="I1341" s="45" t="n"/>
      <c r="J1341" s="77" t="n"/>
      <c r="K1341" s="18" t="n"/>
    </row>
    <row r="1342">
      <c r="B1342" s="56" t="inlineStr">
        <is>
          <t>00031-HRR</t>
        </is>
      </c>
      <c r="C1342" s="18">
        <f>IFERROR(_xlfn.XLOOKUP(ENTRADAS[[#This Row],[CODIGO]],LISTADO[CODIGOS],LISTADO[CATEGORIA]),"NO EXISTE")</f>
        <v/>
      </c>
      <c r="D1342" s="18">
        <f>IFERROR(_xlfn.XLOOKUP(ENTRADAS[[#This Row],[CODIGO]],LISTADO[CODIGOS],LISTADO[PRODUCTOS]),"NO EXISTE")</f>
        <v/>
      </c>
      <c r="E1342" s="19" t="n">
        <v>46121</v>
      </c>
      <c r="F1342" s="18" t="n">
        <v>12</v>
      </c>
      <c r="G1342" s="18" t="inlineStr">
        <is>
          <t>INGRESO</t>
        </is>
      </c>
      <c r="H1342" s="18" t="n"/>
      <c r="I1342" s="45" t="n"/>
      <c r="J1342" s="77" t="n"/>
      <c r="K1342" s="18" t="n"/>
    </row>
    <row r="1343">
      <c r="B1343" s="56" t="inlineStr">
        <is>
          <t>00003-ELE</t>
        </is>
      </c>
      <c r="C1343" s="18">
        <f>IFERROR(_xlfn.XLOOKUP(ENTRADAS[[#This Row],[CODIGO]],LISTADO[CODIGOS],LISTADO[CATEGORIA]),"NO EXISTE")</f>
        <v/>
      </c>
      <c r="D1343" s="18">
        <f>IFERROR(_xlfn.XLOOKUP(ENTRADAS[[#This Row],[CODIGO]],LISTADO[CODIGOS],LISTADO[PRODUCTOS]),"NO EXISTE")</f>
        <v/>
      </c>
      <c r="E1343" s="19" t="n">
        <v>46121</v>
      </c>
      <c r="F1343" s="18" t="n">
        <v>76</v>
      </c>
      <c r="G1343" s="18" t="inlineStr">
        <is>
          <t>INGRESO</t>
        </is>
      </c>
      <c r="H1343" s="18" t="n"/>
      <c r="I1343" s="45" t="n"/>
      <c r="J1343" s="77" t="n"/>
      <c r="K1343" s="18" t="n"/>
    </row>
    <row r="1344">
      <c r="B1344" s="56" t="inlineStr">
        <is>
          <t>00001-REF</t>
        </is>
      </c>
      <c r="C1344" s="18">
        <f>IFERROR(_xlfn.XLOOKUP(ENTRADAS[[#This Row],[CODIGO]],LISTADO[CODIGOS],LISTADO[CATEGORIA]),"NO EXISTE")</f>
        <v/>
      </c>
      <c r="D1344" s="18">
        <f>IFERROR(_xlfn.XLOOKUP(ENTRADAS[[#This Row],[CODIGO]],LISTADO[CODIGOS],LISTADO[PRODUCTOS]),"NO EXISTE")</f>
        <v/>
      </c>
      <c r="E1344" s="19" t="n">
        <v>46121</v>
      </c>
      <c r="F1344" s="18" t="n">
        <v>12</v>
      </c>
      <c r="G1344" s="18" t="inlineStr">
        <is>
          <t>INGRESO</t>
        </is>
      </c>
      <c r="H1344" s="18" t="n"/>
      <c r="I1344" s="45" t="n"/>
      <c r="J1344" s="77" t="n"/>
      <c r="K1344" s="18" t="n"/>
    </row>
    <row r="1345">
      <c r="B1345" s="56" t="inlineStr">
        <is>
          <t>00073-REF</t>
        </is>
      </c>
      <c r="C1345" s="18">
        <f>IFERROR(_xlfn.XLOOKUP(ENTRADAS[[#This Row],[CODIGO]],LISTADO[CODIGOS],LISTADO[CATEGORIA]),"NO EXISTE")</f>
        <v/>
      </c>
      <c r="D1345" s="18">
        <f>IFERROR(_xlfn.XLOOKUP(ENTRADAS[[#This Row],[CODIGO]],LISTADO[CODIGOS],LISTADO[PRODUCTOS]),"NO EXISTE")</f>
        <v/>
      </c>
      <c r="E1345" s="19" t="n">
        <v>46121</v>
      </c>
      <c r="F1345" s="18" t="n">
        <v>12</v>
      </c>
      <c r="G1345" s="18" t="inlineStr">
        <is>
          <t>INGRESO</t>
        </is>
      </c>
      <c r="H1345" s="18" t="n"/>
      <c r="I1345" s="45" t="n"/>
      <c r="J1345" s="77" t="n"/>
      <c r="K1345" s="18" t="n"/>
    </row>
    <row r="1346">
      <c r="B1346" s="56" t="inlineStr">
        <is>
          <t>00030-REF</t>
        </is>
      </c>
      <c r="C1346" s="18">
        <f>IFERROR(_xlfn.XLOOKUP(ENTRADAS[[#This Row],[CODIGO]],LISTADO[CODIGOS],LISTADO[CATEGORIA]),"NO EXISTE")</f>
        <v/>
      </c>
      <c r="D1346" s="18">
        <f>IFERROR(_xlfn.XLOOKUP(ENTRADAS[[#This Row],[CODIGO]],LISTADO[CODIGOS],LISTADO[PRODUCTOS]),"NO EXISTE")</f>
        <v/>
      </c>
      <c r="E1346" s="19" t="n">
        <v>46121</v>
      </c>
      <c r="F1346" s="18" t="n">
        <v>24</v>
      </c>
      <c r="G1346" s="18" t="inlineStr">
        <is>
          <t>INGRESO</t>
        </is>
      </c>
      <c r="H1346" s="18" t="n"/>
      <c r="I1346" s="45" t="n"/>
      <c r="J1346" s="77" t="n"/>
      <c r="K1346" s="18" t="n"/>
    </row>
    <row r="1347">
      <c r="B1347" s="56" t="inlineStr">
        <is>
          <t>00035-REF</t>
        </is>
      </c>
      <c r="C1347" s="18">
        <f>IFERROR(_xlfn.XLOOKUP(ENTRADAS[[#This Row],[CODIGO]],LISTADO[CODIGOS],LISTADO[CATEGORIA]),"NO EXISTE")</f>
        <v/>
      </c>
      <c r="D1347" s="18">
        <f>IFERROR(_xlfn.XLOOKUP(ENTRADAS[[#This Row],[CODIGO]],LISTADO[CODIGOS],LISTADO[PRODUCTOS]),"NO EXISTE")</f>
        <v/>
      </c>
      <c r="E1347" s="19" t="n">
        <v>46121</v>
      </c>
      <c r="F1347" s="18" t="n">
        <v>4</v>
      </c>
      <c r="G1347" s="18" t="inlineStr">
        <is>
          <t>INGRESO</t>
        </is>
      </c>
      <c r="H1347" s="18" t="n"/>
      <c r="I1347" s="45" t="n"/>
      <c r="J1347" s="77" t="n"/>
      <c r="K1347" s="18" t="n"/>
    </row>
    <row r="1348">
      <c r="B1348" s="56" t="inlineStr">
        <is>
          <t>00071-REF</t>
        </is>
      </c>
      <c r="C1348" s="18">
        <f>IFERROR(_xlfn.XLOOKUP(ENTRADAS[[#This Row],[CODIGO]],LISTADO[CODIGOS],LISTADO[CATEGORIA]),"NO EXISTE")</f>
        <v/>
      </c>
      <c r="D1348" s="18">
        <f>IFERROR(_xlfn.XLOOKUP(ENTRADAS[[#This Row],[CODIGO]],LISTADO[CODIGOS],LISTADO[PRODUCTOS]),"NO EXISTE")</f>
        <v/>
      </c>
      <c r="E1348" s="19" t="n">
        <v>46121</v>
      </c>
      <c r="F1348" s="18" t="n">
        <v>15</v>
      </c>
      <c r="G1348" s="18" t="inlineStr">
        <is>
          <t>INGRESO</t>
        </is>
      </c>
      <c r="H1348" s="18" t="n"/>
      <c r="I1348" s="45" t="n"/>
      <c r="J1348" s="77" t="n"/>
      <c r="K1348" s="18" t="n"/>
    </row>
    <row r="1349">
      <c r="B1349" s="56" t="inlineStr">
        <is>
          <t>00123-REF</t>
        </is>
      </c>
      <c r="C1349" s="18">
        <f>IFERROR(_xlfn.XLOOKUP(ENTRADAS[[#This Row],[CODIGO]],LISTADO[CODIGOS],LISTADO[CATEGORIA]),"NO EXISTE")</f>
        <v/>
      </c>
      <c r="D1349" s="18">
        <f>IFERROR(_xlfn.XLOOKUP(ENTRADAS[[#This Row],[CODIGO]],LISTADO[CODIGOS],LISTADO[PRODUCTOS]),"NO EXISTE")</f>
        <v/>
      </c>
      <c r="E1349" s="19" t="n">
        <v>46121</v>
      </c>
      <c r="F1349" s="18" t="n">
        <v>15</v>
      </c>
      <c r="G1349" s="18" t="inlineStr">
        <is>
          <t>INGRESO</t>
        </is>
      </c>
      <c r="H1349" s="18" t="n"/>
      <c r="I1349" s="45" t="n"/>
      <c r="J1349" s="77" t="n"/>
      <c r="K1349" s="18" t="n"/>
    </row>
    <row r="1350">
      <c r="B1350" s="56" t="inlineStr">
        <is>
          <t>00198-FER</t>
        </is>
      </c>
      <c r="C1350" s="18">
        <f>IFERROR(_xlfn.XLOOKUP(ENTRADAS[[#This Row],[CODIGO]],LISTADO[CODIGOS],LISTADO[CATEGORIA]),"NO EXISTE")</f>
        <v/>
      </c>
      <c r="D1350" s="18">
        <f>IFERROR(_xlfn.XLOOKUP(ENTRADAS[[#This Row],[CODIGO]],LISTADO[CODIGOS],LISTADO[PRODUCTOS]),"NO EXISTE")</f>
        <v/>
      </c>
      <c r="E1350" s="19" t="n">
        <v>46122</v>
      </c>
      <c r="F1350" s="18" t="n">
        <v>16</v>
      </c>
      <c r="G1350" s="18" t="inlineStr">
        <is>
          <t>INGRESO</t>
        </is>
      </c>
      <c r="H1350" s="18" t="n"/>
      <c r="I1350" s="45" t="n"/>
      <c r="J1350" s="77" t="n"/>
      <c r="K1350" s="18" t="n"/>
    </row>
    <row r="1351">
      <c r="B1351" s="18" t="inlineStr">
        <is>
          <t>00199-FER</t>
        </is>
      </c>
      <c r="C1351" s="18">
        <f>IFERROR(_xlfn.XLOOKUP(ENTRADAS[[#This Row],[CODIGO]],LISTADO[CODIGOS],LISTADO[CATEGORIA]),"NO EXISTE")</f>
        <v/>
      </c>
      <c r="D1351" s="18">
        <f>IFERROR(_xlfn.XLOOKUP(ENTRADAS[[#This Row],[CODIGO]],LISTADO[CODIGOS],LISTADO[PRODUCTOS]),"NO EXISTE")</f>
        <v/>
      </c>
      <c r="E1351" s="19" t="n">
        <v>46122</v>
      </c>
      <c r="F1351" s="18" t="n">
        <v>12</v>
      </c>
      <c r="G1351" s="18" t="inlineStr">
        <is>
          <t>INGRESO</t>
        </is>
      </c>
      <c r="H1351" s="18" t="n"/>
      <c r="I1351" s="45" t="n"/>
      <c r="J1351" s="77" t="n"/>
      <c r="K1351" s="18" t="n"/>
    </row>
    <row r="1352">
      <c r="B1352" s="18" t="inlineStr">
        <is>
          <t>00081-ELE</t>
        </is>
      </c>
      <c r="C1352" s="18">
        <f>IFERROR(_xlfn.XLOOKUP(ENTRADAS[[#This Row],[CODIGO]],LISTADO[CODIGOS],LISTADO[CATEGORIA]),"NO EXISTE")</f>
        <v/>
      </c>
      <c r="D1352" s="18">
        <f>IFERROR(_xlfn.XLOOKUP(ENTRADAS[[#This Row],[CODIGO]],LISTADO[CODIGOS],LISTADO[PRODUCTOS]),"NO EXISTE")</f>
        <v/>
      </c>
      <c r="E1352" s="19" t="n">
        <v>46122</v>
      </c>
      <c r="F1352" s="18" t="n">
        <v>2</v>
      </c>
      <c r="G1352" s="18" t="inlineStr">
        <is>
          <t>INGRESO</t>
        </is>
      </c>
      <c r="H1352" s="18" t="n"/>
      <c r="I1352" s="45" t="n"/>
      <c r="J1352" s="77" t="n"/>
      <c r="K1352" s="18" t="n"/>
    </row>
    <row r="1353">
      <c r="B1353" s="56" t="inlineStr">
        <is>
          <t>00080-FER</t>
        </is>
      </c>
      <c r="C1353" s="18">
        <f>IFERROR(_xlfn.XLOOKUP(ENTRADAS[[#This Row],[CODIGO]],LISTADO[CODIGOS],LISTADO[CATEGORIA]),"NO EXISTE")</f>
        <v/>
      </c>
      <c r="D1353" s="18">
        <f>IFERROR(_xlfn.XLOOKUP(ENTRADAS[[#This Row],[CODIGO]],LISTADO[CODIGOS],LISTADO[PRODUCTOS]),"NO EXISTE")</f>
        <v/>
      </c>
      <c r="E1353" s="19" t="n">
        <v>46122</v>
      </c>
      <c r="F1353" s="18" t="n">
        <v>1</v>
      </c>
      <c r="G1353" s="18" t="inlineStr">
        <is>
          <t>INGRESO</t>
        </is>
      </c>
      <c r="H1353" s="18" t="n"/>
      <c r="I1353" s="45" t="n"/>
      <c r="J1353" s="77" t="n"/>
      <c r="K1353" s="18" t="n"/>
    </row>
    <row r="1354">
      <c r="B1354" s="56" t="inlineStr">
        <is>
          <t>00203-FER</t>
        </is>
      </c>
      <c r="C1354" s="18">
        <f>IFERROR(_xlfn.XLOOKUP(ENTRADAS[[#This Row],[CODIGO]],LISTADO[CODIGOS],LISTADO[CATEGORIA]),"NO EXISTE")</f>
        <v/>
      </c>
      <c r="D1354" s="18">
        <f>IFERROR(_xlfn.XLOOKUP(ENTRADAS[[#This Row],[CODIGO]],LISTADO[CODIGOS],LISTADO[PRODUCTOS]),"NO EXISTE")</f>
        <v/>
      </c>
      <c r="E1354" s="19" t="n">
        <v>46122</v>
      </c>
      <c r="F1354" s="18" t="n">
        <v>4</v>
      </c>
      <c r="G1354" s="18" t="inlineStr">
        <is>
          <t>INGRESO</t>
        </is>
      </c>
      <c r="H1354" s="18" t="n"/>
      <c r="I1354" s="45" t="n"/>
      <c r="J1354" s="77" t="n"/>
      <c r="K1354" s="18" t="n"/>
    </row>
    <row r="1355">
      <c r="B1355" s="18" t="inlineStr">
        <is>
          <t>00119-REF</t>
        </is>
      </c>
      <c r="C1355" s="18">
        <f>IFERROR(_xlfn.XLOOKUP(ENTRADAS[[#This Row],[CODIGO]],LISTADO[CODIGOS],LISTADO[CATEGORIA]),"NO EXISTE")</f>
        <v/>
      </c>
      <c r="D1355" s="18">
        <f>IFERROR(_xlfn.XLOOKUP(ENTRADAS[[#This Row],[CODIGO]],LISTADO[CODIGOS],LISTADO[PRODUCTOS]),"NO EXISTE")</f>
        <v/>
      </c>
      <c r="E1355" s="19" t="n">
        <v>46122</v>
      </c>
      <c r="F1355" s="18" t="n">
        <v>1</v>
      </c>
      <c r="G1355" s="18" t="inlineStr">
        <is>
          <t>INGRESO</t>
        </is>
      </c>
      <c r="H1355" s="18" t="inlineStr">
        <is>
          <t>R.O.C.A</t>
        </is>
      </c>
      <c r="I1355" s="45" t="n"/>
      <c r="J1355" s="77" t="n">
        <v>45702.61</v>
      </c>
      <c r="K1355" s="18" t="n"/>
    </row>
    <row r="1356">
      <c r="B1356" s="56" t="inlineStr">
        <is>
          <t>00054-ILU</t>
        </is>
      </c>
      <c r="C1356" s="18">
        <f>IFERROR(_xlfn.XLOOKUP(ENTRADAS[[#This Row],[CODIGO]],LISTADO[CODIGOS],LISTADO[CATEGORIA]),"NO EXISTE")</f>
        <v/>
      </c>
      <c r="D1356" s="18">
        <f>IFERROR(_xlfn.XLOOKUP(ENTRADAS[[#This Row],[CODIGO]],LISTADO[CODIGOS],LISTADO[PRODUCTOS]),"NO EXISTE")</f>
        <v/>
      </c>
      <c r="E1356" s="19" t="n">
        <v>46123</v>
      </c>
      <c r="F1356" s="18" t="n">
        <v>3</v>
      </c>
      <c r="G1356" s="18" t="inlineStr">
        <is>
          <t>INGRESO</t>
        </is>
      </c>
      <c r="H1356" s="18" t="n"/>
      <c r="I1356" s="45" t="n"/>
      <c r="J1356" s="77" t="n"/>
      <c r="K1356" s="18" t="n"/>
    </row>
    <row r="1357">
      <c r="B1357" s="56" t="inlineStr">
        <is>
          <t>00010-PLM</t>
        </is>
      </c>
      <c r="C1357" s="18">
        <f>IFERROR(_xlfn.XLOOKUP(ENTRADAS[[#This Row],[CODIGO]],LISTADO[CODIGOS],LISTADO[CATEGORIA]),"NO EXISTE")</f>
        <v/>
      </c>
      <c r="D1357" s="18">
        <f>IFERROR(_xlfn.XLOOKUP(ENTRADAS[[#This Row],[CODIGO]],LISTADO[CODIGOS],LISTADO[PRODUCTOS]),"NO EXISTE")</f>
        <v/>
      </c>
      <c r="E1357" s="19" t="n">
        <v>46123</v>
      </c>
      <c r="F1357" s="18" t="n">
        <v>3</v>
      </c>
      <c r="G1357" s="18" t="inlineStr">
        <is>
          <t>INGRESO</t>
        </is>
      </c>
      <c r="H1357" s="18" t="n"/>
      <c r="I1357" s="45" t="n"/>
      <c r="J1357" s="77" t="n"/>
      <c r="K1357" s="18" t="n"/>
    </row>
    <row r="1358">
      <c r="B1358" s="56" t="inlineStr">
        <is>
          <t>00124-FER</t>
        </is>
      </c>
      <c r="C1358" s="18">
        <f>IFERROR(_xlfn.XLOOKUP(ENTRADAS[[#This Row],[CODIGO]],LISTADO[CODIGOS],LISTADO[CATEGORIA]),"NO EXISTE")</f>
        <v/>
      </c>
      <c r="D1358" s="18">
        <f>IFERROR(_xlfn.XLOOKUP(ENTRADAS[[#This Row],[CODIGO]],LISTADO[CODIGOS],LISTADO[PRODUCTOS]),"NO EXISTE")</f>
        <v/>
      </c>
      <c r="E1358" s="19" t="n">
        <v>46123</v>
      </c>
      <c r="F1358" s="18" t="n">
        <v>3</v>
      </c>
      <c r="G1358" s="18" t="inlineStr">
        <is>
          <t>INGRESO</t>
        </is>
      </c>
      <c r="H1358" s="18" t="n"/>
      <c r="I1358" s="45" t="n"/>
      <c r="J1358" s="77" t="n"/>
      <c r="K1358" s="18" t="n"/>
    </row>
    <row r="1359">
      <c r="B1359" s="18" t="inlineStr">
        <is>
          <t>00053-ILU</t>
        </is>
      </c>
      <c r="C1359" s="18">
        <f>IFERROR(_xlfn.XLOOKUP(ENTRADAS[[#This Row],[CODIGO]],LISTADO[CODIGOS],LISTADO[CATEGORIA]),"NO EXISTE")</f>
        <v/>
      </c>
      <c r="D1359" s="18">
        <f>IFERROR(_xlfn.XLOOKUP(ENTRADAS[[#This Row],[CODIGO]],LISTADO[CODIGOS],LISTADO[PRODUCTOS]),"NO EXISTE")</f>
        <v/>
      </c>
      <c r="E1359" s="19" t="n">
        <v>46123</v>
      </c>
      <c r="F1359" s="18" t="n">
        <v>4</v>
      </c>
      <c r="G1359" s="18" t="inlineStr">
        <is>
          <t>INGRESO</t>
        </is>
      </c>
      <c r="H1359" s="18" t="n"/>
      <c r="I1359" s="45" t="n"/>
      <c r="J1359" s="77" t="n"/>
      <c r="K1359" s="18" t="n"/>
    </row>
    <row r="1360">
      <c r="B1360" s="56" t="inlineStr">
        <is>
          <t>00002-PLM</t>
        </is>
      </c>
      <c r="C1360" s="18">
        <f>IFERROR(_xlfn.XLOOKUP(ENTRADAS[[#This Row],[CODIGO]],LISTADO[CODIGOS],LISTADO[CATEGORIA]),"NO EXISTE")</f>
        <v/>
      </c>
      <c r="D1360" s="18">
        <f>IFERROR(_xlfn.XLOOKUP(ENTRADAS[[#This Row],[CODIGO]],LISTADO[CODIGOS],LISTADO[PRODUCTOS]),"NO EXISTE")</f>
        <v/>
      </c>
      <c r="E1360" s="19" t="n">
        <v>46123</v>
      </c>
      <c r="F1360" s="18" t="n">
        <v>2</v>
      </c>
      <c r="G1360" s="18" t="inlineStr">
        <is>
          <t>INGRESO</t>
        </is>
      </c>
      <c r="H1360" s="18" t="n"/>
      <c r="I1360" s="45" t="n"/>
      <c r="J1360" s="77" t="n"/>
      <c r="K1360" s="18" t="n"/>
    </row>
    <row r="1361">
      <c r="B1361" s="56" t="inlineStr">
        <is>
          <t>00121-REF</t>
        </is>
      </c>
      <c r="C1361" s="18">
        <f>IFERROR(_xlfn.XLOOKUP(ENTRADAS[[#This Row],[CODIGO]],LISTADO[CODIGOS],LISTADO[CATEGORIA]),"NO EXISTE")</f>
        <v/>
      </c>
      <c r="D1361" s="18">
        <f>IFERROR(_xlfn.XLOOKUP(ENTRADAS[[#This Row],[CODIGO]],LISTADO[CODIGOS],LISTADO[PRODUCTOS]),"NO EXISTE")</f>
        <v/>
      </c>
      <c r="E1361" s="19" t="n">
        <v>46123</v>
      </c>
      <c r="F1361" s="18" t="n">
        <v>1</v>
      </c>
      <c r="G1361" s="18" t="inlineStr">
        <is>
          <t>INGRESO</t>
        </is>
      </c>
      <c r="H1361" s="18" t="n"/>
      <c r="I1361" s="45" t="n"/>
      <c r="J1361" s="77" t="n"/>
      <c r="K1361" s="18" t="n"/>
    </row>
    <row r="1362">
      <c r="B1362" s="18" t="inlineStr">
        <is>
          <t>00122-REF</t>
        </is>
      </c>
      <c r="C1362" s="18">
        <f>IFERROR(_xlfn.XLOOKUP(ENTRADAS[[#This Row],[CODIGO]],LISTADO[CODIGOS],LISTADO[CATEGORIA]),"NO EXISTE")</f>
        <v/>
      </c>
      <c r="D1362" s="18">
        <f>IFERROR(_xlfn.XLOOKUP(ENTRADAS[[#This Row],[CODIGO]],LISTADO[CODIGOS],LISTADO[PRODUCTOS]),"NO EXISTE")</f>
        <v/>
      </c>
      <c r="E1362" s="19" t="n">
        <v>46123</v>
      </c>
      <c r="F1362" s="18" t="n">
        <v>1</v>
      </c>
      <c r="G1362" s="18" t="inlineStr">
        <is>
          <t>INGRESO</t>
        </is>
      </c>
      <c r="H1362" s="18" t="n"/>
      <c r="I1362" s="45" t="n"/>
      <c r="J1362" s="77" t="n"/>
      <c r="K1362" s="18" t="n"/>
    </row>
    <row r="1363">
      <c r="B1363" s="18" t="inlineStr">
        <is>
          <t>00058-ELC</t>
        </is>
      </c>
      <c r="C1363" s="18">
        <f>IFERROR(_xlfn.XLOOKUP(ENTRADAS[[#This Row],[CODIGO]],LISTADO[CODIGOS],LISTADO[CATEGORIA]),"NO EXISTE")</f>
        <v/>
      </c>
      <c r="D1363" s="18">
        <f>IFERROR(_xlfn.XLOOKUP(ENTRADAS[[#This Row],[CODIGO]],LISTADO[CODIGOS],LISTADO[PRODUCTOS]),"NO EXISTE")</f>
        <v/>
      </c>
      <c r="E1363" s="19" t="n">
        <v>46126</v>
      </c>
      <c r="F1363" s="18" t="n">
        <v>3</v>
      </c>
      <c r="G1363" s="18" t="inlineStr">
        <is>
          <t>INGRESO</t>
        </is>
      </c>
      <c r="H1363" s="18" t="n"/>
      <c r="I1363" s="45" t="n"/>
      <c r="J1363" s="77" t="n"/>
      <c r="K1363" s="18" t="n"/>
    </row>
    <row r="1364">
      <c r="B1364" s="18" t="inlineStr">
        <is>
          <t>00078-ELC</t>
        </is>
      </c>
      <c r="C1364" s="18">
        <f>IFERROR(_xlfn.XLOOKUP(ENTRADAS[[#This Row],[CODIGO]],LISTADO[CODIGOS],LISTADO[CATEGORIA]),"NO EXISTE")</f>
        <v/>
      </c>
      <c r="D1364" s="18">
        <f>IFERROR(_xlfn.XLOOKUP(ENTRADAS[[#This Row],[CODIGO]],LISTADO[CODIGOS],LISTADO[PRODUCTOS]),"NO EXISTE")</f>
        <v/>
      </c>
      <c r="E1364" s="19" t="n">
        <v>46126</v>
      </c>
      <c r="F1364" s="18" t="n">
        <v>3</v>
      </c>
      <c r="G1364" s="18" t="inlineStr">
        <is>
          <t>INGRESO</t>
        </is>
      </c>
      <c r="H1364" s="18" t="n"/>
      <c r="I1364" s="45" t="n"/>
      <c r="J1364" s="77" t="n"/>
      <c r="K1364" s="18" t="n"/>
    </row>
    <row r="1365">
      <c r="B1365" s="18" t="inlineStr">
        <is>
          <t>00059-ELC</t>
        </is>
      </c>
      <c r="C1365" s="18">
        <f>IFERROR(_xlfn.XLOOKUP(ENTRADAS[[#This Row],[CODIGO]],LISTADO[CODIGOS],LISTADO[CATEGORIA]),"NO EXISTE")</f>
        <v/>
      </c>
      <c r="D1365" s="18">
        <f>IFERROR(_xlfn.XLOOKUP(ENTRADAS[[#This Row],[CODIGO]],LISTADO[CODIGOS],LISTADO[PRODUCTOS]),"NO EXISTE")</f>
        <v/>
      </c>
      <c r="E1365" s="19" t="n">
        <v>46126</v>
      </c>
      <c r="F1365" s="18" t="n">
        <v>1</v>
      </c>
      <c r="G1365" s="18" t="inlineStr">
        <is>
          <t>INGRESO</t>
        </is>
      </c>
      <c r="H1365" s="18" t="n"/>
      <c r="I1365" s="45" t="n"/>
      <c r="J1365" s="77" t="n"/>
      <c r="K1365" s="18" t="n"/>
    </row>
    <row r="1366">
      <c r="B1366" s="56" t="inlineStr">
        <is>
          <t>00079-ELC</t>
        </is>
      </c>
      <c r="C1366" s="18">
        <f>IFERROR(_xlfn.XLOOKUP(ENTRADAS[[#This Row],[CODIGO]],LISTADO[CODIGOS],LISTADO[CATEGORIA]),"NO EXISTE")</f>
        <v/>
      </c>
      <c r="D1366" s="18">
        <f>IFERROR(_xlfn.XLOOKUP(ENTRADAS[[#This Row],[CODIGO]],LISTADO[CODIGOS],LISTADO[PRODUCTOS]),"NO EXISTE")</f>
        <v/>
      </c>
      <c r="E1366" s="19" t="n">
        <v>46126</v>
      </c>
      <c r="F1366" s="18" t="n">
        <v>1</v>
      </c>
      <c r="G1366" s="18" t="inlineStr">
        <is>
          <t>INGRESO</t>
        </is>
      </c>
      <c r="H1366" s="18" t="n"/>
      <c r="I1366" s="45" t="n"/>
      <c r="J1366" s="77" t="n"/>
      <c r="K1366" s="18" t="n"/>
    </row>
    <row r="1367">
      <c r="B1367" s="56" t="inlineStr">
        <is>
          <t>00024-FER</t>
        </is>
      </c>
      <c r="C1367" s="18">
        <f>IFERROR(_xlfn.XLOOKUP(ENTRADAS[[#This Row],[CODIGO]],LISTADO[CODIGOS],LISTADO[CATEGORIA]),"NO EXISTE")</f>
        <v/>
      </c>
      <c r="D1367" s="18">
        <f>IFERROR(_xlfn.XLOOKUP(ENTRADAS[[#This Row],[CODIGO]],LISTADO[CODIGOS],LISTADO[PRODUCTOS]),"NO EXISTE")</f>
        <v/>
      </c>
      <c r="E1367" s="19" t="n">
        <v>46126</v>
      </c>
      <c r="F1367" s="18" t="n">
        <v>8</v>
      </c>
      <c r="G1367" s="18" t="inlineStr">
        <is>
          <t>INGRESO</t>
        </is>
      </c>
      <c r="H1367" s="18" t="n"/>
      <c r="I1367" s="45" t="n"/>
      <c r="J1367" s="77" t="n"/>
      <c r="K1367" s="18" t="n"/>
    </row>
    <row r="1368">
      <c r="B1368" s="56" t="inlineStr">
        <is>
          <t>00028-FER</t>
        </is>
      </c>
      <c r="C1368" s="18">
        <f>IFERROR(_xlfn.XLOOKUP(ENTRADAS[[#This Row],[CODIGO]],LISTADO[CODIGOS],LISTADO[CATEGORIA]),"NO EXISTE")</f>
        <v/>
      </c>
      <c r="D1368" s="18">
        <f>IFERROR(_xlfn.XLOOKUP(ENTRADAS[[#This Row],[CODIGO]],LISTADO[CODIGOS],LISTADO[PRODUCTOS]),"NO EXISTE")</f>
        <v/>
      </c>
      <c r="E1368" s="19" t="n">
        <v>46126</v>
      </c>
      <c r="F1368" s="18" t="n">
        <v>10</v>
      </c>
      <c r="G1368" s="18" t="inlineStr">
        <is>
          <t>INGRESO</t>
        </is>
      </c>
      <c r="H1368" s="1" t="inlineStr">
        <is>
          <t>PINTURAS IPM, C.A</t>
        </is>
      </c>
      <c r="I1368" s="45" t="n">
        <v>40</v>
      </c>
      <c r="J1368" s="77" t="n"/>
      <c r="K1368" s="18" t="n"/>
    </row>
    <row r="1369">
      <c r="B1369" s="56" t="inlineStr">
        <is>
          <t>00029-FER</t>
        </is>
      </c>
      <c r="C1369" s="18">
        <f>IFERROR(_xlfn.XLOOKUP(ENTRADAS[[#This Row],[CODIGO]],LISTADO[CODIGOS],LISTADO[CATEGORIA]),"NO EXISTE")</f>
        <v/>
      </c>
      <c r="D1369" s="18">
        <f>IFERROR(_xlfn.XLOOKUP(ENTRADAS[[#This Row],[CODIGO]],LISTADO[CODIGOS],LISTADO[PRODUCTOS]),"NO EXISTE")</f>
        <v/>
      </c>
      <c r="E1369" s="19" t="n">
        <v>46126</v>
      </c>
      <c r="F1369" s="18" t="n">
        <v>4</v>
      </c>
      <c r="G1369" s="18" t="inlineStr">
        <is>
          <t>INGRESO</t>
        </is>
      </c>
      <c r="H1369" s="1" t="inlineStr">
        <is>
          <t>PINTURAS IPM, C.A</t>
        </is>
      </c>
      <c r="I1369" s="45" t="n">
        <v>40</v>
      </c>
      <c r="J1369" s="77" t="n"/>
      <c r="K1369" s="18" t="n"/>
    </row>
    <row r="1370">
      <c r="B1370" s="56" t="inlineStr">
        <is>
          <t>00030-FER</t>
        </is>
      </c>
      <c r="C1370" s="18">
        <f>IFERROR(_xlfn.XLOOKUP(ENTRADAS[[#This Row],[CODIGO]],LISTADO[CODIGOS],LISTADO[CATEGORIA]),"NO EXISTE")</f>
        <v/>
      </c>
      <c r="D1370" s="18">
        <f>IFERROR(_xlfn.XLOOKUP(ENTRADAS[[#This Row],[CODIGO]],LISTADO[CODIGOS],LISTADO[PRODUCTOS]),"NO EXISTE")</f>
        <v/>
      </c>
      <c r="E1370" s="19" t="n">
        <v>46126</v>
      </c>
      <c r="F1370" s="18" t="n">
        <v>10</v>
      </c>
      <c r="G1370" s="18" t="inlineStr">
        <is>
          <t>INGRESO</t>
        </is>
      </c>
      <c r="H1370" s="1" t="inlineStr">
        <is>
          <t>PINTURAS IPM, C.A</t>
        </is>
      </c>
      <c r="I1370" s="45" t="n">
        <v>40</v>
      </c>
      <c r="J1370" s="77" t="n"/>
      <c r="K1370" s="18" t="n"/>
    </row>
    <row r="1371">
      <c r="B1371" s="56" t="inlineStr">
        <is>
          <t>00031-FER</t>
        </is>
      </c>
      <c r="C1371" s="18">
        <f>IFERROR(_xlfn.XLOOKUP(ENTRADAS[[#This Row],[CODIGO]],LISTADO[CODIGOS],LISTADO[CATEGORIA]),"NO EXISTE")</f>
        <v/>
      </c>
      <c r="D1371" s="18">
        <f>IFERROR(_xlfn.XLOOKUP(ENTRADAS[[#This Row],[CODIGO]],LISTADO[CODIGOS],LISTADO[PRODUCTOS]),"NO EXISTE")</f>
        <v/>
      </c>
      <c r="E1371" s="19" t="n">
        <v>46126</v>
      </c>
      <c r="F1371" s="18" t="n">
        <v>5</v>
      </c>
      <c r="G1371" s="18" t="inlineStr">
        <is>
          <t>INGRESO</t>
        </is>
      </c>
      <c r="H1371" s="1" t="inlineStr">
        <is>
          <t>PINTURAS IPM, C.A</t>
        </is>
      </c>
      <c r="I1371" s="45" t="n">
        <v>40</v>
      </c>
      <c r="J1371" s="77" t="n"/>
      <c r="K1371" s="18" t="n"/>
    </row>
    <row r="1372">
      <c r="B1372" s="56" t="inlineStr">
        <is>
          <t>00027-FER</t>
        </is>
      </c>
      <c r="C1372" s="18">
        <f>IFERROR(_xlfn.XLOOKUP(ENTRADAS[[#This Row],[CODIGO]],LISTADO[CODIGOS],LISTADO[CATEGORIA]),"NO EXISTE")</f>
        <v/>
      </c>
      <c r="D1372" s="18">
        <f>IFERROR(_xlfn.XLOOKUP(ENTRADAS[[#This Row],[CODIGO]],LISTADO[CODIGOS],LISTADO[PRODUCTOS]),"NO EXISTE")</f>
        <v/>
      </c>
      <c r="E1372" s="19" t="n">
        <v>46126</v>
      </c>
      <c r="F1372" s="18" t="n">
        <v>5</v>
      </c>
      <c r="G1372" s="18" t="inlineStr">
        <is>
          <t>INGRESO</t>
        </is>
      </c>
      <c r="H1372" s="1" t="inlineStr">
        <is>
          <t>PINTURAS IPM, C.A</t>
        </is>
      </c>
      <c r="I1372" s="45" t="n">
        <v>40</v>
      </c>
      <c r="J1372" s="77" t="n"/>
      <c r="K1372" s="18" t="n"/>
    </row>
    <row r="1373">
      <c r="B1373" s="56" t="inlineStr">
        <is>
          <t>00046-FER</t>
        </is>
      </c>
      <c r="C1373" s="18">
        <f>IFERROR(_xlfn.XLOOKUP(ENTRADAS[[#This Row],[CODIGO]],LISTADO[CODIGOS],LISTADO[CATEGORIA]),"NO EXISTE")</f>
        <v/>
      </c>
      <c r="D1373" s="18">
        <f>IFERROR(_xlfn.XLOOKUP(ENTRADAS[[#This Row],[CODIGO]],LISTADO[CODIGOS],LISTADO[PRODUCTOS]),"NO EXISTE")</f>
        <v/>
      </c>
      <c r="E1373" s="19" t="n">
        <v>46126</v>
      </c>
      <c r="F1373" s="18" t="n">
        <v>10</v>
      </c>
      <c r="G1373" s="18" t="inlineStr">
        <is>
          <t>INGRESO</t>
        </is>
      </c>
      <c r="H1373" s="1" t="inlineStr">
        <is>
          <t>PINTURAS IPM, C.A</t>
        </is>
      </c>
      <c r="I1373" s="45" t="n">
        <v>33</v>
      </c>
      <c r="J1373" s="77" t="n"/>
      <c r="K1373" s="18" t="n"/>
    </row>
    <row r="1374">
      <c r="B1374" s="56" t="inlineStr">
        <is>
          <t>00241-FER</t>
        </is>
      </c>
      <c r="C1374" s="18">
        <f>IFERROR(_xlfn.XLOOKUP(ENTRADAS[[#This Row],[CODIGO]],LISTADO[CODIGOS],LISTADO[CATEGORIA]),"NO EXISTE")</f>
        <v/>
      </c>
      <c r="D1374" s="18">
        <f>IFERROR(_xlfn.XLOOKUP(ENTRADAS[[#This Row],[CODIGO]],LISTADO[CODIGOS],LISTADO[PRODUCTOS]),"NO EXISTE")</f>
        <v/>
      </c>
      <c r="E1374" s="19" t="n">
        <v>46126</v>
      </c>
      <c r="F1374" s="18" t="n">
        <v>3</v>
      </c>
      <c r="G1374" s="18" t="inlineStr">
        <is>
          <t>INGRESO</t>
        </is>
      </c>
      <c r="H1374" s="1" t="inlineStr">
        <is>
          <t>PINTURAS IPM, C.A</t>
        </is>
      </c>
      <c r="I1374" s="45" t="n">
        <v>91</v>
      </c>
      <c r="J1374" s="77" t="n"/>
      <c r="K1374" s="18" t="n"/>
    </row>
    <row r="1375">
      <c r="B1375" s="56" t="inlineStr">
        <is>
          <t>00016-ELE</t>
        </is>
      </c>
      <c r="C1375" s="18">
        <f>IFERROR(_xlfn.XLOOKUP(ENTRADAS[[#This Row],[CODIGO]],LISTADO[CODIGOS],LISTADO[CATEGORIA]),"NO EXISTE")</f>
        <v/>
      </c>
      <c r="D1375" s="18">
        <f>IFERROR(_xlfn.XLOOKUP(ENTRADAS[[#This Row],[CODIGO]],LISTADO[CODIGOS],LISTADO[PRODUCTOS]),"NO EXISTE")</f>
        <v/>
      </c>
      <c r="E1375" s="19" t="n">
        <v>46127</v>
      </c>
      <c r="F1375" s="18" t="n">
        <v>163</v>
      </c>
      <c r="G1375" s="18" t="inlineStr">
        <is>
          <t>INVENTARIO</t>
        </is>
      </c>
      <c r="H1375" s="18" t="n"/>
      <c r="I1375" s="45" t="n"/>
      <c r="J1375" s="77" t="n"/>
      <c r="K1375" s="18" t="n"/>
    </row>
    <row r="1376">
      <c r="B1376" s="56" t="inlineStr">
        <is>
          <t>00017-ELE</t>
        </is>
      </c>
      <c r="C1376" s="18">
        <f>IFERROR(_xlfn.XLOOKUP(ENTRADAS[[#This Row],[CODIGO]],LISTADO[CODIGOS],LISTADO[CATEGORIA]),"NO EXISTE")</f>
        <v/>
      </c>
      <c r="D1376" s="18">
        <f>IFERROR(_xlfn.XLOOKUP(ENTRADAS[[#This Row],[CODIGO]],LISTADO[CODIGOS],LISTADO[PRODUCTOS]),"NO EXISTE")</f>
        <v/>
      </c>
      <c r="E1376" s="19" t="n">
        <v>46127</v>
      </c>
      <c r="F1376" s="18" t="n">
        <v>115</v>
      </c>
      <c r="G1376" s="18" t="inlineStr">
        <is>
          <t>INVENTARIO</t>
        </is>
      </c>
      <c r="H1376" s="18" t="n"/>
      <c r="I1376" s="45" t="n"/>
      <c r="J1376" s="77" t="n"/>
      <c r="K1376" s="18" t="n"/>
    </row>
    <row r="1377">
      <c r="B1377" s="56" t="inlineStr">
        <is>
          <t>00014-ELE</t>
        </is>
      </c>
      <c r="C1377" s="18">
        <f>IFERROR(_xlfn.XLOOKUP(ENTRADAS[[#This Row],[CODIGO]],LISTADO[CODIGOS],LISTADO[CATEGORIA]),"NO EXISTE")</f>
        <v/>
      </c>
      <c r="D1377" s="18">
        <f>IFERROR(_xlfn.XLOOKUP(ENTRADAS[[#This Row],[CODIGO]],LISTADO[CODIGOS],LISTADO[PRODUCTOS]),"NO EXISTE")</f>
        <v/>
      </c>
      <c r="E1377" s="19" t="n">
        <v>46127</v>
      </c>
      <c r="F1377" s="18" t="n">
        <v>3.5</v>
      </c>
      <c r="G1377" s="18" t="inlineStr">
        <is>
          <t>INVENTARIO</t>
        </is>
      </c>
      <c r="H1377" s="18" t="n"/>
      <c r="I1377" s="45" t="n"/>
      <c r="J1377" s="77" t="n"/>
      <c r="K1377" s="18" t="n"/>
    </row>
    <row r="1378">
      <c r="B1378" s="18" t="inlineStr">
        <is>
          <t>00075-ELE</t>
        </is>
      </c>
      <c r="C1378" s="18">
        <f>IFERROR(_xlfn.XLOOKUP(ENTRADAS[[#This Row],[CODIGO]],LISTADO[CODIGOS],LISTADO[CATEGORIA]),"NO EXISTE")</f>
        <v/>
      </c>
      <c r="D1378" s="18">
        <f>IFERROR(_xlfn.XLOOKUP(ENTRADAS[[#This Row],[CODIGO]],LISTADO[CODIGOS],LISTADO[PRODUCTOS]),"NO EXISTE")</f>
        <v/>
      </c>
      <c r="E1378" s="19" t="n">
        <v>46127</v>
      </c>
      <c r="F1378" s="18" t="n">
        <v>10</v>
      </c>
      <c r="G1378" s="18" t="inlineStr">
        <is>
          <t>INVENTARIO</t>
        </is>
      </c>
      <c r="H1378" s="18" t="n"/>
      <c r="I1378" s="45" t="n"/>
      <c r="J1378" s="77" t="n"/>
      <c r="K1378" s="18" t="n"/>
    </row>
    <row r="1379">
      <c r="B1379" s="56" t="inlineStr">
        <is>
          <t>00083-ELE</t>
        </is>
      </c>
      <c r="C1379" s="18">
        <f>IFERROR(_xlfn.XLOOKUP(ENTRADAS[[#This Row],[CODIGO]],LISTADO[CODIGOS],LISTADO[CATEGORIA]),"NO EXISTE")</f>
        <v/>
      </c>
      <c r="D1379" s="18">
        <f>IFERROR(_xlfn.XLOOKUP(ENTRADAS[[#This Row],[CODIGO]],LISTADO[CODIGOS],LISTADO[PRODUCTOS]),"NO EXISTE")</f>
        <v/>
      </c>
      <c r="E1379" s="19" t="n">
        <v>46127</v>
      </c>
      <c r="F1379" s="18" t="n">
        <v>9</v>
      </c>
      <c r="G1379" s="18" t="inlineStr">
        <is>
          <t>INVENTARIO</t>
        </is>
      </c>
      <c r="H1379" s="18" t="n"/>
      <c r="I1379" s="45" t="n"/>
      <c r="J1379" s="77" t="n"/>
      <c r="K1379" s="18" t="n"/>
    </row>
    <row r="1380">
      <c r="B1380" s="56" t="inlineStr">
        <is>
          <t>00084-ELE</t>
        </is>
      </c>
      <c r="C1380" s="18">
        <f>IFERROR(_xlfn.XLOOKUP(ENTRADAS[[#This Row],[CODIGO]],LISTADO[CODIGOS],LISTADO[CATEGORIA]),"NO EXISTE")</f>
        <v/>
      </c>
      <c r="D1380" s="18">
        <f>IFERROR(_xlfn.XLOOKUP(ENTRADAS[[#This Row],[CODIGO]],LISTADO[CODIGOS],LISTADO[PRODUCTOS]),"NO EXISTE")</f>
        <v/>
      </c>
      <c r="E1380" s="19" t="n">
        <v>46127</v>
      </c>
      <c r="F1380" s="18" t="n">
        <v>127</v>
      </c>
      <c r="G1380" s="18" t="inlineStr">
        <is>
          <t>INVENTARIO</t>
        </is>
      </c>
      <c r="H1380" s="18" t="n"/>
      <c r="I1380" s="45" t="n"/>
      <c r="J1380" s="77" t="n"/>
      <c r="K1380" s="18" t="n"/>
    </row>
    <row r="1381">
      <c r="B1381" s="18" t="inlineStr">
        <is>
          <t>00066-ELE</t>
        </is>
      </c>
      <c r="C1381" s="18">
        <f>IFERROR(_xlfn.XLOOKUP(ENTRADAS[[#This Row],[CODIGO]],LISTADO[CODIGOS],LISTADO[CATEGORIA]),"NO EXISTE")</f>
        <v/>
      </c>
      <c r="D1381" s="18">
        <f>IFERROR(_xlfn.XLOOKUP(ENTRADAS[[#This Row],[CODIGO]],LISTADO[CODIGOS],LISTADO[PRODUCTOS]),"NO EXISTE")</f>
        <v/>
      </c>
      <c r="E1381" s="19" t="n">
        <v>46127</v>
      </c>
      <c r="F1381" s="18" t="n">
        <v>2</v>
      </c>
      <c r="G1381" s="18" t="inlineStr">
        <is>
          <t>INVENTARIO</t>
        </is>
      </c>
      <c r="H1381" s="18" t="n"/>
      <c r="I1381" s="45" t="n"/>
      <c r="J1381" s="77" t="n"/>
      <c r="K1381" s="18" t="n"/>
    </row>
    <row r="1382">
      <c r="B1382" s="56" t="inlineStr">
        <is>
          <t>00019-ELE</t>
        </is>
      </c>
      <c r="C1382" s="18">
        <f>IFERROR(_xlfn.XLOOKUP(ENTRADAS[[#This Row],[CODIGO]],LISTADO[CODIGOS],LISTADO[CATEGORIA]),"NO EXISTE")</f>
        <v/>
      </c>
      <c r="D1382" s="18">
        <f>IFERROR(_xlfn.XLOOKUP(ENTRADAS[[#This Row],[CODIGO]],LISTADO[CODIGOS],LISTADO[PRODUCTOS]),"NO EXISTE")</f>
        <v/>
      </c>
      <c r="E1382" s="19" t="n">
        <v>46127</v>
      </c>
      <c r="F1382" s="18" t="n">
        <v>92</v>
      </c>
      <c r="G1382" s="18" t="inlineStr">
        <is>
          <t>INVENTARIO</t>
        </is>
      </c>
      <c r="H1382" s="18" t="n"/>
      <c r="I1382" s="45" t="n"/>
      <c r="J1382" s="77" t="n"/>
      <c r="K1382" s="18" t="n"/>
    </row>
    <row r="1383">
      <c r="B1383" s="18" t="inlineStr">
        <is>
          <t>00085-ELE</t>
        </is>
      </c>
      <c r="C1383" s="18">
        <f>IFERROR(_xlfn.XLOOKUP(ENTRADAS[[#This Row],[CODIGO]],LISTADO[CODIGOS],LISTADO[CATEGORIA]),"NO EXISTE")</f>
        <v/>
      </c>
      <c r="D1383" s="18">
        <f>IFERROR(_xlfn.XLOOKUP(ENTRADAS[[#This Row],[CODIGO]],LISTADO[CODIGOS],LISTADO[PRODUCTOS]),"NO EXISTE")</f>
        <v/>
      </c>
      <c r="E1383" s="19" t="n">
        <v>46127</v>
      </c>
      <c r="F1383" s="18" t="n">
        <v>200</v>
      </c>
      <c r="G1383" s="18" t="inlineStr">
        <is>
          <t>INVENTARIO</t>
        </is>
      </c>
      <c r="H1383" s="18" t="n"/>
      <c r="I1383" s="45" t="n"/>
      <c r="J1383" s="77" t="n"/>
      <c r="K1383" s="18" t="n"/>
    </row>
    <row r="1384">
      <c r="B1384" s="56" t="inlineStr">
        <is>
          <t>00021-ELE</t>
        </is>
      </c>
      <c r="C1384" s="18">
        <f>IFERROR(_xlfn.XLOOKUP(ENTRADAS[[#This Row],[CODIGO]],LISTADO[CODIGOS],LISTADO[CATEGORIA]),"NO EXISTE")</f>
        <v/>
      </c>
      <c r="D1384" s="18">
        <f>IFERROR(_xlfn.XLOOKUP(ENTRADAS[[#This Row],[CODIGO]],LISTADO[CODIGOS],LISTADO[PRODUCTOS]),"NO EXISTE")</f>
        <v/>
      </c>
      <c r="E1384" s="19" t="n">
        <v>46127</v>
      </c>
      <c r="F1384" s="18" t="n">
        <v>64</v>
      </c>
      <c r="G1384" s="18" t="inlineStr">
        <is>
          <t>INVENTARIO</t>
        </is>
      </c>
      <c r="H1384" s="18" t="n"/>
      <c r="I1384" s="45" t="n"/>
      <c r="J1384" s="77" t="n"/>
      <c r="K1384" s="18" t="n"/>
    </row>
    <row r="1385">
      <c r="B1385" s="18" t="inlineStr">
        <is>
          <t>00086-ELE</t>
        </is>
      </c>
      <c r="C1385" s="18">
        <f>IFERROR(_xlfn.XLOOKUP(ENTRADAS[[#This Row],[CODIGO]],LISTADO[CODIGOS],LISTADO[CATEGORIA]),"NO EXISTE")</f>
        <v/>
      </c>
      <c r="D1385" s="18">
        <f>IFERROR(_xlfn.XLOOKUP(ENTRADAS[[#This Row],[CODIGO]],LISTADO[CODIGOS],LISTADO[PRODUCTOS]),"NO EXISTE")</f>
        <v/>
      </c>
      <c r="E1385" s="19" t="n">
        <v>46127</v>
      </c>
      <c r="F1385" s="18" t="n">
        <v>12.5</v>
      </c>
      <c r="G1385" s="18" t="inlineStr">
        <is>
          <t>INVENTARIO</t>
        </is>
      </c>
      <c r="H1385" s="18" t="n"/>
      <c r="I1385" s="45" t="n"/>
      <c r="J1385" s="77" t="n"/>
      <c r="K1385" s="18" t="n"/>
    </row>
    <row r="1386">
      <c r="B1386" s="56" t="inlineStr">
        <is>
          <t>00087-ELE</t>
        </is>
      </c>
      <c r="C1386" s="18">
        <f>IFERROR(_xlfn.XLOOKUP(ENTRADAS[[#This Row],[CODIGO]],LISTADO[CODIGOS],LISTADO[CATEGORIA]),"NO EXISTE")</f>
        <v/>
      </c>
      <c r="D1386" s="18">
        <f>IFERROR(_xlfn.XLOOKUP(ENTRADAS[[#This Row],[CODIGO]],LISTADO[CODIGOS],LISTADO[PRODUCTOS]),"NO EXISTE")</f>
        <v/>
      </c>
      <c r="E1386" s="19" t="n">
        <v>46127</v>
      </c>
      <c r="F1386" s="18" t="n">
        <v>4</v>
      </c>
      <c r="G1386" s="18" t="inlineStr">
        <is>
          <t>INVENTARIO</t>
        </is>
      </c>
      <c r="H1386" s="18" t="n"/>
      <c r="I1386" s="45" t="n"/>
      <c r="J1386" s="77" t="n"/>
      <c r="K1386" s="18" t="n"/>
    </row>
    <row r="1387">
      <c r="B1387" s="56" t="inlineStr">
        <is>
          <t>00020-FER</t>
        </is>
      </c>
      <c r="C1387" s="18">
        <f>IFERROR(_xlfn.XLOOKUP(ENTRADAS[[#This Row],[CODIGO]],LISTADO[CODIGOS],LISTADO[CATEGORIA]),"NO EXISTE")</f>
        <v/>
      </c>
      <c r="D1387" s="18">
        <f>IFERROR(_xlfn.XLOOKUP(ENTRADAS[[#This Row],[CODIGO]],LISTADO[CODIGOS],LISTADO[PRODUCTOS]),"NO EXISTE")</f>
        <v/>
      </c>
      <c r="E1387" s="19" t="n">
        <v>46127</v>
      </c>
      <c r="F1387" s="18" t="n">
        <v>200</v>
      </c>
      <c r="G1387" s="18" t="inlineStr">
        <is>
          <t>INGRESO</t>
        </is>
      </c>
      <c r="H1387" s="18" t="n"/>
      <c r="I1387" s="45" t="n"/>
      <c r="J1387" s="77" t="n"/>
      <c r="K1387" s="18" t="n"/>
    </row>
    <row r="1388">
      <c r="B1388" s="18" t="inlineStr">
        <is>
          <t>00141-FER</t>
        </is>
      </c>
      <c r="C1388" s="18">
        <f>IFERROR(_xlfn.XLOOKUP(ENTRADAS[[#This Row],[CODIGO]],LISTADO[CODIGOS],LISTADO[CATEGORIA]),"NO EXISTE")</f>
        <v/>
      </c>
      <c r="D1388" s="18">
        <f>IFERROR(_xlfn.XLOOKUP(ENTRADAS[[#This Row],[CODIGO]],LISTADO[CODIGOS],LISTADO[PRODUCTOS]),"NO EXISTE")</f>
        <v/>
      </c>
      <c r="E1388" s="19" t="n">
        <v>46127</v>
      </c>
      <c r="F1388" s="18" t="n">
        <v>100</v>
      </c>
      <c r="G1388" s="18" t="inlineStr">
        <is>
          <t>INGRESO</t>
        </is>
      </c>
      <c r="H1388" s="18" t="n"/>
      <c r="I1388" s="45" t="n"/>
      <c r="J1388" s="77" t="n"/>
      <c r="K1388" s="18" t="n"/>
    </row>
    <row r="1389">
      <c r="B1389" s="18" t="inlineStr">
        <is>
          <t>00205-FER</t>
        </is>
      </c>
      <c r="C1389" s="18">
        <f>IFERROR(_xlfn.XLOOKUP(ENTRADAS[[#This Row],[CODIGO]],LISTADO[CODIGOS],LISTADO[CATEGORIA]),"NO EXISTE")</f>
        <v/>
      </c>
      <c r="D1389" s="18">
        <f>IFERROR(_xlfn.XLOOKUP(ENTRADAS[[#This Row],[CODIGO]],LISTADO[CODIGOS],LISTADO[PRODUCTOS]),"NO EXISTE")</f>
        <v/>
      </c>
      <c r="E1389" s="19" t="n">
        <v>46127</v>
      </c>
      <c r="F1389" s="18" t="n">
        <v>26</v>
      </c>
      <c r="G1389" s="18" t="inlineStr">
        <is>
          <t>INGRESO</t>
        </is>
      </c>
      <c r="H1389" s="18" t="n"/>
      <c r="I1389" s="45" t="n"/>
      <c r="J1389" s="77" t="n"/>
      <c r="K1389" s="18" t="n"/>
    </row>
    <row r="1390">
      <c r="B1390" s="18" t="inlineStr">
        <is>
          <t>00089-ELE</t>
        </is>
      </c>
      <c r="C1390" s="18">
        <f>IFERROR(_xlfn.XLOOKUP(ENTRADAS[[#This Row],[CODIGO]],LISTADO[CODIGOS],LISTADO[CATEGORIA]),"NO EXISTE")</f>
        <v/>
      </c>
      <c r="D1390" s="18">
        <f>IFERROR(_xlfn.XLOOKUP(ENTRADAS[[#This Row],[CODIGO]],LISTADO[CODIGOS],LISTADO[PRODUCTOS]),"NO EXISTE")</f>
        <v/>
      </c>
      <c r="E1390" s="19" t="n">
        <v>46127</v>
      </c>
      <c r="F1390" s="18" t="n">
        <v>100</v>
      </c>
      <c r="G1390" s="18" t="inlineStr">
        <is>
          <t>INGRESO</t>
        </is>
      </c>
      <c r="H1390" s="18" t="n"/>
      <c r="I1390" s="45" t="n"/>
      <c r="J1390" s="77" t="n"/>
      <c r="K1390" s="18" t="n"/>
    </row>
    <row r="1391">
      <c r="B1391" s="56" t="inlineStr">
        <is>
          <t>00090-ELE</t>
        </is>
      </c>
      <c r="C1391" s="18">
        <f>IFERROR(_xlfn.XLOOKUP(ENTRADAS[[#This Row],[CODIGO]],LISTADO[CODIGOS],LISTADO[CATEGORIA]),"NO EXISTE")</f>
        <v/>
      </c>
      <c r="D1391" s="18">
        <f>IFERROR(_xlfn.XLOOKUP(ENTRADAS[[#This Row],[CODIGO]],LISTADO[CODIGOS],LISTADO[PRODUCTOS]),"NO EXISTE")</f>
        <v/>
      </c>
      <c r="E1391" s="19" t="n">
        <v>46127</v>
      </c>
      <c r="F1391" s="18" t="n">
        <v>100</v>
      </c>
      <c r="G1391" s="18" t="inlineStr">
        <is>
          <t>INGRESO</t>
        </is>
      </c>
      <c r="H1391" s="18" t="n"/>
      <c r="I1391" s="45" t="n"/>
      <c r="J1391" s="77" t="n"/>
      <c r="K1391" s="18" t="n"/>
    </row>
    <row r="1392">
      <c r="B1392" s="56" t="inlineStr">
        <is>
          <t>00124-REF</t>
        </is>
      </c>
      <c r="C1392" s="18">
        <f>IFERROR(_xlfn.XLOOKUP(ENTRADAS[[#This Row],[CODIGO]],LISTADO[CODIGOS],LISTADO[CATEGORIA]),"NO EXISTE")</f>
        <v/>
      </c>
      <c r="D1392" s="18">
        <f>IFERROR(_xlfn.XLOOKUP(ENTRADAS[[#This Row],[CODIGO]],LISTADO[CODIGOS],LISTADO[PRODUCTOS]),"NO EXISTE")</f>
        <v/>
      </c>
      <c r="E1392" s="19" t="n">
        <v>46127</v>
      </c>
      <c r="F1392" s="18" t="n">
        <v>10</v>
      </c>
      <c r="G1392" s="18" t="inlineStr">
        <is>
          <t>INGRESO</t>
        </is>
      </c>
      <c r="H1392" s="18" t="n"/>
      <c r="I1392" s="45" t="n"/>
      <c r="J1392" s="77" t="n"/>
      <c r="K1392" s="18" t="n"/>
    </row>
    <row r="1393">
      <c r="B1393" s="18" t="inlineStr">
        <is>
          <t>00125-REF</t>
        </is>
      </c>
      <c r="C1393" s="18">
        <f>IFERROR(_xlfn.XLOOKUP(ENTRADAS[[#This Row],[CODIGO]],LISTADO[CODIGOS],LISTADO[CATEGORIA]),"NO EXISTE")</f>
        <v/>
      </c>
      <c r="D1393" s="18">
        <f>IFERROR(_xlfn.XLOOKUP(ENTRADAS[[#This Row],[CODIGO]],LISTADO[CODIGOS],LISTADO[PRODUCTOS]),"NO EXISTE")</f>
        <v/>
      </c>
      <c r="E1393" s="19" t="n">
        <v>46127</v>
      </c>
      <c r="F1393" s="18" t="n">
        <v>1</v>
      </c>
      <c r="G1393" s="18" t="inlineStr">
        <is>
          <t>INGRESO</t>
        </is>
      </c>
      <c r="H1393" s="18" t="n"/>
      <c r="I1393" s="45" t="n"/>
      <c r="J1393" s="77" t="n"/>
      <c r="K1393" s="18" t="n"/>
    </row>
    <row r="1394">
      <c r="B1394" s="56" t="inlineStr">
        <is>
          <t>00088-ELE</t>
        </is>
      </c>
      <c r="C1394" s="18">
        <f>IFERROR(_xlfn.XLOOKUP(ENTRADAS[[#This Row],[CODIGO]],LISTADO[CODIGOS],LISTADO[CATEGORIA]),"NO EXISTE")</f>
        <v/>
      </c>
      <c r="D1394" s="18">
        <f>IFERROR(_xlfn.XLOOKUP(ENTRADAS[[#This Row],[CODIGO]],LISTADO[CODIGOS],LISTADO[PRODUCTOS]),"NO EXISTE")</f>
        <v/>
      </c>
      <c r="E1394" s="19" t="n">
        <v>46128</v>
      </c>
      <c r="F1394" s="18" t="n">
        <v>28</v>
      </c>
      <c r="G1394" s="18" t="inlineStr">
        <is>
          <t>INVENTARIO</t>
        </is>
      </c>
      <c r="H1394" s="18" t="n"/>
      <c r="I1394" s="45" t="n"/>
      <c r="J1394" s="77" t="n"/>
      <c r="K1394" s="18" t="n"/>
    </row>
    <row r="1395">
      <c r="B1395" s="18" t="inlineStr">
        <is>
          <t>00017-AUT</t>
        </is>
      </c>
      <c r="C1395" s="18">
        <f>IFERROR(_xlfn.XLOOKUP(ENTRADAS[[#This Row],[CODIGO]],LISTADO[CODIGOS],LISTADO[CATEGORIA]),"NO EXISTE")</f>
        <v/>
      </c>
      <c r="D1395" s="18">
        <f>IFERROR(_xlfn.XLOOKUP(ENTRADAS[[#This Row],[CODIGO]],LISTADO[CODIGOS],LISTADO[PRODUCTOS]),"NO EXISTE")</f>
        <v/>
      </c>
      <c r="E1395" s="19" t="n">
        <v>46128</v>
      </c>
      <c r="F1395" s="18" t="n">
        <v>1</v>
      </c>
      <c r="G1395" s="18" t="inlineStr">
        <is>
          <t>INGRESO</t>
        </is>
      </c>
      <c r="H1395" s="18" t="n"/>
      <c r="I1395" s="45" t="n"/>
      <c r="J1395" s="77" t="n"/>
      <c r="K1395" s="18" t="n"/>
    </row>
    <row r="1396">
      <c r="B1396" s="18" t="inlineStr">
        <is>
          <t>00126-REF</t>
        </is>
      </c>
      <c r="C1396" s="18">
        <f>IFERROR(_xlfn.XLOOKUP(ENTRADAS[[#This Row],[CODIGO]],LISTADO[CODIGOS],LISTADO[CATEGORIA]),"NO EXISTE")</f>
        <v/>
      </c>
      <c r="D1396" s="18">
        <f>IFERROR(_xlfn.XLOOKUP(ENTRADAS[[#This Row],[CODIGO]],LISTADO[CODIGOS],LISTADO[PRODUCTOS]),"NO EXISTE")</f>
        <v/>
      </c>
      <c r="E1396" s="19" t="n">
        <v>46128</v>
      </c>
      <c r="F1396" s="18" t="n">
        <v>1</v>
      </c>
      <c r="G1396" s="18" t="inlineStr">
        <is>
          <t>INGRESO</t>
        </is>
      </c>
      <c r="H1396" s="18" t="n"/>
      <c r="I1396" s="45" t="n"/>
      <c r="J1396" s="77" t="n"/>
      <c r="K1396" s="18" t="n"/>
    </row>
    <row r="1397">
      <c r="B1397" s="18" t="inlineStr">
        <is>
          <t>00127-REF</t>
        </is>
      </c>
      <c r="C1397" s="18">
        <f>IFERROR(_xlfn.XLOOKUP(ENTRADAS[[#This Row],[CODIGO]],LISTADO[CODIGOS],LISTADO[CATEGORIA]),"NO EXISTE")</f>
        <v/>
      </c>
      <c r="D1397" s="18">
        <f>IFERROR(_xlfn.XLOOKUP(ENTRADAS[[#This Row],[CODIGO]],LISTADO[CODIGOS],LISTADO[PRODUCTOS]),"NO EXISTE")</f>
        <v/>
      </c>
      <c r="E1397" s="19" t="n">
        <v>46128</v>
      </c>
      <c r="F1397" s="18" t="n">
        <v>1</v>
      </c>
      <c r="G1397" s="18" t="inlineStr">
        <is>
          <t>INGRESO</t>
        </is>
      </c>
      <c r="H1397" s="18" t="n"/>
      <c r="I1397" s="45" t="n"/>
      <c r="J1397" s="77" t="n"/>
      <c r="K1397" s="18" t="n"/>
    </row>
    <row r="1398">
      <c r="B1398" s="18" t="inlineStr">
        <is>
          <t>00057-ILU</t>
        </is>
      </c>
      <c r="C1398" s="18">
        <f>IFERROR(_xlfn.XLOOKUP(ENTRADAS[[#This Row],[CODIGO]],LISTADO[CODIGOS],LISTADO[CATEGORIA]),"NO EXISTE")</f>
        <v/>
      </c>
      <c r="D1398" s="18">
        <f>IFERROR(_xlfn.XLOOKUP(ENTRADAS[[#This Row],[CODIGO]],LISTADO[CODIGOS],LISTADO[PRODUCTOS]),"NO EXISTE")</f>
        <v/>
      </c>
      <c r="E1398" s="19" t="n">
        <v>46128</v>
      </c>
      <c r="F1398" s="18" t="n">
        <v>1</v>
      </c>
      <c r="G1398" s="18" t="inlineStr">
        <is>
          <t>INGRESO</t>
        </is>
      </c>
      <c r="H1398" s="18" t="n"/>
      <c r="I1398" s="45" t="n"/>
      <c r="J1398" s="77" t="n"/>
      <c r="K1398" s="18" t="n"/>
    </row>
    <row r="1399">
      <c r="B1399" s="56" t="inlineStr">
        <is>
          <t>00007-HRR</t>
        </is>
      </c>
      <c r="C1399" s="18">
        <f>IFERROR(_xlfn.XLOOKUP(ENTRADAS[[#This Row],[CODIGO]],LISTADO[CODIGOS],LISTADO[CATEGORIA]),"NO EXISTE")</f>
        <v/>
      </c>
      <c r="D1399" s="18">
        <f>IFERROR(_xlfn.XLOOKUP(ENTRADAS[[#This Row],[CODIGO]],LISTADO[CODIGOS],LISTADO[PRODUCTOS]),"NO EXISTE")</f>
        <v/>
      </c>
      <c r="E1399" s="19" t="n">
        <v>46128</v>
      </c>
      <c r="F1399" s="18" t="n">
        <v>20</v>
      </c>
      <c r="G1399" s="18" t="inlineStr">
        <is>
          <t>INGRESO</t>
        </is>
      </c>
      <c r="H1399" s="18" t="n"/>
      <c r="I1399" s="45" t="n"/>
      <c r="J1399" s="77" t="n"/>
      <c r="K1399" s="18" t="n"/>
    </row>
    <row r="1400">
      <c r="B1400" s="56" t="inlineStr">
        <is>
          <t>00041-ELE</t>
        </is>
      </c>
      <c r="C1400" s="18">
        <f>IFERROR(_xlfn.XLOOKUP(ENTRADAS[[#This Row],[CODIGO]],LISTADO[CODIGOS],LISTADO[CATEGORIA]),"NO EXISTE")</f>
        <v/>
      </c>
      <c r="D1400" s="18">
        <f>IFERROR(_xlfn.XLOOKUP(ENTRADAS[[#This Row],[CODIGO]],LISTADO[CODIGOS],LISTADO[PRODUCTOS]),"NO EXISTE")</f>
        <v/>
      </c>
      <c r="E1400" s="19" t="n">
        <v>46128</v>
      </c>
      <c r="F1400" s="18" t="n">
        <v>2</v>
      </c>
      <c r="G1400" s="18" t="inlineStr">
        <is>
          <t>INGRESO</t>
        </is>
      </c>
      <c r="H1400" s="18" t="n"/>
      <c r="I1400" s="45" t="n"/>
      <c r="J1400" s="77" t="n"/>
      <c r="K1400" s="18" t="n"/>
    </row>
    <row r="1401">
      <c r="B1401" s="56" t="inlineStr">
        <is>
          <t>00046-ELE</t>
        </is>
      </c>
      <c r="C1401" s="18">
        <f>IFERROR(_xlfn.XLOOKUP(ENTRADAS[[#This Row],[CODIGO]],LISTADO[CODIGOS],LISTADO[CATEGORIA]),"NO EXISTE")</f>
        <v/>
      </c>
      <c r="D1401" s="18">
        <f>IFERROR(_xlfn.XLOOKUP(ENTRADAS[[#This Row],[CODIGO]],LISTADO[CODIGOS],LISTADO[PRODUCTOS]),"NO EXISTE")</f>
        <v/>
      </c>
      <c r="E1401" s="19" t="n">
        <v>46128</v>
      </c>
      <c r="F1401" s="18" t="n">
        <v>2</v>
      </c>
      <c r="G1401" s="18" t="inlineStr">
        <is>
          <t>INGRESO</t>
        </is>
      </c>
      <c r="H1401" s="18" t="n"/>
      <c r="I1401" s="45" t="n"/>
      <c r="J1401" s="77" t="n"/>
      <c r="K1401" s="18" t="n"/>
    </row>
    <row r="1402">
      <c r="B1402" s="56" t="inlineStr">
        <is>
          <t>00091-ELE</t>
        </is>
      </c>
      <c r="C1402" s="18">
        <f>IFERROR(_xlfn.XLOOKUP(ENTRADAS[[#This Row],[CODIGO]],LISTADO[CODIGOS],LISTADO[CATEGORIA]),"NO EXISTE")</f>
        <v/>
      </c>
      <c r="D1402" s="18">
        <f>IFERROR(_xlfn.XLOOKUP(ENTRADAS[[#This Row],[CODIGO]],LISTADO[CODIGOS],LISTADO[PRODUCTOS]),"NO EXISTE")</f>
        <v/>
      </c>
      <c r="E1402" s="19" t="n">
        <v>46128</v>
      </c>
      <c r="F1402" s="18" t="n">
        <v>2</v>
      </c>
      <c r="G1402" s="18" t="inlineStr">
        <is>
          <t>INGRESO</t>
        </is>
      </c>
      <c r="H1402" s="18" t="n"/>
      <c r="I1402" s="45" t="n"/>
      <c r="J1402" s="77" t="n"/>
      <c r="K1402" s="18" t="n"/>
    </row>
    <row r="1403">
      <c r="B1403" s="56" t="inlineStr">
        <is>
          <t>00128-REF</t>
        </is>
      </c>
      <c r="C1403" s="18">
        <f>IFERROR(_xlfn.XLOOKUP(ENTRADAS[[#This Row],[CODIGO]],LISTADO[CODIGOS],LISTADO[CATEGORIA]),"NO EXISTE")</f>
        <v/>
      </c>
      <c r="D1403" s="18">
        <f>IFERROR(_xlfn.XLOOKUP(ENTRADAS[[#This Row],[CODIGO]],LISTADO[CODIGOS],LISTADO[PRODUCTOS]),"NO EXISTE")</f>
        <v/>
      </c>
      <c r="E1403" s="19" t="n">
        <v>46128</v>
      </c>
      <c r="F1403" s="18" t="n">
        <v>1</v>
      </c>
      <c r="G1403" s="18" t="inlineStr">
        <is>
          <t>INGRESO</t>
        </is>
      </c>
      <c r="H1403" s="18" t="n"/>
      <c r="I1403" s="45" t="n"/>
      <c r="J1403" s="77" t="n"/>
      <c r="K1403" s="18" t="n"/>
    </row>
    <row r="1404">
      <c r="B1404" s="18" t="inlineStr">
        <is>
          <t>00056-ILU</t>
        </is>
      </c>
      <c r="C1404" s="18">
        <f>IFERROR(_xlfn.XLOOKUP(ENTRADAS[[#This Row],[CODIGO]],LISTADO[CODIGOS],LISTADO[CATEGORIA]),"NO EXISTE")</f>
        <v/>
      </c>
      <c r="D1404" s="18">
        <f>IFERROR(_xlfn.XLOOKUP(ENTRADAS[[#This Row],[CODIGO]],LISTADO[CODIGOS],LISTADO[PRODUCTOS]),"NO EXISTE")</f>
        <v/>
      </c>
      <c r="E1404" s="19" t="n">
        <v>46129</v>
      </c>
      <c r="F1404" s="18" t="n">
        <v>21</v>
      </c>
      <c r="G1404" s="18" t="inlineStr">
        <is>
          <t>INVENTARIO</t>
        </is>
      </c>
      <c r="H1404" s="18" t="n"/>
      <c r="I1404" s="45" t="n"/>
      <c r="J1404" s="77" t="n"/>
      <c r="K1404" s="18" t="n"/>
    </row>
    <row r="1405">
      <c r="B1405" s="56" t="inlineStr">
        <is>
          <t>00018-AUT</t>
        </is>
      </c>
      <c r="C1405" s="18">
        <f>IFERROR(_xlfn.XLOOKUP(ENTRADAS[[#This Row],[CODIGO]],LISTADO[CODIGOS],LISTADO[CATEGORIA]),"NO EXISTE")</f>
        <v/>
      </c>
      <c r="D1405" s="18">
        <f>IFERROR(_xlfn.XLOOKUP(ENTRADAS[[#This Row],[CODIGO]],LISTADO[CODIGOS],LISTADO[PRODUCTOS]),"NO EXISTE")</f>
        <v/>
      </c>
      <c r="E1405" s="19" t="n">
        <v>46129</v>
      </c>
      <c r="F1405" s="18" t="n">
        <v>1</v>
      </c>
      <c r="G1405" s="18" t="inlineStr">
        <is>
          <t>INGRESO</t>
        </is>
      </c>
      <c r="H1405" s="18" t="n"/>
      <c r="I1405" s="45" t="n"/>
      <c r="J1405" s="77" t="n"/>
      <c r="K1405" s="18" t="n"/>
    </row>
    <row r="1406">
      <c r="B1406" s="56" t="inlineStr">
        <is>
          <t>00019-AUT</t>
        </is>
      </c>
      <c r="C1406" s="18">
        <f>IFERROR(_xlfn.XLOOKUP(ENTRADAS[[#This Row],[CODIGO]],LISTADO[CODIGOS],LISTADO[CATEGORIA]),"NO EXISTE")</f>
        <v/>
      </c>
      <c r="D1406" s="18">
        <f>IFERROR(_xlfn.XLOOKUP(ENTRADAS[[#This Row],[CODIGO]],LISTADO[CODIGOS],LISTADO[PRODUCTOS]),"NO EXISTE")</f>
        <v/>
      </c>
      <c r="E1406" s="19" t="n">
        <v>46129</v>
      </c>
      <c r="F1406" s="18" t="n">
        <v>1</v>
      </c>
      <c r="G1406" s="18" t="inlineStr">
        <is>
          <t>INGRESO</t>
        </is>
      </c>
      <c r="H1406" s="18" t="n"/>
      <c r="I1406" s="45" t="n"/>
      <c r="J1406" s="77" t="n"/>
      <c r="K1406" s="18" t="n"/>
    </row>
    <row r="1407">
      <c r="B1407" s="56" t="inlineStr">
        <is>
          <t>00020-AUT</t>
        </is>
      </c>
      <c r="C1407" s="18">
        <f>IFERROR(_xlfn.XLOOKUP(ENTRADAS[[#This Row],[CODIGO]],LISTADO[CODIGOS],LISTADO[CATEGORIA]),"NO EXISTE")</f>
        <v/>
      </c>
      <c r="D1407" s="18">
        <f>IFERROR(_xlfn.XLOOKUP(ENTRADAS[[#This Row],[CODIGO]],LISTADO[CODIGOS],LISTADO[PRODUCTOS]),"NO EXISTE")</f>
        <v/>
      </c>
      <c r="E1407" s="19" t="n">
        <v>46129</v>
      </c>
      <c r="F1407" s="18" t="n">
        <v>1</v>
      </c>
      <c r="G1407" s="18" t="inlineStr">
        <is>
          <t>INGRESO</t>
        </is>
      </c>
      <c r="H1407" s="18" t="n"/>
      <c r="I1407" s="45" t="n"/>
      <c r="J1407" s="77" t="n"/>
      <c r="K1407" s="18" t="n"/>
    </row>
    <row r="1408">
      <c r="B1408" s="56" t="inlineStr">
        <is>
          <t>00024-MSC</t>
        </is>
      </c>
      <c r="C1408" s="18">
        <f>IFERROR(_xlfn.XLOOKUP(ENTRADAS[[#This Row],[CODIGO]],LISTADO[CODIGOS],LISTADO[CATEGORIA]),"NO EXISTE")</f>
        <v/>
      </c>
      <c r="D1408" s="18">
        <f>IFERROR(_xlfn.XLOOKUP(ENTRADAS[[#This Row],[CODIGO]],LISTADO[CODIGOS],LISTADO[PRODUCTOS]),"NO EXISTE")</f>
        <v/>
      </c>
      <c r="E1408" s="19" t="n">
        <v>46129</v>
      </c>
      <c r="F1408" s="18" t="n">
        <v>4</v>
      </c>
      <c r="G1408" s="18" t="inlineStr">
        <is>
          <t>INGRESO</t>
        </is>
      </c>
      <c r="H1408" s="18" t="n"/>
      <c r="I1408" s="45" t="n"/>
      <c r="J1408" s="77" t="n"/>
      <c r="K1408" s="18" t="n"/>
    </row>
    <row r="1409">
      <c r="B1409" s="56" t="inlineStr">
        <is>
          <t>00021-AUT</t>
        </is>
      </c>
      <c r="C1409" s="18">
        <f>IFERROR(_xlfn.XLOOKUP(ENTRADAS[[#This Row],[CODIGO]],LISTADO[CODIGOS],LISTADO[CATEGORIA]),"NO EXISTE")</f>
        <v/>
      </c>
      <c r="D1409" s="18">
        <f>IFERROR(_xlfn.XLOOKUP(ENTRADAS[[#This Row],[CODIGO]],LISTADO[CODIGOS],LISTADO[PRODUCTOS]),"NO EXISTE")</f>
        <v/>
      </c>
      <c r="E1409" s="19" t="n">
        <v>46129</v>
      </c>
      <c r="F1409" s="18" t="n">
        <v>1</v>
      </c>
      <c r="G1409" s="18" t="inlineStr">
        <is>
          <t>INGRESO</t>
        </is>
      </c>
      <c r="H1409" s="18" t="n"/>
      <c r="I1409" s="45" t="n"/>
      <c r="J1409" s="77" t="n"/>
      <c r="K1409" s="18" t="n"/>
    </row>
    <row r="1410">
      <c r="B1410" s="18" t="inlineStr">
        <is>
          <t>00095-REF</t>
        </is>
      </c>
      <c r="C1410" s="18">
        <f>IFERROR(_xlfn.XLOOKUP(ENTRADAS[[#This Row],[CODIGO]],LISTADO[CODIGOS],LISTADO[CATEGORIA]),"NO EXISTE")</f>
        <v/>
      </c>
      <c r="D1410" s="18">
        <f>IFERROR(_xlfn.XLOOKUP(ENTRADAS[[#This Row],[CODIGO]],LISTADO[CODIGOS],LISTADO[PRODUCTOS]),"NO EXISTE")</f>
        <v/>
      </c>
      <c r="E1410" s="19" t="n">
        <v>46129</v>
      </c>
      <c r="F1410" s="18" t="n">
        <v>1</v>
      </c>
      <c r="G1410" s="18" t="inlineStr">
        <is>
          <t>INGRESO</t>
        </is>
      </c>
      <c r="H1410" s="18" t="n"/>
      <c r="I1410" s="45" t="n"/>
      <c r="J1410" s="77" t="n"/>
      <c r="K1410" s="18" t="n"/>
    </row>
    <row r="1411">
      <c r="B1411" s="56" t="inlineStr">
        <is>
          <t>00206-FER</t>
        </is>
      </c>
      <c r="C1411" s="18">
        <f>IFERROR(_xlfn.XLOOKUP(ENTRADAS[[#This Row],[CODIGO]],LISTADO[CODIGOS],LISTADO[CATEGORIA]),"NO EXISTE")</f>
        <v/>
      </c>
      <c r="D1411" s="18">
        <f>IFERROR(_xlfn.XLOOKUP(ENTRADAS[[#This Row],[CODIGO]],LISTADO[CODIGOS],LISTADO[PRODUCTOS]),"NO EXISTE")</f>
        <v/>
      </c>
      <c r="E1411" s="19" t="n">
        <v>46129</v>
      </c>
      <c r="F1411" s="18" t="n">
        <v>40</v>
      </c>
      <c r="G1411" s="18" t="inlineStr">
        <is>
          <t>INGRESO</t>
        </is>
      </c>
      <c r="H1411" s="18" t="n"/>
      <c r="I1411" s="45" t="n"/>
      <c r="J1411" s="77" t="n"/>
      <c r="K1411" s="18" t="n"/>
    </row>
    <row r="1412">
      <c r="B1412" s="18" t="inlineStr">
        <is>
          <t>00207-FER</t>
        </is>
      </c>
      <c r="C1412" s="18">
        <f>IFERROR(_xlfn.XLOOKUP(ENTRADAS[[#This Row],[CODIGO]],LISTADO[CODIGOS],LISTADO[CATEGORIA]),"NO EXISTE")</f>
        <v/>
      </c>
      <c r="D1412" s="18">
        <f>IFERROR(_xlfn.XLOOKUP(ENTRADAS[[#This Row],[CODIGO]],LISTADO[CODIGOS],LISTADO[PRODUCTOS]),"NO EXISTE")</f>
        <v/>
      </c>
      <c r="E1412" s="19" t="n">
        <v>46129</v>
      </c>
      <c r="F1412" s="18" t="n">
        <v>2</v>
      </c>
      <c r="G1412" s="18" t="inlineStr">
        <is>
          <t>INGRESO</t>
        </is>
      </c>
      <c r="H1412" s="18" t="n"/>
      <c r="I1412" s="45" t="n"/>
      <c r="J1412" s="77" t="n"/>
      <c r="K1412" s="18" t="n"/>
    </row>
    <row r="1413">
      <c r="B1413" s="56" t="inlineStr">
        <is>
          <t>00022-AUT</t>
        </is>
      </c>
      <c r="C1413" s="18">
        <f>IFERROR(_xlfn.XLOOKUP(ENTRADAS[[#This Row],[CODIGO]],LISTADO[CODIGOS],LISTADO[CATEGORIA]),"NO EXISTE")</f>
        <v/>
      </c>
      <c r="D1413" s="18">
        <f>IFERROR(_xlfn.XLOOKUP(ENTRADAS[[#This Row],[CODIGO]],LISTADO[CODIGOS],LISTADO[PRODUCTOS]),"NO EXISTE")</f>
        <v/>
      </c>
      <c r="E1413" s="19" t="n">
        <v>46129</v>
      </c>
      <c r="F1413" s="18" t="n">
        <v>4</v>
      </c>
      <c r="G1413" s="18" t="inlineStr">
        <is>
          <t>INGRESO</t>
        </is>
      </c>
      <c r="H1413" s="18" t="n"/>
      <c r="I1413" s="45" t="n"/>
      <c r="J1413" s="77" t="n"/>
      <c r="K1413" s="18" t="n"/>
    </row>
    <row r="1414">
      <c r="B1414" s="56" t="inlineStr">
        <is>
          <t>00023-AUT</t>
        </is>
      </c>
      <c r="C1414" s="18">
        <f>IFERROR(_xlfn.XLOOKUP(ENTRADAS[[#This Row],[CODIGO]],LISTADO[CODIGOS],LISTADO[CATEGORIA]),"NO EXISTE")</f>
        <v/>
      </c>
      <c r="D1414" s="18">
        <f>IFERROR(_xlfn.XLOOKUP(ENTRADAS[[#This Row],[CODIGO]],LISTADO[CODIGOS],LISTADO[PRODUCTOS]),"NO EXISTE")</f>
        <v/>
      </c>
      <c r="E1414" s="19" t="n">
        <v>46129</v>
      </c>
      <c r="F1414" s="18" t="n">
        <v>1</v>
      </c>
      <c r="G1414" s="18" t="inlineStr">
        <is>
          <t>INGRESO</t>
        </is>
      </c>
      <c r="H1414" s="18" t="n"/>
      <c r="I1414" s="45" t="n"/>
      <c r="J1414" s="77" t="n"/>
      <c r="K1414" s="18" t="n"/>
    </row>
    <row r="1415">
      <c r="B1415" s="56" t="inlineStr">
        <is>
          <t>00024-AUT</t>
        </is>
      </c>
      <c r="C1415" s="18">
        <f>IFERROR(_xlfn.XLOOKUP(ENTRADAS[[#This Row],[CODIGO]],LISTADO[CODIGOS],LISTADO[CATEGORIA]),"NO EXISTE")</f>
        <v/>
      </c>
      <c r="D1415" s="18">
        <f>IFERROR(_xlfn.XLOOKUP(ENTRADAS[[#This Row],[CODIGO]],LISTADO[CODIGOS],LISTADO[PRODUCTOS]),"NO EXISTE")</f>
        <v/>
      </c>
      <c r="E1415" s="19" t="n">
        <v>46129</v>
      </c>
      <c r="F1415" s="18" t="n">
        <v>2</v>
      </c>
      <c r="G1415" s="18" t="inlineStr">
        <is>
          <t>INGRESO</t>
        </is>
      </c>
      <c r="H1415" s="18" t="n"/>
      <c r="I1415" s="45" t="n"/>
      <c r="J1415" s="77" t="n"/>
      <c r="K1415" s="18" t="n"/>
    </row>
    <row r="1416">
      <c r="B1416" s="56" t="inlineStr">
        <is>
          <t>00007-HRR</t>
        </is>
      </c>
      <c r="C1416" s="18">
        <f>IFERROR(_xlfn.XLOOKUP(ENTRADAS[[#This Row],[CODIGO]],LISTADO[CODIGOS],LISTADO[CATEGORIA]),"NO EXISTE")</f>
        <v/>
      </c>
      <c r="D1416" s="18">
        <f>IFERROR(_xlfn.XLOOKUP(ENTRADAS[[#This Row],[CODIGO]],LISTADO[CODIGOS],LISTADO[PRODUCTOS]),"NO EXISTE")</f>
        <v/>
      </c>
      <c r="E1416" s="19" t="n">
        <v>46129</v>
      </c>
      <c r="F1416" s="18" t="n">
        <v>25</v>
      </c>
      <c r="G1416" s="18" t="inlineStr">
        <is>
          <t>INGRESO</t>
        </is>
      </c>
      <c r="H1416" s="18" t="n"/>
      <c r="I1416" s="45" t="n"/>
      <c r="J1416" s="77" t="n"/>
      <c r="K1416" s="18" t="n"/>
    </row>
    <row r="1417">
      <c r="B1417" s="18" t="inlineStr">
        <is>
          <t>00001-HRR</t>
        </is>
      </c>
      <c r="C1417" s="18">
        <f>IFERROR(_xlfn.XLOOKUP(ENTRADAS[[#This Row],[CODIGO]],LISTADO[CODIGOS],LISTADO[CATEGORIA]),"NO EXISTE")</f>
        <v/>
      </c>
      <c r="D1417" s="18">
        <f>IFERROR(_xlfn.XLOOKUP(ENTRADAS[[#This Row],[CODIGO]],LISTADO[CODIGOS],LISTADO[PRODUCTOS]),"NO EXISTE")</f>
        <v/>
      </c>
      <c r="E1417" s="19" t="n">
        <v>46129</v>
      </c>
      <c r="F1417" s="18" t="n">
        <v>5</v>
      </c>
      <c r="G1417" s="18" t="inlineStr">
        <is>
          <t>INGRESO</t>
        </is>
      </c>
      <c r="H1417" s="18" t="n"/>
      <c r="I1417" s="45" t="n"/>
      <c r="J1417" s="77" t="n"/>
      <c r="K1417" s="18" t="n"/>
    </row>
    <row r="1418">
      <c r="B1418" s="56" t="inlineStr">
        <is>
          <t>00145-REF</t>
        </is>
      </c>
      <c r="C1418" s="18">
        <f>IFERROR(_xlfn.XLOOKUP(ENTRADAS[[#This Row],[CODIGO]],LISTADO[CODIGOS],LISTADO[CATEGORIA]),"NO EXISTE")</f>
        <v/>
      </c>
      <c r="D1418" s="18">
        <f>IFERROR(_xlfn.XLOOKUP(ENTRADAS[[#This Row],[CODIGO]],LISTADO[CODIGOS],LISTADO[PRODUCTOS]),"NO EXISTE")</f>
        <v/>
      </c>
      <c r="E1418" s="19" t="n">
        <v>46130</v>
      </c>
      <c r="F1418" s="18" t="n">
        <v>1</v>
      </c>
      <c r="G1418" s="18" t="inlineStr">
        <is>
          <t>INGRESO</t>
        </is>
      </c>
      <c r="H1418" s="18" t="inlineStr">
        <is>
          <t>R.O.C.A</t>
        </is>
      </c>
      <c r="I1418" s="45" t="n"/>
      <c r="J1418" s="77" t="n">
        <v>12327.59</v>
      </c>
      <c r="K1418" s="18" t="n"/>
    </row>
    <row r="1419">
      <c r="B1419" s="18" t="inlineStr">
        <is>
          <t>00141-FER</t>
        </is>
      </c>
      <c r="C1419" s="18">
        <f>IFERROR(_xlfn.XLOOKUP(ENTRADAS[[#This Row],[CODIGO]],LISTADO[CODIGOS],LISTADO[CATEGORIA]),"NO EXISTE")</f>
        <v/>
      </c>
      <c r="D1419" s="18">
        <f>IFERROR(_xlfn.XLOOKUP(ENTRADAS[[#This Row],[CODIGO]],LISTADO[CODIGOS],LISTADO[PRODUCTOS]),"NO EXISTE")</f>
        <v/>
      </c>
      <c r="E1419" s="19" t="n">
        <v>46132</v>
      </c>
      <c r="F1419" s="18" t="n">
        <v>200</v>
      </c>
      <c r="G1419" s="18" t="inlineStr">
        <is>
          <t>INGRESO</t>
        </is>
      </c>
      <c r="H1419" s="18" t="n"/>
      <c r="I1419" s="45" t="n"/>
      <c r="J1419" s="77" t="n"/>
      <c r="K1419" s="18" t="n"/>
    </row>
    <row r="1420">
      <c r="B1420" s="56" t="inlineStr">
        <is>
          <t>00143-FER</t>
        </is>
      </c>
      <c r="C1420" s="18">
        <f>IFERROR(_xlfn.XLOOKUP(ENTRADAS[[#This Row],[CODIGO]],LISTADO[CODIGOS],LISTADO[CATEGORIA]),"NO EXISTE")</f>
        <v/>
      </c>
      <c r="D1420" s="18">
        <f>IFERROR(_xlfn.XLOOKUP(ENTRADAS[[#This Row],[CODIGO]],LISTADO[CODIGOS],LISTADO[PRODUCTOS]),"NO EXISTE")</f>
        <v/>
      </c>
      <c r="E1420" s="19" t="n">
        <v>46132</v>
      </c>
      <c r="F1420" s="18" t="n">
        <v>300</v>
      </c>
      <c r="G1420" s="18" t="inlineStr">
        <is>
          <t>INGRESO</t>
        </is>
      </c>
      <c r="H1420" s="18" t="n"/>
      <c r="I1420" s="45" t="n"/>
      <c r="J1420" s="77" t="n"/>
      <c r="K1420" s="18" t="n"/>
    </row>
    <row r="1421">
      <c r="B1421" s="18" t="inlineStr">
        <is>
          <t>00092-ELE</t>
        </is>
      </c>
      <c r="C1421" s="18">
        <f>IFERROR(_xlfn.XLOOKUP(ENTRADAS[[#This Row],[CODIGO]],LISTADO[CODIGOS],LISTADO[CATEGORIA]),"NO EXISTE")</f>
        <v/>
      </c>
      <c r="D1421" s="18">
        <f>IFERROR(_xlfn.XLOOKUP(ENTRADAS[[#This Row],[CODIGO]],LISTADO[CODIGOS],LISTADO[PRODUCTOS]),"NO EXISTE")</f>
        <v/>
      </c>
      <c r="E1421" s="19" t="n">
        <v>46133</v>
      </c>
      <c r="F1421" s="18" t="n">
        <v>2</v>
      </c>
      <c r="G1421" s="18" t="inlineStr">
        <is>
          <t>INGRESO</t>
        </is>
      </c>
      <c r="H1421" s="18" t="n"/>
      <c r="I1421" s="45" t="n"/>
      <c r="J1421" s="77" t="n"/>
      <c r="K1421" s="18" t="n"/>
    </row>
    <row r="1422">
      <c r="B1422" s="56" t="inlineStr">
        <is>
          <t>00076-REF</t>
        </is>
      </c>
      <c r="C1422" s="18">
        <f>IFERROR(_xlfn.XLOOKUP(ENTRADAS[[#This Row],[CODIGO]],LISTADO[CODIGOS],LISTADO[CATEGORIA]),"NO EXISTE")</f>
        <v/>
      </c>
      <c r="D1422" s="18">
        <f>IFERROR(_xlfn.XLOOKUP(ENTRADAS[[#This Row],[CODIGO]],LISTADO[CODIGOS],LISTADO[PRODUCTOS]),"NO EXISTE")</f>
        <v/>
      </c>
      <c r="E1422" s="19" t="n">
        <v>46133</v>
      </c>
      <c r="F1422" s="18" t="n">
        <v>1</v>
      </c>
      <c r="G1422" s="18" t="inlineStr">
        <is>
          <t>INGRESO</t>
        </is>
      </c>
      <c r="H1422" s="18" t="n"/>
      <c r="I1422" s="45" t="n"/>
      <c r="J1422" s="77" t="n"/>
      <c r="K1422" s="18" t="n"/>
    </row>
    <row r="1423">
      <c r="B1423" s="18" t="inlineStr">
        <is>
          <t>00129-REF</t>
        </is>
      </c>
      <c r="C1423" s="18">
        <f>IFERROR(_xlfn.XLOOKUP(ENTRADAS[[#This Row],[CODIGO]],LISTADO[CODIGOS],LISTADO[CATEGORIA]),"NO EXISTE")</f>
        <v/>
      </c>
      <c r="D1423" s="18">
        <f>IFERROR(_xlfn.XLOOKUP(ENTRADAS[[#This Row],[CODIGO]],LISTADO[CODIGOS],LISTADO[PRODUCTOS]),"NO EXISTE")</f>
        <v/>
      </c>
      <c r="E1423" s="19" t="n">
        <v>46133</v>
      </c>
      <c r="F1423" s="18" t="n">
        <v>3</v>
      </c>
      <c r="G1423" s="18" t="inlineStr">
        <is>
          <t>INGRESO</t>
        </is>
      </c>
      <c r="H1423" s="18" t="n"/>
      <c r="I1423" s="45" t="n"/>
      <c r="J1423" s="77" t="n"/>
      <c r="K1423" s="18" t="n"/>
    </row>
    <row r="1424">
      <c r="B1424" s="56" t="inlineStr">
        <is>
          <t>00082-FER</t>
        </is>
      </c>
      <c r="C1424" s="18">
        <f>IFERROR(_xlfn.XLOOKUP(ENTRADAS[[#This Row],[CODIGO]],LISTADO[CODIGOS],LISTADO[CATEGORIA]),"NO EXISTE")</f>
        <v/>
      </c>
      <c r="D1424" s="18">
        <f>IFERROR(_xlfn.XLOOKUP(ENTRADAS[[#This Row],[CODIGO]],LISTADO[CODIGOS],LISTADO[PRODUCTOS]),"NO EXISTE")</f>
        <v/>
      </c>
      <c r="E1424" s="19" t="n">
        <v>46133</v>
      </c>
      <c r="F1424" s="18" t="n">
        <v>1</v>
      </c>
      <c r="G1424" s="18" t="inlineStr">
        <is>
          <t>INGRESO</t>
        </is>
      </c>
      <c r="H1424" s="18" t="n"/>
      <c r="I1424" s="45" t="n"/>
      <c r="J1424" s="77" t="n"/>
      <c r="K1424" s="18" t="n"/>
    </row>
    <row r="1425">
      <c r="B1425" s="18" t="inlineStr">
        <is>
          <t>00074-ELE</t>
        </is>
      </c>
      <c r="C1425" s="18">
        <f>IFERROR(_xlfn.XLOOKUP(ENTRADAS[[#This Row],[CODIGO]],LISTADO[CODIGOS],LISTADO[CATEGORIA]),"NO EXISTE")</f>
        <v/>
      </c>
      <c r="D1425" s="18">
        <f>IFERROR(_xlfn.XLOOKUP(ENTRADAS[[#This Row],[CODIGO]],LISTADO[CODIGOS],LISTADO[PRODUCTOS]),"NO EXISTE")</f>
        <v/>
      </c>
      <c r="E1425" s="19" t="n">
        <v>46133</v>
      </c>
      <c r="F1425" s="18" t="n">
        <v>6</v>
      </c>
      <c r="G1425" s="18" t="inlineStr">
        <is>
          <t>INGRESO</t>
        </is>
      </c>
      <c r="H1425" s="18" t="n"/>
      <c r="I1425" s="45" t="n"/>
      <c r="J1425" s="77" t="n"/>
      <c r="K1425" s="18" t="n"/>
    </row>
    <row r="1426">
      <c r="B1426" s="56" t="inlineStr">
        <is>
          <t>00094-FER</t>
        </is>
      </c>
      <c r="C1426" s="18">
        <f>IFERROR(_xlfn.XLOOKUP(ENTRADAS[[#This Row],[CODIGO]],LISTADO[CODIGOS],LISTADO[CATEGORIA]),"NO EXISTE")</f>
        <v/>
      </c>
      <c r="D1426" s="18">
        <f>IFERROR(_xlfn.XLOOKUP(ENTRADAS[[#This Row],[CODIGO]],LISTADO[CODIGOS],LISTADO[PRODUCTOS]),"NO EXISTE")</f>
        <v/>
      </c>
      <c r="E1426" s="19" t="n">
        <v>46133</v>
      </c>
      <c r="F1426" s="18" t="n">
        <v>40</v>
      </c>
      <c r="G1426" s="18" t="inlineStr">
        <is>
          <t>INGRESO</t>
        </is>
      </c>
      <c r="H1426" s="18" t="n"/>
      <c r="I1426" s="45" t="n"/>
      <c r="J1426" s="77" t="n"/>
      <c r="K1426" s="18" t="n"/>
    </row>
    <row r="1427">
      <c r="B1427" s="56" t="inlineStr">
        <is>
          <t>00089-FER</t>
        </is>
      </c>
      <c r="C1427" s="18">
        <f>IFERROR(_xlfn.XLOOKUP(ENTRADAS[[#This Row],[CODIGO]],LISTADO[CODIGOS],LISTADO[CATEGORIA]),"NO EXISTE")</f>
        <v/>
      </c>
      <c r="D1427" s="18">
        <f>IFERROR(_xlfn.XLOOKUP(ENTRADAS[[#This Row],[CODIGO]],LISTADO[CODIGOS],LISTADO[PRODUCTOS]),"NO EXISTE")</f>
        <v/>
      </c>
      <c r="E1427" s="19" t="n">
        <v>46133</v>
      </c>
      <c r="F1427" s="18" t="n">
        <v>40</v>
      </c>
      <c r="G1427" s="18" t="inlineStr">
        <is>
          <t>INGRESO</t>
        </is>
      </c>
      <c r="H1427" s="18" t="n"/>
      <c r="I1427" s="45" t="n"/>
      <c r="J1427" s="77" t="n"/>
      <c r="K1427" s="18" t="n"/>
    </row>
    <row r="1428">
      <c r="B1428" s="56" t="inlineStr">
        <is>
          <t>00208-FER</t>
        </is>
      </c>
      <c r="C1428" s="18">
        <f>IFERROR(_xlfn.XLOOKUP(ENTRADAS[[#This Row],[CODIGO]],LISTADO[CODIGOS],LISTADO[CATEGORIA]),"NO EXISTE")</f>
        <v/>
      </c>
      <c r="D1428" s="18">
        <f>IFERROR(_xlfn.XLOOKUP(ENTRADAS[[#This Row],[CODIGO]],LISTADO[CODIGOS],LISTADO[PRODUCTOS]),"NO EXISTE")</f>
        <v/>
      </c>
      <c r="E1428" s="19" t="n">
        <v>46133</v>
      </c>
      <c r="F1428" s="18" t="n">
        <v>1000</v>
      </c>
      <c r="G1428" s="18" t="inlineStr">
        <is>
          <t>INGRESO</t>
        </is>
      </c>
      <c r="H1428" s="18" t="n"/>
      <c r="I1428" s="45" t="n"/>
      <c r="J1428" s="77" t="n"/>
      <c r="K1428" s="18" t="n"/>
    </row>
    <row r="1429">
      <c r="B1429" s="56" t="inlineStr">
        <is>
          <t>00209-FER</t>
        </is>
      </c>
      <c r="C1429" s="18">
        <f>IFERROR(_xlfn.XLOOKUP(ENTRADAS[[#This Row],[CODIGO]],LISTADO[CODIGOS],LISTADO[CATEGORIA]),"NO EXISTE")</f>
        <v/>
      </c>
      <c r="D1429" s="18">
        <f>IFERROR(_xlfn.XLOOKUP(ENTRADAS[[#This Row],[CODIGO]],LISTADO[CODIGOS],LISTADO[PRODUCTOS]),"NO EXISTE")</f>
        <v/>
      </c>
      <c r="E1429" s="19" t="n">
        <v>46133</v>
      </c>
      <c r="F1429" s="18" t="n">
        <v>3800</v>
      </c>
      <c r="G1429" s="18" t="inlineStr">
        <is>
          <t>INGRESO</t>
        </is>
      </c>
      <c r="H1429" s="18" t="n"/>
      <c r="I1429" s="45" t="n"/>
      <c r="J1429" s="77" t="n"/>
      <c r="K1429" s="18" t="n"/>
    </row>
    <row r="1430">
      <c r="B1430" s="18" t="inlineStr">
        <is>
          <t>00240-FER</t>
        </is>
      </c>
      <c r="C1430" s="18">
        <f>IFERROR(_xlfn.XLOOKUP(ENTRADAS[[#This Row],[CODIGO]],LISTADO[CODIGOS],LISTADO[CATEGORIA]),"NO EXISTE")</f>
        <v/>
      </c>
      <c r="D1430" s="18">
        <f>IFERROR(_xlfn.XLOOKUP(ENTRADAS[[#This Row],[CODIGO]],LISTADO[CODIGOS],LISTADO[PRODUCTOS]),"NO EXISTE")</f>
        <v/>
      </c>
      <c r="E1430" s="19" t="n">
        <v>46133</v>
      </c>
      <c r="F1430" s="18" t="n">
        <v>1</v>
      </c>
      <c r="G1430" s="18" t="inlineStr">
        <is>
          <t>INGRESO</t>
        </is>
      </c>
      <c r="H1430" s="18" t="inlineStr">
        <is>
          <t>PINTURAS IPM, C.A</t>
        </is>
      </c>
      <c r="I1430" s="45" t="n">
        <v>103</v>
      </c>
      <c r="J1430" s="77" t="n"/>
      <c r="K1430" s="18" t="n"/>
    </row>
    <row r="1431">
      <c r="B1431" s="18" t="inlineStr">
        <is>
          <t>00084-ELE</t>
        </is>
      </c>
      <c r="C1431" s="18">
        <f>IFERROR(_xlfn.XLOOKUP(ENTRADAS[[#This Row],[CODIGO]],LISTADO[CODIGOS],LISTADO[CATEGORIA]),"NO EXISTE")</f>
        <v/>
      </c>
      <c r="D1431" s="18">
        <f>IFERROR(_xlfn.XLOOKUP(ENTRADAS[[#This Row],[CODIGO]],LISTADO[CODIGOS],LISTADO[PRODUCTOS]),"NO EXISTE")</f>
        <v/>
      </c>
      <c r="E1431" s="19" t="n">
        <v>46133</v>
      </c>
      <c r="F1431" s="18" t="n">
        <v>100</v>
      </c>
      <c r="G1431" s="18" t="inlineStr">
        <is>
          <t>INGRESO</t>
        </is>
      </c>
      <c r="H1431" s="1" t="inlineStr">
        <is>
          <t>CABLESELEC, C.A.</t>
        </is>
      </c>
      <c r="I1431" s="45" t="n">
        <v>2.22</v>
      </c>
      <c r="J1431" s="77" t="n"/>
      <c r="K1431" s="18" t="n"/>
    </row>
    <row r="1432">
      <c r="B1432" s="56" t="inlineStr">
        <is>
          <t>00018-ELE</t>
        </is>
      </c>
      <c r="C1432" s="18">
        <f>IFERROR(_xlfn.XLOOKUP(ENTRADAS[[#This Row],[CODIGO]],LISTADO[CODIGOS],LISTADO[CATEGORIA]),"NO EXISTE")</f>
        <v/>
      </c>
      <c r="D1432" s="18">
        <f>IFERROR(_xlfn.XLOOKUP(ENTRADAS[[#This Row],[CODIGO]],LISTADO[CODIGOS],LISTADO[PRODUCTOS]),"NO EXISTE")</f>
        <v/>
      </c>
      <c r="E1432" s="19" t="n">
        <v>46133</v>
      </c>
      <c r="F1432" s="18" t="n">
        <v>300</v>
      </c>
      <c r="G1432" s="18" t="inlineStr">
        <is>
          <t>INGRESO</t>
        </is>
      </c>
      <c r="H1432" s="1" t="inlineStr">
        <is>
          <t>CABLESELEC, C.A.</t>
        </is>
      </c>
      <c r="I1432" s="45" t="n">
        <v>5.45</v>
      </c>
      <c r="J1432" s="77" t="n"/>
      <c r="K1432" s="18" t="n"/>
    </row>
    <row r="1433">
      <c r="B1433" s="18" t="inlineStr">
        <is>
          <t>00111-ELE</t>
        </is>
      </c>
      <c r="C1433" s="18">
        <f>IFERROR(_xlfn.XLOOKUP(ENTRADAS[[#This Row],[CODIGO]],LISTADO[CODIGOS],LISTADO[CATEGORIA]),"NO EXISTE")</f>
        <v/>
      </c>
      <c r="D1433" s="18">
        <f>IFERROR(_xlfn.XLOOKUP(ENTRADAS[[#This Row],[CODIGO]],LISTADO[CODIGOS],LISTADO[PRODUCTOS]),"NO EXISTE")</f>
        <v/>
      </c>
      <c r="E1433" s="19" t="n">
        <v>46133</v>
      </c>
      <c r="F1433" s="18" t="n">
        <v>500</v>
      </c>
      <c r="G1433" s="18" t="inlineStr">
        <is>
          <t>INGRESO</t>
        </is>
      </c>
      <c r="H1433" s="1" t="inlineStr">
        <is>
          <t>CABLESELEC, C.A.</t>
        </is>
      </c>
      <c r="I1433" s="45" t="n">
        <v>1.35</v>
      </c>
      <c r="J1433" s="77" t="n"/>
      <c r="K1433" s="18" t="n"/>
    </row>
    <row r="1434">
      <c r="B1434" s="56" t="inlineStr">
        <is>
          <t>00016-ELE</t>
        </is>
      </c>
      <c r="C1434" s="18">
        <f>IFERROR(_xlfn.XLOOKUP(ENTRADAS[[#This Row],[CODIGO]],LISTADO[CODIGOS],LISTADO[CATEGORIA]),"NO EXISTE")</f>
        <v/>
      </c>
      <c r="D1434" s="18">
        <f>IFERROR(_xlfn.XLOOKUP(ENTRADAS[[#This Row],[CODIGO]],LISTADO[CODIGOS],LISTADO[PRODUCTOS]),"NO EXISTE")</f>
        <v/>
      </c>
      <c r="E1434" s="19" t="n">
        <v>46133</v>
      </c>
      <c r="F1434" s="18" t="n">
        <v>100</v>
      </c>
      <c r="G1434" s="18" t="inlineStr">
        <is>
          <t>INGRESO</t>
        </is>
      </c>
      <c r="H1434" s="1" t="inlineStr">
        <is>
          <t>CABLESELEC, C.A.</t>
        </is>
      </c>
      <c r="I1434" s="45" t="n">
        <v>2.23</v>
      </c>
      <c r="J1434" s="77" t="n"/>
      <c r="K1434" s="18" t="n"/>
    </row>
    <row r="1435">
      <c r="B1435" s="18" t="inlineStr">
        <is>
          <t>00084-ELE</t>
        </is>
      </c>
      <c r="C1435" s="18">
        <f>IFERROR(_xlfn.XLOOKUP(ENTRADAS[[#This Row],[CODIGO]],LISTADO[CODIGOS],LISTADO[CATEGORIA]),"NO EXISTE")</f>
        <v/>
      </c>
      <c r="D1435" s="18">
        <f>IFERROR(_xlfn.XLOOKUP(ENTRADAS[[#This Row],[CODIGO]],LISTADO[CODIGOS],LISTADO[PRODUCTOS]),"NO EXISTE")</f>
        <v/>
      </c>
      <c r="E1435" s="19" t="n">
        <v>46133</v>
      </c>
      <c r="F1435" s="18" t="n">
        <v>100</v>
      </c>
      <c r="G1435" s="18" t="inlineStr">
        <is>
          <t>INGRESO</t>
        </is>
      </c>
      <c r="H1435" s="1" t="inlineStr">
        <is>
          <t>CABLESELEC, C.A.</t>
        </is>
      </c>
      <c r="I1435" s="45" t="n">
        <v>2.23</v>
      </c>
      <c r="J1435" s="77" t="n"/>
      <c r="K1435" s="18" t="n"/>
    </row>
    <row r="1436">
      <c r="B1436" s="56" t="inlineStr">
        <is>
          <t>00015-ELE</t>
        </is>
      </c>
      <c r="C1436" s="18">
        <f>IFERROR(_xlfn.XLOOKUP(ENTRADAS[[#This Row],[CODIGO]],LISTADO[CODIGOS],LISTADO[CATEGORIA]),"NO EXISTE")</f>
        <v/>
      </c>
      <c r="D1436" s="18">
        <f>IFERROR(_xlfn.XLOOKUP(ENTRADAS[[#This Row],[CODIGO]],LISTADO[CODIGOS],LISTADO[PRODUCTOS]),"NO EXISTE")</f>
        <v/>
      </c>
      <c r="E1436" s="19" t="n">
        <v>46133</v>
      </c>
      <c r="F1436" s="18" t="n">
        <v>100</v>
      </c>
      <c r="G1436" s="18" t="inlineStr">
        <is>
          <t>INGRESO</t>
        </is>
      </c>
      <c r="H1436" s="1" t="inlineStr">
        <is>
          <t>CABLESELEC, C.A.</t>
        </is>
      </c>
      <c r="I1436" s="45" t="n">
        <v>2.23</v>
      </c>
      <c r="J1436" s="77" t="n"/>
      <c r="K1436" s="18" t="n"/>
    </row>
    <row r="1437">
      <c r="B1437" s="18" t="inlineStr">
        <is>
          <t>00118-ELE</t>
        </is>
      </c>
      <c r="C1437" s="18">
        <f>IFERROR(_xlfn.XLOOKUP(ENTRADAS[[#This Row],[CODIGO]],LISTADO[CODIGOS],LISTADO[CATEGORIA]),"NO EXISTE")</f>
        <v/>
      </c>
      <c r="D1437" s="18">
        <f>IFERROR(_xlfn.XLOOKUP(ENTRADAS[[#This Row],[CODIGO]],LISTADO[CODIGOS],LISTADO[PRODUCTOS]),"NO EXISTE")</f>
        <v/>
      </c>
      <c r="E1437" s="19" t="n">
        <v>46133</v>
      </c>
      <c r="F1437" s="18" t="n">
        <v>500</v>
      </c>
      <c r="G1437" s="18" t="inlineStr">
        <is>
          <t>INGRESO</t>
        </is>
      </c>
      <c r="H1437" s="1" t="inlineStr">
        <is>
          <t>CABLESELEC, C.A.</t>
        </is>
      </c>
      <c r="I1437" s="45" t="n">
        <v>1.35</v>
      </c>
      <c r="J1437" s="77" t="n"/>
      <c r="K1437" s="18" t="n"/>
    </row>
    <row r="1438">
      <c r="B1438" s="18" t="inlineStr">
        <is>
          <t>00088-ELE</t>
        </is>
      </c>
      <c r="C1438" s="18">
        <f>IFERROR(_xlfn.XLOOKUP(ENTRADAS[[#This Row],[CODIGO]],LISTADO[CODIGOS],LISTADO[CATEGORIA]),"NO EXISTE")</f>
        <v/>
      </c>
      <c r="D1438" s="18">
        <f>IFERROR(_xlfn.XLOOKUP(ENTRADAS[[#This Row],[CODIGO]],LISTADO[CODIGOS],LISTADO[PRODUCTOS]),"NO EXISTE")</f>
        <v/>
      </c>
      <c r="E1438" s="19" t="n">
        <v>46133</v>
      </c>
      <c r="F1438" s="18" t="n">
        <v>500</v>
      </c>
      <c r="G1438" s="18" t="inlineStr">
        <is>
          <t>INGRESO</t>
        </is>
      </c>
      <c r="H1438" s="1" t="inlineStr">
        <is>
          <t>CABLESELEC, C.A.</t>
        </is>
      </c>
      <c r="I1438" s="45" t="n">
        <v>1.35</v>
      </c>
      <c r="J1438" s="77" t="n"/>
      <c r="K1438" s="18" t="n"/>
    </row>
    <row r="1439">
      <c r="B1439" s="18" t="inlineStr">
        <is>
          <t>00119-ELE</t>
        </is>
      </c>
      <c r="C1439" s="18">
        <f>IFERROR(_xlfn.XLOOKUP(ENTRADAS[[#This Row],[CODIGO]],LISTADO[CODIGOS],LISTADO[CATEGORIA]),"NO EXISTE")</f>
        <v/>
      </c>
      <c r="D1439" s="18">
        <f>IFERROR(_xlfn.XLOOKUP(ENTRADAS[[#This Row],[CODIGO]],LISTADO[CODIGOS],LISTADO[PRODUCTOS]),"NO EXISTE")</f>
        <v/>
      </c>
      <c r="E1439" s="19" t="n">
        <v>46133</v>
      </c>
      <c r="F1439" s="18" t="n">
        <v>500</v>
      </c>
      <c r="G1439" s="18" t="inlineStr">
        <is>
          <t>INGRESO</t>
        </is>
      </c>
      <c r="H1439" s="1" t="inlineStr">
        <is>
          <t>CABLESELEC, C.A.</t>
        </is>
      </c>
      <c r="I1439" s="45" t="n">
        <v>1.35</v>
      </c>
      <c r="J1439" s="77" t="n"/>
      <c r="K1439" s="18" t="n"/>
    </row>
    <row r="1440">
      <c r="B1440" s="18" t="inlineStr">
        <is>
          <t>00122-ELE</t>
        </is>
      </c>
      <c r="C1440" s="18">
        <f>IFERROR(_xlfn.XLOOKUP(ENTRADAS[[#This Row],[CODIGO]],LISTADO[CODIGOS],LISTADO[CATEGORIA]),"NO EXISTE")</f>
        <v/>
      </c>
      <c r="D1440" s="18">
        <f>IFERROR(_xlfn.XLOOKUP(ENTRADAS[[#This Row],[CODIGO]],LISTADO[CODIGOS],LISTADO[PRODUCTOS]),"NO EXISTE")</f>
        <v/>
      </c>
      <c r="E1440" s="19" t="n">
        <v>46133</v>
      </c>
      <c r="F1440" s="18" t="n">
        <v>500</v>
      </c>
      <c r="G1440" s="18" t="inlineStr">
        <is>
          <t>INGRESO</t>
        </is>
      </c>
      <c r="H1440" s="1" t="inlineStr">
        <is>
          <t>CABLESELEC, C.A.</t>
        </is>
      </c>
      <c r="I1440" s="45" t="n">
        <v>1.35</v>
      </c>
      <c r="J1440" s="77" t="n"/>
      <c r="K1440" s="18" t="n"/>
    </row>
    <row r="1441">
      <c r="B1441" s="18" t="inlineStr">
        <is>
          <t>00120-ELE</t>
        </is>
      </c>
      <c r="C1441" s="18">
        <f>IFERROR(_xlfn.XLOOKUP(ENTRADAS[[#This Row],[CODIGO]],LISTADO[CODIGOS],LISTADO[CATEGORIA]),"NO EXISTE")</f>
        <v/>
      </c>
      <c r="D1441" s="18">
        <f>IFERROR(_xlfn.XLOOKUP(ENTRADAS[[#This Row],[CODIGO]],LISTADO[CODIGOS],LISTADO[PRODUCTOS]),"NO EXISTE")</f>
        <v/>
      </c>
      <c r="E1441" s="19" t="n">
        <v>46133</v>
      </c>
      <c r="F1441" s="18" t="n">
        <v>200</v>
      </c>
      <c r="G1441" s="18" t="inlineStr">
        <is>
          <t>INGRESO</t>
        </is>
      </c>
      <c r="H1441" s="1" t="inlineStr">
        <is>
          <t>CABLESELEC, C.A.</t>
        </is>
      </c>
      <c r="I1441" s="45" t="n">
        <v>1.35</v>
      </c>
      <c r="J1441" s="77" t="n"/>
      <c r="K1441" s="18" t="n"/>
    </row>
    <row r="1442">
      <c r="B1442" s="18" t="inlineStr">
        <is>
          <t>00117-ELE</t>
        </is>
      </c>
      <c r="C1442" s="18">
        <f>IFERROR(_xlfn.XLOOKUP(ENTRADAS[[#This Row],[CODIGO]],LISTADO[CODIGOS],LISTADO[CATEGORIA]),"NO EXISTE")</f>
        <v/>
      </c>
      <c r="D1442" s="18">
        <f>IFERROR(_xlfn.XLOOKUP(ENTRADAS[[#This Row],[CODIGO]],LISTADO[CODIGOS],LISTADO[PRODUCTOS]),"NO EXISTE")</f>
        <v/>
      </c>
      <c r="E1442" s="19" t="n">
        <v>46133</v>
      </c>
      <c r="F1442" s="18" t="n">
        <v>500</v>
      </c>
      <c r="G1442" s="18" t="inlineStr">
        <is>
          <t>INGRESO</t>
        </is>
      </c>
      <c r="H1442" s="1" t="inlineStr">
        <is>
          <t>CABLESELEC, C.A.</t>
        </is>
      </c>
      <c r="I1442" s="45" t="n">
        <v>0.8</v>
      </c>
      <c r="J1442" s="77" t="n"/>
      <c r="K1442" s="18" t="n"/>
    </row>
    <row r="1443">
      <c r="B1443" s="56" t="inlineStr">
        <is>
          <t>00014-ELE</t>
        </is>
      </c>
      <c r="C1443" s="18">
        <f>IFERROR(_xlfn.XLOOKUP(ENTRADAS[[#This Row],[CODIGO]],LISTADO[CODIGOS],LISTADO[CATEGORIA]),"NO EXISTE")</f>
        <v/>
      </c>
      <c r="D1443" s="18">
        <f>IFERROR(_xlfn.XLOOKUP(ENTRADAS[[#This Row],[CODIGO]],LISTADO[CODIGOS],LISTADO[PRODUCTOS]),"NO EXISTE")</f>
        <v/>
      </c>
      <c r="E1443" s="19" t="n">
        <v>46133</v>
      </c>
      <c r="F1443" s="18" t="n">
        <v>500</v>
      </c>
      <c r="G1443" s="18" t="inlineStr">
        <is>
          <t>INGRESO</t>
        </is>
      </c>
      <c r="H1443" s="1" t="inlineStr">
        <is>
          <t>CABLESELEC, C.A.</t>
        </is>
      </c>
      <c r="I1443" s="45" t="n">
        <v>0.8</v>
      </c>
      <c r="J1443" s="77" t="n"/>
      <c r="K1443" s="18" t="n"/>
    </row>
    <row r="1444">
      <c r="B1444" s="18" t="inlineStr">
        <is>
          <t>00089-ELE</t>
        </is>
      </c>
      <c r="C1444" s="18">
        <f>IFERROR(_xlfn.XLOOKUP(ENTRADAS[[#This Row],[CODIGO]],LISTADO[CODIGOS],LISTADO[CATEGORIA]),"NO EXISTE")</f>
        <v/>
      </c>
      <c r="D1444" s="18">
        <f>IFERROR(_xlfn.XLOOKUP(ENTRADAS[[#This Row],[CODIGO]],LISTADO[CODIGOS],LISTADO[PRODUCTOS]),"NO EXISTE")</f>
        <v/>
      </c>
      <c r="E1444" s="19" t="n">
        <v>46133</v>
      </c>
      <c r="F1444" s="18" t="n">
        <v>500</v>
      </c>
      <c r="G1444" s="18" t="inlineStr">
        <is>
          <t>INGRESO</t>
        </is>
      </c>
      <c r="H1444" s="1" t="inlineStr">
        <is>
          <t>CABLESELEC, C.A.</t>
        </is>
      </c>
      <c r="I1444" s="45" t="n">
        <v>0.8</v>
      </c>
      <c r="J1444" s="77" t="n"/>
      <c r="K1444" s="18" t="n"/>
    </row>
    <row r="1445">
      <c r="B1445" s="18" t="inlineStr">
        <is>
          <t>00066-ELE</t>
        </is>
      </c>
      <c r="C1445" s="18">
        <f>IFERROR(_xlfn.XLOOKUP(ENTRADAS[[#This Row],[CODIGO]],LISTADO[CODIGOS],LISTADO[CATEGORIA]),"NO EXISTE")</f>
        <v/>
      </c>
      <c r="D1445" s="18">
        <f>IFERROR(_xlfn.XLOOKUP(ENTRADAS[[#This Row],[CODIGO]],LISTADO[CODIGOS],LISTADO[PRODUCTOS]),"NO EXISTE")</f>
        <v/>
      </c>
      <c r="E1445" s="19" t="n">
        <v>46133</v>
      </c>
      <c r="F1445" s="18" t="n">
        <v>1300</v>
      </c>
      <c r="G1445" s="18" t="inlineStr">
        <is>
          <t>INGRESO</t>
        </is>
      </c>
      <c r="H1445" s="1" t="inlineStr">
        <is>
          <t>CABLESELEC, C.A.</t>
        </is>
      </c>
      <c r="I1445" s="45" t="n">
        <v>0.8</v>
      </c>
      <c r="J1445" s="77" t="n"/>
      <c r="K1445" s="18" t="n"/>
    </row>
    <row r="1446">
      <c r="B1446" s="56" t="inlineStr">
        <is>
          <t>00020-ELE</t>
        </is>
      </c>
      <c r="C1446" s="18">
        <f>IFERROR(_xlfn.XLOOKUP(ENTRADAS[[#This Row],[CODIGO]],LISTADO[CODIGOS],LISTADO[CATEGORIA]),"NO EXISTE")</f>
        <v/>
      </c>
      <c r="D1446" s="18">
        <f>IFERROR(_xlfn.XLOOKUP(ENTRADAS[[#This Row],[CODIGO]],LISTADO[CODIGOS],LISTADO[PRODUCTOS]),"NO EXISTE")</f>
        <v/>
      </c>
      <c r="E1446" s="19" t="n">
        <v>46133</v>
      </c>
      <c r="F1446" s="18" t="n">
        <v>100</v>
      </c>
      <c r="G1446" s="18" t="inlineStr">
        <is>
          <t>INGRESO</t>
        </is>
      </c>
      <c r="H1446" s="1" t="inlineStr">
        <is>
          <t>CABLESELEC, C.A.</t>
        </is>
      </c>
      <c r="I1446" s="45" t="n">
        <v>0.48</v>
      </c>
      <c r="J1446" s="77" t="n"/>
      <c r="K1446" s="18" t="n"/>
    </row>
    <row r="1447">
      <c r="B1447" s="18" t="inlineStr">
        <is>
          <t>00123-ELE</t>
        </is>
      </c>
      <c r="C1447" s="18">
        <f>IFERROR(_xlfn.XLOOKUP(ENTRADAS[[#This Row],[CODIGO]],LISTADO[CODIGOS],LISTADO[CATEGORIA]),"NO EXISTE")</f>
        <v/>
      </c>
      <c r="D1447" s="18">
        <f>IFERROR(_xlfn.XLOOKUP(ENTRADAS[[#This Row],[CODIGO]],LISTADO[CODIGOS],LISTADO[PRODUCTOS]),"NO EXISTE")</f>
        <v/>
      </c>
      <c r="E1447" s="19" t="n">
        <v>46133</v>
      </c>
      <c r="F1447" s="18" t="n">
        <v>100</v>
      </c>
      <c r="G1447" s="18" t="inlineStr">
        <is>
          <t>INGRESO</t>
        </is>
      </c>
      <c r="H1447" s="1" t="inlineStr">
        <is>
          <t>CABLESELEC, C.A.</t>
        </is>
      </c>
      <c r="I1447" s="45" t="n">
        <v>0.48</v>
      </c>
      <c r="J1447" s="77" t="n"/>
      <c r="K1447" s="18" t="n"/>
    </row>
    <row r="1448">
      <c r="B1448" s="56" t="inlineStr">
        <is>
          <t>00090-FER</t>
        </is>
      </c>
      <c r="C1448" s="18">
        <f>IFERROR(_xlfn.XLOOKUP(ENTRADAS[[#This Row],[CODIGO]],LISTADO[CODIGOS],LISTADO[CATEGORIA]),"NO EXISTE")</f>
        <v/>
      </c>
      <c r="D1448" s="18">
        <f>IFERROR(_xlfn.XLOOKUP(ENTRADAS[[#This Row],[CODIGO]],LISTADO[CODIGOS],LISTADO[PRODUCTOS]),"NO EXISTE")</f>
        <v/>
      </c>
      <c r="E1448" s="19" t="n">
        <v>46134</v>
      </c>
      <c r="F1448" s="18" t="n">
        <v>80</v>
      </c>
      <c r="G1448" s="18" t="inlineStr">
        <is>
          <t>INGRESO</t>
        </is>
      </c>
      <c r="H1448" s="18" t="n"/>
      <c r="I1448" s="45" t="n"/>
      <c r="J1448" s="77" t="n"/>
      <c r="K1448" s="18" t="n"/>
    </row>
    <row r="1449">
      <c r="B1449" s="18" t="inlineStr">
        <is>
          <t>00141-FER</t>
        </is>
      </c>
      <c r="C1449" s="18">
        <f>IFERROR(_xlfn.XLOOKUP(ENTRADAS[[#This Row],[CODIGO]],LISTADO[CODIGOS],LISTADO[CATEGORIA]),"NO EXISTE")</f>
        <v/>
      </c>
      <c r="D1449" s="18">
        <f>IFERROR(_xlfn.XLOOKUP(ENTRADAS[[#This Row],[CODIGO]],LISTADO[CODIGOS],LISTADO[PRODUCTOS]),"NO EXISTE")</f>
        <v/>
      </c>
      <c r="E1449" s="19" t="n">
        <v>46134</v>
      </c>
      <c r="F1449" s="18" t="n">
        <v>200</v>
      </c>
      <c r="G1449" s="18" t="inlineStr">
        <is>
          <t>INGRESO</t>
        </is>
      </c>
      <c r="H1449" s="18" t="n"/>
      <c r="I1449" s="45" t="n"/>
      <c r="J1449" s="77" t="n"/>
      <c r="K1449" s="18" t="n"/>
    </row>
    <row r="1450">
      <c r="B1450" s="56" t="inlineStr">
        <is>
          <t>00143-FER</t>
        </is>
      </c>
      <c r="C1450" s="18">
        <f>IFERROR(_xlfn.XLOOKUP(ENTRADAS[[#This Row],[CODIGO]],LISTADO[CODIGOS],LISTADO[CATEGORIA]),"NO EXISTE")</f>
        <v/>
      </c>
      <c r="D1450" s="18">
        <f>IFERROR(_xlfn.XLOOKUP(ENTRADAS[[#This Row],[CODIGO]],LISTADO[CODIGOS],LISTADO[PRODUCTOS]),"NO EXISTE")</f>
        <v/>
      </c>
      <c r="E1450" s="19" t="n">
        <v>46134</v>
      </c>
      <c r="F1450" s="18" t="n">
        <v>200</v>
      </c>
      <c r="G1450" s="18" t="inlineStr">
        <is>
          <t>INGRESO</t>
        </is>
      </c>
      <c r="H1450" s="18" t="n"/>
      <c r="I1450" s="45" t="n"/>
      <c r="J1450" s="77" t="n"/>
      <c r="K1450" s="18" t="n"/>
    </row>
    <row r="1451">
      <c r="B1451" s="56" t="inlineStr">
        <is>
          <t>00088-FER</t>
        </is>
      </c>
      <c r="C1451" s="18">
        <f>IFERROR(_xlfn.XLOOKUP(ENTRADAS[[#This Row],[CODIGO]],LISTADO[CODIGOS],LISTADO[CATEGORIA]),"NO EXISTE")</f>
        <v/>
      </c>
      <c r="D1451" s="18">
        <f>IFERROR(_xlfn.XLOOKUP(ENTRADAS[[#This Row],[CODIGO]],LISTADO[CODIGOS],LISTADO[PRODUCTOS]),"NO EXISTE")</f>
        <v/>
      </c>
      <c r="E1451" s="19" t="n">
        <v>46134</v>
      </c>
      <c r="F1451" s="18" t="n">
        <v>20</v>
      </c>
      <c r="G1451" s="18" t="inlineStr">
        <is>
          <t>INGRESO</t>
        </is>
      </c>
      <c r="H1451" s="18" t="n"/>
      <c r="I1451" s="45" t="n"/>
      <c r="J1451" s="77" t="n"/>
      <c r="K1451" s="18" t="n"/>
    </row>
    <row r="1452">
      <c r="B1452" s="56" t="inlineStr">
        <is>
          <t>00094-FER</t>
        </is>
      </c>
      <c r="C1452" s="18">
        <f>IFERROR(_xlfn.XLOOKUP(ENTRADAS[[#This Row],[CODIGO]],LISTADO[CODIGOS],LISTADO[CATEGORIA]),"NO EXISTE")</f>
        <v/>
      </c>
      <c r="D1452" s="18">
        <f>IFERROR(_xlfn.XLOOKUP(ENTRADAS[[#This Row],[CODIGO]],LISTADO[CODIGOS],LISTADO[PRODUCTOS]),"NO EXISTE")</f>
        <v/>
      </c>
      <c r="E1452" s="19" t="n">
        <v>46134</v>
      </c>
      <c r="F1452" s="18" t="n">
        <v>30</v>
      </c>
      <c r="G1452" s="18" t="inlineStr">
        <is>
          <t>INGRESO</t>
        </is>
      </c>
      <c r="H1452" s="18" t="n"/>
      <c r="I1452" s="45" t="n"/>
      <c r="J1452" s="77" t="n"/>
      <c r="K1452" s="18" t="n"/>
    </row>
    <row r="1453">
      <c r="B1453" s="18" t="inlineStr">
        <is>
          <t>00210-FER</t>
        </is>
      </c>
      <c r="C1453" s="18">
        <f>IFERROR(_xlfn.XLOOKUP(ENTRADAS[[#This Row],[CODIGO]],LISTADO[CODIGOS],LISTADO[CATEGORIA]),"NO EXISTE")</f>
        <v/>
      </c>
      <c r="D1453" s="18">
        <f>IFERROR(_xlfn.XLOOKUP(ENTRADAS[[#This Row],[CODIGO]],LISTADO[CODIGOS],LISTADO[PRODUCTOS]),"NO EXISTE")</f>
        <v/>
      </c>
      <c r="E1453" s="19" t="n">
        <v>46134</v>
      </c>
      <c r="F1453" s="18" t="n">
        <v>10</v>
      </c>
      <c r="G1453" s="18" t="inlineStr">
        <is>
          <t>INGRESO</t>
        </is>
      </c>
      <c r="H1453" s="18" t="n"/>
      <c r="I1453" s="45" t="n"/>
      <c r="J1453" s="77" t="n"/>
      <c r="K1453" s="18" t="n"/>
    </row>
    <row r="1454">
      <c r="B1454" s="56" t="inlineStr">
        <is>
          <t>00010-FER</t>
        </is>
      </c>
      <c r="C1454" s="18">
        <f>IFERROR(_xlfn.XLOOKUP(ENTRADAS[[#This Row],[CODIGO]],LISTADO[CODIGOS],LISTADO[CATEGORIA]),"NO EXISTE")</f>
        <v/>
      </c>
      <c r="D1454" s="18">
        <f>IFERROR(_xlfn.XLOOKUP(ENTRADAS[[#This Row],[CODIGO]],LISTADO[CODIGOS],LISTADO[PRODUCTOS]),"NO EXISTE")</f>
        <v/>
      </c>
      <c r="E1454" s="19" t="n">
        <v>46134</v>
      </c>
      <c r="F1454" s="18" t="n">
        <v>16</v>
      </c>
      <c r="G1454" s="18" t="inlineStr">
        <is>
          <t>INGRESO</t>
        </is>
      </c>
      <c r="H1454" s="18" t="n"/>
      <c r="I1454" s="45" t="n"/>
      <c r="J1454" s="77" t="n"/>
      <c r="K1454" s="18" t="n"/>
    </row>
    <row r="1455">
      <c r="B1455" s="18" t="inlineStr">
        <is>
          <t>00009-FER</t>
        </is>
      </c>
      <c r="C1455" s="18">
        <f>IFERROR(_xlfn.XLOOKUP(ENTRADAS[[#This Row],[CODIGO]],LISTADO[CODIGOS],LISTADO[CATEGORIA]),"NO EXISTE")</f>
        <v/>
      </c>
      <c r="D1455" s="18">
        <f>IFERROR(_xlfn.XLOOKUP(ENTRADAS[[#This Row],[CODIGO]],LISTADO[CODIGOS],LISTADO[PRODUCTOS]),"NO EXISTE")</f>
        <v/>
      </c>
      <c r="E1455" s="19" t="n">
        <v>46134</v>
      </c>
      <c r="F1455" s="18" t="n">
        <v>16</v>
      </c>
      <c r="G1455" s="18" t="inlineStr">
        <is>
          <t>INGRESO</t>
        </is>
      </c>
      <c r="H1455" s="18" t="n"/>
      <c r="I1455" s="45" t="n"/>
      <c r="J1455" s="77" t="n"/>
      <c r="K1455" s="18" t="n"/>
    </row>
    <row r="1456">
      <c r="B1456" s="56" t="inlineStr">
        <is>
          <t>00013-FER</t>
        </is>
      </c>
      <c r="C1456" s="18">
        <f>IFERROR(_xlfn.XLOOKUP(ENTRADAS[[#This Row],[CODIGO]],LISTADO[CODIGOS],LISTADO[CATEGORIA]),"NO EXISTE")</f>
        <v/>
      </c>
      <c r="D1456" s="18">
        <f>IFERROR(_xlfn.XLOOKUP(ENTRADAS[[#This Row],[CODIGO]],LISTADO[CODIGOS],LISTADO[PRODUCTOS]),"NO EXISTE")</f>
        <v/>
      </c>
      <c r="E1456" s="19" t="n">
        <v>46134</v>
      </c>
      <c r="F1456" s="18" t="n">
        <v>26</v>
      </c>
      <c r="G1456" s="18" t="inlineStr">
        <is>
          <t>INGRESO</t>
        </is>
      </c>
      <c r="H1456" s="18" t="n"/>
      <c r="I1456" s="45" t="n"/>
      <c r="J1456" s="77" t="n"/>
      <c r="K1456" s="18" t="n"/>
    </row>
    <row r="1457">
      <c r="B1457" s="18" t="inlineStr">
        <is>
          <t>00122-HER</t>
        </is>
      </c>
      <c r="C1457" s="18">
        <f>IFERROR(_xlfn.XLOOKUP(ENTRADAS[[#This Row],[CODIGO]],LISTADO[CODIGOS],LISTADO[CATEGORIA]),"NO EXISTE")</f>
        <v/>
      </c>
      <c r="D1457" s="18">
        <f>IFERROR(_xlfn.XLOOKUP(ENTRADAS[[#This Row],[CODIGO]],LISTADO[CODIGOS],LISTADO[PRODUCTOS]),"NO EXISTE")</f>
        <v/>
      </c>
      <c r="E1457" s="19" t="n">
        <v>46134</v>
      </c>
      <c r="F1457" s="18" t="n">
        <v>1</v>
      </c>
      <c r="G1457" s="18" t="inlineStr">
        <is>
          <t>INGRESO</t>
        </is>
      </c>
      <c r="H1457" s="18" t="inlineStr">
        <is>
          <t>TOTAL TOOLS CA</t>
        </is>
      </c>
      <c r="I1457" s="45" t="n"/>
      <c r="J1457" s="77" t="n">
        <v>57931.2</v>
      </c>
      <c r="K1457" s="18" t="n"/>
    </row>
    <row r="1458">
      <c r="B1458" s="18" t="inlineStr">
        <is>
          <t>00123-HER</t>
        </is>
      </c>
      <c r="C1458" s="18">
        <f>IFERROR(_xlfn.XLOOKUP(ENTRADAS[[#This Row],[CODIGO]],LISTADO[CODIGOS],LISTADO[CATEGORIA]),"NO EXISTE")</f>
        <v/>
      </c>
      <c r="D1458" s="18">
        <f>IFERROR(_xlfn.XLOOKUP(ENTRADAS[[#This Row],[CODIGO]],LISTADO[CODIGOS],LISTADO[PRODUCTOS]),"NO EXISTE")</f>
        <v/>
      </c>
      <c r="E1458" s="19" t="n">
        <v>46134</v>
      </c>
      <c r="F1458" s="18" t="n">
        <v>1</v>
      </c>
      <c r="G1458" s="18" t="inlineStr">
        <is>
          <t>INGRESO</t>
        </is>
      </c>
      <c r="H1458" s="18" t="inlineStr">
        <is>
          <t>TOTAL TOOLS CA</t>
        </is>
      </c>
      <c r="I1458" s="45" t="n"/>
      <c r="J1458" s="77" t="n">
        <v>36207</v>
      </c>
      <c r="K1458" s="18" t="n"/>
    </row>
    <row r="1459">
      <c r="B1459" s="18" t="inlineStr">
        <is>
          <t>00124-HER</t>
        </is>
      </c>
      <c r="C1459" s="18">
        <f>IFERROR(_xlfn.XLOOKUP(ENTRADAS[[#This Row],[CODIGO]],LISTADO[CODIGOS],LISTADO[CATEGORIA]),"NO EXISTE")</f>
        <v/>
      </c>
      <c r="D1459" s="18">
        <f>IFERROR(_xlfn.XLOOKUP(ENTRADAS[[#This Row],[CODIGO]],LISTADO[CODIGOS],LISTADO[PRODUCTOS]),"NO EXISTE")</f>
        <v/>
      </c>
      <c r="E1459" s="19" t="n">
        <v>46134</v>
      </c>
      <c r="F1459" s="18" t="n">
        <v>1</v>
      </c>
      <c r="G1459" s="18" t="inlineStr">
        <is>
          <t>INGRESO</t>
        </is>
      </c>
      <c r="H1459" s="18" t="inlineStr">
        <is>
          <t>TOTAL TOOLS CA</t>
        </is>
      </c>
      <c r="I1459" s="45" t="n"/>
      <c r="J1459" s="77" t="n">
        <v>41034.6</v>
      </c>
      <c r="K1459" s="18" t="n"/>
    </row>
    <row r="1460">
      <c r="B1460" s="18" t="inlineStr">
        <is>
          <t>00125-HER</t>
        </is>
      </c>
      <c r="C1460" s="18">
        <f>IFERROR(_xlfn.XLOOKUP(ENTRADAS[[#This Row],[CODIGO]],LISTADO[CODIGOS],LISTADO[CATEGORIA]),"NO EXISTE")</f>
        <v/>
      </c>
      <c r="D1460" s="18">
        <f>IFERROR(_xlfn.XLOOKUP(ENTRADAS[[#This Row],[CODIGO]],LISTADO[CODIGOS],LISTADO[PRODUCTOS]),"NO EXISTE")</f>
        <v/>
      </c>
      <c r="E1460" s="19" t="n">
        <v>46134</v>
      </c>
      <c r="F1460" s="18" t="n">
        <v>3</v>
      </c>
      <c r="G1460" s="18" t="inlineStr">
        <is>
          <t>INGRESO</t>
        </is>
      </c>
      <c r="H1460" s="18" t="inlineStr">
        <is>
          <t>TOTAL TOOLS CA</t>
        </is>
      </c>
      <c r="I1460" s="45" t="n"/>
      <c r="J1460" s="77" t="n">
        <v>16896.6</v>
      </c>
      <c r="K1460" s="18" t="n"/>
    </row>
    <row r="1461">
      <c r="B1461" s="18" t="inlineStr">
        <is>
          <t>00126-HER</t>
        </is>
      </c>
      <c r="C1461" s="18">
        <f>IFERROR(_xlfn.XLOOKUP(ENTRADAS[[#This Row],[CODIGO]],LISTADO[CODIGOS],LISTADO[CATEGORIA]),"NO EXISTE")</f>
        <v/>
      </c>
      <c r="D1461" s="18">
        <f>IFERROR(_xlfn.XLOOKUP(ENTRADAS[[#This Row],[CODIGO]],LISTADO[CODIGOS],LISTADO[PRODUCTOS]),"NO EXISTE")</f>
        <v/>
      </c>
      <c r="E1461" s="19" t="n">
        <v>46134</v>
      </c>
      <c r="F1461" s="18" t="n">
        <v>1</v>
      </c>
      <c r="G1461" s="18" t="inlineStr">
        <is>
          <t>INGRESO</t>
        </is>
      </c>
      <c r="H1461" s="18" t="inlineStr">
        <is>
          <t>TOTAL TOOLS CA</t>
        </is>
      </c>
      <c r="I1461" s="45" t="n"/>
      <c r="J1461" s="77" t="n">
        <v>14482.8</v>
      </c>
      <c r="K1461" s="18" t="n"/>
    </row>
    <row r="1462">
      <c r="B1462" s="18" t="inlineStr">
        <is>
          <t>00127-HER</t>
        </is>
      </c>
      <c r="C1462" s="18">
        <f>IFERROR(_xlfn.XLOOKUP(ENTRADAS[[#This Row],[CODIGO]],LISTADO[CODIGOS],LISTADO[CATEGORIA]),"NO EXISTE")</f>
        <v/>
      </c>
      <c r="D1462" s="18">
        <f>IFERROR(_xlfn.XLOOKUP(ENTRADAS[[#This Row],[CODIGO]],LISTADO[CODIGOS],LISTADO[PRODUCTOS]),"NO EXISTE")</f>
        <v/>
      </c>
      <c r="E1462" s="19" t="n">
        <v>46134</v>
      </c>
      <c r="F1462" s="18" t="n">
        <v>3</v>
      </c>
      <c r="G1462" s="18" t="inlineStr">
        <is>
          <t>INGRESO</t>
        </is>
      </c>
      <c r="H1462" s="18" t="inlineStr">
        <is>
          <t>TOTAL TOOLS CA</t>
        </is>
      </c>
      <c r="I1462" s="45" t="n"/>
      <c r="J1462" s="77" t="n">
        <v>4344.84</v>
      </c>
      <c r="K1462" s="18" t="n"/>
    </row>
    <row r="1463">
      <c r="B1463" s="18" t="inlineStr">
        <is>
          <t>00128-HER</t>
        </is>
      </c>
      <c r="C1463" s="18">
        <f>IFERROR(_xlfn.XLOOKUP(ENTRADAS[[#This Row],[CODIGO]],LISTADO[CODIGOS],LISTADO[CATEGORIA]),"NO EXISTE")</f>
        <v/>
      </c>
      <c r="D1463" s="18">
        <f>IFERROR(_xlfn.XLOOKUP(ENTRADAS[[#This Row],[CODIGO]],LISTADO[CODIGOS],LISTADO[PRODUCTOS]),"NO EXISTE")</f>
        <v/>
      </c>
      <c r="E1463" s="19" t="n">
        <v>46134</v>
      </c>
      <c r="F1463" s="18" t="n">
        <v>1</v>
      </c>
      <c r="G1463" s="18" t="inlineStr">
        <is>
          <t>INGRESO</t>
        </is>
      </c>
      <c r="H1463" s="18" t="inlineStr">
        <is>
          <t>TOTAL TOOLS CA</t>
        </is>
      </c>
      <c r="I1463" s="45" t="n"/>
      <c r="J1463" s="77" t="n">
        <v>724.14</v>
      </c>
      <c r="K1463" s="18" t="n"/>
    </row>
    <row r="1464">
      <c r="B1464" s="18" t="inlineStr">
        <is>
          <t>00129-HER</t>
        </is>
      </c>
      <c r="C1464" s="18">
        <f>IFERROR(_xlfn.XLOOKUP(ENTRADAS[[#This Row],[CODIGO]],LISTADO[CODIGOS],LISTADO[CATEGORIA]),"NO EXISTE")</f>
        <v/>
      </c>
      <c r="D1464" s="18">
        <f>IFERROR(_xlfn.XLOOKUP(ENTRADAS[[#This Row],[CODIGO]],LISTADO[CODIGOS],LISTADO[PRODUCTOS]),"NO EXISTE")</f>
        <v/>
      </c>
      <c r="E1464" s="19" t="n">
        <v>46134</v>
      </c>
      <c r="F1464" s="18" t="n">
        <v>1</v>
      </c>
      <c r="G1464" s="18" t="inlineStr">
        <is>
          <t>INGRESO</t>
        </is>
      </c>
      <c r="H1464" s="18" t="inlineStr">
        <is>
          <t>TOTAL TOOLS CA</t>
        </is>
      </c>
      <c r="I1464" s="45" t="n"/>
      <c r="J1464" s="77" t="n">
        <v>3862.08</v>
      </c>
      <c r="K1464" s="18" t="n"/>
    </row>
    <row r="1465">
      <c r="B1465" s="56" t="inlineStr">
        <is>
          <t>00093-ELE</t>
        </is>
      </c>
      <c r="C1465" s="18">
        <f>IFERROR(_xlfn.XLOOKUP(ENTRADAS[[#This Row],[CODIGO]],LISTADO[CODIGOS],LISTADO[CATEGORIA]),"NO EXISTE")</f>
        <v/>
      </c>
      <c r="D1465" s="18">
        <f>IFERROR(_xlfn.XLOOKUP(ENTRADAS[[#This Row],[CODIGO]],LISTADO[CODIGOS],LISTADO[PRODUCTOS]),"NO EXISTE")</f>
        <v/>
      </c>
      <c r="E1465" s="19" t="n">
        <v>46135</v>
      </c>
      <c r="F1465" s="18" t="n">
        <v>10</v>
      </c>
      <c r="G1465" s="18" t="inlineStr">
        <is>
          <t>INGRESO</t>
        </is>
      </c>
      <c r="H1465" s="18" t="n"/>
      <c r="I1465" s="45" t="n"/>
      <c r="J1465" s="77" t="n"/>
      <c r="K1465" s="18" t="n"/>
    </row>
    <row r="1466">
      <c r="B1466" s="56" t="inlineStr">
        <is>
          <t>00094-ELE</t>
        </is>
      </c>
      <c r="C1466" s="18">
        <f>IFERROR(_xlfn.XLOOKUP(ENTRADAS[[#This Row],[CODIGO]],LISTADO[CODIGOS],LISTADO[CATEGORIA]),"NO EXISTE")</f>
        <v/>
      </c>
      <c r="D1466" s="18">
        <f>IFERROR(_xlfn.XLOOKUP(ENTRADAS[[#This Row],[CODIGO]],LISTADO[CODIGOS],LISTADO[PRODUCTOS]),"NO EXISTE")</f>
        <v/>
      </c>
      <c r="E1466" s="19" t="n">
        <v>46135</v>
      </c>
      <c r="F1466" s="18" t="n">
        <v>5</v>
      </c>
      <c r="G1466" s="18" t="inlineStr">
        <is>
          <t>INGRESO</t>
        </is>
      </c>
      <c r="H1466" s="18" t="n"/>
      <c r="I1466" s="45" t="n"/>
      <c r="J1466" s="77" t="n"/>
      <c r="K1466" s="18" t="n"/>
    </row>
    <row r="1467">
      <c r="B1467" s="18" t="inlineStr">
        <is>
          <t>00072-ELE</t>
        </is>
      </c>
      <c r="C1467" s="18">
        <f>IFERROR(_xlfn.XLOOKUP(ENTRADAS[[#This Row],[CODIGO]],LISTADO[CODIGOS],LISTADO[CATEGORIA]),"NO EXISTE")</f>
        <v/>
      </c>
      <c r="D1467" s="18">
        <f>IFERROR(_xlfn.XLOOKUP(ENTRADAS[[#This Row],[CODIGO]],LISTADO[CODIGOS],LISTADO[PRODUCTOS]),"NO EXISTE")</f>
        <v/>
      </c>
      <c r="E1467" s="19" t="n">
        <v>46135</v>
      </c>
      <c r="F1467" s="18" t="n">
        <v>12</v>
      </c>
      <c r="G1467" s="18" t="inlineStr">
        <is>
          <t>INGRESO</t>
        </is>
      </c>
      <c r="H1467" s="18" t="n"/>
      <c r="I1467" s="45" t="n"/>
      <c r="J1467" s="77" t="n"/>
      <c r="K1467" s="18" t="n"/>
    </row>
    <row r="1468">
      <c r="B1468" s="18" t="inlineStr">
        <is>
          <t>00095-ELE</t>
        </is>
      </c>
      <c r="C1468" s="18">
        <f>IFERROR(_xlfn.XLOOKUP(ENTRADAS[[#This Row],[CODIGO]],LISTADO[CODIGOS],LISTADO[CATEGORIA]),"NO EXISTE")</f>
        <v/>
      </c>
      <c r="D1468" s="18">
        <f>IFERROR(_xlfn.XLOOKUP(ENTRADAS[[#This Row],[CODIGO]],LISTADO[CODIGOS],LISTADO[PRODUCTOS]),"NO EXISTE")</f>
        <v/>
      </c>
      <c r="E1468" s="19" t="n">
        <v>46135</v>
      </c>
      <c r="F1468" s="18" t="n">
        <v>30</v>
      </c>
      <c r="G1468" s="18" t="inlineStr">
        <is>
          <t>INGRESO</t>
        </is>
      </c>
      <c r="H1468" s="18" t="n"/>
      <c r="I1468" s="45" t="n"/>
      <c r="J1468" s="77" t="n"/>
      <c r="K1468" s="18" t="n"/>
    </row>
    <row r="1469">
      <c r="B1469" s="18" t="inlineStr">
        <is>
          <t>00096-ELE</t>
        </is>
      </c>
      <c r="C1469" s="18">
        <f>IFERROR(_xlfn.XLOOKUP(ENTRADAS[[#This Row],[CODIGO]],LISTADO[CODIGOS],LISTADO[CATEGORIA]),"NO EXISTE")</f>
        <v/>
      </c>
      <c r="D1469" s="18">
        <f>IFERROR(_xlfn.XLOOKUP(ENTRADAS[[#This Row],[CODIGO]],LISTADO[CODIGOS],LISTADO[PRODUCTOS]),"NO EXISTE")</f>
        <v/>
      </c>
      <c r="E1469" s="19" t="n">
        <v>46135</v>
      </c>
      <c r="F1469" s="18" t="n">
        <v>40</v>
      </c>
      <c r="G1469" s="18" t="inlineStr">
        <is>
          <t>INGRESO</t>
        </is>
      </c>
      <c r="H1469" s="18" t="n"/>
      <c r="I1469" s="45" t="n"/>
      <c r="J1469" s="77" t="n"/>
      <c r="K1469" s="18" t="n"/>
    </row>
    <row r="1470">
      <c r="B1470" s="18" t="inlineStr">
        <is>
          <t>00097-ELE</t>
        </is>
      </c>
      <c r="C1470" s="18">
        <f>IFERROR(_xlfn.XLOOKUP(ENTRADAS[[#This Row],[CODIGO]],LISTADO[CODIGOS],LISTADO[CATEGORIA]),"NO EXISTE")</f>
        <v/>
      </c>
      <c r="D1470" s="18">
        <f>IFERROR(_xlfn.XLOOKUP(ENTRADAS[[#This Row],[CODIGO]],LISTADO[CODIGOS],LISTADO[PRODUCTOS]),"NO EXISTE")</f>
        <v/>
      </c>
      <c r="E1470" s="19" t="n">
        <v>46135</v>
      </c>
      <c r="F1470" s="18" t="n">
        <v>10</v>
      </c>
      <c r="G1470" s="18" t="inlineStr">
        <is>
          <t>INGRESO</t>
        </is>
      </c>
      <c r="H1470" s="18" t="n"/>
      <c r="I1470" s="45" t="n"/>
      <c r="J1470" s="77" t="n"/>
      <c r="K1470" s="18" t="n"/>
    </row>
    <row r="1471">
      <c r="B1471" s="18" t="inlineStr">
        <is>
          <t>00038-ELE</t>
        </is>
      </c>
      <c r="C1471" s="18">
        <f>IFERROR(_xlfn.XLOOKUP(ENTRADAS[[#This Row],[CODIGO]],LISTADO[CODIGOS],LISTADO[CATEGORIA]),"NO EXISTE")</f>
        <v/>
      </c>
      <c r="D1471" s="18">
        <f>IFERROR(_xlfn.XLOOKUP(ENTRADAS[[#This Row],[CODIGO]],LISTADO[CODIGOS],LISTADO[PRODUCTOS]),"NO EXISTE")</f>
        <v/>
      </c>
      <c r="E1471" s="19" t="n">
        <v>46135</v>
      </c>
      <c r="F1471" s="18" t="n">
        <v>1</v>
      </c>
      <c r="G1471" s="18" t="inlineStr">
        <is>
          <t>INGRESO</t>
        </is>
      </c>
      <c r="H1471" s="18" t="n"/>
      <c r="I1471" s="45" t="n"/>
      <c r="J1471" s="77" t="n"/>
      <c r="K1471" s="18" t="n"/>
    </row>
    <row r="1472">
      <c r="B1472" s="18" t="inlineStr">
        <is>
          <t>00039-ELE</t>
        </is>
      </c>
      <c r="C1472" s="18">
        <f>IFERROR(_xlfn.XLOOKUP(ENTRADAS[[#This Row],[CODIGO]],LISTADO[CODIGOS],LISTADO[CATEGORIA]),"NO EXISTE")</f>
        <v/>
      </c>
      <c r="D1472" s="18">
        <f>IFERROR(_xlfn.XLOOKUP(ENTRADAS[[#This Row],[CODIGO]],LISTADO[CODIGOS],LISTADO[PRODUCTOS]),"NO EXISTE")</f>
        <v/>
      </c>
      <c r="E1472" s="19" t="n">
        <v>46135</v>
      </c>
      <c r="F1472" s="18" t="n">
        <v>1</v>
      </c>
      <c r="G1472" s="18" t="inlineStr">
        <is>
          <t>INGRESO</t>
        </is>
      </c>
      <c r="H1472" s="18" t="n"/>
      <c r="I1472" s="45" t="n"/>
      <c r="J1472" s="77" t="n"/>
      <c r="K1472" s="18" t="n"/>
    </row>
    <row r="1473">
      <c r="B1473" s="18" t="inlineStr">
        <is>
          <t>00025-AUT</t>
        </is>
      </c>
      <c r="C1473" s="18">
        <f>IFERROR(_xlfn.XLOOKUP(ENTRADAS[[#This Row],[CODIGO]],LISTADO[CODIGOS],LISTADO[CATEGORIA]),"NO EXISTE")</f>
        <v/>
      </c>
      <c r="D1473" s="18">
        <f>IFERROR(_xlfn.XLOOKUP(ENTRADAS[[#This Row],[CODIGO]],LISTADO[CODIGOS],LISTADO[PRODUCTOS]),"NO EXISTE")</f>
        <v/>
      </c>
      <c r="E1473" s="19" t="n">
        <v>46135</v>
      </c>
      <c r="F1473" s="18" t="n">
        <v>1</v>
      </c>
      <c r="G1473" s="18" t="inlineStr">
        <is>
          <t>INGRESO</t>
        </is>
      </c>
      <c r="H1473" s="18" t="n"/>
      <c r="I1473" s="45" t="n"/>
      <c r="J1473" s="77" t="n"/>
      <c r="K1473" s="18" t="n"/>
    </row>
    <row r="1474">
      <c r="B1474" s="56" t="inlineStr">
        <is>
          <t>00213-FER</t>
        </is>
      </c>
      <c r="C1474" s="18">
        <f>IFERROR(_xlfn.XLOOKUP(ENTRADAS[[#This Row],[CODIGO]],LISTADO[CODIGOS],LISTADO[CATEGORIA]),"NO EXISTE")</f>
        <v/>
      </c>
      <c r="D1474" s="18">
        <f>IFERROR(_xlfn.XLOOKUP(ENTRADAS[[#This Row],[CODIGO]],LISTADO[CODIGOS],LISTADO[PRODUCTOS]),"NO EXISTE")</f>
        <v/>
      </c>
      <c r="E1474" s="19" t="n">
        <v>46135</v>
      </c>
      <c r="F1474" s="18" t="inlineStr">
        <is>
          <t>18.87</t>
        </is>
      </c>
      <c r="G1474" s="18" t="inlineStr">
        <is>
          <t>INGRESO</t>
        </is>
      </c>
      <c r="H1474" s="18" t="inlineStr">
        <is>
          <t>CENTER MARK</t>
        </is>
      </c>
      <c r="I1474" s="45" t="n"/>
      <c r="J1474" s="77" t="n">
        <v>3866.75</v>
      </c>
      <c r="K1474" s="18" t="n"/>
    </row>
    <row r="1475">
      <c r="B1475" s="18" t="inlineStr">
        <is>
          <t>00099-ELE</t>
        </is>
      </c>
      <c r="C1475" s="18">
        <f>IFERROR(_xlfn.XLOOKUP(ENTRADAS[[#This Row],[CODIGO]],LISTADO[CODIGOS],LISTADO[CATEGORIA]),"NO EXISTE")</f>
        <v/>
      </c>
      <c r="D1475" s="18">
        <f>IFERROR(_xlfn.XLOOKUP(ENTRADAS[[#This Row],[CODIGO]],LISTADO[CODIGOS],LISTADO[PRODUCTOS]),"NO EXISTE")</f>
        <v/>
      </c>
      <c r="E1475" s="19" t="n">
        <v>46135</v>
      </c>
      <c r="F1475" s="18" t="n">
        <v>7</v>
      </c>
      <c r="G1475" s="18" t="inlineStr">
        <is>
          <t>INGRESO</t>
        </is>
      </c>
      <c r="H1475" s="18" t="inlineStr">
        <is>
          <t>CENTER MARK</t>
        </is>
      </c>
      <c r="I1475" s="45" t="n"/>
      <c r="J1475" s="77" t="n">
        <v>10633.47</v>
      </c>
      <c r="K1475" s="18" t="n"/>
    </row>
    <row r="1476">
      <c r="B1476" s="18" t="inlineStr">
        <is>
          <t>00216-FER</t>
        </is>
      </c>
      <c r="C1476" s="18">
        <f>IFERROR(_xlfn.XLOOKUP(ENTRADAS[[#This Row],[CODIGO]],LISTADO[CODIGOS],LISTADO[CATEGORIA]),"NO EXISTE")</f>
        <v/>
      </c>
      <c r="D1476" s="18">
        <f>IFERROR(_xlfn.XLOOKUP(ENTRADAS[[#This Row],[CODIGO]],LISTADO[CODIGOS],LISTADO[PRODUCTOS]),"NO EXISTE")</f>
        <v/>
      </c>
      <c r="E1476" s="19" t="n">
        <v>46135</v>
      </c>
      <c r="F1476" s="18" t="n">
        <v>400</v>
      </c>
      <c r="G1476" s="18" t="inlineStr">
        <is>
          <t>INGRESO</t>
        </is>
      </c>
      <c r="H1476" s="18" t="inlineStr">
        <is>
          <t>FILOTORCA</t>
        </is>
      </c>
      <c r="I1476" s="45" t="n">
        <v>0.05</v>
      </c>
      <c r="J1476" s="77" t="n"/>
      <c r="K1476" s="18" t="n"/>
    </row>
    <row r="1477">
      <c r="B1477" s="56" t="inlineStr">
        <is>
          <t>00080-ELC</t>
        </is>
      </c>
      <c r="C1477" s="18">
        <f>IFERROR(_xlfn.XLOOKUP(ENTRADAS[[#This Row],[CODIGO]],LISTADO[CODIGOS],LISTADO[CATEGORIA]),"NO EXISTE")</f>
        <v/>
      </c>
      <c r="D1477" s="18">
        <f>IFERROR(_xlfn.XLOOKUP(ENTRADAS[[#This Row],[CODIGO]],LISTADO[CODIGOS],LISTADO[PRODUCTOS]),"NO EXISTE")</f>
        <v/>
      </c>
      <c r="E1477" s="19" t="n">
        <v>46135</v>
      </c>
      <c r="F1477" s="18" t="n">
        <v>5</v>
      </c>
      <c r="G1477" s="18" t="inlineStr">
        <is>
          <t>INGRESO</t>
        </is>
      </c>
      <c r="H1477" s="18" t="inlineStr">
        <is>
          <t>REFRIPARTS DE VENEZUELA</t>
        </is>
      </c>
      <c r="I1477" s="45" t="n"/>
      <c r="J1477" s="77" t="n">
        <v>1500</v>
      </c>
      <c r="K1477" s="18" t="n"/>
    </row>
    <row r="1478">
      <c r="B1478" s="18" t="inlineStr">
        <is>
          <t>00081-ELC</t>
        </is>
      </c>
      <c r="C1478" s="18">
        <f>IFERROR(_xlfn.XLOOKUP(ENTRADAS[[#This Row],[CODIGO]],LISTADO[CODIGOS],LISTADO[CATEGORIA]),"NO EXISTE")</f>
        <v/>
      </c>
      <c r="D1478" s="18">
        <f>IFERROR(_xlfn.XLOOKUP(ENTRADAS[[#This Row],[CODIGO]],LISTADO[CODIGOS],LISTADO[PRODUCTOS]),"NO EXISTE")</f>
        <v/>
      </c>
      <c r="E1478" s="19" t="n">
        <v>46135</v>
      </c>
      <c r="F1478" s="18" t="n">
        <v>2</v>
      </c>
      <c r="G1478" s="18" t="inlineStr">
        <is>
          <t>INGRESO</t>
        </is>
      </c>
      <c r="H1478" s="18" t="inlineStr">
        <is>
          <t>REFRIPARTS DE VENEZUELA</t>
        </is>
      </c>
      <c r="I1478" s="45" t="n"/>
      <c r="J1478" s="77" t="n">
        <v>3000</v>
      </c>
      <c r="K1478" s="18" t="n"/>
    </row>
    <row r="1479">
      <c r="B1479" s="56" t="inlineStr">
        <is>
          <t>00051-ELE</t>
        </is>
      </c>
      <c r="C1479" s="18">
        <f>IFERROR(_xlfn.XLOOKUP(ENTRADAS[[#This Row],[CODIGO]],LISTADO[CODIGOS],LISTADO[CATEGORIA]),"NO EXISTE")</f>
        <v/>
      </c>
      <c r="D1479" s="18">
        <f>IFERROR(_xlfn.XLOOKUP(ENTRADAS[[#This Row],[CODIGO]],LISTADO[CODIGOS],LISTADO[PRODUCTOS]),"NO EXISTE")</f>
        <v/>
      </c>
      <c r="E1479" s="19" t="n">
        <v>46136</v>
      </c>
      <c r="F1479" s="18" t="n">
        <v>200</v>
      </c>
      <c r="G1479" s="18" t="inlineStr">
        <is>
          <t>INGRESO</t>
        </is>
      </c>
      <c r="H1479" s="18" t="n"/>
      <c r="I1479" s="45" t="n"/>
      <c r="J1479" s="77" t="n"/>
      <c r="K1479" s="18" t="n"/>
    </row>
    <row r="1480">
      <c r="B1480" s="18" t="inlineStr">
        <is>
          <t>00052-ELE</t>
        </is>
      </c>
      <c r="C1480" s="18">
        <f>IFERROR(_xlfn.XLOOKUP(ENTRADAS[[#This Row],[CODIGO]],LISTADO[CODIGOS],LISTADO[CATEGORIA]),"NO EXISTE")</f>
        <v/>
      </c>
      <c r="D1480" s="18">
        <f>IFERROR(_xlfn.XLOOKUP(ENTRADAS[[#This Row],[CODIGO]],LISTADO[CODIGOS],LISTADO[PRODUCTOS]),"NO EXISTE")</f>
        <v/>
      </c>
      <c r="E1480" s="19" t="n">
        <v>46136</v>
      </c>
      <c r="F1480" s="18" t="n">
        <v>200</v>
      </c>
      <c r="G1480" s="18" t="inlineStr">
        <is>
          <t>INGRESO</t>
        </is>
      </c>
      <c r="H1480" s="18" t="n"/>
      <c r="I1480" s="45" t="n"/>
      <c r="J1480" s="77" t="n"/>
      <c r="K1480" s="18" t="n"/>
    </row>
    <row r="1481">
      <c r="B1481" s="56" t="inlineStr">
        <is>
          <t>00098-ELE</t>
        </is>
      </c>
      <c r="C1481" s="18">
        <f>IFERROR(_xlfn.XLOOKUP(ENTRADAS[[#This Row],[CODIGO]],LISTADO[CODIGOS],LISTADO[CATEGORIA]),"NO EXISTE")</f>
        <v/>
      </c>
      <c r="D1481" s="18">
        <f>IFERROR(_xlfn.XLOOKUP(ENTRADAS[[#This Row],[CODIGO]],LISTADO[CODIGOS],LISTADO[PRODUCTOS]),"NO EXISTE")</f>
        <v/>
      </c>
      <c r="E1481" s="19" t="n">
        <v>46136</v>
      </c>
      <c r="F1481" s="18" t="n">
        <v>200</v>
      </c>
      <c r="G1481" s="18" t="inlineStr">
        <is>
          <t>INGRESO</t>
        </is>
      </c>
      <c r="H1481" s="18" t="n"/>
      <c r="I1481" s="45" t="n"/>
      <c r="J1481" s="77" t="n"/>
      <c r="K1481" s="18" t="n"/>
    </row>
    <row r="1482">
      <c r="B1482" s="56" t="inlineStr">
        <is>
          <t>00020-ELE</t>
        </is>
      </c>
      <c r="C1482" s="18">
        <f>IFERROR(_xlfn.XLOOKUP(ENTRADAS[[#This Row],[CODIGO]],LISTADO[CODIGOS],LISTADO[CATEGORIA]),"NO EXISTE")</f>
        <v/>
      </c>
      <c r="D1482" s="18">
        <f>IFERROR(_xlfn.XLOOKUP(ENTRADAS[[#This Row],[CODIGO]],LISTADO[CODIGOS],LISTADO[PRODUCTOS]),"NO EXISTE")</f>
        <v/>
      </c>
      <c r="E1482" s="19" t="n">
        <v>46136</v>
      </c>
      <c r="F1482" s="18" t="n">
        <v>200</v>
      </c>
      <c r="G1482" s="18" t="inlineStr">
        <is>
          <t>INGRESO</t>
        </is>
      </c>
      <c r="H1482" s="18" t="n"/>
      <c r="I1482" s="45" t="n"/>
      <c r="J1482" s="77" t="n"/>
      <c r="K1482" s="18" t="n"/>
    </row>
    <row r="1483">
      <c r="B1483" s="56" t="inlineStr">
        <is>
          <t>00021-ELE</t>
        </is>
      </c>
      <c r="C1483" s="18">
        <f>IFERROR(_xlfn.XLOOKUP(ENTRADAS[[#This Row],[CODIGO]],LISTADO[CODIGOS],LISTADO[CATEGORIA]),"NO EXISTE")</f>
        <v/>
      </c>
      <c r="D1483" s="18">
        <f>IFERROR(_xlfn.XLOOKUP(ENTRADAS[[#This Row],[CODIGO]],LISTADO[CODIGOS],LISTADO[PRODUCTOS]),"NO EXISTE")</f>
        <v/>
      </c>
      <c r="E1483" s="19" t="n">
        <v>46136</v>
      </c>
      <c r="F1483" s="18" t="n">
        <v>200</v>
      </c>
      <c r="G1483" s="18" t="inlineStr">
        <is>
          <t>INGRESO</t>
        </is>
      </c>
      <c r="H1483" s="18" t="n"/>
      <c r="I1483" s="45" t="n"/>
      <c r="J1483" s="77" t="n"/>
      <c r="K1483" s="18" t="n"/>
    </row>
    <row r="1484">
      <c r="B1484" s="18" t="inlineStr">
        <is>
          <t>00086-ELE</t>
        </is>
      </c>
      <c r="C1484" s="18">
        <f>IFERROR(_xlfn.XLOOKUP(ENTRADAS[[#This Row],[CODIGO]],LISTADO[CODIGOS],LISTADO[CATEGORIA]),"NO EXISTE")</f>
        <v/>
      </c>
      <c r="D1484" s="18">
        <f>IFERROR(_xlfn.XLOOKUP(ENTRADAS[[#This Row],[CODIGO]],LISTADO[CODIGOS],LISTADO[PRODUCTOS]),"NO EXISTE")</f>
        <v/>
      </c>
      <c r="E1484" s="19" t="n">
        <v>46136</v>
      </c>
      <c r="F1484" s="18" t="n">
        <v>200</v>
      </c>
      <c r="G1484" s="18" t="inlineStr">
        <is>
          <t>INGRESO</t>
        </is>
      </c>
      <c r="H1484" s="18" t="n"/>
      <c r="I1484" s="45" t="n"/>
      <c r="J1484" s="77" t="n"/>
      <c r="K1484" s="18" t="n"/>
    </row>
    <row r="1485">
      <c r="B1485" s="18" t="inlineStr">
        <is>
          <t>00087-ELE</t>
        </is>
      </c>
      <c r="C1485" s="18">
        <f>IFERROR(_xlfn.XLOOKUP(ENTRADAS[[#This Row],[CODIGO]],LISTADO[CODIGOS],LISTADO[CATEGORIA]),"NO EXISTE")</f>
        <v/>
      </c>
      <c r="D1485" s="18">
        <f>IFERROR(_xlfn.XLOOKUP(ENTRADAS[[#This Row],[CODIGO]],LISTADO[CODIGOS],LISTADO[PRODUCTOS]),"NO EXISTE")</f>
        <v/>
      </c>
      <c r="E1485" s="19" t="n">
        <v>46136</v>
      </c>
      <c r="F1485" s="18" t="n">
        <v>200</v>
      </c>
      <c r="G1485" s="18" t="inlineStr">
        <is>
          <t>INGRESO</t>
        </is>
      </c>
      <c r="H1485" s="18" t="n"/>
      <c r="I1485" s="45" t="n"/>
      <c r="J1485" s="77" t="n"/>
      <c r="K1485" s="18" t="n"/>
    </row>
    <row r="1486">
      <c r="B1486" s="56" t="inlineStr">
        <is>
          <t>00015-ELE</t>
        </is>
      </c>
      <c r="C1486" s="18">
        <f>IFERROR(_xlfn.XLOOKUP(ENTRADAS[[#This Row],[CODIGO]],LISTADO[CODIGOS],LISTADO[CATEGORIA]),"NO EXISTE")</f>
        <v/>
      </c>
      <c r="D1486" s="18">
        <f>IFERROR(_xlfn.XLOOKUP(ENTRADAS[[#This Row],[CODIGO]],LISTADO[CODIGOS],LISTADO[PRODUCTOS]),"NO EXISTE")</f>
        <v/>
      </c>
      <c r="E1486" s="19" t="n">
        <v>46136</v>
      </c>
      <c r="F1486" s="18" t="n">
        <v>100</v>
      </c>
      <c r="G1486" s="18" t="inlineStr">
        <is>
          <t>INGRESO</t>
        </is>
      </c>
      <c r="H1486" s="18" t="n"/>
      <c r="I1486" s="45" t="n"/>
      <c r="J1486" s="77" t="n"/>
      <c r="K1486" s="18" t="n"/>
    </row>
    <row r="1487">
      <c r="B1487" s="56" t="inlineStr">
        <is>
          <t>00016-ELE</t>
        </is>
      </c>
      <c r="C1487" s="18">
        <f>IFERROR(_xlfn.XLOOKUP(ENTRADAS[[#This Row],[CODIGO]],LISTADO[CODIGOS],LISTADO[CATEGORIA]),"NO EXISTE")</f>
        <v/>
      </c>
      <c r="D1487" s="18">
        <f>IFERROR(_xlfn.XLOOKUP(ENTRADAS[[#This Row],[CODIGO]],LISTADO[CODIGOS],LISTADO[PRODUCTOS]),"NO EXISTE")</f>
        <v/>
      </c>
      <c r="E1487" s="19" t="n">
        <v>46136</v>
      </c>
      <c r="F1487" s="18" t="n">
        <v>100</v>
      </c>
      <c r="G1487" s="18" t="inlineStr">
        <is>
          <t>INGRESO</t>
        </is>
      </c>
      <c r="H1487" s="18" t="n"/>
      <c r="I1487" s="45" t="n"/>
      <c r="J1487" s="77" t="n"/>
      <c r="K1487" s="18" t="n"/>
    </row>
    <row r="1488">
      <c r="B1488" s="56" t="inlineStr">
        <is>
          <t>00013-ELE</t>
        </is>
      </c>
      <c r="C1488" s="18">
        <f>IFERROR(_xlfn.XLOOKUP(ENTRADAS[[#This Row],[CODIGO]],LISTADO[CODIGOS],LISTADO[CATEGORIA]),"NO EXISTE")</f>
        <v/>
      </c>
      <c r="D1488" s="18">
        <f>IFERROR(_xlfn.XLOOKUP(ENTRADAS[[#This Row],[CODIGO]],LISTADO[CODIGOS],LISTADO[PRODUCTOS]),"NO EXISTE")</f>
        <v/>
      </c>
      <c r="E1488" s="19" t="n">
        <v>46136</v>
      </c>
      <c r="F1488" s="18" t="n">
        <v>100</v>
      </c>
      <c r="G1488" s="18" t="inlineStr">
        <is>
          <t>INGRESO</t>
        </is>
      </c>
      <c r="H1488" s="18" t="n"/>
      <c r="I1488" s="45" t="n"/>
      <c r="J1488" s="77" t="n"/>
      <c r="K1488" s="18" t="n"/>
    </row>
    <row r="1489">
      <c r="B1489" s="56" t="inlineStr">
        <is>
          <t>00014-ELE</t>
        </is>
      </c>
      <c r="C1489" s="18">
        <f>IFERROR(_xlfn.XLOOKUP(ENTRADAS[[#This Row],[CODIGO]],LISTADO[CODIGOS],LISTADO[CATEGORIA]),"NO EXISTE")</f>
        <v/>
      </c>
      <c r="D1489" s="18">
        <f>IFERROR(_xlfn.XLOOKUP(ENTRADAS[[#This Row],[CODIGO]],LISTADO[CODIGOS],LISTADO[PRODUCTOS]),"NO EXISTE")</f>
        <v/>
      </c>
      <c r="E1489" s="19" t="n">
        <v>46136</v>
      </c>
      <c r="F1489" s="18" t="n">
        <v>200</v>
      </c>
      <c r="G1489" s="18" t="inlineStr">
        <is>
          <t>INGRESO</t>
        </is>
      </c>
      <c r="H1489" s="18" t="n"/>
      <c r="I1489" s="45" t="n"/>
      <c r="J1489" s="77" t="n"/>
      <c r="K1489" s="18" t="n"/>
    </row>
    <row r="1490">
      <c r="B1490" s="18" t="inlineStr">
        <is>
          <t>00066-ELE</t>
        </is>
      </c>
      <c r="C1490" s="18">
        <f>IFERROR(_xlfn.XLOOKUP(ENTRADAS[[#This Row],[CODIGO]],LISTADO[CODIGOS],LISTADO[CATEGORIA]),"NO EXISTE")</f>
        <v/>
      </c>
      <c r="D1490" s="18">
        <f>IFERROR(_xlfn.XLOOKUP(ENTRADAS[[#This Row],[CODIGO]],LISTADO[CODIGOS],LISTADO[PRODUCTOS]),"NO EXISTE")</f>
        <v/>
      </c>
      <c r="E1490" s="19" t="n">
        <v>46136</v>
      </c>
      <c r="F1490" s="18" t="n">
        <v>200</v>
      </c>
      <c r="G1490" s="18" t="inlineStr">
        <is>
          <t>INGRESO</t>
        </is>
      </c>
      <c r="H1490" s="18" t="n"/>
      <c r="I1490" s="45" t="n"/>
      <c r="J1490" s="77" t="n"/>
      <c r="K1490" s="18" t="n"/>
    </row>
    <row r="1491">
      <c r="B1491" s="18" t="inlineStr">
        <is>
          <t>00075-ELE</t>
        </is>
      </c>
      <c r="C1491" s="18">
        <f>IFERROR(_xlfn.XLOOKUP(ENTRADAS[[#This Row],[CODIGO]],LISTADO[CODIGOS],LISTADO[CATEGORIA]),"NO EXISTE")</f>
        <v/>
      </c>
      <c r="D1491" s="18">
        <f>IFERROR(_xlfn.XLOOKUP(ENTRADAS[[#This Row],[CODIGO]],LISTADO[CODIGOS],LISTADO[PRODUCTOS]),"NO EXISTE")</f>
        <v/>
      </c>
      <c r="E1491" s="19" t="n">
        <v>46136</v>
      </c>
      <c r="F1491" s="18" t="n">
        <v>200</v>
      </c>
      <c r="G1491" s="18" t="inlineStr">
        <is>
          <t>INGRESO</t>
        </is>
      </c>
      <c r="H1491" s="18" t="n"/>
      <c r="I1491" s="45" t="n"/>
      <c r="J1491" s="77" t="n"/>
      <c r="K1491" s="18" t="n"/>
    </row>
    <row r="1492">
      <c r="B1492" s="18" t="inlineStr">
        <is>
          <t>00067-ELE</t>
        </is>
      </c>
      <c r="C1492" s="18">
        <f>IFERROR(_xlfn.XLOOKUP(ENTRADAS[[#This Row],[CODIGO]],LISTADO[CODIGOS],LISTADO[CATEGORIA]),"NO EXISTE")</f>
        <v/>
      </c>
      <c r="D1492" s="18">
        <f>IFERROR(_xlfn.XLOOKUP(ENTRADAS[[#This Row],[CODIGO]],LISTADO[CODIGOS],LISTADO[PRODUCTOS]),"NO EXISTE")</f>
        <v/>
      </c>
      <c r="E1492" s="19" t="n">
        <v>46136</v>
      </c>
      <c r="F1492" s="18" t="n">
        <v>200</v>
      </c>
      <c r="G1492" s="18" t="inlineStr">
        <is>
          <t>INGRESO</t>
        </is>
      </c>
      <c r="H1492" s="18" t="n"/>
      <c r="I1492" s="45" t="n"/>
      <c r="J1492" s="77" t="n"/>
      <c r="K1492" s="18" t="n"/>
    </row>
    <row r="1493">
      <c r="B1493" s="56" t="inlineStr">
        <is>
          <t>00053-ELE</t>
        </is>
      </c>
      <c r="C1493" s="18">
        <f>IFERROR(_xlfn.XLOOKUP(ENTRADAS[[#This Row],[CODIGO]],LISTADO[CODIGOS],LISTADO[CATEGORIA]),"NO EXISTE")</f>
        <v/>
      </c>
      <c r="D1493" s="18">
        <f>IFERROR(_xlfn.XLOOKUP(ENTRADAS[[#This Row],[CODIGO]],LISTADO[CODIGOS],LISTADO[PRODUCTOS]),"NO EXISTE")</f>
        <v/>
      </c>
      <c r="E1493" s="19" t="n">
        <v>46136</v>
      </c>
      <c r="F1493" s="18" t="n">
        <v>200</v>
      </c>
      <c r="G1493" s="18" t="inlineStr">
        <is>
          <t>INGRESO</t>
        </is>
      </c>
      <c r="H1493" s="18" t="n"/>
      <c r="I1493" s="45" t="n"/>
      <c r="J1493" s="77" t="n"/>
      <c r="K1493" s="18" t="n"/>
    </row>
    <row r="1494">
      <c r="B1494" s="56" t="inlineStr">
        <is>
          <t>00054-ELE</t>
        </is>
      </c>
      <c r="C1494" s="18">
        <f>IFERROR(_xlfn.XLOOKUP(ENTRADAS[[#This Row],[CODIGO]],LISTADO[CODIGOS],LISTADO[CATEGORIA]),"NO EXISTE")</f>
        <v/>
      </c>
      <c r="D1494" s="18">
        <f>IFERROR(_xlfn.XLOOKUP(ENTRADAS[[#This Row],[CODIGO]],LISTADO[CODIGOS],LISTADO[PRODUCTOS]),"NO EXISTE")</f>
        <v/>
      </c>
      <c r="E1494" s="19" t="n">
        <v>46136</v>
      </c>
      <c r="F1494" s="18" t="n">
        <v>200</v>
      </c>
      <c r="G1494" s="18" t="inlineStr">
        <is>
          <t>INGRESO</t>
        </is>
      </c>
      <c r="H1494" s="18" t="n"/>
      <c r="I1494" s="45" t="n"/>
      <c r="J1494" s="77" t="n"/>
      <c r="K1494" s="18" t="n"/>
    </row>
    <row r="1495">
      <c r="B1495" s="18" t="inlineStr">
        <is>
          <t>00083-ELE</t>
        </is>
      </c>
      <c r="C1495" s="18">
        <f>IFERROR(_xlfn.XLOOKUP(ENTRADAS[[#This Row],[CODIGO]],LISTADO[CODIGOS],LISTADO[CATEGORIA]),"NO EXISTE")</f>
        <v/>
      </c>
      <c r="D1495" s="18">
        <f>IFERROR(_xlfn.XLOOKUP(ENTRADAS[[#This Row],[CODIGO]],LISTADO[CODIGOS],LISTADO[PRODUCTOS]),"NO EXISTE")</f>
        <v/>
      </c>
      <c r="E1495" s="19" t="n">
        <v>46136</v>
      </c>
      <c r="F1495" s="18" t="n">
        <v>200</v>
      </c>
      <c r="G1495" s="18" t="inlineStr">
        <is>
          <t>INGRESO</t>
        </is>
      </c>
      <c r="H1495" s="18" t="n"/>
      <c r="I1495" s="45" t="n"/>
      <c r="J1495" s="77" t="n"/>
      <c r="K1495" s="18" t="n"/>
    </row>
    <row r="1496">
      <c r="B1496" s="18" t="inlineStr">
        <is>
          <t>00084-ELE</t>
        </is>
      </c>
      <c r="C1496" s="18">
        <f>IFERROR(_xlfn.XLOOKUP(ENTRADAS[[#This Row],[CODIGO]],LISTADO[CODIGOS],LISTADO[CATEGORIA]),"NO EXISTE")</f>
        <v/>
      </c>
      <c r="D1496" s="18">
        <f>IFERROR(_xlfn.XLOOKUP(ENTRADAS[[#This Row],[CODIGO]],LISTADO[CODIGOS],LISTADO[PRODUCTOS]),"NO EXISTE")</f>
        <v/>
      </c>
      <c r="E1496" s="19" t="n">
        <v>46136</v>
      </c>
      <c r="F1496" s="18" t="n">
        <v>200</v>
      </c>
      <c r="G1496" s="18" t="inlineStr">
        <is>
          <t>INGRESO</t>
        </is>
      </c>
      <c r="H1496" s="18" t="n"/>
      <c r="I1496" s="45" t="n"/>
      <c r="J1496" s="77" t="n"/>
      <c r="K1496" s="18" t="n"/>
    </row>
    <row r="1497">
      <c r="B1497" s="18" t="inlineStr">
        <is>
          <t>00088-ELE</t>
        </is>
      </c>
      <c r="C1497" s="18">
        <f>IFERROR(_xlfn.XLOOKUP(ENTRADAS[[#This Row],[CODIGO]],LISTADO[CODIGOS],LISTADO[CATEGORIA]),"NO EXISTE")</f>
        <v/>
      </c>
      <c r="D1497" s="18">
        <f>IFERROR(_xlfn.XLOOKUP(ENTRADAS[[#This Row],[CODIGO]],LISTADO[CODIGOS],LISTADO[PRODUCTOS]),"NO EXISTE")</f>
        <v/>
      </c>
      <c r="E1497" s="19" t="n">
        <v>46136</v>
      </c>
      <c r="F1497" s="18" t="n">
        <v>200</v>
      </c>
      <c r="G1497" s="18" t="inlineStr">
        <is>
          <t>INGRESO</t>
        </is>
      </c>
      <c r="H1497" s="18" t="n"/>
      <c r="I1497" s="45" t="n"/>
      <c r="J1497" s="77" t="n"/>
      <c r="K1497" s="18" t="n"/>
    </row>
    <row r="1498">
      <c r="B1498" s="56" t="inlineStr">
        <is>
          <t>00007-REF</t>
        </is>
      </c>
      <c r="C1498" s="18">
        <f>IFERROR(_xlfn.XLOOKUP(ENTRADAS[[#This Row],[CODIGO]],LISTADO[CODIGOS],LISTADO[CATEGORIA]),"NO EXISTE")</f>
        <v/>
      </c>
      <c r="D1498" s="18">
        <f>IFERROR(_xlfn.XLOOKUP(ENTRADAS[[#This Row],[CODIGO]],LISTADO[CODIGOS],LISTADO[PRODUCTOS]),"NO EXISTE")</f>
        <v/>
      </c>
      <c r="E1498" s="19" t="n">
        <v>46136</v>
      </c>
      <c r="F1498" s="18" t="n">
        <v>1</v>
      </c>
      <c r="G1498" s="18" t="inlineStr">
        <is>
          <t>INGRESO</t>
        </is>
      </c>
      <c r="H1498" s="18" t="n"/>
      <c r="I1498" s="45" t="n"/>
      <c r="J1498" s="77" t="n"/>
      <c r="K1498" s="18" t="n"/>
    </row>
    <row r="1499">
      <c r="B1499" s="18" t="inlineStr">
        <is>
          <t>00016-AUT</t>
        </is>
      </c>
      <c r="C1499" s="18">
        <f>IFERROR(_xlfn.XLOOKUP(ENTRADAS[[#This Row],[CODIGO]],LISTADO[CODIGOS],LISTADO[CATEGORIA]),"NO EXISTE")</f>
        <v/>
      </c>
      <c r="D1499" s="18">
        <f>IFERROR(_xlfn.XLOOKUP(ENTRADAS[[#This Row],[CODIGO]],LISTADO[CODIGOS],LISTADO[PRODUCTOS]),"NO EXISTE")</f>
        <v/>
      </c>
      <c r="E1499" s="19" t="n">
        <v>46136</v>
      </c>
      <c r="F1499" s="18" t="n">
        <v>1</v>
      </c>
      <c r="G1499" s="18" t="inlineStr">
        <is>
          <t>INGRESO</t>
        </is>
      </c>
      <c r="H1499" s="18" t="inlineStr">
        <is>
          <t>JD CARS MOTOS</t>
        </is>
      </c>
      <c r="I1499" s="45" t="n">
        <v>17.5</v>
      </c>
      <c r="J1499" s="77" t="n"/>
      <c r="K1499" s="18" t="n"/>
    </row>
    <row r="1500">
      <c r="B1500" s="18" t="inlineStr">
        <is>
          <t>00113-ELE</t>
        </is>
      </c>
      <c r="C1500" s="18">
        <f>IFERROR(_xlfn.XLOOKUP(ENTRADAS[[#This Row],[CODIGO]],LISTADO[CODIGOS],LISTADO[CATEGORIA]),"NO EXISTE")</f>
        <v/>
      </c>
      <c r="D1500" s="18">
        <f>IFERROR(_xlfn.XLOOKUP(ENTRADAS[[#This Row],[CODIGO]],LISTADO[CODIGOS],LISTADO[PRODUCTOS]),"NO EXISTE")</f>
        <v/>
      </c>
      <c r="E1500" s="19" t="n">
        <v>46136</v>
      </c>
      <c r="F1500" s="18" t="n">
        <v>1</v>
      </c>
      <c r="G1500" s="18" t="inlineStr">
        <is>
          <t>INGRESO</t>
        </is>
      </c>
      <c r="H1500" s="18" t="inlineStr">
        <is>
          <t>EMPRENDIMIENTO ANEL ADARME</t>
        </is>
      </c>
      <c r="I1500" s="45" t="n">
        <v>1600</v>
      </c>
      <c r="J1500" s="77" t="n"/>
      <c r="K1500" s="18" t="n"/>
    </row>
    <row r="1501">
      <c r="B1501" s="56" t="inlineStr">
        <is>
          <t>00050-AUT</t>
        </is>
      </c>
      <c r="C1501" s="18">
        <f>IFERROR(_xlfn.XLOOKUP(ENTRADAS[[#This Row],[CODIGO]],LISTADO[CODIGOS],LISTADO[CATEGORIA]),"NO EXISTE")</f>
        <v/>
      </c>
      <c r="D1501" s="18">
        <f>IFERROR(_xlfn.XLOOKUP(ENTRADAS[[#This Row],[CODIGO]],LISTADO[CODIGOS],LISTADO[PRODUCTOS]),"NO EXISTE")</f>
        <v/>
      </c>
      <c r="E1501" s="19" t="n">
        <v>46136</v>
      </c>
      <c r="F1501" s="18" t="n">
        <v>5</v>
      </c>
      <c r="G1501" s="18" t="inlineStr">
        <is>
          <t>INGRESO</t>
        </is>
      </c>
      <c r="H1501" s="1" t="inlineStr">
        <is>
          <t>ELECTRIC VENEZUELA</t>
        </is>
      </c>
      <c r="I1501" s="45" t="n">
        <v>60</v>
      </c>
      <c r="J1501" s="77" t="n"/>
      <c r="K1501" s="18" t="n"/>
    </row>
    <row r="1502">
      <c r="B1502" s="56" t="inlineStr">
        <is>
          <t>00028-FER</t>
        </is>
      </c>
      <c r="C1502" s="18">
        <f>IFERROR(_xlfn.XLOOKUP(ENTRADAS[[#This Row],[CODIGO]],LISTADO[CODIGOS],LISTADO[CATEGORIA]),"NO EXISTE")</f>
        <v/>
      </c>
      <c r="D1502" s="18">
        <f>IFERROR(_xlfn.XLOOKUP(ENTRADAS[[#This Row],[CODIGO]],LISTADO[CODIGOS],LISTADO[PRODUCTOS]),"NO EXISTE")</f>
        <v/>
      </c>
      <c r="E1502" s="19" t="n">
        <v>46137</v>
      </c>
      <c r="F1502" s="18" t="n">
        <v>10</v>
      </c>
      <c r="G1502" s="18" t="inlineStr">
        <is>
          <t>INGRESO</t>
        </is>
      </c>
      <c r="H1502" s="18" t="n"/>
      <c r="I1502" s="45" t="n"/>
      <c r="J1502" s="77" t="n"/>
      <c r="K1502" s="18" t="n"/>
    </row>
    <row r="1503">
      <c r="B1503" s="56" t="inlineStr">
        <is>
          <t>00029-FER</t>
        </is>
      </c>
      <c r="C1503" s="18">
        <f>IFERROR(_xlfn.XLOOKUP(ENTRADAS[[#This Row],[CODIGO]],LISTADO[CODIGOS],LISTADO[CATEGORIA]),"NO EXISTE")</f>
        <v/>
      </c>
      <c r="D1503" s="18">
        <f>IFERROR(_xlfn.XLOOKUP(ENTRADAS[[#This Row],[CODIGO]],LISTADO[CODIGOS],LISTADO[PRODUCTOS]),"NO EXISTE")</f>
        <v/>
      </c>
      <c r="E1503" s="19" t="n">
        <v>46137</v>
      </c>
      <c r="F1503" s="18" t="n">
        <v>4</v>
      </c>
      <c r="G1503" s="18" t="inlineStr">
        <is>
          <t>INGRESO</t>
        </is>
      </c>
      <c r="H1503" s="18" t="n"/>
      <c r="I1503" s="45" t="n"/>
      <c r="J1503" s="77" t="n"/>
      <c r="K1503" s="18" t="n"/>
    </row>
    <row r="1504">
      <c r="B1504" s="56" t="inlineStr">
        <is>
          <t>00030-FER</t>
        </is>
      </c>
      <c r="C1504" s="18">
        <f>IFERROR(_xlfn.XLOOKUP(ENTRADAS[[#This Row],[CODIGO]],LISTADO[CODIGOS],LISTADO[CATEGORIA]),"NO EXISTE")</f>
        <v/>
      </c>
      <c r="D1504" s="18">
        <f>IFERROR(_xlfn.XLOOKUP(ENTRADAS[[#This Row],[CODIGO]],LISTADO[CODIGOS],LISTADO[PRODUCTOS]),"NO EXISTE")</f>
        <v/>
      </c>
      <c r="E1504" s="19" t="n">
        <v>46137</v>
      </c>
      <c r="F1504" s="18" t="n">
        <v>10</v>
      </c>
      <c r="G1504" s="18" t="inlineStr">
        <is>
          <t>INGRESO</t>
        </is>
      </c>
      <c r="H1504" s="18" t="n"/>
      <c r="I1504" s="45" t="n"/>
      <c r="J1504" s="77" t="n"/>
      <c r="K1504" s="18" t="n"/>
    </row>
    <row r="1505">
      <c r="B1505" s="56" t="inlineStr">
        <is>
          <t>00031-FER</t>
        </is>
      </c>
      <c r="C1505" s="18">
        <f>IFERROR(_xlfn.XLOOKUP(ENTRADAS[[#This Row],[CODIGO]],LISTADO[CODIGOS],LISTADO[CATEGORIA]),"NO EXISTE")</f>
        <v/>
      </c>
      <c r="D1505" s="18">
        <f>IFERROR(_xlfn.XLOOKUP(ENTRADAS[[#This Row],[CODIGO]],LISTADO[CODIGOS],LISTADO[PRODUCTOS]),"NO EXISTE")</f>
        <v/>
      </c>
      <c r="E1505" s="19" t="n">
        <v>46137</v>
      </c>
      <c r="F1505" s="18" t="n">
        <v>5</v>
      </c>
      <c r="G1505" s="18" t="inlineStr">
        <is>
          <t>INGRESO</t>
        </is>
      </c>
      <c r="H1505" s="18" t="n"/>
      <c r="I1505" s="45" t="n"/>
      <c r="J1505" s="77" t="n"/>
      <c r="K1505" s="18" t="n"/>
    </row>
    <row r="1506">
      <c r="B1506" s="56" t="inlineStr">
        <is>
          <t>00027-FER</t>
        </is>
      </c>
      <c r="C1506" s="18">
        <f>IFERROR(_xlfn.XLOOKUP(ENTRADAS[[#This Row],[CODIGO]],LISTADO[CODIGOS],LISTADO[CATEGORIA]),"NO EXISTE")</f>
        <v/>
      </c>
      <c r="D1506" s="18">
        <f>IFERROR(_xlfn.XLOOKUP(ENTRADAS[[#This Row],[CODIGO]],LISTADO[CODIGOS],LISTADO[PRODUCTOS]),"NO EXISTE")</f>
        <v/>
      </c>
      <c r="E1506" s="19" t="n">
        <v>46137</v>
      </c>
      <c r="F1506" s="18" t="n">
        <v>5</v>
      </c>
      <c r="G1506" s="18" t="inlineStr">
        <is>
          <t>INGRESO</t>
        </is>
      </c>
      <c r="H1506" s="18" t="n"/>
      <c r="I1506" s="45" t="n"/>
      <c r="J1506" s="77" t="n"/>
      <c r="K1506" s="18" t="n"/>
    </row>
    <row r="1507">
      <c r="B1507" s="56" t="inlineStr">
        <is>
          <t>00046-FER</t>
        </is>
      </c>
      <c r="C1507" s="18">
        <f>IFERROR(_xlfn.XLOOKUP(ENTRADAS[[#This Row],[CODIGO]],LISTADO[CODIGOS],LISTADO[CATEGORIA]),"NO EXISTE")</f>
        <v/>
      </c>
      <c r="D1507" s="18">
        <f>IFERROR(_xlfn.XLOOKUP(ENTRADAS[[#This Row],[CODIGO]],LISTADO[CODIGOS],LISTADO[PRODUCTOS]),"NO EXISTE")</f>
        <v/>
      </c>
      <c r="E1507" s="19" t="n">
        <v>46137</v>
      </c>
      <c r="F1507" s="18" t="n">
        <v>10</v>
      </c>
      <c r="G1507" s="18" t="inlineStr">
        <is>
          <t>INGRESO</t>
        </is>
      </c>
      <c r="H1507" s="18" t="n"/>
      <c r="I1507" s="45" t="n"/>
      <c r="J1507" s="77" t="n"/>
      <c r="K1507" s="18" t="n"/>
    </row>
    <row r="1508">
      <c r="B1508" s="56" t="inlineStr">
        <is>
          <t>00033-FER</t>
        </is>
      </c>
      <c r="C1508" s="18">
        <f>IFERROR(_xlfn.XLOOKUP(ENTRADAS[[#This Row],[CODIGO]],LISTADO[CODIGOS],LISTADO[CATEGORIA]),"NO EXISTE")</f>
        <v/>
      </c>
      <c r="D1508" s="18">
        <f>IFERROR(_xlfn.XLOOKUP(ENTRADAS[[#This Row],[CODIGO]],LISTADO[CODIGOS],LISTADO[PRODUCTOS]),"NO EXISTE")</f>
        <v/>
      </c>
      <c r="E1508" s="19" t="n">
        <v>46137</v>
      </c>
      <c r="F1508" s="18" t="n">
        <v>3</v>
      </c>
      <c r="G1508" s="18" t="inlineStr">
        <is>
          <t>INGRESO</t>
        </is>
      </c>
      <c r="H1508" s="18" t="n"/>
      <c r="I1508" s="45" t="n"/>
      <c r="J1508" s="77" t="n"/>
      <c r="K1508" s="18" t="n"/>
    </row>
    <row r="1509">
      <c r="B1509" s="56" t="inlineStr">
        <is>
          <t>00076-FER</t>
        </is>
      </c>
      <c r="C1509" s="18">
        <f>IFERROR(_xlfn.XLOOKUP(ENTRADAS[[#This Row],[CODIGO]],LISTADO[CODIGOS],LISTADO[CATEGORIA]),"NO EXISTE")</f>
        <v/>
      </c>
      <c r="D1509" s="18">
        <f>IFERROR(_xlfn.XLOOKUP(ENTRADAS[[#This Row],[CODIGO]],LISTADO[CODIGOS],LISTADO[PRODUCTOS]),"NO EXISTE")</f>
        <v/>
      </c>
      <c r="E1509" s="19" t="n">
        <v>46137</v>
      </c>
      <c r="F1509" s="18" t="n">
        <v>3</v>
      </c>
      <c r="G1509" s="18" t="inlineStr">
        <is>
          <t>INGRESO</t>
        </is>
      </c>
      <c r="H1509" s="18" t="n"/>
      <c r="I1509" s="45" t="n"/>
      <c r="J1509" s="77" t="n"/>
      <c r="K1509" s="18" t="n"/>
    </row>
    <row r="1510">
      <c r="B1510" s="56" t="inlineStr">
        <is>
          <t>00046-FER</t>
        </is>
      </c>
      <c r="C1510" s="18">
        <f>IFERROR(_xlfn.XLOOKUP(ENTRADAS[[#This Row],[CODIGO]],LISTADO[CODIGOS],LISTADO[CATEGORIA]),"NO EXISTE")</f>
        <v/>
      </c>
      <c r="D1510" s="18">
        <f>IFERROR(_xlfn.XLOOKUP(ENTRADAS[[#This Row],[CODIGO]],LISTADO[CODIGOS],LISTADO[PRODUCTOS]),"NO EXISTE")</f>
        <v/>
      </c>
      <c r="E1510" s="19" t="n">
        <v>46137</v>
      </c>
      <c r="F1510" s="18" t="n">
        <v>6</v>
      </c>
      <c r="G1510" s="18" t="inlineStr">
        <is>
          <t>INGRESO</t>
        </is>
      </c>
      <c r="H1510" s="18" t="inlineStr">
        <is>
          <t>PINTURAS IPM, C.A</t>
        </is>
      </c>
      <c r="I1510" s="45" t="n">
        <v>33</v>
      </c>
      <c r="J1510" s="77" t="n"/>
      <c r="K1510" s="18" t="n"/>
    </row>
    <row r="1511">
      <c r="B1511" s="56" t="inlineStr">
        <is>
          <t>00061-ELE</t>
        </is>
      </c>
      <c r="C1511" s="18">
        <f>IFERROR(_xlfn.XLOOKUP(ENTRADAS[[#This Row],[CODIGO]],LISTADO[CODIGOS],LISTADO[CATEGORIA]),"NO EXISTE")</f>
        <v/>
      </c>
      <c r="D1511" s="18">
        <f>IFERROR(_xlfn.XLOOKUP(ENTRADAS[[#This Row],[CODIGO]],LISTADO[CODIGOS],LISTADO[PRODUCTOS]),"NO EXISTE")</f>
        <v/>
      </c>
      <c r="E1511" s="19" t="n">
        <v>46139</v>
      </c>
      <c r="F1511" s="18" t="n">
        <v>3</v>
      </c>
      <c r="G1511" s="18" t="inlineStr">
        <is>
          <t>INGRESO</t>
        </is>
      </c>
      <c r="H1511" s="18" t="inlineStr">
        <is>
          <t>CAMPOS ELECTRICOS, C.A.</t>
        </is>
      </c>
      <c r="I1511" s="45" t="n">
        <v>40</v>
      </c>
      <c r="J1511" s="77" t="n"/>
      <c r="K1511" s="18" t="n"/>
    </row>
    <row r="1512">
      <c r="B1512" s="56" t="inlineStr">
        <is>
          <t>00026-AUT</t>
        </is>
      </c>
      <c r="C1512" s="18">
        <f>IFERROR(_xlfn.XLOOKUP(ENTRADAS[[#This Row],[CODIGO]],LISTADO[CODIGOS],LISTADO[CATEGORIA]),"NO EXISTE")</f>
        <v/>
      </c>
      <c r="D1512" s="18">
        <f>IFERROR(_xlfn.XLOOKUP(ENTRADAS[[#This Row],[CODIGO]],LISTADO[CODIGOS],LISTADO[PRODUCTOS]),"NO EXISTE")</f>
        <v/>
      </c>
      <c r="E1512" s="19" t="n">
        <v>46139</v>
      </c>
      <c r="F1512" s="18" t="n">
        <v>12</v>
      </c>
      <c r="G1512" s="18" t="inlineStr">
        <is>
          <t>INGRESO</t>
        </is>
      </c>
      <c r="H1512" s="18" t="n"/>
      <c r="I1512" s="45" t="n"/>
      <c r="J1512" s="77" t="n"/>
      <c r="K1512" s="18" t="n"/>
    </row>
    <row r="1513">
      <c r="B1513" s="18" t="inlineStr">
        <is>
          <t>00130-REF</t>
        </is>
      </c>
      <c r="C1513" s="18">
        <f>IFERROR(_xlfn.XLOOKUP(ENTRADAS[[#This Row],[CODIGO]],LISTADO[CODIGOS],LISTADO[CATEGORIA]),"NO EXISTE")</f>
        <v/>
      </c>
      <c r="D1513" s="18">
        <f>IFERROR(_xlfn.XLOOKUP(ENTRADAS[[#This Row],[CODIGO]],LISTADO[CODIGOS],LISTADO[PRODUCTOS]),"NO EXISTE")</f>
        <v/>
      </c>
      <c r="E1513" s="19" t="n">
        <v>46139</v>
      </c>
      <c r="F1513" s="18" t="n">
        <v>1</v>
      </c>
      <c r="G1513" s="18" t="inlineStr">
        <is>
          <t>INGRESO</t>
        </is>
      </c>
      <c r="H1513" s="18" t="inlineStr">
        <is>
          <t>RESPUESTOS OSMAR</t>
        </is>
      </c>
      <c r="I1513" s="45" t="n"/>
      <c r="J1513" s="77" t="n">
        <v>143000</v>
      </c>
      <c r="K1513" s="18" t="n"/>
    </row>
    <row r="1514">
      <c r="B1514" s="18" t="inlineStr">
        <is>
          <t>00131-REF</t>
        </is>
      </c>
      <c r="C1514" s="18">
        <f>IFERROR(_xlfn.XLOOKUP(ENTRADAS[[#This Row],[CODIGO]],LISTADO[CODIGOS],LISTADO[CATEGORIA]),"NO EXISTE")</f>
        <v/>
      </c>
      <c r="D1514" s="18">
        <f>IFERROR(_xlfn.XLOOKUP(ENTRADAS[[#This Row],[CODIGO]],LISTADO[CODIGOS],LISTADO[PRODUCTOS]),"NO EXISTE")</f>
        <v/>
      </c>
      <c r="E1514" s="19" t="n">
        <v>46139</v>
      </c>
      <c r="F1514" s="18" t="n">
        <v>1</v>
      </c>
      <c r="G1514" s="18" t="inlineStr">
        <is>
          <t>INGRESO</t>
        </is>
      </c>
      <c r="H1514" s="18" t="inlineStr">
        <is>
          <t>RESPUESTOS OSMAR</t>
        </is>
      </c>
      <c r="I1514" s="45" t="n"/>
      <c r="J1514" s="77" t="n">
        <v>16250</v>
      </c>
      <c r="K1514" s="18" t="n"/>
    </row>
    <row r="1515">
      <c r="B1515" s="18" t="inlineStr">
        <is>
          <t>00132-REF</t>
        </is>
      </c>
      <c r="C1515" s="18">
        <f>IFERROR(_xlfn.XLOOKUP(ENTRADAS[[#This Row],[CODIGO]],LISTADO[CODIGOS],LISTADO[CATEGORIA]),"NO EXISTE")</f>
        <v/>
      </c>
      <c r="D1515" s="18">
        <f>IFERROR(_xlfn.XLOOKUP(ENTRADAS[[#This Row],[CODIGO]],LISTADO[CODIGOS],LISTADO[PRODUCTOS]),"NO EXISTE")</f>
        <v/>
      </c>
      <c r="E1515" s="19" t="n">
        <v>46139</v>
      </c>
      <c r="F1515" s="18" t="n">
        <v>1</v>
      </c>
      <c r="G1515" s="18" t="inlineStr">
        <is>
          <t>INGRESO</t>
        </is>
      </c>
      <c r="H1515" s="18" t="inlineStr">
        <is>
          <t>RESPUESTOS OSMAR</t>
        </is>
      </c>
      <c r="I1515" s="45" t="n"/>
      <c r="J1515" s="77" t="n">
        <v>1300</v>
      </c>
      <c r="K1515" s="18" t="n"/>
    </row>
    <row r="1516">
      <c r="B1516" s="18" t="inlineStr">
        <is>
          <t>00073-ELE</t>
        </is>
      </c>
      <c r="C1516" s="18">
        <f>IFERROR(_xlfn.XLOOKUP(ENTRADAS[[#This Row],[CODIGO]],LISTADO[CODIGOS],LISTADO[CATEGORIA]),"NO EXISTE")</f>
        <v/>
      </c>
      <c r="D1516" s="18">
        <f>IFERROR(_xlfn.XLOOKUP(ENTRADAS[[#This Row],[CODIGO]],LISTADO[CODIGOS],LISTADO[PRODUCTOS]),"NO EXISTE")</f>
        <v/>
      </c>
      <c r="E1516" s="19" t="n">
        <v>46139</v>
      </c>
      <c r="F1516" s="18" t="n">
        <v>60</v>
      </c>
      <c r="G1516" s="18" t="inlineStr">
        <is>
          <t>INGRESO</t>
        </is>
      </c>
      <c r="H1516" s="18" t="inlineStr">
        <is>
          <t>CENTER MARK</t>
        </is>
      </c>
      <c r="I1516" s="45" t="n"/>
      <c r="J1516" s="77" t="n">
        <v>969.46</v>
      </c>
      <c r="K1516" s="18" t="n"/>
    </row>
    <row r="1517">
      <c r="B1517" s="18" t="inlineStr">
        <is>
          <t>00070-ELE</t>
        </is>
      </c>
      <c r="C1517" s="18">
        <f>IFERROR(_xlfn.XLOOKUP(ENTRADAS[[#This Row],[CODIGO]],LISTADO[CODIGOS],LISTADO[CATEGORIA]),"NO EXISTE")</f>
        <v/>
      </c>
      <c r="D1517" s="18">
        <f>IFERROR(_xlfn.XLOOKUP(ENTRADAS[[#This Row],[CODIGO]],LISTADO[CODIGOS],LISTADO[PRODUCTOS]),"NO EXISTE")</f>
        <v/>
      </c>
      <c r="E1517" s="19" t="n">
        <v>46139</v>
      </c>
      <c r="F1517" s="18" t="n">
        <v>15</v>
      </c>
      <c r="G1517" s="18" t="inlineStr">
        <is>
          <t>INGRESO</t>
        </is>
      </c>
      <c r="H1517" s="18" t="inlineStr">
        <is>
          <t>CENTER MARK</t>
        </is>
      </c>
      <c r="I1517" s="45" t="n"/>
      <c r="J1517" s="77" t="n">
        <v>484.76</v>
      </c>
      <c r="K1517" s="18" t="n"/>
    </row>
    <row r="1518">
      <c r="B1518" s="56" t="inlineStr">
        <is>
          <t>00047-ELE</t>
        </is>
      </c>
      <c r="C1518" s="18">
        <f>IFERROR(_xlfn.XLOOKUP(ENTRADAS[[#This Row],[CODIGO]],LISTADO[CODIGOS],LISTADO[CATEGORIA]),"NO EXISTE")</f>
        <v/>
      </c>
      <c r="D1518" s="18">
        <f>IFERROR(_xlfn.XLOOKUP(ENTRADAS[[#This Row],[CODIGO]],LISTADO[CODIGOS],LISTADO[PRODUCTOS]),"NO EXISTE")</f>
        <v/>
      </c>
      <c r="E1518" s="19" t="n">
        <v>46139</v>
      </c>
      <c r="F1518" s="18" t="n">
        <v>15</v>
      </c>
      <c r="G1518" s="18" t="inlineStr">
        <is>
          <t>INGRESO</t>
        </is>
      </c>
      <c r="H1518" s="18" t="inlineStr">
        <is>
          <t>CENTER MARK</t>
        </is>
      </c>
      <c r="I1518" s="45" t="n"/>
      <c r="J1518" s="77" t="n">
        <v>387.82</v>
      </c>
      <c r="K1518" s="18" t="n"/>
    </row>
    <row r="1519">
      <c r="B1519" s="18" t="inlineStr">
        <is>
          <t>00049-AUT</t>
        </is>
      </c>
      <c r="C1519" s="18">
        <f>IFERROR(_xlfn.XLOOKUP(ENTRADAS[[#This Row],[CODIGO]],LISTADO[CODIGOS],LISTADO[CATEGORIA]),"NO EXISTE")</f>
        <v/>
      </c>
      <c r="D1519" s="18">
        <f>IFERROR(_xlfn.XLOOKUP(ENTRADAS[[#This Row],[CODIGO]],LISTADO[CODIGOS],LISTADO[PRODUCTOS]),"NO EXISTE")</f>
        <v/>
      </c>
      <c r="E1519" s="19" t="n">
        <v>46139</v>
      </c>
      <c r="F1519" s="18" t="n">
        <v>1</v>
      </c>
      <c r="G1519" s="18" t="inlineStr">
        <is>
          <t>INGRESO</t>
        </is>
      </c>
      <c r="H1519" s="1" t="inlineStr">
        <is>
          <t>ELECTRIC VENEZUELA</t>
        </is>
      </c>
      <c r="I1519" s="45" t="n">
        <v>15</v>
      </c>
      <c r="J1519" s="77" t="n"/>
      <c r="K1519" s="18" t="n"/>
    </row>
    <row r="1520">
      <c r="B1520" s="56" t="inlineStr">
        <is>
          <t>00031-ILU</t>
        </is>
      </c>
      <c r="C1520" s="18">
        <f>IFERROR(_xlfn.XLOOKUP(ENTRADAS[[#This Row],[CODIGO]],LISTADO[CODIGOS],LISTADO[CATEGORIA]),"NO EXISTE")</f>
        <v/>
      </c>
      <c r="D1520" s="18">
        <f>IFERROR(_xlfn.XLOOKUP(ENTRADAS[[#This Row],[CODIGO]],LISTADO[CODIGOS],LISTADO[PRODUCTOS]),"NO EXISTE")</f>
        <v/>
      </c>
      <c r="E1520" s="19" t="n">
        <v>46140</v>
      </c>
      <c r="F1520" s="18" t="n">
        <v>18</v>
      </c>
      <c r="G1520" s="18" t="inlineStr">
        <is>
          <t>DEVOLUCION</t>
        </is>
      </c>
      <c r="H1520" s="18" t="n"/>
      <c r="I1520" s="45" t="n"/>
      <c r="J1520" s="77" t="n"/>
      <c r="K1520" s="18" t="n"/>
    </row>
    <row r="1521">
      <c r="B1521" s="56" t="inlineStr">
        <is>
          <t>00028-ELE</t>
        </is>
      </c>
      <c r="C1521" s="18">
        <f>IFERROR(_xlfn.XLOOKUP(ENTRADAS[[#This Row],[CODIGO]],LISTADO[CODIGOS],LISTADO[CATEGORIA]),"NO EXISTE")</f>
        <v/>
      </c>
      <c r="D1521" s="18">
        <f>IFERROR(_xlfn.XLOOKUP(ENTRADAS[[#This Row],[CODIGO]],LISTADO[CODIGOS],LISTADO[PRODUCTOS]),"NO EXISTE")</f>
        <v/>
      </c>
      <c r="E1521" s="19" t="n">
        <v>46140</v>
      </c>
      <c r="F1521" s="18" t="n">
        <v>3</v>
      </c>
      <c r="G1521" s="18" t="inlineStr">
        <is>
          <t>DEVOLUCION</t>
        </is>
      </c>
      <c r="H1521" s="18" t="n"/>
      <c r="I1521" s="45" t="n"/>
      <c r="J1521" s="77" t="n"/>
      <c r="K1521" s="18" t="n"/>
    </row>
    <row r="1522">
      <c r="B1522" s="18" t="inlineStr">
        <is>
          <t>00068-ELE</t>
        </is>
      </c>
      <c r="C1522" s="18">
        <f>IFERROR(_xlfn.XLOOKUP(ENTRADAS[[#This Row],[CODIGO]],LISTADO[CODIGOS],LISTADO[CATEGORIA]),"NO EXISTE")</f>
        <v/>
      </c>
      <c r="D1522" s="18">
        <f>IFERROR(_xlfn.XLOOKUP(ENTRADAS[[#This Row],[CODIGO]],LISTADO[CODIGOS],LISTADO[PRODUCTOS]),"NO EXISTE")</f>
        <v/>
      </c>
      <c r="E1522" s="19" t="n">
        <v>46140</v>
      </c>
      <c r="F1522" s="18" t="n">
        <v>13</v>
      </c>
      <c r="G1522" s="18" t="inlineStr">
        <is>
          <t>DEVOLUCION</t>
        </is>
      </c>
      <c r="H1522" s="18" t="n"/>
      <c r="I1522" s="45" t="n"/>
      <c r="J1522" s="77" t="n"/>
      <c r="K1522" s="18" t="n"/>
    </row>
    <row r="1523">
      <c r="B1523" s="56" t="inlineStr">
        <is>
          <t>00046-ELE</t>
        </is>
      </c>
      <c r="C1523" s="18">
        <f>IFERROR(_xlfn.XLOOKUP(ENTRADAS[[#This Row],[CODIGO]],LISTADO[CODIGOS],LISTADO[CATEGORIA]),"NO EXISTE")</f>
        <v/>
      </c>
      <c r="D1523" s="18">
        <f>IFERROR(_xlfn.XLOOKUP(ENTRADAS[[#This Row],[CODIGO]],LISTADO[CODIGOS],LISTADO[PRODUCTOS]),"NO EXISTE")</f>
        <v/>
      </c>
      <c r="E1523" s="19" t="n">
        <v>46140</v>
      </c>
      <c r="F1523" s="18" t="n">
        <v>72</v>
      </c>
      <c r="G1523" s="18" t="inlineStr">
        <is>
          <t>DEVOLUCION</t>
        </is>
      </c>
      <c r="H1523" s="18" t="n"/>
      <c r="I1523" s="45" t="n"/>
      <c r="J1523" s="77" t="n"/>
      <c r="K1523" s="18" t="n"/>
    </row>
    <row r="1524">
      <c r="B1524" s="56" t="inlineStr">
        <is>
          <t>00047-ELE</t>
        </is>
      </c>
      <c r="C1524" s="18">
        <f>IFERROR(_xlfn.XLOOKUP(ENTRADAS[[#This Row],[CODIGO]],LISTADO[CODIGOS],LISTADO[CATEGORIA]),"NO EXISTE")</f>
        <v/>
      </c>
      <c r="D1524" s="18">
        <f>IFERROR(_xlfn.XLOOKUP(ENTRADAS[[#This Row],[CODIGO]],LISTADO[CODIGOS],LISTADO[PRODUCTOS]),"NO EXISTE")</f>
        <v/>
      </c>
      <c r="E1524" s="19" t="n">
        <v>46140</v>
      </c>
      <c r="F1524" s="18" t="n">
        <v>2</v>
      </c>
      <c r="G1524" s="18" t="inlineStr">
        <is>
          <t>DEVOLUCION</t>
        </is>
      </c>
      <c r="H1524" s="18" t="n"/>
      <c r="I1524" s="45" t="n"/>
      <c r="J1524" s="77" t="n"/>
      <c r="K1524" s="18" t="n"/>
    </row>
    <row r="1525">
      <c r="B1525" s="56" t="inlineStr">
        <is>
          <t>00015-PLM</t>
        </is>
      </c>
      <c r="C1525" s="18">
        <f>IFERROR(_xlfn.XLOOKUP(ENTRADAS[[#This Row],[CODIGO]],LISTADO[CODIGOS],LISTADO[CATEGORIA]),"NO EXISTE")</f>
        <v/>
      </c>
      <c r="D1525" s="18">
        <f>IFERROR(_xlfn.XLOOKUP(ENTRADAS[[#This Row],[CODIGO]],LISTADO[CODIGOS],LISTADO[PRODUCTOS]),"NO EXISTE")</f>
        <v/>
      </c>
      <c r="E1525" s="19" t="n">
        <v>46140</v>
      </c>
      <c r="F1525" s="18" t="n">
        <v>1</v>
      </c>
      <c r="G1525" s="18" t="inlineStr">
        <is>
          <t>DEVOLUCION</t>
        </is>
      </c>
      <c r="H1525" s="18" t="n"/>
      <c r="I1525" s="45" t="n"/>
      <c r="J1525" s="77" t="n"/>
      <c r="K1525" s="18" t="n"/>
    </row>
    <row r="1526">
      <c r="B1526" s="56" t="inlineStr">
        <is>
          <t>00031-HRR</t>
        </is>
      </c>
      <c r="C1526" s="18">
        <f>IFERROR(_xlfn.XLOOKUP(ENTRADAS[[#This Row],[CODIGO]],LISTADO[CODIGOS],LISTADO[CATEGORIA]),"NO EXISTE")</f>
        <v/>
      </c>
      <c r="D1526" s="18">
        <f>IFERROR(_xlfn.XLOOKUP(ENTRADAS[[#This Row],[CODIGO]],LISTADO[CODIGOS],LISTADO[PRODUCTOS]),"NO EXISTE")</f>
        <v/>
      </c>
      <c r="E1526" s="19" t="n">
        <v>46140</v>
      </c>
      <c r="F1526" s="18" t="n">
        <v>35</v>
      </c>
      <c r="G1526" s="18" t="inlineStr">
        <is>
          <t>INGRESO</t>
        </is>
      </c>
      <c r="H1526" s="18" t="n"/>
      <c r="I1526" s="45" t="n"/>
      <c r="J1526" s="77" t="n"/>
      <c r="K1526" s="18" t="n"/>
    </row>
    <row r="1527">
      <c r="B1527" s="56" t="inlineStr">
        <is>
          <t>00064-PLM</t>
        </is>
      </c>
      <c r="C1527" s="18">
        <f>IFERROR(_xlfn.XLOOKUP(ENTRADAS[[#This Row],[CODIGO]],LISTADO[CODIGOS],LISTADO[CATEGORIA]),"NO EXISTE")</f>
        <v/>
      </c>
      <c r="D1527" s="18">
        <f>IFERROR(_xlfn.XLOOKUP(ENTRADAS[[#This Row],[CODIGO]],LISTADO[CODIGOS],LISTADO[PRODUCTOS]),"NO EXISTE")</f>
        <v/>
      </c>
      <c r="E1527" s="19" t="n">
        <v>46140</v>
      </c>
      <c r="F1527" s="18" t="n">
        <v>1</v>
      </c>
      <c r="G1527" s="18" t="inlineStr">
        <is>
          <t>DEVOLUCION</t>
        </is>
      </c>
      <c r="H1527" s="18" t="n"/>
      <c r="I1527" s="45" t="n"/>
      <c r="J1527" s="77" t="n"/>
      <c r="K1527" s="18" t="n"/>
    </row>
    <row r="1528">
      <c r="B1528" s="56" t="inlineStr">
        <is>
          <t>00065-PLM</t>
        </is>
      </c>
      <c r="C1528" s="18">
        <f>IFERROR(_xlfn.XLOOKUP(ENTRADAS[[#This Row],[CODIGO]],LISTADO[CODIGOS],LISTADO[CATEGORIA]),"NO EXISTE")</f>
        <v/>
      </c>
      <c r="D1528" s="18">
        <f>IFERROR(_xlfn.XLOOKUP(ENTRADAS[[#This Row],[CODIGO]],LISTADO[CODIGOS],LISTADO[PRODUCTOS]),"NO EXISTE")</f>
        <v/>
      </c>
      <c r="E1528" s="19" t="n">
        <v>46140</v>
      </c>
      <c r="F1528" s="18" t="n">
        <v>1</v>
      </c>
      <c r="G1528" s="18" t="inlineStr">
        <is>
          <t>DEVOLUCION</t>
        </is>
      </c>
      <c r="H1528" s="18" t="n"/>
      <c r="I1528" s="45" t="n"/>
      <c r="J1528" s="77" t="n"/>
      <c r="K1528" s="18" t="n"/>
    </row>
    <row r="1529">
      <c r="B1529" s="56" t="inlineStr">
        <is>
          <t>00006-PLM</t>
        </is>
      </c>
      <c r="C1529" s="18">
        <f>IFERROR(_xlfn.XLOOKUP(ENTRADAS[[#This Row],[CODIGO]],LISTADO[CODIGOS],LISTADO[CATEGORIA]),"NO EXISTE")</f>
        <v/>
      </c>
      <c r="D1529" s="18">
        <f>IFERROR(_xlfn.XLOOKUP(ENTRADAS[[#This Row],[CODIGO]],LISTADO[CODIGOS],LISTADO[PRODUCTOS]),"NO EXISTE")</f>
        <v/>
      </c>
      <c r="E1529" s="19" t="n">
        <v>46140</v>
      </c>
      <c r="F1529" s="18" t="n">
        <v>1</v>
      </c>
      <c r="G1529" s="18" t="inlineStr">
        <is>
          <t>INGRESO</t>
        </is>
      </c>
      <c r="H1529" s="18" t="n"/>
      <c r="I1529" s="45" t="n"/>
      <c r="J1529" s="77" t="n"/>
      <c r="K1529" s="18" t="n"/>
    </row>
    <row r="1530">
      <c r="B1530" s="18" t="inlineStr">
        <is>
          <t>00211-FER</t>
        </is>
      </c>
      <c r="C1530" s="18">
        <f>IFERROR(_xlfn.XLOOKUP(ENTRADAS[[#This Row],[CODIGO]],LISTADO[CODIGOS],LISTADO[CATEGORIA]),"NO EXISTE")</f>
        <v/>
      </c>
      <c r="D1530" s="18">
        <f>IFERROR(_xlfn.XLOOKUP(ENTRADAS[[#This Row],[CODIGO]],LISTADO[CODIGOS],LISTADO[PRODUCTOS]),"NO EXISTE")</f>
        <v/>
      </c>
      <c r="E1530" s="19" t="n">
        <v>46140</v>
      </c>
      <c r="F1530" s="18" t="n">
        <v>3</v>
      </c>
      <c r="G1530" s="18" t="inlineStr">
        <is>
          <t>INGRESO</t>
        </is>
      </c>
      <c r="H1530" s="18" t="n"/>
      <c r="I1530" s="45" t="n"/>
      <c r="J1530" s="77" t="n"/>
      <c r="K1530" s="18" t="n"/>
    </row>
    <row r="1531">
      <c r="B1531" s="18" t="inlineStr">
        <is>
          <t>00024-AUT</t>
        </is>
      </c>
      <c r="C1531" s="18">
        <f>IFERROR(_xlfn.XLOOKUP(ENTRADAS[[#This Row],[CODIGO]],LISTADO[CODIGOS],LISTADO[CATEGORIA]),"NO EXISTE")</f>
        <v/>
      </c>
      <c r="D1531" s="18">
        <f>IFERROR(_xlfn.XLOOKUP(ENTRADAS[[#This Row],[CODIGO]],LISTADO[CODIGOS],LISTADO[PRODUCTOS]),"NO EXISTE")</f>
        <v/>
      </c>
      <c r="E1531" s="19" t="n">
        <v>46140</v>
      </c>
      <c r="F1531" s="18" t="n">
        <v>4</v>
      </c>
      <c r="G1531" s="18" t="inlineStr">
        <is>
          <t>INGRESO</t>
        </is>
      </c>
      <c r="H1531" s="18" t="n"/>
      <c r="I1531" s="45" t="n">
        <v>12</v>
      </c>
      <c r="J1531" s="77" t="n"/>
      <c r="K1531" s="18" t="n"/>
    </row>
    <row r="1532">
      <c r="B1532" s="18" t="inlineStr">
        <is>
          <t>00027-AUT</t>
        </is>
      </c>
      <c r="C1532" s="18">
        <f>IFERROR(_xlfn.XLOOKUP(ENTRADAS[[#This Row],[CODIGO]],LISTADO[CODIGOS],LISTADO[CATEGORIA]),"NO EXISTE")</f>
        <v/>
      </c>
      <c r="D1532" s="18">
        <f>IFERROR(_xlfn.XLOOKUP(ENTRADAS[[#This Row],[CODIGO]],LISTADO[CODIGOS],LISTADO[PRODUCTOS]),"NO EXISTE")</f>
        <v/>
      </c>
      <c r="E1532" s="19" t="n">
        <v>46140</v>
      </c>
      <c r="F1532" s="18" t="n">
        <v>3</v>
      </c>
      <c r="G1532" s="18" t="inlineStr">
        <is>
          <t>INGRESO</t>
        </is>
      </c>
      <c r="H1532" s="18" t="n"/>
      <c r="I1532" s="45" t="n">
        <v>155</v>
      </c>
      <c r="J1532" s="77" t="n"/>
      <c r="K1532" s="18" t="n"/>
    </row>
    <row r="1533">
      <c r="B1533" s="18" t="inlineStr">
        <is>
          <t>00100-ELE</t>
        </is>
      </c>
      <c r="C1533" s="18">
        <f>IFERROR(_xlfn.XLOOKUP(ENTRADAS[[#This Row],[CODIGO]],LISTADO[CODIGOS],LISTADO[CATEGORIA]),"NO EXISTE")</f>
        <v/>
      </c>
      <c r="D1533" s="18">
        <f>IFERROR(_xlfn.XLOOKUP(ENTRADAS[[#This Row],[CODIGO]],LISTADO[CODIGOS],LISTADO[PRODUCTOS]),"NO EXISTE")</f>
        <v/>
      </c>
      <c r="E1533" s="19" t="n">
        <v>46140</v>
      </c>
      <c r="F1533" s="18" t="n">
        <v>4</v>
      </c>
      <c r="G1533" s="18" t="inlineStr">
        <is>
          <t>INGRESO</t>
        </is>
      </c>
      <c r="H1533" s="18" t="inlineStr">
        <is>
          <t>MECALEDS</t>
        </is>
      </c>
      <c r="I1533" s="45" t="n">
        <v>6</v>
      </c>
      <c r="J1533" s="77" t="n"/>
      <c r="K1533" s="18" t="n"/>
    </row>
    <row r="1534">
      <c r="B1534" s="18" t="inlineStr">
        <is>
          <t>00101-ELE</t>
        </is>
      </c>
      <c r="C1534" s="18">
        <f>IFERROR(_xlfn.XLOOKUP(ENTRADAS[[#This Row],[CODIGO]],LISTADO[CODIGOS],LISTADO[CATEGORIA]),"NO EXISTE")</f>
        <v/>
      </c>
      <c r="D1534" s="18">
        <f>IFERROR(_xlfn.XLOOKUP(ENTRADAS[[#This Row],[CODIGO]],LISTADO[CODIGOS],LISTADO[PRODUCTOS]),"NO EXISTE")</f>
        <v/>
      </c>
      <c r="E1534" s="19" t="n">
        <v>46140</v>
      </c>
      <c r="F1534" s="18" t="n">
        <v>1</v>
      </c>
      <c r="G1534" s="18" t="inlineStr">
        <is>
          <t>INGRESO</t>
        </is>
      </c>
      <c r="H1534" s="18" t="inlineStr">
        <is>
          <t>MECALEDS</t>
        </is>
      </c>
      <c r="I1534" s="45" t="n">
        <v>8</v>
      </c>
      <c r="J1534" s="77" t="n"/>
      <c r="K1534" s="18" t="n"/>
    </row>
    <row r="1535">
      <c r="B1535" s="18" t="inlineStr">
        <is>
          <t>00102-ELE</t>
        </is>
      </c>
      <c r="C1535" s="18">
        <f>IFERROR(_xlfn.XLOOKUP(ENTRADAS[[#This Row],[CODIGO]],LISTADO[CODIGOS],LISTADO[CATEGORIA]),"NO EXISTE")</f>
        <v/>
      </c>
      <c r="D1535" s="18">
        <f>IFERROR(_xlfn.XLOOKUP(ENTRADAS[[#This Row],[CODIGO]],LISTADO[CODIGOS],LISTADO[PRODUCTOS]),"NO EXISTE")</f>
        <v/>
      </c>
      <c r="E1535" s="19" t="n">
        <v>46140</v>
      </c>
      <c r="F1535" s="18" t="n">
        <v>1</v>
      </c>
      <c r="G1535" s="18" t="inlineStr">
        <is>
          <t>INGRESO</t>
        </is>
      </c>
      <c r="H1535" s="18" t="inlineStr">
        <is>
          <t>MECALEDS</t>
        </is>
      </c>
      <c r="I1535" s="45" t="n">
        <v>5</v>
      </c>
      <c r="J1535" s="77" t="n"/>
      <c r="K1535" s="18" t="n"/>
    </row>
    <row r="1536">
      <c r="B1536" s="18" t="inlineStr">
        <is>
          <t>00100-ELE</t>
        </is>
      </c>
      <c r="C1536" s="18">
        <f>IFERROR(_xlfn.XLOOKUP(ENTRADAS[[#This Row],[CODIGO]],LISTADO[CODIGOS],LISTADO[CATEGORIA]),"NO EXISTE")</f>
        <v/>
      </c>
      <c r="D1536" s="18">
        <f>IFERROR(_xlfn.XLOOKUP(ENTRADAS[[#This Row],[CODIGO]],LISTADO[CODIGOS],LISTADO[PRODUCTOS]),"NO EXISTE")</f>
        <v/>
      </c>
      <c r="E1536" s="19" t="n">
        <v>46140</v>
      </c>
      <c r="F1536" s="18" t="n">
        <v>1</v>
      </c>
      <c r="G1536" s="18" t="inlineStr">
        <is>
          <t>INGRESO</t>
        </is>
      </c>
      <c r="H1536" s="18" t="inlineStr">
        <is>
          <t>MECALEDS</t>
        </is>
      </c>
      <c r="I1536" s="45" t="n">
        <v>6</v>
      </c>
      <c r="J1536" s="77" t="n"/>
      <c r="K1536" s="18" t="n"/>
    </row>
    <row r="1537">
      <c r="B1537" s="18" t="inlineStr">
        <is>
          <t>00109-ELE</t>
        </is>
      </c>
      <c r="C1537" s="18">
        <f>IFERROR(_xlfn.XLOOKUP(ENTRADAS[[#This Row],[CODIGO]],LISTADO[CODIGOS],LISTADO[CATEGORIA]),"NO EXISTE")</f>
        <v/>
      </c>
      <c r="D1537" s="18">
        <f>IFERROR(_xlfn.XLOOKUP(ENTRADAS[[#This Row],[CODIGO]],LISTADO[CODIGOS],LISTADO[PRODUCTOS]),"NO EXISTE")</f>
        <v/>
      </c>
      <c r="E1537" s="19" t="n">
        <v>46140</v>
      </c>
      <c r="F1537" s="18" t="n">
        <v>100</v>
      </c>
      <c r="G1537" s="18" t="inlineStr">
        <is>
          <t>INGRESO</t>
        </is>
      </c>
      <c r="H1537" s="18" t="inlineStr">
        <is>
          <t>CABLESELEC, C.A.</t>
        </is>
      </c>
      <c r="I1537" s="45" t="n">
        <v>1.35</v>
      </c>
      <c r="J1537" s="77" t="n"/>
      <c r="K1537" s="18" t="n"/>
    </row>
    <row r="1538">
      <c r="B1538" s="56" t="inlineStr">
        <is>
          <t>00007-UNI</t>
        </is>
      </c>
      <c r="C1538" s="18">
        <f>IFERROR(_xlfn.XLOOKUP(ENTRADAS[[#This Row],[CODIGO]],LISTADO[CODIGOS],LISTADO[CATEGORIA]),"NO EXISTE")</f>
        <v/>
      </c>
      <c r="D1538" s="18">
        <f>IFERROR(_xlfn.XLOOKUP(ENTRADAS[[#This Row],[CODIGO]],LISTADO[CODIGOS],LISTADO[PRODUCTOS]),"NO EXISTE")</f>
        <v/>
      </c>
      <c r="E1538" s="19" t="n">
        <v>46141</v>
      </c>
      <c r="F1538" s="18" t="n">
        <v>3</v>
      </c>
      <c r="G1538" s="18" t="inlineStr">
        <is>
          <t>INVENTARIO</t>
        </is>
      </c>
      <c r="H1538" s="18" t="n"/>
      <c r="I1538" s="45" t="n"/>
      <c r="J1538" s="77" t="n"/>
      <c r="K1538" s="18" t="n"/>
    </row>
    <row r="1539">
      <c r="B1539" s="56" t="inlineStr">
        <is>
          <t>00008-UNI</t>
        </is>
      </c>
      <c r="C1539" s="18">
        <f>IFERROR(_xlfn.XLOOKUP(ENTRADAS[[#This Row],[CODIGO]],LISTADO[CODIGOS],LISTADO[CATEGORIA]),"NO EXISTE")</f>
        <v/>
      </c>
      <c r="D1539" s="18">
        <f>IFERROR(_xlfn.XLOOKUP(ENTRADAS[[#This Row],[CODIGO]],LISTADO[CODIGOS],LISTADO[PRODUCTOS]),"NO EXISTE")</f>
        <v/>
      </c>
      <c r="E1539" s="19" t="n">
        <v>46141</v>
      </c>
      <c r="F1539" s="18" t="n">
        <v>17</v>
      </c>
      <c r="G1539" s="18" t="inlineStr">
        <is>
          <t>INVENTARIO</t>
        </is>
      </c>
      <c r="H1539" s="18" t="n"/>
      <c r="I1539" s="45" t="n"/>
      <c r="J1539" s="77" t="n"/>
      <c r="K1539" s="18" t="n"/>
    </row>
    <row r="1540">
      <c r="B1540" s="56" t="inlineStr">
        <is>
          <t>00009-UNI</t>
        </is>
      </c>
      <c r="C1540" s="18">
        <f>IFERROR(_xlfn.XLOOKUP(ENTRADAS[[#This Row],[CODIGO]],LISTADO[CODIGOS],LISTADO[CATEGORIA]),"NO EXISTE")</f>
        <v/>
      </c>
      <c r="D1540" s="18">
        <f>IFERROR(_xlfn.XLOOKUP(ENTRADAS[[#This Row],[CODIGO]],LISTADO[CODIGOS],LISTADO[PRODUCTOS]),"NO EXISTE")</f>
        <v/>
      </c>
      <c r="E1540" s="19" t="n">
        <v>46141</v>
      </c>
      <c r="F1540" s="18" t="n">
        <v>2</v>
      </c>
      <c r="G1540" s="18" t="inlineStr">
        <is>
          <t>INVENTARIO</t>
        </is>
      </c>
      <c r="H1540" s="18" t="n"/>
      <c r="I1540" s="45" t="n"/>
      <c r="J1540" s="77" t="n"/>
      <c r="K1540" s="18" t="n"/>
    </row>
    <row r="1541">
      <c r="B1541" s="56" t="inlineStr">
        <is>
          <t>00014-UNI</t>
        </is>
      </c>
      <c r="C1541" s="18">
        <f>IFERROR(_xlfn.XLOOKUP(ENTRADAS[[#This Row],[CODIGO]],LISTADO[CODIGOS],LISTADO[CATEGORIA]),"NO EXISTE")</f>
        <v/>
      </c>
      <c r="D1541" s="18">
        <f>IFERROR(_xlfn.XLOOKUP(ENTRADAS[[#This Row],[CODIGO]],LISTADO[CODIGOS],LISTADO[PRODUCTOS]),"NO EXISTE")</f>
        <v/>
      </c>
      <c r="E1541" s="19" t="n">
        <v>46141</v>
      </c>
      <c r="F1541" s="18" t="n">
        <v>44</v>
      </c>
      <c r="G1541" s="18" t="inlineStr">
        <is>
          <t>INVENTARIO</t>
        </is>
      </c>
      <c r="H1541" s="18" t="n"/>
      <c r="I1541" s="45" t="n"/>
      <c r="J1541" s="77" t="n"/>
      <c r="K1541" s="18" t="n"/>
    </row>
    <row r="1542">
      <c r="B1542" s="56" t="inlineStr">
        <is>
          <t>00018-UNI</t>
        </is>
      </c>
      <c r="C1542" s="18">
        <f>IFERROR(_xlfn.XLOOKUP(ENTRADAS[[#This Row],[CODIGO]],LISTADO[CODIGOS],LISTADO[CATEGORIA]),"NO EXISTE")</f>
        <v/>
      </c>
      <c r="D1542" s="18">
        <f>IFERROR(_xlfn.XLOOKUP(ENTRADAS[[#This Row],[CODIGO]],LISTADO[CODIGOS],LISTADO[PRODUCTOS]),"NO EXISTE")</f>
        <v/>
      </c>
      <c r="E1542" s="19" t="n">
        <v>46141</v>
      </c>
      <c r="F1542" s="18" t="n">
        <v>16</v>
      </c>
      <c r="G1542" s="18" t="inlineStr">
        <is>
          <t>INVENTARIO</t>
        </is>
      </c>
      <c r="H1542" s="18" t="n"/>
      <c r="I1542" s="45" t="n"/>
      <c r="J1542" s="77" t="n"/>
      <c r="K1542" s="18" t="n"/>
    </row>
    <row r="1543">
      <c r="B1543" s="56" t="inlineStr">
        <is>
          <t>00020-UNI</t>
        </is>
      </c>
      <c r="C1543" s="18">
        <f>IFERROR(_xlfn.XLOOKUP(ENTRADAS[[#This Row],[CODIGO]],LISTADO[CODIGOS],LISTADO[CATEGORIA]),"NO EXISTE")</f>
        <v/>
      </c>
      <c r="D1543" s="18">
        <f>IFERROR(_xlfn.XLOOKUP(ENTRADAS[[#This Row],[CODIGO]],LISTADO[CODIGOS],LISTADO[PRODUCTOS]),"NO EXISTE")</f>
        <v/>
      </c>
      <c r="E1543" s="19" t="n">
        <v>46141</v>
      </c>
      <c r="F1543" s="18" t="n">
        <v>40</v>
      </c>
      <c r="G1543" s="18" t="inlineStr">
        <is>
          <t>INVENTARIO</t>
        </is>
      </c>
      <c r="H1543" s="18" t="n"/>
      <c r="I1543" s="45" t="n"/>
      <c r="J1543" s="77" t="n"/>
      <c r="K1543" s="18" t="n"/>
    </row>
    <row r="1544">
      <c r="B1544" s="56" t="inlineStr">
        <is>
          <t>00021-UNI</t>
        </is>
      </c>
      <c r="C1544" s="18">
        <f>IFERROR(_xlfn.XLOOKUP(ENTRADAS[[#This Row],[CODIGO]],LISTADO[CODIGOS],LISTADO[CATEGORIA]),"NO EXISTE")</f>
        <v/>
      </c>
      <c r="D1544" s="18">
        <f>IFERROR(_xlfn.XLOOKUP(ENTRADAS[[#This Row],[CODIGO]],LISTADO[CODIGOS],LISTADO[PRODUCTOS]),"NO EXISTE")</f>
        <v/>
      </c>
      <c r="E1544" s="19" t="n">
        <v>46141</v>
      </c>
      <c r="F1544" s="18" t="n">
        <v>8</v>
      </c>
      <c r="G1544" s="18" t="inlineStr">
        <is>
          <t>INVENTARIO</t>
        </is>
      </c>
      <c r="H1544" s="18" t="n"/>
      <c r="I1544" s="45" t="n"/>
      <c r="J1544" s="77" t="n"/>
      <c r="K1544" s="18" t="n"/>
    </row>
    <row r="1545">
      <c r="B1545" s="56" t="inlineStr">
        <is>
          <t>00023-UNI</t>
        </is>
      </c>
      <c r="C1545" s="18">
        <f>IFERROR(_xlfn.XLOOKUP(ENTRADAS[[#This Row],[CODIGO]],LISTADO[CODIGOS],LISTADO[CATEGORIA]),"NO EXISTE")</f>
        <v/>
      </c>
      <c r="D1545" s="18">
        <f>IFERROR(_xlfn.XLOOKUP(ENTRADAS[[#This Row],[CODIGO]],LISTADO[CODIGOS],LISTADO[PRODUCTOS]),"NO EXISTE")</f>
        <v/>
      </c>
      <c r="E1545" s="19" t="n">
        <v>46141</v>
      </c>
      <c r="F1545" s="18" t="n">
        <v>19</v>
      </c>
      <c r="G1545" s="18" t="inlineStr">
        <is>
          <t>INVENTARIO</t>
        </is>
      </c>
      <c r="H1545" s="18" t="n"/>
      <c r="I1545" s="45" t="n"/>
      <c r="J1545" s="77" t="n"/>
      <c r="K1545" s="18" t="n"/>
    </row>
    <row r="1546">
      <c r="B1546" s="56" t="inlineStr">
        <is>
          <t>00035-UNI</t>
        </is>
      </c>
      <c r="C1546" s="18">
        <f>IFERROR(_xlfn.XLOOKUP(ENTRADAS[[#This Row],[CODIGO]],LISTADO[CODIGOS],LISTADO[CATEGORIA]),"NO EXISTE")</f>
        <v/>
      </c>
      <c r="D1546" s="18">
        <f>IFERROR(_xlfn.XLOOKUP(ENTRADAS[[#This Row],[CODIGO]],LISTADO[CODIGOS],LISTADO[PRODUCTOS]),"NO EXISTE")</f>
        <v/>
      </c>
      <c r="E1546" s="19" t="n">
        <v>46141</v>
      </c>
      <c r="F1546" s="18" t="n">
        <v>1</v>
      </c>
      <c r="G1546" s="18" t="inlineStr">
        <is>
          <t>INVENTARIO</t>
        </is>
      </c>
      <c r="H1546" s="18" t="n"/>
      <c r="I1546" s="45" t="n"/>
      <c r="J1546" s="77" t="n"/>
      <c r="K1546" s="18" t="n"/>
    </row>
    <row r="1547">
      <c r="B1547" s="56" t="inlineStr">
        <is>
          <t>00040-UNI</t>
        </is>
      </c>
      <c r="C1547" s="18">
        <f>IFERROR(_xlfn.XLOOKUP(ENTRADAS[[#This Row],[CODIGO]],LISTADO[CODIGOS],LISTADO[CATEGORIA]),"NO EXISTE")</f>
        <v/>
      </c>
      <c r="D1547" s="18">
        <f>IFERROR(_xlfn.XLOOKUP(ENTRADAS[[#This Row],[CODIGO]],LISTADO[CODIGOS],LISTADO[PRODUCTOS]),"NO EXISTE")</f>
        <v/>
      </c>
      <c r="E1547" s="19" t="n">
        <v>46141</v>
      </c>
      <c r="F1547" s="18" t="n">
        <v>1</v>
      </c>
      <c r="G1547" s="18" t="inlineStr">
        <is>
          <t>INVENTARIO</t>
        </is>
      </c>
      <c r="H1547" s="18" t="n"/>
      <c r="I1547" s="45" t="n"/>
      <c r="J1547" s="77" t="n"/>
      <c r="K1547" s="18" t="n"/>
    </row>
    <row r="1548">
      <c r="B1548" s="56" t="inlineStr">
        <is>
          <t>00056-UNI</t>
        </is>
      </c>
      <c r="C1548" s="18">
        <f>IFERROR(_xlfn.XLOOKUP(ENTRADAS[[#This Row],[CODIGO]],LISTADO[CODIGOS],LISTADO[CATEGORIA]),"NO EXISTE")</f>
        <v/>
      </c>
      <c r="D1548" s="18">
        <f>IFERROR(_xlfn.XLOOKUP(ENTRADAS[[#This Row],[CODIGO]],LISTADO[CODIGOS],LISTADO[PRODUCTOS]),"NO EXISTE")</f>
        <v/>
      </c>
      <c r="E1548" s="19" t="n">
        <v>46141</v>
      </c>
      <c r="F1548" s="18" t="n">
        <v>1</v>
      </c>
      <c r="G1548" s="18" t="inlineStr">
        <is>
          <t>INVENTARIO</t>
        </is>
      </c>
      <c r="H1548" s="18" t="n"/>
      <c r="I1548" s="45" t="n"/>
      <c r="J1548" s="77" t="n"/>
      <c r="K1548" s="18" t="n"/>
    </row>
    <row r="1549">
      <c r="B1549" s="56" t="inlineStr">
        <is>
          <t>00060-UNI</t>
        </is>
      </c>
      <c r="C1549" s="18">
        <f>IFERROR(_xlfn.XLOOKUP(ENTRADAS[[#This Row],[CODIGO]],LISTADO[CODIGOS],LISTADO[CATEGORIA]),"NO EXISTE")</f>
        <v/>
      </c>
      <c r="D1549" s="18">
        <f>IFERROR(_xlfn.XLOOKUP(ENTRADAS[[#This Row],[CODIGO]],LISTADO[CODIGOS],LISTADO[PRODUCTOS]),"NO EXISTE")</f>
        <v/>
      </c>
      <c r="E1549" s="19" t="n">
        <v>46141</v>
      </c>
      <c r="F1549" s="18" t="n">
        <v>2</v>
      </c>
      <c r="G1549" s="18" t="inlineStr">
        <is>
          <t>INVENTARIO</t>
        </is>
      </c>
      <c r="H1549" s="18" t="n"/>
      <c r="I1549" s="45" t="n"/>
      <c r="J1549" s="77" t="n"/>
      <c r="K1549" s="18" t="n"/>
    </row>
    <row r="1550">
      <c r="B1550" s="56" t="inlineStr">
        <is>
          <t>00062-UNI</t>
        </is>
      </c>
      <c r="C1550" s="18">
        <f>IFERROR(_xlfn.XLOOKUP(ENTRADAS[[#This Row],[CODIGO]],LISTADO[CODIGOS],LISTADO[CATEGORIA]),"NO EXISTE")</f>
        <v/>
      </c>
      <c r="D1550" s="18">
        <f>IFERROR(_xlfn.XLOOKUP(ENTRADAS[[#This Row],[CODIGO]],LISTADO[CODIGOS],LISTADO[PRODUCTOS]),"NO EXISTE")</f>
        <v/>
      </c>
      <c r="E1550" s="19" t="n">
        <v>46141</v>
      </c>
      <c r="F1550" s="18" t="n">
        <v>3</v>
      </c>
      <c r="G1550" s="18" t="inlineStr">
        <is>
          <t>INVENTARIO</t>
        </is>
      </c>
      <c r="H1550" s="18" t="n"/>
      <c r="I1550" s="45" t="n"/>
      <c r="J1550" s="77" t="n"/>
      <c r="K1550" s="18" t="n"/>
    </row>
    <row r="1551">
      <c r="B1551" s="56" t="inlineStr">
        <is>
          <t>00064-UNI</t>
        </is>
      </c>
      <c r="C1551" s="18">
        <f>IFERROR(_xlfn.XLOOKUP(ENTRADAS[[#This Row],[CODIGO]],LISTADO[CODIGOS],LISTADO[CATEGORIA]),"NO EXISTE")</f>
        <v/>
      </c>
      <c r="D1551" s="18">
        <f>IFERROR(_xlfn.XLOOKUP(ENTRADAS[[#This Row],[CODIGO]],LISTADO[CODIGOS],LISTADO[PRODUCTOS]),"NO EXISTE")</f>
        <v/>
      </c>
      <c r="E1551" s="19" t="n">
        <v>46141</v>
      </c>
      <c r="F1551" s="18" t="n">
        <v>68</v>
      </c>
      <c r="G1551" s="18" t="inlineStr">
        <is>
          <t>INVENTARIO</t>
        </is>
      </c>
      <c r="H1551" s="18" t="n"/>
      <c r="I1551" s="45" t="n"/>
      <c r="J1551" s="77" t="n"/>
      <c r="K1551" s="18" t="n"/>
    </row>
    <row r="1552">
      <c r="B1552" s="56" t="inlineStr">
        <is>
          <t>00065-UNI</t>
        </is>
      </c>
      <c r="C1552" s="18">
        <f>IFERROR(_xlfn.XLOOKUP(ENTRADAS[[#This Row],[CODIGO]],LISTADO[CODIGOS],LISTADO[CATEGORIA]),"NO EXISTE")</f>
        <v/>
      </c>
      <c r="D1552" s="18">
        <f>IFERROR(_xlfn.XLOOKUP(ENTRADAS[[#This Row],[CODIGO]],LISTADO[CODIGOS],LISTADO[PRODUCTOS]),"NO EXISTE")</f>
        <v/>
      </c>
      <c r="E1552" s="19" t="n">
        <v>46141</v>
      </c>
      <c r="F1552" s="18" t="n">
        <v>10</v>
      </c>
      <c r="G1552" s="18" t="inlineStr">
        <is>
          <t>INVENTARIO</t>
        </is>
      </c>
      <c r="H1552" s="18" t="n"/>
      <c r="I1552" s="45" t="n"/>
      <c r="J1552" s="77" t="n"/>
      <c r="K1552" s="18" t="n"/>
    </row>
    <row r="1553">
      <c r="B1553" s="56" t="inlineStr">
        <is>
          <t>00045-UNI</t>
        </is>
      </c>
      <c r="C1553" s="18">
        <f>IFERROR(_xlfn.XLOOKUP(ENTRADAS[[#This Row],[CODIGO]],LISTADO[CODIGOS],LISTADO[CATEGORIA]),"NO EXISTE")</f>
        <v/>
      </c>
      <c r="D1553" s="18">
        <f>IFERROR(_xlfn.XLOOKUP(ENTRADAS[[#This Row],[CODIGO]],LISTADO[CODIGOS],LISTADO[PRODUCTOS]),"NO EXISTE")</f>
        <v/>
      </c>
      <c r="E1553" s="19" t="n">
        <v>46141</v>
      </c>
      <c r="F1553" s="18" t="n">
        <v>4</v>
      </c>
      <c r="G1553" s="18" t="inlineStr">
        <is>
          <t>INVENTARIO</t>
        </is>
      </c>
      <c r="H1553" s="18" t="n"/>
      <c r="I1553" s="45" t="n"/>
      <c r="J1553" s="77" t="n"/>
      <c r="K1553" s="18" t="n"/>
    </row>
    <row r="1554">
      <c r="B1554" s="56" t="inlineStr">
        <is>
          <t>00025-UNI</t>
        </is>
      </c>
      <c r="C1554" s="18">
        <f>IFERROR(_xlfn.XLOOKUP(ENTRADAS[[#This Row],[CODIGO]],LISTADO[CODIGOS],LISTADO[CATEGORIA]),"NO EXISTE")</f>
        <v/>
      </c>
      <c r="D1554" s="18">
        <f>IFERROR(_xlfn.XLOOKUP(ENTRADAS[[#This Row],[CODIGO]],LISTADO[CODIGOS],LISTADO[PRODUCTOS]),"NO EXISTE")</f>
        <v/>
      </c>
      <c r="E1554" s="19" t="n">
        <v>46141</v>
      </c>
      <c r="F1554" s="18" t="n">
        <v>1</v>
      </c>
      <c r="G1554" s="18" t="inlineStr">
        <is>
          <t>INVENTARIO</t>
        </is>
      </c>
      <c r="H1554" s="18" t="n"/>
      <c r="I1554" s="45" t="n"/>
      <c r="J1554" s="77" t="n"/>
      <c r="K1554" s="18" t="n"/>
    </row>
    <row r="1555">
      <c r="B1555" s="56" t="inlineStr">
        <is>
          <t>00027-UNI</t>
        </is>
      </c>
      <c r="C1555" s="18">
        <f>IFERROR(_xlfn.XLOOKUP(ENTRADAS[[#This Row],[CODIGO]],LISTADO[CODIGOS],LISTADO[CATEGORIA]),"NO EXISTE")</f>
        <v/>
      </c>
      <c r="D1555" s="18">
        <f>IFERROR(_xlfn.XLOOKUP(ENTRADAS[[#This Row],[CODIGO]],LISTADO[CODIGOS],LISTADO[PRODUCTOS]),"NO EXISTE")</f>
        <v/>
      </c>
      <c r="E1555" s="19" t="n">
        <v>46141</v>
      </c>
      <c r="F1555" s="18" t="n">
        <v>18</v>
      </c>
      <c r="G1555" s="18" t="inlineStr">
        <is>
          <t>INVENTARIO</t>
        </is>
      </c>
      <c r="H1555" s="18" t="n"/>
      <c r="I1555" s="45" t="n"/>
      <c r="J1555" s="77" t="n"/>
      <c r="K1555" s="18" t="n"/>
    </row>
    <row r="1556">
      <c r="B1556" s="56" t="inlineStr">
        <is>
          <t>00031-UNI</t>
        </is>
      </c>
      <c r="C1556" s="18">
        <f>IFERROR(_xlfn.XLOOKUP(ENTRADAS[[#This Row],[CODIGO]],LISTADO[CODIGOS],LISTADO[CATEGORIA]),"NO EXISTE")</f>
        <v/>
      </c>
      <c r="D1556" s="18">
        <f>IFERROR(_xlfn.XLOOKUP(ENTRADAS[[#This Row],[CODIGO]],LISTADO[CODIGOS],LISTADO[PRODUCTOS]),"NO EXISTE")</f>
        <v/>
      </c>
      <c r="E1556" s="19" t="n">
        <v>46141</v>
      </c>
      <c r="F1556" s="18" t="n">
        <v>1</v>
      </c>
      <c r="G1556" s="18" t="inlineStr">
        <is>
          <t>INVENTARIO</t>
        </is>
      </c>
      <c r="H1556" s="18" t="n"/>
      <c r="I1556" s="45" t="n"/>
      <c r="J1556" s="77" t="n"/>
      <c r="K1556" s="18" t="n"/>
    </row>
    <row r="1557">
      <c r="B1557" s="18" t="inlineStr">
        <is>
          <t>00212-FER</t>
        </is>
      </c>
      <c r="C1557" s="18">
        <f>IFERROR(_xlfn.XLOOKUP(ENTRADAS[[#This Row],[CODIGO]],LISTADO[CODIGOS],LISTADO[CATEGORIA]),"NO EXISTE")</f>
        <v/>
      </c>
      <c r="D1557" s="18">
        <f>IFERROR(_xlfn.XLOOKUP(ENTRADAS[[#This Row],[CODIGO]],LISTADO[CODIGOS],LISTADO[PRODUCTOS]),"NO EXISTE")</f>
        <v/>
      </c>
      <c r="E1557" s="19" t="n">
        <v>46141</v>
      </c>
      <c r="F1557" s="18" t="n">
        <v>2</v>
      </c>
      <c r="G1557" s="18" t="inlineStr">
        <is>
          <t>INGRESO</t>
        </is>
      </c>
      <c r="H1557" s="18" t="n"/>
      <c r="I1557" s="45" t="n"/>
      <c r="J1557" s="77" t="n"/>
      <c r="K1557" s="18" t="n"/>
    </row>
    <row r="1558">
      <c r="B1558" s="56" t="inlineStr">
        <is>
          <t>00025-MSC</t>
        </is>
      </c>
      <c r="C1558" s="18">
        <f>IFERROR(_xlfn.XLOOKUP(ENTRADAS[[#This Row],[CODIGO]],LISTADO[CODIGOS],LISTADO[CATEGORIA]),"NO EXISTE")</f>
        <v/>
      </c>
      <c r="D1558" s="18">
        <f>IFERROR(_xlfn.XLOOKUP(ENTRADAS[[#This Row],[CODIGO]],LISTADO[CODIGOS],LISTADO[PRODUCTOS]),"NO EXISTE")</f>
        <v/>
      </c>
      <c r="E1558" s="19" t="n">
        <v>46141</v>
      </c>
      <c r="F1558" s="18" t="n">
        <v>4</v>
      </c>
      <c r="G1558" s="18" t="inlineStr">
        <is>
          <t>INGRESO</t>
        </is>
      </c>
      <c r="H1558" s="18" t="inlineStr">
        <is>
          <t>HOGAR IDEAL 1441 CA</t>
        </is>
      </c>
      <c r="I1558" s="45" t="n"/>
      <c r="J1558" s="77" t="n">
        <v>1257.39</v>
      </c>
      <c r="K1558" s="18" t="n"/>
    </row>
    <row r="1559">
      <c r="B1559" s="56" t="inlineStr">
        <is>
          <t>00066-PLM</t>
        </is>
      </c>
      <c r="C1559" s="18">
        <f>IFERROR(_xlfn.XLOOKUP(ENTRADAS[[#This Row],[CODIGO]],LISTADO[CODIGOS],LISTADO[CATEGORIA]),"NO EXISTE")</f>
        <v/>
      </c>
      <c r="D1559" s="18">
        <f>IFERROR(_xlfn.XLOOKUP(ENTRADAS[[#This Row],[CODIGO]],LISTADO[CODIGOS],LISTADO[PRODUCTOS]),"NO EXISTE")</f>
        <v/>
      </c>
      <c r="E1559" s="19" t="n">
        <v>46141</v>
      </c>
      <c r="F1559" s="18" t="n">
        <v>2</v>
      </c>
      <c r="G1559" s="18" t="inlineStr">
        <is>
          <t>INGRESO</t>
        </is>
      </c>
      <c r="H1559" s="18" t="inlineStr">
        <is>
          <t>CENTER MARK</t>
        </is>
      </c>
      <c r="I1559" s="45" t="n"/>
      <c r="J1559" s="77" t="n">
        <v>340.31</v>
      </c>
      <c r="K1559" s="18" t="n">
        <v>486.2</v>
      </c>
    </row>
    <row r="1560">
      <c r="B1560" s="18" t="inlineStr">
        <is>
          <t>00041-PLM</t>
        </is>
      </c>
      <c r="C1560" s="18">
        <f>IFERROR(_xlfn.XLOOKUP(ENTRADAS[[#This Row],[CODIGO]],LISTADO[CODIGOS],LISTADO[CATEGORIA]),"NO EXISTE")</f>
        <v/>
      </c>
      <c r="D1560" s="18">
        <f>IFERROR(_xlfn.XLOOKUP(ENTRADAS[[#This Row],[CODIGO]],LISTADO[CODIGOS],LISTADO[PRODUCTOS]),"NO EXISTE")</f>
        <v/>
      </c>
      <c r="E1560" s="19" t="n">
        <v>46141</v>
      </c>
      <c r="F1560" s="18" t="n">
        <v>1</v>
      </c>
      <c r="G1560" s="18" t="inlineStr">
        <is>
          <t>INGRESO</t>
        </is>
      </c>
      <c r="H1560" s="18" t="inlineStr">
        <is>
          <t>CENTER MARK</t>
        </is>
      </c>
      <c r="I1560" s="45" t="n"/>
      <c r="J1560" s="77" t="n">
        <v>291.7</v>
      </c>
      <c r="K1560" s="18" t="n">
        <v>486.2</v>
      </c>
    </row>
    <row r="1561">
      <c r="B1561" s="56" t="inlineStr">
        <is>
          <t>00030-PLM</t>
        </is>
      </c>
      <c r="C1561" s="18">
        <f>IFERROR(_xlfn.XLOOKUP(ENTRADAS[[#This Row],[CODIGO]],LISTADO[CODIGOS],LISTADO[CATEGORIA]),"NO EXISTE")</f>
        <v/>
      </c>
      <c r="D1561" s="18">
        <f>IFERROR(_xlfn.XLOOKUP(ENTRADAS[[#This Row],[CODIGO]],LISTADO[CODIGOS],LISTADO[PRODUCTOS]),"NO EXISTE")</f>
        <v/>
      </c>
      <c r="E1561" s="19" t="n">
        <v>46141</v>
      </c>
      <c r="F1561" s="18" t="n">
        <v>1</v>
      </c>
      <c r="G1561" s="18" t="inlineStr">
        <is>
          <t>INGRESO</t>
        </is>
      </c>
      <c r="H1561" s="18" t="inlineStr">
        <is>
          <t>CENTER MARK</t>
        </is>
      </c>
      <c r="I1561" s="45" t="n"/>
      <c r="J1561" s="77" t="n">
        <v>729.3</v>
      </c>
      <c r="K1561" s="18" t="n">
        <v>486.2</v>
      </c>
    </row>
    <row r="1562">
      <c r="B1562" s="18" t="inlineStr">
        <is>
          <t>00104-ELE</t>
        </is>
      </c>
      <c r="C1562" s="18">
        <f>IFERROR(_xlfn.XLOOKUP(ENTRADAS[[#This Row],[CODIGO]],LISTADO[CODIGOS],LISTADO[CATEGORIA]),"NO EXISTE")</f>
        <v/>
      </c>
      <c r="D1562" s="18">
        <f>IFERROR(_xlfn.XLOOKUP(ENTRADAS[[#This Row],[CODIGO]],LISTADO[CODIGOS],LISTADO[PRODUCTOS]),"NO EXISTE")</f>
        <v/>
      </c>
      <c r="E1562" s="19" t="n">
        <v>46141</v>
      </c>
      <c r="F1562" s="18" t="n">
        <v>1</v>
      </c>
      <c r="G1562" s="18" t="inlineStr">
        <is>
          <t>INGRESO</t>
        </is>
      </c>
      <c r="H1562" s="18" t="inlineStr">
        <is>
          <t>UN MUNDO DE SOLUCIONES</t>
        </is>
      </c>
      <c r="I1562" s="45" t="n"/>
      <c r="J1562" s="77" t="n">
        <v>1113500</v>
      </c>
      <c r="K1562" s="18" t="n"/>
    </row>
    <row r="1563">
      <c r="B1563" s="18" t="inlineStr">
        <is>
          <t>00106-ELE</t>
        </is>
      </c>
      <c r="C1563" s="18">
        <f>IFERROR(_xlfn.XLOOKUP(ENTRADAS[[#This Row],[CODIGO]],LISTADO[CODIGOS],LISTADO[CATEGORIA]),"NO EXISTE")</f>
        <v/>
      </c>
      <c r="D1563" s="18">
        <f>IFERROR(_xlfn.XLOOKUP(ENTRADAS[[#This Row],[CODIGO]],LISTADO[CODIGOS],LISTADO[PRODUCTOS]),"NO EXISTE")</f>
        <v/>
      </c>
      <c r="E1563" s="19" t="n">
        <v>46141</v>
      </c>
      <c r="F1563" s="18" t="n">
        <v>1</v>
      </c>
      <c r="G1563" s="18" t="inlineStr">
        <is>
          <t>INGRESO</t>
        </is>
      </c>
      <c r="H1563" s="18" t="inlineStr">
        <is>
          <t>REPUESTOS OSMAR</t>
        </is>
      </c>
      <c r="I1563" s="45" t="n"/>
      <c r="J1563" s="77" t="n">
        <v>13086.21</v>
      </c>
      <c r="K1563" s="18" t="n"/>
    </row>
    <row r="1564">
      <c r="B1564" s="56" t="inlineStr">
        <is>
          <t>00035-ELE</t>
        </is>
      </c>
      <c r="C1564" s="18">
        <f>IFERROR(_xlfn.XLOOKUP(ENTRADAS[[#This Row],[CODIGO]],LISTADO[CODIGOS],LISTADO[CATEGORIA]),"NO EXISTE")</f>
        <v/>
      </c>
      <c r="D1564" s="18">
        <f>IFERROR(_xlfn.XLOOKUP(ENTRADAS[[#This Row],[CODIGO]],LISTADO[CODIGOS],LISTADO[PRODUCTOS]),"NO EXISTE")</f>
        <v/>
      </c>
      <c r="E1564" s="19" t="n">
        <v>46141</v>
      </c>
      <c r="F1564" s="18" t="n">
        <v>6</v>
      </c>
      <c r="G1564" s="18" t="inlineStr">
        <is>
          <t>INGRESO</t>
        </is>
      </c>
      <c r="H1564" s="18" t="inlineStr">
        <is>
          <t>REPUESTOS OSMAR</t>
        </is>
      </c>
      <c r="I1564" s="45" t="n"/>
      <c r="J1564" s="77" t="n">
        <v>8534.48</v>
      </c>
      <c r="K1564" s="18" t="n"/>
    </row>
    <row r="1565">
      <c r="B1565" s="56" t="inlineStr">
        <is>
          <t>00029-ELE</t>
        </is>
      </c>
      <c r="C1565" s="18">
        <f>IFERROR(_xlfn.XLOOKUP(ENTRADAS[[#This Row],[CODIGO]],LISTADO[CODIGOS],LISTADO[CATEGORIA]),"NO EXISTE")</f>
        <v/>
      </c>
      <c r="D1565" s="18">
        <f>IFERROR(_xlfn.XLOOKUP(ENTRADAS[[#This Row],[CODIGO]],LISTADO[CODIGOS],LISTADO[PRODUCTOS]),"NO EXISTE")</f>
        <v/>
      </c>
      <c r="E1565" s="19" t="n">
        <v>46141</v>
      </c>
      <c r="F1565" s="18" t="n">
        <v>1</v>
      </c>
      <c r="G1565" s="18" t="inlineStr">
        <is>
          <t>INGRESO</t>
        </is>
      </c>
      <c r="H1565" s="18" t="inlineStr">
        <is>
          <t>REPUESTOS OSMAR</t>
        </is>
      </c>
      <c r="I1565" s="45" t="n"/>
      <c r="J1565" s="77" t="n">
        <v>11379.31</v>
      </c>
      <c r="K1565" s="18" t="n"/>
    </row>
    <row r="1566">
      <c r="B1566" s="18" t="inlineStr">
        <is>
          <t>00107-ELE</t>
        </is>
      </c>
      <c r="C1566" s="18">
        <f>IFERROR(_xlfn.XLOOKUP(ENTRADAS[[#This Row],[CODIGO]],LISTADO[CODIGOS],LISTADO[CATEGORIA]),"NO EXISTE")</f>
        <v/>
      </c>
      <c r="D1566" s="18">
        <f>IFERROR(_xlfn.XLOOKUP(ENTRADAS[[#This Row],[CODIGO]],LISTADO[CODIGOS],LISTADO[PRODUCTOS]),"NO EXISTE")</f>
        <v/>
      </c>
      <c r="E1566" s="19" t="n">
        <v>46141</v>
      </c>
      <c r="F1566" s="18" t="n">
        <v>1</v>
      </c>
      <c r="G1566" s="18" t="inlineStr">
        <is>
          <t>INGRESO</t>
        </is>
      </c>
      <c r="H1566" s="18" t="inlineStr">
        <is>
          <t>ELECTRICOS VENAGUA</t>
        </is>
      </c>
      <c r="I1566" s="45" t="n">
        <v>33.65</v>
      </c>
      <c r="J1566" s="77" t="n"/>
      <c r="K1566" s="18" t="n"/>
    </row>
    <row r="1567">
      <c r="B1567" s="56" t="inlineStr">
        <is>
          <t>00047-ELE</t>
        </is>
      </c>
      <c r="C1567" s="18">
        <f>IFERROR(_xlfn.XLOOKUP(ENTRADAS[[#This Row],[CODIGO]],LISTADO[CODIGOS],LISTADO[CATEGORIA]),"NO EXISTE")</f>
        <v/>
      </c>
      <c r="D1567" s="18">
        <f>IFERROR(_xlfn.XLOOKUP(ENTRADAS[[#This Row],[CODIGO]],LISTADO[CODIGOS],LISTADO[PRODUCTOS]),"NO EXISTE")</f>
        <v/>
      </c>
      <c r="E1567" s="19" t="n">
        <v>46141</v>
      </c>
      <c r="F1567" s="18" t="n">
        <v>10</v>
      </c>
      <c r="G1567" s="18" t="inlineStr">
        <is>
          <t>INGRESO</t>
        </is>
      </c>
      <c r="H1567" s="18" t="inlineStr">
        <is>
          <t>CENTER MARK</t>
        </is>
      </c>
      <c r="I1567" s="45" t="n"/>
      <c r="J1567" s="77" t="n">
        <v>388.99</v>
      </c>
      <c r="K1567" s="18" t="n"/>
    </row>
    <row r="1568">
      <c r="B1568" s="18" t="inlineStr">
        <is>
          <t>00051-ELC</t>
        </is>
      </c>
      <c r="C1568" s="18">
        <f>IFERROR(_xlfn.XLOOKUP(ENTRADAS[[#This Row],[CODIGO]],LISTADO[CODIGOS],LISTADO[CATEGORIA]),"NO EXISTE")</f>
        <v/>
      </c>
      <c r="D1568" s="18">
        <f>IFERROR(_xlfn.XLOOKUP(ENTRADAS[[#This Row],[CODIGO]],LISTADO[CODIGOS],LISTADO[PRODUCTOS]),"NO EXISTE")</f>
        <v/>
      </c>
      <c r="E1568" s="19" t="n">
        <v>46142</v>
      </c>
      <c r="F1568" s="18" t="n">
        <v>1</v>
      </c>
      <c r="G1568" s="18" t="inlineStr">
        <is>
          <t>DEVOLUCION</t>
        </is>
      </c>
      <c r="H1568" s="18" t="n"/>
      <c r="I1568" s="45" t="n"/>
      <c r="J1568" s="77" t="n"/>
      <c r="K1568" s="18" t="n"/>
    </row>
    <row r="1569">
      <c r="B1569" s="56" t="inlineStr">
        <is>
          <t>00029-ELC</t>
        </is>
      </c>
      <c r="C1569" s="18">
        <f>IFERROR(_xlfn.XLOOKUP(ENTRADAS[[#This Row],[CODIGO]],LISTADO[CODIGOS],LISTADO[CATEGORIA]),"NO EXISTE")</f>
        <v/>
      </c>
      <c r="D1569" s="18">
        <f>IFERROR(_xlfn.XLOOKUP(ENTRADAS[[#This Row],[CODIGO]],LISTADO[CODIGOS],LISTADO[PRODUCTOS]),"NO EXISTE")</f>
        <v/>
      </c>
      <c r="E1569" s="19" t="n">
        <v>46142</v>
      </c>
      <c r="F1569" s="18" t="n">
        <v>1</v>
      </c>
      <c r="G1569" s="18" t="inlineStr">
        <is>
          <t>INGRESO</t>
        </is>
      </c>
      <c r="H1569" s="18" t="inlineStr">
        <is>
          <t>MULTIMAX STORE CA</t>
        </is>
      </c>
      <c r="I1569" s="45" t="n"/>
      <c r="J1569" s="77" t="n">
        <v>33586.87</v>
      </c>
      <c r="K1569" s="18" t="n"/>
    </row>
    <row r="1570">
      <c r="B1570" s="56" t="inlineStr">
        <is>
          <t>00045-ELC</t>
        </is>
      </c>
      <c r="C1570" s="18">
        <f>IFERROR(_xlfn.XLOOKUP(ENTRADAS[[#This Row],[CODIGO]],LISTADO[CODIGOS],LISTADO[CATEGORIA]),"NO EXISTE")</f>
        <v/>
      </c>
      <c r="D1570" s="18">
        <f>IFERROR(_xlfn.XLOOKUP(ENTRADAS[[#This Row],[CODIGO]],LISTADO[CODIGOS],LISTADO[PRODUCTOS]),"NO EXISTE")</f>
        <v/>
      </c>
      <c r="E1570" s="19" t="n">
        <v>46142</v>
      </c>
      <c r="F1570" s="18" t="n">
        <v>2</v>
      </c>
      <c r="G1570" s="18" t="inlineStr">
        <is>
          <t>INGRESO</t>
        </is>
      </c>
      <c r="H1570" s="18" t="inlineStr">
        <is>
          <t>MULTIMAX STORE CA</t>
        </is>
      </c>
      <c r="I1570" s="45" t="n"/>
      <c r="J1570" s="77" t="n">
        <v>50387.61</v>
      </c>
      <c r="K1570" s="18" t="n"/>
    </row>
    <row r="1571">
      <c r="B1571" s="56" t="inlineStr">
        <is>
          <t>00214-FER</t>
        </is>
      </c>
      <c r="C1571" s="18">
        <f>IFERROR(_xlfn.XLOOKUP(ENTRADAS[[#This Row],[CODIGO]],LISTADO[CODIGOS],LISTADO[CATEGORIA]),"NO EXISTE")</f>
        <v/>
      </c>
      <c r="D1571" s="18">
        <f>IFERROR(_xlfn.XLOOKUP(ENTRADAS[[#This Row],[CODIGO]],LISTADO[CODIGOS],LISTADO[PRODUCTOS]),"NO EXISTE")</f>
        <v/>
      </c>
      <c r="E1571" s="19" t="n">
        <v>46142</v>
      </c>
      <c r="F1571" s="18" t="n">
        <v>1</v>
      </c>
      <c r="G1571" s="18" t="inlineStr">
        <is>
          <t>INGRESO</t>
        </is>
      </c>
      <c r="H1571" s="18" t="inlineStr">
        <is>
          <t>CENTER MARK</t>
        </is>
      </c>
      <c r="I1571" s="45" t="n"/>
      <c r="J1571" s="77" t="n">
        <v>6320.6</v>
      </c>
      <c r="K1571" s="18" t="n"/>
    </row>
    <row r="1572">
      <c r="B1572" s="56" t="inlineStr">
        <is>
          <t>00215-FER</t>
        </is>
      </c>
      <c r="C1572" s="18">
        <f>IFERROR(_xlfn.XLOOKUP(ENTRADAS[[#This Row],[CODIGO]],LISTADO[CODIGOS],LISTADO[CATEGORIA]),"NO EXISTE")</f>
        <v/>
      </c>
      <c r="D1572" s="18">
        <f>IFERROR(_xlfn.XLOOKUP(ENTRADAS[[#This Row],[CODIGO]],LISTADO[CODIGOS],LISTADO[PRODUCTOS]),"NO EXISTE")</f>
        <v/>
      </c>
      <c r="E1572" s="19" t="n">
        <v>46142</v>
      </c>
      <c r="F1572" s="18" t="n">
        <v>2</v>
      </c>
      <c r="G1572" s="18" t="inlineStr">
        <is>
          <t>INGRESO</t>
        </is>
      </c>
      <c r="H1572" s="18" t="inlineStr">
        <is>
          <t>CENTER MARK</t>
        </is>
      </c>
      <c r="I1572" s="45" t="n"/>
      <c r="J1572" s="77" t="n">
        <v>1944.76</v>
      </c>
      <c r="K1572" s="18" t="n"/>
    </row>
    <row r="1573">
      <c r="B1573" s="18" t="inlineStr">
        <is>
          <t>00133-REF</t>
        </is>
      </c>
      <c r="C1573" s="18">
        <f>IFERROR(_xlfn.XLOOKUP(ENTRADAS[[#This Row],[CODIGO]],LISTADO[CODIGOS],LISTADO[CATEGORIA]),"NO EXISTE")</f>
        <v/>
      </c>
      <c r="D1573" s="18">
        <f>IFERROR(_xlfn.XLOOKUP(ENTRADAS[[#This Row],[CODIGO]],LISTADO[CODIGOS],LISTADO[PRODUCTOS]),"NO EXISTE")</f>
        <v/>
      </c>
      <c r="E1573" s="19" t="n">
        <v>46142</v>
      </c>
      <c r="F1573" s="18" t="n">
        <v>1</v>
      </c>
      <c r="G1573" s="18" t="inlineStr">
        <is>
          <t>INGRESO</t>
        </is>
      </c>
      <c r="H1573" s="18" t="inlineStr">
        <is>
          <t>REFRIGERACION ORINOCO</t>
        </is>
      </c>
      <c r="I1573" s="45" t="n">
        <v>360</v>
      </c>
      <c r="J1573" s="77" t="n"/>
      <c r="K1573" s="18" t="n"/>
    </row>
    <row r="1574">
      <c r="B1574" s="18" t="inlineStr">
        <is>
          <t>00134-REF</t>
        </is>
      </c>
      <c r="C1574" s="18">
        <f>IFERROR(_xlfn.XLOOKUP(ENTRADAS[[#This Row],[CODIGO]],LISTADO[CODIGOS],LISTADO[CATEGORIA]),"NO EXISTE")</f>
        <v/>
      </c>
      <c r="D1574" s="18">
        <f>IFERROR(_xlfn.XLOOKUP(ENTRADAS[[#This Row],[CODIGO]],LISTADO[CODIGOS],LISTADO[PRODUCTOS]),"NO EXISTE")</f>
        <v/>
      </c>
      <c r="E1574" s="19" t="n">
        <v>46142</v>
      </c>
      <c r="F1574" s="18" t="n">
        <v>3</v>
      </c>
      <c r="G1574" s="18" t="inlineStr">
        <is>
          <t>INGRESO</t>
        </is>
      </c>
      <c r="H1574" s="18" t="inlineStr">
        <is>
          <t>REFRIGERACION ORINOCO</t>
        </is>
      </c>
      <c r="I1574" s="45" t="n">
        <v>2.8</v>
      </c>
      <c r="J1574" s="77" t="n"/>
      <c r="K1574" s="18" t="n"/>
    </row>
    <row r="1575">
      <c r="B1575" s="18" t="inlineStr">
        <is>
          <t>00101-REF</t>
        </is>
      </c>
      <c r="C1575" s="18">
        <f>IFERROR(_xlfn.XLOOKUP(ENTRADAS[[#This Row],[CODIGO]],LISTADO[CODIGOS],LISTADO[CATEGORIA]),"NO EXISTE")</f>
        <v/>
      </c>
      <c r="D1575" s="18">
        <f>IFERROR(_xlfn.XLOOKUP(ENTRADAS[[#This Row],[CODIGO]],LISTADO[CODIGOS],LISTADO[PRODUCTOS]),"NO EXISTE")</f>
        <v/>
      </c>
      <c r="E1575" s="19" t="n">
        <v>46142</v>
      </c>
      <c r="F1575" s="18" t="n">
        <v>1</v>
      </c>
      <c r="G1575" s="18" t="inlineStr">
        <is>
          <t>INGRESO</t>
        </is>
      </c>
      <c r="H1575" s="18" t="inlineStr">
        <is>
          <t>REFRIGERACION ORINOCO</t>
        </is>
      </c>
      <c r="I1575" s="45" t="n">
        <v>525</v>
      </c>
      <c r="J1575" s="77" t="n"/>
      <c r="K1575" s="18" t="n"/>
    </row>
    <row r="1576">
      <c r="B1576" s="18" t="inlineStr">
        <is>
          <t>00134-REF</t>
        </is>
      </c>
      <c r="C1576" s="18">
        <f>IFERROR(_xlfn.XLOOKUP(ENTRADAS[[#This Row],[CODIGO]],LISTADO[CODIGOS],LISTADO[CATEGORIA]),"NO EXISTE")</f>
        <v/>
      </c>
      <c r="D1576" s="18">
        <f>IFERROR(_xlfn.XLOOKUP(ENTRADAS[[#This Row],[CODIGO]],LISTADO[CODIGOS],LISTADO[PRODUCTOS]),"NO EXISTE")</f>
        <v/>
      </c>
      <c r="E1576" s="19" t="n">
        <v>46142</v>
      </c>
      <c r="F1576" s="18" t="n">
        <v>3</v>
      </c>
      <c r="G1576" s="18" t="inlineStr">
        <is>
          <t>INGRESO</t>
        </is>
      </c>
      <c r="H1576" s="18" t="inlineStr">
        <is>
          <t>REFRIGERACION ORINOCO</t>
        </is>
      </c>
      <c r="I1576" s="45" t="n">
        <v>2.8</v>
      </c>
      <c r="J1576" s="77" t="n"/>
      <c r="K1576" s="18" t="n"/>
    </row>
    <row r="1577">
      <c r="B1577" s="56" t="inlineStr">
        <is>
          <t>00068-FER</t>
        </is>
      </c>
      <c r="C1577" s="18">
        <f>IFERROR(_xlfn.XLOOKUP(ENTRADAS[[#This Row],[CODIGO]],LISTADO[CODIGOS],LISTADO[CATEGORIA]),"NO EXISTE")</f>
        <v/>
      </c>
      <c r="D1577" s="18">
        <f>IFERROR(_xlfn.XLOOKUP(ENTRADAS[[#This Row],[CODIGO]],LISTADO[CODIGOS],LISTADO[PRODUCTOS]),"NO EXISTE")</f>
        <v/>
      </c>
      <c r="E1577" s="19" t="n">
        <v>46142</v>
      </c>
      <c r="F1577" s="18" t="n">
        <v>1</v>
      </c>
      <c r="G1577" s="18" t="inlineStr">
        <is>
          <t>INGRESO</t>
        </is>
      </c>
      <c r="H1577" s="18" t="inlineStr">
        <is>
          <t>CAMPOS ELECTRICOS, C.A.</t>
        </is>
      </c>
      <c r="I1577" s="45" t="n">
        <v>138</v>
      </c>
      <c r="J1577" s="77" t="n"/>
      <c r="K1577" s="18" t="n"/>
    </row>
    <row r="1578">
      <c r="B1578" s="56" t="inlineStr">
        <is>
          <t>00206-FER</t>
        </is>
      </c>
      <c r="C1578" s="18">
        <f>IFERROR(_xlfn.XLOOKUP(ENTRADAS[[#This Row],[CODIGO]],LISTADO[CODIGOS],LISTADO[CATEGORIA]),"NO EXISTE")</f>
        <v/>
      </c>
      <c r="D1578" s="18">
        <f>IFERROR(_xlfn.XLOOKUP(ENTRADAS[[#This Row],[CODIGO]],LISTADO[CODIGOS],LISTADO[PRODUCTOS]),"NO EXISTE")</f>
        <v/>
      </c>
      <c r="E1578" s="19" t="n">
        <v>46142</v>
      </c>
      <c r="F1578" s="18" t="n">
        <v>10</v>
      </c>
      <c r="G1578" s="18" t="inlineStr">
        <is>
          <t>INGRESO</t>
        </is>
      </c>
      <c r="H1578" s="18" t="inlineStr">
        <is>
          <t>CENTER MARK</t>
        </is>
      </c>
      <c r="I1578" s="45" t="n"/>
      <c r="J1578" s="77" t="n">
        <v>146.12</v>
      </c>
      <c r="K1578" s="18" t="n">
        <v>487.12</v>
      </c>
    </row>
    <row r="1579">
      <c r="B1579" s="56" t="inlineStr">
        <is>
          <t>00103-ELE</t>
        </is>
      </c>
      <c r="C1579" s="18">
        <f>IFERROR(_xlfn.XLOOKUP(ENTRADAS[[#This Row],[CODIGO]],LISTADO[CODIGOS],LISTADO[CATEGORIA]),"NO EXISTE")</f>
        <v/>
      </c>
      <c r="D1579" s="18">
        <f>IFERROR(_xlfn.XLOOKUP(ENTRADAS[[#This Row],[CODIGO]],LISTADO[CODIGOS],LISTADO[PRODUCTOS]),"NO EXISTE")</f>
        <v/>
      </c>
      <c r="E1579" s="19" t="n">
        <v>46142</v>
      </c>
      <c r="F1579" s="18" t="n">
        <v>4</v>
      </c>
      <c r="G1579" s="18" t="inlineStr">
        <is>
          <t>INGRESO</t>
        </is>
      </c>
      <c r="H1579" s="18" t="inlineStr">
        <is>
          <t>CENTER MARK</t>
        </is>
      </c>
      <c r="I1579" s="45" t="n"/>
      <c r="J1579" s="77" t="n">
        <v>3896.99</v>
      </c>
      <c r="K1579" s="18" t="n"/>
    </row>
    <row r="1580">
      <c r="B1580" s="56" t="inlineStr">
        <is>
          <t>00107-FER</t>
        </is>
      </c>
      <c r="C1580" s="18">
        <f>IFERROR(_xlfn.XLOOKUP(ENTRADAS[[#This Row],[CODIGO]],LISTADO[CODIGOS],LISTADO[CATEGORIA]),"NO EXISTE")</f>
        <v/>
      </c>
      <c r="D1580" s="18">
        <f>IFERROR(_xlfn.XLOOKUP(ENTRADAS[[#This Row],[CODIGO]],LISTADO[CODIGOS],LISTADO[PRODUCTOS]),"NO EXISTE")</f>
        <v/>
      </c>
      <c r="E1580" s="19" t="n">
        <v>46142</v>
      </c>
      <c r="F1580" s="18" t="n">
        <v>20</v>
      </c>
      <c r="G1580" s="18" t="inlineStr">
        <is>
          <t>INGRESO</t>
        </is>
      </c>
      <c r="H1580" s="18" t="inlineStr">
        <is>
          <t>CENTER MARK</t>
        </is>
      </c>
      <c r="I1580" s="45" t="n"/>
      <c r="J1580" s="77" t="n">
        <v>876.8</v>
      </c>
      <c r="K1580" s="18" t="n"/>
    </row>
    <row r="1581">
      <c r="B1581" s="56" t="inlineStr">
        <is>
          <t>00031-ELE</t>
        </is>
      </c>
      <c r="C1581" s="18">
        <f>IFERROR(_xlfn.XLOOKUP(ENTRADAS[[#This Row],[CODIGO]],LISTADO[CODIGOS],LISTADO[CATEGORIA]),"NO EXISTE")</f>
        <v/>
      </c>
      <c r="D1581" s="18">
        <f>IFERROR(_xlfn.XLOOKUP(ENTRADAS[[#This Row],[CODIGO]],LISTADO[CODIGOS],LISTADO[PRODUCTOS]),"NO EXISTE")</f>
        <v/>
      </c>
      <c r="E1581" s="19" t="n">
        <v>46142</v>
      </c>
      <c r="F1581" s="18" t="n">
        <v>2</v>
      </c>
      <c r="G1581" s="18" t="inlineStr">
        <is>
          <t>INGRESO</t>
        </is>
      </c>
      <c r="H1581" s="18" t="inlineStr">
        <is>
          <t>CAMPOS ELECTRICOS, C.A.</t>
        </is>
      </c>
      <c r="I1581" s="45" t="n">
        <v>33</v>
      </c>
      <c r="J1581" s="77" t="n"/>
      <c r="K1581" s="18" t="n"/>
    </row>
    <row r="1582">
      <c r="B1582" s="18" t="inlineStr">
        <is>
          <t>00105-ELE</t>
        </is>
      </c>
      <c r="C1582" s="18">
        <f>IFERROR(_xlfn.XLOOKUP(ENTRADAS[[#This Row],[CODIGO]],LISTADO[CODIGOS],LISTADO[CATEGORIA]),"NO EXISTE")</f>
        <v/>
      </c>
      <c r="D1582" s="18">
        <f>IFERROR(_xlfn.XLOOKUP(ENTRADAS[[#This Row],[CODIGO]],LISTADO[CODIGOS],LISTADO[PRODUCTOS]),"NO EXISTE")</f>
        <v/>
      </c>
      <c r="E1582" s="19" t="n">
        <v>46142</v>
      </c>
      <c r="F1582" s="18" t="n">
        <v>26</v>
      </c>
      <c r="G1582" s="18" t="inlineStr">
        <is>
          <t>INGRESO</t>
        </is>
      </c>
      <c r="H1582" s="18" t="inlineStr">
        <is>
          <t>CAMPOS ELECTRICOS, C.A.</t>
        </is>
      </c>
      <c r="I1582" s="45" t="n">
        <v>2.5</v>
      </c>
      <c r="J1582" s="77" t="n"/>
      <c r="K1582" s="18" t="n"/>
    </row>
    <row r="1583">
      <c r="B1583" s="56" t="inlineStr">
        <is>
          <t>00029-ELC</t>
        </is>
      </c>
      <c r="C1583" s="18">
        <f>IFERROR(_xlfn.XLOOKUP(ENTRADAS[[#This Row],[CODIGO]],LISTADO[CODIGOS],LISTADO[CATEGORIA]),"NO EXISTE")</f>
        <v/>
      </c>
      <c r="D1583" s="18">
        <f>IFERROR(_xlfn.XLOOKUP(ENTRADAS[[#This Row],[CODIGO]],LISTADO[CODIGOS],LISTADO[PRODUCTOS]),"NO EXISTE")</f>
        <v/>
      </c>
      <c r="E1583" s="19" t="n">
        <v>46142</v>
      </c>
      <c r="F1583" s="18" t="n">
        <v>1</v>
      </c>
      <c r="G1583" s="18" t="inlineStr">
        <is>
          <t>INGRESO</t>
        </is>
      </c>
      <c r="H1583" s="18" t="inlineStr">
        <is>
          <t>MULTIMAX STORE CA</t>
        </is>
      </c>
      <c r="I1583" s="45" t="n"/>
      <c r="J1583" s="77" t="n">
        <v>33586.87</v>
      </c>
      <c r="K1583" s="18" t="n"/>
    </row>
    <row r="1584">
      <c r="B1584" s="56" t="inlineStr">
        <is>
          <t>00045-ELC</t>
        </is>
      </c>
      <c r="C1584" s="18">
        <f>IFERROR(_xlfn.XLOOKUP(ENTRADAS[[#This Row],[CODIGO]],LISTADO[CODIGOS],LISTADO[CATEGORIA]),"NO EXISTE")</f>
        <v/>
      </c>
      <c r="D1584" s="18">
        <f>IFERROR(_xlfn.XLOOKUP(ENTRADAS[[#This Row],[CODIGO]],LISTADO[CODIGOS],LISTADO[PRODUCTOS]),"NO EXISTE")</f>
        <v/>
      </c>
      <c r="E1584" s="19" t="n">
        <v>46142</v>
      </c>
      <c r="F1584" s="18" t="n">
        <v>2</v>
      </c>
      <c r="G1584" s="18" t="inlineStr">
        <is>
          <t>INGRESO</t>
        </is>
      </c>
      <c r="H1584" s="18" t="inlineStr">
        <is>
          <t>MULTIMAX STORE CA</t>
        </is>
      </c>
      <c r="I1584" s="45" t="n"/>
      <c r="J1584" s="77" t="n">
        <v>50387.61</v>
      </c>
      <c r="K1584" s="18" t="n"/>
    </row>
    <row r="1585">
      <c r="B1585" s="56" t="inlineStr">
        <is>
          <t>00119-FER</t>
        </is>
      </c>
      <c r="C1585" s="18">
        <f>IFERROR(_xlfn.XLOOKUP(ENTRADAS[[#This Row],[CODIGO]],LISTADO[CODIGOS],LISTADO[CATEGORIA]),"NO EXISTE")</f>
        <v/>
      </c>
      <c r="D1585" s="18">
        <f>IFERROR(_xlfn.XLOOKUP(ENTRADAS[[#This Row],[CODIGO]],LISTADO[CODIGOS],LISTADO[PRODUCTOS]),"NO EXISTE")</f>
        <v/>
      </c>
      <c r="E1585" s="19" t="n">
        <v>46143</v>
      </c>
      <c r="F1585" s="18" t="n">
        <v>3</v>
      </c>
      <c r="G1585" s="18" t="inlineStr">
        <is>
          <t>INGRESO</t>
        </is>
      </c>
      <c r="H1585" s="18" t="inlineStr">
        <is>
          <t>CENTER MARK</t>
        </is>
      </c>
      <c r="I1585" s="45" t="n"/>
      <c r="J1585" s="77" t="n">
        <v>1468.65</v>
      </c>
      <c r="K1585" s="18" t="n"/>
    </row>
    <row r="1586">
      <c r="B1586" s="18" t="inlineStr">
        <is>
          <t>00028-AUT</t>
        </is>
      </c>
      <c r="C1586" s="18">
        <f>IFERROR(_xlfn.XLOOKUP(ENTRADAS[[#This Row],[CODIGO]],LISTADO[CODIGOS],LISTADO[CATEGORIA]),"NO EXISTE")</f>
        <v/>
      </c>
      <c r="D1586" s="18">
        <f>IFERROR(_xlfn.XLOOKUP(ENTRADAS[[#This Row],[CODIGO]],LISTADO[CODIGOS],LISTADO[PRODUCTOS]),"NO EXISTE")</f>
        <v/>
      </c>
      <c r="E1586" s="19" t="n">
        <v>46143</v>
      </c>
      <c r="F1586" s="18" t="n">
        <v>1</v>
      </c>
      <c r="G1586" s="18" t="inlineStr">
        <is>
          <t>INGRESO</t>
        </is>
      </c>
      <c r="H1586" s="18" t="inlineStr">
        <is>
          <t>TSB MAQUINARIAS</t>
        </is>
      </c>
      <c r="I1586" s="45" t="n">
        <v>300</v>
      </c>
      <c r="J1586" s="77" t="n"/>
      <c r="K1586" s="18" t="n"/>
    </row>
    <row r="1587">
      <c r="B1587" s="18" t="inlineStr">
        <is>
          <t>00105-REF</t>
        </is>
      </c>
      <c r="C1587" s="18">
        <f>IFERROR(_xlfn.XLOOKUP(ENTRADAS[[#This Row],[CODIGO]],LISTADO[CODIGOS],LISTADO[CATEGORIA]),"NO EXISTE")</f>
        <v/>
      </c>
      <c r="D1587" s="18">
        <f>IFERROR(_xlfn.XLOOKUP(ENTRADAS[[#This Row],[CODIGO]],LISTADO[CODIGOS],LISTADO[PRODUCTOS]),"NO EXISTE")</f>
        <v/>
      </c>
      <c r="E1587" s="19" t="n">
        <v>46143</v>
      </c>
      <c r="F1587" s="18" t="n">
        <v>2</v>
      </c>
      <c r="G1587" s="18" t="inlineStr">
        <is>
          <t>INGRESO</t>
        </is>
      </c>
      <c r="H1587" s="18" t="inlineStr">
        <is>
          <t>REFRIGERACION ORINOCO</t>
        </is>
      </c>
      <c r="I1587" s="45" t="n">
        <v>50</v>
      </c>
      <c r="J1587" s="77" t="n"/>
      <c r="K1587" s="18" t="n"/>
    </row>
    <row r="1588">
      <c r="B1588" s="18" t="inlineStr">
        <is>
          <t>00048-AUT</t>
        </is>
      </c>
      <c r="C1588" s="18">
        <f>IFERROR(_xlfn.XLOOKUP(ENTRADAS[[#This Row],[CODIGO]],LISTADO[CODIGOS],LISTADO[CATEGORIA]),"NO EXISTE")</f>
        <v/>
      </c>
      <c r="D1588" s="18">
        <f>IFERROR(_xlfn.XLOOKUP(ENTRADAS[[#This Row],[CODIGO]],LISTADO[CODIGOS],LISTADO[PRODUCTOS]),"NO EXISTE")</f>
        <v/>
      </c>
      <c r="E1588" s="19" t="n">
        <v>46143</v>
      </c>
      <c r="F1588" s="18" t="n">
        <v>1</v>
      </c>
      <c r="G1588" s="18" t="inlineStr">
        <is>
          <t>INGRESO</t>
        </is>
      </c>
      <c r="H1588" s="1" t="inlineStr">
        <is>
          <t>TSB MAQUINARIAS</t>
        </is>
      </c>
      <c r="I1588" s="45" t="n">
        <v>400</v>
      </c>
      <c r="J1588" s="77" t="n"/>
      <c r="K1588" s="18" t="n"/>
    </row>
    <row r="1589">
      <c r="B1589" s="18" t="inlineStr">
        <is>
          <t>00034-AUT</t>
        </is>
      </c>
      <c r="C1589" s="18">
        <f>IFERROR(_xlfn.XLOOKUP(ENTRADAS[[#This Row],[CODIGO]],LISTADO[CODIGOS],LISTADO[CATEGORIA]),"NO EXISTE")</f>
        <v/>
      </c>
      <c r="D1589" s="18">
        <f>IFERROR(_xlfn.XLOOKUP(ENTRADAS[[#This Row],[CODIGO]],LISTADO[CODIGOS],LISTADO[PRODUCTOS]),"NO EXISTE")</f>
        <v/>
      </c>
      <c r="E1589" s="19" t="n">
        <v>46144</v>
      </c>
      <c r="F1589" s="18" t="n">
        <v>2</v>
      </c>
      <c r="G1589" s="18" t="inlineStr">
        <is>
          <t>INGRESO</t>
        </is>
      </c>
      <c r="H1589" s="18" t="inlineStr">
        <is>
          <t>AUTOPARATES RVA</t>
        </is>
      </c>
      <c r="I1589" s="45" t="n">
        <v>10</v>
      </c>
      <c r="J1589" s="77" t="n"/>
      <c r="K1589" s="18" t="n"/>
    </row>
    <row r="1590">
      <c r="B1590" s="18" t="inlineStr">
        <is>
          <t>00033-AUT</t>
        </is>
      </c>
      <c r="C1590" s="18">
        <f>IFERROR(_xlfn.XLOOKUP(ENTRADAS[[#This Row],[CODIGO]],LISTADO[CODIGOS],LISTADO[CATEGORIA]),"NO EXISTE")</f>
        <v/>
      </c>
      <c r="D1590" s="18">
        <f>IFERROR(_xlfn.XLOOKUP(ENTRADAS[[#This Row],[CODIGO]],LISTADO[CODIGOS],LISTADO[PRODUCTOS]),"NO EXISTE")</f>
        <v/>
      </c>
      <c r="E1590" s="19" t="n">
        <v>46144</v>
      </c>
      <c r="F1590" s="18" t="n">
        <v>2</v>
      </c>
      <c r="G1590" s="18" t="inlineStr">
        <is>
          <t>INGRESO</t>
        </is>
      </c>
      <c r="H1590" s="18" t="inlineStr">
        <is>
          <t>AUTOPARATES RVA</t>
        </is>
      </c>
      <c r="I1590" s="45" t="n">
        <v>14</v>
      </c>
      <c r="J1590" s="77" t="n"/>
      <c r="K1590" s="18" t="n"/>
    </row>
    <row r="1591">
      <c r="B1591" s="18" t="inlineStr">
        <is>
          <t>00024-AUT</t>
        </is>
      </c>
      <c r="C1591" s="18">
        <f>IFERROR(_xlfn.XLOOKUP(ENTRADAS[[#This Row],[CODIGO]],LISTADO[CODIGOS],LISTADO[CATEGORIA]),"NO EXISTE")</f>
        <v/>
      </c>
      <c r="D1591" s="18">
        <f>IFERROR(_xlfn.XLOOKUP(ENTRADAS[[#This Row],[CODIGO]],LISTADO[CODIGOS],LISTADO[PRODUCTOS]),"NO EXISTE")</f>
        <v/>
      </c>
      <c r="E1591" s="19" t="n">
        <v>46144</v>
      </c>
      <c r="F1591" s="18" t="n">
        <v>6</v>
      </c>
      <c r="G1591" s="18" t="inlineStr">
        <is>
          <t>INGRESO</t>
        </is>
      </c>
      <c r="H1591" s="18" t="inlineStr">
        <is>
          <t>AUTOPARATES RVA</t>
        </is>
      </c>
      <c r="I1591" s="45" t="n">
        <v>14</v>
      </c>
      <c r="J1591" s="77" t="n"/>
      <c r="K1591" s="18" t="n"/>
    </row>
    <row r="1592">
      <c r="B1592" s="18" t="inlineStr">
        <is>
          <t>00035-AUT</t>
        </is>
      </c>
      <c r="C1592" s="18">
        <f>IFERROR(_xlfn.XLOOKUP(ENTRADAS[[#This Row],[CODIGO]],LISTADO[CODIGOS],LISTADO[CATEGORIA]),"NO EXISTE")</f>
        <v/>
      </c>
      <c r="D1592" s="18">
        <f>IFERROR(_xlfn.XLOOKUP(ENTRADAS[[#This Row],[CODIGO]],LISTADO[CODIGOS],LISTADO[PRODUCTOS]),"NO EXISTE")</f>
        <v/>
      </c>
      <c r="E1592" s="19" t="n">
        <v>46144</v>
      </c>
      <c r="F1592" s="18" t="n">
        <v>1</v>
      </c>
      <c r="G1592" s="18" t="inlineStr">
        <is>
          <t>INGRESO</t>
        </is>
      </c>
      <c r="H1592" s="18" t="inlineStr">
        <is>
          <t>AUTOPARATES RVA</t>
        </is>
      </c>
      <c r="I1592" s="45" t="n">
        <v>30</v>
      </c>
      <c r="J1592" s="77" t="n"/>
      <c r="K1592" s="18" t="n"/>
    </row>
    <row r="1593">
      <c r="B1593" s="18" t="inlineStr">
        <is>
          <t>00036-AUT</t>
        </is>
      </c>
      <c r="C1593" s="18">
        <f>IFERROR(_xlfn.XLOOKUP(ENTRADAS[[#This Row],[CODIGO]],LISTADO[CODIGOS],LISTADO[CATEGORIA]),"NO EXISTE")</f>
        <v/>
      </c>
      <c r="D1593" s="18">
        <f>IFERROR(_xlfn.XLOOKUP(ENTRADAS[[#This Row],[CODIGO]],LISTADO[CODIGOS],LISTADO[PRODUCTOS]),"NO EXISTE")</f>
        <v/>
      </c>
      <c r="E1593" s="19" t="n">
        <v>46144</v>
      </c>
      <c r="F1593" s="18" t="n">
        <v>1</v>
      </c>
      <c r="G1593" s="18" t="inlineStr">
        <is>
          <t>INGRESO</t>
        </is>
      </c>
      <c r="H1593" s="18" t="inlineStr">
        <is>
          <t>AUTOPARATES RVA</t>
        </is>
      </c>
      <c r="I1593" s="45" t="n">
        <v>100</v>
      </c>
      <c r="J1593" s="77" t="n"/>
      <c r="K1593" s="18" t="n"/>
    </row>
    <row r="1594">
      <c r="B1594" s="56" t="inlineStr">
        <is>
          <t>00007-PLM</t>
        </is>
      </c>
      <c r="C1594" s="18">
        <f>IFERROR(_xlfn.XLOOKUP(ENTRADAS[[#This Row],[CODIGO]],LISTADO[CODIGOS],LISTADO[CATEGORIA]),"NO EXISTE")</f>
        <v/>
      </c>
      <c r="D1594" s="18">
        <f>IFERROR(_xlfn.XLOOKUP(ENTRADAS[[#This Row],[CODIGO]],LISTADO[CODIGOS],LISTADO[PRODUCTOS]),"NO EXISTE")</f>
        <v/>
      </c>
      <c r="E1594" s="19" t="n">
        <v>46144</v>
      </c>
      <c r="F1594" s="18" t="n">
        <v>1</v>
      </c>
      <c r="G1594" s="18" t="inlineStr">
        <is>
          <t>INGRESO</t>
        </is>
      </c>
      <c r="H1594" s="18" t="inlineStr">
        <is>
          <t>CENTER MARK</t>
        </is>
      </c>
      <c r="I1594" s="45" t="n"/>
      <c r="J1594" s="77" t="n">
        <v>2937.29</v>
      </c>
      <c r="K1594" s="18" t="n"/>
    </row>
    <row r="1595">
      <c r="B1595" s="56" t="inlineStr">
        <is>
          <t>00047-ELE</t>
        </is>
      </c>
      <c r="C1595" s="18">
        <f>IFERROR(_xlfn.XLOOKUP(ENTRADAS[[#This Row],[CODIGO]],LISTADO[CODIGOS],LISTADO[CATEGORIA]),"NO EXISTE")</f>
        <v/>
      </c>
      <c r="D1595" s="18">
        <f>IFERROR(_xlfn.XLOOKUP(ENTRADAS[[#This Row],[CODIGO]],LISTADO[CODIGOS],LISTADO[PRODUCTOS]),"NO EXISTE")</f>
        <v/>
      </c>
      <c r="E1595" s="19" t="n">
        <v>46146</v>
      </c>
      <c r="F1595" s="18" t="n">
        <v>15</v>
      </c>
      <c r="G1595" s="18" t="inlineStr">
        <is>
          <t>INGRESO</t>
        </is>
      </c>
      <c r="H1595" s="18" t="inlineStr">
        <is>
          <t>CENTER MARK</t>
        </is>
      </c>
      <c r="I1595" s="45" t="n"/>
      <c r="J1595" s="77" t="n">
        <v>391.67</v>
      </c>
      <c r="K1595" s="18" t="n"/>
    </row>
    <row r="1596">
      <c r="B1596" s="56" t="inlineStr">
        <is>
          <t>00102-ELE</t>
        </is>
      </c>
      <c r="C1596" s="18">
        <f>IFERROR(_xlfn.XLOOKUP(ENTRADAS[[#This Row],[CODIGO]],LISTADO[CODIGOS],LISTADO[CATEGORIA]),"NO EXISTE")</f>
        <v/>
      </c>
      <c r="D1596" s="18">
        <f>IFERROR(_xlfn.XLOOKUP(ENTRADAS[[#This Row],[CODIGO]],LISTADO[CODIGOS],LISTADO[PRODUCTOS]),"NO EXISTE")</f>
        <v/>
      </c>
      <c r="E1596" s="19" t="n">
        <v>46146</v>
      </c>
      <c r="F1596" s="18" t="n">
        <v>1</v>
      </c>
      <c r="G1596" s="18" t="inlineStr">
        <is>
          <t>INGRESO</t>
        </is>
      </c>
      <c r="H1596" s="18" t="inlineStr">
        <is>
          <t>MECALEDS</t>
        </is>
      </c>
      <c r="I1596" s="45" t="n">
        <v>6</v>
      </c>
      <c r="J1596" s="77" t="n"/>
      <c r="K1596" s="18" t="n"/>
    </row>
    <row r="1597">
      <c r="B1597" s="18" t="inlineStr">
        <is>
          <t>00100-ELE</t>
        </is>
      </c>
      <c r="C1597" s="18">
        <f>IFERROR(_xlfn.XLOOKUP(ENTRADAS[[#This Row],[CODIGO]],LISTADO[CODIGOS],LISTADO[CATEGORIA]),"NO EXISTE")</f>
        <v/>
      </c>
      <c r="D1597" s="18">
        <f>IFERROR(_xlfn.XLOOKUP(ENTRADAS[[#This Row],[CODIGO]],LISTADO[CODIGOS],LISTADO[PRODUCTOS]),"NO EXISTE")</f>
        <v/>
      </c>
      <c r="E1597" s="19" t="n">
        <v>46146</v>
      </c>
      <c r="F1597" s="18" t="n">
        <v>1</v>
      </c>
      <c r="G1597" s="18" t="inlineStr">
        <is>
          <t>INGRESO</t>
        </is>
      </c>
      <c r="H1597" s="18" t="inlineStr">
        <is>
          <t>MECALEDS</t>
        </is>
      </c>
      <c r="I1597" s="45" t="n">
        <v>6</v>
      </c>
      <c r="J1597" s="77" t="n"/>
      <c r="K1597" s="18" t="n"/>
    </row>
    <row r="1598">
      <c r="B1598" s="56" t="inlineStr">
        <is>
          <t>00030-AUT</t>
        </is>
      </c>
      <c r="C1598" s="18">
        <f>IFERROR(_xlfn.XLOOKUP(ENTRADAS[[#This Row],[CODIGO]],LISTADO[CODIGOS],LISTADO[CATEGORIA]),"NO EXISTE")</f>
        <v/>
      </c>
      <c r="D1598" s="18">
        <f>IFERROR(_xlfn.XLOOKUP(ENTRADAS[[#This Row],[CODIGO]],LISTADO[CODIGOS],LISTADO[PRODUCTOS]),"NO EXISTE")</f>
        <v/>
      </c>
      <c r="E1598" s="19" t="n">
        <v>46146</v>
      </c>
      <c r="F1598" s="18" t="n">
        <v>1</v>
      </c>
      <c r="G1598" s="18" t="inlineStr">
        <is>
          <t>INGRESO</t>
        </is>
      </c>
      <c r="H1598" s="18" t="inlineStr">
        <is>
          <t>TODORODAMIENTOS RPT</t>
        </is>
      </c>
      <c r="I1598" s="45" t="n">
        <v>15</v>
      </c>
      <c r="J1598" s="77" t="n">
        <v>7310</v>
      </c>
      <c r="K1598" s="15" t="n">
        <v>487.333333333333</v>
      </c>
    </row>
    <row r="1599">
      <c r="B1599" s="56" t="inlineStr">
        <is>
          <t>00031-AUT</t>
        </is>
      </c>
      <c r="C1599" s="18">
        <f>IFERROR(_xlfn.XLOOKUP(ENTRADAS[[#This Row],[CODIGO]],LISTADO[CODIGOS],LISTADO[CATEGORIA]),"NO EXISTE")</f>
        <v/>
      </c>
      <c r="D1599" s="18">
        <f>IFERROR(_xlfn.XLOOKUP(ENTRADAS[[#This Row],[CODIGO]],LISTADO[CODIGOS],LISTADO[PRODUCTOS]),"NO EXISTE")</f>
        <v/>
      </c>
      <c r="E1599" s="19" t="n">
        <v>46146</v>
      </c>
      <c r="F1599" s="18" t="n">
        <v>1</v>
      </c>
      <c r="G1599" s="18" t="inlineStr">
        <is>
          <t>INGRESO</t>
        </is>
      </c>
      <c r="H1599" s="18" t="inlineStr">
        <is>
          <t>TSB MAQUINARIAS</t>
        </is>
      </c>
      <c r="I1599" s="45" t="n">
        <v>380</v>
      </c>
      <c r="J1599" s="77" t="n"/>
      <c r="K1599" s="18" t="n"/>
    </row>
    <row r="1600">
      <c r="B1600" s="56" t="inlineStr">
        <is>
          <t>00055-ELE</t>
        </is>
      </c>
      <c r="C1600" s="18">
        <f>IFERROR(_xlfn.XLOOKUP(ENTRADAS[[#This Row],[CODIGO]],LISTADO[CODIGOS],LISTADO[CATEGORIA]),"NO EXISTE")</f>
        <v/>
      </c>
      <c r="D1600" s="18">
        <f>IFERROR(_xlfn.XLOOKUP(ENTRADAS[[#This Row],[CODIGO]],LISTADO[CODIGOS],LISTADO[PRODUCTOS]),"NO EXISTE")</f>
        <v/>
      </c>
      <c r="E1600" s="19" t="n">
        <v>46146</v>
      </c>
      <c r="F1600" s="18" t="n">
        <v>45</v>
      </c>
      <c r="G1600" s="18" t="inlineStr">
        <is>
          <t>INGRESO</t>
        </is>
      </c>
      <c r="H1600" s="18" t="inlineStr">
        <is>
          <t>CENTER MARK</t>
        </is>
      </c>
      <c r="I1600" s="45" t="n"/>
      <c r="J1600" s="77" t="n">
        <v>1468.65</v>
      </c>
      <c r="K1600" s="18" t="n"/>
    </row>
    <row r="1601">
      <c r="B1601" s="56" t="inlineStr">
        <is>
          <t>00100-FER</t>
        </is>
      </c>
      <c r="C1601" s="18">
        <f>IFERROR(_xlfn.XLOOKUP(ENTRADAS[[#This Row],[CODIGO]],LISTADO[CODIGOS],LISTADO[CATEGORIA]),"NO EXISTE")</f>
        <v/>
      </c>
      <c r="D1601" s="18">
        <f>IFERROR(_xlfn.XLOOKUP(ENTRADAS[[#This Row],[CODIGO]],LISTADO[CODIGOS],LISTADO[PRODUCTOS]),"NO EXISTE")</f>
        <v/>
      </c>
      <c r="E1601" s="19" t="n">
        <v>46146</v>
      </c>
      <c r="F1601" s="18" t="n">
        <v>5</v>
      </c>
      <c r="G1601" s="18" t="inlineStr">
        <is>
          <t>INGRESO</t>
        </is>
      </c>
      <c r="H1601" s="18" t="inlineStr">
        <is>
          <t>CENTER MARK</t>
        </is>
      </c>
      <c r="I1601" s="45" t="n"/>
      <c r="J1601" s="77" t="n">
        <v>489.57</v>
      </c>
      <c r="K1601" s="18" t="n"/>
    </row>
    <row r="1602">
      <c r="B1602" s="56" t="inlineStr">
        <is>
          <t>00031-HRR</t>
        </is>
      </c>
      <c r="C1602" s="18">
        <f>IFERROR(_xlfn.XLOOKUP(ENTRADAS[[#This Row],[CODIGO]],LISTADO[CODIGOS],LISTADO[CATEGORIA]),"NO EXISTE")</f>
        <v/>
      </c>
      <c r="D1602" s="18">
        <f>IFERROR(_xlfn.XLOOKUP(ENTRADAS[[#This Row],[CODIGO]],LISTADO[CODIGOS],LISTADO[PRODUCTOS]),"NO EXISTE")</f>
        <v/>
      </c>
      <c r="E1602" s="19" t="n">
        <v>46146</v>
      </c>
      <c r="F1602" s="18" t="n">
        <v>50</v>
      </c>
      <c r="G1602" s="18" t="inlineStr">
        <is>
          <t>INGRESO</t>
        </is>
      </c>
      <c r="H1602" s="18" t="inlineStr">
        <is>
          <t>CENTER MARK</t>
        </is>
      </c>
      <c r="I1602" s="45" t="n"/>
      <c r="J1602" s="77" t="n">
        <v>195.8</v>
      </c>
      <c r="K1602" s="18" t="n"/>
    </row>
    <row r="1603">
      <c r="B1603" s="18" t="inlineStr">
        <is>
          <t>00217-FER</t>
        </is>
      </c>
      <c r="C1603" s="18">
        <f>IFERROR(_xlfn.XLOOKUP(ENTRADAS[[#This Row],[CODIGO]],LISTADO[CODIGOS],LISTADO[CATEGORIA]),"NO EXISTE")</f>
        <v/>
      </c>
      <c r="D1603" s="18">
        <f>IFERROR(_xlfn.XLOOKUP(ENTRADAS[[#This Row],[CODIGO]],LISTADO[CODIGOS],LISTADO[PRODUCTOS]),"NO EXISTE")</f>
        <v/>
      </c>
      <c r="E1603" s="19" t="n">
        <v>46146</v>
      </c>
      <c r="F1603" s="18" t="n">
        <v>100</v>
      </c>
      <c r="G1603" s="18" t="inlineStr">
        <is>
          <t>INGRESO</t>
        </is>
      </c>
      <c r="H1603" s="18" t="inlineStr">
        <is>
          <t>CENTER MARK</t>
        </is>
      </c>
      <c r="I1603" s="45" t="n"/>
      <c r="J1603" s="77" t="n">
        <v>39.18</v>
      </c>
      <c r="K1603" s="18" t="n"/>
    </row>
    <row r="1604">
      <c r="B1604" s="56" t="inlineStr">
        <is>
          <t>00041-ELE</t>
        </is>
      </c>
      <c r="C1604" s="56" t="inlineStr">
        <is>
          <t>00041-ELE</t>
        </is>
      </c>
      <c r="D1604" s="18">
        <f>IFERROR(_xlfn.XLOOKUP(ENTRADAS[[#This Row],[CODIGO]],LISTADO[CODIGOS],LISTADO[PRODUCTOS]),"NO EXISTE")</f>
        <v/>
      </c>
      <c r="E1604" s="19" t="n">
        <v>46146</v>
      </c>
      <c r="F1604" s="18" t="n">
        <v>5</v>
      </c>
      <c r="G1604" s="18" t="inlineStr">
        <is>
          <t>INGRESO</t>
        </is>
      </c>
      <c r="H1604" s="18" t="inlineStr">
        <is>
          <t>CENTER MARK</t>
        </is>
      </c>
      <c r="I1604" s="45" t="n"/>
      <c r="J1604" s="77" t="n">
        <v>958.21</v>
      </c>
      <c r="K1604" s="18" t="n"/>
    </row>
    <row r="1605">
      <c r="B1605" s="56" t="inlineStr">
        <is>
          <t>00046-ELE</t>
        </is>
      </c>
      <c r="C1605" s="18">
        <f>IFERROR(_xlfn.XLOOKUP(ENTRADAS[[#This Row],[CODIGO]],LISTADO[CODIGOS],LISTADO[CATEGORIA]),"NO EXISTE")</f>
        <v/>
      </c>
      <c r="D1605" s="18">
        <f>IFERROR(_xlfn.XLOOKUP(ENTRADAS[[#This Row],[CODIGO]],LISTADO[CODIGOS],LISTADO[PRODUCTOS]),"NO EXISTE")</f>
        <v/>
      </c>
      <c r="E1605" s="19" t="n">
        <v>46146</v>
      </c>
      <c r="F1605" s="18" t="n">
        <v>5</v>
      </c>
      <c r="G1605" s="18" t="inlineStr">
        <is>
          <t>INGRESO</t>
        </is>
      </c>
      <c r="H1605" s="18" t="inlineStr">
        <is>
          <t>CENTER MARK</t>
        </is>
      </c>
      <c r="I1605" s="45" t="n"/>
      <c r="J1605" s="77" t="n">
        <v>293.71</v>
      </c>
      <c r="K1605" s="18" t="n"/>
    </row>
    <row r="1606">
      <c r="B1606" s="56" t="inlineStr">
        <is>
          <t>00015-ELE</t>
        </is>
      </c>
      <c r="C1606" s="18">
        <f>IFERROR(_xlfn.XLOOKUP(ENTRADAS[[#This Row],[CODIGO]],LISTADO[CODIGOS],LISTADO[CATEGORIA]),"NO EXISTE")</f>
        <v/>
      </c>
      <c r="D1606" s="18">
        <f>IFERROR(_xlfn.XLOOKUP(ENTRADAS[[#This Row],[CODIGO]],LISTADO[CODIGOS],LISTADO[PRODUCTOS]),"NO EXISTE")</f>
        <v/>
      </c>
      <c r="E1606" s="19" t="n">
        <v>46146</v>
      </c>
      <c r="F1606" s="18" t="n">
        <v>200</v>
      </c>
      <c r="G1606" s="18" t="inlineStr">
        <is>
          <t>INGRESO</t>
        </is>
      </c>
      <c r="H1606" s="18" t="inlineStr">
        <is>
          <t>CABLESELEC, C.A.</t>
        </is>
      </c>
      <c r="I1606" s="45" t="n">
        <v>2.23</v>
      </c>
      <c r="J1606" s="77" t="n"/>
      <c r="K1606" s="18" t="n"/>
    </row>
    <row r="1607">
      <c r="B1607" s="18" t="inlineStr">
        <is>
          <t>00039-OFC</t>
        </is>
      </c>
      <c r="C1607" s="18">
        <f>IFERROR(_xlfn.XLOOKUP(ENTRADAS[[#This Row],[CODIGO]],LISTADO[CODIGOS],LISTADO[CATEGORIA]),"NO EXISTE")</f>
        <v/>
      </c>
      <c r="D1607" s="18">
        <f>IFERROR(_xlfn.XLOOKUP(ENTRADAS[[#This Row],[CODIGO]],LISTADO[CODIGOS],LISTADO[PRODUCTOS]),"NO EXISTE")</f>
        <v/>
      </c>
      <c r="E1607" s="19" t="n">
        <v>46147</v>
      </c>
      <c r="F1607" s="18" t="n">
        <v>36</v>
      </c>
      <c r="G1607" s="18" t="inlineStr">
        <is>
          <t>INGRESO</t>
        </is>
      </c>
      <c r="H1607" s="18" t="n"/>
      <c r="I1607" s="45" t="n"/>
      <c r="J1607" s="77" t="n"/>
      <c r="K1607" s="18" t="n"/>
    </row>
    <row r="1608">
      <c r="B1608" s="18" t="inlineStr">
        <is>
          <t>00029-AUT</t>
        </is>
      </c>
      <c r="C1608" s="18">
        <f>IFERROR(_xlfn.XLOOKUP(ENTRADAS[[#This Row],[CODIGO]],LISTADO[CODIGOS],LISTADO[CATEGORIA]),"NO EXISTE")</f>
        <v/>
      </c>
      <c r="D1608" s="18">
        <f>IFERROR(_xlfn.XLOOKUP(ENTRADAS[[#This Row],[CODIGO]],LISTADO[CODIGOS],LISTADO[PRODUCTOS]),"NO EXISTE")</f>
        <v/>
      </c>
      <c r="E1608" s="19" t="n">
        <v>46147</v>
      </c>
      <c r="F1608" s="18" t="n">
        <v>4</v>
      </c>
      <c r="G1608" s="18" t="inlineStr">
        <is>
          <t>INGRESO</t>
        </is>
      </c>
      <c r="H1608" s="18" t="inlineStr">
        <is>
          <t>CENTRO CAUCHO 1549 CA</t>
        </is>
      </c>
      <c r="I1608" s="45" t="n"/>
      <c r="J1608" s="77" t="n">
        <v>26200</v>
      </c>
      <c r="K1608" s="18" t="n"/>
    </row>
    <row r="1609">
      <c r="B1609" s="56" t="inlineStr">
        <is>
          <t>00077-FER</t>
        </is>
      </c>
      <c r="C1609" s="18">
        <f>IFERROR(_xlfn.XLOOKUP(ENTRADAS[[#This Row],[CODIGO]],LISTADO[CODIGOS],LISTADO[CATEGORIA]),"NO EXISTE")</f>
        <v/>
      </c>
      <c r="D1609" s="18">
        <f>IFERROR(_xlfn.XLOOKUP(ENTRADAS[[#This Row],[CODIGO]],LISTADO[CODIGOS],LISTADO[PRODUCTOS]),"NO EXISTE")</f>
        <v/>
      </c>
      <c r="E1609" s="19" t="n">
        <v>46147</v>
      </c>
      <c r="F1609" s="18" t="n">
        <v>3</v>
      </c>
      <c r="G1609" s="18" t="inlineStr">
        <is>
          <t>INGRESO</t>
        </is>
      </c>
      <c r="H1609" s="18" t="inlineStr">
        <is>
          <t>CENTER MARK</t>
        </is>
      </c>
      <c r="I1609" s="45" t="n"/>
      <c r="J1609" s="77" t="n">
        <v>1225.12</v>
      </c>
      <c r="K1609" s="18" t="n"/>
    </row>
    <row r="1610">
      <c r="B1610" s="56" t="inlineStr">
        <is>
          <t>00067-PLM</t>
        </is>
      </c>
      <c r="C1610" s="18">
        <f>IFERROR(_xlfn.XLOOKUP(ENTRADAS[[#This Row],[CODIGO]],LISTADO[CODIGOS],LISTADO[CATEGORIA]),"NO EXISTE")</f>
        <v/>
      </c>
      <c r="D1610" s="18">
        <f>IFERROR(_xlfn.XLOOKUP(ENTRADAS[[#This Row],[CODIGO]],LISTADO[CODIGOS],LISTADO[PRODUCTOS]),"NO EXISTE")</f>
        <v/>
      </c>
      <c r="E1610" s="19" t="n">
        <v>46147</v>
      </c>
      <c r="F1610" s="18" t="n">
        <v>2</v>
      </c>
      <c r="G1610" s="18" t="inlineStr">
        <is>
          <t>INGRESO</t>
        </is>
      </c>
      <c r="H1610" s="18" t="inlineStr">
        <is>
          <t>CENTER MARK</t>
        </is>
      </c>
      <c r="I1610" s="45" t="n"/>
      <c r="J1610" s="77" t="n">
        <v>588.0599999999999</v>
      </c>
      <c r="K1610" s="18" t="n"/>
    </row>
    <row r="1611">
      <c r="B1611" s="56" t="inlineStr">
        <is>
          <t>00219-FER</t>
        </is>
      </c>
      <c r="C1611" s="18">
        <f>IFERROR(_xlfn.XLOOKUP(ENTRADAS[[#This Row],[CODIGO]],LISTADO[CODIGOS],LISTADO[CATEGORIA]),"NO EXISTE")</f>
        <v/>
      </c>
      <c r="D1611" s="18">
        <f>IFERROR(_xlfn.XLOOKUP(ENTRADAS[[#This Row],[CODIGO]],LISTADO[CODIGOS],LISTADO[PRODUCTOS]),"NO EXISTE")</f>
        <v/>
      </c>
      <c r="E1611" s="19" t="n">
        <v>46147</v>
      </c>
      <c r="F1611" s="18" t="n">
        <v>1</v>
      </c>
      <c r="G1611" s="18" t="inlineStr">
        <is>
          <t>INGRESO</t>
        </is>
      </c>
      <c r="H1611" s="18" t="inlineStr">
        <is>
          <t>CENTER MARK</t>
        </is>
      </c>
      <c r="I1611" s="45" t="n"/>
      <c r="J1611" s="77" t="n">
        <v>5880.46</v>
      </c>
      <c r="K1611" s="18" t="n"/>
    </row>
    <row r="1612">
      <c r="B1612" s="18" t="inlineStr">
        <is>
          <t>00206-FER</t>
        </is>
      </c>
      <c r="C1612" s="18">
        <f>IFERROR(_xlfn.XLOOKUP(ENTRADAS[[#This Row],[CODIGO]],LISTADO[CODIGOS],LISTADO[CATEGORIA]),"NO EXISTE")</f>
        <v/>
      </c>
      <c r="D1612" s="18">
        <f>IFERROR(_xlfn.XLOOKUP(ENTRADAS[[#This Row],[CODIGO]],LISTADO[CODIGOS],LISTADO[PRODUCTOS]),"NO EXISTE")</f>
        <v/>
      </c>
      <c r="E1612" s="19" t="n">
        <v>46147</v>
      </c>
      <c r="F1612" s="18" t="n">
        <v>10</v>
      </c>
      <c r="G1612" s="18" t="inlineStr">
        <is>
          <t>INGRESO</t>
        </is>
      </c>
      <c r="H1612" s="18" t="inlineStr">
        <is>
          <t>CENTER MARK</t>
        </is>
      </c>
      <c r="I1612" s="45" t="n"/>
      <c r="J1612" s="77" t="n">
        <v>147</v>
      </c>
      <c r="K1612" s="18" t="n"/>
    </row>
    <row r="1613">
      <c r="B1613" s="18" t="inlineStr">
        <is>
          <t>00037-AUT</t>
        </is>
      </c>
      <c r="C1613" s="18">
        <f>IFERROR(_xlfn.XLOOKUP(ENTRADAS[[#This Row],[CODIGO]],LISTADO[CODIGOS],LISTADO[CATEGORIA]),"NO EXISTE")</f>
        <v/>
      </c>
      <c r="D1613" s="18">
        <f>IFERROR(_xlfn.XLOOKUP(ENTRADAS[[#This Row],[CODIGO]],LISTADO[CODIGOS],LISTADO[PRODUCTOS]),"NO EXISTE")</f>
        <v/>
      </c>
      <c r="E1613" s="19" t="n">
        <v>46147</v>
      </c>
      <c r="F1613" s="18" t="n">
        <v>1</v>
      </c>
      <c r="G1613" s="18" t="inlineStr">
        <is>
          <t>INGRESO</t>
        </is>
      </c>
      <c r="H1613" s="18" t="inlineStr">
        <is>
          <t>MULTIMOTOS 2018</t>
        </is>
      </c>
      <c r="I1613" s="45" t="n"/>
      <c r="J1613" s="77" t="n">
        <v>7241.38</v>
      </c>
      <c r="K1613" s="18" t="n"/>
    </row>
    <row r="1614">
      <c r="B1614" s="18" t="inlineStr">
        <is>
          <t>00039-AUT</t>
        </is>
      </c>
      <c r="C1614" s="18">
        <f>IFERROR(_xlfn.XLOOKUP(ENTRADAS[[#This Row],[CODIGO]],LISTADO[CODIGOS],LISTADO[CATEGORIA]),"NO EXISTE")</f>
        <v/>
      </c>
      <c r="D1614" s="18">
        <f>IFERROR(_xlfn.XLOOKUP(ENTRADAS[[#This Row],[CODIGO]],LISTADO[CODIGOS],LISTADO[PRODUCTOS]),"NO EXISTE")</f>
        <v/>
      </c>
      <c r="E1614" s="19" t="n">
        <v>46147</v>
      </c>
      <c r="F1614" s="18" t="n">
        <v>1</v>
      </c>
      <c r="G1614" s="18" t="inlineStr">
        <is>
          <t>INGRESO</t>
        </is>
      </c>
      <c r="H1614" s="18" t="inlineStr">
        <is>
          <t>CHAMPIONS CARS M,G</t>
        </is>
      </c>
      <c r="I1614" s="45" t="n"/>
      <c r="J1614" s="77" t="n">
        <v>16250</v>
      </c>
      <c r="K1614" s="18" t="n"/>
    </row>
    <row r="1615">
      <c r="B1615" s="18" t="inlineStr">
        <is>
          <t>00040-AUT</t>
        </is>
      </c>
      <c r="C1615" s="18">
        <f>IFERROR(_xlfn.XLOOKUP(ENTRADAS[[#This Row],[CODIGO]],LISTADO[CODIGOS],LISTADO[CATEGORIA]),"NO EXISTE")</f>
        <v/>
      </c>
      <c r="D1615" s="18">
        <f>IFERROR(_xlfn.XLOOKUP(ENTRADAS[[#This Row],[CODIGO]],LISTADO[CODIGOS],LISTADO[PRODUCTOS]),"NO EXISTE")</f>
        <v/>
      </c>
      <c r="E1615" s="19" t="n">
        <v>46147</v>
      </c>
      <c r="F1615" s="18" t="n">
        <v>1</v>
      </c>
      <c r="G1615" s="18" t="inlineStr">
        <is>
          <t>INGRESO</t>
        </is>
      </c>
      <c r="H1615" s="18" t="inlineStr">
        <is>
          <t>CHAMPIONS CARS M,G</t>
        </is>
      </c>
      <c r="I1615" s="45" t="n"/>
      <c r="J1615" s="77" t="n">
        <v>7000</v>
      </c>
      <c r="K1615" s="18" t="n"/>
    </row>
    <row r="1616">
      <c r="B1616" s="56" t="inlineStr">
        <is>
          <t>00043-FER</t>
        </is>
      </c>
      <c r="C1616" s="18">
        <f>IFERROR(_xlfn.XLOOKUP(ENTRADAS[[#This Row],[CODIGO]],LISTADO[CODIGOS],LISTADO[CATEGORIA]),"NO EXISTE")</f>
        <v/>
      </c>
      <c r="D1616" s="18">
        <f>IFERROR(_xlfn.XLOOKUP(ENTRADAS[[#This Row],[CODIGO]],LISTADO[CODIGOS],LISTADO[PRODUCTOS]),"NO EXISTE")</f>
        <v/>
      </c>
      <c r="E1616" s="19" t="n">
        <v>46147</v>
      </c>
      <c r="F1616" s="18" t="n">
        <v>6</v>
      </c>
      <c r="G1616" s="18" t="inlineStr">
        <is>
          <t>INGRESO</t>
        </is>
      </c>
      <c r="H1616" s="18" t="inlineStr">
        <is>
          <t>PINTURAS IPM, C.A</t>
        </is>
      </c>
      <c r="I1616" s="45" t="n">
        <v>36</v>
      </c>
      <c r="J1616" s="77" t="n"/>
      <c r="K1616" s="18" t="n"/>
    </row>
    <row r="1617">
      <c r="B1617" s="18" t="inlineStr">
        <is>
          <t>00067-PLM</t>
        </is>
      </c>
      <c r="C1617" s="18">
        <f>IFERROR(_xlfn.XLOOKUP(ENTRADAS[[#This Row],[CODIGO]],LISTADO[CODIGOS],LISTADO[CATEGORIA]),"NO EXISTE")</f>
        <v/>
      </c>
      <c r="D1617" s="18">
        <f>IFERROR(_xlfn.XLOOKUP(ENTRADAS[[#This Row],[CODIGO]],LISTADO[CODIGOS],LISTADO[PRODUCTOS]),"NO EXISTE")</f>
        <v/>
      </c>
      <c r="E1617" s="19" t="n">
        <v>46147</v>
      </c>
      <c r="F1617" s="18" t="n">
        <v>2</v>
      </c>
      <c r="G1617" s="18" t="inlineStr">
        <is>
          <t>INGRESO</t>
        </is>
      </c>
      <c r="H1617" s="18" t="inlineStr">
        <is>
          <t>CENTER MARK</t>
        </is>
      </c>
      <c r="I1617" s="45" t="n"/>
      <c r="J1617" s="77" t="n">
        <v>588.0599999999999</v>
      </c>
      <c r="K1617" s="18" t="n"/>
    </row>
    <row r="1618">
      <c r="B1618" s="56" t="inlineStr">
        <is>
          <t>00067-HRR</t>
        </is>
      </c>
      <c r="C1618" s="18">
        <f>IFERROR(_xlfn.XLOOKUP(ENTRADAS[[#This Row],[CODIGO]],LISTADO[CODIGOS],LISTADO[CATEGORIA]),"NO EXISTE")</f>
        <v/>
      </c>
      <c r="D1618" s="18">
        <f>IFERROR(_xlfn.XLOOKUP(ENTRADAS[[#This Row],[CODIGO]],LISTADO[CODIGOS],LISTADO[PRODUCTOS]),"NO EXISTE")</f>
        <v/>
      </c>
      <c r="E1618" s="19" t="n">
        <v>46147</v>
      </c>
      <c r="F1618" s="18" t="n">
        <v>1</v>
      </c>
      <c r="G1618" s="18" t="inlineStr">
        <is>
          <t>INGRESO</t>
        </is>
      </c>
      <c r="H1618" s="18" t="inlineStr">
        <is>
          <t>CENTER MARK</t>
        </is>
      </c>
      <c r="I1618" s="45" t="n"/>
      <c r="J1618" s="77" t="n">
        <v>2940.23</v>
      </c>
      <c r="K1618" s="18" t="n"/>
    </row>
    <row r="1619">
      <c r="B1619" s="56" t="inlineStr">
        <is>
          <t>00006-ELE</t>
        </is>
      </c>
      <c r="C1619" s="18">
        <f>IFERROR(_xlfn.XLOOKUP(ENTRADAS[[#This Row],[CODIGO]],LISTADO[CODIGOS],LISTADO[CATEGORIA]),"NO EXISTE")</f>
        <v/>
      </c>
      <c r="D1619" s="18">
        <f>IFERROR(_xlfn.XLOOKUP(ENTRADAS[[#This Row],[CODIGO]],LISTADO[CODIGOS],LISTADO[PRODUCTOS]),"NO EXISTE")</f>
        <v/>
      </c>
      <c r="E1619" s="19" t="n">
        <v>46147</v>
      </c>
      <c r="F1619" s="18" t="n">
        <v>5</v>
      </c>
      <c r="G1619" s="18" t="inlineStr">
        <is>
          <t>INGRESO</t>
        </is>
      </c>
      <c r="H1619" s="18" t="inlineStr">
        <is>
          <t>R.O.C.A</t>
        </is>
      </c>
      <c r="I1619" s="45" t="n">
        <v>15.93</v>
      </c>
      <c r="J1619" s="77" t="n"/>
      <c r="K1619" s="18" t="n"/>
    </row>
    <row r="1620">
      <c r="B1620" s="56" t="inlineStr">
        <is>
          <t>00009-ELE</t>
        </is>
      </c>
      <c r="C1620" s="18">
        <f>IFERROR(_xlfn.XLOOKUP(ENTRADAS[[#This Row],[CODIGO]],LISTADO[CODIGOS],LISTADO[CATEGORIA]),"NO EXISTE")</f>
        <v/>
      </c>
      <c r="D1620" s="18">
        <f>IFERROR(_xlfn.XLOOKUP(ENTRADAS[[#This Row],[CODIGO]],LISTADO[CODIGOS],LISTADO[PRODUCTOS]),"NO EXISTE")</f>
        <v/>
      </c>
      <c r="E1620" s="19" t="n">
        <v>46147</v>
      </c>
      <c r="F1620" s="18" t="n">
        <v>6</v>
      </c>
      <c r="G1620" s="18" t="inlineStr">
        <is>
          <t>INGRESO</t>
        </is>
      </c>
      <c r="H1620" s="18" t="inlineStr">
        <is>
          <t>R.O.C.A</t>
        </is>
      </c>
      <c r="I1620" s="45" t="n">
        <v>23.9</v>
      </c>
      <c r="J1620" s="77" t="n"/>
      <c r="K1620" s="18" t="n"/>
    </row>
    <row r="1621">
      <c r="B1621" s="56" t="inlineStr">
        <is>
          <t>00036-ELE</t>
        </is>
      </c>
      <c r="C1621" s="18">
        <f>IFERROR(_xlfn.XLOOKUP(ENTRADAS[[#This Row],[CODIGO]],LISTADO[CODIGOS],LISTADO[CATEGORIA]),"NO EXISTE")</f>
        <v/>
      </c>
      <c r="D1621" s="18">
        <f>IFERROR(_xlfn.XLOOKUP(ENTRADAS[[#This Row],[CODIGO]],LISTADO[CODIGOS],LISTADO[PRODUCTOS]),"NO EXISTE")</f>
        <v/>
      </c>
      <c r="E1621" s="19" t="n">
        <v>46147</v>
      </c>
      <c r="F1621" s="18" t="n">
        <v>10</v>
      </c>
      <c r="G1621" s="18" t="inlineStr">
        <is>
          <t>INGRESO</t>
        </is>
      </c>
      <c r="H1621" s="18" t="inlineStr">
        <is>
          <t>R.O.C.A</t>
        </is>
      </c>
      <c r="I1621" s="45" t="n">
        <v>7.36</v>
      </c>
      <c r="J1621" s="77" t="n"/>
      <c r="K1621" s="18" t="n"/>
    </row>
    <row r="1622">
      <c r="B1622" s="56" t="inlineStr">
        <is>
          <t>00061-ELE</t>
        </is>
      </c>
      <c r="C1622" s="18">
        <f>IFERROR(_xlfn.XLOOKUP(ENTRADAS[[#This Row],[CODIGO]],LISTADO[CODIGOS],LISTADO[CATEGORIA]),"NO EXISTE")</f>
        <v/>
      </c>
      <c r="D1622" s="18">
        <f>IFERROR(_xlfn.XLOOKUP(ENTRADAS[[#This Row],[CODIGO]],LISTADO[CODIGOS],LISTADO[PRODUCTOS]),"NO EXISTE")</f>
        <v/>
      </c>
      <c r="E1622" s="19" t="n">
        <v>46147</v>
      </c>
      <c r="F1622" s="18" t="n">
        <v>1</v>
      </c>
      <c r="G1622" s="18" t="inlineStr">
        <is>
          <t>INGRESO</t>
        </is>
      </c>
      <c r="H1622" s="18" t="inlineStr">
        <is>
          <t>R.O.C.A</t>
        </is>
      </c>
      <c r="I1622" s="45" t="n">
        <v>34.52</v>
      </c>
      <c r="J1622" s="77" t="n"/>
      <c r="K1622" s="18" t="n"/>
    </row>
    <row r="1623">
      <c r="B1623" s="56" t="inlineStr">
        <is>
          <t>00027-ELE</t>
        </is>
      </c>
      <c r="C1623" s="18">
        <f>IFERROR(_xlfn.XLOOKUP(ENTRADAS[[#This Row],[CODIGO]],LISTADO[CODIGOS],LISTADO[CATEGORIA]),"NO EXISTE")</f>
        <v/>
      </c>
      <c r="D1623" s="18">
        <f>IFERROR(_xlfn.XLOOKUP(ENTRADAS[[#This Row],[CODIGO]],LISTADO[CODIGOS],LISTADO[PRODUCTOS]),"NO EXISTE")</f>
        <v/>
      </c>
      <c r="E1623" s="19" t="n">
        <v>46147</v>
      </c>
      <c r="F1623" s="18" t="n">
        <v>2</v>
      </c>
      <c r="G1623" s="18" t="inlineStr">
        <is>
          <t>INGRESO</t>
        </is>
      </c>
      <c r="H1623" s="18" t="inlineStr">
        <is>
          <t>R.O.C.A</t>
        </is>
      </c>
      <c r="I1623" s="45" t="n">
        <v>26.55</v>
      </c>
      <c r="J1623" s="77" t="n"/>
      <c r="K1623" s="18" t="n"/>
    </row>
    <row r="1624">
      <c r="B1624" s="56" t="inlineStr">
        <is>
          <t>00026-ELE</t>
        </is>
      </c>
      <c r="C1624" s="18">
        <f>IFERROR(_xlfn.XLOOKUP(ENTRADAS[[#This Row],[CODIGO]],LISTADO[CODIGOS],LISTADO[CATEGORIA]),"NO EXISTE")</f>
        <v/>
      </c>
      <c r="D1624" s="18">
        <f>IFERROR(_xlfn.XLOOKUP(ENTRADAS[[#This Row],[CODIGO]],LISTADO[CODIGOS],LISTADO[PRODUCTOS]),"NO EXISTE")</f>
        <v/>
      </c>
      <c r="E1624" s="19" t="n">
        <v>46147</v>
      </c>
      <c r="F1624" s="18" t="n">
        <v>1</v>
      </c>
      <c r="G1624" s="18" t="inlineStr">
        <is>
          <t>INGRESO</t>
        </is>
      </c>
      <c r="H1624" s="18" t="inlineStr">
        <is>
          <t>R.O.C.A</t>
        </is>
      </c>
      <c r="I1624" s="45" t="n">
        <v>53.11</v>
      </c>
      <c r="J1624" s="77" t="n"/>
      <c r="K1624" s="18" t="n"/>
    </row>
    <row r="1625">
      <c r="B1625" s="56" t="inlineStr">
        <is>
          <t>00045-ELE</t>
        </is>
      </c>
      <c r="C1625" s="18">
        <f>IFERROR(_xlfn.XLOOKUP(ENTRADAS[[#This Row],[CODIGO]],LISTADO[CODIGOS],LISTADO[CATEGORIA]),"NO EXISTE")</f>
        <v/>
      </c>
      <c r="D1625" s="18">
        <f>IFERROR(_xlfn.XLOOKUP(ENTRADAS[[#This Row],[CODIGO]],LISTADO[CODIGOS],LISTADO[PRODUCTOS]),"NO EXISTE")</f>
        <v/>
      </c>
      <c r="E1625" s="19" t="n">
        <v>46147</v>
      </c>
      <c r="F1625" s="18" t="n">
        <v>5</v>
      </c>
      <c r="G1625" s="18" t="inlineStr">
        <is>
          <t>INGRESO</t>
        </is>
      </c>
      <c r="H1625" s="18" t="inlineStr">
        <is>
          <t>R.O.C.A</t>
        </is>
      </c>
      <c r="I1625" s="45" t="n">
        <v>0.93</v>
      </c>
      <c r="J1625" s="77" t="n"/>
      <c r="K1625" s="18" t="n"/>
    </row>
    <row r="1626">
      <c r="B1626" s="56" t="inlineStr">
        <is>
          <t>00057-ELE</t>
        </is>
      </c>
      <c r="C1626" s="18">
        <f>IFERROR(_xlfn.XLOOKUP(ENTRADAS[[#This Row],[CODIGO]],LISTADO[CODIGOS],LISTADO[CATEGORIA]),"NO EXISTE")</f>
        <v/>
      </c>
      <c r="D1626" s="18">
        <f>IFERROR(_xlfn.XLOOKUP(ENTRADAS[[#This Row],[CODIGO]],LISTADO[CODIGOS],LISTADO[PRODUCTOS]),"NO EXISTE")</f>
        <v/>
      </c>
      <c r="E1626" s="19" t="n">
        <v>46147</v>
      </c>
      <c r="F1626" s="18" t="n">
        <v>10</v>
      </c>
      <c r="G1626" s="18" t="inlineStr">
        <is>
          <t>INGRESO</t>
        </is>
      </c>
      <c r="H1626" s="18" t="inlineStr">
        <is>
          <t>R.O.C.A</t>
        </is>
      </c>
      <c r="I1626" s="45" t="n">
        <v>2.7</v>
      </c>
      <c r="J1626" s="77" t="n"/>
      <c r="K1626" s="18" t="n"/>
    </row>
    <row r="1627">
      <c r="B1627" s="18" t="inlineStr">
        <is>
          <t>00004-ELE</t>
        </is>
      </c>
      <c r="C1627" s="18">
        <f>IFERROR(_xlfn.XLOOKUP(ENTRADAS[[#This Row],[CODIGO]],LISTADO[CODIGOS],LISTADO[CATEGORIA]),"NO EXISTE")</f>
        <v/>
      </c>
      <c r="D1627" s="18">
        <f>IFERROR(_xlfn.XLOOKUP(ENTRADAS[[#This Row],[CODIGO]],LISTADO[CODIGOS],LISTADO[PRODUCTOS]),"NO EXISTE")</f>
        <v/>
      </c>
      <c r="E1627" s="19" t="n">
        <v>46147</v>
      </c>
      <c r="F1627" s="18" t="n">
        <v>1</v>
      </c>
      <c r="G1627" s="18" t="inlineStr">
        <is>
          <t>INGRESO</t>
        </is>
      </c>
      <c r="H1627" s="18" t="inlineStr">
        <is>
          <t>R.O.C.A</t>
        </is>
      </c>
      <c r="I1627" s="45" t="n">
        <v>23.9</v>
      </c>
      <c r="J1627" s="77" t="n"/>
      <c r="K1627" s="18" t="n"/>
    </row>
    <row r="1628">
      <c r="B1628" s="18" t="inlineStr">
        <is>
          <t>00218-FER</t>
        </is>
      </c>
      <c r="C1628" s="18">
        <f>IFERROR(_xlfn.XLOOKUP(ENTRADAS[[#This Row],[CODIGO]],LISTADO[CODIGOS],LISTADO[CATEGORIA]),"NO EXISTE")</f>
        <v/>
      </c>
      <c r="D1628" s="18">
        <f>IFERROR(_xlfn.XLOOKUP(ENTRADAS[[#This Row],[CODIGO]],LISTADO[CODIGOS],LISTADO[PRODUCTOS]),"NO EXISTE")</f>
        <v/>
      </c>
      <c r="E1628" s="19" t="n">
        <v>46148</v>
      </c>
      <c r="F1628" s="18" t="n">
        <v>1</v>
      </c>
      <c r="G1628" s="18" t="inlineStr">
        <is>
          <t>INGRESO</t>
        </is>
      </c>
      <c r="H1628" s="18" t="inlineStr">
        <is>
          <t>CENTER MARK</t>
        </is>
      </c>
      <c r="I1628" s="45" t="n"/>
      <c r="J1628" s="77" t="n">
        <v>3947.07</v>
      </c>
      <c r="K1628" s="18" t="n"/>
    </row>
    <row r="1629">
      <c r="B1629" s="56" t="inlineStr">
        <is>
          <t>00032-AUT</t>
        </is>
      </c>
      <c r="C1629" s="18">
        <f>IFERROR(_xlfn.XLOOKUP(ENTRADAS[[#This Row],[CODIGO]],LISTADO[CODIGOS],LISTADO[CATEGORIA]),"NO EXISTE")</f>
        <v/>
      </c>
      <c r="D1629" s="18">
        <f>IFERROR(_xlfn.XLOOKUP(ENTRADAS[[#This Row],[CODIGO]],LISTADO[CODIGOS],LISTADO[PRODUCTOS]),"NO EXISTE")</f>
        <v/>
      </c>
      <c r="E1629" s="19" t="n">
        <v>46148</v>
      </c>
      <c r="F1629" s="18" t="n">
        <v>1</v>
      </c>
      <c r="G1629" s="18" t="inlineStr">
        <is>
          <t>INGRESO</t>
        </is>
      </c>
      <c r="H1629" s="18" t="inlineStr">
        <is>
          <t>MOTOFERCA</t>
        </is>
      </c>
      <c r="I1629" s="45" t="n"/>
      <c r="J1629" s="77" t="n">
        <v>6000</v>
      </c>
      <c r="K1629" s="18" t="n"/>
    </row>
    <row r="1630">
      <c r="B1630" s="56" t="inlineStr">
        <is>
          <t>00068-PLM</t>
        </is>
      </c>
      <c r="C1630" s="18">
        <f>IFERROR(_xlfn.XLOOKUP(ENTRADAS[[#This Row],[CODIGO]],LISTADO[CODIGOS],LISTADO[CATEGORIA]),"NO EXISTE")</f>
        <v/>
      </c>
      <c r="D1630" s="18">
        <f>IFERROR(_xlfn.XLOOKUP(ENTRADAS[[#This Row],[CODIGO]],LISTADO[CODIGOS],LISTADO[PRODUCTOS]),"NO EXISTE")</f>
        <v/>
      </c>
      <c r="E1630" s="19" t="n">
        <v>46148</v>
      </c>
      <c r="F1630" s="18" t="n">
        <v>25</v>
      </c>
      <c r="G1630" s="18" t="inlineStr">
        <is>
          <t>INGRESO</t>
        </is>
      </c>
      <c r="H1630" s="18" t="inlineStr">
        <is>
          <t>CENTER MARK</t>
        </is>
      </c>
      <c r="I1630" s="45" t="n"/>
      <c r="J1630" s="77" t="n">
        <v>394.73</v>
      </c>
      <c r="K1630" s="18" t="n"/>
    </row>
    <row r="1631">
      <c r="B1631" s="56" t="inlineStr">
        <is>
          <t>00040-PLM</t>
        </is>
      </c>
      <c r="C1631" s="18">
        <f>IFERROR(_xlfn.XLOOKUP(ENTRADAS[[#This Row],[CODIGO]],LISTADO[CODIGOS],LISTADO[CATEGORIA]),"NO EXISTE")</f>
        <v/>
      </c>
      <c r="D1631" s="18">
        <f>IFERROR(_xlfn.XLOOKUP(ENTRADAS[[#This Row],[CODIGO]],LISTADO[CODIGOS],LISTADO[PRODUCTOS]),"NO EXISTE")</f>
        <v/>
      </c>
      <c r="E1631" s="19" t="n">
        <v>46148</v>
      </c>
      <c r="F1631" s="18" t="n">
        <v>60</v>
      </c>
      <c r="G1631" s="18" t="inlineStr">
        <is>
          <t>INGRESO</t>
        </is>
      </c>
      <c r="H1631" s="18" t="inlineStr">
        <is>
          <t>CENTER MARK</t>
        </is>
      </c>
      <c r="I1631" s="45" t="n"/>
      <c r="J1631" s="77" t="n">
        <v>1644.6</v>
      </c>
      <c r="K1631" s="18" t="n"/>
    </row>
    <row r="1632">
      <c r="B1632" s="56" t="inlineStr">
        <is>
          <t>00018-PLM</t>
        </is>
      </c>
      <c r="C1632" s="18">
        <f>IFERROR(_xlfn.XLOOKUP(ENTRADAS[[#This Row],[CODIGO]],LISTADO[CODIGOS],LISTADO[CATEGORIA]),"NO EXISTE")</f>
        <v/>
      </c>
      <c r="D1632" s="18">
        <f>IFERROR(_xlfn.XLOOKUP(ENTRADAS[[#This Row],[CODIGO]],LISTADO[CODIGOS],LISTADO[PRODUCTOS]),"NO EXISTE")</f>
        <v/>
      </c>
      <c r="E1632" s="19" t="n">
        <v>46148</v>
      </c>
      <c r="F1632" s="18" t="n">
        <v>25</v>
      </c>
      <c r="G1632" s="18" t="inlineStr">
        <is>
          <t>INGRESO</t>
        </is>
      </c>
      <c r="H1632" s="18" t="inlineStr">
        <is>
          <t>CENTER MARK</t>
        </is>
      </c>
      <c r="I1632" s="45" t="n"/>
      <c r="J1632" s="77" t="n">
        <v>394.73</v>
      </c>
      <c r="K1632" s="18" t="n"/>
    </row>
    <row r="1633">
      <c r="B1633" s="56" t="inlineStr">
        <is>
          <t>00015-PLM</t>
        </is>
      </c>
      <c r="C1633" s="18">
        <f>IFERROR(_xlfn.XLOOKUP(ENTRADAS[[#This Row],[CODIGO]],LISTADO[CODIGOS],LISTADO[CATEGORIA]),"NO EXISTE")</f>
        <v/>
      </c>
      <c r="D1633" s="18">
        <f>IFERROR(_xlfn.XLOOKUP(ENTRADAS[[#This Row],[CODIGO]],LISTADO[CODIGOS],LISTADO[PRODUCTOS]),"NO EXISTE")</f>
        <v/>
      </c>
      <c r="E1633" s="19" t="n">
        <v>46148</v>
      </c>
      <c r="F1633" s="18" t="n">
        <v>10</v>
      </c>
      <c r="G1633" s="18" t="inlineStr">
        <is>
          <t>INGRESO</t>
        </is>
      </c>
      <c r="H1633" s="18" t="inlineStr">
        <is>
          <t>CENTER MARK</t>
        </is>
      </c>
      <c r="I1633" s="45" t="n"/>
      <c r="J1633" s="77" t="n">
        <v>394.73</v>
      </c>
      <c r="K1633" s="18" t="n"/>
    </row>
    <row r="1634">
      <c r="B1634" s="18" t="inlineStr">
        <is>
          <t>00220-FER</t>
        </is>
      </c>
      <c r="C1634" s="18">
        <f>IFERROR(_xlfn.XLOOKUP(ENTRADAS[[#This Row],[CODIGO]],LISTADO[CODIGOS],LISTADO[CATEGORIA]),"NO EXISTE")</f>
        <v/>
      </c>
      <c r="D1634" s="18">
        <f>IFERROR(_xlfn.XLOOKUP(ENTRADAS[[#This Row],[CODIGO]],LISTADO[CODIGOS],LISTADO[PRODUCTOS]),"NO EXISTE")</f>
        <v/>
      </c>
      <c r="E1634" s="19" t="n">
        <v>46148</v>
      </c>
      <c r="F1634" s="18" t="n">
        <v>1</v>
      </c>
      <c r="G1634" s="18" t="inlineStr">
        <is>
          <t>INGRESO</t>
        </is>
      </c>
      <c r="H1634" s="18" t="inlineStr">
        <is>
          <t>CENTER MARK</t>
        </is>
      </c>
      <c r="I1634" s="45" t="n"/>
      <c r="J1634" s="77" t="n">
        <v>19735.22</v>
      </c>
      <c r="K1634" s="18" t="n"/>
    </row>
    <row r="1635">
      <c r="B1635" s="56" t="inlineStr">
        <is>
          <t>00221-FER</t>
        </is>
      </c>
      <c r="C1635" s="18">
        <f>IFERROR(_xlfn.XLOOKUP(ENTRADAS[[#This Row],[CODIGO]],LISTADO[CODIGOS],LISTADO[CATEGORIA]),"NO EXISTE")</f>
        <v/>
      </c>
      <c r="D1635" s="18">
        <f>IFERROR(_xlfn.XLOOKUP(ENTRADAS[[#This Row],[CODIGO]],LISTADO[CODIGOS],LISTADO[PRODUCTOS]),"NO EXISTE")</f>
        <v/>
      </c>
      <c r="E1635" s="19" t="n">
        <v>46148</v>
      </c>
      <c r="F1635" s="18" t="n">
        <v>25</v>
      </c>
      <c r="G1635" s="18" t="inlineStr">
        <is>
          <t>INGRESO</t>
        </is>
      </c>
      <c r="H1635" s="18" t="inlineStr">
        <is>
          <t>CENTER MARK</t>
        </is>
      </c>
      <c r="I1635" s="45" t="n"/>
      <c r="J1635" s="77" t="n">
        <v>7400.68</v>
      </c>
      <c r="K1635" s="18" t="n"/>
    </row>
    <row r="1636">
      <c r="B1636" s="56" t="inlineStr">
        <is>
          <t>00222-FER</t>
        </is>
      </c>
      <c r="C1636" s="18">
        <f>IFERROR(_xlfn.XLOOKUP(ENTRADAS[[#This Row],[CODIGO]],LISTADO[CODIGOS],LISTADO[CATEGORIA]),"NO EXISTE")</f>
        <v/>
      </c>
      <c r="D1636" s="18">
        <f>IFERROR(_xlfn.XLOOKUP(ENTRADAS[[#This Row],[CODIGO]],LISTADO[CODIGOS],LISTADO[PRODUCTOS]),"NO EXISTE")</f>
        <v/>
      </c>
      <c r="E1636" s="19" t="n">
        <v>46148</v>
      </c>
      <c r="F1636" s="18" t="n">
        <v>60</v>
      </c>
      <c r="G1636" s="18" t="inlineStr">
        <is>
          <t>INGRESO</t>
        </is>
      </c>
      <c r="H1636" s="18" t="inlineStr">
        <is>
          <t>CENTER MARK</t>
        </is>
      </c>
      <c r="I1636" s="45" t="n"/>
      <c r="J1636" s="77" t="n">
        <v>246.67</v>
      </c>
      <c r="K1636" s="18" t="n"/>
    </row>
    <row r="1637">
      <c r="B1637" s="18" t="inlineStr">
        <is>
          <t>00223-FER</t>
        </is>
      </c>
      <c r="C1637" s="18">
        <f>IFERROR(_xlfn.XLOOKUP(ENTRADAS[[#This Row],[CODIGO]],LISTADO[CODIGOS],LISTADO[CATEGORIA]),"NO EXISTE")</f>
        <v/>
      </c>
      <c r="D1637" s="18">
        <f>IFERROR(_xlfn.XLOOKUP(ENTRADAS[[#This Row],[CODIGO]],LISTADO[CODIGOS],LISTADO[PRODUCTOS]),"NO EXISTE")</f>
        <v/>
      </c>
      <c r="E1637" s="19" t="n">
        <v>46148</v>
      </c>
      <c r="F1637" s="18" t="n">
        <v>60</v>
      </c>
      <c r="G1637" s="18" t="inlineStr">
        <is>
          <t>INGRESO</t>
        </is>
      </c>
      <c r="H1637" s="18" t="inlineStr">
        <is>
          <t>CENTER MARK</t>
        </is>
      </c>
      <c r="I1637" s="45" t="n"/>
      <c r="J1637" s="77" t="n">
        <v>197.34</v>
      </c>
      <c r="K1637" s="18" t="n"/>
    </row>
    <row r="1638">
      <c r="B1638" s="56" t="inlineStr">
        <is>
          <t>00136-FER</t>
        </is>
      </c>
      <c r="C1638" s="18">
        <f>IFERROR(_xlfn.XLOOKUP(ENTRADAS[[#This Row],[CODIGO]],LISTADO[CODIGOS],LISTADO[CATEGORIA]),"NO EXISTE")</f>
        <v/>
      </c>
      <c r="D1638" s="18">
        <f>IFERROR(_xlfn.XLOOKUP(ENTRADAS[[#This Row],[CODIGO]],LISTADO[CODIGOS],LISTADO[PRODUCTOS]),"NO EXISTE")</f>
        <v/>
      </c>
      <c r="E1638" s="19" t="n">
        <v>46148</v>
      </c>
      <c r="F1638" s="18" t="n">
        <v>40</v>
      </c>
      <c r="G1638" s="18" t="inlineStr">
        <is>
          <t>INGRESO</t>
        </is>
      </c>
      <c r="H1638" s="18" t="inlineStr">
        <is>
          <t>CENTER MARK</t>
        </is>
      </c>
      <c r="I1638" s="45" t="n"/>
      <c r="J1638" s="77" t="n">
        <v>592.0700000000001</v>
      </c>
      <c r="K1638" s="18" t="n"/>
    </row>
    <row r="1639">
      <c r="B1639" s="18" t="inlineStr">
        <is>
          <t>00224-FER</t>
        </is>
      </c>
      <c r="C1639" s="18">
        <f>IFERROR(_xlfn.XLOOKUP(ENTRADAS[[#This Row],[CODIGO]],LISTADO[CODIGOS],LISTADO[CATEGORIA]),"NO EXISTE")</f>
        <v/>
      </c>
      <c r="D1639" s="18">
        <f>IFERROR(_xlfn.XLOOKUP(ENTRADAS[[#This Row],[CODIGO]],LISTADO[CODIGOS],LISTADO[PRODUCTOS]),"NO EXISTE")</f>
        <v/>
      </c>
      <c r="E1639" s="19" t="n">
        <v>46148</v>
      </c>
      <c r="F1639" s="18" t="n">
        <v>200</v>
      </c>
      <c r="G1639" s="18" t="inlineStr">
        <is>
          <t>INGRESO</t>
        </is>
      </c>
      <c r="H1639" s="18" t="inlineStr">
        <is>
          <t>CENTER MARK</t>
        </is>
      </c>
      <c r="I1639" s="45" t="n"/>
      <c r="J1639" s="77" t="n">
        <v>24.67</v>
      </c>
      <c r="K1639" s="18" t="n"/>
    </row>
    <row r="1640">
      <c r="B1640" s="56" t="inlineStr">
        <is>
          <t>00089-FER</t>
        </is>
      </c>
      <c r="C1640" s="18">
        <f>IFERROR(_xlfn.XLOOKUP(ENTRADAS[[#This Row],[CODIGO]],LISTADO[CODIGOS],LISTADO[CATEGORIA]),"NO EXISTE")</f>
        <v/>
      </c>
      <c r="D1640" s="18">
        <f>IFERROR(_xlfn.XLOOKUP(ENTRADAS[[#This Row],[CODIGO]],LISTADO[CODIGOS],LISTADO[PRODUCTOS]),"NO EXISTE")</f>
        <v/>
      </c>
      <c r="E1640" s="19" t="n">
        <v>46148</v>
      </c>
      <c r="F1640" s="18" t="n">
        <v>2</v>
      </c>
      <c r="G1640" s="18" t="inlineStr">
        <is>
          <t>INGRESO</t>
        </is>
      </c>
      <c r="H1640" s="18" t="inlineStr">
        <is>
          <t>CENTER MARK</t>
        </is>
      </c>
      <c r="I1640" s="45" t="n"/>
      <c r="J1640" s="77" t="n">
        <v>1973.53</v>
      </c>
      <c r="K1640" s="18" t="n"/>
    </row>
    <row r="1641">
      <c r="B1641" s="56" t="inlineStr">
        <is>
          <t>00139-FER</t>
        </is>
      </c>
      <c r="C1641" s="18">
        <f>IFERROR(_xlfn.XLOOKUP(ENTRADAS[[#This Row],[CODIGO]],LISTADO[CODIGOS],LISTADO[CATEGORIA]),"NO EXISTE")</f>
        <v/>
      </c>
      <c r="D1641" s="18">
        <f>IFERROR(_xlfn.XLOOKUP(ENTRADAS[[#This Row],[CODIGO]],LISTADO[CODIGOS],LISTADO[PRODUCTOS]),"NO EXISTE")</f>
        <v/>
      </c>
      <c r="E1641" s="19" t="n">
        <v>46148</v>
      </c>
      <c r="F1641" s="18" t="n">
        <v>50</v>
      </c>
      <c r="G1641" s="18" t="inlineStr">
        <is>
          <t>INGRESO</t>
        </is>
      </c>
      <c r="H1641" s="18" t="inlineStr">
        <is>
          <t>CENTER MARK</t>
        </is>
      </c>
      <c r="I1641" s="45" t="n"/>
      <c r="J1641" s="77" t="n">
        <v>888.0700000000001</v>
      </c>
      <c r="K1641" s="18" t="n"/>
    </row>
    <row r="1642">
      <c r="B1642" s="56" t="inlineStr">
        <is>
          <t>00225-FER</t>
        </is>
      </c>
      <c r="C1642" s="18">
        <f>IFERROR(_xlfn.XLOOKUP(ENTRADAS[[#This Row],[CODIGO]],LISTADO[CODIGOS],LISTADO[CATEGORIA]),"NO EXISTE")</f>
        <v/>
      </c>
      <c r="D1642" s="18">
        <f>IFERROR(_xlfn.XLOOKUP(ENTRADAS[[#This Row],[CODIGO]],LISTADO[CODIGOS],LISTADO[PRODUCTOS]),"NO EXISTE")</f>
        <v/>
      </c>
      <c r="E1642" s="19" t="n">
        <v>46148</v>
      </c>
      <c r="F1642" s="18" t="n">
        <v>50</v>
      </c>
      <c r="G1642" s="18" t="inlineStr">
        <is>
          <t>INGRESO</t>
        </is>
      </c>
      <c r="H1642" s="18" t="inlineStr">
        <is>
          <t>CENTER MARK</t>
        </is>
      </c>
      <c r="I1642" s="45" t="n"/>
      <c r="J1642" s="77" t="n">
        <v>641.4</v>
      </c>
      <c r="K1642" s="18" t="n"/>
    </row>
    <row r="1643">
      <c r="B1643" s="56" t="inlineStr">
        <is>
          <t>00038-HRR</t>
        </is>
      </c>
      <c r="C1643" s="18">
        <f>IFERROR(_xlfn.XLOOKUP(ENTRADAS[[#This Row],[CODIGO]],LISTADO[CODIGOS],LISTADO[CATEGORIA]),"NO EXISTE")</f>
        <v/>
      </c>
      <c r="D1643" s="18">
        <f>IFERROR(_xlfn.XLOOKUP(ENTRADAS[[#This Row],[CODIGO]],LISTADO[CODIGOS],LISTADO[PRODUCTOS]),"NO EXISTE")</f>
        <v/>
      </c>
      <c r="E1643" s="19" t="n">
        <v>46148</v>
      </c>
      <c r="F1643" s="18" t="n">
        <v>15</v>
      </c>
      <c r="G1643" s="18" t="inlineStr">
        <is>
          <t>INGRESO</t>
        </is>
      </c>
      <c r="H1643" s="18" t="inlineStr">
        <is>
          <t>CAMPOS ELECTRICOS, C.A.</t>
        </is>
      </c>
      <c r="I1643" s="45" t="n">
        <v>18.5</v>
      </c>
      <c r="J1643" s="77" t="n"/>
      <c r="K1643" s="18" t="n"/>
    </row>
    <row r="1644">
      <c r="B1644" s="18" t="inlineStr">
        <is>
          <t>00039-HRR</t>
        </is>
      </c>
      <c r="C1644" s="18">
        <f>IFERROR(_xlfn.XLOOKUP(ENTRADAS[[#This Row],[CODIGO]],LISTADO[CODIGOS],LISTADO[CATEGORIA]),"NO EXISTE")</f>
        <v/>
      </c>
      <c r="D1644" s="18">
        <f>IFERROR(_xlfn.XLOOKUP(ENTRADAS[[#This Row],[CODIGO]],LISTADO[CODIGOS],LISTADO[PRODUCTOS]),"NO EXISTE")</f>
        <v/>
      </c>
      <c r="E1644" s="19" t="n">
        <v>46148</v>
      </c>
      <c r="F1644" s="18" t="n">
        <v>60</v>
      </c>
      <c r="G1644" s="18" t="inlineStr">
        <is>
          <t>INGRESO</t>
        </is>
      </c>
      <c r="H1644" s="18" t="inlineStr">
        <is>
          <t>CAMPOS ELECTRICOS, C.A.</t>
        </is>
      </c>
      <c r="I1644" s="45" t="n">
        <v>0.8</v>
      </c>
      <c r="J1644" s="77" t="n"/>
      <c r="K1644" s="18" t="n"/>
    </row>
    <row r="1645">
      <c r="B1645" s="18" t="inlineStr">
        <is>
          <t>00067-PLM</t>
        </is>
      </c>
      <c r="C1645" s="18">
        <f>IFERROR(_xlfn.XLOOKUP(ENTRADAS[[#This Row],[CODIGO]],LISTADO[CODIGOS],LISTADO[CATEGORIA]),"NO EXISTE")</f>
        <v/>
      </c>
      <c r="D1645" s="18">
        <f>IFERROR(_xlfn.XLOOKUP(ENTRADAS[[#This Row],[CODIGO]],LISTADO[CODIGOS],LISTADO[PRODUCTOS]),"NO EXISTE")</f>
        <v/>
      </c>
      <c r="E1645" s="19" t="n">
        <v>46148</v>
      </c>
      <c r="F1645" s="18" t="n">
        <v>1</v>
      </c>
      <c r="G1645" s="18" t="inlineStr">
        <is>
          <t>INGRESO</t>
        </is>
      </c>
      <c r="H1645" s="18" t="inlineStr">
        <is>
          <t>CENTER MARK</t>
        </is>
      </c>
      <c r="I1645" s="45" t="n"/>
      <c r="J1645" s="77" t="n">
        <v>592.0700000000001</v>
      </c>
      <c r="K1645" s="18" t="n">
        <v>493.38</v>
      </c>
    </row>
    <row r="1646">
      <c r="B1646" s="56" t="inlineStr">
        <is>
          <t>00069-PLM</t>
        </is>
      </c>
      <c r="C1646" s="18">
        <f>IFERROR(_xlfn.XLOOKUP(ENTRADAS[[#This Row],[CODIGO]],LISTADO[CODIGOS],LISTADO[CATEGORIA]),"NO EXISTE")</f>
        <v/>
      </c>
      <c r="D1646" s="18">
        <f>IFERROR(_xlfn.XLOOKUP(ENTRADAS[[#This Row],[CODIGO]],LISTADO[CODIGOS],LISTADO[PRODUCTOS]),"NO EXISTE")</f>
        <v/>
      </c>
      <c r="E1646" s="19" t="n">
        <v>46148</v>
      </c>
      <c r="F1646" s="18" t="n">
        <v>1</v>
      </c>
      <c r="G1646" s="18" t="inlineStr">
        <is>
          <t>INGRESO</t>
        </is>
      </c>
      <c r="H1646" s="18" t="inlineStr">
        <is>
          <t>CENTER MARK</t>
        </is>
      </c>
      <c r="I1646" s="45" t="n"/>
      <c r="J1646" s="77" t="n">
        <v>592.0700000000001</v>
      </c>
      <c r="K1646" s="18" t="n">
        <v>493.38</v>
      </c>
    </row>
    <row r="1647">
      <c r="B1647" s="56" t="inlineStr">
        <is>
          <t>00070-PLM</t>
        </is>
      </c>
      <c r="C1647" s="18">
        <f>IFERROR(_xlfn.XLOOKUP(ENTRADAS[[#This Row],[CODIGO]],LISTADO[CODIGOS],LISTADO[CATEGORIA]),"NO EXISTE")</f>
        <v/>
      </c>
      <c r="D1647" s="18">
        <f>IFERROR(_xlfn.XLOOKUP(ENTRADAS[[#This Row],[CODIGO]],LISTADO[CODIGOS],LISTADO[PRODUCTOS]),"NO EXISTE")</f>
        <v/>
      </c>
      <c r="E1647" s="19" t="n">
        <v>46148</v>
      </c>
      <c r="F1647" s="18" t="n">
        <v>1</v>
      </c>
      <c r="G1647" s="18" t="inlineStr">
        <is>
          <t>INGRESO</t>
        </is>
      </c>
      <c r="H1647" s="18" t="inlineStr">
        <is>
          <t>CENTER MARK</t>
        </is>
      </c>
      <c r="I1647" s="45" t="n"/>
      <c r="J1647" s="77" t="n">
        <v>8880.82</v>
      </c>
      <c r="K1647" s="18" t="n">
        <v>493.38</v>
      </c>
    </row>
    <row r="1648">
      <c r="B1648" s="56" t="inlineStr">
        <is>
          <t>00020-HRR</t>
        </is>
      </c>
      <c r="C1648" s="18">
        <f>IFERROR(_xlfn.XLOOKUP(ENTRADAS[[#This Row],[CODIGO]],LISTADO[CODIGOS],LISTADO[CATEGORIA]),"NO EXISTE")</f>
        <v/>
      </c>
      <c r="D1648" s="18">
        <f>IFERROR(_xlfn.XLOOKUP(ENTRADAS[[#This Row],[CODIGO]],LISTADO[CODIGOS],LISTADO[PRODUCTOS]),"NO EXISTE")</f>
        <v/>
      </c>
      <c r="E1648" s="19" t="n">
        <v>46148</v>
      </c>
      <c r="F1648" s="18" t="n">
        <v>1</v>
      </c>
      <c r="G1648" s="18" t="inlineStr">
        <is>
          <t>INGRESO</t>
        </is>
      </c>
      <c r="H1648" s="18" t="inlineStr">
        <is>
          <t>CENTER MARK</t>
        </is>
      </c>
      <c r="I1648" s="45" t="n"/>
      <c r="J1648" s="77" t="n">
        <v>394.73</v>
      </c>
      <c r="K1648" s="18" t="n">
        <v>493.38</v>
      </c>
    </row>
    <row r="1649">
      <c r="B1649" s="18" t="inlineStr">
        <is>
          <t>00056-PLM</t>
        </is>
      </c>
      <c r="C1649" s="18">
        <f>IFERROR(_xlfn.XLOOKUP(ENTRADAS[[#This Row],[CODIGO]],LISTADO[CODIGOS],LISTADO[CATEGORIA]),"NO EXISTE")</f>
        <v/>
      </c>
      <c r="D1649" s="18">
        <f>IFERROR(_xlfn.XLOOKUP(ENTRADAS[[#This Row],[CODIGO]],LISTADO[CODIGOS],LISTADO[PRODUCTOS]),"NO EXISTE")</f>
        <v/>
      </c>
      <c r="E1649" s="19" t="n">
        <v>46148</v>
      </c>
      <c r="F1649" s="18" t="n">
        <v>2</v>
      </c>
      <c r="G1649" s="18" t="inlineStr">
        <is>
          <t>INGRESO</t>
        </is>
      </c>
      <c r="H1649" s="18" t="inlineStr">
        <is>
          <t>CENTER MARK</t>
        </is>
      </c>
      <c r="I1649" s="45" t="n"/>
      <c r="J1649" s="77" t="n">
        <v>296</v>
      </c>
      <c r="K1649" s="18" t="n">
        <v>493.38</v>
      </c>
    </row>
    <row r="1650">
      <c r="B1650" s="56" t="inlineStr">
        <is>
          <t>00071-PLM</t>
        </is>
      </c>
      <c r="C1650" s="18">
        <f>IFERROR(_xlfn.XLOOKUP(ENTRADAS[[#This Row],[CODIGO]],LISTADO[CODIGOS],LISTADO[CATEGORIA]),"NO EXISTE")</f>
        <v/>
      </c>
      <c r="D1650" s="18">
        <f>IFERROR(_xlfn.XLOOKUP(ENTRADAS[[#This Row],[CODIGO]],LISTADO[CODIGOS],LISTADO[PRODUCTOS]),"NO EXISTE")</f>
        <v/>
      </c>
      <c r="E1650" s="19" t="n">
        <v>46148</v>
      </c>
      <c r="F1650" s="18" t="n">
        <v>1</v>
      </c>
      <c r="G1650" s="18" t="inlineStr">
        <is>
          <t>INGRESO</t>
        </is>
      </c>
      <c r="H1650" s="18" t="inlineStr">
        <is>
          <t>CENTER MARK</t>
        </is>
      </c>
      <c r="I1650" s="45" t="n"/>
      <c r="J1650" s="77" t="n">
        <v>1233.47</v>
      </c>
      <c r="K1650" s="18" t="n">
        <v>493.38</v>
      </c>
    </row>
    <row r="1651">
      <c r="B1651" s="56" t="inlineStr">
        <is>
          <t>00017-HRR</t>
        </is>
      </c>
      <c r="C1651" s="18">
        <f>IFERROR(_xlfn.XLOOKUP(ENTRADAS[[#This Row],[CODIGO]],LISTADO[CODIGOS],LISTADO[CATEGORIA]),"NO EXISTE")</f>
        <v/>
      </c>
      <c r="D1651" s="18">
        <f>IFERROR(_xlfn.XLOOKUP(ENTRADAS[[#This Row],[CODIGO]],LISTADO[CODIGOS],LISTADO[PRODUCTOS]),"NO EXISTE")</f>
        <v/>
      </c>
      <c r="E1651" s="19" t="n">
        <v>46148</v>
      </c>
      <c r="F1651" s="18" t="n">
        <v>1</v>
      </c>
      <c r="G1651" s="18" t="inlineStr">
        <is>
          <t>INGRESO</t>
        </is>
      </c>
      <c r="H1651" s="18" t="inlineStr">
        <is>
          <t>CENTER MARK</t>
        </is>
      </c>
      <c r="I1651" s="45" t="n"/>
      <c r="J1651" s="77" t="n">
        <v>740.0700000000001</v>
      </c>
      <c r="K1651" s="18" t="n">
        <v>493.38</v>
      </c>
    </row>
    <row r="1652">
      <c r="B1652" s="56" t="inlineStr">
        <is>
          <t>00018-HRR</t>
        </is>
      </c>
      <c r="C1652" s="18">
        <f>IFERROR(_xlfn.XLOOKUP(ENTRADAS[[#This Row],[CODIGO]],LISTADO[CODIGOS],LISTADO[CATEGORIA]),"NO EXISTE")</f>
        <v/>
      </c>
      <c r="D1652" s="18">
        <f>IFERROR(_xlfn.XLOOKUP(ENTRADAS[[#This Row],[CODIGO]],LISTADO[CODIGOS],LISTADO[PRODUCTOS]),"NO EXISTE")</f>
        <v/>
      </c>
      <c r="E1652" s="19" t="n">
        <v>46148</v>
      </c>
      <c r="F1652" s="18" t="n">
        <v>1</v>
      </c>
      <c r="G1652" s="18" t="inlineStr">
        <is>
          <t>INGRESO</t>
        </is>
      </c>
      <c r="H1652" s="18" t="inlineStr">
        <is>
          <t>CENTER MARK</t>
        </is>
      </c>
      <c r="I1652" s="45" t="n"/>
      <c r="J1652" s="77" t="n">
        <v>296</v>
      </c>
      <c r="K1652" s="18" t="n">
        <v>493.38</v>
      </c>
    </row>
    <row r="1653">
      <c r="B1653" s="18" t="inlineStr">
        <is>
          <t>00029-HRR</t>
        </is>
      </c>
      <c r="C1653" s="18">
        <f>IFERROR(_xlfn.XLOOKUP(ENTRADAS[[#This Row],[CODIGO]],LISTADO[CODIGOS],LISTADO[CATEGORIA]),"NO EXISTE")</f>
        <v/>
      </c>
      <c r="D1653" s="18">
        <f>IFERROR(_xlfn.XLOOKUP(ENTRADAS[[#This Row],[CODIGO]],LISTADO[CODIGOS],LISTADO[PRODUCTOS]),"NO EXISTE")</f>
        <v/>
      </c>
      <c r="E1653" s="19" t="n">
        <v>46148</v>
      </c>
      <c r="F1653" s="18" t="n">
        <v>1</v>
      </c>
      <c r="G1653" s="18" t="inlineStr">
        <is>
          <t>INGRESO</t>
        </is>
      </c>
      <c r="H1653" s="18" t="inlineStr">
        <is>
          <t>CENTER MARK</t>
        </is>
      </c>
      <c r="I1653" s="45" t="n"/>
      <c r="J1653" s="77" t="n">
        <v>641.4</v>
      </c>
      <c r="K1653" s="18" t="n">
        <v>493.38</v>
      </c>
    </row>
    <row r="1654">
      <c r="B1654" s="18" t="inlineStr">
        <is>
          <t>00072-PLM</t>
        </is>
      </c>
      <c r="C1654" s="18">
        <f>IFERROR(_xlfn.XLOOKUP(ENTRADAS[[#This Row],[CODIGO]],LISTADO[CODIGOS],LISTADO[CATEGORIA]),"NO EXISTE")</f>
        <v/>
      </c>
      <c r="D1654" s="18">
        <f>IFERROR(_xlfn.XLOOKUP(ENTRADAS[[#This Row],[CODIGO]],LISTADO[CODIGOS],LISTADO[PRODUCTOS]),"NO EXISTE")</f>
        <v/>
      </c>
      <c r="E1654" s="19" t="n">
        <v>46148</v>
      </c>
      <c r="F1654" s="18" t="n">
        <v>1</v>
      </c>
      <c r="G1654" s="18" t="inlineStr">
        <is>
          <t>INGRESO</t>
        </is>
      </c>
      <c r="H1654" s="18" t="inlineStr">
        <is>
          <t>CENTER MARK</t>
        </is>
      </c>
      <c r="I1654" s="45" t="n"/>
      <c r="J1654" s="77" t="n">
        <v>986.74</v>
      </c>
      <c r="K1654" s="18" t="n">
        <v>493.38</v>
      </c>
    </row>
    <row r="1655">
      <c r="B1655" s="56" t="inlineStr">
        <is>
          <t>00073-PLM</t>
        </is>
      </c>
      <c r="C1655" s="18">
        <f>IFERROR(_xlfn.XLOOKUP(ENTRADAS[[#This Row],[CODIGO]],LISTADO[CODIGOS],LISTADO[CATEGORIA]),"NO EXISTE")</f>
        <v/>
      </c>
      <c r="D1655" s="18">
        <f>IFERROR(_xlfn.XLOOKUP(ENTRADAS[[#This Row],[CODIGO]],LISTADO[CODIGOS],LISTADO[PRODUCTOS]),"NO EXISTE")</f>
        <v/>
      </c>
      <c r="E1655" s="19" t="n">
        <v>46148</v>
      </c>
      <c r="F1655" s="18" t="n">
        <v>1</v>
      </c>
      <c r="G1655" s="18" t="inlineStr">
        <is>
          <t>INGRESO</t>
        </is>
      </c>
      <c r="H1655" s="18" t="inlineStr">
        <is>
          <t>CENTER MARK</t>
        </is>
      </c>
      <c r="I1655" s="45" t="n"/>
      <c r="J1655" s="77" t="n">
        <v>394.73</v>
      </c>
      <c r="K1655" s="18" t="n">
        <v>493.38</v>
      </c>
    </row>
    <row r="1656">
      <c r="B1656" s="56" t="inlineStr">
        <is>
          <t>00005-PLM</t>
        </is>
      </c>
      <c r="C1656" s="18">
        <f>IFERROR(_xlfn.XLOOKUP(ENTRADAS[[#This Row],[CODIGO]],LISTADO[CODIGOS],LISTADO[CATEGORIA]),"NO EXISTE")</f>
        <v/>
      </c>
      <c r="D1656" s="18">
        <f>IFERROR(_xlfn.XLOOKUP(ENTRADAS[[#This Row],[CODIGO]],LISTADO[CODIGOS],LISTADO[PRODUCTOS]),"NO EXISTE")</f>
        <v/>
      </c>
      <c r="E1656" s="19" t="n">
        <v>46148</v>
      </c>
      <c r="F1656" s="18" t="n">
        <v>1</v>
      </c>
      <c r="G1656" s="18" t="inlineStr">
        <is>
          <t>INGRESO</t>
        </is>
      </c>
      <c r="H1656" s="18" t="inlineStr">
        <is>
          <t>CENTER MARK</t>
        </is>
      </c>
      <c r="I1656" s="45" t="n"/>
      <c r="J1656" s="77" t="n">
        <v>1480.14</v>
      </c>
      <c r="K1656" s="18" t="n">
        <v>493.38</v>
      </c>
    </row>
    <row r="1657">
      <c r="B1657" s="56" t="inlineStr">
        <is>
          <t>00104-FER</t>
        </is>
      </c>
      <c r="C1657" s="18">
        <f>IFERROR(_xlfn.XLOOKUP(ENTRADAS[[#This Row],[CODIGO]],LISTADO[CODIGOS],LISTADO[CATEGORIA]),"NO EXISTE")</f>
        <v/>
      </c>
      <c r="D1657" s="18">
        <f>IFERROR(_xlfn.XLOOKUP(ENTRADAS[[#This Row],[CODIGO]],LISTADO[CODIGOS],LISTADO[PRODUCTOS]),"NO EXISTE")</f>
        <v/>
      </c>
      <c r="E1657" s="19" t="n">
        <v>46148</v>
      </c>
      <c r="F1657" s="18" t="n">
        <v>1</v>
      </c>
      <c r="G1657" s="18" t="inlineStr">
        <is>
          <t>INGRESO</t>
        </is>
      </c>
      <c r="H1657" s="18" t="inlineStr">
        <is>
          <t>CENTER MARK</t>
        </is>
      </c>
      <c r="I1657" s="45" t="n"/>
      <c r="J1657" s="77" t="n">
        <v>197.34</v>
      </c>
      <c r="K1657" s="18" t="n">
        <v>493.38</v>
      </c>
    </row>
    <row r="1658">
      <c r="B1658" s="56" t="inlineStr">
        <is>
          <t>00228-FER</t>
        </is>
      </c>
      <c r="C1658" s="18">
        <f>IFERROR(_xlfn.XLOOKUP(ENTRADAS[[#This Row],[CODIGO]],LISTADO[CODIGOS],LISTADO[CATEGORIA]),"NO EXISTE")</f>
        <v/>
      </c>
      <c r="D1658" s="18">
        <f>IFERROR(_xlfn.XLOOKUP(ENTRADAS[[#This Row],[CODIGO]],LISTADO[CODIGOS],LISTADO[PRODUCTOS]),"NO EXISTE")</f>
        <v/>
      </c>
      <c r="E1658" s="19" t="n">
        <v>46148</v>
      </c>
      <c r="F1658" s="18" t="n">
        <v>1</v>
      </c>
      <c r="G1658" s="18" t="inlineStr">
        <is>
          <t>INGRESO</t>
        </is>
      </c>
      <c r="H1658" s="18" t="inlineStr">
        <is>
          <t>CENTER MARK</t>
        </is>
      </c>
      <c r="I1658" s="45" t="n"/>
      <c r="J1658" s="77" t="n">
        <v>3453.67</v>
      </c>
      <c r="K1658" s="18" t="n">
        <v>493.38</v>
      </c>
    </row>
    <row r="1659">
      <c r="B1659" s="56" t="inlineStr">
        <is>
          <t>00078-FER</t>
        </is>
      </c>
      <c r="C1659" s="18">
        <f>IFERROR(_xlfn.XLOOKUP(ENTRADAS[[#This Row],[CODIGO]],LISTADO[CODIGOS],LISTADO[CATEGORIA]),"NO EXISTE")</f>
        <v/>
      </c>
      <c r="D1659" s="18">
        <f>IFERROR(_xlfn.XLOOKUP(ENTRADAS[[#This Row],[CODIGO]],LISTADO[CODIGOS],LISTADO[PRODUCTOS]),"NO EXISTE")</f>
        <v/>
      </c>
      <c r="E1659" s="19" t="n">
        <v>46148</v>
      </c>
      <c r="F1659" s="18" t="n">
        <v>1</v>
      </c>
      <c r="G1659" s="18" t="inlineStr">
        <is>
          <t>INGRESO</t>
        </is>
      </c>
      <c r="H1659" s="18" t="inlineStr">
        <is>
          <t>CENTER MARK</t>
        </is>
      </c>
      <c r="I1659" s="45" t="n"/>
      <c r="J1659" s="77" t="n">
        <v>986.74</v>
      </c>
      <c r="K1659" s="18" t="n">
        <v>493.38</v>
      </c>
    </row>
    <row r="1660">
      <c r="B1660" s="56" t="inlineStr">
        <is>
          <t>00046-FER</t>
        </is>
      </c>
      <c r="C1660" s="18">
        <f>IFERROR(_xlfn.XLOOKUP(ENTRADAS[[#This Row],[CODIGO]],LISTADO[CODIGOS],LISTADO[CATEGORIA]),"NO EXISTE")</f>
        <v/>
      </c>
      <c r="D1660" s="18">
        <f>IFERROR(_xlfn.XLOOKUP(ENTRADAS[[#This Row],[CODIGO]],LISTADO[CODIGOS],LISTADO[PRODUCTOS]),"NO EXISTE")</f>
        <v/>
      </c>
      <c r="E1660" s="19" t="n">
        <v>46148</v>
      </c>
      <c r="F1660" s="18" t="n">
        <v>1</v>
      </c>
      <c r="G1660" s="18" t="inlineStr">
        <is>
          <t>INGRESO</t>
        </is>
      </c>
      <c r="H1660" s="18" t="inlineStr">
        <is>
          <t>PINTURAS IPM, C.A</t>
        </is>
      </c>
      <c r="I1660" s="45" t="n">
        <v>33</v>
      </c>
      <c r="J1660" s="77" t="n"/>
      <c r="K1660" s="18" t="n"/>
    </row>
    <row r="1661">
      <c r="B1661" s="18" t="inlineStr">
        <is>
          <t>00146-REF</t>
        </is>
      </c>
      <c r="C1661" s="18">
        <f>IFERROR(_xlfn.XLOOKUP(ENTRADAS[[#This Row],[CODIGO]],LISTADO[CODIGOS],LISTADO[CATEGORIA]),"NO EXISTE")</f>
        <v/>
      </c>
      <c r="D1661" s="18">
        <f>IFERROR(_xlfn.XLOOKUP(ENTRADAS[[#This Row],[CODIGO]],LISTADO[CODIGOS],LISTADO[PRODUCTOS]),"NO EXISTE")</f>
        <v/>
      </c>
      <c r="E1661" s="19" t="n">
        <v>46149</v>
      </c>
      <c r="F1661" s="18" t="n">
        <v>1</v>
      </c>
      <c r="G1661" s="18" t="inlineStr">
        <is>
          <t>INGRESO</t>
        </is>
      </c>
      <c r="H1661" s="18" t="inlineStr">
        <is>
          <t>REFRIGERACION ORINOCO</t>
        </is>
      </c>
      <c r="I1661" s="45" t="n">
        <v>515</v>
      </c>
      <c r="J1661" s="77" t="n"/>
      <c r="K1661" s="18" t="n"/>
    </row>
    <row r="1662">
      <c r="B1662" s="18" t="inlineStr">
        <is>
          <t>00147-REF</t>
        </is>
      </c>
      <c r="C1662" s="18">
        <f>IFERROR(_xlfn.XLOOKUP(ENTRADAS[[#This Row],[CODIGO]],LISTADO[CODIGOS],LISTADO[CATEGORIA]),"NO EXISTE")</f>
        <v/>
      </c>
      <c r="D1662" s="18">
        <f>IFERROR(_xlfn.XLOOKUP(ENTRADAS[[#This Row],[CODIGO]],LISTADO[CODIGOS],LISTADO[PRODUCTOS]),"NO EXISTE")</f>
        <v/>
      </c>
      <c r="E1662" s="19" t="n">
        <v>46149</v>
      </c>
      <c r="F1662" s="18" t="n">
        <v>3</v>
      </c>
      <c r="G1662" s="18" t="inlineStr">
        <is>
          <t>INGRESO</t>
        </is>
      </c>
      <c r="H1662" s="18" t="inlineStr">
        <is>
          <t>REFRIGERACION ORINOCO</t>
        </is>
      </c>
      <c r="I1662" s="45" t="n">
        <v>2.8</v>
      </c>
      <c r="J1662" s="77" t="n"/>
      <c r="K1662" s="18" t="n"/>
    </row>
    <row r="1663">
      <c r="B1663" s="18" t="inlineStr">
        <is>
          <t>00075-PLM</t>
        </is>
      </c>
      <c r="C1663" s="18">
        <f>IFERROR(_xlfn.XLOOKUP(ENTRADAS[[#This Row],[CODIGO]],LISTADO[CODIGOS],LISTADO[CATEGORIA]),"NO EXISTE")</f>
        <v/>
      </c>
      <c r="D1663" s="18">
        <f>IFERROR(_xlfn.XLOOKUP(ENTRADAS[[#This Row],[CODIGO]],LISTADO[CODIGOS],LISTADO[PRODUCTOS]),"NO EXISTE")</f>
        <v/>
      </c>
      <c r="E1663" s="19" t="n">
        <v>46149</v>
      </c>
      <c r="F1663" s="18" t="n">
        <v>4</v>
      </c>
      <c r="G1663" s="18" t="inlineStr">
        <is>
          <t>INGRESO</t>
        </is>
      </c>
      <c r="H1663" s="18" t="inlineStr">
        <is>
          <t>CENTER MARK</t>
        </is>
      </c>
      <c r="I1663" s="45" t="n"/>
      <c r="J1663" s="77" t="n">
        <v>3974.55</v>
      </c>
      <c r="K1663" s="18" t="n">
        <v>496.83</v>
      </c>
    </row>
    <row r="1664">
      <c r="B1664" s="56" t="inlineStr">
        <is>
          <t>00231-FER</t>
        </is>
      </c>
      <c r="C1664" s="18">
        <f>IFERROR(_xlfn.XLOOKUP(ENTRADAS[[#This Row],[CODIGO]],LISTADO[CODIGOS],LISTADO[CATEGORIA]),"NO EXISTE")</f>
        <v/>
      </c>
      <c r="D1664" s="18">
        <f>IFERROR(_xlfn.XLOOKUP(ENTRADAS[[#This Row],[CODIGO]],LISTADO[CODIGOS],LISTADO[PRODUCTOS]),"NO EXISTE")</f>
        <v/>
      </c>
      <c r="E1664" s="19" t="n">
        <v>46149</v>
      </c>
      <c r="F1664" s="18" t="n">
        <v>4</v>
      </c>
      <c r="G1664" s="18" t="inlineStr">
        <is>
          <t>INGRESO</t>
        </is>
      </c>
      <c r="H1664" s="18" t="inlineStr">
        <is>
          <t>CENTER MARK</t>
        </is>
      </c>
      <c r="I1664" s="45" t="n"/>
      <c r="J1664" s="77" t="n">
        <v>9936.610000000001</v>
      </c>
      <c r="K1664" s="18" t="n"/>
    </row>
    <row r="1665">
      <c r="B1665" s="56" t="inlineStr">
        <is>
          <t>00232-FER</t>
        </is>
      </c>
      <c r="C1665" s="18">
        <f>IFERROR(_xlfn.XLOOKUP(ENTRADAS[[#This Row],[CODIGO]],LISTADO[CODIGOS],LISTADO[CATEGORIA]),"NO EXISTE")</f>
        <v/>
      </c>
      <c r="D1665" s="18">
        <f>IFERROR(_xlfn.XLOOKUP(ENTRADAS[[#This Row],[CODIGO]],LISTADO[CODIGOS],LISTADO[PRODUCTOS]),"NO EXISTE")</f>
        <v/>
      </c>
      <c r="E1665" s="19" t="n">
        <v>46149</v>
      </c>
      <c r="F1665" s="18" t="n">
        <v>7</v>
      </c>
      <c r="G1665" s="18" t="inlineStr">
        <is>
          <t>INGRESO</t>
        </is>
      </c>
      <c r="H1665" s="18" t="inlineStr">
        <is>
          <t>CENTER MARK</t>
        </is>
      </c>
      <c r="I1665" s="45" t="n"/>
      <c r="J1665" s="77" t="n">
        <v>149.04</v>
      </c>
      <c r="K1665" s="18" t="n"/>
    </row>
    <row r="1666">
      <c r="B1666" s="56" t="inlineStr">
        <is>
          <t>00232-FER</t>
        </is>
      </c>
      <c r="C1666" s="18">
        <f>IFERROR(_xlfn.XLOOKUP(ENTRADAS[[#This Row],[CODIGO]],LISTADO[CODIGOS],LISTADO[CATEGORIA]),"NO EXISTE")</f>
        <v/>
      </c>
      <c r="D1666" s="18">
        <f>IFERROR(_xlfn.XLOOKUP(ENTRADAS[[#This Row],[CODIGO]],LISTADO[CODIGOS],LISTADO[PRODUCTOS]),"NO EXISTE")</f>
        <v/>
      </c>
      <c r="E1666" s="19" t="n">
        <v>46149</v>
      </c>
      <c r="F1666" s="18" t="n">
        <v>6</v>
      </c>
      <c r="G1666" s="18" t="inlineStr">
        <is>
          <t>INGRESO</t>
        </is>
      </c>
      <c r="H1666" s="18" t="inlineStr">
        <is>
          <t>CENTER MARK</t>
        </is>
      </c>
      <c r="I1666" s="45" t="n"/>
      <c r="J1666" s="77" t="n">
        <v>149.04</v>
      </c>
      <c r="K1666" s="18" t="n"/>
    </row>
    <row r="1667">
      <c r="B1667" s="56" t="inlineStr">
        <is>
          <t>00090-REF</t>
        </is>
      </c>
      <c r="C1667" s="18">
        <f>IFERROR(_xlfn.XLOOKUP(ENTRADAS[[#This Row],[CODIGO]],LISTADO[CODIGOS],LISTADO[CATEGORIA]),"NO EXISTE")</f>
        <v/>
      </c>
      <c r="D1667" s="18">
        <f>IFERROR(_xlfn.XLOOKUP(ENTRADAS[[#This Row],[CODIGO]],LISTADO[CODIGOS],LISTADO[PRODUCTOS]),"NO EXISTE")</f>
        <v/>
      </c>
      <c r="E1667" s="19" t="n">
        <v>46150</v>
      </c>
      <c r="F1667" s="18" t="n">
        <v>5</v>
      </c>
      <c r="G1667" s="18" t="inlineStr">
        <is>
          <t>INGRESO</t>
        </is>
      </c>
      <c r="H1667" s="18" t="inlineStr">
        <is>
          <t>R.O.C.A</t>
        </is>
      </c>
      <c r="I1667" s="45" t="n">
        <v>5</v>
      </c>
      <c r="J1667" s="77" t="n"/>
      <c r="K1667" s="18" t="n"/>
    </row>
    <row r="1668">
      <c r="B1668" s="56" t="inlineStr">
        <is>
          <t>00073-REF</t>
        </is>
      </c>
      <c r="C1668" s="18">
        <f>IFERROR(_xlfn.XLOOKUP(ENTRADAS[[#This Row],[CODIGO]],LISTADO[CODIGOS],LISTADO[CATEGORIA]),"NO EXISTE")</f>
        <v/>
      </c>
      <c r="D1668" s="18">
        <f>IFERROR(_xlfn.XLOOKUP(ENTRADAS[[#This Row],[CODIGO]],LISTADO[CODIGOS],LISTADO[PRODUCTOS]),"NO EXISTE")</f>
        <v/>
      </c>
      <c r="E1668" s="19" t="n">
        <v>46150</v>
      </c>
      <c r="F1668" s="18" t="n">
        <v>15</v>
      </c>
      <c r="G1668" s="18" t="inlineStr">
        <is>
          <t>INGRESO</t>
        </is>
      </c>
      <c r="H1668" s="18" t="inlineStr">
        <is>
          <t>R.O.C.A</t>
        </is>
      </c>
      <c r="I1668" s="45" t="n">
        <v>2.66</v>
      </c>
      <c r="J1668" s="77" t="n"/>
      <c r="K1668" s="18" t="n"/>
    </row>
    <row r="1669">
      <c r="B1669" s="18" t="inlineStr">
        <is>
          <t>00135-REF</t>
        </is>
      </c>
      <c r="C1669" s="18">
        <f>IFERROR(_xlfn.XLOOKUP(ENTRADAS[[#This Row],[CODIGO]],LISTADO[CODIGOS],LISTADO[CATEGORIA]),"NO EXISTE")</f>
        <v/>
      </c>
      <c r="D1669" s="18">
        <f>IFERROR(_xlfn.XLOOKUP(ENTRADAS[[#This Row],[CODIGO]],LISTADO[CODIGOS],LISTADO[PRODUCTOS]),"NO EXISTE")</f>
        <v/>
      </c>
      <c r="E1669" s="19" t="n">
        <v>46150</v>
      </c>
      <c r="F1669" s="18" t="n">
        <v>2</v>
      </c>
      <c r="G1669" s="18" t="inlineStr">
        <is>
          <t>INGRESO</t>
        </is>
      </c>
      <c r="H1669" s="18" t="inlineStr">
        <is>
          <t>R.O.C.A</t>
        </is>
      </c>
      <c r="I1669" s="45" t="n">
        <v>14</v>
      </c>
      <c r="J1669" s="77" t="n"/>
      <c r="K1669" s="18" t="n"/>
    </row>
    <row r="1670">
      <c r="B1670" s="18" t="inlineStr">
        <is>
          <t>00097-REF</t>
        </is>
      </c>
      <c r="C1670" s="18">
        <f>IFERROR(_xlfn.XLOOKUP(ENTRADAS[[#This Row],[CODIGO]],LISTADO[CODIGOS],LISTADO[CATEGORIA]),"NO EXISTE")</f>
        <v/>
      </c>
      <c r="D1670" s="18">
        <f>IFERROR(_xlfn.XLOOKUP(ENTRADAS[[#This Row],[CODIGO]],LISTADO[CODIGOS],LISTADO[PRODUCTOS]),"NO EXISTE")</f>
        <v/>
      </c>
      <c r="E1670" s="19" t="n">
        <v>46150</v>
      </c>
      <c r="F1670" s="18" t="n">
        <v>1</v>
      </c>
      <c r="G1670" s="18" t="inlineStr">
        <is>
          <t>INGRESO</t>
        </is>
      </c>
      <c r="H1670" s="18" t="inlineStr">
        <is>
          <t>R.O.C.A</t>
        </is>
      </c>
      <c r="I1670" s="45" t="n">
        <v>17</v>
      </c>
      <c r="J1670" s="77" t="n"/>
      <c r="K1670" s="18" t="n"/>
    </row>
    <row r="1671">
      <c r="B1671" s="56" t="inlineStr">
        <is>
          <t>00061-REF</t>
        </is>
      </c>
      <c r="C1671" s="18">
        <f>IFERROR(_xlfn.XLOOKUP(ENTRADAS[[#This Row],[CODIGO]],LISTADO[CODIGOS],LISTADO[CATEGORIA]),"NO EXISTE")</f>
        <v/>
      </c>
      <c r="D1671" s="18">
        <f>IFERROR(_xlfn.XLOOKUP(ENTRADAS[[#This Row],[CODIGO]],LISTADO[CODIGOS],LISTADO[PRODUCTOS]),"NO EXISTE")</f>
        <v/>
      </c>
      <c r="E1671" s="19" t="n">
        <v>46150</v>
      </c>
      <c r="F1671" s="18" t="n">
        <v>3</v>
      </c>
      <c r="G1671" s="18" t="inlineStr">
        <is>
          <t>INGRESO</t>
        </is>
      </c>
      <c r="H1671" s="18" t="inlineStr">
        <is>
          <t>R.O.C.A</t>
        </is>
      </c>
      <c r="I1671" s="45" t="n">
        <v>3</v>
      </c>
      <c r="J1671" s="77" t="n"/>
      <c r="K1671" s="18" t="n"/>
    </row>
    <row r="1672">
      <c r="B1672" s="56" t="inlineStr">
        <is>
          <t>00087-REF</t>
        </is>
      </c>
      <c r="C1672" s="18">
        <f>IFERROR(_xlfn.XLOOKUP(ENTRADAS[[#This Row],[CODIGO]],LISTADO[CODIGOS],LISTADO[CATEGORIA]),"NO EXISTE")</f>
        <v/>
      </c>
      <c r="D1672" s="18">
        <f>IFERROR(_xlfn.XLOOKUP(ENTRADAS[[#This Row],[CODIGO]],LISTADO[CODIGOS],LISTADO[PRODUCTOS]),"NO EXISTE")</f>
        <v/>
      </c>
      <c r="E1672" s="19" t="n">
        <v>46150</v>
      </c>
      <c r="F1672" s="18" t="n">
        <v>6</v>
      </c>
      <c r="G1672" s="18" t="inlineStr">
        <is>
          <t>INGRESO</t>
        </is>
      </c>
      <c r="H1672" s="18" t="inlineStr">
        <is>
          <t>R.O.C.A</t>
        </is>
      </c>
      <c r="I1672" s="45" t="n">
        <v>5</v>
      </c>
      <c r="J1672" s="77" t="n"/>
      <c r="K1672" s="18" t="n"/>
    </row>
    <row r="1673">
      <c r="B1673" s="18" t="inlineStr">
        <is>
          <t>00113-REF</t>
        </is>
      </c>
      <c r="C1673" s="18">
        <f>IFERROR(_xlfn.XLOOKUP(ENTRADAS[[#This Row],[CODIGO]],LISTADO[CODIGOS],LISTADO[CATEGORIA]),"NO EXISTE")</f>
        <v/>
      </c>
      <c r="D1673" s="18">
        <f>IFERROR(_xlfn.XLOOKUP(ENTRADAS[[#This Row],[CODIGO]],LISTADO[CODIGOS],LISTADO[PRODUCTOS]),"NO EXISTE")</f>
        <v/>
      </c>
      <c r="E1673" s="19" t="n">
        <v>46150</v>
      </c>
      <c r="F1673" s="18" t="n">
        <v>10</v>
      </c>
      <c r="G1673" s="18" t="inlineStr">
        <is>
          <t>INGRESO</t>
        </is>
      </c>
      <c r="H1673" s="18" t="inlineStr">
        <is>
          <t>R.O.C.A</t>
        </is>
      </c>
      <c r="I1673" s="45" t="n">
        <v>5</v>
      </c>
      <c r="J1673" s="77" t="n"/>
      <c r="K1673" s="18" t="n"/>
    </row>
    <row r="1674">
      <c r="B1674" s="18" t="inlineStr">
        <is>
          <t>00120-REF</t>
        </is>
      </c>
      <c r="C1674" s="18">
        <f>IFERROR(_xlfn.XLOOKUP(ENTRADAS[[#This Row],[CODIGO]],LISTADO[CODIGOS],LISTADO[CATEGORIA]),"NO EXISTE")</f>
        <v/>
      </c>
      <c r="D1674" s="18">
        <f>IFERROR(_xlfn.XLOOKUP(ENTRADAS[[#This Row],[CODIGO]],LISTADO[CODIGOS],LISTADO[PRODUCTOS]),"NO EXISTE")</f>
        <v/>
      </c>
      <c r="E1674" s="19" t="n">
        <v>46150</v>
      </c>
      <c r="F1674" s="18" t="n">
        <v>5</v>
      </c>
      <c r="G1674" s="18" t="inlineStr">
        <is>
          <t>INGRESO</t>
        </is>
      </c>
      <c r="H1674" s="18" t="inlineStr">
        <is>
          <t>R.O.C.A</t>
        </is>
      </c>
      <c r="I1674" s="45" t="n">
        <v>4.5</v>
      </c>
      <c r="J1674" s="77" t="n"/>
      <c r="K1674" s="18" t="n"/>
    </row>
    <row r="1675">
      <c r="B1675" s="18" t="inlineStr">
        <is>
          <t>00136-REF</t>
        </is>
      </c>
      <c r="C1675" s="18">
        <f>IFERROR(_xlfn.XLOOKUP(ENTRADAS[[#This Row],[CODIGO]],LISTADO[CODIGOS],LISTADO[CATEGORIA]),"NO EXISTE")</f>
        <v/>
      </c>
      <c r="D1675" s="18">
        <f>IFERROR(_xlfn.XLOOKUP(ENTRADAS[[#This Row],[CODIGO]],LISTADO[CODIGOS],LISTADO[PRODUCTOS]),"NO EXISTE")</f>
        <v/>
      </c>
      <c r="E1675" s="19" t="n">
        <v>46150</v>
      </c>
      <c r="F1675" s="18" t="n">
        <v>10</v>
      </c>
      <c r="G1675" s="18" t="inlineStr">
        <is>
          <t>INGRESO</t>
        </is>
      </c>
      <c r="H1675" s="18" t="inlineStr">
        <is>
          <t>R.O.C.A</t>
        </is>
      </c>
      <c r="I1675" s="45" t="n">
        <v>6.5</v>
      </c>
      <c r="J1675" s="77" t="n"/>
      <c r="K1675" s="18" t="n"/>
    </row>
    <row r="1676">
      <c r="B1676" s="56" t="inlineStr">
        <is>
          <t>00110-REF</t>
        </is>
      </c>
      <c r="C1676" s="18">
        <f>IFERROR(_xlfn.XLOOKUP(ENTRADAS[[#This Row],[CODIGO]],LISTADO[CODIGOS],LISTADO[CATEGORIA]),"NO EXISTE")</f>
        <v/>
      </c>
      <c r="D1676" s="18">
        <f>IFERROR(_xlfn.XLOOKUP(ENTRADAS[[#This Row],[CODIGO]],LISTADO[CODIGOS],LISTADO[PRODUCTOS]),"NO EXISTE")</f>
        <v/>
      </c>
      <c r="E1676" s="19" t="n">
        <v>46150</v>
      </c>
      <c r="F1676" s="18" t="n">
        <v>3</v>
      </c>
      <c r="G1676" s="18" t="inlineStr">
        <is>
          <t>INGRESO</t>
        </is>
      </c>
      <c r="H1676" s="18" t="inlineStr">
        <is>
          <t>R.O.C.A</t>
        </is>
      </c>
      <c r="I1676" s="45" t="n">
        <v>4.5</v>
      </c>
      <c r="J1676" s="77" t="n"/>
      <c r="K1676" s="18" t="n"/>
    </row>
    <row r="1677">
      <c r="B1677" s="56" t="inlineStr">
        <is>
          <t>00109-REF</t>
        </is>
      </c>
      <c r="C1677" s="18">
        <f>IFERROR(_xlfn.XLOOKUP(ENTRADAS[[#This Row],[CODIGO]],LISTADO[CODIGOS],LISTADO[CATEGORIA]),"NO EXISTE")</f>
        <v/>
      </c>
      <c r="D1677" s="18">
        <f>IFERROR(_xlfn.XLOOKUP(ENTRADAS[[#This Row],[CODIGO]],LISTADO[CODIGOS],LISTADO[PRODUCTOS]),"NO EXISTE")</f>
        <v/>
      </c>
      <c r="E1677" s="19" t="n">
        <v>46150</v>
      </c>
      <c r="F1677" s="18" t="n">
        <v>5</v>
      </c>
      <c r="G1677" s="18" t="inlineStr">
        <is>
          <t>INGRESO</t>
        </is>
      </c>
      <c r="H1677" s="18" t="inlineStr">
        <is>
          <t>R.O.C.A</t>
        </is>
      </c>
      <c r="I1677" s="45" t="n">
        <v>4.5</v>
      </c>
      <c r="J1677" s="77" t="n"/>
      <c r="K1677" s="18" t="n"/>
    </row>
    <row r="1678">
      <c r="B1678" s="56" t="inlineStr">
        <is>
          <t>00137-REF</t>
        </is>
      </c>
      <c r="C1678" s="18">
        <f>IFERROR(_xlfn.XLOOKUP(ENTRADAS[[#This Row],[CODIGO]],LISTADO[CODIGOS],LISTADO[CATEGORIA]),"NO EXISTE")</f>
        <v/>
      </c>
      <c r="D1678" s="18">
        <f>IFERROR(_xlfn.XLOOKUP(ENTRADAS[[#This Row],[CODIGO]],LISTADO[CODIGOS],LISTADO[PRODUCTOS]),"NO EXISTE")</f>
        <v/>
      </c>
      <c r="E1678" s="19" t="n">
        <v>46150</v>
      </c>
      <c r="F1678" s="18" t="n">
        <v>2</v>
      </c>
      <c r="G1678" s="18" t="inlineStr">
        <is>
          <t>INGRESO</t>
        </is>
      </c>
      <c r="H1678" s="18" t="inlineStr">
        <is>
          <t>R.O.C.A</t>
        </is>
      </c>
      <c r="I1678" s="45" t="n">
        <v>1</v>
      </c>
      <c r="J1678" s="77" t="n"/>
      <c r="K1678" s="18" t="n"/>
    </row>
    <row r="1679">
      <c r="B1679" s="18" t="inlineStr">
        <is>
          <t>00117-REF</t>
        </is>
      </c>
      <c r="C1679" s="18">
        <f>IFERROR(_xlfn.XLOOKUP(ENTRADAS[[#This Row],[CODIGO]],LISTADO[CODIGOS],LISTADO[CATEGORIA]),"NO EXISTE")</f>
        <v/>
      </c>
      <c r="D1679" s="18">
        <f>IFERROR(_xlfn.XLOOKUP(ENTRADAS[[#This Row],[CODIGO]],LISTADO[CODIGOS],LISTADO[PRODUCTOS]),"NO EXISTE")</f>
        <v/>
      </c>
      <c r="E1679" s="19" t="n">
        <v>46150</v>
      </c>
      <c r="F1679" s="18" t="n">
        <v>2</v>
      </c>
      <c r="G1679" s="18" t="inlineStr">
        <is>
          <t>INGRESO</t>
        </is>
      </c>
      <c r="H1679" s="18" t="inlineStr">
        <is>
          <t>R.O.C.A</t>
        </is>
      </c>
      <c r="I1679" s="45" t="n">
        <v>3.5</v>
      </c>
      <c r="J1679" s="77" t="n"/>
      <c r="K1679" s="18" t="n"/>
    </row>
    <row r="1680">
      <c r="B1680" s="18" t="inlineStr">
        <is>
          <t>00138-REF</t>
        </is>
      </c>
      <c r="C1680" s="18">
        <f>IFERROR(_xlfn.XLOOKUP(ENTRADAS[[#This Row],[CODIGO]],LISTADO[CODIGOS],LISTADO[CATEGORIA]),"NO EXISTE")</f>
        <v/>
      </c>
      <c r="D1680" s="18">
        <f>IFERROR(_xlfn.XLOOKUP(ENTRADAS[[#This Row],[CODIGO]],LISTADO[CODIGOS],LISTADO[PRODUCTOS]),"NO EXISTE")</f>
        <v/>
      </c>
      <c r="E1680" s="19" t="n">
        <v>46150</v>
      </c>
      <c r="F1680" s="18" t="n">
        <v>2</v>
      </c>
      <c r="G1680" s="18" t="inlineStr">
        <is>
          <t>INGRESO</t>
        </is>
      </c>
      <c r="H1680" s="18" t="inlineStr">
        <is>
          <t>R.O.C.A</t>
        </is>
      </c>
      <c r="I1680" s="45" t="n">
        <v>2</v>
      </c>
      <c r="J1680" s="77" t="n"/>
      <c r="K1680" s="18" t="n"/>
    </row>
    <row r="1681">
      <c r="B1681" s="56" t="inlineStr">
        <is>
          <t>00013-REF</t>
        </is>
      </c>
      <c r="C1681" s="18">
        <f>IFERROR(_xlfn.XLOOKUP(ENTRADAS[[#This Row],[CODIGO]],LISTADO[CODIGOS],LISTADO[CATEGORIA]),"NO EXISTE")</f>
        <v/>
      </c>
      <c r="D1681" s="18">
        <f>IFERROR(_xlfn.XLOOKUP(ENTRADAS[[#This Row],[CODIGO]],LISTADO[CODIGOS],LISTADO[PRODUCTOS]),"NO EXISTE")</f>
        <v/>
      </c>
      <c r="E1681" s="19" t="n">
        <v>46150</v>
      </c>
      <c r="F1681" s="18" t="n">
        <v>4</v>
      </c>
      <c r="G1681" s="18" t="inlineStr">
        <is>
          <t>INGRESO</t>
        </is>
      </c>
      <c r="H1681" s="18" t="inlineStr">
        <is>
          <t>R.O.C.A</t>
        </is>
      </c>
      <c r="I1681" s="45" t="n">
        <v>4.9</v>
      </c>
      <c r="J1681" s="77" t="n"/>
      <c r="K1681" s="18" t="n"/>
    </row>
    <row r="1682">
      <c r="B1682" s="18" t="inlineStr">
        <is>
          <t>00139-REF</t>
        </is>
      </c>
      <c r="C1682" s="18">
        <f>IFERROR(_xlfn.XLOOKUP(ENTRADAS[[#This Row],[CODIGO]],LISTADO[CODIGOS],LISTADO[CATEGORIA]),"NO EXISTE")</f>
        <v/>
      </c>
      <c r="D1682" s="18">
        <f>IFERROR(_xlfn.XLOOKUP(ENTRADAS[[#This Row],[CODIGO]],LISTADO[CODIGOS],LISTADO[PRODUCTOS]),"NO EXISTE")</f>
        <v/>
      </c>
      <c r="E1682" s="19" t="n">
        <v>46150</v>
      </c>
      <c r="F1682" s="18" t="n">
        <v>4</v>
      </c>
      <c r="G1682" s="18" t="inlineStr">
        <is>
          <t>INGRESO</t>
        </is>
      </c>
      <c r="H1682" s="18" t="inlineStr">
        <is>
          <t>R.O.C.A</t>
        </is>
      </c>
      <c r="I1682" s="45" t="n">
        <v>4.5</v>
      </c>
      <c r="J1682" s="77" t="n"/>
      <c r="K1682" s="18" t="n"/>
    </row>
    <row r="1683">
      <c r="B1683" s="56" t="inlineStr">
        <is>
          <t>00075-REF</t>
        </is>
      </c>
      <c r="C1683" s="18">
        <f>IFERROR(_xlfn.XLOOKUP(ENTRADAS[[#This Row],[CODIGO]],LISTADO[CODIGOS],LISTADO[CATEGORIA]),"NO EXISTE")</f>
        <v/>
      </c>
      <c r="D1683" s="18">
        <f>IFERROR(_xlfn.XLOOKUP(ENTRADAS[[#This Row],[CODIGO]],LISTADO[CODIGOS],LISTADO[PRODUCTOS]),"NO EXISTE")</f>
        <v/>
      </c>
      <c r="E1683" s="19" t="n">
        <v>46150</v>
      </c>
      <c r="F1683" s="18" t="n">
        <v>6</v>
      </c>
      <c r="G1683" s="18" t="inlineStr">
        <is>
          <t>INGRESO</t>
        </is>
      </c>
      <c r="H1683" s="18" t="inlineStr">
        <is>
          <t>R.O.C.A</t>
        </is>
      </c>
      <c r="I1683" s="45" t="n">
        <v>1.4</v>
      </c>
      <c r="J1683" s="77" t="n"/>
      <c r="K1683" s="18" t="n"/>
    </row>
    <row r="1684">
      <c r="B1684" s="56" t="inlineStr">
        <is>
          <t>00017-REF</t>
        </is>
      </c>
      <c r="C1684" s="18">
        <f>IFERROR(_xlfn.XLOOKUP(ENTRADAS[[#This Row],[CODIGO]],LISTADO[CODIGOS],LISTADO[CATEGORIA]),"NO EXISTE")</f>
        <v/>
      </c>
      <c r="D1684" s="18">
        <f>IFERROR(_xlfn.XLOOKUP(ENTRADAS[[#This Row],[CODIGO]],LISTADO[CODIGOS],LISTADO[PRODUCTOS]),"NO EXISTE")</f>
        <v/>
      </c>
      <c r="E1684" s="19" t="n">
        <v>46150</v>
      </c>
      <c r="F1684" s="18" t="n">
        <v>15</v>
      </c>
      <c r="G1684" s="18" t="inlineStr">
        <is>
          <t>INGRESO</t>
        </is>
      </c>
      <c r="H1684" s="18" t="inlineStr">
        <is>
          <t>R.O.C.A</t>
        </is>
      </c>
      <c r="I1684" s="45" t="n">
        <v>1.4</v>
      </c>
      <c r="J1684" s="77" t="n"/>
      <c r="K1684" s="18" t="n"/>
    </row>
    <row r="1685">
      <c r="B1685" s="56" t="inlineStr">
        <is>
          <t>00028-REF</t>
        </is>
      </c>
      <c r="C1685" s="18">
        <f>IFERROR(_xlfn.XLOOKUP(ENTRADAS[[#This Row],[CODIGO]],LISTADO[CODIGOS],LISTADO[CATEGORIA]),"NO EXISTE")</f>
        <v/>
      </c>
      <c r="D1685" s="18">
        <f>IFERROR(_xlfn.XLOOKUP(ENTRADAS[[#This Row],[CODIGO]],LISTADO[CODIGOS],LISTADO[PRODUCTOS]),"NO EXISTE")</f>
        <v/>
      </c>
      <c r="E1685" s="19" t="n">
        <v>46150</v>
      </c>
      <c r="F1685" s="18" t="n">
        <v>2</v>
      </c>
      <c r="G1685" s="18" t="inlineStr">
        <is>
          <t>INGRESO</t>
        </is>
      </c>
      <c r="H1685" s="18" t="inlineStr">
        <is>
          <t>R.O.C.A</t>
        </is>
      </c>
      <c r="I1685" s="45" t="n">
        <v>1.35</v>
      </c>
      <c r="J1685" s="77" t="n"/>
      <c r="K1685" s="18" t="n"/>
    </row>
    <row r="1686">
      <c r="B1686" s="56" t="inlineStr">
        <is>
          <t>00031-REF</t>
        </is>
      </c>
      <c r="C1686" s="18">
        <f>IFERROR(_xlfn.XLOOKUP(ENTRADAS[[#This Row],[CODIGO]],LISTADO[CODIGOS],LISTADO[CATEGORIA]),"NO EXISTE")</f>
        <v/>
      </c>
      <c r="D1686" s="18">
        <f>IFERROR(_xlfn.XLOOKUP(ENTRADAS[[#This Row],[CODIGO]],LISTADO[CODIGOS],LISTADO[PRODUCTOS]),"NO EXISTE")</f>
        <v/>
      </c>
      <c r="E1686" s="19" t="n">
        <v>46150</v>
      </c>
      <c r="F1686" s="18" t="n">
        <v>3</v>
      </c>
      <c r="G1686" s="18" t="inlineStr">
        <is>
          <t>INGRESO</t>
        </is>
      </c>
      <c r="H1686" s="18" t="inlineStr">
        <is>
          <t>R.O.C.A</t>
        </is>
      </c>
      <c r="I1686" s="45" t="n">
        <v>2.8</v>
      </c>
      <c r="J1686" s="77" t="n"/>
      <c r="K1686" s="18" t="n"/>
    </row>
    <row r="1687">
      <c r="B1687" s="18" t="inlineStr">
        <is>
          <t>00116-REF</t>
        </is>
      </c>
      <c r="C1687" s="18">
        <f>IFERROR(_xlfn.XLOOKUP(ENTRADAS[[#This Row],[CODIGO]],LISTADO[CODIGOS],LISTADO[CATEGORIA]),"NO EXISTE")</f>
        <v/>
      </c>
      <c r="D1687" s="18">
        <f>IFERROR(_xlfn.XLOOKUP(ENTRADAS[[#This Row],[CODIGO]],LISTADO[CODIGOS],LISTADO[PRODUCTOS]),"NO EXISTE")</f>
        <v/>
      </c>
      <c r="E1687" s="19" t="n">
        <v>46150</v>
      </c>
      <c r="F1687" s="18" t="n">
        <v>2</v>
      </c>
      <c r="G1687" s="18" t="inlineStr">
        <is>
          <t>INGRESO</t>
        </is>
      </c>
      <c r="H1687" s="18" t="inlineStr">
        <is>
          <t>R.O.C.A</t>
        </is>
      </c>
      <c r="I1687" s="45" t="n">
        <v>5</v>
      </c>
      <c r="J1687" s="77" t="n"/>
      <c r="K1687" s="18" t="n"/>
    </row>
    <row r="1688">
      <c r="B1688" s="18" t="inlineStr">
        <is>
          <t>00098-REF</t>
        </is>
      </c>
      <c r="C1688" s="18">
        <f>IFERROR(_xlfn.XLOOKUP(ENTRADAS[[#This Row],[CODIGO]],LISTADO[CODIGOS],LISTADO[CATEGORIA]),"NO EXISTE")</f>
        <v/>
      </c>
      <c r="D1688" s="18">
        <f>IFERROR(_xlfn.XLOOKUP(ENTRADAS[[#This Row],[CODIGO]],LISTADO[CODIGOS],LISTADO[PRODUCTOS]),"NO EXISTE")</f>
        <v/>
      </c>
      <c r="E1688" s="19" t="n">
        <v>46150</v>
      </c>
      <c r="F1688" s="18" t="n">
        <v>5</v>
      </c>
      <c r="G1688" s="18" t="inlineStr">
        <is>
          <t>INGRESO</t>
        </is>
      </c>
      <c r="H1688" s="18" t="inlineStr">
        <is>
          <t>R.O.C.A</t>
        </is>
      </c>
      <c r="I1688" s="45" t="n">
        <v>4.5</v>
      </c>
      <c r="J1688" s="77" t="n"/>
      <c r="K1688" s="18" t="n"/>
    </row>
    <row r="1689">
      <c r="B1689" s="18" t="inlineStr">
        <is>
          <t>00115-REF</t>
        </is>
      </c>
      <c r="C1689" s="18">
        <f>IFERROR(_xlfn.XLOOKUP(ENTRADAS[[#This Row],[CODIGO]],LISTADO[CODIGOS],LISTADO[CATEGORIA]),"NO EXISTE")</f>
        <v/>
      </c>
      <c r="D1689" s="18">
        <f>IFERROR(_xlfn.XLOOKUP(ENTRADAS[[#This Row],[CODIGO]],LISTADO[CODIGOS],LISTADO[PRODUCTOS]),"NO EXISTE")</f>
        <v/>
      </c>
      <c r="E1689" s="19" t="n">
        <v>46150</v>
      </c>
      <c r="F1689" s="18" t="n">
        <v>5</v>
      </c>
      <c r="G1689" s="18" t="inlineStr">
        <is>
          <t>INGRESO</t>
        </is>
      </c>
      <c r="H1689" s="18" t="inlineStr">
        <is>
          <t>R.O.C.A</t>
        </is>
      </c>
      <c r="I1689" s="45" t="n">
        <v>6.5</v>
      </c>
      <c r="J1689" s="77" t="n"/>
      <c r="K1689" s="18" t="n"/>
    </row>
    <row r="1690">
      <c r="B1690" s="56" t="inlineStr">
        <is>
          <t>00012-REF</t>
        </is>
      </c>
      <c r="C1690" s="18">
        <f>IFERROR(_xlfn.XLOOKUP(ENTRADAS[[#This Row],[CODIGO]],LISTADO[CODIGOS],LISTADO[CATEGORIA]),"NO EXISTE")</f>
        <v/>
      </c>
      <c r="D1690" s="18">
        <f>IFERROR(_xlfn.XLOOKUP(ENTRADAS[[#This Row],[CODIGO]],LISTADO[CODIGOS],LISTADO[PRODUCTOS]),"NO EXISTE")</f>
        <v/>
      </c>
      <c r="E1690" s="19" t="n">
        <v>46150</v>
      </c>
      <c r="F1690" s="18" t="n">
        <v>5</v>
      </c>
      <c r="G1690" s="18" t="inlineStr">
        <is>
          <t>INGRESO</t>
        </is>
      </c>
      <c r="H1690" s="18" t="inlineStr">
        <is>
          <t>R.O.C.A</t>
        </is>
      </c>
      <c r="I1690" s="45" t="n">
        <v>1</v>
      </c>
      <c r="J1690" s="77" t="n"/>
      <c r="K1690" s="18" t="n"/>
    </row>
    <row r="1691">
      <c r="B1691" s="56" t="inlineStr">
        <is>
          <t>00122-REF</t>
        </is>
      </c>
      <c r="C1691" s="18">
        <f>IFERROR(_xlfn.XLOOKUP(ENTRADAS[[#This Row],[CODIGO]],LISTADO[CODIGOS],LISTADO[CATEGORIA]),"NO EXISTE")</f>
        <v/>
      </c>
      <c r="D1691" s="18">
        <f>IFERROR(_xlfn.XLOOKUP(ENTRADAS[[#This Row],[CODIGO]],LISTADO[CODIGOS],LISTADO[PRODUCTOS]),"NO EXISTE")</f>
        <v/>
      </c>
      <c r="E1691" s="19" t="n">
        <v>46150</v>
      </c>
      <c r="F1691" s="18" t="n">
        <v>3</v>
      </c>
      <c r="G1691" s="18" t="inlineStr">
        <is>
          <t>INGRESO</t>
        </is>
      </c>
      <c r="H1691" s="18" t="inlineStr">
        <is>
          <t>R.O.C.A</t>
        </is>
      </c>
      <c r="I1691" s="45" t="n">
        <v>11</v>
      </c>
      <c r="J1691" s="77" t="n"/>
      <c r="K1691" s="18" t="n"/>
    </row>
    <row r="1692">
      <c r="B1692" s="18" t="inlineStr">
        <is>
          <t>00114-REF</t>
        </is>
      </c>
      <c r="C1692" s="18">
        <f>IFERROR(_xlfn.XLOOKUP(ENTRADAS[[#This Row],[CODIGO]],LISTADO[CODIGOS],LISTADO[CATEGORIA]),"NO EXISTE")</f>
        <v/>
      </c>
      <c r="D1692" s="18">
        <f>IFERROR(_xlfn.XLOOKUP(ENTRADAS[[#This Row],[CODIGO]],LISTADO[CODIGOS],LISTADO[PRODUCTOS]),"NO EXISTE")</f>
        <v/>
      </c>
      <c r="E1692" s="19" t="n">
        <v>46150</v>
      </c>
      <c r="F1692" s="18" t="n">
        <v>5</v>
      </c>
      <c r="G1692" s="18" t="inlineStr">
        <is>
          <t>INGRESO</t>
        </is>
      </c>
      <c r="H1692" s="18" t="inlineStr">
        <is>
          <t>R.O.C.A</t>
        </is>
      </c>
      <c r="I1692" s="45" t="n">
        <v>14</v>
      </c>
      <c r="J1692" s="77" t="n"/>
      <c r="K1692" s="18" t="n"/>
    </row>
    <row r="1693">
      <c r="B1693" s="18" t="inlineStr">
        <is>
          <t>00121-REF</t>
        </is>
      </c>
      <c r="C1693" s="18">
        <f>IFERROR(_xlfn.XLOOKUP(ENTRADAS[[#This Row],[CODIGO]],LISTADO[CODIGOS],LISTADO[CATEGORIA]),"NO EXISTE")</f>
        <v/>
      </c>
      <c r="D1693" s="18">
        <f>IFERROR(_xlfn.XLOOKUP(ENTRADAS[[#This Row],[CODIGO]],LISTADO[CODIGOS],LISTADO[PRODUCTOS]),"NO EXISTE")</f>
        <v/>
      </c>
      <c r="E1693" s="19" t="n">
        <v>46150</v>
      </c>
      <c r="F1693" s="18" t="n">
        <v>2</v>
      </c>
      <c r="G1693" s="18" t="inlineStr">
        <is>
          <t>INGRESO</t>
        </is>
      </c>
      <c r="H1693" s="18" t="inlineStr">
        <is>
          <t>R.O.C.A</t>
        </is>
      </c>
      <c r="I1693" s="45" t="n">
        <v>48</v>
      </c>
      <c r="J1693" s="77" t="n"/>
      <c r="K1693" s="18" t="n"/>
    </row>
    <row r="1694">
      <c r="B1694" s="56" t="inlineStr">
        <is>
          <t>00011-REF</t>
        </is>
      </c>
      <c r="C1694" s="18">
        <f>IFERROR(_xlfn.XLOOKUP(ENTRADAS[[#This Row],[CODIGO]],LISTADO[CODIGOS],LISTADO[CATEGORIA]),"NO EXISTE")</f>
        <v/>
      </c>
      <c r="D1694" s="18">
        <f>IFERROR(_xlfn.XLOOKUP(ENTRADAS[[#This Row],[CODIGO]],LISTADO[CODIGOS],LISTADO[PRODUCTOS]),"NO EXISTE")</f>
        <v/>
      </c>
      <c r="E1694" s="19" t="n">
        <v>46150</v>
      </c>
      <c r="F1694" s="18" t="n">
        <v>3</v>
      </c>
      <c r="G1694" s="18" t="inlineStr">
        <is>
          <t>INGRESO</t>
        </is>
      </c>
      <c r="H1694" s="18" t="inlineStr">
        <is>
          <t>R.O.C.A</t>
        </is>
      </c>
      <c r="I1694" s="45" t="n">
        <v>1.1</v>
      </c>
      <c r="J1694" s="77" t="n"/>
      <c r="K1694" s="18" t="n"/>
    </row>
    <row r="1695">
      <c r="B1695" s="56" t="inlineStr">
        <is>
          <t>00010-REF</t>
        </is>
      </c>
      <c r="C1695" s="18">
        <f>IFERROR(_xlfn.XLOOKUP(ENTRADAS[[#This Row],[CODIGO]],LISTADO[CODIGOS],LISTADO[CATEGORIA]),"NO EXISTE")</f>
        <v/>
      </c>
      <c r="D1695" s="18">
        <f>IFERROR(_xlfn.XLOOKUP(ENTRADAS[[#This Row],[CODIGO]],LISTADO[CODIGOS],LISTADO[PRODUCTOS]),"NO EXISTE")</f>
        <v/>
      </c>
      <c r="E1695" s="19" t="n">
        <v>46150</v>
      </c>
      <c r="F1695" s="18" t="n">
        <v>4</v>
      </c>
      <c r="G1695" s="18" t="inlineStr">
        <is>
          <t>INGRESO</t>
        </is>
      </c>
      <c r="H1695" s="18" t="inlineStr">
        <is>
          <t>R.O.C.A</t>
        </is>
      </c>
      <c r="I1695" s="45" t="n">
        <v>10.8</v>
      </c>
      <c r="J1695" s="77" t="n"/>
      <c r="K1695" s="18" t="n"/>
    </row>
    <row r="1696">
      <c r="B1696" s="56" t="inlineStr">
        <is>
          <t>00044-REF</t>
        </is>
      </c>
      <c r="C1696" s="18">
        <f>IFERROR(_xlfn.XLOOKUP(ENTRADAS[[#This Row],[CODIGO]],LISTADO[CODIGOS],LISTADO[CATEGORIA]),"NO EXISTE")</f>
        <v/>
      </c>
      <c r="D1696" s="18">
        <f>IFERROR(_xlfn.XLOOKUP(ENTRADAS[[#This Row],[CODIGO]],LISTADO[CODIGOS],LISTADO[PRODUCTOS]),"NO EXISTE")</f>
        <v/>
      </c>
      <c r="E1696" s="19" t="n">
        <v>46150</v>
      </c>
      <c r="F1696" s="18" t="n">
        <v>5</v>
      </c>
      <c r="G1696" s="18" t="inlineStr">
        <is>
          <t>INGRESO</t>
        </is>
      </c>
      <c r="H1696" s="18" t="inlineStr">
        <is>
          <t>R.O.C.A</t>
        </is>
      </c>
      <c r="I1696" s="45" t="n">
        <v>10.64</v>
      </c>
      <c r="J1696" s="77" t="n"/>
      <c r="K1696" s="18" t="n"/>
    </row>
    <row r="1697">
      <c r="B1697" s="56" t="inlineStr">
        <is>
          <t>00039-REF</t>
        </is>
      </c>
      <c r="C1697" s="18">
        <f>IFERROR(_xlfn.XLOOKUP(ENTRADAS[[#This Row],[CODIGO]],LISTADO[CODIGOS],LISTADO[CATEGORIA]),"NO EXISTE")</f>
        <v/>
      </c>
      <c r="D1697" s="18">
        <f>IFERROR(_xlfn.XLOOKUP(ENTRADAS[[#This Row],[CODIGO]],LISTADO[CODIGOS],LISTADO[PRODUCTOS]),"NO EXISTE")</f>
        <v/>
      </c>
      <c r="E1697" s="19" t="n">
        <v>46150</v>
      </c>
      <c r="F1697" s="18" t="n">
        <v>3</v>
      </c>
      <c r="G1697" s="18" t="inlineStr">
        <is>
          <t>INGRESO</t>
        </is>
      </c>
      <c r="H1697" s="18" t="inlineStr">
        <is>
          <t>R.O.C.A</t>
        </is>
      </c>
      <c r="I1697" s="45" t="n">
        <v>12</v>
      </c>
      <c r="J1697" s="77" t="n"/>
      <c r="K1697" s="18" t="n"/>
    </row>
    <row r="1698">
      <c r="B1698" s="56" t="inlineStr">
        <is>
          <t>00050-REF</t>
        </is>
      </c>
      <c r="C1698" s="18">
        <f>IFERROR(_xlfn.XLOOKUP(ENTRADAS[[#This Row],[CODIGO]],LISTADO[CODIGOS],LISTADO[CATEGORIA]),"NO EXISTE")</f>
        <v/>
      </c>
      <c r="D1698" s="18">
        <f>IFERROR(_xlfn.XLOOKUP(ENTRADAS[[#This Row],[CODIGO]],LISTADO[CODIGOS],LISTADO[PRODUCTOS]),"NO EXISTE")</f>
        <v/>
      </c>
      <c r="E1698" s="19" t="n">
        <v>46150</v>
      </c>
      <c r="F1698" s="18" t="n">
        <v>6</v>
      </c>
      <c r="G1698" s="18" t="inlineStr">
        <is>
          <t>INGRESO</t>
        </is>
      </c>
      <c r="H1698" s="18" t="inlineStr">
        <is>
          <t>R.O.C.A</t>
        </is>
      </c>
      <c r="I1698" s="45" t="n">
        <v>3</v>
      </c>
      <c r="J1698" s="77" t="n"/>
      <c r="K1698" s="18" t="n"/>
    </row>
    <row r="1699">
      <c r="B1699" s="56" t="inlineStr">
        <is>
          <t>00009-REF</t>
        </is>
      </c>
      <c r="C1699" s="18">
        <f>IFERROR(_xlfn.XLOOKUP(ENTRADAS[[#This Row],[CODIGO]],LISTADO[CODIGOS],LISTADO[CATEGORIA]),"NO EXISTE")</f>
        <v/>
      </c>
      <c r="D1699" s="18">
        <f>IFERROR(_xlfn.XLOOKUP(ENTRADAS[[#This Row],[CODIGO]],LISTADO[CODIGOS],LISTADO[PRODUCTOS]),"NO EXISTE")</f>
        <v/>
      </c>
      <c r="E1699" s="19" t="n">
        <v>46150</v>
      </c>
      <c r="F1699" s="18" t="n">
        <v>6</v>
      </c>
      <c r="G1699" s="18" t="inlineStr">
        <is>
          <t>INGRESO</t>
        </is>
      </c>
      <c r="H1699" s="18" t="inlineStr">
        <is>
          <t>R.O.C.A</t>
        </is>
      </c>
      <c r="I1699" s="45" t="n">
        <v>2.7</v>
      </c>
      <c r="J1699" s="77" t="n"/>
      <c r="K1699" s="18" t="n"/>
    </row>
    <row r="1700">
      <c r="B1700" s="56" t="inlineStr">
        <is>
          <t>00077-REF</t>
        </is>
      </c>
      <c r="C1700" s="18">
        <f>IFERROR(_xlfn.XLOOKUP(ENTRADAS[[#This Row],[CODIGO]],LISTADO[CODIGOS],LISTADO[CATEGORIA]),"NO EXISTE")</f>
        <v/>
      </c>
      <c r="D1700" s="18">
        <f>IFERROR(_xlfn.XLOOKUP(ENTRADAS[[#This Row],[CODIGO]],LISTADO[CODIGOS],LISTADO[PRODUCTOS]),"NO EXISTE")</f>
        <v/>
      </c>
      <c r="E1700" s="19" t="n">
        <v>46150</v>
      </c>
      <c r="F1700" s="18" t="n">
        <v>1</v>
      </c>
      <c r="G1700" s="18" t="inlineStr">
        <is>
          <t>INGRESO</t>
        </is>
      </c>
      <c r="H1700" s="18" t="inlineStr">
        <is>
          <t>R.O.C.A</t>
        </is>
      </c>
      <c r="I1700" s="45" t="n">
        <v>148.7</v>
      </c>
      <c r="J1700" s="77" t="n"/>
      <c r="K1700" s="18" t="n"/>
    </row>
    <row r="1701">
      <c r="B1701" s="18" t="inlineStr">
        <is>
          <t>00095-REF</t>
        </is>
      </c>
      <c r="C1701" s="18">
        <f>IFERROR(_xlfn.XLOOKUP(ENTRADAS[[#This Row],[CODIGO]],LISTADO[CODIGOS],LISTADO[CATEGORIA]),"NO EXISTE")</f>
        <v/>
      </c>
      <c r="D1701" s="18">
        <f>IFERROR(_xlfn.XLOOKUP(ENTRADAS[[#This Row],[CODIGO]],LISTADO[CODIGOS],LISTADO[PRODUCTOS]),"NO EXISTE")</f>
        <v/>
      </c>
      <c r="E1701" s="19" t="n">
        <v>46150</v>
      </c>
      <c r="F1701" s="18" t="n">
        <v>1</v>
      </c>
      <c r="G1701" s="18" t="inlineStr">
        <is>
          <t>INGRESO</t>
        </is>
      </c>
      <c r="H1701" s="18" t="inlineStr">
        <is>
          <t>R.O.C.A</t>
        </is>
      </c>
      <c r="I1701" s="45" t="n">
        <v>148.5</v>
      </c>
      <c r="J1701" s="77" t="n"/>
      <c r="K1701" s="18" t="n"/>
    </row>
    <row r="1702">
      <c r="B1702" s="18" t="inlineStr">
        <is>
          <t>00111-REF</t>
        </is>
      </c>
      <c r="C1702" s="18">
        <f>IFERROR(_xlfn.XLOOKUP(ENTRADAS[[#This Row],[CODIGO]],LISTADO[CODIGOS],LISTADO[CATEGORIA]),"NO EXISTE")</f>
        <v/>
      </c>
      <c r="D1702" s="18">
        <f>IFERROR(_xlfn.XLOOKUP(ENTRADAS[[#This Row],[CODIGO]],LISTADO[CODIGOS],LISTADO[PRODUCTOS]),"NO EXISTE")</f>
        <v/>
      </c>
      <c r="E1702" s="19" t="n">
        <v>46150</v>
      </c>
      <c r="F1702" s="18" t="n">
        <v>3</v>
      </c>
      <c r="G1702" s="18" t="inlineStr">
        <is>
          <t>INGRESO</t>
        </is>
      </c>
      <c r="H1702" s="18" t="inlineStr">
        <is>
          <t>R.O.C.A</t>
        </is>
      </c>
      <c r="I1702" s="45" t="n">
        <v>8.5</v>
      </c>
      <c r="J1702" s="77" t="n"/>
      <c r="K1702" s="18" t="n"/>
    </row>
    <row r="1703">
      <c r="B1703" s="56" t="inlineStr">
        <is>
          <t>00062-REF</t>
        </is>
      </c>
      <c r="C1703" s="18">
        <f>IFERROR(_xlfn.XLOOKUP(ENTRADAS[[#This Row],[CODIGO]],LISTADO[CODIGOS],LISTADO[CATEGORIA]),"NO EXISTE")</f>
        <v/>
      </c>
      <c r="D1703" s="18">
        <f>IFERROR(_xlfn.XLOOKUP(ENTRADAS[[#This Row],[CODIGO]],LISTADO[CODIGOS],LISTADO[PRODUCTOS]),"NO EXISTE")</f>
        <v/>
      </c>
      <c r="E1703" s="19" t="n">
        <v>46150</v>
      </c>
      <c r="F1703" s="18" t="n">
        <v>5</v>
      </c>
      <c r="G1703" s="18" t="inlineStr">
        <is>
          <t>INGRESO</t>
        </is>
      </c>
      <c r="H1703" s="18" t="inlineStr">
        <is>
          <t>R.O.C.A</t>
        </is>
      </c>
      <c r="I1703" s="45" t="n">
        <v>1.35</v>
      </c>
      <c r="J1703" s="77" t="n"/>
      <c r="K1703" s="18" t="n"/>
    </row>
    <row r="1704">
      <c r="B1704" s="56" t="inlineStr">
        <is>
          <t>00023-ELC</t>
        </is>
      </c>
      <c r="C1704" s="18">
        <f>IFERROR(_xlfn.XLOOKUP(ENTRADAS[[#This Row],[CODIGO]],LISTADO[CODIGOS],LISTADO[CATEGORIA]),"NO EXISTE")</f>
        <v/>
      </c>
      <c r="D1704" s="18">
        <f>IFERROR(_xlfn.XLOOKUP(ENTRADAS[[#This Row],[CODIGO]],LISTADO[CODIGOS],LISTADO[PRODUCTOS]),"NO EXISTE")</f>
        <v/>
      </c>
      <c r="E1704" s="19" t="n">
        <v>46150</v>
      </c>
      <c r="F1704" s="18" t="n">
        <v>2</v>
      </c>
      <c r="G1704" s="18" t="inlineStr">
        <is>
          <t>INGRESO</t>
        </is>
      </c>
      <c r="H1704" s="18" t="inlineStr">
        <is>
          <t>R.O.C.A</t>
        </is>
      </c>
      <c r="I1704" s="45" t="n">
        <v>6</v>
      </c>
      <c r="J1704" s="77" t="n"/>
      <c r="K1704" s="18" t="n"/>
    </row>
    <row r="1705">
      <c r="B1705" s="56" t="inlineStr">
        <is>
          <t>00004-REF</t>
        </is>
      </c>
      <c r="C1705" s="18">
        <f>IFERROR(_xlfn.XLOOKUP(ENTRADAS[[#This Row],[CODIGO]],LISTADO[CODIGOS],LISTADO[CATEGORIA]),"NO EXISTE")</f>
        <v/>
      </c>
      <c r="D1705" s="18">
        <f>IFERROR(_xlfn.XLOOKUP(ENTRADAS[[#This Row],[CODIGO]],LISTADO[CODIGOS],LISTADO[PRODUCTOS]),"NO EXISTE")</f>
        <v/>
      </c>
      <c r="E1705" s="19" t="n">
        <v>46150</v>
      </c>
      <c r="F1705" s="18" t="n">
        <v>5</v>
      </c>
      <c r="G1705" s="18" t="inlineStr">
        <is>
          <t>INGRESO</t>
        </is>
      </c>
      <c r="H1705" s="18" t="inlineStr">
        <is>
          <t>R.O.C.A</t>
        </is>
      </c>
      <c r="I1705" s="45" t="n">
        <v>1.45</v>
      </c>
      <c r="J1705" s="77" t="n"/>
      <c r="K1705" s="18" t="n"/>
    </row>
    <row r="1706">
      <c r="B1706" s="56" t="inlineStr">
        <is>
          <t>00005-REF</t>
        </is>
      </c>
      <c r="C1706" s="18">
        <f>IFERROR(_xlfn.XLOOKUP(ENTRADAS[[#This Row],[CODIGO]],LISTADO[CODIGOS],LISTADO[CATEGORIA]),"NO EXISTE")</f>
        <v/>
      </c>
      <c r="D1706" s="18">
        <f>IFERROR(_xlfn.XLOOKUP(ENTRADAS[[#This Row],[CODIGO]],LISTADO[CODIGOS],LISTADO[PRODUCTOS]),"NO EXISTE")</f>
        <v/>
      </c>
      <c r="E1706" s="19" t="n">
        <v>46150</v>
      </c>
      <c r="F1706" s="18" t="n">
        <v>5</v>
      </c>
      <c r="G1706" s="18" t="inlineStr">
        <is>
          <t>INGRESO</t>
        </is>
      </c>
      <c r="H1706" s="18" t="inlineStr">
        <is>
          <t>R.O.C.A</t>
        </is>
      </c>
      <c r="I1706" s="45" t="n">
        <v>1.45</v>
      </c>
      <c r="J1706" s="77" t="n"/>
      <c r="K1706" s="18" t="n"/>
    </row>
    <row r="1707">
      <c r="B1707" s="56" t="inlineStr">
        <is>
          <t>00003-REF</t>
        </is>
      </c>
      <c r="C1707" s="18">
        <f>IFERROR(_xlfn.XLOOKUP(ENTRADAS[[#This Row],[CODIGO]],LISTADO[CODIGOS],LISTADO[CATEGORIA]),"NO EXISTE")</f>
        <v/>
      </c>
      <c r="D1707" s="18">
        <f>IFERROR(_xlfn.XLOOKUP(ENTRADAS[[#This Row],[CODIGO]],LISTADO[CODIGOS],LISTADO[PRODUCTOS]),"NO EXISTE")</f>
        <v/>
      </c>
      <c r="E1707" s="19" t="n">
        <v>46150</v>
      </c>
      <c r="F1707" s="18" t="n">
        <v>3</v>
      </c>
      <c r="G1707" s="18" t="inlineStr">
        <is>
          <t>INGRESO</t>
        </is>
      </c>
      <c r="H1707" s="18" t="inlineStr">
        <is>
          <t>R.O.C.A</t>
        </is>
      </c>
      <c r="I1707" s="45" t="n">
        <v>8.5</v>
      </c>
      <c r="J1707" s="77" t="n"/>
      <c r="K1707" s="18" t="n"/>
    </row>
    <row r="1708">
      <c r="B1708" s="56" t="inlineStr">
        <is>
          <t>00071-REF</t>
        </is>
      </c>
      <c r="C1708" s="18">
        <f>IFERROR(_xlfn.XLOOKUP(ENTRADAS[[#This Row],[CODIGO]],LISTADO[CODIGOS],LISTADO[CATEGORIA]),"NO EXISTE")</f>
        <v/>
      </c>
      <c r="D1708" s="18">
        <f>IFERROR(_xlfn.XLOOKUP(ENTRADAS[[#This Row],[CODIGO]],LISTADO[CODIGOS],LISTADO[PRODUCTOS]),"NO EXISTE")</f>
        <v/>
      </c>
      <c r="E1708" s="19" t="n">
        <v>46150</v>
      </c>
      <c r="F1708" s="18" t="n">
        <v>15</v>
      </c>
      <c r="G1708" s="18" t="inlineStr">
        <is>
          <t>INGRESO</t>
        </is>
      </c>
      <c r="H1708" s="18" t="inlineStr">
        <is>
          <t>R.O.C.A</t>
        </is>
      </c>
      <c r="I1708" s="45" t="n">
        <v>120</v>
      </c>
      <c r="J1708" s="77" t="n"/>
      <c r="K1708" s="18" t="n"/>
    </row>
    <row r="1709">
      <c r="B1709" s="56" t="inlineStr">
        <is>
          <t>00088-REF</t>
        </is>
      </c>
      <c r="C1709" s="18">
        <f>IFERROR(_xlfn.XLOOKUP(ENTRADAS[[#This Row],[CODIGO]],LISTADO[CODIGOS],LISTADO[CATEGORIA]),"NO EXISTE")</f>
        <v/>
      </c>
      <c r="D1709" s="18">
        <f>IFERROR(_xlfn.XLOOKUP(ENTRADAS[[#This Row],[CODIGO]],LISTADO[CODIGOS],LISTADO[PRODUCTOS]),"NO EXISTE")</f>
        <v/>
      </c>
      <c r="E1709" s="19" t="n">
        <v>46150</v>
      </c>
      <c r="F1709" s="18" t="n">
        <v>15</v>
      </c>
      <c r="G1709" s="18" t="inlineStr">
        <is>
          <t>INGRESO</t>
        </is>
      </c>
      <c r="H1709" s="18" t="inlineStr">
        <is>
          <t>R.O.C.A</t>
        </is>
      </c>
      <c r="I1709" s="45" t="n">
        <v>138</v>
      </c>
      <c r="J1709" s="77" t="n"/>
      <c r="K1709" s="18" t="n"/>
    </row>
    <row r="1710">
      <c r="B1710" s="18" t="inlineStr">
        <is>
          <t>00089-REF</t>
        </is>
      </c>
      <c r="C1710" s="18">
        <f>IFERROR(_xlfn.XLOOKUP(ENTRADAS[[#This Row],[CODIGO]],LISTADO[CODIGOS],LISTADO[CATEGORIA]),"NO EXISTE")</f>
        <v/>
      </c>
      <c r="D1710" s="18">
        <f>IFERROR(_xlfn.XLOOKUP(ENTRADAS[[#This Row],[CODIGO]],LISTADO[CODIGOS],LISTADO[PRODUCTOS]),"NO EXISTE")</f>
        <v/>
      </c>
      <c r="E1710" s="19" t="n">
        <v>46150</v>
      </c>
      <c r="F1710" s="18" t="n">
        <v>15</v>
      </c>
      <c r="G1710" s="18" t="inlineStr">
        <is>
          <t>INGRESO</t>
        </is>
      </c>
      <c r="H1710" s="18" t="inlineStr">
        <is>
          <t>R.O.C.A</t>
        </is>
      </c>
      <c r="I1710" s="45" t="n">
        <v>292.5</v>
      </c>
      <c r="J1710" s="77" t="n"/>
      <c r="K1710" s="18" t="n"/>
    </row>
    <row r="1711">
      <c r="B1711" s="56" t="inlineStr">
        <is>
          <t>00051-REF</t>
        </is>
      </c>
      <c r="C1711" s="18">
        <f>IFERROR(_xlfn.XLOOKUP(ENTRADAS[[#This Row],[CODIGO]],LISTADO[CODIGOS],LISTADO[CATEGORIA]),"NO EXISTE")</f>
        <v/>
      </c>
      <c r="D1711" s="18">
        <f>IFERROR(_xlfn.XLOOKUP(ENTRADAS[[#This Row],[CODIGO]],LISTADO[CODIGOS],LISTADO[PRODUCTOS]),"NO EXISTE")</f>
        <v/>
      </c>
      <c r="E1711" s="19" t="n">
        <v>46150</v>
      </c>
      <c r="F1711" s="18" t="n">
        <v>7</v>
      </c>
      <c r="G1711" s="18" t="inlineStr">
        <is>
          <t>INGRESO</t>
        </is>
      </c>
      <c r="H1711" s="18" t="inlineStr">
        <is>
          <t>R.O.C.A</t>
        </is>
      </c>
      <c r="I1711" s="45" t="n">
        <v>1</v>
      </c>
      <c r="J1711" s="77" t="n"/>
      <c r="K1711" s="18" t="n"/>
    </row>
    <row r="1712">
      <c r="B1712" s="56" t="inlineStr">
        <is>
          <t>00002-REF</t>
        </is>
      </c>
      <c r="C1712" s="18">
        <f>IFERROR(_xlfn.XLOOKUP(ENTRADAS[[#This Row],[CODIGO]],LISTADO[CODIGOS],LISTADO[CATEGORIA]),"NO EXISTE")</f>
        <v/>
      </c>
      <c r="D1712" s="18">
        <f>IFERROR(_xlfn.XLOOKUP(ENTRADAS[[#This Row],[CODIGO]],LISTADO[CODIGOS],LISTADO[PRODUCTOS]),"NO EXISTE")</f>
        <v/>
      </c>
      <c r="E1712" s="19" t="n">
        <v>46150</v>
      </c>
      <c r="F1712" s="18" t="n">
        <v>9</v>
      </c>
      <c r="G1712" s="18" t="inlineStr">
        <is>
          <t>INGRESO</t>
        </is>
      </c>
      <c r="H1712" s="18" t="inlineStr">
        <is>
          <t>R.O.C.A</t>
        </is>
      </c>
      <c r="I1712" s="45" t="n">
        <v>1.35</v>
      </c>
      <c r="J1712" s="77" t="n"/>
      <c r="K1712" s="18" t="n"/>
    </row>
    <row r="1713">
      <c r="B1713" s="56" t="inlineStr">
        <is>
          <t>00049-REF</t>
        </is>
      </c>
      <c r="C1713" s="18">
        <f>IFERROR(_xlfn.XLOOKUP(ENTRADAS[[#This Row],[CODIGO]],LISTADO[CODIGOS],LISTADO[CATEGORIA]),"NO EXISTE")</f>
        <v/>
      </c>
      <c r="D1713" s="18">
        <f>IFERROR(_xlfn.XLOOKUP(ENTRADAS[[#This Row],[CODIGO]],LISTADO[CODIGOS],LISTADO[PRODUCTOS]),"NO EXISTE")</f>
        <v/>
      </c>
      <c r="E1713" s="19" t="n">
        <v>46150</v>
      </c>
      <c r="F1713" s="18" t="n">
        <v>10</v>
      </c>
      <c r="G1713" s="18" t="inlineStr">
        <is>
          <t>INGRESO</t>
        </is>
      </c>
      <c r="H1713" s="18" t="inlineStr">
        <is>
          <t>R.O.C.A</t>
        </is>
      </c>
      <c r="I1713" s="45" t="n">
        <v>3.32</v>
      </c>
      <c r="J1713" s="77" t="n"/>
      <c r="K1713" s="18" t="n"/>
    </row>
    <row r="1714">
      <c r="B1714" s="18" t="inlineStr">
        <is>
          <t>00099-REF</t>
        </is>
      </c>
      <c r="C1714" s="18">
        <f>IFERROR(_xlfn.XLOOKUP(ENTRADAS[[#This Row],[CODIGO]],LISTADO[CODIGOS],LISTADO[CATEGORIA]),"NO EXISTE")</f>
        <v/>
      </c>
      <c r="D1714" s="18">
        <f>IFERROR(_xlfn.XLOOKUP(ENTRADAS[[#This Row],[CODIGO]],LISTADO[CODIGOS],LISTADO[PRODUCTOS]),"NO EXISTE")</f>
        <v/>
      </c>
      <c r="E1714" s="19" t="n">
        <v>46150</v>
      </c>
      <c r="F1714" s="18" t="n">
        <v>1</v>
      </c>
      <c r="G1714" s="18" t="inlineStr">
        <is>
          <t>INGRESO</t>
        </is>
      </c>
      <c r="H1714" s="18" t="inlineStr">
        <is>
          <t>R.O.C.A</t>
        </is>
      </c>
      <c r="I1714" s="45" t="n">
        <v>192</v>
      </c>
      <c r="J1714" s="77" t="n"/>
      <c r="K1714" s="18" t="n"/>
    </row>
    <row r="1715">
      <c r="B1715" s="18" t="inlineStr">
        <is>
          <t>00100-REF</t>
        </is>
      </c>
      <c r="C1715" s="18">
        <f>IFERROR(_xlfn.XLOOKUP(ENTRADAS[[#This Row],[CODIGO]],LISTADO[CODIGOS],LISTADO[CATEGORIA]),"NO EXISTE")</f>
        <v/>
      </c>
      <c r="D1715" s="18">
        <f>IFERROR(_xlfn.XLOOKUP(ENTRADAS[[#This Row],[CODIGO]],LISTADO[CODIGOS],LISTADO[PRODUCTOS]),"NO EXISTE")</f>
        <v/>
      </c>
      <c r="E1715" s="19" t="n">
        <v>46150</v>
      </c>
      <c r="F1715" s="18" t="n">
        <v>1</v>
      </c>
      <c r="G1715" s="18" t="inlineStr">
        <is>
          <t>INGRESO</t>
        </is>
      </c>
      <c r="H1715" s="18" t="inlineStr">
        <is>
          <t>R.O.C.A</t>
        </is>
      </c>
      <c r="I1715" s="45" t="n">
        <v>230</v>
      </c>
      <c r="J1715" s="77" t="n"/>
      <c r="K1715" s="18" t="n"/>
    </row>
    <row r="1716">
      <c r="B1716" s="56" t="inlineStr">
        <is>
          <t>00140-REF</t>
        </is>
      </c>
      <c r="C1716" s="18">
        <f>IFERROR(_xlfn.XLOOKUP(ENTRADAS[[#This Row],[CODIGO]],LISTADO[CODIGOS],LISTADO[CATEGORIA]),"NO EXISTE")</f>
        <v/>
      </c>
      <c r="D1716" s="18">
        <f>IFERROR(_xlfn.XLOOKUP(ENTRADAS[[#This Row],[CODIGO]],LISTADO[CODIGOS],LISTADO[PRODUCTOS]),"NO EXISTE")</f>
        <v/>
      </c>
      <c r="E1716" s="19" t="n">
        <v>46150</v>
      </c>
      <c r="F1716" s="18" t="n">
        <v>1</v>
      </c>
      <c r="G1716" s="18" t="inlineStr">
        <is>
          <t>INGRESO</t>
        </is>
      </c>
      <c r="H1716" s="18" t="inlineStr">
        <is>
          <t>R.O.C.A</t>
        </is>
      </c>
      <c r="I1716" s="45" t="n">
        <v>192</v>
      </c>
      <c r="J1716" s="77" t="n"/>
      <c r="K1716" s="18" t="n"/>
    </row>
    <row r="1717">
      <c r="B1717" s="18" t="inlineStr">
        <is>
          <t>00141-REF</t>
        </is>
      </c>
      <c r="C1717" s="18">
        <f>IFERROR(_xlfn.XLOOKUP(ENTRADAS[[#This Row],[CODIGO]],LISTADO[CODIGOS],LISTADO[CATEGORIA]),"NO EXISTE")</f>
        <v/>
      </c>
      <c r="D1717" s="18">
        <f>IFERROR(_xlfn.XLOOKUP(ENTRADAS[[#This Row],[CODIGO]],LISTADO[CODIGOS],LISTADO[PRODUCTOS]),"NO EXISTE")</f>
        <v/>
      </c>
      <c r="E1717" s="19" t="n">
        <v>46150</v>
      </c>
      <c r="F1717" s="18" t="n">
        <v>7</v>
      </c>
      <c r="G1717" s="18" t="inlineStr">
        <is>
          <t>INGRESO</t>
        </is>
      </c>
      <c r="H1717" s="18" t="inlineStr">
        <is>
          <t>R.O.C.A</t>
        </is>
      </c>
      <c r="I1717" s="45" t="n">
        <v>8.5</v>
      </c>
      <c r="J1717" s="77" t="n"/>
      <c r="K1717" s="18" t="n"/>
    </row>
    <row r="1718">
      <c r="B1718" s="56" t="inlineStr">
        <is>
          <t>00058-ELE</t>
        </is>
      </c>
      <c r="C1718" s="18">
        <f>IFERROR(_xlfn.XLOOKUP(ENTRADAS[[#This Row],[CODIGO]],LISTADO[CODIGOS],LISTADO[CATEGORIA]),"NO EXISTE")</f>
        <v/>
      </c>
      <c r="D1718" s="18">
        <f>IFERROR(_xlfn.XLOOKUP(ENTRADAS[[#This Row],[CODIGO]],LISTADO[CODIGOS],LISTADO[PRODUCTOS]),"NO EXISTE")</f>
        <v/>
      </c>
      <c r="E1718" s="19" t="n">
        <v>46150</v>
      </c>
      <c r="F1718" s="18" t="n">
        <v>10</v>
      </c>
      <c r="G1718" s="18" t="inlineStr">
        <is>
          <t>INGRESO</t>
        </is>
      </c>
      <c r="H1718" s="18" t="inlineStr">
        <is>
          <t>CAMPOS ELECTRICOS, C.A.</t>
        </is>
      </c>
      <c r="I1718" s="45" t="n"/>
      <c r="J1718" s="77" t="n">
        <v>199.95</v>
      </c>
      <c r="K1718" s="18" t="n"/>
    </row>
    <row r="1719">
      <c r="B1719" s="56" t="inlineStr">
        <is>
          <t>00059-ELE</t>
        </is>
      </c>
      <c r="C1719" s="18">
        <f>IFERROR(_xlfn.XLOOKUP(ENTRADAS[[#This Row],[CODIGO]],LISTADO[CODIGOS],LISTADO[CATEGORIA]),"NO EXISTE")</f>
        <v/>
      </c>
      <c r="D1719" s="18">
        <f>IFERROR(_xlfn.XLOOKUP(ENTRADAS[[#This Row],[CODIGO]],LISTADO[CODIGOS],LISTADO[PRODUCTOS]),"NO EXISTE")</f>
        <v/>
      </c>
      <c r="E1719" s="19" t="n">
        <v>46150</v>
      </c>
      <c r="F1719" s="18" t="n">
        <v>10</v>
      </c>
      <c r="G1719" s="18" t="inlineStr">
        <is>
          <t>INGRESO</t>
        </is>
      </c>
      <c r="H1719" s="18" t="inlineStr">
        <is>
          <t>CAMPOS ELECTRICOS, C.A.</t>
        </is>
      </c>
      <c r="I1719" s="45" t="n"/>
      <c r="J1719" s="77" t="n">
        <v>299.92</v>
      </c>
      <c r="K1719" s="18" t="n"/>
    </row>
    <row r="1720">
      <c r="B1720" s="56" t="inlineStr">
        <is>
          <t>00060-ELE</t>
        </is>
      </c>
      <c r="C1720" s="18">
        <f>IFERROR(_xlfn.XLOOKUP(ENTRADAS[[#This Row],[CODIGO]],LISTADO[CODIGOS],LISTADO[CATEGORIA]),"NO EXISTE")</f>
        <v/>
      </c>
      <c r="D1720" s="18">
        <f>IFERROR(_xlfn.XLOOKUP(ENTRADAS[[#This Row],[CODIGO]],LISTADO[CODIGOS],LISTADO[PRODUCTOS]),"NO EXISTE")</f>
        <v/>
      </c>
      <c r="E1720" s="19" t="n">
        <v>46150</v>
      </c>
      <c r="F1720" s="18" t="n">
        <v>10</v>
      </c>
      <c r="G1720" s="18" t="inlineStr">
        <is>
          <t>INGRESO</t>
        </is>
      </c>
      <c r="H1720" s="18" t="inlineStr">
        <is>
          <t>CAMPOS ELECTRICOS, C.A.</t>
        </is>
      </c>
      <c r="I1720" s="45" t="n"/>
      <c r="J1720" s="77" t="n">
        <v>399.89</v>
      </c>
      <c r="K1720" s="18" t="n"/>
    </row>
    <row r="1721">
      <c r="B1721" s="18" t="inlineStr">
        <is>
          <t>00076-ELE</t>
        </is>
      </c>
      <c r="C1721" s="18">
        <f>IFERROR(_xlfn.XLOOKUP(ENTRADAS[[#This Row],[CODIGO]],LISTADO[CODIGOS],LISTADO[CATEGORIA]),"NO EXISTE")</f>
        <v/>
      </c>
      <c r="D1721" s="18">
        <f>IFERROR(_xlfn.XLOOKUP(ENTRADAS[[#This Row],[CODIGO]],LISTADO[CODIGOS],LISTADO[PRODUCTOS]),"NO EXISTE")</f>
        <v/>
      </c>
      <c r="E1721" s="19" t="n">
        <v>46150</v>
      </c>
      <c r="F1721" s="18" t="n">
        <v>2</v>
      </c>
      <c r="G1721" s="18" t="inlineStr">
        <is>
          <t>INGRESO</t>
        </is>
      </c>
      <c r="H1721" s="18" t="inlineStr">
        <is>
          <t>CAMPOS ELECTRICOS, C.A.</t>
        </is>
      </c>
      <c r="I1721" s="45" t="n"/>
      <c r="J1721" s="77" t="n">
        <v>19994.4</v>
      </c>
      <c r="K1721" s="18" t="n"/>
    </row>
    <row r="1722">
      <c r="B1722" s="56" t="inlineStr">
        <is>
          <t>00035-ELE</t>
        </is>
      </c>
      <c r="C1722" s="18">
        <f>IFERROR(_xlfn.XLOOKUP(ENTRADAS[[#This Row],[CODIGO]],LISTADO[CODIGOS],LISTADO[CATEGORIA]),"NO EXISTE")</f>
        <v/>
      </c>
      <c r="D1722" s="18">
        <f>IFERROR(_xlfn.XLOOKUP(ENTRADAS[[#This Row],[CODIGO]],LISTADO[CODIGOS],LISTADO[PRODUCTOS]),"NO EXISTE")</f>
        <v/>
      </c>
      <c r="E1722" s="19" t="n">
        <v>46150</v>
      </c>
      <c r="F1722" s="18" t="n">
        <v>1</v>
      </c>
      <c r="G1722" s="18" t="inlineStr">
        <is>
          <t>INGRESO</t>
        </is>
      </c>
      <c r="H1722" s="18" t="inlineStr">
        <is>
          <t>CAMPOS ELECTRICOS, C.A.</t>
        </is>
      </c>
      <c r="I1722" s="45" t="n"/>
      <c r="J1722" s="77" t="n">
        <v>8997.48</v>
      </c>
      <c r="K1722" s="18" t="n"/>
    </row>
    <row r="1723">
      <c r="B1723" s="56" t="inlineStr">
        <is>
          <t>00034-ELE</t>
        </is>
      </c>
      <c r="C1723" s="18">
        <f>IFERROR(_xlfn.XLOOKUP(ENTRADAS[[#This Row],[CODIGO]],LISTADO[CODIGOS],LISTADO[CATEGORIA]),"NO EXISTE")</f>
        <v/>
      </c>
      <c r="D1723" s="18">
        <f>IFERROR(_xlfn.XLOOKUP(ENTRADAS[[#This Row],[CODIGO]],LISTADO[CODIGOS],LISTADO[PRODUCTOS]),"NO EXISTE")</f>
        <v/>
      </c>
      <c r="E1723" s="19" t="n">
        <v>46150</v>
      </c>
      <c r="F1723" s="18" t="n">
        <v>1</v>
      </c>
      <c r="G1723" s="18" t="inlineStr">
        <is>
          <t>INGRESO</t>
        </is>
      </c>
      <c r="H1723" s="18" t="inlineStr">
        <is>
          <t>CAMPOS ELECTRICOS, C.A.</t>
        </is>
      </c>
      <c r="I1723" s="45" t="n"/>
      <c r="J1723" s="77" t="n">
        <v>3499.02</v>
      </c>
      <c r="K1723" s="18" t="n"/>
    </row>
    <row r="1724">
      <c r="B1724" s="56" t="inlineStr">
        <is>
          <t>00033-ELE</t>
        </is>
      </c>
      <c r="C1724" s="18">
        <f>IFERROR(_xlfn.XLOOKUP(ENTRADAS[[#This Row],[CODIGO]],LISTADO[CODIGOS],LISTADO[CATEGORIA]),"NO EXISTE")</f>
        <v/>
      </c>
      <c r="D1724" s="18">
        <f>IFERROR(_xlfn.XLOOKUP(ENTRADAS[[#This Row],[CODIGO]],LISTADO[CODIGOS],LISTADO[PRODUCTOS]),"NO EXISTE")</f>
        <v/>
      </c>
      <c r="E1724" s="19" t="n">
        <v>46150</v>
      </c>
      <c r="F1724" s="18" t="n">
        <v>2</v>
      </c>
      <c r="G1724" s="18" t="inlineStr">
        <is>
          <t>INGRESO</t>
        </is>
      </c>
      <c r="H1724" s="18" t="inlineStr">
        <is>
          <t>CAMPOS ELECTRICOS, C.A.</t>
        </is>
      </c>
      <c r="I1724" s="45" t="n"/>
      <c r="J1724" s="77" t="n">
        <v>8997.48</v>
      </c>
      <c r="K1724" s="18" t="n"/>
    </row>
    <row r="1725">
      <c r="B1725" s="18" t="inlineStr">
        <is>
          <t>00108-ELE</t>
        </is>
      </c>
      <c r="C1725" s="18">
        <f>IFERROR(_xlfn.XLOOKUP(ENTRADAS[[#This Row],[CODIGO]],LISTADO[CODIGOS],LISTADO[CATEGORIA]),"NO EXISTE")</f>
        <v/>
      </c>
      <c r="D1725" s="18">
        <f>IFERROR(_xlfn.XLOOKUP(ENTRADAS[[#This Row],[CODIGO]],LISTADO[CODIGOS],LISTADO[PRODUCTOS]),"NO EXISTE")</f>
        <v/>
      </c>
      <c r="E1725" s="19" t="n">
        <v>46150</v>
      </c>
      <c r="F1725" s="18" t="n">
        <v>2</v>
      </c>
      <c r="G1725" s="18" t="inlineStr">
        <is>
          <t>INGRESO</t>
        </is>
      </c>
      <c r="H1725" s="18" t="inlineStr">
        <is>
          <t>CAMPOS ELECTRICOS, C.A.</t>
        </is>
      </c>
      <c r="I1725" s="45" t="n"/>
      <c r="J1725" s="77" t="n">
        <v>11496</v>
      </c>
      <c r="K1725" s="18" t="n"/>
    </row>
    <row r="1726">
      <c r="B1726" s="56" t="inlineStr">
        <is>
          <t>00027-ELE</t>
        </is>
      </c>
      <c r="C1726" s="18">
        <f>IFERROR(_xlfn.XLOOKUP(ENTRADAS[[#This Row],[CODIGO]],LISTADO[CODIGOS],LISTADO[CATEGORIA]),"NO EXISTE")</f>
        <v/>
      </c>
      <c r="D1726" s="18">
        <f>IFERROR(_xlfn.XLOOKUP(ENTRADAS[[#This Row],[CODIGO]],LISTADO[CODIGOS],LISTADO[PRODUCTOS]),"NO EXISTE")</f>
        <v/>
      </c>
      <c r="E1726" s="19" t="n">
        <v>46150</v>
      </c>
      <c r="F1726" s="18" t="n">
        <v>2</v>
      </c>
      <c r="G1726" s="18" t="inlineStr">
        <is>
          <t>INGRESO</t>
        </is>
      </c>
      <c r="H1726" s="18" t="inlineStr">
        <is>
          <t>CAMPOS ELECTRICOS, C.A.</t>
        </is>
      </c>
      <c r="I1726" s="45" t="n"/>
      <c r="J1726" s="77" t="n">
        <v>19994.4</v>
      </c>
      <c r="K1726" s="18" t="n"/>
    </row>
    <row r="1727">
      <c r="B1727" s="56" t="inlineStr">
        <is>
          <t>00023-ELE</t>
        </is>
      </c>
      <c r="C1727" s="18">
        <f>IFERROR(_xlfn.XLOOKUP(ENTRADAS[[#This Row],[CODIGO]],LISTADO[CODIGOS],LISTADO[CATEGORIA]),"NO EXISTE")</f>
        <v/>
      </c>
      <c r="D1727" s="18">
        <f>IFERROR(_xlfn.XLOOKUP(ENTRADAS[[#This Row],[CODIGO]],LISTADO[CODIGOS],LISTADO[PRODUCTOS]),"NO EXISTE")</f>
        <v/>
      </c>
      <c r="E1727" s="19" t="n">
        <v>46150</v>
      </c>
      <c r="F1727" s="18" t="n">
        <v>2</v>
      </c>
      <c r="G1727" s="18" t="inlineStr">
        <is>
          <t>INGRESO</t>
        </is>
      </c>
      <c r="H1727" s="18" t="inlineStr">
        <is>
          <t>CAMPOS ELECTRICOS, C.A.</t>
        </is>
      </c>
      <c r="I1727" s="45" t="n"/>
      <c r="J1727" s="77" t="n">
        <v>11996.64</v>
      </c>
      <c r="K1727" s="18" t="n"/>
    </row>
    <row r="1728">
      <c r="B1728" s="56" t="inlineStr">
        <is>
          <t>00022-ELE</t>
        </is>
      </c>
      <c r="C1728" s="18">
        <f>IFERROR(_xlfn.XLOOKUP(ENTRADAS[[#This Row],[CODIGO]],LISTADO[CODIGOS],LISTADO[CATEGORIA]),"NO EXISTE")</f>
        <v/>
      </c>
      <c r="D1728" s="18">
        <f>IFERROR(_xlfn.XLOOKUP(ENTRADAS[[#This Row],[CODIGO]],LISTADO[CODIGOS],LISTADO[PRODUCTOS]),"NO EXISTE")</f>
        <v/>
      </c>
      <c r="E1728" s="19" t="n">
        <v>46150</v>
      </c>
      <c r="F1728" s="18" t="n">
        <v>1</v>
      </c>
      <c r="G1728" s="18" t="inlineStr">
        <is>
          <t>INGRESO</t>
        </is>
      </c>
      <c r="H1728" s="18" t="inlineStr">
        <is>
          <t>CAMPOS ELECTRICOS, C.A.</t>
        </is>
      </c>
      <c r="I1728" s="45" t="n"/>
      <c r="J1728" s="77" t="n">
        <v>6998.04</v>
      </c>
      <c r="K1728" s="18" t="n"/>
    </row>
    <row r="1729">
      <c r="B1729" s="56" t="inlineStr">
        <is>
          <t>00038-ELE</t>
        </is>
      </c>
      <c r="C1729" s="18">
        <f>IFERROR(_xlfn.XLOOKUP(ENTRADAS[[#This Row],[CODIGO]],LISTADO[CODIGOS],LISTADO[CATEGORIA]),"NO EXISTE")</f>
        <v/>
      </c>
      <c r="D1729" s="18">
        <f>IFERROR(_xlfn.XLOOKUP(ENTRADAS[[#This Row],[CODIGO]],LISTADO[CODIGOS],LISTADO[PRODUCTOS]),"NO EXISTE")</f>
        <v/>
      </c>
      <c r="E1729" s="19" t="n">
        <v>46150</v>
      </c>
      <c r="F1729" s="18" t="n">
        <v>2</v>
      </c>
      <c r="G1729" s="18" t="inlineStr">
        <is>
          <t>INGRESO</t>
        </is>
      </c>
      <c r="H1729" s="18" t="inlineStr">
        <is>
          <t>CAMPOS ELECTRICOS, C.A.</t>
        </is>
      </c>
      <c r="I1729" s="45" t="n"/>
      <c r="J1729" s="77" t="n">
        <v>1749.51</v>
      </c>
      <c r="K1729" s="18" t="n"/>
    </row>
    <row r="1730">
      <c r="B1730" s="56" t="inlineStr">
        <is>
          <t>00040-ELE</t>
        </is>
      </c>
      <c r="C1730" s="18">
        <f>IFERROR(_xlfn.XLOOKUP(ENTRADAS[[#This Row],[CODIGO]],LISTADO[CODIGOS],LISTADO[CATEGORIA]),"NO EXISTE")</f>
        <v/>
      </c>
      <c r="D1730" s="18">
        <f>IFERROR(_xlfn.XLOOKUP(ENTRADAS[[#This Row],[CODIGO]],LISTADO[CODIGOS],LISTADO[PRODUCTOS]),"NO EXISTE")</f>
        <v/>
      </c>
      <c r="E1730" s="19" t="n">
        <v>46150</v>
      </c>
      <c r="F1730" s="18" t="n">
        <v>4</v>
      </c>
      <c r="G1730" s="18" t="inlineStr">
        <is>
          <t>INGRESO</t>
        </is>
      </c>
      <c r="H1730" s="18" t="inlineStr">
        <is>
          <t>CAMPOS ELECTRICOS, C.A.</t>
        </is>
      </c>
      <c r="I1730" s="45" t="n"/>
      <c r="J1730" s="77" t="n">
        <v>2999.16</v>
      </c>
      <c r="K1730" s="18" t="n"/>
    </row>
    <row r="1731">
      <c r="B1731" s="56" t="inlineStr">
        <is>
          <t>00003-ELE</t>
        </is>
      </c>
      <c r="C1731" s="18">
        <f>IFERROR(_xlfn.XLOOKUP(ENTRADAS[[#This Row],[CODIGO]],LISTADO[CODIGOS],LISTADO[CATEGORIA]),"NO EXISTE")</f>
        <v/>
      </c>
      <c r="D1731" s="18">
        <f>IFERROR(_xlfn.XLOOKUP(ENTRADAS[[#This Row],[CODIGO]],LISTADO[CODIGOS],LISTADO[PRODUCTOS]),"NO EXISTE")</f>
        <v/>
      </c>
      <c r="E1731" s="19" t="n">
        <v>46150</v>
      </c>
      <c r="F1731" s="18" t="n">
        <v>60</v>
      </c>
      <c r="G1731" s="18" t="inlineStr">
        <is>
          <t>INGRESO</t>
        </is>
      </c>
      <c r="H1731" s="18" t="inlineStr">
        <is>
          <t>CAMPOS ELECTRICOS, C.A.</t>
        </is>
      </c>
      <c r="I1731" s="45" t="n"/>
      <c r="J1731" s="77" t="n">
        <v>74.98</v>
      </c>
      <c r="K1731" s="18" t="n"/>
    </row>
    <row r="1732">
      <c r="B1732" s="56" t="inlineStr">
        <is>
          <t>00056-ELE</t>
        </is>
      </c>
      <c r="C1732" s="18">
        <f>IFERROR(_xlfn.XLOOKUP(ENTRADAS[[#This Row],[CODIGO]],LISTADO[CODIGOS],LISTADO[CATEGORIA]),"NO EXISTE")</f>
        <v/>
      </c>
      <c r="D1732" s="18">
        <f>IFERROR(_xlfn.XLOOKUP(ENTRADAS[[#This Row],[CODIGO]],LISTADO[CODIGOS],LISTADO[PRODUCTOS]),"NO EXISTE")</f>
        <v/>
      </c>
      <c r="E1732" s="19" t="n">
        <v>46150</v>
      </c>
      <c r="F1732" s="18" t="n">
        <v>20</v>
      </c>
      <c r="G1732" s="18" t="inlineStr">
        <is>
          <t>INGRESO</t>
        </is>
      </c>
      <c r="H1732" s="18" t="inlineStr">
        <is>
          <t>CAMPOS ELECTRICOS, C.A.</t>
        </is>
      </c>
      <c r="I1732" s="45" t="n"/>
      <c r="J1732" s="77" t="n">
        <v>1749.51</v>
      </c>
      <c r="K1732" s="18" t="n"/>
    </row>
    <row r="1733">
      <c r="B1733" s="56" t="inlineStr">
        <is>
          <t>00001-ELE</t>
        </is>
      </c>
      <c r="C1733" s="18">
        <f>IFERROR(_xlfn.XLOOKUP(ENTRADAS[[#This Row],[CODIGO]],LISTADO[CODIGOS],LISTADO[CATEGORIA]),"NO EXISTE")</f>
        <v/>
      </c>
      <c r="D1733" s="18">
        <f>IFERROR(_xlfn.XLOOKUP(ENTRADAS[[#This Row],[CODIGO]],LISTADO[CODIGOS],LISTADO[PRODUCTOS]),"NO EXISTE")</f>
        <v/>
      </c>
      <c r="E1733" s="19" t="n">
        <v>46150</v>
      </c>
      <c r="F1733" s="18" t="n">
        <v>3</v>
      </c>
      <c r="G1733" s="18" t="inlineStr">
        <is>
          <t>INGRESO</t>
        </is>
      </c>
      <c r="H1733" s="18" t="inlineStr">
        <is>
          <t>CAMPOS ELECTRICOS, C.A.</t>
        </is>
      </c>
      <c r="I1733" s="45" t="n"/>
      <c r="J1733" s="77" t="n">
        <v>6998.04</v>
      </c>
      <c r="K1733" s="18" t="n"/>
    </row>
    <row r="1734">
      <c r="B1734" s="56" t="inlineStr">
        <is>
          <t>00002-ELE</t>
        </is>
      </c>
      <c r="C1734" s="18">
        <f>IFERROR(_xlfn.XLOOKUP(ENTRADAS[[#This Row],[CODIGO]],LISTADO[CODIGOS],LISTADO[CATEGORIA]),"NO EXISTE")</f>
        <v/>
      </c>
      <c r="D1734" s="18">
        <f>IFERROR(_xlfn.XLOOKUP(ENTRADAS[[#This Row],[CODIGO]],LISTADO[CODIGOS],LISTADO[PRODUCTOS]),"NO EXISTE")</f>
        <v/>
      </c>
      <c r="E1734" s="19" t="n">
        <v>46150</v>
      </c>
      <c r="F1734" s="18" t="n">
        <v>16</v>
      </c>
      <c r="G1734" s="18" t="inlineStr">
        <is>
          <t>INGRESO</t>
        </is>
      </c>
      <c r="H1734" s="18" t="inlineStr">
        <is>
          <t>CAMPOS ELECTRICOS, C.A.</t>
        </is>
      </c>
      <c r="I1734" s="45" t="n"/>
      <c r="J1734" s="77" t="n">
        <v>249.93</v>
      </c>
      <c r="K1734" s="18" t="n"/>
    </row>
    <row r="1735">
      <c r="B1735" s="56" t="inlineStr">
        <is>
          <t>00029-LIM</t>
        </is>
      </c>
      <c r="C1735" s="18">
        <f>IFERROR(_xlfn.XLOOKUP(ENTRADAS[[#This Row],[CODIGO]],LISTADO[CODIGOS],LISTADO[CATEGORIA]),"NO EXISTE")</f>
        <v/>
      </c>
      <c r="D1735" s="18">
        <f>IFERROR(_xlfn.XLOOKUP(ENTRADAS[[#This Row],[CODIGO]],LISTADO[CODIGOS],LISTADO[PRODUCTOS]),"NO EXISTE")</f>
        <v/>
      </c>
      <c r="E1735" s="19" t="n">
        <v>46150</v>
      </c>
      <c r="F1735" s="18" t="n">
        <v>2</v>
      </c>
      <c r="G1735" s="18" t="inlineStr">
        <is>
          <t>INGRESO</t>
        </is>
      </c>
      <c r="H1735" s="18" t="inlineStr">
        <is>
          <t>MUNDO TAMANACO</t>
        </is>
      </c>
      <c r="I1735" s="45" t="n">
        <v>28</v>
      </c>
      <c r="J1735" s="77" t="n"/>
      <c r="K1735" s="18" t="n"/>
    </row>
    <row r="1736">
      <c r="B1736" s="18" t="inlineStr">
        <is>
          <t>00020-MSC</t>
        </is>
      </c>
      <c r="C1736" s="18">
        <f>IFERROR(_xlfn.XLOOKUP(ENTRADAS[[#This Row],[CODIGO]],LISTADO[CODIGOS],LISTADO[CATEGORIA]),"NO EXISTE")</f>
        <v/>
      </c>
      <c r="D1736" s="18">
        <f>IFERROR(_xlfn.XLOOKUP(ENTRADAS[[#This Row],[CODIGO]],LISTADO[CODIGOS],LISTADO[PRODUCTOS]),"NO EXISTE")</f>
        <v/>
      </c>
      <c r="E1736" s="19" t="n">
        <v>46150</v>
      </c>
      <c r="F1736" s="18" t="n">
        <v>10</v>
      </c>
      <c r="G1736" s="18" t="inlineStr">
        <is>
          <t>INGRESO</t>
        </is>
      </c>
      <c r="H1736" s="18" t="inlineStr">
        <is>
          <t>MUNDO TAMANACO</t>
        </is>
      </c>
      <c r="I1736" s="45" t="n">
        <v>4</v>
      </c>
      <c r="J1736" s="77" t="n"/>
      <c r="K1736" s="18" t="n"/>
    </row>
    <row r="1737">
      <c r="B1737" s="56" t="inlineStr">
        <is>
          <t>00010-MSC</t>
        </is>
      </c>
      <c r="C1737" s="18">
        <f>IFERROR(_xlfn.XLOOKUP(ENTRADAS[[#This Row],[CODIGO]],LISTADO[CODIGOS],LISTADO[CATEGORIA]),"NO EXISTE")</f>
        <v/>
      </c>
      <c r="D1737" s="18">
        <f>IFERROR(_xlfn.XLOOKUP(ENTRADAS[[#This Row],[CODIGO]],LISTADO[CODIGOS],LISTADO[PRODUCTOS]),"NO EXISTE")</f>
        <v/>
      </c>
      <c r="E1737" s="19" t="n">
        <v>46150</v>
      </c>
      <c r="F1737" s="18" t="n">
        <v>5</v>
      </c>
      <c r="G1737" s="18" t="inlineStr">
        <is>
          <t>INGRESO</t>
        </is>
      </c>
      <c r="H1737" s="18" t="inlineStr">
        <is>
          <t>MUNDO TAMANACO</t>
        </is>
      </c>
      <c r="I1737" s="45" t="n">
        <v>7</v>
      </c>
      <c r="J1737" s="77" t="n"/>
      <c r="K1737" s="18" t="n"/>
    </row>
    <row r="1738">
      <c r="B1738" s="18" t="inlineStr">
        <is>
          <t>00030-LIM</t>
        </is>
      </c>
      <c r="C1738" s="18">
        <f>IFERROR(_xlfn.XLOOKUP(ENTRADAS[[#This Row],[CODIGO]],LISTADO[CODIGOS],LISTADO[CATEGORIA]),"NO EXISTE")</f>
        <v/>
      </c>
      <c r="D1738" s="18">
        <f>IFERROR(_xlfn.XLOOKUP(ENTRADAS[[#This Row],[CODIGO]],LISTADO[CODIGOS],LISTADO[PRODUCTOS]),"NO EXISTE")</f>
        <v/>
      </c>
      <c r="E1738" s="19" t="n">
        <v>46150</v>
      </c>
      <c r="F1738" s="18" t="n">
        <v>4</v>
      </c>
      <c r="G1738" s="18" t="inlineStr">
        <is>
          <t>INGRESO</t>
        </is>
      </c>
      <c r="H1738" s="18" t="inlineStr">
        <is>
          <t>MUNDO TAMANACO</t>
        </is>
      </c>
      <c r="I1738" s="45" t="n">
        <v>10</v>
      </c>
      <c r="J1738" s="77" t="n"/>
      <c r="K1738" s="18" t="n"/>
    </row>
    <row r="1739">
      <c r="B1739" s="56" t="inlineStr">
        <is>
          <t>00005-LIM</t>
        </is>
      </c>
      <c r="C1739" s="18">
        <f>IFERROR(_xlfn.XLOOKUP(ENTRADAS[[#This Row],[CODIGO]],LISTADO[CODIGOS],LISTADO[CATEGORIA]),"NO EXISTE")</f>
        <v/>
      </c>
      <c r="D1739" s="18">
        <f>IFERROR(_xlfn.XLOOKUP(ENTRADAS[[#This Row],[CODIGO]],LISTADO[CODIGOS],LISTADO[PRODUCTOS]),"NO EXISTE")</f>
        <v/>
      </c>
      <c r="E1739" s="19" t="n">
        <v>46150</v>
      </c>
      <c r="F1739" s="18" t="n">
        <v>6</v>
      </c>
      <c r="G1739" s="18" t="inlineStr">
        <is>
          <t>INGRESO</t>
        </is>
      </c>
      <c r="H1739" s="18" t="inlineStr">
        <is>
          <t>MUNDO TAMANACO</t>
        </is>
      </c>
      <c r="I1739" s="45" t="n">
        <v>2</v>
      </c>
      <c r="J1739" s="77" t="n"/>
      <c r="K1739" s="18" t="n"/>
    </row>
    <row r="1740">
      <c r="B1740" s="18" t="inlineStr">
        <is>
          <t>00108-ELE</t>
        </is>
      </c>
      <c r="C1740" s="18">
        <f>IFERROR(_xlfn.XLOOKUP(ENTRADAS[[#This Row],[CODIGO]],LISTADO[CODIGOS],LISTADO[CATEGORIA]),"NO EXISTE")</f>
        <v/>
      </c>
      <c r="D1740" s="18">
        <f>IFERROR(_xlfn.XLOOKUP(ENTRADAS[[#This Row],[CODIGO]],LISTADO[CODIGOS],LISTADO[PRODUCTOS]),"NO EXISTE")</f>
        <v/>
      </c>
      <c r="E1740" s="19" t="n">
        <v>46150</v>
      </c>
      <c r="F1740" s="18" t="n">
        <v>1</v>
      </c>
      <c r="G1740" s="18" t="inlineStr">
        <is>
          <t>INGRESO</t>
        </is>
      </c>
      <c r="H1740" s="18" t="inlineStr">
        <is>
          <t>CENTER MARK</t>
        </is>
      </c>
      <c r="I1740" s="45" t="n"/>
      <c r="J1740" s="77" t="n">
        <v>27492.3</v>
      </c>
      <c r="K1740" s="18" t="n"/>
    </row>
    <row r="1741">
      <c r="B1741" s="56" t="inlineStr">
        <is>
          <t>00229-FER</t>
        </is>
      </c>
      <c r="C1741" s="18">
        <f>IFERROR(_xlfn.XLOOKUP(ENTRADAS[[#This Row],[CODIGO]],LISTADO[CODIGOS],LISTADO[CATEGORIA]),"NO EXISTE")</f>
        <v/>
      </c>
      <c r="D1741" s="18">
        <f>IFERROR(_xlfn.XLOOKUP(ENTRADAS[[#This Row],[CODIGO]],LISTADO[CODIGOS],LISTADO[PRODUCTOS]),"NO EXISTE")</f>
        <v/>
      </c>
      <c r="E1741" s="19" t="n">
        <v>46150</v>
      </c>
      <c r="F1741" s="18" t="n">
        <v>15</v>
      </c>
      <c r="G1741" s="18" t="inlineStr">
        <is>
          <t>INGRESO</t>
        </is>
      </c>
      <c r="H1741" s="18" t="inlineStr">
        <is>
          <t>CENTER MARK</t>
        </is>
      </c>
      <c r="I1741" s="45" t="n"/>
      <c r="J1741" s="77" t="n">
        <v>649.8200000000001</v>
      </c>
      <c r="K1741" s="18" t="n"/>
    </row>
    <row r="1742">
      <c r="B1742" s="56" t="inlineStr">
        <is>
          <t>00100-HER</t>
        </is>
      </c>
      <c r="C1742" s="18">
        <f>IFERROR(_xlfn.XLOOKUP(ENTRADAS[[#This Row],[CODIGO]],LISTADO[CODIGOS],LISTADO[CATEGORIA]),"NO EXISTE")</f>
        <v/>
      </c>
      <c r="D1742" s="18">
        <f>IFERROR(_xlfn.XLOOKUP(ENTRADAS[[#This Row],[CODIGO]],LISTADO[CODIGOS],LISTADO[PRODUCTOS]),"NO EXISTE")</f>
        <v/>
      </c>
      <c r="E1742" s="19" t="n">
        <v>46150</v>
      </c>
      <c r="F1742" s="18" t="n">
        <v>2</v>
      </c>
      <c r="G1742" s="18" t="inlineStr">
        <is>
          <t>INGRESO</t>
        </is>
      </c>
      <c r="H1742" s="18" t="inlineStr">
        <is>
          <t>CENTER MARK</t>
        </is>
      </c>
      <c r="I1742" s="45" t="n"/>
      <c r="J1742" s="77" t="n">
        <v>1749.49</v>
      </c>
      <c r="K1742" s="18" t="n"/>
    </row>
    <row r="1743">
      <c r="B1743" s="18" t="inlineStr">
        <is>
          <t>00230-FER</t>
        </is>
      </c>
      <c r="C1743" s="18">
        <f>IFERROR(_xlfn.XLOOKUP(ENTRADAS[[#This Row],[CODIGO]],LISTADO[CODIGOS],LISTADO[CATEGORIA]),"NO EXISTE")</f>
        <v/>
      </c>
      <c r="D1743" s="18">
        <f>IFERROR(_xlfn.XLOOKUP(ENTRADAS[[#This Row],[CODIGO]],LISTADO[CODIGOS],LISTADO[PRODUCTOS]),"NO EXISTE")</f>
        <v/>
      </c>
      <c r="E1743" s="19" t="n">
        <v>46150</v>
      </c>
      <c r="F1743" s="18" t="n">
        <v>2</v>
      </c>
      <c r="G1743" s="18" t="inlineStr">
        <is>
          <t>INGRESO</t>
        </is>
      </c>
      <c r="H1743" s="18" t="inlineStr">
        <is>
          <t>CENTER MARK</t>
        </is>
      </c>
      <c r="I1743" s="45" t="n"/>
      <c r="J1743" s="77" t="n">
        <v>1749.49</v>
      </c>
      <c r="K1743" s="18" t="n"/>
    </row>
    <row r="1744">
      <c r="B1744" s="56" t="inlineStr">
        <is>
          <t>00035-HRR</t>
        </is>
      </c>
      <c r="C1744" s="18">
        <f>IFERROR(_xlfn.XLOOKUP(ENTRADAS[[#This Row],[CODIGO]],LISTADO[CODIGOS],LISTADO[CATEGORIA]),"NO EXISTE")</f>
        <v/>
      </c>
      <c r="D1744" s="18">
        <f>IFERROR(_xlfn.XLOOKUP(ENTRADAS[[#This Row],[CODIGO]],LISTADO[CODIGOS],LISTADO[PRODUCTOS]),"NO EXISTE")</f>
        <v/>
      </c>
      <c r="E1744" s="19" t="n">
        <v>46150</v>
      </c>
      <c r="F1744" s="18" t="n">
        <v>4</v>
      </c>
      <c r="G1744" s="18" t="inlineStr">
        <is>
          <t>INGRESO</t>
        </is>
      </c>
      <c r="H1744" s="18" t="inlineStr">
        <is>
          <t>CENTER MARK</t>
        </is>
      </c>
      <c r="I1744" s="45" t="n"/>
      <c r="J1744" s="77" t="n">
        <v>399.91</v>
      </c>
      <c r="K1744" s="18" t="n"/>
    </row>
    <row r="1745">
      <c r="B1745" s="56" t="inlineStr">
        <is>
          <t>00089-FER</t>
        </is>
      </c>
      <c r="C1745" s="18">
        <f>IFERROR(_xlfn.XLOOKUP(ENTRADAS[[#This Row],[CODIGO]],LISTADO[CODIGOS],LISTADO[CATEGORIA]),"NO EXISTE")</f>
        <v/>
      </c>
      <c r="D1745" s="18">
        <f>IFERROR(_xlfn.XLOOKUP(ENTRADAS[[#This Row],[CODIGO]],LISTADO[CODIGOS],LISTADO[PRODUCTOS]),"NO EXISTE")</f>
        <v/>
      </c>
      <c r="E1745" s="19" t="n">
        <v>46150</v>
      </c>
      <c r="F1745" s="18" t="n">
        <v>2</v>
      </c>
      <c r="G1745" s="18" t="inlineStr">
        <is>
          <t>INGRESO</t>
        </is>
      </c>
      <c r="H1745" s="18" t="inlineStr">
        <is>
          <t>CENTER MARK</t>
        </is>
      </c>
      <c r="I1745" s="45" t="n"/>
      <c r="J1745" s="77" t="n">
        <v>1249.67</v>
      </c>
      <c r="K1745" s="18" t="n"/>
    </row>
    <row r="1746">
      <c r="B1746" s="18" t="inlineStr">
        <is>
          <t>00074-PLM</t>
        </is>
      </c>
      <c r="C1746" s="18">
        <f>IFERROR(_xlfn.XLOOKUP(ENTRADAS[[#This Row],[CODIGO]],LISTADO[CODIGOS],LISTADO[CATEGORIA]),"NO EXISTE")</f>
        <v/>
      </c>
      <c r="D1746" s="18">
        <f>IFERROR(_xlfn.XLOOKUP(ENTRADAS[[#This Row],[CODIGO]],LISTADO[CODIGOS],LISTADO[PRODUCTOS]),"NO EXISTE")</f>
        <v/>
      </c>
      <c r="E1746" s="19" t="n">
        <v>46150</v>
      </c>
      <c r="F1746" s="18" t="n">
        <v>1</v>
      </c>
      <c r="G1746" s="18" t="inlineStr">
        <is>
          <t>INGRESO</t>
        </is>
      </c>
      <c r="H1746" s="18" t="inlineStr">
        <is>
          <t>CENTER MARK</t>
        </is>
      </c>
      <c r="I1746" s="45" t="n"/>
      <c r="J1746" s="77" t="n">
        <v>2999.15</v>
      </c>
      <c r="K1746" s="18" t="n"/>
    </row>
    <row r="1747">
      <c r="B1747" s="18" t="inlineStr">
        <is>
          <t>00041-AUT</t>
        </is>
      </c>
      <c r="C1747" s="18">
        <f>IFERROR(_xlfn.XLOOKUP(ENTRADAS[[#This Row],[CODIGO]],LISTADO[CODIGOS],LISTADO[CATEGORIA]),"NO EXISTE")</f>
        <v/>
      </c>
      <c r="D1747" s="18">
        <f>IFERROR(_xlfn.XLOOKUP(ENTRADAS[[#This Row],[CODIGO]],LISTADO[CODIGOS],LISTADO[PRODUCTOS]),"NO EXISTE")</f>
        <v/>
      </c>
      <c r="E1747" s="19" t="n">
        <v>46150</v>
      </c>
      <c r="F1747" s="18" t="n">
        <v>1</v>
      </c>
      <c r="G1747" s="18" t="inlineStr">
        <is>
          <t>INGRESO</t>
        </is>
      </c>
      <c r="H1747" s="18" t="inlineStr">
        <is>
          <t>CONEXCAR, R.C., C.A.</t>
        </is>
      </c>
      <c r="I1747" s="45" t="n"/>
      <c r="J1747" s="77" t="n">
        <v>3499</v>
      </c>
      <c r="K1747" s="18" t="n"/>
    </row>
    <row r="1748">
      <c r="B1748" s="18" t="inlineStr">
        <is>
          <t>00110-ELE</t>
        </is>
      </c>
      <c r="C1748" s="18">
        <f>IFERROR(_xlfn.XLOOKUP(ENTRADAS[[#This Row],[CODIGO]],LISTADO[CODIGOS],LISTADO[CATEGORIA]),"NO EXISTE")</f>
        <v/>
      </c>
      <c r="D1748" s="18">
        <f>IFERROR(_xlfn.XLOOKUP(ENTRADAS[[#This Row],[CODIGO]],LISTADO[CODIGOS],LISTADO[PRODUCTOS]),"NO EXISTE")</f>
        <v/>
      </c>
      <c r="E1748" s="19" t="n">
        <v>46151</v>
      </c>
      <c r="F1748" s="18" t="n">
        <v>6</v>
      </c>
      <c r="G1748" s="18" t="inlineStr">
        <is>
          <t>INGRESO</t>
        </is>
      </c>
      <c r="H1748" s="18" t="inlineStr">
        <is>
          <t>CENTER MARK</t>
        </is>
      </c>
      <c r="I1748" s="45" t="n"/>
      <c r="J1748" s="77" t="n">
        <v>250.21</v>
      </c>
      <c r="K1748" s="18" t="n">
        <v>500.46</v>
      </c>
    </row>
    <row r="1749">
      <c r="B1749" s="18" t="inlineStr">
        <is>
          <t>00123-REF</t>
        </is>
      </c>
      <c r="C1749" s="18">
        <f>IFERROR(_xlfn.XLOOKUP(ENTRADAS[[#This Row],[CODIGO]],LISTADO[CODIGOS],LISTADO[CATEGORIA]),"NO EXISTE")</f>
        <v/>
      </c>
      <c r="D1749" s="18">
        <f>IFERROR(_xlfn.XLOOKUP(ENTRADAS[[#This Row],[CODIGO]],LISTADO[CODIGOS],LISTADO[PRODUCTOS]),"NO EXISTE")</f>
        <v/>
      </c>
      <c r="E1749" s="19" t="n">
        <v>46151</v>
      </c>
      <c r="F1749" s="18" t="n">
        <v>15</v>
      </c>
      <c r="G1749" s="18" t="inlineStr">
        <is>
          <t>INGRESO</t>
        </is>
      </c>
      <c r="H1749" s="18" t="inlineStr">
        <is>
          <t>R.O.C.A</t>
        </is>
      </c>
      <c r="I1749" s="45" t="n">
        <v>15.8513333333333</v>
      </c>
      <c r="J1749" s="77" t="n"/>
      <c r="K1749" s="18" t="n"/>
    </row>
    <row r="1750">
      <c r="B1750" s="56" t="inlineStr">
        <is>
          <t>00071-REF</t>
        </is>
      </c>
      <c r="C1750" s="18">
        <f>IFERROR(_xlfn.XLOOKUP(ENTRADAS[[#This Row],[CODIGO]],LISTADO[CODIGOS],LISTADO[CATEGORIA]),"NO EXISTE")</f>
        <v/>
      </c>
      <c r="D1750" s="18">
        <f>IFERROR(_xlfn.XLOOKUP(ENTRADAS[[#This Row],[CODIGO]],LISTADO[CODIGOS],LISTADO[PRODUCTOS]),"NO EXISTE")</f>
        <v/>
      </c>
      <c r="E1750" s="19" t="n">
        <v>46151</v>
      </c>
      <c r="F1750" s="18" t="n">
        <v>15</v>
      </c>
      <c r="G1750" s="18" t="inlineStr">
        <is>
          <t>INGRESO</t>
        </is>
      </c>
      <c r="H1750" s="18" t="inlineStr">
        <is>
          <t>R.O.C.A</t>
        </is>
      </c>
      <c r="I1750" s="45" t="n">
        <v>7.91266666666666</v>
      </c>
      <c r="J1750" s="77" t="n"/>
      <c r="K1750" s="18" t="n"/>
    </row>
    <row r="1751">
      <c r="B1751" s="56" t="inlineStr">
        <is>
          <t>00073-REF</t>
        </is>
      </c>
      <c r="C1751" s="18">
        <f>IFERROR(_xlfn.XLOOKUP(ENTRADAS[[#This Row],[CODIGO]],LISTADO[CODIGOS],LISTADO[CATEGORIA]),"NO EXISTE")</f>
        <v/>
      </c>
      <c r="D1751" s="18">
        <f>IFERROR(_xlfn.XLOOKUP(ENTRADAS[[#This Row],[CODIGO]],LISTADO[CODIGOS],LISTADO[PRODUCTOS]),"NO EXISTE")</f>
        <v/>
      </c>
      <c r="E1751" s="19" t="n">
        <v>46151</v>
      </c>
      <c r="F1751" s="18" t="n">
        <v>12</v>
      </c>
      <c r="G1751" s="18" t="inlineStr">
        <is>
          <t>INGRESO</t>
        </is>
      </c>
      <c r="H1751" s="18" t="inlineStr">
        <is>
          <t>R.O.C.A</t>
        </is>
      </c>
      <c r="I1751" s="45" t="n">
        <v>2.64</v>
      </c>
      <c r="J1751" s="77" t="n"/>
      <c r="K1751" s="18" t="n"/>
    </row>
    <row r="1752">
      <c r="B1752" s="18" t="inlineStr">
        <is>
          <t>00016-REF</t>
        </is>
      </c>
      <c r="C1752" s="18">
        <f>IFERROR(_xlfn.XLOOKUP(ENTRADAS[[#This Row],[CODIGO]],LISTADO[CODIGOS],LISTADO[CATEGORIA]),"NO EXISTE")</f>
        <v/>
      </c>
      <c r="D1752" s="18">
        <f>IFERROR(_xlfn.XLOOKUP(ENTRADAS[[#This Row],[CODIGO]],LISTADO[CODIGOS],LISTADO[PRODUCTOS]),"NO EXISTE")</f>
        <v/>
      </c>
      <c r="E1752" s="19" t="n">
        <v>46151</v>
      </c>
      <c r="F1752" s="18" t="n">
        <v>2</v>
      </c>
      <c r="G1752" s="18" t="inlineStr">
        <is>
          <t>INGRESO</t>
        </is>
      </c>
      <c r="H1752" s="18" t="inlineStr">
        <is>
          <t>R.O.C.A</t>
        </is>
      </c>
      <c r="I1752" s="45" t="n">
        <v>1.65</v>
      </c>
      <c r="J1752" s="77" t="n"/>
      <c r="K1752" s="18" t="n"/>
    </row>
    <row r="1753">
      <c r="B1753" s="56" t="inlineStr">
        <is>
          <t>00024-FER</t>
        </is>
      </c>
      <c r="C1753" s="18">
        <f>IFERROR(_xlfn.XLOOKUP(ENTRADAS[[#This Row],[CODIGO]],LISTADO[CODIGOS],LISTADO[CATEGORIA]),"NO EXISTE")</f>
        <v/>
      </c>
      <c r="D1753" s="18">
        <f>IFERROR(_xlfn.XLOOKUP(ENTRADAS[[#This Row],[CODIGO]],LISTADO[CODIGOS],LISTADO[PRODUCTOS]),"NO EXISTE")</f>
        <v/>
      </c>
      <c r="E1753" s="19" t="n">
        <v>46153</v>
      </c>
      <c r="F1753" s="18" t="n">
        <v>4</v>
      </c>
      <c r="G1753" s="18" t="inlineStr">
        <is>
          <t>INGRESO</t>
        </is>
      </c>
      <c r="H1753" s="18" t="inlineStr">
        <is>
          <t>CENTER MARK</t>
        </is>
      </c>
      <c r="I1753" s="45" t="n"/>
      <c r="J1753" s="77" t="n">
        <v>7506.88</v>
      </c>
      <c r="K1753" s="18" t="n"/>
    </row>
    <row r="1754">
      <c r="B1754" s="56" t="inlineStr">
        <is>
          <t>00083-FER</t>
        </is>
      </c>
      <c r="C1754" s="18">
        <f>IFERROR(_xlfn.XLOOKUP(ENTRADAS[[#This Row],[CODIGO]],LISTADO[CODIGOS],LISTADO[CATEGORIA]),"NO EXISTE")</f>
        <v/>
      </c>
      <c r="D1754" s="18">
        <f>IFERROR(_xlfn.XLOOKUP(ENTRADAS[[#This Row],[CODIGO]],LISTADO[CODIGOS],LISTADO[PRODUCTOS]),"NO EXISTE")</f>
        <v/>
      </c>
      <c r="E1754" s="19" t="n">
        <v>46153</v>
      </c>
      <c r="F1754" s="18" t="n">
        <v>200</v>
      </c>
      <c r="G1754" s="18" t="inlineStr">
        <is>
          <t>INGRESO</t>
        </is>
      </c>
      <c r="H1754" s="18" t="inlineStr">
        <is>
          <t>GUMAR CENTRO, C.A.</t>
        </is>
      </c>
      <c r="I1754" s="45" t="n"/>
      <c r="J1754" s="77" t="n">
        <v>220.2</v>
      </c>
      <c r="K1754" s="18" t="n">
        <v>500.46</v>
      </c>
    </row>
    <row r="1755">
      <c r="B1755" s="56" t="inlineStr">
        <is>
          <t>00084-FER</t>
        </is>
      </c>
      <c r="C1755" s="18">
        <f>IFERROR(_xlfn.XLOOKUP(ENTRADAS[[#This Row],[CODIGO]],LISTADO[CODIGOS],LISTADO[CATEGORIA]),"NO EXISTE")</f>
        <v/>
      </c>
      <c r="D1755" s="18">
        <f>IFERROR(_xlfn.XLOOKUP(ENTRADAS[[#This Row],[CODIGO]],LISTADO[CODIGOS],LISTADO[PRODUCTOS]),"NO EXISTE")</f>
        <v/>
      </c>
      <c r="E1755" s="19" t="n">
        <v>46153</v>
      </c>
      <c r="F1755" s="18" t="n">
        <v>100</v>
      </c>
      <c r="G1755" s="18" t="inlineStr">
        <is>
          <t>INGRESO</t>
        </is>
      </c>
      <c r="H1755" s="18" t="inlineStr">
        <is>
          <t>GUMAR CENTRO, C.A.</t>
        </is>
      </c>
      <c r="I1755" s="45" t="n"/>
      <c r="J1755" s="77" t="n">
        <v>145.13</v>
      </c>
      <c r="K1755" s="18" t="n">
        <v>500.46</v>
      </c>
    </row>
    <row r="1756">
      <c r="B1756" s="56" t="inlineStr">
        <is>
          <t>00085-FER</t>
        </is>
      </c>
      <c r="C1756" s="18">
        <f>IFERROR(_xlfn.XLOOKUP(ENTRADAS[[#This Row],[CODIGO]],LISTADO[CODIGOS],LISTADO[CATEGORIA]),"NO EXISTE")</f>
        <v/>
      </c>
      <c r="D1756" s="18">
        <f>IFERROR(_xlfn.XLOOKUP(ENTRADAS[[#This Row],[CODIGO]],LISTADO[CODIGOS],LISTADO[PRODUCTOS]),"NO EXISTE")</f>
        <v/>
      </c>
      <c r="E1756" s="19" t="n">
        <v>46153</v>
      </c>
      <c r="F1756" s="18" t="n">
        <v>100</v>
      </c>
      <c r="G1756" s="18" t="inlineStr">
        <is>
          <t>INGRESO</t>
        </is>
      </c>
      <c r="H1756" s="18" t="inlineStr">
        <is>
          <t>GUMAR CENTRO, C.A.</t>
        </is>
      </c>
      <c r="I1756" s="45" t="n"/>
      <c r="J1756" s="77" t="n">
        <v>145.13</v>
      </c>
      <c r="K1756" s="18" t="n">
        <v>500.46</v>
      </c>
    </row>
    <row r="1757">
      <c r="B1757" s="18" t="inlineStr">
        <is>
          <t>00067-ELE</t>
        </is>
      </c>
      <c r="C1757" s="18">
        <f>IFERROR(_xlfn.XLOOKUP(ENTRADAS[[#This Row],[CODIGO]],LISTADO[CODIGOS],LISTADO[CATEGORIA]),"NO EXISTE")</f>
        <v/>
      </c>
      <c r="D1757" s="18">
        <f>IFERROR(_xlfn.XLOOKUP(ENTRADAS[[#This Row],[CODIGO]],LISTADO[CODIGOS],LISTADO[PRODUCTOS]),"NO EXISTE")</f>
        <v/>
      </c>
      <c r="E1757" s="19" t="n">
        <v>46153</v>
      </c>
      <c r="F1757" s="18" t="n">
        <v>100</v>
      </c>
      <c r="G1757" s="18" t="inlineStr">
        <is>
          <t>INGRESO</t>
        </is>
      </c>
      <c r="H1757" s="18" t="inlineStr">
        <is>
          <t>CABLESELEC, C.A.</t>
        </is>
      </c>
      <c r="I1757" s="45" t="n">
        <v>0.8</v>
      </c>
      <c r="J1757" s="77" t="n"/>
      <c r="K1757" s="18" t="n"/>
    </row>
    <row r="1758">
      <c r="B1758" s="18" t="inlineStr">
        <is>
          <t>00088-ELE</t>
        </is>
      </c>
      <c r="C1758" s="18">
        <f>IFERROR(_xlfn.XLOOKUP(ENTRADAS[[#This Row],[CODIGO]],LISTADO[CODIGOS],LISTADO[CATEGORIA]),"NO EXISTE")</f>
        <v/>
      </c>
      <c r="D1758" s="18">
        <f>IFERROR(_xlfn.XLOOKUP(ENTRADAS[[#This Row],[CODIGO]],LISTADO[CODIGOS],LISTADO[PRODUCTOS]),"NO EXISTE")</f>
        <v/>
      </c>
      <c r="E1758" s="19" t="n">
        <v>46153</v>
      </c>
      <c r="F1758" s="18" t="n">
        <v>100</v>
      </c>
      <c r="G1758" s="18" t="inlineStr">
        <is>
          <t>INGRESO</t>
        </is>
      </c>
      <c r="H1758" s="18" t="inlineStr">
        <is>
          <t>CABLESELEC, C.A.</t>
        </is>
      </c>
      <c r="I1758" s="45" t="n">
        <v>1.35</v>
      </c>
      <c r="J1758" s="77" t="n"/>
      <c r="K1758" s="18" t="n"/>
    </row>
    <row r="1759">
      <c r="B1759" s="18" t="inlineStr">
        <is>
          <t>00118-ELE</t>
        </is>
      </c>
      <c r="C1759" s="18">
        <f>IFERROR(_xlfn.XLOOKUP(ENTRADAS[[#This Row],[CODIGO]],LISTADO[CODIGOS],LISTADO[CATEGORIA]),"NO EXISTE")</f>
        <v/>
      </c>
      <c r="D1759" s="18">
        <f>IFERROR(_xlfn.XLOOKUP(ENTRADAS[[#This Row],[CODIGO]],LISTADO[CODIGOS],LISTADO[PRODUCTOS]),"NO EXISTE")</f>
        <v/>
      </c>
      <c r="E1759" s="19" t="n">
        <v>46153</v>
      </c>
      <c r="F1759" s="18" t="n">
        <v>500</v>
      </c>
      <c r="G1759" s="18" t="inlineStr">
        <is>
          <t>INGRESO</t>
        </is>
      </c>
      <c r="H1759" s="18" t="inlineStr">
        <is>
          <t>CABLESELEC, C.A.</t>
        </is>
      </c>
      <c r="I1759" s="45" t="n">
        <v>1.35</v>
      </c>
      <c r="J1759" s="77" t="n"/>
      <c r="K1759" s="18" t="n"/>
    </row>
    <row r="1760">
      <c r="B1760" s="18" t="inlineStr">
        <is>
          <t>00089-ELE</t>
        </is>
      </c>
      <c r="C1760" s="18">
        <f>IFERROR(_xlfn.XLOOKUP(ENTRADAS[[#This Row],[CODIGO]],LISTADO[CODIGOS],LISTADO[CATEGORIA]),"NO EXISTE")</f>
        <v/>
      </c>
      <c r="D1760" s="18">
        <f>IFERROR(_xlfn.XLOOKUP(ENTRADAS[[#This Row],[CODIGO]],LISTADO[CODIGOS],LISTADO[PRODUCTOS]),"NO EXISTE")</f>
        <v/>
      </c>
      <c r="E1760" s="19" t="n">
        <v>46153</v>
      </c>
      <c r="F1760" s="18" t="n">
        <v>300</v>
      </c>
      <c r="G1760" s="18" t="inlineStr">
        <is>
          <t>INGRESO</t>
        </is>
      </c>
      <c r="H1760" s="18" t="inlineStr">
        <is>
          <t>CABLESELEC, C.A.</t>
        </is>
      </c>
      <c r="I1760" s="45" t="n">
        <v>0.8</v>
      </c>
      <c r="J1760" s="77" t="n"/>
      <c r="K1760" s="18" t="n"/>
    </row>
    <row r="1761">
      <c r="B1761" s="56" t="inlineStr">
        <is>
          <t>00014-ELE</t>
        </is>
      </c>
      <c r="C1761" s="18">
        <f>IFERROR(_xlfn.XLOOKUP(ENTRADAS[[#This Row],[CODIGO]],LISTADO[CODIGOS],LISTADO[CATEGORIA]),"NO EXISTE")</f>
        <v/>
      </c>
      <c r="D1761" s="18">
        <f>IFERROR(_xlfn.XLOOKUP(ENTRADAS[[#This Row],[CODIGO]],LISTADO[CODIGOS],LISTADO[PRODUCTOS]),"NO EXISTE")</f>
        <v/>
      </c>
      <c r="E1761" s="19" t="n">
        <v>46153</v>
      </c>
      <c r="F1761" s="18" t="n">
        <v>300</v>
      </c>
      <c r="G1761" s="18" t="inlineStr">
        <is>
          <t>INGRESO</t>
        </is>
      </c>
      <c r="H1761" s="18" t="inlineStr">
        <is>
          <t>CABLESELEC, C.A.</t>
        </is>
      </c>
      <c r="I1761" s="45" t="n">
        <v>0.8</v>
      </c>
      <c r="J1761" s="77" t="n"/>
      <c r="K1761" s="18" t="n"/>
    </row>
    <row r="1762">
      <c r="B1762" s="18" t="inlineStr">
        <is>
          <t>00075-ELE</t>
        </is>
      </c>
      <c r="C1762" s="18">
        <f>IFERROR(_xlfn.XLOOKUP(ENTRADAS[[#This Row],[CODIGO]],LISTADO[CODIGOS],LISTADO[CATEGORIA]),"NO EXISTE")</f>
        <v/>
      </c>
      <c r="D1762" s="18">
        <f>IFERROR(_xlfn.XLOOKUP(ENTRADAS[[#This Row],[CODIGO]],LISTADO[CODIGOS],LISTADO[PRODUCTOS]),"NO EXISTE")</f>
        <v/>
      </c>
      <c r="E1762" s="19" t="n">
        <v>46153</v>
      </c>
      <c r="F1762" s="18" t="n">
        <v>300</v>
      </c>
      <c r="G1762" s="18" t="inlineStr">
        <is>
          <t>INGRESO</t>
        </is>
      </c>
      <c r="H1762" s="18" t="inlineStr">
        <is>
          <t>CABLESELEC, C.A.</t>
        </is>
      </c>
      <c r="I1762" s="45" t="n">
        <v>0.8</v>
      </c>
      <c r="J1762" s="77" t="n"/>
      <c r="K1762" s="18" t="n"/>
    </row>
    <row r="1763">
      <c r="B1763" s="18" t="inlineStr">
        <is>
          <t>00211-FER</t>
        </is>
      </c>
      <c r="C1763" s="18">
        <f>IFERROR(_xlfn.XLOOKUP(ENTRADAS[[#This Row],[CODIGO]],LISTADO[CODIGOS],LISTADO[CATEGORIA]),"NO EXISTE")</f>
        <v/>
      </c>
      <c r="D1763" s="18">
        <f>IFERROR(_xlfn.XLOOKUP(ENTRADAS[[#This Row],[CODIGO]],LISTADO[CODIGOS],LISTADO[PRODUCTOS]),"NO EXISTE")</f>
        <v/>
      </c>
      <c r="E1763" s="19" t="n">
        <v>46153</v>
      </c>
      <c r="F1763" s="18" t="n">
        <v>4</v>
      </c>
      <c r="G1763" s="18" t="inlineStr">
        <is>
          <t>INGRESO</t>
        </is>
      </c>
      <c r="H1763" s="18" t="inlineStr">
        <is>
          <t>MANPRECO C.A.</t>
        </is>
      </c>
      <c r="I1763" s="45" t="n">
        <v>15</v>
      </c>
      <c r="J1763" s="77" t="n"/>
      <c r="K1763" s="18" t="n"/>
    </row>
    <row r="1764">
      <c r="B1764" s="18" t="inlineStr">
        <is>
          <t>00233-FER</t>
        </is>
      </c>
      <c r="C1764" s="18">
        <f>IFERROR(_xlfn.XLOOKUP(ENTRADAS[[#This Row],[CODIGO]],LISTADO[CODIGOS],LISTADO[CATEGORIA]),"NO EXISTE")</f>
        <v/>
      </c>
      <c r="D1764" s="18">
        <f>IFERROR(_xlfn.XLOOKUP(ENTRADAS[[#This Row],[CODIGO]],LISTADO[CODIGOS],LISTADO[PRODUCTOS]),"NO EXISTE")</f>
        <v/>
      </c>
      <c r="E1764" s="19" t="n">
        <v>46153</v>
      </c>
      <c r="F1764" s="18" t="n">
        <v>6</v>
      </c>
      <c r="G1764" s="18" t="inlineStr">
        <is>
          <t>INGRESO</t>
        </is>
      </c>
      <c r="H1764" s="18" t="inlineStr">
        <is>
          <t>RODAL, C.A.</t>
        </is>
      </c>
      <c r="I1764" s="45" t="n"/>
      <c r="J1764" s="77" t="n">
        <v>5004.6</v>
      </c>
      <c r="K1764" s="18" t="n"/>
    </row>
    <row r="1765">
      <c r="B1765" s="18" t="inlineStr">
        <is>
          <t>00082-ELC</t>
        </is>
      </c>
      <c r="C1765" s="18">
        <f>IFERROR(_xlfn.XLOOKUP(ENTRADAS[[#This Row],[CODIGO]],LISTADO[CODIGOS],LISTADO[CATEGORIA]),"NO EXISTE")</f>
        <v/>
      </c>
      <c r="D1765" s="18">
        <f>IFERROR(_xlfn.XLOOKUP(ENTRADAS[[#This Row],[CODIGO]],LISTADO[CODIGOS],LISTADO[PRODUCTOS]),"NO EXISTE")</f>
        <v/>
      </c>
      <c r="E1765" s="19" t="n">
        <v>46153</v>
      </c>
      <c r="F1765" s="18" t="n">
        <v>10</v>
      </c>
      <c r="G1765" s="18" t="inlineStr">
        <is>
          <t>INGRESO</t>
        </is>
      </c>
      <c r="H1765" s="18" t="inlineStr">
        <is>
          <t>ELECTRONICA GERMAN</t>
        </is>
      </c>
      <c r="I1765" s="45" t="n"/>
      <c r="J1765" s="77" t="n">
        <v>300</v>
      </c>
      <c r="K1765" s="18" t="n"/>
    </row>
    <row r="1766">
      <c r="B1766" s="56" t="inlineStr">
        <is>
          <t>00234-FER</t>
        </is>
      </c>
      <c r="C1766" s="18">
        <f>IFERROR(_xlfn.XLOOKUP(ENTRADAS[[#This Row],[CODIGO]],LISTADO[CODIGOS],LISTADO[CATEGORIA]),"NO EXISTE")</f>
        <v/>
      </c>
      <c r="D1766" s="18">
        <f>IFERROR(_xlfn.XLOOKUP(ENTRADAS[[#This Row],[CODIGO]],LISTADO[CODIGOS],LISTADO[PRODUCTOS]),"NO EXISTE")</f>
        <v/>
      </c>
      <c r="E1766" s="19" t="n">
        <v>46153</v>
      </c>
      <c r="F1766" s="18" t="n">
        <v>3</v>
      </c>
      <c r="G1766" s="18" t="inlineStr">
        <is>
          <t>INGRESO</t>
        </is>
      </c>
      <c r="H1766" s="18" t="inlineStr">
        <is>
          <t>TORNILLERIA Y FERRETERIA SANCHEZ</t>
        </is>
      </c>
      <c r="I1766" s="45" t="n"/>
      <c r="J1766" s="77" t="n">
        <v>51.3</v>
      </c>
      <c r="K1766" s="18" t="n"/>
    </row>
    <row r="1767">
      <c r="B1767" s="56" t="inlineStr">
        <is>
          <t>00235-FER</t>
        </is>
      </c>
      <c r="C1767" s="18">
        <f>IFERROR(_xlfn.XLOOKUP(ENTRADAS[[#This Row],[CODIGO]],LISTADO[CODIGOS],LISTADO[CATEGORIA]),"NO EXISTE")</f>
        <v/>
      </c>
      <c r="D1767" s="18">
        <f>IFERROR(_xlfn.XLOOKUP(ENTRADAS[[#This Row],[CODIGO]],LISTADO[CODIGOS],LISTADO[PRODUCTOS]),"NO EXISTE")</f>
        <v/>
      </c>
      <c r="E1767" s="19" t="n">
        <v>46153</v>
      </c>
      <c r="F1767" s="18" t="n">
        <v>3</v>
      </c>
      <c r="G1767" s="18" t="inlineStr">
        <is>
          <t>INGRESO</t>
        </is>
      </c>
      <c r="H1767" s="18" t="inlineStr">
        <is>
          <t>TORNILLERIA Y FERRETERIA SANCHEZ</t>
        </is>
      </c>
      <c r="I1767" s="45" t="n"/>
      <c r="J1767" s="77" t="n">
        <v>83.16</v>
      </c>
      <c r="K1767" s="18" t="n"/>
    </row>
    <row r="1768">
      <c r="B1768" s="18" t="inlineStr">
        <is>
          <t>00123-REF</t>
        </is>
      </c>
      <c r="C1768" s="18">
        <f>IFERROR(_xlfn.XLOOKUP(ENTRADAS[[#This Row],[CODIGO]],LISTADO[CODIGOS],LISTADO[CATEGORIA]),"NO EXISTE")</f>
        <v/>
      </c>
      <c r="D1768" s="18">
        <f>IFERROR(_xlfn.XLOOKUP(ENTRADAS[[#This Row],[CODIGO]],LISTADO[CODIGOS],LISTADO[PRODUCTOS]),"NO EXISTE")</f>
        <v/>
      </c>
      <c r="E1768" s="19" t="n">
        <v>46153</v>
      </c>
      <c r="F1768" s="18" t="n">
        <v>15</v>
      </c>
      <c r="G1768" s="18" t="inlineStr">
        <is>
          <t>INGRESO</t>
        </is>
      </c>
      <c r="H1768" s="18" t="inlineStr">
        <is>
          <t>R.O.C.A</t>
        </is>
      </c>
      <c r="I1768" s="45" t="n">
        <v>15.9713333333333</v>
      </c>
      <c r="J1768" s="77" t="n"/>
      <c r="K1768" s="18" t="n"/>
    </row>
    <row r="1769">
      <c r="B1769" s="56" t="inlineStr">
        <is>
          <t>00071-REF</t>
        </is>
      </c>
      <c r="C1769" s="18">
        <f>IFERROR(_xlfn.XLOOKUP(ENTRADAS[[#This Row],[CODIGO]],LISTADO[CODIGOS],LISTADO[CATEGORIA]),"NO EXISTE")</f>
        <v/>
      </c>
      <c r="D1769" s="18">
        <f>IFERROR(_xlfn.XLOOKUP(ENTRADAS[[#This Row],[CODIGO]],LISTADO[CODIGOS],LISTADO[PRODUCTOS]),"NO EXISTE")</f>
        <v/>
      </c>
      <c r="E1769" s="19" t="n">
        <v>46153</v>
      </c>
      <c r="F1769" s="18" t="n">
        <v>30</v>
      </c>
      <c r="G1769" s="18" t="inlineStr">
        <is>
          <t>INGRESO</t>
        </is>
      </c>
      <c r="H1769" s="18" t="inlineStr">
        <is>
          <t>R.O.C.A</t>
        </is>
      </c>
      <c r="I1769" s="45" t="n">
        <v>7.97266666666666</v>
      </c>
      <c r="J1769" s="77" t="n"/>
      <c r="K1769" s="18" t="n"/>
    </row>
    <row r="1770">
      <c r="B1770" s="56" t="inlineStr">
        <is>
          <t>00047-FER</t>
        </is>
      </c>
      <c r="C1770" s="18">
        <f>IFERROR(_xlfn.XLOOKUP(ENTRADAS[[#This Row],[CODIGO]],LISTADO[CODIGOS],LISTADO[CATEGORIA]),"NO EXISTE")</f>
        <v/>
      </c>
      <c r="D1770" s="18">
        <f>IFERROR(_xlfn.XLOOKUP(ENTRADAS[[#This Row],[CODIGO]],LISTADO[CODIGOS],LISTADO[PRODUCTOS]),"NO EXISTE")</f>
        <v/>
      </c>
      <c r="E1770" s="19" t="n">
        <v>46153</v>
      </c>
      <c r="F1770" s="18" t="n">
        <v>3</v>
      </c>
      <c r="G1770" s="18" t="inlineStr">
        <is>
          <t>INGRESO</t>
        </is>
      </c>
      <c r="H1770" s="1" t="inlineStr">
        <is>
          <t>PINTURAS IPM, C.A</t>
        </is>
      </c>
      <c r="I1770" s="45" t="n">
        <v>183</v>
      </c>
      <c r="J1770" s="77" t="n"/>
      <c r="K1770" s="18" t="n"/>
    </row>
    <row r="1771">
      <c r="B1771" s="56" t="inlineStr">
        <is>
          <t>00031-FER</t>
        </is>
      </c>
      <c r="C1771" s="18">
        <f>IFERROR(_xlfn.XLOOKUP(ENTRADAS[[#This Row],[CODIGO]],LISTADO[CODIGOS],LISTADO[CATEGORIA]),"NO EXISTE")</f>
        <v/>
      </c>
      <c r="D1771" s="18">
        <f>IFERROR(_xlfn.XLOOKUP(ENTRADAS[[#This Row],[CODIGO]],LISTADO[CODIGOS],LISTADO[PRODUCTOS]),"NO EXISTE")</f>
        <v/>
      </c>
      <c r="E1771" s="19" t="n">
        <v>46153</v>
      </c>
      <c r="F1771" s="18" t="n">
        <v>15</v>
      </c>
      <c r="G1771" s="18" t="inlineStr">
        <is>
          <t>INGRESO</t>
        </is>
      </c>
      <c r="H1771" s="1" t="inlineStr">
        <is>
          <t>PINTURAS IPM, C.A</t>
        </is>
      </c>
      <c r="I1771" s="45" t="n">
        <v>40</v>
      </c>
      <c r="J1771" s="77" t="n"/>
      <c r="K1771" s="18" t="n"/>
    </row>
    <row r="1772">
      <c r="B1772" s="56" t="inlineStr">
        <is>
          <t>00018-PLM</t>
        </is>
      </c>
      <c r="C1772" s="18">
        <f>IFERROR(_xlfn.XLOOKUP(ENTRADAS[[#This Row],[CODIGO]],LISTADO[CODIGOS],LISTADO[CATEGORIA]),"NO EXISTE")</f>
        <v/>
      </c>
      <c r="D1772" s="18">
        <f>IFERROR(_xlfn.XLOOKUP(ENTRADAS[[#This Row],[CODIGO]],LISTADO[CODIGOS],LISTADO[PRODUCTOS]),"NO EXISTE")</f>
        <v/>
      </c>
      <c r="E1772" s="19" t="n">
        <v>46154</v>
      </c>
      <c r="F1772" s="18" t="n">
        <v>5</v>
      </c>
      <c r="G1772" s="18" t="inlineStr">
        <is>
          <t>INGRESO</t>
        </is>
      </c>
      <c r="H1772" s="18" t="inlineStr">
        <is>
          <t>CENTER MARK</t>
        </is>
      </c>
      <c r="I1772" s="45" t="n"/>
      <c r="J1772" s="77" t="n">
        <v>400.39</v>
      </c>
      <c r="K1772" s="18" t="n"/>
    </row>
    <row r="1773">
      <c r="B1773" s="18" t="inlineStr">
        <is>
          <t>00143-REF</t>
        </is>
      </c>
      <c r="C1773" s="18">
        <f>IFERROR(_xlfn.XLOOKUP(ENTRADAS[[#This Row],[CODIGO]],LISTADO[CODIGOS],LISTADO[CATEGORIA]),"NO EXISTE")</f>
        <v/>
      </c>
      <c r="D1773" s="18">
        <f>IFERROR(_xlfn.XLOOKUP(ENTRADAS[[#This Row],[CODIGO]],LISTADO[CODIGOS],LISTADO[PRODUCTOS]),"NO EXISTE")</f>
        <v/>
      </c>
      <c r="E1773" s="19" t="n">
        <v>46154</v>
      </c>
      <c r="F1773" s="18" t="n">
        <v>15</v>
      </c>
      <c r="G1773" s="18" t="inlineStr">
        <is>
          <t>INGRESO</t>
        </is>
      </c>
      <c r="H1773" s="18" t="inlineStr">
        <is>
          <t>REFRIGERACION ORINOCO</t>
        </is>
      </c>
      <c r="I1773" s="45" t="n">
        <v>4</v>
      </c>
      <c r="J1773" s="77" t="n"/>
      <c r="K1773" s="18" t="n"/>
    </row>
    <row r="1774">
      <c r="B1774" s="56" t="inlineStr">
        <is>
          <t>00112-REF</t>
        </is>
      </c>
      <c r="C1774" s="18">
        <f>IFERROR(_xlfn.XLOOKUP(ENTRADAS[[#This Row],[CODIGO]],LISTADO[CODIGOS],LISTADO[CATEGORIA]),"NO EXISTE")</f>
        <v/>
      </c>
      <c r="D1774" s="18">
        <f>IFERROR(_xlfn.XLOOKUP(ENTRADAS[[#This Row],[CODIGO]],LISTADO[CODIGOS],LISTADO[PRODUCTOS]),"NO EXISTE")</f>
        <v/>
      </c>
      <c r="E1774" s="19" t="n">
        <v>46154</v>
      </c>
      <c r="F1774" s="18" t="n">
        <v>1</v>
      </c>
      <c r="G1774" s="18" t="inlineStr">
        <is>
          <t>INGRESO</t>
        </is>
      </c>
      <c r="H1774" s="18" t="inlineStr">
        <is>
          <t>REFRIGERACION ORINOCO</t>
        </is>
      </c>
      <c r="I1774" s="45" t="n">
        <v>15</v>
      </c>
      <c r="J1774" s="77" t="n"/>
      <c r="K1774" s="18" t="n"/>
    </row>
    <row r="1775">
      <c r="B1775" s="18" t="inlineStr">
        <is>
          <t>00226-FER</t>
        </is>
      </c>
      <c r="C1775" s="18">
        <f>IFERROR(_xlfn.XLOOKUP(ENTRADAS[[#This Row],[CODIGO]],LISTADO[CODIGOS],LISTADO[CATEGORIA]),"NO EXISTE")</f>
        <v/>
      </c>
      <c r="D1775" s="18">
        <f>IFERROR(_xlfn.XLOOKUP(ENTRADAS[[#This Row],[CODIGO]],LISTADO[CODIGOS],LISTADO[PRODUCTOS]),"NO EXISTE")</f>
        <v/>
      </c>
      <c r="E1775" s="19" t="n">
        <v>46154</v>
      </c>
      <c r="F1775" s="18" t="n">
        <v>11</v>
      </c>
      <c r="G1775" s="18" t="inlineStr">
        <is>
          <t>INGRESO</t>
        </is>
      </c>
      <c r="H1775" s="18" t="inlineStr">
        <is>
          <t>CENTER MARK</t>
        </is>
      </c>
      <c r="I1775" s="45" t="n"/>
      <c r="J1775" s="77" t="n">
        <v>4039.39</v>
      </c>
      <c r="K1775" s="18" t="n">
        <v>504.92</v>
      </c>
    </row>
    <row r="1776">
      <c r="B1776" s="18" t="inlineStr">
        <is>
          <t>00038-AUT</t>
        </is>
      </c>
      <c r="C1776" s="18">
        <f>IFERROR(_xlfn.XLOOKUP(ENTRADAS[[#This Row],[CODIGO]],LISTADO[CODIGOS],LISTADO[CATEGORIA]),"NO EXISTE")</f>
        <v/>
      </c>
      <c r="D1776" s="18">
        <f>IFERROR(_xlfn.XLOOKUP(ENTRADAS[[#This Row],[CODIGO]],LISTADO[CODIGOS],LISTADO[PRODUCTOS]),"NO EXISTE")</f>
        <v/>
      </c>
      <c r="E1776" s="19" t="n">
        <v>46154</v>
      </c>
      <c r="F1776" s="18" t="n">
        <v>3</v>
      </c>
      <c r="G1776" s="18" t="inlineStr">
        <is>
          <t>INGRESO</t>
        </is>
      </c>
      <c r="H1776" s="18" t="inlineStr">
        <is>
          <t>CENTER MARK</t>
        </is>
      </c>
      <c r="I1776" s="45" t="n"/>
      <c r="J1776" s="77" t="n">
        <v>9088.540000000001</v>
      </c>
      <c r="K1776" s="18" t="n">
        <v>504.92</v>
      </c>
    </row>
    <row r="1777">
      <c r="B1777" s="18" t="inlineStr">
        <is>
          <t>00001-HRR</t>
        </is>
      </c>
      <c r="C1777" s="18">
        <f>IFERROR(_xlfn.XLOOKUP(ENTRADAS[[#This Row],[CODIGO]],LISTADO[CODIGOS],LISTADO[CATEGORIA]),"NO EXISTE")</f>
        <v/>
      </c>
      <c r="D1777" s="18">
        <f>IFERROR(_xlfn.XLOOKUP(ENTRADAS[[#This Row],[CODIGO]],LISTADO[CODIGOS],LISTADO[PRODUCTOS]),"NO EXISTE")</f>
        <v/>
      </c>
      <c r="E1777" s="19" t="n">
        <v>46154</v>
      </c>
      <c r="F1777" s="18" t="n">
        <v>2</v>
      </c>
      <c r="G1777" s="18" t="inlineStr">
        <is>
          <t>INGRESO</t>
        </is>
      </c>
      <c r="H1777" s="18" t="inlineStr">
        <is>
          <t>CENTER MARK</t>
        </is>
      </c>
      <c r="I1777" s="45" t="n"/>
      <c r="J1777" s="77" t="n">
        <v>20196.94</v>
      </c>
      <c r="K1777" s="18" t="n">
        <v>504.92</v>
      </c>
    </row>
    <row r="1778">
      <c r="B1778" s="18" t="inlineStr">
        <is>
          <t>00144-REF</t>
        </is>
      </c>
      <c r="C1778" s="18">
        <f>IFERROR(_xlfn.XLOOKUP(ENTRADAS[[#This Row],[CODIGO]],LISTADO[CODIGOS],LISTADO[CATEGORIA]),"NO EXISTE")</f>
        <v/>
      </c>
      <c r="D1778" s="18">
        <f>IFERROR(_xlfn.XLOOKUP(ENTRADAS[[#This Row],[CODIGO]],LISTADO[CODIGOS],LISTADO[PRODUCTOS]),"NO EXISTE")</f>
        <v/>
      </c>
      <c r="E1778" s="19" t="n">
        <v>46154</v>
      </c>
      <c r="F1778" s="18" t="n">
        <v>6</v>
      </c>
      <c r="G1778" s="18" t="inlineStr">
        <is>
          <t>INGRESO</t>
        </is>
      </c>
      <c r="H1778" s="18" t="inlineStr">
        <is>
          <t>CENTER MARK</t>
        </is>
      </c>
      <c r="I1778" s="45" t="n"/>
      <c r="J1778" s="77" t="n">
        <v>1009.82</v>
      </c>
      <c r="K1778" s="18" t="n">
        <v>504.92</v>
      </c>
    </row>
    <row r="1779">
      <c r="B1779" s="18" t="inlineStr">
        <is>
          <t>00227-FER</t>
        </is>
      </c>
      <c r="C1779" s="18">
        <f>IFERROR(_xlfn.XLOOKUP(ENTRADAS[[#This Row],[CODIGO]],LISTADO[CODIGOS],LISTADO[CATEGORIA]),"NO EXISTE")</f>
        <v/>
      </c>
      <c r="D1779" s="18">
        <f>IFERROR(_xlfn.XLOOKUP(ENTRADAS[[#This Row],[CODIGO]],LISTADO[CODIGOS],LISTADO[PRODUCTOS]),"NO EXISTE")</f>
        <v/>
      </c>
      <c r="E1779" s="19" t="n">
        <v>46154</v>
      </c>
      <c r="F1779" s="18" t="n">
        <v>2</v>
      </c>
      <c r="G1779" s="18" t="inlineStr">
        <is>
          <t>INGRESO</t>
        </is>
      </c>
      <c r="H1779" s="18" t="inlineStr">
        <is>
          <t>DISTRIBUIDORA CANTAURA</t>
        </is>
      </c>
      <c r="I1779" s="45" t="n"/>
      <c r="J1779" s="77" t="n">
        <v>2176.34</v>
      </c>
      <c r="K1779" s="18" t="n"/>
    </row>
    <row r="1780">
      <c r="B1780" s="18" t="inlineStr">
        <is>
          <t>00027-AUT</t>
        </is>
      </c>
      <c r="C1780" s="18">
        <f>IFERROR(_xlfn.XLOOKUP(ENTRADAS[[#This Row],[CODIGO]],LISTADO[CODIGOS],LISTADO[CATEGORIA]),"NO EXISTE")</f>
        <v/>
      </c>
      <c r="D1780" s="18">
        <f>IFERROR(_xlfn.XLOOKUP(ENTRADAS[[#This Row],[CODIGO]],LISTADO[CODIGOS],LISTADO[PRODUCTOS]),"NO EXISTE")</f>
        <v/>
      </c>
      <c r="E1780" s="19" t="n">
        <v>46154</v>
      </c>
      <c r="F1780" s="18" t="n">
        <v>5</v>
      </c>
      <c r="G1780" s="18" t="inlineStr">
        <is>
          <t>INGRESO</t>
        </is>
      </c>
      <c r="H1780" s="18" t="inlineStr">
        <is>
          <t>LUBRICANTES NAGUANAGUA</t>
        </is>
      </c>
      <c r="I1780" s="45" t="n">
        <v>160</v>
      </c>
      <c r="J1780" s="77" t="n"/>
      <c r="K1780" s="18" t="n"/>
    </row>
    <row r="1781">
      <c r="B1781" s="18" t="inlineStr">
        <is>
          <t>00036-AUT</t>
        </is>
      </c>
      <c r="C1781" s="18">
        <f>IFERROR(_xlfn.XLOOKUP(ENTRADAS[[#This Row],[CODIGO]],LISTADO[CODIGOS],LISTADO[CATEGORIA]),"NO EXISTE")</f>
        <v/>
      </c>
      <c r="D1781" s="18">
        <f>IFERROR(_xlfn.XLOOKUP(ENTRADAS[[#This Row],[CODIGO]],LISTADO[CODIGOS],LISTADO[PRODUCTOS]),"NO EXISTE")</f>
        <v/>
      </c>
      <c r="E1781" s="19" t="n">
        <v>46154</v>
      </c>
      <c r="F1781" s="18" t="n">
        <v>3</v>
      </c>
      <c r="G1781" s="18" t="inlineStr">
        <is>
          <t>INGRESO</t>
        </is>
      </c>
      <c r="H1781" s="18" t="inlineStr">
        <is>
          <t>LUBRICANTES NAGUANAGUA</t>
        </is>
      </c>
      <c r="I1781" s="45" t="n">
        <v>110</v>
      </c>
      <c r="J1781" s="77" t="n"/>
      <c r="K1781" s="18" t="n"/>
    </row>
    <row r="1782">
      <c r="B1782" s="18" t="inlineStr">
        <is>
          <t>00063-HRR</t>
        </is>
      </c>
      <c r="C1782" s="18">
        <f>IFERROR(_xlfn.XLOOKUP(ENTRADAS[[#This Row],[CODIGO]],LISTADO[CODIGOS],LISTADO[CATEGORIA]),"NO EXISTE")</f>
        <v/>
      </c>
      <c r="D1782" s="18">
        <f>IFERROR(_xlfn.XLOOKUP(ENTRADAS[[#This Row],[CODIGO]],LISTADO[CODIGOS],LISTADO[PRODUCTOS]),"NO EXISTE")</f>
        <v/>
      </c>
      <c r="E1782" s="19" t="n">
        <v>46154</v>
      </c>
      <c r="F1782" s="18" t="n">
        <v>4</v>
      </c>
      <c r="G1782" s="18" t="inlineStr">
        <is>
          <t>INGRESO</t>
        </is>
      </c>
      <c r="H1782" s="18" t="inlineStr">
        <is>
          <t>HIERRO NEGRO NAGUANAGUA</t>
        </is>
      </c>
      <c r="I1782" s="45" t="n"/>
      <c r="J1782" s="77" t="n">
        <v>7068.74</v>
      </c>
      <c r="K1782" s="18" t="n"/>
    </row>
    <row r="1783">
      <c r="B1783" s="18" t="inlineStr">
        <is>
          <t>00123-REF</t>
        </is>
      </c>
      <c r="C1783" s="18">
        <f>IFERROR(_xlfn.XLOOKUP(ENTRADAS[[#This Row],[CODIGO]],LISTADO[CODIGOS],LISTADO[CATEGORIA]),"NO EXISTE")</f>
        <v/>
      </c>
      <c r="D1783" s="18">
        <f>IFERROR(_xlfn.XLOOKUP(ENTRADAS[[#This Row],[CODIGO]],LISTADO[CODIGOS],LISTADO[PRODUCTOS]),"NO EXISTE")</f>
        <v/>
      </c>
      <c r="E1783" s="19" t="n">
        <v>46154</v>
      </c>
      <c r="F1783" s="18" t="n">
        <v>15</v>
      </c>
      <c r="G1783" s="18" t="inlineStr">
        <is>
          <t>INGRESO</t>
        </is>
      </c>
      <c r="H1783" s="18" t="inlineStr">
        <is>
          <t>CLIDAIR, C.A.</t>
        </is>
      </c>
      <c r="I1783" s="45" t="n"/>
      <c r="J1783" s="77" t="n">
        <v>8169.6</v>
      </c>
      <c r="K1783" s="18" t="n"/>
    </row>
    <row r="1784">
      <c r="B1784" s="56" t="inlineStr">
        <is>
          <t>00071-REF</t>
        </is>
      </c>
      <c r="C1784" s="18">
        <f>IFERROR(_xlfn.XLOOKUP(ENTRADAS[[#This Row],[CODIGO]],LISTADO[CODIGOS],LISTADO[CATEGORIA]),"NO EXISTE")</f>
        <v/>
      </c>
      <c r="D1784" s="18">
        <f>IFERROR(_xlfn.XLOOKUP(ENTRADAS[[#This Row],[CODIGO]],LISTADO[CODIGOS],LISTADO[PRODUCTOS]),"NO EXISTE")</f>
        <v/>
      </c>
      <c r="E1784" s="19" t="n">
        <v>46154</v>
      </c>
      <c r="F1784" s="18" t="n">
        <v>15</v>
      </c>
      <c r="G1784" s="18" t="inlineStr">
        <is>
          <t>INGRESO</t>
        </is>
      </c>
      <c r="H1784" s="18" t="inlineStr">
        <is>
          <t>CLIDAIR, C.A.</t>
        </is>
      </c>
      <c r="I1784" s="45" t="n"/>
      <c r="J1784" s="77" t="n">
        <v>3201.6</v>
      </c>
      <c r="K1784" s="18" t="n"/>
    </row>
    <row r="1785">
      <c r="B1785" s="56" t="inlineStr">
        <is>
          <t>00149-REF</t>
        </is>
      </c>
      <c r="C1785" s="18">
        <f>IFERROR(_xlfn.XLOOKUP(ENTRADAS[[#This Row],[CODIGO]],LISTADO[CODIGOS],LISTADO[CATEGORIA]),"NO EXISTE")</f>
        <v/>
      </c>
      <c r="D1785" s="18">
        <f>IFERROR(_xlfn.XLOOKUP(ENTRADAS[[#This Row],[CODIGO]],LISTADO[CODIGOS],LISTADO[PRODUCTOS]),"NO EXISTE")</f>
        <v/>
      </c>
      <c r="E1785" s="19" t="n">
        <v>46154</v>
      </c>
      <c r="F1785" s="18" t="n">
        <v>1</v>
      </c>
      <c r="G1785" s="18" t="inlineStr">
        <is>
          <t>INGRESO</t>
        </is>
      </c>
      <c r="H1785" s="1" t="inlineStr">
        <is>
          <t>REFRIGERACION ORINOCO</t>
        </is>
      </c>
      <c r="I1785" s="45" t="n">
        <v>205</v>
      </c>
      <c r="J1785" s="77" t="n"/>
      <c r="K1785" s="18" t="n"/>
    </row>
    <row r="1786">
      <c r="B1786" s="56" t="inlineStr">
        <is>
          <t>00075-REF</t>
        </is>
      </c>
      <c r="C1786" s="18">
        <f>IFERROR(_xlfn.XLOOKUP(ENTRADAS[[#This Row],[CODIGO]],LISTADO[CODIGOS],LISTADO[CATEGORIA]),"NO EXISTE")</f>
        <v/>
      </c>
      <c r="D1786" s="18">
        <f>IFERROR(_xlfn.XLOOKUP(ENTRADAS[[#This Row],[CODIGO]],LISTADO[CODIGOS],LISTADO[PRODUCTOS]),"NO EXISTE")</f>
        <v/>
      </c>
      <c r="E1786" s="19" t="n">
        <v>46154</v>
      </c>
      <c r="F1786" s="18" t="n">
        <v>3</v>
      </c>
      <c r="G1786" s="18" t="inlineStr">
        <is>
          <t>INGRESO</t>
        </is>
      </c>
      <c r="H1786" s="1" t="inlineStr">
        <is>
          <t>REFRIGERACION ORINOCO</t>
        </is>
      </c>
      <c r="I1786" s="45" t="n">
        <v>2.8</v>
      </c>
      <c r="J1786" s="77" t="n"/>
      <c r="K1786" s="18" t="n"/>
    </row>
    <row r="1787">
      <c r="B1787" s="18" t="inlineStr">
        <is>
          <t>00150-REF</t>
        </is>
      </c>
      <c r="C1787" s="18">
        <f>IFERROR(_xlfn.XLOOKUP(ENTRADAS[[#This Row],[CODIGO]],LISTADO[CODIGOS],LISTADO[CATEGORIA]),"NO EXISTE")</f>
        <v/>
      </c>
      <c r="D1787" s="18">
        <f>IFERROR(_xlfn.XLOOKUP(ENTRADAS[[#This Row],[CODIGO]],LISTADO[CODIGOS],LISTADO[PRODUCTOS]),"NO EXISTE")</f>
        <v/>
      </c>
      <c r="E1787" s="19" t="n">
        <v>46154</v>
      </c>
      <c r="F1787" s="18" t="n">
        <v>1</v>
      </c>
      <c r="G1787" s="18" t="inlineStr">
        <is>
          <t>INGRESO</t>
        </is>
      </c>
      <c r="H1787" s="1" t="inlineStr">
        <is>
          <t>REFRIGERACION ORINOCO</t>
        </is>
      </c>
      <c r="I1787" s="45" t="n">
        <v>70</v>
      </c>
      <c r="J1787" s="77" t="n"/>
      <c r="K1787" s="18" t="n"/>
    </row>
    <row r="1788">
      <c r="B1788" s="56" t="inlineStr">
        <is>
          <t>00142-REF</t>
        </is>
      </c>
      <c r="C1788" s="18">
        <f>IFERROR(_xlfn.XLOOKUP(ENTRADAS[[#This Row],[CODIGO]],LISTADO[CODIGOS],LISTADO[CATEGORIA]),"NO EXISTE")</f>
        <v/>
      </c>
      <c r="D1788" s="18">
        <f>IFERROR(_xlfn.XLOOKUP(ENTRADAS[[#This Row],[CODIGO]],LISTADO[CODIGOS],LISTADO[PRODUCTOS]),"NO EXISTE")</f>
        <v/>
      </c>
      <c r="E1788" s="19" t="n">
        <v>46155</v>
      </c>
      <c r="F1788" s="18" t="n">
        <v>3</v>
      </c>
      <c r="G1788" s="18" t="inlineStr">
        <is>
          <t>INGRESO</t>
        </is>
      </c>
      <c r="H1788" s="18" t="inlineStr">
        <is>
          <t>R.O.C.A</t>
        </is>
      </c>
      <c r="I1788" s="45" t="n">
        <v>10.63</v>
      </c>
      <c r="J1788" s="77" t="n"/>
      <c r="K1788" s="18" t="n"/>
    </row>
    <row r="1789">
      <c r="B1789" s="56" t="inlineStr">
        <is>
          <t>00071-REF</t>
        </is>
      </c>
      <c r="C1789" s="18">
        <f>IFERROR(_xlfn.XLOOKUP(ENTRADAS[[#This Row],[CODIGO]],LISTADO[CODIGOS],LISTADO[CATEGORIA]),"NO EXISTE")</f>
        <v/>
      </c>
      <c r="D1789" s="18">
        <f>IFERROR(_xlfn.XLOOKUP(ENTRADAS[[#This Row],[CODIGO]],LISTADO[CODIGOS],LISTADO[PRODUCTOS]),"NO EXISTE")</f>
        <v/>
      </c>
      <c r="E1789" s="19" t="n">
        <v>46155</v>
      </c>
      <c r="F1789" s="18" t="n">
        <v>15</v>
      </c>
      <c r="G1789" s="18" t="inlineStr">
        <is>
          <t>INGRESO</t>
        </is>
      </c>
      <c r="H1789" s="18" t="inlineStr">
        <is>
          <t>CLIDAIR, C.A.</t>
        </is>
      </c>
      <c r="I1789" s="45" t="n"/>
      <c r="J1789" s="77" t="n">
        <v>3201.6</v>
      </c>
      <c r="K1789" s="18" t="n"/>
    </row>
    <row r="1790">
      <c r="B1790" s="18" t="inlineStr">
        <is>
          <t>00143-REF</t>
        </is>
      </c>
      <c r="C1790" s="18">
        <f>IFERROR(_xlfn.XLOOKUP(ENTRADAS[[#This Row],[CODIGO]],LISTADO[CODIGOS],LISTADO[CATEGORIA]),"NO EXISTE")</f>
        <v/>
      </c>
      <c r="D1790" s="18">
        <f>IFERROR(_xlfn.XLOOKUP(ENTRADAS[[#This Row],[CODIGO]],LISTADO[CODIGOS],LISTADO[PRODUCTOS]),"NO EXISTE")</f>
        <v/>
      </c>
      <c r="E1790" s="19" t="n">
        <v>46155</v>
      </c>
      <c r="F1790" s="18" t="n">
        <v>15</v>
      </c>
      <c r="G1790" s="18" t="inlineStr">
        <is>
          <t>INGRESO</t>
        </is>
      </c>
      <c r="H1790" s="18" t="inlineStr">
        <is>
          <t>CLIDAIR, C.A.</t>
        </is>
      </c>
      <c r="I1790" s="45" t="n"/>
      <c r="J1790" s="77" t="n">
        <v>1945.8</v>
      </c>
      <c r="K1790" s="18" t="n"/>
    </row>
    <row r="1791">
      <c r="B1791" s="18" t="inlineStr">
        <is>
          <t>00026-MSC</t>
        </is>
      </c>
      <c r="C1791" s="18">
        <f>IFERROR(_xlfn.XLOOKUP(ENTRADAS[[#This Row],[CODIGO]],LISTADO[CODIGOS],LISTADO[CATEGORIA]),"NO EXISTE")</f>
        <v/>
      </c>
      <c r="D1791" s="18">
        <f>IFERROR(_xlfn.XLOOKUP(ENTRADAS[[#This Row],[CODIGO]],LISTADO[CODIGOS],LISTADO[PRODUCTOS]),"NO EXISTE")</f>
        <v/>
      </c>
      <c r="E1791" s="19" t="n">
        <v>46155</v>
      </c>
      <c r="F1791" s="18" t="n">
        <v>4</v>
      </c>
      <c r="G1791" s="18" t="inlineStr">
        <is>
          <t>INGRESO</t>
        </is>
      </c>
      <c r="H1791" s="18" t="inlineStr">
        <is>
          <t>KITCHEN BOSS C.A</t>
        </is>
      </c>
      <c r="I1791" s="45" t="n">
        <v>12</v>
      </c>
      <c r="J1791" s="77" t="n"/>
      <c r="K1791" s="18" t="n"/>
    </row>
    <row r="1792">
      <c r="B1792" s="18" t="inlineStr">
        <is>
          <t>00027-MSC</t>
        </is>
      </c>
      <c r="C1792" s="18">
        <f>IFERROR(_xlfn.XLOOKUP(ENTRADAS[[#This Row],[CODIGO]],LISTADO[CODIGOS],LISTADO[CATEGORIA]),"NO EXISTE")</f>
        <v/>
      </c>
      <c r="D1792" s="18">
        <f>IFERROR(_xlfn.XLOOKUP(ENTRADAS[[#This Row],[CODIGO]],LISTADO[CODIGOS],LISTADO[PRODUCTOS]),"NO EXISTE")</f>
        <v/>
      </c>
      <c r="E1792" s="19" t="n">
        <v>46155</v>
      </c>
      <c r="F1792" s="18" t="n">
        <v>2</v>
      </c>
      <c r="G1792" s="18" t="inlineStr">
        <is>
          <t>INGRESO</t>
        </is>
      </c>
      <c r="H1792" s="18" t="inlineStr">
        <is>
          <t>KITCHEN BOSS C.A</t>
        </is>
      </c>
      <c r="I1792" s="45" t="n">
        <v>53</v>
      </c>
      <c r="J1792" s="77" t="n"/>
      <c r="K1792" s="18" t="n"/>
    </row>
    <row r="1793">
      <c r="B1793" s="18" t="inlineStr">
        <is>
          <t>00018-PLM</t>
        </is>
      </c>
      <c r="C1793" s="18">
        <f>IFERROR(_xlfn.XLOOKUP(ENTRADAS[[#This Row],[CODIGO]],LISTADO[CODIGOS],LISTADO[CATEGORIA]),"NO EXISTE")</f>
        <v/>
      </c>
      <c r="D1793" s="18">
        <f>IFERROR(_xlfn.XLOOKUP(ENTRADAS[[#This Row],[CODIGO]],LISTADO[CODIGOS],LISTADO[PRODUCTOS]),"NO EXISTE")</f>
        <v/>
      </c>
      <c r="E1793" s="19" t="n">
        <v>46155</v>
      </c>
      <c r="F1793" s="18" t="n">
        <v>8</v>
      </c>
      <c r="G1793" s="18" t="inlineStr">
        <is>
          <t>INGRESO</t>
        </is>
      </c>
      <c r="H1793" s="1" t="inlineStr">
        <is>
          <t>CENTER MARK</t>
        </is>
      </c>
      <c r="I1793" s="45" t="n"/>
      <c r="J1793" s="77" t="n">
        <v>406.91</v>
      </c>
      <c r="K1793" s="18" t="n">
        <v>508.6</v>
      </c>
    </row>
    <row r="1794">
      <c r="B1794" s="56" t="inlineStr">
        <is>
          <t>00080-FER</t>
        </is>
      </c>
      <c r="C1794" s="18">
        <f>IFERROR(_xlfn.XLOOKUP(ENTRADAS[[#This Row],[CODIGO]],LISTADO[CODIGOS],LISTADO[CATEGORIA]),"NO EXISTE")</f>
        <v/>
      </c>
      <c r="D1794" s="18">
        <f>IFERROR(_xlfn.XLOOKUP(ENTRADAS[[#This Row],[CODIGO]],LISTADO[CODIGOS],LISTADO[PRODUCTOS]),"NO EXISTE")</f>
        <v/>
      </c>
      <c r="E1794" s="19" t="n">
        <v>46155</v>
      </c>
      <c r="F1794" s="18" t="n">
        <v>1</v>
      </c>
      <c r="G1794" s="18" t="inlineStr">
        <is>
          <t>INGRESO</t>
        </is>
      </c>
      <c r="H1794" s="1" t="inlineStr">
        <is>
          <t>CENTER MARK</t>
        </is>
      </c>
      <c r="I1794" s="45" t="n"/>
      <c r="J1794" s="77" t="n">
        <v>5086.01</v>
      </c>
      <c r="K1794" s="18" t="n">
        <v>508.6</v>
      </c>
    </row>
    <row r="1795">
      <c r="B1795" s="18" t="inlineStr">
        <is>
          <t>00040-PLM</t>
        </is>
      </c>
      <c r="C1795" s="18">
        <f>IFERROR(_xlfn.XLOOKUP(ENTRADAS[[#This Row],[CODIGO]],LISTADO[CODIGOS],LISTADO[CATEGORIA]),"NO EXISTE")</f>
        <v/>
      </c>
      <c r="D1795" s="18">
        <f>IFERROR(_xlfn.XLOOKUP(ENTRADAS[[#This Row],[CODIGO]],LISTADO[CODIGOS],LISTADO[PRODUCTOS]),"NO EXISTE")</f>
        <v/>
      </c>
      <c r="E1795" s="19" t="n">
        <v>46155</v>
      </c>
      <c r="F1795" s="18" t="n">
        <v>3</v>
      </c>
      <c r="G1795" s="18" t="inlineStr">
        <is>
          <t>INGRESO</t>
        </is>
      </c>
      <c r="H1795" s="1" t="inlineStr">
        <is>
          <t>CENTER MARK</t>
        </is>
      </c>
      <c r="I1795" s="45" t="n"/>
      <c r="J1795" s="77" t="n">
        <v>1695.33666666666</v>
      </c>
      <c r="K1795" s="18" t="n">
        <v>508.6</v>
      </c>
    </row>
    <row r="1796">
      <c r="B1796" s="18" t="inlineStr">
        <is>
          <t>00075-ELE</t>
        </is>
      </c>
      <c r="C1796" s="18">
        <f>IFERROR(_xlfn.XLOOKUP(ENTRADAS[[#This Row],[CODIGO]],LISTADO[CODIGOS],LISTADO[CATEGORIA]),"NO EXISTE")</f>
        <v/>
      </c>
      <c r="D1796" s="18">
        <f>IFERROR(_xlfn.XLOOKUP(ENTRADAS[[#This Row],[CODIGO]],LISTADO[CODIGOS],LISTADO[PRODUCTOS]),"NO EXISTE")</f>
        <v/>
      </c>
      <c r="E1796" s="19" t="n">
        <v>46155</v>
      </c>
      <c r="F1796" s="18" t="n">
        <v>300</v>
      </c>
      <c r="G1796" s="18" t="inlineStr">
        <is>
          <t>INGRESO</t>
        </is>
      </c>
      <c r="H1796" s="1" t="inlineStr">
        <is>
          <t>CABLESELEC, C.A.</t>
        </is>
      </c>
      <c r="I1796" s="45" t="n">
        <v>0.8</v>
      </c>
      <c r="J1796" s="77" t="n"/>
      <c r="K1796" s="18" t="n"/>
    </row>
    <row r="1797">
      <c r="B1797" s="18" t="inlineStr">
        <is>
          <t>00066-ELE</t>
        </is>
      </c>
      <c r="C1797" s="18">
        <f>IFERROR(_xlfn.XLOOKUP(ENTRADAS[[#This Row],[CODIGO]],LISTADO[CODIGOS],LISTADO[CATEGORIA]),"NO EXISTE")</f>
        <v/>
      </c>
      <c r="D1797" s="18">
        <f>IFERROR(_xlfn.XLOOKUP(ENTRADAS[[#This Row],[CODIGO]],LISTADO[CODIGOS],LISTADO[PRODUCTOS]),"NO EXISTE")</f>
        <v/>
      </c>
      <c r="E1797" s="19" t="n">
        <v>46155</v>
      </c>
      <c r="F1797" s="18" t="n">
        <v>300</v>
      </c>
      <c r="G1797" s="18" t="inlineStr">
        <is>
          <t>INGRESO</t>
        </is>
      </c>
      <c r="H1797" s="1" t="inlineStr">
        <is>
          <t>CABLESELEC, C.A.</t>
        </is>
      </c>
      <c r="I1797" s="45" t="n">
        <v>0.8</v>
      </c>
      <c r="J1797" s="77" t="n"/>
      <c r="K1797" s="18" t="n"/>
    </row>
    <row r="1798">
      <c r="B1798" s="18" t="inlineStr">
        <is>
          <t>00089-ELE</t>
        </is>
      </c>
      <c r="C1798" s="18">
        <f>IFERROR(_xlfn.XLOOKUP(ENTRADAS[[#This Row],[CODIGO]],LISTADO[CODIGOS],LISTADO[CATEGORIA]),"NO EXISTE")</f>
        <v/>
      </c>
      <c r="D1798" s="18">
        <f>IFERROR(_xlfn.XLOOKUP(ENTRADAS[[#This Row],[CODIGO]],LISTADO[CODIGOS],LISTADO[PRODUCTOS]),"NO EXISTE")</f>
        <v/>
      </c>
      <c r="E1798" s="19" t="n">
        <v>46155</v>
      </c>
      <c r="F1798" s="18" t="n">
        <v>400</v>
      </c>
      <c r="G1798" s="18" t="inlineStr">
        <is>
          <t>INGRESO</t>
        </is>
      </c>
      <c r="H1798" s="1" t="inlineStr">
        <is>
          <t>CABLESELEC, C.A.</t>
        </is>
      </c>
      <c r="I1798" s="45" t="n">
        <v>0.8</v>
      </c>
      <c r="J1798" s="77" t="n"/>
      <c r="K1798" s="18" t="n"/>
    </row>
    <row r="1799">
      <c r="B1799" s="56" t="inlineStr">
        <is>
          <t>00127-FER</t>
        </is>
      </c>
      <c r="C1799" s="18">
        <f>IFERROR(_xlfn.XLOOKUP(ENTRADAS[[#This Row],[CODIGO]],LISTADO[CODIGOS],LISTADO[CATEGORIA]),"NO EXISTE")</f>
        <v/>
      </c>
      <c r="D1799" s="18">
        <f>IFERROR(_xlfn.XLOOKUP(ENTRADAS[[#This Row],[CODIGO]],LISTADO[CODIGOS],LISTADO[PRODUCTOS]),"NO EXISTE")</f>
        <v/>
      </c>
      <c r="E1799" s="19" t="n">
        <v>46156</v>
      </c>
      <c r="F1799" s="18" t="n">
        <v>2</v>
      </c>
      <c r="G1799" s="18" t="inlineStr">
        <is>
          <t>INGRESO</t>
        </is>
      </c>
      <c r="H1799" s="18" t="inlineStr">
        <is>
          <t>R.O.C.A</t>
        </is>
      </c>
      <c r="I1799" s="45" t="n">
        <v>10.63</v>
      </c>
      <c r="J1799" s="77" t="n"/>
      <c r="K1799" s="18" t="n"/>
    </row>
    <row r="1800">
      <c r="B1800" s="56" t="inlineStr">
        <is>
          <t>00024-ELC</t>
        </is>
      </c>
      <c r="C1800" s="18">
        <f>IFERROR(_xlfn.XLOOKUP(ENTRADAS[[#This Row],[CODIGO]],LISTADO[CODIGOS],LISTADO[CATEGORIA]),"NO EXISTE")</f>
        <v/>
      </c>
      <c r="D1800" s="18">
        <f>IFERROR(_xlfn.XLOOKUP(ENTRADAS[[#This Row],[CODIGO]],LISTADO[CODIGOS],LISTADO[PRODUCTOS]),"NO EXISTE")</f>
        <v/>
      </c>
      <c r="E1800" s="19" t="n">
        <v>46156</v>
      </c>
      <c r="F1800" s="18" t="n">
        <v>2</v>
      </c>
      <c r="G1800" s="18" t="inlineStr">
        <is>
          <t>INGRESO</t>
        </is>
      </c>
      <c r="H1800" s="18" t="inlineStr">
        <is>
          <t>ROCCIA DE VENEZUELA</t>
        </is>
      </c>
      <c r="I1800" s="45" t="n">
        <v>26</v>
      </c>
      <c r="J1800" s="77" t="n"/>
      <c r="K1800" s="18" t="n"/>
    </row>
    <row r="1801">
      <c r="B1801" s="18" t="inlineStr">
        <is>
          <t>00083-ELC</t>
        </is>
      </c>
      <c r="C1801" s="18">
        <f>IFERROR(_xlfn.XLOOKUP(ENTRADAS[[#This Row],[CODIGO]],LISTADO[CODIGOS],LISTADO[CATEGORIA]),"NO EXISTE")</f>
        <v/>
      </c>
      <c r="D1801" s="18">
        <f>IFERROR(_xlfn.XLOOKUP(ENTRADAS[[#This Row],[CODIGO]],LISTADO[CODIGOS],LISTADO[PRODUCTOS]),"NO EXISTE")</f>
        <v/>
      </c>
      <c r="E1801" s="19" t="n">
        <v>46156</v>
      </c>
      <c r="F1801" s="18" t="n">
        <v>1</v>
      </c>
      <c r="G1801" s="18" t="inlineStr">
        <is>
          <t>INGRESO</t>
        </is>
      </c>
      <c r="H1801" s="18" t="inlineStr">
        <is>
          <t>ROCCIA DE VENEZUELA</t>
        </is>
      </c>
      <c r="I1801" s="45" t="n">
        <v>119.35</v>
      </c>
      <c r="J1801" s="77" t="n"/>
      <c r="K1801" s="18" t="n"/>
    </row>
    <row r="1802">
      <c r="B1802" s="18" t="inlineStr">
        <is>
          <t>00130-HER</t>
        </is>
      </c>
      <c r="C1802" s="18">
        <f>IFERROR(_xlfn.XLOOKUP(ENTRADAS[[#This Row],[CODIGO]],LISTADO[CODIGOS],LISTADO[CATEGORIA]),"NO EXISTE")</f>
        <v/>
      </c>
      <c r="D1802" s="18">
        <f>IFERROR(_xlfn.XLOOKUP(ENTRADAS[[#This Row],[CODIGO]],LISTADO[CODIGOS],LISTADO[PRODUCTOS]),"NO EXISTE")</f>
        <v/>
      </c>
      <c r="E1802" s="19" t="n">
        <v>46156</v>
      </c>
      <c r="F1802" s="18" t="n">
        <v>4</v>
      </c>
      <c r="G1802" s="18" t="inlineStr">
        <is>
          <t>INGRESO</t>
        </is>
      </c>
      <c r="H1802" s="18" t="inlineStr">
        <is>
          <t>FERRE TALIA, C.A.</t>
        </is>
      </c>
      <c r="I1802" s="45" t="n"/>
      <c r="J1802" s="77" t="n">
        <v>766.16</v>
      </c>
      <c r="K1802" s="18" t="n"/>
    </row>
    <row r="1803">
      <c r="B1803" s="56" t="inlineStr">
        <is>
          <t>00007-HRR</t>
        </is>
      </c>
      <c r="C1803" s="18">
        <f>IFERROR(_xlfn.XLOOKUP(ENTRADAS[[#This Row],[CODIGO]],LISTADO[CODIGOS],LISTADO[CATEGORIA]),"NO EXISTE")</f>
        <v/>
      </c>
      <c r="D1803" s="18">
        <f>IFERROR(_xlfn.XLOOKUP(ENTRADAS[[#This Row],[CODIGO]],LISTADO[CODIGOS],LISTADO[PRODUCTOS]),"NO EXISTE")</f>
        <v/>
      </c>
      <c r="E1803" s="19" t="n">
        <v>46156</v>
      </c>
      <c r="F1803" s="18" t="n">
        <v>10</v>
      </c>
      <c r="G1803" s="18" t="inlineStr">
        <is>
          <t>INGRESO</t>
        </is>
      </c>
      <c r="H1803" s="18" t="inlineStr">
        <is>
          <t>FERRE TALIA, C.A.</t>
        </is>
      </c>
      <c r="I1803" s="45" t="n"/>
      <c r="J1803" s="77" t="n">
        <v>689.5700000000001</v>
      </c>
      <c r="K1803" s="18" t="n"/>
    </row>
    <row r="1804">
      <c r="B1804" s="18" t="inlineStr">
        <is>
          <t>00236-FER</t>
        </is>
      </c>
      <c r="C1804" s="18">
        <f>IFERROR(_xlfn.XLOOKUP(ENTRADAS[[#This Row],[CODIGO]],LISTADO[CODIGOS],LISTADO[CATEGORIA]),"NO EXISTE")</f>
        <v/>
      </c>
      <c r="D1804" s="18">
        <f>IFERROR(_xlfn.XLOOKUP(ENTRADAS[[#This Row],[CODIGO]],LISTADO[CODIGOS],LISTADO[PRODUCTOS]),"NO EXISTE")</f>
        <v/>
      </c>
      <c r="E1804" s="19" t="n">
        <v>46156</v>
      </c>
      <c r="F1804" s="18" t="n">
        <v>1</v>
      </c>
      <c r="G1804" s="18" t="inlineStr">
        <is>
          <t>INGRESO</t>
        </is>
      </c>
      <c r="H1804" s="18" t="inlineStr">
        <is>
          <t>FERRE TALIA, C.A.</t>
        </is>
      </c>
      <c r="I1804" s="45" t="n"/>
      <c r="J1804" s="77" t="n">
        <v>2814.45</v>
      </c>
      <c r="K1804" s="18" t="n"/>
    </row>
    <row r="1805">
      <c r="B1805" s="18" t="inlineStr">
        <is>
          <t>00131-HER</t>
        </is>
      </c>
      <c r="C1805" s="18">
        <f>IFERROR(_xlfn.XLOOKUP(ENTRADAS[[#This Row],[CODIGO]],LISTADO[CODIGOS],LISTADO[CATEGORIA]),"NO EXISTE")</f>
        <v/>
      </c>
      <c r="D1805" s="18">
        <f>IFERROR(_xlfn.XLOOKUP(ENTRADAS[[#This Row],[CODIGO]],LISTADO[CODIGOS],LISTADO[PRODUCTOS]),"NO EXISTE")</f>
        <v/>
      </c>
      <c r="E1805" s="19" t="n">
        <v>46156</v>
      </c>
      <c r="F1805" s="18" t="n">
        <v>6</v>
      </c>
      <c r="G1805" s="18" t="inlineStr">
        <is>
          <t>INGRESO</t>
        </is>
      </c>
      <c r="H1805" s="18" t="inlineStr">
        <is>
          <t>FERRE TALIA, C.A.</t>
        </is>
      </c>
      <c r="I1805" s="45" t="n"/>
      <c r="J1805" s="77" t="n">
        <v>7656.74</v>
      </c>
      <c r="K1805" s="18" t="n"/>
    </row>
    <row r="1806">
      <c r="B1806" s="18" t="inlineStr">
        <is>
          <t>00132-HER</t>
        </is>
      </c>
      <c r="C1806" s="18">
        <f>IFERROR(_xlfn.XLOOKUP(ENTRADAS[[#This Row],[CODIGO]],LISTADO[CODIGOS],LISTADO[CATEGORIA]),"NO EXISTE")</f>
        <v/>
      </c>
      <c r="D1806" s="18">
        <f>IFERROR(_xlfn.XLOOKUP(ENTRADAS[[#This Row],[CODIGO]],LISTADO[CODIGOS],LISTADO[PRODUCTOS]),"NO EXISTE")</f>
        <v/>
      </c>
      <c r="E1806" s="19" t="n">
        <v>46156</v>
      </c>
      <c r="F1806" s="18" t="n">
        <v>6</v>
      </c>
      <c r="G1806" s="18" t="inlineStr">
        <is>
          <t>INGRESO</t>
        </is>
      </c>
      <c r="H1806" s="18" t="inlineStr">
        <is>
          <t>FERRE TALIA, C.A.</t>
        </is>
      </c>
      <c r="I1806" s="45" t="n"/>
      <c r="J1806" s="77" t="n">
        <v>1282.08</v>
      </c>
      <c r="K1806" s="18" t="n"/>
    </row>
    <row r="1807">
      <c r="B1807" s="18" t="inlineStr">
        <is>
          <t>00141-FER</t>
        </is>
      </c>
      <c r="C1807" s="18">
        <f>IFERROR(_xlfn.XLOOKUP(ENTRADAS[[#This Row],[CODIGO]],LISTADO[CODIGOS],LISTADO[CATEGORIA]),"NO EXISTE")</f>
        <v/>
      </c>
      <c r="D1807" s="18">
        <f>IFERROR(_xlfn.XLOOKUP(ENTRADAS[[#This Row],[CODIGO]],LISTADO[CODIGOS],LISTADO[PRODUCTOS]),"NO EXISTE")</f>
        <v/>
      </c>
      <c r="E1807" s="19" t="n">
        <v>46156</v>
      </c>
      <c r="F1807" s="18" t="n">
        <v>400</v>
      </c>
      <c r="G1807" s="18" t="inlineStr">
        <is>
          <t>INGRESO</t>
        </is>
      </c>
      <c r="H1807" s="18" t="inlineStr">
        <is>
          <t>FERRE TALIA, C.A.</t>
        </is>
      </c>
      <c r="I1807" s="45" t="n"/>
      <c r="J1807" s="77" t="n">
        <v>42.114625</v>
      </c>
      <c r="K1807" s="18" t="n"/>
    </row>
    <row r="1808">
      <c r="B1808" s="18" t="inlineStr">
        <is>
          <t>00229-FER</t>
        </is>
      </c>
      <c r="C1808" s="18">
        <f>IFERROR(_xlfn.XLOOKUP(ENTRADAS[[#This Row],[CODIGO]],LISTADO[CODIGOS],LISTADO[CATEGORIA]),"NO EXISTE")</f>
        <v/>
      </c>
      <c r="D1808" s="18">
        <f>IFERROR(_xlfn.XLOOKUP(ENTRADAS[[#This Row],[CODIGO]],LISTADO[CODIGOS],LISTADO[PRODUCTOS]),"NO EXISTE")</f>
        <v/>
      </c>
      <c r="E1808" s="19" t="n">
        <v>46156</v>
      </c>
      <c r="F1808" s="18" t="n">
        <v>70</v>
      </c>
      <c r="G1808" s="18" t="inlineStr">
        <is>
          <t>INGRESO</t>
        </is>
      </c>
      <c r="H1808" s="18" t="inlineStr">
        <is>
          <t>FERRE TALIA, C.A.</t>
        </is>
      </c>
      <c r="I1808" s="45" t="n"/>
      <c r="J1808" s="77" t="n">
        <v>413.74</v>
      </c>
      <c r="K1808" s="18" t="n"/>
    </row>
    <row r="1809">
      <c r="B1809" s="18" t="inlineStr">
        <is>
          <t>00089-FER</t>
        </is>
      </c>
      <c r="C1809" s="18">
        <f>IFERROR(_xlfn.XLOOKUP(ENTRADAS[[#This Row],[CODIGO]],LISTADO[CODIGOS],LISTADO[CATEGORIA]),"NO EXISTE")</f>
        <v/>
      </c>
      <c r="D1809" s="18">
        <f>IFERROR(_xlfn.XLOOKUP(ENTRADAS[[#This Row],[CODIGO]],LISTADO[CODIGOS],LISTADO[PRODUCTOS]),"NO EXISTE")</f>
        <v/>
      </c>
      <c r="E1809" s="19" t="n">
        <v>46156</v>
      </c>
      <c r="F1809" s="18" t="n">
        <v>10</v>
      </c>
      <c r="G1809" s="18" t="inlineStr">
        <is>
          <t>INGRESO</t>
        </is>
      </c>
      <c r="H1809" s="18" t="inlineStr">
        <is>
          <t>FERRE TALIA, C.A.</t>
        </is>
      </c>
      <c r="I1809" s="45" t="n"/>
      <c r="J1809" s="77" t="n">
        <v>2497.76</v>
      </c>
      <c r="K1809" s="18" t="n"/>
    </row>
    <row r="1810">
      <c r="B1810" s="56" t="inlineStr">
        <is>
          <t>00237-FER</t>
        </is>
      </c>
      <c r="C1810" s="18">
        <f>IFERROR(_xlfn.XLOOKUP(ENTRADAS[[#This Row],[CODIGO]],LISTADO[CODIGOS],LISTADO[CATEGORIA]),"NO EXISTE")</f>
        <v/>
      </c>
      <c r="D1810" s="18">
        <f>IFERROR(_xlfn.XLOOKUP(ENTRADAS[[#This Row],[CODIGO]],LISTADO[CODIGOS],LISTADO[PRODUCTOS]),"NO EXISTE")</f>
        <v/>
      </c>
      <c r="E1810" s="19" t="n">
        <v>46156</v>
      </c>
      <c r="F1810" s="18" t="n">
        <v>1500</v>
      </c>
      <c r="G1810" s="18" t="inlineStr">
        <is>
          <t>INGRESO</t>
        </is>
      </c>
      <c r="H1810" s="18" t="inlineStr">
        <is>
          <t>FERRE TALIA, C.A.</t>
        </is>
      </c>
      <c r="I1810" s="45" t="n"/>
      <c r="J1810" s="77" t="n">
        <v>22.9856</v>
      </c>
      <c r="K1810" s="18" t="n"/>
    </row>
    <row r="1811">
      <c r="B1811" s="18" t="inlineStr">
        <is>
          <t>00238-FER</t>
        </is>
      </c>
      <c r="C1811" s="18">
        <f>IFERROR(_xlfn.XLOOKUP(ENTRADAS[[#This Row],[CODIGO]],LISTADO[CODIGOS],LISTADO[CATEGORIA]),"NO EXISTE")</f>
        <v/>
      </c>
      <c r="D1811" s="18">
        <f>IFERROR(_xlfn.XLOOKUP(ENTRADAS[[#This Row],[CODIGO]],LISTADO[CODIGOS],LISTADO[PRODUCTOS]),"NO EXISTE")</f>
        <v/>
      </c>
      <c r="E1811" s="19" t="n">
        <v>46156</v>
      </c>
      <c r="F1811" s="18" t="n">
        <v>600</v>
      </c>
      <c r="G1811" s="18" t="inlineStr">
        <is>
          <t>INGRESO</t>
        </is>
      </c>
      <c r="H1811" s="18" t="inlineStr">
        <is>
          <t>FERRE TALIA, C.A.</t>
        </is>
      </c>
      <c r="I1811" s="45" t="n"/>
      <c r="J1811" s="77" t="n">
        <v>21.2744</v>
      </c>
      <c r="K1811" s="18" t="n"/>
    </row>
    <row r="1812">
      <c r="B1812" s="18" t="inlineStr">
        <is>
          <t>00239-FER</t>
        </is>
      </c>
      <c r="C1812" s="18">
        <f>IFERROR(_xlfn.XLOOKUP(ENTRADAS[[#This Row],[CODIGO]],LISTADO[CODIGOS],LISTADO[CATEGORIA]),"NO EXISTE")</f>
        <v/>
      </c>
      <c r="D1812" s="18">
        <f>IFERROR(_xlfn.XLOOKUP(ENTRADAS[[#This Row],[CODIGO]],LISTADO[CODIGOS],LISTADO[PRODUCTOS]),"NO EXISTE")</f>
        <v/>
      </c>
      <c r="E1812" s="19" t="n">
        <v>46156</v>
      </c>
      <c r="F1812" s="18" t="n">
        <v>500</v>
      </c>
      <c r="G1812" s="18" t="inlineStr">
        <is>
          <t>INGRESO</t>
        </is>
      </c>
      <c r="H1812" s="18" t="inlineStr">
        <is>
          <t>FERRE TALIA, C.A.</t>
        </is>
      </c>
      <c r="I1812" s="45" t="n"/>
      <c r="J1812" s="77" t="n">
        <v>21.2744</v>
      </c>
      <c r="K1812" s="18" t="n"/>
    </row>
    <row r="1813">
      <c r="B1813" s="56" t="inlineStr">
        <is>
          <t>00033-FER</t>
        </is>
      </c>
      <c r="C1813" s="18">
        <f>IFERROR(_xlfn.XLOOKUP(ENTRADAS[[#This Row],[CODIGO]],LISTADO[CODIGOS],LISTADO[CATEGORIA]),"NO EXISTE")</f>
        <v/>
      </c>
      <c r="D1813" s="18">
        <f>IFERROR(_xlfn.XLOOKUP(ENTRADAS[[#This Row],[CODIGO]],LISTADO[CODIGOS],LISTADO[PRODUCTOS]),"NO EXISTE")</f>
        <v/>
      </c>
      <c r="E1813" s="19" t="n">
        <v>46156</v>
      </c>
      <c r="F1813" s="18" t="n">
        <v>1</v>
      </c>
      <c r="G1813" s="18" t="inlineStr">
        <is>
          <t>INGRESO</t>
        </is>
      </c>
      <c r="H1813" s="18" t="inlineStr">
        <is>
          <t>PINTURAS IPM, C.A</t>
        </is>
      </c>
      <c r="I1813" s="45" t="n">
        <v>91</v>
      </c>
      <c r="J1813" s="77" t="n"/>
      <c r="K1813" s="18" t="n"/>
    </row>
    <row r="1814">
      <c r="B1814" s="56" t="inlineStr">
        <is>
          <t>00046-FER</t>
        </is>
      </c>
      <c r="C1814" s="18">
        <f>IFERROR(_xlfn.XLOOKUP(ENTRADAS[[#This Row],[CODIGO]],LISTADO[CODIGOS],LISTADO[CATEGORIA]),"NO EXISTE")</f>
        <v/>
      </c>
      <c r="D1814" s="18">
        <f>IFERROR(_xlfn.XLOOKUP(ENTRADAS[[#This Row],[CODIGO]],LISTADO[CODIGOS],LISTADO[PRODUCTOS]),"NO EXISTE")</f>
        <v/>
      </c>
      <c r="E1814" s="19" t="n">
        <v>46156</v>
      </c>
      <c r="F1814" s="18" t="n">
        <v>8</v>
      </c>
      <c r="G1814" s="18" t="inlineStr">
        <is>
          <t>INGRESO</t>
        </is>
      </c>
      <c r="H1814" s="18" t="inlineStr">
        <is>
          <t>PINTURAS IPM, C.A</t>
        </is>
      </c>
      <c r="I1814" s="45" t="n">
        <v>33</v>
      </c>
      <c r="J1814" s="77" t="n"/>
      <c r="K1814" s="18" t="n"/>
    </row>
    <row r="1815">
      <c r="B1815" s="18" t="inlineStr">
        <is>
          <t>00057-ILU</t>
        </is>
      </c>
      <c r="C1815" s="18">
        <f>IFERROR(_xlfn.XLOOKUP(ENTRADAS[[#This Row],[CODIGO]],LISTADO[CODIGOS],LISTADO[CATEGORIA]),"NO EXISTE")</f>
        <v/>
      </c>
      <c r="D1815" s="18">
        <f>IFERROR(_xlfn.XLOOKUP(ENTRADAS[[#This Row],[CODIGO]],LISTADO[CODIGOS],LISTADO[PRODUCTOS]),"NO EXISTE")</f>
        <v/>
      </c>
      <c r="E1815" s="19" t="n">
        <v>46156</v>
      </c>
      <c r="F1815" s="18" t="n">
        <v>4</v>
      </c>
      <c r="G1815" s="18" t="inlineStr">
        <is>
          <t>INGRESO</t>
        </is>
      </c>
      <c r="H1815" s="18" t="inlineStr">
        <is>
          <t>REVESTIMIENTO GLOVAL</t>
        </is>
      </c>
      <c r="I1815" s="45" t="n">
        <v>31</v>
      </c>
      <c r="J1815" s="77" t="n"/>
      <c r="K1815" s="18" t="n">
        <v>675</v>
      </c>
    </row>
    <row r="1816">
      <c r="B1816" s="56" t="inlineStr">
        <is>
          <t>00050-HRR</t>
        </is>
      </c>
      <c r="C1816" s="18">
        <f>IFERROR(_xlfn.XLOOKUP(ENTRADAS[[#This Row],[CODIGO]],LISTADO[CODIGOS],LISTADO[CATEGORIA]),"NO EXISTE")</f>
        <v/>
      </c>
      <c r="D1816" s="18">
        <f>IFERROR(_xlfn.XLOOKUP(ENTRADAS[[#This Row],[CODIGO]],LISTADO[CODIGOS],LISTADO[PRODUCTOS]),"NO EXISTE")</f>
        <v/>
      </c>
      <c r="E1816" s="19" t="n">
        <v>46156</v>
      </c>
      <c r="F1816" s="18" t="n">
        <v>400</v>
      </c>
      <c r="G1816" s="18" t="inlineStr">
        <is>
          <t>INGRESO</t>
        </is>
      </c>
      <c r="H1816" s="1" t="inlineStr">
        <is>
          <t>FERREACEVAL, C.A</t>
        </is>
      </c>
      <c r="I1816" s="45" t="n"/>
      <c r="J1816" s="77" t="n">
        <v>6603.3</v>
      </c>
      <c r="K1816" s="18" t="n"/>
    </row>
    <row r="1817">
      <c r="B1817" s="18" t="inlineStr">
        <is>
          <t>00054-PLM</t>
        </is>
      </c>
      <c r="C1817" s="18">
        <f>IFERROR(_xlfn.XLOOKUP(ENTRADAS[[#This Row],[CODIGO]],LISTADO[CODIGOS],LISTADO[CATEGORIA]),"NO EXISTE")</f>
        <v/>
      </c>
      <c r="D1817" s="18">
        <f>IFERROR(_xlfn.XLOOKUP(ENTRADAS[[#This Row],[CODIGO]],LISTADO[CODIGOS],LISTADO[PRODUCTOS]),"NO EXISTE")</f>
        <v/>
      </c>
      <c r="E1817" s="19" t="n">
        <v>46156</v>
      </c>
      <c r="F1817" s="18" t="n">
        <v>1</v>
      </c>
      <c r="G1817" s="18" t="inlineStr">
        <is>
          <t>INGRESO</t>
        </is>
      </c>
      <c r="H1817" s="1" t="inlineStr">
        <is>
          <t>EUROMUNDO 2021, C.A.</t>
        </is>
      </c>
      <c r="I1817" s="45" t="n"/>
      <c r="J1817" s="77" t="n"/>
      <c r="K1817" s="18" t="n"/>
    </row>
    <row r="1818">
      <c r="B1818" s="56" t="inlineStr">
        <is>
          <t>00079-FER</t>
        </is>
      </c>
      <c r="C1818" s="18">
        <f>IFERROR(_xlfn.XLOOKUP(ENTRADAS[[#This Row],[CODIGO]],LISTADO[CODIGOS],LISTADO[CATEGORIA]),"NO EXISTE")</f>
        <v/>
      </c>
      <c r="D1818" s="18">
        <f>IFERROR(_xlfn.XLOOKUP(ENTRADAS[[#This Row],[CODIGO]],LISTADO[CODIGOS],LISTADO[PRODUCTOS]),"NO EXISTE")</f>
        <v/>
      </c>
      <c r="E1818" s="19" t="n">
        <v>46156</v>
      </c>
      <c r="F1818" s="18" t="n">
        <v>1</v>
      </c>
      <c r="G1818" s="18" t="inlineStr">
        <is>
          <t>INGRESO</t>
        </is>
      </c>
      <c r="H1818" s="1" t="inlineStr">
        <is>
          <t>EUROMUNDO 2021, C.A.</t>
        </is>
      </c>
      <c r="I1818" s="45" t="n"/>
      <c r="J1818" s="77" t="n"/>
      <c r="K1818" s="18" t="n"/>
    </row>
    <row r="1819">
      <c r="B1819" s="56" t="inlineStr">
        <is>
          <t>00242-FER</t>
        </is>
      </c>
      <c r="C1819" s="18">
        <f>IFERROR(_xlfn.XLOOKUP(ENTRADAS[[#This Row],[CODIGO]],LISTADO[CODIGOS],LISTADO[CATEGORIA]),"NO EXISTE")</f>
        <v/>
      </c>
      <c r="D1819" s="18">
        <f>IFERROR(_xlfn.XLOOKUP(ENTRADAS[[#This Row],[CODIGO]],LISTADO[CODIGOS],LISTADO[PRODUCTOS]),"NO EXISTE")</f>
        <v/>
      </c>
      <c r="E1819" s="19" t="n">
        <v>46156</v>
      </c>
      <c r="F1819" s="18" t="n">
        <v>15</v>
      </c>
      <c r="G1819" s="18" t="inlineStr">
        <is>
          <t>INGRESO</t>
        </is>
      </c>
      <c r="H1819" s="1" t="inlineStr">
        <is>
          <t>CONTROL SOLAR Y ACCESORIOS</t>
        </is>
      </c>
      <c r="I1819" s="45" t="n">
        <v>20</v>
      </c>
      <c r="J1819" s="77" t="n"/>
      <c r="K1819" s="18" t="n"/>
    </row>
    <row r="1820">
      <c r="B1820" s="18" t="inlineStr">
        <is>
          <t>00114-HER</t>
        </is>
      </c>
      <c r="C1820" s="18">
        <f>IFERROR(_xlfn.XLOOKUP(ENTRADAS[[#This Row],[CODIGO]],LISTADO[CODIGOS],LISTADO[CATEGORIA]),"NO EXISTE")</f>
        <v/>
      </c>
      <c r="D1820" s="18">
        <f>IFERROR(_xlfn.XLOOKUP(ENTRADAS[[#This Row],[CODIGO]],LISTADO[CODIGOS],LISTADO[PRODUCTOS]),"NO EXISTE")</f>
        <v/>
      </c>
      <c r="E1820" s="19" t="n">
        <v>46157</v>
      </c>
      <c r="F1820" s="18" t="n">
        <v>60</v>
      </c>
      <c r="G1820" s="18" t="inlineStr">
        <is>
          <t>INGRESO</t>
        </is>
      </c>
      <c r="H1820" s="18" t="inlineStr">
        <is>
          <t>R.O.C.A</t>
        </is>
      </c>
      <c r="I1820" s="45" t="n">
        <v>0.86</v>
      </c>
      <c r="J1820" s="77" t="n"/>
      <c r="K1820" s="18" t="n"/>
    </row>
    <row r="1821">
      <c r="B1821" s="18" t="inlineStr">
        <is>
          <t>00023-MSC</t>
        </is>
      </c>
      <c r="C1821" s="18">
        <f>IFERROR(_xlfn.XLOOKUP(ENTRADAS[[#This Row],[CODIGO]],LISTADO[CODIGOS],LISTADO[CATEGORIA]),"NO EXISTE")</f>
        <v/>
      </c>
      <c r="D1821" s="18">
        <f>IFERROR(_xlfn.XLOOKUP(ENTRADAS[[#This Row],[CODIGO]],LISTADO[CODIGOS],LISTADO[PRODUCTOS]),"NO EXISTE")</f>
        <v/>
      </c>
      <c r="E1821" s="19" t="n">
        <v>46157</v>
      </c>
      <c r="F1821" s="18" t="n">
        <v>20</v>
      </c>
      <c r="G1821" s="18" t="inlineStr">
        <is>
          <t>INGRESO</t>
        </is>
      </c>
      <c r="H1821" s="18" t="n"/>
      <c r="I1821" s="45" t="n"/>
      <c r="J1821" s="77" t="n"/>
      <c r="K1821" s="18" t="n"/>
    </row>
    <row r="1822">
      <c r="B1822" s="18" t="inlineStr">
        <is>
          <t>00023-MSC</t>
        </is>
      </c>
      <c r="C1822" s="18">
        <f>IFERROR(_xlfn.XLOOKUP(ENTRADAS[[#This Row],[CODIGO]],LISTADO[CODIGOS],LISTADO[CATEGORIA]),"NO EXISTE")</f>
        <v/>
      </c>
      <c r="D1822" s="18">
        <f>IFERROR(_xlfn.XLOOKUP(ENTRADAS[[#This Row],[CODIGO]],LISTADO[CODIGOS],LISTADO[PRODUCTOS]),"NO EXISTE")</f>
        <v/>
      </c>
      <c r="E1822" s="19" t="n">
        <v>46157</v>
      </c>
      <c r="F1822" s="18" t="n">
        <v>20</v>
      </c>
      <c r="G1822" s="18" t="inlineStr">
        <is>
          <t>INGRESO</t>
        </is>
      </c>
      <c r="H1822" s="18" t="n"/>
      <c r="I1822" s="45" t="n"/>
      <c r="J1822" s="77" t="n"/>
      <c r="K1822" s="18" t="n"/>
    </row>
    <row r="1823">
      <c r="B1823" s="18" t="inlineStr">
        <is>
          <t>00084-ELC</t>
        </is>
      </c>
      <c r="C1823" s="18">
        <f>IFERROR(_xlfn.XLOOKUP(ENTRADAS[[#This Row],[CODIGO]],LISTADO[CODIGOS],LISTADO[CATEGORIA]),"NO EXISTE")</f>
        <v/>
      </c>
      <c r="D1823" s="18">
        <f>IFERROR(_xlfn.XLOOKUP(ENTRADAS[[#This Row],[CODIGO]],LISTADO[CODIGOS],LISTADO[PRODUCTOS]),"NO EXISTE")</f>
        <v/>
      </c>
      <c r="E1823" s="19" t="n">
        <v>46157</v>
      </c>
      <c r="F1823" s="18" t="n">
        <v>2</v>
      </c>
      <c r="G1823" s="18" t="inlineStr">
        <is>
          <t>INGRESO</t>
        </is>
      </c>
      <c r="H1823" s="18" t="inlineStr">
        <is>
          <t>ROCCIA DE VENEZUELA</t>
        </is>
      </c>
      <c r="I1823" s="45" t="n">
        <v>155.18</v>
      </c>
      <c r="J1823" s="77" t="n"/>
      <c r="K1823" s="18" t="n"/>
    </row>
    <row r="1824">
      <c r="B1824" s="18" t="inlineStr">
        <is>
          <t>00056-ELC</t>
        </is>
      </c>
      <c r="C1824" s="18">
        <f>IFERROR(_xlfn.XLOOKUP(ENTRADAS[[#This Row],[CODIGO]],LISTADO[CODIGOS],LISTADO[CATEGORIA]),"NO EXISTE")</f>
        <v/>
      </c>
      <c r="D1824" s="18">
        <f>IFERROR(_xlfn.XLOOKUP(ENTRADAS[[#This Row],[CODIGO]],LISTADO[CODIGOS],LISTADO[PRODUCTOS]),"NO EXISTE")</f>
        <v/>
      </c>
      <c r="E1824" s="19" t="n">
        <v>46157</v>
      </c>
      <c r="F1824" s="18" t="n">
        <v>1</v>
      </c>
      <c r="G1824" s="18" t="inlineStr">
        <is>
          <t>INGRESO</t>
        </is>
      </c>
      <c r="H1824" s="18" t="inlineStr">
        <is>
          <t>ROCCIA DE VENEZUELA</t>
        </is>
      </c>
      <c r="I1824" s="45" t="n">
        <v>440.29</v>
      </c>
      <c r="J1824" s="77" t="n"/>
      <c r="K1824" s="18" t="n"/>
    </row>
    <row r="1825">
      <c r="B1825" s="56" t="inlineStr">
        <is>
          <t>00024-ELC</t>
        </is>
      </c>
      <c r="C1825" s="18">
        <f>IFERROR(_xlfn.XLOOKUP(ENTRADAS[[#This Row],[CODIGO]],LISTADO[CODIGOS],LISTADO[CATEGORIA]),"NO EXISTE")</f>
        <v/>
      </c>
      <c r="D1825" s="18">
        <f>IFERROR(_xlfn.XLOOKUP(ENTRADAS[[#This Row],[CODIGO]],LISTADO[CODIGOS],LISTADO[PRODUCTOS]),"NO EXISTE")</f>
        <v/>
      </c>
      <c r="E1825" s="19" t="n">
        <v>46157</v>
      </c>
      <c r="F1825" s="18" t="n">
        <v>3</v>
      </c>
      <c r="G1825" s="18" t="inlineStr">
        <is>
          <t>INGRESO</t>
        </is>
      </c>
      <c r="H1825" s="18" t="inlineStr">
        <is>
          <t>ROCCIA DE VENEZUELA</t>
        </is>
      </c>
      <c r="I1825" s="45" t="n">
        <v>26</v>
      </c>
      <c r="J1825" s="77" t="n"/>
      <c r="K1825" s="18" t="n"/>
    </row>
    <row r="1826">
      <c r="B1826" s="18" t="inlineStr">
        <is>
          <t>00058-ELC</t>
        </is>
      </c>
      <c r="C1826" s="18">
        <f>IFERROR(_xlfn.XLOOKUP(ENTRADAS[[#This Row],[CODIGO]],LISTADO[CODIGOS],LISTADO[CATEGORIA]),"NO EXISTE")</f>
        <v/>
      </c>
      <c r="D1826" s="18">
        <f>IFERROR(_xlfn.XLOOKUP(ENTRADAS[[#This Row],[CODIGO]],LISTADO[CODIGOS],LISTADO[PRODUCTOS]),"NO EXISTE")</f>
        <v/>
      </c>
      <c r="E1826" s="19" t="n">
        <v>46157</v>
      </c>
      <c r="F1826" s="18" t="n">
        <v>2</v>
      </c>
      <c r="G1826" s="18" t="inlineStr">
        <is>
          <t>INGRESO</t>
        </is>
      </c>
      <c r="H1826" s="18" t="inlineStr">
        <is>
          <t>ROCCIA DE VENEZUELA</t>
        </is>
      </c>
      <c r="I1826" s="45" t="n">
        <v>57</v>
      </c>
      <c r="J1826" s="77" t="n"/>
      <c r="K1826" s="18" t="n"/>
    </row>
    <row r="1827">
      <c r="B1827" s="18" t="inlineStr">
        <is>
          <t>00078-ELC</t>
        </is>
      </c>
      <c r="C1827" s="18">
        <f>IFERROR(_xlfn.XLOOKUP(ENTRADAS[[#This Row],[CODIGO]],LISTADO[CODIGOS],LISTADO[CATEGORIA]),"NO EXISTE")</f>
        <v/>
      </c>
      <c r="D1827" s="18">
        <f>IFERROR(_xlfn.XLOOKUP(ENTRADAS[[#This Row],[CODIGO]],LISTADO[CODIGOS],LISTADO[PRODUCTOS]),"NO EXISTE")</f>
        <v/>
      </c>
      <c r="E1827" s="19" t="n">
        <v>46157</v>
      </c>
      <c r="F1827" s="18" t="n">
        <v>4</v>
      </c>
      <c r="G1827" s="18" t="inlineStr">
        <is>
          <t>INGRESO</t>
        </is>
      </c>
      <c r="H1827" s="18" t="inlineStr">
        <is>
          <t>ROCCIA DE VENEZUELA</t>
        </is>
      </c>
      <c r="I1827" s="45" t="n">
        <v>57</v>
      </c>
      <c r="J1827" s="77" t="n"/>
      <c r="K1827" s="18" t="n"/>
    </row>
    <row r="1828">
      <c r="B1828" s="18" t="inlineStr">
        <is>
          <t>00059-ELC</t>
        </is>
      </c>
      <c r="C1828" s="18">
        <f>IFERROR(_xlfn.XLOOKUP(ENTRADAS[[#This Row],[CODIGO]],LISTADO[CODIGOS],LISTADO[CATEGORIA]),"NO EXISTE")</f>
        <v/>
      </c>
      <c r="D1828" s="18">
        <f>IFERROR(_xlfn.XLOOKUP(ENTRADAS[[#This Row],[CODIGO]],LISTADO[CODIGOS],LISTADO[PRODUCTOS]),"NO EXISTE")</f>
        <v/>
      </c>
      <c r="E1828" s="19" t="n">
        <v>46157</v>
      </c>
      <c r="F1828" s="18" t="n">
        <v>1</v>
      </c>
      <c r="G1828" s="18" t="inlineStr">
        <is>
          <t>INGRESO</t>
        </is>
      </c>
      <c r="H1828" s="18" t="inlineStr">
        <is>
          <t>ROCCIA DE VENEZUELA</t>
        </is>
      </c>
      <c r="I1828" s="45" t="n">
        <v>623.24</v>
      </c>
      <c r="J1828" s="77" t="n"/>
      <c r="K1828" s="18" t="n"/>
    </row>
    <row r="1829">
      <c r="B1829" s="56" t="inlineStr">
        <is>
          <t>00108-HER</t>
        </is>
      </c>
      <c r="C1829" s="18">
        <f>IFERROR(_xlfn.XLOOKUP(ENTRADAS[[#This Row],[CODIGO]],LISTADO[CODIGOS],LISTADO[CATEGORIA]),"NO EXISTE")</f>
        <v/>
      </c>
      <c r="D1829" s="18">
        <f>IFERROR(_xlfn.XLOOKUP(ENTRADAS[[#This Row],[CODIGO]],LISTADO[CODIGOS],LISTADO[PRODUCTOS]),"NO EXISTE")</f>
        <v/>
      </c>
      <c r="E1829" s="19" t="n">
        <v>46157</v>
      </c>
      <c r="F1829" s="18" t="n">
        <v>1</v>
      </c>
      <c r="G1829" s="18" t="inlineStr">
        <is>
          <t>INGRESO</t>
        </is>
      </c>
      <c r="H1829" s="18" t="inlineStr">
        <is>
          <t>ROCCIA DE VENEZUELA</t>
        </is>
      </c>
      <c r="I1829" s="45" t="n">
        <v>346.6</v>
      </c>
      <c r="J1829" s="77" t="n"/>
      <c r="K1829" s="18" t="n"/>
    </row>
    <row r="1830">
      <c r="B1830" s="18" t="inlineStr">
        <is>
          <t>00003-MSC</t>
        </is>
      </c>
      <c r="C1830" s="18">
        <f>IFERROR(_xlfn.XLOOKUP(ENTRADAS[[#This Row],[CODIGO]],LISTADO[CODIGOS],LISTADO[CATEGORIA]),"NO EXISTE")</f>
        <v/>
      </c>
      <c r="D1830" s="18">
        <f>IFERROR(_xlfn.XLOOKUP(ENTRADAS[[#This Row],[CODIGO]],LISTADO[CODIGOS],LISTADO[PRODUCTOS]),"NO EXISTE")</f>
        <v/>
      </c>
      <c r="E1830" s="19" t="n">
        <v>46157</v>
      </c>
      <c r="F1830" s="18" t="n">
        <v>1</v>
      </c>
      <c r="G1830" s="18" t="inlineStr">
        <is>
          <t>INGRESO</t>
        </is>
      </c>
      <c r="H1830" s="18" t="inlineStr">
        <is>
          <t>R.O.C.A</t>
        </is>
      </c>
      <c r="I1830" s="45" t="n">
        <v>30</v>
      </c>
      <c r="J1830" s="77" t="n"/>
      <c r="K1830" s="18" t="n"/>
    </row>
    <row r="1831">
      <c r="B1831" s="18" t="inlineStr">
        <is>
          <t>00189-FER</t>
        </is>
      </c>
      <c r="C1831" s="18">
        <f>IFERROR(_xlfn.XLOOKUP(ENTRADAS[[#This Row],[CODIGO]],LISTADO[CODIGOS],LISTADO[CATEGORIA]),"NO EXISTE")</f>
        <v/>
      </c>
      <c r="D1831" s="18">
        <f>IFERROR(_xlfn.XLOOKUP(ENTRADAS[[#This Row],[CODIGO]],LISTADO[CODIGOS],LISTADO[PRODUCTOS]),"NO EXISTE")</f>
        <v/>
      </c>
      <c r="E1831" s="19" t="n">
        <v>46157</v>
      </c>
      <c r="F1831" s="18" t="n">
        <v>17</v>
      </c>
      <c r="G1831" s="18" t="inlineStr">
        <is>
          <t>INGRESO</t>
        </is>
      </c>
      <c r="H1831" s="18" t="inlineStr">
        <is>
          <t>R.O.C.A</t>
        </is>
      </c>
      <c r="I1831" s="45" t="n">
        <v>4.51</v>
      </c>
      <c r="J1831" s="77" t="n"/>
      <c r="K1831" s="18" t="n"/>
    </row>
    <row r="1832">
      <c r="B1832" s="18" t="inlineStr">
        <is>
          <t>00099-REF</t>
        </is>
      </c>
      <c r="C1832" s="18">
        <f>IFERROR(_xlfn.XLOOKUP(ENTRADAS[[#This Row],[CODIGO]],LISTADO[CODIGOS],LISTADO[CATEGORIA]),"NO EXISTE")</f>
        <v/>
      </c>
      <c r="D1832" s="18">
        <f>IFERROR(_xlfn.XLOOKUP(ENTRADAS[[#This Row],[CODIGO]],LISTADO[CODIGOS],LISTADO[PRODUCTOS]),"NO EXISTE")</f>
        <v/>
      </c>
      <c r="E1832" s="19" t="n">
        <v>46157</v>
      </c>
      <c r="F1832" s="18" t="n">
        <v>2</v>
      </c>
      <c r="G1832" s="18" t="inlineStr">
        <is>
          <t>INGRESO</t>
        </is>
      </c>
      <c r="H1832" s="18" t="inlineStr">
        <is>
          <t>R.O.C.A</t>
        </is>
      </c>
      <c r="I1832" s="45" t="n">
        <v>198</v>
      </c>
      <c r="J1832" s="77" t="n"/>
      <c r="K1832" s="18" t="n"/>
    </row>
    <row r="1833">
      <c r="B1833" s="56" t="inlineStr">
        <is>
          <t>00009-ELE</t>
        </is>
      </c>
      <c r="C1833" s="18">
        <f>IFERROR(_xlfn.XLOOKUP(ENTRADAS[[#This Row],[CODIGO]],LISTADO[CODIGOS],LISTADO[CATEGORIA]),"NO EXISTE")</f>
        <v/>
      </c>
      <c r="D1833" s="18">
        <f>IFERROR(_xlfn.XLOOKUP(ENTRADAS[[#This Row],[CODIGO]],LISTADO[CODIGOS],LISTADO[PRODUCTOS]),"NO EXISTE")</f>
        <v/>
      </c>
      <c r="E1833" s="19" t="n">
        <v>46157</v>
      </c>
      <c r="F1833" s="18" t="n">
        <v>15</v>
      </c>
      <c r="G1833" s="18" t="inlineStr">
        <is>
          <t>INGRESO</t>
        </is>
      </c>
      <c r="H1833" s="18" t="inlineStr">
        <is>
          <t>R.O.C.A</t>
        </is>
      </c>
      <c r="I1833" s="45" t="n">
        <v>24.95</v>
      </c>
      <c r="J1833" s="77" t="n"/>
      <c r="K1833" s="18" t="n"/>
    </row>
    <row r="1834">
      <c r="B1834" s="56" t="inlineStr">
        <is>
          <t>00005-ELE</t>
        </is>
      </c>
      <c r="C1834" s="18">
        <f>IFERROR(_xlfn.XLOOKUP(ENTRADAS[[#This Row],[CODIGO]],LISTADO[CODIGOS],LISTADO[CATEGORIA]),"NO EXISTE")</f>
        <v/>
      </c>
      <c r="D1834" s="18">
        <f>IFERROR(_xlfn.XLOOKUP(ENTRADAS[[#This Row],[CODIGO]],LISTADO[CODIGOS],LISTADO[PRODUCTOS]),"NO EXISTE")</f>
        <v/>
      </c>
      <c r="E1834" s="19" t="n">
        <v>46157</v>
      </c>
      <c r="F1834" s="18" t="n">
        <v>23</v>
      </c>
      <c r="G1834" s="18" t="inlineStr">
        <is>
          <t>INGRESO</t>
        </is>
      </c>
      <c r="H1834" s="18" t="inlineStr">
        <is>
          <t>R.O.C.A</t>
        </is>
      </c>
      <c r="I1834" s="45" t="n">
        <v>13.6</v>
      </c>
      <c r="J1834" s="77" t="n"/>
      <c r="K1834" s="18" t="n"/>
    </row>
    <row r="1835">
      <c r="B1835" s="56" t="inlineStr">
        <is>
          <t>00112-ELE</t>
        </is>
      </c>
      <c r="C1835" s="18">
        <f>IFERROR(_xlfn.XLOOKUP(ENTRADAS[[#This Row],[CODIGO]],LISTADO[CODIGOS],LISTADO[CATEGORIA]),"NO EXISTE")</f>
        <v/>
      </c>
      <c r="D1835" s="18">
        <f>IFERROR(_xlfn.XLOOKUP(ENTRADAS[[#This Row],[CODIGO]],LISTADO[CODIGOS],LISTADO[PRODUCTOS]),"NO EXISTE")</f>
        <v/>
      </c>
      <c r="E1835" s="19" t="n">
        <v>46157</v>
      </c>
      <c r="F1835" s="18" t="n">
        <v>3</v>
      </c>
      <c r="G1835" s="18" t="inlineStr">
        <is>
          <t>INGRESO</t>
        </is>
      </c>
      <c r="H1835" s="18" t="inlineStr">
        <is>
          <t>R.O.C.A</t>
        </is>
      </c>
      <c r="I1835" s="45" t="n">
        <v>24.5</v>
      </c>
      <c r="J1835" s="77" t="n"/>
      <c r="K1835" s="18" t="n"/>
    </row>
    <row r="1836">
      <c r="B1836" s="56" t="inlineStr">
        <is>
          <t>00006-ELE</t>
        </is>
      </c>
      <c r="C1836" s="18">
        <f>IFERROR(_xlfn.XLOOKUP(ENTRADAS[[#This Row],[CODIGO]],LISTADO[CODIGOS],LISTADO[CATEGORIA]),"NO EXISTE")</f>
        <v/>
      </c>
      <c r="D1836" s="18">
        <f>IFERROR(_xlfn.XLOOKUP(ENTRADAS[[#This Row],[CODIGO]],LISTADO[CODIGOS],LISTADO[PRODUCTOS]),"NO EXISTE")</f>
        <v/>
      </c>
      <c r="E1836" s="19" t="n">
        <v>46157</v>
      </c>
      <c r="F1836" s="18" t="n">
        <v>3</v>
      </c>
      <c r="G1836" s="18" t="inlineStr">
        <is>
          <t>INGRESO</t>
        </is>
      </c>
      <c r="H1836" s="18" t="inlineStr">
        <is>
          <t>R.O.C.A</t>
        </is>
      </c>
      <c r="I1836" s="45" t="n">
        <v>17.3</v>
      </c>
      <c r="J1836" s="77" t="n"/>
      <c r="K1836" s="18" t="n"/>
    </row>
    <row r="1837">
      <c r="B1837" s="56" t="inlineStr">
        <is>
          <t>00058-ILU</t>
        </is>
      </c>
      <c r="C1837" s="18">
        <f>IFERROR(_xlfn.XLOOKUP(ENTRADAS[[#This Row],[CODIGO]],LISTADO[CODIGOS],LISTADO[CATEGORIA]),"NO EXISTE")</f>
        <v/>
      </c>
      <c r="D1837" s="18">
        <f>IFERROR(_xlfn.XLOOKUP(ENTRADAS[[#This Row],[CODIGO]],LISTADO[CODIGOS],LISTADO[PRODUCTOS]),"NO EXISTE")</f>
        <v/>
      </c>
      <c r="E1837" s="19" t="n">
        <v>46157</v>
      </c>
      <c r="F1837" s="18" t="n">
        <v>1</v>
      </c>
      <c r="G1837" s="18" t="inlineStr">
        <is>
          <t>INGRESO</t>
        </is>
      </c>
      <c r="H1837" s="18" t="inlineStr">
        <is>
          <t>REVESTIMIENTO GLOVAL</t>
        </is>
      </c>
      <c r="I1837" s="45" t="n">
        <v>85</v>
      </c>
      <c r="J1837" s="77" t="n"/>
      <c r="K1837" s="18" t="n">
        <v>675</v>
      </c>
    </row>
    <row r="1838">
      <c r="B1838" s="18" t="inlineStr">
        <is>
          <t>00035-ILU</t>
        </is>
      </c>
      <c r="C1838" s="18">
        <f>IFERROR(_xlfn.XLOOKUP(ENTRADAS[[#This Row],[CODIGO]],LISTADO[CODIGOS],LISTADO[CATEGORIA]),"NO EXISTE")</f>
        <v/>
      </c>
      <c r="D1838" s="18">
        <f>IFERROR(_xlfn.XLOOKUP(ENTRADAS[[#This Row],[CODIGO]],LISTADO[CODIGOS],LISTADO[PRODUCTOS]),"NO EXISTE")</f>
        <v/>
      </c>
      <c r="E1838" s="19" t="n">
        <v>46157</v>
      </c>
      <c r="F1838" s="18" t="n">
        <v>22</v>
      </c>
      <c r="G1838" s="18" t="inlineStr">
        <is>
          <t>INGRESO</t>
        </is>
      </c>
      <c r="H1838" s="1" t="inlineStr">
        <is>
          <t>REVESTIMIENTO GLOVAL</t>
        </is>
      </c>
      <c r="I1838" s="45" t="n">
        <v>28.35</v>
      </c>
      <c r="J1838" s="77" t="n"/>
      <c r="K1838" s="18" t="n"/>
    </row>
    <row r="1839">
      <c r="B1839" s="56" t="inlineStr">
        <is>
          <t>00033-ILU</t>
        </is>
      </c>
      <c r="C1839" s="18">
        <f>IFERROR(_xlfn.XLOOKUP(ENTRADAS[[#This Row],[CODIGO]],LISTADO[CODIGOS],LISTADO[CATEGORIA]),"NO EXISTE")</f>
        <v/>
      </c>
      <c r="D1839" s="18">
        <f>IFERROR(_xlfn.XLOOKUP(ENTRADAS[[#This Row],[CODIGO]],LISTADO[CODIGOS],LISTADO[PRODUCTOS]),"NO EXISTE")</f>
        <v/>
      </c>
      <c r="E1839" s="19" t="n">
        <v>46157</v>
      </c>
      <c r="F1839" s="18" t="n">
        <v>35</v>
      </c>
      <c r="G1839" s="18" t="inlineStr">
        <is>
          <t>INGRESO</t>
        </is>
      </c>
      <c r="H1839" s="1" t="inlineStr">
        <is>
          <t>REVESTIMIENTO GLOVAL</t>
        </is>
      </c>
      <c r="I1839" s="45" t="n">
        <v>37</v>
      </c>
      <c r="J1839" s="77" t="n"/>
      <c r="K1839" s="18" t="n"/>
    </row>
    <row r="1840">
      <c r="B1840" s="18" t="inlineStr">
        <is>
          <t>00022-LIM</t>
        </is>
      </c>
      <c r="C1840" s="18">
        <f>IFERROR(_xlfn.XLOOKUP(ENTRADAS[[#This Row],[CODIGO]],LISTADO[CODIGOS],LISTADO[CATEGORIA]),"NO EXISTE")</f>
        <v/>
      </c>
      <c r="D1840" s="18">
        <f>IFERROR(_xlfn.XLOOKUP(ENTRADAS[[#This Row],[CODIGO]],LISTADO[CODIGOS],LISTADO[PRODUCTOS]),"NO EXISTE")</f>
        <v/>
      </c>
      <c r="E1840" s="19" t="n">
        <v>46157</v>
      </c>
      <c r="F1840" s="18" t="n">
        <v>11</v>
      </c>
      <c r="G1840" s="18" t="inlineStr">
        <is>
          <t>INGRESO</t>
        </is>
      </c>
      <c r="H1840" s="1" t="inlineStr">
        <is>
          <t>MUNDO TAMANACO</t>
        </is>
      </c>
      <c r="I1840" s="45" t="n">
        <v>2</v>
      </c>
      <c r="J1840" s="77" t="n"/>
      <c r="K1840" s="18" t="n"/>
    </row>
    <row r="1841">
      <c r="B1841" s="18" t="inlineStr">
        <is>
          <t>00023-LIM</t>
        </is>
      </c>
      <c r="C1841" s="18">
        <f>IFERROR(_xlfn.XLOOKUP(ENTRADAS[[#This Row],[CODIGO]],LISTADO[CODIGOS],LISTADO[CATEGORIA]),"NO EXISTE")</f>
        <v/>
      </c>
      <c r="D1841" s="18">
        <f>IFERROR(_xlfn.XLOOKUP(ENTRADAS[[#This Row],[CODIGO]],LISTADO[CODIGOS],LISTADO[PRODUCTOS]),"NO EXISTE")</f>
        <v/>
      </c>
      <c r="E1841" s="19" t="n">
        <v>46157</v>
      </c>
      <c r="F1841" s="18" t="n">
        <v>2</v>
      </c>
      <c r="G1841" s="18" t="inlineStr">
        <is>
          <t>INGRESO</t>
        </is>
      </c>
      <c r="H1841" s="1" t="inlineStr">
        <is>
          <t>MUNDO TAMANACO</t>
        </is>
      </c>
      <c r="I1841" s="45" t="n">
        <v>17.5</v>
      </c>
      <c r="J1841" s="77" t="n"/>
      <c r="K1841" s="18" t="n"/>
    </row>
    <row r="1842">
      <c r="B1842" s="18" t="inlineStr">
        <is>
          <t>00032-LIM</t>
        </is>
      </c>
      <c r="C1842" s="18">
        <f>IFERROR(_xlfn.XLOOKUP(ENTRADAS[[#This Row],[CODIGO]],LISTADO[CODIGOS],LISTADO[CATEGORIA]),"NO EXISTE")</f>
        <v/>
      </c>
      <c r="D1842" s="18">
        <f>IFERROR(_xlfn.XLOOKUP(ENTRADAS[[#This Row],[CODIGO]],LISTADO[CODIGOS],LISTADO[PRODUCTOS]),"NO EXISTE")</f>
        <v/>
      </c>
      <c r="E1842" s="19" t="n">
        <v>46157</v>
      </c>
      <c r="F1842" s="18" t="n">
        <v>2</v>
      </c>
      <c r="G1842" s="18" t="inlineStr">
        <is>
          <t>INGRESO</t>
        </is>
      </c>
      <c r="H1842" s="1" t="inlineStr">
        <is>
          <t>MUNDO TAMANACO</t>
        </is>
      </c>
      <c r="I1842" s="45" t="n">
        <v>27</v>
      </c>
      <c r="J1842" s="77" t="n"/>
      <c r="K1842" s="18" t="n"/>
    </row>
    <row r="1843">
      <c r="B1843" s="18" t="inlineStr">
        <is>
          <t>00020-MSC</t>
        </is>
      </c>
      <c r="C1843" s="18">
        <f>IFERROR(_xlfn.XLOOKUP(ENTRADAS[[#This Row],[CODIGO]],LISTADO[CODIGOS],LISTADO[CATEGORIA]),"NO EXISTE")</f>
        <v/>
      </c>
      <c r="D1843" s="18">
        <f>IFERROR(_xlfn.XLOOKUP(ENTRADAS[[#This Row],[CODIGO]],LISTADO[CODIGOS],LISTADO[PRODUCTOS]),"NO EXISTE")</f>
        <v/>
      </c>
      <c r="E1843" s="19" t="n">
        <v>46157</v>
      </c>
      <c r="F1843" s="18" t="n">
        <v>2</v>
      </c>
      <c r="G1843" s="18" t="inlineStr">
        <is>
          <t>INGRESO</t>
        </is>
      </c>
      <c r="H1843" s="1" t="inlineStr">
        <is>
          <t>MUNDO TAMANACO</t>
        </is>
      </c>
      <c r="I1843" s="45" t="n">
        <v>5</v>
      </c>
      <c r="J1843" s="77" t="n"/>
      <c r="K1843" s="18" t="n"/>
    </row>
    <row r="1844">
      <c r="B1844" s="56" t="inlineStr">
        <is>
          <t>00001-LIM</t>
        </is>
      </c>
      <c r="C1844" s="18">
        <f>IFERROR(_xlfn.XLOOKUP(ENTRADAS[[#This Row],[CODIGO]],LISTADO[CODIGOS],LISTADO[CATEGORIA]),"NO EXISTE")</f>
        <v/>
      </c>
      <c r="D1844" s="18">
        <f>IFERROR(_xlfn.XLOOKUP(ENTRADAS[[#This Row],[CODIGO]],LISTADO[CODIGOS],LISTADO[PRODUCTOS]),"NO EXISTE")</f>
        <v/>
      </c>
      <c r="E1844" s="19" t="n">
        <v>46157</v>
      </c>
      <c r="F1844" s="18" t="n">
        <v>4</v>
      </c>
      <c r="G1844" s="18" t="inlineStr">
        <is>
          <t>INGRESO</t>
        </is>
      </c>
      <c r="H1844" s="1" t="inlineStr">
        <is>
          <t>MUNDO TAMANACO</t>
        </is>
      </c>
      <c r="I1844" s="45" t="n">
        <v>3.5</v>
      </c>
      <c r="J1844" s="77" t="n"/>
      <c r="K1844" s="18" t="n"/>
    </row>
    <row r="1845">
      <c r="B1845" s="56" t="inlineStr">
        <is>
          <t>00004-LIM</t>
        </is>
      </c>
      <c r="C1845" s="18">
        <f>IFERROR(_xlfn.XLOOKUP(ENTRADAS[[#This Row],[CODIGO]],LISTADO[CODIGOS],LISTADO[CATEGORIA]),"NO EXISTE")</f>
        <v/>
      </c>
      <c r="D1845" s="18">
        <f>IFERROR(_xlfn.XLOOKUP(ENTRADAS[[#This Row],[CODIGO]],LISTADO[CODIGOS],LISTADO[PRODUCTOS]),"NO EXISTE")</f>
        <v/>
      </c>
      <c r="E1845" s="19" t="n">
        <v>46157</v>
      </c>
      <c r="F1845" s="18" t="n">
        <v>4</v>
      </c>
      <c r="G1845" s="18" t="inlineStr">
        <is>
          <t>INGRESO</t>
        </is>
      </c>
      <c r="H1845" s="1" t="inlineStr">
        <is>
          <t>MUNDO TAMANACO</t>
        </is>
      </c>
      <c r="I1845" s="45" t="n"/>
      <c r="J1845" s="77" t="n"/>
      <c r="K1845" s="18" t="n"/>
    </row>
    <row r="1846">
      <c r="B1846" s="56" t="inlineStr">
        <is>
          <t>00003-LIM</t>
        </is>
      </c>
      <c r="C1846" s="18">
        <f>IFERROR(_xlfn.XLOOKUP(ENTRADAS[[#This Row],[CODIGO]],LISTADO[CODIGOS],LISTADO[CATEGORIA]),"NO EXISTE")</f>
        <v/>
      </c>
      <c r="D1846" s="18">
        <f>IFERROR(_xlfn.XLOOKUP(ENTRADAS[[#This Row],[CODIGO]],LISTADO[CODIGOS],LISTADO[PRODUCTOS]),"NO EXISTE")</f>
        <v/>
      </c>
      <c r="E1846" s="19" t="n">
        <v>46157</v>
      </c>
      <c r="F1846" s="18" t="n">
        <v>2</v>
      </c>
      <c r="G1846" s="18" t="inlineStr">
        <is>
          <t>INGRESO</t>
        </is>
      </c>
      <c r="H1846" s="1" t="inlineStr">
        <is>
          <t>MUNDO TAMANACO</t>
        </is>
      </c>
      <c r="I1846" s="45" t="n">
        <v>2.5</v>
      </c>
      <c r="J1846" s="77" t="n"/>
      <c r="K1846" s="18" t="n"/>
    </row>
    <row r="1847">
      <c r="B1847" s="56" t="inlineStr">
        <is>
          <t>00004-LIM</t>
        </is>
      </c>
      <c r="C1847" s="18">
        <f>IFERROR(_xlfn.XLOOKUP(ENTRADAS[[#This Row],[CODIGO]],LISTADO[CODIGOS],LISTADO[CATEGORIA]),"NO EXISTE")</f>
        <v/>
      </c>
      <c r="D1847" s="18">
        <f>IFERROR(_xlfn.XLOOKUP(ENTRADAS[[#This Row],[CODIGO]],LISTADO[CODIGOS],LISTADO[PRODUCTOS]),"NO EXISTE")</f>
        <v/>
      </c>
      <c r="E1847" s="19" t="n">
        <v>46157</v>
      </c>
      <c r="F1847" s="18" t="n">
        <v>2</v>
      </c>
      <c r="G1847" s="18" t="inlineStr">
        <is>
          <t>INGRESO</t>
        </is>
      </c>
      <c r="H1847" s="1" t="inlineStr">
        <is>
          <t>MUNDO TAMANACO</t>
        </is>
      </c>
      <c r="I1847" s="45" t="n"/>
      <c r="J1847" s="77" t="n"/>
      <c r="K1847" s="18" t="n"/>
    </row>
    <row r="1848">
      <c r="B1848" s="56" t="inlineStr">
        <is>
          <t>00005-LIM</t>
        </is>
      </c>
      <c r="C1848" s="18">
        <f>IFERROR(_xlfn.XLOOKUP(ENTRADAS[[#This Row],[CODIGO]],LISTADO[CODIGOS],LISTADO[CATEGORIA]),"NO EXISTE")</f>
        <v/>
      </c>
      <c r="D1848" s="18">
        <f>IFERROR(_xlfn.XLOOKUP(ENTRADAS[[#This Row],[CODIGO]],LISTADO[CODIGOS],LISTADO[PRODUCTOS]),"NO EXISTE")</f>
        <v/>
      </c>
      <c r="E1848" s="19" t="n">
        <v>46157</v>
      </c>
      <c r="F1848" s="18" t="n">
        <v>4</v>
      </c>
      <c r="G1848" s="18" t="inlineStr">
        <is>
          <t>INGRESO</t>
        </is>
      </c>
      <c r="H1848" s="1" t="inlineStr">
        <is>
          <t>MUNDO TAMANACO</t>
        </is>
      </c>
      <c r="I1848" s="45" t="n">
        <v>2.5</v>
      </c>
      <c r="J1848" s="77" t="n"/>
      <c r="K1848" s="18" t="n"/>
    </row>
    <row r="1849">
      <c r="B1849" s="56" t="inlineStr">
        <is>
          <t>00011-LIM</t>
        </is>
      </c>
      <c r="C1849" s="18">
        <f>IFERROR(_xlfn.XLOOKUP(ENTRADAS[[#This Row],[CODIGO]],LISTADO[CODIGOS],LISTADO[CATEGORIA]),"NO EXISTE")</f>
        <v/>
      </c>
      <c r="D1849" s="18">
        <f>IFERROR(_xlfn.XLOOKUP(ENTRADAS[[#This Row],[CODIGO]],LISTADO[CODIGOS],LISTADO[PRODUCTOS]),"NO EXISTE")</f>
        <v/>
      </c>
      <c r="E1849" s="19" t="n">
        <v>46157</v>
      </c>
      <c r="F1849" s="18" t="n">
        <v>2</v>
      </c>
      <c r="G1849" s="18" t="inlineStr">
        <is>
          <t>INGRESO</t>
        </is>
      </c>
      <c r="H1849" s="1" t="inlineStr">
        <is>
          <t>MUNDO TAMANACO</t>
        </is>
      </c>
      <c r="I1849" s="45" t="n">
        <v>2</v>
      </c>
      <c r="J1849" s="77" t="n"/>
      <c r="K1849" s="18" t="n"/>
    </row>
    <row r="1850">
      <c r="B1850" s="56" t="inlineStr">
        <is>
          <t>00006-LIM</t>
        </is>
      </c>
      <c r="C1850" s="18">
        <f>IFERROR(_xlfn.XLOOKUP(ENTRADAS[[#This Row],[CODIGO]],LISTADO[CODIGOS],LISTADO[CATEGORIA]),"NO EXISTE")</f>
        <v/>
      </c>
      <c r="D1850" s="18">
        <f>IFERROR(_xlfn.XLOOKUP(ENTRADAS[[#This Row],[CODIGO]],LISTADO[CODIGOS],LISTADO[PRODUCTOS]),"NO EXISTE")</f>
        <v/>
      </c>
      <c r="E1850" s="19" t="n">
        <v>46157</v>
      </c>
      <c r="F1850" s="18" t="n">
        <v>2</v>
      </c>
      <c r="G1850" s="18" t="inlineStr">
        <is>
          <t>INGRESO</t>
        </is>
      </c>
      <c r="H1850" s="1" t="inlineStr">
        <is>
          <t>MUNDO TAMANACO</t>
        </is>
      </c>
      <c r="I1850" s="45" t="n">
        <v>2</v>
      </c>
      <c r="J1850" s="77" t="n"/>
      <c r="K1850" s="18" t="n"/>
    </row>
    <row r="1851">
      <c r="B1851" s="56" t="inlineStr">
        <is>
          <t>00010-MSC</t>
        </is>
      </c>
      <c r="C1851" s="18">
        <f>IFERROR(_xlfn.XLOOKUP(ENTRADAS[[#This Row],[CODIGO]],LISTADO[CODIGOS],LISTADO[CATEGORIA]),"NO EXISTE")</f>
        <v/>
      </c>
      <c r="D1851" s="18">
        <f>IFERROR(_xlfn.XLOOKUP(ENTRADAS[[#This Row],[CODIGO]],LISTADO[CODIGOS],LISTADO[PRODUCTOS]),"NO EXISTE")</f>
        <v/>
      </c>
      <c r="E1851" s="19" t="n">
        <v>46157</v>
      </c>
      <c r="F1851" s="18" t="n">
        <v>1</v>
      </c>
      <c r="G1851" s="18" t="inlineStr">
        <is>
          <t>INGRESO</t>
        </is>
      </c>
      <c r="H1851" s="1" t="inlineStr">
        <is>
          <t>MUNDO TAMANACO</t>
        </is>
      </c>
      <c r="I1851" s="45" t="n">
        <v>5.5</v>
      </c>
      <c r="J1851" s="77" t="n"/>
      <c r="K1851" s="18" t="n"/>
    </row>
    <row r="1852">
      <c r="B1852" s="56" t="inlineStr">
        <is>
          <t>00015-MSC</t>
        </is>
      </c>
      <c r="C1852" s="18">
        <f>IFERROR(_xlfn.XLOOKUP(ENTRADAS[[#This Row],[CODIGO]],LISTADO[CODIGOS],LISTADO[CATEGORIA]),"NO EXISTE")</f>
        <v/>
      </c>
      <c r="D1852" s="18">
        <f>IFERROR(_xlfn.XLOOKUP(ENTRADAS[[#This Row],[CODIGO]],LISTADO[CODIGOS],LISTADO[PRODUCTOS]),"NO EXISTE")</f>
        <v/>
      </c>
      <c r="E1852" s="19" t="n">
        <v>46157</v>
      </c>
      <c r="F1852" s="18" t="n">
        <v>1</v>
      </c>
      <c r="G1852" s="18" t="inlineStr">
        <is>
          <t>INGRESO</t>
        </is>
      </c>
      <c r="H1852" s="1" t="inlineStr">
        <is>
          <t>MUNDO TAMANACO</t>
        </is>
      </c>
      <c r="I1852" s="45" t="n">
        <v>13</v>
      </c>
      <c r="J1852" s="77" t="n"/>
      <c r="K1852" s="18" t="n"/>
    </row>
    <row r="1853">
      <c r="B1853" s="18" t="inlineStr">
        <is>
          <t>00058-PLM</t>
        </is>
      </c>
      <c r="C1853" s="18">
        <f>IFERROR(_xlfn.XLOOKUP(ENTRADAS[[#This Row],[CODIGO]],LISTADO[CODIGOS],LISTADO[CATEGORIA]),"NO EXISTE")</f>
        <v/>
      </c>
      <c r="D1853" s="18">
        <f>IFERROR(_xlfn.XLOOKUP(ENTRADAS[[#This Row],[CODIGO]],LISTADO[CODIGOS],LISTADO[PRODUCTOS]),"NO EXISTE")</f>
        <v/>
      </c>
      <c r="E1853" s="19" t="n">
        <v>46158</v>
      </c>
      <c r="F1853" s="18" t="n">
        <v>1</v>
      </c>
      <c r="G1853" s="18" t="inlineStr">
        <is>
          <t>INGRESO</t>
        </is>
      </c>
      <c r="H1853" s="18" t="inlineStr">
        <is>
          <t>CENTER MARK</t>
        </is>
      </c>
      <c r="I1853" s="45" t="n"/>
      <c r="J1853" s="77" t="n">
        <v>20200.45</v>
      </c>
      <c r="K1853" s="18" t="n">
        <v>517.96</v>
      </c>
    </row>
    <row r="1854">
      <c r="B1854" s="56" t="inlineStr">
        <is>
          <t>00076-PLM</t>
        </is>
      </c>
      <c r="C1854" s="18">
        <f>IFERROR(_xlfn.XLOOKUP(ENTRADAS[[#This Row],[CODIGO]],LISTADO[CODIGOS],LISTADO[CATEGORIA]),"NO EXISTE")</f>
        <v/>
      </c>
      <c r="D1854" s="18">
        <f>IFERROR(_xlfn.XLOOKUP(ENTRADAS[[#This Row],[CODIGO]],LISTADO[CODIGOS],LISTADO[PRODUCTOS]),"NO EXISTE")</f>
        <v/>
      </c>
      <c r="E1854" s="19" t="n">
        <v>46158</v>
      </c>
      <c r="F1854" s="18" t="n">
        <v>1</v>
      </c>
      <c r="G1854" s="18" t="inlineStr">
        <is>
          <t>INGRESO</t>
        </is>
      </c>
      <c r="H1854" s="18" t="inlineStr">
        <is>
          <t>CENTER MARK</t>
        </is>
      </c>
      <c r="I1854" s="45" t="n"/>
      <c r="J1854" s="77" t="n">
        <v>517.98</v>
      </c>
      <c r="K1854" s="18" t="n">
        <v>517.96</v>
      </c>
    </row>
    <row r="1855">
      <c r="B1855" s="56" t="inlineStr">
        <is>
          <t>00020-PLM</t>
        </is>
      </c>
      <c r="C1855" s="18">
        <f>IFERROR(_xlfn.XLOOKUP(ENTRADAS[[#This Row],[CODIGO]],LISTADO[CODIGOS],LISTADO[CATEGORIA]),"NO EXISTE")</f>
        <v/>
      </c>
      <c r="D1855" s="18">
        <f>IFERROR(_xlfn.XLOOKUP(ENTRADAS[[#This Row],[CODIGO]],LISTADO[CODIGOS],LISTADO[PRODUCTOS]),"NO EXISTE")</f>
        <v/>
      </c>
      <c r="E1855" s="19" t="n">
        <v>46158</v>
      </c>
      <c r="F1855" s="18" t="n">
        <v>1</v>
      </c>
      <c r="G1855" s="18" t="inlineStr">
        <is>
          <t>INGRESO</t>
        </is>
      </c>
      <c r="H1855" s="18" t="inlineStr">
        <is>
          <t>CENTER MARK</t>
        </is>
      </c>
      <c r="I1855" s="45" t="n"/>
      <c r="J1855" s="77" t="n">
        <v>517.98</v>
      </c>
      <c r="K1855" s="18" t="n">
        <v>517.96</v>
      </c>
    </row>
    <row r="1856">
      <c r="B1856" s="56" t="inlineStr">
        <is>
          <t>00018-PLM</t>
        </is>
      </c>
      <c r="C1856" s="18">
        <f>IFERROR(_xlfn.XLOOKUP(ENTRADAS[[#This Row],[CODIGO]],LISTADO[CODIGOS],LISTADO[CATEGORIA]),"NO EXISTE")</f>
        <v/>
      </c>
      <c r="D1856" s="18">
        <f>IFERROR(_xlfn.XLOOKUP(ENTRADAS[[#This Row],[CODIGO]],LISTADO[CODIGOS],LISTADO[PRODUCTOS]),"NO EXISTE")</f>
        <v/>
      </c>
      <c r="E1856" s="19" t="n">
        <v>46158</v>
      </c>
      <c r="F1856" s="18" t="n">
        <v>2</v>
      </c>
      <c r="G1856" s="18" t="inlineStr">
        <is>
          <t>INGRESO</t>
        </is>
      </c>
      <c r="H1856" s="18" t="inlineStr">
        <is>
          <t>CENTER MARK</t>
        </is>
      </c>
      <c r="I1856" s="45" t="n"/>
      <c r="J1856" s="77" t="n">
        <v>414.39</v>
      </c>
      <c r="K1856" s="18" t="n">
        <v>517.96</v>
      </c>
    </row>
    <row r="1857">
      <c r="B1857" s="56" t="inlineStr">
        <is>
          <t>00015-PLM</t>
        </is>
      </c>
      <c r="C1857" s="18">
        <f>IFERROR(_xlfn.XLOOKUP(ENTRADAS[[#This Row],[CODIGO]],LISTADO[CODIGOS],LISTADO[CATEGORIA]),"NO EXISTE")</f>
        <v/>
      </c>
      <c r="D1857" s="18">
        <f>IFERROR(_xlfn.XLOOKUP(ENTRADAS[[#This Row],[CODIGO]],LISTADO[CODIGOS],LISTADO[PRODUCTOS]),"NO EXISTE")</f>
        <v/>
      </c>
      <c r="E1857" s="19" t="n">
        <v>46158</v>
      </c>
      <c r="F1857" s="18" t="n">
        <v>1</v>
      </c>
      <c r="G1857" s="18" t="inlineStr">
        <is>
          <t>INGRESO</t>
        </is>
      </c>
      <c r="H1857" s="18" t="inlineStr">
        <is>
          <t>CENTER MARK</t>
        </is>
      </c>
      <c r="I1857" s="45" t="n"/>
      <c r="J1857" s="77" t="n">
        <v>414.39</v>
      </c>
      <c r="K1857" s="18" t="n">
        <v>517.96</v>
      </c>
    </row>
    <row r="1858">
      <c r="B1858" s="56" t="inlineStr">
        <is>
          <t>00046-PLM</t>
        </is>
      </c>
      <c r="C1858" s="18">
        <f>IFERROR(_xlfn.XLOOKUP(ENTRADAS[[#This Row],[CODIGO]],LISTADO[CODIGOS],LISTADO[CATEGORIA]),"NO EXISTE")</f>
        <v/>
      </c>
      <c r="D1858" s="18">
        <f>IFERROR(_xlfn.XLOOKUP(ENTRADAS[[#This Row],[CODIGO]],LISTADO[CODIGOS],LISTADO[PRODUCTOS]),"NO EXISTE")</f>
        <v/>
      </c>
      <c r="E1858" s="19" t="n">
        <v>46158</v>
      </c>
      <c r="F1858" s="18" t="n">
        <v>1</v>
      </c>
      <c r="G1858" s="18" t="inlineStr">
        <is>
          <t>INGRESO</t>
        </is>
      </c>
      <c r="H1858" s="18" t="inlineStr">
        <is>
          <t>CENTER MARK</t>
        </is>
      </c>
      <c r="I1858" s="45" t="n"/>
      <c r="J1858" s="77" t="n">
        <v>1035.9</v>
      </c>
      <c r="K1858" s="18" t="n">
        <v>517.96</v>
      </c>
    </row>
    <row r="1859">
      <c r="B1859" s="56" t="inlineStr">
        <is>
          <t>00016-PLM</t>
        </is>
      </c>
      <c r="C1859" s="18">
        <f>IFERROR(_xlfn.XLOOKUP(ENTRADAS[[#This Row],[CODIGO]],LISTADO[CODIGOS],LISTADO[CATEGORIA]),"NO EXISTE")</f>
        <v/>
      </c>
      <c r="D1859" s="18">
        <f>IFERROR(_xlfn.XLOOKUP(ENTRADAS[[#This Row],[CODIGO]],LISTADO[CODIGOS],LISTADO[PRODUCTOS]),"NO EXISTE")</f>
        <v/>
      </c>
      <c r="E1859" s="19" t="n">
        <v>46158</v>
      </c>
      <c r="F1859" s="18" t="n">
        <v>1</v>
      </c>
      <c r="G1859" s="18" t="inlineStr">
        <is>
          <t>INGRESO</t>
        </is>
      </c>
      <c r="H1859" s="18" t="inlineStr">
        <is>
          <t>CENTER MARK</t>
        </is>
      </c>
      <c r="I1859" s="45" t="n"/>
      <c r="J1859" s="77" t="n">
        <v>310.75</v>
      </c>
      <c r="K1859" s="18" t="n">
        <v>517.96</v>
      </c>
    </row>
    <row r="1860">
      <c r="B1860" s="18" t="inlineStr">
        <is>
          <t>00050-PLM</t>
        </is>
      </c>
      <c r="C1860" s="18">
        <f>IFERROR(_xlfn.XLOOKUP(ENTRADAS[[#This Row],[CODIGO]],LISTADO[CODIGOS],LISTADO[CATEGORIA]),"NO EXISTE")</f>
        <v/>
      </c>
      <c r="D1860" s="18">
        <f>IFERROR(_xlfn.XLOOKUP(ENTRADAS[[#This Row],[CODIGO]],LISTADO[CODIGOS],LISTADO[PRODUCTOS]),"NO EXISTE")</f>
        <v/>
      </c>
      <c r="E1860" s="19" t="n">
        <v>46158</v>
      </c>
      <c r="F1860" s="18" t="n">
        <v>1</v>
      </c>
      <c r="G1860" s="18" t="inlineStr">
        <is>
          <t>INGRESO</t>
        </is>
      </c>
      <c r="H1860" s="18" t="inlineStr">
        <is>
          <t>CENTER MARK</t>
        </is>
      </c>
      <c r="I1860" s="45" t="n"/>
      <c r="J1860" s="77" t="n">
        <v>414.39</v>
      </c>
      <c r="K1860" s="18" t="n">
        <v>517.96</v>
      </c>
    </row>
    <row r="1861">
      <c r="B1861" s="18" t="inlineStr">
        <is>
          <t>00077-PLM</t>
        </is>
      </c>
      <c r="C1861" s="18">
        <f>IFERROR(_xlfn.XLOOKUP(ENTRADAS[[#This Row],[CODIGO]],LISTADO[CODIGOS],LISTADO[CATEGORIA]),"NO EXISTE")</f>
        <v/>
      </c>
      <c r="D1861" s="18">
        <f>IFERROR(_xlfn.XLOOKUP(ENTRADAS[[#This Row],[CODIGO]],LISTADO[CODIGOS],LISTADO[PRODUCTOS]),"NO EXISTE")</f>
        <v/>
      </c>
      <c r="E1861" s="19" t="n">
        <v>46158</v>
      </c>
      <c r="F1861" s="18" t="n">
        <v>1</v>
      </c>
      <c r="G1861" s="18" t="inlineStr">
        <is>
          <t>INGRESO</t>
        </is>
      </c>
      <c r="H1861" s="18" t="inlineStr">
        <is>
          <t>CENTER MARK</t>
        </is>
      </c>
      <c r="I1861" s="45" t="n"/>
      <c r="J1861" s="77" t="n">
        <v>414.39</v>
      </c>
      <c r="K1861" s="18" t="n">
        <v>517.96</v>
      </c>
    </row>
    <row r="1862">
      <c r="B1862" s="56" t="inlineStr">
        <is>
          <t>00080-FER</t>
        </is>
      </c>
      <c r="C1862" s="18">
        <f>IFERROR(_xlfn.XLOOKUP(ENTRADAS[[#This Row],[CODIGO]],LISTADO[CODIGOS],LISTADO[CATEGORIA]),"NO EXISTE")</f>
        <v/>
      </c>
      <c r="D1862" s="18">
        <f>IFERROR(_xlfn.XLOOKUP(ENTRADAS[[#This Row],[CODIGO]],LISTADO[CODIGOS],LISTADO[PRODUCTOS]),"NO EXISTE")</f>
        <v/>
      </c>
      <c r="E1862" s="19" t="n">
        <v>46158</v>
      </c>
      <c r="F1862" s="18" t="n">
        <v>1</v>
      </c>
      <c r="G1862" s="18" t="inlineStr">
        <is>
          <t>INGRESO</t>
        </is>
      </c>
      <c r="H1862" s="18" t="inlineStr">
        <is>
          <t>CENTER MARK</t>
        </is>
      </c>
      <c r="I1862" s="45" t="n"/>
      <c r="J1862" s="77" t="n">
        <v>5179.61</v>
      </c>
      <c r="K1862" s="18" t="n">
        <v>517.96</v>
      </c>
    </row>
    <row r="1863">
      <c r="B1863" s="56" t="inlineStr">
        <is>
          <t>00078-FER</t>
        </is>
      </c>
      <c r="C1863" s="18">
        <f>IFERROR(_xlfn.XLOOKUP(ENTRADAS[[#This Row],[CODIGO]],LISTADO[CODIGOS],LISTADO[CATEGORIA]),"NO EXISTE")</f>
        <v/>
      </c>
      <c r="D1863" s="18">
        <f>IFERROR(_xlfn.XLOOKUP(ENTRADAS[[#This Row],[CODIGO]],LISTADO[CODIGOS],LISTADO[PRODUCTOS]),"NO EXISTE")</f>
        <v/>
      </c>
      <c r="E1863" s="19" t="n">
        <v>46158</v>
      </c>
      <c r="F1863" s="18" t="n">
        <v>1</v>
      </c>
      <c r="G1863" s="18" t="inlineStr">
        <is>
          <t>INGRESO</t>
        </is>
      </c>
      <c r="H1863" s="18" t="inlineStr">
        <is>
          <t>CENTER MARK</t>
        </is>
      </c>
      <c r="I1863" s="45" t="n"/>
      <c r="J1863" s="77" t="n">
        <v>1035.9</v>
      </c>
      <c r="K1863" s="18" t="n">
        <v>517.96</v>
      </c>
    </row>
    <row r="1864">
      <c r="B1864" s="18" t="inlineStr">
        <is>
          <t>00003-MSC</t>
        </is>
      </c>
      <c r="C1864" s="18">
        <f>IFERROR(_xlfn.XLOOKUP(ENTRADAS[[#This Row],[CODIGO]],LISTADO[CODIGOS],LISTADO[CATEGORIA]),"NO EXISTE")</f>
        <v/>
      </c>
      <c r="D1864" s="18">
        <f>IFERROR(_xlfn.XLOOKUP(ENTRADAS[[#This Row],[CODIGO]],LISTADO[CODIGOS],LISTADO[PRODUCTOS]),"NO EXISTE")</f>
        <v/>
      </c>
      <c r="E1864" s="19" t="n">
        <v>46158</v>
      </c>
      <c r="F1864" s="18" t="n">
        <v>1</v>
      </c>
      <c r="G1864" s="18" t="inlineStr">
        <is>
          <t>INGRESO</t>
        </is>
      </c>
      <c r="H1864" s="18" t="inlineStr">
        <is>
          <t>R.O.C.A</t>
        </is>
      </c>
      <c r="I1864" s="45" t="n">
        <v>30</v>
      </c>
      <c r="J1864" s="77" t="n"/>
      <c r="K1864" s="18" t="n"/>
    </row>
    <row r="1865">
      <c r="B1865" s="18" t="inlineStr">
        <is>
          <t>00148-REF</t>
        </is>
      </c>
      <c r="C1865" s="18">
        <f>IFERROR(_xlfn.XLOOKUP(ENTRADAS[[#This Row],[CODIGO]],LISTADO[CODIGOS],LISTADO[CATEGORIA]),"NO EXISTE")</f>
        <v/>
      </c>
      <c r="D1865" s="18">
        <f>IFERROR(_xlfn.XLOOKUP(ENTRADAS[[#This Row],[CODIGO]],LISTADO[CODIGOS],LISTADO[PRODUCTOS]),"NO EXISTE")</f>
        <v/>
      </c>
      <c r="E1865" s="19" t="n">
        <v>46158</v>
      </c>
      <c r="F1865" s="18" t="n">
        <v>1</v>
      </c>
      <c r="G1865" s="18" t="inlineStr">
        <is>
          <t>INGRESO</t>
        </is>
      </c>
      <c r="H1865" s="18" t="inlineStr">
        <is>
          <t>R.O.C.A</t>
        </is>
      </c>
      <c r="I1865" s="45" t="n">
        <v>7</v>
      </c>
      <c r="J1865" s="77" t="n"/>
      <c r="K1865" s="18" t="n"/>
    </row>
    <row r="1866">
      <c r="B1866" s="56" t="inlineStr">
        <is>
          <t>00005-ELC</t>
        </is>
      </c>
      <c r="C1866" s="18">
        <f>IFERROR(_xlfn.XLOOKUP(ENTRADAS[[#This Row],[CODIGO]],LISTADO[CODIGOS],LISTADO[CATEGORIA]),"NO EXISTE")</f>
        <v/>
      </c>
      <c r="D1866" s="18">
        <f>IFERROR(_xlfn.XLOOKUP(ENTRADAS[[#This Row],[CODIGO]],LISTADO[CODIGOS],LISTADO[PRODUCTOS]),"NO EXISTE")</f>
        <v/>
      </c>
      <c r="E1866" s="19" t="n">
        <v>46158</v>
      </c>
      <c r="F1866" s="18" t="n">
        <v>3</v>
      </c>
      <c r="G1866" s="18" t="inlineStr">
        <is>
          <t>INGRESO</t>
        </is>
      </c>
      <c r="H1866" s="18" t="inlineStr">
        <is>
          <t>CENTER MARK</t>
        </is>
      </c>
      <c r="I1866" s="45" t="n"/>
      <c r="J1866" s="77" t="n">
        <v>4143.71</v>
      </c>
      <c r="K1866" s="18" t="n"/>
    </row>
    <row r="1867">
      <c r="B1867" s="18" t="inlineStr">
        <is>
          <t>00114-ELE</t>
        </is>
      </c>
      <c r="C1867" s="18">
        <f>IFERROR(_xlfn.XLOOKUP(ENTRADAS[[#This Row],[CODIGO]],LISTADO[CODIGOS],LISTADO[CATEGORIA]),"NO EXISTE")</f>
        <v/>
      </c>
      <c r="D1867" s="18">
        <f>IFERROR(_xlfn.XLOOKUP(ENTRADAS[[#This Row],[CODIGO]],LISTADO[CODIGOS],LISTADO[PRODUCTOS]),"NO EXISTE")</f>
        <v/>
      </c>
      <c r="E1867" s="19" t="n">
        <v>46158</v>
      </c>
      <c r="F1867" s="18" t="n">
        <v>5</v>
      </c>
      <c r="G1867" s="18" t="inlineStr">
        <is>
          <t>INGRESO</t>
        </is>
      </c>
      <c r="H1867" s="18" t="inlineStr">
        <is>
          <t>CENTER MARK</t>
        </is>
      </c>
      <c r="I1867" s="45" t="n"/>
      <c r="J1867" s="77" t="n">
        <v>2071.85</v>
      </c>
      <c r="K1867" s="18" t="n"/>
    </row>
    <row r="1868">
      <c r="B1868" s="18" t="inlineStr">
        <is>
          <t>00068-ELE</t>
        </is>
      </c>
      <c r="C1868" s="18">
        <f>IFERROR(_xlfn.XLOOKUP(ENTRADAS[[#This Row],[CODIGO]],LISTADO[CODIGOS],LISTADO[CATEGORIA]),"NO EXISTE")</f>
        <v/>
      </c>
      <c r="D1868" s="18">
        <f>IFERROR(_xlfn.XLOOKUP(ENTRADAS[[#This Row],[CODIGO]],LISTADO[CODIGOS],LISTADO[PRODUCTOS]),"NO EXISTE")</f>
        <v/>
      </c>
      <c r="E1868" s="19" t="n">
        <v>46158</v>
      </c>
      <c r="F1868" s="18" t="n">
        <v>1</v>
      </c>
      <c r="G1868" s="18" t="inlineStr">
        <is>
          <t>INGRESO</t>
        </is>
      </c>
      <c r="H1868" s="18" t="inlineStr">
        <is>
          <t>CENTER MARK</t>
        </is>
      </c>
      <c r="I1868" s="45" t="n"/>
      <c r="J1868" s="77" t="n">
        <v>1812.84</v>
      </c>
      <c r="K1868" s="18" t="n"/>
    </row>
    <row r="1869">
      <c r="B1869" s="18" t="inlineStr">
        <is>
          <t>00042-AUT</t>
        </is>
      </c>
      <c r="C1869" s="18">
        <f>IFERROR(_xlfn.XLOOKUP(ENTRADAS[[#This Row],[CODIGO]],LISTADO[CODIGOS],LISTADO[CATEGORIA]),"NO EXISTE")</f>
        <v/>
      </c>
      <c r="D1869" s="18">
        <f>IFERROR(_xlfn.XLOOKUP(ENTRADAS[[#This Row],[CODIGO]],LISTADO[CODIGOS],LISTADO[PRODUCTOS]),"NO EXISTE")</f>
        <v/>
      </c>
      <c r="E1869" s="19" t="n">
        <v>46158</v>
      </c>
      <c r="F1869" s="18" t="n">
        <v>2</v>
      </c>
      <c r="G1869" s="18" t="inlineStr">
        <is>
          <t>INGRESO</t>
        </is>
      </c>
      <c r="H1869" s="1" t="inlineStr">
        <is>
          <t>JD CARS MOTOS</t>
        </is>
      </c>
      <c r="I1869" s="45" t="n"/>
      <c r="J1869" s="77" t="n">
        <v>8785</v>
      </c>
      <c r="K1869" s="18" t="n"/>
    </row>
    <row r="1870">
      <c r="B1870" s="18" t="inlineStr">
        <is>
          <t>00045-AUT</t>
        </is>
      </c>
      <c r="C1870" s="18">
        <f>IFERROR(_xlfn.XLOOKUP(ENTRADAS[[#This Row],[CODIGO]],LISTADO[CODIGOS],LISTADO[CATEGORIA]),"NO EXISTE")</f>
        <v/>
      </c>
      <c r="D1870" s="18">
        <f>IFERROR(_xlfn.XLOOKUP(ENTRADAS[[#This Row],[CODIGO]],LISTADO[CODIGOS],LISTADO[PRODUCTOS]),"NO EXISTE")</f>
        <v/>
      </c>
      <c r="E1870" s="19" t="n">
        <v>46158</v>
      </c>
      <c r="F1870" s="18" t="n">
        <v>5</v>
      </c>
      <c r="G1870" s="18" t="inlineStr">
        <is>
          <t>INGRESO</t>
        </is>
      </c>
      <c r="H1870" s="1" t="inlineStr">
        <is>
          <t>AUTOPARATES RVA</t>
        </is>
      </c>
      <c r="I1870" s="45" t="n">
        <v>15</v>
      </c>
      <c r="J1870" s="77" t="n"/>
      <c r="K1870" s="18" t="n"/>
    </row>
    <row r="1871">
      <c r="B1871" s="56" t="inlineStr">
        <is>
          <t>00046-AUT</t>
        </is>
      </c>
      <c r="C1871" s="18">
        <f>IFERROR(_xlfn.XLOOKUP(ENTRADAS[[#This Row],[CODIGO]],LISTADO[CODIGOS],LISTADO[CATEGORIA]),"NO EXISTE")</f>
        <v/>
      </c>
      <c r="D1871" s="18">
        <f>IFERROR(_xlfn.XLOOKUP(ENTRADAS[[#This Row],[CODIGO]],LISTADO[CODIGOS],LISTADO[PRODUCTOS]),"NO EXISTE")</f>
        <v/>
      </c>
      <c r="E1871" s="19" t="n">
        <v>46158</v>
      </c>
      <c r="F1871" s="18" t="n">
        <v>4</v>
      </c>
      <c r="G1871" s="18" t="inlineStr">
        <is>
          <t>INGRESO</t>
        </is>
      </c>
      <c r="H1871" s="1" t="inlineStr">
        <is>
          <t>AUTOPARATES RVA</t>
        </is>
      </c>
      <c r="I1871" s="45" t="n">
        <v>16</v>
      </c>
      <c r="J1871" s="77" t="n"/>
      <c r="K1871" s="18" t="n"/>
    </row>
    <row r="1872">
      <c r="B1872" s="18" t="inlineStr">
        <is>
          <t>00047-AUT</t>
        </is>
      </c>
      <c r="C1872" s="18">
        <f>IFERROR(_xlfn.XLOOKUP(ENTRADAS[[#This Row],[CODIGO]],LISTADO[CODIGOS],LISTADO[CATEGORIA]),"NO EXISTE")</f>
        <v/>
      </c>
      <c r="D1872" s="18">
        <f>IFERROR(_xlfn.XLOOKUP(ENTRADAS[[#This Row],[CODIGO]],LISTADO[CODIGOS],LISTADO[PRODUCTOS]),"NO EXISTE")</f>
        <v/>
      </c>
      <c r="E1872" s="19" t="n">
        <v>46158</v>
      </c>
      <c r="F1872" s="18" t="n">
        <v>2</v>
      </c>
      <c r="G1872" s="18" t="inlineStr">
        <is>
          <t>INGRESO</t>
        </is>
      </c>
      <c r="H1872" s="1" t="inlineStr">
        <is>
          <t>AUTOPARATES RVA</t>
        </is>
      </c>
      <c r="I1872" s="45" t="n">
        <v>18</v>
      </c>
      <c r="J1872" s="77" t="n"/>
      <c r="K1872" s="18" t="n"/>
    </row>
    <row r="1873">
      <c r="B1873" s="18" t="inlineStr">
        <is>
          <t>00009-FER</t>
        </is>
      </c>
      <c r="C1873" s="18">
        <f>IFERROR(_xlfn.XLOOKUP(ENTRADAS[[#This Row],[CODIGO]],LISTADO[CODIGOS],LISTADO[CATEGORIA]),"NO EXISTE")</f>
        <v/>
      </c>
      <c r="D1873" s="18">
        <f>IFERROR(_xlfn.XLOOKUP(ENTRADAS[[#This Row],[CODIGO]],LISTADO[CODIGOS],LISTADO[PRODUCTOS]),"NO EXISTE")</f>
        <v/>
      </c>
      <c r="E1873" s="19" t="n">
        <v>46158</v>
      </c>
      <c r="F1873" s="18" t="n">
        <v>6</v>
      </c>
      <c r="G1873" s="18" t="inlineStr">
        <is>
          <t>INGRESO</t>
        </is>
      </c>
      <c r="H1873" s="1" t="inlineStr">
        <is>
          <t>FERKA RUEDAS</t>
        </is>
      </c>
      <c r="I1873" s="45" t="n"/>
      <c r="J1873" s="77" t="n">
        <v>12879.5</v>
      </c>
      <c r="K1873" s="18" t="n">
        <v>517.96</v>
      </c>
    </row>
    <row r="1874">
      <c r="B1874" s="56" t="inlineStr">
        <is>
          <t>00010-FER</t>
        </is>
      </c>
      <c r="C1874" s="18">
        <f>IFERROR(_xlfn.XLOOKUP(ENTRADAS[[#This Row],[CODIGO]],LISTADO[CODIGOS],LISTADO[CATEGORIA]),"NO EXISTE")</f>
        <v/>
      </c>
      <c r="D1874" s="18">
        <f>IFERROR(_xlfn.XLOOKUP(ENTRADAS[[#This Row],[CODIGO]],LISTADO[CODIGOS],LISTADO[PRODUCTOS]),"NO EXISTE")</f>
        <v/>
      </c>
      <c r="E1874" s="19" t="n">
        <v>46158</v>
      </c>
      <c r="F1874" s="18" t="n">
        <v>6</v>
      </c>
      <c r="G1874" s="18" t="inlineStr">
        <is>
          <t>INGRESO</t>
        </is>
      </c>
      <c r="H1874" s="1" t="inlineStr">
        <is>
          <t>FERKA RUEDAS</t>
        </is>
      </c>
      <c r="I1874" s="45" t="n"/>
      <c r="J1874" s="77" t="n">
        <v>12879.5</v>
      </c>
      <c r="K1874" s="18" t="n">
        <v>517.96</v>
      </c>
    </row>
    <row r="1875">
      <c r="B1875" s="18" t="inlineStr">
        <is>
          <t>00115-ELE</t>
        </is>
      </c>
      <c r="C1875" s="18">
        <f>IFERROR(_xlfn.XLOOKUP(ENTRADAS[[#This Row],[CODIGO]],LISTADO[CODIGOS],LISTADO[CATEGORIA]),"NO EXISTE")</f>
        <v/>
      </c>
      <c r="D1875" s="18">
        <f>IFERROR(_xlfn.XLOOKUP(ENTRADAS[[#This Row],[CODIGO]],LISTADO[CODIGOS],LISTADO[PRODUCTOS]),"NO EXISTE")</f>
        <v/>
      </c>
      <c r="E1875" s="19" t="n">
        <v>46160</v>
      </c>
      <c r="F1875" s="18" t="n">
        <v>10</v>
      </c>
      <c r="G1875" s="18" t="inlineStr">
        <is>
          <t>INGRESO</t>
        </is>
      </c>
      <c r="H1875" s="18" t="inlineStr">
        <is>
          <t>C&amp;H REPRESENTACIONES 1122</t>
        </is>
      </c>
      <c r="I1875" s="45" t="n"/>
      <c r="J1875" s="77" t="n"/>
      <c r="K1875" s="18" t="n"/>
    </row>
    <row r="1876">
      <c r="B1876" s="18" t="inlineStr">
        <is>
          <t>00028-MSC</t>
        </is>
      </c>
      <c r="C1876" s="18">
        <f>IFERROR(_xlfn.XLOOKUP(ENTRADAS[[#This Row],[CODIGO]],LISTADO[CODIGOS],LISTADO[CATEGORIA]),"NO EXISTE")</f>
        <v/>
      </c>
      <c r="D1876" s="18">
        <f>IFERROR(_xlfn.XLOOKUP(ENTRADAS[[#This Row],[CODIGO]],LISTADO[CODIGOS],LISTADO[PRODUCTOS]),"NO EXISTE")</f>
        <v/>
      </c>
      <c r="E1876" s="19" t="n">
        <v>46160</v>
      </c>
      <c r="F1876" s="18" t="n">
        <v>2</v>
      </c>
      <c r="G1876" s="18" t="inlineStr">
        <is>
          <t>INGRESO</t>
        </is>
      </c>
      <c r="H1876" s="1" t="inlineStr">
        <is>
          <t>GRUPO MANGO BAJITO</t>
        </is>
      </c>
      <c r="I1876" s="45" t="n"/>
      <c r="J1876" s="77" t="n">
        <v>1786.07</v>
      </c>
      <c r="K1876" s="18" t="n"/>
    </row>
    <row r="1877">
      <c r="B1877" s="18" t="inlineStr">
        <is>
          <t>00029-MSC</t>
        </is>
      </c>
      <c r="C1877" s="18">
        <f>IFERROR(_xlfn.XLOOKUP(ENTRADAS[[#This Row],[CODIGO]],LISTADO[CODIGOS],LISTADO[CATEGORIA]),"NO EXISTE")</f>
        <v/>
      </c>
      <c r="D1877" s="18">
        <f>IFERROR(_xlfn.XLOOKUP(ENTRADAS[[#This Row],[CODIGO]],LISTADO[CODIGOS],LISTADO[PRODUCTOS]),"NO EXISTE")</f>
        <v/>
      </c>
      <c r="E1877" s="19" t="n">
        <v>46160</v>
      </c>
      <c r="F1877" s="18" t="n">
        <v>2</v>
      </c>
      <c r="G1877" s="18" t="inlineStr">
        <is>
          <t>INGRESO</t>
        </is>
      </c>
      <c r="H1877" s="1" t="inlineStr">
        <is>
          <t>FERRETERIA EPA</t>
        </is>
      </c>
      <c r="I1877" s="45" t="n"/>
      <c r="J1877" s="77" t="n">
        <v>5827.04</v>
      </c>
      <c r="K1877" s="18" t="n"/>
    </row>
    <row r="1878">
      <c r="B1878" s="18" t="inlineStr">
        <is>
          <t>00030-MSC</t>
        </is>
      </c>
      <c r="C1878" s="18">
        <f>IFERROR(_xlfn.XLOOKUP(ENTRADAS[[#This Row],[CODIGO]],LISTADO[CODIGOS],LISTADO[CATEGORIA]),"NO EXISTE")</f>
        <v/>
      </c>
      <c r="D1878" s="18">
        <f>IFERROR(_xlfn.XLOOKUP(ENTRADAS[[#This Row],[CODIGO]],LISTADO[CODIGOS],LISTADO[PRODUCTOS]),"NO EXISTE")</f>
        <v/>
      </c>
      <c r="E1878" s="19" t="n">
        <v>46160</v>
      </c>
      <c r="F1878" s="18" t="n">
        <v>200</v>
      </c>
      <c r="G1878" s="18" t="inlineStr">
        <is>
          <t>INGRESO</t>
        </is>
      </c>
      <c r="I1878" s="45" t="n"/>
      <c r="J1878" s="77" t="n"/>
      <c r="K1878" s="18" t="n"/>
    </row>
    <row r="1879">
      <c r="B1879" s="18" t="inlineStr">
        <is>
          <t>00031-MSC</t>
        </is>
      </c>
      <c r="C1879" s="18">
        <f>IFERROR(_xlfn.XLOOKUP(ENTRADAS[[#This Row],[CODIGO]],LISTADO[CODIGOS],LISTADO[CATEGORIA]),"NO EXISTE")</f>
        <v/>
      </c>
      <c r="D1879" s="18">
        <f>IFERROR(_xlfn.XLOOKUP(ENTRADAS[[#This Row],[CODIGO]],LISTADO[CODIGOS],LISTADO[PRODUCTOS]),"NO EXISTE")</f>
        <v/>
      </c>
      <c r="E1879" s="19" t="n">
        <v>46160</v>
      </c>
      <c r="F1879" s="18" t="n">
        <v>38</v>
      </c>
      <c r="G1879" s="18" t="inlineStr">
        <is>
          <t>INGRESO</t>
        </is>
      </c>
      <c r="I1879" s="45" t="n"/>
      <c r="J1879" s="77" t="n"/>
      <c r="K1879" s="18" t="n"/>
    </row>
    <row r="1880">
      <c r="B1880" s="18" t="inlineStr">
        <is>
          <t>00077-ELC</t>
        </is>
      </c>
      <c r="C1880" s="18">
        <f>IFERROR(_xlfn.XLOOKUP(ENTRADAS[[#This Row],[CODIGO]],LISTADO[CODIGOS],LISTADO[CATEGORIA]),"NO EXISTE")</f>
        <v/>
      </c>
      <c r="D1880" s="18">
        <f>IFERROR(_xlfn.XLOOKUP(ENTRADAS[[#This Row],[CODIGO]],LISTADO[CODIGOS],LISTADO[PRODUCTOS]),"NO EXISTE")</f>
        <v/>
      </c>
      <c r="E1880" s="19" t="n">
        <v>46160</v>
      </c>
      <c r="F1880" s="18" t="n">
        <v>1</v>
      </c>
      <c r="G1880" s="18" t="inlineStr">
        <is>
          <t>INGRESO</t>
        </is>
      </c>
      <c r="H1880" s="1" t="inlineStr">
        <is>
          <t>R.O.C.A</t>
        </is>
      </c>
      <c r="I1880" s="45" t="n">
        <v>80</v>
      </c>
      <c r="J1880" s="77" t="n"/>
      <c r="K1880" s="18" t="n"/>
    </row>
    <row r="1881">
      <c r="B1881" s="56" t="inlineStr">
        <is>
          <t>00041-ELE</t>
        </is>
      </c>
      <c r="C1881" s="18">
        <f>IFERROR(_xlfn.XLOOKUP(ENTRADAS[[#This Row],[CODIGO]],LISTADO[CODIGOS],LISTADO[CATEGORIA]),"NO EXISTE")</f>
        <v/>
      </c>
      <c r="D1881" s="18">
        <f>IFERROR(_xlfn.XLOOKUP(ENTRADAS[[#This Row],[CODIGO]],LISTADO[CODIGOS],LISTADO[PRODUCTOS]),"NO EXISTE")</f>
        <v/>
      </c>
      <c r="E1881" s="19" t="n">
        <v>46160</v>
      </c>
      <c r="F1881" s="18" t="n">
        <v>68</v>
      </c>
      <c r="G1881" s="18" t="inlineStr">
        <is>
          <t>INGRESO</t>
        </is>
      </c>
      <c r="H1881" s="1" t="inlineStr">
        <is>
          <t>R.O.C.A</t>
        </is>
      </c>
      <c r="I1881" s="45" t="n">
        <v>2.82</v>
      </c>
      <c r="J1881" s="77" t="n"/>
      <c r="K1881" s="18" t="n"/>
    </row>
    <row r="1882">
      <c r="B1882" s="18" t="inlineStr">
        <is>
          <t>00070-ELE</t>
        </is>
      </c>
      <c r="C1882" s="18">
        <f>IFERROR(_xlfn.XLOOKUP(ENTRADAS[[#This Row],[CODIGO]],LISTADO[CODIGOS],LISTADO[CATEGORIA]),"NO EXISTE")</f>
        <v/>
      </c>
      <c r="D1882" s="18">
        <f>IFERROR(_xlfn.XLOOKUP(ENTRADAS[[#This Row],[CODIGO]],LISTADO[CODIGOS],LISTADO[PRODUCTOS]),"NO EXISTE")</f>
        <v/>
      </c>
      <c r="E1882" s="19" t="n">
        <v>46160</v>
      </c>
      <c r="F1882" s="18" t="n">
        <v>30</v>
      </c>
      <c r="G1882" s="18" t="inlineStr">
        <is>
          <t>INGRESO</t>
        </is>
      </c>
      <c r="H1882" s="1" t="inlineStr">
        <is>
          <t>R.O.C.A</t>
        </is>
      </c>
      <c r="I1882" s="45" t="n">
        <v>1.41</v>
      </c>
      <c r="J1882" s="77" t="n"/>
      <c r="K1882" s="18" t="n"/>
    </row>
    <row r="1883">
      <c r="B1883" s="56" t="inlineStr">
        <is>
          <t>00004-FER</t>
        </is>
      </c>
      <c r="C1883" s="18">
        <f>IFERROR(_xlfn.XLOOKUP(ENTRADAS[[#This Row],[CODIGO]],LISTADO[CODIGOS],LISTADO[CATEGORIA]),"NO EXISTE")</f>
        <v/>
      </c>
      <c r="D1883" s="18">
        <f>IFERROR(_xlfn.XLOOKUP(ENTRADAS[[#This Row],[CODIGO]],LISTADO[CODIGOS],LISTADO[PRODUCTOS]),"NO EXISTE")</f>
        <v/>
      </c>
      <c r="E1883" s="19" t="n">
        <v>46160</v>
      </c>
      <c r="F1883" s="18" t="n">
        <v>100</v>
      </c>
      <c r="G1883" s="18" t="inlineStr">
        <is>
          <t>INGRESO</t>
        </is>
      </c>
      <c r="H1883" s="1" t="inlineStr">
        <is>
          <t>R.O.C.A</t>
        </is>
      </c>
      <c r="I1883" s="45" t="n">
        <v>0.099</v>
      </c>
      <c r="J1883" s="77" t="n"/>
      <c r="K1883" s="18" t="n"/>
    </row>
    <row r="1884">
      <c r="B1884" s="56" t="inlineStr">
        <is>
          <t>00041-ILU</t>
        </is>
      </c>
      <c r="C1884" s="18">
        <f>IFERROR(_xlfn.XLOOKUP(ENTRADAS[[#This Row],[CODIGO]],LISTADO[CODIGOS],LISTADO[CATEGORIA]),"NO EXISTE")</f>
        <v/>
      </c>
      <c r="D1884" s="18">
        <f>IFERROR(_xlfn.XLOOKUP(ENTRADAS[[#This Row],[CODIGO]],LISTADO[CODIGOS],LISTADO[PRODUCTOS]),"NO EXISTE")</f>
        <v/>
      </c>
      <c r="E1884" s="19" t="n">
        <v>46161</v>
      </c>
      <c r="F1884" s="18" t="n">
        <v>6</v>
      </c>
      <c r="G1884" s="18" t="inlineStr">
        <is>
          <t>INGRESO</t>
        </is>
      </c>
      <c r="H1884" s="18" t="inlineStr">
        <is>
          <t>REVESTIMIENTO GLOVAL</t>
        </is>
      </c>
      <c r="I1884" s="45" t="n">
        <v>50</v>
      </c>
      <c r="J1884" s="77" t="n"/>
      <c r="K1884" s="18" t="n"/>
    </row>
    <row r="1885">
      <c r="B1885" s="56" t="inlineStr">
        <is>
          <t>00059-ILU</t>
        </is>
      </c>
      <c r="C1885" s="18">
        <f>IFERROR(_xlfn.XLOOKUP(ENTRADAS[[#This Row],[CODIGO]],LISTADO[CODIGOS],LISTADO[CATEGORIA]),"NO EXISTE")</f>
        <v/>
      </c>
      <c r="D1885" s="18">
        <f>IFERROR(_xlfn.XLOOKUP(ENTRADAS[[#This Row],[CODIGO]],LISTADO[CODIGOS],LISTADO[PRODUCTOS]),"NO EXISTE")</f>
        <v/>
      </c>
      <c r="E1885" s="19" t="n">
        <v>46161</v>
      </c>
      <c r="F1885" s="18" t="n">
        <v>2</v>
      </c>
      <c r="G1885" s="18" t="inlineStr">
        <is>
          <t>INGRESO</t>
        </is>
      </c>
      <c r="H1885" s="18" t="inlineStr">
        <is>
          <t>REVESTIMIENTO GLOVAL</t>
        </is>
      </c>
      <c r="I1885" s="45" t="n">
        <v>79</v>
      </c>
      <c r="J1885" s="77" t="n"/>
      <c r="K1885" s="18" t="n"/>
    </row>
    <row r="1886">
      <c r="B1886" s="56" t="inlineStr">
        <is>
          <t>00020-ILU</t>
        </is>
      </c>
      <c r="C1886" s="18">
        <f>IFERROR(_xlfn.XLOOKUP(ENTRADAS[[#This Row],[CODIGO]],LISTADO[CODIGOS],LISTADO[CATEGORIA]),"NO EXISTE")</f>
        <v/>
      </c>
      <c r="D1886" s="18">
        <f>IFERROR(_xlfn.XLOOKUP(ENTRADAS[[#This Row],[CODIGO]],LISTADO[CODIGOS],LISTADO[PRODUCTOS]),"NO EXISTE")</f>
        <v/>
      </c>
      <c r="E1886" s="19" t="n">
        <v>46161</v>
      </c>
      <c r="F1886" s="18" t="n">
        <v>20</v>
      </c>
      <c r="G1886" s="18" t="inlineStr">
        <is>
          <t>INGRESO</t>
        </is>
      </c>
      <c r="H1886" s="18" t="inlineStr">
        <is>
          <t>REVESTIMIENTO GLOVAL</t>
        </is>
      </c>
      <c r="I1886" s="45" t="n">
        <v>8</v>
      </c>
      <c r="J1886" s="77" t="n"/>
      <c r="K1886" s="18" t="n"/>
    </row>
    <row r="1887">
      <c r="B1887" s="18" t="inlineStr">
        <is>
          <t>00241-FER</t>
        </is>
      </c>
      <c r="C1887" s="18">
        <f>IFERROR(_xlfn.XLOOKUP(ENTRADAS[[#This Row],[CODIGO]],LISTADO[CODIGOS],LISTADO[CATEGORIA]),"NO EXISTE")</f>
        <v/>
      </c>
      <c r="D1887" s="18">
        <f>IFERROR(_xlfn.XLOOKUP(ENTRADAS[[#This Row],[CODIGO]],LISTADO[CODIGOS],LISTADO[PRODUCTOS]),"NO EXISTE")</f>
        <v/>
      </c>
      <c r="E1887" s="19" t="n">
        <v>46161</v>
      </c>
      <c r="F1887" s="18" t="n">
        <v>2</v>
      </c>
      <c r="G1887" s="18" t="inlineStr">
        <is>
          <t>INGRESO</t>
        </is>
      </c>
      <c r="H1887" s="18" t="inlineStr">
        <is>
          <t>PINTURAS IPM, C.A</t>
        </is>
      </c>
      <c r="I1887" s="45" t="n">
        <v>91</v>
      </c>
      <c r="J1887" s="77" t="n"/>
      <c r="K1887" s="18" t="n"/>
    </row>
    <row r="1888">
      <c r="B1888" s="18" t="inlineStr">
        <is>
          <t>00101-HER</t>
        </is>
      </c>
      <c r="C1888" s="18">
        <f>IFERROR(_xlfn.XLOOKUP(ENTRADAS[[#This Row],[CODIGO]],LISTADO[CODIGOS],LISTADO[CATEGORIA]),"NO EXISTE")</f>
        <v/>
      </c>
      <c r="D1888" s="18">
        <f>IFERROR(_xlfn.XLOOKUP(ENTRADAS[[#This Row],[CODIGO]],LISTADO[CODIGOS],LISTADO[PRODUCTOS]),"NO EXISTE")</f>
        <v/>
      </c>
      <c r="E1888" s="19" t="n">
        <v>46161</v>
      </c>
      <c r="F1888" s="18" t="n">
        <v>5</v>
      </c>
      <c r="G1888" s="18" t="inlineStr">
        <is>
          <t>INGRESO</t>
        </is>
      </c>
      <c r="H1888" s="18" t="inlineStr">
        <is>
          <t>CENTER MARK</t>
        </is>
      </c>
      <c r="I1888" s="45" t="n"/>
      <c r="J1888" s="77" t="n">
        <v>2071.85</v>
      </c>
      <c r="K1888" s="18" t="n"/>
    </row>
    <row r="1889">
      <c r="B1889" s="18" t="inlineStr">
        <is>
          <t>00032-MSC</t>
        </is>
      </c>
      <c r="C1889" s="18">
        <f>IFERROR(_xlfn.XLOOKUP(ENTRADAS[[#This Row],[CODIGO]],LISTADO[CODIGOS],LISTADO[CATEGORIA]),"NO EXISTE")</f>
        <v/>
      </c>
      <c r="D1889" s="18">
        <f>IFERROR(_xlfn.XLOOKUP(ENTRADAS[[#This Row],[CODIGO]],LISTADO[CODIGOS],LISTADO[PRODUCTOS]),"NO EXISTE")</f>
        <v/>
      </c>
      <c r="E1889" s="19" t="n">
        <v>46161</v>
      </c>
      <c r="F1889" s="18" t="n">
        <v>1</v>
      </c>
      <c r="G1889" s="18" t="inlineStr">
        <is>
          <t>INGRESO</t>
        </is>
      </c>
      <c r="H1889" s="1" t="inlineStr">
        <is>
          <t>IGUANA ACRILICA C.A.</t>
        </is>
      </c>
      <c r="I1889" s="45" t="n">
        <v>95</v>
      </c>
      <c r="J1889" s="77" t="n"/>
      <c r="K1889" s="18" t="n"/>
    </row>
    <row r="1890">
      <c r="B1890" s="18" t="inlineStr">
        <is>
          <t>00032-MSC</t>
        </is>
      </c>
      <c r="C1890" s="18">
        <f>IFERROR(_xlfn.XLOOKUP(ENTRADAS[[#This Row],[CODIGO]],LISTADO[CODIGOS],LISTADO[CATEGORIA]),"NO EXISTE")</f>
        <v/>
      </c>
      <c r="D1890" s="18">
        <f>IFERROR(_xlfn.XLOOKUP(ENTRADAS[[#This Row],[CODIGO]],LISTADO[CODIGOS],LISTADO[PRODUCTOS]),"NO EXISTE")</f>
        <v/>
      </c>
      <c r="E1890" s="19" t="n">
        <v>46161</v>
      </c>
      <c r="F1890" s="18" t="n">
        <v>1</v>
      </c>
      <c r="G1890" s="18" t="inlineStr">
        <is>
          <t>INGRESO</t>
        </is>
      </c>
      <c r="H1890" s="1" t="inlineStr">
        <is>
          <t>IGUANA ACRILICA C.A.</t>
        </is>
      </c>
      <c r="I1890" s="45" t="n">
        <v>95</v>
      </c>
      <c r="J1890" s="77" t="n"/>
      <c r="K1890" s="18" t="n"/>
    </row>
    <row r="1891">
      <c r="B1891" s="18" t="inlineStr">
        <is>
          <t>00075-ELE</t>
        </is>
      </c>
      <c r="C1891" s="18">
        <f>IFERROR(_xlfn.XLOOKUP(ENTRADAS[[#This Row],[CODIGO]],LISTADO[CODIGOS],LISTADO[CATEGORIA]),"NO EXISTE")</f>
        <v/>
      </c>
      <c r="D1891" s="18">
        <f>IFERROR(_xlfn.XLOOKUP(ENTRADAS[[#This Row],[CODIGO]],LISTADO[CODIGOS],LISTADO[PRODUCTOS]),"NO EXISTE")</f>
        <v/>
      </c>
      <c r="E1891" s="19" t="n">
        <v>46161</v>
      </c>
      <c r="F1891" s="18" t="n">
        <v>100</v>
      </c>
      <c r="G1891" s="18" t="inlineStr">
        <is>
          <t>INGRESO</t>
        </is>
      </c>
      <c r="H1891" s="1" t="inlineStr">
        <is>
          <t>CABLESELEC, C.A.</t>
        </is>
      </c>
      <c r="I1891" s="45" t="n">
        <v>0.8</v>
      </c>
      <c r="J1891" s="77" t="n"/>
      <c r="K1891" s="18" t="n"/>
    </row>
    <row r="1892">
      <c r="B1892" s="18" t="inlineStr">
        <is>
          <t>00060-ILU</t>
        </is>
      </c>
      <c r="C1892" s="18">
        <f>IFERROR(_xlfn.XLOOKUP(ENTRADAS[[#This Row],[CODIGO]],LISTADO[CODIGOS],LISTADO[CATEGORIA]),"NO EXISTE")</f>
        <v/>
      </c>
      <c r="D1892" s="18">
        <f>IFERROR(_xlfn.XLOOKUP(ENTRADAS[[#This Row],[CODIGO]],LISTADO[CODIGOS],LISTADO[PRODUCTOS]),"NO EXISTE")</f>
        <v/>
      </c>
      <c r="E1892" s="19" t="n">
        <v>46161</v>
      </c>
      <c r="F1892" s="18" t="n">
        <v>1</v>
      </c>
      <c r="G1892" s="18" t="inlineStr">
        <is>
          <t>INGRESO</t>
        </is>
      </c>
      <c r="H1892" s="1" t="inlineStr">
        <is>
          <t>R.O.C.A</t>
        </is>
      </c>
      <c r="I1892" s="45" t="n">
        <v>21.14</v>
      </c>
      <c r="J1892" s="77" t="n"/>
      <c r="K1892" s="18" t="n"/>
    </row>
    <row r="1893">
      <c r="B1893" s="18" t="inlineStr">
        <is>
          <t>00116-ELE</t>
        </is>
      </c>
      <c r="C1893" s="18">
        <f>IFERROR(_xlfn.XLOOKUP(ENTRADAS[[#This Row],[CODIGO]],LISTADO[CODIGOS],LISTADO[CATEGORIA]),"NO EXISTE")</f>
        <v/>
      </c>
      <c r="D1893" s="18">
        <f>IFERROR(_xlfn.XLOOKUP(ENTRADAS[[#This Row],[CODIGO]],LISTADO[CODIGOS],LISTADO[PRODUCTOS]),"NO EXISTE")</f>
        <v/>
      </c>
      <c r="E1893" s="19" t="n">
        <v>46161</v>
      </c>
      <c r="F1893" s="18" t="n">
        <v>4</v>
      </c>
      <c r="G1893" s="18" t="inlineStr">
        <is>
          <t>INGRESO</t>
        </is>
      </c>
      <c r="H1893" s="1" t="inlineStr">
        <is>
          <t>R.O.C.A</t>
        </is>
      </c>
      <c r="I1893" s="45" t="n">
        <v>2.71</v>
      </c>
      <c r="J1893" s="77" t="n"/>
      <c r="K1893" s="18" t="n"/>
    </row>
    <row r="1894">
      <c r="B1894" s="18" t="inlineStr">
        <is>
          <t>00077-ELE</t>
        </is>
      </c>
      <c r="C1894" s="18">
        <f>IFERROR(_xlfn.XLOOKUP(ENTRADAS[[#This Row],[CODIGO]],LISTADO[CODIGOS],LISTADO[CATEGORIA]),"NO EXISTE")</f>
        <v/>
      </c>
      <c r="D1894" s="18">
        <f>IFERROR(_xlfn.XLOOKUP(ENTRADAS[[#This Row],[CODIGO]],LISTADO[CODIGOS],LISTADO[PRODUCTOS]),"NO EXISTE")</f>
        <v/>
      </c>
      <c r="E1894" s="19" t="n">
        <v>46161</v>
      </c>
      <c r="F1894" s="18" t="n">
        <v>3</v>
      </c>
      <c r="G1894" s="18" t="inlineStr">
        <is>
          <t>INGRESO</t>
        </is>
      </c>
      <c r="H1894" s="1" t="inlineStr">
        <is>
          <t>R.O.C.A</t>
        </is>
      </c>
      <c r="I1894" s="45" t="n">
        <v>0.7</v>
      </c>
      <c r="J1894" s="77" t="n"/>
      <c r="K1894" s="18" t="n"/>
    </row>
    <row r="1895">
      <c r="B1895" s="18" t="inlineStr">
        <is>
          <t>00153-REF</t>
        </is>
      </c>
      <c r="C1895" s="18">
        <f>IFERROR(_xlfn.XLOOKUP(ENTRADAS[[#This Row],[CODIGO]],LISTADO[CODIGOS],LISTADO[CATEGORIA]),"NO EXISTE")</f>
        <v/>
      </c>
      <c r="D1895" s="18">
        <f>IFERROR(_xlfn.XLOOKUP(ENTRADAS[[#This Row],[CODIGO]],LISTADO[CODIGOS],LISTADO[PRODUCTOS]),"NO EXISTE")</f>
        <v/>
      </c>
      <c r="E1895" s="19" t="n">
        <v>46161</v>
      </c>
      <c r="F1895" s="18" t="n">
        <v>1</v>
      </c>
      <c r="G1895" s="18" t="inlineStr">
        <is>
          <t>INGRESO</t>
        </is>
      </c>
      <c r="H1895" s="1" t="inlineStr">
        <is>
          <t>R.O.C.A</t>
        </is>
      </c>
      <c r="I1895" s="45" t="n">
        <v>920</v>
      </c>
      <c r="J1895" s="77" t="n"/>
      <c r="K1895" s="18" t="n"/>
    </row>
    <row r="1896">
      <c r="B1896" s="18" t="inlineStr">
        <is>
          <t>00043-AUT</t>
        </is>
      </c>
      <c r="C1896" s="18">
        <f>IFERROR(_xlfn.XLOOKUP(ENTRADAS[[#This Row],[CODIGO]],LISTADO[CODIGOS],LISTADO[CATEGORIA]),"NO EXISTE")</f>
        <v/>
      </c>
      <c r="D1896" s="18">
        <f>IFERROR(_xlfn.XLOOKUP(ENTRADAS[[#This Row],[CODIGO]],LISTADO[CODIGOS],LISTADO[PRODUCTOS]),"NO EXISTE")</f>
        <v/>
      </c>
      <c r="E1896" s="19" t="n">
        <v>46162</v>
      </c>
      <c r="F1896" s="18" t="n">
        <v>1</v>
      </c>
      <c r="G1896" s="18" t="inlineStr">
        <is>
          <t>INGRESO</t>
        </is>
      </c>
      <c r="H1896" s="1" t="inlineStr">
        <is>
          <t>TBS MAQUINARIAS TODO SERVICE</t>
        </is>
      </c>
      <c r="I1896" s="45" t="n">
        <v>90</v>
      </c>
      <c r="J1896" s="77" t="n"/>
      <c r="K1896" s="18" t="n"/>
    </row>
    <row r="1897">
      <c r="B1897" s="56" t="inlineStr">
        <is>
          <t>00044-AUT</t>
        </is>
      </c>
      <c r="C1897" s="18">
        <f>IFERROR(_xlfn.XLOOKUP(ENTRADAS[[#This Row],[CODIGO]],LISTADO[CODIGOS],LISTADO[CATEGORIA]),"NO EXISTE")</f>
        <v/>
      </c>
      <c r="D1897" s="18">
        <f>IFERROR(_xlfn.XLOOKUP(ENTRADAS[[#This Row],[CODIGO]],LISTADO[CODIGOS],LISTADO[PRODUCTOS]),"NO EXISTE")</f>
        <v/>
      </c>
      <c r="E1897" s="19" t="n">
        <v>46162</v>
      </c>
      <c r="F1897" s="18" t="n">
        <v>10</v>
      </c>
      <c r="G1897" s="18" t="inlineStr">
        <is>
          <t>INGRESO</t>
        </is>
      </c>
      <c r="H1897" s="1" t="inlineStr">
        <is>
          <t>AUTOPARATES RVA</t>
        </is>
      </c>
      <c r="I1897" s="45" t="n">
        <v>14</v>
      </c>
      <c r="J1897" s="77" t="n"/>
      <c r="K1897" s="18" t="n"/>
    </row>
    <row r="1898">
      <c r="B1898" s="18" t="inlineStr">
        <is>
          <t>00243-FER</t>
        </is>
      </c>
      <c r="C1898" s="18">
        <f>IFERROR(_xlfn.XLOOKUP(ENTRADAS[[#This Row],[CODIGO]],LISTADO[CODIGOS],LISTADO[CATEGORIA]),"NO EXISTE")</f>
        <v/>
      </c>
      <c r="D1898" s="18">
        <f>IFERROR(_xlfn.XLOOKUP(ENTRADAS[[#This Row],[CODIGO]],LISTADO[CODIGOS],LISTADO[PRODUCTOS]),"NO EXISTE")</f>
        <v/>
      </c>
      <c r="E1898" s="19" t="n">
        <v>46162</v>
      </c>
      <c r="F1898" s="18" t="n">
        <v>1</v>
      </c>
      <c r="G1898" s="18" t="inlineStr">
        <is>
          <t>INGRESO</t>
        </is>
      </c>
      <c r="H1898" s="1" t="inlineStr">
        <is>
          <t>CENTER MARK</t>
        </is>
      </c>
      <c r="I1898" s="45" t="n"/>
      <c r="J1898" s="77" t="n">
        <v>1302.32</v>
      </c>
      <c r="K1898" s="18" t="n"/>
    </row>
    <row r="1899">
      <c r="B1899" s="18" t="inlineStr">
        <is>
          <t>00133-HER</t>
        </is>
      </c>
      <c r="C1899" s="18">
        <f>IFERROR(_xlfn.XLOOKUP(ENTRADAS[[#This Row],[CODIGO]],LISTADO[CODIGOS],LISTADO[CATEGORIA]),"NO EXISTE")</f>
        <v/>
      </c>
      <c r="D1899" s="18">
        <f>IFERROR(_xlfn.XLOOKUP(ENTRADAS[[#This Row],[CODIGO]],LISTADO[CODIGOS],LISTADO[PRODUCTOS]),"NO EXISTE")</f>
        <v/>
      </c>
      <c r="E1899" s="19" t="n">
        <v>46162</v>
      </c>
      <c r="F1899" s="18" t="n">
        <v>1</v>
      </c>
      <c r="G1899" s="18" t="inlineStr">
        <is>
          <t>INGRESO</t>
        </is>
      </c>
      <c r="H1899" s="1" t="inlineStr">
        <is>
          <t>CENTER MARK</t>
        </is>
      </c>
      <c r="I1899" s="45" t="n"/>
      <c r="J1899" s="77" t="n">
        <v>6251.02</v>
      </c>
      <c r="K1899" s="18" t="n"/>
    </row>
    <row r="1900">
      <c r="B1900" s="18" t="inlineStr">
        <is>
          <t>00077-ELE</t>
        </is>
      </c>
      <c r="C1900" s="18">
        <f>IFERROR(_xlfn.XLOOKUP(ENTRADAS[[#This Row],[CODIGO]],LISTADO[CODIGOS],LISTADO[CATEGORIA]),"NO EXISTE")</f>
        <v/>
      </c>
      <c r="D1900" s="18">
        <f>IFERROR(_xlfn.XLOOKUP(ENTRADAS[[#This Row],[CODIGO]],LISTADO[CODIGOS],LISTADO[PRODUCTOS]),"NO EXISTE")</f>
        <v/>
      </c>
      <c r="E1900" s="19" t="n">
        <v>46162</v>
      </c>
      <c r="F1900" s="18" t="n">
        <v>1</v>
      </c>
      <c r="G1900" s="18" t="inlineStr">
        <is>
          <t>INGRESO</t>
        </is>
      </c>
      <c r="H1900" s="1" t="inlineStr">
        <is>
          <t>CENTER MARK</t>
        </is>
      </c>
      <c r="I1900" s="45" t="n"/>
      <c r="J1900" s="77" t="n">
        <v>312.53</v>
      </c>
      <c r="K1900" s="18" t="n"/>
    </row>
    <row r="1901">
      <c r="B1901" s="18" t="inlineStr">
        <is>
          <t>00074-ELE</t>
        </is>
      </c>
      <c r="C1901" s="18">
        <f>IFERROR(_xlfn.XLOOKUP(ENTRADAS[[#This Row],[CODIGO]],LISTADO[CODIGOS],LISTADO[CATEGORIA]),"NO EXISTE")</f>
        <v/>
      </c>
      <c r="D1901" s="18">
        <f>IFERROR(_xlfn.XLOOKUP(ENTRADAS[[#This Row],[CODIGO]],LISTADO[CODIGOS],LISTADO[PRODUCTOS]),"NO EXISTE")</f>
        <v/>
      </c>
      <c r="E1901" s="19" t="n">
        <v>46162</v>
      </c>
      <c r="F1901" s="18" t="n">
        <v>10</v>
      </c>
      <c r="G1901" s="18" t="inlineStr">
        <is>
          <t>INGRESO</t>
        </is>
      </c>
      <c r="H1901" s="1" t="inlineStr">
        <is>
          <t>CENTER MARK</t>
        </is>
      </c>
      <c r="I1901" s="45" t="n"/>
      <c r="J1901" s="77" t="n">
        <v>2344.13</v>
      </c>
      <c r="K1901" s="18" t="n"/>
    </row>
    <row r="1902">
      <c r="B1902" s="18" t="inlineStr">
        <is>
          <t>00244-FER</t>
        </is>
      </c>
      <c r="C1902" s="18">
        <f>IFERROR(_xlfn.XLOOKUP(ENTRADAS[[#This Row],[CODIGO]],LISTADO[CODIGOS],LISTADO[CATEGORIA]),"NO EXISTE")</f>
        <v/>
      </c>
      <c r="D1902" s="18">
        <f>IFERROR(_xlfn.XLOOKUP(ENTRADAS[[#This Row],[CODIGO]],LISTADO[CODIGOS],LISTADO[PRODUCTOS]),"NO EXISTE")</f>
        <v/>
      </c>
      <c r="E1902" s="19" t="n">
        <v>46162</v>
      </c>
      <c r="F1902" s="18" t="n">
        <v>1</v>
      </c>
      <c r="G1902" s="18" t="inlineStr">
        <is>
          <t>INGRESO</t>
        </is>
      </c>
      <c r="H1902" s="1" t="inlineStr">
        <is>
          <t>TOTAL TOOLS VALENCIA</t>
        </is>
      </c>
      <c r="I1902" s="45" t="n"/>
      <c r="J1902" s="77" t="n">
        <v>8480.41</v>
      </c>
      <c r="K1902" s="18" t="n"/>
    </row>
    <row r="1903">
      <c r="B1903" s="18" t="inlineStr">
        <is>
          <t>00151-REF</t>
        </is>
      </c>
      <c r="C1903" s="18">
        <f>IFERROR(_xlfn.XLOOKUP(ENTRADAS[[#This Row],[CODIGO]],LISTADO[CODIGOS],LISTADO[CATEGORIA]),"NO EXISTE")</f>
        <v/>
      </c>
      <c r="D1903" s="18">
        <f>IFERROR(_xlfn.XLOOKUP(ENTRADAS[[#This Row],[CODIGO]],LISTADO[CODIGOS],LISTADO[PRODUCTOS]),"NO EXISTE")</f>
        <v/>
      </c>
      <c r="E1903" s="19" t="n">
        <v>46162</v>
      </c>
      <c r="F1903" s="18" t="n">
        <v>4</v>
      </c>
      <c r="G1903" s="18" t="inlineStr">
        <is>
          <t>INGRESO</t>
        </is>
      </c>
      <c r="H1903" s="1" t="inlineStr">
        <is>
          <t>R.O.C.A</t>
        </is>
      </c>
      <c r="I1903" s="45" t="n">
        <v>39.24</v>
      </c>
      <c r="J1903" s="77" t="n"/>
      <c r="K1903" s="18" t="n"/>
    </row>
    <row r="1904">
      <c r="B1904" s="18" t="inlineStr">
        <is>
          <t>00152-REF</t>
        </is>
      </c>
      <c r="C1904" s="18">
        <f>IFERROR(_xlfn.XLOOKUP(ENTRADAS[[#This Row],[CODIGO]],LISTADO[CODIGOS],LISTADO[CATEGORIA]),"NO EXISTE")</f>
        <v/>
      </c>
      <c r="D1904" s="18">
        <f>IFERROR(_xlfn.XLOOKUP(ENTRADAS[[#This Row],[CODIGO]],LISTADO[CODIGOS],LISTADO[PRODUCTOS]),"NO EXISTE")</f>
        <v/>
      </c>
      <c r="E1904" s="19" t="n">
        <v>46162</v>
      </c>
      <c r="F1904" s="18" t="n">
        <v>1</v>
      </c>
      <c r="G1904" s="18" t="inlineStr">
        <is>
          <t>INGRESO</t>
        </is>
      </c>
      <c r="H1904" s="1" t="inlineStr">
        <is>
          <t>R.O.C.A</t>
        </is>
      </c>
      <c r="I1904" s="45" t="n">
        <v>56.07</v>
      </c>
      <c r="J1904" s="77" t="n"/>
      <c r="K1904" s="18" t="n"/>
    </row>
    <row r="1905">
      <c r="B1905" s="18" t="inlineStr">
        <is>
          <t>00117-ELE</t>
        </is>
      </c>
      <c r="C1905" s="18">
        <f>IFERROR(_xlfn.XLOOKUP(ENTRADAS[[#This Row],[CODIGO]],LISTADO[CODIGOS],LISTADO[CATEGORIA]),"NO EXISTE")</f>
        <v/>
      </c>
      <c r="D1905" s="18">
        <f>IFERROR(_xlfn.XLOOKUP(ENTRADAS[[#This Row],[CODIGO]],LISTADO[CODIGOS],LISTADO[PRODUCTOS]),"NO EXISTE")</f>
        <v/>
      </c>
      <c r="E1905" s="19" t="n">
        <v>46163</v>
      </c>
      <c r="F1905" s="18" t="n">
        <v>200</v>
      </c>
      <c r="G1905" s="18" t="inlineStr">
        <is>
          <t>INGRESO</t>
        </is>
      </c>
      <c r="H1905" s="1" t="inlineStr">
        <is>
          <t>CABLESELEC, C.A.</t>
        </is>
      </c>
      <c r="I1905" s="45" t="n">
        <v>0.8</v>
      </c>
      <c r="J1905" s="77" t="n"/>
      <c r="K1905" s="18" t="n"/>
    </row>
    <row r="1906">
      <c r="B1906" s="56" t="inlineStr">
        <is>
          <t>00014-ELE</t>
        </is>
      </c>
      <c r="C1906" s="18">
        <f>IFERROR(_xlfn.XLOOKUP(ENTRADAS[[#This Row],[CODIGO]],LISTADO[CODIGOS],LISTADO[CATEGORIA]),"NO EXISTE")</f>
        <v/>
      </c>
      <c r="D1906" s="18">
        <f>IFERROR(_xlfn.XLOOKUP(ENTRADAS[[#This Row],[CODIGO]],LISTADO[CODIGOS],LISTADO[PRODUCTOS]),"NO EXISTE")</f>
        <v/>
      </c>
      <c r="E1906" s="19" t="n">
        <v>46163</v>
      </c>
      <c r="F1906" s="18" t="n">
        <v>100</v>
      </c>
      <c r="G1906" s="18" t="inlineStr">
        <is>
          <t>INGRESO</t>
        </is>
      </c>
      <c r="H1906" s="1" t="inlineStr">
        <is>
          <t>CABLESELEC, C.A.</t>
        </is>
      </c>
      <c r="I1906" s="45" t="n">
        <v>0.8</v>
      </c>
      <c r="J1906" s="77" t="n"/>
      <c r="K1906" s="18" t="n"/>
    </row>
    <row r="1907">
      <c r="B1907" s="18" t="inlineStr">
        <is>
          <t>00075-ELE</t>
        </is>
      </c>
      <c r="C1907" s="18">
        <f>IFERROR(_xlfn.XLOOKUP(ENTRADAS[[#This Row],[CODIGO]],LISTADO[CODIGOS],LISTADO[CATEGORIA]),"NO EXISTE")</f>
        <v/>
      </c>
      <c r="D1907" s="18">
        <f>IFERROR(_xlfn.XLOOKUP(ENTRADAS[[#This Row],[CODIGO]],LISTADO[CODIGOS],LISTADO[PRODUCTOS]),"NO EXISTE")</f>
        <v/>
      </c>
      <c r="E1907" s="19" t="n">
        <v>46163</v>
      </c>
      <c r="F1907" s="18" t="n">
        <v>100</v>
      </c>
      <c r="G1907" s="18" t="inlineStr">
        <is>
          <t>INGRESO</t>
        </is>
      </c>
      <c r="H1907" s="1" t="inlineStr">
        <is>
          <t>CABLESELEC, C.A.</t>
        </is>
      </c>
      <c r="I1907" s="45" t="n">
        <v>0.8</v>
      </c>
      <c r="J1907" s="77" t="n"/>
      <c r="K1907" s="18" t="n"/>
    </row>
    <row r="1908">
      <c r="B1908" s="18" t="inlineStr">
        <is>
          <t>00089-ELE</t>
        </is>
      </c>
      <c r="C1908" s="18">
        <f>IFERROR(_xlfn.XLOOKUP(ENTRADAS[[#This Row],[CODIGO]],LISTADO[CODIGOS],LISTADO[CATEGORIA]),"NO EXISTE")</f>
        <v/>
      </c>
      <c r="D1908" s="18">
        <f>IFERROR(_xlfn.XLOOKUP(ENTRADAS[[#This Row],[CODIGO]],LISTADO[CODIGOS],LISTADO[PRODUCTOS]),"NO EXISTE")</f>
        <v/>
      </c>
      <c r="E1908" s="19" t="n">
        <v>46163</v>
      </c>
      <c r="F1908" s="18" t="n">
        <v>200</v>
      </c>
      <c r="G1908" s="18" t="inlineStr">
        <is>
          <t>INGRESO</t>
        </is>
      </c>
      <c r="H1908" s="1" t="inlineStr">
        <is>
          <t>CABLESELEC, C.A.</t>
        </is>
      </c>
      <c r="I1908" s="45" t="n">
        <v>0.8</v>
      </c>
      <c r="J1908" s="77" t="n"/>
      <c r="K1908" s="18" t="n"/>
    </row>
    <row r="1909">
      <c r="B1909" s="18" t="inlineStr">
        <is>
          <t>00066-ELE</t>
        </is>
      </c>
      <c r="C1909" s="18">
        <f>IFERROR(_xlfn.XLOOKUP(ENTRADAS[[#This Row],[CODIGO]],LISTADO[CODIGOS],LISTADO[CATEGORIA]),"NO EXISTE")</f>
        <v/>
      </c>
      <c r="D1909" s="18">
        <f>IFERROR(_xlfn.XLOOKUP(ENTRADAS[[#This Row],[CODIGO]],LISTADO[CODIGOS],LISTADO[PRODUCTOS]),"NO EXISTE")</f>
        <v/>
      </c>
      <c r="E1909" s="19" t="n">
        <v>46163</v>
      </c>
      <c r="F1909" s="18" t="n">
        <v>100</v>
      </c>
      <c r="G1909" s="18" t="inlineStr">
        <is>
          <t>INGRESO</t>
        </is>
      </c>
      <c r="H1909" s="1" t="inlineStr">
        <is>
          <t>CABLESELEC, C.A.</t>
        </is>
      </c>
      <c r="I1909" s="45" t="n">
        <v>0.8</v>
      </c>
      <c r="J1909" s="77" t="n"/>
      <c r="K1909" s="18" t="n"/>
    </row>
    <row r="1910">
      <c r="B1910" s="18" t="inlineStr">
        <is>
          <t>00118-ELE</t>
        </is>
      </c>
      <c r="C1910" s="18">
        <f>IFERROR(_xlfn.XLOOKUP(ENTRADAS[[#This Row],[CODIGO]],LISTADO[CODIGOS],LISTADO[CATEGORIA]),"NO EXISTE")</f>
        <v/>
      </c>
      <c r="D1910" s="18">
        <f>IFERROR(_xlfn.XLOOKUP(ENTRADAS[[#This Row],[CODIGO]],LISTADO[CODIGOS],LISTADO[PRODUCTOS]),"NO EXISTE")</f>
        <v/>
      </c>
      <c r="E1910" s="19" t="n">
        <v>46163</v>
      </c>
      <c r="F1910" s="18" t="n">
        <v>200</v>
      </c>
      <c r="G1910" s="18" t="inlineStr">
        <is>
          <t>INGRESO</t>
        </is>
      </c>
      <c r="H1910" s="1" t="inlineStr">
        <is>
          <t>CABLESELEC, C.A.</t>
        </is>
      </c>
      <c r="I1910" s="45" t="n">
        <v>1.35</v>
      </c>
      <c r="J1910" s="77" t="n"/>
      <c r="K1910" s="18" t="n"/>
    </row>
    <row r="1911">
      <c r="B1911" s="18" t="inlineStr">
        <is>
          <t>00088-ELE</t>
        </is>
      </c>
      <c r="C1911" s="18">
        <f>IFERROR(_xlfn.XLOOKUP(ENTRADAS[[#This Row],[CODIGO]],LISTADO[CODIGOS],LISTADO[CATEGORIA]),"NO EXISTE")</f>
        <v/>
      </c>
      <c r="D1911" s="18">
        <f>IFERROR(_xlfn.XLOOKUP(ENTRADAS[[#This Row],[CODIGO]],LISTADO[CODIGOS],LISTADO[PRODUCTOS]),"NO EXISTE")</f>
        <v/>
      </c>
      <c r="E1911" s="19" t="n">
        <v>46163</v>
      </c>
      <c r="F1911" s="18" t="n">
        <v>200</v>
      </c>
      <c r="G1911" s="18" t="inlineStr">
        <is>
          <t>INGRESO</t>
        </is>
      </c>
      <c r="H1911" s="1" t="inlineStr">
        <is>
          <t>CABLESELEC, C.A.</t>
        </is>
      </c>
      <c r="I1911" s="45" t="n">
        <v>1.35</v>
      </c>
      <c r="J1911" s="77" t="n"/>
      <c r="K1911" s="18" t="n"/>
    </row>
    <row r="1912">
      <c r="B1912" s="18" t="inlineStr">
        <is>
          <t>00119-ELE</t>
        </is>
      </c>
      <c r="C1912" s="18">
        <f>IFERROR(_xlfn.XLOOKUP(ENTRADAS[[#This Row],[CODIGO]],LISTADO[CODIGOS],LISTADO[CATEGORIA]),"NO EXISTE")</f>
        <v/>
      </c>
      <c r="D1912" s="18">
        <f>IFERROR(_xlfn.XLOOKUP(ENTRADAS[[#This Row],[CODIGO]],LISTADO[CODIGOS],LISTADO[PRODUCTOS]),"NO EXISTE")</f>
        <v/>
      </c>
      <c r="E1912" s="19" t="n">
        <v>46163</v>
      </c>
      <c r="F1912" s="18" t="n">
        <v>200</v>
      </c>
      <c r="G1912" s="18" t="inlineStr">
        <is>
          <t>INGRESO</t>
        </is>
      </c>
      <c r="H1912" s="1" t="inlineStr">
        <is>
          <t>CABLESELEC, C.A.</t>
        </is>
      </c>
      <c r="I1912" s="45" t="n">
        <v>1.35</v>
      </c>
      <c r="J1912" s="77" t="n"/>
      <c r="K1912" s="18" t="n"/>
    </row>
    <row r="1913">
      <c r="B1913" s="56" t="inlineStr">
        <is>
          <t>00120-ELE</t>
        </is>
      </c>
      <c r="C1913" s="18">
        <f>IFERROR(_xlfn.XLOOKUP(ENTRADAS[[#This Row],[CODIGO]],LISTADO[CODIGOS],LISTADO[CATEGORIA]),"NO EXISTE")</f>
        <v/>
      </c>
      <c r="D1913" s="18">
        <f>IFERROR(_xlfn.XLOOKUP(ENTRADAS[[#This Row],[CODIGO]],LISTADO[CODIGOS],LISTADO[PRODUCTOS]),"NO EXISTE")</f>
        <v/>
      </c>
      <c r="E1913" s="19" t="n">
        <v>46163</v>
      </c>
      <c r="F1913" s="18" t="n">
        <v>100</v>
      </c>
      <c r="G1913" s="18" t="inlineStr">
        <is>
          <t>INGRESO</t>
        </is>
      </c>
      <c r="H1913" s="1" t="inlineStr">
        <is>
          <t>CABLESELEC, C.A.</t>
        </is>
      </c>
      <c r="I1913" s="45" t="n">
        <v>1.35</v>
      </c>
      <c r="J1913" s="77" t="n"/>
      <c r="K1913" s="18" t="n"/>
    </row>
    <row r="1914">
      <c r="B1914" s="18" t="inlineStr">
        <is>
          <t>00015-ELE</t>
        </is>
      </c>
      <c r="C1914" s="18">
        <f>IFERROR(_xlfn.XLOOKUP(ENTRADAS[[#This Row],[CODIGO]],LISTADO[CODIGOS],LISTADO[CATEGORIA]),"NO EXISTE")</f>
        <v/>
      </c>
      <c r="D1914" s="18">
        <f>IFERROR(_xlfn.XLOOKUP(ENTRADAS[[#This Row],[CODIGO]],LISTADO[CODIGOS],LISTADO[PRODUCTOS]),"NO EXISTE")</f>
        <v/>
      </c>
      <c r="E1914" s="19" t="n">
        <v>46163</v>
      </c>
      <c r="F1914" s="18" t="n">
        <v>100</v>
      </c>
      <c r="G1914" s="18" t="inlineStr">
        <is>
          <t>INGRESO</t>
        </is>
      </c>
      <c r="H1914" s="1" t="inlineStr">
        <is>
          <t>CABLESELEC, C.A.</t>
        </is>
      </c>
      <c r="I1914" s="45" t="n">
        <v>2.23</v>
      </c>
      <c r="J1914" s="77" t="n"/>
      <c r="K1914" s="18" t="n"/>
    </row>
    <row r="1915">
      <c r="B1915" s="18" t="inlineStr">
        <is>
          <t>00219-FER</t>
        </is>
      </c>
      <c r="C1915" s="18">
        <f>IFERROR(_xlfn.XLOOKUP(ENTRADAS[[#This Row],[CODIGO]],LISTADO[CODIGOS],LISTADO[CATEGORIA]),"NO EXISTE")</f>
        <v/>
      </c>
      <c r="D1915" s="18">
        <f>IFERROR(_xlfn.XLOOKUP(ENTRADAS[[#This Row],[CODIGO]],LISTADO[CODIGOS],LISTADO[PRODUCTOS]),"NO EXISTE")</f>
        <v/>
      </c>
      <c r="E1915" s="19" t="n">
        <v>46163</v>
      </c>
      <c r="F1915" s="18" t="n">
        <v>1</v>
      </c>
      <c r="G1915" s="18" t="inlineStr">
        <is>
          <t>INGRESO</t>
        </is>
      </c>
      <c r="H1915" s="1" t="inlineStr">
        <is>
          <t>CENTER MARK</t>
        </is>
      </c>
      <c r="I1915" s="45" t="n"/>
      <c r="J1915" s="77" t="n">
        <v>8378.719999999999</v>
      </c>
      <c r="K1915" s="18" t="n">
        <v>523.67</v>
      </c>
    </row>
    <row r="1916">
      <c r="B1916" s="56" t="inlineStr">
        <is>
          <t>00036-REF</t>
        </is>
      </c>
      <c r="C1916" s="18">
        <f>IFERROR(_xlfn.XLOOKUP(ENTRADAS[[#This Row],[CODIGO]],LISTADO[CODIGOS],LISTADO[CATEGORIA]),"NO EXISTE")</f>
        <v/>
      </c>
      <c r="D1916" s="18">
        <f>IFERROR(_xlfn.XLOOKUP(ENTRADAS[[#This Row],[CODIGO]],LISTADO[CODIGOS],LISTADO[PRODUCTOS]),"NO EXISTE")</f>
        <v/>
      </c>
      <c r="E1916" s="19" t="n">
        <v>46163</v>
      </c>
      <c r="F1916" s="18" t="n">
        <v>36</v>
      </c>
      <c r="G1916" s="18" t="inlineStr">
        <is>
          <t>INGRESO</t>
        </is>
      </c>
      <c r="H1916" s="1" t="inlineStr">
        <is>
          <t>R.O.C.A</t>
        </is>
      </c>
      <c r="I1916" s="45" t="n">
        <v>8.369999999999999</v>
      </c>
      <c r="J1916" s="77" t="n"/>
      <c r="K1916" s="18" t="n"/>
    </row>
    <row r="1917">
      <c r="B1917" s="56" t="inlineStr">
        <is>
          <t>00037-ILU</t>
        </is>
      </c>
      <c r="C1917" s="18">
        <f>IFERROR(_xlfn.XLOOKUP(ENTRADAS[[#This Row],[CODIGO]],LISTADO[CODIGOS],LISTADO[CATEGORIA]),"NO EXISTE")</f>
        <v/>
      </c>
      <c r="D1917" s="18">
        <f>IFERROR(_xlfn.XLOOKUP(ENTRADAS[[#This Row],[CODIGO]],LISTADO[CODIGOS],LISTADO[PRODUCTOS]),"NO EXISTE")</f>
        <v/>
      </c>
      <c r="E1917" s="19" t="n">
        <v>46163</v>
      </c>
      <c r="F1917" s="18" t="n">
        <v>10</v>
      </c>
      <c r="G1917" s="18" t="inlineStr">
        <is>
          <t>INGRESO</t>
        </is>
      </c>
      <c r="H1917" s="1" t="inlineStr">
        <is>
          <t>REVESTIMIENTO GLOVAL</t>
        </is>
      </c>
      <c r="I1917" s="45" t="n">
        <v>2.84</v>
      </c>
      <c r="J1917" s="77" t="n"/>
      <c r="K1917" s="18" t="n">
        <v>716</v>
      </c>
    </row>
    <row r="1918">
      <c r="B1918" s="56" t="inlineStr">
        <is>
          <t>00006-ILU</t>
        </is>
      </c>
      <c r="C1918" s="18">
        <f>IFERROR(_xlfn.XLOOKUP(ENTRADAS[[#This Row],[CODIGO]],LISTADO[CODIGOS],LISTADO[CATEGORIA]),"NO EXISTE")</f>
        <v/>
      </c>
      <c r="D1918" s="18">
        <f>IFERROR(_xlfn.XLOOKUP(ENTRADAS[[#This Row],[CODIGO]],LISTADO[CODIGOS],LISTADO[PRODUCTOS]),"NO EXISTE")</f>
        <v/>
      </c>
      <c r="E1918" s="19" t="n">
        <v>46163</v>
      </c>
      <c r="F1918" s="18" t="n">
        <v>30</v>
      </c>
      <c r="G1918" s="18" t="inlineStr">
        <is>
          <t>INGRESO</t>
        </is>
      </c>
      <c r="H1918" s="1" t="inlineStr">
        <is>
          <t>REVESTIMIENTO GLOVAL</t>
        </is>
      </c>
      <c r="I1918" s="45" t="n">
        <v>4.3</v>
      </c>
      <c r="J1918" s="77" t="n"/>
      <c r="K1918" s="18" t="n"/>
    </row>
    <row r="1919">
      <c r="B1919" s="56" t="inlineStr">
        <is>
          <t>00020-ILU</t>
        </is>
      </c>
      <c r="C1919" s="18">
        <f>IFERROR(_xlfn.XLOOKUP(ENTRADAS[[#This Row],[CODIGO]],LISTADO[CODIGOS],LISTADO[CATEGORIA]),"NO EXISTE")</f>
        <v/>
      </c>
      <c r="D1919" s="18">
        <f>IFERROR(_xlfn.XLOOKUP(ENTRADAS[[#This Row],[CODIGO]],LISTADO[CODIGOS],LISTADO[PRODUCTOS]),"NO EXISTE")</f>
        <v/>
      </c>
      <c r="E1919" s="19" t="n">
        <v>46163</v>
      </c>
      <c r="F1919" s="18" t="n">
        <v>5</v>
      </c>
      <c r="G1919" s="18" t="inlineStr">
        <is>
          <t>INGRESO</t>
        </is>
      </c>
      <c r="H1919" s="1" t="inlineStr">
        <is>
          <t>REVESTIMIENTO GLOVAL</t>
        </is>
      </c>
      <c r="I1919" s="45" t="n">
        <v>8</v>
      </c>
      <c r="J1919" s="77" t="n"/>
      <c r="K1919" s="18" t="n"/>
    </row>
    <row r="1920">
      <c r="B1920" s="56" t="inlineStr">
        <is>
          <t>00031-ILU</t>
        </is>
      </c>
      <c r="C1920" s="18">
        <f>IFERROR(_xlfn.XLOOKUP(ENTRADAS[[#This Row],[CODIGO]],LISTADO[CODIGOS],LISTADO[CATEGORIA]),"NO EXISTE")</f>
        <v/>
      </c>
      <c r="D1920" s="18">
        <f>IFERROR(_xlfn.XLOOKUP(ENTRADAS[[#This Row],[CODIGO]],LISTADO[CODIGOS],LISTADO[PRODUCTOS]),"NO EXISTE")</f>
        <v/>
      </c>
      <c r="E1920" s="19" t="n">
        <v>46163</v>
      </c>
      <c r="F1920" s="18" t="n">
        <v>31</v>
      </c>
      <c r="G1920" s="18" t="inlineStr">
        <is>
          <t>INGRESO</t>
        </is>
      </c>
      <c r="H1920" s="1" t="inlineStr">
        <is>
          <t>REVESTIMIENTO GLOVAL</t>
        </is>
      </c>
      <c r="I1920" s="45" t="n">
        <v>9.5</v>
      </c>
      <c r="J1920" s="77" t="n"/>
      <c r="K1920" s="18" t="n"/>
    </row>
    <row r="1921">
      <c r="B1921" s="56" t="inlineStr">
        <is>
          <t>00040-ILU</t>
        </is>
      </c>
      <c r="C1921" s="18">
        <f>IFERROR(_xlfn.XLOOKUP(ENTRADAS[[#This Row],[CODIGO]],LISTADO[CODIGOS],LISTADO[CATEGORIA]),"NO EXISTE")</f>
        <v/>
      </c>
      <c r="D1921" s="18">
        <f>IFERROR(_xlfn.XLOOKUP(ENTRADAS[[#This Row],[CODIGO]],LISTADO[CODIGOS],LISTADO[PRODUCTOS]),"NO EXISTE")</f>
        <v/>
      </c>
      <c r="E1921" s="19" t="n">
        <v>46163</v>
      </c>
      <c r="F1921" s="18" t="n">
        <v>31</v>
      </c>
      <c r="G1921" s="18" t="inlineStr">
        <is>
          <t>INGRESO</t>
        </is>
      </c>
      <c r="H1921" s="1" t="inlineStr">
        <is>
          <t>REVESTIMIENTO GLOVAL</t>
        </is>
      </c>
      <c r="I1921" s="45" t="n"/>
      <c r="J1921" s="77" t="n"/>
      <c r="K1921" s="18" t="n"/>
    </row>
    <row r="1922">
      <c r="B1922" s="56" t="inlineStr">
        <is>
          <t>00034-ILU</t>
        </is>
      </c>
      <c r="C1922" s="18">
        <f>IFERROR(_xlfn.XLOOKUP(ENTRADAS[[#This Row],[CODIGO]],LISTADO[CODIGOS],LISTADO[CATEGORIA]),"NO EXISTE")</f>
        <v/>
      </c>
      <c r="D1922" s="18">
        <f>IFERROR(_xlfn.XLOOKUP(ENTRADAS[[#This Row],[CODIGO]],LISTADO[CODIGOS],LISTADO[PRODUCTOS]),"NO EXISTE")</f>
        <v/>
      </c>
      <c r="E1922" s="19" t="n">
        <v>46163</v>
      </c>
      <c r="F1922" s="18" t="n">
        <v>8</v>
      </c>
      <c r="G1922" s="18" t="inlineStr">
        <is>
          <t>INGRESO</t>
        </is>
      </c>
      <c r="H1922" s="1" t="inlineStr">
        <is>
          <t>REVESTIMIENTO GLOVAL</t>
        </is>
      </c>
      <c r="I1922" s="45" t="n">
        <v>17.55</v>
      </c>
      <c r="J1922" s="77" t="n"/>
      <c r="K1922" s="18" t="n"/>
    </row>
    <row r="1923">
      <c r="B1923" s="56" t="inlineStr">
        <is>
          <t>00035-ILU</t>
        </is>
      </c>
      <c r="C1923" s="18">
        <f>IFERROR(_xlfn.XLOOKUP(ENTRADAS[[#This Row],[CODIGO]],LISTADO[CODIGOS],LISTADO[CATEGORIA]),"NO EXISTE")</f>
        <v/>
      </c>
      <c r="D1923" s="18">
        <f>IFERROR(_xlfn.XLOOKUP(ENTRADAS[[#This Row],[CODIGO]],LISTADO[CODIGOS],LISTADO[PRODUCTOS]),"NO EXISTE")</f>
        <v/>
      </c>
      <c r="E1923" s="19" t="n">
        <v>46163</v>
      </c>
      <c r="F1923" s="18" t="n">
        <v>8</v>
      </c>
      <c r="G1923" s="18" t="inlineStr">
        <is>
          <t>INGRESO</t>
        </is>
      </c>
      <c r="H1923" s="1" t="inlineStr">
        <is>
          <t>REVESTIMIENTO GLOVAL</t>
        </is>
      </c>
      <c r="I1923" s="45" t="n">
        <v>28.35</v>
      </c>
      <c r="J1923" s="77" t="n"/>
      <c r="K1923" s="18" t="n"/>
    </row>
    <row r="1924">
      <c r="B1924" s="56" t="inlineStr">
        <is>
          <t>00037-ILU</t>
        </is>
      </c>
      <c r="C1924" s="18">
        <f>IFERROR(_xlfn.XLOOKUP(ENTRADAS[[#This Row],[CODIGO]],LISTADO[CODIGOS],LISTADO[CATEGORIA]),"NO EXISTE")</f>
        <v/>
      </c>
      <c r="D1924" s="18">
        <f>IFERROR(_xlfn.XLOOKUP(ENTRADAS[[#This Row],[CODIGO]],LISTADO[CODIGOS],LISTADO[PRODUCTOS]),"NO EXISTE")</f>
        <v/>
      </c>
      <c r="E1924" s="19" t="n">
        <v>46163</v>
      </c>
      <c r="F1924" s="18" t="n">
        <v>30</v>
      </c>
      <c r="G1924" s="18" t="inlineStr">
        <is>
          <t>INGRESO</t>
        </is>
      </c>
      <c r="H1924" s="1" t="inlineStr">
        <is>
          <t>REVESTIMIENTO GLOVAL</t>
        </is>
      </c>
      <c r="I1924" s="45" t="n">
        <v>2.84</v>
      </c>
      <c r="J1924" s="77" t="n"/>
      <c r="K1924" s="18" t="n"/>
    </row>
    <row r="1925">
      <c r="B1925" s="18" t="inlineStr">
        <is>
          <t>00055-ILU</t>
        </is>
      </c>
      <c r="C1925" s="18">
        <f>IFERROR(_xlfn.XLOOKUP(ENTRADAS[[#This Row],[CODIGO]],LISTADO[CODIGOS],LISTADO[CATEGORIA]),"NO EXISTE")</f>
        <v/>
      </c>
      <c r="D1925" s="18">
        <f>IFERROR(_xlfn.XLOOKUP(ENTRADAS[[#This Row],[CODIGO]],LISTADO[CODIGOS],LISTADO[PRODUCTOS]),"NO EXISTE")</f>
        <v/>
      </c>
      <c r="E1925" s="19" t="n">
        <v>46163</v>
      </c>
      <c r="F1925" s="18" t="n">
        <v>10</v>
      </c>
      <c r="G1925" s="18" t="inlineStr">
        <is>
          <t>INGRESO</t>
        </is>
      </c>
      <c r="H1925" s="1" t="inlineStr">
        <is>
          <t>REVESTIMIENTO GLOVAL</t>
        </is>
      </c>
      <c r="I1925" s="45" t="n">
        <v>18.9</v>
      </c>
      <c r="J1925" s="77" t="n"/>
      <c r="K1925" s="18" t="n"/>
    </row>
    <row r="1926">
      <c r="B1926" s="56" t="inlineStr">
        <is>
          <t>00038-HRR</t>
        </is>
      </c>
      <c r="C1926" s="18">
        <f>IFERROR(_xlfn.XLOOKUP(ENTRADAS[[#This Row],[CODIGO]],LISTADO[CODIGOS],LISTADO[CATEGORIA]),"NO EXISTE")</f>
        <v/>
      </c>
      <c r="D1926" s="18">
        <f>IFERROR(_xlfn.XLOOKUP(ENTRADAS[[#This Row],[CODIGO]],LISTADO[CODIGOS],LISTADO[PRODUCTOS]),"NO EXISTE")</f>
        <v/>
      </c>
      <c r="E1926" s="19" t="n">
        <v>46164</v>
      </c>
      <c r="F1926" s="18" t="n">
        <v>10</v>
      </c>
      <c r="G1926" s="18" t="inlineStr">
        <is>
          <t>INGRESO</t>
        </is>
      </c>
      <c r="H1926" s="1" t="inlineStr">
        <is>
          <t>MECALEDS</t>
        </is>
      </c>
      <c r="I1926" s="45" t="n">
        <v>15</v>
      </c>
      <c r="J1926" s="77" t="n"/>
      <c r="K1926" s="18" t="n">
        <v>526.87</v>
      </c>
    </row>
    <row r="1927">
      <c r="B1927" s="56" t="inlineStr">
        <is>
          <t>00056-ELE</t>
        </is>
      </c>
      <c r="C1927" s="18">
        <f>IFERROR(_xlfn.XLOOKUP(ENTRADAS[[#This Row],[CODIGO]],LISTADO[CODIGOS],LISTADO[CATEGORIA]),"NO EXISTE")</f>
        <v/>
      </c>
      <c r="D1927" s="18">
        <f>IFERROR(_xlfn.XLOOKUP(ENTRADAS[[#This Row],[CODIGO]],LISTADO[CODIGOS],LISTADO[PRODUCTOS]),"NO EXISTE")</f>
        <v/>
      </c>
      <c r="E1927" s="19" t="n">
        <v>46164</v>
      </c>
      <c r="F1927" s="18" t="n">
        <v>80</v>
      </c>
      <c r="G1927" s="18" t="inlineStr">
        <is>
          <t>INGRESO</t>
        </is>
      </c>
      <c r="H1927" s="1" t="inlineStr">
        <is>
          <t>MECALEDS</t>
        </is>
      </c>
      <c r="I1927" s="45" t="n">
        <v>2.5</v>
      </c>
      <c r="J1927" s="77" t="n"/>
      <c r="K1927" s="18" t="n">
        <v>526.87</v>
      </c>
    </row>
    <row r="1928">
      <c r="B1928" s="56" t="inlineStr">
        <is>
          <t>00055-ELE</t>
        </is>
      </c>
      <c r="C1928" s="18">
        <f>IFERROR(_xlfn.XLOOKUP(ENTRADAS[[#This Row],[CODIGO]],LISTADO[CODIGOS],LISTADO[CATEGORIA]),"NO EXISTE")</f>
        <v/>
      </c>
      <c r="D1928" s="18">
        <f>IFERROR(_xlfn.XLOOKUP(ENTRADAS[[#This Row],[CODIGO]],LISTADO[CODIGOS],LISTADO[PRODUCTOS]),"NO EXISTE")</f>
        <v/>
      </c>
      <c r="E1928" s="19" t="n">
        <v>46164</v>
      </c>
      <c r="F1928" s="18" t="n">
        <v>45</v>
      </c>
      <c r="G1928" s="18" t="inlineStr">
        <is>
          <t>INGRESO</t>
        </is>
      </c>
      <c r="H1928" s="1" t="inlineStr">
        <is>
          <t>MECALEDS</t>
        </is>
      </c>
      <c r="I1928" s="45" t="n">
        <v>1.66666666666666</v>
      </c>
      <c r="J1928" s="77" t="n"/>
      <c r="K1928" s="18" t="n">
        <v>526.87</v>
      </c>
    </row>
    <row r="1929">
      <c r="B1929" s="56" t="inlineStr">
        <is>
          <t>00100-FER</t>
        </is>
      </c>
      <c r="C1929" s="18">
        <f>IFERROR(_xlfn.XLOOKUP(ENTRADAS[[#This Row],[CODIGO]],LISTADO[CODIGOS],LISTADO[CATEGORIA]),"NO EXISTE")</f>
        <v/>
      </c>
      <c r="D1929" s="18">
        <f>IFERROR(_xlfn.XLOOKUP(ENTRADAS[[#This Row],[CODIGO]],LISTADO[CODIGOS],LISTADO[PRODUCTOS]),"NO EXISTE")</f>
        <v/>
      </c>
      <c r="E1929" s="19" t="n">
        <v>46164</v>
      </c>
      <c r="F1929" s="18" t="n">
        <v>10</v>
      </c>
      <c r="G1929" s="18" t="inlineStr">
        <is>
          <t>INGRESO</t>
        </is>
      </c>
      <c r="H1929" s="1" t="inlineStr">
        <is>
          <t>MECALEDS</t>
        </is>
      </c>
      <c r="I1929" s="45" t="n">
        <v>1.2</v>
      </c>
      <c r="J1929" s="77" t="n"/>
      <c r="K1929" s="18" t="n">
        <v>526.87</v>
      </c>
    </row>
    <row r="1930">
      <c r="B1930" s="56" t="inlineStr">
        <is>
          <t>00060-ELE</t>
        </is>
      </c>
      <c r="C1930" s="18">
        <f>IFERROR(_xlfn.XLOOKUP(ENTRADAS[[#This Row],[CODIGO]],LISTADO[CODIGOS],LISTADO[CATEGORIA]),"NO EXISTE")</f>
        <v/>
      </c>
      <c r="D1930" s="18">
        <f>IFERROR(_xlfn.XLOOKUP(ENTRADAS[[#This Row],[CODIGO]],LISTADO[CODIGOS],LISTADO[PRODUCTOS]),"NO EXISTE")</f>
        <v/>
      </c>
      <c r="E1930" s="19" t="n">
        <v>46164</v>
      </c>
      <c r="F1930" s="18" t="n">
        <v>20</v>
      </c>
      <c r="G1930" s="18" t="inlineStr">
        <is>
          <t>INGRESO</t>
        </is>
      </c>
      <c r="H1930" s="1" t="inlineStr">
        <is>
          <t>MECALEDS</t>
        </is>
      </c>
      <c r="I1930" s="45" t="n">
        <v>0.6</v>
      </c>
      <c r="J1930" s="77" t="n"/>
      <c r="K1930" s="18" t="n">
        <v>526.87</v>
      </c>
    </row>
    <row r="1931">
      <c r="B1931" s="18" t="inlineStr">
        <is>
          <t>00051-ILU</t>
        </is>
      </c>
      <c r="C1931" s="18">
        <f>IFERROR(_xlfn.XLOOKUP(ENTRADAS[[#This Row],[CODIGO]],LISTADO[CODIGOS],LISTADO[CATEGORIA]),"NO EXISTE")</f>
        <v/>
      </c>
      <c r="D1931" s="18">
        <f>IFERROR(_xlfn.XLOOKUP(ENTRADAS[[#This Row],[CODIGO]],LISTADO[CODIGOS],LISTADO[PRODUCTOS]),"NO EXISTE")</f>
        <v/>
      </c>
      <c r="E1931" s="19" t="n">
        <v>46164</v>
      </c>
      <c r="F1931" s="18" t="n">
        <v>3</v>
      </c>
      <c r="G1931" s="18" t="inlineStr">
        <is>
          <t>INGRESO</t>
        </is>
      </c>
      <c r="H1931" s="1" t="inlineStr">
        <is>
          <t>CENTER MARK</t>
        </is>
      </c>
      <c r="I1931" s="45" t="n"/>
      <c r="J1931" s="77" t="n">
        <v>421.52</v>
      </c>
      <c r="K1931" s="18" t="n"/>
    </row>
    <row r="1932">
      <c r="B1932" s="18" t="inlineStr">
        <is>
          <t>00052-ILU</t>
        </is>
      </c>
      <c r="C1932" s="18">
        <f>IFERROR(_xlfn.XLOOKUP(ENTRADAS[[#This Row],[CODIGO]],LISTADO[CODIGOS],LISTADO[CATEGORIA]),"NO EXISTE")</f>
        <v/>
      </c>
      <c r="D1932" s="18">
        <f>IFERROR(_xlfn.XLOOKUP(ENTRADAS[[#This Row],[CODIGO]],LISTADO[CODIGOS],LISTADO[PRODUCTOS]),"NO EXISTE")</f>
        <v/>
      </c>
      <c r="E1932" s="19" t="n">
        <v>46164</v>
      </c>
      <c r="F1932" s="18" t="n">
        <v>5</v>
      </c>
      <c r="G1932" s="18" t="inlineStr">
        <is>
          <t>INGRESO</t>
        </is>
      </c>
      <c r="H1932" s="1" t="inlineStr">
        <is>
          <t>CENTER MARK</t>
        </is>
      </c>
      <c r="I1932" s="45" t="n"/>
      <c r="J1932" s="77" t="n">
        <v>1053.72</v>
      </c>
      <c r="K1932" s="18" t="n"/>
    </row>
    <row r="1933">
      <c r="B1933" s="56" t="inlineStr">
        <is>
          <t>00139-FER</t>
        </is>
      </c>
      <c r="C1933" s="18">
        <f>IFERROR(_xlfn.XLOOKUP(ENTRADAS[[#This Row],[CODIGO]],LISTADO[CODIGOS],LISTADO[CATEGORIA]),"NO EXISTE")</f>
        <v/>
      </c>
      <c r="D1933" s="18">
        <f>IFERROR(_xlfn.XLOOKUP(ENTRADAS[[#This Row],[CODIGO]],LISTADO[CODIGOS],LISTADO[PRODUCTOS]),"NO EXISTE")</f>
        <v/>
      </c>
      <c r="E1933" s="19" t="n">
        <v>46164</v>
      </c>
      <c r="F1933" s="18" t="n">
        <v>20</v>
      </c>
      <c r="G1933" s="18" t="inlineStr">
        <is>
          <t>INGRESO</t>
        </is>
      </c>
      <c r="H1933" s="1" t="inlineStr">
        <is>
          <t>CENTER MARK</t>
        </is>
      </c>
      <c r="I1933" s="45" t="n"/>
      <c r="J1933" s="77" t="n">
        <v>1053.72</v>
      </c>
      <c r="K1933" s="18" t="n"/>
    </row>
    <row r="1934">
      <c r="B1934" s="56" t="inlineStr">
        <is>
          <t>00136-FER</t>
        </is>
      </c>
      <c r="C1934" s="18">
        <f>IFERROR(_xlfn.XLOOKUP(ENTRADAS[[#This Row],[CODIGO]],LISTADO[CODIGOS],LISTADO[CATEGORIA]),"NO EXISTE")</f>
        <v/>
      </c>
      <c r="D1934" s="18">
        <f>IFERROR(_xlfn.XLOOKUP(ENTRADAS[[#This Row],[CODIGO]],LISTADO[CODIGOS],LISTADO[PRODUCTOS]),"NO EXISTE")</f>
        <v/>
      </c>
      <c r="E1934" s="19" t="n">
        <v>46164</v>
      </c>
      <c r="F1934" s="18" t="n">
        <v>30</v>
      </c>
      <c r="G1934" s="18" t="inlineStr">
        <is>
          <t>INGRESO</t>
        </is>
      </c>
      <c r="H1934" s="1" t="inlineStr">
        <is>
          <t>CENTER MARK</t>
        </is>
      </c>
      <c r="I1934" s="45" t="n"/>
      <c r="J1934" s="77" t="n">
        <v>632.25</v>
      </c>
      <c r="K1934" s="18" t="n"/>
    </row>
    <row r="1935">
      <c r="B1935" s="56" t="inlineStr">
        <is>
          <t>00040-PLM</t>
        </is>
      </c>
      <c r="C1935" s="18">
        <f>IFERROR(_xlfn.XLOOKUP(ENTRADAS[[#This Row],[CODIGO]],LISTADO[CODIGOS],LISTADO[CATEGORIA]),"NO EXISTE")</f>
        <v/>
      </c>
      <c r="D1935" s="18">
        <f>IFERROR(_xlfn.XLOOKUP(ENTRADAS[[#This Row],[CODIGO]],LISTADO[CODIGOS],LISTADO[PRODUCTOS]),"NO EXISTE")</f>
        <v/>
      </c>
      <c r="E1935" s="19" t="n">
        <v>46164</v>
      </c>
      <c r="F1935" s="18" t="n">
        <v>60</v>
      </c>
      <c r="G1935" s="18" t="inlineStr">
        <is>
          <t>INGRESO</t>
        </is>
      </c>
      <c r="H1935" s="1" t="inlineStr">
        <is>
          <t>CENTER MARK</t>
        </is>
      </c>
      <c r="I1935" s="45" t="n"/>
      <c r="J1935" s="77" t="n">
        <v>105.375</v>
      </c>
      <c r="K1935" s="18" t="n"/>
    </row>
    <row r="1936">
      <c r="B1936" s="56" t="inlineStr">
        <is>
          <t>00018-PLM</t>
        </is>
      </c>
      <c r="C1936" s="18">
        <f>IFERROR(_xlfn.XLOOKUP(ENTRADAS[[#This Row],[CODIGO]],LISTADO[CODIGOS],LISTADO[CATEGORIA]),"NO EXISTE")</f>
        <v/>
      </c>
      <c r="D1936" s="18">
        <f>IFERROR(_xlfn.XLOOKUP(ENTRADAS[[#This Row],[CODIGO]],LISTADO[CODIGOS],LISTADO[PRODUCTOS]),"NO EXISTE")</f>
        <v/>
      </c>
      <c r="E1936" s="19" t="n">
        <v>46164</v>
      </c>
      <c r="F1936" s="18" t="n">
        <v>40</v>
      </c>
      <c r="G1936" s="18" t="inlineStr">
        <is>
          <t>INGRESO</t>
        </is>
      </c>
      <c r="H1936" s="1" t="inlineStr">
        <is>
          <t>CENTER MARK</t>
        </is>
      </c>
      <c r="I1936" s="45" t="n"/>
      <c r="J1936" s="77" t="n">
        <v>421.52</v>
      </c>
      <c r="K1936" s="18" t="n"/>
    </row>
    <row r="1937">
      <c r="B1937" s="56" t="inlineStr">
        <is>
          <t>00046-PLM</t>
        </is>
      </c>
      <c r="C1937" s="18">
        <f>IFERROR(_xlfn.XLOOKUP(ENTRADAS[[#This Row],[CODIGO]],LISTADO[CODIGOS],LISTADO[CATEGORIA]),"NO EXISTE")</f>
        <v/>
      </c>
      <c r="D1937" s="18">
        <f>IFERROR(_xlfn.XLOOKUP(ENTRADAS[[#This Row],[CODIGO]],LISTADO[CODIGOS],LISTADO[PRODUCTOS]),"NO EXISTE")</f>
        <v/>
      </c>
      <c r="E1937" s="19" t="n">
        <v>46164</v>
      </c>
      <c r="F1937" s="18" t="n">
        <v>10</v>
      </c>
      <c r="G1937" s="18" t="inlineStr">
        <is>
          <t>INGRESO</t>
        </is>
      </c>
      <c r="H1937" s="1" t="inlineStr">
        <is>
          <t>CENTER MARK</t>
        </is>
      </c>
      <c r="I1937" s="45" t="n"/>
      <c r="J1937" s="77" t="n">
        <v>1053.72</v>
      </c>
      <c r="K1937" s="18" t="n"/>
    </row>
    <row r="1938">
      <c r="B1938" s="56" t="inlineStr">
        <is>
          <t>00015-PLM</t>
        </is>
      </c>
      <c r="C1938" s="18">
        <f>IFERROR(_xlfn.XLOOKUP(ENTRADAS[[#This Row],[CODIGO]],LISTADO[CODIGOS],LISTADO[CATEGORIA]),"NO EXISTE")</f>
        <v/>
      </c>
      <c r="D1938" s="18">
        <f>IFERROR(_xlfn.XLOOKUP(ENTRADAS[[#This Row],[CODIGO]],LISTADO[CODIGOS],LISTADO[PRODUCTOS]),"NO EXISTE")</f>
        <v/>
      </c>
      <c r="E1938" s="19" t="n">
        <v>46164</v>
      </c>
      <c r="F1938" s="18" t="n">
        <v>10</v>
      </c>
      <c r="G1938" s="18" t="inlineStr">
        <is>
          <t>INGRESO</t>
        </is>
      </c>
      <c r="H1938" s="1" t="inlineStr">
        <is>
          <t>CENTER MARK</t>
        </is>
      </c>
      <c r="I1938" s="45" t="n"/>
      <c r="J1938" s="77" t="n">
        <v>421.52</v>
      </c>
      <c r="K1938" s="18" t="n"/>
    </row>
    <row r="1939">
      <c r="B1939" s="18" t="inlineStr">
        <is>
          <t>00220-FER</t>
        </is>
      </c>
      <c r="C1939" s="18">
        <f>IFERROR(_xlfn.XLOOKUP(ENTRADAS[[#This Row],[CODIGO]],LISTADO[CODIGOS],LISTADO[CATEGORIA]),"NO EXISTE")</f>
        <v/>
      </c>
      <c r="D1939" s="18">
        <f>IFERROR(_xlfn.XLOOKUP(ENTRADAS[[#This Row],[CODIGO]],LISTADO[CODIGOS],LISTADO[PRODUCTOS]),"NO EXISTE")</f>
        <v/>
      </c>
      <c r="E1939" s="19" t="n">
        <v>46164</v>
      </c>
      <c r="F1939" s="18" t="n">
        <v>1</v>
      </c>
      <c r="G1939" s="18" t="inlineStr">
        <is>
          <t>INGRESO</t>
        </is>
      </c>
      <c r="H1939" s="1" t="inlineStr">
        <is>
          <t>CENTER MARK</t>
        </is>
      </c>
      <c r="I1939" s="45" t="n"/>
      <c r="J1939" s="77" t="n">
        <v>22128.54</v>
      </c>
      <c r="K1939" s="18" t="n"/>
    </row>
    <row r="1940">
      <c r="B1940" s="56" t="inlineStr">
        <is>
          <t>00088-FER</t>
        </is>
      </c>
      <c r="C1940" s="18">
        <f>IFERROR(_xlfn.XLOOKUP(ENTRADAS[[#This Row],[CODIGO]],LISTADO[CODIGOS],LISTADO[CATEGORIA]),"NO EXISTE")</f>
        <v/>
      </c>
      <c r="D1940" s="18">
        <f>IFERROR(_xlfn.XLOOKUP(ENTRADAS[[#This Row],[CODIGO]],LISTADO[CODIGOS],LISTADO[PRODUCTOS]),"NO EXISTE")</f>
        <v/>
      </c>
      <c r="E1940" s="19" t="n">
        <v>46164</v>
      </c>
      <c r="F1940" s="18" t="n">
        <v>4</v>
      </c>
      <c r="G1940" s="18" t="inlineStr">
        <is>
          <t>INGRESO</t>
        </is>
      </c>
      <c r="H1940" s="1" t="inlineStr">
        <is>
          <t>CENTER MARK</t>
        </is>
      </c>
      <c r="I1940" s="45" t="n"/>
      <c r="J1940" s="77" t="n">
        <v>790.3</v>
      </c>
      <c r="K1940" s="18" t="n"/>
    </row>
    <row r="1941">
      <c r="B1941" s="18" t="inlineStr">
        <is>
          <t>00070-ELE</t>
        </is>
      </c>
      <c r="C1941" s="18">
        <f>IFERROR(_xlfn.XLOOKUP(ENTRADAS[[#This Row],[CODIGO]],LISTADO[CODIGOS],LISTADO[CATEGORIA]),"NO EXISTE")</f>
        <v/>
      </c>
      <c r="D1941" s="18">
        <f>IFERROR(_xlfn.XLOOKUP(ENTRADAS[[#This Row],[CODIGO]],LISTADO[CODIGOS],LISTADO[PRODUCTOS]),"NO EXISTE")</f>
        <v/>
      </c>
      <c r="E1941" s="19" t="n">
        <v>46164</v>
      </c>
      <c r="F1941" s="18" t="n">
        <v>4</v>
      </c>
      <c r="G1941" s="18" t="inlineStr">
        <is>
          <t>INGRESO</t>
        </is>
      </c>
      <c r="H1941" s="1" t="inlineStr">
        <is>
          <t>CENTER MARK</t>
        </is>
      </c>
      <c r="I1941" s="45" t="n"/>
      <c r="J1941" s="77" t="n">
        <v>526.89</v>
      </c>
      <c r="K1941" s="18" t="n"/>
    </row>
    <row r="1942">
      <c r="B1942" s="56" t="inlineStr">
        <is>
          <t>00089-FER</t>
        </is>
      </c>
      <c r="C1942" s="18">
        <f>IFERROR(_xlfn.XLOOKUP(ENTRADAS[[#This Row],[CODIGO]],LISTADO[CODIGOS],LISTADO[CATEGORIA]),"NO EXISTE")</f>
        <v/>
      </c>
      <c r="D1942" s="18">
        <f>IFERROR(_xlfn.XLOOKUP(ENTRADAS[[#This Row],[CODIGO]],LISTADO[CODIGOS],LISTADO[PRODUCTOS]),"NO EXISTE")</f>
        <v/>
      </c>
      <c r="E1942" s="19" t="n">
        <v>46164</v>
      </c>
      <c r="F1942" s="18" t="n">
        <v>4</v>
      </c>
      <c r="G1942" s="18" t="inlineStr">
        <is>
          <t>INGRESO</t>
        </is>
      </c>
      <c r="H1942" s="1" t="inlineStr">
        <is>
          <t>CLIDAIR, C.A.</t>
        </is>
      </c>
      <c r="I1942" s="45" t="n"/>
      <c r="J1942" s="77" t="n"/>
      <c r="K1942" s="18" t="n"/>
    </row>
    <row r="1943">
      <c r="B1943" s="18" t="inlineStr">
        <is>
          <t>00154-REF</t>
        </is>
      </c>
      <c r="C1943" s="18">
        <f>IFERROR(_xlfn.XLOOKUP(ENTRADAS[[#This Row],[CODIGO]],LISTADO[CODIGOS],LISTADO[CATEGORIA]),"NO EXISTE")</f>
        <v/>
      </c>
      <c r="D1943" s="18">
        <f>IFERROR(_xlfn.XLOOKUP(ENTRADAS[[#This Row],[CODIGO]],LISTADO[CODIGOS],LISTADO[PRODUCTOS]),"NO EXISTE")</f>
        <v/>
      </c>
      <c r="E1943" s="19" t="n">
        <v>46164</v>
      </c>
      <c r="F1943" s="18" t="n">
        <v>1</v>
      </c>
      <c r="G1943" s="18" t="inlineStr">
        <is>
          <t>INGRESO</t>
        </is>
      </c>
      <c r="H1943" s="1" t="inlineStr">
        <is>
          <t>CLIDAIR, C.A.</t>
        </is>
      </c>
      <c r="I1943" s="45" t="n"/>
      <c r="J1943" s="77" t="n"/>
      <c r="K1943" s="18" t="n"/>
    </row>
    <row r="1944">
      <c r="B1944" s="18" t="inlineStr">
        <is>
          <t>00155-REF</t>
        </is>
      </c>
      <c r="C1944" s="18">
        <f>IFERROR(_xlfn.XLOOKUP(ENTRADAS[[#This Row],[CODIGO]],LISTADO[CODIGOS],LISTADO[CATEGORIA]),"NO EXISTE")</f>
        <v/>
      </c>
      <c r="D1944" s="18">
        <f>IFERROR(_xlfn.XLOOKUP(ENTRADAS[[#This Row],[CODIGO]],LISTADO[CODIGOS],LISTADO[PRODUCTOS]),"NO EXISTE")</f>
        <v/>
      </c>
      <c r="E1944" s="19" t="n">
        <v>46164</v>
      </c>
      <c r="F1944" s="18" t="n">
        <v>1</v>
      </c>
      <c r="G1944" s="18" t="inlineStr">
        <is>
          <t>INGRESO</t>
        </is>
      </c>
      <c r="H1944" s="1" t="inlineStr">
        <is>
          <t>CLIDAIR, C.A.</t>
        </is>
      </c>
      <c r="I1944" s="45" t="n"/>
      <c r="J1944" s="77" t="n"/>
      <c r="K1944" s="18" t="n"/>
    </row>
    <row r="1945">
      <c r="B1945" s="18" t="inlineStr">
        <is>
          <t>00156-REF</t>
        </is>
      </c>
      <c r="C1945" s="18">
        <f>IFERROR(_xlfn.XLOOKUP(ENTRADAS[[#This Row],[CODIGO]],LISTADO[CODIGOS],LISTADO[CATEGORIA]),"NO EXISTE")</f>
        <v/>
      </c>
      <c r="D1945" s="18">
        <f>IFERROR(_xlfn.XLOOKUP(ENTRADAS[[#This Row],[CODIGO]],LISTADO[CODIGOS],LISTADO[PRODUCTOS]),"NO EXISTE")</f>
        <v/>
      </c>
      <c r="E1945" s="19" t="n">
        <v>46164</v>
      </c>
      <c r="F1945" s="18" t="n">
        <v>1</v>
      </c>
      <c r="G1945" s="18" t="inlineStr">
        <is>
          <t>INGRESO</t>
        </is>
      </c>
      <c r="H1945" s="1" t="inlineStr">
        <is>
          <t>CLIDAIR, C.A.</t>
        </is>
      </c>
      <c r="I1945" s="45" t="n"/>
      <c r="J1945" s="77" t="n"/>
      <c r="K1945" s="18" t="n"/>
    </row>
    <row r="1946">
      <c r="B1946" s="56" t="inlineStr">
        <is>
          <t>00089-FER</t>
        </is>
      </c>
      <c r="C1946" s="18">
        <f>IFERROR(_xlfn.XLOOKUP(ENTRADAS[[#This Row],[CODIGO]],LISTADO[CODIGOS],LISTADO[CATEGORIA]),"NO EXISTE")</f>
        <v/>
      </c>
      <c r="D1946" s="18">
        <f>IFERROR(_xlfn.XLOOKUP(ENTRADAS[[#This Row],[CODIGO]],LISTADO[CODIGOS],LISTADO[PRODUCTOS]),"NO EXISTE")</f>
        <v/>
      </c>
      <c r="E1946" s="19" t="n">
        <v>46164</v>
      </c>
      <c r="F1946" s="18" t="n">
        <v>1</v>
      </c>
      <c r="G1946" s="18" t="inlineStr">
        <is>
          <t>INGRESO</t>
        </is>
      </c>
      <c r="H1946" s="1" t="inlineStr">
        <is>
          <t>CLIDAIR, C.A.</t>
        </is>
      </c>
      <c r="I1946" s="45" t="n"/>
      <c r="J1946" s="77" t="n"/>
      <c r="K1946" s="18" t="n"/>
    </row>
    <row r="1947">
      <c r="B1947" s="18" t="inlineStr">
        <is>
          <t>00157-REF</t>
        </is>
      </c>
      <c r="C1947" s="18">
        <f>IFERROR(_xlfn.XLOOKUP(ENTRADAS[[#This Row],[CODIGO]],LISTADO[CODIGOS],LISTADO[CATEGORIA]),"NO EXISTE")</f>
        <v/>
      </c>
      <c r="D1947" s="18">
        <f>IFERROR(_xlfn.XLOOKUP(ENTRADAS[[#This Row],[CODIGO]],LISTADO[CODIGOS],LISTADO[PRODUCTOS]),"NO EXISTE")</f>
        <v/>
      </c>
      <c r="E1947" s="19" t="n">
        <v>46164</v>
      </c>
      <c r="F1947" s="18" t="n">
        <v>1</v>
      </c>
      <c r="G1947" s="18" t="inlineStr">
        <is>
          <t>INGRESO</t>
        </is>
      </c>
      <c r="H1947" s="1" t="inlineStr">
        <is>
          <t>CLIDAIR, C.A.</t>
        </is>
      </c>
      <c r="I1947" s="45" t="n"/>
      <c r="J1947" s="77" t="n"/>
      <c r="K1947" s="18" t="n"/>
    </row>
    <row r="1948">
      <c r="B1948" s="18" t="inlineStr">
        <is>
          <t>00105-REF</t>
        </is>
      </c>
      <c r="C1948" s="18">
        <f>IFERROR(_xlfn.XLOOKUP(ENTRADAS[[#This Row],[CODIGO]],LISTADO[CODIGOS],LISTADO[CATEGORIA]),"NO EXISTE")</f>
        <v/>
      </c>
      <c r="D1948" s="18">
        <f>IFERROR(_xlfn.XLOOKUP(ENTRADAS[[#This Row],[CODIGO]],LISTADO[CODIGOS],LISTADO[PRODUCTOS]),"NO EXISTE")</f>
        <v/>
      </c>
      <c r="E1948" s="19" t="n">
        <v>46164</v>
      </c>
      <c r="F1948" s="18" t="n">
        <v>8</v>
      </c>
      <c r="G1948" s="18" t="inlineStr">
        <is>
          <t>INGRESO</t>
        </is>
      </c>
      <c r="H1948" s="1" t="inlineStr">
        <is>
          <t>CLIDAIR, C.A.</t>
        </is>
      </c>
      <c r="I1948" s="45" t="n"/>
      <c r="J1948" s="77" t="n"/>
      <c r="K1948" s="18" t="n"/>
    </row>
    <row r="1949">
      <c r="B1949" s="56" t="inlineStr">
        <is>
          <t>00245-FER</t>
        </is>
      </c>
      <c r="C1949" s="18">
        <f>IFERROR(_xlfn.XLOOKUP(ENTRADAS[[#This Row],[CODIGO]],LISTADO[CODIGOS],LISTADO[CATEGORIA]),"NO EXISTE")</f>
        <v/>
      </c>
      <c r="D1949" s="18">
        <f>IFERROR(_xlfn.XLOOKUP(ENTRADAS[[#This Row],[CODIGO]],LISTADO[CODIGOS],LISTADO[PRODUCTOS]),"NO EXISTE")</f>
        <v/>
      </c>
      <c r="E1949" s="19" t="n">
        <v>46164</v>
      </c>
      <c r="F1949" s="18" t="n">
        <v>12</v>
      </c>
      <c r="G1949" s="18" t="inlineStr">
        <is>
          <t>INGRESO</t>
        </is>
      </c>
      <c r="H1949" s="1" t="inlineStr">
        <is>
          <t>CENTER MARK</t>
        </is>
      </c>
      <c r="I1949" s="45" t="n"/>
      <c r="J1949" s="77" t="n">
        <v>3161.21</v>
      </c>
      <c r="K1949" s="18" t="n"/>
    </row>
    <row r="1950">
      <c r="B1950" s="18" t="inlineStr">
        <is>
          <t>00222-FER</t>
        </is>
      </c>
      <c r="C1950" s="18">
        <f>IFERROR(_xlfn.XLOOKUP(ENTRADAS[[#This Row],[CODIGO]],LISTADO[CODIGOS],LISTADO[CATEGORIA]),"NO EXISTE")</f>
        <v/>
      </c>
      <c r="D1950" s="18">
        <f>IFERROR(_xlfn.XLOOKUP(ENTRADAS[[#This Row],[CODIGO]],LISTADO[CODIGOS],LISTADO[PRODUCTOS]),"NO EXISTE")</f>
        <v/>
      </c>
      <c r="E1950" s="19" t="n">
        <v>46164</v>
      </c>
      <c r="F1950" s="18" t="n">
        <v>15</v>
      </c>
      <c r="G1950" s="18" t="inlineStr">
        <is>
          <t>INGRESO</t>
        </is>
      </c>
      <c r="H1950" s="1" t="inlineStr">
        <is>
          <t>CENTER MARK</t>
        </is>
      </c>
      <c r="I1950" s="45" t="n"/>
      <c r="J1950" s="77" t="n">
        <v>263.41</v>
      </c>
      <c r="K1950" s="18" t="n"/>
    </row>
    <row r="1951">
      <c r="B1951" s="18" t="inlineStr">
        <is>
          <t>00223-FER</t>
        </is>
      </c>
      <c r="C1951" s="18">
        <f>IFERROR(_xlfn.XLOOKUP(ENTRADAS[[#This Row],[CODIGO]],LISTADO[CODIGOS],LISTADO[CATEGORIA]),"NO EXISTE")</f>
        <v/>
      </c>
      <c r="D1951" s="18">
        <f>IFERROR(_xlfn.XLOOKUP(ENTRADAS[[#This Row],[CODIGO]],LISTADO[CODIGOS],LISTADO[PRODUCTOS]),"NO EXISTE")</f>
        <v/>
      </c>
      <c r="E1951" s="19" t="n">
        <v>46164</v>
      </c>
      <c r="F1951" s="18" t="n">
        <v>30</v>
      </c>
      <c r="G1951" s="18" t="inlineStr">
        <is>
          <t>INGRESO</t>
        </is>
      </c>
      <c r="H1951" s="1" t="inlineStr">
        <is>
          <t>CENTER MARK</t>
        </is>
      </c>
      <c r="I1951" s="45" t="n"/>
      <c r="J1951" s="77" t="n">
        <v>210.73</v>
      </c>
      <c r="K1951" s="18" t="n"/>
    </row>
    <row r="1952">
      <c r="B1952" s="18" t="inlineStr">
        <is>
          <t>00158-REF</t>
        </is>
      </c>
      <c r="C1952" s="18">
        <f>IFERROR(_xlfn.XLOOKUP(ENTRADAS[[#This Row],[CODIGO]],LISTADO[CODIGOS],LISTADO[CATEGORIA]),"NO EXISTE")</f>
        <v/>
      </c>
      <c r="D1952" s="18">
        <f>IFERROR(_xlfn.XLOOKUP(ENTRADAS[[#This Row],[CODIGO]],LISTADO[CODIGOS],LISTADO[PRODUCTOS]),"NO EXISTE")</f>
        <v/>
      </c>
      <c r="E1952" s="19" t="n">
        <v>46164</v>
      </c>
      <c r="F1952" s="18" t="n">
        <v>10</v>
      </c>
      <c r="G1952" s="18" t="inlineStr">
        <is>
          <t>INGRESO</t>
        </is>
      </c>
      <c r="H1952" s="1" t="inlineStr">
        <is>
          <t>CLIDAIR, C.A.</t>
        </is>
      </c>
      <c r="I1952" s="45" t="n"/>
      <c r="J1952" s="77" t="n">
        <v>691.2</v>
      </c>
      <c r="K1952" s="18" t="n"/>
    </row>
    <row r="1953">
      <c r="B1953" s="18" t="inlineStr">
        <is>
          <t>00159-REF</t>
        </is>
      </c>
      <c r="C1953" s="18">
        <f>IFERROR(_xlfn.XLOOKUP(ENTRADAS[[#This Row],[CODIGO]],LISTADO[CODIGOS],LISTADO[CATEGORIA]),"NO EXISTE")</f>
        <v/>
      </c>
      <c r="D1953" s="18">
        <f>IFERROR(_xlfn.XLOOKUP(ENTRADAS[[#This Row],[CODIGO]],LISTADO[CODIGOS],LISTADO[PRODUCTOS]),"NO EXISTE")</f>
        <v/>
      </c>
      <c r="E1953" s="19" t="n">
        <v>46164</v>
      </c>
      <c r="F1953" s="18" t="n">
        <v>8</v>
      </c>
      <c r="G1953" s="18" t="inlineStr">
        <is>
          <t>INGRESO</t>
        </is>
      </c>
      <c r="H1953" s="1" t="inlineStr">
        <is>
          <t>CLIDAIR, C.A.</t>
        </is>
      </c>
      <c r="I1953" s="45" t="n"/>
      <c r="J1953" s="77" t="n">
        <v>5976</v>
      </c>
      <c r="K1953" s="18" t="n"/>
    </row>
    <row r="1954">
      <c r="B1954" s="18" t="inlineStr">
        <is>
          <t>00121-ELE</t>
        </is>
      </c>
      <c r="C1954" s="18">
        <f>IFERROR(_xlfn.XLOOKUP(ENTRADAS[[#This Row],[CODIGO]],LISTADO[CODIGOS],LISTADO[CATEGORIA]),"NO EXISTE")</f>
        <v/>
      </c>
      <c r="D1954" s="18">
        <f>IFERROR(_xlfn.XLOOKUP(ENTRADAS[[#This Row],[CODIGO]],LISTADO[CODIGOS],LISTADO[PRODUCTOS]),"NO EXISTE")</f>
        <v/>
      </c>
      <c r="E1954" s="19" t="n">
        <v>46164</v>
      </c>
      <c r="F1954" s="18" t="n">
        <v>1</v>
      </c>
      <c r="G1954" s="18" t="inlineStr">
        <is>
          <t>INGRESO</t>
        </is>
      </c>
      <c r="H1954" s="1" t="inlineStr">
        <is>
          <t>CLIDAIR, C.A.</t>
        </is>
      </c>
      <c r="I1954" s="45" t="n"/>
      <c r="J1954" s="77" t="n">
        <v>10800</v>
      </c>
      <c r="K1954" s="18" t="n"/>
    </row>
    <row r="1955">
      <c r="B1955" s="18" t="inlineStr">
        <is>
          <t>00114-REF</t>
        </is>
      </c>
      <c r="C1955" s="18">
        <f>IFERROR(_xlfn.XLOOKUP(ENTRADAS[[#This Row],[CODIGO]],LISTADO[CODIGOS],LISTADO[CATEGORIA]),"NO EXISTE")</f>
        <v/>
      </c>
      <c r="D1955" s="18">
        <f>IFERROR(_xlfn.XLOOKUP(ENTRADAS[[#This Row],[CODIGO]],LISTADO[CODIGOS],LISTADO[PRODUCTOS]),"NO EXISTE")</f>
        <v/>
      </c>
      <c r="E1955" s="19" t="n">
        <v>46164</v>
      </c>
      <c r="F1955" s="18" t="n">
        <v>1</v>
      </c>
      <c r="G1955" s="18" t="inlineStr">
        <is>
          <t>INGRESO</t>
        </is>
      </c>
      <c r="H1955" s="1" t="inlineStr">
        <is>
          <t>CLIDAIR, C.A.</t>
        </is>
      </c>
      <c r="I1955" s="45" t="n"/>
      <c r="J1955" s="77" t="n">
        <v>7200</v>
      </c>
      <c r="K1955" s="18" t="n"/>
    </row>
    <row r="1956">
      <c r="B1956" s="18" t="inlineStr">
        <is>
          <t>00160-REF</t>
        </is>
      </c>
      <c r="C1956" s="18">
        <f>IFERROR(_xlfn.XLOOKUP(ENTRADAS[[#This Row],[CODIGO]],LISTADO[CODIGOS],LISTADO[CATEGORIA]),"NO EXISTE")</f>
        <v/>
      </c>
      <c r="D1956" s="18">
        <f>IFERROR(_xlfn.XLOOKUP(ENTRADAS[[#This Row],[CODIGO]],LISTADO[CODIGOS],LISTADO[PRODUCTOS]),"NO EXISTE")</f>
        <v/>
      </c>
      <c r="E1956" s="19" t="n">
        <v>46164</v>
      </c>
      <c r="F1956" s="18" t="n">
        <v>1</v>
      </c>
      <c r="G1956" s="18" t="inlineStr">
        <is>
          <t>INGRESO</t>
        </is>
      </c>
      <c r="H1956" s="1" t="inlineStr">
        <is>
          <t>CLIDAIR, C.A.</t>
        </is>
      </c>
      <c r="I1956" s="45" t="n"/>
      <c r="J1956" s="77" t="n">
        <v>27360</v>
      </c>
      <c r="K1956" s="18" t="n"/>
    </row>
    <row r="1957">
      <c r="B1957" s="18" t="inlineStr">
        <is>
          <t>00078-PLM</t>
        </is>
      </c>
      <c r="C1957" s="18">
        <f>IFERROR(_xlfn.XLOOKUP(ENTRADAS[[#This Row],[CODIGO]],LISTADO[CODIGOS],LISTADO[CATEGORIA]),"NO EXISTE")</f>
        <v/>
      </c>
      <c r="D1957" s="18">
        <f>IFERROR(_xlfn.XLOOKUP(ENTRADAS[[#This Row],[CODIGO]],LISTADO[CODIGOS],LISTADO[PRODUCTOS]),"NO EXISTE")</f>
        <v/>
      </c>
      <c r="E1957" s="19" t="n">
        <v>46164</v>
      </c>
      <c r="F1957" s="18" t="n">
        <v>1</v>
      </c>
      <c r="G1957" s="18" t="inlineStr">
        <is>
          <t>INGRESO</t>
        </is>
      </c>
      <c r="H1957" s="1" t="inlineStr">
        <is>
          <t>CENTER MARK</t>
        </is>
      </c>
      <c r="I1957" s="45" t="n"/>
      <c r="J1957" s="77" t="n">
        <v>1580.61</v>
      </c>
      <c r="K1957" s="18" t="n"/>
    </row>
    <row r="1958">
      <c r="B1958" s="18" t="inlineStr">
        <is>
          <t>00066-PLM</t>
        </is>
      </c>
      <c r="C1958" s="18">
        <f>IFERROR(_xlfn.XLOOKUP(ENTRADAS[[#This Row],[CODIGO]],LISTADO[CODIGOS],LISTADO[CATEGORIA]),"NO EXISTE")</f>
        <v/>
      </c>
      <c r="D1958" s="18">
        <f>IFERROR(_xlfn.XLOOKUP(ENTRADAS[[#This Row],[CODIGO]],LISTADO[CODIGOS],LISTADO[PRODUCTOS]),"NO EXISTE")</f>
        <v/>
      </c>
      <c r="E1958" s="19" t="n">
        <v>46164</v>
      </c>
      <c r="F1958" s="18" t="n">
        <v>3</v>
      </c>
      <c r="G1958" s="18" t="inlineStr">
        <is>
          <t>INGRESO</t>
        </is>
      </c>
      <c r="H1958" s="1" t="inlineStr">
        <is>
          <t>CENTER MARK</t>
        </is>
      </c>
      <c r="I1958" s="45" t="n"/>
      <c r="J1958" s="77" t="n">
        <v>368.78</v>
      </c>
      <c r="K1958" s="18" t="n"/>
    </row>
    <row r="1959">
      <c r="B1959" s="56" t="inlineStr">
        <is>
          <t>00022-PLM</t>
        </is>
      </c>
      <c r="C1959" s="18">
        <f>IFERROR(_xlfn.XLOOKUP(ENTRADAS[[#This Row],[CODIGO]],LISTADO[CODIGOS],LISTADO[CATEGORIA]),"NO EXISTE")</f>
        <v/>
      </c>
      <c r="D1959" s="18">
        <f>IFERROR(_xlfn.XLOOKUP(ENTRADAS[[#This Row],[CODIGO]],LISTADO[CODIGOS],LISTADO[PRODUCTOS]),"NO EXISTE")</f>
        <v/>
      </c>
      <c r="E1959" s="19" t="n">
        <v>46164</v>
      </c>
      <c r="F1959" s="18" t="n">
        <v>3</v>
      </c>
      <c r="G1959" s="18" t="inlineStr">
        <is>
          <t>INGRESO</t>
        </is>
      </c>
      <c r="H1959" s="1" t="inlineStr">
        <is>
          <t>CENTER MARK</t>
        </is>
      </c>
      <c r="I1959" s="45" t="n"/>
      <c r="J1959" s="77" t="n">
        <v>316.1</v>
      </c>
      <c r="K1959" s="18" t="n"/>
    </row>
    <row r="1960">
      <c r="B1960" s="18" t="inlineStr">
        <is>
          <t>00081-FER</t>
        </is>
      </c>
      <c r="C1960" s="18">
        <f>IFERROR(_xlfn.XLOOKUP(ENTRADAS[[#This Row],[CODIGO]],LISTADO[CODIGOS],LISTADO[CATEGORIA]),"NO EXISTE")</f>
        <v/>
      </c>
      <c r="D1960" s="18">
        <f>IFERROR(_xlfn.XLOOKUP(ENTRADAS[[#This Row],[CODIGO]],LISTADO[CODIGOS],LISTADO[PRODUCTOS]),"NO EXISTE")</f>
        <v/>
      </c>
      <c r="E1960" s="19" t="n">
        <v>46164</v>
      </c>
      <c r="F1960" s="18" t="n">
        <v>1</v>
      </c>
      <c r="G1960" s="18" t="inlineStr">
        <is>
          <t>INGRESO</t>
        </is>
      </c>
      <c r="H1960" s="1" t="inlineStr">
        <is>
          <t>CENTER MARK</t>
        </is>
      </c>
      <c r="I1960" s="45" t="n"/>
      <c r="J1960" s="77" t="n">
        <v>3424.63</v>
      </c>
      <c r="K1960" s="18" t="n"/>
    </row>
    <row r="1961">
      <c r="B1961" s="18" t="inlineStr">
        <is>
          <t>00078-PLM</t>
        </is>
      </c>
      <c r="C1961" s="18">
        <f>IFERROR(_xlfn.XLOOKUP(ENTRADAS[[#This Row],[CODIGO]],LISTADO[CODIGOS],LISTADO[CATEGORIA]),"NO EXISTE")</f>
        <v/>
      </c>
      <c r="D1961" s="18">
        <f>IFERROR(_xlfn.XLOOKUP(ENTRADAS[[#This Row],[CODIGO]],LISTADO[CODIGOS],LISTADO[PRODUCTOS]),"NO EXISTE")</f>
        <v/>
      </c>
      <c r="E1961" s="19" t="n">
        <v>46164</v>
      </c>
      <c r="F1961" s="18" t="n">
        <v>1</v>
      </c>
      <c r="G1961" s="18" t="inlineStr">
        <is>
          <t>INGRESO</t>
        </is>
      </c>
      <c r="H1961" s="1" t="inlineStr">
        <is>
          <t>CENTER MARK</t>
        </is>
      </c>
      <c r="I1961" s="45" t="n"/>
      <c r="J1961" s="77" t="n">
        <v>1580.61</v>
      </c>
      <c r="K1961" s="18" t="n"/>
    </row>
    <row r="1962">
      <c r="B1962" s="18" t="inlineStr">
        <is>
          <t>00056-FER</t>
        </is>
      </c>
      <c r="C1962" s="18">
        <f>IFERROR(_xlfn.XLOOKUP(ENTRADAS[[#This Row],[CODIGO]],LISTADO[CODIGOS],LISTADO[CATEGORIA]),"NO EXISTE")</f>
        <v/>
      </c>
      <c r="D1962" s="18">
        <f>IFERROR(_xlfn.XLOOKUP(ENTRADAS[[#This Row],[CODIGO]],LISTADO[CODIGOS],LISTADO[PRODUCTOS]),"NO EXISTE")</f>
        <v/>
      </c>
      <c r="E1962" s="19" t="n">
        <v>46165</v>
      </c>
      <c r="F1962" s="18" t="n">
        <v>1</v>
      </c>
      <c r="G1962" s="18" t="inlineStr">
        <is>
          <t>INGRESO</t>
        </is>
      </c>
      <c r="H1962" s="1" t="inlineStr">
        <is>
          <t>PINTURAS IPM, C.A</t>
        </is>
      </c>
      <c r="I1962" s="45" t="n">
        <v>131</v>
      </c>
      <c r="J1962" s="77" t="n"/>
      <c r="K1962" s="18" t="n"/>
    </row>
    <row r="1963">
      <c r="B1963" s="18" t="inlineStr">
        <is>
          <t>00056-FER</t>
        </is>
      </c>
      <c r="C1963" s="18">
        <f>IFERROR(_xlfn.XLOOKUP(ENTRADAS[[#This Row],[CODIGO]],LISTADO[CODIGOS],LISTADO[CATEGORIA]),"NO EXISTE")</f>
        <v/>
      </c>
      <c r="D1963" s="18">
        <f>IFERROR(_xlfn.XLOOKUP(ENTRADAS[[#This Row],[CODIGO]],LISTADO[CODIGOS],LISTADO[PRODUCTOS]),"NO EXISTE")</f>
        <v/>
      </c>
      <c r="E1963" s="19" t="n">
        <v>46165</v>
      </c>
      <c r="F1963" s="18" t="n">
        <v>5</v>
      </c>
      <c r="G1963" s="18" t="inlineStr">
        <is>
          <t>INGRESO</t>
        </is>
      </c>
      <c r="H1963" s="1" t="inlineStr">
        <is>
          <t>PINTURAS IPM, C.A</t>
        </is>
      </c>
      <c r="I1963" s="45" t="n">
        <v>131</v>
      </c>
      <c r="J1963" s="77" t="n"/>
      <c r="K1963" s="18" t="n"/>
    </row>
    <row r="1964">
      <c r="B1964" s="18" t="inlineStr">
        <is>
          <t>00088-ELE</t>
        </is>
      </c>
      <c r="C1964" s="18">
        <f>IFERROR(_xlfn.XLOOKUP(ENTRADAS[[#This Row],[CODIGO]],LISTADO[CODIGOS],LISTADO[CATEGORIA]),"NO EXISTE")</f>
        <v/>
      </c>
      <c r="D1964" s="18">
        <f>IFERROR(_xlfn.XLOOKUP(ENTRADAS[[#This Row],[CODIGO]],LISTADO[CODIGOS],LISTADO[PRODUCTOS]),"NO EXISTE")</f>
        <v/>
      </c>
      <c r="E1964" s="19" t="n">
        <v>46167</v>
      </c>
      <c r="F1964" s="18" t="n">
        <v>100</v>
      </c>
      <c r="G1964" s="18" t="inlineStr">
        <is>
          <t>INGRESO</t>
        </is>
      </c>
      <c r="H1964" s="1" t="inlineStr">
        <is>
          <t>CABLESELEC, C.A.</t>
        </is>
      </c>
      <c r="I1964" s="45" t="n">
        <v>1.35</v>
      </c>
      <c r="J1964" s="77" t="n"/>
      <c r="K1964" s="18" t="n"/>
    </row>
    <row r="1965">
      <c r="B1965" s="18" t="inlineStr">
        <is>
          <t>00119-ELE</t>
        </is>
      </c>
      <c r="C1965" s="18">
        <f>IFERROR(_xlfn.XLOOKUP(ENTRADAS[[#This Row],[CODIGO]],LISTADO[CODIGOS],LISTADO[CATEGORIA]),"NO EXISTE")</f>
        <v/>
      </c>
      <c r="D1965" s="18">
        <f>IFERROR(_xlfn.XLOOKUP(ENTRADAS[[#This Row],[CODIGO]],LISTADO[CODIGOS],LISTADO[PRODUCTOS]),"NO EXISTE")</f>
        <v/>
      </c>
      <c r="E1965" s="19" t="n">
        <v>46167</v>
      </c>
      <c r="F1965" s="18" t="n">
        <v>200</v>
      </c>
      <c r="G1965" s="18" t="inlineStr">
        <is>
          <t>INGRESO</t>
        </is>
      </c>
      <c r="H1965" s="1" t="inlineStr">
        <is>
          <t>CABLESELEC, C.A.</t>
        </is>
      </c>
      <c r="I1965" s="45" t="n">
        <v>1.35</v>
      </c>
      <c r="J1965" s="77" t="n"/>
      <c r="K1965" s="18" t="n"/>
    </row>
    <row r="1966">
      <c r="B1966" s="18" t="inlineStr">
        <is>
          <t>00134-HER</t>
        </is>
      </c>
      <c r="C1966" s="18">
        <f>IFERROR(_xlfn.XLOOKUP(ENTRADAS[[#This Row],[CODIGO]],LISTADO[CODIGOS],LISTADO[CATEGORIA]),"NO EXISTE")</f>
        <v/>
      </c>
      <c r="D1966" s="18">
        <f>IFERROR(_xlfn.XLOOKUP(ENTRADAS[[#This Row],[CODIGO]],LISTADO[CODIGOS],LISTADO[PRODUCTOS]),"NO EXISTE")</f>
        <v/>
      </c>
      <c r="E1966" s="19" t="n">
        <v>46168</v>
      </c>
      <c r="F1966" s="18" t="n">
        <v>1</v>
      </c>
      <c r="G1966" s="18" t="inlineStr">
        <is>
          <t>INGRESO</t>
        </is>
      </c>
      <c r="H1966" s="1" t="inlineStr">
        <is>
          <t>R.O.C.A</t>
        </is>
      </c>
      <c r="I1966" s="45" t="n">
        <v>360</v>
      </c>
      <c r="J1966" s="77" t="n"/>
      <c r="K1966" s="18" t="n"/>
    </row>
    <row r="1967">
      <c r="B1967" s="18" t="inlineStr">
        <is>
          <t>00135-HER</t>
        </is>
      </c>
      <c r="C1967" s="18">
        <f>IFERROR(_xlfn.XLOOKUP(ENTRADAS[[#This Row],[CODIGO]],LISTADO[CODIGOS],LISTADO[CATEGORIA]),"NO EXISTE")</f>
        <v/>
      </c>
      <c r="D1967" s="18">
        <f>IFERROR(_xlfn.XLOOKUP(ENTRADAS[[#This Row],[CODIGO]],LISTADO[CODIGOS],LISTADO[PRODUCTOS]),"NO EXISTE")</f>
        <v/>
      </c>
      <c r="E1967" s="19" t="n">
        <v>46168</v>
      </c>
      <c r="F1967" s="18" t="n">
        <v>1</v>
      </c>
      <c r="G1967" s="18" t="inlineStr">
        <is>
          <t>INGRESO</t>
        </is>
      </c>
      <c r="H1967" s="1" t="inlineStr">
        <is>
          <t>R.O.C.A</t>
        </is>
      </c>
      <c r="I1967" s="45" t="n">
        <v>165</v>
      </c>
      <c r="J1967" s="77" t="n"/>
      <c r="K1967" s="18" t="n"/>
    </row>
    <row r="1968">
      <c r="B1968" s="18" t="inlineStr">
        <is>
          <t>00136-HER</t>
        </is>
      </c>
      <c r="C1968" s="18">
        <f>IFERROR(_xlfn.XLOOKUP(ENTRADAS[[#This Row],[CODIGO]],LISTADO[CODIGOS],LISTADO[CATEGORIA]),"NO EXISTE")</f>
        <v/>
      </c>
      <c r="D1968" s="18">
        <f>IFERROR(_xlfn.XLOOKUP(ENTRADAS[[#This Row],[CODIGO]],LISTADO[CODIGOS],LISTADO[PRODUCTOS]),"NO EXISTE")</f>
        <v/>
      </c>
      <c r="E1968" s="19" t="n">
        <v>46168</v>
      </c>
      <c r="F1968" s="18" t="n">
        <v>1</v>
      </c>
      <c r="G1968" s="18" t="inlineStr">
        <is>
          <t>INGRESO</t>
        </is>
      </c>
      <c r="H1968" s="1" t="inlineStr">
        <is>
          <t>R.O.C.A</t>
        </is>
      </c>
      <c r="I1968" s="45" t="n">
        <v>24.77</v>
      </c>
      <c r="J1968" s="77" t="n"/>
      <c r="K1968" s="18" t="n"/>
    </row>
    <row r="1969">
      <c r="B1969" s="18" t="inlineStr">
        <is>
          <t>00003-MSC</t>
        </is>
      </c>
      <c r="C1969" s="18">
        <f>IFERROR(_xlfn.XLOOKUP(ENTRADAS[[#This Row],[CODIGO]],LISTADO[CODIGOS],LISTADO[CATEGORIA]),"NO EXISTE")</f>
        <v/>
      </c>
      <c r="D1969" s="18">
        <f>IFERROR(_xlfn.XLOOKUP(ENTRADAS[[#This Row],[CODIGO]],LISTADO[CODIGOS],LISTADO[PRODUCTOS]),"NO EXISTE")</f>
        <v/>
      </c>
      <c r="E1969" s="19" t="n">
        <v>46168</v>
      </c>
      <c r="F1969" s="18" t="n">
        <v>3</v>
      </c>
      <c r="G1969" s="18" t="inlineStr">
        <is>
          <t>INGRESO</t>
        </is>
      </c>
      <c r="H1969" s="1" t="inlineStr">
        <is>
          <t>R.O.C.A</t>
        </is>
      </c>
      <c r="I1969" s="45" t="n">
        <v>30</v>
      </c>
      <c r="J1969" s="77" t="n"/>
      <c r="K1969" s="18" t="n"/>
    </row>
    <row r="1970">
      <c r="B1970" s="56" t="inlineStr">
        <is>
          <t>00030-REF</t>
        </is>
      </c>
      <c r="C1970" s="18">
        <f>IFERROR(_xlfn.XLOOKUP(ENTRADAS[[#This Row],[CODIGO]],LISTADO[CODIGOS],LISTADO[CATEGORIA]),"NO EXISTE")</f>
        <v/>
      </c>
      <c r="D1970" s="18">
        <f>IFERROR(_xlfn.XLOOKUP(ENTRADAS[[#This Row],[CODIGO]],LISTADO[CODIGOS],LISTADO[PRODUCTOS]),"NO EXISTE")</f>
        <v/>
      </c>
      <c r="E1970" s="19" t="n">
        <v>46168</v>
      </c>
      <c r="F1970" s="18" t="n">
        <v>10</v>
      </c>
      <c r="G1970" s="18" t="inlineStr">
        <is>
          <t>INGRESO</t>
        </is>
      </c>
      <c r="H1970" s="1" t="inlineStr">
        <is>
          <t>R.O.C.A</t>
        </is>
      </c>
      <c r="I1970" s="45" t="n">
        <v>1.39</v>
      </c>
      <c r="J1970" s="77" t="n"/>
      <c r="K1970" s="18" t="n"/>
    </row>
    <row r="1971">
      <c r="B1971" s="18" t="inlineStr">
        <is>
          <t>00124-REF</t>
        </is>
      </c>
      <c r="C1971" s="18">
        <f>IFERROR(_xlfn.XLOOKUP(ENTRADAS[[#This Row],[CODIGO]],LISTADO[CODIGOS],LISTADO[CATEGORIA]),"NO EXISTE")</f>
        <v/>
      </c>
      <c r="D1971" s="18">
        <f>IFERROR(_xlfn.XLOOKUP(ENTRADAS[[#This Row],[CODIGO]],LISTADO[CODIGOS],LISTADO[PRODUCTOS]),"NO EXISTE")</f>
        <v/>
      </c>
      <c r="E1971" s="19" t="n">
        <v>46168</v>
      </c>
      <c r="F1971" s="18" t="n">
        <v>60</v>
      </c>
      <c r="G1971" s="18" t="inlineStr">
        <is>
          <t>INGRESO</t>
        </is>
      </c>
      <c r="H1971" s="1" t="inlineStr">
        <is>
          <t>R.O.C.A</t>
        </is>
      </c>
      <c r="I1971" s="45" t="n">
        <v>2.51</v>
      </c>
      <c r="J1971" s="77" t="n"/>
      <c r="K1971" s="18" t="n"/>
    </row>
    <row r="1972">
      <c r="B1972" s="56" t="inlineStr">
        <is>
          <t>00033-ELE</t>
        </is>
      </c>
      <c r="C1972" s="18">
        <f>IFERROR(_xlfn.XLOOKUP(ENTRADAS[[#This Row],[CODIGO]],LISTADO[CODIGOS],LISTADO[CATEGORIA]),"NO EXISTE")</f>
        <v/>
      </c>
      <c r="D1972" s="18">
        <f>IFERROR(_xlfn.XLOOKUP(ENTRADAS[[#This Row],[CODIGO]],LISTADO[CODIGOS],LISTADO[PRODUCTOS]),"NO EXISTE")</f>
        <v/>
      </c>
      <c r="E1972" s="19" t="n">
        <v>46168</v>
      </c>
      <c r="F1972" s="18" t="n">
        <v>2</v>
      </c>
      <c r="G1972" s="18" t="inlineStr">
        <is>
          <t>INGRESO</t>
        </is>
      </c>
      <c r="H1972" s="1" t="inlineStr">
        <is>
          <t>R.O.C.A</t>
        </is>
      </c>
      <c r="I1972" s="45" t="n">
        <v>21.64</v>
      </c>
      <c r="J1972" s="77" t="n"/>
      <c r="K1972" s="18" t="n"/>
    </row>
    <row r="1973">
      <c r="B1973" s="18" t="inlineStr">
        <is>
          <t>00123-REF</t>
        </is>
      </c>
      <c r="C1973" s="18">
        <f>IFERROR(_xlfn.XLOOKUP(ENTRADAS[[#This Row],[CODIGO]],LISTADO[CODIGOS],LISTADO[CATEGORIA]),"NO EXISTE")</f>
        <v/>
      </c>
      <c r="D1973" s="18">
        <f>IFERROR(_xlfn.XLOOKUP(ENTRADAS[[#This Row],[CODIGO]],LISTADO[CODIGOS],LISTADO[PRODUCTOS]),"NO EXISTE")</f>
        <v/>
      </c>
      <c r="E1973" s="19" t="n">
        <v>46168</v>
      </c>
      <c r="F1973" s="18" t="n">
        <v>90</v>
      </c>
      <c r="G1973" s="18" t="inlineStr">
        <is>
          <t>INGRESO</t>
        </is>
      </c>
      <c r="H1973" s="1" t="inlineStr">
        <is>
          <t>R.O.C.A</t>
        </is>
      </c>
      <c r="I1973" s="45" t="n">
        <v>13.33</v>
      </c>
      <c r="J1973" s="77" t="n"/>
      <c r="K1973" s="18" t="n"/>
    </row>
    <row r="1974">
      <c r="B1974" s="56" t="inlineStr">
        <is>
          <t>00071-REF</t>
        </is>
      </c>
      <c r="C1974" s="18">
        <f>IFERROR(_xlfn.XLOOKUP(ENTRADAS[[#This Row],[CODIGO]],LISTADO[CODIGOS],LISTADO[CATEGORIA]),"NO EXISTE")</f>
        <v/>
      </c>
      <c r="D1974" s="18">
        <f>IFERROR(_xlfn.XLOOKUP(ENTRADAS[[#This Row],[CODIGO]],LISTADO[CODIGOS],LISTADO[PRODUCTOS]),"NO EXISTE")</f>
        <v/>
      </c>
      <c r="E1974" s="19" t="n">
        <v>46168</v>
      </c>
      <c r="F1974" s="18" t="n">
        <v>90</v>
      </c>
      <c r="G1974" s="18" t="inlineStr">
        <is>
          <t>INGRESO</t>
        </is>
      </c>
      <c r="H1974" s="1" t="inlineStr">
        <is>
          <t>R.O.C.A</t>
        </is>
      </c>
      <c r="I1974" s="45" t="n">
        <v>13.33</v>
      </c>
      <c r="J1974" s="77" t="n"/>
      <c r="K1974" s="18" t="n"/>
    </row>
    <row r="1975">
      <c r="B1975" s="18" t="inlineStr">
        <is>
          <t>00086-ELC</t>
        </is>
      </c>
      <c r="C1975" s="18">
        <f>IFERROR(_xlfn.XLOOKUP(ENTRADAS[[#This Row],[CODIGO]],LISTADO[CODIGOS],LISTADO[CATEGORIA]),"NO EXISTE")</f>
        <v/>
      </c>
      <c r="D1975" s="18">
        <f>IFERROR(_xlfn.XLOOKUP(ENTRADAS[[#This Row],[CODIGO]],LISTADO[CODIGOS],LISTADO[PRODUCTOS]),"NO EXISTE")</f>
        <v/>
      </c>
      <c r="E1975" s="19" t="n">
        <v>46169</v>
      </c>
      <c r="F1975" s="18" t="n">
        <v>1</v>
      </c>
      <c r="G1975" s="18" t="inlineStr">
        <is>
          <t>INGRESO</t>
        </is>
      </c>
      <c r="H1975" s="1" t="inlineStr">
        <is>
          <t>ROCCIA DE VENEZUELA</t>
        </is>
      </c>
      <c r="I1975" s="45" t="n">
        <v>42</v>
      </c>
      <c r="J1975" s="77" t="n"/>
      <c r="K1975" s="18" t="n"/>
    </row>
    <row r="1976">
      <c r="B1976" s="18" t="inlineStr">
        <is>
          <t>00053-ELC</t>
        </is>
      </c>
      <c r="C1976" s="18">
        <f>IFERROR(_xlfn.XLOOKUP(ENTRADAS[[#This Row],[CODIGO]],LISTADO[CODIGOS],LISTADO[CATEGORIA]),"NO EXISTE")</f>
        <v/>
      </c>
      <c r="D1976" s="18">
        <f>IFERROR(_xlfn.XLOOKUP(ENTRADAS[[#This Row],[CODIGO]],LISTADO[CODIGOS],LISTADO[PRODUCTOS]),"NO EXISTE")</f>
        <v/>
      </c>
      <c r="E1976" s="19" t="n">
        <v>46169</v>
      </c>
      <c r="F1976" s="18" t="n">
        <v>2</v>
      </c>
      <c r="G1976" s="18" t="inlineStr">
        <is>
          <t>INGRESO</t>
        </is>
      </c>
      <c r="H1976" s="1" t="inlineStr">
        <is>
          <t>MULTIMAX STORE CA</t>
        </is>
      </c>
      <c r="I1976" s="45" t="n"/>
      <c r="J1976" s="77" t="n">
        <v>69827.57000000001</v>
      </c>
      <c r="K1976" s="18" t="n"/>
    </row>
    <row r="1977">
      <c r="B1977" s="56" t="inlineStr">
        <is>
          <t>00046-ELC</t>
        </is>
      </c>
      <c r="C1977" s="18">
        <f>IFERROR(_xlfn.XLOOKUP(ENTRADAS[[#This Row],[CODIGO]],LISTADO[CODIGOS],LISTADO[CATEGORIA]),"NO EXISTE")</f>
        <v/>
      </c>
      <c r="D1977" s="18">
        <f>IFERROR(_xlfn.XLOOKUP(ENTRADAS[[#This Row],[CODIGO]],LISTADO[CODIGOS],LISTADO[PRODUCTOS]),"NO EXISTE")</f>
        <v/>
      </c>
      <c r="E1977" s="19" t="n">
        <v>46169</v>
      </c>
      <c r="F1977" s="18" t="n">
        <v>1</v>
      </c>
      <c r="G1977" s="18" t="inlineStr">
        <is>
          <t>INGRESO</t>
        </is>
      </c>
      <c r="H1977" s="1" t="inlineStr">
        <is>
          <t>MULTIMAX STORE CA</t>
        </is>
      </c>
      <c r="I1977" s="45" t="n"/>
      <c r="J1977" s="77" t="n">
        <v>148970.89</v>
      </c>
      <c r="K1977" s="18" t="n"/>
    </row>
    <row r="1978">
      <c r="B1978" s="18" t="inlineStr">
        <is>
          <t>00087-ELC</t>
        </is>
      </c>
      <c r="C1978" s="18">
        <f>IFERROR(_xlfn.XLOOKUP(ENTRADAS[[#This Row],[CODIGO]],LISTADO[CODIGOS],LISTADO[CATEGORIA]),"NO EXISTE")</f>
        <v/>
      </c>
      <c r="D1978" s="18">
        <f>IFERROR(_xlfn.XLOOKUP(ENTRADAS[[#This Row],[CODIGO]],LISTADO[CODIGOS],LISTADO[PRODUCTOS]),"NO EXISTE")</f>
        <v/>
      </c>
      <c r="E1978" s="19" t="n">
        <v>46169</v>
      </c>
      <c r="F1978" s="18" t="n">
        <v>3</v>
      </c>
      <c r="G1978" s="18" t="inlineStr">
        <is>
          <t>INGRESO</t>
        </is>
      </c>
      <c r="H1978" s="1" t="inlineStr">
        <is>
          <t>MULTIMAX STORE CA</t>
        </is>
      </c>
      <c r="I1978" s="45" t="n"/>
      <c r="J1978" s="77" t="n">
        <v>60517.23</v>
      </c>
      <c r="K1978" s="18" t="n"/>
    </row>
    <row r="1979">
      <c r="B1979" s="18" t="inlineStr">
        <is>
          <t>00088-ELC</t>
        </is>
      </c>
      <c r="C1979" s="18">
        <f>IFERROR(_xlfn.XLOOKUP(ENTRADAS[[#This Row],[CODIGO]],LISTADO[CODIGOS],LISTADO[CATEGORIA]),"NO EXISTE")</f>
        <v/>
      </c>
      <c r="D1979" s="18">
        <f>IFERROR(_xlfn.XLOOKUP(ENTRADAS[[#This Row],[CODIGO]],LISTADO[CODIGOS],LISTADO[PRODUCTOS]),"NO EXISTE")</f>
        <v/>
      </c>
      <c r="E1979" s="19" t="n">
        <v>46169</v>
      </c>
      <c r="F1979" s="18" t="n">
        <v>1</v>
      </c>
      <c r="G1979" s="18" t="inlineStr">
        <is>
          <t>INGRESO</t>
        </is>
      </c>
      <c r="H1979" s="1" t="inlineStr">
        <is>
          <t>MULTIMAX STORE CA</t>
        </is>
      </c>
      <c r="I1979" s="45" t="n"/>
      <c r="J1979" s="77" t="n">
        <v>28859.9</v>
      </c>
      <c r="K1979" s="18" t="n"/>
    </row>
    <row r="1980">
      <c r="B1980" s="18" t="inlineStr">
        <is>
          <t>00050-ELC</t>
        </is>
      </c>
      <c r="C1980" s="18">
        <f>IFERROR(_xlfn.XLOOKUP(ENTRADAS[[#This Row],[CODIGO]],LISTADO[CODIGOS],LISTADO[CATEGORIA]),"NO EXISTE")</f>
        <v/>
      </c>
      <c r="D1980" s="18">
        <f>IFERROR(_xlfn.XLOOKUP(ENTRADAS[[#This Row],[CODIGO]],LISTADO[CODIGOS],LISTADO[PRODUCTOS]),"NO EXISTE")</f>
        <v/>
      </c>
      <c r="E1980" s="19" t="n">
        <v>46169</v>
      </c>
      <c r="F1980" s="18" t="n">
        <v>3</v>
      </c>
      <c r="G1980" s="18" t="inlineStr">
        <is>
          <t>INGRESO</t>
        </is>
      </c>
      <c r="H1980" s="1" t="inlineStr">
        <is>
          <t>MULTIMAX STORE CA</t>
        </is>
      </c>
      <c r="I1980" s="45" t="n"/>
      <c r="J1980" s="77" t="n">
        <v>60517.63</v>
      </c>
      <c r="K1980" s="18" t="n"/>
    </row>
    <row r="1981">
      <c r="B1981" s="18" t="inlineStr">
        <is>
          <t>00196-FER</t>
        </is>
      </c>
      <c r="C1981" s="18">
        <f>IFERROR(_xlfn.XLOOKUP(ENTRADAS[[#This Row],[CODIGO]],LISTADO[CODIGOS],LISTADO[CATEGORIA]),"NO EXISTE")</f>
        <v/>
      </c>
      <c r="D1981" s="18">
        <f>IFERROR(_xlfn.XLOOKUP(ENTRADAS[[#This Row],[CODIGO]],LISTADO[CODIGOS],LISTADO[PRODUCTOS]),"NO EXISTE")</f>
        <v/>
      </c>
      <c r="E1981" s="19" t="n">
        <v>46169</v>
      </c>
      <c r="F1981" s="18" t="n">
        <v>2</v>
      </c>
      <c r="G1981" s="18" t="inlineStr">
        <is>
          <t>INGRESO</t>
        </is>
      </c>
      <c r="H1981" s="1" t="inlineStr">
        <is>
          <t>MULTIMAX STORE CA</t>
        </is>
      </c>
      <c r="I1981" s="45" t="n"/>
      <c r="J1981" s="77" t="n">
        <v>7447.19</v>
      </c>
      <c r="K1981" s="18" t="n"/>
    </row>
    <row r="1982">
      <c r="B1982" s="56" t="inlineStr">
        <is>
          <t>00127-FER</t>
        </is>
      </c>
      <c r="C1982" s="18">
        <f>IFERROR(_xlfn.XLOOKUP(ENTRADAS[[#This Row],[CODIGO]],LISTADO[CODIGOS],LISTADO[CATEGORIA]),"NO EXISTE")</f>
        <v/>
      </c>
      <c r="D1982" s="18">
        <f>IFERROR(_xlfn.XLOOKUP(ENTRADAS[[#This Row],[CODIGO]],LISTADO[CODIGOS],LISTADO[PRODUCTOS]),"NO EXISTE")</f>
        <v/>
      </c>
      <c r="E1982" s="19" t="n">
        <v>46169</v>
      </c>
      <c r="F1982" s="18" t="n">
        <v>4</v>
      </c>
      <c r="G1982" s="18" t="inlineStr">
        <is>
          <t>INGRESO</t>
        </is>
      </c>
      <c r="H1982" s="1" t="inlineStr">
        <is>
          <t>CENTER MARK</t>
        </is>
      </c>
      <c r="I1982" s="45" t="n"/>
      <c r="J1982" s="77" t="n">
        <v>5940.47</v>
      </c>
      <c r="K1982" s="18" t="n"/>
    </row>
    <row r="1983">
      <c r="B1983" s="56" t="inlineStr">
        <is>
          <t>00124-FER</t>
        </is>
      </c>
      <c r="C1983" s="18">
        <f>IFERROR(_xlfn.XLOOKUP(ENTRADAS[[#This Row],[CODIGO]],LISTADO[CODIGOS],LISTADO[CATEGORIA]),"NO EXISTE")</f>
        <v/>
      </c>
      <c r="D1983" s="18">
        <f>IFERROR(_xlfn.XLOOKUP(ENTRADAS[[#This Row],[CODIGO]],LISTADO[CODIGOS],LISTADO[PRODUCTOS]),"NO EXISTE")</f>
        <v/>
      </c>
      <c r="E1983" s="19" t="n">
        <v>46169</v>
      </c>
      <c r="F1983" s="18" t="n">
        <v>2</v>
      </c>
      <c r="G1983" s="18" t="inlineStr">
        <is>
          <t>INGRESO</t>
        </is>
      </c>
      <c r="H1983" s="1" t="inlineStr">
        <is>
          <t>CENTER MARK</t>
        </is>
      </c>
      <c r="I1983" s="45" t="n"/>
      <c r="J1983" s="77" t="n">
        <v>1350.12</v>
      </c>
      <c r="K1983" s="18" t="n"/>
    </row>
    <row r="1984">
      <c r="B1984" s="56" t="inlineStr">
        <is>
          <t>00010-PLM</t>
        </is>
      </c>
      <c r="C1984" s="18">
        <f>IFERROR(_xlfn.XLOOKUP(ENTRADAS[[#This Row],[CODIGO]],LISTADO[CODIGOS],LISTADO[CATEGORIA]),"NO EXISTE")</f>
        <v/>
      </c>
      <c r="D1984" s="18">
        <f>IFERROR(_xlfn.XLOOKUP(ENTRADAS[[#This Row],[CODIGO]],LISTADO[CODIGOS],LISTADO[PRODUCTOS]),"NO EXISTE")</f>
        <v/>
      </c>
      <c r="E1984" s="19" t="n">
        <v>46169</v>
      </c>
      <c r="F1984" s="18" t="n">
        <v>2</v>
      </c>
      <c r="G1984" s="18" t="inlineStr">
        <is>
          <t>INGRESO</t>
        </is>
      </c>
      <c r="H1984" s="1" t="inlineStr">
        <is>
          <t>CENTER MARK</t>
        </is>
      </c>
      <c r="I1984" s="45" t="n"/>
      <c r="J1984" s="77" t="n">
        <v>1350.12</v>
      </c>
      <c r="K1984" s="18" t="n"/>
    </row>
    <row r="1985">
      <c r="B1985" s="56" t="inlineStr">
        <is>
          <t>00006-PLM</t>
        </is>
      </c>
      <c r="C1985" s="18">
        <f>IFERROR(_xlfn.XLOOKUP(ENTRADAS[[#This Row],[CODIGO]],LISTADO[CODIGOS],LISTADO[CATEGORIA]),"NO EXISTE")</f>
        <v/>
      </c>
      <c r="D1985" s="18">
        <f>IFERROR(_xlfn.XLOOKUP(ENTRADAS[[#This Row],[CODIGO]],LISTADO[CODIGOS],LISTADO[PRODUCTOS]),"NO EXISTE")</f>
        <v/>
      </c>
      <c r="E1985" s="19" t="n">
        <v>46169</v>
      </c>
      <c r="F1985" s="18" t="n">
        <v>3</v>
      </c>
      <c r="G1985" s="18" t="inlineStr">
        <is>
          <t>INGRESO</t>
        </is>
      </c>
      <c r="H1985" s="1" t="inlineStr">
        <is>
          <t>CENTER MARK</t>
        </is>
      </c>
      <c r="I1985" s="45" t="n"/>
      <c r="J1985" s="77" t="n">
        <v>6480.46</v>
      </c>
      <c r="K1985" s="18" t="n"/>
    </row>
    <row r="1986">
      <c r="B1986" s="18" t="inlineStr">
        <is>
          <t>00247-FER</t>
        </is>
      </c>
      <c r="C1986" s="18">
        <f>IFERROR(_xlfn.XLOOKUP(ENTRADAS[[#This Row],[CODIGO]],LISTADO[CODIGOS],LISTADO[CATEGORIA]),"NO EXISTE")</f>
        <v/>
      </c>
      <c r="D1986" s="18">
        <f>IFERROR(_xlfn.XLOOKUP(ENTRADAS[[#This Row],[CODIGO]],LISTADO[CODIGOS],LISTADO[PRODUCTOS]),"NO EXISTE")</f>
        <v/>
      </c>
      <c r="E1986" s="19" t="n">
        <v>46169</v>
      </c>
      <c r="F1986" s="18" t="n">
        <v>10</v>
      </c>
      <c r="G1986" s="18" t="inlineStr">
        <is>
          <t>INGRESO</t>
        </is>
      </c>
      <c r="H1986" s="1" t="inlineStr">
        <is>
          <t>CENTER MARK</t>
        </is>
      </c>
      <c r="I1986" s="45" t="n"/>
      <c r="J1986" s="77" t="n">
        <v>1080.06</v>
      </c>
      <c r="K1986" s="18" t="n"/>
    </row>
    <row r="1987">
      <c r="B1987" s="18" t="inlineStr">
        <is>
          <t>00248-FER</t>
        </is>
      </c>
      <c r="C1987" s="18">
        <f>IFERROR(_xlfn.XLOOKUP(ENTRADAS[[#This Row],[CODIGO]],LISTADO[CODIGOS],LISTADO[CATEGORIA]),"NO EXISTE")</f>
        <v/>
      </c>
      <c r="D1987" s="18">
        <f>IFERROR(_xlfn.XLOOKUP(ENTRADAS[[#This Row],[CODIGO]],LISTADO[CODIGOS],LISTADO[PRODUCTOS]),"NO EXISTE")</f>
        <v/>
      </c>
      <c r="E1987" s="19" t="n">
        <v>46169</v>
      </c>
      <c r="F1987" s="18" t="n">
        <v>8</v>
      </c>
      <c r="G1987" s="18" t="inlineStr">
        <is>
          <t>INGRESO</t>
        </is>
      </c>
      <c r="H1987" s="1" t="inlineStr">
        <is>
          <t>CENTER MARK</t>
        </is>
      </c>
      <c r="I1987" s="45" t="n"/>
      <c r="J1987" s="77" t="n">
        <v>75.61</v>
      </c>
      <c r="K1987" s="18" t="n"/>
    </row>
    <row r="1988">
      <c r="B1988" s="56" t="inlineStr">
        <is>
          <t>00002-PLM</t>
        </is>
      </c>
      <c r="C1988" s="18">
        <f>IFERROR(_xlfn.XLOOKUP(ENTRADAS[[#This Row],[CODIGO]],LISTADO[CODIGOS],LISTADO[CATEGORIA]),"NO EXISTE")</f>
        <v/>
      </c>
      <c r="D1988" s="18">
        <f>IFERROR(_xlfn.XLOOKUP(ENTRADAS[[#This Row],[CODIGO]],LISTADO[CODIGOS],LISTADO[PRODUCTOS]),"NO EXISTE")</f>
        <v/>
      </c>
      <c r="E1988" s="19" t="n">
        <v>46169</v>
      </c>
      <c r="F1988" s="18" t="n">
        <v>2</v>
      </c>
      <c r="G1988" s="18" t="inlineStr">
        <is>
          <t>INGRESO</t>
        </is>
      </c>
      <c r="H1988" s="1" t="inlineStr">
        <is>
          <t>CENTER MARK</t>
        </is>
      </c>
      <c r="I1988" s="45" t="n"/>
      <c r="J1988" s="77" t="n">
        <v>7020.52</v>
      </c>
      <c r="K1988" s="18" t="n"/>
    </row>
    <row r="1989">
      <c r="B1989" s="56" t="inlineStr">
        <is>
          <t>00089-FER</t>
        </is>
      </c>
      <c r="C1989" s="18">
        <f>IFERROR(_xlfn.XLOOKUP(ENTRADAS[[#This Row],[CODIGO]],LISTADO[CODIGOS],LISTADO[CATEGORIA]),"NO EXISTE")</f>
        <v/>
      </c>
      <c r="D1989" s="18">
        <f>IFERROR(_xlfn.XLOOKUP(ENTRADAS[[#This Row],[CODIGO]],LISTADO[CODIGOS],LISTADO[PRODUCTOS]),"NO EXISTE")</f>
        <v/>
      </c>
      <c r="E1989" s="19" t="n">
        <v>46169</v>
      </c>
      <c r="F1989" s="18" t="n">
        <v>10</v>
      </c>
      <c r="G1989" s="18" t="inlineStr">
        <is>
          <t>INGRESO</t>
        </is>
      </c>
      <c r="H1989" s="1" t="inlineStr">
        <is>
          <t>CENTER MARK</t>
        </is>
      </c>
      <c r="I1989" s="45" t="n"/>
      <c r="J1989" s="77" t="n">
        <v>1620.12</v>
      </c>
      <c r="K1989" s="18" t="n"/>
    </row>
    <row r="1990">
      <c r="B1990" s="56" t="inlineStr">
        <is>
          <t>00063-FER</t>
        </is>
      </c>
      <c r="C1990" s="18">
        <f>IFERROR(_xlfn.XLOOKUP(ENTRADAS[[#This Row],[CODIGO]],LISTADO[CODIGOS],LISTADO[CATEGORIA]),"NO EXISTE")</f>
        <v/>
      </c>
      <c r="D1990" s="18">
        <f>IFERROR(_xlfn.XLOOKUP(ENTRADAS[[#This Row],[CODIGO]],LISTADO[CODIGOS],LISTADO[PRODUCTOS]),"NO EXISTE")</f>
        <v/>
      </c>
      <c r="E1990" s="19" t="n">
        <v>46169</v>
      </c>
      <c r="F1990" s="18" t="n">
        <v>10</v>
      </c>
      <c r="G1990" s="18" t="inlineStr">
        <is>
          <t>INGRESO</t>
        </is>
      </c>
      <c r="H1990" s="1" t="inlineStr">
        <is>
          <t>CENTER MARK</t>
        </is>
      </c>
      <c r="I1990" s="45" t="n"/>
      <c r="J1990" s="77" t="n">
        <v>15121.1</v>
      </c>
      <c r="K1990" s="18" t="n"/>
    </row>
    <row r="1991">
      <c r="B1991" s="18" t="inlineStr">
        <is>
          <t>00056-ELC</t>
        </is>
      </c>
      <c r="C1991" s="18">
        <f>IFERROR(_xlfn.XLOOKUP(ENTRADAS[[#This Row],[CODIGO]],LISTADO[CODIGOS],LISTADO[CATEGORIA]),"NO EXISTE")</f>
        <v/>
      </c>
      <c r="D1991" s="18">
        <f>IFERROR(_xlfn.XLOOKUP(ENTRADAS[[#This Row],[CODIGO]],LISTADO[CODIGOS],LISTADO[PRODUCTOS]),"NO EXISTE")</f>
        <v/>
      </c>
      <c r="E1991" s="19" t="n">
        <v>46170</v>
      </c>
      <c r="F1991" s="18" t="n">
        <v>1</v>
      </c>
      <c r="G1991" s="18" t="inlineStr">
        <is>
          <t>INGRESO</t>
        </is>
      </c>
      <c r="H1991" s="1" t="inlineStr">
        <is>
          <t>ROCCIA DE VENEZUELA</t>
        </is>
      </c>
      <c r="I1991" s="45" t="n">
        <v>440.29</v>
      </c>
      <c r="J1991" s="77" t="n"/>
      <c r="K1991" s="18" t="n"/>
    </row>
    <row r="1992">
      <c r="B1992" s="56" t="inlineStr">
        <is>
          <t>00024-ELC</t>
        </is>
      </c>
      <c r="C1992" s="18">
        <f>IFERROR(_xlfn.XLOOKUP(ENTRADAS[[#This Row],[CODIGO]],LISTADO[CODIGOS],LISTADO[CATEGORIA]),"NO EXISTE")</f>
        <v/>
      </c>
      <c r="D1992" s="18">
        <f>IFERROR(_xlfn.XLOOKUP(ENTRADAS[[#This Row],[CODIGO]],LISTADO[CODIGOS],LISTADO[PRODUCTOS]),"NO EXISTE")</f>
        <v/>
      </c>
      <c r="E1992" s="19" t="n">
        <v>46170</v>
      </c>
      <c r="F1992" s="18" t="n">
        <v>3</v>
      </c>
      <c r="G1992" s="18" t="inlineStr">
        <is>
          <t>INGRESO</t>
        </is>
      </c>
      <c r="H1992" s="1" t="inlineStr">
        <is>
          <t>ROCCIA DE VENEZUELA</t>
        </is>
      </c>
      <c r="I1992" s="45" t="n">
        <v>26</v>
      </c>
      <c r="J1992" s="77" t="n"/>
      <c r="K1992" s="18" t="n"/>
    </row>
    <row r="1993">
      <c r="B1993" s="18" t="inlineStr">
        <is>
          <t>00058-ELC</t>
        </is>
      </c>
      <c r="C1993" s="18">
        <f>IFERROR(_xlfn.XLOOKUP(ENTRADAS[[#This Row],[CODIGO]],LISTADO[CODIGOS],LISTADO[CATEGORIA]),"NO EXISTE")</f>
        <v/>
      </c>
      <c r="D1993" s="18">
        <f>IFERROR(_xlfn.XLOOKUP(ENTRADAS[[#This Row],[CODIGO]],LISTADO[CODIGOS],LISTADO[PRODUCTOS]),"NO EXISTE")</f>
        <v/>
      </c>
      <c r="E1993" s="19" t="n">
        <v>46170</v>
      </c>
      <c r="F1993" s="18" t="n">
        <v>2</v>
      </c>
      <c r="G1993" s="18" t="inlineStr">
        <is>
          <t>INGRESO</t>
        </is>
      </c>
      <c r="H1993" s="1" t="inlineStr">
        <is>
          <t>ROCCIA DE VENEZUELA</t>
        </is>
      </c>
      <c r="I1993" s="45" t="n">
        <v>57</v>
      </c>
      <c r="J1993" s="77" t="n"/>
      <c r="K1993" s="18" t="n"/>
    </row>
    <row r="1994">
      <c r="B1994" s="18" t="inlineStr">
        <is>
          <t>00078-ELC</t>
        </is>
      </c>
      <c r="C1994" s="18">
        <f>IFERROR(_xlfn.XLOOKUP(ENTRADAS[[#This Row],[CODIGO]],LISTADO[CODIGOS],LISTADO[CATEGORIA]),"NO EXISTE")</f>
        <v/>
      </c>
      <c r="D1994" s="18">
        <f>IFERROR(_xlfn.XLOOKUP(ENTRADAS[[#This Row],[CODIGO]],LISTADO[CODIGOS],LISTADO[PRODUCTOS]),"NO EXISTE")</f>
        <v/>
      </c>
      <c r="E1994" s="19" t="n">
        <v>46170</v>
      </c>
      <c r="F1994" s="18" t="n">
        <v>4</v>
      </c>
      <c r="G1994" s="18" t="inlineStr">
        <is>
          <t>INGRESO</t>
        </is>
      </c>
      <c r="H1994" s="1" t="inlineStr">
        <is>
          <t>ROCCIA DE VENEZUELA</t>
        </is>
      </c>
      <c r="I1994" s="45" t="n">
        <v>57</v>
      </c>
      <c r="J1994" s="77" t="n"/>
      <c r="K1994" s="18" t="n"/>
    </row>
    <row r="1995">
      <c r="B1995" s="18" t="inlineStr">
        <is>
          <t>00059-ELC</t>
        </is>
      </c>
      <c r="C1995" s="18">
        <f>IFERROR(_xlfn.XLOOKUP(ENTRADAS[[#This Row],[CODIGO]],LISTADO[CODIGOS],LISTADO[CATEGORIA]),"NO EXISTE")</f>
        <v/>
      </c>
      <c r="D1995" s="18">
        <f>IFERROR(_xlfn.XLOOKUP(ENTRADAS[[#This Row],[CODIGO]],LISTADO[CODIGOS],LISTADO[PRODUCTOS]),"NO EXISTE")</f>
        <v/>
      </c>
      <c r="E1995" s="19" t="n">
        <v>46170</v>
      </c>
      <c r="F1995" s="18" t="n">
        <v>1</v>
      </c>
      <c r="G1995" s="18" t="inlineStr">
        <is>
          <t>INGRESO</t>
        </is>
      </c>
      <c r="H1995" s="1" t="inlineStr">
        <is>
          <t>ROCCIA DE VENEZUELA</t>
        </is>
      </c>
      <c r="I1995" s="45" t="n">
        <v>623.24</v>
      </c>
      <c r="J1995" s="77" t="n"/>
      <c r="K1995" s="18" t="n"/>
    </row>
    <row r="1996">
      <c r="B1996" s="56" t="inlineStr">
        <is>
          <t>00108-HER</t>
        </is>
      </c>
      <c r="C1996" s="18">
        <f>IFERROR(_xlfn.XLOOKUP(ENTRADAS[[#This Row],[CODIGO]],LISTADO[CODIGOS],LISTADO[CATEGORIA]),"NO EXISTE")</f>
        <v/>
      </c>
      <c r="D1996" s="18">
        <f>IFERROR(_xlfn.XLOOKUP(ENTRADAS[[#This Row],[CODIGO]],LISTADO[CODIGOS],LISTADO[PRODUCTOS]),"NO EXISTE")</f>
        <v/>
      </c>
      <c r="E1996" s="19" t="n">
        <v>46170</v>
      </c>
      <c r="F1996" s="18" t="n">
        <v>1</v>
      </c>
      <c r="G1996" s="18" t="inlineStr">
        <is>
          <t>INGRESO</t>
        </is>
      </c>
      <c r="H1996" s="1" t="inlineStr">
        <is>
          <t>ROCCIA DE VENEZUELA</t>
        </is>
      </c>
      <c r="I1996" s="45" t="n">
        <v>346.6</v>
      </c>
      <c r="J1996" s="77" t="n"/>
      <c r="K1996" s="18" t="n"/>
    </row>
    <row r="1997">
      <c r="B1997" s="18" t="inlineStr">
        <is>
          <t>00083-ELC</t>
        </is>
      </c>
      <c r="C1997" s="18">
        <f>IFERROR(_xlfn.XLOOKUP(ENTRADAS[[#This Row],[CODIGO]],LISTADO[CODIGOS],LISTADO[CATEGORIA]),"NO EXISTE")</f>
        <v/>
      </c>
      <c r="D1997" s="18">
        <f>IFERROR(_xlfn.XLOOKUP(ENTRADAS[[#This Row],[CODIGO]],LISTADO[CODIGOS],LISTADO[PRODUCTOS]),"NO EXISTE")</f>
        <v/>
      </c>
      <c r="E1997" s="19" t="n">
        <v>46170</v>
      </c>
      <c r="F1997" s="18" t="n">
        <v>1</v>
      </c>
      <c r="G1997" s="18" t="inlineStr">
        <is>
          <t>INGRESO</t>
        </is>
      </c>
      <c r="H1997" s="1" t="inlineStr">
        <is>
          <t>ROCCIA DE VENEZUELA</t>
        </is>
      </c>
      <c r="I1997" s="45" t="n">
        <v>119.35</v>
      </c>
      <c r="J1997" s="77" t="n"/>
      <c r="K1997" s="18" t="n"/>
    </row>
    <row r="1998">
      <c r="B1998" s="18" t="inlineStr">
        <is>
          <t>00083-ELC</t>
        </is>
      </c>
      <c r="C1998" s="18">
        <f>IFERROR(_xlfn.XLOOKUP(ENTRADAS[[#This Row],[CODIGO]],LISTADO[CODIGOS],LISTADO[CATEGORIA]),"NO EXISTE")</f>
        <v/>
      </c>
      <c r="D1998" s="18">
        <f>IFERROR(_xlfn.XLOOKUP(ENTRADAS[[#This Row],[CODIGO]],LISTADO[CODIGOS],LISTADO[PRODUCTOS]),"NO EXISTE")</f>
        <v/>
      </c>
      <c r="E1998" s="19" t="n">
        <v>46170</v>
      </c>
      <c r="F1998" s="18" t="n">
        <v>1</v>
      </c>
      <c r="G1998" s="18" t="inlineStr">
        <is>
          <t>INGRESO</t>
        </is>
      </c>
      <c r="H1998" s="1" t="inlineStr">
        <is>
          <t>ROCCIA DE VENEZUELA</t>
        </is>
      </c>
      <c r="I1998" s="45" t="n">
        <v>119.35</v>
      </c>
      <c r="J1998" s="77" t="n"/>
      <c r="K1998" s="18" t="n"/>
    </row>
    <row r="1999">
      <c r="B1999" s="18" t="inlineStr">
        <is>
          <t>00033-LIM</t>
        </is>
      </c>
      <c r="C1999" s="18">
        <f>IFERROR(_xlfn.XLOOKUP(ENTRADAS[[#This Row],[CODIGO]],LISTADO[CODIGOS],LISTADO[CATEGORIA]),"NO EXISTE")</f>
        <v/>
      </c>
      <c r="D1999" s="18">
        <f>IFERROR(_xlfn.XLOOKUP(ENTRADAS[[#This Row],[CODIGO]],LISTADO[CODIGOS],LISTADO[PRODUCTOS]),"NO EXISTE")</f>
        <v/>
      </c>
      <c r="E1999" s="19" t="n">
        <v>46170</v>
      </c>
      <c r="F1999" s="18" t="n">
        <v>1</v>
      </c>
      <c r="G1999" s="18" t="inlineStr">
        <is>
          <t>INGRESO</t>
        </is>
      </c>
      <c r="I1999" s="45" t="n">
        <v>70</v>
      </c>
      <c r="J1999" s="77" t="n">
        <v>38120.56</v>
      </c>
      <c r="K1999" s="18" t="n">
        <v>544.58</v>
      </c>
    </row>
    <row r="2000">
      <c r="B2000" s="18" t="inlineStr">
        <is>
          <t>00034-LIM</t>
        </is>
      </c>
      <c r="C2000" s="18">
        <f>IFERROR(_xlfn.XLOOKUP(ENTRADAS[[#This Row],[CODIGO]],LISTADO[CODIGOS],LISTADO[CATEGORIA]),"NO EXISTE")</f>
        <v/>
      </c>
      <c r="D2000" s="18">
        <f>IFERROR(_xlfn.XLOOKUP(ENTRADAS[[#This Row],[CODIGO]],LISTADO[CODIGOS],LISTADO[PRODUCTOS]),"NO EXISTE")</f>
        <v/>
      </c>
      <c r="E2000" s="19" t="n">
        <v>46170</v>
      </c>
      <c r="F2000" s="18" t="n">
        <v>2</v>
      </c>
      <c r="G2000" s="18" t="inlineStr">
        <is>
          <t>INGRESO</t>
        </is>
      </c>
      <c r="I2000" s="45" t="n">
        <v>17</v>
      </c>
      <c r="J2000" s="77" t="n">
        <v>18515.7</v>
      </c>
      <c r="K2000" s="18" t="n">
        <v>544.58</v>
      </c>
    </row>
    <row r="2001">
      <c r="B2001" s="18" t="inlineStr">
        <is>
          <t>00033-MSC</t>
        </is>
      </c>
      <c r="C2001" s="18">
        <f>IFERROR(_xlfn.XLOOKUP(ENTRADAS[[#This Row],[CODIGO]],LISTADO[CODIGOS],LISTADO[CATEGORIA]),"NO EXISTE")</f>
        <v/>
      </c>
      <c r="D2001" s="18">
        <f>IFERROR(_xlfn.XLOOKUP(ENTRADAS[[#This Row],[CODIGO]],LISTADO[CODIGOS],LISTADO[PRODUCTOS]),"NO EXISTE")</f>
        <v/>
      </c>
      <c r="E2001" s="19" t="n">
        <v>46170</v>
      </c>
      <c r="F2001" s="18" t="n">
        <v>1</v>
      </c>
      <c r="G2001" s="18" t="inlineStr">
        <is>
          <t>INGRESO</t>
        </is>
      </c>
      <c r="I2001" s="45" t="n">
        <v>11.71</v>
      </c>
      <c r="J2001" s="77" t="n">
        <v>6375.33</v>
      </c>
      <c r="K2001" s="18" t="n">
        <v>544.58</v>
      </c>
    </row>
    <row r="2002">
      <c r="B2002" s="56" t="inlineStr">
        <is>
          <t>00051-AUT</t>
        </is>
      </c>
      <c r="C2002" s="18">
        <f>IFERROR(_xlfn.XLOOKUP(ENTRADAS[[#This Row],[CODIGO]],LISTADO[CODIGOS],LISTADO[CATEGORIA]),"NO EXISTE")</f>
        <v/>
      </c>
      <c r="D2002" s="18">
        <f>IFERROR(_xlfn.XLOOKUP(ENTRADAS[[#This Row],[CODIGO]],LISTADO[CODIGOS],LISTADO[PRODUCTOS]),"NO EXISTE")</f>
        <v/>
      </c>
      <c r="E2002" s="19" t="n">
        <v>46170</v>
      </c>
      <c r="F2002" s="18" t="n">
        <v>1</v>
      </c>
      <c r="G2002" s="18" t="inlineStr">
        <is>
          <t>INGRESO</t>
        </is>
      </c>
      <c r="I2002" s="45" t="n"/>
      <c r="J2002" s="77" t="n">
        <v>2530</v>
      </c>
      <c r="K2002" s="18" t="n"/>
    </row>
    <row r="2003">
      <c r="B2003" s="18" t="inlineStr">
        <is>
          <t>00009-FER</t>
        </is>
      </c>
      <c r="C2003" s="18">
        <f>IFERROR(_xlfn.XLOOKUP(ENTRADAS[[#This Row],[CODIGO]],LISTADO[CODIGOS],LISTADO[CATEGORIA]),"NO EXISTE")</f>
        <v/>
      </c>
      <c r="D2003" s="18">
        <f>IFERROR(_xlfn.XLOOKUP(ENTRADAS[[#This Row],[CODIGO]],LISTADO[CODIGOS],LISTADO[PRODUCTOS]),"NO EXISTE")</f>
        <v/>
      </c>
      <c r="E2003" s="19" t="n">
        <v>46170</v>
      </c>
      <c r="F2003" s="18" t="n">
        <v>6</v>
      </c>
      <c r="G2003" s="18" t="inlineStr">
        <is>
          <t>INGRESO</t>
        </is>
      </c>
      <c r="H2003" s="1" t="inlineStr">
        <is>
          <t>FERKA RUEDAS</t>
        </is>
      </c>
      <c r="I2003" s="45" t="n"/>
      <c r="J2003" s="77" t="n">
        <v>13614.5</v>
      </c>
      <c r="K2003" s="18" t="n">
        <v>544.58</v>
      </c>
    </row>
    <row r="2004">
      <c r="B2004" s="56" t="inlineStr">
        <is>
          <t>00010-FER</t>
        </is>
      </c>
      <c r="C2004" s="18">
        <f>IFERROR(_xlfn.XLOOKUP(ENTRADAS[[#This Row],[CODIGO]],LISTADO[CODIGOS],LISTADO[CATEGORIA]),"NO EXISTE")</f>
        <v/>
      </c>
      <c r="D2004" s="18">
        <f>IFERROR(_xlfn.XLOOKUP(ENTRADAS[[#This Row],[CODIGO]],LISTADO[CODIGOS],LISTADO[PRODUCTOS]),"NO EXISTE")</f>
        <v/>
      </c>
      <c r="E2004" s="19" t="n">
        <v>46170</v>
      </c>
      <c r="F2004" s="18" t="n">
        <v>6</v>
      </c>
      <c r="G2004" s="18" t="inlineStr">
        <is>
          <t>INGRESO</t>
        </is>
      </c>
      <c r="H2004" s="1" t="inlineStr">
        <is>
          <t>FERKA RUEDAS</t>
        </is>
      </c>
      <c r="I2004" s="45" t="n"/>
      <c r="J2004" s="77" t="n">
        <v>13614.5</v>
      </c>
      <c r="K2004" s="18" t="n">
        <v>544.58</v>
      </c>
    </row>
    <row r="2005">
      <c r="B2005" s="18" t="inlineStr">
        <is>
          <t>00246-FER</t>
        </is>
      </c>
      <c r="C2005" s="18">
        <f>IFERROR(_xlfn.XLOOKUP(ENTRADAS[[#This Row],[CODIGO]],LISTADO[CODIGOS],LISTADO[CATEGORIA]),"NO EXISTE")</f>
        <v/>
      </c>
      <c r="D2005" s="18">
        <f>IFERROR(_xlfn.XLOOKUP(ENTRADAS[[#This Row],[CODIGO]],LISTADO[CODIGOS],LISTADO[PRODUCTOS]),"NO EXISTE")</f>
        <v/>
      </c>
      <c r="E2005" s="19" t="n">
        <v>46170</v>
      </c>
      <c r="F2005" s="18" t="n">
        <v>2</v>
      </c>
      <c r="G2005" s="18" t="inlineStr">
        <is>
          <t>INGRESO</t>
        </is>
      </c>
      <c r="H2005" s="1" t="inlineStr">
        <is>
          <t>FERKA RUEDAS</t>
        </is>
      </c>
      <c r="I2005" s="45" t="n"/>
      <c r="J2005" s="77" t="n">
        <v>92578.41</v>
      </c>
      <c r="K2005" s="18" t="n">
        <v>544.58</v>
      </c>
    </row>
    <row r="2006">
      <c r="B2006" s="56" t="inlineStr">
        <is>
          <t>00010-MSC</t>
        </is>
      </c>
      <c r="C2006" s="18">
        <f>IFERROR(_xlfn.XLOOKUP(ENTRADAS[[#This Row],[CODIGO]],LISTADO[CODIGOS],LISTADO[CATEGORIA]),"NO EXISTE")</f>
        <v/>
      </c>
      <c r="D2006" s="18">
        <f>IFERROR(_xlfn.XLOOKUP(ENTRADAS[[#This Row],[CODIGO]],LISTADO[CODIGOS],LISTADO[PRODUCTOS]),"NO EXISTE")</f>
        <v/>
      </c>
      <c r="E2006" s="19" t="n">
        <v>46171</v>
      </c>
      <c r="F2006" s="18" t="n">
        <v>1</v>
      </c>
      <c r="G2006" s="18" t="inlineStr">
        <is>
          <t>INGRESO</t>
        </is>
      </c>
      <c r="H2006" s="1" t="inlineStr">
        <is>
          <t>MUNDO TAMANACO</t>
        </is>
      </c>
      <c r="I2006" s="45" t="n">
        <v>5.5</v>
      </c>
      <c r="J2006" s="77" t="n"/>
      <c r="K2006" s="18" t="n"/>
    </row>
    <row r="2007">
      <c r="B2007" s="56" t="inlineStr">
        <is>
          <t>00015-MSC</t>
        </is>
      </c>
      <c r="C2007" s="18">
        <f>IFERROR(_xlfn.XLOOKUP(ENTRADAS[[#This Row],[CODIGO]],LISTADO[CODIGOS],LISTADO[CATEGORIA]),"NO EXISTE")</f>
        <v/>
      </c>
      <c r="D2007" s="18">
        <f>IFERROR(_xlfn.XLOOKUP(ENTRADAS[[#This Row],[CODIGO]],LISTADO[CODIGOS],LISTADO[PRODUCTOS]),"NO EXISTE")</f>
        <v/>
      </c>
      <c r="E2007" s="19" t="n">
        <v>46171</v>
      </c>
      <c r="F2007" s="18" t="n">
        <v>1</v>
      </c>
      <c r="G2007" s="18" t="inlineStr">
        <is>
          <t>INGRESO</t>
        </is>
      </c>
      <c r="H2007" s="1" t="inlineStr">
        <is>
          <t>MUNDO TAMANACO</t>
        </is>
      </c>
      <c r="I2007" s="45" t="n">
        <v>9</v>
      </c>
      <c r="J2007" s="77" t="n"/>
      <c r="K2007" s="18" t="n"/>
    </row>
    <row r="2008">
      <c r="B2008" s="18" t="inlineStr">
        <is>
          <t>00020-MSC</t>
        </is>
      </c>
      <c r="C2008" s="18">
        <f>IFERROR(_xlfn.XLOOKUP(ENTRADAS[[#This Row],[CODIGO]],LISTADO[CODIGOS],LISTADO[CATEGORIA]),"NO EXISTE")</f>
        <v/>
      </c>
      <c r="D2008" s="18">
        <f>IFERROR(_xlfn.XLOOKUP(ENTRADAS[[#This Row],[CODIGO]],LISTADO[CODIGOS],LISTADO[PRODUCTOS]),"NO EXISTE")</f>
        <v/>
      </c>
      <c r="E2008" s="19" t="n">
        <v>46171</v>
      </c>
      <c r="F2008" s="18" t="n">
        <v>2</v>
      </c>
      <c r="G2008" s="18" t="inlineStr">
        <is>
          <t>INGRESO</t>
        </is>
      </c>
      <c r="H2008" s="1" t="inlineStr">
        <is>
          <t>MUNDO TAMANACO</t>
        </is>
      </c>
      <c r="I2008" s="45" t="n">
        <v>6</v>
      </c>
      <c r="J2008" s="77" t="n"/>
      <c r="K2008" s="18" t="n"/>
    </row>
    <row r="2009">
      <c r="B2009" s="56" t="inlineStr">
        <is>
          <t>00001-LIM</t>
        </is>
      </c>
      <c r="C2009" s="18">
        <f>IFERROR(_xlfn.XLOOKUP(ENTRADAS[[#This Row],[CODIGO]],LISTADO[CODIGOS],LISTADO[CATEGORIA]),"NO EXISTE")</f>
        <v/>
      </c>
      <c r="D2009" s="18">
        <f>IFERROR(_xlfn.XLOOKUP(ENTRADAS[[#This Row],[CODIGO]],LISTADO[CODIGOS],LISTADO[PRODUCTOS]),"NO EXISTE")</f>
        <v/>
      </c>
      <c r="E2009" s="19" t="n">
        <v>46171</v>
      </c>
      <c r="F2009" s="18" t="n">
        <v>4</v>
      </c>
      <c r="G2009" s="18" t="inlineStr">
        <is>
          <t>INGRESO</t>
        </is>
      </c>
      <c r="H2009" s="1" t="inlineStr">
        <is>
          <t>MUNDO TAMANACO</t>
        </is>
      </c>
      <c r="I2009" s="45" t="n">
        <v>3.5</v>
      </c>
      <c r="J2009" s="77" t="n"/>
      <c r="K2009" s="18" t="n"/>
    </row>
    <row r="2010">
      <c r="B2010" s="18" t="inlineStr">
        <is>
          <t>00013-LIM</t>
        </is>
      </c>
      <c r="C2010" s="18">
        <f>IFERROR(_xlfn.XLOOKUP(ENTRADAS[[#This Row],[CODIGO]],LISTADO[CODIGOS],LISTADO[CATEGORIA]),"NO EXISTE")</f>
        <v/>
      </c>
      <c r="D2010" s="18">
        <f>IFERROR(_xlfn.XLOOKUP(ENTRADAS[[#This Row],[CODIGO]],LISTADO[CODIGOS],LISTADO[PRODUCTOS]),"NO EXISTE")</f>
        <v/>
      </c>
      <c r="E2010" s="19" t="n">
        <v>46171</v>
      </c>
      <c r="F2010" s="18" t="n">
        <v>2</v>
      </c>
      <c r="G2010" s="18" t="inlineStr">
        <is>
          <t>INGRESO</t>
        </is>
      </c>
      <c r="H2010" s="1" t="inlineStr">
        <is>
          <t>MUNDO TAMANACO</t>
        </is>
      </c>
      <c r="I2010" s="45" t="n">
        <v>3.5</v>
      </c>
      <c r="J2010" s="77" t="n"/>
      <c r="K2010" s="18" t="n"/>
    </row>
    <row r="2011">
      <c r="B2011" s="56" t="inlineStr">
        <is>
          <t>00005-LIM</t>
        </is>
      </c>
      <c r="C2011" s="18">
        <f>IFERROR(_xlfn.XLOOKUP(ENTRADAS[[#This Row],[CODIGO]],LISTADO[CODIGOS],LISTADO[CATEGORIA]),"NO EXISTE")</f>
        <v/>
      </c>
      <c r="D2011" s="18">
        <f>IFERROR(_xlfn.XLOOKUP(ENTRADAS[[#This Row],[CODIGO]],LISTADO[CODIGOS],LISTADO[PRODUCTOS]),"NO EXISTE")</f>
        <v/>
      </c>
      <c r="E2011" s="19" t="n">
        <v>46171</v>
      </c>
      <c r="F2011" s="18" t="n">
        <v>4</v>
      </c>
      <c r="G2011" s="18" t="inlineStr">
        <is>
          <t>INGRESO</t>
        </is>
      </c>
      <c r="H2011" s="1" t="inlineStr">
        <is>
          <t>MUNDO TAMANACO</t>
        </is>
      </c>
      <c r="I2011" s="45" t="n">
        <v>2.5</v>
      </c>
      <c r="J2011" s="77" t="n"/>
      <c r="K2011" s="18" t="n"/>
    </row>
    <row r="2012">
      <c r="B2012" s="56" t="inlineStr">
        <is>
          <t>00011-LIM</t>
        </is>
      </c>
      <c r="C2012" s="18">
        <f>IFERROR(_xlfn.XLOOKUP(ENTRADAS[[#This Row],[CODIGO]],LISTADO[CODIGOS],LISTADO[CATEGORIA]),"NO EXISTE")</f>
        <v/>
      </c>
      <c r="D2012" s="18">
        <f>IFERROR(_xlfn.XLOOKUP(ENTRADAS[[#This Row],[CODIGO]],LISTADO[CODIGOS],LISTADO[PRODUCTOS]),"NO EXISTE")</f>
        <v/>
      </c>
      <c r="E2012" s="19" t="n">
        <v>46171</v>
      </c>
      <c r="F2012" s="18" t="n">
        <v>2</v>
      </c>
      <c r="G2012" s="18" t="inlineStr">
        <is>
          <t>INGRESO</t>
        </is>
      </c>
      <c r="H2012" s="1" t="inlineStr">
        <is>
          <t>MUNDO TAMANACO</t>
        </is>
      </c>
      <c r="I2012" s="45" t="n">
        <v>2.5</v>
      </c>
      <c r="J2012" s="77" t="n"/>
      <c r="K2012" s="18" t="n"/>
    </row>
    <row r="2013">
      <c r="B2013" s="18" t="inlineStr">
        <is>
          <t>00023-LIM</t>
        </is>
      </c>
      <c r="C2013" s="18">
        <f>IFERROR(_xlfn.XLOOKUP(ENTRADAS[[#This Row],[CODIGO]],LISTADO[CODIGOS],LISTADO[CATEGORIA]),"NO EXISTE")</f>
        <v/>
      </c>
      <c r="D2013" s="18">
        <f>IFERROR(_xlfn.XLOOKUP(ENTRADAS[[#This Row],[CODIGO]],LISTADO[CODIGOS],LISTADO[PRODUCTOS]),"NO EXISTE")</f>
        <v/>
      </c>
      <c r="E2013" s="19" t="n">
        <v>46171</v>
      </c>
      <c r="F2013" s="18" t="n">
        <v>2</v>
      </c>
      <c r="G2013" s="18" t="inlineStr">
        <is>
          <t>INGRESO</t>
        </is>
      </c>
      <c r="H2013" s="1" t="inlineStr">
        <is>
          <t>MUNDO TAMANACO</t>
        </is>
      </c>
      <c r="I2013" s="45" t="n">
        <v>35</v>
      </c>
      <c r="J2013" s="77" t="n"/>
      <c r="K2013" s="18" t="n"/>
    </row>
    <row r="2014">
      <c r="B2014" s="18" t="inlineStr">
        <is>
          <t>00032-LIM</t>
        </is>
      </c>
      <c r="C2014" s="18">
        <f>IFERROR(_xlfn.XLOOKUP(ENTRADAS[[#This Row],[CODIGO]],LISTADO[CODIGOS],LISTADO[CATEGORIA]),"NO EXISTE")</f>
        <v/>
      </c>
      <c r="D2014" s="18">
        <f>IFERROR(_xlfn.XLOOKUP(ENTRADAS[[#This Row],[CODIGO]],LISTADO[CODIGOS],LISTADO[PRODUCTOS]),"NO EXISTE")</f>
        <v/>
      </c>
      <c r="E2014" s="19" t="n">
        <v>46171</v>
      </c>
      <c r="F2014" s="18" t="n">
        <v>2</v>
      </c>
      <c r="G2014" s="18" t="inlineStr">
        <is>
          <t>INGRESO</t>
        </is>
      </c>
      <c r="H2014" s="1" t="inlineStr">
        <is>
          <t>MUNDO TAMANACO</t>
        </is>
      </c>
      <c r="I2014" s="45" t="n">
        <v>27</v>
      </c>
      <c r="J2014" s="77" t="n"/>
      <c r="K2014" s="18" t="n"/>
    </row>
    <row r="2015">
      <c r="B2015" s="18" t="inlineStr">
        <is>
          <t>00022-LIM</t>
        </is>
      </c>
      <c r="C2015" s="18">
        <f>IFERROR(_xlfn.XLOOKUP(ENTRADAS[[#This Row],[CODIGO]],LISTADO[CODIGOS],LISTADO[CATEGORIA]),"NO EXISTE")</f>
        <v/>
      </c>
      <c r="D2015" s="18">
        <f>IFERROR(_xlfn.XLOOKUP(ENTRADAS[[#This Row],[CODIGO]],LISTADO[CODIGOS],LISTADO[PRODUCTOS]),"NO EXISTE")</f>
        <v/>
      </c>
      <c r="E2015" s="19" t="n">
        <v>46171</v>
      </c>
      <c r="F2015" s="18" t="n">
        <v>11</v>
      </c>
      <c r="G2015" s="18" t="inlineStr">
        <is>
          <t>INGRESO</t>
        </is>
      </c>
      <c r="H2015" s="1" t="inlineStr">
        <is>
          <t>MUNDO TAMANACO</t>
        </is>
      </c>
      <c r="I2015" s="45" t="n">
        <v>2</v>
      </c>
      <c r="J2015" s="77" t="n"/>
      <c r="K2015" s="18" t="n"/>
    </row>
    <row r="2016">
      <c r="B2016" s="18" t="inlineStr">
        <is>
          <t>00051-PLM</t>
        </is>
      </c>
      <c r="C2016" s="18">
        <f>IFERROR(_xlfn.XLOOKUP(ENTRADAS[[#This Row],[CODIGO]],LISTADO[CODIGOS],LISTADO[CATEGORIA]),"NO EXISTE")</f>
        <v/>
      </c>
      <c r="D2016" s="18">
        <f>IFERROR(_xlfn.XLOOKUP(ENTRADAS[[#This Row],[CODIGO]],LISTADO[CODIGOS],LISTADO[PRODUCTOS]),"NO EXISTE")</f>
        <v/>
      </c>
      <c r="E2016" s="19" t="n">
        <v>46175</v>
      </c>
      <c r="F2016" s="18" t="n">
        <v>1</v>
      </c>
      <c r="G2016" s="18" t="inlineStr">
        <is>
          <t>INGRESO</t>
        </is>
      </c>
      <c r="H2016" s="1" t="inlineStr">
        <is>
          <t>CENTER MARK</t>
        </is>
      </c>
      <c r="I2016" s="45" t="n"/>
      <c r="J2016" s="77" t="n">
        <v>8927.52</v>
      </c>
      <c r="K2016" s="18" t="n"/>
    </row>
    <row r="2017">
      <c r="B2017" s="56" t="inlineStr">
        <is>
          <t>00089-FER</t>
        </is>
      </c>
      <c r="C2017" s="18">
        <f>IFERROR(_xlfn.XLOOKUP(ENTRADAS[[#This Row],[CODIGO]],LISTADO[CODIGOS],LISTADO[CATEGORIA]),"NO EXISTE")</f>
        <v/>
      </c>
      <c r="D2017" s="18">
        <f>IFERROR(_xlfn.XLOOKUP(ENTRADAS[[#This Row],[CODIGO]],LISTADO[CODIGOS],LISTADO[PRODUCTOS]),"NO EXISTE")</f>
        <v/>
      </c>
      <c r="E2017" s="19" t="n">
        <v>46175</v>
      </c>
      <c r="F2017" s="18" t="n">
        <v>20</v>
      </c>
      <c r="G2017" s="18" t="inlineStr">
        <is>
          <t>INGRESO</t>
        </is>
      </c>
      <c r="H2017" s="1" t="inlineStr">
        <is>
          <t>CENTER MARK</t>
        </is>
      </c>
      <c r="I2017" s="45" t="n"/>
      <c r="J2017" s="77" t="n">
        <v>1673.9</v>
      </c>
      <c r="K2017" s="18" t="n"/>
    </row>
    <row r="2018">
      <c r="B2018" s="18" t="inlineStr">
        <is>
          <t>00077-FER</t>
        </is>
      </c>
      <c r="C2018" s="18">
        <f>IFERROR(_xlfn.XLOOKUP(ENTRADAS[[#This Row],[CODIGO]],LISTADO[CODIGOS],LISTADO[CATEGORIA]),"NO EXISTE")</f>
        <v/>
      </c>
      <c r="D2018" s="18">
        <f>IFERROR(_xlfn.XLOOKUP(ENTRADAS[[#This Row],[CODIGO]],LISTADO[CODIGOS],LISTADO[PRODUCTOS]),"NO EXISTE")</f>
        <v/>
      </c>
      <c r="E2018" s="19" t="n">
        <v>46175</v>
      </c>
      <c r="F2018" s="18" t="n">
        <v>3</v>
      </c>
      <c r="G2018" s="18" t="inlineStr">
        <is>
          <t>INGRESO</t>
        </is>
      </c>
      <c r="H2018" s="1" t="inlineStr">
        <is>
          <t>CENTER MARK</t>
        </is>
      </c>
      <c r="I2018" s="45" t="n"/>
      <c r="J2018" s="77" t="n">
        <v>1394.94</v>
      </c>
      <c r="K2018" s="18" t="n"/>
    </row>
    <row r="2019">
      <c r="B2019" s="18" t="inlineStr">
        <is>
          <t>00055-PLM</t>
        </is>
      </c>
      <c r="C2019" s="18">
        <f>IFERROR(_xlfn.XLOOKUP(ENTRADAS[[#This Row],[CODIGO]],LISTADO[CODIGOS],LISTADO[CATEGORIA]),"NO EXISTE")</f>
        <v/>
      </c>
      <c r="D2019" s="18">
        <f>IFERROR(_xlfn.XLOOKUP(ENTRADAS[[#This Row],[CODIGO]],LISTADO[CODIGOS],LISTADO[PRODUCTOS]),"NO EXISTE")</f>
        <v/>
      </c>
      <c r="E2019" s="19" t="n">
        <v>46175</v>
      </c>
      <c r="F2019" s="18" t="n">
        <v>3</v>
      </c>
      <c r="G2019" s="18" t="inlineStr">
        <is>
          <t>INGRESO</t>
        </is>
      </c>
      <c r="H2019" s="1" t="inlineStr">
        <is>
          <t>CENTER MARK</t>
        </is>
      </c>
      <c r="I2019" s="45" t="n"/>
      <c r="J2019" s="77" t="n">
        <v>278.96</v>
      </c>
      <c r="K2019" s="18" t="n"/>
    </row>
    <row r="2020">
      <c r="B2020" s="18" t="inlineStr">
        <is>
          <t>00085-ELC</t>
        </is>
      </c>
      <c r="C2020" s="18">
        <f>IFERROR(_xlfn.XLOOKUP(ENTRADAS[[#This Row],[CODIGO]],LISTADO[CODIGOS],LISTADO[CATEGORIA]),"NO EXISTE")</f>
        <v/>
      </c>
      <c r="D2020" s="18">
        <f>IFERROR(_xlfn.XLOOKUP(ENTRADAS[[#This Row],[CODIGO]],LISTADO[CODIGOS],LISTADO[PRODUCTOS]),"NO EXISTE")</f>
        <v/>
      </c>
      <c r="E2020" s="19" t="n">
        <v>46176</v>
      </c>
      <c r="F2020" s="18" t="n">
        <v>2</v>
      </c>
      <c r="G2020" s="18" t="inlineStr">
        <is>
          <t>INGRESO</t>
        </is>
      </c>
      <c r="H2020" s="1" t="inlineStr">
        <is>
          <t>ROCCIA DE VENEZUELA</t>
        </is>
      </c>
      <c r="I2020" s="45" t="n">
        <v>732.98</v>
      </c>
      <c r="J2020" s="77" t="n"/>
      <c r="K2020" s="18" t="n"/>
    </row>
    <row r="2021">
      <c r="B2021" s="18" t="inlineStr">
        <is>
          <t>00040-OFC</t>
        </is>
      </c>
      <c r="C2021" s="18">
        <f>IFERROR(_xlfn.XLOOKUP(ENTRADAS[[#This Row],[CODIGO]],LISTADO[CODIGOS],LISTADO[CATEGORIA]),"NO EXISTE")</f>
        <v/>
      </c>
      <c r="D2021" s="18">
        <f>IFERROR(_xlfn.XLOOKUP(ENTRADAS[[#This Row],[CODIGO]],LISTADO[CODIGOS],LISTADO[PRODUCTOS]),"NO EXISTE")</f>
        <v/>
      </c>
      <c r="E2021" s="19" t="n">
        <v>46176</v>
      </c>
      <c r="F2021" s="18" t="n">
        <v>4</v>
      </c>
      <c r="G2021" s="18" t="inlineStr">
        <is>
          <t>INGRESO</t>
        </is>
      </c>
      <c r="H2021" s="1" t="inlineStr">
        <is>
          <t>IGUANA ACRILICA C.A.</t>
        </is>
      </c>
      <c r="I2021" s="45" t="n">
        <v>17</v>
      </c>
      <c r="J2021" s="77" t="n"/>
      <c r="K2021" s="18" t="n"/>
    </row>
    <row r="2022">
      <c r="B2022" s="56" t="inlineStr">
        <is>
          <t>00002-MSC</t>
        </is>
      </c>
      <c r="C2022" s="18">
        <f>IFERROR(_xlfn.XLOOKUP(ENTRADAS[[#This Row],[CODIGO]],LISTADO[CODIGOS],LISTADO[CATEGORIA]),"NO EXISTE")</f>
        <v/>
      </c>
      <c r="D2022" s="18">
        <f>IFERROR(_xlfn.XLOOKUP(ENTRADAS[[#This Row],[CODIGO]],LISTADO[CODIGOS],LISTADO[PRODUCTOS]),"NO EXISTE")</f>
        <v/>
      </c>
      <c r="E2022" s="19" t="n">
        <v>46176</v>
      </c>
      <c r="F2022" s="18" t="n">
        <v>2</v>
      </c>
      <c r="G2022" s="18" t="inlineStr">
        <is>
          <t>INGRESO</t>
        </is>
      </c>
      <c r="H2022" s="1" t="inlineStr">
        <is>
          <t>ROCCIA DE VENEZUELA</t>
        </is>
      </c>
      <c r="I2022" s="45" t="n">
        <v>732.98</v>
      </c>
      <c r="J2022" s="77" t="n"/>
      <c r="K2022" s="18" t="n"/>
    </row>
    <row r="2023">
      <c r="B2023" s="56" t="inlineStr">
        <is>
          <t>00010-HRR</t>
        </is>
      </c>
      <c r="C2023" s="18">
        <f>IFERROR(_xlfn.XLOOKUP(ENTRADAS[[#This Row],[CODIGO]],LISTADO[CODIGOS],LISTADO[CATEGORIA]),"NO EXISTE")</f>
        <v/>
      </c>
      <c r="D2023" s="18">
        <f>IFERROR(_xlfn.XLOOKUP(ENTRADAS[[#This Row],[CODIGO]],LISTADO[CODIGOS],LISTADO[PRODUCTOS]),"NO EXISTE")</f>
        <v/>
      </c>
      <c r="E2023" s="19" t="n">
        <v>46177</v>
      </c>
      <c r="F2023" s="18" t="n">
        <v>100</v>
      </c>
      <c r="G2023" s="18" t="inlineStr">
        <is>
          <t>INGRESO</t>
        </is>
      </c>
      <c r="H2023" s="1" t="inlineStr">
        <is>
          <t>CENTER MARK</t>
        </is>
      </c>
      <c r="I2023" s="45" t="n"/>
      <c r="J2023" s="77" t="n">
        <v>56.03</v>
      </c>
      <c r="K2023" s="18" t="n"/>
    </row>
    <row r="2024">
      <c r="B2024" s="56" t="inlineStr">
        <is>
          <t>00007-HRR</t>
        </is>
      </c>
      <c r="C2024" s="18">
        <f>IFERROR(_xlfn.XLOOKUP(ENTRADAS[[#This Row],[CODIGO]],LISTADO[CODIGOS],LISTADO[CATEGORIA]),"NO EXISTE")</f>
        <v/>
      </c>
      <c r="D2024" s="18">
        <f>IFERROR(_xlfn.XLOOKUP(ENTRADAS[[#This Row],[CODIGO]],LISTADO[CODIGOS],LISTADO[PRODUCTOS]),"NO EXISTE")</f>
        <v/>
      </c>
      <c r="E2024" s="19" t="n">
        <v>46177</v>
      </c>
      <c r="F2024" s="18" t="n">
        <v>30</v>
      </c>
      <c r="G2024" s="18" t="inlineStr">
        <is>
          <t>INGRESO</t>
        </is>
      </c>
      <c r="H2024" s="1" t="inlineStr">
        <is>
          <t>CENTER MARK</t>
        </is>
      </c>
      <c r="I2024" s="45" t="n"/>
      <c r="J2024" s="77" t="n">
        <v>560.4</v>
      </c>
      <c r="K2024" s="18" t="n"/>
    </row>
    <row r="2025">
      <c r="B2025" s="18" t="inlineStr">
        <is>
          <t>00141-FER</t>
        </is>
      </c>
      <c r="C2025" s="18">
        <f>IFERROR(_xlfn.XLOOKUP(ENTRADAS[[#This Row],[CODIGO]],LISTADO[CODIGOS],LISTADO[CATEGORIA]),"NO EXISTE")</f>
        <v/>
      </c>
      <c r="D2025" s="18">
        <f>IFERROR(_xlfn.XLOOKUP(ENTRADAS[[#This Row],[CODIGO]],LISTADO[CODIGOS],LISTADO[PRODUCTOS]),"NO EXISTE")</f>
        <v/>
      </c>
      <c r="E2025" s="19" t="n">
        <v>46178</v>
      </c>
      <c r="F2025" s="18" t="n">
        <v>100</v>
      </c>
      <c r="G2025" s="18" t="inlineStr">
        <is>
          <t>INGRESO</t>
        </is>
      </c>
      <c r="H2025" s="1" t="inlineStr">
        <is>
          <t>CENTER MARK</t>
        </is>
      </c>
      <c r="I2025" s="45" t="n"/>
      <c r="J2025" s="77" t="n">
        <v>56.3245</v>
      </c>
      <c r="K2025" s="18" t="n"/>
    </row>
    <row r="2026">
      <c r="B2026" s="56" t="inlineStr">
        <is>
          <t>00249-FER</t>
        </is>
      </c>
      <c r="C2026" s="18">
        <f>IFERROR(_xlfn.XLOOKUP(ENTRADAS[[#This Row],[CODIGO]],LISTADO[CODIGOS],LISTADO[CATEGORIA]),"NO EXISTE")</f>
        <v/>
      </c>
      <c r="D2026" s="18">
        <f>IFERROR(_xlfn.XLOOKUP(ENTRADAS[[#This Row],[CODIGO]],LISTADO[CODIGOS],LISTADO[PRODUCTOS]),"NO EXISTE")</f>
        <v/>
      </c>
      <c r="E2026" s="19" t="n">
        <v>46178</v>
      </c>
      <c r="F2026" s="18" t="n">
        <v>1</v>
      </c>
      <c r="G2026" s="18" t="inlineStr">
        <is>
          <t>INGRESO</t>
        </is>
      </c>
      <c r="H2026" s="1" t="inlineStr">
        <is>
          <t>JD CARS MOTOS</t>
        </is>
      </c>
      <c r="I2026" s="45" t="n"/>
      <c r="J2026" s="77" t="n">
        <v>11265.8</v>
      </c>
      <c r="K2026" s="18" t="n"/>
    </row>
    <row r="2027">
      <c r="B2027" s="56" t="inlineStr">
        <is>
          <t>00001-MSC</t>
        </is>
      </c>
      <c r="C2027" s="18">
        <f>IFERROR(_xlfn.XLOOKUP(ENTRADAS[[#This Row],[CODIGO]],LISTADO[CODIGOS],LISTADO[CATEGORIA]),"NO EXISTE")</f>
        <v/>
      </c>
      <c r="D2027" s="18">
        <f>IFERROR(_xlfn.XLOOKUP(ENTRADAS[[#This Row],[CODIGO]],LISTADO[CODIGOS],LISTADO[PRODUCTOS]),"NO EXISTE")</f>
        <v/>
      </c>
      <c r="E2027" s="19" t="n">
        <v>46178</v>
      </c>
      <c r="F2027" s="18" t="n">
        <v>10</v>
      </c>
      <c r="G2027" s="18" t="inlineStr">
        <is>
          <t>INGRESO</t>
        </is>
      </c>
      <c r="H2027" s="1" t="inlineStr">
        <is>
          <t>VALENCIA TEXTIL C.A.</t>
        </is>
      </c>
      <c r="I2027" s="45" t="n"/>
      <c r="J2027" s="77" t="n">
        <v>2088.06</v>
      </c>
      <c r="K2027" s="18" t="n"/>
    </row>
    <row r="2028">
      <c r="B2028" s="56" t="inlineStr">
        <is>
          <t>00001-MSC</t>
        </is>
      </c>
      <c r="C2028" s="18">
        <f>IFERROR(_xlfn.XLOOKUP(ENTRADAS[[#This Row],[CODIGO]],LISTADO[CODIGOS],LISTADO[CATEGORIA]),"NO EXISTE")</f>
        <v/>
      </c>
      <c r="D2028" s="18">
        <f>IFERROR(_xlfn.XLOOKUP(ENTRADAS[[#This Row],[CODIGO]],LISTADO[CODIGOS],LISTADO[PRODUCTOS]),"NO EXISTE")</f>
        <v/>
      </c>
      <c r="E2028" s="19" t="n">
        <v>46178</v>
      </c>
      <c r="F2028" s="18" t="n">
        <v>6</v>
      </c>
      <c r="G2028" s="18" t="inlineStr">
        <is>
          <t>INGRESO</t>
        </is>
      </c>
      <c r="H2028" s="1" t="inlineStr">
        <is>
          <t>VALENCIA TEXTIL C.A.</t>
        </is>
      </c>
      <c r="I2028" s="45" t="n"/>
      <c r="J2028" s="77" t="n">
        <v>2088.06</v>
      </c>
      <c r="K2028" s="18" t="n"/>
    </row>
    <row r="2029">
      <c r="B2029" s="56" t="inlineStr">
        <is>
          <t>00048-ELE</t>
        </is>
      </c>
      <c r="C2029" s="18">
        <f>IFERROR(_xlfn.XLOOKUP(ENTRADAS[[#This Row],[CODIGO]],LISTADO[CODIGOS],LISTADO[CATEGORIA]),"NO EXISTE")</f>
        <v/>
      </c>
      <c r="D2029" s="18">
        <f>IFERROR(_xlfn.XLOOKUP(ENTRADAS[[#This Row],[CODIGO]],LISTADO[CODIGOS],LISTADO[PRODUCTOS]),"NO EXISTE")</f>
        <v/>
      </c>
      <c r="E2029" s="19" t="n">
        <v>46179</v>
      </c>
      <c r="F2029" s="18" t="n">
        <v>3</v>
      </c>
      <c r="G2029" s="18" t="inlineStr">
        <is>
          <t>INGRESO</t>
        </is>
      </c>
      <c r="H2029" s="1" t="inlineStr">
        <is>
          <t>CENTER MARK</t>
        </is>
      </c>
      <c r="I2029" s="45" t="n"/>
      <c r="J2029" s="77" t="n">
        <v>473.073333333333</v>
      </c>
      <c r="K2029" s="18" t="n"/>
    </row>
    <row r="2030">
      <c r="B2030" s="56" t="inlineStr">
        <is>
          <t>00137-HER</t>
        </is>
      </c>
      <c r="C2030" s="18">
        <f>IFERROR(_xlfn.XLOOKUP(ENTRADAS[[#This Row],[CODIGO]],LISTADO[CODIGOS],LISTADO[CATEGORIA]),"NO EXISTE")</f>
        <v/>
      </c>
      <c r="D2030" s="18">
        <f>IFERROR(_xlfn.XLOOKUP(ENTRADAS[[#This Row],[CODIGO]],LISTADO[CODIGOS],LISTADO[PRODUCTOS]),"NO EXISTE")</f>
        <v/>
      </c>
      <c r="E2030" s="19" t="n">
        <v>46169</v>
      </c>
      <c r="F2030" s="18" t="n">
        <v>1</v>
      </c>
      <c r="G2030" s="18" t="inlineStr">
        <is>
          <t>INGRESO</t>
        </is>
      </c>
      <c r="H2030" s="1" t="inlineStr">
        <is>
          <t xml:space="preserve">MUNDO FIX </t>
        </is>
      </c>
      <c r="I2030" s="45" t="n"/>
      <c r="J2030" s="77" t="n">
        <v>61564.94</v>
      </c>
      <c r="K2030" s="18" t="n"/>
    </row>
    <row r="2031">
      <c r="B2031" s="18" t="inlineStr">
        <is>
          <t>00125-HER</t>
        </is>
      </c>
      <c r="C2031" s="18">
        <f>IFERROR(_xlfn.XLOOKUP(ENTRADAS[[#This Row],[CODIGO]],LISTADO[CODIGOS],LISTADO[CATEGORIA]),"NO EXISTE")</f>
        <v/>
      </c>
      <c r="D2031" s="18">
        <f>IFERROR(_xlfn.XLOOKUP(ENTRADAS[[#This Row],[CODIGO]],LISTADO[CODIGOS],LISTADO[PRODUCTOS]),"NO EXISTE")</f>
        <v/>
      </c>
      <c r="E2031" s="19" t="n">
        <v>46169</v>
      </c>
      <c r="F2031" s="18" t="n">
        <v>2</v>
      </c>
      <c r="G2031" s="18" t="inlineStr">
        <is>
          <t>INGRESO</t>
        </is>
      </c>
      <c r="H2031" s="1" t="inlineStr">
        <is>
          <t xml:space="preserve">MUNDO FIX </t>
        </is>
      </c>
      <c r="I2031" s="45" t="n"/>
      <c r="J2031" s="77" t="n">
        <v>17699.91</v>
      </c>
      <c r="K2031" s="18" t="n"/>
    </row>
    <row r="2032">
      <c r="B2032" s="56" t="inlineStr">
        <is>
          <t>00003-HER</t>
        </is>
      </c>
      <c r="C2032" s="18">
        <f>IFERROR(_xlfn.XLOOKUP(ENTRADAS[[#This Row],[CODIGO]],LISTADO[CODIGOS],LISTADO[CATEGORIA]),"NO EXISTE")</f>
        <v/>
      </c>
      <c r="D2032" s="18">
        <f>IFERROR(_xlfn.XLOOKUP(ENTRADAS[[#This Row],[CODIGO]],LISTADO[CODIGOS],LISTADO[PRODUCTOS]),"NO EXISTE")</f>
        <v/>
      </c>
      <c r="E2032" s="19" t="n">
        <v>46169</v>
      </c>
      <c r="F2032" s="18" t="n">
        <v>1</v>
      </c>
      <c r="G2032" s="18" t="inlineStr">
        <is>
          <t>INGRESO</t>
        </is>
      </c>
      <c r="H2032" s="1" t="inlineStr">
        <is>
          <t xml:space="preserve">MUNDO FIX </t>
        </is>
      </c>
      <c r="I2032" s="45" t="n"/>
      <c r="J2032" s="77" t="n">
        <v>4617.37</v>
      </c>
      <c r="K2032" s="18" t="n"/>
    </row>
    <row r="2033">
      <c r="B2033" s="18" t="inlineStr">
        <is>
          <t>00251-FER</t>
        </is>
      </c>
      <c r="C2033" s="18">
        <f>IFERROR(_xlfn.XLOOKUP(ENTRADAS[[#This Row],[CODIGO]],LISTADO[CODIGOS],LISTADO[CATEGORIA]),"NO EXISTE")</f>
        <v/>
      </c>
      <c r="D2033" s="18">
        <f>IFERROR(_xlfn.XLOOKUP(ENTRADAS[[#This Row],[CODIGO]],LISTADO[CODIGOS],LISTADO[PRODUCTOS]),"NO EXISTE")</f>
        <v/>
      </c>
      <c r="E2033" s="19" t="n">
        <v>46169</v>
      </c>
      <c r="F2033" s="18" t="n">
        <v>1</v>
      </c>
      <c r="G2033" s="18" t="inlineStr">
        <is>
          <t>INGRESO</t>
        </is>
      </c>
      <c r="H2033" s="1" t="inlineStr">
        <is>
          <t xml:space="preserve">MUNDO FIX </t>
        </is>
      </c>
      <c r="I2033" s="45" t="n"/>
      <c r="J2033" s="77" t="n">
        <v>7695.61</v>
      </c>
      <c r="K2033" s="18" t="n"/>
    </row>
    <row r="2034">
      <c r="B2034" s="56" t="inlineStr">
        <is>
          <t>00010-HER</t>
        </is>
      </c>
      <c r="C2034" s="18">
        <f>IFERROR(_xlfn.XLOOKUP(ENTRADAS[[#This Row],[CODIGO]],LISTADO[CODIGOS],LISTADO[CATEGORIA]),"NO EXISTE")</f>
        <v/>
      </c>
      <c r="D2034" s="18">
        <f>IFERROR(_xlfn.XLOOKUP(ENTRADAS[[#This Row],[CODIGO]],LISTADO[CODIGOS],LISTADO[PRODUCTOS]),"NO EXISTE")</f>
        <v/>
      </c>
      <c r="E2034" s="19" t="n">
        <v>46169</v>
      </c>
      <c r="F2034" s="18" t="n">
        <v>1</v>
      </c>
      <c r="G2034" s="18" t="inlineStr">
        <is>
          <t>INGRESO</t>
        </is>
      </c>
      <c r="H2034" s="1" t="inlineStr">
        <is>
          <t xml:space="preserve">MUNDO FIX </t>
        </is>
      </c>
      <c r="I2034" s="45" t="n"/>
      <c r="J2034" s="77" t="n">
        <v>2303.55</v>
      </c>
      <c r="K2034" s="18" t="n"/>
    </row>
    <row r="2035">
      <c r="B2035" s="56" t="inlineStr">
        <is>
          <t>00115-FER</t>
        </is>
      </c>
      <c r="C2035" s="18">
        <f>IFERROR(_xlfn.XLOOKUP(ENTRADAS[[#This Row],[CODIGO]],LISTADO[CODIGOS],LISTADO[CATEGORIA]),"NO EXISTE")</f>
        <v/>
      </c>
      <c r="D2035" s="18">
        <f>IFERROR(_xlfn.XLOOKUP(ENTRADAS[[#This Row],[CODIGO]],LISTADO[CODIGOS],LISTADO[PRODUCTOS]),"NO EXISTE")</f>
        <v/>
      </c>
      <c r="E2035" s="19" t="n">
        <v>46177</v>
      </c>
      <c r="F2035" s="18" t="n">
        <v>6000</v>
      </c>
      <c r="G2035" s="18" t="inlineStr">
        <is>
          <t>INGRESO</t>
        </is>
      </c>
      <c r="H2035" s="1" t="inlineStr">
        <is>
          <t>FILOTORCA</t>
        </is>
      </c>
      <c r="I2035" s="45" t="n"/>
      <c r="J2035" s="77" t="n">
        <v>0.0114</v>
      </c>
      <c r="K2035" s="18" t="n"/>
    </row>
    <row r="2036">
      <c r="B2036" s="56" t="inlineStr">
        <is>
          <t>00004-FER</t>
        </is>
      </c>
      <c r="C2036" s="18">
        <f>IFERROR(_xlfn.XLOOKUP(ENTRADAS[[#This Row],[CODIGO]],LISTADO[CODIGOS],LISTADO[CATEGORIA]),"NO EXISTE")</f>
        <v/>
      </c>
      <c r="D2036" s="18">
        <f>IFERROR(_xlfn.XLOOKUP(ENTRADAS[[#This Row],[CODIGO]],LISTADO[CODIGOS],LISTADO[PRODUCTOS]),"NO EXISTE")</f>
        <v/>
      </c>
      <c r="E2036" s="19" t="n">
        <v>46177</v>
      </c>
      <c r="F2036" s="18" t="n">
        <v>6000</v>
      </c>
      <c r="G2036" s="18" t="inlineStr">
        <is>
          <t>INGRESO</t>
        </is>
      </c>
      <c r="H2036" s="1" t="inlineStr">
        <is>
          <t>FILOTORCA</t>
        </is>
      </c>
      <c r="I2036" s="45" t="n"/>
      <c r="J2036" s="77" t="n">
        <v>0.0285</v>
      </c>
      <c r="K2036" s="18" t="n"/>
    </row>
    <row r="2037">
      <c r="B2037" s="56" t="inlineStr">
        <is>
          <t>00116-FER</t>
        </is>
      </c>
      <c r="C2037" s="18">
        <f>IFERROR(_xlfn.XLOOKUP(ENTRADAS[[#This Row],[CODIGO]],LISTADO[CODIGOS],LISTADO[CATEGORIA]),"NO EXISTE")</f>
        <v/>
      </c>
      <c r="D2037" s="18">
        <f>IFERROR(_xlfn.XLOOKUP(ENTRADAS[[#This Row],[CODIGO]],LISTADO[CODIGOS],LISTADO[PRODUCTOS]),"NO EXISTE")</f>
        <v/>
      </c>
      <c r="E2037" s="19" t="n">
        <v>46178</v>
      </c>
      <c r="F2037" s="18" t="n">
        <v>6000</v>
      </c>
      <c r="G2037" s="18" t="inlineStr">
        <is>
          <t>INGRESO</t>
        </is>
      </c>
      <c r="H2037" s="1" t="inlineStr">
        <is>
          <t>FILOTORCA</t>
        </is>
      </c>
      <c r="I2037" s="45" t="n"/>
      <c r="J2037" s="77" t="n">
        <v>0.0171</v>
      </c>
      <c r="K2037" s="18" t="n"/>
    </row>
    <row r="2038">
      <c r="B2038" s="56" t="inlineStr">
        <is>
          <t>00049-ELE</t>
        </is>
      </c>
      <c r="C2038" s="18">
        <f>IFERROR(_xlfn.XLOOKUP(ENTRADAS[[#This Row],[CODIGO]],LISTADO[CODIGOS],LISTADO[CATEGORIA]),"NO EXISTE")</f>
        <v/>
      </c>
      <c r="D2038" s="18">
        <f>IFERROR(_xlfn.XLOOKUP(ENTRADAS[[#This Row],[CODIGO]],LISTADO[CODIGOS],LISTADO[PRODUCTOS]),"NO EXISTE")</f>
        <v/>
      </c>
      <c r="E2038" s="19" t="n">
        <v>46181</v>
      </c>
      <c r="F2038" s="18" t="n">
        <v>10</v>
      </c>
      <c r="G2038" s="18" t="inlineStr">
        <is>
          <t>INGRESO</t>
        </is>
      </c>
      <c r="H2038" s="1" t="inlineStr">
        <is>
          <t>CENTER MARK</t>
        </is>
      </c>
      <c r="I2038" s="45" t="n"/>
      <c r="J2038" s="77" t="n">
        <v>454.74</v>
      </c>
      <c r="K2038" s="18" t="n"/>
    </row>
    <row r="2039">
      <c r="B2039" s="56" t="inlineStr">
        <is>
          <t>00048-ELE</t>
        </is>
      </c>
      <c r="C2039" s="18">
        <f>IFERROR(_xlfn.XLOOKUP(ENTRADAS[[#This Row],[CODIGO]],LISTADO[CODIGOS],LISTADO[CATEGORIA]),"NO EXISTE")</f>
        <v/>
      </c>
      <c r="D2039" s="18">
        <f>IFERROR(_xlfn.XLOOKUP(ENTRADAS[[#This Row],[CODIGO]],LISTADO[CODIGOS],LISTADO[PRODUCTOS]),"NO EXISTE")</f>
        <v/>
      </c>
      <c r="E2039" s="19" t="n">
        <v>46182</v>
      </c>
      <c r="F2039" s="18" t="n">
        <v>10</v>
      </c>
      <c r="G2039" s="18" t="inlineStr">
        <is>
          <t>INGRESO</t>
        </is>
      </c>
      <c r="H2039" s="1" t="inlineStr">
        <is>
          <t>CENTER MARK</t>
        </is>
      </c>
      <c r="I2039" s="45" t="n"/>
      <c r="J2039" s="77" t="n">
        <v>1419.22</v>
      </c>
      <c r="K2039" s="18" t="n"/>
    </row>
    <row r="2040">
      <c r="B2040" s="18" t="inlineStr">
        <is>
          <t>00053-ILU</t>
        </is>
      </c>
      <c r="C2040" s="18">
        <f>IFERROR(_xlfn.XLOOKUP(ENTRADAS[[#This Row],[CODIGO]],LISTADO[CODIGOS],LISTADO[CATEGORIA]),"NO EXISTE")</f>
        <v/>
      </c>
      <c r="D2040" s="18">
        <f>IFERROR(_xlfn.XLOOKUP(ENTRADAS[[#This Row],[CODIGO]],LISTADO[CODIGOS],LISTADO[PRODUCTOS]),"NO EXISTE")</f>
        <v/>
      </c>
      <c r="E2040" s="19" t="n">
        <v>46183</v>
      </c>
      <c r="F2040" s="18" t="n">
        <v>5</v>
      </c>
      <c r="G2040" s="18" t="inlineStr">
        <is>
          <t>INGRESO</t>
        </is>
      </c>
      <c r="H2040" s="1" t="inlineStr">
        <is>
          <t>CENTER MARK</t>
        </is>
      </c>
      <c r="I2040" s="45" t="n"/>
      <c r="J2040" s="77" t="n">
        <v>1135.34</v>
      </c>
      <c r="K2040" s="18" t="n"/>
    </row>
    <row r="2041">
      <c r="B2041" s="18" t="inlineStr">
        <is>
          <t>00208-FER</t>
        </is>
      </c>
      <c r="C2041" s="18">
        <f>IFERROR(_xlfn.XLOOKUP(ENTRADAS[[#This Row],[CODIGO]],LISTADO[CODIGOS],LISTADO[CATEGORIA]),"NO EXISTE")</f>
        <v/>
      </c>
      <c r="D2041" s="18">
        <f>IFERROR(_xlfn.XLOOKUP(ENTRADAS[[#This Row],[CODIGO]],LISTADO[CODIGOS],LISTADO[PRODUCTOS]),"NO EXISTE")</f>
        <v/>
      </c>
      <c r="E2041" s="19" t="n">
        <v>46167</v>
      </c>
      <c r="F2041" s="18" t="n">
        <v>500</v>
      </c>
      <c r="G2041" s="18" t="inlineStr">
        <is>
          <t>INGRESO</t>
        </is>
      </c>
      <c r="H2041" s="1" t="inlineStr">
        <is>
          <t>CENTER MARK</t>
        </is>
      </c>
      <c r="I2041" s="45" t="n"/>
      <c r="J2041" s="77" t="n">
        <v>37.11</v>
      </c>
      <c r="K2041" s="18" t="n"/>
    </row>
    <row r="2042">
      <c r="B2042" s="18" t="inlineStr">
        <is>
          <t>00209-FER</t>
        </is>
      </c>
      <c r="C2042" s="18">
        <f>IFERROR(_xlfn.XLOOKUP(ENTRADAS[[#This Row],[CODIGO]],LISTADO[CODIGOS],LISTADO[CATEGORIA]),"NO EXISTE")</f>
        <v/>
      </c>
      <c r="D2042" s="18">
        <f>IFERROR(_xlfn.XLOOKUP(ENTRADAS[[#This Row],[CODIGO]],LISTADO[CODIGOS],LISTADO[PRODUCTOS]),"NO EXISTE")</f>
        <v/>
      </c>
      <c r="E2042" s="19" t="n">
        <v>46167</v>
      </c>
      <c r="F2042" s="18" t="n">
        <v>500</v>
      </c>
      <c r="G2042" s="18" t="inlineStr">
        <is>
          <t>INGRESO</t>
        </is>
      </c>
      <c r="H2042" s="1" t="inlineStr">
        <is>
          <t>CENTER MARK</t>
        </is>
      </c>
      <c r="I2042" s="45" t="n"/>
      <c r="J2042" s="77" t="n">
        <v>31.82</v>
      </c>
      <c r="K2042" s="18" t="n"/>
    </row>
    <row r="2043">
      <c r="B2043" s="18" t="inlineStr">
        <is>
          <t>00217-FER</t>
        </is>
      </c>
      <c r="C2043" s="18">
        <f>IFERROR(_xlfn.XLOOKUP(ENTRADAS[[#This Row],[CODIGO]],LISTADO[CODIGOS],LISTADO[CATEGORIA]),"NO EXISTE")</f>
        <v/>
      </c>
      <c r="D2043" s="18">
        <f>IFERROR(_xlfn.XLOOKUP(ENTRADAS[[#This Row],[CODIGO]],LISTADO[CODIGOS],LISTADO[PRODUCTOS]),"NO EXISTE")</f>
        <v/>
      </c>
      <c r="E2043" s="19" t="n">
        <v>46167</v>
      </c>
      <c r="F2043" s="18" t="n">
        <v>500</v>
      </c>
      <c r="G2043" s="18" t="inlineStr">
        <is>
          <t>INGRESO</t>
        </is>
      </c>
      <c r="H2043" s="1" t="inlineStr">
        <is>
          <t>CENTER MARK</t>
        </is>
      </c>
      <c r="I2043" s="45" t="n"/>
      <c r="J2043" s="77" t="n">
        <v>15.94</v>
      </c>
      <c r="K2043" s="18" t="n"/>
    </row>
    <row r="2044">
      <c r="B2044" s="56" t="inlineStr">
        <is>
          <t>00078-FER</t>
        </is>
      </c>
      <c r="C2044" s="18">
        <f>IFERROR(_xlfn.XLOOKUP(ENTRADAS[[#This Row],[CODIGO]],LISTADO[CODIGOS],LISTADO[CATEGORIA]),"NO EXISTE")</f>
        <v/>
      </c>
      <c r="D2044" s="18">
        <f>IFERROR(_xlfn.XLOOKUP(ENTRADAS[[#This Row],[CODIGO]],LISTADO[CODIGOS],LISTADO[PRODUCTOS]),"NO EXISTE")</f>
        <v/>
      </c>
      <c r="E2044" s="19" t="n">
        <v>46167</v>
      </c>
      <c r="F2044" s="18" t="n">
        <v>4</v>
      </c>
      <c r="G2044" s="18" t="inlineStr">
        <is>
          <t>INGRESO</t>
        </is>
      </c>
      <c r="H2044" s="1" t="inlineStr">
        <is>
          <t>CENTER MARK</t>
        </is>
      </c>
      <c r="I2044" s="45" t="n"/>
      <c r="J2044" s="77" t="n">
        <v>1080.98</v>
      </c>
      <c r="K2044" s="18" t="n"/>
    </row>
    <row r="2045">
      <c r="B2045" s="56" t="inlineStr">
        <is>
          <t>00094-FER</t>
        </is>
      </c>
      <c r="C2045" s="18">
        <f>IFERROR(_xlfn.XLOOKUP(ENTRADAS[[#This Row],[CODIGO]],LISTADO[CODIGOS],LISTADO[CATEGORIA]),"NO EXISTE")</f>
        <v/>
      </c>
      <c r="D2045" s="18">
        <f>IFERROR(_xlfn.XLOOKUP(ENTRADAS[[#This Row],[CODIGO]],LISTADO[CODIGOS],LISTADO[PRODUCTOS]),"NO EXISTE")</f>
        <v/>
      </c>
      <c r="E2045" s="19" t="n">
        <v>46167</v>
      </c>
      <c r="F2045" s="18" t="n">
        <v>15</v>
      </c>
      <c r="G2045" s="18" t="inlineStr">
        <is>
          <t>INGRESO</t>
        </is>
      </c>
      <c r="H2045" s="1" t="inlineStr">
        <is>
          <t>CENTER MARK</t>
        </is>
      </c>
      <c r="I2045" s="45" t="n"/>
      <c r="J2045" s="77" t="n">
        <v>424.43</v>
      </c>
      <c r="K2045" s="18" t="n"/>
    </row>
    <row r="2046">
      <c r="B2046" s="56" t="inlineStr">
        <is>
          <t>00010-HRR</t>
        </is>
      </c>
      <c r="C2046" s="18">
        <f>IFERROR(_xlfn.XLOOKUP(ENTRADAS[[#This Row],[CODIGO]],LISTADO[CODIGOS],LISTADO[CATEGORIA]),"NO EXISTE")</f>
        <v/>
      </c>
      <c r="D2046" s="18">
        <f>IFERROR(_xlfn.XLOOKUP(ENTRADAS[[#This Row],[CODIGO]],LISTADO[CODIGOS],LISTADO[PRODUCTOS]),"NO EXISTE")</f>
        <v/>
      </c>
      <c r="E2046" s="19" t="n">
        <v>46167</v>
      </c>
      <c r="F2046" s="18" t="n">
        <v>100</v>
      </c>
      <c r="G2046" s="18" t="inlineStr">
        <is>
          <t>INGRESO</t>
        </is>
      </c>
      <c r="H2046" s="1" t="inlineStr">
        <is>
          <t>CENTER MARK</t>
        </is>
      </c>
      <c r="I2046" s="45" t="n"/>
      <c r="J2046" s="77" t="n">
        <v>53.05</v>
      </c>
      <c r="K2046" s="18" t="n"/>
    </row>
    <row r="2047">
      <c r="B2047" s="18" t="inlineStr">
        <is>
          <t>00055-HRR</t>
        </is>
      </c>
      <c r="C2047" s="18">
        <f>IFERROR(_xlfn.XLOOKUP(ENTRADAS[[#This Row],[CODIGO]],LISTADO[CODIGOS],LISTADO[CATEGORIA]),"NO EXISTE")</f>
        <v/>
      </c>
      <c r="D2047" s="18">
        <f>IFERROR(_xlfn.XLOOKUP(ENTRADAS[[#This Row],[CODIGO]],LISTADO[CODIGOS],LISTADO[PRODUCTOS]),"NO EXISTE")</f>
        <v/>
      </c>
      <c r="E2047" s="19" t="n">
        <v>46167</v>
      </c>
      <c r="F2047" s="18" t="n">
        <v>100</v>
      </c>
      <c r="G2047" s="18" t="inlineStr">
        <is>
          <t>INGRESO</t>
        </is>
      </c>
      <c r="H2047" s="1" t="inlineStr">
        <is>
          <t>CENTER MARK</t>
        </is>
      </c>
      <c r="I2047" s="45" t="n"/>
      <c r="J2047" s="77" t="n">
        <v>37.11</v>
      </c>
      <c r="K2047" s="18" t="n"/>
    </row>
    <row r="2048">
      <c r="B2048" s="56" t="inlineStr">
        <is>
          <t>00003-ELE</t>
        </is>
      </c>
      <c r="C2048" s="18">
        <f>IFERROR(_xlfn.XLOOKUP(ENTRADAS[[#This Row],[CODIGO]],LISTADO[CODIGOS],LISTADO[CATEGORIA]),"NO EXISTE")</f>
        <v/>
      </c>
      <c r="D2048" s="18">
        <f>IFERROR(_xlfn.XLOOKUP(ENTRADAS[[#This Row],[CODIGO]],LISTADO[CODIGOS],LISTADO[PRODUCTOS]),"NO EXISTE")</f>
        <v/>
      </c>
      <c r="E2048" s="19" t="n">
        <v>46167</v>
      </c>
      <c r="F2048" s="18" t="n">
        <v>100</v>
      </c>
      <c r="G2048" s="18" t="inlineStr">
        <is>
          <t>INGRESO</t>
        </is>
      </c>
      <c r="H2048" s="1" t="inlineStr">
        <is>
          <t>CENTER MARK</t>
        </is>
      </c>
      <c r="I2048" s="45" t="n"/>
      <c r="J2048" s="77" t="n">
        <v>106.09</v>
      </c>
      <c r="K2048" s="18" t="n"/>
    </row>
    <row r="2049">
      <c r="B2049" s="18" t="inlineStr">
        <is>
          <t>00260-FER</t>
        </is>
      </c>
      <c r="C2049" s="18">
        <f>IFERROR(_xlfn.XLOOKUP(ENTRADAS[[#This Row],[CODIGO]],LISTADO[CODIGOS],LISTADO[CATEGORIA]),"NO EXISTE")</f>
        <v/>
      </c>
      <c r="D2049" s="18">
        <f>IFERROR(_xlfn.XLOOKUP(ENTRADAS[[#This Row],[CODIGO]],LISTADO[CODIGOS],LISTADO[PRODUCTOS]),"NO EXISTE")</f>
        <v/>
      </c>
      <c r="E2049" s="19" t="n">
        <v>46167</v>
      </c>
      <c r="F2049" s="18" t="n">
        <v>5</v>
      </c>
      <c r="G2049" s="18" t="inlineStr">
        <is>
          <t>INGRESO</t>
        </is>
      </c>
      <c r="H2049" s="1" t="inlineStr">
        <is>
          <t>CENTER MARK</t>
        </is>
      </c>
      <c r="I2049" s="45" t="n"/>
      <c r="J2049" s="77" t="n">
        <v>8487.998</v>
      </c>
      <c r="K2049" s="18" t="n"/>
    </row>
    <row r="2050">
      <c r="B2050" s="56" t="inlineStr">
        <is>
          <t>00169-REF</t>
        </is>
      </c>
      <c r="C2050" s="18">
        <f>IFERROR(_xlfn.XLOOKUP(ENTRADAS[[#This Row],[CODIGO]],LISTADO[CODIGOS],LISTADO[CATEGORIA]),"NO EXISTE")</f>
        <v/>
      </c>
      <c r="D2050" s="18">
        <f>IFERROR(_xlfn.XLOOKUP(ENTRADAS[[#This Row],[CODIGO]],LISTADO[CODIGOS],LISTADO[PRODUCTOS]),"NO EXISTE")</f>
        <v/>
      </c>
      <c r="E2050" s="19" t="n">
        <v>46167</v>
      </c>
      <c r="F2050" s="18" t="n">
        <v>3</v>
      </c>
      <c r="G2050" s="18" t="inlineStr">
        <is>
          <t>INGRESO</t>
        </is>
      </c>
      <c r="H2050" s="1" t="inlineStr">
        <is>
          <t>CLIDAIR, C.A.</t>
        </is>
      </c>
      <c r="I2050" s="45" t="n"/>
      <c r="J2050" s="77" t="n">
        <v>5760</v>
      </c>
      <c r="K2050" s="18" t="n"/>
    </row>
    <row r="2051">
      <c r="B2051" s="18" t="inlineStr">
        <is>
          <t>00212-FER</t>
        </is>
      </c>
      <c r="C2051" s="18">
        <f>IFERROR(_xlfn.XLOOKUP(ENTRADAS[[#This Row],[CODIGO]],LISTADO[CODIGOS],LISTADO[CATEGORIA]),"NO EXISTE")</f>
        <v/>
      </c>
      <c r="D2051" s="18">
        <f>IFERROR(_xlfn.XLOOKUP(ENTRADAS[[#This Row],[CODIGO]],LISTADO[CODIGOS],LISTADO[PRODUCTOS]),"NO EXISTE")</f>
        <v/>
      </c>
      <c r="E2051" s="19" t="n">
        <v>46155</v>
      </c>
      <c r="F2051" s="18" t="n">
        <v>2</v>
      </c>
      <c r="G2051" s="18" t="inlineStr">
        <is>
          <t>INGRESO</t>
        </is>
      </c>
      <c r="H2051" s="1" t="inlineStr">
        <is>
          <t>ACRILPLAST</t>
        </is>
      </c>
      <c r="I2051" s="45" t="n">
        <v>90</v>
      </c>
      <c r="J2051" s="77" t="n"/>
      <c r="K2051" s="18" t="n"/>
    </row>
    <row r="2052">
      <c r="B2052" s="56" t="inlineStr">
        <is>
          <t>00063-FER</t>
        </is>
      </c>
      <c r="C2052" s="18">
        <f>IFERROR(_xlfn.XLOOKUP(ENTRADAS[[#This Row],[CODIGO]],LISTADO[CODIGOS],LISTADO[CATEGORIA]),"NO EXISTE")</f>
        <v/>
      </c>
      <c r="D2052" s="18">
        <f>IFERROR(_xlfn.XLOOKUP(ENTRADAS[[#This Row],[CODIGO]],LISTADO[CODIGOS],LISTADO[PRODUCTOS]),"NO EXISTE")</f>
        <v/>
      </c>
      <c r="E2052" s="19" t="n">
        <v>46162</v>
      </c>
      <c r="F2052" s="18" t="n">
        <v>5</v>
      </c>
      <c r="G2052" s="18" t="inlineStr">
        <is>
          <t>INGRESO</t>
        </is>
      </c>
      <c r="H2052" s="1" t="inlineStr">
        <is>
          <t>CENTER MARK</t>
        </is>
      </c>
      <c r="I2052" s="45" t="n"/>
      <c r="J2052" s="77" t="n">
        <v>14585.74</v>
      </c>
      <c r="K2052" s="18" t="n"/>
    </row>
    <row r="2053">
      <c r="B2053" s="56" t="inlineStr">
        <is>
          <t>00062-FER</t>
        </is>
      </c>
      <c r="C2053" s="18">
        <f>IFERROR(_xlfn.XLOOKUP(ENTRADAS[[#This Row],[CODIGO]],LISTADO[CODIGOS],LISTADO[CATEGORIA]),"NO EXISTE")</f>
        <v/>
      </c>
      <c r="D2053" s="18">
        <f>IFERROR(_xlfn.XLOOKUP(ENTRADAS[[#This Row],[CODIGO]],LISTADO[CODIGOS],LISTADO[PRODUCTOS]),"NO EXISTE")</f>
        <v/>
      </c>
      <c r="E2053" s="19" t="n">
        <v>46162</v>
      </c>
      <c r="F2053" s="18" t="n">
        <v>5</v>
      </c>
      <c r="G2053" s="18" t="inlineStr">
        <is>
          <t>INGRESO</t>
        </is>
      </c>
      <c r="H2053" s="1" t="inlineStr">
        <is>
          <t>CENTER MARK</t>
        </is>
      </c>
      <c r="I2053" s="45" t="n"/>
      <c r="J2053" s="77" t="n">
        <v>14585.74</v>
      </c>
      <c r="K2053" s="18" t="n"/>
    </row>
    <row r="2054">
      <c r="B2054" s="56" t="inlineStr">
        <is>
          <t>00004-AUT</t>
        </is>
      </c>
      <c r="C2054" s="18">
        <f>IFERROR(_xlfn.XLOOKUP(ENTRADAS[[#This Row],[CODIGO]],LISTADO[CODIGOS],LISTADO[CATEGORIA]),"NO EXISTE")</f>
        <v/>
      </c>
      <c r="D2054" s="18">
        <f>IFERROR(_xlfn.XLOOKUP(ENTRADAS[[#This Row],[CODIGO]],LISTADO[CODIGOS],LISTADO[PRODUCTOS]),"NO EXISTE")</f>
        <v/>
      </c>
      <c r="E2054" s="19" t="n">
        <v>46165</v>
      </c>
      <c r="F2054" s="18" t="n">
        <v>24</v>
      </c>
      <c r="G2054" s="18" t="inlineStr">
        <is>
          <t>INGRESO</t>
        </is>
      </c>
      <c r="H2054" s="1" t="inlineStr">
        <is>
          <t>LUBRICANTES NAGUANAGUA</t>
        </is>
      </c>
      <c r="I2054" s="45" t="n">
        <v>16</v>
      </c>
      <c r="J2054" s="77" t="n"/>
      <c r="K2054" s="18" t="n"/>
    </row>
    <row r="2055">
      <c r="B2055" s="56" t="inlineStr">
        <is>
          <t>00127-FER</t>
        </is>
      </c>
      <c r="C2055" s="18">
        <f>IFERROR(_xlfn.XLOOKUP(ENTRADAS[[#This Row],[CODIGO]],LISTADO[CODIGOS],LISTADO[CATEGORIA]),"NO EXISTE")</f>
        <v/>
      </c>
      <c r="D2055" s="18">
        <f>IFERROR(_xlfn.XLOOKUP(ENTRADAS[[#This Row],[CODIGO]],LISTADO[CODIGOS],LISTADO[PRODUCTOS]),"NO EXISTE")</f>
        <v/>
      </c>
      <c r="E2055" s="19" t="n">
        <v>46160</v>
      </c>
      <c r="F2055" s="18" t="n">
        <v>2</v>
      </c>
      <c r="G2055" s="18" t="inlineStr">
        <is>
          <t>INGRESO</t>
        </is>
      </c>
      <c r="H2055" s="1" t="inlineStr">
        <is>
          <t>R.O.C.A</t>
        </is>
      </c>
      <c r="I2055" s="45" t="n">
        <v>11.28</v>
      </c>
      <c r="J2055" s="77" t="n"/>
      <c r="K2055" s="18" t="n"/>
    </row>
    <row r="2056">
      <c r="B2056" s="56" t="inlineStr">
        <is>
          <t>00261-FER</t>
        </is>
      </c>
      <c r="C2056" s="18">
        <f>IFERROR(_xlfn.XLOOKUP(ENTRADAS[[#This Row],[CODIGO]],LISTADO[CODIGOS],LISTADO[CATEGORIA]),"NO EXISTE")</f>
        <v/>
      </c>
      <c r="D2056" s="18">
        <f>IFERROR(_xlfn.XLOOKUP(ENTRADAS[[#This Row],[CODIGO]],LISTADO[CODIGOS],LISTADO[PRODUCTOS]),"NO EXISTE")</f>
        <v/>
      </c>
      <c r="E2056" s="19" t="n">
        <v>46164</v>
      </c>
      <c r="F2056" s="18" t="n">
        <v>1</v>
      </c>
      <c r="G2056" s="18" t="inlineStr">
        <is>
          <t>INGRESO</t>
        </is>
      </c>
      <c r="H2056" s="1" t="inlineStr">
        <is>
          <t>CENTER MARK</t>
        </is>
      </c>
      <c r="I2056" s="45" t="n"/>
      <c r="J2056" s="77" t="n">
        <v>7903.03</v>
      </c>
      <c r="K2056" s="18" t="n"/>
    </row>
    <row r="2057">
      <c r="B2057" s="18" t="inlineStr">
        <is>
          <t>00138-HER</t>
        </is>
      </c>
      <c r="C2057" s="18">
        <f>IFERROR(_xlfn.XLOOKUP(ENTRADAS[[#This Row],[CODIGO]],LISTADO[CODIGOS],LISTADO[CATEGORIA]),"NO EXISTE")</f>
        <v/>
      </c>
      <c r="D2057" s="18">
        <f>IFERROR(_xlfn.XLOOKUP(ENTRADAS[[#This Row],[CODIGO]],LISTADO[CODIGOS],LISTADO[PRODUCTOS]),"NO EXISTE")</f>
        <v/>
      </c>
      <c r="E2057" s="19" t="n">
        <v>46164</v>
      </c>
      <c r="F2057" s="18" t="n">
        <v>10</v>
      </c>
      <c r="G2057" s="18" t="inlineStr">
        <is>
          <t>INGRESO</t>
        </is>
      </c>
      <c r="H2057" s="1" t="inlineStr">
        <is>
          <t>CENTER MARK</t>
        </is>
      </c>
      <c r="I2057" s="45" t="n"/>
      <c r="J2057" s="77" t="n">
        <v>158.05</v>
      </c>
      <c r="K2057" s="18" t="n"/>
    </row>
    <row r="2058">
      <c r="B2058" s="56" t="inlineStr">
        <is>
          <t>00052-AUT</t>
        </is>
      </c>
      <c r="C2058" s="18">
        <f>IFERROR(_xlfn.XLOOKUP(ENTRADAS[[#This Row],[CODIGO]],LISTADO[CODIGOS],LISTADO[CATEGORIA]),"NO EXISTE")</f>
        <v/>
      </c>
      <c r="D2058" s="18">
        <f>IFERROR(_xlfn.XLOOKUP(ENTRADAS[[#This Row],[CODIGO]],LISTADO[CODIGOS],LISTADO[PRODUCTOS]),"NO EXISTE")</f>
        <v/>
      </c>
      <c r="E2058" s="19" t="n">
        <v>46164</v>
      </c>
      <c r="F2058" s="18" t="n">
        <v>1</v>
      </c>
      <c r="G2058" s="18" t="inlineStr">
        <is>
          <t>INGRESO</t>
        </is>
      </c>
      <c r="H2058" s="1" t="inlineStr">
        <is>
          <t>CENTER MARK</t>
        </is>
      </c>
      <c r="I2058" s="45" t="n"/>
      <c r="J2058" s="77" t="n">
        <v>263.41</v>
      </c>
      <c r="K2058" s="18" t="n"/>
    </row>
    <row r="2059">
      <c r="B2059" s="56" t="inlineStr">
        <is>
          <t>00068-HRR</t>
        </is>
      </c>
      <c r="C2059" s="18">
        <f>IFERROR(_xlfn.XLOOKUP(ENTRADAS[[#This Row],[CODIGO]],LISTADO[CODIGOS],LISTADO[CATEGORIA]),"NO EXISTE")</f>
        <v/>
      </c>
      <c r="D2059" s="18">
        <f>IFERROR(_xlfn.XLOOKUP(ENTRADAS[[#This Row],[CODIGO]],LISTADO[CODIGOS],LISTADO[PRODUCTOS]),"NO EXISTE")</f>
        <v/>
      </c>
      <c r="E2059" s="19" t="n">
        <v>46163</v>
      </c>
      <c r="F2059" s="18" t="n">
        <v>1</v>
      </c>
      <c r="G2059" s="18" t="inlineStr">
        <is>
          <t>INGRESO</t>
        </is>
      </c>
      <c r="H2059" s="1" t="inlineStr">
        <is>
          <t>CENTER MARK</t>
        </is>
      </c>
      <c r="I2059" s="45" t="n"/>
      <c r="J2059" s="77" t="n">
        <v>418.96</v>
      </c>
      <c r="K2059" s="18" t="n"/>
    </row>
    <row r="2060">
      <c r="B2060" s="18" t="inlineStr">
        <is>
          <t>00090-ELE</t>
        </is>
      </c>
      <c r="C2060" s="18">
        <f>IFERROR(_xlfn.XLOOKUP(ENTRADAS[[#This Row],[CODIGO]],LISTADO[CODIGOS],LISTADO[CATEGORIA]),"NO EXISTE")</f>
        <v/>
      </c>
      <c r="D2060" s="18">
        <f>IFERROR(_xlfn.XLOOKUP(ENTRADAS[[#This Row],[CODIGO]],LISTADO[CODIGOS],LISTADO[PRODUCTOS]),"NO EXISTE")</f>
        <v/>
      </c>
      <c r="E2060" s="19" t="n">
        <v>46167</v>
      </c>
      <c r="F2060" s="18" t="n">
        <v>300</v>
      </c>
      <c r="G2060" s="18" t="inlineStr">
        <is>
          <t>INGRESO</t>
        </is>
      </c>
      <c r="H2060" s="1" t="inlineStr">
        <is>
          <t>CABLESELEC, C.A.</t>
        </is>
      </c>
      <c r="I2060" s="45" t="n">
        <v>0.48</v>
      </c>
      <c r="J2060" s="77" t="n"/>
      <c r="K2060" s="18" t="n"/>
    </row>
    <row r="2061">
      <c r="B2061" s="18" t="inlineStr">
        <is>
          <t>00124-ELE</t>
        </is>
      </c>
      <c r="C2061" s="18">
        <f>IFERROR(_xlfn.XLOOKUP(ENTRADAS[[#This Row],[CODIGO]],LISTADO[CODIGOS],LISTADO[CATEGORIA]),"NO EXISTE")</f>
        <v/>
      </c>
      <c r="D2061" s="18">
        <f>IFERROR(_xlfn.XLOOKUP(ENTRADAS[[#This Row],[CODIGO]],LISTADO[CODIGOS],LISTADO[PRODUCTOS]),"NO EXISTE")</f>
        <v/>
      </c>
      <c r="E2061" s="19" t="n">
        <v>46167</v>
      </c>
      <c r="F2061" s="18" t="n">
        <v>300</v>
      </c>
      <c r="G2061" s="18" t="inlineStr">
        <is>
          <t>INGRESO</t>
        </is>
      </c>
      <c r="H2061" s="1" t="inlineStr">
        <is>
          <t>CABLESELEC, C.A.</t>
        </is>
      </c>
      <c r="I2061" s="45" t="n">
        <v>0.48</v>
      </c>
      <c r="J2061" s="77" t="n"/>
      <c r="K2061" s="18" t="n"/>
    </row>
    <row r="2062">
      <c r="B2062" s="18" t="inlineStr">
        <is>
          <t>00125-ELE</t>
        </is>
      </c>
      <c r="C2062" s="18">
        <f>IFERROR(_xlfn.XLOOKUP(ENTRADAS[[#This Row],[CODIGO]],LISTADO[CODIGOS],LISTADO[CATEGORIA]),"NO EXISTE")</f>
        <v/>
      </c>
      <c r="D2062" s="18">
        <f>IFERROR(_xlfn.XLOOKUP(ENTRADAS[[#This Row],[CODIGO]],LISTADO[CODIGOS],LISTADO[PRODUCTOS]),"NO EXISTE")</f>
        <v/>
      </c>
      <c r="E2062" s="19" t="n">
        <v>46167</v>
      </c>
      <c r="F2062" s="18" t="n">
        <v>300</v>
      </c>
      <c r="G2062" s="18" t="inlineStr">
        <is>
          <t>INGRESO</t>
        </is>
      </c>
      <c r="H2062" s="1" t="inlineStr">
        <is>
          <t>CABLESELEC, C.A.</t>
        </is>
      </c>
      <c r="I2062" s="45" t="n">
        <v>0.48</v>
      </c>
      <c r="J2062" s="77" t="n"/>
      <c r="K2062" s="18" t="n"/>
    </row>
    <row r="2063">
      <c r="B2063" s="56" t="inlineStr">
        <is>
          <t>00003-HER</t>
        </is>
      </c>
      <c r="C2063" s="18">
        <f>IFERROR(_xlfn.XLOOKUP(ENTRADAS[[#This Row],[CODIGO]],LISTADO[CODIGOS],LISTADO[CATEGORIA]),"NO EXISTE")</f>
        <v/>
      </c>
      <c r="D2063" s="18">
        <f>IFERROR(_xlfn.XLOOKUP(ENTRADAS[[#This Row],[CODIGO]],LISTADO[CODIGOS],LISTADO[PRODUCTOS]),"NO EXISTE")</f>
        <v/>
      </c>
      <c r="E2063" s="19" t="n">
        <v>46167</v>
      </c>
      <c r="F2063" s="18" t="n">
        <v>2</v>
      </c>
      <c r="G2063" s="18" t="inlineStr">
        <is>
          <t>INGRESO</t>
        </is>
      </c>
      <c r="H2063" s="1" t="inlineStr">
        <is>
          <t>CLIDAIR, C.A.</t>
        </is>
      </c>
      <c r="I2063" s="45" t="n">
        <v>96.36</v>
      </c>
      <c r="J2063" s="77" t="n">
        <v>51120</v>
      </c>
      <c r="K2063" s="18" t="n">
        <v>530.510585305105</v>
      </c>
    </row>
    <row r="2064">
      <c r="B2064" s="56" t="inlineStr">
        <is>
          <t>00005-HRR</t>
        </is>
      </c>
      <c r="C2064" s="18">
        <f>IFERROR(_xlfn.XLOOKUP(ENTRADAS[[#This Row],[CODIGO]],LISTADO[CODIGOS],LISTADO[CATEGORIA]),"NO EXISTE")</f>
        <v/>
      </c>
      <c r="D2064" s="18">
        <f>IFERROR(_xlfn.XLOOKUP(ENTRADAS[[#This Row],[CODIGO]],LISTADO[CODIGOS],LISTADO[PRODUCTOS]),"NO EXISTE")</f>
        <v/>
      </c>
      <c r="E2064" s="19" t="n">
        <v>46168</v>
      </c>
      <c r="F2064" s="18" t="n">
        <v>10</v>
      </c>
      <c r="G2064" s="18" t="inlineStr">
        <is>
          <t>INGRESO</t>
        </is>
      </c>
      <c r="H2064" s="1" t="inlineStr">
        <is>
          <t>CENTER MARK</t>
        </is>
      </c>
      <c r="I2064" s="45" t="n"/>
      <c r="J2064" s="77" t="n">
        <v>1070.76</v>
      </c>
      <c r="K2064" s="18" t="n"/>
    </row>
    <row r="2065">
      <c r="B2065" s="56" t="inlineStr">
        <is>
          <t>00139-HER</t>
        </is>
      </c>
      <c r="C2065" s="18">
        <f>IFERROR(_xlfn.XLOOKUP(ENTRADAS[[#This Row],[CODIGO]],LISTADO[CODIGOS],LISTADO[CATEGORIA]),"NO EXISTE")</f>
        <v/>
      </c>
      <c r="D2065" s="18">
        <f>IFERROR(_xlfn.XLOOKUP(ENTRADAS[[#This Row],[CODIGO]],LISTADO[CODIGOS],LISTADO[PRODUCTOS]),"NO EXISTE")</f>
        <v/>
      </c>
      <c r="E2065" s="19" t="n">
        <v>46168</v>
      </c>
      <c r="F2065" s="18" t="n">
        <v>3</v>
      </c>
      <c r="G2065" s="18" t="inlineStr">
        <is>
          <t>INGRESO</t>
        </is>
      </c>
      <c r="H2065" s="1" t="inlineStr">
        <is>
          <t>CENTER MARK</t>
        </is>
      </c>
      <c r="I2065" s="45" t="n"/>
      <c r="J2065" s="77" t="n">
        <v>1606.17</v>
      </c>
      <c r="K2065" s="18" t="n"/>
    </row>
    <row r="2066">
      <c r="B2066" s="18" t="inlineStr">
        <is>
          <t>00080-PLM</t>
        </is>
      </c>
      <c r="C2066" s="18">
        <f>IFERROR(_xlfn.XLOOKUP(ENTRADAS[[#This Row],[CODIGO]],LISTADO[CODIGOS],LISTADO[CATEGORIA]),"NO EXISTE")</f>
        <v/>
      </c>
      <c r="D2066" s="18">
        <f>IFERROR(_xlfn.XLOOKUP(ENTRADAS[[#This Row],[CODIGO]],LISTADO[CODIGOS],LISTADO[PRODUCTOS]),"NO EXISTE")</f>
        <v/>
      </c>
      <c r="E2066" s="19" t="n">
        <v>46168</v>
      </c>
      <c r="F2066" s="18" t="n">
        <v>1</v>
      </c>
      <c r="G2066" s="18" t="inlineStr">
        <is>
          <t>INGRESO</t>
        </is>
      </c>
      <c r="H2066" s="1" t="inlineStr">
        <is>
          <t>CENTER MARK</t>
        </is>
      </c>
      <c r="I2066" s="45" t="n"/>
      <c r="J2066" s="77" t="n">
        <v>21415.63</v>
      </c>
      <c r="K2066" s="18" t="n"/>
    </row>
    <row r="2067">
      <c r="B2067" s="18" t="inlineStr">
        <is>
          <t>00081-PLM</t>
        </is>
      </c>
      <c r="C2067" s="18">
        <f>IFERROR(_xlfn.XLOOKUP(ENTRADAS[[#This Row],[CODIGO]],LISTADO[CODIGOS],LISTADO[CATEGORIA]),"NO EXISTE")</f>
        <v/>
      </c>
      <c r="D2067" s="18">
        <f>IFERROR(_xlfn.XLOOKUP(ENTRADAS[[#This Row],[CODIGO]],LISTADO[CODIGOS],LISTADO[PRODUCTOS]),"NO EXISTE")</f>
        <v/>
      </c>
      <c r="E2067" s="19" t="n">
        <v>46168</v>
      </c>
      <c r="F2067" s="18" t="n">
        <v>1</v>
      </c>
      <c r="G2067" s="18" t="inlineStr">
        <is>
          <t>INGRESO</t>
        </is>
      </c>
      <c r="H2067" s="1" t="inlineStr">
        <is>
          <t>CENTER MARK</t>
        </is>
      </c>
      <c r="I2067" s="45" t="n"/>
      <c r="J2067" s="77" t="n">
        <v>3727.74</v>
      </c>
      <c r="K2067" s="18" t="n"/>
    </row>
    <row r="2068">
      <c r="B2068" s="18" t="inlineStr">
        <is>
          <t>00082-PLM</t>
        </is>
      </c>
      <c r="C2068" s="18">
        <f>IFERROR(_xlfn.XLOOKUP(ENTRADAS[[#This Row],[CODIGO]],LISTADO[CODIGOS],LISTADO[CATEGORIA]),"NO EXISTE")</f>
        <v/>
      </c>
      <c r="D2068" s="18">
        <f>IFERROR(_xlfn.XLOOKUP(ENTRADAS[[#This Row],[CODIGO]],LISTADO[CODIGOS],LISTADO[PRODUCTOS]),"NO EXISTE")</f>
        <v/>
      </c>
      <c r="E2068" s="19" t="n">
        <v>46168</v>
      </c>
      <c r="F2068" s="18" t="n">
        <v>3</v>
      </c>
      <c r="G2068" s="18" t="inlineStr">
        <is>
          <t>INGRESO</t>
        </is>
      </c>
      <c r="H2068" s="1" t="inlineStr">
        <is>
          <t>CENTER MARK</t>
        </is>
      </c>
      <c r="I2068" s="45" t="n"/>
      <c r="J2068" s="77" t="n">
        <v>1070.49</v>
      </c>
      <c r="K2068" s="18" t="n"/>
    </row>
    <row r="2069">
      <c r="B2069" s="56" t="inlineStr">
        <is>
          <t>00004-PLM</t>
        </is>
      </c>
      <c r="C2069" s="18">
        <f>IFERROR(_xlfn.XLOOKUP(ENTRADAS[[#This Row],[CODIGO]],LISTADO[CODIGOS],LISTADO[CATEGORIA]),"NO EXISTE")</f>
        <v/>
      </c>
      <c r="D2069" s="18">
        <f>IFERROR(_xlfn.XLOOKUP(ENTRADAS[[#This Row],[CODIGO]],LISTADO[CODIGOS],LISTADO[PRODUCTOS]),"NO EXISTE")</f>
        <v/>
      </c>
      <c r="E2069" s="19" t="n">
        <v>46168</v>
      </c>
      <c r="F2069" s="18" t="n">
        <v>1</v>
      </c>
      <c r="G2069" s="18" t="inlineStr">
        <is>
          <t>INGRESO</t>
        </is>
      </c>
      <c r="H2069" s="1" t="inlineStr">
        <is>
          <t>CENTER MARK</t>
        </is>
      </c>
      <c r="I2069" s="45" t="n"/>
      <c r="J2069" s="77" t="n">
        <v>6960.07</v>
      </c>
      <c r="K2069" s="18" t="n"/>
    </row>
    <row r="2070">
      <c r="B2070" s="56" t="inlineStr">
        <is>
          <t>00010-PLM</t>
        </is>
      </c>
      <c r="C2070" s="18">
        <f>IFERROR(_xlfn.XLOOKUP(ENTRADAS[[#This Row],[CODIGO]],LISTADO[CODIGOS],LISTADO[CATEGORIA]),"NO EXISTE")</f>
        <v/>
      </c>
      <c r="D2070" s="18">
        <f>IFERROR(_xlfn.XLOOKUP(ENTRADAS[[#This Row],[CODIGO]],LISTADO[CODIGOS],LISTADO[PRODUCTOS]),"NO EXISTE")</f>
        <v/>
      </c>
      <c r="E2070" s="19" t="n">
        <v>46168</v>
      </c>
      <c r="F2070" s="18" t="n">
        <v>1</v>
      </c>
      <c r="G2070" s="18" t="inlineStr">
        <is>
          <t>INGRESO</t>
        </is>
      </c>
      <c r="H2070" s="1" t="inlineStr">
        <is>
          <t>CENTER MARK</t>
        </is>
      </c>
      <c r="I2070" s="45" t="n"/>
      <c r="J2070" s="77" t="n">
        <v>1338.49</v>
      </c>
      <c r="K2070" s="18" t="n"/>
    </row>
    <row r="2071">
      <c r="B2071" s="18" t="inlineStr">
        <is>
          <t>00130-ELE</t>
        </is>
      </c>
      <c r="C2071" s="18">
        <f>IFERROR(_xlfn.XLOOKUP(ENTRADAS[[#This Row],[CODIGO]],LISTADO[CODIGOS],LISTADO[CATEGORIA]),"NO EXISTE")</f>
        <v/>
      </c>
      <c r="D2071" s="18">
        <f>IFERROR(_xlfn.XLOOKUP(ENTRADAS[[#This Row],[CODIGO]],LISTADO[CODIGOS],LISTADO[PRODUCTOS]),"NO EXISTE")</f>
        <v/>
      </c>
      <c r="E2071" s="19" t="n">
        <v>46192</v>
      </c>
      <c r="F2071" s="18" t="n">
        <v>2</v>
      </c>
      <c r="G2071" s="18" t="inlineStr">
        <is>
          <t>INGRESO</t>
        </is>
      </c>
      <c r="H2071" s="1" t="inlineStr">
        <is>
          <t>CAMPOS ELECTRICOS, C.A.</t>
        </is>
      </c>
      <c r="I2071" s="45" t="n">
        <v>10</v>
      </c>
      <c r="J2071" s="77" t="n"/>
      <c r="K2071" s="18" t="n"/>
    </row>
    <row r="2072">
      <c r="B2072" s="56" t="inlineStr">
        <is>
          <t>00121-FER</t>
        </is>
      </c>
      <c r="C2072" s="18">
        <f>IFERROR(_xlfn.XLOOKUP(ENTRADAS[[#This Row],[CODIGO]],LISTADO[CODIGOS],LISTADO[CATEGORIA]),"NO EXISTE")</f>
        <v/>
      </c>
      <c r="D2072" s="18">
        <f>IFERROR(_xlfn.XLOOKUP(ENTRADAS[[#This Row],[CODIGO]],LISTADO[CODIGOS],LISTADO[PRODUCTOS]),"NO EXISTE")</f>
        <v/>
      </c>
      <c r="E2072" s="19" t="n">
        <v>46191</v>
      </c>
      <c r="F2072" s="18" t="n">
        <v>60</v>
      </c>
      <c r="G2072" s="18" t="inlineStr">
        <is>
          <t>INGRESO</t>
        </is>
      </c>
      <c r="H2072" s="1" t="inlineStr">
        <is>
          <t>CENTER MARK</t>
        </is>
      </c>
      <c r="I2072" s="45" t="n"/>
      <c r="J2072" s="77" t="n">
        <v>60.68</v>
      </c>
      <c r="K2072" s="18" t="n"/>
    </row>
    <row r="2073">
      <c r="B2073" s="18" t="inlineStr">
        <is>
          <t>00141-HER</t>
        </is>
      </c>
      <c r="C2073" s="18">
        <f>IFERROR(_xlfn.XLOOKUP(ENTRADAS[[#This Row],[CODIGO]],LISTADO[CODIGOS],LISTADO[CATEGORIA]),"NO EXISTE")</f>
        <v/>
      </c>
      <c r="D2073" s="18">
        <f>IFERROR(_xlfn.XLOOKUP(ENTRADAS[[#This Row],[CODIGO]],LISTADO[CODIGOS],LISTADO[PRODUCTOS]),"NO EXISTE")</f>
        <v/>
      </c>
      <c r="E2073" s="19" t="n">
        <v>46191</v>
      </c>
      <c r="F2073" s="18" t="n">
        <v>3</v>
      </c>
      <c r="G2073" s="18" t="inlineStr">
        <is>
          <t>INGRESO</t>
        </is>
      </c>
      <c r="H2073" s="1" t="inlineStr">
        <is>
          <t>BIG HOME</t>
        </is>
      </c>
      <c r="I2073" s="45" t="n">
        <v>102</v>
      </c>
      <c r="J2073" s="77" t="n"/>
      <c r="K2073" s="18" t="n"/>
    </row>
    <row r="2074">
      <c r="B2074" s="18" t="inlineStr">
        <is>
          <t>00118-HER</t>
        </is>
      </c>
      <c r="C2074" s="18">
        <f>IFERROR(_xlfn.XLOOKUP(ENTRADAS[[#This Row],[CODIGO]],LISTADO[CODIGOS],LISTADO[CATEGORIA]),"NO EXISTE")</f>
        <v/>
      </c>
      <c r="D2074" s="18">
        <f>IFERROR(_xlfn.XLOOKUP(ENTRADAS[[#This Row],[CODIGO]],LISTADO[CODIGOS],LISTADO[PRODUCTOS]),"NO EXISTE")</f>
        <v/>
      </c>
      <c r="E2074" s="19" t="n">
        <v>46192</v>
      </c>
      <c r="F2074" s="18" t="n">
        <v>1</v>
      </c>
      <c r="G2074" s="18" t="inlineStr">
        <is>
          <t>INGRESO</t>
        </is>
      </c>
      <c r="H2074" s="1" t="inlineStr">
        <is>
          <t>MUNDO FIX</t>
        </is>
      </c>
      <c r="I2074" s="45" t="n"/>
      <c r="J2074" s="77" t="n">
        <v>28911.96</v>
      </c>
      <c r="K2074" s="18" t="n"/>
    </row>
    <row r="2075">
      <c r="B2075" s="18" t="inlineStr">
        <is>
          <t>00264-FER</t>
        </is>
      </c>
      <c r="C2075" s="18">
        <f>IFERROR(_xlfn.XLOOKUP(ENTRADAS[[#This Row],[CODIGO]],LISTADO[CODIGOS],LISTADO[CATEGORIA]),"NO EXISTE")</f>
        <v/>
      </c>
      <c r="D2075" s="18">
        <f>IFERROR(_xlfn.XLOOKUP(ENTRADAS[[#This Row],[CODIGO]],LISTADO[CODIGOS],LISTADO[PRODUCTOS]),"NO EXISTE")</f>
        <v/>
      </c>
      <c r="E2075" s="19" t="n">
        <v>46192</v>
      </c>
      <c r="F2075" s="18" t="n">
        <v>3</v>
      </c>
      <c r="G2075" s="18" t="inlineStr">
        <is>
          <t>INGRESO</t>
        </is>
      </c>
      <c r="H2075" s="1" t="inlineStr">
        <is>
          <t>INVERSIONES MAJALI C.A</t>
        </is>
      </c>
      <c r="I2075" s="45" t="inlineStr">
        <is>
          <t>O,03</t>
        </is>
      </c>
      <c r="J2075" s="77" t="n"/>
      <c r="K2075" s="18" t="n"/>
    </row>
    <row r="2076">
      <c r="B2076" s="18" t="inlineStr">
        <is>
          <t>00185-FER</t>
        </is>
      </c>
      <c r="C2076" s="18">
        <f>IFERROR(_xlfn.XLOOKUP(ENTRADAS[[#This Row],[CODIGO]],LISTADO[CODIGOS],LISTADO[CATEGORIA]),"NO EXISTE")</f>
        <v/>
      </c>
      <c r="D2076" s="18">
        <f>IFERROR(_xlfn.XLOOKUP(ENTRADAS[[#This Row],[CODIGO]],LISTADO[CODIGOS],LISTADO[PRODUCTOS]),"NO EXISTE")</f>
        <v/>
      </c>
      <c r="E2076" s="19" t="n">
        <v>46192</v>
      </c>
      <c r="F2076" s="18" t="n">
        <v>14</v>
      </c>
      <c r="G2076" s="18" t="inlineStr">
        <is>
          <t>INGRESO</t>
        </is>
      </c>
      <c r="H2076" s="1" t="inlineStr">
        <is>
          <t>MUNDO FIX</t>
        </is>
      </c>
      <c r="I2076" s="45" t="n">
        <v>3</v>
      </c>
      <c r="J2076" s="77" t="n"/>
      <c r="K2076" s="18" t="n"/>
    </row>
    <row r="2077">
      <c r="B2077" s="56" t="inlineStr">
        <is>
          <t>00035-ILU</t>
        </is>
      </c>
      <c r="C2077" s="18">
        <f>IFERROR(_xlfn.XLOOKUP(ENTRADAS[[#This Row],[CODIGO]],LISTADO[CODIGOS],LISTADO[CATEGORIA]),"NO EXISTE")</f>
        <v/>
      </c>
      <c r="D2077" s="18">
        <f>IFERROR(_xlfn.XLOOKUP(ENTRADAS[[#This Row],[CODIGO]],LISTADO[CODIGOS],LISTADO[PRODUCTOS]),"NO EXISTE")</f>
        <v/>
      </c>
      <c r="E2077" s="19" t="n">
        <v>46189</v>
      </c>
      <c r="F2077" s="18" t="n">
        <v>20</v>
      </c>
      <c r="G2077" s="18" t="inlineStr">
        <is>
          <t>INGRESO</t>
        </is>
      </c>
      <c r="H2077" s="1" t="inlineStr">
        <is>
          <t>REVESTIMIENTO GLOBAL</t>
        </is>
      </c>
      <c r="I2077" s="45" t="n">
        <v>28.35</v>
      </c>
      <c r="J2077" s="77" t="n"/>
      <c r="K2077" s="18" t="n"/>
    </row>
    <row r="2078">
      <c r="B2078" s="18" t="inlineStr">
        <is>
          <t>00151-REF</t>
        </is>
      </c>
      <c r="C2078" s="18">
        <f>IFERROR(_xlfn.XLOOKUP(ENTRADAS[[#This Row],[CODIGO]],LISTADO[CODIGOS],LISTADO[CATEGORIA]),"NO EXISTE")</f>
        <v/>
      </c>
      <c r="D2078" s="18">
        <f>IFERROR(_xlfn.XLOOKUP(ENTRADAS[[#This Row],[CODIGO]],LISTADO[CODIGOS],LISTADO[PRODUCTOS]),"NO EXISTE")</f>
        <v/>
      </c>
      <c r="E2078" s="19" t="n">
        <v>46192</v>
      </c>
      <c r="F2078" s="18" t="n">
        <v>1</v>
      </c>
      <c r="G2078" s="18" t="inlineStr">
        <is>
          <t>INGRESO</t>
        </is>
      </c>
      <c r="H2078" s="1" t="inlineStr">
        <is>
          <t>CONTROLES ELECTRICOS DEL CENTRO C.A</t>
        </is>
      </c>
      <c r="I2078" s="45" t="n"/>
      <c r="J2078" s="77" t="n">
        <v>68509.35000000001</v>
      </c>
      <c r="K2078" s="18" t="n"/>
    </row>
    <row r="2079">
      <c r="B2079" s="56" t="inlineStr">
        <is>
          <t>00046-FER</t>
        </is>
      </c>
      <c r="C2079" s="18">
        <f>IFERROR(_xlfn.XLOOKUP(ENTRADAS[[#This Row],[CODIGO]],LISTADO[CODIGOS],LISTADO[CATEGORIA]),"NO EXISTE")</f>
        <v/>
      </c>
      <c r="D2079" s="18">
        <f>IFERROR(_xlfn.XLOOKUP(ENTRADAS[[#This Row],[CODIGO]],LISTADO[CODIGOS],LISTADO[PRODUCTOS]),"NO EXISTE")</f>
        <v/>
      </c>
      <c r="E2079" s="19" t="n">
        <v>46190</v>
      </c>
      <c r="F2079" s="18" t="n">
        <v>2</v>
      </c>
      <c r="G2079" s="18" t="inlineStr">
        <is>
          <t>INGRESO</t>
        </is>
      </c>
      <c r="H2079" s="1" t="inlineStr">
        <is>
          <t>LUBRICANTES NAGUANAGUA</t>
        </is>
      </c>
      <c r="I2079" s="45" t="n">
        <v>14</v>
      </c>
      <c r="J2079" s="77" t="n"/>
      <c r="K2079" s="18" t="n"/>
    </row>
    <row r="2080">
      <c r="B2080" s="18" t="inlineStr">
        <is>
          <t>00053-AUT</t>
        </is>
      </c>
      <c r="C2080" s="18">
        <f>IFERROR(_xlfn.XLOOKUP(ENTRADAS[[#This Row],[CODIGO]],LISTADO[CODIGOS],LISTADO[CATEGORIA]),"NO EXISTE")</f>
        <v/>
      </c>
      <c r="D2080" s="18">
        <f>IFERROR(_xlfn.XLOOKUP(ENTRADAS[[#This Row],[CODIGO]],LISTADO[CODIGOS],LISTADO[PRODUCTOS]),"NO EXISTE")</f>
        <v/>
      </c>
      <c r="E2080" s="19" t="n">
        <v>46190</v>
      </c>
      <c r="F2080" s="18" t="n">
        <v>2</v>
      </c>
      <c r="G2080" s="18" t="inlineStr">
        <is>
          <t>INGRESO</t>
        </is>
      </c>
      <c r="H2080" s="1" t="inlineStr">
        <is>
          <t>LUBRICANTES NAGUANAGUA</t>
        </is>
      </c>
      <c r="I2080" s="45" t="n">
        <v>15</v>
      </c>
      <c r="J2080" s="77" t="n"/>
      <c r="K2080" s="18" t="n"/>
    </row>
    <row r="2081">
      <c r="B2081" s="56" t="inlineStr">
        <is>
          <t>00048-ELE</t>
        </is>
      </c>
      <c r="C2081" s="18">
        <f>IFERROR(_xlfn.XLOOKUP(ENTRADAS[[#This Row],[CODIGO]],LISTADO[CODIGOS],LISTADO[CATEGORIA]),"NO EXISTE")</f>
        <v/>
      </c>
      <c r="D2081" s="18">
        <f>IFERROR(_xlfn.XLOOKUP(ENTRADAS[[#This Row],[CODIGO]],LISTADO[CODIGOS],LISTADO[PRODUCTOS]),"NO EXISTE")</f>
        <v/>
      </c>
      <c r="E2081" s="19" t="n">
        <v>46190</v>
      </c>
      <c r="F2081" s="18" t="n">
        <v>15</v>
      </c>
      <c r="G2081" s="18" t="inlineStr">
        <is>
          <t>INGRESO</t>
        </is>
      </c>
      <c r="H2081" s="1" t="inlineStr">
        <is>
          <t>CENTER MARK</t>
        </is>
      </c>
      <c r="I2081" s="45" t="n"/>
      <c r="J2081" s="77" t="n">
        <v>1491.97</v>
      </c>
      <c r="K2081" s="18" t="n"/>
    </row>
    <row r="2082">
      <c r="B2082" s="56" t="inlineStr">
        <is>
          <t>00094-FER</t>
        </is>
      </c>
      <c r="C2082" s="18">
        <f>IFERROR(_xlfn.XLOOKUP(ENTRADAS[[#This Row],[CODIGO]],LISTADO[CODIGOS],LISTADO[CATEGORIA]),"NO EXISTE")</f>
        <v/>
      </c>
      <c r="D2082" s="18">
        <f>IFERROR(_xlfn.XLOOKUP(ENTRADAS[[#This Row],[CODIGO]],LISTADO[CODIGOS],LISTADO[PRODUCTOS]),"NO EXISTE")</f>
        <v/>
      </c>
      <c r="E2082" s="19" t="n">
        <v>46190</v>
      </c>
      <c r="F2082" s="18" t="n">
        <v>20</v>
      </c>
      <c r="G2082" s="18" t="inlineStr">
        <is>
          <t>INGRESO</t>
        </is>
      </c>
      <c r="H2082" s="1" t="inlineStr">
        <is>
          <t>CENTER MARK</t>
        </is>
      </c>
      <c r="I2082" s="45" t="n"/>
      <c r="J2082" s="77" t="n">
        <v>477.46</v>
      </c>
      <c r="K2082" s="18" t="n"/>
    </row>
    <row r="2083">
      <c r="B2083" s="18" t="inlineStr">
        <is>
          <t>00091-ELE</t>
        </is>
      </c>
      <c r="C2083" s="18">
        <f>IFERROR(_xlfn.XLOOKUP(ENTRADAS[[#This Row],[CODIGO]],LISTADO[CODIGOS],LISTADO[CATEGORIA]),"NO EXISTE")</f>
        <v/>
      </c>
      <c r="D2083" s="18">
        <f>IFERROR(_xlfn.XLOOKUP(ENTRADAS[[#This Row],[CODIGO]],LISTADO[CODIGOS],LISTADO[PRODUCTOS]),"NO EXISTE")</f>
        <v/>
      </c>
      <c r="E2083" s="19" t="n">
        <v>46190</v>
      </c>
      <c r="F2083" s="18" t="n">
        <v>10</v>
      </c>
      <c r="G2083" s="18" t="inlineStr">
        <is>
          <t>INGRESO</t>
        </is>
      </c>
      <c r="H2083" s="1" t="inlineStr">
        <is>
          <t>CENTER MARK</t>
        </is>
      </c>
      <c r="I2083" s="45" t="n"/>
      <c r="J2083" s="77" t="n">
        <v>1790.34</v>
      </c>
      <c r="K2083" s="18" t="n"/>
    </row>
    <row r="2084">
      <c r="B2084" s="56" t="inlineStr">
        <is>
          <t>00041-ELE</t>
        </is>
      </c>
      <c r="C2084" s="18">
        <f>IFERROR(_xlfn.XLOOKUP(ENTRADAS[[#This Row],[CODIGO]],LISTADO[CODIGOS],LISTADO[CATEGORIA]),"NO EXISTE")</f>
        <v/>
      </c>
      <c r="D2084" s="18">
        <f>IFERROR(_xlfn.XLOOKUP(ENTRADAS[[#This Row],[CODIGO]],LISTADO[CODIGOS],LISTADO[PRODUCTOS]),"NO EXISTE")</f>
        <v/>
      </c>
      <c r="E2084" s="19" t="n">
        <v>46190</v>
      </c>
      <c r="F2084" s="18" t="n">
        <v>10</v>
      </c>
      <c r="G2084" s="18" t="inlineStr">
        <is>
          <t>INGRESO</t>
        </is>
      </c>
      <c r="H2084" s="1" t="inlineStr">
        <is>
          <t>CENTER MARK</t>
        </is>
      </c>
      <c r="I2084" s="45" t="n"/>
      <c r="J2084" s="77" t="n">
        <v>387.14</v>
      </c>
      <c r="K2084" s="18" t="n"/>
    </row>
    <row r="2085">
      <c r="B2085" s="18" t="inlineStr">
        <is>
          <t>00077-ELE</t>
        </is>
      </c>
      <c r="C2085" s="18">
        <f>IFERROR(_xlfn.XLOOKUP(ENTRADAS[[#This Row],[CODIGO]],LISTADO[CODIGOS],LISTADO[CATEGORIA]),"NO EXISTE")</f>
        <v/>
      </c>
      <c r="D2085" s="18">
        <f>IFERROR(_xlfn.XLOOKUP(ENTRADAS[[#This Row],[CODIGO]],LISTADO[CODIGOS],LISTADO[PRODUCTOS]),"NO EXISTE")</f>
        <v/>
      </c>
      <c r="E2085" s="19" t="n">
        <v>46190</v>
      </c>
      <c r="F2085" s="18" t="n">
        <v>10</v>
      </c>
      <c r="G2085" s="18" t="inlineStr">
        <is>
          <t>INGRESO</t>
        </is>
      </c>
      <c r="H2085" s="1" t="inlineStr">
        <is>
          <t>CENTER MARK</t>
        </is>
      </c>
      <c r="I2085" s="45" t="n"/>
      <c r="J2085" s="77" t="n">
        <v>358.04</v>
      </c>
      <c r="K2085" s="18" t="n"/>
    </row>
    <row r="2086">
      <c r="B2086" s="56" t="inlineStr">
        <is>
          <t>00109-FER</t>
        </is>
      </c>
      <c r="C2086" s="18">
        <f>IFERROR(_xlfn.XLOOKUP(ENTRADAS[[#This Row],[CODIGO]],LISTADO[CODIGOS],LISTADO[CATEGORIA]),"NO EXISTE")</f>
        <v/>
      </c>
      <c r="D2086" s="18">
        <f>IFERROR(_xlfn.XLOOKUP(ENTRADAS[[#This Row],[CODIGO]],LISTADO[CODIGOS],LISTADO[PRODUCTOS]),"NO EXISTE")</f>
        <v/>
      </c>
      <c r="E2086" s="19" t="n">
        <v>46190</v>
      </c>
      <c r="F2086" s="18" t="n">
        <v>200</v>
      </c>
      <c r="G2086" s="18" t="inlineStr">
        <is>
          <t>INGRESO</t>
        </is>
      </c>
      <c r="H2086" s="1" t="inlineStr">
        <is>
          <t>CENTER MARK</t>
        </is>
      </c>
      <c r="I2086" s="45" t="n"/>
      <c r="J2086" s="77" t="n">
        <v>41.74</v>
      </c>
      <c r="K2086" s="18" t="n"/>
    </row>
    <row r="2087">
      <c r="B2087" s="56" t="inlineStr">
        <is>
          <t>00091-FER</t>
        </is>
      </c>
      <c r="C2087" s="18">
        <f>IFERROR(_xlfn.XLOOKUP(ENTRADAS[[#This Row],[CODIGO]],LISTADO[CODIGOS],LISTADO[CATEGORIA]),"NO EXISTE")</f>
        <v/>
      </c>
      <c r="D2087" s="18">
        <f>IFERROR(_xlfn.XLOOKUP(ENTRADAS[[#This Row],[CODIGO]],LISTADO[CODIGOS],LISTADO[PRODUCTOS]),"NO EXISTE")</f>
        <v/>
      </c>
      <c r="E2087" s="19" t="n">
        <v>46190</v>
      </c>
      <c r="F2087" s="18" t="n">
        <v>10</v>
      </c>
      <c r="G2087" s="18" t="inlineStr">
        <is>
          <t>INGRESO</t>
        </is>
      </c>
      <c r="H2087" s="1" t="inlineStr">
        <is>
          <t>CENTER MARK</t>
        </is>
      </c>
      <c r="I2087" s="45" t="n"/>
      <c r="J2087" s="77" t="n">
        <v>775.8200000000001</v>
      </c>
      <c r="K2087" s="18" t="n"/>
    </row>
    <row r="2088">
      <c r="B2088" s="18" t="inlineStr">
        <is>
          <t>00020-LIM</t>
        </is>
      </c>
      <c r="C2088" s="18">
        <f>IFERROR(_xlfn.XLOOKUP(ENTRADAS[[#This Row],[CODIGO]],LISTADO[CODIGOS],LISTADO[CATEGORIA]),"NO EXISTE")</f>
        <v/>
      </c>
      <c r="D2088" s="18">
        <f>IFERROR(_xlfn.XLOOKUP(ENTRADAS[[#This Row],[CODIGO]],LISTADO[CODIGOS],LISTADO[PRODUCTOS]),"NO EXISTE")</f>
        <v/>
      </c>
      <c r="E2088" s="19" t="n">
        <v>46189</v>
      </c>
      <c r="F2088" s="18" t="n">
        <v>10</v>
      </c>
      <c r="G2088" s="18" t="inlineStr">
        <is>
          <t>INGRESO</t>
        </is>
      </c>
      <c r="H2088" s="1" t="inlineStr">
        <is>
          <t>CENTER MARK</t>
        </is>
      </c>
      <c r="I2088" s="45" t="n">
        <v>17</v>
      </c>
      <c r="J2088" s="77" t="n"/>
      <c r="K2088" s="18" t="n"/>
    </row>
    <row r="2089">
      <c r="B2089" s="18" t="inlineStr">
        <is>
          <t>00131-HER</t>
        </is>
      </c>
      <c r="C2089" s="18">
        <f>IFERROR(_xlfn.XLOOKUP(ENTRADAS[[#This Row],[CODIGO]],LISTADO[CODIGOS],LISTADO[CATEGORIA]),"NO EXISTE")</f>
        <v/>
      </c>
      <c r="D2089" s="18">
        <f>IFERROR(_xlfn.XLOOKUP(ENTRADAS[[#This Row],[CODIGO]],LISTADO[CODIGOS],LISTADO[PRODUCTOS]),"NO EXISTE")</f>
        <v/>
      </c>
      <c r="E2089" s="19" t="n">
        <v>46190</v>
      </c>
      <c r="F2089" s="18" t="n">
        <v>1</v>
      </c>
      <c r="G2089" s="18" t="inlineStr">
        <is>
          <t>INGRESO</t>
        </is>
      </c>
      <c r="H2089" s="1" t="inlineStr">
        <is>
          <t>TOTAL TOOLS VALENCIA</t>
        </is>
      </c>
      <c r="I2089" s="45" t="n"/>
      <c r="J2089" s="77" t="n">
        <v>12651.74</v>
      </c>
      <c r="K2089" s="18" t="n"/>
    </row>
    <row r="2090">
      <c r="B2090" s="56" t="inlineStr">
        <is>
          <t>00088-HER</t>
        </is>
      </c>
      <c r="C2090" s="18">
        <f>IFERROR(_xlfn.XLOOKUP(ENTRADAS[[#This Row],[CODIGO]],LISTADO[CODIGOS],LISTADO[CATEGORIA]),"NO EXISTE")</f>
        <v/>
      </c>
      <c r="D2090" s="18">
        <f>IFERROR(_xlfn.XLOOKUP(ENTRADAS[[#This Row],[CODIGO]],LISTADO[CODIGOS],LISTADO[PRODUCTOS]),"NO EXISTE")</f>
        <v/>
      </c>
      <c r="E2090" s="19" t="n">
        <v>46190</v>
      </c>
      <c r="F2090" s="18" t="n">
        <v>2</v>
      </c>
      <c r="G2090" s="18" t="inlineStr">
        <is>
          <t>INGRESO</t>
        </is>
      </c>
      <c r="H2090" s="1" t="inlineStr">
        <is>
          <t>TOTAL TOOLS VALENCIA</t>
        </is>
      </c>
      <c r="I2090" s="45" t="n"/>
      <c r="J2090" s="77" t="n">
        <v>6319.9</v>
      </c>
      <c r="K2090" s="18" t="n"/>
    </row>
    <row r="2091">
      <c r="B2091" s="56" t="inlineStr">
        <is>
          <t>00037-LIM</t>
        </is>
      </c>
      <c r="C2091" s="18">
        <f>IFERROR(_xlfn.XLOOKUP(ENTRADAS[[#This Row],[CODIGO]],LISTADO[CODIGOS],LISTADO[CATEGORIA]),"NO EXISTE")</f>
        <v/>
      </c>
      <c r="D2091" s="18">
        <f>IFERROR(_xlfn.XLOOKUP(ENTRADAS[[#This Row],[CODIGO]],LISTADO[CODIGOS],LISTADO[PRODUCTOS]),"NO EXISTE")</f>
        <v/>
      </c>
      <c r="E2091" s="19" t="n">
        <v>46190</v>
      </c>
      <c r="F2091" s="18" t="n">
        <v>4</v>
      </c>
      <c r="G2091" s="18" t="inlineStr">
        <is>
          <t>INGRESO</t>
        </is>
      </c>
      <c r="H2091" s="1" t="inlineStr">
        <is>
          <t>TOTAL TOOLS VALENCIA</t>
        </is>
      </c>
      <c r="I2091" s="45" t="n"/>
      <c r="J2091" s="18" t="n">
        <v>1038.4</v>
      </c>
      <c r="K2091" s="18" t="n"/>
    </row>
    <row r="2092">
      <c r="B2092" s="18" t="inlineStr">
        <is>
          <t>00084-PLM</t>
        </is>
      </c>
      <c r="C2092" s="18">
        <f>IFERROR(_xlfn.XLOOKUP(ENTRADAS[[#This Row],[CODIGO]],LISTADO[CODIGOS],LISTADO[CATEGORIA]),"NO EXISTE")</f>
        <v/>
      </c>
      <c r="D2092" s="18">
        <f>IFERROR(_xlfn.XLOOKUP(ENTRADAS[[#This Row],[CODIGO]],LISTADO[CODIGOS],LISTADO[PRODUCTOS]),"NO EXISTE")</f>
        <v/>
      </c>
      <c r="E2092" s="19" t="n">
        <v>46190</v>
      </c>
      <c r="F2092" s="18" t="n">
        <v>4</v>
      </c>
      <c r="G2092" s="18" t="inlineStr">
        <is>
          <t>INGRESO</t>
        </is>
      </c>
      <c r="H2092" s="1" t="inlineStr">
        <is>
          <t>GRIFO Y RESPUESTO JCL,C.A</t>
        </is>
      </c>
      <c r="I2092" s="45" t="n"/>
      <c r="J2092" s="77" t="n">
        <v>12532.38</v>
      </c>
      <c r="K2092" s="18" t="n"/>
    </row>
    <row r="2093">
      <c r="B2093" s="18" t="inlineStr">
        <is>
          <t>00085-PLM</t>
        </is>
      </c>
      <c r="C2093" s="18">
        <f>IFERROR(_xlfn.XLOOKUP(ENTRADAS[[#This Row],[CODIGO]],LISTADO[CODIGOS],LISTADO[CATEGORIA]),"NO EXISTE")</f>
        <v/>
      </c>
      <c r="D2093" s="18">
        <f>IFERROR(_xlfn.XLOOKUP(ENTRADAS[[#This Row],[CODIGO]],LISTADO[CODIGOS],LISTADO[PRODUCTOS]),"NO EXISTE")</f>
        <v/>
      </c>
      <c r="E2093" s="19" t="n">
        <v>46190</v>
      </c>
      <c r="F2093" s="18" t="n">
        <v>4</v>
      </c>
      <c r="G2093" s="18" t="inlineStr">
        <is>
          <t>INGRESO</t>
        </is>
      </c>
      <c r="H2093" s="1" t="inlineStr">
        <is>
          <t>GRIFO Y RESPUESTO JCL,C.A</t>
        </is>
      </c>
      <c r="I2093" s="45" t="n"/>
      <c r="J2093" s="77" t="n">
        <v>25064.91</v>
      </c>
      <c r="K2093" s="18" t="n"/>
    </row>
    <row r="2094">
      <c r="B2094" s="18" t="inlineStr">
        <is>
          <t>00139-HER</t>
        </is>
      </c>
      <c r="C2094" s="18">
        <f>IFERROR(_xlfn.XLOOKUP(ENTRADAS[[#This Row],[CODIGO]],LISTADO[CODIGOS],LISTADO[CATEGORIA]),"NO EXISTE")</f>
        <v/>
      </c>
      <c r="D2094" s="18">
        <f>IFERROR(_xlfn.XLOOKUP(ENTRADAS[[#This Row],[CODIGO]],LISTADO[CODIGOS],LISTADO[PRODUCTOS]),"NO EXISTE")</f>
        <v/>
      </c>
      <c r="E2094" s="19" t="n">
        <v>46191</v>
      </c>
      <c r="F2094" s="18" t="n">
        <v>1</v>
      </c>
      <c r="G2094" s="18" t="inlineStr">
        <is>
          <t>INGRESO</t>
        </is>
      </c>
      <c r="H2094" s="1" t="inlineStr">
        <is>
          <t>CENTER MARK</t>
        </is>
      </c>
      <c r="I2094" s="45" t="n"/>
      <c r="J2094" s="77" t="n">
        <v>1806.99</v>
      </c>
      <c r="K2094" s="18" t="n"/>
    </row>
    <row r="2095">
      <c r="B2095" s="56" t="inlineStr">
        <is>
          <t>00034-ELE</t>
        </is>
      </c>
      <c r="C2095" s="18">
        <f>IFERROR(_xlfn.XLOOKUP(ENTRADAS[[#This Row],[CODIGO]],LISTADO[CODIGOS],LISTADO[CATEGORIA]),"NO EXISTE")</f>
        <v/>
      </c>
      <c r="D2095" s="18">
        <f>IFERROR(_xlfn.XLOOKUP(ENTRADAS[[#This Row],[CODIGO]],LISTADO[CODIGOS],LISTADO[PRODUCTOS]),"NO EXISTE")</f>
        <v/>
      </c>
      <c r="E2095" s="19" t="n">
        <v>46190</v>
      </c>
      <c r="F2095" s="18" t="n">
        <v>40</v>
      </c>
      <c r="G2095" s="18" t="inlineStr">
        <is>
          <t>INGRESO</t>
        </is>
      </c>
      <c r="H2095" s="1" t="inlineStr">
        <is>
          <t>CAMPOS ELECTRICOS, C.A.</t>
        </is>
      </c>
      <c r="I2095" s="45" t="n">
        <v>9</v>
      </c>
      <c r="J2095" s="77" t="n"/>
      <c r="K2095" s="18" t="n"/>
    </row>
    <row r="2096">
      <c r="B2096" s="56" t="inlineStr">
        <is>
          <t>00033-ELE</t>
        </is>
      </c>
      <c r="C2096" s="18">
        <f>IFERROR(_xlfn.XLOOKUP(ENTRADAS[[#This Row],[CODIGO]],LISTADO[CODIGOS],LISTADO[CATEGORIA]),"NO EXISTE")</f>
        <v/>
      </c>
      <c r="D2096" s="18">
        <f>IFERROR(_xlfn.XLOOKUP(ENTRADAS[[#This Row],[CODIGO]],LISTADO[CODIGOS],LISTADO[PRODUCTOS]),"NO EXISTE")</f>
        <v/>
      </c>
      <c r="E2096" s="19" t="n">
        <v>46190</v>
      </c>
      <c r="F2096" s="18" t="n">
        <v>12</v>
      </c>
      <c r="G2096" s="18" t="inlineStr">
        <is>
          <t>INGRESO</t>
        </is>
      </c>
      <c r="H2096" s="1" t="inlineStr">
        <is>
          <t>CAMPOS ELECTRICOS, C.A.</t>
        </is>
      </c>
      <c r="I2096" s="45" t="n">
        <v>18</v>
      </c>
      <c r="J2096" s="77" t="n"/>
      <c r="K2096" s="18" t="n"/>
    </row>
    <row r="2097">
      <c r="B2097" s="56" t="inlineStr">
        <is>
          <t>00035-ELE</t>
        </is>
      </c>
      <c r="C2097" s="18">
        <f>IFERROR(_xlfn.XLOOKUP(ENTRADAS[[#This Row],[CODIGO]],LISTADO[CODIGOS],LISTADO[CATEGORIA]),"NO EXISTE")</f>
        <v/>
      </c>
      <c r="D2097" s="18">
        <f>IFERROR(_xlfn.XLOOKUP(ENTRADAS[[#This Row],[CODIGO]],LISTADO[CODIGOS],LISTADO[PRODUCTOS]),"NO EXISTE")</f>
        <v/>
      </c>
      <c r="E2097" s="19" t="n">
        <v>46190</v>
      </c>
      <c r="F2097" s="18" t="n">
        <v>2</v>
      </c>
      <c r="G2097" s="18" t="inlineStr">
        <is>
          <t>INGRESO</t>
        </is>
      </c>
      <c r="H2097" s="1" t="inlineStr">
        <is>
          <t>CAMPOS ELECTRICOS, C.A.</t>
        </is>
      </c>
      <c r="I2097" s="45" t="n">
        <v>18</v>
      </c>
      <c r="J2097" s="77" t="n"/>
      <c r="K2097" s="18" t="n"/>
    </row>
    <row r="2098">
      <c r="B2098" s="56" t="inlineStr">
        <is>
          <t>00061-ELE</t>
        </is>
      </c>
      <c r="C2098" s="18">
        <f>IFERROR(_xlfn.XLOOKUP(ENTRADAS[[#This Row],[CODIGO]],LISTADO[CODIGOS],LISTADO[CATEGORIA]),"NO EXISTE")</f>
        <v/>
      </c>
      <c r="D2098" s="18">
        <f>IFERROR(_xlfn.XLOOKUP(ENTRADAS[[#This Row],[CODIGO]],LISTADO[CODIGOS],LISTADO[PRODUCTOS]),"NO EXISTE")</f>
        <v/>
      </c>
      <c r="E2098" s="19" t="n">
        <v>46190</v>
      </c>
      <c r="F2098" s="18" t="n">
        <v>12</v>
      </c>
      <c r="G2098" s="18" t="inlineStr">
        <is>
          <t>INGRESO</t>
        </is>
      </c>
      <c r="H2098" s="1" t="inlineStr">
        <is>
          <t>CAMPOS ELECTRICOS, C.A.</t>
        </is>
      </c>
      <c r="I2098" s="45" t="n">
        <v>39</v>
      </c>
      <c r="J2098" s="77" t="n"/>
      <c r="K2098" s="18" t="n"/>
    </row>
    <row r="2099">
      <c r="B2099" s="56" t="inlineStr">
        <is>
          <t>00029-ELE</t>
        </is>
      </c>
      <c r="C2099" s="18">
        <f>IFERROR(_xlfn.XLOOKUP(ENTRADAS[[#This Row],[CODIGO]],LISTADO[CODIGOS],LISTADO[CATEGORIA]),"NO EXISTE")</f>
        <v/>
      </c>
      <c r="D2099" s="18">
        <f>IFERROR(_xlfn.XLOOKUP(ENTRADAS[[#This Row],[CODIGO]],LISTADO[CODIGOS],LISTADO[PRODUCTOS]),"NO EXISTE")</f>
        <v/>
      </c>
      <c r="E2099" s="19" t="n">
        <v>46190</v>
      </c>
      <c r="F2099" s="18" t="n">
        <v>6</v>
      </c>
      <c r="G2099" s="18" t="inlineStr">
        <is>
          <t>INGRESO</t>
        </is>
      </c>
      <c r="H2099" s="1" t="inlineStr">
        <is>
          <t>CAMPOS ELECTRICOS, C.A.</t>
        </is>
      </c>
      <c r="I2099" s="45" t="n">
        <v>26</v>
      </c>
      <c r="J2099" s="77" t="n"/>
      <c r="K2099" s="18" t="n"/>
    </row>
    <row r="2100">
      <c r="B2100" s="56" t="inlineStr">
        <is>
          <t>00031-ELE</t>
        </is>
      </c>
      <c r="C2100" s="18">
        <f>IFERROR(_xlfn.XLOOKUP(ENTRADAS[[#This Row],[CODIGO]],LISTADO[CODIGOS],LISTADO[CATEGORIA]),"NO EXISTE")</f>
        <v/>
      </c>
      <c r="D2100" s="18">
        <f>IFERROR(_xlfn.XLOOKUP(ENTRADAS[[#This Row],[CODIGO]],LISTADO[CODIGOS],LISTADO[PRODUCTOS]),"NO EXISTE")</f>
        <v/>
      </c>
      <c r="E2100" s="19" t="n">
        <v>46190</v>
      </c>
      <c r="F2100" s="18" t="n">
        <v>2</v>
      </c>
      <c r="G2100" s="18" t="inlineStr">
        <is>
          <t>INGRESO</t>
        </is>
      </c>
      <c r="H2100" s="1" t="inlineStr">
        <is>
          <t>CAMPOS ELECTRICOS, C.A.</t>
        </is>
      </c>
      <c r="I2100" s="45" t="n">
        <v>32</v>
      </c>
      <c r="J2100" s="77" t="n"/>
      <c r="K2100" s="18" t="n"/>
    </row>
    <row r="2101">
      <c r="B2101" s="18" t="inlineStr">
        <is>
          <t>00208-FER</t>
        </is>
      </c>
      <c r="C2101" s="18">
        <f>IFERROR(_xlfn.XLOOKUP(ENTRADAS[[#This Row],[CODIGO]],LISTADO[CODIGOS],LISTADO[CATEGORIA]),"NO EXISTE")</f>
        <v/>
      </c>
      <c r="D2101" s="18">
        <f>IFERROR(_xlfn.XLOOKUP(ENTRADAS[[#This Row],[CODIGO]],LISTADO[CODIGOS],LISTADO[PRODUCTOS]),"NO EXISTE")</f>
        <v/>
      </c>
      <c r="E2101" s="19" t="n">
        <v>46190</v>
      </c>
      <c r="F2101" s="18" t="n">
        <v>20</v>
      </c>
      <c r="G2101" s="18" t="inlineStr">
        <is>
          <t>INGRESO</t>
        </is>
      </c>
      <c r="H2101" s="1" t="inlineStr">
        <is>
          <t>CAMPOS ELECTRICOS, C.A.</t>
        </is>
      </c>
      <c r="I2101" s="45" t="n">
        <v>6</v>
      </c>
      <c r="J2101" s="77" t="n"/>
      <c r="K2101" s="18" t="n"/>
    </row>
    <row r="2102">
      <c r="B2102" s="56" t="inlineStr">
        <is>
          <t>00089-FER</t>
        </is>
      </c>
      <c r="C2102" s="18">
        <f>IFERROR(_xlfn.XLOOKUP(ENTRADAS[[#This Row],[CODIGO]],LISTADO[CODIGOS],LISTADO[CATEGORIA]),"NO EXISTE")</f>
        <v/>
      </c>
      <c r="D2102" s="18">
        <f>IFERROR(_xlfn.XLOOKUP(ENTRADAS[[#This Row],[CODIGO]],LISTADO[CODIGOS],LISTADO[PRODUCTOS]),"NO EXISTE")</f>
        <v/>
      </c>
      <c r="E2102" s="19" t="n">
        <v>46190</v>
      </c>
      <c r="F2102" s="18" t="n">
        <v>25</v>
      </c>
      <c r="G2102" s="18" t="inlineStr">
        <is>
          <t>INGRESO</t>
        </is>
      </c>
      <c r="H2102" s="1" t="inlineStr">
        <is>
          <t>CAMPOS ELECTRICOS, C.A.</t>
        </is>
      </c>
      <c r="I2102" s="45" t="n">
        <v>6</v>
      </c>
      <c r="J2102" s="77" t="n"/>
      <c r="K2102" s="18" t="n"/>
    </row>
    <row r="2103">
      <c r="B2103" s="18" t="inlineStr">
        <is>
          <t>00072-ELE</t>
        </is>
      </c>
      <c r="C2103" s="18">
        <f>IFERROR(_xlfn.XLOOKUP(ENTRADAS[[#This Row],[CODIGO]],LISTADO[CODIGOS],LISTADO[CATEGORIA]),"NO EXISTE")</f>
        <v/>
      </c>
      <c r="D2103" s="18">
        <f>IFERROR(_xlfn.XLOOKUP(ENTRADAS[[#This Row],[CODIGO]],LISTADO[CODIGOS],LISTADO[PRODUCTOS]),"NO EXISTE")</f>
        <v/>
      </c>
      <c r="E2103" s="19" t="n">
        <v>46190</v>
      </c>
      <c r="F2103" s="18" t="n">
        <v>8</v>
      </c>
      <c r="G2103" s="18" t="inlineStr">
        <is>
          <t>INGRESO</t>
        </is>
      </c>
      <c r="H2103" s="1" t="inlineStr">
        <is>
          <t>CAMPOS ELECTRICOS, C.A.</t>
        </is>
      </c>
      <c r="I2103" s="45" t="n">
        <v>16</v>
      </c>
      <c r="J2103" s="77" t="n"/>
      <c r="K2103" s="18" t="n"/>
    </row>
    <row r="2104">
      <c r="B2104" s="18" t="inlineStr">
        <is>
          <t>00265-FER</t>
        </is>
      </c>
      <c r="C2104" s="18">
        <f>IFERROR(_xlfn.XLOOKUP(ENTRADAS[[#This Row],[CODIGO]],LISTADO[CODIGOS],LISTADO[CATEGORIA]),"NO EXISTE")</f>
        <v/>
      </c>
      <c r="D2104" s="18">
        <f>IFERROR(_xlfn.XLOOKUP(ENTRADAS[[#This Row],[CODIGO]],LISTADO[CODIGOS],LISTADO[PRODUCTOS]),"NO EXISTE")</f>
        <v/>
      </c>
      <c r="E2104" s="19" t="n">
        <v>46190</v>
      </c>
      <c r="F2104" s="18" t="n">
        <v>1</v>
      </c>
      <c r="G2104" s="18" t="inlineStr">
        <is>
          <t>INGRESO</t>
        </is>
      </c>
      <c r="H2104" s="1" t="inlineStr">
        <is>
          <t>CAMPOS ELECTRICOS, C.A.</t>
        </is>
      </c>
      <c r="I2104" s="45" t="n">
        <v>7</v>
      </c>
      <c r="J2104" s="77" t="n"/>
      <c r="K2104" s="18" t="n"/>
    </row>
    <row r="2105">
      <c r="B2105" s="18" t="inlineStr">
        <is>
          <t>00265-FER</t>
        </is>
      </c>
      <c r="C2105" s="18">
        <f>IFERROR(_xlfn.XLOOKUP(ENTRADAS[[#This Row],[CODIGO]],LISTADO[CODIGOS],LISTADO[CATEGORIA]),"NO EXISTE")</f>
        <v/>
      </c>
      <c r="D2105" s="18">
        <f>IFERROR(_xlfn.XLOOKUP(ENTRADAS[[#This Row],[CODIGO]],LISTADO[CODIGOS],LISTADO[PRODUCTOS]),"NO EXISTE")</f>
        <v/>
      </c>
      <c r="E2105" s="19" t="n">
        <v>46190</v>
      </c>
      <c r="F2105" s="18" t="n">
        <v>1</v>
      </c>
      <c r="G2105" s="18" t="inlineStr">
        <is>
          <t>INGRESO</t>
        </is>
      </c>
      <c r="H2105" s="1" t="inlineStr">
        <is>
          <t>CAMPOS ELECTRICOS, C.A.</t>
        </is>
      </c>
      <c r="I2105" s="45" t="n">
        <v>7</v>
      </c>
      <c r="J2105" s="77" t="n"/>
      <c r="K2105" s="18" t="n"/>
    </row>
    <row r="2106">
      <c r="B2106" s="18" t="inlineStr">
        <is>
          <t>00265-FER</t>
        </is>
      </c>
      <c r="C2106" s="18">
        <f>IFERROR(_xlfn.XLOOKUP(ENTRADAS[[#This Row],[CODIGO]],LISTADO[CODIGOS],LISTADO[CATEGORIA]),"NO EXISTE")</f>
        <v/>
      </c>
      <c r="D2106" s="18">
        <f>IFERROR(_xlfn.XLOOKUP(ENTRADAS[[#This Row],[CODIGO]],LISTADO[CODIGOS],LISTADO[PRODUCTOS]),"NO EXISTE")</f>
        <v/>
      </c>
      <c r="E2106" s="19" t="n">
        <v>46190</v>
      </c>
      <c r="F2106" s="18" t="n">
        <v>1</v>
      </c>
      <c r="G2106" s="18" t="inlineStr">
        <is>
          <t>INGRESO</t>
        </is>
      </c>
      <c r="H2106" s="1" t="inlineStr">
        <is>
          <t>CAMPOS ELECTRICOS, C.A.</t>
        </is>
      </c>
      <c r="I2106" s="45" t="n">
        <v>7</v>
      </c>
      <c r="J2106" s="77" t="n"/>
      <c r="K2106" s="18" t="n"/>
    </row>
    <row r="2107">
      <c r="B2107" s="18" t="inlineStr">
        <is>
          <t>00265-FER</t>
        </is>
      </c>
      <c r="C2107" s="18">
        <f>IFERROR(_xlfn.XLOOKUP(ENTRADAS[[#This Row],[CODIGO]],LISTADO[CODIGOS],LISTADO[CATEGORIA]),"NO EXISTE")</f>
        <v/>
      </c>
      <c r="D2107" s="18">
        <f>IFERROR(_xlfn.XLOOKUP(ENTRADAS[[#This Row],[CODIGO]],LISTADO[CODIGOS],LISTADO[PRODUCTOS]),"NO EXISTE")</f>
        <v/>
      </c>
      <c r="E2107" s="19" t="n">
        <v>46190</v>
      </c>
      <c r="F2107" s="18" t="n">
        <v>1</v>
      </c>
      <c r="G2107" s="18" t="inlineStr">
        <is>
          <t>INGRESO</t>
        </is>
      </c>
      <c r="H2107" s="1" t="inlineStr">
        <is>
          <t>CAMPOS ELECTRICOS, C.A.</t>
        </is>
      </c>
      <c r="I2107" s="45" t="n">
        <v>7</v>
      </c>
      <c r="J2107" s="77" t="n"/>
      <c r="K2107" s="18" t="n"/>
    </row>
    <row r="2108">
      <c r="B2108" s="18" t="inlineStr">
        <is>
          <t>00096-ELE</t>
        </is>
      </c>
      <c r="C2108" s="18">
        <f>IFERROR(_xlfn.XLOOKUP(ENTRADAS[[#This Row],[CODIGO]],LISTADO[CODIGOS],LISTADO[CATEGORIA]),"NO EXISTE")</f>
        <v/>
      </c>
      <c r="D2108" s="18">
        <f>IFERROR(_xlfn.XLOOKUP(ENTRADAS[[#This Row],[CODIGO]],LISTADO[CODIGOS],LISTADO[PRODUCTOS]),"NO EXISTE")</f>
        <v/>
      </c>
      <c r="E2108" s="19" t="n">
        <v>46190</v>
      </c>
      <c r="F2108" s="18" t="n">
        <v>15</v>
      </c>
      <c r="G2108" s="18" t="inlineStr">
        <is>
          <t>INGRESO</t>
        </is>
      </c>
      <c r="H2108" s="1" t="inlineStr">
        <is>
          <t>CAMPOS ELECTRICOS, C.A.</t>
        </is>
      </c>
      <c r="I2108" s="45" t="n">
        <v>3.8</v>
      </c>
      <c r="J2108" s="77" t="n"/>
      <c r="K2108" s="18" t="n"/>
    </row>
    <row r="2109">
      <c r="B2109" s="18" t="inlineStr">
        <is>
          <t>00097-ELE</t>
        </is>
      </c>
      <c r="C2109" s="18">
        <f>IFERROR(_xlfn.XLOOKUP(ENTRADAS[[#This Row],[CODIGO]],LISTADO[CODIGOS],LISTADO[CATEGORIA]),"NO EXISTE")</f>
        <v/>
      </c>
      <c r="D2109" s="18">
        <f>IFERROR(_xlfn.XLOOKUP(ENTRADAS[[#This Row],[CODIGO]],LISTADO[CODIGOS],LISTADO[PRODUCTOS]),"NO EXISTE")</f>
        <v/>
      </c>
      <c r="E2109" s="19" t="n">
        <v>46190</v>
      </c>
      <c r="F2109" s="18" t="n">
        <v>30</v>
      </c>
      <c r="G2109" s="18" t="inlineStr">
        <is>
          <t>INGRESO</t>
        </is>
      </c>
      <c r="H2109" s="1" t="inlineStr">
        <is>
          <t>CAMPOS ELECTRICOS, C.A.</t>
        </is>
      </c>
      <c r="I2109" s="45" t="n">
        <v>2.5</v>
      </c>
      <c r="J2109" s="77" t="n"/>
      <c r="K2109" s="18" t="n"/>
    </row>
    <row r="2110">
      <c r="B2110" s="18" t="inlineStr">
        <is>
          <t>00181-FER</t>
        </is>
      </c>
      <c r="C2110" s="18">
        <f>IFERROR(_xlfn.XLOOKUP(ENTRADAS[[#This Row],[CODIGO]],LISTADO[CODIGOS],LISTADO[CATEGORIA]),"NO EXISTE")</f>
        <v/>
      </c>
      <c r="D2110" s="18">
        <f>IFERROR(_xlfn.XLOOKUP(ENTRADAS[[#This Row],[CODIGO]],LISTADO[CODIGOS],LISTADO[PRODUCTOS]),"NO EXISTE")</f>
        <v/>
      </c>
      <c r="E2110" s="19" t="n">
        <v>46190</v>
      </c>
      <c r="F2110" s="18" t="n">
        <v>30</v>
      </c>
      <c r="G2110" s="18" t="inlineStr">
        <is>
          <t>INGRESO</t>
        </is>
      </c>
      <c r="H2110" s="1" t="inlineStr">
        <is>
          <t>CAMPOS ELECTRICOS, C.A.</t>
        </is>
      </c>
      <c r="I2110" s="45" t="n"/>
      <c r="J2110" s="77" t="n">
        <v>895.17</v>
      </c>
      <c r="K2110" s="18" t="n"/>
    </row>
    <row r="2111">
      <c r="B2111" s="56" t="inlineStr">
        <is>
          <t>00074-FER</t>
        </is>
      </c>
      <c r="C2111" s="18">
        <f>IFERROR(_xlfn.XLOOKUP(ENTRADAS[[#This Row],[CODIGO]],LISTADO[CODIGOS],LISTADO[CATEGORIA]),"NO EXISTE")</f>
        <v/>
      </c>
      <c r="D2111" s="18">
        <f>IFERROR(_xlfn.XLOOKUP(ENTRADAS[[#This Row],[CODIGO]],LISTADO[CODIGOS],LISTADO[PRODUCTOS]),"NO EXISTE")</f>
        <v/>
      </c>
      <c r="E2111" s="19" t="n">
        <v>46190</v>
      </c>
      <c r="F2111" s="18" t="n">
        <v>10</v>
      </c>
      <c r="G2111" s="18" t="inlineStr">
        <is>
          <t>INGRESO</t>
        </is>
      </c>
      <c r="H2111" s="1" t="inlineStr">
        <is>
          <t>CAMPOS ELECTRICOS, C.A.</t>
        </is>
      </c>
      <c r="I2111" s="45" t="n"/>
      <c r="J2111" s="77" t="n">
        <v>1790.34</v>
      </c>
      <c r="K2111" s="18" t="n"/>
    </row>
    <row r="2112">
      <c r="B2112" s="56" t="inlineStr">
        <is>
          <t>00055-FER</t>
        </is>
      </c>
      <c r="C2112" s="18">
        <f>IFERROR(_xlfn.XLOOKUP(ENTRADAS[[#This Row],[CODIGO]],LISTADO[CODIGOS],LISTADO[CATEGORIA]),"NO EXISTE")</f>
        <v/>
      </c>
      <c r="D2112" s="18">
        <f>IFERROR(_xlfn.XLOOKUP(ENTRADAS[[#This Row],[CODIGO]],LISTADO[CODIGOS],LISTADO[PRODUCTOS]),"NO EXISTE")</f>
        <v/>
      </c>
      <c r="E2112" s="19" t="n">
        <v>46184</v>
      </c>
      <c r="F2112" s="18" t="n">
        <v>22</v>
      </c>
      <c r="G2112" s="18" t="inlineStr">
        <is>
          <t>INGRESO</t>
        </is>
      </c>
      <c r="H2112" s="1" t="inlineStr">
        <is>
          <t>CAMPOS ELECTRICOS, C.A.</t>
        </is>
      </c>
      <c r="I2112" s="45" t="n">
        <v>131</v>
      </c>
      <c r="J2112" s="77" t="n"/>
      <c r="K2112" s="18" t="n"/>
    </row>
    <row r="2113">
      <c r="B2113" s="18" t="inlineStr">
        <is>
          <t>00063-HRR</t>
        </is>
      </c>
      <c r="C2113" s="18">
        <f>IFERROR(_xlfn.XLOOKUP(ENTRADAS[[#This Row],[CODIGO]],LISTADO[CODIGOS],LISTADO[CATEGORIA]),"NO EXISTE")</f>
        <v/>
      </c>
      <c r="D2113" s="18">
        <f>IFERROR(_xlfn.XLOOKUP(ENTRADAS[[#This Row],[CODIGO]],LISTADO[CODIGOS],LISTADO[PRODUCTOS]),"NO EXISTE")</f>
        <v/>
      </c>
      <c r="E2113" s="19" t="n">
        <v>46188</v>
      </c>
      <c r="F2113" s="18" t="n">
        <v>20</v>
      </c>
      <c r="G2113" s="18" t="inlineStr">
        <is>
          <t>INGRESO</t>
        </is>
      </c>
      <c r="H2113" s="1" t="inlineStr">
        <is>
          <t>CAMPOS ELECTRICOS, C.A.</t>
        </is>
      </c>
      <c r="I2113" s="45" t="n"/>
      <c r="J2113" s="77" t="n">
        <v>6862.01</v>
      </c>
      <c r="K2113" s="18" t="n"/>
    </row>
    <row r="2114">
      <c r="B2114" s="18" t="inlineStr">
        <is>
          <t>00216-FER</t>
        </is>
      </c>
      <c r="C2114" s="18">
        <f>IFERROR(_xlfn.XLOOKUP(ENTRADAS[[#This Row],[CODIGO]],LISTADO[CODIGOS],LISTADO[CATEGORIA]),"NO EXISTE")</f>
        <v/>
      </c>
      <c r="D2114" s="18">
        <f>IFERROR(_xlfn.XLOOKUP(ENTRADAS[[#This Row],[CODIGO]],LISTADO[CODIGOS],LISTADO[PRODUCTOS]),"NO EXISTE")</f>
        <v/>
      </c>
      <c r="E2114" s="19" t="n">
        <v>46188</v>
      </c>
      <c r="F2114" s="18" t="n">
        <v>120</v>
      </c>
      <c r="G2114" s="18" t="inlineStr">
        <is>
          <t>INGRESO</t>
        </is>
      </c>
      <c r="H2114" s="1" t="inlineStr">
        <is>
          <t>FILOTORCA</t>
        </is>
      </c>
      <c r="I2114" s="45" t="n"/>
      <c r="J2114" s="77" t="n">
        <v>0.03718</v>
      </c>
      <c r="K2114" s="18" t="n"/>
    </row>
    <row r="2115">
      <c r="B2115" s="56" t="inlineStr">
        <is>
          <t>00006-ELE</t>
        </is>
      </c>
      <c r="C2115" s="18">
        <f>IFERROR(_xlfn.XLOOKUP(ENTRADAS[[#This Row],[CODIGO]],LISTADO[CODIGOS],LISTADO[CATEGORIA]),"NO EXISTE")</f>
        <v/>
      </c>
      <c r="D2115" s="18">
        <f>IFERROR(_xlfn.XLOOKUP(ENTRADAS[[#This Row],[CODIGO]],LISTADO[CODIGOS],LISTADO[PRODUCTOS]),"NO EXISTE")</f>
        <v/>
      </c>
      <c r="E2115" s="19" t="n">
        <v>46201</v>
      </c>
      <c r="F2115" s="18" t="n">
        <v>3</v>
      </c>
      <c r="G2115" s="18" t="inlineStr">
        <is>
          <t>INGRESO</t>
        </is>
      </c>
      <c r="H2115" s="1" t="inlineStr">
        <is>
          <t>R.O.C.A</t>
        </is>
      </c>
      <c r="I2115" s="45" t="n">
        <v>16.51</v>
      </c>
      <c r="J2115" s="77" t="n"/>
      <c r="K2115" s="18" t="n"/>
    </row>
    <row r="2116">
      <c r="B2116" s="56" t="inlineStr">
        <is>
          <t>00009-ELE</t>
        </is>
      </c>
      <c r="C2116" s="18">
        <f>IFERROR(_xlfn.XLOOKUP(ENTRADAS[[#This Row],[CODIGO]],LISTADO[CODIGOS],LISTADO[CATEGORIA]),"NO EXISTE")</f>
        <v/>
      </c>
      <c r="D2116" s="18">
        <f>IFERROR(_xlfn.XLOOKUP(ENTRADAS[[#This Row],[CODIGO]],LISTADO[CODIGOS],LISTADO[PRODUCTOS]),"NO EXISTE")</f>
        <v/>
      </c>
      <c r="E2116" s="19" t="n">
        <v>46170</v>
      </c>
      <c r="F2116" s="18" t="n">
        <v>15</v>
      </c>
      <c r="G2116" s="18" t="inlineStr">
        <is>
          <t>INGRESO</t>
        </is>
      </c>
      <c r="H2116" s="1" t="inlineStr">
        <is>
          <t>R.O.C.A</t>
        </is>
      </c>
      <c r="I2116" s="45" t="n">
        <v>23.9</v>
      </c>
      <c r="J2116" s="77" t="n"/>
      <c r="K2116" s="18" t="n"/>
    </row>
    <row r="2117">
      <c r="B2117" s="56" t="inlineStr">
        <is>
          <t>00005-ELE</t>
        </is>
      </c>
      <c r="C2117" s="18">
        <f>IFERROR(_xlfn.XLOOKUP(ENTRADAS[[#This Row],[CODIGO]],LISTADO[CODIGOS],LISTADO[CATEGORIA]),"NO EXISTE")</f>
        <v/>
      </c>
      <c r="D2117" s="18">
        <f>IFERROR(_xlfn.XLOOKUP(ENTRADAS[[#This Row],[CODIGO]],LISTADO[CODIGOS],LISTADO[PRODUCTOS]),"NO EXISTE")</f>
        <v/>
      </c>
      <c r="E2117" s="19" t="n">
        <v>46170</v>
      </c>
      <c r="F2117" s="18" t="n">
        <v>20</v>
      </c>
      <c r="G2117" s="18" t="inlineStr">
        <is>
          <t>INGRESO</t>
        </is>
      </c>
      <c r="H2117" s="1" t="inlineStr">
        <is>
          <t>R.O.C.A</t>
        </is>
      </c>
      <c r="I2117" s="45" t="n">
        <v>13.83</v>
      </c>
      <c r="J2117" s="77" t="n"/>
      <c r="K2117" s="18" t="n"/>
    </row>
    <row r="2118">
      <c r="B2118" s="18" t="inlineStr">
        <is>
          <t>00131-ELE</t>
        </is>
      </c>
      <c r="C2118" s="18">
        <f>IFERROR(_xlfn.XLOOKUP(ENTRADAS[[#This Row],[CODIGO]],LISTADO[CODIGOS],LISTADO[CATEGORIA]),"NO EXISTE")</f>
        <v/>
      </c>
      <c r="D2118" s="18">
        <f>IFERROR(_xlfn.XLOOKUP(ENTRADAS[[#This Row],[CODIGO]],LISTADO[CODIGOS],LISTADO[PRODUCTOS]),"NO EXISTE")</f>
        <v/>
      </c>
      <c r="E2118" s="19" t="n">
        <v>46170</v>
      </c>
      <c r="F2118" s="18" t="n">
        <v>3</v>
      </c>
      <c r="G2118" s="18" t="inlineStr">
        <is>
          <t>INGRESO</t>
        </is>
      </c>
      <c r="H2118" s="1" t="inlineStr">
        <is>
          <t>R.O.C.A</t>
        </is>
      </c>
      <c r="I2118" s="45" t="n">
        <v>11.2</v>
      </c>
      <c r="J2118" s="77" t="n"/>
      <c r="K2118" s="18" t="n"/>
    </row>
    <row r="2119">
      <c r="B2119" s="56" t="inlineStr">
        <is>
          <t>00006-ELE</t>
        </is>
      </c>
      <c r="C2119" s="18">
        <f>IFERROR(_xlfn.XLOOKUP(ENTRADAS[[#This Row],[CODIGO]],LISTADO[CODIGOS],LISTADO[CATEGORIA]),"NO EXISTE")</f>
        <v/>
      </c>
      <c r="D2119" s="18">
        <f>IFERROR(_xlfn.XLOOKUP(ENTRADAS[[#This Row],[CODIGO]],LISTADO[CODIGOS],LISTADO[PRODUCTOS]),"NO EXISTE")</f>
        <v/>
      </c>
      <c r="E2119" s="19" t="n">
        <v>46170</v>
      </c>
      <c r="F2119" s="18" t="n">
        <v>3</v>
      </c>
      <c r="G2119" s="18" t="inlineStr">
        <is>
          <t>INGRESO</t>
        </is>
      </c>
      <c r="H2119" s="1" t="inlineStr">
        <is>
          <t>R.O.C.A</t>
        </is>
      </c>
      <c r="I2119" s="45" t="n">
        <v>17.56</v>
      </c>
      <c r="J2119" s="77" t="n"/>
      <c r="K2119" s="18" t="n"/>
    </row>
    <row r="2120">
      <c r="B2120" s="56" t="inlineStr">
        <is>
          <t>00002-MSC</t>
        </is>
      </c>
      <c r="C2120" s="18">
        <f>IFERROR(_xlfn.XLOOKUP(ENTRADAS[[#This Row],[CODIGO]],LISTADO[CODIGOS],LISTADO[CATEGORIA]),"NO EXISTE")</f>
        <v/>
      </c>
      <c r="D2120" s="18">
        <f>IFERROR(_xlfn.XLOOKUP(ENTRADAS[[#This Row],[CODIGO]],LISTADO[CODIGOS],LISTADO[PRODUCTOS]),"NO EXISTE")</f>
        <v/>
      </c>
      <c r="E2120" s="19" t="n">
        <v>46170</v>
      </c>
      <c r="F2120" s="18" t="n">
        <v>1</v>
      </c>
      <c r="G2120" s="18" t="inlineStr">
        <is>
          <t>INGRESO</t>
        </is>
      </c>
      <c r="H2120" s="1" t="inlineStr">
        <is>
          <t>R.O.C.A</t>
        </is>
      </c>
      <c r="I2120" s="45" t="n">
        <v>30.11</v>
      </c>
      <c r="J2120" s="77" t="n"/>
      <c r="K2120" s="18" t="n"/>
    </row>
    <row r="2121">
      <c r="B2121" s="18" t="inlineStr">
        <is>
          <t>00139-HER</t>
        </is>
      </c>
      <c r="C2121" s="18">
        <f>IFERROR(_xlfn.XLOOKUP(ENTRADAS[[#This Row],[CODIGO]],LISTADO[CODIGOS],LISTADO[CATEGORIA]),"NO EXISTE")</f>
        <v/>
      </c>
      <c r="D2121" s="18">
        <f>IFERROR(_xlfn.XLOOKUP(ENTRADAS[[#This Row],[CODIGO]],LISTADO[CODIGOS],LISTADO[PRODUCTOS]),"NO EXISTE")</f>
        <v/>
      </c>
      <c r="E2121" s="19" t="n">
        <v>46172</v>
      </c>
      <c r="F2121" s="18" t="n">
        <v>10</v>
      </c>
      <c r="G2121" s="18" t="inlineStr">
        <is>
          <t>INGRESO</t>
        </is>
      </c>
      <c r="H2121" s="1" t="inlineStr">
        <is>
          <t>EL GRAN BAZAR DEL CENTRO</t>
        </is>
      </c>
      <c r="I2121" s="45" t="n">
        <v>0.5</v>
      </c>
      <c r="J2121" s="77" t="n"/>
      <c r="K2121" s="18" t="n"/>
    </row>
    <row r="2122">
      <c r="B2122" s="18" t="inlineStr">
        <is>
          <t>00095-REF</t>
        </is>
      </c>
      <c r="C2122" s="18">
        <f>IFERROR(_xlfn.XLOOKUP(ENTRADAS[[#This Row],[CODIGO]],LISTADO[CODIGOS],LISTADO[CATEGORIA]),"NO EXISTE")</f>
        <v/>
      </c>
      <c r="D2122" s="18">
        <f>IFERROR(_xlfn.XLOOKUP(ENTRADAS[[#This Row],[CODIGO]],LISTADO[CODIGOS],LISTADO[PRODUCTOS]),"NO EXISTE")</f>
        <v/>
      </c>
      <c r="E2122" s="19" t="n">
        <v>46163</v>
      </c>
      <c r="F2122" s="18" t="n">
        <v>1</v>
      </c>
      <c r="G2122" s="18" t="inlineStr">
        <is>
          <t>INGRESO</t>
        </is>
      </c>
      <c r="H2122" s="1" t="inlineStr">
        <is>
          <t>R.O.C.A</t>
        </is>
      </c>
      <c r="I2122" s="45" t="n">
        <v>142.5</v>
      </c>
      <c r="J2122" s="77" t="n"/>
      <c r="K2122" s="18" t="n"/>
    </row>
    <row r="2123">
      <c r="B2123" s="18" t="inlineStr">
        <is>
          <t>00050-ELC</t>
        </is>
      </c>
      <c r="C2123" s="18">
        <f>IFERROR(_xlfn.XLOOKUP(ENTRADAS[[#This Row],[CODIGO]],LISTADO[CODIGOS],LISTADO[CATEGORIA]),"NO EXISTE")</f>
        <v/>
      </c>
      <c r="D2123" s="18">
        <f>IFERROR(_xlfn.XLOOKUP(ENTRADAS[[#This Row],[CODIGO]],LISTADO[CODIGOS],LISTADO[PRODUCTOS]),"NO EXISTE")</f>
        <v/>
      </c>
      <c r="E2123" s="19" t="n">
        <v>46177</v>
      </c>
      <c r="F2123" s="18" t="n">
        <v>2</v>
      </c>
      <c r="G2123" s="18" t="inlineStr">
        <is>
          <t>INGRESO</t>
        </is>
      </c>
      <c r="H2123" s="1" t="inlineStr">
        <is>
          <t>MULTIMAX STORE CA</t>
        </is>
      </c>
      <c r="I2123" s="45" t="n"/>
      <c r="J2123" s="77" t="n">
        <v>125591.32</v>
      </c>
      <c r="K2123" s="18" t="n"/>
    </row>
    <row r="2124">
      <c r="B2124" s="18" t="inlineStr">
        <is>
          <t>00141-FER</t>
        </is>
      </c>
      <c r="C2124" s="18">
        <f>IFERROR(_xlfn.XLOOKUP(ENTRADAS[[#This Row],[CODIGO]],LISTADO[CODIGOS],LISTADO[CATEGORIA]),"NO EXISTE")</f>
        <v/>
      </c>
      <c r="D2124" s="18">
        <f>IFERROR(_xlfn.XLOOKUP(ENTRADAS[[#This Row],[CODIGO]],LISTADO[CODIGOS],LISTADO[PRODUCTOS]),"NO EXISTE")</f>
        <v/>
      </c>
      <c r="E2124" s="19" t="n">
        <v>46177</v>
      </c>
      <c r="F2124" s="18" t="n">
        <v>20</v>
      </c>
      <c r="G2124" s="18" t="inlineStr">
        <is>
          <t>INGRESO</t>
        </is>
      </c>
      <c r="H2124" s="1" t="inlineStr">
        <is>
          <t>CENTER MARK</t>
        </is>
      </c>
      <c r="I2124" s="45" t="n"/>
      <c r="J2124" s="77" t="n">
        <v>56.03</v>
      </c>
      <c r="K2124" s="18" t="n"/>
    </row>
    <row r="2125">
      <c r="B2125" s="18" t="inlineStr">
        <is>
          <t>00150-FER</t>
        </is>
      </c>
      <c r="C2125" s="18">
        <f>IFERROR(_xlfn.XLOOKUP(ENTRADAS[[#This Row],[CODIGO]],LISTADO[CODIGOS],LISTADO[CATEGORIA]),"NO EXISTE")</f>
        <v/>
      </c>
      <c r="D2125" s="18">
        <f>IFERROR(_xlfn.XLOOKUP(ENTRADAS[[#This Row],[CODIGO]],LISTADO[CODIGOS],LISTADO[PRODUCTOS]),"NO EXISTE")</f>
        <v/>
      </c>
      <c r="E2125" s="19" t="n">
        <v>46177</v>
      </c>
      <c r="F2125" s="18" t="n">
        <v>10</v>
      </c>
      <c r="G2125" s="18" t="inlineStr">
        <is>
          <t>INGRESO</t>
        </is>
      </c>
      <c r="H2125" s="1" t="inlineStr">
        <is>
          <t>CENTER MARK</t>
        </is>
      </c>
      <c r="I2125" s="45" t="n"/>
      <c r="J2125" s="77" t="n">
        <v>89.64</v>
      </c>
      <c r="K2125" s="18" t="n"/>
    </row>
    <row r="2126">
      <c r="B2126" s="18" t="inlineStr">
        <is>
          <t>00156-FER</t>
        </is>
      </c>
      <c r="C2126" s="18">
        <f>IFERROR(_xlfn.XLOOKUP(ENTRADAS[[#This Row],[CODIGO]],LISTADO[CODIGOS],LISTADO[CATEGORIA]),"NO EXISTE")</f>
        <v/>
      </c>
      <c r="D2126" s="18">
        <f>IFERROR(_xlfn.XLOOKUP(ENTRADAS[[#This Row],[CODIGO]],LISTADO[CODIGOS],LISTADO[PRODUCTOS]),"NO EXISTE")</f>
        <v/>
      </c>
      <c r="E2126" s="19" t="n">
        <v>46177</v>
      </c>
      <c r="F2126" s="18" t="n">
        <v>2</v>
      </c>
      <c r="G2126" s="18" t="inlineStr">
        <is>
          <t>INGRESO</t>
        </is>
      </c>
      <c r="H2126" s="1" t="inlineStr">
        <is>
          <t>CENTER MARK</t>
        </is>
      </c>
      <c r="I2126" s="45" t="n"/>
      <c r="J2126" s="77" t="n">
        <v>1961.3</v>
      </c>
      <c r="K2126" s="18" t="n"/>
    </row>
    <row r="2127">
      <c r="B2127" s="56" t="inlineStr">
        <is>
          <t>00027-FER</t>
        </is>
      </c>
      <c r="C2127" s="18">
        <f>IFERROR(_xlfn.XLOOKUP(ENTRADAS[[#This Row],[CODIGO]],LISTADO[CODIGOS],LISTADO[CATEGORIA]),"NO EXISTE")</f>
        <v/>
      </c>
      <c r="D2127" s="18">
        <f>IFERROR(_xlfn.XLOOKUP(ENTRADAS[[#This Row],[CODIGO]],LISTADO[CODIGOS],LISTADO[PRODUCTOS]),"NO EXISTE")</f>
        <v/>
      </c>
      <c r="E2127" s="19" t="n">
        <v>46163</v>
      </c>
      <c r="F2127" s="18" t="n">
        <v>7</v>
      </c>
      <c r="G2127" s="18" t="inlineStr">
        <is>
          <t>INGRESO</t>
        </is>
      </c>
      <c r="H2127" s="1" t="inlineStr">
        <is>
          <t>PINTURAS IPM, C.A</t>
        </is>
      </c>
      <c r="I2127" s="45" t="n">
        <v>40</v>
      </c>
      <c r="J2127" s="77" t="n"/>
      <c r="K2127" s="18" t="n"/>
    </row>
    <row r="2128">
      <c r="B2128" s="56" t="inlineStr">
        <is>
          <t>00028-FER</t>
        </is>
      </c>
      <c r="C2128" s="18">
        <f>IFERROR(_xlfn.XLOOKUP(ENTRADAS[[#This Row],[CODIGO]],LISTADO[CODIGOS],LISTADO[CATEGORIA]),"NO EXISTE")</f>
        <v/>
      </c>
      <c r="D2128" s="18">
        <f>IFERROR(_xlfn.XLOOKUP(ENTRADAS[[#This Row],[CODIGO]],LISTADO[CODIGOS],LISTADO[PRODUCTOS]),"NO EXISTE")</f>
        <v/>
      </c>
      <c r="E2128" s="19" t="n">
        <v>46163</v>
      </c>
      <c r="F2128" s="18" t="n">
        <v>5</v>
      </c>
      <c r="G2128" s="18" t="inlineStr">
        <is>
          <t>INGRESO</t>
        </is>
      </c>
      <c r="H2128" s="1" t="inlineStr">
        <is>
          <t>PINTURAS IPM, C.A</t>
        </is>
      </c>
      <c r="I2128" s="45" t="n">
        <v>40</v>
      </c>
      <c r="J2128" s="77" t="n"/>
      <c r="K2128" s="18" t="n"/>
    </row>
    <row r="2129">
      <c r="B2129" s="56" t="inlineStr">
        <is>
          <t>00031-FER</t>
        </is>
      </c>
      <c r="C2129" s="18">
        <f>IFERROR(_xlfn.XLOOKUP(ENTRADAS[[#This Row],[CODIGO]],LISTADO[CODIGOS],LISTADO[CATEGORIA]),"NO EXISTE")</f>
        <v/>
      </c>
      <c r="D2129" s="18">
        <f>IFERROR(_xlfn.XLOOKUP(ENTRADAS[[#This Row],[CODIGO]],LISTADO[CODIGOS],LISTADO[PRODUCTOS]),"NO EXISTE")</f>
        <v/>
      </c>
      <c r="E2129" s="19" t="n">
        <v>46163</v>
      </c>
      <c r="F2129" s="18" t="n">
        <v>2</v>
      </c>
      <c r="G2129" s="18" t="inlineStr">
        <is>
          <t>INGRESO</t>
        </is>
      </c>
      <c r="H2129" s="1" t="inlineStr">
        <is>
          <t>PINTURAS IPM, C.A</t>
        </is>
      </c>
      <c r="I2129" s="45" t="n">
        <v>40</v>
      </c>
      <c r="J2129" s="77" t="n"/>
      <c r="K2129" s="18" t="n"/>
    </row>
    <row r="2130">
      <c r="B2130" s="56" t="inlineStr">
        <is>
          <t>00039-FER</t>
        </is>
      </c>
      <c r="C2130" s="18">
        <f>IFERROR(_xlfn.XLOOKUP(ENTRADAS[[#This Row],[CODIGO]],LISTADO[CODIGOS],LISTADO[CATEGORIA]),"NO EXISTE")</f>
        <v/>
      </c>
      <c r="D2130" s="18">
        <f>IFERROR(_xlfn.XLOOKUP(ENTRADAS[[#This Row],[CODIGO]],LISTADO[CODIGOS],LISTADO[PRODUCTOS]),"NO EXISTE")</f>
        <v/>
      </c>
      <c r="E2130" s="19" t="n">
        <v>46163</v>
      </c>
      <c r="F2130" s="18" t="n">
        <v>2</v>
      </c>
      <c r="G2130" s="18" t="inlineStr">
        <is>
          <t>INGRESO</t>
        </is>
      </c>
      <c r="H2130" s="1" t="inlineStr">
        <is>
          <t>PINTURAS IPM, C.A</t>
        </is>
      </c>
      <c r="I2130" s="45" t="n">
        <v>43</v>
      </c>
      <c r="J2130" s="77" t="n"/>
      <c r="K2130" s="18" t="n"/>
    </row>
    <row r="2131">
      <c r="B2131" s="56" t="inlineStr">
        <is>
          <t>00041-FER</t>
        </is>
      </c>
      <c r="C2131" s="18">
        <f>IFERROR(_xlfn.XLOOKUP(ENTRADAS[[#This Row],[CODIGO]],LISTADO[CODIGOS],LISTADO[CATEGORIA]),"NO EXISTE")</f>
        <v/>
      </c>
      <c r="D2131" s="18">
        <f>IFERROR(_xlfn.XLOOKUP(ENTRADAS[[#This Row],[CODIGO]],LISTADO[CODIGOS],LISTADO[PRODUCTOS]),"NO EXISTE")</f>
        <v/>
      </c>
      <c r="E2131" s="19" t="n">
        <v>46163</v>
      </c>
      <c r="F2131" s="18" t="n">
        <v>10</v>
      </c>
      <c r="G2131" s="18" t="inlineStr">
        <is>
          <t>INGRESO</t>
        </is>
      </c>
      <c r="H2131" s="1" t="inlineStr">
        <is>
          <t>PINTURAS IPM, C.A</t>
        </is>
      </c>
      <c r="I2131" s="45" t="n">
        <v>43</v>
      </c>
      <c r="J2131" s="77" t="n"/>
      <c r="K2131" s="18" t="n"/>
    </row>
    <row r="2132">
      <c r="B2132" s="56" t="inlineStr">
        <is>
          <t>00034-FER</t>
        </is>
      </c>
      <c r="C2132" s="18">
        <f>IFERROR(_xlfn.XLOOKUP(ENTRADAS[[#This Row],[CODIGO]],LISTADO[CODIGOS],LISTADO[CATEGORIA]),"NO EXISTE")</f>
        <v/>
      </c>
      <c r="D2132" s="18">
        <f>IFERROR(_xlfn.XLOOKUP(ENTRADAS[[#This Row],[CODIGO]],LISTADO[CODIGOS],LISTADO[PRODUCTOS]),"NO EXISTE")</f>
        <v/>
      </c>
      <c r="E2132" s="19" t="n">
        <v>46163</v>
      </c>
      <c r="F2132" s="18" t="n">
        <v>1</v>
      </c>
      <c r="G2132" s="18" t="inlineStr">
        <is>
          <t>INGRESO</t>
        </is>
      </c>
      <c r="H2132" s="1" t="inlineStr">
        <is>
          <t>PINTURAS IPM, C.A</t>
        </is>
      </c>
      <c r="I2132" s="45" t="n">
        <v>91</v>
      </c>
      <c r="J2132" s="77" t="n"/>
      <c r="K2132" s="18" t="n"/>
    </row>
    <row r="2133">
      <c r="B2133" s="56" t="inlineStr">
        <is>
          <t>00050-FER</t>
        </is>
      </c>
      <c r="C2133" s="18">
        <f>IFERROR(_xlfn.XLOOKUP(ENTRADAS[[#This Row],[CODIGO]],LISTADO[CODIGOS],LISTADO[CATEGORIA]),"NO EXISTE")</f>
        <v/>
      </c>
      <c r="D2133" s="18">
        <f>IFERROR(_xlfn.XLOOKUP(ENTRADAS[[#This Row],[CODIGO]],LISTADO[CODIGOS],LISTADO[PRODUCTOS]),"NO EXISTE")</f>
        <v/>
      </c>
      <c r="E2133" s="19" t="n">
        <v>46163</v>
      </c>
      <c r="F2133" s="18" t="n">
        <v>3</v>
      </c>
      <c r="G2133" s="18" t="inlineStr">
        <is>
          <t>INGRESO</t>
        </is>
      </c>
      <c r="H2133" s="1" t="inlineStr">
        <is>
          <t>PINTURAS IPM, C.A</t>
        </is>
      </c>
      <c r="I2133" s="45" t="n">
        <v>103</v>
      </c>
      <c r="J2133" s="77" t="n"/>
      <c r="K2133" s="18" t="n"/>
    </row>
    <row r="2134">
      <c r="B2134" s="56" t="inlineStr">
        <is>
          <t>00052-FER</t>
        </is>
      </c>
      <c r="C2134" s="18">
        <f>IFERROR(_xlfn.XLOOKUP(ENTRADAS[[#This Row],[CODIGO]],LISTADO[CODIGOS],LISTADO[CATEGORIA]),"NO EXISTE")</f>
        <v/>
      </c>
      <c r="D2134" s="18">
        <f>IFERROR(_xlfn.XLOOKUP(ENTRADAS[[#This Row],[CODIGO]],LISTADO[CODIGOS],LISTADO[PRODUCTOS]),"NO EXISTE")</f>
        <v/>
      </c>
      <c r="E2134" s="19" t="n">
        <v>46163</v>
      </c>
      <c r="F2134" s="18" t="n">
        <v>7</v>
      </c>
      <c r="G2134" s="18" t="inlineStr">
        <is>
          <t>INGRESO</t>
        </is>
      </c>
      <c r="H2134" s="1" t="inlineStr">
        <is>
          <t>PINTURAS IPM, C.A</t>
        </is>
      </c>
      <c r="I2134" s="45" t="n">
        <v>88</v>
      </c>
      <c r="J2134" s="77" t="n"/>
      <c r="K2134" s="18" t="n"/>
    </row>
    <row r="2135">
      <c r="B2135" s="56" t="inlineStr">
        <is>
          <t>00043-FER</t>
        </is>
      </c>
      <c r="C2135" s="18">
        <f>IFERROR(_xlfn.XLOOKUP(ENTRADAS[[#This Row],[CODIGO]],LISTADO[CODIGOS],LISTADO[CATEGORIA]),"NO EXISTE")</f>
        <v/>
      </c>
      <c r="D2135" s="18">
        <f>IFERROR(_xlfn.XLOOKUP(ENTRADAS[[#This Row],[CODIGO]],LISTADO[CODIGOS],LISTADO[PRODUCTOS]),"NO EXISTE")</f>
        <v/>
      </c>
      <c r="E2135" s="19" t="n">
        <v>46164</v>
      </c>
      <c r="F2135" s="18" t="n">
        <v>7</v>
      </c>
      <c r="G2135" s="18" t="inlineStr">
        <is>
          <t>INGRESO</t>
        </is>
      </c>
      <c r="H2135" s="1" t="inlineStr">
        <is>
          <t>PINTURAS IPM, C.A</t>
        </is>
      </c>
      <c r="I2135" s="45" t="n">
        <v>36</v>
      </c>
      <c r="J2135" s="77" t="n"/>
      <c r="K2135" s="18" t="n"/>
    </row>
    <row r="2136">
      <c r="B2136" s="18" t="inlineStr">
        <is>
          <t>00093-ELC</t>
        </is>
      </c>
      <c r="C2136" s="18">
        <f>IFERROR(_xlfn.XLOOKUP(ENTRADAS[[#This Row],[CODIGO]],LISTADO[CODIGOS],LISTADO[CATEGORIA]),"NO EXISTE")</f>
        <v/>
      </c>
      <c r="D2136" s="18">
        <f>IFERROR(_xlfn.XLOOKUP(ENTRADAS[[#This Row],[CODIGO]],LISTADO[CODIGOS],LISTADO[PRODUCTOS]),"NO EXISTE")</f>
        <v/>
      </c>
      <c r="E2136" s="19" t="n">
        <v>46195</v>
      </c>
      <c r="F2136" s="18" t="n">
        <v>1</v>
      </c>
      <c r="G2136" s="18" t="inlineStr">
        <is>
          <t>INGRESO</t>
        </is>
      </c>
      <c r="H2136" s="1" t="inlineStr">
        <is>
          <t>GROUP ELECTRONIC S C.A</t>
        </is>
      </c>
      <c r="I2136" s="45" t="n"/>
      <c r="J2136" s="77" t="n">
        <v>2112.85</v>
      </c>
      <c r="K2136" s="18" t="n"/>
    </row>
    <row r="2137">
      <c r="B2137" s="18" t="inlineStr">
        <is>
          <t>00185-FER</t>
        </is>
      </c>
      <c r="C2137" s="18">
        <f>IFERROR(_xlfn.XLOOKUP(ENTRADAS[[#This Row],[CODIGO]],LISTADO[CODIGOS],LISTADO[CATEGORIA]),"NO EXISTE")</f>
        <v/>
      </c>
      <c r="D2137" s="18">
        <f>IFERROR(_xlfn.XLOOKUP(ENTRADAS[[#This Row],[CODIGO]],LISTADO[CODIGOS],LISTADO[PRODUCTOS]),"NO EXISTE")</f>
        <v/>
      </c>
      <c r="E2137" s="19" t="n">
        <v>46174</v>
      </c>
      <c r="F2137" s="18" t="n">
        <v>10</v>
      </c>
      <c r="G2137" s="18" t="inlineStr">
        <is>
          <t>INGRESO</t>
        </is>
      </c>
      <c r="H2137" s="1" t="inlineStr">
        <is>
          <t>TOTAL TOOLS VALENCIA</t>
        </is>
      </c>
      <c r="I2137" s="45" t="n"/>
      <c r="J2137" s="77" t="n">
        <v>232.86</v>
      </c>
      <c r="K2137" s="18" t="n"/>
    </row>
    <row r="2138">
      <c r="B2138" s="56" t="inlineStr">
        <is>
          <t>00099-HER</t>
        </is>
      </c>
      <c r="C2138" s="18">
        <f>IFERROR(_xlfn.XLOOKUP(ENTRADAS[[#This Row],[CODIGO]],LISTADO[CODIGOS],LISTADO[CATEGORIA]),"NO EXISTE")</f>
        <v/>
      </c>
      <c r="D2138" s="18">
        <f>IFERROR(_xlfn.XLOOKUP(ENTRADAS[[#This Row],[CODIGO]],LISTADO[CODIGOS],LISTADO[PRODUCTOS]),"NO EXISTE")</f>
        <v/>
      </c>
      <c r="E2138" s="19" t="n">
        <v>46174</v>
      </c>
      <c r="F2138" s="18" t="n">
        <v>10</v>
      </c>
      <c r="G2138" s="18" t="inlineStr">
        <is>
          <t>INGRESO</t>
        </is>
      </c>
      <c r="H2138" s="1" t="inlineStr">
        <is>
          <t>TOTAL TOOLS VALENCIA</t>
        </is>
      </c>
      <c r="I2138" s="45" t="n"/>
      <c r="J2138" s="77" t="n">
        <v>482.35</v>
      </c>
      <c r="K2138" s="18" t="n"/>
    </row>
    <row r="2139">
      <c r="B2139" s="56" t="inlineStr">
        <is>
          <t>00100-HER</t>
        </is>
      </c>
      <c r="C2139" s="18">
        <f>IFERROR(_xlfn.XLOOKUP(ENTRADAS[[#This Row],[CODIGO]],LISTADO[CODIGOS],LISTADO[CATEGORIA]),"NO EXISTE")</f>
        <v/>
      </c>
      <c r="D2139" s="18">
        <f>IFERROR(_xlfn.XLOOKUP(ENTRADAS[[#This Row],[CODIGO]],LISTADO[CODIGOS],LISTADO[PRODUCTOS]),"NO EXISTE")</f>
        <v/>
      </c>
      <c r="E2139" s="19" t="n">
        <v>46174</v>
      </c>
      <c r="F2139" s="18" t="n">
        <v>7</v>
      </c>
      <c r="G2139" s="18" t="inlineStr">
        <is>
          <t>INGRESO</t>
        </is>
      </c>
      <c r="H2139" s="1" t="inlineStr">
        <is>
          <t>TOTAL TOOLS VALENCIA</t>
        </is>
      </c>
      <c r="I2139" s="45" t="n"/>
      <c r="J2139" s="77" t="n">
        <v>892.63</v>
      </c>
      <c r="K2139" s="18" t="n"/>
    </row>
    <row r="2140">
      <c r="B2140" s="18" t="inlineStr">
        <is>
          <t>00101-HER</t>
        </is>
      </c>
      <c r="C2140" s="18">
        <f>IFERROR(_xlfn.XLOOKUP(ENTRADAS[[#This Row],[CODIGO]],LISTADO[CODIGOS],LISTADO[CATEGORIA]),"NO EXISTE")</f>
        <v/>
      </c>
      <c r="D2140" s="18">
        <f>IFERROR(_xlfn.XLOOKUP(ENTRADAS[[#This Row],[CODIGO]],LISTADO[CODIGOS],LISTADO[PRODUCTOS]),"NO EXISTE")</f>
        <v/>
      </c>
      <c r="E2140" s="19" t="n">
        <v>46174</v>
      </c>
      <c r="F2140" s="18" t="n">
        <v>1</v>
      </c>
      <c r="G2140" s="18" t="inlineStr">
        <is>
          <t>INGRESO</t>
        </is>
      </c>
      <c r="H2140" s="1" t="inlineStr">
        <is>
          <t>TOTAL TOOLS VALENCIA</t>
        </is>
      </c>
      <c r="I2140" s="45" t="n"/>
      <c r="J2140" s="77" t="n">
        <v>1009.06</v>
      </c>
      <c r="K2140" s="18" t="n"/>
    </row>
    <row r="2141">
      <c r="B2141" s="18" t="inlineStr">
        <is>
          <t>00181-FER</t>
        </is>
      </c>
      <c r="C2141" s="18">
        <f>IFERROR(_xlfn.XLOOKUP(ENTRADAS[[#This Row],[CODIGO]],LISTADO[CODIGOS],LISTADO[CATEGORIA]),"NO EXISTE")</f>
        <v/>
      </c>
      <c r="D2141" s="18">
        <f>IFERROR(_xlfn.XLOOKUP(ENTRADAS[[#This Row],[CODIGO]],LISTADO[CODIGOS],LISTADO[PRODUCTOS]),"NO EXISTE")</f>
        <v/>
      </c>
      <c r="E2141" s="19" t="n">
        <v>46174</v>
      </c>
      <c r="F2141" s="18" t="n">
        <v>9</v>
      </c>
      <c r="G2141" s="18" t="inlineStr">
        <is>
          <t>INGRESO</t>
        </is>
      </c>
      <c r="H2141" s="1" t="inlineStr">
        <is>
          <t>TOTAL TOOLS VALENCIA</t>
        </is>
      </c>
      <c r="I2141" s="45" t="n"/>
      <c r="J2141" s="77" t="n">
        <v>892.63</v>
      </c>
      <c r="K2141" s="18" t="n"/>
    </row>
    <row r="2142">
      <c r="B2142" s="18" t="inlineStr">
        <is>
          <t>00174-REF</t>
        </is>
      </c>
      <c r="C2142" s="18">
        <f>IFERROR(_xlfn.XLOOKUP(ENTRADAS[[#This Row],[CODIGO]],LISTADO[CODIGOS],LISTADO[CATEGORIA]),"NO EXISTE")</f>
        <v/>
      </c>
      <c r="D2142" s="18">
        <f>IFERROR(_xlfn.XLOOKUP(ENTRADAS[[#This Row],[CODIGO]],LISTADO[CODIGOS],LISTADO[PRODUCTOS]),"NO EXISTE")</f>
        <v/>
      </c>
      <c r="E2142" s="19" t="n">
        <v>46174</v>
      </c>
      <c r="F2142" s="18" t="n">
        <v>1</v>
      </c>
      <c r="G2142" s="18" t="inlineStr">
        <is>
          <t>INGRESO</t>
        </is>
      </c>
      <c r="H2142" s="1" t="inlineStr">
        <is>
          <t>R.O.C.A</t>
        </is>
      </c>
      <c r="I2142" s="45" t="n">
        <v>460</v>
      </c>
      <c r="J2142" s="77" t="n"/>
      <c r="K2142" s="18" t="n"/>
    </row>
    <row r="2143">
      <c r="B2143" s="56" t="inlineStr">
        <is>
          <t>00094-FER</t>
        </is>
      </c>
      <c r="C2143" s="18">
        <f>IFERROR(_xlfn.XLOOKUP(ENTRADAS[[#This Row],[CODIGO]],LISTADO[CODIGOS],LISTADO[CATEGORIA]),"NO EXISTE")</f>
        <v/>
      </c>
      <c r="D2143" s="18">
        <f>IFERROR(_xlfn.XLOOKUP(ENTRADAS[[#This Row],[CODIGO]],LISTADO[CODIGOS],LISTADO[PRODUCTOS]),"NO EXISTE")</f>
        <v/>
      </c>
      <c r="E2143" s="19" t="n">
        <v>46175</v>
      </c>
      <c r="F2143" s="18" t="n">
        <v>10</v>
      </c>
      <c r="G2143" s="18" t="inlineStr">
        <is>
          <t>INGRESO</t>
        </is>
      </c>
      <c r="H2143" s="1" t="inlineStr">
        <is>
          <t>CENTER MARK</t>
        </is>
      </c>
      <c r="I2143" s="45" t="n"/>
      <c r="J2143" s="77" t="n">
        <v>446.41</v>
      </c>
      <c r="K2143" s="18" t="n"/>
    </row>
    <row r="2144">
      <c r="B2144" s="18" t="inlineStr">
        <is>
          <t>00041-ELE</t>
        </is>
      </c>
      <c r="C2144" s="18">
        <f>IFERROR(_xlfn.XLOOKUP(ENTRADAS[[#This Row],[CODIGO]],LISTADO[CODIGOS],LISTADO[CATEGORIA]),"NO EXISTE")</f>
        <v/>
      </c>
      <c r="D2144" s="18">
        <f>IFERROR(_xlfn.XLOOKUP(ENTRADAS[[#This Row],[CODIGO]],LISTADO[CODIGOS],LISTADO[PRODUCTOS]),"NO EXISTE")</f>
        <v/>
      </c>
      <c r="E2144" s="19" t="n">
        <v>46175</v>
      </c>
      <c r="F2144" s="18" t="n">
        <v>10</v>
      </c>
      <c r="G2144" s="18" t="inlineStr">
        <is>
          <t>INGRESO</t>
        </is>
      </c>
      <c r="H2144" s="1" t="inlineStr">
        <is>
          <t>CENTER MARK</t>
        </is>
      </c>
      <c r="I2144" s="45" t="n"/>
      <c r="J2144" s="77" t="n">
        <v>2231.9</v>
      </c>
      <c r="K2144" s="18" t="n"/>
    </row>
    <row r="2145">
      <c r="B2145" s="18" t="inlineStr">
        <is>
          <t>00029-MSC</t>
        </is>
      </c>
      <c r="C2145" s="18">
        <f>IFERROR(_xlfn.XLOOKUP(ENTRADAS[[#This Row],[CODIGO]],LISTADO[CODIGOS],LISTADO[CATEGORIA]),"NO EXISTE")</f>
        <v/>
      </c>
      <c r="D2145" s="18">
        <f>IFERROR(_xlfn.XLOOKUP(ENTRADAS[[#This Row],[CODIGO]],LISTADO[CODIGOS],LISTADO[PRODUCTOS]),"NO EXISTE")</f>
        <v/>
      </c>
      <c r="E2145" s="19" t="n">
        <v>46172</v>
      </c>
      <c r="F2145" s="18" t="n">
        <v>2</v>
      </c>
      <c r="G2145" s="18" t="inlineStr">
        <is>
          <t>INGRESO</t>
        </is>
      </c>
      <c r="H2145" s="1" t="inlineStr">
        <is>
          <t>FERRETERIA EPA</t>
        </is>
      </c>
      <c r="I2145" s="45" t="n"/>
      <c r="J2145" s="77" t="n">
        <v>12474.66</v>
      </c>
      <c r="K2145" s="18" t="n"/>
    </row>
    <row r="2146">
      <c r="B2146" s="18" t="inlineStr">
        <is>
          <t>00021-LIM</t>
        </is>
      </c>
      <c r="C2146" s="18">
        <f>IFERROR(_xlfn.XLOOKUP(ENTRADAS[[#This Row],[CODIGO]],LISTADO[CODIGOS],LISTADO[CATEGORIA]),"NO EXISTE")</f>
        <v/>
      </c>
      <c r="D2146" s="18">
        <f>IFERROR(_xlfn.XLOOKUP(ENTRADAS[[#This Row],[CODIGO]],LISTADO[CODIGOS],LISTADO[PRODUCTOS]),"NO EXISTE")</f>
        <v/>
      </c>
      <c r="E2146" s="19" t="n">
        <v>46171</v>
      </c>
      <c r="F2146" s="18" t="n">
        <v>1</v>
      </c>
      <c r="G2146" s="18" t="inlineStr">
        <is>
          <t>INGRESO</t>
        </is>
      </c>
      <c r="H2146" s="1" t="inlineStr">
        <is>
          <t>CENTER MARK</t>
        </is>
      </c>
      <c r="I2146" s="45" t="n"/>
      <c r="J2146" s="77" t="n">
        <v>3296.21</v>
      </c>
      <c r="K2146" s="18" t="n"/>
    </row>
    <row r="2147">
      <c r="B2147" s="18" t="inlineStr">
        <is>
          <t>00086-PLM</t>
        </is>
      </c>
      <c r="C2147" s="18">
        <f>IFERROR(_xlfn.XLOOKUP(ENTRADAS[[#This Row],[CODIGO]],LISTADO[CODIGOS],LISTADO[CATEGORIA]),"NO EXISTE")</f>
        <v/>
      </c>
      <c r="D2147" s="18">
        <f>IFERROR(_xlfn.XLOOKUP(ENTRADAS[[#This Row],[CODIGO]],LISTADO[CODIGOS],LISTADO[PRODUCTOS]),"NO EXISTE")</f>
        <v/>
      </c>
      <c r="E2147" s="19" t="n">
        <v>46171</v>
      </c>
      <c r="F2147" s="18" t="n">
        <v>1</v>
      </c>
      <c r="G2147" s="18" t="inlineStr">
        <is>
          <t>INGRESO</t>
        </is>
      </c>
      <c r="H2147" s="1" t="inlineStr">
        <is>
          <t>CENTER MARK</t>
        </is>
      </c>
      <c r="I2147" s="45" t="n"/>
      <c r="J2147" s="77" t="n">
        <v>3021.55</v>
      </c>
      <c r="K2147" s="18" t="n"/>
    </row>
    <row r="2148">
      <c r="B2148" s="56" t="inlineStr">
        <is>
          <t>00066-FER</t>
        </is>
      </c>
      <c r="C2148" s="18">
        <f>IFERROR(_xlfn.XLOOKUP(ENTRADAS[[#This Row],[CODIGO]],LISTADO[CODIGOS],LISTADO[CATEGORIA]),"NO EXISTE")</f>
        <v/>
      </c>
      <c r="D2148" s="18">
        <f>IFERROR(_xlfn.XLOOKUP(ENTRADAS[[#This Row],[CODIGO]],LISTADO[CODIGOS],LISTADO[PRODUCTOS]),"NO EXISTE")</f>
        <v/>
      </c>
      <c r="E2148" s="19" t="n">
        <v>46171</v>
      </c>
      <c r="F2148" s="18" t="n">
        <v>2</v>
      </c>
      <c r="G2148" s="18" t="inlineStr">
        <is>
          <t>INGRESO</t>
        </is>
      </c>
      <c r="H2148" s="1" t="inlineStr">
        <is>
          <t>CENTER MARK</t>
        </is>
      </c>
      <c r="I2148" s="45" t="n"/>
      <c r="J2148" s="77" t="inlineStr">
        <is>
          <t>12,086,13</t>
        </is>
      </c>
      <c r="K2148" s="18" t="n"/>
    </row>
    <row r="2149">
      <c r="B2149" s="56" t="inlineStr">
        <is>
          <t>00005-ELE</t>
        </is>
      </c>
      <c r="C2149" s="18">
        <f>IFERROR(_xlfn.XLOOKUP(ENTRADAS[[#This Row],[CODIGO]],LISTADO[CODIGOS],LISTADO[CATEGORIA]),"NO EXISTE")</f>
        <v/>
      </c>
      <c r="D2149" s="18">
        <f>IFERROR(_xlfn.XLOOKUP(ENTRADAS[[#This Row],[CODIGO]],LISTADO[CODIGOS],LISTADO[PRODUCTOS]),"NO EXISTE")</f>
        <v/>
      </c>
      <c r="E2149" s="19" t="n">
        <v>45813</v>
      </c>
      <c r="F2149" s="18" t="n">
        <v>5</v>
      </c>
      <c r="G2149" s="18" t="inlineStr">
        <is>
          <t>INGRESO</t>
        </is>
      </c>
      <c r="H2149" s="1" t="inlineStr">
        <is>
          <t>R.O.C.A</t>
        </is>
      </c>
      <c r="I2149" s="45" t="n">
        <v>12.14</v>
      </c>
      <c r="J2149" s="77" t="n"/>
      <c r="K2149" s="18" t="n"/>
    </row>
    <row r="2150">
      <c r="B2150" s="56" t="inlineStr">
        <is>
          <t>00009-ELE</t>
        </is>
      </c>
      <c r="C2150" s="18">
        <f>IFERROR(_xlfn.XLOOKUP(ENTRADAS[[#This Row],[CODIGO]],LISTADO[CODIGOS],LISTADO[CATEGORIA]),"NO EXISTE")</f>
        <v/>
      </c>
      <c r="D2150" s="18">
        <f>IFERROR(_xlfn.XLOOKUP(ENTRADAS[[#This Row],[CODIGO]],LISTADO[CODIGOS],LISTADO[PRODUCTOS]),"NO EXISTE")</f>
        <v/>
      </c>
      <c r="E2150" s="19" t="n">
        <v>45813</v>
      </c>
      <c r="F2150" s="18" t="n">
        <v>5</v>
      </c>
      <c r="G2150" s="18" t="inlineStr">
        <is>
          <t>INGRESO</t>
        </is>
      </c>
      <c r="H2150" s="1" t="inlineStr">
        <is>
          <t>R.O.C.A</t>
        </is>
      </c>
      <c r="I2150" s="45" t="n">
        <v>22.94</v>
      </c>
      <c r="J2150" s="77" t="n"/>
      <c r="K2150" s="18" t="n"/>
    </row>
    <row r="2151">
      <c r="B2151" s="18" t="inlineStr">
        <is>
          <t>00004-ELE</t>
        </is>
      </c>
      <c r="C2151" s="18">
        <f>IFERROR(_xlfn.XLOOKUP(ENTRADAS[[#This Row],[CODIGO]],LISTADO[CODIGOS],LISTADO[CATEGORIA]),"NO EXISTE")</f>
        <v/>
      </c>
      <c r="D2151" s="18">
        <f>IFERROR(_xlfn.XLOOKUP(ENTRADAS[[#This Row],[CODIGO]],LISTADO[CODIGOS],LISTADO[PRODUCTOS]),"NO EXISTE")</f>
        <v/>
      </c>
      <c r="E2151" s="19" t="n">
        <v>45813</v>
      </c>
      <c r="F2151" s="18" t="n">
        <v>2</v>
      </c>
      <c r="G2151" s="18" t="inlineStr">
        <is>
          <t>INGRESO</t>
        </is>
      </c>
      <c r="H2151" s="1" t="inlineStr">
        <is>
          <t>R.O.C.A</t>
        </is>
      </c>
      <c r="I2151" s="45" t="n">
        <v>32.5</v>
      </c>
      <c r="J2151" s="77" t="n"/>
      <c r="K2151" s="18" t="n"/>
    </row>
    <row r="2152">
      <c r="B2152" s="18" t="inlineStr">
        <is>
          <t>00142-HER</t>
        </is>
      </c>
      <c r="C2152" s="18">
        <f>IFERROR(_xlfn.XLOOKUP(ENTRADAS[[#This Row],[CODIGO]],LISTADO[CODIGOS],LISTADO[CATEGORIA]),"NO EXISTE")</f>
        <v/>
      </c>
      <c r="D2152" s="18">
        <f>IFERROR(_xlfn.XLOOKUP(ENTRADAS[[#This Row],[CODIGO]],LISTADO[CODIGOS],LISTADO[PRODUCTOS]),"NO EXISTE")</f>
        <v/>
      </c>
      <c r="E2152" s="19" t="n">
        <v>45813</v>
      </c>
      <c r="F2152" s="18" t="n">
        <v>1</v>
      </c>
      <c r="G2152" s="18" t="inlineStr">
        <is>
          <t>INGRESO</t>
        </is>
      </c>
      <c r="H2152" s="1" t="inlineStr">
        <is>
          <t>R.O.C.A</t>
        </is>
      </c>
      <c r="I2152" s="45" t="n">
        <v>170</v>
      </c>
      <c r="J2152" s="77" t="n"/>
      <c r="K2152" s="18" t="n"/>
    </row>
    <row r="2153">
      <c r="B2153" s="18" t="inlineStr">
        <is>
          <t>00051-REF</t>
        </is>
      </c>
      <c r="C2153" s="18">
        <f>IFERROR(_xlfn.XLOOKUP(ENTRADAS[[#This Row],[CODIGO]],LISTADO[CODIGOS],LISTADO[CATEGORIA]),"NO EXISTE")</f>
        <v/>
      </c>
      <c r="D2153" s="18">
        <f>IFERROR(_xlfn.XLOOKUP(ENTRADAS[[#This Row],[CODIGO]],LISTADO[CODIGOS],LISTADO[PRODUCTOS]),"NO EXISTE")</f>
        <v/>
      </c>
      <c r="E2153" s="19" t="n">
        <v>45813</v>
      </c>
      <c r="F2153" s="18" t="n">
        <v>10</v>
      </c>
      <c r="G2153" s="18" t="inlineStr">
        <is>
          <t>INGRESO</t>
        </is>
      </c>
      <c r="H2153" s="1" t="inlineStr">
        <is>
          <t>R.O.C.A</t>
        </is>
      </c>
      <c r="I2153" s="45" t="n">
        <v>1.35</v>
      </c>
      <c r="J2153" s="77" t="n"/>
      <c r="K2153" s="18" t="n"/>
    </row>
    <row r="2154">
      <c r="B2154" s="18" t="inlineStr">
        <is>
          <t>00175-REF</t>
        </is>
      </c>
      <c r="C2154" s="18">
        <f>IFERROR(_xlfn.XLOOKUP(ENTRADAS[[#This Row],[CODIGO]],LISTADO[CODIGOS],LISTADO[CATEGORIA]),"NO EXISTE")</f>
        <v/>
      </c>
      <c r="D2154" s="18">
        <f>IFERROR(_xlfn.XLOOKUP(ENTRADAS[[#This Row],[CODIGO]],LISTADO[CODIGOS],LISTADO[PRODUCTOS]),"NO EXISTE")</f>
        <v/>
      </c>
      <c r="E2154" s="19" t="n">
        <v>45813</v>
      </c>
      <c r="F2154" s="18" t="n">
        <v>1</v>
      </c>
      <c r="G2154" s="18" t="inlineStr">
        <is>
          <t>INGRESO</t>
        </is>
      </c>
      <c r="H2154" s="1" t="inlineStr">
        <is>
          <t>R.O.C.A</t>
        </is>
      </c>
      <c r="I2154" s="45" t="n">
        <v>18</v>
      </c>
      <c r="J2154" s="77" t="n"/>
      <c r="K2154" s="18" t="n"/>
    </row>
    <row r="2155">
      <c r="B2155" s="56" t="inlineStr">
        <is>
          <t>00005-ELE</t>
        </is>
      </c>
      <c r="C2155" s="18">
        <f>IFERROR(_xlfn.XLOOKUP(ENTRADAS[[#This Row],[CODIGO]],LISTADO[CODIGOS],LISTADO[CATEGORIA]),"NO EXISTE")</f>
        <v/>
      </c>
      <c r="D2155" s="18">
        <f>IFERROR(_xlfn.XLOOKUP(ENTRADAS[[#This Row],[CODIGO]],LISTADO[CODIGOS],LISTADO[PRODUCTOS]),"NO EXISTE")</f>
        <v/>
      </c>
      <c r="E2155" s="19" t="n">
        <v>45800</v>
      </c>
      <c r="F2155" s="18" t="n">
        <v>6</v>
      </c>
      <c r="G2155" s="18" t="inlineStr">
        <is>
          <t>INGRESO</t>
        </is>
      </c>
      <c r="H2155" s="1" t="inlineStr">
        <is>
          <t>R.O.C.A</t>
        </is>
      </c>
      <c r="I2155" s="45" t="n">
        <v>13.76</v>
      </c>
      <c r="J2155" s="77" t="n"/>
      <c r="K2155" s="18" t="n"/>
    </row>
    <row r="2156">
      <c r="B2156" s="56" t="inlineStr">
        <is>
          <t>00006-ELE</t>
        </is>
      </c>
      <c r="C2156" s="18">
        <f>IFERROR(_xlfn.XLOOKUP(ENTRADAS[[#This Row],[CODIGO]],LISTADO[CODIGOS],LISTADO[CATEGORIA]),"NO EXISTE")</f>
        <v/>
      </c>
      <c r="D2156" s="18">
        <f>IFERROR(_xlfn.XLOOKUP(ENTRADAS[[#This Row],[CODIGO]],LISTADO[CODIGOS],LISTADO[PRODUCTOS]),"NO EXISTE")</f>
        <v/>
      </c>
      <c r="E2156" s="19" t="n">
        <v>45800</v>
      </c>
      <c r="F2156" s="18" t="n">
        <v>3</v>
      </c>
      <c r="G2156" s="18" t="inlineStr">
        <is>
          <t>INGRESO</t>
        </is>
      </c>
      <c r="H2156" s="1" t="inlineStr">
        <is>
          <t>R.O.C.A</t>
        </is>
      </c>
      <c r="I2156" s="45" t="n">
        <v>16.76</v>
      </c>
      <c r="J2156" s="77" t="n"/>
      <c r="K2156" s="18" t="n"/>
    </row>
    <row r="2157">
      <c r="B2157" s="56" t="inlineStr">
        <is>
          <t>00112-ELE</t>
        </is>
      </c>
      <c r="C2157" s="18">
        <f>IFERROR(_xlfn.XLOOKUP(ENTRADAS[[#This Row],[CODIGO]],LISTADO[CODIGOS],LISTADO[CATEGORIA]),"NO EXISTE")</f>
        <v/>
      </c>
      <c r="D2157" s="18">
        <f>IFERROR(_xlfn.XLOOKUP(ENTRADAS[[#This Row],[CODIGO]],LISTADO[CODIGOS],LISTADO[PRODUCTOS]),"NO EXISTE")</f>
        <v/>
      </c>
      <c r="E2157" s="19" t="n">
        <v>45800</v>
      </c>
      <c r="F2157" s="18" t="n">
        <v>6</v>
      </c>
      <c r="G2157" s="18" t="inlineStr">
        <is>
          <t>INGRESO</t>
        </is>
      </c>
      <c r="H2157" s="1" t="inlineStr">
        <is>
          <t>R.O.C.A</t>
        </is>
      </c>
      <c r="I2157" s="45" t="n">
        <v>24.77</v>
      </c>
      <c r="J2157" s="77" t="n"/>
      <c r="K2157" s="18" t="n"/>
    </row>
    <row r="2158">
      <c r="B2158" s="56" t="inlineStr">
        <is>
          <t>00132-ELE</t>
        </is>
      </c>
      <c r="C2158" s="18">
        <f>IFERROR(_xlfn.XLOOKUP(ENTRADAS[[#This Row],[CODIGO]],LISTADO[CODIGOS],LISTADO[CATEGORIA]),"NO EXISTE")</f>
        <v/>
      </c>
      <c r="D2158" s="18">
        <f>IFERROR(_xlfn.XLOOKUP(ENTRADAS[[#This Row],[CODIGO]],LISTADO[CODIGOS],LISTADO[PRODUCTOS]),"NO EXISTE")</f>
        <v/>
      </c>
      <c r="E2158" s="19" t="n">
        <v>45790</v>
      </c>
      <c r="F2158" s="18" t="n">
        <v>2</v>
      </c>
      <c r="G2158" s="18" t="inlineStr">
        <is>
          <t>INGRESO</t>
        </is>
      </c>
      <c r="H2158" s="1" t="inlineStr">
        <is>
          <t>CAMPOS ELECTRICOS, C.A.</t>
        </is>
      </c>
      <c r="I2158" s="45" t="n">
        <v>30</v>
      </c>
      <c r="J2158" s="77" t="n"/>
      <c r="K2158" s="18" t="n"/>
    </row>
    <row r="2159">
      <c r="B2159" s="56" t="inlineStr">
        <is>
          <t>00001-ELE</t>
        </is>
      </c>
      <c r="C2159" s="18">
        <f>IFERROR(_xlfn.XLOOKUP(ENTRADAS[[#This Row],[CODIGO]],LISTADO[CODIGOS],LISTADO[CATEGORIA]),"NO EXISTE")</f>
        <v/>
      </c>
      <c r="D2159" s="18">
        <f>IFERROR(_xlfn.XLOOKUP(ENTRADAS[[#This Row],[CODIGO]],LISTADO[CODIGOS],LISTADO[PRODUCTOS]),"NO EXISTE")</f>
        <v/>
      </c>
      <c r="E2159" s="19" t="n">
        <v>45790</v>
      </c>
      <c r="F2159" s="18" t="n">
        <v>17</v>
      </c>
      <c r="G2159" s="18" t="inlineStr">
        <is>
          <t>INGRESO</t>
        </is>
      </c>
      <c r="H2159" s="1" t="inlineStr">
        <is>
          <t>CAMPOS ELECTRICOS, C.A.</t>
        </is>
      </c>
      <c r="I2159" s="45" t="n">
        <v>0.8</v>
      </c>
      <c r="J2159" s="77" t="n"/>
      <c r="K2159" s="18" t="n"/>
    </row>
    <row r="2160">
      <c r="B2160" s="18" t="inlineStr">
        <is>
          <t>00153-FER</t>
        </is>
      </c>
      <c r="C2160" s="18">
        <f>IFERROR(_xlfn.XLOOKUP(ENTRADAS[[#This Row],[CODIGO]],LISTADO[CODIGOS],LISTADO[CATEGORIA]),"NO EXISTE")</f>
        <v/>
      </c>
      <c r="D2160" s="18">
        <f>IFERROR(_xlfn.XLOOKUP(ENTRADAS[[#This Row],[CODIGO]],LISTADO[CODIGOS],LISTADO[PRODUCTOS]),"NO EXISTE")</f>
        <v/>
      </c>
      <c r="E2160" s="19" t="n">
        <v>46174</v>
      </c>
      <c r="F2160" s="18" t="n">
        <v>17</v>
      </c>
      <c r="G2160" s="18" t="inlineStr">
        <is>
          <t>INGRESO</t>
        </is>
      </c>
      <c r="H2160" s="1" t="inlineStr">
        <is>
          <t>CENTER MARK</t>
        </is>
      </c>
      <c r="I2160" s="45" t="n"/>
      <c r="J2160" s="77" t="n">
        <v>277.19</v>
      </c>
      <c r="K2160" s="18" t="n"/>
    </row>
    <row r="2161">
      <c r="B2161" s="18" t="inlineStr">
        <is>
          <t>00141-FER</t>
        </is>
      </c>
      <c r="C2161" s="18">
        <f>IFERROR(_xlfn.XLOOKUP(ENTRADAS[[#This Row],[CODIGO]],LISTADO[CODIGOS],LISTADO[CATEGORIA]),"NO EXISTE")</f>
        <v/>
      </c>
      <c r="D2161" s="18">
        <f>IFERROR(_xlfn.XLOOKUP(ENTRADAS[[#This Row],[CODIGO]],LISTADO[CODIGOS],LISTADO[PRODUCTOS]),"NO EXISTE")</f>
        <v/>
      </c>
      <c r="E2161" s="19" t="n">
        <v>46174</v>
      </c>
      <c r="F2161" s="18" t="n">
        <v>20</v>
      </c>
      <c r="G2161" s="18" t="inlineStr">
        <is>
          <t>INGRESO</t>
        </is>
      </c>
      <c r="H2161" s="1" t="inlineStr">
        <is>
          <t>CENTER MARK</t>
        </is>
      </c>
      <c r="I2161" s="45" t="n"/>
      <c r="J2161" s="77" t="n">
        <v>720.77</v>
      </c>
      <c r="K2161" s="18" t="n"/>
    </row>
    <row r="2162">
      <c r="B2162" s="18" t="inlineStr">
        <is>
          <t>00230-FER</t>
        </is>
      </c>
      <c r="C2162" s="18">
        <f>IFERROR(_xlfn.XLOOKUP(ENTRADAS[[#This Row],[CODIGO]],LISTADO[CODIGOS],LISTADO[CATEGORIA]),"NO EXISTE")</f>
        <v/>
      </c>
      <c r="D2162" s="18">
        <f>IFERROR(_xlfn.XLOOKUP(ENTRADAS[[#This Row],[CODIGO]],LISTADO[CODIGOS],LISTADO[PRODUCTOS]),"NO EXISTE")</f>
        <v/>
      </c>
      <c r="E2162" s="19" t="n">
        <v>46174</v>
      </c>
      <c r="F2162" s="18" t="n">
        <v>4</v>
      </c>
      <c r="G2162" s="18" t="inlineStr">
        <is>
          <t>INGRESO</t>
        </is>
      </c>
      <c r="H2162" s="1" t="inlineStr">
        <is>
          <t>CENTER MARK</t>
        </is>
      </c>
      <c r="I2162" s="45" t="n"/>
      <c r="J2162" s="77" t="n">
        <v>1940.48</v>
      </c>
      <c r="K2162" s="18" t="n"/>
    </row>
    <row r="2163">
      <c r="B2163" s="56" t="inlineStr">
        <is>
          <t>00120-FER</t>
        </is>
      </c>
      <c r="C2163" s="18">
        <f>IFERROR(_xlfn.XLOOKUP(ENTRADAS[[#This Row],[CODIGO]],LISTADO[CODIGOS],LISTADO[CATEGORIA]),"NO EXISTE")</f>
        <v/>
      </c>
      <c r="D2163" s="18">
        <f>IFERROR(_xlfn.XLOOKUP(ENTRADAS[[#This Row],[CODIGO]],LISTADO[CODIGOS],LISTADO[PRODUCTOS]),"NO EXISTE")</f>
        <v/>
      </c>
      <c r="E2163" s="19" t="n">
        <v>46174</v>
      </c>
      <c r="F2163" s="18" t="n">
        <v>20</v>
      </c>
      <c r="G2163" s="18" t="inlineStr">
        <is>
          <t>INGRESO</t>
        </is>
      </c>
      <c r="H2163" s="1" t="inlineStr">
        <is>
          <t>CENTER MARK</t>
        </is>
      </c>
      <c r="I2163" s="45" t="n"/>
      <c r="J2163" s="77" t="n">
        <v>55.44</v>
      </c>
      <c r="K2163" s="18" t="n"/>
    </row>
    <row r="2164">
      <c r="B2164" s="18" t="inlineStr">
        <is>
          <t>00266-FER</t>
        </is>
      </c>
      <c r="C2164" s="18">
        <f>IFERROR(_xlfn.XLOOKUP(ENTRADAS[[#This Row],[CODIGO]],LISTADO[CODIGOS],LISTADO[CATEGORIA]),"NO EXISTE")</f>
        <v/>
      </c>
      <c r="D2164" s="18">
        <f>IFERROR(_xlfn.XLOOKUP(ENTRADAS[[#This Row],[CODIGO]],LISTADO[CODIGOS],LISTADO[PRODUCTOS]),"NO EXISTE")</f>
        <v/>
      </c>
      <c r="E2164" s="19" t="n">
        <v>46174</v>
      </c>
      <c r="F2164" s="18" t="n">
        <v>20</v>
      </c>
      <c r="G2164" s="18" t="inlineStr">
        <is>
          <t>INGRESO</t>
        </is>
      </c>
      <c r="H2164" s="1" t="inlineStr">
        <is>
          <t>CENTER MARK</t>
        </is>
      </c>
      <c r="I2164" s="45" t="n"/>
      <c r="J2164" s="77" t="n">
        <v>27.72</v>
      </c>
      <c r="K2164" s="18" t="n"/>
    </row>
    <row r="2165">
      <c r="B2165" s="18" t="inlineStr">
        <is>
          <t>00086-ELC</t>
        </is>
      </c>
      <c r="C2165" s="18">
        <f>IFERROR(_xlfn.XLOOKUP(ENTRADAS[[#This Row],[CODIGO]],LISTADO[CODIGOS],LISTADO[CATEGORIA]),"NO EXISTE")</f>
        <v/>
      </c>
      <c r="D2165" s="18">
        <f>IFERROR(_xlfn.XLOOKUP(ENTRADAS[[#This Row],[CODIGO]],LISTADO[CODIGOS],LISTADO[PRODUCTOS]),"NO EXISTE")</f>
        <v/>
      </c>
      <c r="E2165" s="19" t="n">
        <v>46174</v>
      </c>
      <c r="F2165" s="18" t="n">
        <v>3</v>
      </c>
      <c r="G2165" s="18" t="inlineStr">
        <is>
          <t>INGRESO</t>
        </is>
      </c>
      <c r="H2165" s="1" t="inlineStr">
        <is>
          <t>ROCCIA DE VENEZUELA</t>
        </is>
      </c>
      <c r="I2165" s="45" t="n">
        <v>42</v>
      </c>
      <c r="J2165" s="77" t="n"/>
      <c r="K2165" s="18" t="n"/>
    </row>
    <row r="2166">
      <c r="B2166" s="56" t="inlineStr">
        <is>
          <t>00107-HER</t>
        </is>
      </c>
      <c r="C2166" s="18">
        <f>IFERROR(_xlfn.XLOOKUP(ENTRADAS[[#This Row],[CODIGO]],LISTADO[CODIGOS],LISTADO[CATEGORIA]),"NO EXISTE")</f>
        <v/>
      </c>
      <c r="D2166" s="18">
        <f>IFERROR(_xlfn.XLOOKUP(ENTRADAS[[#This Row],[CODIGO]],LISTADO[CODIGOS],LISTADO[PRODUCTOS]),"NO EXISTE")</f>
        <v/>
      </c>
      <c r="E2166" s="19" t="n">
        <v>46174</v>
      </c>
      <c r="F2166" s="18" t="n">
        <v>1</v>
      </c>
      <c r="G2166" s="18" t="inlineStr">
        <is>
          <t>INGRESO</t>
        </is>
      </c>
      <c r="H2166" s="1" t="inlineStr">
        <is>
          <t>CENTER MARK</t>
        </is>
      </c>
      <c r="I2166" s="45" t="n"/>
      <c r="J2166" s="77" t="n">
        <v>831.64</v>
      </c>
      <c r="K2166" s="18" t="n"/>
    </row>
    <row r="2167">
      <c r="B2167" s="56" t="inlineStr">
        <is>
          <t>00083-FER</t>
        </is>
      </c>
      <c r="C2167" s="18">
        <f>IFERROR(_xlfn.XLOOKUP(ENTRADAS[[#This Row],[CODIGO]],LISTADO[CODIGOS],LISTADO[CATEGORIA]),"NO EXISTE")</f>
        <v/>
      </c>
      <c r="D2167" s="18">
        <f>IFERROR(_xlfn.XLOOKUP(ENTRADAS[[#This Row],[CODIGO]],LISTADO[CODIGOS],LISTADO[PRODUCTOS]),"NO EXISTE")</f>
        <v/>
      </c>
      <c r="E2167" s="19" t="n">
        <v>46534</v>
      </c>
      <c r="F2167" s="18" t="n">
        <v>18</v>
      </c>
      <c r="G2167" s="18" t="inlineStr">
        <is>
          <t>INGRESO</t>
        </is>
      </c>
      <c r="H2167" s="1" t="inlineStr">
        <is>
          <t>FERREACEVAL, C.A</t>
        </is>
      </c>
      <c r="I2167" s="45" t="n"/>
      <c r="J2167" s="77" t="n">
        <v>220.1</v>
      </c>
      <c r="K2167" s="18" t="n"/>
    </row>
    <row r="2168">
      <c r="B2168" s="56" t="inlineStr">
        <is>
          <t>00084-FER</t>
        </is>
      </c>
      <c r="C2168" s="18">
        <f>IFERROR(_xlfn.XLOOKUP(ENTRADAS[[#This Row],[CODIGO]],LISTADO[CODIGOS],LISTADO[CATEGORIA]),"NO EXISTE")</f>
        <v/>
      </c>
      <c r="D2168" s="18">
        <f>IFERROR(_xlfn.XLOOKUP(ENTRADAS[[#This Row],[CODIGO]],LISTADO[CODIGOS],LISTADO[PRODUCTOS]),"NO EXISTE")</f>
        <v/>
      </c>
      <c r="E2168" s="19" t="n">
        <v>46534</v>
      </c>
      <c r="F2168" s="18" t="n">
        <v>200</v>
      </c>
      <c r="G2168" s="18" t="inlineStr">
        <is>
          <t>INGRESO</t>
        </is>
      </c>
      <c r="H2168" s="1" t="inlineStr">
        <is>
          <t>FERREACEVAL, C.A</t>
        </is>
      </c>
      <c r="I2168" s="45" t="n"/>
      <c r="J2168" s="77" t="n">
        <v>127.8</v>
      </c>
      <c r="K2168" s="18" t="n"/>
    </row>
    <row r="2169">
      <c r="B2169" s="18" t="inlineStr">
        <is>
          <t>00078-ELC</t>
        </is>
      </c>
      <c r="C2169" s="18">
        <f>IFERROR(_xlfn.XLOOKUP(ENTRADAS[[#This Row],[CODIGO]],LISTADO[CODIGOS],LISTADO[CATEGORIA]),"NO EXISTE")</f>
        <v/>
      </c>
      <c r="D2169" s="18">
        <f>IFERROR(_xlfn.XLOOKUP(ENTRADAS[[#This Row],[CODIGO]],LISTADO[CODIGOS],LISTADO[PRODUCTOS]),"NO EXISTE")</f>
        <v/>
      </c>
      <c r="E2169" s="19" t="n">
        <v>46161</v>
      </c>
      <c r="F2169" s="18" t="n">
        <v>2</v>
      </c>
      <c r="G2169" s="18" t="inlineStr">
        <is>
          <t>INGRESO</t>
        </is>
      </c>
      <c r="H2169" s="1" t="inlineStr">
        <is>
          <t>ROCCIA DE VENEZUELA</t>
        </is>
      </c>
      <c r="I2169" s="45" t="n">
        <v>57</v>
      </c>
      <c r="J2169" s="77" t="n"/>
      <c r="K2169" s="18" t="n"/>
    </row>
    <row r="2170">
      <c r="B2170" s="56" t="inlineStr">
        <is>
          <t>00083-FER</t>
        </is>
      </c>
      <c r="C2170" s="18">
        <f>IFERROR(_xlfn.XLOOKUP(ENTRADAS[[#This Row],[CODIGO]],LISTADO[CODIGOS],LISTADO[CATEGORIA]),"NO EXISTE")</f>
        <v/>
      </c>
      <c r="D2170" s="18">
        <f>IFERROR(_xlfn.XLOOKUP(ENTRADAS[[#This Row],[CODIGO]],LISTADO[CODIGOS],LISTADO[PRODUCTOS]),"NO EXISTE")</f>
        <v/>
      </c>
      <c r="E2170" s="19" t="n">
        <v>46160</v>
      </c>
      <c r="F2170" s="18" t="n">
        <v>382</v>
      </c>
      <c r="G2170" s="18" t="inlineStr">
        <is>
          <t>INGRESO</t>
        </is>
      </c>
      <c r="H2170" s="1" t="inlineStr">
        <is>
          <t>FERREACEVAL, C.A</t>
        </is>
      </c>
      <c r="I2170" s="45" t="n"/>
      <c r="J2170" s="77" t="n">
        <v>229.4</v>
      </c>
      <c r="K2170" s="18" t="n"/>
    </row>
    <row r="2171">
      <c r="B2171" s="56" t="inlineStr">
        <is>
          <t>00084-FER</t>
        </is>
      </c>
      <c r="C2171" s="18">
        <f>IFERROR(_xlfn.XLOOKUP(ENTRADAS[[#This Row],[CODIGO]],LISTADO[CODIGOS],LISTADO[CATEGORIA]),"NO EXISTE")</f>
        <v/>
      </c>
      <c r="D2171" s="18">
        <f>IFERROR(_xlfn.XLOOKUP(ENTRADAS[[#This Row],[CODIGO]],LISTADO[CODIGOS],LISTADO[PRODUCTOS]),"NO EXISTE")</f>
        <v/>
      </c>
      <c r="E2171" s="19" t="n">
        <v>46160</v>
      </c>
      <c r="F2171" s="18" t="n">
        <v>400</v>
      </c>
      <c r="G2171" s="18" t="inlineStr">
        <is>
          <t>INGRESO</t>
        </is>
      </c>
      <c r="H2171" s="1" t="inlineStr">
        <is>
          <t>FERREACEVAL, C.A</t>
        </is>
      </c>
      <c r="I2171" s="45" t="n"/>
      <c r="J2171" s="77" t="n">
        <v>133.2</v>
      </c>
      <c r="K2171" s="18" t="n"/>
    </row>
    <row r="2172">
      <c r="B2172" s="56" t="inlineStr">
        <is>
          <t>00006-FER</t>
        </is>
      </c>
      <c r="C2172" s="18">
        <f>IFERROR(_xlfn.XLOOKUP(ENTRADAS[[#This Row],[CODIGO]],LISTADO[CODIGOS],LISTADO[CATEGORIA]),"NO EXISTE")</f>
        <v/>
      </c>
      <c r="D2172" s="18">
        <f>IFERROR(_xlfn.XLOOKUP(ENTRADAS[[#This Row],[CODIGO]],LISTADO[CODIGOS],LISTADO[PRODUCTOS]),"NO EXISTE")</f>
        <v/>
      </c>
      <c r="E2172" s="19" t="n">
        <v>46195</v>
      </c>
      <c r="F2172" s="18" t="n">
        <v>50</v>
      </c>
      <c r="G2172" s="18" t="inlineStr">
        <is>
          <t>INGRESO</t>
        </is>
      </c>
      <c r="H2172" s="1" t="inlineStr">
        <is>
          <t>FILOTORCA</t>
        </is>
      </c>
      <c r="I2172" s="45" t="n"/>
      <c r="J2172" s="77" t="n">
        <v>0.73</v>
      </c>
      <c r="K2172" s="18" t="n"/>
    </row>
    <row r="2173">
      <c r="B2173" s="56" t="inlineStr">
        <is>
          <t>00002-FER</t>
        </is>
      </c>
      <c r="C2173" s="18">
        <f>IFERROR(_xlfn.XLOOKUP(ENTRADAS[[#This Row],[CODIGO]],LISTADO[CODIGOS],LISTADO[CATEGORIA]),"NO EXISTE")</f>
        <v/>
      </c>
      <c r="D2173" s="18">
        <f>IFERROR(_xlfn.XLOOKUP(ENTRADAS[[#This Row],[CODIGO]],LISTADO[CODIGOS],LISTADO[PRODUCTOS]),"NO EXISTE")</f>
        <v/>
      </c>
      <c r="G2173" s="18" t="inlineStr">
        <is>
          <t>INGRESO</t>
        </is>
      </c>
      <c r="I2173" s="45" t="n"/>
      <c r="J2173" s="77" t="n"/>
      <c r="K2173" s="18" t="n"/>
    </row>
    <row r="2174">
      <c r="B2174" s="18" t="inlineStr">
        <is>
          <t>00176-REF</t>
        </is>
      </c>
      <c r="C2174" s="18">
        <f>IFERROR(_xlfn.XLOOKUP(ENTRADAS[[#This Row],[CODIGO]],LISTADO[CODIGOS],LISTADO[CATEGORIA]),"NO EXISTE")</f>
        <v/>
      </c>
      <c r="D2174" s="18">
        <f>IFERROR(_xlfn.XLOOKUP(ENTRADAS[[#This Row],[CODIGO]],LISTADO[CODIGOS],LISTADO[PRODUCTOS]),"NO EXISTE")</f>
        <v/>
      </c>
      <c r="E2174" s="19" t="n">
        <v>46199</v>
      </c>
      <c r="F2174" s="18" t="n">
        <v>1</v>
      </c>
      <c r="G2174" s="18" t="inlineStr">
        <is>
          <t>INGRESO</t>
        </is>
      </c>
      <c r="H2174" s="1" t="inlineStr">
        <is>
          <t>CLIDAIR, C.A.</t>
        </is>
      </c>
      <c r="I2174" s="45" t="n"/>
      <c r="J2174" s="77" t="n">
        <v>21840</v>
      </c>
      <c r="K2174" s="18" t="n"/>
    </row>
    <row r="2175">
      <c r="B2175" s="18" t="inlineStr">
        <is>
          <t>00020-MSC</t>
        </is>
      </c>
      <c r="C2175" s="18">
        <f>IFERROR(_xlfn.XLOOKUP(ENTRADAS[[#This Row],[CODIGO]],LISTADO[CODIGOS],LISTADO[CATEGORIA]),"NO EXISTE")</f>
        <v/>
      </c>
      <c r="D2175" s="18">
        <f>IFERROR(_xlfn.XLOOKUP(ENTRADAS[[#This Row],[CODIGO]],LISTADO[CODIGOS],LISTADO[PRODUCTOS]),"NO EXISTE")</f>
        <v/>
      </c>
      <c r="E2175" s="19" t="n">
        <v>46198</v>
      </c>
      <c r="F2175" s="18" t="n">
        <v>10</v>
      </c>
      <c r="G2175" s="18" t="inlineStr">
        <is>
          <t>INGRESO</t>
        </is>
      </c>
      <c r="H2175" s="1" t="inlineStr">
        <is>
          <t>MUNDO TAMANACO</t>
        </is>
      </c>
      <c r="I2175" s="45" t="n">
        <v>5</v>
      </c>
      <c r="J2175" s="77" t="n"/>
      <c r="K2175" s="18" t="n"/>
    </row>
    <row r="2176">
      <c r="B2176" s="56" t="inlineStr">
        <is>
          <t>00003-LIM</t>
        </is>
      </c>
      <c r="C2176" s="18">
        <f>IFERROR(_xlfn.XLOOKUP(ENTRADAS[[#This Row],[CODIGO]],LISTADO[CODIGOS],LISTADO[CATEGORIA]),"NO EXISTE")</f>
        <v/>
      </c>
      <c r="D2176" s="18">
        <f>IFERROR(_xlfn.XLOOKUP(ENTRADAS[[#This Row],[CODIGO]],LISTADO[CODIGOS],LISTADO[PRODUCTOS]),"NO EXISTE")</f>
        <v/>
      </c>
      <c r="E2176" s="19" t="n">
        <v>46198</v>
      </c>
      <c r="F2176" s="18" t="n">
        <v>10</v>
      </c>
      <c r="G2176" s="18" t="inlineStr">
        <is>
          <t>INGRESO</t>
        </is>
      </c>
      <c r="H2176" s="1" t="inlineStr">
        <is>
          <t>MUNDO TAMANACO</t>
        </is>
      </c>
      <c r="I2176" s="45" t="n">
        <v>2.3</v>
      </c>
      <c r="J2176" s="77" t="n"/>
      <c r="K2176" s="18" t="n"/>
    </row>
    <row r="2177">
      <c r="B2177" s="56" t="inlineStr">
        <is>
          <t>00005-LIM</t>
        </is>
      </c>
      <c r="C2177" s="18">
        <f>IFERROR(_xlfn.XLOOKUP(ENTRADAS[[#This Row],[CODIGO]],LISTADO[CODIGOS],LISTADO[CATEGORIA]),"NO EXISTE")</f>
        <v/>
      </c>
      <c r="D2177" s="18">
        <f>IFERROR(_xlfn.XLOOKUP(ENTRADAS[[#This Row],[CODIGO]],LISTADO[CODIGOS],LISTADO[PRODUCTOS]),"NO EXISTE")</f>
        <v/>
      </c>
      <c r="E2177" s="19" t="n">
        <v>46198</v>
      </c>
      <c r="F2177" s="18" t="n">
        <v>12</v>
      </c>
      <c r="G2177" s="18" t="inlineStr">
        <is>
          <t>INGRESO</t>
        </is>
      </c>
      <c r="H2177" s="1" t="inlineStr">
        <is>
          <t>MUNDO TAMANACO</t>
        </is>
      </c>
      <c r="I2177" s="45" t="n">
        <v>2.5</v>
      </c>
      <c r="J2177" s="77" t="n"/>
      <c r="K2177" s="18" t="n"/>
    </row>
    <row r="2178">
      <c r="B2178" s="56" t="inlineStr">
        <is>
          <t>00001-LIM</t>
        </is>
      </c>
      <c r="C2178" s="18">
        <f>IFERROR(_xlfn.XLOOKUP(ENTRADAS[[#This Row],[CODIGO]],LISTADO[CODIGOS],LISTADO[CATEGORIA]),"NO EXISTE")</f>
        <v/>
      </c>
      <c r="D2178" s="18">
        <f>IFERROR(_xlfn.XLOOKUP(ENTRADAS[[#This Row],[CODIGO]],LISTADO[CODIGOS],LISTADO[PRODUCTOS]),"NO EXISTE")</f>
        <v/>
      </c>
      <c r="E2178" s="19" t="n">
        <v>46198</v>
      </c>
      <c r="F2178" s="18" t="n">
        <v>36</v>
      </c>
      <c r="G2178" s="18" t="inlineStr">
        <is>
          <t>INGRESO</t>
        </is>
      </c>
      <c r="H2178" s="1" t="inlineStr">
        <is>
          <t>MUNDO TAMANACO</t>
        </is>
      </c>
      <c r="I2178" s="45" t="n">
        <v>2.5</v>
      </c>
      <c r="J2178" s="77" t="n"/>
      <c r="K2178" s="18" t="n"/>
    </row>
    <row r="2179">
      <c r="B2179" s="56" t="inlineStr">
        <is>
          <t>00005-HRR</t>
        </is>
      </c>
      <c r="C2179" s="18">
        <f>IFERROR(_xlfn.XLOOKUP(ENTRADAS[[#This Row],[CODIGO]],LISTADO[CODIGOS],LISTADO[CATEGORIA]),"NO EXISTE")</f>
        <v/>
      </c>
      <c r="D2179" s="18">
        <f>IFERROR(_xlfn.XLOOKUP(ENTRADAS[[#This Row],[CODIGO]],LISTADO[CODIGOS],LISTADO[PRODUCTOS]),"NO EXISTE")</f>
        <v/>
      </c>
      <c r="E2179" s="19" t="n">
        <v>46198</v>
      </c>
      <c r="F2179" s="18" t="n">
        <v>10</v>
      </c>
      <c r="G2179" s="18" t="inlineStr">
        <is>
          <t>INGRESO</t>
        </is>
      </c>
      <c r="H2179" s="1" t="inlineStr">
        <is>
          <t>TOTAL TOOLS VALENCIA</t>
        </is>
      </c>
      <c r="I2179" s="45" t="n"/>
      <c r="J2179" s="77" t="n">
        <v>814.2</v>
      </c>
      <c r="K2179" s="18" t="n"/>
    </row>
    <row r="2180">
      <c r="B2180" s="56" t="inlineStr">
        <is>
          <t>00074-FER</t>
        </is>
      </c>
      <c r="C2180" s="18">
        <f>IFERROR(_xlfn.XLOOKUP(ENTRADAS[[#This Row],[CODIGO]],LISTADO[CODIGOS],LISTADO[CATEGORIA]),"NO EXISTE")</f>
        <v/>
      </c>
      <c r="D2180" s="18">
        <f>IFERROR(_xlfn.XLOOKUP(ENTRADAS[[#This Row],[CODIGO]],LISTADO[CODIGOS],LISTADO[PRODUCTOS]),"NO EXISTE")</f>
        <v/>
      </c>
      <c r="E2180" s="19" t="n">
        <v>46198</v>
      </c>
      <c r="F2180" s="18" t="n">
        <v>2</v>
      </c>
      <c r="G2180" s="18" t="inlineStr">
        <is>
          <t>INGRESO</t>
        </is>
      </c>
      <c r="H2180" s="1" t="inlineStr">
        <is>
          <t>TOTAL TOOLS VALENCIA</t>
        </is>
      </c>
      <c r="I2180" s="45" t="n"/>
      <c r="J2180" s="77" t="n">
        <v>1560</v>
      </c>
      <c r="K2180" s="18" t="n"/>
    </row>
    <row r="2181">
      <c r="B2181" s="56" t="inlineStr">
        <is>
          <t>00074-FER</t>
        </is>
      </c>
      <c r="C2181" s="18">
        <f>IFERROR(_xlfn.XLOOKUP(ENTRADAS[[#This Row],[CODIGO]],LISTADO[CODIGOS],LISTADO[CATEGORIA]),"NO EXISTE")</f>
        <v/>
      </c>
      <c r="D2181" s="18">
        <f>IFERROR(_xlfn.XLOOKUP(ENTRADAS[[#This Row],[CODIGO]],LISTADO[CODIGOS],LISTADO[PRODUCTOS]),"NO EXISTE")</f>
        <v/>
      </c>
      <c r="E2181" s="19" t="n">
        <v>46198</v>
      </c>
      <c r="F2181" s="18" t="n">
        <v>3</v>
      </c>
      <c r="G2181" s="18" t="inlineStr">
        <is>
          <t>INGRESO</t>
        </is>
      </c>
      <c r="H2181" s="1" t="inlineStr">
        <is>
          <t>TOTAL TOOLS VALENCIA</t>
        </is>
      </c>
      <c r="I2181" s="45" t="n"/>
      <c r="J2181" s="77" t="n">
        <v>1019.31</v>
      </c>
      <c r="K2181" s="18" t="n"/>
    </row>
    <row r="2182">
      <c r="B2182" s="18" t="inlineStr">
        <is>
          <t>00157-FER</t>
        </is>
      </c>
      <c r="C2182" s="18">
        <f>IFERROR(_xlfn.XLOOKUP(ENTRADAS[[#This Row],[CODIGO]],LISTADO[CODIGOS],LISTADO[CATEGORIA]),"NO EXISTE")</f>
        <v/>
      </c>
      <c r="D2182" s="18">
        <f>IFERROR(_xlfn.XLOOKUP(ENTRADAS[[#This Row],[CODIGO]],LISTADO[CODIGOS],LISTADO[PRODUCTOS]),"NO EXISTE")</f>
        <v/>
      </c>
      <c r="E2182" s="19" t="n">
        <v>46198</v>
      </c>
      <c r="F2182" s="18" t="n">
        <v>2</v>
      </c>
      <c r="G2182" s="18" t="inlineStr">
        <is>
          <t>INGRESO</t>
        </is>
      </c>
      <c r="H2182" s="1" t="inlineStr">
        <is>
          <t>TOTAL TOOLS VALENCIA</t>
        </is>
      </c>
      <c r="I2182" s="45" t="n"/>
      <c r="J2182" s="77" t="n">
        <v>2019.98</v>
      </c>
      <c r="K2182" s="18" t="n"/>
    </row>
    <row r="2183">
      <c r="B2183" s="56" t="inlineStr">
        <is>
          <t>00099-HER</t>
        </is>
      </c>
      <c r="C2183" s="18">
        <f>IFERROR(_xlfn.XLOOKUP(ENTRADAS[[#This Row],[CODIGO]],LISTADO[CODIGOS],LISTADO[CATEGORIA]),"NO EXISTE")</f>
        <v/>
      </c>
      <c r="D2183" s="18">
        <f>IFERROR(_xlfn.XLOOKUP(ENTRADAS[[#This Row],[CODIGO]],LISTADO[CODIGOS],LISTADO[PRODUCTOS]),"NO EXISTE")</f>
        <v/>
      </c>
      <c r="E2183" s="19" t="n">
        <v>46198</v>
      </c>
      <c r="F2183" s="18" t="n">
        <v>6</v>
      </c>
      <c r="G2183" s="18" t="inlineStr">
        <is>
          <t>INGRESO</t>
        </is>
      </c>
      <c r="H2183" s="1" t="inlineStr">
        <is>
          <t>TOTAL TOOLS VALENCIA</t>
        </is>
      </c>
      <c r="I2183" s="45" t="n"/>
      <c r="J2183" s="77" t="n">
        <v>528.3</v>
      </c>
      <c r="K2183" s="18" t="n"/>
    </row>
    <row r="2184">
      <c r="B2184" s="56" t="inlineStr">
        <is>
          <t>00100-HER</t>
        </is>
      </c>
      <c r="C2184" s="18">
        <f>IFERROR(_xlfn.XLOOKUP(ENTRADAS[[#This Row],[CODIGO]],LISTADO[CODIGOS],LISTADO[CATEGORIA]),"NO EXISTE")</f>
        <v/>
      </c>
      <c r="D2184" s="18">
        <f>IFERROR(_xlfn.XLOOKUP(ENTRADAS[[#This Row],[CODIGO]],LISTADO[CODIGOS],LISTADO[PRODUCTOS]),"NO EXISTE")</f>
        <v/>
      </c>
      <c r="E2184" s="19" t="n">
        <v>46198</v>
      </c>
      <c r="F2184" s="18" t="n">
        <v>7</v>
      </c>
      <c r="G2184" s="18" t="inlineStr">
        <is>
          <t>INGRESO</t>
        </is>
      </c>
      <c r="H2184" s="1" t="inlineStr">
        <is>
          <t>TOTAL TOOLS VALENCIA</t>
        </is>
      </c>
      <c r="I2184" s="45" t="n"/>
      <c r="J2184" s="77" t="n">
        <v>969.59</v>
      </c>
      <c r="K2184" s="18" t="n"/>
    </row>
    <row r="2185">
      <c r="B2185" s="18" t="inlineStr">
        <is>
          <t>00101-HER</t>
        </is>
      </c>
      <c r="C2185" s="18">
        <f>IFERROR(_xlfn.XLOOKUP(ENTRADAS[[#This Row],[CODIGO]],LISTADO[CODIGOS],LISTADO[CATEGORIA]),"NO EXISTE")</f>
        <v/>
      </c>
      <c r="D2185" s="18">
        <f>IFERROR(_xlfn.XLOOKUP(ENTRADAS[[#This Row],[CODIGO]],LISTADO[CODIGOS],LISTADO[PRODUCTOS]),"NO EXISTE")</f>
        <v/>
      </c>
      <c r="E2185" s="19" t="n">
        <v>46198</v>
      </c>
      <c r="F2185" s="18" t="n">
        <v>1</v>
      </c>
      <c r="G2185" s="18" t="inlineStr">
        <is>
          <t>INGRESO</t>
        </is>
      </c>
      <c r="H2185" s="1" t="inlineStr">
        <is>
          <t>TOTAL TOOLS VALENCIA</t>
        </is>
      </c>
      <c r="I2185" s="45" t="n"/>
      <c r="J2185" s="77" t="n">
        <v>1323.86</v>
      </c>
      <c r="K2185" s="18" t="n"/>
    </row>
    <row r="2186">
      <c r="B2186" s="56" t="inlineStr">
        <is>
          <t>00063-HER</t>
        </is>
      </c>
      <c r="C2186" s="18">
        <f>IFERROR(_xlfn.XLOOKUP(ENTRADAS[[#This Row],[CODIGO]],LISTADO[CODIGOS],LISTADO[CATEGORIA]),"NO EXISTE")</f>
        <v/>
      </c>
      <c r="D2186" s="18">
        <f>IFERROR(_xlfn.XLOOKUP(ENTRADAS[[#This Row],[CODIGO]],LISTADO[CODIGOS],LISTADO[PRODUCTOS]),"NO EXISTE")</f>
        <v/>
      </c>
      <c r="E2186" s="19" t="n">
        <v>46198</v>
      </c>
      <c r="F2186" s="18" t="n">
        <v>4</v>
      </c>
      <c r="G2186" s="18" t="inlineStr">
        <is>
          <t>INGRESO</t>
        </is>
      </c>
      <c r="H2186" s="1" t="inlineStr">
        <is>
          <t>TOTAL TOOLS VALENCIA</t>
        </is>
      </c>
      <c r="I2186" s="45" t="n"/>
      <c r="J2186" s="77" t="n">
        <v>876.36</v>
      </c>
      <c r="K2186" s="18" t="n"/>
    </row>
    <row r="2187">
      <c r="B2187" s="56" t="inlineStr">
        <is>
          <t>00007-HRR</t>
        </is>
      </c>
      <c r="C2187" s="18">
        <f>IFERROR(_xlfn.XLOOKUP(ENTRADAS[[#This Row],[CODIGO]],LISTADO[CODIGOS],LISTADO[CATEGORIA]),"NO EXISTE")</f>
        <v/>
      </c>
      <c r="D2187" s="18">
        <f>IFERROR(_xlfn.XLOOKUP(ENTRADAS[[#This Row],[CODIGO]],LISTADO[CODIGOS],LISTADO[PRODUCTOS]),"NO EXISTE")</f>
        <v/>
      </c>
      <c r="E2187" s="19" t="n">
        <v>46198</v>
      </c>
      <c r="F2187" s="18" t="n">
        <v>25</v>
      </c>
      <c r="G2187" s="18" t="inlineStr">
        <is>
          <t>INGRESO</t>
        </is>
      </c>
      <c r="H2187" s="1" t="inlineStr">
        <is>
          <t>TOTAL TOOLS VALENCIA</t>
        </is>
      </c>
      <c r="I2187" s="45" t="n"/>
      <c r="J2187" s="77" t="n">
        <v>528.3</v>
      </c>
      <c r="K2187" s="18" t="n"/>
    </row>
    <row r="2188">
      <c r="B2188" s="18" t="inlineStr">
        <is>
          <t>00143-HER</t>
        </is>
      </c>
      <c r="C2188" s="18">
        <f>IFERROR(_xlfn.XLOOKUP(ENTRADAS[[#This Row],[CODIGO]],LISTADO[CODIGOS],LISTADO[CATEGORIA]),"NO EXISTE")</f>
        <v/>
      </c>
      <c r="D2188" s="18">
        <f>IFERROR(_xlfn.XLOOKUP(ENTRADAS[[#This Row],[CODIGO]],LISTADO[CODIGOS],LISTADO[PRODUCTOS]),"NO EXISTE")</f>
        <v/>
      </c>
      <c r="E2188" s="19" t="n">
        <v>46198</v>
      </c>
      <c r="F2188" s="18" t="n">
        <v>5</v>
      </c>
      <c r="G2188" s="18" t="inlineStr">
        <is>
          <t>INGRESO</t>
        </is>
      </c>
      <c r="H2188" s="1" t="inlineStr">
        <is>
          <t>TOTAL TOOLS VALENCIA</t>
        </is>
      </c>
      <c r="I2188" s="45" t="n"/>
      <c r="J2188" s="77" t="n">
        <v>8204.200000000001</v>
      </c>
      <c r="K2188" s="18" t="n"/>
    </row>
    <row r="2189">
      <c r="B2189" s="18" t="inlineStr">
        <is>
          <t>00070-HER</t>
        </is>
      </c>
      <c r="C2189" s="18">
        <f>IFERROR(_xlfn.XLOOKUP(ENTRADAS[[#This Row],[CODIGO]],LISTADO[CODIGOS],LISTADO[CATEGORIA]),"NO EXISTE")</f>
        <v/>
      </c>
      <c r="D2189" s="18">
        <f>IFERROR(_xlfn.XLOOKUP(ENTRADAS[[#This Row],[CODIGO]],LISTADO[CODIGOS],LISTADO[PRODUCTOS]),"NO EXISTE")</f>
        <v/>
      </c>
      <c r="E2189" s="19" t="n">
        <v>46198</v>
      </c>
      <c r="F2189" s="18" t="n">
        <v>1</v>
      </c>
      <c r="G2189" s="18" t="inlineStr">
        <is>
          <t>INGRESO</t>
        </is>
      </c>
      <c r="H2189" s="1" t="inlineStr">
        <is>
          <t>TOTAL TOOLS VALENCIA</t>
        </is>
      </c>
      <c r="I2189" s="45" t="n"/>
      <c r="J2189" s="77" t="n">
        <v>2293.45</v>
      </c>
      <c r="K2189" s="18" t="n"/>
    </row>
    <row r="2190">
      <c r="B2190" s="56" t="inlineStr">
        <is>
          <t>00050-HER</t>
        </is>
      </c>
      <c r="C2190" s="18">
        <f>IFERROR(_xlfn.XLOOKUP(ENTRADAS[[#This Row],[CODIGO]],LISTADO[CODIGOS],LISTADO[CATEGORIA]),"NO EXISTE")</f>
        <v/>
      </c>
      <c r="D2190" s="18">
        <f>IFERROR(_xlfn.XLOOKUP(ENTRADAS[[#This Row],[CODIGO]],LISTADO[CODIGOS],LISTADO[PRODUCTOS]),"NO EXISTE")</f>
        <v/>
      </c>
      <c r="E2190" s="19" t="n">
        <v>46198</v>
      </c>
      <c r="F2190" s="18" t="n">
        <v>1</v>
      </c>
      <c r="G2190" s="18" t="inlineStr">
        <is>
          <t>INGRESO</t>
        </is>
      </c>
      <c r="H2190" s="1" t="inlineStr">
        <is>
          <t>TOTAL TOOLS VALENCIA</t>
        </is>
      </c>
      <c r="I2190" s="45" t="n"/>
      <c r="J2190" s="77" t="n">
        <v>4220.19</v>
      </c>
      <c r="K2190" s="18" t="n"/>
    </row>
    <row r="2191">
      <c r="B2191" s="56" t="inlineStr">
        <is>
          <t>00064-HER</t>
        </is>
      </c>
      <c r="C2191" s="18">
        <f>IFERROR(_xlfn.XLOOKUP(ENTRADAS[[#This Row],[CODIGO]],LISTADO[CODIGOS],LISTADO[CATEGORIA]),"NO EXISTE")</f>
        <v/>
      </c>
      <c r="D2191" s="18">
        <f>IFERROR(_xlfn.XLOOKUP(ENTRADAS[[#This Row],[CODIGO]],LISTADO[CODIGOS],LISTADO[PRODUCTOS]),"NO EXISTE")</f>
        <v/>
      </c>
      <c r="E2191" s="19" t="n">
        <v>46198</v>
      </c>
      <c r="F2191" s="18" t="n">
        <v>2</v>
      </c>
      <c r="G2191" s="18" t="inlineStr">
        <is>
          <t>INGRESO</t>
        </is>
      </c>
      <c r="H2191" s="1" t="inlineStr">
        <is>
          <t>TOTAL TOOLS VALENCIA</t>
        </is>
      </c>
      <c r="I2191" s="45" t="n"/>
      <c r="J2191" s="77" t="n">
        <v>2069.7</v>
      </c>
      <c r="K2191" s="18" t="n"/>
    </row>
    <row r="2192">
      <c r="B2192" s="56" t="inlineStr">
        <is>
          <t>00064-HER</t>
        </is>
      </c>
      <c r="C2192" s="18">
        <f>IFERROR(_xlfn.XLOOKUP(ENTRADAS[[#This Row],[CODIGO]],LISTADO[CODIGOS],LISTADO[CATEGORIA]),"NO EXISTE")</f>
        <v/>
      </c>
      <c r="D2192" s="18">
        <f>IFERROR(_xlfn.XLOOKUP(ENTRADAS[[#This Row],[CODIGO]],LISTADO[CODIGOS],LISTADO[PRODUCTOS]),"NO EXISTE")</f>
        <v/>
      </c>
      <c r="E2192" s="19" t="n">
        <v>46198</v>
      </c>
      <c r="F2192" s="18" t="n">
        <v>2</v>
      </c>
      <c r="G2192" s="18" t="inlineStr">
        <is>
          <t>INGRESO</t>
        </is>
      </c>
      <c r="H2192" s="1" t="inlineStr">
        <is>
          <t>TOTAL TOOLS VALENCIA</t>
        </is>
      </c>
      <c r="I2192" s="45" t="n"/>
      <c r="J2192" s="77" t="n">
        <v>2069.7</v>
      </c>
      <c r="K2192" s="18" t="n"/>
    </row>
    <row r="2193">
      <c r="B2193" s="56" t="inlineStr">
        <is>
          <t>00099-HER</t>
        </is>
      </c>
      <c r="C2193" s="18">
        <f>IFERROR(_xlfn.XLOOKUP(ENTRADAS[[#This Row],[CODIGO]],LISTADO[CODIGOS],LISTADO[CATEGORIA]),"NO EXISTE")</f>
        <v/>
      </c>
      <c r="D2193" s="18">
        <f>IFERROR(_xlfn.XLOOKUP(ENTRADAS[[#This Row],[CODIGO]],LISTADO[CODIGOS],LISTADO[PRODUCTOS]),"NO EXISTE")</f>
        <v/>
      </c>
      <c r="E2193" s="19" t="n">
        <v>46198</v>
      </c>
      <c r="F2193" s="18" t="n">
        <v>12</v>
      </c>
      <c r="G2193" s="18" t="inlineStr">
        <is>
          <t>INGRESO</t>
        </is>
      </c>
      <c r="H2193" s="1" t="inlineStr">
        <is>
          <t>TOTAL TOOLS VALENCIA</t>
        </is>
      </c>
      <c r="I2193" s="45" t="n"/>
      <c r="J2193" s="77" t="n">
        <v>553.16</v>
      </c>
      <c r="K2193" s="18" t="n"/>
    </row>
    <row r="2194">
      <c r="B2194" s="56" t="inlineStr">
        <is>
          <t>00100-HER</t>
        </is>
      </c>
      <c r="C2194" s="18">
        <f>IFERROR(_xlfn.XLOOKUP(ENTRADAS[[#This Row],[CODIGO]],LISTADO[CODIGOS],LISTADO[CATEGORIA]),"NO EXISTE")</f>
        <v/>
      </c>
      <c r="D2194" s="18">
        <f>IFERROR(_xlfn.XLOOKUP(ENTRADAS[[#This Row],[CODIGO]],LISTADO[CODIGOS],LISTADO[PRODUCTOS]),"NO EXISTE")</f>
        <v/>
      </c>
      <c r="E2194" s="19" t="n">
        <v>46198</v>
      </c>
      <c r="F2194" s="18" t="n">
        <v>2</v>
      </c>
      <c r="G2194" s="18" t="inlineStr">
        <is>
          <t>INGRESO</t>
        </is>
      </c>
      <c r="H2194" s="1" t="inlineStr">
        <is>
          <t>TOTAL TOOLS VALENCIA</t>
        </is>
      </c>
      <c r="I2194" s="45" t="n"/>
      <c r="J2194" s="77" t="n">
        <v>863.9299999999999</v>
      </c>
      <c r="K2194" s="18" t="n"/>
    </row>
    <row r="2195">
      <c r="B2195" s="56" t="inlineStr">
        <is>
          <t>00099-HER</t>
        </is>
      </c>
      <c r="C2195" s="18">
        <f>IFERROR(_xlfn.XLOOKUP(ENTRADAS[[#This Row],[CODIGO]],LISTADO[CODIGOS],LISTADO[CATEGORIA]),"NO EXISTE")</f>
        <v/>
      </c>
      <c r="D2195" s="18">
        <f>IFERROR(_xlfn.XLOOKUP(ENTRADAS[[#This Row],[CODIGO]],LISTADO[CODIGOS],LISTADO[PRODUCTOS]),"NO EXISTE")</f>
        <v/>
      </c>
      <c r="E2195" s="19" t="n">
        <v>46198</v>
      </c>
      <c r="F2195" s="18" t="n">
        <v>7</v>
      </c>
      <c r="G2195" s="18" t="inlineStr">
        <is>
          <t>INGRESO</t>
        </is>
      </c>
      <c r="H2195" s="1" t="inlineStr">
        <is>
          <t>TOTAL TOOLS VALENCIA</t>
        </is>
      </c>
      <c r="I2195" s="45" t="n"/>
      <c r="J2195" s="77" t="n">
        <v>540.73</v>
      </c>
      <c r="K2195" s="18" t="n"/>
    </row>
    <row r="2196">
      <c r="B2196" s="56" t="inlineStr">
        <is>
          <t>00100-HER</t>
        </is>
      </c>
      <c r="C2196" s="18">
        <f>IFERROR(_xlfn.XLOOKUP(ENTRADAS[[#This Row],[CODIGO]],LISTADO[CODIGOS],LISTADO[CATEGORIA]),"NO EXISTE")</f>
        <v/>
      </c>
      <c r="D2196" s="18">
        <f>IFERROR(_xlfn.XLOOKUP(ENTRADAS[[#This Row],[CODIGO]],LISTADO[CODIGOS],LISTADO[PRODUCTOS]),"NO EXISTE")</f>
        <v/>
      </c>
      <c r="E2196" s="19" t="n">
        <v>46198</v>
      </c>
      <c r="F2196" s="18" t="n">
        <v>6</v>
      </c>
      <c r="G2196" s="18" t="inlineStr">
        <is>
          <t>INGRESO</t>
        </is>
      </c>
      <c r="H2196" s="1" t="inlineStr">
        <is>
          <t>TOTAL TOOLS VALENCIA</t>
        </is>
      </c>
      <c r="I2196" s="45" t="n"/>
      <c r="J2196" s="77" t="n">
        <v>1435.73</v>
      </c>
      <c r="K2196" s="18" t="n"/>
    </row>
    <row r="2197">
      <c r="B2197" s="18" t="inlineStr">
        <is>
          <t>00101-HER</t>
        </is>
      </c>
      <c r="C2197" s="18">
        <f>IFERROR(_xlfn.XLOOKUP(ENTRADAS[[#This Row],[CODIGO]],LISTADO[CODIGOS],LISTADO[CATEGORIA]),"NO EXISTE")</f>
        <v/>
      </c>
      <c r="D2197" s="18">
        <f>IFERROR(_xlfn.XLOOKUP(ENTRADAS[[#This Row],[CODIGO]],LISTADO[CODIGOS],LISTADO[PRODUCTOS]),"NO EXISTE")</f>
        <v/>
      </c>
      <c r="E2197" s="19" t="n">
        <v>46198</v>
      </c>
      <c r="F2197" s="18" t="n">
        <v>24</v>
      </c>
      <c r="G2197" s="18" t="inlineStr">
        <is>
          <t>INGRESO</t>
        </is>
      </c>
      <c r="H2197" s="1" t="inlineStr">
        <is>
          <t>TOTAL TOOLS VALENCIA</t>
        </is>
      </c>
      <c r="I2197" s="45" t="n"/>
      <c r="J2197" s="77" t="n">
        <v>1000.66</v>
      </c>
      <c r="K2197" s="18" t="n"/>
    </row>
    <row r="2198">
      <c r="B2198" s="18" t="inlineStr">
        <is>
          <t>00086-REF</t>
        </is>
      </c>
      <c r="C2198" s="18">
        <f>IFERROR(_xlfn.XLOOKUP(ENTRADAS[[#This Row],[CODIGO]],LISTADO[CODIGOS],LISTADO[CATEGORIA]),"NO EXISTE")</f>
        <v/>
      </c>
      <c r="D2198" s="18">
        <f>IFERROR(_xlfn.XLOOKUP(ENTRADAS[[#This Row],[CODIGO]],LISTADO[CODIGOS],LISTADO[PRODUCTOS]),"NO EXISTE")</f>
        <v/>
      </c>
      <c r="E2198" s="19" t="n">
        <v>46184</v>
      </c>
      <c r="F2198" s="18" t="n">
        <v>1</v>
      </c>
      <c r="G2198" s="18" t="inlineStr">
        <is>
          <t>INGRESO</t>
        </is>
      </c>
      <c r="H2198" s="1" t="inlineStr">
        <is>
          <t>CAMPOS ELECTRICOS, C.A.</t>
        </is>
      </c>
      <c r="I2198" s="45" t="n">
        <v>6</v>
      </c>
      <c r="J2198" s="77" t="n"/>
      <c r="K2198" s="18" t="n"/>
    </row>
    <row r="2199">
      <c r="B2199" s="56" t="inlineStr">
        <is>
          <t>00010-HRR</t>
        </is>
      </c>
      <c r="C2199" s="18">
        <f>IFERROR(_xlfn.XLOOKUP(ENTRADAS[[#This Row],[CODIGO]],LISTADO[CODIGOS],LISTADO[CATEGORIA]),"NO EXISTE")</f>
        <v/>
      </c>
      <c r="D2199" s="18">
        <f>IFERROR(_xlfn.XLOOKUP(ENTRADAS[[#This Row],[CODIGO]],LISTADO[CODIGOS],LISTADO[PRODUCTOS]),"NO EXISTE")</f>
        <v/>
      </c>
      <c r="E2199" s="19" t="n">
        <v>46199</v>
      </c>
      <c r="F2199" s="18" t="n">
        <v>200</v>
      </c>
      <c r="G2199" s="18" t="inlineStr">
        <is>
          <t>INGRESO</t>
        </is>
      </c>
      <c r="H2199" s="1" t="inlineStr">
        <is>
          <t>CENTER MARK</t>
        </is>
      </c>
      <c r="I2199" s="45" t="n"/>
      <c r="J2199" s="77" t="n">
        <v>62.22</v>
      </c>
      <c r="K2199" s="18" t="n"/>
    </row>
    <row r="2200">
      <c r="B2200" s="18" t="inlineStr">
        <is>
          <t>00117-ELE</t>
        </is>
      </c>
      <c r="C2200" s="18">
        <f>IFERROR(_xlfn.XLOOKUP(ENTRADAS[[#This Row],[CODIGO]],LISTADO[CODIGOS],LISTADO[CATEGORIA]),"NO EXISTE")</f>
        <v/>
      </c>
      <c r="D2200" s="18">
        <f>IFERROR(_xlfn.XLOOKUP(ENTRADAS[[#This Row],[CODIGO]],LISTADO[CODIGOS],LISTADO[PRODUCTOS]),"NO EXISTE")</f>
        <v/>
      </c>
      <c r="E2200" s="19" t="n">
        <v>46195</v>
      </c>
      <c r="F2200" s="18" t="n">
        <v>100</v>
      </c>
      <c r="G2200" s="18" t="inlineStr">
        <is>
          <t>INGRESO</t>
        </is>
      </c>
      <c r="H2200" s="1" t="inlineStr">
        <is>
          <t>CABLESELEC, C.A.</t>
        </is>
      </c>
      <c r="I2200" s="45" t="n">
        <v>0.8</v>
      </c>
      <c r="J2200" s="77" t="n"/>
      <c r="K2200" s="18" t="n"/>
    </row>
    <row r="2201">
      <c r="B2201" s="18" t="inlineStr">
        <is>
          <t>00066-ELE</t>
        </is>
      </c>
      <c r="C2201" s="18">
        <f>IFERROR(_xlfn.XLOOKUP(ENTRADAS[[#This Row],[CODIGO]],LISTADO[CODIGOS],LISTADO[CATEGORIA]),"NO EXISTE")</f>
        <v/>
      </c>
      <c r="D2201" s="18">
        <f>IFERROR(_xlfn.XLOOKUP(ENTRADAS[[#This Row],[CODIGO]],LISTADO[CODIGOS],LISTADO[PRODUCTOS]),"NO EXISTE")</f>
        <v/>
      </c>
      <c r="E2201" s="19" t="n">
        <v>46195</v>
      </c>
      <c r="F2201" s="18" t="n">
        <v>100</v>
      </c>
      <c r="G2201" s="18" t="inlineStr">
        <is>
          <t>INGRESO</t>
        </is>
      </c>
      <c r="H2201" s="1" t="inlineStr">
        <is>
          <t>CABLESELEC, C.A.</t>
        </is>
      </c>
      <c r="I2201" s="45" t="n">
        <v>0.8</v>
      </c>
      <c r="J2201" s="77" t="n"/>
      <c r="K2201" s="18" t="n"/>
    </row>
    <row r="2202">
      <c r="B2202" s="18" t="inlineStr">
        <is>
          <t>00054-AUT</t>
        </is>
      </c>
      <c r="C2202" s="18">
        <f>IFERROR(_xlfn.XLOOKUP(ENTRADAS[[#This Row],[CODIGO]],LISTADO[CODIGOS],LISTADO[CATEGORIA]),"NO EXISTE")</f>
        <v/>
      </c>
      <c r="D2202" s="18">
        <f>IFERROR(_xlfn.XLOOKUP(ENTRADAS[[#This Row],[CODIGO]],LISTADO[CODIGOS],LISTADO[PRODUCTOS]),"NO EXISTE")</f>
        <v/>
      </c>
      <c r="E2202" s="19" t="n">
        <v>46198</v>
      </c>
      <c r="F2202" s="18" t="n">
        <v>2</v>
      </c>
      <c r="G2202" s="18" t="inlineStr">
        <is>
          <t>INGRESO</t>
        </is>
      </c>
      <c r="H2202" s="1" t="inlineStr">
        <is>
          <t>LUBRICANTES NAGUANAGUA</t>
        </is>
      </c>
      <c r="I2202" s="45" t="n">
        <v>10</v>
      </c>
      <c r="J2202" s="77" t="n"/>
      <c r="K2202" s="18" t="n"/>
    </row>
    <row r="2203">
      <c r="B2203" s="18" t="inlineStr">
        <is>
          <t>00055-AUT</t>
        </is>
      </c>
      <c r="C2203" s="18">
        <f>IFERROR(_xlfn.XLOOKUP(ENTRADAS[[#This Row],[CODIGO]],LISTADO[CODIGOS],LISTADO[CATEGORIA]),"NO EXISTE")</f>
        <v/>
      </c>
      <c r="D2203" s="18">
        <f>IFERROR(_xlfn.XLOOKUP(ENTRADAS[[#This Row],[CODIGO]],LISTADO[CODIGOS],LISTADO[PRODUCTOS]),"NO EXISTE")</f>
        <v/>
      </c>
      <c r="E2203" s="19" t="n">
        <v>46198</v>
      </c>
      <c r="F2203" s="18" t="n">
        <v>1</v>
      </c>
      <c r="G2203" s="18" t="inlineStr">
        <is>
          <t>INGRESO</t>
        </is>
      </c>
      <c r="H2203" s="1" t="inlineStr">
        <is>
          <t>LUBRICANTES NAGUANAGUA</t>
        </is>
      </c>
      <c r="I2203" s="45" t="n">
        <v>15</v>
      </c>
      <c r="J2203" s="77" t="n"/>
      <c r="K2203" s="18" t="n"/>
    </row>
    <row r="2204">
      <c r="B2204" s="18" t="inlineStr">
        <is>
          <t>00056-AUT</t>
        </is>
      </c>
      <c r="C2204" s="18">
        <f>IFERROR(_xlfn.XLOOKUP(ENTRADAS[[#This Row],[CODIGO]],LISTADO[CODIGOS],LISTADO[CATEGORIA]),"NO EXISTE")</f>
        <v/>
      </c>
      <c r="D2204" s="18">
        <f>IFERROR(_xlfn.XLOOKUP(ENTRADAS[[#This Row],[CODIGO]],LISTADO[CODIGOS],LISTADO[PRODUCTOS]),"NO EXISTE")</f>
        <v/>
      </c>
      <c r="E2204" s="19" t="n">
        <v>46198</v>
      </c>
      <c r="F2204" s="18" t="n">
        <v>2</v>
      </c>
      <c r="G2204" s="18" t="inlineStr">
        <is>
          <t>INGRESO</t>
        </is>
      </c>
      <c r="H2204" s="1" t="inlineStr">
        <is>
          <t>LUBRICANTES NAGUANAGUA</t>
        </is>
      </c>
      <c r="I2204" s="45" t="n">
        <v>8</v>
      </c>
      <c r="J2204" s="77" t="n"/>
      <c r="K2204" s="18" t="n"/>
    </row>
    <row r="2205">
      <c r="B2205" s="56" t="inlineStr">
        <is>
          <t>00005-AUT</t>
        </is>
      </c>
      <c r="C2205" s="18">
        <f>IFERROR(_xlfn.XLOOKUP(ENTRADAS[[#This Row],[CODIGO]],LISTADO[CODIGOS],LISTADO[CATEGORIA]),"NO EXISTE")</f>
        <v/>
      </c>
      <c r="D2205" s="18">
        <f>IFERROR(_xlfn.XLOOKUP(ENTRADAS[[#This Row],[CODIGO]],LISTADO[CODIGOS],LISTADO[PRODUCTOS]),"NO EXISTE")</f>
        <v/>
      </c>
      <c r="E2205" s="19" t="n">
        <v>46198</v>
      </c>
      <c r="F2205" s="18" t="n">
        <v>3</v>
      </c>
      <c r="G2205" s="18" t="inlineStr">
        <is>
          <t>INGRESO</t>
        </is>
      </c>
      <c r="H2205" s="1" t="inlineStr">
        <is>
          <t>LUBRICANTES NAGUANAGUA</t>
        </is>
      </c>
      <c r="I2205" s="45" t="n">
        <v>8</v>
      </c>
      <c r="J2205" s="77" t="n"/>
      <c r="K2205" s="18" t="n"/>
    </row>
    <row r="2206">
      <c r="B2206" s="18" t="inlineStr">
        <is>
          <t>00099-REF</t>
        </is>
      </c>
      <c r="C2206" s="18">
        <f>IFERROR(_xlfn.XLOOKUP(ENTRADAS[[#This Row],[CODIGO]],LISTADO[CODIGOS],LISTADO[CATEGORIA]),"NO EXISTE")</f>
        <v/>
      </c>
      <c r="D2206" s="18">
        <f>IFERROR(_xlfn.XLOOKUP(ENTRADAS[[#This Row],[CODIGO]],LISTADO[CODIGOS],LISTADO[PRODUCTOS]),"NO EXISTE")</f>
        <v/>
      </c>
      <c r="E2206" s="19" t="n">
        <v>46199</v>
      </c>
      <c r="F2206" s="18" t="n">
        <v>1</v>
      </c>
      <c r="G2206" s="18" t="inlineStr">
        <is>
          <t>INGRESO</t>
        </is>
      </c>
      <c r="H2206" s="1" t="inlineStr">
        <is>
          <t>R.O.C.A</t>
        </is>
      </c>
      <c r="I2206" s="45" t="n"/>
      <c r="J2206" s="77" t="n">
        <v>115862</v>
      </c>
      <c r="K2206" s="18" t="n"/>
    </row>
    <row r="2207">
      <c r="B2207" s="18" t="inlineStr">
        <is>
          <t>00177-REF</t>
        </is>
      </c>
      <c r="C2207" s="18">
        <f>IFERROR(_xlfn.XLOOKUP(ENTRADAS[[#This Row],[CODIGO]],LISTADO[CODIGOS],LISTADO[CATEGORIA]),"NO EXISTE")</f>
        <v/>
      </c>
      <c r="D2207" s="18">
        <f>IFERROR(_xlfn.XLOOKUP(ENTRADAS[[#This Row],[CODIGO]],LISTADO[CODIGOS],LISTADO[PRODUCTOS]),"NO EXISTE")</f>
        <v/>
      </c>
      <c r="E2207" s="19" t="n">
        <v>46199</v>
      </c>
      <c r="F2207" s="18" t="n">
        <v>2</v>
      </c>
      <c r="G2207" s="18" t="inlineStr">
        <is>
          <t>INGRESO</t>
        </is>
      </c>
      <c r="H2207" s="1" t="inlineStr">
        <is>
          <t>R.O.C.A</t>
        </is>
      </c>
      <c r="I2207" s="45" t="n"/>
      <c r="J2207" s="77" t="n">
        <v>8275.860000000001</v>
      </c>
      <c r="K2207" s="18" t="n"/>
    </row>
    <row r="2208">
      <c r="B2208" s="18" t="inlineStr">
        <is>
          <t>00130-REF</t>
        </is>
      </c>
      <c r="C2208" s="18">
        <f>IFERROR(_xlfn.XLOOKUP(ENTRADAS[[#This Row],[CODIGO]],LISTADO[CODIGOS],LISTADO[CATEGORIA]),"NO EXISTE")</f>
        <v/>
      </c>
      <c r="D2208" s="18">
        <f>IFERROR(_xlfn.XLOOKUP(ENTRADAS[[#This Row],[CODIGO]],LISTADO[CODIGOS],LISTADO[PRODUCTOS]),"NO EXISTE")</f>
        <v/>
      </c>
      <c r="E2208" s="19" t="n">
        <v>46199</v>
      </c>
      <c r="F2208" s="18" t="n">
        <v>1</v>
      </c>
      <c r="G2208" s="18" t="inlineStr">
        <is>
          <t>INGRESO</t>
        </is>
      </c>
      <c r="H2208" s="1" t="inlineStr">
        <is>
          <t>REFRIGERACION ORINOCO</t>
        </is>
      </c>
      <c r="I2208" s="45" t="n">
        <v>410</v>
      </c>
      <c r="J2208" s="77" t="n"/>
      <c r="K2208" s="18" t="n"/>
    </row>
    <row r="2209">
      <c r="B2209" s="56" t="inlineStr">
        <is>
          <t>00017-REF</t>
        </is>
      </c>
      <c r="C2209" s="18">
        <f>IFERROR(_xlfn.XLOOKUP(ENTRADAS[[#This Row],[CODIGO]],LISTADO[CODIGOS],LISTADO[CATEGORIA]),"NO EXISTE")</f>
        <v/>
      </c>
      <c r="D2209" s="18">
        <f>IFERROR(_xlfn.XLOOKUP(ENTRADAS[[#This Row],[CODIGO]],LISTADO[CODIGOS],LISTADO[PRODUCTOS]),"NO EXISTE")</f>
        <v/>
      </c>
      <c r="E2209" s="19" t="n">
        <v>46199</v>
      </c>
      <c r="F2209" s="18" t="n">
        <v>3</v>
      </c>
      <c r="G2209" s="18" t="inlineStr">
        <is>
          <t>INGRESO</t>
        </is>
      </c>
      <c r="H2209" s="1" t="inlineStr">
        <is>
          <t>REFRIGERACION ORINOCO</t>
        </is>
      </c>
      <c r="I2209" s="45" t="n">
        <v>3.8</v>
      </c>
      <c r="J2209" s="77" t="n"/>
      <c r="K2209" s="18" t="n"/>
    </row>
    <row r="2210">
      <c r="B2210" s="56" t="inlineStr">
        <is>
          <t>00178-REF</t>
        </is>
      </c>
      <c r="C2210" s="18">
        <f>IFERROR(_xlfn.XLOOKUP(ENTRADAS[[#This Row],[CODIGO]],LISTADO[CODIGOS],LISTADO[CATEGORIA]),"NO EXISTE")</f>
        <v/>
      </c>
      <c r="D2210" s="18">
        <f>IFERROR(_xlfn.XLOOKUP(ENTRADAS[[#This Row],[CODIGO]],LISTADO[CODIGOS],LISTADO[PRODUCTOS]),"NO EXISTE")</f>
        <v/>
      </c>
      <c r="E2210" s="19" t="n">
        <v>46199</v>
      </c>
      <c r="F2210" s="18" t="n">
        <v>1</v>
      </c>
      <c r="G2210" s="18" t="inlineStr">
        <is>
          <t>INGRESO</t>
        </is>
      </c>
      <c r="H2210" s="1" t="inlineStr">
        <is>
          <t>REFRIGERACION ORINOCO</t>
        </is>
      </c>
      <c r="I2210" s="45" t="n">
        <v>670</v>
      </c>
      <c r="J2210" s="77" t="n"/>
      <c r="K2210" s="18" t="n"/>
    </row>
    <row r="2211">
      <c r="B2211" s="56" t="inlineStr">
        <is>
          <t>00091-REF</t>
        </is>
      </c>
      <c r="C2211" s="18">
        <f>IFERROR(_xlfn.XLOOKUP(ENTRADAS[[#This Row],[CODIGO]],LISTADO[CODIGOS],LISTADO[CATEGORIA]),"NO EXISTE")</f>
        <v/>
      </c>
      <c r="D2211" s="18">
        <f>IFERROR(_xlfn.XLOOKUP(ENTRADAS[[#This Row],[CODIGO]],LISTADO[CODIGOS],LISTADO[PRODUCTOS]),"NO EXISTE")</f>
        <v/>
      </c>
      <c r="E2211" s="19" t="n">
        <v>46199</v>
      </c>
      <c r="F2211" s="18" t="n">
        <v>1</v>
      </c>
      <c r="G2211" s="18" t="inlineStr">
        <is>
          <t>INGRESO</t>
        </is>
      </c>
      <c r="H2211" s="1" t="inlineStr">
        <is>
          <t>REFRIGERACION ORINOCO</t>
        </is>
      </c>
      <c r="I2211" s="45" t="n">
        <v>20</v>
      </c>
      <c r="J2211" s="77" t="n"/>
      <c r="K2211" s="18" t="n"/>
    </row>
    <row r="2212">
      <c r="B2212" s="18" t="inlineStr">
        <is>
          <t>00001-HRR</t>
        </is>
      </c>
      <c r="C2212" s="18">
        <f>IFERROR(_xlfn.XLOOKUP(ENTRADAS[[#This Row],[CODIGO]],LISTADO[CODIGOS],LISTADO[CATEGORIA]),"NO EXISTE")</f>
        <v/>
      </c>
      <c r="D2212" s="18">
        <f>IFERROR(_xlfn.XLOOKUP(ENTRADAS[[#This Row],[CODIGO]],LISTADO[CODIGOS],LISTADO[PRODUCTOS]),"NO EXISTE")</f>
        <v/>
      </c>
      <c r="E2212" s="19" t="n">
        <v>46183</v>
      </c>
      <c r="F2212" s="18" t="n">
        <v>2</v>
      </c>
      <c r="G2212" s="18" t="inlineStr">
        <is>
          <t>INGRESO</t>
        </is>
      </c>
      <c r="H2212" s="1" t="inlineStr">
        <is>
          <t>CENTER MARK</t>
        </is>
      </c>
      <c r="I2212" s="45" t="n"/>
      <c r="J2212" s="77" t="n">
        <v>17180.355</v>
      </c>
      <c r="K2212" s="18" t="n"/>
    </row>
    <row r="2213">
      <c r="B2213" s="56" t="inlineStr">
        <is>
          <t>00090-HER</t>
        </is>
      </c>
      <c r="C2213" s="18">
        <f>IFERROR(_xlfn.XLOOKUP(ENTRADAS[[#This Row],[CODIGO]],LISTADO[CODIGOS],LISTADO[CATEGORIA]),"NO EXISTE")</f>
        <v/>
      </c>
      <c r="D2213" s="18">
        <f>IFERROR(_xlfn.XLOOKUP(ENTRADAS[[#This Row],[CODIGO]],LISTADO[CODIGOS],LISTADO[PRODUCTOS]),"NO EXISTE")</f>
        <v/>
      </c>
      <c r="E2213" s="19" t="n">
        <v>46183</v>
      </c>
      <c r="F2213" s="18" t="n">
        <v>1</v>
      </c>
      <c r="G2213" s="18" t="inlineStr">
        <is>
          <t>INGRESO</t>
        </is>
      </c>
      <c r="H2213" s="1" t="inlineStr">
        <is>
          <t>CENTER MARK</t>
        </is>
      </c>
      <c r="I2213" s="45" t="n"/>
      <c r="J2213" s="77" t="n">
        <v>5726.81</v>
      </c>
      <c r="K2213" s="18" t="n"/>
    </row>
    <row r="2214">
      <c r="B2214" s="56" t="inlineStr">
        <is>
          <t>00089-HER</t>
        </is>
      </c>
      <c r="C2214" s="18">
        <f>IFERROR(_xlfn.XLOOKUP(ENTRADAS[[#This Row],[CODIGO]],LISTADO[CODIGOS],LISTADO[CATEGORIA]),"NO EXISTE")</f>
        <v/>
      </c>
      <c r="D2214" s="18">
        <f>IFERROR(_xlfn.XLOOKUP(ENTRADAS[[#This Row],[CODIGO]],LISTADO[CODIGOS],LISTADO[PRODUCTOS]),"NO EXISTE")</f>
        <v/>
      </c>
      <c r="E2214" s="19" t="n">
        <v>46183</v>
      </c>
      <c r="F2214" s="18" t="n">
        <v>1</v>
      </c>
      <c r="G2214" s="18" t="inlineStr">
        <is>
          <t>INGRESO</t>
        </is>
      </c>
      <c r="H2214" s="1" t="inlineStr">
        <is>
          <t>CENTER MARK</t>
        </is>
      </c>
      <c r="I2214" s="45" t="n"/>
      <c r="J2214" s="77" t="n">
        <v>6872.14</v>
      </c>
      <c r="K2214" s="18" t="n"/>
    </row>
    <row r="2215">
      <c r="B2215" s="56" t="inlineStr">
        <is>
          <t>00072-FER</t>
        </is>
      </c>
      <c r="C2215" s="18">
        <f>IFERROR(_xlfn.XLOOKUP(ENTRADAS[[#This Row],[CODIGO]],LISTADO[CODIGOS],LISTADO[CATEGORIA]),"NO EXISTE")</f>
        <v/>
      </c>
      <c r="D2215" s="18">
        <f>IFERROR(_xlfn.XLOOKUP(ENTRADAS[[#This Row],[CODIGO]],LISTADO[CODIGOS],LISTADO[PRODUCTOS]),"NO EXISTE")</f>
        <v/>
      </c>
      <c r="E2215" s="19" t="n">
        <v>46183</v>
      </c>
      <c r="F2215" s="18" t="n">
        <v>1</v>
      </c>
      <c r="G2215" s="18" t="inlineStr">
        <is>
          <t>INGRESO</t>
        </is>
      </c>
      <c r="H2215" s="1" t="inlineStr">
        <is>
          <t>CENTER MARK</t>
        </is>
      </c>
      <c r="I2215" s="45" t="n"/>
      <c r="J2215" s="77" t="n">
        <v>6872.14</v>
      </c>
      <c r="K2215" s="18" t="n"/>
    </row>
    <row r="2216">
      <c r="B2216" s="56" t="inlineStr">
        <is>
          <t>00093-FER</t>
        </is>
      </c>
      <c r="C2216" s="18">
        <f>IFERROR(_xlfn.XLOOKUP(ENTRADAS[[#This Row],[CODIGO]],LISTADO[CODIGOS],LISTADO[CATEGORIA]),"NO EXISTE")</f>
        <v/>
      </c>
      <c r="D2216" s="18">
        <f>IFERROR(_xlfn.XLOOKUP(ENTRADAS[[#This Row],[CODIGO]],LISTADO[CODIGOS],LISTADO[PRODUCTOS]),"NO EXISTE")</f>
        <v/>
      </c>
      <c r="E2216" s="19" t="n">
        <v>46200</v>
      </c>
      <c r="F2216" s="18" t="n">
        <v>3</v>
      </c>
      <c r="G2216" s="18" t="inlineStr">
        <is>
          <t>INGRESO</t>
        </is>
      </c>
      <c r="H2216" s="1" t="inlineStr">
        <is>
          <t>CENTER MARK</t>
        </is>
      </c>
      <c r="I2216" s="45" t="n"/>
      <c r="J2216" s="77" t="n">
        <v>3115.07</v>
      </c>
      <c r="K2216" s="18" t="n"/>
    </row>
    <row r="2217">
      <c r="B2217" s="18" t="inlineStr">
        <is>
          <t>00105-REF</t>
        </is>
      </c>
      <c r="C2217" s="18">
        <f>IFERROR(_xlfn.XLOOKUP(ENTRADAS[[#This Row],[CODIGO]],LISTADO[CODIGOS],LISTADO[CATEGORIA]),"NO EXISTE")</f>
        <v/>
      </c>
      <c r="D2217" s="18">
        <f>IFERROR(_xlfn.XLOOKUP(ENTRADAS[[#This Row],[CODIGO]],LISTADO[CODIGOS],LISTADO[PRODUCTOS]),"NO EXISTE")</f>
        <v/>
      </c>
      <c r="E2217" s="19" t="n">
        <v>46191</v>
      </c>
      <c r="F2217" s="18" t="n">
        <v>3</v>
      </c>
      <c r="G2217" s="18" t="inlineStr">
        <is>
          <t>INGRESO</t>
        </is>
      </c>
      <c r="H2217" s="1" t="inlineStr">
        <is>
          <t>CLIDAIR, C.A.</t>
        </is>
      </c>
      <c r="I2217" s="45" t="n"/>
      <c r="J2217" s="77" t="n">
        <v>23520</v>
      </c>
      <c r="K2217" s="18" t="n"/>
    </row>
    <row r="2218">
      <c r="B2218" s="56" t="inlineStr">
        <is>
          <t>00047-REF</t>
        </is>
      </c>
      <c r="C2218" s="18">
        <f>IFERROR(_xlfn.XLOOKUP(ENTRADAS[[#This Row],[CODIGO]],LISTADO[CODIGOS],LISTADO[CATEGORIA]),"NO EXISTE")</f>
        <v/>
      </c>
      <c r="D2218" s="18">
        <f>IFERROR(_xlfn.XLOOKUP(ENTRADAS[[#This Row],[CODIGO]],LISTADO[CODIGOS],LISTADO[PRODUCTOS]),"NO EXISTE")</f>
        <v/>
      </c>
      <c r="E2218" s="19" t="n">
        <v>46191</v>
      </c>
      <c r="F2218" s="18" t="n">
        <v>4</v>
      </c>
      <c r="G2218" s="18" t="inlineStr">
        <is>
          <t>INGRESO</t>
        </is>
      </c>
      <c r="H2218" s="1" t="inlineStr">
        <is>
          <t>CLIDAIR, C.A.</t>
        </is>
      </c>
      <c r="I2218" s="45" t="n"/>
      <c r="J2218" s="77" t="n">
        <v>5880</v>
      </c>
      <c r="K2218" s="18" t="n"/>
    </row>
    <row r="2219">
      <c r="B2219" s="18" t="inlineStr">
        <is>
          <t>00113-REF</t>
        </is>
      </c>
      <c r="C2219" s="18">
        <f>IFERROR(_xlfn.XLOOKUP(ENTRADAS[[#This Row],[CODIGO]],LISTADO[CODIGOS],LISTADO[CATEGORIA]),"NO EXISTE")</f>
        <v/>
      </c>
      <c r="D2219" s="18">
        <f>IFERROR(_xlfn.XLOOKUP(ENTRADAS[[#This Row],[CODIGO]],LISTADO[CODIGOS],LISTADO[PRODUCTOS]),"NO EXISTE")</f>
        <v/>
      </c>
      <c r="E2219" s="19" t="n">
        <v>46191</v>
      </c>
      <c r="F2219" s="18" t="n">
        <v>2</v>
      </c>
      <c r="G2219" s="18" t="inlineStr">
        <is>
          <t>INGRESO</t>
        </is>
      </c>
      <c r="H2219" s="1" t="inlineStr">
        <is>
          <t>CLIDAIR, C.A.</t>
        </is>
      </c>
      <c r="I2219" s="45" t="n"/>
      <c r="J2219" s="77" t="n">
        <v>3360</v>
      </c>
      <c r="K2219" s="18" t="n"/>
    </row>
    <row r="2220">
      <c r="B2220" s="18" t="inlineStr">
        <is>
          <t>00057-AUT</t>
        </is>
      </c>
      <c r="C2220" s="18">
        <f>IFERROR(_xlfn.XLOOKUP(ENTRADAS[[#This Row],[CODIGO]],LISTADO[CODIGOS],LISTADO[CATEGORIA]),"NO EXISTE")</f>
        <v/>
      </c>
      <c r="D2220" s="18">
        <f>IFERROR(_xlfn.XLOOKUP(ENTRADAS[[#This Row],[CODIGO]],LISTADO[CODIGOS],LISTADO[PRODUCTOS]),"NO EXISTE")</f>
        <v/>
      </c>
      <c r="E2220" s="19" t="n">
        <v>46200</v>
      </c>
      <c r="F2220" s="18" t="n">
        <v>1</v>
      </c>
      <c r="G2220" s="18" t="inlineStr">
        <is>
          <t>INGRESO</t>
        </is>
      </c>
      <c r="H2220" s="1" t="inlineStr">
        <is>
          <t>FERKA RUEDAS</t>
        </is>
      </c>
      <c r="I2220" s="45" t="n">
        <v>6</v>
      </c>
      <c r="J2220" s="77" t="n"/>
      <c r="K2220" s="18" t="n">
        <v>623.02</v>
      </c>
    </row>
    <row r="2221">
      <c r="B2221" s="18" t="inlineStr">
        <is>
          <t>00011-FER</t>
        </is>
      </c>
      <c r="C2221" s="18">
        <f>IFERROR(_xlfn.XLOOKUP(ENTRADAS[[#This Row],[CODIGO]],LISTADO[CODIGOS],LISTADO[CATEGORIA]),"NO EXISTE")</f>
        <v/>
      </c>
      <c r="D2221" s="18">
        <f>IFERROR(_xlfn.XLOOKUP(ENTRADAS[[#This Row],[CODIGO]],LISTADO[CODIGOS],LISTADO[PRODUCTOS]),"NO EXISTE")</f>
        <v/>
      </c>
      <c r="E2221" s="19" t="n">
        <v>46200</v>
      </c>
      <c r="F2221" s="18" t="n">
        <v>12</v>
      </c>
      <c r="G2221" s="18" t="inlineStr">
        <is>
          <t>INGRESO</t>
        </is>
      </c>
      <c r="H2221" s="1" t="inlineStr">
        <is>
          <t>FERKA RUEDAS</t>
        </is>
      </c>
      <c r="I2221" s="45" t="n">
        <v>13</v>
      </c>
      <c r="J2221" s="77" t="n"/>
      <c r="K2221" s="18" t="n">
        <v>623.02</v>
      </c>
    </row>
    <row r="2222">
      <c r="B2222" s="18" t="inlineStr">
        <is>
          <t>00190-FER</t>
        </is>
      </c>
      <c r="C2222" s="18">
        <f>IFERROR(_xlfn.XLOOKUP(ENTRADAS[[#This Row],[CODIGO]],LISTADO[CODIGOS],LISTADO[CATEGORIA]),"NO EXISTE")</f>
        <v/>
      </c>
      <c r="D2222" s="18">
        <f>IFERROR(_xlfn.XLOOKUP(ENTRADAS[[#This Row],[CODIGO]],LISTADO[CODIGOS],LISTADO[PRODUCTOS]),"NO EXISTE")</f>
        <v/>
      </c>
      <c r="E2222" s="19" t="n">
        <v>46200</v>
      </c>
      <c r="F2222" s="18" t="n">
        <v>12</v>
      </c>
      <c r="G2222" s="18" t="inlineStr">
        <is>
          <t>INGRESO</t>
        </is>
      </c>
      <c r="H2222" s="1" t="inlineStr">
        <is>
          <t>FERKA RUEDAS</t>
        </is>
      </c>
      <c r="I2222" s="45" t="n">
        <v>13</v>
      </c>
      <c r="J2222" s="77" t="n"/>
      <c r="K2222" s="18" t="n">
        <v>623.02</v>
      </c>
    </row>
    <row r="2223">
      <c r="B2223" s="56" t="inlineStr">
        <is>
          <t>00013-FER</t>
        </is>
      </c>
      <c r="C2223" s="18">
        <f>IFERROR(_xlfn.XLOOKUP(ENTRADAS[[#This Row],[CODIGO]],LISTADO[CODIGOS],LISTADO[CATEGORIA]),"NO EXISTE")</f>
        <v/>
      </c>
      <c r="D2223" s="18">
        <f>IFERROR(_xlfn.XLOOKUP(ENTRADAS[[#This Row],[CODIGO]],LISTADO[CODIGOS],LISTADO[PRODUCTOS]),"NO EXISTE")</f>
        <v/>
      </c>
      <c r="E2223" s="19" t="n">
        <v>46200</v>
      </c>
      <c r="F2223" s="18" t="n">
        <v>24</v>
      </c>
      <c r="G2223" s="18" t="inlineStr">
        <is>
          <t>INGRESO</t>
        </is>
      </c>
      <c r="H2223" s="1" t="inlineStr">
        <is>
          <t>FERKA RUEDAS</t>
        </is>
      </c>
      <c r="I2223" s="45" t="n">
        <v>20</v>
      </c>
      <c r="J2223" s="77" t="n"/>
      <c r="K2223" s="18" t="n">
        <v>623.02</v>
      </c>
    </row>
    <row r="2224">
      <c r="B2224" s="18" t="inlineStr">
        <is>
          <t>00133-ELE</t>
        </is>
      </c>
      <c r="C2224" s="18">
        <f>IFERROR(_xlfn.XLOOKUP(ENTRADAS[[#This Row],[CODIGO]],LISTADO[CODIGOS],LISTADO[CATEGORIA]),"NO EXISTE")</f>
        <v/>
      </c>
      <c r="D2224" s="18">
        <f>IFERROR(_xlfn.XLOOKUP(ENTRADAS[[#This Row],[CODIGO]],LISTADO[CODIGOS],LISTADO[PRODUCTOS]),"NO EXISTE")</f>
        <v/>
      </c>
      <c r="E2224" s="19" t="n">
        <v>46200</v>
      </c>
      <c r="F2224" s="18" t="n">
        <v>4</v>
      </c>
      <c r="G2224" s="18" t="inlineStr">
        <is>
          <t>INGRESO</t>
        </is>
      </c>
      <c r="H2224" s="1" t="inlineStr">
        <is>
          <t>MECALEDS</t>
        </is>
      </c>
      <c r="I2224" s="45" t="n">
        <v>32</v>
      </c>
      <c r="J2224" s="77" t="n"/>
      <c r="K2224" s="18" t="n"/>
    </row>
    <row r="2225">
      <c r="B2225" s="18" t="inlineStr">
        <is>
          <t>00129-ELE</t>
        </is>
      </c>
      <c r="C2225" s="18">
        <f>IFERROR(_xlfn.XLOOKUP(ENTRADAS[[#This Row],[CODIGO]],LISTADO[CODIGOS],LISTADO[CATEGORIA]),"NO EXISTE")</f>
        <v/>
      </c>
      <c r="D2225" s="18">
        <f>IFERROR(_xlfn.XLOOKUP(ENTRADAS[[#This Row],[CODIGO]],LISTADO[CODIGOS],LISTADO[PRODUCTOS]),"NO EXISTE")</f>
        <v/>
      </c>
      <c r="E2225" s="19" t="n">
        <v>46200</v>
      </c>
      <c r="F2225" s="18" t="n">
        <v>4</v>
      </c>
      <c r="G2225" s="18" t="inlineStr">
        <is>
          <t>INGRESO</t>
        </is>
      </c>
      <c r="H2225" s="1" t="inlineStr">
        <is>
          <t>MECALEDS</t>
        </is>
      </c>
      <c r="I2225" s="45" t="n">
        <v>4</v>
      </c>
      <c r="J2225" s="77" t="n"/>
      <c r="K2225" s="18" t="n"/>
    </row>
    <row r="2226">
      <c r="B2226" s="18" t="inlineStr">
        <is>
          <t>00087-PLM</t>
        </is>
      </c>
      <c r="C2226" s="18">
        <f>IFERROR(_xlfn.XLOOKUP(ENTRADAS[[#This Row],[CODIGO]],LISTADO[CODIGOS],LISTADO[CATEGORIA]),"NO EXISTE")</f>
        <v/>
      </c>
      <c r="D2226" s="18">
        <f>IFERROR(_xlfn.XLOOKUP(ENTRADAS[[#This Row],[CODIGO]],LISTADO[CODIGOS],LISTADO[PRODUCTOS]),"NO EXISTE")</f>
        <v/>
      </c>
      <c r="E2226" s="19" t="n">
        <v>46199</v>
      </c>
      <c r="F2226" s="18" t="n">
        <v>5</v>
      </c>
      <c r="G2226" s="18" t="inlineStr">
        <is>
          <t>INGRESO</t>
        </is>
      </c>
      <c r="H2226" s="1" t="inlineStr">
        <is>
          <t>CENTER MARK</t>
        </is>
      </c>
      <c r="I2226" s="45" t="n"/>
      <c r="J2226" s="77" t="n">
        <v>7466.5</v>
      </c>
      <c r="K2226" s="18" t="n">
        <v>622.21</v>
      </c>
    </row>
    <row r="2227">
      <c r="B2227" s="18" t="inlineStr">
        <is>
          <t>00088-PLM</t>
        </is>
      </c>
      <c r="C2227" s="18">
        <f>IFERROR(_xlfn.XLOOKUP(ENTRADAS[[#This Row],[CODIGO]],LISTADO[CODIGOS],LISTADO[CATEGORIA]),"NO EXISTE")</f>
        <v/>
      </c>
      <c r="D2227" s="18">
        <f>IFERROR(_xlfn.XLOOKUP(ENTRADAS[[#This Row],[CODIGO]],LISTADO[CODIGOS],LISTADO[PRODUCTOS]),"NO EXISTE")</f>
        <v/>
      </c>
      <c r="E2227" s="19" t="n">
        <v>46199</v>
      </c>
      <c r="F2227" s="18" t="n">
        <v>3</v>
      </c>
      <c r="G2227" s="18" t="inlineStr">
        <is>
          <t>INGRESO</t>
        </is>
      </c>
      <c r="H2227" s="1" t="inlineStr">
        <is>
          <t>CENTER MARK</t>
        </is>
      </c>
      <c r="I2227" s="45" t="n"/>
      <c r="J2227" s="77" t="n">
        <v>3111.02</v>
      </c>
      <c r="K2227" s="18" t="n">
        <v>622.21</v>
      </c>
    </row>
    <row r="2228">
      <c r="B2228" s="56" t="inlineStr">
        <is>
          <t>00057-AUT</t>
        </is>
      </c>
      <c r="C2228" s="18">
        <f>IFERROR(_xlfn.XLOOKUP(ENTRADAS[[#This Row],[CODIGO]],LISTADO[CODIGOS],LISTADO[CATEGORIA]),"NO EXISTE")</f>
        <v/>
      </c>
      <c r="D2228" s="18">
        <f>IFERROR(_xlfn.XLOOKUP(ENTRADAS[[#This Row],[CODIGO]],LISTADO[CODIGOS],LISTADO[PRODUCTOS]),"NO EXISTE")</f>
        <v/>
      </c>
      <c r="E2228" s="19" t="n">
        <v>46202</v>
      </c>
      <c r="F2228" s="18" t="n">
        <v>5</v>
      </c>
      <c r="G2228" s="18" t="inlineStr">
        <is>
          <t>INGRESO</t>
        </is>
      </c>
      <c r="H2228" s="1" t="inlineStr">
        <is>
          <t>FERKA RUEDAS</t>
        </is>
      </c>
      <c r="I2228" s="45" t="n">
        <v>6</v>
      </c>
      <c r="J2228" s="77" t="n"/>
      <c r="K2228" s="18" t="n"/>
    </row>
    <row r="2229">
      <c r="B2229" s="56" t="inlineStr">
        <is>
          <t>00267-FER</t>
        </is>
      </c>
      <c r="C2229" s="18">
        <f>IFERROR(_xlfn.XLOOKUP(ENTRADAS[[#This Row],[CODIGO]],LISTADO[CODIGOS],LISTADO[CATEGORIA]),"NO EXISTE")</f>
        <v/>
      </c>
      <c r="D2229" s="18">
        <f>IFERROR(_xlfn.XLOOKUP(ENTRADAS[[#This Row],[CODIGO]],LISTADO[CODIGOS],LISTADO[PRODUCTOS]),"NO EXISTE")</f>
        <v/>
      </c>
      <c r="E2229" s="19" t="n">
        <v>46178</v>
      </c>
      <c r="F2229" s="18" t="n">
        <v>1</v>
      </c>
      <c r="G2229" s="18" t="inlineStr">
        <is>
          <t>INGRESO</t>
        </is>
      </c>
      <c r="H2229" s="18" t="inlineStr">
        <is>
          <t>RODAL, C.A.</t>
        </is>
      </c>
      <c r="I2229" s="45" t="n"/>
      <c r="J2229" s="77" t="n">
        <v>25380</v>
      </c>
      <c r="K2229" s="18" t="n"/>
    </row>
    <row r="2230">
      <c r="B2230" s="56" t="inlineStr">
        <is>
          <t>00072-HER</t>
        </is>
      </c>
      <c r="C2230" s="18">
        <f>IFERROR(_xlfn.XLOOKUP(ENTRADAS[[#This Row],[CODIGO]],LISTADO[CODIGOS],LISTADO[CATEGORIA]),"NO EXISTE")</f>
        <v/>
      </c>
      <c r="D2230" s="18">
        <f>IFERROR(_xlfn.XLOOKUP(ENTRADAS[[#This Row],[CODIGO]],LISTADO[CODIGOS],LISTADO[PRODUCTOS]),"NO EXISTE")</f>
        <v/>
      </c>
      <c r="E2230" s="19" t="n">
        <v>46178</v>
      </c>
      <c r="F2230" s="18" t="n">
        <v>1</v>
      </c>
      <c r="G2230" s="18" t="inlineStr">
        <is>
          <t>INGRESO</t>
        </is>
      </c>
      <c r="H2230" s="1" t="inlineStr">
        <is>
          <t>MUNDO FIX LARA, C.A.</t>
        </is>
      </c>
      <c r="I2230" s="45" t="n"/>
      <c r="J2230" s="77" t="n">
        <v>5883.94</v>
      </c>
      <c r="K2230" s="18" t="n"/>
    </row>
    <row r="2231">
      <c r="B2231" s="18" t="inlineStr">
        <is>
          <t>00144-HER</t>
        </is>
      </c>
      <c r="C2231" s="18">
        <f>IFERROR(_xlfn.XLOOKUP(ENTRADAS[[#This Row],[CODIGO]],LISTADO[CODIGOS],LISTADO[CATEGORIA]),"NO EXISTE")</f>
        <v/>
      </c>
      <c r="D2231" s="18">
        <f>IFERROR(_xlfn.XLOOKUP(ENTRADAS[[#This Row],[CODIGO]],LISTADO[CODIGOS],LISTADO[PRODUCTOS]),"NO EXISTE")</f>
        <v/>
      </c>
      <c r="E2231" s="19" t="n">
        <v>46178</v>
      </c>
      <c r="F2231" s="18" t="n">
        <v>2</v>
      </c>
      <c r="G2231" s="18" t="inlineStr">
        <is>
          <t>INGRESO</t>
        </is>
      </c>
      <c r="H2231" s="1" t="inlineStr">
        <is>
          <t>MUNDO FIX LARA, C.A.</t>
        </is>
      </c>
      <c r="I2231" s="45" t="n"/>
      <c r="J2231" s="77" t="n">
        <v>5883.94</v>
      </c>
      <c r="K2231" s="18" t="n"/>
    </row>
    <row r="2232">
      <c r="B2232" s="56" t="inlineStr">
        <is>
          <t>00145-HER</t>
        </is>
      </c>
      <c r="C2232" s="18">
        <f>IFERROR(_xlfn.XLOOKUP(ENTRADAS[[#This Row],[CODIGO]],LISTADO[CODIGOS],LISTADO[CATEGORIA]),"NO EXISTE")</f>
        <v/>
      </c>
      <c r="D2232" s="18">
        <f>IFERROR(_xlfn.XLOOKUP(ENTRADAS[[#This Row],[CODIGO]],LISTADO[CODIGOS],LISTADO[PRODUCTOS]),"NO EXISTE")</f>
        <v/>
      </c>
      <c r="E2232" s="19" t="n">
        <v>46178</v>
      </c>
      <c r="F2232" s="18" t="n">
        <v>2</v>
      </c>
      <c r="G2232" s="18" t="inlineStr">
        <is>
          <t>INGRESO</t>
        </is>
      </c>
      <c r="H2232" s="1" t="inlineStr">
        <is>
          <t>MUNDO FIX LARA, C.A.</t>
        </is>
      </c>
      <c r="I2232" s="45" t="n"/>
      <c r="J2232" s="77" t="n">
        <v>2521.69</v>
      </c>
      <c r="K2232" s="18" t="n"/>
    </row>
    <row r="2233">
      <c r="B2233" s="18" t="inlineStr">
        <is>
          <t>00146-HER</t>
        </is>
      </c>
      <c r="C2233" s="18">
        <f>IFERROR(_xlfn.XLOOKUP(ENTRADAS[[#This Row],[CODIGO]],LISTADO[CODIGOS],LISTADO[CATEGORIA]),"NO EXISTE")</f>
        <v/>
      </c>
      <c r="D2233" s="18">
        <f>IFERROR(_xlfn.XLOOKUP(ENTRADAS[[#This Row],[CODIGO]],LISTADO[CODIGOS],LISTADO[PRODUCTOS]),"NO EXISTE")</f>
        <v/>
      </c>
      <c r="E2233" s="19" t="n">
        <v>46178</v>
      </c>
      <c r="F2233" s="18" t="n">
        <v>1</v>
      </c>
      <c r="G2233" s="18" t="inlineStr">
        <is>
          <t>INGRESO</t>
        </is>
      </c>
      <c r="H2233" s="1" t="inlineStr">
        <is>
          <t>MUNDO FIX LARA, C.A.</t>
        </is>
      </c>
      <c r="I2233" s="45" t="n"/>
      <c r="J2233" s="77" t="n">
        <v>19332.95</v>
      </c>
      <c r="K2233" s="18" t="n"/>
    </row>
    <row r="2234">
      <c r="B2234" s="18" t="inlineStr">
        <is>
          <t>00179-REF</t>
        </is>
      </c>
      <c r="C2234" s="18">
        <f>IFERROR(_xlfn.XLOOKUP(ENTRADAS[[#This Row],[CODIGO]],LISTADO[CODIGOS],LISTADO[CATEGORIA]),"NO EXISTE")</f>
        <v/>
      </c>
      <c r="D2234" s="18">
        <f>IFERROR(_xlfn.XLOOKUP(ENTRADAS[[#This Row],[CODIGO]],LISTADO[CODIGOS],LISTADO[PRODUCTOS]),"NO EXISTE")</f>
        <v/>
      </c>
      <c r="E2234" s="19" t="n">
        <v>46202</v>
      </c>
      <c r="F2234" s="18" t="n">
        <v>1</v>
      </c>
      <c r="G2234" s="18" t="inlineStr">
        <is>
          <t>INGRESO</t>
        </is>
      </c>
      <c r="H2234" s="1" t="inlineStr">
        <is>
          <t>R.O.C.A</t>
        </is>
      </c>
      <c r="I2234" s="45" t="n">
        <v>190</v>
      </c>
      <c r="J2234" s="77" t="n"/>
      <c r="K2234" s="18" t="n"/>
    </row>
    <row r="2235">
      <c r="B2235" s="18" t="inlineStr">
        <is>
          <t>00147-HER</t>
        </is>
      </c>
      <c r="C2235" s="18">
        <f>IFERROR(_xlfn.XLOOKUP(ENTRADAS[[#This Row],[CODIGO]],LISTADO[CODIGOS],LISTADO[CATEGORIA]),"NO EXISTE")</f>
        <v/>
      </c>
      <c r="D2235" s="18">
        <f>IFERROR(_xlfn.XLOOKUP(ENTRADAS[[#This Row],[CODIGO]],LISTADO[CODIGOS],LISTADO[PRODUCTOS]),"NO EXISTE")</f>
        <v/>
      </c>
      <c r="E2235" s="19" t="n">
        <v>46198</v>
      </c>
      <c r="F2235" s="18" t="n">
        <v>1</v>
      </c>
      <c r="G2235" s="18" t="inlineStr">
        <is>
          <t>INGRESO</t>
        </is>
      </c>
      <c r="H2235" s="1" t="inlineStr">
        <is>
          <t xml:space="preserve">MUNDO FIX </t>
        </is>
      </c>
      <c r="I2235" s="45" t="n"/>
      <c r="J2235" s="77" t="n">
        <v>5593.77</v>
      </c>
      <c r="K2235" s="18" t="n"/>
    </row>
    <row r="2236">
      <c r="B2236" s="56" t="inlineStr">
        <is>
          <t>00148-HER</t>
        </is>
      </c>
      <c r="C2236" s="18">
        <f>IFERROR(_xlfn.XLOOKUP(ENTRADAS[[#This Row],[CODIGO]],LISTADO[CODIGOS],LISTADO[CATEGORIA]),"NO EXISTE")</f>
        <v/>
      </c>
      <c r="D2236" s="18">
        <f>IFERROR(_xlfn.XLOOKUP(ENTRADAS[[#This Row],[CODIGO]],LISTADO[CODIGOS],LISTADO[PRODUCTOS]),"NO EXISTE")</f>
        <v/>
      </c>
      <c r="E2236" s="19" t="n">
        <v>46198</v>
      </c>
      <c r="F2236" s="18" t="n">
        <v>2</v>
      </c>
      <c r="G2236" s="18" t="inlineStr">
        <is>
          <t>INGRESO</t>
        </is>
      </c>
      <c r="H2236" s="1" t="inlineStr">
        <is>
          <t xml:space="preserve">MUNDO FIX </t>
        </is>
      </c>
      <c r="I2236" s="45" t="n"/>
      <c r="J2236" s="77" t="n">
        <v>6519.85</v>
      </c>
      <c r="K2236" s="18" t="n"/>
    </row>
    <row r="2237">
      <c r="B2237" s="56" t="inlineStr">
        <is>
          <t>00112-FER</t>
        </is>
      </c>
      <c r="C2237" s="18">
        <f>IFERROR(_xlfn.XLOOKUP(ENTRADAS[[#This Row],[CODIGO]],LISTADO[CODIGOS],LISTADO[CATEGORIA]),"NO EXISTE")</f>
        <v/>
      </c>
      <c r="D2237" s="18">
        <f>IFERROR(_xlfn.XLOOKUP(ENTRADAS[[#This Row],[CODIGO]],LISTADO[CODIGOS],LISTADO[PRODUCTOS]),"NO EXISTE")</f>
        <v/>
      </c>
      <c r="E2237" s="19" t="n">
        <v>46198</v>
      </c>
      <c r="F2237" s="18" t="n">
        <v>15</v>
      </c>
      <c r="G2237" s="18" t="inlineStr">
        <is>
          <t>INGRESO</t>
        </is>
      </c>
      <c r="H2237" s="1" t="inlineStr">
        <is>
          <t xml:space="preserve">MUNDO FIX </t>
        </is>
      </c>
      <c r="I2237" s="45" t="n"/>
      <c r="J2237" s="77" t="n">
        <v>932.29</v>
      </c>
      <c r="K2237" s="18" t="n"/>
    </row>
    <row r="2238">
      <c r="B2238" s="56" t="inlineStr">
        <is>
          <t>00090-HER</t>
        </is>
      </c>
      <c r="C2238" s="18">
        <f>IFERROR(_xlfn.XLOOKUP(ENTRADAS[[#This Row],[CODIGO]],LISTADO[CODIGOS],LISTADO[CATEGORIA]),"NO EXISTE")</f>
        <v/>
      </c>
      <c r="D2238" s="18">
        <f>IFERROR(_xlfn.XLOOKUP(ENTRADAS[[#This Row],[CODIGO]],LISTADO[CODIGOS],LISTADO[PRODUCTOS]),"NO EXISTE")</f>
        <v/>
      </c>
      <c r="E2238" s="19" t="n">
        <v>46198</v>
      </c>
      <c r="F2238" s="18" t="n">
        <v>3</v>
      </c>
      <c r="G2238" s="18" t="inlineStr">
        <is>
          <t>INGRESO</t>
        </is>
      </c>
      <c r="H2238" s="1" t="inlineStr">
        <is>
          <t xml:space="preserve">MUNDO FIX </t>
        </is>
      </c>
      <c r="I2238" s="45" t="n"/>
      <c r="J2238" s="77" t="n">
        <v>4661.47</v>
      </c>
      <c r="K2238" s="18" t="n"/>
    </row>
    <row r="2239">
      <c r="B2239" s="18" t="inlineStr">
        <is>
          <t>00149-HER</t>
        </is>
      </c>
      <c r="C2239" s="18">
        <f>IFERROR(_xlfn.XLOOKUP(ENTRADAS[[#This Row],[CODIGO]],LISTADO[CODIGOS],LISTADO[CATEGORIA]),"NO EXISTE")</f>
        <v/>
      </c>
      <c r="D2239" s="18">
        <f>IFERROR(_xlfn.XLOOKUP(ENTRADAS[[#This Row],[CODIGO]],LISTADO[CODIGOS],LISTADO[PRODUCTOS]),"NO EXISTE")</f>
        <v/>
      </c>
      <c r="E2239" s="19" t="n">
        <v>46198</v>
      </c>
      <c r="F2239" s="18" t="n">
        <v>1</v>
      </c>
      <c r="G2239" s="18" t="inlineStr">
        <is>
          <t>INGRESO</t>
        </is>
      </c>
      <c r="H2239" s="1" t="inlineStr">
        <is>
          <t xml:space="preserve">MUNDO FIX </t>
        </is>
      </c>
      <c r="I2239" s="45" t="n"/>
      <c r="J2239" s="77" t="n">
        <v>3729.18</v>
      </c>
      <c r="K2239" s="18" t="n"/>
    </row>
    <row r="2240">
      <c r="B2240" s="18" t="inlineStr">
        <is>
          <t>00150-HER</t>
        </is>
      </c>
      <c r="C2240" s="18">
        <f>IFERROR(_xlfn.XLOOKUP(ENTRADAS[[#This Row],[CODIGO]],LISTADO[CODIGOS],LISTADO[CATEGORIA]),"NO EXISTE")</f>
        <v/>
      </c>
      <c r="D2240" s="18">
        <f>IFERROR(_xlfn.XLOOKUP(ENTRADAS[[#This Row],[CODIGO]],LISTADO[CODIGOS],LISTADO[PRODUCTOS]),"NO EXISTE")</f>
        <v/>
      </c>
      <c r="E2240" s="19" t="n">
        <v>46198</v>
      </c>
      <c r="F2240" s="18" t="n">
        <v>1</v>
      </c>
      <c r="G2240" s="18" t="inlineStr">
        <is>
          <t>INGRESO</t>
        </is>
      </c>
      <c r="H2240" s="1" t="inlineStr">
        <is>
          <t xml:space="preserve">MUNDO FIX </t>
        </is>
      </c>
      <c r="I2240" s="45" t="n"/>
      <c r="J2240" s="77" t="n">
        <v>9322.950000000001</v>
      </c>
      <c r="K2240" s="18" t="n"/>
    </row>
    <row r="2241">
      <c r="B2241" s="56" t="inlineStr">
        <is>
          <t>00021-HER</t>
        </is>
      </c>
      <c r="C2241" s="18">
        <f>IFERROR(_xlfn.XLOOKUP(ENTRADAS[[#This Row],[CODIGO]],LISTADO[CODIGOS],LISTADO[CATEGORIA]),"NO EXISTE")</f>
        <v/>
      </c>
      <c r="D2241" s="18">
        <f>IFERROR(_xlfn.XLOOKUP(ENTRADAS[[#This Row],[CODIGO]],LISTADO[CODIGOS],LISTADO[PRODUCTOS]),"NO EXISTE")</f>
        <v/>
      </c>
      <c r="E2241" s="19" t="n">
        <v>46170</v>
      </c>
      <c r="F2241" s="18" t="n">
        <v>1</v>
      </c>
      <c r="G2241" s="18" t="inlineStr">
        <is>
          <t>INGRESO</t>
        </is>
      </c>
      <c r="H2241" s="1" t="inlineStr">
        <is>
          <t>TOTAL TOOLS VALENCIA</t>
        </is>
      </c>
      <c r="I2241" s="45" t="n"/>
      <c r="J2241" s="77" t="n">
        <v>4225.94</v>
      </c>
      <c r="K2241" s="18" t="n"/>
    </row>
    <row r="2242">
      <c r="B2242" s="56" t="inlineStr">
        <is>
          <t>00034-HER</t>
        </is>
      </c>
      <c r="C2242" s="18">
        <f>IFERROR(_xlfn.XLOOKUP(ENTRADAS[[#This Row],[CODIGO]],LISTADO[CODIGOS],LISTADO[CATEGORIA]),"NO EXISTE")</f>
        <v/>
      </c>
      <c r="D2242" s="18">
        <f>IFERROR(_xlfn.XLOOKUP(ENTRADAS[[#This Row],[CODIGO]],LISTADO[CODIGOS],LISTADO[PRODUCTOS]),"NO EXISTE")</f>
        <v/>
      </c>
      <c r="E2242" s="19" t="n">
        <v>46170</v>
      </c>
      <c r="F2242" s="18" t="n">
        <v>1</v>
      </c>
      <c r="G2242" s="18" t="inlineStr">
        <is>
          <t>INGRESO</t>
        </is>
      </c>
      <c r="H2242" s="1" t="inlineStr">
        <is>
          <t>TOTAL TOOLS VALENCIA</t>
        </is>
      </c>
      <c r="I2242" s="45" t="n"/>
      <c r="J2242" s="77" t="n">
        <v>6404.26</v>
      </c>
      <c r="K2242" s="18" t="n"/>
    </row>
    <row r="2243">
      <c r="B2243" s="56" t="inlineStr">
        <is>
          <t>00005-HER</t>
        </is>
      </c>
      <c r="C2243" s="18">
        <f>IFERROR(_xlfn.XLOOKUP(ENTRADAS[[#This Row],[CODIGO]],LISTADO[CODIGOS],LISTADO[CATEGORIA]),"NO EXISTE")</f>
        <v/>
      </c>
      <c r="D2243" s="18">
        <f>IFERROR(_xlfn.XLOOKUP(ENTRADAS[[#This Row],[CODIGO]],LISTADO[CODIGOS],LISTADO[PRODUCTOS]),"NO EXISTE")</f>
        <v/>
      </c>
      <c r="E2243" s="19" t="n">
        <v>46170</v>
      </c>
      <c r="F2243" s="18" t="n">
        <v>2</v>
      </c>
      <c r="G2243" s="18" t="inlineStr">
        <is>
          <t>INGRESO</t>
        </is>
      </c>
      <c r="H2243" s="1" t="inlineStr">
        <is>
          <t>TOTAL TOOLS VALENCIA</t>
        </is>
      </c>
      <c r="I2243" s="45" t="n"/>
      <c r="J2243" s="77" t="n">
        <v>3654.13</v>
      </c>
      <c r="K2243" s="18" t="n"/>
    </row>
    <row r="2244">
      <c r="B2244" s="18" t="inlineStr">
        <is>
          <t>00151-HER</t>
        </is>
      </c>
      <c r="C2244" s="18">
        <f>IFERROR(_xlfn.XLOOKUP(ENTRADAS[[#This Row],[CODIGO]],LISTADO[CODIGOS],LISTADO[CATEGORIA]),"NO EXISTE")</f>
        <v/>
      </c>
      <c r="D2244" s="18">
        <f>IFERROR(_xlfn.XLOOKUP(ENTRADAS[[#This Row],[CODIGO]],LISTADO[CODIGOS],LISTADO[PRODUCTOS]),"NO EXISTE")</f>
        <v/>
      </c>
      <c r="E2244" s="19" t="n">
        <v>46170</v>
      </c>
      <c r="F2244" s="18" t="n">
        <v>1</v>
      </c>
      <c r="G2244" s="18" t="inlineStr">
        <is>
          <t>INGRESO</t>
        </is>
      </c>
      <c r="H2244" s="1" t="inlineStr">
        <is>
          <t>TOTAL TOOLS VALENCIA</t>
        </is>
      </c>
      <c r="I2244" s="45" t="n"/>
      <c r="J2244" s="77" t="inlineStr">
        <is>
          <t>3218,,46</t>
        </is>
      </c>
      <c r="K2244" s="18" t="n"/>
    </row>
    <row r="2245">
      <c r="B2245" s="18" t="inlineStr">
        <is>
          <t>00072-FER</t>
        </is>
      </c>
      <c r="C2245" s="18">
        <f>IFERROR(_xlfn.XLOOKUP(ENTRADAS[[#This Row],[CODIGO]],LISTADO[CODIGOS],LISTADO[CATEGORIA]),"NO EXISTE")</f>
        <v/>
      </c>
      <c r="D2245" s="18">
        <f>IFERROR(_xlfn.XLOOKUP(ENTRADAS[[#This Row],[CODIGO]],LISTADO[CODIGOS],LISTADO[PRODUCTOS]),"NO EXISTE")</f>
        <v/>
      </c>
      <c r="E2245" s="19" t="n">
        <v>46170</v>
      </c>
      <c r="F2245" s="18" t="n">
        <v>1</v>
      </c>
      <c r="G2245" s="18" t="inlineStr">
        <is>
          <t>INGRESO</t>
        </is>
      </c>
      <c r="H2245" s="1" t="inlineStr">
        <is>
          <t>TOTAL TOOLS VALENCIA</t>
        </is>
      </c>
      <c r="I2245" s="45" t="n"/>
      <c r="J2245" s="77" t="n">
        <v>5271.53</v>
      </c>
      <c r="K2245" s="18" t="n"/>
    </row>
    <row r="2246">
      <c r="B2246" s="18" t="inlineStr">
        <is>
          <t>00152-HER</t>
        </is>
      </c>
      <c r="C2246" s="18">
        <f>IFERROR(_xlfn.XLOOKUP(ENTRADAS[[#This Row],[CODIGO]],LISTADO[CODIGOS],LISTADO[CATEGORIA]),"NO EXISTE")</f>
        <v/>
      </c>
      <c r="D2246" s="18">
        <f>IFERROR(_xlfn.XLOOKUP(ENTRADAS[[#This Row],[CODIGO]],LISTADO[CODIGOS],LISTADO[PRODUCTOS]),"NO EXISTE")</f>
        <v/>
      </c>
      <c r="E2246" s="19" t="n">
        <v>46170</v>
      </c>
      <c r="F2246" s="18" t="n">
        <v>1</v>
      </c>
      <c r="G2246" s="18" t="inlineStr">
        <is>
          <t>INGRESO</t>
        </is>
      </c>
      <c r="H2246" s="1" t="inlineStr">
        <is>
          <t>TOTAL TOOLS VALENCIA</t>
        </is>
      </c>
      <c r="I2246" s="45" t="n"/>
      <c r="J2246" s="77" t="n">
        <v>14110.06</v>
      </c>
      <c r="K2246" s="18" t="n"/>
    </row>
    <row r="2247">
      <c r="B2247" s="18" t="inlineStr">
        <is>
          <t>00153-HER</t>
        </is>
      </c>
      <c r="C2247" s="18">
        <f>IFERROR(_xlfn.XLOOKUP(ENTRADAS[[#This Row],[CODIGO]],LISTADO[CODIGOS],LISTADO[CATEGORIA]),"NO EXISTE")</f>
        <v/>
      </c>
      <c r="D2247" s="18">
        <f>IFERROR(_xlfn.XLOOKUP(ENTRADAS[[#This Row],[CODIGO]],LISTADO[CODIGOS],LISTADO[PRODUCTOS]),"NO EXISTE")</f>
        <v/>
      </c>
      <c r="E2247" s="19" t="n">
        <v>46207</v>
      </c>
      <c r="F2247" s="18" t="n">
        <v>2</v>
      </c>
      <c r="G2247" s="18" t="inlineStr">
        <is>
          <t>INGRESO</t>
        </is>
      </c>
      <c r="H2247" s="1" t="inlineStr">
        <is>
          <t>TOTAL TOOLS VALENCIA</t>
        </is>
      </c>
      <c r="I2247" s="45" t="n"/>
      <c r="J2247" s="77" t="n">
        <v>873.84</v>
      </c>
      <c r="K2247" s="18" t="n"/>
    </row>
    <row r="2248">
      <c r="B2248" s="56" t="inlineStr">
        <is>
          <t>00123-FER</t>
        </is>
      </c>
      <c r="C2248" s="18">
        <f>IFERROR(_xlfn.XLOOKUP(ENTRADAS[[#This Row],[CODIGO]],LISTADO[CODIGOS],LISTADO[CATEGORIA]),"NO EXISTE")</f>
        <v/>
      </c>
      <c r="D2248" s="18">
        <f>IFERROR(_xlfn.XLOOKUP(ENTRADAS[[#This Row],[CODIGO]],LISTADO[CODIGOS],LISTADO[PRODUCTOS]),"NO EXISTE")</f>
        <v/>
      </c>
      <c r="E2248" s="19" t="n">
        <v>46207</v>
      </c>
      <c r="F2248" s="18" t="n">
        <v>3</v>
      </c>
      <c r="G2248" s="18" t="inlineStr">
        <is>
          <t>INGRESO</t>
        </is>
      </c>
      <c r="H2248" s="1" t="inlineStr">
        <is>
          <t>TOTAL TOOLS VALENCIA</t>
        </is>
      </c>
      <c r="I2248" s="45" t="n"/>
      <c r="J2248" s="77" t="n">
        <v>4649.34</v>
      </c>
      <c r="K2248" s="18" t="n"/>
    </row>
    <row r="2249">
      <c r="B2249" s="56" t="inlineStr">
        <is>
          <t>00079-PLM</t>
        </is>
      </c>
      <c r="C2249" s="18">
        <f>IFERROR(_xlfn.XLOOKUP(ENTRADAS[[#This Row],[CODIGO]],LISTADO[CODIGOS],LISTADO[CATEGORIA]),"NO EXISTE")</f>
        <v/>
      </c>
      <c r="D2249" s="18">
        <f>IFERROR(_xlfn.XLOOKUP(ENTRADAS[[#This Row],[CODIGO]],LISTADO[CODIGOS],LISTADO[PRODUCTOS]),"NO EXISTE")</f>
        <v/>
      </c>
      <c r="E2249" s="19" t="n">
        <v>46207</v>
      </c>
      <c r="F2249" s="18" t="n">
        <v>1</v>
      </c>
      <c r="G2249" s="18" t="inlineStr">
        <is>
          <t>INGRESO</t>
        </is>
      </c>
      <c r="H2249" s="1" t="inlineStr">
        <is>
          <t>GRIFO Y RESPUESTO JCL,C.A</t>
        </is>
      </c>
      <c r="I2249" s="45" t="n"/>
      <c r="J2249" s="77" t="n">
        <v>1633</v>
      </c>
      <c r="K2249" s="18" t="n"/>
    </row>
    <row r="2250">
      <c r="B2250" s="18" t="inlineStr">
        <is>
          <t>00058-AUT</t>
        </is>
      </c>
      <c r="C2250" s="18">
        <f>IFERROR(_xlfn.XLOOKUP(ENTRADAS[[#This Row],[CODIGO]],LISTADO[CODIGOS],LISTADO[CATEGORIA]),"NO EXISTE")</f>
        <v/>
      </c>
      <c r="D2250" s="18">
        <f>IFERROR(_xlfn.XLOOKUP(ENTRADAS[[#This Row],[CODIGO]],LISTADO[CODIGOS],LISTADO[PRODUCTOS]),"NO EXISTE")</f>
        <v/>
      </c>
      <c r="E2250" s="19" t="n">
        <v>46207</v>
      </c>
      <c r="F2250" s="18" t="n">
        <v>1</v>
      </c>
      <c r="G2250" s="18" t="inlineStr">
        <is>
          <t>INGRESO</t>
        </is>
      </c>
      <c r="H2250" s="1" t="inlineStr">
        <is>
          <t>SUMINISTRO INTEGRALES 148</t>
        </is>
      </c>
      <c r="I2250" s="45" t="n">
        <v>20</v>
      </c>
      <c r="J2250" s="77" t="n"/>
      <c r="K2250" s="18" t="n"/>
    </row>
    <row r="2251">
      <c r="B2251" s="56" t="inlineStr">
        <is>
          <t>00059-AUT</t>
        </is>
      </c>
      <c r="C2251" s="18">
        <f>IFERROR(_xlfn.XLOOKUP(ENTRADAS[[#This Row],[CODIGO]],LISTADO[CODIGOS],LISTADO[CATEGORIA]),"NO EXISTE")</f>
        <v/>
      </c>
      <c r="D2251" s="18">
        <f>IFERROR(_xlfn.XLOOKUP(ENTRADAS[[#This Row],[CODIGO]],LISTADO[CODIGOS],LISTADO[PRODUCTOS]),"NO EXISTE")</f>
        <v/>
      </c>
      <c r="E2251" s="19" t="n">
        <v>46206</v>
      </c>
      <c r="F2251" s="18" t="n">
        <v>0.5</v>
      </c>
      <c r="G2251" s="18" t="inlineStr">
        <is>
          <t>INGRESO</t>
        </is>
      </c>
      <c r="H2251" s="1" t="inlineStr">
        <is>
          <t>MANPRECO C.A.</t>
        </is>
      </c>
      <c r="I2251" s="45" t="n">
        <v>25</v>
      </c>
      <c r="J2251" s="77" t="n"/>
      <c r="K2251" s="18" t="n"/>
    </row>
    <row r="2252">
      <c r="B2252" s="18" t="inlineStr">
        <is>
          <t>00268-FER</t>
        </is>
      </c>
      <c r="C2252" s="18">
        <f>IFERROR(_xlfn.XLOOKUP(ENTRADAS[[#This Row],[CODIGO]],LISTADO[CODIGOS],LISTADO[CATEGORIA]),"NO EXISTE")</f>
        <v/>
      </c>
      <c r="D2252" s="18">
        <f>IFERROR(_xlfn.XLOOKUP(ENTRADAS[[#This Row],[CODIGO]],LISTADO[CODIGOS],LISTADO[PRODUCTOS]),"NO EXISTE")</f>
        <v/>
      </c>
      <c r="E2252" s="19" t="n">
        <v>46206</v>
      </c>
      <c r="F2252" s="18" t="n">
        <v>2</v>
      </c>
      <c r="G2252" s="18" t="inlineStr">
        <is>
          <t>INGRESO</t>
        </is>
      </c>
      <c r="H2252" s="1" t="inlineStr">
        <is>
          <t>MANPRECO C.A.</t>
        </is>
      </c>
      <c r="I2252" s="45" t="n">
        <v>3</v>
      </c>
      <c r="J2252" s="77" t="n"/>
      <c r="K2252" s="18" t="n"/>
    </row>
    <row r="2253">
      <c r="B2253" s="56" t="inlineStr">
        <is>
          <t>00066-ELE</t>
        </is>
      </c>
      <c r="C2253" s="18">
        <f>IFERROR(_xlfn.XLOOKUP(ENTRADAS[[#This Row],[CODIGO]],LISTADO[CODIGOS],LISTADO[CATEGORIA]),"NO EXISTE")</f>
        <v/>
      </c>
      <c r="D2253" s="18">
        <f>IFERROR(_xlfn.XLOOKUP(ENTRADAS[[#This Row],[CODIGO]],LISTADO[CODIGOS],LISTADO[PRODUCTOS]),"NO EXISTE")</f>
        <v/>
      </c>
      <c r="E2253" s="19" t="n">
        <v>46206</v>
      </c>
      <c r="F2253" s="18" t="n">
        <v>100</v>
      </c>
      <c r="G2253" s="18" t="inlineStr">
        <is>
          <t>INGRESO</t>
        </is>
      </c>
      <c r="H2253" s="1" t="inlineStr">
        <is>
          <t>CABLESELEC, C.A.</t>
        </is>
      </c>
      <c r="I2253" s="45" t="n">
        <v>0.76</v>
      </c>
      <c r="J2253" s="77" t="n"/>
      <c r="K2253" s="18" t="n"/>
    </row>
    <row r="2254">
      <c r="B2254" s="56" t="inlineStr">
        <is>
          <t>00089-ELE</t>
        </is>
      </c>
      <c r="C2254" s="18">
        <f>IFERROR(_xlfn.XLOOKUP(ENTRADAS[[#This Row],[CODIGO]],LISTADO[CODIGOS],LISTADO[CATEGORIA]),"NO EXISTE")</f>
        <v/>
      </c>
      <c r="D2254" s="18">
        <f>IFERROR(_xlfn.XLOOKUP(ENTRADAS[[#This Row],[CODIGO]],LISTADO[CODIGOS],LISTADO[PRODUCTOS]),"NO EXISTE")</f>
        <v/>
      </c>
      <c r="E2254" s="19" t="n">
        <v>46206</v>
      </c>
      <c r="F2254" s="18" t="n">
        <v>100</v>
      </c>
      <c r="G2254" s="18" t="inlineStr">
        <is>
          <t>INGRESO</t>
        </is>
      </c>
      <c r="H2254" s="1" t="inlineStr">
        <is>
          <t>CABLESELEC, C.A.</t>
        </is>
      </c>
      <c r="I2254" s="45" t="n">
        <v>0.76</v>
      </c>
      <c r="J2254" s="77" t="n"/>
      <c r="K2254" s="18" t="n"/>
    </row>
    <row r="2255">
      <c r="B2255" s="56" t="inlineStr">
        <is>
          <t>00067-ELE</t>
        </is>
      </c>
      <c r="C2255" s="18">
        <f>IFERROR(_xlfn.XLOOKUP(ENTRADAS[[#This Row],[CODIGO]],LISTADO[CODIGOS],LISTADO[CATEGORIA]),"NO EXISTE")</f>
        <v/>
      </c>
      <c r="D2255" s="18">
        <f>IFERROR(_xlfn.XLOOKUP(ENTRADAS[[#This Row],[CODIGO]],LISTADO[CODIGOS],LISTADO[PRODUCTOS]),"NO EXISTE")</f>
        <v/>
      </c>
      <c r="E2255" s="19" t="n">
        <v>46206</v>
      </c>
      <c r="F2255" s="18" t="n">
        <v>100</v>
      </c>
      <c r="G2255" s="18" t="inlineStr">
        <is>
          <t>INGRESO</t>
        </is>
      </c>
      <c r="H2255" s="1" t="inlineStr">
        <is>
          <t>CABLESELEC, C.A.</t>
        </is>
      </c>
      <c r="I2255" s="45" t="n">
        <v>0.76</v>
      </c>
      <c r="J2255" s="77" t="n"/>
      <c r="K2255" s="18" t="n"/>
    </row>
    <row r="2256">
      <c r="B2256" s="56" t="inlineStr">
        <is>
          <t>00075-ELE</t>
        </is>
      </c>
      <c r="C2256" s="18">
        <f>IFERROR(_xlfn.XLOOKUP(ENTRADAS[[#This Row],[CODIGO]],LISTADO[CODIGOS],LISTADO[CATEGORIA]),"NO EXISTE")</f>
        <v/>
      </c>
      <c r="D2256" s="18">
        <f>IFERROR(_xlfn.XLOOKUP(ENTRADAS[[#This Row],[CODIGO]],LISTADO[CODIGOS],LISTADO[PRODUCTOS]),"NO EXISTE")</f>
        <v/>
      </c>
      <c r="E2256" s="19" t="n">
        <v>46206</v>
      </c>
      <c r="F2256" s="18" t="n">
        <v>100</v>
      </c>
      <c r="G2256" s="18" t="inlineStr">
        <is>
          <t>INGRESO</t>
        </is>
      </c>
      <c r="H2256" s="1" t="inlineStr">
        <is>
          <t>CABLESELEC, C.A.</t>
        </is>
      </c>
      <c r="I2256" s="45" t="n">
        <v>0.76</v>
      </c>
      <c r="J2256" s="77" t="n"/>
      <c r="K2256" s="18" t="n"/>
    </row>
    <row r="2257">
      <c r="B2257" s="56" t="inlineStr">
        <is>
          <t>00088-ELE</t>
        </is>
      </c>
      <c r="C2257" s="18">
        <f>IFERROR(_xlfn.XLOOKUP(ENTRADAS[[#This Row],[CODIGO]],LISTADO[CODIGOS],LISTADO[CATEGORIA]),"NO EXISTE")</f>
        <v/>
      </c>
      <c r="D2257" s="18">
        <f>IFERROR(_xlfn.XLOOKUP(ENTRADAS[[#This Row],[CODIGO]],LISTADO[CODIGOS],LISTADO[PRODUCTOS]),"NO EXISTE")</f>
        <v/>
      </c>
      <c r="E2257" s="19" t="n">
        <v>46206</v>
      </c>
      <c r="F2257" s="18" t="n">
        <v>100</v>
      </c>
      <c r="G2257" s="18" t="inlineStr">
        <is>
          <t>INGRESO</t>
        </is>
      </c>
      <c r="H2257" s="1" t="inlineStr">
        <is>
          <t>CABLESELEC, C.A.</t>
        </is>
      </c>
      <c r="I2257" s="45" t="n"/>
      <c r="J2257" s="77" t="n"/>
      <c r="K2257" s="18" t="n"/>
    </row>
    <row r="2258">
      <c r="B2258" s="56" t="inlineStr">
        <is>
          <t> </t>
        </is>
      </c>
      <c r="G2258" s="56" t="n"/>
      <c r="H2258" s="18" t="n"/>
      <c r="I2258" s="18" t="n"/>
      <c r="J2258" s="18" t="n"/>
      <c r="K2258" s="18" t="n"/>
    </row>
  </sheetData>
  <mergeCells count="1">
    <mergeCell ref="A4:F4"/>
  </mergeCells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Hoja3">
    <outlinePr summaryBelow="1" summaryRight="1"/>
    <pageSetUpPr/>
  </sheetPr>
  <dimension ref="A1:V2002"/>
  <sheetViews>
    <sheetView showGridLines="0" topLeftCell="A1989" workbookViewId="0">
      <selection activeCell="D2002" sqref="D2002"/>
    </sheetView>
  </sheetViews>
  <sheetFormatPr baseColWidth="10" defaultColWidth="11.453125" defaultRowHeight="14.5"/>
  <cols>
    <col width="7.36328125" bestFit="1" customWidth="1" style="18" min="1" max="1"/>
    <col width="10.26953125" bestFit="1" customWidth="1" style="16" min="2" max="2"/>
    <col width="15.08984375" bestFit="1" customWidth="1" style="18" min="3" max="3"/>
    <col width="53.6328125" bestFit="1" customWidth="1" style="18" min="4" max="4"/>
    <col width="14.1796875" bestFit="1" customWidth="1" style="18" min="5" max="5"/>
    <col width="17.36328125" bestFit="1" customWidth="1" style="18" min="6" max="6"/>
    <col width="21.08984375" bestFit="1" customWidth="1" style="18" min="7" max="7"/>
    <col width="18.453125" bestFit="1" customWidth="1" style="18" min="8" max="8"/>
    <col width="21.1796875" bestFit="1" customWidth="1" style="18" min="9" max="9"/>
    <col width="17.36328125" bestFit="1" customWidth="1" style="1" min="10" max="10"/>
    <col width="11.453125" customWidth="1" style="1" min="11" max="11"/>
    <col width="21.81640625" customWidth="1" style="1" min="12" max="12"/>
    <col width="11.453125" customWidth="1" style="1" min="13" max="13"/>
    <col width="11.453125" customWidth="1" style="1" min="14" max="20"/>
    <col width="21.81640625" bestFit="1" customWidth="1" style="1" min="21" max="21"/>
    <col width="11.453125" customWidth="1" style="1" min="22" max="16384"/>
  </cols>
  <sheetData>
    <row r="1">
      <c r="S1">
        <f>"CANTIDAD EGRESADA: " &amp; TEXT(SUBTOTAL(109, SALIDAS[CANTIDAD]), "#,##0")</f>
        <v/>
      </c>
      <c r="U1" s="1" t="inlineStr">
        <is>
          <t>TECNICOS</t>
        </is>
      </c>
      <c r="V1" s="1" t="inlineStr">
        <is>
          <t>TIENDA</t>
        </is>
      </c>
    </row>
    <row r="2">
      <c r="U2" s="1" t="inlineStr">
        <is>
          <t>LANGER LINARES</t>
        </is>
      </c>
      <c r="V2" s="1" t="inlineStr">
        <is>
          <t>NAGUANAGUA 1</t>
        </is>
      </c>
    </row>
    <row r="3">
      <c r="U3" s="1" t="inlineStr">
        <is>
          <t>JUAN PAEZ</t>
        </is>
      </c>
      <c r="V3" s="1" t="inlineStr">
        <is>
          <t>NAGUANAGUA 2</t>
        </is>
      </c>
    </row>
    <row r="4">
      <c r="U4" s="1" t="inlineStr">
        <is>
          <t>ISMAEL SANTAELLA</t>
        </is>
      </c>
      <c r="V4" s="1" t="inlineStr">
        <is>
          <t>NAGUANAGUA 3</t>
        </is>
      </c>
    </row>
    <row r="5">
      <c r="U5" s="1" t="inlineStr">
        <is>
          <t>MENDOR AULAR</t>
        </is>
      </c>
      <c r="V5" s="1" t="inlineStr">
        <is>
          <t>MAÑONGO</t>
        </is>
      </c>
    </row>
    <row r="6">
      <c r="U6" s="1" t="inlineStr">
        <is>
          <t xml:space="preserve">LUIS SILVA </t>
        </is>
      </c>
      <c r="V6" s="1" t="inlineStr">
        <is>
          <t>AV. BOLIVAR</t>
        </is>
      </c>
    </row>
    <row r="7" ht="21" customHeight="1" s="11">
      <c r="A7" s="74" t="inlineStr">
        <is>
          <t>MOVIMIENTOS DE SALIDAS</t>
        </is>
      </c>
      <c r="B7" s="1" t="n"/>
      <c r="C7" s="1" t="n"/>
      <c r="D7" s="1" t="n"/>
      <c r="E7" s="1" t="n"/>
      <c r="F7" s="1" t="n"/>
      <c r="G7" s="1" t="n"/>
      <c r="H7" s="59" t="n"/>
      <c r="U7" s="1" t="inlineStr">
        <is>
          <t>JULIO MUJICA</t>
        </is>
      </c>
      <c r="V7" s="1" t="inlineStr">
        <is>
          <t xml:space="preserve">EL BOSQUE </t>
        </is>
      </c>
    </row>
    <row r="8">
      <c r="U8" s="1" t="inlineStr">
        <is>
          <t>EDDY CHOURIO</t>
        </is>
      </c>
      <c r="V8" s="1" t="inlineStr">
        <is>
          <t>AV. CEDEÑO</t>
        </is>
      </c>
    </row>
    <row r="9" ht="21.5" customHeight="1" s="11">
      <c r="A9" s="1" t="n"/>
      <c r="C9" s="1" t="n"/>
      <c r="D9" s="1" t="n"/>
      <c r="E9" s="1" t="n"/>
      <c r="F9" s="1" t="n"/>
      <c r="G9" s="1" t="n"/>
      <c r="H9" s="1" t="n"/>
      <c r="I9" s="12" t="n"/>
      <c r="U9" s="1" t="inlineStr">
        <is>
          <t>LUIS COLMENARES</t>
        </is>
      </c>
      <c r="V9" s="1" t="inlineStr">
        <is>
          <t>LAS FERIAS</t>
        </is>
      </c>
    </row>
    <row r="10" ht="21" customHeight="1" s="11">
      <c r="G10" s="60" t="n"/>
      <c r="H10" s="1" t="n"/>
      <c r="I10" s="1" t="n"/>
      <c r="U10" s="1" t="inlineStr">
        <is>
          <t>MARLON GUZMAN</t>
        </is>
      </c>
      <c r="V10" s="1" t="inlineStr">
        <is>
          <t>PERIFERICO</t>
        </is>
      </c>
    </row>
    <row r="11">
      <c r="U11" s="1" t="inlineStr">
        <is>
          <t>ALEXANDER GUANCHEZ</t>
        </is>
      </c>
      <c r="V11" s="1" t="inlineStr">
        <is>
          <t>MAYOR</t>
        </is>
      </c>
    </row>
    <row r="12">
      <c r="U12" s="1" t="inlineStr">
        <is>
          <t>JESUS PERDOMO</t>
        </is>
      </c>
      <c r="V12" s="1" t="inlineStr">
        <is>
          <t>CORPORATIVO</t>
        </is>
      </c>
    </row>
    <row r="13">
      <c r="U13" s="1" t="inlineStr">
        <is>
          <t>ALBERTO MANRIQUE</t>
        </is>
      </c>
      <c r="V13" s="1" t="inlineStr">
        <is>
          <t>SAN DIEGO</t>
        </is>
      </c>
    </row>
    <row r="14">
      <c r="U14" s="1" t="inlineStr">
        <is>
          <t>JUAN GONZALEZ</t>
        </is>
      </c>
      <c r="V14" s="1" t="inlineStr">
        <is>
          <t>FLOR AMARILLO</t>
        </is>
      </c>
    </row>
    <row r="15">
      <c r="U15" s="1" t="inlineStr">
        <is>
          <t>JOSE RODRIGUEZ</t>
        </is>
      </c>
      <c r="V15" s="1" t="inlineStr">
        <is>
          <t>GUACARA</t>
        </is>
      </c>
    </row>
    <row r="16">
      <c r="U16" s="1" t="inlineStr">
        <is>
          <t>CARLOS BARRETO</t>
        </is>
      </c>
      <c r="V16" s="1" t="inlineStr">
        <is>
          <t>TAZAJAL</t>
        </is>
      </c>
    </row>
    <row r="17">
      <c r="A17" s="1" t="n"/>
      <c r="C17" s="1" t="n"/>
      <c r="D17" s="1" t="n"/>
      <c r="E17" s="1" t="n"/>
      <c r="F17" s="1" t="n"/>
      <c r="G17" s="1" t="n"/>
      <c r="H17" s="1" t="n"/>
      <c r="I17" s="1" t="n"/>
      <c r="U17" s="1" t="inlineStr">
        <is>
          <t>ROBERTO ORTIZ</t>
        </is>
      </c>
      <c r="V17" s="1" t="inlineStr">
        <is>
          <t>PARAPARAL</t>
        </is>
      </c>
    </row>
    <row r="18">
      <c r="A18" s="18" t="inlineStr">
        <is>
          <t>N°</t>
        </is>
      </c>
      <c r="B18" s="16" t="inlineStr">
        <is>
          <t>CODIGO</t>
        </is>
      </c>
      <c r="C18" s="18" t="inlineStr">
        <is>
          <t>CATEGORIA</t>
        </is>
      </c>
      <c r="D18" s="18" t="inlineStr">
        <is>
          <t>PRODUCTO</t>
        </is>
      </c>
      <c r="E18" s="18" t="inlineStr">
        <is>
          <t>FECHA</t>
        </is>
      </c>
      <c r="F18" s="18" t="inlineStr">
        <is>
          <t>CANTIDAD</t>
        </is>
      </c>
      <c r="G18" s="18" t="inlineStr">
        <is>
          <t>TIENDA</t>
        </is>
      </c>
      <c r="H18" s="18" t="inlineStr">
        <is>
          <t>RESPONSABLE</t>
        </is>
      </c>
      <c r="I18" s="1" t="n"/>
      <c r="U18" s="1" t="inlineStr">
        <is>
          <t>OSCAR COLMENARES</t>
        </is>
      </c>
      <c r="V18" s="1" t="inlineStr">
        <is>
          <t>ISABELICA</t>
        </is>
      </c>
    </row>
    <row r="19">
      <c r="A19" s="18" t="n">
        <v>2</v>
      </c>
      <c r="B19" t="inlineStr">
        <is>
          <t>00072-FER</t>
        </is>
      </c>
      <c r="C19" s="56">
        <f>IFERROR(_xlfn.XLOOKUP(SALIDAS[[#This Row],[CODIGO]],LISTADO[CODIGOS],LISTADO[CATEGORIA]),"NO EXISTE")</f>
        <v/>
      </c>
      <c r="D19" s="56">
        <f>IFERROR(_xlfn.XLOOKUP(SALIDAS[[#This Row],[CODIGO]],LISTADO[CODIGOS],LISTADO[PRODUCTOS]),"NO EXISTE")</f>
        <v/>
      </c>
      <c r="E19" s="19" t="n">
        <v>46064</v>
      </c>
      <c r="F19" s="18" t="n">
        <v>1</v>
      </c>
      <c r="G19" s="18" t="inlineStr">
        <is>
          <t>PERIFERICO</t>
        </is>
      </c>
      <c r="H19" s="18" t="inlineStr">
        <is>
          <t xml:space="preserve">HUMBERTO RUIZ </t>
        </is>
      </c>
      <c r="I19" s="9" t="inlineStr">
        <is>
          <t>Etiquetas de fila</t>
        </is>
      </c>
      <c r="J19" t="inlineStr">
        <is>
          <t>Suma de CANTIDAD</t>
        </is>
      </c>
      <c r="U19" s="1" t="inlineStr">
        <is>
          <t>HENRY COLMENAREZ</t>
        </is>
      </c>
      <c r="V19" s="1" t="inlineStr">
        <is>
          <t>TOCUYITO</t>
        </is>
      </c>
    </row>
    <row r="20">
      <c r="A20" s="18" t="n">
        <v>3</v>
      </c>
      <c r="B20" t="inlineStr">
        <is>
          <t>00089-HER</t>
        </is>
      </c>
      <c r="C20" s="56">
        <f>IFERROR(_xlfn.XLOOKUP(SALIDAS[[#This Row],[CODIGO]],LISTADO[CODIGOS],LISTADO[CATEGORIA]),"NO EXISTE")</f>
        <v/>
      </c>
      <c r="D20" s="56">
        <f>IFERROR(_xlfn.XLOOKUP(SALIDAS[[#This Row],[CODIGO]],LISTADO[CODIGOS],LISTADO[PRODUCTOS]),"NO EXISTE")</f>
        <v/>
      </c>
      <c r="E20" s="19" t="n">
        <v>46064</v>
      </c>
      <c r="F20" s="18" t="n">
        <v>1</v>
      </c>
      <c r="G20" s="18" t="inlineStr">
        <is>
          <t>PERIFERICO</t>
        </is>
      </c>
      <c r="H20" s="18" t="inlineStr">
        <is>
          <t xml:space="preserve">HUMBERTO RUIZ </t>
        </is>
      </c>
      <c r="I20" s="10" t="inlineStr">
        <is>
          <t>AUTOMOTRIZ</t>
        </is>
      </c>
      <c r="J20" t="n">
        <v>9</v>
      </c>
      <c r="U20" s="1" t="inlineStr">
        <is>
          <t>SIMON ROJAS</t>
        </is>
      </c>
      <c r="V20" s="1" t="inlineStr">
        <is>
          <t>GUIGUE</t>
        </is>
      </c>
    </row>
    <row r="21">
      <c r="A21" s="18" t="n">
        <v>4</v>
      </c>
      <c r="B21" t="inlineStr">
        <is>
          <t>00033-OFC</t>
        </is>
      </c>
      <c r="C21" s="56">
        <f>IFERROR(_xlfn.XLOOKUP(SALIDAS[[#This Row],[CODIGO]],LISTADO[CODIGOS],LISTADO[CATEGORIA]),"NO EXISTE")</f>
        <v/>
      </c>
      <c r="D21" s="56">
        <f>IFERROR(_xlfn.XLOOKUP(SALIDAS[[#This Row],[CODIGO]],LISTADO[CODIGOS],LISTADO[PRODUCTOS]),"NO EXISTE")</f>
        <v/>
      </c>
      <c r="E21" s="19" t="n">
        <v>46064</v>
      </c>
      <c r="F21" s="18" t="n">
        <v>1</v>
      </c>
      <c r="G21" s="18" t="inlineStr">
        <is>
          <t>PERIFERICO</t>
        </is>
      </c>
      <c r="H21" s="18" t="inlineStr">
        <is>
          <t xml:space="preserve">HUMBERTO RUIZ </t>
        </is>
      </c>
      <c r="I21" s="17" t="inlineStr">
        <is>
          <t>PERIFERICO</t>
        </is>
      </c>
      <c r="J21" t="n">
        <v>9</v>
      </c>
      <c r="U21" s="1" t="inlineStr">
        <is>
          <t>ANTHONY SILVA</t>
        </is>
      </c>
      <c r="V21" s="1" t="inlineStr">
        <is>
          <t>CEDI FRUVER</t>
        </is>
      </c>
    </row>
    <row r="22">
      <c r="A22" s="18" t="n">
        <v>8</v>
      </c>
      <c r="B22" t="inlineStr">
        <is>
          <t>00072-HER</t>
        </is>
      </c>
      <c r="C22" s="56">
        <f>IFERROR(_xlfn.XLOOKUP(SALIDAS[[#This Row],[CODIGO]],LISTADO[CODIGOS],LISTADO[CATEGORIA]),"NO EXISTE")</f>
        <v/>
      </c>
      <c r="D22" s="56">
        <f>IFERROR(_xlfn.XLOOKUP(SALIDAS[[#This Row],[CODIGO]],LISTADO[CODIGOS],LISTADO[PRODUCTOS]),"NO EXISTE")</f>
        <v/>
      </c>
      <c r="E22" s="19" t="n">
        <v>46064</v>
      </c>
      <c r="F22" s="18" t="n">
        <v>1</v>
      </c>
      <c r="G22" s="18" t="inlineStr">
        <is>
          <t>PERIFERICO</t>
        </is>
      </c>
      <c r="H22" s="18" t="inlineStr">
        <is>
          <t xml:space="preserve">HUMBERTO RUIZ </t>
        </is>
      </c>
      <c r="I22" s="10" t="inlineStr">
        <is>
          <t>ELECTRICIDAD</t>
        </is>
      </c>
      <c r="J22" t="n">
        <v>82</v>
      </c>
      <c r="U22" s="1" t="inlineStr">
        <is>
          <t xml:space="preserve">HUMBERTO RUIZ </t>
        </is>
      </c>
      <c r="V22" s="1" t="inlineStr">
        <is>
          <t xml:space="preserve">CEDI SECO </t>
        </is>
      </c>
    </row>
    <row r="23">
      <c r="A23" s="18" t="n">
        <v>10</v>
      </c>
      <c r="B23" t="inlineStr">
        <is>
          <t>00024-OFC</t>
        </is>
      </c>
      <c r="C23" s="56">
        <f>IFERROR(_xlfn.XLOOKUP(SALIDAS[[#This Row],[CODIGO]],LISTADO[CODIGOS],LISTADO[CATEGORIA]),"NO EXISTE")</f>
        <v/>
      </c>
      <c r="D23" s="56">
        <f>IFERROR(_xlfn.XLOOKUP(SALIDAS[[#This Row],[CODIGO]],LISTADO[CODIGOS],LISTADO[PRODUCTOS]),"NO EXISTE")</f>
        <v/>
      </c>
      <c r="E23" s="19" t="n">
        <v>46064</v>
      </c>
      <c r="F23" s="18" t="n">
        <v>1</v>
      </c>
      <c r="G23" s="18" t="inlineStr">
        <is>
          <t>PERIFERICO</t>
        </is>
      </c>
      <c r="H23" s="18" t="inlineStr">
        <is>
          <t xml:space="preserve">HUMBERTO RUIZ </t>
        </is>
      </c>
      <c r="I23" s="17" t="inlineStr">
        <is>
          <t xml:space="preserve">CEDI SECO </t>
        </is>
      </c>
      <c r="J23" t="n">
        <v>3</v>
      </c>
      <c r="U23" s="1" t="inlineStr">
        <is>
          <t>WILMER INFANTE</t>
        </is>
      </c>
      <c r="V23" s="1" t="inlineStr">
        <is>
          <t>CEDI FRIO</t>
        </is>
      </c>
    </row>
    <row r="24">
      <c r="A24" s="18" t="n">
        <v>17</v>
      </c>
      <c r="B24" t="inlineStr">
        <is>
          <t>00050-HER</t>
        </is>
      </c>
      <c r="C24" s="56">
        <f>IFERROR(_xlfn.XLOOKUP(SALIDAS[[#This Row],[CODIGO]],LISTADO[CODIGOS],LISTADO[CATEGORIA]),"NO EXISTE")</f>
        <v/>
      </c>
      <c r="D24" s="56">
        <f>IFERROR(_xlfn.XLOOKUP(SALIDAS[[#This Row],[CODIGO]],LISTADO[CODIGOS],LISTADO[PRODUCTOS]),"NO EXISTE")</f>
        <v/>
      </c>
      <c r="E24" s="19" t="n">
        <v>46064</v>
      </c>
      <c r="F24" s="18" t="n">
        <v>1</v>
      </c>
      <c r="G24" s="18" t="inlineStr">
        <is>
          <t>PERIFERICO</t>
        </is>
      </c>
      <c r="H24" s="18" t="inlineStr">
        <is>
          <t xml:space="preserve">HUMBERTO RUIZ </t>
        </is>
      </c>
      <c r="I24" s="17" t="inlineStr">
        <is>
          <t>GUACARA</t>
        </is>
      </c>
      <c r="J24" t="n">
        <v>2</v>
      </c>
      <c r="U24" s="1" t="inlineStr">
        <is>
          <t>ERICK BUENAÑO</t>
        </is>
      </c>
      <c r="V24" s="1" t="inlineStr">
        <is>
          <t>ARTIGAS (CARACAS)</t>
        </is>
      </c>
    </row>
    <row r="25">
      <c r="A25" s="18" t="n">
        <v>19</v>
      </c>
      <c r="B25" t="inlineStr">
        <is>
          <t>00049-HER</t>
        </is>
      </c>
      <c r="C25" s="56">
        <f>IFERROR(_xlfn.XLOOKUP(SALIDAS[[#This Row],[CODIGO]],LISTADO[CODIGOS],LISTADO[CATEGORIA]),"NO EXISTE")</f>
        <v/>
      </c>
      <c r="D25" s="56">
        <f>IFERROR(_xlfn.XLOOKUP(SALIDAS[[#This Row],[CODIGO]],LISTADO[CODIGOS],LISTADO[PRODUCTOS]),"NO EXISTE")</f>
        <v/>
      </c>
      <c r="E25" s="19" t="n">
        <v>46064</v>
      </c>
      <c r="F25" s="18" t="n">
        <v>1</v>
      </c>
      <c r="G25" s="18" t="inlineStr">
        <is>
          <t>PERIFERICO</t>
        </is>
      </c>
      <c r="H25" s="18" t="inlineStr">
        <is>
          <t xml:space="preserve">HUMBERTO RUIZ </t>
        </is>
      </c>
      <c r="I25" s="17" t="inlineStr">
        <is>
          <t>LA VEGA (CARACAS)</t>
        </is>
      </c>
      <c r="J25" t="n">
        <v>59</v>
      </c>
      <c r="U25" s="1" t="inlineStr">
        <is>
          <t>MARIANGEL HERNANDEZ</t>
        </is>
      </c>
      <c r="V25" s="1" t="inlineStr">
        <is>
          <t>PARAISO (CARACAS)</t>
        </is>
      </c>
    </row>
    <row r="26">
      <c r="A26" s="18" t="n">
        <v>30</v>
      </c>
      <c r="B26" t="inlineStr">
        <is>
          <t>00040-HER</t>
        </is>
      </c>
      <c r="C26" s="56">
        <f>IFERROR(_xlfn.XLOOKUP(SALIDAS[[#This Row],[CODIGO]],LISTADO[CODIGOS],LISTADO[CATEGORIA]),"NO EXISTE")</f>
        <v/>
      </c>
      <c r="D26" s="56">
        <f>IFERROR(_xlfn.XLOOKUP(SALIDAS[[#This Row],[CODIGO]],LISTADO[CODIGOS],LISTADO[PRODUCTOS]),"NO EXISTE")</f>
        <v/>
      </c>
      <c r="E26" s="19" t="n">
        <v>46064</v>
      </c>
      <c r="F26" s="18" t="n">
        <v>1</v>
      </c>
      <c r="G26" s="18" t="inlineStr">
        <is>
          <t>PERIFERICO</t>
        </is>
      </c>
      <c r="H26" s="18" t="inlineStr">
        <is>
          <t xml:space="preserve">HUMBERTO RUIZ </t>
        </is>
      </c>
      <c r="I26" s="17" t="inlineStr">
        <is>
          <t>MAÑONGO</t>
        </is>
      </c>
      <c r="J26" t="n">
        <v>3</v>
      </c>
      <c r="U26" s="1" t="inlineStr">
        <is>
          <t>MARIA GUZMAN</t>
        </is>
      </c>
      <c r="V26" s="1" t="inlineStr">
        <is>
          <t>LA VEGA (CARACAS)</t>
        </is>
      </c>
    </row>
    <row r="27">
      <c r="A27" s="18" t="n">
        <v>32</v>
      </c>
      <c r="B27" t="inlineStr">
        <is>
          <t>00039-HER</t>
        </is>
      </c>
      <c r="C27" s="56">
        <f>IFERROR(_xlfn.XLOOKUP(SALIDAS[[#This Row],[CODIGO]],LISTADO[CODIGOS],LISTADO[CATEGORIA]),"NO EXISTE")</f>
        <v/>
      </c>
      <c r="D27" s="56">
        <f>IFERROR(_xlfn.XLOOKUP(SALIDAS[[#This Row],[CODIGO]],LISTADO[CODIGOS],LISTADO[PRODUCTOS]),"NO EXISTE")</f>
        <v/>
      </c>
      <c r="E27" s="19" t="n">
        <v>46064</v>
      </c>
      <c r="F27" s="18" t="n">
        <v>1</v>
      </c>
      <c r="G27" s="18" t="inlineStr">
        <is>
          <t>PERIFERICO</t>
        </is>
      </c>
      <c r="H27" s="18" t="inlineStr">
        <is>
          <t xml:space="preserve">HUMBERTO RUIZ </t>
        </is>
      </c>
      <c r="I27" s="17" t="inlineStr">
        <is>
          <t>NAGUANAGUA 1</t>
        </is>
      </c>
      <c r="J27" t="n">
        <v>2</v>
      </c>
      <c r="U27" s="1" t="inlineStr">
        <is>
          <t>GABRIEL MONSALVE</t>
        </is>
      </c>
      <c r="V27" s="1" t="inlineStr">
        <is>
          <t>SAN MARTIN (CARACAS)</t>
        </is>
      </c>
    </row>
    <row r="28">
      <c r="A28" s="18" t="n">
        <v>34</v>
      </c>
      <c r="B28" t="inlineStr">
        <is>
          <t>00036-HER</t>
        </is>
      </c>
      <c r="C28" s="56">
        <f>IFERROR(_xlfn.XLOOKUP(SALIDAS[[#This Row],[CODIGO]],LISTADO[CODIGOS],LISTADO[CATEGORIA]),"NO EXISTE")</f>
        <v/>
      </c>
      <c r="D28" s="56">
        <f>IFERROR(_xlfn.XLOOKUP(SALIDAS[[#This Row],[CODIGO]],LISTADO[CODIGOS],LISTADO[PRODUCTOS]),"NO EXISTE")</f>
        <v/>
      </c>
      <c r="E28" s="19" t="n">
        <v>46064</v>
      </c>
      <c r="F28" s="18" t="n">
        <v>1</v>
      </c>
      <c r="G28" s="18" t="inlineStr">
        <is>
          <t>PERIFERICO</t>
        </is>
      </c>
      <c r="H28" s="18" t="inlineStr">
        <is>
          <t xml:space="preserve">HUMBERTO RUIZ </t>
        </is>
      </c>
      <c r="I28" s="17" t="inlineStr">
        <is>
          <t>PARAPARAL</t>
        </is>
      </c>
      <c r="J28" t="n">
        <v>1</v>
      </c>
      <c r="V28" s="1" t="inlineStr">
        <is>
          <t>LA VIÑA</t>
        </is>
      </c>
    </row>
    <row r="29">
      <c r="A29" s="18" t="n">
        <v>36</v>
      </c>
      <c r="B29" t="inlineStr">
        <is>
          <t>00035-HER</t>
        </is>
      </c>
      <c r="C29" s="56">
        <f>IFERROR(_xlfn.XLOOKUP(SALIDAS[[#This Row],[CODIGO]],LISTADO[CODIGOS],LISTADO[CATEGORIA]),"NO EXISTE")</f>
        <v/>
      </c>
      <c r="D29" s="56">
        <f>IFERROR(_xlfn.XLOOKUP(SALIDAS[[#This Row],[CODIGO]],LISTADO[CODIGOS],LISTADO[PRODUCTOS]),"NO EXISTE")</f>
        <v/>
      </c>
      <c r="E29" s="19" t="n">
        <v>46064</v>
      </c>
      <c r="F29" s="18" t="n">
        <v>1</v>
      </c>
      <c r="G29" s="18" t="inlineStr">
        <is>
          <t>PERIFERICO</t>
        </is>
      </c>
      <c r="H29" s="18" t="inlineStr">
        <is>
          <t xml:space="preserve">HUMBERTO RUIZ </t>
        </is>
      </c>
      <c r="I29" s="17" t="inlineStr">
        <is>
          <t>PERIFERICO</t>
        </is>
      </c>
      <c r="J29" t="n">
        <v>5</v>
      </c>
      <c r="V29" s="1" t="inlineStr">
        <is>
          <t>MAIQUETIA</t>
        </is>
      </c>
    </row>
    <row r="30">
      <c r="A30" s="18" t="n">
        <v>41</v>
      </c>
      <c r="B30" t="inlineStr">
        <is>
          <t>00013-HER</t>
        </is>
      </c>
      <c r="C30" s="56">
        <f>IFERROR(_xlfn.XLOOKUP(SALIDAS[[#This Row],[CODIGO]],LISTADO[CODIGOS],LISTADO[CATEGORIA]),"NO EXISTE")</f>
        <v/>
      </c>
      <c r="D30" s="56">
        <f>IFERROR(_xlfn.XLOOKUP(SALIDAS[[#This Row],[CODIGO]],LISTADO[CODIGOS],LISTADO[PRODUCTOS]),"NO EXISTE")</f>
        <v/>
      </c>
      <c r="E30" s="19" t="n">
        <v>46064</v>
      </c>
      <c r="F30" s="18" t="n">
        <v>1</v>
      </c>
      <c r="G30" s="18" t="inlineStr">
        <is>
          <t>PERIFERICO</t>
        </is>
      </c>
      <c r="H30" s="18" t="inlineStr">
        <is>
          <t xml:space="preserve">HUMBERTO RUIZ </t>
        </is>
      </c>
      <c r="I30" s="17" t="inlineStr">
        <is>
          <t>TOCUYITO</t>
        </is>
      </c>
      <c r="J30" t="n">
        <v>7</v>
      </c>
      <c r="V30" s="1" t="inlineStr">
        <is>
          <t>TURMERO</t>
        </is>
      </c>
    </row>
    <row r="31">
      <c r="A31" s="18" t="n">
        <v>45</v>
      </c>
      <c r="B31" t="inlineStr">
        <is>
          <t>00003-HER</t>
        </is>
      </c>
      <c r="C31" s="56">
        <f>IFERROR(_xlfn.XLOOKUP(SALIDAS[[#This Row],[CODIGO]],LISTADO[CODIGOS],LISTADO[CATEGORIA]),"NO EXISTE")</f>
        <v/>
      </c>
      <c r="D31" s="56">
        <f>IFERROR(_xlfn.XLOOKUP(SALIDAS[[#This Row],[CODIGO]],LISTADO[CODIGOS],LISTADO[PRODUCTOS]),"NO EXISTE")</f>
        <v/>
      </c>
      <c r="E31" s="19" t="n">
        <v>46064</v>
      </c>
      <c r="F31" s="18" t="n">
        <v>1</v>
      </c>
      <c r="G31" s="18" t="inlineStr">
        <is>
          <t>PERIFERICO</t>
        </is>
      </c>
      <c r="H31" s="18" t="inlineStr">
        <is>
          <t xml:space="preserve">HUMBERTO RUIZ </t>
        </is>
      </c>
      <c r="I31" s="10" t="inlineStr">
        <is>
          <t>ELECTRONICO</t>
        </is>
      </c>
      <c r="J31" t="n">
        <v>3</v>
      </c>
    </row>
    <row r="32">
      <c r="A32" s="18" t="n">
        <v>24</v>
      </c>
      <c r="B32" t="inlineStr">
        <is>
          <t>00023-FER</t>
        </is>
      </c>
      <c r="C32" s="56">
        <f>IFERROR(_xlfn.XLOOKUP(SALIDAS[[#This Row],[CODIGO]],LISTADO[CODIGOS],LISTADO[CATEGORIA]),"NO EXISTE")</f>
        <v/>
      </c>
      <c r="D32" s="56">
        <f>IFERROR(_xlfn.XLOOKUP(SALIDAS[[#This Row],[CODIGO]],LISTADO[CODIGOS],LISTADO[PRODUCTOS]),"NO EXISTE")</f>
        <v/>
      </c>
      <c r="E32" s="19" t="n">
        <v>46065</v>
      </c>
      <c r="F32" s="18" t="n">
        <v>2</v>
      </c>
      <c r="G32" s="18" t="inlineStr">
        <is>
          <t>CEDI FRUVER</t>
        </is>
      </c>
      <c r="I32" s="17" t="inlineStr">
        <is>
          <t>LA VEGA (CARACAS)</t>
        </is>
      </c>
      <c r="J32" t="n">
        <v>2</v>
      </c>
    </row>
    <row r="33">
      <c r="A33" s="18" t="n">
        <v>49</v>
      </c>
      <c r="B33" t="inlineStr">
        <is>
          <t>00014-REF</t>
        </is>
      </c>
      <c r="C33" s="56">
        <f>IFERROR(_xlfn.XLOOKUP(SALIDAS[[#This Row],[CODIGO]],LISTADO[CODIGOS],LISTADO[CATEGORIA]),"NO EXISTE")</f>
        <v/>
      </c>
      <c r="D33" s="56">
        <f>IFERROR(_xlfn.XLOOKUP(SALIDAS[[#This Row],[CODIGO]],LISTADO[CODIGOS],LISTADO[PRODUCTOS]),"NO EXISTE")</f>
        <v/>
      </c>
      <c r="E33" s="19" t="n">
        <v>46065</v>
      </c>
      <c r="F33" s="18" t="n">
        <v>1</v>
      </c>
      <c r="G33" s="18" t="inlineStr">
        <is>
          <t>NAGUANAGUA 2</t>
        </is>
      </c>
      <c r="H33" s="18" t="inlineStr">
        <is>
          <t>OSCAR COLMENARES</t>
        </is>
      </c>
      <c r="I33" s="17" t="inlineStr">
        <is>
          <t>NAGUANAGUA 1</t>
        </is>
      </c>
      <c r="J33" t="n">
        <v>1</v>
      </c>
    </row>
    <row r="34">
      <c r="A34" s="18" t="n">
        <v>67</v>
      </c>
      <c r="B34" t="inlineStr">
        <is>
          <t>00003-ELE</t>
        </is>
      </c>
      <c r="C34" s="56">
        <f>IFERROR(_xlfn.XLOOKUP(SALIDAS[[#This Row],[CODIGO]],LISTADO[CODIGOS],LISTADO[CATEGORIA]),"NO EXISTE")</f>
        <v/>
      </c>
      <c r="D34" s="56">
        <f>IFERROR(_xlfn.XLOOKUP(SALIDAS[[#This Row],[CODIGO]],LISTADO[CODIGOS],LISTADO[PRODUCTOS]),"NO EXISTE")</f>
        <v/>
      </c>
      <c r="E34" s="19" t="n">
        <v>46065</v>
      </c>
      <c r="F34" s="18" t="n">
        <v>10</v>
      </c>
      <c r="G34" s="18" t="inlineStr">
        <is>
          <t>TOCUYITO</t>
        </is>
      </c>
      <c r="H34" s="18" t="inlineStr">
        <is>
          <t>JESUS PERDOMO</t>
        </is>
      </c>
      <c r="I34" s="10" t="inlineStr">
        <is>
          <t>FERRETERIA</t>
        </is>
      </c>
      <c r="J34" t="n">
        <v>656.25</v>
      </c>
    </row>
    <row r="35">
      <c r="A35" s="18" t="n">
        <v>5</v>
      </c>
      <c r="B35" t="inlineStr">
        <is>
          <t>00069-FER</t>
        </is>
      </c>
      <c r="C35" s="56">
        <f>IFERROR(_xlfn.XLOOKUP(SALIDAS[[#This Row],[CODIGO]],LISTADO[CODIGOS],LISTADO[CATEGORIA]),"NO EXISTE")</f>
        <v/>
      </c>
      <c r="D35" s="56">
        <f>IFERROR(_xlfn.XLOOKUP(SALIDAS[[#This Row],[CODIGO]],LISTADO[CODIGOS],LISTADO[PRODUCTOS]),"NO EXISTE")</f>
        <v/>
      </c>
      <c r="E35" s="19" t="n">
        <v>46066</v>
      </c>
      <c r="F35" s="18" t="n">
        <v>1</v>
      </c>
      <c r="G35" s="18" t="inlineStr">
        <is>
          <t>PERIFERICO</t>
        </is>
      </c>
      <c r="H35" s="18" t="inlineStr">
        <is>
          <t xml:space="preserve">LUIS SILVA </t>
        </is>
      </c>
      <c r="I35" s="17" t="inlineStr">
        <is>
          <t>AV. BOLIVAR</t>
        </is>
      </c>
      <c r="J35" t="n">
        <v>11.5</v>
      </c>
    </row>
    <row r="36">
      <c r="A36" s="18" t="n">
        <v>7</v>
      </c>
      <c r="B36" t="inlineStr">
        <is>
          <t>00017-REF</t>
        </is>
      </c>
      <c r="C36" s="56">
        <f>IFERROR(_xlfn.XLOOKUP(SALIDAS[[#This Row],[CODIGO]],LISTADO[CODIGOS],LISTADO[CATEGORIA]),"NO EXISTE")</f>
        <v/>
      </c>
      <c r="D36" s="56">
        <f>IFERROR(_xlfn.XLOOKUP(SALIDAS[[#This Row],[CODIGO]],LISTADO[CODIGOS],LISTADO[PRODUCTOS]),"NO EXISTE")</f>
        <v/>
      </c>
      <c r="E36" s="19" t="n">
        <v>46066</v>
      </c>
      <c r="F36" s="18" t="n">
        <v>3</v>
      </c>
      <c r="G36" s="18" t="inlineStr">
        <is>
          <t>ISABELICA</t>
        </is>
      </c>
      <c r="I36" s="17" t="inlineStr">
        <is>
          <t>CEDI FRIO</t>
        </is>
      </c>
      <c r="J36" t="n">
        <v>3</v>
      </c>
    </row>
    <row r="37">
      <c r="A37" s="18" t="n">
        <v>9</v>
      </c>
      <c r="B37" t="inlineStr">
        <is>
          <t>00015-REF</t>
        </is>
      </c>
      <c r="C37" s="56">
        <f>IFERROR(_xlfn.XLOOKUP(SALIDAS[[#This Row],[CODIGO]],LISTADO[CODIGOS],LISTADO[CATEGORIA]),"NO EXISTE")</f>
        <v/>
      </c>
      <c r="D37" s="56">
        <f>IFERROR(_xlfn.XLOOKUP(SALIDAS[[#This Row],[CODIGO]],LISTADO[CODIGOS],LISTADO[PRODUCTOS]),"NO EXISTE")</f>
        <v/>
      </c>
      <c r="E37" s="19" t="n">
        <v>46066</v>
      </c>
      <c r="F37" s="18" t="n">
        <v>1</v>
      </c>
      <c r="G37" s="18" t="inlineStr">
        <is>
          <t>ISABELICA</t>
        </is>
      </c>
      <c r="I37" s="17" t="inlineStr">
        <is>
          <t>CEDI FRUVER</t>
        </is>
      </c>
      <c r="J37" t="n">
        <v>2</v>
      </c>
    </row>
    <row r="38">
      <c r="A38" s="18" t="n">
        <v>39</v>
      </c>
      <c r="B38" t="inlineStr">
        <is>
          <t>00017-OFC</t>
        </is>
      </c>
      <c r="C38" s="56">
        <f>IFERROR(_xlfn.XLOOKUP(SALIDAS[[#This Row],[CODIGO]],LISTADO[CODIGOS],LISTADO[CATEGORIA]),"NO EXISTE")</f>
        <v/>
      </c>
      <c r="D38" s="56">
        <f>IFERROR(_xlfn.XLOOKUP(SALIDAS[[#This Row],[CODIGO]],LISTADO[CODIGOS],LISTADO[PRODUCTOS]),"NO EXISTE")</f>
        <v/>
      </c>
      <c r="E38" s="19" t="n">
        <v>46066</v>
      </c>
      <c r="F38" s="18" t="n">
        <v>1</v>
      </c>
      <c r="G38" s="18" t="inlineStr">
        <is>
          <t>PERIFERICO</t>
        </is>
      </c>
      <c r="H38" s="18" t="inlineStr">
        <is>
          <t xml:space="preserve">HUMBERTO RUIZ </t>
        </is>
      </c>
      <c r="I38" s="17" t="inlineStr">
        <is>
          <t xml:space="preserve">CEDI SECO </t>
        </is>
      </c>
      <c r="J38" t="n">
        <v>25</v>
      </c>
    </row>
    <row r="39">
      <c r="A39" s="18" t="n">
        <v>44</v>
      </c>
      <c r="B39" t="inlineStr">
        <is>
          <t>00012-OFC</t>
        </is>
      </c>
      <c r="C39" s="56">
        <f>IFERROR(_xlfn.XLOOKUP(SALIDAS[[#This Row],[CODIGO]],LISTADO[CODIGOS],LISTADO[CATEGORIA]),"NO EXISTE")</f>
        <v/>
      </c>
      <c r="D39" s="56">
        <f>IFERROR(_xlfn.XLOOKUP(SALIDAS[[#This Row],[CODIGO]],LISTADO[CODIGOS],LISTADO[PRODUCTOS]),"NO EXISTE")</f>
        <v/>
      </c>
      <c r="E39" s="19" t="n">
        <v>46066</v>
      </c>
      <c r="F39" s="18" t="n">
        <v>1</v>
      </c>
      <c r="G39" s="18" t="inlineStr">
        <is>
          <t>PERIFERICO</t>
        </is>
      </c>
      <c r="H39" s="18" t="inlineStr">
        <is>
          <t>ISMAEL SANTAELLA</t>
        </is>
      </c>
      <c r="I39" s="17" t="inlineStr">
        <is>
          <t>FLOR AMARILLO</t>
        </is>
      </c>
      <c r="J39" t="n">
        <v>5</v>
      </c>
    </row>
    <row r="40">
      <c r="A40" s="18" t="n">
        <v>50</v>
      </c>
      <c r="B40" t="inlineStr">
        <is>
          <t>00050-FER</t>
        </is>
      </c>
      <c r="C40" s="56">
        <f>IFERROR(_xlfn.XLOOKUP(SALIDAS[[#This Row],[CODIGO]],LISTADO[CODIGOS],LISTADO[CATEGORIA]),"NO EXISTE")</f>
        <v/>
      </c>
      <c r="D40" s="56">
        <f>IFERROR(_xlfn.XLOOKUP(SALIDAS[[#This Row],[CODIGO]],LISTADO[CODIGOS],LISTADO[PRODUCTOS]),"NO EXISTE")</f>
        <v/>
      </c>
      <c r="E40" s="19" t="n">
        <v>46066</v>
      </c>
      <c r="F40" s="18" t="n">
        <v>1</v>
      </c>
      <c r="G40" s="18" t="inlineStr">
        <is>
          <t>PERIFERICO</t>
        </is>
      </c>
      <c r="I40" s="17" t="inlineStr">
        <is>
          <t>GUACARA</t>
        </is>
      </c>
      <c r="J40" t="n">
        <v>4</v>
      </c>
    </row>
    <row r="41">
      <c r="A41" s="18" t="n">
        <v>1</v>
      </c>
      <c r="B41" t="inlineStr">
        <is>
          <t>00073-FER</t>
        </is>
      </c>
      <c r="C41" s="56">
        <f>IFERROR(_xlfn.XLOOKUP(SALIDAS[[#This Row],[CODIGO]],LISTADO[CODIGOS],LISTADO[CATEGORIA]),"NO EXISTE")</f>
        <v/>
      </c>
      <c r="D41" s="56">
        <f>IFERROR(_xlfn.XLOOKUP(SALIDAS[[#This Row],[CODIGO]],LISTADO[CODIGOS],LISTADO[PRODUCTOS]),"NO EXISTE")</f>
        <v/>
      </c>
      <c r="E41" s="19" t="n">
        <v>46067</v>
      </c>
      <c r="F41" s="18" t="n">
        <v>1</v>
      </c>
      <c r="G41" s="18" t="inlineStr">
        <is>
          <t xml:space="preserve">CEDI SECO </t>
        </is>
      </c>
      <c r="I41" s="17" t="inlineStr">
        <is>
          <t>LA VEGA (CARACAS)</t>
        </is>
      </c>
      <c r="J41" t="n">
        <v>1</v>
      </c>
    </row>
    <row r="42">
      <c r="A42" s="18" t="n">
        <v>14</v>
      </c>
      <c r="B42" t="inlineStr">
        <is>
          <t>00007-HRR</t>
        </is>
      </c>
      <c r="C42" s="56">
        <f>IFERROR(_xlfn.XLOOKUP(SALIDAS[[#This Row],[CODIGO]],LISTADO[CODIGOS],LISTADO[CATEGORIA]),"NO EXISTE")</f>
        <v/>
      </c>
      <c r="D42" s="56">
        <f>IFERROR(_xlfn.XLOOKUP(SALIDAS[[#This Row],[CODIGO]],LISTADO[CODIGOS],LISTADO[PRODUCTOS]),"NO EXISTE")</f>
        <v/>
      </c>
      <c r="E42" s="19" t="n">
        <v>46067</v>
      </c>
      <c r="F42" s="18" t="n">
        <v>1</v>
      </c>
      <c r="G42" s="18" t="inlineStr">
        <is>
          <t>PERIFERICO</t>
        </is>
      </c>
      <c r="H42" s="18" t="inlineStr">
        <is>
          <t>JULIO MUJICA</t>
        </is>
      </c>
      <c r="I42" s="17" t="inlineStr">
        <is>
          <t>NAGUANAGUA 2</t>
        </is>
      </c>
      <c r="J42" t="n">
        <v>30</v>
      </c>
    </row>
    <row r="43">
      <c r="A43" s="18" t="n">
        <v>16</v>
      </c>
      <c r="B43" t="inlineStr">
        <is>
          <t>00051-HER</t>
        </is>
      </c>
      <c r="C43" s="56">
        <f>IFERROR(_xlfn.XLOOKUP(SALIDAS[[#This Row],[CODIGO]],LISTADO[CODIGOS],LISTADO[CATEGORIA]),"NO EXISTE")</f>
        <v/>
      </c>
      <c r="D43" s="56">
        <f>IFERROR(_xlfn.XLOOKUP(SALIDAS[[#This Row],[CODIGO]],LISTADO[CODIGOS],LISTADO[PRODUCTOS]),"NO EXISTE")</f>
        <v/>
      </c>
      <c r="E43" s="19" t="n">
        <v>46067</v>
      </c>
      <c r="F43" s="18" t="n">
        <v>1</v>
      </c>
      <c r="G43" s="18" t="inlineStr">
        <is>
          <t xml:space="preserve">CEDI SECO </t>
        </is>
      </c>
      <c r="I43" s="17" t="inlineStr">
        <is>
          <t>NAGUANAGUA 3</t>
        </is>
      </c>
      <c r="J43" t="n">
        <v>7</v>
      </c>
    </row>
    <row r="44">
      <c r="A44" s="18" t="n">
        <v>18</v>
      </c>
      <c r="B44" t="inlineStr">
        <is>
          <t>00050-HER</t>
        </is>
      </c>
      <c r="C44" s="56">
        <f>IFERROR(_xlfn.XLOOKUP(SALIDAS[[#This Row],[CODIGO]],LISTADO[CODIGOS],LISTADO[CATEGORIA]),"NO EXISTE")</f>
        <v/>
      </c>
      <c r="D44" s="56">
        <f>IFERROR(_xlfn.XLOOKUP(SALIDAS[[#This Row],[CODIGO]],LISTADO[CODIGOS],LISTADO[PRODUCTOS]),"NO EXISTE")</f>
        <v/>
      </c>
      <c r="E44" s="19" t="n">
        <v>46067</v>
      </c>
      <c r="F44" s="18" t="n">
        <v>2</v>
      </c>
      <c r="G44" s="18" t="inlineStr">
        <is>
          <t xml:space="preserve">CEDI SECO </t>
        </is>
      </c>
      <c r="I44" s="17" t="inlineStr">
        <is>
          <t>PARAPARAL</t>
        </is>
      </c>
      <c r="J44" t="n">
        <v>12</v>
      </c>
    </row>
    <row r="45">
      <c r="A45" s="18" t="n">
        <v>21</v>
      </c>
      <c r="B45" t="inlineStr">
        <is>
          <t>00041-FER</t>
        </is>
      </c>
      <c r="C45" s="56">
        <f>IFERROR(_xlfn.XLOOKUP(SALIDAS[[#This Row],[CODIGO]],LISTADO[CODIGOS],LISTADO[CATEGORIA]),"NO EXISTE")</f>
        <v/>
      </c>
      <c r="D45" s="56">
        <f>IFERROR(_xlfn.XLOOKUP(SALIDAS[[#This Row],[CODIGO]],LISTADO[CODIGOS],LISTADO[PRODUCTOS]),"NO EXISTE")</f>
        <v/>
      </c>
      <c r="E45" s="19" t="n">
        <v>46067</v>
      </c>
      <c r="F45" s="18" t="n">
        <v>1</v>
      </c>
      <c r="G45" s="18" t="inlineStr">
        <is>
          <t>TAZAJAL</t>
        </is>
      </c>
      <c r="I45" s="17" t="inlineStr">
        <is>
          <t>PERIFERICO</t>
        </is>
      </c>
      <c r="J45" t="n">
        <v>483.75</v>
      </c>
    </row>
    <row r="46">
      <c r="A46" s="18" t="n">
        <v>29</v>
      </c>
      <c r="B46" t="inlineStr">
        <is>
          <t>00041-HER</t>
        </is>
      </c>
      <c r="C46" s="56">
        <f>IFERROR(_xlfn.XLOOKUP(SALIDAS[[#This Row],[CODIGO]],LISTADO[CODIGOS],LISTADO[CATEGORIA]),"NO EXISTE")</f>
        <v/>
      </c>
      <c r="D46" s="56">
        <f>IFERROR(_xlfn.XLOOKUP(SALIDAS[[#This Row],[CODIGO]],LISTADO[CODIGOS],LISTADO[PRODUCTOS]),"NO EXISTE")</f>
        <v/>
      </c>
      <c r="E46" s="19" t="n">
        <v>46067</v>
      </c>
      <c r="F46" s="18" t="n">
        <v>1</v>
      </c>
      <c r="G46" s="18" t="inlineStr">
        <is>
          <t xml:space="preserve">CEDI SECO </t>
        </is>
      </c>
      <c r="I46" s="17" t="inlineStr">
        <is>
          <t>SAN DIEGO</t>
        </is>
      </c>
      <c r="J46" t="n">
        <v>23</v>
      </c>
    </row>
    <row r="47">
      <c r="A47" s="18" t="n">
        <v>31</v>
      </c>
      <c r="B47" t="inlineStr">
        <is>
          <t>00040-HER</t>
        </is>
      </c>
      <c r="C47" s="56">
        <f>IFERROR(_xlfn.XLOOKUP(SALIDAS[[#This Row],[CODIGO]],LISTADO[CODIGOS],LISTADO[CATEGORIA]),"NO EXISTE")</f>
        <v/>
      </c>
      <c r="D47" s="56">
        <f>IFERROR(_xlfn.XLOOKUP(SALIDAS[[#This Row],[CODIGO]],LISTADO[CODIGOS],LISTADO[PRODUCTOS]),"NO EXISTE")</f>
        <v/>
      </c>
      <c r="E47" s="19" t="n">
        <v>46067</v>
      </c>
      <c r="F47" s="18" t="n">
        <v>1</v>
      </c>
      <c r="G47" s="18" t="inlineStr">
        <is>
          <t xml:space="preserve">CEDI SECO </t>
        </is>
      </c>
      <c r="I47" s="17" t="inlineStr">
        <is>
          <t>TAZAJAL</t>
        </is>
      </c>
      <c r="J47" t="n">
        <v>5</v>
      </c>
    </row>
    <row r="48">
      <c r="A48" s="18" t="n">
        <v>33</v>
      </c>
      <c r="B48" t="inlineStr">
        <is>
          <t>00037-HER</t>
        </is>
      </c>
      <c r="C48" s="56">
        <f>IFERROR(_xlfn.XLOOKUP(SALIDAS[[#This Row],[CODIGO]],LISTADO[CODIGOS],LISTADO[CATEGORIA]),"NO EXISTE")</f>
        <v/>
      </c>
      <c r="D48" s="56">
        <f>IFERROR(_xlfn.XLOOKUP(SALIDAS[[#This Row],[CODIGO]],LISTADO[CODIGOS],LISTADO[PRODUCTOS]),"NO EXISTE")</f>
        <v/>
      </c>
      <c r="E48" s="19" t="n">
        <v>46067</v>
      </c>
      <c r="F48" s="18" t="n">
        <v>1</v>
      </c>
      <c r="G48" s="18" t="inlineStr">
        <is>
          <t xml:space="preserve">CEDI SECO </t>
        </is>
      </c>
      <c r="I48" s="17" t="inlineStr">
        <is>
          <t>TOCUYITO</t>
        </is>
      </c>
      <c r="J48" t="n">
        <v>44</v>
      </c>
    </row>
    <row r="49">
      <c r="A49" s="18" t="n">
        <v>35</v>
      </c>
      <c r="B49" t="inlineStr">
        <is>
          <t>00036-HER</t>
        </is>
      </c>
      <c r="C49" s="56">
        <f>IFERROR(_xlfn.XLOOKUP(SALIDAS[[#This Row],[CODIGO]],LISTADO[CODIGOS],LISTADO[CATEGORIA]),"NO EXISTE")</f>
        <v/>
      </c>
      <c r="D49" s="56">
        <f>IFERROR(_xlfn.XLOOKUP(SALIDAS[[#This Row],[CODIGO]],LISTADO[CODIGOS],LISTADO[PRODUCTOS]),"NO EXISTE")</f>
        <v/>
      </c>
      <c r="E49" s="19" t="n">
        <v>46067</v>
      </c>
      <c r="F49" s="18" t="n">
        <v>1</v>
      </c>
      <c r="G49" s="18" t="inlineStr">
        <is>
          <t xml:space="preserve">CEDI SECO </t>
        </is>
      </c>
      <c r="I49" s="10" t="inlineStr">
        <is>
          <t>HERRAMIENTA</t>
        </is>
      </c>
      <c r="J49" t="n">
        <v>16</v>
      </c>
    </row>
    <row r="50">
      <c r="A50" s="18" t="n">
        <v>37</v>
      </c>
      <c r="B50" t="inlineStr">
        <is>
          <t>00034-HER</t>
        </is>
      </c>
      <c r="C50" s="56">
        <f>IFERROR(_xlfn.XLOOKUP(SALIDAS[[#This Row],[CODIGO]],LISTADO[CODIGOS],LISTADO[CATEGORIA]),"NO EXISTE")</f>
        <v/>
      </c>
      <c r="D50" s="56">
        <f>IFERROR(_xlfn.XLOOKUP(SALIDAS[[#This Row],[CODIGO]],LISTADO[CODIGOS],LISTADO[PRODUCTOS]),"NO EXISTE")</f>
        <v/>
      </c>
      <c r="E50" s="19" t="n">
        <v>46067</v>
      </c>
      <c r="F50" s="18" t="n">
        <v>1</v>
      </c>
      <c r="G50" s="18" t="inlineStr">
        <is>
          <t xml:space="preserve">CEDI SECO </t>
        </is>
      </c>
      <c r="I50" s="17" t="inlineStr">
        <is>
          <t>FLOR AMARILLO</t>
        </is>
      </c>
      <c r="J50" t="n">
        <v>1</v>
      </c>
    </row>
    <row r="51">
      <c r="A51" s="18" t="n">
        <v>38</v>
      </c>
      <c r="B51" t="inlineStr">
        <is>
          <t>00030-HER</t>
        </is>
      </c>
      <c r="C51" s="56">
        <f>IFERROR(_xlfn.XLOOKUP(SALIDAS[[#This Row],[CODIGO]],LISTADO[CODIGOS],LISTADO[CATEGORIA]),"NO EXISTE")</f>
        <v/>
      </c>
      <c r="D51" s="56">
        <f>IFERROR(_xlfn.XLOOKUP(SALIDAS[[#This Row],[CODIGO]],LISTADO[CODIGOS],LISTADO[PRODUCTOS]),"NO EXISTE")</f>
        <v/>
      </c>
      <c r="E51" s="19" t="n">
        <v>46067</v>
      </c>
      <c r="F51" s="18" t="n">
        <v>1</v>
      </c>
      <c r="G51" s="18" t="inlineStr">
        <is>
          <t xml:space="preserve">CEDI SECO </t>
        </is>
      </c>
      <c r="I51" s="17" t="inlineStr">
        <is>
          <t>GUACARA</t>
        </is>
      </c>
      <c r="J51" t="n">
        <v>1</v>
      </c>
    </row>
    <row r="52">
      <c r="A52" s="18" t="n">
        <v>40</v>
      </c>
      <c r="B52" t="inlineStr">
        <is>
          <t>00021-HER</t>
        </is>
      </c>
      <c r="C52" s="56">
        <f>IFERROR(_xlfn.XLOOKUP(SALIDAS[[#This Row],[CODIGO]],LISTADO[CODIGOS],LISTADO[CATEGORIA]),"NO EXISTE")</f>
        <v/>
      </c>
      <c r="D52" s="56">
        <f>IFERROR(_xlfn.XLOOKUP(SALIDAS[[#This Row],[CODIGO]],LISTADO[CODIGOS],LISTADO[PRODUCTOS]),"NO EXISTE")</f>
        <v/>
      </c>
      <c r="E52" s="19" t="n">
        <v>46067</v>
      </c>
      <c r="F52" s="18" t="n">
        <v>1</v>
      </c>
      <c r="G52" s="18" t="inlineStr">
        <is>
          <t xml:space="preserve">CEDI SECO </t>
        </is>
      </c>
      <c r="I52" s="17" t="inlineStr">
        <is>
          <t>NAGUANAGUA 2</t>
        </is>
      </c>
      <c r="J52" t="n">
        <v>1</v>
      </c>
    </row>
    <row r="53">
      <c r="A53" s="18" t="n">
        <v>46</v>
      </c>
      <c r="B53" t="inlineStr">
        <is>
          <t>00008-FER</t>
        </is>
      </c>
      <c r="C53" s="56">
        <f>IFERROR(_xlfn.XLOOKUP(SALIDAS[[#This Row],[CODIGO]],LISTADO[CODIGOS],LISTADO[CATEGORIA]),"NO EXISTE")</f>
        <v/>
      </c>
      <c r="D53" s="56">
        <f>IFERROR(_xlfn.XLOOKUP(SALIDAS[[#This Row],[CODIGO]],LISTADO[CODIGOS],LISTADO[PRODUCTOS]),"NO EXISTE")</f>
        <v/>
      </c>
      <c r="E53" s="19" t="n">
        <v>46067</v>
      </c>
      <c r="F53" s="18" t="n">
        <v>2</v>
      </c>
      <c r="G53" s="18" t="inlineStr">
        <is>
          <t xml:space="preserve">CEDI SECO </t>
        </is>
      </c>
      <c r="I53" s="17" t="inlineStr">
        <is>
          <t>SAN DIEGO</t>
        </is>
      </c>
      <c r="J53" t="n">
        <v>13</v>
      </c>
    </row>
    <row r="54">
      <c r="A54" s="18" t="n">
        <v>51</v>
      </c>
      <c r="B54" t="inlineStr">
        <is>
          <t>00050-FER</t>
        </is>
      </c>
      <c r="C54" s="56">
        <f>IFERROR(_xlfn.XLOOKUP(SALIDAS[[#This Row],[CODIGO]],LISTADO[CODIGOS],LISTADO[CATEGORIA]),"NO EXISTE")</f>
        <v/>
      </c>
      <c r="D54" s="56">
        <f>IFERROR(_xlfn.XLOOKUP(SALIDAS[[#This Row],[CODIGO]],LISTADO[CODIGOS],LISTADO[PRODUCTOS]),"NO EXISTE")</f>
        <v/>
      </c>
      <c r="E54" s="19" t="n">
        <v>46067</v>
      </c>
      <c r="F54" s="18" t="n">
        <v>1</v>
      </c>
      <c r="G54" s="18" t="inlineStr">
        <is>
          <t>PERIFERICO</t>
        </is>
      </c>
      <c r="I54" s="10" t="inlineStr">
        <is>
          <t>MISCELANEOS</t>
        </is>
      </c>
      <c r="J54" t="n">
        <v>14</v>
      </c>
    </row>
    <row r="55">
      <c r="A55" s="18" t="n">
        <v>52</v>
      </c>
      <c r="B55" t="inlineStr">
        <is>
          <t>00011-UNI</t>
        </is>
      </c>
      <c r="C55" s="56">
        <f>IFERROR(_xlfn.XLOOKUP(SALIDAS[[#This Row],[CODIGO]],LISTADO[CODIGOS],LISTADO[CATEGORIA]),"NO EXISTE")</f>
        <v/>
      </c>
      <c r="D55" s="56">
        <f>IFERROR(_xlfn.XLOOKUP(SALIDAS[[#This Row],[CODIGO]],LISTADO[CODIGOS],LISTADO[PRODUCTOS]),"NO EXISTE")</f>
        <v/>
      </c>
      <c r="E55" s="19" t="n">
        <v>46067</v>
      </c>
      <c r="F55" s="18" t="n">
        <v>1</v>
      </c>
      <c r="G55" s="18" t="inlineStr">
        <is>
          <t>PERIFERICO</t>
        </is>
      </c>
      <c r="I55" s="17" t="inlineStr">
        <is>
          <t>CEDI FRIO</t>
        </is>
      </c>
      <c r="J55" t="n">
        <v>3</v>
      </c>
    </row>
    <row r="56">
      <c r="A56" s="18" t="n">
        <v>53</v>
      </c>
      <c r="B56" t="inlineStr">
        <is>
          <t>00013-UNI</t>
        </is>
      </c>
      <c r="C56" s="56">
        <f>IFERROR(_xlfn.XLOOKUP(SALIDAS[[#This Row],[CODIGO]],LISTADO[CODIGOS],LISTADO[CATEGORIA]),"NO EXISTE")</f>
        <v/>
      </c>
      <c r="D56" s="56">
        <f>IFERROR(_xlfn.XLOOKUP(SALIDAS[[#This Row],[CODIGO]],LISTADO[CODIGOS],LISTADO[PRODUCTOS]),"NO EXISTE")</f>
        <v/>
      </c>
      <c r="E56" s="19" t="n">
        <v>46067</v>
      </c>
      <c r="F56" s="18" t="n">
        <v>1</v>
      </c>
      <c r="G56" s="18" t="inlineStr">
        <is>
          <t>PERIFERICO</t>
        </is>
      </c>
      <c r="I56" s="17" t="inlineStr">
        <is>
          <t>NAGUANAGUA 1</t>
        </is>
      </c>
      <c r="J56" t="n">
        <v>1</v>
      </c>
    </row>
    <row r="57">
      <c r="A57" s="18" t="n">
        <v>25</v>
      </c>
      <c r="B57" t="inlineStr">
        <is>
          <t>00023-FER</t>
        </is>
      </c>
      <c r="C57" s="56">
        <f>IFERROR(_xlfn.XLOOKUP(SALIDAS[[#This Row],[CODIGO]],LISTADO[CODIGOS],LISTADO[CATEGORIA]),"NO EXISTE")</f>
        <v/>
      </c>
      <c r="D57" s="56">
        <f>IFERROR(_xlfn.XLOOKUP(SALIDAS[[#This Row],[CODIGO]],LISTADO[CODIGOS],LISTADO[PRODUCTOS]),"NO EXISTE")</f>
        <v/>
      </c>
      <c r="E57" s="19" t="n">
        <v>46068</v>
      </c>
      <c r="F57" s="18" t="n">
        <v>4</v>
      </c>
      <c r="G57" s="18" t="inlineStr">
        <is>
          <t>GUACARA</t>
        </is>
      </c>
      <c r="I57" s="17" t="inlineStr">
        <is>
          <t>NAGUANAGUA 2</t>
        </is>
      </c>
      <c r="J57" t="n">
        <v>10</v>
      </c>
    </row>
    <row r="58">
      <c r="A58" s="18" t="n">
        <v>26</v>
      </c>
      <c r="B58" t="inlineStr">
        <is>
          <t>00023-FER</t>
        </is>
      </c>
      <c r="C58" s="56">
        <f>IFERROR(_xlfn.XLOOKUP(SALIDAS[[#This Row],[CODIGO]],LISTADO[CODIGOS],LISTADO[CATEGORIA]),"NO EXISTE")</f>
        <v/>
      </c>
      <c r="D58" s="56">
        <f>IFERROR(_xlfn.XLOOKUP(SALIDAS[[#This Row],[CODIGO]],LISTADO[CODIGOS],LISTADO[PRODUCTOS]),"NO EXISTE")</f>
        <v/>
      </c>
      <c r="E58" s="19" t="n">
        <v>46068</v>
      </c>
      <c r="F58" s="18" t="n">
        <v>5</v>
      </c>
      <c r="G58" s="18" t="inlineStr">
        <is>
          <t>FLOR AMARILLO</t>
        </is>
      </c>
      <c r="I58" s="10" t="inlineStr">
        <is>
          <t>OFICINA</t>
        </is>
      </c>
      <c r="J58" t="n">
        <v>4</v>
      </c>
    </row>
    <row r="59">
      <c r="A59" s="18" t="n">
        <v>27</v>
      </c>
      <c r="B59" t="inlineStr">
        <is>
          <t>00023-FER</t>
        </is>
      </c>
      <c r="C59" s="56">
        <f>IFERROR(_xlfn.XLOOKUP(SALIDAS[[#This Row],[CODIGO]],LISTADO[CODIGOS],LISTADO[CATEGORIA]),"NO EXISTE")</f>
        <v/>
      </c>
      <c r="D59" s="56">
        <f>IFERROR(_xlfn.XLOOKUP(SALIDAS[[#This Row],[CODIGO]],LISTADO[CODIGOS],LISTADO[PRODUCTOS]),"NO EXISTE")</f>
        <v/>
      </c>
      <c r="E59" s="19" t="n">
        <v>46068</v>
      </c>
      <c r="F59" s="18" t="n">
        <v>3</v>
      </c>
      <c r="G59" s="18" t="inlineStr">
        <is>
          <t>SAN DIEGO</t>
        </is>
      </c>
      <c r="I59" s="17" t="inlineStr">
        <is>
          <t>PERIFERICO</t>
        </is>
      </c>
      <c r="J59" t="n">
        <v>4</v>
      </c>
    </row>
    <row r="60">
      <c r="A60" s="18" t="n">
        <v>43</v>
      </c>
      <c r="B60" t="inlineStr">
        <is>
          <t>00006-REF</t>
        </is>
      </c>
      <c r="C60" s="56">
        <f>IFERROR(_xlfn.XLOOKUP(SALIDAS[[#This Row],[CODIGO]],LISTADO[CODIGOS],LISTADO[CATEGORIA]),"NO EXISTE")</f>
        <v/>
      </c>
      <c r="D60" s="56">
        <f>IFERROR(_xlfn.XLOOKUP(SALIDAS[[#This Row],[CODIGO]],LISTADO[CODIGOS],LISTADO[PRODUCTOS]),"NO EXISTE")</f>
        <v/>
      </c>
      <c r="E60" s="19" t="n">
        <v>46068</v>
      </c>
      <c r="F60" s="18" t="n">
        <v>1</v>
      </c>
      <c r="G60" s="18" t="inlineStr">
        <is>
          <t>TOCUYITO</t>
        </is>
      </c>
      <c r="I60" s="10" t="inlineStr">
        <is>
          <t>REFRIGERACION</t>
        </is>
      </c>
      <c r="J60" t="n">
        <v>34.5</v>
      </c>
    </row>
    <row r="61">
      <c r="A61" s="18" t="n">
        <v>68</v>
      </c>
      <c r="B61" t="inlineStr">
        <is>
          <t>00003-ELE</t>
        </is>
      </c>
      <c r="C61" s="56">
        <f>IFERROR(_xlfn.XLOOKUP(SALIDAS[[#This Row],[CODIGO]],LISTADO[CODIGOS],LISTADO[CATEGORIA]),"NO EXISTE")</f>
        <v/>
      </c>
      <c r="D61" s="56">
        <f>IFERROR(_xlfn.XLOOKUP(SALIDAS[[#This Row],[CODIGO]],LISTADO[CODIGOS],LISTADO[PRODUCTOS]),"NO EXISTE")</f>
        <v/>
      </c>
      <c r="E61" s="19" t="n">
        <v>46068</v>
      </c>
      <c r="F61" s="18" t="n">
        <v>20</v>
      </c>
      <c r="G61" s="18" t="inlineStr">
        <is>
          <t>TOCUYITO</t>
        </is>
      </c>
      <c r="I61" s="17" t="inlineStr">
        <is>
          <t>GUACARA</t>
        </is>
      </c>
      <c r="J61" t="n">
        <v>7.5</v>
      </c>
    </row>
    <row r="62">
      <c r="A62" s="18" t="n">
        <v>6</v>
      </c>
      <c r="B62" t="inlineStr">
        <is>
          <t>00063-FER</t>
        </is>
      </c>
      <c r="C62" s="56">
        <f>IFERROR(_xlfn.XLOOKUP(SALIDAS[[#This Row],[CODIGO]],LISTADO[CODIGOS],LISTADO[CATEGORIA]),"NO EXISTE")</f>
        <v/>
      </c>
      <c r="D62" s="56">
        <f>IFERROR(_xlfn.XLOOKUP(SALIDAS[[#This Row],[CODIGO]],LISTADO[CODIGOS],LISTADO[PRODUCTOS]),"NO EXISTE")</f>
        <v/>
      </c>
      <c r="E62" s="19" t="n">
        <v>46069</v>
      </c>
      <c r="F62" s="18" t="n">
        <v>1</v>
      </c>
      <c r="G62" s="18" t="inlineStr">
        <is>
          <t>NAGUANAGUA 3</t>
        </is>
      </c>
      <c r="H62" s="18" t="inlineStr">
        <is>
          <t xml:space="preserve">LUIS SILVA </t>
        </is>
      </c>
      <c r="I62" s="17" t="inlineStr">
        <is>
          <t>ISABELICA</t>
        </is>
      </c>
      <c r="J62" t="n">
        <v>5</v>
      </c>
    </row>
    <row r="63">
      <c r="A63" s="18" t="n">
        <v>11</v>
      </c>
      <c r="B63" t="inlineStr">
        <is>
          <t>00010-MSC</t>
        </is>
      </c>
      <c r="C63" s="56">
        <f>IFERROR(_xlfn.XLOOKUP(SALIDAS[[#This Row],[CODIGO]],LISTADO[CODIGOS],LISTADO[CATEGORIA]),"NO EXISTE")</f>
        <v/>
      </c>
      <c r="D63" s="56">
        <f>IFERROR(_xlfn.XLOOKUP(SALIDAS[[#This Row],[CODIGO]],LISTADO[CODIGOS],LISTADO[PRODUCTOS]),"NO EXISTE")</f>
        <v/>
      </c>
      <c r="E63" s="19" t="n">
        <v>46069</v>
      </c>
      <c r="F63" s="18" t="n">
        <v>3</v>
      </c>
      <c r="G63" s="18" t="inlineStr">
        <is>
          <t>CEDI FRIO</t>
        </is>
      </c>
      <c r="H63" s="18" t="inlineStr">
        <is>
          <t>JUAN GONZALEZ</t>
        </is>
      </c>
      <c r="I63" s="17" t="inlineStr">
        <is>
          <t>MAÑONGO</t>
        </is>
      </c>
      <c r="J63" t="n">
        <v>3</v>
      </c>
    </row>
    <row r="64">
      <c r="A64" s="18" t="n">
        <v>12</v>
      </c>
      <c r="B64" t="inlineStr">
        <is>
          <t>00052-FER</t>
        </is>
      </c>
      <c r="C64" s="56">
        <f>IFERROR(_xlfn.XLOOKUP(SALIDAS[[#This Row],[CODIGO]],LISTADO[CODIGOS],LISTADO[CATEGORIA]),"NO EXISTE")</f>
        <v/>
      </c>
      <c r="D64" s="56">
        <f>IFERROR(_xlfn.XLOOKUP(SALIDAS[[#This Row],[CODIGO]],LISTADO[CODIGOS],LISTADO[PRODUCTOS]),"NO EXISTE")</f>
        <v/>
      </c>
      <c r="E64" s="19" t="n">
        <v>46069</v>
      </c>
      <c r="F64" s="18" t="n">
        <v>0.5</v>
      </c>
      <c r="G64" s="18" t="inlineStr">
        <is>
          <t>PERIFERICO</t>
        </is>
      </c>
      <c r="I64" s="17" t="inlineStr">
        <is>
          <t>NAGUANAGUA 1</t>
        </is>
      </c>
      <c r="J64" t="n">
        <v>2</v>
      </c>
    </row>
    <row r="65">
      <c r="A65" s="18" t="n">
        <v>13</v>
      </c>
      <c r="B65" t="inlineStr">
        <is>
          <t>00050-FER</t>
        </is>
      </c>
      <c r="C65" s="56">
        <f>IFERROR(_xlfn.XLOOKUP(SALIDAS[[#This Row],[CODIGO]],LISTADO[CODIGOS],LISTADO[CATEGORIA]),"NO EXISTE")</f>
        <v/>
      </c>
      <c r="D65" s="56">
        <f>IFERROR(_xlfn.XLOOKUP(SALIDAS[[#This Row],[CODIGO]],LISTADO[CODIGOS],LISTADO[PRODUCTOS]),"NO EXISTE")</f>
        <v/>
      </c>
      <c r="E65" s="19" t="n">
        <v>46069</v>
      </c>
      <c r="F65" s="18" t="n">
        <v>1</v>
      </c>
      <c r="G65" s="18" t="inlineStr">
        <is>
          <t>PERIFERICO</t>
        </is>
      </c>
      <c r="I65" s="17" t="inlineStr">
        <is>
          <t>NAGUANAGUA 2</t>
        </is>
      </c>
      <c r="J65" t="n">
        <v>2</v>
      </c>
    </row>
    <row r="66">
      <c r="A66" s="18" t="n">
        <v>15</v>
      </c>
      <c r="B66" t="inlineStr">
        <is>
          <t>00006-HRR</t>
        </is>
      </c>
      <c r="C66" s="56">
        <f>IFERROR(_xlfn.XLOOKUP(SALIDAS[[#This Row],[CODIGO]],LISTADO[CODIGOS],LISTADO[CATEGORIA]),"NO EXISTE")</f>
        <v/>
      </c>
      <c r="D66" s="56">
        <f>IFERROR(_xlfn.XLOOKUP(SALIDAS[[#This Row],[CODIGO]],LISTADO[CODIGOS],LISTADO[PRODUCTOS]),"NO EXISTE")</f>
        <v/>
      </c>
      <c r="E66" s="19" t="n">
        <v>46069</v>
      </c>
      <c r="F66" s="18" t="n">
        <v>1</v>
      </c>
      <c r="G66" s="18" t="inlineStr">
        <is>
          <t>PERIFERICO</t>
        </is>
      </c>
      <c r="I66" s="17" t="inlineStr">
        <is>
          <t>PERIFERICO</t>
        </is>
      </c>
      <c r="J66" t="n">
        <v>12</v>
      </c>
    </row>
    <row r="67">
      <c r="A67" s="18" t="n">
        <v>22</v>
      </c>
      <c r="B67" t="inlineStr">
        <is>
          <t>00030-FER</t>
        </is>
      </c>
      <c r="C67" s="56">
        <f>IFERROR(_xlfn.XLOOKUP(SALIDAS[[#This Row],[CODIGO]],LISTADO[CODIGOS],LISTADO[CATEGORIA]),"NO EXISTE")</f>
        <v/>
      </c>
      <c r="D67" s="56">
        <f>IFERROR(_xlfn.XLOOKUP(SALIDAS[[#This Row],[CODIGO]],LISTADO[CODIGOS],LISTADO[PRODUCTOS]),"NO EXISTE")</f>
        <v/>
      </c>
      <c r="E67" s="19" t="n">
        <v>46069</v>
      </c>
      <c r="F67" s="18" t="n">
        <v>1</v>
      </c>
      <c r="G67" s="18" t="inlineStr">
        <is>
          <t>PERIFERICO</t>
        </is>
      </c>
      <c r="I67" s="17" t="inlineStr">
        <is>
          <t>SAN DIEGO</t>
        </is>
      </c>
      <c r="J67" t="n">
        <v>1</v>
      </c>
    </row>
    <row r="68">
      <c r="A68" s="18" t="n">
        <v>28</v>
      </c>
      <c r="B68" t="inlineStr">
        <is>
          <t>00023-FER</t>
        </is>
      </c>
      <c r="C68" s="56">
        <f>IFERROR(_xlfn.XLOOKUP(SALIDAS[[#This Row],[CODIGO]],LISTADO[CODIGOS],LISTADO[CATEGORIA]),"NO EXISTE")</f>
        <v/>
      </c>
      <c r="D68" s="56">
        <f>IFERROR(_xlfn.XLOOKUP(SALIDAS[[#This Row],[CODIGO]],LISTADO[CODIGOS],LISTADO[PRODUCTOS]),"NO EXISTE")</f>
        <v/>
      </c>
      <c r="E68" s="19" t="n">
        <v>46069</v>
      </c>
      <c r="F68" s="18" t="n">
        <v>4</v>
      </c>
      <c r="G68" s="18" t="inlineStr">
        <is>
          <t>TAZAJAL</t>
        </is>
      </c>
      <c r="I68" s="17" t="inlineStr">
        <is>
          <t>TOCUYITO</t>
        </is>
      </c>
      <c r="J68" t="n">
        <v>2</v>
      </c>
    </row>
    <row r="69">
      <c r="A69" s="18" t="n">
        <v>42</v>
      </c>
      <c r="B69" t="inlineStr">
        <is>
          <t>00009-ILU</t>
        </is>
      </c>
      <c r="C69" s="56">
        <f>IFERROR(_xlfn.XLOOKUP(SALIDAS[[#This Row],[CODIGO]],LISTADO[CODIGOS],LISTADO[CATEGORIA]),"NO EXISTE")</f>
        <v/>
      </c>
      <c r="D69" s="56">
        <f>IFERROR(_xlfn.XLOOKUP(SALIDAS[[#This Row],[CODIGO]],LISTADO[CODIGOS],LISTADO[PRODUCTOS]),"NO EXISTE")</f>
        <v/>
      </c>
      <c r="E69" s="19" t="n">
        <v>46069</v>
      </c>
      <c r="F69" s="18" t="n">
        <v>3</v>
      </c>
      <c r="G69" s="18" t="inlineStr">
        <is>
          <t xml:space="preserve">CEDI SECO </t>
        </is>
      </c>
      <c r="I69" s="10" t="inlineStr">
        <is>
          <t>UNIFORME</t>
        </is>
      </c>
      <c r="J69" t="n">
        <v>170</v>
      </c>
    </row>
    <row r="70">
      <c r="A70" s="18" t="n">
        <v>20</v>
      </c>
      <c r="B70" t="inlineStr">
        <is>
          <t>00044-FER</t>
        </is>
      </c>
      <c r="C70" s="56">
        <f>IFERROR(_xlfn.XLOOKUP(SALIDAS[[#This Row],[CODIGO]],LISTADO[CODIGOS],LISTADO[CATEGORIA]),"NO EXISTE")</f>
        <v/>
      </c>
      <c r="D70" s="56">
        <f>IFERROR(_xlfn.XLOOKUP(SALIDAS[[#This Row],[CODIGO]],LISTADO[CODIGOS],LISTADO[PRODUCTOS]),"NO EXISTE")</f>
        <v/>
      </c>
      <c r="E70" s="19" t="n">
        <v>46070</v>
      </c>
      <c r="F70" s="18" t="n">
        <v>1</v>
      </c>
      <c r="G70" s="18" t="inlineStr">
        <is>
          <t>PERIFERICO</t>
        </is>
      </c>
      <c r="I70" s="17" t="inlineStr">
        <is>
          <t>LA VEGA (CARACAS)</t>
        </is>
      </c>
      <c r="J70" t="n">
        <v>80</v>
      </c>
    </row>
    <row r="71">
      <c r="A71" s="18" t="n">
        <v>23</v>
      </c>
      <c r="B71" t="inlineStr">
        <is>
          <t>00028-FER</t>
        </is>
      </c>
      <c r="C71" s="56">
        <f>IFERROR(_xlfn.XLOOKUP(SALIDAS[[#This Row],[CODIGO]],LISTADO[CODIGOS],LISTADO[CATEGORIA]),"NO EXISTE")</f>
        <v/>
      </c>
      <c r="D71" s="56">
        <f>IFERROR(_xlfn.XLOOKUP(SALIDAS[[#This Row],[CODIGO]],LISTADO[CODIGOS],LISTADO[PRODUCTOS]),"NO EXISTE")</f>
        <v/>
      </c>
      <c r="E71" s="19" t="n">
        <v>46070</v>
      </c>
      <c r="F71" s="18" t="n">
        <v>1</v>
      </c>
      <c r="G71" s="18" t="inlineStr">
        <is>
          <t>PERIFERICO</t>
        </is>
      </c>
      <c r="I71" s="17" t="inlineStr">
        <is>
          <t>NAGUANAGUA 1</t>
        </is>
      </c>
      <c r="J71" t="n">
        <v>29</v>
      </c>
    </row>
    <row r="72">
      <c r="A72" s="18" t="n">
        <v>47</v>
      </c>
      <c r="B72" t="inlineStr">
        <is>
          <t>00003-HRR</t>
        </is>
      </c>
      <c r="C72" s="56">
        <f>IFERROR(_xlfn.XLOOKUP(SALIDAS[[#This Row],[CODIGO]],LISTADO[CODIGOS],LISTADO[CATEGORIA]),"NO EXISTE")</f>
        <v/>
      </c>
      <c r="D72" s="56">
        <f>IFERROR(_xlfn.XLOOKUP(SALIDAS[[#This Row],[CODIGO]],LISTADO[CODIGOS],LISTADO[PRODUCTOS]),"NO EXISTE")</f>
        <v/>
      </c>
      <c r="E72" s="19" t="n">
        <v>46070</v>
      </c>
      <c r="F72" s="18" t="n">
        <v>1</v>
      </c>
      <c r="G72" s="18" t="inlineStr">
        <is>
          <t>PERIFERICO</t>
        </is>
      </c>
      <c r="H72" s="18" t="inlineStr">
        <is>
          <t>JULIO MUJICA</t>
        </is>
      </c>
      <c r="I72" s="17" t="inlineStr">
        <is>
          <t>PERIFERICO</t>
        </is>
      </c>
      <c r="J72" t="n">
        <v>4</v>
      </c>
    </row>
    <row r="73">
      <c r="A73" s="18" t="n">
        <v>54</v>
      </c>
      <c r="B73" t="inlineStr">
        <is>
          <t>00052-FER</t>
        </is>
      </c>
      <c r="C73" s="56">
        <f>IFERROR(_xlfn.XLOOKUP(SALIDAS[[#This Row],[CODIGO]],LISTADO[CODIGOS],LISTADO[CATEGORIA]),"NO EXISTE")</f>
        <v/>
      </c>
      <c r="D73" s="56">
        <f>IFERROR(_xlfn.XLOOKUP(SALIDAS[[#This Row],[CODIGO]],LISTADO[CODIGOS],LISTADO[PRODUCTOS]),"NO EXISTE")</f>
        <v/>
      </c>
      <c r="E73" s="19" t="n">
        <v>46070</v>
      </c>
      <c r="F73" s="18" t="n">
        <v>0.5</v>
      </c>
      <c r="G73" s="18" t="inlineStr">
        <is>
          <t>PERIFERICO</t>
        </is>
      </c>
      <c r="I73" s="17" t="inlineStr">
        <is>
          <t>TOCUYITO</t>
        </is>
      </c>
      <c r="J73" t="n">
        <v>57</v>
      </c>
    </row>
    <row r="74">
      <c r="A74" s="18" t="n">
        <v>55</v>
      </c>
      <c r="B74" t="inlineStr">
        <is>
          <t>00031-FER</t>
        </is>
      </c>
      <c r="C74" s="56">
        <f>IFERROR(_xlfn.XLOOKUP(SALIDAS[[#This Row],[CODIGO]],LISTADO[CODIGOS],LISTADO[CATEGORIA]),"NO EXISTE")</f>
        <v/>
      </c>
      <c r="D74" s="56">
        <f>IFERROR(_xlfn.XLOOKUP(SALIDAS[[#This Row],[CODIGO]],LISTADO[CODIGOS],LISTADO[PRODUCTOS]),"NO EXISTE")</f>
        <v/>
      </c>
      <c r="E74" s="19" t="n">
        <v>46070</v>
      </c>
      <c r="F74" s="18" t="n">
        <v>1</v>
      </c>
      <c r="G74" s="18" t="inlineStr">
        <is>
          <t>PERIFERICO</t>
        </is>
      </c>
      <c r="I74" s="10" t="inlineStr">
        <is>
          <t>Total general</t>
        </is>
      </c>
      <c r="J74" t="n">
        <v>988.75</v>
      </c>
    </row>
    <row r="75">
      <c r="A75" s="18" t="n">
        <v>56</v>
      </c>
      <c r="B75" t="inlineStr">
        <is>
          <t>00044-FER</t>
        </is>
      </c>
      <c r="C75" s="56">
        <f>IFERROR(_xlfn.XLOOKUP(SALIDAS[[#This Row],[CODIGO]],LISTADO[CODIGOS],LISTADO[CATEGORIA]),"NO EXISTE")</f>
        <v/>
      </c>
      <c r="D75" s="56">
        <f>IFERROR(_xlfn.XLOOKUP(SALIDAS[[#This Row],[CODIGO]],LISTADO[CODIGOS],LISTADO[PRODUCTOS]),"NO EXISTE")</f>
        <v/>
      </c>
      <c r="E75" s="19" t="n">
        <v>46070</v>
      </c>
      <c r="F75" s="18" t="n">
        <v>1</v>
      </c>
      <c r="G75" s="18" t="inlineStr">
        <is>
          <t>PERIFERICO</t>
        </is>
      </c>
      <c r="I75" s="1" t="n"/>
    </row>
    <row r="76">
      <c r="A76" s="18" t="n">
        <v>57</v>
      </c>
      <c r="B76" t="inlineStr">
        <is>
          <t>00028-FER</t>
        </is>
      </c>
      <c r="C76" s="56">
        <f>IFERROR(_xlfn.XLOOKUP(SALIDAS[[#This Row],[CODIGO]],LISTADO[CODIGOS],LISTADO[CATEGORIA]),"NO EXISTE")</f>
        <v/>
      </c>
      <c r="D76" s="56">
        <f>IFERROR(_xlfn.XLOOKUP(SALIDAS[[#This Row],[CODIGO]],LISTADO[CODIGOS],LISTADO[PRODUCTOS]),"NO EXISTE")</f>
        <v/>
      </c>
      <c r="E76" s="19" t="n">
        <v>46070</v>
      </c>
      <c r="F76" s="18" t="n">
        <v>1</v>
      </c>
      <c r="G76" s="18" t="inlineStr">
        <is>
          <t>PERIFERICO</t>
        </is>
      </c>
      <c r="I76" s="1" t="n"/>
    </row>
    <row r="77">
      <c r="A77" s="18" t="n">
        <v>58</v>
      </c>
      <c r="B77" t="inlineStr">
        <is>
          <t>00013-UNI</t>
        </is>
      </c>
      <c r="C77" s="56">
        <f>IFERROR(_xlfn.XLOOKUP(SALIDAS[[#This Row],[CODIGO]],LISTADO[CODIGOS],LISTADO[CATEGORIA]),"NO EXISTE")</f>
        <v/>
      </c>
      <c r="D77" s="56">
        <f>IFERROR(_xlfn.XLOOKUP(SALIDAS[[#This Row],[CODIGO]],LISTADO[CODIGOS],LISTADO[PRODUCTOS]),"NO EXISTE")</f>
        <v/>
      </c>
      <c r="E77" s="19" t="n">
        <v>46070</v>
      </c>
      <c r="F77" s="18" t="n">
        <v>1</v>
      </c>
      <c r="G77" s="18" t="inlineStr">
        <is>
          <t>PERIFERICO</t>
        </is>
      </c>
      <c r="H77" s="18" t="inlineStr">
        <is>
          <t xml:space="preserve">HUMBERTO RUIZ </t>
        </is>
      </c>
      <c r="I77" s="1" t="n"/>
    </row>
    <row r="78">
      <c r="A78" s="18" t="n">
        <v>69</v>
      </c>
      <c r="B78" t="inlineStr">
        <is>
          <t>00003-ELE</t>
        </is>
      </c>
      <c r="C78" s="56">
        <f>IFERROR(_xlfn.XLOOKUP(SALIDAS[[#This Row],[CODIGO]],LISTADO[CODIGOS],LISTADO[CATEGORIA]),"NO EXISTE")</f>
        <v/>
      </c>
      <c r="D78" s="56">
        <f>IFERROR(_xlfn.XLOOKUP(SALIDAS[[#This Row],[CODIGO]],LISTADO[CODIGOS],LISTADO[PRODUCTOS]),"NO EXISTE")</f>
        <v/>
      </c>
      <c r="E78" s="19" t="n">
        <v>46070</v>
      </c>
      <c r="F78" s="18" t="n">
        <v>8</v>
      </c>
      <c r="G78" s="18" t="inlineStr">
        <is>
          <t>PERIFERICO</t>
        </is>
      </c>
      <c r="H78" s="18" t="inlineStr">
        <is>
          <t>OSCAR COLMENARES</t>
        </is>
      </c>
      <c r="I78" s="1" t="n"/>
    </row>
    <row r="79">
      <c r="A79" s="18" t="n">
        <v>48</v>
      </c>
      <c r="B79" t="inlineStr">
        <is>
          <t>00002-HRR</t>
        </is>
      </c>
      <c r="C79" s="56">
        <f>IFERROR(_xlfn.XLOOKUP(SALIDAS[[#This Row],[CODIGO]],LISTADO[CODIGOS],LISTADO[CATEGORIA]),"NO EXISTE")</f>
        <v/>
      </c>
      <c r="D79" s="56">
        <f>IFERROR(_xlfn.XLOOKUP(SALIDAS[[#This Row],[CODIGO]],LISTADO[CODIGOS],LISTADO[PRODUCTOS]),"NO EXISTE")</f>
        <v/>
      </c>
      <c r="E79" s="19" t="n">
        <v>46071</v>
      </c>
      <c r="F79" s="18" t="n">
        <v>1</v>
      </c>
      <c r="G79" s="18" t="inlineStr">
        <is>
          <t>PERIFERICO</t>
        </is>
      </c>
      <c r="I79" s="1" t="n"/>
    </row>
    <row r="80">
      <c r="A80" s="18" t="n">
        <v>59</v>
      </c>
      <c r="B80" t="inlineStr">
        <is>
          <t>00023-FER</t>
        </is>
      </c>
      <c r="C80" s="56">
        <f>IFERROR(_xlfn.XLOOKUP(SALIDAS[[#This Row],[CODIGO]],LISTADO[CODIGOS],LISTADO[CATEGORIA]),"NO EXISTE")</f>
        <v/>
      </c>
      <c r="D80" s="56">
        <f>IFERROR(_xlfn.XLOOKUP(SALIDAS[[#This Row],[CODIGO]],LISTADO[CODIGOS],LISTADO[PRODUCTOS]),"NO EXISTE")</f>
        <v/>
      </c>
      <c r="E80" s="19" t="n">
        <v>46071</v>
      </c>
      <c r="F80" s="18" t="n">
        <v>4</v>
      </c>
      <c r="G80" s="18" t="inlineStr">
        <is>
          <t>AV. BOLIVAR</t>
        </is>
      </c>
      <c r="I80" s="1" t="n"/>
    </row>
    <row r="81">
      <c r="A81" s="18" t="n">
        <v>60</v>
      </c>
      <c r="B81" t="inlineStr">
        <is>
          <t>00053-FER</t>
        </is>
      </c>
      <c r="C81" s="56">
        <f>IFERROR(_xlfn.XLOOKUP(SALIDAS[[#This Row],[CODIGO]],LISTADO[CODIGOS],LISTADO[CATEGORIA]),"NO EXISTE")</f>
        <v/>
      </c>
      <c r="D81" s="56">
        <f>IFERROR(_xlfn.XLOOKUP(SALIDAS[[#This Row],[CODIGO]],LISTADO[CODIGOS],LISTADO[PRODUCTOS]),"NO EXISTE")</f>
        <v/>
      </c>
      <c r="E81" s="19" t="n">
        <v>46071</v>
      </c>
      <c r="F81" s="18" t="n">
        <v>0.25</v>
      </c>
      <c r="G81" s="18" t="inlineStr">
        <is>
          <t>PERIFERICO</t>
        </is>
      </c>
      <c r="I81" s="1" t="n"/>
    </row>
    <row r="82">
      <c r="A82" s="18" t="n">
        <v>61</v>
      </c>
      <c r="B82" t="inlineStr">
        <is>
          <t>00041-FER</t>
        </is>
      </c>
      <c r="C82" s="56">
        <f>IFERROR(_xlfn.XLOOKUP(SALIDAS[[#This Row],[CODIGO]],LISTADO[CODIGOS],LISTADO[CATEGORIA]),"NO EXISTE")</f>
        <v/>
      </c>
      <c r="D82" s="56">
        <f>IFERROR(_xlfn.XLOOKUP(SALIDAS[[#This Row],[CODIGO]],LISTADO[CODIGOS],LISTADO[PRODUCTOS]),"NO EXISTE")</f>
        <v/>
      </c>
      <c r="E82" s="19" t="n">
        <v>46071</v>
      </c>
      <c r="F82" s="18" t="n">
        <v>1</v>
      </c>
      <c r="G82" s="18" t="inlineStr">
        <is>
          <t>PERIFERICO</t>
        </is>
      </c>
      <c r="I82" s="1" t="n"/>
    </row>
    <row r="83">
      <c r="A83" s="18" t="n">
        <v>62</v>
      </c>
      <c r="B83" t="inlineStr">
        <is>
          <t>00031-ILU</t>
        </is>
      </c>
      <c r="C83" s="56">
        <f>IFERROR(_xlfn.XLOOKUP(SALIDAS[[#This Row],[CODIGO]],LISTADO[CODIGOS],LISTADO[CATEGORIA]),"NO EXISTE")</f>
        <v/>
      </c>
      <c r="D83" s="56">
        <f>IFERROR(_xlfn.XLOOKUP(SALIDAS[[#This Row],[CODIGO]],LISTADO[CODIGOS],LISTADO[PRODUCTOS]),"NO EXISTE")</f>
        <v/>
      </c>
      <c r="E83" s="19" t="n">
        <v>46071</v>
      </c>
      <c r="F83" s="18" t="n">
        <v>1</v>
      </c>
      <c r="G83" s="18" t="inlineStr">
        <is>
          <t>GUACARA</t>
        </is>
      </c>
      <c r="H83" s="18" t="inlineStr">
        <is>
          <t>ROBERTO ORTIZ</t>
        </is>
      </c>
      <c r="I83" s="1" t="n"/>
    </row>
    <row r="84">
      <c r="A84" s="18" t="n">
        <v>63</v>
      </c>
      <c r="B84" t="inlineStr">
        <is>
          <t>00041-FER</t>
        </is>
      </c>
      <c r="C84" s="56">
        <f>IFERROR(_xlfn.XLOOKUP(SALIDAS[[#This Row],[CODIGO]],LISTADO[CODIGOS],LISTADO[CATEGORIA]),"NO EXISTE")</f>
        <v/>
      </c>
      <c r="D84" s="56">
        <f>IFERROR(_xlfn.XLOOKUP(SALIDAS[[#This Row],[CODIGO]],LISTADO[CODIGOS],LISTADO[PRODUCTOS]),"NO EXISTE")</f>
        <v/>
      </c>
      <c r="E84" s="19" t="n">
        <v>46071</v>
      </c>
      <c r="F84" s="18" t="n">
        <v>1.5</v>
      </c>
      <c r="G84" s="18" t="inlineStr">
        <is>
          <t>PERIFERICO</t>
        </is>
      </c>
      <c r="I84" s="1" t="n"/>
    </row>
    <row r="85">
      <c r="A85" s="18" t="n">
        <v>64</v>
      </c>
      <c r="B85" t="inlineStr">
        <is>
          <t>00008-ILU</t>
        </is>
      </c>
      <c r="C85" s="56">
        <f>IFERROR(_xlfn.XLOOKUP(SALIDAS[[#This Row],[CODIGO]],LISTADO[CODIGOS],LISTADO[CATEGORIA]),"NO EXISTE")</f>
        <v/>
      </c>
      <c r="D85" s="56">
        <f>IFERROR(_xlfn.XLOOKUP(SALIDAS[[#This Row],[CODIGO]],LISTADO[CODIGOS],LISTADO[PRODUCTOS]),"NO EXISTE")</f>
        <v/>
      </c>
      <c r="E85" s="19" t="n">
        <v>46071</v>
      </c>
      <c r="F85" s="18" t="n">
        <v>4</v>
      </c>
      <c r="G85" s="18" t="inlineStr">
        <is>
          <t>PERIFERICO</t>
        </is>
      </c>
      <c r="I85" s="1" t="n"/>
    </row>
    <row r="86">
      <c r="A86" s="18" t="n">
        <v>70</v>
      </c>
      <c r="B86" t="inlineStr">
        <is>
          <t>00005-FER</t>
        </is>
      </c>
      <c r="C86" s="56">
        <f>IFERROR(_xlfn.XLOOKUP(SALIDAS[[#This Row],[CODIGO]],LISTADO[CODIGOS],LISTADO[CATEGORIA]),"NO EXISTE")</f>
        <v/>
      </c>
      <c r="D86" s="56">
        <f>IFERROR(_xlfn.XLOOKUP(SALIDAS[[#This Row],[CODIGO]],LISTADO[CODIGOS],LISTADO[PRODUCTOS]),"NO EXISTE")</f>
        <v/>
      </c>
      <c r="E86" s="19" t="n">
        <v>46071</v>
      </c>
      <c r="F86" s="18" t="n">
        <v>75</v>
      </c>
      <c r="G86" s="18" t="inlineStr">
        <is>
          <t>PERIFERICO</t>
        </is>
      </c>
      <c r="I86" s="1" t="n"/>
    </row>
    <row r="87">
      <c r="A87" s="18" t="n">
        <v>71</v>
      </c>
      <c r="B87" t="inlineStr">
        <is>
          <t>00001-FER</t>
        </is>
      </c>
      <c r="C87" s="56">
        <f>IFERROR(_xlfn.XLOOKUP(SALIDAS[[#This Row],[CODIGO]],LISTADO[CODIGOS],LISTADO[CATEGORIA]),"NO EXISTE")</f>
        <v/>
      </c>
      <c r="D87" s="56">
        <f>IFERROR(_xlfn.XLOOKUP(SALIDAS[[#This Row],[CODIGO]],LISTADO[CODIGOS],LISTADO[PRODUCTOS]),"NO EXISTE")</f>
        <v/>
      </c>
      <c r="E87" s="19" t="n">
        <v>46071</v>
      </c>
      <c r="F87" s="18" t="n">
        <v>75</v>
      </c>
      <c r="G87" s="18" t="inlineStr">
        <is>
          <t>PERIFERICO</t>
        </is>
      </c>
      <c r="I87" s="1" t="n"/>
    </row>
    <row r="88">
      <c r="A88" s="18" t="n">
        <v>72</v>
      </c>
      <c r="B88" t="inlineStr">
        <is>
          <t>00008-HRR</t>
        </is>
      </c>
      <c r="C88" s="56">
        <f>IFERROR(_xlfn.XLOOKUP(SALIDAS[[#This Row],[CODIGO]],LISTADO[CODIGOS],LISTADO[CATEGORIA]),"NO EXISTE")</f>
        <v/>
      </c>
      <c r="D88" s="56">
        <f>IFERROR(_xlfn.XLOOKUP(SALIDAS[[#This Row],[CODIGO]],LISTADO[CODIGOS],LISTADO[PRODUCTOS]),"NO EXISTE")</f>
        <v/>
      </c>
      <c r="E88" s="19" t="n">
        <v>46071</v>
      </c>
      <c r="F88" s="18" t="n">
        <v>100</v>
      </c>
      <c r="G88" s="18" t="inlineStr">
        <is>
          <t>PERIFERICO</t>
        </is>
      </c>
      <c r="I88" s="1" t="n"/>
    </row>
    <row r="89">
      <c r="A89" s="18" t="n">
        <v>73</v>
      </c>
      <c r="B89" t="inlineStr">
        <is>
          <t>00070-FER</t>
        </is>
      </c>
      <c r="C89" s="56">
        <f>IFERROR(_xlfn.XLOOKUP(SALIDAS[[#This Row],[CODIGO]],LISTADO[CODIGOS],LISTADO[CATEGORIA]),"NO EXISTE")</f>
        <v/>
      </c>
      <c r="D89" s="56">
        <f>IFERROR(_xlfn.XLOOKUP(SALIDAS[[#This Row],[CODIGO]],LISTADO[CODIGOS],LISTADO[PRODUCTOS]),"NO EXISTE")</f>
        <v/>
      </c>
      <c r="E89" s="19" t="n">
        <v>46071</v>
      </c>
      <c r="F89" s="18" t="n">
        <v>2</v>
      </c>
      <c r="G89" s="18" t="inlineStr">
        <is>
          <t>PERIFERICO</t>
        </is>
      </c>
      <c r="I89" s="1" t="n"/>
    </row>
    <row r="90">
      <c r="A90" s="18" t="n">
        <v>74</v>
      </c>
      <c r="B90" t="inlineStr">
        <is>
          <t>00006-FER</t>
        </is>
      </c>
      <c r="C90" s="56">
        <f>IFERROR(_xlfn.XLOOKUP(SALIDAS[[#This Row],[CODIGO]],LISTADO[CODIGOS],LISTADO[CATEGORIA]),"NO EXISTE")</f>
        <v/>
      </c>
      <c r="D90" s="56">
        <f>IFERROR(_xlfn.XLOOKUP(SALIDAS[[#This Row],[CODIGO]],LISTADO[CODIGOS],LISTADO[PRODUCTOS]),"NO EXISTE")</f>
        <v/>
      </c>
      <c r="E90" s="19" t="n">
        <v>46071</v>
      </c>
      <c r="F90" s="18" t="n">
        <v>30</v>
      </c>
      <c r="G90" s="18" t="inlineStr">
        <is>
          <t>PERIFERICO</t>
        </is>
      </c>
      <c r="I90" s="1" t="n"/>
    </row>
    <row r="91">
      <c r="A91" s="18" t="n">
        <v>75</v>
      </c>
      <c r="B91" t="inlineStr">
        <is>
          <t>00002-FER</t>
        </is>
      </c>
      <c r="C91" s="56">
        <f>IFERROR(_xlfn.XLOOKUP(SALIDAS[[#This Row],[CODIGO]],LISTADO[CODIGOS],LISTADO[CATEGORIA]),"NO EXISTE")</f>
        <v/>
      </c>
      <c r="D91" s="56">
        <f>IFERROR(_xlfn.XLOOKUP(SALIDAS[[#This Row],[CODIGO]],LISTADO[CODIGOS],LISTADO[PRODUCTOS]),"NO EXISTE")</f>
        <v/>
      </c>
      <c r="E91" s="19" t="n">
        <v>46071</v>
      </c>
      <c r="F91" s="18" t="n">
        <v>30</v>
      </c>
      <c r="G91" s="18" t="inlineStr">
        <is>
          <t>PERIFERICO</t>
        </is>
      </c>
      <c r="I91" s="1" t="n"/>
    </row>
    <row r="92">
      <c r="A92" s="18" t="n">
        <v>76</v>
      </c>
      <c r="B92" t="inlineStr">
        <is>
          <t>00009-HRR</t>
        </is>
      </c>
      <c r="C92" s="56">
        <f>IFERROR(_xlfn.XLOOKUP(SALIDAS[[#This Row],[CODIGO]],LISTADO[CODIGOS],LISTADO[CATEGORIA]),"NO EXISTE")</f>
        <v/>
      </c>
      <c r="D92" s="56">
        <f>IFERROR(_xlfn.XLOOKUP(SALIDAS[[#This Row],[CODIGO]],LISTADO[CODIGOS],LISTADO[PRODUCTOS]),"NO EXISTE")</f>
        <v/>
      </c>
      <c r="E92" s="19" t="n">
        <v>46071</v>
      </c>
      <c r="F92" s="18" t="n">
        <v>90</v>
      </c>
      <c r="G92" s="18" t="inlineStr">
        <is>
          <t>PERIFERICO</t>
        </is>
      </c>
      <c r="I92" s="1" t="n"/>
    </row>
    <row r="93">
      <c r="A93" s="18" t="n">
        <v>77</v>
      </c>
      <c r="B93" t="inlineStr">
        <is>
          <t>00021-FER</t>
        </is>
      </c>
      <c r="C93" s="56">
        <f>IFERROR(_xlfn.XLOOKUP(SALIDAS[[#This Row],[CODIGO]],LISTADO[CODIGOS],LISTADO[CATEGORIA]),"NO EXISTE")</f>
        <v/>
      </c>
      <c r="D93" s="56">
        <f>IFERROR(_xlfn.XLOOKUP(SALIDAS[[#This Row],[CODIGO]],LISTADO[CODIGOS],LISTADO[PRODUCTOS]),"NO EXISTE")</f>
        <v/>
      </c>
      <c r="E93" s="19" t="n">
        <v>46071</v>
      </c>
      <c r="F93" s="18" t="n">
        <v>2</v>
      </c>
      <c r="G93" s="18" t="inlineStr">
        <is>
          <t>PERIFERICO</t>
        </is>
      </c>
      <c r="I93" s="1" t="n"/>
    </row>
    <row r="94">
      <c r="A94" s="18" t="n">
        <v>65</v>
      </c>
      <c r="B94" t="inlineStr">
        <is>
          <t>00010-MSC</t>
        </is>
      </c>
      <c r="C94" s="56">
        <f>IFERROR(_xlfn.XLOOKUP(SALIDAS[[#This Row],[CODIGO]],LISTADO[CODIGOS],LISTADO[CATEGORIA]),"NO EXISTE")</f>
        <v/>
      </c>
      <c r="D94" s="56">
        <f>IFERROR(_xlfn.XLOOKUP(SALIDAS[[#This Row],[CODIGO]],LISTADO[CODIGOS],LISTADO[PRODUCTOS]),"NO EXISTE")</f>
        <v/>
      </c>
      <c r="E94" s="19" t="n">
        <v>46072</v>
      </c>
      <c r="F94" s="18" t="n">
        <v>1</v>
      </c>
      <c r="G94" s="18" t="inlineStr">
        <is>
          <t>NAGUANAGUA 1</t>
        </is>
      </c>
      <c r="I94" s="1" t="n"/>
    </row>
    <row r="95">
      <c r="A95" s="18" t="n">
        <v>66</v>
      </c>
      <c r="B95" t="inlineStr">
        <is>
          <t>00009-FER</t>
        </is>
      </c>
      <c r="C95" s="56">
        <f>IFERROR(_xlfn.XLOOKUP(SALIDAS[[#This Row],[CODIGO]],LISTADO[CODIGOS],LISTADO[CATEGORIA]),"NO EXISTE")</f>
        <v/>
      </c>
      <c r="D95" s="56">
        <f>IFERROR(_xlfn.XLOOKUP(SALIDAS[[#This Row],[CODIGO]],LISTADO[CODIGOS],LISTADO[PRODUCTOS]),"NO EXISTE")</f>
        <v/>
      </c>
      <c r="E95" s="19" t="n">
        <v>46072</v>
      </c>
      <c r="F95" s="18" t="n">
        <v>4</v>
      </c>
      <c r="G95" s="18" t="inlineStr">
        <is>
          <t>TOCUYITO</t>
        </is>
      </c>
      <c r="H95" s="18" t="inlineStr">
        <is>
          <t>JULIO MUJICA</t>
        </is>
      </c>
      <c r="I95" s="1" t="n"/>
    </row>
    <row r="96">
      <c r="A96" s="18" t="n">
        <v>78</v>
      </c>
      <c r="B96" t="inlineStr">
        <is>
          <t>00010-ELE</t>
        </is>
      </c>
      <c r="C96" s="56">
        <f>IFERROR(_xlfn.XLOOKUP(SALIDAS[[#This Row],[CODIGO]],LISTADO[CODIGOS],LISTADO[CATEGORIA]),"NO EXISTE")</f>
        <v/>
      </c>
      <c r="D96" s="56">
        <f>IFERROR(_xlfn.XLOOKUP(SALIDAS[[#This Row],[CODIGO]],LISTADO[CODIGOS],LISTADO[PRODUCTOS]),"NO EXISTE")</f>
        <v/>
      </c>
      <c r="E96" s="19" t="n">
        <v>46072</v>
      </c>
      <c r="F96" s="18" t="n">
        <v>2</v>
      </c>
      <c r="G96" s="18" t="inlineStr">
        <is>
          <t>LA VEGA (CARACAS)</t>
        </is>
      </c>
      <c r="I96" s="1" t="n"/>
    </row>
    <row r="97">
      <c r="A97" s="18" t="n">
        <v>79</v>
      </c>
      <c r="B97" t="inlineStr">
        <is>
          <t>00009-ELE</t>
        </is>
      </c>
      <c r="C97" s="56">
        <f>IFERROR(_xlfn.XLOOKUP(SALIDAS[[#This Row],[CODIGO]],LISTADO[CODIGOS],LISTADO[CATEGORIA]),"NO EXISTE")</f>
        <v/>
      </c>
      <c r="D97" s="56">
        <f>IFERROR(_xlfn.XLOOKUP(SALIDAS[[#This Row],[CODIGO]],LISTADO[CODIGOS],LISTADO[PRODUCTOS]),"NO EXISTE")</f>
        <v/>
      </c>
      <c r="E97" s="19" t="n">
        <v>46072</v>
      </c>
      <c r="F97" s="18" t="n">
        <v>15</v>
      </c>
      <c r="G97" s="18" t="inlineStr">
        <is>
          <t>LA VEGA (CARACAS)</t>
        </is>
      </c>
      <c r="I97" s="1" t="n"/>
    </row>
    <row r="98">
      <c r="A98" s="18" t="n">
        <v>80</v>
      </c>
      <c r="B98" t="inlineStr">
        <is>
          <t>00005-ELE</t>
        </is>
      </c>
      <c r="C98" s="56">
        <f>IFERROR(_xlfn.XLOOKUP(SALIDAS[[#This Row],[CODIGO]],LISTADO[CODIGOS],LISTADO[CATEGORIA]),"NO EXISTE")</f>
        <v/>
      </c>
      <c r="D98" s="56">
        <f>IFERROR(_xlfn.XLOOKUP(SALIDAS[[#This Row],[CODIGO]],LISTADO[CODIGOS],LISTADO[PRODUCTOS]),"NO EXISTE")</f>
        <v/>
      </c>
      <c r="E98" s="19" t="n">
        <v>46072</v>
      </c>
      <c r="F98" s="18" t="n">
        <v>20</v>
      </c>
      <c r="G98" s="18" t="inlineStr">
        <is>
          <t>LA VEGA (CARACAS)</t>
        </is>
      </c>
      <c r="I98" s="1" t="n"/>
    </row>
    <row r="99">
      <c r="A99" s="18" t="n">
        <v>81</v>
      </c>
      <c r="B99" t="inlineStr">
        <is>
          <t>00006-ELE</t>
        </is>
      </c>
      <c r="C99" s="56">
        <f>IFERROR(_xlfn.XLOOKUP(SALIDAS[[#This Row],[CODIGO]],LISTADO[CODIGOS],LISTADO[CATEGORIA]),"NO EXISTE")</f>
        <v/>
      </c>
      <c r="D99" s="56">
        <f>IFERROR(_xlfn.XLOOKUP(SALIDAS[[#This Row],[CODIGO]],LISTADO[CODIGOS],LISTADO[PRODUCTOS]),"NO EXISTE")</f>
        <v/>
      </c>
      <c r="E99" s="19" t="n">
        <v>46072</v>
      </c>
      <c r="F99" s="18" t="n">
        <v>3</v>
      </c>
      <c r="G99" s="18" t="inlineStr">
        <is>
          <t>LA VEGA (CARACAS)</t>
        </is>
      </c>
      <c r="I99" s="1" t="n"/>
    </row>
    <row r="100">
      <c r="A100" s="18" t="n">
        <v>82</v>
      </c>
      <c r="B100" t="inlineStr">
        <is>
          <t>00007-ELE</t>
        </is>
      </c>
      <c r="C100" s="56">
        <f>IFERROR(_xlfn.XLOOKUP(SALIDAS[[#This Row],[CODIGO]],LISTADO[CODIGOS],LISTADO[CATEGORIA]),"NO EXISTE")</f>
        <v/>
      </c>
      <c r="D100" s="56">
        <f>IFERROR(_xlfn.XLOOKUP(SALIDAS[[#This Row],[CODIGO]],LISTADO[CODIGOS],LISTADO[PRODUCTOS]),"NO EXISTE")</f>
        <v/>
      </c>
      <c r="E100" s="19" t="n">
        <v>46072</v>
      </c>
      <c r="F100" s="18" t="n">
        <v>4</v>
      </c>
      <c r="G100" s="18" t="inlineStr">
        <is>
          <t>LA VEGA (CARACAS)</t>
        </is>
      </c>
      <c r="I100" s="1" t="n"/>
    </row>
    <row r="101">
      <c r="A101" s="18" t="n">
        <v>116</v>
      </c>
      <c r="B101" t="inlineStr">
        <is>
          <t>00004-AUT</t>
        </is>
      </c>
      <c r="C101" s="56">
        <f>IFERROR(_xlfn.XLOOKUP(SALIDAS[[#This Row],[CODIGO]],LISTADO[CODIGOS],LISTADO[CATEGORIA]),"NO EXISTE")</f>
        <v/>
      </c>
      <c r="D101" s="56">
        <f>IFERROR(_xlfn.XLOOKUP(SALIDAS[[#This Row],[CODIGO]],LISTADO[CODIGOS],LISTADO[PRODUCTOS]),"NO EXISTE")</f>
        <v/>
      </c>
      <c r="E101" s="19" t="n">
        <v>46072</v>
      </c>
      <c r="F101" s="18" t="n">
        <v>4</v>
      </c>
      <c r="G101" s="18" t="inlineStr">
        <is>
          <t>PERIFERICO</t>
        </is>
      </c>
      <c r="H101" s="18" t="inlineStr">
        <is>
          <t>GABRIEL MONSALVE</t>
        </is>
      </c>
      <c r="I101" s="1" t="n"/>
    </row>
    <row r="102">
      <c r="A102" s="18" t="n">
        <v>117</v>
      </c>
      <c r="B102" t="inlineStr">
        <is>
          <t>00005-AUT</t>
        </is>
      </c>
      <c r="C102" s="56">
        <f>IFERROR(_xlfn.XLOOKUP(SALIDAS[[#This Row],[CODIGO]],LISTADO[CODIGOS],LISTADO[CATEGORIA]),"NO EXISTE")</f>
        <v/>
      </c>
      <c r="D102" s="56">
        <f>IFERROR(_xlfn.XLOOKUP(SALIDAS[[#This Row],[CODIGO]],LISTADO[CODIGOS],LISTADO[PRODUCTOS]),"NO EXISTE")</f>
        <v/>
      </c>
      <c r="E102" s="19" t="n">
        <v>46072</v>
      </c>
      <c r="F102" s="18" t="n">
        <v>1</v>
      </c>
      <c r="G102" s="18" t="inlineStr">
        <is>
          <t>PERIFERICO</t>
        </is>
      </c>
      <c r="H102" s="18" t="inlineStr">
        <is>
          <t>GABRIEL MONSALVE</t>
        </is>
      </c>
      <c r="I102" s="1" t="n"/>
    </row>
    <row r="103">
      <c r="A103" s="18" t="n">
        <v>118</v>
      </c>
      <c r="B103" t="inlineStr">
        <is>
          <t>00006-AUT</t>
        </is>
      </c>
      <c r="C103" s="56">
        <f>IFERROR(_xlfn.XLOOKUP(SALIDAS[[#This Row],[CODIGO]],LISTADO[CODIGOS],LISTADO[CATEGORIA]),"NO EXISTE")</f>
        <v/>
      </c>
      <c r="D103" s="56">
        <f>IFERROR(_xlfn.XLOOKUP(SALIDAS[[#This Row],[CODIGO]],LISTADO[CODIGOS],LISTADO[PRODUCTOS]),"NO EXISTE")</f>
        <v/>
      </c>
      <c r="E103" s="19" t="n">
        <v>46072</v>
      </c>
      <c r="F103" s="18" t="n">
        <v>2</v>
      </c>
      <c r="G103" s="18" t="inlineStr">
        <is>
          <t>PERIFERICO</t>
        </is>
      </c>
      <c r="H103" s="18" t="inlineStr">
        <is>
          <t>GABRIEL MONSALVE</t>
        </is>
      </c>
      <c r="I103" s="1" t="n"/>
    </row>
    <row r="104">
      <c r="A104" s="18" t="n">
        <v>89</v>
      </c>
      <c r="B104" t="inlineStr">
        <is>
          <t>00032-UNI</t>
        </is>
      </c>
      <c r="C104" s="56">
        <f>IFERROR(_xlfn.XLOOKUP(SALIDAS[[#This Row],[CODIGO]],LISTADO[CODIGOS],LISTADO[CATEGORIA]),"NO EXISTE")</f>
        <v/>
      </c>
      <c r="D104" s="56">
        <f>IFERROR(_xlfn.XLOOKUP(SALIDAS[[#This Row],[CODIGO]],LISTADO[CODIGOS],LISTADO[PRODUCTOS]),"NO EXISTE")</f>
        <v/>
      </c>
      <c r="E104" s="19" t="n">
        <v>46073</v>
      </c>
      <c r="F104" s="18" t="n">
        <v>1</v>
      </c>
      <c r="G104" s="18" t="inlineStr">
        <is>
          <t>NAGUANAGUA 1</t>
        </is>
      </c>
      <c r="I104" s="1" t="n"/>
    </row>
    <row r="105">
      <c r="A105" s="18" t="n">
        <v>90</v>
      </c>
      <c r="B105" t="inlineStr">
        <is>
          <t>00025-UNI</t>
        </is>
      </c>
      <c r="C105" s="56">
        <f>IFERROR(_xlfn.XLOOKUP(SALIDAS[[#This Row],[CODIGO]],LISTADO[CODIGOS],LISTADO[CATEGORIA]),"NO EXISTE")</f>
        <v/>
      </c>
      <c r="D105" s="56">
        <f>IFERROR(_xlfn.XLOOKUP(SALIDAS[[#This Row],[CODIGO]],LISTADO[CODIGOS],LISTADO[PRODUCTOS]),"NO EXISTE")</f>
        <v/>
      </c>
      <c r="E105" s="19" t="n">
        <v>46073</v>
      </c>
      <c r="F105" s="18" t="n">
        <v>1</v>
      </c>
      <c r="G105" s="18" t="inlineStr">
        <is>
          <t>NAGUANAGUA 1</t>
        </is>
      </c>
      <c r="I105" s="1" t="n"/>
    </row>
    <row r="106">
      <c r="A106" s="18" t="n">
        <v>91</v>
      </c>
      <c r="B106" t="inlineStr">
        <is>
          <t>00030-UNI</t>
        </is>
      </c>
      <c r="C106" s="56">
        <f>IFERROR(_xlfn.XLOOKUP(SALIDAS[[#This Row],[CODIGO]],LISTADO[CODIGOS],LISTADO[CATEGORIA]),"NO EXISTE")</f>
        <v/>
      </c>
      <c r="D106" s="56">
        <f>IFERROR(_xlfn.XLOOKUP(SALIDAS[[#This Row],[CODIGO]],LISTADO[CODIGOS],LISTADO[PRODUCTOS]),"NO EXISTE")</f>
        <v/>
      </c>
      <c r="E106" s="19" t="n">
        <v>46073</v>
      </c>
      <c r="F106" s="18" t="n">
        <v>1</v>
      </c>
      <c r="G106" s="18" t="inlineStr">
        <is>
          <t>NAGUANAGUA 1</t>
        </is>
      </c>
      <c r="I106" s="1" t="n"/>
    </row>
    <row r="107">
      <c r="A107" s="18" t="n">
        <v>92</v>
      </c>
      <c r="B107" t="inlineStr">
        <is>
          <t>00029-UNI</t>
        </is>
      </c>
      <c r="C107" s="56">
        <f>IFERROR(_xlfn.XLOOKUP(SALIDAS[[#This Row],[CODIGO]],LISTADO[CODIGOS],LISTADO[CATEGORIA]),"NO EXISTE")</f>
        <v/>
      </c>
      <c r="D107" s="56">
        <f>IFERROR(_xlfn.XLOOKUP(SALIDAS[[#This Row],[CODIGO]],LISTADO[CODIGOS],LISTADO[PRODUCTOS]),"NO EXISTE")</f>
        <v/>
      </c>
      <c r="E107" s="19" t="n">
        <v>46073</v>
      </c>
      <c r="F107" s="18" t="n">
        <v>1</v>
      </c>
      <c r="G107" s="18" t="inlineStr">
        <is>
          <t>NAGUANAGUA 1</t>
        </is>
      </c>
      <c r="I107" s="1" t="n"/>
    </row>
    <row r="108">
      <c r="A108" s="18" t="n">
        <v>93</v>
      </c>
      <c r="B108" t="inlineStr">
        <is>
          <t>00008-UNI</t>
        </is>
      </c>
      <c r="C108" s="56">
        <f>IFERROR(_xlfn.XLOOKUP(SALIDAS[[#This Row],[CODIGO]],LISTADO[CODIGOS],LISTADO[CATEGORIA]),"NO EXISTE")</f>
        <v/>
      </c>
      <c r="D108" s="56">
        <f>IFERROR(_xlfn.XLOOKUP(SALIDAS[[#This Row],[CODIGO]],LISTADO[CODIGOS],LISTADO[PRODUCTOS]),"NO EXISTE")</f>
        <v/>
      </c>
      <c r="E108" s="19" t="n">
        <v>46073</v>
      </c>
      <c r="F108" s="18" t="n">
        <v>4</v>
      </c>
      <c r="G108" s="18" t="inlineStr">
        <is>
          <t>NAGUANAGUA 1</t>
        </is>
      </c>
      <c r="I108" s="1" t="n"/>
    </row>
    <row r="109">
      <c r="A109" s="18" t="n">
        <v>94</v>
      </c>
      <c r="B109" t="inlineStr">
        <is>
          <t>00013-UNI</t>
        </is>
      </c>
      <c r="C109" s="56">
        <f>IFERROR(_xlfn.XLOOKUP(SALIDAS[[#This Row],[CODIGO]],LISTADO[CODIGOS],LISTADO[CATEGORIA]),"NO EXISTE")</f>
        <v/>
      </c>
      <c r="D109" s="56">
        <f>IFERROR(_xlfn.XLOOKUP(SALIDAS[[#This Row],[CODIGO]],LISTADO[CODIGOS],LISTADO[PRODUCTOS]),"NO EXISTE")</f>
        <v/>
      </c>
      <c r="E109" s="19" t="n">
        <v>46073</v>
      </c>
      <c r="F109" s="18" t="n">
        <v>9</v>
      </c>
      <c r="G109" s="18" t="inlineStr">
        <is>
          <t>NAGUANAGUA 1</t>
        </is>
      </c>
      <c r="I109" s="1" t="n"/>
    </row>
    <row r="110">
      <c r="A110" s="18" t="n">
        <v>95</v>
      </c>
      <c r="B110" t="inlineStr">
        <is>
          <t>00010-UNI</t>
        </is>
      </c>
      <c r="C110" s="56">
        <f>IFERROR(_xlfn.XLOOKUP(SALIDAS[[#This Row],[CODIGO]],LISTADO[CODIGOS],LISTADO[CATEGORIA]),"NO EXISTE")</f>
        <v/>
      </c>
      <c r="D110" s="56">
        <f>IFERROR(_xlfn.XLOOKUP(SALIDAS[[#This Row],[CODIGO]],LISTADO[CODIGOS],LISTADO[PRODUCTOS]),"NO EXISTE")</f>
        <v/>
      </c>
      <c r="E110" s="19" t="n">
        <v>46073</v>
      </c>
      <c r="F110" s="18" t="n">
        <v>2</v>
      </c>
      <c r="G110" s="18" t="inlineStr">
        <is>
          <t>NAGUANAGUA 1</t>
        </is>
      </c>
      <c r="I110" s="1" t="n"/>
    </row>
    <row r="111">
      <c r="A111" s="18" t="n">
        <v>96</v>
      </c>
      <c r="B111" t="inlineStr">
        <is>
          <t>00009-UNI</t>
        </is>
      </c>
      <c r="C111" s="56">
        <f>IFERROR(_xlfn.XLOOKUP(SALIDAS[[#This Row],[CODIGO]],LISTADO[CODIGOS],LISTADO[CATEGORIA]),"NO EXISTE")</f>
        <v/>
      </c>
      <c r="D111" s="56">
        <f>IFERROR(_xlfn.XLOOKUP(SALIDAS[[#This Row],[CODIGO]],LISTADO[CODIGOS],LISTADO[PRODUCTOS]),"NO EXISTE")</f>
        <v/>
      </c>
      <c r="E111" s="19" t="n">
        <v>46073</v>
      </c>
      <c r="F111" s="18" t="n">
        <v>2</v>
      </c>
      <c r="G111" s="18" t="inlineStr">
        <is>
          <t>NAGUANAGUA 1</t>
        </is>
      </c>
      <c r="I111" s="1" t="n"/>
    </row>
    <row r="112">
      <c r="A112" s="18" t="n">
        <v>97</v>
      </c>
      <c r="B112" t="inlineStr">
        <is>
          <t>00011-UNI</t>
        </is>
      </c>
      <c r="C112" s="56">
        <f>IFERROR(_xlfn.XLOOKUP(SALIDAS[[#This Row],[CODIGO]],LISTADO[CODIGOS],LISTADO[CATEGORIA]),"NO EXISTE")</f>
        <v/>
      </c>
      <c r="D112" s="56">
        <f>IFERROR(_xlfn.XLOOKUP(SALIDAS[[#This Row],[CODIGO]],LISTADO[CODIGOS],LISTADO[PRODUCTOS]),"NO EXISTE")</f>
        <v/>
      </c>
      <c r="E112" s="19" t="n">
        <v>46073</v>
      </c>
      <c r="F112" s="18" t="n">
        <v>8</v>
      </c>
      <c r="G112" s="18" t="inlineStr">
        <is>
          <t>NAGUANAGUA 1</t>
        </is>
      </c>
      <c r="I112" s="1" t="n"/>
    </row>
    <row r="113">
      <c r="A113" s="18" t="n">
        <v>98</v>
      </c>
      <c r="B113" t="inlineStr">
        <is>
          <t>00013-UNI</t>
        </is>
      </c>
      <c r="C113" s="56">
        <f>IFERROR(_xlfn.XLOOKUP(SALIDAS[[#This Row],[CODIGO]],LISTADO[CODIGOS],LISTADO[CATEGORIA]),"NO EXISTE")</f>
        <v/>
      </c>
      <c r="D113" s="56">
        <f>IFERROR(_xlfn.XLOOKUP(SALIDAS[[#This Row],[CODIGO]],LISTADO[CODIGOS],LISTADO[PRODUCTOS]),"NO EXISTE")</f>
        <v/>
      </c>
      <c r="E113" s="19" t="n">
        <v>46073</v>
      </c>
      <c r="F113" s="18" t="n">
        <v>26</v>
      </c>
      <c r="G113" s="18" t="inlineStr">
        <is>
          <t>TOCUYITO</t>
        </is>
      </c>
      <c r="I113" s="1" t="n"/>
    </row>
    <row r="114">
      <c r="A114" s="18" t="n">
        <v>99</v>
      </c>
      <c r="B114" t="inlineStr">
        <is>
          <t>00008-UNI</t>
        </is>
      </c>
      <c r="C114" s="56">
        <f>IFERROR(_xlfn.XLOOKUP(SALIDAS[[#This Row],[CODIGO]],LISTADO[CODIGOS],LISTADO[CATEGORIA]),"NO EXISTE")</f>
        <v/>
      </c>
      <c r="D114" s="56">
        <f>IFERROR(_xlfn.XLOOKUP(SALIDAS[[#This Row],[CODIGO]],LISTADO[CODIGOS],LISTADO[PRODUCTOS]),"NO EXISTE")</f>
        <v/>
      </c>
      <c r="E114" s="19" t="n">
        <v>46073</v>
      </c>
      <c r="F114" s="18" t="n">
        <v>14</v>
      </c>
      <c r="G114" s="18" t="inlineStr">
        <is>
          <t>TOCUYITO</t>
        </is>
      </c>
      <c r="I114" s="1" t="n"/>
    </row>
    <row r="115">
      <c r="A115" s="18" t="n">
        <v>100</v>
      </c>
      <c r="B115" t="inlineStr">
        <is>
          <t>00011-UNI</t>
        </is>
      </c>
      <c r="C115" s="56">
        <f>IFERROR(_xlfn.XLOOKUP(SALIDAS[[#This Row],[CODIGO]],LISTADO[CODIGOS],LISTADO[CATEGORIA]),"NO EXISTE")</f>
        <v/>
      </c>
      <c r="D115" s="56">
        <f>IFERROR(_xlfn.XLOOKUP(SALIDAS[[#This Row],[CODIGO]],LISTADO[CODIGOS],LISTADO[PRODUCTOS]),"NO EXISTE")</f>
        <v/>
      </c>
      <c r="E115" s="19" t="n">
        <v>46073</v>
      </c>
      <c r="F115" s="18" t="n">
        <v>9</v>
      </c>
      <c r="G115" s="18" t="inlineStr">
        <is>
          <t>TOCUYITO</t>
        </is>
      </c>
      <c r="I115" s="1" t="n"/>
    </row>
    <row r="116">
      <c r="A116" s="18" t="n">
        <v>101</v>
      </c>
      <c r="B116" t="inlineStr">
        <is>
          <t>00009-UNI</t>
        </is>
      </c>
      <c r="C116" s="56">
        <f>IFERROR(_xlfn.XLOOKUP(SALIDAS[[#This Row],[CODIGO]],LISTADO[CODIGOS],LISTADO[CATEGORIA]),"NO EXISTE")</f>
        <v/>
      </c>
      <c r="D116" s="56">
        <f>IFERROR(_xlfn.XLOOKUP(SALIDAS[[#This Row],[CODIGO]],LISTADO[CODIGOS],LISTADO[PRODUCTOS]),"NO EXISTE")</f>
        <v/>
      </c>
      <c r="E116" s="19" t="n">
        <v>46073</v>
      </c>
      <c r="F116" s="18" t="n">
        <v>2</v>
      </c>
      <c r="G116" s="18" t="inlineStr">
        <is>
          <t>TOCUYITO</t>
        </is>
      </c>
      <c r="I116" s="1" t="n"/>
    </row>
    <row r="117">
      <c r="A117" s="18" t="n">
        <v>102</v>
      </c>
      <c r="B117" t="inlineStr">
        <is>
          <t>00007-UNI</t>
        </is>
      </c>
      <c r="C117" s="56">
        <f>IFERROR(_xlfn.XLOOKUP(SALIDAS[[#This Row],[CODIGO]],LISTADO[CODIGOS],LISTADO[CATEGORIA]),"NO EXISTE")</f>
        <v/>
      </c>
      <c r="D117" s="56">
        <f>IFERROR(_xlfn.XLOOKUP(SALIDAS[[#This Row],[CODIGO]],LISTADO[CODIGOS],LISTADO[PRODUCTOS]),"NO EXISTE")</f>
        <v/>
      </c>
      <c r="E117" s="19" t="n">
        <v>46073</v>
      </c>
      <c r="F117" s="18" t="n">
        <v>6</v>
      </c>
      <c r="G117" s="18" t="inlineStr">
        <is>
          <t>TOCUYITO</t>
        </is>
      </c>
      <c r="I117" s="1" t="n"/>
    </row>
    <row r="118">
      <c r="B118" t="inlineStr">
        <is>
          <t>00068-FER</t>
        </is>
      </c>
      <c r="C118" s="56">
        <f>IFERROR(_xlfn.XLOOKUP(SALIDAS[[#This Row],[CODIGO]],LISTADO[CODIGOS],LISTADO[CATEGORIA]),"NO EXISTE")</f>
        <v/>
      </c>
      <c r="D118" s="56">
        <f>IFERROR(_xlfn.XLOOKUP(SALIDAS[[#This Row],[CODIGO]],LISTADO[CODIGOS],LISTADO[PRODUCTOS]),"NO EXISTE")</f>
        <v/>
      </c>
      <c r="E118" s="19" t="n">
        <v>46073</v>
      </c>
      <c r="F118" s="18" t="n">
        <v>1</v>
      </c>
      <c r="G118" s="18" t="inlineStr">
        <is>
          <t>TAZAJAL</t>
        </is>
      </c>
      <c r="I118" s="1" t="n"/>
    </row>
    <row r="119">
      <c r="A119" s="18" t="n">
        <v>83</v>
      </c>
      <c r="B119" t="inlineStr">
        <is>
          <t>00004-ELE</t>
        </is>
      </c>
      <c r="C119" s="56">
        <f>IFERROR(_xlfn.XLOOKUP(SALIDAS[[#This Row],[CODIGO]],LISTADO[CODIGOS],LISTADO[CATEGORIA]),"NO EXISTE")</f>
        <v/>
      </c>
      <c r="D119" s="56">
        <f>IFERROR(_xlfn.XLOOKUP(SALIDAS[[#This Row],[CODIGO]],LISTADO[CODIGOS],LISTADO[PRODUCTOS]),"NO EXISTE")</f>
        <v/>
      </c>
      <c r="E119" s="19" t="n">
        <v>46074</v>
      </c>
      <c r="F119" s="18" t="n">
        <v>1</v>
      </c>
      <c r="G119" s="18" t="inlineStr">
        <is>
          <t>TOCUYITO</t>
        </is>
      </c>
      <c r="I119" s="1" t="n"/>
    </row>
    <row r="120">
      <c r="A120" s="18" t="n">
        <v>84</v>
      </c>
      <c r="B120" t="inlineStr">
        <is>
          <t>00003-REF</t>
        </is>
      </c>
      <c r="C120" s="56">
        <f>IFERROR(_xlfn.XLOOKUP(SALIDAS[[#This Row],[CODIGO]],LISTADO[CODIGOS],LISTADO[CATEGORIA]),"NO EXISTE")</f>
        <v/>
      </c>
      <c r="D120" s="56">
        <f>IFERROR(_xlfn.XLOOKUP(SALIDAS[[#This Row],[CODIGO]],LISTADO[CODIGOS],LISTADO[PRODUCTOS]),"NO EXISTE")</f>
        <v/>
      </c>
      <c r="E120" s="19" t="n">
        <v>46074</v>
      </c>
      <c r="F120" s="18" t="n">
        <v>1</v>
      </c>
      <c r="G120" s="18" t="inlineStr">
        <is>
          <t>TOCUYITO</t>
        </is>
      </c>
      <c r="I120" s="1" t="n"/>
    </row>
    <row r="121">
      <c r="A121" s="18" t="n">
        <v>85</v>
      </c>
      <c r="B121" t="inlineStr">
        <is>
          <t>00003-ELE</t>
        </is>
      </c>
      <c r="C121" s="56">
        <f>IFERROR(_xlfn.XLOOKUP(SALIDAS[[#This Row],[CODIGO]],LISTADO[CODIGOS],LISTADO[CATEGORIA]),"NO EXISTE")</f>
        <v/>
      </c>
      <c r="D121" s="56">
        <f>IFERROR(_xlfn.XLOOKUP(SALIDAS[[#This Row],[CODIGO]],LISTADO[CODIGOS],LISTADO[PRODUCTOS]),"NO EXISTE")</f>
        <v/>
      </c>
      <c r="E121" s="19" t="n">
        <v>46074</v>
      </c>
      <c r="F121" s="18" t="n">
        <v>10</v>
      </c>
      <c r="G121" s="18" t="inlineStr">
        <is>
          <t>TOCUYITO</t>
        </is>
      </c>
      <c r="I121" s="1" t="n"/>
    </row>
    <row r="122">
      <c r="A122" s="18" t="n">
        <v>86</v>
      </c>
      <c r="B122" t="inlineStr">
        <is>
          <t>00014-ELE</t>
        </is>
      </c>
      <c r="C122" s="56">
        <f>IFERROR(_xlfn.XLOOKUP(SALIDAS[[#This Row],[CODIGO]],LISTADO[CODIGOS],LISTADO[CATEGORIA]),"NO EXISTE")</f>
        <v/>
      </c>
      <c r="D122" s="56">
        <f>IFERROR(_xlfn.XLOOKUP(SALIDAS[[#This Row],[CODIGO]],LISTADO[CODIGOS],LISTADO[PRODUCTOS]),"NO EXISTE")</f>
        <v/>
      </c>
      <c r="E122" s="19" t="n">
        <v>46074</v>
      </c>
      <c r="F122" s="18" t="n">
        <v>4</v>
      </c>
      <c r="G122" s="18" t="inlineStr">
        <is>
          <t>TOCUYITO</t>
        </is>
      </c>
      <c r="I122" s="1" t="n"/>
    </row>
    <row r="123">
      <c r="A123" s="18" t="n">
        <v>88</v>
      </c>
      <c r="B123" t="inlineStr">
        <is>
          <t>00007-ELE</t>
        </is>
      </c>
      <c r="C123" s="56">
        <f>IFERROR(_xlfn.XLOOKUP(SALIDAS[[#This Row],[CODIGO]],LISTADO[CODIGOS],LISTADO[CATEGORIA]),"NO EXISTE")</f>
        <v/>
      </c>
      <c r="D123" s="56">
        <f>IFERROR(_xlfn.XLOOKUP(SALIDAS[[#This Row],[CODIGO]],LISTADO[CODIGOS],LISTADO[PRODUCTOS]),"NO EXISTE")</f>
        <v/>
      </c>
      <c r="E123" s="19" t="n">
        <v>46074</v>
      </c>
      <c r="F123" s="18" t="n">
        <v>1</v>
      </c>
      <c r="G123" s="18" t="inlineStr">
        <is>
          <t>PARAPARAL</t>
        </is>
      </c>
      <c r="I123" s="1" t="n"/>
    </row>
    <row r="124">
      <c r="A124" s="18" t="n">
        <v>103</v>
      </c>
      <c r="B124" t="inlineStr">
        <is>
          <t>00007-HRR</t>
        </is>
      </c>
      <c r="C124" s="56">
        <f>IFERROR(_xlfn.XLOOKUP(SALIDAS[[#This Row],[CODIGO]],LISTADO[CODIGOS],LISTADO[CATEGORIA]),"NO EXISTE")</f>
        <v/>
      </c>
      <c r="D124" s="56">
        <f>IFERROR(_xlfn.XLOOKUP(SALIDAS[[#This Row],[CODIGO]],LISTADO[CODIGOS],LISTADO[PRODUCTOS]),"NO EXISTE")</f>
        <v/>
      </c>
      <c r="E124" s="19" t="n">
        <v>46074</v>
      </c>
      <c r="F124" s="18" t="n">
        <v>4</v>
      </c>
      <c r="G124" s="18" t="inlineStr">
        <is>
          <t>PERIFERICO</t>
        </is>
      </c>
      <c r="H124" s="18" t="inlineStr">
        <is>
          <t>JULIO MUJICA</t>
        </is>
      </c>
      <c r="I124" s="1" t="n"/>
    </row>
    <row r="125">
      <c r="A125" s="18" t="n">
        <v>104</v>
      </c>
      <c r="B125" t="inlineStr">
        <is>
          <t>00005-HRR</t>
        </is>
      </c>
      <c r="C125" s="56">
        <f>IFERROR(_xlfn.XLOOKUP(SALIDAS[[#This Row],[CODIGO]],LISTADO[CODIGOS],LISTADO[CATEGORIA]),"NO EXISTE")</f>
        <v/>
      </c>
      <c r="D125" s="56">
        <f>IFERROR(_xlfn.XLOOKUP(SALIDAS[[#This Row],[CODIGO]],LISTADO[CODIGOS],LISTADO[PRODUCTOS]),"NO EXISTE")</f>
        <v/>
      </c>
      <c r="E125" s="19" t="n">
        <v>46074</v>
      </c>
      <c r="F125" s="18" t="n">
        <v>1</v>
      </c>
      <c r="G125" s="18" t="inlineStr">
        <is>
          <t>PERIFERICO</t>
        </is>
      </c>
      <c r="H125" s="18" t="inlineStr">
        <is>
          <t>JULIO MUJICA</t>
        </is>
      </c>
      <c r="I125" s="1" t="n"/>
    </row>
    <row r="126">
      <c r="A126" s="18" t="n">
        <v>105</v>
      </c>
      <c r="B126" t="inlineStr">
        <is>
          <t>00009-FER</t>
        </is>
      </c>
      <c r="C126" s="56">
        <f>IFERROR(_xlfn.XLOOKUP(SALIDAS[[#This Row],[CODIGO]],LISTADO[CODIGOS],LISTADO[CATEGORIA]),"NO EXISTE")</f>
        <v/>
      </c>
      <c r="D126" s="56">
        <f>IFERROR(_xlfn.XLOOKUP(SALIDAS[[#This Row],[CODIGO]],LISTADO[CODIGOS],LISTADO[PRODUCTOS]),"NO EXISTE")</f>
        <v/>
      </c>
      <c r="E126" s="19" t="n">
        <v>46074</v>
      </c>
      <c r="F126" s="18" t="n">
        <v>6</v>
      </c>
      <c r="G126" s="18" t="inlineStr">
        <is>
          <t>PERIFERICO</t>
        </is>
      </c>
      <c r="H126" s="18" t="inlineStr">
        <is>
          <t>JULIO MUJICA</t>
        </is>
      </c>
      <c r="I126" s="1" t="n"/>
    </row>
    <row r="127">
      <c r="A127" s="18" t="n">
        <v>106</v>
      </c>
      <c r="B127" t="inlineStr">
        <is>
          <t>00010-FER</t>
        </is>
      </c>
      <c r="C127" s="56">
        <f>IFERROR(_xlfn.XLOOKUP(SALIDAS[[#This Row],[CODIGO]],LISTADO[CODIGOS],LISTADO[CATEGORIA]),"NO EXISTE")</f>
        <v/>
      </c>
      <c r="D127" s="56">
        <f>IFERROR(_xlfn.XLOOKUP(SALIDAS[[#This Row],[CODIGO]],LISTADO[CODIGOS],LISTADO[PRODUCTOS]),"NO EXISTE")</f>
        <v/>
      </c>
      <c r="E127" s="19" t="n">
        <v>46074</v>
      </c>
      <c r="F127" s="18" t="n">
        <v>4</v>
      </c>
      <c r="G127" s="18" t="inlineStr">
        <is>
          <t>PERIFERICO</t>
        </is>
      </c>
      <c r="H127" s="18" t="inlineStr">
        <is>
          <t>JULIO MUJICA</t>
        </is>
      </c>
      <c r="I127" s="1" t="n"/>
    </row>
    <row r="128">
      <c r="A128" s="18" t="n">
        <v>107</v>
      </c>
      <c r="B128" t="inlineStr">
        <is>
          <t>00009-ELE</t>
        </is>
      </c>
      <c r="C128" s="56">
        <f>IFERROR(_xlfn.XLOOKUP(SALIDAS[[#This Row],[CODIGO]],LISTADO[CODIGOS],LISTADO[CATEGORIA]),"NO EXISTE")</f>
        <v/>
      </c>
      <c r="D128" s="56">
        <f>IFERROR(_xlfn.XLOOKUP(SALIDAS[[#This Row],[CODIGO]],LISTADO[CODIGOS],LISTADO[PRODUCTOS]),"NO EXISTE")</f>
        <v/>
      </c>
      <c r="E128" s="19" t="n">
        <v>46074</v>
      </c>
      <c r="F128" s="18" t="n">
        <v>1</v>
      </c>
      <c r="G128" s="18" t="inlineStr">
        <is>
          <t>TOCUYITO</t>
        </is>
      </c>
      <c r="H128" s="18" t="inlineStr">
        <is>
          <t>GABRIEL MONSALVE</t>
        </is>
      </c>
      <c r="I128" s="1" t="n"/>
    </row>
    <row r="129">
      <c r="A129" s="18" t="n">
        <v>108</v>
      </c>
      <c r="B129" t="inlineStr">
        <is>
          <t>00037-ELE</t>
        </is>
      </c>
      <c r="C129" s="56">
        <f>IFERROR(_xlfn.XLOOKUP(SALIDAS[[#This Row],[CODIGO]],LISTADO[CODIGOS],LISTADO[CATEGORIA]),"NO EXISTE")</f>
        <v/>
      </c>
      <c r="D129" s="56">
        <f>IFERROR(_xlfn.XLOOKUP(SALIDAS[[#This Row],[CODIGO]],LISTADO[CODIGOS],LISTADO[PRODUCTOS]),"NO EXISTE")</f>
        <v/>
      </c>
      <c r="E129" s="19" t="n">
        <v>46074</v>
      </c>
      <c r="F129" s="18" t="n">
        <v>1</v>
      </c>
      <c r="G129" s="18" t="inlineStr">
        <is>
          <t>TOCUYITO</t>
        </is>
      </c>
      <c r="H129" s="18" t="inlineStr">
        <is>
          <t>GABRIEL MONSALVE</t>
        </is>
      </c>
      <c r="I129" s="1" t="n"/>
    </row>
    <row r="130">
      <c r="A130" s="18" t="n">
        <v>87</v>
      </c>
      <c r="B130" t="inlineStr">
        <is>
          <t>00007-MSC</t>
        </is>
      </c>
      <c r="C130" s="56">
        <f>IFERROR(_xlfn.XLOOKUP(SALIDAS[[#This Row],[CODIGO]],LISTADO[CODIGOS],LISTADO[CATEGORIA]),"NO EXISTE")</f>
        <v/>
      </c>
      <c r="D130" s="56">
        <f>IFERROR(_xlfn.XLOOKUP(SALIDAS[[#This Row],[CODIGO]],LISTADO[CODIGOS],LISTADO[PRODUCTOS]),"NO EXISTE")</f>
        <v/>
      </c>
      <c r="E130" s="19" t="n">
        <v>46075</v>
      </c>
      <c r="F130" s="18" t="n">
        <v>10</v>
      </c>
      <c r="G130" s="18" t="inlineStr">
        <is>
          <t>NAGUANAGUA 2</t>
        </is>
      </c>
      <c r="I130" s="1" t="n"/>
    </row>
    <row r="131">
      <c r="A131" s="18" t="n">
        <v>109</v>
      </c>
      <c r="B131" t="inlineStr">
        <is>
          <t>00069-HER</t>
        </is>
      </c>
      <c r="C131" s="56">
        <f>IFERROR(_xlfn.XLOOKUP(SALIDAS[[#This Row],[CODIGO]],LISTADO[CODIGOS],LISTADO[CATEGORIA]),"NO EXISTE")</f>
        <v/>
      </c>
      <c r="D131" s="56">
        <f>IFERROR(_xlfn.XLOOKUP(SALIDAS[[#This Row],[CODIGO]],LISTADO[CODIGOS],LISTADO[PRODUCTOS]),"NO EXISTE")</f>
        <v/>
      </c>
      <c r="E131" s="19" t="n">
        <v>46075</v>
      </c>
      <c r="F131" s="18" t="n">
        <v>1</v>
      </c>
      <c r="G131" s="18" t="inlineStr">
        <is>
          <t>NAGUANAGUA 2</t>
        </is>
      </c>
      <c r="H131" s="18" t="inlineStr">
        <is>
          <t>CARLOS BARRETO</t>
        </is>
      </c>
      <c r="I131" s="1" t="n"/>
    </row>
    <row r="132">
      <c r="A132" s="18" t="n">
        <v>110</v>
      </c>
      <c r="B132" t="inlineStr">
        <is>
          <t>00015-HER</t>
        </is>
      </c>
      <c r="C132" s="56">
        <f>IFERROR(_xlfn.XLOOKUP(SALIDAS[[#This Row],[CODIGO]],LISTADO[CODIGOS],LISTADO[CATEGORIA]),"NO EXISTE")</f>
        <v/>
      </c>
      <c r="D132" s="56">
        <f>IFERROR(_xlfn.XLOOKUP(SALIDAS[[#This Row],[CODIGO]],LISTADO[CODIGOS],LISTADO[PRODUCTOS]),"NO EXISTE")</f>
        <v/>
      </c>
      <c r="E132" s="19" t="n">
        <v>46075</v>
      </c>
      <c r="F132" s="18" t="n">
        <v>1</v>
      </c>
      <c r="G132" s="18" t="inlineStr">
        <is>
          <t>GUACARA</t>
        </is>
      </c>
      <c r="H132" s="18" t="inlineStr">
        <is>
          <t>JESUS PERDOMO</t>
        </is>
      </c>
      <c r="I132" s="1" t="n"/>
    </row>
    <row r="133">
      <c r="A133" s="18" t="n">
        <v>111</v>
      </c>
      <c r="B133" t="inlineStr">
        <is>
          <t>00005-ELE</t>
        </is>
      </c>
      <c r="C133" s="56">
        <f>IFERROR(_xlfn.XLOOKUP(SALIDAS[[#This Row],[CODIGO]],LISTADO[CODIGOS],LISTADO[CATEGORIA]),"NO EXISTE")</f>
        <v/>
      </c>
      <c r="D133" s="56">
        <f>IFERROR(_xlfn.XLOOKUP(SALIDAS[[#This Row],[CODIGO]],LISTADO[CODIGOS],LISTADO[PRODUCTOS]),"NO EXISTE")</f>
        <v/>
      </c>
      <c r="E133" s="19" t="n">
        <v>46075</v>
      </c>
      <c r="F133" s="18" t="n">
        <v>1</v>
      </c>
      <c r="G133" s="18" t="inlineStr">
        <is>
          <t>GUACARA</t>
        </is>
      </c>
      <c r="H133" s="18" t="inlineStr">
        <is>
          <t>JESUS PERDOMO</t>
        </is>
      </c>
      <c r="I133" s="1" t="n"/>
    </row>
    <row r="134">
      <c r="A134" s="18" t="n">
        <v>112</v>
      </c>
      <c r="B134" t="inlineStr">
        <is>
          <t>00081-HER</t>
        </is>
      </c>
      <c r="C134" s="56">
        <f>IFERROR(_xlfn.XLOOKUP(SALIDAS[[#This Row],[CODIGO]],LISTADO[CODIGOS],LISTADO[CATEGORIA]),"NO EXISTE")</f>
        <v/>
      </c>
      <c r="D134" s="56">
        <f>IFERROR(_xlfn.XLOOKUP(SALIDAS[[#This Row],[CODIGO]],LISTADO[CODIGOS],LISTADO[PRODUCTOS]),"NO EXISTE")</f>
        <v/>
      </c>
      <c r="E134" s="19" t="n">
        <v>46075</v>
      </c>
      <c r="F134" s="18" t="n">
        <v>1</v>
      </c>
      <c r="G134" s="18" t="inlineStr">
        <is>
          <t>FLOR AMARILLO</t>
        </is>
      </c>
      <c r="H134" s="18" t="inlineStr">
        <is>
          <t>CARLOS BARRETO</t>
        </is>
      </c>
      <c r="I134" s="1" t="n"/>
    </row>
    <row r="135">
      <c r="A135" s="18" t="n">
        <v>140</v>
      </c>
      <c r="B135" t="inlineStr">
        <is>
          <t>00006-ELE</t>
        </is>
      </c>
      <c r="C135" s="56">
        <f>IFERROR(_xlfn.XLOOKUP(SALIDAS[[#This Row],[CODIGO]],LISTADO[CODIGOS],LISTADO[CATEGORIA]),"NO EXISTE")</f>
        <v/>
      </c>
      <c r="D135" s="56">
        <f>IFERROR(_xlfn.XLOOKUP(SALIDAS[[#This Row],[CODIGO]],LISTADO[CODIGOS],LISTADO[PRODUCTOS]),"NO EXISTE")</f>
        <v/>
      </c>
      <c r="E135" s="19" t="n">
        <v>46075</v>
      </c>
      <c r="F135" s="18" t="n">
        <v>1</v>
      </c>
      <c r="G135" s="18" t="inlineStr">
        <is>
          <t>MAÑONGO</t>
        </is>
      </c>
      <c r="H135" s="18" t="inlineStr">
        <is>
          <t xml:space="preserve">LUIS SILVA </t>
        </is>
      </c>
      <c r="I135" s="1" t="n"/>
    </row>
    <row r="136">
      <c r="A136" s="18" t="n">
        <v>143</v>
      </c>
      <c r="B136" t="inlineStr">
        <is>
          <t>00002-HRR</t>
        </is>
      </c>
      <c r="C136" s="56">
        <f>IFERROR(_xlfn.XLOOKUP(SALIDAS[[#This Row],[CODIGO]],LISTADO[CODIGOS],LISTADO[CATEGORIA]),"NO EXISTE")</f>
        <v/>
      </c>
      <c r="D136" s="56">
        <f>IFERROR(_xlfn.XLOOKUP(SALIDAS[[#This Row],[CODIGO]],LISTADO[CODIGOS],LISTADO[PRODUCTOS]),"NO EXISTE")</f>
        <v/>
      </c>
      <c r="E136" s="19" t="n">
        <v>46075</v>
      </c>
      <c r="F136" s="18" t="n">
        <v>1</v>
      </c>
      <c r="G136" s="18" t="inlineStr">
        <is>
          <t>PERIFERICO</t>
        </is>
      </c>
      <c r="I136" s="1" t="n"/>
    </row>
    <row r="137">
      <c r="A137" s="18" t="n">
        <v>113</v>
      </c>
      <c r="B137" t="inlineStr">
        <is>
          <t>00001-REF</t>
        </is>
      </c>
      <c r="C137" s="56">
        <f>IFERROR(_xlfn.XLOOKUP(SALIDAS[[#This Row],[CODIGO]],LISTADO[CODIGOS],LISTADO[CATEGORIA]),"NO EXISTE")</f>
        <v/>
      </c>
      <c r="D137" s="56">
        <f>IFERROR(_xlfn.XLOOKUP(SALIDAS[[#This Row],[CODIGO]],LISTADO[CODIGOS],LISTADO[PRODUCTOS]),"NO EXISTE")</f>
        <v/>
      </c>
      <c r="E137" s="19" t="n">
        <v>46076</v>
      </c>
      <c r="F137" s="18" t="n">
        <v>7</v>
      </c>
      <c r="G137" s="18" t="inlineStr">
        <is>
          <t>PERIFERICO</t>
        </is>
      </c>
      <c r="I137" s="1" t="n"/>
    </row>
    <row r="138">
      <c r="A138" s="18" t="n">
        <v>114</v>
      </c>
      <c r="B138" t="inlineStr">
        <is>
          <t>00002-REF</t>
        </is>
      </c>
      <c r="C138" s="56">
        <f>IFERROR(_xlfn.XLOOKUP(SALIDAS[[#This Row],[CODIGO]],LISTADO[CODIGOS],LISTADO[CATEGORIA]),"NO EXISTE")</f>
        <v/>
      </c>
      <c r="D138" s="56">
        <f>IFERROR(_xlfn.XLOOKUP(SALIDAS[[#This Row],[CODIGO]],LISTADO[CODIGOS],LISTADO[PRODUCTOS]),"NO EXISTE")</f>
        <v/>
      </c>
      <c r="E138" s="19" t="n">
        <v>46076</v>
      </c>
      <c r="F138" s="18" t="n">
        <v>5</v>
      </c>
      <c r="G138" s="18" t="inlineStr">
        <is>
          <t>PERIFERICO</t>
        </is>
      </c>
      <c r="I138" s="1" t="n"/>
    </row>
    <row r="139">
      <c r="A139" s="18" t="n">
        <v>115</v>
      </c>
      <c r="B139" t="inlineStr">
        <is>
          <t>00001-UNI</t>
        </is>
      </c>
      <c r="C139" s="56">
        <f>IFERROR(_xlfn.XLOOKUP(SALIDAS[[#This Row],[CODIGO]],LISTADO[CODIGOS],LISTADO[CATEGORIA]),"NO EXISTE")</f>
        <v/>
      </c>
      <c r="D139" s="56">
        <f>IFERROR(_xlfn.XLOOKUP(SALIDAS[[#This Row],[CODIGO]],LISTADO[CODIGOS],LISTADO[PRODUCTOS]),"NO EXISTE")</f>
        <v/>
      </c>
      <c r="E139" s="19" t="n">
        <v>46076</v>
      </c>
      <c r="F139" s="18" t="n">
        <v>50</v>
      </c>
      <c r="G139" s="18" t="inlineStr">
        <is>
          <t>LA VEGA (CARACAS)</t>
        </is>
      </c>
      <c r="H139" s="18" t="inlineStr">
        <is>
          <t>ISMAEL SANTAELLA</t>
        </is>
      </c>
      <c r="I139" s="1" t="n"/>
    </row>
    <row r="140">
      <c r="A140" s="18" t="n">
        <v>119</v>
      </c>
      <c r="B140" t="inlineStr">
        <is>
          <t>00013-UNI</t>
        </is>
      </c>
      <c r="C140" s="56">
        <f>IFERROR(_xlfn.XLOOKUP(SALIDAS[[#This Row],[CODIGO]],LISTADO[CODIGOS],LISTADO[CATEGORIA]),"NO EXISTE")</f>
        <v/>
      </c>
      <c r="D140" s="56">
        <f>IFERROR(_xlfn.XLOOKUP(SALIDAS[[#This Row],[CODIGO]],LISTADO[CODIGOS],LISTADO[PRODUCTOS]),"NO EXISTE")</f>
        <v/>
      </c>
      <c r="E140" s="19" t="n">
        <v>46076</v>
      </c>
      <c r="F140" s="18" t="n">
        <v>5</v>
      </c>
      <c r="G140" s="18" t="inlineStr">
        <is>
          <t>LA VEGA (CARACAS)</t>
        </is>
      </c>
      <c r="H140" s="18" t="inlineStr">
        <is>
          <t>ISMAEL SANTAELLA</t>
        </is>
      </c>
      <c r="I140" s="1" t="n"/>
    </row>
    <row r="141">
      <c r="A141" s="18" t="n">
        <v>120</v>
      </c>
      <c r="B141" t="inlineStr">
        <is>
          <t>00011-UNI</t>
        </is>
      </c>
      <c r="C141" s="56">
        <f>IFERROR(_xlfn.XLOOKUP(SALIDAS[[#This Row],[CODIGO]],LISTADO[CODIGOS],LISTADO[CATEGORIA]),"NO EXISTE")</f>
        <v/>
      </c>
      <c r="D141" s="56">
        <f>IFERROR(_xlfn.XLOOKUP(SALIDAS[[#This Row],[CODIGO]],LISTADO[CODIGOS],LISTADO[PRODUCTOS]),"NO EXISTE")</f>
        <v/>
      </c>
      <c r="E141" s="19" t="n">
        <v>46076</v>
      </c>
      <c r="F141" s="18" t="n">
        <v>10</v>
      </c>
      <c r="G141" s="18" t="inlineStr">
        <is>
          <t>LA VEGA (CARACAS)</t>
        </is>
      </c>
      <c r="H141" s="18" t="inlineStr">
        <is>
          <t>ISMAEL SANTAELLA</t>
        </is>
      </c>
      <c r="I141" s="1" t="n"/>
    </row>
    <row r="142">
      <c r="A142" s="18" t="n">
        <v>121</v>
      </c>
      <c r="B142" t="inlineStr">
        <is>
          <t>00008-UNI</t>
        </is>
      </c>
      <c r="C142" s="56">
        <f>IFERROR(_xlfn.XLOOKUP(SALIDAS[[#This Row],[CODIGO]],LISTADO[CODIGOS],LISTADO[CATEGORIA]),"NO EXISTE")</f>
        <v/>
      </c>
      <c r="D142" s="56">
        <f>IFERROR(_xlfn.XLOOKUP(SALIDAS[[#This Row],[CODIGO]],LISTADO[CODIGOS],LISTADO[PRODUCTOS]),"NO EXISTE")</f>
        <v/>
      </c>
      <c r="E142" s="19" t="n">
        <v>46076</v>
      </c>
      <c r="F142" s="18" t="n">
        <v>5</v>
      </c>
      <c r="G142" s="18" t="inlineStr">
        <is>
          <t>LA VEGA (CARACAS)</t>
        </is>
      </c>
      <c r="H142" s="18" t="inlineStr">
        <is>
          <t>ISMAEL SANTAELLA</t>
        </is>
      </c>
      <c r="I142" s="1" t="n"/>
    </row>
    <row r="143">
      <c r="A143" s="18" t="n">
        <v>122</v>
      </c>
      <c r="B143" t="inlineStr">
        <is>
          <t>00009-UNI</t>
        </is>
      </c>
      <c r="C143" s="56">
        <f>IFERROR(_xlfn.XLOOKUP(SALIDAS[[#This Row],[CODIGO]],LISTADO[CODIGOS],LISTADO[CATEGORIA]),"NO EXISTE")</f>
        <v/>
      </c>
      <c r="D143" s="56">
        <f>IFERROR(_xlfn.XLOOKUP(SALIDAS[[#This Row],[CODIGO]],LISTADO[CODIGOS],LISTADO[PRODUCTOS]),"NO EXISTE")</f>
        <v/>
      </c>
      <c r="E143" s="19" t="n">
        <v>46076</v>
      </c>
      <c r="F143" s="18" t="n">
        <v>5</v>
      </c>
      <c r="G143" s="18" t="inlineStr">
        <is>
          <t>LA VEGA (CARACAS)</t>
        </is>
      </c>
      <c r="H143" s="18" t="inlineStr">
        <is>
          <t>ISMAEL SANTAELLA</t>
        </is>
      </c>
      <c r="I143" s="1" t="n"/>
    </row>
    <row r="144">
      <c r="A144" s="18" t="n">
        <v>123</v>
      </c>
      <c r="B144" t="inlineStr">
        <is>
          <t>00006-UNI</t>
        </is>
      </c>
      <c r="C144" s="56">
        <f>IFERROR(_xlfn.XLOOKUP(SALIDAS[[#This Row],[CODIGO]],LISTADO[CODIGOS],LISTADO[CATEGORIA]),"NO EXISTE")</f>
        <v/>
      </c>
      <c r="D144" s="56">
        <f>IFERROR(_xlfn.XLOOKUP(SALIDAS[[#This Row],[CODIGO]],LISTADO[CODIGOS],LISTADO[PRODUCTOS]),"NO EXISTE")</f>
        <v/>
      </c>
      <c r="E144" s="19" t="n">
        <v>46076</v>
      </c>
      <c r="F144" s="18" t="n">
        <v>5</v>
      </c>
      <c r="G144" s="18" t="inlineStr">
        <is>
          <t>LA VEGA (CARACAS)</t>
        </is>
      </c>
      <c r="H144" s="18" t="inlineStr">
        <is>
          <t>ISMAEL SANTAELLA</t>
        </is>
      </c>
      <c r="I144" s="1" t="n"/>
    </row>
    <row r="145">
      <c r="A145" s="18" t="n">
        <v>124</v>
      </c>
      <c r="B145" t="inlineStr">
        <is>
          <t>00072-REF</t>
        </is>
      </c>
      <c r="C145" s="56">
        <f>IFERROR(_xlfn.XLOOKUP(SALIDAS[[#This Row],[CODIGO]],LISTADO[CODIGOS],LISTADO[CATEGORIA]),"NO EXISTE")</f>
        <v/>
      </c>
      <c r="D145" s="56">
        <f>IFERROR(_xlfn.XLOOKUP(SALIDAS[[#This Row],[CODIGO]],LISTADO[CODIGOS],LISTADO[PRODUCTOS]),"NO EXISTE")</f>
        <v/>
      </c>
      <c r="E145" s="19" t="n">
        <v>46076</v>
      </c>
      <c r="F145" s="18" t="n">
        <v>1</v>
      </c>
      <c r="G145" s="18" t="inlineStr">
        <is>
          <t>NAGUANAGUA 1</t>
        </is>
      </c>
      <c r="I145" s="1" t="n"/>
    </row>
    <row r="146">
      <c r="A146" s="18" t="n">
        <v>125</v>
      </c>
      <c r="B146" t="inlineStr">
        <is>
          <t>00073-REF</t>
        </is>
      </c>
      <c r="C146" s="56">
        <f>IFERROR(_xlfn.XLOOKUP(SALIDAS[[#This Row],[CODIGO]],LISTADO[CODIGOS],LISTADO[CATEGORIA]),"NO EXISTE")</f>
        <v/>
      </c>
      <c r="D146" s="56">
        <f>IFERROR(_xlfn.XLOOKUP(SALIDAS[[#This Row],[CODIGO]],LISTADO[CODIGOS],LISTADO[PRODUCTOS]),"NO EXISTE")</f>
        <v/>
      </c>
      <c r="E146" s="19" t="n">
        <v>46076</v>
      </c>
      <c r="F146" s="18" t="n">
        <v>2.5</v>
      </c>
      <c r="G146" s="18" t="inlineStr">
        <is>
          <t>GUACARA</t>
        </is>
      </c>
      <c r="I146" s="1" t="n"/>
    </row>
    <row r="147">
      <c r="A147" s="18" t="n">
        <v>126</v>
      </c>
      <c r="B147" t="inlineStr">
        <is>
          <t>00016-REF</t>
        </is>
      </c>
      <c r="C147" s="56">
        <f>IFERROR(_xlfn.XLOOKUP(SALIDAS[[#This Row],[CODIGO]],LISTADO[CODIGOS],LISTADO[CATEGORIA]),"NO EXISTE")</f>
        <v/>
      </c>
      <c r="D147" s="56">
        <f>IFERROR(_xlfn.XLOOKUP(SALIDAS[[#This Row],[CODIGO]],LISTADO[CODIGOS],LISTADO[PRODUCTOS]),"NO EXISTE")</f>
        <v/>
      </c>
      <c r="E147" s="19" t="n">
        <v>46076</v>
      </c>
      <c r="F147" s="18" t="n">
        <v>1</v>
      </c>
      <c r="G147" s="18" t="inlineStr">
        <is>
          <t>GUACARA</t>
        </is>
      </c>
      <c r="I147" s="1" t="n"/>
    </row>
    <row r="148">
      <c r="A148" s="18" t="n">
        <v>127</v>
      </c>
      <c r="B148" t="inlineStr">
        <is>
          <t>00099-HER</t>
        </is>
      </c>
      <c r="C148" s="56">
        <f>IFERROR(_xlfn.XLOOKUP(SALIDAS[[#This Row],[CODIGO]],LISTADO[CODIGOS],LISTADO[CATEGORIA]),"NO EXISTE")</f>
        <v/>
      </c>
      <c r="D148" s="56">
        <f>IFERROR(_xlfn.XLOOKUP(SALIDAS[[#This Row],[CODIGO]],LISTADO[CODIGOS],LISTADO[PRODUCTOS]),"NO EXISTE")</f>
        <v/>
      </c>
      <c r="E148" s="19" t="n">
        <v>46076</v>
      </c>
      <c r="F148" s="18" t="n">
        <v>4</v>
      </c>
      <c r="G148" s="18" t="inlineStr">
        <is>
          <t>SAN DIEGO</t>
        </is>
      </c>
      <c r="I148" s="1" t="n"/>
    </row>
    <row r="149">
      <c r="A149" s="18" t="n">
        <v>128</v>
      </c>
      <c r="B149" t="inlineStr">
        <is>
          <t>00100-HER</t>
        </is>
      </c>
      <c r="C149" s="56">
        <f>IFERROR(_xlfn.XLOOKUP(SALIDAS[[#This Row],[CODIGO]],LISTADO[CODIGOS],LISTADO[CATEGORIA]),"NO EXISTE")</f>
        <v/>
      </c>
      <c r="D149" s="56">
        <f>IFERROR(_xlfn.XLOOKUP(SALIDAS[[#This Row],[CODIGO]],LISTADO[CODIGOS],LISTADO[PRODUCTOS]),"NO EXISTE")</f>
        <v/>
      </c>
      <c r="E149" s="19" t="n">
        <v>46076</v>
      </c>
      <c r="F149" s="18" t="n">
        <v>3</v>
      </c>
      <c r="G149" s="18" t="inlineStr">
        <is>
          <t>SAN DIEGO</t>
        </is>
      </c>
      <c r="I149" s="1" t="n"/>
    </row>
    <row r="150">
      <c r="A150" s="18" t="n">
        <v>129</v>
      </c>
      <c r="B150" t="inlineStr">
        <is>
          <t>00101-HER</t>
        </is>
      </c>
      <c r="C150" s="56">
        <f>IFERROR(_xlfn.XLOOKUP(SALIDAS[[#This Row],[CODIGO]],LISTADO[CODIGOS],LISTADO[CATEGORIA]),"NO EXISTE")</f>
        <v/>
      </c>
      <c r="D150" s="56">
        <f>IFERROR(_xlfn.XLOOKUP(SALIDAS[[#This Row],[CODIGO]],LISTADO[CODIGOS],LISTADO[PRODUCTOS]),"NO EXISTE")</f>
        <v/>
      </c>
      <c r="E150" s="19" t="n">
        <v>46076</v>
      </c>
      <c r="F150" s="18" t="n">
        <v>2</v>
      </c>
      <c r="G150" s="18" t="inlineStr">
        <is>
          <t>SAN DIEGO</t>
        </is>
      </c>
      <c r="I150" s="1" t="n"/>
    </row>
    <row r="151">
      <c r="A151" s="18" t="n">
        <v>130</v>
      </c>
      <c r="B151" t="inlineStr">
        <is>
          <t>00074-FER</t>
        </is>
      </c>
      <c r="C151" s="56">
        <f>IFERROR(_xlfn.XLOOKUP(SALIDAS[[#This Row],[CODIGO]],LISTADO[CODIGOS],LISTADO[CATEGORIA]),"NO EXISTE")</f>
        <v/>
      </c>
      <c r="D151" s="56">
        <f>IFERROR(_xlfn.XLOOKUP(SALIDAS[[#This Row],[CODIGO]],LISTADO[CODIGOS],LISTADO[PRODUCTOS]),"NO EXISTE")</f>
        <v/>
      </c>
      <c r="E151" s="19" t="n">
        <v>46076</v>
      </c>
      <c r="F151" s="18" t="n">
        <v>4</v>
      </c>
      <c r="G151" s="18" t="inlineStr">
        <is>
          <t>SAN DIEGO</t>
        </is>
      </c>
      <c r="I151" s="1" t="n"/>
    </row>
    <row r="152">
      <c r="A152" s="18" t="n">
        <v>131</v>
      </c>
      <c r="B152" t="inlineStr">
        <is>
          <t>00024-FER</t>
        </is>
      </c>
      <c r="C152" s="56">
        <f>IFERROR(_xlfn.XLOOKUP(SALIDAS[[#This Row],[CODIGO]],LISTADO[CODIGOS],LISTADO[CATEGORIA]),"NO EXISTE")</f>
        <v/>
      </c>
      <c r="D152" s="56">
        <f>IFERROR(_xlfn.XLOOKUP(SALIDAS[[#This Row],[CODIGO]],LISTADO[CODIGOS],LISTADO[PRODUCTOS]),"NO EXISTE")</f>
        <v/>
      </c>
      <c r="E152" s="19" t="n">
        <v>46076</v>
      </c>
      <c r="F152" s="18" t="n">
        <v>1</v>
      </c>
      <c r="G152" s="18" t="inlineStr">
        <is>
          <t>SAN DIEGO</t>
        </is>
      </c>
      <c r="I152" s="1" t="n"/>
    </row>
    <row r="153">
      <c r="A153" s="18" t="n">
        <v>132</v>
      </c>
      <c r="B153" t="inlineStr">
        <is>
          <t>00001-REF</t>
        </is>
      </c>
      <c r="C153" s="56">
        <f>IFERROR(_xlfn.XLOOKUP(SALIDAS[[#This Row],[CODIGO]],LISTADO[CODIGOS],LISTADO[CATEGORIA]),"NO EXISTE")</f>
        <v/>
      </c>
      <c r="D153" s="56">
        <f>IFERROR(_xlfn.XLOOKUP(SALIDAS[[#This Row],[CODIGO]],LISTADO[CODIGOS],LISTADO[PRODUCTOS]),"NO EXISTE")</f>
        <v/>
      </c>
      <c r="E153" s="19" t="n">
        <v>46076</v>
      </c>
      <c r="F153" s="18" t="n">
        <v>1</v>
      </c>
      <c r="G153" s="18" t="inlineStr">
        <is>
          <t>SAN DIEGO</t>
        </is>
      </c>
      <c r="I153" s="1" t="n"/>
    </row>
    <row r="154">
      <c r="A154" s="18" t="n">
        <v>133</v>
      </c>
      <c r="B154" t="inlineStr">
        <is>
          <t>00054-FER</t>
        </is>
      </c>
      <c r="C154" s="56">
        <f>IFERROR(_xlfn.XLOOKUP(SALIDAS[[#This Row],[CODIGO]],LISTADO[CODIGOS],LISTADO[CATEGORIA]),"NO EXISTE")</f>
        <v/>
      </c>
      <c r="D154" s="56">
        <f>IFERROR(_xlfn.XLOOKUP(SALIDAS[[#This Row],[CODIGO]],LISTADO[CODIGOS],LISTADO[PRODUCTOS]),"NO EXISTE")</f>
        <v/>
      </c>
      <c r="E154" s="19" t="n">
        <v>46076</v>
      </c>
      <c r="F154" s="18" t="n">
        <v>1</v>
      </c>
      <c r="G154" s="18" t="inlineStr">
        <is>
          <t>AV. BOLIVAR</t>
        </is>
      </c>
      <c r="I154" s="1" t="n"/>
    </row>
    <row r="155">
      <c r="A155" s="18" t="n">
        <v>134</v>
      </c>
      <c r="B155" t="inlineStr">
        <is>
          <t>00016-REF</t>
        </is>
      </c>
      <c r="C155" s="56">
        <f>IFERROR(_xlfn.XLOOKUP(SALIDAS[[#This Row],[CODIGO]],LISTADO[CODIGOS],LISTADO[CATEGORIA]),"NO EXISTE")</f>
        <v/>
      </c>
      <c r="D155" s="56">
        <f>IFERROR(_xlfn.XLOOKUP(SALIDAS[[#This Row],[CODIGO]],LISTADO[CODIGOS],LISTADO[PRODUCTOS]),"NO EXISTE")</f>
        <v/>
      </c>
      <c r="E155" s="19" t="n">
        <v>46076</v>
      </c>
      <c r="F155" s="18" t="n">
        <v>2</v>
      </c>
      <c r="G155" s="18" t="inlineStr">
        <is>
          <t>MAÑONGO</t>
        </is>
      </c>
      <c r="I155" s="1" t="n"/>
    </row>
    <row r="156">
      <c r="A156" s="18" t="n">
        <v>135</v>
      </c>
      <c r="B156" t="inlineStr">
        <is>
          <t>00035-REF</t>
        </is>
      </c>
      <c r="C156" s="56">
        <f>IFERROR(_xlfn.XLOOKUP(SALIDAS[[#This Row],[CODIGO]],LISTADO[CODIGOS],LISTADO[CATEGORIA]),"NO EXISTE")</f>
        <v/>
      </c>
      <c r="D156" s="56">
        <f>IFERROR(_xlfn.XLOOKUP(SALIDAS[[#This Row],[CODIGO]],LISTADO[CODIGOS],LISTADO[PRODUCTOS]),"NO EXISTE")</f>
        <v/>
      </c>
      <c r="E156" s="19" t="n">
        <v>46076</v>
      </c>
      <c r="F156" s="18" t="n">
        <v>1</v>
      </c>
      <c r="G156" s="18" t="inlineStr">
        <is>
          <t>MAÑONGO</t>
        </is>
      </c>
      <c r="I156" s="1" t="n"/>
    </row>
    <row r="157">
      <c r="A157" s="18" t="n">
        <v>136</v>
      </c>
      <c r="B157" t="inlineStr">
        <is>
          <t>00028-FER</t>
        </is>
      </c>
      <c r="C157" s="56">
        <f>IFERROR(_xlfn.XLOOKUP(SALIDAS[[#This Row],[CODIGO]],LISTADO[CODIGOS],LISTADO[CATEGORIA]),"NO EXISTE")</f>
        <v/>
      </c>
      <c r="D157" s="56">
        <f>IFERROR(_xlfn.XLOOKUP(SALIDAS[[#This Row],[CODIGO]],LISTADO[CODIGOS],LISTADO[PRODUCTOS]),"NO EXISTE")</f>
        <v/>
      </c>
      <c r="E157" s="19" t="n">
        <v>46076</v>
      </c>
      <c r="F157" s="18" t="n">
        <v>2</v>
      </c>
      <c r="G157" s="18" t="inlineStr">
        <is>
          <t>AV. BOLIVAR</t>
        </is>
      </c>
      <c r="I157" s="1" t="n"/>
    </row>
    <row r="158">
      <c r="A158" s="18" t="n">
        <v>137</v>
      </c>
      <c r="B158" t="inlineStr">
        <is>
          <t>00031-FER</t>
        </is>
      </c>
      <c r="C158" s="56">
        <f>IFERROR(_xlfn.XLOOKUP(SALIDAS[[#This Row],[CODIGO]],LISTADO[CODIGOS],LISTADO[CATEGORIA]),"NO EXISTE")</f>
        <v/>
      </c>
      <c r="D158" s="56">
        <f>IFERROR(_xlfn.XLOOKUP(SALIDAS[[#This Row],[CODIGO]],LISTADO[CODIGOS],LISTADO[PRODUCTOS]),"NO EXISTE")</f>
        <v/>
      </c>
      <c r="E158" s="19" t="n">
        <v>46076</v>
      </c>
      <c r="F158" s="18" t="n">
        <v>2</v>
      </c>
      <c r="G158" s="18" t="inlineStr">
        <is>
          <t>AV. BOLIVAR</t>
        </is>
      </c>
      <c r="I158" s="1" t="n"/>
    </row>
    <row r="159">
      <c r="A159" s="18" t="n">
        <v>138</v>
      </c>
      <c r="B159" t="inlineStr">
        <is>
          <t>00050-FER</t>
        </is>
      </c>
      <c r="C159" s="56">
        <f>IFERROR(_xlfn.XLOOKUP(SALIDAS[[#This Row],[CODIGO]],LISTADO[CODIGOS],LISTADO[CATEGORIA]),"NO EXISTE")</f>
        <v/>
      </c>
      <c r="D159" s="56">
        <f>IFERROR(_xlfn.XLOOKUP(SALIDAS[[#This Row],[CODIGO]],LISTADO[CODIGOS],LISTADO[PRODUCTOS]),"NO EXISTE")</f>
        <v/>
      </c>
      <c r="E159" s="19" t="n">
        <v>46076</v>
      </c>
      <c r="F159" s="18" t="n">
        <v>1</v>
      </c>
      <c r="G159" s="18" t="inlineStr">
        <is>
          <t>AV. BOLIVAR</t>
        </is>
      </c>
      <c r="I159" s="1" t="n"/>
    </row>
    <row r="160">
      <c r="A160" s="18" t="n">
        <v>139</v>
      </c>
      <c r="B160" t="inlineStr">
        <is>
          <t>00050-FER</t>
        </is>
      </c>
      <c r="C160" s="56">
        <f>IFERROR(_xlfn.XLOOKUP(SALIDAS[[#This Row],[CODIGO]],LISTADO[CODIGOS],LISTADO[CATEGORIA]),"NO EXISTE")</f>
        <v/>
      </c>
      <c r="D160" s="56">
        <f>IFERROR(_xlfn.XLOOKUP(SALIDAS[[#This Row],[CODIGO]],LISTADO[CODIGOS],LISTADO[PRODUCTOS]),"NO EXISTE")</f>
        <v/>
      </c>
      <c r="E160" s="19" t="n">
        <v>46076</v>
      </c>
      <c r="F160" s="18" t="n">
        <v>1.5</v>
      </c>
      <c r="G160" s="18" t="inlineStr">
        <is>
          <t>AV. BOLIVAR</t>
        </is>
      </c>
      <c r="I160" s="1" t="n"/>
    </row>
    <row r="161">
      <c r="A161" s="18" t="n">
        <v>141</v>
      </c>
      <c r="B161" t="inlineStr">
        <is>
          <t>00013-FER</t>
        </is>
      </c>
      <c r="C161" s="56">
        <f>IFERROR(_xlfn.XLOOKUP(SALIDAS[[#This Row],[CODIGO]],LISTADO[CODIGOS],LISTADO[CATEGORIA]),"NO EXISTE")</f>
        <v/>
      </c>
      <c r="D161" s="56">
        <f>IFERROR(_xlfn.XLOOKUP(SALIDAS[[#This Row],[CODIGO]],LISTADO[CODIGOS],LISTADO[PRODUCTOS]),"NO EXISTE")</f>
        <v/>
      </c>
      <c r="E161" s="19" t="n">
        <v>46076</v>
      </c>
      <c r="F161" s="18" t="n">
        <v>12</v>
      </c>
      <c r="G161" s="18" t="inlineStr">
        <is>
          <t xml:space="preserve">CEDI SECO </t>
        </is>
      </c>
      <c r="H161" s="18" t="inlineStr">
        <is>
          <t>JULIO MUJICA</t>
        </is>
      </c>
      <c r="I161" s="1" t="n"/>
    </row>
    <row r="162">
      <c r="A162" s="18" t="n">
        <v>142</v>
      </c>
      <c r="B162" t="inlineStr">
        <is>
          <t>00002-HRR</t>
        </is>
      </c>
      <c r="C162" s="56">
        <f>IFERROR(_xlfn.XLOOKUP(SALIDAS[[#This Row],[CODIGO]],LISTADO[CODIGOS],LISTADO[CATEGORIA]),"NO EXISTE")</f>
        <v/>
      </c>
      <c r="D162" s="56">
        <f>IFERROR(_xlfn.XLOOKUP(SALIDAS[[#This Row],[CODIGO]],LISTADO[CODIGOS],LISTADO[PRODUCTOS]),"NO EXISTE")</f>
        <v/>
      </c>
      <c r="E162" s="19" t="n">
        <v>46076</v>
      </c>
      <c r="F162" s="18" t="n">
        <v>1</v>
      </c>
      <c r="G162" s="18" t="inlineStr">
        <is>
          <t>PERIFERICO</t>
        </is>
      </c>
      <c r="I162" s="1" t="n"/>
    </row>
    <row r="163">
      <c r="A163" s="18" t="n">
        <v>144</v>
      </c>
      <c r="B163" t="inlineStr">
        <is>
          <t>00067-REF</t>
        </is>
      </c>
      <c r="C163" s="56">
        <f>IFERROR(_xlfn.XLOOKUP(SALIDAS[[#This Row],[CODIGO]],LISTADO[CODIGOS],LISTADO[CATEGORIA]),"NO EXISTE")</f>
        <v/>
      </c>
      <c r="D163" s="56">
        <f>IFERROR(_xlfn.XLOOKUP(SALIDAS[[#This Row],[CODIGO]],LISTADO[CODIGOS],LISTADO[PRODUCTOS]),"NO EXISTE")</f>
        <v/>
      </c>
      <c r="E163" s="19" t="n">
        <v>46076</v>
      </c>
      <c r="F163" s="18" t="n">
        <v>1</v>
      </c>
      <c r="G163" s="18" t="inlineStr">
        <is>
          <t>ISABELICA</t>
        </is>
      </c>
      <c r="H163" s="18" t="inlineStr">
        <is>
          <t>WILMER INFANTE</t>
        </is>
      </c>
      <c r="I163" s="1" t="n"/>
    </row>
    <row r="164">
      <c r="A164" s="18" t="n">
        <v>174</v>
      </c>
      <c r="B164" t="inlineStr">
        <is>
          <t>00010-HRR</t>
        </is>
      </c>
      <c r="C164" s="56">
        <f>IFERROR(_xlfn.XLOOKUP(SALIDAS[[#This Row],[CODIGO]],LISTADO[CODIGOS],LISTADO[CATEGORIA]),"NO EXISTE")</f>
        <v/>
      </c>
      <c r="D164" s="56">
        <f>IFERROR(_xlfn.XLOOKUP(SALIDAS[[#This Row],[CODIGO]],LISTADO[CODIGOS],LISTADO[PRODUCTOS]),"NO EXISTE")</f>
        <v/>
      </c>
      <c r="E164" s="19" t="n">
        <v>46076</v>
      </c>
      <c r="F164" s="18" t="n">
        <v>30</v>
      </c>
      <c r="G164" s="18" t="inlineStr">
        <is>
          <t>NAGUANAGUA 2</t>
        </is>
      </c>
      <c r="I164" s="1" t="n"/>
    </row>
    <row r="165">
      <c r="A165" s="18" t="n">
        <v>182</v>
      </c>
      <c r="B165" t="inlineStr">
        <is>
          <t>00010-HRR</t>
        </is>
      </c>
      <c r="C165" s="56">
        <f>IFERROR(_xlfn.XLOOKUP(SALIDAS[[#This Row],[CODIGO]],LISTADO[CODIGOS],LISTADO[CATEGORIA]),"NO EXISTE")</f>
        <v/>
      </c>
      <c r="D165" s="56">
        <f>IFERROR(_xlfn.XLOOKUP(SALIDAS[[#This Row],[CODIGO]],LISTADO[CODIGOS],LISTADO[PRODUCTOS]),"NO EXISTE")</f>
        <v/>
      </c>
      <c r="E165" s="19" t="n">
        <v>46076</v>
      </c>
      <c r="F165" s="18" t="n">
        <v>3</v>
      </c>
      <c r="G165" s="18" t="inlineStr">
        <is>
          <t>NAGUANAGUA 3</t>
        </is>
      </c>
      <c r="I165" s="1" t="n"/>
    </row>
    <row r="166">
      <c r="A166" s="18" t="n">
        <v>145</v>
      </c>
      <c r="B166" t="inlineStr">
        <is>
          <t>00005-ELE</t>
        </is>
      </c>
      <c r="C166" s="56">
        <f>IFERROR(_xlfn.XLOOKUP(SALIDAS[[#This Row],[CODIGO]],LISTADO[CODIGOS],LISTADO[CATEGORIA]),"NO EXISTE")</f>
        <v/>
      </c>
      <c r="D166" s="56">
        <f>IFERROR(_xlfn.XLOOKUP(SALIDAS[[#This Row],[CODIGO]],LISTADO[CODIGOS],LISTADO[PRODUCTOS]),"NO EXISTE")</f>
        <v/>
      </c>
      <c r="E166" s="19" t="n">
        <v>46077</v>
      </c>
      <c r="F166" s="18" t="n">
        <v>2</v>
      </c>
      <c r="G166" s="18" t="inlineStr">
        <is>
          <t>NAGUANAGUA 1</t>
        </is>
      </c>
      <c r="H166" s="18" t="inlineStr">
        <is>
          <t>JUAN PAEZ</t>
        </is>
      </c>
      <c r="I166" s="1" t="n"/>
    </row>
    <row r="167">
      <c r="A167" s="18" t="n">
        <v>146</v>
      </c>
      <c r="B167" t="inlineStr">
        <is>
          <t>00051-REF</t>
        </is>
      </c>
      <c r="C167" s="56">
        <f>IFERROR(_xlfn.XLOOKUP(SALIDAS[[#This Row],[CODIGO]],LISTADO[CODIGOS],LISTADO[CATEGORIA]),"NO EXISTE")</f>
        <v/>
      </c>
      <c r="D167" s="56">
        <f>IFERROR(_xlfn.XLOOKUP(SALIDAS[[#This Row],[CODIGO]],LISTADO[CODIGOS],LISTADO[PRODUCTOS]),"NO EXISTE")</f>
        <v/>
      </c>
      <c r="E167" s="19" t="n">
        <v>46077</v>
      </c>
      <c r="F167" s="18" t="n">
        <v>1</v>
      </c>
      <c r="G167" s="18" t="inlineStr">
        <is>
          <t>NAGUANAGUA 1</t>
        </is>
      </c>
      <c r="H167" s="18" t="inlineStr">
        <is>
          <t>JUAN PAEZ</t>
        </is>
      </c>
      <c r="I167" s="1" t="n"/>
    </row>
    <row r="168">
      <c r="A168" s="18" t="n">
        <v>147</v>
      </c>
      <c r="B168" t="inlineStr">
        <is>
          <t>00023-ELC</t>
        </is>
      </c>
      <c r="C168" s="56">
        <f>IFERROR(_xlfn.XLOOKUP(SALIDAS[[#This Row],[CODIGO]],LISTADO[CODIGOS],LISTADO[CATEGORIA]),"NO EXISTE")</f>
        <v/>
      </c>
      <c r="D168" s="56">
        <f>IFERROR(_xlfn.XLOOKUP(SALIDAS[[#This Row],[CODIGO]],LISTADO[CODIGOS],LISTADO[PRODUCTOS]),"NO EXISTE")</f>
        <v/>
      </c>
      <c r="E168" s="19" t="n">
        <v>46077</v>
      </c>
      <c r="F168" s="18" t="n">
        <v>1</v>
      </c>
      <c r="G168" s="18" t="inlineStr">
        <is>
          <t>NAGUANAGUA 1</t>
        </is>
      </c>
      <c r="H168" s="18" t="inlineStr">
        <is>
          <t>JUAN PAEZ</t>
        </is>
      </c>
      <c r="I168" s="1" t="n"/>
    </row>
    <row r="169">
      <c r="A169" s="18" t="n">
        <v>149</v>
      </c>
      <c r="B169" t="inlineStr">
        <is>
          <t>00009-ELE</t>
        </is>
      </c>
      <c r="C169" s="56">
        <f>IFERROR(_xlfn.XLOOKUP(SALIDAS[[#This Row],[CODIGO]],LISTADO[CODIGOS],LISTADO[CATEGORIA]),"NO EXISTE")</f>
        <v/>
      </c>
      <c r="D169" s="56">
        <f>IFERROR(_xlfn.XLOOKUP(SALIDAS[[#This Row],[CODIGO]],LISTADO[CODIGOS],LISTADO[PRODUCTOS]),"NO EXISTE")</f>
        <v/>
      </c>
      <c r="E169" s="19" t="n">
        <v>46077</v>
      </c>
      <c r="F169" s="18" t="n">
        <v>1</v>
      </c>
      <c r="G169" s="18" t="inlineStr">
        <is>
          <t>MAÑONGO</t>
        </is>
      </c>
      <c r="H169" s="18" t="inlineStr">
        <is>
          <t>ALBERTO MANRIQUE</t>
        </is>
      </c>
      <c r="I169" s="1" t="n"/>
    </row>
    <row r="170">
      <c r="A170" s="18" t="n">
        <v>150</v>
      </c>
      <c r="B170" t="inlineStr">
        <is>
          <t>00010-ELE</t>
        </is>
      </c>
      <c r="C170" s="56">
        <f>IFERROR(_xlfn.XLOOKUP(SALIDAS[[#This Row],[CODIGO]],LISTADO[CODIGOS],LISTADO[CATEGORIA]),"NO EXISTE")</f>
        <v/>
      </c>
      <c r="D170" s="56">
        <f>IFERROR(_xlfn.XLOOKUP(SALIDAS[[#This Row],[CODIGO]],LISTADO[CODIGOS],LISTADO[PRODUCTOS]),"NO EXISTE")</f>
        <v/>
      </c>
      <c r="E170" s="19" t="n">
        <v>46077</v>
      </c>
      <c r="F170" s="18" t="n">
        <v>1</v>
      </c>
      <c r="G170" s="18" t="inlineStr">
        <is>
          <t>MAÑONGO</t>
        </is>
      </c>
      <c r="H170" s="18" t="inlineStr">
        <is>
          <t>ALBERTO MANRIQUE</t>
        </is>
      </c>
      <c r="I170" s="1" t="n"/>
    </row>
    <row r="171">
      <c r="A171" s="18" t="n">
        <v>151</v>
      </c>
      <c r="B171" t="inlineStr">
        <is>
          <t>00065-UNI</t>
        </is>
      </c>
      <c r="C171" s="56">
        <f>IFERROR(_xlfn.XLOOKUP(SALIDAS[[#This Row],[CODIGO]],LISTADO[CODIGOS],LISTADO[CATEGORIA]),"NO EXISTE")</f>
        <v/>
      </c>
      <c r="D171" s="56">
        <f>IFERROR(_xlfn.XLOOKUP(SALIDAS[[#This Row],[CODIGO]],LISTADO[CODIGOS],LISTADO[PRODUCTOS]),"NO EXISTE")</f>
        <v/>
      </c>
      <c r="E171" s="19" t="n">
        <v>46077</v>
      </c>
      <c r="F171" s="18" t="n">
        <v>1</v>
      </c>
      <c r="G171" s="18" t="inlineStr">
        <is>
          <t>PERIFERICO</t>
        </is>
      </c>
      <c r="H171" s="18" t="inlineStr">
        <is>
          <t>ISMAEL SANTAELLA</t>
        </is>
      </c>
      <c r="I171" s="1" t="n"/>
    </row>
    <row r="172">
      <c r="A172" s="18" t="n">
        <v>152</v>
      </c>
      <c r="B172" t="inlineStr">
        <is>
          <t>00027-FER</t>
        </is>
      </c>
      <c r="C172" s="56">
        <f>IFERROR(_xlfn.XLOOKUP(SALIDAS[[#This Row],[CODIGO]],LISTADO[CODIGOS],LISTADO[CATEGORIA]),"NO EXISTE")</f>
        <v/>
      </c>
      <c r="D172" s="56">
        <f>IFERROR(_xlfn.XLOOKUP(SALIDAS[[#This Row],[CODIGO]],LISTADO[CODIGOS],LISTADO[PRODUCTOS]),"NO EXISTE")</f>
        <v/>
      </c>
      <c r="E172" s="19" t="n">
        <v>46077</v>
      </c>
      <c r="F172" s="18" t="n">
        <v>4</v>
      </c>
      <c r="G172" s="18" t="inlineStr">
        <is>
          <t>SAN DIEGO</t>
        </is>
      </c>
      <c r="I172" s="1" t="n"/>
    </row>
    <row r="173">
      <c r="A173" s="18" t="n">
        <v>153</v>
      </c>
      <c r="B173" t="inlineStr">
        <is>
          <t>00028-FER</t>
        </is>
      </c>
      <c r="C173" s="56">
        <f>IFERROR(_xlfn.XLOOKUP(SALIDAS[[#This Row],[CODIGO]],LISTADO[CODIGOS],LISTADO[CATEGORIA]),"NO EXISTE")</f>
        <v/>
      </c>
      <c r="D173" s="56">
        <f>IFERROR(_xlfn.XLOOKUP(SALIDAS[[#This Row],[CODIGO]],LISTADO[CODIGOS],LISTADO[PRODUCTOS]),"NO EXISTE")</f>
        <v/>
      </c>
      <c r="E173" s="19" t="n">
        <v>46077</v>
      </c>
      <c r="F173" s="18" t="n">
        <v>3</v>
      </c>
      <c r="G173" s="18" t="inlineStr">
        <is>
          <t>SAN DIEGO</t>
        </is>
      </c>
      <c r="I173" s="1" t="n"/>
    </row>
    <row r="174">
      <c r="A174" s="18" t="n">
        <v>154</v>
      </c>
      <c r="B174" t="inlineStr">
        <is>
          <t>00041-FER</t>
        </is>
      </c>
      <c r="C174" s="56">
        <f>IFERROR(_xlfn.XLOOKUP(SALIDAS[[#This Row],[CODIGO]],LISTADO[CODIGOS],LISTADO[CATEGORIA]),"NO EXISTE")</f>
        <v/>
      </c>
      <c r="D174" s="56">
        <f>IFERROR(_xlfn.XLOOKUP(SALIDAS[[#This Row],[CODIGO]],LISTADO[CODIGOS],LISTADO[PRODUCTOS]),"NO EXISTE")</f>
        <v/>
      </c>
      <c r="E174" s="19" t="n">
        <v>46077</v>
      </c>
      <c r="F174" s="18" t="n">
        <v>4</v>
      </c>
      <c r="G174" s="18" t="inlineStr">
        <is>
          <t>SAN DIEGO</t>
        </is>
      </c>
      <c r="I174" s="1" t="n"/>
    </row>
    <row r="175">
      <c r="A175" s="18" t="n">
        <v>155</v>
      </c>
      <c r="B175" t="inlineStr">
        <is>
          <t>00031-FER</t>
        </is>
      </c>
      <c r="C175" s="56">
        <f>IFERROR(_xlfn.XLOOKUP(SALIDAS[[#This Row],[CODIGO]],LISTADO[CODIGOS],LISTADO[CATEGORIA]),"NO EXISTE")</f>
        <v/>
      </c>
      <c r="D175" s="56">
        <f>IFERROR(_xlfn.XLOOKUP(SALIDAS[[#This Row],[CODIGO]],LISTADO[CODIGOS],LISTADO[PRODUCTOS]),"NO EXISTE")</f>
        <v/>
      </c>
      <c r="E175" s="19" t="n">
        <v>46077</v>
      </c>
      <c r="F175" s="18" t="n">
        <v>3</v>
      </c>
      <c r="G175" s="18" t="inlineStr">
        <is>
          <t>SAN DIEGO</t>
        </is>
      </c>
      <c r="I175" s="1" t="n"/>
    </row>
    <row r="176">
      <c r="A176" s="18" t="n">
        <v>156</v>
      </c>
      <c r="B176" t="inlineStr">
        <is>
          <t>00024-FER</t>
        </is>
      </c>
      <c r="C176" s="56">
        <f>IFERROR(_xlfn.XLOOKUP(SALIDAS[[#This Row],[CODIGO]],LISTADO[CODIGOS],LISTADO[CATEGORIA]),"NO EXISTE")</f>
        <v/>
      </c>
      <c r="D176" s="56">
        <f>IFERROR(_xlfn.XLOOKUP(SALIDAS[[#This Row],[CODIGO]],LISTADO[CODIGOS],LISTADO[PRODUCTOS]),"NO EXISTE")</f>
        <v/>
      </c>
      <c r="E176" s="19" t="n">
        <v>46077</v>
      </c>
      <c r="F176" s="18" t="n">
        <v>0</v>
      </c>
      <c r="G176" s="18" t="inlineStr">
        <is>
          <t>SAN DIEGO</t>
        </is>
      </c>
      <c r="I176" s="1" t="n"/>
    </row>
    <row r="177" ht="15" customHeight="1" s="11">
      <c r="A177" s="18" t="n">
        <v>157</v>
      </c>
      <c r="B177" t="inlineStr">
        <is>
          <t>00049-FER</t>
        </is>
      </c>
      <c r="C177" s="56">
        <f>IFERROR(_xlfn.XLOOKUP(SALIDAS[[#This Row],[CODIGO]],LISTADO[CODIGOS],LISTADO[CATEGORIA]),"NO EXISTE")</f>
        <v/>
      </c>
      <c r="D177" s="56">
        <f>IFERROR(_xlfn.XLOOKUP(SALIDAS[[#This Row],[CODIGO]],LISTADO[CODIGOS],LISTADO[PRODUCTOS]),"NO EXISTE")</f>
        <v/>
      </c>
      <c r="E177" s="19" t="n">
        <v>46077</v>
      </c>
      <c r="F177" s="18" t="n">
        <v>1</v>
      </c>
      <c r="G177" s="18" t="inlineStr">
        <is>
          <t>SAN DIEGO</t>
        </is>
      </c>
      <c r="I177" s="1" t="n"/>
    </row>
    <row r="178">
      <c r="A178" s="18" t="n">
        <v>158</v>
      </c>
      <c r="B178" t="inlineStr">
        <is>
          <t>00052-FER</t>
        </is>
      </c>
      <c r="C178" s="56">
        <f>IFERROR(_xlfn.XLOOKUP(SALIDAS[[#This Row],[CODIGO]],LISTADO[CODIGOS],LISTADO[CATEGORIA]),"NO EXISTE")</f>
        <v/>
      </c>
      <c r="D178" s="56">
        <f>IFERROR(_xlfn.XLOOKUP(SALIDAS[[#This Row],[CODIGO]],LISTADO[CODIGOS],LISTADO[PRODUCTOS]),"NO EXISTE")</f>
        <v/>
      </c>
      <c r="E178" s="19" t="n">
        <v>46077</v>
      </c>
      <c r="F178" s="18" t="n">
        <v>1</v>
      </c>
      <c r="G178" s="18" t="inlineStr">
        <is>
          <t>SAN DIEGO</t>
        </is>
      </c>
      <c r="I178" s="1" t="n"/>
    </row>
    <row r="179">
      <c r="A179" s="18" t="n">
        <v>159</v>
      </c>
      <c r="B179" t="inlineStr">
        <is>
          <t>00050-FER</t>
        </is>
      </c>
      <c r="C179" s="56">
        <f>IFERROR(_xlfn.XLOOKUP(SALIDAS[[#This Row],[CODIGO]],LISTADO[CODIGOS],LISTADO[CATEGORIA]),"NO EXISTE")</f>
        <v/>
      </c>
      <c r="D179" s="56">
        <f>IFERROR(_xlfn.XLOOKUP(SALIDAS[[#This Row],[CODIGO]],LISTADO[CODIGOS],LISTADO[PRODUCTOS]),"NO EXISTE")</f>
        <v/>
      </c>
      <c r="E179" s="19" t="n">
        <v>46077</v>
      </c>
      <c r="F179" s="18" t="n">
        <v>1</v>
      </c>
      <c r="G179" s="18" t="inlineStr">
        <is>
          <t>SAN DIEGO</t>
        </is>
      </c>
    </row>
    <row r="180">
      <c r="A180" s="18" t="n">
        <v>148</v>
      </c>
      <c r="B180" t="inlineStr">
        <is>
          <t>00009-AUT</t>
        </is>
      </c>
      <c r="C180" s="56">
        <f>IFERROR(_xlfn.XLOOKUP(SALIDAS[[#This Row],[CODIGO]],LISTADO[CODIGOS],LISTADO[CATEGORIA]),"NO EXISTE")</f>
        <v/>
      </c>
      <c r="D180" s="56">
        <f>IFERROR(_xlfn.XLOOKUP(SALIDAS[[#This Row],[CODIGO]],LISTADO[CODIGOS],LISTADO[PRODUCTOS]),"NO EXISTE")</f>
        <v/>
      </c>
      <c r="E180" s="19" t="n">
        <v>46078</v>
      </c>
      <c r="F180" s="18" t="n">
        <v>2</v>
      </c>
      <c r="G180" s="18" t="inlineStr">
        <is>
          <t>PERIFERICO</t>
        </is>
      </c>
      <c r="H180" s="18" t="inlineStr">
        <is>
          <t>JUAN GONZALEZ</t>
        </is>
      </c>
    </row>
    <row r="181">
      <c r="A181" s="18" t="n">
        <v>160</v>
      </c>
      <c r="B181" t="inlineStr">
        <is>
          <t>00001-HRR</t>
        </is>
      </c>
      <c r="C181" s="56">
        <f>IFERROR(_xlfn.XLOOKUP(SALIDAS[[#This Row],[CODIGO]],LISTADO[CODIGOS],LISTADO[CATEGORIA]),"NO EXISTE")</f>
        <v/>
      </c>
      <c r="D181" s="56">
        <f>IFERROR(_xlfn.XLOOKUP(SALIDAS[[#This Row],[CODIGO]],LISTADO[CODIGOS],LISTADO[PRODUCTOS]),"NO EXISTE")</f>
        <v/>
      </c>
      <c r="E181" s="19" t="n">
        <v>46078</v>
      </c>
      <c r="F181" s="18" t="n">
        <v>1</v>
      </c>
      <c r="G181" s="18" t="inlineStr">
        <is>
          <t>PERIFERICO</t>
        </is>
      </c>
    </row>
    <row r="182">
      <c r="A182" s="18" t="n">
        <v>161</v>
      </c>
      <c r="B182" t="inlineStr">
        <is>
          <t>00043-REF</t>
        </is>
      </c>
      <c r="C182" s="56">
        <f>IFERROR(_xlfn.XLOOKUP(SALIDAS[[#This Row],[CODIGO]],LISTADO[CODIGOS],LISTADO[CATEGORIA]),"NO EXISTE")</f>
        <v/>
      </c>
      <c r="D182" s="56">
        <f>IFERROR(_xlfn.XLOOKUP(SALIDAS[[#This Row],[CODIGO]],LISTADO[CODIGOS],LISTADO[PRODUCTOS]),"NO EXISTE")</f>
        <v/>
      </c>
      <c r="E182" s="19" t="n">
        <v>46078</v>
      </c>
      <c r="F182" s="18" t="n">
        <v>1</v>
      </c>
      <c r="G182" s="18" t="inlineStr">
        <is>
          <t>NAGUANAGUA 2</t>
        </is>
      </c>
    </row>
    <row r="183">
      <c r="A183" s="18" t="n">
        <v>162</v>
      </c>
      <c r="B183" t="inlineStr">
        <is>
          <t>00052-FER</t>
        </is>
      </c>
      <c r="C183" s="56">
        <f>IFERROR(_xlfn.XLOOKUP(SALIDAS[[#This Row],[CODIGO]],LISTADO[CODIGOS],LISTADO[CATEGORIA]),"NO EXISTE")</f>
        <v/>
      </c>
      <c r="D183" s="56">
        <f>IFERROR(_xlfn.XLOOKUP(SALIDAS[[#This Row],[CODIGO]],LISTADO[CODIGOS],LISTADO[PRODUCTOS]),"NO EXISTE")</f>
        <v/>
      </c>
      <c r="E183" s="19" t="n">
        <v>46078</v>
      </c>
      <c r="F183" s="18" t="n">
        <v>2</v>
      </c>
      <c r="G183" s="18" t="inlineStr">
        <is>
          <t>PERIFERICO</t>
        </is>
      </c>
    </row>
    <row r="184">
      <c r="A184" s="18" t="n">
        <v>163</v>
      </c>
      <c r="B184" t="inlineStr">
        <is>
          <t>00030-FER</t>
        </is>
      </c>
      <c r="C184" s="56">
        <f>IFERROR(_xlfn.XLOOKUP(SALIDAS[[#This Row],[CODIGO]],LISTADO[CODIGOS],LISTADO[CATEGORIA]),"NO EXISTE")</f>
        <v/>
      </c>
      <c r="D184" s="56">
        <f>IFERROR(_xlfn.XLOOKUP(SALIDAS[[#This Row],[CODIGO]],LISTADO[CODIGOS],LISTADO[PRODUCTOS]),"NO EXISTE")</f>
        <v/>
      </c>
      <c r="E184" s="19" t="n">
        <v>46078</v>
      </c>
      <c r="F184" s="18" t="n">
        <v>1</v>
      </c>
      <c r="G184" s="18" t="inlineStr">
        <is>
          <t>PERIFERICO</t>
        </is>
      </c>
    </row>
    <row r="185">
      <c r="A185" s="18" t="n">
        <v>164</v>
      </c>
      <c r="B185" t="inlineStr">
        <is>
          <t>00023-FER</t>
        </is>
      </c>
      <c r="C185" s="56">
        <f>IFERROR(_xlfn.XLOOKUP(SALIDAS[[#This Row],[CODIGO]],LISTADO[CODIGOS],LISTADO[CATEGORIA]),"NO EXISTE")</f>
        <v/>
      </c>
      <c r="D185" s="56">
        <f>IFERROR(_xlfn.XLOOKUP(SALIDAS[[#This Row],[CODIGO]],LISTADO[CODIGOS],LISTADO[PRODUCTOS]),"NO EXISTE")</f>
        <v/>
      </c>
      <c r="E185" s="19" t="n">
        <v>46078</v>
      </c>
      <c r="F185" s="18" t="n">
        <v>3</v>
      </c>
      <c r="G185" s="18" t="inlineStr">
        <is>
          <t>NAGUANAGUA 3</t>
        </is>
      </c>
    </row>
    <row r="186">
      <c r="A186" s="18" t="n">
        <v>165</v>
      </c>
      <c r="B186" t="inlineStr">
        <is>
          <t>00003-HRR</t>
        </is>
      </c>
      <c r="C186" s="56">
        <f>IFERROR(_xlfn.XLOOKUP(SALIDAS[[#This Row],[CODIGO]],LISTADO[CODIGOS],LISTADO[CATEGORIA]),"NO EXISTE")</f>
        <v/>
      </c>
      <c r="D186" s="56">
        <f>IFERROR(_xlfn.XLOOKUP(SALIDAS[[#This Row],[CODIGO]],LISTADO[CODIGOS],LISTADO[PRODUCTOS]),"NO EXISTE")</f>
        <v/>
      </c>
      <c r="E186" s="19" t="n">
        <v>46078</v>
      </c>
      <c r="F186" s="18" t="n">
        <v>1</v>
      </c>
      <c r="G186" s="18" t="inlineStr">
        <is>
          <t>PERIFERICO</t>
        </is>
      </c>
    </row>
    <row r="187">
      <c r="A187" s="18" t="n">
        <v>166</v>
      </c>
      <c r="B187" t="inlineStr">
        <is>
          <t>00051-REF</t>
        </is>
      </c>
      <c r="C187" s="56">
        <f>IFERROR(_xlfn.XLOOKUP(SALIDAS[[#This Row],[CODIGO]],LISTADO[CODIGOS],LISTADO[CATEGORIA]),"NO EXISTE")</f>
        <v/>
      </c>
      <c r="D187" s="56">
        <f>IFERROR(_xlfn.XLOOKUP(SALIDAS[[#This Row],[CODIGO]],LISTADO[CODIGOS],LISTADO[PRODUCTOS]),"NO EXISTE")</f>
        <v/>
      </c>
      <c r="E187" s="19" t="n">
        <v>46078</v>
      </c>
      <c r="F187" s="18" t="n">
        <v>2</v>
      </c>
      <c r="G187" s="18" t="inlineStr">
        <is>
          <t>GUACARA</t>
        </is>
      </c>
    </row>
    <row r="188">
      <c r="A188" s="18" t="n">
        <v>167</v>
      </c>
      <c r="B188" t="inlineStr">
        <is>
          <t>00002-REF</t>
        </is>
      </c>
      <c r="C188" s="56">
        <f>IFERROR(_xlfn.XLOOKUP(SALIDAS[[#This Row],[CODIGO]],LISTADO[CODIGOS],LISTADO[CATEGORIA]),"NO EXISTE")</f>
        <v/>
      </c>
      <c r="D188" s="56">
        <f>IFERROR(_xlfn.XLOOKUP(SALIDAS[[#This Row],[CODIGO]],LISTADO[CODIGOS],LISTADO[PRODUCTOS]),"NO EXISTE")</f>
        <v/>
      </c>
      <c r="E188" s="19" t="n">
        <v>46078</v>
      </c>
      <c r="F188" s="18" t="n">
        <v>2</v>
      </c>
      <c r="G188" s="18" t="inlineStr">
        <is>
          <t>GUACARA</t>
        </is>
      </c>
    </row>
    <row r="189">
      <c r="A189" s="18" t="n">
        <v>168</v>
      </c>
      <c r="B189" t="inlineStr">
        <is>
          <t>00007-HRR</t>
        </is>
      </c>
      <c r="C189" s="56">
        <f>IFERROR(_xlfn.XLOOKUP(SALIDAS[[#This Row],[CODIGO]],LISTADO[CODIGOS],LISTADO[CATEGORIA]),"NO EXISTE")</f>
        <v/>
      </c>
      <c r="D189" s="56">
        <f>IFERROR(_xlfn.XLOOKUP(SALIDAS[[#This Row],[CODIGO]],LISTADO[CODIGOS],LISTADO[PRODUCTOS]),"NO EXISTE")</f>
        <v/>
      </c>
      <c r="E189" s="19" t="n">
        <v>46078</v>
      </c>
      <c r="F189" s="18" t="n">
        <v>6</v>
      </c>
      <c r="G189" s="18" t="inlineStr">
        <is>
          <t>PERIFERICO</t>
        </is>
      </c>
    </row>
    <row r="190">
      <c r="A190" s="18" t="n">
        <v>175</v>
      </c>
      <c r="B190" t="inlineStr">
        <is>
          <t>00009-HRR</t>
        </is>
      </c>
      <c r="C190" s="56">
        <f>IFERROR(_xlfn.XLOOKUP(SALIDAS[[#This Row],[CODIGO]],LISTADO[CODIGOS],LISTADO[CATEGORIA]),"NO EXISTE")</f>
        <v/>
      </c>
      <c r="D190" s="56">
        <f>IFERROR(_xlfn.XLOOKUP(SALIDAS[[#This Row],[CODIGO]],LISTADO[CODIGOS],LISTADO[PRODUCTOS]),"NO EXISTE")</f>
        <v/>
      </c>
      <c r="E190" s="19" t="n">
        <v>46078</v>
      </c>
      <c r="F190" s="18" t="n">
        <v>8</v>
      </c>
      <c r="G190" s="18" t="inlineStr">
        <is>
          <t>PERIFERICO</t>
        </is>
      </c>
    </row>
    <row r="191">
      <c r="A191" s="18" t="n">
        <v>176</v>
      </c>
      <c r="B191" t="inlineStr">
        <is>
          <t>00011-HRR</t>
        </is>
      </c>
      <c r="C191" s="56">
        <f>IFERROR(_xlfn.XLOOKUP(SALIDAS[[#This Row],[CODIGO]],LISTADO[CODIGOS],LISTADO[CATEGORIA]),"NO EXISTE")</f>
        <v/>
      </c>
      <c r="D191" s="56">
        <f>IFERROR(_xlfn.XLOOKUP(SALIDAS[[#This Row],[CODIGO]],LISTADO[CODIGOS],LISTADO[PRODUCTOS]),"NO EXISTE")</f>
        <v/>
      </c>
      <c r="E191" s="19" t="n">
        <v>46078</v>
      </c>
      <c r="F191" s="18" t="n">
        <v>4</v>
      </c>
      <c r="G191" s="18" t="inlineStr">
        <is>
          <t>PERIFERICO</t>
        </is>
      </c>
    </row>
    <row r="192">
      <c r="A192" s="18" t="n">
        <v>177</v>
      </c>
      <c r="B192" t="inlineStr">
        <is>
          <t>00012-HRR</t>
        </is>
      </c>
      <c r="C192" s="56">
        <f>IFERROR(_xlfn.XLOOKUP(SALIDAS[[#This Row],[CODIGO]],LISTADO[CODIGOS],LISTADO[CATEGORIA]),"NO EXISTE")</f>
        <v/>
      </c>
      <c r="D192" s="56">
        <f>IFERROR(_xlfn.XLOOKUP(SALIDAS[[#This Row],[CODIGO]],LISTADO[CODIGOS],LISTADO[PRODUCTOS]),"NO EXISTE")</f>
        <v/>
      </c>
      <c r="E192" s="19" t="n">
        <v>46078</v>
      </c>
      <c r="F192" s="18" t="n">
        <v>4</v>
      </c>
      <c r="G192" s="18" t="inlineStr">
        <is>
          <t>PERIFERICO</t>
        </is>
      </c>
    </row>
    <row r="193">
      <c r="A193" s="18" t="n">
        <v>178</v>
      </c>
      <c r="B193" t="inlineStr">
        <is>
          <t>00002-PLM</t>
        </is>
      </c>
      <c r="C193" s="56">
        <f>IFERROR(_xlfn.XLOOKUP(SALIDAS[[#This Row],[CODIGO]],LISTADO[CODIGOS],LISTADO[CATEGORIA]),"NO EXISTE")</f>
        <v/>
      </c>
      <c r="D193" s="56">
        <f>IFERROR(_xlfn.XLOOKUP(SALIDAS[[#This Row],[CODIGO]],LISTADO[CODIGOS],LISTADO[PRODUCTOS]),"NO EXISTE")</f>
        <v/>
      </c>
      <c r="E193" s="19" t="n">
        <v>46078</v>
      </c>
      <c r="F193" s="18" t="n">
        <v>1</v>
      </c>
      <c r="G193" s="18" t="inlineStr">
        <is>
          <t>CEDI FRIO</t>
        </is>
      </c>
    </row>
    <row r="194">
      <c r="A194" s="18" t="n">
        <v>179</v>
      </c>
      <c r="B194" t="inlineStr">
        <is>
          <t>00003-PLM</t>
        </is>
      </c>
      <c r="C194" s="56">
        <f>IFERROR(_xlfn.XLOOKUP(SALIDAS[[#This Row],[CODIGO]],LISTADO[CODIGOS],LISTADO[CATEGORIA]),"NO EXISTE")</f>
        <v/>
      </c>
      <c r="D194" s="56">
        <f>IFERROR(_xlfn.XLOOKUP(SALIDAS[[#This Row],[CODIGO]],LISTADO[CODIGOS],LISTADO[PRODUCTOS]),"NO EXISTE")</f>
        <v/>
      </c>
      <c r="E194" s="19" t="n">
        <v>46078</v>
      </c>
      <c r="F194" s="18" t="n">
        <v>1</v>
      </c>
      <c r="G194" s="18" t="inlineStr">
        <is>
          <t>CEDI FRIO</t>
        </is>
      </c>
    </row>
    <row r="195">
      <c r="A195" s="18" t="n">
        <v>180</v>
      </c>
      <c r="B195" t="inlineStr">
        <is>
          <t>00004-PLM</t>
        </is>
      </c>
      <c r="C195" s="56">
        <f>IFERROR(_xlfn.XLOOKUP(SALIDAS[[#This Row],[CODIGO]],LISTADO[CODIGOS],LISTADO[CATEGORIA]),"NO EXISTE")</f>
        <v/>
      </c>
      <c r="D195" s="56">
        <f>IFERROR(_xlfn.XLOOKUP(SALIDAS[[#This Row],[CODIGO]],LISTADO[CODIGOS],LISTADO[PRODUCTOS]),"NO EXISTE")</f>
        <v/>
      </c>
      <c r="E195" s="19" t="n">
        <v>46078</v>
      </c>
      <c r="F195" s="18" t="n">
        <v>1</v>
      </c>
      <c r="G195" s="18" t="inlineStr">
        <is>
          <t>CEDI FRIO</t>
        </is>
      </c>
    </row>
    <row r="196">
      <c r="A196" s="18" t="n">
        <v>181</v>
      </c>
      <c r="B196" t="inlineStr">
        <is>
          <t>00077-FER</t>
        </is>
      </c>
      <c r="C196" s="56">
        <f>IFERROR(_xlfn.XLOOKUP(SALIDAS[[#This Row],[CODIGO]],LISTADO[CODIGOS],LISTADO[CATEGORIA]),"NO EXISTE")</f>
        <v/>
      </c>
      <c r="D196" s="56">
        <f>IFERROR(_xlfn.XLOOKUP(SALIDAS[[#This Row],[CODIGO]],LISTADO[CODIGOS],LISTADO[PRODUCTOS]),"NO EXISTE")</f>
        <v/>
      </c>
      <c r="E196" s="19" t="n">
        <v>46078</v>
      </c>
      <c r="F196" s="18" t="n">
        <v>1</v>
      </c>
      <c r="G196" s="18" t="inlineStr">
        <is>
          <t>SAN DIEGO</t>
        </is>
      </c>
    </row>
    <row r="197">
      <c r="A197" s="18" t="n">
        <v>183</v>
      </c>
      <c r="B197" t="inlineStr">
        <is>
          <t>00024-ELC</t>
        </is>
      </c>
      <c r="C197" s="56">
        <f>IFERROR(_xlfn.XLOOKUP(SALIDAS[[#This Row],[CODIGO]],LISTADO[CODIGOS],LISTADO[CATEGORIA]),"NO EXISTE")</f>
        <v/>
      </c>
      <c r="D197" s="56">
        <f>IFERROR(_xlfn.XLOOKUP(SALIDAS[[#This Row],[CODIGO]],LISTADO[CODIGOS],LISTADO[PRODUCTOS]),"NO EXISTE")</f>
        <v/>
      </c>
      <c r="E197" s="19" t="n">
        <v>46078</v>
      </c>
      <c r="F197" s="18" t="n">
        <v>2</v>
      </c>
      <c r="G197" s="18" t="inlineStr">
        <is>
          <t>LA VEGA (CARACAS)</t>
        </is>
      </c>
    </row>
    <row r="198">
      <c r="A198" s="18" t="n">
        <v>184</v>
      </c>
      <c r="B198" t="inlineStr">
        <is>
          <t>00033-ILU</t>
        </is>
      </c>
      <c r="C198" s="56">
        <f>IFERROR(_xlfn.XLOOKUP(SALIDAS[[#This Row],[CODIGO]],LISTADO[CODIGOS],LISTADO[CATEGORIA]),"NO EXISTE")</f>
        <v/>
      </c>
      <c r="D198" s="56">
        <f>IFERROR(_xlfn.XLOOKUP(SALIDAS[[#This Row],[CODIGO]],LISTADO[CODIGOS],LISTADO[PRODUCTOS]),"NO EXISTE")</f>
        <v/>
      </c>
      <c r="E198" s="19" t="n">
        <v>46078</v>
      </c>
      <c r="F198" s="18" t="n">
        <v>15</v>
      </c>
      <c r="G198" s="18" t="inlineStr">
        <is>
          <t>LA VEGA (CARACAS)</t>
        </is>
      </c>
    </row>
    <row r="199">
      <c r="A199" s="18" t="n">
        <v>185</v>
      </c>
      <c r="B199" t="inlineStr">
        <is>
          <t>00079-FER</t>
        </is>
      </c>
      <c r="C199" s="56">
        <f>IFERROR(_xlfn.XLOOKUP(SALIDAS[[#This Row],[CODIGO]],LISTADO[CODIGOS],LISTADO[CATEGORIA]),"NO EXISTE")</f>
        <v/>
      </c>
      <c r="D199" s="56">
        <f>IFERROR(_xlfn.XLOOKUP(SALIDAS[[#This Row],[CODIGO]],LISTADO[CODIGOS],LISTADO[PRODUCTOS]),"NO EXISTE")</f>
        <v/>
      </c>
      <c r="E199" s="19" t="n">
        <v>46078</v>
      </c>
      <c r="F199" s="18" t="n">
        <v>1</v>
      </c>
      <c r="G199" s="18" t="inlineStr">
        <is>
          <t>LA VEGA (CARACAS)</t>
        </is>
      </c>
    </row>
    <row r="200">
      <c r="B200" t="inlineStr">
        <is>
          <t>00065-UNI</t>
        </is>
      </c>
      <c r="C200" s="56">
        <f>IFERROR(_xlfn.XLOOKUP(SALIDAS[[#This Row],[CODIGO]],LISTADO[CODIGOS],LISTADO[CATEGORIA]),"NO EXISTE")</f>
        <v/>
      </c>
      <c r="D200" s="56">
        <f>IFERROR(_xlfn.XLOOKUP(SALIDAS[[#This Row],[CODIGO]],LISTADO[CODIGOS],LISTADO[PRODUCTOS]),"NO EXISTE")</f>
        <v/>
      </c>
      <c r="E200" s="19" t="n">
        <v>46078</v>
      </c>
      <c r="F200" s="18" t="n">
        <v>1</v>
      </c>
      <c r="G200" s="18" t="inlineStr">
        <is>
          <t>CORPORATIVO</t>
        </is>
      </c>
    </row>
    <row r="201">
      <c r="B201" s="56" t="inlineStr">
        <is>
          <t>00049-UNI</t>
        </is>
      </c>
      <c r="C201" s="56">
        <f>IFERROR(_xlfn.XLOOKUP(SALIDAS[[#This Row],[CODIGO]],LISTADO[CODIGOS],LISTADO[CATEGORIA]),"NO EXISTE")</f>
        <v/>
      </c>
      <c r="D201" s="56">
        <f>IFERROR(_xlfn.XLOOKUP(SALIDAS[[#This Row],[CODIGO]],LISTADO[CODIGOS],LISTADO[PRODUCTOS]),"NO EXISTE")</f>
        <v/>
      </c>
      <c r="E201" s="19" t="n">
        <v>46078</v>
      </c>
      <c r="F201" s="18" t="n">
        <v>2</v>
      </c>
      <c r="G201" s="18" t="inlineStr">
        <is>
          <t>PERIFERICO</t>
        </is>
      </c>
    </row>
    <row r="202">
      <c r="B202" s="56" t="inlineStr">
        <is>
          <t>00050-UNI</t>
        </is>
      </c>
      <c r="C202" s="56">
        <f>IFERROR(_xlfn.XLOOKUP(SALIDAS[[#This Row],[CODIGO]],LISTADO[CODIGOS],LISTADO[CATEGORIA]),"NO EXISTE")</f>
        <v/>
      </c>
      <c r="D202" s="56">
        <f>IFERROR(_xlfn.XLOOKUP(SALIDAS[[#This Row],[CODIGO]],LISTADO[CODIGOS],LISTADO[PRODUCTOS]),"NO EXISTE")</f>
        <v/>
      </c>
      <c r="E202" s="19" t="n">
        <v>46078</v>
      </c>
      <c r="F202" s="18" t="n">
        <v>3</v>
      </c>
      <c r="G202" s="18" t="inlineStr">
        <is>
          <t>PERIFERICO</t>
        </is>
      </c>
    </row>
    <row r="203">
      <c r="B203" s="56" t="inlineStr">
        <is>
          <t>00051-UNI</t>
        </is>
      </c>
      <c r="C203" s="56">
        <f>IFERROR(_xlfn.XLOOKUP(SALIDAS[[#This Row],[CODIGO]],LISTADO[CODIGOS],LISTADO[CATEGORIA]),"NO EXISTE")</f>
        <v/>
      </c>
      <c r="D203" s="56">
        <f>IFERROR(_xlfn.XLOOKUP(SALIDAS[[#This Row],[CODIGO]],LISTADO[CODIGOS],LISTADO[PRODUCTOS]),"NO EXISTE")</f>
        <v/>
      </c>
      <c r="E203" s="19" t="n">
        <v>46078</v>
      </c>
      <c r="F203" s="18" t="n">
        <v>5</v>
      </c>
      <c r="G203" s="18" t="inlineStr">
        <is>
          <t>PERIFERICO</t>
        </is>
      </c>
    </row>
    <row r="204">
      <c r="B204" s="56" t="inlineStr">
        <is>
          <t>00052-UNI</t>
        </is>
      </c>
      <c r="C204" s="56">
        <f>IFERROR(_xlfn.XLOOKUP(SALIDAS[[#This Row],[CODIGO]],LISTADO[CODIGOS],LISTADO[CATEGORIA]),"NO EXISTE")</f>
        <v/>
      </c>
      <c r="D204" s="56">
        <f>IFERROR(_xlfn.XLOOKUP(SALIDAS[[#This Row],[CODIGO]],LISTADO[CODIGOS],LISTADO[PRODUCTOS]),"NO EXISTE")</f>
        <v/>
      </c>
      <c r="E204" s="19" t="n">
        <v>46078</v>
      </c>
      <c r="F204" s="18" t="n">
        <v>5</v>
      </c>
      <c r="G204" s="18" t="inlineStr">
        <is>
          <t>PERIFERICO</t>
        </is>
      </c>
    </row>
    <row r="205">
      <c r="B205" s="56" t="inlineStr">
        <is>
          <t>00049-UNI</t>
        </is>
      </c>
      <c r="C205" s="56">
        <f>IFERROR(_xlfn.XLOOKUP(SALIDAS[[#This Row],[CODIGO]],LISTADO[CODIGOS],LISTADO[CATEGORIA]),"NO EXISTE")</f>
        <v/>
      </c>
      <c r="D205" s="56">
        <f>IFERROR(_xlfn.XLOOKUP(SALIDAS[[#This Row],[CODIGO]],LISTADO[CODIGOS],LISTADO[PRODUCTOS]),"NO EXISTE")</f>
        <v/>
      </c>
      <c r="E205" s="19" t="n">
        <v>46078</v>
      </c>
      <c r="F205" s="18" t="n">
        <v>2</v>
      </c>
      <c r="G205" s="18" t="inlineStr">
        <is>
          <t>AV. BOLIVAR</t>
        </is>
      </c>
    </row>
    <row r="206">
      <c r="B206" s="56" t="inlineStr">
        <is>
          <t>00050-UNI</t>
        </is>
      </c>
      <c r="C206" s="56">
        <f>IFERROR(_xlfn.XLOOKUP(SALIDAS[[#This Row],[CODIGO]],LISTADO[CODIGOS],LISTADO[CATEGORIA]),"NO EXISTE")</f>
        <v/>
      </c>
      <c r="D206" s="56">
        <f>IFERROR(_xlfn.XLOOKUP(SALIDAS[[#This Row],[CODIGO]],LISTADO[CODIGOS],LISTADO[PRODUCTOS]),"NO EXISTE")</f>
        <v/>
      </c>
      <c r="E206" s="19" t="n">
        <v>46078</v>
      </c>
      <c r="F206" s="18" t="n">
        <v>3</v>
      </c>
      <c r="G206" s="18" t="inlineStr">
        <is>
          <t>AV. BOLIVAR</t>
        </is>
      </c>
    </row>
    <row r="207">
      <c r="B207" s="56" t="inlineStr">
        <is>
          <t>00051-UNI</t>
        </is>
      </c>
      <c r="C207" s="56">
        <f>IFERROR(_xlfn.XLOOKUP(SALIDAS[[#This Row],[CODIGO]],LISTADO[CODIGOS],LISTADO[CATEGORIA]),"NO EXISTE")</f>
        <v/>
      </c>
      <c r="D207" s="56">
        <f>IFERROR(_xlfn.XLOOKUP(SALIDAS[[#This Row],[CODIGO]],LISTADO[CODIGOS],LISTADO[PRODUCTOS]),"NO EXISTE")</f>
        <v/>
      </c>
      <c r="E207" s="19" t="n">
        <v>46078</v>
      </c>
      <c r="F207" s="18" t="n">
        <v>5</v>
      </c>
      <c r="G207" s="18" t="inlineStr">
        <is>
          <t>AV. BOLIVAR</t>
        </is>
      </c>
    </row>
    <row r="208">
      <c r="B208" s="56" t="inlineStr">
        <is>
          <t>00052-UNI</t>
        </is>
      </c>
      <c r="C208" s="56">
        <f>IFERROR(_xlfn.XLOOKUP(SALIDAS[[#This Row],[CODIGO]],LISTADO[CODIGOS],LISTADO[CATEGORIA]),"NO EXISTE")</f>
        <v/>
      </c>
      <c r="D208" s="56">
        <f>IFERROR(_xlfn.XLOOKUP(SALIDAS[[#This Row],[CODIGO]],LISTADO[CODIGOS],LISTADO[PRODUCTOS]),"NO EXISTE")</f>
        <v/>
      </c>
      <c r="E208" s="19" t="n">
        <v>46078</v>
      </c>
      <c r="F208" s="18" t="n">
        <v>5</v>
      </c>
      <c r="G208" s="18" t="inlineStr">
        <is>
          <t>AV. BOLIVAR</t>
        </is>
      </c>
    </row>
    <row r="209">
      <c r="B209" s="56" t="inlineStr">
        <is>
          <t>00049-UNI</t>
        </is>
      </c>
      <c r="C209" s="56">
        <f>IFERROR(_xlfn.XLOOKUP(SALIDAS[[#This Row],[CODIGO]],LISTADO[CODIGOS],LISTADO[CATEGORIA]),"NO EXISTE")</f>
        <v/>
      </c>
      <c r="D209" s="56">
        <f>IFERROR(_xlfn.XLOOKUP(SALIDAS[[#This Row],[CODIGO]],LISTADO[CODIGOS],LISTADO[PRODUCTOS]),"NO EXISTE")</f>
        <v/>
      </c>
      <c r="E209" s="19" t="n">
        <v>46078</v>
      </c>
      <c r="F209" s="18" t="n">
        <v>2</v>
      </c>
      <c r="G209" s="18" t="inlineStr">
        <is>
          <t>NAGUANAGUA 1</t>
        </is>
      </c>
    </row>
    <row r="210">
      <c r="B210" s="56" t="inlineStr">
        <is>
          <t>00050-UNI</t>
        </is>
      </c>
      <c r="C210" s="56">
        <f>IFERROR(_xlfn.XLOOKUP(SALIDAS[[#This Row],[CODIGO]],LISTADO[CODIGOS],LISTADO[CATEGORIA]),"NO EXISTE")</f>
        <v/>
      </c>
      <c r="D210" s="56">
        <f>IFERROR(_xlfn.XLOOKUP(SALIDAS[[#This Row],[CODIGO]],LISTADO[CODIGOS],LISTADO[PRODUCTOS]),"NO EXISTE")</f>
        <v/>
      </c>
      <c r="E210" s="19" t="n">
        <v>46078</v>
      </c>
      <c r="F210" s="18" t="n">
        <v>3</v>
      </c>
      <c r="G210" s="18" t="inlineStr">
        <is>
          <t>NAGUANAGUA 1</t>
        </is>
      </c>
    </row>
    <row r="211">
      <c r="B211" s="56" t="inlineStr">
        <is>
          <t>00051-UNI</t>
        </is>
      </c>
      <c r="C211" s="56">
        <f>IFERROR(_xlfn.XLOOKUP(SALIDAS[[#This Row],[CODIGO]],LISTADO[CODIGOS],LISTADO[CATEGORIA]),"NO EXISTE")</f>
        <v/>
      </c>
      <c r="D211" s="56">
        <f>IFERROR(_xlfn.XLOOKUP(SALIDAS[[#This Row],[CODIGO]],LISTADO[CODIGOS],LISTADO[PRODUCTOS]),"NO EXISTE")</f>
        <v/>
      </c>
      <c r="E211" s="19" t="n">
        <v>46078</v>
      </c>
      <c r="F211" s="18" t="n">
        <v>5</v>
      </c>
      <c r="G211" s="18" t="inlineStr">
        <is>
          <t>NAGUANAGUA 1</t>
        </is>
      </c>
    </row>
    <row r="212">
      <c r="B212" s="56" t="inlineStr">
        <is>
          <t>00052-UNI</t>
        </is>
      </c>
      <c r="C212" s="56">
        <f>IFERROR(_xlfn.XLOOKUP(SALIDAS[[#This Row],[CODIGO]],LISTADO[CODIGOS],LISTADO[CATEGORIA]),"NO EXISTE")</f>
        <v/>
      </c>
      <c r="D212" s="56">
        <f>IFERROR(_xlfn.XLOOKUP(SALIDAS[[#This Row],[CODIGO]],LISTADO[CODIGOS],LISTADO[PRODUCTOS]),"NO EXISTE")</f>
        <v/>
      </c>
      <c r="E212" s="19" t="n">
        <v>46078</v>
      </c>
      <c r="F212" s="18" t="n">
        <v>5</v>
      </c>
      <c r="G212" s="18" t="inlineStr">
        <is>
          <t>NAGUANAGUA 1</t>
        </is>
      </c>
    </row>
    <row r="213">
      <c r="B213" s="56" t="inlineStr">
        <is>
          <t>00049-UNI</t>
        </is>
      </c>
      <c r="C213" s="56">
        <f>IFERROR(_xlfn.XLOOKUP(SALIDAS[[#This Row],[CODIGO]],LISTADO[CODIGOS],LISTADO[CATEGORIA]),"NO EXISTE")</f>
        <v/>
      </c>
      <c r="D213" s="56">
        <f>IFERROR(_xlfn.XLOOKUP(SALIDAS[[#This Row],[CODIGO]],LISTADO[CODIGOS],LISTADO[PRODUCTOS]),"NO EXISTE")</f>
        <v/>
      </c>
      <c r="E213" s="19" t="n">
        <v>46078</v>
      </c>
      <c r="F213" s="18" t="n">
        <v>2</v>
      </c>
      <c r="G213" s="18" t="inlineStr">
        <is>
          <t>MAÑONGO</t>
        </is>
      </c>
    </row>
    <row r="214">
      <c r="B214" s="56" t="inlineStr">
        <is>
          <t>00050-UNI</t>
        </is>
      </c>
      <c r="C214" s="56">
        <f>IFERROR(_xlfn.XLOOKUP(SALIDAS[[#This Row],[CODIGO]],LISTADO[CODIGOS],LISTADO[CATEGORIA]),"NO EXISTE")</f>
        <v/>
      </c>
      <c r="D214" s="56">
        <f>IFERROR(_xlfn.XLOOKUP(SALIDAS[[#This Row],[CODIGO]],LISTADO[CODIGOS],LISTADO[PRODUCTOS]),"NO EXISTE")</f>
        <v/>
      </c>
      <c r="E214" s="19" t="n">
        <v>46078</v>
      </c>
      <c r="F214" s="18" t="n">
        <v>3</v>
      </c>
      <c r="G214" s="18" t="inlineStr">
        <is>
          <t>MAÑONGO</t>
        </is>
      </c>
    </row>
    <row r="215">
      <c r="B215" s="56" t="inlineStr">
        <is>
          <t>00051-UNI</t>
        </is>
      </c>
      <c r="C215" s="56">
        <f>IFERROR(_xlfn.XLOOKUP(SALIDAS[[#This Row],[CODIGO]],LISTADO[CODIGOS],LISTADO[CATEGORIA]),"NO EXISTE")</f>
        <v/>
      </c>
      <c r="D215" s="56">
        <f>IFERROR(_xlfn.XLOOKUP(SALIDAS[[#This Row],[CODIGO]],LISTADO[CODIGOS],LISTADO[PRODUCTOS]),"NO EXISTE")</f>
        <v/>
      </c>
      <c r="E215" s="19" t="n">
        <v>46078</v>
      </c>
      <c r="F215" s="18" t="n">
        <v>5</v>
      </c>
      <c r="G215" s="18" t="inlineStr">
        <is>
          <t>MAÑONGO</t>
        </is>
      </c>
    </row>
    <row r="216">
      <c r="B216" s="56" t="inlineStr">
        <is>
          <t>00052-UNI</t>
        </is>
      </c>
      <c r="C216" s="56">
        <f>IFERROR(_xlfn.XLOOKUP(SALIDAS[[#This Row],[CODIGO]],LISTADO[CODIGOS],LISTADO[CATEGORIA]),"NO EXISTE")</f>
        <v/>
      </c>
      <c r="D216" s="56">
        <f>IFERROR(_xlfn.XLOOKUP(SALIDAS[[#This Row],[CODIGO]],LISTADO[CODIGOS],LISTADO[PRODUCTOS]),"NO EXISTE")</f>
        <v/>
      </c>
      <c r="E216" s="19" t="n">
        <v>46078</v>
      </c>
      <c r="F216" s="18" t="n">
        <v>5</v>
      </c>
      <c r="G216" s="18" t="inlineStr">
        <is>
          <t>MAÑONGO</t>
        </is>
      </c>
    </row>
    <row r="217">
      <c r="B217" s="56" t="inlineStr">
        <is>
          <t>00049-UNI</t>
        </is>
      </c>
      <c r="C217" s="56">
        <f>IFERROR(_xlfn.XLOOKUP(SALIDAS[[#This Row],[CODIGO]],LISTADO[CODIGOS],LISTADO[CATEGORIA]),"NO EXISTE")</f>
        <v/>
      </c>
      <c r="D217" s="56">
        <f>IFERROR(_xlfn.XLOOKUP(SALIDAS[[#This Row],[CODIGO]],LISTADO[CODIGOS],LISTADO[PRODUCTOS]),"NO EXISTE")</f>
        <v/>
      </c>
      <c r="E217" s="19" t="n">
        <v>46078</v>
      </c>
      <c r="F217" s="18" t="n">
        <v>2</v>
      </c>
      <c r="G217" s="18" t="inlineStr">
        <is>
          <t>LAS FERIAS</t>
        </is>
      </c>
    </row>
    <row r="218">
      <c r="B218" s="56" t="inlineStr">
        <is>
          <t>00050-UNI</t>
        </is>
      </c>
      <c r="C218" s="56">
        <f>IFERROR(_xlfn.XLOOKUP(SALIDAS[[#This Row],[CODIGO]],LISTADO[CODIGOS],LISTADO[CATEGORIA]),"NO EXISTE")</f>
        <v/>
      </c>
      <c r="D218" s="56">
        <f>IFERROR(_xlfn.XLOOKUP(SALIDAS[[#This Row],[CODIGO]],LISTADO[CODIGOS],LISTADO[PRODUCTOS]),"NO EXISTE")</f>
        <v/>
      </c>
      <c r="E218" s="19" t="n">
        <v>46078</v>
      </c>
      <c r="F218" s="18" t="n">
        <v>3</v>
      </c>
      <c r="G218" s="18" t="inlineStr">
        <is>
          <t>LAS FERIAS</t>
        </is>
      </c>
    </row>
    <row r="219">
      <c r="B219" s="56" t="inlineStr">
        <is>
          <t>00051-UNI</t>
        </is>
      </c>
      <c r="C219" s="56">
        <f>IFERROR(_xlfn.XLOOKUP(SALIDAS[[#This Row],[CODIGO]],LISTADO[CODIGOS],LISTADO[CATEGORIA]),"NO EXISTE")</f>
        <v/>
      </c>
      <c r="D219" s="56">
        <f>IFERROR(_xlfn.XLOOKUP(SALIDAS[[#This Row],[CODIGO]],LISTADO[CODIGOS],LISTADO[PRODUCTOS]),"NO EXISTE")</f>
        <v/>
      </c>
      <c r="E219" s="19" t="n">
        <v>46078</v>
      </c>
      <c r="F219" s="18" t="n">
        <v>5</v>
      </c>
      <c r="G219" s="18" t="inlineStr">
        <is>
          <t>LAS FERIAS</t>
        </is>
      </c>
    </row>
    <row r="220">
      <c r="B220" s="56" t="inlineStr">
        <is>
          <t>00052-UNI</t>
        </is>
      </c>
      <c r="C220" s="56">
        <f>IFERROR(_xlfn.XLOOKUP(SALIDAS[[#This Row],[CODIGO]],LISTADO[CODIGOS],LISTADO[CATEGORIA]),"NO EXISTE")</f>
        <v/>
      </c>
      <c r="D220" s="56">
        <f>IFERROR(_xlfn.XLOOKUP(SALIDAS[[#This Row],[CODIGO]],LISTADO[CODIGOS],LISTADO[PRODUCTOS]),"NO EXISTE")</f>
        <v/>
      </c>
      <c r="E220" s="19" t="n">
        <v>46078</v>
      </c>
      <c r="F220" s="18" t="n">
        <v>5</v>
      </c>
      <c r="G220" s="18" t="inlineStr">
        <is>
          <t>LAS FERIAS</t>
        </is>
      </c>
    </row>
    <row r="221">
      <c r="B221" s="56" t="inlineStr">
        <is>
          <t>00049-UNI</t>
        </is>
      </c>
      <c r="C221" s="56">
        <f>IFERROR(_xlfn.XLOOKUP(SALIDAS[[#This Row],[CODIGO]],LISTADO[CODIGOS],LISTADO[CATEGORIA]),"NO EXISTE")</f>
        <v/>
      </c>
      <c r="D221" s="56">
        <f>IFERROR(_xlfn.XLOOKUP(SALIDAS[[#This Row],[CODIGO]],LISTADO[CODIGOS],LISTADO[PRODUCTOS]),"NO EXISTE")</f>
        <v/>
      </c>
      <c r="E221" s="19" t="n">
        <v>46078</v>
      </c>
      <c r="F221" s="18" t="n">
        <v>2</v>
      </c>
      <c r="G221" s="18" t="inlineStr">
        <is>
          <t>NAGUANAGUA 2</t>
        </is>
      </c>
    </row>
    <row r="222">
      <c r="B222" s="56" t="inlineStr">
        <is>
          <t>00050-UNI</t>
        </is>
      </c>
      <c r="C222" s="56">
        <f>IFERROR(_xlfn.XLOOKUP(SALIDAS[[#This Row],[CODIGO]],LISTADO[CODIGOS],LISTADO[CATEGORIA]),"NO EXISTE")</f>
        <v/>
      </c>
      <c r="D222" s="56">
        <f>IFERROR(_xlfn.XLOOKUP(SALIDAS[[#This Row],[CODIGO]],LISTADO[CODIGOS],LISTADO[PRODUCTOS]),"NO EXISTE")</f>
        <v/>
      </c>
      <c r="E222" s="19" t="n">
        <v>46078</v>
      </c>
      <c r="F222" s="18" t="n">
        <v>3</v>
      </c>
      <c r="G222" s="18" t="inlineStr">
        <is>
          <t>NAGUANAGUA 2</t>
        </is>
      </c>
    </row>
    <row r="223">
      <c r="B223" s="56" t="inlineStr">
        <is>
          <t>00051-UNI</t>
        </is>
      </c>
      <c r="C223" s="56">
        <f>IFERROR(_xlfn.XLOOKUP(SALIDAS[[#This Row],[CODIGO]],LISTADO[CODIGOS],LISTADO[CATEGORIA]),"NO EXISTE")</f>
        <v/>
      </c>
      <c r="D223" s="56">
        <f>IFERROR(_xlfn.XLOOKUP(SALIDAS[[#This Row],[CODIGO]],LISTADO[CODIGOS],LISTADO[PRODUCTOS]),"NO EXISTE")</f>
        <v/>
      </c>
      <c r="E223" s="19" t="n">
        <v>46078</v>
      </c>
      <c r="F223" s="18" t="n">
        <v>5</v>
      </c>
      <c r="G223" s="18" t="inlineStr">
        <is>
          <t>NAGUANAGUA 2</t>
        </is>
      </c>
    </row>
    <row r="224">
      <c r="B224" s="56" t="inlineStr">
        <is>
          <t>00052-UNI</t>
        </is>
      </c>
      <c r="C224" s="56">
        <f>IFERROR(_xlfn.XLOOKUP(SALIDAS[[#This Row],[CODIGO]],LISTADO[CODIGOS],LISTADO[CATEGORIA]),"NO EXISTE")</f>
        <v/>
      </c>
      <c r="D224" s="56">
        <f>IFERROR(_xlfn.XLOOKUP(SALIDAS[[#This Row],[CODIGO]],LISTADO[CODIGOS],LISTADO[PRODUCTOS]),"NO EXISTE")</f>
        <v/>
      </c>
      <c r="E224" s="19" t="n">
        <v>46078</v>
      </c>
      <c r="F224" s="18" t="n">
        <v>5</v>
      </c>
      <c r="G224" s="18" t="inlineStr">
        <is>
          <t>NAGUANAGUA 2</t>
        </is>
      </c>
    </row>
    <row r="225">
      <c r="B225" s="56" t="inlineStr">
        <is>
          <t>00049-UNI</t>
        </is>
      </c>
      <c r="C225" s="56">
        <f>IFERROR(_xlfn.XLOOKUP(SALIDAS[[#This Row],[CODIGO]],LISTADO[CODIGOS],LISTADO[CATEGORIA]),"NO EXISTE")</f>
        <v/>
      </c>
      <c r="D225" s="56">
        <f>IFERROR(_xlfn.XLOOKUP(SALIDAS[[#This Row],[CODIGO]],LISTADO[CODIGOS],LISTADO[PRODUCTOS]),"NO EXISTE")</f>
        <v/>
      </c>
      <c r="E225" s="19" t="n">
        <v>46078</v>
      </c>
      <c r="F225" s="18" t="n">
        <v>2</v>
      </c>
      <c r="G225" s="18" t="inlineStr">
        <is>
          <t>GUACARA</t>
        </is>
      </c>
    </row>
    <row r="226">
      <c r="B226" s="56" t="inlineStr">
        <is>
          <t>00050-UNI</t>
        </is>
      </c>
      <c r="C226" s="56">
        <f>IFERROR(_xlfn.XLOOKUP(SALIDAS[[#This Row],[CODIGO]],LISTADO[CODIGOS],LISTADO[CATEGORIA]),"NO EXISTE")</f>
        <v/>
      </c>
      <c r="D226" s="56">
        <f>IFERROR(_xlfn.XLOOKUP(SALIDAS[[#This Row],[CODIGO]],LISTADO[CODIGOS],LISTADO[PRODUCTOS]),"NO EXISTE")</f>
        <v/>
      </c>
      <c r="E226" s="19" t="n">
        <v>46078</v>
      </c>
      <c r="F226" s="18" t="n">
        <v>3</v>
      </c>
      <c r="G226" s="18" t="inlineStr">
        <is>
          <t>GUACARA</t>
        </is>
      </c>
    </row>
    <row r="227">
      <c r="B227" s="56" t="inlineStr">
        <is>
          <t>00051-UNI</t>
        </is>
      </c>
      <c r="C227" s="56">
        <f>IFERROR(_xlfn.XLOOKUP(SALIDAS[[#This Row],[CODIGO]],LISTADO[CODIGOS],LISTADO[CATEGORIA]),"NO EXISTE")</f>
        <v/>
      </c>
      <c r="D227" s="56">
        <f>IFERROR(_xlfn.XLOOKUP(SALIDAS[[#This Row],[CODIGO]],LISTADO[CODIGOS],LISTADO[PRODUCTOS]),"NO EXISTE")</f>
        <v/>
      </c>
      <c r="E227" s="19" t="n">
        <v>46078</v>
      </c>
      <c r="F227" s="18" t="n">
        <v>5</v>
      </c>
      <c r="G227" s="18" t="inlineStr">
        <is>
          <t>GUACARA</t>
        </is>
      </c>
    </row>
    <row r="228">
      <c r="B228" s="56" t="inlineStr">
        <is>
          <t>00052-UNI</t>
        </is>
      </c>
      <c r="C228" s="56">
        <f>IFERROR(_xlfn.XLOOKUP(SALIDAS[[#This Row],[CODIGO]],LISTADO[CODIGOS],LISTADO[CATEGORIA]),"NO EXISTE")</f>
        <v/>
      </c>
      <c r="D228" s="56">
        <f>IFERROR(_xlfn.XLOOKUP(SALIDAS[[#This Row],[CODIGO]],LISTADO[CODIGOS],LISTADO[PRODUCTOS]),"NO EXISTE")</f>
        <v/>
      </c>
      <c r="E228" s="19" t="n">
        <v>46078</v>
      </c>
      <c r="F228" s="18" t="n">
        <v>5</v>
      </c>
      <c r="G228" s="18" t="inlineStr">
        <is>
          <t>GUACARA</t>
        </is>
      </c>
    </row>
    <row r="229">
      <c r="B229" s="56" t="inlineStr">
        <is>
          <t>00049-UNI</t>
        </is>
      </c>
      <c r="C229" s="56">
        <f>IFERROR(_xlfn.XLOOKUP(SALIDAS[[#This Row],[CODIGO]],LISTADO[CODIGOS],LISTADO[CATEGORIA]),"NO EXISTE")</f>
        <v/>
      </c>
      <c r="D229" s="56">
        <f>IFERROR(_xlfn.XLOOKUP(SALIDAS[[#This Row],[CODIGO]],LISTADO[CODIGOS],LISTADO[PRODUCTOS]),"NO EXISTE")</f>
        <v/>
      </c>
      <c r="E229" s="19" t="n">
        <v>46078</v>
      </c>
      <c r="F229" s="18" t="n">
        <v>2</v>
      </c>
      <c r="G229" s="18" t="inlineStr">
        <is>
          <t>AV. CEDEÑO</t>
        </is>
      </c>
    </row>
    <row r="230">
      <c r="B230" s="56" t="inlineStr">
        <is>
          <t>00050-UNI</t>
        </is>
      </c>
      <c r="C230" s="56">
        <f>IFERROR(_xlfn.XLOOKUP(SALIDAS[[#This Row],[CODIGO]],LISTADO[CODIGOS],LISTADO[CATEGORIA]),"NO EXISTE")</f>
        <v/>
      </c>
      <c r="D230" s="56">
        <f>IFERROR(_xlfn.XLOOKUP(SALIDAS[[#This Row],[CODIGO]],LISTADO[CODIGOS],LISTADO[PRODUCTOS]),"NO EXISTE")</f>
        <v/>
      </c>
      <c r="E230" s="19" t="n">
        <v>46078</v>
      </c>
      <c r="F230" s="18" t="n">
        <v>3</v>
      </c>
      <c r="G230" s="18" t="inlineStr">
        <is>
          <t>AV. CEDEÑO</t>
        </is>
      </c>
    </row>
    <row r="231">
      <c r="B231" s="56" t="inlineStr">
        <is>
          <t>00051-UNI</t>
        </is>
      </c>
      <c r="C231" s="56">
        <f>IFERROR(_xlfn.XLOOKUP(SALIDAS[[#This Row],[CODIGO]],LISTADO[CODIGOS],LISTADO[CATEGORIA]),"NO EXISTE")</f>
        <v/>
      </c>
      <c r="D231" s="56">
        <f>IFERROR(_xlfn.XLOOKUP(SALIDAS[[#This Row],[CODIGO]],LISTADO[CODIGOS],LISTADO[PRODUCTOS]),"NO EXISTE")</f>
        <v/>
      </c>
      <c r="E231" s="19" t="n">
        <v>46078</v>
      </c>
      <c r="F231" s="18" t="n">
        <v>5</v>
      </c>
      <c r="G231" s="18" t="inlineStr">
        <is>
          <t>AV. CEDEÑO</t>
        </is>
      </c>
    </row>
    <row r="232">
      <c r="B232" s="56" t="inlineStr">
        <is>
          <t>00052-UNI</t>
        </is>
      </c>
      <c r="C232" s="56">
        <f>IFERROR(_xlfn.XLOOKUP(SALIDAS[[#This Row],[CODIGO]],LISTADO[CODIGOS],LISTADO[CATEGORIA]),"NO EXISTE")</f>
        <v/>
      </c>
      <c r="D232" s="56">
        <f>IFERROR(_xlfn.XLOOKUP(SALIDAS[[#This Row],[CODIGO]],LISTADO[CODIGOS],LISTADO[PRODUCTOS]),"NO EXISTE")</f>
        <v/>
      </c>
      <c r="E232" s="19" t="n">
        <v>46078</v>
      </c>
      <c r="F232" s="18" t="n">
        <v>5</v>
      </c>
      <c r="G232" s="18" t="inlineStr">
        <is>
          <t>AV. CEDEÑO</t>
        </is>
      </c>
    </row>
    <row r="233">
      <c r="B233" s="56" t="inlineStr">
        <is>
          <t>00049-UNI</t>
        </is>
      </c>
      <c r="C233" s="56">
        <f>IFERROR(_xlfn.XLOOKUP(SALIDAS[[#This Row],[CODIGO]],LISTADO[CODIGOS],LISTADO[CATEGORIA]),"NO EXISTE")</f>
        <v/>
      </c>
      <c r="D233" s="56">
        <f>IFERROR(_xlfn.XLOOKUP(SALIDAS[[#This Row],[CODIGO]],LISTADO[CODIGOS],LISTADO[PRODUCTOS]),"NO EXISTE")</f>
        <v/>
      </c>
      <c r="E233" s="19" t="n">
        <v>46078</v>
      </c>
      <c r="F233" s="18" t="n">
        <v>2</v>
      </c>
      <c r="G233" s="18" t="inlineStr">
        <is>
          <t>MAYOR</t>
        </is>
      </c>
    </row>
    <row r="234">
      <c r="B234" s="56" t="inlineStr">
        <is>
          <t>00050-UNI</t>
        </is>
      </c>
      <c r="C234" s="56">
        <f>IFERROR(_xlfn.XLOOKUP(SALIDAS[[#This Row],[CODIGO]],LISTADO[CODIGOS],LISTADO[CATEGORIA]),"NO EXISTE")</f>
        <v/>
      </c>
      <c r="D234" s="56">
        <f>IFERROR(_xlfn.XLOOKUP(SALIDAS[[#This Row],[CODIGO]],LISTADO[CODIGOS],LISTADO[PRODUCTOS]),"NO EXISTE")</f>
        <v/>
      </c>
      <c r="E234" s="19" t="n">
        <v>46078</v>
      </c>
      <c r="F234" s="18" t="n">
        <v>3</v>
      </c>
      <c r="G234" s="18" t="inlineStr">
        <is>
          <t>MAYOR</t>
        </is>
      </c>
    </row>
    <row r="235">
      <c r="B235" s="56" t="inlineStr">
        <is>
          <t>00051-UNI</t>
        </is>
      </c>
      <c r="C235" s="56">
        <f>IFERROR(_xlfn.XLOOKUP(SALIDAS[[#This Row],[CODIGO]],LISTADO[CODIGOS],LISTADO[CATEGORIA]),"NO EXISTE")</f>
        <v/>
      </c>
      <c r="D235" s="56">
        <f>IFERROR(_xlfn.XLOOKUP(SALIDAS[[#This Row],[CODIGO]],LISTADO[CODIGOS],LISTADO[PRODUCTOS]),"NO EXISTE")</f>
        <v/>
      </c>
      <c r="E235" s="19" t="n">
        <v>46078</v>
      </c>
      <c r="F235" s="18" t="n">
        <v>5</v>
      </c>
      <c r="G235" s="18" t="inlineStr">
        <is>
          <t>MAYOR</t>
        </is>
      </c>
    </row>
    <row r="236">
      <c r="B236" s="56" t="inlineStr">
        <is>
          <t>00052-UNI</t>
        </is>
      </c>
      <c r="C236" s="56">
        <f>IFERROR(_xlfn.XLOOKUP(SALIDAS[[#This Row],[CODIGO]],LISTADO[CODIGOS],LISTADO[CATEGORIA]),"NO EXISTE")</f>
        <v/>
      </c>
      <c r="D236" s="56">
        <f>IFERROR(_xlfn.XLOOKUP(SALIDAS[[#This Row],[CODIGO]],LISTADO[CODIGOS],LISTADO[PRODUCTOS]),"NO EXISTE")</f>
        <v/>
      </c>
      <c r="E236" s="19" t="n">
        <v>46078</v>
      </c>
      <c r="F236" s="18" t="n">
        <v>5</v>
      </c>
      <c r="G236" s="18" t="inlineStr">
        <is>
          <t>MAYOR</t>
        </is>
      </c>
    </row>
    <row r="237">
      <c r="B237" s="56" t="inlineStr">
        <is>
          <t>00049-UNI</t>
        </is>
      </c>
      <c r="C237" s="56">
        <f>IFERROR(_xlfn.XLOOKUP(SALIDAS[[#This Row],[CODIGO]],LISTADO[CODIGOS],LISTADO[CATEGORIA]),"NO EXISTE")</f>
        <v/>
      </c>
      <c r="D237" s="56">
        <f>IFERROR(_xlfn.XLOOKUP(SALIDAS[[#This Row],[CODIGO]],LISTADO[CODIGOS],LISTADO[PRODUCTOS]),"NO EXISTE")</f>
        <v/>
      </c>
      <c r="E237" s="19" t="n">
        <v>46078</v>
      </c>
      <c r="F237" s="18" t="n">
        <v>2</v>
      </c>
      <c r="G237" s="18" t="inlineStr">
        <is>
          <t>SAN DIEGO</t>
        </is>
      </c>
    </row>
    <row r="238">
      <c r="B238" s="56" t="inlineStr">
        <is>
          <t>00050-UNI</t>
        </is>
      </c>
      <c r="C238" s="56">
        <f>IFERROR(_xlfn.XLOOKUP(SALIDAS[[#This Row],[CODIGO]],LISTADO[CODIGOS],LISTADO[CATEGORIA]),"NO EXISTE")</f>
        <v/>
      </c>
      <c r="D238" s="56">
        <f>IFERROR(_xlfn.XLOOKUP(SALIDAS[[#This Row],[CODIGO]],LISTADO[CODIGOS],LISTADO[PRODUCTOS]),"NO EXISTE")</f>
        <v/>
      </c>
      <c r="E238" s="19" t="n">
        <v>46078</v>
      </c>
      <c r="F238" s="18" t="n">
        <v>3</v>
      </c>
      <c r="G238" s="18" t="inlineStr">
        <is>
          <t>SAN DIEGO</t>
        </is>
      </c>
    </row>
    <row r="239">
      <c r="B239" s="56" t="inlineStr">
        <is>
          <t>00051-UNI</t>
        </is>
      </c>
      <c r="C239" s="56">
        <f>IFERROR(_xlfn.XLOOKUP(SALIDAS[[#This Row],[CODIGO]],LISTADO[CODIGOS],LISTADO[CATEGORIA]),"NO EXISTE")</f>
        <v/>
      </c>
      <c r="D239" s="56">
        <f>IFERROR(_xlfn.XLOOKUP(SALIDAS[[#This Row],[CODIGO]],LISTADO[CODIGOS],LISTADO[PRODUCTOS]),"NO EXISTE")</f>
        <v/>
      </c>
      <c r="E239" s="19" t="n">
        <v>46078</v>
      </c>
      <c r="F239" s="18" t="n">
        <v>5</v>
      </c>
      <c r="G239" s="18" t="inlineStr">
        <is>
          <t>SAN DIEGO</t>
        </is>
      </c>
    </row>
    <row r="240">
      <c r="B240" s="56" t="inlineStr">
        <is>
          <t>00052-UNI</t>
        </is>
      </c>
      <c r="C240" s="56">
        <f>IFERROR(_xlfn.XLOOKUP(SALIDAS[[#This Row],[CODIGO]],LISTADO[CODIGOS],LISTADO[CATEGORIA]),"NO EXISTE")</f>
        <v/>
      </c>
      <c r="D240" s="56">
        <f>IFERROR(_xlfn.XLOOKUP(SALIDAS[[#This Row],[CODIGO]],LISTADO[CODIGOS],LISTADO[PRODUCTOS]),"NO EXISTE")</f>
        <v/>
      </c>
      <c r="E240" s="19" t="n">
        <v>46078</v>
      </c>
      <c r="F240" s="18" t="n">
        <v>5</v>
      </c>
      <c r="G240" s="18" t="inlineStr">
        <is>
          <t>SAN DIEGO</t>
        </is>
      </c>
    </row>
    <row r="241">
      <c r="B241" s="56" t="inlineStr">
        <is>
          <t>00049-UNI</t>
        </is>
      </c>
      <c r="C241" s="56">
        <f>IFERROR(_xlfn.XLOOKUP(SALIDAS[[#This Row],[CODIGO]],LISTADO[CODIGOS],LISTADO[CATEGORIA]),"NO EXISTE")</f>
        <v/>
      </c>
      <c r="D241" s="56">
        <f>IFERROR(_xlfn.XLOOKUP(SALIDAS[[#This Row],[CODIGO]],LISTADO[CODIGOS],LISTADO[PRODUCTOS]),"NO EXISTE")</f>
        <v/>
      </c>
      <c r="E241" s="19" t="n">
        <v>46078</v>
      </c>
      <c r="F241" s="18" t="n">
        <v>2</v>
      </c>
      <c r="G241" s="18" t="inlineStr">
        <is>
          <t xml:space="preserve">EL BOSQUE </t>
        </is>
      </c>
    </row>
    <row r="242">
      <c r="B242" s="56" t="inlineStr">
        <is>
          <t>00050-UNI</t>
        </is>
      </c>
      <c r="C242" s="56">
        <f>IFERROR(_xlfn.XLOOKUP(SALIDAS[[#This Row],[CODIGO]],LISTADO[CODIGOS],LISTADO[CATEGORIA]),"NO EXISTE")</f>
        <v/>
      </c>
      <c r="D242" s="56">
        <f>IFERROR(_xlfn.XLOOKUP(SALIDAS[[#This Row],[CODIGO]],LISTADO[CODIGOS],LISTADO[PRODUCTOS]),"NO EXISTE")</f>
        <v/>
      </c>
      <c r="E242" s="19" t="n">
        <v>46078</v>
      </c>
      <c r="F242" s="18" t="n">
        <v>3</v>
      </c>
      <c r="G242" s="18" t="inlineStr">
        <is>
          <t xml:space="preserve">EL BOSQUE </t>
        </is>
      </c>
    </row>
    <row r="243">
      <c r="B243" s="56" t="inlineStr">
        <is>
          <t>00051-UNI</t>
        </is>
      </c>
      <c r="C243" s="56">
        <f>IFERROR(_xlfn.XLOOKUP(SALIDAS[[#This Row],[CODIGO]],LISTADO[CODIGOS],LISTADO[CATEGORIA]),"NO EXISTE")</f>
        <v/>
      </c>
      <c r="D243" s="56">
        <f>IFERROR(_xlfn.XLOOKUP(SALIDAS[[#This Row],[CODIGO]],LISTADO[CODIGOS],LISTADO[PRODUCTOS]),"NO EXISTE")</f>
        <v/>
      </c>
      <c r="E243" s="19" t="n">
        <v>46078</v>
      </c>
      <c r="F243" s="18" t="n">
        <v>5</v>
      </c>
      <c r="G243" s="18" t="inlineStr">
        <is>
          <t xml:space="preserve">EL BOSQUE </t>
        </is>
      </c>
    </row>
    <row r="244">
      <c r="B244" s="56" t="inlineStr">
        <is>
          <t>00052-UNI</t>
        </is>
      </c>
      <c r="C244" s="56">
        <f>IFERROR(_xlfn.XLOOKUP(SALIDAS[[#This Row],[CODIGO]],LISTADO[CODIGOS],LISTADO[CATEGORIA]),"NO EXISTE")</f>
        <v/>
      </c>
      <c r="D244" s="56">
        <f>IFERROR(_xlfn.XLOOKUP(SALIDAS[[#This Row],[CODIGO]],LISTADO[CODIGOS],LISTADO[PRODUCTOS]),"NO EXISTE")</f>
        <v/>
      </c>
      <c r="E244" s="19" t="n">
        <v>46078</v>
      </c>
      <c r="F244" s="18" t="n">
        <v>5</v>
      </c>
      <c r="G244" s="18" t="inlineStr">
        <is>
          <t xml:space="preserve">EL BOSQUE </t>
        </is>
      </c>
    </row>
    <row r="245">
      <c r="B245" s="56" t="inlineStr">
        <is>
          <t>00049-UNI</t>
        </is>
      </c>
      <c r="C245" s="56">
        <f>IFERROR(_xlfn.XLOOKUP(SALIDAS[[#This Row],[CODIGO]],LISTADO[CODIGOS],LISTADO[CATEGORIA]),"NO EXISTE")</f>
        <v/>
      </c>
      <c r="D245" s="56">
        <f>IFERROR(_xlfn.XLOOKUP(SALIDAS[[#This Row],[CODIGO]],LISTADO[CODIGOS],LISTADO[PRODUCTOS]),"NO EXISTE")</f>
        <v/>
      </c>
      <c r="E245" s="19" t="n">
        <v>46078</v>
      </c>
      <c r="F245" s="18" t="n">
        <v>2</v>
      </c>
      <c r="G245" s="18" t="inlineStr">
        <is>
          <t>FLOR AMARILLO</t>
        </is>
      </c>
    </row>
    <row r="246">
      <c r="B246" s="56" t="inlineStr">
        <is>
          <t>00050-UNI</t>
        </is>
      </c>
      <c r="C246" s="56">
        <f>IFERROR(_xlfn.XLOOKUP(SALIDAS[[#This Row],[CODIGO]],LISTADO[CODIGOS],LISTADO[CATEGORIA]),"NO EXISTE")</f>
        <v/>
      </c>
      <c r="D246" s="56">
        <f>IFERROR(_xlfn.XLOOKUP(SALIDAS[[#This Row],[CODIGO]],LISTADO[CODIGOS],LISTADO[PRODUCTOS]),"NO EXISTE")</f>
        <v/>
      </c>
      <c r="E246" s="19" t="n">
        <v>46078</v>
      </c>
      <c r="F246" s="18" t="n">
        <v>3</v>
      </c>
      <c r="G246" s="18" t="inlineStr">
        <is>
          <t>FLOR AMARILLO</t>
        </is>
      </c>
    </row>
    <row r="247">
      <c r="B247" s="56" t="inlineStr">
        <is>
          <t>00051-UNI</t>
        </is>
      </c>
      <c r="C247" s="56">
        <f>IFERROR(_xlfn.XLOOKUP(SALIDAS[[#This Row],[CODIGO]],LISTADO[CODIGOS],LISTADO[CATEGORIA]),"NO EXISTE")</f>
        <v/>
      </c>
      <c r="D247" s="56">
        <f>IFERROR(_xlfn.XLOOKUP(SALIDAS[[#This Row],[CODIGO]],LISTADO[CODIGOS],LISTADO[PRODUCTOS]),"NO EXISTE")</f>
        <v/>
      </c>
      <c r="E247" s="19" t="n">
        <v>46078</v>
      </c>
      <c r="F247" s="18" t="n">
        <v>5</v>
      </c>
      <c r="G247" s="18" t="inlineStr">
        <is>
          <t>FLOR AMARILLO</t>
        </is>
      </c>
    </row>
    <row r="248">
      <c r="B248" s="56" t="inlineStr">
        <is>
          <t>00052-UNI</t>
        </is>
      </c>
      <c r="C248" s="56">
        <f>IFERROR(_xlfn.XLOOKUP(SALIDAS[[#This Row],[CODIGO]],LISTADO[CODIGOS],LISTADO[CATEGORIA]),"NO EXISTE")</f>
        <v/>
      </c>
      <c r="D248" s="56">
        <f>IFERROR(_xlfn.XLOOKUP(SALIDAS[[#This Row],[CODIGO]],LISTADO[CODIGOS],LISTADO[PRODUCTOS]),"NO EXISTE")</f>
        <v/>
      </c>
      <c r="E248" s="19" t="n">
        <v>46078</v>
      </c>
      <c r="F248" s="18" t="n">
        <v>5</v>
      </c>
      <c r="G248" s="18" t="inlineStr">
        <is>
          <t>FLOR AMARILLO</t>
        </is>
      </c>
    </row>
    <row r="249">
      <c r="B249" s="56" t="inlineStr">
        <is>
          <t>00049-UNI</t>
        </is>
      </c>
      <c r="C249" s="56">
        <f>IFERROR(_xlfn.XLOOKUP(SALIDAS[[#This Row],[CODIGO]],LISTADO[CODIGOS],LISTADO[CATEGORIA]),"NO EXISTE")</f>
        <v/>
      </c>
      <c r="D249" s="56">
        <f>IFERROR(_xlfn.XLOOKUP(SALIDAS[[#This Row],[CODIGO]],LISTADO[CODIGOS],LISTADO[PRODUCTOS]),"NO EXISTE")</f>
        <v/>
      </c>
      <c r="E249" s="19" t="n">
        <v>46078</v>
      </c>
      <c r="F249" s="18" t="n">
        <v>2</v>
      </c>
      <c r="G249" s="18" t="inlineStr">
        <is>
          <t>PARAPARAL</t>
        </is>
      </c>
    </row>
    <row r="250">
      <c r="B250" s="56" t="inlineStr">
        <is>
          <t>00050-UNI</t>
        </is>
      </c>
      <c r="C250" s="56">
        <f>IFERROR(_xlfn.XLOOKUP(SALIDAS[[#This Row],[CODIGO]],LISTADO[CODIGOS],LISTADO[CATEGORIA]),"NO EXISTE")</f>
        <v/>
      </c>
      <c r="D250" s="56">
        <f>IFERROR(_xlfn.XLOOKUP(SALIDAS[[#This Row],[CODIGO]],LISTADO[CODIGOS],LISTADO[PRODUCTOS]),"NO EXISTE")</f>
        <v/>
      </c>
      <c r="E250" s="19" t="n">
        <v>46078</v>
      </c>
      <c r="F250" s="18" t="n">
        <v>3</v>
      </c>
      <c r="G250" s="18" t="inlineStr">
        <is>
          <t>PARAPARAL</t>
        </is>
      </c>
    </row>
    <row r="251">
      <c r="B251" s="56" t="inlineStr">
        <is>
          <t>00051-UNI</t>
        </is>
      </c>
      <c r="C251" s="56">
        <f>IFERROR(_xlfn.XLOOKUP(SALIDAS[[#This Row],[CODIGO]],LISTADO[CODIGOS],LISTADO[CATEGORIA]),"NO EXISTE")</f>
        <v/>
      </c>
      <c r="D251" s="56">
        <f>IFERROR(_xlfn.XLOOKUP(SALIDAS[[#This Row],[CODIGO]],LISTADO[CODIGOS],LISTADO[PRODUCTOS]),"NO EXISTE")</f>
        <v/>
      </c>
      <c r="E251" s="19" t="n">
        <v>46078</v>
      </c>
      <c r="F251" s="18" t="n">
        <v>5</v>
      </c>
      <c r="G251" s="18" t="inlineStr">
        <is>
          <t>PARAPARAL</t>
        </is>
      </c>
    </row>
    <row r="252">
      <c r="B252" s="56" t="inlineStr">
        <is>
          <t>00052-UNI</t>
        </is>
      </c>
      <c r="C252" s="56">
        <f>IFERROR(_xlfn.XLOOKUP(SALIDAS[[#This Row],[CODIGO]],LISTADO[CODIGOS],LISTADO[CATEGORIA]),"NO EXISTE")</f>
        <v/>
      </c>
      <c r="D252" s="56">
        <f>IFERROR(_xlfn.XLOOKUP(SALIDAS[[#This Row],[CODIGO]],LISTADO[CODIGOS],LISTADO[PRODUCTOS]),"NO EXISTE")</f>
        <v/>
      </c>
      <c r="E252" s="19" t="n">
        <v>46078</v>
      </c>
      <c r="F252" s="18" t="n">
        <v>5</v>
      </c>
      <c r="G252" s="18" t="inlineStr">
        <is>
          <t>PARAPARAL</t>
        </is>
      </c>
    </row>
    <row r="253">
      <c r="B253" s="56" t="inlineStr">
        <is>
          <t>00049-UNI</t>
        </is>
      </c>
      <c r="C253" s="56">
        <f>IFERROR(_xlfn.XLOOKUP(SALIDAS[[#This Row],[CODIGO]],LISTADO[CODIGOS],LISTADO[CATEGORIA]),"NO EXISTE")</f>
        <v/>
      </c>
      <c r="D253" s="56">
        <f>IFERROR(_xlfn.XLOOKUP(SALIDAS[[#This Row],[CODIGO]],LISTADO[CODIGOS],LISTADO[PRODUCTOS]),"NO EXISTE")</f>
        <v/>
      </c>
      <c r="E253" s="19" t="n">
        <v>46078</v>
      </c>
      <c r="F253" s="18" t="n">
        <v>2</v>
      </c>
      <c r="G253" s="18" t="inlineStr">
        <is>
          <t>NAGUANAGUA 3</t>
        </is>
      </c>
    </row>
    <row r="254">
      <c r="B254" s="56" t="inlineStr">
        <is>
          <t>00050-UNI</t>
        </is>
      </c>
      <c r="C254" s="56">
        <f>IFERROR(_xlfn.XLOOKUP(SALIDAS[[#This Row],[CODIGO]],LISTADO[CODIGOS],LISTADO[CATEGORIA]),"NO EXISTE")</f>
        <v/>
      </c>
      <c r="D254" s="56">
        <f>IFERROR(_xlfn.XLOOKUP(SALIDAS[[#This Row],[CODIGO]],LISTADO[CODIGOS],LISTADO[PRODUCTOS]),"NO EXISTE")</f>
        <v/>
      </c>
      <c r="E254" s="19" t="n">
        <v>46078</v>
      </c>
      <c r="F254" s="18" t="n">
        <v>3</v>
      </c>
      <c r="G254" s="18" t="inlineStr">
        <is>
          <t>NAGUANAGUA 3</t>
        </is>
      </c>
    </row>
    <row r="255">
      <c r="B255" s="56" t="inlineStr">
        <is>
          <t>00051-UNI</t>
        </is>
      </c>
      <c r="C255" s="56">
        <f>IFERROR(_xlfn.XLOOKUP(SALIDAS[[#This Row],[CODIGO]],LISTADO[CODIGOS],LISTADO[CATEGORIA]),"NO EXISTE")</f>
        <v/>
      </c>
      <c r="D255" s="56">
        <f>IFERROR(_xlfn.XLOOKUP(SALIDAS[[#This Row],[CODIGO]],LISTADO[CODIGOS],LISTADO[PRODUCTOS]),"NO EXISTE")</f>
        <v/>
      </c>
      <c r="E255" s="19" t="n">
        <v>46078</v>
      </c>
      <c r="F255" s="18" t="n">
        <v>5</v>
      </c>
      <c r="G255" s="18" t="inlineStr">
        <is>
          <t>NAGUANAGUA 3</t>
        </is>
      </c>
    </row>
    <row r="256">
      <c r="B256" s="56" t="inlineStr">
        <is>
          <t>00052-UNI</t>
        </is>
      </c>
      <c r="C256" s="56">
        <f>IFERROR(_xlfn.XLOOKUP(SALIDAS[[#This Row],[CODIGO]],LISTADO[CODIGOS],LISTADO[CATEGORIA]),"NO EXISTE")</f>
        <v/>
      </c>
      <c r="D256" s="56">
        <f>IFERROR(_xlfn.XLOOKUP(SALIDAS[[#This Row],[CODIGO]],LISTADO[CODIGOS],LISTADO[PRODUCTOS]),"NO EXISTE")</f>
        <v/>
      </c>
      <c r="E256" s="19" t="n">
        <v>46078</v>
      </c>
      <c r="F256" s="18" t="n">
        <v>5</v>
      </c>
      <c r="G256" s="18" t="inlineStr">
        <is>
          <t>NAGUANAGUA 3</t>
        </is>
      </c>
    </row>
    <row r="257">
      <c r="B257" s="56" t="inlineStr">
        <is>
          <t>00049-UNI</t>
        </is>
      </c>
      <c r="C257" s="56">
        <f>IFERROR(_xlfn.XLOOKUP(SALIDAS[[#This Row],[CODIGO]],LISTADO[CODIGOS],LISTADO[CATEGORIA]),"NO EXISTE")</f>
        <v/>
      </c>
      <c r="D257" s="56">
        <f>IFERROR(_xlfn.XLOOKUP(SALIDAS[[#This Row],[CODIGO]],LISTADO[CODIGOS],LISTADO[PRODUCTOS]),"NO EXISTE")</f>
        <v/>
      </c>
      <c r="E257" s="19" t="n">
        <v>46078</v>
      </c>
      <c r="F257" s="18" t="n">
        <v>2</v>
      </c>
      <c r="G257" s="18" t="inlineStr">
        <is>
          <t>ISABELICA</t>
        </is>
      </c>
    </row>
    <row r="258">
      <c r="B258" s="56" t="inlineStr">
        <is>
          <t>00050-UNI</t>
        </is>
      </c>
      <c r="C258" s="56">
        <f>IFERROR(_xlfn.XLOOKUP(SALIDAS[[#This Row],[CODIGO]],LISTADO[CODIGOS],LISTADO[CATEGORIA]),"NO EXISTE")</f>
        <v/>
      </c>
      <c r="D258" s="56">
        <f>IFERROR(_xlfn.XLOOKUP(SALIDAS[[#This Row],[CODIGO]],LISTADO[CODIGOS],LISTADO[PRODUCTOS]),"NO EXISTE")</f>
        <v/>
      </c>
      <c r="E258" s="19" t="n">
        <v>46078</v>
      </c>
      <c r="F258" s="18" t="n">
        <v>3</v>
      </c>
      <c r="G258" s="18" t="inlineStr">
        <is>
          <t>ISABELICA</t>
        </is>
      </c>
    </row>
    <row r="259">
      <c r="B259" s="56" t="inlineStr">
        <is>
          <t>00051-UNI</t>
        </is>
      </c>
      <c r="C259" s="56">
        <f>IFERROR(_xlfn.XLOOKUP(SALIDAS[[#This Row],[CODIGO]],LISTADO[CODIGOS],LISTADO[CATEGORIA]),"NO EXISTE")</f>
        <v/>
      </c>
      <c r="D259" s="56">
        <f>IFERROR(_xlfn.XLOOKUP(SALIDAS[[#This Row],[CODIGO]],LISTADO[CODIGOS],LISTADO[PRODUCTOS]),"NO EXISTE")</f>
        <v/>
      </c>
      <c r="E259" s="19" t="n">
        <v>46078</v>
      </c>
      <c r="F259" s="18" t="n">
        <v>5</v>
      </c>
      <c r="G259" s="18" t="inlineStr">
        <is>
          <t>ISABELICA</t>
        </is>
      </c>
    </row>
    <row r="260">
      <c r="B260" s="56" t="inlineStr">
        <is>
          <t>00052-UNI</t>
        </is>
      </c>
      <c r="C260" s="56">
        <f>IFERROR(_xlfn.XLOOKUP(SALIDAS[[#This Row],[CODIGO]],LISTADO[CODIGOS],LISTADO[CATEGORIA]),"NO EXISTE")</f>
        <v/>
      </c>
      <c r="D260" s="56">
        <f>IFERROR(_xlfn.XLOOKUP(SALIDAS[[#This Row],[CODIGO]],LISTADO[CODIGOS],LISTADO[PRODUCTOS]),"NO EXISTE")</f>
        <v/>
      </c>
      <c r="E260" s="19" t="n">
        <v>46078</v>
      </c>
      <c r="F260" s="18" t="n">
        <v>5</v>
      </c>
      <c r="G260" s="18" t="inlineStr">
        <is>
          <t>ISABELICA</t>
        </is>
      </c>
    </row>
    <row r="261">
      <c r="B261" s="56" t="inlineStr">
        <is>
          <t>00049-UNI</t>
        </is>
      </c>
      <c r="C261" s="56">
        <f>IFERROR(_xlfn.XLOOKUP(SALIDAS[[#This Row],[CODIGO]],LISTADO[CODIGOS],LISTADO[CATEGORIA]),"NO EXISTE")</f>
        <v/>
      </c>
      <c r="D261" s="56">
        <f>IFERROR(_xlfn.XLOOKUP(SALIDAS[[#This Row],[CODIGO]],LISTADO[CODIGOS],LISTADO[PRODUCTOS]),"NO EXISTE")</f>
        <v/>
      </c>
      <c r="E261" s="19" t="n">
        <v>46078</v>
      </c>
      <c r="F261" s="18" t="n">
        <v>2</v>
      </c>
      <c r="G261" s="18" t="inlineStr">
        <is>
          <t>TOCUYITO</t>
        </is>
      </c>
    </row>
    <row r="262">
      <c r="B262" s="56" t="inlineStr">
        <is>
          <t>00050-UNI</t>
        </is>
      </c>
      <c r="C262" s="56">
        <f>IFERROR(_xlfn.XLOOKUP(SALIDAS[[#This Row],[CODIGO]],LISTADO[CODIGOS],LISTADO[CATEGORIA]),"NO EXISTE")</f>
        <v/>
      </c>
      <c r="D262" s="56">
        <f>IFERROR(_xlfn.XLOOKUP(SALIDAS[[#This Row],[CODIGO]],LISTADO[CODIGOS],LISTADO[PRODUCTOS]),"NO EXISTE")</f>
        <v/>
      </c>
      <c r="E262" s="19" t="n">
        <v>46078</v>
      </c>
      <c r="F262" s="18" t="n">
        <v>3</v>
      </c>
      <c r="G262" s="18" t="inlineStr">
        <is>
          <t>TOCUYITO</t>
        </is>
      </c>
    </row>
    <row r="263">
      <c r="B263" s="56" t="inlineStr">
        <is>
          <t>00051-UNI</t>
        </is>
      </c>
      <c r="C263" s="56">
        <f>IFERROR(_xlfn.XLOOKUP(SALIDAS[[#This Row],[CODIGO]],LISTADO[CODIGOS],LISTADO[CATEGORIA]),"NO EXISTE")</f>
        <v/>
      </c>
      <c r="D263" s="56">
        <f>IFERROR(_xlfn.XLOOKUP(SALIDAS[[#This Row],[CODIGO]],LISTADO[CODIGOS],LISTADO[PRODUCTOS]),"NO EXISTE")</f>
        <v/>
      </c>
      <c r="E263" s="19" t="n">
        <v>46078</v>
      </c>
      <c r="F263" s="18" t="n">
        <v>5</v>
      </c>
      <c r="G263" s="18" t="inlineStr">
        <is>
          <t>TOCUYITO</t>
        </is>
      </c>
    </row>
    <row r="264">
      <c r="B264" s="56" t="inlineStr">
        <is>
          <t>00052-UNI</t>
        </is>
      </c>
      <c r="C264" s="56">
        <f>IFERROR(_xlfn.XLOOKUP(SALIDAS[[#This Row],[CODIGO]],LISTADO[CODIGOS],LISTADO[CATEGORIA]),"NO EXISTE")</f>
        <v/>
      </c>
      <c r="D264" s="56">
        <f>IFERROR(_xlfn.XLOOKUP(SALIDAS[[#This Row],[CODIGO]],LISTADO[CODIGOS],LISTADO[PRODUCTOS]),"NO EXISTE")</f>
        <v/>
      </c>
      <c r="E264" s="19" t="n">
        <v>46078</v>
      </c>
      <c r="F264" s="18" t="n">
        <v>5</v>
      </c>
      <c r="G264" s="18" t="inlineStr">
        <is>
          <t>TOCUYITO</t>
        </is>
      </c>
    </row>
    <row r="265">
      <c r="B265" s="56" t="inlineStr">
        <is>
          <t>00049-UNI</t>
        </is>
      </c>
      <c r="C265" s="56">
        <f>IFERROR(_xlfn.XLOOKUP(SALIDAS[[#This Row],[CODIGO]],LISTADO[CODIGOS],LISTADO[CATEGORIA]),"NO EXISTE")</f>
        <v/>
      </c>
      <c r="D265" s="56">
        <f>IFERROR(_xlfn.XLOOKUP(SALIDAS[[#This Row],[CODIGO]],LISTADO[CODIGOS],LISTADO[PRODUCTOS]),"NO EXISTE")</f>
        <v/>
      </c>
      <c r="E265" s="19" t="n">
        <v>46078</v>
      </c>
      <c r="F265" s="18" t="n">
        <v>2</v>
      </c>
      <c r="G265" s="18" t="inlineStr">
        <is>
          <t>GUIGUE</t>
        </is>
      </c>
    </row>
    <row r="266">
      <c r="B266" s="56" t="inlineStr">
        <is>
          <t>00050-UNI</t>
        </is>
      </c>
      <c r="C266" s="56">
        <f>IFERROR(_xlfn.XLOOKUP(SALIDAS[[#This Row],[CODIGO]],LISTADO[CODIGOS],LISTADO[CATEGORIA]),"NO EXISTE")</f>
        <v/>
      </c>
      <c r="D266" s="56">
        <f>IFERROR(_xlfn.XLOOKUP(SALIDAS[[#This Row],[CODIGO]],LISTADO[CODIGOS],LISTADO[PRODUCTOS]),"NO EXISTE")</f>
        <v/>
      </c>
      <c r="E266" s="19" t="n">
        <v>46078</v>
      </c>
      <c r="F266" s="18" t="n">
        <v>3</v>
      </c>
      <c r="G266" s="18" t="inlineStr">
        <is>
          <t>GUIGUE</t>
        </is>
      </c>
    </row>
    <row r="267">
      <c r="B267" s="56" t="inlineStr">
        <is>
          <t>00051-UNI</t>
        </is>
      </c>
      <c r="C267" s="56">
        <f>IFERROR(_xlfn.XLOOKUP(SALIDAS[[#This Row],[CODIGO]],LISTADO[CODIGOS],LISTADO[CATEGORIA]),"NO EXISTE")</f>
        <v/>
      </c>
      <c r="D267" s="56">
        <f>IFERROR(_xlfn.XLOOKUP(SALIDAS[[#This Row],[CODIGO]],LISTADO[CODIGOS],LISTADO[PRODUCTOS]),"NO EXISTE")</f>
        <v/>
      </c>
      <c r="E267" s="19" t="n">
        <v>46078</v>
      </c>
      <c r="F267" s="18" t="n">
        <v>5</v>
      </c>
      <c r="G267" s="18" t="inlineStr">
        <is>
          <t>GUIGUE</t>
        </is>
      </c>
    </row>
    <row r="268">
      <c r="B268" s="56" t="inlineStr">
        <is>
          <t>00052-UNI</t>
        </is>
      </c>
      <c r="C268" s="56">
        <f>IFERROR(_xlfn.XLOOKUP(SALIDAS[[#This Row],[CODIGO]],LISTADO[CODIGOS],LISTADO[CATEGORIA]),"NO EXISTE")</f>
        <v/>
      </c>
      <c r="D268" s="56">
        <f>IFERROR(_xlfn.XLOOKUP(SALIDAS[[#This Row],[CODIGO]],LISTADO[CODIGOS],LISTADO[PRODUCTOS]),"NO EXISTE")</f>
        <v/>
      </c>
      <c r="E268" s="19" t="n">
        <v>46078</v>
      </c>
      <c r="F268" s="18" t="n">
        <v>5</v>
      </c>
      <c r="G268" s="18" t="inlineStr">
        <is>
          <t>GUIGUE</t>
        </is>
      </c>
    </row>
    <row r="269">
      <c r="B269" s="56" t="inlineStr">
        <is>
          <t>00049-UNI</t>
        </is>
      </c>
      <c r="C269" s="56">
        <f>IFERROR(_xlfn.XLOOKUP(SALIDAS[[#This Row],[CODIGO]],LISTADO[CODIGOS],LISTADO[CATEGORIA]),"NO EXISTE")</f>
        <v/>
      </c>
      <c r="D269" s="56">
        <f>IFERROR(_xlfn.XLOOKUP(SALIDAS[[#This Row],[CODIGO]],LISTADO[CODIGOS],LISTADO[PRODUCTOS]),"NO EXISTE")</f>
        <v/>
      </c>
      <c r="E269" s="19" t="n">
        <v>46078</v>
      </c>
      <c r="F269" s="18" t="n">
        <v>2</v>
      </c>
      <c r="G269" s="18" t="inlineStr">
        <is>
          <t>TAZAJAL</t>
        </is>
      </c>
    </row>
    <row r="270">
      <c r="B270" s="56" t="inlineStr">
        <is>
          <t>00050-UNI</t>
        </is>
      </c>
      <c r="C270" s="56">
        <f>IFERROR(_xlfn.XLOOKUP(SALIDAS[[#This Row],[CODIGO]],LISTADO[CODIGOS],LISTADO[CATEGORIA]),"NO EXISTE")</f>
        <v/>
      </c>
      <c r="D270" s="56">
        <f>IFERROR(_xlfn.XLOOKUP(SALIDAS[[#This Row],[CODIGO]],LISTADO[CODIGOS],LISTADO[PRODUCTOS]),"NO EXISTE")</f>
        <v/>
      </c>
      <c r="E270" s="19" t="n">
        <v>46078</v>
      </c>
      <c r="F270" s="18" t="n">
        <v>3</v>
      </c>
      <c r="G270" s="18" t="inlineStr">
        <is>
          <t>TAZAJAL</t>
        </is>
      </c>
    </row>
    <row r="271">
      <c r="B271" s="56" t="inlineStr">
        <is>
          <t>00051-UNI</t>
        </is>
      </c>
      <c r="C271" s="56">
        <f>IFERROR(_xlfn.XLOOKUP(SALIDAS[[#This Row],[CODIGO]],LISTADO[CODIGOS],LISTADO[CATEGORIA]),"NO EXISTE")</f>
        <v/>
      </c>
      <c r="D271" s="56">
        <f>IFERROR(_xlfn.XLOOKUP(SALIDAS[[#This Row],[CODIGO]],LISTADO[CODIGOS],LISTADO[PRODUCTOS]),"NO EXISTE")</f>
        <v/>
      </c>
      <c r="E271" s="19" t="n">
        <v>46078</v>
      </c>
      <c r="F271" s="18" t="n">
        <v>5</v>
      </c>
      <c r="G271" s="18" t="inlineStr">
        <is>
          <t>TAZAJAL</t>
        </is>
      </c>
    </row>
    <row r="272">
      <c r="B272" s="56" t="inlineStr">
        <is>
          <t>00052-UNI</t>
        </is>
      </c>
      <c r="C272" s="56">
        <f>IFERROR(_xlfn.XLOOKUP(SALIDAS[[#This Row],[CODIGO]],LISTADO[CODIGOS],LISTADO[CATEGORIA]),"NO EXISTE")</f>
        <v/>
      </c>
      <c r="D272" s="56">
        <f>IFERROR(_xlfn.XLOOKUP(SALIDAS[[#This Row],[CODIGO]],LISTADO[CODIGOS],LISTADO[PRODUCTOS]),"NO EXISTE")</f>
        <v/>
      </c>
      <c r="E272" s="19" t="n">
        <v>46078</v>
      </c>
      <c r="F272" s="18" t="n">
        <v>5</v>
      </c>
      <c r="G272" s="18" t="inlineStr">
        <is>
          <t>TAZAJAL</t>
        </is>
      </c>
    </row>
    <row r="273">
      <c r="B273" s="56" t="inlineStr">
        <is>
          <t>00049-UNI</t>
        </is>
      </c>
      <c r="C273" s="56">
        <f>IFERROR(_xlfn.XLOOKUP(SALIDAS[[#This Row],[CODIGO]],LISTADO[CODIGOS],LISTADO[CATEGORIA]),"NO EXISTE")</f>
        <v/>
      </c>
      <c r="D273" s="56">
        <f>IFERROR(_xlfn.XLOOKUP(SALIDAS[[#This Row],[CODIGO]],LISTADO[CODIGOS],LISTADO[PRODUCTOS]),"NO EXISTE")</f>
        <v/>
      </c>
      <c r="E273" s="19" t="n">
        <v>46078</v>
      </c>
      <c r="F273" s="18" t="n">
        <v>2</v>
      </c>
      <c r="G273" s="18" t="inlineStr">
        <is>
          <t>ARTIGAS (CARACAS)</t>
        </is>
      </c>
    </row>
    <row r="274">
      <c r="B274" s="56" t="inlineStr">
        <is>
          <t>00050-UNI</t>
        </is>
      </c>
      <c r="C274" s="56">
        <f>IFERROR(_xlfn.XLOOKUP(SALIDAS[[#This Row],[CODIGO]],LISTADO[CODIGOS],LISTADO[CATEGORIA]),"NO EXISTE")</f>
        <v/>
      </c>
      <c r="D274" s="56">
        <f>IFERROR(_xlfn.XLOOKUP(SALIDAS[[#This Row],[CODIGO]],LISTADO[CODIGOS],LISTADO[PRODUCTOS]),"NO EXISTE")</f>
        <v/>
      </c>
      <c r="E274" s="19" t="n">
        <v>46078</v>
      </c>
      <c r="F274" s="18" t="n">
        <v>3</v>
      </c>
      <c r="G274" s="18" t="inlineStr">
        <is>
          <t>ARTIGAS (CARACAS)</t>
        </is>
      </c>
    </row>
    <row r="275">
      <c r="B275" s="56" t="inlineStr">
        <is>
          <t>00051-UNI</t>
        </is>
      </c>
      <c r="C275" s="56">
        <f>IFERROR(_xlfn.XLOOKUP(SALIDAS[[#This Row],[CODIGO]],LISTADO[CODIGOS],LISTADO[CATEGORIA]),"NO EXISTE")</f>
        <v/>
      </c>
      <c r="D275" s="56">
        <f>IFERROR(_xlfn.XLOOKUP(SALIDAS[[#This Row],[CODIGO]],LISTADO[CODIGOS],LISTADO[PRODUCTOS]),"NO EXISTE")</f>
        <v/>
      </c>
      <c r="E275" s="19" t="n">
        <v>46078</v>
      </c>
      <c r="F275" s="18" t="n">
        <v>5</v>
      </c>
      <c r="G275" s="18" t="inlineStr">
        <is>
          <t>ARTIGAS (CARACAS)</t>
        </is>
      </c>
    </row>
    <row r="276">
      <c r="B276" s="56" t="inlineStr">
        <is>
          <t>00052-UNI</t>
        </is>
      </c>
      <c r="C276" s="56">
        <f>IFERROR(_xlfn.XLOOKUP(SALIDAS[[#This Row],[CODIGO]],LISTADO[CODIGOS],LISTADO[CATEGORIA]),"NO EXISTE")</f>
        <v/>
      </c>
      <c r="D276" s="56">
        <f>IFERROR(_xlfn.XLOOKUP(SALIDAS[[#This Row],[CODIGO]],LISTADO[CODIGOS],LISTADO[PRODUCTOS]),"NO EXISTE")</f>
        <v/>
      </c>
      <c r="E276" s="19" t="n">
        <v>46078</v>
      </c>
      <c r="F276" s="18" t="n">
        <v>5</v>
      </c>
      <c r="G276" s="18" t="inlineStr">
        <is>
          <t>ARTIGAS (CARACAS)</t>
        </is>
      </c>
    </row>
    <row r="277">
      <c r="B277" s="56" t="inlineStr">
        <is>
          <t>00049-UNI</t>
        </is>
      </c>
      <c r="C277" s="56">
        <f>IFERROR(_xlfn.XLOOKUP(SALIDAS[[#This Row],[CODIGO]],LISTADO[CODIGOS],LISTADO[CATEGORIA]),"NO EXISTE")</f>
        <v/>
      </c>
      <c r="D277" s="56">
        <f>IFERROR(_xlfn.XLOOKUP(SALIDAS[[#This Row],[CODIGO]],LISTADO[CODIGOS],LISTADO[PRODUCTOS]),"NO EXISTE")</f>
        <v/>
      </c>
      <c r="E277" s="19" t="n">
        <v>46078</v>
      </c>
      <c r="F277" s="18" t="n">
        <v>2</v>
      </c>
      <c r="G277" s="18" t="inlineStr">
        <is>
          <t>PARAISO (CARACAS)</t>
        </is>
      </c>
    </row>
    <row r="278">
      <c r="B278" s="56" t="inlineStr">
        <is>
          <t>00050-UNI</t>
        </is>
      </c>
      <c r="C278" s="56">
        <f>IFERROR(_xlfn.XLOOKUP(SALIDAS[[#This Row],[CODIGO]],LISTADO[CODIGOS],LISTADO[CATEGORIA]),"NO EXISTE")</f>
        <v/>
      </c>
      <c r="D278" s="56">
        <f>IFERROR(_xlfn.XLOOKUP(SALIDAS[[#This Row],[CODIGO]],LISTADO[CODIGOS],LISTADO[PRODUCTOS]),"NO EXISTE")</f>
        <v/>
      </c>
      <c r="E278" s="19" t="n">
        <v>46078</v>
      </c>
      <c r="F278" s="18" t="n">
        <v>3</v>
      </c>
      <c r="G278" s="18" t="inlineStr">
        <is>
          <t>PARAISO (CARACAS)</t>
        </is>
      </c>
    </row>
    <row r="279">
      <c r="B279" s="56" t="inlineStr">
        <is>
          <t>00051-UNI</t>
        </is>
      </c>
      <c r="C279" s="56">
        <f>IFERROR(_xlfn.XLOOKUP(SALIDAS[[#This Row],[CODIGO]],LISTADO[CODIGOS],LISTADO[CATEGORIA]),"NO EXISTE")</f>
        <v/>
      </c>
      <c r="D279" s="56">
        <f>IFERROR(_xlfn.XLOOKUP(SALIDAS[[#This Row],[CODIGO]],LISTADO[CODIGOS],LISTADO[PRODUCTOS]),"NO EXISTE")</f>
        <v/>
      </c>
      <c r="E279" s="19" t="n">
        <v>46078</v>
      </c>
      <c r="F279" s="18" t="n">
        <v>5</v>
      </c>
      <c r="G279" s="18" t="inlineStr">
        <is>
          <t>PARAISO (CARACAS)</t>
        </is>
      </c>
    </row>
    <row r="280">
      <c r="B280" s="56" t="inlineStr">
        <is>
          <t>00052-UNI</t>
        </is>
      </c>
      <c r="C280" s="56">
        <f>IFERROR(_xlfn.XLOOKUP(SALIDAS[[#This Row],[CODIGO]],LISTADO[CODIGOS],LISTADO[CATEGORIA]),"NO EXISTE")</f>
        <v/>
      </c>
      <c r="D280" s="56">
        <f>IFERROR(_xlfn.XLOOKUP(SALIDAS[[#This Row],[CODIGO]],LISTADO[CODIGOS],LISTADO[PRODUCTOS]),"NO EXISTE")</f>
        <v/>
      </c>
      <c r="E280" s="19" t="n">
        <v>46078</v>
      </c>
      <c r="F280" s="18" t="n">
        <v>5</v>
      </c>
      <c r="G280" s="18" t="inlineStr">
        <is>
          <t>PARAISO (CARACAS)</t>
        </is>
      </c>
    </row>
    <row r="281">
      <c r="B281" s="56" t="inlineStr">
        <is>
          <t>00001-PLM</t>
        </is>
      </c>
      <c r="C281" s="56">
        <f>IFERROR(_xlfn.XLOOKUP(SALIDAS[[#This Row],[CODIGO]],LISTADO[CODIGOS],LISTADO[CATEGORIA]),"NO EXISTE")</f>
        <v/>
      </c>
      <c r="D281" s="56">
        <f>IFERROR(_xlfn.XLOOKUP(SALIDAS[[#This Row],[CODIGO]],LISTADO[CODIGOS],LISTADO[PRODUCTOS]),"NO EXISTE")</f>
        <v/>
      </c>
      <c r="E281" s="19" t="n">
        <v>46078</v>
      </c>
      <c r="F281" s="18" t="n">
        <v>2</v>
      </c>
      <c r="G281" s="18" t="inlineStr">
        <is>
          <t>NAGUANAGUA 2</t>
        </is>
      </c>
    </row>
    <row r="282">
      <c r="A282" s="18" t="n">
        <v>169</v>
      </c>
      <c r="B282" t="inlineStr">
        <is>
          <t>00007-HRR</t>
        </is>
      </c>
      <c r="C282" s="56">
        <f>IFERROR(_xlfn.XLOOKUP(SALIDAS[[#This Row],[CODIGO]],LISTADO[CODIGOS],LISTADO[CATEGORIA]),"NO EXISTE")</f>
        <v/>
      </c>
      <c r="D282" s="56">
        <f>IFERROR(_xlfn.XLOOKUP(SALIDAS[[#This Row],[CODIGO]],LISTADO[CODIGOS],LISTADO[PRODUCTOS]),"NO EXISTE")</f>
        <v/>
      </c>
      <c r="E282" s="19" t="n">
        <v>46079</v>
      </c>
      <c r="F282" s="18" t="n">
        <v>1</v>
      </c>
      <c r="G282" s="18" t="inlineStr">
        <is>
          <t>PARAPARAL</t>
        </is>
      </c>
      <c r="H282" s="18" t="inlineStr">
        <is>
          <t>JUAN GONZALEZ</t>
        </is>
      </c>
    </row>
    <row r="283">
      <c r="A283" s="18" t="n">
        <v>170</v>
      </c>
      <c r="B283" t="inlineStr">
        <is>
          <t>00005-HRR</t>
        </is>
      </c>
      <c r="C283" s="56">
        <f>IFERROR(_xlfn.XLOOKUP(SALIDAS[[#This Row],[CODIGO]],LISTADO[CODIGOS],LISTADO[CATEGORIA]),"NO EXISTE")</f>
        <v/>
      </c>
      <c r="D283" s="56">
        <f>IFERROR(_xlfn.XLOOKUP(SALIDAS[[#This Row],[CODIGO]],LISTADO[CODIGOS],LISTADO[PRODUCTOS]),"NO EXISTE")</f>
        <v/>
      </c>
      <c r="E283" s="19" t="n">
        <v>46079</v>
      </c>
      <c r="F283" s="18" t="n">
        <v>1</v>
      </c>
      <c r="G283" s="18" t="inlineStr">
        <is>
          <t>PARAPARAL</t>
        </is>
      </c>
      <c r="H283" s="18" t="inlineStr">
        <is>
          <t>JUAN GONZALEZ</t>
        </is>
      </c>
    </row>
    <row r="284">
      <c r="A284" s="18" t="n">
        <v>171</v>
      </c>
      <c r="B284" t="inlineStr">
        <is>
          <t>00006-PLM</t>
        </is>
      </c>
      <c r="C284" s="56">
        <f>IFERROR(_xlfn.XLOOKUP(SALIDAS[[#This Row],[CODIGO]],LISTADO[CODIGOS],LISTADO[CATEGORIA]),"NO EXISTE")</f>
        <v/>
      </c>
      <c r="D284" s="56">
        <f>IFERROR(_xlfn.XLOOKUP(SALIDAS[[#This Row],[CODIGO]],LISTADO[CODIGOS],LISTADO[PRODUCTOS]),"NO EXISTE")</f>
        <v/>
      </c>
      <c r="E284" s="19" t="n">
        <v>46079</v>
      </c>
      <c r="F284" s="18" t="n">
        <v>6</v>
      </c>
      <c r="G284" s="18" t="inlineStr">
        <is>
          <t>PARAPARAL</t>
        </is>
      </c>
      <c r="H284" s="18" t="inlineStr">
        <is>
          <t>JULIO MUJICA</t>
        </is>
      </c>
    </row>
    <row r="285">
      <c r="A285" s="18" t="n">
        <v>172</v>
      </c>
      <c r="B285" t="inlineStr">
        <is>
          <t>00007-PLM</t>
        </is>
      </c>
      <c r="C285" s="56">
        <f>IFERROR(_xlfn.XLOOKUP(SALIDAS[[#This Row],[CODIGO]],LISTADO[CODIGOS],LISTADO[CATEGORIA]),"NO EXISTE")</f>
        <v/>
      </c>
      <c r="D285" s="56">
        <f>IFERROR(_xlfn.XLOOKUP(SALIDAS[[#This Row],[CODIGO]],LISTADO[CODIGOS],LISTADO[PRODUCTOS]),"NO EXISTE")</f>
        <v/>
      </c>
      <c r="E285" s="19" t="n">
        <v>46079</v>
      </c>
      <c r="F285" s="18" t="n">
        <v>2</v>
      </c>
      <c r="G285" s="18" t="inlineStr">
        <is>
          <t>PARAPARAL</t>
        </is>
      </c>
      <c r="H285" s="18" t="inlineStr">
        <is>
          <t>JULIO MUJICA</t>
        </is>
      </c>
    </row>
    <row r="286">
      <c r="A286" s="18" t="n">
        <v>173</v>
      </c>
      <c r="B286" t="inlineStr">
        <is>
          <t>00010-PLM</t>
        </is>
      </c>
      <c r="C286" s="56">
        <f>IFERROR(_xlfn.XLOOKUP(SALIDAS[[#This Row],[CODIGO]],LISTADO[CODIGOS],LISTADO[CATEGORIA]),"NO EXISTE")</f>
        <v/>
      </c>
      <c r="D286" s="56">
        <f>IFERROR(_xlfn.XLOOKUP(SALIDAS[[#This Row],[CODIGO]],LISTADO[CODIGOS],LISTADO[PRODUCTOS]),"NO EXISTE")</f>
        <v/>
      </c>
      <c r="E286" s="19" t="n">
        <v>46079</v>
      </c>
      <c r="F286" s="18" t="n">
        <v>2</v>
      </c>
      <c r="G286" s="18" t="inlineStr">
        <is>
          <t>PARAPARAL</t>
        </is>
      </c>
      <c r="H286" s="18" t="inlineStr">
        <is>
          <t>JULIO MUJICA</t>
        </is>
      </c>
    </row>
    <row r="287">
      <c r="A287" s="18" t="n">
        <v>186</v>
      </c>
      <c r="B287" t="inlineStr">
        <is>
          <t>00005-FER</t>
        </is>
      </c>
      <c r="C287" s="56">
        <f>IFERROR(_xlfn.XLOOKUP(SALIDAS[[#This Row],[CODIGO]],LISTADO[CODIGOS],LISTADO[CATEGORIA]),"NO EXISTE")</f>
        <v/>
      </c>
      <c r="D287" s="56">
        <f>IFERROR(_xlfn.XLOOKUP(SALIDAS[[#This Row],[CODIGO]],LISTADO[CODIGOS],LISTADO[PRODUCTOS]),"NO EXISTE")</f>
        <v/>
      </c>
      <c r="E287" s="19" t="n">
        <v>46079</v>
      </c>
      <c r="F287" s="18" t="n">
        <v>20</v>
      </c>
      <c r="G287" s="18" t="inlineStr">
        <is>
          <t>PERIFERICO</t>
        </is>
      </c>
    </row>
    <row r="288">
      <c r="A288" s="18" t="n">
        <v>187</v>
      </c>
      <c r="B288" t="inlineStr">
        <is>
          <t>00001-FER</t>
        </is>
      </c>
      <c r="C288" s="56">
        <f>IFERROR(_xlfn.XLOOKUP(SALIDAS[[#This Row],[CODIGO]],LISTADO[CODIGOS],LISTADO[CATEGORIA]),"NO EXISTE")</f>
        <v/>
      </c>
      <c r="D288" s="56">
        <f>IFERROR(_xlfn.XLOOKUP(SALIDAS[[#This Row],[CODIGO]],LISTADO[CODIGOS],LISTADO[PRODUCTOS]),"NO EXISTE")</f>
        <v/>
      </c>
      <c r="E288" s="19" t="n">
        <v>46079</v>
      </c>
      <c r="F288" s="18" t="n">
        <v>20</v>
      </c>
      <c r="G288" s="18" t="inlineStr">
        <is>
          <t>PERIFERICO</t>
        </is>
      </c>
    </row>
    <row r="289">
      <c r="A289" s="18" t="n">
        <v>188</v>
      </c>
      <c r="B289" t="inlineStr">
        <is>
          <t>00002-FER</t>
        </is>
      </c>
      <c r="C289" s="56">
        <f>IFERROR(_xlfn.XLOOKUP(SALIDAS[[#This Row],[CODIGO]],LISTADO[CODIGOS],LISTADO[CATEGORIA]),"NO EXISTE")</f>
        <v/>
      </c>
      <c r="D289" s="56">
        <f>IFERROR(_xlfn.XLOOKUP(SALIDAS[[#This Row],[CODIGO]],LISTADO[CODIGOS],LISTADO[PRODUCTOS]),"NO EXISTE")</f>
        <v/>
      </c>
      <c r="E289" s="19" t="n">
        <v>46079</v>
      </c>
      <c r="F289" s="18" t="n">
        <v>8</v>
      </c>
      <c r="G289" s="18" t="inlineStr">
        <is>
          <t>PERIFERICO</t>
        </is>
      </c>
    </row>
    <row r="290">
      <c r="A290" s="18" t="n">
        <v>189</v>
      </c>
      <c r="B290" t="inlineStr">
        <is>
          <t>00006-FER</t>
        </is>
      </c>
      <c r="C290" s="56">
        <f>IFERROR(_xlfn.XLOOKUP(SALIDAS[[#This Row],[CODIGO]],LISTADO[CODIGOS],LISTADO[CATEGORIA]),"NO EXISTE")</f>
        <v/>
      </c>
      <c r="D290" s="56">
        <f>IFERROR(_xlfn.XLOOKUP(SALIDAS[[#This Row],[CODIGO]],LISTADO[CODIGOS],LISTADO[PRODUCTOS]),"NO EXISTE")</f>
        <v/>
      </c>
      <c r="E290" s="19" t="n">
        <v>46079</v>
      </c>
      <c r="F290" s="18" t="n">
        <v>8</v>
      </c>
      <c r="G290" s="18" t="inlineStr">
        <is>
          <t>PERIFERICO</t>
        </is>
      </c>
    </row>
    <row r="291">
      <c r="A291" s="18" t="n">
        <v>190</v>
      </c>
      <c r="B291" t="inlineStr">
        <is>
          <t>00008-HRR</t>
        </is>
      </c>
      <c r="C291" s="56">
        <f>IFERROR(_xlfn.XLOOKUP(SALIDAS[[#This Row],[CODIGO]],LISTADO[CODIGOS],LISTADO[CATEGORIA]),"NO EXISTE")</f>
        <v/>
      </c>
      <c r="D291" s="56">
        <f>IFERROR(_xlfn.XLOOKUP(SALIDAS[[#This Row],[CODIGO]],LISTADO[CODIGOS],LISTADO[PRODUCTOS]),"NO EXISTE")</f>
        <v/>
      </c>
      <c r="E291" s="19" t="n">
        <v>46079</v>
      </c>
      <c r="F291" s="18" t="n">
        <v>40</v>
      </c>
      <c r="G291" s="18" t="inlineStr">
        <is>
          <t>PERIFERICO</t>
        </is>
      </c>
    </row>
    <row r="292">
      <c r="A292" s="18" t="n">
        <v>191</v>
      </c>
      <c r="B292" t="inlineStr">
        <is>
          <t>00009-HRR</t>
        </is>
      </c>
      <c r="C292" s="56">
        <f>IFERROR(_xlfn.XLOOKUP(SALIDAS[[#This Row],[CODIGO]],LISTADO[CODIGOS],LISTADO[CATEGORIA]),"NO EXISTE")</f>
        <v/>
      </c>
      <c r="D292" s="56">
        <f>IFERROR(_xlfn.XLOOKUP(SALIDAS[[#This Row],[CODIGO]],LISTADO[CODIGOS],LISTADO[PRODUCTOS]),"NO EXISTE")</f>
        <v/>
      </c>
      <c r="E292" s="19" t="n">
        <v>46079</v>
      </c>
      <c r="F292" s="18" t="n">
        <v>16</v>
      </c>
      <c r="G292" s="18" t="inlineStr">
        <is>
          <t>PERIFERICO</t>
        </is>
      </c>
    </row>
    <row r="293">
      <c r="A293" s="18" t="n">
        <v>192</v>
      </c>
      <c r="B293" t="inlineStr">
        <is>
          <t>00052-FER</t>
        </is>
      </c>
      <c r="C293" s="56">
        <f>IFERROR(_xlfn.XLOOKUP(SALIDAS[[#This Row],[CODIGO]],LISTADO[CODIGOS],LISTADO[CATEGORIA]),"NO EXISTE")</f>
        <v/>
      </c>
      <c r="D293" s="56">
        <f>IFERROR(_xlfn.XLOOKUP(SALIDAS[[#This Row],[CODIGO]],LISTADO[CODIGOS],LISTADO[PRODUCTOS]),"NO EXISTE")</f>
        <v/>
      </c>
      <c r="E293" s="19" t="n">
        <v>46079</v>
      </c>
      <c r="F293" s="18" t="n">
        <v>1</v>
      </c>
      <c r="G293" s="18" t="inlineStr">
        <is>
          <t>NAGUANAGUA 1</t>
        </is>
      </c>
    </row>
    <row r="294">
      <c r="A294" s="18" t="n">
        <v>193</v>
      </c>
      <c r="B294" t="inlineStr">
        <is>
          <t>00027-FER</t>
        </is>
      </c>
      <c r="C294" s="56">
        <f>IFERROR(_xlfn.XLOOKUP(SALIDAS[[#This Row],[CODIGO]],LISTADO[CODIGOS],LISTADO[CATEGORIA]),"NO EXISTE")</f>
        <v/>
      </c>
      <c r="D294" s="56">
        <f>IFERROR(_xlfn.XLOOKUP(SALIDAS[[#This Row],[CODIGO]],LISTADO[CODIGOS],LISTADO[PRODUCTOS]),"NO EXISTE")</f>
        <v/>
      </c>
      <c r="E294" s="19" t="n">
        <v>46079</v>
      </c>
      <c r="F294" s="18" t="n">
        <v>3</v>
      </c>
      <c r="G294" s="18" t="inlineStr">
        <is>
          <t>NAGUANAGUA 1</t>
        </is>
      </c>
    </row>
    <row r="295">
      <c r="A295" s="18" t="n">
        <v>194</v>
      </c>
      <c r="B295" t="inlineStr">
        <is>
          <t>00031-FER</t>
        </is>
      </c>
      <c r="C295" s="56">
        <f>IFERROR(_xlfn.XLOOKUP(SALIDAS[[#This Row],[CODIGO]],LISTADO[CODIGOS],LISTADO[CATEGORIA]),"NO EXISTE")</f>
        <v/>
      </c>
      <c r="D295" s="56">
        <f>IFERROR(_xlfn.XLOOKUP(SALIDAS[[#This Row],[CODIGO]],LISTADO[CODIGOS],LISTADO[PRODUCTOS]),"NO EXISTE")</f>
        <v/>
      </c>
      <c r="E295" s="19" t="n">
        <v>46079</v>
      </c>
      <c r="F295" s="18" t="n">
        <v>1</v>
      </c>
      <c r="G295" s="18" t="inlineStr">
        <is>
          <t>NAGUANAGUA 1</t>
        </is>
      </c>
    </row>
    <row r="296">
      <c r="B296" t="inlineStr">
        <is>
          <t>00001-HRR</t>
        </is>
      </c>
      <c r="C296" s="56">
        <f>IFERROR(_xlfn.XLOOKUP(SALIDAS[[#This Row],[CODIGO]],LISTADO[CODIGOS],LISTADO[CATEGORIA]),"NO EXISTE")</f>
        <v/>
      </c>
      <c r="D296" s="56">
        <f>IFERROR(_xlfn.XLOOKUP(SALIDAS[[#This Row],[CODIGO]],LISTADO[CODIGOS],LISTADO[PRODUCTOS]),"NO EXISTE")</f>
        <v/>
      </c>
      <c r="E296" s="19" t="n">
        <v>46079</v>
      </c>
      <c r="F296" s="18" t="n">
        <v>1</v>
      </c>
      <c r="G296" s="18" t="inlineStr">
        <is>
          <t>PERIFERICO</t>
        </is>
      </c>
    </row>
    <row r="297">
      <c r="A297" s="18" t="n">
        <v>195</v>
      </c>
      <c r="B297" t="inlineStr">
        <is>
          <t>00013-FER</t>
        </is>
      </c>
      <c r="C297" s="56">
        <f>IFERROR(_xlfn.XLOOKUP(SALIDAS[[#This Row],[CODIGO]],LISTADO[CODIGOS],LISTADO[CATEGORIA]),"NO EXISTE")</f>
        <v/>
      </c>
      <c r="D297" s="56">
        <f>IFERROR(_xlfn.XLOOKUP(SALIDAS[[#This Row],[CODIGO]],LISTADO[CODIGOS],LISTADO[PRODUCTOS]),"NO EXISTE")</f>
        <v/>
      </c>
      <c r="E297" s="19" t="n">
        <v>46080</v>
      </c>
      <c r="F297" s="18" t="n">
        <v>8</v>
      </c>
      <c r="G297" s="18" t="inlineStr">
        <is>
          <t xml:space="preserve">CEDI SECO </t>
        </is>
      </c>
    </row>
    <row r="298">
      <c r="A298" s="18" t="n">
        <v>196</v>
      </c>
      <c r="B298" t="inlineStr">
        <is>
          <t>00021-REF</t>
        </is>
      </c>
      <c r="C298" s="56">
        <f>IFERROR(_xlfn.XLOOKUP(SALIDAS[[#This Row],[CODIGO]],LISTADO[CODIGOS],LISTADO[CATEGORIA]),"NO EXISTE")</f>
        <v/>
      </c>
      <c r="D298" s="56">
        <f>IFERROR(_xlfn.XLOOKUP(SALIDAS[[#This Row],[CODIGO]],LISTADO[CODIGOS],LISTADO[PRODUCTOS]),"NO EXISTE")</f>
        <v/>
      </c>
      <c r="E298" s="19" t="n">
        <v>46080</v>
      </c>
      <c r="F298" s="18" t="n">
        <v>2</v>
      </c>
      <c r="G298" s="18" t="inlineStr">
        <is>
          <t>AV. CEDEÑO</t>
        </is>
      </c>
    </row>
    <row r="299">
      <c r="A299" s="18" t="n">
        <v>197</v>
      </c>
      <c r="B299" t="inlineStr">
        <is>
          <t>00023-REF</t>
        </is>
      </c>
      <c r="C299" s="56">
        <f>IFERROR(_xlfn.XLOOKUP(SALIDAS[[#This Row],[CODIGO]],LISTADO[CODIGOS],LISTADO[CATEGORIA]),"NO EXISTE")</f>
        <v/>
      </c>
      <c r="D299" s="56">
        <f>IFERROR(_xlfn.XLOOKUP(SALIDAS[[#This Row],[CODIGO]],LISTADO[CODIGOS],LISTADO[PRODUCTOS]),"NO EXISTE")</f>
        <v/>
      </c>
      <c r="E299" s="19" t="n">
        <v>46080</v>
      </c>
      <c r="F299" s="18" t="n">
        <v>1</v>
      </c>
      <c r="G299" s="18" t="inlineStr">
        <is>
          <t>AV. CEDEÑO</t>
        </is>
      </c>
    </row>
    <row r="300">
      <c r="A300" s="18" t="n">
        <v>198</v>
      </c>
      <c r="B300" t="inlineStr">
        <is>
          <t>00003-ELE</t>
        </is>
      </c>
      <c r="C300" s="56">
        <f>IFERROR(_xlfn.XLOOKUP(SALIDAS[[#This Row],[CODIGO]],LISTADO[CODIGOS],LISTADO[CATEGORIA]),"NO EXISTE")</f>
        <v/>
      </c>
      <c r="D300" s="56">
        <f>IFERROR(_xlfn.XLOOKUP(SALIDAS[[#This Row],[CODIGO]],LISTADO[CODIGOS],LISTADO[PRODUCTOS]),"NO EXISTE")</f>
        <v/>
      </c>
      <c r="E300" s="19" t="n">
        <v>46080</v>
      </c>
      <c r="F300" s="18" t="n">
        <v>10</v>
      </c>
      <c r="G300" s="18" t="inlineStr">
        <is>
          <t>AV. CEDEÑO</t>
        </is>
      </c>
    </row>
    <row r="301">
      <c r="A301" s="18" t="n">
        <v>199</v>
      </c>
      <c r="B301" t="inlineStr">
        <is>
          <t>00023-FER</t>
        </is>
      </c>
      <c r="C301" s="56">
        <f>IFERROR(_xlfn.XLOOKUP(SALIDAS[[#This Row],[CODIGO]],LISTADO[CODIGOS],LISTADO[CATEGORIA]),"NO EXISTE")</f>
        <v/>
      </c>
      <c r="D301" s="56">
        <f>IFERROR(_xlfn.XLOOKUP(SALIDAS[[#This Row],[CODIGO]],LISTADO[CODIGOS],LISTADO[PRODUCTOS]),"NO EXISTE")</f>
        <v/>
      </c>
      <c r="E301" s="19" t="n">
        <v>46080</v>
      </c>
      <c r="F301" s="18" t="n">
        <v>2</v>
      </c>
      <c r="G301" s="18" t="inlineStr">
        <is>
          <t>CEDI FRIO</t>
        </is>
      </c>
    </row>
    <row r="302">
      <c r="A302" s="18" t="n">
        <v>200</v>
      </c>
      <c r="B302" t="inlineStr">
        <is>
          <t>00002-REF</t>
        </is>
      </c>
      <c r="C302" s="56">
        <f>IFERROR(_xlfn.XLOOKUP(SALIDAS[[#This Row],[CODIGO]],LISTADO[CODIGOS],LISTADO[CATEGORIA]),"NO EXISTE")</f>
        <v/>
      </c>
      <c r="D302" s="56">
        <f>IFERROR(_xlfn.XLOOKUP(SALIDAS[[#This Row],[CODIGO]],LISTADO[CODIGOS],LISTADO[PRODUCTOS]),"NO EXISTE")</f>
        <v/>
      </c>
      <c r="E302" s="19" t="n">
        <v>46080</v>
      </c>
      <c r="F302" s="18" t="n">
        <v>3</v>
      </c>
      <c r="G302" s="18" t="inlineStr">
        <is>
          <t>PERIFERICO</t>
        </is>
      </c>
    </row>
    <row r="303">
      <c r="A303" s="18" t="n">
        <v>201</v>
      </c>
      <c r="B303" t="inlineStr">
        <is>
          <t>00038-REF</t>
        </is>
      </c>
      <c r="C303" s="56">
        <f>IFERROR(_xlfn.XLOOKUP(SALIDAS[[#This Row],[CODIGO]],LISTADO[CODIGOS],LISTADO[CATEGORIA]),"NO EXISTE")</f>
        <v/>
      </c>
      <c r="D303" s="56">
        <f>IFERROR(_xlfn.XLOOKUP(SALIDAS[[#This Row],[CODIGO]],LISTADO[CODIGOS],LISTADO[PRODUCTOS]),"NO EXISTE")</f>
        <v/>
      </c>
      <c r="E303" s="19" t="n">
        <v>46080</v>
      </c>
      <c r="F303" s="18" t="n">
        <v>1</v>
      </c>
      <c r="G303" s="18" t="inlineStr">
        <is>
          <t>PERIFERICO</t>
        </is>
      </c>
    </row>
    <row r="304">
      <c r="A304" s="18" t="n">
        <v>202</v>
      </c>
      <c r="B304" t="inlineStr">
        <is>
          <t>00051-REF</t>
        </is>
      </c>
      <c r="C304" s="56">
        <f>IFERROR(_xlfn.XLOOKUP(SALIDAS[[#This Row],[CODIGO]],LISTADO[CODIGOS],LISTADO[CATEGORIA]),"NO EXISTE")</f>
        <v/>
      </c>
      <c r="D304" s="56">
        <f>IFERROR(_xlfn.XLOOKUP(SALIDAS[[#This Row],[CODIGO]],LISTADO[CODIGOS],LISTADO[PRODUCTOS]),"NO EXISTE")</f>
        <v/>
      </c>
      <c r="E304" s="19" t="n">
        <v>46080</v>
      </c>
      <c r="F304" s="18" t="n">
        <v>1</v>
      </c>
      <c r="G304" s="18" t="inlineStr">
        <is>
          <t>PERIFERICO</t>
        </is>
      </c>
    </row>
    <row r="305">
      <c r="A305" s="18" t="n">
        <v>203</v>
      </c>
      <c r="B305" t="inlineStr">
        <is>
          <t>00037-REF</t>
        </is>
      </c>
      <c r="C305" s="56">
        <f>IFERROR(_xlfn.XLOOKUP(SALIDAS[[#This Row],[CODIGO]],LISTADO[CODIGOS],LISTADO[CATEGORIA]),"NO EXISTE")</f>
        <v/>
      </c>
      <c r="D305" s="56">
        <f>IFERROR(_xlfn.XLOOKUP(SALIDAS[[#This Row],[CODIGO]],LISTADO[CODIGOS],LISTADO[PRODUCTOS]),"NO EXISTE")</f>
        <v/>
      </c>
      <c r="E305" s="19" t="n">
        <v>46080</v>
      </c>
      <c r="F305" s="18" t="n">
        <v>2</v>
      </c>
      <c r="G305" s="18" t="inlineStr">
        <is>
          <t>PERIFERICO</t>
        </is>
      </c>
    </row>
    <row r="306">
      <c r="A306" s="18" t="n">
        <v>204</v>
      </c>
      <c r="B306" t="inlineStr">
        <is>
          <t>00036-REF</t>
        </is>
      </c>
      <c r="C306" s="56">
        <f>IFERROR(_xlfn.XLOOKUP(SALIDAS[[#This Row],[CODIGO]],LISTADO[CODIGOS],LISTADO[CATEGORIA]),"NO EXISTE")</f>
        <v/>
      </c>
      <c r="D306" s="56">
        <f>IFERROR(_xlfn.XLOOKUP(SALIDAS[[#This Row],[CODIGO]],LISTADO[CODIGOS],LISTADO[PRODUCTOS]),"NO EXISTE")</f>
        <v/>
      </c>
      <c r="E306" s="19" t="n">
        <v>46080</v>
      </c>
      <c r="F306" s="18" t="n">
        <v>2</v>
      </c>
      <c r="G306" s="18" t="inlineStr">
        <is>
          <t>PERIFERICO</t>
        </is>
      </c>
    </row>
    <row r="307">
      <c r="A307" s="18" t="n">
        <v>205</v>
      </c>
      <c r="B307" t="inlineStr">
        <is>
          <t>00003-MSC</t>
        </is>
      </c>
      <c r="C307" s="56">
        <f>IFERROR(_xlfn.XLOOKUP(SALIDAS[[#This Row],[CODIGO]],LISTADO[CODIGOS],LISTADO[CATEGORIA]),"NO EXISTE")</f>
        <v/>
      </c>
      <c r="D307" s="56">
        <f>IFERROR(_xlfn.XLOOKUP(SALIDAS[[#This Row],[CODIGO]],LISTADO[CODIGOS],LISTADO[PRODUCTOS]),"NO EXISTE")</f>
        <v/>
      </c>
      <c r="E307" s="19" t="n">
        <v>46080</v>
      </c>
      <c r="F307" s="18" t="n">
        <v>1</v>
      </c>
      <c r="G307" s="18" t="inlineStr">
        <is>
          <t xml:space="preserve">EL BOSQUE </t>
        </is>
      </c>
    </row>
    <row r="308">
      <c r="A308" s="18" t="n">
        <v>206</v>
      </c>
      <c r="B308" t="inlineStr">
        <is>
          <t>00076-FER</t>
        </is>
      </c>
      <c r="C308" s="56">
        <f>IFERROR(_xlfn.XLOOKUP(SALIDAS[[#This Row],[CODIGO]],LISTADO[CODIGOS],LISTADO[CATEGORIA]),"NO EXISTE")</f>
        <v/>
      </c>
      <c r="D308" s="56">
        <f>IFERROR(_xlfn.XLOOKUP(SALIDAS[[#This Row],[CODIGO]],LISTADO[CODIGOS],LISTADO[PRODUCTOS]),"NO EXISTE")</f>
        <v/>
      </c>
      <c r="E308" s="19" t="n">
        <v>46080</v>
      </c>
      <c r="F308" s="18" t="n">
        <v>1</v>
      </c>
      <c r="G308" s="18" t="inlineStr">
        <is>
          <t>CEDI FRUVER</t>
        </is>
      </c>
    </row>
    <row r="309">
      <c r="A309" s="18" t="n">
        <v>207</v>
      </c>
      <c r="B309" t="inlineStr">
        <is>
          <t>00007-HRR</t>
        </is>
      </c>
      <c r="C309" s="56">
        <f>IFERROR(_xlfn.XLOOKUP(SALIDAS[[#This Row],[CODIGO]],LISTADO[CODIGOS],LISTADO[CATEGORIA]),"NO EXISTE")</f>
        <v/>
      </c>
      <c r="D309" s="56">
        <f>IFERROR(_xlfn.XLOOKUP(SALIDAS[[#This Row],[CODIGO]],LISTADO[CODIGOS],LISTADO[PRODUCTOS]),"NO EXISTE")</f>
        <v/>
      </c>
      <c r="E309" s="19" t="n">
        <v>46080</v>
      </c>
      <c r="F309" s="18" t="n">
        <v>5</v>
      </c>
      <c r="G309" s="18" t="inlineStr">
        <is>
          <t>PERIFERICO</t>
        </is>
      </c>
    </row>
    <row r="310">
      <c r="A310" s="18" t="n">
        <v>208</v>
      </c>
      <c r="B310" t="inlineStr">
        <is>
          <t>00009-ELE</t>
        </is>
      </c>
      <c r="C310" s="56">
        <f>IFERROR(_xlfn.XLOOKUP(SALIDAS[[#This Row],[CODIGO]],LISTADO[CODIGOS],LISTADO[CATEGORIA]),"NO EXISTE")</f>
        <v/>
      </c>
      <c r="D310" s="56">
        <f>IFERROR(_xlfn.XLOOKUP(SALIDAS[[#This Row],[CODIGO]],LISTADO[CODIGOS],LISTADO[PRODUCTOS]),"NO EXISTE")</f>
        <v/>
      </c>
      <c r="E310" s="19" t="n">
        <v>46080</v>
      </c>
      <c r="F310" s="18" t="n">
        <v>1</v>
      </c>
      <c r="G310" s="18" t="inlineStr">
        <is>
          <t>NAGUANAGUA 2</t>
        </is>
      </c>
    </row>
    <row r="311">
      <c r="A311" s="18" t="n">
        <v>209</v>
      </c>
      <c r="B311" t="inlineStr">
        <is>
          <t>00030-FER</t>
        </is>
      </c>
      <c r="C311" s="56">
        <f>IFERROR(_xlfn.XLOOKUP(SALIDAS[[#This Row],[CODIGO]],LISTADO[CODIGOS],LISTADO[CATEGORIA]),"NO EXISTE")</f>
        <v/>
      </c>
      <c r="D311" s="56">
        <f>IFERROR(_xlfn.XLOOKUP(SALIDAS[[#This Row],[CODIGO]],LISTADO[CODIGOS],LISTADO[PRODUCTOS]),"NO EXISTE")</f>
        <v/>
      </c>
      <c r="E311" s="19" t="n">
        <v>46080</v>
      </c>
      <c r="F311" s="18" t="n">
        <v>2</v>
      </c>
      <c r="G311" s="18" t="inlineStr">
        <is>
          <t xml:space="preserve">EL BOSQUE </t>
        </is>
      </c>
    </row>
    <row r="312">
      <c r="A312" s="18" t="n">
        <v>210</v>
      </c>
      <c r="B312" t="inlineStr">
        <is>
          <t>00033-FER</t>
        </is>
      </c>
      <c r="C312" s="56">
        <f>IFERROR(_xlfn.XLOOKUP(SALIDAS[[#This Row],[CODIGO]],LISTADO[CODIGOS],LISTADO[CATEGORIA]),"NO EXISTE")</f>
        <v/>
      </c>
      <c r="D312" s="56">
        <f>IFERROR(_xlfn.XLOOKUP(SALIDAS[[#This Row],[CODIGO]],LISTADO[CODIGOS],LISTADO[PRODUCTOS]),"NO EXISTE")</f>
        <v/>
      </c>
      <c r="E312" s="19" t="n">
        <v>46080</v>
      </c>
      <c r="F312" s="18" t="n">
        <v>1</v>
      </c>
      <c r="G312" s="18" t="inlineStr">
        <is>
          <t>CEDI FRUVER</t>
        </is>
      </c>
    </row>
    <row r="313">
      <c r="B313" t="inlineStr">
        <is>
          <t>00001-HRR</t>
        </is>
      </c>
      <c r="C313" s="56">
        <f>IFERROR(_xlfn.XLOOKUP(SALIDAS[[#This Row],[CODIGO]],LISTADO[CODIGOS],LISTADO[CATEGORIA]),"NO EXISTE")</f>
        <v/>
      </c>
      <c r="D313" s="56">
        <f>IFERROR(_xlfn.XLOOKUP(SALIDAS[[#This Row],[CODIGO]],LISTADO[CODIGOS],LISTADO[PRODUCTOS]),"NO EXISTE")</f>
        <v/>
      </c>
      <c r="E313" s="19" t="n">
        <v>46080</v>
      </c>
      <c r="F313" s="18" t="n">
        <v>1</v>
      </c>
      <c r="G313" s="18" t="inlineStr">
        <is>
          <t>PERIFERICO</t>
        </is>
      </c>
    </row>
    <row r="314">
      <c r="A314" s="18" t="n">
        <v>211</v>
      </c>
      <c r="B314" t="inlineStr">
        <is>
          <t>00052-FER</t>
        </is>
      </c>
      <c r="C314" s="56">
        <f>IFERROR(_xlfn.XLOOKUP(SALIDAS[[#This Row],[CODIGO]],LISTADO[CODIGOS],LISTADO[CATEGORIA]),"NO EXISTE")</f>
        <v/>
      </c>
      <c r="D314" s="56">
        <f>IFERROR(_xlfn.XLOOKUP(SALIDAS[[#This Row],[CODIGO]],LISTADO[CODIGOS],LISTADO[PRODUCTOS]),"NO EXISTE")</f>
        <v/>
      </c>
      <c r="E314" s="19" t="n">
        <v>46081</v>
      </c>
      <c r="F314" s="18" t="n">
        <v>0.5</v>
      </c>
      <c r="G314" s="18" t="inlineStr">
        <is>
          <t>PERIFERICO</t>
        </is>
      </c>
    </row>
    <row r="315">
      <c r="A315" s="18" t="n">
        <v>212</v>
      </c>
      <c r="B315" t="inlineStr">
        <is>
          <t>00051-FER</t>
        </is>
      </c>
      <c r="C315" s="56">
        <f>IFERROR(_xlfn.XLOOKUP(SALIDAS[[#This Row],[CODIGO]],LISTADO[CODIGOS],LISTADO[CATEGORIA]),"NO EXISTE")</f>
        <v/>
      </c>
      <c r="D315" s="56">
        <f>IFERROR(_xlfn.XLOOKUP(SALIDAS[[#This Row],[CODIGO]],LISTADO[CODIGOS],LISTADO[PRODUCTOS]),"NO EXISTE")</f>
        <v/>
      </c>
      <c r="E315" s="19" t="n">
        <v>46081</v>
      </c>
      <c r="F315" s="18" t="n">
        <v>2</v>
      </c>
      <c r="G315" s="18" t="inlineStr">
        <is>
          <t>PERIFERICO</t>
        </is>
      </c>
    </row>
    <row r="316">
      <c r="A316" s="18" t="n">
        <v>213</v>
      </c>
      <c r="B316" t="inlineStr">
        <is>
          <t>00040-FER</t>
        </is>
      </c>
      <c r="C316" s="56">
        <f>IFERROR(_xlfn.XLOOKUP(SALIDAS[[#This Row],[CODIGO]],LISTADO[CODIGOS],LISTADO[CATEGORIA]),"NO EXISTE")</f>
        <v/>
      </c>
      <c r="D316" s="56">
        <f>IFERROR(_xlfn.XLOOKUP(SALIDAS[[#This Row],[CODIGO]],LISTADO[CODIGOS],LISTADO[PRODUCTOS]),"NO EXISTE")</f>
        <v/>
      </c>
      <c r="E316" s="19" t="n">
        <v>46081</v>
      </c>
      <c r="F316" s="18" t="n">
        <v>0.25</v>
      </c>
      <c r="G316" s="18" t="inlineStr">
        <is>
          <t>PERIFERICO</t>
        </is>
      </c>
    </row>
    <row r="317">
      <c r="A317" s="18" t="n">
        <v>214</v>
      </c>
      <c r="B317" t="inlineStr">
        <is>
          <t>00028-FER</t>
        </is>
      </c>
      <c r="C317" s="56">
        <f>IFERROR(_xlfn.XLOOKUP(SALIDAS[[#This Row],[CODIGO]],LISTADO[CODIGOS],LISTADO[CATEGORIA]),"NO EXISTE")</f>
        <v/>
      </c>
      <c r="D317" s="56">
        <f>IFERROR(_xlfn.XLOOKUP(SALIDAS[[#This Row],[CODIGO]],LISTADO[CODIGOS],LISTADO[PRODUCTOS]),"NO EXISTE")</f>
        <v/>
      </c>
      <c r="E317" s="19" t="n">
        <v>46081</v>
      </c>
      <c r="F317" s="18" t="n">
        <v>3.5</v>
      </c>
      <c r="G317" s="18" t="inlineStr">
        <is>
          <t>PERIFERICO</t>
        </is>
      </c>
    </row>
    <row r="318">
      <c r="A318" s="18" t="n">
        <v>215</v>
      </c>
      <c r="B318" t="inlineStr">
        <is>
          <t>00036-FER</t>
        </is>
      </c>
      <c r="C318" s="56">
        <f>IFERROR(_xlfn.XLOOKUP(SALIDAS[[#This Row],[CODIGO]],LISTADO[CODIGOS],LISTADO[CATEGORIA]),"NO EXISTE")</f>
        <v/>
      </c>
      <c r="D318" s="56">
        <f>IFERROR(_xlfn.XLOOKUP(SALIDAS[[#This Row],[CODIGO]],LISTADO[CODIGOS],LISTADO[PRODUCTOS]),"NO EXISTE")</f>
        <v/>
      </c>
      <c r="E318" s="19" t="n">
        <v>46081</v>
      </c>
      <c r="F318" s="18" t="n">
        <v>0.5</v>
      </c>
      <c r="G318" s="18" t="inlineStr">
        <is>
          <t>PERIFERICO</t>
        </is>
      </c>
    </row>
    <row r="319">
      <c r="A319" s="18" t="n">
        <v>216</v>
      </c>
      <c r="B319" t="inlineStr">
        <is>
          <t>00076-FER</t>
        </is>
      </c>
      <c r="C319" s="56">
        <f>IFERROR(_xlfn.XLOOKUP(SALIDAS[[#This Row],[CODIGO]],LISTADO[CODIGOS],LISTADO[CATEGORIA]),"NO EXISTE")</f>
        <v/>
      </c>
      <c r="D319" s="56">
        <f>IFERROR(_xlfn.XLOOKUP(SALIDAS[[#This Row],[CODIGO]],LISTADO[CODIGOS],LISTADO[PRODUCTOS]),"NO EXISTE")</f>
        <v/>
      </c>
      <c r="E319" s="19" t="n">
        <v>46081</v>
      </c>
      <c r="F319" s="18" t="n">
        <v>1</v>
      </c>
      <c r="G319" s="18" t="inlineStr">
        <is>
          <t>PERIFERICO</t>
        </is>
      </c>
    </row>
    <row r="320">
      <c r="A320" s="18" t="n">
        <v>217</v>
      </c>
      <c r="B320" t="inlineStr">
        <is>
          <t>00033-FER</t>
        </is>
      </c>
      <c r="C320" s="56">
        <f>IFERROR(_xlfn.XLOOKUP(SALIDAS[[#This Row],[CODIGO]],LISTADO[CODIGOS],LISTADO[CATEGORIA]),"NO EXISTE")</f>
        <v/>
      </c>
      <c r="D320" s="56">
        <f>IFERROR(_xlfn.XLOOKUP(SALIDAS[[#This Row],[CODIGO]],LISTADO[CODIGOS],LISTADO[PRODUCTOS]),"NO EXISTE")</f>
        <v/>
      </c>
      <c r="E320" s="19" t="n">
        <v>46081</v>
      </c>
      <c r="F320" s="18" t="n">
        <v>1</v>
      </c>
      <c r="G320" s="18" t="inlineStr">
        <is>
          <t>PERIFERICO</t>
        </is>
      </c>
    </row>
    <row r="321">
      <c r="A321" s="18" t="n">
        <v>218</v>
      </c>
      <c r="B321" t="inlineStr">
        <is>
          <t>00104-HER</t>
        </is>
      </c>
      <c r="C321" s="56">
        <f>IFERROR(_xlfn.XLOOKUP(SALIDAS[[#This Row],[CODIGO]],LISTADO[CODIGOS],LISTADO[CATEGORIA]),"NO EXISTE")</f>
        <v/>
      </c>
      <c r="D321" s="56">
        <f>IFERROR(_xlfn.XLOOKUP(SALIDAS[[#This Row],[CODIGO]],LISTADO[CODIGOS],LISTADO[PRODUCTOS]),"NO EXISTE")</f>
        <v/>
      </c>
      <c r="E321" s="19" t="n">
        <v>46081</v>
      </c>
      <c r="F321" s="18" t="n">
        <v>1</v>
      </c>
      <c r="G321" s="18" t="inlineStr">
        <is>
          <t>CEDI FRUVER</t>
        </is>
      </c>
    </row>
    <row r="322">
      <c r="B322" t="inlineStr">
        <is>
          <t>00041-FER</t>
        </is>
      </c>
      <c r="C322" s="56">
        <f>IFERROR(_xlfn.XLOOKUP(SALIDAS[[#This Row],[CODIGO]],LISTADO[CODIGOS],LISTADO[CATEGORIA]),"NO EXISTE")</f>
        <v/>
      </c>
      <c r="D322" s="56">
        <f>IFERROR(_xlfn.XLOOKUP(SALIDAS[[#This Row],[CODIGO]],LISTADO[CODIGOS],LISTADO[PRODUCTOS]),"NO EXISTE")</f>
        <v/>
      </c>
      <c r="E322" s="19" t="n">
        <v>46081</v>
      </c>
      <c r="F322" s="18" t="n">
        <v>3</v>
      </c>
      <c r="G322" s="18" t="inlineStr">
        <is>
          <t>PERIFERICO</t>
        </is>
      </c>
    </row>
    <row r="323">
      <c r="B323" t="inlineStr">
        <is>
          <t>00027-FER</t>
        </is>
      </c>
      <c r="C323" s="56">
        <f>IFERROR(_xlfn.XLOOKUP(SALIDAS[[#This Row],[CODIGO]],LISTADO[CODIGOS],LISTADO[CATEGORIA]),"NO EXISTE")</f>
        <v/>
      </c>
      <c r="D323" s="56">
        <f>IFERROR(_xlfn.XLOOKUP(SALIDAS[[#This Row],[CODIGO]],LISTADO[CODIGOS],LISTADO[PRODUCTOS]),"NO EXISTE")</f>
        <v/>
      </c>
      <c r="E323" s="19" t="n">
        <v>46081</v>
      </c>
      <c r="F323" s="18" t="n">
        <v>1</v>
      </c>
      <c r="G323" s="18" t="inlineStr">
        <is>
          <t>PERIFERICO</t>
        </is>
      </c>
    </row>
    <row r="324">
      <c r="B324" t="inlineStr">
        <is>
          <t>00046-FER</t>
        </is>
      </c>
      <c r="C324" s="56">
        <f>IFERROR(_xlfn.XLOOKUP(SALIDAS[[#This Row],[CODIGO]],LISTADO[CODIGOS],LISTADO[CATEGORIA]),"NO EXISTE")</f>
        <v/>
      </c>
      <c r="D324" s="56">
        <f>IFERROR(_xlfn.XLOOKUP(SALIDAS[[#This Row],[CODIGO]],LISTADO[CODIGOS],LISTADO[PRODUCTOS]),"NO EXISTE")</f>
        <v/>
      </c>
      <c r="E324" s="19" t="n">
        <v>46081</v>
      </c>
      <c r="F324" s="18" t="n">
        <v>1.25</v>
      </c>
      <c r="G324" s="18" t="inlineStr">
        <is>
          <t>PERIFERICO</t>
        </is>
      </c>
    </row>
    <row r="325">
      <c r="B325" t="inlineStr">
        <is>
          <t>00001-HRR</t>
        </is>
      </c>
      <c r="C325" s="56">
        <f>IFERROR(_xlfn.XLOOKUP(SALIDAS[[#This Row],[CODIGO]],LISTADO[CODIGOS],LISTADO[CATEGORIA]),"NO EXISTE")</f>
        <v/>
      </c>
      <c r="D325" s="56">
        <f>IFERROR(_xlfn.XLOOKUP(SALIDAS[[#This Row],[CODIGO]],LISTADO[CODIGOS],LISTADO[PRODUCTOS]),"NO EXISTE")</f>
        <v/>
      </c>
      <c r="E325" s="19" t="n">
        <v>46081</v>
      </c>
      <c r="F325" s="18" t="n">
        <v>1</v>
      </c>
      <c r="G325" s="18" t="inlineStr">
        <is>
          <t>PERIFERICO</t>
        </is>
      </c>
    </row>
    <row r="326">
      <c r="B326" t="inlineStr">
        <is>
          <t>00087-FER</t>
        </is>
      </c>
      <c r="C326" s="56">
        <f>IFERROR(_xlfn.XLOOKUP(SALIDAS[[#This Row],[CODIGO]],LISTADO[CODIGOS],LISTADO[CATEGORIA]),"NO EXISTE")</f>
        <v/>
      </c>
      <c r="D326" s="56">
        <f>IFERROR(_xlfn.XLOOKUP(SALIDAS[[#This Row],[CODIGO]],LISTADO[CODIGOS],LISTADO[PRODUCTOS]),"NO EXISTE")</f>
        <v/>
      </c>
      <c r="E326" s="19" t="n">
        <v>46082</v>
      </c>
      <c r="F326" s="18" t="n">
        <v>25</v>
      </c>
      <c r="G326" s="18" t="inlineStr">
        <is>
          <t>NAGUANAGUA 1</t>
        </is>
      </c>
    </row>
    <row r="327">
      <c r="B327" t="inlineStr">
        <is>
          <t>00023-FER</t>
        </is>
      </c>
      <c r="C327" s="56">
        <f>IFERROR(_xlfn.XLOOKUP(SALIDAS[[#This Row],[CODIGO]],LISTADO[CODIGOS],LISTADO[CATEGORIA]),"NO EXISTE")</f>
        <v/>
      </c>
      <c r="D327" s="56">
        <f>IFERROR(_xlfn.XLOOKUP(SALIDAS[[#This Row],[CODIGO]],LISTADO[CODIGOS],LISTADO[PRODUCTOS]),"NO EXISTE")</f>
        <v/>
      </c>
      <c r="E327" s="19" t="n">
        <v>46082</v>
      </c>
      <c r="F327" s="18" t="n">
        <v>1</v>
      </c>
      <c r="G327" s="18" t="inlineStr">
        <is>
          <t>PERIFERICO</t>
        </is>
      </c>
    </row>
    <row r="328">
      <c r="A328" s="18" t="n">
        <v>230</v>
      </c>
      <c r="B328" t="inlineStr">
        <is>
          <t>00016-HRR</t>
        </is>
      </c>
      <c r="C328" s="56">
        <f>IFERROR(_xlfn.XLOOKUP(SALIDAS[[#This Row],[CODIGO]],LISTADO[CODIGOS],LISTADO[CATEGORIA]),"NO EXISTE")</f>
        <v/>
      </c>
      <c r="D328" s="56">
        <f>IFERROR(_xlfn.XLOOKUP(SALIDAS[[#This Row],[CODIGO]],LISTADO[CODIGOS],LISTADO[PRODUCTOS]),"NO EXISTE")</f>
        <v/>
      </c>
      <c r="E328" s="19" t="n">
        <v>46083</v>
      </c>
      <c r="F328" s="18" t="n">
        <v>2</v>
      </c>
      <c r="G328" s="18" t="inlineStr">
        <is>
          <t>PERIFERICO</t>
        </is>
      </c>
    </row>
    <row r="329">
      <c r="A329" s="18" t="n">
        <v>231</v>
      </c>
      <c r="B329" t="inlineStr">
        <is>
          <t>00020-HRR</t>
        </is>
      </c>
      <c r="C329" s="56">
        <f>IFERROR(_xlfn.XLOOKUP(SALIDAS[[#This Row],[CODIGO]],LISTADO[CODIGOS],LISTADO[CATEGORIA]),"NO EXISTE")</f>
        <v/>
      </c>
      <c r="D329" s="56">
        <f>IFERROR(_xlfn.XLOOKUP(SALIDAS[[#This Row],[CODIGO]],LISTADO[CODIGOS],LISTADO[PRODUCTOS]),"NO EXISTE")</f>
        <v/>
      </c>
      <c r="E329" s="19" t="n">
        <v>46083</v>
      </c>
      <c r="F329" s="18" t="n">
        <v>3</v>
      </c>
      <c r="G329" s="18" t="inlineStr">
        <is>
          <t>PERIFERICO</t>
        </is>
      </c>
    </row>
    <row r="330">
      <c r="A330" s="18" t="n">
        <v>232</v>
      </c>
      <c r="B330" t="inlineStr">
        <is>
          <t>00112-FER</t>
        </is>
      </c>
      <c r="C330" s="56">
        <f>IFERROR(_xlfn.XLOOKUP(SALIDAS[[#This Row],[CODIGO]],LISTADO[CODIGOS],LISTADO[CATEGORIA]),"NO EXISTE")</f>
        <v/>
      </c>
      <c r="D330" s="56">
        <f>IFERROR(_xlfn.XLOOKUP(SALIDAS[[#This Row],[CODIGO]],LISTADO[CODIGOS],LISTADO[PRODUCTOS]),"NO EXISTE")</f>
        <v/>
      </c>
      <c r="E330" s="19" t="n">
        <v>46083</v>
      </c>
      <c r="F330" s="18" t="n">
        <v>2</v>
      </c>
      <c r="G330" s="18" t="inlineStr">
        <is>
          <t>PERIFERICO</t>
        </is>
      </c>
    </row>
    <row r="331">
      <c r="A331" s="18" t="n">
        <v>233</v>
      </c>
      <c r="B331" t="inlineStr">
        <is>
          <t>00078-FER</t>
        </is>
      </c>
      <c r="C331" s="56">
        <f>IFERROR(_xlfn.XLOOKUP(SALIDAS[[#This Row],[CODIGO]],LISTADO[CODIGOS],LISTADO[CATEGORIA]),"NO EXISTE")</f>
        <v/>
      </c>
      <c r="D331" s="56">
        <f>IFERROR(_xlfn.XLOOKUP(SALIDAS[[#This Row],[CODIGO]],LISTADO[CODIGOS],LISTADO[PRODUCTOS]),"NO EXISTE")</f>
        <v/>
      </c>
      <c r="E331" s="19" t="n">
        <v>46083</v>
      </c>
      <c r="F331" s="18" t="n">
        <v>1</v>
      </c>
      <c r="G331" s="18" t="inlineStr">
        <is>
          <t>PERIFERICO</t>
        </is>
      </c>
    </row>
    <row r="332">
      <c r="A332" s="18" t="n">
        <v>234</v>
      </c>
      <c r="B332" t="inlineStr">
        <is>
          <t>00039-PLM</t>
        </is>
      </c>
      <c r="C332" s="56">
        <f>IFERROR(_xlfn.XLOOKUP(SALIDAS[[#This Row],[CODIGO]],LISTADO[CODIGOS],LISTADO[CATEGORIA]),"NO EXISTE")</f>
        <v/>
      </c>
      <c r="D332" s="56">
        <f>IFERROR(_xlfn.XLOOKUP(SALIDAS[[#This Row],[CODIGO]],LISTADO[CODIGOS],LISTADO[PRODUCTOS]),"NO EXISTE")</f>
        <v/>
      </c>
      <c r="E332" s="19" t="n">
        <v>46083</v>
      </c>
      <c r="F332" s="18" t="n">
        <v>1</v>
      </c>
      <c r="G332" s="18" t="inlineStr">
        <is>
          <t>PERIFERICO</t>
        </is>
      </c>
    </row>
    <row r="333">
      <c r="A333" s="18" t="n">
        <v>235</v>
      </c>
      <c r="B333" t="inlineStr">
        <is>
          <t>00022-REF</t>
        </is>
      </c>
      <c r="C333" s="56">
        <f>IFERROR(_xlfn.XLOOKUP(SALIDAS[[#This Row],[CODIGO]],LISTADO[CODIGOS],LISTADO[CATEGORIA]),"NO EXISTE")</f>
        <v/>
      </c>
      <c r="D333" s="56">
        <f>IFERROR(_xlfn.XLOOKUP(SALIDAS[[#This Row],[CODIGO]],LISTADO[CODIGOS],LISTADO[PRODUCTOS]),"NO EXISTE")</f>
        <v/>
      </c>
      <c r="E333" s="19" t="n">
        <v>46083</v>
      </c>
      <c r="F333" s="18" t="n">
        <v>1</v>
      </c>
      <c r="G333" s="18" t="inlineStr">
        <is>
          <t>NAGUANAGUA 3</t>
        </is>
      </c>
    </row>
    <row r="334">
      <c r="A334" s="18" t="n">
        <v>236</v>
      </c>
      <c r="B334" t="inlineStr">
        <is>
          <t>00009-ELE</t>
        </is>
      </c>
      <c r="C334" s="56">
        <f>IFERROR(_xlfn.XLOOKUP(SALIDAS[[#This Row],[CODIGO]],LISTADO[CODIGOS],LISTADO[CATEGORIA]),"NO EXISTE")</f>
        <v/>
      </c>
      <c r="D334" s="56">
        <f>IFERROR(_xlfn.XLOOKUP(SALIDAS[[#This Row],[CODIGO]],LISTADO[CODIGOS],LISTADO[PRODUCTOS]),"NO EXISTE")</f>
        <v/>
      </c>
      <c r="E334" s="19" t="n">
        <v>46083</v>
      </c>
      <c r="F334" s="18" t="n">
        <v>1</v>
      </c>
      <c r="G334" s="18" t="inlineStr">
        <is>
          <t>NAGUANAGUA 3</t>
        </is>
      </c>
    </row>
    <row r="335">
      <c r="A335" s="18" t="n">
        <v>237</v>
      </c>
      <c r="B335" t="inlineStr">
        <is>
          <t>00077-REF</t>
        </is>
      </c>
      <c r="C335" s="56">
        <f>IFERROR(_xlfn.XLOOKUP(SALIDAS[[#This Row],[CODIGO]],LISTADO[CODIGOS],LISTADO[CATEGORIA]),"NO EXISTE")</f>
        <v/>
      </c>
      <c r="D335" s="56">
        <f>IFERROR(_xlfn.XLOOKUP(SALIDAS[[#This Row],[CODIGO]],LISTADO[CODIGOS],LISTADO[PRODUCTOS]),"NO EXISTE")</f>
        <v/>
      </c>
      <c r="E335" s="19" t="n">
        <v>46083</v>
      </c>
      <c r="F335" s="18" t="n">
        <v>1</v>
      </c>
      <c r="G335" s="18" t="inlineStr">
        <is>
          <t>NAGUANAGUA 3</t>
        </is>
      </c>
    </row>
    <row r="336">
      <c r="A336" s="18" t="n">
        <v>238</v>
      </c>
      <c r="B336" t="inlineStr">
        <is>
          <t>00026-REF</t>
        </is>
      </c>
      <c r="C336" s="56">
        <f>IFERROR(_xlfn.XLOOKUP(SALIDAS[[#This Row],[CODIGO]],LISTADO[CODIGOS],LISTADO[CATEGORIA]),"NO EXISTE")</f>
        <v/>
      </c>
      <c r="D336" s="56">
        <f>IFERROR(_xlfn.XLOOKUP(SALIDAS[[#This Row],[CODIGO]],LISTADO[CODIGOS],LISTADO[PRODUCTOS]),"NO EXISTE")</f>
        <v/>
      </c>
      <c r="E336" s="19" t="n">
        <v>46083</v>
      </c>
      <c r="F336" s="18" t="n">
        <v>1</v>
      </c>
      <c r="G336" s="18" t="inlineStr">
        <is>
          <t xml:space="preserve">EL BOSQUE </t>
        </is>
      </c>
    </row>
    <row r="337">
      <c r="A337" s="18" t="n">
        <v>239</v>
      </c>
      <c r="B337" t="inlineStr">
        <is>
          <t>00042-PLM</t>
        </is>
      </c>
      <c r="C337" s="56">
        <f>IFERROR(_xlfn.XLOOKUP(SALIDAS[[#This Row],[CODIGO]],LISTADO[CODIGOS],LISTADO[CATEGORIA]),"NO EXISTE")</f>
        <v/>
      </c>
      <c r="D337" s="56">
        <f>IFERROR(_xlfn.XLOOKUP(SALIDAS[[#This Row],[CODIGO]],LISTADO[CODIGOS],LISTADO[PRODUCTOS]),"NO EXISTE")</f>
        <v/>
      </c>
      <c r="E337" s="19" t="n">
        <v>46083</v>
      </c>
      <c r="F337" s="18" t="n">
        <v>1</v>
      </c>
      <c r="G337" s="18" t="inlineStr">
        <is>
          <t xml:space="preserve">EL BOSQUE </t>
        </is>
      </c>
    </row>
    <row r="338">
      <c r="A338" s="18" t="n">
        <v>240</v>
      </c>
      <c r="B338" t="inlineStr">
        <is>
          <t>00117-FER</t>
        </is>
      </c>
      <c r="C338" s="56">
        <f>IFERROR(_xlfn.XLOOKUP(SALIDAS[[#This Row],[CODIGO]],LISTADO[CODIGOS],LISTADO[CATEGORIA]),"NO EXISTE")</f>
        <v/>
      </c>
      <c r="D338" s="56">
        <f>IFERROR(_xlfn.XLOOKUP(SALIDAS[[#This Row],[CODIGO]],LISTADO[CODIGOS],LISTADO[PRODUCTOS]),"NO EXISTE")</f>
        <v/>
      </c>
      <c r="E338" s="19" t="n">
        <v>46083</v>
      </c>
      <c r="F338" s="18" t="n">
        <v>1</v>
      </c>
      <c r="G338" s="18" t="inlineStr">
        <is>
          <t xml:space="preserve">EL BOSQUE </t>
        </is>
      </c>
    </row>
    <row r="339">
      <c r="B339" s="56" t="inlineStr">
        <is>
          <t>00027-ILU</t>
        </is>
      </c>
      <c r="C339" s="56">
        <f>IFERROR(_xlfn.XLOOKUP(SALIDAS[[#This Row],[CODIGO]],LISTADO[CODIGOS],LISTADO[CATEGORIA]),"NO EXISTE")</f>
        <v/>
      </c>
      <c r="D339" s="56">
        <f>IFERROR(_xlfn.XLOOKUP(SALIDAS[[#This Row],[CODIGO]],LISTADO[CODIGOS],LISTADO[PRODUCTOS]),"NO EXISTE")</f>
        <v/>
      </c>
      <c r="E339" s="19" t="n">
        <v>46083</v>
      </c>
      <c r="F339" s="18" t="n">
        <v>3</v>
      </c>
      <c r="G339" s="18" t="inlineStr">
        <is>
          <t>PERIFERICO</t>
        </is>
      </c>
    </row>
    <row r="340">
      <c r="A340" s="18" t="n">
        <v>221</v>
      </c>
      <c r="B340" t="inlineStr">
        <is>
          <t>00049-FER</t>
        </is>
      </c>
      <c r="C340" s="56">
        <f>IFERROR(_xlfn.XLOOKUP(SALIDAS[[#This Row],[CODIGO]],LISTADO[CODIGOS],LISTADO[CATEGORIA]),"NO EXISTE")</f>
        <v/>
      </c>
      <c r="D340" s="56">
        <f>IFERROR(_xlfn.XLOOKUP(SALIDAS[[#This Row],[CODIGO]],LISTADO[CODIGOS],LISTADO[PRODUCTOS]),"NO EXISTE")</f>
        <v/>
      </c>
      <c r="E340" s="19" t="n">
        <v>46084</v>
      </c>
      <c r="F340" s="18" t="n">
        <v>1</v>
      </c>
      <c r="G340" s="18" t="inlineStr">
        <is>
          <t xml:space="preserve">EL BOSQUE </t>
        </is>
      </c>
    </row>
    <row r="341">
      <c r="A341" s="18" t="n">
        <v>222</v>
      </c>
      <c r="B341" t="inlineStr">
        <is>
          <t>00052-FER</t>
        </is>
      </c>
      <c r="C341" s="56">
        <f>IFERROR(_xlfn.XLOOKUP(SALIDAS[[#This Row],[CODIGO]],LISTADO[CODIGOS],LISTADO[CATEGORIA]),"NO EXISTE")</f>
        <v/>
      </c>
      <c r="D341" s="56">
        <f>IFERROR(_xlfn.XLOOKUP(SALIDAS[[#This Row],[CODIGO]],LISTADO[CODIGOS],LISTADO[PRODUCTOS]),"NO EXISTE")</f>
        <v/>
      </c>
      <c r="E341" s="19" t="n">
        <v>46084</v>
      </c>
      <c r="F341" s="18" t="n">
        <v>1</v>
      </c>
      <c r="G341" s="18" t="inlineStr">
        <is>
          <t xml:space="preserve">EL BOSQUE </t>
        </is>
      </c>
    </row>
    <row r="342">
      <c r="A342" s="18" t="n">
        <v>223</v>
      </c>
      <c r="B342" t="inlineStr">
        <is>
          <t>00050-FER</t>
        </is>
      </c>
      <c r="C342" s="56">
        <f>IFERROR(_xlfn.XLOOKUP(SALIDAS[[#This Row],[CODIGO]],LISTADO[CODIGOS],LISTADO[CATEGORIA]),"NO EXISTE")</f>
        <v/>
      </c>
      <c r="D342" s="56">
        <f>IFERROR(_xlfn.XLOOKUP(SALIDAS[[#This Row],[CODIGO]],LISTADO[CODIGOS],LISTADO[PRODUCTOS]),"NO EXISTE")</f>
        <v/>
      </c>
      <c r="E342" s="19" t="n">
        <v>46084</v>
      </c>
      <c r="F342" s="18" t="n">
        <v>1</v>
      </c>
      <c r="G342" s="18" t="inlineStr">
        <is>
          <t xml:space="preserve">EL BOSQUE </t>
        </is>
      </c>
    </row>
    <row r="343">
      <c r="A343" s="18" t="n">
        <v>224</v>
      </c>
      <c r="B343" t="inlineStr">
        <is>
          <t>00039-FER</t>
        </is>
      </c>
      <c r="C343" s="56">
        <f>IFERROR(_xlfn.XLOOKUP(SALIDAS[[#This Row],[CODIGO]],LISTADO[CODIGOS],LISTADO[CATEGORIA]),"NO EXISTE")</f>
        <v/>
      </c>
      <c r="D343" s="56">
        <f>IFERROR(_xlfn.XLOOKUP(SALIDAS[[#This Row],[CODIGO]],LISTADO[CODIGOS],LISTADO[PRODUCTOS]),"NO EXISTE")</f>
        <v/>
      </c>
      <c r="E343" s="19" t="n">
        <v>46084</v>
      </c>
      <c r="F343" s="18" t="n">
        <v>4</v>
      </c>
      <c r="G343" s="18" t="inlineStr">
        <is>
          <t xml:space="preserve">EL BOSQUE </t>
        </is>
      </c>
    </row>
    <row r="344">
      <c r="A344" s="18" t="n">
        <v>225</v>
      </c>
      <c r="B344" t="inlineStr">
        <is>
          <t>00041-FER</t>
        </is>
      </c>
      <c r="C344" s="56">
        <f>IFERROR(_xlfn.XLOOKUP(SALIDAS[[#This Row],[CODIGO]],LISTADO[CODIGOS],LISTADO[CATEGORIA]),"NO EXISTE")</f>
        <v/>
      </c>
      <c r="D344" s="56">
        <f>IFERROR(_xlfn.XLOOKUP(SALIDAS[[#This Row],[CODIGO]],LISTADO[CODIGOS],LISTADO[PRODUCTOS]),"NO EXISTE")</f>
        <v/>
      </c>
      <c r="E344" s="19" t="n">
        <v>46084</v>
      </c>
      <c r="F344" s="18" t="n">
        <v>3.5</v>
      </c>
      <c r="G344" s="18" t="inlineStr">
        <is>
          <t xml:space="preserve">EL BOSQUE </t>
        </is>
      </c>
    </row>
    <row r="345">
      <c r="A345" s="18" t="n">
        <v>226</v>
      </c>
      <c r="B345" t="inlineStr">
        <is>
          <t>00028-FER</t>
        </is>
      </c>
      <c r="C345" s="56">
        <f>IFERROR(_xlfn.XLOOKUP(SALIDAS[[#This Row],[CODIGO]],LISTADO[CODIGOS],LISTADO[CATEGORIA]),"NO EXISTE")</f>
        <v/>
      </c>
      <c r="D345" s="56">
        <f>IFERROR(_xlfn.XLOOKUP(SALIDAS[[#This Row],[CODIGO]],LISTADO[CODIGOS],LISTADO[PRODUCTOS]),"NO EXISTE")</f>
        <v/>
      </c>
      <c r="E345" s="19" t="n">
        <v>46084</v>
      </c>
      <c r="F345" s="18" t="n">
        <v>2.5</v>
      </c>
      <c r="G345" s="18" t="inlineStr">
        <is>
          <t xml:space="preserve">EL BOSQUE </t>
        </is>
      </c>
    </row>
    <row r="346">
      <c r="A346" s="18" t="n">
        <v>227</v>
      </c>
      <c r="B346" t="inlineStr">
        <is>
          <t>00027-FER</t>
        </is>
      </c>
      <c r="C346" s="56">
        <f>IFERROR(_xlfn.XLOOKUP(SALIDAS[[#This Row],[CODIGO]],LISTADO[CODIGOS],LISTADO[CATEGORIA]),"NO EXISTE")</f>
        <v/>
      </c>
      <c r="D346" s="56">
        <f>IFERROR(_xlfn.XLOOKUP(SALIDAS[[#This Row],[CODIGO]],LISTADO[CODIGOS],LISTADO[PRODUCTOS]),"NO EXISTE")</f>
        <v/>
      </c>
      <c r="E346" s="19" t="n">
        <v>46084</v>
      </c>
      <c r="F346" s="18" t="n">
        <v>2</v>
      </c>
      <c r="G346" s="18" t="inlineStr">
        <is>
          <t xml:space="preserve">EL BOSQUE </t>
        </is>
      </c>
    </row>
    <row r="347">
      <c r="A347" s="18" t="n">
        <v>228</v>
      </c>
      <c r="B347" t="inlineStr">
        <is>
          <t>00040-FER</t>
        </is>
      </c>
      <c r="C347" s="56">
        <f>IFERROR(_xlfn.XLOOKUP(SALIDAS[[#This Row],[CODIGO]],LISTADO[CODIGOS],LISTADO[CATEGORIA]),"NO EXISTE")</f>
        <v/>
      </c>
      <c r="D347" s="56">
        <f>IFERROR(_xlfn.XLOOKUP(SALIDAS[[#This Row],[CODIGO]],LISTADO[CODIGOS],LISTADO[PRODUCTOS]),"NO EXISTE")</f>
        <v/>
      </c>
      <c r="E347" s="19" t="n">
        <v>46084</v>
      </c>
      <c r="F347" s="18" t="n">
        <v>0.75</v>
      </c>
      <c r="G347" s="18" t="inlineStr">
        <is>
          <t xml:space="preserve">EL BOSQUE </t>
        </is>
      </c>
    </row>
    <row r="348">
      <c r="A348" s="18" t="n">
        <v>229</v>
      </c>
      <c r="B348" t="inlineStr">
        <is>
          <t>00030-FER</t>
        </is>
      </c>
      <c r="C348" s="56">
        <f>IFERROR(_xlfn.XLOOKUP(SALIDAS[[#This Row],[CODIGO]],LISTADO[CODIGOS],LISTADO[CATEGORIA]),"NO EXISTE")</f>
        <v/>
      </c>
      <c r="D348" s="56">
        <f>IFERROR(_xlfn.XLOOKUP(SALIDAS[[#This Row],[CODIGO]],LISTADO[CODIGOS],LISTADO[PRODUCTOS]),"NO EXISTE")</f>
        <v/>
      </c>
      <c r="E348" s="19" t="n">
        <v>46084</v>
      </c>
      <c r="F348" s="18" t="n">
        <v>4</v>
      </c>
      <c r="G348" s="18" t="inlineStr">
        <is>
          <t xml:space="preserve">EL BOSQUE </t>
        </is>
      </c>
    </row>
    <row r="349">
      <c r="A349" s="18" t="n">
        <v>252</v>
      </c>
      <c r="B349" t="inlineStr">
        <is>
          <t>00042-ELC</t>
        </is>
      </c>
      <c r="C349" s="56">
        <f>IFERROR(_xlfn.XLOOKUP(SALIDAS[[#This Row],[CODIGO]],LISTADO[CODIGOS],LISTADO[CATEGORIA]),"NO EXISTE")</f>
        <v/>
      </c>
      <c r="D349" s="56">
        <f>IFERROR(_xlfn.XLOOKUP(SALIDAS[[#This Row],[CODIGO]],LISTADO[CODIGOS],LISTADO[PRODUCTOS]),"NO EXISTE")</f>
        <v/>
      </c>
      <c r="E349" s="19" t="n">
        <v>46084</v>
      </c>
      <c r="F349" s="18" t="n">
        <v>1</v>
      </c>
      <c r="G349" s="18" t="inlineStr">
        <is>
          <t>LA VIÑA</t>
        </is>
      </c>
    </row>
    <row r="350">
      <c r="A350" s="18" t="n">
        <v>265</v>
      </c>
      <c r="B350" t="inlineStr">
        <is>
          <t>00024-FER</t>
        </is>
      </c>
      <c r="C350" s="56">
        <f>IFERROR(_xlfn.XLOOKUP(SALIDAS[[#This Row],[CODIGO]],LISTADO[CODIGOS],LISTADO[CATEGORIA]),"NO EXISTE")</f>
        <v/>
      </c>
      <c r="D350" s="56">
        <f>IFERROR(_xlfn.XLOOKUP(SALIDAS[[#This Row],[CODIGO]],LISTADO[CODIGOS],LISTADO[PRODUCTOS]),"NO EXISTE")</f>
        <v/>
      </c>
      <c r="E350" s="19" t="n">
        <v>46084</v>
      </c>
      <c r="F350" s="18" t="n">
        <v>1</v>
      </c>
      <c r="G350" s="18" t="inlineStr">
        <is>
          <t xml:space="preserve">EL BOSQUE </t>
        </is>
      </c>
    </row>
    <row r="351">
      <c r="A351" s="18" t="n">
        <v>266</v>
      </c>
      <c r="B351" t="inlineStr">
        <is>
          <t>00074-FER</t>
        </is>
      </c>
      <c r="C351" s="56">
        <f>IFERROR(_xlfn.XLOOKUP(SALIDAS[[#This Row],[CODIGO]],LISTADO[CODIGOS],LISTADO[CATEGORIA]),"NO EXISTE")</f>
        <v/>
      </c>
      <c r="D351" s="56">
        <f>IFERROR(_xlfn.XLOOKUP(SALIDAS[[#This Row],[CODIGO]],LISTADO[CODIGOS],LISTADO[PRODUCTOS]),"NO EXISTE")</f>
        <v/>
      </c>
      <c r="E351" s="19" t="n">
        <v>46084</v>
      </c>
      <c r="F351" s="18" t="n">
        <v>6</v>
      </c>
      <c r="G351" s="18" t="inlineStr">
        <is>
          <t xml:space="preserve">EL BOSQUE </t>
        </is>
      </c>
    </row>
    <row r="352">
      <c r="A352" s="18" t="n">
        <v>267</v>
      </c>
      <c r="B352" t="inlineStr">
        <is>
          <t>00041-ELE</t>
        </is>
      </c>
      <c r="C352" s="56">
        <f>IFERROR(_xlfn.XLOOKUP(SALIDAS[[#This Row],[CODIGO]],LISTADO[CODIGOS],LISTADO[CATEGORIA]),"NO EXISTE")</f>
        <v/>
      </c>
      <c r="D352" s="56">
        <f>IFERROR(_xlfn.XLOOKUP(SALIDAS[[#This Row],[CODIGO]],LISTADO[CODIGOS],LISTADO[PRODUCTOS]),"NO EXISTE")</f>
        <v/>
      </c>
      <c r="E352" s="19" t="n">
        <v>46084</v>
      </c>
      <c r="F352" s="18" t="n">
        <v>5</v>
      </c>
      <c r="G352" s="18" t="inlineStr">
        <is>
          <t>NAGUANAGUA 1</t>
        </is>
      </c>
    </row>
    <row r="353">
      <c r="A353" s="18" t="n">
        <v>268</v>
      </c>
      <c r="B353" t="inlineStr">
        <is>
          <t>00046-ELE</t>
        </is>
      </c>
      <c r="C353" s="56">
        <f>IFERROR(_xlfn.XLOOKUP(SALIDAS[[#This Row],[CODIGO]],LISTADO[CODIGOS],LISTADO[CATEGORIA]),"NO EXISTE")</f>
        <v/>
      </c>
      <c r="D353" s="56">
        <f>IFERROR(_xlfn.XLOOKUP(SALIDAS[[#This Row],[CODIGO]],LISTADO[CODIGOS],LISTADO[PRODUCTOS]),"NO EXISTE")</f>
        <v/>
      </c>
      <c r="E353" s="19" t="n">
        <v>46084</v>
      </c>
      <c r="F353" s="18" t="n">
        <v>5</v>
      </c>
      <c r="G353" s="18" t="inlineStr">
        <is>
          <t>NAGUANAGUA 1</t>
        </is>
      </c>
    </row>
    <row r="354">
      <c r="A354" s="18" t="n">
        <v>269</v>
      </c>
      <c r="B354" t="inlineStr">
        <is>
          <t>00008-HRR</t>
        </is>
      </c>
      <c r="C354" s="56">
        <f>IFERROR(_xlfn.XLOOKUP(SALIDAS[[#This Row],[CODIGO]],LISTADO[CODIGOS],LISTADO[CATEGORIA]),"NO EXISTE")</f>
        <v/>
      </c>
      <c r="D354" s="56">
        <f>IFERROR(_xlfn.XLOOKUP(SALIDAS[[#This Row],[CODIGO]],LISTADO[CODIGOS],LISTADO[PRODUCTOS]),"NO EXISTE")</f>
        <v/>
      </c>
      <c r="E354" s="19" t="n">
        <v>46084</v>
      </c>
      <c r="F354" s="18" t="n">
        <v>10</v>
      </c>
      <c r="G354" s="18" t="inlineStr">
        <is>
          <t>NAGUANAGUA 1</t>
        </is>
      </c>
    </row>
    <row r="355">
      <c r="A355" s="18" t="n">
        <v>270</v>
      </c>
      <c r="B355" t="inlineStr">
        <is>
          <t>00120-FER</t>
        </is>
      </c>
      <c r="C355" s="56">
        <f>IFERROR(_xlfn.XLOOKUP(SALIDAS[[#This Row],[CODIGO]],LISTADO[CODIGOS],LISTADO[CATEGORIA]),"NO EXISTE")</f>
        <v/>
      </c>
      <c r="D355" s="56">
        <f>IFERROR(_xlfn.XLOOKUP(SALIDAS[[#This Row],[CODIGO]],LISTADO[CODIGOS],LISTADO[PRODUCTOS]),"NO EXISTE")</f>
        <v/>
      </c>
      <c r="E355" s="19" t="n">
        <v>46084</v>
      </c>
      <c r="F355" s="18" t="n">
        <v>10</v>
      </c>
      <c r="G355" s="18" t="inlineStr">
        <is>
          <t>NAGUANAGUA 1</t>
        </is>
      </c>
    </row>
    <row r="356">
      <c r="A356" s="18" t="n">
        <v>271</v>
      </c>
      <c r="B356" t="inlineStr">
        <is>
          <t>00107-HER</t>
        </is>
      </c>
      <c r="C356" s="56">
        <f>IFERROR(_xlfn.XLOOKUP(SALIDAS[[#This Row],[CODIGO]],LISTADO[CODIGOS],LISTADO[CATEGORIA]),"NO EXISTE")</f>
        <v/>
      </c>
      <c r="D356" s="56">
        <f>IFERROR(_xlfn.XLOOKUP(SALIDAS[[#This Row],[CODIGO]],LISTADO[CODIGOS],LISTADO[PRODUCTOS]),"NO EXISTE")</f>
        <v/>
      </c>
      <c r="E356" s="19" t="n">
        <v>46084</v>
      </c>
      <c r="F356" s="18" t="n">
        <v>2</v>
      </c>
      <c r="G356" s="18" t="inlineStr">
        <is>
          <t>NAGUANAGUA 1</t>
        </is>
      </c>
    </row>
    <row r="357">
      <c r="A357" s="18" t="n">
        <v>272</v>
      </c>
      <c r="B357" t="inlineStr">
        <is>
          <t>00042-PLM</t>
        </is>
      </c>
      <c r="C357" s="56">
        <f>IFERROR(_xlfn.XLOOKUP(SALIDAS[[#This Row],[CODIGO]],LISTADO[CODIGOS],LISTADO[CATEGORIA]),"NO EXISTE")</f>
        <v/>
      </c>
      <c r="D357" s="56">
        <f>IFERROR(_xlfn.XLOOKUP(SALIDAS[[#This Row],[CODIGO]],LISTADO[CODIGOS],LISTADO[PRODUCTOS]),"NO EXISTE")</f>
        <v/>
      </c>
      <c r="E357" s="19" t="n">
        <v>46084</v>
      </c>
      <c r="F357" s="18" t="n">
        <v>3</v>
      </c>
      <c r="G357" s="18" t="inlineStr">
        <is>
          <t>NAGUANAGUA 1</t>
        </is>
      </c>
    </row>
    <row r="358">
      <c r="A358" s="18" t="n">
        <v>273</v>
      </c>
      <c r="B358" t="inlineStr">
        <is>
          <t>00121-FER</t>
        </is>
      </c>
      <c r="C358" s="56">
        <f>IFERROR(_xlfn.XLOOKUP(SALIDAS[[#This Row],[CODIGO]],LISTADO[CODIGOS],LISTADO[CATEGORIA]),"NO EXISTE")</f>
        <v/>
      </c>
      <c r="D358" s="56">
        <f>IFERROR(_xlfn.XLOOKUP(SALIDAS[[#This Row],[CODIGO]],LISTADO[CODIGOS],LISTADO[PRODUCTOS]),"NO EXISTE")</f>
        <v/>
      </c>
      <c r="E358" s="19" t="n">
        <v>46084</v>
      </c>
      <c r="F358" s="18" t="n">
        <v>6</v>
      </c>
      <c r="G358" s="18" t="inlineStr">
        <is>
          <t>NAGUANAGUA 1</t>
        </is>
      </c>
    </row>
    <row r="359">
      <c r="A359" s="18" t="n">
        <v>219</v>
      </c>
      <c r="B359" t="inlineStr">
        <is>
          <t>00024-OFC</t>
        </is>
      </c>
      <c r="C359" s="56">
        <f>IFERROR(_xlfn.XLOOKUP(SALIDAS[[#This Row],[CODIGO]],LISTADO[CODIGOS],LISTADO[CATEGORIA]),"NO EXISTE")</f>
        <v/>
      </c>
      <c r="D359" s="56">
        <f>IFERROR(_xlfn.XLOOKUP(SALIDAS[[#This Row],[CODIGO]],LISTADO[CODIGOS],LISTADO[PRODUCTOS]),"NO EXISTE")</f>
        <v/>
      </c>
      <c r="E359" s="19" t="n">
        <v>46085</v>
      </c>
      <c r="F359" s="18" t="n">
        <v>1</v>
      </c>
      <c r="G359" s="18" t="inlineStr">
        <is>
          <t xml:space="preserve">CEDI SECO </t>
        </is>
      </c>
    </row>
    <row r="360">
      <c r="A360" s="18" t="n">
        <v>220</v>
      </c>
      <c r="B360" t="inlineStr">
        <is>
          <t>00076-REF</t>
        </is>
      </c>
      <c r="C360" s="56">
        <f>IFERROR(_xlfn.XLOOKUP(SALIDAS[[#This Row],[CODIGO]],LISTADO[CODIGOS],LISTADO[CATEGORIA]),"NO EXISTE")</f>
        <v/>
      </c>
      <c r="D360" s="56">
        <f>IFERROR(_xlfn.XLOOKUP(SALIDAS[[#This Row],[CODIGO]],LISTADO[CODIGOS],LISTADO[PRODUCTOS]),"NO EXISTE")</f>
        <v/>
      </c>
      <c r="E360" s="19" t="n">
        <v>46085</v>
      </c>
      <c r="F360" s="18" t="n">
        <v>1</v>
      </c>
      <c r="G360" s="18" t="inlineStr">
        <is>
          <t>NAGUANAGUA 3</t>
        </is>
      </c>
    </row>
    <row r="361">
      <c r="A361" s="18" t="n">
        <v>242</v>
      </c>
      <c r="B361" t="inlineStr">
        <is>
          <t>00022-HRR</t>
        </is>
      </c>
      <c r="C361" s="56">
        <f>IFERROR(_xlfn.XLOOKUP(SALIDAS[[#This Row],[CODIGO]],LISTADO[CODIGOS],LISTADO[CATEGORIA]),"NO EXISTE")</f>
        <v/>
      </c>
      <c r="D361" s="56">
        <f>IFERROR(_xlfn.XLOOKUP(SALIDAS[[#This Row],[CODIGO]],LISTADO[CODIGOS],LISTADO[PRODUCTOS]),"NO EXISTE")</f>
        <v/>
      </c>
      <c r="E361" s="19" t="n">
        <v>46085</v>
      </c>
      <c r="F361" s="18" t="n">
        <v>2</v>
      </c>
      <c r="G361" s="18" t="inlineStr">
        <is>
          <t>PERIFERICO</t>
        </is>
      </c>
    </row>
    <row r="362">
      <c r="A362" s="18" t="n">
        <v>243</v>
      </c>
      <c r="B362" t="inlineStr">
        <is>
          <t>00023-HRR</t>
        </is>
      </c>
      <c r="C362" s="56">
        <f>IFERROR(_xlfn.XLOOKUP(SALIDAS[[#This Row],[CODIGO]],LISTADO[CODIGOS],LISTADO[CATEGORIA]),"NO EXISTE")</f>
        <v/>
      </c>
      <c r="D362" s="56">
        <f>IFERROR(_xlfn.XLOOKUP(SALIDAS[[#This Row],[CODIGO]],LISTADO[CODIGOS],LISTADO[PRODUCTOS]),"NO EXISTE")</f>
        <v/>
      </c>
      <c r="E362" s="19" t="n">
        <v>46085</v>
      </c>
      <c r="F362" s="18" t="n">
        <v>4</v>
      </c>
      <c r="G362" s="18" t="inlineStr">
        <is>
          <t>FLOR AMARILLO</t>
        </is>
      </c>
    </row>
    <row r="363">
      <c r="A363" s="18" t="n">
        <v>244</v>
      </c>
      <c r="B363" t="inlineStr">
        <is>
          <t>00024-HRR</t>
        </is>
      </c>
      <c r="C363" s="56">
        <f>IFERROR(_xlfn.XLOOKUP(SALIDAS[[#This Row],[CODIGO]],LISTADO[CODIGOS],LISTADO[CATEGORIA]),"NO EXISTE")</f>
        <v/>
      </c>
      <c r="D363" s="56">
        <f>IFERROR(_xlfn.XLOOKUP(SALIDAS[[#This Row],[CODIGO]],LISTADO[CODIGOS],LISTADO[PRODUCTOS]),"NO EXISTE")</f>
        <v/>
      </c>
      <c r="E363" s="19" t="n">
        <v>46085</v>
      </c>
      <c r="F363" s="18" t="n">
        <v>1</v>
      </c>
      <c r="G363" s="18" t="inlineStr">
        <is>
          <t>FLOR AMARILLO</t>
        </is>
      </c>
    </row>
    <row r="364">
      <c r="A364" s="18" t="n">
        <v>245</v>
      </c>
      <c r="B364" t="inlineStr">
        <is>
          <t>00025-HRR</t>
        </is>
      </c>
      <c r="C364" s="56">
        <f>IFERROR(_xlfn.XLOOKUP(SALIDAS[[#This Row],[CODIGO]],LISTADO[CODIGOS],LISTADO[CATEGORIA]),"NO EXISTE")</f>
        <v/>
      </c>
      <c r="D364" s="56">
        <f>IFERROR(_xlfn.XLOOKUP(SALIDAS[[#This Row],[CODIGO]],LISTADO[CODIGOS],LISTADO[PRODUCTOS]),"NO EXISTE")</f>
        <v/>
      </c>
      <c r="E364" s="19" t="n">
        <v>46085</v>
      </c>
      <c r="F364" s="18" t="n">
        <v>4</v>
      </c>
      <c r="G364" s="18" t="inlineStr">
        <is>
          <t>FLOR AMARILLO</t>
        </is>
      </c>
    </row>
    <row r="365">
      <c r="A365" s="18" t="n">
        <v>246</v>
      </c>
      <c r="B365" t="inlineStr">
        <is>
          <t>00026-HRR</t>
        </is>
      </c>
      <c r="C365" s="56">
        <f>IFERROR(_xlfn.XLOOKUP(SALIDAS[[#This Row],[CODIGO]],LISTADO[CODIGOS],LISTADO[CATEGORIA]),"NO EXISTE")</f>
        <v/>
      </c>
      <c r="D365" s="56">
        <f>IFERROR(_xlfn.XLOOKUP(SALIDAS[[#This Row],[CODIGO]],LISTADO[CODIGOS],LISTADO[PRODUCTOS]),"NO EXISTE")</f>
        <v/>
      </c>
      <c r="E365" s="19" t="n">
        <v>46085</v>
      </c>
      <c r="F365" s="18" t="n">
        <v>1</v>
      </c>
      <c r="G365" s="18" t="inlineStr">
        <is>
          <t>FLOR AMARILLO</t>
        </is>
      </c>
    </row>
    <row r="366">
      <c r="A366" s="18" t="n">
        <v>247</v>
      </c>
      <c r="B366" t="inlineStr">
        <is>
          <t>00027-HRR</t>
        </is>
      </c>
      <c r="C366" s="56">
        <f>IFERROR(_xlfn.XLOOKUP(SALIDAS[[#This Row],[CODIGO]],LISTADO[CODIGOS],LISTADO[CATEGORIA]),"NO EXISTE")</f>
        <v/>
      </c>
      <c r="D366" s="56">
        <f>IFERROR(_xlfn.XLOOKUP(SALIDAS[[#This Row],[CODIGO]],LISTADO[CODIGOS],LISTADO[PRODUCTOS]),"NO EXISTE")</f>
        <v/>
      </c>
      <c r="E366" s="19" t="n">
        <v>46085</v>
      </c>
      <c r="F366" s="18" t="n">
        <v>1</v>
      </c>
      <c r="G366" s="18" t="inlineStr">
        <is>
          <t>FLOR AMARILLO</t>
        </is>
      </c>
    </row>
    <row r="367">
      <c r="A367" s="18" t="n">
        <v>248</v>
      </c>
      <c r="B367" t="inlineStr">
        <is>
          <t>00028-HRR</t>
        </is>
      </c>
      <c r="C367" s="56">
        <f>IFERROR(_xlfn.XLOOKUP(SALIDAS[[#This Row],[CODIGO]],LISTADO[CODIGOS],LISTADO[CATEGORIA]),"NO EXISTE")</f>
        <v/>
      </c>
      <c r="D367" s="56">
        <f>IFERROR(_xlfn.XLOOKUP(SALIDAS[[#This Row],[CODIGO]],LISTADO[CODIGOS],LISTADO[PRODUCTOS]),"NO EXISTE")</f>
        <v/>
      </c>
      <c r="E367" s="19" t="n">
        <v>46085</v>
      </c>
      <c r="F367" s="18" t="n">
        <v>1</v>
      </c>
      <c r="G367" s="18" t="inlineStr">
        <is>
          <t>FLOR AMARILLO</t>
        </is>
      </c>
    </row>
    <row r="368">
      <c r="A368" s="18" t="n">
        <v>249</v>
      </c>
      <c r="B368" t="inlineStr">
        <is>
          <t>00029-HRR</t>
        </is>
      </c>
      <c r="C368" s="56">
        <f>IFERROR(_xlfn.XLOOKUP(SALIDAS[[#This Row],[CODIGO]],LISTADO[CODIGOS],LISTADO[CATEGORIA]),"NO EXISTE")</f>
        <v/>
      </c>
      <c r="D368" s="56">
        <f>IFERROR(_xlfn.XLOOKUP(SALIDAS[[#This Row],[CODIGO]],LISTADO[CODIGOS],LISTADO[PRODUCTOS]),"NO EXISTE")</f>
        <v/>
      </c>
      <c r="E368" s="19" t="n">
        <v>46085</v>
      </c>
      <c r="F368" s="18" t="n">
        <v>1</v>
      </c>
      <c r="G368" s="18" t="inlineStr">
        <is>
          <t>FLOR AMARILLO</t>
        </is>
      </c>
    </row>
    <row r="369">
      <c r="A369" s="18" t="n">
        <v>250</v>
      </c>
      <c r="B369" t="inlineStr">
        <is>
          <t>00030-HRR</t>
        </is>
      </c>
      <c r="C369" s="56">
        <f>IFERROR(_xlfn.XLOOKUP(SALIDAS[[#This Row],[CODIGO]],LISTADO[CODIGOS],LISTADO[CATEGORIA]),"NO EXISTE")</f>
        <v/>
      </c>
      <c r="D369" s="56">
        <f>IFERROR(_xlfn.XLOOKUP(SALIDAS[[#This Row],[CODIGO]],LISTADO[CODIGOS],LISTADO[PRODUCTOS]),"NO EXISTE")</f>
        <v/>
      </c>
      <c r="E369" s="19" t="n">
        <v>46085</v>
      </c>
      <c r="F369" s="18" t="n">
        <v>1</v>
      </c>
      <c r="G369" s="18" t="inlineStr">
        <is>
          <t>FLOR AMARILLO</t>
        </is>
      </c>
    </row>
    <row r="370">
      <c r="A370" s="18" t="n">
        <v>251</v>
      </c>
      <c r="B370" t="inlineStr">
        <is>
          <t>00014-HRR</t>
        </is>
      </c>
      <c r="C370" s="56">
        <f>IFERROR(_xlfn.XLOOKUP(SALIDAS[[#This Row],[CODIGO]],LISTADO[CODIGOS],LISTADO[CATEGORIA]),"NO EXISTE")</f>
        <v/>
      </c>
      <c r="D370" s="56">
        <f>IFERROR(_xlfn.XLOOKUP(SALIDAS[[#This Row],[CODIGO]],LISTADO[CODIGOS],LISTADO[PRODUCTOS]),"NO EXISTE")</f>
        <v/>
      </c>
      <c r="E370" s="19" t="n">
        <v>46085</v>
      </c>
      <c r="F370" s="18" t="n">
        <v>1</v>
      </c>
      <c r="G370" s="18" t="inlineStr">
        <is>
          <t>FLOR AMARILLO</t>
        </is>
      </c>
    </row>
    <row r="371">
      <c r="A371" s="18" t="n">
        <v>253</v>
      </c>
      <c r="B371" t="inlineStr">
        <is>
          <t>00106-HER</t>
        </is>
      </c>
      <c r="C371" s="56">
        <f>IFERROR(_xlfn.XLOOKUP(SALIDAS[[#This Row],[CODIGO]],LISTADO[CODIGOS],LISTADO[CATEGORIA]),"NO EXISTE")</f>
        <v/>
      </c>
      <c r="D371" s="56">
        <f>IFERROR(_xlfn.XLOOKUP(SALIDAS[[#This Row],[CODIGO]],LISTADO[CODIGOS],LISTADO[PRODUCTOS]),"NO EXISTE")</f>
        <v/>
      </c>
      <c r="E371" s="19" t="n">
        <v>46085</v>
      </c>
      <c r="F371" s="18" t="n">
        <v>1</v>
      </c>
      <c r="G371" s="18" t="inlineStr">
        <is>
          <t xml:space="preserve">CEDI SECO </t>
        </is>
      </c>
    </row>
    <row r="372">
      <c r="A372" s="18" t="n">
        <v>254</v>
      </c>
      <c r="B372" t="inlineStr">
        <is>
          <t>00041-ELE</t>
        </is>
      </c>
      <c r="C372" s="56">
        <f>IFERROR(_xlfn.XLOOKUP(SALIDAS[[#This Row],[CODIGO]],LISTADO[CODIGOS],LISTADO[CATEGORIA]),"NO EXISTE")</f>
        <v/>
      </c>
      <c r="D372" s="56">
        <f>IFERROR(_xlfn.XLOOKUP(SALIDAS[[#This Row],[CODIGO]],LISTADO[CODIGOS],LISTADO[PRODUCTOS]),"NO EXISTE")</f>
        <v/>
      </c>
      <c r="E372" s="19" t="n">
        <v>46085</v>
      </c>
      <c r="F372" s="18" t="n">
        <v>1</v>
      </c>
      <c r="G372" s="18" t="inlineStr">
        <is>
          <t>NAGUANAGUA 2</t>
        </is>
      </c>
    </row>
    <row r="373">
      <c r="A373" s="18" t="n">
        <v>255</v>
      </c>
      <c r="B373" t="inlineStr">
        <is>
          <t>00046-ELE</t>
        </is>
      </c>
      <c r="C373" s="56">
        <f>IFERROR(_xlfn.XLOOKUP(SALIDAS[[#This Row],[CODIGO]],LISTADO[CODIGOS],LISTADO[CATEGORIA]),"NO EXISTE")</f>
        <v/>
      </c>
      <c r="D373" s="56">
        <f>IFERROR(_xlfn.XLOOKUP(SALIDAS[[#This Row],[CODIGO]],LISTADO[CODIGOS],LISTADO[PRODUCTOS]),"NO EXISTE")</f>
        <v/>
      </c>
      <c r="E373" s="19" t="n">
        <v>46085</v>
      </c>
      <c r="F373" s="18" t="n">
        <v>1</v>
      </c>
      <c r="G373" s="18" t="inlineStr">
        <is>
          <t>NAGUANAGUA 2</t>
        </is>
      </c>
    </row>
    <row r="374">
      <c r="A374" s="18" t="n">
        <v>256</v>
      </c>
      <c r="B374" t="inlineStr">
        <is>
          <t>00026-HRR</t>
        </is>
      </c>
      <c r="C374" s="56">
        <f>IFERROR(_xlfn.XLOOKUP(SALIDAS[[#This Row],[CODIGO]],LISTADO[CODIGOS],LISTADO[CATEGORIA]),"NO EXISTE")</f>
        <v/>
      </c>
      <c r="D374" s="56">
        <f>IFERROR(_xlfn.XLOOKUP(SALIDAS[[#This Row],[CODIGO]],LISTADO[CODIGOS],LISTADO[PRODUCTOS]),"NO EXISTE")</f>
        <v/>
      </c>
      <c r="E374" s="19" t="n">
        <v>46085</v>
      </c>
      <c r="F374" s="18" t="n">
        <v>1</v>
      </c>
      <c r="G374" s="18" t="inlineStr">
        <is>
          <t>PERIFERICO</t>
        </is>
      </c>
    </row>
    <row r="375">
      <c r="A375" s="18" t="n">
        <v>257</v>
      </c>
      <c r="B375" t="inlineStr">
        <is>
          <t>00028-HRR</t>
        </is>
      </c>
      <c r="C375" s="56">
        <f>IFERROR(_xlfn.XLOOKUP(SALIDAS[[#This Row],[CODIGO]],LISTADO[CODIGOS],LISTADO[CATEGORIA]),"NO EXISTE")</f>
        <v/>
      </c>
      <c r="D375" s="56">
        <f>IFERROR(_xlfn.XLOOKUP(SALIDAS[[#This Row],[CODIGO]],LISTADO[CODIGOS],LISTADO[PRODUCTOS]),"NO EXISTE")</f>
        <v/>
      </c>
      <c r="E375" s="19" t="n">
        <v>46085</v>
      </c>
      <c r="F375" s="18" t="n">
        <v>1</v>
      </c>
      <c r="G375" s="18" t="inlineStr">
        <is>
          <t>PERIFERICO</t>
        </is>
      </c>
    </row>
    <row r="376">
      <c r="A376" s="18" t="n">
        <v>258</v>
      </c>
      <c r="B376" t="inlineStr">
        <is>
          <t>00027-HRR</t>
        </is>
      </c>
      <c r="C376" s="56">
        <f>IFERROR(_xlfn.XLOOKUP(SALIDAS[[#This Row],[CODIGO]],LISTADO[CODIGOS],LISTADO[CATEGORIA]),"NO EXISTE")</f>
        <v/>
      </c>
      <c r="D376" s="56">
        <f>IFERROR(_xlfn.XLOOKUP(SALIDAS[[#This Row],[CODIGO]],LISTADO[CODIGOS],LISTADO[PRODUCTOS]),"NO EXISTE")</f>
        <v/>
      </c>
      <c r="E376" s="19" t="n">
        <v>46085</v>
      </c>
      <c r="F376" s="18" t="n">
        <v>1</v>
      </c>
      <c r="G376" s="18" t="inlineStr">
        <is>
          <t>PERIFERICO</t>
        </is>
      </c>
    </row>
    <row r="377">
      <c r="A377" s="18" t="n">
        <v>259</v>
      </c>
      <c r="B377" t="inlineStr">
        <is>
          <t>00030-HRR</t>
        </is>
      </c>
      <c r="C377" s="56">
        <f>IFERROR(_xlfn.XLOOKUP(SALIDAS[[#This Row],[CODIGO]],LISTADO[CODIGOS],LISTADO[CATEGORIA]),"NO EXISTE")</f>
        <v/>
      </c>
      <c r="D377" s="56">
        <f>IFERROR(_xlfn.XLOOKUP(SALIDAS[[#This Row],[CODIGO]],LISTADO[CODIGOS],LISTADO[PRODUCTOS]),"NO EXISTE")</f>
        <v/>
      </c>
      <c r="E377" s="19" t="n">
        <v>46085</v>
      </c>
      <c r="F377" s="18" t="n">
        <v>1</v>
      </c>
      <c r="G377" s="18" t="inlineStr">
        <is>
          <t>PERIFERICO</t>
        </is>
      </c>
    </row>
    <row r="378">
      <c r="A378" s="18" t="n">
        <v>260</v>
      </c>
      <c r="B378" t="inlineStr">
        <is>
          <t>00119-FER</t>
        </is>
      </c>
      <c r="C378" s="56">
        <f>IFERROR(_xlfn.XLOOKUP(SALIDAS[[#This Row],[CODIGO]],LISTADO[CODIGOS],LISTADO[CATEGORIA]),"NO EXISTE")</f>
        <v/>
      </c>
      <c r="D378" s="56">
        <f>IFERROR(_xlfn.XLOOKUP(SALIDAS[[#This Row],[CODIGO]],LISTADO[CODIGOS],LISTADO[PRODUCTOS]),"NO EXISTE")</f>
        <v/>
      </c>
      <c r="E378" s="19" t="n">
        <v>46085</v>
      </c>
      <c r="F378" s="18" t="n">
        <v>4</v>
      </c>
      <c r="G378" s="18" t="inlineStr">
        <is>
          <t>PERIFERICO</t>
        </is>
      </c>
    </row>
    <row r="379">
      <c r="A379" s="18" t="n">
        <v>261</v>
      </c>
      <c r="B379" t="inlineStr">
        <is>
          <t>00031-HRR</t>
        </is>
      </c>
      <c r="C379" s="56">
        <f>IFERROR(_xlfn.XLOOKUP(SALIDAS[[#This Row],[CODIGO]],LISTADO[CODIGOS],LISTADO[CATEGORIA]),"NO EXISTE")</f>
        <v/>
      </c>
      <c r="D379" s="56">
        <f>IFERROR(_xlfn.XLOOKUP(SALIDAS[[#This Row],[CODIGO]],LISTADO[CODIGOS],LISTADO[PRODUCTOS]),"NO EXISTE")</f>
        <v/>
      </c>
      <c r="E379" s="19" t="n">
        <v>46085</v>
      </c>
      <c r="F379" s="18" t="n">
        <v>1</v>
      </c>
      <c r="G379" s="18" t="inlineStr">
        <is>
          <t>PERIFERICO</t>
        </is>
      </c>
    </row>
    <row r="380">
      <c r="A380" s="18" t="n">
        <v>262</v>
      </c>
      <c r="B380" t="inlineStr">
        <is>
          <t>00047-ELE</t>
        </is>
      </c>
      <c r="C380" s="56">
        <f>IFERROR(_xlfn.XLOOKUP(SALIDAS[[#This Row],[CODIGO]],LISTADO[CODIGOS],LISTADO[CATEGORIA]),"NO EXISTE")</f>
        <v/>
      </c>
      <c r="D380" s="56">
        <f>IFERROR(_xlfn.XLOOKUP(SALIDAS[[#This Row],[CODIGO]],LISTADO[CODIGOS],LISTADO[PRODUCTOS]),"NO EXISTE")</f>
        <v/>
      </c>
      <c r="E380" s="19" t="n">
        <v>46085</v>
      </c>
      <c r="F380" s="18" t="n">
        <v>1</v>
      </c>
      <c r="G380" s="18" t="inlineStr">
        <is>
          <t>PERIFERICO</t>
        </is>
      </c>
    </row>
    <row r="381">
      <c r="A381" s="18" t="n">
        <v>263</v>
      </c>
      <c r="B381" t="inlineStr">
        <is>
          <t>00048-ELE</t>
        </is>
      </c>
      <c r="C381" s="56">
        <f>IFERROR(_xlfn.XLOOKUP(SALIDAS[[#This Row],[CODIGO]],LISTADO[CODIGOS],LISTADO[CATEGORIA]),"NO EXISTE")</f>
        <v/>
      </c>
      <c r="D381" s="56">
        <f>IFERROR(_xlfn.XLOOKUP(SALIDAS[[#This Row],[CODIGO]],LISTADO[CODIGOS],LISTADO[PRODUCTOS]),"NO EXISTE")</f>
        <v/>
      </c>
      <c r="E381" s="19" t="n">
        <v>46085</v>
      </c>
      <c r="F381" s="18" t="n">
        <v>3</v>
      </c>
      <c r="G381" s="18" t="inlineStr">
        <is>
          <t>PERIFERICO</t>
        </is>
      </c>
    </row>
    <row r="382">
      <c r="A382" s="18" t="n">
        <v>264</v>
      </c>
      <c r="B382" t="inlineStr">
        <is>
          <t>00049-ELE</t>
        </is>
      </c>
      <c r="C382" s="56">
        <f>IFERROR(_xlfn.XLOOKUP(SALIDAS[[#This Row],[CODIGO]],LISTADO[CODIGOS],LISTADO[CATEGORIA]),"NO EXISTE")</f>
        <v/>
      </c>
      <c r="D382" s="56">
        <f>IFERROR(_xlfn.XLOOKUP(SALIDAS[[#This Row],[CODIGO]],LISTADO[CODIGOS],LISTADO[PRODUCTOS]),"NO EXISTE")</f>
        <v/>
      </c>
      <c r="E382" s="19" t="n">
        <v>46085</v>
      </c>
      <c r="F382" s="18" t="n">
        <v>3</v>
      </c>
      <c r="G382" s="18" t="inlineStr">
        <is>
          <t>PERIFERICO</t>
        </is>
      </c>
    </row>
    <row r="383">
      <c r="B383" t="inlineStr">
        <is>
          <t>00036-REF</t>
        </is>
      </c>
      <c r="C383" s="56">
        <f>IFERROR(_xlfn.XLOOKUP(SALIDAS[[#This Row],[CODIGO]],LISTADO[CODIGOS],LISTADO[CATEGORIA]),"NO EXISTE")</f>
        <v/>
      </c>
      <c r="D383" s="56">
        <f>IFERROR(_xlfn.XLOOKUP(SALIDAS[[#This Row],[CODIGO]],LISTADO[CODIGOS],LISTADO[PRODUCTOS]),"NO EXISTE")</f>
        <v/>
      </c>
      <c r="E383" s="19" t="n">
        <v>46085</v>
      </c>
      <c r="F383" s="18" t="n">
        <v>6</v>
      </c>
      <c r="G383" s="18" t="inlineStr">
        <is>
          <t>NAGUANAGUA 3</t>
        </is>
      </c>
    </row>
    <row r="384">
      <c r="B384" t="inlineStr">
        <is>
          <t>00051-REF</t>
        </is>
      </c>
      <c r="C384" s="56">
        <f>IFERROR(_xlfn.XLOOKUP(SALIDAS[[#This Row],[CODIGO]],LISTADO[CODIGOS],LISTADO[CATEGORIA]),"NO EXISTE")</f>
        <v/>
      </c>
      <c r="D384" s="56">
        <f>IFERROR(_xlfn.XLOOKUP(SALIDAS[[#This Row],[CODIGO]],LISTADO[CODIGOS],LISTADO[PRODUCTOS]),"NO EXISTE")</f>
        <v/>
      </c>
      <c r="E384" s="19" t="n">
        <v>46085</v>
      </c>
      <c r="F384" s="18" t="n">
        <v>3</v>
      </c>
      <c r="G384" s="18" t="inlineStr">
        <is>
          <t>NAGUANAGUA 3</t>
        </is>
      </c>
    </row>
    <row r="385">
      <c r="B385" t="inlineStr">
        <is>
          <t>00037-ILU</t>
        </is>
      </c>
      <c r="C385" s="56">
        <f>IFERROR(_xlfn.XLOOKUP(SALIDAS[[#This Row],[CODIGO]],LISTADO[CODIGOS],LISTADO[CATEGORIA]),"NO EXISTE")</f>
        <v/>
      </c>
      <c r="D385" s="56">
        <f>IFERROR(_xlfn.XLOOKUP(SALIDAS[[#This Row],[CODIGO]],LISTADO[CODIGOS],LISTADO[PRODUCTOS]),"NO EXISTE")</f>
        <v/>
      </c>
      <c r="E385" s="19" t="n">
        <v>46085</v>
      </c>
      <c r="F385" s="18" t="n">
        <v>2</v>
      </c>
      <c r="G385" s="18" t="inlineStr">
        <is>
          <t>ISABELICA</t>
        </is>
      </c>
    </row>
    <row r="386">
      <c r="B386" t="inlineStr">
        <is>
          <t>00005-ELE</t>
        </is>
      </c>
      <c r="C386" s="56">
        <f>IFERROR(_xlfn.XLOOKUP(SALIDAS[[#This Row],[CODIGO]],LISTADO[CODIGOS],LISTADO[CATEGORIA]),"NO EXISTE")</f>
        <v/>
      </c>
      <c r="D386" s="56">
        <f>IFERROR(_xlfn.XLOOKUP(SALIDAS[[#This Row],[CODIGO]],LISTADO[CODIGOS],LISTADO[PRODUCTOS]),"NO EXISTE")</f>
        <v/>
      </c>
      <c r="E386" s="19" t="n">
        <v>46085</v>
      </c>
      <c r="F386" s="18" t="n">
        <v>1</v>
      </c>
      <c r="G386" s="18" t="inlineStr">
        <is>
          <t>NAGUANAGUA 2</t>
        </is>
      </c>
    </row>
    <row r="387">
      <c r="B387" t="inlineStr">
        <is>
          <t>00002-PLM</t>
        </is>
      </c>
      <c r="C387" s="56">
        <f>IFERROR(_xlfn.XLOOKUP(SALIDAS[[#This Row],[CODIGO]],LISTADO[CODIGOS],LISTADO[CATEGORIA]),"NO EXISTE")</f>
        <v/>
      </c>
      <c r="D387" s="56">
        <f>IFERROR(_xlfn.XLOOKUP(SALIDAS[[#This Row],[CODIGO]],LISTADO[CODIGOS],LISTADO[PRODUCTOS]),"NO EXISTE")</f>
        <v/>
      </c>
      <c r="E387" s="19" t="n">
        <v>46085</v>
      </c>
      <c r="F387" s="18" t="n">
        <v>1</v>
      </c>
      <c r="G387" s="18" t="inlineStr">
        <is>
          <t>AV. BOLIVAR</t>
        </is>
      </c>
    </row>
    <row r="388">
      <c r="B388" s="56" t="inlineStr">
        <is>
          <t>00089-FER</t>
        </is>
      </c>
      <c r="C388" s="56">
        <f>IFERROR(_xlfn.XLOOKUP(SALIDAS[[#This Row],[CODIGO]],LISTADO[CODIGOS],LISTADO[CATEGORIA]),"NO EXISTE")</f>
        <v/>
      </c>
      <c r="D388" s="56">
        <f>IFERROR(_xlfn.XLOOKUP(SALIDAS[[#This Row],[CODIGO]],LISTADO[CODIGOS],LISTADO[PRODUCTOS]),"NO EXISTE")</f>
        <v/>
      </c>
      <c r="E388" s="19" t="n">
        <v>46085</v>
      </c>
      <c r="F388" s="18" t="n">
        <v>10</v>
      </c>
      <c r="G388" s="18" t="inlineStr">
        <is>
          <t>LA VIÑA</t>
        </is>
      </c>
    </row>
    <row r="389">
      <c r="B389" s="56" t="inlineStr">
        <is>
          <t>00077-FER</t>
        </is>
      </c>
      <c r="C389" s="56">
        <f>IFERROR(_xlfn.XLOOKUP(SALIDAS[[#This Row],[CODIGO]],LISTADO[CODIGOS],LISTADO[CATEGORIA]),"NO EXISTE")</f>
        <v/>
      </c>
      <c r="D389" s="56">
        <f>IFERROR(_xlfn.XLOOKUP(SALIDAS[[#This Row],[CODIGO]],LISTADO[CODIGOS],LISTADO[PRODUCTOS]),"NO EXISTE")</f>
        <v/>
      </c>
      <c r="E389" s="19" t="n">
        <v>46085</v>
      </c>
      <c r="F389" s="18" t="n">
        <v>1</v>
      </c>
      <c r="G389" s="18" t="inlineStr">
        <is>
          <t>PERIFERICO</t>
        </is>
      </c>
    </row>
    <row r="390">
      <c r="A390" s="18" t="n">
        <v>241</v>
      </c>
      <c r="B390" t="inlineStr">
        <is>
          <t>00118-FER</t>
        </is>
      </c>
      <c r="C390" s="56">
        <f>IFERROR(_xlfn.XLOOKUP(SALIDAS[[#This Row],[CODIGO]],LISTADO[CODIGOS],LISTADO[CATEGORIA]),"NO EXISTE")</f>
        <v/>
      </c>
      <c r="D390" s="56">
        <f>IFERROR(_xlfn.XLOOKUP(SALIDAS[[#This Row],[CODIGO]],LISTADO[CODIGOS],LISTADO[PRODUCTOS]),"NO EXISTE")</f>
        <v/>
      </c>
      <c r="E390" s="19" t="n">
        <v>46086</v>
      </c>
      <c r="F390" s="18" t="n">
        <v>5</v>
      </c>
      <c r="G390" s="18" t="inlineStr">
        <is>
          <t>CORPORATIVO</t>
        </is>
      </c>
    </row>
    <row r="391">
      <c r="B391" t="inlineStr">
        <is>
          <t>00007-ILU</t>
        </is>
      </c>
      <c r="C391" s="56">
        <f>IFERROR(_xlfn.XLOOKUP(SALIDAS[[#This Row],[CODIGO]],LISTADO[CODIGOS],LISTADO[CATEGORIA]),"NO EXISTE")</f>
        <v/>
      </c>
      <c r="D391" s="56">
        <f>IFERROR(_xlfn.XLOOKUP(SALIDAS[[#This Row],[CODIGO]],LISTADO[CODIGOS],LISTADO[PRODUCTOS]),"NO EXISTE")</f>
        <v/>
      </c>
      <c r="E391" s="19" t="n">
        <v>46086</v>
      </c>
      <c r="F391" s="18" t="n">
        <v>1</v>
      </c>
      <c r="G391" s="18" t="inlineStr">
        <is>
          <t>NAGUANAGUA 3</t>
        </is>
      </c>
    </row>
    <row r="392">
      <c r="B392" t="inlineStr">
        <is>
          <t>00027-ILU</t>
        </is>
      </c>
      <c r="C392" s="56">
        <f>IFERROR(_xlfn.XLOOKUP(SALIDAS[[#This Row],[CODIGO]],LISTADO[CODIGOS],LISTADO[CATEGORIA]),"NO EXISTE")</f>
        <v/>
      </c>
      <c r="D392" s="56">
        <f>IFERROR(_xlfn.XLOOKUP(SALIDAS[[#This Row],[CODIGO]],LISTADO[CODIGOS],LISTADO[PRODUCTOS]),"NO EXISTE")</f>
        <v/>
      </c>
      <c r="E392" s="19" t="n">
        <v>46086</v>
      </c>
      <c r="F392" s="18" t="n">
        <v>5</v>
      </c>
      <c r="G392" s="18" t="inlineStr">
        <is>
          <t>PARAPARAL</t>
        </is>
      </c>
    </row>
    <row r="393">
      <c r="B393" t="inlineStr">
        <is>
          <t>00035-ILU</t>
        </is>
      </c>
      <c r="C393" s="56">
        <f>IFERROR(_xlfn.XLOOKUP(SALIDAS[[#This Row],[CODIGO]],LISTADO[CODIGOS],LISTADO[CATEGORIA]),"NO EXISTE")</f>
        <v/>
      </c>
      <c r="D393" s="56">
        <f>IFERROR(_xlfn.XLOOKUP(SALIDAS[[#This Row],[CODIGO]],LISTADO[CODIGOS],LISTADO[PRODUCTOS]),"NO EXISTE")</f>
        <v/>
      </c>
      <c r="E393" s="19" t="n">
        <v>46086</v>
      </c>
      <c r="F393" s="18" t="n">
        <v>1</v>
      </c>
      <c r="G393" s="18" t="inlineStr">
        <is>
          <t>MAÑONGO</t>
        </is>
      </c>
    </row>
    <row r="394">
      <c r="B394" t="inlineStr">
        <is>
          <t>00041-ELE</t>
        </is>
      </c>
      <c r="C394" s="56">
        <f>IFERROR(_xlfn.XLOOKUP(SALIDAS[[#This Row],[CODIGO]],LISTADO[CODIGOS],LISTADO[CATEGORIA]),"NO EXISTE")</f>
        <v/>
      </c>
      <c r="D394" s="56">
        <f>IFERROR(_xlfn.XLOOKUP(SALIDAS[[#This Row],[CODIGO]],LISTADO[CODIGOS],LISTADO[PRODUCTOS]),"NO EXISTE")</f>
        <v/>
      </c>
      <c r="E394" s="19" t="n">
        <v>46086</v>
      </c>
      <c r="F394" s="18" t="n">
        <v>2</v>
      </c>
      <c r="G394" s="18" t="inlineStr">
        <is>
          <t>MAÑONGO</t>
        </is>
      </c>
    </row>
    <row r="395">
      <c r="B395" t="inlineStr">
        <is>
          <t>00046-ELE</t>
        </is>
      </c>
      <c r="C395" s="56">
        <f>IFERROR(_xlfn.XLOOKUP(SALIDAS[[#This Row],[CODIGO]],LISTADO[CODIGOS],LISTADO[CATEGORIA]),"NO EXISTE")</f>
        <v/>
      </c>
      <c r="D395" s="56">
        <f>IFERROR(_xlfn.XLOOKUP(SALIDAS[[#This Row],[CODIGO]],LISTADO[CODIGOS],LISTADO[PRODUCTOS]),"NO EXISTE")</f>
        <v/>
      </c>
      <c r="E395" s="19" t="n">
        <v>46086</v>
      </c>
      <c r="F395" s="18" t="n">
        <v>2</v>
      </c>
      <c r="G395" s="18" t="inlineStr">
        <is>
          <t>MAÑONGO</t>
        </is>
      </c>
    </row>
    <row r="396">
      <c r="B396" t="inlineStr">
        <is>
          <t>00003-ELE</t>
        </is>
      </c>
      <c r="C396" s="56">
        <f>IFERROR(_xlfn.XLOOKUP(SALIDAS[[#This Row],[CODIGO]],LISTADO[CODIGOS],LISTADO[CATEGORIA]),"NO EXISTE")</f>
        <v/>
      </c>
      <c r="D396" s="56">
        <f>IFERROR(_xlfn.XLOOKUP(SALIDAS[[#This Row],[CODIGO]],LISTADO[CODIGOS],LISTADO[PRODUCTOS]),"NO EXISTE")</f>
        <v/>
      </c>
      <c r="E396" s="19" t="n">
        <v>46086</v>
      </c>
      <c r="F396" s="18" t="n">
        <v>10</v>
      </c>
      <c r="G396" s="18" t="inlineStr">
        <is>
          <t>MAÑONGO</t>
        </is>
      </c>
    </row>
    <row r="397">
      <c r="B397" t="inlineStr">
        <is>
          <t>00052-FER</t>
        </is>
      </c>
      <c r="C397" s="56">
        <f>IFERROR(_xlfn.XLOOKUP(SALIDAS[[#This Row],[CODIGO]],LISTADO[CODIGOS],LISTADO[CATEGORIA]),"NO EXISTE")</f>
        <v/>
      </c>
      <c r="D397" s="56">
        <f>IFERROR(_xlfn.XLOOKUP(SALIDAS[[#This Row],[CODIGO]],LISTADO[CODIGOS],LISTADO[PRODUCTOS]),"NO EXISTE")</f>
        <v/>
      </c>
      <c r="E397" s="19" t="n">
        <v>46086</v>
      </c>
      <c r="F397" s="18" t="n">
        <v>4</v>
      </c>
      <c r="G397" s="18" t="inlineStr">
        <is>
          <t>PERIFERICO</t>
        </is>
      </c>
    </row>
    <row r="398">
      <c r="B398" t="inlineStr">
        <is>
          <t>00050-FER</t>
        </is>
      </c>
      <c r="C398" s="56">
        <f>IFERROR(_xlfn.XLOOKUP(SALIDAS[[#This Row],[CODIGO]],LISTADO[CODIGOS],LISTADO[CATEGORIA]),"NO EXISTE")</f>
        <v/>
      </c>
      <c r="D398" s="56">
        <f>IFERROR(_xlfn.XLOOKUP(SALIDAS[[#This Row],[CODIGO]],LISTADO[CODIGOS],LISTADO[PRODUCTOS]),"NO EXISTE")</f>
        <v/>
      </c>
      <c r="E398" s="19" t="n">
        <v>46086</v>
      </c>
      <c r="F398" s="18" t="n">
        <v>1</v>
      </c>
      <c r="G398" s="18" t="inlineStr">
        <is>
          <t>PERIFERICO</t>
        </is>
      </c>
    </row>
    <row r="399">
      <c r="B399" t="inlineStr">
        <is>
          <t>00049-FER</t>
        </is>
      </c>
      <c r="C399" s="56">
        <f>IFERROR(_xlfn.XLOOKUP(SALIDAS[[#This Row],[CODIGO]],LISTADO[CODIGOS],LISTADO[CATEGORIA]),"NO EXISTE")</f>
        <v/>
      </c>
      <c r="D399" s="56">
        <f>IFERROR(_xlfn.XLOOKUP(SALIDAS[[#This Row],[CODIGO]],LISTADO[CODIGOS],LISTADO[PRODUCTOS]),"NO EXISTE")</f>
        <v/>
      </c>
      <c r="E399" s="19" t="n">
        <v>46086</v>
      </c>
      <c r="F399" s="18" t="n">
        <v>1</v>
      </c>
      <c r="G399" s="18" t="inlineStr">
        <is>
          <t>PERIFERICO</t>
        </is>
      </c>
    </row>
    <row r="400">
      <c r="B400" t="inlineStr">
        <is>
          <t>00041-FER</t>
        </is>
      </c>
      <c r="C400" s="56">
        <f>IFERROR(_xlfn.XLOOKUP(SALIDAS[[#This Row],[CODIGO]],LISTADO[CODIGOS],LISTADO[CATEGORIA]),"NO EXISTE")</f>
        <v/>
      </c>
      <c r="D400" s="56">
        <f>IFERROR(_xlfn.XLOOKUP(SALIDAS[[#This Row],[CODIGO]],LISTADO[CODIGOS],LISTADO[PRODUCTOS]),"NO EXISTE")</f>
        <v/>
      </c>
      <c r="E400" s="19" t="n">
        <v>46086</v>
      </c>
      <c r="F400" s="18" t="n">
        <v>1</v>
      </c>
      <c r="G400" s="18" t="inlineStr">
        <is>
          <t>PERIFERICO</t>
        </is>
      </c>
    </row>
    <row r="401">
      <c r="B401" t="inlineStr">
        <is>
          <t>00028-FER</t>
        </is>
      </c>
      <c r="C401" s="56">
        <f>IFERROR(_xlfn.XLOOKUP(SALIDAS[[#This Row],[CODIGO]],LISTADO[CODIGOS],LISTADO[CATEGORIA]),"NO EXISTE")</f>
        <v/>
      </c>
      <c r="D401" s="56">
        <f>IFERROR(_xlfn.XLOOKUP(SALIDAS[[#This Row],[CODIGO]],LISTADO[CODIGOS],LISTADO[PRODUCTOS]),"NO EXISTE")</f>
        <v/>
      </c>
      <c r="E401" s="19" t="n">
        <v>46086</v>
      </c>
      <c r="F401" s="18" t="n">
        <v>3</v>
      </c>
      <c r="G401" s="18" t="inlineStr">
        <is>
          <t>PERIFERICO</t>
        </is>
      </c>
    </row>
    <row r="402">
      <c r="B402" t="inlineStr">
        <is>
          <t>00027-FER</t>
        </is>
      </c>
      <c r="C402" s="56">
        <f>IFERROR(_xlfn.XLOOKUP(SALIDAS[[#This Row],[CODIGO]],LISTADO[CODIGOS],LISTADO[CATEGORIA]),"NO EXISTE")</f>
        <v/>
      </c>
      <c r="D402" s="56">
        <f>IFERROR(_xlfn.XLOOKUP(SALIDAS[[#This Row],[CODIGO]],LISTADO[CODIGOS],LISTADO[PRODUCTOS]),"NO EXISTE")</f>
        <v/>
      </c>
      <c r="E402" s="19" t="n">
        <v>46086</v>
      </c>
      <c r="F402" s="18" t="n">
        <v>4</v>
      </c>
      <c r="G402" s="18" t="inlineStr">
        <is>
          <t>PERIFERICO</t>
        </is>
      </c>
    </row>
    <row r="403">
      <c r="B403" t="inlineStr">
        <is>
          <t>00029-FER</t>
        </is>
      </c>
      <c r="C403" s="56">
        <f>IFERROR(_xlfn.XLOOKUP(SALIDAS[[#This Row],[CODIGO]],LISTADO[CODIGOS],LISTADO[CATEGORIA]),"NO EXISTE")</f>
        <v/>
      </c>
      <c r="D403" s="56">
        <f>IFERROR(_xlfn.XLOOKUP(SALIDAS[[#This Row],[CODIGO]],LISTADO[CODIGOS],LISTADO[PRODUCTOS]),"NO EXISTE")</f>
        <v/>
      </c>
      <c r="E403" s="19" t="n">
        <v>46086</v>
      </c>
      <c r="F403" s="18" t="n">
        <v>3</v>
      </c>
      <c r="G403" s="18" t="inlineStr">
        <is>
          <t>PERIFERICO</t>
        </is>
      </c>
    </row>
    <row r="404">
      <c r="B404" t="inlineStr">
        <is>
          <t>00031-FER</t>
        </is>
      </c>
      <c r="C404" s="56">
        <f>IFERROR(_xlfn.XLOOKUP(SALIDAS[[#This Row],[CODIGO]],LISTADO[CODIGOS],LISTADO[CATEGORIA]),"NO EXISTE")</f>
        <v/>
      </c>
      <c r="D404" s="56">
        <f>IFERROR(_xlfn.XLOOKUP(SALIDAS[[#This Row],[CODIGO]],LISTADO[CODIGOS],LISTADO[PRODUCTOS]),"NO EXISTE")</f>
        <v/>
      </c>
      <c r="E404" s="19" t="n">
        <v>46086</v>
      </c>
      <c r="F404" s="18" t="n">
        <v>3</v>
      </c>
      <c r="G404" s="18" t="inlineStr">
        <is>
          <t>PERIFERICO</t>
        </is>
      </c>
    </row>
    <row r="405">
      <c r="B405" t="inlineStr">
        <is>
          <t>00032-FER</t>
        </is>
      </c>
      <c r="C405" s="56">
        <f>IFERROR(_xlfn.XLOOKUP(SALIDAS[[#This Row],[CODIGO]],LISTADO[CODIGOS],LISTADO[CATEGORIA]),"NO EXISTE")</f>
        <v/>
      </c>
      <c r="D405" s="56">
        <f>IFERROR(_xlfn.XLOOKUP(SALIDAS[[#This Row],[CODIGO]],LISTADO[CODIGOS],LISTADO[PRODUCTOS]),"NO EXISTE")</f>
        <v/>
      </c>
      <c r="E405" s="19" t="n">
        <v>46086</v>
      </c>
      <c r="F405" s="18" t="n">
        <v>2</v>
      </c>
      <c r="G405" s="18" t="inlineStr">
        <is>
          <t>PERIFERICO</t>
        </is>
      </c>
    </row>
    <row r="406">
      <c r="B406" t="inlineStr">
        <is>
          <t>00046-FER</t>
        </is>
      </c>
      <c r="C406" s="56">
        <f>IFERROR(_xlfn.XLOOKUP(SALIDAS[[#This Row],[CODIGO]],LISTADO[CODIGOS],LISTADO[CATEGORIA]),"NO EXISTE")</f>
        <v/>
      </c>
      <c r="D406" s="56">
        <f>IFERROR(_xlfn.XLOOKUP(SALIDAS[[#This Row],[CODIGO]],LISTADO[CODIGOS],LISTADO[PRODUCTOS]),"NO EXISTE")</f>
        <v/>
      </c>
      <c r="E406" s="19" t="n">
        <v>46086</v>
      </c>
      <c r="F406" s="18" t="n">
        <v>2</v>
      </c>
      <c r="G406" s="18" t="inlineStr">
        <is>
          <t>PERIFERICO</t>
        </is>
      </c>
    </row>
    <row r="407">
      <c r="B407" t="inlineStr">
        <is>
          <t>00022-HRR</t>
        </is>
      </c>
      <c r="C407" s="56">
        <f>IFERROR(_xlfn.XLOOKUP(SALIDAS[[#This Row],[CODIGO]],LISTADO[CODIGOS],LISTADO[CATEGORIA]),"NO EXISTE")</f>
        <v/>
      </c>
      <c r="D407" s="56">
        <f>IFERROR(_xlfn.XLOOKUP(SALIDAS[[#This Row],[CODIGO]],LISTADO[CODIGOS],LISTADO[PRODUCTOS]),"NO EXISTE")</f>
        <v/>
      </c>
      <c r="E407" s="19" t="n">
        <v>46086</v>
      </c>
      <c r="F407" s="18" t="n">
        <v>6</v>
      </c>
      <c r="G407" s="18" t="inlineStr">
        <is>
          <t>FLOR AMARILLO</t>
        </is>
      </c>
    </row>
    <row r="408">
      <c r="B408" t="inlineStr">
        <is>
          <t>00076-FER</t>
        </is>
      </c>
      <c r="C408" s="56">
        <f>IFERROR(_xlfn.XLOOKUP(SALIDAS[[#This Row],[CODIGO]],LISTADO[CODIGOS],LISTADO[CATEGORIA]),"NO EXISTE")</f>
        <v/>
      </c>
      <c r="D408" s="56">
        <f>IFERROR(_xlfn.XLOOKUP(SALIDAS[[#This Row],[CODIGO]],LISTADO[CODIGOS],LISTADO[PRODUCTOS]),"NO EXISTE")</f>
        <v/>
      </c>
      <c r="E408" s="19" t="n">
        <v>46087</v>
      </c>
      <c r="F408" s="18" t="n">
        <v>1</v>
      </c>
      <c r="G408" s="18" t="inlineStr">
        <is>
          <t>PERIFERICO</t>
        </is>
      </c>
    </row>
    <row r="409">
      <c r="B409" t="inlineStr">
        <is>
          <t>00050-FER</t>
        </is>
      </c>
      <c r="C409" s="56">
        <f>IFERROR(_xlfn.XLOOKUP(SALIDAS[[#This Row],[CODIGO]],LISTADO[CODIGOS],LISTADO[CATEGORIA]),"NO EXISTE")</f>
        <v/>
      </c>
      <c r="D409" s="56">
        <f>IFERROR(_xlfn.XLOOKUP(SALIDAS[[#This Row],[CODIGO]],LISTADO[CODIGOS],LISTADO[PRODUCTOS]),"NO EXISTE")</f>
        <v/>
      </c>
      <c r="E409" s="19" t="n">
        <v>46087</v>
      </c>
      <c r="F409" s="18" t="n">
        <v>0.75</v>
      </c>
      <c r="G409" s="18" t="inlineStr">
        <is>
          <t>PERIFERICO</t>
        </is>
      </c>
    </row>
    <row r="410">
      <c r="B410" t="inlineStr">
        <is>
          <t>00122-FER</t>
        </is>
      </c>
      <c r="C410" s="56">
        <f>IFERROR(_xlfn.XLOOKUP(SALIDAS[[#This Row],[CODIGO]],LISTADO[CODIGOS],LISTADO[CATEGORIA]),"NO EXISTE")</f>
        <v/>
      </c>
      <c r="D410" s="56">
        <f>IFERROR(_xlfn.XLOOKUP(SALIDAS[[#This Row],[CODIGO]],LISTADO[CODIGOS],LISTADO[PRODUCTOS]),"NO EXISTE")</f>
        <v/>
      </c>
      <c r="E410" s="19" t="n">
        <v>46087</v>
      </c>
      <c r="F410" s="18" t="n">
        <v>1</v>
      </c>
      <c r="G410" s="18" t="inlineStr">
        <is>
          <t>PERIFERICO</t>
        </is>
      </c>
    </row>
    <row r="411">
      <c r="B411" t="inlineStr">
        <is>
          <t>00123-FER</t>
        </is>
      </c>
      <c r="C411" s="56">
        <f>IFERROR(_xlfn.XLOOKUP(SALIDAS[[#This Row],[CODIGO]],LISTADO[CODIGOS],LISTADO[CATEGORIA]),"NO EXISTE")</f>
        <v/>
      </c>
      <c r="D411" s="56">
        <f>IFERROR(_xlfn.XLOOKUP(SALIDAS[[#This Row],[CODIGO]],LISTADO[CODIGOS],LISTADO[PRODUCTOS]),"NO EXISTE")</f>
        <v/>
      </c>
      <c r="E411" s="19" t="n">
        <v>46087</v>
      </c>
      <c r="F411" s="18" t="n">
        <v>1</v>
      </c>
      <c r="G411" s="18" t="inlineStr">
        <is>
          <t>PERIFERICO</t>
        </is>
      </c>
    </row>
    <row r="412">
      <c r="B412" t="inlineStr">
        <is>
          <t>00006-UNI</t>
        </is>
      </c>
      <c r="C412" s="56">
        <f>IFERROR(_xlfn.XLOOKUP(SALIDAS[[#This Row],[CODIGO]],LISTADO[CODIGOS],LISTADO[CATEGORIA]),"NO EXISTE")</f>
        <v/>
      </c>
      <c r="D412" s="56">
        <f>IFERROR(_xlfn.XLOOKUP(SALIDAS[[#This Row],[CODIGO]],LISTADO[CODIGOS],LISTADO[PRODUCTOS]),"NO EXISTE")</f>
        <v/>
      </c>
      <c r="E412" s="19" t="n">
        <v>46087</v>
      </c>
      <c r="F412" s="18" t="n">
        <v>7</v>
      </c>
      <c r="G412" s="18" t="inlineStr">
        <is>
          <t>LA VEGA (CARACAS)</t>
        </is>
      </c>
    </row>
    <row r="413">
      <c r="B413" t="inlineStr">
        <is>
          <t>00013-UNI</t>
        </is>
      </c>
      <c r="C413" s="56">
        <f>IFERROR(_xlfn.XLOOKUP(SALIDAS[[#This Row],[CODIGO]],LISTADO[CODIGOS],LISTADO[CATEGORIA]),"NO EXISTE")</f>
        <v/>
      </c>
      <c r="D413" s="56">
        <f>IFERROR(_xlfn.XLOOKUP(SALIDAS[[#This Row],[CODIGO]],LISTADO[CODIGOS],LISTADO[PRODUCTOS]),"NO EXISTE")</f>
        <v/>
      </c>
      <c r="E413" s="19" t="n">
        <v>46087</v>
      </c>
      <c r="F413" s="18" t="n">
        <v>17</v>
      </c>
      <c r="G413" s="18" t="inlineStr">
        <is>
          <t>LA VEGA (CARACAS)</t>
        </is>
      </c>
    </row>
    <row r="414">
      <c r="B414" t="inlineStr">
        <is>
          <t>00008-UNI</t>
        </is>
      </c>
      <c r="C414" s="56">
        <f>IFERROR(_xlfn.XLOOKUP(SALIDAS[[#This Row],[CODIGO]],LISTADO[CODIGOS],LISTADO[CATEGORIA]),"NO EXISTE")</f>
        <v/>
      </c>
      <c r="D414" s="56">
        <f>IFERROR(_xlfn.XLOOKUP(SALIDAS[[#This Row],[CODIGO]],LISTADO[CODIGOS],LISTADO[PRODUCTOS]),"NO EXISTE")</f>
        <v/>
      </c>
      <c r="E414" s="19" t="n">
        <v>46087</v>
      </c>
      <c r="F414" s="18" t="n">
        <v>4</v>
      </c>
      <c r="G414" s="18" t="inlineStr">
        <is>
          <t>LA VEGA (CARACAS)</t>
        </is>
      </c>
    </row>
    <row r="415">
      <c r="B415" t="inlineStr">
        <is>
          <t>00009-UNI</t>
        </is>
      </c>
      <c r="C415" s="56">
        <f>IFERROR(_xlfn.XLOOKUP(SALIDAS[[#This Row],[CODIGO]],LISTADO[CODIGOS],LISTADO[CATEGORIA]),"NO EXISTE")</f>
        <v/>
      </c>
      <c r="D415" s="56">
        <f>IFERROR(_xlfn.XLOOKUP(SALIDAS[[#This Row],[CODIGO]],LISTADO[CODIGOS],LISTADO[PRODUCTOS]),"NO EXISTE")</f>
        <v/>
      </c>
      <c r="E415" s="19" t="n">
        <v>46087</v>
      </c>
      <c r="F415" s="18" t="n">
        <v>1</v>
      </c>
      <c r="G415" s="18" t="inlineStr">
        <is>
          <t>LA VEGA (CARACAS)</t>
        </is>
      </c>
    </row>
    <row r="416">
      <c r="B416" t="inlineStr">
        <is>
          <t>00001-LIM</t>
        </is>
      </c>
      <c r="C416" s="56">
        <f>IFERROR(_xlfn.XLOOKUP(SALIDAS[[#This Row],[CODIGO]],LISTADO[CODIGOS],LISTADO[CATEGORIA]),"NO EXISTE")</f>
        <v/>
      </c>
      <c r="D416" s="56">
        <f>IFERROR(_xlfn.XLOOKUP(SALIDAS[[#This Row],[CODIGO]],LISTADO[CODIGOS],LISTADO[PRODUCTOS]),"NO EXISTE")</f>
        <v/>
      </c>
      <c r="E416" s="19" t="n">
        <v>46087</v>
      </c>
      <c r="F416" s="18" t="n">
        <v>2</v>
      </c>
      <c r="G416" s="18" t="inlineStr">
        <is>
          <t>NAGUANAGUA 3</t>
        </is>
      </c>
    </row>
    <row r="417">
      <c r="B417" t="inlineStr">
        <is>
          <t>00001-LIM</t>
        </is>
      </c>
      <c r="C417" s="56">
        <f>IFERROR(_xlfn.XLOOKUP(SALIDAS[[#This Row],[CODIGO]],LISTADO[CODIGOS],LISTADO[CATEGORIA]),"NO EXISTE")</f>
        <v/>
      </c>
      <c r="D417" s="56">
        <f>IFERROR(_xlfn.XLOOKUP(SALIDAS[[#This Row],[CODIGO]],LISTADO[CODIGOS],LISTADO[PRODUCTOS]),"NO EXISTE")</f>
        <v/>
      </c>
      <c r="E417" s="19" t="n">
        <v>46087</v>
      </c>
      <c r="F417" s="18" t="n">
        <v>2</v>
      </c>
      <c r="G417" s="18" t="inlineStr">
        <is>
          <t>NAGUANAGUA 1</t>
        </is>
      </c>
    </row>
    <row r="418">
      <c r="B418" t="inlineStr">
        <is>
          <t>00003-LIM</t>
        </is>
      </c>
      <c r="C418" s="56">
        <f>IFERROR(_xlfn.XLOOKUP(SALIDAS[[#This Row],[CODIGO]],LISTADO[CODIGOS],LISTADO[CATEGORIA]),"NO EXISTE")</f>
        <v/>
      </c>
      <c r="D418" s="56">
        <f>IFERROR(_xlfn.XLOOKUP(SALIDAS[[#This Row],[CODIGO]],LISTADO[CODIGOS],LISTADO[PRODUCTOS]),"NO EXISTE")</f>
        <v/>
      </c>
      <c r="E418" s="19" t="n">
        <v>46087</v>
      </c>
      <c r="F418" s="18" t="n">
        <v>1</v>
      </c>
      <c r="G418" s="18" t="inlineStr">
        <is>
          <t>NAGUANAGUA 3</t>
        </is>
      </c>
    </row>
    <row r="419">
      <c r="B419" t="inlineStr">
        <is>
          <t>00003-LIM</t>
        </is>
      </c>
      <c r="C419" s="56">
        <f>IFERROR(_xlfn.XLOOKUP(SALIDAS[[#This Row],[CODIGO]],LISTADO[CODIGOS],LISTADO[CATEGORIA]),"NO EXISTE")</f>
        <v/>
      </c>
      <c r="D419" s="56">
        <f>IFERROR(_xlfn.XLOOKUP(SALIDAS[[#This Row],[CODIGO]],LISTADO[CODIGOS],LISTADO[PRODUCTOS]),"NO EXISTE")</f>
        <v/>
      </c>
      <c r="E419" s="19" t="n">
        <v>46087</v>
      </c>
      <c r="F419" s="18" t="n">
        <v>1</v>
      </c>
      <c r="G419" s="18" t="inlineStr">
        <is>
          <t>NAGUANAGUA 1</t>
        </is>
      </c>
    </row>
    <row r="420">
      <c r="B420" t="inlineStr">
        <is>
          <t>00004-LIM</t>
        </is>
      </c>
      <c r="C420" s="56">
        <f>IFERROR(_xlfn.XLOOKUP(SALIDAS[[#This Row],[CODIGO]],LISTADO[CODIGOS],LISTADO[CATEGORIA]),"NO EXISTE")</f>
        <v/>
      </c>
      <c r="D420" s="56">
        <f>IFERROR(_xlfn.XLOOKUP(SALIDAS[[#This Row],[CODIGO]],LISTADO[CODIGOS],LISTADO[PRODUCTOS]),"NO EXISTE")</f>
        <v/>
      </c>
      <c r="E420" s="19" t="n">
        <v>46087</v>
      </c>
      <c r="F420" s="18" t="n">
        <v>2</v>
      </c>
      <c r="G420" s="18" t="inlineStr">
        <is>
          <t>NAGUANAGUA 3</t>
        </is>
      </c>
    </row>
    <row r="421">
      <c r="B421" t="inlineStr">
        <is>
          <t>00004-LIM</t>
        </is>
      </c>
      <c r="C421" s="56">
        <f>IFERROR(_xlfn.XLOOKUP(SALIDAS[[#This Row],[CODIGO]],LISTADO[CODIGOS],LISTADO[CATEGORIA]),"NO EXISTE")</f>
        <v/>
      </c>
      <c r="D421" s="56">
        <f>IFERROR(_xlfn.XLOOKUP(SALIDAS[[#This Row],[CODIGO]],LISTADO[CODIGOS],LISTADO[PRODUCTOS]),"NO EXISTE")</f>
        <v/>
      </c>
      <c r="E421" s="19" t="n">
        <v>46087</v>
      </c>
      <c r="F421" s="18" t="n">
        <v>2</v>
      </c>
      <c r="G421" s="18" t="inlineStr">
        <is>
          <t>NAGUANAGUA 1</t>
        </is>
      </c>
    </row>
    <row r="422">
      <c r="B422" t="inlineStr">
        <is>
          <t>00086-REF</t>
        </is>
      </c>
      <c r="C422" s="56">
        <f>IFERROR(_xlfn.XLOOKUP(SALIDAS[[#This Row],[CODIGO]],LISTADO[CODIGOS],LISTADO[CATEGORIA]),"NO EXISTE")</f>
        <v/>
      </c>
      <c r="D422" s="56">
        <f>IFERROR(_xlfn.XLOOKUP(SALIDAS[[#This Row],[CODIGO]],LISTADO[CODIGOS],LISTADO[PRODUCTOS]),"NO EXISTE")</f>
        <v/>
      </c>
      <c r="E422" s="19" t="n">
        <v>46087</v>
      </c>
      <c r="F422" s="18" t="n">
        <v>1</v>
      </c>
      <c r="G422" s="18" t="inlineStr">
        <is>
          <t>AV. CEDEÑO</t>
        </is>
      </c>
    </row>
    <row r="423">
      <c r="B423" t="inlineStr">
        <is>
          <t>00124-FER</t>
        </is>
      </c>
      <c r="C423" s="56">
        <f>IFERROR(_xlfn.XLOOKUP(SALIDAS[[#This Row],[CODIGO]],LISTADO[CODIGOS],LISTADO[CATEGORIA]),"NO EXISTE")</f>
        <v/>
      </c>
      <c r="D423" s="56">
        <f>IFERROR(_xlfn.XLOOKUP(SALIDAS[[#This Row],[CODIGO]],LISTADO[CODIGOS],LISTADO[PRODUCTOS]),"NO EXISTE")</f>
        <v/>
      </c>
      <c r="E423" s="19" t="n">
        <v>46087</v>
      </c>
      <c r="F423" s="18" t="n">
        <v>1</v>
      </c>
      <c r="G423" s="18" t="inlineStr">
        <is>
          <t>PERIFERICO</t>
        </is>
      </c>
    </row>
    <row r="424">
      <c r="B424" t="inlineStr">
        <is>
          <t>00039-FER</t>
        </is>
      </c>
      <c r="C424" s="56">
        <f>IFERROR(_xlfn.XLOOKUP(SALIDAS[[#This Row],[CODIGO]],LISTADO[CODIGOS],LISTADO[CATEGORIA]),"NO EXISTE")</f>
        <v/>
      </c>
      <c r="D424" s="56">
        <f>IFERROR(_xlfn.XLOOKUP(SALIDAS[[#This Row],[CODIGO]],LISTADO[CODIGOS],LISTADO[PRODUCTOS]),"NO EXISTE")</f>
        <v/>
      </c>
      <c r="E424" s="19" t="n">
        <v>46087</v>
      </c>
      <c r="F424" s="18" t="n">
        <v>0.5</v>
      </c>
      <c r="G424" s="18" t="inlineStr">
        <is>
          <t>PERIFERICO</t>
        </is>
      </c>
    </row>
    <row r="425">
      <c r="B425" t="inlineStr">
        <is>
          <t>00036-FER</t>
        </is>
      </c>
      <c r="C425" s="56">
        <f>IFERROR(_xlfn.XLOOKUP(SALIDAS[[#This Row],[CODIGO]],LISTADO[CODIGOS],LISTADO[CATEGORIA]),"NO EXISTE")</f>
        <v/>
      </c>
      <c r="D425" s="56">
        <f>IFERROR(_xlfn.XLOOKUP(SALIDAS[[#This Row],[CODIGO]],LISTADO[CODIGOS],LISTADO[PRODUCTOS]),"NO EXISTE")</f>
        <v/>
      </c>
      <c r="E425" s="19" t="n">
        <v>46087</v>
      </c>
      <c r="F425" s="18" t="n">
        <v>2.5</v>
      </c>
      <c r="G425" s="18" t="inlineStr">
        <is>
          <t>PERIFERICO</t>
        </is>
      </c>
    </row>
    <row r="426">
      <c r="B426" t="inlineStr">
        <is>
          <t>00032-FER</t>
        </is>
      </c>
      <c r="C426" s="56">
        <f>IFERROR(_xlfn.XLOOKUP(SALIDAS[[#This Row],[CODIGO]],LISTADO[CODIGOS],LISTADO[CATEGORIA]),"NO EXISTE")</f>
        <v/>
      </c>
      <c r="D426" s="56">
        <f>IFERROR(_xlfn.XLOOKUP(SALIDAS[[#This Row],[CODIGO]],LISTADO[CODIGOS],LISTADO[PRODUCTOS]),"NO EXISTE")</f>
        <v/>
      </c>
      <c r="E426" s="19" t="n">
        <v>46087</v>
      </c>
      <c r="F426" s="18" t="n">
        <v>1</v>
      </c>
      <c r="G426" s="18" t="inlineStr">
        <is>
          <t>PERIFERICO</t>
        </is>
      </c>
    </row>
    <row r="427">
      <c r="B427" t="inlineStr">
        <is>
          <t>00031-FER</t>
        </is>
      </c>
      <c r="C427" s="56">
        <f>IFERROR(_xlfn.XLOOKUP(SALIDAS[[#This Row],[CODIGO]],LISTADO[CODIGOS],LISTADO[CATEGORIA]),"NO EXISTE")</f>
        <v/>
      </c>
      <c r="D427" s="56">
        <f>IFERROR(_xlfn.XLOOKUP(SALIDAS[[#This Row],[CODIGO]],LISTADO[CODIGOS],LISTADO[PRODUCTOS]),"NO EXISTE")</f>
        <v/>
      </c>
      <c r="E427" s="19" t="n">
        <v>46087</v>
      </c>
      <c r="F427" s="18" t="n">
        <v>2</v>
      </c>
      <c r="G427" s="18" t="inlineStr">
        <is>
          <t>PERIFERICO</t>
        </is>
      </c>
    </row>
    <row r="428">
      <c r="B428" t="inlineStr">
        <is>
          <t>00025-FER</t>
        </is>
      </c>
      <c r="C428" s="56">
        <f>IFERROR(_xlfn.XLOOKUP(SALIDAS[[#This Row],[CODIGO]],LISTADO[CODIGOS],LISTADO[CATEGORIA]),"NO EXISTE")</f>
        <v/>
      </c>
      <c r="D428" s="56">
        <f>IFERROR(_xlfn.XLOOKUP(SALIDAS[[#This Row],[CODIGO]],LISTADO[CODIGOS],LISTADO[PRODUCTOS]),"NO EXISTE")</f>
        <v/>
      </c>
      <c r="E428" s="19" t="n">
        <v>46087</v>
      </c>
      <c r="F428" s="18" t="n">
        <v>1</v>
      </c>
      <c r="G428" s="18" t="inlineStr">
        <is>
          <t>PERIFERICO</t>
        </is>
      </c>
    </row>
    <row r="429">
      <c r="B429" t="inlineStr">
        <is>
          <t>00043-FER</t>
        </is>
      </c>
      <c r="C429" s="56">
        <f>IFERROR(_xlfn.XLOOKUP(SALIDAS[[#This Row],[CODIGO]],LISTADO[CODIGOS],LISTADO[CATEGORIA]),"NO EXISTE")</f>
        <v/>
      </c>
      <c r="D429" s="56">
        <f>IFERROR(_xlfn.XLOOKUP(SALIDAS[[#This Row],[CODIGO]],LISTADO[CODIGOS],LISTADO[PRODUCTOS]),"NO EXISTE")</f>
        <v/>
      </c>
      <c r="E429" s="19" t="n">
        <v>46087</v>
      </c>
      <c r="F429" s="18" t="n">
        <v>3</v>
      </c>
      <c r="G429" s="18" t="inlineStr">
        <is>
          <t>PERIFERICO</t>
        </is>
      </c>
    </row>
    <row r="430">
      <c r="B430" t="inlineStr">
        <is>
          <t>00046-FER</t>
        </is>
      </c>
      <c r="C430" s="56">
        <f>IFERROR(_xlfn.XLOOKUP(SALIDAS[[#This Row],[CODIGO]],LISTADO[CODIGOS],LISTADO[CATEGORIA]),"NO EXISTE")</f>
        <v/>
      </c>
      <c r="D430" s="56">
        <f>IFERROR(_xlfn.XLOOKUP(SALIDAS[[#This Row],[CODIGO]],LISTADO[CODIGOS],LISTADO[PRODUCTOS]),"NO EXISTE")</f>
        <v/>
      </c>
      <c r="E430" s="19" t="n">
        <v>46087</v>
      </c>
      <c r="F430" s="18" t="n">
        <v>0.25</v>
      </c>
      <c r="G430" s="18" t="inlineStr">
        <is>
          <t>PERIFERICO</t>
        </is>
      </c>
    </row>
    <row r="431">
      <c r="B431" t="inlineStr">
        <is>
          <t>00140-FER</t>
        </is>
      </c>
      <c r="C431" s="56">
        <f>IFERROR(_xlfn.XLOOKUP(SALIDAS[[#This Row],[CODIGO]],LISTADO[CODIGOS],LISTADO[CATEGORIA]),"NO EXISTE")</f>
        <v/>
      </c>
      <c r="D431" s="56">
        <f>IFERROR(_xlfn.XLOOKUP(SALIDAS[[#This Row],[CODIGO]],LISTADO[CODIGOS],LISTADO[PRODUCTOS]),"NO EXISTE")</f>
        <v/>
      </c>
      <c r="E431" s="19" t="n">
        <v>46087</v>
      </c>
      <c r="F431" s="18" t="n">
        <v>1</v>
      </c>
      <c r="G431" s="18" t="inlineStr">
        <is>
          <t>PERIFERICO</t>
        </is>
      </c>
    </row>
    <row r="432">
      <c r="B432" s="18" t="inlineStr">
        <is>
          <t>00063-ELE</t>
        </is>
      </c>
      <c r="C432" s="56">
        <f>IFERROR(_xlfn.XLOOKUP(SALIDAS[[#This Row],[CODIGO]],LISTADO[CODIGOS],LISTADO[CATEGORIA]),"NO EXISTE")</f>
        <v/>
      </c>
      <c r="D432" s="56">
        <f>IFERROR(_xlfn.XLOOKUP(SALIDAS[[#This Row],[CODIGO]],LISTADO[CODIGOS],LISTADO[PRODUCTOS]),"NO EXISTE")</f>
        <v/>
      </c>
      <c r="E432" s="19" t="n">
        <v>46087</v>
      </c>
      <c r="F432" s="18" t="n">
        <v>1</v>
      </c>
      <c r="G432" s="18" t="inlineStr">
        <is>
          <t xml:space="preserve">CEDI SECO </t>
        </is>
      </c>
    </row>
    <row r="433">
      <c r="B433" s="18" t="inlineStr">
        <is>
          <t>00146-FER</t>
        </is>
      </c>
      <c r="C433" s="56">
        <f>IFERROR(_xlfn.XLOOKUP(SALIDAS[[#This Row],[CODIGO]],LISTADO[CODIGOS],LISTADO[CATEGORIA]),"NO EXISTE")</f>
        <v/>
      </c>
      <c r="D433" s="56">
        <f>IFERROR(_xlfn.XLOOKUP(SALIDAS[[#This Row],[CODIGO]],LISTADO[CODIGOS],LISTADO[PRODUCTOS]),"NO EXISTE")</f>
        <v/>
      </c>
      <c r="E433" s="19" t="n">
        <v>46087</v>
      </c>
      <c r="F433" s="18" t="n">
        <v>1</v>
      </c>
      <c r="G433" s="18" t="inlineStr">
        <is>
          <t>ISABELICA</t>
        </is>
      </c>
    </row>
    <row r="434">
      <c r="B434" t="inlineStr">
        <is>
          <t>00063-UNI</t>
        </is>
      </c>
      <c r="C434" s="56">
        <f>IFERROR(_xlfn.XLOOKUP(SALIDAS[[#This Row],[CODIGO]],LISTADO[CODIGOS],LISTADO[CATEGORIA]),"NO EXISTE")</f>
        <v/>
      </c>
      <c r="D434" s="56">
        <f>IFERROR(_xlfn.XLOOKUP(SALIDAS[[#This Row],[CODIGO]],LISTADO[CODIGOS],LISTADO[PRODUCTOS]),"NO EXISTE")</f>
        <v/>
      </c>
      <c r="E434" s="19" t="n">
        <v>46088</v>
      </c>
      <c r="F434" s="18" t="n">
        <v>1</v>
      </c>
      <c r="G434" s="18" t="inlineStr">
        <is>
          <t>CORPORATIVO</t>
        </is>
      </c>
    </row>
    <row r="435">
      <c r="B435" t="inlineStr">
        <is>
          <t>00064-UNI</t>
        </is>
      </c>
      <c r="C435" s="56">
        <f>IFERROR(_xlfn.XLOOKUP(SALIDAS[[#This Row],[CODIGO]],LISTADO[CODIGOS],LISTADO[CATEGORIA]),"NO EXISTE")</f>
        <v/>
      </c>
      <c r="D435" s="56">
        <f>IFERROR(_xlfn.XLOOKUP(SALIDAS[[#This Row],[CODIGO]],LISTADO[CODIGOS],LISTADO[PRODUCTOS]),"NO EXISTE")</f>
        <v/>
      </c>
      <c r="E435" s="19" t="n">
        <v>46088</v>
      </c>
      <c r="F435" s="18" t="n">
        <v>1</v>
      </c>
      <c r="G435" s="18" t="inlineStr">
        <is>
          <t>CORPORATIVO</t>
        </is>
      </c>
    </row>
    <row r="436">
      <c r="B436" t="inlineStr">
        <is>
          <t>00065-UNI</t>
        </is>
      </c>
      <c r="C436" s="56">
        <f>IFERROR(_xlfn.XLOOKUP(SALIDAS[[#This Row],[CODIGO]],LISTADO[CODIGOS],LISTADO[CATEGORIA]),"NO EXISTE")</f>
        <v/>
      </c>
      <c r="D436" s="56">
        <f>IFERROR(_xlfn.XLOOKUP(SALIDAS[[#This Row],[CODIGO]],LISTADO[CODIGOS],LISTADO[PRODUCTOS]),"NO EXISTE")</f>
        <v/>
      </c>
      <c r="E436" s="19" t="n">
        <v>46088</v>
      </c>
      <c r="F436" s="18" t="n">
        <v>1</v>
      </c>
      <c r="G436" s="18" t="inlineStr">
        <is>
          <t>CORPORATIVO</t>
        </is>
      </c>
    </row>
    <row r="437">
      <c r="B437" t="inlineStr">
        <is>
          <t>00078-FER</t>
        </is>
      </c>
      <c r="C437" s="56">
        <f>IFERROR(_xlfn.XLOOKUP(SALIDAS[[#This Row],[CODIGO]],LISTADO[CODIGOS],LISTADO[CATEGORIA]),"NO EXISTE")</f>
        <v/>
      </c>
      <c r="D437" s="56">
        <f>IFERROR(_xlfn.XLOOKUP(SALIDAS[[#This Row],[CODIGO]],LISTADO[CODIGOS],LISTADO[PRODUCTOS]),"NO EXISTE")</f>
        <v/>
      </c>
      <c r="E437" s="19" t="n">
        <v>46088</v>
      </c>
      <c r="F437" s="18" t="n">
        <v>2</v>
      </c>
      <c r="G437" s="18" t="inlineStr">
        <is>
          <t>TOCUYITO</t>
        </is>
      </c>
    </row>
    <row r="438">
      <c r="B438" t="inlineStr">
        <is>
          <t>00039-PLM</t>
        </is>
      </c>
      <c r="C438" s="56">
        <f>IFERROR(_xlfn.XLOOKUP(SALIDAS[[#This Row],[CODIGO]],LISTADO[CODIGOS],LISTADO[CATEGORIA]),"NO EXISTE")</f>
        <v/>
      </c>
      <c r="D438" s="56">
        <f>IFERROR(_xlfn.XLOOKUP(SALIDAS[[#This Row],[CODIGO]],LISTADO[CODIGOS],LISTADO[PRODUCTOS]),"NO EXISTE")</f>
        <v/>
      </c>
      <c r="E438" s="19" t="n">
        <v>46088</v>
      </c>
      <c r="F438" s="18" t="n">
        <v>2</v>
      </c>
      <c r="G438" s="18" t="inlineStr">
        <is>
          <t>TOCUYITO</t>
        </is>
      </c>
    </row>
    <row r="439">
      <c r="B439" t="inlineStr">
        <is>
          <t>00016-HRR</t>
        </is>
      </c>
      <c r="C439" s="56">
        <f>IFERROR(_xlfn.XLOOKUP(SALIDAS[[#This Row],[CODIGO]],LISTADO[CODIGOS],LISTADO[CATEGORIA]),"NO EXISTE")</f>
        <v/>
      </c>
      <c r="D439" s="56">
        <f>IFERROR(_xlfn.XLOOKUP(SALIDAS[[#This Row],[CODIGO]],LISTADO[CODIGOS],LISTADO[PRODUCTOS]),"NO EXISTE")</f>
        <v/>
      </c>
      <c r="E439" s="19" t="n">
        <v>46088</v>
      </c>
      <c r="F439" s="18" t="n">
        <v>3</v>
      </c>
      <c r="G439" s="18" t="inlineStr">
        <is>
          <t>TOCUYITO</t>
        </is>
      </c>
    </row>
    <row r="440">
      <c r="B440" t="inlineStr">
        <is>
          <t>00020-HRR</t>
        </is>
      </c>
      <c r="C440" s="56">
        <f>IFERROR(_xlfn.XLOOKUP(SALIDAS[[#This Row],[CODIGO]],LISTADO[CODIGOS],LISTADO[CATEGORIA]),"NO EXISTE")</f>
        <v/>
      </c>
      <c r="D440" s="56">
        <f>IFERROR(_xlfn.XLOOKUP(SALIDAS[[#This Row],[CODIGO]],LISTADO[CODIGOS],LISTADO[PRODUCTOS]),"NO EXISTE")</f>
        <v/>
      </c>
      <c r="E440" s="19" t="n">
        <v>46088</v>
      </c>
      <c r="F440" s="18" t="n">
        <v>5</v>
      </c>
      <c r="G440" s="18" t="inlineStr">
        <is>
          <t>TOCUYITO</t>
        </is>
      </c>
    </row>
    <row r="441">
      <c r="B441" t="inlineStr">
        <is>
          <t>00097-FER</t>
        </is>
      </c>
      <c r="C441" s="56">
        <f>IFERROR(_xlfn.XLOOKUP(SALIDAS[[#This Row],[CODIGO]],LISTADO[CODIGOS],LISTADO[CATEGORIA]),"NO EXISTE")</f>
        <v/>
      </c>
      <c r="D441" s="56">
        <f>IFERROR(_xlfn.XLOOKUP(SALIDAS[[#This Row],[CODIGO]],LISTADO[CODIGOS],LISTADO[PRODUCTOS]),"NO EXISTE")</f>
        <v/>
      </c>
      <c r="E441" s="19" t="n">
        <v>46088</v>
      </c>
      <c r="F441" s="18" t="n">
        <v>7</v>
      </c>
      <c r="G441" s="18" t="inlineStr">
        <is>
          <t>TOCUYITO</t>
        </is>
      </c>
    </row>
    <row r="442">
      <c r="B442" t="inlineStr">
        <is>
          <t>00023-HRR</t>
        </is>
      </c>
      <c r="C442" s="56">
        <f>IFERROR(_xlfn.XLOOKUP(SALIDAS[[#This Row],[CODIGO]],LISTADO[CODIGOS],LISTADO[CATEGORIA]),"NO EXISTE")</f>
        <v/>
      </c>
      <c r="D442" s="56">
        <f>IFERROR(_xlfn.XLOOKUP(SALIDAS[[#This Row],[CODIGO]],LISTADO[CODIGOS],LISTADO[PRODUCTOS]),"NO EXISTE")</f>
        <v/>
      </c>
      <c r="E442" s="19" t="n">
        <v>46088</v>
      </c>
      <c r="F442" s="18" t="n">
        <v>1</v>
      </c>
      <c r="G442" s="18" t="inlineStr">
        <is>
          <t>TOCUYITO</t>
        </is>
      </c>
    </row>
    <row r="443">
      <c r="B443" t="inlineStr">
        <is>
          <t>00019-HRR</t>
        </is>
      </c>
      <c r="C443" s="56">
        <f>IFERROR(_xlfn.XLOOKUP(SALIDAS[[#This Row],[CODIGO]],LISTADO[CODIGOS],LISTADO[CATEGORIA]),"NO EXISTE")</f>
        <v/>
      </c>
      <c r="D443" s="56">
        <f>IFERROR(_xlfn.XLOOKUP(SALIDAS[[#This Row],[CODIGO]],LISTADO[CODIGOS],LISTADO[PRODUCTOS]),"NO EXISTE")</f>
        <v/>
      </c>
      <c r="E443" s="19" t="n">
        <v>46088</v>
      </c>
      <c r="F443" s="18" t="n">
        <v>1.5</v>
      </c>
      <c r="G443" s="18" t="inlineStr">
        <is>
          <t>TOCUYITO</t>
        </is>
      </c>
    </row>
    <row r="444">
      <c r="B444" t="inlineStr">
        <is>
          <t>00001-LIM</t>
        </is>
      </c>
      <c r="C444" s="56">
        <f>IFERROR(_xlfn.XLOOKUP(SALIDAS[[#This Row],[CODIGO]],LISTADO[CODIGOS],LISTADO[CATEGORIA]),"NO EXISTE")</f>
        <v/>
      </c>
      <c r="D444" s="56">
        <f>IFERROR(_xlfn.XLOOKUP(SALIDAS[[#This Row],[CODIGO]],LISTADO[CODIGOS],LISTADO[PRODUCTOS]),"NO EXISTE")</f>
        <v/>
      </c>
      <c r="E444" s="19" t="n">
        <v>46088</v>
      </c>
      <c r="F444" s="18" t="n">
        <v>2</v>
      </c>
      <c r="G444" s="18" t="inlineStr">
        <is>
          <t>ISABELICA</t>
        </is>
      </c>
    </row>
    <row r="445">
      <c r="B445" t="inlineStr">
        <is>
          <t>00003-LIM</t>
        </is>
      </c>
      <c r="C445" s="56">
        <f>IFERROR(_xlfn.XLOOKUP(SALIDAS[[#This Row],[CODIGO]],LISTADO[CODIGOS],LISTADO[CATEGORIA]),"NO EXISTE")</f>
        <v/>
      </c>
      <c r="D445" s="56">
        <f>IFERROR(_xlfn.XLOOKUP(SALIDAS[[#This Row],[CODIGO]],LISTADO[CODIGOS],LISTADO[PRODUCTOS]),"NO EXISTE")</f>
        <v/>
      </c>
      <c r="E445" s="19" t="n">
        <v>46088</v>
      </c>
      <c r="F445" s="18" t="n">
        <v>1</v>
      </c>
      <c r="G445" s="18" t="inlineStr">
        <is>
          <t>ISABELICA</t>
        </is>
      </c>
    </row>
    <row r="446">
      <c r="B446" t="inlineStr">
        <is>
          <t>00005-LIM</t>
        </is>
      </c>
      <c r="C446" s="56">
        <f>IFERROR(_xlfn.XLOOKUP(SALIDAS[[#This Row],[CODIGO]],LISTADO[CODIGOS],LISTADO[CATEGORIA]),"NO EXISTE")</f>
        <v/>
      </c>
      <c r="D446" s="56">
        <f>IFERROR(_xlfn.XLOOKUP(SALIDAS[[#This Row],[CODIGO]],LISTADO[CODIGOS],LISTADO[PRODUCTOS]),"NO EXISTE")</f>
        <v/>
      </c>
      <c r="E446" s="19" t="n">
        <v>46088</v>
      </c>
      <c r="F446" s="18" t="n">
        <v>2</v>
      </c>
      <c r="G446" s="18" t="inlineStr">
        <is>
          <t>ISABELICA</t>
        </is>
      </c>
    </row>
    <row r="447">
      <c r="B447" t="inlineStr">
        <is>
          <t>00006-LIM</t>
        </is>
      </c>
      <c r="C447" s="56">
        <f>IFERROR(_xlfn.XLOOKUP(SALIDAS[[#This Row],[CODIGO]],LISTADO[CODIGOS],LISTADO[CATEGORIA]),"NO EXISTE")</f>
        <v/>
      </c>
      <c r="D447" s="56">
        <f>IFERROR(_xlfn.XLOOKUP(SALIDAS[[#This Row],[CODIGO]],LISTADO[CODIGOS],LISTADO[PRODUCTOS]),"NO EXISTE")</f>
        <v/>
      </c>
      <c r="E447" s="19" t="n">
        <v>46088</v>
      </c>
      <c r="F447" s="18" t="n">
        <v>1</v>
      </c>
      <c r="G447" s="18" t="inlineStr">
        <is>
          <t>ISABELICA</t>
        </is>
      </c>
    </row>
    <row r="448">
      <c r="B448" t="inlineStr">
        <is>
          <t>00007-LIM</t>
        </is>
      </c>
      <c r="C448" s="56">
        <f>IFERROR(_xlfn.XLOOKUP(SALIDAS[[#This Row],[CODIGO]],LISTADO[CODIGOS],LISTADO[CATEGORIA]),"NO EXISTE")</f>
        <v/>
      </c>
      <c r="D448" s="56">
        <f>IFERROR(_xlfn.XLOOKUP(SALIDAS[[#This Row],[CODIGO]],LISTADO[CODIGOS],LISTADO[PRODUCTOS]),"NO EXISTE")</f>
        <v/>
      </c>
      <c r="E448" s="19" t="n">
        <v>46088</v>
      </c>
      <c r="F448" s="18" t="n">
        <v>6</v>
      </c>
      <c r="G448" s="18" t="inlineStr">
        <is>
          <t>ISABELICA</t>
        </is>
      </c>
    </row>
    <row r="449">
      <c r="B449" t="inlineStr">
        <is>
          <t>00008-LIM</t>
        </is>
      </c>
      <c r="C449" s="56">
        <f>IFERROR(_xlfn.XLOOKUP(SALIDAS[[#This Row],[CODIGO]],LISTADO[CODIGOS],LISTADO[CATEGORIA]),"NO EXISTE")</f>
        <v/>
      </c>
      <c r="D449" s="56">
        <f>IFERROR(_xlfn.XLOOKUP(SALIDAS[[#This Row],[CODIGO]],LISTADO[CODIGOS],LISTADO[PRODUCTOS]),"NO EXISTE")</f>
        <v/>
      </c>
      <c r="E449" s="19" t="n">
        <v>46088</v>
      </c>
      <c r="F449" s="18" t="n">
        <v>4</v>
      </c>
      <c r="G449" s="18" t="inlineStr">
        <is>
          <t>ISABELICA</t>
        </is>
      </c>
    </row>
    <row r="450">
      <c r="B450" t="inlineStr">
        <is>
          <t>00015-MSC</t>
        </is>
      </c>
      <c r="C450" s="56">
        <f>IFERROR(_xlfn.XLOOKUP(SALIDAS[[#This Row],[CODIGO]],LISTADO[CODIGOS],LISTADO[CATEGORIA]),"NO EXISTE")</f>
        <v/>
      </c>
      <c r="D450" s="56">
        <f>IFERROR(_xlfn.XLOOKUP(SALIDAS[[#This Row],[CODIGO]],LISTADO[CODIGOS],LISTADO[PRODUCTOS]),"NO EXISTE")</f>
        <v/>
      </c>
      <c r="E450" s="19" t="n">
        <v>46088</v>
      </c>
      <c r="F450" s="18" t="n">
        <v>1</v>
      </c>
      <c r="G450" s="18" t="inlineStr">
        <is>
          <t>ISABELICA</t>
        </is>
      </c>
    </row>
    <row r="451">
      <c r="B451" t="inlineStr">
        <is>
          <t>00009-LIM</t>
        </is>
      </c>
      <c r="C451" s="56">
        <f>IFERROR(_xlfn.XLOOKUP(SALIDAS[[#This Row],[CODIGO]],LISTADO[CODIGOS],LISTADO[CATEGORIA]),"NO EXISTE")</f>
        <v/>
      </c>
      <c r="D451" s="56">
        <f>IFERROR(_xlfn.XLOOKUP(SALIDAS[[#This Row],[CODIGO]],LISTADO[CODIGOS],LISTADO[PRODUCTOS]),"NO EXISTE")</f>
        <v/>
      </c>
      <c r="E451" s="19" t="n">
        <v>46088</v>
      </c>
      <c r="F451" s="18" t="n">
        <v>3</v>
      </c>
      <c r="G451" s="18" t="inlineStr">
        <is>
          <t>ISABELICA</t>
        </is>
      </c>
    </row>
    <row r="452">
      <c r="B452" t="inlineStr">
        <is>
          <t>00001-LIM</t>
        </is>
      </c>
      <c r="C452" s="56">
        <f>IFERROR(_xlfn.XLOOKUP(SALIDAS[[#This Row],[CODIGO]],LISTADO[CODIGOS],LISTADO[CATEGORIA]),"NO EXISTE")</f>
        <v/>
      </c>
      <c r="D452" s="56">
        <f>IFERROR(_xlfn.XLOOKUP(SALIDAS[[#This Row],[CODIGO]],LISTADO[CODIGOS],LISTADO[PRODUCTOS]),"NO EXISTE")</f>
        <v/>
      </c>
      <c r="E452" s="19" t="n">
        <v>46088</v>
      </c>
      <c r="F452" s="18" t="n">
        <v>2</v>
      </c>
      <c r="G452" s="18" t="inlineStr">
        <is>
          <t>TOCUYITO</t>
        </is>
      </c>
    </row>
    <row r="453">
      <c r="B453" t="inlineStr">
        <is>
          <t>00003-LIM</t>
        </is>
      </c>
      <c r="C453" s="56">
        <f>IFERROR(_xlfn.XLOOKUP(SALIDAS[[#This Row],[CODIGO]],LISTADO[CODIGOS],LISTADO[CATEGORIA]),"NO EXISTE")</f>
        <v/>
      </c>
      <c r="D453" s="56">
        <f>IFERROR(_xlfn.XLOOKUP(SALIDAS[[#This Row],[CODIGO]],LISTADO[CODIGOS],LISTADO[PRODUCTOS]),"NO EXISTE")</f>
        <v/>
      </c>
      <c r="E453" s="19" t="n">
        <v>46088</v>
      </c>
      <c r="F453" s="18" t="n">
        <v>1</v>
      </c>
      <c r="G453" s="18" t="inlineStr">
        <is>
          <t>TOCUYITO</t>
        </is>
      </c>
    </row>
    <row r="454">
      <c r="B454" t="inlineStr">
        <is>
          <t>00005-LIM</t>
        </is>
      </c>
      <c r="C454" s="56">
        <f>IFERROR(_xlfn.XLOOKUP(SALIDAS[[#This Row],[CODIGO]],LISTADO[CODIGOS],LISTADO[CATEGORIA]),"NO EXISTE")</f>
        <v/>
      </c>
      <c r="D454" s="56">
        <f>IFERROR(_xlfn.XLOOKUP(SALIDAS[[#This Row],[CODIGO]],LISTADO[CODIGOS],LISTADO[PRODUCTOS]),"NO EXISTE")</f>
        <v/>
      </c>
      <c r="E454" s="19" t="n">
        <v>46088</v>
      </c>
      <c r="F454" s="18" t="n">
        <v>2</v>
      </c>
      <c r="G454" s="18" t="inlineStr">
        <is>
          <t>TOCUYITO</t>
        </is>
      </c>
    </row>
    <row r="455">
      <c r="B455" t="inlineStr">
        <is>
          <t>00006-LIM</t>
        </is>
      </c>
      <c r="C455" s="56">
        <f>IFERROR(_xlfn.XLOOKUP(SALIDAS[[#This Row],[CODIGO]],LISTADO[CODIGOS],LISTADO[CATEGORIA]),"NO EXISTE")</f>
        <v/>
      </c>
      <c r="D455" s="56">
        <f>IFERROR(_xlfn.XLOOKUP(SALIDAS[[#This Row],[CODIGO]],LISTADO[CODIGOS],LISTADO[PRODUCTOS]),"NO EXISTE")</f>
        <v/>
      </c>
      <c r="E455" s="19" t="n">
        <v>46088</v>
      </c>
      <c r="F455" s="18" t="n">
        <v>1</v>
      </c>
      <c r="G455" s="18" t="inlineStr">
        <is>
          <t>TOCUYITO</t>
        </is>
      </c>
    </row>
    <row r="456">
      <c r="B456" t="inlineStr">
        <is>
          <t>00007-LIM</t>
        </is>
      </c>
      <c r="C456" s="56">
        <f>IFERROR(_xlfn.XLOOKUP(SALIDAS[[#This Row],[CODIGO]],LISTADO[CODIGOS],LISTADO[CATEGORIA]),"NO EXISTE")</f>
        <v/>
      </c>
      <c r="D456" s="56">
        <f>IFERROR(_xlfn.XLOOKUP(SALIDAS[[#This Row],[CODIGO]],LISTADO[CODIGOS],LISTADO[PRODUCTOS]),"NO EXISTE")</f>
        <v/>
      </c>
      <c r="E456" s="19" t="n">
        <v>46088</v>
      </c>
      <c r="F456" s="18" t="n">
        <v>6</v>
      </c>
      <c r="G456" s="18" t="inlineStr">
        <is>
          <t>TOCUYITO</t>
        </is>
      </c>
    </row>
    <row r="457">
      <c r="B457" t="inlineStr">
        <is>
          <t>00008-LIM</t>
        </is>
      </c>
      <c r="C457" s="56">
        <f>IFERROR(_xlfn.XLOOKUP(SALIDAS[[#This Row],[CODIGO]],LISTADO[CODIGOS],LISTADO[CATEGORIA]),"NO EXISTE")</f>
        <v/>
      </c>
      <c r="D457" s="56">
        <f>IFERROR(_xlfn.XLOOKUP(SALIDAS[[#This Row],[CODIGO]],LISTADO[CODIGOS],LISTADO[PRODUCTOS]),"NO EXISTE")</f>
        <v/>
      </c>
      <c r="E457" s="19" t="n">
        <v>46088</v>
      </c>
      <c r="F457" s="18" t="n">
        <v>4</v>
      </c>
      <c r="G457" s="18" t="inlineStr">
        <is>
          <t>TOCUYITO</t>
        </is>
      </c>
    </row>
    <row r="458">
      <c r="B458" t="inlineStr">
        <is>
          <t>00009-LIM</t>
        </is>
      </c>
      <c r="C458" s="56">
        <f>IFERROR(_xlfn.XLOOKUP(SALIDAS[[#This Row],[CODIGO]],LISTADO[CODIGOS],LISTADO[CATEGORIA]),"NO EXISTE")</f>
        <v/>
      </c>
      <c r="D458" s="56">
        <f>IFERROR(_xlfn.XLOOKUP(SALIDAS[[#This Row],[CODIGO]],LISTADO[CODIGOS],LISTADO[PRODUCTOS]),"NO EXISTE")</f>
        <v/>
      </c>
      <c r="E458" s="19" t="n">
        <v>46088</v>
      </c>
      <c r="F458" s="18" t="n">
        <v>3</v>
      </c>
      <c r="G458" s="18" t="inlineStr">
        <is>
          <t>TOCUYITO</t>
        </is>
      </c>
    </row>
    <row r="459">
      <c r="B459" t="inlineStr">
        <is>
          <t>00007-PLM</t>
        </is>
      </c>
      <c r="C459" s="56">
        <f>IFERROR(_xlfn.XLOOKUP(SALIDAS[[#This Row],[CODIGO]],LISTADO[CODIGOS],LISTADO[CATEGORIA]),"NO EXISTE")</f>
        <v/>
      </c>
      <c r="D459" s="56">
        <f>IFERROR(_xlfn.XLOOKUP(SALIDAS[[#This Row],[CODIGO]],LISTADO[CODIGOS],LISTADO[PRODUCTOS]),"NO EXISTE")</f>
        <v/>
      </c>
      <c r="E459" s="19" t="n">
        <v>46088</v>
      </c>
      <c r="F459" s="18" t="n">
        <v>2</v>
      </c>
      <c r="G459" s="18" t="inlineStr">
        <is>
          <t>AV. CEDEÑO</t>
        </is>
      </c>
    </row>
    <row r="460">
      <c r="B460" t="inlineStr">
        <is>
          <t>00125-FER</t>
        </is>
      </c>
      <c r="C460" s="56">
        <f>IFERROR(_xlfn.XLOOKUP(SALIDAS[[#This Row],[CODIGO]],LISTADO[CODIGOS],LISTADO[CATEGORIA]),"NO EXISTE")</f>
        <v/>
      </c>
      <c r="D460" s="56">
        <f>IFERROR(_xlfn.XLOOKUP(SALIDAS[[#This Row],[CODIGO]],LISTADO[CODIGOS],LISTADO[PRODUCTOS]),"NO EXISTE")</f>
        <v/>
      </c>
      <c r="E460" s="19" t="n">
        <v>46088</v>
      </c>
      <c r="F460" s="18" t="n">
        <v>2</v>
      </c>
      <c r="G460" s="18" t="inlineStr">
        <is>
          <t>AV. BOLIVAR</t>
        </is>
      </c>
    </row>
    <row r="461">
      <c r="B461" t="inlineStr">
        <is>
          <t>00126-FER</t>
        </is>
      </c>
      <c r="C461" s="56">
        <f>IFERROR(_xlfn.XLOOKUP(SALIDAS[[#This Row],[CODIGO]],LISTADO[CODIGOS],LISTADO[CATEGORIA]),"NO EXISTE")</f>
        <v/>
      </c>
      <c r="D461" s="56">
        <f>IFERROR(_xlfn.XLOOKUP(SALIDAS[[#This Row],[CODIGO]],LISTADO[CODIGOS],LISTADO[PRODUCTOS]),"NO EXISTE")</f>
        <v/>
      </c>
      <c r="E461" s="19" t="n">
        <v>46088</v>
      </c>
      <c r="F461" s="18" t="n">
        <v>4</v>
      </c>
      <c r="G461" s="18" t="inlineStr">
        <is>
          <t>AV. BOLIVAR</t>
        </is>
      </c>
    </row>
    <row r="462">
      <c r="B462" t="inlineStr">
        <is>
          <t>00007-MSC</t>
        </is>
      </c>
      <c r="C462" s="56">
        <f>IFERROR(_xlfn.XLOOKUP(SALIDAS[[#This Row],[CODIGO]],LISTADO[CODIGOS],LISTADO[CATEGORIA]),"NO EXISTE")</f>
        <v/>
      </c>
      <c r="D462" s="56">
        <f>IFERROR(_xlfn.XLOOKUP(SALIDAS[[#This Row],[CODIGO]],LISTADO[CODIGOS],LISTADO[PRODUCTOS]),"NO EXISTE")</f>
        <v/>
      </c>
      <c r="E462" s="19" t="n">
        <v>46088</v>
      </c>
      <c r="F462" s="18" t="n">
        <v>10</v>
      </c>
      <c r="G462" s="18" t="inlineStr">
        <is>
          <t>PARAPARAL</t>
        </is>
      </c>
    </row>
    <row r="463">
      <c r="B463" t="inlineStr">
        <is>
          <t>00005-HRR</t>
        </is>
      </c>
      <c r="C463" s="56">
        <f>IFERROR(_xlfn.XLOOKUP(SALIDAS[[#This Row],[CODIGO]],LISTADO[CODIGOS],LISTADO[CATEGORIA]),"NO EXISTE")</f>
        <v/>
      </c>
      <c r="D463" s="56">
        <f>IFERROR(_xlfn.XLOOKUP(SALIDAS[[#This Row],[CODIGO]],LISTADO[CODIGOS],LISTADO[PRODUCTOS]),"NO EXISTE")</f>
        <v/>
      </c>
      <c r="E463" s="19" t="n">
        <v>46088</v>
      </c>
      <c r="F463" s="18" t="n">
        <v>1</v>
      </c>
      <c r="G463" s="18" t="inlineStr">
        <is>
          <t>TOCUYITO</t>
        </is>
      </c>
    </row>
    <row r="464">
      <c r="B464" t="inlineStr">
        <is>
          <t>00007-HRR</t>
        </is>
      </c>
      <c r="C464" s="56">
        <f>IFERROR(_xlfn.XLOOKUP(SALIDAS[[#This Row],[CODIGO]],LISTADO[CODIGOS],LISTADO[CATEGORIA]),"NO EXISTE")</f>
        <v/>
      </c>
      <c r="D464" s="56">
        <f>IFERROR(_xlfn.XLOOKUP(SALIDAS[[#This Row],[CODIGO]],LISTADO[CODIGOS],LISTADO[PRODUCTOS]),"NO EXISTE")</f>
        <v/>
      </c>
      <c r="E464" s="19" t="n">
        <v>46088</v>
      </c>
      <c r="F464" s="18" t="n">
        <v>1</v>
      </c>
      <c r="G464" s="18" t="inlineStr">
        <is>
          <t>TOCUYITO</t>
        </is>
      </c>
    </row>
    <row r="465">
      <c r="B465" t="inlineStr">
        <is>
          <t>00032-HRR</t>
        </is>
      </c>
      <c r="C465" s="56">
        <f>IFERROR(_xlfn.XLOOKUP(SALIDAS[[#This Row],[CODIGO]],LISTADO[CODIGOS],LISTADO[CATEGORIA]),"NO EXISTE")</f>
        <v/>
      </c>
      <c r="D465" s="56">
        <f>IFERROR(_xlfn.XLOOKUP(SALIDAS[[#This Row],[CODIGO]],LISTADO[CODIGOS],LISTADO[PRODUCTOS]),"NO EXISTE")</f>
        <v/>
      </c>
      <c r="E465" s="19" t="n">
        <v>46088</v>
      </c>
      <c r="F465" s="18" t="n">
        <v>10</v>
      </c>
      <c r="G465" s="18" t="inlineStr">
        <is>
          <t>TOCUYITO</t>
        </is>
      </c>
    </row>
    <row r="466">
      <c r="B466" t="inlineStr">
        <is>
          <t>00078-FER</t>
        </is>
      </c>
      <c r="C466" s="56">
        <f>IFERROR(_xlfn.XLOOKUP(SALIDAS[[#This Row],[CODIGO]],LISTADO[CODIGOS],LISTADO[CATEGORIA]),"NO EXISTE")</f>
        <v/>
      </c>
      <c r="D466" s="56">
        <f>IFERROR(_xlfn.XLOOKUP(SALIDAS[[#This Row],[CODIGO]],LISTADO[CODIGOS],LISTADO[PRODUCTOS]),"NO EXISTE")</f>
        <v/>
      </c>
      <c r="E466" s="19" t="n">
        <v>46088</v>
      </c>
      <c r="F466" s="18" t="n">
        <v>1</v>
      </c>
      <c r="G466" s="18" t="inlineStr">
        <is>
          <t>TOCUYITO</t>
        </is>
      </c>
    </row>
    <row r="467">
      <c r="B467" t="inlineStr">
        <is>
          <t>00028-FER</t>
        </is>
      </c>
      <c r="C467" s="56">
        <f>IFERROR(_xlfn.XLOOKUP(SALIDAS[[#This Row],[CODIGO]],LISTADO[CODIGOS],LISTADO[CATEGORIA]),"NO EXISTE")</f>
        <v/>
      </c>
      <c r="D467" s="56">
        <f>IFERROR(_xlfn.XLOOKUP(SALIDAS[[#This Row],[CODIGO]],LISTADO[CODIGOS],LISTADO[PRODUCTOS]),"NO EXISTE")</f>
        <v/>
      </c>
      <c r="E467" s="19" t="n">
        <v>46088</v>
      </c>
      <c r="F467" s="18" t="n">
        <v>0.5</v>
      </c>
      <c r="G467" s="18" t="inlineStr">
        <is>
          <t>TOCUYITO</t>
        </is>
      </c>
    </row>
    <row r="468">
      <c r="B468" t="inlineStr">
        <is>
          <t>00027-ILU</t>
        </is>
      </c>
      <c r="C468" s="56">
        <f>IFERROR(_xlfn.XLOOKUP(SALIDAS[[#This Row],[CODIGO]],LISTADO[CODIGOS],LISTADO[CATEGORIA]),"NO EXISTE")</f>
        <v/>
      </c>
      <c r="D468" s="56">
        <f>IFERROR(_xlfn.XLOOKUP(SALIDAS[[#This Row],[CODIGO]],LISTADO[CODIGOS],LISTADO[PRODUCTOS]),"NO EXISTE")</f>
        <v/>
      </c>
      <c r="E468" s="19" t="n">
        <v>46088</v>
      </c>
      <c r="F468" s="18" t="n">
        <v>1</v>
      </c>
      <c r="G468" s="18" t="inlineStr">
        <is>
          <t>MAÑONGO</t>
        </is>
      </c>
    </row>
    <row r="469">
      <c r="B469" t="inlineStr">
        <is>
          <t>00043-ELC</t>
        </is>
      </c>
      <c r="C469" s="56">
        <f>IFERROR(_xlfn.XLOOKUP(SALIDAS[[#This Row],[CODIGO]],LISTADO[CODIGOS],LISTADO[CATEGORIA]),"NO EXISTE")</f>
        <v/>
      </c>
      <c r="D469" s="56">
        <f>IFERROR(_xlfn.XLOOKUP(SALIDAS[[#This Row],[CODIGO]],LISTADO[CODIGOS],LISTADO[PRODUCTOS]),"NO EXISTE")</f>
        <v/>
      </c>
      <c r="E469" s="19" t="n">
        <v>46088</v>
      </c>
      <c r="F469" s="18" t="n">
        <v>1</v>
      </c>
      <c r="G469" s="18" t="inlineStr">
        <is>
          <t>GUACARA</t>
        </is>
      </c>
    </row>
    <row r="470">
      <c r="B470" t="inlineStr">
        <is>
          <t>00002-PLM</t>
        </is>
      </c>
      <c r="C470" s="56">
        <f>IFERROR(_xlfn.XLOOKUP(SALIDAS[[#This Row],[CODIGO]],LISTADO[CODIGOS],LISTADO[CATEGORIA]),"NO EXISTE")</f>
        <v/>
      </c>
      <c r="D470" s="56">
        <f>IFERROR(_xlfn.XLOOKUP(SALIDAS[[#This Row],[CODIGO]],LISTADO[CODIGOS],LISTADO[PRODUCTOS]),"NO EXISTE")</f>
        <v/>
      </c>
      <c r="E470" s="19" t="n">
        <v>46088</v>
      </c>
      <c r="F470" s="18" t="n">
        <v>1</v>
      </c>
      <c r="G470" s="18" t="inlineStr">
        <is>
          <t>TOCUYITO</t>
        </is>
      </c>
    </row>
    <row r="471">
      <c r="B471" t="inlineStr">
        <is>
          <t>00141-FER</t>
        </is>
      </c>
      <c r="C471" s="56">
        <f>IFERROR(_xlfn.XLOOKUP(SALIDAS[[#This Row],[CODIGO]],LISTADO[CODIGOS],LISTADO[CATEGORIA]),"NO EXISTE")</f>
        <v/>
      </c>
      <c r="D471" s="56">
        <f>IFERROR(_xlfn.XLOOKUP(SALIDAS[[#This Row],[CODIGO]],LISTADO[CODIGOS],LISTADO[PRODUCTOS]),"NO EXISTE")</f>
        <v/>
      </c>
      <c r="E471" s="19" t="n">
        <v>46088</v>
      </c>
      <c r="F471" s="18" t="n">
        <v>16</v>
      </c>
      <c r="G471" s="18" t="inlineStr">
        <is>
          <t>TOCUYITO</t>
        </is>
      </c>
    </row>
    <row r="472">
      <c r="B472" t="inlineStr">
        <is>
          <t>00143-FER</t>
        </is>
      </c>
      <c r="C472" s="56">
        <f>IFERROR(_xlfn.XLOOKUP(SALIDAS[[#This Row],[CODIGO]],LISTADO[CODIGOS],LISTADO[CATEGORIA]),"NO EXISTE")</f>
        <v/>
      </c>
      <c r="D472" s="56">
        <f>IFERROR(_xlfn.XLOOKUP(SALIDAS[[#This Row],[CODIGO]],LISTADO[CODIGOS],LISTADO[PRODUCTOS]),"NO EXISTE")</f>
        <v/>
      </c>
      <c r="E472" s="19" t="n">
        <v>46088</v>
      </c>
      <c r="F472" s="18" t="n">
        <v>16</v>
      </c>
      <c r="G472" s="18" t="inlineStr">
        <is>
          <t>TOCUYITO</t>
        </is>
      </c>
    </row>
    <row r="473">
      <c r="B473" s="56" t="inlineStr">
        <is>
          <t>00140-FER</t>
        </is>
      </c>
      <c r="C473" s="56">
        <f>IFERROR(_xlfn.XLOOKUP(SALIDAS[[#This Row],[CODIGO]],LISTADO[CODIGOS],LISTADO[CATEGORIA]),"NO EXISTE")</f>
        <v/>
      </c>
      <c r="D473" s="56">
        <f>IFERROR(_xlfn.XLOOKUP(SALIDAS[[#This Row],[CODIGO]],LISTADO[CODIGOS],LISTADO[PRODUCTOS]),"NO EXISTE")</f>
        <v/>
      </c>
      <c r="E473" s="19" t="n">
        <v>46088</v>
      </c>
      <c r="F473" s="18" t="n">
        <v>1</v>
      </c>
      <c r="G473" s="18" t="inlineStr">
        <is>
          <t>TOCUYITO</t>
        </is>
      </c>
    </row>
    <row r="474">
      <c r="B474" s="56" t="inlineStr">
        <is>
          <t>00142-FER</t>
        </is>
      </c>
      <c r="C474" s="56">
        <f>IFERROR(_xlfn.XLOOKUP(SALIDAS[[#This Row],[CODIGO]],LISTADO[CODIGOS],LISTADO[CATEGORIA]),"NO EXISTE")</f>
        <v/>
      </c>
      <c r="D474" s="56">
        <f>IFERROR(_xlfn.XLOOKUP(SALIDAS[[#This Row],[CODIGO]],LISTADO[CODIGOS],LISTADO[PRODUCTOS]),"NO EXISTE")</f>
        <v/>
      </c>
      <c r="E474" s="19" t="n">
        <v>46088</v>
      </c>
      <c r="F474" s="15" t="n">
        <v>2</v>
      </c>
      <c r="G474" s="18" t="inlineStr">
        <is>
          <t>TOCUYITO</t>
        </is>
      </c>
    </row>
    <row r="475">
      <c r="B475" s="56" t="inlineStr">
        <is>
          <t>00003-ELE</t>
        </is>
      </c>
      <c r="C475" s="56">
        <f>IFERROR(_xlfn.XLOOKUP(SALIDAS[[#This Row],[CODIGO]],LISTADO[CODIGOS],LISTADO[CATEGORIA]),"NO EXISTE")</f>
        <v/>
      </c>
      <c r="D475" s="56">
        <f>IFERROR(_xlfn.XLOOKUP(SALIDAS[[#This Row],[CODIGO]],LISTADO[CODIGOS],LISTADO[PRODUCTOS]),"NO EXISTE")</f>
        <v/>
      </c>
      <c r="E475" s="19" t="n">
        <v>46089</v>
      </c>
      <c r="F475" s="18" t="n">
        <v>4</v>
      </c>
      <c r="G475" s="18" t="inlineStr">
        <is>
          <t>PARAPARAL</t>
        </is>
      </c>
    </row>
    <row r="476">
      <c r="B476" s="56" t="inlineStr">
        <is>
          <t>00002-LIM</t>
        </is>
      </c>
      <c r="C476" s="56">
        <f>IFERROR(_xlfn.XLOOKUP(SALIDAS[[#This Row],[CODIGO]],LISTADO[CODIGOS],LISTADO[CATEGORIA]),"NO EXISTE")</f>
        <v/>
      </c>
      <c r="D476" s="56">
        <f>IFERROR(_xlfn.XLOOKUP(SALIDAS[[#This Row],[CODIGO]],LISTADO[CODIGOS],LISTADO[PRODUCTOS]),"NO EXISTE")</f>
        <v/>
      </c>
      <c r="E476" s="19" t="n">
        <v>46089</v>
      </c>
      <c r="F476" s="18" t="n">
        <v>1</v>
      </c>
      <c r="G476" s="18" t="inlineStr">
        <is>
          <t>AV. CEDEÑO</t>
        </is>
      </c>
    </row>
    <row r="477">
      <c r="B477" t="inlineStr">
        <is>
          <t>00050-FER</t>
        </is>
      </c>
      <c r="C477" s="56">
        <f>IFERROR(_xlfn.XLOOKUP(SALIDAS[[#This Row],[CODIGO]],LISTADO[CODIGOS],LISTADO[CATEGORIA]),"NO EXISTE")</f>
        <v/>
      </c>
      <c r="D477" s="56">
        <f>IFERROR(_xlfn.XLOOKUP(SALIDAS[[#This Row],[CODIGO]],LISTADO[CODIGOS],LISTADO[PRODUCTOS]),"NO EXISTE")</f>
        <v/>
      </c>
      <c r="E477" s="19" t="n">
        <v>46090</v>
      </c>
      <c r="F477" s="18" t="n">
        <v>1</v>
      </c>
      <c r="G477" s="18" t="inlineStr">
        <is>
          <t>PERIFERICO</t>
        </is>
      </c>
    </row>
    <row r="478">
      <c r="B478" t="inlineStr">
        <is>
          <t>00052-FER</t>
        </is>
      </c>
      <c r="C478" s="56">
        <f>IFERROR(_xlfn.XLOOKUP(SALIDAS[[#This Row],[CODIGO]],LISTADO[CODIGOS],LISTADO[CATEGORIA]),"NO EXISTE")</f>
        <v/>
      </c>
      <c r="D478" s="56">
        <f>IFERROR(_xlfn.XLOOKUP(SALIDAS[[#This Row],[CODIGO]],LISTADO[CODIGOS],LISTADO[PRODUCTOS]),"NO EXISTE")</f>
        <v/>
      </c>
      <c r="E478" s="19" t="n">
        <v>46090</v>
      </c>
      <c r="F478" s="18" t="n">
        <v>1</v>
      </c>
      <c r="G478" s="18" t="inlineStr">
        <is>
          <t>PERIFERICO</t>
        </is>
      </c>
    </row>
    <row r="479">
      <c r="B479" t="inlineStr">
        <is>
          <t>00033-UNI</t>
        </is>
      </c>
      <c r="C479" s="56">
        <f>IFERROR(_xlfn.XLOOKUP(SALIDAS[[#This Row],[CODIGO]],LISTADO[CODIGOS],LISTADO[CATEGORIA]),"NO EXISTE")</f>
        <v/>
      </c>
      <c r="D479" s="56">
        <f>IFERROR(_xlfn.XLOOKUP(SALIDAS[[#This Row],[CODIGO]],LISTADO[CODIGOS],LISTADO[PRODUCTOS]),"NO EXISTE")</f>
        <v/>
      </c>
      <c r="E479" s="19" t="n">
        <v>46090</v>
      </c>
      <c r="F479" s="18" t="n">
        <v>1</v>
      </c>
      <c r="G479" s="18" t="inlineStr">
        <is>
          <t>CORPORATIVO</t>
        </is>
      </c>
    </row>
    <row r="480">
      <c r="B480" t="inlineStr">
        <is>
          <t>00050-ELE</t>
        </is>
      </c>
      <c r="C480" s="56">
        <f>IFERROR(_xlfn.XLOOKUP(SALIDAS[[#This Row],[CODIGO]],LISTADO[CODIGOS],LISTADO[CATEGORIA]),"NO EXISTE")</f>
        <v/>
      </c>
      <c r="D480" s="56">
        <f>IFERROR(_xlfn.XLOOKUP(SALIDAS[[#This Row],[CODIGO]],LISTADO[CODIGOS],LISTADO[PRODUCTOS]),"NO EXISTE")</f>
        <v/>
      </c>
      <c r="E480" s="19" t="n">
        <v>46090</v>
      </c>
      <c r="F480" s="18" t="n">
        <v>100</v>
      </c>
      <c r="G480" s="18" t="inlineStr">
        <is>
          <t>LA VIÑA</t>
        </is>
      </c>
    </row>
    <row r="481">
      <c r="B481" t="inlineStr">
        <is>
          <t>00051-ELE</t>
        </is>
      </c>
      <c r="C481" s="56">
        <f>IFERROR(_xlfn.XLOOKUP(SALIDAS[[#This Row],[CODIGO]],LISTADO[CODIGOS],LISTADO[CATEGORIA]),"NO EXISTE")</f>
        <v/>
      </c>
      <c r="D481" s="56">
        <f>IFERROR(_xlfn.XLOOKUP(SALIDAS[[#This Row],[CODIGO]],LISTADO[CODIGOS],LISTADO[PRODUCTOS]),"NO EXISTE")</f>
        <v/>
      </c>
      <c r="E481" s="19" t="n">
        <v>46090</v>
      </c>
      <c r="F481" s="18" t="n">
        <v>100</v>
      </c>
      <c r="G481" s="18" t="inlineStr">
        <is>
          <t>LA VIÑA</t>
        </is>
      </c>
    </row>
    <row r="482">
      <c r="B482" t="inlineStr">
        <is>
          <t>00052-ELE</t>
        </is>
      </c>
      <c r="C482" s="56">
        <f>IFERROR(_xlfn.XLOOKUP(SALIDAS[[#This Row],[CODIGO]],LISTADO[CODIGOS],LISTADO[CATEGORIA]),"NO EXISTE")</f>
        <v/>
      </c>
      <c r="D482" s="56">
        <f>IFERROR(_xlfn.XLOOKUP(SALIDAS[[#This Row],[CODIGO]],LISTADO[CODIGOS],LISTADO[PRODUCTOS]),"NO EXISTE")</f>
        <v/>
      </c>
      <c r="E482" s="19" t="n">
        <v>46090</v>
      </c>
      <c r="F482" s="18" t="n">
        <v>100</v>
      </c>
      <c r="G482" s="18" t="inlineStr">
        <is>
          <t>LA VIÑA</t>
        </is>
      </c>
    </row>
    <row r="483">
      <c r="B483" t="inlineStr">
        <is>
          <t>00003-HRR</t>
        </is>
      </c>
      <c r="C483" s="56">
        <f>IFERROR(_xlfn.XLOOKUP(SALIDAS[[#This Row],[CODIGO]],LISTADO[CODIGOS],LISTADO[CATEGORIA]),"NO EXISTE")</f>
        <v/>
      </c>
      <c r="D483" s="56">
        <f>IFERROR(_xlfn.XLOOKUP(SALIDAS[[#This Row],[CODIGO]],LISTADO[CODIGOS],LISTADO[PRODUCTOS]),"NO EXISTE")</f>
        <v/>
      </c>
      <c r="E483" s="19" t="n">
        <v>46090</v>
      </c>
      <c r="F483" s="18" t="n">
        <v>1</v>
      </c>
      <c r="G483" s="18" t="inlineStr">
        <is>
          <t>PERIFERICO</t>
        </is>
      </c>
    </row>
    <row r="484">
      <c r="B484" t="inlineStr">
        <is>
          <t>00037-HRR</t>
        </is>
      </c>
      <c r="C484" s="56">
        <f>IFERROR(_xlfn.XLOOKUP(SALIDAS[[#This Row],[CODIGO]],LISTADO[CODIGOS],LISTADO[CATEGORIA]),"NO EXISTE")</f>
        <v/>
      </c>
      <c r="D484" s="56">
        <f>IFERROR(_xlfn.XLOOKUP(SALIDAS[[#This Row],[CODIGO]],LISTADO[CODIGOS],LISTADO[PRODUCTOS]),"NO EXISTE")</f>
        <v/>
      </c>
      <c r="E484" s="19" t="n">
        <v>46090</v>
      </c>
      <c r="F484" s="18" t="n">
        <v>6</v>
      </c>
      <c r="G484" s="18" t="inlineStr">
        <is>
          <t>PERIFERICO</t>
        </is>
      </c>
    </row>
    <row r="485">
      <c r="B485" t="inlineStr">
        <is>
          <t>00001-LIM</t>
        </is>
      </c>
      <c r="C485" s="56">
        <f>IFERROR(_xlfn.XLOOKUP(SALIDAS[[#This Row],[CODIGO]],LISTADO[CODIGOS],LISTADO[CATEGORIA]),"NO EXISTE")</f>
        <v/>
      </c>
      <c r="D485" s="56">
        <f>IFERROR(_xlfn.XLOOKUP(SALIDAS[[#This Row],[CODIGO]],LISTADO[CODIGOS],LISTADO[PRODUCTOS]),"NO EXISTE")</f>
        <v/>
      </c>
      <c r="E485" s="19" t="n">
        <v>46090</v>
      </c>
      <c r="F485" s="18" t="n">
        <v>1</v>
      </c>
      <c r="G485" s="18" t="inlineStr">
        <is>
          <t>MAÑONGO</t>
        </is>
      </c>
    </row>
    <row r="486">
      <c r="B486" s="18" t="inlineStr">
        <is>
          <t>00013-AUT</t>
        </is>
      </c>
      <c r="C486" s="56">
        <f>IFERROR(_xlfn.XLOOKUP(SALIDAS[[#This Row],[CODIGO]],LISTADO[CODIGOS],LISTADO[CATEGORIA]),"NO EXISTE")</f>
        <v/>
      </c>
      <c r="D486" s="56">
        <f>IFERROR(_xlfn.XLOOKUP(SALIDAS[[#This Row],[CODIGO]],LISTADO[CODIGOS],LISTADO[PRODUCTOS]),"NO EXISTE")</f>
        <v/>
      </c>
      <c r="E486" s="19" t="n">
        <v>46090</v>
      </c>
      <c r="F486" s="18" t="n">
        <v>1</v>
      </c>
      <c r="G486" s="18" t="inlineStr">
        <is>
          <t xml:space="preserve">CEDI SECO </t>
        </is>
      </c>
    </row>
    <row r="487">
      <c r="B487" s="18" t="inlineStr">
        <is>
          <t>00014-AUT</t>
        </is>
      </c>
      <c r="C487" s="56">
        <f>IFERROR(_xlfn.XLOOKUP(SALIDAS[[#This Row],[CODIGO]],LISTADO[CODIGOS],LISTADO[CATEGORIA]),"NO EXISTE")</f>
        <v/>
      </c>
      <c r="D487" s="56">
        <f>IFERROR(_xlfn.XLOOKUP(SALIDAS[[#This Row],[CODIGO]],LISTADO[CODIGOS],LISTADO[PRODUCTOS]),"NO EXISTE")</f>
        <v/>
      </c>
      <c r="E487" s="19" t="n">
        <v>46090</v>
      </c>
      <c r="F487" s="18" t="n">
        <v>7</v>
      </c>
      <c r="G487" s="18" t="inlineStr">
        <is>
          <t xml:space="preserve">CEDI SECO </t>
        </is>
      </c>
    </row>
    <row r="488">
      <c r="B488" s="18" t="inlineStr">
        <is>
          <t>00062-ELE</t>
        </is>
      </c>
      <c r="C488" s="56">
        <f>IFERROR(_xlfn.XLOOKUP(SALIDAS[[#This Row],[CODIGO]],LISTADO[CODIGOS],LISTADO[CATEGORIA]),"NO EXISTE")</f>
        <v/>
      </c>
      <c r="D488" s="56">
        <f>IFERROR(_xlfn.XLOOKUP(SALIDAS[[#This Row],[CODIGO]],LISTADO[CODIGOS],LISTADO[PRODUCTOS]),"NO EXISTE")</f>
        <v/>
      </c>
      <c r="E488" s="19" t="n">
        <v>46090</v>
      </c>
      <c r="F488" s="18" t="n">
        <v>1</v>
      </c>
      <c r="G488" s="18" t="inlineStr">
        <is>
          <t>NAGUANAGUA 1</t>
        </is>
      </c>
    </row>
    <row r="489">
      <c r="B489" s="18" t="inlineStr">
        <is>
          <t>00053-ELE</t>
        </is>
      </c>
      <c r="C489" s="56">
        <f>IFERROR(_xlfn.XLOOKUP(SALIDAS[[#This Row],[CODIGO]],LISTADO[CODIGOS],LISTADO[CATEGORIA]),"NO EXISTE")</f>
        <v/>
      </c>
      <c r="D489" s="56">
        <f>IFERROR(_xlfn.XLOOKUP(SALIDAS[[#This Row],[CODIGO]],LISTADO[CODIGOS],LISTADO[PRODUCTOS]),"NO EXISTE")</f>
        <v/>
      </c>
      <c r="E489" s="19" t="n">
        <v>46090</v>
      </c>
      <c r="F489" s="18" t="n">
        <v>2</v>
      </c>
      <c r="G489" s="18" t="inlineStr">
        <is>
          <t>NAGUANAGUA 1</t>
        </is>
      </c>
    </row>
    <row r="490">
      <c r="B490" s="56" t="inlineStr">
        <is>
          <t>00135-FER</t>
        </is>
      </c>
      <c r="C490" s="56">
        <f>IFERROR(_xlfn.XLOOKUP(SALIDAS[[#This Row],[CODIGO]],LISTADO[CODIGOS],LISTADO[CATEGORIA]),"NO EXISTE")</f>
        <v/>
      </c>
      <c r="D490" s="56">
        <f>IFERROR(_xlfn.XLOOKUP(SALIDAS[[#This Row],[CODIGO]],LISTADO[CODIGOS],LISTADO[PRODUCTOS]),"NO EXISTE")</f>
        <v/>
      </c>
      <c r="E490" s="19" t="n">
        <v>46090</v>
      </c>
      <c r="F490" s="18" t="n">
        <v>4</v>
      </c>
      <c r="G490" s="18" t="inlineStr">
        <is>
          <t>NAGUANAGUA 1</t>
        </is>
      </c>
    </row>
    <row r="491">
      <c r="B491" s="56" t="inlineStr">
        <is>
          <t>00140-FER</t>
        </is>
      </c>
      <c r="C491" s="56">
        <f>IFERROR(_xlfn.XLOOKUP(SALIDAS[[#This Row],[CODIGO]],LISTADO[CODIGOS],LISTADO[CATEGORIA]),"NO EXISTE")</f>
        <v/>
      </c>
      <c r="D491" s="56">
        <f>IFERROR(_xlfn.XLOOKUP(SALIDAS[[#This Row],[CODIGO]],LISTADO[CODIGOS],LISTADO[PRODUCTOS]),"NO EXISTE")</f>
        <v/>
      </c>
      <c r="E491" s="19" t="n">
        <v>46090</v>
      </c>
      <c r="F491" s="18" t="n">
        <v>1</v>
      </c>
      <c r="G491" s="18" t="inlineStr">
        <is>
          <t>TOCUYITO</t>
        </is>
      </c>
    </row>
    <row r="492">
      <c r="B492" s="18" t="inlineStr">
        <is>
          <t>00155-FER</t>
        </is>
      </c>
      <c r="C492" s="56">
        <f>IFERROR(_xlfn.XLOOKUP(SALIDAS[[#This Row],[CODIGO]],LISTADO[CODIGOS],LISTADO[CATEGORIA]),"NO EXISTE")</f>
        <v/>
      </c>
      <c r="D492" s="56">
        <f>IFERROR(_xlfn.XLOOKUP(SALIDAS[[#This Row],[CODIGO]],LISTADO[CODIGOS],LISTADO[PRODUCTOS]),"NO EXISTE")</f>
        <v/>
      </c>
      <c r="E492" s="19" t="n">
        <v>46090</v>
      </c>
      <c r="F492" s="18" t="n">
        <v>3</v>
      </c>
      <c r="G492" s="18" t="inlineStr">
        <is>
          <t>TOCUYITO</t>
        </is>
      </c>
    </row>
    <row r="493">
      <c r="B493" s="56" t="inlineStr">
        <is>
          <t>00009-ILU</t>
        </is>
      </c>
      <c r="C493" s="56">
        <f>IFERROR(_xlfn.XLOOKUP(SALIDAS[[#This Row],[CODIGO]],LISTADO[CODIGOS],LISTADO[CATEGORIA]),"NO EXISTE")</f>
        <v/>
      </c>
      <c r="D493" s="56">
        <f>IFERROR(_xlfn.XLOOKUP(SALIDAS[[#This Row],[CODIGO]],LISTADO[CODIGOS],LISTADO[PRODUCTOS]),"NO EXISTE")</f>
        <v/>
      </c>
      <c r="E493" s="19" t="n">
        <v>46090</v>
      </c>
      <c r="F493" s="18" t="n">
        <v>2</v>
      </c>
      <c r="G493" s="18" t="inlineStr">
        <is>
          <t>TOCUYITO</t>
        </is>
      </c>
    </row>
    <row r="494">
      <c r="B494" s="56" t="inlineStr">
        <is>
          <t>00001-PLM</t>
        </is>
      </c>
      <c r="C494" s="56">
        <f>IFERROR(_xlfn.XLOOKUP(SALIDAS[[#This Row],[CODIGO]],LISTADO[CODIGOS],LISTADO[CATEGORIA]),"NO EXISTE")</f>
        <v/>
      </c>
      <c r="D494" s="56">
        <f>IFERROR(_xlfn.XLOOKUP(SALIDAS[[#This Row],[CODIGO]],LISTADO[CODIGOS],LISTADO[PRODUCTOS]),"NO EXISTE")</f>
        <v/>
      </c>
      <c r="E494" s="19" t="n">
        <v>46090</v>
      </c>
      <c r="F494" s="18" t="n">
        <v>1</v>
      </c>
      <c r="G494" s="18" t="inlineStr">
        <is>
          <t>TOCUYITO</t>
        </is>
      </c>
    </row>
    <row r="495">
      <c r="B495" t="inlineStr">
        <is>
          <t>00001-HRR</t>
        </is>
      </c>
      <c r="C495" s="56">
        <f>IFERROR(_xlfn.XLOOKUP(SALIDAS[[#This Row],[CODIGO]],LISTADO[CODIGOS],LISTADO[CATEGORIA]),"NO EXISTE")</f>
        <v/>
      </c>
      <c r="D495" s="56">
        <f>IFERROR(_xlfn.XLOOKUP(SALIDAS[[#This Row],[CODIGO]],LISTADO[CODIGOS],LISTADO[PRODUCTOS]),"NO EXISTE")</f>
        <v/>
      </c>
      <c r="E495" s="19" t="n">
        <v>46091</v>
      </c>
      <c r="F495" s="18" t="n">
        <v>1</v>
      </c>
      <c r="G495" s="18" t="inlineStr">
        <is>
          <t>PERIFERICO</t>
        </is>
      </c>
    </row>
    <row r="496">
      <c r="B496" t="inlineStr">
        <is>
          <t>00005-HRR</t>
        </is>
      </c>
      <c r="C496" s="56">
        <f>IFERROR(_xlfn.XLOOKUP(SALIDAS[[#This Row],[CODIGO]],LISTADO[CODIGOS],LISTADO[CATEGORIA]),"NO EXISTE")</f>
        <v/>
      </c>
      <c r="D496" s="56">
        <f>IFERROR(_xlfn.XLOOKUP(SALIDAS[[#This Row],[CODIGO]],LISTADO[CODIGOS],LISTADO[PRODUCTOS]),"NO EXISTE")</f>
        <v/>
      </c>
      <c r="E496" s="19" t="n">
        <v>46091</v>
      </c>
      <c r="F496" s="18" t="n">
        <v>1</v>
      </c>
      <c r="G496" s="18" t="inlineStr">
        <is>
          <t>TOCUYITO</t>
        </is>
      </c>
    </row>
    <row r="497">
      <c r="B497" t="inlineStr">
        <is>
          <t>00007-HRR</t>
        </is>
      </c>
      <c r="C497" s="56">
        <f>IFERROR(_xlfn.XLOOKUP(SALIDAS[[#This Row],[CODIGO]],LISTADO[CODIGOS],LISTADO[CATEGORIA]),"NO EXISTE")</f>
        <v/>
      </c>
      <c r="D497" s="56">
        <f>IFERROR(_xlfn.XLOOKUP(SALIDAS[[#This Row],[CODIGO]],LISTADO[CODIGOS],LISTADO[PRODUCTOS]),"NO EXISTE")</f>
        <v/>
      </c>
      <c r="E497" s="19" t="n">
        <v>46091</v>
      </c>
      <c r="F497" s="18" t="n">
        <v>3</v>
      </c>
      <c r="G497" s="18" t="inlineStr">
        <is>
          <t>TOCUYITO</t>
        </is>
      </c>
    </row>
    <row r="498">
      <c r="B498" t="inlineStr">
        <is>
          <t>00003-MSC</t>
        </is>
      </c>
      <c r="C498" s="56">
        <f>IFERROR(_xlfn.XLOOKUP(SALIDAS[[#This Row],[CODIGO]],LISTADO[CODIGOS],LISTADO[CATEGORIA]),"NO EXISTE")</f>
        <v/>
      </c>
      <c r="D498" s="56">
        <f>IFERROR(_xlfn.XLOOKUP(SALIDAS[[#This Row],[CODIGO]],LISTADO[CODIGOS],LISTADO[PRODUCTOS]),"NO EXISTE")</f>
        <v/>
      </c>
      <c r="E498" s="19" t="n">
        <v>46091</v>
      </c>
      <c r="F498" s="18" t="n">
        <v>1</v>
      </c>
      <c r="G498" s="18" t="inlineStr">
        <is>
          <t xml:space="preserve">CEDI SECO </t>
        </is>
      </c>
    </row>
    <row r="499">
      <c r="B499" s="18" t="inlineStr">
        <is>
          <t>00093-REF</t>
        </is>
      </c>
      <c r="C499" s="56">
        <f>IFERROR(_xlfn.XLOOKUP(SALIDAS[[#This Row],[CODIGO]],LISTADO[CODIGOS],LISTADO[CATEGORIA]),"NO EXISTE")</f>
        <v/>
      </c>
      <c r="D499" s="56">
        <f>IFERROR(_xlfn.XLOOKUP(SALIDAS[[#This Row],[CODIGO]],LISTADO[CODIGOS],LISTADO[PRODUCTOS]),"NO EXISTE")</f>
        <v/>
      </c>
      <c r="E499" s="19" t="n">
        <v>46091</v>
      </c>
      <c r="F499" s="18" t="n">
        <v>1</v>
      </c>
      <c r="G499" s="18" t="inlineStr">
        <is>
          <t>PERIFERICO</t>
        </is>
      </c>
    </row>
    <row r="500">
      <c r="B500" s="18" t="inlineStr">
        <is>
          <t>00094-REF</t>
        </is>
      </c>
      <c r="C500" s="56">
        <f>IFERROR(_xlfn.XLOOKUP(SALIDAS[[#This Row],[CODIGO]],LISTADO[CODIGOS],LISTADO[CATEGORIA]),"NO EXISTE")</f>
        <v/>
      </c>
      <c r="D500" s="56">
        <f>IFERROR(_xlfn.XLOOKUP(SALIDAS[[#This Row],[CODIGO]],LISTADO[CODIGOS],LISTADO[PRODUCTOS]),"NO EXISTE")</f>
        <v/>
      </c>
      <c r="E500" s="19" t="n">
        <v>46091</v>
      </c>
      <c r="F500" s="18" t="n">
        <v>1</v>
      </c>
      <c r="G500" s="18" t="inlineStr">
        <is>
          <t>PERIFERICO</t>
        </is>
      </c>
    </row>
    <row r="501">
      <c r="B501" s="56" t="inlineStr">
        <is>
          <t>00001-UNI</t>
        </is>
      </c>
      <c r="C501" s="56">
        <f>IFERROR(_xlfn.XLOOKUP(SALIDAS[[#This Row],[CODIGO]],LISTADO[CODIGOS],LISTADO[CATEGORIA]),"NO EXISTE")</f>
        <v/>
      </c>
      <c r="D501" s="56">
        <f>IFERROR(_xlfn.XLOOKUP(SALIDAS[[#This Row],[CODIGO]],LISTADO[CODIGOS],LISTADO[PRODUCTOS]),"NO EXISTE")</f>
        <v/>
      </c>
      <c r="E501" s="19" t="n">
        <v>46091</v>
      </c>
      <c r="F501" s="18" t="n">
        <v>17</v>
      </c>
      <c r="G501" s="18" t="inlineStr">
        <is>
          <t>TOCUYITO</t>
        </is>
      </c>
    </row>
    <row r="502">
      <c r="B502" s="56" t="inlineStr">
        <is>
          <t>00001-UNI</t>
        </is>
      </c>
      <c r="C502" s="56">
        <f>IFERROR(_xlfn.XLOOKUP(SALIDAS[[#This Row],[CODIGO]],LISTADO[CODIGOS],LISTADO[CATEGORIA]),"NO EXISTE")</f>
        <v/>
      </c>
      <c r="D502" s="56">
        <f>IFERROR(_xlfn.XLOOKUP(SALIDAS[[#This Row],[CODIGO]],LISTADO[CODIGOS],LISTADO[PRODUCTOS]),"NO EXISTE")</f>
        <v/>
      </c>
      <c r="E502" s="19" t="n">
        <v>46091</v>
      </c>
      <c r="F502" s="18" t="n">
        <v>20</v>
      </c>
      <c r="G502" s="18" t="inlineStr">
        <is>
          <t>GUIGUE</t>
        </is>
      </c>
    </row>
    <row r="503">
      <c r="B503" s="56" t="inlineStr">
        <is>
          <t>00052-FER</t>
        </is>
      </c>
      <c r="C503" s="56">
        <f>IFERROR(_xlfn.XLOOKUP(SALIDAS[[#This Row],[CODIGO]],LISTADO[CODIGOS],LISTADO[CATEGORIA]),"NO EXISTE")</f>
        <v/>
      </c>
      <c r="D503" s="56">
        <f>IFERROR(_xlfn.XLOOKUP(SALIDAS[[#This Row],[CODIGO]],LISTADO[CODIGOS],LISTADO[PRODUCTOS]),"NO EXISTE")</f>
        <v/>
      </c>
      <c r="E503" s="19" t="n">
        <v>46091</v>
      </c>
      <c r="F503" s="18" t="n">
        <v>3</v>
      </c>
      <c r="G503" s="18" t="inlineStr">
        <is>
          <t>FLOR AMARILLO</t>
        </is>
      </c>
    </row>
    <row r="504">
      <c r="B504" s="56" t="inlineStr">
        <is>
          <t>00049-FER</t>
        </is>
      </c>
      <c r="C504" s="56">
        <f>IFERROR(_xlfn.XLOOKUP(SALIDAS[[#This Row],[CODIGO]],LISTADO[CODIGOS],LISTADO[CATEGORIA]),"NO EXISTE")</f>
        <v/>
      </c>
      <c r="D504" s="56">
        <f>IFERROR(_xlfn.XLOOKUP(SALIDAS[[#This Row],[CODIGO]],LISTADO[CODIGOS],LISTADO[PRODUCTOS]),"NO EXISTE")</f>
        <v/>
      </c>
      <c r="E504" s="19" t="n">
        <v>46091</v>
      </c>
      <c r="F504" s="18" t="n">
        <v>2</v>
      </c>
      <c r="G504" s="18" t="inlineStr">
        <is>
          <t>FLOR AMARILLO</t>
        </is>
      </c>
    </row>
    <row r="505">
      <c r="B505" s="56" t="inlineStr">
        <is>
          <t>00050-FER</t>
        </is>
      </c>
      <c r="C505" s="56">
        <f>IFERROR(_xlfn.XLOOKUP(SALIDAS[[#This Row],[CODIGO]],LISTADO[CODIGOS],LISTADO[CATEGORIA]),"NO EXISTE")</f>
        <v/>
      </c>
      <c r="D505" s="56">
        <f>IFERROR(_xlfn.XLOOKUP(SALIDAS[[#This Row],[CODIGO]],LISTADO[CODIGOS],LISTADO[PRODUCTOS]),"NO EXISTE")</f>
        <v/>
      </c>
      <c r="E505" s="19" t="n">
        <v>46091</v>
      </c>
      <c r="F505" s="18" t="n">
        <v>1</v>
      </c>
      <c r="G505" s="18" t="inlineStr">
        <is>
          <t>FLOR AMARILLO</t>
        </is>
      </c>
    </row>
    <row r="506">
      <c r="B506" s="56" t="inlineStr">
        <is>
          <t>00027-FER</t>
        </is>
      </c>
      <c r="C506" s="56">
        <f>IFERROR(_xlfn.XLOOKUP(SALIDAS[[#This Row],[CODIGO]],LISTADO[CODIGOS],LISTADO[CATEGORIA]),"NO EXISTE")</f>
        <v/>
      </c>
      <c r="D506" s="56">
        <f>IFERROR(_xlfn.XLOOKUP(SALIDAS[[#This Row],[CODIGO]],LISTADO[CODIGOS],LISTADO[PRODUCTOS]),"NO EXISTE")</f>
        <v/>
      </c>
      <c r="E506" s="19" t="n">
        <v>46091</v>
      </c>
      <c r="F506" s="18" t="n">
        <v>2</v>
      </c>
      <c r="G506" s="18" t="inlineStr">
        <is>
          <t>FLOR AMARILLO</t>
        </is>
      </c>
    </row>
    <row r="507">
      <c r="B507" s="56" t="inlineStr">
        <is>
          <t>00028-FER</t>
        </is>
      </c>
      <c r="C507" s="56">
        <f>IFERROR(_xlfn.XLOOKUP(SALIDAS[[#This Row],[CODIGO]],LISTADO[CODIGOS],LISTADO[CATEGORIA]),"NO EXISTE")</f>
        <v/>
      </c>
      <c r="D507" s="56">
        <f>IFERROR(_xlfn.XLOOKUP(SALIDAS[[#This Row],[CODIGO]],LISTADO[CODIGOS],LISTADO[PRODUCTOS]),"NO EXISTE")</f>
        <v/>
      </c>
      <c r="E507" s="19" t="n">
        <v>46091</v>
      </c>
      <c r="F507" s="18" t="n">
        <v>3</v>
      </c>
      <c r="G507" s="18" t="inlineStr">
        <is>
          <t>FLOR AMARILLO</t>
        </is>
      </c>
    </row>
    <row r="508">
      <c r="B508" s="56" t="inlineStr">
        <is>
          <t>00031-FER</t>
        </is>
      </c>
      <c r="C508" s="56">
        <f>IFERROR(_xlfn.XLOOKUP(SALIDAS[[#This Row],[CODIGO]],LISTADO[CODIGOS],LISTADO[CATEGORIA]),"NO EXISTE")</f>
        <v/>
      </c>
      <c r="D508" s="56">
        <f>IFERROR(_xlfn.XLOOKUP(SALIDAS[[#This Row],[CODIGO]],LISTADO[CODIGOS],LISTADO[PRODUCTOS]),"NO EXISTE")</f>
        <v/>
      </c>
      <c r="E508" s="19" t="n">
        <v>46091</v>
      </c>
      <c r="F508" s="18" t="n">
        <v>3</v>
      </c>
      <c r="G508" s="18" t="inlineStr">
        <is>
          <t>FLOR AMARILLO</t>
        </is>
      </c>
    </row>
    <row r="509">
      <c r="B509" s="56" t="inlineStr">
        <is>
          <t>00029-FER</t>
        </is>
      </c>
      <c r="C509" s="56">
        <f>IFERROR(_xlfn.XLOOKUP(SALIDAS[[#This Row],[CODIGO]],LISTADO[CODIGOS],LISTADO[CATEGORIA]),"NO EXISTE")</f>
        <v/>
      </c>
      <c r="D509" s="56">
        <f>IFERROR(_xlfn.XLOOKUP(SALIDAS[[#This Row],[CODIGO]],LISTADO[CODIGOS],LISTADO[PRODUCTOS]),"NO EXISTE")</f>
        <v/>
      </c>
      <c r="E509" s="19" t="n">
        <v>46091</v>
      </c>
      <c r="F509" s="18" t="n">
        <v>1</v>
      </c>
      <c r="G509" s="18" t="inlineStr">
        <is>
          <t>FLOR AMARILLO</t>
        </is>
      </c>
    </row>
    <row r="510">
      <c r="B510" s="56" t="inlineStr">
        <is>
          <t>00041-FER</t>
        </is>
      </c>
      <c r="C510" s="56">
        <f>IFERROR(_xlfn.XLOOKUP(SALIDAS[[#This Row],[CODIGO]],LISTADO[CODIGOS],LISTADO[CATEGORIA]),"NO EXISTE")</f>
        <v/>
      </c>
      <c r="D510" s="56">
        <f>IFERROR(_xlfn.XLOOKUP(SALIDAS[[#This Row],[CODIGO]],LISTADO[CODIGOS],LISTADO[PRODUCTOS]),"NO EXISTE")</f>
        <v/>
      </c>
      <c r="E510" s="19" t="n">
        <v>46091</v>
      </c>
      <c r="F510" s="18" t="n">
        <v>1</v>
      </c>
      <c r="G510" s="18" t="inlineStr">
        <is>
          <t>FLOR AMARILLO</t>
        </is>
      </c>
    </row>
    <row r="511">
      <c r="B511" s="56" t="inlineStr">
        <is>
          <t>00090-REF</t>
        </is>
      </c>
      <c r="C511" s="56">
        <f>IFERROR(_xlfn.XLOOKUP(SALIDAS[[#This Row],[CODIGO]],LISTADO[CODIGOS],LISTADO[CATEGORIA]),"NO EXISTE")</f>
        <v/>
      </c>
      <c r="D511" s="56">
        <f>IFERROR(_xlfn.XLOOKUP(SALIDAS[[#This Row],[CODIGO]],LISTADO[CODIGOS],LISTADO[PRODUCTOS]),"NO EXISTE")</f>
        <v/>
      </c>
      <c r="E511" s="19" t="n">
        <v>46091</v>
      </c>
      <c r="F511" s="18" t="n">
        <v>8</v>
      </c>
      <c r="G511" s="18" t="inlineStr">
        <is>
          <t>LA VIÑA</t>
        </is>
      </c>
    </row>
    <row r="512">
      <c r="B512" s="56" t="inlineStr">
        <is>
          <t>00073-REF</t>
        </is>
      </c>
      <c r="C512" s="56">
        <f>IFERROR(_xlfn.XLOOKUP(SALIDAS[[#This Row],[CODIGO]],LISTADO[CODIGOS],LISTADO[CATEGORIA]),"NO EXISTE")</f>
        <v/>
      </c>
      <c r="D512" s="56">
        <f>IFERROR(_xlfn.XLOOKUP(SALIDAS[[#This Row],[CODIGO]],LISTADO[CODIGOS],LISTADO[PRODUCTOS]),"NO EXISTE")</f>
        <v/>
      </c>
      <c r="E512" s="19" t="n">
        <v>46091</v>
      </c>
      <c r="F512" s="18" t="n">
        <v>28</v>
      </c>
      <c r="G512" s="18" t="inlineStr">
        <is>
          <t>LA VIÑA</t>
        </is>
      </c>
    </row>
    <row r="513">
      <c r="B513" s="56" t="inlineStr">
        <is>
          <t>00016-REF</t>
        </is>
      </c>
      <c r="C513" s="56">
        <f>IFERROR(_xlfn.XLOOKUP(SALIDAS[[#This Row],[CODIGO]],LISTADO[CODIGOS],LISTADO[CATEGORIA]),"NO EXISTE")</f>
        <v/>
      </c>
      <c r="D513" s="56">
        <f>IFERROR(_xlfn.XLOOKUP(SALIDAS[[#This Row],[CODIGO]],LISTADO[CODIGOS],LISTADO[PRODUCTOS]),"NO EXISTE")</f>
        <v/>
      </c>
      <c r="E513" s="19" t="n">
        <v>46091</v>
      </c>
      <c r="F513" s="18" t="n">
        <v>15</v>
      </c>
      <c r="G513" s="18" t="inlineStr">
        <is>
          <t>LA VIÑA</t>
        </is>
      </c>
    </row>
    <row r="514">
      <c r="B514" s="18" t="inlineStr">
        <is>
          <t>00147-FER</t>
        </is>
      </c>
      <c r="C514" s="56">
        <f>IFERROR(_xlfn.XLOOKUP(SALIDAS[[#This Row],[CODIGO]],LISTADO[CODIGOS],LISTADO[CATEGORIA]),"NO EXISTE")</f>
        <v/>
      </c>
      <c r="D514" s="56">
        <f>IFERROR(_xlfn.XLOOKUP(SALIDAS[[#This Row],[CODIGO]],LISTADO[CODIGOS],LISTADO[PRODUCTOS]),"NO EXISTE")</f>
        <v/>
      </c>
      <c r="E514" s="19" t="n">
        <v>46091</v>
      </c>
      <c r="F514" s="18" t="n">
        <v>6</v>
      </c>
      <c r="G514" s="18" t="inlineStr">
        <is>
          <t>CEDI FRIO</t>
        </is>
      </c>
    </row>
    <row r="515">
      <c r="B515" s="18" t="inlineStr">
        <is>
          <t>00048-PLM</t>
        </is>
      </c>
      <c r="C515" s="56">
        <f>IFERROR(_xlfn.XLOOKUP(SALIDAS[[#This Row],[CODIGO]],LISTADO[CODIGOS],LISTADO[CATEGORIA]),"NO EXISTE")</f>
        <v/>
      </c>
      <c r="D515" s="56">
        <f>IFERROR(_xlfn.XLOOKUP(SALIDAS[[#This Row],[CODIGO]],LISTADO[CODIGOS],LISTADO[PRODUCTOS]),"NO EXISTE")</f>
        <v/>
      </c>
      <c r="E515" s="19" t="n">
        <v>46091</v>
      </c>
      <c r="F515" s="18" t="n">
        <v>1</v>
      </c>
      <c r="G515" s="18" t="inlineStr">
        <is>
          <t>TOCUYITO</t>
        </is>
      </c>
    </row>
    <row r="516">
      <c r="B516" s="18" t="inlineStr">
        <is>
          <t>00049-PLM</t>
        </is>
      </c>
      <c r="C516" s="56">
        <f>IFERROR(_xlfn.XLOOKUP(SALIDAS[[#This Row],[CODIGO]],LISTADO[CODIGOS],LISTADO[CATEGORIA]),"NO EXISTE")</f>
        <v/>
      </c>
      <c r="D516" s="56">
        <f>IFERROR(_xlfn.XLOOKUP(SALIDAS[[#This Row],[CODIGO]],LISTADO[CODIGOS],LISTADO[PRODUCTOS]),"NO EXISTE")</f>
        <v/>
      </c>
      <c r="E516" s="19" t="n">
        <v>46091</v>
      </c>
      <c r="F516" s="18" t="n">
        <v>1</v>
      </c>
      <c r="G516" s="18" t="inlineStr">
        <is>
          <t>TOCUYITO</t>
        </is>
      </c>
    </row>
    <row r="517">
      <c r="B517" s="18" t="inlineStr">
        <is>
          <t>00050-PLM</t>
        </is>
      </c>
      <c r="C517" s="56">
        <f>IFERROR(_xlfn.XLOOKUP(SALIDAS[[#This Row],[CODIGO]],LISTADO[CODIGOS],LISTADO[CATEGORIA]),"NO EXISTE")</f>
        <v/>
      </c>
      <c r="D517" s="56">
        <f>IFERROR(_xlfn.XLOOKUP(SALIDAS[[#This Row],[CODIGO]],LISTADO[CODIGOS],LISTADO[PRODUCTOS]),"NO EXISTE")</f>
        <v/>
      </c>
      <c r="E517" s="19" t="n">
        <v>46091</v>
      </c>
      <c r="F517" s="18" t="n">
        <v>1</v>
      </c>
      <c r="G517" s="18" t="inlineStr">
        <is>
          <t>TOCUYITO</t>
        </is>
      </c>
    </row>
    <row r="518">
      <c r="B518" s="56" t="inlineStr">
        <is>
          <t>00016-HRR</t>
        </is>
      </c>
      <c r="C518" s="56">
        <f>IFERROR(_xlfn.XLOOKUP(SALIDAS[[#This Row],[CODIGO]],LISTADO[CODIGOS],LISTADO[CATEGORIA]),"NO EXISTE")</f>
        <v/>
      </c>
      <c r="D518" s="56">
        <f>IFERROR(_xlfn.XLOOKUP(SALIDAS[[#This Row],[CODIGO]],LISTADO[CODIGOS],LISTADO[PRODUCTOS]),"NO EXISTE")</f>
        <v/>
      </c>
      <c r="E518" s="19" t="n">
        <v>46091</v>
      </c>
      <c r="F518" s="18" t="n">
        <v>1</v>
      </c>
      <c r="G518" s="18" t="inlineStr">
        <is>
          <t>TOCUYITO</t>
        </is>
      </c>
    </row>
    <row r="519">
      <c r="B519" s="56" t="inlineStr">
        <is>
          <t>00080-FER</t>
        </is>
      </c>
      <c r="C519" s="56">
        <f>IFERROR(_xlfn.XLOOKUP(SALIDAS[[#This Row],[CODIGO]],LISTADO[CODIGOS],LISTADO[CATEGORIA]),"NO EXISTE")</f>
        <v/>
      </c>
      <c r="D519" s="56">
        <f>IFERROR(_xlfn.XLOOKUP(SALIDAS[[#This Row],[CODIGO]],LISTADO[CODIGOS],LISTADO[PRODUCTOS]),"NO EXISTE")</f>
        <v/>
      </c>
      <c r="E519" s="19" t="n">
        <v>46091</v>
      </c>
      <c r="F519" s="18" t="n">
        <v>1</v>
      </c>
      <c r="G519" s="18" t="inlineStr">
        <is>
          <t>TOCUYITO</t>
        </is>
      </c>
    </row>
    <row r="520">
      <c r="B520" s="56" t="inlineStr">
        <is>
          <t>00010-HRR</t>
        </is>
      </c>
      <c r="C520" s="56">
        <f>IFERROR(_xlfn.XLOOKUP(SALIDAS[[#This Row],[CODIGO]],LISTADO[CODIGOS],LISTADO[CATEGORIA]),"NO EXISTE")</f>
        <v/>
      </c>
      <c r="D520" s="56">
        <f>IFERROR(_xlfn.XLOOKUP(SALIDAS[[#This Row],[CODIGO]],LISTADO[CODIGOS],LISTADO[PRODUCTOS]),"NO EXISTE")</f>
        <v/>
      </c>
      <c r="E520" s="19" t="n">
        <v>46091</v>
      </c>
      <c r="F520" s="18" t="n">
        <v>100</v>
      </c>
      <c r="G520" s="18" t="inlineStr">
        <is>
          <t>TOCUYITO</t>
        </is>
      </c>
    </row>
    <row r="521">
      <c r="B521" s="18" t="inlineStr">
        <is>
          <t>00053-HRR</t>
        </is>
      </c>
      <c r="C521" s="56">
        <f>IFERROR(_xlfn.XLOOKUP(SALIDAS[[#This Row],[CODIGO]],LISTADO[CODIGOS],LISTADO[CATEGORIA]),"NO EXISTE")</f>
        <v/>
      </c>
      <c r="D521" s="56">
        <f>IFERROR(_xlfn.XLOOKUP(SALIDAS[[#This Row],[CODIGO]],LISTADO[CODIGOS],LISTADO[PRODUCTOS]),"NO EXISTE")</f>
        <v/>
      </c>
      <c r="E521" s="19" t="n">
        <v>46091</v>
      </c>
      <c r="F521" s="18" t="n">
        <v>1</v>
      </c>
      <c r="G521" s="18" t="inlineStr">
        <is>
          <t>TOCUYITO</t>
        </is>
      </c>
    </row>
    <row r="522">
      <c r="B522" s="18" t="inlineStr">
        <is>
          <t>00057-HRR</t>
        </is>
      </c>
      <c r="C522" s="56">
        <f>IFERROR(_xlfn.XLOOKUP(SALIDAS[[#This Row],[CODIGO]],LISTADO[CODIGOS],LISTADO[CATEGORIA]),"NO EXISTE")</f>
        <v/>
      </c>
      <c r="D522" s="56">
        <f>IFERROR(_xlfn.XLOOKUP(SALIDAS[[#This Row],[CODIGO]],LISTADO[CODIGOS],LISTADO[PRODUCTOS]),"NO EXISTE")</f>
        <v/>
      </c>
      <c r="E522" s="19" t="n">
        <v>46091</v>
      </c>
      <c r="F522" s="18" t="n">
        <v>1</v>
      </c>
      <c r="G522" s="18" t="inlineStr">
        <is>
          <t>TOCUYITO</t>
        </is>
      </c>
    </row>
    <row r="523">
      <c r="B523" s="18" t="inlineStr">
        <is>
          <t>00154-FER</t>
        </is>
      </c>
      <c r="C523" s="56">
        <f>IFERROR(_xlfn.XLOOKUP(SALIDAS[[#This Row],[CODIGO]],LISTADO[CODIGOS],LISTADO[CATEGORIA]),"NO EXISTE")</f>
        <v/>
      </c>
      <c r="D523" s="56">
        <f>IFERROR(_xlfn.XLOOKUP(SALIDAS[[#This Row],[CODIGO]],LISTADO[CODIGOS],LISTADO[PRODUCTOS]),"NO EXISTE")</f>
        <v/>
      </c>
      <c r="E523" s="19" t="n">
        <v>46091</v>
      </c>
      <c r="F523" s="18" t="n">
        <v>1</v>
      </c>
      <c r="G523" s="18" t="inlineStr">
        <is>
          <t>TOCUYITO</t>
        </is>
      </c>
    </row>
    <row r="524">
      <c r="B524" s="56" t="inlineStr">
        <is>
          <t>00144-FER</t>
        </is>
      </c>
      <c r="C524" s="56">
        <f>IFERROR(_xlfn.XLOOKUP(SALIDAS[[#This Row],[CODIGO]],LISTADO[CODIGOS],LISTADO[CATEGORIA]),"NO EXISTE")</f>
        <v/>
      </c>
      <c r="D524" s="56">
        <f>IFERROR(_xlfn.XLOOKUP(SALIDAS[[#This Row],[CODIGO]],LISTADO[CODIGOS],LISTADO[PRODUCTOS]),"NO EXISTE")</f>
        <v/>
      </c>
      <c r="E524" s="19" t="n">
        <v>46091</v>
      </c>
      <c r="F524" s="18" t="n">
        <v>1</v>
      </c>
      <c r="G524" s="18" t="inlineStr">
        <is>
          <t>PERIFERICO</t>
        </is>
      </c>
    </row>
    <row r="525">
      <c r="B525" s="56" t="inlineStr">
        <is>
          <t>00074-FER</t>
        </is>
      </c>
      <c r="C525" s="56">
        <f>IFERROR(_xlfn.XLOOKUP(SALIDAS[[#This Row],[CODIGO]],LISTADO[CODIGOS],LISTADO[CATEGORIA]),"NO EXISTE")</f>
        <v/>
      </c>
      <c r="D525" s="56">
        <f>IFERROR(_xlfn.XLOOKUP(SALIDAS[[#This Row],[CODIGO]],LISTADO[CODIGOS],LISTADO[PRODUCTOS]),"NO EXISTE")</f>
        <v/>
      </c>
      <c r="E525" s="19" t="n">
        <v>46091</v>
      </c>
      <c r="F525" s="18" t="n">
        <v>5</v>
      </c>
      <c r="G525" s="18" t="inlineStr">
        <is>
          <t>FLOR AMARILLO</t>
        </is>
      </c>
    </row>
    <row r="526">
      <c r="B526" s="18" t="inlineStr">
        <is>
          <t>00157-FER</t>
        </is>
      </c>
      <c r="C526" s="56">
        <f>IFERROR(_xlfn.XLOOKUP(SALIDAS[[#This Row],[CODIGO]],LISTADO[CODIGOS],LISTADO[CATEGORIA]),"NO EXISTE")</f>
        <v/>
      </c>
      <c r="D526" s="56">
        <f>IFERROR(_xlfn.XLOOKUP(SALIDAS[[#This Row],[CODIGO]],LISTADO[CODIGOS],LISTADO[PRODUCTOS]),"NO EXISTE")</f>
        <v/>
      </c>
      <c r="E526" s="19" t="n">
        <v>46091</v>
      </c>
      <c r="F526" s="18" t="n">
        <v>4</v>
      </c>
      <c r="G526" s="18" t="inlineStr">
        <is>
          <t>FLOR AMARILLO</t>
        </is>
      </c>
    </row>
    <row r="527">
      <c r="B527" s="56" t="inlineStr">
        <is>
          <t>00051-REF</t>
        </is>
      </c>
      <c r="C527" s="56">
        <f>IFERROR(_xlfn.XLOOKUP(SALIDAS[[#This Row],[CODIGO]],LISTADO[CODIGOS],LISTADO[CATEGORIA]),"NO EXISTE")</f>
        <v/>
      </c>
      <c r="D527" s="56">
        <f>IFERROR(_xlfn.XLOOKUP(SALIDAS[[#This Row],[CODIGO]],LISTADO[CODIGOS],LISTADO[PRODUCTOS]),"NO EXISTE")</f>
        <v/>
      </c>
      <c r="E527" s="19" t="n">
        <v>46091</v>
      </c>
      <c r="F527" s="18" t="n">
        <v>8</v>
      </c>
      <c r="G527" s="18" t="inlineStr">
        <is>
          <t>LA VIÑA</t>
        </is>
      </c>
    </row>
    <row r="528">
      <c r="B528" s="56" t="inlineStr">
        <is>
          <t>00048-ELE</t>
        </is>
      </c>
      <c r="C528" s="56">
        <f>IFERROR(_xlfn.XLOOKUP(SALIDAS[[#This Row],[CODIGO]],LISTADO[CODIGOS],LISTADO[CATEGORIA]),"NO EXISTE")</f>
        <v/>
      </c>
      <c r="D528" s="56">
        <f>IFERROR(_xlfn.XLOOKUP(SALIDAS[[#This Row],[CODIGO]],LISTADO[CODIGOS],LISTADO[PRODUCTOS]),"NO EXISTE")</f>
        <v/>
      </c>
      <c r="E528" s="19" t="n">
        <v>46091</v>
      </c>
      <c r="F528" s="18" t="n">
        <v>6</v>
      </c>
      <c r="G528" s="18" t="inlineStr">
        <is>
          <t>LA VIÑA</t>
        </is>
      </c>
    </row>
    <row r="529">
      <c r="B529" s="56" t="inlineStr">
        <is>
          <t>00055-ELE</t>
        </is>
      </c>
      <c r="C529" s="56">
        <f>IFERROR(_xlfn.XLOOKUP(SALIDAS[[#This Row],[CODIGO]],LISTADO[CODIGOS],LISTADO[CATEGORIA]),"NO EXISTE")</f>
        <v/>
      </c>
      <c r="D529" s="56">
        <f>IFERROR(_xlfn.XLOOKUP(SALIDAS[[#This Row],[CODIGO]],LISTADO[CODIGOS],LISTADO[PRODUCTOS]),"NO EXISTE")</f>
        <v/>
      </c>
      <c r="E529" s="19" t="n">
        <v>46091</v>
      </c>
      <c r="F529" s="18" t="n">
        <v>6</v>
      </c>
      <c r="G529" s="18" t="inlineStr">
        <is>
          <t>LA VIÑA</t>
        </is>
      </c>
    </row>
    <row r="530">
      <c r="B530" s="56" t="inlineStr">
        <is>
          <t>00049-ELE</t>
        </is>
      </c>
      <c r="C530" s="56">
        <f>IFERROR(_xlfn.XLOOKUP(SALIDAS[[#This Row],[CODIGO]],LISTADO[CODIGOS],LISTADO[CATEGORIA]),"NO EXISTE")</f>
        <v/>
      </c>
      <c r="D530" s="56">
        <f>IFERROR(_xlfn.XLOOKUP(SALIDAS[[#This Row],[CODIGO]],LISTADO[CODIGOS],LISTADO[PRODUCTOS]),"NO EXISTE")</f>
        <v/>
      </c>
      <c r="E530" s="19" t="n">
        <v>46091</v>
      </c>
      <c r="F530" s="18" t="n">
        <v>2</v>
      </c>
      <c r="G530" s="18" t="inlineStr">
        <is>
          <t>LA VIÑA</t>
        </is>
      </c>
    </row>
    <row r="531">
      <c r="B531" s="56" t="inlineStr">
        <is>
          <t>00094-FER</t>
        </is>
      </c>
      <c r="C531" s="56">
        <f>IFERROR(_xlfn.XLOOKUP(SALIDAS[[#This Row],[CODIGO]],LISTADO[CODIGOS],LISTADO[CATEGORIA]),"NO EXISTE")</f>
        <v/>
      </c>
      <c r="D531" s="56">
        <f>IFERROR(_xlfn.XLOOKUP(SALIDAS[[#This Row],[CODIGO]],LISTADO[CODIGOS],LISTADO[PRODUCTOS]),"NO EXISTE")</f>
        <v/>
      </c>
      <c r="E531" s="19" t="n">
        <v>46091</v>
      </c>
      <c r="F531" s="18" t="n">
        <v>6</v>
      </c>
      <c r="G531" s="18" t="inlineStr">
        <is>
          <t>LA VIÑA</t>
        </is>
      </c>
    </row>
    <row r="532">
      <c r="B532" s="56" t="inlineStr">
        <is>
          <t>00088-FER</t>
        </is>
      </c>
      <c r="C532" s="56">
        <f>IFERROR(_xlfn.XLOOKUP(SALIDAS[[#This Row],[CODIGO]],LISTADO[CODIGOS],LISTADO[CATEGORIA]),"NO EXISTE")</f>
        <v/>
      </c>
      <c r="D532" s="56">
        <f>IFERROR(_xlfn.XLOOKUP(SALIDAS[[#This Row],[CODIGO]],LISTADO[CODIGOS],LISTADO[PRODUCTOS]),"NO EXISTE")</f>
        <v/>
      </c>
      <c r="E532" s="19" t="n">
        <v>46091</v>
      </c>
      <c r="F532" s="18" t="n">
        <v>2</v>
      </c>
      <c r="G532" s="18" t="inlineStr">
        <is>
          <t>LA VIÑA</t>
        </is>
      </c>
    </row>
    <row r="533">
      <c r="B533" s="56" t="inlineStr">
        <is>
          <t>00047-ELE</t>
        </is>
      </c>
      <c r="C533" s="56">
        <f>IFERROR(_xlfn.XLOOKUP(SALIDAS[[#This Row],[CODIGO]],LISTADO[CODIGOS],LISTADO[CATEGORIA]),"NO EXISTE")</f>
        <v/>
      </c>
      <c r="D533" s="56">
        <f>IFERROR(_xlfn.XLOOKUP(SALIDAS[[#This Row],[CODIGO]],LISTADO[CODIGOS],LISTADO[PRODUCTOS]),"NO EXISTE")</f>
        <v/>
      </c>
      <c r="E533" s="19" t="n">
        <v>46091</v>
      </c>
      <c r="F533" s="18" t="n">
        <v>6</v>
      </c>
      <c r="G533" s="18" t="inlineStr">
        <is>
          <t>LA VIÑA</t>
        </is>
      </c>
    </row>
    <row r="534">
      <c r="B534" s="18" t="inlineStr">
        <is>
          <t>00070-ELE</t>
        </is>
      </c>
      <c r="C534" s="56">
        <f>IFERROR(_xlfn.XLOOKUP(SALIDAS[[#This Row],[CODIGO]],LISTADO[CODIGOS],LISTADO[CATEGORIA]),"NO EXISTE")</f>
        <v/>
      </c>
      <c r="D534" s="56">
        <f>IFERROR(_xlfn.XLOOKUP(SALIDAS[[#This Row],[CODIGO]],LISTADO[CODIGOS],LISTADO[PRODUCTOS]),"NO EXISTE")</f>
        <v/>
      </c>
      <c r="E534" s="19" t="n">
        <v>46091</v>
      </c>
      <c r="F534" s="18" t="n">
        <v>2</v>
      </c>
      <c r="G534" s="18" t="inlineStr">
        <is>
          <t>LA VIÑA</t>
        </is>
      </c>
    </row>
    <row r="535">
      <c r="B535" s="56" t="inlineStr">
        <is>
          <t>00056-ELE</t>
        </is>
      </c>
      <c r="C535" s="56">
        <f>IFERROR(_xlfn.XLOOKUP(SALIDAS[[#This Row],[CODIGO]],LISTADO[CODIGOS],LISTADO[CATEGORIA]),"NO EXISTE")</f>
        <v/>
      </c>
      <c r="D535" s="56">
        <f>IFERROR(_xlfn.XLOOKUP(SALIDAS[[#This Row],[CODIGO]],LISTADO[CODIGOS],LISTADO[PRODUCTOS]),"NO EXISTE")</f>
        <v/>
      </c>
      <c r="E535" s="19" t="n">
        <v>46091</v>
      </c>
      <c r="F535" s="18" t="n">
        <v>60</v>
      </c>
      <c r="G535" s="18" t="inlineStr">
        <is>
          <t>LA VIÑA</t>
        </is>
      </c>
    </row>
    <row r="536">
      <c r="B536" s="56" t="inlineStr">
        <is>
          <t>00088-REF</t>
        </is>
      </c>
      <c r="C536" s="56">
        <f>IFERROR(_xlfn.XLOOKUP(SALIDAS[[#This Row],[CODIGO]],LISTADO[CODIGOS],LISTADO[CATEGORIA]),"NO EXISTE")</f>
        <v/>
      </c>
      <c r="D536" s="56">
        <f>IFERROR(_xlfn.XLOOKUP(SALIDAS[[#This Row],[CODIGO]],LISTADO[CODIGOS],LISTADO[PRODUCTOS]),"NO EXISTE")</f>
        <v/>
      </c>
      <c r="E536" s="19" t="n">
        <v>46091</v>
      </c>
      <c r="F536" s="18" t="n">
        <v>52</v>
      </c>
      <c r="G536" s="18" t="inlineStr">
        <is>
          <t>LA VIÑA</t>
        </is>
      </c>
    </row>
    <row r="537">
      <c r="B537" s="18" t="inlineStr">
        <is>
          <t>00089-REF</t>
        </is>
      </c>
      <c r="C537" s="56">
        <f>IFERROR(_xlfn.XLOOKUP(SALIDAS[[#This Row],[CODIGO]],LISTADO[CODIGOS],LISTADO[CATEGORIA]),"NO EXISTE")</f>
        <v/>
      </c>
      <c r="D537" s="56">
        <f>IFERROR(_xlfn.XLOOKUP(SALIDAS[[#This Row],[CODIGO]],LISTADO[CODIGOS],LISTADO[PRODUCTOS]),"NO EXISTE")</f>
        <v/>
      </c>
      <c r="E537" s="19" t="n">
        <v>46091</v>
      </c>
      <c r="F537" s="18" t="n">
        <v>52</v>
      </c>
      <c r="G537" s="18" t="inlineStr">
        <is>
          <t>LA VIÑA</t>
        </is>
      </c>
    </row>
    <row r="538">
      <c r="B538" s="56" t="inlineStr">
        <is>
          <t>00091-REF</t>
        </is>
      </c>
      <c r="C538" s="56">
        <f>IFERROR(_xlfn.XLOOKUP(SALIDAS[[#This Row],[CODIGO]],LISTADO[CODIGOS],LISTADO[CATEGORIA]),"NO EXISTE")</f>
        <v/>
      </c>
      <c r="D538" s="56">
        <f>IFERROR(_xlfn.XLOOKUP(SALIDAS[[#This Row],[CODIGO]],LISTADO[CODIGOS],LISTADO[PRODUCTOS]),"NO EXISTE")</f>
        <v/>
      </c>
      <c r="E538" s="19" t="n">
        <v>46091</v>
      </c>
      <c r="F538" s="18" t="n">
        <v>3</v>
      </c>
      <c r="G538" s="18" t="inlineStr">
        <is>
          <t>LA VIÑA</t>
        </is>
      </c>
    </row>
    <row r="539">
      <c r="B539" s="56" t="inlineStr">
        <is>
          <t>00092-REF</t>
        </is>
      </c>
      <c r="C539" s="56">
        <f>IFERROR(_xlfn.XLOOKUP(SALIDAS[[#This Row],[CODIGO]],LISTADO[CODIGOS],LISTADO[CATEGORIA]),"NO EXISTE")</f>
        <v/>
      </c>
      <c r="D539" s="56">
        <f>IFERROR(_xlfn.XLOOKUP(SALIDAS[[#This Row],[CODIGO]],LISTADO[CODIGOS],LISTADO[PRODUCTOS]),"NO EXISTE")</f>
        <v/>
      </c>
      <c r="E539" s="19" t="n">
        <v>46091</v>
      </c>
      <c r="F539" s="18" t="n">
        <v>2</v>
      </c>
      <c r="G539" s="18" t="inlineStr">
        <is>
          <t>LA VIÑA</t>
        </is>
      </c>
    </row>
    <row r="540">
      <c r="B540" s="56" t="inlineStr">
        <is>
          <t>00001-REF</t>
        </is>
      </c>
      <c r="C540" s="56">
        <f>IFERROR(_xlfn.XLOOKUP(SALIDAS[[#This Row],[CODIGO]],LISTADO[CODIGOS],LISTADO[CATEGORIA]),"NO EXISTE")</f>
        <v/>
      </c>
      <c r="D540" s="56">
        <f>IFERROR(_xlfn.XLOOKUP(SALIDAS[[#This Row],[CODIGO]],LISTADO[CODIGOS],LISTADO[PRODUCTOS]),"NO EXISTE")</f>
        <v/>
      </c>
      <c r="E540" s="19" t="n">
        <v>46091</v>
      </c>
      <c r="F540" s="33" t="n">
        <v>12</v>
      </c>
      <c r="G540" s="18" t="inlineStr">
        <is>
          <t>LA VIÑA</t>
        </is>
      </c>
    </row>
    <row r="541">
      <c r="B541" s="18" t="inlineStr">
        <is>
          <t>00057-ELE</t>
        </is>
      </c>
      <c r="C541" s="56">
        <f>IFERROR(_xlfn.XLOOKUP(SALIDAS[[#This Row],[CODIGO]],LISTADO[CODIGOS],LISTADO[CATEGORIA]),"NO EXISTE")</f>
        <v/>
      </c>
      <c r="D541" s="56">
        <f>IFERROR(_xlfn.XLOOKUP(SALIDAS[[#This Row],[CODIGO]],LISTADO[CODIGOS],LISTADO[PRODUCTOS]),"NO EXISTE")</f>
        <v/>
      </c>
      <c r="E541" s="19" t="n">
        <v>46092</v>
      </c>
      <c r="F541" s="18" t="n">
        <v>4</v>
      </c>
      <c r="G541" s="18" t="inlineStr">
        <is>
          <t>PERIFERICO</t>
        </is>
      </c>
    </row>
    <row r="542">
      <c r="B542" s="56" t="inlineStr">
        <is>
          <t>00040-PLM</t>
        </is>
      </c>
      <c r="C542" s="56">
        <f>IFERROR(_xlfn.XLOOKUP(SALIDAS[[#This Row],[CODIGO]],LISTADO[CODIGOS],LISTADO[CATEGORIA]),"NO EXISTE")</f>
        <v/>
      </c>
      <c r="D542" s="56">
        <f>IFERROR(_xlfn.XLOOKUP(SALIDAS[[#This Row],[CODIGO]],LISTADO[CODIGOS],LISTADO[PRODUCTOS]),"NO EXISTE")</f>
        <v/>
      </c>
      <c r="E542" s="19" t="n">
        <v>46092</v>
      </c>
      <c r="F542" s="18" t="n">
        <v>12</v>
      </c>
      <c r="G542" s="18" t="inlineStr">
        <is>
          <t>LA VIÑA</t>
        </is>
      </c>
    </row>
    <row r="543">
      <c r="B543" s="56" t="inlineStr">
        <is>
          <t>00080-FER</t>
        </is>
      </c>
      <c r="C543" s="56">
        <f>IFERROR(_xlfn.XLOOKUP(SALIDAS[[#This Row],[CODIGO]],LISTADO[CODIGOS],LISTADO[CATEGORIA]),"NO EXISTE")</f>
        <v/>
      </c>
      <c r="D543" s="56">
        <f>IFERROR(_xlfn.XLOOKUP(SALIDAS[[#This Row],[CODIGO]],LISTADO[CODIGOS],LISTADO[PRODUCTOS]),"NO EXISTE")</f>
        <v/>
      </c>
      <c r="E543" s="19" t="n">
        <v>46092</v>
      </c>
      <c r="F543" s="18" t="n">
        <v>2</v>
      </c>
      <c r="G543" s="18" t="inlineStr">
        <is>
          <t>LA VIÑA</t>
        </is>
      </c>
    </row>
    <row r="544">
      <c r="B544" s="18" t="inlineStr">
        <is>
          <t>00045-PLM</t>
        </is>
      </c>
      <c r="C544" s="56">
        <f>IFERROR(_xlfn.XLOOKUP(SALIDAS[[#This Row],[CODIGO]],LISTADO[CODIGOS],LISTADO[CATEGORIA]),"NO EXISTE")</f>
        <v/>
      </c>
      <c r="D544" s="56">
        <f>IFERROR(_xlfn.XLOOKUP(SALIDAS[[#This Row],[CODIGO]],LISTADO[CODIGOS],LISTADO[PRODUCTOS]),"NO EXISTE")</f>
        <v/>
      </c>
      <c r="E544" s="19" t="n">
        <v>46092</v>
      </c>
      <c r="F544" s="18" t="n">
        <v>5</v>
      </c>
      <c r="G544" s="18" t="inlineStr">
        <is>
          <t>LA VIÑA</t>
        </is>
      </c>
    </row>
    <row r="545">
      <c r="B545" s="56" t="inlineStr">
        <is>
          <t>00018-PLM</t>
        </is>
      </c>
      <c r="C545" s="56">
        <f>IFERROR(_xlfn.XLOOKUP(SALIDAS[[#This Row],[CODIGO]],LISTADO[CODIGOS],LISTADO[CATEGORIA]),"NO EXISTE")</f>
        <v/>
      </c>
      <c r="D545" s="56">
        <f>IFERROR(_xlfn.XLOOKUP(SALIDAS[[#This Row],[CODIGO]],LISTADO[CODIGOS],LISTADO[PRODUCTOS]),"NO EXISTE")</f>
        <v/>
      </c>
      <c r="E545" s="19" t="n">
        <v>46092</v>
      </c>
      <c r="F545" s="18" t="n">
        <v>22</v>
      </c>
      <c r="G545" s="18" t="inlineStr">
        <is>
          <t>LA VIÑA</t>
        </is>
      </c>
    </row>
    <row r="546">
      <c r="B546" s="18" t="inlineStr">
        <is>
          <t>00046-PLM</t>
        </is>
      </c>
      <c r="C546" s="56">
        <f>IFERROR(_xlfn.XLOOKUP(SALIDAS[[#This Row],[CODIGO]],LISTADO[CODIGOS],LISTADO[CATEGORIA]),"NO EXISTE")</f>
        <v/>
      </c>
      <c r="D546" s="56">
        <f>IFERROR(_xlfn.XLOOKUP(SALIDAS[[#This Row],[CODIGO]],LISTADO[CODIGOS],LISTADO[PRODUCTOS]),"NO EXISTE")</f>
        <v/>
      </c>
      <c r="E546" s="19" t="n">
        <v>46092</v>
      </c>
      <c r="F546" s="18" t="n">
        <v>5</v>
      </c>
      <c r="G546" s="18" t="inlineStr">
        <is>
          <t>LA VIÑA</t>
        </is>
      </c>
    </row>
    <row r="547">
      <c r="B547" s="56" t="inlineStr">
        <is>
          <t>00015-PLM</t>
        </is>
      </c>
      <c r="C547" s="56">
        <f>IFERROR(_xlfn.XLOOKUP(SALIDAS[[#This Row],[CODIGO]],LISTADO[CODIGOS],LISTADO[CATEGORIA]),"NO EXISTE")</f>
        <v/>
      </c>
      <c r="D547" s="56">
        <f>IFERROR(_xlfn.XLOOKUP(SALIDAS[[#This Row],[CODIGO]],LISTADO[CODIGOS],LISTADO[PRODUCTOS]),"NO EXISTE")</f>
        <v/>
      </c>
      <c r="E547" s="19" t="n">
        <v>46092</v>
      </c>
      <c r="F547" s="18" t="n">
        <v>7</v>
      </c>
      <c r="G547" s="18" t="inlineStr">
        <is>
          <t>LA VIÑA</t>
        </is>
      </c>
    </row>
    <row r="548">
      <c r="B548" s="18" t="inlineStr">
        <is>
          <t>00047-PLM</t>
        </is>
      </c>
      <c r="C548" s="56">
        <f>IFERROR(_xlfn.XLOOKUP(SALIDAS[[#This Row],[CODIGO]],LISTADO[CODIGOS],LISTADO[CATEGORIA]),"NO EXISTE")</f>
        <v/>
      </c>
      <c r="D548" s="56">
        <f>IFERROR(_xlfn.XLOOKUP(SALIDAS[[#This Row],[CODIGO]],LISTADO[CODIGOS],LISTADO[PRODUCTOS]),"NO EXISTE")</f>
        <v/>
      </c>
      <c r="E548" s="19" t="n">
        <v>46092</v>
      </c>
      <c r="F548" s="18" t="n">
        <v>6</v>
      </c>
      <c r="G548" s="18" t="inlineStr">
        <is>
          <t>LA VIÑA</t>
        </is>
      </c>
    </row>
    <row r="549">
      <c r="B549" s="56" t="inlineStr">
        <is>
          <t>00017-PLM</t>
        </is>
      </c>
      <c r="C549" s="56">
        <f>IFERROR(_xlfn.XLOOKUP(SALIDAS[[#This Row],[CODIGO]],LISTADO[CODIGOS],LISTADO[CATEGORIA]),"NO EXISTE")</f>
        <v/>
      </c>
      <c r="D549" s="56">
        <f>IFERROR(_xlfn.XLOOKUP(SALIDAS[[#This Row],[CODIGO]],LISTADO[CODIGOS],LISTADO[PRODUCTOS]),"NO EXISTE")</f>
        <v/>
      </c>
      <c r="E549" s="19" t="n">
        <v>46092</v>
      </c>
      <c r="F549" s="18" t="n">
        <v>5</v>
      </c>
      <c r="G549" s="18" t="inlineStr">
        <is>
          <t>LA VIÑA</t>
        </is>
      </c>
    </row>
    <row r="550">
      <c r="B550" s="18" t="inlineStr">
        <is>
          <t>00038-HRR</t>
        </is>
      </c>
      <c r="C550" s="56">
        <f>IFERROR(_xlfn.XLOOKUP(SALIDAS[[#This Row],[CODIGO]],LISTADO[CODIGOS],LISTADO[CATEGORIA]),"NO EXISTE")</f>
        <v/>
      </c>
      <c r="D550" s="56">
        <f>IFERROR(_xlfn.XLOOKUP(SALIDAS[[#This Row],[CODIGO]],LISTADO[CODIGOS],LISTADO[PRODUCTOS]),"NO EXISTE")</f>
        <v/>
      </c>
      <c r="E550" s="19" t="n">
        <v>46092</v>
      </c>
      <c r="F550" s="18" t="n">
        <v>2</v>
      </c>
      <c r="G550" s="18" t="inlineStr">
        <is>
          <t>LA VIÑA</t>
        </is>
      </c>
    </row>
    <row r="551">
      <c r="B551" s="18" t="inlineStr">
        <is>
          <t>00039-HRR</t>
        </is>
      </c>
      <c r="C551" s="56">
        <f>IFERROR(_xlfn.XLOOKUP(SALIDAS[[#This Row],[CODIGO]],LISTADO[CODIGOS],LISTADO[CATEGORIA]),"NO EXISTE")</f>
        <v/>
      </c>
      <c r="D551" s="56">
        <f>IFERROR(_xlfn.XLOOKUP(SALIDAS[[#This Row],[CODIGO]],LISTADO[CODIGOS],LISTADO[PRODUCTOS]),"NO EXISTE")</f>
        <v/>
      </c>
      <c r="E551" s="19" t="n">
        <v>46092</v>
      </c>
      <c r="F551" s="18" t="n">
        <v>4</v>
      </c>
      <c r="G551" s="18" t="inlineStr">
        <is>
          <t>LA VIÑA</t>
        </is>
      </c>
    </row>
    <row r="552">
      <c r="B552" s="18" t="inlineStr">
        <is>
          <t>00040-HRR</t>
        </is>
      </c>
      <c r="C552" s="56">
        <f>IFERROR(_xlfn.XLOOKUP(SALIDAS[[#This Row],[CODIGO]],LISTADO[CODIGOS],LISTADO[CATEGORIA]),"NO EXISTE")</f>
        <v/>
      </c>
      <c r="D552" s="56">
        <f>IFERROR(_xlfn.XLOOKUP(SALIDAS[[#This Row],[CODIGO]],LISTADO[CODIGOS],LISTADO[PRODUCTOS]),"NO EXISTE")</f>
        <v/>
      </c>
      <c r="E552" s="19" t="n">
        <v>46092</v>
      </c>
      <c r="F552" s="18" t="n">
        <v>6</v>
      </c>
      <c r="G552" s="18" t="inlineStr">
        <is>
          <t>LA VIÑA</t>
        </is>
      </c>
    </row>
    <row r="553">
      <c r="B553" s="18" t="inlineStr">
        <is>
          <t>00058-ELE</t>
        </is>
      </c>
      <c r="C553" s="56">
        <f>IFERROR(_xlfn.XLOOKUP(SALIDAS[[#This Row],[CODIGO]],LISTADO[CODIGOS],LISTADO[CATEGORIA]),"NO EXISTE")</f>
        <v/>
      </c>
      <c r="D553" s="56">
        <f>IFERROR(_xlfn.XLOOKUP(SALIDAS[[#This Row],[CODIGO]],LISTADO[CODIGOS],LISTADO[PRODUCTOS]),"NO EXISTE")</f>
        <v/>
      </c>
      <c r="E553" s="19" t="n">
        <v>46092</v>
      </c>
      <c r="F553" s="18" t="n">
        <v>20</v>
      </c>
      <c r="G553" s="18" t="inlineStr">
        <is>
          <t>LA VIÑA</t>
        </is>
      </c>
    </row>
    <row r="554">
      <c r="B554" s="18" t="inlineStr">
        <is>
          <t>00059-ELE</t>
        </is>
      </c>
      <c r="C554" s="56">
        <f>IFERROR(_xlfn.XLOOKUP(SALIDAS[[#This Row],[CODIGO]],LISTADO[CODIGOS],LISTADO[CATEGORIA]),"NO EXISTE")</f>
        <v/>
      </c>
      <c r="D554" s="56">
        <f>IFERROR(_xlfn.XLOOKUP(SALIDAS[[#This Row],[CODIGO]],LISTADO[CODIGOS],LISTADO[PRODUCTOS]),"NO EXISTE")</f>
        <v/>
      </c>
      <c r="E554" s="19" t="n">
        <v>46092</v>
      </c>
      <c r="F554" s="18" t="n">
        <v>10</v>
      </c>
      <c r="G554" s="18" t="inlineStr">
        <is>
          <t>LA VIÑA</t>
        </is>
      </c>
    </row>
    <row r="555">
      <c r="B555" s="18" t="inlineStr">
        <is>
          <t>00060-ELE</t>
        </is>
      </c>
      <c r="C555" s="56">
        <f>IFERROR(_xlfn.XLOOKUP(SALIDAS[[#This Row],[CODIGO]],LISTADO[CODIGOS],LISTADO[CATEGORIA]),"NO EXISTE")</f>
        <v/>
      </c>
      <c r="D555" s="56">
        <f>IFERROR(_xlfn.XLOOKUP(SALIDAS[[#This Row],[CODIGO]],LISTADO[CODIGOS],LISTADO[PRODUCTOS]),"NO EXISTE")</f>
        <v/>
      </c>
      <c r="E555" s="19" t="n">
        <v>46092</v>
      </c>
      <c r="F555" s="18" t="n">
        <v>4</v>
      </c>
      <c r="G555" s="18" t="inlineStr">
        <is>
          <t>LA VIÑA</t>
        </is>
      </c>
    </row>
    <row r="556">
      <c r="B556" s="56" t="inlineStr">
        <is>
          <t>00041-ELE</t>
        </is>
      </c>
      <c r="C556" s="56">
        <f>IFERROR(_xlfn.XLOOKUP(SALIDAS[[#This Row],[CODIGO]],LISTADO[CODIGOS],LISTADO[CATEGORIA]),"NO EXISTE")</f>
        <v/>
      </c>
      <c r="D556" s="56">
        <f>IFERROR(_xlfn.XLOOKUP(SALIDAS[[#This Row],[CODIGO]],LISTADO[CODIGOS],LISTADO[PRODUCTOS]),"NO EXISTE")</f>
        <v/>
      </c>
      <c r="E556" s="19" t="n">
        <v>46092</v>
      </c>
      <c r="F556" s="18" t="n">
        <v>60</v>
      </c>
      <c r="G556" s="18" t="inlineStr">
        <is>
          <t>LA VIÑA</t>
        </is>
      </c>
    </row>
    <row r="557">
      <c r="B557" s="18" t="inlineStr">
        <is>
          <t>00061-ELE</t>
        </is>
      </c>
      <c r="C557" s="56">
        <f>IFERROR(_xlfn.XLOOKUP(SALIDAS[[#This Row],[CODIGO]],LISTADO[CODIGOS],LISTADO[CATEGORIA]),"NO EXISTE")</f>
        <v/>
      </c>
      <c r="D557" s="56">
        <f>IFERROR(_xlfn.XLOOKUP(SALIDAS[[#This Row],[CODIGO]],LISTADO[CODIGOS],LISTADO[PRODUCTOS]),"NO EXISTE")</f>
        <v/>
      </c>
      <c r="E557" s="19" t="n">
        <v>46092</v>
      </c>
      <c r="F557" s="18" t="n">
        <v>1</v>
      </c>
      <c r="G557" s="18" t="inlineStr">
        <is>
          <t>LA VIÑA</t>
        </is>
      </c>
    </row>
    <row r="558">
      <c r="B558" s="56" t="inlineStr">
        <is>
          <t>00046-ELE</t>
        </is>
      </c>
      <c r="C558" s="56">
        <f>IFERROR(_xlfn.XLOOKUP(SALIDAS[[#This Row],[CODIGO]],LISTADO[CODIGOS],LISTADO[CATEGORIA]),"NO EXISTE")</f>
        <v/>
      </c>
      <c r="D558" s="56">
        <f>IFERROR(_xlfn.XLOOKUP(SALIDAS[[#This Row],[CODIGO]],LISTADO[CODIGOS],LISTADO[PRODUCTOS]),"NO EXISTE")</f>
        <v/>
      </c>
      <c r="E558" s="19" t="n">
        <v>46092</v>
      </c>
      <c r="F558" s="18" t="n">
        <v>60</v>
      </c>
      <c r="G558" s="18" t="inlineStr">
        <is>
          <t>LA VIÑA</t>
        </is>
      </c>
    </row>
    <row r="559">
      <c r="B559" s="56" t="inlineStr">
        <is>
          <t>00016-HRR</t>
        </is>
      </c>
      <c r="C559" s="56">
        <f>IFERROR(_xlfn.XLOOKUP(SALIDAS[[#This Row],[CODIGO]],LISTADO[CODIGOS],LISTADO[CATEGORIA]),"NO EXISTE")</f>
        <v/>
      </c>
      <c r="D559" s="56">
        <f>IFERROR(_xlfn.XLOOKUP(SALIDAS[[#This Row],[CODIGO]],LISTADO[CODIGOS],LISTADO[PRODUCTOS]),"NO EXISTE")</f>
        <v/>
      </c>
      <c r="E559" s="19" t="n">
        <v>46092</v>
      </c>
      <c r="F559" s="18" t="n">
        <v>1</v>
      </c>
      <c r="G559" s="18" t="inlineStr">
        <is>
          <t>TOCUYITO</t>
        </is>
      </c>
    </row>
    <row r="560">
      <c r="B560" s="56" t="inlineStr">
        <is>
          <t>00005-HRR</t>
        </is>
      </c>
      <c r="C560" s="56">
        <f>IFERROR(_xlfn.XLOOKUP(SALIDAS[[#This Row],[CODIGO]],LISTADO[CODIGOS],LISTADO[CATEGORIA]),"NO EXISTE")</f>
        <v/>
      </c>
      <c r="D560" s="56">
        <f>IFERROR(_xlfn.XLOOKUP(SALIDAS[[#This Row],[CODIGO]],LISTADO[CODIGOS],LISTADO[PRODUCTOS]),"NO EXISTE")</f>
        <v/>
      </c>
      <c r="E560" s="19" t="n">
        <v>46092</v>
      </c>
      <c r="F560" s="18" t="n">
        <v>1</v>
      </c>
      <c r="G560" s="18" t="inlineStr">
        <is>
          <t>TOCUYITO</t>
        </is>
      </c>
    </row>
    <row r="561">
      <c r="B561" s="56" t="inlineStr">
        <is>
          <t>00007-HRR</t>
        </is>
      </c>
      <c r="C561" s="56">
        <f>IFERROR(_xlfn.XLOOKUP(SALIDAS[[#This Row],[CODIGO]],LISTADO[CODIGOS],LISTADO[CATEGORIA]),"NO EXISTE")</f>
        <v/>
      </c>
      <c r="D561" s="56">
        <f>IFERROR(_xlfn.XLOOKUP(SALIDAS[[#This Row],[CODIGO]],LISTADO[CODIGOS],LISTADO[PRODUCTOS]),"NO EXISTE")</f>
        <v/>
      </c>
      <c r="E561" s="19" t="n">
        <v>46092</v>
      </c>
      <c r="F561" s="18" t="n">
        <v>1</v>
      </c>
      <c r="G561" s="18" t="inlineStr">
        <is>
          <t>TOCUYITO</t>
        </is>
      </c>
    </row>
    <row r="562">
      <c r="B562" s="16" t="inlineStr">
        <is>
          <t>00018-MSC</t>
        </is>
      </c>
      <c r="C562" s="56">
        <f>IFERROR(_xlfn.XLOOKUP(SALIDAS[[#This Row],[CODIGO]],LISTADO[CODIGOS],LISTADO[CATEGORIA]),"NO EXISTE")</f>
        <v/>
      </c>
      <c r="D562" s="56">
        <f>IFERROR(_xlfn.XLOOKUP(SALIDAS[[#This Row],[CODIGO]],LISTADO[CODIGOS],LISTADO[PRODUCTOS]),"NO EXISTE")</f>
        <v/>
      </c>
      <c r="E562" s="19" t="n">
        <v>46092</v>
      </c>
      <c r="F562" s="18" t="n">
        <v>2</v>
      </c>
      <c r="G562" s="18" t="inlineStr">
        <is>
          <t>ISABELICA</t>
        </is>
      </c>
    </row>
    <row r="563">
      <c r="B563" s="18" t="inlineStr">
        <is>
          <t>00009-ELE</t>
        </is>
      </c>
      <c r="C563" s="56">
        <f>IFERROR(_xlfn.XLOOKUP(SALIDAS[[#This Row],[CODIGO]],LISTADO[CODIGOS],LISTADO[CATEGORIA]),"NO EXISTE")</f>
        <v/>
      </c>
      <c r="D563" s="56">
        <f>IFERROR(_xlfn.XLOOKUP(SALIDAS[[#This Row],[CODIGO]],LISTADO[CODIGOS],LISTADO[PRODUCTOS]),"NO EXISTE")</f>
        <v/>
      </c>
      <c r="E563" s="19" t="n">
        <v>46092</v>
      </c>
      <c r="F563" s="18" t="n">
        <v>1</v>
      </c>
      <c r="G563" s="18" t="inlineStr">
        <is>
          <t>PARAPARAL</t>
        </is>
      </c>
    </row>
    <row r="564">
      <c r="B564" s="16" t="inlineStr">
        <is>
          <t>00018-MSC</t>
        </is>
      </c>
      <c r="C564" s="56">
        <f>IFERROR(_xlfn.XLOOKUP(SALIDAS[[#This Row],[CODIGO]],LISTADO[CODIGOS],LISTADO[CATEGORIA]),"NO EXISTE")</f>
        <v/>
      </c>
      <c r="D564" s="56">
        <f>IFERROR(_xlfn.XLOOKUP(SALIDAS[[#This Row],[CODIGO]],LISTADO[CODIGOS],LISTADO[PRODUCTOS]),"NO EXISTE")</f>
        <v/>
      </c>
      <c r="E564" s="19" t="n">
        <v>46092</v>
      </c>
      <c r="F564" s="18" t="n">
        <v>2</v>
      </c>
      <c r="G564" s="18" t="inlineStr">
        <is>
          <t>AV. CEDEÑO</t>
        </is>
      </c>
    </row>
    <row r="565">
      <c r="B565" s="56" t="inlineStr">
        <is>
          <t>00010-HRR</t>
        </is>
      </c>
      <c r="C565" s="56">
        <f>IFERROR(_xlfn.XLOOKUP(SALIDAS[[#This Row],[CODIGO]],LISTADO[CODIGOS],LISTADO[CATEGORIA]),"NO EXISTE")</f>
        <v/>
      </c>
      <c r="D565" s="56">
        <f>IFERROR(_xlfn.XLOOKUP(SALIDAS[[#This Row],[CODIGO]],LISTADO[CODIGOS],LISTADO[PRODUCTOS]),"NO EXISTE")</f>
        <v/>
      </c>
      <c r="E565" s="19" t="n">
        <v>46092</v>
      </c>
      <c r="F565" s="18" t="n">
        <v>6</v>
      </c>
      <c r="G565" s="18" t="inlineStr">
        <is>
          <t>GUACARA</t>
        </is>
      </c>
    </row>
    <row r="566">
      <c r="B566" s="56" t="inlineStr">
        <is>
          <t>00015-MSC</t>
        </is>
      </c>
      <c r="C566" s="56">
        <f>IFERROR(_xlfn.XLOOKUP(SALIDAS[[#This Row],[CODIGO]],LISTADO[CODIGOS],LISTADO[CATEGORIA]),"NO EXISTE")</f>
        <v/>
      </c>
      <c r="D566" s="56">
        <f>IFERROR(_xlfn.XLOOKUP(SALIDAS[[#This Row],[CODIGO]],LISTADO[CODIGOS],LISTADO[PRODUCTOS]),"NO EXISTE")</f>
        <v/>
      </c>
      <c r="E566" s="19" t="n">
        <v>46092</v>
      </c>
      <c r="F566" s="18" t="n">
        <v>1</v>
      </c>
      <c r="G566" s="18" t="inlineStr">
        <is>
          <t>TOCUYITO</t>
        </is>
      </c>
    </row>
    <row r="567">
      <c r="B567" s="18" t="inlineStr">
        <is>
          <t>00108-HER</t>
        </is>
      </c>
      <c r="C567" s="56">
        <f>IFERROR(_xlfn.XLOOKUP(SALIDAS[[#This Row],[CODIGO]],LISTADO[CODIGOS],LISTADO[CATEGORIA]),"NO EXISTE")</f>
        <v/>
      </c>
      <c r="D567" s="56">
        <f>IFERROR(_xlfn.XLOOKUP(SALIDAS[[#This Row],[CODIGO]],LISTADO[CODIGOS],LISTADO[PRODUCTOS]),"NO EXISTE")</f>
        <v/>
      </c>
      <c r="E567" s="19" t="n">
        <v>46092</v>
      </c>
      <c r="F567" s="18" t="n">
        <v>2</v>
      </c>
      <c r="G567" s="18" t="inlineStr">
        <is>
          <t xml:space="preserve">CEDI SECO </t>
        </is>
      </c>
    </row>
    <row r="568">
      <c r="B568" s="18" t="inlineStr">
        <is>
          <t>00108-HER</t>
        </is>
      </c>
      <c r="C568" s="56">
        <f>IFERROR(_xlfn.XLOOKUP(SALIDAS[[#This Row],[CODIGO]],LISTADO[CODIGOS],LISTADO[CATEGORIA]),"NO EXISTE")</f>
        <v/>
      </c>
      <c r="D568" s="56">
        <f>IFERROR(_xlfn.XLOOKUP(SALIDAS[[#This Row],[CODIGO]],LISTADO[CODIGOS],LISTADO[PRODUCTOS]),"NO EXISTE")</f>
        <v/>
      </c>
      <c r="E568" s="19" t="n">
        <v>46092</v>
      </c>
      <c r="F568" s="18" t="n">
        <v>2</v>
      </c>
      <c r="G568" s="18" t="inlineStr">
        <is>
          <t>CEDI FRIO</t>
        </is>
      </c>
    </row>
    <row r="569">
      <c r="B569" s="56" t="inlineStr">
        <is>
          <t>00004-FER</t>
        </is>
      </c>
      <c r="C569" s="56">
        <f>IFERROR(_xlfn.XLOOKUP(SALIDAS[[#This Row],[CODIGO]],LISTADO[CODIGOS],LISTADO[CATEGORIA]),"NO EXISTE")</f>
        <v/>
      </c>
      <c r="D569" s="56">
        <f>IFERROR(_xlfn.XLOOKUP(SALIDAS[[#This Row],[CODIGO]],LISTADO[CODIGOS],LISTADO[PRODUCTOS]),"NO EXISTE")</f>
        <v/>
      </c>
      <c r="E569" s="19" t="n">
        <v>46092</v>
      </c>
      <c r="F569" s="18" t="n">
        <v>800</v>
      </c>
      <c r="G569" s="18" t="inlineStr">
        <is>
          <t>PERIFERICO</t>
        </is>
      </c>
    </row>
    <row r="570">
      <c r="B570" s="56" t="inlineStr">
        <is>
          <t>00049-UNI</t>
        </is>
      </c>
      <c r="C570" s="56">
        <f>IFERROR(_xlfn.XLOOKUP(SALIDAS[[#This Row],[CODIGO]],LISTADO[CODIGOS],LISTADO[CATEGORIA]),"NO EXISTE")</f>
        <v/>
      </c>
      <c r="D570" s="56">
        <f>IFERROR(_xlfn.XLOOKUP(SALIDAS[[#This Row],[CODIGO]],LISTADO[CODIGOS],LISTADO[PRODUCTOS]),"NO EXISTE")</f>
        <v/>
      </c>
      <c r="E570" s="19" t="n">
        <v>46092</v>
      </c>
      <c r="F570" s="18" t="n">
        <v>2</v>
      </c>
      <c r="G570" s="18" t="inlineStr">
        <is>
          <t>ISABELICA</t>
        </is>
      </c>
    </row>
    <row r="571">
      <c r="B571" s="18" t="inlineStr">
        <is>
          <t>00150-FER</t>
        </is>
      </c>
      <c r="C571" s="56">
        <f>IFERROR(_xlfn.XLOOKUP(SALIDAS[[#This Row],[CODIGO]],LISTADO[CODIGOS],LISTADO[CATEGORIA]),"NO EXISTE")</f>
        <v/>
      </c>
      <c r="D571" s="56">
        <f>IFERROR(_xlfn.XLOOKUP(SALIDAS[[#This Row],[CODIGO]],LISTADO[CODIGOS],LISTADO[PRODUCTOS]),"NO EXISTE")</f>
        <v/>
      </c>
      <c r="E571" s="19" t="n">
        <v>46092</v>
      </c>
      <c r="F571" s="18" t="n">
        <v>3</v>
      </c>
      <c r="G571" s="18" t="inlineStr">
        <is>
          <t>GUACARA</t>
        </is>
      </c>
    </row>
    <row r="572">
      <c r="B572" s="18" t="inlineStr">
        <is>
          <t>00165-FER</t>
        </is>
      </c>
      <c r="C572" s="56">
        <f>IFERROR(_xlfn.XLOOKUP(SALIDAS[[#This Row],[CODIGO]],LISTADO[CODIGOS],LISTADO[CATEGORIA]),"NO EXISTE")</f>
        <v/>
      </c>
      <c r="D572" s="56">
        <f>IFERROR(_xlfn.XLOOKUP(SALIDAS[[#This Row],[CODIGO]],LISTADO[CODIGOS],LISTADO[PRODUCTOS]),"NO EXISTE")</f>
        <v/>
      </c>
      <c r="E572" s="19" t="n">
        <v>46092</v>
      </c>
      <c r="F572" s="18" t="n">
        <v>245</v>
      </c>
      <c r="G572" s="18" t="inlineStr">
        <is>
          <t>LA VIÑA</t>
        </is>
      </c>
    </row>
    <row r="573">
      <c r="B573" s="18" t="inlineStr">
        <is>
          <t>00166-FER</t>
        </is>
      </c>
      <c r="C573" s="56">
        <f>IFERROR(_xlfn.XLOOKUP(SALIDAS[[#This Row],[CODIGO]],LISTADO[CODIGOS],LISTADO[CATEGORIA]),"NO EXISTE")</f>
        <v/>
      </c>
      <c r="D573" s="56">
        <f>IFERROR(_xlfn.XLOOKUP(SALIDAS[[#This Row],[CODIGO]],LISTADO[CODIGOS],LISTADO[PRODUCTOS]),"NO EXISTE")</f>
        <v/>
      </c>
      <c r="E573" s="19" t="n">
        <v>46092</v>
      </c>
      <c r="F573" s="18" t="n">
        <v>200</v>
      </c>
      <c r="G573" s="18" t="inlineStr">
        <is>
          <t>LA VIÑA</t>
        </is>
      </c>
    </row>
    <row r="574">
      <c r="B574" s="18" t="inlineStr">
        <is>
          <t>00167-FER</t>
        </is>
      </c>
      <c r="C574" s="56">
        <f>IFERROR(_xlfn.XLOOKUP(SALIDAS[[#This Row],[CODIGO]],LISTADO[CODIGOS],LISTADO[CATEGORIA]),"NO EXISTE")</f>
        <v/>
      </c>
      <c r="D574" s="56">
        <f>IFERROR(_xlfn.XLOOKUP(SALIDAS[[#This Row],[CODIGO]],LISTADO[CODIGOS],LISTADO[PRODUCTOS]),"NO EXISTE")</f>
        <v/>
      </c>
      <c r="E574" s="19" t="n">
        <v>46092</v>
      </c>
      <c r="F574" s="18" t="n">
        <v>200</v>
      </c>
      <c r="G574" s="18" t="inlineStr">
        <is>
          <t>LA VIÑA</t>
        </is>
      </c>
    </row>
    <row r="575">
      <c r="B575" s="18" t="inlineStr">
        <is>
          <t>00168-FER</t>
        </is>
      </c>
      <c r="C575" s="56">
        <f>IFERROR(_xlfn.XLOOKUP(SALIDAS[[#This Row],[CODIGO]],LISTADO[CODIGOS],LISTADO[CATEGORIA]),"NO EXISTE")</f>
        <v/>
      </c>
      <c r="D575" s="56">
        <f>IFERROR(_xlfn.XLOOKUP(SALIDAS[[#This Row],[CODIGO]],LISTADO[CODIGOS],LISTADO[PRODUCTOS]),"NO EXISTE")</f>
        <v/>
      </c>
      <c r="E575" s="19" t="n">
        <v>46092</v>
      </c>
      <c r="F575" s="18" t="n">
        <v>60</v>
      </c>
      <c r="G575" s="18" t="inlineStr">
        <is>
          <t>LA VIÑA</t>
        </is>
      </c>
    </row>
    <row r="576">
      <c r="B576" s="18" t="inlineStr">
        <is>
          <t>00169-FER</t>
        </is>
      </c>
      <c r="C576" s="56">
        <f>IFERROR(_xlfn.XLOOKUP(SALIDAS[[#This Row],[CODIGO]],LISTADO[CODIGOS],LISTADO[CATEGORIA]),"NO EXISTE")</f>
        <v/>
      </c>
      <c r="D576" s="56">
        <f>IFERROR(_xlfn.XLOOKUP(SALIDAS[[#This Row],[CODIGO]],LISTADO[CODIGOS],LISTADO[PRODUCTOS]),"NO EXISTE")</f>
        <v/>
      </c>
      <c r="E576" s="19" t="n">
        <v>46092</v>
      </c>
      <c r="F576" s="18" t="n">
        <v>40</v>
      </c>
      <c r="G576" s="18" t="inlineStr">
        <is>
          <t>LA VIÑA</t>
        </is>
      </c>
    </row>
    <row r="577">
      <c r="B577" s="56" t="inlineStr">
        <is>
          <t>00017-ELE</t>
        </is>
      </c>
      <c r="C577" s="56">
        <f>IFERROR(_xlfn.XLOOKUP(SALIDAS[[#This Row],[CODIGO]],LISTADO[CODIGOS],LISTADO[CATEGORIA]),"NO EXISTE")</f>
        <v/>
      </c>
      <c r="D577" s="56">
        <f>IFERROR(_xlfn.XLOOKUP(SALIDAS[[#This Row],[CODIGO]],LISTADO[CODIGOS],LISTADO[PRODUCTOS]),"NO EXISTE")</f>
        <v/>
      </c>
      <c r="E577" s="19" t="n">
        <v>46092</v>
      </c>
      <c r="F577" s="18" t="n">
        <v>200</v>
      </c>
      <c r="G577" s="18" t="inlineStr">
        <is>
          <t>LA VIÑA</t>
        </is>
      </c>
    </row>
    <row r="578">
      <c r="B578" s="56" t="inlineStr">
        <is>
          <t>00094-FER</t>
        </is>
      </c>
      <c r="C578" s="56">
        <f>IFERROR(_xlfn.XLOOKUP(SALIDAS[[#This Row],[CODIGO]],LISTADO[CODIGOS],LISTADO[CATEGORIA]),"NO EXISTE")</f>
        <v/>
      </c>
      <c r="D578" s="56">
        <f>IFERROR(_xlfn.XLOOKUP(SALIDAS[[#This Row],[CODIGO]],LISTADO[CODIGOS],LISTADO[PRODUCTOS]),"NO EXISTE")</f>
        <v/>
      </c>
      <c r="E578" s="19" t="n">
        <v>46093</v>
      </c>
      <c r="F578" s="18" t="n">
        <v>2</v>
      </c>
      <c r="G578" s="18" t="inlineStr">
        <is>
          <t>PERIFERICO</t>
        </is>
      </c>
    </row>
    <row r="579">
      <c r="B579" s="16" t="inlineStr">
        <is>
          <t>00145-FER</t>
        </is>
      </c>
      <c r="C579" s="56">
        <f>IFERROR(_xlfn.XLOOKUP(SALIDAS[[#This Row],[CODIGO]],LISTADO[CODIGOS],LISTADO[CATEGORIA]),"NO EXISTE")</f>
        <v/>
      </c>
      <c r="D579" s="56">
        <f>IFERROR(_xlfn.XLOOKUP(SALIDAS[[#This Row],[CODIGO]],LISTADO[CODIGOS],LISTADO[PRODUCTOS]),"NO EXISTE")</f>
        <v/>
      </c>
      <c r="E579" s="19" t="n">
        <v>46093</v>
      </c>
      <c r="F579" s="18" t="n">
        <v>1</v>
      </c>
      <c r="G579" s="18" t="inlineStr">
        <is>
          <t>AV. BOLIVAR</t>
        </is>
      </c>
    </row>
    <row r="580">
      <c r="B580" s="56" t="inlineStr">
        <is>
          <t>00023-FER</t>
        </is>
      </c>
      <c r="C580" s="56">
        <f>IFERROR(_xlfn.XLOOKUP(SALIDAS[[#This Row],[CODIGO]],LISTADO[CODIGOS],LISTADO[CATEGORIA]),"NO EXISTE")</f>
        <v/>
      </c>
      <c r="D580" s="56">
        <f>IFERROR(_xlfn.XLOOKUP(SALIDAS[[#This Row],[CODIGO]],LISTADO[CODIGOS],LISTADO[PRODUCTOS]),"NO EXISTE")</f>
        <v/>
      </c>
      <c r="E580" s="19" t="n">
        <v>46093</v>
      </c>
      <c r="F580" s="18" t="n">
        <v>1</v>
      </c>
      <c r="G580" s="18" t="inlineStr">
        <is>
          <t>AV. BOLIVAR</t>
        </is>
      </c>
    </row>
    <row r="581">
      <c r="B581" s="18" t="inlineStr">
        <is>
          <t>00141-FER</t>
        </is>
      </c>
      <c r="C581" s="56">
        <f>IFERROR(_xlfn.XLOOKUP(SALIDAS[[#This Row],[CODIGO]],LISTADO[CODIGOS],LISTADO[CATEGORIA]),"NO EXISTE")</f>
        <v/>
      </c>
      <c r="D581" s="56">
        <f>IFERROR(_xlfn.XLOOKUP(SALIDAS[[#This Row],[CODIGO]],LISTADO[CODIGOS],LISTADO[PRODUCTOS]),"NO EXISTE")</f>
        <v/>
      </c>
      <c r="E581" s="19" t="n">
        <v>46093</v>
      </c>
      <c r="F581" s="18" t="n">
        <v>1</v>
      </c>
      <c r="G581" s="18" t="inlineStr">
        <is>
          <t>AV. BOLIVAR</t>
        </is>
      </c>
    </row>
    <row r="582">
      <c r="B582" s="18" t="inlineStr">
        <is>
          <t>00143-FER</t>
        </is>
      </c>
      <c r="C582" s="56">
        <f>IFERROR(_xlfn.XLOOKUP(SALIDAS[[#This Row],[CODIGO]],LISTADO[CODIGOS],LISTADO[CATEGORIA]),"NO EXISTE")</f>
        <v/>
      </c>
      <c r="D582" s="56">
        <f>IFERROR(_xlfn.XLOOKUP(SALIDAS[[#This Row],[CODIGO]],LISTADO[CODIGOS],LISTADO[PRODUCTOS]),"NO EXISTE")</f>
        <v/>
      </c>
      <c r="E582" s="19" t="n">
        <v>46093</v>
      </c>
      <c r="F582" s="18" t="n">
        <v>1</v>
      </c>
      <c r="G582" s="18" t="inlineStr">
        <is>
          <t>AV. BOLIVAR</t>
        </is>
      </c>
    </row>
    <row r="583">
      <c r="B583" s="56" t="inlineStr">
        <is>
          <t>00006-HRR</t>
        </is>
      </c>
      <c r="C583" s="56">
        <f>IFERROR(_xlfn.XLOOKUP(SALIDAS[[#This Row],[CODIGO]],LISTADO[CODIGOS],LISTADO[CATEGORIA]),"NO EXISTE")</f>
        <v/>
      </c>
      <c r="D583" s="56">
        <f>IFERROR(_xlfn.XLOOKUP(SALIDAS[[#This Row],[CODIGO]],LISTADO[CODIGOS],LISTADO[PRODUCTOS]),"NO EXISTE")</f>
        <v/>
      </c>
      <c r="E583" s="19" t="n">
        <v>46093</v>
      </c>
      <c r="F583" s="18" t="n">
        <v>5</v>
      </c>
      <c r="G583" s="18" t="inlineStr">
        <is>
          <t>PERIFERICO</t>
        </is>
      </c>
    </row>
    <row r="584">
      <c r="B584" s="56" t="inlineStr">
        <is>
          <t>00003-HRR</t>
        </is>
      </c>
      <c r="C584" s="56">
        <f>IFERROR(_xlfn.XLOOKUP(SALIDAS[[#This Row],[CODIGO]],LISTADO[CODIGOS],LISTADO[CATEGORIA]),"NO EXISTE")</f>
        <v/>
      </c>
      <c r="D584" s="56">
        <f>IFERROR(_xlfn.XLOOKUP(SALIDAS[[#This Row],[CODIGO]],LISTADO[CODIGOS],LISTADO[PRODUCTOS]),"NO EXISTE")</f>
        <v/>
      </c>
      <c r="E584" s="19" t="n">
        <v>46093</v>
      </c>
      <c r="F584" s="18" t="n">
        <v>1</v>
      </c>
      <c r="G584" s="18" t="inlineStr">
        <is>
          <t>PERIFERICO</t>
        </is>
      </c>
    </row>
    <row r="585">
      <c r="B585" s="18" t="inlineStr">
        <is>
          <t>00109-HER</t>
        </is>
      </c>
      <c r="C585" s="56">
        <f>IFERROR(_xlfn.XLOOKUP(SALIDAS[[#This Row],[CODIGO]],LISTADO[CODIGOS],LISTADO[CATEGORIA]),"NO EXISTE")</f>
        <v/>
      </c>
      <c r="D585" s="56">
        <f>IFERROR(_xlfn.XLOOKUP(SALIDAS[[#This Row],[CODIGO]],LISTADO[CODIGOS],LISTADO[PRODUCTOS]),"NO EXISTE")</f>
        <v/>
      </c>
      <c r="E585" s="19" t="n">
        <v>46093</v>
      </c>
      <c r="F585" s="18" t="n">
        <v>3</v>
      </c>
      <c r="G585" s="18" t="inlineStr">
        <is>
          <t>PERIFERICO</t>
        </is>
      </c>
    </row>
    <row r="586">
      <c r="B586" s="56" t="inlineStr">
        <is>
          <t>00014-HRR</t>
        </is>
      </c>
      <c r="C586" s="56">
        <f>IFERROR(_xlfn.XLOOKUP(SALIDAS[[#This Row],[CODIGO]],LISTADO[CODIGOS],LISTADO[CATEGORIA]),"NO EXISTE")</f>
        <v/>
      </c>
      <c r="D586" s="56">
        <f>IFERROR(_xlfn.XLOOKUP(SALIDAS[[#This Row],[CODIGO]],LISTADO[CODIGOS],LISTADO[PRODUCTOS]),"NO EXISTE")</f>
        <v/>
      </c>
      <c r="E586" s="19" t="n">
        <v>46093</v>
      </c>
      <c r="F586" s="18" t="n">
        <v>2</v>
      </c>
      <c r="G586" s="18" t="inlineStr">
        <is>
          <t>TOCUYITO</t>
        </is>
      </c>
    </row>
    <row r="587">
      <c r="B587" s="56" t="inlineStr">
        <is>
          <t>00030-HRR</t>
        </is>
      </c>
      <c r="C587" s="56">
        <f>IFERROR(_xlfn.XLOOKUP(SALIDAS[[#This Row],[CODIGO]],LISTADO[CODIGOS],LISTADO[CATEGORIA]),"NO EXISTE")</f>
        <v/>
      </c>
      <c r="D587" s="56">
        <f>IFERROR(_xlfn.XLOOKUP(SALIDAS[[#This Row],[CODIGO]],LISTADO[CODIGOS],LISTADO[PRODUCTOS]),"NO EXISTE")</f>
        <v/>
      </c>
      <c r="E587" s="19" t="n">
        <v>46093</v>
      </c>
      <c r="F587" s="18" t="n">
        <v>2</v>
      </c>
      <c r="G587" s="18" t="inlineStr">
        <is>
          <t>TOCUYITO</t>
        </is>
      </c>
    </row>
    <row r="588">
      <c r="B588" s="18" t="inlineStr">
        <is>
          <t>00053-HRR</t>
        </is>
      </c>
      <c r="C588" s="56">
        <f>IFERROR(_xlfn.XLOOKUP(SALIDAS[[#This Row],[CODIGO]],LISTADO[CODIGOS],LISTADO[CATEGORIA]),"NO EXISTE")</f>
        <v/>
      </c>
      <c r="D588" s="56">
        <f>IFERROR(_xlfn.XLOOKUP(SALIDAS[[#This Row],[CODIGO]],LISTADO[CODIGOS],LISTADO[PRODUCTOS]),"NO EXISTE")</f>
        <v/>
      </c>
      <c r="E588" s="19" t="n">
        <v>46093</v>
      </c>
      <c r="F588" s="18" t="n">
        <v>1</v>
      </c>
      <c r="G588" s="18" t="inlineStr">
        <is>
          <t>TOCUYITO</t>
        </is>
      </c>
    </row>
    <row r="589">
      <c r="B589" s="56" t="inlineStr">
        <is>
          <t>00024-FER</t>
        </is>
      </c>
      <c r="C589" s="56">
        <f>IFERROR(_xlfn.XLOOKUP(SALIDAS[[#This Row],[CODIGO]],LISTADO[CODIGOS],LISTADO[CATEGORIA]),"NO EXISTE")</f>
        <v/>
      </c>
      <c r="D589" s="56">
        <f>IFERROR(_xlfn.XLOOKUP(SALIDAS[[#This Row],[CODIGO]],LISTADO[CODIGOS],LISTADO[PRODUCTOS]),"NO EXISTE")</f>
        <v/>
      </c>
      <c r="E589" s="19" t="n">
        <v>46093</v>
      </c>
      <c r="F589" s="18" t="n">
        <v>1</v>
      </c>
      <c r="G589" s="18" t="inlineStr">
        <is>
          <t>LAS FERIAS</t>
        </is>
      </c>
    </row>
    <row r="590">
      <c r="B590" s="56" t="inlineStr">
        <is>
          <t>00074-FER</t>
        </is>
      </c>
      <c r="C590" s="56">
        <f>IFERROR(_xlfn.XLOOKUP(SALIDAS[[#This Row],[CODIGO]],LISTADO[CODIGOS],LISTADO[CATEGORIA]),"NO EXISTE")</f>
        <v/>
      </c>
      <c r="D590" s="56">
        <f>IFERROR(_xlfn.XLOOKUP(SALIDAS[[#This Row],[CODIGO]],LISTADO[CODIGOS],LISTADO[PRODUCTOS]),"NO EXISTE")</f>
        <v/>
      </c>
      <c r="E590" s="19" t="n">
        <v>46093</v>
      </c>
      <c r="F590" s="18" t="n">
        <v>6</v>
      </c>
      <c r="G590" s="18" t="inlineStr">
        <is>
          <t>LAS FERIAS</t>
        </is>
      </c>
    </row>
    <row r="591">
      <c r="B591" s="18" t="inlineStr">
        <is>
          <t>00141-FER</t>
        </is>
      </c>
      <c r="C591" s="56">
        <f>IFERROR(_xlfn.XLOOKUP(SALIDAS[[#This Row],[CODIGO]],LISTADO[CODIGOS],LISTADO[CATEGORIA]),"NO EXISTE")</f>
        <v/>
      </c>
      <c r="D591" s="56">
        <f>IFERROR(_xlfn.XLOOKUP(SALIDAS[[#This Row],[CODIGO]],LISTADO[CODIGOS],LISTADO[PRODUCTOS]),"NO EXISTE")</f>
        <v/>
      </c>
      <c r="E591" s="19" t="n">
        <v>46093</v>
      </c>
      <c r="F591" s="18" t="n">
        <v>4</v>
      </c>
      <c r="G591" s="18" t="inlineStr">
        <is>
          <t>MAYOR</t>
        </is>
      </c>
    </row>
    <row r="592">
      <c r="B592" s="18" t="inlineStr">
        <is>
          <t>00151-FER</t>
        </is>
      </c>
      <c r="C592" s="56">
        <f>IFERROR(_xlfn.XLOOKUP(SALIDAS[[#This Row],[CODIGO]],LISTADO[CODIGOS],LISTADO[CATEGORIA]),"NO EXISTE")</f>
        <v/>
      </c>
      <c r="D592" s="56">
        <f>IFERROR(_xlfn.XLOOKUP(SALIDAS[[#This Row],[CODIGO]],LISTADO[CODIGOS],LISTADO[PRODUCTOS]),"NO EXISTE")</f>
        <v/>
      </c>
      <c r="E592" s="19" t="n">
        <v>46093</v>
      </c>
      <c r="F592" s="18" t="n">
        <v>100</v>
      </c>
      <c r="G592" s="18" t="inlineStr">
        <is>
          <t>CORPORATIVO</t>
        </is>
      </c>
    </row>
    <row r="593">
      <c r="B593" s="18" t="inlineStr">
        <is>
          <t>00152-FER</t>
        </is>
      </c>
      <c r="C593" s="56">
        <f>IFERROR(_xlfn.XLOOKUP(SALIDAS[[#This Row],[CODIGO]],LISTADO[CODIGOS],LISTADO[CATEGORIA]),"NO EXISTE")</f>
        <v/>
      </c>
      <c r="D593" s="56">
        <f>IFERROR(_xlfn.XLOOKUP(SALIDAS[[#This Row],[CODIGO]],LISTADO[CODIGOS],LISTADO[PRODUCTOS]),"NO EXISTE")</f>
        <v/>
      </c>
      <c r="E593" s="19" t="n">
        <v>46093</v>
      </c>
      <c r="F593" s="18" t="n">
        <v>4</v>
      </c>
      <c r="G593" s="18" t="inlineStr">
        <is>
          <t>LAS FERIAS</t>
        </is>
      </c>
    </row>
    <row r="594">
      <c r="B594" s="18" t="inlineStr">
        <is>
          <t>00054-HRR</t>
        </is>
      </c>
      <c r="C594" s="56">
        <f>IFERROR(_xlfn.XLOOKUP(SALIDAS[[#This Row],[CODIGO]],LISTADO[CODIGOS],LISTADO[CATEGORIA]),"NO EXISTE")</f>
        <v/>
      </c>
      <c r="D594" s="56">
        <f>IFERROR(_xlfn.XLOOKUP(SALIDAS[[#This Row],[CODIGO]],LISTADO[CODIGOS],LISTADO[PRODUCTOS]),"NO EXISTE")</f>
        <v/>
      </c>
      <c r="E594" s="19" t="n">
        <v>46093</v>
      </c>
      <c r="F594" s="18" t="n">
        <v>2</v>
      </c>
      <c r="G594" s="18" t="inlineStr">
        <is>
          <t>LAS FERIAS</t>
        </is>
      </c>
    </row>
    <row r="595">
      <c r="B595" s="18" t="inlineStr">
        <is>
          <t>00055-HRR</t>
        </is>
      </c>
      <c r="C595" s="56">
        <f>IFERROR(_xlfn.XLOOKUP(SALIDAS[[#This Row],[CODIGO]],LISTADO[CODIGOS],LISTADO[CATEGORIA]),"NO EXISTE")</f>
        <v/>
      </c>
      <c r="D595" s="56">
        <f>IFERROR(_xlfn.XLOOKUP(SALIDAS[[#This Row],[CODIGO]],LISTADO[CODIGOS],LISTADO[PRODUCTOS]),"NO EXISTE")</f>
        <v/>
      </c>
      <c r="E595" s="19" t="n">
        <v>46093</v>
      </c>
      <c r="F595" s="18" t="n">
        <v>40</v>
      </c>
      <c r="G595" s="18" t="inlineStr">
        <is>
          <t>LAS FERIAS</t>
        </is>
      </c>
    </row>
    <row r="596">
      <c r="B596" s="18" t="inlineStr">
        <is>
          <t>00056-HRR</t>
        </is>
      </c>
      <c r="C596" s="56">
        <f>IFERROR(_xlfn.XLOOKUP(SALIDAS[[#This Row],[CODIGO]],LISTADO[CODIGOS],LISTADO[CATEGORIA]),"NO EXISTE")</f>
        <v/>
      </c>
      <c r="D596" s="56">
        <f>IFERROR(_xlfn.XLOOKUP(SALIDAS[[#This Row],[CODIGO]],LISTADO[CODIGOS],LISTADO[PRODUCTOS]),"NO EXISTE")</f>
        <v/>
      </c>
      <c r="E596" s="19" t="n">
        <v>46093</v>
      </c>
      <c r="F596" s="18" t="n">
        <v>2</v>
      </c>
      <c r="G596" s="18" t="inlineStr">
        <is>
          <t>LAS FERIAS</t>
        </is>
      </c>
    </row>
    <row r="597">
      <c r="B597" s="18" t="inlineStr">
        <is>
          <t>00153-FER</t>
        </is>
      </c>
      <c r="C597" s="56">
        <f>IFERROR(_xlfn.XLOOKUP(SALIDAS[[#This Row],[CODIGO]],LISTADO[CODIGOS],LISTADO[CATEGORIA]),"NO EXISTE")</f>
        <v/>
      </c>
      <c r="D597" s="56">
        <f>IFERROR(_xlfn.XLOOKUP(SALIDAS[[#This Row],[CODIGO]],LISTADO[CODIGOS],LISTADO[PRODUCTOS]),"NO EXISTE")</f>
        <v/>
      </c>
      <c r="E597" s="19" t="n">
        <v>46093</v>
      </c>
      <c r="F597" s="18" t="n">
        <v>10</v>
      </c>
      <c r="G597" s="18" t="inlineStr">
        <is>
          <t>LAS FERIAS</t>
        </is>
      </c>
    </row>
    <row r="598">
      <c r="B598" s="56" t="inlineStr">
        <is>
          <t>00046-ELC</t>
        </is>
      </c>
      <c r="C598" s="56">
        <f>IFERROR(_xlfn.XLOOKUP(SALIDAS[[#This Row],[CODIGO]],LISTADO[CODIGOS],LISTADO[CATEGORIA]),"NO EXISTE")</f>
        <v/>
      </c>
      <c r="D598" s="56">
        <f>IFERROR(_xlfn.XLOOKUP(SALIDAS[[#This Row],[CODIGO]],LISTADO[CODIGOS],LISTADO[PRODUCTOS]),"NO EXISTE")</f>
        <v/>
      </c>
      <c r="E598" s="19" t="n">
        <v>46093</v>
      </c>
      <c r="F598" s="18" t="n">
        <v>1</v>
      </c>
      <c r="G598" s="18" t="inlineStr">
        <is>
          <t xml:space="preserve">CEDI SECO </t>
        </is>
      </c>
    </row>
    <row r="599">
      <c r="B599" s="56" t="inlineStr">
        <is>
          <t>00002-LIM</t>
        </is>
      </c>
      <c r="C599" s="56">
        <f>IFERROR(_xlfn.XLOOKUP(SALIDAS[[#This Row],[CODIGO]],LISTADO[CODIGOS],LISTADO[CATEGORIA]),"NO EXISTE")</f>
        <v/>
      </c>
      <c r="D599" s="56">
        <f>IFERROR(_xlfn.XLOOKUP(SALIDAS[[#This Row],[CODIGO]],LISTADO[CODIGOS],LISTADO[PRODUCTOS]),"NO EXISTE")</f>
        <v/>
      </c>
      <c r="E599" s="19" t="n">
        <v>46093</v>
      </c>
      <c r="F599" s="18" t="n">
        <v>1</v>
      </c>
      <c r="G599" s="18" t="inlineStr">
        <is>
          <t>TAZAJAL</t>
        </is>
      </c>
    </row>
    <row r="600">
      <c r="B600" s="56" t="inlineStr">
        <is>
          <t>00007-HRR</t>
        </is>
      </c>
      <c r="C600" s="56">
        <f>IFERROR(_xlfn.XLOOKUP(SALIDAS[[#This Row],[CODIGO]],LISTADO[CODIGOS],LISTADO[CATEGORIA]),"NO EXISTE")</f>
        <v/>
      </c>
      <c r="D600" s="56">
        <f>IFERROR(_xlfn.XLOOKUP(SALIDAS[[#This Row],[CODIGO]],LISTADO[CODIGOS],LISTADO[PRODUCTOS]),"NO EXISTE")</f>
        <v/>
      </c>
      <c r="E600" s="19" t="n">
        <v>46093</v>
      </c>
      <c r="F600" s="18" t="n">
        <v>2</v>
      </c>
      <c r="G600" s="18" t="inlineStr">
        <is>
          <t>TOCUYITO</t>
        </is>
      </c>
    </row>
    <row r="601">
      <c r="B601" s="56" t="inlineStr">
        <is>
          <t>00005-HRR</t>
        </is>
      </c>
      <c r="C601" s="56">
        <f>IFERROR(_xlfn.XLOOKUP(SALIDAS[[#This Row],[CODIGO]],LISTADO[CODIGOS],LISTADO[CATEGORIA]),"NO EXISTE")</f>
        <v/>
      </c>
      <c r="D601" s="56">
        <f>IFERROR(_xlfn.XLOOKUP(SALIDAS[[#This Row],[CODIGO]],LISTADO[CODIGOS],LISTADO[PRODUCTOS]),"NO EXISTE")</f>
        <v/>
      </c>
      <c r="E601" s="19" t="n">
        <v>46093</v>
      </c>
      <c r="F601" s="18" t="n">
        <v>1</v>
      </c>
      <c r="G601" s="18" t="inlineStr">
        <is>
          <t>TOCUYITO</t>
        </is>
      </c>
    </row>
    <row r="602">
      <c r="B602" s="56" t="inlineStr">
        <is>
          <t>00015-MSC</t>
        </is>
      </c>
      <c r="C602" s="56">
        <f>IFERROR(_xlfn.XLOOKUP(SALIDAS[[#This Row],[CODIGO]],LISTADO[CODIGOS],LISTADO[CATEGORIA]),"NO EXISTE")</f>
        <v/>
      </c>
      <c r="D602" s="56">
        <f>IFERROR(_xlfn.XLOOKUP(SALIDAS[[#This Row],[CODIGO]],LISTADO[CODIGOS],LISTADO[PRODUCTOS]),"NO EXISTE")</f>
        <v/>
      </c>
      <c r="E602" s="19" t="n">
        <v>46093</v>
      </c>
      <c r="F602" s="18" t="n">
        <v>1</v>
      </c>
      <c r="G602" s="18" t="inlineStr">
        <is>
          <t>TOCUYITO</t>
        </is>
      </c>
    </row>
    <row r="603">
      <c r="B603" s="56" t="inlineStr">
        <is>
          <t>00041-ELE</t>
        </is>
      </c>
      <c r="C603" s="56">
        <f>IFERROR(_xlfn.XLOOKUP(SALIDAS[[#This Row],[CODIGO]],LISTADO[CODIGOS],LISTADO[CATEGORIA]),"NO EXISTE")</f>
        <v/>
      </c>
      <c r="D603" s="56">
        <f>IFERROR(_xlfn.XLOOKUP(SALIDAS[[#This Row],[CODIGO]],LISTADO[CODIGOS],LISTADO[PRODUCTOS]),"NO EXISTE")</f>
        <v/>
      </c>
      <c r="E603" s="19" t="n">
        <v>46093</v>
      </c>
      <c r="F603" s="18" t="n">
        <v>3</v>
      </c>
      <c r="G603" s="18" t="inlineStr">
        <is>
          <t>AV. BOLIVAR</t>
        </is>
      </c>
    </row>
    <row r="604">
      <c r="B604" s="56" t="inlineStr">
        <is>
          <t>00046-ELE</t>
        </is>
      </c>
      <c r="C604" s="56">
        <f>IFERROR(_xlfn.XLOOKUP(SALIDAS[[#This Row],[CODIGO]],LISTADO[CODIGOS],LISTADO[CATEGORIA]),"NO EXISTE")</f>
        <v/>
      </c>
      <c r="D604" s="56">
        <f>IFERROR(_xlfn.XLOOKUP(SALIDAS[[#This Row],[CODIGO]],LISTADO[CODIGOS],LISTADO[PRODUCTOS]),"NO EXISTE")</f>
        <v/>
      </c>
      <c r="E604" s="19" t="n">
        <v>46093</v>
      </c>
      <c r="F604" s="18" t="n">
        <v>3</v>
      </c>
      <c r="G604" s="18" t="inlineStr">
        <is>
          <t>AV. BOLIVAR</t>
        </is>
      </c>
    </row>
    <row r="605">
      <c r="B605" s="18" t="inlineStr">
        <is>
          <t>00049-ILU</t>
        </is>
      </c>
      <c r="C605" s="56">
        <f>IFERROR(_xlfn.XLOOKUP(SALIDAS[[#This Row],[CODIGO]],LISTADO[CODIGOS],LISTADO[CATEGORIA]),"NO EXISTE")</f>
        <v/>
      </c>
      <c r="D605" s="56">
        <f>IFERROR(_xlfn.XLOOKUP(SALIDAS[[#This Row],[CODIGO]],LISTADO[CODIGOS],LISTADO[PRODUCTOS]),"NO EXISTE")</f>
        <v/>
      </c>
      <c r="E605" s="19" t="n">
        <v>46093</v>
      </c>
      <c r="F605" s="18" t="n">
        <v>15</v>
      </c>
      <c r="G605" s="18" t="inlineStr">
        <is>
          <t>AV. BOLIVAR</t>
        </is>
      </c>
    </row>
    <row r="606">
      <c r="B606" s="56" t="inlineStr">
        <is>
          <t>00018-MSC</t>
        </is>
      </c>
      <c r="C606" s="56">
        <f>IFERROR(_xlfn.XLOOKUP(SALIDAS[[#This Row],[CODIGO]],LISTADO[CODIGOS],LISTADO[CATEGORIA]),"NO EXISTE")</f>
        <v/>
      </c>
      <c r="D606" s="56">
        <f>IFERROR(_xlfn.XLOOKUP(SALIDAS[[#This Row],[CODIGO]],LISTADO[CODIGOS],LISTADO[PRODUCTOS]),"NO EXISTE")</f>
        <v/>
      </c>
      <c r="E606" s="19" t="n">
        <v>46093</v>
      </c>
      <c r="F606" s="18" t="n">
        <v>2</v>
      </c>
      <c r="G606" s="18" t="inlineStr">
        <is>
          <t>TAZAJAL</t>
        </is>
      </c>
    </row>
    <row r="607">
      <c r="B607" s="18" t="inlineStr">
        <is>
          <t>00015-LIM</t>
        </is>
      </c>
      <c r="C607" s="56">
        <f>IFERROR(_xlfn.XLOOKUP(SALIDAS[[#This Row],[CODIGO]],LISTADO[CODIGOS],LISTADO[CATEGORIA]),"NO EXISTE")</f>
        <v/>
      </c>
      <c r="D607" s="56">
        <f>IFERROR(_xlfn.XLOOKUP(SALIDAS[[#This Row],[CODIGO]],LISTADO[CODIGOS],LISTADO[PRODUCTOS]),"NO EXISTE")</f>
        <v/>
      </c>
      <c r="E607" s="19" t="n">
        <v>46093</v>
      </c>
      <c r="F607" s="18" t="n">
        <v>1</v>
      </c>
      <c r="G607" s="18" t="inlineStr">
        <is>
          <t>TAZAJAL</t>
        </is>
      </c>
    </row>
    <row r="608">
      <c r="B608" s="56" t="inlineStr">
        <is>
          <t>00031-ILU</t>
        </is>
      </c>
      <c r="C608" s="56">
        <f>IFERROR(_xlfn.XLOOKUP(SALIDAS[[#This Row],[CODIGO]],LISTADO[CODIGOS],LISTADO[CATEGORIA]),"NO EXISTE")</f>
        <v/>
      </c>
      <c r="D608" s="56">
        <f>IFERROR(_xlfn.XLOOKUP(SALIDAS[[#This Row],[CODIGO]],LISTADO[CODIGOS],LISTADO[PRODUCTOS]),"NO EXISTE")</f>
        <v/>
      </c>
      <c r="E608" s="19" t="n">
        <v>46093</v>
      </c>
      <c r="F608" s="18" t="n">
        <v>10</v>
      </c>
      <c r="G608" s="18" t="inlineStr">
        <is>
          <t>TAZAJAL</t>
        </is>
      </c>
    </row>
    <row r="609">
      <c r="B609" s="56" t="inlineStr">
        <is>
          <t>00037-ILU</t>
        </is>
      </c>
      <c r="C609" s="56">
        <f>IFERROR(_xlfn.XLOOKUP(SALIDAS[[#This Row],[CODIGO]],LISTADO[CODIGOS],LISTADO[CATEGORIA]),"NO EXISTE")</f>
        <v/>
      </c>
      <c r="D609" s="56">
        <f>IFERROR(_xlfn.XLOOKUP(SALIDAS[[#This Row],[CODIGO]],LISTADO[CODIGOS],LISTADO[PRODUCTOS]),"NO EXISTE")</f>
        <v/>
      </c>
      <c r="E609" s="19" t="n">
        <v>46093</v>
      </c>
      <c r="F609" s="18" t="n">
        <v>2</v>
      </c>
      <c r="G609" s="18" t="inlineStr">
        <is>
          <t>AV. BOLIVAR</t>
        </is>
      </c>
    </row>
    <row r="610">
      <c r="B610" s="56" t="inlineStr">
        <is>
          <t>00023-FER</t>
        </is>
      </c>
      <c r="C610" s="56">
        <f>IFERROR(_xlfn.XLOOKUP(SALIDAS[[#This Row],[CODIGO]],LISTADO[CODIGOS],LISTADO[CATEGORIA]),"NO EXISTE")</f>
        <v/>
      </c>
      <c r="D610" s="56">
        <f>IFERROR(_xlfn.XLOOKUP(SALIDAS[[#This Row],[CODIGO]],LISTADO[CODIGOS],LISTADO[PRODUCTOS]),"NO EXISTE")</f>
        <v/>
      </c>
      <c r="E610" s="19" t="n">
        <v>46093</v>
      </c>
      <c r="F610" s="18" t="n">
        <v>1</v>
      </c>
      <c r="G610" s="18" t="inlineStr">
        <is>
          <t>MAÑONGO</t>
        </is>
      </c>
    </row>
    <row r="611">
      <c r="B611" s="18" t="inlineStr">
        <is>
          <t>00141-FER</t>
        </is>
      </c>
      <c r="C611" s="56">
        <f>IFERROR(_xlfn.XLOOKUP(SALIDAS[[#This Row],[CODIGO]],LISTADO[CODIGOS],LISTADO[CATEGORIA]),"NO EXISTE")</f>
        <v/>
      </c>
      <c r="D611" s="56">
        <f>IFERROR(_xlfn.XLOOKUP(SALIDAS[[#This Row],[CODIGO]],LISTADO[CODIGOS],LISTADO[PRODUCTOS]),"NO EXISTE")</f>
        <v/>
      </c>
      <c r="E611" s="19" t="n">
        <v>46093</v>
      </c>
      <c r="F611" s="18" t="n">
        <v>1</v>
      </c>
      <c r="G611" s="18" t="inlineStr">
        <is>
          <t>MAÑONGO</t>
        </is>
      </c>
    </row>
    <row r="612">
      <c r="B612" s="18" t="inlineStr">
        <is>
          <t>00049-ILU</t>
        </is>
      </c>
      <c r="C612" s="56">
        <f>IFERROR(_xlfn.XLOOKUP(SALIDAS[[#This Row],[CODIGO]],LISTADO[CODIGOS],LISTADO[CATEGORIA]),"NO EXISTE")</f>
        <v/>
      </c>
      <c r="D612" s="56">
        <f>IFERROR(_xlfn.XLOOKUP(SALIDAS[[#This Row],[CODIGO]],LISTADO[CODIGOS],LISTADO[PRODUCTOS]),"NO EXISTE")</f>
        <v/>
      </c>
      <c r="E612" s="19" t="n">
        <v>46093</v>
      </c>
      <c r="F612" s="18" t="n">
        <v>3</v>
      </c>
      <c r="G612" s="18" t="inlineStr">
        <is>
          <t>MAÑONGO</t>
        </is>
      </c>
    </row>
    <row r="613">
      <c r="B613" s="18" t="inlineStr">
        <is>
          <t>00003-MSC</t>
        </is>
      </c>
      <c r="C613" s="56">
        <f>IFERROR(_xlfn.XLOOKUP(SALIDAS[[#This Row],[CODIGO]],LISTADO[CODIGOS],LISTADO[CATEGORIA]),"NO EXISTE")</f>
        <v/>
      </c>
      <c r="D613" s="56">
        <f>IFERROR(_xlfn.XLOOKUP(SALIDAS[[#This Row],[CODIGO]],LISTADO[CODIGOS],LISTADO[PRODUCTOS]),"NO EXISTE")</f>
        <v/>
      </c>
      <c r="E613" s="19" t="n">
        <v>46093</v>
      </c>
      <c r="F613" s="18" t="n">
        <v>1</v>
      </c>
      <c r="G613" s="18" t="inlineStr">
        <is>
          <t>TAZAJAL</t>
        </is>
      </c>
    </row>
    <row r="614">
      <c r="B614" s="18" t="inlineStr">
        <is>
          <t>00003-MSC</t>
        </is>
      </c>
      <c r="C614" s="56">
        <f>IFERROR(_xlfn.XLOOKUP(SALIDAS[[#This Row],[CODIGO]],LISTADO[CODIGOS],LISTADO[CATEGORIA]),"NO EXISTE")</f>
        <v/>
      </c>
      <c r="D614" s="56">
        <f>IFERROR(_xlfn.XLOOKUP(SALIDAS[[#This Row],[CODIGO]],LISTADO[CODIGOS],LISTADO[PRODUCTOS]),"NO EXISTE")</f>
        <v/>
      </c>
      <c r="E614" s="19" t="n">
        <v>46093</v>
      </c>
      <c r="F614" s="18" t="n">
        <v>1</v>
      </c>
      <c r="G614" s="18" t="inlineStr">
        <is>
          <t>GUACARA</t>
        </is>
      </c>
    </row>
    <row r="615">
      <c r="B615" s="56" t="inlineStr">
        <is>
          <t>00052-FER</t>
        </is>
      </c>
      <c r="C615" s="56">
        <f>IFERROR(_xlfn.XLOOKUP(SALIDAS[[#This Row],[CODIGO]],LISTADO[CODIGOS],LISTADO[CATEGORIA]),"NO EXISTE")</f>
        <v/>
      </c>
      <c r="D615" s="56">
        <f>IFERROR(_xlfn.XLOOKUP(SALIDAS[[#This Row],[CODIGO]],LISTADO[CODIGOS],LISTADO[PRODUCTOS]),"NO EXISTE")</f>
        <v/>
      </c>
      <c r="E615" s="19" t="n">
        <v>46094</v>
      </c>
      <c r="F615" s="18" t="n">
        <v>2</v>
      </c>
      <c r="G615" s="18" t="inlineStr">
        <is>
          <t>LAS FERIAS</t>
        </is>
      </c>
    </row>
    <row r="616">
      <c r="B616" s="56" t="inlineStr">
        <is>
          <t>00028-FER</t>
        </is>
      </c>
      <c r="C616" s="56">
        <f>IFERROR(_xlfn.XLOOKUP(SALIDAS[[#This Row],[CODIGO]],LISTADO[CODIGOS],LISTADO[CATEGORIA]),"NO EXISTE")</f>
        <v/>
      </c>
      <c r="D616" s="56">
        <f>IFERROR(_xlfn.XLOOKUP(SALIDAS[[#This Row],[CODIGO]],LISTADO[CODIGOS],LISTADO[PRODUCTOS]),"NO EXISTE")</f>
        <v/>
      </c>
      <c r="E616" s="19" t="n">
        <v>46094</v>
      </c>
      <c r="F616" s="18" t="n">
        <v>1</v>
      </c>
      <c r="G616" s="18" t="inlineStr">
        <is>
          <t>LAS FERIAS</t>
        </is>
      </c>
    </row>
    <row r="617">
      <c r="B617" s="56" t="inlineStr">
        <is>
          <t>00043-FER</t>
        </is>
      </c>
      <c r="C617" s="56">
        <f>IFERROR(_xlfn.XLOOKUP(SALIDAS[[#This Row],[CODIGO]],LISTADO[CODIGOS],LISTADO[CATEGORIA]),"NO EXISTE")</f>
        <v/>
      </c>
      <c r="D617" s="56">
        <f>IFERROR(_xlfn.XLOOKUP(SALIDAS[[#This Row],[CODIGO]],LISTADO[CODIGOS],LISTADO[PRODUCTOS]),"NO EXISTE")</f>
        <v/>
      </c>
      <c r="E617" s="19" t="n">
        <v>46094</v>
      </c>
      <c r="F617" s="18" t="n">
        <v>2</v>
      </c>
      <c r="G617" s="18" t="inlineStr">
        <is>
          <t>PERIFERICO</t>
        </is>
      </c>
    </row>
    <row r="618">
      <c r="B618" s="56" t="inlineStr">
        <is>
          <t>00003-HRR</t>
        </is>
      </c>
      <c r="C618" s="56">
        <f>IFERROR(_xlfn.XLOOKUP(SALIDAS[[#This Row],[CODIGO]],LISTADO[CODIGOS],LISTADO[CATEGORIA]),"NO EXISTE")</f>
        <v/>
      </c>
      <c r="D618" s="56">
        <f>IFERROR(_xlfn.XLOOKUP(SALIDAS[[#This Row],[CODIGO]],LISTADO[CODIGOS],LISTADO[PRODUCTOS]),"NO EXISTE")</f>
        <v/>
      </c>
      <c r="E618" s="19" t="n">
        <v>46094</v>
      </c>
      <c r="F618" s="18" t="n">
        <v>1</v>
      </c>
      <c r="G618" s="18" t="inlineStr">
        <is>
          <t>PERIFERICO</t>
        </is>
      </c>
    </row>
    <row r="619">
      <c r="B619" s="18" t="inlineStr">
        <is>
          <t>00145-FER</t>
        </is>
      </c>
      <c r="C619" s="56">
        <f>IFERROR(_xlfn.XLOOKUP(SALIDAS[[#This Row],[CODIGO]],LISTADO[CODIGOS],LISTADO[CATEGORIA]),"NO EXISTE")</f>
        <v/>
      </c>
      <c r="D619" s="56">
        <f>IFERROR(_xlfn.XLOOKUP(SALIDAS[[#This Row],[CODIGO]],LISTADO[CODIGOS],LISTADO[PRODUCTOS]),"NO EXISTE")</f>
        <v/>
      </c>
      <c r="E619" s="19" t="n">
        <v>46094</v>
      </c>
      <c r="F619" s="18" t="n">
        <v>1</v>
      </c>
      <c r="G619" s="18" t="inlineStr">
        <is>
          <t>FLOR AMARILLO</t>
        </is>
      </c>
    </row>
    <row r="620">
      <c r="B620" s="56" t="inlineStr">
        <is>
          <t>00023-FER</t>
        </is>
      </c>
      <c r="C620" s="56">
        <f>IFERROR(_xlfn.XLOOKUP(SALIDAS[[#This Row],[CODIGO]],LISTADO[CODIGOS],LISTADO[CATEGORIA]),"NO EXISTE")</f>
        <v/>
      </c>
      <c r="D620" s="56">
        <f>IFERROR(_xlfn.XLOOKUP(SALIDAS[[#This Row],[CODIGO]],LISTADO[CODIGOS],LISTADO[PRODUCTOS]),"NO EXISTE")</f>
        <v/>
      </c>
      <c r="E620" s="19" t="n">
        <v>46094</v>
      </c>
      <c r="F620" s="18" t="n">
        <v>1</v>
      </c>
      <c r="G620" s="18" t="inlineStr">
        <is>
          <t>FLOR AMARILLO</t>
        </is>
      </c>
    </row>
    <row r="621">
      <c r="B621" s="18" t="inlineStr">
        <is>
          <t>00141-FER</t>
        </is>
      </c>
      <c r="C621" s="56">
        <f>IFERROR(_xlfn.XLOOKUP(SALIDAS[[#This Row],[CODIGO]],LISTADO[CODIGOS],LISTADO[CATEGORIA]),"NO EXISTE")</f>
        <v/>
      </c>
      <c r="D621" s="56">
        <f>IFERROR(_xlfn.XLOOKUP(SALIDAS[[#This Row],[CODIGO]],LISTADO[CODIGOS],LISTADO[PRODUCTOS]),"NO EXISTE")</f>
        <v/>
      </c>
      <c r="E621" s="19" t="n">
        <v>46094</v>
      </c>
      <c r="F621" s="18" t="n">
        <v>1</v>
      </c>
      <c r="G621" s="18" t="inlineStr">
        <is>
          <t>FLOR AMARILLO</t>
        </is>
      </c>
    </row>
    <row r="622">
      <c r="B622" s="56" t="inlineStr">
        <is>
          <t>00111-FER</t>
        </is>
      </c>
      <c r="C622" s="56">
        <f>IFERROR(_xlfn.XLOOKUP(SALIDAS[[#This Row],[CODIGO]],LISTADO[CODIGOS],LISTADO[CATEGORIA]),"NO EXISTE")</f>
        <v/>
      </c>
      <c r="D622" s="56">
        <f>IFERROR(_xlfn.XLOOKUP(SALIDAS[[#This Row],[CODIGO]],LISTADO[CODIGOS],LISTADO[PRODUCTOS]),"NO EXISTE")</f>
        <v/>
      </c>
      <c r="E622" s="19" t="n">
        <v>46094</v>
      </c>
      <c r="F622" s="18" t="n">
        <v>1</v>
      </c>
      <c r="G622" s="18" t="inlineStr">
        <is>
          <t>FLOR AMARILLO</t>
        </is>
      </c>
    </row>
    <row r="623">
      <c r="B623" s="18" t="inlineStr">
        <is>
          <t>00145-FER</t>
        </is>
      </c>
      <c r="C623" s="56">
        <f>IFERROR(_xlfn.XLOOKUP(SALIDAS[[#This Row],[CODIGO]],LISTADO[CODIGOS],LISTADO[CATEGORIA]),"NO EXISTE")</f>
        <v/>
      </c>
      <c r="D623" s="56">
        <f>IFERROR(_xlfn.XLOOKUP(SALIDAS[[#This Row],[CODIGO]],LISTADO[CODIGOS],LISTADO[PRODUCTOS]),"NO EXISTE")</f>
        <v/>
      </c>
      <c r="E623" s="19" t="n">
        <v>46094</v>
      </c>
      <c r="F623" s="18" t="n">
        <v>1</v>
      </c>
      <c r="G623" s="18" t="inlineStr">
        <is>
          <t>NAGUANAGUA 2</t>
        </is>
      </c>
    </row>
    <row r="624">
      <c r="B624" s="56" t="inlineStr">
        <is>
          <t>00023-FER</t>
        </is>
      </c>
      <c r="C624" s="56">
        <f>IFERROR(_xlfn.XLOOKUP(SALIDAS[[#This Row],[CODIGO]],LISTADO[CODIGOS],LISTADO[CATEGORIA]),"NO EXISTE")</f>
        <v/>
      </c>
      <c r="D624" s="56">
        <f>IFERROR(_xlfn.XLOOKUP(SALIDAS[[#This Row],[CODIGO]],LISTADO[CODIGOS],LISTADO[PRODUCTOS]),"NO EXISTE")</f>
        <v/>
      </c>
      <c r="E624" s="19" t="n">
        <v>46094</v>
      </c>
      <c r="F624" s="18" t="n">
        <v>1</v>
      </c>
      <c r="G624" s="18" t="inlineStr">
        <is>
          <t>NAGUANAGUA 2</t>
        </is>
      </c>
    </row>
    <row r="625">
      <c r="B625" s="18" t="inlineStr">
        <is>
          <t>00141-FER</t>
        </is>
      </c>
      <c r="C625" s="56">
        <f>IFERROR(_xlfn.XLOOKUP(SALIDAS[[#This Row],[CODIGO]],LISTADO[CODIGOS],LISTADO[CATEGORIA]),"NO EXISTE")</f>
        <v/>
      </c>
      <c r="D625" s="56">
        <f>IFERROR(_xlfn.XLOOKUP(SALIDAS[[#This Row],[CODIGO]],LISTADO[CODIGOS],LISTADO[PRODUCTOS]),"NO EXISTE")</f>
        <v/>
      </c>
      <c r="E625" s="19" t="n">
        <v>46094</v>
      </c>
      <c r="F625" s="18" t="n">
        <v>1</v>
      </c>
      <c r="G625" s="18" t="inlineStr">
        <is>
          <t>NAGUANAGUA 2</t>
        </is>
      </c>
    </row>
    <row r="626">
      <c r="B626" s="56" t="inlineStr">
        <is>
          <t>00111-FER</t>
        </is>
      </c>
      <c r="C626" s="56">
        <f>IFERROR(_xlfn.XLOOKUP(SALIDAS[[#This Row],[CODIGO]],LISTADO[CODIGOS],LISTADO[CATEGORIA]),"NO EXISTE")</f>
        <v/>
      </c>
      <c r="D626" s="56">
        <f>IFERROR(_xlfn.XLOOKUP(SALIDAS[[#This Row],[CODIGO]],LISTADO[CODIGOS],LISTADO[PRODUCTOS]),"NO EXISTE")</f>
        <v/>
      </c>
      <c r="E626" s="19" t="n">
        <v>46094</v>
      </c>
      <c r="F626" s="18" t="n">
        <v>1</v>
      </c>
      <c r="G626" s="18" t="inlineStr">
        <is>
          <t>NAGUANAGUA 2</t>
        </is>
      </c>
    </row>
    <row r="627">
      <c r="B627" s="56" t="inlineStr">
        <is>
          <t>00037-ILU</t>
        </is>
      </c>
      <c r="C627" s="56">
        <f>IFERROR(_xlfn.XLOOKUP(SALIDAS[[#This Row],[CODIGO]],LISTADO[CODIGOS],LISTADO[CATEGORIA]),"NO EXISTE")</f>
        <v/>
      </c>
      <c r="D627" s="56">
        <f>IFERROR(_xlfn.XLOOKUP(SALIDAS[[#This Row],[CODIGO]],LISTADO[CODIGOS],LISTADO[PRODUCTOS]),"NO EXISTE")</f>
        <v/>
      </c>
      <c r="E627" s="19" t="n">
        <v>46094</v>
      </c>
      <c r="F627" s="18" t="n">
        <v>2</v>
      </c>
      <c r="G627" s="18" t="inlineStr">
        <is>
          <t>SAN DIEGO</t>
        </is>
      </c>
    </row>
    <row r="628">
      <c r="B628" s="56" t="inlineStr">
        <is>
          <t>00002-PLM</t>
        </is>
      </c>
      <c r="C628" s="56">
        <f>IFERROR(_xlfn.XLOOKUP(SALIDAS[[#This Row],[CODIGO]],LISTADO[CODIGOS],LISTADO[CATEGORIA]),"NO EXISTE")</f>
        <v/>
      </c>
      <c r="D628" s="56">
        <f>IFERROR(_xlfn.XLOOKUP(SALIDAS[[#This Row],[CODIGO]],LISTADO[CODIGOS],LISTADO[PRODUCTOS]),"NO EXISTE")</f>
        <v/>
      </c>
      <c r="E628" s="19" t="n">
        <v>46094</v>
      </c>
      <c r="F628" s="18" t="n">
        <v>1</v>
      </c>
      <c r="G628" s="18" t="inlineStr">
        <is>
          <t>SAN DIEGO</t>
        </is>
      </c>
    </row>
    <row r="629">
      <c r="B629" s="56" t="inlineStr">
        <is>
          <t>00010-PLM</t>
        </is>
      </c>
      <c r="C629" s="56">
        <f>IFERROR(_xlfn.XLOOKUP(SALIDAS[[#This Row],[CODIGO]],LISTADO[CODIGOS],LISTADO[CATEGORIA]),"NO EXISTE")</f>
        <v/>
      </c>
      <c r="D629" s="56">
        <f>IFERROR(_xlfn.XLOOKUP(SALIDAS[[#This Row],[CODIGO]],LISTADO[CODIGOS],LISTADO[PRODUCTOS]),"NO EXISTE")</f>
        <v/>
      </c>
      <c r="E629" s="19" t="n">
        <v>46094</v>
      </c>
      <c r="F629" s="18" t="n">
        <v>1</v>
      </c>
      <c r="G629" s="18" t="inlineStr">
        <is>
          <t>SAN DIEGO</t>
        </is>
      </c>
    </row>
    <row r="630">
      <c r="B630" s="56" t="inlineStr">
        <is>
          <t>00031-ILU</t>
        </is>
      </c>
      <c r="C630" s="56">
        <f>IFERROR(_xlfn.XLOOKUP(SALIDAS[[#This Row],[CODIGO]],LISTADO[CODIGOS],LISTADO[CATEGORIA]),"NO EXISTE")</f>
        <v/>
      </c>
      <c r="D630" s="56">
        <f>IFERROR(_xlfn.XLOOKUP(SALIDAS[[#This Row],[CODIGO]],LISTADO[CODIGOS],LISTADO[PRODUCTOS]),"NO EXISTE")</f>
        <v/>
      </c>
      <c r="E630" s="19" t="n">
        <v>46094</v>
      </c>
      <c r="F630" s="18" t="n">
        <v>1</v>
      </c>
      <c r="G630" s="18" t="inlineStr">
        <is>
          <t>SAN DIEGO</t>
        </is>
      </c>
    </row>
    <row r="631">
      <c r="B631" s="18" t="inlineStr">
        <is>
          <t>00018-MSC</t>
        </is>
      </c>
      <c r="C631" s="56">
        <f>IFERROR(_xlfn.XLOOKUP(SALIDAS[[#This Row],[CODIGO]],LISTADO[CODIGOS],LISTADO[CATEGORIA]),"NO EXISTE")</f>
        <v/>
      </c>
      <c r="D631" s="56">
        <f>IFERROR(_xlfn.XLOOKUP(SALIDAS[[#This Row],[CODIGO]],LISTADO[CODIGOS],LISTADO[PRODUCTOS]),"NO EXISTE")</f>
        <v/>
      </c>
      <c r="E631" s="19" t="n">
        <v>46094</v>
      </c>
      <c r="F631" s="18" t="n">
        <v>2</v>
      </c>
      <c r="G631" s="18" t="inlineStr">
        <is>
          <t>NAGUANAGUA 2</t>
        </is>
      </c>
    </row>
    <row r="632">
      <c r="B632" s="56" t="inlineStr">
        <is>
          <t>00125-FER</t>
        </is>
      </c>
      <c r="C632" s="56">
        <f>IFERROR(_xlfn.XLOOKUP(SALIDAS[[#This Row],[CODIGO]],LISTADO[CODIGOS],LISTADO[CATEGORIA]),"NO EXISTE")</f>
        <v/>
      </c>
      <c r="D632" s="56">
        <f>IFERROR(_xlfn.XLOOKUP(SALIDAS[[#This Row],[CODIGO]],LISTADO[CODIGOS],LISTADO[PRODUCTOS]),"NO EXISTE")</f>
        <v/>
      </c>
      <c r="E632" s="19" t="n">
        <v>46094</v>
      </c>
      <c r="F632" s="18" t="n">
        <v>2</v>
      </c>
      <c r="G632" s="18" t="inlineStr">
        <is>
          <t>NAGUANAGUA 2</t>
        </is>
      </c>
    </row>
    <row r="633">
      <c r="B633" s="56" t="inlineStr">
        <is>
          <t>00116-FER</t>
        </is>
      </c>
      <c r="C633" s="56">
        <f>IFERROR(_xlfn.XLOOKUP(SALIDAS[[#This Row],[CODIGO]],LISTADO[CODIGOS],LISTADO[CATEGORIA]),"NO EXISTE")</f>
        <v/>
      </c>
      <c r="D633" s="56">
        <f>IFERROR(_xlfn.XLOOKUP(SALIDAS[[#This Row],[CODIGO]],LISTADO[CODIGOS],LISTADO[PRODUCTOS]),"NO EXISTE")</f>
        <v/>
      </c>
      <c r="E633" s="19" t="n">
        <v>46094</v>
      </c>
      <c r="F633" s="18" t="n">
        <v>6</v>
      </c>
      <c r="G633" s="18" t="inlineStr">
        <is>
          <t>SAN DIEGO</t>
        </is>
      </c>
    </row>
    <row r="634">
      <c r="B634" s="56" t="inlineStr">
        <is>
          <t>00031-ILU</t>
        </is>
      </c>
      <c r="C634" s="56">
        <f>IFERROR(_xlfn.XLOOKUP(SALIDAS[[#This Row],[CODIGO]],LISTADO[CODIGOS],LISTADO[CATEGORIA]),"NO EXISTE")</f>
        <v/>
      </c>
      <c r="D634" s="56">
        <f>IFERROR(_xlfn.XLOOKUP(SALIDAS[[#This Row],[CODIGO]],LISTADO[CODIGOS],LISTADO[PRODUCTOS]),"NO EXISTE")</f>
        <v/>
      </c>
      <c r="E634" s="19" t="n">
        <v>46094</v>
      </c>
      <c r="F634" s="18" t="n">
        <v>5</v>
      </c>
      <c r="G634" s="18" t="inlineStr">
        <is>
          <t>TAZAJAL</t>
        </is>
      </c>
    </row>
    <row r="635">
      <c r="B635" s="56" t="inlineStr">
        <is>
          <t>00041-ELE</t>
        </is>
      </c>
      <c r="C635" s="56">
        <f>IFERROR(_xlfn.XLOOKUP(SALIDAS[[#This Row],[CODIGO]],LISTADO[CODIGOS],LISTADO[CATEGORIA]),"NO EXISTE")</f>
        <v/>
      </c>
      <c r="D635" s="56">
        <f>IFERROR(_xlfn.XLOOKUP(SALIDAS[[#This Row],[CODIGO]],LISTADO[CODIGOS],LISTADO[PRODUCTOS]),"NO EXISTE")</f>
        <v/>
      </c>
      <c r="E635" s="19" t="n">
        <v>46094</v>
      </c>
      <c r="F635" s="18" t="n">
        <v>1</v>
      </c>
      <c r="G635" s="18" t="inlineStr">
        <is>
          <t>MAÑONGO</t>
        </is>
      </c>
    </row>
    <row r="636">
      <c r="B636" s="56" t="inlineStr">
        <is>
          <t>00046-ELE</t>
        </is>
      </c>
      <c r="C636" s="56">
        <f>IFERROR(_xlfn.XLOOKUP(SALIDAS[[#This Row],[CODIGO]],LISTADO[CODIGOS],LISTADO[CATEGORIA]),"NO EXISTE")</f>
        <v/>
      </c>
      <c r="D636" s="56">
        <f>IFERROR(_xlfn.XLOOKUP(SALIDAS[[#This Row],[CODIGO]],LISTADO[CODIGOS],LISTADO[PRODUCTOS]),"NO EXISTE")</f>
        <v/>
      </c>
      <c r="E636" s="19" t="n">
        <v>46094</v>
      </c>
      <c r="F636" s="18" t="n">
        <v>1</v>
      </c>
      <c r="G636" s="18" t="inlineStr">
        <is>
          <t>MAÑONGO</t>
        </is>
      </c>
    </row>
    <row r="637">
      <c r="B637" s="56" t="inlineStr">
        <is>
          <t>00006-ILU</t>
        </is>
      </c>
      <c r="C637" s="56">
        <f>IFERROR(_xlfn.XLOOKUP(SALIDAS[[#This Row],[CODIGO]],LISTADO[CODIGOS],LISTADO[CATEGORIA]),"NO EXISTE")</f>
        <v/>
      </c>
      <c r="D637" s="56">
        <f>IFERROR(_xlfn.XLOOKUP(SALIDAS[[#This Row],[CODIGO]],LISTADO[CODIGOS],LISTADO[PRODUCTOS]),"NO EXISTE")</f>
        <v/>
      </c>
      <c r="E637" s="19" t="n">
        <v>46094</v>
      </c>
      <c r="F637" s="18" t="n">
        <v>2</v>
      </c>
      <c r="G637" s="18" t="inlineStr">
        <is>
          <t>NAGUANAGUA 2</t>
        </is>
      </c>
    </row>
    <row r="638">
      <c r="B638" s="56" t="inlineStr">
        <is>
          <t>00031-ILU</t>
        </is>
      </c>
      <c r="C638" s="56">
        <f>IFERROR(_xlfn.XLOOKUP(SALIDAS[[#This Row],[CODIGO]],LISTADO[CODIGOS],LISTADO[CATEGORIA]),"NO EXISTE")</f>
        <v/>
      </c>
      <c r="D638" s="56">
        <f>IFERROR(_xlfn.XLOOKUP(SALIDAS[[#This Row],[CODIGO]],LISTADO[CODIGOS],LISTADO[PRODUCTOS]),"NO EXISTE")</f>
        <v/>
      </c>
      <c r="E638" s="19" t="n">
        <v>46094</v>
      </c>
      <c r="F638" s="18" t="n">
        <v>2</v>
      </c>
      <c r="G638" s="18" t="inlineStr">
        <is>
          <t>NAGUANAGUA 2</t>
        </is>
      </c>
    </row>
    <row r="639">
      <c r="B639" s="56" t="inlineStr">
        <is>
          <t>00027-ILU</t>
        </is>
      </c>
      <c r="C639" s="56">
        <f>IFERROR(_xlfn.XLOOKUP(SALIDAS[[#This Row],[CODIGO]],LISTADO[CODIGOS],LISTADO[CATEGORIA]),"NO EXISTE")</f>
        <v/>
      </c>
      <c r="D639" s="56">
        <f>IFERROR(_xlfn.XLOOKUP(SALIDAS[[#This Row],[CODIGO]],LISTADO[CODIGOS],LISTADO[PRODUCTOS]),"NO EXISTE")</f>
        <v/>
      </c>
      <c r="E639" s="19" t="n">
        <v>46094</v>
      </c>
      <c r="F639" s="18" t="n">
        <v>2</v>
      </c>
      <c r="G639" s="18" t="inlineStr">
        <is>
          <t>NAGUANAGUA 2</t>
        </is>
      </c>
    </row>
    <row r="640">
      <c r="B640" s="56" t="inlineStr">
        <is>
          <t>00094-FER</t>
        </is>
      </c>
      <c r="C640" s="56">
        <f>IFERROR(_xlfn.XLOOKUP(SALIDAS[[#This Row],[CODIGO]],LISTADO[CODIGOS],LISTADO[CATEGORIA]),"NO EXISTE")</f>
        <v/>
      </c>
      <c r="D640" s="56">
        <f>IFERROR(_xlfn.XLOOKUP(SALIDAS[[#This Row],[CODIGO]],LISTADO[CODIGOS],LISTADO[PRODUCTOS]),"NO EXISTE")</f>
        <v/>
      </c>
      <c r="E640" s="19" t="n">
        <v>46094</v>
      </c>
      <c r="F640" s="18" t="n">
        <v>1</v>
      </c>
      <c r="G640" s="18" t="inlineStr">
        <is>
          <t>MAÑONGO</t>
        </is>
      </c>
    </row>
    <row r="641">
      <c r="B641" s="56" t="inlineStr">
        <is>
          <t>00007-ILU</t>
        </is>
      </c>
      <c r="C641" s="56">
        <f>IFERROR(_xlfn.XLOOKUP(SALIDAS[[#This Row],[CODIGO]],LISTADO[CODIGOS],LISTADO[CATEGORIA]),"NO EXISTE")</f>
        <v/>
      </c>
      <c r="D641" s="56">
        <f>IFERROR(_xlfn.XLOOKUP(SALIDAS[[#This Row],[CODIGO]],LISTADO[CODIGOS],LISTADO[PRODUCTOS]),"NO EXISTE")</f>
        <v/>
      </c>
      <c r="E641" s="19" t="n">
        <v>46094</v>
      </c>
      <c r="F641" s="18" t="n">
        <v>2</v>
      </c>
      <c r="G641" s="18" t="inlineStr">
        <is>
          <t>PERIFERICO</t>
        </is>
      </c>
    </row>
    <row r="642">
      <c r="B642" s="56" t="inlineStr">
        <is>
          <t>00115-FER</t>
        </is>
      </c>
      <c r="C642" s="56">
        <f>IFERROR(_xlfn.XLOOKUP(SALIDAS[[#This Row],[CODIGO]],LISTADO[CODIGOS],LISTADO[CATEGORIA]),"NO EXISTE")</f>
        <v/>
      </c>
      <c r="D642" s="56">
        <f>IFERROR(_xlfn.XLOOKUP(SALIDAS[[#This Row],[CODIGO]],LISTADO[CODIGOS],LISTADO[PRODUCTOS]),"NO EXISTE")</f>
        <v/>
      </c>
      <c r="E642" s="19" t="n">
        <v>46094</v>
      </c>
      <c r="F642" s="18" t="n">
        <v>600</v>
      </c>
      <c r="G642" s="18" t="inlineStr">
        <is>
          <t>PERIFERICO</t>
        </is>
      </c>
    </row>
    <row r="643">
      <c r="B643" s="56" t="inlineStr">
        <is>
          <t>00007-HRR</t>
        </is>
      </c>
      <c r="C643" s="56">
        <f>IFERROR(_xlfn.XLOOKUP(SALIDAS[[#This Row],[CODIGO]],LISTADO[CODIGOS],LISTADO[CATEGORIA]),"NO EXISTE")</f>
        <v/>
      </c>
      <c r="D643" s="56">
        <f>IFERROR(_xlfn.XLOOKUP(SALIDAS[[#This Row],[CODIGO]],LISTADO[CODIGOS],LISTADO[PRODUCTOS]),"NO EXISTE")</f>
        <v/>
      </c>
      <c r="E643" s="19" t="n">
        <v>46094</v>
      </c>
      <c r="F643" s="18" t="n">
        <v>10</v>
      </c>
      <c r="G643" s="18" t="inlineStr">
        <is>
          <t xml:space="preserve">CEDI SECO </t>
        </is>
      </c>
    </row>
    <row r="644">
      <c r="B644" s="56" t="inlineStr">
        <is>
          <t>00006-HRR</t>
        </is>
      </c>
      <c r="C644" s="56">
        <f>IFERROR(_xlfn.XLOOKUP(SALIDAS[[#This Row],[CODIGO]],LISTADO[CODIGOS],LISTADO[CATEGORIA]),"NO EXISTE")</f>
        <v/>
      </c>
      <c r="D644" s="56">
        <f>IFERROR(_xlfn.XLOOKUP(SALIDAS[[#This Row],[CODIGO]],LISTADO[CODIGOS],LISTADO[PRODUCTOS]),"NO EXISTE")</f>
        <v/>
      </c>
      <c r="E644" s="19" t="n">
        <v>46094</v>
      </c>
      <c r="F644" s="18" t="n">
        <v>5</v>
      </c>
      <c r="G644" s="18" t="inlineStr">
        <is>
          <t xml:space="preserve">CEDI SECO </t>
        </is>
      </c>
    </row>
    <row r="645">
      <c r="B645" s="18" t="inlineStr">
        <is>
          <t>00045-ILU</t>
        </is>
      </c>
      <c r="C645" s="56">
        <f>IFERROR(_xlfn.XLOOKUP(SALIDAS[[#This Row],[CODIGO]],LISTADO[CODIGOS],LISTADO[CATEGORIA]),"NO EXISTE")</f>
        <v/>
      </c>
      <c r="D645" s="56">
        <f>IFERROR(_xlfn.XLOOKUP(SALIDAS[[#This Row],[CODIGO]],LISTADO[CODIGOS],LISTADO[PRODUCTOS]),"NO EXISTE")</f>
        <v/>
      </c>
      <c r="E645" s="19" t="n">
        <v>46094</v>
      </c>
      <c r="F645" s="18" t="n">
        <v>4</v>
      </c>
      <c r="G645" s="18" t="inlineStr">
        <is>
          <t>PERIFERICO</t>
        </is>
      </c>
    </row>
    <row r="646">
      <c r="B646" s="18" t="inlineStr">
        <is>
          <t>00046-ILU</t>
        </is>
      </c>
      <c r="C646" s="56">
        <f>IFERROR(_xlfn.XLOOKUP(SALIDAS[[#This Row],[CODIGO]],LISTADO[CODIGOS],LISTADO[CATEGORIA]),"NO EXISTE")</f>
        <v/>
      </c>
      <c r="D646" s="56">
        <f>IFERROR(_xlfn.XLOOKUP(SALIDAS[[#This Row],[CODIGO]],LISTADO[CODIGOS],LISTADO[PRODUCTOS]),"NO EXISTE")</f>
        <v/>
      </c>
      <c r="E646" s="19" t="n">
        <v>46094</v>
      </c>
      <c r="F646" s="18" t="n">
        <v>4</v>
      </c>
      <c r="G646" s="18" t="inlineStr">
        <is>
          <t>PERIFERICO</t>
        </is>
      </c>
    </row>
    <row r="647">
      <c r="B647" s="56" t="inlineStr">
        <is>
          <t>00133-FER</t>
        </is>
      </c>
      <c r="C647" s="56">
        <f>IFERROR(_xlfn.XLOOKUP(SALIDAS[[#This Row],[CODIGO]],LISTADO[CODIGOS],LISTADO[CATEGORIA]),"NO EXISTE")</f>
        <v/>
      </c>
      <c r="D647" s="56">
        <f>IFERROR(_xlfn.XLOOKUP(SALIDAS[[#This Row],[CODIGO]],LISTADO[CODIGOS],LISTADO[PRODUCTOS]),"NO EXISTE")</f>
        <v/>
      </c>
      <c r="E647" s="19" t="n">
        <v>46094</v>
      </c>
      <c r="F647" s="18" t="n">
        <v>1</v>
      </c>
      <c r="G647" s="18" t="inlineStr">
        <is>
          <t>PERIFERICO</t>
        </is>
      </c>
    </row>
    <row r="648">
      <c r="B648" s="56" t="inlineStr">
        <is>
          <t>00001-PLM</t>
        </is>
      </c>
      <c r="C648" s="56">
        <f>IFERROR(_xlfn.XLOOKUP(SALIDAS[[#This Row],[CODIGO]],LISTADO[CODIGOS],LISTADO[CATEGORIA]),"NO EXISTE")</f>
        <v/>
      </c>
      <c r="D648" s="56">
        <f>IFERROR(_xlfn.XLOOKUP(SALIDAS[[#This Row],[CODIGO]],LISTADO[CODIGOS],LISTADO[PRODUCTOS]),"NO EXISTE")</f>
        <v/>
      </c>
      <c r="E648" s="19" t="n">
        <v>46094</v>
      </c>
      <c r="F648" s="18" t="n">
        <v>1</v>
      </c>
      <c r="G648" s="18" t="inlineStr">
        <is>
          <t>SAN DIEGO</t>
        </is>
      </c>
    </row>
    <row r="649">
      <c r="B649" s="56" t="inlineStr">
        <is>
          <t>00047-ELE</t>
        </is>
      </c>
      <c r="C649" s="56">
        <f>IFERROR(_xlfn.XLOOKUP(SALIDAS[[#This Row],[CODIGO]],LISTADO[CODIGOS],LISTADO[CATEGORIA]),"NO EXISTE")</f>
        <v/>
      </c>
      <c r="D649" s="56">
        <f>IFERROR(_xlfn.XLOOKUP(SALIDAS[[#This Row],[CODIGO]],LISTADO[CODIGOS],LISTADO[PRODUCTOS]),"NO EXISTE")</f>
        <v/>
      </c>
      <c r="E649" s="19" t="n">
        <v>46094</v>
      </c>
      <c r="F649" s="18" t="n">
        <v>1</v>
      </c>
      <c r="G649" s="18" t="inlineStr">
        <is>
          <t>SAN DIEGO</t>
        </is>
      </c>
    </row>
    <row r="650">
      <c r="B650" s="18" t="inlineStr">
        <is>
          <t>00070-ELE</t>
        </is>
      </c>
      <c r="C650" s="56">
        <f>IFERROR(_xlfn.XLOOKUP(SALIDAS[[#This Row],[CODIGO]],LISTADO[CODIGOS],LISTADO[CATEGORIA]),"NO EXISTE")</f>
        <v/>
      </c>
      <c r="D650" s="56">
        <f>IFERROR(_xlfn.XLOOKUP(SALIDAS[[#This Row],[CODIGO]],LISTADO[CODIGOS],LISTADO[PRODUCTOS]),"NO EXISTE")</f>
        <v/>
      </c>
      <c r="E650" s="19" t="n">
        <v>46094</v>
      </c>
      <c r="F650" s="33" t="n">
        <v>20</v>
      </c>
      <c r="G650" s="18" t="inlineStr">
        <is>
          <t>LA VIÑA</t>
        </is>
      </c>
    </row>
    <row r="651">
      <c r="B651" s="56" t="inlineStr">
        <is>
          <t>00047-ELE</t>
        </is>
      </c>
      <c r="C651" s="56">
        <f>IFERROR(_xlfn.XLOOKUP(SALIDAS[[#This Row],[CODIGO]],LISTADO[CODIGOS],LISTADO[CATEGORIA]),"NO EXISTE")</f>
        <v/>
      </c>
      <c r="D651" s="56">
        <f>IFERROR(_xlfn.XLOOKUP(SALIDAS[[#This Row],[CODIGO]],LISTADO[CODIGOS],LISTADO[PRODUCTOS]),"NO EXISTE")</f>
        <v/>
      </c>
      <c r="E651" s="19" t="n">
        <v>46094</v>
      </c>
      <c r="F651" s="33" t="n">
        <v>20</v>
      </c>
      <c r="G651" s="18" t="inlineStr">
        <is>
          <t>LA VIÑA</t>
        </is>
      </c>
    </row>
    <row r="652">
      <c r="B652" s="18" t="inlineStr">
        <is>
          <t>00073-ELE</t>
        </is>
      </c>
      <c r="C652" s="56">
        <f>IFERROR(_xlfn.XLOOKUP(SALIDAS[[#This Row],[CODIGO]],LISTADO[CODIGOS],LISTADO[CATEGORIA]),"NO EXISTE")</f>
        <v/>
      </c>
      <c r="D652" s="56">
        <f>IFERROR(_xlfn.XLOOKUP(SALIDAS[[#This Row],[CODIGO]],LISTADO[CODIGOS],LISTADO[PRODUCTOS]),"NO EXISTE")</f>
        <v/>
      </c>
      <c r="E652" s="19" t="n">
        <v>46094</v>
      </c>
      <c r="F652" s="33" t="n">
        <v>10</v>
      </c>
      <c r="G652" s="18" t="inlineStr">
        <is>
          <t>LA VIÑA</t>
        </is>
      </c>
    </row>
    <row r="653">
      <c r="B653" s="56" t="inlineStr">
        <is>
          <t>00014-ELE</t>
        </is>
      </c>
      <c r="C653" s="56">
        <f>IFERROR(_xlfn.XLOOKUP(SALIDAS[[#This Row],[CODIGO]],LISTADO[CODIGOS],LISTADO[CATEGORIA]),"NO EXISTE")</f>
        <v/>
      </c>
      <c r="D653" s="56">
        <f>IFERROR(_xlfn.XLOOKUP(SALIDAS[[#This Row],[CODIGO]],LISTADO[CODIGOS],LISTADO[PRODUCTOS]),"NO EXISTE")</f>
        <v/>
      </c>
      <c r="E653" s="19" t="n">
        <v>46094</v>
      </c>
      <c r="F653" s="18" t="n">
        <v>200</v>
      </c>
      <c r="G653" s="18" t="inlineStr">
        <is>
          <t>LA VIÑA</t>
        </is>
      </c>
    </row>
    <row r="654">
      <c r="B654" s="56" t="inlineStr">
        <is>
          <t>00021-ELE</t>
        </is>
      </c>
      <c r="C654" s="56">
        <f>IFERROR(_xlfn.XLOOKUP(SALIDAS[[#This Row],[CODIGO]],LISTADO[CODIGOS],LISTADO[CATEGORIA]),"NO EXISTE")</f>
        <v/>
      </c>
      <c r="D654" s="56">
        <f>IFERROR(_xlfn.XLOOKUP(SALIDAS[[#This Row],[CODIGO]],LISTADO[CODIGOS],LISTADO[PRODUCTOS]),"NO EXISTE")</f>
        <v/>
      </c>
      <c r="E654" s="19" t="n">
        <v>46094</v>
      </c>
      <c r="F654" s="18" t="n">
        <v>100</v>
      </c>
      <c r="G654" s="18" t="inlineStr">
        <is>
          <t>LA VIÑA</t>
        </is>
      </c>
    </row>
    <row r="655">
      <c r="B655" s="56" t="inlineStr">
        <is>
          <t>00020-ELE</t>
        </is>
      </c>
      <c r="C655" s="56">
        <f>IFERROR(_xlfn.XLOOKUP(SALIDAS[[#This Row],[CODIGO]],LISTADO[CODIGOS],LISTADO[CATEGORIA]),"NO EXISTE")</f>
        <v/>
      </c>
      <c r="D655" s="56">
        <f>IFERROR(_xlfn.XLOOKUP(SALIDAS[[#This Row],[CODIGO]],LISTADO[CODIGOS],LISTADO[PRODUCTOS]),"NO EXISTE")</f>
        <v/>
      </c>
      <c r="E655" s="19" t="n">
        <v>46094</v>
      </c>
      <c r="F655" s="18" t="n">
        <v>100</v>
      </c>
      <c r="G655" s="18" t="inlineStr">
        <is>
          <t>LA VIÑA</t>
        </is>
      </c>
    </row>
    <row r="656">
      <c r="B656" s="56" t="inlineStr">
        <is>
          <t>00001-UNI</t>
        </is>
      </c>
      <c r="C656" s="56">
        <f>IFERROR(_xlfn.XLOOKUP(SALIDAS[[#This Row],[CODIGO]],LISTADO[CODIGOS],LISTADO[CATEGORIA]),"NO EXISTE")</f>
        <v/>
      </c>
      <c r="D656" s="56">
        <f>IFERROR(_xlfn.XLOOKUP(SALIDAS[[#This Row],[CODIGO]],LISTADO[CODIGOS],LISTADO[PRODUCTOS]),"NO EXISTE")</f>
        <v/>
      </c>
      <c r="E656" s="19" t="n">
        <v>46095</v>
      </c>
      <c r="F656" s="18" t="n">
        <v>18</v>
      </c>
      <c r="G656" s="18" t="inlineStr">
        <is>
          <t>CORPORATIVO</t>
        </is>
      </c>
    </row>
    <row r="657">
      <c r="B657" s="56" t="inlineStr">
        <is>
          <t>00073-REF</t>
        </is>
      </c>
      <c r="C657" s="56">
        <f>IFERROR(_xlfn.XLOOKUP(SALIDAS[[#This Row],[CODIGO]],LISTADO[CODIGOS],LISTADO[CATEGORIA]),"NO EXISTE")</f>
        <v/>
      </c>
      <c r="D657" s="56">
        <f>IFERROR(_xlfn.XLOOKUP(SALIDAS[[#This Row],[CODIGO]],LISTADO[CODIGOS],LISTADO[PRODUCTOS]),"NO EXISTE")</f>
        <v/>
      </c>
      <c r="E657" s="19" t="n">
        <v>46095</v>
      </c>
      <c r="F657" s="18" t="n">
        <v>4</v>
      </c>
      <c r="G657" s="18" t="inlineStr">
        <is>
          <t>AV. BOLIVAR</t>
        </is>
      </c>
    </row>
    <row r="658">
      <c r="B658" s="56" t="inlineStr">
        <is>
          <t>00016-REF</t>
        </is>
      </c>
      <c r="C658" s="56">
        <f>IFERROR(_xlfn.XLOOKUP(SALIDAS[[#This Row],[CODIGO]],LISTADO[CODIGOS],LISTADO[CATEGORIA]),"NO EXISTE")</f>
        <v/>
      </c>
      <c r="D658" s="56">
        <f>IFERROR(_xlfn.XLOOKUP(SALIDAS[[#This Row],[CODIGO]],LISTADO[CODIGOS],LISTADO[PRODUCTOS]),"NO EXISTE")</f>
        <v/>
      </c>
      <c r="E658" s="19" t="n">
        <v>46095</v>
      </c>
      <c r="F658" s="18" t="n">
        <v>2</v>
      </c>
      <c r="G658" s="18" t="inlineStr">
        <is>
          <t>AV. BOLIVAR</t>
        </is>
      </c>
    </row>
    <row r="659">
      <c r="B659" s="56" t="inlineStr">
        <is>
          <t>00007-HRR</t>
        </is>
      </c>
      <c r="C659" s="56">
        <f>IFERROR(_xlfn.XLOOKUP(SALIDAS[[#This Row],[CODIGO]],LISTADO[CODIGOS],LISTADO[CATEGORIA]),"NO EXISTE")</f>
        <v/>
      </c>
      <c r="D659" s="56">
        <f>IFERROR(_xlfn.XLOOKUP(SALIDAS[[#This Row],[CODIGO]],LISTADO[CODIGOS],LISTADO[PRODUCTOS]),"NO EXISTE")</f>
        <v/>
      </c>
      <c r="E659" s="19" t="n">
        <v>46095</v>
      </c>
      <c r="F659" s="18" t="n">
        <v>1</v>
      </c>
      <c r="G659" s="18" t="inlineStr">
        <is>
          <t>PARAPARAL</t>
        </is>
      </c>
    </row>
    <row r="660">
      <c r="B660" s="56" t="inlineStr">
        <is>
          <t>00125-FER</t>
        </is>
      </c>
      <c r="C660" s="56">
        <f>IFERROR(_xlfn.XLOOKUP(SALIDAS[[#This Row],[CODIGO]],LISTADO[CODIGOS],LISTADO[CATEGORIA]),"NO EXISTE")</f>
        <v/>
      </c>
      <c r="D660" s="56">
        <f>IFERROR(_xlfn.XLOOKUP(SALIDAS[[#This Row],[CODIGO]],LISTADO[CODIGOS],LISTADO[PRODUCTOS]),"NO EXISTE")</f>
        <v/>
      </c>
      <c r="E660" s="19" t="n">
        <v>46095</v>
      </c>
      <c r="F660" s="18" t="n">
        <v>2</v>
      </c>
      <c r="G660" s="18" t="inlineStr">
        <is>
          <t>NAGUANAGUA 3</t>
        </is>
      </c>
    </row>
    <row r="661">
      <c r="B661" s="56" t="inlineStr">
        <is>
          <t>00036-ILU</t>
        </is>
      </c>
      <c r="C661" s="56">
        <f>IFERROR(_xlfn.XLOOKUP(SALIDAS[[#This Row],[CODIGO]],LISTADO[CODIGOS],LISTADO[CATEGORIA]),"NO EXISTE")</f>
        <v/>
      </c>
      <c r="D661" s="56">
        <f>IFERROR(_xlfn.XLOOKUP(SALIDAS[[#This Row],[CODIGO]],LISTADO[CODIGOS],LISTADO[PRODUCTOS]),"NO EXISTE")</f>
        <v/>
      </c>
      <c r="E661" s="19" t="n">
        <v>46095</v>
      </c>
      <c r="F661" s="18" t="n">
        <v>2</v>
      </c>
      <c r="G661" s="18" t="inlineStr">
        <is>
          <t>PARAPARAL</t>
        </is>
      </c>
    </row>
    <row r="662">
      <c r="B662" s="56" t="inlineStr">
        <is>
          <t>00037-ILU</t>
        </is>
      </c>
      <c r="C662" s="56">
        <f>IFERROR(_xlfn.XLOOKUP(SALIDAS[[#This Row],[CODIGO]],LISTADO[CODIGOS],LISTADO[CATEGORIA]),"NO EXISTE")</f>
        <v/>
      </c>
      <c r="D662" s="56">
        <f>IFERROR(_xlfn.XLOOKUP(SALIDAS[[#This Row],[CODIGO]],LISTADO[CODIGOS],LISTADO[PRODUCTOS]),"NO EXISTE")</f>
        <v/>
      </c>
      <c r="E662" s="19" t="n">
        <v>46095</v>
      </c>
      <c r="F662" s="18" t="n">
        <v>2</v>
      </c>
      <c r="G662" s="18" t="inlineStr">
        <is>
          <t>PARAPARAL</t>
        </is>
      </c>
    </row>
    <row r="663">
      <c r="B663" s="56" t="inlineStr">
        <is>
          <t>00125-FER</t>
        </is>
      </c>
      <c r="C663" s="56">
        <f>IFERROR(_xlfn.XLOOKUP(SALIDAS[[#This Row],[CODIGO]],LISTADO[CODIGOS],LISTADO[CATEGORIA]),"NO EXISTE")</f>
        <v/>
      </c>
      <c r="D663" s="56">
        <f>IFERROR(_xlfn.XLOOKUP(SALIDAS[[#This Row],[CODIGO]],LISTADO[CODIGOS],LISTADO[PRODUCTOS]),"NO EXISTE")</f>
        <v/>
      </c>
      <c r="E663" s="19" t="n">
        <v>46095</v>
      </c>
      <c r="F663" s="18" t="n">
        <v>2</v>
      </c>
      <c r="G663" s="18" t="inlineStr">
        <is>
          <t>NAGUANAGUA 3</t>
        </is>
      </c>
    </row>
    <row r="664">
      <c r="B664" s="56" t="inlineStr">
        <is>
          <t>00010-HRR</t>
        </is>
      </c>
      <c r="C664" s="56">
        <f>IFERROR(_xlfn.XLOOKUP(SALIDAS[[#This Row],[CODIGO]],LISTADO[CODIGOS],LISTADO[CATEGORIA]),"NO EXISTE")</f>
        <v/>
      </c>
      <c r="D664" s="56">
        <f>IFERROR(_xlfn.XLOOKUP(SALIDAS[[#This Row],[CODIGO]],LISTADO[CODIGOS],LISTADO[PRODUCTOS]),"NO EXISTE")</f>
        <v/>
      </c>
      <c r="E664" s="19" t="n">
        <v>46095</v>
      </c>
      <c r="F664" s="18" t="n">
        <v>70</v>
      </c>
      <c r="G664" s="18" t="inlineStr">
        <is>
          <t>PARAPARAL</t>
        </is>
      </c>
    </row>
    <row r="665">
      <c r="B665" s="56" t="inlineStr">
        <is>
          <t>00109-FER</t>
        </is>
      </c>
      <c r="C665" s="56">
        <f>IFERROR(_xlfn.XLOOKUP(SALIDAS[[#This Row],[CODIGO]],LISTADO[CODIGOS],LISTADO[CATEGORIA]),"NO EXISTE")</f>
        <v/>
      </c>
      <c r="D665" s="56">
        <f>IFERROR(_xlfn.XLOOKUP(SALIDAS[[#This Row],[CODIGO]],LISTADO[CODIGOS],LISTADO[PRODUCTOS]),"NO EXISTE")</f>
        <v/>
      </c>
      <c r="E665" s="19" t="n">
        <v>46095</v>
      </c>
      <c r="F665" s="18" t="n">
        <v>6</v>
      </c>
      <c r="G665" s="18" t="inlineStr">
        <is>
          <t>PARAPARAL</t>
        </is>
      </c>
    </row>
    <row r="666">
      <c r="B666" s="18" t="inlineStr">
        <is>
          <t>00042-ILU</t>
        </is>
      </c>
      <c r="C666" s="56">
        <f>IFERROR(_xlfn.XLOOKUP(SALIDAS[[#This Row],[CODIGO]],LISTADO[CODIGOS],LISTADO[CATEGORIA]),"NO EXISTE")</f>
        <v/>
      </c>
      <c r="D666" s="56">
        <f>IFERROR(_xlfn.XLOOKUP(SALIDAS[[#This Row],[CODIGO]],LISTADO[CODIGOS],LISTADO[PRODUCTOS]),"NO EXISTE")</f>
        <v/>
      </c>
      <c r="E666" s="19" t="n">
        <v>46095</v>
      </c>
      <c r="F666" s="18" t="n">
        <v>2</v>
      </c>
      <c r="G666" s="18" t="inlineStr">
        <is>
          <t>CEDI FRIO</t>
        </is>
      </c>
    </row>
    <row r="667">
      <c r="B667" s="56" t="inlineStr">
        <is>
          <t>00041-ILU</t>
        </is>
      </c>
      <c r="C667" s="56">
        <f>IFERROR(_xlfn.XLOOKUP(SALIDAS[[#This Row],[CODIGO]],LISTADO[CODIGOS],LISTADO[CATEGORIA]),"NO EXISTE")</f>
        <v/>
      </c>
      <c r="D667" s="56">
        <f>IFERROR(_xlfn.XLOOKUP(SALIDAS[[#This Row],[CODIGO]],LISTADO[CODIGOS],LISTADO[PRODUCTOS]),"NO EXISTE")</f>
        <v/>
      </c>
      <c r="E667" s="19" t="n">
        <v>46095</v>
      </c>
      <c r="F667" s="18" t="n">
        <v>3</v>
      </c>
      <c r="G667" s="18" t="inlineStr">
        <is>
          <t>NAGUANAGUA 3</t>
        </is>
      </c>
    </row>
    <row r="668">
      <c r="B668" s="56" t="inlineStr">
        <is>
          <t>00013-FER</t>
        </is>
      </c>
      <c r="C668" s="56">
        <f>IFERROR(_xlfn.XLOOKUP(SALIDAS[[#This Row],[CODIGO]],LISTADO[CODIGOS],LISTADO[CATEGORIA]),"NO EXISTE")</f>
        <v/>
      </c>
      <c r="D668" s="56">
        <f>IFERROR(_xlfn.XLOOKUP(SALIDAS[[#This Row],[CODIGO]],LISTADO[CODIGOS],LISTADO[PRODUCTOS]),"NO EXISTE")</f>
        <v/>
      </c>
      <c r="E668" s="19" t="n">
        <v>46095</v>
      </c>
      <c r="F668" s="18" t="n">
        <v>4</v>
      </c>
      <c r="G668" s="18" t="inlineStr">
        <is>
          <t>PERIFERICO</t>
        </is>
      </c>
    </row>
    <row r="669">
      <c r="B669" s="18" t="inlineStr">
        <is>
          <t>00051-PLM</t>
        </is>
      </c>
      <c r="C669" s="56">
        <f>IFERROR(_xlfn.XLOOKUP(SALIDAS[[#This Row],[CODIGO]],LISTADO[CODIGOS],LISTADO[CATEGORIA]),"NO EXISTE")</f>
        <v/>
      </c>
      <c r="D669" s="56">
        <f>IFERROR(_xlfn.XLOOKUP(SALIDAS[[#This Row],[CODIGO]],LISTADO[CODIGOS],LISTADO[PRODUCTOS]),"NO EXISTE")</f>
        <v/>
      </c>
      <c r="E669" s="19" t="n">
        <v>46095</v>
      </c>
      <c r="F669" s="18" t="n">
        <v>1</v>
      </c>
      <c r="G669" s="18" t="inlineStr">
        <is>
          <t>NAGUANAGUA 2</t>
        </is>
      </c>
    </row>
    <row r="670">
      <c r="B670" s="56" t="inlineStr">
        <is>
          <t>00204-FER</t>
        </is>
      </c>
      <c r="C670" s="56">
        <f>IFERROR(_xlfn.XLOOKUP(SALIDAS[[#This Row],[CODIGO]],LISTADO[CODIGOS],LISTADO[CATEGORIA]),"NO EXISTE")</f>
        <v/>
      </c>
      <c r="D670" s="56">
        <f>IFERROR(_xlfn.XLOOKUP(SALIDAS[[#This Row],[CODIGO]],LISTADO[CODIGOS],LISTADO[PRODUCTOS]),"NO EXISTE")</f>
        <v/>
      </c>
      <c r="E670" s="19" t="n">
        <v>46095</v>
      </c>
      <c r="F670" s="18" t="n">
        <v>1</v>
      </c>
      <c r="G670" s="18" t="inlineStr">
        <is>
          <t>SAN MARTIN (CARACAS)</t>
        </is>
      </c>
    </row>
    <row r="671">
      <c r="B671" s="56" t="inlineStr">
        <is>
          <t>00003-ELE</t>
        </is>
      </c>
      <c r="C671" s="56">
        <f>IFERROR(_xlfn.XLOOKUP(SALIDAS[[#This Row],[CODIGO]],LISTADO[CODIGOS],LISTADO[CATEGORIA]),"NO EXISTE")</f>
        <v/>
      </c>
      <c r="D671" s="56">
        <f>IFERROR(_xlfn.XLOOKUP(SALIDAS[[#This Row],[CODIGO]],LISTADO[CODIGOS],LISTADO[PRODUCTOS]),"NO EXISTE")</f>
        <v/>
      </c>
      <c r="E671" s="19" t="n">
        <v>46096</v>
      </c>
      <c r="F671" s="18" t="n">
        <v>10</v>
      </c>
      <c r="G671" s="18" t="inlineStr">
        <is>
          <t>CEDEÑO</t>
        </is>
      </c>
    </row>
    <row r="672">
      <c r="B672" s="56" t="inlineStr">
        <is>
          <t>00066-UNI</t>
        </is>
      </c>
      <c r="C672" s="56">
        <f>IFERROR(_xlfn.XLOOKUP(SALIDAS[[#This Row],[CODIGO]],LISTADO[CODIGOS],LISTADO[CATEGORIA]),"NO EXISTE")</f>
        <v/>
      </c>
      <c r="D672" s="56">
        <f>IFERROR(_xlfn.XLOOKUP(SALIDAS[[#This Row],[CODIGO]],LISTADO[CODIGOS],LISTADO[PRODUCTOS]),"NO EXISTE")</f>
        <v/>
      </c>
      <c r="E672" s="19" t="n">
        <v>46096</v>
      </c>
      <c r="F672" s="18" t="n">
        <v>1</v>
      </c>
      <c r="G672" s="18" t="inlineStr">
        <is>
          <t>PERIFERICO</t>
        </is>
      </c>
    </row>
    <row r="673">
      <c r="B673" s="56" t="inlineStr">
        <is>
          <t>00031-FER</t>
        </is>
      </c>
      <c r="C673" s="56">
        <f>IFERROR(_xlfn.XLOOKUP(SALIDAS[[#This Row],[CODIGO]],LISTADO[CODIGOS],LISTADO[CATEGORIA]),"NO EXISTE")</f>
        <v/>
      </c>
      <c r="D673" s="56">
        <f>IFERROR(_xlfn.XLOOKUP(SALIDAS[[#This Row],[CODIGO]],LISTADO[CODIGOS],LISTADO[PRODUCTOS]),"NO EXISTE")</f>
        <v/>
      </c>
      <c r="E673" s="19" t="n">
        <v>46097</v>
      </c>
      <c r="F673" s="18" t="n">
        <v>1</v>
      </c>
      <c r="G673" s="18" t="inlineStr">
        <is>
          <t>PERIFERICO</t>
        </is>
      </c>
    </row>
    <row r="674">
      <c r="B674" s="56" t="inlineStr">
        <is>
          <t>00036-ILU</t>
        </is>
      </c>
      <c r="C674" s="56">
        <f>IFERROR(_xlfn.XLOOKUP(SALIDAS[[#This Row],[CODIGO]],LISTADO[CODIGOS],LISTADO[CATEGORIA]),"NO EXISTE")</f>
        <v/>
      </c>
      <c r="D674" s="56">
        <f>IFERROR(_xlfn.XLOOKUP(SALIDAS[[#This Row],[CODIGO]],LISTADO[CODIGOS],LISTADO[PRODUCTOS]),"NO EXISTE")</f>
        <v/>
      </c>
      <c r="E674" s="19" t="n">
        <v>46097</v>
      </c>
      <c r="F674" s="18" t="n">
        <v>4</v>
      </c>
      <c r="G674" s="18" t="inlineStr">
        <is>
          <t>CEDI FRIO</t>
        </is>
      </c>
    </row>
    <row r="675">
      <c r="B675" s="18" t="inlineStr">
        <is>
          <t>00042-ILU</t>
        </is>
      </c>
      <c r="C675" s="56">
        <f>IFERROR(_xlfn.XLOOKUP(SALIDAS[[#This Row],[CODIGO]],LISTADO[CODIGOS],LISTADO[CATEGORIA]),"NO EXISTE")</f>
        <v/>
      </c>
      <c r="D675" s="56">
        <f>IFERROR(_xlfn.XLOOKUP(SALIDAS[[#This Row],[CODIGO]],LISTADO[CODIGOS],LISTADO[PRODUCTOS]),"NO EXISTE")</f>
        <v/>
      </c>
      <c r="E675" s="19" t="n">
        <v>46097</v>
      </c>
      <c r="F675" s="18" t="n">
        <v>4</v>
      </c>
      <c r="G675" s="18" t="inlineStr">
        <is>
          <t>CEDI FRIO</t>
        </is>
      </c>
    </row>
    <row r="676">
      <c r="B676" s="56" t="inlineStr">
        <is>
          <t>00006-ILU</t>
        </is>
      </c>
      <c r="C676" s="56">
        <f>IFERROR(_xlfn.XLOOKUP(SALIDAS[[#This Row],[CODIGO]],LISTADO[CODIGOS],LISTADO[CATEGORIA]),"NO EXISTE")</f>
        <v/>
      </c>
      <c r="D676" s="56">
        <f>IFERROR(_xlfn.XLOOKUP(SALIDAS[[#This Row],[CODIGO]],LISTADO[CODIGOS],LISTADO[PRODUCTOS]),"NO EXISTE")</f>
        <v/>
      </c>
      <c r="E676" s="19" t="n">
        <v>46097</v>
      </c>
      <c r="F676" s="18" t="n">
        <v>4</v>
      </c>
      <c r="G676" s="18" t="inlineStr">
        <is>
          <t>CEDI FRIO</t>
        </is>
      </c>
    </row>
    <row r="677">
      <c r="B677" s="56" t="inlineStr">
        <is>
          <t>00124-FER</t>
        </is>
      </c>
      <c r="C677" s="56">
        <f>IFERROR(_xlfn.XLOOKUP(SALIDAS[[#This Row],[CODIGO]],LISTADO[CODIGOS],LISTADO[CATEGORIA]),"NO EXISTE")</f>
        <v/>
      </c>
      <c r="D677" s="56">
        <f>IFERROR(_xlfn.XLOOKUP(SALIDAS[[#This Row],[CODIGO]],LISTADO[CODIGOS],LISTADO[PRODUCTOS]),"NO EXISTE")</f>
        <v/>
      </c>
      <c r="E677" s="19" t="n">
        <v>46097</v>
      </c>
      <c r="F677" s="18" t="n">
        <v>1</v>
      </c>
      <c r="G677" s="18" t="inlineStr">
        <is>
          <t>NAGUANAGUA 1</t>
        </is>
      </c>
    </row>
    <row r="678">
      <c r="B678" s="56" t="inlineStr">
        <is>
          <t>00005-HRR</t>
        </is>
      </c>
      <c r="C678" s="56">
        <f>IFERROR(_xlfn.XLOOKUP(SALIDAS[[#This Row],[CODIGO]],LISTADO[CODIGOS],LISTADO[CATEGORIA]),"NO EXISTE")</f>
        <v/>
      </c>
      <c r="D678" s="56">
        <f>IFERROR(_xlfn.XLOOKUP(SALIDAS[[#This Row],[CODIGO]],LISTADO[CODIGOS],LISTADO[PRODUCTOS]),"NO EXISTE")</f>
        <v/>
      </c>
      <c r="E678" s="19" t="n">
        <v>46097</v>
      </c>
      <c r="F678" s="18" t="n">
        <v>1</v>
      </c>
      <c r="G678" s="18" t="inlineStr">
        <is>
          <t xml:space="preserve">CEDI SECO </t>
        </is>
      </c>
    </row>
    <row r="679">
      <c r="B679" s="56" t="inlineStr">
        <is>
          <t>00006-ILU</t>
        </is>
      </c>
      <c r="C679" s="56">
        <f>IFERROR(_xlfn.XLOOKUP(SALIDAS[[#This Row],[CODIGO]],LISTADO[CODIGOS],LISTADO[CATEGORIA]),"NO EXISTE")</f>
        <v/>
      </c>
      <c r="D679" s="56">
        <f>IFERROR(_xlfn.XLOOKUP(SALIDAS[[#This Row],[CODIGO]],LISTADO[CODIGOS],LISTADO[PRODUCTOS]),"NO EXISTE")</f>
        <v/>
      </c>
      <c r="E679" s="19" t="n">
        <v>46097</v>
      </c>
      <c r="F679" s="18" t="n">
        <v>4</v>
      </c>
      <c r="G679" s="18" t="inlineStr">
        <is>
          <t>NAGUANAGUA 1</t>
        </is>
      </c>
    </row>
    <row r="680">
      <c r="B680" s="56" t="inlineStr">
        <is>
          <t>00041-ILU</t>
        </is>
      </c>
      <c r="C680" s="56">
        <f>IFERROR(_xlfn.XLOOKUP(SALIDAS[[#This Row],[CODIGO]],LISTADO[CODIGOS],LISTADO[CATEGORIA]),"NO EXISTE")</f>
        <v/>
      </c>
      <c r="D680" s="56">
        <f>IFERROR(_xlfn.XLOOKUP(SALIDAS[[#This Row],[CODIGO]],LISTADO[CODIGOS],LISTADO[PRODUCTOS]),"NO EXISTE")</f>
        <v/>
      </c>
      <c r="E680" s="19" t="n">
        <v>46097</v>
      </c>
      <c r="F680" s="18" t="n">
        <v>2</v>
      </c>
      <c r="G680" s="18" t="inlineStr">
        <is>
          <t xml:space="preserve">CEDI SECO </t>
        </is>
      </c>
    </row>
    <row r="681">
      <c r="B681" s="56" t="inlineStr">
        <is>
          <t>00049-FER</t>
        </is>
      </c>
      <c r="C681" s="56">
        <f>IFERROR(_xlfn.XLOOKUP(SALIDAS[[#This Row],[CODIGO]],LISTADO[CODIGOS],LISTADO[CATEGORIA]),"NO EXISTE")</f>
        <v/>
      </c>
      <c r="D681" s="56">
        <f>IFERROR(_xlfn.XLOOKUP(SALIDAS[[#This Row],[CODIGO]],LISTADO[CODIGOS],LISTADO[PRODUCTOS]),"NO EXISTE")</f>
        <v/>
      </c>
      <c r="E681" s="19" t="n">
        <v>46097</v>
      </c>
      <c r="F681" s="18" t="n">
        <v>1</v>
      </c>
      <c r="G681" s="18" t="inlineStr">
        <is>
          <t>PARAPARAL</t>
        </is>
      </c>
    </row>
    <row r="682">
      <c r="B682" s="56" t="inlineStr">
        <is>
          <t>00050-FER</t>
        </is>
      </c>
      <c r="C682" s="56">
        <f>IFERROR(_xlfn.XLOOKUP(SALIDAS[[#This Row],[CODIGO]],LISTADO[CODIGOS],LISTADO[CATEGORIA]),"NO EXISTE")</f>
        <v/>
      </c>
      <c r="D682" s="56">
        <f>IFERROR(_xlfn.XLOOKUP(SALIDAS[[#This Row],[CODIGO]],LISTADO[CODIGOS],LISTADO[PRODUCTOS]),"NO EXISTE")</f>
        <v/>
      </c>
      <c r="E682" s="19" t="n">
        <v>46097</v>
      </c>
      <c r="F682" s="18" t="n">
        <v>1</v>
      </c>
      <c r="G682" s="18" t="inlineStr">
        <is>
          <t>PARAPARAL</t>
        </is>
      </c>
    </row>
    <row r="683">
      <c r="B683" s="56" t="inlineStr">
        <is>
          <t>00052-FER</t>
        </is>
      </c>
      <c r="C683" s="56">
        <f>IFERROR(_xlfn.XLOOKUP(SALIDAS[[#This Row],[CODIGO]],LISTADO[CODIGOS],LISTADO[CATEGORIA]),"NO EXISTE")</f>
        <v/>
      </c>
      <c r="D683" s="56">
        <f>IFERROR(_xlfn.XLOOKUP(SALIDAS[[#This Row],[CODIGO]],LISTADO[CODIGOS],LISTADO[PRODUCTOS]),"NO EXISTE")</f>
        <v/>
      </c>
      <c r="E683" s="19" t="n">
        <v>46097</v>
      </c>
      <c r="F683" s="18" t="n">
        <v>1</v>
      </c>
      <c r="G683" s="18" t="inlineStr">
        <is>
          <t>PARAPARAL</t>
        </is>
      </c>
    </row>
    <row r="684">
      <c r="B684" s="56" t="inlineStr">
        <is>
          <t>00051-FER</t>
        </is>
      </c>
      <c r="C684" s="56">
        <f>IFERROR(_xlfn.XLOOKUP(SALIDAS[[#This Row],[CODIGO]],LISTADO[CODIGOS],LISTADO[CATEGORIA]),"NO EXISTE")</f>
        <v/>
      </c>
      <c r="D684" s="56">
        <f>IFERROR(_xlfn.XLOOKUP(SALIDAS[[#This Row],[CODIGO]],LISTADO[CODIGOS],LISTADO[PRODUCTOS]),"NO EXISTE")</f>
        <v/>
      </c>
      <c r="E684" s="19" t="n">
        <v>46097</v>
      </c>
      <c r="F684" s="18" t="n">
        <v>1</v>
      </c>
      <c r="G684" s="18" t="inlineStr">
        <is>
          <t>PARAPARAL</t>
        </is>
      </c>
    </row>
    <row r="685">
      <c r="B685" s="56" t="inlineStr">
        <is>
          <t>00031-FER</t>
        </is>
      </c>
      <c r="C685" s="56">
        <f>IFERROR(_xlfn.XLOOKUP(SALIDAS[[#This Row],[CODIGO]],LISTADO[CODIGOS],LISTADO[CATEGORIA]),"NO EXISTE")</f>
        <v/>
      </c>
      <c r="D685" s="56">
        <f>IFERROR(_xlfn.XLOOKUP(SALIDAS[[#This Row],[CODIGO]],LISTADO[CODIGOS],LISTADO[PRODUCTOS]),"NO EXISTE")</f>
        <v/>
      </c>
      <c r="E685" s="19" t="n">
        <v>46097</v>
      </c>
      <c r="F685" s="18" t="n">
        <v>1</v>
      </c>
      <c r="G685" s="18" t="inlineStr">
        <is>
          <t>PARAPARAL</t>
        </is>
      </c>
    </row>
    <row r="686">
      <c r="B686" s="56" t="inlineStr">
        <is>
          <t>00027-FER</t>
        </is>
      </c>
      <c r="C686" s="56">
        <f>IFERROR(_xlfn.XLOOKUP(SALIDAS[[#This Row],[CODIGO]],LISTADO[CODIGOS],LISTADO[CATEGORIA]),"NO EXISTE")</f>
        <v/>
      </c>
      <c r="D686" s="56">
        <f>IFERROR(_xlfn.XLOOKUP(SALIDAS[[#This Row],[CODIGO]],LISTADO[CODIGOS],LISTADO[PRODUCTOS]),"NO EXISTE")</f>
        <v/>
      </c>
      <c r="E686" s="19" t="n">
        <v>46097</v>
      </c>
      <c r="F686" s="18" t="n">
        <v>1</v>
      </c>
      <c r="G686" s="18" t="inlineStr">
        <is>
          <t>PARAPARAL</t>
        </is>
      </c>
    </row>
    <row r="687">
      <c r="B687" s="56" t="inlineStr">
        <is>
          <t>00028-FER</t>
        </is>
      </c>
      <c r="C687" s="56">
        <f>IFERROR(_xlfn.XLOOKUP(SALIDAS[[#This Row],[CODIGO]],LISTADO[CODIGOS],LISTADO[CATEGORIA]),"NO EXISTE")</f>
        <v/>
      </c>
      <c r="D687" s="56">
        <f>IFERROR(_xlfn.XLOOKUP(SALIDAS[[#This Row],[CODIGO]],LISTADO[CODIGOS],LISTADO[PRODUCTOS]),"NO EXISTE")</f>
        <v/>
      </c>
      <c r="E687" s="19" t="n">
        <v>46097</v>
      </c>
      <c r="F687" s="18" t="n">
        <v>1</v>
      </c>
      <c r="G687" s="18" t="inlineStr">
        <is>
          <t>PARAPARAL</t>
        </is>
      </c>
    </row>
    <row r="688">
      <c r="B688" s="56" t="inlineStr">
        <is>
          <t>00041-FER</t>
        </is>
      </c>
      <c r="C688" s="56">
        <f>IFERROR(_xlfn.XLOOKUP(SALIDAS[[#This Row],[CODIGO]],LISTADO[CODIGOS],LISTADO[CATEGORIA]),"NO EXISTE")</f>
        <v/>
      </c>
      <c r="D688" s="56">
        <f>IFERROR(_xlfn.XLOOKUP(SALIDAS[[#This Row],[CODIGO]],LISTADO[CODIGOS],LISTADO[PRODUCTOS]),"NO EXISTE")</f>
        <v/>
      </c>
      <c r="E688" s="19" t="n">
        <v>46097</v>
      </c>
      <c r="F688" s="18" t="n">
        <v>1</v>
      </c>
      <c r="G688" s="18" t="inlineStr">
        <is>
          <t>PARAPARAL</t>
        </is>
      </c>
    </row>
    <row r="689">
      <c r="B689" s="56" t="inlineStr">
        <is>
          <t>00036-ILU</t>
        </is>
      </c>
      <c r="C689" s="56">
        <f>IFERROR(_xlfn.XLOOKUP(SALIDAS[[#This Row],[CODIGO]],LISTADO[CODIGOS],LISTADO[CATEGORIA]),"NO EXISTE")</f>
        <v/>
      </c>
      <c r="D689" s="56">
        <f>IFERROR(_xlfn.XLOOKUP(SALIDAS[[#This Row],[CODIGO]],LISTADO[CODIGOS],LISTADO[PRODUCTOS]),"NO EXISTE")</f>
        <v/>
      </c>
      <c r="E689" s="19" t="n">
        <v>46097</v>
      </c>
      <c r="F689" s="18" t="n">
        <v>2</v>
      </c>
      <c r="G689" s="18" t="inlineStr">
        <is>
          <t>PARAPARAL</t>
        </is>
      </c>
    </row>
    <row r="690">
      <c r="B690" s="56" t="inlineStr">
        <is>
          <t>00037-ILU</t>
        </is>
      </c>
      <c r="C690" s="56">
        <f>IFERROR(_xlfn.XLOOKUP(SALIDAS[[#This Row],[CODIGO]],LISTADO[CODIGOS],LISTADO[CATEGORIA]),"NO EXISTE")</f>
        <v/>
      </c>
      <c r="D690" s="56">
        <f>IFERROR(_xlfn.XLOOKUP(SALIDAS[[#This Row],[CODIGO]],LISTADO[CODIGOS],LISTADO[PRODUCTOS]),"NO EXISTE")</f>
        <v/>
      </c>
      <c r="E690" s="19" t="n">
        <v>46097</v>
      </c>
      <c r="F690" s="18" t="n">
        <v>2</v>
      </c>
      <c r="G690" s="18" t="inlineStr">
        <is>
          <t>PARAPARAL</t>
        </is>
      </c>
    </row>
    <row r="691">
      <c r="B691" s="18" t="inlineStr">
        <is>
          <t>00005-FER</t>
        </is>
      </c>
      <c r="C691" s="56">
        <f>IFERROR(_xlfn.XLOOKUP(SALIDAS[[#This Row],[CODIGO]],LISTADO[CODIGOS],LISTADO[CATEGORIA]),"NO EXISTE")</f>
        <v/>
      </c>
      <c r="D691" s="56">
        <f>IFERROR(_xlfn.XLOOKUP(SALIDAS[[#This Row],[CODIGO]],LISTADO[CODIGOS],LISTADO[PRODUCTOS]),"NO EXISTE")</f>
        <v/>
      </c>
      <c r="E691" s="19" t="n">
        <v>46097</v>
      </c>
      <c r="F691" s="18" t="n">
        <v>50</v>
      </c>
      <c r="G691" s="18" t="inlineStr">
        <is>
          <t>PERIFERICO</t>
        </is>
      </c>
    </row>
    <row r="692">
      <c r="B692" s="56" t="inlineStr">
        <is>
          <t>00006-FER</t>
        </is>
      </c>
      <c r="C692" s="56">
        <f>IFERROR(_xlfn.XLOOKUP(SALIDAS[[#This Row],[CODIGO]],LISTADO[CODIGOS],LISTADO[CATEGORIA]),"NO EXISTE")</f>
        <v/>
      </c>
      <c r="D692" s="56">
        <f>IFERROR(_xlfn.XLOOKUP(SALIDAS[[#This Row],[CODIGO]],LISTADO[CODIGOS],LISTADO[PRODUCTOS]),"NO EXISTE")</f>
        <v/>
      </c>
      <c r="E692" s="19" t="n">
        <v>46097</v>
      </c>
      <c r="F692" s="18" t="n">
        <v>20</v>
      </c>
      <c r="G692" s="18" t="inlineStr">
        <is>
          <t>PERIFERICO</t>
        </is>
      </c>
    </row>
    <row r="693">
      <c r="B693" s="56" t="inlineStr">
        <is>
          <t>00001-FER</t>
        </is>
      </c>
      <c r="C693" s="56">
        <f>IFERROR(_xlfn.XLOOKUP(SALIDAS[[#This Row],[CODIGO]],LISTADO[CODIGOS],LISTADO[CATEGORIA]),"NO EXISTE")</f>
        <v/>
      </c>
      <c r="D693" s="56">
        <f>IFERROR(_xlfn.XLOOKUP(SALIDAS[[#This Row],[CODIGO]],LISTADO[CODIGOS],LISTADO[PRODUCTOS]),"NO EXISTE")</f>
        <v/>
      </c>
      <c r="E693" s="19" t="n">
        <v>46097</v>
      </c>
      <c r="F693" s="18" t="n">
        <v>50</v>
      </c>
      <c r="G693" s="18" t="inlineStr">
        <is>
          <t>PERIFERICO</t>
        </is>
      </c>
    </row>
    <row r="694">
      <c r="B694" s="56" t="inlineStr">
        <is>
          <t>00002-FER</t>
        </is>
      </c>
      <c r="C694" s="56">
        <f>IFERROR(_xlfn.XLOOKUP(SALIDAS[[#This Row],[CODIGO]],LISTADO[CODIGOS],LISTADO[CATEGORIA]),"NO EXISTE")</f>
        <v/>
      </c>
      <c r="D694" s="56">
        <f>IFERROR(_xlfn.XLOOKUP(SALIDAS[[#This Row],[CODIGO]],LISTADO[CODIGOS],LISTADO[PRODUCTOS]),"NO EXISTE")</f>
        <v/>
      </c>
      <c r="E694" s="19" t="n">
        <v>46097</v>
      </c>
      <c r="F694" s="18" t="n">
        <v>20</v>
      </c>
      <c r="G694" s="18" t="inlineStr">
        <is>
          <t>PERIFERICO</t>
        </is>
      </c>
    </row>
    <row r="695">
      <c r="B695" s="56" t="inlineStr">
        <is>
          <t>00008-HRR</t>
        </is>
      </c>
      <c r="C695" s="56">
        <f>IFERROR(_xlfn.XLOOKUP(SALIDAS[[#This Row],[CODIGO]],LISTADO[CODIGOS],LISTADO[CATEGORIA]),"NO EXISTE")</f>
        <v/>
      </c>
      <c r="D695" s="56">
        <f>IFERROR(_xlfn.XLOOKUP(SALIDAS[[#This Row],[CODIGO]],LISTADO[CODIGOS],LISTADO[PRODUCTOS]),"NO EXISTE")</f>
        <v/>
      </c>
      <c r="E695" s="19" t="n">
        <v>46097</v>
      </c>
      <c r="F695" s="18" t="n">
        <v>100</v>
      </c>
      <c r="G695" s="18" t="inlineStr">
        <is>
          <t>PERIFERICO</t>
        </is>
      </c>
    </row>
    <row r="696">
      <c r="B696" s="56" t="inlineStr">
        <is>
          <t>00009-HRR</t>
        </is>
      </c>
      <c r="C696" s="56">
        <f>IFERROR(_xlfn.XLOOKUP(SALIDAS[[#This Row],[CODIGO]],LISTADO[CODIGOS],LISTADO[CATEGORIA]),"NO EXISTE")</f>
        <v/>
      </c>
      <c r="D696" s="56">
        <f>IFERROR(_xlfn.XLOOKUP(SALIDAS[[#This Row],[CODIGO]],LISTADO[CODIGOS],LISTADO[PRODUCTOS]),"NO EXISTE")</f>
        <v/>
      </c>
      <c r="E696" s="19" t="n">
        <v>46097</v>
      </c>
      <c r="F696" s="18" t="n">
        <v>60</v>
      </c>
      <c r="G696" s="18" t="inlineStr">
        <is>
          <t>PERIFERICO</t>
        </is>
      </c>
    </row>
    <row r="697">
      <c r="B697" s="56" t="inlineStr">
        <is>
          <t>00003-ELE</t>
        </is>
      </c>
      <c r="C697" s="56">
        <f>IFERROR(_xlfn.XLOOKUP(SALIDAS[[#This Row],[CODIGO]],LISTADO[CODIGOS],LISTADO[CATEGORIA]),"NO EXISTE")</f>
        <v/>
      </c>
      <c r="D697" s="56">
        <f>IFERROR(_xlfn.XLOOKUP(SALIDAS[[#This Row],[CODIGO]],LISTADO[CODIGOS],LISTADO[PRODUCTOS]),"NO EXISTE")</f>
        <v/>
      </c>
      <c r="E697" s="19" t="n">
        <v>46097</v>
      </c>
      <c r="F697" s="18" t="n">
        <v>20</v>
      </c>
      <c r="G697" s="18" t="inlineStr">
        <is>
          <t>AV. CEDEÑO</t>
        </is>
      </c>
    </row>
    <row r="698">
      <c r="B698" s="18" t="inlineStr">
        <is>
          <t>00064-ELE</t>
        </is>
      </c>
      <c r="C698" s="56">
        <f>IFERROR(_xlfn.XLOOKUP(SALIDAS[[#This Row],[CODIGO]],LISTADO[CODIGOS],LISTADO[CATEGORIA]),"NO EXISTE")</f>
        <v/>
      </c>
      <c r="D698" s="56">
        <f>IFERROR(_xlfn.XLOOKUP(SALIDAS[[#This Row],[CODIGO]],LISTADO[CODIGOS],LISTADO[PRODUCTOS]),"NO EXISTE")</f>
        <v/>
      </c>
      <c r="E698" s="19" t="n">
        <v>46097</v>
      </c>
      <c r="F698" s="18" t="n">
        <v>1</v>
      </c>
      <c r="G698" s="18" t="inlineStr">
        <is>
          <t>AV. CEDEÑO</t>
        </is>
      </c>
    </row>
    <row r="699">
      <c r="B699" s="18" t="inlineStr">
        <is>
          <t>00065-ELE</t>
        </is>
      </c>
      <c r="C699" s="56">
        <f>IFERROR(_xlfn.XLOOKUP(SALIDAS[[#This Row],[CODIGO]],LISTADO[CODIGOS],LISTADO[CATEGORIA]),"NO EXISTE")</f>
        <v/>
      </c>
      <c r="D699" s="56">
        <f>IFERROR(_xlfn.XLOOKUP(SALIDAS[[#This Row],[CODIGO]],LISTADO[CODIGOS],LISTADO[PRODUCTOS]),"NO EXISTE")</f>
        <v/>
      </c>
      <c r="E699" s="19" t="n">
        <v>46097</v>
      </c>
      <c r="F699" s="18" t="n">
        <v>1</v>
      </c>
      <c r="G699" s="18" t="inlineStr">
        <is>
          <t>AV. CEDEÑO</t>
        </is>
      </c>
    </row>
    <row r="700">
      <c r="B700" s="56" t="inlineStr">
        <is>
          <t>00089-FER</t>
        </is>
      </c>
      <c r="C700" s="56">
        <f>IFERROR(_xlfn.XLOOKUP(SALIDAS[[#This Row],[CODIGO]],LISTADO[CODIGOS],LISTADO[CATEGORIA]),"NO EXISTE")</f>
        <v/>
      </c>
      <c r="D700" s="56">
        <f>IFERROR(_xlfn.XLOOKUP(SALIDAS[[#This Row],[CODIGO]],LISTADO[CODIGOS],LISTADO[PRODUCTOS]),"NO EXISTE")</f>
        <v/>
      </c>
      <c r="E700" s="19" t="n">
        <v>46097</v>
      </c>
      <c r="F700" s="18" t="n">
        <v>10</v>
      </c>
      <c r="G700" s="18" t="inlineStr">
        <is>
          <t>LA VIÑA</t>
        </is>
      </c>
    </row>
    <row r="701">
      <c r="B701" s="56" t="inlineStr">
        <is>
          <t>00135-FER</t>
        </is>
      </c>
      <c r="C701" s="56">
        <f>IFERROR(_xlfn.XLOOKUP(SALIDAS[[#This Row],[CODIGO]],LISTADO[CODIGOS],LISTADO[CATEGORIA]),"NO EXISTE")</f>
        <v/>
      </c>
      <c r="D701" s="56">
        <f>IFERROR(_xlfn.XLOOKUP(SALIDAS[[#This Row],[CODIGO]],LISTADO[CODIGOS],LISTADO[PRODUCTOS]),"NO EXISTE")</f>
        <v/>
      </c>
      <c r="E701" s="19" t="n">
        <v>46097</v>
      </c>
      <c r="F701" s="18" t="n">
        <v>100</v>
      </c>
      <c r="G701" s="18" t="inlineStr">
        <is>
          <t>LA VIÑA</t>
        </is>
      </c>
    </row>
    <row r="702">
      <c r="B702" s="16" t="inlineStr">
        <is>
          <t>00156-FER</t>
        </is>
      </c>
      <c r="C702" s="56">
        <f>IFERROR(_xlfn.XLOOKUP(SALIDAS[[#This Row],[CODIGO]],LISTADO[CODIGOS],LISTADO[CATEGORIA]),"NO EXISTE")</f>
        <v/>
      </c>
      <c r="D702" s="56">
        <f>IFERROR(_xlfn.XLOOKUP(SALIDAS[[#This Row],[CODIGO]],LISTADO[CODIGOS],LISTADO[PRODUCTOS]),"NO EXISTE")</f>
        <v/>
      </c>
      <c r="E702" s="19" t="n">
        <v>46097</v>
      </c>
      <c r="F702" s="18" t="n">
        <v>1</v>
      </c>
      <c r="G702" s="18" t="inlineStr">
        <is>
          <t>AV. BOLIVAR</t>
        </is>
      </c>
    </row>
    <row r="703">
      <c r="B703" s="56" t="inlineStr">
        <is>
          <t>00018-REF</t>
        </is>
      </c>
      <c r="C703" s="56">
        <f>IFERROR(_xlfn.XLOOKUP(SALIDAS[[#This Row],[CODIGO]],LISTADO[CODIGOS],LISTADO[CATEGORIA]),"NO EXISTE")</f>
        <v/>
      </c>
      <c r="D703" s="56">
        <f>IFERROR(_xlfn.XLOOKUP(SALIDAS[[#This Row],[CODIGO]],LISTADO[CODIGOS],LISTADO[PRODUCTOS]),"NO EXISTE")</f>
        <v/>
      </c>
      <c r="E703" s="19" t="n">
        <v>46097</v>
      </c>
      <c r="F703" s="18" t="n">
        <v>5</v>
      </c>
      <c r="G703" s="18" t="inlineStr">
        <is>
          <t>LA VIÑA</t>
        </is>
      </c>
    </row>
    <row r="704">
      <c r="B704" s="56" t="inlineStr">
        <is>
          <t>00018-REF</t>
        </is>
      </c>
      <c r="C704" s="56">
        <f>IFERROR(_xlfn.XLOOKUP(SALIDAS[[#This Row],[CODIGO]],LISTADO[CODIGOS],LISTADO[CATEGORIA]),"NO EXISTE")</f>
        <v/>
      </c>
      <c r="D704" s="56">
        <f>IFERROR(_xlfn.XLOOKUP(SALIDAS[[#This Row],[CODIGO]],LISTADO[CODIGOS],LISTADO[PRODUCTOS]),"NO EXISTE")</f>
        <v/>
      </c>
      <c r="E704" s="19" t="n">
        <v>46097</v>
      </c>
      <c r="F704" s="18" t="n">
        <v>5</v>
      </c>
      <c r="G704" s="18" t="inlineStr">
        <is>
          <t>LA VIÑA</t>
        </is>
      </c>
    </row>
    <row r="705">
      <c r="B705" s="56" t="inlineStr">
        <is>
          <t>00004-FER</t>
        </is>
      </c>
      <c r="C705" s="56">
        <f>IFERROR(_xlfn.XLOOKUP(SALIDAS[[#This Row],[CODIGO]],LISTADO[CODIGOS],LISTADO[CATEGORIA]),"NO EXISTE")</f>
        <v/>
      </c>
      <c r="D705" s="56">
        <f>IFERROR(_xlfn.XLOOKUP(SALIDAS[[#This Row],[CODIGO]],LISTADO[CODIGOS],LISTADO[PRODUCTOS]),"NO EXISTE")</f>
        <v/>
      </c>
      <c r="E705" s="19" t="n">
        <v>46098</v>
      </c>
      <c r="F705" s="18" t="n">
        <v>200</v>
      </c>
      <c r="G705" s="18" t="inlineStr">
        <is>
          <t>PERIFERICO</t>
        </is>
      </c>
    </row>
    <row r="706">
      <c r="B706" s="56" t="inlineStr">
        <is>
          <t>00041-ELE</t>
        </is>
      </c>
      <c r="C706" s="56">
        <f>IFERROR(_xlfn.XLOOKUP(SALIDAS[[#This Row],[CODIGO]],LISTADO[CODIGOS],LISTADO[CATEGORIA]),"NO EXISTE")</f>
        <v/>
      </c>
      <c r="D706" s="56">
        <f>IFERROR(_xlfn.XLOOKUP(SALIDAS[[#This Row],[CODIGO]],LISTADO[CODIGOS],LISTADO[PRODUCTOS]),"NO EXISTE")</f>
        <v/>
      </c>
      <c r="E706" s="19" t="n">
        <v>46098</v>
      </c>
      <c r="F706" s="18" t="n">
        <v>60</v>
      </c>
      <c r="G706" s="18" t="inlineStr">
        <is>
          <t>LA VIÑA</t>
        </is>
      </c>
    </row>
    <row r="707">
      <c r="B707" s="56" t="inlineStr">
        <is>
          <t>00046-ELE</t>
        </is>
      </c>
      <c r="C707" s="56">
        <f>IFERROR(_xlfn.XLOOKUP(SALIDAS[[#This Row],[CODIGO]],LISTADO[CODIGOS],LISTADO[CATEGORIA]),"NO EXISTE")</f>
        <v/>
      </c>
      <c r="D707" s="56">
        <f>IFERROR(_xlfn.XLOOKUP(SALIDAS[[#This Row],[CODIGO]],LISTADO[CODIGOS],LISTADO[PRODUCTOS]),"NO EXISTE")</f>
        <v/>
      </c>
      <c r="E707" s="19" t="n">
        <v>46098</v>
      </c>
      <c r="F707" s="18" t="n">
        <v>60</v>
      </c>
      <c r="G707" s="18" t="inlineStr">
        <is>
          <t>LA VIÑA</t>
        </is>
      </c>
    </row>
    <row r="708">
      <c r="B708" s="56" t="inlineStr">
        <is>
          <t>00061-ELE</t>
        </is>
      </c>
      <c r="C708" s="56">
        <f>IFERROR(_xlfn.XLOOKUP(SALIDAS[[#This Row],[CODIGO]],LISTADO[CODIGOS],LISTADO[CATEGORIA]),"NO EXISTE")</f>
        <v/>
      </c>
      <c r="D708" s="56">
        <f>IFERROR(_xlfn.XLOOKUP(SALIDAS[[#This Row],[CODIGO]],LISTADO[CODIGOS],LISTADO[PRODUCTOS]),"NO EXISTE")</f>
        <v/>
      </c>
      <c r="E708" s="19" t="n">
        <v>46098</v>
      </c>
      <c r="F708" s="18" t="n">
        <v>2</v>
      </c>
      <c r="G708" s="18" t="inlineStr">
        <is>
          <t>LA VIÑA</t>
        </is>
      </c>
    </row>
    <row r="709">
      <c r="B709" s="18" t="inlineStr">
        <is>
          <t>00066-ELE</t>
        </is>
      </c>
      <c r="C709" s="56">
        <f>IFERROR(_xlfn.XLOOKUP(SALIDAS[[#This Row],[CODIGO]],LISTADO[CODIGOS],LISTADO[CATEGORIA]),"NO EXISTE")</f>
        <v/>
      </c>
      <c r="D709" s="56">
        <f>IFERROR(_xlfn.XLOOKUP(SALIDAS[[#This Row],[CODIGO]],LISTADO[CODIGOS],LISTADO[PRODUCTOS]),"NO EXISTE")</f>
        <v/>
      </c>
      <c r="E709" s="19" t="n">
        <v>46098</v>
      </c>
      <c r="F709" s="18" t="n">
        <v>100</v>
      </c>
      <c r="G709" s="18" t="inlineStr">
        <is>
          <t>LA VIÑA</t>
        </is>
      </c>
    </row>
    <row r="710">
      <c r="B710" s="18" t="inlineStr">
        <is>
          <t>00067-ELE</t>
        </is>
      </c>
      <c r="C710" s="56">
        <f>IFERROR(_xlfn.XLOOKUP(SALIDAS[[#This Row],[CODIGO]],LISTADO[CODIGOS],LISTADO[CATEGORIA]),"NO EXISTE")</f>
        <v/>
      </c>
      <c r="D710" s="56">
        <f>IFERROR(_xlfn.XLOOKUP(SALIDAS[[#This Row],[CODIGO]],LISTADO[CODIGOS],LISTADO[PRODUCTOS]),"NO EXISTE")</f>
        <v/>
      </c>
      <c r="E710" s="19" t="n">
        <v>46098</v>
      </c>
      <c r="F710" s="18" t="n">
        <v>100</v>
      </c>
      <c r="G710" s="18" t="inlineStr">
        <is>
          <t>LA VIÑA</t>
        </is>
      </c>
    </row>
    <row r="711">
      <c r="B711" s="18" t="inlineStr">
        <is>
          <t>00047-ILU</t>
        </is>
      </c>
      <c r="C711" s="56">
        <f>IFERROR(_xlfn.XLOOKUP(SALIDAS[[#This Row],[CODIGO]],LISTADO[CODIGOS],LISTADO[CATEGORIA]),"NO EXISTE")</f>
        <v/>
      </c>
      <c r="D711" s="56">
        <f>IFERROR(_xlfn.XLOOKUP(SALIDAS[[#This Row],[CODIGO]],LISTADO[CODIGOS],LISTADO[PRODUCTOS]),"NO EXISTE")</f>
        <v/>
      </c>
      <c r="E711" s="19" t="n">
        <v>46098</v>
      </c>
      <c r="F711" s="18" t="n">
        <v>14</v>
      </c>
      <c r="G711" s="18" t="inlineStr">
        <is>
          <t>LA VIÑA</t>
        </is>
      </c>
    </row>
    <row r="712">
      <c r="B712" s="18" t="inlineStr">
        <is>
          <t>00048-ILU</t>
        </is>
      </c>
      <c r="C712" s="56">
        <f>IFERROR(_xlfn.XLOOKUP(SALIDAS[[#This Row],[CODIGO]],LISTADO[CODIGOS],LISTADO[CATEGORIA]),"NO EXISTE")</f>
        <v/>
      </c>
      <c r="D712" s="56">
        <f>IFERROR(_xlfn.XLOOKUP(SALIDAS[[#This Row],[CODIGO]],LISTADO[CODIGOS],LISTADO[PRODUCTOS]),"NO EXISTE")</f>
        <v/>
      </c>
      <c r="E712" s="19" t="n">
        <v>46098</v>
      </c>
      <c r="F712" s="18" t="n">
        <v>1</v>
      </c>
      <c r="G712" s="18" t="inlineStr">
        <is>
          <t>LA VIÑA</t>
        </is>
      </c>
    </row>
    <row r="713">
      <c r="B713" s="18" t="inlineStr">
        <is>
          <t>00098-REF</t>
        </is>
      </c>
      <c r="C713" s="56">
        <f>IFERROR(_xlfn.XLOOKUP(SALIDAS[[#This Row],[CODIGO]],LISTADO[CODIGOS],LISTADO[CATEGORIA]),"NO EXISTE")</f>
        <v/>
      </c>
      <c r="D713" s="56">
        <f>IFERROR(_xlfn.XLOOKUP(SALIDAS[[#This Row],[CODIGO]],LISTADO[CODIGOS],LISTADO[PRODUCTOS]),"NO EXISTE")</f>
        <v/>
      </c>
      <c r="E713" s="19" t="n">
        <v>46098</v>
      </c>
      <c r="F713" s="18" t="n">
        <v>3</v>
      </c>
      <c r="G713" s="18" t="inlineStr">
        <is>
          <t>FLOR AMARILLO</t>
        </is>
      </c>
    </row>
    <row r="714">
      <c r="B714" s="56" t="inlineStr">
        <is>
          <t>00046-ELC</t>
        </is>
      </c>
      <c r="C714" s="56">
        <f>IFERROR(_xlfn.XLOOKUP(SALIDAS[[#This Row],[CODIGO]],LISTADO[CODIGOS],LISTADO[CATEGORIA]),"NO EXISTE")</f>
        <v/>
      </c>
      <c r="D714" s="56">
        <f>IFERROR(_xlfn.XLOOKUP(SALIDAS[[#This Row],[CODIGO]],LISTADO[CODIGOS],LISTADO[PRODUCTOS]),"NO EXISTE")</f>
        <v/>
      </c>
      <c r="E714" s="19" t="n">
        <v>46098</v>
      </c>
      <c r="F714" s="18" t="n">
        <v>4</v>
      </c>
      <c r="G714" s="18" t="inlineStr">
        <is>
          <t>LA VIÑA</t>
        </is>
      </c>
    </row>
    <row r="715">
      <c r="B715" s="56" t="inlineStr">
        <is>
          <t>00007-HRR</t>
        </is>
      </c>
      <c r="C715" s="56">
        <f>IFERROR(_xlfn.XLOOKUP(SALIDAS[[#This Row],[CODIGO]],LISTADO[CODIGOS],LISTADO[CATEGORIA]),"NO EXISTE")</f>
        <v/>
      </c>
      <c r="D715" s="56">
        <f>IFERROR(_xlfn.XLOOKUP(SALIDAS[[#This Row],[CODIGO]],LISTADO[CODIGOS],LISTADO[PRODUCTOS]),"NO EXISTE")</f>
        <v/>
      </c>
      <c r="E715" s="19" t="n">
        <v>46098</v>
      </c>
      <c r="F715" s="18" t="n">
        <v>2</v>
      </c>
      <c r="G715" s="18" t="inlineStr">
        <is>
          <t>NAGUANAGUA 2</t>
        </is>
      </c>
    </row>
    <row r="716">
      <c r="B716" s="56" t="inlineStr">
        <is>
          <t>00005-HRR</t>
        </is>
      </c>
      <c r="C716" s="56">
        <f>IFERROR(_xlfn.XLOOKUP(SALIDAS[[#This Row],[CODIGO]],LISTADO[CODIGOS],LISTADO[CATEGORIA]),"NO EXISTE")</f>
        <v/>
      </c>
      <c r="D716" s="56">
        <f>IFERROR(_xlfn.XLOOKUP(SALIDAS[[#This Row],[CODIGO]],LISTADO[CODIGOS],LISTADO[PRODUCTOS]),"NO EXISTE")</f>
        <v/>
      </c>
      <c r="E716" s="19" t="n">
        <v>46098</v>
      </c>
      <c r="F716" s="18" t="n">
        <v>1</v>
      </c>
      <c r="G716" s="18" t="inlineStr">
        <is>
          <t>NAGUANAGUA 2</t>
        </is>
      </c>
    </row>
    <row r="717">
      <c r="B717" s="56" t="inlineStr">
        <is>
          <t>00089-FER</t>
        </is>
      </c>
      <c r="C717" s="56">
        <f>IFERROR(_xlfn.XLOOKUP(SALIDAS[[#This Row],[CODIGO]],LISTADO[CODIGOS],LISTADO[CATEGORIA]),"NO EXISTE")</f>
        <v/>
      </c>
      <c r="D717" s="56">
        <f>IFERROR(_xlfn.XLOOKUP(SALIDAS[[#This Row],[CODIGO]],LISTADO[CODIGOS],LISTADO[PRODUCTOS]),"NO EXISTE")</f>
        <v/>
      </c>
      <c r="E717" s="19" t="n">
        <v>46098</v>
      </c>
      <c r="F717" s="18" t="n">
        <v>1</v>
      </c>
      <c r="G717" s="18" t="inlineStr">
        <is>
          <t>NAGUANAGUA 2</t>
        </is>
      </c>
    </row>
    <row r="718">
      <c r="B718" s="56" t="inlineStr">
        <is>
          <t>00020-HRR</t>
        </is>
      </c>
      <c r="C718" s="56">
        <f>IFERROR(_xlfn.XLOOKUP(SALIDAS[[#This Row],[CODIGO]],LISTADO[CODIGOS],LISTADO[CATEGORIA]),"NO EXISTE")</f>
        <v/>
      </c>
      <c r="D718" s="56">
        <f>IFERROR(_xlfn.XLOOKUP(SALIDAS[[#This Row],[CODIGO]],LISTADO[CODIGOS],LISTADO[PRODUCTOS]),"NO EXISTE")</f>
        <v/>
      </c>
      <c r="E718" s="19" t="n">
        <v>46098</v>
      </c>
      <c r="F718" s="18" t="n">
        <v>1</v>
      </c>
      <c r="G718" s="18" t="inlineStr">
        <is>
          <t>NAGUANAGUA 2</t>
        </is>
      </c>
    </row>
    <row r="719">
      <c r="B719" s="56" t="inlineStr">
        <is>
          <t>00078-FER</t>
        </is>
      </c>
      <c r="C719" s="56">
        <f>IFERROR(_xlfn.XLOOKUP(SALIDAS[[#This Row],[CODIGO]],LISTADO[CODIGOS],LISTADO[CATEGORIA]),"NO EXISTE")</f>
        <v/>
      </c>
      <c r="D719" s="56">
        <f>IFERROR(_xlfn.XLOOKUP(SALIDAS[[#This Row],[CODIGO]],LISTADO[CODIGOS],LISTADO[PRODUCTOS]),"NO EXISTE")</f>
        <v/>
      </c>
      <c r="E719" s="19" t="n">
        <v>46098</v>
      </c>
      <c r="F719" s="18" t="n">
        <v>1</v>
      </c>
      <c r="G719" s="18" t="inlineStr">
        <is>
          <t>NAGUANAGUA 2</t>
        </is>
      </c>
    </row>
    <row r="720">
      <c r="B720" s="56" t="inlineStr">
        <is>
          <t>00023-FER</t>
        </is>
      </c>
      <c r="C720" s="56">
        <f>IFERROR(_xlfn.XLOOKUP(SALIDAS[[#This Row],[CODIGO]],LISTADO[CODIGOS],LISTADO[CATEGORIA]),"NO EXISTE")</f>
        <v/>
      </c>
      <c r="D720" s="56">
        <f>IFERROR(_xlfn.XLOOKUP(SALIDAS[[#This Row],[CODIGO]],LISTADO[CODIGOS],LISTADO[PRODUCTOS]),"NO EXISTE")</f>
        <v/>
      </c>
      <c r="E720" s="19" t="n">
        <v>46098</v>
      </c>
      <c r="F720" s="18" t="n">
        <v>1</v>
      </c>
      <c r="G720" s="18" t="inlineStr">
        <is>
          <t>NAGUANAGUA 2</t>
        </is>
      </c>
    </row>
    <row r="721">
      <c r="B721" s="56" t="inlineStr">
        <is>
          <t>00002-ELE</t>
        </is>
      </c>
      <c r="C721" s="56">
        <f>IFERROR(_xlfn.XLOOKUP(SALIDAS[[#This Row],[CODIGO]],LISTADO[CODIGOS],LISTADO[CATEGORIA]),"NO EXISTE")</f>
        <v/>
      </c>
      <c r="D721" s="56">
        <f>IFERROR(_xlfn.XLOOKUP(SALIDAS[[#This Row],[CODIGO]],LISTADO[CODIGOS],LISTADO[PRODUCTOS]),"NO EXISTE")</f>
        <v/>
      </c>
      <c r="E721" s="19" t="n">
        <v>46098</v>
      </c>
      <c r="F721" s="18" t="n">
        <v>3</v>
      </c>
      <c r="G721" s="18" t="inlineStr">
        <is>
          <t>PARAPARAL</t>
        </is>
      </c>
    </row>
    <row r="722">
      <c r="B722" s="56" t="inlineStr">
        <is>
          <t>00027-ILU</t>
        </is>
      </c>
      <c r="C722" s="56">
        <f>IFERROR(_xlfn.XLOOKUP(SALIDAS[[#This Row],[CODIGO]],LISTADO[CODIGOS],LISTADO[CATEGORIA]),"NO EXISTE")</f>
        <v/>
      </c>
      <c r="D722" s="56">
        <f>IFERROR(_xlfn.XLOOKUP(SALIDAS[[#This Row],[CODIGO]],LISTADO[CODIGOS],LISTADO[PRODUCTOS]),"NO EXISTE")</f>
        <v/>
      </c>
      <c r="E722" s="19" t="n">
        <v>46098</v>
      </c>
      <c r="F722" s="18" t="n">
        <v>2</v>
      </c>
      <c r="G722" s="18" t="inlineStr">
        <is>
          <t>MAÑONGO</t>
        </is>
      </c>
    </row>
    <row r="723">
      <c r="B723" s="56" t="inlineStr">
        <is>
          <t>00031-ILU</t>
        </is>
      </c>
      <c r="C723" s="56">
        <f>IFERROR(_xlfn.XLOOKUP(SALIDAS[[#This Row],[CODIGO]],LISTADO[CODIGOS],LISTADO[CATEGORIA]),"NO EXISTE")</f>
        <v/>
      </c>
      <c r="D723" s="56">
        <f>IFERROR(_xlfn.XLOOKUP(SALIDAS[[#This Row],[CODIGO]],LISTADO[CODIGOS],LISTADO[PRODUCTOS]),"NO EXISTE")</f>
        <v/>
      </c>
      <c r="E723" s="19" t="n">
        <v>46098</v>
      </c>
      <c r="F723" s="18" t="n">
        <v>2</v>
      </c>
      <c r="G723" s="18" t="inlineStr">
        <is>
          <t>MAÑONGO</t>
        </is>
      </c>
    </row>
    <row r="724">
      <c r="B724" s="56" t="inlineStr">
        <is>
          <t>00006-ILU</t>
        </is>
      </c>
      <c r="C724" s="56">
        <f>IFERROR(_xlfn.XLOOKUP(SALIDAS[[#This Row],[CODIGO]],LISTADO[CODIGOS],LISTADO[CATEGORIA]),"NO EXISTE")</f>
        <v/>
      </c>
      <c r="D724" s="56">
        <f>IFERROR(_xlfn.XLOOKUP(SALIDAS[[#This Row],[CODIGO]],LISTADO[CODIGOS],LISTADO[PRODUCTOS]),"NO EXISTE")</f>
        <v/>
      </c>
      <c r="E724" s="19" t="n">
        <v>46098</v>
      </c>
      <c r="F724" s="18" t="n">
        <v>1</v>
      </c>
      <c r="G724" s="18" t="inlineStr">
        <is>
          <t>PARAPARAL</t>
        </is>
      </c>
    </row>
    <row r="725">
      <c r="B725" s="56" t="inlineStr">
        <is>
          <t>00135-FER</t>
        </is>
      </c>
      <c r="C725" s="56">
        <f>IFERROR(_xlfn.XLOOKUP(SALIDAS[[#This Row],[CODIGO]],LISTADO[CODIGOS],LISTADO[CATEGORIA]),"NO EXISTE")</f>
        <v/>
      </c>
      <c r="D725" s="56">
        <f>IFERROR(_xlfn.XLOOKUP(SALIDAS[[#This Row],[CODIGO]],LISTADO[CODIGOS],LISTADO[PRODUCTOS]),"NO EXISTE")</f>
        <v/>
      </c>
      <c r="E725" s="19" t="n">
        <v>46098</v>
      </c>
      <c r="F725" s="18" t="n">
        <v>10</v>
      </c>
      <c r="G725" s="18" t="inlineStr">
        <is>
          <t>PARAPARAL</t>
        </is>
      </c>
    </row>
    <row r="726">
      <c r="B726" s="56" t="inlineStr">
        <is>
          <t>00094-FER</t>
        </is>
      </c>
      <c r="C726" s="56">
        <f>IFERROR(_xlfn.XLOOKUP(SALIDAS[[#This Row],[CODIGO]],LISTADO[CODIGOS],LISTADO[CATEGORIA]),"NO EXISTE")</f>
        <v/>
      </c>
      <c r="D726" s="56">
        <f>IFERROR(_xlfn.XLOOKUP(SALIDAS[[#This Row],[CODIGO]],LISTADO[CODIGOS],LISTADO[PRODUCTOS]),"NO EXISTE")</f>
        <v/>
      </c>
      <c r="E726" s="19" t="n">
        <v>46098</v>
      </c>
      <c r="F726" s="18" t="n">
        <v>2</v>
      </c>
      <c r="G726" s="18" t="inlineStr">
        <is>
          <t>SAN DIEGO</t>
        </is>
      </c>
    </row>
    <row r="727">
      <c r="B727" s="56" t="inlineStr">
        <is>
          <t>00104-FER</t>
        </is>
      </c>
      <c r="C727" s="56">
        <f>IFERROR(_xlfn.XLOOKUP(SALIDAS[[#This Row],[CODIGO]],LISTADO[CODIGOS],LISTADO[CATEGORIA]),"NO EXISTE")</f>
        <v/>
      </c>
      <c r="D727" s="56">
        <f>IFERROR(_xlfn.XLOOKUP(SALIDAS[[#This Row],[CODIGO]],LISTADO[CODIGOS],LISTADO[PRODUCTOS]),"NO EXISTE")</f>
        <v/>
      </c>
      <c r="E727" s="19" t="n">
        <v>46098</v>
      </c>
      <c r="F727" s="18" t="n">
        <v>4</v>
      </c>
      <c r="G727" s="18" t="inlineStr">
        <is>
          <t>SAN DIEGO</t>
        </is>
      </c>
    </row>
    <row r="728">
      <c r="B728" s="56" t="inlineStr">
        <is>
          <t>00135-FER</t>
        </is>
      </c>
      <c r="C728" s="56">
        <f>IFERROR(_xlfn.XLOOKUP(SALIDAS[[#This Row],[CODIGO]],LISTADO[CODIGOS],LISTADO[CATEGORIA]),"NO EXISTE")</f>
        <v/>
      </c>
      <c r="D728" s="56">
        <f>IFERROR(_xlfn.XLOOKUP(SALIDAS[[#This Row],[CODIGO]],LISTADO[CODIGOS],LISTADO[PRODUCTOS]),"NO EXISTE")</f>
        <v/>
      </c>
      <c r="E728" s="19" t="n">
        <v>46098</v>
      </c>
      <c r="F728" s="18" t="n">
        <v>4</v>
      </c>
      <c r="G728" s="18" t="inlineStr">
        <is>
          <t>SAN DIEGO</t>
        </is>
      </c>
    </row>
    <row r="729">
      <c r="B729" s="56" t="inlineStr">
        <is>
          <t>00087-FER</t>
        </is>
      </c>
      <c r="C729" s="56">
        <f>IFERROR(_xlfn.XLOOKUP(SALIDAS[[#This Row],[CODIGO]],LISTADO[CODIGOS],LISTADO[CATEGORIA]),"NO EXISTE")</f>
        <v/>
      </c>
      <c r="D729" s="56">
        <f>IFERROR(_xlfn.XLOOKUP(SALIDAS[[#This Row],[CODIGO]],LISTADO[CODIGOS],LISTADO[PRODUCTOS]),"NO EXISTE")</f>
        <v/>
      </c>
      <c r="E729" s="19" t="n">
        <v>46098</v>
      </c>
      <c r="F729" s="18" t="n">
        <v>25</v>
      </c>
      <c r="G729" s="18" t="inlineStr">
        <is>
          <t>LAS FERIAS</t>
        </is>
      </c>
    </row>
    <row r="730">
      <c r="B730" s="56" t="inlineStr">
        <is>
          <t>00019-HRR</t>
        </is>
      </c>
      <c r="C730" s="56">
        <f>IFERROR(_xlfn.XLOOKUP(SALIDAS[[#This Row],[CODIGO]],LISTADO[CODIGOS],LISTADO[CATEGORIA]),"NO EXISTE")</f>
        <v/>
      </c>
      <c r="D730" s="56">
        <f>IFERROR(_xlfn.XLOOKUP(SALIDAS[[#This Row],[CODIGO]],LISTADO[CODIGOS],LISTADO[PRODUCTOS]),"NO EXISTE")</f>
        <v/>
      </c>
      <c r="E730" s="19" t="n">
        <v>46098</v>
      </c>
      <c r="F730" s="18" t="n">
        <v>1</v>
      </c>
      <c r="G730" s="18" t="inlineStr">
        <is>
          <t>AV. BOLIVAR</t>
        </is>
      </c>
    </row>
    <row r="731">
      <c r="B731" s="56" t="inlineStr">
        <is>
          <t>00023-FER</t>
        </is>
      </c>
      <c r="C731" s="56">
        <f>IFERROR(_xlfn.XLOOKUP(SALIDAS[[#This Row],[CODIGO]],LISTADO[CODIGOS],LISTADO[CATEGORIA]),"NO EXISTE")</f>
        <v/>
      </c>
      <c r="D731" s="56">
        <f>IFERROR(_xlfn.XLOOKUP(SALIDAS[[#This Row],[CODIGO]],LISTADO[CODIGOS],LISTADO[PRODUCTOS]),"NO EXISTE")</f>
        <v/>
      </c>
      <c r="E731" s="19" t="n">
        <v>46098</v>
      </c>
      <c r="F731" s="18" t="n">
        <v>1</v>
      </c>
      <c r="G731" s="18" t="inlineStr">
        <is>
          <t>LAS FERIAS</t>
        </is>
      </c>
    </row>
    <row r="732">
      <c r="B732" s="18" t="inlineStr">
        <is>
          <t>00145-FER</t>
        </is>
      </c>
      <c r="C732" s="56">
        <f>IFERROR(_xlfn.XLOOKUP(SALIDAS[[#This Row],[CODIGO]],LISTADO[CODIGOS],LISTADO[CATEGORIA]),"NO EXISTE")</f>
        <v/>
      </c>
      <c r="D732" s="56">
        <f>IFERROR(_xlfn.XLOOKUP(SALIDAS[[#This Row],[CODIGO]],LISTADO[CODIGOS],LISTADO[PRODUCTOS]),"NO EXISTE")</f>
        <v/>
      </c>
      <c r="E732" s="19" t="n">
        <v>46098</v>
      </c>
      <c r="F732" s="18" t="n">
        <v>1</v>
      </c>
      <c r="G732" s="18" t="inlineStr">
        <is>
          <t>LAS FERIAS</t>
        </is>
      </c>
    </row>
    <row r="733">
      <c r="B733" s="56" t="inlineStr">
        <is>
          <t>00007-ILU</t>
        </is>
      </c>
      <c r="C733" s="56">
        <f>IFERROR(_xlfn.XLOOKUP(SALIDAS[[#This Row],[CODIGO]],LISTADO[CODIGOS],LISTADO[CATEGORIA]),"NO EXISTE")</f>
        <v/>
      </c>
      <c r="D733" s="56">
        <f>IFERROR(_xlfn.XLOOKUP(SALIDAS[[#This Row],[CODIGO]],LISTADO[CODIGOS],LISTADO[PRODUCTOS]),"NO EXISTE")</f>
        <v/>
      </c>
      <c r="E733" s="19" t="n">
        <v>46098</v>
      </c>
      <c r="F733" s="18" t="n">
        <v>5</v>
      </c>
      <c r="G733" s="18" t="inlineStr">
        <is>
          <t xml:space="preserve">EL BOSQUE </t>
        </is>
      </c>
    </row>
    <row r="734">
      <c r="B734" s="56" t="inlineStr">
        <is>
          <t>00031-ILU</t>
        </is>
      </c>
      <c r="C734" s="56">
        <f>IFERROR(_xlfn.XLOOKUP(SALIDAS[[#This Row],[CODIGO]],LISTADO[CODIGOS],LISTADO[CATEGORIA]),"NO EXISTE")</f>
        <v/>
      </c>
      <c r="D734" s="56">
        <f>IFERROR(_xlfn.XLOOKUP(SALIDAS[[#This Row],[CODIGO]],LISTADO[CODIGOS],LISTADO[PRODUCTOS]),"NO EXISTE")</f>
        <v/>
      </c>
      <c r="E734" s="19" t="n">
        <v>46098</v>
      </c>
      <c r="F734" s="18" t="n">
        <v>1</v>
      </c>
      <c r="G734" s="18" t="inlineStr">
        <is>
          <t>SAN DIEGO</t>
        </is>
      </c>
    </row>
    <row r="735">
      <c r="B735" s="56" t="inlineStr">
        <is>
          <t>00006-ILU</t>
        </is>
      </c>
      <c r="C735" s="56">
        <f>IFERROR(_xlfn.XLOOKUP(SALIDAS[[#This Row],[CODIGO]],LISTADO[CODIGOS],LISTADO[CATEGORIA]),"NO EXISTE")</f>
        <v/>
      </c>
      <c r="D735" s="56">
        <f>IFERROR(_xlfn.XLOOKUP(SALIDAS[[#This Row],[CODIGO]],LISTADO[CODIGOS],LISTADO[PRODUCTOS]),"NO EXISTE")</f>
        <v/>
      </c>
      <c r="E735" s="19" t="n">
        <v>46098</v>
      </c>
      <c r="F735" s="18" t="n">
        <v>42</v>
      </c>
      <c r="G735" s="18" t="inlineStr">
        <is>
          <t>PERIFERICO</t>
        </is>
      </c>
    </row>
    <row r="736">
      <c r="B736" s="56" t="inlineStr">
        <is>
          <t>00109-FER</t>
        </is>
      </c>
      <c r="C736" s="56">
        <f>IFERROR(_xlfn.XLOOKUP(SALIDAS[[#This Row],[CODIGO]],LISTADO[CODIGOS],LISTADO[CATEGORIA]),"NO EXISTE")</f>
        <v/>
      </c>
      <c r="D736" s="56">
        <f>IFERROR(_xlfn.XLOOKUP(SALIDAS[[#This Row],[CODIGO]],LISTADO[CODIGOS],LISTADO[PRODUCTOS]),"NO EXISTE")</f>
        <v/>
      </c>
      <c r="E736" s="19" t="n">
        <v>46098</v>
      </c>
      <c r="F736" s="18" t="n">
        <v>5</v>
      </c>
      <c r="G736" s="18" t="inlineStr">
        <is>
          <t>PARAPARAL</t>
        </is>
      </c>
    </row>
    <row r="737">
      <c r="B737" s="56" t="inlineStr">
        <is>
          <t>00109-FER</t>
        </is>
      </c>
      <c r="C737" s="56">
        <f>IFERROR(_xlfn.XLOOKUP(SALIDAS[[#This Row],[CODIGO]],LISTADO[CODIGOS],LISTADO[CATEGORIA]),"NO EXISTE")</f>
        <v/>
      </c>
      <c r="D737" s="56">
        <f>IFERROR(_xlfn.XLOOKUP(SALIDAS[[#This Row],[CODIGO]],LISTADO[CODIGOS],LISTADO[PRODUCTOS]),"NO EXISTE")</f>
        <v/>
      </c>
      <c r="E737" s="19" t="n">
        <v>46098</v>
      </c>
      <c r="F737" s="18" t="n">
        <v>8</v>
      </c>
      <c r="G737" s="18" t="inlineStr">
        <is>
          <t>SAN DIEGO</t>
        </is>
      </c>
    </row>
    <row r="738">
      <c r="B738" s="18" t="inlineStr">
        <is>
          <t>00141-FER</t>
        </is>
      </c>
      <c r="C738" s="56">
        <f>IFERROR(_xlfn.XLOOKUP(SALIDAS[[#This Row],[CODIGO]],LISTADO[CODIGOS],LISTADO[CATEGORIA]),"NO EXISTE")</f>
        <v/>
      </c>
      <c r="D738" s="56">
        <f>IFERROR(_xlfn.XLOOKUP(SALIDAS[[#This Row],[CODIGO]],LISTADO[CODIGOS],LISTADO[PRODUCTOS]),"NO EXISTE")</f>
        <v/>
      </c>
      <c r="E738" s="19" t="n">
        <v>46098</v>
      </c>
      <c r="F738" s="18" t="n">
        <v>15</v>
      </c>
      <c r="G738" s="18" t="inlineStr">
        <is>
          <t>NAGUANAGUA 2</t>
        </is>
      </c>
    </row>
    <row r="739">
      <c r="B739" s="56" t="inlineStr">
        <is>
          <t>00038-ILU</t>
        </is>
      </c>
      <c r="C739" s="56">
        <f>IFERROR(_xlfn.XLOOKUP(SALIDAS[[#This Row],[CODIGO]],LISTADO[CODIGOS],LISTADO[CATEGORIA]),"NO EXISTE")</f>
        <v/>
      </c>
      <c r="D739" s="56">
        <f>IFERROR(_xlfn.XLOOKUP(SALIDAS[[#This Row],[CODIGO]],LISTADO[CODIGOS],LISTADO[PRODUCTOS]),"NO EXISTE")</f>
        <v/>
      </c>
      <c r="E739" s="19" t="n">
        <v>46098</v>
      </c>
      <c r="F739" s="18" t="n">
        <v>4</v>
      </c>
      <c r="G739" s="18" t="inlineStr">
        <is>
          <t>PARAPARAL</t>
        </is>
      </c>
    </row>
    <row r="740">
      <c r="B740" s="56" t="inlineStr">
        <is>
          <t>00010-ILU</t>
        </is>
      </c>
      <c r="C740" s="56">
        <f>IFERROR(_xlfn.XLOOKUP(SALIDAS[[#This Row],[CODIGO]],LISTADO[CODIGOS],LISTADO[CATEGORIA]),"NO EXISTE")</f>
        <v/>
      </c>
      <c r="D740" s="56">
        <f>IFERROR(_xlfn.XLOOKUP(SALIDAS[[#This Row],[CODIGO]],LISTADO[CODIGOS],LISTADO[PRODUCTOS]),"NO EXISTE")</f>
        <v/>
      </c>
      <c r="E740" s="19" t="n">
        <v>46098</v>
      </c>
      <c r="F740" s="18" t="n">
        <v>1</v>
      </c>
      <c r="G740" s="18" t="inlineStr">
        <is>
          <t>PARAPARAL</t>
        </is>
      </c>
    </row>
    <row r="741">
      <c r="B741" s="56" t="inlineStr">
        <is>
          <t>00074-FER</t>
        </is>
      </c>
      <c r="C741" s="56">
        <f>IFERROR(_xlfn.XLOOKUP(SALIDAS[[#This Row],[CODIGO]],LISTADO[CODIGOS],LISTADO[CATEGORIA]),"NO EXISTE")</f>
        <v/>
      </c>
      <c r="D741" s="56">
        <f>IFERROR(_xlfn.XLOOKUP(SALIDAS[[#This Row],[CODIGO]],LISTADO[CODIGOS],LISTADO[PRODUCTOS]),"NO EXISTE")</f>
        <v/>
      </c>
      <c r="E741" s="19" t="n">
        <v>46098</v>
      </c>
      <c r="F741" s="18" t="n">
        <v>2</v>
      </c>
      <c r="G741" s="18" t="inlineStr">
        <is>
          <t>AV. BOLIVAR</t>
        </is>
      </c>
    </row>
    <row r="742">
      <c r="B742" s="56" t="inlineStr">
        <is>
          <t>00024-FER</t>
        </is>
      </c>
      <c r="C742" s="56">
        <f>IFERROR(_xlfn.XLOOKUP(SALIDAS[[#This Row],[CODIGO]],LISTADO[CODIGOS],LISTADO[CATEGORIA]),"NO EXISTE")</f>
        <v/>
      </c>
      <c r="D742" s="56">
        <f>IFERROR(_xlfn.XLOOKUP(SALIDAS[[#This Row],[CODIGO]],LISTADO[CODIGOS],LISTADO[PRODUCTOS]),"NO EXISTE")</f>
        <v/>
      </c>
      <c r="E742" s="19" t="n">
        <v>46098</v>
      </c>
      <c r="F742" s="18" t="n">
        <v>1</v>
      </c>
      <c r="G742" s="18" t="inlineStr">
        <is>
          <t>AV. BOLIVAR</t>
        </is>
      </c>
    </row>
    <row r="743">
      <c r="B743" s="56" t="inlineStr">
        <is>
          <t>00001-PLM</t>
        </is>
      </c>
      <c r="C743" s="56">
        <f>IFERROR(_xlfn.XLOOKUP(SALIDAS[[#This Row],[CODIGO]],LISTADO[CODIGOS],LISTADO[CATEGORIA]),"NO EXISTE")</f>
        <v/>
      </c>
      <c r="D743" s="56">
        <f>IFERROR(_xlfn.XLOOKUP(SALIDAS[[#This Row],[CODIGO]],LISTADO[CODIGOS],LISTADO[PRODUCTOS]),"NO EXISTE")</f>
        <v/>
      </c>
      <c r="E743" s="19" t="n">
        <v>46098</v>
      </c>
      <c r="F743" s="18" t="n">
        <v>2</v>
      </c>
      <c r="G743" s="18" t="inlineStr">
        <is>
          <t>LAS FERIAS</t>
        </is>
      </c>
    </row>
    <row r="744">
      <c r="B744" s="56" t="inlineStr">
        <is>
          <t>00002-PLM</t>
        </is>
      </c>
      <c r="C744" s="56">
        <f>IFERROR(_xlfn.XLOOKUP(SALIDAS[[#This Row],[CODIGO]],LISTADO[CODIGOS],LISTADO[CATEGORIA]),"NO EXISTE")</f>
        <v/>
      </c>
      <c r="D744" s="56">
        <f>IFERROR(_xlfn.XLOOKUP(SALIDAS[[#This Row],[CODIGO]],LISTADO[CODIGOS],LISTADO[PRODUCTOS]),"NO EXISTE")</f>
        <v/>
      </c>
      <c r="E744" s="19" t="n">
        <v>46098</v>
      </c>
      <c r="F744" s="18" t="n">
        <v>2</v>
      </c>
      <c r="G744" s="18" t="inlineStr">
        <is>
          <t>LAS FERIAS</t>
        </is>
      </c>
    </row>
    <row r="745">
      <c r="B745" s="18" t="inlineStr">
        <is>
          <t>00068-ELE</t>
        </is>
      </c>
      <c r="C745" s="56">
        <f>IFERROR(_xlfn.XLOOKUP(SALIDAS[[#This Row],[CODIGO]],LISTADO[CODIGOS],LISTADO[CATEGORIA]),"NO EXISTE")</f>
        <v/>
      </c>
      <c r="D745" s="56">
        <f>IFERROR(_xlfn.XLOOKUP(SALIDAS[[#This Row],[CODIGO]],LISTADO[CODIGOS],LISTADO[PRODUCTOS]),"NO EXISTE")</f>
        <v/>
      </c>
      <c r="E745" s="19" t="n">
        <v>46098</v>
      </c>
      <c r="F745" s="18" t="n">
        <v>1</v>
      </c>
      <c r="G745" s="18" t="inlineStr">
        <is>
          <t>NAGUANAGUA 2</t>
        </is>
      </c>
    </row>
    <row r="746">
      <c r="B746" s="56" t="inlineStr">
        <is>
          <t>00006-PLM</t>
        </is>
      </c>
      <c r="C746" s="56">
        <f>IFERROR(_xlfn.XLOOKUP(SALIDAS[[#This Row],[CODIGO]],LISTADO[CODIGOS],LISTADO[CATEGORIA]),"NO EXISTE")</f>
        <v/>
      </c>
      <c r="D746" s="56">
        <f>IFERROR(_xlfn.XLOOKUP(SALIDAS[[#This Row],[CODIGO]],LISTADO[CODIGOS],LISTADO[PRODUCTOS]),"NO EXISTE")</f>
        <v/>
      </c>
      <c r="E746" s="19" t="n">
        <v>46098</v>
      </c>
      <c r="F746" s="18" t="n">
        <v>1</v>
      </c>
      <c r="G746" s="18" t="inlineStr">
        <is>
          <t xml:space="preserve">EL BOSQUE </t>
        </is>
      </c>
    </row>
    <row r="747">
      <c r="B747" s="56" t="inlineStr">
        <is>
          <t>00048-ELE</t>
        </is>
      </c>
      <c r="C747" s="56">
        <f>IFERROR(_xlfn.XLOOKUP(SALIDAS[[#This Row],[CODIGO]],LISTADO[CODIGOS],LISTADO[CATEGORIA]),"NO EXISTE")</f>
        <v/>
      </c>
      <c r="D747" s="56">
        <f>IFERROR(_xlfn.XLOOKUP(SALIDAS[[#This Row],[CODIGO]],LISTADO[CODIGOS],LISTADO[PRODUCTOS]),"NO EXISTE")</f>
        <v/>
      </c>
      <c r="E747" s="19" t="n">
        <v>46098</v>
      </c>
      <c r="F747" s="18" t="n">
        <v>6</v>
      </c>
      <c r="G747" s="18" t="inlineStr">
        <is>
          <t>NAGUANAGUA 2</t>
        </is>
      </c>
    </row>
    <row r="748">
      <c r="B748" s="56" t="inlineStr">
        <is>
          <t>00049-ELE</t>
        </is>
      </c>
      <c r="C748" s="56">
        <f>IFERROR(_xlfn.XLOOKUP(SALIDAS[[#This Row],[CODIGO]],LISTADO[CODIGOS],LISTADO[CATEGORIA]),"NO EXISTE")</f>
        <v/>
      </c>
      <c r="D748" s="56">
        <f>IFERROR(_xlfn.XLOOKUP(SALIDAS[[#This Row],[CODIGO]],LISTADO[CODIGOS],LISTADO[PRODUCTOS]),"NO EXISTE")</f>
        <v/>
      </c>
      <c r="E748" s="19" t="n">
        <v>46098</v>
      </c>
      <c r="F748" s="18" t="n">
        <v>1</v>
      </c>
      <c r="G748" s="18" t="inlineStr">
        <is>
          <t>NAGUANAGUA 2</t>
        </is>
      </c>
    </row>
    <row r="749">
      <c r="B749" s="18" t="inlineStr">
        <is>
          <t>00069-ELE</t>
        </is>
      </c>
      <c r="C749" s="56">
        <f>IFERROR(_xlfn.XLOOKUP(SALIDAS[[#This Row],[CODIGO]],LISTADO[CODIGOS],LISTADO[CATEGORIA]),"NO EXISTE")</f>
        <v/>
      </c>
      <c r="D749" s="56">
        <f>IFERROR(_xlfn.XLOOKUP(SALIDAS[[#This Row],[CODIGO]],LISTADO[CODIGOS],LISTADO[PRODUCTOS]),"NO EXISTE")</f>
        <v/>
      </c>
      <c r="E749" s="19" t="n">
        <v>46098</v>
      </c>
      <c r="F749" s="18" t="n">
        <v>1</v>
      </c>
      <c r="G749" s="18" t="inlineStr">
        <is>
          <t>NAGUANAGUA 2</t>
        </is>
      </c>
    </row>
    <row r="750">
      <c r="B750" s="56" t="inlineStr">
        <is>
          <t>00010-PLM</t>
        </is>
      </c>
      <c r="C750" s="56">
        <f>IFERROR(_xlfn.XLOOKUP(SALIDAS[[#This Row],[CODIGO]],LISTADO[CODIGOS],LISTADO[CATEGORIA]),"NO EXISTE")</f>
        <v/>
      </c>
      <c r="D750" s="56">
        <f>IFERROR(_xlfn.XLOOKUP(SALIDAS[[#This Row],[CODIGO]],LISTADO[CODIGOS],LISTADO[PRODUCTOS]),"NO EXISTE")</f>
        <v/>
      </c>
      <c r="E750" s="19" t="n">
        <v>46098</v>
      </c>
      <c r="F750" s="18" t="n">
        <v>1</v>
      </c>
      <c r="G750" s="18" t="inlineStr">
        <is>
          <t xml:space="preserve">EL BOSQUE </t>
        </is>
      </c>
    </row>
    <row r="751">
      <c r="B751" s="18" t="inlineStr">
        <is>
          <t>00158-FER</t>
        </is>
      </c>
      <c r="C751" s="56">
        <f>IFERROR(_xlfn.XLOOKUP(SALIDAS[[#This Row],[CODIGO]],LISTADO[CODIGOS],LISTADO[CATEGORIA]),"NO EXISTE")</f>
        <v/>
      </c>
      <c r="D751" s="56">
        <f>IFERROR(_xlfn.XLOOKUP(SALIDAS[[#This Row],[CODIGO]],LISTADO[CODIGOS],LISTADO[PRODUCTOS]),"NO EXISTE")</f>
        <v/>
      </c>
      <c r="E751" s="19" t="n">
        <v>46098</v>
      </c>
      <c r="F751" s="18" t="n">
        <v>4</v>
      </c>
      <c r="G751" s="18" t="inlineStr">
        <is>
          <t>CORPORATIVO</t>
        </is>
      </c>
    </row>
    <row r="752">
      <c r="B752" s="18" t="inlineStr">
        <is>
          <t>00159-FER</t>
        </is>
      </c>
      <c r="C752" s="56">
        <f>IFERROR(_xlfn.XLOOKUP(SALIDAS[[#This Row],[CODIGO]],LISTADO[CODIGOS],LISTADO[CATEGORIA]),"NO EXISTE")</f>
        <v/>
      </c>
      <c r="D752" s="56">
        <f>IFERROR(_xlfn.XLOOKUP(SALIDAS[[#This Row],[CODIGO]],LISTADO[CODIGOS],LISTADO[PRODUCTOS]),"NO EXISTE")</f>
        <v/>
      </c>
      <c r="E752" s="19" t="n">
        <v>46098</v>
      </c>
      <c r="F752" s="18" t="n">
        <v>1</v>
      </c>
      <c r="G752" s="18" t="inlineStr">
        <is>
          <t>PERIFERICO</t>
        </is>
      </c>
    </row>
    <row r="753">
      <c r="B753" s="56" t="inlineStr">
        <is>
          <t>00061-REF</t>
        </is>
      </c>
      <c r="C753" s="56">
        <f>IFERROR(_xlfn.XLOOKUP(SALIDAS[[#This Row],[CODIGO]],LISTADO[CODIGOS],LISTADO[CATEGORIA]),"NO EXISTE")</f>
        <v/>
      </c>
      <c r="D753" s="56">
        <f>IFERROR(_xlfn.XLOOKUP(SALIDAS[[#This Row],[CODIGO]],LISTADO[CODIGOS],LISTADO[PRODUCTOS]),"NO EXISTE")</f>
        <v/>
      </c>
      <c r="E753" s="19" t="n">
        <v>46098</v>
      </c>
      <c r="F753" s="18" t="n">
        <v>2</v>
      </c>
      <c r="G753" s="18" t="inlineStr">
        <is>
          <t>MAYOR</t>
        </is>
      </c>
    </row>
    <row r="754">
      <c r="B754" s="56" t="inlineStr">
        <is>
          <t>00047-FER</t>
        </is>
      </c>
      <c r="C754" s="56">
        <f>IFERROR(_xlfn.XLOOKUP(SALIDAS[[#This Row],[CODIGO]],LISTADO[CODIGOS],LISTADO[CATEGORIA]),"NO EXISTE")</f>
        <v/>
      </c>
      <c r="D754" s="56">
        <f>IFERROR(_xlfn.XLOOKUP(SALIDAS[[#This Row],[CODIGO]],LISTADO[CODIGOS],LISTADO[PRODUCTOS]),"NO EXISTE")</f>
        <v/>
      </c>
      <c r="E754" s="19" t="n">
        <v>46098</v>
      </c>
      <c r="F754" s="18" t="n">
        <v>1</v>
      </c>
      <c r="G754" s="18" t="inlineStr">
        <is>
          <t>AV. BOLIVAR</t>
        </is>
      </c>
    </row>
    <row r="755">
      <c r="B755" s="56" t="inlineStr">
        <is>
          <t>00048-FER</t>
        </is>
      </c>
      <c r="C755" s="56">
        <f>IFERROR(_xlfn.XLOOKUP(SALIDAS[[#This Row],[CODIGO]],LISTADO[CODIGOS],LISTADO[CATEGORIA]),"NO EXISTE")</f>
        <v/>
      </c>
      <c r="D755" s="56">
        <f>IFERROR(_xlfn.XLOOKUP(SALIDAS[[#This Row],[CODIGO]],LISTADO[CODIGOS],LISTADO[PRODUCTOS]),"NO EXISTE")</f>
        <v/>
      </c>
      <c r="E755" s="19" t="n">
        <v>46098</v>
      </c>
      <c r="F755" s="18" t="n">
        <v>1</v>
      </c>
      <c r="G755" s="18" t="inlineStr">
        <is>
          <t>AV. BOLIVAR</t>
        </is>
      </c>
    </row>
    <row r="756">
      <c r="B756" s="56" t="inlineStr">
        <is>
          <t>00052-FER</t>
        </is>
      </c>
      <c r="C756" s="56">
        <f>IFERROR(_xlfn.XLOOKUP(SALIDAS[[#This Row],[CODIGO]],LISTADO[CODIGOS],LISTADO[CATEGORIA]),"NO EXISTE")</f>
        <v/>
      </c>
      <c r="D756" s="56">
        <f>IFERROR(_xlfn.XLOOKUP(SALIDAS[[#This Row],[CODIGO]],LISTADO[CODIGOS],LISTADO[PRODUCTOS]),"NO EXISTE")</f>
        <v/>
      </c>
      <c r="E756" s="19" t="n">
        <v>46098</v>
      </c>
      <c r="F756" s="18" t="n">
        <v>0.5</v>
      </c>
      <c r="G756" s="18" t="inlineStr">
        <is>
          <t>AV. BOLIVAR</t>
        </is>
      </c>
    </row>
    <row r="757">
      <c r="B757" s="56" t="inlineStr">
        <is>
          <t>00050-FER</t>
        </is>
      </c>
      <c r="C757" s="56">
        <f>IFERROR(_xlfn.XLOOKUP(SALIDAS[[#This Row],[CODIGO]],LISTADO[CODIGOS],LISTADO[CATEGORIA]),"NO EXISTE")</f>
        <v/>
      </c>
      <c r="D757" s="56">
        <f>IFERROR(_xlfn.XLOOKUP(SALIDAS[[#This Row],[CODIGO]],LISTADO[CODIGOS],LISTADO[PRODUCTOS]),"NO EXISTE")</f>
        <v/>
      </c>
      <c r="E757" s="19" t="n">
        <v>46098</v>
      </c>
      <c r="F757" s="18" t="n">
        <v>1</v>
      </c>
      <c r="G757" s="18" t="inlineStr">
        <is>
          <t>AV. BOLIVAR</t>
        </is>
      </c>
    </row>
    <row r="758">
      <c r="B758" s="56" t="inlineStr">
        <is>
          <t>00041-FER</t>
        </is>
      </c>
      <c r="C758" s="56">
        <f>IFERROR(_xlfn.XLOOKUP(SALIDAS[[#This Row],[CODIGO]],LISTADO[CODIGOS],LISTADO[CATEGORIA]),"NO EXISTE")</f>
        <v/>
      </c>
      <c r="D758" s="56">
        <f>IFERROR(_xlfn.XLOOKUP(SALIDAS[[#This Row],[CODIGO]],LISTADO[CODIGOS],LISTADO[PRODUCTOS]),"NO EXISTE")</f>
        <v/>
      </c>
      <c r="E758" s="19" t="n">
        <v>46098</v>
      </c>
      <c r="F758" s="18" t="n">
        <v>3</v>
      </c>
      <c r="G758" s="18" t="inlineStr">
        <is>
          <t>AV. BOLIVAR</t>
        </is>
      </c>
    </row>
    <row r="759">
      <c r="B759" s="56" t="inlineStr">
        <is>
          <t>00028-FER</t>
        </is>
      </c>
      <c r="C759" s="56">
        <f>IFERROR(_xlfn.XLOOKUP(SALIDAS[[#This Row],[CODIGO]],LISTADO[CODIGOS],LISTADO[CATEGORIA]),"NO EXISTE")</f>
        <v/>
      </c>
      <c r="D759" s="56">
        <f>IFERROR(_xlfn.XLOOKUP(SALIDAS[[#This Row],[CODIGO]],LISTADO[CODIGOS],LISTADO[PRODUCTOS]),"NO EXISTE")</f>
        <v/>
      </c>
      <c r="E759" s="19" t="n">
        <v>46098</v>
      </c>
      <c r="F759" s="18" t="n">
        <v>3</v>
      </c>
      <c r="G759" s="18" t="inlineStr">
        <is>
          <t>AV. BOLIVAR</t>
        </is>
      </c>
    </row>
    <row r="760">
      <c r="B760" s="56" t="inlineStr">
        <is>
          <t>00005-HRR</t>
        </is>
      </c>
      <c r="C760" s="56">
        <f>IFERROR(_xlfn.XLOOKUP(SALIDAS[[#This Row],[CODIGO]],LISTADO[CODIGOS],LISTADO[CATEGORIA]),"NO EXISTE")</f>
        <v/>
      </c>
      <c r="D760" s="56">
        <f>IFERROR(_xlfn.XLOOKUP(SALIDAS[[#This Row],[CODIGO]],LISTADO[CODIGOS],LISTADO[PRODUCTOS]),"NO EXISTE")</f>
        <v/>
      </c>
      <c r="E760" s="19" t="n">
        <v>46099</v>
      </c>
      <c r="F760" s="18" t="n">
        <v>3</v>
      </c>
      <c r="G760" s="18" t="inlineStr">
        <is>
          <t>LA VIÑA</t>
        </is>
      </c>
    </row>
    <row r="761">
      <c r="B761" s="56" t="inlineStr">
        <is>
          <t>00007-HRR</t>
        </is>
      </c>
      <c r="C761" s="56">
        <f>IFERROR(_xlfn.XLOOKUP(SALIDAS[[#This Row],[CODIGO]],LISTADO[CODIGOS],LISTADO[CATEGORIA]),"NO EXISTE")</f>
        <v/>
      </c>
      <c r="D761" s="56">
        <f>IFERROR(_xlfn.XLOOKUP(SALIDAS[[#This Row],[CODIGO]],LISTADO[CODIGOS],LISTADO[PRODUCTOS]),"NO EXISTE")</f>
        <v/>
      </c>
      <c r="E761" s="19" t="n">
        <v>46099</v>
      </c>
      <c r="F761" s="18" t="n">
        <v>4</v>
      </c>
      <c r="G761" s="18" t="inlineStr">
        <is>
          <t>LA VIÑA</t>
        </is>
      </c>
    </row>
    <row r="762">
      <c r="B762" s="18" t="inlineStr">
        <is>
          <t>00001-HRR</t>
        </is>
      </c>
      <c r="C762" s="56">
        <f>IFERROR(_xlfn.XLOOKUP(SALIDAS[[#This Row],[CODIGO]],LISTADO[CODIGOS],LISTADO[CATEGORIA]),"NO EXISTE")</f>
        <v/>
      </c>
      <c r="D762" s="56">
        <f>IFERROR(_xlfn.XLOOKUP(SALIDAS[[#This Row],[CODIGO]],LISTADO[CODIGOS],LISTADO[PRODUCTOS]),"NO EXISTE")</f>
        <v/>
      </c>
      <c r="E762" s="19" t="n">
        <v>46099</v>
      </c>
      <c r="F762" s="18" t="n">
        <v>1</v>
      </c>
      <c r="G762" s="18" t="inlineStr">
        <is>
          <t>LA VIÑA</t>
        </is>
      </c>
    </row>
    <row r="763">
      <c r="B763" s="56" t="inlineStr">
        <is>
          <t>00028-FER</t>
        </is>
      </c>
      <c r="C763" s="56">
        <f>IFERROR(_xlfn.XLOOKUP(SALIDAS[[#This Row],[CODIGO]],LISTADO[CODIGOS],LISTADO[CATEGORIA]),"NO EXISTE")</f>
        <v/>
      </c>
      <c r="D763" s="56">
        <f>IFERROR(_xlfn.XLOOKUP(SALIDAS[[#This Row],[CODIGO]],LISTADO[CODIGOS],LISTADO[PRODUCTOS]),"NO EXISTE")</f>
        <v/>
      </c>
      <c r="E763" s="19" t="n">
        <v>46099</v>
      </c>
      <c r="F763" s="18" t="n">
        <v>1</v>
      </c>
      <c r="G763" s="18" t="inlineStr">
        <is>
          <t>LA VIÑA</t>
        </is>
      </c>
    </row>
    <row r="764">
      <c r="B764" s="56" t="inlineStr">
        <is>
          <t>00004-FER</t>
        </is>
      </c>
      <c r="C764" s="56">
        <f>IFERROR(_xlfn.XLOOKUP(SALIDAS[[#This Row],[CODIGO]],LISTADO[CODIGOS],LISTADO[CATEGORIA]),"NO EXISTE")</f>
        <v/>
      </c>
      <c r="D764" s="56">
        <f>IFERROR(_xlfn.XLOOKUP(SALIDAS[[#This Row],[CODIGO]],LISTADO[CODIGOS],LISTADO[PRODUCTOS]),"NO EXISTE")</f>
        <v/>
      </c>
      <c r="E764" s="19" t="n">
        <v>46099</v>
      </c>
      <c r="F764" s="18" t="n">
        <v>1000</v>
      </c>
      <c r="G764" s="18" t="inlineStr">
        <is>
          <t>LA VIÑA</t>
        </is>
      </c>
    </row>
    <row r="765">
      <c r="B765" s="56" t="inlineStr">
        <is>
          <t>00084-FER</t>
        </is>
      </c>
      <c r="C765" s="56">
        <f>IFERROR(_xlfn.XLOOKUP(SALIDAS[[#This Row],[CODIGO]],LISTADO[CODIGOS],LISTADO[CATEGORIA]),"NO EXISTE")</f>
        <v/>
      </c>
      <c r="D765" s="56">
        <f>IFERROR(_xlfn.XLOOKUP(SALIDAS[[#This Row],[CODIGO]],LISTADO[CODIGOS],LISTADO[PRODUCTOS]),"NO EXISTE")</f>
        <v/>
      </c>
      <c r="E765" s="19" t="n">
        <v>46099</v>
      </c>
      <c r="F765" s="18" t="n">
        <v>200</v>
      </c>
      <c r="G765" s="18" t="inlineStr">
        <is>
          <t>PERIFERICO</t>
        </is>
      </c>
    </row>
    <row r="766">
      <c r="B766" s="56" t="inlineStr">
        <is>
          <t>00083-FER</t>
        </is>
      </c>
      <c r="C766" s="56">
        <f>IFERROR(_xlfn.XLOOKUP(SALIDAS[[#This Row],[CODIGO]],LISTADO[CODIGOS],LISTADO[CATEGORIA]),"NO EXISTE")</f>
        <v/>
      </c>
      <c r="D766" s="56">
        <f>IFERROR(_xlfn.XLOOKUP(SALIDAS[[#This Row],[CODIGO]],LISTADO[CODIGOS],LISTADO[PRODUCTOS]),"NO EXISTE")</f>
        <v/>
      </c>
      <c r="E766" s="19" t="n">
        <v>46099</v>
      </c>
      <c r="F766" s="18" t="n">
        <v>190</v>
      </c>
      <c r="G766" s="18" t="inlineStr">
        <is>
          <t>LA VIÑA</t>
        </is>
      </c>
    </row>
    <row r="767">
      <c r="B767" s="56" t="inlineStr">
        <is>
          <t>00085-FER</t>
        </is>
      </c>
      <c r="C767" s="56">
        <f>IFERROR(_xlfn.XLOOKUP(SALIDAS[[#This Row],[CODIGO]],LISTADO[CODIGOS],LISTADO[CATEGORIA]),"NO EXISTE")</f>
        <v/>
      </c>
      <c r="D767" s="56">
        <f>IFERROR(_xlfn.XLOOKUP(SALIDAS[[#This Row],[CODIGO]],LISTADO[CODIGOS],LISTADO[PRODUCTOS]),"NO EXISTE")</f>
        <v/>
      </c>
      <c r="E767" s="19" t="n">
        <v>46099</v>
      </c>
      <c r="F767" s="18" t="n">
        <v>100</v>
      </c>
      <c r="G767" s="18" t="inlineStr">
        <is>
          <t>LA VIÑA</t>
        </is>
      </c>
    </row>
    <row r="768">
      <c r="B768" s="56" t="inlineStr">
        <is>
          <t>00050-HRR</t>
        </is>
      </c>
      <c r="C768" s="56">
        <f>IFERROR(_xlfn.XLOOKUP(SALIDAS[[#This Row],[CODIGO]],LISTADO[CODIGOS],LISTADO[CATEGORIA]),"NO EXISTE")</f>
        <v/>
      </c>
      <c r="D768" s="56">
        <f>IFERROR(_xlfn.XLOOKUP(SALIDAS[[#This Row],[CODIGO]],LISTADO[CODIGOS],LISTADO[PRODUCTOS]),"NO EXISTE")</f>
        <v/>
      </c>
      <c r="E768" s="19" t="n">
        <v>46099</v>
      </c>
      <c r="F768" s="18" t="n">
        <v>10</v>
      </c>
      <c r="G768" s="18" t="inlineStr">
        <is>
          <t>LA VIÑA</t>
        </is>
      </c>
    </row>
    <row r="769">
      <c r="B769" s="18" t="inlineStr">
        <is>
          <t>00042-HRR</t>
        </is>
      </c>
      <c r="C769" s="56">
        <f>IFERROR(_xlfn.XLOOKUP(SALIDAS[[#This Row],[CODIGO]],LISTADO[CODIGOS],LISTADO[CATEGORIA]),"NO EXISTE")</f>
        <v/>
      </c>
      <c r="D769" s="56">
        <f>IFERROR(_xlfn.XLOOKUP(SALIDAS[[#This Row],[CODIGO]],LISTADO[CODIGOS],LISTADO[PRODUCTOS]),"NO EXISTE")</f>
        <v/>
      </c>
      <c r="E769" s="19" t="n">
        <v>46099</v>
      </c>
      <c r="F769" s="18" t="n">
        <v>5</v>
      </c>
      <c r="G769" s="18" t="inlineStr">
        <is>
          <t>LA VIÑA</t>
        </is>
      </c>
    </row>
    <row r="770">
      <c r="B770" s="56" t="inlineStr">
        <is>
          <t>00041-HRR</t>
        </is>
      </c>
      <c r="C770" s="56">
        <f>IFERROR(_xlfn.XLOOKUP(SALIDAS[[#This Row],[CODIGO]],LISTADO[CODIGOS],LISTADO[CATEGORIA]),"NO EXISTE")</f>
        <v/>
      </c>
      <c r="D770" s="56">
        <f>IFERROR(_xlfn.XLOOKUP(SALIDAS[[#This Row],[CODIGO]],LISTADO[CODIGOS],LISTADO[PRODUCTOS]),"NO EXISTE")</f>
        <v/>
      </c>
      <c r="E770" s="19" t="n">
        <v>46099</v>
      </c>
      <c r="F770" s="18" t="n">
        <v>15</v>
      </c>
      <c r="G770" s="18" t="inlineStr">
        <is>
          <t>LA VIÑA</t>
        </is>
      </c>
    </row>
    <row r="771">
      <c r="B771" s="18" t="inlineStr">
        <is>
          <t>00160-FER</t>
        </is>
      </c>
      <c r="C771" s="56">
        <f>IFERROR(_xlfn.XLOOKUP(SALIDAS[[#This Row],[CODIGO]],LISTADO[CODIGOS],LISTADO[CATEGORIA]),"NO EXISTE")</f>
        <v/>
      </c>
      <c r="D771" s="56">
        <f>IFERROR(_xlfn.XLOOKUP(SALIDAS[[#This Row],[CODIGO]],LISTADO[CODIGOS],LISTADO[PRODUCTOS]),"NO EXISTE")</f>
        <v/>
      </c>
      <c r="E771" s="19" t="n">
        <v>46099</v>
      </c>
      <c r="F771" s="18" t="n">
        <v>12</v>
      </c>
      <c r="G771" s="18" t="inlineStr">
        <is>
          <t>LA VIÑA</t>
        </is>
      </c>
    </row>
    <row r="772">
      <c r="B772" s="18" t="inlineStr">
        <is>
          <t>00161-FER</t>
        </is>
      </c>
      <c r="C772" s="56">
        <f>IFERROR(_xlfn.XLOOKUP(SALIDAS[[#This Row],[CODIGO]],LISTADO[CODIGOS],LISTADO[CATEGORIA]),"NO EXISTE")</f>
        <v/>
      </c>
      <c r="D772" s="56">
        <f>IFERROR(_xlfn.XLOOKUP(SALIDAS[[#This Row],[CODIGO]],LISTADO[CODIGOS],LISTADO[PRODUCTOS]),"NO EXISTE")</f>
        <v/>
      </c>
      <c r="E772" s="19" t="n">
        <v>46099</v>
      </c>
      <c r="F772" s="18" t="n">
        <v>6</v>
      </c>
      <c r="G772" s="18" t="inlineStr">
        <is>
          <t>LA VIÑA</t>
        </is>
      </c>
    </row>
    <row r="773">
      <c r="B773" s="18" t="inlineStr">
        <is>
          <t>00162-FER</t>
        </is>
      </c>
      <c r="C773" s="56">
        <f>IFERROR(_xlfn.XLOOKUP(SALIDAS[[#This Row],[CODIGO]],LISTADO[CODIGOS],LISTADO[CATEGORIA]),"NO EXISTE")</f>
        <v/>
      </c>
      <c r="D773" s="56">
        <f>IFERROR(_xlfn.XLOOKUP(SALIDAS[[#This Row],[CODIGO]],LISTADO[CODIGOS],LISTADO[PRODUCTOS]),"NO EXISTE")</f>
        <v/>
      </c>
      <c r="E773" s="19" t="n">
        <v>46099</v>
      </c>
      <c r="F773" s="18" t="n">
        <v>6</v>
      </c>
      <c r="G773" s="18" t="inlineStr">
        <is>
          <t>LA VIÑA</t>
        </is>
      </c>
    </row>
    <row r="774">
      <c r="B774" s="56" t="inlineStr">
        <is>
          <t>00052-PLM</t>
        </is>
      </c>
      <c r="C774" s="56">
        <f>IFERROR(_xlfn.XLOOKUP(SALIDAS[[#This Row],[CODIGO]],LISTADO[CODIGOS],LISTADO[CATEGORIA]),"NO EXISTE")</f>
        <v/>
      </c>
      <c r="D774" s="56">
        <f>IFERROR(_xlfn.XLOOKUP(SALIDAS[[#This Row],[CODIGO]],LISTADO[CODIGOS],LISTADO[PRODUCTOS]),"NO EXISTE")</f>
        <v/>
      </c>
      <c r="E774" s="19" t="n">
        <v>46099</v>
      </c>
      <c r="F774" s="18" t="n">
        <v>2</v>
      </c>
      <c r="G774" s="18" t="inlineStr">
        <is>
          <t>NAGUANAGUA 2</t>
        </is>
      </c>
    </row>
    <row r="775">
      <c r="B775" s="18" t="inlineStr">
        <is>
          <t>00049-PLM</t>
        </is>
      </c>
      <c r="C775" s="56">
        <f>IFERROR(_xlfn.XLOOKUP(SALIDAS[[#This Row],[CODIGO]],LISTADO[CODIGOS],LISTADO[CATEGORIA]),"NO EXISTE")</f>
        <v/>
      </c>
      <c r="D775" s="56">
        <f>IFERROR(_xlfn.XLOOKUP(SALIDAS[[#This Row],[CODIGO]],LISTADO[CODIGOS],LISTADO[PRODUCTOS]),"NO EXISTE")</f>
        <v/>
      </c>
      <c r="E775" s="19" t="n">
        <v>46099</v>
      </c>
      <c r="F775" s="18" t="n">
        <v>2</v>
      </c>
      <c r="G775" s="18" t="inlineStr">
        <is>
          <t>NAGUANAGUA 2</t>
        </is>
      </c>
    </row>
    <row r="776">
      <c r="B776" s="18" t="inlineStr">
        <is>
          <t>00053-PLM</t>
        </is>
      </c>
      <c r="C776" s="56">
        <f>IFERROR(_xlfn.XLOOKUP(SALIDAS[[#This Row],[CODIGO]],LISTADO[CODIGOS],LISTADO[CATEGORIA]),"NO EXISTE")</f>
        <v/>
      </c>
      <c r="D776" s="56">
        <f>IFERROR(_xlfn.XLOOKUP(SALIDAS[[#This Row],[CODIGO]],LISTADO[CODIGOS],LISTADO[PRODUCTOS]),"NO EXISTE")</f>
        <v/>
      </c>
      <c r="E776" s="19" t="n">
        <v>46099</v>
      </c>
      <c r="F776" s="18" t="n">
        <v>2</v>
      </c>
      <c r="G776" s="18" t="inlineStr">
        <is>
          <t>NAGUANAGUA 2</t>
        </is>
      </c>
    </row>
    <row r="777">
      <c r="B777" s="18" t="inlineStr">
        <is>
          <t>00058-HRR</t>
        </is>
      </c>
      <c r="C777" s="56">
        <f>IFERROR(_xlfn.XLOOKUP(SALIDAS[[#This Row],[CODIGO]],LISTADO[CODIGOS],LISTADO[CATEGORIA]),"NO EXISTE")</f>
        <v/>
      </c>
      <c r="D777" s="56">
        <f>IFERROR(_xlfn.XLOOKUP(SALIDAS[[#This Row],[CODIGO]],LISTADO[CODIGOS],LISTADO[PRODUCTOS]),"NO EXISTE")</f>
        <v/>
      </c>
      <c r="E777" s="19" t="n">
        <v>46099</v>
      </c>
      <c r="F777" s="18" t="n">
        <v>4</v>
      </c>
      <c r="G777" s="18" t="inlineStr">
        <is>
          <t>NAGUANAGUA 2</t>
        </is>
      </c>
    </row>
    <row r="778">
      <c r="B778" s="56" t="inlineStr">
        <is>
          <t>00039-PLM</t>
        </is>
      </c>
      <c r="C778" s="56">
        <f>IFERROR(_xlfn.XLOOKUP(SALIDAS[[#This Row],[CODIGO]],LISTADO[CODIGOS],LISTADO[CATEGORIA]),"NO EXISTE")</f>
        <v/>
      </c>
      <c r="D778" s="56">
        <f>IFERROR(_xlfn.XLOOKUP(SALIDAS[[#This Row],[CODIGO]],LISTADO[CODIGOS],LISTADO[PRODUCTOS]),"NO EXISTE")</f>
        <v/>
      </c>
      <c r="E778" s="19" t="n">
        <v>46099</v>
      </c>
      <c r="F778" s="18" t="n">
        <v>4</v>
      </c>
      <c r="G778" s="18" t="inlineStr">
        <is>
          <t>NAGUANAGUA 2</t>
        </is>
      </c>
    </row>
    <row r="779">
      <c r="B779" s="56" t="inlineStr">
        <is>
          <t>00020-HRR</t>
        </is>
      </c>
      <c r="C779" s="56">
        <f>IFERROR(_xlfn.XLOOKUP(SALIDAS[[#This Row],[CODIGO]],LISTADO[CODIGOS],LISTADO[CATEGORIA]),"NO EXISTE")</f>
        <v/>
      </c>
      <c r="D779" s="56">
        <f>IFERROR(_xlfn.XLOOKUP(SALIDAS[[#This Row],[CODIGO]],LISTADO[CODIGOS],LISTADO[PRODUCTOS]),"NO EXISTE")</f>
        <v/>
      </c>
      <c r="E779" s="19" t="n">
        <v>46099</v>
      </c>
      <c r="F779" s="18" t="n">
        <v>4</v>
      </c>
      <c r="G779" s="18" t="inlineStr">
        <is>
          <t>NAGUANAGUA 2</t>
        </is>
      </c>
    </row>
    <row r="780">
      <c r="B780" s="56" t="inlineStr">
        <is>
          <t>00016-HRR</t>
        </is>
      </c>
      <c r="C780" s="56">
        <f>IFERROR(_xlfn.XLOOKUP(SALIDAS[[#This Row],[CODIGO]],LISTADO[CODIGOS],LISTADO[CATEGORIA]),"NO EXISTE")</f>
        <v/>
      </c>
      <c r="D780" s="56">
        <f>IFERROR(_xlfn.XLOOKUP(SALIDAS[[#This Row],[CODIGO]],LISTADO[CODIGOS],LISTADO[PRODUCTOS]),"NO EXISTE")</f>
        <v/>
      </c>
      <c r="E780" s="19" t="n">
        <v>46099</v>
      </c>
      <c r="F780" s="18" t="n">
        <v>4</v>
      </c>
      <c r="G780" s="18" t="inlineStr">
        <is>
          <t>NAGUANAGUA 2</t>
        </is>
      </c>
    </row>
    <row r="781">
      <c r="B781" s="56" t="inlineStr">
        <is>
          <t>00142-FER</t>
        </is>
      </c>
      <c r="C781" s="56">
        <f>IFERROR(_xlfn.XLOOKUP(SALIDAS[[#This Row],[CODIGO]],LISTADO[CODIGOS],LISTADO[CATEGORIA]),"NO EXISTE")</f>
        <v/>
      </c>
      <c r="D781" s="56">
        <f>IFERROR(_xlfn.XLOOKUP(SALIDAS[[#This Row],[CODIGO]],LISTADO[CODIGOS],LISTADO[PRODUCTOS]),"NO EXISTE")</f>
        <v/>
      </c>
      <c r="E781" s="19" t="n">
        <v>46099</v>
      </c>
      <c r="F781" s="18" t="n">
        <v>1</v>
      </c>
      <c r="G781" s="18" t="inlineStr">
        <is>
          <t>NAGUANAGUA 2</t>
        </is>
      </c>
    </row>
    <row r="782">
      <c r="B782" s="56" t="inlineStr">
        <is>
          <t>00019-HRR</t>
        </is>
      </c>
      <c r="C782" s="56">
        <f>IFERROR(_xlfn.XLOOKUP(SALIDAS[[#This Row],[CODIGO]],LISTADO[CODIGOS],LISTADO[CATEGORIA]),"NO EXISTE")</f>
        <v/>
      </c>
      <c r="D782" s="56">
        <f>IFERROR(_xlfn.XLOOKUP(SALIDAS[[#This Row],[CODIGO]],LISTADO[CODIGOS],LISTADO[PRODUCTOS]),"NO EXISTE")</f>
        <v/>
      </c>
      <c r="E782" s="19" t="n">
        <v>46099</v>
      </c>
      <c r="F782" s="18" t="n">
        <v>1</v>
      </c>
      <c r="G782" s="18" t="inlineStr">
        <is>
          <t>NAGUANAGUA 2</t>
        </is>
      </c>
    </row>
    <row r="783">
      <c r="B783" s="56" t="inlineStr">
        <is>
          <t>00018-MSC</t>
        </is>
      </c>
      <c r="C783" s="56">
        <f>IFERROR(_xlfn.XLOOKUP(SALIDAS[[#This Row],[CODIGO]],LISTADO[CODIGOS],LISTADO[CATEGORIA]),"NO EXISTE")</f>
        <v/>
      </c>
      <c r="D783" s="56">
        <f>IFERROR(_xlfn.XLOOKUP(SALIDAS[[#This Row],[CODIGO]],LISTADO[CODIGOS],LISTADO[PRODUCTOS]),"NO EXISTE")</f>
        <v/>
      </c>
      <c r="E783" s="19" t="n">
        <v>46099</v>
      </c>
      <c r="F783" s="18" t="n">
        <v>2</v>
      </c>
      <c r="G783" s="18" t="inlineStr">
        <is>
          <t>NAGUANAGUA 2</t>
        </is>
      </c>
    </row>
    <row r="784">
      <c r="B784" s="18" t="inlineStr">
        <is>
          <t>00042-ILU</t>
        </is>
      </c>
      <c r="C784" s="56">
        <f>IFERROR(_xlfn.XLOOKUP(SALIDAS[[#This Row],[CODIGO]],LISTADO[CODIGOS],LISTADO[CATEGORIA]),"NO EXISTE")</f>
        <v/>
      </c>
      <c r="D784" s="56">
        <f>IFERROR(_xlfn.XLOOKUP(SALIDAS[[#This Row],[CODIGO]],LISTADO[CODIGOS],LISTADO[PRODUCTOS]),"NO EXISTE")</f>
        <v/>
      </c>
      <c r="E784" s="19" t="n">
        <v>46099</v>
      </c>
      <c r="F784" s="18" t="n">
        <v>6</v>
      </c>
      <c r="G784" s="18" t="inlineStr">
        <is>
          <t xml:space="preserve">EL BOSQUE </t>
        </is>
      </c>
    </row>
    <row r="785">
      <c r="B785" s="56" t="inlineStr">
        <is>
          <t>00031-ILU</t>
        </is>
      </c>
      <c r="C785" s="56">
        <f>IFERROR(_xlfn.XLOOKUP(SALIDAS[[#This Row],[CODIGO]],LISTADO[CODIGOS],LISTADO[CATEGORIA]),"NO EXISTE")</f>
        <v/>
      </c>
      <c r="D785" s="56">
        <f>IFERROR(_xlfn.XLOOKUP(SALIDAS[[#This Row],[CODIGO]],LISTADO[CODIGOS],LISTADO[PRODUCTOS]),"NO EXISTE")</f>
        <v/>
      </c>
      <c r="E785" s="19" t="n">
        <v>46099</v>
      </c>
      <c r="F785" s="18" t="n">
        <v>2</v>
      </c>
      <c r="G785" s="18" t="inlineStr">
        <is>
          <t>MAÑONGO</t>
        </is>
      </c>
    </row>
    <row r="786">
      <c r="B786" s="56" t="inlineStr">
        <is>
          <t>00027-ILU</t>
        </is>
      </c>
      <c r="C786" s="56">
        <f>IFERROR(_xlfn.XLOOKUP(SALIDAS[[#This Row],[CODIGO]],LISTADO[CODIGOS],LISTADO[CATEGORIA]),"NO EXISTE")</f>
        <v/>
      </c>
      <c r="D786" s="56">
        <f>IFERROR(_xlfn.XLOOKUP(SALIDAS[[#This Row],[CODIGO]],LISTADO[CODIGOS],LISTADO[PRODUCTOS]),"NO EXISTE")</f>
        <v/>
      </c>
      <c r="E786" s="19" t="n">
        <v>46099</v>
      </c>
      <c r="F786" s="18" t="n">
        <v>2</v>
      </c>
      <c r="G786" s="18" t="inlineStr">
        <is>
          <t>MAÑONGO</t>
        </is>
      </c>
    </row>
    <row r="787">
      <c r="B787" s="56" t="inlineStr">
        <is>
          <t>00001-REF</t>
        </is>
      </c>
      <c r="C787" s="56">
        <f>IFERROR(_xlfn.XLOOKUP(SALIDAS[[#This Row],[CODIGO]],LISTADO[CODIGOS],LISTADO[CATEGORIA]),"NO EXISTE")</f>
        <v/>
      </c>
      <c r="D787" s="56">
        <f>IFERROR(_xlfn.XLOOKUP(SALIDAS[[#This Row],[CODIGO]],LISTADO[CODIGOS],LISTADO[PRODUCTOS]),"NO EXISTE")</f>
        <v/>
      </c>
      <c r="E787" s="19" t="n">
        <v>46099</v>
      </c>
      <c r="F787" s="18" t="n">
        <v>2</v>
      </c>
      <c r="G787" s="18" t="inlineStr">
        <is>
          <t>NAGUANAGUA 2</t>
        </is>
      </c>
    </row>
    <row r="788">
      <c r="B788" s="56" t="inlineStr">
        <is>
          <t>00023-FER</t>
        </is>
      </c>
      <c r="C788" s="56">
        <f>IFERROR(_xlfn.XLOOKUP(SALIDAS[[#This Row],[CODIGO]],LISTADO[CODIGOS],LISTADO[CATEGORIA]),"NO EXISTE")</f>
        <v/>
      </c>
      <c r="D788" s="56">
        <f>IFERROR(_xlfn.XLOOKUP(SALIDAS[[#This Row],[CODIGO]],LISTADO[CODIGOS],LISTADO[PRODUCTOS]),"NO EXISTE")</f>
        <v/>
      </c>
      <c r="E788" s="19" t="n">
        <v>46099</v>
      </c>
      <c r="F788" s="18" t="n">
        <v>2</v>
      </c>
      <c r="G788" s="18" t="inlineStr">
        <is>
          <t>PARAPARAL</t>
        </is>
      </c>
    </row>
    <row r="789">
      <c r="B789" s="56" t="inlineStr">
        <is>
          <t>00035-REF</t>
        </is>
      </c>
      <c r="C789" s="56">
        <f>IFERROR(_xlfn.XLOOKUP(SALIDAS[[#This Row],[CODIGO]],LISTADO[CODIGOS],LISTADO[CATEGORIA]),"NO EXISTE")</f>
        <v/>
      </c>
      <c r="D789" s="56">
        <f>IFERROR(_xlfn.XLOOKUP(SALIDAS[[#This Row],[CODIGO]],LISTADO[CODIGOS],LISTADO[PRODUCTOS]),"NO EXISTE")</f>
        <v/>
      </c>
      <c r="E789" s="19" t="n">
        <v>46099</v>
      </c>
      <c r="F789" s="18" t="n">
        <v>2</v>
      </c>
      <c r="G789" s="18" t="inlineStr">
        <is>
          <t>NAGUANAGUA 2</t>
        </is>
      </c>
    </row>
    <row r="790">
      <c r="B790" s="56" t="inlineStr">
        <is>
          <t>00023-FER</t>
        </is>
      </c>
      <c r="C790" s="56">
        <f>IFERROR(_xlfn.XLOOKUP(SALIDAS[[#This Row],[CODIGO]],LISTADO[CODIGOS],LISTADO[CATEGORIA]),"NO EXISTE")</f>
        <v/>
      </c>
      <c r="D790" s="56">
        <f>IFERROR(_xlfn.XLOOKUP(SALIDAS[[#This Row],[CODIGO]],LISTADO[CODIGOS],LISTADO[PRODUCTOS]),"NO EXISTE")</f>
        <v/>
      </c>
      <c r="E790" s="19" t="n">
        <v>46099</v>
      </c>
      <c r="F790" s="18" t="n">
        <v>1</v>
      </c>
      <c r="G790" s="18" t="inlineStr">
        <is>
          <t>NAGUANAGUA 2</t>
        </is>
      </c>
    </row>
    <row r="791">
      <c r="B791" s="18" t="inlineStr">
        <is>
          <t>00145-FER</t>
        </is>
      </c>
      <c r="C791" s="56">
        <f>IFERROR(_xlfn.XLOOKUP(SALIDAS[[#This Row],[CODIGO]],LISTADO[CODIGOS],LISTADO[CATEGORIA]),"NO EXISTE")</f>
        <v/>
      </c>
      <c r="D791" s="56">
        <f>IFERROR(_xlfn.XLOOKUP(SALIDAS[[#This Row],[CODIGO]],LISTADO[CODIGOS],LISTADO[PRODUCTOS]),"NO EXISTE")</f>
        <v/>
      </c>
      <c r="E791" s="19" t="n">
        <v>46099</v>
      </c>
      <c r="F791" s="18" t="n">
        <v>2</v>
      </c>
      <c r="G791" s="18" t="inlineStr">
        <is>
          <t>PARAPARAL</t>
        </is>
      </c>
    </row>
    <row r="792">
      <c r="B792" s="56" t="inlineStr">
        <is>
          <t>00044-ELC</t>
        </is>
      </c>
      <c r="C792" s="56">
        <f>IFERROR(_xlfn.XLOOKUP(SALIDAS[[#This Row],[CODIGO]],LISTADO[CODIGOS],LISTADO[CATEGORIA]),"NO EXISTE")</f>
        <v/>
      </c>
      <c r="D792" s="56">
        <f>IFERROR(_xlfn.XLOOKUP(SALIDAS[[#This Row],[CODIGO]],LISTADO[CODIGOS],LISTADO[PRODUCTOS]),"NO EXISTE")</f>
        <v/>
      </c>
      <c r="E792" s="19" t="n">
        <v>46099</v>
      </c>
      <c r="F792" s="18" t="n">
        <v>1</v>
      </c>
      <c r="G792" s="18" t="inlineStr">
        <is>
          <t>NAGUANAGUA 2</t>
        </is>
      </c>
    </row>
    <row r="793">
      <c r="B793" s="18" t="inlineStr">
        <is>
          <t>00145-FER</t>
        </is>
      </c>
      <c r="C793" s="56">
        <f>IFERROR(_xlfn.XLOOKUP(SALIDAS[[#This Row],[CODIGO]],LISTADO[CODIGOS],LISTADO[CATEGORIA]),"NO EXISTE")</f>
        <v/>
      </c>
      <c r="D793" s="56">
        <f>IFERROR(_xlfn.XLOOKUP(SALIDAS[[#This Row],[CODIGO]],LISTADO[CODIGOS],LISTADO[PRODUCTOS]),"NO EXISTE")</f>
        <v/>
      </c>
      <c r="E793" s="19" t="n">
        <v>46099</v>
      </c>
      <c r="F793" s="18" t="n">
        <v>1</v>
      </c>
      <c r="G793" s="18" t="inlineStr">
        <is>
          <t>NAGUANAGUA 2</t>
        </is>
      </c>
    </row>
    <row r="794">
      <c r="B794" s="56" t="inlineStr">
        <is>
          <t>00010-ELE</t>
        </is>
      </c>
      <c r="C794" s="56">
        <f>IFERROR(_xlfn.XLOOKUP(SALIDAS[[#This Row],[CODIGO]],LISTADO[CODIGOS],LISTADO[CATEGORIA]),"NO EXISTE")</f>
        <v/>
      </c>
      <c r="D794" s="56">
        <f>IFERROR(_xlfn.XLOOKUP(SALIDAS[[#This Row],[CODIGO]],LISTADO[CODIGOS],LISTADO[PRODUCTOS]),"NO EXISTE")</f>
        <v/>
      </c>
      <c r="E794" s="19" t="n">
        <v>46099</v>
      </c>
      <c r="F794" s="18" t="n">
        <v>1</v>
      </c>
      <c r="G794" s="18" t="inlineStr">
        <is>
          <t>NAGUANAGUA 2</t>
        </is>
      </c>
    </row>
    <row r="795">
      <c r="B795" s="56" t="inlineStr">
        <is>
          <t>00049-FER</t>
        </is>
      </c>
      <c r="C795" s="56">
        <f>IFERROR(_xlfn.XLOOKUP(SALIDAS[[#This Row],[CODIGO]],LISTADO[CODIGOS],LISTADO[CATEGORIA]),"NO EXISTE")</f>
        <v/>
      </c>
      <c r="D795" s="56">
        <f>IFERROR(_xlfn.XLOOKUP(SALIDAS[[#This Row],[CODIGO]],LISTADO[CODIGOS],LISTADO[PRODUCTOS]),"NO EXISTE")</f>
        <v/>
      </c>
      <c r="E795" s="19" t="n">
        <v>46099</v>
      </c>
      <c r="F795" s="18" t="n">
        <v>1</v>
      </c>
      <c r="G795" s="18" t="inlineStr">
        <is>
          <t>PERIFERICO</t>
        </is>
      </c>
    </row>
    <row r="796">
      <c r="B796" s="56" t="inlineStr">
        <is>
          <t>00005-HRR</t>
        </is>
      </c>
      <c r="C796" s="56">
        <f>IFERROR(_xlfn.XLOOKUP(SALIDAS[[#This Row],[CODIGO]],LISTADO[CODIGOS],LISTADO[CATEGORIA]),"NO EXISTE")</f>
        <v/>
      </c>
      <c r="D796" s="56">
        <f>IFERROR(_xlfn.XLOOKUP(SALIDAS[[#This Row],[CODIGO]],LISTADO[CODIGOS],LISTADO[PRODUCTOS]),"NO EXISTE")</f>
        <v/>
      </c>
      <c r="E796" s="19" t="n">
        <v>46099</v>
      </c>
      <c r="F796" s="18" t="n">
        <v>1</v>
      </c>
      <c r="G796" s="18" t="inlineStr">
        <is>
          <t>PERIFERICO</t>
        </is>
      </c>
    </row>
    <row r="797">
      <c r="B797" s="56" t="inlineStr">
        <is>
          <t>00007-HRR</t>
        </is>
      </c>
      <c r="C797" s="56">
        <f>IFERROR(_xlfn.XLOOKUP(SALIDAS[[#This Row],[CODIGO]],LISTADO[CODIGOS],LISTADO[CATEGORIA]),"NO EXISTE")</f>
        <v/>
      </c>
      <c r="D797" s="56">
        <f>IFERROR(_xlfn.XLOOKUP(SALIDAS[[#This Row],[CODIGO]],LISTADO[CODIGOS],LISTADO[PRODUCTOS]),"NO EXISTE")</f>
        <v/>
      </c>
      <c r="E797" s="19" t="n">
        <v>46099</v>
      </c>
      <c r="F797" s="18" t="n">
        <v>9</v>
      </c>
      <c r="G797" s="18" t="inlineStr">
        <is>
          <t>PERIFERICO</t>
        </is>
      </c>
    </row>
    <row r="798">
      <c r="B798" s="18" t="inlineStr">
        <is>
          <t>00170-FER</t>
        </is>
      </c>
      <c r="C798" s="56">
        <f>IFERROR(_xlfn.XLOOKUP(SALIDAS[[#This Row],[CODIGO]],LISTADO[CODIGOS],LISTADO[CATEGORIA]),"NO EXISTE")</f>
        <v/>
      </c>
      <c r="D798" s="56">
        <f>IFERROR(_xlfn.XLOOKUP(SALIDAS[[#This Row],[CODIGO]],LISTADO[CODIGOS],LISTADO[PRODUCTOS]),"NO EXISTE")</f>
        <v/>
      </c>
      <c r="E798" s="19" t="n">
        <v>46099</v>
      </c>
      <c r="F798" s="18" t="n">
        <v>1</v>
      </c>
      <c r="G798" s="18" t="inlineStr">
        <is>
          <t xml:space="preserve">CEDI SECO </t>
        </is>
      </c>
    </row>
    <row r="799">
      <c r="B799" s="18" t="inlineStr">
        <is>
          <t>00059-HRR</t>
        </is>
      </c>
      <c r="C799" s="56">
        <f>IFERROR(_xlfn.XLOOKUP(SALIDAS[[#This Row],[CODIGO]],LISTADO[CODIGOS],LISTADO[CATEGORIA]),"NO EXISTE")</f>
        <v/>
      </c>
      <c r="D799" s="56">
        <f>IFERROR(_xlfn.XLOOKUP(SALIDAS[[#This Row],[CODIGO]],LISTADO[CODIGOS],LISTADO[PRODUCTOS]),"NO EXISTE")</f>
        <v/>
      </c>
      <c r="E799" s="19" t="n">
        <v>46099</v>
      </c>
      <c r="F799" s="18" t="n">
        <v>1</v>
      </c>
      <c r="G799" s="18" t="inlineStr">
        <is>
          <t xml:space="preserve">CEDI SECO </t>
        </is>
      </c>
    </row>
    <row r="800">
      <c r="B800" s="56" t="inlineStr">
        <is>
          <t>00119-FER</t>
        </is>
      </c>
      <c r="C800" s="56">
        <f>IFERROR(_xlfn.XLOOKUP(SALIDAS[[#This Row],[CODIGO]],LISTADO[CODIGOS],LISTADO[CATEGORIA]),"NO EXISTE")</f>
        <v/>
      </c>
      <c r="D800" s="56">
        <f>IFERROR(_xlfn.XLOOKUP(SALIDAS[[#This Row],[CODIGO]],LISTADO[CODIGOS],LISTADO[PRODUCTOS]),"NO EXISTE")</f>
        <v/>
      </c>
      <c r="E800" s="19" t="n">
        <v>46099</v>
      </c>
      <c r="F800" s="33" t="n">
        <v>1</v>
      </c>
      <c r="G800" s="18" t="inlineStr">
        <is>
          <t xml:space="preserve">CEDI SECO </t>
        </is>
      </c>
    </row>
    <row r="801">
      <c r="B801" s="18" t="inlineStr">
        <is>
          <t>00001-HRR</t>
        </is>
      </c>
      <c r="C801" s="56">
        <f>IFERROR(_xlfn.XLOOKUP(SALIDAS[[#This Row],[CODIGO]],LISTADO[CODIGOS],LISTADO[CATEGORIA]),"NO EXISTE")</f>
        <v/>
      </c>
      <c r="D801" s="56">
        <f>IFERROR(_xlfn.XLOOKUP(SALIDAS[[#This Row],[CODIGO]],LISTADO[CODIGOS],LISTADO[PRODUCTOS]),"NO EXISTE")</f>
        <v/>
      </c>
      <c r="E801" s="19" t="n">
        <v>46100</v>
      </c>
      <c r="F801" s="18" t="n">
        <v>2</v>
      </c>
      <c r="G801" s="18" t="inlineStr">
        <is>
          <t>PERIFERICO</t>
        </is>
      </c>
    </row>
    <row r="802">
      <c r="B802" s="56" t="inlineStr">
        <is>
          <t>00036-ILU</t>
        </is>
      </c>
      <c r="C802" s="56">
        <f>IFERROR(_xlfn.XLOOKUP(SALIDAS[[#This Row],[CODIGO]],LISTADO[CODIGOS],LISTADO[CATEGORIA]),"NO EXISTE")</f>
        <v/>
      </c>
      <c r="D802" s="56">
        <f>IFERROR(_xlfn.XLOOKUP(SALIDAS[[#This Row],[CODIGO]],LISTADO[CODIGOS],LISTADO[PRODUCTOS]),"NO EXISTE")</f>
        <v/>
      </c>
      <c r="E802" s="19" t="n">
        <v>46100</v>
      </c>
      <c r="F802" s="18" t="n">
        <v>1</v>
      </c>
      <c r="G802" s="18" t="inlineStr">
        <is>
          <t>ISABELICA</t>
        </is>
      </c>
    </row>
    <row r="803">
      <c r="B803" s="56" t="inlineStr">
        <is>
          <t>00037-ILU</t>
        </is>
      </c>
      <c r="C803" s="56">
        <f>IFERROR(_xlfn.XLOOKUP(SALIDAS[[#This Row],[CODIGO]],LISTADO[CODIGOS],LISTADO[CATEGORIA]),"NO EXISTE")</f>
        <v/>
      </c>
      <c r="D803" s="56">
        <f>IFERROR(_xlfn.XLOOKUP(SALIDAS[[#This Row],[CODIGO]],LISTADO[CODIGOS],LISTADO[PRODUCTOS]),"NO EXISTE")</f>
        <v/>
      </c>
      <c r="E803" s="19" t="n">
        <v>46100</v>
      </c>
      <c r="F803" s="18" t="n">
        <v>1</v>
      </c>
      <c r="G803" s="18" t="inlineStr">
        <is>
          <t>ISABELICA</t>
        </is>
      </c>
    </row>
    <row r="804">
      <c r="B804" s="18" t="inlineStr">
        <is>
          <t>00101-REF</t>
        </is>
      </c>
      <c r="C804" s="56">
        <f>IFERROR(_xlfn.XLOOKUP(SALIDAS[[#This Row],[CODIGO]],LISTADO[CODIGOS],LISTADO[CATEGORIA]),"NO EXISTE")</f>
        <v/>
      </c>
      <c r="D804" s="56">
        <f>IFERROR(_xlfn.XLOOKUP(SALIDAS[[#This Row],[CODIGO]],LISTADO[CODIGOS],LISTADO[PRODUCTOS]),"NO EXISTE")</f>
        <v/>
      </c>
      <c r="E804" s="19" t="n">
        <v>46100</v>
      </c>
      <c r="F804" s="18" t="n">
        <v>1</v>
      </c>
      <c r="G804" s="18" t="inlineStr">
        <is>
          <t>TOCUYITO</t>
        </is>
      </c>
    </row>
    <row r="805">
      <c r="B805" s="56" t="inlineStr">
        <is>
          <t>00017-REF</t>
        </is>
      </c>
      <c r="C805" s="56">
        <f>IFERROR(_xlfn.XLOOKUP(SALIDAS[[#This Row],[CODIGO]],LISTADO[CODIGOS],LISTADO[CATEGORIA]),"NO EXISTE")</f>
        <v/>
      </c>
      <c r="D805" s="56">
        <f>IFERROR(_xlfn.XLOOKUP(SALIDAS[[#This Row],[CODIGO]],LISTADO[CODIGOS],LISTADO[PRODUCTOS]),"NO EXISTE")</f>
        <v/>
      </c>
      <c r="E805" s="19" t="n">
        <v>46100</v>
      </c>
      <c r="F805" s="18" t="n">
        <v>3</v>
      </c>
      <c r="G805" s="18" t="inlineStr">
        <is>
          <t>TOCUYITO</t>
        </is>
      </c>
    </row>
    <row r="806">
      <c r="B806" s="18" t="inlineStr">
        <is>
          <t>00049-ILU</t>
        </is>
      </c>
      <c r="C806" s="56">
        <f>IFERROR(_xlfn.XLOOKUP(SALIDAS[[#This Row],[CODIGO]],LISTADO[CODIGOS],LISTADO[CATEGORIA]),"NO EXISTE")</f>
        <v/>
      </c>
      <c r="D806" s="56">
        <f>IFERROR(_xlfn.XLOOKUP(SALIDAS[[#This Row],[CODIGO]],LISTADO[CODIGOS],LISTADO[PRODUCTOS]),"NO EXISTE")</f>
        <v/>
      </c>
      <c r="E806" s="19" t="n">
        <v>46100</v>
      </c>
      <c r="F806" s="18" t="n">
        <v>2</v>
      </c>
      <c r="G806" s="18" t="inlineStr">
        <is>
          <t>ISABELICA</t>
        </is>
      </c>
    </row>
    <row r="807">
      <c r="B807" s="56" t="inlineStr">
        <is>
          <t>00036-REF</t>
        </is>
      </c>
      <c r="C807" s="56">
        <f>IFERROR(_xlfn.XLOOKUP(SALIDAS[[#This Row],[CODIGO]],LISTADO[CODIGOS],LISTADO[CATEGORIA]),"NO EXISTE")</f>
        <v/>
      </c>
      <c r="D807" s="56">
        <f>IFERROR(_xlfn.XLOOKUP(SALIDAS[[#This Row],[CODIGO]],LISTADO[CODIGOS],LISTADO[PRODUCTOS]),"NO EXISTE")</f>
        <v/>
      </c>
      <c r="E807" s="19" t="n">
        <v>46100</v>
      </c>
      <c r="F807" s="18" t="n">
        <v>6</v>
      </c>
      <c r="G807" s="18" t="inlineStr">
        <is>
          <t>TOCUYITO</t>
        </is>
      </c>
    </row>
    <row r="808">
      <c r="B808" s="56" t="inlineStr">
        <is>
          <t>00001-REF</t>
        </is>
      </c>
      <c r="C808" s="56">
        <f>IFERROR(_xlfn.XLOOKUP(SALIDAS[[#This Row],[CODIGO]],LISTADO[CODIGOS],LISTADO[CATEGORIA]),"NO EXISTE")</f>
        <v/>
      </c>
      <c r="D808" s="56">
        <f>IFERROR(_xlfn.XLOOKUP(SALIDAS[[#This Row],[CODIGO]],LISTADO[CODIGOS],LISTADO[PRODUCTOS]),"NO EXISTE")</f>
        <v/>
      </c>
      <c r="E808" s="19" t="n">
        <v>46100</v>
      </c>
      <c r="F808" s="18" t="n">
        <v>2</v>
      </c>
      <c r="G808" s="18" t="inlineStr">
        <is>
          <t>TOCUYITO</t>
        </is>
      </c>
    </row>
    <row r="809">
      <c r="B809" s="56" t="inlineStr">
        <is>
          <t>00051-REF</t>
        </is>
      </c>
      <c r="C809" s="56">
        <f>IFERROR(_xlfn.XLOOKUP(SALIDAS[[#This Row],[CODIGO]],LISTADO[CODIGOS],LISTADO[CATEGORIA]),"NO EXISTE")</f>
        <v/>
      </c>
      <c r="D809" s="56">
        <f>IFERROR(_xlfn.XLOOKUP(SALIDAS[[#This Row],[CODIGO]],LISTADO[CODIGOS],LISTADO[PRODUCTOS]),"NO EXISTE")</f>
        <v/>
      </c>
      <c r="E809" s="19" t="n">
        <v>46100</v>
      </c>
      <c r="F809" s="18" t="n">
        <v>2</v>
      </c>
      <c r="G809" s="18" t="inlineStr">
        <is>
          <t>TOCUYITO</t>
        </is>
      </c>
    </row>
    <row r="810">
      <c r="B810" s="18" t="inlineStr">
        <is>
          <t>00074-ELE</t>
        </is>
      </c>
      <c r="C810" s="56">
        <f>IFERROR(_xlfn.XLOOKUP(SALIDAS[[#This Row],[CODIGO]],LISTADO[CODIGOS],LISTADO[CATEGORIA]),"NO EXISTE")</f>
        <v/>
      </c>
      <c r="D810" s="56">
        <f>IFERROR(_xlfn.XLOOKUP(SALIDAS[[#This Row],[CODIGO]],LISTADO[CODIGOS],LISTADO[PRODUCTOS]),"NO EXISTE")</f>
        <v/>
      </c>
      <c r="E810" s="19" t="n">
        <v>46100</v>
      </c>
      <c r="F810" s="33" t="n">
        <v>10</v>
      </c>
      <c r="G810" s="18" t="inlineStr">
        <is>
          <t>LA VIÑA</t>
        </is>
      </c>
    </row>
    <row r="811">
      <c r="B811" s="56" t="inlineStr">
        <is>
          <t>00002-LIM</t>
        </is>
      </c>
      <c r="C811" s="56">
        <f>IFERROR(_xlfn.XLOOKUP(SALIDAS[[#This Row],[CODIGO]],LISTADO[CODIGOS],LISTADO[CATEGORIA]),"NO EXISTE")</f>
        <v/>
      </c>
      <c r="D811" s="56">
        <f>IFERROR(_xlfn.XLOOKUP(SALIDAS[[#This Row],[CODIGO]],LISTADO[CODIGOS],LISTADO[PRODUCTOS]),"NO EXISTE")</f>
        <v/>
      </c>
      <c r="E811" s="19" t="n">
        <v>46100</v>
      </c>
      <c r="F811" s="33" t="n">
        <v>6</v>
      </c>
      <c r="G811" s="18" t="inlineStr">
        <is>
          <t xml:space="preserve">CEDI SECO </t>
        </is>
      </c>
    </row>
    <row r="812">
      <c r="B812" s="18" t="inlineStr">
        <is>
          <t>00019-LIM</t>
        </is>
      </c>
      <c r="C812" s="56">
        <f>IFERROR(_xlfn.XLOOKUP(SALIDAS[[#This Row],[CODIGO]],LISTADO[CODIGOS],LISTADO[CATEGORIA]),"NO EXISTE")</f>
        <v/>
      </c>
      <c r="D812" s="56">
        <f>IFERROR(_xlfn.XLOOKUP(SALIDAS[[#This Row],[CODIGO]],LISTADO[CODIGOS],LISTADO[PRODUCTOS]),"NO EXISTE")</f>
        <v/>
      </c>
      <c r="E812" s="19" t="n">
        <v>46100</v>
      </c>
      <c r="F812" s="33" t="n">
        <v>1</v>
      </c>
      <c r="G812" s="18" t="inlineStr">
        <is>
          <t>NAGUANAGUA 2</t>
        </is>
      </c>
    </row>
    <row r="813">
      <c r="B813" s="56" t="inlineStr">
        <is>
          <t>00018-MSC</t>
        </is>
      </c>
      <c r="C813" s="56">
        <f>IFERROR(_xlfn.XLOOKUP(SALIDAS[[#This Row],[CODIGO]],LISTADO[CODIGOS],LISTADO[CATEGORIA]),"NO EXISTE")</f>
        <v/>
      </c>
      <c r="D813" s="56">
        <f>IFERROR(_xlfn.XLOOKUP(SALIDAS[[#This Row],[CODIGO]],LISTADO[CODIGOS],LISTADO[PRODUCTOS]),"NO EXISTE")</f>
        <v/>
      </c>
      <c r="E813" s="19" t="n">
        <v>46100</v>
      </c>
      <c r="F813" s="18" t="n">
        <v>2</v>
      </c>
      <c r="G813" s="18" t="inlineStr">
        <is>
          <t>LA VIÑA</t>
        </is>
      </c>
    </row>
    <row r="814">
      <c r="B814" s="56" t="inlineStr">
        <is>
          <t>00024-FER</t>
        </is>
      </c>
      <c r="C814" s="56">
        <f>IFERROR(_xlfn.XLOOKUP(SALIDAS[[#This Row],[CODIGO]],LISTADO[CODIGOS],LISTADO[CATEGORIA]),"NO EXISTE")</f>
        <v/>
      </c>
      <c r="D814" s="56">
        <f>IFERROR(_xlfn.XLOOKUP(SALIDAS[[#This Row],[CODIGO]],LISTADO[CODIGOS],LISTADO[PRODUCTOS]),"NO EXISTE")</f>
        <v/>
      </c>
      <c r="E814" s="19" t="n">
        <v>46101</v>
      </c>
      <c r="F814" s="18" t="n">
        <v>1</v>
      </c>
      <c r="G814" s="18" t="inlineStr">
        <is>
          <t>PERIFERICO</t>
        </is>
      </c>
    </row>
    <row r="815">
      <c r="B815" s="18" t="inlineStr">
        <is>
          <t>00163-FER</t>
        </is>
      </c>
      <c r="C815" s="56">
        <f>IFERROR(_xlfn.XLOOKUP(SALIDAS[[#This Row],[CODIGO]],LISTADO[CODIGOS],LISTADO[CATEGORIA]),"NO EXISTE")</f>
        <v/>
      </c>
      <c r="D815" s="56">
        <f>IFERROR(_xlfn.XLOOKUP(SALIDAS[[#This Row],[CODIGO]],LISTADO[CODIGOS],LISTADO[PRODUCTOS]),"NO EXISTE")</f>
        <v/>
      </c>
      <c r="E815" s="19" t="n">
        <v>46101</v>
      </c>
      <c r="F815" s="18" t="n">
        <v>1</v>
      </c>
      <c r="G815" s="18" t="inlineStr">
        <is>
          <t>PERIFERICO</t>
        </is>
      </c>
    </row>
    <row r="816">
      <c r="B816" s="56" t="inlineStr">
        <is>
          <t>00058-FER</t>
        </is>
      </c>
      <c r="C816" s="56">
        <f>IFERROR(_xlfn.XLOOKUP(SALIDAS[[#This Row],[CODIGO]],LISTADO[CODIGOS],LISTADO[CATEGORIA]),"NO EXISTE")</f>
        <v/>
      </c>
      <c r="D816" s="56">
        <f>IFERROR(_xlfn.XLOOKUP(SALIDAS[[#This Row],[CODIGO]],LISTADO[CODIGOS],LISTADO[PRODUCTOS]),"NO EXISTE")</f>
        <v/>
      </c>
      <c r="E816" s="19" t="n">
        <v>46101</v>
      </c>
      <c r="F816" s="18" t="n">
        <v>2</v>
      </c>
      <c r="G816" s="18" t="inlineStr">
        <is>
          <t>NAGUANAGUA 3</t>
        </is>
      </c>
    </row>
    <row r="817">
      <c r="B817" s="56" t="inlineStr">
        <is>
          <t>00077-FER</t>
        </is>
      </c>
      <c r="C817" s="56">
        <f>IFERROR(_xlfn.XLOOKUP(SALIDAS[[#This Row],[CODIGO]],LISTADO[CODIGOS],LISTADO[CATEGORIA]),"NO EXISTE")</f>
        <v/>
      </c>
      <c r="D817" s="56">
        <f>IFERROR(_xlfn.XLOOKUP(SALIDAS[[#This Row],[CODIGO]],LISTADO[CODIGOS],LISTADO[PRODUCTOS]),"NO EXISTE")</f>
        <v/>
      </c>
      <c r="E817" s="19" t="n">
        <v>46101</v>
      </c>
      <c r="F817" s="18" t="n">
        <v>1</v>
      </c>
      <c r="G817" s="18" t="inlineStr">
        <is>
          <t xml:space="preserve">CEDI SECO </t>
        </is>
      </c>
    </row>
    <row r="818">
      <c r="B818" s="56" t="inlineStr">
        <is>
          <t>00042-PLM</t>
        </is>
      </c>
      <c r="C818" s="56">
        <f>IFERROR(_xlfn.XLOOKUP(SALIDAS[[#This Row],[CODIGO]],LISTADO[CODIGOS],LISTADO[CATEGORIA]),"NO EXISTE")</f>
        <v/>
      </c>
      <c r="D818" s="56">
        <f>IFERROR(_xlfn.XLOOKUP(SALIDAS[[#This Row],[CODIGO]],LISTADO[CODIGOS],LISTADO[PRODUCTOS]),"NO EXISTE")</f>
        <v/>
      </c>
      <c r="E818" s="19" t="n">
        <v>46101</v>
      </c>
      <c r="F818" s="18" t="n">
        <v>2</v>
      </c>
      <c r="G818" s="18" t="inlineStr">
        <is>
          <t xml:space="preserve">CEDI SECO </t>
        </is>
      </c>
    </row>
    <row r="819">
      <c r="B819" s="56" t="inlineStr">
        <is>
          <t>00099-HER</t>
        </is>
      </c>
      <c r="C819" s="56">
        <f>IFERROR(_xlfn.XLOOKUP(SALIDAS[[#This Row],[CODIGO]],LISTADO[CODIGOS],LISTADO[CATEGORIA]),"NO EXISTE")</f>
        <v/>
      </c>
      <c r="D819" s="56">
        <f>IFERROR(_xlfn.XLOOKUP(SALIDAS[[#This Row],[CODIGO]],LISTADO[CODIGOS],LISTADO[PRODUCTOS]),"NO EXISTE")</f>
        <v/>
      </c>
      <c r="E819" s="19" t="n">
        <v>46101</v>
      </c>
      <c r="F819" s="18" t="n">
        <v>1</v>
      </c>
      <c r="G819" s="18" t="inlineStr">
        <is>
          <t xml:space="preserve">CEDI SECO </t>
        </is>
      </c>
    </row>
    <row r="820">
      <c r="B820" s="56" t="inlineStr">
        <is>
          <t>00001-PLM</t>
        </is>
      </c>
      <c r="C820" s="56">
        <f>IFERROR(_xlfn.XLOOKUP(SALIDAS[[#This Row],[CODIGO]],LISTADO[CODIGOS],LISTADO[CATEGORIA]),"NO EXISTE")</f>
        <v/>
      </c>
      <c r="D820" s="56">
        <f>IFERROR(_xlfn.XLOOKUP(SALIDAS[[#This Row],[CODIGO]],LISTADO[CODIGOS],LISTADO[PRODUCTOS]),"NO EXISTE")</f>
        <v/>
      </c>
      <c r="E820" s="19" t="n">
        <v>46101</v>
      </c>
      <c r="F820" s="18" t="n">
        <v>1</v>
      </c>
      <c r="G820" s="18" t="inlineStr">
        <is>
          <t xml:space="preserve">CEDI SECO </t>
        </is>
      </c>
    </row>
    <row r="821">
      <c r="B821" s="56" t="inlineStr">
        <is>
          <t>00100-HER</t>
        </is>
      </c>
      <c r="C821" s="56">
        <f>IFERROR(_xlfn.XLOOKUP(SALIDAS[[#This Row],[CODIGO]],LISTADO[CODIGOS],LISTADO[CATEGORIA]),"NO EXISTE")</f>
        <v/>
      </c>
      <c r="D821" s="56">
        <f>IFERROR(_xlfn.XLOOKUP(SALIDAS[[#This Row],[CODIGO]],LISTADO[CODIGOS],LISTADO[PRODUCTOS]),"NO EXISTE")</f>
        <v/>
      </c>
      <c r="E821" s="19" t="n">
        <v>46101</v>
      </c>
      <c r="F821" s="18" t="n">
        <v>1</v>
      </c>
      <c r="G821" s="18" t="inlineStr">
        <is>
          <t>PERIFERICO</t>
        </is>
      </c>
    </row>
    <row r="822">
      <c r="B822" s="56" t="inlineStr">
        <is>
          <t>00007-HRR</t>
        </is>
      </c>
      <c r="C822" s="56">
        <f>IFERROR(_xlfn.XLOOKUP(SALIDAS[[#This Row],[CODIGO]],LISTADO[CODIGOS],LISTADO[CATEGORIA]),"NO EXISTE")</f>
        <v/>
      </c>
      <c r="D822" s="56">
        <f>IFERROR(_xlfn.XLOOKUP(SALIDAS[[#This Row],[CODIGO]],LISTADO[CODIGOS],LISTADO[PRODUCTOS]),"NO EXISTE")</f>
        <v/>
      </c>
      <c r="E822" s="19" t="n">
        <v>46101</v>
      </c>
      <c r="F822" s="18" t="n">
        <v>10</v>
      </c>
      <c r="G822" s="18" t="inlineStr">
        <is>
          <t>PERIFERICO</t>
        </is>
      </c>
    </row>
    <row r="823">
      <c r="B823" s="56" t="inlineStr">
        <is>
          <t>00028-FER</t>
        </is>
      </c>
      <c r="C823" s="56">
        <f>IFERROR(_xlfn.XLOOKUP(SALIDAS[[#This Row],[CODIGO]],LISTADO[CODIGOS],LISTADO[CATEGORIA]),"NO EXISTE")</f>
        <v/>
      </c>
      <c r="D823" s="56">
        <f>IFERROR(_xlfn.XLOOKUP(SALIDAS[[#This Row],[CODIGO]],LISTADO[CODIGOS],LISTADO[PRODUCTOS]),"NO EXISTE")</f>
        <v/>
      </c>
      <c r="E823" s="19" t="n">
        <v>46101</v>
      </c>
      <c r="F823" s="18" t="n">
        <v>1</v>
      </c>
      <c r="G823" s="18" t="inlineStr">
        <is>
          <t>LA VIÑA</t>
        </is>
      </c>
    </row>
    <row r="824">
      <c r="B824" s="56" t="inlineStr">
        <is>
          <t>00012-PLM</t>
        </is>
      </c>
      <c r="C824" s="56">
        <f>IFERROR(_xlfn.XLOOKUP(SALIDAS[[#This Row],[CODIGO]],LISTADO[CODIGOS],LISTADO[CATEGORIA]),"NO EXISTE")</f>
        <v/>
      </c>
      <c r="D824" s="56">
        <f>IFERROR(_xlfn.XLOOKUP(SALIDAS[[#This Row],[CODIGO]],LISTADO[CODIGOS],LISTADO[PRODUCTOS]),"NO EXISTE")</f>
        <v/>
      </c>
      <c r="E824" s="19" t="n">
        <v>46101</v>
      </c>
      <c r="F824" s="18" t="n">
        <v>2</v>
      </c>
      <c r="G824" s="18" t="inlineStr">
        <is>
          <t xml:space="preserve">EL BOSQUE </t>
        </is>
      </c>
    </row>
    <row r="825">
      <c r="B825" s="56" t="inlineStr">
        <is>
          <t>00019-PLM</t>
        </is>
      </c>
      <c r="C825" s="56">
        <f>IFERROR(_xlfn.XLOOKUP(SALIDAS[[#This Row],[CODIGO]],LISTADO[CODIGOS],LISTADO[CATEGORIA]),"NO EXISTE")</f>
        <v/>
      </c>
      <c r="D825" s="56">
        <f>IFERROR(_xlfn.XLOOKUP(SALIDAS[[#This Row],[CODIGO]],LISTADO[CODIGOS],LISTADO[PRODUCTOS]),"NO EXISTE")</f>
        <v/>
      </c>
      <c r="E825" s="19" t="n">
        <v>46101</v>
      </c>
      <c r="F825" s="18" t="n">
        <v>1</v>
      </c>
      <c r="G825" s="18" t="inlineStr">
        <is>
          <t xml:space="preserve">EL BOSQUE </t>
        </is>
      </c>
    </row>
    <row r="826">
      <c r="B826" s="56" t="inlineStr">
        <is>
          <t>00106-FER</t>
        </is>
      </c>
      <c r="C826" s="56">
        <f>IFERROR(_xlfn.XLOOKUP(SALIDAS[[#This Row],[CODIGO]],LISTADO[CODIGOS],LISTADO[CATEGORIA]),"NO EXISTE")</f>
        <v/>
      </c>
      <c r="D826" s="56">
        <f>IFERROR(_xlfn.XLOOKUP(SALIDAS[[#This Row],[CODIGO]],LISTADO[CODIGOS],LISTADO[PRODUCTOS]),"NO EXISTE")</f>
        <v/>
      </c>
      <c r="E826" s="19" t="n">
        <v>46101</v>
      </c>
      <c r="F826" s="18" t="n">
        <v>1</v>
      </c>
      <c r="G826" s="18" t="inlineStr">
        <is>
          <t>ISABELICA</t>
        </is>
      </c>
    </row>
    <row r="827">
      <c r="B827" s="56" t="inlineStr">
        <is>
          <t>00023-FER</t>
        </is>
      </c>
      <c r="C827" s="56">
        <f>IFERROR(_xlfn.XLOOKUP(SALIDAS[[#This Row],[CODIGO]],LISTADO[CODIGOS],LISTADO[CATEGORIA]),"NO EXISTE")</f>
        <v/>
      </c>
      <c r="D827" s="56">
        <f>IFERROR(_xlfn.XLOOKUP(SALIDAS[[#This Row],[CODIGO]],LISTADO[CODIGOS],LISTADO[PRODUCTOS]),"NO EXISTE")</f>
        <v/>
      </c>
      <c r="E827" s="19" t="n">
        <v>46101</v>
      </c>
      <c r="F827" s="18" t="n">
        <v>4</v>
      </c>
      <c r="G827" s="18" t="inlineStr">
        <is>
          <t xml:space="preserve">EL BOSQUE </t>
        </is>
      </c>
    </row>
    <row r="828">
      <c r="B828" s="56" t="inlineStr">
        <is>
          <t>00109-FER</t>
        </is>
      </c>
      <c r="C828" s="56">
        <f>IFERROR(_xlfn.XLOOKUP(SALIDAS[[#This Row],[CODIGO]],LISTADO[CODIGOS],LISTADO[CATEGORIA]),"NO EXISTE")</f>
        <v/>
      </c>
      <c r="D828" s="56">
        <f>IFERROR(_xlfn.XLOOKUP(SALIDAS[[#This Row],[CODIGO]],LISTADO[CODIGOS],LISTADO[PRODUCTOS]),"NO EXISTE")</f>
        <v/>
      </c>
      <c r="E828" s="19" t="n">
        <v>46101</v>
      </c>
      <c r="F828" s="18" t="n">
        <v>4</v>
      </c>
      <c r="G828" s="18" t="inlineStr">
        <is>
          <t xml:space="preserve">EL BOSQUE </t>
        </is>
      </c>
    </row>
    <row r="829">
      <c r="B829" s="56" t="inlineStr">
        <is>
          <t>00011-PLM</t>
        </is>
      </c>
      <c r="C829" s="56">
        <f>IFERROR(_xlfn.XLOOKUP(SALIDAS[[#This Row],[CODIGO]],LISTADO[CODIGOS],LISTADO[CATEGORIA]),"NO EXISTE")</f>
        <v/>
      </c>
      <c r="D829" s="56">
        <f>IFERROR(_xlfn.XLOOKUP(SALIDAS[[#This Row],[CODIGO]],LISTADO[CODIGOS],LISTADO[PRODUCTOS]),"NO EXISTE")</f>
        <v/>
      </c>
      <c r="E829" s="19" t="n">
        <v>46101</v>
      </c>
      <c r="F829" s="18" t="n">
        <v>1</v>
      </c>
      <c r="G829" s="18" t="inlineStr">
        <is>
          <t xml:space="preserve">EL BOSQUE </t>
        </is>
      </c>
    </row>
    <row r="830">
      <c r="B830" s="56" t="inlineStr">
        <is>
          <t>00009-ELE</t>
        </is>
      </c>
      <c r="C830" s="56">
        <f>IFERROR(_xlfn.XLOOKUP(SALIDAS[[#This Row],[CODIGO]],LISTADO[CODIGOS],LISTADO[CATEGORIA]),"NO EXISTE")</f>
        <v/>
      </c>
      <c r="D830" s="56">
        <f>IFERROR(_xlfn.XLOOKUP(SALIDAS[[#This Row],[CODIGO]],LISTADO[CODIGOS],LISTADO[PRODUCTOS]),"NO EXISTE")</f>
        <v/>
      </c>
      <c r="E830" s="19" t="n">
        <v>46101</v>
      </c>
      <c r="F830" s="18" t="n">
        <v>1</v>
      </c>
      <c r="G830" s="18" t="inlineStr">
        <is>
          <t>LAS FERIAS</t>
        </is>
      </c>
    </row>
    <row r="831">
      <c r="B831" s="18" t="inlineStr">
        <is>
          <t>00049-ILU</t>
        </is>
      </c>
      <c r="C831" s="56">
        <f>IFERROR(_xlfn.XLOOKUP(SALIDAS[[#This Row],[CODIGO]],LISTADO[CODIGOS],LISTADO[CATEGORIA]),"NO EXISTE")</f>
        <v/>
      </c>
      <c r="D831" s="56">
        <f>IFERROR(_xlfn.XLOOKUP(SALIDAS[[#This Row],[CODIGO]],LISTADO[CODIGOS],LISTADO[PRODUCTOS]),"NO EXISTE")</f>
        <v/>
      </c>
      <c r="E831" s="19" t="n">
        <v>46101</v>
      </c>
      <c r="F831" s="18" t="n">
        <v>2</v>
      </c>
      <c r="G831" s="18" t="inlineStr">
        <is>
          <t>TOCUYITO</t>
        </is>
      </c>
    </row>
    <row r="832">
      <c r="B832" s="56" t="inlineStr">
        <is>
          <t>00013-FER</t>
        </is>
      </c>
      <c r="C832" s="56">
        <f>IFERROR(_xlfn.XLOOKUP(SALIDAS[[#This Row],[CODIGO]],LISTADO[CODIGOS],LISTADO[CATEGORIA]),"NO EXISTE")</f>
        <v/>
      </c>
      <c r="D832" s="56">
        <f>IFERROR(_xlfn.XLOOKUP(SALIDAS[[#This Row],[CODIGO]],LISTADO[CODIGOS],LISTADO[PRODUCTOS]),"NO EXISTE")</f>
        <v/>
      </c>
      <c r="E832" s="19" t="n">
        <v>46101</v>
      </c>
      <c r="F832" s="18" t="n">
        <v>4</v>
      </c>
      <c r="G832" s="18" t="inlineStr">
        <is>
          <t>AV. CEDEÑO</t>
        </is>
      </c>
    </row>
    <row r="833">
      <c r="B833" s="56" t="inlineStr">
        <is>
          <t>00041-FER</t>
        </is>
      </c>
      <c r="C833" s="56">
        <f>IFERROR(_xlfn.XLOOKUP(SALIDAS[[#This Row],[CODIGO]],LISTADO[CODIGOS],LISTADO[CATEGORIA]),"NO EXISTE")</f>
        <v/>
      </c>
      <c r="D833" s="56">
        <f>IFERROR(_xlfn.XLOOKUP(SALIDAS[[#This Row],[CODIGO]],LISTADO[CODIGOS],LISTADO[PRODUCTOS]),"NO EXISTE")</f>
        <v/>
      </c>
      <c r="E833" s="19" t="n">
        <v>46101</v>
      </c>
      <c r="F833" s="18" t="n">
        <v>0.5</v>
      </c>
      <c r="G833" s="18" t="inlineStr">
        <is>
          <t xml:space="preserve">CEDI SECO </t>
        </is>
      </c>
    </row>
    <row r="834">
      <c r="B834" s="18" t="inlineStr">
        <is>
          <t>00165-FER</t>
        </is>
      </c>
      <c r="C834" s="56">
        <f>IFERROR(_xlfn.XLOOKUP(SALIDAS[[#This Row],[CODIGO]],LISTADO[CODIGOS],LISTADO[CATEGORIA]),"NO EXISTE")</f>
        <v/>
      </c>
      <c r="D834" s="56">
        <f>IFERROR(_xlfn.XLOOKUP(SALIDAS[[#This Row],[CODIGO]],LISTADO[CODIGOS],LISTADO[PRODUCTOS]),"NO EXISTE")</f>
        <v/>
      </c>
      <c r="E834" s="19" t="n">
        <v>46101</v>
      </c>
      <c r="F834" s="18" t="n">
        <v>164</v>
      </c>
      <c r="G834" s="18" t="inlineStr">
        <is>
          <t>LA VIÑA</t>
        </is>
      </c>
    </row>
    <row r="835">
      <c r="B835" s="18" t="inlineStr">
        <is>
          <t>00166-FER</t>
        </is>
      </c>
      <c r="C835" s="56">
        <f>IFERROR(_xlfn.XLOOKUP(SALIDAS[[#This Row],[CODIGO]],LISTADO[CODIGOS],LISTADO[CATEGORIA]),"NO EXISTE")</f>
        <v/>
      </c>
      <c r="D835" s="56">
        <f>IFERROR(_xlfn.XLOOKUP(SALIDAS[[#This Row],[CODIGO]],LISTADO[CODIGOS],LISTADO[PRODUCTOS]),"NO EXISTE")</f>
        <v/>
      </c>
      <c r="E835" s="19" t="n">
        <v>46101</v>
      </c>
      <c r="F835" s="18" t="n">
        <v>150</v>
      </c>
      <c r="G835" s="18" t="inlineStr">
        <is>
          <t>LA VIÑA</t>
        </is>
      </c>
    </row>
    <row r="836">
      <c r="B836" s="18" t="inlineStr">
        <is>
          <t>00167-FER</t>
        </is>
      </c>
      <c r="C836" s="56">
        <f>IFERROR(_xlfn.XLOOKUP(SALIDAS[[#This Row],[CODIGO]],LISTADO[CODIGOS],LISTADO[CATEGORIA]),"NO EXISTE")</f>
        <v/>
      </c>
      <c r="D836" s="56">
        <f>IFERROR(_xlfn.XLOOKUP(SALIDAS[[#This Row],[CODIGO]],LISTADO[CODIGOS],LISTADO[PRODUCTOS]),"NO EXISTE")</f>
        <v/>
      </c>
      <c r="E836" s="19" t="n">
        <v>46101</v>
      </c>
      <c r="F836" s="18" t="n">
        <v>150</v>
      </c>
      <c r="G836" s="18" t="inlineStr">
        <is>
          <t>LA VIÑA</t>
        </is>
      </c>
    </row>
    <row r="837">
      <c r="B837" s="56" t="inlineStr">
        <is>
          <t>00024-FER</t>
        </is>
      </c>
      <c r="C837" s="56">
        <f>IFERROR(_xlfn.XLOOKUP(SALIDAS[[#This Row],[CODIGO]],LISTADO[CODIGOS],LISTADO[CATEGORIA]),"NO EXISTE")</f>
        <v/>
      </c>
      <c r="D837" s="56">
        <f>IFERROR(_xlfn.XLOOKUP(SALIDAS[[#This Row],[CODIGO]],LISTADO[CODIGOS],LISTADO[PRODUCTOS]),"NO EXISTE")</f>
        <v/>
      </c>
      <c r="E837" s="19" t="n">
        <v>46101</v>
      </c>
      <c r="F837" s="33" t="n">
        <v>1</v>
      </c>
      <c r="G837" s="18" t="inlineStr">
        <is>
          <t>PERIFERICO</t>
        </is>
      </c>
    </row>
    <row r="838">
      <c r="B838" s="18" t="inlineStr">
        <is>
          <t>00163-FER</t>
        </is>
      </c>
      <c r="C838" s="56">
        <f>IFERROR(_xlfn.XLOOKUP(SALIDAS[[#This Row],[CODIGO]],LISTADO[CODIGOS],LISTADO[CATEGORIA]),"NO EXISTE")</f>
        <v/>
      </c>
      <c r="D838" s="56">
        <f>IFERROR(_xlfn.XLOOKUP(SALIDAS[[#This Row],[CODIGO]],LISTADO[CODIGOS],LISTADO[PRODUCTOS]),"NO EXISTE")</f>
        <v/>
      </c>
      <c r="E838" s="19" t="n">
        <v>46101</v>
      </c>
      <c r="F838" s="18" t="n">
        <v>1</v>
      </c>
      <c r="G838" s="18" t="inlineStr">
        <is>
          <t>PERIFERICO</t>
        </is>
      </c>
    </row>
    <row r="839">
      <c r="B839" s="56" t="inlineStr">
        <is>
          <t>00006-PLM</t>
        </is>
      </c>
      <c r="C839" s="56">
        <f>IFERROR(_xlfn.XLOOKUP(SALIDAS[[#This Row],[CODIGO]],LISTADO[CODIGOS],LISTADO[CATEGORIA]),"NO EXISTE")</f>
        <v/>
      </c>
      <c r="D839" s="56">
        <f>IFERROR(_xlfn.XLOOKUP(SALIDAS[[#This Row],[CODIGO]],LISTADO[CODIGOS],LISTADO[PRODUCTOS]),"NO EXISTE")</f>
        <v/>
      </c>
      <c r="E839" s="19" t="n">
        <v>46102</v>
      </c>
      <c r="F839" s="18" t="n">
        <v>1</v>
      </c>
      <c r="G839" s="18" t="inlineStr">
        <is>
          <t>FLOR AMARILLO</t>
        </is>
      </c>
    </row>
    <row r="840">
      <c r="B840" s="56" t="inlineStr">
        <is>
          <t>00018-MSC</t>
        </is>
      </c>
      <c r="C840" s="56">
        <f>IFERROR(_xlfn.XLOOKUP(SALIDAS[[#This Row],[CODIGO]],LISTADO[CODIGOS],LISTADO[CATEGORIA]),"NO EXISTE")</f>
        <v/>
      </c>
      <c r="D840" s="56">
        <f>IFERROR(_xlfn.XLOOKUP(SALIDAS[[#This Row],[CODIGO]],LISTADO[CODIGOS],LISTADO[PRODUCTOS]),"NO EXISTE")</f>
        <v/>
      </c>
      <c r="E840" s="19" t="n">
        <v>46102</v>
      </c>
      <c r="F840" s="18" t="n">
        <v>2</v>
      </c>
      <c r="G840" s="18" t="inlineStr">
        <is>
          <t>NAGUANAGUA 3</t>
        </is>
      </c>
    </row>
    <row r="841">
      <c r="B841" s="56" t="inlineStr">
        <is>
          <t>00018-MSC</t>
        </is>
      </c>
      <c r="C841" s="56">
        <f>IFERROR(_xlfn.XLOOKUP(SALIDAS[[#This Row],[CODIGO]],LISTADO[CODIGOS],LISTADO[CATEGORIA]),"NO EXISTE")</f>
        <v/>
      </c>
      <c r="D841" s="56">
        <f>IFERROR(_xlfn.XLOOKUP(SALIDAS[[#This Row],[CODIGO]],LISTADO[CODIGOS],LISTADO[PRODUCTOS]),"NO EXISTE")</f>
        <v/>
      </c>
      <c r="E841" s="19" t="n">
        <v>46102</v>
      </c>
      <c r="F841" s="18" t="n">
        <v>2</v>
      </c>
      <c r="G841" s="18" t="inlineStr">
        <is>
          <t>GUIGUE</t>
        </is>
      </c>
    </row>
    <row r="842">
      <c r="B842" s="18" t="inlineStr">
        <is>
          <t>00145-FER</t>
        </is>
      </c>
      <c r="C842" s="56">
        <f>IFERROR(_xlfn.XLOOKUP(SALIDAS[[#This Row],[CODIGO]],LISTADO[CODIGOS],LISTADO[CATEGORIA]),"NO EXISTE")</f>
        <v/>
      </c>
      <c r="D842" s="56">
        <f>IFERROR(_xlfn.XLOOKUP(SALIDAS[[#This Row],[CODIGO]],LISTADO[CODIGOS],LISTADO[PRODUCTOS]),"NO EXISTE")</f>
        <v/>
      </c>
      <c r="E842" s="19" t="n">
        <v>46102</v>
      </c>
      <c r="F842" s="18" t="n">
        <v>2</v>
      </c>
      <c r="G842" s="18" t="inlineStr">
        <is>
          <t>GUIGUE</t>
        </is>
      </c>
    </row>
    <row r="843">
      <c r="B843" s="56" t="inlineStr">
        <is>
          <t>00023-FER</t>
        </is>
      </c>
      <c r="C843" s="56">
        <f>IFERROR(_xlfn.XLOOKUP(SALIDAS[[#This Row],[CODIGO]],LISTADO[CODIGOS],LISTADO[CATEGORIA]),"NO EXISTE")</f>
        <v/>
      </c>
      <c r="D843" s="56">
        <f>IFERROR(_xlfn.XLOOKUP(SALIDAS[[#This Row],[CODIGO]],LISTADO[CODIGOS],LISTADO[PRODUCTOS]),"NO EXISTE")</f>
        <v/>
      </c>
      <c r="E843" s="19" t="n">
        <v>46102</v>
      </c>
      <c r="F843" s="18" t="n">
        <v>2</v>
      </c>
      <c r="G843" s="18" t="inlineStr">
        <is>
          <t>GUIGUE</t>
        </is>
      </c>
    </row>
    <row r="844">
      <c r="B844" s="56" t="inlineStr">
        <is>
          <t>00078-FER</t>
        </is>
      </c>
      <c r="C844" s="56">
        <f>IFERROR(_xlfn.XLOOKUP(SALIDAS[[#This Row],[CODIGO]],LISTADO[CODIGOS],LISTADO[CATEGORIA]),"NO EXISTE")</f>
        <v/>
      </c>
      <c r="D844" s="56">
        <f>IFERROR(_xlfn.XLOOKUP(SALIDAS[[#This Row],[CODIGO]],LISTADO[CODIGOS],LISTADO[PRODUCTOS]),"NO EXISTE")</f>
        <v/>
      </c>
      <c r="E844" s="19" t="n">
        <v>46102</v>
      </c>
      <c r="F844" s="18" t="n">
        <v>1</v>
      </c>
      <c r="G844" s="18" t="inlineStr">
        <is>
          <t>NAGUANAGUA 3</t>
        </is>
      </c>
    </row>
    <row r="845">
      <c r="B845" s="56" t="inlineStr">
        <is>
          <t>00089-FER</t>
        </is>
      </c>
      <c r="C845" s="56">
        <f>IFERROR(_xlfn.XLOOKUP(SALIDAS[[#This Row],[CODIGO]],LISTADO[CODIGOS],LISTADO[CATEGORIA]),"NO EXISTE")</f>
        <v/>
      </c>
      <c r="D845" s="56">
        <f>IFERROR(_xlfn.XLOOKUP(SALIDAS[[#This Row],[CODIGO]],LISTADO[CODIGOS],LISTADO[PRODUCTOS]),"NO EXISTE")</f>
        <v/>
      </c>
      <c r="E845" s="19" t="n">
        <v>46102</v>
      </c>
      <c r="F845" s="18" t="n">
        <v>1</v>
      </c>
      <c r="G845" s="18" t="inlineStr">
        <is>
          <t>NAGUANAGUA 3</t>
        </is>
      </c>
    </row>
    <row r="846">
      <c r="B846" s="56" t="inlineStr">
        <is>
          <t>00089-FER</t>
        </is>
      </c>
      <c r="C846" s="56">
        <f>IFERROR(_xlfn.XLOOKUP(SALIDAS[[#This Row],[CODIGO]],LISTADO[CODIGOS],LISTADO[CATEGORIA]),"NO EXISTE")</f>
        <v/>
      </c>
      <c r="D846" s="56">
        <f>IFERROR(_xlfn.XLOOKUP(SALIDAS[[#This Row],[CODIGO]],LISTADO[CODIGOS],LISTADO[PRODUCTOS]),"NO EXISTE")</f>
        <v/>
      </c>
      <c r="E846" s="19" t="n">
        <v>46102</v>
      </c>
      <c r="F846" s="18" t="n">
        <v>1</v>
      </c>
      <c r="G846" s="18" t="inlineStr">
        <is>
          <t>GUIGUE</t>
        </is>
      </c>
    </row>
    <row r="847">
      <c r="B847" s="56" t="inlineStr">
        <is>
          <t>00052-FER</t>
        </is>
      </c>
      <c r="C847" s="56">
        <f>IFERROR(_xlfn.XLOOKUP(SALIDAS[[#This Row],[CODIGO]],LISTADO[CODIGOS],LISTADO[CATEGORIA]),"NO EXISTE")</f>
        <v/>
      </c>
      <c r="D847" s="56">
        <f>IFERROR(_xlfn.XLOOKUP(SALIDAS[[#This Row],[CODIGO]],LISTADO[CODIGOS],LISTADO[PRODUCTOS]),"NO EXISTE")</f>
        <v/>
      </c>
      <c r="E847" s="19" t="n">
        <v>46102</v>
      </c>
      <c r="F847" s="18" t="n">
        <v>1</v>
      </c>
      <c r="G847" s="18" t="inlineStr">
        <is>
          <t>GUIGUE</t>
        </is>
      </c>
    </row>
    <row r="848">
      <c r="B848" s="18" t="inlineStr">
        <is>
          <t>00042-ILU</t>
        </is>
      </c>
      <c r="C848" s="56">
        <f>IFERROR(_xlfn.XLOOKUP(SALIDAS[[#This Row],[CODIGO]],LISTADO[CODIGOS],LISTADO[CATEGORIA]),"NO EXISTE")</f>
        <v/>
      </c>
      <c r="D848" s="56">
        <f>IFERROR(_xlfn.XLOOKUP(SALIDAS[[#This Row],[CODIGO]],LISTADO[CODIGOS],LISTADO[PRODUCTOS]),"NO EXISTE")</f>
        <v/>
      </c>
      <c r="E848" s="19" t="n">
        <v>46102</v>
      </c>
      <c r="F848" s="18" t="n">
        <v>20</v>
      </c>
      <c r="G848" s="18" t="inlineStr">
        <is>
          <t>NAGUANAGUA 3</t>
        </is>
      </c>
    </row>
    <row r="849">
      <c r="B849" s="18" t="inlineStr">
        <is>
          <t>00070-ELE</t>
        </is>
      </c>
      <c r="C849" s="56">
        <f>IFERROR(_xlfn.XLOOKUP(SALIDAS[[#This Row],[CODIGO]],LISTADO[CODIGOS],LISTADO[CATEGORIA]),"NO EXISTE")</f>
        <v/>
      </c>
      <c r="D849" s="56">
        <f>IFERROR(_xlfn.XLOOKUP(SALIDAS[[#This Row],[CODIGO]],LISTADO[CODIGOS],LISTADO[PRODUCTOS]),"NO EXISTE")</f>
        <v/>
      </c>
      <c r="E849" s="19" t="n">
        <v>46102</v>
      </c>
      <c r="F849" s="18" t="n">
        <v>5</v>
      </c>
      <c r="G849" s="18" t="inlineStr">
        <is>
          <t>NAGUANAGUA 3</t>
        </is>
      </c>
    </row>
    <row r="850">
      <c r="B850" s="56" t="inlineStr">
        <is>
          <t>00007-ILU</t>
        </is>
      </c>
      <c r="C850" s="56">
        <f>IFERROR(_xlfn.XLOOKUP(SALIDAS[[#This Row],[CODIGO]],LISTADO[CODIGOS],LISTADO[CATEGORIA]),"NO EXISTE")</f>
        <v/>
      </c>
      <c r="D850" s="56">
        <f>IFERROR(_xlfn.XLOOKUP(SALIDAS[[#This Row],[CODIGO]],LISTADO[CODIGOS],LISTADO[PRODUCTOS]),"NO EXISTE")</f>
        <v/>
      </c>
      <c r="E850" s="19" t="n">
        <v>46102</v>
      </c>
      <c r="F850" s="18" t="n">
        <v>1</v>
      </c>
      <c r="G850" s="18" t="inlineStr">
        <is>
          <t>NAGUANAGUA 3</t>
        </is>
      </c>
    </row>
    <row r="851">
      <c r="B851" s="56" t="inlineStr">
        <is>
          <t>00005-HRR</t>
        </is>
      </c>
      <c r="C851" s="56">
        <f>IFERROR(_xlfn.XLOOKUP(SALIDAS[[#This Row],[CODIGO]],LISTADO[CODIGOS],LISTADO[CATEGORIA]),"NO EXISTE")</f>
        <v/>
      </c>
      <c r="D851" s="56">
        <f>IFERROR(_xlfn.XLOOKUP(SALIDAS[[#This Row],[CODIGO]],LISTADO[CODIGOS],LISTADO[PRODUCTOS]),"NO EXISTE")</f>
        <v/>
      </c>
      <c r="E851" s="19" t="n">
        <v>46102</v>
      </c>
      <c r="F851" s="33" t="n">
        <v>1</v>
      </c>
      <c r="G851" s="18" t="inlineStr">
        <is>
          <t>CEDI FRIO</t>
        </is>
      </c>
    </row>
    <row r="852">
      <c r="B852" s="56" t="inlineStr">
        <is>
          <t>00007-HRR</t>
        </is>
      </c>
      <c r="C852" s="56">
        <f>IFERROR(_xlfn.XLOOKUP(SALIDAS[[#This Row],[CODIGO]],LISTADO[CODIGOS],LISTADO[CATEGORIA]),"NO EXISTE")</f>
        <v/>
      </c>
      <c r="D852" s="56">
        <f>IFERROR(_xlfn.XLOOKUP(SALIDAS[[#This Row],[CODIGO]],LISTADO[CODIGOS],LISTADO[PRODUCTOS]),"NO EXISTE")</f>
        <v/>
      </c>
      <c r="E852" s="19" t="n">
        <v>46102</v>
      </c>
      <c r="F852" s="33" t="n">
        <v>1</v>
      </c>
      <c r="G852" s="18" t="inlineStr">
        <is>
          <t>CEDI FRIO</t>
        </is>
      </c>
    </row>
    <row r="853">
      <c r="B853" s="56" t="inlineStr">
        <is>
          <t>00047-ELE</t>
        </is>
      </c>
      <c r="C853" s="56">
        <f>IFERROR(_xlfn.XLOOKUP(SALIDAS[[#This Row],[CODIGO]],LISTADO[CODIGOS],LISTADO[CATEGORIA]),"NO EXISTE")</f>
        <v/>
      </c>
      <c r="D853" s="56">
        <f>IFERROR(_xlfn.XLOOKUP(SALIDAS[[#This Row],[CODIGO]],LISTADO[CODIGOS],LISTADO[PRODUCTOS]),"NO EXISTE")</f>
        <v/>
      </c>
      <c r="E853" s="19" t="n">
        <v>46102</v>
      </c>
      <c r="F853" s="33" t="n">
        <v>33</v>
      </c>
      <c r="G853" s="18" t="inlineStr">
        <is>
          <t>LA VIÑA</t>
        </is>
      </c>
    </row>
    <row r="854">
      <c r="B854" s="56" t="inlineStr">
        <is>
          <t>00003-ELE</t>
        </is>
      </c>
      <c r="C854" s="56">
        <f>IFERROR(_xlfn.XLOOKUP(SALIDAS[[#This Row],[CODIGO]],LISTADO[CODIGOS],LISTADO[CATEGORIA]),"NO EXISTE")</f>
        <v/>
      </c>
      <c r="D854" s="56">
        <f>IFERROR(_xlfn.XLOOKUP(SALIDAS[[#This Row],[CODIGO]],LISTADO[CODIGOS],LISTADO[PRODUCTOS]),"NO EXISTE")</f>
        <v/>
      </c>
      <c r="E854" s="19" t="n">
        <v>46102</v>
      </c>
      <c r="F854" s="18" t="n">
        <v>4</v>
      </c>
      <c r="G854" s="18" t="inlineStr">
        <is>
          <t>CEDI FRIO</t>
        </is>
      </c>
    </row>
    <row r="855">
      <c r="B855" s="56" t="inlineStr">
        <is>
          <t>00115-FER</t>
        </is>
      </c>
      <c r="C855" s="56">
        <f>IFERROR(_xlfn.XLOOKUP(SALIDAS[[#This Row],[CODIGO]],LISTADO[CODIGOS],LISTADO[CATEGORIA]),"NO EXISTE")</f>
        <v/>
      </c>
      <c r="D855" s="56">
        <f>IFERROR(_xlfn.XLOOKUP(SALIDAS[[#This Row],[CODIGO]],LISTADO[CODIGOS],LISTADO[PRODUCTOS]),"NO EXISTE")</f>
        <v/>
      </c>
      <c r="E855" s="19" t="n">
        <v>46102</v>
      </c>
      <c r="F855" s="18" t="n">
        <v>100</v>
      </c>
      <c r="G855" s="18" t="inlineStr">
        <is>
          <t>LA VIÑA</t>
        </is>
      </c>
    </row>
    <row r="856">
      <c r="B856" s="56" t="inlineStr">
        <is>
          <t>00004-FER</t>
        </is>
      </c>
      <c r="C856" s="56">
        <f>IFERROR(_xlfn.XLOOKUP(SALIDAS[[#This Row],[CODIGO]],LISTADO[CODIGOS],LISTADO[CATEGORIA]),"NO EXISTE")</f>
        <v/>
      </c>
      <c r="D856" s="56">
        <f>IFERROR(_xlfn.XLOOKUP(SALIDAS[[#This Row],[CODIGO]],LISTADO[CODIGOS],LISTADO[PRODUCTOS]),"NO EXISTE")</f>
        <v/>
      </c>
      <c r="E856" s="19" t="n">
        <v>46103</v>
      </c>
      <c r="F856" s="18" t="n">
        <v>50</v>
      </c>
      <c r="G856" s="18" t="inlineStr">
        <is>
          <t>NAGUANAGUA 1</t>
        </is>
      </c>
    </row>
    <row r="857">
      <c r="B857" s="56" t="inlineStr">
        <is>
          <t>00109-FER</t>
        </is>
      </c>
      <c r="C857" s="56">
        <f>IFERROR(_xlfn.XLOOKUP(SALIDAS[[#This Row],[CODIGO]],LISTADO[CODIGOS],LISTADO[CATEGORIA]),"NO EXISTE")</f>
        <v/>
      </c>
      <c r="D857" s="56">
        <f>IFERROR(_xlfn.XLOOKUP(SALIDAS[[#This Row],[CODIGO]],LISTADO[CODIGOS],LISTADO[PRODUCTOS]),"NO EXISTE")</f>
        <v/>
      </c>
      <c r="E857" s="19" t="n">
        <v>46103</v>
      </c>
      <c r="F857" s="18" t="n">
        <v>50</v>
      </c>
      <c r="G857" s="18" t="inlineStr">
        <is>
          <t>NAGUANAGUA 1</t>
        </is>
      </c>
    </row>
    <row r="858">
      <c r="B858" s="56" t="inlineStr">
        <is>
          <t>00036-ILU</t>
        </is>
      </c>
      <c r="C858" s="56">
        <f>IFERROR(_xlfn.XLOOKUP(SALIDAS[[#This Row],[CODIGO]],LISTADO[CODIGOS],LISTADO[CATEGORIA]),"NO EXISTE")</f>
        <v/>
      </c>
      <c r="D858" s="56">
        <f>IFERROR(_xlfn.XLOOKUP(SALIDAS[[#This Row],[CODIGO]],LISTADO[CODIGOS],LISTADO[PRODUCTOS]),"NO EXISTE")</f>
        <v/>
      </c>
      <c r="E858" s="19" t="n">
        <v>46103</v>
      </c>
      <c r="F858" s="18" t="n">
        <v>6</v>
      </c>
      <c r="G858" s="18" t="inlineStr">
        <is>
          <t xml:space="preserve">EL BOSQUE </t>
        </is>
      </c>
    </row>
    <row r="859">
      <c r="B859" s="56" t="inlineStr">
        <is>
          <t>00036-ILU</t>
        </is>
      </c>
      <c r="C859" s="56">
        <f>IFERROR(_xlfn.XLOOKUP(SALIDAS[[#This Row],[CODIGO]],LISTADO[CODIGOS],LISTADO[CATEGORIA]),"NO EXISTE")</f>
        <v/>
      </c>
      <c r="D859" s="56">
        <f>IFERROR(_xlfn.XLOOKUP(SALIDAS[[#This Row],[CODIGO]],LISTADO[CODIGOS],LISTADO[PRODUCTOS]),"NO EXISTE")</f>
        <v/>
      </c>
      <c r="E859" s="19" t="n">
        <v>46103</v>
      </c>
      <c r="F859" s="18" t="n">
        <v>5</v>
      </c>
      <c r="G859" s="18" t="inlineStr">
        <is>
          <t>TOCUYITO</t>
        </is>
      </c>
    </row>
    <row r="860">
      <c r="B860" s="18" t="inlineStr">
        <is>
          <t>00049-ILU</t>
        </is>
      </c>
      <c r="C860" s="56">
        <f>IFERROR(_xlfn.XLOOKUP(SALIDAS[[#This Row],[CODIGO]],LISTADO[CODIGOS],LISTADO[CATEGORIA]),"NO EXISTE")</f>
        <v/>
      </c>
      <c r="D860" s="56">
        <f>IFERROR(_xlfn.XLOOKUP(SALIDAS[[#This Row],[CODIGO]],LISTADO[CODIGOS],LISTADO[PRODUCTOS]),"NO EXISTE")</f>
        <v/>
      </c>
      <c r="E860" s="19" t="n">
        <v>46103</v>
      </c>
      <c r="F860" s="18" t="n">
        <v>2</v>
      </c>
      <c r="G860" s="18" t="inlineStr">
        <is>
          <t>TOCUYITO</t>
        </is>
      </c>
    </row>
    <row r="861">
      <c r="B861" s="56" t="inlineStr">
        <is>
          <t>00116-FER</t>
        </is>
      </c>
      <c r="C861" s="56">
        <f>IFERROR(_xlfn.XLOOKUP(SALIDAS[[#This Row],[CODIGO]],LISTADO[CODIGOS],LISTADO[CATEGORIA]),"NO EXISTE")</f>
        <v/>
      </c>
      <c r="D861" s="56">
        <f>IFERROR(_xlfn.XLOOKUP(SALIDAS[[#This Row],[CODIGO]],LISTADO[CODIGOS],LISTADO[PRODUCTOS]),"NO EXISTE")</f>
        <v/>
      </c>
      <c r="E861" s="19" t="n">
        <v>46103</v>
      </c>
      <c r="F861" s="18" t="n">
        <v>15</v>
      </c>
      <c r="G861" s="18" t="inlineStr">
        <is>
          <t>TOCUYITO</t>
        </is>
      </c>
    </row>
    <row r="862">
      <c r="B862" s="56" t="inlineStr">
        <is>
          <t>00116-FER</t>
        </is>
      </c>
      <c r="C862" s="56">
        <f>IFERROR(_xlfn.XLOOKUP(SALIDAS[[#This Row],[CODIGO]],LISTADO[CODIGOS],LISTADO[CATEGORIA]),"NO EXISTE")</f>
        <v/>
      </c>
      <c r="D862" s="56">
        <f>IFERROR(_xlfn.XLOOKUP(SALIDAS[[#This Row],[CODIGO]],LISTADO[CODIGOS],LISTADO[PRODUCTOS]),"NO EXISTE")</f>
        <v/>
      </c>
      <c r="E862" s="19" t="n">
        <v>46103</v>
      </c>
      <c r="F862" s="18" t="n">
        <v>15</v>
      </c>
      <c r="G862" s="18" t="inlineStr">
        <is>
          <t xml:space="preserve">EL BOSQUE </t>
        </is>
      </c>
    </row>
    <row r="863">
      <c r="B863" s="56" t="inlineStr">
        <is>
          <t>00031-ILU</t>
        </is>
      </c>
      <c r="C863" s="56">
        <f>IFERROR(_xlfn.XLOOKUP(SALIDAS[[#This Row],[CODIGO]],LISTADO[CODIGOS],LISTADO[CATEGORIA]),"NO EXISTE")</f>
        <v/>
      </c>
      <c r="D863" s="56">
        <f>IFERROR(_xlfn.XLOOKUP(SALIDAS[[#This Row],[CODIGO]],LISTADO[CODIGOS],LISTADO[PRODUCTOS]),"NO EXISTE")</f>
        <v/>
      </c>
      <c r="E863" s="19" t="n">
        <v>46103</v>
      </c>
      <c r="F863" s="18" t="n">
        <v>2</v>
      </c>
      <c r="G863" s="18" t="inlineStr">
        <is>
          <t>NAGUANAGUA 1</t>
        </is>
      </c>
    </row>
    <row r="864">
      <c r="B864" s="18" t="inlineStr">
        <is>
          <t>00049-ILU</t>
        </is>
      </c>
      <c r="C864" s="56">
        <f>IFERROR(_xlfn.XLOOKUP(SALIDAS[[#This Row],[CODIGO]],LISTADO[CODIGOS],LISTADO[CATEGORIA]),"NO EXISTE")</f>
        <v/>
      </c>
      <c r="D864" s="56">
        <f>IFERROR(_xlfn.XLOOKUP(SALIDAS[[#This Row],[CODIGO]],LISTADO[CODIGOS],LISTADO[PRODUCTOS]),"NO EXISTE")</f>
        <v/>
      </c>
      <c r="E864" s="19" t="n">
        <v>46103</v>
      </c>
      <c r="F864" s="18" t="n">
        <v>6</v>
      </c>
      <c r="G864" s="18" t="inlineStr">
        <is>
          <t>NAGUANAGUA 1</t>
        </is>
      </c>
    </row>
    <row r="865">
      <c r="B865" s="18" t="inlineStr">
        <is>
          <t>00050-ILU</t>
        </is>
      </c>
      <c r="C865" s="56">
        <f>IFERROR(_xlfn.XLOOKUP(SALIDAS[[#This Row],[CODIGO]],LISTADO[CODIGOS],LISTADO[CATEGORIA]),"NO EXISTE")</f>
        <v/>
      </c>
      <c r="D865" s="56">
        <f>IFERROR(_xlfn.XLOOKUP(SALIDAS[[#This Row],[CODIGO]],LISTADO[CODIGOS],LISTADO[PRODUCTOS]),"NO EXISTE")</f>
        <v/>
      </c>
      <c r="E865" s="19" t="n">
        <v>46103</v>
      </c>
      <c r="F865" s="18" t="n">
        <v>1</v>
      </c>
      <c r="G865" s="18" t="inlineStr">
        <is>
          <t xml:space="preserve">EL BOSQUE </t>
        </is>
      </c>
    </row>
    <row r="866">
      <c r="B866" s="18" t="inlineStr">
        <is>
          <t>00145-FER</t>
        </is>
      </c>
      <c r="C866" s="56">
        <f>IFERROR(_xlfn.XLOOKUP(SALIDAS[[#This Row],[CODIGO]],LISTADO[CODIGOS],LISTADO[CATEGORIA]),"NO EXISTE")</f>
        <v/>
      </c>
      <c r="D866" s="56">
        <f>IFERROR(_xlfn.XLOOKUP(SALIDAS[[#This Row],[CODIGO]],LISTADO[CODIGOS],LISTADO[PRODUCTOS]),"NO EXISTE")</f>
        <v/>
      </c>
      <c r="E866" s="19" t="n">
        <v>46103</v>
      </c>
      <c r="F866" s="18" t="n">
        <v>1</v>
      </c>
      <c r="G866" s="18" t="inlineStr">
        <is>
          <t xml:space="preserve">EL BOSQUE </t>
        </is>
      </c>
    </row>
    <row r="867">
      <c r="B867" s="18" t="inlineStr">
        <is>
          <t>00042-ILU</t>
        </is>
      </c>
      <c r="C867" s="56">
        <f>IFERROR(_xlfn.XLOOKUP(SALIDAS[[#This Row],[CODIGO]],LISTADO[CODIGOS],LISTADO[CATEGORIA]),"NO EXISTE")</f>
        <v/>
      </c>
      <c r="D867" s="56">
        <f>IFERROR(_xlfn.XLOOKUP(SALIDAS[[#This Row],[CODIGO]],LISTADO[CODIGOS],LISTADO[PRODUCTOS]),"NO EXISTE")</f>
        <v/>
      </c>
      <c r="E867" s="19" t="n">
        <v>46103</v>
      </c>
      <c r="F867" s="18" t="n">
        <v>3</v>
      </c>
      <c r="G867" s="18" t="inlineStr">
        <is>
          <t>GUACARA</t>
        </is>
      </c>
    </row>
    <row r="868">
      <c r="B868" s="56" t="inlineStr">
        <is>
          <t>00135-FER</t>
        </is>
      </c>
      <c r="C868" s="56">
        <f>IFERROR(_xlfn.XLOOKUP(SALIDAS[[#This Row],[CODIGO]],LISTADO[CODIGOS],LISTADO[CATEGORIA]),"NO EXISTE")</f>
        <v/>
      </c>
      <c r="D868" s="56">
        <f>IFERROR(_xlfn.XLOOKUP(SALIDAS[[#This Row],[CODIGO]],LISTADO[CODIGOS],LISTADO[PRODUCTOS]),"NO EXISTE")</f>
        <v/>
      </c>
      <c r="E868" s="19" t="n">
        <v>46103</v>
      </c>
      <c r="F868" s="18" t="n">
        <v>50</v>
      </c>
      <c r="G868" s="18" t="inlineStr">
        <is>
          <t>NAGUANAGUA 1</t>
        </is>
      </c>
    </row>
    <row r="869">
      <c r="B869" s="56" t="inlineStr">
        <is>
          <t>00018-MSC</t>
        </is>
      </c>
      <c r="C869" s="56">
        <f>IFERROR(_xlfn.XLOOKUP(SALIDAS[[#This Row],[CODIGO]],LISTADO[CODIGOS],LISTADO[CATEGORIA]),"NO EXISTE")</f>
        <v/>
      </c>
      <c r="D869" s="56">
        <f>IFERROR(_xlfn.XLOOKUP(SALIDAS[[#This Row],[CODIGO]],LISTADO[CODIGOS],LISTADO[PRODUCTOS]),"NO EXISTE")</f>
        <v/>
      </c>
      <c r="E869" s="19" t="n">
        <v>46103</v>
      </c>
      <c r="F869" s="18" t="n">
        <v>2</v>
      </c>
      <c r="G869" s="18" t="inlineStr">
        <is>
          <t>SAN DIEGO</t>
        </is>
      </c>
    </row>
    <row r="870">
      <c r="B870" s="56" t="inlineStr">
        <is>
          <t>00001-LIM</t>
        </is>
      </c>
      <c r="C870" s="56">
        <f>IFERROR(_xlfn.XLOOKUP(SALIDAS[[#This Row],[CODIGO]],LISTADO[CODIGOS],LISTADO[CATEGORIA]),"NO EXISTE")</f>
        <v/>
      </c>
      <c r="D870" s="56">
        <f>IFERROR(_xlfn.XLOOKUP(SALIDAS[[#This Row],[CODIGO]],LISTADO[CODIGOS],LISTADO[PRODUCTOS]),"NO EXISTE")</f>
        <v/>
      </c>
      <c r="E870" s="19" t="n">
        <v>46104</v>
      </c>
      <c r="F870" s="33" t="n">
        <v>2</v>
      </c>
      <c r="G870" s="18" t="inlineStr">
        <is>
          <t>LAS FERIAS</t>
        </is>
      </c>
    </row>
    <row r="871">
      <c r="B871" s="56" t="inlineStr">
        <is>
          <t>00009-LIM</t>
        </is>
      </c>
      <c r="C871" s="56">
        <f>IFERROR(_xlfn.XLOOKUP(SALIDAS[[#This Row],[CODIGO]],LISTADO[CODIGOS],LISTADO[CATEGORIA]),"NO EXISTE")</f>
        <v/>
      </c>
      <c r="D871" s="56">
        <f>IFERROR(_xlfn.XLOOKUP(SALIDAS[[#This Row],[CODIGO]],LISTADO[CODIGOS],LISTADO[PRODUCTOS]),"NO EXISTE")</f>
        <v/>
      </c>
      <c r="E871" s="19" t="n">
        <v>46104</v>
      </c>
      <c r="F871" s="33" t="n">
        <v>2</v>
      </c>
      <c r="G871" s="18" t="inlineStr">
        <is>
          <t>LAS FERIAS</t>
        </is>
      </c>
    </row>
    <row r="872">
      <c r="B872" s="56" t="inlineStr">
        <is>
          <t>00008-LIM</t>
        </is>
      </c>
      <c r="C872" s="56">
        <f>IFERROR(_xlfn.XLOOKUP(SALIDAS[[#This Row],[CODIGO]],LISTADO[CODIGOS],LISTADO[CATEGORIA]),"NO EXISTE")</f>
        <v/>
      </c>
      <c r="D872" s="56">
        <f>IFERROR(_xlfn.XLOOKUP(SALIDAS[[#This Row],[CODIGO]],LISTADO[CODIGOS],LISTADO[PRODUCTOS]),"NO EXISTE")</f>
        <v/>
      </c>
      <c r="E872" s="19" t="n">
        <v>46104</v>
      </c>
      <c r="F872" s="33" t="n">
        <v>4</v>
      </c>
      <c r="G872" s="18" t="inlineStr">
        <is>
          <t>LAS FERIAS</t>
        </is>
      </c>
    </row>
    <row r="873">
      <c r="B873" s="18" t="inlineStr">
        <is>
          <t>00013-LIM</t>
        </is>
      </c>
      <c r="C873" s="56">
        <f>IFERROR(_xlfn.XLOOKUP(SALIDAS[[#This Row],[CODIGO]],LISTADO[CODIGOS],LISTADO[CATEGORIA]),"NO EXISTE")</f>
        <v/>
      </c>
      <c r="D873" s="56">
        <f>IFERROR(_xlfn.XLOOKUP(SALIDAS[[#This Row],[CODIGO]],LISTADO[CODIGOS],LISTADO[PRODUCTOS]),"NO EXISTE")</f>
        <v/>
      </c>
      <c r="E873" s="19" t="n">
        <v>46104</v>
      </c>
      <c r="F873" s="33" t="n">
        <v>1</v>
      </c>
      <c r="G873" s="18" t="inlineStr">
        <is>
          <t>LAS FERIAS</t>
        </is>
      </c>
    </row>
    <row r="874">
      <c r="B874" s="56" t="inlineStr">
        <is>
          <t>00009-LIM</t>
        </is>
      </c>
      <c r="C874" s="56">
        <f>IFERROR(_xlfn.XLOOKUP(SALIDAS[[#This Row],[CODIGO]],LISTADO[CODIGOS],LISTADO[CATEGORIA]),"NO EXISTE")</f>
        <v/>
      </c>
      <c r="D874" s="56">
        <f>IFERROR(_xlfn.XLOOKUP(SALIDAS[[#This Row],[CODIGO]],LISTADO[CODIGOS],LISTADO[PRODUCTOS]),"NO EXISTE")</f>
        <v/>
      </c>
      <c r="E874" s="19" t="n">
        <v>46104</v>
      </c>
      <c r="F874" s="33" t="n">
        <v>1</v>
      </c>
      <c r="G874" s="18" t="inlineStr">
        <is>
          <t>LAS FERIAS</t>
        </is>
      </c>
    </row>
    <row r="875">
      <c r="B875" s="18" t="inlineStr">
        <is>
          <t>00007-LIM</t>
        </is>
      </c>
      <c r="C875" s="56">
        <f>IFERROR(_xlfn.XLOOKUP(SALIDAS[[#This Row],[CODIGO]],LISTADO[CODIGOS],LISTADO[CATEGORIA]),"NO EXISTE")</f>
        <v/>
      </c>
      <c r="D875" s="56">
        <f>IFERROR(_xlfn.XLOOKUP(SALIDAS[[#This Row],[CODIGO]],LISTADO[CODIGOS],LISTADO[PRODUCTOS]),"NO EXISTE")</f>
        <v/>
      </c>
      <c r="E875" s="19" t="n">
        <v>46104</v>
      </c>
      <c r="F875" s="33" t="n">
        <v>6</v>
      </c>
      <c r="G875" s="18" t="inlineStr">
        <is>
          <t>LAS FERIAS</t>
        </is>
      </c>
    </row>
    <row r="876">
      <c r="B876" s="56" t="inlineStr">
        <is>
          <t>00005-LIM</t>
        </is>
      </c>
      <c r="C876" s="56">
        <f>IFERROR(_xlfn.XLOOKUP(SALIDAS[[#This Row],[CODIGO]],LISTADO[CODIGOS],LISTADO[CATEGORIA]),"NO EXISTE")</f>
        <v/>
      </c>
      <c r="D876" s="56">
        <f>IFERROR(_xlfn.XLOOKUP(SALIDAS[[#This Row],[CODIGO]],LISTADO[CODIGOS],LISTADO[PRODUCTOS]),"NO EXISTE")</f>
        <v/>
      </c>
      <c r="E876" s="19" t="n">
        <v>46104</v>
      </c>
      <c r="F876" s="33" t="n">
        <v>2</v>
      </c>
      <c r="G876" s="18" t="inlineStr">
        <is>
          <t>LAS FERIAS</t>
        </is>
      </c>
    </row>
    <row r="877">
      <c r="B877" s="56" t="inlineStr">
        <is>
          <t>00006-LIM</t>
        </is>
      </c>
      <c r="C877" s="56">
        <f>IFERROR(_xlfn.XLOOKUP(SALIDAS[[#This Row],[CODIGO]],LISTADO[CODIGOS],LISTADO[CATEGORIA]),"NO EXISTE")</f>
        <v/>
      </c>
      <c r="D877" s="56">
        <f>IFERROR(_xlfn.XLOOKUP(SALIDAS[[#This Row],[CODIGO]],LISTADO[CODIGOS],LISTADO[PRODUCTOS]),"NO EXISTE")</f>
        <v/>
      </c>
      <c r="E877" s="19" t="n">
        <v>46104</v>
      </c>
      <c r="F877" s="33" t="n">
        <v>2</v>
      </c>
      <c r="G877" s="18" t="inlineStr">
        <is>
          <t>LAS FERIAS</t>
        </is>
      </c>
    </row>
    <row r="878">
      <c r="B878" s="56" t="inlineStr">
        <is>
          <t>00001-LIM</t>
        </is>
      </c>
      <c r="C878" s="56">
        <f>IFERROR(_xlfn.XLOOKUP(SALIDAS[[#This Row],[CODIGO]],LISTADO[CODIGOS],LISTADO[CATEGORIA]),"NO EXISTE")</f>
        <v/>
      </c>
      <c r="D878" s="56">
        <f>IFERROR(_xlfn.XLOOKUP(SALIDAS[[#This Row],[CODIGO]],LISTADO[CODIGOS],LISTADO[PRODUCTOS]),"NO EXISTE")</f>
        <v/>
      </c>
      <c r="E878" s="19" t="n">
        <v>46104</v>
      </c>
      <c r="F878" s="33" t="n">
        <v>3</v>
      </c>
      <c r="G878" s="18" t="inlineStr">
        <is>
          <t>PARAISO (CARACAS)</t>
        </is>
      </c>
    </row>
    <row r="879">
      <c r="B879" s="56" t="inlineStr">
        <is>
          <t>00009-LIM</t>
        </is>
      </c>
      <c r="C879" s="56">
        <f>IFERROR(_xlfn.XLOOKUP(SALIDAS[[#This Row],[CODIGO]],LISTADO[CODIGOS],LISTADO[CATEGORIA]),"NO EXISTE")</f>
        <v/>
      </c>
      <c r="D879" s="56">
        <f>IFERROR(_xlfn.XLOOKUP(SALIDAS[[#This Row],[CODIGO]],LISTADO[CODIGOS],LISTADO[PRODUCTOS]),"NO EXISTE")</f>
        <v/>
      </c>
      <c r="E879" s="19" t="n">
        <v>46104</v>
      </c>
      <c r="F879" s="18" t="n">
        <v>5</v>
      </c>
      <c r="G879" s="18" t="inlineStr">
        <is>
          <t>PARAISO (CARACAS)</t>
        </is>
      </c>
    </row>
    <row r="880">
      <c r="B880" s="18" t="inlineStr">
        <is>
          <t>00013-LIM</t>
        </is>
      </c>
      <c r="C880" s="56">
        <f>IFERROR(_xlfn.XLOOKUP(SALIDAS[[#This Row],[CODIGO]],LISTADO[CODIGOS],LISTADO[CATEGORIA]),"NO EXISTE")</f>
        <v/>
      </c>
      <c r="D880" s="56">
        <f>IFERROR(_xlfn.XLOOKUP(SALIDAS[[#This Row],[CODIGO]],LISTADO[CODIGOS],LISTADO[PRODUCTOS]),"NO EXISTE")</f>
        <v/>
      </c>
      <c r="E880" s="19" t="n">
        <v>46104</v>
      </c>
      <c r="F880" s="18" t="n">
        <v>2</v>
      </c>
      <c r="G880" s="18" t="inlineStr">
        <is>
          <t>PARAISO (CARACAS)</t>
        </is>
      </c>
    </row>
    <row r="881">
      <c r="B881" s="56" t="inlineStr">
        <is>
          <t>00008-LIM</t>
        </is>
      </c>
      <c r="C881" s="56">
        <f>IFERROR(_xlfn.XLOOKUP(SALIDAS[[#This Row],[CODIGO]],LISTADO[CODIGOS],LISTADO[CATEGORIA]),"NO EXISTE")</f>
        <v/>
      </c>
      <c r="D881" s="56">
        <f>IFERROR(_xlfn.XLOOKUP(SALIDAS[[#This Row],[CODIGO]],LISTADO[CODIGOS],LISTADO[PRODUCTOS]),"NO EXISTE")</f>
        <v/>
      </c>
      <c r="E881" s="19" t="n">
        <v>46104</v>
      </c>
      <c r="F881" s="18" t="n">
        <v>2</v>
      </c>
      <c r="G881" s="18" t="inlineStr">
        <is>
          <t>PARAISO (CARACAS)</t>
        </is>
      </c>
    </row>
    <row r="882">
      <c r="B882" s="56" t="inlineStr">
        <is>
          <t>00006-LIM</t>
        </is>
      </c>
      <c r="C882" s="56">
        <f>IFERROR(_xlfn.XLOOKUP(SALIDAS[[#This Row],[CODIGO]],LISTADO[CODIGOS],LISTADO[CATEGORIA]),"NO EXISTE")</f>
        <v/>
      </c>
      <c r="D882" s="56">
        <f>IFERROR(_xlfn.XLOOKUP(SALIDAS[[#This Row],[CODIGO]],LISTADO[CODIGOS],LISTADO[PRODUCTOS]),"NO EXISTE")</f>
        <v/>
      </c>
      <c r="E882" s="19" t="n">
        <v>46104</v>
      </c>
      <c r="F882" s="18" t="n">
        <v>3</v>
      </c>
      <c r="G882" s="18" t="inlineStr">
        <is>
          <t>PARAISO (CARACAS)</t>
        </is>
      </c>
    </row>
    <row r="883">
      <c r="B883" s="56" t="inlineStr">
        <is>
          <t>00001-LIM</t>
        </is>
      </c>
      <c r="C883" s="56">
        <f>IFERROR(_xlfn.XLOOKUP(SALIDAS[[#This Row],[CODIGO]],LISTADO[CODIGOS],LISTADO[CATEGORIA]),"NO EXISTE")</f>
        <v/>
      </c>
      <c r="D883" s="56">
        <f>IFERROR(_xlfn.XLOOKUP(SALIDAS[[#This Row],[CODIGO]],LISTADO[CODIGOS],LISTADO[PRODUCTOS]),"NO EXISTE")</f>
        <v/>
      </c>
      <c r="E883" s="19" t="n">
        <v>46104</v>
      </c>
      <c r="F883" s="18" t="n">
        <v>2</v>
      </c>
      <c r="G883" s="18" t="inlineStr">
        <is>
          <t>CEDI FRUVER</t>
        </is>
      </c>
    </row>
    <row r="884">
      <c r="B884" s="56" t="inlineStr">
        <is>
          <t>00009-LIM</t>
        </is>
      </c>
      <c r="C884" s="56">
        <f>IFERROR(_xlfn.XLOOKUP(SALIDAS[[#This Row],[CODIGO]],LISTADO[CODIGOS],LISTADO[CATEGORIA]),"NO EXISTE")</f>
        <v/>
      </c>
      <c r="D884" s="56">
        <f>IFERROR(_xlfn.XLOOKUP(SALIDAS[[#This Row],[CODIGO]],LISTADO[CODIGOS],LISTADO[PRODUCTOS]),"NO EXISTE")</f>
        <v/>
      </c>
      <c r="E884" s="19" t="n">
        <v>46104</v>
      </c>
      <c r="F884" s="18" t="n">
        <v>4</v>
      </c>
      <c r="G884" s="18" t="inlineStr">
        <is>
          <t>CEDI FRUVER</t>
        </is>
      </c>
    </row>
    <row r="885">
      <c r="B885" s="56" t="inlineStr">
        <is>
          <t>00003-LIM</t>
        </is>
      </c>
      <c r="C885" s="56">
        <f>IFERROR(_xlfn.XLOOKUP(SALIDAS[[#This Row],[CODIGO]],LISTADO[CODIGOS],LISTADO[CATEGORIA]),"NO EXISTE")</f>
        <v/>
      </c>
      <c r="D885" s="56">
        <f>IFERROR(_xlfn.XLOOKUP(SALIDAS[[#This Row],[CODIGO]],LISTADO[CODIGOS],LISTADO[PRODUCTOS]),"NO EXISTE")</f>
        <v/>
      </c>
      <c r="E885" s="19" t="n">
        <v>46104</v>
      </c>
      <c r="F885" s="33" t="n">
        <v>2</v>
      </c>
      <c r="G885" s="18" t="inlineStr">
        <is>
          <t>CEDI FRUVER</t>
        </is>
      </c>
    </row>
    <row r="886">
      <c r="B886" s="56" t="inlineStr">
        <is>
          <t>00008-LIM</t>
        </is>
      </c>
      <c r="C886" s="56">
        <f>IFERROR(_xlfn.XLOOKUP(SALIDAS[[#This Row],[CODIGO]],LISTADO[CODIGOS],LISTADO[CATEGORIA]),"NO EXISTE")</f>
        <v/>
      </c>
      <c r="D886" s="56">
        <f>IFERROR(_xlfn.XLOOKUP(SALIDAS[[#This Row],[CODIGO]],LISTADO[CODIGOS],LISTADO[PRODUCTOS]),"NO EXISTE")</f>
        <v/>
      </c>
      <c r="E886" s="19" t="n">
        <v>46104</v>
      </c>
      <c r="F886" s="33" t="n">
        <v>3</v>
      </c>
      <c r="G886" s="18" t="inlineStr">
        <is>
          <t>CEDI FRUVER</t>
        </is>
      </c>
    </row>
    <row r="887">
      <c r="B887" s="56" t="inlineStr">
        <is>
          <t>00006-LIM</t>
        </is>
      </c>
      <c r="C887" s="56">
        <f>IFERROR(_xlfn.XLOOKUP(SALIDAS[[#This Row],[CODIGO]],LISTADO[CODIGOS],LISTADO[CATEGORIA]),"NO EXISTE")</f>
        <v/>
      </c>
      <c r="D887" s="56">
        <f>IFERROR(_xlfn.XLOOKUP(SALIDAS[[#This Row],[CODIGO]],LISTADO[CODIGOS],LISTADO[PRODUCTOS]),"NO EXISTE")</f>
        <v/>
      </c>
      <c r="E887" s="19" t="n">
        <v>46104</v>
      </c>
      <c r="F887" s="33" t="n">
        <v>2</v>
      </c>
      <c r="G887" s="18" t="inlineStr">
        <is>
          <t>CEDI FRUVER</t>
        </is>
      </c>
    </row>
    <row r="888">
      <c r="B888" s="18" t="inlineStr">
        <is>
          <t>00101-REF</t>
        </is>
      </c>
      <c r="C888" s="56">
        <f>IFERROR(_xlfn.XLOOKUP(SALIDAS[[#This Row],[CODIGO]],LISTADO[CODIGOS],LISTADO[CATEGORIA]),"NO EXISTE")</f>
        <v/>
      </c>
      <c r="D888" s="56">
        <f>IFERROR(_xlfn.XLOOKUP(SALIDAS[[#This Row],[CODIGO]],LISTADO[CODIGOS],LISTADO[PRODUCTOS]),"NO EXISTE")</f>
        <v/>
      </c>
      <c r="E888" s="19" t="n">
        <v>46104</v>
      </c>
      <c r="F888" s="33" t="n">
        <v>1</v>
      </c>
      <c r="G888" s="18" t="inlineStr">
        <is>
          <t>LAS FERIAS</t>
        </is>
      </c>
    </row>
    <row r="889">
      <c r="B889" s="56" t="inlineStr">
        <is>
          <t>00035-REF</t>
        </is>
      </c>
      <c r="C889" s="56">
        <f>IFERROR(_xlfn.XLOOKUP(SALIDAS[[#This Row],[CODIGO]],LISTADO[CODIGOS],LISTADO[CATEGORIA]),"NO EXISTE")</f>
        <v/>
      </c>
      <c r="D889" s="56">
        <f>IFERROR(_xlfn.XLOOKUP(SALIDAS[[#This Row],[CODIGO]],LISTADO[CODIGOS],LISTADO[PRODUCTOS]),"NO EXISTE")</f>
        <v/>
      </c>
      <c r="E889" s="19" t="n">
        <v>46104</v>
      </c>
      <c r="F889" s="33" t="n">
        <v>2</v>
      </c>
      <c r="G889" s="18" t="inlineStr">
        <is>
          <t>LAS FERIAS</t>
        </is>
      </c>
    </row>
    <row r="890">
      <c r="B890" s="56" t="inlineStr">
        <is>
          <t>00001-REF</t>
        </is>
      </c>
      <c r="C890" s="56">
        <f>IFERROR(_xlfn.XLOOKUP(SALIDAS[[#This Row],[CODIGO]],LISTADO[CODIGOS],LISTADO[CATEGORIA]),"NO EXISTE")</f>
        <v/>
      </c>
      <c r="D890" s="56">
        <f>IFERROR(_xlfn.XLOOKUP(SALIDAS[[#This Row],[CODIGO]],LISTADO[CODIGOS],LISTADO[PRODUCTOS]),"NO EXISTE")</f>
        <v/>
      </c>
      <c r="E890" s="19" t="n">
        <v>46104</v>
      </c>
      <c r="F890" s="33" t="n">
        <v>2</v>
      </c>
      <c r="G890" s="18" t="inlineStr">
        <is>
          <t>LAS FERIAS</t>
        </is>
      </c>
    </row>
    <row r="891">
      <c r="B891" s="56" t="inlineStr">
        <is>
          <t>00013-FER</t>
        </is>
      </c>
      <c r="C891" s="56">
        <f>IFERROR(_xlfn.XLOOKUP(SALIDAS[[#This Row],[CODIGO]],LISTADO[CODIGOS],LISTADO[CATEGORIA]),"NO EXISTE")</f>
        <v/>
      </c>
      <c r="D891" s="56">
        <f>IFERROR(_xlfn.XLOOKUP(SALIDAS[[#This Row],[CODIGO]],LISTADO[CODIGOS],LISTADO[PRODUCTOS]),"NO EXISTE")</f>
        <v/>
      </c>
      <c r="E891" s="19" t="n">
        <v>46104</v>
      </c>
      <c r="F891" s="33" t="n">
        <v>4</v>
      </c>
      <c r="G891" s="18" t="inlineStr">
        <is>
          <t xml:space="preserve">CEDI SECO </t>
        </is>
      </c>
    </row>
    <row r="892">
      <c r="B892" s="18" t="inlineStr">
        <is>
          <t>00164-FER</t>
        </is>
      </c>
      <c r="C892" s="56">
        <f>IFERROR(_xlfn.XLOOKUP(SALIDAS[[#This Row],[CODIGO]],LISTADO[CODIGOS],LISTADO[CATEGORIA]),"NO EXISTE")</f>
        <v/>
      </c>
      <c r="D892" s="56">
        <f>IFERROR(_xlfn.XLOOKUP(SALIDAS[[#This Row],[CODIGO]],LISTADO[CODIGOS],LISTADO[PRODUCTOS]),"NO EXISTE")</f>
        <v/>
      </c>
      <c r="E892" s="19" t="n">
        <v>46104</v>
      </c>
      <c r="F892" s="33" t="n">
        <v>1</v>
      </c>
      <c r="G892" s="18" t="inlineStr">
        <is>
          <t xml:space="preserve">CEDI SECO </t>
        </is>
      </c>
    </row>
    <row r="893">
      <c r="B893" s="56" t="inlineStr">
        <is>
          <t>00031-ILU</t>
        </is>
      </c>
      <c r="C893" s="56">
        <f>IFERROR(_xlfn.XLOOKUP(SALIDAS[[#This Row],[CODIGO]],LISTADO[CODIGOS],LISTADO[CATEGORIA]),"NO EXISTE")</f>
        <v/>
      </c>
      <c r="D893" s="56">
        <f>IFERROR(_xlfn.XLOOKUP(SALIDAS[[#This Row],[CODIGO]],LISTADO[CODIGOS],LISTADO[PRODUCTOS]),"NO EXISTE")</f>
        <v/>
      </c>
      <c r="E893" s="19" t="n">
        <v>46104</v>
      </c>
      <c r="F893" s="33" t="n">
        <v>7</v>
      </c>
      <c r="G893" s="18" t="inlineStr">
        <is>
          <t xml:space="preserve">CEDI SECO </t>
        </is>
      </c>
    </row>
    <row r="894">
      <c r="B894" s="56" t="inlineStr">
        <is>
          <t>00006-HRR</t>
        </is>
      </c>
      <c r="C894" s="56">
        <f>IFERROR(_xlfn.XLOOKUP(SALIDAS[[#This Row],[CODIGO]],LISTADO[CODIGOS],LISTADO[CATEGORIA]),"NO EXISTE")</f>
        <v/>
      </c>
      <c r="D894" s="56">
        <f>IFERROR(_xlfn.XLOOKUP(SALIDAS[[#This Row],[CODIGO]],LISTADO[CODIGOS],LISTADO[PRODUCTOS]),"NO EXISTE")</f>
        <v/>
      </c>
      <c r="E894" s="19" t="n">
        <v>46104</v>
      </c>
      <c r="F894" s="33" t="n">
        <v>1</v>
      </c>
      <c r="G894" s="18" t="inlineStr">
        <is>
          <t>CEDI FRIO</t>
        </is>
      </c>
    </row>
    <row r="895">
      <c r="B895" s="56" t="inlineStr">
        <is>
          <t>00004-HRR</t>
        </is>
      </c>
      <c r="C895" s="56">
        <f>IFERROR(_xlfn.XLOOKUP(SALIDAS[[#This Row],[CODIGO]],LISTADO[CODIGOS],LISTADO[CATEGORIA]),"NO EXISTE")</f>
        <v/>
      </c>
      <c r="D895" s="56">
        <f>IFERROR(_xlfn.XLOOKUP(SALIDAS[[#This Row],[CODIGO]],LISTADO[CODIGOS],LISTADO[PRODUCTOS]),"NO EXISTE")</f>
        <v/>
      </c>
      <c r="E895" s="19" t="n">
        <v>46104</v>
      </c>
      <c r="F895" s="33" t="n">
        <v>1</v>
      </c>
      <c r="G895" s="18" t="inlineStr">
        <is>
          <t>CEDI FRIO</t>
        </is>
      </c>
    </row>
    <row r="896">
      <c r="B896" s="18" t="inlineStr">
        <is>
          <t>00044-ILU</t>
        </is>
      </c>
      <c r="C896" s="56">
        <f>IFERROR(_xlfn.XLOOKUP(SALIDAS[[#This Row],[CODIGO]],LISTADO[CODIGOS],LISTADO[CATEGORIA]),"NO EXISTE")</f>
        <v/>
      </c>
      <c r="D896" s="56">
        <f>IFERROR(_xlfn.XLOOKUP(SALIDAS[[#This Row],[CODIGO]],LISTADO[CODIGOS],LISTADO[PRODUCTOS]),"NO EXISTE")</f>
        <v/>
      </c>
      <c r="E896" s="19" t="n">
        <v>46104</v>
      </c>
      <c r="F896" s="33" t="n">
        <v>12</v>
      </c>
      <c r="G896" s="18" t="inlineStr">
        <is>
          <t xml:space="preserve">EL BOSQUE </t>
        </is>
      </c>
    </row>
    <row r="897">
      <c r="B897" s="18" t="inlineStr">
        <is>
          <t>00042-ILU</t>
        </is>
      </c>
      <c r="C897" s="56">
        <f>IFERROR(_xlfn.XLOOKUP(SALIDAS[[#This Row],[CODIGO]],LISTADO[CODIGOS],LISTADO[CATEGORIA]),"NO EXISTE")</f>
        <v/>
      </c>
      <c r="D897" s="56">
        <f>IFERROR(_xlfn.XLOOKUP(SALIDAS[[#This Row],[CODIGO]],LISTADO[CODIGOS],LISTADO[PRODUCTOS]),"NO EXISTE")</f>
        <v/>
      </c>
      <c r="E897" s="19" t="n">
        <v>46104</v>
      </c>
      <c r="F897" s="33" t="n">
        <v>20</v>
      </c>
      <c r="G897" s="18" t="inlineStr">
        <is>
          <t xml:space="preserve">EL BOSQUE </t>
        </is>
      </c>
    </row>
    <row r="898">
      <c r="B898" s="56" t="inlineStr">
        <is>
          <t>00038-REF</t>
        </is>
      </c>
      <c r="C898" s="56">
        <f>IFERROR(_xlfn.XLOOKUP(SALIDAS[[#This Row],[CODIGO]],LISTADO[CODIGOS],LISTADO[CATEGORIA]),"NO EXISTE")</f>
        <v/>
      </c>
      <c r="D898" s="56">
        <f>IFERROR(_xlfn.XLOOKUP(SALIDAS[[#This Row],[CODIGO]],LISTADO[CODIGOS],LISTADO[PRODUCTOS]),"NO EXISTE")</f>
        <v/>
      </c>
      <c r="E898" s="19" t="n">
        <v>46104</v>
      </c>
      <c r="F898" s="33" t="n">
        <v>1</v>
      </c>
      <c r="G898" s="18" t="inlineStr">
        <is>
          <t>LAS FERIAS</t>
        </is>
      </c>
    </row>
    <row r="899">
      <c r="B899" s="56" t="inlineStr">
        <is>
          <t>00003-ELE</t>
        </is>
      </c>
      <c r="C899" s="56">
        <f>IFERROR(_xlfn.XLOOKUP(SALIDAS[[#This Row],[CODIGO]],LISTADO[CODIGOS],LISTADO[CATEGORIA]),"NO EXISTE")</f>
        <v/>
      </c>
      <c r="D899" s="56">
        <f>IFERROR(_xlfn.XLOOKUP(SALIDAS[[#This Row],[CODIGO]],LISTADO[CODIGOS],LISTADO[PRODUCTOS]),"NO EXISTE")</f>
        <v/>
      </c>
      <c r="E899" s="19" t="n">
        <v>46104</v>
      </c>
      <c r="F899" s="33" t="n">
        <v>10</v>
      </c>
      <c r="G899" s="18" t="inlineStr">
        <is>
          <t>LAS FERIAS</t>
        </is>
      </c>
    </row>
    <row r="900">
      <c r="B900" s="56" t="inlineStr">
        <is>
          <t>00036-REF</t>
        </is>
      </c>
      <c r="C900" s="56">
        <f>IFERROR(_xlfn.XLOOKUP(SALIDAS[[#This Row],[CODIGO]],LISTADO[CODIGOS],LISTADO[CATEGORIA]),"NO EXISTE")</f>
        <v/>
      </c>
      <c r="D900" s="56">
        <f>IFERROR(_xlfn.XLOOKUP(SALIDAS[[#This Row],[CODIGO]],LISTADO[CODIGOS],LISTADO[PRODUCTOS]),"NO EXISTE")</f>
        <v/>
      </c>
      <c r="E900" s="19" t="n">
        <v>46104</v>
      </c>
      <c r="F900" s="33" t="n">
        <v>3</v>
      </c>
      <c r="G900" s="18" t="inlineStr">
        <is>
          <t>LAS FERIAS</t>
        </is>
      </c>
    </row>
    <row r="901">
      <c r="B901" s="56" t="inlineStr">
        <is>
          <t>00036-REF</t>
        </is>
      </c>
      <c r="C901" s="56">
        <f>IFERROR(_xlfn.XLOOKUP(SALIDAS[[#This Row],[CODIGO]],LISTADO[CODIGOS],LISTADO[CATEGORIA]),"NO EXISTE")</f>
        <v/>
      </c>
      <c r="D901" s="56">
        <f>IFERROR(_xlfn.XLOOKUP(SALIDAS[[#This Row],[CODIGO]],LISTADO[CODIGOS],LISTADO[PRODUCTOS]),"NO EXISTE")</f>
        <v/>
      </c>
      <c r="E901" s="19" t="n">
        <v>46104</v>
      </c>
      <c r="F901" s="15" t="n">
        <v>2.5</v>
      </c>
      <c r="G901" s="18" t="inlineStr">
        <is>
          <t>CEDEÑO</t>
        </is>
      </c>
    </row>
    <row r="902">
      <c r="B902" s="56" t="inlineStr">
        <is>
          <t>00051-REF</t>
        </is>
      </c>
      <c r="C902" s="56">
        <f>IFERROR(_xlfn.XLOOKUP(SALIDAS[[#This Row],[CODIGO]],LISTADO[CODIGOS],LISTADO[CATEGORIA]),"NO EXISTE")</f>
        <v/>
      </c>
      <c r="D902" s="56">
        <f>IFERROR(_xlfn.XLOOKUP(SALIDAS[[#This Row],[CODIGO]],LISTADO[CODIGOS],LISTADO[PRODUCTOS]),"NO EXISTE")</f>
        <v/>
      </c>
      <c r="E902" s="19" t="n">
        <v>46104</v>
      </c>
      <c r="F902" s="33" t="n">
        <v>2</v>
      </c>
      <c r="G902" s="18" t="inlineStr">
        <is>
          <t>CEDEÑO</t>
        </is>
      </c>
    </row>
    <row r="903">
      <c r="B903" s="56" t="inlineStr">
        <is>
          <t>00041-FER</t>
        </is>
      </c>
      <c r="C903" s="56">
        <f>IFERROR(_xlfn.XLOOKUP(SALIDAS[[#This Row],[CODIGO]],LISTADO[CODIGOS],LISTADO[CATEGORIA]),"NO EXISTE")</f>
        <v/>
      </c>
      <c r="D903" s="56">
        <f>IFERROR(_xlfn.XLOOKUP(SALIDAS[[#This Row],[CODIGO]],LISTADO[CODIGOS],LISTADO[PRODUCTOS]),"NO EXISTE")</f>
        <v/>
      </c>
      <c r="E903" s="19" t="n">
        <v>46104</v>
      </c>
      <c r="F903" s="18" t="n">
        <v>3</v>
      </c>
      <c r="G903" s="18" t="inlineStr">
        <is>
          <t>PERIFERICO</t>
        </is>
      </c>
    </row>
    <row r="904">
      <c r="B904" s="56" t="inlineStr">
        <is>
          <t>00041-ELE</t>
        </is>
      </c>
      <c r="C904" s="56">
        <f>IFERROR(_xlfn.XLOOKUP(SALIDAS[[#This Row],[CODIGO]],LISTADO[CODIGOS],LISTADO[CATEGORIA]),"NO EXISTE")</f>
        <v/>
      </c>
      <c r="D904" s="56">
        <f>IFERROR(_xlfn.XLOOKUP(SALIDAS[[#This Row],[CODIGO]],LISTADO[CODIGOS],LISTADO[PRODUCTOS]),"NO EXISTE")</f>
        <v/>
      </c>
      <c r="E904" s="19" t="n">
        <v>46104</v>
      </c>
      <c r="F904" s="18" t="n">
        <v>2</v>
      </c>
      <c r="G904" s="18" t="inlineStr">
        <is>
          <t>PERIFERICO</t>
        </is>
      </c>
    </row>
    <row r="905">
      <c r="B905" s="56" t="inlineStr">
        <is>
          <t>00094-FER</t>
        </is>
      </c>
      <c r="C905" s="56">
        <f>IFERROR(_xlfn.XLOOKUP(SALIDAS[[#This Row],[CODIGO]],LISTADO[CODIGOS],LISTADO[CATEGORIA]),"NO EXISTE")</f>
        <v/>
      </c>
      <c r="D905" s="56">
        <f>IFERROR(_xlfn.XLOOKUP(SALIDAS[[#This Row],[CODIGO]],LISTADO[CODIGOS],LISTADO[PRODUCTOS]),"NO EXISTE")</f>
        <v/>
      </c>
      <c r="E905" s="19" t="n">
        <v>46104</v>
      </c>
      <c r="F905" s="18" t="n">
        <v>1</v>
      </c>
      <c r="G905" s="18" t="inlineStr">
        <is>
          <t>PERIFERICO</t>
        </is>
      </c>
    </row>
    <row r="906">
      <c r="B906" s="56" t="inlineStr">
        <is>
          <t>00005-ELE</t>
        </is>
      </c>
      <c r="C906" s="56">
        <f>IFERROR(_xlfn.XLOOKUP(SALIDAS[[#This Row],[CODIGO]],LISTADO[CODIGOS],LISTADO[CATEGORIA]),"NO EXISTE")</f>
        <v/>
      </c>
      <c r="D906" s="56">
        <f>IFERROR(_xlfn.XLOOKUP(SALIDAS[[#This Row],[CODIGO]],LISTADO[CODIGOS],LISTADO[PRODUCTOS]),"NO EXISTE")</f>
        <v/>
      </c>
      <c r="E906" s="19" t="n">
        <v>46104</v>
      </c>
      <c r="F906" s="18" t="n">
        <v>3</v>
      </c>
      <c r="G906" s="18" t="inlineStr">
        <is>
          <t>LA VEGA (CARACAS)</t>
        </is>
      </c>
    </row>
    <row r="907">
      <c r="B907" s="56" t="inlineStr">
        <is>
          <t>00009-ELE</t>
        </is>
      </c>
      <c r="C907" s="56">
        <f>IFERROR(_xlfn.XLOOKUP(SALIDAS[[#This Row],[CODIGO]],LISTADO[CODIGOS],LISTADO[CATEGORIA]),"NO EXISTE")</f>
        <v/>
      </c>
      <c r="D907" s="56">
        <f>IFERROR(_xlfn.XLOOKUP(SALIDAS[[#This Row],[CODIGO]],LISTADO[CODIGOS],LISTADO[PRODUCTOS]),"NO EXISTE")</f>
        <v/>
      </c>
      <c r="E907" s="19" t="n">
        <v>46104</v>
      </c>
      <c r="F907" s="18" t="n">
        <v>2</v>
      </c>
      <c r="G907" s="18" t="inlineStr">
        <is>
          <t>LA VEGA (CARACAS)</t>
        </is>
      </c>
    </row>
    <row r="908">
      <c r="B908" s="56" t="inlineStr">
        <is>
          <t>00001-REF</t>
        </is>
      </c>
      <c r="C908" s="56">
        <f>IFERROR(_xlfn.XLOOKUP(SALIDAS[[#This Row],[CODIGO]],LISTADO[CODIGOS],LISTADO[CATEGORIA]),"NO EXISTE")</f>
        <v/>
      </c>
      <c r="D908" s="56">
        <f>IFERROR(_xlfn.XLOOKUP(SALIDAS[[#This Row],[CODIGO]],LISTADO[CODIGOS],LISTADO[PRODUCTOS]),"NO EXISTE")</f>
        <v/>
      </c>
      <c r="E908" s="19" t="n">
        <v>46104</v>
      </c>
      <c r="F908" s="18" t="n">
        <v>2</v>
      </c>
      <c r="G908" s="18" t="inlineStr">
        <is>
          <t>LA VEGA (CARACAS)</t>
        </is>
      </c>
    </row>
    <row r="909">
      <c r="B909" s="56" t="inlineStr">
        <is>
          <t>00035-REF</t>
        </is>
      </c>
      <c r="C909" s="56">
        <f>IFERROR(_xlfn.XLOOKUP(SALIDAS[[#This Row],[CODIGO]],LISTADO[CODIGOS],LISTADO[CATEGORIA]),"NO EXISTE")</f>
        <v/>
      </c>
      <c r="D909" s="56">
        <f>IFERROR(_xlfn.XLOOKUP(SALIDAS[[#This Row],[CODIGO]],LISTADO[CODIGOS],LISTADO[PRODUCTOS]),"NO EXISTE")</f>
        <v/>
      </c>
      <c r="E909" s="19" t="n">
        <v>46104</v>
      </c>
      <c r="F909" s="18" t="n">
        <v>2</v>
      </c>
      <c r="G909" s="18" t="inlineStr">
        <is>
          <t>LA VEGA (CARACAS)</t>
        </is>
      </c>
    </row>
    <row r="910">
      <c r="B910" s="56" t="inlineStr">
        <is>
          <t>00003-ELE</t>
        </is>
      </c>
      <c r="C910" s="56">
        <f>IFERROR(_xlfn.XLOOKUP(SALIDAS[[#This Row],[CODIGO]],LISTADO[CODIGOS],LISTADO[CATEGORIA]),"NO EXISTE")</f>
        <v/>
      </c>
      <c r="D910" s="56">
        <f>IFERROR(_xlfn.XLOOKUP(SALIDAS[[#This Row],[CODIGO]],LISTADO[CODIGOS],LISTADO[PRODUCTOS]),"NO EXISTE")</f>
        <v/>
      </c>
      <c r="E910" s="19" t="n">
        <v>46104</v>
      </c>
      <c r="F910" s="18" t="n">
        <v>11</v>
      </c>
      <c r="G910" s="18" t="inlineStr">
        <is>
          <t>LA VEGA (CARACAS)</t>
        </is>
      </c>
    </row>
    <row r="911">
      <c r="B911" s="56" t="inlineStr">
        <is>
          <t>00033-ELE</t>
        </is>
      </c>
      <c r="C911" s="56">
        <f>IFERROR(_xlfn.XLOOKUP(SALIDAS[[#This Row],[CODIGO]],LISTADO[CODIGOS],LISTADO[CATEGORIA]),"NO EXISTE")</f>
        <v/>
      </c>
      <c r="D911" s="56">
        <f>IFERROR(_xlfn.XLOOKUP(SALIDAS[[#This Row],[CODIGO]],LISTADO[CODIGOS],LISTADO[PRODUCTOS]),"NO EXISTE")</f>
        <v/>
      </c>
      <c r="E911" s="19" t="n">
        <v>46104</v>
      </c>
      <c r="F911" s="18" t="n">
        <v>1</v>
      </c>
      <c r="G911" s="18" t="inlineStr">
        <is>
          <t>LA VEGA (CARACAS)</t>
        </is>
      </c>
    </row>
    <row r="912">
      <c r="B912" s="56" t="inlineStr">
        <is>
          <t>00029-ELE</t>
        </is>
      </c>
      <c r="C912" s="56">
        <f>IFERROR(_xlfn.XLOOKUP(SALIDAS[[#This Row],[CODIGO]],LISTADO[CODIGOS],LISTADO[CATEGORIA]),"NO EXISTE")</f>
        <v/>
      </c>
      <c r="D912" s="56">
        <f>IFERROR(_xlfn.XLOOKUP(SALIDAS[[#This Row],[CODIGO]],LISTADO[CODIGOS],LISTADO[PRODUCTOS]),"NO EXISTE")</f>
        <v/>
      </c>
      <c r="E912" s="19" t="n">
        <v>46104</v>
      </c>
      <c r="F912" s="18" t="n">
        <v>1</v>
      </c>
      <c r="G912" s="18" t="inlineStr">
        <is>
          <t>LA VEGA (CARACAS)</t>
        </is>
      </c>
    </row>
    <row r="913">
      <c r="B913" s="56" t="inlineStr">
        <is>
          <t>00028-ELE</t>
        </is>
      </c>
      <c r="C913" s="56">
        <f>IFERROR(_xlfn.XLOOKUP(SALIDAS[[#This Row],[CODIGO]],LISTADO[CODIGOS],LISTADO[CATEGORIA]),"NO EXISTE")</f>
        <v/>
      </c>
      <c r="D913" s="56">
        <f>IFERROR(_xlfn.XLOOKUP(SALIDAS[[#This Row],[CODIGO]],LISTADO[CODIGOS],LISTADO[PRODUCTOS]),"NO EXISTE")</f>
        <v/>
      </c>
      <c r="E913" s="19" t="n">
        <v>46104</v>
      </c>
      <c r="F913" s="18" t="n">
        <v>1</v>
      </c>
      <c r="G913" s="18" t="inlineStr">
        <is>
          <t>LA VEGA (CARACAS)</t>
        </is>
      </c>
    </row>
    <row r="914">
      <c r="B914" s="56" t="inlineStr">
        <is>
          <t>00027-ELE</t>
        </is>
      </c>
      <c r="C914" s="56">
        <f>IFERROR(_xlfn.XLOOKUP(SALIDAS[[#This Row],[CODIGO]],LISTADO[CODIGOS],LISTADO[CATEGORIA]),"NO EXISTE")</f>
        <v/>
      </c>
      <c r="D914" s="56">
        <f>IFERROR(_xlfn.XLOOKUP(SALIDAS[[#This Row],[CODIGO]],LISTADO[CODIGOS],LISTADO[PRODUCTOS]),"NO EXISTE")</f>
        <v/>
      </c>
      <c r="E914" s="19" t="n">
        <v>46104</v>
      </c>
      <c r="F914" s="18" t="n">
        <v>1</v>
      </c>
      <c r="G914" s="18" t="inlineStr">
        <is>
          <t>LA VEGA (CARACAS)</t>
        </is>
      </c>
    </row>
    <row r="915">
      <c r="B915" s="56" t="inlineStr">
        <is>
          <t>00001-LIM</t>
        </is>
      </c>
      <c r="C915" s="56">
        <f>IFERROR(_xlfn.XLOOKUP(SALIDAS[[#This Row],[CODIGO]],LISTADO[CODIGOS],LISTADO[CATEGORIA]),"NO EXISTE")</f>
        <v/>
      </c>
      <c r="D915" s="56">
        <f>IFERROR(_xlfn.XLOOKUP(SALIDAS[[#This Row],[CODIGO]],LISTADO[CODIGOS],LISTADO[PRODUCTOS]),"NO EXISTE")</f>
        <v/>
      </c>
      <c r="E915" s="19" t="n">
        <v>46104</v>
      </c>
      <c r="F915" s="18" t="n">
        <v>1</v>
      </c>
      <c r="G915" s="18" t="inlineStr">
        <is>
          <t>LA VEGA (CARACAS)</t>
        </is>
      </c>
    </row>
    <row r="916">
      <c r="B916" s="56" t="inlineStr">
        <is>
          <t>00004-FER</t>
        </is>
      </c>
      <c r="C916" s="56">
        <f>IFERROR(_xlfn.XLOOKUP(SALIDAS[[#This Row],[CODIGO]],LISTADO[CODIGOS],LISTADO[CATEGORIA]),"NO EXISTE")</f>
        <v/>
      </c>
      <c r="D916" s="56">
        <f>IFERROR(_xlfn.XLOOKUP(SALIDAS[[#This Row],[CODIGO]],LISTADO[CODIGOS],LISTADO[PRODUCTOS]),"NO EXISTE")</f>
        <v/>
      </c>
      <c r="E916" s="19" t="n">
        <v>46104</v>
      </c>
      <c r="F916" s="15" t="n">
        <v>300</v>
      </c>
      <c r="G916" s="18" t="inlineStr">
        <is>
          <t>LA VIÑA</t>
        </is>
      </c>
    </row>
    <row r="917">
      <c r="B917" s="18" t="inlineStr">
        <is>
          <t>00047-ELC</t>
        </is>
      </c>
      <c r="C917" s="56">
        <f>IFERROR(_xlfn.XLOOKUP(SALIDAS[[#This Row],[CODIGO]],LISTADO[CODIGOS],LISTADO[CATEGORIA]),"NO EXISTE")</f>
        <v/>
      </c>
      <c r="D917" s="56">
        <f>IFERROR(_xlfn.XLOOKUP(SALIDAS[[#This Row],[CODIGO]],LISTADO[CODIGOS],LISTADO[PRODUCTOS]),"NO EXISTE")</f>
        <v/>
      </c>
      <c r="E917" s="19" t="n">
        <v>46104</v>
      </c>
      <c r="F917" s="15" t="n">
        <v>1</v>
      </c>
      <c r="G917" s="18" t="inlineStr">
        <is>
          <t>NAGUANAGUA 1</t>
        </is>
      </c>
    </row>
    <row r="918">
      <c r="B918" s="56" t="inlineStr">
        <is>
          <t>00107-HER</t>
        </is>
      </c>
      <c r="C918" s="56">
        <f>IFERROR(_xlfn.XLOOKUP(SALIDAS[[#This Row],[CODIGO]],LISTADO[CODIGOS],LISTADO[CATEGORIA]),"NO EXISTE")</f>
        <v/>
      </c>
      <c r="D918" s="56">
        <f>IFERROR(_xlfn.XLOOKUP(SALIDAS[[#This Row],[CODIGO]],LISTADO[CODIGOS],LISTADO[PRODUCTOS]),"NO EXISTE")</f>
        <v/>
      </c>
      <c r="E918" s="19" t="n">
        <v>46104</v>
      </c>
      <c r="F918" s="18" t="n">
        <v>1</v>
      </c>
      <c r="G918" s="18" t="inlineStr">
        <is>
          <t>NAGUANAGUA 1</t>
        </is>
      </c>
    </row>
    <row r="919">
      <c r="B919" s="18" t="inlineStr">
        <is>
          <t>00052-ILU</t>
        </is>
      </c>
      <c r="C919" s="56">
        <f>IFERROR(_xlfn.XLOOKUP(SALIDAS[[#This Row],[CODIGO]],LISTADO[CODIGOS],LISTADO[CATEGORIA]),"NO EXISTE")</f>
        <v/>
      </c>
      <c r="D919" s="56">
        <f>IFERROR(_xlfn.XLOOKUP(SALIDAS[[#This Row],[CODIGO]],LISTADO[CODIGOS],LISTADO[PRODUCTOS]),"NO EXISTE")</f>
        <v/>
      </c>
      <c r="E919" s="19" t="n">
        <v>46104</v>
      </c>
      <c r="F919" s="18" t="n">
        <v>1</v>
      </c>
      <c r="G919" s="18" t="inlineStr">
        <is>
          <t>NAGUANAGUA 1</t>
        </is>
      </c>
    </row>
    <row r="920">
      <c r="B920" s="18" t="inlineStr">
        <is>
          <t>00106-REF</t>
        </is>
      </c>
      <c r="C920" s="56">
        <f>IFERROR(_xlfn.XLOOKUP(SALIDAS[[#This Row],[CODIGO]],LISTADO[CODIGOS],LISTADO[CATEGORIA]),"NO EXISTE")</f>
        <v/>
      </c>
      <c r="D920" s="56">
        <f>IFERROR(_xlfn.XLOOKUP(SALIDAS[[#This Row],[CODIGO]],LISTADO[CODIGOS],LISTADO[PRODUCTOS]),"NO EXISTE")</f>
        <v/>
      </c>
      <c r="E920" s="19" t="n">
        <v>46104</v>
      </c>
      <c r="F920" s="18" t="n">
        <v>2</v>
      </c>
      <c r="G920" s="18" t="inlineStr">
        <is>
          <t>PERIFERICO</t>
        </is>
      </c>
    </row>
    <row r="921">
      <c r="B921" s="18" t="inlineStr">
        <is>
          <t>00107-REF</t>
        </is>
      </c>
      <c r="C921" s="56">
        <f>IFERROR(_xlfn.XLOOKUP(SALIDAS[[#This Row],[CODIGO]],LISTADO[CODIGOS],LISTADO[CATEGORIA]),"NO EXISTE")</f>
        <v/>
      </c>
      <c r="D921" s="56">
        <f>IFERROR(_xlfn.XLOOKUP(SALIDAS[[#This Row],[CODIGO]],LISTADO[CODIGOS],LISTADO[PRODUCTOS]),"NO EXISTE")</f>
        <v/>
      </c>
      <c r="E921" s="19" t="n">
        <v>46104</v>
      </c>
      <c r="F921" s="18" t="n">
        <v>2</v>
      </c>
      <c r="G921" s="18" t="inlineStr">
        <is>
          <t>PERIFERICO</t>
        </is>
      </c>
    </row>
    <row r="922">
      <c r="B922" s="56" t="inlineStr">
        <is>
          <t>00135-FER</t>
        </is>
      </c>
      <c r="C922" s="56">
        <f>IFERROR(_xlfn.XLOOKUP(SALIDAS[[#This Row],[CODIGO]],LISTADO[CODIGOS],LISTADO[CATEGORIA]),"NO EXISTE")</f>
        <v/>
      </c>
      <c r="D922" s="56">
        <f>IFERROR(_xlfn.XLOOKUP(SALIDAS[[#This Row],[CODIGO]],LISTADO[CODIGOS],LISTADO[PRODUCTOS]),"NO EXISTE")</f>
        <v/>
      </c>
      <c r="E922" s="19" t="n">
        <v>46105</v>
      </c>
      <c r="F922" s="18" t="n">
        <v>30</v>
      </c>
      <c r="G922" s="18" t="inlineStr">
        <is>
          <t>LA VEGA (CARACAS)</t>
        </is>
      </c>
    </row>
    <row r="923">
      <c r="B923" s="56" t="inlineStr">
        <is>
          <t>00035-REF</t>
        </is>
      </c>
      <c r="C923" s="56">
        <f>IFERROR(_xlfn.XLOOKUP(SALIDAS[[#This Row],[CODIGO]],LISTADO[CODIGOS],LISTADO[CATEGORIA]),"NO EXISTE")</f>
        <v/>
      </c>
      <c r="D923" s="56">
        <f>IFERROR(_xlfn.XLOOKUP(SALIDAS[[#This Row],[CODIGO]],LISTADO[CODIGOS],LISTADO[PRODUCTOS]),"NO EXISTE")</f>
        <v/>
      </c>
      <c r="E923" s="19" t="n">
        <v>46105</v>
      </c>
      <c r="F923" s="18" t="n">
        <v>2</v>
      </c>
      <c r="G923" s="18" t="inlineStr">
        <is>
          <t>SAN DIEGO</t>
        </is>
      </c>
    </row>
    <row r="924">
      <c r="B924" s="18" t="inlineStr">
        <is>
          <t>00042-ILU</t>
        </is>
      </c>
      <c r="C924" s="56">
        <f>IFERROR(_xlfn.XLOOKUP(SALIDAS[[#This Row],[CODIGO]],LISTADO[CODIGOS],LISTADO[CATEGORIA]),"NO EXISTE")</f>
        <v/>
      </c>
      <c r="D924" s="56">
        <f>IFERROR(_xlfn.XLOOKUP(SALIDAS[[#This Row],[CODIGO]],LISTADO[CODIGOS],LISTADO[PRODUCTOS]),"NO EXISTE")</f>
        <v/>
      </c>
      <c r="E924" s="19" t="n">
        <v>46105</v>
      </c>
      <c r="F924" s="18" t="n">
        <v>3</v>
      </c>
      <c r="G924" s="18" t="inlineStr">
        <is>
          <t>PARAPARAL</t>
        </is>
      </c>
    </row>
    <row r="925">
      <c r="B925" s="56" t="inlineStr">
        <is>
          <t>00036-ILU</t>
        </is>
      </c>
      <c r="C925" s="56">
        <f>IFERROR(_xlfn.XLOOKUP(SALIDAS[[#This Row],[CODIGO]],LISTADO[CODIGOS],LISTADO[CATEGORIA]),"NO EXISTE")</f>
        <v/>
      </c>
      <c r="D925" s="56">
        <f>IFERROR(_xlfn.XLOOKUP(SALIDAS[[#This Row],[CODIGO]],LISTADO[CODIGOS],LISTADO[PRODUCTOS]),"NO EXISTE")</f>
        <v/>
      </c>
      <c r="E925" s="19" t="n">
        <v>46105</v>
      </c>
      <c r="F925" s="18" t="n">
        <v>4</v>
      </c>
      <c r="G925" s="18" t="inlineStr">
        <is>
          <t>PARAPARAL</t>
        </is>
      </c>
    </row>
    <row r="926">
      <c r="B926" s="56" t="inlineStr">
        <is>
          <t>00037-ILU</t>
        </is>
      </c>
      <c r="C926" s="56">
        <f>IFERROR(_xlfn.XLOOKUP(SALIDAS[[#This Row],[CODIGO]],LISTADO[CODIGOS],LISTADO[CATEGORIA]),"NO EXISTE")</f>
        <v/>
      </c>
      <c r="D926" s="56">
        <f>IFERROR(_xlfn.XLOOKUP(SALIDAS[[#This Row],[CODIGO]],LISTADO[CODIGOS],LISTADO[PRODUCTOS]),"NO EXISTE")</f>
        <v/>
      </c>
      <c r="E926" s="19" t="n">
        <v>46105</v>
      </c>
      <c r="F926" s="18" t="n">
        <v>4</v>
      </c>
      <c r="G926" s="18" t="inlineStr">
        <is>
          <t>PARAPARAL</t>
        </is>
      </c>
    </row>
    <row r="927">
      <c r="B927" s="56" t="inlineStr">
        <is>
          <t>00068-FER</t>
        </is>
      </c>
      <c r="C927" s="56">
        <f>IFERROR(_xlfn.XLOOKUP(SALIDAS[[#This Row],[CODIGO]],LISTADO[CODIGOS],LISTADO[CATEGORIA]),"NO EXISTE")</f>
        <v/>
      </c>
      <c r="D927" s="56">
        <f>IFERROR(_xlfn.XLOOKUP(SALIDAS[[#This Row],[CODIGO]],LISTADO[CODIGOS],LISTADO[PRODUCTOS]),"NO EXISTE")</f>
        <v/>
      </c>
      <c r="E927" s="19" t="n">
        <v>46105</v>
      </c>
      <c r="F927" s="18" t="n">
        <v>1</v>
      </c>
      <c r="G927" s="18" t="inlineStr">
        <is>
          <t>PARAPARAL</t>
        </is>
      </c>
    </row>
    <row r="928">
      <c r="B928" s="56" t="inlineStr">
        <is>
          <t>00051-REF</t>
        </is>
      </c>
      <c r="C928" s="56">
        <f>IFERROR(_xlfn.XLOOKUP(SALIDAS[[#This Row],[CODIGO]],LISTADO[CODIGOS],LISTADO[CATEGORIA]),"NO EXISTE")</f>
        <v/>
      </c>
      <c r="D928" s="56">
        <f>IFERROR(_xlfn.XLOOKUP(SALIDAS[[#This Row],[CODIGO]],LISTADO[CODIGOS],LISTADO[PRODUCTOS]),"NO EXISTE")</f>
        <v/>
      </c>
      <c r="E928" s="19" t="n">
        <v>46105</v>
      </c>
      <c r="F928" s="18" t="n">
        <v>2</v>
      </c>
      <c r="G928" s="18" t="inlineStr">
        <is>
          <t>SAN DIEGO</t>
        </is>
      </c>
    </row>
    <row r="929">
      <c r="B929" s="56" t="inlineStr">
        <is>
          <t>00001-LIM</t>
        </is>
      </c>
      <c r="C929" s="56">
        <f>IFERROR(_xlfn.XLOOKUP(SALIDAS[[#This Row],[CODIGO]],LISTADO[CODIGOS],LISTADO[CATEGORIA]),"NO EXISTE")</f>
        <v/>
      </c>
      <c r="D929" s="56">
        <f>IFERROR(_xlfn.XLOOKUP(SALIDAS[[#This Row],[CODIGO]],LISTADO[CODIGOS],LISTADO[PRODUCTOS]),"NO EXISTE")</f>
        <v/>
      </c>
      <c r="E929" s="19" t="n">
        <v>46105</v>
      </c>
      <c r="F929" s="18" t="n">
        <v>2</v>
      </c>
      <c r="G929" s="18" t="inlineStr">
        <is>
          <t xml:space="preserve">EL BOSQUE </t>
        </is>
      </c>
    </row>
    <row r="930">
      <c r="B930" s="56" t="inlineStr">
        <is>
          <t>00009-LIM</t>
        </is>
      </c>
      <c r="C930" s="56">
        <f>IFERROR(_xlfn.XLOOKUP(SALIDAS[[#This Row],[CODIGO]],LISTADO[CODIGOS],LISTADO[CATEGORIA]),"NO EXISTE")</f>
        <v/>
      </c>
      <c r="D930" s="56">
        <f>IFERROR(_xlfn.XLOOKUP(SALIDAS[[#This Row],[CODIGO]],LISTADO[CODIGOS],LISTADO[PRODUCTOS]),"NO EXISTE")</f>
        <v/>
      </c>
      <c r="E930" s="19" t="n">
        <v>46105</v>
      </c>
      <c r="F930" s="18" t="n">
        <v>3</v>
      </c>
      <c r="G930" s="18" t="inlineStr">
        <is>
          <t xml:space="preserve">EL BOSQUE </t>
        </is>
      </c>
    </row>
    <row r="931">
      <c r="B931" s="56" t="inlineStr">
        <is>
          <t>00003-LIM</t>
        </is>
      </c>
      <c r="C931" s="56">
        <f>IFERROR(_xlfn.XLOOKUP(SALIDAS[[#This Row],[CODIGO]],LISTADO[CODIGOS],LISTADO[CATEGORIA]),"NO EXISTE")</f>
        <v/>
      </c>
      <c r="D931" s="56">
        <f>IFERROR(_xlfn.XLOOKUP(SALIDAS[[#This Row],[CODIGO]],LISTADO[CODIGOS],LISTADO[PRODUCTOS]),"NO EXISTE")</f>
        <v/>
      </c>
      <c r="E931" s="19" t="n">
        <v>46105</v>
      </c>
      <c r="F931" s="15" t="n">
        <v>1</v>
      </c>
      <c r="G931" s="18" t="inlineStr">
        <is>
          <t xml:space="preserve">EL BOSQUE </t>
        </is>
      </c>
    </row>
    <row r="932">
      <c r="B932" s="56" t="inlineStr">
        <is>
          <t>00008-LIM</t>
        </is>
      </c>
      <c r="C932" s="56">
        <f>IFERROR(_xlfn.XLOOKUP(SALIDAS[[#This Row],[CODIGO]],LISTADO[CODIGOS],LISTADO[CATEGORIA]),"NO EXISTE")</f>
        <v/>
      </c>
      <c r="D932" s="56">
        <f>IFERROR(_xlfn.XLOOKUP(SALIDAS[[#This Row],[CODIGO]],LISTADO[CODIGOS],LISTADO[PRODUCTOS]),"NO EXISTE")</f>
        <v/>
      </c>
      <c r="E932" s="19" t="n">
        <v>46105</v>
      </c>
      <c r="F932" s="15" t="n">
        <v>4</v>
      </c>
      <c r="G932" s="18" t="inlineStr">
        <is>
          <t xml:space="preserve">EL BOSQUE </t>
        </is>
      </c>
    </row>
    <row r="933">
      <c r="B933" s="56" t="inlineStr">
        <is>
          <t>00006-LIM</t>
        </is>
      </c>
      <c r="C933" s="56">
        <f>IFERROR(_xlfn.XLOOKUP(SALIDAS[[#This Row],[CODIGO]],LISTADO[CODIGOS],LISTADO[CATEGORIA]),"NO EXISTE")</f>
        <v/>
      </c>
      <c r="D933" s="56">
        <f>IFERROR(_xlfn.XLOOKUP(SALIDAS[[#This Row],[CODIGO]],LISTADO[CODIGOS],LISTADO[PRODUCTOS]),"NO EXISTE")</f>
        <v/>
      </c>
      <c r="E933" s="19" t="n">
        <v>46105</v>
      </c>
      <c r="F933" s="15" t="n">
        <v>2</v>
      </c>
      <c r="G933" s="18" t="inlineStr">
        <is>
          <t xml:space="preserve">EL BOSQUE </t>
        </is>
      </c>
    </row>
    <row r="934">
      <c r="B934" s="56" t="inlineStr">
        <is>
          <t>00005-LIM</t>
        </is>
      </c>
      <c r="C934" s="56">
        <f>IFERROR(_xlfn.XLOOKUP(SALIDAS[[#This Row],[CODIGO]],LISTADO[CODIGOS],LISTADO[CATEGORIA]),"NO EXISTE")</f>
        <v/>
      </c>
      <c r="D934" s="56">
        <f>IFERROR(_xlfn.XLOOKUP(SALIDAS[[#This Row],[CODIGO]],LISTADO[CODIGOS],LISTADO[PRODUCTOS]),"NO EXISTE")</f>
        <v/>
      </c>
      <c r="E934" s="19" t="n">
        <v>46105</v>
      </c>
      <c r="F934" s="15" t="n">
        <v>2</v>
      </c>
      <c r="G934" s="18" t="inlineStr">
        <is>
          <t xml:space="preserve">EL BOSQUE </t>
        </is>
      </c>
    </row>
    <row r="935">
      <c r="B935" s="56" t="inlineStr">
        <is>
          <t>00029-ELE</t>
        </is>
      </c>
      <c r="C935" s="56">
        <f>IFERROR(_xlfn.XLOOKUP(SALIDAS[[#This Row],[CODIGO]],LISTADO[CODIGOS],LISTADO[CATEGORIA]),"NO EXISTE")</f>
        <v/>
      </c>
      <c r="D935" s="56">
        <f>IFERROR(_xlfn.XLOOKUP(SALIDAS[[#This Row],[CODIGO]],LISTADO[CODIGOS],LISTADO[PRODUCTOS]),"NO EXISTE")</f>
        <v/>
      </c>
      <c r="E935" s="19" t="n">
        <v>46105</v>
      </c>
      <c r="F935" s="15" t="n">
        <v>1</v>
      </c>
      <c r="G935" s="18" t="inlineStr">
        <is>
          <t>SAN DIEGO</t>
        </is>
      </c>
    </row>
    <row r="936">
      <c r="B936" s="56" t="inlineStr">
        <is>
          <t>00046-ELE</t>
        </is>
      </c>
      <c r="C936" s="56">
        <f>IFERROR(_xlfn.XLOOKUP(SALIDAS[[#This Row],[CODIGO]],LISTADO[CODIGOS],LISTADO[CATEGORIA]),"NO EXISTE")</f>
        <v/>
      </c>
      <c r="D936" s="56">
        <f>IFERROR(_xlfn.XLOOKUP(SALIDAS[[#This Row],[CODIGO]],LISTADO[CODIGOS],LISTADO[PRODUCTOS]),"NO EXISTE")</f>
        <v/>
      </c>
      <c r="E936" s="19" t="n">
        <v>46105</v>
      </c>
      <c r="F936" s="15" t="n">
        <v>1</v>
      </c>
      <c r="G936" s="18" t="inlineStr">
        <is>
          <t>GUACARA</t>
        </is>
      </c>
    </row>
    <row r="937">
      <c r="B937" s="56" t="inlineStr">
        <is>
          <t>00001-REF</t>
        </is>
      </c>
      <c r="C937" s="56">
        <f>IFERROR(_xlfn.XLOOKUP(SALIDAS[[#This Row],[CODIGO]],LISTADO[CODIGOS],LISTADO[CATEGORIA]),"NO EXISTE")</f>
        <v/>
      </c>
      <c r="D937" s="56">
        <f>IFERROR(_xlfn.XLOOKUP(SALIDAS[[#This Row],[CODIGO]],LISTADO[CODIGOS],LISTADO[PRODUCTOS]),"NO EXISTE")</f>
        <v/>
      </c>
      <c r="E937" s="19" t="n">
        <v>46105</v>
      </c>
      <c r="F937" s="15" t="n">
        <v>2</v>
      </c>
      <c r="G937" s="18" t="inlineStr">
        <is>
          <t>SAN DIEGO</t>
        </is>
      </c>
    </row>
    <row r="938">
      <c r="B938" s="18" t="inlineStr">
        <is>
          <t>00014-REF</t>
        </is>
      </c>
      <c r="C938" s="56">
        <f>IFERROR(_xlfn.XLOOKUP(SALIDAS[[#This Row],[CODIGO]],LISTADO[CODIGOS],LISTADO[CATEGORIA]),"NO EXISTE")</f>
        <v/>
      </c>
      <c r="D938" s="56">
        <f>IFERROR(_xlfn.XLOOKUP(SALIDAS[[#This Row],[CODIGO]],LISTADO[CODIGOS],LISTADO[PRODUCTOS]),"NO EXISTE")</f>
        <v/>
      </c>
      <c r="E938" s="19" t="n">
        <v>46105</v>
      </c>
      <c r="F938" s="15" t="n">
        <v>1</v>
      </c>
      <c r="G938" s="18" t="inlineStr">
        <is>
          <t>SAN DIEGO</t>
        </is>
      </c>
    </row>
    <row r="939">
      <c r="B939" s="56" t="inlineStr">
        <is>
          <t>00039-REF</t>
        </is>
      </c>
      <c r="C939" s="56">
        <f>IFERROR(_xlfn.XLOOKUP(SALIDAS[[#This Row],[CODIGO]],LISTADO[CODIGOS],LISTADO[CATEGORIA]),"NO EXISTE")</f>
        <v/>
      </c>
      <c r="D939" s="56">
        <f>IFERROR(_xlfn.XLOOKUP(SALIDAS[[#This Row],[CODIGO]],LISTADO[CODIGOS],LISTADO[PRODUCTOS]),"NO EXISTE")</f>
        <v/>
      </c>
      <c r="E939" s="19" t="n">
        <v>46105</v>
      </c>
      <c r="F939" s="15" t="n">
        <v>1</v>
      </c>
      <c r="G939" s="18" t="inlineStr">
        <is>
          <t>SAN DIEGO</t>
        </is>
      </c>
    </row>
    <row r="940">
      <c r="B940" s="56" t="inlineStr">
        <is>
          <t>00135-FER</t>
        </is>
      </c>
      <c r="C940" s="56">
        <f>IFERROR(_xlfn.XLOOKUP(SALIDAS[[#This Row],[CODIGO]],LISTADO[CODIGOS],LISTADO[CATEGORIA]),"NO EXISTE")</f>
        <v/>
      </c>
      <c r="D940" s="56">
        <f>IFERROR(_xlfn.XLOOKUP(SALIDAS[[#This Row],[CODIGO]],LISTADO[CODIGOS],LISTADO[PRODUCTOS]),"NO EXISTE")</f>
        <v/>
      </c>
      <c r="E940" s="19" t="n">
        <v>46105</v>
      </c>
      <c r="F940" s="15" t="n">
        <v>50</v>
      </c>
      <c r="G940" s="18" t="inlineStr">
        <is>
          <t xml:space="preserve">CEDI SECO </t>
        </is>
      </c>
    </row>
    <row r="941">
      <c r="B941" s="56" t="inlineStr">
        <is>
          <t>00036-REF</t>
        </is>
      </c>
      <c r="C941" s="56">
        <f>IFERROR(_xlfn.XLOOKUP(SALIDAS[[#This Row],[CODIGO]],LISTADO[CODIGOS],LISTADO[CATEGORIA]),"NO EXISTE")</f>
        <v/>
      </c>
      <c r="D941" s="56">
        <f>IFERROR(_xlfn.XLOOKUP(SALIDAS[[#This Row],[CODIGO]],LISTADO[CODIGOS],LISTADO[PRODUCTOS]),"NO EXISTE")</f>
        <v/>
      </c>
      <c r="E941" s="19" t="n">
        <v>46105</v>
      </c>
      <c r="F941" s="15" t="n">
        <v>12</v>
      </c>
      <c r="G941" s="18" t="inlineStr">
        <is>
          <t>SAN DIEGO</t>
        </is>
      </c>
    </row>
    <row r="942">
      <c r="B942" s="56" t="inlineStr">
        <is>
          <t>00085-REF</t>
        </is>
      </c>
      <c r="C942" s="56">
        <f>IFERROR(_xlfn.XLOOKUP(SALIDAS[[#This Row],[CODIGO]],LISTADO[CODIGOS],LISTADO[CATEGORIA]),"NO EXISTE")</f>
        <v/>
      </c>
      <c r="D942" s="56">
        <f>IFERROR(_xlfn.XLOOKUP(SALIDAS[[#This Row],[CODIGO]],LISTADO[CODIGOS],LISTADO[PRODUCTOS]),"NO EXISTE")</f>
        <v/>
      </c>
      <c r="E942" s="19" t="n">
        <v>46105</v>
      </c>
      <c r="F942" s="15" t="n">
        <v>1</v>
      </c>
      <c r="G942" s="18" t="inlineStr">
        <is>
          <t>SAN DIEGO</t>
        </is>
      </c>
    </row>
    <row r="943">
      <c r="B943" s="56" t="inlineStr">
        <is>
          <t>00002-MSC</t>
        </is>
      </c>
      <c r="C943" s="56">
        <f>IFERROR(_xlfn.XLOOKUP(SALIDAS[[#This Row],[CODIGO]],LISTADO[CODIGOS],LISTADO[CATEGORIA]),"NO EXISTE")</f>
        <v/>
      </c>
      <c r="D943" s="56">
        <f>IFERROR(_xlfn.XLOOKUP(SALIDAS[[#This Row],[CODIGO]],LISTADO[CODIGOS],LISTADO[PRODUCTOS]),"NO EXISTE")</f>
        <v/>
      </c>
      <c r="E943" s="19" t="n">
        <v>46105</v>
      </c>
      <c r="F943" s="15" t="n">
        <v>1</v>
      </c>
      <c r="G943" s="18" t="inlineStr">
        <is>
          <t>PARAISO (CARACAS)</t>
        </is>
      </c>
    </row>
    <row r="944">
      <c r="B944" s="18" t="inlineStr">
        <is>
          <t>00114-HER</t>
        </is>
      </c>
      <c r="C944" s="56">
        <f>IFERROR(_xlfn.XLOOKUP(SALIDAS[[#This Row],[CODIGO]],LISTADO[CODIGOS],LISTADO[CATEGORIA]),"NO EXISTE")</f>
        <v/>
      </c>
      <c r="D944" s="56">
        <f>IFERROR(_xlfn.XLOOKUP(SALIDAS[[#This Row],[CODIGO]],LISTADO[CODIGOS],LISTADO[PRODUCTOS]),"NO EXISTE")</f>
        <v/>
      </c>
      <c r="E944" s="19" t="n">
        <v>46105</v>
      </c>
      <c r="F944" s="18" t="n">
        <v>15</v>
      </c>
      <c r="G944" s="18" t="inlineStr">
        <is>
          <t>SAN MARTIN (CARACAS)</t>
        </is>
      </c>
    </row>
    <row r="945">
      <c r="B945" s="18" t="inlineStr">
        <is>
          <t>00172-FER</t>
        </is>
      </c>
      <c r="C945" s="56">
        <f>IFERROR(_xlfn.XLOOKUP(SALIDAS[[#This Row],[CODIGO]],LISTADO[CODIGOS],LISTADO[CATEGORIA]),"NO EXISTE")</f>
        <v/>
      </c>
      <c r="D945" s="56">
        <f>IFERROR(_xlfn.XLOOKUP(SALIDAS[[#This Row],[CODIGO]],LISTADO[CODIGOS],LISTADO[PRODUCTOS]),"NO EXISTE")</f>
        <v/>
      </c>
      <c r="E945" s="19" t="n">
        <v>46105</v>
      </c>
      <c r="F945" s="15" t="n">
        <v>1</v>
      </c>
      <c r="G945" s="18" t="inlineStr">
        <is>
          <t>PERIFERICO</t>
        </is>
      </c>
    </row>
    <row r="946">
      <c r="B946" s="56" t="inlineStr">
        <is>
          <t>00047-ELE</t>
        </is>
      </c>
      <c r="C946" s="56">
        <f>IFERROR(_xlfn.XLOOKUP(SALIDAS[[#This Row],[CODIGO]],LISTADO[CODIGOS],LISTADO[CATEGORIA]),"NO EXISTE")</f>
        <v/>
      </c>
      <c r="D946" s="56">
        <f>IFERROR(_xlfn.XLOOKUP(SALIDAS[[#This Row],[CODIGO]],LISTADO[CODIGOS],LISTADO[PRODUCTOS]),"NO EXISTE")</f>
        <v/>
      </c>
      <c r="E946" s="19" t="n">
        <v>46105</v>
      </c>
      <c r="F946" s="15" t="n">
        <v>10</v>
      </c>
      <c r="G946" s="18" t="inlineStr">
        <is>
          <t>LA VIÑA</t>
        </is>
      </c>
    </row>
    <row r="947">
      <c r="B947" s="56" t="inlineStr">
        <is>
          <t>00019-ILU</t>
        </is>
      </c>
      <c r="C947" s="56">
        <f>IFERROR(_xlfn.XLOOKUP(SALIDAS[[#This Row],[CODIGO]],LISTADO[CODIGOS],LISTADO[CATEGORIA]),"NO EXISTE")</f>
        <v/>
      </c>
      <c r="D947" s="56">
        <f>IFERROR(_xlfn.XLOOKUP(SALIDAS[[#This Row],[CODIGO]],LISTADO[CODIGOS],LISTADO[PRODUCTOS]),"NO EXISTE")</f>
        <v/>
      </c>
      <c r="E947" s="19" t="n">
        <v>46105</v>
      </c>
      <c r="F947" s="15" t="n">
        <v>5</v>
      </c>
      <c r="G947" s="18" t="inlineStr">
        <is>
          <t>LA VIÑA</t>
        </is>
      </c>
    </row>
    <row r="948">
      <c r="B948" s="18" t="inlineStr">
        <is>
          <t>00075-ELE</t>
        </is>
      </c>
      <c r="C948" s="56">
        <f>IFERROR(_xlfn.XLOOKUP(SALIDAS[[#This Row],[CODIGO]],LISTADO[CODIGOS],LISTADO[CATEGORIA]),"NO EXISTE")</f>
        <v/>
      </c>
      <c r="D948" s="56">
        <f>IFERROR(_xlfn.XLOOKUP(SALIDAS[[#This Row],[CODIGO]],LISTADO[CODIGOS],LISTADO[PRODUCTOS]),"NO EXISTE")</f>
        <v/>
      </c>
      <c r="E948" s="19" t="n">
        <v>46105</v>
      </c>
      <c r="F948" s="15" t="n">
        <v>400</v>
      </c>
      <c r="G948" s="18" t="inlineStr">
        <is>
          <t>LA VIÑA</t>
        </is>
      </c>
    </row>
    <row r="949">
      <c r="B949" s="56" t="inlineStr">
        <is>
          <t>00021-ELE</t>
        </is>
      </c>
      <c r="C949" s="56">
        <f>IFERROR(_xlfn.XLOOKUP(SALIDAS[[#This Row],[CODIGO]],LISTADO[CODIGOS],LISTADO[CATEGORIA]),"NO EXISTE")</f>
        <v/>
      </c>
      <c r="D949" s="56">
        <f>IFERROR(_xlfn.XLOOKUP(SALIDAS[[#This Row],[CODIGO]],LISTADO[CODIGOS],LISTADO[PRODUCTOS]),"NO EXISTE")</f>
        <v/>
      </c>
      <c r="E949" s="19" t="n">
        <v>46105</v>
      </c>
      <c r="F949" s="15" t="n">
        <v>100</v>
      </c>
      <c r="G949" s="18" t="inlineStr">
        <is>
          <t>LA VIÑA</t>
        </is>
      </c>
    </row>
    <row r="950">
      <c r="B950" s="18" t="inlineStr">
        <is>
          <t>00114-HER</t>
        </is>
      </c>
      <c r="C950" s="56">
        <f>IFERROR(_xlfn.XLOOKUP(SALIDAS[[#This Row],[CODIGO]],LISTADO[CODIGOS],LISTADO[CATEGORIA]),"NO EXISTE")</f>
        <v/>
      </c>
      <c r="D950" s="56">
        <f>IFERROR(_xlfn.XLOOKUP(SALIDAS[[#This Row],[CODIGO]],LISTADO[CODIGOS],LISTADO[PRODUCTOS]),"NO EXISTE")</f>
        <v/>
      </c>
      <c r="E950" s="19" t="n">
        <v>46105</v>
      </c>
      <c r="F950" s="15" t="n">
        <v>15</v>
      </c>
      <c r="G950" s="18" t="inlineStr">
        <is>
          <t>PERIFERICO</t>
        </is>
      </c>
    </row>
    <row r="951">
      <c r="B951" s="18" t="inlineStr">
        <is>
          <t>00076-ELE</t>
        </is>
      </c>
      <c r="C951" s="56">
        <f>IFERROR(_xlfn.XLOOKUP(SALIDAS[[#This Row],[CODIGO]],LISTADO[CODIGOS],LISTADO[CATEGORIA]),"NO EXISTE")</f>
        <v/>
      </c>
      <c r="D951" s="56">
        <f>IFERROR(_xlfn.XLOOKUP(SALIDAS[[#This Row],[CODIGO]],LISTADO[CODIGOS],LISTADO[PRODUCTOS]),"NO EXISTE")</f>
        <v/>
      </c>
      <c r="E951" s="19" t="n">
        <v>46105</v>
      </c>
      <c r="F951" s="15" t="n">
        <v>1</v>
      </c>
      <c r="G951" s="18" t="inlineStr">
        <is>
          <t>LA VIÑA</t>
        </is>
      </c>
    </row>
    <row r="952">
      <c r="B952" s="18" t="inlineStr">
        <is>
          <t>00173-FER</t>
        </is>
      </c>
      <c r="C952" s="56">
        <f>IFERROR(_xlfn.XLOOKUP(SALIDAS[[#This Row],[CODIGO]],LISTADO[CODIGOS],LISTADO[CATEGORIA]),"NO EXISTE")</f>
        <v/>
      </c>
      <c r="D952" s="56">
        <f>IFERROR(_xlfn.XLOOKUP(SALIDAS[[#This Row],[CODIGO]],LISTADO[CODIGOS],LISTADO[PRODUCTOS]),"NO EXISTE")</f>
        <v/>
      </c>
      <c r="E952" s="19" t="n">
        <v>46105</v>
      </c>
      <c r="F952" s="15" t="n">
        <v>300</v>
      </c>
      <c r="G952" s="18" t="inlineStr">
        <is>
          <t>LA VIÑA</t>
        </is>
      </c>
    </row>
    <row r="953">
      <c r="B953" s="18" t="inlineStr">
        <is>
          <t>00068-ELE</t>
        </is>
      </c>
      <c r="C953" s="56">
        <f>IFERROR(_xlfn.XLOOKUP(SALIDAS[[#This Row],[CODIGO]],LISTADO[CODIGOS],LISTADO[CATEGORIA]),"NO EXISTE")</f>
        <v/>
      </c>
      <c r="D953" s="56">
        <f>IFERROR(_xlfn.XLOOKUP(SALIDAS[[#This Row],[CODIGO]],LISTADO[CODIGOS],LISTADO[PRODUCTOS]),"NO EXISTE")</f>
        <v/>
      </c>
      <c r="E953" s="19" t="n">
        <v>46105</v>
      </c>
      <c r="F953" s="15" t="n">
        <v>1</v>
      </c>
      <c r="G953" s="18" t="inlineStr">
        <is>
          <t>LA VIÑA</t>
        </is>
      </c>
    </row>
    <row r="954">
      <c r="B954" s="56" t="inlineStr">
        <is>
          <t>00084-HER</t>
        </is>
      </c>
      <c r="C954" s="56">
        <f>IFERROR(_xlfn.XLOOKUP(SALIDAS[[#This Row],[CODIGO]],LISTADO[CODIGOS],LISTADO[CATEGORIA]),"NO EXISTE")</f>
        <v/>
      </c>
      <c r="D954" s="56">
        <f>IFERROR(_xlfn.XLOOKUP(SALIDAS[[#This Row],[CODIGO]],LISTADO[CODIGOS],LISTADO[PRODUCTOS]),"NO EXISTE")</f>
        <v/>
      </c>
      <c r="E954" s="19" t="n">
        <v>46105</v>
      </c>
      <c r="F954" s="15" t="n">
        <v>2</v>
      </c>
      <c r="G954" s="18" t="inlineStr">
        <is>
          <t>LA VIÑA</t>
        </is>
      </c>
    </row>
    <row r="955">
      <c r="B955" s="18" t="inlineStr">
        <is>
          <t>00153-FER</t>
        </is>
      </c>
      <c r="C955" s="56">
        <f>IFERROR(_xlfn.XLOOKUP(SALIDAS[[#This Row],[CODIGO]],LISTADO[CODIGOS],LISTADO[CATEGORIA]),"NO EXISTE")</f>
        <v/>
      </c>
      <c r="D955" s="56">
        <f>IFERROR(_xlfn.XLOOKUP(SALIDAS[[#This Row],[CODIGO]],LISTADO[CODIGOS],LISTADO[PRODUCTOS]),"NO EXISTE")</f>
        <v/>
      </c>
      <c r="E955" s="19" t="n">
        <v>46105</v>
      </c>
      <c r="F955" s="15" t="n">
        <v>10</v>
      </c>
      <c r="G955" s="18" t="inlineStr">
        <is>
          <t>LAS FERIAS</t>
        </is>
      </c>
    </row>
    <row r="956">
      <c r="B956" s="56" t="inlineStr">
        <is>
          <t>00089-FER</t>
        </is>
      </c>
      <c r="C956" s="56">
        <f>IFERROR(_xlfn.XLOOKUP(SALIDAS[[#This Row],[CODIGO]],LISTADO[CODIGOS],LISTADO[CATEGORIA]),"NO EXISTE")</f>
        <v/>
      </c>
      <c r="D956" s="56">
        <f>IFERROR(_xlfn.XLOOKUP(SALIDAS[[#This Row],[CODIGO]],LISTADO[CODIGOS],LISTADO[PRODUCTOS]),"NO EXISTE")</f>
        <v/>
      </c>
      <c r="E956" s="19" t="n">
        <v>46105</v>
      </c>
      <c r="F956" s="18" t="n">
        <v>1</v>
      </c>
      <c r="G956" s="18" t="inlineStr">
        <is>
          <t>GUACARA</t>
        </is>
      </c>
    </row>
    <row r="957">
      <c r="B957" s="18" t="inlineStr">
        <is>
          <t>00053-ILU</t>
        </is>
      </c>
      <c r="C957" s="56">
        <f>IFERROR(_xlfn.XLOOKUP(SALIDAS[[#This Row],[CODIGO]],LISTADO[CODIGOS],LISTADO[CATEGORIA]),"NO EXISTE")</f>
        <v/>
      </c>
      <c r="D957" s="56">
        <f>IFERROR(_xlfn.XLOOKUP(SALIDAS[[#This Row],[CODIGO]],LISTADO[CODIGOS],LISTADO[PRODUCTOS]),"NO EXISTE")</f>
        <v/>
      </c>
      <c r="E957" s="19" t="n">
        <v>46105</v>
      </c>
      <c r="F957" s="18" t="n">
        <v>1</v>
      </c>
      <c r="G957" s="18" t="inlineStr">
        <is>
          <t>GUACARA</t>
        </is>
      </c>
    </row>
    <row r="958">
      <c r="B958" s="56" t="inlineStr">
        <is>
          <t>00047-ELE</t>
        </is>
      </c>
      <c r="C958" s="56">
        <f>IFERROR(_xlfn.XLOOKUP(SALIDAS[[#This Row],[CODIGO]],LISTADO[CODIGOS],LISTADO[CATEGORIA]),"NO EXISTE")</f>
        <v/>
      </c>
      <c r="D958" s="56">
        <f>IFERROR(_xlfn.XLOOKUP(SALIDAS[[#This Row],[CODIGO]],LISTADO[CODIGOS],LISTADO[PRODUCTOS]),"NO EXISTE")</f>
        <v/>
      </c>
      <c r="E958" s="19" t="n">
        <v>46105</v>
      </c>
      <c r="F958" s="18" t="n">
        <v>1</v>
      </c>
      <c r="G958" s="18" t="inlineStr">
        <is>
          <t>GUACARA</t>
        </is>
      </c>
    </row>
    <row r="959">
      <c r="B959" s="18" t="inlineStr">
        <is>
          <t>00174-FER</t>
        </is>
      </c>
      <c r="C959" s="56">
        <f>IFERROR(_xlfn.XLOOKUP(SALIDAS[[#This Row],[CODIGO]],LISTADO[CODIGOS],LISTADO[CATEGORIA]),"NO EXISTE")</f>
        <v/>
      </c>
      <c r="D959" s="56">
        <f>IFERROR(_xlfn.XLOOKUP(SALIDAS[[#This Row],[CODIGO]],LISTADO[CODIGOS],LISTADO[PRODUCTOS]),"NO EXISTE")</f>
        <v/>
      </c>
      <c r="E959" s="19" t="n">
        <v>46105</v>
      </c>
      <c r="F959" s="18" t="n">
        <v>2</v>
      </c>
      <c r="G959" s="18" t="inlineStr">
        <is>
          <t>GUACARA</t>
        </is>
      </c>
    </row>
    <row r="960">
      <c r="B960" s="18" t="inlineStr">
        <is>
          <t>00175-FER</t>
        </is>
      </c>
      <c r="C960" s="56">
        <f>IFERROR(_xlfn.XLOOKUP(SALIDAS[[#This Row],[CODIGO]],LISTADO[CODIGOS],LISTADO[CATEGORIA]),"NO EXISTE")</f>
        <v/>
      </c>
      <c r="D960" s="56">
        <f>IFERROR(_xlfn.XLOOKUP(SALIDAS[[#This Row],[CODIGO]],LISTADO[CODIGOS],LISTADO[PRODUCTOS]),"NO EXISTE")</f>
        <v/>
      </c>
      <c r="E960" s="19" t="n">
        <v>46105</v>
      </c>
      <c r="F960" s="18" t="n">
        <v>3</v>
      </c>
      <c r="G960" s="18" t="inlineStr">
        <is>
          <t>GUACARA</t>
        </is>
      </c>
    </row>
    <row r="961">
      <c r="B961" s="18" t="inlineStr">
        <is>
          <t>00030-HRR</t>
        </is>
      </c>
      <c r="C961" s="56">
        <f>IFERROR(_xlfn.XLOOKUP(SALIDAS[[#This Row],[CODIGO]],LISTADO[CODIGOS],LISTADO[CATEGORIA]),"NO EXISTE")</f>
        <v/>
      </c>
      <c r="D961" s="56">
        <f>IFERROR(_xlfn.XLOOKUP(SALIDAS[[#This Row],[CODIGO]],LISTADO[CODIGOS],LISTADO[PRODUCTOS]),"NO EXISTE")</f>
        <v/>
      </c>
      <c r="E961" s="19" t="n">
        <v>46105</v>
      </c>
      <c r="F961" s="18" t="n">
        <v>1</v>
      </c>
      <c r="G961" s="18" t="inlineStr">
        <is>
          <t>GUACARA</t>
        </is>
      </c>
    </row>
    <row r="962">
      <c r="B962" s="56" t="inlineStr">
        <is>
          <t>00014-HRR</t>
        </is>
      </c>
      <c r="C962" s="56">
        <f>IFERROR(_xlfn.XLOOKUP(SALIDAS[[#This Row],[CODIGO]],LISTADO[CODIGOS],LISTADO[CATEGORIA]),"NO EXISTE")</f>
        <v/>
      </c>
      <c r="D962" s="56">
        <f>IFERROR(_xlfn.XLOOKUP(SALIDAS[[#This Row],[CODIGO]],LISTADO[CODIGOS],LISTADO[PRODUCTOS]),"NO EXISTE")</f>
        <v/>
      </c>
      <c r="E962" s="19" t="n">
        <v>46105</v>
      </c>
      <c r="F962" s="18" t="n">
        <v>1</v>
      </c>
      <c r="G962" s="18" t="inlineStr">
        <is>
          <t>GUACARA</t>
        </is>
      </c>
    </row>
    <row r="963">
      <c r="B963" s="56" t="inlineStr">
        <is>
          <t>00004-PLM</t>
        </is>
      </c>
      <c r="C963" s="56">
        <f>IFERROR(_xlfn.XLOOKUP(SALIDAS[[#This Row],[CODIGO]],LISTADO[CODIGOS],LISTADO[CATEGORIA]),"NO EXISTE")</f>
        <v/>
      </c>
      <c r="D963" s="56">
        <f>IFERROR(_xlfn.XLOOKUP(SALIDAS[[#This Row],[CODIGO]],LISTADO[CODIGOS],LISTADO[PRODUCTOS]),"NO EXISTE")</f>
        <v/>
      </c>
      <c r="E963" s="19" t="n">
        <v>46105</v>
      </c>
      <c r="F963" s="18" t="n">
        <v>1</v>
      </c>
      <c r="G963" s="18" t="inlineStr">
        <is>
          <t>GUACARA</t>
        </is>
      </c>
    </row>
    <row r="964">
      <c r="B964" s="18" t="inlineStr">
        <is>
          <t>00060-HRR</t>
        </is>
      </c>
      <c r="C964" s="56">
        <f>IFERROR(_xlfn.XLOOKUP(SALIDAS[[#This Row],[CODIGO]],LISTADO[CODIGOS],LISTADO[CATEGORIA]),"NO EXISTE")</f>
        <v/>
      </c>
      <c r="D964" s="56">
        <f>IFERROR(_xlfn.XLOOKUP(SALIDAS[[#This Row],[CODIGO]],LISTADO[CODIGOS],LISTADO[PRODUCTOS]),"NO EXISTE")</f>
        <v/>
      </c>
      <c r="E964" s="19" t="n">
        <v>46105</v>
      </c>
      <c r="F964" s="18" t="n">
        <v>1</v>
      </c>
      <c r="G964" s="18" t="inlineStr">
        <is>
          <t>GUACARA</t>
        </is>
      </c>
    </row>
    <row r="965">
      <c r="B965" s="18" t="inlineStr">
        <is>
          <t>00105-REF</t>
        </is>
      </c>
      <c r="C965" s="56">
        <f>IFERROR(_xlfn.XLOOKUP(SALIDAS[[#This Row],[CODIGO]],LISTADO[CODIGOS],LISTADO[CATEGORIA]),"NO EXISTE")</f>
        <v/>
      </c>
      <c r="D965" s="56">
        <f>IFERROR(_xlfn.XLOOKUP(SALIDAS[[#This Row],[CODIGO]],LISTADO[CODIGOS],LISTADO[PRODUCTOS]),"NO EXISTE")</f>
        <v/>
      </c>
      <c r="E965" s="19" t="n">
        <v>46105</v>
      </c>
      <c r="F965" s="18" t="n">
        <v>1</v>
      </c>
      <c r="G965" s="18" t="inlineStr">
        <is>
          <t>SAN DIEGO</t>
        </is>
      </c>
    </row>
    <row r="966">
      <c r="B966" s="56" t="inlineStr">
        <is>
          <t>00008-UNI</t>
        </is>
      </c>
      <c r="C966" s="56">
        <f>IFERROR(_xlfn.XLOOKUP(SALIDAS[[#This Row],[CODIGO]],LISTADO[CODIGOS],LISTADO[CATEGORIA]),"NO EXISTE")</f>
        <v/>
      </c>
      <c r="D966" s="56">
        <f>IFERROR(_xlfn.XLOOKUP(SALIDAS[[#This Row],[CODIGO]],LISTADO[CODIGOS],LISTADO[PRODUCTOS]),"NO EXISTE")</f>
        <v/>
      </c>
      <c r="E966" s="19" t="n">
        <v>46105</v>
      </c>
      <c r="F966" s="18" t="n">
        <v>5</v>
      </c>
      <c r="G966" s="18" t="inlineStr">
        <is>
          <t xml:space="preserve">EL BOSQUE </t>
        </is>
      </c>
    </row>
    <row r="967">
      <c r="B967" s="56" t="inlineStr">
        <is>
          <t>00014-UNI</t>
        </is>
      </c>
      <c r="C967" s="56">
        <f>IFERROR(_xlfn.XLOOKUP(SALIDAS[[#This Row],[CODIGO]],LISTADO[CODIGOS],LISTADO[CATEGORIA]),"NO EXISTE")</f>
        <v/>
      </c>
      <c r="D967" s="56">
        <f>IFERROR(_xlfn.XLOOKUP(SALIDAS[[#This Row],[CODIGO]],LISTADO[CODIGOS],LISTADO[PRODUCTOS]),"NO EXISTE")</f>
        <v/>
      </c>
      <c r="E967" s="19" t="n">
        <v>46105</v>
      </c>
      <c r="F967" s="18" t="n">
        <v>19</v>
      </c>
      <c r="G967" s="18" t="inlineStr">
        <is>
          <t xml:space="preserve">EL BOSQUE </t>
        </is>
      </c>
    </row>
    <row r="968">
      <c r="B968" s="56" t="inlineStr">
        <is>
          <t>00009-UNI</t>
        </is>
      </c>
      <c r="C968" s="56">
        <f>IFERROR(_xlfn.XLOOKUP(SALIDAS[[#This Row],[CODIGO]],LISTADO[CODIGOS],LISTADO[CATEGORIA]),"NO EXISTE")</f>
        <v/>
      </c>
      <c r="D968" s="56">
        <f>IFERROR(_xlfn.XLOOKUP(SALIDAS[[#This Row],[CODIGO]],LISTADO[CODIGOS],LISTADO[PRODUCTOS]),"NO EXISTE")</f>
        <v/>
      </c>
      <c r="E968" s="19" t="n">
        <v>46105</v>
      </c>
      <c r="F968" s="18" t="n">
        <v>1</v>
      </c>
      <c r="G968" s="18" t="inlineStr">
        <is>
          <t xml:space="preserve">EL BOSQUE </t>
        </is>
      </c>
    </row>
    <row r="969">
      <c r="B969" s="56" t="inlineStr">
        <is>
          <t>00007-UNI</t>
        </is>
      </c>
      <c r="C969" s="56">
        <f>IFERROR(_xlfn.XLOOKUP(SALIDAS[[#This Row],[CODIGO]],LISTADO[CODIGOS],LISTADO[CATEGORIA]),"NO EXISTE")</f>
        <v/>
      </c>
      <c r="D969" s="56">
        <f>IFERROR(_xlfn.XLOOKUP(SALIDAS[[#This Row],[CODIGO]],LISTADO[CODIGOS],LISTADO[PRODUCTOS]),"NO EXISTE")</f>
        <v/>
      </c>
      <c r="E969" s="19" t="n">
        <v>46105</v>
      </c>
      <c r="F969" s="18" t="n">
        <v>5</v>
      </c>
      <c r="G969" s="18" t="inlineStr">
        <is>
          <t xml:space="preserve">EL BOSQUE </t>
        </is>
      </c>
    </row>
    <row r="970">
      <c r="B970" s="56" t="inlineStr">
        <is>
          <t>00060-UNI</t>
        </is>
      </c>
      <c r="C970" s="56">
        <f>IFERROR(_xlfn.XLOOKUP(SALIDAS[[#This Row],[CODIGO]],LISTADO[CODIGOS],LISTADO[CATEGORIA]),"NO EXISTE")</f>
        <v/>
      </c>
      <c r="D970" s="56">
        <f>IFERROR(_xlfn.XLOOKUP(SALIDAS[[#This Row],[CODIGO]],LISTADO[CODIGOS],LISTADO[PRODUCTOS]),"NO EXISTE")</f>
        <v/>
      </c>
      <c r="E970" s="19" t="n">
        <v>46105</v>
      </c>
      <c r="F970" s="18" t="n">
        <v>1</v>
      </c>
      <c r="G970" s="18" t="inlineStr">
        <is>
          <t xml:space="preserve">EL BOSQUE </t>
        </is>
      </c>
    </row>
    <row r="971">
      <c r="B971" s="18" t="inlineStr">
        <is>
          <t>00005-UNI</t>
        </is>
      </c>
      <c r="C971" s="56">
        <f>IFERROR(_xlfn.XLOOKUP(SALIDAS[[#This Row],[CODIGO]],LISTADO[CODIGOS],LISTADO[CATEGORIA]),"NO EXISTE")</f>
        <v/>
      </c>
      <c r="D971" s="56">
        <f>IFERROR(_xlfn.XLOOKUP(SALIDAS[[#This Row],[CODIGO]],LISTADO[CODIGOS],LISTADO[PRODUCTOS]),"NO EXISTE")</f>
        <v/>
      </c>
      <c r="E971" s="19" t="n">
        <v>46105</v>
      </c>
      <c r="F971" s="18" t="n">
        <v>1</v>
      </c>
      <c r="G971" s="18" t="inlineStr">
        <is>
          <t xml:space="preserve">EL BOSQUE </t>
        </is>
      </c>
    </row>
    <row r="972">
      <c r="B972" s="56" t="inlineStr">
        <is>
          <t>00007-UNI</t>
        </is>
      </c>
      <c r="C972" s="56">
        <f>IFERROR(_xlfn.XLOOKUP(SALIDAS[[#This Row],[CODIGO]],LISTADO[CODIGOS],LISTADO[CATEGORIA]),"NO EXISTE")</f>
        <v/>
      </c>
      <c r="D972" s="56">
        <f>IFERROR(_xlfn.XLOOKUP(SALIDAS[[#This Row],[CODIGO]],LISTADO[CODIGOS],LISTADO[PRODUCTOS]),"NO EXISTE")</f>
        <v/>
      </c>
      <c r="E972" s="19" t="n">
        <v>46105</v>
      </c>
      <c r="F972" s="18" t="n">
        <v>2</v>
      </c>
      <c r="G972" s="18" t="inlineStr">
        <is>
          <t>PARAISO (CARACAS)</t>
        </is>
      </c>
    </row>
    <row r="973">
      <c r="B973" s="56" t="inlineStr">
        <is>
          <t>00008-UNI</t>
        </is>
      </c>
      <c r="C973" s="56">
        <f>IFERROR(_xlfn.XLOOKUP(SALIDAS[[#This Row],[CODIGO]],LISTADO[CODIGOS],LISTADO[CATEGORIA]),"NO EXISTE")</f>
        <v/>
      </c>
      <c r="D973" s="56">
        <f>IFERROR(_xlfn.XLOOKUP(SALIDAS[[#This Row],[CODIGO]],LISTADO[CODIGOS],LISTADO[PRODUCTOS]),"NO EXISTE")</f>
        <v/>
      </c>
      <c r="E973" s="19" t="n">
        <v>46105</v>
      </c>
      <c r="F973" s="18" t="n">
        <v>2</v>
      </c>
      <c r="G973" s="18" t="inlineStr">
        <is>
          <t>PARAISO (CARACAS)</t>
        </is>
      </c>
    </row>
    <row r="974">
      <c r="B974" s="56" t="inlineStr">
        <is>
          <t>00009-UNI</t>
        </is>
      </c>
      <c r="C974" s="56">
        <f>IFERROR(_xlfn.XLOOKUP(SALIDAS[[#This Row],[CODIGO]],LISTADO[CODIGOS],LISTADO[CATEGORIA]),"NO EXISTE")</f>
        <v/>
      </c>
      <c r="D974" s="56">
        <f>IFERROR(_xlfn.XLOOKUP(SALIDAS[[#This Row],[CODIGO]],LISTADO[CODIGOS],LISTADO[PRODUCTOS]),"NO EXISTE")</f>
        <v/>
      </c>
      <c r="E974" s="19" t="n">
        <v>46105</v>
      </c>
      <c r="F974" s="18" t="n">
        <v>2</v>
      </c>
      <c r="G974" s="18" t="inlineStr">
        <is>
          <t>PARAISO (CARACAS)</t>
        </is>
      </c>
    </row>
    <row r="975">
      <c r="B975" s="56" t="inlineStr">
        <is>
          <t>00006-UNI</t>
        </is>
      </c>
      <c r="C975" s="56">
        <f>IFERROR(_xlfn.XLOOKUP(SALIDAS[[#This Row],[CODIGO]],LISTADO[CODIGOS],LISTADO[CATEGORIA]),"NO EXISTE")</f>
        <v/>
      </c>
      <c r="D975" s="56">
        <f>IFERROR(_xlfn.XLOOKUP(SALIDAS[[#This Row],[CODIGO]],LISTADO[CODIGOS],LISTADO[PRODUCTOS]),"NO EXISTE")</f>
        <v/>
      </c>
      <c r="E975" s="19" t="n">
        <v>46105</v>
      </c>
      <c r="F975" s="18" t="n">
        <v>2</v>
      </c>
      <c r="G975" s="18" t="inlineStr">
        <is>
          <t>PARAISO (CARACAS)</t>
        </is>
      </c>
    </row>
    <row r="976">
      <c r="B976" s="56" t="inlineStr">
        <is>
          <t>00014-UNI</t>
        </is>
      </c>
      <c r="C976" s="56">
        <f>IFERROR(_xlfn.XLOOKUP(SALIDAS[[#This Row],[CODIGO]],LISTADO[CODIGOS],LISTADO[CATEGORIA]),"NO EXISTE")</f>
        <v/>
      </c>
      <c r="D976" s="56">
        <f>IFERROR(_xlfn.XLOOKUP(SALIDAS[[#This Row],[CODIGO]],LISTADO[CODIGOS],LISTADO[PRODUCTOS]),"NO EXISTE")</f>
        <v/>
      </c>
      <c r="E976" s="19" t="n">
        <v>46105</v>
      </c>
      <c r="F976" s="18" t="n">
        <v>5</v>
      </c>
      <c r="G976" s="18" t="inlineStr">
        <is>
          <t>PARAISO (CARACAS)</t>
        </is>
      </c>
    </row>
    <row r="977">
      <c r="B977" s="18" t="inlineStr">
        <is>
          <t>00011-UNI</t>
        </is>
      </c>
      <c r="C977" s="56">
        <f>IFERROR(_xlfn.XLOOKUP(SALIDAS[[#This Row],[CODIGO]],LISTADO[CODIGOS],LISTADO[CATEGORIA]),"NO EXISTE")</f>
        <v/>
      </c>
      <c r="D977" s="56">
        <f>IFERROR(_xlfn.XLOOKUP(SALIDAS[[#This Row],[CODIGO]],LISTADO[CODIGOS],LISTADO[PRODUCTOS]),"NO EXISTE")</f>
        <v/>
      </c>
      <c r="E977" s="19" t="n">
        <v>46105</v>
      </c>
      <c r="F977" s="18" t="n">
        <v>2</v>
      </c>
      <c r="G977" s="18" t="inlineStr">
        <is>
          <t>PARAISO (CARACAS)</t>
        </is>
      </c>
    </row>
    <row r="978">
      <c r="B978" s="56" t="inlineStr">
        <is>
          <t>00060-UNI</t>
        </is>
      </c>
      <c r="C978" s="56">
        <f>IFERROR(_xlfn.XLOOKUP(SALIDAS[[#This Row],[CODIGO]],LISTADO[CODIGOS],LISTADO[CATEGORIA]),"NO EXISTE")</f>
        <v/>
      </c>
      <c r="D978" s="56">
        <f>IFERROR(_xlfn.XLOOKUP(SALIDAS[[#This Row],[CODIGO]],LISTADO[CODIGOS],LISTADO[PRODUCTOS]),"NO EXISTE")</f>
        <v/>
      </c>
      <c r="E978" s="19" t="n">
        <v>46105</v>
      </c>
      <c r="F978" s="18" t="n">
        <v>1</v>
      </c>
      <c r="G978" s="18" t="inlineStr">
        <is>
          <t>PARAISO (CARACAS)</t>
        </is>
      </c>
    </row>
    <row r="979">
      <c r="B979" s="56" t="inlineStr">
        <is>
          <t>00052-UNI</t>
        </is>
      </c>
      <c r="C979" s="56">
        <f>IFERROR(_xlfn.XLOOKUP(SALIDAS[[#This Row],[CODIGO]],LISTADO[CODIGOS],LISTADO[CATEGORIA]),"NO EXISTE")</f>
        <v/>
      </c>
      <c r="D979" s="56">
        <f>IFERROR(_xlfn.XLOOKUP(SALIDAS[[#This Row],[CODIGO]],LISTADO[CODIGOS],LISTADO[PRODUCTOS]),"NO EXISTE")</f>
        <v/>
      </c>
      <c r="E979" s="19" t="n">
        <v>46105</v>
      </c>
      <c r="F979" s="18" t="n">
        <v>4</v>
      </c>
      <c r="G979" s="18" t="inlineStr">
        <is>
          <t>PARAISO (CARACAS)</t>
        </is>
      </c>
    </row>
    <row r="980">
      <c r="B980" s="56" t="inlineStr">
        <is>
          <t>00049-UNI</t>
        </is>
      </c>
      <c r="C980" s="56">
        <f>IFERROR(_xlfn.XLOOKUP(SALIDAS[[#This Row],[CODIGO]],LISTADO[CODIGOS],LISTADO[CATEGORIA]),"NO EXISTE")</f>
        <v/>
      </c>
      <c r="D980" s="56">
        <f>IFERROR(_xlfn.XLOOKUP(SALIDAS[[#This Row],[CODIGO]],LISTADO[CODIGOS],LISTADO[PRODUCTOS]),"NO EXISTE")</f>
        <v/>
      </c>
      <c r="E980" s="19" t="n">
        <v>46105</v>
      </c>
      <c r="F980" s="18" t="n">
        <v>4</v>
      </c>
      <c r="G980" s="18" t="inlineStr">
        <is>
          <t>PARAISO (CARACAS)</t>
        </is>
      </c>
    </row>
    <row r="981">
      <c r="B981" s="56" t="inlineStr">
        <is>
          <t>00007-UNI</t>
        </is>
      </c>
      <c r="C981" s="56">
        <f>IFERROR(_xlfn.XLOOKUP(SALIDAS[[#This Row],[CODIGO]],LISTADO[CODIGOS],LISTADO[CATEGORIA]),"NO EXISTE")</f>
        <v/>
      </c>
      <c r="D981" s="56">
        <f>IFERROR(_xlfn.XLOOKUP(SALIDAS[[#This Row],[CODIGO]],LISTADO[CODIGOS],LISTADO[PRODUCTOS]),"NO EXISTE")</f>
        <v/>
      </c>
      <c r="E981" s="19" t="n">
        <v>46105</v>
      </c>
      <c r="F981" s="18" t="n">
        <v>3</v>
      </c>
      <c r="G981" s="18" t="inlineStr">
        <is>
          <t>ARTIGAS (CARACAS)</t>
        </is>
      </c>
    </row>
    <row r="982">
      <c r="B982" s="56" t="inlineStr">
        <is>
          <t>00008-UNI</t>
        </is>
      </c>
      <c r="C982" s="56">
        <f>IFERROR(_xlfn.XLOOKUP(SALIDAS[[#This Row],[CODIGO]],LISTADO[CODIGOS],LISTADO[CATEGORIA]),"NO EXISTE")</f>
        <v/>
      </c>
      <c r="D982" s="56">
        <f>IFERROR(_xlfn.XLOOKUP(SALIDAS[[#This Row],[CODIGO]],LISTADO[CODIGOS],LISTADO[PRODUCTOS]),"NO EXISTE")</f>
        <v/>
      </c>
      <c r="E982" s="19" t="n">
        <v>46105</v>
      </c>
      <c r="F982" s="18" t="n">
        <v>3</v>
      </c>
      <c r="G982" s="18" t="inlineStr">
        <is>
          <t>ARTIGAS (CARACAS)</t>
        </is>
      </c>
    </row>
    <row r="983">
      <c r="B983" s="56" t="inlineStr">
        <is>
          <t>00009-UNI</t>
        </is>
      </c>
      <c r="C983" s="56">
        <f>IFERROR(_xlfn.XLOOKUP(SALIDAS[[#This Row],[CODIGO]],LISTADO[CODIGOS],LISTADO[CATEGORIA]),"NO EXISTE")</f>
        <v/>
      </c>
      <c r="D983" s="56">
        <f>IFERROR(_xlfn.XLOOKUP(SALIDAS[[#This Row],[CODIGO]],LISTADO[CODIGOS],LISTADO[PRODUCTOS]),"NO EXISTE")</f>
        <v/>
      </c>
      <c r="E983" s="19" t="n">
        <v>46105</v>
      </c>
      <c r="F983" s="18" t="n">
        <v>3</v>
      </c>
      <c r="G983" s="18" t="inlineStr">
        <is>
          <t>ARTIGAS (CARACAS)</t>
        </is>
      </c>
    </row>
    <row r="984">
      <c r="B984" s="56" t="inlineStr">
        <is>
          <t>00006-UNI</t>
        </is>
      </c>
      <c r="C984" s="56">
        <f>IFERROR(_xlfn.XLOOKUP(SALIDAS[[#This Row],[CODIGO]],LISTADO[CODIGOS],LISTADO[CATEGORIA]),"NO EXISTE")</f>
        <v/>
      </c>
      <c r="D984" s="56">
        <f>IFERROR(_xlfn.XLOOKUP(SALIDAS[[#This Row],[CODIGO]],LISTADO[CODIGOS],LISTADO[PRODUCTOS]),"NO EXISTE")</f>
        <v/>
      </c>
      <c r="E984" s="19" t="n">
        <v>46105</v>
      </c>
      <c r="F984" s="18" t="n">
        <v>3</v>
      </c>
      <c r="G984" s="18" t="inlineStr">
        <is>
          <t>ARTIGAS (CARACAS)</t>
        </is>
      </c>
    </row>
    <row r="985">
      <c r="B985" s="56" t="inlineStr">
        <is>
          <t>00052-UNI</t>
        </is>
      </c>
      <c r="C985" s="56">
        <f>IFERROR(_xlfn.XLOOKUP(SALIDAS[[#This Row],[CODIGO]],LISTADO[CODIGOS],LISTADO[CATEGORIA]),"NO EXISTE")</f>
        <v/>
      </c>
      <c r="D985" s="56">
        <f>IFERROR(_xlfn.XLOOKUP(SALIDAS[[#This Row],[CODIGO]],LISTADO[CODIGOS],LISTADO[PRODUCTOS]),"NO EXISTE")</f>
        <v/>
      </c>
      <c r="E985" s="19" t="n">
        <v>46105</v>
      </c>
      <c r="F985" s="18" t="n">
        <v>3</v>
      </c>
      <c r="G985" s="18" t="inlineStr">
        <is>
          <t>ARTIGAS (CARACAS)</t>
        </is>
      </c>
    </row>
    <row r="986">
      <c r="B986" s="56" t="inlineStr">
        <is>
          <t>00014-UNI</t>
        </is>
      </c>
      <c r="C986" s="56">
        <f>IFERROR(_xlfn.XLOOKUP(SALIDAS[[#This Row],[CODIGO]],LISTADO[CODIGOS],LISTADO[CATEGORIA]),"NO EXISTE")</f>
        <v/>
      </c>
      <c r="D986" s="56">
        <f>IFERROR(_xlfn.XLOOKUP(SALIDAS[[#This Row],[CODIGO]],LISTADO[CODIGOS],LISTADO[PRODUCTOS]),"NO EXISTE")</f>
        <v/>
      </c>
      <c r="E986" s="19" t="n">
        <v>46105</v>
      </c>
      <c r="F986" s="18" t="n">
        <v>3</v>
      </c>
      <c r="G986" s="18" t="inlineStr">
        <is>
          <t>ARTIGAS (CARACAS)</t>
        </is>
      </c>
    </row>
    <row r="987">
      <c r="B987" s="18" t="inlineStr">
        <is>
          <t>00011-UNI</t>
        </is>
      </c>
      <c r="C987" s="56">
        <f>IFERROR(_xlfn.XLOOKUP(SALIDAS[[#This Row],[CODIGO]],LISTADO[CODIGOS],LISTADO[CATEGORIA]),"NO EXISTE")</f>
        <v/>
      </c>
      <c r="D987" s="56">
        <f>IFERROR(_xlfn.XLOOKUP(SALIDAS[[#This Row],[CODIGO]],LISTADO[CODIGOS],LISTADO[PRODUCTOS]),"NO EXISTE")</f>
        <v/>
      </c>
      <c r="E987" s="19" t="n">
        <v>46105</v>
      </c>
      <c r="F987" s="18" t="n">
        <v>3</v>
      </c>
      <c r="G987" s="18" t="inlineStr">
        <is>
          <t>ARTIGAS (CARACAS)</t>
        </is>
      </c>
    </row>
    <row r="988">
      <c r="B988" s="56" t="inlineStr">
        <is>
          <t>00013-UNI</t>
        </is>
      </c>
      <c r="C988" s="56">
        <f>IFERROR(_xlfn.XLOOKUP(SALIDAS[[#This Row],[CODIGO]],LISTADO[CODIGOS],LISTADO[CATEGORIA]),"NO EXISTE")</f>
        <v/>
      </c>
      <c r="D988" s="56">
        <f>IFERROR(_xlfn.XLOOKUP(SALIDAS[[#This Row],[CODIGO]],LISTADO[CODIGOS],LISTADO[PRODUCTOS]),"NO EXISTE")</f>
        <v/>
      </c>
      <c r="E988" s="19" t="n">
        <v>46105</v>
      </c>
      <c r="F988" s="18" t="n">
        <v>3</v>
      </c>
      <c r="G988" s="18" t="inlineStr">
        <is>
          <t>ARTIGAS (CARACAS)</t>
        </is>
      </c>
    </row>
    <row r="989">
      <c r="B989" s="56" t="inlineStr">
        <is>
          <t>00010-UNI</t>
        </is>
      </c>
      <c r="C989" s="56">
        <f>IFERROR(_xlfn.XLOOKUP(SALIDAS[[#This Row],[CODIGO]],LISTADO[CODIGOS],LISTADO[CATEGORIA]),"NO EXISTE")</f>
        <v/>
      </c>
      <c r="D989" s="56">
        <f>IFERROR(_xlfn.XLOOKUP(SALIDAS[[#This Row],[CODIGO]],LISTADO[CODIGOS],LISTADO[PRODUCTOS]),"NO EXISTE")</f>
        <v/>
      </c>
      <c r="E989" s="19" t="n">
        <v>46105</v>
      </c>
      <c r="F989" s="18" t="n">
        <v>3</v>
      </c>
      <c r="G989" s="18" t="inlineStr">
        <is>
          <t>ARTIGAS (CARACAS)</t>
        </is>
      </c>
    </row>
    <row r="990">
      <c r="B990" s="56" t="inlineStr">
        <is>
          <t>00049-UNI</t>
        </is>
      </c>
      <c r="C990" s="56">
        <f>IFERROR(_xlfn.XLOOKUP(SALIDAS[[#This Row],[CODIGO]],LISTADO[CODIGOS],LISTADO[CATEGORIA]),"NO EXISTE")</f>
        <v/>
      </c>
      <c r="D990" s="56">
        <f>IFERROR(_xlfn.XLOOKUP(SALIDAS[[#This Row],[CODIGO]],LISTADO[CODIGOS],LISTADO[PRODUCTOS]),"NO EXISTE")</f>
        <v/>
      </c>
      <c r="E990" s="19" t="n">
        <v>46105</v>
      </c>
      <c r="F990" s="18" t="n">
        <v>3</v>
      </c>
      <c r="G990" s="18" t="inlineStr">
        <is>
          <t>ARTIGAS (CARACAS)</t>
        </is>
      </c>
    </row>
    <row r="991">
      <c r="B991" s="56" t="inlineStr">
        <is>
          <t>00007-UNI</t>
        </is>
      </c>
      <c r="C991" s="56">
        <f>IFERROR(_xlfn.XLOOKUP(SALIDAS[[#This Row],[CODIGO]],LISTADO[CODIGOS],LISTADO[CATEGORIA]),"NO EXISTE")</f>
        <v/>
      </c>
      <c r="D991" s="56">
        <f>IFERROR(_xlfn.XLOOKUP(SALIDAS[[#This Row],[CODIGO]],LISTADO[CODIGOS],LISTADO[PRODUCTOS]),"NO EXISTE")</f>
        <v/>
      </c>
      <c r="E991" s="19" t="n">
        <v>46105</v>
      </c>
      <c r="F991" s="18" t="n">
        <v>2</v>
      </c>
      <c r="G991" s="18" t="inlineStr">
        <is>
          <t>LA VEGA (CARACAS)</t>
        </is>
      </c>
    </row>
    <row r="992">
      <c r="B992" s="56" t="inlineStr">
        <is>
          <t>00008-UNI</t>
        </is>
      </c>
      <c r="C992" s="56">
        <f>IFERROR(_xlfn.XLOOKUP(SALIDAS[[#This Row],[CODIGO]],LISTADO[CODIGOS],LISTADO[CATEGORIA]),"NO EXISTE")</f>
        <v/>
      </c>
      <c r="D992" s="56">
        <f>IFERROR(_xlfn.XLOOKUP(SALIDAS[[#This Row],[CODIGO]],LISTADO[CODIGOS],LISTADO[PRODUCTOS]),"NO EXISTE")</f>
        <v/>
      </c>
      <c r="E992" s="19" t="n">
        <v>46105</v>
      </c>
      <c r="F992" s="18" t="n">
        <v>2</v>
      </c>
      <c r="G992" s="18" t="inlineStr">
        <is>
          <t>LA VEGA (CARACAS)</t>
        </is>
      </c>
    </row>
    <row r="993">
      <c r="B993" s="56" t="inlineStr">
        <is>
          <t>00009-UNI</t>
        </is>
      </c>
      <c r="C993" s="56">
        <f>IFERROR(_xlfn.XLOOKUP(SALIDAS[[#This Row],[CODIGO]],LISTADO[CODIGOS],LISTADO[CATEGORIA]),"NO EXISTE")</f>
        <v/>
      </c>
      <c r="D993" s="56">
        <f>IFERROR(_xlfn.XLOOKUP(SALIDAS[[#This Row],[CODIGO]],LISTADO[CODIGOS],LISTADO[PRODUCTOS]),"NO EXISTE")</f>
        <v/>
      </c>
      <c r="E993" s="19" t="n">
        <v>46105</v>
      </c>
      <c r="F993" s="18" t="n">
        <v>2</v>
      </c>
      <c r="G993" s="18" t="inlineStr">
        <is>
          <t>LA VEGA (CARACAS)</t>
        </is>
      </c>
    </row>
    <row r="994">
      <c r="B994" s="56" t="inlineStr">
        <is>
          <t>00006-UNI</t>
        </is>
      </c>
      <c r="C994" s="56">
        <f>IFERROR(_xlfn.XLOOKUP(SALIDAS[[#This Row],[CODIGO]],LISTADO[CODIGOS],LISTADO[CATEGORIA]),"NO EXISTE")</f>
        <v/>
      </c>
      <c r="D994" s="56">
        <f>IFERROR(_xlfn.XLOOKUP(SALIDAS[[#This Row],[CODIGO]],LISTADO[CODIGOS],LISTADO[PRODUCTOS]),"NO EXISTE")</f>
        <v/>
      </c>
      <c r="E994" s="19" t="n">
        <v>46105</v>
      </c>
      <c r="F994" s="18" t="n">
        <v>2</v>
      </c>
      <c r="G994" s="18" t="inlineStr">
        <is>
          <t>LA VEGA (CARACAS)</t>
        </is>
      </c>
    </row>
    <row r="995">
      <c r="B995" s="56" t="inlineStr">
        <is>
          <t>00051-UNI</t>
        </is>
      </c>
      <c r="C995" s="56">
        <f>IFERROR(_xlfn.XLOOKUP(SALIDAS[[#This Row],[CODIGO]],LISTADO[CODIGOS],LISTADO[CATEGORIA]),"NO EXISTE")</f>
        <v/>
      </c>
      <c r="D995" s="56">
        <f>IFERROR(_xlfn.XLOOKUP(SALIDAS[[#This Row],[CODIGO]],LISTADO[CODIGOS],LISTADO[PRODUCTOS]),"NO EXISTE")</f>
        <v/>
      </c>
      <c r="E995" s="19" t="n">
        <v>46105</v>
      </c>
      <c r="F995" s="18" t="n">
        <v>3</v>
      </c>
      <c r="G995" s="18" t="inlineStr">
        <is>
          <t>LA VEGA (CARACAS)</t>
        </is>
      </c>
    </row>
    <row r="996">
      <c r="B996" s="56" t="inlineStr">
        <is>
          <t>00063-UNI</t>
        </is>
      </c>
      <c r="C996" s="56">
        <f>IFERROR(_xlfn.XLOOKUP(SALIDAS[[#This Row],[CODIGO]],LISTADO[CODIGOS],LISTADO[CATEGORIA]),"NO EXISTE")</f>
        <v/>
      </c>
      <c r="D996" s="56">
        <f>IFERROR(_xlfn.XLOOKUP(SALIDAS[[#This Row],[CODIGO]],LISTADO[CODIGOS],LISTADO[PRODUCTOS]),"NO EXISTE")</f>
        <v/>
      </c>
      <c r="E996" s="19" t="n">
        <v>46105</v>
      </c>
      <c r="F996" s="18" t="n">
        <v>1</v>
      </c>
      <c r="G996" s="18" t="inlineStr">
        <is>
          <t>LA VEGA (CARACAS)</t>
        </is>
      </c>
    </row>
    <row r="997">
      <c r="B997" s="56" t="inlineStr">
        <is>
          <t>00012-UNI</t>
        </is>
      </c>
      <c r="C997" s="56">
        <f>IFERROR(_xlfn.XLOOKUP(SALIDAS[[#This Row],[CODIGO]],LISTADO[CODIGOS],LISTADO[CATEGORIA]),"NO EXISTE")</f>
        <v/>
      </c>
      <c r="D997" s="56">
        <f>IFERROR(_xlfn.XLOOKUP(SALIDAS[[#This Row],[CODIGO]],LISTADO[CODIGOS],LISTADO[PRODUCTOS]),"NO EXISTE")</f>
        <v/>
      </c>
      <c r="E997" s="19" t="n">
        <v>46105</v>
      </c>
      <c r="F997" s="18" t="n">
        <v>1</v>
      </c>
      <c r="G997" s="18" t="inlineStr">
        <is>
          <t>LA VEGA (CARACAS)</t>
        </is>
      </c>
    </row>
    <row r="998">
      <c r="B998" s="56" t="inlineStr">
        <is>
          <t>00013-UNI</t>
        </is>
      </c>
      <c r="C998" s="56">
        <f>IFERROR(_xlfn.XLOOKUP(SALIDAS[[#This Row],[CODIGO]],LISTADO[CODIGOS],LISTADO[CATEGORIA]),"NO EXISTE")</f>
        <v/>
      </c>
      <c r="D998" s="56">
        <f>IFERROR(_xlfn.XLOOKUP(SALIDAS[[#This Row],[CODIGO]],LISTADO[CODIGOS],LISTADO[PRODUCTOS]),"NO EXISTE")</f>
        <v/>
      </c>
      <c r="E998" s="19" t="n">
        <v>46105</v>
      </c>
      <c r="F998" s="18" t="n">
        <v>2</v>
      </c>
      <c r="G998" s="18" t="inlineStr">
        <is>
          <t>LA VEGA (CARACAS)</t>
        </is>
      </c>
    </row>
    <row r="999">
      <c r="B999" s="56" t="inlineStr">
        <is>
          <t>00014-UNI</t>
        </is>
      </c>
      <c r="C999" s="56">
        <f>IFERROR(_xlfn.XLOOKUP(SALIDAS[[#This Row],[CODIGO]],LISTADO[CODIGOS],LISTADO[CATEGORIA]),"NO EXISTE")</f>
        <v/>
      </c>
      <c r="D999" s="56">
        <f>IFERROR(_xlfn.XLOOKUP(SALIDAS[[#This Row],[CODIGO]],LISTADO[CODIGOS],LISTADO[PRODUCTOS]),"NO EXISTE")</f>
        <v/>
      </c>
      <c r="E999" s="19" t="n">
        <v>46105</v>
      </c>
      <c r="F999" s="18" t="n">
        <v>2</v>
      </c>
      <c r="G999" s="18" t="inlineStr">
        <is>
          <t>LA VEGA (CARACAS)</t>
        </is>
      </c>
    </row>
    <row r="1000">
      <c r="B1000" s="18" t="inlineStr">
        <is>
          <t>00011-UNI</t>
        </is>
      </c>
      <c r="C1000" s="56">
        <f>IFERROR(_xlfn.XLOOKUP(SALIDAS[[#This Row],[CODIGO]],LISTADO[CODIGOS],LISTADO[CATEGORIA]),"NO EXISTE")</f>
        <v/>
      </c>
      <c r="D1000" s="56">
        <f>IFERROR(_xlfn.XLOOKUP(SALIDAS[[#This Row],[CODIGO]],LISTADO[CODIGOS],LISTADO[PRODUCTOS]),"NO EXISTE")</f>
        <v/>
      </c>
      <c r="E1000" s="19" t="n">
        <v>46105</v>
      </c>
      <c r="F1000" s="18" t="n">
        <v>2</v>
      </c>
      <c r="G1000" s="18" t="inlineStr">
        <is>
          <t>LA VEGA (CARACAS)</t>
        </is>
      </c>
    </row>
    <row r="1001">
      <c r="A1001" s="56" t="n"/>
      <c r="B1001" s="56" t="inlineStr">
        <is>
          <t>00067-UNI</t>
        </is>
      </c>
      <c r="C1001" s="56">
        <f>IFERROR(_xlfn.XLOOKUP(SALIDAS[[#This Row],[CODIGO]],LISTADO[CODIGOS],LISTADO[CATEGORIA]),"NO EXISTE")</f>
        <v/>
      </c>
      <c r="D1001" s="56">
        <f>IFERROR(_xlfn.XLOOKUP(SALIDAS[[#This Row],[CODIGO]],LISTADO[CODIGOS],LISTADO[PRODUCTOS]),"NO EXISTE")</f>
        <v/>
      </c>
      <c r="E1001" s="19" t="n">
        <v>46105</v>
      </c>
      <c r="F1001" s="18" t="n">
        <v>1</v>
      </c>
      <c r="G1001" s="18" t="inlineStr">
        <is>
          <t>LA VEGA (CARACAS)</t>
        </is>
      </c>
    </row>
    <row r="1002">
      <c r="B1002" s="56" t="inlineStr">
        <is>
          <t>00049-UNI</t>
        </is>
      </c>
      <c r="C1002" s="56">
        <f>IFERROR(_xlfn.XLOOKUP(SALIDAS[[#This Row],[CODIGO]],LISTADO[CODIGOS],LISTADO[CATEGORIA]),"NO EXISTE")</f>
        <v/>
      </c>
      <c r="D1002" s="56">
        <f>IFERROR(_xlfn.XLOOKUP(SALIDAS[[#This Row],[CODIGO]],LISTADO[CODIGOS],LISTADO[PRODUCTOS]),"NO EXISTE")</f>
        <v/>
      </c>
      <c r="E1002" s="19" t="n">
        <v>46105</v>
      </c>
      <c r="F1002" s="18" t="n">
        <v>3</v>
      </c>
      <c r="G1002" s="18" t="inlineStr">
        <is>
          <t>LA VEGA (CARACAS)</t>
        </is>
      </c>
    </row>
    <row r="1003">
      <c r="B1003" s="56" t="inlineStr">
        <is>
          <t>00007-UNI</t>
        </is>
      </c>
      <c r="C1003" s="56">
        <f>IFERROR(_xlfn.XLOOKUP(SALIDAS[[#This Row],[CODIGO]],LISTADO[CODIGOS],LISTADO[CATEGORIA]),"NO EXISTE")</f>
        <v/>
      </c>
      <c r="D1003" s="56">
        <f>IFERROR(_xlfn.XLOOKUP(SALIDAS[[#This Row],[CODIGO]],LISTADO[CODIGOS],LISTADO[PRODUCTOS]),"NO EXISTE")</f>
        <v/>
      </c>
      <c r="E1003" s="19" t="n">
        <v>46105</v>
      </c>
      <c r="F1003" s="18" t="n">
        <v>2</v>
      </c>
      <c r="G1003" s="18" t="inlineStr">
        <is>
          <t>SAN MARTIN (CARACAS)</t>
        </is>
      </c>
    </row>
    <row r="1004">
      <c r="B1004" s="56" t="inlineStr">
        <is>
          <t>00008-UNI</t>
        </is>
      </c>
      <c r="C1004" s="56">
        <f>IFERROR(_xlfn.XLOOKUP(SALIDAS[[#This Row],[CODIGO]],LISTADO[CODIGOS],LISTADO[CATEGORIA]),"NO EXISTE")</f>
        <v/>
      </c>
      <c r="D1004" s="56">
        <f>IFERROR(_xlfn.XLOOKUP(SALIDAS[[#This Row],[CODIGO]],LISTADO[CODIGOS],LISTADO[PRODUCTOS]),"NO EXISTE")</f>
        <v/>
      </c>
      <c r="E1004" s="19" t="n">
        <v>46105</v>
      </c>
      <c r="F1004" s="18" t="n">
        <v>4</v>
      </c>
      <c r="G1004" s="18" t="inlineStr">
        <is>
          <t>SAN MARTIN (CARACAS)</t>
        </is>
      </c>
    </row>
    <row r="1005">
      <c r="B1005" s="56" t="inlineStr">
        <is>
          <t>00006-UNI</t>
        </is>
      </c>
      <c r="C1005" s="56">
        <f>IFERROR(_xlfn.XLOOKUP(SALIDAS[[#This Row],[CODIGO]],LISTADO[CODIGOS],LISTADO[CATEGORIA]),"NO EXISTE")</f>
        <v/>
      </c>
      <c r="D1005" s="56">
        <f>IFERROR(_xlfn.XLOOKUP(SALIDAS[[#This Row],[CODIGO]],LISTADO[CODIGOS],LISTADO[PRODUCTOS]),"NO EXISTE")</f>
        <v/>
      </c>
      <c r="E1005" s="19" t="n">
        <v>46105</v>
      </c>
      <c r="F1005" s="18" t="n">
        <v>3</v>
      </c>
      <c r="G1005" s="18" t="inlineStr">
        <is>
          <t>SAN MARTIN (CARACAS)</t>
        </is>
      </c>
    </row>
    <row r="1006">
      <c r="B1006" s="56" t="inlineStr">
        <is>
          <t>00063-UNI</t>
        </is>
      </c>
      <c r="C1006" s="56">
        <f>IFERROR(_xlfn.XLOOKUP(SALIDAS[[#This Row],[CODIGO]],LISTADO[CODIGOS],LISTADO[CATEGORIA]),"NO EXISTE")</f>
        <v/>
      </c>
      <c r="D1006" s="56">
        <f>IFERROR(_xlfn.XLOOKUP(SALIDAS[[#This Row],[CODIGO]],LISTADO[CODIGOS],LISTADO[PRODUCTOS]),"NO EXISTE")</f>
        <v/>
      </c>
      <c r="E1006" s="19" t="n">
        <v>46105</v>
      </c>
      <c r="F1006" s="18" t="n">
        <v>1</v>
      </c>
      <c r="G1006" s="18" t="inlineStr">
        <is>
          <t>SAN MARTIN (CARACAS)</t>
        </is>
      </c>
    </row>
    <row r="1007">
      <c r="B1007" s="56" t="inlineStr">
        <is>
          <t>00065-UNI</t>
        </is>
      </c>
      <c r="C1007" s="56">
        <f>IFERROR(_xlfn.XLOOKUP(SALIDAS[[#This Row],[CODIGO]],LISTADO[CODIGOS],LISTADO[CATEGORIA]),"NO EXISTE")</f>
        <v/>
      </c>
      <c r="D1007" s="56">
        <f>IFERROR(_xlfn.XLOOKUP(SALIDAS[[#This Row],[CODIGO]],LISTADO[CODIGOS],LISTADO[PRODUCTOS]),"NO EXISTE")</f>
        <v/>
      </c>
      <c r="E1007" s="19" t="n">
        <v>46105</v>
      </c>
      <c r="F1007" s="18" t="n">
        <v>1</v>
      </c>
      <c r="G1007" s="18" t="inlineStr">
        <is>
          <t>SAN MARTIN (CARACAS)</t>
        </is>
      </c>
    </row>
    <row r="1008">
      <c r="B1008" s="56" t="inlineStr">
        <is>
          <t>00012-UNI</t>
        </is>
      </c>
      <c r="C1008" s="56">
        <f>IFERROR(_xlfn.XLOOKUP(SALIDAS[[#This Row],[CODIGO]],LISTADO[CODIGOS],LISTADO[CATEGORIA]),"NO EXISTE")</f>
        <v/>
      </c>
      <c r="D1008" s="56">
        <f>IFERROR(_xlfn.XLOOKUP(SALIDAS[[#This Row],[CODIGO]],LISTADO[CODIGOS],LISTADO[PRODUCTOS]),"NO EXISTE")</f>
        <v/>
      </c>
      <c r="E1008" s="19" t="n">
        <v>46105</v>
      </c>
      <c r="F1008" s="18" t="n">
        <v>2</v>
      </c>
      <c r="G1008" s="18" t="inlineStr">
        <is>
          <t>SAN MARTIN (CARACAS)</t>
        </is>
      </c>
    </row>
    <row r="1009">
      <c r="B1009" s="56" t="inlineStr">
        <is>
          <t>00013-UNI</t>
        </is>
      </c>
      <c r="C1009" s="56">
        <f>IFERROR(_xlfn.XLOOKUP(SALIDAS[[#This Row],[CODIGO]],LISTADO[CODIGOS],LISTADO[CATEGORIA]),"NO EXISTE")</f>
        <v/>
      </c>
      <c r="D1009" s="56">
        <f>IFERROR(_xlfn.XLOOKUP(SALIDAS[[#This Row],[CODIGO]],LISTADO[CODIGOS],LISTADO[PRODUCTOS]),"NO EXISTE")</f>
        <v/>
      </c>
      <c r="E1009" s="19" t="n">
        <v>46105</v>
      </c>
      <c r="F1009" s="18" t="n">
        <v>4</v>
      </c>
      <c r="G1009" s="18" t="inlineStr">
        <is>
          <t>SAN MARTIN (CARACAS)</t>
        </is>
      </c>
    </row>
    <row r="1010">
      <c r="B1010" s="56" t="inlineStr">
        <is>
          <t>00014-UNI</t>
        </is>
      </c>
      <c r="C1010" s="56">
        <f>IFERROR(_xlfn.XLOOKUP(SALIDAS[[#This Row],[CODIGO]],LISTADO[CODIGOS],LISTADO[CATEGORIA]),"NO EXISTE")</f>
        <v/>
      </c>
      <c r="D1010" s="56">
        <f>IFERROR(_xlfn.XLOOKUP(SALIDAS[[#This Row],[CODIGO]],LISTADO[CODIGOS],LISTADO[PRODUCTOS]),"NO EXISTE")</f>
        <v/>
      </c>
      <c r="E1010" s="19" t="n">
        <v>46105</v>
      </c>
      <c r="F1010" s="18" t="n">
        <v>4</v>
      </c>
      <c r="G1010" s="18" t="inlineStr">
        <is>
          <t>SAN MARTIN (CARACAS)</t>
        </is>
      </c>
    </row>
    <row r="1011">
      <c r="B1011" s="18" t="inlineStr">
        <is>
          <t>00011-UNI</t>
        </is>
      </c>
      <c r="C1011" s="56">
        <f>IFERROR(_xlfn.XLOOKUP(SALIDAS[[#This Row],[CODIGO]],LISTADO[CODIGOS],LISTADO[CATEGORIA]),"NO EXISTE")</f>
        <v/>
      </c>
      <c r="D1011" s="56">
        <f>IFERROR(_xlfn.XLOOKUP(SALIDAS[[#This Row],[CODIGO]],LISTADO[CODIGOS],LISTADO[PRODUCTOS]),"NO EXISTE")</f>
        <v/>
      </c>
      <c r="E1011" s="19" t="n">
        <v>46105</v>
      </c>
      <c r="F1011" s="18" t="n">
        <v>4</v>
      </c>
      <c r="G1011" s="18" t="inlineStr">
        <is>
          <t>SAN MARTIN (CARACAS)</t>
        </is>
      </c>
    </row>
    <row r="1012">
      <c r="B1012" s="56" t="inlineStr">
        <is>
          <t>00068-UNI</t>
        </is>
      </c>
      <c r="C1012" s="56">
        <f>IFERROR(_xlfn.XLOOKUP(SALIDAS[[#This Row],[CODIGO]],LISTADO[CODIGOS],LISTADO[CATEGORIA]),"NO EXISTE")</f>
        <v/>
      </c>
      <c r="D1012" s="56">
        <f>IFERROR(_xlfn.XLOOKUP(SALIDAS[[#This Row],[CODIGO]],LISTADO[CODIGOS],LISTADO[PRODUCTOS]),"NO EXISTE")</f>
        <v/>
      </c>
      <c r="E1012" s="19" t="n">
        <v>46105</v>
      </c>
      <c r="F1012" s="18" t="n">
        <v>1</v>
      </c>
      <c r="G1012" s="18" t="inlineStr">
        <is>
          <t>SAN MARTIN (CARACAS)</t>
        </is>
      </c>
    </row>
    <row r="1013">
      <c r="B1013" s="56" t="inlineStr">
        <is>
          <t>00067-UNI</t>
        </is>
      </c>
      <c r="C1013" s="56">
        <f>IFERROR(_xlfn.XLOOKUP(SALIDAS[[#This Row],[CODIGO]],LISTADO[CODIGOS],LISTADO[CATEGORIA]),"NO EXISTE")</f>
        <v/>
      </c>
      <c r="D1013" s="56">
        <f>IFERROR(_xlfn.XLOOKUP(SALIDAS[[#This Row],[CODIGO]],LISTADO[CODIGOS],LISTADO[PRODUCTOS]),"NO EXISTE")</f>
        <v/>
      </c>
      <c r="E1013" s="19" t="n">
        <v>46105</v>
      </c>
      <c r="F1013" s="18" t="n">
        <v>1</v>
      </c>
      <c r="G1013" s="18" t="inlineStr">
        <is>
          <t>SAN MARTIN (CARACAS)</t>
        </is>
      </c>
    </row>
    <row r="1014">
      <c r="B1014" s="18" t="inlineStr">
        <is>
          <t>00039-HRR</t>
        </is>
      </c>
      <c r="C1014" s="56">
        <f>IFERROR(_xlfn.XLOOKUP(SALIDAS[[#This Row],[CODIGO]],LISTADO[CODIGOS],LISTADO[CATEGORIA]),"NO EXISTE")</f>
        <v/>
      </c>
      <c r="D1014" s="56">
        <f>IFERROR(_xlfn.XLOOKUP(SALIDAS[[#This Row],[CODIGO]],LISTADO[CODIGOS],LISTADO[PRODUCTOS]),"NO EXISTE")</f>
        <v/>
      </c>
      <c r="E1014" s="19" t="n">
        <v>46106</v>
      </c>
      <c r="F1014" s="15" t="n">
        <v>10</v>
      </c>
      <c r="G1014" s="18" t="inlineStr">
        <is>
          <t>LA VIÑA</t>
        </is>
      </c>
    </row>
    <row r="1015">
      <c r="B1015" s="18" t="inlineStr">
        <is>
          <t>00040-HRR</t>
        </is>
      </c>
      <c r="C1015" s="56">
        <f>IFERROR(_xlfn.XLOOKUP(SALIDAS[[#This Row],[CODIGO]],LISTADO[CODIGOS],LISTADO[CATEGORIA]),"NO EXISTE")</f>
        <v/>
      </c>
      <c r="D1015" s="56">
        <f>IFERROR(_xlfn.XLOOKUP(SALIDAS[[#This Row],[CODIGO]],LISTADO[CODIGOS],LISTADO[PRODUCTOS]),"NO EXISTE")</f>
        <v/>
      </c>
      <c r="E1015" s="19" t="n">
        <v>46106</v>
      </c>
      <c r="F1015" s="18" t="n">
        <v>8</v>
      </c>
      <c r="G1015" s="18" t="inlineStr">
        <is>
          <t>LA VIÑA</t>
        </is>
      </c>
    </row>
    <row r="1016">
      <c r="B1016" s="56" t="inlineStr">
        <is>
          <t>00056-ELE</t>
        </is>
      </c>
      <c r="C1016" s="56">
        <f>IFERROR(_xlfn.XLOOKUP(SALIDAS[[#This Row],[CODIGO]],LISTADO[CODIGOS],LISTADO[CATEGORIA]),"NO EXISTE")</f>
        <v/>
      </c>
      <c r="D1016" s="56">
        <f>IFERROR(_xlfn.XLOOKUP(SALIDAS[[#This Row],[CODIGO]],LISTADO[CODIGOS],LISTADO[PRODUCTOS]),"NO EXISTE")</f>
        <v/>
      </c>
      <c r="E1016" s="19" t="n">
        <v>46106</v>
      </c>
      <c r="F1016" s="15" t="n">
        <v>16</v>
      </c>
      <c r="G1016" s="18" t="inlineStr">
        <is>
          <t>LA VIÑA</t>
        </is>
      </c>
    </row>
    <row r="1017">
      <c r="B1017" s="18" t="inlineStr">
        <is>
          <t>00020-LIM</t>
        </is>
      </c>
      <c r="C1017" s="56">
        <f>IFERROR(_xlfn.XLOOKUP(SALIDAS[[#This Row],[CODIGO]],LISTADO[CODIGOS],LISTADO[CATEGORIA]),"NO EXISTE")</f>
        <v/>
      </c>
      <c r="D1017" s="56">
        <f>IFERROR(_xlfn.XLOOKUP(SALIDAS[[#This Row],[CODIGO]],LISTADO[CODIGOS],LISTADO[PRODUCTOS]),"NO EXISTE")</f>
        <v/>
      </c>
      <c r="E1017" s="19" t="n">
        <v>46106</v>
      </c>
      <c r="F1017" s="15" t="n">
        <v>1</v>
      </c>
      <c r="G1017" s="18" t="inlineStr">
        <is>
          <t>PERIFERICO</t>
        </is>
      </c>
    </row>
    <row r="1018">
      <c r="B1018" s="56" t="inlineStr">
        <is>
          <t>00036-REF</t>
        </is>
      </c>
      <c r="C1018" s="56">
        <f>IFERROR(_xlfn.XLOOKUP(SALIDAS[[#This Row],[CODIGO]],LISTADO[CODIGOS],LISTADO[CATEGORIA]),"NO EXISTE")</f>
        <v/>
      </c>
      <c r="D1018" s="56">
        <f>IFERROR(_xlfn.XLOOKUP(SALIDAS[[#This Row],[CODIGO]],LISTADO[CODIGOS],LISTADO[PRODUCTOS]),"NO EXISTE")</f>
        <v/>
      </c>
      <c r="E1018" s="19" t="n">
        <v>46106</v>
      </c>
      <c r="F1018" s="15" t="n">
        <v>6</v>
      </c>
      <c r="G1018" s="18" t="inlineStr">
        <is>
          <t>PARAPARAL</t>
        </is>
      </c>
    </row>
    <row r="1019">
      <c r="B1019" s="18" t="inlineStr">
        <is>
          <t>00101-REF</t>
        </is>
      </c>
      <c r="C1019" s="56">
        <f>IFERROR(_xlfn.XLOOKUP(SALIDAS[[#This Row],[CODIGO]],LISTADO[CODIGOS],LISTADO[CATEGORIA]),"NO EXISTE")</f>
        <v/>
      </c>
      <c r="D1019" s="56">
        <f>IFERROR(_xlfn.XLOOKUP(SALIDAS[[#This Row],[CODIGO]],LISTADO[CODIGOS],LISTADO[PRODUCTOS]),"NO EXISTE")</f>
        <v/>
      </c>
      <c r="E1019" s="19" t="n">
        <v>46106</v>
      </c>
      <c r="F1019" s="15" t="n">
        <v>1</v>
      </c>
      <c r="G1019" s="18" t="inlineStr">
        <is>
          <t>PARAPARAL</t>
        </is>
      </c>
    </row>
    <row r="1020">
      <c r="B1020" s="56" t="inlineStr">
        <is>
          <t>00002-REF</t>
        </is>
      </c>
      <c r="C1020" s="56">
        <f>IFERROR(_xlfn.XLOOKUP(SALIDAS[[#This Row],[CODIGO]],LISTADO[CODIGOS],LISTADO[CATEGORIA]),"NO EXISTE")</f>
        <v/>
      </c>
      <c r="D1020" s="56">
        <f>IFERROR(_xlfn.XLOOKUP(SALIDAS[[#This Row],[CODIGO]],LISTADO[CODIGOS],LISTADO[PRODUCTOS]),"NO EXISTE")</f>
        <v/>
      </c>
      <c r="E1020" s="19" t="n">
        <v>46106</v>
      </c>
      <c r="F1020" s="15" t="n">
        <v>2</v>
      </c>
      <c r="G1020" s="18" t="inlineStr">
        <is>
          <t>PARAPARAL</t>
        </is>
      </c>
    </row>
    <row r="1021">
      <c r="B1021" s="56" t="inlineStr">
        <is>
          <t>00051-REF</t>
        </is>
      </c>
      <c r="C1021" s="56">
        <f>IFERROR(_xlfn.XLOOKUP(SALIDAS[[#This Row],[CODIGO]],LISTADO[CODIGOS],LISTADO[CATEGORIA]),"NO EXISTE")</f>
        <v/>
      </c>
      <c r="D1021" s="56">
        <f>IFERROR(_xlfn.XLOOKUP(SALIDAS[[#This Row],[CODIGO]],LISTADO[CODIGOS],LISTADO[PRODUCTOS]),"NO EXISTE")</f>
        <v/>
      </c>
      <c r="E1021" s="19" t="n">
        <v>46106</v>
      </c>
      <c r="F1021" s="15" t="n">
        <v>2</v>
      </c>
      <c r="G1021" s="18" t="inlineStr">
        <is>
          <t>PARAPARAL</t>
        </is>
      </c>
    </row>
    <row r="1022">
      <c r="B1022" s="56" t="inlineStr">
        <is>
          <t>00047-REF</t>
        </is>
      </c>
      <c r="C1022" s="56">
        <f>IFERROR(_xlfn.XLOOKUP(SALIDAS[[#This Row],[CODIGO]],LISTADO[CODIGOS],LISTADO[CATEGORIA]),"NO EXISTE")</f>
        <v/>
      </c>
      <c r="D1022" s="56">
        <f>IFERROR(_xlfn.XLOOKUP(SALIDAS[[#This Row],[CODIGO]],LISTADO[CODIGOS],LISTADO[PRODUCTOS]),"NO EXISTE")</f>
        <v/>
      </c>
      <c r="E1022" s="19" t="n">
        <v>46106</v>
      </c>
      <c r="F1022" s="15" t="n">
        <v>1</v>
      </c>
      <c r="G1022" s="18" t="inlineStr">
        <is>
          <t>PARAPARAL</t>
        </is>
      </c>
    </row>
    <row r="1023">
      <c r="B1023" s="56" t="inlineStr">
        <is>
          <t>00116-FER</t>
        </is>
      </c>
      <c r="C1023" s="56">
        <f>IFERROR(_xlfn.XLOOKUP(SALIDAS[[#This Row],[CODIGO]],LISTADO[CODIGOS],LISTADO[CATEGORIA]),"NO EXISTE")</f>
        <v/>
      </c>
      <c r="D1023" s="56">
        <f>IFERROR(_xlfn.XLOOKUP(SALIDAS[[#This Row],[CODIGO]],LISTADO[CODIGOS],LISTADO[PRODUCTOS]),"NO EXISTE")</f>
        <v/>
      </c>
      <c r="E1023" s="19" t="n">
        <v>46106</v>
      </c>
      <c r="F1023" s="15" t="n">
        <v>10</v>
      </c>
      <c r="G1023" s="18" t="inlineStr">
        <is>
          <t>SAN DIEGO</t>
        </is>
      </c>
    </row>
    <row r="1024">
      <c r="B1024" s="56" t="inlineStr">
        <is>
          <t>00029-ELE</t>
        </is>
      </c>
      <c r="C1024" s="56">
        <f>IFERROR(_xlfn.XLOOKUP(SALIDAS[[#This Row],[CODIGO]],LISTADO[CODIGOS],LISTADO[CATEGORIA]),"NO EXISTE")</f>
        <v/>
      </c>
      <c r="D1024" s="56">
        <f>IFERROR(_xlfn.XLOOKUP(SALIDAS[[#This Row],[CODIGO]],LISTADO[CODIGOS],LISTADO[PRODUCTOS]),"NO EXISTE")</f>
        <v/>
      </c>
      <c r="E1024" s="19" t="n">
        <v>46106</v>
      </c>
      <c r="F1024" s="15" t="n">
        <v>1</v>
      </c>
      <c r="G1024" s="18" t="inlineStr">
        <is>
          <t>SAN DIEGO</t>
        </is>
      </c>
    </row>
    <row r="1025">
      <c r="B1025" s="56" t="inlineStr">
        <is>
          <t>00068-FER</t>
        </is>
      </c>
      <c r="C1025" s="56">
        <f>IFERROR(_xlfn.XLOOKUP(SALIDAS[[#This Row],[CODIGO]],LISTADO[CODIGOS],LISTADO[CATEGORIA]),"NO EXISTE")</f>
        <v/>
      </c>
      <c r="D1025" s="56">
        <f>IFERROR(_xlfn.XLOOKUP(SALIDAS[[#This Row],[CODIGO]],LISTADO[CODIGOS],LISTADO[PRODUCTOS]),"NO EXISTE")</f>
        <v/>
      </c>
      <c r="E1025" s="19" t="n">
        <v>46106</v>
      </c>
      <c r="F1025" s="15" t="n">
        <v>1</v>
      </c>
      <c r="G1025" s="18" t="inlineStr">
        <is>
          <t>GUACARA</t>
        </is>
      </c>
    </row>
    <row r="1026">
      <c r="B1026" s="56" t="inlineStr">
        <is>
          <t>00001-UNI</t>
        </is>
      </c>
      <c r="C1026" s="56">
        <f>IFERROR(_xlfn.XLOOKUP(SALIDAS[[#This Row],[CODIGO]],LISTADO[CODIGOS],LISTADO[CATEGORIA]),"NO EXISTE")</f>
        <v/>
      </c>
      <c r="D1026" s="56">
        <f>IFERROR(_xlfn.XLOOKUP(SALIDAS[[#This Row],[CODIGO]],LISTADO[CODIGOS],LISTADO[PRODUCTOS]),"NO EXISTE")</f>
        <v/>
      </c>
      <c r="E1026" s="19" t="n">
        <v>46106</v>
      </c>
      <c r="F1026" s="15" t="n">
        <v>1</v>
      </c>
      <c r="G1026" s="18" t="inlineStr">
        <is>
          <t>PERIFERICO</t>
        </is>
      </c>
    </row>
    <row r="1027">
      <c r="B1027" s="18" t="inlineStr">
        <is>
          <t>00042-ILU</t>
        </is>
      </c>
      <c r="C1027" s="56">
        <f>IFERROR(_xlfn.XLOOKUP(SALIDAS[[#This Row],[CODIGO]],LISTADO[CODIGOS],LISTADO[CATEGORIA]),"NO EXISTE")</f>
        <v/>
      </c>
      <c r="D1027" s="56">
        <f>IFERROR(_xlfn.XLOOKUP(SALIDAS[[#This Row],[CODIGO]],LISTADO[CODIGOS],LISTADO[PRODUCTOS]),"NO EXISTE")</f>
        <v/>
      </c>
      <c r="E1027" s="19" t="n">
        <v>46106</v>
      </c>
      <c r="F1027" s="18" t="n">
        <v>4</v>
      </c>
      <c r="G1027" s="18" t="inlineStr">
        <is>
          <t>ARTIGAS (CARACAS)</t>
        </is>
      </c>
    </row>
    <row r="1028">
      <c r="B1028" s="56" t="inlineStr">
        <is>
          <t>00135-FER</t>
        </is>
      </c>
      <c r="C1028" s="56">
        <f>IFERROR(_xlfn.XLOOKUP(SALIDAS[[#This Row],[CODIGO]],LISTADO[CODIGOS],LISTADO[CATEGORIA]),"NO EXISTE")</f>
        <v/>
      </c>
      <c r="D1028" s="56">
        <f>IFERROR(_xlfn.XLOOKUP(SALIDAS[[#This Row],[CODIGO]],LISTADO[CODIGOS],LISTADO[PRODUCTOS]),"NO EXISTE")</f>
        <v/>
      </c>
      <c r="E1028" s="19" t="n">
        <v>46106</v>
      </c>
      <c r="F1028" s="18" t="n">
        <v>10</v>
      </c>
      <c r="G1028" s="18" t="inlineStr">
        <is>
          <t>SAN DIEGO</t>
        </is>
      </c>
    </row>
    <row r="1029">
      <c r="B1029" s="56" t="inlineStr">
        <is>
          <t>00135-FER</t>
        </is>
      </c>
      <c r="C1029" s="56">
        <f>IFERROR(_xlfn.XLOOKUP(SALIDAS[[#This Row],[CODIGO]],LISTADO[CODIGOS],LISTADO[CATEGORIA]),"NO EXISTE")</f>
        <v/>
      </c>
      <c r="D1029" s="56">
        <f>IFERROR(_xlfn.XLOOKUP(SALIDAS[[#This Row],[CODIGO]],LISTADO[CODIGOS],LISTADO[PRODUCTOS]),"NO EXISTE")</f>
        <v/>
      </c>
      <c r="E1029" s="19" t="n">
        <v>46106</v>
      </c>
      <c r="F1029" s="18" t="n">
        <v>50</v>
      </c>
      <c r="G1029" s="18" t="inlineStr">
        <is>
          <t>GUACARA</t>
        </is>
      </c>
    </row>
    <row r="1030">
      <c r="B1030" s="56" t="inlineStr">
        <is>
          <t>00003-ELE</t>
        </is>
      </c>
      <c r="C1030" s="56">
        <f>IFERROR(_xlfn.XLOOKUP(SALIDAS[[#This Row],[CODIGO]],LISTADO[CODIGOS],LISTADO[CATEGORIA]),"NO EXISTE")</f>
        <v/>
      </c>
      <c r="D1030" s="56">
        <f>IFERROR(_xlfn.XLOOKUP(SALIDAS[[#This Row],[CODIGO]],LISTADO[CODIGOS],LISTADO[PRODUCTOS]),"NO EXISTE")</f>
        <v/>
      </c>
      <c r="E1030" s="19" t="n">
        <v>46106</v>
      </c>
      <c r="F1030" s="18" t="n">
        <v>10</v>
      </c>
      <c r="G1030" s="18" t="inlineStr">
        <is>
          <t>TAZAJAL</t>
        </is>
      </c>
    </row>
    <row r="1031">
      <c r="B1031" s="18" t="inlineStr">
        <is>
          <t>00055-PLM</t>
        </is>
      </c>
      <c r="C1031" s="56">
        <f>IFERROR(_xlfn.XLOOKUP(SALIDAS[[#This Row],[CODIGO]],LISTADO[CODIGOS],LISTADO[CATEGORIA]),"NO EXISTE")</f>
        <v/>
      </c>
      <c r="D1031" s="56">
        <f>IFERROR(_xlfn.XLOOKUP(SALIDAS[[#This Row],[CODIGO]],LISTADO[CODIGOS],LISTADO[PRODUCTOS]),"NO EXISTE")</f>
        <v/>
      </c>
      <c r="E1031" s="19" t="n">
        <v>46106</v>
      </c>
      <c r="F1031" s="18" t="n">
        <v>1</v>
      </c>
      <c r="G1031" s="18" t="inlineStr">
        <is>
          <t>TAZAJAL</t>
        </is>
      </c>
    </row>
    <row r="1032">
      <c r="B1032" s="18" t="inlineStr">
        <is>
          <t>00056-PLM</t>
        </is>
      </c>
      <c r="C1032" s="56">
        <f>IFERROR(_xlfn.XLOOKUP(SALIDAS[[#This Row],[CODIGO]],LISTADO[CODIGOS],LISTADO[CATEGORIA]),"NO EXISTE")</f>
        <v/>
      </c>
      <c r="D1032" s="56">
        <f>IFERROR(_xlfn.XLOOKUP(SALIDAS[[#This Row],[CODIGO]],LISTADO[CODIGOS],LISTADO[PRODUCTOS]),"NO EXISTE")</f>
        <v/>
      </c>
      <c r="E1032" s="19" t="n">
        <v>46106</v>
      </c>
      <c r="F1032" s="18" t="n">
        <v>1</v>
      </c>
      <c r="G1032" s="18" t="inlineStr">
        <is>
          <t>TAZAJAL</t>
        </is>
      </c>
    </row>
    <row r="1033">
      <c r="B1033" s="56" t="inlineStr">
        <is>
          <t>00080-FER</t>
        </is>
      </c>
      <c r="C1033" s="56">
        <f>IFERROR(_xlfn.XLOOKUP(SALIDAS[[#This Row],[CODIGO]],LISTADO[CODIGOS],LISTADO[CATEGORIA]),"NO EXISTE")</f>
        <v/>
      </c>
      <c r="D1033" s="56">
        <f>IFERROR(_xlfn.XLOOKUP(SALIDAS[[#This Row],[CODIGO]],LISTADO[CODIGOS],LISTADO[PRODUCTOS]),"NO EXISTE")</f>
        <v/>
      </c>
      <c r="E1033" s="19" t="n">
        <v>46106</v>
      </c>
      <c r="F1033" s="18" t="n">
        <v>1</v>
      </c>
      <c r="G1033" s="18" t="inlineStr">
        <is>
          <t>TAZAJAL</t>
        </is>
      </c>
    </row>
    <row r="1034">
      <c r="B1034" s="56" t="inlineStr">
        <is>
          <t>00004-FER</t>
        </is>
      </c>
      <c r="C1034" s="56">
        <f>IFERROR(_xlfn.XLOOKUP(SALIDAS[[#This Row],[CODIGO]],LISTADO[CODIGOS],LISTADO[CATEGORIA]),"NO EXISTE")</f>
        <v/>
      </c>
      <c r="D1034" s="56">
        <f>IFERROR(_xlfn.XLOOKUP(SALIDAS[[#This Row],[CODIGO]],LISTADO[CODIGOS],LISTADO[PRODUCTOS]),"NO EXISTE")</f>
        <v/>
      </c>
      <c r="E1034" s="19" t="n">
        <v>46106</v>
      </c>
      <c r="F1034" s="18" t="n">
        <v>2000</v>
      </c>
      <c r="G1034" s="18" t="inlineStr">
        <is>
          <t>LA VIÑA</t>
        </is>
      </c>
    </row>
    <row r="1035">
      <c r="B1035" s="56" t="inlineStr">
        <is>
          <t>00115-FER</t>
        </is>
      </c>
      <c r="C1035" s="56">
        <f>IFERROR(_xlfn.XLOOKUP(SALIDAS[[#This Row],[CODIGO]],LISTADO[CODIGOS],LISTADO[CATEGORIA]),"NO EXISTE")</f>
        <v/>
      </c>
      <c r="D1035" s="56">
        <f>IFERROR(_xlfn.XLOOKUP(SALIDAS[[#This Row],[CODIGO]],LISTADO[CODIGOS],LISTADO[PRODUCTOS]),"NO EXISTE")</f>
        <v/>
      </c>
      <c r="E1035" s="19" t="n">
        <v>46106</v>
      </c>
      <c r="F1035" s="18" t="n">
        <v>2000</v>
      </c>
      <c r="G1035" s="18" t="inlineStr">
        <is>
          <t>LA VIÑA</t>
        </is>
      </c>
    </row>
    <row r="1036">
      <c r="B1036" s="56" t="inlineStr">
        <is>
          <t>00083-FER</t>
        </is>
      </c>
      <c r="C1036" s="56">
        <f>IFERROR(_xlfn.XLOOKUP(SALIDAS[[#This Row],[CODIGO]],LISTADO[CODIGOS],LISTADO[CATEGORIA]),"NO EXISTE")</f>
        <v/>
      </c>
      <c r="D1036" s="56">
        <f>IFERROR(_xlfn.XLOOKUP(SALIDAS[[#This Row],[CODIGO]],LISTADO[CODIGOS],LISTADO[PRODUCTOS]),"NO EXISTE")</f>
        <v/>
      </c>
      <c r="E1036" s="19" t="n">
        <v>46106</v>
      </c>
      <c r="F1036" s="18" t="n">
        <v>9</v>
      </c>
      <c r="G1036" s="18" t="inlineStr">
        <is>
          <t>LA VIÑA</t>
        </is>
      </c>
    </row>
    <row r="1037">
      <c r="B1037" s="56" t="inlineStr">
        <is>
          <t>00008-UNI</t>
        </is>
      </c>
      <c r="C1037" s="56">
        <f>IFERROR(_xlfn.XLOOKUP(SALIDAS[[#This Row],[CODIGO]],LISTADO[CODIGOS],LISTADO[CATEGORIA]),"NO EXISTE")</f>
        <v/>
      </c>
      <c r="D1037" s="56">
        <f>IFERROR(_xlfn.XLOOKUP(SALIDAS[[#This Row],[CODIGO]],LISTADO[CODIGOS],LISTADO[PRODUCTOS]),"NO EXISTE")</f>
        <v/>
      </c>
      <c r="E1037" s="19" t="n">
        <v>46106</v>
      </c>
      <c r="F1037" s="18" t="n">
        <v>4</v>
      </c>
      <c r="G1037" s="18" t="inlineStr">
        <is>
          <t>NAGUANAGUA 2</t>
        </is>
      </c>
    </row>
    <row r="1038">
      <c r="B1038" s="56" t="inlineStr">
        <is>
          <t>00013-UNI</t>
        </is>
      </c>
      <c r="C1038" s="56">
        <f>IFERROR(_xlfn.XLOOKUP(SALIDAS[[#This Row],[CODIGO]],LISTADO[CODIGOS],LISTADO[CATEGORIA]),"NO EXISTE")</f>
        <v/>
      </c>
      <c r="D1038" s="56">
        <f>IFERROR(_xlfn.XLOOKUP(SALIDAS[[#This Row],[CODIGO]],LISTADO[CODIGOS],LISTADO[PRODUCTOS]),"NO EXISTE")</f>
        <v/>
      </c>
      <c r="E1038" s="19" t="n">
        <v>46106</v>
      </c>
      <c r="F1038" s="18" t="n">
        <v>2</v>
      </c>
      <c r="G1038" s="18" t="inlineStr">
        <is>
          <t>NAGUANAGUA 2</t>
        </is>
      </c>
    </row>
    <row r="1039">
      <c r="B1039" s="56" t="inlineStr">
        <is>
          <t>00007-UNI</t>
        </is>
      </c>
      <c r="C1039" s="56">
        <f>IFERROR(_xlfn.XLOOKUP(SALIDAS[[#This Row],[CODIGO]],LISTADO[CODIGOS],LISTADO[CATEGORIA]),"NO EXISTE")</f>
        <v/>
      </c>
      <c r="D1039" s="56">
        <f>IFERROR(_xlfn.XLOOKUP(SALIDAS[[#This Row],[CODIGO]],LISTADO[CODIGOS],LISTADO[PRODUCTOS]),"NO EXISTE")</f>
        <v/>
      </c>
      <c r="E1039" s="19" t="n">
        <v>46106</v>
      </c>
      <c r="F1039" s="18" t="n">
        <v>2</v>
      </c>
      <c r="G1039" s="18" t="inlineStr">
        <is>
          <t>NAGUANAGUA 2</t>
        </is>
      </c>
    </row>
    <row r="1040">
      <c r="B1040" s="56" t="inlineStr">
        <is>
          <t>00014-UNI</t>
        </is>
      </c>
      <c r="C1040" s="56">
        <f>IFERROR(_xlfn.XLOOKUP(SALIDAS[[#This Row],[CODIGO]],LISTADO[CODIGOS],LISTADO[CATEGORIA]),"NO EXISTE")</f>
        <v/>
      </c>
      <c r="D1040" s="56">
        <f>IFERROR(_xlfn.XLOOKUP(SALIDAS[[#This Row],[CODIGO]],LISTADO[CODIGOS],LISTADO[PRODUCTOS]),"NO EXISTE")</f>
        <v/>
      </c>
      <c r="E1040" s="19" t="n">
        <v>46106</v>
      </c>
      <c r="F1040" s="18" t="n">
        <v>2</v>
      </c>
      <c r="G1040" s="18" t="inlineStr">
        <is>
          <t>NAGUANAGUA 2</t>
        </is>
      </c>
    </row>
    <row r="1041">
      <c r="B1041" s="56" t="inlineStr">
        <is>
          <t>00028-FER</t>
        </is>
      </c>
      <c r="C1041" s="56">
        <f>IFERROR(_xlfn.XLOOKUP(SALIDAS[[#This Row],[CODIGO]],LISTADO[CODIGOS],LISTADO[CATEGORIA]),"NO EXISTE")</f>
        <v/>
      </c>
      <c r="D1041" s="56">
        <f>IFERROR(_xlfn.XLOOKUP(SALIDAS[[#This Row],[CODIGO]],LISTADO[CODIGOS],LISTADO[PRODUCTOS]),"NO EXISTE")</f>
        <v/>
      </c>
      <c r="E1041" s="19" t="n">
        <v>46107</v>
      </c>
      <c r="F1041" s="18" t="n">
        <v>1</v>
      </c>
      <c r="G1041" s="18" t="inlineStr">
        <is>
          <t>LA VIÑA</t>
        </is>
      </c>
    </row>
    <row r="1042">
      <c r="B1042" s="56" t="inlineStr">
        <is>
          <t>00005-ELE</t>
        </is>
      </c>
      <c r="C1042" s="56">
        <f>IFERROR(_xlfn.XLOOKUP(SALIDAS[[#This Row],[CODIGO]],LISTADO[CODIGOS],LISTADO[CATEGORIA]),"NO EXISTE")</f>
        <v/>
      </c>
      <c r="D1042" s="56">
        <f>IFERROR(_xlfn.XLOOKUP(SALIDAS[[#This Row],[CODIGO]],LISTADO[CODIGOS],LISTADO[PRODUCTOS]),"NO EXISTE")</f>
        <v/>
      </c>
      <c r="E1042" s="19" t="n">
        <v>46107</v>
      </c>
      <c r="F1042" s="18" t="n">
        <v>1</v>
      </c>
      <c r="G1042" s="18" t="inlineStr">
        <is>
          <t>LAS FERIAS</t>
        </is>
      </c>
    </row>
    <row r="1043">
      <c r="B1043" s="56" t="inlineStr">
        <is>
          <t>00002-REF</t>
        </is>
      </c>
      <c r="C1043" s="56">
        <f>IFERROR(_xlfn.XLOOKUP(SALIDAS[[#This Row],[CODIGO]],LISTADO[CODIGOS],LISTADO[CATEGORIA]),"NO EXISTE")</f>
        <v/>
      </c>
      <c r="D1043" s="56">
        <f>IFERROR(_xlfn.XLOOKUP(SALIDAS[[#This Row],[CODIGO]],LISTADO[CODIGOS],LISTADO[PRODUCTOS]),"NO EXISTE")</f>
        <v/>
      </c>
      <c r="E1043" s="19" t="n">
        <v>46107</v>
      </c>
      <c r="F1043" s="18" t="n">
        <v>2</v>
      </c>
      <c r="G1043" s="18" t="inlineStr">
        <is>
          <t>LAS FERIAS</t>
        </is>
      </c>
    </row>
    <row r="1044">
      <c r="B1044" s="56" t="inlineStr">
        <is>
          <t>00036-REF</t>
        </is>
      </c>
      <c r="C1044" s="56">
        <f>IFERROR(_xlfn.XLOOKUP(SALIDAS[[#This Row],[CODIGO]],LISTADO[CODIGOS],LISTADO[CATEGORIA]),"NO EXISTE")</f>
        <v/>
      </c>
      <c r="D1044" s="56">
        <f>IFERROR(_xlfn.XLOOKUP(SALIDAS[[#This Row],[CODIGO]],LISTADO[CODIGOS],LISTADO[PRODUCTOS]),"NO EXISTE")</f>
        <v/>
      </c>
      <c r="E1044" s="19" t="n">
        <v>46107</v>
      </c>
      <c r="F1044" s="18" t="n">
        <v>4</v>
      </c>
      <c r="G1044" s="18" t="inlineStr">
        <is>
          <t>LAS FERIAS</t>
        </is>
      </c>
    </row>
    <row r="1045">
      <c r="B1045" s="18" t="inlineStr">
        <is>
          <t>00102-REF</t>
        </is>
      </c>
      <c r="C1045" s="56">
        <f>IFERROR(_xlfn.XLOOKUP(SALIDAS[[#This Row],[CODIGO]],LISTADO[CODIGOS],LISTADO[CATEGORIA]),"NO EXISTE")</f>
        <v/>
      </c>
      <c r="D1045" s="56">
        <f>IFERROR(_xlfn.XLOOKUP(SALIDAS[[#This Row],[CODIGO]],LISTADO[CODIGOS],LISTADO[PRODUCTOS]),"NO EXISTE")</f>
        <v/>
      </c>
      <c r="E1045" s="19" t="n">
        <v>46107</v>
      </c>
      <c r="F1045" s="18" t="n">
        <v>1</v>
      </c>
      <c r="G1045" s="18" t="inlineStr">
        <is>
          <t>LAS FERIAS</t>
        </is>
      </c>
    </row>
    <row r="1046">
      <c r="B1046" s="56" t="inlineStr">
        <is>
          <t>00017-REF</t>
        </is>
      </c>
      <c r="C1046" s="56">
        <f>IFERROR(_xlfn.XLOOKUP(SALIDAS[[#This Row],[CODIGO]],LISTADO[CODIGOS],LISTADO[CATEGORIA]),"NO EXISTE")</f>
        <v/>
      </c>
      <c r="D1046" s="56">
        <f>IFERROR(_xlfn.XLOOKUP(SALIDAS[[#This Row],[CODIGO]],LISTADO[CODIGOS],LISTADO[PRODUCTOS]),"NO EXISTE")</f>
        <v/>
      </c>
      <c r="E1046" s="19" t="n">
        <v>46107</v>
      </c>
      <c r="F1046" s="18" t="n">
        <v>3</v>
      </c>
      <c r="G1046" s="18" t="inlineStr">
        <is>
          <t>LAS FERIAS</t>
        </is>
      </c>
    </row>
    <row r="1047">
      <c r="B1047" s="56" t="inlineStr">
        <is>
          <t>00051-REF</t>
        </is>
      </c>
      <c r="C1047" s="56">
        <f>IFERROR(_xlfn.XLOOKUP(SALIDAS[[#This Row],[CODIGO]],LISTADO[CODIGOS],LISTADO[CATEGORIA]),"NO EXISTE")</f>
        <v/>
      </c>
      <c r="D1047" s="56">
        <f>IFERROR(_xlfn.XLOOKUP(SALIDAS[[#This Row],[CODIGO]],LISTADO[CODIGOS],LISTADO[PRODUCTOS]),"NO EXISTE")</f>
        <v/>
      </c>
      <c r="E1047" s="19" t="n">
        <v>46107</v>
      </c>
      <c r="F1047" s="18" t="n">
        <v>2</v>
      </c>
      <c r="G1047" s="18" t="inlineStr">
        <is>
          <t>LAS FERIAS</t>
        </is>
      </c>
    </row>
    <row r="1048">
      <c r="B1048" s="16" t="inlineStr">
        <is>
          <t>00020-LIM</t>
        </is>
      </c>
      <c r="C1048" s="56">
        <f>IFERROR(_xlfn.XLOOKUP(SALIDAS[[#This Row],[CODIGO]],LISTADO[CODIGOS],LISTADO[CATEGORIA]),"NO EXISTE")</f>
        <v/>
      </c>
      <c r="D1048" s="56">
        <f>IFERROR(_xlfn.XLOOKUP(SALIDAS[[#This Row],[CODIGO]],LISTADO[CODIGOS],LISTADO[PRODUCTOS]),"NO EXISTE")</f>
        <v/>
      </c>
      <c r="E1048" s="19" t="n">
        <v>46107</v>
      </c>
      <c r="F1048" s="18" t="n">
        <v>1</v>
      </c>
      <c r="G1048" s="18" t="inlineStr">
        <is>
          <t xml:space="preserve">EL BOSQUE </t>
        </is>
      </c>
    </row>
    <row r="1049">
      <c r="B1049" s="16" t="inlineStr">
        <is>
          <t>00020-LIM</t>
        </is>
      </c>
      <c r="C1049" s="56">
        <f>IFERROR(_xlfn.XLOOKUP(SALIDAS[[#This Row],[CODIGO]],LISTADO[CODIGOS],LISTADO[CATEGORIA]),"NO EXISTE")</f>
        <v/>
      </c>
      <c r="D1049" s="56">
        <f>IFERROR(_xlfn.XLOOKUP(SALIDAS[[#This Row],[CODIGO]],LISTADO[CODIGOS],LISTADO[PRODUCTOS]),"NO EXISTE")</f>
        <v/>
      </c>
      <c r="E1049" s="19" t="n">
        <v>46107</v>
      </c>
      <c r="F1049" s="18" t="n">
        <v>1</v>
      </c>
      <c r="G1049" s="18" t="inlineStr">
        <is>
          <t>GUIGUE</t>
        </is>
      </c>
    </row>
    <row r="1050">
      <c r="B1050" s="16" t="inlineStr">
        <is>
          <t>00020-LIM</t>
        </is>
      </c>
      <c r="C1050" s="56">
        <f>IFERROR(_xlfn.XLOOKUP(SALIDAS[[#This Row],[CODIGO]],LISTADO[CODIGOS],LISTADO[CATEGORIA]),"NO EXISTE")</f>
        <v/>
      </c>
      <c r="D1050" s="56">
        <f>IFERROR(_xlfn.XLOOKUP(SALIDAS[[#This Row],[CODIGO]],LISTADO[CODIGOS],LISTADO[PRODUCTOS]),"NO EXISTE")</f>
        <v/>
      </c>
      <c r="E1050" s="19" t="n">
        <v>46107</v>
      </c>
      <c r="F1050" s="18" t="n">
        <v>1</v>
      </c>
      <c r="G1050" s="18" t="inlineStr">
        <is>
          <t>NAGUANAGUA 2</t>
        </is>
      </c>
    </row>
    <row r="1051">
      <c r="B1051" s="16" t="inlineStr">
        <is>
          <t>00020-LIM</t>
        </is>
      </c>
      <c r="C1051" s="56">
        <f>IFERROR(_xlfn.XLOOKUP(SALIDAS[[#This Row],[CODIGO]],LISTADO[CODIGOS],LISTADO[CATEGORIA]),"NO EXISTE")</f>
        <v/>
      </c>
      <c r="D1051" s="56">
        <f>IFERROR(_xlfn.XLOOKUP(SALIDAS[[#This Row],[CODIGO]],LISTADO[CODIGOS],LISTADO[PRODUCTOS]),"NO EXISTE")</f>
        <v/>
      </c>
      <c r="E1051" s="19" t="n">
        <v>46107</v>
      </c>
      <c r="F1051" s="18" t="n">
        <v>1</v>
      </c>
      <c r="G1051" s="18" t="inlineStr">
        <is>
          <t>TOCUYITO</t>
        </is>
      </c>
    </row>
    <row r="1052">
      <c r="B1052" s="56" t="inlineStr">
        <is>
          <t>00018-MSC</t>
        </is>
      </c>
      <c r="C1052" s="56">
        <f>IFERROR(_xlfn.XLOOKUP(SALIDAS[[#This Row],[CODIGO]],LISTADO[CODIGOS],LISTADO[CATEGORIA]),"NO EXISTE")</f>
        <v/>
      </c>
      <c r="D1052" s="56">
        <f>IFERROR(_xlfn.XLOOKUP(SALIDAS[[#This Row],[CODIGO]],LISTADO[CODIGOS],LISTADO[PRODUCTOS]),"NO EXISTE")</f>
        <v/>
      </c>
      <c r="E1052" s="19" t="n">
        <v>46107</v>
      </c>
      <c r="F1052" s="18" t="n">
        <v>2</v>
      </c>
      <c r="G1052" s="18" t="inlineStr">
        <is>
          <t>FLOR AMARILLO</t>
        </is>
      </c>
    </row>
    <row r="1053">
      <c r="B1053" s="56" t="inlineStr">
        <is>
          <t>00057-ELE</t>
        </is>
      </c>
      <c r="C1053" s="56">
        <f>IFERROR(_xlfn.XLOOKUP(SALIDAS[[#This Row],[CODIGO]],LISTADO[CODIGOS],LISTADO[CATEGORIA]),"NO EXISTE")</f>
        <v/>
      </c>
      <c r="D1053" s="56">
        <f>IFERROR(_xlfn.XLOOKUP(SALIDAS[[#This Row],[CODIGO]],LISTADO[CODIGOS],LISTADO[PRODUCTOS]),"NO EXISTE")</f>
        <v/>
      </c>
      <c r="E1053" s="19" t="n">
        <v>46107</v>
      </c>
      <c r="F1053" s="18" t="n">
        <v>1</v>
      </c>
      <c r="G1053" s="18" t="inlineStr">
        <is>
          <t>FLOR AMARILLO</t>
        </is>
      </c>
    </row>
    <row r="1054">
      <c r="B1054" s="56" t="inlineStr">
        <is>
          <t>00035-ILU</t>
        </is>
      </c>
      <c r="C1054" s="56">
        <f>IFERROR(_xlfn.XLOOKUP(SALIDAS[[#This Row],[CODIGO]],LISTADO[CODIGOS],LISTADO[CATEGORIA]),"NO EXISTE")</f>
        <v/>
      </c>
      <c r="D1054" s="56">
        <f>IFERROR(_xlfn.XLOOKUP(SALIDAS[[#This Row],[CODIGO]],LISTADO[CODIGOS],LISTADO[PRODUCTOS]),"NO EXISTE")</f>
        <v/>
      </c>
      <c r="E1054" s="19" t="n">
        <v>46107</v>
      </c>
      <c r="F1054" s="18" t="n">
        <v>2</v>
      </c>
      <c r="G1054" s="18" t="inlineStr">
        <is>
          <t>AV. BOLIVAR</t>
        </is>
      </c>
    </row>
    <row r="1055">
      <c r="B1055" s="56" t="inlineStr">
        <is>
          <t>00007-HRR</t>
        </is>
      </c>
      <c r="C1055" s="56">
        <f>IFERROR(_xlfn.XLOOKUP(SALIDAS[[#This Row],[CODIGO]],LISTADO[CODIGOS],LISTADO[CATEGORIA]),"NO EXISTE")</f>
        <v/>
      </c>
      <c r="D1055" s="56">
        <f>IFERROR(_xlfn.XLOOKUP(SALIDAS[[#This Row],[CODIGO]],LISTADO[CODIGOS],LISTADO[PRODUCTOS]),"NO EXISTE")</f>
        <v/>
      </c>
      <c r="E1055" s="19" t="n">
        <v>46107</v>
      </c>
      <c r="F1055" s="18" t="n">
        <v>5</v>
      </c>
      <c r="G1055" s="18" t="inlineStr">
        <is>
          <t>LA VIÑA</t>
        </is>
      </c>
    </row>
    <row r="1056">
      <c r="B1056" s="18" t="inlineStr">
        <is>
          <t>00108-REF</t>
        </is>
      </c>
      <c r="C1056" s="56">
        <f>IFERROR(_xlfn.XLOOKUP(SALIDAS[[#This Row],[CODIGO]],LISTADO[CODIGOS],LISTADO[CATEGORIA]),"NO EXISTE")</f>
        <v/>
      </c>
      <c r="D1056" s="56">
        <f>IFERROR(_xlfn.XLOOKUP(SALIDAS[[#This Row],[CODIGO]],LISTADO[CODIGOS],LISTADO[PRODUCTOS]),"NO EXISTE")</f>
        <v/>
      </c>
      <c r="E1056" s="19" t="n">
        <v>46108</v>
      </c>
      <c r="F1056" s="18" t="n">
        <v>1</v>
      </c>
      <c r="G1056" s="18" t="inlineStr">
        <is>
          <t>MAÑONGO</t>
        </is>
      </c>
    </row>
    <row r="1057">
      <c r="B1057" s="18" t="inlineStr">
        <is>
          <t>00048-ELC</t>
        </is>
      </c>
      <c r="C1057" s="56">
        <f>IFERROR(_xlfn.XLOOKUP(SALIDAS[[#This Row],[CODIGO]],LISTADO[CODIGOS],LISTADO[CATEGORIA]),"NO EXISTE")</f>
        <v/>
      </c>
      <c r="D1057" s="56">
        <f>IFERROR(_xlfn.XLOOKUP(SALIDAS[[#This Row],[CODIGO]],LISTADO[CODIGOS],LISTADO[PRODUCTOS]),"NO EXISTE")</f>
        <v/>
      </c>
      <c r="E1057" s="19" t="n">
        <v>46108</v>
      </c>
      <c r="F1057" s="18" t="n">
        <v>1</v>
      </c>
      <c r="G1057" s="18" t="inlineStr">
        <is>
          <t>PERIFERICO</t>
        </is>
      </c>
    </row>
    <row r="1058">
      <c r="B1058" s="56" t="inlineStr">
        <is>
          <t>00014-UNI</t>
        </is>
      </c>
      <c r="C1058" s="56">
        <f>IFERROR(_xlfn.XLOOKUP(SALIDAS[[#This Row],[CODIGO]],LISTADO[CODIGOS],LISTADO[CATEGORIA]),"NO EXISTE")</f>
        <v/>
      </c>
      <c r="D1058" s="56">
        <f>IFERROR(_xlfn.XLOOKUP(SALIDAS[[#This Row],[CODIGO]],LISTADO[CODIGOS],LISTADO[PRODUCTOS]),"NO EXISTE")</f>
        <v/>
      </c>
      <c r="E1058" s="19" t="n">
        <v>46108</v>
      </c>
      <c r="F1058" s="18" t="n">
        <v>1</v>
      </c>
      <c r="G1058" s="18" t="inlineStr">
        <is>
          <t>PARAPARAL</t>
        </is>
      </c>
    </row>
    <row r="1059">
      <c r="B1059" s="56" t="inlineStr">
        <is>
          <t>00009-UNI</t>
        </is>
      </c>
      <c r="C1059" s="56">
        <f>IFERROR(_xlfn.XLOOKUP(SALIDAS[[#This Row],[CODIGO]],LISTADO[CODIGOS],LISTADO[CATEGORIA]),"NO EXISTE")</f>
        <v/>
      </c>
      <c r="D1059" s="56">
        <f>IFERROR(_xlfn.XLOOKUP(SALIDAS[[#This Row],[CODIGO]],LISTADO[CODIGOS],LISTADO[PRODUCTOS]),"NO EXISTE")</f>
        <v/>
      </c>
      <c r="E1059" s="19" t="n">
        <v>46108</v>
      </c>
      <c r="F1059" s="18" t="n">
        <v>1</v>
      </c>
      <c r="G1059" s="18" t="inlineStr">
        <is>
          <t>PARAPARAL</t>
        </is>
      </c>
    </row>
    <row r="1060">
      <c r="B1060" s="56" t="inlineStr">
        <is>
          <t>00007-UNI</t>
        </is>
      </c>
      <c r="C1060" s="56">
        <f>IFERROR(_xlfn.XLOOKUP(SALIDAS[[#This Row],[CODIGO]],LISTADO[CODIGOS],LISTADO[CATEGORIA]),"NO EXISTE")</f>
        <v/>
      </c>
      <c r="D1060" s="56">
        <f>IFERROR(_xlfn.XLOOKUP(SALIDAS[[#This Row],[CODIGO]],LISTADO[CODIGOS],LISTADO[PRODUCTOS]),"NO EXISTE")</f>
        <v/>
      </c>
      <c r="E1060" s="19" t="n">
        <v>46108</v>
      </c>
      <c r="F1060" s="18" t="n">
        <v>3</v>
      </c>
      <c r="G1060" s="18" t="inlineStr">
        <is>
          <t>PARAPARAL</t>
        </is>
      </c>
    </row>
    <row r="1061">
      <c r="B1061" s="18" t="inlineStr">
        <is>
          <t>00011-UNI</t>
        </is>
      </c>
      <c r="C1061" s="56">
        <f>IFERROR(_xlfn.XLOOKUP(SALIDAS[[#This Row],[CODIGO]],LISTADO[CODIGOS],LISTADO[CATEGORIA]),"NO EXISTE")</f>
        <v/>
      </c>
      <c r="D1061" s="56">
        <f>IFERROR(_xlfn.XLOOKUP(SALIDAS[[#This Row],[CODIGO]],LISTADO[CODIGOS],LISTADO[PRODUCTOS]),"NO EXISTE")</f>
        <v/>
      </c>
      <c r="E1061" s="19" t="n">
        <v>46108</v>
      </c>
      <c r="F1061" s="18" t="n">
        <v>1</v>
      </c>
      <c r="G1061" s="18" t="inlineStr">
        <is>
          <t>PARAPARAL</t>
        </is>
      </c>
    </row>
    <row r="1062">
      <c r="B1062" s="56" t="inlineStr">
        <is>
          <t>00006-UNI</t>
        </is>
      </c>
      <c r="C1062" s="56">
        <f>IFERROR(_xlfn.XLOOKUP(SALIDAS[[#This Row],[CODIGO]],LISTADO[CODIGOS],LISTADO[CATEGORIA]),"NO EXISTE")</f>
        <v/>
      </c>
      <c r="D1062" s="56">
        <f>IFERROR(_xlfn.XLOOKUP(SALIDAS[[#This Row],[CODIGO]],LISTADO[CODIGOS],LISTADO[PRODUCTOS]),"NO EXISTE")</f>
        <v/>
      </c>
      <c r="E1062" s="19" t="n">
        <v>46108</v>
      </c>
      <c r="F1062" s="18" t="n">
        <v>1</v>
      </c>
      <c r="G1062" s="18" t="inlineStr">
        <is>
          <t>PARAPARAL</t>
        </is>
      </c>
    </row>
    <row r="1063">
      <c r="B1063" s="56" t="inlineStr">
        <is>
          <t>00008-UNI</t>
        </is>
      </c>
      <c r="C1063" s="56">
        <f>IFERROR(_xlfn.XLOOKUP(SALIDAS[[#This Row],[CODIGO]],LISTADO[CODIGOS],LISTADO[CATEGORIA]),"NO EXISTE")</f>
        <v/>
      </c>
      <c r="D1063" s="56">
        <f>IFERROR(_xlfn.XLOOKUP(SALIDAS[[#This Row],[CODIGO]],LISTADO[CODIGOS],LISTADO[PRODUCTOS]),"NO EXISTE")</f>
        <v/>
      </c>
      <c r="E1063" s="19" t="n">
        <v>46108</v>
      </c>
      <c r="F1063" s="18" t="n">
        <v>1</v>
      </c>
      <c r="G1063" s="18" t="inlineStr">
        <is>
          <t>PARAPARAL</t>
        </is>
      </c>
    </row>
    <row r="1064">
      <c r="B1064" s="18" t="inlineStr">
        <is>
          <t>00113-REF</t>
        </is>
      </c>
      <c r="C1064" s="56">
        <f>IFERROR(_xlfn.XLOOKUP(SALIDAS[[#This Row],[CODIGO]],LISTADO[CODIGOS],LISTADO[CATEGORIA]),"NO EXISTE")</f>
        <v/>
      </c>
      <c r="D1064" s="56">
        <f>IFERROR(_xlfn.XLOOKUP(SALIDAS[[#This Row],[CODIGO]],LISTADO[CODIGOS],LISTADO[PRODUCTOS]),"NO EXISTE")</f>
        <v/>
      </c>
      <c r="E1064" s="19" t="n">
        <v>46108</v>
      </c>
      <c r="F1064" s="15" t="n">
        <v>1</v>
      </c>
      <c r="G1064" s="18" t="inlineStr">
        <is>
          <t>FLOR AMARILLO</t>
        </is>
      </c>
    </row>
    <row r="1065">
      <c r="B1065" s="18" t="inlineStr">
        <is>
          <t>00110-REF</t>
        </is>
      </c>
      <c r="C1065" s="56">
        <f>IFERROR(_xlfn.XLOOKUP(SALIDAS[[#This Row],[CODIGO]],LISTADO[CODIGOS],LISTADO[CATEGORIA]),"NO EXISTE")</f>
        <v/>
      </c>
      <c r="D1065" s="56">
        <f>IFERROR(_xlfn.XLOOKUP(SALIDAS[[#This Row],[CODIGO]],LISTADO[CODIGOS],LISTADO[PRODUCTOS]),"NO EXISTE")</f>
        <v/>
      </c>
      <c r="E1065" s="19" t="n">
        <v>46108</v>
      </c>
      <c r="F1065" s="18" t="n">
        <v>1</v>
      </c>
      <c r="G1065" s="18" t="inlineStr">
        <is>
          <t>SAN DIEGO</t>
        </is>
      </c>
    </row>
    <row r="1066">
      <c r="B1066" s="18" t="inlineStr">
        <is>
          <t>00177-FER</t>
        </is>
      </c>
      <c r="C1066" s="56">
        <f>IFERROR(_xlfn.XLOOKUP(SALIDAS[[#This Row],[CODIGO]],LISTADO[CODIGOS],LISTADO[CATEGORIA]),"NO EXISTE")</f>
        <v/>
      </c>
      <c r="D1066" s="56">
        <f>IFERROR(_xlfn.XLOOKUP(SALIDAS[[#This Row],[CODIGO]],LISTADO[CODIGOS],LISTADO[PRODUCTOS]),"NO EXISTE")</f>
        <v/>
      </c>
      <c r="E1066" s="19" t="n">
        <v>46108</v>
      </c>
      <c r="F1066" s="15" t="n">
        <v>1</v>
      </c>
      <c r="G1066" s="18" t="inlineStr">
        <is>
          <t>TOCUYITO</t>
        </is>
      </c>
    </row>
    <row r="1067">
      <c r="B1067" s="56" t="inlineStr">
        <is>
          <t>00089-FER</t>
        </is>
      </c>
      <c r="C1067" s="56">
        <f>IFERROR(_xlfn.XLOOKUP(SALIDAS[[#This Row],[CODIGO]],LISTADO[CODIGOS],LISTADO[CATEGORIA]),"NO EXISTE")</f>
        <v/>
      </c>
      <c r="D1067" s="56">
        <f>IFERROR(_xlfn.XLOOKUP(SALIDAS[[#This Row],[CODIGO]],LISTADO[CODIGOS],LISTADO[PRODUCTOS]),"NO EXISTE")</f>
        <v/>
      </c>
      <c r="E1067" s="19" t="n">
        <v>46109</v>
      </c>
      <c r="F1067" s="18" t="n">
        <v>5</v>
      </c>
      <c r="G1067" s="18" t="inlineStr">
        <is>
          <t>LA VIÑA</t>
        </is>
      </c>
    </row>
    <row r="1068">
      <c r="B1068" s="18" t="inlineStr">
        <is>
          <t>00057-PLM</t>
        </is>
      </c>
      <c r="C1068" s="56">
        <f>IFERROR(_xlfn.XLOOKUP(SALIDAS[[#This Row],[CODIGO]],LISTADO[CODIGOS],LISTADO[CATEGORIA]),"NO EXISTE")</f>
        <v/>
      </c>
      <c r="D1068" s="56">
        <f>IFERROR(_xlfn.XLOOKUP(SALIDAS[[#This Row],[CODIGO]],LISTADO[CODIGOS],LISTADO[PRODUCTOS]),"NO EXISTE")</f>
        <v/>
      </c>
      <c r="E1068" s="19" t="n">
        <v>46109</v>
      </c>
      <c r="F1068" s="18" t="n">
        <v>1</v>
      </c>
      <c r="G1068" s="18" t="inlineStr">
        <is>
          <t>LA VIÑA</t>
        </is>
      </c>
    </row>
    <row r="1069">
      <c r="B1069" s="56" t="inlineStr">
        <is>
          <t>00056-ELE</t>
        </is>
      </c>
      <c r="C1069" s="56">
        <f>IFERROR(_xlfn.XLOOKUP(SALIDAS[[#This Row],[CODIGO]],LISTADO[CODIGOS],LISTADO[CATEGORIA]),"NO EXISTE")</f>
        <v/>
      </c>
      <c r="D1069" s="56">
        <f>IFERROR(_xlfn.XLOOKUP(SALIDAS[[#This Row],[CODIGO]],LISTADO[CODIGOS],LISTADO[PRODUCTOS]),"NO EXISTE")</f>
        <v/>
      </c>
      <c r="E1069" s="19" t="n">
        <v>46109</v>
      </c>
      <c r="F1069" s="18" t="n">
        <v>30</v>
      </c>
      <c r="G1069" s="18" t="inlineStr">
        <is>
          <t>LA VIÑA</t>
        </is>
      </c>
    </row>
    <row r="1070">
      <c r="B1070" s="56" t="inlineStr">
        <is>
          <t>00010-PLM</t>
        </is>
      </c>
      <c r="C1070" s="56">
        <f>IFERROR(_xlfn.XLOOKUP(SALIDAS[[#This Row],[CODIGO]],LISTADO[CODIGOS],LISTADO[CATEGORIA]),"NO EXISTE")</f>
        <v/>
      </c>
      <c r="D1070" s="56">
        <f>IFERROR(_xlfn.XLOOKUP(SALIDAS[[#This Row],[CODIGO]],LISTADO[CODIGOS],LISTADO[PRODUCTOS]),"NO EXISTE")</f>
        <v/>
      </c>
      <c r="E1070" s="19" t="n">
        <v>46109</v>
      </c>
      <c r="F1070" s="18" t="n">
        <v>1</v>
      </c>
      <c r="G1070" s="18" t="inlineStr">
        <is>
          <t>LA VIÑA</t>
        </is>
      </c>
    </row>
    <row r="1071">
      <c r="B1071" s="18" t="inlineStr">
        <is>
          <t>00049-ELC</t>
        </is>
      </c>
      <c r="C1071" s="56">
        <f>IFERROR(_xlfn.XLOOKUP(SALIDAS[[#This Row],[CODIGO]],LISTADO[CODIGOS],LISTADO[CATEGORIA]),"NO EXISTE")</f>
        <v/>
      </c>
      <c r="D1071" s="56">
        <f>IFERROR(_xlfn.XLOOKUP(SALIDAS[[#This Row],[CODIGO]],LISTADO[CODIGOS],LISTADO[PRODUCTOS]),"NO EXISTE")</f>
        <v/>
      </c>
      <c r="E1071" s="19" t="n">
        <v>46109</v>
      </c>
      <c r="F1071" s="18" t="n">
        <v>1</v>
      </c>
      <c r="G1071" s="18" t="inlineStr">
        <is>
          <t>LA VIÑA</t>
        </is>
      </c>
    </row>
    <row r="1072">
      <c r="B1072" s="56" t="inlineStr">
        <is>
          <t>00074-FER</t>
        </is>
      </c>
      <c r="C1072" s="56">
        <f>IFERROR(_xlfn.XLOOKUP(SALIDAS[[#This Row],[CODIGO]],LISTADO[CODIGOS],LISTADO[CATEGORIA]),"NO EXISTE")</f>
        <v/>
      </c>
      <c r="D1072" s="56">
        <f>IFERROR(_xlfn.XLOOKUP(SALIDAS[[#This Row],[CODIGO]],LISTADO[CODIGOS],LISTADO[PRODUCTOS]),"NO EXISTE")</f>
        <v/>
      </c>
      <c r="E1072" s="19" t="n">
        <v>46109</v>
      </c>
      <c r="F1072" s="18" t="n">
        <v>2</v>
      </c>
      <c r="G1072" s="18" t="inlineStr">
        <is>
          <t>PERIFERICO</t>
        </is>
      </c>
    </row>
    <row r="1073">
      <c r="B1073" s="18" t="inlineStr">
        <is>
          <t>00020-LIM</t>
        </is>
      </c>
      <c r="C1073" s="56">
        <f>IFERROR(_xlfn.XLOOKUP(SALIDAS[[#This Row],[CODIGO]],LISTADO[CODIGOS],LISTADO[CATEGORIA]),"NO EXISTE")</f>
        <v/>
      </c>
      <c r="D1073" s="56">
        <f>IFERROR(_xlfn.XLOOKUP(SALIDAS[[#This Row],[CODIGO]],LISTADO[CODIGOS],LISTADO[PRODUCTOS]),"NO EXISTE")</f>
        <v/>
      </c>
      <c r="E1073" s="19" t="n">
        <v>46109</v>
      </c>
      <c r="F1073" s="18" t="n">
        <v>4</v>
      </c>
      <c r="G1073" s="18" t="inlineStr">
        <is>
          <t>SAN MARTIN (CARACAS)</t>
        </is>
      </c>
    </row>
    <row r="1074">
      <c r="B1074" s="18" t="inlineStr">
        <is>
          <t>00042-ILU</t>
        </is>
      </c>
      <c r="C1074" s="56">
        <f>IFERROR(_xlfn.XLOOKUP(SALIDAS[[#This Row],[CODIGO]],LISTADO[CODIGOS],LISTADO[CATEGORIA]),"NO EXISTE")</f>
        <v/>
      </c>
      <c r="D1074" s="56">
        <f>IFERROR(_xlfn.XLOOKUP(SALIDAS[[#This Row],[CODIGO]],LISTADO[CODIGOS],LISTADO[PRODUCTOS]),"NO EXISTE")</f>
        <v/>
      </c>
      <c r="E1074" s="19" t="n">
        <v>46110</v>
      </c>
      <c r="F1074" s="18" t="n">
        <v>2</v>
      </c>
      <c r="G1074" s="18" t="inlineStr">
        <is>
          <t>AV. BOLIVAR</t>
        </is>
      </c>
    </row>
    <row r="1075">
      <c r="B1075" s="56" t="inlineStr">
        <is>
          <t>00016-MSC</t>
        </is>
      </c>
      <c r="C1075" s="56">
        <f>IFERROR(_xlfn.XLOOKUP(SALIDAS[[#This Row],[CODIGO]],LISTADO[CODIGOS],LISTADO[CATEGORIA]),"NO EXISTE")</f>
        <v/>
      </c>
      <c r="D1075" s="56">
        <f>IFERROR(_xlfn.XLOOKUP(SALIDAS[[#This Row],[CODIGO]],LISTADO[CODIGOS],LISTADO[PRODUCTOS]),"NO EXISTE")</f>
        <v/>
      </c>
      <c r="E1075" s="19" t="n">
        <v>46110</v>
      </c>
      <c r="F1075" s="18" t="n">
        <v>1</v>
      </c>
      <c r="G1075" s="18" t="inlineStr">
        <is>
          <t>AV. BOLIVAR</t>
        </is>
      </c>
    </row>
    <row r="1076">
      <c r="B1076" s="56" t="inlineStr">
        <is>
          <t>00007-HRR</t>
        </is>
      </c>
      <c r="C1076" s="56">
        <f>IFERROR(_xlfn.XLOOKUP(SALIDAS[[#This Row],[CODIGO]],LISTADO[CODIGOS],LISTADO[CATEGORIA]),"NO EXISTE")</f>
        <v/>
      </c>
      <c r="D1076" s="56">
        <f>IFERROR(_xlfn.XLOOKUP(SALIDAS[[#This Row],[CODIGO]],LISTADO[CODIGOS],LISTADO[PRODUCTOS]),"NO EXISTE")</f>
        <v/>
      </c>
      <c r="E1076" s="19" t="n">
        <v>46111</v>
      </c>
      <c r="F1076" s="18" t="n">
        <v>5</v>
      </c>
      <c r="G1076" s="18" t="inlineStr">
        <is>
          <t>LA VIÑA</t>
        </is>
      </c>
    </row>
    <row r="1077">
      <c r="B1077" s="18" t="inlineStr">
        <is>
          <t>00114-REF</t>
        </is>
      </c>
      <c r="C1077" s="56">
        <f>IFERROR(_xlfn.XLOOKUP(SALIDAS[[#This Row],[CODIGO]],LISTADO[CODIGOS],LISTADO[CATEGORIA]),"NO EXISTE")</f>
        <v/>
      </c>
      <c r="D1077" s="56">
        <f>IFERROR(_xlfn.XLOOKUP(SALIDAS[[#This Row],[CODIGO]],LISTADO[CODIGOS],LISTADO[PRODUCTOS]),"NO EXISTE")</f>
        <v/>
      </c>
      <c r="E1077" s="19" t="n">
        <v>46111</v>
      </c>
      <c r="F1077" s="18" t="n">
        <v>1</v>
      </c>
      <c r="G1077" s="18" t="inlineStr">
        <is>
          <t>ISABELICA</t>
        </is>
      </c>
    </row>
    <row r="1078">
      <c r="B1078" s="18" t="inlineStr">
        <is>
          <t>00114-REF</t>
        </is>
      </c>
      <c r="C1078" s="56">
        <f>IFERROR(_xlfn.XLOOKUP(SALIDAS[[#This Row],[CODIGO]],LISTADO[CODIGOS],LISTADO[CATEGORIA]),"NO EXISTE")</f>
        <v/>
      </c>
      <c r="D1078" s="56">
        <f>IFERROR(_xlfn.XLOOKUP(SALIDAS[[#This Row],[CODIGO]],LISTADO[CODIGOS],LISTADO[PRODUCTOS]),"NO EXISTE")</f>
        <v/>
      </c>
      <c r="E1078" s="19" t="n">
        <v>46111</v>
      </c>
      <c r="F1078" s="18" t="n">
        <v>1</v>
      </c>
      <c r="G1078" s="18" t="inlineStr">
        <is>
          <t>FLOR AMARILLO</t>
        </is>
      </c>
    </row>
    <row r="1079">
      <c r="B1079" s="18" t="inlineStr">
        <is>
          <t>00118-REF</t>
        </is>
      </c>
      <c r="C1079" s="56">
        <f>IFERROR(_xlfn.XLOOKUP(SALIDAS[[#This Row],[CODIGO]],LISTADO[CODIGOS],LISTADO[CATEGORIA]),"NO EXISTE")</f>
        <v/>
      </c>
      <c r="D1079" s="56">
        <f>IFERROR(_xlfn.XLOOKUP(SALIDAS[[#This Row],[CODIGO]],LISTADO[CODIGOS],LISTADO[PRODUCTOS]),"NO EXISTE")</f>
        <v/>
      </c>
      <c r="E1079" s="19" t="n">
        <v>46111</v>
      </c>
      <c r="F1079" s="18" t="n">
        <v>1</v>
      </c>
      <c r="G1079" s="18" t="inlineStr">
        <is>
          <t>CEDI FRUVER</t>
        </is>
      </c>
    </row>
    <row r="1080">
      <c r="B1080" s="18" t="inlineStr">
        <is>
          <t>00119-REF</t>
        </is>
      </c>
      <c r="C1080" s="56">
        <f>IFERROR(_xlfn.XLOOKUP(SALIDAS[[#This Row],[CODIGO]],LISTADO[CODIGOS],LISTADO[CATEGORIA]),"NO EXISTE")</f>
        <v/>
      </c>
      <c r="D1080" s="56">
        <f>IFERROR(_xlfn.XLOOKUP(SALIDAS[[#This Row],[CODIGO]],LISTADO[CODIGOS],LISTADO[PRODUCTOS]),"NO EXISTE")</f>
        <v/>
      </c>
      <c r="E1080" s="19" t="n">
        <v>46111</v>
      </c>
      <c r="F1080" s="18" t="n">
        <v>1</v>
      </c>
      <c r="G1080" s="18" t="inlineStr">
        <is>
          <t>CEDI FRIO</t>
        </is>
      </c>
    </row>
    <row r="1081">
      <c r="B1081" s="56" t="inlineStr">
        <is>
          <t>00032-HRR</t>
        </is>
      </c>
      <c r="C1081" s="56">
        <f>IFERROR(_xlfn.XLOOKUP(SALIDAS[[#This Row],[CODIGO]],LISTADO[CODIGOS],LISTADO[CATEGORIA]),"NO EXISTE")</f>
        <v/>
      </c>
      <c r="D1081" s="56">
        <f>IFERROR(_xlfn.XLOOKUP(SALIDAS[[#This Row],[CODIGO]],LISTADO[CODIGOS],LISTADO[PRODUCTOS]),"NO EXISTE")</f>
        <v/>
      </c>
      <c r="E1081" s="19" t="n">
        <v>46111</v>
      </c>
      <c r="F1081" s="18" t="n">
        <v>20</v>
      </c>
      <c r="G1081" s="18" t="inlineStr">
        <is>
          <t>TOCUYITO</t>
        </is>
      </c>
    </row>
    <row r="1082">
      <c r="B1082" s="56" t="inlineStr">
        <is>
          <t>00007-HRR</t>
        </is>
      </c>
      <c r="C1082" s="56">
        <f>IFERROR(_xlfn.XLOOKUP(SALIDAS[[#This Row],[CODIGO]],LISTADO[CODIGOS],LISTADO[CATEGORIA]),"NO EXISTE")</f>
        <v/>
      </c>
      <c r="D1082" s="56">
        <f>IFERROR(_xlfn.XLOOKUP(SALIDAS[[#This Row],[CODIGO]],LISTADO[CODIGOS],LISTADO[PRODUCTOS]),"NO EXISTE")</f>
        <v/>
      </c>
      <c r="E1082" s="19" t="n">
        <v>46111</v>
      </c>
      <c r="F1082" s="18" t="n">
        <v>2</v>
      </c>
      <c r="G1082" s="18" t="inlineStr">
        <is>
          <t>TOCUYITO</t>
        </is>
      </c>
    </row>
    <row r="1083">
      <c r="B1083" s="56" t="inlineStr">
        <is>
          <t>00005-HRR</t>
        </is>
      </c>
      <c r="C1083" s="56">
        <f>IFERROR(_xlfn.XLOOKUP(SALIDAS[[#This Row],[CODIGO]],LISTADO[CODIGOS],LISTADO[CATEGORIA]),"NO EXISTE")</f>
        <v/>
      </c>
      <c r="D1083" s="56">
        <f>IFERROR(_xlfn.XLOOKUP(SALIDAS[[#This Row],[CODIGO]],LISTADO[CODIGOS],LISTADO[PRODUCTOS]),"NO EXISTE")</f>
        <v/>
      </c>
      <c r="E1083" s="19" t="n">
        <v>46111</v>
      </c>
      <c r="F1083" s="18" t="n">
        <v>1</v>
      </c>
      <c r="G1083" s="18" t="inlineStr">
        <is>
          <t>TOCUYITO</t>
        </is>
      </c>
    </row>
    <row r="1084">
      <c r="B1084" s="56" t="inlineStr">
        <is>
          <t>00082-FER</t>
        </is>
      </c>
      <c r="C1084" s="56">
        <f>IFERROR(_xlfn.XLOOKUP(SALIDAS[[#This Row],[CODIGO]],LISTADO[CODIGOS],LISTADO[CATEGORIA]),"NO EXISTE")</f>
        <v/>
      </c>
      <c r="D1084" s="56">
        <f>IFERROR(_xlfn.XLOOKUP(SALIDAS[[#This Row],[CODIGO]],LISTADO[CODIGOS],LISTADO[PRODUCTOS]),"NO EXISTE")</f>
        <v/>
      </c>
      <c r="E1084" s="19" t="n">
        <v>46111</v>
      </c>
      <c r="F1084" s="18" t="n">
        <v>1</v>
      </c>
      <c r="G1084" s="18" t="inlineStr">
        <is>
          <t>ISABELICA</t>
        </is>
      </c>
    </row>
    <row r="1085">
      <c r="B1085" s="56" t="inlineStr">
        <is>
          <t>00018-MSC</t>
        </is>
      </c>
      <c r="C1085" s="56">
        <f>IFERROR(_xlfn.XLOOKUP(SALIDAS[[#This Row],[CODIGO]],LISTADO[CODIGOS],LISTADO[CATEGORIA]),"NO EXISTE")</f>
        <v/>
      </c>
      <c r="D1085" s="56">
        <f>IFERROR(_xlfn.XLOOKUP(SALIDAS[[#This Row],[CODIGO]],LISTADO[CODIGOS],LISTADO[PRODUCTOS]),"NO EXISTE")</f>
        <v/>
      </c>
      <c r="E1085" s="19" t="n">
        <v>46111</v>
      </c>
      <c r="F1085" s="18" t="n">
        <v>7</v>
      </c>
      <c r="G1085" s="18" t="inlineStr">
        <is>
          <t>INVENTARIO</t>
        </is>
      </c>
    </row>
    <row r="1086">
      <c r="B1086" s="56" t="inlineStr">
        <is>
          <t>00029-ELC</t>
        </is>
      </c>
      <c r="C1086" s="56">
        <f>IFERROR(_xlfn.XLOOKUP(SALIDAS[[#This Row],[CODIGO]],LISTADO[CODIGOS],LISTADO[CATEGORIA]),"NO EXISTE")</f>
        <v/>
      </c>
      <c r="D1086" s="56">
        <f>IFERROR(_xlfn.XLOOKUP(SALIDAS[[#This Row],[CODIGO]],LISTADO[CODIGOS],LISTADO[PRODUCTOS]),"NO EXISTE")</f>
        <v/>
      </c>
      <c r="E1086" s="19" t="n">
        <v>46111</v>
      </c>
      <c r="F1086" s="18" t="n">
        <v>1</v>
      </c>
      <c r="G1086" s="18" t="inlineStr">
        <is>
          <t>LA VIÑA</t>
        </is>
      </c>
    </row>
    <row r="1087">
      <c r="B1087" s="18" t="inlineStr">
        <is>
          <t>00182-FER</t>
        </is>
      </c>
      <c r="C1087" s="56">
        <f>IFERROR(_xlfn.XLOOKUP(SALIDAS[[#This Row],[CODIGO]],LISTADO[CODIGOS],LISTADO[CATEGORIA]),"NO EXISTE")</f>
        <v/>
      </c>
      <c r="D1087" s="56">
        <f>IFERROR(_xlfn.XLOOKUP(SALIDAS[[#This Row],[CODIGO]],LISTADO[CODIGOS],LISTADO[PRODUCTOS]),"NO EXISTE")</f>
        <v/>
      </c>
      <c r="E1087" s="19" t="n">
        <v>46112</v>
      </c>
      <c r="F1087" s="18" t="n">
        <v>4</v>
      </c>
      <c r="G1087" s="18" t="inlineStr">
        <is>
          <t>CORPORATIVO</t>
        </is>
      </c>
    </row>
    <row r="1088">
      <c r="B1088" s="56" t="inlineStr">
        <is>
          <t>00005-HRR</t>
        </is>
      </c>
      <c r="C1088" s="56">
        <f>IFERROR(_xlfn.XLOOKUP(SALIDAS[[#This Row],[CODIGO]],LISTADO[CODIGOS],LISTADO[CATEGORIA]),"NO EXISTE")</f>
        <v/>
      </c>
      <c r="D1088" s="56">
        <f>IFERROR(_xlfn.XLOOKUP(SALIDAS[[#This Row],[CODIGO]],LISTADO[CODIGOS],LISTADO[PRODUCTOS]),"NO EXISTE")</f>
        <v/>
      </c>
      <c r="E1088" s="19" t="n">
        <v>46112</v>
      </c>
      <c r="F1088" s="18" t="n">
        <v>1</v>
      </c>
      <c r="G1088" s="18" t="inlineStr">
        <is>
          <t>PERIFERICO</t>
        </is>
      </c>
    </row>
    <row r="1089">
      <c r="B1089" s="18" t="inlineStr">
        <is>
          <t>00183-FER</t>
        </is>
      </c>
      <c r="C1089" s="56">
        <f>IFERROR(_xlfn.XLOOKUP(SALIDAS[[#This Row],[CODIGO]],LISTADO[CODIGOS],LISTADO[CATEGORIA]),"NO EXISTE")</f>
        <v/>
      </c>
      <c r="D1089" s="56">
        <f>IFERROR(_xlfn.XLOOKUP(SALIDAS[[#This Row],[CODIGO]],LISTADO[CODIGOS],LISTADO[PRODUCTOS]),"NO EXISTE")</f>
        <v/>
      </c>
      <c r="E1089" s="19" t="n">
        <v>46112</v>
      </c>
      <c r="F1089" s="18" t="n">
        <v>1</v>
      </c>
      <c r="G1089" s="18" t="inlineStr">
        <is>
          <t>MAIQUETIA</t>
        </is>
      </c>
    </row>
    <row r="1090">
      <c r="B1090" s="56" t="inlineStr">
        <is>
          <t>00089-FER</t>
        </is>
      </c>
      <c r="C1090" s="56">
        <f>IFERROR(_xlfn.XLOOKUP(SALIDAS[[#This Row],[CODIGO]],LISTADO[CODIGOS],LISTADO[CATEGORIA]),"NO EXISTE")</f>
        <v/>
      </c>
      <c r="D1090" s="56">
        <f>IFERROR(_xlfn.XLOOKUP(SALIDAS[[#This Row],[CODIGO]],LISTADO[CODIGOS],LISTADO[PRODUCTOS]),"NO EXISTE")</f>
        <v/>
      </c>
      <c r="E1090" s="19" t="n">
        <v>46112</v>
      </c>
      <c r="F1090" s="18" t="n">
        <v>10</v>
      </c>
      <c r="G1090" s="18" t="inlineStr">
        <is>
          <t>MAIQUETIA</t>
        </is>
      </c>
    </row>
    <row r="1091">
      <c r="B1091" s="56" t="inlineStr">
        <is>
          <t>00060-PLM</t>
        </is>
      </c>
      <c r="C1091" s="56">
        <f>IFERROR(_xlfn.XLOOKUP(SALIDAS[[#This Row],[CODIGO]],LISTADO[CODIGOS],LISTADO[CATEGORIA]),"NO EXISTE")</f>
        <v/>
      </c>
      <c r="D1091" s="56">
        <f>IFERROR(_xlfn.XLOOKUP(SALIDAS[[#This Row],[CODIGO]],LISTADO[CODIGOS],LISTADO[PRODUCTOS]),"NO EXISTE")</f>
        <v/>
      </c>
      <c r="E1091" s="19" t="n">
        <v>46112</v>
      </c>
      <c r="F1091" s="18" t="n">
        <v>1</v>
      </c>
      <c r="G1091" s="18" t="inlineStr">
        <is>
          <t>SAN DIEGO</t>
        </is>
      </c>
    </row>
    <row r="1092">
      <c r="B1092" s="56" t="inlineStr">
        <is>
          <t>00061-PLM</t>
        </is>
      </c>
      <c r="C1092" s="56">
        <f>IFERROR(_xlfn.XLOOKUP(SALIDAS[[#This Row],[CODIGO]],LISTADO[CODIGOS],LISTADO[CATEGORIA]),"NO EXISTE")</f>
        <v/>
      </c>
      <c r="D1092" s="56">
        <f>IFERROR(_xlfn.XLOOKUP(SALIDAS[[#This Row],[CODIGO]],LISTADO[CODIGOS],LISTADO[PRODUCTOS]),"NO EXISTE")</f>
        <v/>
      </c>
      <c r="E1092" s="19" t="n">
        <v>46112</v>
      </c>
      <c r="F1092" s="18" t="n">
        <v>1</v>
      </c>
      <c r="G1092" s="18" t="inlineStr">
        <is>
          <t>SAN DIEGO</t>
        </is>
      </c>
    </row>
    <row r="1093">
      <c r="B1093" s="56" t="inlineStr">
        <is>
          <t>00037-ELC</t>
        </is>
      </c>
      <c r="C1093" s="56">
        <f>IFERROR(_xlfn.XLOOKUP(SALIDAS[[#This Row],[CODIGO]],LISTADO[CODIGOS],LISTADO[CATEGORIA]),"NO EXISTE")</f>
        <v/>
      </c>
      <c r="D1093" s="56">
        <f>IFERROR(_xlfn.XLOOKUP(SALIDAS[[#This Row],[CODIGO]],LISTADO[CODIGOS],LISTADO[PRODUCTOS]),"NO EXISTE")</f>
        <v/>
      </c>
      <c r="E1093" s="19" t="n">
        <v>46112</v>
      </c>
      <c r="F1093" s="18" t="n">
        <v>1</v>
      </c>
      <c r="G1093" s="18" t="inlineStr">
        <is>
          <t>CORPORATIVO</t>
        </is>
      </c>
    </row>
    <row r="1094">
      <c r="B1094" s="56" t="inlineStr">
        <is>
          <t>00039-ELC</t>
        </is>
      </c>
      <c r="C1094" s="56">
        <f>IFERROR(_xlfn.XLOOKUP(SALIDAS[[#This Row],[CODIGO]],LISTADO[CODIGOS],LISTADO[CATEGORIA]),"NO EXISTE")</f>
        <v/>
      </c>
      <c r="D1094" s="56">
        <f>IFERROR(_xlfn.XLOOKUP(SALIDAS[[#This Row],[CODIGO]],LISTADO[CODIGOS],LISTADO[PRODUCTOS]),"NO EXISTE")</f>
        <v/>
      </c>
      <c r="E1094" s="19" t="n">
        <v>46112</v>
      </c>
      <c r="F1094" s="18" t="n">
        <v>1</v>
      </c>
      <c r="G1094" s="18" t="inlineStr">
        <is>
          <t>CORPORATIVO</t>
        </is>
      </c>
    </row>
    <row r="1095">
      <c r="B1095" s="56" t="inlineStr">
        <is>
          <t>00192-FER</t>
        </is>
      </c>
      <c r="C1095" s="56">
        <f>IFERROR(_xlfn.XLOOKUP(SALIDAS[[#This Row],[CODIGO]],LISTADO[CODIGOS],LISTADO[CATEGORIA]),"NO EXISTE")</f>
        <v/>
      </c>
      <c r="D1095" s="56">
        <f>IFERROR(_xlfn.XLOOKUP(SALIDAS[[#This Row],[CODIGO]],LISTADO[CODIGOS],LISTADO[PRODUCTOS]),"NO EXISTE")</f>
        <v/>
      </c>
      <c r="E1095" s="19" t="n">
        <v>46112</v>
      </c>
      <c r="F1095" s="18" t="n">
        <v>1</v>
      </c>
      <c r="G1095" s="18" t="inlineStr">
        <is>
          <t>LA VIÑA</t>
        </is>
      </c>
    </row>
    <row r="1096">
      <c r="B1096" s="56" t="inlineStr">
        <is>
          <t>00117-HER</t>
        </is>
      </c>
      <c r="C1096" s="56">
        <f>IFERROR(_xlfn.XLOOKUP(SALIDAS[[#This Row],[CODIGO]],LISTADO[CODIGOS],LISTADO[CATEGORIA]),"NO EXISTE")</f>
        <v/>
      </c>
      <c r="D1096" s="56">
        <f>IFERROR(_xlfn.XLOOKUP(SALIDAS[[#This Row],[CODIGO]],LISTADO[CODIGOS],LISTADO[PRODUCTOS]),"NO EXISTE")</f>
        <v/>
      </c>
      <c r="E1096" s="19" t="n">
        <v>46112</v>
      </c>
      <c r="F1096" s="18" t="n">
        <v>1</v>
      </c>
      <c r="G1096" s="18" t="inlineStr">
        <is>
          <t>LA VIÑA</t>
        </is>
      </c>
    </row>
    <row r="1097">
      <c r="B1097" s="56" t="inlineStr">
        <is>
          <t>00050-HER</t>
        </is>
      </c>
      <c r="C1097" s="56">
        <f>IFERROR(_xlfn.XLOOKUP(SALIDAS[[#This Row],[CODIGO]],LISTADO[CODIGOS],LISTADO[CATEGORIA]),"NO EXISTE")</f>
        <v/>
      </c>
      <c r="D1097" s="56">
        <f>IFERROR(_xlfn.XLOOKUP(SALIDAS[[#This Row],[CODIGO]],LISTADO[CODIGOS],LISTADO[PRODUCTOS]),"NO EXISTE")</f>
        <v/>
      </c>
      <c r="E1097" s="19" t="n">
        <v>46112</v>
      </c>
      <c r="F1097" s="15" t="n">
        <v>1</v>
      </c>
      <c r="G1097" s="18" t="inlineStr">
        <is>
          <t>LA VIÑA</t>
        </is>
      </c>
    </row>
    <row r="1098">
      <c r="B1098" s="56" t="inlineStr">
        <is>
          <t>00193-FER</t>
        </is>
      </c>
      <c r="C1098" s="56">
        <f>IFERROR(_xlfn.XLOOKUP(SALIDAS[[#This Row],[CODIGO]],LISTADO[CODIGOS],LISTADO[CATEGORIA]),"NO EXISTE")</f>
        <v/>
      </c>
      <c r="D1098" s="56">
        <f>IFERROR(_xlfn.XLOOKUP(SALIDAS[[#This Row],[CODIGO]],LISTADO[CODIGOS],LISTADO[PRODUCTOS]),"NO EXISTE")</f>
        <v/>
      </c>
      <c r="E1098" s="19" t="n">
        <v>46112</v>
      </c>
      <c r="F1098" s="15" t="n">
        <v>1</v>
      </c>
      <c r="G1098" s="18" t="inlineStr">
        <is>
          <t>LA VIÑA</t>
        </is>
      </c>
    </row>
    <row r="1099">
      <c r="B1099" s="56" t="inlineStr">
        <is>
          <t>00194-FER</t>
        </is>
      </c>
      <c r="C1099" s="56">
        <f>IFERROR(_xlfn.XLOOKUP(SALIDAS[[#This Row],[CODIGO]],LISTADO[CODIGOS],LISTADO[CATEGORIA]),"NO EXISTE")</f>
        <v/>
      </c>
      <c r="D1099" s="56">
        <f>IFERROR(_xlfn.XLOOKUP(SALIDAS[[#This Row],[CODIGO]],LISTADO[CODIGOS],LISTADO[PRODUCTOS]),"NO EXISTE")</f>
        <v/>
      </c>
      <c r="E1099" s="19" t="n">
        <v>46112</v>
      </c>
      <c r="F1099" s="15" t="n">
        <v>1</v>
      </c>
      <c r="G1099" s="18" t="inlineStr">
        <is>
          <t>LA VIÑA</t>
        </is>
      </c>
    </row>
    <row r="1100">
      <c r="B1100" s="18" t="inlineStr">
        <is>
          <t>00053-ELC</t>
        </is>
      </c>
      <c r="C1100" s="56">
        <f>IFERROR(_xlfn.XLOOKUP(SALIDAS[[#This Row],[CODIGO]],LISTADO[CODIGOS],LISTADO[CATEGORIA]),"NO EXISTE")</f>
        <v/>
      </c>
      <c r="D1100" s="56">
        <f>IFERROR(_xlfn.XLOOKUP(SALIDAS[[#This Row],[CODIGO]],LISTADO[CODIGOS],LISTADO[PRODUCTOS]),"NO EXISTE")</f>
        <v/>
      </c>
      <c r="E1100" s="19" t="n">
        <v>46113</v>
      </c>
      <c r="F1100" s="18" t="n">
        <v>2</v>
      </c>
      <c r="G1100" s="18" t="inlineStr">
        <is>
          <t>LA VIÑA</t>
        </is>
      </c>
    </row>
    <row r="1101">
      <c r="B1101" s="18" t="inlineStr">
        <is>
          <t>00179-FER</t>
        </is>
      </c>
      <c r="C1101" s="56">
        <f>IFERROR(_xlfn.XLOOKUP(SALIDAS[[#This Row],[CODIGO]],LISTADO[CODIGOS],LISTADO[CATEGORIA]),"NO EXISTE")</f>
        <v/>
      </c>
      <c r="D1101" s="56">
        <f>IFERROR(_xlfn.XLOOKUP(SALIDAS[[#This Row],[CODIGO]],LISTADO[CODIGOS],LISTADO[PRODUCTOS]),"NO EXISTE")</f>
        <v/>
      </c>
      <c r="E1101" s="19" t="n">
        <v>46113</v>
      </c>
      <c r="F1101" s="18" t="n">
        <v>2</v>
      </c>
      <c r="G1101" s="18" t="inlineStr">
        <is>
          <t>LA VIÑA</t>
        </is>
      </c>
    </row>
    <row r="1102">
      <c r="B1102" s="56" t="inlineStr">
        <is>
          <t>00120-REF</t>
        </is>
      </c>
      <c r="C1102" s="56">
        <f>IFERROR(_xlfn.XLOOKUP(SALIDAS[[#This Row],[CODIGO]],LISTADO[CODIGOS],LISTADO[CATEGORIA]),"NO EXISTE")</f>
        <v/>
      </c>
      <c r="D1102" s="56">
        <f>IFERROR(_xlfn.XLOOKUP(SALIDAS[[#This Row],[CODIGO]],LISTADO[CODIGOS],LISTADO[PRODUCTOS]),"NO EXISTE")</f>
        <v/>
      </c>
      <c r="E1102" s="19" t="n">
        <v>46113</v>
      </c>
      <c r="F1102" s="18" t="n">
        <v>1</v>
      </c>
      <c r="G1102" s="18" t="inlineStr">
        <is>
          <t>SAN DIEGO</t>
        </is>
      </c>
    </row>
    <row r="1103">
      <c r="B1103" s="16" t="inlineStr">
        <is>
          <t>00016-AUT</t>
        </is>
      </c>
      <c r="C1103" s="56">
        <f>IFERROR(_xlfn.XLOOKUP(SALIDAS[[#This Row],[CODIGO]],LISTADO[CODIGOS],LISTADO[CATEGORIA]),"NO EXISTE")</f>
        <v/>
      </c>
      <c r="D1103" s="56">
        <f>IFERROR(_xlfn.XLOOKUP(SALIDAS[[#This Row],[CODIGO]],LISTADO[CODIGOS],LISTADO[PRODUCTOS]),"NO EXISTE")</f>
        <v/>
      </c>
      <c r="E1103" s="19" t="n">
        <v>46113</v>
      </c>
      <c r="F1103" s="18" t="n">
        <v>2</v>
      </c>
      <c r="G1103" s="18" t="inlineStr">
        <is>
          <t>PERIFERICO</t>
        </is>
      </c>
    </row>
    <row r="1104">
      <c r="B1104" s="56" t="inlineStr">
        <is>
          <t>00187-FER</t>
        </is>
      </c>
      <c r="C1104" s="56">
        <f>IFERROR(_xlfn.XLOOKUP(SALIDAS[[#This Row],[CODIGO]],LISTADO[CODIGOS],LISTADO[CATEGORIA]),"NO EXISTE")</f>
        <v/>
      </c>
      <c r="D1104" s="56">
        <f>IFERROR(_xlfn.XLOOKUP(SALIDAS[[#This Row],[CODIGO]],LISTADO[CODIGOS],LISTADO[PRODUCTOS]),"NO EXISTE")</f>
        <v/>
      </c>
      <c r="E1104" s="19" t="n">
        <v>46113</v>
      </c>
      <c r="F1104" s="18" t="n">
        <v>1</v>
      </c>
      <c r="G1104" s="18" t="inlineStr">
        <is>
          <t>LA VIÑA</t>
        </is>
      </c>
    </row>
    <row r="1105">
      <c r="B1105" s="56" t="inlineStr">
        <is>
          <t>00061-HRR</t>
        </is>
      </c>
      <c r="C1105" s="56">
        <f>IFERROR(_xlfn.XLOOKUP(SALIDAS[[#This Row],[CODIGO]],LISTADO[CODIGOS],LISTADO[CATEGORIA]),"NO EXISTE")</f>
        <v/>
      </c>
      <c r="D1105" s="56">
        <f>IFERROR(_xlfn.XLOOKUP(SALIDAS[[#This Row],[CODIGO]],LISTADO[CODIGOS],LISTADO[PRODUCTOS]),"NO EXISTE")</f>
        <v/>
      </c>
      <c r="E1105" s="19" t="n">
        <v>46113</v>
      </c>
      <c r="F1105" s="18" t="n">
        <v>1</v>
      </c>
      <c r="G1105" s="18" t="inlineStr">
        <is>
          <t>LA VIÑA</t>
        </is>
      </c>
    </row>
    <row r="1106">
      <c r="B1106" s="56" t="inlineStr">
        <is>
          <t>00189-FER</t>
        </is>
      </c>
      <c r="C1106" s="56">
        <f>IFERROR(_xlfn.XLOOKUP(SALIDAS[[#This Row],[CODIGO]],LISTADO[CODIGOS],LISTADO[CATEGORIA]),"NO EXISTE")</f>
        <v/>
      </c>
      <c r="D1106" s="56">
        <f>IFERROR(_xlfn.XLOOKUP(SALIDAS[[#This Row],[CODIGO]],LISTADO[CODIGOS],LISTADO[PRODUCTOS]),"NO EXISTE")</f>
        <v/>
      </c>
      <c r="E1106" s="19" t="n">
        <v>46113</v>
      </c>
      <c r="F1106" s="18" t="n">
        <v>15</v>
      </c>
      <c r="G1106" s="18" t="inlineStr">
        <is>
          <t>LA VIÑA</t>
        </is>
      </c>
    </row>
    <row r="1107">
      <c r="B1107" s="56" t="inlineStr">
        <is>
          <t>00078-ELE</t>
        </is>
      </c>
      <c r="C1107" s="56">
        <f>IFERROR(_xlfn.XLOOKUP(SALIDAS[[#This Row],[CODIGO]],LISTADO[CODIGOS],LISTADO[CATEGORIA]),"NO EXISTE")</f>
        <v/>
      </c>
      <c r="D1107" s="56">
        <f>IFERROR(_xlfn.XLOOKUP(SALIDAS[[#This Row],[CODIGO]],LISTADO[CODIGOS],LISTADO[PRODUCTOS]),"NO EXISTE")</f>
        <v/>
      </c>
      <c r="E1107" s="19" t="n">
        <v>46113</v>
      </c>
      <c r="F1107" s="18" t="n">
        <v>3</v>
      </c>
      <c r="G1107" s="18" t="inlineStr">
        <is>
          <t>LA VIÑA</t>
        </is>
      </c>
    </row>
    <row r="1108">
      <c r="B1108" s="18" t="inlineStr">
        <is>
          <t>00063-HRR</t>
        </is>
      </c>
      <c r="C1108" s="56">
        <f>IFERROR(_xlfn.XLOOKUP(SALIDAS[[#This Row],[CODIGO]],LISTADO[CODIGOS],LISTADO[CATEGORIA]),"NO EXISTE")</f>
        <v/>
      </c>
      <c r="D1108" s="56">
        <f>IFERROR(_xlfn.XLOOKUP(SALIDAS[[#This Row],[CODIGO]],LISTADO[CODIGOS],LISTADO[PRODUCTOS]),"NO EXISTE")</f>
        <v/>
      </c>
      <c r="E1108" s="19" t="n">
        <v>46113</v>
      </c>
      <c r="F1108" s="15" t="n">
        <v>4</v>
      </c>
      <c r="G1108" s="18" t="inlineStr">
        <is>
          <t>MAIQUETIA</t>
        </is>
      </c>
    </row>
    <row r="1109">
      <c r="B1109" s="18" t="inlineStr">
        <is>
          <t>00025-LIM</t>
        </is>
      </c>
      <c r="C1109" s="56">
        <f>IFERROR(_xlfn.XLOOKUP(SALIDAS[[#This Row],[CODIGO]],LISTADO[CODIGOS],LISTADO[CATEGORIA]),"NO EXISTE")</f>
        <v/>
      </c>
      <c r="D1109" s="56">
        <f>IFERROR(_xlfn.XLOOKUP(SALIDAS[[#This Row],[CODIGO]],LISTADO[CODIGOS],LISTADO[PRODUCTOS]),"NO EXISTE")</f>
        <v/>
      </c>
      <c r="E1109" s="19" t="n">
        <v>46113</v>
      </c>
      <c r="F1109" s="15" t="n">
        <v>0.5</v>
      </c>
      <c r="G1109" s="18" t="inlineStr">
        <is>
          <t>ARTIGAS (CARACAS)</t>
        </is>
      </c>
    </row>
    <row r="1110">
      <c r="B1110" s="18" t="inlineStr">
        <is>
          <t>00001-HRR</t>
        </is>
      </c>
      <c r="C1110" s="56">
        <f>IFERROR(_xlfn.XLOOKUP(SALIDAS[[#This Row],[CODIGO]],LISTADO[CODIGOS],LISTADO[CATEGORIA]),"NO EXISTE")</f>
        <v/>
      </c>
      <c r="D1110" s="56">
        <f>IFERROR(_xlfn.XLOOKUP(SALIDAS[[#This Row],[CODIGO]],LISTADO[CODIGOS],LISTADO[PRODUCTOS]),"NO EXISTE")</f>
        <v/>
      </c>
      <c r="E1110" s="19" t="n">
        <v>46113</v>
      </c>
      <c r="F1110" s="18" t="n">
        <v>1</v>
      </c>
      <c r="G1110" s="18" t="inlineStr">
        <is>
          <t>PERIFERICO</t>
        </is>
      </c>
    </row>
    <row r="1111">
      <c r="B1111" s="18" t="inlineStr">
        <is>
          <t>00077-ELE</t>
        </is>
      </c>
      <c r="C1111" s="56">
        <f>IFERROR(_xlfn.XLOOKUP(SALIDAS[[#This Row],[CODIGO]],LISTADO[CODIGOS],LISTADO[CATEGORIA]),"NO EXISTE")</f>
        <v/>
      </c>
      <c r="D1111" s="56">
        <f>IFERROR(_xlfn.XLOOKUP(SALIDAS[[#This Row],[CODIGO]],LISTADO[CODIGOS],LISTADO[PRODUCTOS]),"NO EXISTE")</f>
        <v/>
      </c>
      <c r="E1111" s="19" t="n">
        <v>46114</v>
      </c>
      <c r="F1111" s="18" t="n">
        <v>4</v>
      </c>
      <c r="G1111" s="18" t="inlineStr">
        <is>
          <t>LA VIÑA</t>
        </is>
      </c>
    </row>
    <row r="1112">
      <c r="B1112" s="18" t="inlineStr">
        <is>
          <t>00184-FER</t>
        </is>
      </c>
      <c r="C1112" s="56">
        <f>IFERROR(_xlfn.XLOOKUP(SALIDAS[[#This Row],[CODIGO]],LISTADO[CODIGOS],LISTADO[CATEGORIA]),"NO EXISTE")</f>
        <v/>
      </c>
      <c r="D1112" s="56">
        <f>IFERROR(_xlfn.XLOOKUP(SALIDAS[[#This Row],[CODIGO]],LISTADO[CODIGOS],LISTADO[PRODUCTOS]),"NO EXISTE")</f>
        <v/>
      </c>
      <c r="E1112" s="19" t="n">
        <v>46114</v>
      </c>
      <c r="F1112" s="18" t="n">
        <v>4</v>
      </c>
      <c r="G1112" s="18" t="inlineStr">
        <is>
          <t>GUACARA</t>
        </is>
      </c>
    </row>
    <row r="1113">
      <c r="B1113" s="16" t="inlineStr">
        <is>
          <t>00185-FER</t>
        </is>
      </c>
      <c r="C1113" s="56">
        <f>IFERROR(_xlfn.XLOOKUP(SALIDAS[[#This Row],[CODIGO]],LISTADO[CODIGOS],LISTADO[CATEGORIA]),"NO EXISTE")</f>
        <v/>
      </c>
      <c r="D1113" s="56">
        <f>IFERROR(_xlfn.XLOOKUP(SALIDAS[[#This Row],[CODIGO]],LISTADO[CODIGOS],LISTADO[PRODUCTOS]),"NO EXISTE")</f>
        <v/>
      </c>
      <c r="E1113" s="19" t="n">
        <v>46114</v>
      </c>
      <c r="F1113" s="18" t="n">
        <v>10</v>
      </c>
      <c r="G1113" s="18" t="inlineStr">
        <is>
          <t>MAIQUETIA</t>
        </is>
      </c>
    </row>
    <row r="1114">
      <c r="B1114" s="16" t="inlineStr">
        <is>
          <t>00186-FER</t>
        </is>
      </c>
      <c r="C1114" s="56">
        <f>IFERROR(_xlfn.XLOOKUP(SALIDAS[[#This Row],[CODIGO]],LISTADO[CODIGOS],LISTADO[CATEGORIA]),"NO EXISTE")</f>
        <v/>
      </c>
      <c r="D1114" s="56">
        <f>IFERROR(_xlfn.XLOOKUP(SALIDAS[[#This Row],[CODIGO]],LISTADO[CODIGOS],LISTADO[PRODUCTOS]),"NO EXISTE")</f>
        <v/>
      </c>
      <c r="E1114" s="19" t="n">
        <v>46114</v>
      </c>
      <c r="F1114" s="18" t="n">
        <v>20</v>
      </c>
      <c r="G1114" s="18" t="inlineStr">
        <is>
          <t>MAIQUETIA</t>
        </is>
      </c>
    </row>
    <row r="1115">
      <c r="B1115" s="56" t="inlineStr">
        <is>
          <t>00188-FER</t>
        </is>
      </c>
      <c r="C1115" s="56">
        <f>IFERROR(_xlfn.XLOOKUP(SALIDAS[[#This Row],[CODIGO]],LISTADO[CODIGOS],LISTADO[CATEGORIA]),"NO EXISTE")</f>
        <v/>
      </c>
      <c r="D1115" s="56">
        <f>IFERROR(_xlfn.XLOOKUP(SALIDAS[[#This Row],[CODIGO]],LISTADO[CODIGOS],LISTADO[PRODUCTOS]),"NO EXISTE")</f>
        <v/>
      </c>
      <c r="E1115" s="19" t="n">
        <v>46114</v>
      </c>
      <c r="F1115" s="18" t="n">
        <v>600</v>
      </c>
      <c r="G1115" s="18" t="inlineStr">
        <is>
          <t>MAIQUETIA</t>
        </is>
      </c>
    </row>
    <row r="1116">
      <c r="B1116" s="18" t="inlineStr">
        <is>
          <t>00195-FER</t>
        </is>
      </c>
      <c r="C1116" s="56">
        <f>IFERROR(_xlfn.XLOOKUP(SALIDAS[[#This Row],[CODIGO]],LISTADO[CODIGOS],LISTADO[CATEGORIA]),"NO EXISTE")</f>
        <v/>
      </c>
      <c r="D1116" s="56">
        <f>IFERROR(_xlfn.XLOOKUP(SALIDAS[[#This Row],[CODIGO]],LISTADO[CODIGOS],LISTADO[PRODUCTOS]),"NO EXISTE")</f>
        <v/>
      </c>
      <c r="E1116" s="19" t="n">
        <v>46115</v>
      </c>
      <c r="F1116" s="18" t="n">
        <v>1</v>
      </c>
      <c r="G1116" s="18" t="inlineStr">
        <is>
          <t xml:space="preserve">CEDI SECO </t>
        </is>
      </c>
    </row>
    <row r="1117">
      <c r="B1117" s="18" t="inlineStr">
        <is>
          <t>00080-ELE</t>
        </is>
      </c>
      <c r="C1117" s="56">
        <f>IFERROR(_xlfn.XLOOKUP(SALIDAS[[#This Row],[CODIGO]],LISTADO[CODIGOS],LISTADO[CATEGORIA]),"NO EXISTE")</f>
        <v/>
      </c>
      <c r="D1117" s="56">
        <f>IFERROR(_xlfn.XLOOKUP(SALIDAS[[#This Row],[CODIGO]],LISTADO[CODIGOS],LISTADO[PRODUCTOS]),"NO EXISTE")</f>
        <v/>
      </c>
      <c r="E1117" s="19" t="n">
        <v>46115</v>
      </c>
      <c r="F1117" s="18" t="n">
        <v>1</v>
      </c>
      <c r="G1117" s="18" t="inlineStr">
        <is>
          <t xml:space="preserve">CEDI SECO </t>
        </is>
      </c>
    </row>
    <row r="1118">
      <c r="B1118" s="18" t="inlineStr">
        <is>
          <t>00079-ELE</t>
        </is>
      </c>
      <c r="C1118" s="56">
        <f>IFERROR(_xlfn.XLOOKUP(SALIDAS[[#This Row],[CODIGO]],LISTADO[CODIGOS],LISTADO[CATEGORIA]),"NO EXISTE")</f>
        <v/>
      </c>
      <c r="D1118" s="56">
        <f>IFERROR(_xlfn.XLOOKUP(SALIDAS[[#This Row],[CODIGO]],LISTADO[CODIGOS],LISTADO[PRODUCTOS]),"NO EXISTE")</f>
        <v/>
      </c>
      <c r="E1118" s="19" t="n">
        <v>46115</v>
      </c>
      <c r="F1118" s="18" t="n">
        <v>7</v>
      </c>
      <c r="G1118" s="18" t="inlineStr">
        <is>
          <t>LA VIÑA</t>
        </is>
      </c>
    </row>
    <row r="1119">
      <c r="B1119" s="56" t="inlineStr">
        <is>
          <t>00203-FER</t>
        </is>
      </c>
      <c r="C1119" s="56">
        <f>IFERROR(_xlfn.XLOOKUP(SALIDAS[[#This Row],[CODIGO]],LISTADO[CODIGOS],LISTADO[CATEGORIA]),"NO EXISTE")</f>
        <v/>
      </c>
      <c r="D1119" s="56">
        <f>IFERROR(_xlfn.XLOOKUP(SALIDAS[[#This Row],[CODIGO]],LISTADO[CODIGOS],LISTADO[PRODUCTOS]),"NO EXISTE")</f>
        <v/>
      </c>
      <c r="E1119" s="19" t="n">
        <v>46116</v>
      </c>
      <c r="F1119" s="18" t="n">
        <v>4</v>
      </c>
      <c r="G1119" s="18" t="inlineStr">
        <is>
          <t>LA VIÑA</t>
        </is>
      </c>
    </row>
    <row r="1120">
      <c r="B1120" s="18" t="inlineStr">
        <is>
          <t>00062-PLM</t>
        </is>
      </c>
      <c r="C1120" s="56">
        <f>IFERROR(_xlfn.XLOOKUP(SALIDAS[[#This Row],[CODIGO]],LISTADO[CODIGOS],LISTADO[CATEGORIA]),"NO EXISTE")</f>
        <v/>
      </c>
      <c r="D1120" s="56">
        <f>IFERROR(_xlfn.XLOOKUP(SALIDAS[[#This Row],[CODIGO]],LISTADO[CODIGOS],LISTADO[PRODUCTOS]),"NO EXISTE")</f>
        <v/>
      </c>
      <c r="E1120" s="19" t="n">
        <v>46116</v>
      </c>
      <c r="F1120" s="18" t="n">
        <v>3</v>
      </c>
      <c r="G1120" s="18" t="inlineStr">
        <is>
          <t>LA VIÑA</t>
        </is>
      </c>
    </row>
    <row r="1121">
      <c r="B1121" s="56" t="inlineStr">
        <is>
          <t>00012-PLM</t>
        </is>
      </c>
      <c r="C1121" s="56">
        <f>IFERROR(_xlfn.XLOOKUP(SALIDAS[[#This Row],[CODIGO]],LISTADO[CODIGOS],LISTADO[CATEGORIA]),"NO EXISTE")</f>
        <v/>
      </c>
      <c r="D1121" s="56">
        <f>IFERROR(_xlfn.XLOOKUP(SALIDAS[[#This Row],[CODIGO]],LISTADO[CODIGOS],LISTADO[PRODUCTOS]),"NO EXISTE")</f>
        <v/>
      </c>
      <c r="E1121" s="19" t="n">
        <v>46116</v>
      </c>
      <c r="F1121" s="18" t="n">
        <v>8</v>
      </c>
      <c r="G1121" s="18" t="inlineStr">
        <is>
          <t>LA VIÑA</t>
        </is>
      </c>
    </row>
    <row r="1122">
      <c r="B1122" s="18" t="inlineStr">
        <is>
          <t>00063-PLM</t>
        </is>
      </c>
      <c r="C1122" s="56">
        <f>IFERROR(_xlfn.XLOOKUP(SALIDAS[[#This Row],[CODIGO]],LISTADO[CODIGOS],LISTADO[CATEGORIA]),"NO EXISTE")</f>
        <v/>
      </c>
      <c r="D1122" s="56">
        <f>IFERROR(_xlfn.XLOOKUP(SALIDAS[[#This Row],[CODIGO]],LISTADO[CODIGOS],LISTADO[PRODUCTOS]),"NO EXISTE")</f>
        <v/>
      </c>
      <c r="E1122" s="19" t="n">
        <v>46116</v>
      </c>
      <c r="F1122" s="18" t="n">
        <v>1</v>
      </c>
      <c r="G1122" s="18" t="inlineStr">
        <is>
          <t>LA VIÑA</t>
        </is>
      </c>
    </row>
    <row r="1123">
      <c r="B1123" s="56" t="inlineStr">
        <is>
          <t>00005-HRR</t>
        </is>
      </c>
      <c r="C1123" s="56">
        <f>IFERROR(_xlfn.XLOOKUP(SALIDAS[[#This Row],[CODIGO]],LISTADO[CODIGOS],LISTADO[CATEGORIA]),"NO EXISTE")</f>
        <v/>
      </c>
      <c r="D1123" s="56">
        <f>IFERROR(_xlfn.XLOOKUP(SALIDAS[[#This Row],[CODIGO]],LISTADO[CODIGOS],LISTADO[PRODUCTOS]),"NO EXISTE")</f>
        <v/>
      </c>
      <c r="E1123" s="19" t="n">
        <v>46116</v>
      </c>
      <c r="F1123" s="18" t="n">
        <v>1</v>
      </c>
      <c r="G1123" s="18" t="inlineStr">
        <is>
          <t>LA VIÑA</t>
        </is>
      </c>
    </row>
    <row r="1124">
      <c r="B1124" s="56" t="inlineStr">
        <is>
          <t>00007-HRR</t>
        </is>
      </c>
      <c r="C1124" s="56">
        <f>IFERROR(_xlfn.XLOOKUP(SALIDAS[[#This Row],[CODIGO]],LISTADO[CODIGOS],LISTADO[CATEGORIA]),"NO EXISTE")</f>
        <v/>
      </c>
      <c r="D1124" s="56">
        <f>IFERROR(_xlfn.XLOOKUP(SALIDAS[[#This Row],[CODIGO]],LISTADO[CODIGOS],LISTADO[PRODUCTOS]),"NO EXISTE")</f>
        <v/>
      </c>
      <c r="E1124" s="19" t="n">
        <v>46116</v>
      </c>
      <c r="F1124" s="18" t="n">
        <v>2</v>
      </c>
      <c r="G1124" s="18" t="inlineStr">
        <is>
          <t>LA VIÑA</t>
        </is>
      </c>
    </row>
    <row r="1125">
      <c r="B1125" s="18" t="inlineStr">
        <is>
          <t>00062-HRR</t>
        </is>
      </c>
      <c r="C1125" s="56">
        <f>IFERROR(_xlfn.XLOOKUP(SALIDAS[[#This Row],[CODIGO]],LISTADO[CODIGOS],LISTADO[CATEGORIA]),"NO EXISTE")</f>
        <v/>
      </c>
      <c r="D1125" s="56">
        <f>IFERROR(_xlfn.XLOOKUP(SALIDAS[[#This Row],[CODIGO]],LISTADO[CODIGOS],LISTADO[PRODUCTOS]),"NO EXISTE")</f>
        <v/>
      </c>
      <c r="E1125" s="19" t="n">
        <v>46116</v>
      </c>
      <c r="F1125" s="18" t="n">
        <v>1</v>
      </c>
      <c r="G1125" s="18" t="inlineStr">
        <is>
          <t>LA VIÑA</t>
        </is>
      </c>
    </row>
    <row r="1126">
      <c r="B1126" s="56" t="inlineStr">
        <is>
          <t>00073-REF</t>
        </is>
      </c>
      <c r="C1126" s="56">
        <f>IFERROR(_xlfn.XLOOKUP(SALIDAS[[#This Row],[CODIGO]],LISTADO[CODIGOS],LISTADO[CATEGORIA]),"NO EXISTE")</f>
        <v/>
      </c>
      <c r="D1126" s="56">
        <f>IFERROR(_xlfn.XLOOKUP(SALIDAS[[#This Row],[CODIGO]],LISTADO[CODIGOS],LISTADO[PRODUCTOS]),"NO EXISTE")</f>
        <v/>
      </c>
      <c r="E1126" s="19" t="n">
        <v>46116</v>
      </c>
      <c r="F1126" s="18" t="n">
        <v>15</v>
      </c>
      <c r="G1126" s="18" t="inlineStr">
        <is>
          <t>TAZAJAL</t>
        </is>
      </c>
    </row>
    <row r="1127">
      <c r="B1127" s="56" t="inlineStr">
        <is>
          <t>00051-REF</t>
        </is>
      </c>
      <c r="C1127" s="56">
        <f>IFERROR(_xlfn.XLOOKUP(SALIDAS[[#This Row],[CODIGO]],LISTADO[CODIGOS],LISTADO[CATEGORIA]),"NO EXISTE")</f>
        <v/>
      </c>
      <c r="D1127" s="56">
        <f>IFERROR(_xlfn.XLOOKUP(SALIDAS[[#This Row],[CODIGO]],LISTADO[CODIGOS],LISTADO[PRODUCTOS]),"NO EXISTE")</f>
        <v/>
      </c>
      <c r="E1127" s="19" t="n">
        <v>46116</v>
      </c>
      <c r="F1127" s="18" t="n">
        <v>2</v>
      </c>
      <c r="G1127" s="18" t="inlineStr">
        <is>
          <t>PARAPARAL</t>
        </is>
      </c>
    </row>
    <row r="1128">
      <c r="B1128" s="56" t="inlineStr">
        <is>
          <t>00001-REF</t>
        </is>
      </c>
      <c r="C1128" s="56">
        <f>IFERROR(_xlfn.XLOOKUP(SALIDAS[[#This Row],[CODIGO]],LISTADO[CODIGOS],LISTADO[CATEGORIA]),"NO EXISTE")</f>
        <v/>
      </c>
      <c r="D1128" s="56">
        <f>IFERROR(_xlfn.XLOOKUP(SALIDAS[[#This Row],[CODIGO]],LISTADO[CODIGOS],LISTADO[PRODUCTOS]),"NO EXISTE")</f>
        <v/>
      </c>
      <c r="E1128" s="19" t="n">
        <v>46116</v>
      </c>
      <c r="F1128" s="18" t="n">
        <v>2</v>
      </c>
      <c r="G1128" s="18" t="inlineStr">
        <is>
          <t>PARAPARAL</t>
        </is>
      </c>
    </row>
    <row r="1129">
      <c r="B1129" s="18" t="inlineStr">
        <is>
          <t>00112-REF</t>
        </is>
      </c>
      <c r="C1129" s="56">
        <f>IFERROR(_xlfn.XLOOKUP(SALIDAS[[#This Row],[CODIGO]],LISTADO[CODIGOS],LISTADO[CATEGORIA]),"NO EXISTE")</f>
        <v/>
      </c>
      <c r="D1129" s="56">
        <f>IFERROR(_xlfn.XLOOKUP(SALIDAS[[#This Row],[CODIGO]],LISTADO[CODIGOS],LISTADO[PRODUCTOS]),"NO EXISTE")</f>
        <v/>
      </c>
      <c r="E1129" s="19" t="n">
        <v>46116</v>
      </c>
      <c r="F1129" s="18" t="n">
        <v>1</v>
      </c>
      <c r="G1129" s="18" t="inlineStr">
        <is>
          <t>PARAPARAL</t>
        </is>
      </c>
    </row>
    <row r="1130">
      <c r="B1130" s="56" t="inlineStr">
        <is>
          <t>00036-REF</t>
        </is>
      </c>
      <c r="C1130" s="56">
        <f>IFERROR(_xlfn.XLOOKUP(SALIDAS[[#This Row],[CODIGO]],LISTADO[CODIGOS],LISTADO[CATEGORIA]),"NO EXISTE")</f>
        <v/>
      </c>
      <c r="D1130" s="56">
        <f>IFERROR(_xlfn.XLOOKUP(SALIDAS[[#This Row],[CODIGO]],LISTADO[CODIGOS],LISTADO[PRODUCTOS]),"NO EXISTE")</f>
        <v/>
      </c>
      <c r="E1130" s="19" t="n">
        <v>46116</v>
      </c>
      <c r="F1130" s="18" t="n">
        <v>4</v>
      </c>
      <c r="G1130" s="18" t="inlineStr">
        <is>
          <t>PARAPARAL</t>
        </is>
      </c>
    </row>
    <row r="1131">
      <c r="B1131" s="18" t="inlineStr">
        <is>
          <t>00049-ILU</t>
        </is>
      </c>
      <c r="C1131" s="56">
        <f>IFERROR(_xlfn.XLOOKUP(SALIDAS[[#This Row],[CODIGO]],LISTADO[CODIGOS],LISTADO[CATEGORIA]),"NO EXISTE")</f>
        <v/>
      </c>
      <c r="D1131" s="56">
        <f>IFERROR(_xlfn.XLOOKUP(SALIDAS[[#This Row],[CODIGO]],LISTADO[CODIGOS],LISTADO[PRODUCTOS]),"NO EXISTE")</f>
        <v/>
      </c>
      <c r="E1131" s="19" t="n">
        <v>46116</v>
      </c>
      <c r="F1131" s="18" t="n">
        <v>4</v>
      </c>
      <c r="G1131" s="18" t="inlineStr">
        <is>
          <t>AV. BOLIVAR</t>
        </is>
      </c>
    </row>
    <row r="1132">
      <c r="B1132" s="56" t="inlineStr">
        <is>
          <t>00027-ILU</t>
        </is>
      </c>
      <c r="C1132" s="56">
        <f>IFERROR(_xlfn.XLOOKUP(SALIDAS[[#This Row],[CODIGO]],LISTADO[CODIGOS],LISTADO[CATEGORIA]),"NO EXISTE")</f>
        <v/>
      </c>
      <c r="D1132" s="56">
        <f>IFERROR(_xlfn.XLOOKUP(SALIDAS[[#This Row],[CODIGO]],LISTADO[CODIGOS],LISTADO[PRODUCTOS]),"NO EXISTE")</f>
        <v/>
      </c>
      <c r="E1132" s="19" t="n">
        <v>46116</v>
      </c>
      <c r="F1132" s="18" t="n">
        <v>1</v>
      </c>
      <c r="G1132" s="18" t="inlineStr">
        <is>
          <t>MAÑONGO</t>
        </is>
      </c>
    </row>
    <row r="1133">
      <c r="B1133" s="56" t="inlineStr">
        <is>
          <t>00018-MSC</t>
        </is>
      </c>
      <c r="C1133" s="56">
        <f>IFERROR(_xlfn.XLOOKUP(SALIDAS[[#This Row],[CODIGO]],LISTADO[CODIGOS],LISTADO[CATEGORIA]),"NO EXISTE")</f>
        <v/>
      </c>
      <c r="D1133" s="56">
        <f>IFERROR(_xlfn.XLOOKUP(SALIDAS[[#This Row],[CODIGO]],LISTADO[CODIGOS],LISTADO[PRODUCTOS]),"NO EXISTE")</f>
        <v/>
      </c>
      <c r="E1133" s="19" t="n">
        <v>46117</v>
      </c>
      <c r="F1133" s="18" t="n">
        <v>1</v>
      </c>
      <c r="G1133" s="18" t="inlineStr">
        <is>
          <t>PARAPARAL</t>
        </is>
      </c>
    </row>
    <row r="1134">
      <c r="B1134" s="56" t="inlineStr">
        <is>
          <t>00018-MSC</t>
        </is>
      </c>
      <c r="C1134" s="56">
        <f>IFERROR(_xlfn.XLOOKUP(SALIDAS[[#This Row],[CODIGO]],LISTADO[CODIGOS],LISTADO[CATEGORIA]),"NO EXISTE")</f>
        <v/>
      </c>
      <c r="D1134" s="56">
        <f>IFERROR(_xlfn.XLOOKUP(SALIDAS[[#This Row],[CODIGO]],LISTADO[CODIGOS],LISTADO[PRODUCTOS]),"NO EXISTE")</f>
        <v/>
      </c>
      <c r="E1134" s="19" t="n">
        <v>46117</v>
      </c>
      <c r="F1134" s="18" t="n">
        <v>1</v>
      </c>
      <c r="G1134" s="18" t="inlineStr">
        <is>
          <t>GUACARA</t>
        </is>
      </c>
    </row>
    <row r="1135">
      <c r="B1135" s="16" t="inlineStr">
        <is>
          <t>00077-ELC</t>
        </is>
      </c>
      <c r="C1135" s="56">
        <f>IFERROR(_xlfn.XLOOKUP(SALIDAS[[#This Row],[CODIGO]],LISTADO[CODIGOS],LISTADO[CATEGORIA]),"NO EXISTE")</f>
        <v/>
      </c>
      <c r="D1135" s="56">
        <f>IFERROR(_xlfn.XLOOKUP(SALIDAS[[#This Row],[CODIGO]],LISTADO[CODIGOS],LISTADO[PRODUCTOS]),"NO EXISTE")</f>
        <v/>
      </c>
      <c r="E1135" s="19" t="n">
        <v>46118</v>
      </c>
      <c r="F1135" s="18" t="n">
        <v>1</v>
      </c>
      <c r="G1135" s="18" t="inlineStr">
        <is>
          <t>TOCUYITO</t>
        </is>
      </c>
    </row>
    <row r="1136">
      <c r="B1136" s="18" t="inlineStr">
        <is>
          <t>00008-ELC</t>
        </is>
      </c>
      <c r="C1136" s="56">
        <f>IFERROR(_xlfn.XLOOKUP(SALIDAS[[#This Row],[CODIGO]],LISTADO[CODIGOS],LISTADO[CATEGORIA]),"NO EXISTE")</f>
        <v/>
      </c>
      <c r="D1136" s="56">
        <f>IFERROR(_xlfn.XLOOKUP(SALIDAS[[#This Row],[CODIGO]],LISTADO[CODIGOS],LISTADO[PRODUCTOS]),"NO EXISTE")</f>
        <v/>
      </c>
      <c r="E1136" s="19" t="n">
        <v>46118</v>
      </c>
      <c r="F1136" s="18" t="n">
        <v>7</v>
      </c>
      <c r="G1136" s="18" t="inlineStr">
        <is>
          <t xml:space="preserve">CEDI SECO </t>
        </is>
      </c>
    </row>
    <row r="1137">
      <c r="B1137" s="56" t="inlineStr">
        <is>
          <t>00016-MSC</t>
        </is>
      </c>
      <c r="C1137" s="56">
        <f>IFERROR(_xlfn.XLOOKUP(SALIDAS[[#This Row],[CODIGO]],LISTADO[CODIGOS],LISTADO[CATEGORIA]),"NO EXISTE")</f>
        <v/>
      </c>
      <c r="D1137" s="56">
        <f>IFERROR(_xlfn.XLOOKUP(SALIDAS[[#This Row],[CODIGO]],LISTADO[CODIGOS],LISTADO[PRODUCTOS]),"NO EXISTE")</f>
        <v/>
      </c>
      <c r="E1137" s="19" t="n">
        <v>46119</v>
      </c>
      <c r="F1137" s="18" t="n">
        <v>2</v>
      </c>
      <c r="G1137" s="18" t="inlineStr">
        <is>
          <t>LA VIÑA</t>
        </is>
      </c>
    </row>
    <row r="1138">
      <c r="B1138" s="56" t="inlineStr">
        <is>
          <t>00010-MSC</t>
        </is>
      </c>
      <c r="C1138" s="56">
        <f>IFERROR(_xlfn.XLOOKUP(SALIDAS[[#This Row],[CODIGO]],LISTADO[CODIGOS],LISTADO[CATEGORIA]),"NO EXISTE")</f>
        <v/>
      </c>
      <c r="D1138" s="56">
        <f>IFERROR(_xlfn.XLOOKUP(SALIDAS[[#This Row],[CODIGO]],LISTADO[CODIGOS],LISTADO[PRODUCTOS]),"NO EXISTE")</f>
        <v/>
      </c>
      <c r="E1138" s="19" t="n">
        <v>46119</v>
      </c>
      <c r="F1138" s="18" t="n">
        <v>2</v>
      </c>
      <c r="G1138" s="18" t="inlineStr">
        <is>
          <t>LA VIÑA</t>
        </is>
      </c>
    </row>
    <row r="1139">
      <c r="B1139" s="18" t="inlineStr">
        <is>
          <t>00019-MSC</t>
        </is>
      </c>
      <c r="C1139" s="56">
        <f>IFERROR(_xlfn.XLOOKUP(SALIDAS[[#This Row],[CODIGO]],LISTADO[CODIGOS],LISTADO[CATEGORIA]),"NO EXISTE")</f>
        <v/>
      </c>
      <c r="D1139" s="56">
        <f>IFERROR(_xlfn.XLOOKUP(SALIDAS[[#This Row],[CODIGO]],LISTADO[CODIGOS],LISTADO[PRODUCTOS]),"NO EXISTE")</f>
        <v/>
      </c>
      <c r="E1139" s="19" t="n">
        <v>46119</v>
      </c>
      <c r="F1139" s="18" t="n">
        <v>2</v>
      </c>
      <c r="G1139" s="18" t="inlineStr">
        <is>
          <t>LA VIÑA</t>
        </is>
      </c>
    </row>
    <row r="1140">
      <c r="B1140" s="56" t="inlineStr">
        <is>
          <t>00017-MSC</t>
        </is>
      </c>
      <c r="C1140" s="56">
        <f>IFERROR(_xlfn.XLOOKUP(SALIDAS[[#This Row],[CODIGO]],LISTADO[CODIGOS],LISTADO[CATEGORIA]),"NO EXISTE")</f>
        <v/>
      </c>
      <c r="D1140" s="56">
        <f>IFERROR(_xlfn.XLOOKUP(SALIDAS[[#This Row],[CODIGO]],LISTADO[CODIGOS],LISTADO[PRODUCTOS]),"NO EXISTE")</f>
        <v/>
      </c>
      <c r="E1140" s="19" t="n">
        <v>46119</v>
      </c>
      <c r="F1140" s="18" t="n">
        <v>1</v>
      </c>
      <c r="G1140" s="18" t="inlineStr">
        <is>
          <t>LA VIÑA</t>
        </is>
      </c>
    </row>
    <row r="1141">
      <c r="B1141" s="18" t="inlineStr">
        <is>
          <t>00020-MSC</t>
        </is>
      </c>
      <c r="C1141" s="56">
        <f>IFERROR(_xlfn.XLOOKUP(SALIDAS[[#This Row],[CODIGO]],LISTADO[CODIGOS],LISTADO[CATEGORIA]),"NO EXISTE")</f>
        <v/>
      </c>
      <c r="D1141" s="56">
        <f>IFERROR(_xlfn.XLOOKUP(SALIDAS[[#This Row],[CODIGO]],LISTADO[CODIGOS],LISTADO[PRODUCTOS]),"NO EXISTE")</f>
        <v/>
      </c>
      <c r="E1141" s="19" t="n">
        <v>46119</v>
      </c>
      <c r="F1141" s="18" t="n">
        <v>1</v>
      </c>
      <c r="G1141" s="18" t="inlineStr">
        <is>
          <t>LA VIÑA</t>
        </is>
      </c>
    </row>
    <row r="1142">
      <c r="B1142" s="18" t="inlineStr">
        <is>
          <t>00013-LIM</t>
        </is>
      </c>
      <c r="C1142" s="56">
        <f>IFERROR(_xlfn.XLOOKUP(SALIDAS[[#This Row],[CODIGO]],LISTADO[CODIGOS],LISTADO[CATEGORIA]),"NO EXISTE")</f>
        <v/>
      </c>
      <c r="D1142" s="56">
        <f>IFERROR(_xlfn.XLOOKUP(SALIDAS[[#This Row],[CODIGO]],LISTADO[CODIGOS],LISTADO[PRODUCTOS]),"NO EXISTE")</f>
        <v/>
      </c>
      <c r="E1142" s="19" t="n">
        <v>46119</v>
      </c>
      <c r="F1142" s="18" t="n">
        <v>2</v>
      </c>
      <c r="G1142" s="18" t="inlineStr">
        <is>
          <t>LA VIÑA</t>
        </is>
      </c>
    </row>
    <row r="1143">
      <c r="B1143" s="56" t="inlineStr">
        <is>
          <t>00008-LIM</t>
        </is>
      </c>
      <c r="C1143" s="56">
        <f>IFERROR(_xlfn.XLOOKUP(SALIDAS[[#This Row],[CODIGO]],LISTADO[CODIGOS],LISTADO[CATEGORIA]),"NO EXISTE")</f>
        <v/>
      </c>
      <c r="D1143" s="56">
        <f>IFERROR(_xlfn.XLOOKUP(SALIDAS[[#This Row],[CODIGO]],LISTADO[CODIGOS],LISTADO[PRODUCTOS]),"NO EXISTE")</f>
        <v/>
      </c>
      <c r="E1143" s="19" t="n">
        <v>46119</v>
      </c>
      <c r="F1143" s="18" t="n">
        <v>6</v>
      </c>
      <c r="G1143" s="18" t="inlineStr">
        <is>
          <t>LA VIÑA</t>
        </is>
      </c>
    </row>
    <row r="1144">
      <c r="B1144" s="18" t="inlineStr">
        <is>
          <t>00007-LIM</t>
        </is>
      </c>
      <c r="C1144" s="56">
        <f>IFERROR(_xlfn.XLOOKUP(SALIDAS[[#This Row],[CODIGO]],LISTADO[CODIGOS],LISTADO[CATEGORIA]),"NO EXISTE")</f>
        <v/>
      </c>
      <c r="D1144" s="56">
        <f>IFERROR(_xlfn.XLOOKUP(SALIDAS[[#This Row],[CODIGO]],LISTADO[CODIGOS],LISTADO[PRODUCTOS]),"NO EXISTE")</f>
        <v/>
      </c>
      <c r="E1144" s="19" t="n">
        <v>46119</v>
      </c>
      <c r="F1144" s="18" t="n">
        <v>10</v>
      </c>
      <c r="G1144" s="18" t="inlineStr">
        <is>
          <t>LA VIÑA</t>
        </is>
      </c>
    </row>
    <row r="1145">
      <c r="B1145" s="56" t="inlineStr">
        <is>
          <t>00005-LIM</t>
        </is>
      </c>
      <c r="C1145" s="56">
        <f>IFERROR(_xlfn.XLOOKUP(SALIDAS[[#This Row],[CODIGO]],LISTADO[CODIGOS],LISTADO[CATEGORIA]),"NO EXISTE")</f>
        <v/>
      </c>
      <c r="D1145" s="56">
        <f>IFERROR(_xlfn.XLOOKUP(SALIDAS[[#This Row],[CODIGO]],LISTADO[CODIGOS],LISTADO[PRODUCTOS]),"NO EXISTE")</f>
        <v/>
      </c>
      <c r="E1145" s="19" t="n">
        <v>46119</v>
      </c>
      <c r="F1145" s="18" t="n">
        <v>4</v>
      </c>
      <c r="G1145" s="18" t="inlineStr">
        <is>
          <t>LA VIÑA</t>
        </is>
      </c>
    </row>
    <row r="1146">
      <c r="B1146" s="56" t="inlineStr">
        <is>
          <t>00011-LIM</t>
        </is>
      </c>
      <c r="C1146" s="56">
        <f>IFERROR(_xlfn.XLOOKUP(SALIDAS[[#This Row],[CODIGO]],LISTADO[CODIGOS],LISTADO[CATEGORIA]),"NO EXISTE")</f>
        <v/>
      </c>
      <c r="D1146" s="56">
        <f>IFERROR(_xlfn.XLOOKUP(SALIDAS[[#This Row],[CODIGO]],LISTADO[CODIGOS],LISTADO[PRODUCTOS]),"NO EXISTE")</f>
        <v/>
      </c>
      <c r="E1146" s="19" t="n">
        <v>46119</v>
      </c>
      <c r="F1146" s="18" t="n">
        <v>2</v>
      </c>
      <c r="G1146" s="18" t="inlineStr">
        <is>
          <t>LA VIÑA</t>
        </is>
      </c>
    </row>
    <row r="1147">
      <c r="B1147" s="18" t="inlineStr">
        <is>
          <t>00021-LIM</t>
        </is>
      </c>
      <c r="C1147" s="56">
        <f>IFERROR(_xlfn.XLOOKUP(SALIDAS[[#This Row],[CODIGO]],LISTADO[CODIGOS],LISTADO[CATEGORIA]),"NO EXISTE")</f>
        <v/>
      </c>
      <c r="D1147" s="56">
        <f>IFERROR(_xlfn.XLOOKUP(SALIDAS[[#This Row],[CODIGO]],LISTADO[CODIGOS],LISTADO[PRODUCTOS]),"NO EXISTE")</f>
        <v/>
      </c>
      <c r="E1147" s="19" t="n">
        <v>46119</v>
      </c>
      <c r="F1147" s="18" t="n">
        <v>1</v>
      </c>
      <c r="G1147" s="18" t="inlineStr">
        <is>
          <t>LA VIÑA</t>
        </is>
      </c>
    </row>
    <row r="1148">
      <c r="B1148" s="18" t="inlineStr">
        <is>
          <t>00023-LIM</t>
        </is>
      </c>
      <c r="C1148" s="56">
        <f>IFERROR(_xlfn.XLOOKUP(SALIDAS[[#This Row],[CODIGO]],LISTADO[CODIGOS],LISTADO[CATEGORIA]),"NO EXISTE")</f>
        <v/>
      </c>
      <c r="D1148" s="56">
        <f>IFERROR(_xlfn.XLOOKUP(SALIDAS[[#This Row],[CODIGO]],LISTADO[CODIGOS],LISTADO[PRODUCTOS]),"NO EXISTE")</f>
        <v/>
      </c>
      <c r="E1148" s="19" t="n">
        <v>46119</v>
      </c>
      <c r="F1148" s="18" t="n">
        <v>2</v>
      </c>
      <c r="G1148" s="18" t="inlineStr">
        <is>
          <t>LA VIÑA</t>
        </is>
      </c>
    </row>
    <row r="1149">
      <c r="B1149" s="18" t="inlineStr">
        <is>
          <t>00022-LIM</t>
        </is>
      </c>
      <c r="C1149" s="56">
        <f>IFERROR(_xlfn.XLOOKUP(SALIDAS[[#This Row],[CODIGO]],LISTADO[CODIGOS],LISTADO[CATEGORIA]),"NO EXISTE")</f>
        <v/>
      </c>
      <c r="D1149" s="56">
        <f>IFERROR(_xlfn.XLOOKUP(SALIDAS[[#This Row],[CODIGO]],LISTADO[CODIGOS],LISTADO[PRODUCTOS]),"NO EXISTE")</f>
        <v/>
      </c>
      <c r="E1149" s="19" t="n">
        <v>46119</v>
      </c>
      <c r="F1149" s="18" t="n">
        <v>10</v>
      </c>
      <c r="G1149" s="18" t="inlineStr">
        <is>
          <t>LA VIÑA</t>
        </is>
      </c>
    </row>
    <row r="1150">
      <c r="B1150" s="18" t="inlineStr">
        <is>
          <t>00024-LIM</t>
        </is>
      </c>
      <c r="C1150" s="56">
        <f>IFERROR(_xlfn.XLOOKUP(SALIDAS[[#This Row],[CODIGO]],LISTADO[CODIGOS],LISTADO[CATEGORIA]),"NO EXISTE")</f>
        <v/>
      </c>
      <c r="D1150" s="56">
        <f>IFERROR(_xlfn.XLOOKUP(SALIDAS[[#This Row],[CODIGO]],LISTADO[CODIGOS],LISTADO[PRODUCTOS]),"NO EXISTE")</f>
        <v/>
      </c>
      <c r="E1150" s="19" t="n">
        <v>46119</v>
      </c>
      <c r="F1150" s="18" t="n">
        <v>1</v>
      </c>
      <c r="G1150" s="18" t="inlineStr">
        <is>
          <t>LA VIÑA</t>
        </is>
      </c>
    </row>
    <row r="1151">
      <c r="B1151" s="18" t="inlineStr">
        <is>
          <t>00003-MSC</t>
        </is>
      </c>
      <c r="C1151" s="56">
        <f>IFERROR(_xlfn.XLOOKUP(SALIDAS[[#This Row],[CODIGO]],LISTADO[CODIGOS],LISTADO[CATEGORIA]),"NO EXISTE")</f>
        <v/>
      </c>
      <c r="D1151" s="56">
        <f>IFERROR(_xlfn.XLOOKUP(SALIDAS[[#This Row],[CODIGO]],LISTADO[CODIGOS],LISTADO[PRODUCTOS]),"NO EXISTE")</f>
        <v/>
      </c>
      <c r="E1151" s="19" t="n">
        <v>46119</v>
      </c>
      <c r="F1151" s="18" t="n">
        <v>1</v>
      </c>
      <c r="G1151" s="18" t="inlineStr">
        <is>
          <t>LA VIÑA</t>
        </is>
      </c>
    </row>
    <row r="1152">
      <c r="B1152" s="18" t="inlineStr">
        <is>
          <t>00021-MSC</t>
        </is>
      </c>
      <c r="C1152" s="56">
        <f>IFERROR(_xlfn.XLOOKUP(SALIDAS[[#This Row],[CODIGO]],LISTADO[CODIGOS],LISTADO[CATEGORIA]),"NO EXISTE")</f>
        <v/>
      </c>
      <c r="D1152" s="56">
        <f>IFERROR(_xlfn.XLOOKUP(SALIDAS[[#This Row],[CODIGO]],LISTADO[CODIGOS],LISTADO[PRODUCTOS]),"NO EXISTE")</f>
        <v/>
      </c>
      <c r="E1152" s="19" t="n">
        <v>46119</v>
      </c>
      <c r="F1152" s="18" t="n">
        <v>2</v>
      </c>
      <c r="G1152" s="18" t="inlineStr">
        <is>
          <t>LA VIÑA</t>
        </is>
      </c>
    </row>
    <row r="1153">
      <c r="B1153" s="18" t="inlineStr">
        <is>
          <t>00116-HER</t>
        </is>
      </c>
      <c r="C1153" s="56">
        <f>IFERROR(_xlfn.XLOOKUP(SALIDAS[[#This Row],[CODIGO]],LISTADO[CODIGOS],LISTADO[CATEGORIA]),"NO EXISTE")</f>
        <v/>
      </c>
      <c r="D1153" s="56">
        <f>IFERROR(_xlfn.XLOOKUP(SALIDAS[[#This Row],[CODIGO]],LISTADO[CODIGOS],LISTADO[PRODUCTOS]),"NO EXISTE")</f>
        <v/>
      </c>
      <c r="E1153" s="19" t="n">
        <v>46119</v>
      </c>
      <c r="F1153" s="18" t="n">
        <v>1</v>
      </c>
      <c r="G1153" s="18" t="inlineStr">
        <is>
          <t>LA VIÑA</t>
        </is>
      </c>
    </row>
    <row r="1154">
      <c r="B1154" s="18" t="inlineStr">
        <is>
          <t>00050-ELC</t>
        </is>
      </c>
      <c r="C1154" s="56">
        <f>IFERROR(_xlfn.XLOOKUP(SALIDAS[[#This Row],[CODIGO]],LISTADO[CODIGOS],LISTADO[CATEGORIA]),"NO EXISTE")</f>
        <v/>
      </c>
      <c r="D1154" s="56">
        <f>IFERROR(_xlfn.XLOOKUP(SALIDAS[[#This Row],[CODIGO]],LISTADO[CODIGOS],LISTADO[PRODUCTOS]),"NO EXISTE")</f>
        <v/>
      </c>
      <c r="E1154" s="19" t="n">
        <v>46119</v>
      </c>
      <c r="F1154" s="18" t="n">
        <v>2</v>
      </c>
      <c r="G1154" s="18" t="inlineStr">
        <is>
          <t>LA VIÑA</t>
        </is>
      </c>
    </row>
    <row r="1155">
      <c r="B1155" s="18" t="inlineStr">
        <is>
          <t>00051-ELC</t>
        </is>
      </c>
      <c r="C1155" s="56">
        <f>IFERROR(_xlfn.XLOOKUP(SALIDAS[[#This Row],[CODIGO]],LISTADO[CODIGOS],LISTADO[CATEGORIA]),"NO EXISTE")</f>
        <v/>
      </c>
      <c r="D1155" s="56">
        <f>IFERROR(_xlfn.XLOOKUP(SALIDAS[[#This Row],[CODIGO]],LISTADO[CODIGOS],LISTADO[PRODUCTOS]),"NO EXISTE")</f>
        <v/>
      </c>
      <c r="E1155" s="19" t="n">
        <v>46119</v>
      </c>
      <c r="F1155" s="18" t="n">
        <v>3</v>
      </c>
      <c r="G1155" s="18" t="inlineStr">
        <is>
          <t>LA VIÑA</t>
        </is>
      </c>
    </row>
    <row r="1156">
      <c r="B1156" s="18" t="inlineStr">
        <is>
          <t>00052-ELC</t>
        </is>
      </c>
      <c r="C1156" s="56">
        <f>IFERROR(_xlfn.XLOOKUP(SALIDAS[[#This Row],[CODIGO]],LISTADO[CODIGOS],LISTADO[CATEGORIA]),"NO EXISTE")</f>
        <v/>
      </c>
      <c r="D1156" s="56">
        <f>IFERROR(_xlfn.XLOOKUP(SALIDAS[[#This Row],[CODIGO]],LISTADO[CODIGOS],LISTADO[PRODUCTOS]),"NO EXISTE")</f>
        <v/>
      </c>
      <c r="E1156" s="19" t="n">
        <v>46119</v>
      </c>
      <c r="F1156" s="18" t="n">
        <v>1</v>
      </c>
      <c r="G1156" s="18" t="inlineStr">
        <is>
          <t>LA VIÑA</t>
        </is>
      </c>
    </row>
    <row r="1157">
      <c r="B1157" s="18" t="inlineStr">
        <is>
          <t>00072-ELC</t>
        </is>
      </c>
      <c r="C1157" s="56">
        <f>IFERROR(_xlfn.XLOOKUP(SALIDAS[[#This Row],[CODIGO]],LISTADO[CODIGOS],LISTADO[CATEGORIA]),"NO EXISTE")</f>
        <v/>
      </c>
      <c r="D1157" s="56">
        <f>IFERROR(_xlfn.XLOOKUP(SALIDAS[[#This Row],[CODIGO]],LISTADO[CODIGOS],LISTADO[PRODUCTOS]),"NO EXISTE")</f>
        <v/>
      </c>
      <c r="E1157" s="19" t="n">
        <v>46119</v>
      </c>
      <c r="F1157" s="18" t="n">
        <v>1</v>
      </c>
      <c r="G1157" s="18" t="inlineStr">
        <is>
          <t>LA VIÑA</t>
        </is>
      </c>
    </row>
    <row r="1158">
      <c r="B1158" s="56" t="inlineStr">
        <is>
          <t>00024-ELC</t>
        </is>
      </c>
      <c r="C1158" s="56">
        <f>IFERROR(_xlfn.XLOOKUP(SALIDAS[[#This Row],[CODIGO]],LISTADO[CODIGOS],LISTADO[CATEGORIA]),"NO EXISTE")</f>
        <v/>
      </c>
      <c r="D1158" s="56">
        <f>IFERROR(_xlfn.XLOOKUP(SALIDAS[[#This Row],[CODIGO]],LISTADO[CODIGOS],LISTADO[PRODUCTOS]),"NO EXISTE")</f>
        <v/>
      </c>
      <c r="E1158" s="19" t="n">
        <v>46119</v>
      </c>
      <c r="F1158" s="18" t="n">
        <v>2</v>
      </c>
      <c r="G1158" s="18" t="inlineStr">
        <is>
          <t>LA VIÑA</t>
        </is>
      </c>
    </row>
    <row r="1159">
      <c r="B1159" s="18" t="inlineStr">
        <is>
          <t>00057-ELC</t>
        </is>
      </c>
      <c r="C1159" s="56">
        <f>IFERROR(_xlfn.XLOOKUP(SALIDAS[[#This Row],[CODIGO]],LISTADO[CODIGOS],LISTADO[CATEGORIA]),"NO EXISTE")</f>
        <v/>
      </c>
      <c r="D1159" s="56">
        <f>IFERROR(_xlfn.XLOOKUP(SALIDAS[[#This Row],[CODIGO]],LISTADO[CODIGOS],LISTADO[PRODUCTOS]),"NO EXISTE")</f>
        <v/>
      </c>
      <c r="E1159" s="19" t="n">
        <v>46119</v>
      </c>
      <c r="F1159" s="18" t="n">
        <v>1</v>
      </c>
      <c r="G1159" s="18" t="inlineStr">
        <is>
          <t>LA VIÑA</t>
        </is>
      </c>
    </row>
    <row r="1160">
      <c r="B1160" s="18" t="inlineStr">
        <is>
          <t>00058-ELC</t>
        </is>
      </c>
      <c r="C1160" s="56">
        <f>IFERROR(_xlfn.XLOOKUP(SALIDAS[[#This Row],[CODIGO]],LISTADO[CODIGOS],LISTADO[CATEGORIA]),"NO EXISTE")</f>
        <v/>
      </c>
      <c r="D1160" s="56">
        <f>IFERROR(_xlfn.XLOOKUP(SALIDAS[[#This Row],[CODIGO]],LISTADO[CODIGOS],LISTADO[PRODUCTOS]),"NO EXISTE")</f>
        <v/>
      </c>
      <c r="E1160" s="19" t="n">
        <v>46119</v>
      </c>
      <c r="F1160" s="18" t="n">
        <v>1</v>
      </c>
      <c r="G1160" s="18" t="inlineStr">
        <is>
          <t>LA VIÑA</t>
        </is>
      </c>
    </row>
    <row r="1161">
      <c r="B1161" s="18" t="inlineStr">
        <is>
          <t>00056-ELC</t>
        </is>
      </c>
      <c r="C1161" s="56">
        <f>IFERROR(_xlfn.XLOOKUP(SALIDAS[[#This Row],[CODIGO]],LISTADO[CODIGOS],LISTADO[CATEGORIA]),"NO EXISTE")</f>
        <v/>
      </c>
      <c r="D1161" s="56">
        <f>IFERROR(_xlfn.XLOOKUP(SALIDAS[[#This Row],[CODIGO]],LISTADO[CODIGOS],LISTADO[PRODUCTOS]),"NO EXISTE")</f>
        <v/>
      </c>
      <c r="E1161" s="19" t="n">
        <v>46119</v>
      </c>
      <c r="F1161" s="18" t="n">
        <v>1</v>
      </c>
      <c r="G1161" s="18" t="inlineStr">
        <is>
          <t>LA VIÑA</t>
        </is>
      </c>
    </row>
    <row r="1162">
      <c r="B1162" s="18" t="inlineStr">
        <is>
          <t>00060-ELC</t>
        </is>
      </c>
      <c r="C1162" s="56">
        <f>IFERROR(_xlfn.XLOOKUP(SALIDAS[[#This Row],[CODIGO]],LISTADO[CODIGOS],LISTADO[CATEGORIA]),"NO EXISTE")</f>
        <v/>
      </c>
      <c r="D1162" s="56">
        <f>IFERROR(_xlfn.XLOOKUP(SALIDAS[[#This Row],[CODIGO]],LISTADO[CODIGOS],LISTADO[PRODUCTOS]),"NO EXISTE")</f>
        <v/>
      </c>
      <c r="E1162" s="19" t="n">
        <v>46119</v>
      </c>
      <c r="F1162" s="18" t="n">
        <v>2</v>
      </c>
      <c r="G1162" s="18" t="inlineStr">
        <is>
          <t>LA VIÑA</t>
        </is>
      </c>
    </row>
    <row r="1163">
      <c r="B1163" s="18" t="inlineStr">
        <is>
          <t>00196-FER</t>
        </is>
      </c>
      <c r="C1163" s="56">
        <f>IFERROR(_xlfn.XLOOKUP(SALIDAS[[#This Row],[CODIGO]],LISTADO[CODIGOS],LISTADO[CATEGORIA]),"NO EXISTE")</f>
        <v/>
      </c>
      <c r="D1163" s="56">
        <f>IFERROR(_xlfn.XLOOKUP(SALIDAS[[#This Row],[CODIGO]],LISTADO[CODIGOS],LISTADO[PRODUCTOS]),"NO EXISTE")</f>
        <v/>
      </c>
      <c r="E1163" s="19" t="n">
        <v>46119</v>
      </c>
      <c r="F1163" s="18" t="n">
        <v>2</v>
      </c>
      <c r="G1163" s="18" t="inlineStr">
        <is>
          <t>LA VIÑA</t>
        </is>
      </c>
    </row>
    <row r="1164">
      <c r="B1164" s="56" t="inlineStr">
        <is>
          <t>00018-MSC</t>
        </is>
      </c>
      <c r="C1164" s="56">
        <f>IFERROR(_xlfn.XLOOKUP(SALIDAS[[#This Row],[CODIGO]],LISTADO[CODIGOS],LISTADO[CATEGORIA]),"NO EXISTE")</f>
        <v/>
      </c>
      <c r="D1164" s="56">
        <f>IFERROR(_xlfn.XLOOKUP(SALIDAS[[#This Row],[CODIGO]],LISTADO[CODIGOS],LISTADO[PRODUCTOS]),"NO EXISTE")</f>
        <v/>
      </c>
      <c r="E1164" s="19" t="n">
        <v>46119</v>
      </c>
      <c r="F1164" s="18" t="n">
        <v>1</v>
      </c>
      <c r="G1164" s="18" t="inlineStr">
        <is>
          <t>LA VIÑA</t>
        </is>
      </c>
    </row>
    <row r="1165">
      <c r="B1165" s="56" t="inlineStr">
        <is>
          <t>00001-REF</t>
        </is>
      </c>
      <c r="C1165" s="56">
        <f>IFERROR(_xlfn.XLOOKUP(SALIDAS[[#This Row],[CODIGO]],LISTADO[CODIGOS],LISTADO[CATEGORIA]),"NO EXISTE")</f>
        <v/>
      </c>
      <c r="D1165" s="56">
        <f>IFERROR(_xlfn.XLOOKUP(SALIDAS[[#This Row],[CODIGO]],LISTADO[CODIGOS],LISTADO[PRODUCTOS]),"NO EXISTE")</f>
        <v/>
      </c>
      <c r="E1165" s="19" t="n">
        <v>46119</v>
      </c>
      <c r="F1165" s="18" t="n">
        <v>1</v>
      </c>
      <c r="G1165" s="18" t="inlineStr">
        <is>
          <t xml:space="preserve">EL BOSQUE </t>
        </is>
      </c>
    </row>
    <row r="1166">
      <c r="B1166" s="56" t="inlineStr">
        <is>
          <t>00019-PLM</t>
        </is>
      </c>
      <c r="C1166" s="56">
        <f>IFERROR(_xlfn.XLOOKUP(SALIDAS[[#This Row],[CODIGO]],LISTADO[CODIGOS],LISTADO[CATEGORIA]),"NO EXISTE")</f>
        <v/>
      </c>
      <c r="D1166" s="56">
        <f>IFERROR(_xlfn.XLOOKUP(SALIDAS[[#This Row],[CODIGO]],LISTADO[CODIGOS],LISTADO[PRODUCTOS]),"NO EXISTE")</f>
        <v/>
      </c>
      <c r="E1166" s="19" t="n">
        <v>46119</v>
      </c>
      <c r="F1166" s="18" t="n">
        <v>2</v>
      </c>
      <c r="G1166" s="18" t="inlineStr">
        <is>
          <t>NAGUANAGUA 3</t>
        </is>
      </c>
    </row>
    <row r="1167">
      <c r="B1167" s="56" t="inlineStr">
        <is>
          <t>00026-LIM</t>
        </is>
      </c>
      <c r="C1167" s="56">
        <f>IFERROR(_xlfn.XLOOKUP(SALIDAS[[#This Row],[CODIGO]],LISTADO[CODIGOS],LISTADO[CATEGORIA]),"NO EXISTE")</f>
        <v/>
      </c>
      <c r="D1167" s="56">
        <f>IFERROR(_xlfn.XLOOKUP(SALIDAS[[#This Row],[CODIGO]],LISTADO[CODIGOS],LISTADO[PRODUCTOS]),"NO EXISTE")</f>
        <v/>
      </c>
      <c r="E1167" s="19" t="n">
        <v>46120</v>
      </c>
      <c r="F1167" s="18" t="n">
        <v>100</v>
      </c>
      <c r="G1167" s="18" t="inlineStr">
        <is>
          <t>LA VIÑA</t>
        </is>
      </c>
    </row>
    <row r="1168">
      <c r="B1168" s="56" t="inlineStr">
        <is>
          <t>00027-LIM</t>
        </is>
      </c>
      <c r="C1168" s="56">
        <f>IFERROR(_xlfn.XLOOKUP(SALIDAS[[#This Row],[CODIGO]],LISTADO[CODIGOS],LISTADO[CATEGORIA]),"NO EXISTE")</f>
        <v/>
      </c>
      <c r="D1168" s="56">
        <f>IFERROR(_xlfn.XLOOKUP(SALIDAS[[#This Row],[CODIGO]],LISTADO[CODIGOS],LISTADO[PRODUCTOS]),"NO EXISTE")</f>
        <v/>
      </c>
      <c r="E1168" s="19" t="n">
        <v>46120</v>
      </c>
      <c r="F1168" s="18" t="n">
        <v>100</v>
      </c>
      <c r="G1168" s="18" t="inlineStr">
        <is>
          <t>LA VIÑA</t>
        </is>
      </c>
    </row>
    <row r="1169">
      <c r="B1169" s="18" t="inlineStr">
        <is>
          <t>00075-ELE</t>
        </is>
      </c>
      <c r="C1169" s="56">
        <f>IFERROR(_xlfn.XLOOKUP(SALIDAS[[#This Row],[CODIGO]],LISTADO[CODIGOS],LISTADO[CATEGORIA]),"NO EXISTE")</f>
        <v/>
      </c>
      <c r="D1169" s="56">
        <f>IFERROR(_xlfn.XLOOKUP(SALIDAS[[#This Row],[CODIGO]],LISTADO[CODIGOS],LISTADO[PRODUCTOS]),"NO EXISTE")</f>
        <v/>
      </c>
      <c r="E1169" s="19" t="n">
        <v>46120</v>
      </c>
      <c r="F1169" s="18" t="n">
        <v>10</v>
      </c>
      <c r="G1169" s="18" t="inlineStr">
        <is>
          <t>LA VIÑA</t>
        </is>
      </c>
    </row>
    <row r="1170">
      <c r="B1170" s="18" t="inlineStr">
        <is>
          <t>00066-ELE</t>
        </is>
      </c>
      <c r="C1170" s="56">
        <f>IFERROR(_xlfn.XLOOKUP(SALIDAS[[#This Row],[CODIGO]],LISTADO[CODIGOS],LISTADO[CATEGORIA]),"NO EXISTE")</f>
        <v/>
      </c>
      <c r="D1170" s="56">
        <f>IFERROR(_xlfn.XLOOKUP(SALIDAS[[#This Row],[CODIGO]],LISTADO[CODIGOS],LISTADO[PRODUCTOS]),"NO EXISTE")</f>
        <v/>
      </c>
      <c r="E1170" s="19" t="n">
        <v>46120</v>
      </c>
      <c r="F1170" s="18" t="n">
        <v>2</v>
      </c>
      <c r="G1170" s="18" t="inlineStr">
        <is>
          <t>LA VIÑA</t>
        </is>
      </c>
    </row>
    <row r="1171">
      <c r="B1171" s="18" t="inlineStr">
        <is>
          <t>00020-LIM</t>
        </is>
      </c>
      <c r="C1171" s="56">
        <f>IFERROR(_xlfn.XLOOKUP(SALIDAS[[#This Row],[CODIGO]],LISTADO[CODIGOS],LISTADO[CATEGORIA]),"NO EXISTE")</f>
        <v/>
      </c>
      <c r="D1171" s="56">
        <f>IFERROR(_xlfn.XLOOKUP(SALIDAS[[#This Row],[CODIGO]],LISTADO[CODIGOS],LISTADO[PRODUCTOS]),"NO EXISTE")</f>
        <v/>
      </c>
      <c r="E1171" s="19" t="n">
        <v>46120</v>
      </c>
      <c r="F1171" s="18" t="n">
        <v>1</v>
      </c>
      <c r="G1171" s="18" t="inlineStr">
        <is>
          <t>LA VIÑA</t>
        </is>
      </c>
    </row>
    <row r="1172">
      <c r="B1172" s="56" t="inlineStr">
        <is>
          <t>00052-FER</t>
        </is>
      </c>
      <c r="C1172" s="56">
        <f>IFERROR(_xlfn.XLOOKUP(SALIDAS[[#This Row],[CODIGO]],LISTADO[CODIGOS],LISTADO[CATEGORIA]),"NO EXISTE")</f>
        <v/>
      </c>
      <c r="D1172" s="56">
        <f>IFERROR(_xlfn.XLOOKUP(SALIDAS[[#This Row],[CODIGO]],LISTADO[CODIGOS],LISTADO[PRODUCTOS]),"NO EXISTE")</f>
        <v/>
      </c>
      <c r="E1172" s="19" t="n">
        <v>46120</v>
      </c>
      <c r="F1172" s="18" t="n">
        <v>0.5</v>
      </c>
      <c r="G1172" s="18" t="inlineStr">
        <is>
          <t>LAS FERIAS</t>
        </is>
      </c>
    </row>
    <row r="1173">
      <c r="B1173" s="56" t="inlineStr">
        <is>
          <t>00006-LIM</t>
        </is>
      </c>
      <c r="C1173" s="56">
        <f>IFERROR(_xlfn.XLOOKUP(SALIDAS[[#This Row],[CODIGO]],LISTADO[CODIGOS],LISTADO[CATEGORIA]),"NO EXISTE")</f>
        <v/>
      </c>
      <c r="D1173" s="56">
        <f>IFERROR(_xlfn.XLOOKUP(SALIDAS[[#This Row],[CODIGO]],LISTADO[CODIGOS],LISTADO[PRODUCTOS]),"NO EXISTE")</f>
        <v/>
      </c>
      <c r="E1173" s="19" t="n">
        <v>46120</v>
      </c>
      <c r="F1173" s="18" t="n">
        <v>3</v>
      </c>
      <c r="G1173" s="18" t="inlineStr">
        <is>
          <t>LA VIÑA</t>
        </is>
      </c>
    </row>
    <row r="1174">
      <c r="B1174" s="18" t="inlineStr">
        <is>
          <t>00049-ILU</t>
        </is>
      </c>
      <c r="C1174" s="56">
        <f>IFERROR(_xlfn.XLOOKUP(SALIDAS[[#This Row],[CODIGO]],LISTADO[CODIGOS],LISTADO[CATEGORIA]),"NO EXISTE")</f>
        <v/>
      </c>
      <c r="D1174" s="56">
        <f>IFERROR(_xlfn.XLOOKUP(SALIDAS[[#This Row],[CODIGO]],LISTADO[CODIGOS],LISTADO[PRODUCTOS]),"NO EXISTE")</f>
        <v/>
      </c>
      <c r="E1174" s="19" t="n">
        <v>46120</v>
      </c>
      <c r="F1174" s="18" t="n">
        <v>5</v>
      </c>
      <c r="G1174" s="18" t="inlineStr">
        <is>
          <t>NAGUANAGUA 1</t>
        </is>
      </c>
    </row>
    <row r="1175">
      <c r="B1175" s="56" t="inlineStr">
        <is>
          <t>00017-MSC</t>
        </is>
      </c>
      <c r="C1175" s="56">
        <f>IFERROR(_xlfn.XLOOKUP(SALIDAS[[#This Row],[CODIGO]],LISTADO[CODIGOS],LISTADO[CATEGORIA]),"NO EXISTE")</f>
        <v/>
      </c>
      <c r="D1175" s="56">
        <f>IFERROR(_xlfn.XLOOKUP(SALIDAS[[#This Row],[CODIGO]],LISTADO[CODIGOS],LISTADO[PRODUCTOS]),"NO EXISTE")</f>
        <v/>
      </c>
      <c r="E1175" s="19" t="n">
        <v>46120</v>
      </c>
      <c r="F1175" s="18" t="n">
        <v>2</v>
      </c>
      <c r="G1175" s="18" t="inlineStr">
        <is>
          <t>NAGUANAGUA 1</t>
        </is>
      </c>
    </row>
    <row r="1176">
      <c r="B1176" s="56" t="inlineStr">
        <is>
          <t>00021-ELE</t>
        </is>
      </c>
      <c r="C1176" s="56">
        <f>IFERROR(_xlfn.XLOOKUP(SALIDAS[[#This Row],[CODIGO]],LISTADO[CODIGOS],LISTADO[CATEGORIA]),"NO EXISTE")</f>
        <v/>
      </c>
      <c r="D1176" s="56">
        <f>IFERROR(_xlfn.XLOOKUP(SALIDAS[[#This Row],[CODIGO]],LISTADO[CODIGOS],LISTADO[PRODUCTOS]),"NO EXISTE")</f>
        <v/>
      </c>
      <c r="E1176" s="19" t="n">
        <v>46120</v>
      </c>
      <c r="F1176" s="18" t="n">
        <v>8</v>
      </c>
      <c r="G1176" s="18" t="inlineStr">
        <is>
          <t>NAGUANAGUA 3</t>
        </is>
      </c>
    </row>
    <row r="1177">
      <c r="B1177" s="18" t="inlineStr">
        <is>
          <t>00200-FER</t>
        </is>
      </c>
      <c r="C1177" s="56">
        <f>IFERROR(_xlfn.XLOOKUP(SALIDAS[[#This Row],[CODIGO]],LISTADO[CODIGOS],LISTADO[CATEGORIA]),"NO EXISTE")</f>
        <v/>
      </c>
      <c r="D1177" s="56">
        <f>IFERROR(_xlfn.XLOOKUP(SALIDAS[[#This Row],[CODIGO]],LISTADO[CODIGOS],LISTADO[PRODUCTOS]),"NO EXISTE")</f>
        <v/>
      </c>
      <c r="E1177" s="19" t="n">
        <v>46121</v>
      </c>
      <c r="F1177" s="18" t="n">
        <v>100</v>
      </c>
      <c r="G1177" s="18" t="inlineStr">
        <is>
          <t>LA VIÑA</t>
        </is>
      </c>
    </row>
    <row r="1178">
      <c r="B1178" s="18" t="inlineStr">
        <is>
          <t>00118-HER</t>
        </is>
      </c>
      <c r="C1178" s="56">
        <f>IFERROR(_xlfn.XLOOKUP(SALIDAS[[#This Row],[CODIGO]],LISTADO[CODIGOS],LISTADO[CATEGORIA]),"NO EXISTE")</f>
        <v/>
      </c>
      <c r="D1178" s="56">
        <f>IFERROR(_xlfn.XLOOKUP(SALIDAS[[#This Row],[CODIGO]],LISTADO[CODIGOS],LISTADO[PRODUCTOS]),"NO EXISTE")</f>
        <v/>
      </c>
      <c r="E1178" s="19" t="n">
        <v>46121</v>
      </c>
      <c r="F1178" s="18" t="n">
        <v>1</v>
      </c>
      <c r="G1178" s="18" t="inlineStr">
        <is>
          <t xml:space="preserve">CEDI SECO </t>
        </is>
      </c>
    </row>
    <row r="1179">
      <c r="B1179" s="18" t="inlineStr">
        <is>
          <t>00066-HRR</t>
        </is>
      </c>
      <c r="C1179" s="56">
        <f>IFERROR(_xlfn.XLOOKUP(SALIDAS[[#This Row],[CODIGO]],LISTADO[CODIGOS],LISTADO[CATEGORIA]),"NO EXISTE")</f>
        <v/>
      </c>
      <c r="D1179" s="56">
        <f>IFERROR(_xlfn.XLOOKUP(SALIDAS[[#This Row],[CODIGO]],LISTADO[CODIGOS],LISTADO[PRODUCTOS]),"NO EXISTE")</f>
        <v/>
      </c>
      <c r="E1179" s="19" t="n">
        <v>46121</v>
      </c>
      <c r="F1179" s="18" t="n">
        <v>1</v>
      </c>
      <c r="G1179" s="18" t="inlineStr">
        <is>
          <t xml:space="preserve">CEDI SECO </t>
        </is>
      </c>
    </row>
    <row r="1180">
      <c r="B1180" s="56" t="inlineStr">
        <is>
          <t>00099-HER</t>
        </is>
      </c>
      <c r="C1180" s="56">
        <f>IFERROR(_xlfn.XLOOKUP(SALIDAS[[#This Row],[CODIGO]],LISTADO[CODIGOS],LISTADO[CATEGORIA]),"NO EXISTE")</f>
        <v/>
      </c>
      <c r="D1180" s="56">
        <f>IFERROR(_xlfn.XLOOKUP(SALIDAS[[#This Row],[CODIGO]],LISTADO[CODIGOS],LISTADO[PRODUCTOS]),"NO EXISTE")</f>
        <v/>
      </c>
      <c r="E1180" s="19" t="n">
        <v>46121</v>
      </c>
      <c r="F1180" s="18" t="n">
        <v>1</v>
      </c>
      <c r="G1180" s="18" t="inlineStr">
        <is>
          <t xml:space="preserve">CEDI SECO </t>
        </is>
      </c>
    </row>
    <row r="1181">
      <c r="B1181" s="18" t="inlineStr">
        <is>
          <t>00119-HER</t>
        </is>
      </c>
      <c r="C1181" s="56">
        <f>IFERROR(_xlfn.XLOOKUP(SALIDAS[[#This Row],[CODIGO]],LISTADO[CODIGOS],LISTADO[CATEGORIA]),"NO EXISTE")</f>
        <v/>
      </c>
      <c r="D1181" s="56">
        <f>IFERROR(_xlfn.XLOOKUP(SALIDAS[[#This Row],[CODIGO]],LISTADO[CODIGOS],LISTADO[PRODUCTOS]),"NO EXISTE")</f>
        <v/>
      </c>
      <c r="E1181" s="19" t="n">
        <v>46121</v>
      </c>
      <c r="F1181" s="18" t="n">
        <v>1</v>
      </c>
      <c r="G1181" s="18" t="inlineStr">
        <is>
          <t xml:space="preserve">CEDI SECO </t>
        </is>
      </c>
    </row>
    <row r="1182">
      <c r="B1182" s="18" t="inlineStr">
        <is>
          <t>00120-HER</t>
        </is>
      </c>
      <c r="C1182" s="56">
        <f>IFERROR(_xlfn.XLOOKUP(SALIDAS[[#This Row],[CODIGO]],LISTADO[CODIGOS],LISTADO[CATEGORIA]),"NO EXISTE")</f>
        <v/>
      </c>
      <c r="D1182" s="56">
        <f>IFERROR(_xlfn.XLOOKUP(SALIDAS[[#This Row],[CODIGO]],LISTADO[CODIGOS],LISTADO[PRODUCTOS]),"NO EXISTE")</f>
        <v/>
      </c>
      <c r="E1182" s="19" t="n">
        <v>46121</v>
      </c>
      <c r="F1182" s="18" t="n">
        <v>1</v>
      </c>
      <c r="G1182" s="18" t="inlineStr">
        <is>
          <t xml:space="preserve">CEDI SECO </t>
        </is>
      </c>
    </row>
    <row r="1183">
      <c r="B1183" s="18" t="inlineStr">
        <is>
          <t>00058-ELC</t>
        </is>
      </c>
      <c r="C1183" s="56">
        <f>IFERROR(_xlfn.XLOOKUP(SALIDAS[[#This Row],[CODIGO]],LISTADO[CODIGOS],LISTADO[CATEGORIA]),"NO EXISTE")</f>
        <v/>
      </c>
      <c r="D1183" s="56">
        <f>IFERROR(_xlfn.XLOOKUP(SALIDAS[[#This Row],[CODIGO]],LISTADO[CODIGOS],LISTADO[PRODUCTOS]),"NO EXISTE")</f>
        <v/>
      </c>
      <c r="E1183" s="19" t="n">
        <v>46121</v>
      </c>
      <c r="F1183" s="18" t="n">
        <v>4</v>
      </c>
      <c r="G1183" s="18" t="inlineStr">
        <is>
          <t>LA VIÑA</t>
        </is>
      </c>
    </row>
    <row r="1184">
      <c r="B1184" s="18" t="inlineStr">
        <is>
          <t>00201-FER</t>
        </is>
      </c>
      <c r="C1184" s="56">
        <f>IFERROR(_xlfn.XLOOKUP(SALIDAS[[#This Row],[CODIGO]],LISTADO[CODIGOS],LISTADO[CATEGORIA]),"NO EXISTE")</f>
        <v/>
      </c>
      <c r="D1184" s="56">
        <f>IFERROR(_xlfn.XLOOKUP(SALIDAS[[#This Row],[CODIGO]],LISTADO[CODIGOS],LISTADO[PRODUCTOS]),"NO EXISTE")</f>
        <v/>
      </c>
      <c r="E1184" s="19" t="n">
        <v>46121</v>
      </c>
      <c r="F1184" s="18" t="n">
        <v>6</v>
      </c>
      <c r="G1184" s="18" t="inlineStr">
        <is>
          <t>ISABELICA</t>
        </is>
      </c>
    </row>
    <row r="1185">
      <c r="B1185" s="56" t="inlineStr">
        <is>
          <t>00001-FER</t>
        </is>
      </c>
      <c r="C1185" s="56">
        <f>IFERROR(_xlfn.XLOOKUP(SALIDAS[[#This Row],[CODIGO]],LISTADO[CODIGOS],LISTADO[CATEGORIA]),"NO EXISTE")</f>
        <v/>
      </c>
      <c r="D1185" s="56">
        <f>IFERROR(_xlfn.XLOOKUP(SALIDAS[[#This Row],[CODIGO]],LISTADO[CODIGOS],LISTADO[PRODUCTOS]),"NO EXISTE")</f>
        <v/>
      </c>
      <c r="E1185" s="19" t="n">
        <v>46121</v>
      </c>
      <c r="F1185" s="18" t="n">
        <v>50</v>
      </c>
      <c r="G1185" s="18" t="inlineStr">
        <is>
          <t>ISABELICA</t>
        </is>
      </c>
    </row>
    <row r="1186">
      <c r="B1186" s="56" t="inlineStr">
        <is>
          <t>00008-HRR</t>
        </is>
      </c>
      <c r="C1186" s="56">
        <f>IFERROR(_xlfn.XLOOKUP(SALIDAS[[#This Row],[CODIGO]],LISTADO[CODIGOS],LISTADO[CATEGORIA]),"NO EXISTE")</f>
        <v/>
      </c>
      <c r="D1186" s="56">
        <f>IFERROR(_xlfn.XLOOKUP(SALIDAS[[#This Row],[CODIGO]],LISTADO[CODIGOS],LISTADO[PRODUCTOS]),"NO EXISTE")</f>
        <v/>
      </c>
      <c r="E1186" s="19" t="n">
        <v>46121</v>
      </c>
      <c r="F1186" s="18" t="n">
        <v>50</v>
      </c>
      <c r="G1186" s="18" t="inlineStr">
        <is>
          <t>ISABELICA</t>
        </is>
      </c>
    </row>
    <row r="1187">
      <c r="B1187" s="56" t="inlineStr">
        <is>
          <t>00040-PLM</t>
        </is>
      </c>
      <c r="C1187" s="56">
        <f>IFERROR(_xlfn.XLOOKUP(SALIDAS[[#This Row],[CODIGO]],LISTADO[CODIGOS],LISTADO[CATEGORIA]),"NO EXISTE")</f>
        <v/>
      </c>
      <c r="D1187" s="56">
        <f>IFERROR(_xlfn.XLOOKUP(SALIDAS[[#This Row],[CODIGO]],LISTADO[CODIGOS],LISTADO[PRODUCTOS]),"NO EXISTE")</f>
        <v/>
      </c>
      <c r="E1187" s="19" t="n">
        <v>46121</v>
      </c>
      <c r="F1187" s="18" t="n">
        <v>12</v>
      </c>
      <c r="G1187" s="18" t="inlineStr">
        <is>
          <t>ISABELICA</t>
        </is>
      </c>
    </row>
    <row r="1188">
      <c r="B1188" s="56" t="inlineStr">
        <is>
          <t>00018-PLM</t>
        </is>
      </c>
      <c r="C1188" s="56">
        <f>IFERROR(_xlfn.XLOOKUP(SALIDAS[[#This Row],[CODIGO]],LISTADO[CODIGOS],LISTADO[CATEGORIA]),"NO EXISTE")</f>
        <v/>
      </c>
      <c r="D1188" s="56">
        <f>IFERROR(_xlfn.XLOOKUP(SALIDAS[[#This Row],[CODIGO]],LISTADO[CODIGOS],LISTADO[PRODUCTOS]),"NO EXISTE")</f>
        <v/>
      </c>
      <c r="E1188" s="19" t="n">
        <v>46121</v>
      </c>
      <c r="F1188" s="18" t="n">
        <v>8</v>
      </c>
      <c r="G1188" s="18" t="inlineStr">
        <is>
          <t>ISABELICA</t>
        </is>
      </c>
    </row>
    <row r="1189">
      <c r="B1189" s="18" t="inlineStr">
        <is>
          <t>00082-ELE</t>
        </is>
      </c>
      <c r="C1189" s="56">
        <f>IFERROR(_xlfn.XLOOKUP(SALIDAS[[#This Row],[CODIGO]],LISTADO[CODIGOS],LISTADO[CATEGORIA]),"NO EXISTE")</f>
        <v/>
      </c>
      <c r="D1189" s="56">
        <f>IFERROR(_xlfn.XLOOKUP(SALIDAS[[#This Row],[CODIGO]],LISTADO[CODIGOS],LISTADO[PRODUCTOS]),"NO EXISTE")</f>
        <v/>
      </c>
      <c r="E1189" s="19" t="n">
        <v>46121</v>
      </c>
      <c r="F1189" s="18" t="n">
        <v>30</v>
      </c>
      <c r="G1189" s="18" t="inlineStr">
        <is>
          <t>ISABELICA</t>
        </is>
      </c>
    </row>
    <row r="1190">
      <c r="B1190" s="18" t="inlineStr">
        <is>
          <t>00079-ELE</t>
        </is>
      </c>
      <c r="C1190" s="56">
        <f>IFERROR(_xlfn.XLOOKUP(SALIDAS[[#This Row],[CODIGO]],LISTADO[CODIGOS],LISTADO[CATEGORIA]),"NO EXISTE")</f>
        <v/>
      </c>
      <c r="D1190" s="56">
        <f>IFERROR(_xlfn.XLOOKUP(SALIDAS[[#This Row],[CODIGO]],LISTADO[CODIGOS],LISTADO[PRODUCTOS]),"NO EXISTE")</f>
        <v/>
      </c>
      <c r="E1190" s="19" t="n">
        <v>46121</v>
      </c>
      <c r="F1190" s="18" t="n">
        <v>5</v>
      </c>
      <c r="G1190" s="18" t="inlineStr">
        <is>
          <t>ISABELICA</t>
        </is>
      </c>
    </row>
    <row r="1191">
      <c r="B1191" s="18" t="inlineStr">
        <is>
          <t>00202-FER</t>
        </is>
      </c>
      <c r="C1191" s="56">
        <f>IFERROR(_xlfn.XLOOKUP(SALIDAS[[#This Row],[CODIGO]],LISTADO[CODIGOS],LISTADO[CATEGORIA]),"NO EXISTE")</f>
        <v/>
      </c>
      <c r="D1191" s="56">
        <f>IFERROR(_xlfn.XLOOKUP(SALIDAS[[#This Row],[CODIGO]],LISTADO[CODIGOS],LISTADO[PRODUCTOS]),"NO EXISTE")</f>
        <v/>
      </c>
      <c r="E1191" s="19" t="n">
        <v>46121</v>
      </c>
      <c r="F1191" s="18" t="n">
        <v>20</v>
      </c>
      <c r="G1191" s="18" t="inlineStr">
        <is>
          <t>ISABELICA</t>
        </is>
      </c>
    </row>
    <row r="1192">
      <c r="B1192" s="56" t="inlineStr">
        <is>
          <t>00097-FER</t>
        </is>
      </c>
      <c r="C1192" s="56">
        <f>IFERROR(_xlfn.XLOOKUP(SALIDAS[[#This Row],[CODIGO]],LISTADO[CODIGOS],LISTADO[CATEGORIA]),"NO EXISTE")</f>
        <v/>
      </c>
      <c r="D1192" s="56">
        <f>IFERROR(_xlfn.XLOOKUP(SALIDAS[[#This Row],[CODIGO]],LISTADO[CODIGOS],LISTADO[PRODUCTOS]),"NO EXISTE")</f>
        <v/>
      </c>
      <c r="E1192" s="19" t="n">
        <v>46121</v>
      </c>
      <c r="F1192" s="18" t="n">
        <v>12</v>
      </c>
      <c r="G1192" s="18" t="inlineStr">
        <is>
          <t>ISABELICA</t>
        </is>
      </c>
    </row>
    <row r="1193">
      <c r="B1193" s="56" t="inlineStr">
        <is>
          <t>00031-HRR</t>
        </is>
      </c>
      <c r="C1193" s="56">
        <f>IFERROR(_xlfn.XLOOKUP(SALIDAS[[#This Row],[CODIGO]],LISTADO[CODIGOS],LISTADO[CATEGORIA]),"NO EXISTE")</f>
        <v/>
      </c>
      <c r="D1193" s="56">
        <f>IFERROR(_xlfn.XLOOKUP(SALIDAS[[#This Row],[CODIGO]],LISTADO[CODIGOS],LISTADO[PRODUCTOS]),"NO EXISTE")</f>
        <v/>
      </c>
      <c r="E1193" s="19" t="n">
        <v>46121</v>
      </c>
      <c r="F1193" s="18" t="n">
        <v>12</v>
      </c>
      <c r="G1193" s="18" t="inlineStr">
        <is>
          <t>ISABELICA</t>
        </is>
      </c>
    </row>
    <row r="1194">
      <c r="B1194" s="56" t="inlineStr">
        <is>
          <t>00003-ELE</t>
        </is>
      </c>
      <c r="C1194" s="56">
        <f>IFERROR(_xlfn.XLOOKUP(SALIDAS[[#This Row],[CODIGO]],LISTADO[CODIGOS],LISTADO[CATEGORIA]),"NO EXISTE")</f>
        <v/>
      </c>
      <c r="D1194" s="56">
        <f>IFERROR(_xlfn.XLOOKUP(SALIDAS[[#This Row],[CODIGO]],LISTADO[CODIGOS],LISTADO[PRODUCTOS]),"NO EXISTE")</f>
        <v/>
      </c>
      <c r="E1194" s="19" t="n">
        <v>46121</v>
      </c>
      <c r="F1194" s="18" t="n">
        <v>76</v>
      </c>
      <c r="G1194" s="18" t="inlineStr">
        <is>
          <t>ISABELICA</t>
        </is>
      </c>
    </row>
    <row r="1195">
      <c r="B1195" s="56" t="inlineStr">
        <is>
          <t>00001-REF</t>
        </is>
      </c>
      <c r="C1195" s="56">
        <f>IFERROR(_xlfn.XLOOKUP(SALIDAS[[#This Row],[CODIGO]],LISTADO[CODIGOS],LISTADO[CATEGORIA]),"NO EXISTE")</f>
        <v/>
      </c>
      <c r="D1195" s="56">
        <f>IFERROR(_xlfn.XLOOKUP(SALIDAS[[#This Row],[CODIGO]],LISTADO[CODIGOS],LISTADO[PRODUCTOS]),"NO EXISTE")</f>
        <v/>
      </c>
      <c r="E1195" s="19" t="n">
        <v>46121</v>
      </c>
      <c r="F1195" s="18" t="n">
        <v>12</v>
      </c>
      <c r="G1195" s="18" t="inlineStr">
        <is>
          <t>ISABELICA</t>
        </is>
      </c>
    </row>
    <row r="1196">
      <c r="B1196" s="56" t="inlineStr">
        <is>
          <t>00073-REF</t>
        </is>
      </c>
      <c r="C1196" s="56">
        <f>IFERROR(_xlfn.XLOOKUP(SALIDAS[[#This Row],[CODIGO]],LISTADO[CODIGOS],LISTADO[CATEGORIA]),"NO EXISTE")</f>
        <v/>
      </c>
      <c r="D1196" s="56">
        <f>IFERROR(_xlfn.XLOOKUP(SALIDAS[[#This Row],[CODIGO]],LISTADO[CODIGOS],LISTADO[PRODUCTOS]),"NO EXISTE")</f>
        <v/>
      </c>
      <c r="E1196" s="19" t="n">
        <v>46121</v>
      </c>
      <c r="F1196" s="18" t="n">
        <v>12</v>
      </c>
      <c r="G1196" s="18" t="inlineStr">
        <is>
          <t>ISABELICA</t>
        </is>
      </c>
    </row>
    <row r="1197">
      <c r="B1197" s="56" t="inlineStr">
        <is>
          <t>00030-REF</t>
        </is>
      </c>
      <c r="C1197" s="56">
        <f>IFERROR(_xlfn.XLOOKUP(SALIDAS[[#This Row],[CODIGO]],LISTADO[CODIGOS],LISTADO[CATEGORIA]),"NO EXISTE")</f>
        <v/>
      </c>
      <c r="D1197" s="56">
        <f>IFERROR(_xlfn.XLOOKUP(SALIDAS[[#This Row],[CODIGO]],LISTADO[CODIGOS],LISTADO[PRODUCTOS]),"NO EXISTE")</f>
        <v/>
      </c>
      <c r="E1197" s="19" t="n">
        <v>46121</v>
      </c>
      <c r="F1197" s="18" t="n">
        <v>24</v>
      </c>
      <c r="G1197" s="18" t="inlineStr">
        <is>
          <t>ISABELICA</t>
        </is>
      </c>
    </row>
    <row r="1198">
      <c r="B1198" s="56" t="inlineStr">
        <is>
          <t>00035-REF</t>
        </is>
      </c>
      <c r="C1198" s="56">
        <f>IFERROR(_xlfn.XLOOKUP(SALIDAS[[#This Row],[CODIGO]],LISTADO[CODIGOS],LISTADO[CATEGORIA]),"NO EXISTE")</f>
        <v/>
      </c>
      <c r="D1198" s="56">
        <f>IFERROR(_xlfn.XLOOKUP(SALIDAS[[#This Row],[CODIGO]],LISTADO[CODIGOS],LISTADO[PRODUCTOS]),"NO EXISTE")</f>
        <v/>
      </c>
      <c r="E1198" s="19" t="n">
        <v>46121</v>
      </c>
      <c r="F1198" s="18" t="n">
        <v>4</v>
      </c>
      <c r="G1198" s="18" t="inlineStr">
        <is>
          <t>ISABELICA</t>
        </is>
      </c>
    </row>
    <row r="1199">
      <c r="B1199" s="56" t="inlineStr">
        <is>
          <t>00071-REF</t>
        </is>
      </c>
      <c r="C1199" s="56">
        <f>IFERROR(_xlfn.XLOOKUP(SALIDAS[[#This Row],[CODIGO]],LISTADO[CODIGOS],LISTADO[CATEGORIA]),"NO EXISTE")</f>
        <v/>
      </c>
      <c r="D1199" s="56">
        <f>IFERROR(_xlfn.XLOOKUP(SALIDAS[[#This Row],[CODIGO]],LISTADO[CODIGOS],LISTADO[PRODUCTOS]),"NO EXISTE")</f>
        <v/>
      </c>
      <c r="E1199" s="19" t="n">
        <v>46121</v>
      </c>
      <c r="F1199" s="18" t="n">
        <v>15</v>
      </c>
      <c r="G1199" s="18" t="inlineStr">
        <is>
          <t>ISABELICA</t>
        </is>
      </c>
    </row>
    <row r="1200">
      <c r="B1200" s="56" t="inlineStr">
        <is>
          <t>00123-REF</t>
        </is>
      </c>
      <c r="C1200" s="56">
        <f>IFERROR(_xlfn.XLOOKUP(SALIDAS[[#This Row],[CODIGO]],LISTADO[CODIGOS],LISTADO[CATEGORIA]),"NO EXISTE")</f>
        <v/>
      </c>
      <c r="D1200" s="56">
        <f>IFERROR(_xlfn.XLOOKUP(SALIDAS[[#This Row],[CODIGO]],LISTADO[CODIGOS],LISTADO[PRODUCTOS]),"NO EXISTE")</f>
        <v/>
      </c>
      <c r="E1200" s="19" t="n">
        <v>46121</v>
      </c>
      <c r="F1200" s="18" t="n">
        <v>15</v>
      </c>
      <c r="G1200" s="18" t="inlineStr">
        <is>
          <t>ISABELICA</t>
        </is>
      </c>
    </row>
    <row r="1201">
      <c r="B1201" s="18" t="inlineStr">
        <is>
          <t>00028-LIM</t>
        </is>
      </c>
      <c r="C1201" s="56">
        <f>IFERROR(_xlfn.XLOOKUP(SALIDAS[[#This Row],[CODIGO]],LISTADO[CODIGOS],LISTADO[CATEGORIA]),"NO EXISTE")</f>
        <v/>
      </c>
      <c r="D1201" s="56">
        <f>IFERROR(_xlfn.XLOOKUP(SALIDAS[[#This Row],[CODIGO]],LISTADO[CODIGOS],LISTADO[PRODUCTOS]),"NO EXISTE")</f>
        <v/>
      </c>
      <c r="E1201" s="19" t="n">
        <v>46121</v>
      </c>
      <c r="F1201" s="18" t="n">
        <v>1</v>
      </c>
      <c r="G1201" s="18" t="inlineStr">
        <is>
          <t>GUACARA</t>
        </is>
      </c>
    </row>
    <row r="1202">
      <c r="B1202" s="56" t="inlineStr">
        <is>
          <t>00008-MSC</t>
        </is>
      </c>
      <c r="C1202" s="56">
        <f>IFERROR(_xlfn.XLOOKUP(SALIDAS[[#This Row],[CODIGO]],LISTADO[CODIGOS],LISTADO[CATEGORIA]),"NO EXISTE")</f>
        <v/>
      </c>
      <c r="D1202" s="56">
        <f>IFERROR(_xlfn.XLOOKUP(SALIDAS[[#This Row],[CODIGO]],LISTADO[CODIGOS],LISTADO[PRODUCTOS]),"NO EXISTE")</f>
        <v/>
      </c>
      <c r="E1202" s="19" t="n">
        <v>46121</v>
      </c>
      <c r="F1202" s="18" t="n">
        <v>1</v>
      </c>
      <c r="G1202" s="18" t="inlineStr">
        <is>
          <t>NAGUANAGUA 3</t>
        </is>
      </c>
    </row>
    <row r="1203">
      <c r="B1203" s="56" t="inlineStr">
        <is>
          <t>00012-UNI</t>
        </is>
      </c>
      <c r="C1203" s="56">
        <f>IFERROR(_xlfn.XLOOKUP(SALIDAS[[#This Row],[CODIGO]],LISTADO[CODIGOS],LISTADO[CATEGORIA]),"NO EXISTE")</f>
        <v/>
      </c>
      <c r="D1203" s="56">
        <f>IFERROR(_xlfn.XLOOKUP(SALIDAS[[#This Row],[CODIGO]],LISTADO[CODIGOS],LISTADO[PRODUCTOS]),"NO EXISTE")</f>
        <v/>
      </c>
      <c r="E1203" s="19" t="n">
        <v>46121</v>
      </c>
      <c r="F1203" s="18" t="n">
        <v>1</v>
      </c>
      <c r="G1203" s="18" t="inlineStr">
        <is>
          <t>TAZAJAL</t>
        </is>
      </c>
    </row>
    <row r="1204">
      <c r="B1204" s="56" t="inlineStr">
        <is>
          <t>00014-UNI</t>
        </is>
      </c>
      <c r="C1204" s="56">
        <f>IFERROR(_xlfn.XLOOKUP(SALIDAS[[#This Row],[CODIGO]],LISTADO[CODIGOS],LISTADO[CATEGORIA]),"NO EXISTE")</f>
        <v/>
      </c>
      <c r="D1204" s="56">
        <f>IFERROR(_xlfn.XLOOKUP(SALIDAS[[#This Row],[CODIGO]],LISTADO[CODIGOS],LISTADO[PRODUCTOS]),"NO EXISTE")</f>
        <v/>
      </c>
      <c r="E1204" s="19" t="n">
        <v>46121</v>
      </c>
      <c r="F1204" s="18" t="n">
        <v>2</v>
      </c>
      <c r="G1204" s="18" t="inlineStr">
        <is>
          <t>TAZAJAL</t>
        </is>
      </c>
    </row>
    <row r="1205">
      <c r="B1205" s="56" t="inlineStr">
        <is>
          <t>00013-UNI</t>
        </is>
      </c>
      <c r="C1205" s="56">
        <f>IFERROR(_xlfn.XLOOKUP(SALIDAS[[#This Row],[CODIGO]],LISTADO[CODIGOS],LISTADO[CATEGORIA]),"NO EXISTE")</f>
        <v/>
      </c>
      <c r="D1205" s="56">
        <f>IFERROR(_xlfn.XLOOKUP(SALIDAS[[#This Row],[CODIGO]],LISTADO[CODIGOS],LISTADO[PRODUCTOS]),"NO EXISTE")</f>
        <v/>
      </c>
      <c r="E1205" s="19" t="n">
        <v>46121</v>
      </c>
      <c r="F1205" s="18" t="n">
        <v>6</v>
      </c>
      <c r="G1205" s="18" t="inlineStr">
        <is>
          <t>TAZAJAL</t>
        </is>
      </c>
    </row>
    <row r="1206">
      <c r="B1206" s="56" t="inlineStr">
        <is>
          <t>00008-UNI</t>
        </is>
      </c>
      <c r="C1206" s="56">
        <f>IFERROR(_xlfn.XLOOKUP(SALIDAS[[#This Row],[CODIGO]],LISTADO[CODIGOS],LISTADO[CATEGORIA]),"NO EXISTE")</f>
        <v/>
      </c>
      <c r="D1206" s="56">
        <f>IFERROR(_xlfn.XLOOKUP(SALIDAS[[#This Row],[CODIGO]],LISTADO[CODIGOS],LISTADO[PRODUCTOS]),"NO EXISTE")</f>
        <v/>
      </c>
      <c r="E1206" s="19" t="n">
        <v>46121</v>
      </c>
      <c r="F1206" s="18" t="n">
        <v>6</v>
      </c>
      <c r="G1206" s="18" t="inlineStr">
        <is>
          <t>TAZAJAL</t>
        </is>
      </c>
    </row>
    <row r="1207">
      <c r="B1207" s="56" t="inlineStr">
        <is>
          <t>00007-UNI</t>
        </is>
      </c>
      <c r="C1207" s="56">
        <f>IFERROR(_xlfn.XLOOKUP(SALIDAS[[#This Row],[CODIGO]],LISTADO[CODIGOS],LISTADO[CATEGORIA]),"NO EXISTE")</f>
        <v/>
      </c>
      <c r="D1207" s="56">
        <f>IFERROR(_xlfn.XLOOKUP(SALIDAS[[#This Row],[CODIGO]],LISTADO[CODIGOS],LISTADO[PRODUCTOS]),"NO EXISTE")</f>
        <v/>
      </c>
      <c r="E1207" s="19" t="n">
        <v>46121</v>
      </c>
      <c r="F1207" s="18" t="n">
        <v>4</v>
      </c>
      <c r="G1207" s="18" t="inlineStr">
        <is>
          <t>TAZAJAL</t>
        </is>
      </c>
    </row>
    <row r="1208">
      <c r="B1208" s="56" t="inlineStr">
        <is>
          <t>00198-FER</t>
        </is>
      </c>
      <c r="C1208" s="56">
        <f>IFERROR(_xlfn.XLOOKUP(SALIDAS[[#This Row],[CODIGO]],LISTADO[CODIGOS],LISTADO[CATEGORIA]),"NO EXISTE")</f>
        <v/>
      </c>
      <c r="D1208" s="56">
        <f>IFERROR(_xlfn.XLOOKUP(SALIDAS[[#This Row],[CODIGO]],LISTADO[CODIGOS],LISTADO[PRODUCTOS]),"NO EXISTE")</f>
        <v/>
      </c>
      <c r="E1208" s="19" t="n">
        <v>46122</v>
      </c>
      <c r="F1208" s="18" t="n">
        <v>16</v>
      </c>
      <c r="G1208" s="18" t="inlineStr">
        <is>
          <t>ISABELICA</t>
        </is>
      </c>
    </row>
    <row r="1209">
      <c r="B1209" s="18" t="inlineStr">
        <is>
          <t>00199-FER</t>
        </is>
      </c>
      <c r="C1209" s="56">
        <f>IFERROR(_xlfn.XLOOKUP(SALIDAS[[#This Row],[CODIGO]],LISTADO[CODIGOS],LISTADO[CATEGORIA]),"NO EXISTE")</f>
        <v/>
      </c>
      <c r="D1209" s="56">
        <f>IFERROR(_xlfn.XLOOKUP(SALIDAS[[#This Row],[CODIGO]],LISTADO[CODIGOS],LISTADO[PRODUCTOS]),"NO EXISTE")</f>
        <v/>
      </c>
      <c r="E1209" s="19" t="n">
        <v>46122</v>
      </c>
      <c r="F1209" s="18" t="n">
        <v>12</v>
      </c>
      <c r="G1209" s="18" t="inlineStr">
        <is>
          <t>ISABELICA</t>
        </is>
      </c>
    </row>
    <row r="1210">
      <c r="B1210" s="18" t="inlineStr">
        <is>
          <t>00081-ELE</t>
        </is>
      </c>
      <c r="C1210" s="56">
        <f>IFERROR(_xlfn.XLOOKUP(SALIDAS[[#This Row],[CODIGO]],LISTADO[CODIGOS],LISTADO[CATEGORIA]),"NO EXISTE")</f>
        <v/>
      </c>
      <c r="D1210" s="56">
        <f>IFERROR(_xlfn.XLOOKUP(SALIDAS[[#This Row],[CODIGO]],LISTADO[CODIGOS],LISTADO[PRODUCTOS]),"NO EXISTE")</f>
        <v/>
      </c>
      <c r="E1210" s="19" t="n">
        <v>46122</v>
      </c>
      <c r="F1210" s="18" t="n">
        <v>2</v>
      </c>
      <c r="G1210" s="18" t="inlineStr">
        <is>
          <t>ISABELICA</t>
        </is>
      </c>
    </row>
    <row r="1211">
      <c r="B1211" s="56" t="inlineStr">
        <is>
          <t>00080-FER</t>
        </is>
      </c>
      <c r="C1211" s="56">
        <f>IFERROR(_xlfn.XLOOKUP(SALIDAS[[#This Row],[CODIGO]],LISTADO[CODIGOS],LISTADO[CATEGORIA]),"NO EXISTE")</f>
        <v/>
      </c>
      <c r="D1211" s="56">
        <f>IFERROR(_xlfn.XLOOKUP(SALIDAS[[#This Row],[CODIGO]],LISTADO[CODIGOS],LISTADO[PRODUCTOS]),"NO EXISTE")</f>
        <v/>
      </c>
      <c r="E1211" s="19" t="n">
        <v>46122</v>
      </c>
      <c r="F1211" s="18" t="n">
        <v>1</v>
      </c>
      <c r="G1211" s="18" t="inlineStr">
        <is>
          <t>ISABELICA</t>
        </is>
      </c>
    </row>
    <row r="1212">
      <c r="B1212" s="56" t="inlineStr">
        <is>
          <t>00013-UNI</t>
        </is>
      </c>
      <c r="C1212" s="56">
        <f>IFERROR(_xlfn.XLOOKUP(SALIDAS[[#This Row],[CODIGO]],LISTADO[CODIGOS],LISTADO[CATEGORIA]),"NO EXISTE")</f>
        <v/>
      </c>
      <c r="D1212" s="56">
        <f>IFERROR(_xlfn.XLOOKUP(SALIDAS[[#This Row],[CODIGO]],LISTADO[CODIGOS],LISTADO[PRODUCTOS]),"NO EXISTE")</f>
        <v/>
      </c>
      <c r="E1212" s="19" t="n">
        <v>46122</v>
      </c>
      <c r="F1212" s="18" t="n">
        <v>9</v>
      </c>
      <c r="G1212" s="18" t="inlineStr">
        <is>
          <t>LAS FERIAS</t>
        </is>
      </c>
    </row>
    <row r="1213">
      <c r="B1213" s="56" t="inlineStr">
        <is>
          <t>00008-UNI</t>
        </is>
      </c>
      <c r="C1213" s="56">
        <f>IFERROR(_xlfn.XLOOKUP(SALIDAS[[#This Row],[CODIGO]],LISTADO[CODIGOS],LISTADO[CATEGORIA]),"NO EXISTE")</f>
        <v/>
      </c>
      <c r="D1213" s="56">
        <f>IFERROR(_xlfn.XLOOKUP(SALIDAS[[#This Row],[CODIGO]],LISTADO[CODIGOS],LISTADO[PRODUCTOS]),"NO EXISTE")</f>
        <v/>
      </c>
      <c r="E1213" s="19" t="n">
        <v>46122</v>
      </c>
      <c r="F1213" s="18" t="n">
        <v>5</v>
      </c>
      <c r="G1213" s="18" t="inlineStr">
        <is>
          <t>LAS FERIAS</t>
        </is>
      </c>
    </row>
    <row r="1214">
      <c r="B1214" s="56" t="inlineStr">
        <is>
          <t>00009-UNI</t>
        </is>
      </c>
      <c r="C1214" s="56">
        <f>IFERROR(_xlfn.XLOOKUP(SALIDAS[[#This Row],[CODIGO]],LISTADO[CODIGOS],LISTADO[CATEGORIA]),"NO EXISTE")</f>
        <v/>
      </c>
      <c r="D1214" s="56">
        <f>IFERROR(_xlfn.XLOOKUP(SALIDAS[[#This Row],[CODIGO]],LISTADO[CODIGOS],LISTADO[PRODUCTOS]),"NO EXISTE")</f>
        <v/>
      </c>
      <c r="E1214" s="19" t="n">
        <v>46122</v>
      </c>
      <c r="F1214" s="18" t="n">
        <v>1</v>
      </c>
      <c r="G1214" s="18" t="inlineStr">
        <is>
          <t>LAS FERIAS</t>
        </is>
      </c>
    </row>
    <row r="1215">
      <c r="B1215" s="56" t="inlineStr">
        <is>
          <t>00014-UNI</t>
        </is>
      </c>
      <c r="C1215" s="56">
        <f>IFERROR(_xlfn.XLOOKUP(SALIDAS[[#This Row],[CODIGO]],LISTADO[CODIGOS],LISTADO[CATEGORIA]),"NO EXISTE")</f>
        <v/>
      </c>
      <c r="D1215" s="56">
        <f>IFERROR(_xlfn.XLOOKUP(SALIDAS[[#This Row],[CODIGO]],LISTADO[CODIGOS],LISTADO[PRODUCTOS]),"NO EXISTE")</f>
        <v/>
      </c>
      <c r="E1215" s="19" t="n">
        <v>46122</v>
      </c>
      <c r="F1215" s="18" t="n">
        <v>3</v>
      </c>
      <c r="G1215" s="18" t="inlineStr">
        <is>
          <t>LAS FERIAS</t>
        </is>
      </c>
    </row>
    <row r="1216">
      <c r="B1216" s="56" t="inlineStr">
        <is>
          <t>00064-UNI</t>
        </is>
      </c>
      <c r="C1216" s="56">
        <f>IFERROR(_xlfn.XLOOKUP(SALIDAS[[#This Row],[CODIGO]],LISTADO[CODIGOS],LISTADO[CATEGORIA]),"NO EXISTE")</f>
        <v/>
      </c>
      <c r="D1216" s="56">
        <f>IFERROR(_xlfn.XLOOKUP(SALIDAS[[#This Row],[CODIGO]],LISTADO[CODIGOS],LISTADO[PRODUCTOS]),"NO EXISTE")</f>
        <v/>
      </c>
      <c r="E1216" s="19" t="n">
        <v>46122</v>
      </c>
      <c r="F1216" s="18" t="n">
        <v>1</v>
      </c>
      <c r="G1216" s="18" t="inlineStr">
        <is>
          <t>LAS FERIAS</t>
        </is>
      </c>
    </row>
    <row r="1217">
      <c r="B1217" s="56" t="inlineStr">
        <is>
          <t>00068-UNI</t>
        </is>
      </c>
      <c r="C1217" s="56">
        <f>IFERROR(_xlfn.XLOOKUP(SALIDAS[[#This Row],[CODIGO]],LISTADO[CODIGOS],LISTADO[CATEGORIA]),"NO EXISTE")</f>
        <v/>
      </c>
      <c r="D1217" s="56">
        <f>IFERROR(_xlfn.XLOOKUP(SALIDAS[[#This Row],[CODIGO]],LISTADO[CODIGOS],LISTADO[PRODUCTOS]),"NO EXISTE")</f>
        <v/>
      </c>
      <c r="E1217" s="19" t="n">
        <v>46122</v>
      </c>
      <c r="F1217" s="18" t="n">
        <v>1</v>
      </c>
      <c r="G1217" s="18" t="inlineStr">
        <is>
          <t>LAS FERIAS</t>
        </is>
      </c>
    </row>
    <row r="1218">
      <c r="B1218" s="56" t="inlineStr">
        <is>
          <t>00008-UNI</t>
        </is>
      </c>
      <c r="C1218" s="56">
        <f>IFERROR(_xlfn.XLOOKUP(SALIDAS[[#This Row],[CODIGO]],LISTADO[CODIGOS],LISTADO[CATEGORIA]),"NO EXISTE")</f>
        <v/>
      </c>
      <c r="D1218" s="56">
        <f>IFERROR(_xlfn.XLOOKUP(SALIDAS[[#This Row],[CODIGO]],LISTADO[CODIGOS],LISTADO[PRODUCTOS]),"NO EXISTE")</f>
        <v/>
      </c>
      <c r="E1218" s="19" t="n">
        <v>46122</v>
      </c>
      <c r="F1218" s="18" t="n">
        <v>4</v>
      </c>
      <c r="G1218" s="18" t="inlineStr">
        <is>
          <t>NAGUANAGUA 2</t>
        </is>
      </c>
    </row>
    <row r="1219">
      <c r="B1219" s="56" t="inlineStr">
        <is>
          <t>00013-UNI</t>
        </is>
      </c>
      <c r="C1219" s="56">
        <f>IFERROR(_xlfn.XLOOKUP(SALIDAS[[#This Row],[CODIGO]],LISTADO[CODIGOS],LISTADO[CATEGORIA]),"NO EXISTE")</f>
        <v/>
      </c>
      <c r="D1219" s="56">
        <f>IFERROR(_xlfn.XLOOKUP(SALIDAS[[#This Row],[CODIGO]],LISTADO[CODIGOS],LISTADO[PRODUCTOS]),"NO EXISTE")</f>
        <v/>
      </c>
      <c r="E1219" s="19" t="n">
        <v>46122</v>
      </c>
      <c r="F1219" s="18" t="n">
        <v>2</v>
      </c>
      <c r="G1219" s="18" t="inlineStr">
        <is>
          <t>NAGUANAGUA 2</t>
        </is>
      </c>
    </row>
    <row r="1220">
      <c r="B1220" s="56" t="inlineStr">
        <is>
          <t>00007-UNI</t>
        </is>
      </c>
      <c r="C1220" s="56">
        <f>IFERROR(_xlfn.XLOOKUP(SALIDAS[[#This Row],[CODIGO]],LISTADO[CODIGOS],LISTADO[CATEGORIA]),"NO EXISTE")</f>
        <v/>
      </c>
      <c r="D1220" s="56">
        <f>IFERROR(_xlfn.XLOOKUP(SALIDAS[[#This Row],[CODIGO]],LISTADO[CODIGOS],LISTADO[PRODUCTOS]),"NO EXISTE")</f>
        <v/>
      </c>
      <c r="E1220" s="19" t="n">
        <v>46122</v>
      </c>
      <c r="F1220" s="18" t="n">
        <v>2</v>
      </c>
      <c r="G1220" s="18" t="inlineStr">
        <is>
          <t>NAGUANAGUA 2</t>
        </is>
      </c>
    </row>
    <row r="1221">
      <c r="B1221" s="56" t="inlineStr">
        <is>
          <t>00012-UNI</t>
        </is>
      </c>
      <c r="C1221" s="56">
        <f>IFERROR(_xlfn.XLOOKUP(SALIDAS[[#This Row],[CODIGO]],LISTADO[CODIGOS],LISTADO[CATEGORIA]),"NO EXISTE")</f>
        <v/>
      </c>
      <c r="D1221" s="56">
        <f>IFERROR(_xlfn.XLOOKUP(SALIDAS[[#This Row],[CODIGO]],LISTADO[CODIGOS],LISTADO[PRODUCTOS]),"NO EXISTE")</f>
        <v/>
      </c>
      <c r="E1221" s="19" t="n">
        <v>46122</v>
      </c>
      <c r="F1221" s="18" t="n">
        <v>2</v>
      </c>
      <c r="G1221" s="18" t="inlineStr">
        <is>
          <t>NAGUANAGUA 2</t>
        </is>
      </c>
    </row>
    <row r="1222">
      <c r="B1222" s="56" t="inlineStr">
        <is>
          <t>00037-UNI</t>
        </is>
      </c>
      <c r="C1222" s="56">
        <f>IFERROR(_xlfn.XLOOKUP(SALIDAS[[#This Row],[CODIGO]],LISTADO[CODIGOS],LISTADO[CATEGORIA]),"NO EXISTE")</f>
        <v/>
      </c>
      <c r="D1222" s="56">
        <f>IFERROR(_xlfn.XLOOKUP(SALIDAS[[#This Row],[CODIGO]],LISTADO[CODIGOS],LISTADO[PRODUCTOS]),"NO EXISTE")</f>
        <v/>
      </c>
      <c r="E1222" s="19" t="n">
        <v>46122</v>
      </c>
      <c r="F1222" s="18" t="n">
        <v>3</v>
      </c>
      <c r="G1222" s="18" t="inlineStr">
        <is>
          <t xml:space="preserve">CEDI SECO </t>
        </is>
      </c>
    </row>
    <row r="1223">
      <c r="B1223" s="56" t="inlineStr">
        <is>
          <t>00036-UNI</t>
        </is>
      </c>
      <c r="C1223" s="56">
        <f>IFERROR(_xlfn.XLOOKUP(SALIDAS[[#This Row],[CODIGO]],LISTADO[CODIGOS],LISTADO[CATEGORIA]),"NO EXISTE")</f>
        <v/>
      </c>
      <c r="D1223" s="56">
        <f>IFERROR(_xlfn.XLOOKUP(SALIDAS[[#This Row],[CODIGO]],LISTADO[CODIGOS],LISTADO[PRODUCTOS]),"NO EXISTE")</f>
        <v/>
      </c>
      <c r="E1223" s="19" t="n">
        <v>46122</v>
      </c>
      <c r="F1223" s="18" t="n">
        <v>1</v>
      </c>
      <c r="G1223" s="18" t="inlineStr">
        <is>
          <t xml:space="preserve">CEDI SECO </t>
        </is>
      </c>
    </row>
    <row r="1224">
      <c r="B1224" s="56" t="inlineStr">
        <is>
          <t>00041-UNI</t>
        </is>
      </c>
      <c r="C1224" s="56">
        <f>IFERROR(_xlfn.XLOOKUP(SALIDAS[[#This Row],[CODIGO]],LISTADO[CODIGOS],LISTADO[CATEGORIA]),"NO EXISTE")</f>
        <v/>
      </c>
      <c r="D1224" s="56">
        <f>IFERROR(_xlfn.XLOOKUP(SALIDAS[[#This Row],[CODIGO]],LISTADO[CODIGOS],LISTADO[PRODUCTOS]),"NO EXISTE")</f>
        <v/>
      </c>
      <c r="E1224" s="19" t="n">
        <v>46122</v>
      </c>
      <c r="F1224" s="18" t="n">
        <v>4</v>
      </c>
      <c r="G1224" s="18" t="inlineStr">
        <is>
          <t xml:space="preserve">CEDI SECO </t>
        </is>
      </c>
    </row>
    <row r="1225">
      <c r="B1225" s="56" t="inlineStr">
        <is>
          <t>00039-UNI</t>
        </is>
      </c>
      <c r="C1225" s="56">
        <f>IFERROR(_xlfn.XLOOKUP(SALIDAS[[#This Row],[CODIGO]],LISTADO[CODIGOS],LISTADO[CATEGORIA]),"NO EXISTE")</f>
        <v/>
      </c>
      <c r="D1225" s="56">
        <f>IFERROR(_xlfn.XLOOKUP(SALIDAS[[#This Row],[CODIGO]],LISTADO[CODIGOS],LISTADO[PRODUCTOS]),"NO EXISTE")</f>
        <v/>
      </c>
      <c r="E1225" s="19" t="n">
        <v>46122</v>
      </c>
      <c r="F1225" s="18" t="n">
        <v>1</v>
      </c>
      <c r="G1225" s="18" t="inlineStr">
        <is>
          <t xml:space="preserve">CEDI SECO </t>
        </is>
      </c>
    </row>
    <row r="1226">
      <c r="B1226" s="56" t="inlineStr">
        <is>
          <t>00068-UNI</t>
        </is>
      </c>
      <c r="C1226" s="56">
        <f>IFERROR(_xlfn.XLOOKUP(SALIDAS[[#This Row],[CODIGO]],LISTADO[CODIGOS],LISTADO[CATEGORIA]),"NO EXISTE")</f>
        <v/>
      </c>
      <c r="D1226" s="56">
        <f>IFERROR(_xlfn.XLOOKUP(SALIDAS[[#This Row],[CODIGO]],LISTADO[CODIGOS],LISTADO[PRODUCTOS]),"NO EXISTE")</f>
        <v/>
      </c>
      <c r="E1226" s="19" t="n">
        <v>46122</v>
      </c>
      <c r="F1226" s="18" t="n">
        <v>1</v>
      </c>
      <c r="G1226" s="18" t="inlineStr">
        <is>
          <t xml:space="preserve">CEDI SECO </t>
        </is>
      </c>
    </row>
    <row r="1227">
      <c r="B1227" s="56" t="inlineStr">
        <is>
          <t>00026-UNI</t>
        </is>
      </c>
      <c r="C1227" s="56">
        <f>IFERROR(_xlfn.XLOOKUP(SALIDAS[[#This Row],[CODIGO]],LISTADO[CODIGOS],LISTADO[CATEGORIA]),"NO EXISTE")</f>
        <v/>
      </c>
      <c r="D1227" s="56">
        <f>IFERROR(_xlfn.XLOOKUP(SALIDAS[[#This Row],[CODIGO]],LISTADO[CODIGOS],LISTADO[PRODUCTOS]),"NO EXISTE")</f>
        <v/>
      </c>
      <c r="E1227" s="19" t="n">
        <v>46122</v>
      </c>
      <c r="F1227" s="18" t="n">
        <v>4</v>
      </c>
      <c r="G1227" s="18" t="inlineStr">
        <is>
          <t>NAGUANAGUA 3</t>
        </is>
      </c>
    </row>
    <row r="1228">
      <c r="B1228" s="56" t="inlineStr">
        <is>
          <t>00032-UNI</t>
        </is>
      </c>
      <c r="C1228" s="56">
        <f>IFERROR(_xlfn.XLOOKUP(SALIDAS[[#This Row],[CODIGO]],LISTADO[CODIGOS],LISTADO[CATEGORIA]),"NO EXISTE")</f>
        <v/>
      </c>
      <c r="D1228" s="56">
        <f>IFERROR(_xlfn.XLOOKUP(SALIDAS[[#This Row],[CODIGO]],LISTADO[CODIGOS],LISTADO[PRODUCTOS]),"NO EXISTE")</f>
        <v/>
      </c>
      <c r="E1228" s="19" t="n">
        <v>46122</v>
      </c>
      <c r="F1228" s="18" t="n">
        <v>8</v>
      </c>
      <c r="G1228" s="18" t="inlineStr">
        <is>
          <t>NAGUANAGUA 3</t>
        </is>
      </c>
    </row>
    <row r="1229">
      <c r="B1229" s="56" t="inlineStr">
        <is>
          <t>00027-UNI</t>
        </is>
      </c>
      <c r="C1229" s="56">
        <f>IFERROR(_xlfn.XLOOKUP(SALIDAS[[#This Row],[CODIGO]],LISTADO[CODIGOS],LISTADO[CATEGORIA]),"NO EXISTE")</f>
        <v/>
      </c>
      <c r="D1229" s="56">
        <f>IFERROR(_xlfn.XLOOKUP(SALIDAS[[#This Row],[CODIGO]],LISTADO[CODIGOS],LISTADO[PRODUCTOS]),"NO EXISTE")</f>
        <v/>
      </c>
      <c r="E1229" s="19" t="n">
        <v>46122</v>
      </c>
      <c r="F1229" s="18" t="n">
        <v>2</v>
      </c>
      <c r="G1229" s="18" t="inlineStr">
        <is>
          <t>NAGUANAGUA 3</t>
        </is>
      </c>
    </row>
    <row r="1230">
      <c r="B1230" s="56" t="inlineStr">
        <is>
          <t>00033-UNI</t>
        </is>
      </c>
      <c r="C1230" s="56">
        <f>IFERROR(_xlfn.XLOOKUP(SALIDAS[[#This Row],[CODIGO]],LISTADO[CODIGOS],LISTADO[CATEGORIA]),"NO EXISTE")</f>
        <v/>
      </c>
      <c r="D1230" s="56">
        <f>IFERROR(_xlfn.XLOOKUP(SALIDAS[[#This Row],[CODIGO]],LISTADO[CODIGOS],LISTADO[PRODUCTOS]),"NO EXISTE")</f>
        <v/>
      </c>
      <c r="E1230" s="19" t="n">
        <v>46122</v>
      </c>
      <c r="F1230" s="18" t="n">
        <v>7</v>
      </c>
      <c r="G1230" s="18" t="inlineStr">
        <is>
          <t>NAGUANAGUA 3</t>
        </is>
      </c>
    </row>
    <row r="1231">
      <c r="B1231" s="56" t="inlineStr">
        <is>
          <t>00028-UNI</t>
        </is>
      </c>
      <c r="C1231" s="56">
        <f>IFERROR(_xlfn.XLOOKUP(SALIDAS[[#This Row],[CODIGO]],LISTADO[CODIGOS],LISTADO[CATEGORIA]),"NO EXISTE")</f>
        <v/>
      </c>
      <c r="D1231" s="56">
        <f>IFERROR(_xlfn.XLOOKUP(SALIDAS[[#This Row],[CODIGO]],LISTADO[CODIGOS],LISTADO[PRODUCTOS]),"NO EXISTE")</f>
        <v/>
      </c>
      <c r="E1231" s="19" t="n">
        <v>46122</v>
      </c>
      <c r="F1231" s="18" t="n">
        <v>3</v>
      </c>
      <c r="G1231" s="18" t="inlineStr">
        <is>
          <t>NAGUANAGUA 3</t>
        </is>
      </c>
    </row>
    <row r="1232">
      <c r="B1232" s="56" t="inlineStr">
        <is>
          <t>00025-UNI</t>
        </is>
      </c>
      <c r="C1232" s="56">
        <f>IFERROR(_xlfn.XLOOKUP(SALIDAS[[#This Row],[CODIGO]],LISTADO[CODIGOS],LISTADO[CATEGORIA]),"NO EXISTE")</f>
        <v/>
      </c>
      <c r="D1232" s="56">
        <f>IFERROR(_xlfn.XLOOKUP(SALIDAS[[#This Row],[CODIGO]],LISTADO[CODIGOS],LISTADO[PRODUCTOS]),"NO EXISTE")</f>
        <v/>
      </c>
      <c r="E1232" s="19" t="n">
        <v>46122</v>
      </c>
      <c r="F1232" s="18" t="n">
        <v>1</v>
      </c>
      <c r="G1232" s="18" t="inlineStr">
        <is>
          <t>NAGUANAGUA 3</t>
        </is>
      </c>
    </row>
    <row r="1233">
      <c r="B1233" s="56" t="inlineStr">
        <is>
          <t>00029-UNI</t>
        </is>
      </c>
      <c r="C1233" s="56">
        <f>IFERROR(_xlfn.XLOOKUP(SALIDAS[[#This Row],[CODIGO]],LISTADO[CODIGOS],LISTADO[CATEGORIA]),"NO EXISTE")</f>
        <v/>
      </c>
      <c r="D1233" s="56">
        <f>IFERROR(_xlfn.XLOOKUP(SALIDAS[[#This Row],[CODIGO]],LISTADO[CODIGOS],LISTADO[PRODUCTOS]),"NO EXISTE")</f>
        <v/>
      </c>
      <c r="E1233" s="19" t="n">
        <v>46122</v>
      </c>
      <c r="F1233" s="18" t="n">
        <v>1</v>
      </c>
      <c r="G1233" s="18" t="inlineStr">
        <is>
          <t>NAGUANAGUA 3</t>
        </is>
      </c>
    </row>
    <row r="1234">
      <c r="B1234" s="56" t="inlineStr">
        <is>
          <t>00067-UNI</t>
        </is>
      </c>
      <c r="C1234" s="56">
        <f>IFERROR(_xlfn.XLOOKUP(SALIDAS[[#This Row],[CODIGO]],LISTADO[CODIGOS],LISTADO[CATEGORIA]),"NO EXISTE")</f>
        <v/>
      </c>
      <c r="D1234" s="56">
        <f>IFERROR(_xlfn.XLOOKUP(SALIDAS[[#This Row],[CODIGO]],LISTADO[CODIGOS],LISTADO[PRODUCTOS]),"NO EXISTE")</f>
        <v/>
      </c>
      <c r="E1234" s="19" t="n">
        <v>46122</v>
      </c>
      <c r="F1234" s="18" t="n">
        <v>1</v>
      </c>
      <c r="G1234" s="18" t="inlineStr">
        <is>
          <t>NAGUANAGUA 3</t>
        </is>
      </c>
    </row>
    <row r="1235">
      <c r="B1235" s="56" t="inlineStr">
        <is>
          <t>00065-UNI</t>
        </is>
      </c>
      <c r="C1235" s="56">
        <f>IFERROR(_xlfn.XLOOKUP(SALIDAS[[#This Row],[CODIGO]],LISTADO[CODIGOS],LISTADO[CATEGORIA]),"NO EXISTE")</f>
        <v/>
      </c>
      <c r="D1235" s="56">
        <f>IFERROR(_xlfn.XLOOKUP(SALIDAS[[#This Row],[CODIGO]],LISTADO[CODIGOS],LISTADO[PRODUCTOS]),"NO EXISTE")</f>
        <v/>
      </c>
      <c r="E1235" s="19" t="n">
        <v>46122</v>
      </c>
      <c r="F1235" s="18" t="n">
        <v>1</v>
      </c>
      <c r="G1235" s="18" t="inlineStr">
        <is>
          <t>NAGUANAGUA 3</t>
        </is>
      </c>
    </row>
    <row r="1236">
      <c r="B1236" s="56" t="inlineStr">
        <is>
          <t>00054-ILU</t>
        </is>
      </c>
      <c r="C1236" s="56">
        <f>IFERROR(_xlfn.XLOOKUP(SALIDAS[[#This Row],[CODIGO]],LISTADO[CODIGOS],LISTADO[CATEGORIA]),"NO EXISTE")</f>
        <v/>
      </c>
      <c r="D1236" s="56">
        <f>IFERROR(_xlfn.XLOOKUP(SALIDAS[[#This Row],[CODIGO]],LISTADO[CODIGOS],LISTADO[PRODUCTOS]),"NO EXISTE")</f>
        <v/>
      </c>
      <c r="E1236" s="19" t="n">
        <v>46123</v>
      </c>
      <c r="F1236" s="18" t="n">
        <v>2</v>
      </c>
      <c r="G1236" s="18" t="inlineStr">
        <is>
          <t>SAN MARTIN (CARACAS)</t>
        </is>
      </c>
    </row>
    <row r="1237">
      <c r="B1237" s="56" t="inlineStr">
        <is>
          <t>00009-ELE</t>
        </is>
      </c>
      <c r="C1237" s="56">
        <f>IFERROR(_xlfn.XLOOKUP(SALIDAS[[#This Row],[CODIGO]],LISTADO[CODIGOS],LISTADO[CATEGORIA]),"NO EXISTE")</f>
        <v/>
      </c>
      <c r="D1237" s="56">
        <f>IFERROR(_xlfn.XLOOKUP(SALIDAS[[#This Row],[CODIGO]],LISTADO[CODIGOS],LISTADO[PRODUCTOS]),"NO EXISTE")</f>
        <v/>
      </c>
      <c r="E1237" s="19" t="n">
        <v>46124</v>
      </c>
      <c r="F1237" s="18" t="n">
        <v>1</v>
      </c>
      <c r="G1237" s="18" t="inlineStr">
        <is>
          <t>LA VIÑA</t>
        </is>
      </c>
    </row>
    <row r="1238">
      <c r="B1238" s="56" t="inlineStr">
        <is>
          <t>00064-UNI</t>
        </is>
      </c>
      <c r="C1238" s="56">
        <f>IFERROR(_xlfn.XLOOKUP(SALIDAS[[#This Row],[CODIGO]],LISTADO[CODIGOS],LISTADO[CATEGORIA]),"NO EXISTE")</f>
        <v/>
      </c>
      <c r="D1238" s="56">
        <f>IFERROR(_xlfn.XLOOKUP(SALIDAS[[#This Row],[CODIGO]],LISTADO[CODIGOS],LISTADO[PRODUCTOS]),"NO EXISTE")</f>
        <v/>
      </c>
      <c r="E1238" s="19" t="n">
        <v>46125</v>
      </c>
      <c r="F1238" s="18" t="n">
        <v>1</v>
      </c>
      <c r="G1238" s="18" t="inlineStr">
        <is>
          <t>PERIFERICO</t>
        </is>
      </c>
    </row>
    <row r="1239">
      <c r="B1239" s="56" t="inlineStr">
        <is>
          <t>00085-REF</t>
        </is>
      </c>
      <c r="C1239" s="56">
        <f>IFERROR(_xlfn.XLOOKUP(SALIDAS[[#This Row],[CODIGO]],LISTADO[CODIGOS],LISTADO[CATEGORIA]),"NO EXISTE")</f>
        <v/>
      </c>
      <c r="D1239" s="56">
        <f>IFERROR(_xlfn.XLOOKUP(SALIDAS[[#This Row],[CODIGO]],LISTADO[CODIGOS],LISTADO[PRODUCTOS]),"NO EXISTE")</f>
        <v/>
      </c>
      <c r="E1239" s="19" t="n">
        <v>46125</v>
      </c>
      <c r="F1239" s="18" t="n">
        <v>1</v>
      </c>
      <c r="G1239" s="18" t="inlineStr">
        <is>
          <t>AV. CEDEÑO</t>
        </is>
      </c>
    </row>
    <row r="1240">
      <c r="B1240" s="56" t="inlineStr">
        <is>
          <t>00001-REF</t>
        </is>
      </c>
      <c r="C1240" s="56">
        <f>IFERROR(_xlfn.XLOOKUP(SALIDAS[[#This Row],[CODIGO]],LISTADO[CODIGOS],LISTADO[CATEGORIA]),"NO EXISTE")</f>
        <v/>
      </c>
      <c r="D1240" s="56">
        <f>IFERROR(_xlfn.XLOOKUP(SALIDAS[[#This Row],[CODIGO]],LISTADO[CODIGOS],LISTADO[PRODUCTOS]),"NO EXISTE")</f>
        <v/>
      </c>
      <c r="E1240" s="19" t="n">
        <v>46125</v>
      </c>
      <c r="F1240" s="18" t="n">
        <v>2</v>
      </c>
      <c r="G1240" s="18" t="inlineStr">
        <is>
          <t>AV. CEDEÑO</t>
        </is>
      </c>
    </row>
    <row r="1241">
      <c r="B1241" s="18" t="inlineStr">
        <is>
          <t>00001-HRR</t>
        </is>
      </c>
      <c r="C1241" s="56">
        <f>IFERROR(_xlfn.XLOOKUP(SALIDAS[[#This Row],[CODIGO]],LISTADO[CODIGOS],LISTADO[CATEGORIA]),"NO EXISTE")</f>
        <v/>
      </c>
      <c r="D1241" s="56">
        <f>IFERROR(_xlfn.XLOOKUP(SALIDAS[[#This Row],[CODIGO]],LISTADO[CODIGOS],LISTADO[PRODUCTOS]),"NO EXISTE")</f>
        <v/>
      </c>
      <c r="E1241" s="19" t="n">
        <v>46125</v>
      </c>
      <c r="F1241" s="18" t="n">
        <v>1</v>
      </c>
      <c r="G1241" s="18" t="inlineStr">
        <is>
          <t>TURMERO</t>
        </is>
      </c>
    </row>
    <row r="1242">
      <c r="B1242" s="56" t="inlineStr">
        <is>
          <t>00004-FER</t>
        </is>
      </c>
      <c r="C1242" s="56">
        <f>IFERROR(_xlfn.XLOOKUP(SALIDAS[[#This Row],[CODIGO]],LISTADO[CODIGOS],LISTADO[CATEGORIA]),"NO EXISTE")</f>
        <v/>
      </c>
      <c r="D1242" s="56">
        <f>IFERROR(_xlfn.XLOOKUP(SALIDAS[[#This Row],[CODIGO]],LISTADO[CODIGOS],LISTADO[PRODUCTOS]),"NO EXISTE")</f>
        <v/>
      </c>
      <c r="E1242" s="19" t="n">
        <v>46125</v>
      </c>
      <c r="F1242" s="18" t="n">
        <v>3000</v>
      </c>
      <c r="G1242" s="18" t="inlineStr">
        <is>
          <t>TURMERO</t>
        </is>
      </c>
    </row>
    <row r="1243">
      <c r="B1243" s="56" t="inlineStr">
        <is>
          <t>00115-FER</t>
        </is>
      </c>
      <c r="C1243" s="56">
        <f>IFERROR(_xlfn.XLOOKUP(SALIDAS[[#This Row],[CODIGO]],LISTADO[CODIGOS],LISTADO[CATEGORIA]),"NO EXISTE")</f>
        <v/>
      </c>
      <c r="D1243" s="56">
        <f>IFERROR(_xlfn.XLOOKUP(SALIDAS[[#This Row],[CODIGO]],LISTADO[CODIGOS],LISTADO[PRODUCTOS]),"NO EXISTE")</f>
        <v/>
      </c>
      <c r="E1243" s="19" t="n">
        <v>46125</v>
      </c>
      <c r="F1243" s="18" t="n">
        <v>3000</v>
      </c>
      <c r="G1243" s="18" t="inlineStr">
        <is>
          <t>TURMERO</t>
        </is>
      </c>
    </row>
    <row r="1244">
      <c r="B1244" s="56" t="inlineStr">
        <is>
          <t>00007-HRR</t>
        </is>
      </c>
      <c r="C1244" s="56">
        <f>IFERROR(_xlfn.XLOOKUP(SALIDAS[[#This Row],[CODIGO]],LISTADO[CODIGOS],LISTADO[CATEGORIA]),"NO EXISTE")</f>
        <v/>
      </c>
      <c r="D1244" s="56">
        <f>IFERROR(_xlfn.XLOOKUP(SALIDAS[[#This Row],[CODIGO]],LISTADO[CODIGOS],LISTADO[PRODUCTOS]),"NO EXISTE")</f>
        <v/>
      </c>
      <c r="E1244" s="19" t="n">
        <v>46125</v>
      </c>
      <c r="F1244" s="18" t="n">
        <v>10</v>
      </c>
      <c r="G1244" s="18" t="inlineStr">
        <is>
          <t>TURMERO</t>
        </is>
      </c>
    </row>
    <row r="1245">
      <c r="B1245" s="56" t="inlineStr">
        <is>
          <t>00005-HRR</t>
        </is>
      </c>
      <c r="C1245" s="56">
        <f>IFERROR(_xlfn.XLOOKUP(SALIDAS[[#This Row],[CODIGO]],LISTADO[CODIGOS],LISTADO[CATEGORIA]),"NO EXISTE")</f>
        <v/>
      </c>
      <c r="D1245" s="56">
        <f>IFERROR(_xlfn.XLOOKUP(SALIDAS[[#This Row],[CODIGO]],LISTADO[CODIGOS],LISTADO[PRODUCTOS]),"NO EXISTE")</f>
        <v/>
      </c>
      <c r="E1245" s="19" t="n">
        <v>46125</v>
      </c>
      <c r="F1245" s="18" t="n">
        <v>5</v>
      </c>
      <c r="G1245" s="18" t="inlineStr">
        <is>
          <t>TURMERO</t>
        </is>
      </c>
    </row>
    <row r="1246">
      <c r="B1246" s="56" t="inlineStr">
        <is>
          <t>00006-HRR</t>
        </is>
      </c>
      <c r="C1246" s="56">
        <f>IFERROR(_xlfn.XLOOKUP(SALIDAS[[#This Row],[CODIGO]],LISTADO[CODIGOS],LISTADO[CATEGORIA]),"NO EXISTE")</f>
        <v/>
      </c>
      <c r="D1246" s="56">
        <f>IFERROR(_xlfn.XLOOKUP(SALIDAS[[#This Row],[CODIGO]],LISTADO[CODIGOS],LISTADO[PRODUCTOS]),"NO EXISTE")</f>
        <v/>
      </c>
      <c r="E1246" s="19" t="n">
        <v>46125</v>
      </c>
      <c r="F1246" s="18" t="n">
        <v>5</v>
      </c>
      <c r="G1246" s="18" t="inlineStr">
        <is>
          <t>TURMERO</t>
        </is>
      </c>
    </row>
    <row r="1247">
      <c r="B1247" s="56" t="inlineStr">
        <is>
          <t>00003-HRR</t>
        </is>
      </c>
      <c r="C1247" s="56">
        <f>IFERROR(_xlfn.XLOOKUP(SALIDAS[[#This Row],[CODIGO]],LISTADO[CODIGOS],LISTADO[CATEGORIA]),"NO EXISTE")</f>
        <v/>
      </c>
      <c r="D1247" s="56">
        <f>IFERROR(_xlfn.XLOOKUP(SALIDAS[[#This Row],[CODIGO]],LISTADO[CODIGOS],LISTADO[PRODUCTOS]),"NO EXISTE")</f>
        <v/>
      </c>
      <c r="E1247" s="19" t="n">
        <v>46125</v>
      </c>
      <c r="F1247" s="18" t="n">
        <v>5</v>
      </c>
      <c r="G1247" s="18" t="inlineStr">
        <is>
          <t>TURMERO</t>
        </is>
      </c>
    </row>
    <row r="1248">
      <c r="B1248" s="56" t="inlineStr">
        <is>
          <t>00043-FER</t>
        </is>
      </c>
      <c r="C1248" s="56">
        <f>IFERROR(_xlfn.XLOOKUP(SALIDAS[[#This Row],[CODIGO]],LISTADO[CODIGOS],LISTADO[CATEGORIA]),"NO EXISTE")</f>
        <v/>
      </c>
      <c r="D1248" s="56">
        <f>IFERROR(_xlfn.XLOOKUP(SALIDAS[[#This Row],[CODIGO]],LISTADO[CODIGOS],LISTADO[PRODUCTOS]),"NO EXISTE")</f>
        <v/>
      </c>
      <c r="E1248" s="19" t="n">
        <v>46125</v>
      </c>
      <c r="F1248" s="18" t="n">
        <v>1</v>
      </c>
      <c r="G1248" s="18" t="inlineStr">
        <is>
          <t>TURMERO</t>
        </is>
      </c>
    </row>
    <row r="1249">
      <c r="B1249" s="56" t="inlineStr">
        <is>
          <t>00031-FER</t>
        </is>
      </c>
      <c r="C1249" s="56">
        <f>IFERROR(_xlfn.XLOOKUP(SALIDAS[[#This Row],[CODIGO]],LISTADO[CODIGOS],LISTADO[CATEGORIA]),"NO EXISTE")</f>
        <v/>
      </c>
      <c r="D1249" s="56">
        <f>IFERROR(_xlfn.XLOOKUP(SALIDAS[[#This Row],[CODIGO]],LISTADO[CODIGOS],LISTADO[PRODUCTOS]),"NO EXISTE")</f>
        <v/>
      </c>
      <c r="E1249" s="19" t="n">
        <v>46125</v>
      </c>
      <c r="F1249" s="18" t="n">
        <v>1</v>
      </c>
      <c r="G1249" s="18" t="inlineStr">
        <is>
          <t>TURMERO</t>
        </is>
      </c>
    </row>
    <row r="1250">
      <c r="B1250" s="56" t="inlineStr">
        <is>
          <t>00028-FER</t>
        </is>
      </c>
      <c r="C1250" s="56">
        <f>IFERROR(_xlfn.XLOOKUP(SALIDAS[[#This Row],[CODIGO]],LISTADO[CODIGOS],LISTADO[CATEGORIA]),"NO EXISTE")</f>
        <v/>
      </c>
      <c r="D1250" s="56">
        <f>IFERROR(_xlfn.XLOOKUP(SALIDAS[[#This Row],[CODIGO]],LISTADO[CODIGOS],LISTADO[PRODUCTOS]),"NO EXISTE")</f>
        <v/>
      </c>
      <c r="E1250" s="19" t="n">
        <v>46125</v>
      </c>
      <c r="F1250" s="18" t="n">
        <v>3</v>
      </c>
      <c r="G1250" s="18" t="inlineStr">
        <is>
          <t>TURMERO</t>
        </is>
      </c>
    </row>
    <row r="1251">
      <c r="B1251" s="56" t="inlineStr">
        <is>
          <t>00028-ELE</t>
        </is>
      </c>
      <c r="C1251" s="56">
        <f>IFERROR(_xlfn.XLOOKUP(SALIDAS[[#This Row],[CODIGO]],LISTADO[CODIGOS],LISTADO[CATEGORIA]),"NO EXISTE")</f>
        <v/>
      </c>
      <c r="D1251" s="56">
        <f>IFERROR(_xlfn.XLOOKUP(SALIDAS[[#This Row],[CODIGO]],LISTADO[CODIGOS],LISTADO[PRODUCTOS]),"NO EXISTE")</f>
        <v/>
      </c>
      <c r="E1251" s="19" t="n">
        <v>46125</v>
      </c>
      <c r="F1251" s="18" t="n">
        <v>1</v>
      </c>
      <c r="G1251" s="18" t="inlineStr">
        <is>
          <t>AV. CEDEÑO</t>
        </is>
      </c>
    </row>
    <row r="1252">
      <c r="B1252" s="56" t="inlineStr">
        <is>
          <t>00018-PLM</t>
        </is>
      </c>
      <c r="C1252" s="56">
        <f>IFERROR(_xlfn.XLOOKUP(SALIDAS[[#This Row],[CODIGO]],LISTADO[CODIGOS],LISTADO[CATEGORIA]),"NO EXISTE")</f>
        <v/>
      </c>
      <c r="D1252" s="56">
        <f>IFERROR(_xlfn.XLOOKUP(SALIDAS[[#This Row],[CODIGO]],LISTADO[CODIGOS],LISTADO[PRODUCTOS]),"NO EXISTE")</f>
        <v/>
      </c>
      <c r="E1252" s="19" t="n">
        <v>46125</v>
      </c>
      <c r="F1252" s="18" t="n">
        <v>1</v>
      </c>
      <c r="G1252" s="18" t="inlineStr">
        <is>
          <t>AV. CEDEÑO</t>
        </is>
      </c>
    </row>
    <row r="1253">
      <c r="B1253" s="56" t="inlineStr">
        <is>
          <t>00023-REF</t>
        </is>
      </c>
      <c r="C1253" s="56">
        <f>IFERROR(_xlfn.XLOOKUP(SALIDAS[[#This Row],[CODIGO]],LISTADO[CODIGOS],LISTADO[CATEGORIA]),"NO EXISTE")</f>
        <v/>
      </c>
      <c r="D1253" s="56">
        <f>IFERROR(_xlfn.XLOOKUP(SALIDAS[[#This Row],[CODIGO]],LISTADO[CODIGOS],LISTADO[PRODUCTOS]),"NO EXISTE")</f>
        <v/>
      </c>
      <c r="E1253" s="19" t="n">
        <v>46125</v>
      </c>
      <c r="F1253" s="18" t="n">
        <v>1</v>
      </c>
      <c r="G1253" s="18" t="inlineStr">
        <is>
          <t>AV. CEDEÑO</t>
        </is>
      </c>
    </row>
    <row r="1254">
      <c r="B1254" s="56" t="inlineStr">
        <is>
          <t>00021-ELE</t>
        </is>
      </c>
      <c r="C1254" s="56">
        <f>IFERROR(_xlfn.XLOOKUP(SALIDAS[[#This Row],[CODIGO]],LISTADO[CODIGOS],LISTADO[CATEGORIA]),"NO EXISTE")</f>
        <v/>
      </c>
      <c r="D1254" s="56">
        <f>IFERROR(_xlfn.XLOOKUP(SALIDAS[[#This Row],[CODIGO]],LISTADO[CODIGOS],LISTADO[PRODUCTOS]),"NO EXISTE")</f>
        <v/>
      </c>
      <c r="E1254" s="19" t="n">
        <v>46125</v>
      </c>
      <c r="F1254" s="18" t="n">
        <v>6</v>
      </c>
      <c r="G1254" s="18" t="inlineStr">
        <is>
          <t>AV. CEDEÑO</t>
        </is>
      </c>
    </row>
    <row r="1255">
      <c r="B1255" s="56" t="inlineStr">
        <is>
          <t>00064-UNI</t>
        </is>
      </c>
      <c r="C1255" s="56">
        <f>IFERROR(_xlfn.XLOOKUP(SALIDAS[[#This Row],[CODIGO]],LISTADO[CODIGOS],LISTADO[CATEGORIA]),"NO EXISTE")</f>
        <v/>
      </c>
      <c r="D1255" s="56">
        <f>IFERROR(_xlfn.XLOOKUP(SALIDAS[[#This Row],[CODIGO]],LISTADO[CODIGOS],LISTADO[PRODUCTOS]),"NO EXISTE")</f>
        <v/>
      </c>
      <c r="E1255" s="19" t="n">
        <v>46125</v>
      </c>
      <c r="F1255" s="18" t="n">
        <v>1</v>
      </c>
      <c r="G1255" s="18" t="inlineStr">
        <is>
          <t>PERIFERICO</t>
        </is>
      </c>
    </row>
    <row r="1256">
      <c r="B1256" s="56" t="inlineStr">
        <is>
          <t>00064-UNI</t>
        </is>
      </c>
      <c r="C1256" s="56">
        <f>IFERROR(_xlfn.XLOOKUP(SALIDAS[[#This Row],[CODIGO]],LISTADO[CODIGOS],LISTADO[CATEGORIA]),"NO EXISTE")</f>
        <v/>
      </c>
      <c r="D1256" s="56">
        <f>IFERROR(_xlfn.XLOOKUP(SALIDAS[[#This Row],[CODIGO]],LISTADO[CODIGOS],LISTADO[PRODUCTOS]),"NO EXISTE")</f>
        <v/>
      </c>
      <c r="E1256" s="19" t="n">
        <v>46125</v>
      </c>
      <c r="F1256" s="18" t="n">
        <v>1</v>
      </c>
      <c r="G1256" s="18" t="inlineStr">
        <is>
          <t>PERIFERICO</t>
        </is>
      </c>
    </row>
    <row r="1257">
      <c r="B1257" s="56" t="inlineStr">
        <is>
          <t>00064-UNI</t>
        </is>
      </c>
      <c r="C1257" s="56">
        <f>IFERROR(_xlfn.XLOOKUP(SALIDAS[[#This Row],[CODIGO]],LISTADO[CODIGOS],LISTADO[CATEGORIA]),"NO EXISTE")</f>
        <v/>
      </c>
      <c r="D1257" s="56">
        <f>IFERROR(_xlfn.XLOOKUP(SALIDAS[[#This Row],[CODIGO]],LISTADO[CODIGOS],LISTADO[PRODUCTOS]),"NO EXISTE")</f>
        <v/>
      </c>
      <c r="E1257" s="19" t="n">
        <v>46125</v>
      </c>
      <c r="F1257" s="18" t="n">
        <v>1</v>
      </c>
      <c r="G1257" s="18" t="inlineStr">
        <is>
          <t>PERIFERICO</t>
        </is>
      </c>
    </row>
    <row r="1258">
      <c r="B1258" s="56" t="inlineStr">
        <is>
          <t>00007-UNI</t>
        </is>
      </c>
      <c r="C1258" s="56">
        <f>IFERROR(_xlfn.XLOOKUP(SALIDAS[[#This Row],[CODIGO]],LISTADO[CODIGOS],LISTADO[CATEGORIA]),"NO EXISTE")</f>
        <v/>
      </c>
      <c r="D1258" s="56">
        <f>IFERROR(_xlfn.XLOOKUP(SALIDAS[[#This Row],[CODIGO]],LISTADO[CODIGOS],LISTADO[PRODUCTOS]),"NO EXISTE")</f>
        <v/>
      </c>
      <c r="E1258" s="19" t="n">
        <v>46126</v>
      </c>
      <c r="F1258" s="18" t="n">
        <v>4</v>
      </c>
      <c r="G1258" s="18" t="inlineStr">
        <is>
          <t>LA VIÑA</t>
        </is>
      </c>
    </row>
    <row r="1259">
      <c r="B1259" s="56" t="inlineStr">
        <is>
          <t>00008-UNI</t>
        </is>
      </c>
      <c r="C1259" s="56">
        <f>IFERROR(_xlfn.XLOOKUP(SALIDAS[[#This Row],[CODIGO]],LISTADO[CODIGOS],LISTADO[CATEGORIA]),"NO EXISTE")</f>
        <v/>
      </c>
      <c r="D1259" s="56">
        <f>IFERROR(_xlfn.XLOOKUP(SALIDAS[[#This Row],[CODIGO]],LISTADO[CODIGOS],LISTADO[PRODUCTOS]),"NO EXISTE")</f>
        <v/>
      </c>
      <c r="E1259" s="19" t="n">
        <v>46126</v>
      </c>
      <c r="F1259" s="18" t="n">
        <v>16</v>
      </c>
      <c r="G1259" s="18" t="inlineStr">
        <is>
          <t>LA VIÑA</t>
        </is>
      </c>
    </row>
    <row r="1260">
      <c r="B1260" s="56" t="inlineStr">
        <is>
          <t>00009-UNI</t>
        </is>
      </c>
      <c r="C1260" s="56">
        <f>IFERROR(_xlfn.XLOOKUP(SALIDAS[[#This Row],[CODIGO]],LISTADO[CODIGOS],LISTADO[CATEGORIA]),"NO EXISTE")</f>
        <v/>
      </c>
      <c r="D1260" s="56">
        <f>IFERROR(_xlfn.XLOOKUP(SALIDAS[[#This Row],[CODIGO]],LISTADO[CODIGOS],LISTADO[PRODUCTOS]),"NO EXISTE")</f>
        <v/>
      </c>
      <c r="E1260" s="19" t="n">
        <v>46126</v>
      </c>
      <c r="F1260" s="18" t="n">
        <v>1</v>
      </c>
      <c r="G1260" s="18" t="inlineStr">
        <is>
          <t>LA VIÑA</t>
        </is>
      </c>
    </row>
    <row r="1261">
      <c r="B1261" s="56" t="inlineStr">
        <is>
          <t>00013-UNI</t>
        </is>
      </c>
      <c r="C1261" s="56">
        <f>IFERROR(_xlfn.XLOOKUP(SALIDAS[[#This Row],[CODIGO]],LISTADO[CODIGOS],LISTADO[CATEGORIA]),"NO EXISTE")</f>
        <v/>
      </c>
      <c r="D1261" s="56">
        <f>IFERROR(_xlfn.XLOOKUP(SALIDAS[[#This Row],[CODIGO]],LISTADO[CODIGOS],LISTADO[PRODUCTOS]),"NO EXISTE")</f>
        <v/>
      </c>
      <c r="E1261" s="19" t="n">
        <v>46126</v>
      </c>
      <c r="F1261" s="18" t="n">
        <v>7</v>
      </c>
      <c r="G1261" s="18" t="inlineStr">
        <is>
          <t>LA VIÑA</t>
        </is>
      </c>
    </row>
    <row r="1262">
      <c r="B1262" s="56" t="inlineStr">
        <is>
          <t>00014-UNI</t>
        </is>
      </c>
      <c r="C1262" s="56">
        <f>IFERROR(_xlfn.XLOOKUP(SALIDAS[[#This Row],[CODIGO]],LISTADO[CODIGOS],LISTADO[CATEGORIA]),"NO EXISTE")</f>
        <v/>
      </c>
      <c r="D1262" s="56">
        <f>IFERROR(_xlfn.XLOOKUP(SALIDAS[[#This Row],[CODIGO]],LISTADO[CODIGOS],LISTADO[PRODUCTOS]),"NO EXISTE")</f>
        <v/>
      </c>
      <c r="E1262" s="19" t="n">
        <v>46126</v>
      </c>
      <c r="F1262" s="18" t="n">
        <v>8</v>
      </c>
      <c r="G1262" s="18" t="inlineStr">
        <is>
          <t>LA VIÑA</t>
        </is>
      </c>
    </row>
    <row r="1263">
      <c r="B1263" s="56" t="inlineStr">
        <is>
          <t>00064-UNI</t>
        </is>
      </c>
      <c r="C1263" s="56">
        <f>IFERROR(_xlfn.XLOOKUP(SALIDAS[[#This Row],[CODIGO]],LISTADO[CODIGOS],LISTADO[CATEGORIA]),"NO EXISTE")</f>
        <v/>
      </c>
      <c r="D1263" s="56">
        <f>IFERROR(_xlfn.XLOOKUP(SALIDAS[[#This Row],[CODIGO]],LISTADO[CODIGOS],LISTADO[PRODUCTOS]),"NO EXISTE")</f>
        <v/>
      </c>
      <c r="E1263" s="19" t="n">
        <v>46126</v>
      </c>
      <c r="F1263" s="18" t="n">
        <v>1</v>
      </c>
      <c r="G1263" s="18" t="inlineStr">
        <is>
          <t>LA VIÑA</t>
        </is>
      </c>
    </row>
    <row r="1264">
      <c r="B1264" s="56" t="inlineStr">
        <is>
          <t>00065-UNI</t>
        </is>
      </c>
      <c r="C1264" s="56">
        <f>IFERROR(_xlfn.XLOOKUP(SALIDAS[[#This Row],[CODIGO]],LISTADO[CODIGOS],LISTADO[CATEGORIA]),"NO EXISTE")</f>
        <v/>
      </c>
      <c r="D1264" s="56">
        <f>IFERROR(_xlfn.XLOOKUP(SALIDAS[[#This Row],[CODIGO]],LISTADO[CODIGOS],LISTADO[PRODUCTOS]),"NO EXISTE")</f>
        <v/>
      </c>
      <c r="E1264" s="19" t="n">
        <v>46126</v>
      </c>
      <c r="F1264" s="18" t="n">
        <v>2</v>
      </c>
      <c r="G1264" s="18" t="inlineStr">
        <is>
          <t>LA VIÑA</t>
        </is>
      </c>
    </row>
    <row r="1265">
      <c r="B1265" s="56" t="inlineStr">
        <is>
          <t>00041-FER</t>
        </is>
      </c>
      <c r="C1265" s="56">
        <f>IFERROR(_xlfn.XLOOKUP(SALIDAS[[#This Row],[CODIGO]],LISTADO[CODIGOS],LISTADO[CATEGORIA]),"NO EXISTE")</f>
        <v/>
      </c>
      <c r="D1265" s="56">
        <f>IFERROR(_xlfn.XLOOKUP(SALIDAS[[#This Row],[CODIGO]],LISTADO[CODIGOS],LISTADO[PRODUCTOS]),"NO EXISTE")</f>
        <v/>
      </c>
      <c r="E1265" s="19" t="n">
        <v>46126</v>
      </c>
      <c r="F1265" s="18" t="n">
        <v>2</v>
      </c>
      <c r="G1265" s="18" t="inlineStr">
        <is>
          <t>TAZAJAL</t>
        </is>
      </c>
    </row>
    <row r="1266">
      <c r="B1266" s="56" t="inlineStr">
        <is>
          <t>00021-ELE</t>
        </is>
      </c>
      <c r="C1266" s="56">
        <f>IFERROR(_xlfn.XLOOKUP(SALIDAS[[#This Row],[CODIGO]],LISTADO[CODIGOS],LISTADO[CATEGORIA]),"NO EXISTE")</f>
        <v/>
      </c>
      <c r="D1266" s="56">
        <f>IFERROR(_xlfn.XLOOKUP(SALIDAS[[#This Row],[CODIGO]],LISTADO[CODIGOS],LISTADO[PRODUCTOS]),"NO EXISTE")</f>
        <v/>
      </c>
      <c r="E1266" s="19" t="n">
        <v>46126</v>
      </c>
      <c r="F1266" s="18" t="n">
        <v>3</v>
      </c>
      <c r="G1266" s="18" t="inlineStr">
        <is>
          <t>AV. CEDEÑO</t>
        </is>
      </c>
    </row>
    <row r="1267">
      <c r="B1267" s="56" t="inlineStr">
        <is>
          <t>00054-ELE</t>
        </is>
      </c>
      <c r="C1267" s="56">
        <f>IFERROR(_xlfn.XLOOKUP(SALIDAS[[#This Row],[CODIGO]],LISTADO[CODIGOS],LISTADO[CATEGORIA]),"NO EXISTE")</f>
        <v/>
      </c>
      <c r="D1267" s="56">
        <f>IFERROR(_xlfn.XLOOKUP(SALIDAS[[#This Row],[CODIGO]],LISTADO[CODIGOS],LISTADO[PRODUCTOS]),"NO EXISTE")</f>
        <v/>
      </c>
      <c r="E1267" s="19" t="n">
        <v>46126</v>
      </c>
      <c r="F1267" s="18" t="n">
        <v>6</v>
      </c>
      <c r="G1267" s="18" t="inlineStr">
        <is>
          <t>AV. CEDEÑO</t>
        </is>
      </c>
    </row>
    <row r="1268">
      <c r="B1268" s="56" t="inlineStr">
        <is>
          <t>00040-FER</t>
        </is>
      </c>
      <c r="C1268" s="56">
        <f>IFERROR(_xlfn.XLOOKUP(SALIDAS[[#This Row],[CODIGO]],LISTADO[CODIGOS],LISTADO[CATEGORIA]),"NO EXISTE")</f>
        <v/>
      </c>
      <c r="D1268" s="56">
        <f>IFERROR(_xlfn.XLOOKUP(SALIDAS[[#This Row],[CODIGO]],LISTADO[CODIGOS],LISTADO[PRODUCTOS]),"NO EXISTE")</f>
        <v/>
      </c>
      <c r="E1268" s="19" t="n">
        <v>46126</v>
      </c>
      <c r="F1268" s="18" t="n">
        <v>1</v>
      </c>
      <c r="G1268" s="18" t="inlineStr">
        <is>
          <t>TAZAJAL</t>
        </is>
      </c>
    </row>
    <row r="1269">
      <c r="B1269" s="56" t="inlineStr">
        <is>
          <t>00007-UNI</t>
        </is>
      </c>
      <c r="C1269" s="56">
        <f>IFERROR(_xlfn.XLOOKUP(SALIDAS[[#This Row],[CODIGO]],LISTADO[CODIGOS],LISTADO[CATEGORIA]),"NO EXISTE")</f>
        <v/>
      </c>
      <c r="D1269" s="56">
        <f>IFERROR(_xlfn.XLOOKUP(SALIDAS[[#This Row],[CODIGO]],LISTADO[CODIGOS],LISTADO[PRODUCTOS]),"NO EXISTE")</f>
        <v/>
      </c>
      <c r="E1269" s="19" t="n">
        <v>46126</v>
      </c>
      <c r="F1269" s="18" t="n">
        <v>4</v>
      </c>
      <c r="G1269" s="18" t="inlineStr">
        <is>
          <t>LA VIÑA</t>
        </is>
      </c>
    </row>
    <row r="1270">
      <c r="B1270" s="56" t="inlineStr">
        <is>
          <t>00008-UNI</t>
        </is>
      </c>
      <c r="C1270" s="56">
        <f>IFERROR(_xlfn.XLOOKUP(SALIDAS[[#This Row],[CODIGO]],LISTADO[CODIGOS],LISTADO[CATEGORIA]),"NO EXISTE")</f>
        <v/>
      </c>
      <c r="D1270" s="56">
        <f>IFERROR(_xlfn.XLOOKUP(SALIDAS[[#This Row],[CODIGO]],LISTADO[CODIGOS],LISTADO[PRODUCTOS]),"NO EXISTE")</f>
        <v/>
      </c>
      <c r="E1270" s="19" t="n">
        <v>46126</v>
      </c>
      <c r="F1270" s="18" t="n">
        <v>16</v>
      </c>
      <c r="G1270" s="18" t="inlineStr">
        <is>
          <t>LA VIÑA</t>
        </is>
      </c>
    </row>
    <row r="1271">
      <c r="B1271" s="56" t="inlineStr">
        <is>
          <t>00009-UNI</t>
        </is>
      </c>
      <c r="C1271" s="56">
        <f>IFERROR(_xlfn.XLOOKUP(SALIDAS[[#This Row],[CODIGO]],LISTADO[CODIGOS],LISTADO[CATEGORIA]),"NO EXISTE")</f>
        <v/>
      </c>
      <c r="D1271" s="56">
        <f>IFERROR(_xlfn.XLOOKUP(SALIDAS[[#This Row],[CODIGO]],LISTADO[CODIGOS],LISTADO[PRODUCTOS]),"NO EXISTE")</f>
        <v/>
      </c>
      <c r="E1271" s="19" t="n">
        <v>46126</v>
      </c>
      <c r="F1271" s="18" t="n">
        <v>1</v>
      </c>
      <c r="G1271" s="18" t="inlineStr">
        <is>
          <t>LA VIÑA</t>
        </is>
      </c>
    </row>
    <row r="1272">
      <c r="B1272" s="56" t="inlineStr">
        <is>
          <t>00013-UNI</t>
        </is>
      </c>
      <c r="C1272" s="56">
        <f>IFERROR(_xlfn.XLOOKUP(SALIDAS[[#This Row],[CODIGO]],LISTADO[CODIGOS],LISTADO[CATEGORIA]),"NO EXISTE")</f>
        <v/>
      </c>
      <c r="D1272" s="56">
        <f>IFERROR(_xlfn.XLOOKUP(SALIDAS[[#This Row],[CODIGO]],LISTADO[CODIGOS],LISTADO[PRODUCTOS]),"NO EXISTE")</f>
        <v/>
      </c>
      <c r="E1272" s="19" t="n">
        <v>46126</v>
      </c>
      <c r="F1272" s="18" t="n">
        <v>7</v>
      </c>
      <c r="G1272" s="18" t="inlineStr">
        <is>
          <t>LA VIÑA</t>
        </is>
      </c>
    </row>
    <row r="1273">
      <c r="B1273" s="56" t="inlineStr">
        <is>
          <t>00014-UNI</t>
        </is>
      </c>
      <c r="C1273" s="56">
        <f>IFERROR(_xlfn.XLOOKUP(SALIDAS[[#This Row],[CODIGO]],LISTADO[CODIGOS],LISTADO[CATEGORIA]),"NO EXISTE")</f>
        <v/>
      </c>
      <c r="D1273" s="56">
        <f>IFERROR(_xlfn.XLOOKUP(SALIDAS[[#This Row],[CODIGO]],LISTADO[CODIGOS],LISTADO[PRODUCTOS]),"NO EXISTE")</f>
        <v/>
      </c>
      <c r="E1273" s="19" t="n">
        <v>46126</v>
      </c>
      <c r="F1273" s="18" t="n">
        <v>8</v>
      </c>
      <c r="G1273" s="18" t="inlineStr">
        <is>
          <t>LA VIÑA</t>
        </is>
      </c>
    </row>
    <row r="1274">
      <c r="B1274" s="56" t="inlineStr">
        <is>
          <t>00064-UNI</t>
        </is>
      </c>
      <c r="C1274" s="56">
        <f>IFERROR(_xlfn.XLOOKUP(SALIDAS[[#This Row],[CODIGO]],LISTADO[CODIGOS],LISTADO[CATEGORIA]),"NO EXISTE")</f>
        <v/>
      </c>
      <c r="D1274" s="56">
        <f>IFERROR(_xlfn.XLOOKUP(SALIDAS[[#This Row],[CODIGO]],LISTADO[CODIGOS],LISTADO[PRODUCTOS]),"NO EXISTE")</f>
        <v/>
      </c>
      <c r="E1274" s="19" t="n">
        <v>46126</v>
      </c>
      <c r="F1274" s="18" t="n">
        <v>1</v>
      </c>
      <c r="G1274" s="18" t="inlineStr">
        <is>
          <t>LA VIÑA</t>
        </is>
      </c>
    </row>
    <row r="1275">
      <c r="B1275" s="56" t="inlineStr">
        <is>
          <t>00065-UNI</t>
        </is>
      </c>
      <c r="C1275" s="56">
        <f>IFERROR(_xlfn.XLOOKUP(SALIDAS[[#This Row],[CODIGO]],LISTADO[CODIGOS],LISTADO[CATEGORIA]),"NO EXISTE")</f>
        <v/>
      </c>
      <c r="D1275" s="56">
        <f>IFERROR(_xlfn.XLOOKUP(SALIDAS[[#This Row],[CODIGO]],LISTADO[CODIGOS],LISTADO[PRODUCTOS]),"NO EXISTE")</f>
        <v/>
      </c>
      <c r="E1275" s="19" t="n">
        <v>46126</v>
      </c>
      <c r="F1275" s="18" t="n">
        <v>2</v>
      </c>
      <c r="G1275" s="18" t="inlineStr">
        <is>
          <t>LA VIÑA</t>
        </is>
      </c>
    </row>
    <row r="1276">
      <c r="B1276" s="18" t="inlineStr">
        <is>
          <t>00205-FER</t>
        </is>
      </c>
      <c r="C1276" s="56">
        <f>IFERROR(_xlfn.XLOOKUP(SALIDAS[[#This Row],[CODIGO]],LISTADO[CODIGOS],LISTADO[CATEGORIA]),"NO EXISTE")</f>
        <v/>
      </c>
      <c r="D1276" s="56">
        <f>IFERROR(_xlfn.XLOOKUP(SALIDAS[[#This Row],[CODIGO]],LISTADO[CODIGOS],LISTADO[PRODUCTOS]),"NO EXISTE")</f>
        <v/>
      </c>
      <c r="E1276" s="19" t="n">
        <v>46127</v>
      </c>
      <c r="F1276" s="18" t="n">
        <v>26</v>
      </c>
      <c r="G1276" s="18" t="inlineStr">
        <is>
          <t xml:space="preserve">CEDI SECO </t>
        </is>
      </c>
    </row>
    <row r="1277">
      <c r="B1277" s="18" t="inlineStr">
        <is>
          <t>00089-ELE</t>
        </is>
      </c>
      <c r="C1277" s="56">
        <f>IFERROR(_xlfn.XLOOKUP(SALIDAS[[#This Row],[CODIGO]],LISTADO[CODIGOS],LISTADO[CATEGORIA]),"NO EXISTE")</f>
        <v/>
      </c>
      <c r="D1277" s="56">
        <f>IFERROR(_xlfn.XLOOKUP(SALIDAS[[#This Row],[CODIGO]],LISTADO[CODIGOS],LISTADO[PRODUCTOS]),"NO EXISTE")</f>
        <v/>
      </c>
      <c r="E1277" s="19" t="n">
        <v>46127</v>
      </c>
      <c r="F1277" s="18" t="n">
        <v>100</v>
      </c>
      <c r="G1277" s="18" t="inlineStr">
        <is>
          <t>ISABELICA</t>
        </is>
      </c>
    </row>
    <row r="1278">
      <c r="B1278" s="56" t="inlineStr">
        <is>
          <t>00090-ELE</t>
        </is>
      </c>
      <c r="C1278" s="56">
        <f>IFERROR(_xlfn.XLOOKUP(SALIDAS[[#This Row],[CODIGO]],LISTADO[CODIGOS],LISTADO[CATEGORIA]),"NO EXISTE")</f>
        <v/>
      </c>
      <c r="D1278" s="56">
        <f>IFERROR(_xlfn.XLOOKUP(SALIDAS[[#This Row],[CODIGO]],LISTADO[CODIGOS],LISTADO[PRODUCTOS]),"NO EXISTE")</f>
        <v/>
      </c>
      <c r="E1278" s="19" t="n">
        <v>46127</v>
      </c>
      <c r="F1278" s="18" t="n">
        <v>100</v>
      </c>
      <c r="G1278" s="18" t="inlineStr">
        <is>
          <t>ISABELICA</t>
        </is>
      </c>
    </row>
    <row r="1279">
      <c r="B1279" s="56" t="inlineStr">
        <is>
          <t>00124-REF</t>
        </is>
      </c>
      <c r="C1279" s="56">
        <f>IFERROR(_xlfn.XLOOKUP(SALIDAS[[#This Row],[CODIGO]],LISTADO[CODIGOS],LISTADO[CATEGORIA]),"NO EXISTE")</f>
        <v/>
      </c>
      <c r="D1279" s="56">
        <f>IFERROR(_xlfn.XLOOKUP(SALIDAS[[#This Row],[CODIGO]],LISTADO[CODIGOS],LISTADO[PRODUCTOS]),"NO EXISTE")</f>
        <v/>
      </c>
      <c r="E1279" s="19" t="n">
        <v>46127</v>
      </c>
      <c r="F1279" s="18" t="n">
        <v>10</v>
      </c>
      <c r="G1279" s="18" t="inlineStr">
        <is>
          <t>ISABELICA</t>
        </is>
      </c>
    </row>
    <row r="1280">
      <c r="B1280" s="18" t="inlineStr">
        <is>
          <t>00125-REF</t>
        </is>
      </c>
      <c r="C1280" s="56">
        <f>IFERROR(_xlfn.XLOOKUP(SALIDAS[[#This Row],[CODIGO]],LISTADO[CODIGOS],LISTADO[CATEGORIA]),"NO EXISTE")</f>
        <v/>
      </c>
      <c r="D1280" s="56">
        <f>IFERROR(_xlfn.XLOOKUP(SALIDAS[[#This Row],[CODIGO]],LISTADO[CODIGOS],LISTADO[PRODUCTOS]),"NO EXISTE")</f>
        <v/>
      </c>
      <c r="E1280" s="19" t="n">
        <v>46127</v>
      </c>
      <c r="F1280" s="18" t="n">
        <v>1</v>
      </c>
      <c r="G1280" s="18" t="inlineStr">
        <is>
          <t>CEDI FRIO</t>
        </is>
      </c>
    </row>
    <row r="1281">
      <c r="B1281" s="18" t="inlineStr">
        <is>
          <t>00049-ILU</t>
        </is>
      </c>
      <c r="C1281" s="56">
        <f>IFERROR(_xlfn.XLOOKUP(SALIDAS[[#This Row],[CODIGO]],LISTADO[CODIGOS],LISTADO[CATEGORIA]),"NO EXISTE")</f>
        <v/>
      </c>
      <c r="D1281" s="56">
        <f>IFERROR(_xlfn.XLOOKUP(SALIDAS[[#This Row],[CODIGO]],LISTADO[CODIGOS],LISTADO[PRODUCTOS]),"NO EXISTE")</f>
        <v/>
      </c>
      <c r="E1281" s="19" t="n">
        <v>46127</v>
      </c>
      <c r="F1281" s="18" t="n">
        <v>4</v>
      </c>
      <c r="G1281" s="18" t="inlineStr">
        <is>
          <t>TAZAJAL</t>
        </is>
      </c>
    </row>
    <row r="1282">
      <c r="B1282" s="56" t="inlineStr">
        <is>
          <t>00031-ILU</t>
        </is>
      </c>
      <c r="C1282" s="56">
        <f>IFERROR(_xlfn.XLOOKUP(SALIDAS[[#This Row],[CODIGO]],LISTADO[CODIGOS],LISTADO[CATEGORIA]),"NO EXISTE")</f>
        <v/>
      </c>
      <c r="D1282" s="56">
        <f>IFERROR(_xlfn.XLOOKUP(SALIDAS[[#This Row],[CODIGO]],LISTADO[CODIGOS],LISTADO[PRODUCTOS]),"NO EXISTE")</f>
        <v/>
      </c>
      <c r="E1282" s="19" t="n">
        <v>46127</v>
      </c>
      <c r="F1282" s="18" t="n">
        <v>4</v>
      </c>
      <c r="G1282" s="18" t="inlineStr">
        <is>
          <t>TAZAJAL</t>
        </is>
      </c>
    </row>
    <row r="1283">
      <c r="B1283" s="56" t="inlineStr">
        <is>
          <t>00031-ILU</t>
        </is>
      </c>
      <c r="C1283" s="56">
        <f>IFERROR(_xlfn.XLOOKUP(SALIDAS[[#This Row],[CODIGO]],LISTADO[CODIGOS],LISTADO[CATEGORIA]),"NO EXISTE")</f>
        <v/>
      </c>
      <c r="D1283" s="56">
        <f>IFERROR(_xlfn.XLOOKUP(SALIDAS[[#This Row],[CODIGO]],LISTADO[CODIGOS],LISTADO[PRODUCTOS]),"NO EXISTE")</f>
        <v/>
      </c>
      <c r="E1283" s="19" t="n">
        <v>46127</v>
      </c>
      <c r="F1283" s="18" t="n">
        <v>1</v>
      </c>
      <c r="G1283" s="18" t="inlineStr">
        <is>
          <t>AV. CEDEÑO</t>
        </is>
      </c>
    </row>
    <row r="1284">
      <c r="B1284" s="18" t="inlineStr">
        <is>
          <t>00062-HRR</t>
        </is>
      </c>
      <c r="C1284" s="56">
        <f>IFERROR(_xlfn.XLOOKUP(SALIDAS[[#This Row],[CODIGO]],LISTADO[CODIGOS],LISTADO[CATEGORIA]),"NO EXISTE")</f>
        <v/>
      </c>
      <c r="D1284" s="56">
        <f>IFERROR(_xlfn.XLOOKUP(SALIDAS[[#This Row],[CODIGO]],LISTADO[CODIGOS],LISTADO[PRODUCTOS]),"NO EXISTE")</f>
        <v/>
      </c>
      <c r="E1284" s="19" t="n">
        <v>46127</v>
      </c>
      <c r="F1284" s="18" t="n">
        <v>1.5</v>
      </c>
      <c r="G1284" s="18" t="inlineStr">
        <is>
          <t>LA VIÑA</t>
        </is>
      </c>
    </row>
    <row r="1285">
      <c r="B1285" s="56" t="inlineStr">
        <is>
          <t>00108-FER</t>
        </is>
      </c>
      <c r="C1285" s="56">
        <f>IFERROR(_xlfn.XLOOKUP(SALIDAS[[#This Row],[CODIGO]],LISTADO[CODIGOS],LISTADO[CATEGORIA]),"NO EXISTE")</f>
        <v/>
      </c>
      <c r="D1285" s="56">
        <f>IFERROR(_xlfn.XLOOKUP(SALIDAS[[#This Row],[CODIGO]],LISTADO[CODIGOS],LISTADO[PRODUCTOS]),"NO EXISTE")</f>
        <v/>
      </c>
      <c r="E1285" s="19" t="n">
        <v>46127</v>
      </c>
      <c r="F1285" s="18" t="n">
        <v>1</v>
      </c>
      <c r="G1285" s="18" t="inlineStr">
        <is>
          <t>LA VIÑA</t>
        </is>
      </c>
    </row>
    <row r="1286">
      <c r="B1286" s="56" t="inlineStr">
        <is>
          <t>00020-HRR</t>
        </is>
      </c>
      <c r="C1286" s="56">
        <f>IFERROR(_xlfn.XLOOKUP(SALIDAS[[#This Row],[CODIGO]],LISTADO[CODIGOS],LISTADO[CATEGORIA]),"NO EXISTE")</f>
        <v/>
      </c>
      <c r="D1286" s="56">
        <f>IFERROR(_xlfn.XLOOKUP(SALIDAS[[#This Row],[CODIGO]],LISTADO[CODIGOS],LISTADO[PRODUCTOS]),"NO EXISTE")</f>
        <v/>
      </c>
      <c r="E1286" s="19" t="n">
        <v>46127</v>
      </c>
      <c r="F1286" s="18" t="n">
        <v>3</v>
      </c>
      <c r="G1286" s="18" t="inlineStr">
        <is>
          <t>LA VIÑA</t>
        </is>
      </c>
    </row>
    <row r="1287">
      <c r="B1287" s="56" t="inlineStr">
        <is>
          <t>00021-HRR</t>
        </is>
      </c>
      <c r="C1287" s="56">
        <f>IFERROR(_xlfn.XLOOKUP(SALIDAS[[#This Row],[CODIGO]],LISTADO[CODIGOS],LISTADO[CATEGORIA]),"NO EXISTE")</f>
        <v/>
      </c>
      <c r="D1287" s="56">
        <f>IFERROR(_xlfn.XLOOKUP(SALIDAS[[#This Row],[CODIGO]],LISTADO[CODIGOS],LISTADO[PRODUCTOS]),"NO EXISTE")</f>
        <v/>
      </c>
      <c r="E1287" s="19" t="n">
        <v>46127</v>
      </c>
      <c r="F1287" s="18" t="n">
        <v>2</v>
      </c>
      <c r="G1287" s="18" t="inlineStr">
        <is>
          <t>LA VIÑA</t>
        </is>
      </c>
    </row>
    <row r="1288">
      <c r="B1288" s="56" t="inlineStr">
        <is>
          <t>00016-HRR</t>
        </is>
      </c>
      <c r="C1288" s="56">
        <f>IFERROR(_xlfn.XLOOKUP(SALIDAS[[#This Row],[CODIGO]],LISTADO[CODIGOS],LISTADO[CATEGORIA]),"NO EXISTE")</f>
        <v/>
      </c>
      <c r="D1288" s="56">
        <f>IFERROR(_xlfn.XLOOKUP(SALIDAS[[#This Row],[CODIGO]],LISTADO[CODIGOS],LISTADO[PRODUCTOS]),"NO EXISTE")</f>
        <v/>
      </c>
      <c r="E1288" s="19" t="n">
        <v>46127</v>
      </c>
      <c r="F1288" s="18" t="n">
        <v>4</v>
      </c>
      <c r="G1288" s="18" t="inlineStr">
        <is>
          <t>LA VIÑA</t>
        </is>
      </c>
    </row>
    <row r="1289">
      <c r="B1289" s="56" t="inlineStr">
        <is>
          <t>00039-PLM</t>
        </is>
      </c>
      <c r="C1289" s="56">
        <f>IFERROR(_xlfn.XLOOKUP(SALIDAS[[#This Row],[CODIGO]],LISTADO[CODIGOS],LISTADO[CATEGORIA]),"NO EXISTE")</f>
        <v/>
      </c>
      <c r="D1289" s="56">
        <f>IFERROR(_xlfn.XLOOKUP(SALIDAS[[#This Row],[CODIGO]],LISTADO[CODIGOS],LISTADO[PRODUCTOS]),"NO EXISTE")</f>
        <v/>
      </c>
      <c r="E1289" s="19" t="n">
        <v>46127</v>
      </c>
      <c r="F1289" s="18" t="n">
        <v>2</v>
      </c>
      <c r="G1289" s="18" t="inlineStr">
        <is>
          <t>LA VIÑA</t>
        </is>
      </c>
    </row>
    <row r="1290">
      <c r="B1290" s="56" t="inlineStr">
        <is>
          <t>00142-FER</t>
        </is>
      </c>
      <c r="C1290" s="56">
        <f>IFERROR(_xlfn.XLOOKUP(SALIDAS[[#This Row],[CODIGO]],LISTADO[CODIGOS],LISTADO[CATEGORIA]),"NO EXISTE")</f>
        <v/>
      </c>
      <c r="D1290" s="56">
        <f>IFERROR(_xlfn.XLOOKUP(SALIDAS[[#This Row],[CODIGO]],LISTADO[CODIGOS],LISTADO[PRODUCTOS]),"NO EXISTE")</f>
        <v/>
      </c>
      <c r="E1290" s="19" t="n">
        <v>46127</v>
      </c>
      <c r="F1290" s="18" t="n">
        <v>1</v>
      </c>
      <c r="G1290" s="18" t="inlineStr">
        <is>
          <t>LA VIÑA</t>
        </is>
      </c>
    </row>
    <row r="1291">
      <c r="B1291" s="56" t="inlineStr">
        <is>
          <t>00116-FER</t>
        </is>
      </c>
      <c r="C1291" s="56">
        <f>IFERROR(_xlfn.XLOOKUP(SALIDAS[[#This Row],[CODIGO]],LISTADO[CODIGOS],LISTADO[CATEGORIA]),"NO EXISTE")</f>
        <v/>
      </c>
      <c r="D1291" s="56">
        <f>IFERROR(_xlfn.XLOOKUP(SALIDAS[[#This Row],[CODIGO]],LISTADO[CODIGOS],LISTADO[PRODUCTOS]),"NO EXISTE")</f>
        <v/>
      </c>
      <c r="E1291" s="19" t="n">
        <v>46127</v>
      </c>
      <c r="F1291" s="18" t="n">
        <v>400</v>
      </c>
      <c r="G1291" s="18" t="inlineStr">
        <is>
          <t>PERIFERICO</t>
        </is>
      </c>
    </row>
    <row r="1292">
      <c r="B1292" s="56" t="inlineStr">
        <is>
          <t>00116-FER</t>
        </is>
      </c>
      <c r="C1292" s="56">
        <f>IFERROR(_xlfn.XLOOKUP(SALIDAS[[#This Row],[CODIGO]],LISTADO[CODIGOS],LISTADO[CATEGORIA]),"NO EXISTE")</f>
        <v/>
      </c>
      <c r="D1292" s="56">
        <f>IFERROR(_xlfn.XLOOKUP(SALIDAS[[#This Row],[CODIGO]],LISTADO[CODIGOS],LISTADO[PRODUCTOS]),"NO EXISTE")</f>
        <v/>
      </c>
      <c r="E1292" s="19" t="n">
        <v>46127</v>
      </c>
      <c r="F1292" s="18" t="n">
        <v>100</v>
      </c>
      <c r="G1292" s="18" t="inlineStr">
        <is>
          <t>AV. CEDEÑO</t>
        </is>
      </c>
    </row>
    <row r="1293">
      <c r="B1293" s="18" t="inlineStr">
        <is>
          <t>00056-FER</t>
        </is>
      </c>
      <c r="C1293" s="56">
        <f>IFERROR(_xlfn.XLOOKUP(SALIDAS[[#This Row],[CODIGO]],LISTADO[CODIGOS],LISTADO[CATEGORIA]),"NO EXISTE")</f>
        <v/>
      </c>
      <c r="D1293" s="56">
        <f>IFERROR(_xlfn.XLOOKUP(SALIDAS[[#This Row],[CODIGO]],LISTADO[CODIGOS],LISTADO[PRODUCTOS]),"NO EXISTE")</f>
        <v/>
      </c>
      <c r="E1293" s="19" t="n">
        <v>46127</v>
      </c>
      <c r="F1293" s="18" t="n">
        <v>1</v>
      </c>
      <c r="G1293" s="18" t="inlineStr">
        <is>
          <t>LA VIÑA</t>
        </is>
      </c>
    </row>
    <row r="1294">
      <c r="B1294" s="18" t="inlineStr">
        <is>
          <t>00059-ELC</t>
        </is>
      </c>
      <c r="C1294" s="56">
        <f>IFERROR(_xlfn.XLOOKUP(SALIDAS[[#This Row],[CODIGO]],LISTADO[CODIGOS],LISTADO[CATEGORIA]),"NO EXISTE")</f>
        <v/>
      </c>
      <c r="D1294" s="56">
        <f>IFERROR(_xlfn.XLOOKUP(SALIDAS[[#This Row],[CODIGO]],LISTADO[CODIGOS],LISTADO[PRODUCTOS]),"NO EXISTE")</f>
        <v/>
      </c>
      <c r="E1294" s="19" t="n">
        <v>46127</v>
      </c>
      <c r="F1294" s="18" t="n">
        <v>1</v>
      </c>
      <c r="G1294" s="18" t="inlineStr">
        <is>
          <t>ISABELICA</t>
        </is>
      </c>
    </row>
    <row r="1295">
      <c r="B1295" s="56" t="inlineStr">
        <is>
          <t>00027-FER</t>
        </is>
      </c>
      <c r="C1295" s="56">
        <f>IFERROR(_xlfn.XLOOKUP(SALIDAS[[#This Row],[CODIGO]],LISTADO[CODIGOS],LISTADO[CATEGORIA]),"NO EXISTE")</f>
        <v/>
      </c>
      <c r="D1295" s="56">
        <f>IFERROR(_xlfn.XLOOKUP(SALIDAS[[#This Row],[CODIGO]],LISTADO[CODIGOS],LISTADO[PRODUCTOS]),"NO EXISTE")</f>
        <v/>
      </c>
      <c r="E1295" s="19" t="n">
        <v>46127</v>
      </c>
      <c r="F1295" s="18" t="n">
        <v>1</v>
      </c>
      <c r="G1295" s="18" t="inlineStr">
        <is>
          <t>LA VIÑA</t>
        </is>
      </c>
    </row>
    <row r="1296">
      <c r="B1296" s="18" t="inlineStr">
        <is>
          <t>00059-ELC</t>
        </is>
      </c>
      <c r="C1296" s="56">
        <f>IFERROR(_xlfn.XLOOKUP(SALIDAS[[#This Row],[CODIGO]],LISTADO[CODIGOS],LISTADO[CATEGORIA]),"NO EXISTE")</f>
        <v/>
      </c>
      <c r="D1296" s="56">
        <f>IFERROR(_xlfn.XLOOKUP(SALIDAS[[#This Row],[CODIGO]],LISTADO[CODIGOS],LISTADO[PRODUCTOS]),"NO EXISTE")</f>
        <v/>
      </c>
      <c r="E1296" s="19" t="n">
        <v>46128</v>
      </c>
      <c r="F1296" s="18" t="n">
        <v>1</v>
      </c>
      <c r="G1296" s="18" t="inlineStr">
        <is>
          <t>ISABELICA</t>
        </is>
      </c>
    </row>
    <row r="1297">
      <c r="B1297" s="18" t="inlineStr">
        <is>
          <t>00017-AUT</t>
        </is>
      </c>
      <c r="C1297" s="56">
        <f>IFERROR(_xlfn.XLOOKUP(SALIDAS[[#This Row],[CODIGO]],LISTADO[CODIGOS],LISTADO[CATEGORIA]),"NO EXISTE")</f>
        <v/>
      </c>
      <c r="D1297" s="56">
        <f>IFERROR(_xlfn.XLOOKUP(SALIDAS[[#This Row],[CODIGO]],LISTADO[CODIGOS],LISTADO[PRODUCTOS]),"NO EXISTE")</f>
        <v/>
      </c>
      <c r="E1297" s="19" t="n">
        <v>46128</v>
      </c>
      <c r="F1297" s="18" t="n">
        <v>1</v>
      </c>
      <c r="G1297" s="18" t="inlineStr">
        <is>
          <t xml:space="preserve">CEDI SECO </t>
        </is>
      </c>
    </row>
    <row r="1298">
      <c r="B1298" s="18" t="inlineStr">
        <is>
          <t>00126-REF</t>
        </is>
      </c>
      <c r="C1298" s="56">
        <f>IFERROR(_xlfn.XLOOKUP(SALIDAS[[#This Row],[CODIGO]],LISTADO[CODIGOS],LISTADO[CATEGORIA]),"NO EXISTE")</f>
        <v/>
      </c>
      <c r="D1298" s="56">
        <f>IFERROR(_xlfn.XLOOKUP(SALIDAS[[#This Row],[CODIGO]],LISTADO[CODIGOS],LISTADO[PRODUCTOS]),"NO EXISTE")</f>
        <v/>
      </c>
      <c r="E1298" s="19" t="n">
        <v>46128</v>
      </c>
      <c r="F1298" s="18" t="n">
        <v>1</v>
      </c>
      <c r="G1298" s="18" t="inlineStr">
        <is>
          <t>MAYOR</t>
        </is>
      </c>
    </row>
    <row r="1299">
      <c r="B1299" s="18" t="inlineStr">
        <is>
          <t>00127-REF</t>
        </is>
      </c>
      <c r="C1299" s="56">
        <f>IFERROR(_xlfn.XLOOKUP(SALIDAS[[#This Row],[CODIGO]],LISTADO[CODIGOS],LISTADO[CATEGORIA]),"NO EXISTE")</f>
        <v/>
      </c>
      <c r="D1299" s="56">
        <f>IFERROR(_xlfn.XLOOKUP(SALIDAS[[#This Row],[CODIGO]],LISTADO[CODIGOS],LISTADO[PRODUCTOS]),"NO EXISTE")</f>
        <v/>
      </c>
      <c r="E1299" s="19" t="n">
        <v>46128</v>
      </c>
      <c r="F1299" s="18" t="n">
        <v>1</v>
      </c>
      <c r="G1299" s="18" t="inlineStr">
        <is>
          <t>MAYOR</t>
        </is>
      </c>
    </row>
    <row r="1300">
      <c r="B1300" s="18" t="inlineStr">
        <is>
          <t>00057-ILU</t>
        </is>
      </c>
      <c r="C1300" s="56">
        <f>IFERROR(_xlfn.XLOOKUP(SALIDAS[[#This Row],[CODIGO]],LISTADO[CODIGOS],LISTADO[CATEGORIA]),"NO EXISTE")</f>
        <v/>
      </c>
      <c r="D1300" s="56">
        <f>IFERROR(_xlfn.XLOOKUP(SALIDAS[[#This Row],[CODIGO]],LISTADO[CODIGOS],LISTADO[PRODUCTOS]),"NO EXISTE")</f>
        <v/>
      </c>
      <c r="E1300" s="19" t="n">
        <v>46128</v>
      </c>
      <c r="F1300" s="18" t="n">
        <v>1</v>
      </c>
      <c r="G1300" s="18" t="inlineStr">
        <is>
          <t>LA VIÑA</t>
        </is>
      </c>
    </row>
    <row r="1301">
      <c r="B1301" s="56" t="inlineStr">
        <is>
          <t>00041-ELE</t>
        </is>
      </c>
      <c r="C1301" s="56">
        <f>IFERROR(_xlfn.XLOOKUP(SALIDAS[[#This Row],[CODIGO]],LISTADO[CODIGOS],LISTADO[CATEGORIA]),"NO EXISTE")</f>
        <v/>
      </c>
      <c r="D1301" s="56">
        <f>IFERROR(_xlfn.XLOOKUP(SALIDAS[[#This Row],[CODIGO]],LISTADO[CODIGOS],LISTADO[PRODUCTOS]),"NO EXISTE")</f>
        <v/>
      </c>
      <c r="E1301" s="19" t="n">
        <v>46128</v>
      </c>
      <c r="F1301" s="18" t="n">
        <v>2</v>
      </c>
      <c r="G1301" s="18" t="inlineStr">
        <is>
          <t>LA VIÑA</t>
        </is>
      </c>
    </row>
    <row r="1302">
      <c r="B1302" s="56" t="inlineStr">
        <is>
          <t>00046-ELE</t>
        </is>
      </c>
      <c r="C1302" s="56">
        <f>IFERROR(_xlfn.XLOOKUP(SALIDAS[[#This Row],[CODIGO]],LISTADO[CODIGOS],LISTADO[CATEGORIA]),"NO EXISTE")</f>
        <v/>
      </c>
      <c r="D1302" s="56">
        <f>IFERROR(_xlfn.XLOOKUP(SALIDAS[[#This Row],[CODIGO]],LISTADO[CODIGOS],LISTADO[PRODUCTOS]),"NO EXISTE")</f>
        <v/>
      </c>
      <c r="E1302" s="19" t="n">
        <v>46128</v>
      </c>
      <c r="F1302" s="18" t="n">
        <v>2</v>
      </c>
      <c r="G1302" s="18" t="inlineStr">
        <is>
          <t>LA VIÑA</t>
        </is>
      </c>
    </row>
    <row r="1303">
      <c r="B1303" s="56" t="inlineStr">
        <is>
          <t>00091-ELE</t>
        </is>
      </c>
      <c r="C1303" s="56">
        <f>IFERROR(_xlfn.XLOOKUP(SALIDAS[[#This Row],[CODIGO]],LISTADO[CODIGOS],LISTADO[CATEGORIA]),"NO EXISTE")</f>
        <v/>
      </c>
      <c r="D1303" s="56">
        <f>IFERROR(_xlfn.XLOOKUP(SALIDAS[[#This Row],[CODIGO]],LISTADO[CODIGOS],LISTADO[PRODUCTOS]),"NO EXISTE")</f>
        <v/>
      </c>
      <c r="E1303" s="19" t="n">
        <v>46128</v>
      </c>
      <c r="F1303" s="18" t="n">
        <v>2</v>
      </c>
      <c r="G1303" s="18" t="inlineStr">
        <is>
          <t>LA VIÑA</t>
        </is>
      </c>
    </row>
    <row r="1304">
      <c r="B1304" s="56" t="inlineStr">
        <is>
          <t>00128-REF</t>
        </is>
      </c>
      <c r="C1304" s="56">
        <f>IFERROR(_xlfn.XLOOKUP(SALIDAS[[#This Row],[CODIGO]],LISTADO[CODIGOS],LISTADO[CATEGORIA]),"NO EXISTE")</f>
        <v/>
      </c>
      <c r="D1304" s="56">
        <f>IFERROR(_xlfn.XLOOKUP(SALIDAS[[#This Row],[CODIGO]],LISTADO[CODIGOS],LISTADO[PRODUCTOS]),"NO EXISTE")</f>
        <v/>
      </c>
      <c r="E1304" s="19" t="n">
        <v>46128</v>
      </c>
      <c r="F1304" s="18" t="n">
        <v>1</v>
      </c>
      <c r="G1304" s="18" t="inlineStr">
        <is>
          <t>GUACARA</t>
        </is>
      </c>
    </row>
    <row r="1305">
      <c r="B1305" s="56" t="inlineStr">
        <is>
          <t>00026-UNI</t>
        </is>
      </c>
      <c r="C1305" s="56">
        <f>IFERROR(_xlfn.XLOOKUP(SALIDAS[[#This Row],[CODIGO]],LISTADO[CODIGOS],LISTADO[CATEGORIA]),"NO EXISTE")</f>
        <v/>
      </c>
      <c r="D1305" s="56">
        <f>IFERROR(_xlfn.XLOOKUP(SALIDAS[[#This Row],[CODIGO]],LISTADO[CODIGOS],LISTADO[PRODUCTOS]),"NO EXISTE")</f>
        <v/>
      </c>
      <c r="E1305" s="19" t="n">
        <v>46128</v>
      </c>
      <c r="F1305" s="18" t="n">
        <v>2</v>
      </c>
      <c r="G1305" s="18" t="inlineStr">
        <is>
          <t>TAZAJAL</t>
        </is>
      </c>
    </row>
    <row r="1306">
      <c r="B1306" s="56" t="inlineStr">
        <is>
          <t>00027-UNI</t>
        </is>
      </c>
      <c r="C1306" s="56">
        <f>IFERROR(_xlfn.XLOOKUP(SALIDAS[[#This Row],[CODIGO]],LISTADO[CODIGOS],LISTADO[CATEGORIA]),"NO EXISTE")</f>
        <v/>
      </c>
      <c r="D1306" s="56">
        <f>IFERROR(_xlfn.XLOOKUP(SALIDAS[[#This Row],[CODIGO]],LISTADO[CODIGOS],LISTADO[PRODUCTOS]),"NO EXISTE")</f>
        <v/>
      </c>
      <c r="E1306" s="19" t="n">
        <v>46128</v>
      </c>
      <c r="F1306" s="18" t="n">
        <v>8</v>
      </c>
      <c r="G1306" s="18" t="inlineStr">
        <is>
          <t>TAZAJAL</t>
        </is>
      </c>
    </row>
    <row r="1307">
      <c r="B1307" s="56" t="inlineStr">
        <is>
          <t>00028-UNI</t>
        </is>
      </c>
      <c r="C1307" s="56">
        <f>IFERROR(_xlfn.XLOOKUP(SALIDAS[[#This Row],[CODIGO]],LISTADO[CODIGOS],LISTADO[CATEGORIA]),"NO EXISTE")</f>
        <v/>
      </c>
      <c r="D1307" s="56">
        <f>IFERROR(_xlfn.XLOOKUP(SALIDAS[[#This Row],[CODIGO]],LISTADO[CODIGOS],LISTADO[PRODUCTOS]),"NO EXISTE")</f>
        <v/>
      </c>
      <c r="E1307" s="19" t="n">
        <v>46128</v>
      </c>
      <c r="F1307" s="18" t="n">
        <v>1</v>
      </c>
      <c r="G1307" s="18" t="inlineStr">
        <is>
          <t>TAZAJAL</t>
        </is>
      </c>
    </row>
    <row r="1308">
      <c r="B1308" s="56" t="inlineStr">
        <is>
          <t>00025-UNI</t>
        </is>
      </c>
      <c r="C1308" s="56">
        <f>IFERROR(_xlfn.XLOOKUP(SALIDAS[[#This Row],[CODIGO]],LISTADO[CODIGOS],LISTADO[CATEGORIA]),"NO EXISTE")</f>
        <v/>
      </c>
      <c r="D1308" s="56">
        <f>IFERROR(_xlfn.XLOOKUP(SALIDAS[[#This Row],[CODIGO]],LISTADO[CODIGOS],LISTADO[PRODUCTOS]),"NO EXISTE")</f>
        <v/>
      </c>
      <c r="E1308" s="19" t="n">
        <v>46128</v>
      </c>
      <c r="F1308" s="18" t="n">
        <v>2</v>
      </c>
      <c r="G1308" s="18" t="inlineStr">
        <is>
          <t>TAZAJAL</t>
        </is>
      </c>
    </row>
    <row r="1309">
      <c r="B1309" s="56" t="inlineStr">
        <is>
          <t>00032-UNI</t>
        </is>
      </c>
      <c r="C1309" s="56">
        <f>IFERROR(_xlfn.XLOOKUP(SALIDAS[[#This Row],[CODIGO]],LISTADO[CODIGOS],LISTADO[CATEGORIA]),"NO EXISTE")</f>
        <v/>
      </c>
      <c r="D1309" s="56">
        <f>IFERROR(_xlfn.XLOOKUP(SALIDAS[[#This Row],[CODIGO]],LISTADO[CODIGOS],LISTADO[PRODUCTOS]),"NO EXISTE")</f>
        <v/>
      </c>
      <c r="E1309" s="19" t="n">
        <v>46128</v>
      </c>
      <c r="F1309" s="18" t="n">
        <v>8</v>
      </c>
      <c r="G1309" s="18" t="inlineStr">
        <is>
          <t>TAZAJAL</t>
        </is>
      </c>
    </row>
    <row r="1310">
      <c r="B1310" s="56" t="inlineStr">
        <is>
          <t>00033-UNI</t>
        </is>
      </c>
      <c r="C1310" s="56">
        <f>IFERROR(_xlfn.XLOOKUP(SALIDAS[[#This Row],[CODIGO]],LISTADO[CODIGOS],LISTADO[CATEGORIA]),"NO EXISTE")</f>
        <v/>
      </c>
      <c r="D1310" s="56">
        <f>IFERROR(_xlfn.XLOOKUP(SALIDAS[[#This Row],[CODIGO]],LISTADO[CODIGOS],LISTADO[PRODUCTOS]),"NO EXISTE")</f>
        <v/>
      </c>
      <c r="E1310" s="19" t="n">
        <v>46128</v>
      </c>
      <c r="F1310" s="18" t="n">
        <v>8</v>
      </c>
      <c r="G1310" s="18" t="inlineStr">
        <is>
          <t>TAZAJAL</t>
        </is>
      </c>
    </row>
    <row r="1311">
      <c r="B1311" s="56" t="inlineStr">
        <is>
          <t>00026-UNI</t>
        </is>
      </c>
      <c r="C1311" s="56">
        <f>IFERROR(_xlfn.XLOOKUP(SALIDAS[[#This Row],[CODIGO]],LISTADO[CODIGOS],LISTADO[CATEGORIA]),"NO EXISTE")</f>
        <v/>
      </c>
      <c r="D1311" s="56">
        <f>IFERROR(_xlfn.XLOOKUP(SALIDAS[[#This Row],[CODIGO]],LISTADO[CODIGOS],LISTADO[PRODUCTOS]),"NO EXISTE")</f>
        <v/>
      </c>
      <c r="E1311" s="19" t="n">
        <v>46129</v>
      </c>
      <c r="F1311" s="18" t="n">
        <v>2</v>
      </c>
      <c r="G1311" s="18" t="inlineStr">
        <is>
          <t>LA VIÑA</t>
        </is>
      </c>
    </row>
    <row r="1312">
      <c r="B1312" s="56" t="inlineStr">
        <is>
          <t>00027-UNI</t>
        </is>
      </c>
      <c r="C1312" s="56">
        <f>IFERROR(_xlfn.XLOOKUP(SALIDAS[[#This Row],[CODIGO]],LISTADO[CODIGOS],LISTADO[CATEGORIA]),"NO EXISTE")</f>
        <v/>
      </c>
      <c r="D1312" s="56">
        <f>IFERROR(_xlfn.XLOOKUP(SALIDAS[[#This Row],[CODIGO]],LISTADO[CODIGOS],LISTADO[PRODUCTOS]),"NO EXISTE")</f>
        <v/>
      </c>
      <c r="E1312" s="19" t="n">
        <v>46129</v>
      </c>
      <c r="F1312" s="18" t="n">
        <v>8</v>
      </c>
      <c r="G1312" s="18" t="inlineStr">
        <is>
          <t>LA VIÑA</t>
        </is>
      </c>
    </row>
    <row r="1313">
      <c r="B1313" s="56" t="inlineStr">
        <is>
          <t>00028-UNI</t>
        </is>
      </c>
      <c r="C1313" s="56">
        <f>IFERROR(_xlfn.XLOOKUP(SALIDAS[[#This Row],[CODIGO]],LISTADO[CODIGOS],LISTADO[CATEGORIA]),"NO EXISTE")</f>
        <v/>
      </c>
      <c r="D1313" s="56">
        <f>IFERROR(_xlfn.XLOOKUP(SALIDAS[[#This Row],[CODIGO]],LISTADO[CODIGOS],LISTADO[PRODUCTOS]),"NO EXISTE")</f>
        <v/>
      </c>
      <c r="E1313" s="19" t="n">
        <v>46129</v>
      </c>
      <c r="F1313" s="18" t="n">
        <v>1</v>
      </c>
      <c r="G1313" s="18" t="inlineStr">
        <is>
          <t>LA VIÑA</t>
        </is>
      </c>
    </row>
    <row r="1314">
      <c r="B1314" s="56" t="inlineStr">
        <is>
          <t>00025-UNI</t>
        </is>
      </c>
      <c r="C1314" s="56">
        <f>IFERROR(_xlfn.XLOOKUP(SALIDAS[[#This Row],[CODIGO]],LISTADO[CODIGOS],LISTADO[CATEGORIA]),"NO EXISTE")</f>
        <v/>
      </c>
      <c r="D1314" s="56">
        <f>IFERROR(_xlfn.XLOOKUP(SALIDAS[[#This Row],[CODIGO]],LISTADO[CODIGOS],LISTADO[PRODUCTOS]),"NO EXISTE")</f>
        <v/>
      </c>
      <c r="E1314" s="19" t="n">
        <v>46129</v>
      </c>
      <c r="F1314" s="18" t="n">
        <v>2</v>
      </c>
      <c r="G1314" s="18" t="inlineStr">
        <is>
          <t>LA VIÑA</t>
        </is>
      </c>
    </row>
    <row r="1315">
      <c r="B1315" s="56" t="inlineStr">
        <is>
          <t>00032-UNI</t>
        </is>
      </c>
      <c r="C1315" s="56">
        <f>IFERROR(_xlfn.XLOOKUP(SALIDAS[[#This Row],[CODIGO]],LISTADO[CODIGOS],LISTADO[CATEGORIA]),"NO EXISTE")</f>
        <v/>
      </c>
      <c r="D1315" s="56">
        <f>IFERROR(_xlfn.XLOOKUP(SALIDAS[[#This Row],[CODIGO]],LISTADO[CODIGOS],LISTADO[PRODUCTOS]),"NO EXISTE")</f>
        <v/>
      </c>
      <c r="E1315" s="19" t="n">
        <v>46129</v>
      </c>
      <c r="F1315" s="18" t="n">
        <v>8</v>
      </c>
      <c r="G1315" s="18" t="inlineStr">
        <is>
          <t>LA VIÑA</t>
        </is>
      </c>
    </row>
    <row r="1316">
      <c r="B1316" s="56" t="inlineStr">
        <is>
          <t>00033-UNI</t>
        </is>
      </c>
      <c r="C1316" s="56">
        <f>IFERROR(_xlfn.XLOOKUP(SALIDAS[[#This Row],[CODIGO]],LISTADO[CODIGOS],LISTADO[CATEGORIA]),"NO EXISTE")</f>
        <v/>
      </c>
      <c r="D1316" s="56">
        <f>IFERROR(_xlfn.XLOOKUP(SALIDAS[[#This Row],[CODIGO]],LISTADO[CODIGOS],LISTADO[PRODUCTOS]),"NO EXISTE")</f>
        <v/>
      </c>
      <c r="E1316" s="19" t="n">
        <v>46129</v>
      </c>
      <c r="F1316" s="18" t="n">
        <v>8</v>
      </c>
      <c r="G1316" s="18" t="inlineStr">
        <is>
          <t>LA VIÑA</t>
        </is>
      </c>
    </row>
    <row r="1317">
      <c r="B1317" s="18" t="inlineStr">
        <is>
          <t>00095-REF</t>
        </is>
      </c>
      <c r="C1317" s="56">
        <f>IFERROR(_xlfn.XLOOKUP(SALIDAS[[#This Row],[CODIGO]],LISTADO[CODIGOS],LISTADO[CATEGORIA]),"NO EXISTE")</f>
        <v/>
      </c>
      <c r="D1317" s="56">
        <f>IFERROR(_xlfn.XLOOKUP(SALIDAS[[#This Row],[CODIGO]],LISTADO[CODIGOS],LISTADO[PRODUCTOS]),"NO EXISTE")</f>
        <v/>
      </c>
      <c r="E1317" s="19" t="n">
        <v>46129</v>
      </c>
      <c r="F1317" s="18" t="n">
        <v>1</v>
      </c>
      <c r="G1317" s="18" t="inlineStr">
        <is>
          <t>LAS FERIAS</t>
        </is>
      </c>
    </row>
    <row r="1318">
      <c r="B1318" s="56" t="inlineStr">
        <is>
          <t>00009-ELE</t>
        </is>
      </c>
      <c r="C1318" s="56">
        <f>IFERROR(_xlfn.XLOOKUP(SALIDAS[[#This Row],[CODIGO]],LISTADO[CODIGOS],LISTADO[CATEGORIA]),"NO EXISTE")</f>
        <v/>
      </c>
      <c r="D1318" s="56">
        <f>IFERROR(_xlfn.XLOOKUP(SALIDAS[[#This Row],[CODIGO]],LISTADO[CODIGOS],LISTADO[PRODUCTOS]),"NO EXISTE")</f>
        <v/>
      </c>
      <c r="E1318" s="19" t="n">
        <v>46130</v>
      </c>
      <c r="F1318" s="18" t="n">
        <v>1</v>
      </c>
      <c r="G1318" s="18" t="inlineStr">
        <is>
          <t>LA VIÑA</t>
        </is>
      </c>
    </row>
    <row r="1319">
      <c r="B1319" s="56" t="inlineStr">
        <is>
          <t>00001-REF</t>
        </is>
      </c>
      <c r="C1319" s="56">
        <f>IFERROR(_xlfn.XLOOKUP(SALIDAS[[#This Row],[CODIGO]],LISTADO[CODIGOS],LISTADO[CATEGORIA]),"NO EXISTE")</f>
        <v/>
      </c>
      <c r="D1319" s="56">
        <f>IFERROR(_xlfn.XLOOKUP(SALIDAS[[#This Row],[CODIGO]],LISTADO[CODIGOS],LISTADO[PRODUCTOS]),"NO EXISTE")</f>
        <v/>
      </c>
      <c r="E1319" s="19" t="n">
        <v>46130</v>
      </c>
      <c r="F1319" s="18" t="n">
        <v>2</v>
      </c>
      <c r="G1319" s="18" t="inlineStr">
        <is>
          <t>NAGUANAGUA 2</t>
        </is>
      </c>
    </row>
    <row r="1320">
      <c r="B1320" s="18" t="inlineStr">
        <is>
          <t>00112-REF</t>
        </is>
      </c>
      <c r="C1320" s="56">
        <f>IFERROR(_xlfn.XLOOKUP(SALIDAS[[#This Row],[CODIGO]],LISTADO[CODIGOS],LISTADO[CATEGORIA]),"NO EXISTE")</f>
        <v/>
      </c>
      <c r="D1320" s="56">
        <f>IFERROR(_xlfn.XLOOKUP(SALIDAS[[#This Row],[CODIGO]],LISTADO[CODIGOS],LISTADO[PRODUCTOS]),"NO EXISTE")</f>
        <v/>
      </c>
      <c r="E1320" s="19" t="n">
        <v>46130</v>
      </c>
      <c r="F1320" s="18" t="n">
        <v>1</v>
      </c>
      <c r="G1320" s="18" t="inlineStr">
        <is>
          <t>NAGUANAGUA 2</t>
        </is>
      </c>
    </row>
    <row r="1321">
      <c r="B1321" s="56" t="inlineStr">
        <is>
          <t>00036-REF</t>
        </is>
      </c>
      <c r="C1321" s="56">
        <f>IFERROR(_xlfn.XLOOKUP(SALIDAS[[#This Row],[CODIGO]],LISTADO[CODIGOS],LISTADO[CATEGORIA]),"NO EXISTE")</f>
        <v/>
      </c>
      <c r="D1321" s="56">
        <f>IFERROR(_xlfn.XLOOKUP(SALIDAS[[#This Row],[CODIGO]],LISTADO[CODIGOS],LISTADO[PRODUCTOS]),"NO EXISTE")</f>
        <v/>
      </c>
      <c r="E1321" s="19" t="n">
        <v>46130</v>
      </c>
      <c r="F1321" s="18" t="n">
        <v>2</v>
      </c>
      <c r="G1321" s="18" t="inlineStr">
        <is>
          <t>NAGUANAGUA 2</t>
        </is>
      </c>
    </row>
    <row r="1322">
      <c r="B1322" s="56" t="inlineStr">
        <is>
          <t>00051-REF</t>
        </is>
      </c>
      <c r="C1322" s="56">
        <f>IFERROR(_xlfn.XLOOKUP(SALIDAS[[#This Row],[CODIGO]],LISTADO[CODIGOS],LISTADO[CATEGORIA]),"NO EXISTE")</f>
        <v/>
      </c>
      <c r="D1322" s="56">
        <f>IFERROR(_xlfn.XLOOKUP(SALIDAS[[#This Row],[CODIGO]],LISTADO[CODIGOS],LISTADO[PRODUCTOS]),"NO EXISTE")</f>
        <v/>
      </c>
      <c r="E1322" s="19" t="n">
        <v>46130</v>
      </c>
      <c r="F1322" s="18" t="n">
        <v>2</v>
      </c>
      <c r="G1322" s="18" t="inlineStr">
        <is>
          <t>NAGUANAGUA 2</t>
        </is>
      </c>
    </row>
    <row r="1323">
      <c r="B1323" s="56" t="inlineStr">
        <is>
          <t>00005-HRR</t>
        </is>
      </c>
      <c r="C1323" s="56">
        <f>IFERROR(_xlfn.XLOOKUP(SALIDAS[[#This Row],[CODIGO]],LISTADO[CODIGOS],LISTADO[CATEGORIA]),"NO EXISTE")</f>
        <v/>
      </c>
      <c r="D1323" s="56">
        <f>IFERROR(_xlfn.XLOOKUP(SALIDAS[[#This Row],[CODIGO]],LISTADO[CODIGOS],LISTADO[PRODUCTOS]),"NO EXISTE")</f>
        <v/>
      </c>
      <c r="E1323" s="19" t="n">
        <v>46130</v>
      </c>
      <c r="F1323" s="18" t="n">
        <v>1</v>
      </c>
      <c r="G1323" s="18" t="inlineStr">
        <is>
          <t>MAÑONGO</t>
        </is>
      </c>
    </row>
    <row r="1324">
      <c r="B1324" s="56" t="inlineStr">
        <is>
          <t>00007-HRR</t>
        </is>
      </c>
      <c r="C1324" s="56">
        <f>IFERROR(_xlfn.XLOOKUP(SALIDAS[[#This Row],[CODIGO]],LISTADO[CODIGOS],LISTADO[CATEGORIA]),"NO EXISTE")</f>
        <v/>
      </c>
      <c r="D1324" s="56">
        <f>IFERROR(_xlfn.XLOOKUP(SALIDAS[[#This Row],[CODIGO]],LISTADO[CODIGOS],LISTADO[PRODUCTOS]),"NO EXISTE")</f>
        <v/>
      </c>
      <c r="E1324" s="19" t="n">
        <v>46130</v>
      </c>
      <c r="F1324" s="18" t="n">
        <v>1</v>
      </c>
      <c r="G1324" s="18" t="inlineStr">
        <is>
          <t>MAÑONGO</t>
        </is>
      </c>
    </row>
    <row r="1325">
      <c r="B1325" s="56" t="inlineStr">
        <is>
          <t>00007-MSC</t>
        </is>
      </c>
      <c r="C1325" s="56">
        <f>IFERROR(_xlfn.XLOOKUP(SALIDAS[[#This Row],[CODIGO]],LISTADO[CODIGOS],LISTADO[CATEGORIA]),"NO EXISTE")</f>
        <v/>
      </c>
      <c r="D1325" s="56">
        <f>IFERROR(_xlfn.XLOOKUP(SALIDAS[[#This Row],[CODIGO]],LISTADO[CODIGOS],LISTADO[PRODUCTOS]),"NO EXISTE")</f>
        <v/>
      </c>
      <c r="E1325" s="19" t="n">
        <v>46130</v>
      </c>
      <c r="F1325" s="18" t="n">
        <v>20</v>
      </c>
      <c r="G1325" s="18" t="inlineStr">
        <is>
          <t>LAS FERIAS</t>
        </is>
      </c>
    </row>
    <row r="1326">
      <c r="B1326" s="56" t="inlineStr">
        <is>
          <t>00028-FER</t>
        </is>
      </c>
      <c r="C1326" s="56">
        <f>IFERROR(_xlfn.XLOOKUP(SALIDAS[[#This Row],[CODIGO]],LISTADO[CODIGOS],LISTADO[CATEGORIA]),"NO EXISTE")</f>
        <v/>
      </c>
      <c r="D1326" s="56">
        <f>IFERROR(_xlfn.XLOOKUP(SALIDAS[[#This Row],[CODIGO]],LISTADO[CODIGOS],LISTADO[PRODUCTOS]),"NO EXISTE")</f>
        <v/>
      </c>
      <c r="E1326" s="19" t="n">
        <v>46130</v>
      </c>
      <c r="F1326" s="18" t="n">
        <v>1</v>
      </c>
      <c r="G1326" s="18" t="inlineStr">
        <is>
          <t>MAÑONGO</t>
        </is>
      </c>
    </row>
    <row r="1327">
      <c r="B1327" s="56" t="inlineStr">
        <is>
          <t>00035-ILU</t>
        </is>
      </c>
      <c r="C1327" s="56">
        <f>IFERROR(_xlfn.XLOOKUP(SALIDAS[[#This Row],[CODIGO]],LISTADO[CODIGOS],LISTADO[CATEGORIA]),"NO EXISTE")</f>
        <v/>
      </c>
      <c r="D1327" s="56">
        <f>IFERROR(_xlfn.XLOOKUP(SALIDAS[[#This Row],[CODIGO]],LISTADO[CODIGOS],LISTADO[PRODUCTOS]),"NO EXISTE")</f>
        <v/>
      </c>
      <c r="E1327" s="19" t="n">
        <v>46130</v>
      </c>
      <c r="F1327" s="18" t="n">
        <v>3</v>
      </c>
      <c r="G1327" s="18" t="inlineStr">
        <is>
          <t>AV. CEDEÑO</t>
        </is>
      </c>
    </row>
    <row r="1328">
      <c r="B1328" s="18" t="inlineStr">
        <is>
          <t>00031-ILU</t>
        </is>
      </c>
      <c r="C1328" s="56">
        <f>IFERROR(_xlfn.XLOOKUP(SALIDAS[[#This Row],[CODIGO]],LISTADO[CODIGOS],LISTADO[CATEGORIA]),"NO EXISTE")</f>
        <v/>
      </c>
      <c r="D1328" s="56">
        <f>IFERROR(_xlfn.XLOOKUP(SALIDAS[[#This Row],[CODIGO]],LISTADO[CODIGOS],LISTADO[PRODUCTOS]),"NO EXISTE")</f>
        <v/>
      </c>
      <c r="E1328" s="19" t="n">
        <v>46130</v>
      </c>
      <c r="F1328" s="18" t="n">
        <v>3</v>
      </c>
      <c r="G1328" s="18" t="inlineStr">
        <is>
          <t>AV. CEDEÑO</t>
        </is>
      </c>
    </row>
    <row r="1329">
      <c r="B1329" s="56" t="inlineStr">
        <is>
          <t>00019-ILU</t>
        </is>
      </c>
      <c r="C1329" s="56">
        <f>IFERROR(_xlfn.XLOOKUP(SALIDAS[[#This Row],[CODIGO]],LISTADO[CODIGOS],LISTADO[CATEGORIA]),"NO EXISTE")</f>
        <v/>
      </c>
      <c r="D1329" s="56">
        <f>IFERROR(_xlfn.XLOOKUP(SALIDAS[[#This Row],[CODIGO]],LISTADO[CODIGOS],LISTADO[PRODUCTOS]),"NO EXISTE")</f>
        <v/>
      </c>
      <c r="E1329" s="19" t="n">
        <v>46130</v>
      </c>
      <c r="F1329" s="18" t="n">
        <v>2</v>
      </c>
      <c r="G1329" s="18" t="inlineStr">
        <is>
          <t>NAGUANAGUA 1</t>
        </is>
      </c>
    </row>
    <row r="1330">
      <c r="B1330" s="56" t="inlineStr">
        <is>
          <t>00041-ELE</t>
        </is>
      </c>
      <c r="C1330" s="56">
        <f>IFERROR(_xlfn.XLOOKUP(SALIDAS[[#This Row],[CODIGO]],LISTADO[CODIGOS],LISTADO[CATEGORIA]),"NO EXISTE")</f>
        <v/>
      </c>
      <c r="D1330" s="56">
        <f>IFERROR(_xlfn.XLOOKUP(SALIDAS[[#This Row],[CODIGO]],LISTADO[CODIGOS],LISTADO[PRODUCTOS]),"NO EXISTE")</f>
        <v/>
      </c>
      <c r="E1330" s="19" t="n">
        <v>46130</v>
      </c>
      <c r="F1330" s="18" t="n">
        <v>2</v>
      </c>
      <c r="G1330" s="18" t="inlineStr">
        <is>
          <t>NAGUANAGUA 1</t>
        </is>
      </c>
    </row>
    <row r="1331">
      <c r="B1331" s="56" t="inlineStr">
        <is>
          <t>00094-FER</t>
        </is>
      </c>
      <c r="C1331" s="56">
        <f>IFERROR(_xlfn.XLOOKUP(SALIDAS[[#This Row],[CODIGO]],LISTADO[CODIGOS],LISTADO[CATEGORIA]),"NO EXISTE")</f>
        <v/>
      </c>
      <c r="D1331" s="56">
        <f>IFERROR(_xlfn.XLOOKUP(SALIDAS[[#This Row],[CODIGO]],LISTADO[CODIGOS],LISTADO[PRODUCTOS]),"NO EXISTE")</f>
        <v/>
      </c>
      <c r="E1331" s="19" t="n">
        <v>46130</v>
      </c>
      <c r="F1331" s="18" t="n">
        <v>1</v>
      </c>
      <c r="G1331" s="18" t="inlineStr">
        <is>
          <t>NAGUANAGUA 1</t>
        </is>
      </c>
    </row>
    <row r="1332">
      <c r="B1332" s="56" t="inlineStr">
        <is>
          <t>00116-FER</t>
        </is>
      </c>
      <c r="C1332" s="56">
        <f>IFERROR(_xlfn.XLOOKUP(SALIDAS[[#This Row],[CODIGO]],LISTADO[CODIGOS],LISTADO[CATEGORIA]),"NO EXISTE")</f>
        <v/>
      </c>
      <c r="D1332" s="56">
        <f>IFERROR(_xlfn.XLOOKUP(SALIDAS[[#This Row],[CODIGO]],LISTADO[CODIGOS],LISTADO[PRODUCTOS]),"NO EXISTE")</f>
        <v/>
      </c>
      <c r="E1332" s="19" t="n">
        <v>46130</v>
      </c>
      <c r="F1332" s="18" t="n">
        <v>100</v>
      </c>
      <c r="G1332" s="18" t="inlineStr">
        <is>
          <t>PERIFERICO</t>
        </is>
      </c>
    </row>
    <row r="1333">
      <c r="B1333" s="56" t="inlineStr">
        <is>
          <t>00041-ELE</t>
        </is>
      </c>
      <c r="C1333" s="56">
        <f>IFERROR(_xlfn.XLOOKUP(SALIDAS[[#This Row],[CODIGO]],LISTADO[CODIGOS],LISTADO[CATEGORIA]),"NO EXISTE")</f>
        <v/>
      </c>
      <c r="D1333" s="56">
        <f>IFERROR(_xlfn.XLOOKUP(SALIDAS[[#This Row],[CODIGO]],LISTADO[CODIGOS],LISTADO[PRODUCTOS]),"NO EXISTE")</f>
        <v/>
      </c>
      <c r="E1333" s="19" t="n">
        <v>46130</v>
      </c>
      <c r="F1333" s="18" t="n">
        <v>1</v>
      </c>
      <c r="G1333" s="18" t="inlineStr">
        <is>
          <t>PERIFERICO</t>
        </is>
      </c>
    </row>
    <row r="1334">
      <c r="B1334" s="56" t="inlineStr">
        <is>
          <t>00003-HRR</t>
        </is>
      </c>
      <c r="C1334" s="56">
        <f>IFERROR(_xlfn.XLOOKUP(SALIDAS[[#This Row],[CODIGO]],LISTADO[CODIGOS],LISTADO[CATEGORIA]),"NO EXISTE")</f>
        <v/>
      </c>
      <c r="D1334" s="56">
        <f>IFERROR(_xlfn.XLOOKUP(SALIDAS[[#This Row],[CODIGO]],LISTADO[CODIGOS],LISTADO[PRODUCTOS]),"NO EXISTE")</f>
        <v/>
      </c>
      <c r="E1334" s="19" t="n">
        <v>46132</v>
      </c>
      <c r="F1334" s="18" t="n">
        <v>1</v>
      </c>
      <c r="G1334" s="18" t="inlineStr">
        <is>
          <t>PERIFERICO</t>
        </is>
      </c>
    </row>
    <row r="1335">
      <c r="B1335" s="56" t="inlineStr">
        <is>
          <t>00007-HRR</t>
        </is>
      </c>
      <c r="C1335" s="56">
        <f>IFERROR(_xlfn.XLOOKUP(SALIDAS[[#This Row],[CODIGO]],LISTADO[CODIGOS],LISTADO[CATEGORIA]),"NO EXISTE")</f>
        <v/>
      </c>
      <c r="D1335" s="56">
        <f>IFERROR(_xlfn.XLOOKUP(SALIDAS[[#This Row],[CODIGO]],LISTADO[CODIGOS],LISTADO[PRODUCTOS]),"NO EXISTE")</f>
        <v/>
      </c>
      <c r="E1335" s="19" t="n">
        <v>46132</v>
      </c>
      <c r="F1335" s="18" t="n">
        <v>3</v>
      </c>
      <c r="G1335" s="18" t="inlineStr">
        <is>
          <t>PERIFERICO</t>
        </is>
      </c>
    </row>
    <row r="1336">
      <c r="B1336" s="56" t="inlineStr">
        <is>
          <t>00005-HRR</t>
        </is>
      </c>
      <c r="C1336" s="56">
        <f>IFERROR(_xlfn.XLOOKUP(SALIDAS[[#This Row],[CODIGO]],LISTADO[CODIGOS],LISTADO[CATEGORIA]),"NO EXISTE")</f>
        <v/>
      </c>
      <c r="D1336" s="56">
        <f>IFERROR(_xlfn.XLOOKUP(SALIDAS[[#This Row],[CODIGO]],LISTADO[CODIGOS],LISTADO[PRODUCTOS]),"NO EXISTE")</f>
        <v/>
      </c>
      <c r="E1336" s="19" t="n">
        <v>46132</v>
      </c>
      <c r="F1336" s="18" t="n">
        <v>1</v>
      </c>
      <c r="G1336" s="18" t="inlineStr">
        <is>
          <t>PERIFERICO</t>
        </is>
      </c>
    </row>
    <row r="1337">
      <c r="B1337" s="18" t="inlineStr">
        <is>
          <t>00001-HRR</t>
        </is>
      </c>
      <c r="C1337" s="56">
        <f>IFERROR(_xlfn.XLOOKUP(SALIDAS[[#This Row],[CODIGO]],LISTADO[CODIGOS],LISTADO[CATEGORIA]),"NO EXISTE")</f>
        <v/>
      </c>
      <c r="D1337" s="56">
        <f>IFERROR(_xlfn.XLOOKUP(SALIDAS[[#This Row],[CODIGO]],LISTADO[CODIGOS],LISTADO[PRODUCTOS]),"NO EXISTE")</f>
        <v/>
      </c>
      <c r="E1337" s="19" t="n">
        <v>46132</v>
      </c>
      <c r="F1337" s="18" t="n">
        <v>1</v>
      </c>
      <c r="G1337" s="18" t="inlineStr">
        <is>
          <t>PERIFERICO</t>
        </is>
      </c>
    </row>
    <row r="1338">
      <c r="B1338" s="18" t="inlineStr">
        <is>
          <t>00141-FER</t>
        </is>
      </c>
      <c r="C1338" s="56">
        <f>IFERROR(_xlfn.XLOOKUP(SALIDAS[[#This Row],[CODIGO]],LISTADO[CODIGOS],LISTADO[CATEGORIA]),"NO EXISTE")</f>
        <v/>
      </c>
      <c r="D1338" s="56">
        <f>IFERROR(_xlfn.XLOOKUP(SALIDAS[[#This Row],[CODIGO]],LISTADO[CODIGOS],LISTADO[PRODUCTOS]),"NO EXISTE")</f>
        <v/>
      </c>
      <c r="E1338" s="19" t="n">
        <v>46132</v>
      </c>
      <c r="F1338" s="18" t="n">
        <v>200</v>
      </c>
      <c r="G1338" s="18" t="inlineStr">
        <is>
          <t>TURMERO</t>
        </is>
      </c>
    </row>
    <row r="1339">
      <c r="B1339" s="56" t="inlineStr">
        <is>
          <t>00143-FER</t>
        </is>
      </c>
      <c r="C1339" s="56">
        <f>IFERROR(_xlfn.XLOOKUP(SALIDAS[[#This Row],[CODIGO]],LISTADO[CODIGOS],LISTADO[CATEGORIA]),"NO EXISTE")</f>
        <v/>
      </c>
      <c r="D1339" s="56">
        <f>IFERROR(_xlfn.XLOOKUP(SALIDAS[[#This Row],[CODIGO]],LISTADO[CODIGOS],LISTADO[PRODUCTOS]),"NO EXISTE")</f>
        <v/>
      </c>
      <c r="E1339" s="19" t="n">
        <v>46132</v>
      </c>
      <c r="F1339" s="18" t="n">
        <v>300</v>
      </c>
      <c r="G1339" s="18" t="inlineStr">
        <is>
          <t>TURMERO</t>
        </is>
      </c>
    </row>
    <row r="1340">
      <c r="B1340" s="18" t="inlineStr">
        <is>
          <t>00240-FER</t>
        </is>
      </c>
      <c r="C1340" s="56">
        <f>IFERROR(_xlfn.XLOOKUP(SALIDAS[[#This Row],[CODIGO]],LISTADO[CODIGOS],LISTADO[CATEGORIA]),"NO EXISTE")</f>
        <v/>
      </c>
      <c r="D1340" s="56">
        <f>IFERROR(_xlfn.XLOOKUP(SALIDAS[[#This Row],[CODIGO]],LISTADO[CODIGOS],LISTADO[PRODUCTOS]),"NO EXISTE")</f>
        <v/>
      </c>
      <c r="E1340" s="19" t="n">
        <v>46133</v>
      </c>
      <c r="F1340" s="18" t="n">
        <v>1</v>
      </c>
      <c r="G1340" s="18" t="inlineStr">
        <is>
          <t>TURMERO</t>
        </is>
      </c>
    </row>
    <row r="1341">
      <c r="B1341" s="56" t="inlineStr">
        <is>
          <t>00115-FER</t>
        </is>
      </c>
      <c r="C1341" s="56">
        <f>IFERROR(_xlfn.XLOOKUP(SALIDAS[[#This Row],[CODIGO]],LISTADO[CODIGOS],LISTADO[CATEGORIA]),"NO EXISTE")</f>
        <v/>
      </c>
      <c r="D1341" s="56">
        <f>IFERROR(_xlfn.XLOOKUP(SALIDAS[[#This Row],[CODIGO]],LISTADO[CODIGOS],LISTADO[PRODUCTOS]),"NO EXISTE")</f>
        <v/>
      </c>
      <c r="E1341" s="19" t="n">
        <v>46134</v>
      </c>
      <c r="F1341" s="18" t="n">
        <v>600</v>
      </c>
      <c r="G1341" s="18" t="inlineStr">
        <is>
          <t>PERIFERICO</t>
        </is>
      </c>
    </row>
    <row r="1342">
      <c r="B1342" s="56" t="inlineStr">
        <is>
          <t>00043-FER</t>
        </is>
      </c>
      <c r="C1342" s="56">
        <f>IFERROR(_xlfn.XLOOKUP(SALIDAS[[#This Row],[CODIGO]],LISTADO[CODIGOS],LISTADO[CATEGORIA]),"NO EXISTE")</f>
        <v/>
      </c>
      <c r="D1342" s="56">
        <f>IFERROR(_xlfn.XLOOKUP(SALIDAS[[#This Row],[CODIGO]],LISTADO[CODIGOS],LISTADO[PRODUCTOS]),"NO EXISTE")</f>
        <v/>
      </c>
      <c r="E1342" s="19" t="n">
        <v>46134</v>
      </c>
      <c r="F1342" s="18" t="n">
        <v>1</v>
      </c>
      <c r="G1342" s="18" t="inlineStr">
        <is>
          <t>PERIFERICO</t>
        </is>
      </c>
    </row>
    <row r="1343">
      <c r="B1343" s="56" t="inlineStr">
        <is>
          <t>00090-FER</t>
        </is>
      </c>
      <c r="C1343" s="56">
        <f>IFERROR(_xlfn.XLOOKUP(SALIDAS[[#This Row],[CODIGO]],LISTADO[CODIGOS],LISTADO[CATEGORIA]),"NO EXISTE")</f>
        <v/>
      </c>
      <c r="D1343" s="56">
        <f>IFERROR(_xlfn.XLOOKUP(SALIDAS[[#This Row],[CODIGO]],LISTADO[CODIGOS],LISTADO[PRODUCTOS]),"NO EXISTE")</f>
        <v/>
      </c>
      <c r="E1343" s="19" t="n">
        <v>46134</v>
      </c>
      <c r="F1343" s="18" t="n">
        <v>80</v>
      </c>
      <c r="G1343" s="18" t="inlineStr">
        <is>
          <t>TURMERO</t>
        </is>
      </c>
    </row>
    <row r="1344">
      <c r="B1344" s="18" t="inlineStr">
        <is>
          <t>00141-FER</t>
        </is>
      </c>
      <c r="C1344" s="56">
        <f>IFERROR(_xlfn.XLOOKUP(SALIDAS[[#This Row],[CODIGO]],LISTADO[CODIGOS],LISTADO[CATEGORIA]),"NO EXISTE")</f>
        <v/>
      </c>
      <c r="D1344" s="56">
        <f>IFERROR(_xlfn.XLOOKUP(SALIDAS[[#This Row],[CODIGO]],LISTADO[CODIGOS],LISTADO[PRODUCTOS]),"NO EXISTE")</f>
        <v/>
      </c>
      <c r="E1344" s="19" t="n">
        <v>46134</v>
      </c>
      <c r="F1344" s="18" t="n">
        <v>200</v>
      </c>
      <c r="G1344" s="18" t="inlineStr">
        <is>
          <t>TURMERO</t>
        </is>
      </c>
    </row>
    <row r="1345">
      <c r="B1345" s="56" t="inlineStr">
        <is>
          <t>00143-FER</t>
        </is>
      </c>
      <c r="C1345" s="56">
        <f>IFERROR(_xlfn.XLOOKUP(SALIDAS[[#This Row],[CODIGO]],LISTADO[CODIGOS],LISTADO[CATEGORIA]),"NO EXISTE")</f>
        <v/>
      </c>
      <c r="D1345" s="56">
        <f>IFERROR(_xlfn.XLOOKUP(SALIDAS[[#This Row],[CODIGO]],LISTADO[CODIGOS],LISTADO[PRODUCTOS]),"NO EXISTE")</f>
        <v/>
      </c>
      <c r="E1345" s="19" t="n">
        <v>46134</v>
      </c>
      <c r="F1345" s="18" t="n">
        <v>200</v>
      </c>
      <c r="G1345" s="18" t="inlineStr">
        <is>
          <t>TURMERO</t>
        </is>
      </c>
    </row>
    <row r="1346">
      <c r="B1346" s="56" t="inlineStr">
        <is>
          <t>00088-FER</t>
        </is>
      </c>
      <c r="C1346" s="56">
        <f>IFERROR(_xlfn.XLOOKUP(SALIDAS[[#This Row],[CODIGO]],LISTADO[CODIGOS],LISTADO[CATEGORIA]),"NO EXISTE")</f>
        <v/>
      </c>
      <c r="D1346" s="56">
        <f>IFERROR(_xlfn.XLOOKUP(SALIDAS[[#This Row],[CODIGO]],LISTADO[CODIGOS],LISTADO[PRODUCTOS]),"NO EXISTE")</f>
        <v/>
      </c>
      <c r="E1346" s="19" t="n">
        <v>46134</v>
      </c>
      <c r="F1346" s="18" t="n">
        <v>20</v>
      </c>
      <c r="G1346" s="18" t="inlineStr">
        <is>
          <t>TURMERO</t>
        </is>
      </c>
    </row>
    <row r="1347">
      <c r="B1347" s="56" t="inlineStr">
        <is>
          <t>00094-FER</t>
        </is>
      </c>
      <c r="C1347" s="56">
        <f>IFERROR(_xlfn.XLOOKUP(SALIDAS[[#This Row],[CODIGO]],LISTADO[CODIGOS],LISTADO[CATEGORIA]),"NO EXISTE")</f>
        <v/>
      </c>
      <c r="D1347" s="56">
        <f>IFERROR(_xlfn.XLOOKUP(SALIDAS[[#This Row],[CODIGO]],LISTADO[CODIGOS],LISTADO[PRODUCTOS]),"NO EXISTE")</f>
        <v/>
      </c>
      <c r="E1347" s="19" t="n">
        <v>46134</v>
      </c>
      <c r="F1347" s="18" t="n">
        <v>30</v>
      </c>
      <c r="G1347" s="18" t="inlineStr">
        <is>
          <t>TURMERO</t>
        </is>
      </c>
    </row>
    <row r="1348">
      <c r="B1348" s="56" t="inlineStr">
        <is>
          <t>00094-FER</t>
        </is>
      </c>
      <c r="C1348" s="56">
        <f>IFERROR(_xlfn.XLOOKUP(SALIDAS[[#This Row],[CODIGO]],LISTADO[CODIGOS],LISTADO[CATEGORIA]),"NO EXISTE")</f>
        <v/>
      </c>
      <c r="D1348" s="56">
        <f>IFERROR(_xlfn.XLOOKUP(SALIDAS[[#This Row],[CODIGO]],LISTADO[CODIGOS],LISTADO[PRODUCTOS]),"NO EXISTE")</f>
        <v/>
      </c>
      <c r="E1348" s="19" t="n">
        <v>46134</v>
      </c>
      <c r="F1348" s="18" t="n">
        <v>1</v>
      </c>
      <c r="G1348" s="18" t="inlineStr">
        <is>
          <t>GUACARA</t>
        </is>
      </c>
    </row>
    <row r="1349">
      <c r="B1349" s="18" t="inlineStr">
        <is>
          <t>00122-HER</t>
        </is>
      </c>
      <c r="C1349" s="56">
        <f>IFERROR(_xlfn.XLOOKUP(SALIDAS[[#This Row],[CODIGO]],LISTADO[CODIGOS],LISTADO[CATEGORIA]),"NO EXISTE")</f>
        <v/>
      </c>
      <c r="D1349" s="56">
        <f>IFERROR(_xlfn.XLOOKUP(SALIDAS[[#This Row],[CODIGO]],LISTADO[CODIGOS],LISTADO[PRODUCTOS]),"NO EXISTE")</f>
        <v/>
      </c>
      <c r="E1349" s="19" t="n">
        <v>46134</v>
      </c>
      <c r="F1349" s="18" t="n">
        <v>1</v>
      </c>
      <c r="G1349" s="18" t="inlineStr">
        <is>
          <t>PERIFERICO</t>
        </is>
      </c>
    </row>
    <row r="1350">
      <c r="B1350" s="18" t="inlineStr">
        <is>
          <t>00123-HER</t>
        </is>
      </c>
      <c r="C1350" s="56">
        <f>IFERROR(_xlfn.XLOOKUP(SALIDAS[[#This Row],[CODIGO]],LISTADO[CODIGOS],LISTADO[CATEGORIA]),"NO EXISTE")</f>
        <v/>
      </c>
      <c r="D1350" s="56">
        <f>IFERROR(_xlfn.XLOOKUP(SALIDAS[[#This Row],[CODIGO]],LISTADO[CODIGOS],LISTADO[PRODUCTOS]),"NO EXISTE")</f>
        <v/>
      </c>
      <c r="E1350" s="19" t="n">
        <v>46134</v>
      </c>
      <c r="F1350" s="18" t="n">
        <v>1</v>
      </c>
      <c r="G1350" s="18" t="inlineStr">
        <is>
          <t>PERIFERICO</t>
        </is>
      </c>
    </row>
    <row r="1351">
      <c r="B1351" s="18" t="inlineStr">
        <is>
          <t>00124-HER</t>
        </is>
      </c>
      <c r="C1351" s="56">
        <f>IFERROR(_xlfn.XLOOKUP(SALIDAS[[#This Row],[CODIGO]],LISTADO[CODIGOS],LISTADO[CATEGORIA]),"NO EXISTE")</f>
        <v/>
      </c>
      <c r="D1351" s="56">
        <f>IFERROR(_xlfn.XLOOKUP(SALIDAS[[#This Row],[CODIGO]],LISTADO[CODIGOS],LISTADO[PRODUCTOS]),"NO EXISTE")</f>
        <v/>
      </c>
      <c r="E1351" s="19" t="n">
        <v>46134</v>
      </c>
      <c r="F1351" s="18" t="n">
        <v>1</v>
      </c>
      <c r="G1351" s="18" t="inlineStr">
        <is>
          <t>PERIFERICO</t>
        </is>
      </c>
    </row>
    <row r="1352">
      <c r="B1352" s="18" t="inlineStr">
        <is>
          <t>00125-HER</t>
        </is>
      </c>
      <c r="C1352" s="56">
        <f>IFERROR(_xlfn.XLOOKUP(SALIDAS[[#This Row],[CODIGO]],LISTADO[CODIGOS],LISTADO[CATEGORIA]),"NO EXISTE")</f>
        <v/>
      </c>
      <c r="D1352" s="56">
        <f>IFERROR(_xlfn.XLOOKUP(SALIDAS[[#This Row],[CODIGO]],LISTADO[CODIGOS],LISTADO[PRODUCTOS]),"NO EXISTE")</f>
        <v/>
      </c>
      <c r="E1352" s="19" t="n">
        <v>46134</v>
      </c>
      <c r="F1352" s="18" t="n">
        <v>3</v>
      </c>
      <c r="G1352" s="18" t="inlineStr">
        <is>
          <t>PERIFERICO</t>
        </is>
      </c>
    </row>
    <row r="1353">
      <c r="B1353" s="18" t="inlineStr">
        <is>
          <t>00126-HER</t>
        </is>
      </c>
      <c r="C1353" s="56">
        <f>IFERROR(_xlfn.XLOOKUP(SALIDAS[[#This Row],[CODIGO]],LISTADO[CODIGOS],LISTADO[CATEGORIA]),"NO EXISTE")</f>
        <v/>
      </c>
      <c r="D1353" s="56">
        <f>IFERROR(_xlfn.XLOOKUP(SALIDAS[[#This Row],[CODIGO]],LISTADO[CODIGOS],LISTADO[PRODUCTOS]),"NO EXISTE")</f>
        <v/>
      </c>
      <c r="E1353" s="19" t="n">
        <v>46134</v>
      </c>
      <c r="F1353" s="18" t="n">
        <v>1</v>
      </c>
      <c r="G1353" s="18" t="inlineStr">
        <is>
          <t>PERIFERICO</t>
        </is>
      </c>
    </row>
    <row r="1354">
      <c r="B1354" s="18" t="inlineStr">
        <is>
          <t>00127-HER</t>
        </is>
      </c>
      <c r="C1354" s="56">
        <f>IFERROR(_xlfn.XLOOKUP(SALIDAS[[#This Row],[CODIGO]],LISTADO[CODIGOS],LISTADO[CATEGORIA]),"NO EXISTE")</f>
        <v/>
      </c>
      <c r="D1354" s="56">
        <f>IFERROR(_xlfn.XLOOKUP(SALIDAS[[#This Row],[CODIGO]],LISTADO[CODIGOS],LISTADO[PRODUCTOS]),"NO EXISTE")</f>
        <v/>
      </c>
      <c r="E1354" s="19" t="n">
        <v>46134</v>
      </c>
      <c r="F1354" s="18" t="n">
        <v>3</v>
      </c>
      <c r="G1354" s="18" t="inlineStr">
        <is>
          <t>PERIFERICO</t>
        </is>
      </c>
    </row>
    <row r="1355">
      <c r="B1355" s="18" t="inlineStr">
        <is>
          <t>00128-HER</t>
        </is>
      </c>
      <c r="C1355" s="56">
        <f>IFERROR(_xlfn.XLOOKUP(SALIDAS[[#This Row],[CODIGO]],LISTADO[CODIGOS],LISTADO[CATEGORIA]),"NO EXISTE")</f>
        <v/>
      </c>
      <c r="D1355" s="56">
        <f>IFERROR(_xlfn.XLOOKUP(SALIDAS[[#This Row],[CODIGO]],LISTADO[CODIGOS],LISTADO[PRODUCTOS]),"NO EXISTE")</f>
        <v/>
      </c>
      <c r="E1355" s="19" t="n">
        <v>46134</v>
      </c>
      <c r="F1355" s="18" t="n">
        <v>1</v>
      </c>
      <c r="G1355" s="18" t="inlineStr">
        <is>
          <t>PERIFERICO</t>
        </is>
      </c>
    </row>
    <row r="1356">
      <c r="B1356" s="18" t="inlineStr">
        <is>
          <t>00129-HER</t>
        </is>
      </c>
      <c r="C1356" s="56">
        <f>IFERROR(_xlfn.XLOOKUP(SALIDAS[[#This Row],[CODIGO]],LISTADO[CODIGOS],LISTADO[CATEGORIA]),"NO EXISTE")</f>
        <v/>
      </c>
      <c r="D1356" s="56">
        <f>IFERROR(_xlfn.XLOOKUP(SALIDAS[[#This Row],[CODIGO]],LISTADO[CODIGOS],LISTADO[PRODUCTOS]),"NO EXISTE")</f>
        <v/>
      </c>
      <c r="E1356" s="19" t="n">
        <v>46134</v>
      </c>
      <c r="F1356" s="18" t="n">
        <v>1</v>
      </c>
      <c r="G1356" s="18" t="inlineStr">
        <is>
          <t>PERIFERICO</t>
        </is>
      </c>
    </row>
    <row r="1357">
      <c r="B1357" s="56" t="inlineStr">
        <is>
          <t>00031-ILU</t>
        </is>
      </c>
      <c r="C1357" s="56">
        <f>IFERROR(_xlfn.XLOOKUP(SALIDAS[[#This Row],[CODIGO]],LISTADO[CODIGOS],LISTADO[CATEGORIA]),"NO EXISTE")</f>
        <v/>
      </c>
      <c r="D1357" s="56">
        <f>IFERROR(_xlfn.XLOOKUP(SALIDAS[[#This Row],[CODIGO]],LISTADO[CODIGOS],LISTADO[PRODUCTOS]),"NO EXISTE")</f>
        <v/>
      </c>
      <c r="E1357" s="19" t="n">
        <v>46135</v>
      </c>
      <c r="F1357" s="18" t="n">
        <v>1</v>
      </c>
      <c r="G1357" s="18" t="inlineStr">
        <is>
          <t>PERIFERICO</t>
        </is>
      </c>
    </row>
    <row r="1358">
      <c r="B1358" s="56" t="inlineStr">
        <is>
          <t>00007-HRR</t>
        </is>
      </c>
      <c r="C1358" s="56">
        <f>IFERROR(_xlfn.XLOOKUP(SALIDAS[[#This Row],[CODIGO]],LISTADO[CODIGOS],LISTADO[CATEGORIA]),"NO EXISTE")</f>
        <v/>
      </c>
      <c r="D1358" s="56">
        <f>IFERROR(_xlfn.XLOOKUP(SALIDAS[[#This Row],[CODIGO]],LISTADO[CODIGOS],LISTADO[PRODUCTOS]),"NO EXISTE")</f>
        <v/>
      </c>
      <c r="E1358" s="19" t="n">
        <v>46135</v>
      </c>
      <c r="F1358" s="18" t="n">
        <v>5</v>
      </c>
      <c r="G1358" s="18" t="inlineStr">
        <is>
          <t>PERIFERICO</t>
        </is>
      </c>
    </row>
    <row r="1359">
      <c r="B1359" s="56" t="inlineStr">
        <is>
          <t>00027-ILU</t>
        </is>
      </c>
      <c r="C1359" s="56">
        <f>IFERROR(_xlfn.XLOOKUP(SALIDAS[[#This Row],[CODIGO]],LISTADO[CODIGOS],LISTADO[CATEGORIA]),"NO EXISTE")</f>
        <v/>
      </c>
      <c r="D1359" s="56">
        <f>IFERROR(_xlfn.XLOOKUP(SALIDAS[[#This Row],[CODIGO]],LISTADO[CODIGOS],LISTADO[PRODUCTOS]),"NO EXISTE")</f>
        <v/>
      </c>
      <c r="E1359" s="19" t="n">
        <v>46135</v>
      </c>
      <c r="F1359" s="18" t="n">
        <v>1</v>
      </c>
      <c r="G1359" s="18" t="inlineStr">
        <is>
          <t>PERIFERICO</t>
        </is>
      </c>
    </row>
    <row r="1360">
      <c r="B1360" s="56" t="inlineStr">
        <is>
          <t>00096-FER</t>
        </is>
      </c>
      <c r="C1360" s="56">
        <f>IFERROR(_xlfn.XLOOKUP(SALIDAS[[#This Row],[CODIGO]],LISTADO[CODIGOS],LISTADO[CATEGORIA]),"NO EXISTE")</f>
        <v/>
      </c>
      <c r="D1360" s="56">
        <f>IFERROR(_xlfn.XLOOKUP(SALIDAS[[#This Row],[CODIGO]],LISTADO[CODIGOS],LISTADO[PRODUCTOS]),"NO EXISTE")</f>
        <v/>
      </c>
      <c r="E1360" s="19" t="n">
        <v>46135</v>
      </c>
      <c r="F1360" s="18" t="n">
        <v>7</v>
      </c>
      <c r="G1360" s="18" t="inlineStr">
        <is>
          <t>NAGUANAGUA 3</t>
        </is>
      </c>
    </row>
    <row r="1361">
      <c r="B1361" s="56" t="inlineStr">
        <is>
          <t>00213-FER</t>
        </is>
      </c>
      <c r="C1361" s="56">
        <f>IFERROR(_xlfn.XLOOKUP(SALIDAS[[#This Row],[CODIGO]],LISTADO[CODIGOS],LISTADO[CATEGORIA]),"NO EXISTE")</f>
        <v/>
      </c>
      <c r="D1361" s="56">
        <f>IFERROR(_xlfn.XLOOKUP(SALIDAS[[#This Row],[CODIGO]],LISTADO[CODIGOS],LISTADO[PRODUCTOS]),"NO EXISTE")</f>
        <v/>
      </c>
      <c r="E1361" s="19" t="n">
        <v>46135</v>
      </c>
      <c r="F1361" s="18" t="inlineStr">
        <is>
          <t>18.87</t>
        </is>
      </c>
      <c r="G1361" s="18" t="inlineStr">
        <is>
          <t>TURMERO</t>
        </is>
      </c>
    </row>
    <row r="1362">
      <c r="B1362" s="18" t="inlineStr">
        <is>
          <t>00099-ELE</t>
        </is>
      </c>
      <c r="C1362" s="56">
        <f>IFERROR(_xlfn.XLOOKUP(SALIDAS[[#This Row],[CODIGO]],LISTADO[CODIGOS],LISTADO[CATEGORIA]),"NO EXISTE")</f>
        <v/>
      </c>
      <c r="D1362" s="56">
        <f>IFERROR(_xlfn.XLOOKUP(SALIDAS[[#This Row],[CODIGO]],LISTADO[CODIGOS],LISTADO[PRODUCTOS]),"NO EXISTE")</f>
        <v/>
      </c>
      <c r="E1362" s="19" t="n">
        <v>46135</v>
      </c>
      <c r="F1362" s="18" t="n">
        <v>7</v>
      </c>
      <c r="G1362" s="18" t="inlineStr">
        <is>
          <t>TURMERO</t>
        </is>
      </c>
    </row>
    <row r="1363">
      <c r="B1363" s="56" t="inlineStr">
        <is>
          <t>00080-ELC</t>
        </is>
      </c>
      <c r="C1363" s="56">
        <f>IFERROR(_xlfn.XLOOKUP(SALIDAS[[#This Row],[CODIGO]],LISTADO[CODIGOS],LISTADO[CATEGORIA]),"NO EXISTE")</f>
        <v/>
      </c>
      <c r="D1363" s="56">
        <f>IFERROR(_xlfn.XLOOKUP(SALIDAS[[#This Row],[CODIGO]],LISTADO[CODIGOS],LISTADO[PRODUCTOS]),"NO EXISTE")</f>
        <v/>
      </c>
      <c r="E1363" s="19" t="n">
        <v>46135</v>
      </c>
      <c r="F1363" s="18" t="n">
        <v>5</v>
      </c>
      <c r="G1363" s="18" t="inlineStr">
        <is>
          <t>PERIFERICO</t>
        </is>
      </c>
    </row>
    <row r="1364">
      <c r="B1364" s="18" t="inlineStr">
        <is>
          <t>00081-ELC</t>
        </is>
      </c>
      <c r="C1364" s="56">
        <f>IFERROR(_xlfn.XLOOKUP(SALIDAS[[#This Row],[CODIGO]],LISTADO[CODIGOS],LISTADO[CATEGORIA]),"NO EXISTE")</f>
        <v/>
      </c>
      <c r="D1364" s="56">
        <f>IFERROR(_xlfn.XLOOKUP(SALIDAS[[#This Row],[CODIGO]],LISTADO[CODIGOS],LISTADO[PRODUCTOS]),"NO EXISTE")</f>
        <v/>
      </c>
      <c r="E1364" s="19" t="n">
        <v>46135</v>
      </c>
      <c r="F1364" s="18" t="n">
        <v>2</v>
      </c>
      <c r="G1364" s="18" t="inlineStr">
        <is>
          <t>PERIFERICO</t>
        </is>
      </c>
    </row>
    <row r="1365">
      <c r="B1365" s="56" t="inlineStr">
        <is>
          <t>00007-HRR</t>
        </is>
      </c>
      <c r="C1365" s="56">
        <f>IFERROR(_xlfn.XLOOKUP(SALIDAS[[#This Row],[CODIGO]],LISTADO[CODIGOS],LISTADO[CATEGORIA]),"NO EXISTE")</f>
        <v/>
      </c>
      <c r="D1365" s="56">
        <f>IFERROR(_xlfn.XLOOKUP(SALIDAS[[#This Row],[CODIGO]],LISTADO[CODIGOS],LISTADO[PRODUCTOS]),"NO EXISTE")</f>
        <v/>
      </c>
      <c r="E1365" s="19" t="n">
        <v>46136</v>
      </c>
      <c r="F1365" s="18" t="n">
        <v>7</v>
      </c>
      <c r="G1365" s="18" t="inlineStr">
        <is>
          <t>PERIFERICO</t>
        </is>
      </c>
    </row>
    <row r="1366">
      <c r="B1366" s="56" t="inlineStr">
        <is>
          <t>00094-FER</t>
        </is>
      </c>
      <c r="C1366" s="56">
        <f>IFERROR(_xlfn.XLOOKUP(SALIDAS[[#This Row],[CODIGO]],LISTADO[CODIGOS],LISTADO[CATEGORIA]),"NO EXISTE")</f>
        <v/>
      </c>
      <c r="D1366" s="56">
        <f>IFERROR(_xlfn.XLOOKUP(SALIDAS[[#This Row],[CODIGO]],LISTADO[CODIGOS],LISTADO[PRODUCTOS]),"NO EXISTE")</f>
        <v/>
      </c>
      <c r="E1366" s="19" t="n">
        <v>46136</v>
      </c>
      <c r="F1366" s="18" t="n">
        <v>40</v>
      </c>
      <c r="G1366" s="18" t="inlineStr">
        <is>
          <t>TURMERO</t>
        </is>
      </c>
    </row>
    <row r="1367">
      <c r="B1367" s="18" t="inlineStr">
        <is>
          <t>00016-AUT</t>
        </is>
      </c>
      <c r="C1367" s="56">
        <f>IFERROR(_xlfn.XLOOKUP(SALIDAS[[#This Row],[CODIGO]],LISTADO[CODIGOS],LISTADO[CATEGORIA]),"NO EXISTE")</f>
        <v/>
      </c>
      <c r="D1367" s="56">
        <f>IFERROR(_xlfn.XLOOKUP(SALIDAS[[#This Row],[CODIGO]],LISTADO[CODIGOS],LISTADO[PRODUCTOS]),"NO EXISTE")</f>
        <v/>
      </c>
      <c r="E1367" s="19" t="n">
        <v>46136</v>
      </c>
      <c r="F1367" s="18" t="n">
        <v>1</v>
      </c>
      <c r="G1367" s="18" t="inlineStr">
        <is>
          <t>CORPORATIVO</t>
        </is>
      </c>
    </row>
    <row r="1368">
      <c r="B1368" s="56" t="inlineStr">
        <is>
          <t>00018-ELE</t>
        </is>
      </c>
      <c r="C1368" s="56">
        <f>IFERROR(_xlfn.XLOOKUP(SALIDAS[[#This Row],[CODIGO]],LISTADO[CODIGOS],LISTADO[CATEGORIA]),"NO EXISTE")</f>
        <v/>
      </c>
      <c r="D1368" s="56">
        <f>IFERROR(_xlfn.XLOOKUP(SALIDAS[[#This Row],[CODIGO]],LISTADO[CODIGOS],LISTADO[PRODUCTOS]),"NO EXISTE")</f>
        <v/>
      </c>
      <c r="E1368" s="19" t="n">
        <v>46136</v>
      </c>
      <c r="F1368" s="18" t="n">
        <v>300</v>
      </c>
      <c r="G1368" s="18" t="inlineStr">
        <is>
          <t>TURMERO</t>
        </is>
      </c>
    </row>
    <row r="1369">
      <c r="B1369" s="18" t="inlineStr">
        <is>
          <t>00111-ELE</t>
        </is>
      </c>
      <c r="C1369" s="56">
        <f>IFERROR(_xlfn.XLOOKUP(SALIDAS[[#This Row],[CODIGO]],LISTADO[CODIGOS],LISTADO[CATEGORIA]),"NO EXISTE")</f>
        <v/>
      </c>
      <c r="D1369" s="56">
        <f>IFERROR(_xlfn.XLOOKUP(SALIDAS[[#This Row],[CODIGO]],LISTADO[CODIGOS],LISTADO[PRODUCTOS]),"NO EXISTE")</f>
        <v/>
      </c>
      <c r="E1369" s="19" t="n">
        <v>46136</v>
      </c>
      <c r="F1369" s="18" t="n">
        <v>500</v>
      </c>
      <c r="G1369" s="18" t="inlineStr">
        <is>
          <t>TURMERO</t>
        </is>
      </c>
    </row>
    <row r="1370">
      <c r="B1370" s="56" t="inlineStr">
        <is>
          <t>00016-ELE</t>
        </is>
      </c>
      <c r="C1370" s="56">
        <f>IFERROR(_xlfn.XLOOKUP(SALIDAS[[#This Row],[CODIGO]],LISTADO[CODIGOS],LISTADO[CATEGORIA]),"NO EXISTE")</f>
        <v/>
      </c>
      <c r="D1370" s="56">
        <f>IFERROR(_xlfn.XLOOKUP(SALIDAS[[#This Row],[CODIGO]],LISTADO[CODIGOS],LISTADO[PRODUCTOS]),"NO EXISTE")</f>
        <v/>
      </c>
      <c r="E1370" s="19" t="n">
        <v>46136</v>
      </c>
      <c r="F1370" s="18" t="n">
        <v>100</v>
      </c>
      <c r="G1370" s="18" t="inlineStr">
        <is>
          <t>TURMERO</t>
        </is>
      </c>
    </row>
    <row r="1371">
      <c r="B1371" s="18" t="inlineStr">
        <is>
          <t>00084-ELE</t>
        </is>
      </c>
      <c r="C1371" s="56">
        <f>IFERROR(_xlfn.XLOOKUP(SALIDAS[[#This Row],[CODIGO]],LISTADO[CODIGOS],LISTADO[CATEGORIA]),"NO EXISTE")</f>
        <v/>
      </c>
      <c r="D1371" s="56">
        <f>IFERROR(_xlfn.XLOOKUP(SALIDAS[[#This Row],[CODIGO]],LISTADO[CODIGOS],LISTADO[PRODUCTOS]),"NO EXISTE")</f>
        <v/>
      </c>
      <c r="E1371" s="19" t="n">
        <v>46136</v>
      </c>
      <c r="F1371" s="18" t="n">
        <v>100</v>
      </c>
      <c r="G1371" s="18" t="inlineStr">
        <is>
          <t>TURMERO</t>
        </is>
      </c>
    </row>
    <row r="1372">
      <c r="B1372" s="56" t="inlineStr">
        <is>
          <t>00015-ELE</t>
        </is>
      </c>
      <c r="C1372" s="56">
        <f>IFERROR(_xlfn.XLOOKUP(SALIDAS[[#This Row],[CODIGO]],LISTADO[CODIGOS],LISTADO[CATEGORIA]),"NO EXISTE")</f>
        <v/>
      </c>
      <c r="D1372" s="56">
        <f>IFERROR(_xlfn.XLOOKUP(SALIDAS[[#This Row],[CODIGO]],LISTADO[CODIGOS],LISTADO[PRODUCTOS]),"NO EXISTE")</f>
        <v/>
      </c>
      <c r="E1372" s="19" t="n">
        <v>46136</v>
      </c>
      <c r="F1372" s="18" t="n">
        <v>100</v>
      </c>
      <c r="G1372" s="18" t="inlineStr">
        <is>
          <t>TURMERO</t>
        </is>
      </c>
    </row>
    <row r="1373">
      <c r="B1373" s="18" t="inlineStr">
        <is>
          <t>00118-ELE</t>
        </is>
      </c>
      <c r="C1373" s="56">
        <f>IFERROR(_xlfn.XLOOKUP(SALIDAS[[#This Row],[CODIGO]],LISTADO[CODIGOS],LISTADO[CATEGORIA]),"NO EXISTE")</f>
        <v/>
      </c>
      <c r="D1373" s="56">
        <f>IFERROR(_xlfn.XLOOKUP(SALIDAS[[#This Row],[CODIGO]],LISTADO[CODIGOS],LISTADO[PRODUCTOS]),"NO EXISTE")</f>
        <v/>
      </c>
      <c r="E1373" s="19" t="n">
        <v>46136</v>
      </c>
      <c r="F1373" s="18" t="n">
        <v>500</v>
      </c>
      <c r="G1373" s="18" t="inlineStr">
        <is>
          <t>TURMERO</t>
        </is>
      </c>
    </row>
    <row r="1374">
      <c r="B1374" s="18" t="inlineStr">
        <is>
          <t>00088-ELE</t>
        </is>
      </c>
      <c r="C1374" s="56">
        <f>IFERROR(_xlfn.XLOOKUP(SALIDAS[[#This Row],[CODIGO]],LISTADO[CODIGOS],LISTADO[CATEGORIA]),"NO EXISTE")</f>
        <v/>
      </c>
      <c r="D1374" s="56">
        <f>IFERROR(_xlfn.XLOOKUP(SALIDAS[[#This Row],[CODIGO]],LISTADO[CODIGOS],LISTADO[PRODUCTOS]),"NO EXISTE")</f>
        <v/>
      </c>
      <c r="E1374" s="19" t="n">
        <v>46136</v>
      </c>
      <c r="F1374" s="18" t="n">
        <v>500</v>
      </c>
      <c r="G1374" s="18" t="inlineStr">
        <is>
          <t>TURMERO</t>
        </is>
      </c>
    </row>
    <row r="1375">
      <c r="B1375" s="18" t="inlineStr">
        <is>
          <t>00119-ELE</t>
        </is>
      </c>
      <c r="C1375" s="56">
        <f>IFERROR(_xlfn.XLOOKUP(SALIDAS[[#This Row],[CODIGO]],LISTADO[CODIGOS],LISTADO[CATEGORIA]),"NO EXISTE")</f>
        <v/>
      </c>
      <c r="D1375" s="56">
        <f>IFERROR(_xlfn.XLOOKUP(SALIDAS[[#This Row],[CODIGO]],LISTADO[CODIGOS],LISTADO[PRODUCTOS]),"NO EXISTE")</f>
        <v/>
      </c>
      <c r="E1375" s="19" t="n">
        <v>46136</v>
      </c>
      <c r="F1375" s="18" t="n">
        <v>500</v>
      </c>
      <c r="G1375" s="18" t="inlineStr">
        <is>
          <t>TURMERO</t>
        </is>
      </c>
    </row>
    <row r="1376">
      <c r="B1376" s="18" t="inlineStr">
        <is>
          <t>00122-ELE</t>
        </is>
      </c>
      <c r="C1376" s="56">
        <f>IFERROR(_xlfn.XLOOKUP(SALIDAS[[#This Row],[CODIGO]],LISTADO[CODIGOS],LISTADO[CATEGORIA]),"NO EXISTE")</f>
        <v/>
      </c>
      <c r="D1376" s="56">
        <f>IFERROR(_xlfn.XLOOKUP(SALIDAS[[#This Row],[CODIGO]],LISTADO[CODIGOS],LISTADO[PRODUCTOS]),"NO EXISTE")</f>
        <v/>
      </c>
      <c r="E1376" s="19" t="n">
        <v>46136</v>
      </c>
      <c r="F1376" s="18" t="n">
        <v>500</v>
      </c>
      <c r="G1376" s="18" t="inlineStr">
        <is>
          <t>TURMERO</t>
        </is>
      </c>
    </row>
    <row r="1377">
      <c r="B1377" s="18" t="inlineStr">
        <is>
          <t>00120-ELE</t>
        </is>
      </c>
      <c r="C1377" s="56">
        <f>IFERROR(_xlfn.XLOOKUP(SALIDAS[[#This Row],[CODIGO]],LISTADO[CODIGOS],LISTADO[CATEGORIA]),"NO EXISTE")</f>
        <v/>
      </c>
      <c r="D1377" s="56">
        <f>IFERROR(_xlfn.XLOOKUP(SALIDAS[[#This Row],[CODIGO]],LISTADO[CODIGOS],LISTADO[PRODUCTOS]),"NO EXISTE")</f>
        <v/>
      </c>
      <c r="E1377" s="19" t="n">
        <v>46136</v>
      </c>
      <c r="F1377" s="18" t="n">
        <v>200</v>
      </c>
      <c r="G1377" s="18" t="inlineStr">
        <is>
          <t>TURMERO</t>
        </is>
      </c>
    </row>
    <row r="1378">
      <c r="B1378" s="18" t="inlineStr">
        <is>
          <t>00117-ELE</t>
        </is>
      </c>
      <c r="C1378" s="56">
        <f>IFERROR(_xlfn.XLOOKUP(SALIDAS[[#This Row],[CODIGO]],LISTADO[CODIGOS],LISTADO[CATEGORIA]),"NO EXISTE")</f>
        <v/>
      </c>
      <c r="D1378" s="56">
        <f>IFERROR(_xlfn.XLOOKUP(SALIDAS[[#This Row],[CODIGO]],LISTADO[CODIGOS],LISTADO[PRODUCTOS]),"NO EXISTE")</f>
        <v/>
      </c>
      <c r="E1378" s="19" t="n">
        <v>46136</v>
      </c>
      <c r="F1378" s="18" t="n">
        <v>500</v>
      </c>
      <c r="G1378" s="18" t="inlineStr">
        <is>
          <t>TURMERO</t>
        </is>
      </c>
    </row>
    <row r="1379">
      <c r="B1379" s="56" t="inlineStr">
        <is>
          <t>00014-ELE</t>
        </is>
      </c>
      <c r="C1379" s="56">
        <f>IFERROR(_xlfn.XLOOKUP(SALIDAS[[#This Row],[CODIGO]],LISTADO[CODIGOS],LISTADO[CATEGORIA]),"NO EXISTE")</f>
        <v/>
      </c>
      <c r="D1379" s="56">
        <f>IFERROR(_xlfn.XLOOKUP(SALIDAS[[#This Row],[CODIGO]],LISTADO[CODIGOS],LISTADO[PRODUCTOS]),"NO EXISTE")</f>
        <v/>
      </c>
      <c r="E1379" s="19" t="n">
        <v>46136</v>
      </c>
      <c r="F1379" s="18" t="n">
        <v>500</v>
      </c>
      <c r="G1379" s="18" t="inlineStr">
        <is>
          <t>TURMERO</t>
        </is>
      </c>
    </row>
    <row r="1380">
      <c r="B1380" s="18" t="inlineStr">
        <is>
          <t>00089-ELE</t>
        </is>
      </c>
      <c r="C1380" s="56">
        <f>IFERROR(_xlfn.XLOOKUP(SALIDAS[[#This Row],[CODIGO]],LISTADO[CODIGOS],LISTADO[CATEGORIA]),"NO EXISTE")</f>
        <v/>
      </c>
      <c r="D1380" s="56">
        <f>IFERROR(_xlfn.XLOOKUP(SALIDAS[[#This Row],[CODIGO]],LISTADO[CODIGOS],LISTADO[PRODUCTOS]),"NO EXISTE")</f>
        <v/>
      </c>
      <c r="E1380" s="19" t="n">
        <v>46136</v>
      </c>
      <c r="F1380" s="18" t="n">
        <v>500</v>
      </c>
      <c r="G1380" s="18" t="inlineStr">
        <is>
          <t>TURMERO</t>
        </is>
      </c>
    </row>
    <row r="1381">
      <c r="B1381" s="18" t="inlineStr">
        <is>
          <t>00066-ELE</t>
        </is>
      </c>
      <c r="C1381" s="56">
        <f>IFERROR(_xlfn.XLOOKUP(SALIDAS[[#This Row],[CODIGO]],LISTADO[CODIGOS],LISTADO[CATEGORIA]),"NO EXISTE")</f>
        <v/>
      </c>
      <c r="D1381" s="56">
        <f>IFERROR(_xlfn.XLOOKUP(SALIDAS[[#This Row],[CODIGO]],LISTADO[CODIGOS],LISTADO[PRODUCTOS]),"NO EXISTE")</f>
        <v/>
      </c>
      <c r="E1381" s="19" t="n">
        <v>46136</v>
      </c>
      <c r="F1381" s="18" t="n">
        <v>1300</v>
      </c>
      <c r="G1381" s="18" t="inlineStr">
        <is>
          <t>TURMERO</t>
        </is>
      </c>
    </row>
    <row r="1382">
      <c r="B1382" s="56" t="inlineStr">
        <is>
          <t>00004-FER</t>
        </is>
      </c>
      <c r="C1382" s="56">
        <f>IFERROR(_xlfn.XLOOKUP(SALIDAS[[#This Row],[CODIGO]],LISTADO[CODIGOS],LISTADO[CATEGORIA]),"NO EXISTE")</f>
        <v/>
      </c>
      <c r="D1382" s="56">
        <f>IFERROR(_xlfn.XLOOKUP(SALIDAS[[#This Row],[CODIGO]],LISTADO[CODIGOS],LISTADO[PRODUCTOS]),"NO EXISTE")</f>
        <v/>
      </c>
      <c r="E1382" s="19" t="n">
        <v>46137</v>
      </c>
      <c r="F1382" s="18" t="n">
        <v>600</v>
      </c>
      <c r="G1382" s="18" t="inlineStr">
        <is>
          <t>PERIFERICO</t>
        </is>
      </c>
    </row>
    <row r="1383">
      <c r="B1383" s="56" t="inlineStr">
        <is>
          <t>00041-ELE</t>
        </is>
      </c>
      <c r="C1383" s="56">
        <f>IFERROR(_xlfn.XLOOKUP(SALIDAS[[#This Row],[CODIGO]],LISTADO[CODIGOS],LISTADO[CATEGORIA]),"NO EXISTE")</f>
        <v/>
      </c>
      <c r="D1383" s="56">
        <f>IFERROR(_xlfn.XLOOKUP(SALIDAS[[#This Row],[CODIGO]],LISTADO[CODIGOS],LISTADO[PRODUCTOS]),"NO EXISTE")</f>
        <v/>
      </c>
      <c r="E1383" s="19" t="n">
        <v>46138</v>
      </c>
      <c r="F1383" s="18" t="n">
        <v>7</v>
      </c>
      <c r="G1383" s="18" t="inlineStr">
        <is>
          <t>PERIFERICO</t>
        </is>
      </c>
    </row>
    <row r="1384">
      <c r="B1384" s="18" t="inlineStr">
        <is>
          <t>00073-ELE</t>
        </is>
      </c>
      <c r="C1384" s="56">
        <f>IFERROR(_xlfn.XLOOKUP(SALIDAS[[#This Row],[CODIGO]],LISTADO[CODIGOS],LISTADO[CATEGORIA]),"NO EXISTE")</f>
        <v/>
      </c>
      <c r="D1384" s="56">
        <f>IFERROR(_xlfn.XLOOKUP(SALIDAS[[#This Row],[CODIGO]],LISTADO[CODIGOS],LISTADO[PRODUCTOS]),"NO EXISTE")</f>
        <v/>
      </c>
      <c r="E1384" s="19" t="n">
        <v>46139</v>
      </c>
      <c r="F1384" s="18" t="n">
        <v>60</v>
      </c>
      <c r="G1384" s="18" t="inlineStr">
        <is>
          <t>TURMERO</t>
        </is>
      </c>
    </row>
    <row r="1385">
      <c r="B1385" s="18" t="inlineStr">
        <is>
          <t>00070-ELE</t>
        </is>
      </c>
      <c r="C1385" s="56">
        <f>IFERROR(_xlfn.XLOOKUP(SALIDAS[[#This Row],[CODIGO]],LISTADO[CODIGOS],LISTADO[CATEGORIA]),"NO EXISTE")</f>
        <v/>
      </c>
      <c r="D1385" s="56">
        <f>IFERROR(_xlfn.XLOOKUP(SALIDAS[[#This Row],[CODIGO]],LISTADO[CODIGOS],LISTADO[PRODUCTOS]),"NO EXISTE")</f>
        <v/>
      </c>
      <c r="E1385" s="19" t="n">
        <v>46139</v>
      </c>
      <c r="F1385" s="18" t="n">
        <v>15</v>
      </c>
      <c r="G1385" s="18" t="inlineStr">
        <is>
          <t>TURMERO</t>
        </is>
      </c>
    </row>
    <row r="1386">
      <c r="B1386" s="56" t="inlineStr">
        <is>
          <t>00047-ELE</t>
        </is>
      </c>
      <c r="C1386" s="56">
        <f>IFERROR(_xlfn.XLOOKUP(SALIDAS[[#This Row],[CODIGO]],LISTADO[CODIGOS],LISTADO[CATEGORIA]),"NO EXISTE")</f>
        <v/>
      </c>
      <c r="D1386" s="56">
        <f>IFERROR(_xlfn.XLOOKUP(SALIDAS[[#This Row],[CODIGO]],LISTADO[CODIGOS],LISTADO[PRODUCTOS]),"NO EXISTE")</f>
        <v/>
      </c>
      <c r="E1386" s="19" t="n">
        <v>46139</v>
      </c>
      <c r="F1386" s="18" t="n">
        <v>15</v>
      </c>
      <c r="G1386" s="18" t="inlineStr">
        <is>
          <t>TURMERO</t>
        </is>
      </c>
    </row>
    <row r="1387">
      <c r="B1387" s="56" t="inlineStr">
        <is>
          <t>00004-FER</t>
        </is>
      </c>
      <c r="C1387" s="56">
        <f>IFERROR(_xlfn.XLOOKUP(SALIDAS[[#This Row],[CODIGO]],LISTADO[CODIGOS],LISTADO[CATEGORIA]),"NO EXISTE")</f>
        <v/>
      </c>
      <c r="D1387" s="56">
        <f>IFERROR(_xlfn.XLOOKUP(SALIDAS[[#This Row],[CODIGO]],LISTADO[CODIGOS],LISTADO[PRODUCTOS]),"NO EXISTE")</f>
        <v/>
      </c>
      <c r="E1387" s="19" t="n">
        <v>46140</v>
      </c>
      <c r="F1387" s="18" t="n">
        <v>500</v>
      </c>
      <c r="G1387" s="18" t="inlineStr">
        <is>
          <t>PERIFERICO</t>
        </is>
      </c>
    </row>
    <row r="1388">
      <c r="B1388" s="18" t="inlineStr">
        <is>
          <t>00100-ELE</t>
        </is>
      </c>
      <c r="C1388" s="56">
        <f>IFERROR(_xlfn.XLOOKUP(SALIDAS[[#This Row],[CODIGO]],LISTADO[CODIGOS],LISTADO[CATEGORIA]),"NO EXISTE")</f>
        <v/>
      </c>
      <c r="D1388" s="56">
        <f>IFERROR(_xlfn.XLOOKUP(SALIDAS[[#This Row],[CODIGO]],LISTADO[CODIGOS],LISTADO[PRODUCTOS]),"NO EXISTE")</f>
        <v/>
      </c>
      <c r="E1388" s="19" t="n">
        <v>46140</v>
      </c>
      <c r="F1388" s="18" t="n">
        <v>4</v>
      </c>
      <c r="G1388" s="18" t="inlineStr">
        <is>
          <t>TURMERO</t>
        </is>
      </c>
    </row>
    <row r="1389">
      <c r="B1389" s="18" t="inlineStr">
        <is>
          <t>00101-ELE</t>
        </is>
      </c>
      <c r="C1389" s="56">
        <f>IFERROR(_xlfn.XLOOKUP(SALIDAS[[#This Row],[CODIGO]],LISTADO[CODIGOS],LISTADO[CATEGORIA]),"NO EXISTE")</f>
        <v/>
      </c>
      <c r="D1389" s="56">
        <f>IFERROR(_xlfn.XLOOKUP(SALIDAS[[#This Row],[CODIGO]],LISTADO[CODIGOS],LISTADO[PRODUCTOS]),"NO EXISTE")</f>
        <v/>
      </c>
      <c r="E1389" s="19" t="n">
        <v>46140</v>
      </c>
      <c r="F1389" s="18" t="n">
        <v>1</v>
      </c>
      <c r="G1389" s="18" t="inlineStr">
        <is>
          <t>TURMERO</t>
        </is>
      </c>
    </row>
    <row r="1390">
      <c r="B1390" s="18" t="inlineStr">
        <is>
          <t>00109-ELE</t>
        </is>
      </c>
      <c r="C1390" s="56">
        <f>IFERROR(_xlfn.XLOOKUP(SALIDAS[[#This Row],[CODIGO]],LISTADO[CODIGOS],LISTADO[CATEGORIA]),"NO EXISTE")</f>
        <v/>
      </c>
      <c r="D1390" s="56">
        <f>IFERROR(_xlfn.XLOOKUP(SALIDAS[[#This Row],[CODIGO]],LISTADO[CODIGOS],LISTADO[PRODUCTOS]),"NO EXISTE")</f>
        <v/>
      </c>
      <c r="E1390" s="19" t="n">
        <v>46140</v>
      </c>
      <c r="F1390" s="18" t="n">
        <v>100</v>
      </c>
      <c r="G1390" s="18" t="inlineStr">
        <is>
          <t>TURMERO</t>
        </is>
      </c>
    </row>
    <row r="1391">
      <c r="B1391" s="56" t="inlineStr">
        <is>
          <t>00004-FER</t>
        </is>
      </c>
      <c r="C1391" s="56">
        <f>IFERROR(_xlfn.XLOOKUP(SALIDAS[[#This Row],[CODIGO]],LISTADO[CODIGOS],LISTADO[CATEGORIA]),"NO EXISTE")</f>
        <v/>
      </c>
      <c r="D1391" s="56">
        <f>IFERROR(_xlfn.XLOOKUP(SALIDAS[[#This Row],[CODIGO]],LISTADO[CODIGOS],LISTADO[PRODUCTOS]),"NO EXISTE")</f>
        <v/>
      </c>
      <c r="E1391" s="19" t="n">
        <v>46141</v>
      </c>
      <c r="F1391" s="18" t="n">
        <v>200</v>
      </c>
      <c r="G1391" s="18" t="inlineStr">
        <is>
          <t>PERIFERICO</t>
        </is>
      </c>
    </row>
    <row r="1392">
      <c r="B1392" s="56" t="inlineStr">
        <is>
          <t>00010-UNI</t>
        </is>
      </c>
      <c r="C1392" s="56">
        <f>IFERROR(_xlfn.XLOOKUP(SALIDAS[[#This Row],[CODIGO]],LISTADO[CODIGOS],LISTADO[CATEGORIA]),"NO EXISTE")</f>
        <v/>
      </c>
      <c r="D1392" s="56">
        <f>IFERROR(_xlfn.XLOOKUP(SALIDAS[[#This Row],[CODIGO]],LISTADO[CODIGOS],LISTADO[PRODUCTOS]),"NO EXISTE")</f>
        <v/>
      </c>
      <c r="E1392" s="19" t="n">
        <v>46141</v>
      </c>
      <c r="F1392" s="18" t="n">
        <v>3</v>
      </c>
      <c r="G1392" s="18" t="inlineStr">
        <is>
          <t>INVENTARIO</t>
        </is>
      </c>
    </row>
    <row r="1393">
      <c r="B1393" s="18" t="inlineStr">
        <is>
          <t>00011-UNI</t>
        </is>
      </c>
      <c r="C1393" s="56">
        <f>IFERROR(_xlfn.XLOOKUP(SALIDAS[[#This Row],[CODIGO]],LISTADO[CODIGOS],LISTADO[CATEGORIA]),"NO EXISTE")</f>
        <v/>
      </c>
      <c r="D1393" s="56">
        <f>IFERROR(_xlfn.XLOOKUP(SALIDAS[[#This Row],[CODIGO]],LISTADO[CODIGOS],LISTADO[PRODUCTOS]),"NO EXISTE")</f>
        <v/>
      </c>
      <c r="E1393" s="19" t="n">
        <v>46141</v>
      </c>
      <c r="F1393" s="18" t="n">
        <v>8</v>
      </c>
      <c r="G1393" s="18" t="inlineStr">
        <is>
          <t>INVENTARIO</t>
        </is>
      </c>
    </row>
    <row r="1394">
      <c r="B1394" s="56" t="inlineStr">
        <is>
          <t>00012-UNI</t>
        </is>
      </c>
      <c r="C1394" s="56">
        <f>IFERROR(_xlfn.XLOOKUP(SALIDAS[[#This Row],[CODIGO]],LISTADO[CODIGOS],LISTADO[CATEGORIA]),"NO EXISTE")</f>
        <v/>
      </c>
      <c r="D1394" s="56">
        <f>IFERROR(_xlfn.XLOOKUP(SALIDAS[[#This Row],[CODIGO]],LISTADO[CODIGOS],LISTADO[PRODUCTOS]),"NO EXISTE")</f>
        <v/>
      </c>
      <c r="E1394" s="19" t="n">
        <v>46141</v>
      </c>
      <c r="F1394" s="18" t="n">
        <v>1</v>
      </c>
      <c r="G1394" s="18" t="inlineStr">
        <is>
          <t>INVENTARIO</t>
        </is>
      </c>
    </row>
    <row r="1395">
      <c r="B1395" s="56" t="inlineStr">
        <is>
          <t>00013-UNI</t>
        </is>
      </c>
      <c r="C1395" s="56">
        <f>IFERROR(_xlfn.XLOOKUP(SALIDAS[[#This Row],[CODIGO]],LISTADO[CODIGOS],LISTADO[CATEGORIA]),"NO EXISTE")</f>
        <v/>
      </c>
      <c r="D1395" s="56">
        <f>IFERROR(_xlfn.XLOOKUP(SALIDAS[[#This Row],[CODIGO]],LISTADO[CODIGOS],LISTADO[PRODUCTOS]),"NO EXISTE")</f>
        <v/>
      </c>
      <c r="E1395" s="19" t="n">
        <v>46141</v>
      </c>
      <c r="F1395" s="18" t="n">
        <v>26</v>
      </c>
      <c r="G1395" s="18" t="inlineStr">
        <is>
          <t>INVENTARIO</t>
        </is>
      </c>
    </row>
    <row r="1396">
      <c r="B1396" s="56" t="inlineStr">
        <is>
          <t>00022-UNI</t>
        </is>
      </c>
      <c r="C1396" s="56">
        <f>IFERROR(_xlfn.XLOOKUP(SALIDAS[[#This Row],[CODIGO]],LISTADO[CODIGOS],LISTADO[CATEGORIA]),"NO EXISTE")</f>
        <v/>
      </c>
      <c r="D1396" s="56">
        <f>IFERROR(_xlfn.XLOOKUP(SALIDAS[[#This Row],[CODIGO]],LISTADO[CODIGOS],LISTADO[PRODUCTOS]),"NO EXISTE")</f>
        <v/>
      </c>
      <c r="E1396" s="19" t="n">
        <v>46141</v>
      </c>
      <c r="F1396" s="18" t="n">
        <v>4</v>
      </c>
      <c r="G1396" s="18" t="inlineStr">
        <is>
          <t>INVENTARIO</t>
        </is>
      </c>
    </row>
    <row r="1397">
      <c r="B1397" s="56" t="inlineStr">
        <is>
          <t>00036-UNI</t>
        </is>
      </c>
      <c r="C1397" s="56">
        <f>IFERROR(_xlfn.XLOOKUP(SALIDAS[[#This Row],[CODIGO]],LISTADO[CODIGOS],LISTADO[CATEGORIA]),"NO EXISTE")</f>
        <v/>
      </c>
      <c r="D1397" s="56">
        <f>IFERROR(_xlfn.XLOOKUP(SALIDAS[[#This Row],[CODIGO]],LISTADO[CODIGOS],LISTADO[PRODUCTOS]),"NO EXISTE")</f>
        <v/>
      </c>
      <c r="E1397" s="19" t="n">
        <v>46141</v>
      </c>
      <c r="F1397" s="18" t="n">
        <v>1</v>
      </c>
      <c r="G1397" s="18" t="inlineStr">
        <is>
          <t>INVENTARIO</t>
        </is>
      </c>
    </row>
    <row r="1398">
      <c r="B1398" s="56" t="inlineStr">
        <is>
          <t>00037-UNI</t>
        </is>
      </c>
      <c r="C1398" s="56">
        <f>IFERROR(_xlfn.XLOOKUP(SALIDAS[[#This Row],[CODIGO]],LISTADO[CODIGOS],LISTADO[CATEGORIA]),"NO EXISTE")</f>
        <v/>
      </c>
      <c r="D1398" s="56">
        <f>IFERROR(_xlfn.XLOOKUP(SALIDAS[[#This Row],[CODIGO]],LISTADO[CODIGOS],LISTADO[PRODUCTOS]),"NO EXISTE")</f>
        <v/>
      </c>
      <c r="E1398" s="19" t="n">
        <v>46141</v>
      </c>
      <c r="F1398" s="18" t="n">
        <v>1</v>
      </c>
      <c r="G1398" s="18" t="inlineStr">
        <is>
          <t>INVENTARIO</t>
        </is>
      </c>
    </row>
    <row r="1399">
      <c r="B1399" s="56" t="inlineStr">
        <is>
          <t>00039-UNI</t>
        </is>
      </c>
      <c r="C1399" s="56">
        <f>IFERROR(_xlfn.XLOOKUP(SALIDAS[[#This Row],[CODIGO]],LISTADO[CODIGOS],LISTADO[CATEGORIA]),"NO EXISTE")</f>
        <v/>
      </c>
      <c r="D1399" s="56">
        <f>IFERROR(_xlfn.XLOOKUP(SALIDAS[[#This Row],[CODIGO]],LISTADO[CODIGOS],LISTADO[PRODUCTOS]),"NO EXISTE")</f>
        <v/>
      </c>
      <c r="E1399" s="19" t="n">
        <v>46141</v>
      </c>
      <c r="F1399" s="18" t="n">
        <v>1</v>
      </c>
      <c r="G1399" s="18" t="inlineStr">
        <is>
          <t>INVENTARIO</t>
        </is>
      </c>
    </row>
    <row r="1400">
      <c r="B1400" s="56" t="inlineStr">
        <is>
          <t>00041-UNI</t>
        </is>
      </c>
      <c r="C1400" s="56">
        <f>IFERROR(_xlfn.XLOOKUP(SALIDAS[[#This Row],[CODIGO]],LISTADO[CODIGOS],LISTADO[CATEGORIA]),"NO EXISTE")</f>
        <v/>
      </c>
      <c r="D1400" s="56">
        <f>IFERROR(_xlfn.XLOOKUP(SALIDAS[[#This Row],[CODIGO]],LISTADO[CODIGOS],LISTADO[PRODUCTOS]),"NO EXISTE")</f>
        <v/>
      </c>
      <c r="E1400" s="19" t="n">
        <v>46141</v>
      </c>
      <c r="F1400" s="18" t="n">
        <v>4</v>
      </c>
      <c r="G1400" s="18" t="inlineStr">
        <is>
          <t>INVENTARIO</t>
        </is>
      </c>
    </row>
    <row r="1401">
      <c r="B1401" s="56" t="inlineStr">
        <is>
          <t>00047-UNI</t>
        </is>
      </c>
      <c r="C1401" s="56">
        <f>IFERROR(_xlfn.XLOOKUP(SALIDAS[[#This Row],[CODIGO]],LISTADO[CODIGOS],LISTADO[CATEGORIA]),"NO EXISTE")</f>
        <v/>
      </c>
      <c r="D1401" s="56">
        <f>IFERROR(_xlfn.XLOOKUP(SALIDAS[[#This Row],[CODIGO]],LISTADO[CODIGOS],LISTADO[PRODUCTOS]),"NO EXISTE")</f>
        <v/>
      </c>
      <c r="E1401" s="19" t="n">
        <v>46141</v>
      </c>
      <c r="F1401" s="18" t="n">
        <v>4</v>
      </c>
      <c r="G1401" s="18" t="inlineStr">
        <is>
          <t>INVENTARIO</t>
        </is>
      </c>
    </row>
    <row r="1402">
      <c r="B1402" s="56" t="inlineStr">
        <is>
          <t>00067-UNI</t>
        </is>
      </c>
      <c r="C1402" s="56">
        <f>IFERROR(_xlfn.XLOOKUP(SALIDAS[[#This Row],[CODIGO]],LISTADO[CODIGOS],LISTADO[CATEGORIA]),"NO EXISTE")</f>
        <v/>
      </c>
      <c r="D1402" s="56">
        <f>IFERROR(_xlfn.XLOOKUP(SALIDAS[[#This Row],[CODIGO]],LISTADO[CODIGOS],LISTADO[PRODUCTOS]),"NO EXISTE")</f>
        <v/>
      </c>
      <c r="E1402" s="19" t="n">
        <v>46141</v>
      </c>
      <c r="F1402" s="18" t="n">
        <v>15</v>
      </c>
      <c r="G1402" s="18" t="inlineStr">
        <is>
          <t>INVENTARIO</t>
        </is>
      </c>
    </row>
    <row r="1403">
      <c r="B1403" s="56" t="inlineStr">
        <is>
          <t>00068-UNI</t>
        </is>
      </c>
      <c r="C1403" s="56">
        <f>IFERROR(_xlfn.XLOOKUP(SALIDAS[[#This Row],[CODIGO]],LISTADO[CODIGOS],LISTADO[CATEGORIA]),"NO EXISTE")</f>
        <v/>
      </c>
      <c r="D1403" s="56">
        <f>IFERROR(_xlfn.XLOOKUP(SALIDAS[[#This Row],[CODIGO]],LISTADO[CODIGOS],LISTADO[PRODUCTOS]),"NO EXISTE")</f>
        <v/>
      </c>
      <c r="E1403" s="19" t="n">
        <v>46141</v>
      </c>
      <c r="F1403" s="18" t="n">
        <v>12</v>
      </c>
      <c r="G1403" s="18" t="inlineStr">
        <is>
          <t>INVENTARIO</t>
        </is>
      </c>
    </row>
    <row r="1404">
      <c r="B1404" s="56" t="inlineStr">
        <is>
          <t>00026-UNI</t>
        </is>
      </c>
      <c r="C1404" s="56">
        <f>IFERROR(_xlfn.XLOOKUP(SALIDAS[[#This Row],[CODIGO]],LISTADO[CODIGOS],LISTADO[CATEGORIA]),"NO EXISTE")</f>
        <v/>
      </c>
      <c r="D1404" s="56">
        <f>IFERROR(_xlfn.XLOOKUP(SALIDAS[[#This Row],[CODIGO]],LISTADO[CODIGOS],LISTADO[PRODUCTOS]),"NO EXISTE")</f>
        <v/>
      </c>
      <c r="E1404" s="19" t="n">
        <v>46141</v>
      </c>
      <c r="F1404" s="18" t="n">
        <v>3</v>
      </c>
      <c r="G1404" s="18" t="inlineStr">
        <is>
          <t>INVENTARIO</t>
        </is>
      </c>
    </row>
    <row r="1405">
      <c r="B1405" s="56" t="inlineStr">
        <is>
          <t>00028-UNI</t>
        </is>
      </c>
      <c r="C1405" s="56">
        <f>IFERROR(_xlfn.XLOOKUP(SALIDAS[[#This Row],[CODIGO]],LISTADO[CODIGOS],LISTADO[CATEGORIA]),"NO EXISTE")</f>
        <v/>
      </c>
      <c r="D1405" s="56">
        <f>IFERROR(_xlfn.XLOOKUP(SALIDAS[[#This Row],[CODIGO]],LISTADO[CODIGOS],LISTADO[PRODUCTOS]),"NO EXISTE")</f>
        <v/>
      </c>
      <c r="E1405" s="19" t="n">
        <v>46141</v>
      </c>
      <c r="F1405" s="18" t="n">
        <v>1</v>
      </c>
      <c r="G1405" s="18" t="inlineStr">
        <is>
          <t>INVENTARIO</t>
        </is>
      </c>
    </row>
    <row r="1406">
      <c r="B1406" s="56" t="inlineStr">
        <is>
          <t>00029-UNI</t>
        </is>
      </c>
      <c r="C1406" s="56">
        <f>IFERROR(_xlfn.XLOOKUP(SALIDAS[[#This Row],[CODIGO]],LISTADO[CODIGOS],LISTADO[CATEGORIA]),"NO EXISTE")</f>
        <v/>
      </c>
      <c r="D1406" s="56">
        <f>IFERROR(_xlfn.XLOOKUP(SALIDAS[[#This Row],[CODIGO]],LISTADO[CODIGOS],LISTADO[PRODUCTOS]),"NO EXISTE")</f>
        <v/>
      </c>
      <c r="E1406" s="19" t="n">
        <v>46141</v>
      </c>
      <c r="F1406" s="18" t="n">
        <v>1</v>
      </c>
      <c r="G1406" s="18" t="inlineStr">
        <is>
          <t>INVENTARIO</t>
        </is>
      </c>
    </row>
    <row r="1407">
      <c r="B1407" s="56" t="inlineStr">
        <is>
          <t>00032-UNI</t>
        </is>
      </c>
      <c r="C1407" s="56">
        <f>IFERROR(_xlfn.XLOOKUP(SALIDAS[[#This Row],[CODIGO]],LISTADO[CODIGOS],LISTADO[CATEGORIA]),"NO EXISTE")</f>
        <v/>
      </c>
      <c r="D1407" s="56">
        <f>IFERROR(_xlfn.XLOOKUP(SALIDAS[[#This Row],[CODIGO]],LISTADO[CODIGOS],LISTADO[PRODUCTOS]),"NO EXISTE")</f>
        <v/>
      </c>
      <c r="E1407" s="19" t="n">
        <v>46141</v>
      </c>
      <c r="F1407" s="18" t="n">
        <v>8</v>
      </c>
      <c r="G1407" s="18" t="inlineStr">
        <is>
          <t>INVENTARIO</t>
        </is>
      </c>
    </row>
    <row r="1408">
      <c r="B1408" s="56" t="inlineStr">
        <is>
          <t>00033-UNI</t>
        </is>
      </c>
      <c r="C1408" s="56">
        <f>IFERROR(_xlfn.XLOOKUP(SALIDAS[[#This Row],[CODIGO]],LISTADO[CODIGOS],LISTADO[CATEGORIA]),"NO EXISTE")</f>
        <v/>
      </c>
      <c r="D1408" s="56">
        <f>IFERROR(_xlfn.XLOOKUP(SALIDAS[[#This Row],[CODIGO]],LISTADO[CODIGOS],LISTADO[PRODUCTOS]),"NO EXISTE")</f>
        <v/>
      </c>
      <c r="E1408" s="19" t="n">
        <v>46141</v>
      </c>
      <c r="F1408" s="18" t="n">
        <v>8</v>
      </c>
      <c r="G1408" s="18" t="inlineStr">
        <is>
          <t>INVENTARIO</t>
        </is>
      </c>
    </row>
    <row r="1409">
      <c r="B1409" s="56" t="inlineStr">
        <is>
          <t>00006-PLM</t>
        </is>
      </c>
      <c r="C1409" s="56">
        <f>IFERROR(_xlfn.XLOOKUP(SALIDAS[[#This Row],[CODIGO]],LISTADO[CODIGOS],LISTADO[CATEGORIA]),"NO EXISTE")</f>
        <v/>
      </c>
      <c r="D1409" s="56">
        <f>IFERROR(_xlfn.XLOOKUP(SALIDAS[[#This Row],[CODIGO]],LISTADO[CODIGOS],LISTADO[PRODUCTOS]),"NO EXISTE")</f>
        <v/>
      </c>
      <c r="E1409" s="19" t="n">
        <v>46141</v>
      </c>
      <c r="F1409" s="18" t="n">
        <v>1</v>
      </c>
      <c r="G1409" s="18" t="inlineStr">
        <is>
          <t>PERIFERICO</t>
        </is>
      </c>
    </row>
    <row r="1410">
      <c r="B1410" s="56" t="inlineStr">
        <is>
          <t>00026-AUT</t>
        </is>
      </c>
      <c r="C1410" s="56">
        <f>IFERROR(_xlfn.XLOOKUP(SALIDAS[[#This Row],[CODIGO]],LISTADO[CODIGOS],LISTADO[CATEGORIA]),"NO EXISTE")</f>
        <v/>
      </c>
      <c r="D1410" s="56">
        <f>IFERROR(_xlfn.XLOOKUP(SALIDAS[[#This Row],[CODIGO]],LISTADO[CODIGOS],LISTADO[PRODUCTOS]),"NO EXISTE")</f>
        <v/>
      </c>
      <c r="E1410" s="19" t="n">
        <v>46141</v>
      </c>
      <c r="F1410" s="18" t="n">
        <v>12</v>
      </c>
      <c r="G1410" s="18" t="inlineStr">
        <is>
          <t>CORPORATIVO</t>
        </is>
      </c>
    </row>
    <row r="1411">
      <c r="B1411" s="18" t="inlineStr">
        <is>
          <t>00001-HRR</t>
        </is>
      </c>
      <c r="C1411" s="56">
        <f>IFERROR(_xlfn.XLOOKUP(SALIDAS[[#This Row],[CODIGO]],LISTADO[CODIGOS],LISTADO[CATEGORIA]),"NO EXISTE")</f>
        <v/>
      </c>
      <c r="D1411" s="56">
        <f>IFERROR(_xlfn.XLOOKUP(SALIDAS[[#This Row],[CODIGO]],LISTADO[CODIGOS],LISTADO[PRODUCTOS]),"NO EXISTE")</f>
        <v/>
      </c>
      <c r="E1411" s="19" t="n">
        <v>46141</v>
      </c>
      <c r="F1411" s="18" t="n">
        <v>1</v>
      </c>
      <c r="G1411" s="18" t="inlineStr">
        <is>
          <t>PERIFERICO</t>
        </is>
      </c>
    </row>
    <row r="1412">
      <c r="B1412" s="56" t="inlineStr">
        <is>
          <t>00066-PLM</t>
        </is>
      </c>
      <c r="C1412" s="56">
        <f>IFERROR(_xlfn.XLOOKUP(SALIDAS[[#This Row],[CODIGO]],LISTADO[CODIGOS],LISTADO[CATEGORIA]),"NO EXISTE")</f>
        <v/>
      </c>
      <c r="D1412" s="56">
        <f>IFERROR(_xlfn.XLOOKUP(SALIDAS[[#This Row],[CODIGO]],LISTADO[CODIGOS],LISTADO[PRODUCTOS]),"NO EXISTE")</f>
        <v/>
      </c>
      <c r="E1412" s="19" t="n">
        <v>46141</v>
      </c>
      <c r="F1412" s="18" t="n">
        <v>2</v>
      </c>
      <c r="G1412" s="18" t="inlineStr">
        <is>
          <t>MAÑONGO</t>
        </is>
      </c>
    </row>
    <row r="1413">
      <c r="B1413" s="18" t="inlineStr">
        <is>
          <t>00041-PLM</t>
        </is>
      </c>
      <c r="C1413" s="56">
        <f>IFERROR(_xlfn.XLOOKUP(SALIDAS[[#This Row],[CODIGO]],LISTADO[CODIGOS],LISTADO[CATEGORIA]),"NO EXISTE")</f>
        <v/>
      </c>
      <c r="D1413" s="56">
        <f>IFERROR(_xlfn.XLOOKUP(SALIDAS[[#This Row],[CODIGO]],LISTADO[CODIGOS],LISTADO[PRODUCTOS]),"NO EXISTE")</f>
        <v/>
      </c>
      <c r="E1413" s="19" t="n">
        <v>46141</v>
      </c>
      <c r="F1413" s="18" t="n">
        <v>2</v>
      </c>
      <c r="G1413" s="18" t="inlineStr">
        <is>
          <t>MAÑONGO</t>
        </is>
      </c>
    </row>
    <row r="1414">
      <c r="B1414" s="56" t="inlineStr">
        <is>
          <t>00030-PLM</t>
        </is>
      </c>
      <c r="C1414" s="56">
        <f>IFERROR(_xlfn.XLOOKUP(SALIDAS[[#This Row],[CODIGO]],LISTADO[CODIGOS],LISTADO[CATEGORIA]),"NO EXISTE")</f>
        <v/>
      </c>
      <c r="D1414" s="56">
        <f>IFERROR(_xlfn.XLOOKUP(SALIDAS[[#This Row],[CODIGO]],LISTADO[CODIGOS],LISTADO[PRODUCTOS]),"NO EXISTE")</f>
        <v/>
      </c>
      <c r="E1414" s="19" t="n">
        <v>46141</v>
      </c>
      <c r="F1414" s="33" t="n">
        <v>1</v>
      </c>
      <c r="G1414" s="18" t="inlineStr">
        <is>
          <t>MAÑONGO</t>
        </is>
      </c>
    </row>
    <row r="1415">
      <c r="B1415" s="56" t="inlineStr">
        <is>
          <t>00067-FER</t>
        </is>
      </c>
      <c r="C1415" s="56">
        <f>IFERROR(_xlfn.XLOOKUP(SALIDAS[[#This Row],[CODIGO]],LISTADO[CODIGOS],LISTADO[CATEGORIA]),"NO EXISTE")</f>
        <v/>
      </c>
      <c r="D1415" s="56">
        <f>IFERROR(_xlfn.XLOOKUP(SALIDAS[[#This Row],[CODIGO]],LISTADO[CODIGOS],LISTADO[PRODUCTOS]),"NO EXISTE")</f>
        <v/>
      </c>
      <c r="E1415" s="19" t="n">
        <v>46142</v>
      </c>
      <c r="F1415" s="18" t="n">
        <v>1</v>
      </c>
      <c r="G1415" s="18" t="inlineStr">
        <is>
          <t>PERIFERICO</t>
        </is>
      </c>
    </row>
    <row r="1416">
      <c r="B1416" s="56" t="inlineStr">
        <is>
          <t>00206-FER</t>
        </is>
      </c>
      <c r="C1416" s="56">
        <f>IFERROR(_xlfn.XLOOKUP(SALIDAS[[#This Row],[CODIGO]],LISTADO[CODIGOS],LISTADO[CATEGORIA]),"NO EXISTE")</f>
        <v/>
      </c>
      <c r="D1416" s="56">
        <f>IFERROR(_xlfn.XLOOKUP(SALIDAS[[#This Row],[CODIGO]],LISTADO[CODIGOS],LISTADO[PRODUCTOS]),"NO EXISTE")</f>
        <v/>
      </c>
      <c r="E1416" s="19" t="n">
        <v>46142</v>
      </c>
      <c r="F1416" s="33" t="n">
        <v>10</v>
      </c>
      <c r="G1416" s="18" t="inlineStr">
        <is>
          <t>PERIFERICO</t>
        </is>
      </c>
    </row>
    <row r="1417">
      <c r="B1417" s="56" t="inlineStr">
        <is>
          <t>00031-ELE</t>
        </is>
      </c>
      <c r="C1417" s="56">
        <f>IFERROR(_xlfn.XLOOKUP(SALIDAS[[#This Row],[CODIGO]],LISTADO[CODIGOS],LISTADO[CATEGORIA]),"NO EXISTE")</f>
        <v/>
      </c>
      <c r="D1417" s="56">
        <f>IFERROR(_xlfn.XLOOKUP(SALIDAS[[#This Row],[CODIGO]],LISTADO[CODIGOS],LISTADO[PRODUCTOS]),"NO EXISTE")</f>
        <v/>
      </c>
      <c r="E1417" s="19" t="n">
        <v>46142</v>
      </c>
      <c r="F1417" s="18" t="n">
        <v>2</v>
      </c>
      <c r="G1417" s="18" t="inlineStr">
        <is>
          <t>TURMERO</t>
        </is>
      </c>
    </row>
    <row r="1418">
      <c r="B1418" s="18" t="inlineStr">
        <is>
          <t>00105-ELE</t>
        </is>
      </c>
      <c r="C1418" s="56">
        <f>IFERROR(_xlfn.XLOOKUP(SALIDAS[[#This Row],[CODIGO]],LISTADO[CODIGOS],LISTADO[CATEGORIA]),"NO EXISTE")</f>
        <v/>
      </c>
      <c r="D1418" s="56">
        <f>IFERROR(_xlfn.XLOOKUP(SALIDAS[[#This Row],[CODIGO]],LISTADO[CODIGOS],LISTADO[PRODUCTOS]),"NO EXISTE")</f>
        <v/>
      </c>
      <c r="E1418" s="19" t="n">
        <v>46142</v>
      </c>
      <c r="F1418" s="18" t="n">
        <v>26</v>
      </c>
      <c r="G1418" s="18" t="inlineStr">
        <is>
          <t>TURMERO</t>
        </is>
      </c>
    </row>
    <row r="1419">
      <c r="B1419" s="18" t="inlineStr">
        <is>
          <t>00101-REF</t>
        </is>
      </c>
      <c r="C1419" s="56">
        <f>IFERROR(_xlfn.XLOOKUP(SALIDAS[[#This Row],[CODIGO]],LISTADO[CODIGOS],LISTADO[CATEGORIA]),"NO EXISTE")</f>
        <v/>
      </c>
      <c r="D1419" s="56">
        <f>IFERROR(_xlfn.XLOOKUP(SALIDAS[[#This Row],[CODIGO]],LISTADO[CODIGOS],LISTADO[PRODUCTOS]),"NO EXISTE")</f>
        <v/>
      </c>
      <c r="E1419" s="19" t="n">
        <v>46143</v>
      </c>
      <c r="F1419" s="18" t="n">
        <v>1</v>
      </c>
      <c r="G1419" s="18" t="inlineStr">
        <is>
          <t>AV. BOLIVAR</t>
        </is>
      </c>
    </row>
    <row r="1420">
      <c r="B1420" s="56" t="inlineStr">
        <is>
          <t>00068-FER</t>
        </is>
      </c>
      <c r="C1420" s="56">
        <f>IFERROR(_xlfn.XLOOKUP(SALIDAS[[#This Row],[CODIGO]],LISTADO[CODIGOS],LISTADO[CATEGORIA]),"NO EXISTE")</f>
        <v/>
      </c>
      <c r="D1420" s="56">
        <f>IFERROR(_xlfn.XLOOKUP(SALIDAS[[#This Row],[CODIGO]],LISTADO[CODIGOS],LISTADO[PRODUCTOS]),"NO EXISTE")</f>
        <v/>
      </c>
      <c r="E1420" s="19" t="n">
        <v>46143</v>
      </c>
      <c r="F1420" s="18" t="n">
        <v>1</v>
      </c>
      <c r="G1420" s="18" t="inlineStr">
        <is>
          <t>ISABELICA</t>
        </is>
      </c>
    </row>
    <row r="1421">
      <c r="B1421" s="56" t="inlineStr">
        <is>
          <t>00119-FER</t>
        </is>
      </c>
      <c r="C1421" s="56">
        <f>IFERROR(_xlfn.XLOOKUP(SALIDAS[[#This Row],[CODIGO]],LISTADO[CODIGOS],LISTADO[CATEGORIA]),"NO EXISTE")</f>
        <v/>
      </c>
      <c r="D1421" s="56">
        <f>IFERROR(_xlfn.XLOOKUP(SALIDAS[[#This Row],[CODIGO]],LISTADO[CODIGOS],LISTADO[PRODUCTOS]),"NO EXISTE")</f>
        <v/>
      </c>
      <c r="E1421" s="19" t="n">
        <v>46143</v>
      </c>
      <c r="F1421" s="33" t="n">
        <v>3</v>
      </c>
      <c r="G1421" s="18" t="inlineStr">
        <is>
          <t>PERIFERICO</t>
        </is>
      </c>
    </row>
    <row r="1422">
      <c r="B1422" s="56" t="inlineStr">
        <is>
          <t>00023-UNI</t>
        </is>
      </c>
      <c r="C1422" s="56">
        <f>IFERROR(_xlfn.XLOOKUP(SALIDAS[[#This Row],[CODIGO]],LISTADO[CODIGOS],LISTADO[CATEGORIA]),"NO EXISTE")</f>
        <v/>
      </c>
      <c r="D1422" s="56">
        <f>IFERROR(_xlfn.XLOOKUP(SALIDAS[[#This Row],[CODIGO]],LISTADO[CODIGOS],LISTADO[PRODUCTOS]),"NO EXISTE")</f>
        <v/>
      </c>
      <c r="E1422" s="19" t="n">
        <v>46144</v>
      </c>
      <c r="F1422" s="18" t="n">
        <v>6</v>
      </c>
      <c r="G1422" s="18" t="inlineStr">
        <is>
          <t xml:space="preserve">CEDI SECO </t>
        </is>
      </c>
    </row>
    <row r="1423">
      <c r="B1423" s="56" t="inlineStr">
        <is>
          <t>00047-ELE</t>
        </is>
      </c>
      <c r="C1423" s="56">
        <f>IFERROR(_xlfn.XLOOKUP(SALIDAS[[#This Row],[CODIGO]],LISTADO[CODIGOS],LISTADO[CATEGORIA]),"NO EXISTE")</f>
        <v/>
      </c>
      <c r="D1423" s="56">
        <f>IFERROR(_xlfn.XLOOKUP(SALIDAS[[#This Row],[CODIGO]],LISTADO[CODIGOS],LISTADO[PRODUCTOS]),"NO EXISTE")</f>
        <v/>
      </c>
      <c r="E1423" s="19" t="n">
        <v>46146</v>
      </c>
      <c r="F1423" s="33" t="n">
        <v>15</v>
      </c>
      <c r="G1423" s="18" t="inlineStr">
        <is>
          <t>TURMERO</t>
        </is>
      </c>
    </row>
    <row r="1424">
      <c r="B1424" s="56" t="inlineStr">
        <is>
          <t>00102-ELE</t>
        </is>
      </c>
      <c r="C1424" s="56">
        <f>IFERROR(_xlfn.XLOOKUP(SALIDAS[[#This Row],[CODIGO]],LISTADO[CODIGOS],LISTADO[CATEGORIA]),"NO EXISTE")</f>
        <v/>
      </c>
      <c r="D1424" s="56">
        <f>IFERROR(_xlfn.XLOOKUP(SALIDAS[[#This Row],[CODIGO]],LISTADO[CODIGOS],LISTADO[PRODUCTOS]),"NO EXISTE")</f>
        <v/>
      </c>
      <c r="E1424" s="19" t="n">
        <v>46146</v>
      </c>
      <c r="F1424" s="33" t="n">
        <v>1</v>
      </c>
      <c r="G1424" s="18" t="inlineStr">
        <is>
          <t>TURMERO</t>
        </is>
      </c>
    </row>
    <row r="1425">
      <c r="B1425" s="18" t="inlineStr">
        <is>
          <t>00100-ELE</t>
        </is>
      </c>
      <c r="C1425" s="56">
        <f>IFERROR(_xlfn.XLOOKUP(SALIDAS[[#This Row],[CODIGO]],LISTADO[CODIGOS],LISTADO[CATEGORIA]),"NO EXISTE")</f>
        <v/>
      </c>
      <c r="D1425" s="56">
        <f>IFERROR(_xlfn.XLOOKUP(SALIDAS[[#This Row],[CODIGO]],LISTADO[CODIGOS],LISTADO[PRODUCTOS]),"NO EXISTE")</f>
        <v/>
      </c>
      <c r="E1425" s="19" t="n">
        <v>46146</v>
      </c>
      <c r="F1425" s="18" t="n">
        <v>1</v>
      </c>
      <c r="G1425" s="18" t="inlineStr">
        <is>
          <t>TURMERO</t>
        </is>
      </c>
    </row>
    <row r="1426">
      <c r="B1426" s="56" t="inlineStr">
        <is>
          <t>00055-ELE</t>
        </is>
      </c>
      <c r="C1426" s="56">
        <f>IFERROR(_xlfn.XLOOKUP(SALIDAS[[#This Row],[CODIGO]],LISTADO[CODIGOS],LISTADO[CATEGORIA]),"NO EXISTE")</f>
        <v/>
      </c>
      <c r="D1426" s="56">
        <f>IFERROR(_xlfn.XLOOKUP(SALIDAS[[#This Row],[CODIGO]],LISTADO[CODIGOS],LISTADO[PRODUCTOS]),"NO EXISTE")</f>
        <v/>
      </c>
      <c r="E1426" s="19" t="n">
        <v>46146</v>
      </c>
      <c r="F1426" s="18" t="n">
        <v>45</v>
      </c>
      <c r="G1426" s="18" t="inlineStr">
        <is>
          <t>PERIFERICO</t>
        </is>
      </c>
    </row>
    <row r="1427">
      <c r="B1427" s="56" t="inlineStr">
        <is>
          <t>00100-FER</t>
        </is>
      </c>
      <c r="C1427" s="56">
        <f>IFERROR(_xlfn.XLOOKUP(SALIDAS[[#This Row],[CODIGO]],LISTADO[CODIGOS],LISTADO[CATEGORIA]),"NO EXISTE")</f>
        <v/>
      </c>
      <c r="D1427" s="56">
        <f>IFERROR(_xlfn.XLOOKUP(SALIDAS[[#This Row],[CODIGO]],LISTADO[CODIGOS],LISTADO[PRODUCTOS]),"NO EXISTE")</f>
        <v/>
      </c>
      <c r="E1427" s="19" t="n">
        <v>46146</v>
      </c>
      <c r="F1427" s="18" t="n">
        <v>5</v>
      </c>
      <c r="G1427" s="18" t="inlineStr">
        <is>
          <t>PERIFERICO</t>
        </is>
      </c>
    </row>
    <row r="1428">
      <c r="B1428" s="56" t="inlineStr">
        <is>
          <t>00031-HRR</t>
        </is>
      </c>
      <c r="C1428" s="56">
        <f>IFERROR(_xlfn.XLOOKUP(SALIDAS[[#This Row],[CODIGO]],LISTADO[CODIGOS],LISTADO[CATEGORIA]),"NO EXISTE")</f>
        <v/>
      </c>
      <c r="D1428" s="56">
        <f>IFERROR(_xlfn.XLOOKUP(SALIDAS[[#This Row],[CODIGO]],LISTADO[CODIGOS],LISTADO[PRODUCTOS]),"NO EXISTE")</f>
        <v/>
      </c>
      <c r="E1428" s="19" t="n">
        <v>46146</v>
      </c>
      <c r="F1428" s="18" t="n">
        <v>50</v>
      </c>
      <c r="G1428" s="18" t="inlineStr">
        <is>
          <t>PERIFERICO</t>
        </is>
      </c>
    </row>
    <row r="1429">
      <c r="B1429" s="18" t="inlineStr">
        <is>
          <t>00217-FER</t>
        </is>
      </c>
      <c r="C1429" s="56">
        <f>IFERROR(_xlfn.XLOOKUP(SALIDAS[[#This Row],[CODIGO]],LISTADO[CODIGOS],LISTADO[CATEGORIA]),"NO EXISTE")</f>
        <v/>
      </c>
      <c r="D1429" s="56">
        <f>IFERROR(_xlfn.XLOOKUP(SALIDAS[[#This Row],[CODIGO]],LISTADO[CODIGOS],LISTADO[PRODUCTOS]),"NO EXISTE")</f>
        <v/>
      </c>
      <c r="E1429" s="19" t="n">
        <v>46146</v>
      </c>
      <c r="F1429" s="18" t="n">
        <v>100</v>
      </c>
      <c r="G1429" s="18" t="inlineStr">
        <is>
          <t>PERIFERICO</t>
        </is>
      </c>
    </row>
    <row r="1430">
      <c r="B1430" s="56" t="inlineStr">
        <is>
          <t>00041-ELE</t>
        </is>
      </c>
      <c r="C1430" s="56">
        <f>IFERROR(_xlfn.XLOOKUP(SALIDAS[[#This Row],[CODIGO]],LISTADO[CODIGOS],LISTADO[CATEGORIA]),"NO EXISTE")</f>
        <v/>
      </c>
      <c r="D1430" s="56">
        <f>IFERROR(_xlfn.XLOOKUP(SALIDAS[[#This Row],[CODIGO]],LISTADO[CODIGOS],LISTADO[PRODUCTOS]),"NO EXISTE")</f>
        <v/>
      </c>
      <c r="E1430" s="19" t="n">
        <v>46146</v>
      </c>
      <c r="F1430" s="18" t="n">
        <v>5</v>
      </c>
      <c r="G1430" s="18" t="inlineStr">
        <is>
          <t>PERIFERICO</t>
        </is>
      </c>
    </row>
    <row r="1431">
      <c r="B1431" s="56" t="inlineStr">
        <is>
          <t>00046-ELE</t>
        </is>
      </c>
      <c r="C1431" s="56">
        <f>IFERROR(_xlfn.XLOOKUP(SALIDAS[[#This Row],[CODIGO]],LISTADO[CODIGOS],LISTADO[CATEGORIA]),"NO EXISTE")</f>
        <v/>
      </c>
      <c r="D1431" s="56">
        <f>IFERROR(_xlfn.XLOOKUP(SALIDAS[[#This Row],[CODIGO]],LISTADO[CODIGOS],LISTADO[PRODUCTOS]),"NO EXISTE")</f>
        <v/>
      </c>
      <c r="E1431" s="19" t="n">
        <v>46146</v>
      </c>
      <c r="F1431" s="18" t="n">
        <v>5</v>
      </c>
      <c r="G1431" s="18" t="inlineStr">
        <is>
          <t>PERIFERICO</t>
        </is>
      </c>
    </row>
    <row r="1432">
      <c r="B1432" s="18" t="inlineStr">
        <is>
          <t>00029-AUT</t>
        </is>
      </c>
      <c r="C1432" s="56">
        <f>IFERROR(_xlfn.XLOOKUP(SALIDAS[[#This Row],[CODIGO]],LISTADO[CODIGOS],LISTADO[CATEGORIA]),"NO EXISTE")</f>
        <v/>
      </c>
      <c r="D1432" s="56">
        <f>IFERROR(_xlfn.XLOOKUP(SALIDAS[[#This Row],[CODIGO]],LISTADO[CODIGOS],LISTADO[PRODUCTOS]),"NO EXISTE")</f>
        <v/>
      </c>
      <c r="E1432" s="19" t="n">
        <v>46147</v>
      </c>
      <c r="F1432" s="33" t="n">
        <v>4</v>
      </c>
      <c r="G1432" s="18" t="inlineStr">
        <is>
          <t>PERIFERICO</t>
        </is>
      </c>
    </row>
    <row r="1433">
      <c r="B1433" s="56" t="inlineStr">
        <is>
          <t>00030-AUT</t>
        </is>
      </c>
      <c r="C1433" s="56">
        <f>IFERROR(_xlfn.XLOOKUP(SALIDAS[[#This Row],[CODIGO]],LISTADO[CODIGOS],LISTADO[CATEGORIA]),"NO EXISTE")</f>
        <v/>
      </c>
      <c r="D1433" s="56">
        <f>IFERROR(_xlfn.XLOOKUP(SALIDAS[[#This Row],[CODIGO]],LISTADO[CODIGOS],LISTADO[PRODUCTOS]),"NO EXISTE")</f>
        <v/>
      </c>
      <c r="E1433" s="19" t="n">
        <v>46147</v>
      </c>
      <c r="F1433" s="18" t="n">
        <v>1</v>
      </c>
      <c r="G1433" s="18" t="inlineStr">
        <is>
          <t xml:space="preserve">CEDI SECO </t>
        </is>
      </c>
    </row>
    <row r="1434">
      <c r="B1434" s="56" t="inlineStr">
        <is>
          <t>00067-PLM</t>
        </is>
      </c>
      <c r="C1434" s="56">
        <f>IFERROR(_xlfn.XLOOKUP(SALIDAS[[#This Row],[CODIGO]],LISTADO[CODIGOS],LISTADO[CATEGORIA]),"NO EXISTE")</f>
        <v/>
      </c>
      <c r="D1434" s="56">
        <f>IFERROR(_xlfn.XLOOKUP(SALIDAS[[#This Row],[CODIGO]],LISTADO[CODIGOS],LISTADO[PRODUCTOS]),"NO EXISTE")</f>
        <v/>
      </c>
      <c r="E1434" s="19" t="n">
        <v>46147</v>
      </c>
      <c r="F1434" s="18" t="n">
        <v>2</v>
      </c>
      <c r="G1434" s="18" t="inlineStr">
        <is>
          <t>PERIFERICO</t>
        </is>
      </c>
    </row>
    <row r="1435">
      <c r="B1435" s="56" t="inlineStr">
        <is>
          <t>00219-FER</t>
        </is>
      </c>
      <c r="C1435" s="56">
        <f>IFERROR(_xlfn.XLOOKUP(SALIDAS[[#This Row],[CODIGO]],LISTADO[CODIGOS],LISTADO[CATEGORIA]),"NO EXISTE")</f>
        <v/>
      </c>
      <c r="D1435" s="56">
        <f>IFERROR(_xlfn.XLOOKUP(SALIDAS[[#This Row],[CODIGO]],LISTADO[CODIGOS],LISTADO[PRODUCTOS]),"NO EXISTE")</f>
        <v/>
      </c>
      <c r="E1435" s="19" t="n">
        <v>46147</v>
      </c>
      <c r="F1435" s="18" t="n">
        <v>1</v>
      </c>
      <c r="G1435" s="18" t="inlineStr">
        <is>
          <t>GUACARA</t>
        </is>
      </c>
    </row>
    <row r="1436">
      <c r="B1436" s="18" t="inlineStr">
        <is>
          <t>00067-PLM</t>
        </is>
      </c>
      <c r="C1436" s="56">
        <f>IFERROR(_xlfn.XLOOKUP(SALIDAS[[#This Row],[CODIGO]],LISTADO[CODIGOS],LISTADO[CATEGORIA]),"NO EXISTE")</f>
        <v/>
      </c>
      <c r="D1436" s="56">
        <f>IFERROR(_xlfn.XLOOKUP(SALIDAS[[#This Row],[CODIGO]],LISTADO[CODIGOS],LISTADO[PRODUCTOS]),"NO EXISTE")</f>
        <v/>
      </c>
      <c r="E1436" s="19" t="n">
        <v>46147</v>
      </c>
      <c r="F1436" s="18" t="n">
        <v>2</v>
      </c>
      <c r="G1436" s="18" t="inlineStr">
        <is>
          <t>PERIFERICO</t>
        </is>
      </c>
    </row>
    <row r="1437">
      <c r="B1437" s="18" t="inlineStr">
        <is>
          <t>00067-PLM</t>
        </is>
      </c>
      <c r="C1437" s="56">
        <f>IFERROR(_xlfn.XLOOKUP(SALIDAS[[#This Row],[CODIGO]],LISTADO[CODIGOS],LISTADO[CATEGORIA]),"NO EXISTE")</f>
        <v/>
      </c>
      <c r="D1437" s="56">
        <f>IFERROR(_xlfn.XLOOKUP(SALIDAS[[#This Row],[CODIGO]],LISTADO[CODIGOS],LISTADO[PRODUCTOS]),"NO EXISTE")</f>
        <v/>
      </c>
      <c r="E1437" s="19" t="n">
        <v>46148</v>
      </c>
      <c r="F1437" s="18" t="n">
        <v>1</v>
      </c>
      <c r="G1437" s="18" t="inlineStr">
        <is>
          <t>CEDI FRIO</t>
        </is>
      </c>
    </row>
    <row r="1438">
      <c r="B1438" s="56" t="inlineStr">
        <is>
          <t>00069-PLM</t>
        </is>
      </c>
      <c r="C1438" s="56">
        <f>IFERROR(_xlfn.XLOOKUP(SALIDAS[[#This Row],[CODIGO]],LISTADO[CODIGOS],LISTADO[CATEGORIA]),"NO EXISTE")</f>
        <v/>
      </c>
      <c r="D1438" s="56">
        <f>IFERROR(_xlfn.XLOOKUP(SALIDAS[[#This Row],[CODIGO]],LISTADO[CODIGOS],LISTADO[PRODUCTOS]),"NO EXISTE")</f>
        <v/>
      </c>
      <c r="E1438" s="19" t="n">
        <v>46148</v>
      </c>
      <c r="F1438" s="18" t="n">
        <v>1</v>
      </c>
      <c r="G1438" s="18" t="inlineStr">
        <is>
          <t>CEDI FRIO</t>
        </is>
      </c>
    </row>
    <row r="1439">
      <c r="B1439" s="56" t="inlineStr">
        <is>
          <t>00070-PLM</t>
        </is>
      </c>
      <c r="C1439" s="56">
        <f>IFERROR(_xlfn.XLOOKUP(SALIDAS[[#This Row],[CODIGO]],LISTADO[CODIGOS],LISTADO[CATEGORIA]),"NO EXISTE")</f>
        <v/>
      </c>
      <c r="D1439" s="56">
        <f>IFERROR(_xlfn.XLOOKUP(SALIDAS[[#This Row],[CODIGO]],LISTADO[CODIGOS],LISTADO[PRODUCTOS]),"NO EXISTE")</f>
        <v/>
      </c>
      <c r="E1439" s="19" t="n">
        <v>46148</v>
      </c>
      <c r="F1439" s="18" t="n">
        <v>1</v>
      </c>
      <c r="G1439" s="18" t="inlineStr">
        <is>
          <t>CEDI FRIO</t>
        </is>
      </c>
    </row>
    <row r="1440">
      <c r="B1440" s="56" t="inlineStr">
        <is>
          <t>00020-HRR</t>
        </is>
      </c>
      <c r="C1440" s="56">
        <f>IFERROR(_xlfn.XLOOKUP(SALIDAS[[#This Row],[CODIGO]],LISTADO[CODIGOS],LISTADO[CATEGORIA]),"NO EXISTE")</f>
        <v/>
      </c>
      <c r="D1440" s="56">
        <f>IFERROR(_xlfn.XLOOKUP(SALIDAS[[#This Row],[CODIGO]],LISTADO[CODIGOS],LISTADO[PRODUCTOS]),"NO EXISTE")</f>
        <v/>
      </c>
      <c r="E1440" s="19" t="n">
        <v>46148</v>
      </c>
      <c r="F1440" s="18" t="n">
        <v>1</v>
      </c>
      <c r="G1440" s="18" t="inlineStr">
        <is>
          <t>CEDI FRIO</t>
        </is>
      </c>
    </row>
    <row r="1441">
      <c r="B1441" s="18" t="inlineStr">
        <is>
          <t>00056-PLM</t>
        </is>
      </c>
      <c r="C1441" s="56">
        <f>IFERROR(_xlfn.XLOOKUP(SALIDAS[[#This Row],[CODIGO]],LISTADO[CODIGOS],LISTADO[CATEGORIA]),"NO EXISTE")</f>
        <v/>
      </c>
      <c r="D1441" s="56">
        <f>IFERROR(_xlfn.XLOOKUP(SALIDAS[[#This Row],[CODIGO]],LISTADO[CODIGOS],LISTADO[PRODUCTOS]),"NO EXISTE")</f>
        <v/>
      </c>
      <c r="E1441" s="19" t="n">
        <v>46148</v>
      </c>
      <c r="F1441" s="18" t="n">
        <v>2</v>
      </c>
      <c r="G1441" s="18" t="inlineStr">
        <is>
          <t>CEDI FRIO</t>
        </is>
      </c>
    </row>
    <row r="1442">
      <c r="B1442" s="56" t="inlineStr">
        <is>
          <t>00071-PLM</t>
        </is>
      </c>
      <c r="C1442" s="56">
        <f>IFERROR(_xlfn.XLOOKUP(SALIDAS[[#This Row],[CODIGO]],LISTADO[CODIGOS],LISTADO[CATEGORIA]),"NO EXISTE")</f>
        <v/>
      </c>
      <c r="D1442" s="56">
        <f>IFERROR(_xlfn.XLOOKUP(SALIDAS[[#This Row],[CODIGO]],LISTADO[CODIGOS],LISTADO[PRODUCTOS]),"NO EXISTE")</f>
        <v/>
      </c>
      <c r="E1442" s="19" t="n">
        <v>46148</v>
      </c>
      <c r="F1442" s="18" t="n">
        <v>1</v>
      </c>
      <c r="G1442" s="18" t="inlineStr">
        <is>
          <t>CEDI FRIO</t>
        </is>
      </c>
    </row>
    <row r="1443">
      <c r="B1443" s="56" t="inlineStr">
        <is>
          <t>00017-HRR</t>
        </is>
      </c>
      <c r="C1443" s="56">
        <f>IFERROR(_xlfn.XLOOKUP(SALIDAS[[#This Row],[CODIGO]],LISTADO[CODIGOS],LISTADO[CATEGORIA]),"NO EXISTE")</f>
        <v/>
      </c>
      <c r="D1443" s="56">
        <f>IFERROR(_xlfn.XLOOKUP(SALIDAS[[#This Row],[CODIGO]],LISTADO[CODIGOS],LISTADO[PRODUCTOS]),"NO EXISTE")</f>
        <v/>
      </c>
      <c r="E1443" s="19" t="n">
        <v>46148</v>
      </c>
      <c r="F1443" s="18" t="n">
        <v>1</v>
      </c>
      <c r="G1443" s="18" t="inlineStr">
        <is>
          <t>CEDI FRIO</t>
        </is>
      </c>
    </row>
    <row r="1444">
      <c r="B1444" s="56" t="inlineStr">
        <is>
          <t>00018-HRR</t>
        </is>
      </c>
      <c r="C1444" s="56">
        <f>IFERROR(_xlfn.XLOOKUP(SALIDAS[[#This Row],[CODIGO]],LISTADO[CODIGOS],LISTADO[CATEGORIA]),"NO EXISTE")</f>
        <v/>
      </c>
      <c r="D1444" s="56">
        <f>IFERROR(_xlfn.XLOOKUP(SALIDAS[[#This Row],[CODIGO]],LISTADO[CODIGOS],LISTADO[PRODUCTOS]),"NO EXISTE")</f>
        <v/>
      </c>
      <c r="E1444" s="19" t="n">
        <v>46148</v>
      </c>
      <c r="F1444" s="18" t="n">
        <v>1</v>
      </c>
      <c r="G1444" s="18" t="inlineStr">
        <is>
          <t>CEDI FRIO</t>
        </is>
      </c>
    </row>
    <row r="1445">
      <c r="B1445" s="18" t="inlineStr">
        <is>
          <t>00029-HRR</t>
        </is>
      </c>
      <c r="C1445" s="56">
        <f>IFERROR(_xlfn.XLOOKUP(SALIDAS[[#This Row],[CODIGO]],LISTADO[CODIGOS],LISTADO[CATEGORIA]),"NO EXISTE")</f>
        <v/>
      </c>
      <c r="D1445" s="56">
        <f>IFERROR(_xlfn.XLOOKUP(SALIDAS[[#This Row],[CODIGO]],LISTADO[CODIGOS],LISTADO[PRODUCTOS]),"NO EXISTE")</f>
        <v/>
      </c>
      <c r="E1445" s="19" t="n">
        <v>46148</v>
      </c>
      <c r="F1445" s="18" t="n">
        <v>1</v>
      </c>
      <c r="G1445" s="18" t="inlineStr">
        <is>
          <t>CEDI FRIO</t>
        </is>
      </c>
    </row>
    <row r="1446">
      <c r="B1446" s="18" t="inlineStr">
        <is>
          <t>00072-PLM</t>
        </is>
      </c>
      <c r="C1446" s="56">
        <f>IFERROR(_xlfn.XLOOKUP(SALIDAS[[#This Row],[CODIGO]],LISTADO[CODIGOS],LISTADO[CATEGORIA]),"NO EXISTE")</f>
        <v/>
      </c>
      <c r="D1446" s="56">
        <f>IFERROR(_xlfn.XLOOKUP(SALIDAS[[#This Row],[CODIGO]],LISTADO[CODIGOS],LISTADO[PRODUCTOS]),"NO EXISTE")</f>
        <v/>
      </c>
      <c r="E1446" s="19" t="n">
        <v>46148</v>
      </c>
      <c r="F1446" s="18" t="n">
        <v>1</v>
      </c>
      <c r="G1446" s="18" t="inlineStr">
        <is>
          <t>CEDI FRIO</t>
        </is>
      </c>
    </row>
    <row r="1447">
      <c r="B1447" s="56" t="inlineStr">
        <is>
          <t>00073-PLM</t>
        </is>
      </c>
      <c r="C1447" s="56">
        <f>IFERROR(_xlfn.XLOOKUP(SALIDAS[[#This Row],[CODIGO]],LISTADO[CODIGOS],LISTADO[CATEGORIA]),"NO EXISTE")</f>
        <v/>
      </c>
      <c r="D1447" s="56">
        <f>IFERROR(_xlfn.XLOOKUP(SALIDAS[[#This Row],[CODIGO]],LISTADO[CODIGOS],LISTADO[PRODUCTOS]),"NO EXISTE")</f>
        <v/>
      </c>
      <c r="E1447" s="19" t="n">
        <v>46148</v>
      </c>
      <c r="F1447" s="18" t="n">
        <v>1</v>
      </c>
      <c r="G1447" s="18" t="inlineStr">
        <is>
          <t>CEDI FRIO</t>
        </is>
      </c>
    </row>
    <row r="1448">
      <c r="B1448" s="56" t="inlineStr">
        <is>
          <t>00005-PLM</t>
        </is>
      </c>
      <c r="C1448" s="56">
        <f>IFERROR(_xlfn.XLOOKUP(SALIDAS[[#This Row],[CODIGO]],LISTADO[CODIGOS],LISTADO[CATEGORIA]),"NO EXISTE")</f>
        <v/>
      </c>
      <c r="D1448" s="56">
        <f>IFERROR(_xlfn.XLOOKUP(SALIDAS[[#This Row],[CODIGO]],LISTADO[CODIGOS],LISTADO[PRODUCTOS]),"NO EXISTE")</f>
        <v/>
      </c>
      <c r="E1448" s="19" t="n">
        <v>46148</v>
      </c>
      <c r="F1448" s="18" t="n">
        <v>1</v>
      </c>
      <c r="G1448" s="18" t="inlineStr">
        <is>
          <t>CEDI FRIO</t>
        </is>
      </c>
    </row>
    <row r="1449">
      <c r="B1449" s="56" t="inlineStr">
        <is>
          <t>00104-FER</t>
        </is>
      </c>
      <c r="C1449" s="56">
        <f>IFERROR(_xlfn.XLOOKUP(SALIDAS[[#This Row],[CODIGO]],LISTADO[CODIGOS],LISTADO[CATEGORIA]),"NO EXISTE")</f>
        <v/>
      </c>
      <c r="D1449" s="56">
        <f>IFERROR(_xlfn.XLOOKUP(SALIDAS[[#This Row],[CODIGO]],LISTADO[CODIGOS],LISTADO[PRODUCTOS]),"NO EXISTE")</f>
        <v/>
      </c>
      <c r="E1449" s="19" t="n">
        <v>46148</v>
      </c>
      <c r="F1449" s="18" t="n">
        <v>1</v>
      </c>
      <c r="G1449" s="18" t="inlineStr">
        <is>
          <t>CEDI FRIO</t>
        </is>
      </c>
    </row>
    <row r="1450">
      <c r="B1450" s="56" t="inlineStr">
        <is>
          <t>00228-FER</t>
        </is>
      </c>
      <c r="C1450" s="56">
        <f>IFERROR(_xlfn.XLOOKUP(SALIDAS[[#This Row],[CODIGO]],LISTADO[CODIGOS],LISTADO[CATEGORIA]),"NO EXISTE")</f>
        <v/>
      </c>
      <c r="D1450" s="56">
        <f>IFERROR(_xlfn.XLOOKUP(SALIDAS[[#This Row],[CODIGO]],LISTADO[CODIGOS],LISTADO[PRODUCTOS]),"NO EXISTE")</f>
        <v/>
      </c>
      <c r="E1450" s="19" t="n">
        <v>46148</v>
      </c>
      <c r="F1450" s="18" t="n">
        <v>1</v>
      </c>
      <c r="G1450" s="18" t="inlineStr">
        <is>
          <t>CEDI FRIO</t>
        </is>
      </c>
    </row>
    <row r="1451">
      <c r="B1451" s="56" t="inlineStr">
        <is>
          <t>00078-FER</t>
        </is>
      </c>
      <c r="C1451" s="56">
        <f>IFERROR(_xlfn.XLOOKUP(SALIDAS[[#This Row],[CODIGO]],LISTADO[CODIGOS],LISTADO[CATEGORIA]),"NO EXISTE")</f>
        <v/>
      </c>
      <c r="D1451" s="56">
        <f>IFERROR(_xlfn.XLOOKUP(SALIDAS[[#This Row],[CODIGO]],LISTADO[CODIGOS],LISTADO[PRODUCTOS]),"NO EXISTE")</f>
        <v/>
      </c>
      <c r="E1451" s="19" t="n">
        <v>46148</v>
      </c>
      <c r="F1451" s="18" t="n">
        <v>1</v>
      </c>
      <c r="G1451" s="18" t="inlineStr">
        <is>
          <t>CEDI FRIO</t>
        </is>
      </c>
    </row>
    <row r="1452">
      <c r="B1452" s="56" t="inlineStr">
        <is>
          <t>00068-PLM</t>
        </is>
      </c>
      <c r="C1452" s="56">
        <f>IFERROR(_xlfn.XLOOKUP(SALIDAS[[#This Row],[CODIGO]],LISTADO[CODIGOS],LISTADO[CATEGORIA]),"NO EXISTE")</f>
        <v/>
      </c>
      <c r="D1452" s="56">
        <f>IFERROR(_xlfn.XLOOKUP(SALIDAS[[#This Row],[CODIGO]],LISTADO[CODIGOS],LISTADO[PRODUCTOS]),"NO EXISTE")</f>
        <v/>
      </c>
      <c r="E1452" s="19" t="n">
        <v>46149</v>
      </c>
      <c r="F1452" s="18" t="n">
        <v>25</v>
      </c>
      <c r="G1452" s="18" t="inlineStr">
        <is>
          <t>TURMERO</t>
        </is>
      </c>
    </row>
    <row r="1453">
      <c r="B1453" s="56" t="inlineStr">
        <is>
          <t>00040-PLM</t>
        </is>
      </c>
      <c r="C1453" s="56">
        <f>IFERROR(_xlfn.XLOOKUP(SALIDAS[[#This Row],[CODIGO]],LISTADO[CODIGOS],LISTADO[CATEGORIA]),"NO EXISTE")</f>
        <v/>
      </c>
      <c r="D1453" s="56">
        <f>IFERROR(_xlfn.XLOOKUP(SALIDAS[[#This Row],[CODIGO]],LISTADO[CODIGOS],LISTADO[PRODUCTOS]),"NO EXISTE")</f>
        <v/>
      </c>
      <c r="E1453" s="19" t="n">
        <v>46149</v>
      </c>
      <c r="F1453" s="18" t="n">
        <v>60</v>
      </c>
      <c r="G1453" s="18" t="inlineStr">
        <is>
          <t>TURMERO</t>
        </is>
      </c>
    </row>
    <row r="1454">
      <c r="B1454" s="56" t="inlineStr">
        <is>
          <t>00018-PLM</t>
        </is>
      </c>
      <c r="C1454" s="56">
        <f>IFERROR(_xlfn.XLOOKUP(SALIDAS[[#This Row],[CODIGO]],LISTADO[CODIGOS],LISTADO[CATEGORIA]),"NO EXISTE")</f>
        <v/>
      </c>
      <c r="D1454" s="56">
        <f>IFERROR(_xlfn.XLOOKUP(SALIDAS[[#This Row],[CODIGO]],LISTADO[CODIGOS],LISTADO[PRODUCTOS]),"NO EXISTE")</f>
        <v/>
      </c>
      <c r="E1454" s="19" t="n">
        <v>46149</v>
      </c>
      <c r="F1454" s="18" t="n">
        <v>25</v>
      </c>
      <c r="G1454" s="18" t="inlineStr">
        <is>
          <t>TURMERO</t>
        </is>
      </c>
    </row>
    <row r="1455">
      <c r="B1455" s="56" t="inlineStr">
        <is>
          <t>00015-PLM</t>
        </is>
      </c>
      <c r="C1455" s="56">
        <f>IFERROR(_xlfn.XLOOKUP(SALIDAS[[#This Row],[CODIGO]],LISTADO[CODIGOS],LISTADO[CATEGORIA]),"NO EXISTE")</f>
        <v/>
      </c>
      <c r="D1455" s="56">
        <f>IFERROR(_xlfn.XLOOKUP(SALIDAS[[#This Row],[CODIGO]],LISTADO[CODIGOS],LISTADO[PRODUCTOS]),"NO EXISTE")</f>
        <v/>
      </c>
      <c r="E1455" s="19" t="n">
        <v>46149</v>
      </c>
      <c r="F1455" s="18" t="n">
        <v>10</v>
      </c>
      <c r="G1455" s="18" t="inlineStr">
        <is>
          <t>TURMERO</t>
        </is>
      </c>
    </row>
    <row r="1456">
      <c r="B1456" s="18" t="inlineStr">
        <is>
          <t>00220-FER</t>
        </is>
      </c>
      <c r="C1456" s="56">
        <f>IFERROR(_xlfn.XLOOKUP(SALIDAS[[#This Row],[CODIGO]],LISTADO[CODIGOS],LISTADO[CATEGORIA]),"NO EXISTE")</f>
        <v/>
      </c>
      <c r="D1456" s="56">
        <f>IFERROR(_xlfn.XLOOKUP(SALIDAS[[#This Row],[CODIGO]],LISTADO[CODIGOS],LISTADO[PRODUCTOS]),"NO EXISTE")</f>
        <v/>
      </c>
      <c r="E1456" s="19" t="n">
        <v>46149</v>
      </c>
      <c r="F1456" s="18" t="n">
        <v>1</v>
      </c>
      <c r="G1456" s="18" t="inlineStr">
        <is>
          <t>TURMERO</t>
        </is>
      </c>
    </row>
    <row r="1457">
      <c r="B1457" s="56" t="inlineStr">
        <is>
          <t>00221-FER</t>
        </is>
      </c>
      <c r="C1457" s="56">
        <f>IFERROR(_xlfn.XLOOKUP(SALIDAS[[#This Row],[CODIGO]],LISTADO[CODIGOS],LISTADO[CATEGORIA]),"NO EXISTE")</f>
        <v/>
      </c>
      <c r="D1457" s="56">
        <f>IFERROR(_xlfn.XLOOKUP(SALIDAS[[#This Row],[CODIGO]],LISTADO[CODIGOS],LISTADO[PRODUCTOS]),"NO EXISTE")</f>
        <v/>
      </c>
      <c r="E1457" s="19" t="n">
        <v>46149</v>
      </c>
      <c r="F1457" s="18" t="n">
        <v>25</v>
      </c>
      <c r="G1457" s="18" t="inlineStr">
        <is>
          <t>TURMERO</t>
        </is>
      </c>
    </row>
    <row r="1458">
      <c r="B1458" s="56" t="inlineStr">
        <is>
          <t>00222-FER</t>
        </is>
      </c>
      <c r="C1458" s="56">
        <f>IFERROR(_xlfn.XLOOKUP(SALIDAS[[#This Row],[CODIGO]],LISTADO[CODIGOS],LISTADO[CATEGORIA]),"NO EXISTE")</f>
        <v/>
      </c>
      <c r="D1458" s="56">
        <f>IFERROR(_xlfn.XLOOKUP(SALIDAS[[#This Row],[CODIGO]],LISTADO[CODIGOS],LISTADO[PRODUCTOS]),"NO EXISTE")</f>
        <v/>
      </c>
      <c r="E1458" s="19" t="n">
        <v>46149</v>
      </c>
      <c r="F1458" s="18" t="n">
        <v>60</v>
      </c>
      <c r="G1458" s="18" t="inlineStr">
        <is>
          <t>TURMERO</t>
        </is>
      </c>
    </row>
    <row r="1459">
      <c r="B1459" s="18" t="inlineStr">
        <is>
          <t>00223-FER</t>
        </is>
      </c>
      <c r="C1459" s="56">
        <f>IFERROR(_xlfn.XLOOKUP(SALIDAS[[#This Row],[CODIGO]],LISTADO[CODIGOS],LISTADO[CATEGORIA]),"NO EXISTE")</f>
        <v/>
      </c>
      <c r="D1459" s="56">
        <f>IFERROR(_xlfn.XLOOKUP(SALIDAS[[#This Row],[CODIGO]],LISTADO[CODIGOS],LISTADO[PRODUCTOS]),"NO EXISTE")</f>
        <v/>
      </c>
      <c r="E1459" s="19" t="n">
        <v>46149</v>
      </c>
      <c r="F1459" s="18" t="n">
        <v>60</v>
      </c>
      <c r="G1459" s="18" t="inlineStr">
        <is>
          <t>TURMERO</t>
        </is>
      </c>
    </row>
    <row r="1460">
      <c r="B1460" s="56" t="inlineStr">
        <is>
          <t>00136-FER</t>
        </is>
      </c>
      <c r="C1460" s="56">
        <f>IFERROR(_xlfn.XLOOKUP(SALIDAS[[#This Row],[CODIGO]],LISTADO[CODIGOS],LISTADO[CATEGORIA]),"NO EXISTE")</f>
        <v/>
      </c>
      <c r="D1460" s="56">
        <f>IFERROR(_xlfn.XLOOKUP(SALIDAS[[#This Row],[CODIGO]],LISTADO[CODIGOS],LISTADO[PRODUCTOS]),"NO EXISTE")</f>
        <v/>
      </c>
      <c r="E1460" s="19" t="n">
        <v>46149</v>
      </c>
      <c r="F1460" s="18" t="n">
        <v>40</v>
      </c>
      <c r="G1460" s="18" t="inlineStr">
        <is>
          <t>TURMERO</t>
        </is>
      </c>
    </row>
    <row r="1461">
      <c r="B1461" s="18" t="inlineStr">
        <is>
          <t>00224-FER</t>
        </is>
      </c>
      <c r="C1461" s="56">
        <f>IFERROR(_xlfn.XLOOKUP(SALIDAS[[#This Row],[CODIGO]],LISTADO[CODIGOS],LISTADO[CATEGORIA]),"NO EXISTE")</f>
        <v/>
      </c>
      <c r="D1461" s="56">
        <f>IFERROR(_xlfn.XLOOKUP(SALIDAS[[#This Row],[CODIGO]],LISTADO[CODIGOS],LISTADO[PRODUCTOS]),"NO EXISTE")</f>
        <v/>
      </c>
      <c r="E1461" s="19" t="n">
        <v>46149</v>
      </c>
      <c r="F1461" s="18" t="n">
        <v>200</v>
      </c>
      <c r="G1461" s="18" t="inlineStr">
        <is>
          <t>TURMERO</t>
        </is>
      </c>
    </row>
    <row r="1462">
      <c r="B1462" s="56" t="inlineStr">
        <is>
          <t>00089-FER</t>
        </is>
      </c>
      <c r="C1462" s="56">
        <f>IFERROR(_xlfn.XLOOKUP(SALIDAS[[#This Row],[CODIGO]],LISTADO[CODIGOS],LISTADO[CATEGORIA]),"NO EXISTE")</f>
        <v/>
      </c>
      <c r="D1462" s="56">
        <f>IFERROR(_xlfn.XLOOKUP(SALIDAS[[#This Row],[CODIGO]],LISTADO[CODIGOS],LISTADO[PRODUCTOS]),"NO EXISTE")</f>
        <v/>
      </c>
      <c r="E1462" s="19" t="n">
        <v>46149</v>
      </c>
      <c r="F1462" s="18" t="n">
        <v>2</v>
      </c>
      <c r="G1462" s="18" t="inlineStr">
        <is>
          <t>TURMERO</t>
        </is>
      </c>
    </row>
    <row r="1463">
      <c r="B1463" s="56" t="inlineStr">
        <is>
          <t>00139-FER</t>
        </is>
      </c>
      <c r="C1463" s="56">
        <f>IFERROR(_xlfn.XLOOKUP(SALIDAS[[#This Row],[CODIGO]],LISTADO[CODIGOS],LISTADO[CATEGORIA]),"NO EXISTE")</f>
        <v/>
      </c>
      <c r="D1463" s="56">
        <f>IFERROR(_xlfn.XLOOKUP(SALIDAS[[#This Row],[CODIGO]],LISTADO[CODIGOS],LISTADO[PRODUCTOS]),"NO EXISTE")</f>
        <v/>
      </c>
      <c r="E1463" s="19" t="n">
        <v>46149</v>
      </c>
      <c r="F1463" s="18" t="n">
        <v>50</v>
      </c>
      <c r="G1463" s="18" t="inlineStr">
        <is>
          <t>TURMERO</t>
        </is>
      </c>
    </row>
    <row r="1464">
      <c r="B1464" s="56" t="inlineStr">
        <is>
          <t>00225-FER</t>
        </is>
      </c>
      <c r="C1464" s="56">
        <f>IFERROR(_xlfn.XLOOKUP(SALIDAS[[#This Row],[CODIGO]],LISTADO[CODIGOS],LISTADO[CATEGORIA]),"NO EXISTE")</f>
        <v/>
      </c>
      <c r="D1464" s="56">
        <f>IFERROR(_xlfn.XLOOKUP(SALIDAS[[#This Row],[CODIGO]],LISTADO[CODIGOS],LISTADO[PRODUCTOS]),"NO EXISTE")</f>
        <v/>
      </c>
      <c r="E1464" s="19" t="n">
        <v>46149</v>
      </c>
      <c r="F1464" s="18" t="n">
        <v>50</v>
      </c>
      <c r="G1464" s="18" t="inlineStr">
        <is>
          <t>TURMERO</t>
        </is>
      </c>
    </row>
    <row r="1465">
      <c r="B1465" s="56" t="inlineStr">
        <is>
          <t>00038-HRR</t>
        </is>
      </c>
      <c r="C1465" s="56">
        <f>IFERROR(_xlfn.XLOOKUP(SALIDAS[[#This Row],[CODIGO]],LISTADO[CODIGOS],LISTADO[CATEGORIA]),"NO EXISTE")</f>
        <v/>
      </c>
      <c r="D1465" s="56">
        <f>IFERROR(_xlfn.XLOOKUP(SALIDAS[[#This Row],[CODIGO]],LISTADO[CODIGOS],LISTADO[PRODUCTOS]),"NO EXISTE")</f>
        <v/>
      </c>
      <c r="E1465" s="19" t="n">
        <v>46149</v>
      </c>
      <c r="F1465" s="18" t="n">
        <v>15</v>
      </c>
      <c r="G1465" s="18" t="inlineStr">
        <is>
          <t>TURMERO</t>
        </is>
      </c>
    </row>
    <row r="1466">
      <c r="B1466" s="18" t="inlineStr">
        <is>
          <t>00039-HRR</t>
        </is>
      </c>
      <c r="C1466" s="56">
        <f>IFERROR(_xlfn.XLOOKUP(SALIDAS[[#This Row],[CODIGO]],LISTADO[CODIGOS],LISTADO[CATEGORIA]),"NO EXISTE")</f>
        <v/>
      </c>
      <c r="D1466" s="56">
        <f>IFERROR(_xlfn.XLOOKUP(SALIDAS[[#This Row],[CODIGO]],LISTADO[CODIGOS],LISTADO[PRODUCTOS]),"NO EXISTE")</f>
        <v/>
      </c>
      <c r="E1466" s="19" t="n">
        <v>46149</v>
      </c>
      <c r="F1466" s="18" t="n">
        <v>60</v>
      </c>
      <c r="G1466" s="18" t="inlineStr">
        <is>
          <t>TURMERO</t>
        </is>
      </c>
    </row>
    <row r="1467">
      <c r="B1467" s="56" t="inlineStr">
        <is>
          <t>00231-FER</t>
        </is>
      </c>
      <c r="C1467" s="56">
        <f>IFERROR(_xlfn.XLOOKUP(SALIDAS[[#This Row],[CODIGO]],LISTADO[CODIGOS],LISTADO[CATEGORIA]),"NO EXISTE")</f>
        <v/>
      </c>
      <c r="D1467" s="56">
        <f>IFERROR(_xlfn.XLOOKUP(SALIDAS[[#This Row],[CODIGO]],LISTADO[CODIGOS],LISTADO[PRODUCTOS]),"NO EXISTE")</f>
        <v/>
      </c>
      <c r="E1467" s="19" t="n">
        <v>46149</v>
      </c>
      <c r="F1467" s="18" t="n">
        <v>4</v>
      </c>
      <c r="G1467" s="18" t="inlineStr">
        <is>
          <t>CEDI FRUVER</t>
        </is>
      </c>
    </row>
    <row r="1468">
      <c r="B1468" s="56" t="inlineStr">
        <is>
          <t>00232-FER</t>
        </is>
      </c>
      <c r="C1468" s="56">
        <f>IFERROR(_xlfn.XLOOKUP(SALIDAS[[#This Row],[CODIGO]],LISTADO[CODIGOS],LISTADO[CATEGORIA]),"NO EXISTE")</f>
        <v/>
      </c>
      <c r="D1468" s="56">
        <f>IFERROR(_xlfn.XLOOKUP(SALIDAS[[#This Row],[CODIGO]],LISTADO[CODIGOS],LISTADO[PRODUCTOS]),"NO EXISTE")</f>
        <v/>
      </c>
      <c r="E1468" s="19" t="n">
        <v>46149</v>
      </c>
      <c r="F1468" s="18" t="n">
        <v>13</v>
      </c>
      <c r="G1468" s="18" t="inlineStr">
        <is>
          <t>CEDI FRUVER</t>
        </is>
      </c>
    </row>
    <row r="1469">
      <c r="B1469" s="18" t="inlineStr">
        <is>
          <t>00108-ELE</t>
        </is>
      </c>
      <c r="C1469" s="56">
        <f>IFERROR(_xlfn.XLOOKUP(SALIDAS[[#This Row],[CODIGO]],LISTADO[CODIGOS],LISTADO[CATEGORIA]),"NO EXISTE")</f>
        <v/>
      </c>
      <c r="D1469" s="56">
        <f>IFERROR(_xlfn.XLOOKUP(SALIDAS[[#This Row],[CODIGO]],LISTADO[CODIGOS],LISTADO[PRODUCTOS]),"NO EXISTE")</f>
        <v/>
      </c>
      <c r="E1469" s="19" t="n">
        <v>46150</v>
      </c>
      <c r="F1469" s="18" t="n">
        <v>1</v>
      </c>
      <c r="G1469" s="18" t="inlineStr">
        <is>
          <t>TURMERO</t>
        </is>
      </c>
    </row>
    <row r="1470">
      <c r="B1470" s="18" t="inlineStr">
        <is>
          <t>00074-PLM</t>
        </is>
      </c>
      <c r="C1470" s="56">
        <f>IFERROR(_xlfn.XLOOKUP(SALIDAS[[#This Row],[CODIGO]],LISTADO[CODIGOS],LISTADO[CATEGORIA]),"NO EXISTE")</f>
        <v/>
      </c>
      <c r="D1470" s="56">
        <f>IFERROR(_xlfn.XLOOKUP(SALIDAS[[#This Row],[CODIGO]],LISTADO[CODIGOS],LISTADO[PRODUCTOS]),"NO EXISTE")</f>
        <v/>
      </c>
      <c r="E1470" s="19" t="n">
        <v>46150</v>
      </c>
      <c r="F1470" s="18" t="n">
        <v>1</v>
      </c>
      <c r="G1470" s="18" t="inlineStr">
        <is>
          <t>PERIFERICO</t>
        </is>
      </c>
    </row>
    <row r="1471">
      <c r="B1471" s="56" t="inlineStr">
        <is>
          <t>00032-AUT</t>
        </is>
      </c>
      <c r="C1471" s="56">
        <f>IFERROR(_xlfn.XLOOKUP(SALIDAS[[#This Row],[CODIGO]],LISTADO[CODIGOS],LISTADO[CATEGORIA]),"NO EXISTE")</f>
        <v/>
      </c>
      <c r="D1471" s="56">
        <f>IFERROR(_xlfn.XLOOKUP(SALIDAS[[#This Row],[CODIGO]],LISTADO[CODIGOS],LISTADO[PRODUCTOS]),"NO EXISTE")</f>
        <v/>
      </c>
      <c r="E1471" s="19" t="n">
        <v>46151</v>
      </c>
      <c r="F1471" s="18" t="n">
        <v>1</v>
      </c>
      <c r="G1471" s="18" t="inlineStr">
        <is>
          <t>CORPORATIVO</t>
        </is>
      </c>
    </row>
    <row r="1472">
      <c r="B1472" s="56" t="inlineStr">
        <is>
          <t>00083-FER</t>
        </is>
      </c>
      <c r="C1472" s="56">
        <f>IFERROR(_xlfn.XLOOKUP(SALIDAS[[#This Row],[CODIGO]],LISTADO[CODIGOS],LISTADO[CATEGORIA]),"NO EXISTE")</f>
        <v/>
      </c>
      <c r="D1472" s="56">
        <f>IFERROR(_xlfn.XLOOKUP(SALIDAS[[#This Row],[CODIGO]],LISTADO[CODIGOS],LISTADO[PRODUCTOS]),"NO EXISTE")</f>
        <v/>
      </c>
      <c r="E1472" s="19" t="n">
        <v>46153</v>
      </c>
      <c r="F1472" s="18" t="n">
        <v>200</v>
      </c>
      <c r="G1472" s="18" t="inlineStr">
        <is>
          <t>MAIQUETIA</t>
        </is>
      </c>
    </row>
    <row r="1473">
      <c r="B1473" s="56" t="inlineStr">
        <is>
          <t>00084-FER</t>
        </is>
      </c>
      <c r="C1473" s="56">
        <f>IFERROR(_xlfn.XLOOKUP(SALIDAS[[#This Row],[CODIGO]],LISTADO[CODIGOS],LISTADO[CATEGORIA]),"NO EXISTE")</f>
        <v/>
      </c>
      <c r="D1473" s="56">
        <f>IFERROR(_xlfn.XLOOKUP(SALIDAS[[#This Row],[CODIGO]],LISTADO[CODIGOS],LISTADO[PRODUCTOS]),"NO EXISTE")</f>
        <v/>
      </c>
      <c r="E1473" s="19" t="n">
        <v>46153</v>
      </c>
      <c r="F1473" s="18" t="n">
        <v>100</v>
      </c>
      <c r="G1473" s="18" t="inlineStr">
        <is>
          <t>MAIQUETIA</t>
        </is>
      </c>
    </row>
    <row r="1474">
      <c r="B1474" s="56" t="inlineStr">
        <is>
          <t>00085-FER</t>
        </is>
      </c>
      <c r="C1474" s="56">
        <f>IFERROR(_xlfn.XLOOKUP(SALIDAS[[#This Row],[CODIGO]],LISTADO[CODIGOS],LISTADO[CATEGORIA]),"NO EXISTE")</f>
        <v/>
      </c>
      <c r="D1474" s="56">
        <f>IFERROR(_xlfn.XLOOKUP(SALIDAS[[#This Row],[CODIGO]],LISTADO[CODIGOS],LISTADO[PRODUCTOS]),"NO EXISTE")</f>
        <v/>
      </c>
      <c r="E1474" s="19" t="n">
        <v>46153</v>
      </c>
      <c r="F1474" s="18" t="n">
        <v>100</v>
      </c>
      <c r="G1474" s="18" t="inlineStr">
        <is>
          <t>MAIQUETIA</t>
        </is>
      </c>
    </row>
    <row r="1475">
      <c r="B1475" s="18" t="inlineStr">
        <is>
          <t>00118-ELE</t>
        </is>
      </c>
      <c r="C1475" s="56">
        <f>IFERROR(_xlfn.XLOOKUP(SALIDAS[[#This Row],[CODIGO]],LISTADO[CODIGOS],LISTADO[CATEGORIA]),"NO EXISTE")</f>
        <v/>
      </c>
      <c r="D1475" s="56">
        <f>IFERROR(_xlfn.XLOOKUP(SALIDAS[[#This Row],[CODIGO]],LISTADO[CODIGOS],LISTADO[PRODUCTOS]),"NO EXISTE")</f>
        <v/>
      </c>
      <c r="E1475" s="19" t="n">
        <v>46153</v>
      </c>
      <c r="F1475" s="18" t="n">
        <v>500</v>
      </c>
      <c r="G1475" s="18" t="inlineStr">
        <is>
          <t>TURMERO</t>
        </is>
      </c>
    </row>
    <row r="1476">
      <c r="B1476" s="18" t="inlineStr">
        <is>
          <t>00089-ELE</t>
        </is>
      </c>
      <c r="C1476" s="56">
        <f>IFERROR(_xlfn.XLOOKUP(SALIDAS[[#This Row],[CODIGO]],LISTADO[CODIGOS],LISTADO[CATEGORIA]),"NO EXISTE")</f>
        <v/>
      </c>
      <c r="D1476" s="56">
        <f>IFERROR(_xlfn.XLOOKUP(SALIDAS[[#This Row],[CODIGO]],LISTADO[CODIGOS],LISTADO[PRODUCTOS]),"NO EXISTE")</f>
        <v/>
      </c>
      <c r="E1476" s="19" t="n">
        <v>46153</v>
      </c>
      <c r="F1476" s="18" t="n">
        <v>300</v>
      </c>
      <c r="G1476" s="18" t="inlineStr">
        <is>
          <t>TURMERO</t>
        </is>
      </c>
    </row>
    <row r="1477">
      <c r="B1477" s="56" t="inlineStr">
        <is>
          <t>00014-ELE</t>
        </is>
      </c>
      <c r="C1477" s="56">
        <f>IFERROR(_xlfn.XLOOKUP(SALIDAS[[#This Row],[CODIGO]],LISTADO[CODIGOS],LISTADO[CATEGORIA]),"NO EXISTE")</f>
        <v/>
      </c>
      <c r="D1477" s="56">
        <f>IFERROR(_xlfn.XLOOKUP(SALIDAS[[#This Row],[CODIGO]],LISTADO[CODIGOS],LISTADO[PRODUCTOS]),"NO EXISTE")</f>
        <v/>
      </c>
      <c r="E1477" s="19" t="n">
        <v>46153</v>
      </c>
      <c r="F1477" s="18" t="n">
        <v>300</v>
      </c>
      <c r="G1477" s="18" t="inlineStr">
        <is>
          <t>TURMERO</t>
        </is>
      </c>
    </row>
    <row r="1478">
      <c r="B1478" s="18" t="inlineStr">
        <is>
          <t>00075-ELE</t>
        </is>
      </c>
      <c r="C1478" s="56">
        <f>IFERROR(_xlfn.XLOOKUP(SALIDAS[[#This Row],[CODIGO]],LISTADO[CODIGOS],LISTADO[CATEGORIA]),"NO EXISTE")</f>
        <v/>
      </c>
      <c r="D1478" s="56">
        <f>IFERROR(_xlfn.XLOOKUP(SALIDAS[[#This Row],[CODIGO]],LISTADO[CODIGOS],LISTADO[PRODUCTOS]),"NO EXISTE")</f>
        <v/>
      </c>
      <c r="E1478" s="19" t="n">
        <v>46153</v>
      </c>
      <c r="F1478" s="18" t="n">
        <v>300</v>
      </c>
      <c r="G1478" s="18" t="inlineStr">
        <is>
          <t>TURMERO</t>
        </is>
      </c>
    </row>
    <row r="1479">
      <c r="B1479" s="56" t="inlineStr">
        <is>
          <t>00047-FER</t>
        </is>
      </c>
      <c r="C1479" s="56">
        <f>IFERROR(_xlfn.XLOOKUP(SALIDAS[[#This Row],[CODIGO]],LISTADO[CODIGOS],LISTADO[CATEGORIA]),"NO EXISTE")</f>
        <v/>
      </c>
      <c r="D1479" s="56">
        <f>IFERROR(_xlfn.XLOOKUP(SALIDAS[[#This Row],[CODIGO]],LISTADO[CODIGOS],LISTADO[PRODUCTOS]),"NO EXISTE")</f>
        <v/>
      </c>
      <c r="E1479" s="19" t="n">
        <v>46153</v>
      </c>
      <c r="F1479" s="18" t="n">
        <v>3</v>
      </c>
      <c r="G1479" s="18" t="inlineStr">
        <is>
          <t>MAIQUETIA</t>
        </is>
      </c>
    </row>
    <row r="1480">
      <c r="B1480" s="56" t="inlineStr">
        <is>
          <t>00031-FER</t>
        </is>
      </c>
      <c r="C1480" s="56">
        <f>IFERROR(_xlfn.XLOOKUP(SALIDAS[[#This Row],[CODIGO]],LISTADO[CODIGOS],LISTADO[CATEGORIA]),"NO EXISTE")</f>
        <v/>
      </c>
      <c r="D1480" s="56">
        <f>IFERROR(_xlfn.XLOOKUP(SALIDAS[[#This Row],[CODIGO]],LISTADO[CODIGOS],LISTADO[PRODUCTOS]),"NO EXISTE")</f>
        <v/>
      </c>
      <c r="E1480" s="19" t="n">
        <v>46153</v>
      </c>
      <c r="F1480" s="18" t="n">
        <v>15</v>
      </c>
      <c r="G1480" s="18" t="inlineStr">
        <is>
          <t>MAIQUETIA</t>
        </is>
      </c>
    </row>
    <row r="1481">
      <c r="B1481" s="56" t="inlineStr">
        <is>
          <t>00018-PLM</t>
        </is>
      </c>
      <c r="C1481" s="56">
        <f>IFERROR(_xlfn.XLOOKUP(SALIDAS[[#This Row],[CODIGO]],LISTADO[CODIGOS],LISTADO[CATEGORIA]),"NO EXISTE")</f>
        <v/>
      </c>
      <c r="D1481" s="56">
        <f>IFERROR(_xlfn.XLOOKUP(SALIDAS[[#This Row],[CODIGO]],LISTADO[CODIGOS],LISTADO[PRODUCTOS]),"NO EXISTE")</f>
        <v/>
      </c>
      <c r="E1481" s="19" t="n">
        <v>46154</v>
      </c>
      <c r="F1481" s="18" t="n">
        <v>5</v>
      </c>
      <c r="G1481" s="18" t="inlineStr">
        <is>
          <t>TURMERO</t>
        </is>
      </c>
    </row>
    <row r="1482">
      <c r="B1482" s="18" t="inlineStr">
        <is>
          <t>00227-FER</t>
        </is>
      </c>
      <c r="C1482" s="56">
        <f>IFERROR(_xlfn.XLOOKUP(SALIDAS[[#This Row],[CODIGO]],LISTADO[CODIGOS],LISTADO[CATEGORIA]),"NO EXISTE")</f>
        <v/>
      </c>
      <c r="D1482" s="56">
        <f>IFERROR(_xlfn.XLOOKUP(SALIDAS[[#This Row],[CODIGO]],LISTADO[CODIGOS],LISTADO[PRODUCTOS]),"NO EXISTE")</f>
        <v/>
      </c>
      <c r="E1482" s="19" t="n">
        <v>46154</v>
      </c>
      <c r="F1482" s="18" t="n">
        <v>2</v>
      </c>
      <c r="G1482" s="18" t="inlineStr">
        <is>
          <t>PERIFERICO</t>
        </is>
      </c>
    </row>
    <row r="1483">
      <c r="B1483" s="56" t="inlineStr">
        <is>
          <t>00149-REF</t>
        </is>
      </c>
      <c r="C1483" s="56">
        <f>IFERROR(_xlfn.XLOOKUP(SALIDAS[[#This Row],[CODIGO]],LISTADO[CODIGOS],LISTADO[CATEGORIA]),"NO EXISTE")</f>
        <v/>
      </c>
      <c r="D1483" s="56">
        <f>IFERROR(_xlfn.XLOOKUP(SALIDAS[[#This Row],[CODIGO]],LISTADO[CODIGOS],LISTADO[PRODUCTOS]),"NO EXISTE")</f>
        <v/>
      </c>
      <c r="E1483" s="19" t="n">
        <v>46154</v>
      </c>
      <c r="F1483" s="18" t="n">
        <v>1</v>
      </c>
      <c r="G1483" s="18" t="inlineStr">
        <is>
          <t xml:space="preserve">EL BOSQUE </t>
        </is>
      </c>
    </row>
    <row r="1484">
      <c r="B1484" s="56" t="inlineStr">
        <is>
          <t>00075-REF</t>
        </is>
      </c>
      <c r="C1484" s="56">
        <f>IFERROR(_xlfn.XLOOKUP(SALIDAS[[#This Row],[CODIGO]],LISTADO[CODIGOS],LISTADO[CATEGORIA]),"NO EXISTE")</f>
        <v/>
      </c>
      <c r="D1484" s="56">
        <f>IFERROR(_xlfn.XLOOKUP(SALIDAS[[#This Row],[CODIGO]],LISTADO[CODIGOS],LISTADO[PRODUCTOS]),"NO EXISTE")</f>
        <v/>
      </c>
      <c r="E1484" s="19" t="n">
        <v>46154</v>
      </c>
      <c r="F1484" s="18" t="n">
        <v>3</v>
      </c>
      <c r="G1484" s="18" t="inlineStr">
        <is>
          <t xml:space="preserve">EL BOSQUE </t>
        </is>
      </c>
    </row>
    <row r="1485">
      <c r="B1485" s="18" t="inlineStr">
        <is>
          <t>00141-FER</t>
        </is>
      </c>
      <c r="C1485" s="56">
        <f>IFERROR(_xlfn.XLOOKUP(SALIDAS[[#This Row],[CODIGO]],LISTADO[CODIGOS],LISTADO[CATEGORIA]),"NO EXISTE")</f>
        <v/>
      </c>
      <c r="D1485" s="56">
        <f>IFERROR(_xlfn.XLOOKUP(SALIDAS[[#This Row],[CODIGO]],LISTADO[CODIGOS],LISTADO[PRODUCTOS]),"NO EXISTE")</f>
        <v/>
      </c>
      <c r="E1485" s="19" t="n">
        <v>46155</v>
      </c>
      <c r="F1485" s="18" t="n">
        <v>400</v>
      </c>
    </row>
    <row r="1486">
      <c r="B1486" s="18" t="inlineStr">
        <is>
          <t>00054-PLM</t>
        </is>
      </c>
      <c r="C1486" s="56">
        <f>IFERROR(_xlfn.XLOOKUP(SALIDAS[[#This Row],[CODIGO]],LISTADO[CODIGOS],LISTADO[CATEGORIA]),"NO EXISTE")</f>
        <v/>
      </c>
      <c r="D1486" s="56">
        <f>IFERROR(_xlfn.XLOOKUP(SALIDAS[[#This Row],[CODIGO]],LISTADO[CODIGOS],LISTADO[PRODUCTOS]),"NO EXISTE")</f>
        <v/>
      </c>
      <c r="E1486" s="19" t="n">
        <v>46156</v>
      </c>
      <c r="F1486" s="18" t="n">
        <v>1</v>
      </c>
      <c r="G1486" s="18" t="inlineStr">
        <is>
          <t>MAIQUETIA</t>
        </is>
      </c>
    </row>
    <row r="1487">
      <c r="B1487" s="56" t="inlineStr">
        <is>
          <t>00079-FER</t>
        </is>
      </c>
      <c r="C1487" s="56">
        <f>IFERROR(_xlfn.XLOOKUP(SALIDAS[[#This Row],[CODIGO]],LISTADO[CODIGOS],LISTADO[CATEGORIA]),"NO EXISTE")</f>
        <v/>
      </c>
      <c r="D1487" s="56">
        <f>IFERROR(_xlfn.XLOOKUP(SALIDAS[[#This Row],[CODIGO]],LISTADO[CODIGOS],LISTADO[PRODUCTOS]),"NO EXISTE")</f>
        <v/>
      </c>
      <c r="E1487" s="19" t="n">
        <v>46156</v>
      </c>
      <c r="F1487" s="18" t="n">
        <v>1</v>
      </c>
      <c r="G1487" s="18" t="inlineStr">
        <is>
          <t>MAIQUETIA</t>
        </is>
      </c>
    </row>
    <row r="1488">
      <c r="B1488" s="18" t="inlineStr">
        <is>
          <t>00242-FER</t>
        </is>
      </c>
      <c r="C1488" s="56">
        <f>IFERROR(_xlfn.XLOOKUP(SALIDAS[[#This Row],[CODIGO]],LISTADO[CODIGOS],LISTADO[CATEGORIA]),"NO EXISTE")</f>
        <v/>
      </c>
      <c r="D1488" s="56">
        <f>IFERROR(_xlfn.XLOOKUP(SALIDAS[[#This Row],[CODIGO]],LISTADO[CODIGOS],LISTADO[PRODUCTOS]),"NO EXISTE")</f>
        <v/>
      </c>
      <c r="E1488" s="19" t="n">
        <v>46156</v>
      </c>
      <c r="F1488" s="18" t="n">
        <v>15</v>
      </c>
      <c r="G1488" s="18" t="inlineStr">
        <is>
          <t>MAIQUETIA</t>
        </is>
      </c>
    </row>
    <row r="1489">
      <c r="B1489" s="18" t="inlineStr">
        <is>
          <t>00130-HER</t>
        </is>
      </c>
      <c r="C1489" s="56">
        <f>IFERROR(_xlfn.XLOOKUP(SALIDAS[[#This Row],[CODIGO]],LISTADO[CODIGOS],LISTADO[CATEGORIA]),"NO EXISTE")</f>
        <v/>
      </c>
      <c r="D1489" s="56">
        <f>IFERROR(_xlfn.XLOOKUP(SALIDAS[[#This Row],[CODIGO]],LISTADO[CODIGOS],LISTADO[PRODUCTOS]),"NO EXISTE")</f>
        <v/>
      </c>
      <c r="E1489" s="19" t="n">
        <v>46157</v>
      </c>
      <c r="F1489" s="18" t="n">
        <v>4</v>
      </c>
      <c r="G1489" s="18" t="inlineStr">
        <is>
          <t>MAIQUETIA</t>
        </is>
      </c>
    </row>
    <row r="1490">
      <c r="B1490" s="56" t="inlineStr">
        <is>
          <t>00007-HRR</t>
        </is>
      </c>
      <c r="C1490" s="56">
        <f>IFERROR(_xlfn.XLOOKUP(SALIDAS[[#This Row],[CODIGO]],LISTADO[CODIGOS],LISTADO[CATEGORIA]),"NO EXISTE")</f>
        <v/>
      </c>
      <c r="D1490" s="56">
        <f>IFERROR(_xlfn.XLOOKUP(SALIDAS[[#This Row],[CODIGO]],LISTADO[CODIGOS],LISTADO[PRODUCTOS]),"NO EXISTE")</f>
        <v/>
      </c>
      <c r="E1490" s="19" t="n">
        <v>46157</v>
      </c>
      <c r="F1490" s="18" t="n">
        <v>10</v>
      </c>
      <c r="G1490" s="18" t="inlineStr">
        <is>
          <t>MAIQUETIA</t>
        </is>
      </c>
    </row>
    <row r="1491">
      <c r="B1491" s="18" t="inlineStr">
        <is>
          <t>00236-FER</t>
        </is>
      </c>
      <c r="C1491" s="56">
        <f>IFERROR(_xlfn.XLOOKUP(SALIDAS[[#This Row],[CODIGO]],LISTADO[CODIGOS],LISTADO[CATEGORIA]),"NO EXISTE")</f>
        <v/>
      </c>
      <c r="D1491" s="56">
        <f>IFERROR(_xlfn.XLOOKUP(SALIDAS[[#This Row],[CODIGO]],LISTADO[CODIGOS],LISTADO[PRODUCTOS]),"NO EXISTE")</f>
        <v/>
      </c>
      <c r="E1491" s="19" t="n">
        <v>46157</v>
      </c>
      <c r="F1491" s="18" t="n">
        <v>1</v>
      </c>
      <c r="G1491" s="18" t="inlineStr">
        <is>
          <t>MAIQUETIA</t>
        </is>
      </c>
    </row>
    <row r="1492">
      <c r="B1492" s="18" t="inlineStr">
        <is>
          <t>00131-HER</t>
        </is>
      </c>
      <c r="C1492" s="56">
        <f>IFERROR(_xlfn.XLOOKUP(SALIDAS[[#This Row],[CODIGO]],LISTADO[CODIGOS],LISTADO[CATEGORIA]),"NO EXISTE")</f>
        <v/>
      </c>
      <c r="D1492" s="56">
        <f>IFERROR(_xlfn.XLOOKUP(SALIDAS[[#This Row],[CODIGO]],LISTADO[CODIGOS],LISTADO[PRODUCTOS]),"NO EXISTE")</f>
        <v/>
      </c>
      <c r="E1492" s="19" t="n">
        <v>46157</v>
      </c>
      <c r="F1492" s="18" t="n">
        <v>6</v>
      </c>
      <c r="G1492" s="18" t="inlineStr">
        <is>
          <t>MAIQUETIA</t>
        </is>
      </c>
    </row>
    <row r="1493">
      <c r="B1493" s="18" t="inlineStr">
        <is>
          <t>00132-HER</t>
        </is>
      </c>
      <c r="C1493" s="56">
        <f>IFERROR(_xlfn.XLOOKUP(SALIDAS[[#This Row],[CODIGO]],LISTADO[CODIGOS],LISTADO[CATEGORIA]),"NO EXISTE")</f>
        <v/>
      </c>
      <c r="D1493" s="56">
        <f>IFERROR(_xlfn.XLOOKUP(SALIDAS[[#This Row],[CODIGO]],LISTADO[CODIGOS],LISTADO[PRODUCTOS]),"NO EXISTE")</f>
        <v/>
      </c>
      <c r="E1493" s="19" t="n">
        <v>46157</v>
      </c>
      <c r="F1493" s="18" t="n">
        <v>6</v>
      </c>
      <c r="G1493" s="18" t="inlineStr">
        <is>
          <t>MAIQUETIA</t>
        </is>
      </c>
    </row>
    <row r="1494">
      <c r="B1494" s="18" t="inlineStr">
        <is>
          <t>00141-FER</t>
        </is>
      </c>
      <c r="C1494" s="56">
        <f>IFERROR(_xlfn.XLOOKUP(SALIDAS[[#This Row],[CODIGO]],LISTADO[CODIGOS],LISTADO[CATEGORIA]),"NO EXISTE")</f>
        <v/>
      </c>
      <c r="D1494" s="56">
        <f>IFERROR(_xlfn.XLOOKUP(SALIDAS[[#This Row],[CODIGO]],LISTADO[CODIGOS],LISTADO[PRODUCTOS]),"NO EXISTE")</f>
        <v/>
      </c>
      <c r="E1494" s="19" t="n">
        <v>46157</v>
      </c>
      <c r="F1494" s="18" t="n">
        <v>400</v>
      </c>
      <c r="G1494" s="18" t="inlineStr">
        <is>
          <t>MAIQUETIA</t>
        </is>
      </c>
    </row>
    <row r="1495">
      <c r="B1495" s="18" t="inlineStr">
        <is>
          <t>00229-FER</t>
        </is>
      </c>
      <c r="C1495" s="56">
        <f>IFERROR(_xlfn.XLOOKUP(SALIDAS[[#This Row],[CODIGO]],LISTADO[CODIGOS],LISTADO[CATEGORIA]),"NO EXISTE")</f>
        <v/>
      </c>
      <c r="D1495" s="56">
        <f>IFERROR(_xlfn.XLOOKUP(SALIDAS[[#This Row],[CODIGO]],LISTADO[CODIGOS],LISTADO[PRODUCTOS]),"NO EXISTE")</f>
        <v/>
      </c>
      <c r="E1495" s="19" t="n">
        <v>46157</v>
      </c>
      <c r="F1495" s="18" t="n">
        <v>70</v>
      </c>
      <c r="G1495" s="18" t="inlineStr">
        <is>
          <t>MAIQUETIA</t>
        </is>
      </c>
    </row>
    <row r="1496">
      <c r="B1496" s="18" t="inlineStr">
        <is>
          <t>00089-FER</t>
        </is>
      </c>
      <c r="C1496" s="56">
        <f>IFERROR(_xlfn.XLOOKUP(SALIDAS[[#This Row],[CODIGO]],LISTADO[CODIGOS],LISTADO[CATEGORIA]),"NO EXISTE")</f>
        <v/>
      </c>
      <c r="D1496" s="56">
        <f>IFERROR(_xlfn.XLOOKUP(SALIDAS[[#This Row],[CODIGO]],LISTADO[CODIGOS],LISTADO[PRODUCTOS]),"NO EXISTE")</f>
        <v/>
      </c>
      <c r="E1496" s="19" t="n">
        <v>46157</v>
      </c>
      <c r="F1496" s="18" t="n">
        <v>10</v>
      </c>
      <c r="G1496" s="18" t="inlineStr">
        <is>
          <t>MAIQUETIA</t>
        </is>
      </c>
    </row>
    <row r="1497">
      <c r="B1497" s="56" t="inlineStr">
        <is>
          <t>00237-FER</t>
        </is>
      </c>
      <c r="C1497" s="56">
        <f>IFERROR(_xlfn.XLOOKUP(SALIDAS[[#This Row],[CODIGO]],LISTADO[CODIGOS],LISTADO[CATEGORIA]),"NO EXISTE")</f>
        <v/>
      </c>
      <c r="D1497" s="56">
        <f>IFERROR(_xlfn.XLOOKUP(SALIDAS[[#This Row],[CODIGO]],LISTADO[CODIGOS],LISTADO[PRODUCTOS]),"NO EXISTE")</f>
        <v/>
      </c>
      <c r="E1497" s="19" t="n">
        <v>46157</v>
      </c>
      <c r="F1497" s="18" t="n">
        <v>1500</v>
      </c>
      <c r="G1497" s="18" t="inlineStr">
        <is>
          <t>MAIQUETIA</t>
        </is>
      </c>
    </row>
    <row r="1498">
      <c r="B1498" s="18" t="inlineStr">
        <is>
          <t>00238-FER</t>
        </is>
      </c>
      <c r="C1498" s="56">
        <f>IFERROR(_xlfn.XLOOKUP(SALIDAS[[#This Row],[CODIGO]],LISTADO[CODIGOS],LISTADO[CATEGORIA]),"NO EXISTE")</f>
        <v/>
      </c>
      <c r="D1498" s="56">
        <f>IFERROR(_xlfn.XLOOKUP(SALIDAS[[#This Row],[CODIGO]],LISTADO[CODIGOS],LISTADO[PRODUCTOS]),"NO EXISTE")</f>
        <v/>
      </c>
      <c r="E1498" s="19" t="n">
        <v>46157</v>
      </c>
      <c r="F1498" s="18" t="n">
        <v>600</v>
      </c>
      <c r="G1498" s="18" t="inlineStr">
        <is>
          <t>MAIQUETIA</t>
        </is>
      </c>
    </row>
    <row r="1499">
      <c r="B1499" s="18" t="inlineStr">
        <is>
          <t>00239-FER</t>
        </is>
      </c>
      <c r="C1499" s="56">
        <f>IFERROR(_xlfn.XLOOKUP(SALIDAS[[#This Row],[CODIGO]],LISTADO[CODIGOS],LISTADO[CATEGORIA]),"NO EXISTE")</f>
        <v/>
      </c>
      <c r="D1499" s="56">
        <f>IFERROR(_xlfn.XLOOKUP(SALIDAS[[#This Row],[CODIGO]],LISTADO[CODIGOS],LISTADO[PRODUCTOS]),"NO EXISTE")</f>
        <v/>
      </c>
      <c r="E1499" s="19" t="n">
        <v>46157</v>
      </c>
      <c r="F1499" s="18" t="n">
        <v>500</v>
      </c>
      <c r="G1499" s="18" t="inlineStr">
        <is>
          <t>MAIQUETIA</t>
        </is>
      </c>
    </row>
    <row r="1500">
      <c r="B1500" s="56" t="inlineStr">
        <is>
          <t>00058-ILU</t>
        </is>
      </c>
      <c r="C1500" s="56">
        <f>IFERROR(_xlfn.XLOOKUP(SALIDAS[[#This Row],[CODIGO]],LISTADO[CODIGOS],LISTADO[CATEGORIA]),"NO EXISTE")</f>
        <v/>
      </c>
      <c r="D1500" s="56">
        <f>IFERROR(_xlfn.XLOOKUP(SALIDAS[[#This Row],[CODIGO]],LISTADO[CODIGOS],LISTADO[PRODUCTOS]),"NO EXISTE")</f>
        <v/>
      </c>
      <c r="E1500" s="19" t="n">
        <v>46157</v>
      </c>
      <c r="F1500" s="18" t="n">
        <v>1</v>
      </c>
      <c r="G1500" s="18" t="inlineStr">
        <is>
          <t>TURMERO</t>
        </is>
      </c>
    </row>
    <row r="1501">
      <c r="B1501" s="18" t="inlineStr">
        <is>
          <t>00035-ILU</t>
        </is>
      </c>
      <c r="C1501" s="56">
        <f>IFERROR(_xlfn.XLOOKUP(SALIDAS[[#This Row],[CODIGO]],LISTADO[CODIGOS],LISTADO[CATEGORIA]),"NO EXISTE")</f>
        <v/>
      </c>
      <c r="D1501" s="56">
        <f>IFERROR(_xlfn.XLOOKUP(SALIDAS[[#This Row],[CODIGO]],LISTADO[CODIGOS],LISTADO[PRODUCTOS]),"NO EXISTE")</f>
        <v/>
      </c>
      <c r="E1501" s="19" t="n">
        <v>46157</v>
      </c>
      <c r="F1501" s="18" t="n">
        <v>22</v>
      </c>
      <c r="G1501" s="18" t="inlineStr">
        <is>
          <t>MAIQUETIA</t>
        </is>
      </c>
    </row>
    <row r="1502">
      <c r="B1502" s="56" t="inlineStr">
        <is>
          <t>00033-ILU</t>
        </is>
      </c>
      <c r="C1502" s="56">
        <f>IFERROR(_xlfn.XLOOKUP(SALIDAS[[#This Row],[CODIGO]],LISTADO[CODIGOS],LISTADO[CATEGORIA]),"NO EXISTE")</f>
        <v/>
      </c>
      <c r="D1502" s="56">
        <f>IFERROR(_xlfn.XLOOKUP(SALIDAS[[#This Row],[CODIGO]],LISTADO[CODIGOS],LISTADO[PRODUCTOS]),"NO EXISTE")</f>
        <v/>
      </c>
      <c r="E1502" s="19" t="n">
        <v>46157</v>
      </c>
      <c r="F1502" s="18" t="n">
        <v>35</v>
      </c>
      <c r="G1502" s="18" t="inlineStr">
        <is>
          <t>MAIQUETIA</t>
        </is>
      </c>
    </row>
    <row r="1503">
      <c r="B1503" s="18" t="inlineStr">
        <is>
          <t>00058-PLM</t>
        </is>
      </c>
      <c r="C1503" s="56">
        <f>IFERROR(_xlfn.XLOOKUP(SALIDAS[[#This Row],[CODIGO]],LISTADO[CODIGOS],LISTADO[CATEGORIA]),"NO EXISTE")</f>
        <v/>
      </c>
      <c r="D1503" s="56">
        <f>IFERROR(_xlfn.XLOOKUP(SALIDAS[[#This Row],[CODIGO]],LISTADO[CODIGOS],LISTADO[PRODUCTOS]),"NO EXISTE")</f>
        <v/>
      </c>
      <c r="E1503" s="19" t="n">
        <v>46158</v>
      </c>
      <c r="F1503" s="18" t="n">
        <v>1</v>
      </c>
      <c r="G1503" s="18" t="inlineStr">
        <is>
          <t>FLOR AMARILLO</t>
        </is>
      </c>
    </row>
    <row r="1504">
      <c r="B1504" s="56" t="inlineStr">
        <is>
          <t>00076-PLM</t>
        </is>
      </c>
      <c r="C1504" s="56">
        <f>IFERROR(_xlfn.XLOOKUP(SALIDAS[[#This Row],[CODIGO]],LISTADO[CODIGOS],LISTADO[CATEGORIA]),"NO EXISTE")</f>
        <v/>
      </c>
      <c r="D1504" s="56">
        <f>IFERROR(_xlfn.XLOOKUP(SALIDAS[[#This Row],[CODIGO]],LISTADO[CODIGOS],LISTADO[PRODUCTOS]),"NO EXISTE")</f>
        <v/>
      </c>
      <c r="E1504" s="19" t="n">
        <v>46158</v>
      </c>
      <c r="F1504" s="18" t="n">
        <v>1</v>
      </c>
      <c r="G1504" s="18" t="inlineStr">
        <is>
          <t>FLOR AMARILLO</t>
        </is>
      </c>
    </row>
    <row r="1505">
      <c r="B1505" s="56" t="inlineStr">
        <is>
          <t>00020-PLM</t>
        </is>
      </c>
      <c r="C1505" s="56">
        <f>IFERROR(_xlfn.XLOOKUP(SALIDAS[[#This Row],[CODIGO]],LISTADO[CODIGOS],LISTADO[CATEGORIA]),"NO EXISTE")</f>
        <v/>
      </c>
      <c r="D1505" s="56">
        <f>IFERROR(_xlfn.XLOOKUP(SALIDAS[[#This Row],[CODIGO]],LISTADO[CODIGOS],LISTADO[PRODUCTOS]),"NO EXISTE")</f>
        <v/>
      </c>
      <c r="E1505" s="19" t="n">
        <v>46158</v>
      </c>
      <c r="F1505" s="18" t="n">
        <v>1</v>
      </c>
      <c r="G1505" s="18" t="inlineStr">
        <is>
          <t>FLOR AMARILLO</t>
        </is>
      </c>
    </row>
    <row r="1506">
      <c r="B1506" s="56" t="inlineStr">
        <is>
          <t>00018-PLM</t>
        </is>
      </c>
      <c r="C1506" s="56">
        <f>IFERROR(_xlfn.XLOOKUP(SALIDAS[[#This Row],[CODIGO]],LISTADO[CODIGOS],LISTADO[CATEGORIA]),"NO EXISTE")</f>
        <v/>
      </c>
      <c r="D1506" s="56">
        <f>IFERROR(_xlfn.XLOOKUP(SALIDAS[[#This Row],[CODIGO]],LISTADO[CODIGOS],LISTADO[PRODUCTOS]),"NO EXISTE")</f>
        <v/>
      </c>
      <c r="E1506" s="19" t="n">
        <v>46158</v>
      </c>
      <c r="F1506" s="18" t="n">
        <v>2</v>
      </c>
      <c r="G1506" s="18" t="inlineStr">
        <is>
          <t>FLOR AMARILLO</t>
        </is>
      </c>
    </row>
    <row r="1507">
      <c r="B1507" s="56" t="inlineStr">
        <is>
          <t>00015-PLM</t>
        </is>
      </c>
      <c r="C1507" s="56">
        <f>IFERROR(_xlfn.XLOOKUP(SALIDAS[[#This Row],[CODIGO]],LISTADO[CODIGOS],LISTADO[CATEGORIA]),"NO EXISTE")</f>
        <v/>
      </c>
      <c r="D1507" s="56">
        <f>IFERROR(_xlfn.XLOOKUP(SALIDAS[[#This Row],[CODIGO]],LISTADO[CODIGOS],LISTADO[PRODUCTOS]),"NO EXISTE")</f>
        <v/>
      </c>
      <c r="E1507" s="19" t="n">
        <v>46158</v>
      </c>
      <c r="F1507" s="18" t="n">
        <v>1</v>
      </c>
      <c r="G1507" s="18" t="inlineStr">
        <is>
          <t>FLOR AMARILLO</t>
        </is>
      </c>
    </row>
    <row r="1508">
      <c r="B1508" s="56" t="inlineStr">
        <is>
          <t>00046-PLM</t>
        </is>
      </c>
      <c r="C1508" s="56">
        <f>IFERROR(_xlfn.XLOOKUP(SALIDAS[[#This Row],[CODIGO]],LISTADO[CODIGOS],LISTADO[CATEGORIA]),"NO EXISTE")</f>
        <v/>
      </c>
      <c r="D1508" s="56">
        <f>IFERROR(_xlfn.XLOOKUP(SALIDAS[[#This Row],[CODIGO]],LISTADO[CODIGOS],LISTADO[PRODUCTOS]),"NO EXISTE")</f>
        <v/>
      </c>
      <c r="E1508" s="19" t="n">
        <v>46158</v>
      </c>
      <c r="F1508" s="18" t="n">
        <v>1</v>
      </c>
      <c r="G1508" s="18" t="inlineStr">
        <is>
          <t>FLOR AMARILLO</t>
        </is>
      </c>
    </row>
    <row r="1509">
      <c r="B1509" s="56" t="inlineStr">
        <is>
          <t>00016-PLM</t>
        </is>
      </c>
      <c r="C1509" s="56">
        <f>IFERROR(_xlfn.XLOOKUP(SALIDAS[[#This Row],[CODIGO]],LISTADO[CODIGOS],LISTADO[CATEGORIA]),"NO EXISTE")</f>
        <v/>
      </c>
      <c r="D1509" s="56">
        <f>IFERROR(_xlfn.XLOOKUP(SALIDAS[[#This Row],[CODIGO]],LISTADO[CODIGOS],LISTADO[PRODUCTOS]),"NO EXISTE")</f>
        <v/>
      </c>
      <c r="E1509" s="19" t="n">
        <v>46158</v>
      </c>
      <c r="F1509" s="18" t="n">
        <v>1</v>
      </c>
      <c r="G1509" s="18" t="inlineStr">
        <is>
          <t>FLOR AMARILLO</t>
        </is>
      </c>
    </row>
    <row r="1510">
      <c r="B1510" s="18" t="inlineStr">
        <is>
          <t>00050-PLM</t>
        </is>
      </c>
      <c r="C1510" s="56">
        <f>IFERROR(_xlfn.XLOOKUP(SALIDAS[[#This Row],[CODIGO]],LISTADO[CODIGOS],LISTADO[CATEGORIA]),"NO EXISTE")</f>
        <v/>
      </c>
      <c r="D1510" s="56">
        <f>IFERROR(_xlfn.XLOOKUP(SALIDAS[[#This Row],[CODIGO]],LISTADO[CODIGOS],LISTADO[PRODUCTOS]),"NO EXISTE")</f>
        <v/>
      </c>
      <c r="E1510" s="19" t="n">
        <v>46158</v>
      </c>
      <c r="F1510" s="18" t="n">
        <v>1</v>
      </c>
      <c r="G1510" s="18" t="inlineStr">
        <is>
          <t>FLOR AMARILLO</t>
        </is>
      </c>
    </row>
    <row r="1511">
      <c r="B1511" s="18" t="inlineStr">
        <is>
          <t>00077-PLM</t>
        </is>
      </c>
      <c r="C1511" s="56">
        <f>IFERROR(_xlfn.XLOOKUP(SALIDAS[[#This Row],[CODIGO]],LISTADO[CODIGOS],LISTADO[CATEGORIA]),"NO EXISTE")</f>
        <v/>
      </c>
      <c r="D1511" s="56">
        <f>IFERROR(_xlfn.XLOOKUP(SALIDAS[[#This Row],[CODIGO]],LISTADO[CODIGOS],LISTADO[PRODUCTOS]),"NO EXISTE")</f>
        <v/>
      </c>
      <c r="E1511" s="19" t="n">
        <v>46158</v>
      </c>
      <c r="F1511" s="18" t="n">
        <v>1</v>
      </c>
      <c r="G1511" s="18" t="inlineStr">
        <is>
          <t>FLOR AMARILLO</t>
        </is>
      </c>
    </row>
    <row r="1512">
      <c r="B1512" s="56" t="inlineStr">
        <is>
          <t>00080-FER</t>
        </is>
      </c>
      <c r="C1512" s="56">
        <f>IFERROR(_xlfn.XLOOKUP(SALIDAS[[#This Row],[CODIGO]],LISTADO[CODIGOS],LISTADO[CATEGORIA]),"NO EXISTE")</f>
        <v/>
      </c>
      <c r="D1512" s="56">
        <f>IFERROR(_xlfn.XLOOKUP(SALIDAS[[#This Row],[CODIGO]],LISTADO[CODIGOS],LISTADO[PRODUCTOS]),"NO EXISTE")</f>
        <v/>
      </c>
      <c r="E1512" s="19" t="n">
        <v>46158</v>
      </c>
      <c r="F1512" s="18" t="n">
        <v>1</v>
      </c>
      <c r="G1512" s="18" t="inlineStr">
        <is>
          <t>FLOR AMARILLO</t>
        </is>
      </c>
    </row>
    <row r="1513">
      <c r="B1513" s="56" t="inlineStr">
        <is>
          <t>00078-FER</t>
        </is>
      </c>
      <c r="C1513" s="56">
        <f>IFERROR(_xlfn.XLOOKUP(SALIDAS[[#This Row],[CODIGO]],LISTADO[CODIGOS],LISTADO[CATEGORIA]),"NO EXISTE")</f>
        <v/>
      </c>
      <c r="D1513" s="56">
        <f>IFERROR(_xlfn.XLOOKUP(SALIDAS[[#This Row],[CODIGO]],LISTADO[CODIGOS],LISTADO[PRODUCTOS]),"NO EXISTE")</f>
        <v/>
      </c>
      <c r="E1513" s="19" t="n">
        <v>46158</v>
      </c>
      <c r="F1513" s="18" t="n">
        <v>1</v>
      </c>
      <c r="G1513" s="18" t="inlineStr">
        <is>
          <t>FLOR AMARILLO</t>
        </is>
      </c>
    </row>
    <row r="1514">
      <c r="B1514" s="18" t="inlineStr">
        <is>
          <t>00068-ELE</t>
        </is>
      </c>
      <c r="C1514" s="56">
        <f>IFERROR(_xlfn.XLOOKUP(SALIDAS[[#This Row],[CODIGO]],LISTADO[CODIGOS],LISTADO[CATEGORIA]),"NO EXISTE")</f>
        <v/>
      </c>
      <c r="D1514" s="56">
        <f>IFERROR(_xlfn.XLOOKUP(SALIDAS[[#This Row],[CODIGO]],LISTADO[CODIGOS],LISTADO[PRODUCTOS]),"NO EXISTE")</f>
        <v/>
      </c>
      <c r="E1514" s="19" t="n">
        <v>46158</v>
      </c>
      <c r="F1514" s="18" t="n">
        <v>1</v>
      </c>
      <c r="G1514" s="18" t="inlineStr">
        <is>
          <t xml:space="preserve">EL BOSQUE </t>
        </is>
      </c>
    </row>
    <row r="1515">
      <c r="B1515" s="18" t="inlineStr">
        <is>
          <t>00042-AUT</t>
        </is>
      </c>
      <c r="C1515" s="56">
        <f>IFERROR(_xlfn.XLOOKUP(SALIDAS[[#This Row],[CODIGO]],LISTADO[CODIGOS],LISTADO[CATEGORIA]),"NO EXISTE")</f>
        <v/>
      </c>
      <c r="D1515" s="56">
        <f>IFERROR(_xlfn.XLOOKUP(SALIDAS[[#This Row],[CODIGO]],LISTADO[CODIGOS],LISTADO[PRODUCTOS]),"NO EXISTE")</f>
        <v/>
      </c>
      <c r="E1515" s="19" t="n">
        <v>46158</v>
      </c>
      <c r="F1515" s="18" t="n">
        <v>2</v>
      </c>
      <c r="G1515" s="18" t="inlineStr">
        <is>
          <t>CORPORATIVO</t>
        </is>
      </c>
    </row>
    <row r="1516">
      <c r="B1516" s="18" t="inlineStr">
        <is>
          <t>00056-ELC</t>
        </is>
      </c>
      <c r="C1516" s="56">
        <f>IFERROR(_xlfn.XLOOKUP(SALIDAS[[#This Row],[CODIGO]],LISTADO[CODIGOS],LISTADO[CATEGORIA]),"NO EXISTE")</f>
        <v/>
      </c>
      <c r="D1516" s="56">
        <f>IFERROR(_xlfn.XLOOKUP(SALIDAS[[#This Row],[CODIGO]],LISTADO[CODIGOS],LISTADO[PRODUCTOS]),"NO EXISTE")</f>
        <v/>
      </c>
      <c r="E1516" s="19" t="n">
        <v>46159</v>
      </c>
      <c r="F1516" s="18" t="n">
        <v>1</v>
      </c>
      <c r="G1516" s="18" t="inlineStr">
        <is>
          <t>TURMERO</t>
        </is>
      </c>
    </row>
    <row r="1517">
      <c r="B1517" s="56" t="inlineStr">
        <is>
          <t>00024-ELC</t>
        </is>
      </c>
      <c r="C1517" s="56">
        <f>IFERROR(_xlfn.XLOOKUP(SALIDAS[[#This Row],[CODIGO]],LISTADO[CODIGOS],LISTADO[CATEGORIA]),"NO EXISTE")</f>
        <v/>
      </c>
      <c r="D1517" s="56">
        <f>IFERROR(_xlfn.XLOOKUP(SALIDAS[[#This Row],[CODIGO]],LISTADO[CODIGOS],LISTADO[PRODUCTOS]),"NO EXISTE")</f>
        <v/>
      </c>
      <c r="E1517" s="19" t="n">
        <v>46159</v>
      </c>
      <c r="F1517" s="18" t="n">
        <v>3</v>
      </c>
      <c r="G1517" s="18" t="inlineStr">
        <is>
          <t>TURMERO</t>
        </is>
      </c>
    </row>
    <row r="1518">
      <c r="B1518" s="18" t="inlineStr">
        <is>
          <t>00058-ELC</t>
        </is>
      </c>
      <c r="C1518" s="56">
        <f>IFERROR(_xlfn.XLOOKUP(SALIDAS[[#This Row],[CODIGO]],LISTADO[CODIGOS],LISTADO[CATEGORIA]),"NO EXISTE")</f>
        <v/>
      </c>
      <c r="D1518" s="56">
        <f>IFERROR(_xlfn.XLOOKUP(SALIDAS[[#This Row],[CODIGO]],LISTADO[CODIGOS],LISTADO[PRODUCTOS]),"NO EXISTE")</f>
        <v/>
      </c>
      <c r="E1518" s="19" t="n">
        <v>46159</v>
      </c>
      <c r="F1518" s="18" t="n">
        <v>2</v>
      </c>
      <c r="G1518" s="18" t="inlineStr">
        <is>
          <t>TURMERO</t>
        </is>
      </c>
    </row>
    <row r="1519">
      <c r="B1519" s="18" t="inlineStr">
        <is>
          <t>00078-ELC</t>
        </is>
      </c>
      <c r="C1519" s="56">
        <f>IFERROR(_xlfn.XLOOKUP(SALIDAS[[#This Row],[CODIGO]],LISTADO[CODIGOS],LISTADO[CATEGORIA]),"NO EXISTE")</f>
        <v/>
      </c>
      <c r="D1519" s="56">
        <f>IFERROR(_xlfn.XLOOKUP(SALIDAS[[#This Row],[CODIGO]],LISTADO[CODIGOS],LISTADO[PRODUCTOS]),"NO EXISTE")</f>
        <v/>
      </c>
      <c r="E1519" s="19" t="n">
        <v>46159</v>
      </c>
      <c r="F1519" s="18" t="n">
        <v>4</v>
      </c>
      <c r="G1519" s="18" t="inlineStr">
        <is>
          <t>TURMERO</t>
        </is>
      </c>
    </row>
    <row r="1520">
      <c r="B1520" s="18" t="inlineStr">
        <is>
          <t>00059-ELC</t>
        </is>
      </c>
      <c r="C1520" s="56">
        <f>IFERROR(_xlfn.XLOOKUP(SALIDAS[[#This Row],[CODIGO]],LISTADO[CODIGOS],LISTADO[CATEGORIA]),"NO EXISTE")</f>
        <v/>
      </c>
      <c r="D1520" s="56">
        <f>IFERROR(_xlfn.XLOOKUP(SALIDAS[[#This Row],[CODIGO]],LISTADO[CODIGOS],LISTADO[PRODUCTOS]),"NO EXISTE")</f>
        <v/>
      </c>
      <c r="E1520" s="19" t="n">
        <v>46159</v>
      </c>
      <c r="F1520" s="18" t="n">
        <v>1</v>
      </c>
      <c r="G1520" s="18" t="inlineStr">
        <is>
          <t>TURMERO</t>
        </is>
      </c>
    </row>
    <row r="1521">
      <c r="B1521" s="56" t="inlineStr">
        <is>
          <t>00108-HER</t>
        </is>
      </c>
      <c r="C1521" s="56">
        <f>IFERROR(_xlfn.XLOOKUP(SALIDAS[[#This Row],[CODIGO]],LISTADO[CODIGOS],LISTADO[CATEGORIA]),"NO EXISTE")</f>
        <v/>
      </c>
      <c r="D1521" s="56">
        <f>IFERROR(_xlfn.XLOOKUP(SALIDAS[[#This Row],[CODIGO]],LISTADO[CODIGOS],LISTADO[PRODUCTOS]),"NO EXISTE")</f>
        <v/>
      </c>
      <c r="E1521" s="19" t="n">
        <v>46159</v>
      </c>
      <c r="F1521" s="18" t="n">
        <v>1</v>
      </c>
      <c r="G1521" s="18" t="inlineStr">
        <is>
          <t>TURMERO</t>
        </is>
      </c>
    </row>
    <row r="1522">
      <c r="B1522" s="18" t="inlineStr">
        <is>
          <t>00003-MSC</t>
        </is>
      </c>
      <c r="C1522" s="56">
        <f>IFERROR(_xlfn.XLOOKUP(SALIDAS[[#This Row],[CODIGO]],LISTADO[CODIGOS],LISTADO[CATEGORIA]),"NO EXISTE")</f>
        <v/>
      </c>
      <c r="D1522" s="56">
        <f>IFERROR(_xlfn.XLOOKUP(SALIDAS[[#This Row],[CODIGO]],LISTADO[CODIGOS],LISTADO[PRODUCTOS]),"NO EXISTE")</f>
        <v/>
      </c>
      <c r="E1522" s="19" t="n">
        <v>46159</v>
      </c>
      <c r="F1522" s="18" t="n">
        <v>1</v>
      </c>
      <c r="G1522" s="18" t="inlineStr">
        <is>
          <t>TURMERO</t>
        </is>
      </c>
    </row>
    <row r="1523">
      <c r="B1523" s="56" t="inlineStr">
        <is>
          <t>00009-ELE</t>
        </is>
      </c>
      <c r="C1523" s="56">
        <f>IFERROR(_xlfn.XLOOKUP(SALIDAS[[#This Row],[CODIGO]],LISTADO[CODIGOS],LISTADO[CATEGORIA]),"NO EXISTE")</f>
        <v/>
      </c>
      <c r="D1523" s="56">
        <f>IFERROR(_xlfn.XLOOKUP(SALIDAS[[#This Row],[CODIGO]],LISTADO[CODIGOS],LISTADO[PRODUCTOS]),"NO EXISTE")</f>
        <v/>
      </c>
      <c r="E1523" s="19" t="n">
        <v>46159</v>
      </c>
      <c r="F1523" s="18" t="n">
        <v>15</v>
      </c>
      <c r="G1523" s="18" t="inlineStr">
        <is>
          <t>TURMERO</t>
        </is>
      </c>
    </row>
    <row r="1524">
      <c r="B1524" s="56" t="inlineStr">
        <is>
          <t>00005-ELE</t>
        </is>
      </c>
      <c r="C1524" s="56">
        <f>IFERROR(_xlfn.XLOOKUP(SALIDAS[[#This Row],[CODIGO]],LISTADO[CODIGOS],LISTADO[CATEGORIA]),"NO EXISTE")</f>
        <v/>
      </c>
      <c r="D1524" s="56">
        <f>IFERROR(_xlfn.XLOOKUP(SALIDAS[[#This Row],[CODIGO]],LISTADO[CODIGOS],LISTADO[PRODUCTOS]),"NO EXISTE")</f>
        <v/>
      </c>
      <c r="E1524" s="19" t="n">
        <v>46159</v>
      </c>
      <c r="F1524" s="18" t="n">
        <v>23</v>
      </c>
      <c r="G1524" s="18" t="inlineStr">
        <is>
          <t>TURMERO</t>
        </is>
      </c>
    </row>
    <row r="1525">
      <c r="B1525" s="56" t="inlineStr">
        <is>
          <t>00112-ELE</t>
        </is>
      </c>
      <c r="C1525" s="56">
        <f>IFERROR(_xlfn.XLOOKUP(SALIDAS[[#This Row],[CODIGO]],LISTADO[CODIGOS],LISTADO[CATEGORIA]),"NO EXISTE")</f>
        <v/>
      </c>
      <c r="D1525" s="56">
        <f>IFERROR(_xlfn.XLOOKUP(SALIDAS[[#This Row],[CODIGO]],LISTADO[CODIGOS],LISTADO[PRODUCTOS]),"NO EXISTE")</f>
        <v/>
      </c>
      <c r="E1525" s="19" t="n">
        <v>46159</v>
      </c>
      <c r="F1525" s="18" t="n">
        <v>3</v>
      </c>
      <c r="G1525" s="18" t="inlineStr">
        <is>
          <t>TURMERO</t>
        </is>
      </c>
    </row>
    <row r="1526">
      <c r="B1526" s="56" t="inlineStr">
        <is>
          <t>00006-ELE</t>
        </is>
      </c>
      <c r="C1526" s="56">
        <f>IFERROR(_xlfn.XLOOKUP(SALIDAS[[#This Row],[CODIGO]],LISTADO[CODIGOS],LISTADO[CATEGORIA]),"NO EXISTE")</f>
        <v/>
      </c>
      <c r="D1526" s="56">
        <f>IFERROR(_xlfn.XLOOKUP(SALIDAS[[#This Row],[CODIGO]],LISTADO[CODIGOS],LISTADO[PRODUCTOS]),"NO EXISTE")</f>
        <v/>
      </c>
      <c r="E1526" s="19" t="n">
        <v>46159</v>
      </c>
      <c r="F1526" s="18" t="n">
        <v>3</v>
      </c>
      <c r="G1526" s="18" t="inlineStr">
        <is>
          <t>TURMERO</t>
        </is>
      </c>
    </row>
    <row r="1527">
      <c r="B1527" s="18" t="inlineStr">
        <is>
          <t>00003-MSC</t>
        </is>
      </c>
      <c r="C1527" s="56">
        <f>IFERROR(_xlfn.XLOOKUP(SALIDAS[[#This Row],[CODIGO]],LISTADO[CODIGOS],LISTADO[CATEGORIA]),"NO EXISTE")</f>
        <v/>
      </c>
      <c r="D1527" s="56">
        <f>IFERROR(_xlfn.XLOOKUP(SALIDAS[[#This Row],[CODIGO]],LISTADO[CODIGOS],LISTADO[PRODUCTOS]),"NO EXISTE")</f>
        <v/>
      </c>
      <c r="E1527" s="19" t="n">
        <v>46159</v>
      </c>
      <c r="F1527" s="18" t="n">
        <v>1</v>
      </c>
      <c r="G1527" s="18" t="inlineStr">
        <is>
          <t>TURMERO</t>
        </is>
      </c>
    </row>
    <row r="1528">
      <c r="B1528" s="18" t="inlineStr">
        <is>
          <t>00022-LIM</t>
        </is>
      </c>
      <c r="C1528" s="56">
        <f>IFERROR(_xlfn.XLOOKUP(SALIDAS[[#This Row],[CODIGO]],LISTADO[CODIGOS],LISTADO[CATEGORIA]),"NO EXISTE")</f>
        <v/>
      </c>
      <c r="D1528" s="56">
        <f>IFERROR(_xlfn.XLOOKUP(SALIDAS[[#This Row],[CODIGO]],LISTADO[CODIGOS],LISTADO[PRODUCTOS]),"NO EXISTE")</f>
        <v/>
      </c>
      <c r="E1528" s="19" t="n">
        <v>46159</v>
      </c>
      <c r="F1528" s="18" t="n">
        <v>11</v>
      </c>
      <c r="G1528" s="18" t="inlineStr">
        <is>
          <t>TURMERO</t>
        </is>
      </c>
    </row>
    <row r="1529">
      <c r="B1529" s="18" t="inlineStr">
        <is>
          <t>00023-LIM</t>
        </is>
      </c>
      <c r="C1529" s="56">
        <f>IFERROR(_xlfn.XLOOKUP(SALIDAS[[#This Row],[CODIGO]],LISTADO[CODIGOS],LISTADO[CATEGORIA]),"NO EXISTE")</f>
        <v/>
      </c>
      <c r="D1529" s="56">
        <f>IFERROR(_xlfn.XLOOKUP(SALIDAS[[#This Row],[CODIGO]],LISTADO[CODIGOS],LISTADO[PRODUCTOS]),"NO EXISTE")</f>
        <v/>
      </c>
      <c r="E1529" s="19" t="n">
        <v>46159</v>
      </c>
      <c r="F1529" s="18" t="n">
        <v>2</v>
      </c>
      <c r="G1529" s="18" t="inlineStr">
        <is>
          <t>TURMERO</t>
        </is>
      </c>
    </row>
    <row r="1530">
      <c r="B1530" s="18" t="inlineStr">
        <is>
          <t>00032-LIM</t>
        </is>
      </c>
      <c r="C1530" s="56">
        <f>IFERROR(_xlfn.XLOOKUP(SALIDAS[[#This Row],[CODIGO]],LISTADO[CODIGOS],LISTADO[CATEGORIA]),"NO EXISTE")</f>
        <v/>
      </c>
      <c r="D1530" s="56">
        <f>IFERROR(_xlfn.XLOOKUP(SALIDAS[[#This Row],[CODIGO]],LISTADO[CODIGOS],LISTADO[PRODUCTOS]),"NO EXISTE")</f>
        <v/>
      </c>
      <c r="E1530" s="19" t="n">
        <v>46159</v>
      </c>
      <c r="F1530" s="18" t="n">
        <v>2</v>
      </c>
      <c r="G1530" s="18" t="inlineStr">
        <is>
          <t>TURMERO</t>
        </is>
      </c>
    </row>
    <row r="1531">
      <c r="B1531" s="18" t="inlineStr">
        <is>
          <t>00020-MSC</t>
        </is>
      </c>
      <c r="C1531" s="56">
        <f>IFERROR(_xlfn.XLOOKUP(SALIDAS[[#This Row],[CODIGO]],LISTADO[CODIGOS],LISTADO[CATEGORIA]),"NO EXISTE")</f>
        <v/>
      </c>
      <c r="D1531" s="56">
        <f>IFERROR(_xlfn.XLOOKUP(SALIDAS[[#This Row],[CODIGO]],LISTADO[CODIGOS],LISTADO[PRODUCTOS]),"NO EXISTE")</f>
        <v/>
      </c>
      <c r="E1531" s="19" t="n">
        <v>46159</v>
      </c>
      <c r="F1531" s="18" t="n">
        <v>2</v>
      </c>
      <c r="G1531" s="18" t="inlineStr">
        <is>
          <t>TURMERO</t>
        </is>
      </c>
    </row>
    <row r="1532">
      <c r="B1532" s="56" t="inlineStr">
        <is>
          <t>00001-LIM</t>
        </is>
      </c>
      <c r="C1532" s="56">
        <f>IFERROR(_xlfn.XLOOKUP(SALIDAS[[#This Row],[CODIGO]],LISTADO[CODIGOS],LISTADO[CATEGORIA]),"NO EXISTE")</f>
        <v/>
      </c>
      <c r="D1532" s="56">
        <f>IFERROR(_xlfn.XLOOKUP(SALIDAS[[#This Row],[CODIGO]],LISTADO[CODIGOS],LISTADO[PRODUCTOS]),"NO EXISTE")</f>
        <v/>
      </c>
      <c r="E1532" s="19" t="n">
        <v>46159</v>
      </c>
      <c r="F1532" s="18" t="n">
        <v>4</v>
      </c>
      <c r="G1532" s="18" t="inlineStr">
        <is>
          <t>TURMERO</t>
        </is>
      </c>
    </row>
    <row r="1533">
      <c r="B1533" s="56" t="inlineStr">
        <is>
          <t>00004-LIM</t>
        </is>
      </c>
      <c r="C1533" s="56">
        <f>IFERROR(_xlfn.XLOOKUP(SALIDAS[[#This Row],[CODIGO]],LISTADO[CODIGOS],LISTADO[CATEGORIA]),"NO EXISTE")</f>
        <v/>
      </c>
      <c r="D1533" s="56">
        <f>IFERROR(_xlfn.XLOOKUP(SALIDAS[[#This Row],[CODIGO]],LISTADO[CODIGOS],LISTADO[PRODUCTOS]),"NO EXISTE")</f>
        <v/>
      </c>
      <c r="E1533" s="19" t="n">
        <v>46159</v>
      </c>
      <c r="F1533" s="18" t="n">
        <v>4</v>
      </c>
      <c r="G1533" s="18" t="inlineStr">
        <is>
          <t>TURMERO</t>
        </is>
      </c>
    </row>
    <row r="1534">
      <c r="B1534" s="56" t="inlineStr">
        <is>
          <t>00003-LIM</t>
        </is>
      </c>
      <c r="C1534" s="56">
        <f>IFERROR(_xlfn.XLOOKUP(SALIDAS[[#This Row],[CODIGO]],LISTADO[CODIGOS],LISTADO[CATEGORIA]),"NO EXISTE")</f>
        <v/>
      </c>
      <c r="D1534" s="56">
        <f>IFERROR(_xlfn.XLOOKUP(SALIDAS[[#This Row],[CODIGO]],LISTADO[CODIGOS],LISTADO[PRODUCTOS]),"NO EXISTE")</f>
        <v/>
      </c>
      <c r="E1534" s="19" t="n">
        <v>46159</v>
      </c>
      <c r="F1534" s="18" t="n">
        <v>2</v>
      </c>
      <c r="G1534" s="18" t="inlineStr">
        <is>
          <t>TURMERO</t>
        </is>
      </c>
    </row>
    <row r="1535">
      <c r="B1535" s="56" t="inlineStr">
        <is>
          <t>00004-LIM</t>
        </is>
      </c>
      <c r="C1535" s="56">
        <f>IFERROR(_xlfn.XLOOKUP(SALIDAS[[#This Row],[CODIGO]],LISTADO[CODIGOS],LISTADO[CATEGORIA]),"NO EXISTE")</f>
        <v/>
      </c>
      <c r="D1535" s="56">
        <f>IFERROR(_xlfn.XLOOKUP(SALIDAS[[#This Row],[CODIGO]],LISTADO[CODIGOS],LISTADO[PRODUCTOS]),"NO EXISTE")</f>
        <v/>
      </c>
      <c r="E1535" s="19" t="n">
        <v>46159</v>
      </c>
      <c r="F1535" s="18" t="n">
        <v>2</v>
      </c>
      <c r="G1535" s="18" t="inlineStr">
        <is>
          <t>TURMERO</t>
        </is>
      </c>
    </row>
    <row r="1536">
      <c r="B1536" s="56" t="inlineStr">
        <is>
          <t>00005-LIM</t>
        </is>
      </c>
      <c r="C1536" s="56">
        <f>IFERROR(_xlfn.XLOOKUP(SALIDAS[[#This Row],[CODIGO]],LISTADO[CODIGOS],LISTADO[CATEGORIA]),"NO EXISTE")</f>
        <v/>
      </c>
      <c r="D1536" s="56">
        <f>IFERROR(_xlfn.XLOOKUP(SALIDAS[[#This Row],[CODIGO]],LISTADO[CODIGOS],LISTADO[PRODUCTOS]),"NO EXISTE")</f>
        <v/>
      </c>
      <c r="E1536" s="19" t="n">
        <v>46159</v>
      </c>
      <c r="F1536" s="18" t="n">
        <v>4</v>
      </c>
      <c r="G1536" s="18" t="inlineStr">
        <is>
          <t>TURMERO</t>
        </is>
      </c>
    </row>
    <row r="1537">
      <c r="B1537" s="56" t="inlineStr">
        <is>
          <t>00011-LIM</t>
        </is>
      </c>
      <c r="C1537" s="56">
        <f>IFERROR(_xlfn.XLOOKUP(SALIDAS[[#This Row],[CODIGO]],LISTADO[CODIGOS],LISTADO[CATEGORIA]),"NO EXISTE")</f>
        <v/>
      </c>
      <c r="D1537" s="56">
        <f>IFERROR(_xlfn.XLOOKUP(SALIDAS[[#This Row],[CODIGO]],LISTADO[CODIGOS],LISTADO[PRODUCTOS]),"NO EXISTE")</f>
        <v/>
      </c>
      <c r="E1537" s="19" t="n">
        <v>46159</v>
      </c>
      <c r="F1537" s="18" t="n">
        <v>2</v>
      </c>
      <c r="G1537" s="18" t="inlineStr">
        <is>
          <t>TURMERO</t>
        </is>
      </c>
    </row>
    <row r="1538">
      <c r="B1538" s="56" t="inlineStr">
        <is>
          <t>00006-LIM</t>
        </is>
      </c>
      <c r="C1538" s="56">
        <f>IFERROR(_xlfn.XLOOKUP(SALIDAS[[#This Row],[CODIGO]],LISTADO[CODIGOS],LISTADO[CATEGORIA]),"NO EXISTE")</f>
        <v/>
      </c>
      <c r="D1538" s="56">
        <f>IFERROR(_xlfn.XLOOKUP(SALIDAS[[#This Row],[CODIGO]],LISTADO[CODIGOS],LISTADO[PRODUCTOS]),"NO EXISTE")</f>
        <v/>
      </c>
      <c r="E1538" s="19" t="n">
        <v>46159</v>
      </c>
      <c r="F1538" s="18" t="n">
        <v>2</v>
      </c>
      <c r="G1538" s="18" t="inlineStr">
        <is>
          <t>TURMERO</t>
        </is>
      </c>
    </row>
    <row r="1539">
      <c r="B1539" s="56" t="inlineStr">
        <is>
          <t>00010-MSC</t>
        </is>
      </c>
      <c r="C1539" s="56">
        <f>IFERROR(_xlfn.XLOOKUP(SALIDAS[[#This Row],[CODIGO]],LISTADO[CODIGOS],LISTADO[CATEGORIA]),"NO EXISTE")</f>
        <v/>
      </c>
      <c r="D1539" s="56">
        <f>IFERROR(_xlfn.XLOOKUP(SALIDAS[[#This Row],[CODIGO]],LISTADO[CODIGOS],LISTADO[PRODUCTOS]),"NO EXISTE")</f>
        <v/>
      </c>
      <c r="E1539" s="19" t="n">
        <v>46159</v>
      </c>
      <c r="F1539" s="18" t="n">
        <v>1</v>
      </c>
      <c r="G1539" s="18" t="inlineStr">
        <is>
          <t>TURMERO</t>
        </is>
      </c>
    </row>
    <row r="1540">
      <c r="B1540" s="56" t="inlineStr">
        <is>
          <t>00015-MSC</t>
        </is>
      </c>
      <c r="C1540" s="56">
        <f>IFERROR(_xlfn.XLOOKUP(SALIDAS[[#This Row],[CODIGO]],LISTADO[CODIGOS],LISTADO[CATEGORIA]),"NO EXISTE")</f>
        <v/>
      </c>
      <c r="D1540" s="56">
        <f>IFERROR(_xlfn.XLOOKUP(SALIDAS[[#This Row],[CODIGO]],LISTADO[CODIGOS],LISTADO[PRODUCTOS]),"NO EXISTE")</f>
        <v/>
      </c>
      <c r="E1540" s="19" t="n">
        <v>46159</v>
      </c>
      <c r="F1540" s="18" t="n">
        <v>1</v>
      </c>
      <c r="G1540" s="18" t="inlineStr">
        <is>
          <t>TURMERO</t>
        </is>
      </c>
    </row>
    <row r="1541">
      <c r="B1541" s="56" t="inlineStr">
        <is>
          <t>00041-ILU</t>
        </is>
      </c>
      <c r="C1541" s="56">
        <f>IFERROR(_xlfn.XLOOKUP(SALIDAS[[#This Row],[CODIGO]],LISTADO[CODIGOS],LISTADO[CATEGORIA]),"NO EXISTE")</f>
        <v/>
      </c>
      <c r="D1541" s="56">
        <f>IFERROR(_xlfn.XLOOKUP(SALIDAS[[#This Row],[CODIGO]],LISTADO[CODIGOS],LISTADO[PRODUCTOS]),"NO EXISTE")</f>
        <v/>
      </c>
      <c r="E1541" s="19" t="n">
        <v>46161</v>
      </c>
      <c r="F1541" s="18" t="n">
        <v>6</v>
      </c>
      <c r="G1541" s="18" t="inlineStr">
        <is>
          <t>MAIQUETIA</t>
        </is>
      </c>
    </row>
    <row r="1542">
      <c r="B1542" s="56" t="inlineStr">
        <is>
          <t>00059-ILU</t>
        </is>
      </c>
      <c r="C1542" s="56">
        <f>IFERROR(_xlfn.XLOOKUP(SALIDAS[[#This Row],[CODIGO]],LISTADO[CODIGOS],LISTADO[CATEGORIA]),"NO EXISTE")</f>
        <v/>
      </c>
      <c r="D1542" s="56">
        <f>IFERROR(_xlfn.XLOOKUP(SALIDAS[[#This Row],[CODIGO]],LISTADO[CODIGOS],LISTADO[PRODUCTOS]),"NO EXISTE")</f>
        <v/>
      </c>
      <c r="E1542" s="19" t="n">
        <v>46161</v>
      </c>
      <c r="F1542" s="18" t="n">
        <v>2</v>
      </c>
      <c r="G1542" s="18" t="inlineStr">
        <is>
          <t>MAIQUETIA</t>
        </is>
      </c>
    </row>
    <row r="1543">
      <c r="B1543" s="56" t="inlineStr">
        <is>
          <t>00020-ILU</t>
        </is>
      </c>
      <c r="C1543" s="56">
        <f>IFERROR(_xlfn.XLOOKUP(SALIDAS[[#This Row],[CODIGO]],LISTADO[CODIGOS],LISTADO[CATEGORIA]),"NO EXISTE")</f>
        <v/>
      </c>
      <c r="D1543" s="56">
        <f>IFERROR(_xlfn.XLOOKUP(SALIDAS[[#This Row],[CODIGO]],LISTADO[CODIGOS],LISTADO[PRODUCTOS]),"NO EXISTE")</f>
        <v/>
      </c>
      <c r="E1543" s="19" t="n">
        <v>46161</v>
      </c>
      <c r="F1543" s="18" t="n">
        <v>20</v>
      </c>
      <c r="G1543" s="18" t="inlineStr">
        <is>
          <t>MAIQUETIA</t>
        </is>
      </c>
    </row>
    <row r="1544">
      <c r="B1544" s="18" t="inlineStr">
        <is>
          <t>00115-ELE</t>
        </is>
      </c>
      <c r="C1544" s="56">
        <f>IFERROR(_xlfn.XLOOKUP(SALIDAS[[#This Row],[CODIGO]],LISTADO[CODIGOS],LISTADO[CATEGORIA]),"NO EXISTE")</f>
        <v/>
      </c>
      <c r="D1544" s="56">
        <f>IFERROR(_xlfn.XLOOKUP(SALIDAS[[#This Row],[CODIGO]],LISTADO[CODIGOS],LISTADO[PRODUCTOS]),"NO EXISTE")</f>
        <v/>
      </c>
      <c r="E1544" s="19" t="n">
        <v>46161</v>
      </c>
      <c r="F1544" s="18" t="n">
        <v>10</v>
      </c>
      <c r="G1544" s="18" t="inlineStr">
        <is>
          <t>MAIQUETIA</t>
        </is>
      </c>
    </row>
    <row r="1545">
      <c r="B1545" s="18" t="inlineStr">
        <is>
          <t>00028-MSC</t>
        </is>
      </c>
      <c r="C1545" s="56">
        <f>IFERROR(_xlfn.XLOOKUP(SALIDAS[[#This Row],[CODIGO]],LISTADO[CODIGOS],LISTADO[CATEGORIA]),"NO EXISTE")</f>
        <v/>
      </c>
      <c r="D1545" s="56">
        <f>IFERROR(_xlfn.XLOOKUP(SALIDAS[[#This Row],[CODIGO]],LISTADO[CODIGOS],LISTADO[PRODUCTOS]),"NO EXISTE")</f>
        <v/>
      </c>
      <c r="E1545" s="19" t="n">
        <v>46161</v>
      </c>
      <c r="F1545" s="18" t="n">
        <v>2</v>
      </c>
      <c r="G1545" s="18" t="inlineStr">
        <is>
          <t>TURMERO</t>
        </is>
      </c>
    </row>
    <row r="1546">
      <c r="B1546" s="18" t="inlineStr">
        <is>
          <t>00029-MSC</t>
        </is>
      </c>
      <c r="C1546" s="56">
        <f>IFERROR(_xlfn.XLOOKUP(SALIDAS[[#This Row],[CODIGO]],LISTADO[CODIGOS],LISTADO[CATEGORIA]),"NO EXISTE")</f>
        <v/>
      </c>
      <c r="D1546" s="56">
        <f>IFERROR(_xlfn.XLOOKUP(SALIDAS[[#This Row],[CODIGO]],LISTADO[CODIGOS],LISTADO[PRODUCTOS]),"NO EXISTE")</f>
        <v/>
      </c>
      <c r="E1546" s="19" t="n">
        <v>46161</v>
      </c>
      <c r="F1546" s="18" t="n">
        <v>2</v>
      </c>
      <c r="G1546" s="18" t="inlineStr">
        <is>
          <t>TURMERO</t>
        </is>
      </c>
    </row>
    <row r="1547">
      <c r="B1547" s="56" t="inlineStr">
        <is>
          <t>00041-ELE</t>
        </is>
      </c>
      <c r="C1547" s="56">
        <f>IFERROR(_xlfn.XLOOKUP(SALIDAS[[#This Row],[CODIGO]],LISTADO[CODIGOS],LISTADO[CATEGORIA]),"NO EXISTE")</f>
        <v/>
      </c>
      <c r="D1547" s="56">
        <f>IFERROR(_xlfn.XLOOKUP(SALIDAS[[#This Row],[CODIGO]],LISTADO[CODIGOS],LISTADO[PRODUCTOS]),"NO EXISTE")</f>
        <v/>
      </c>
      <c r="E1547" s="19" t="n">
        <v>46161</v>
      </c>
      <c r="F1547" s="15" t="n">
        <v>30</v>
      </c>
      <c r="G1547" s="18" t="inlineStr">
        <is>
          <t>MAIQUETIA</t>
        </is>
      </c>
    </row>
    <row r="1548">
      <c r="B1548" s="18" t="inlineStr">
        <is>
          <t>00070-ELE</t>
        </is>
      </c>
      <c r="C1548" s="56">
        <f>IFERROR(_xlfn.XLOOKUP(SALIDAS[[#This Row],[CODIGO]],LISTADO[CODIGOS],LISTADO[CATEGORIA]),"NO EXISTE")</f>
        <v/>
      </c>
      <c r="D1548" s="56">
        <f>IFERROR(_xlfn.XLOOKUP(SALIDAS[[#This Row],[CODIGO]],LISTADO[CODIGOS],LISTADO[PRODUCTOS]),"NO EXISTE")</f>
        <v/>
      </c>
      <c r="E1548" s="19" t="n">
        <v>46161</v>
      </c>
      <c r="F1548" s="18" t="n">
        <v>30</v>
      </c>
      <c r="G1548" s="18" t="inlineStr">
        <is>
          <t>MAIQUETIA</t>
        </is>
      </c>
    </row>
    <row r="1549">
      <c r="B1549" s="56" t="inlineStr">
        <is>
          <t>00004-FER</t>
        </is>
      </c>
      <c r="C1549" s="56">
        <f>IFERROR(_xlfn.XLOOKUP(SALIDAS[[#This Row],[CODIGO]],LISTADO[CODIGOS],LISTADO[CATEGORIA]),"NO EXISTE")</f>
        <v/>
      </c>
      <c r="D1549" s="56">
        <f>IFERROR(_xlfn.XLOOKUP(SALIDAS[[#This Row],[CODIGO]],LISTADO[CODIGOS],LISTADO[PRODUCTOS]),"NO EXISTE")</f>
        <v/>
      </c>
      <c r="E1549" s="19" t="n">
        <v>46161</v>
      </c>
      <c r="F1549" s="15" t="n">
        <v>100</v>
      </c>
      <c r="G1549" s="18" t="inlineStr">
        <is>
          <t>MAIQUETIA</t>
        </is>
      </c>
    </row>
    <row r="1550">
      <c r="B1550" s="18" t="inlineStr">
        <is>
          <t>00101-HER</t>
        </is>
      </c>
      <c r="C1550" s="56">
        <f>IFERROR(_xlfn.XLOOKUP(SALIDAS[[#This Row],[CODIGO]],LISTADO[CODIGOS],LISTADO[CATEGORIA]),"NO EXISTE")</f>
        <v/>
      </c>
      <c r="D1550" s="56">
        <f>IFERROR(_xlfn.XLOOKUP(SALIDAS[[#This Row],[CODIGO]],LISTADO[CODIGOS],LISTADO[PRODUCTOS]),"NO EXISTE")</f>
        <v/>
      </c>
      <c r="E1550" s="19" t="n">
        <v>46161</v>
      </c>
      <c r="F1550" s="15" t="n">
        <v>5</v>
      </c>
      <c r="G1550" s="18" t="inlineStr">
        <is>
          <t>MAIQUETIA</t>
        </is>
      </c>
    </row>
    <row r="1551">
      <c r="B1551" s="18" t="inlineStr">
        <is>
          <t>00075-ELE</t>
        </is>
      </c>
      <c r="C1551" s="56">
        <f>IFERROR(_xlfn.XLOOKUP(SALIDAS[[#This Row],[CODIGO]],LISTADO[CODIGOS],LISTADO[CATEGORIA]),"NO EXISTE")</f>
        <v/>
      </c>
      <c r="D1551" s="56">
        <f>IFERROR(_xlfn.XLOOKUP(SALIDAS[[#This Row],[CODIGO]],LISTADO[CODIGOS],LISTADO[PRODUCTOS]),"NO EXISTE")</f>
        <v/>
      </c>
      <c r="E1551" s="19" t="n">
        <v>46161</v>
      </c>
      <c r="F1551" s="15" t="n">
        <v>100</v>
      </c>
      <c r="G1551" s="18" t="inlineStr">
        <is>
          <t>MAIQUETIA</t>
        </is>
      </c>
    </row>
    <row r="1552">
      <c r="B1552" s="56" t="inlineStr">
        <is>
          <t>00014-ELE</t>
        </is>
      </c>
      <c r="C1552" s="56">
        <f>IFERROR(_xlfn.XLOOKUP(SALIDAS[[#This Row],[CODIGO]],LISTADO[CODIGOS],LISTADO[CATEGORIA]),"NO EXISTE")</f>
        <v/>
      </c>
      <c r="D1552" s="56">
        <f>IFERROR(_xlfn.XLOOKUP(SALIDAS[[#This Row],[CODIGO]],LISTADO[CODIGOS],LISTADO[PRODUCTOS]),"NO EXISTE")</f>
        <v/>
      </c>
      <c r="E1552" s="19" t="n">
        <v>46161</v>
      </c>
      <c r="F1552" s="18" t="n">
        <v>1</v>
      </c>
      <c r="G1552" s="18" t="inlineStr">
        <is>
          <t>MAIQUETIA</t>
        </is>
      </c>
    </row>
    <row r="1553">
      <c r="B1553" s="18" t="inlineStr">
        <is>
          <t>00101-HER</t>
        </is>
      </c>
      <c r="C1553" s="56">
        <f>IFERROR(_xlfn.XLOOKUP(SALIDAS[[#This Row],[CODIGO]],LISTADO[CODIGOS],LISTADO[CATEGORIA]),"NO EXISTE")</f>
        <v/>
      </c>
      <c r="D1553" s="56">
        <f>IFERROR(_xlfn.XLOOKUP(SALIDAS[[#This Row],[CODIGO]],LISTADO[CODIGOS],LISTADO[PRODUCTOS]),"NO EXISTE")</f>
        <v/>
      </c>
      <c r="E1553" s="19" t="n">
        <v>46161</v>
      </c>
      <c r="F1553" s="18" t="n">
        <v>5</v>
      </c>
      <c r="G1553" s="18" t="inlineStr">
        <is>
          <t>MAIQUETIA</t>
        </is>
      </c>
    </row>
    <row r="1554">
      <c r="B1554" s="56" t="inlineStr">
        <is>
          <t>00001-ELE</t>
        </is>
      </c>
      <c r="C1554" s="56">
        <f>IFERROR(_xlfn.XLOOKUP(SALIDAS[[#This Row],[CODIGO]],LISTADO[CODIGOS],LISTADO[CATEGORIA]),"NO EXISTE")</f>
        <v/>
      </c>
      <c r="D1554" s="56">
        <f>IFERROR(_xlfn.XLOOKUP(SALIDAS[[#This Row],[CODIGO]],LISTADO[CODIGOS],LISTADO[PRODUCTOS]),"NO EXISTE")</f>
        <v/>
      </c>
      <c r="E1554" s="19" t="n">
        <v>46161</v>
      </c>
      <c r="F1554" s="18" t="n">
        <v>15</v>
      </c>
      <c r="G1554" s="18" t="inlineStr">
        <is>
          <t>MAIQUETIA</t>
        </is>
      </c>
    </row>
    <row r="1555">
      <c r="B1555" s="56" t="inlineStr">
        <is>
          <t>00115-FER</t>
        </is>
      </c>
      <c r="C1555" s="56">
        <f>IFERROR(_xlfn.XLOOKUP(SALIDAS[[#This Row],[CODIGO]],LISTADO[CODIGOS],LISTADO[CATEGORIA]),"NO EXISTE")</f>
        <v/>
      </c>
      <c r="D1555" s="56">
        <f>IFERROR(_xlfn.XLOOKUP(SALIDAS[[#This Row],[CODIGO]],LISTADO[CODIGOS],LISTADO[PRODUCTOS]),"NO EXISTE")</f>
        <v/>
      </c>
      <c r="E1555" s="19" t="n">
        <v>46161</v>
      </c>
      <c r="F1555" s="18" t="n">
        <v>100</v>
      </c>
      <c r="G1555" s="18" t="inlineStr">
        <is>
          <t>MAIQUETIA</t>
        </is>
      </c>
    </row>
    <row r="1556">
      <c r="B1556" s="56" t="inlineStr">
        <is>
          <t>00041-ELE</t>
        </is>
      </c>
      <c r="C1556" s="56">
        <f>IFERROR(_xlfn.XLOOKUP(SALIDAS[[#This Row],[CODIGO]],LISTADO[CODIGOS],LISTADO[CATEGORIA]),"NO EXISTE")</f>
        <v/>
      </c>
      <c r="D1556" s="56">
        <f>IFERROR(_xlfn.XLOOKUP(SALIDAS[[#This Row],[CODIGO]],LISTADO[CODIGOS],LISTADO[PRODUCTOS]),"NO EXISTE")</f>
        <v/>
      </c>
      <c r="E1556" s="19" t="n">
        <v>46161</v>
      </c>
      <c r="F1556" s="18" t="n">
        <v>68</v>
      </c>
      <c r="G1556" s="18" t="inlineStr">
        <is>
          <t>MAIQUETIA</t>
        </is>
      </c>
    </row>
    <row r="1557">
      <c r="B1557" s="56" t="inlineStr">
        <is>
          <t>00047-ELE</t>
        </is>
      </c>
      <c r="C1557" s="56">
        <f>IFERROR(_xlfn.XLOOKUP(SALIDAS[[#This Row],[CODIGO]],LISTADO[CODIGOS],LISTADO[CATEGORIA]),"NO EXISTE")</f>
        <v/>
      </c>
      <c r="D1557" s="56">
        <f>IFERROR(_xlfn.XLOOKUP(SALIDAS[[#This Row],[CODIGO]],LISTADO[CODIGOS],LISTADO[PRODUCTOS]),"NO EXISTE")</f>
        <v/>
      </c>
      <c r="E1557" s="19" t="n">
        <v>46161</v>
      </c>
      <c r="F1557" s="18" t="n">
        <v>30</v>
      </c>
      <c r="G1557" s="18" t="inlineStr">
        <is>
          <t>MAIQUETIA</t>
        </is>
      </c>
    </row>
    <row r="1558">
      <c r="B1558" s="18" t="inlineStr">
        <is>
          <t>00070-ELE</t>
        </is>
      </c>
      <c r="C1558" s="56">
        <f>IFERROR(_xlfn.XLOOKUP(SALIDAS[[#This Row],[CODIGO]],LISTADO[CODIGOS],LISTADO[CATEGORIA]),"NO EXISTE")</f>
        <v/>
      </c>
      <c r="D1558" s="56">
        <f>IFERROR(_xlfn.XLOOKUP(SALIDAS[[#This Row],[CODIGO]],LISTADO[CODIGOS],LISTADO[PRODUCTOS]),"NO EXISTE")</f>
        <v/>
      </c>
      <c r="E1558" s="19" t="n">
        <v>46161</v>
      </c>
      <c r="F1558" s="18" t="n">
        <v>30</v>
      </c>
      <c r="G1558" s="18" t="inlineStr">
        <is>
          <t>MAIQUETIA</t>
        </is>
      </c>
    </row>
    <row r="1559">
      <c r="B1559" s="18" t="inlineStr">
        <is>
          <t>00115-ELE</t>
        </is>
      </c>
      <c r="C1559" s="56">
        <f>IFERROR(_xlfn.XLOOKUP(SALIDAS[[#This Row],[CODIGO]],LISTADO[CODIGOS],LISTADO[CATEGORIA]),"NO EXISTE")</f>
        <v/>
      </c>
      <c r="D1559" s="56">
        <f>IFERROR(_xlfn.XLOOKUP(SALIDAS[[#This Row],[CODIGO]],LISTADO[CODIGOS],LISTADO[PRODUCTOS]),"NO EXISTE")</f>
        <v/>
      </c>
      <c r="E1559" s="19" t="n">
        <v>46161</v>
      </c>
      <c r="F1559" s="18" t="n">
        <v>10</v>
      </c>
      <c r="G1559" s="18" t="inlineStr">
        <is>
          <t>MAIQUETIA</t>
        </is>
      </c>
    </row>
    <row r="1560">
      <c r="B1560" s="56" t="inlineStr">
        <is>
          <t>00035-ILU</t>
        </is>
      </c>
      <c r="C1560" s="56">
        <f>IFERROR(_xlfn.XLOOKUP(SALIDAS[[#This Row],[CODIGO]],LISTADO[CODIGOS],LISTADO[CATEGORIA]),"NO EXISTE")</f>
        <v/>
      </c>
      <c r="D1560" s="56">
        <f>IFERROR(_xlfn.XLOOKUP(SALIDAS[[#This Row],[CODIGO]],LISTADO[CODIGOS],LISTADO[PRODUCTOS]),"NO EXISTE")</f>
        <v/>
      </c>
      <c r="E1560" s="19" t="n">
        <v>46161</v>
      </c>
      <c r="F1560" s="18" t="n">
        <v>22</v>
      </c>
      <c r="G1560" s="18" t="inlineStr">
        <is>
          <t>MAIQUETIA</t>
        </is>
      </c>
    </row>
    <row r="1561">
      <c r="B1561" s="56" t="inlineStr">
        <is>
          <t>00033-ILU</t>
        </is>
      </c>
      <c r="C1561" s="56">
        <f>IFERROR(_xlfn.XLOOKUP(SALIDAS[[#This Row],[CODIGO]],LISTADO[CODIGOS],LISTADO[CATEGORIA]),"NO EXISTE")</f>
        <v/>
      </c>
      <c r="D1561" s="56">
        <f>IFERROR(_xlfn.XLOOKUP(SALIDAS[[#This Row],[CODIGO]],LISTADO[CODIGOS],LISTADO[PRODUCTOS]),"NO EXISTE")</f>
        <v/>
      </c>
      <c r="E1561" s="19" t="n">
        <v>46161</v>
      </c>
      <c r="F1561" s="18" t="n">
        <v>35</v>
      </c>
      <c r="G1561" s="18" t="inlineStr">
        <is>
          <t>MAIQUETIA</t>
        </is>
      </c>
    </row>
    <row r="1562">
      <c r="B1562" s="56" t="inlineStr">
        <is>
          <t>00033-FER</t>
        </is>
      </c>
      <c r="C1562" s="56">
        <f>IFERROR(_xlfn.XLOOKUP(SALIDAS[[#This Row],[CODIGO]],LISTADO[CODIGOS],LISTADO[CATEGORIA]),"NO EXISTE")</f>
        <v/>
      </c>
      <c r="D1562" s="56">
        <f>IFERROR(_xlfn.XLOOKUP(SALIDAS[[#This Row],[CODIGO]],LISTADO[CODIGOS],LISTADO[PRODUCTOS]),"NO EXISTE")</f>
        <v/>
      </c>
      <c r="E1562" s="19" t="n">
        <v>46161</v>
      </c>
      <c r="F1562" s="18" t="n">
        <v>15</v>
      </c>
      <c r="G1562" s="18" t="inlineStr">
        <is>
          <t>MAIQUETIA</t>
        </is>
      </c>
    </row>
    <row r="1563">
      <c r="B1563" s="56" t="inlineStr">
        <is>
          <t>00076-FER</t>
        </is>
      </c>
      <c r="C1563" s="56">
        <f>IFERROR(_xlfn.XLOOKUP(SALIDAS[[#This Row],[CODIGO]],LISTADO[CODIGOS],LISTADO[CATEGORIA]),"NO EXISTE")</f>
        <v/>
      </c>
      <c r="D1563" s="56">
        <f>IFERROR(_xlfn.XLOOKUP(SALIDAS[[#This Row],[CODIGO]],LISTADO[CODIGOS],LISTADO[PRODUCTOS]),"NO EXISTE")</f>
        <v/>
      </c>
      <c r="E1563" s="19" t="n">
        <v>46161</v>
      </c>
      <c r="F1563" s="18" t="n">
        <v>100</v>
      </c>
      <c r="G1563" s="18" t="inlineStr">
        <is>
          <t>MAIQUETIA</t>
        </is>
      </c>
    </row>
    <row r="1564">
      <c r="B1564" s="18" t="inlineStr">
        <is>
          <t>00241-FER</t>
        </is>
      </c>
      <c r="C1564" s="56">
        <f>IFERROR(_xlfn.XLOOKUP(SALIDAS[[#This Row],[CODIGO]],LISTADO[CODIGOS],LISTADO[CATEGORIA]),"NO EXISTE")</f>
        <v/>
      </c>
      <c r="D1564" s="56">
        <f>IFERROR(_xlfn.XLOOKUP(SALIDAS[[#This Row],[CODIGO]],LISTADO[CODIGOS],LISTADO[PRODUCTOS]),"NO EXISTE")</f>
        <v/>
      </c>
      <c r="E1564" s="19" t="n">
        <v>46162</v>
      </c>
      <c r="F1564" s="18" t="n">
        <v>2</v>
      </c>
      <c r="G1564" s="18" t="inlineStr">
        <is>
          <t>TURMERO</t>
        </is>
      </c>
    </row>
    <row r="1565">
      <c r="B1565" s="18" t="inlineStr">
        <is>
          <t>00133-HER</t>
        </is>
      </c>
      <c r="C1565" s="56">
        <f>IFERROR(_xlfn.XLOOKUP(SALIDAS[[#This Row],[CODIGO]],LISTADO[CODIGOS],LISTADO[CATEGORIA]),"NO EXISTE")</f>
        <v/>
      </c>
      <c r="D1565" s="56">
        <f>IFERROR(_xlfn.XLOOKUP(SALIDAS[[#This Row],[CODIGO]],LISTADO[CODIGOS],LISTADO[PRODUCTOS]),"NO EXISTE")</f>
        <v/>
      </c>
      <c r="E1565" s="19" t="n">
        <v>46162</v>
      </c>
      <c r="F1565" s="18" t="n">
        <v>1</v>
      </c>
      <c r="G1565" s="18" t="inlineStr">
        <is>
          <t>TURMERO</t>
        </is>
      </c>
    </row>
    <row r="1566">
      <c r="B1566" s="18" t="inlineStr">
        <is>
          <t>00074-ELE</t>
        </is>
      </c>
      <c r="C1566" s="56">
        <f>IFERROR(_xlfn.XLOOKUP(SALIDAS[[#This Row],[CODIGO]],LISTADO[CODIGOS],LISTADO[CATEGORIA]),"NO EXISTE")</f>
        <v/>
      </c>
      <c r="D1566" s="56">
        <f>IFERROR(_xlfn.XLOOKUP(SALIDAS[[#This Row],[CODIGO]],LISTADO[CODIGOS],LISTADO[PRODUCTOS]),"NO EXISTE")</f>
        <v/>
      </c>
      <c r="E1566" s="19" t="n">
        <v>46162</v>
      </c>
      <c r="F1566" s="18" t="n">
        <v>10</v>
      </c>
      <c r="G1566" s="18" t="inlineStr">
        <is>
          <t>MAIQUETIA</t>
        </is>
      </c>
    </row>
    <row r="1567">
      <c r="B1567" s="18" t="inlineStr">
        <is>
          <t>00060-ILU</t>
        </is>
      </c>
      <c r="C1567" s="56">
        <f>IFERROR(_xlfn.XLOOKUP(SALIDAS[[#This Row],[CODIGO]],LISTADO[CODIGOS],LISTADO[CATEGORIA]),"NO EXISTE")</f>
        <v/>
      </c>
      <c r="D1567" s="56">
        <f>IFERROR(_xlfn.XLOOKUP(SALIDAS[[#This Row],[CODIGO]],LISTADO[CODIGOS],LISTADO[PRODUCTOS]),"NO EXISTE")</f>
        <v/>
      </c>
      <c r="E1567" s="19" t="n">
        <v>46162</v>
      </c>
      <c r="F1567" s="18" t="n">
        <v>1</v>
      </c>
      <c r="G1567" s="18" t="inlineStr">
        <is>
          <t>MAIQUETIA</t>
        </is>
      </c>
    </row>
    <row r="1568">
      <c r="B1568" s="18" t="inlineStr">
        <is>
          <t>00116-ELE</t>
        </is>
      </c>
      <c r="C1568" s="56">
        <f>IFERROR(_xlfn.XLOOKUP(SALIDAS[[#This Row],[CODIGO]],LISTADO[CODIGOS],LISTADO[CATEGORIA]),"NO EXISTE")</f>
        <v/>
      </c>
      <c r="D1568" s="56">
        <f>IFERROR(_xlfn.XLOOKUP(SALIDAS[[#This Row],[CODIGO]],LISTADO[CODIGOS],LISTADO[PRODUCTOS]),"NO EXISTE")</f>
        <v/>
      </c>
      <c r="E1568" s="19" t="n">
        <v>46162</v>
      </c>
      <c r="F1568" s="18" t="n">
        <v>4</v>
      </c>
      <c r="G1568" s="18" t="inlineStr">
        <is>
          <t>MAIQUETIA</t>
        </is>
      </c>
    </row>
    <row r="1569">
      <c r="B1569" s="18" t="inlineStr">
        <is>
          <t>00077-ELE</t>
        </is>
      </c>
      <c r="C1569" s="56">
        <f>IFERROR(_xlfn.XLOOKUP(SALIDAS[[#This Row],[CODIGO]],LISTADO[CODIGOS],LISTADO[CATEGORIA]),"NO EXISTE")</f>
        <v/>
      </c>
      <c r="D1569" s="56">
        <f>IFERROR(_xlfn.XLOOKUP(SALIDAS[[#This Row],[CODIGO]],LISTADO[CODIGOS],LISTADO[PRODUCTOS]),"NO EXISTE")</f>
        <v/>
      </c>
      <c r="E1569" s="19" t="n">
        <v>46162</v>
      </c>
      <c r="F1569" s="15" t="n">
        <v>4</v>
      </c>
      <c r="G1569" s="18" t="inlineStr">
        <is>
          <t>MAIQUETIA</t>
        </is>
      </c>
    </row>
    <row r="1570">
      <c r="B1570" s="18" t="inlineStr">
        <is>
          <t>00074-ELE</t>
        </is>
      </c>
      <c r="C1570" s="56">
        <f>IFERROR(_xlfn.XLOOKUP(SALIDAS[[#This Row],[CODIGO]],LISTADO[CODIGOS],LISTADO[CATEGORIA]),"NO EXISTE")</f>
        <v/>
      </c>
      <c r="D1570" s="56">
        <f>IFERROR(_xlfn.XLOOKUP(SALIDAS[[#This Row],[CODIGO]],LISTADO[CODIGOS],LISTADO[PRODUCTOS]),"NO EXISTE")</f>
        <v/>
      </c>
      <c r="E1570" s="19" t="n">
        <v>46162</v>
      </c>
      <c r="F1570" s="18" t="n">
        <v>10</v>
      </c>
      <c r="G1570" s="18" t="inlineStr">
        <is>
          <t>MAIQUETIA</t>
        </is>
      </c>
    </row>
    <row r="1571">
      <c r="B1571" s="18" t="inlineStr">
        <is>
          <t>00116-ELE</t>
        </is>
      </c>
      <c r="C1571" s="56">
        <f>IFERROR(_xlfn.XLOOKUP(SALIDAS[[#This Row],[CODIGO]],LISTADO[CODIGOS],LISTADO[CATEGORIA]),"NO EXISTE")</f>
        <v/>
      </c>
      <c r="D1571" s="56">
        <f>IFERROR(_xlfn.XLOOKUP(SALIDAS[[#This Row],[CODIGO]],LISTADO[CODIGOS],LISTADO[PRODUCTOS]),"NO EXISTE")</f>
        <v/>
      </c>
      <c r="E1571" s="19" t="n">
        <v>46162</v>
      </c>
      <c r="F1571" s="18" t="n">
        <v>4</v>
      </c>
      <c r="G1571" s="18" t="inlineStr">
        <is>
          <t>MAIQUETIA</t>
        </is>
      </c>
    </row>
    <row r="1572">
      <c r="B1572" s="18" t="inlineStr">
        <is>
          <t>00060-ILU</t>
        </is>
      </c>
      <c r="C1572" s="56">
        <f>IFERROR(_xlfn.XLOOKUP(SALIDAS[[#This Row],[CODIGO]],LISTADO[CODIGOS],LISTADO[CATEGORIA]),"NO EXISTE")</f>
        <v/>
      </c>
      <c r="D1572" s="56">
        <f>IFERROR(_xlfn.XLOOKUP(SALIDAS[[#This Row],[CODIGO]],LISTADO[CODIGOS],LISTADO[PRODUCTOS]),"NO EXISTE")</f>
        <v/>
      </c>
      <c r="E1572" s="19" t="n">
        <v>46162</v>
      </c>
      <c r="F1572" s="18" t="n">
        <v>1</v>
      </c>
      <c r="G1572" s="18" t="inlineStr">
        <is>
          <t>MAIQUETIA</t>
        </is>
      </c>
    </row>
    <row r="1573">
      <c r="B1573" s="18" t="inlineStr">
        <is>
          <t>00170-REF</t>
        </is>
      </c>
      <c r="C1573" s="56">
        <f>IFERROR(_xlfn.XLOOKUP(SALIDAS[[#This Row],[CODIGO]],LISTADO[CODIGOS],LISTADO[CATEGORIA]),"NO EXISTE")</f>
        <v/>
      </c>
      <c r="D1573" s="56">
        <f>IFERROR(_xlfn.XLOOKUP(SALIDAS[[#This Row],[CODIGO]],LISTADO[CODIGOS],LISTADO[PRODUCTOS]),"NO EXISTE")</f>
        <v/>
      </c>
      <c r="E1573" s="19" t="n">
        <v>46162</v>
      </c>
      <c r="F1573" s="18" t="n">
        <v>1</v>
      </c>
      <c r="G1573" s="18" t="inlineStr">
        <is>
          <t>MAIQUETIA</t>
        </is>
      </c>
    </row>
    <row r="1574">
      <c r="B1574" s="18" t="inlineStr">
        <is>
          <t>00126-ELE</t>
        </is>
      </c>
      <c r="C1574" s="56">
        <f>IFERROR(_xlfn.XLOOKUP(SALIDAS[[#This Row],[CODIGO]],LISTADO[CODIGOS],LISTADO[CATEGORIA]),"NO EXISTE")</f>
        <v/>
      </c>
      <c r="D1574" s="56">
        <f>IFERROR(_xlfn.XLOOKUP(SALIDAS[[#This Row],[CODIGO]],LISTADO[CODIGOS],LISTADO[PRODUCTOS]),"NO EXISTE")</f>
        <v/>
      </c>
      <c r="E1574" s="19" t="n">
        <v>46162</v>
      </c>
      <c r="F1574" s="18" t="n">
        <v>1</v>
      </c>
      <c r="G1574" s="18" t="inlineStr">
        <is>
          <t>MAIQUETIA</t>
        </is>
      </c>
    </row>
    <row r="1575">
      <c r="B1575" s="18" t="inlineStr">
        <is>
          <t>00077-ELE</t>
        </is>
      </c>
      <c r="C1575" s="56">
        <f>IFERROR(_xlfn.XLOOKUP(SALIDAS[[#This Row],[CODIGO]],LISTADO[CODIGOS],LISTADO[CATEGORIA]),"NO EXISTE")</f>
        <v/>
      </c>
      <c r="D1575" s="56">
        <f>IFERROR(_xlfn.XLOOKUP(SALIDAS[[#This Row],[CODIGO]],LISTADO[CODIGOS],LISTADO[PRODUCTOS]),"NO EXISTE")</f>
        <v/>
      </c>
      <c r="E1575" s="19" t="n">
        <v>46162</v>
      </c>
      <c r="F1575" s="18" t="n">
        <v>4</v>
      </c>
      <c r="G1575" s="18" t="inlineStr">
        <is>
          <t>MAIQUETIA</t>
        </is>
      </c>
    </row>
    <row r="1576">
      <c r="B1576" s="18" t="inlineStr">
        <is>
          <t>00077-ELC</t>
        </is>
      </c>
      <c r="C1576" s="56">
        <f>IFERROR(_xlfn.XLOOKUP(SALIDAS[[#This Row],[CODIGO]],LISTADO[CODIGOS],LISTADO[CATEGORIA]),"NO EXISTE")</f>
        <v/>
      </c>
      <c r="D1576" s="56">
        <f>IFERROR(_xlfn.XLOOKUP(SALIDAS[[#This Row],[CODIGO]],LISTADO[CODIGOS],LISTADO[PRODUCTOS]),"NO EXISTE")</f>
        <v/>
      </c>
      <c r="E1576" s="19" t="n">
        <v>46163</v>
      </c>
      <c r="F1576" s="15" t="n">
        <v>1</v>
      </c>
      <c r="G1576" s="18" t="inlineStr">
        <is>
          <t>CEDI FRIO</t>
        </is>
      </c>
    </row>
    <row r="1577">
      <c r="B1577" s="18" t="inlineStr">
        <is>
          <t>00151-REF</t>
        </is>
      </c>
      <c r="C1577" s="56">
        <f>IFERROR(_xlfn.XLOOKUP(SALIDAS[[#This Row],[CODIGO]],LISTADO[CODIGOS],LISTADO[CATEGORIA]),"NO EXISTE")</f>
        <v/>
      </c>
      <c r="D1577" s="56">
        <f>IFERROR(_xlfn.XLOOKUP(SALIDAS[[#This Row],[CODIGO]],LISTADO[CODIGOS],LISTADO[PRODUCTOS]),"NO EXISTE")</f>
        <v/>
      </c>
      <c r="E1577" s="19" t="n">
        <v>46163</v>
      </c>
      <c r="F1577" s="15" t="n">
        <v>1</v>
      </c>
      <c r="G1577" s="18" t="inlineStr">
        <is>
          <t>CEDI FRUVER</t>
        </is>
      </c>
    </row>
    <row r="1578">
      <c r="B1578" s="18" t="inlineStr">
        <is>
          <t>00152-REF</t>
        </is>
      </c>
      <c r="C1578" s="56">
        <f>IFERROR(_xlfn.XLOOKUP(SALIDAS[[#This Row],[CODIGO]],LISTADO[CODIGOS],LISTADO[CATEGORIA]),"NO EXISTE")</f>
        <v/>
      </c>
      <c r="D1578" s="56">
        <f>IFERROR(_xlfn.XLOOKUP(SALIDAS[[#This Row],[CODIGO]],LISTADO[CODIGOS],LISTADO[PRODUCTOS]),"NO EXISTE")</f>
        <v/>
      </c>
      <c r="E1578" s="19" t="n">
        <v>46163</v>
      </c>
      <c r="F1578" s="15" t="n">
        <v>1</v>
      </c>
      <c r="G1578" s="18" t="inlineStr">
        <is>
          <t>CEDI FRUVER</t>
        </is>
      </c>
    </row>
    <row r="1579">
      <c r="B1579" s="18" t="inlineStr">
        <is>
          <t>00153-REF</t>
        </is>
      </c>
      <c r="C1579" s="56">
        <f>IFERROR(_xlfn.XLOOKUP(SALIDAS[[#This Row],[CODIGO]],LISTADO[CODIGOS],LISTADO[CATEGORIA]),"NO EXISTE")</f>
        <v/>
      </c>
      <c r="D1579" s="56">
        <f>IFERROR(_xlfn.XLOOKUP(SALIDAS[[#This Row],[CODIGO]],LISTADO[CODIGOS],LISTADO[PRODUCTOS]),"NO EXISTE")</f>
        <v/>
      </c>
      <c r="E1579" s="19" t="n">
        <v>46163</v>
      </c>
      <c r="F1579" s="18" t="n">
        <v>1</v>
      </c>
      <c r="G1579" s="18" t="inlineStr">
        <is>
          <t>CEDI FRUVER</t>
        </is>
      </c>
    </row>
    <row r="1580">
      <c r="B1580" s="18" t="inlineStr">
        <is>
          <t>00219-FER</t>
        </is>
      </c>
      <c r="C1580" s="56">
        <f>IFERROR(_xlfn.XLOOKUP(SALIDAS[[#This Row],[CODIGO]],LISTADO[CODIGOS],LISTADO[CATEGORIA]),"NO EXISTE")</f>
        <v/>
      </c>
      <c r="D1580" s="56">
        <f>IFERROR(_xlfn.XLOOKUP(SALIDAS[[#This Row],[CODIGO]],LISTADO[CODIGOS],LISTADO[PRODUCTOS]),"NO EXISTE")</f>
        <v/>
      </c>
      <c r="E1580" s="19" t="n">
        <v>46164</v>
      </c>
      <c r="F1580" s="18" t="n">
        <v>1</v>
      </c>
      <c r="G1580" s="18" t="inlineStr">
        <is>
          <t>SAN MARTIN (CARACAS)</t>
        </is>
      </c>
    </row>
    <row r="1581">
      <c r="B1581" s="18" t="inlineStr">
        <is>
          <t>00004-ELE</t>
        </is>
      </c>
      <c r="C1581" s="56">
        <f>IFERROR(_xlfn.XLOOKUP(SALIDAS[[#This Row],[CODIGO]],LISTADO[CODIGOS],LISTADO[CATEGORIA]),"NO EXISTE")</f>
        <v/>
      </c>
      <c r="D1581" s="56">
        <f>IFERROR(_xlfn.XLOOKUP(SALIDAS[[#This Row],[CODIGO]],LISTADO[CODIGOS],LISTADO[PRODUCTOS]),"NO EXISTE")</f>
        <v/>
      </c>
      <c r="E1581" s="19" t="n">
        <v>46164</v>
      </c>
      <c r="F1581" s="18" t="n">
        <v>10</v>
      </c>
      <c r="G1581" s="18" t="inlineStr">
        <is>
          <t>MAIQUETIA</t>
        </is>
      </c>
    </row>
    <row r="1582">
      <c r="B1582" s="56" t="inlineStr">
        <is>
          <t>00009-ELE</t>
        </is>
      </c>
      <c r="C1582" s="56">
        <f>IFERROR(_xlfn.XLOOKUP(SALIDAS[[#This Row],[CODIGO]],LISTADO[CODIGOS],LISTADO[CATEGORIA]),"NO EXISTE")</f>
        <v/>
      </c>
      <c r="D1582" s="56">
        <f>IFERROR(_xlfn.XLOOKUP(SALIDAS[[#This Row],[CODIGO]],LISTADO[CODIGOS],LISTADO[PRODUCTOS]),"NO EXISTE")</f>
        <v/>
      </c>
      <c r="E1582" s="19" t="n">
        <v>46164</v>
      </c>
      <c r="F1582" s="18" t="n">
        <v>10</v>
      </c>
      <c r="G1582" s="18" t="inlineStr">
        <is>
          <t>MAIQUETIA</t>
        </is>
      </c>
    </row>
    <row r="1583">
      <c r="B1583" s="18" t="inlineStr">
        <is>
          <t>00119-REF</t>
        </is>
      </c>
      <c r="C1583" s="56">
        <f>IFERROR(_xlfn.XLOOKUP(SALIDAS[[#This Row],[CODIGO]],LISTADO[CODIGOS],LISTADO[CATEGORIA]),"NO EXISTE")</f>
        <v/>
      </c>
      <c r="D1583" s="56">
        <f>IFERROR(_xlfn.XLOOKUP(SALIDAS[[#This Row],[CODIGO]],LISTADO[CODIGOS],LISTADO[PRODUCTOS]),"NO EXISTE")</f>
        <v/>
      </c>
      <c r="E1583" s="19" t="n">
        <v>46164</v>
      </c>
      <c r="F1583" s="18" t="n">
        <v>10</v>
      </c>
      <c r="G1583" s="18" t="inlineStr">
        <is>
          <t>MAIQUETIA</t>
        </is>
      </c>
    </row>
    <row r="1584">
      <c r="B1584" s="56" t="inlineStr">
        <is>
          <t>00010-REF</t>
        </is>
      </c>
      <c r="C1584" s="56">
        <f>IFERROR(_xlfn.XLOOKUP(SALIDAS[[#This Row],[CODIGO]],LISTADO[CODIGOS],LISTADO[CATEGORIA]),"NO EXISTE")</f>
        <v/>
      </c>
      <c r="D1584" s="56">
        <f>IFERROR(_xlfn.XLOOKUP(SALIDAS[[#This Row],[CODIGO]],LISTADO[CODIGOS],LISTADO[PRODUCTOS]),"NO EXISTE")</f>
        <v/>
      </c>
      <c r="E1584" s="19" t="n">
        <v>46164</v>
      </c>
      <c r="F1584" s="18" t="n">
        <v>8</v>
      </c>
      <c r="G1584" s="18" t="inlineStr">
        <is>
          <t>MAIQUETIA</t>
        </is>
      </c>
    </row>
    <row r="1585">
      <c r="B1585" s="18" t="inlineStr">
        <is>
          <t>00104-REF</t>
        </is>
      </c>
      <c r="C1585" s="56">
        <f>IFERROR(_xlfn.XLOOKUP(SALIDAS[[#This Row],[CODIGO]],LISTADO[CODIGOS],LISTADO[CATEGORIA]),"NO EXISTE")</f>
        <v/>
      </c>
      <c r="D1585" s="56">
        <f>IFERROR(_xlfn.XLOOKUP(SALIDAS[[#This Row],[CODIGO]],LISTADO[CODIGOS],LISTADO[PRODUCTOS]),"NO EXISTE")</f>
        <v/>
      </c>
      <c r="E1585" s="19" t="n">
        <v>46164</v>
      </c>
      <c r="F1585" s="18" t="n">
        <v>1</v>
      </c>
      <c r="G1585" s="18" t="inlineStr">
        <is>
          <t>MAIQUETIA</t>
        </is>
      </c>
    </row>
    <row r="1586">
      <c r="B1586" s="18" t="inlineStr">
        <is>
          <t>00161-REF</t>
        </is>
      </c>
      <c r="C1586" s="56">
        <f>IFERROR(_xlfn.XLOOKUP(SALIDAS[[#This Row],[CODIGO]],LISTADO[CODIGOS],LISTADO[CATEGORIA]),"NO EXISTE")</f>
        <v/>
      </c>
      <c r="D1586" s="56">
        <f>IFERROR(_xlfn.XLOOKUP(SALIDAS[[#This Row],[CODIGO]],LISTADO[CODIGOS],LISTADO[PRODUCTOS]),"NO EXISTE")</f>
        <v/>
      </c>
      <c r="E1586" s="19" t="n">
        <v>46164</v>
      </c>
      <c r="F1586" s="18" t="n">
        <v>1</v>
      </c>
      <c r="G1586" s="18" t="inlineStr">
        <is>
          <t>MAIQUETIA</t>
        </is>
      </c>
    </row>
    <row r="1587">
      <c r="B1587" s="18" t="inlineStr">
        <is>
          <t>00162-REF</t>
        </is>
      </c>
      <c r="C1587" s="56">
        <f>IFERROR(_xlfn.XLOOKUP(SALIDAS[[#This Row],[CODIGO]],LISTADO[CODIGOS],LISTADO[CATEGORIA]),"NO EXISTE")</f>
        <v/>
      </c>
      <c r="D1587" s="56">
        <f>IFERROR(_xlfn.XLOOKUP(SALIDAS[[#This Row],[CODIGO]],LISTADO[CODIGOS],LISTADO[PRODUCTOS]),"NO EXISTE")</f>
        <v/>
      </c>
      <c r="E1587" s="19" t="n">
        <v>46164</v>
      </c>
      <c r="F1587" s="18" t="n">
        <v>1</v>
      </c>
      <c r="G1587" s="18" t="inlineStr">
        <is>
          <t>MAIQUETIA</t>
        </is>
      </c>
    </row>
    <row r="1588">
      <c r="B1588" s="18" t="inlineStr">
        <is>
          <t>00162-REF</t>
        </is>
      </c>
      <c r="C1588" s="56">
        <f>IFERROR(_xlfn.XLOOKUP(SALIDAS[[#This Row],[CODIGO]],LISTADO[CODIGOS],LISTADO[CATEGORIA]),"NO EXISTE")</f>
        <v/>
      </c>
      <c r="D1588" s="56">
        <f>IFERROR(_xlfn.XLOOKUP(SALIDAS[[#This Row],[CODIGO]],LISTADO[CODIGOS],LISTADO[PRODUCTOS]),"NO EXISTE")</f>
        <v/>
      </c>
      <c r="E1588" s="19" t="n">
        <v>46164</v>
      </c>
      <c r="F1588" s="18" t="n">
        <v>1</v>
      </c>
      <c r="G1588" s="18" t="inlineStr">
        <is>
          <t>MAIQUETIA</t>
        </is>
      </c>
    </row>
    <row r="1589">
      <c r="B1589" s="18" t="inlineStr">
        <is>
          <t>00256-FER</t>
        </is>
      </c>
      <c r="C1589" s="56">
        <f>IFERROR(_xlfn.XLOOKUP(SALIDAS[[#This Row],[CODIGO]],LISTADO[CODIGOS],LISTADO[CATEGORIA]),"NO EXISTE")</f>
        <v/>
      </c>
      <c r="D1589" s="56">
        <f>IFERROR(_xlfn.XLOOKUP(SALIDAS[[#This Row],[CODIGO]],LISTADO[CODIGOS],LISTADO[PRODUCTOS]),"NO EXISTE")</f>
        <v/>
      </c>
      <c r="E1589" s="19" t="n">
        <v>46164</v>
      </c>
      <c r="F1589" s="18" t="n">
        <v>4</v>
      </c>
      <c r="G1589" s="18" t="inlineStr">
        <is>
          <t>MAIQUETIA</t>
        </is>
      </c>
    </row>
    <row r="1590">
      <c r="B1590" s="18" t="inlineStr">
        <is>
          <t>00099-REF</t>
        </is>
      </c>
      <c r="C1590" s="56">
        <f>IFERROR(_xlfn.XLOOKUP(SALIDAS[[#This Row],[CODIGO]],LISTADO[CODIGOS],LISTADO[CATEGORIA]),"NO EXISTE")</f>
        <v/>
      </c>
      <c r="D1590" s="56">
        <f>IFERROR(_xlfn.XLOOKUP(SALIDAS[[#This Row],[CODIGO]],LISTADO[CODIGOS],LISTADO[PRODUCTOS]),"NO EXISTE")</f>
        <v/>
      </c>
      <c r="E1590" s="19" t="n">
        <v>46164</v>
      </c>
      <c r="F1590" s="18" t="n">
        <v>1</v>
      </c>
      <c r="G1590" s="18" t="inlineStr">
        <is>
          <t>MAIQUETIA</t>
        </is>
      </c>
    </row>
    <row r="1591">
      <c r="B1591" s="56" t="inlineStr">
        <is>
          <t>00001-REF</t>
        </is>
      </c>
      <c r="C1591" s="56">
        <f>IFERROR(_xlfn.XLOOKUP(SALIDAS[[#This Row],[CODIGO]],LISTADO[CODIGOS],LISTADO[CATEGORIA]),"NO EXISTE")</f>
        <v/>
      </c>
      <c r="D1591" s="56">
        <f>IFERROR(_xlfn.XLOOKUP(SALIDAS[[#This Row],[CODIGO]],LISTADO[CODIGOS],LISTADO[PRODUCTOS]),"NO EXISTE")</f>
        <v/>
      </c>
      <c r="E1591" s="19" t="n">
        <v>46164</v>
      </c>
      <c r="F1591" s="18" t="n">
        <v>10</v>
      </c>
      <c r="G1591" s="18" t="inlineStr">
        <is>
          <t>MAIQUETIA</t>
        </is>
      </c>
    </row>
    <row r="1592">
      <c r="B1592" s="56" t="inlineStr">
        <is>
          <t>00035-REF</t>
        </is>
      </c>
      <c r="C1592" s="56">
        <f>IFERROR(_xlfn.XLOOKUP(SALIDAS[[#This Row],[CODIGO]],LISTADO[CODIGOS],LISTADO[CATEGORIA]),"NO EXISTE")</f>
        <v/>
      </c>
      <c r="D1592" s="56">
        <f>IFERROR(_xlfn.XLOOKUP(SALIDAS[[#This Row],[CODIGO]],LISTADO[CODIGOS],LISTADO[PRODUCTOS]),"NO EXISTE")</f>
        <v/>
      </c>
      <c r="E1592" s="19" t="n">
        <v>46164</v>
      </c>
      <c r="F1592" s="18" t="n">
        <v>12</v>
      </c>
      <c r="G1592" s="18" t="inlineStr">
        <is>
          <t>MAIQUETIA</t>
        </is>
      </c>
    </row>
    <row r="1593">
      <c r="B1593" s="56" t="inlineStr">
        <is>
          <t>00036-REF</t>
        </is>
      </c>
      <c r="C1593" s="56">
        <f>IFERROR(_xlfn.XLOOKUP(SALIDAS[[#This Row],[CODIGO]],LISTADO[CODIGOS],LISTADO[CATEGORIA]),"NO EXISTE")</f>
        <v/>
      </c>
      <c r="D1593" s="56">
        <f>IFERROR(_xlfn.XLOOKUP(SALIDAS[[#This Row],[CODIGO]],LISTADO[CODIGOS],LISTADO[PRODUCTOS]),"NO EXISTE")</f>
        <v/>
      </c>
      <c r="E1593" s="19" t="n">
        <v>46164</v>
      </c>
      <c r="F1593" s="18" t="n">
        <v>40</v>
      </c>
      <c r="G1593" s="18" t="inlineStr">
        <is>
          <t>MAIQUETIA</t>
        </is>
      </c>
    </row>
    <row r="1594">
      <c r="B1594" s="18" t="inlineStr">
        <is>
          <t>00124-REF</t>
        </is>
      </c>
      <c r="C1594" s="56">
        <f>IFERROR(_xlfn.XLOOKUP(SALIDAS[[#This Row],[CODIGO]],LISTADO[CODIGOS],LISTADO[CATEGORIA]),"NO EXISTE")</f>
        <v/>
      </c>
      <c r="D1594" s="56">
        <f>IFERROR(_xlfn.XLOOKUP(SALIDAS[[#This Row],[CODIGO]],LISTADO[CODIGOS],LISTADO[PRODUCTOS]),"NO EXISTE")</f>
        <v/>
      </c>
      <c r="E1594" s="19" t="n">
        <v>46164</v>
      </c>
      <c r="F1594" s="18" t="n">
        <v>60</v>
      </c>
      <c r="G1594" s="18" t="inlineStr">
        <is>
          <t>MAIQUETIA</t>
        </is>
      </c>
    </row>
    <row r="1595">
      <c r="B1595" s="18" t="inlineStr">
        <is>
          <t>00123-REF</t>
        </is>
      </c>
      <c r="C1595" s="56">
        <f>IFERROR(_xlfn.XLOOKUP(SALIDAS[[#This Row],[CODIGO]],LISTADO[CODIGOS],LISTADO[CATEGORIA]),"NO EXISTE")</f>
        <v/>
      </c>
      <c r="D1595" s="56">
        <f>IFERROR(_xlfn.XLOOKUP(SALIDAS[[#This Row],[CODIGO]],LISTADO[CODIGOS],LISTADO[PRODUCTOS]),"NO EXISTE")</f>
        <v/>
      </c>
      <c r="E1595" s="19" t="n">
        <v>46164</v>
      </c>
      <c r="F1595" s="18" t="n">
        <v>7</v>
      </c>
      <c r="G1595" s="18" t="inlineStr">
        <is>
          <t>MAIQUETIA</t>
        </is>
      </c>
    </row>
    <row r="1596">
      <c r="B1596" s="18" t="inlineStr">
        <is>
          <t>00163-REF</t>
        </is>
      </c>
      <c r="C1596" s="56">
        <f>IFERROR(_xlfn.XLOOKUP(SALIDAS[[#This Row],[CODIGO]],LISTADO[CODIGOS],LISTADO[CATEGORIA]),"NO EXISTE")</f>
        <v/>
      </c>
      <c r="D1596" s="56">
        <f>IFERROR(_xlfn.XLOOKUP(SALIDAS[[#This Row],[CODIGO]],LISTADO[CODIGOS],LISTADO[PRODUCTOS]),"NO EXISTE")</f>
        <v/>
      </c>
      <c r="E1596" s="19" t="n">
        <v>46164</v>
      </c>
      <c r="F1596" s="18" t="n">
        <v>7</v>
      </c>
      <c r="G1596" s="18" t="inlineStr">
        <is>
          <t>MAIQUETIA</t>
        </is>
      </c>
    </row>
    <row r="1597">
      <c r="B1597" s="56" t="inlineStr">
        <is>
          <t>00030-REF</t>
        </is>
      </c>
      <c r="C1597" s="56">
        <f>IFERROR(_xlfn.XLOOKUP(SALIDAS[[#This Row],[CODIGO]],LISTADO[CODIGOS],LISTADO[CATEGORIA]),"NO EXISTE")</f>
        <v/>
      </c>
      <c r="D1597" s="56">
        <f>IFERROR(_xlfn.XLOOKUP(SALIDAS[[#This Row],[CODIGO]],LISTADO[CODIGOS],LISTADO[PRODUCTOS]),"NO EXISTE")</f>
        <v/>
      </c>
      <c r="E1597" s="19" t="n">
        <v>46164</v>
      </c>
      <c r="F1597" s="18" t="n">
        <v>30</v>
      </c>
      <c r="G1597" s="18" t="inlineStr">
        <is>
          <t>MAIQUETIA</t>
        </is>
      </c>
    </row>
    <row r="1598">
      <c r="B1598" s="18" t="inlineStr">
        <is>
          <t>00164-REF</t>
        </is>
      </c>
      <c r="C1598" s="56">
        <f>IFERROR(_xlfn.XLOOKUP(SALIDAS[[#This Row],[CODIGO]],LISTADO[CODIGOS],LISTADO[CATEGORIA]),"NO EXISTE")</f>
        <v/>
      </c>
      <c r="D1598" s="56">
        <f>IFERROR(_xlfn.XLOOKUP(SALIDAS[[#This Row],[CODIGO]],LISTADO[CODIGOS],LISTADO[PRODUCTOS]),"NO EXISTE")</f>
        <v/>
      </c>
      <c r="E1598" s="19" t="n">
        <v>46164</v>
      </c>
      <c r="F1598" s="18" t="n">
        <v>15</v>
      </c>
      <c r="G1598" s="18" t="inlineStr">
        <is>
          <t>MAIQUETIA</t>
        </is>
      </c>
    </row>
    <row r="1599">
      <c r="B1599" s="56" t="inlineStr">
        <is>
          <t>00028-REF</t>
        </is>
      </c>
      <c r="C1599" s="56">
        <f>IFERROR(_xlfn.XLOOKUP(SALIDAS[[#This Row],[CODIGO]],LISTADO[CODIGOS],LISTADO[CATEGORIA]),"NO EXISTE")</f>
        <v/>
      </c>
      <c r="D1599" s="56">
        <f>IFERROR(_xlfn.XLOOKUP(SALIDAS[[#This Row],[CODIGO]],LISTADO[CODIGOS],LISTADO[PRODUCTOS]),"NO EXISTE")</f>
        <v/>
      </c>
      <c r="E1599" s="19" t="n">
        <v>46164</v>
      </c>
      <c r="F1599" s="18" t="n">
        <v>30</v>
      </c>
      <c r="G1599" s="18" t="inlineStr">
        <is>
          <t>MAIQUETIA</t>
        </is>
      </c>
    </row>
    <row r="1600">
      <c r="B1600" s="18" t="inlineStr">
        <is>
          <t>00165-REF</t>
        </is>
      </c>
      <c r="C1600" s="56">
        <f>IFERROR(_xlfn.XLOOKUP(SALIDAS[[#This Row],[CODIGO]],LISTADO[CODIGOS],LISTADO[CATEGORIA]),"NO EXISTE")</f>
        <v/>
      </c>
      <c r="D1600" s="56">
        <f>IFERROR(_xlfn.XLOOKUP(SALIDAS[[#This Row],[CODIGO]],LISTADO[CODIGOS],LISTADO[PRODUCTOS]),"NO EXISTE")</f>
        <v/>
      </c>
      <c r="E1600" s="19" t="n">
        <v>46164</v>
      </c>
      <c r="F1600" s="18" t="n">
        <v>15</v>
      </c>
      <c r="G1600" s="18" t="inlineStr">
        <is>
          <t>MAIQUETIA</t>
        </is>
      </c>
    </row>
    <row r="1601">
      <c r="B1601" s="18" t="inlineStr">
        <is>
          <t>00166-REF</t>
        </is>
      </c>
      <c r="C1601" s="56">
        <f>IFERROR(_xlfn.XLOOKUP(SALIDAS[[#This Row],[CODIGO]],LISTADO[CODIGOS],LISTADO[CATEGORIA]),"NO EXISTE")</f>
        <v/>
      </c>
      <c r="D1601" s="56">
        <f>IFERROR(_xlfn.XLOOKUP(SALIDAS[[#This Row],[CODIGO]],LISTADO[CODIGOS],LISTADO[PRODUCTOS]),"NO EXISTE")</f>
        <v/>
      </c>
      <c r="E1601" s="19" t="n">
        <v>46164</v>
      </c>
      <c r="F1601" s="18" t="n">
        <v>8</v>
      </c>
      <c r="G1601" s="18" t="inlineStr">
        <is>
          <t>MAIQUETIA</t>
        </is>
      </c>
    </row>
    <row r="1602">
      <c r="B1602" s="18" t="inlineStr">
        <is>
          <t>00167-REF</t>
        </is>
      </c>
      <c r="C1602" s="56">
        <f>IFERROR(_xlfn.XLOOKUP(SALIDAS[[#This Row],[CODIGO]],LISTADO[CODIGOS],LISTADO[CATEGORIA]),"NO EXISTE")</f>
        <v/>
      </c>
      <c r="D1602" s="56">
        <f>IFERROR(_xlfn.XLOOKUP(SALIDAS[[#This Row],[CODIGO]],LISTADO[CODIGOS],LISTADO[PRODUCTOS]),"NO EXISTE")</f>
        <v/>
      </c>
      <c r="E1602" s="19" t="n">
        <v>46164</v>
      </c>
      <c r="F1602" s="18" t="n">
        <v>4</v>
      </c>
      <c r="G1602" s="18" t="inlineStr">
        <is>
          <t>MAIQUETIA</t>
        </is>
      </c>
    </row>
    <row r="1603">
      <c r="B1603" s="18" t="inlineStr">
        <is>
          <t>00114-REF</t>
        </is>
      </c>
      <c r="C1603" s="56">
        <f>IFERROR(_xlfn.XLOOKUP(SALIDAS[[#This Row],[CODIGO]],LISTADO[CODIGOS],LISTADO[CATEGORIA]),"NO EXISTE")</f>
        <v/>
      </c>
      <c r="D1603" s="56">
        <f>IFERROR(_xlfn.XLOOKUP(SALIDAS[[#This Row],[CODIGO]],LISTADO[CODIGOS],LISTADO[PRODUCTOS]),"NO EXISTE")</f>
        <v/>
      </c>
      <c r="E1603" s="19" t="n">
        <v>46164</v>
      </c>
      <c r="F1603" s="18" t="n">
        <v>7</v>
      </c>
      <c r="G1603" s="18" t="inlineStr">
        <is>
          <t>MAIQUETIA</t>
        </is>
      </c>
    </row>
    <row r="1604">
      <c r="B1604" s="56" t="inlineStr">
        <is>
          <t>00003-ELE</t>
        </is>
      </c>
      <c r="C1604" s="56">
        <f>IFERROR(_xlfn.XLOOKUP(SALIDAS[[#This Row],[CODIGO]],LISTADO[CODIGOS],LISTADO[CATEGORIA]),"NO EXISTE")</f>
        <v/>
      </c>
      <c r="D1604" s="56">
        <f>IFERROR(_xlfn.XLOOKUP(SALIDAS[[#This Row],[CODIGO]],LISTADO[CODIGOS],LISTADO[PRODUCTOS]),"NO EXISTE")</f>
        <v/>
      </c>
      <c r="E1604" s="19" t="n">
        <v>46164</v>
      </c>
      <c r="F1604" s="18" t="n">
        <v>1</v>
      </c>
      <c r="G1604" s="18" t="inlineStr">
        <is>
          <t>MAIQUETIA</t>
        </is>
      </c>
    </row>
    <row r="1605">
      <c r="B1605" s="18" t="inlineStr">
        <is>
          <t>00152-REF</t>
        </is>
      </c>
      <c r="C1605" s="56">
        <f>IFERROR(_xlfn.XLOOKUP(SALIDAS[[#This Row],[CODIGO]],LISTADO[CODIGOS],LISTADO[CATEGORIA]),"NO EXISTE")</f>
        <v/>
      </c>
      <c r="D1605" s="56">
        <f>IFERROR(_xlfn.XLOOKUP(SALIDAS[[#This Row],[CODIGO]],LISTADO[CODIGOS],LISTADO[PRODUCTOS]),"NO EXISTE")</f>
        <v/>
      </c>
      <c r="E1605" s="19" t="n">
        <v>46164</v>
      </c>
      <c r="F1605" s="18" t="n">
        <v>2</v>
      </c>
      <c r="G1605" s="18" t="inlineStr">
        <is>
          <t>MAIQUETIA</t>
        </is>
      </c>
    </row>
    <row r="1606">
      <c r="B1606" s="18" t="inlineStr">
        <is>
          <t>00114-REF</t>
        </is>
      </c>
      <c r="C1606" s="56">
        <f>IFERROR(_xlfn.XLOOKUP(SALIDAS[[#This Row],[CODIGO]],LISTADO[CODIGOS],LISTADO[CATEGORIA]),"NO EXISTE")</f>
        <v/>
      </c>
      <c r="D1606" s="56">
        <f>IFERROR(_xlfn.XLOOKUP(SALIDAS[[#This Row],[CODIGO]],LISTADO[CODIGOS],LISTADO[PRODUCTOS]),"NO EXISTE")</f>
        <v/>
      </c>
      <c r="E1606" s="19" t="n">
        <v>46164</v>
      </c>
      <c r="F1606" s="18" t="n">
        <v>2</v>
      </c>
      <c r="G1606" s="18" t="inlineStr">
        <is>
          <t>MAIQUETIA</t>
        </is>
      </c>
    </row>
    <row r="1607">
      <c r="B1607" s="56" t="inlineStr">
        <is>
          <t>00011-REF</t>
        </is>
      </c>
      <c r="C1607" s="56">
        <f>IFERROR(_xlfn.XLOOKUP(SALIDAS[[#This Row],[CODIGO]],LISTADO[CODIGOS],LISTADO[CATEGORIA]),"NO EXISTE")</f>
        <v/>
      </c>
      <c r="D1607" s="56">
        <f>IFERROR(_xlfn.XLOOKUP(SALIDAS[[#This Row],[CODIGO]],LISTADO[CODIGOS],LISTADO[PRODUCTOS]),"NO EXISTE")</f>
        <v/>
      </c>
      <c r="E1607" s="19" t="n">
        <v>46164</v>
      </c>
      <c r="F1607" s="18" t="n">
        <v>10</v>
      </c>
      <c r="G1607" s="18" t="inlineStr">
        <is>
          <t>MAIQUETIA</t>
        </is>
      </c>
    </row>
    <row r="1608">
      <c r="B1608" s="18" t="inlineStr">
        <is>
          <t>00257-FER</t>
        </is>
      </c>
      <c r="C1608" s="56">
        <f>IFERROR(_xlfn.XLOOKUP(SALIDAS[[#This Row],[CODIGO]],LISTADO[CODIGOS],LISTADO[CATEGORIA]),"NO EXISTE")</f>
        <v/>
      </c>
      <c r="D1608" s="56">
        <f>IFERROR(_xlfn.XLOOKUP(SALIDAS[[#This Row],[CODIGO]],LISTADO[CODIGOS],LISTADO[PRODUCTOS]),"NO EXISTE")</f>
        <v/>
      </c>
      <c r="E1608" s="19" t="n">
        <v>46164</v>
      </c>
      <c r="F1608" s="18" t="n">
        <v>5</v>
      </c>
      <c r="G1608" s="18" t="inlineStr">
        <is>
          <t>MAIQUETIA</t>
        </is>
      </c>
    </row>
    <row r="1609">
      <c r="B1609" s="18" t="inlineStr">
        <is>
          <t>00258-FER</t>
        </is>
      </c>
      <c r="C1609" s="56">
        <f>IFERROR(_xlfn.XLOOKUP(SALIDAS[[#This Row],[CODIGO]],LISTADO[CODIGOS],LISTADO[CATEGORIA]),"NO EXISTE")</f>
        <v/>
      </c>
      <c r="D1609" s="56">
        <f>IFERROR(_xlfn.XLOOKUP(SALIDAS[[#This Row],[CODIGO]],LISTADO[CODIGOS],LISTADO[PRODUCTOS]),"NO EXISTE")</f>
        <v/>
      </c>
      <c r="E1609" s="19" t="n">
        <v>46164</v>
      </c>
      <c r="F1609" s="18" t="n">
        <v>50</v>
      </c>
      <c r="G1609" s="18" t="inlineStr">
        <is>
          <t>MAIQUETIA</t>
        </is>
      </c>
    </row>
    <row r="1610">
      <c r="B1610" s="18" t="inlineStr">
        <is>
          <t>00259-FER</t>
        </is>
      </c>
      <c r="C1610" s="56">
        <f>IFERROR(_xlfn.XLOOKUP(SALIDAS[[#This Row],[CODIGO]],LISTADO[CODIGOS],LISTADO[CATEGORIA]),"NO EXISTE")</f>
        <v/>
      </c>
      <c r="D1610" s="56">
        <f>IFERROR(_xlfn.XLOOKUP(SALIDAS[[#This Row],[CODIGO]],LISTADO[CODIGOS],LISTADO[PRODUCTOS]),"NO EXISTE")</f>
        <v/>
      </c>
      <c r="E1610" s="19" t="n">
        <v>46164</v>
      </c>
      <c r="F1610" s="18" t="n">
        <v>7</v>
      </c>
      <c r="G1610" s="18" t="inlineStr">
        <is>
          <t>MAIQUETIA</t>
        </is>
      </c>
    </row>
    <row r="1611">
      <c r="B1611" s="18" t="inlineStr">
        <is>
          <t>00168-REF</t>
        </is>
      </c>
      <c r="C1611" s="56">
        <f>IFERROR(_xlfn.XLOOKUP(SALIDAS[[#This Row],[CODIGO]],LISTADO[CODIGOS],LISTADO[CATEGORIA]),"NO EXISTE")</f>
        <v/>
      </c>
      <c r="D1611" s="56">
        <f>IFERROR(_xlfn.XLOOKUP(SALIDAS[[#This Row],[CODIGO]],LISTADO[CODIGOS],LISTADO[PRODUCTOS]),"NO EXISTE")</f>
        <v/>
      </c>
      <c r="E1611" s="19" t="n">
        <v>46164</v>
      </c>
      <c r="F1611" s="18" t="n">
        <v>2</v>
      </c>
      <c r="G1611" s="18" t="inlineStr">
        <is>
          <t>MAIQUETIA</t>
        </is>
      </c>
    </row>
    <row r="1612">
      <c r="B1612" s="56" t="inlineStr">
        <is>
          <t>00038-HRR</t>
        </is>
      </c>
      <c r="C1612" s="56">
        <f>IFERROR(_xlfn.XLOOKUP(SALIDAS[[#This Row],[CODIGO]],LISTADO[CODIGOS],LISTADO[CATEGORIA]),"NO EXISTE")</f>
        <v/>
      </c>
      <c r="D1612" s="56">
        <f>IFERROR(_xlfn.XLOOKUP(SALIDAS[[#This Row],[CODIGO]],LISTADO[CODIGOS],LISTADO[PRODUCTOS]),"NO EXISTE")</f>
        <v/>
      </c>
      <c r="E1612" s="19" t="n">
        <v>46164</v>
      </c>
      <c r="F1612" s="18" t="n">
        <v>10</v>
      </c>
      <c r="G1612" s="18" t="inlineStr">
        <is>
          <t>MAIQUETIA</t>
        </is>
      </c>
    </row>
    <row r="1613">
      <c r="B1613" s="18" t="inlineStr">
        <is>
          <t>00124-REF</t>
        </is>
      </c>
      <c r="C1613" s="56">
        <f>IFERROR(_xlfn.XLOOKUP(SALIDAS[[#This Row],[CODIGO]],LISTADO[CODIGOS],LISTADO[CATEGORIA]),"NO EXISTE")</f>
        <v/>
      </c>
      <c r="D1613" s="56">
        <f>IFERROR(_xlfn.XLOOKUP(SALIDAS[[#This Row],[CODIGO]],LISTADO[CODIGOS],LISTADO[PRODUCTOS]),"NO EXISTE")</f>
        <v/>
      </c>
      <c r="E1613" s="19" t="n">
        <v>46164</v>
      </c>
      <c r="F1613" s="18" t="n">
        <v>80</v>
      </c>
      <c r="G1613" s="18" t="inlineStr">
        <is>
          <t>MAIQUETIA</t>
        </is>
      </c>
    </row>
    <row r="1614">
      <c r="B1614" s="56" t="inlineStr">
        <is>
          <t>00040-PLM</t>
        </is>
      </c>
      <c r="C1614" s="56">
        <f>IFERROR(_xlfn.XLOOKUP(SALIDAS[[#This Row],[CODIGO]],LISTADO[CODIGOS],LISTADO[CATEGORIA]),"NO EXISTE")</f>
        <v/>
      </c>
      <c r="D1614" s="56">
        <f>IFERROR(_xlfn.XLOOKUP(SALIDAS[[#This Row],[CODIGO]],LISTADO[CODIGOS],LISTADO[PRODUCTOS]),"NO EXISTE")</f>
        <v/>
      </c>
      <c r="E1614" s="19" t="n">
        <v>46164</v>
      </c>
      <c r="F1614" s="18" t="n">
        <v>15</v>
      </c>
      <c r="G1614" s="18" t="inlineStr">
        <is>
          <t>MAIQUETIA</t>
        </is>
      </c>
    </row>
    <row r="1615">
      <c r="B1615" s="56" t="inlineStr">
        <is>
          <t>00100-FER</t>
        </is>
      </c>
      <c r="C1615" s="56">
        <f>IFERROR(_xlfn.XLOOKUP(SALIDAS[[#This Row],[CODIGO]],LISTADO[CODIGOS],LISTADO[CATEGORIA]),"NO EXISTE")</f>
        <v/>
      </c>
      <c r="D1615" s="56">
        <f>IFERROR(_xlfn.XLOOKUP(SALIDAS[[#This Row],[CODIGO]],LISTADO[CODIGOS],LISTADO[PRODUCTOS]),"NO EXISTE")</f>
        <v/>
      </c>
      <c r="E1615" s="19" t="n">
        <v>46164</v>
      </c>
      <c r="F1615" s="18" t="n">
        <v>10</v>
      </c>
      <c r="G1615" s="18" t="inlineStr">
        <is>
          <t>MAIQUETIA</t>
        </is>
      </c>
    </row>
    <row r="1616">
      <c r="B1616" s="18" t="inlineStr">
        <is>
          <t>00083-PLM</t>
        </is>
      </c>
      <c r="C1616" s="56">
        <f>IFERROR(_xlfn.XLOOKUP(SALIDAS[[#This Row],[CODIGO]],LISTADO[CODIGOS],LISTADO[CATEGORIA]),"NO EXISTE")</f>
        <v/>
      </c>
      <c r="D1616" s="56">
        <f>IFERROR(_xlfn.XLOOKUP(SALIDAS[[#This Row],[CODIGO]],LISTADO[CODIGOS],LISTADO[PRODUCTOS]),"NO EXISTE")</f>
        <v/>
      </c>
      <c r="E1616" s="19" t="n">
        <v>46164</v>
      </c>
      <c r="F1616" s="18" t="n">
        <v>20</v>
      </c>
      <c r="G1616" s="18" t="inlineStr">
        <is>
          <t>MAIQUETIA</t>
        </is>
      </c>
    </row>
    <row r="1617">
      <c r="B1617" s="56" t="inlineStr">
        <is>
          <t>00139-FER</t>
        </is>
      </c>
      <c r="C1617" s="56">
        <f>IFERROR(_xlfn.XLOOKUP(SALIDAS[[#This Row],[CODIGO]],LISTADO[CODIGOS],LISTADO[CATEGORIA]),"NO EXISTE")</f>
        <v/>
      </c>
      <c r="D1617" s="56">
        <f>IFERROR(_xlfn.XLOOKUP(SALIDAS[[#This Row],[CODIGO]],LISTADO[CODIGOS],LISTADO[PRODUCTOS]),"NO EXISTE")</f>
        <v/>
      </c>
      <c r="E1617" s="19" t="n">
        <v>46164</v>
      </c>
      <c r="F1617" s="18" t="n">
        <v>20</v>
      </c>
      <c r="G1617" s="18" t="inlineStr">
        <is>
          <t>MAIQUETIA</t>
        </is>
      </c>
    </row>
    <row r="1618">
      <c r="B1618" s="56" t="inlineStr">
        <is>
          <t>00136-FER</t>
        </is>
      </c>
      <c r="C1618" s="56">
        <f>IFERROR(_xlfn.XLOOKUP(SALIDAS[[#This Row],[CODIGO]],LISTADO[CODIGOS],LISTADO[CATEGORIA]),"NO EXISTE")</f>
        <v/>
      </c>
      <c r="D1618" s="56">
        <f>IFERROR(_xlfn.XLOOKUP(SALIDAS[[#This Row],[CODIGO]],LISTADO[CODIGOS],LISTADO[PRODUCTOS]),"NO EXISTE")</f>
        <v/>
      </c>
      <c r="E1618" s="19" t="n">
        <v>46164</v>
      </c>
      <c r="F1618" s="18" t="n">
        <v>30</v>
      </c>
      <c r="G1618" s="18" t="inlineStr">
        <is>
          <t>MAIQUETIA</t>
        </is>
      </c>
    </row>
    <row r="1619">
      <c r="B1619" s="56" t="inlineStr">
        <is>
          <t>00040-PLM</t>
        </is>
      </c>
      <c r="C1619" s="56">
        <f>IFERROR(_xlfn.XLOOKUP(SALIDAS[[#This Row],[CODIGO]],LISTADO[CODIGOS],LISTADO[CATEGORIA]),"NO EXISTE")</f>
        <v/>
      </c>
      <c r="D1619" s="56">
        <f>IFERROR(_xlfn.XLOOKUP(SALIDAS[[#This Row],[CODIGO]],LISTADO[CODIGOS],LISTADO[PRODUCTOS]),"NO EXISTE")</f>
        <v/>
      </c>
      <c r="E1619" s="19" t="n">
        <v>46164</v>
      </c>
      <c r="F1619" s="18" t="n">
        <v>20</v>
      </c>
      <c r="G1619" s="18" t="inlineStr">
        <is>
          <t>MAIQUETIA</t>
        </is>
      </c>
    </row>
    <row r="1620">
      <c r="B1620" s="56" t="inlineStr">
        <is>
          <t>00018-PLM</t>
        </is>
      </c>
      <c r="C1620" s="56">
        <f>IFERROR(_xlfn.XLOOKUP(SALIDAS[[#This Row],[CODIGO]],LISTADO[CODIGOS],LISTADO[CATEGORIA]),"NO EXISTE")</f>
        <v/>
      </c>
      <c r="D1620" s="56">
        <f>IFERROR(_xlfn.XLOOKUP(SALIDAS[[#This Row],[CODIGO]],LISTADO[CODIGOS],LISTADO[PRODUCTOS]),"NO EXISTE")</f>
        <v/>
      </c>
      <c r="E1620" s="19" t="n">
        <v>46164</v>
      </c>
      <c r="F1620" s="18" t="n">
        <v>40</v>
      </c>
      <c r="G1620" s="18" t="inlineStr">
        <is>
          <t>MAIQUETIA</t>
        </is>
      </c>
    </row>
    <row r="1621">
      <c r="B1621" s="56" t="inlineStr">
        <is>
          <t>00046-PLM</t>
        </is>
      </c>
      <c r="C1621" s="56">
        <f>IFERROR(_xlfn.XLOOKUP(SALIDAS[[#This Row],[CODIGO]],LISTADO[CODIGOS],LISTADO[CATEGORIA]),"NO EXISTE")</f>
        <v/>
      </c>
      <c r="D1621" s="56">
        <f>IFERROR(_xlfn.XLOOKUP(SALIDAS[[#This Row],[CODIGO]],LISTADO[CODIGOS],LISTADO[PRODUCTOS]),"NO EXISTE")</f>
        <v/>
      </c>
      <c r="E1621" s="19" t="n">
        <v>46164</v>
      </c>
      <c r="F1621" s="18" t="n">
        <v>10</v>
      </c>
      <c r="G1621" s="18" t="inlineStr">
        <is>
          <t>MAIQUETIA</t>
        </is>
      </c>
    </row>
    <row r="1622">
      <c r="B1622" s="56" t="inlineStr">
        <is>
          <t>00015-PLM</t>
        </is>
      </c>
      <c r="C1622" s="56">
        <f>IFERROR(_xlfn.XLOOKUP(SALIDAS[[#This Row],[CODIGO]],LISTADO[CODIGOS],LISTADO[CATEGORIA]),"NO EXISTE")</f>
        <v/>
      </c>
      <c r="D1622" s="56">
        <f>IFERROR(_xlfn.XLOOKUP(SALIDAS[[#This Row],[CODIGO]],LISTADO[CODIGOS],LISTADO[PRODUCTOS]),"NO EXISTE")</f>
        <v/>
      </c>
      <c r="E1622" s="19" t="n">
        <v>46164</v>
      </c>
      <c r="F1622" s="18" t="n">
        <v>10</v>
      </c>
      <c r="G1622" s="18" t="inlineStr">
        <is>
          <t>MAIQUETIA</t>
        </is>
      </c>
    </row>
    <row r="1623">
      <c r="B1623" s="18" t="inlineStr">
        <is>
          <t>00220-FER</t>
        </is>
      </c>
      <c r="C1623" s="56">
        <f>IFERROR(_xlfn.XLOOKUP(SALIDAS[[#This Row],[CODIGO]],LISTADO[CODIGOS],LISTADO[CATEGORIA]),"NO EXISTE")</f>
        <v/>
      </c>
      <c r="D1623" s="56">
        <f>IFERROR(_xlfn.XLOOKUP(SALIDAS[[#This Row],[CODIGO]],LISTADO[CODIGOS],LISTADO[PRODUCTOS]),"NO EXISTE")</f>
        <v/>
      </c>
      <c r="E1623" s="19" t="n">
        <v>46164</v>
      </c>
      <c r="F1623" s="18" t="n">
        <v>1</v>
      </c>
      <c r="G1623" s="18" t="inlineStr">
        <is>
          <t>MAIQUETIA</t>
        </is>
      </c>
    </row>
    <row r="1624">
      <c r="B1624" s="56" t="inlineStr">
        <is>
          <t>00088-FER</t>
        </is>
      </c>
      <c r="C1624" s="56">
        <f>IFERROR(_xlfn.XLOOKUP(SALIDAS[[#This Row],[CODIGO]],LISTADO[CODIGOS],LISTADO[CATEGORIA]),"NO EXISTE")</f>
        <v/>
      </c>
      <c r="D1624" s="56">
        <f>IFERROR(_xlfn.XLOOKUP(SALIDAS[[#This Row],[CODIGO]],LISTADO[CODIGOS],LISTADO[PRODUCTOS]),"NO EXISTE")</f>
        <v/>
      </c>
      <c r="E1624" s="19" t="n">
        <v>46164</v>
      </c>
      <c r="F1624" s="18" t="n">
        <v>4</v>
      </c>
      <c r="G1624" s="18" t="inlineStr">
        <is>
          <t>MAIQUETIA</t>
        </is>
      </c>
    </row>
    <row r="1625">
      <c r="B1625" s="18" t="inlineStr">
        <is>
          <t>00070-ELE</t>
        </is>
      </c>
      <c r="C1625" s="56">
        <f>IFERROR(_xlfn.XLOOKUP(SALIDAS[[#This Row],[CODIGO]],LISTADO[CODIGOS],LISTADO[CATEGORIA]),"NO EXISTE")</f>
        <v/>
      </c>
      <c r="D1625" s="56">
        <f>IFERROR(_xlfn.XLOOKUP(SALIDAS[[#This Row],[CODIGO]],LISTADO[CODIGOS],LISTADO[PRODUCTOS]),"NO EXISTE")</f>
        <v/>
      </c>
      <c r="E1625" s="19" t="n">
        <v>46164</v>
      </c>
      <c r="F1625" s="18" t="n">
        <v>4</v>
      </c>
      <c r="G1625" s="18" t="inlineStr">
        <is>
          <t>MAIQUETIA</t>
        </is>
      </c>
    </row>
    <row r="1626">
      <c r="B1626" s="18" t="inlineStr">
        <is>
          <t>00117-ELE</t>
        </is>
      </c>
      <c r="C1626" s="56">
        <f>IFERROR(_xlfn.XLOOKUP(SALIDAS[[#This Row],[CODIGO]],LISTADO[CODIGOS],LISTADO[CATEGORIA]),"NO EXISTE")</f>
        <v/>
      </c>
      <c r="D1626" s="56">
        <f>IFERROR(_xlfn.XLOOKUP(SALIDAS[[#This Row],[CODIGO]],LISTADO[CODIGOS],LISTADO[PRODUCTOS]),"NO EXISTE")</f>
        <v/>
      </c>
      <c r="E1626" s="19" t="n">
        <v>46164</v>
      </c>
      <c r="F1626" s="18" t="n">
        <v>200</v>
      </c>
      <c r="G1626" s="18" t="inlineStr">
        <is>
          <t>MAIQUETIA</t>
        </is>
      </c>
    </row>
    <row r="1627">
      <c r="B1627" s="56" t="inlineStr">
        <is>
          <t>00014-ELE</t>
        </is>
      </c>
      <c r="C1627" s="56">
        <f>IFERROR(_xlfn.XLOOKUP(SALIDAS[[#This Row],[CODIGO]],LISTADO[CODIGOS],LISTADO[CATEGORIA]),"NO EXISTE")</f>
        <v/>
      </c>
      <c r="D1627" s="56">
        <f>IFERROR(_xlfn.XLOOKUP(SALIDAS[[#This Row],[CODIGO]],LISTADO[CODIGOS],LISTADO[PRODUCTOS]),"NO EXISTE")</f>
        <v/>
      </c>
      <c r="E1627" s="19" t="n">
        <v>46164</v>
      </c>
      <c r="F1627" s="18" t="n">
        <v>100</v>
      </c>
      <c r="G1627" s="18" t="inlineStr">
        <is>
          <t>MAIQUETIA</t>
        </is>
      </c>
    </row>
    <row r="1628">
      <c r="B1628" s="18" t="inlineStr">
        <is>
          <t>00075-ELE</t>
        </is>
      </c>
      <c r="C1628" s="56">
        <f>IFERROR(_xlfn.XLOOKUP(SALIDAS[[#This Row],[CODIGO]],LISTADO[CODIGOS],LISTADO[CATEGORIA]),"NO EXISTE")</f>
        <v/>
      </c>
      <c r="D1628" s="56">
        <f>IFERROR(_xlfn.XLOOKUP(SALIDAS[[#This Row],[CODIGO]],LISTADO[CODIGOS],LISTADO[PRODUCTOS]),"NO EXISTE")</f>
        <v/>
      </c>
      <c r="E1628" s="19" t="n">
        <v>46164</v>
      </c>
      <c r="F1628" s="18" t="n">
        <v>100</v>
      </c>
      <c r="G1628" s="18" t="inlineStr">
        <is>
          <t>MAIQUETIA</t>
        </is>
      </c>
    </row>
    <row r="1629">
      <c r="B1629" s="18" t="inlineStr">
        <is>
          <t>00089-ELE</t>
        </is>
      </c>
      <c r="C1629" s="56">
        <f>IFERROR(_xlfn.XLOOKUP(SALIDAS[[#This Row],[CODIGO]],LISTADO[CODIGOS],LISTADO[CATEGORIA]),"NO EXISTE")</f>
        <v/>
      </c>
      <c r="D1629" s="56">
        <f>IFERROR(_xlfn.XLOOKUP(SALIDAS[[#This Row],[CODIGO]],LISTADO[CODIGOS],LISTADO[PRODUCTOS]),"NO EXISTE")</f>
        <v/>
      </c>
      <c r="E1629" s="19" t="n">
        <v>46164</v>
      </c>
      <c r="F1629" s="18" t="n">
        <v>200</v>
      </c>
      <c r="G1629" s="18" t="inlineStr">
        <is>
          <t>MAIQUETIA</t>
        </is>
      </c>
    </row>
    <row r="1630">
      <c r="B1630" s="18" t="inlineStr">
        <is>
          <t>00066-ELE</t>
        </is>
      </c>
      <c r="C1630" s="56">
        <f>IFERROR(_xlfn.XLOOKUP(SALIDAS[[#This Row],[CODIGO]],LISTADO[CODIGOS],LISTADO[CATEGORIA]),"NO EXISTE")</f>
        <v/>
      </c>
      <c r="D1630" s="56">
        <f>IFERROR(_xlfn.XLOOKUP(SALIDAS[[#This Row],[CODIGO]],LISTADO[CODIGOS],LISTADO[PRODUCTOS]),"NO EXISTE")</f>
        <v/>
      </c>
      <c r="E1630" s="19" t="n">
        <v>46164</v>
      </c>
      <c r="F1630" s="18" t="n">
        <v>100</v>
      </c>
      <c r="G1630" s="18" t="inlineStr">
        <is>
          <t>MAIQUETIA</t>
        </is>
      </c>
    </row>
    <row r="1631">
      <c r="B1631" s="18" t="inlineStr">
        <is>
          <t>00118-ELE</t>
        </is>
      </c>
      <c r="C1631" s="56">
        <f>IFERROR(_xlfn.XLOOKUP(SALIDAS[[#This Row],[CODIGO]],LISTADO[CODIGOS],LISTADO[CATEGORIA]),"NO EXISTE")</f>
        <v/>
      </c>
      <c r="D1631" s="56">
        <f>IFERROR(_xlfn.XLOOKUP(SALIDAS[[#This Row],[CODIGO]],LISTADO[CODIGOS],LISTADO[PRODUCTOS]),"NO EXISTE")</f>
        <v/>
      </c>
      <c r="E1631" s="19" t="n">
        <v>46164</v>
      </c>
      <c r="F1631" s="18" t="n">
        <v>200</v>
      </c>
      <c r="G1631" s="18" t="inlineStr">
        <is>
          <t>MAIQUETIA</t>
        </is>
      </c>
    </row>
    <row r="1632">
      <c r="B1632" s="18" t="inlineStr">
        <is>
          <t>00088-ELE</t>
        </is>
      </c>
      <c r="C1632" s="56">
        <f>IFERROR(_xlfn.XLOOKUP(SALIDAS[[#This Row],[CODIGO]],LISTADO[CODIGOS],LISTADO[CATEGORIA]),"NO EXISTE")</f>
        <v/>
      </c>
      <c r="D1632" s="56">
        <f>IFERROR(_xlfn.XLOOKUP(SALIDAS[[#This Row],[CODIGO]],LISTADO[CODIGOS],LISTADO[PRODUCTOS]),"NO EXISTE")</f>
        <v/>
      </c>
      <c r="E1632" s="19" t="n">
        <v>46164</v>
      </c>
      <c r="F1632" s="18" t="n">
        <v>200</v>
      </c>
      <c r="G1632" s="18" t="inlineStr">
        <is>
          <t>MAIQUETIA</t>
        </is>
      </c>
    </row>
    <row r="1633">
      <c r="B1633" s="18" t="inlineStr">
        <is>
          <t>00119-ELE</t>
        </is>
      </c>
      <c r="C1633" s="56">
        <f>IFERROR(_xlfn.XLOOKUP(SALIDAS[[#This Row],[CODIGO]],LISTADO[CODIGOS],LISTADO[CATEGORIA]),"NO EXISTE")</f>
        <v/>
      </c>
      <c r="D1633" s="56">
        <f>IFERROR(_xlfn.XLOOKUP(SALIDAS[[#This Row],[CODIGO]],LISTADO[CODIGOS],LISTADO[PRODUCTOS]),"NO EXISTE")</f>
        <v/>
      </c>
      <c r="E1633" s="19" t="n">
        <v>46164</v>
      </c>
      <c r="F1633" s="18" t="n">
        <v>200</v>
      </c>
      <c r="G1633" s="18" t="inlineStr">
        <is>
          <t>MAIQUETIA</t>
        </is>
      </c>
    </row>
    <row r="1634">
      <c r="B1634" s="18" t="inlineStr">
        <is>
          <t>00120-ELE</t>
        </is>
      </c>
      <c r="C1634" s="56">
        <f>IFERROR(_xlfn.XLOOKUP(SALIDAS[[#This Row],[CODIGO]],LISTADO[CODIGOS],LISTADO[CATEGORIA]),"NO EXISTE")</f>
        <v/>
      </c>
      <c r="D1634" s="56">
        <f>IFERROR(_xlfn.XLOOKUP(SALIDAS[[#This Row],[CODIGO]],LISTADO[CODIGOS],LISTADO[PRODUCTOS]),"NO EXISTE")</f>
        <v/>
      </c>
      <c r="E1634" s="19" t="n">
        <v>46164</v>
      </c>
      <c r="F1634" s="18" t="n">
        <v>100</v>
      </c>
      <c r="G1634" s="18" t="inlineStr">
        <is>
          <t>MAIQUETIA</t>
        </is>
      </c>
    </row>
    <row r="1635">
      <c r="B1635" s="18" t="inlineStr">
        <is>
          <t>00120-ELE</t>
        </is>
      </c>
      <c r="C1635" s="56">
        <f>IFERROR(_xlfn.XLOOKUP(SALIDAS[[#This Row],[CODIGO]],LISTADO[CODIGOS],LISTADO[CATEGORIA]),"NO EXISTE")</f>
        <v/>
      </c>
      <c r="D1635" s="56">
        <f>IFERROR(_xlfn.XLOOKUP(SALIDAS[[#This Row],[CODIGO]],LISTADO[CODIGOS],LISTADO[PRODUCTOS]),"NO EXISTE")</f>
        <v/>
      </c>
      <c r="E1635" s="19" t="n">
        <v>46164</v>
      </c>
      <c r="F1635" s="18" t="n">
        <v>100</v>
      </c>
      <c r="G1635" s="18" t="inlineStr">
        <is>
          <t>MAIQUETIA</t>
        </is>
      </c>
    </row>
    <row r="1636">
      <c r="B1636" s="56" t="inlineStr">
        <is>
          <t>00015-ELE</t>
        </is>
      </c>
      <c r="C1636" s="56">
        <f>IFERROR(_xlfn.XLOOKUP(SALIDAS[[#This Row],[CODIGO]],LISTADO[CODIGOS],LISTADO[CATEGORIA]),"NO EXISTE")</f>
        <v/>
      </c>
      <c r="D1636" s="56">
        <f>IFERROR(_xlfn.XLOOKUP(SALIDAS[[#This Row],[CODIGO]],LISTADO[CODIGOS],LISTADO[PRODUCTOS]),"NO EXISTE")</f>
        <v/>
      </c>
      <c r="E1636" s="19" t="n">
        <v>46164</v>
      </c>
      <c r="F1636" s="18" t="n">
        <v>100</v>
      </c>
      <c r="G1636" s="18" t="inlineStr">
        <is>
          <t>MAIQUETIA</t>
        </is>
      </c>
    </row>
    <row r="1637">
      <c r="B1637" s="18" t="inlineStr">
        <is>
          <t>00084-ELE</t>
        </is>
      </c>
      <c r="C1637" s="56">
        <f>IFERROR(_xlfn.XLOOKUP(SALIDAS[[#This Row],[CODIGO]],LISTADO[CODIGOS],LISTADO[CATEGORIA]),"NO EXISTE")</f>
        <v/>
      </c>
      <c r="D1637" s="56">
        <f>IFERROR(_xlfn.XLOOKUP(SALIDAS[[#This Row],[CODIGO]],LISTADO[CODIGOS],LISTADO[PRODUCTOS]),"NO EXISTE")</f>
        <v/>
      </c>
      <c r="E1637" s="19" t="n">
        <v>46164</v>
      </c>
      <c r="F1637" s="18" t="n">
        <v>100</v>
      </c>
      <c r="G1637" s="18" t="inlineStr">
        <is>
          <t>MAIQUETIA</t>
        </is>
      </c>
    </row>
    <row r="1638">
      <c r="B1638" s="18" t="inlineStr">
        <is>
          <t>00245-FER</t>
        </is>
      </c>
      <c r="C1638" s="56">
        <f>IFERROR(_xlfn.XLOOKUP(SALIDAS[[#This Row],[CODIGO]],LISTADO[CODIGOS],LISTADO[CATEGORIA]),"NO EXISTE")</f>
        <v/>
      </c>
      <c r="D1638" s="56">
        <f>IFERROR(_xlfn.XLOOKUP(SALIDAS[[#This Row],[CODIGO]],LISTADO[CODIGOS],LISTADO[PRODUCTOS]),"NO EXISTE")</f>
        <v/>
      </c>
      <c r="E1638" s="19" t="n">
        <v>46164</v>
      </c>
      <c r="F1638" s="18" t="n">
        <v>12</v>
      </c>
      <c r="G1638" s="18" t="inlineStr">
        <is>
          <t>MAIQUETIA</t>
        </is>
      </c>
    </row>
    <row r="1639">
      <c r="B1639" s="18" t="inlineStr">
        <is>
          <t>00222-FER</t>
        </is>
      </c>
      <c r="C1639" s="56">
        <f>IFERROR(_xlfn.XLOOKUP(SALIDAS[[#This Row],[CODIGO]],LISTADO[CODIGOS],LISTADO[CATEGORIA]),"NO EXISTE")</f>
        <v/>
      </c>
      <c r="D1639" s="56">
        <f>IFERROR(_xlfn.XLOOKUP(SALIDAS[[#This Row],[CODIGO]],LISTADO[CODIGOS],LISTADO[PRODUCTOS]),"NO EXISTE")</f>
        <v/>
      </c>
      <c r="E1639" s="19" t="n">
        <v>46164</v>
      </c>
      <c r="F1639" s="18" t="n">
        <v>15</v>
      </c>
      <c r="G1639" s="18" t="inlineStr">
        <is>
          <t>MAIQUETIA</t>
        </is>
      </c>
    </row>
    <row r="1640">
      <c r="B1640" s="18" t="inlineStr">
        <is>
          <t>00223-FER</t>
        </is>
      </c>
      <c r="C1640" s="56">
        <f>IFERROR(_xlfn.XLOOKUP(SALIDAS[[#This Row],[CODIGO]],LISTADO[CODIGOS],LISTADO[CATEGORIA]),"NO EXISTE")</f>
        <v/>
      </c>
      <c r="D1640" s="56">
        <f>IFERROR(_xlfn.XLOOKUP(SALIDAS[[#This Row],[CODIGO]],LISTADO[CODIGOS],LISTADO[PRODUCTOS]),"NO EXISTE")</f>
        <v/>
      </c>
      <c r="E1640" s="19" t="n">
        <v>46164</v>
      </c>
      <c r="F1640" s="18" t="n">
        <v>30</v>
      </c>
      <c r="G1640" s="18" t="inlineStr">
        <is>
          <t>MAIQUETIA</t>
        </is>
      </c>
    </row>
    <row r="1641">
      <c r="B1641" s="18" t="inlineStr">
        <is>
          <t>00158-REF</t>
        </is>
      </c>
      <c r="C1641" s="56">
        <f>IFERROR(_xlfn.XLOOKUP(SALIDAS[[#This Row],[CODIGO]],LISTADO[CODIGOS],LISTADO[CATEGORIA]),"NO EXISTE")</f>
        <v/>
      </c>
      <c r="D1641" s="56">
        <f>IFERROR(_xlfn.XLOOKUP(SALIDAS[[#This Row],[CODIGO]],LISTADO[CODIGOS],LISTADO[PRODUCTOS]),"NO EXISTE")</f>
        <v/>
      </c>
      <c r="E1641" s="19" t="n">
        <v>46164</v>
      </c>
      <c r="F1641" s="18" t="n">
        <v>10</v>
      </c>
      <c r="G1641" s="18" t="inlineStr">
        <is>
          <t>MAIQUETIA</t>
        </is>
      </c>
    </row>
    <row r="1642">
      <c r="B1642" s="18" t="inlineStr">
        <is>
          <t>00159-REF</t>
        </is>
      </c>
      <c r="C1642" s="56">
        <f>IFERROR(_xlfn.XLOOKUP(SALIDAS[[#This Row],[CODIGO]],LISTADO[CODIGOS],LISTADO[CATEGORIA]),"NO EXISTE")</f>
        <v/>
      </c>
      <c r="D1642" s="56">
        <f>IFERROR(_xlfn.XLOOKUP(SALIDAS[[#This Row],[CODIGO]],LISTADO[CODIGOS],LISTADO[PRODUCTOS]),"NO EXISTE")</f>
        <v/>
      </c>
      <c r="E1642" s="19" t="n">
        <v>46164</v>
      </c>
      <c r="F1642" s="18" t="n">
        <v>8</v>
      </c>
      <c r="G1642" s="18" t="inlineStr">
        <is>
          <t>MAIQUETIA</t>
        </is>
      </c>
    </row>
    <row r="1643">
      <c r="B1643" s="18" t="inlineStr">
        <is>
          <t>00121-ELE</t>
        </is>
      </c>
      <c r="C1643" s="56">
        <f>IFERROR(_xlfn.XLOOKUP(SALIDAS[[#This Row],[CODIGO]],LISTADO[CODIGOS],LISTADO[CATEGORIA]),"NO EXISTE")</f>
        <v/>
      </c>
      <c r="D1643" s="56">
        <f>IFERROR(_xlfn.XLOOKUP(SALIDAS[[#This Row],[CODIGO]],LISTADO[CODIGOS],LISTADO[PRODUCTOS]),"NO EXISTE")</f>
        <v/>
      </c>
      <c r="E1643" s="19" t="n">
        <v>46164</v>
      </c>
      <c r="F1643" s="18" t="n">
        <v>1</v>
      </c>
      <c r="G1643" s="18" t="inlineStr">
        <is>
          <t>MAIQUETIA</t>
        </is>
      </c>
    </row>
    <row r="1644">
      <c r="B1644" s="18" t="inlineStr">
        <is>
          <t>00114-REF</t>
        </is>
      </c>
      <c r="C1644" s="56">
        <f>IFERROR(_xlfn.XLOOKUP(SALIDAS[[#This Row],[CODIGO]],LISTADO[CODIGOS],LISTADO[CATEGORIA]),"NO EXISTE")</f>
        <v/>
      </c>
      <c r="D1644" s="56">
        <f>IFERROR(_xlfn.XLOOKUP(SALIDAS[[#This Row],[CODIGO]],LISTADO[CODIGOS],LISTADO[PRODUCTOS]),"NO EXISTE")</f>
        <v/>
      </c>
      <c r="E1644" s="19" t="n">
        <v>46164</v>
      </c>
      <c r="F1644" s="18" t="n">
        <v>1</v>
      </c>
      <c r="G1644" s="18" t="inlineStr">
        <is>
          <t>MAIQUETIA</t>
        </is>
      </c>
    </row>
    <row r="1645">
      <c r="B1645" s="18" t="inlineStr">
        <is>
          <t>00160-REF</t>
        </is>
      </c>
      <c r="C1645" s="56">
        <f>IFERROR(_xlfn.XLOOKUP(SALIDAS[[#This Row],[CODIGO]],LISTADO[CODIGOS],LISTADO[CATEGORIA]),"NO EXISTE")</f>
        <v/>
      </c>
      <c r="D1645" s="56">
        <f>IFERROR(_xlfn.XLOOKUP(SALIDAS[[#This Row],[CODIGO]],LISTADO[CODIGOS],LISTADO[PRODUCTOS]),"NO EXISTE")</f>
        <v/>
      </c>
      <c r="E1645" s="19" t="n">
        <v>46164</v>
      </c>
      <c r="F1645" s="18" t="n">
        <v>1</v>
      </c>
      <c r="G1645" s="18" t="inlineStr">
        <is>
          <t>MAIQUETIA</t>
        </is>
      </c>
    </row>
    <row r="1646">
      <c r="B1646" s="56" t="inlineStr">
        <is>
          <t>00089-FER</t>
        </is>
      </c>
      <c r="C1646" s="56">
        <f>IFERROR(_xlfn.XLOOKUP(SALIDAS[[#This Row],[CODIGO]],LISTADO[CODIGOS],LISTADO[CATEGORIA]),"NO EXISTE")</f>
        <v/>
      </c>
      <c r="D1646" s="56">
        <f>IFERROR(_xlfn.XLOOKUP(SALIDAS[[#This Row],[CODIGO]],LISTADO[CODIGOS],LISTADO[PRODUCTOS]),"NO EXISTE")</f>
        <v/>
      </c>
      <c r="E1646" s="19" t="n">
        <v>46164</v>
      </c>
      <c r="F1646" s="18" t="n">
        <v>5</v>
      </c>
      <c r="G1646" s="18" t="inlineStr">
        <is>
          <t>MAIQUETIA</t>
        </is>
      </c>
    </row>
    <row r="1647">
      <c r="B1647" s="18" t="inlineStr">
        <is>
          <t>00157-REF</t>
        </is>
      </c>
      <c r="C1647" s="56">
        <f>IFERROR(_xlfn.XLOOKUP(SALIDAS[[#This Row],[CODIGO]],LISTADO[CODIGOS],LISTADO[CATEGORIA]),"NO EXISTE")</f>
        <v/>
      </c>
      <c r="D1647" s="56">
        <f>IFERROR(_xlfn.XLOOKUP(SALIDAS[[#This Row],[CODIGO]],LISTADO[CODIGOS],LISTADO[PRODUCTOS]),"NO EXISTE")</f>
        <v/>
      </c>
      <c r="E1647" s="19" t="n">
        <v>46164</v>
      </c>
      <c r="F1647" s="18" t="n">
        <v>1</v>
      </c>
      <c r="G1647" s="18" t="inlineStr">
        <is>
          <t>MAIQUETIA</t>
        </is>
      </c>
    </row>
    <row r="1648">
      <c r="B1648" s="18" t="inlineStr">
        <is>
          <t>00105-REF</t>
        </is>
      </c>
      <c r="C1648" s="56">
        <f>IFERROR(_xlfn.XLOOKUP(SALIDAS[[#This Row],[CODIGO]],LISTADO[CODIGOS],LISTADO[CATEGORIA]),"NO EXISTE")</f>
        <v/>
      </c>
      <c r="D1648" s="56">
        <f>IFERROR(_xlfn.XLOOKUP(SALIDAS[[#This Row],[CODIGO]],LISTADO[CODIGOS],LISTADO[PRODUCTOS]),"NO EXISTE")</f>
        <v/>
      </c>
      <c r="E1648" s="19" t="n">
        <v>46164</v>
      </c>
      <c r="F1648" s="18" t="n">
        <v>8</v>
      </c>
      <c r="G1648" s="18" t="inlineStr">
        <is>
          <t>MAIQUETIA</t>
        </is>
      </c>
    </row>
    <row r="1649">
      <c r="B1649" s="18" t="inlineStr">
        <is>
          <t>00154-REF</t>
        </is>
      </c>
      <c r="C1649" s="56">
        <f>IFERROR(_xlfn.XLOOKUP(SALIDAS[[#This Row],[CODIGO]],LISTADO[CODIGOS],LISTADO[CATEGORIA]),"NO EXISTE")</f>
        <v/>
      </c>
      <c r="D1649" s="56">
        <f>IFERROR(_xlfn.XLOOKUP(SALIDAS[[#This Row],[CODIGO]],LISTADO[CODIGOS],LISTADO[PRODUCTOS]),"NO EXISTE")</f>
        <v/>
      </c>
      <c r="E1649" s="19" t="n">
        <v>46164</v>
      </c>
      <c r="F1649" s="18" t="n">
        <v>1</v>
      </c>
      <c r="G1649" s="18" t="inlineStr">
        <is>
          <t>MAIQUETIA</t>
        </is>
      </c>
    </row>
    <row r="1650">
      <c r="B1650" s="18" t="inlineStr">
        <is>
          <t>00155-REF</t>
        </is>
      </c>
      <c r="C1650" s="56">
        <f>IFERROR(_xlfn.XLOOKUP(SALIDAS[[#This Row],[CODIGO]],LISTADO[CODIGOS],LISTADO[CATEGORIA]),"NO EXISTE")</f>
        <v/>
      </c>
      <c r="D1650" s="56">
        <f>IFERROR(_xlfn.XLOOKUP(SALIDAS[[#This Row],[CODIGO]],LISTADO[CODIGOS],LISTADO[PRODUCTOS]),"NO EXISTE")</f>
        <v/>
      </c>
      <c r="E1650" s="19" t="n">
        <v>46164</v>
      </c>
      <c r="F1650" s="18" t="n">
        <v>1</v>
      </c>
      <c r="G1650" s="18" t="inlineStr">
        <is>
          <t>MAIQUETIA</t>
        </is>
      </c>
    </row>
    <row r="1651">
      <c r="B1651" s="18" t="inlineStr">
        <is>
          <t>00156-REF</t>
        </is>
      </c>
      <c r="C1651" s="56">
        <f>IFERROR(_xlfn.XLOOKUP(SALIDAS[[#This Row],[CODIGO]],LISTADO[CODIGOS],LISTADO[CATEGORIA]),"NO EXISTE")</f>
        <v/>
      </c>
      <c r="D1651" s="56">
        <f>IFERROR(_xlfn.XLOOKUP(SALIDAS[[#This Row],[CODIGO]],LISTADO[CODIGOS],LISTADO[PRODUCTOS]),"NO EXISTE")</f>
        <v/>
      </c>
      <c r="E1651" s="19" t="n">
        <v>46164</v>
      </c>
      <c r="F1651" s="18" t="n">
        <v>1</v>
      </c>
      <c r="G1651" s="18" t="inlineStr">
        <is>
          <t>MAIQUETIA</t>
        </is>
      </c>
    </row>
    <row r="1652">
      <c r="B1652" s="56" t="inlineStr">
        <is>
          <t>00037-ILU</t>
        </is>
      </c>
      <c r="C1652" s="56">
        <f>IFERROR(_xlfn.XLOOKUP(SALIDAS[[#This Row],[CODIGO]],LISTADO[CODIGOS],LISTADO[CATEGORIA]),"NO EXISTE")</f>
        <v/>
      </c>
      <c r="D1652" s="56">
        <f>IFERROR(_xlfn.XLOOKUP(SALIDAS[[#This Row],[CODIGO]],LISTADO[CODIGOS],LISTADO[PRODUCTOS]),"NO EXISTE")</f>
        <v/>
      </c>
      <c r="E1652" s="19" t="n">
        <v>46165</v>
      </c>
      <c r="F1652" s="18" t="n">
        <v>10</v>
      </c>
      <c r="G1652" s="18" t="inlineStr">
        <is>
          <t>MAIQUETIA</t>
        </is>
      </c>
    </row>
    <row r="1653">
      <c r="B1653" s="18" t="inlineStr">
        <is>
          <t>00154-REF</t>
        </is>
      </c>
      <c r="C1653" s="56">
        <f>IFERROR(_xlfn.XLOOKUP(SALIDAS[[#This Row],[CODIGO]],LISTADO[CODIGOS],LISTADO[CATEGORIA]),"NO EXISTE")</f>
        <v/>
      </c>
      <c r="D1653" s="56">
        <f>IFERROR(_xlfn.XLOOKUP(SALIDAS[[#This Row],[CODIGO]],LISTADO[CODIGOS],LISTADO[PRODUCTOS]),"NO EXISTE")</f>
        <v/>
      </c>
      <c r="E1653" s="19" t="n">
        <v>46165</v>
      </c>
      <c r="F1653" s="18" t="n">
        <v>1</v>
      </c>
      <c r="G1653" s="18" t="inlineStr">
        <is>
          <t>MAIQUETIA</t>
        </is>
      </c>
    </row>
    <row r="1654">
      <c r="B1654" s="18" t="inlineStr">
        <is>
          <t>00155-REF</t>
        </is>
      </c>
      <c r="C1654" s="56">
        <f>IFERROR(_xlfn.XLOOKUP(SALIDAS[[#This Row],[CODIGO]],LISTADO[CODIGOS],LISTADO[CATEGORIA]),"NO EXISTE")</f>
        <v/>
      </c>
      <c r="D1654" s="56">
        <f>IFERROR(_xlfn.XLOOKUP(SALIDAS[[#This Row],[CODIGO]],LISTADO[CODIGOS],LISTADO[PRODUCTOS]),"NO EXISTE")</f>
        <v/>
      </c>
      <c r="E1654" s="19" t="n">
        <v>46165</v>
      </c>
      <c r="F1654" s="18" t="n">
        <v>1</v>
      </c>
      <c r="G1654" s="18" t="inlineStr">
        <is>
          <t>MAIQUETIA</t>
        </is>
      </c>
    </row>
    <row r="1655">
      <c r="B1655" s="18" t="inlineStr">
        <is>
          <t>00156-REF</t>
        </is>
      </c>
      <c r="C1655" s="56">
        <f>IFERROR(_xlfn.XLOOKUP(SALIDAS[[#This Row],[CODIGO]],LISTADO[CODIGOS],LISTADO[CATEGORIA]),"NO EXISTE")</f>
        <v/>
      </c>
      <c r="D1655" s="56">
        <f>IFERROR(_xlfn.XLOOKUP(SALIDAS[[#This Row],[CODIGO]],LISTADO[CODIGOS],LISTADO[PRODUCTOS]),"NO EXISTE")</f>
        <v/>
      </c>
      <c r="E1655" s="19" t="n">
        <v>46165</v>
      </c>
      <c r="F1655" s="15" t="n">
        <v>1</v>
      </c>
      <c r="G1655" s="18" t="inlineStr">
        <is>
          <t>MAIQUETIA</t>
        </is>
      </c>
    </row>
    <row r="1656">
      <c r="B1656" s="56" t="inlineStr">
        <is>
          <t>00089-FER</t>
        </is>
      </c>
      <c r="C1656" s="56">
        <f>IFERROR(_xlfn.XLOOKUP(SALIDAS[[#This Row],[CODIGO]],LISTADO[CODIGOS],LISTADO[CATEGORIA]),"NO EXISTE")</f>
        <v/>
      </c>
      <c r="D1656" s="56">
        <f>IFERROR(_xlfn.XLOOKUP(SALIDAS[[#This Row],[CODIGO]],LISTADO[CODIGOS],LISTADO[PRODUCTOS]),"NO EXISTE")</f>
        <v/>
      </c>
      <c r="E1656" s="19" t="n">
        <v>46165</v>
      </c>
      <c r="F1656" s="15" t="n">
        <v>5</v>
      </c>
      <c r="G1656" s="18" t="inlineStr">
        <is>
          <t>MAIQUETIA</t>
        </is>
      </c>
    </row>
    <row r="1657">
      <c r="B1657" s="18" t="inlineStr">
        <is>
          <t>00157-REF</t>
        </is>
      </c>
      <c r="C1657" s="56">
        <f>IFERROR(_xlfn.XLOOKUP(SALIDAS[[#This Row],[CODIGO]],LISTADO[CODIGOS],LISTADO[CATEGORIA]),"NO EXISTE")</f>
        <v/>
      </c>
      <c r="D1657" s="56">
        <f>IFERROR(_xlfn.XLOOKUP(SALIDAS[[#This Row],[CODIGO]],LISTADO[CODIGOS],LISTADO[PRODUCTOS]),"NO EXISTE")</f>
        <v/>
      </c>
      <c r="E1657" s="19" t="n">
        <v>46165</v>
      </c>
      <c r="F1657" s="18" t="n">
        <v>1</v>
      </c>
      <c r="G1657" s="18" t="inlineStr">
        <is>
          <t>MAIQUETIA</t>
        </is>
      </c>
    </row>
    <row r="1658">
      <c r="B1658" s="18" t="inlineStr">
        <is>
          <t>00105-REF</t>
        </is>
      </c>
      <c r="C1658" s="56">
        <f>IFERROR(_xlfn.XLOOKUP(SALIDAS[[#This Row],[CODIGO]],LISTADO[CODIGOS],LISTADO[CATEGORIA]),"NO EXISTE")</f>
        <v/>
      </c>
      <c r="D1658" s="56">
        <f>IFERROR(_xlfn.XLOOKUP(SALIDAS[[#This Row],[CODIGO]],LISTADO[CODIGOS],LISTADO[PRODUCTOS]),"NO EXISTE")</f>
        <v/>
      </c>
      <c r="E1658" s="19" t="n">
        <v>46165</v>
      </c>
      <c r="F1658" s="15" t="n">
        <v>8</v>
      </c>
      <c r="G1658" s="18" t="inlineStr">
        <is>
          <t>MAIQUETIA</t>
        </is>
      </c>
    </row>
    <row r="1659">
      <c r="B1659" s="56" t="inlineStr">
        <is>
          <t>00245-FER</t>
        </is>
      </c>
      <c r="C1659" s="56">
        <f>IFERROR(_xlfn.XLOOKUP(SALIDAS[[#This Row],[CODIGO]],LISTADO[CODIGOS],LISTADO[CATEGORIA]),"NO EXISTE")</f>
        <v/>
      </c>
      <c r="D1659" s="56">
        <f>IFERROR(_xlfn.XLOOKUP(SALIDAS[[#This Row],[CODIGO]],LISTADO[CODIGOS],LISTADO[PRODUCTOS]),"NO EXISTE")</f>
        <v/>
      </c>
      <c r="E1659" s="19" t="n">
        <v>46165</v>
      </c>
      <c r="F1659" s="18" t="n">
        <v>12</v>
      </c>
      <c r="G1659" s="18" t="inlineStr">
        <is>
          <t>MAIQUETIA</t>
        </is>
      </c>
    </row>
    <row r="1660">
      <c r="B1660" s="18" t="inlineStr">
        <is>
          <t>00222-FER</t>
        </is>
      </c>
      <c r="C1660" s="56">
        <f>IFERROR(_xlfn.XLOOKUP(SALIDAS[[#This Row],[CODIGO]],LISTADO[CODIGOS],LISTADO[CATEGORIA]),"NO EXISTE")</f>
        <v/>
      </c>
      <c r="D1660" s="56">
        <f>IFERROR(_xlfn.XLOOKUP(SALIDAS[[#This Row],[CODIGO]],LISTADO[CODIGOS],LISTADO[PRODUCTOS]),"NO EXISTE")</f>
        <v/>
      </c>
      <c r="E1660" s="19" t="n">
        <v>46165</v>
      </c>
      <c r="F1660" s="18" t="n">
        <v>15</v>
      </c>
      <c r="G1660" s="18" t="inlineStr">
        <is>
          <t>MAIQUETIA</t>
        </is>
      </c>
    </row>
    <row r="1661">
      <c r="B1661" s="18" t="inlineStr">
        <is>
          <t>00223-FER</t>
        </is>
      </c>
      <c r="C1661" s="56">
        <f>IFERROR(_xlfn.XLOOKUP(SALIDAS[[#This Row],[CODIGO]],LISTADO[CODIGOS],LISTADO[CATEGORIA]),"NO EXISTE")</f>
        <v/>
      </c>
      <c r="D1661" s="56">
        <f>IFERROR(_xlfn.XLOOKUP(SALIDAS[[#This Row],[CODIGO]],LISTADO[CODIGOS],LISTADO[PRODUCTOS]),"NO EXISTE")</f>
        <v/>
      </c>
      <c r="E1661" s="19" t="n">
        <v>46165</v>
      </c>
      <c r="F1661" s="18" t="n">
        <v>30</v>
      </c>
      <c r="G1661" s="18" t="inlineStr">
        <is>
          <t>MAIQUETIA</t>
        </is>
      </c>
    </row>
    <row r="1662">
      <c r="B1662" s="18" t="inlineStr">
        <is>
          <t>00158-REF</t>
        </is>
      </c>
      <c r="C1662" s="56">
        <f>IFERROR(_xlfn.XLOOKUP(SALIDAS[[#This Row],[CODIGO]],LISTADO[CODIGOS],LISTADO[CATEGORIA]),"NO EXISTE")</f>
        <v/>
      </c>
      <c r="D1662" s="56">
        <f>IFERROR(_xlfn.XLOOKUP(SALIDAS[[#This Row],[CODIGO]],LISTADO[CODIGOS],LISTADO[PRODUCTOS]),"NO EXISTE")</f>
        <v/>
      </c>
      <c r="E1662" s="19" t="n">
        <v>46165</v>
      </c>
      <c r="F1662" s="18" t="n">
        <v>10</v>
      </c>
      <c r="G1662" s="18" t="inlineStr">
        <is>
          <t>MAIQUETIA</t>
        </is>
      </c>
    </row>
    <row r="1663">
      <c r="B1663" s="18" t="inlineStr">
        <is>
          <t>00159-REF</t>
        </is>
      </c>
      <c r="C1663" s="56">
        <f>IFERROR(_xlfn.XLOOKUP(SALIDAS[[#This Row],[CODIGO]],LISTADO[CODIGOS],LISTADO[CATEGORIA]),"NO EXISTE")</f>
        <v/>
      </c>
      <c r="D1663" s="56">
        <f>IFERROR(_xlfn.XLOOKUP(SALIDAS[[#This Row],[CODIGO]],LISTADO[CODIGOS],LISTADO[PRODUCTOS]),"NO EXISTE")</f>
        <v/>
      </c>
      <c r="E1663" s="19" t="n">
        <v>46165</v>
      </c>
      <c r="F1663" s="18" t="n">
        <v>8</v>
      </c>
      <c r="G1663" s="18" t="inlineStr">
        <is>
          <t>MAIQUETIA</t>
        </is>
      </c>
    </row>
    <row r="1664">
      <c r="B1664" s="18" t="inlineStr">
        <is>
          <t>00121-ELE</t>
        </is>
      </c>
      <c r="C1664" s="56">
        <f>IFERROR(_xlfn.XLOOKUP(SALIDAS[[#This Row],[CODIGO]],LISTADO[CODIGOS],LISTADO[CATEGORIA]),"NO EXISTE")</f>
        <v/>
      </c>
      <c r="D1664" s="56">
        <f>IFERROR(_xlfn.XLOOKUP(SALIDAS[[#This Row],[CODIGO]],LISTADO[CODIGOS],LISTADO[PRODUCTOS]),"NO EXISTE")</f>
        <v/>
      </c>
      <c r="E1664" s="19" t="n">
        <v>46165</v>
      </c>
      <c r="F1664" s="18" t="n">
        <v>1</v>
      </c>
      <c r="G1664" s="18" t="inlineStr">
        <is>
          <t>MAIQUETIA</t>
        </is>
      </c>
    </row>
    <row r="1665">
      <c r="B1665" s="18" t="inlineStr">
        <is>
          <t>00114-REF</t>
        </is>
      </c>
      <c r="C1665" s="56">
        <f>IFERROR(_xlfn.XLOOKUP(SALIDAS[[#This Row],[CODIGO]],LISTADO[CODIGOS],LISTADO[CATEGORIA]),"NO EXISTE")</f>
        <v/>
      </c>
      <c r="D1665" s="56">
        <f>IFERROR(_xlfn.XLOOKUP(SALIDAS[[#This Row],[CODIGO]],LISTADO[CODIGOS],LISTADO[PRODUCTOS]),"NO EXISTE")</f>
        <v/>
      </c>
      <c r="E1665" s="19" t="n">
        <v>46165</v>
      </c>
      <c r="F1665" s="18" t="n">
        <v>1</v>
      </c>
      <c r="G1665" s="18" t="inlineStr">
        <is>
          <t>MAIQUETIA</t>
        </is>
      </c>
    </row>
    <row r="1666">
      <c r="B1666" s="18" t="inlineStr">
        <is>
          <t>00160-REF</t>
        </is>
      </c>
      <c r="C1666" s="56">
        <f>IFERROR(_xlfn.XLOOKUP(SALIDAS[[#This Row],[CODIGO]],LISTADO[CODIGOS],LISTADO[CATEGORIA]),"NO EXISTE")</f>
        <v/>
      </c>
      <c r="D1666" s="56">
        <f>IFERROR(_xlfn.XLOOKUP(SALIDAS[[#This Row],[CODIGO]],LISTADO[CODIGOS],LISTADO[PRODUCTOS]),"NO EXISTE")</f>
        <v/>
      </c>
      <c r="E1666" s="19" t="n">
        <v>46165</v>
      </c>
      <c r="F1666" s="18" t="n">
        <v>1</v>
      </c>
      <c r="G1666" s="18" t="inlineStr">
        <is>
          <t>MAIQUETIA</t>
        </is>
      </c>
    </row>
    <row r="1667">
      <c r="B1667" s="18" t="inlineStr">
        <is>
          <t>00139-FER</t>
        </is>
      </c>
      <c r="C1667" s="56">
        <f>IFERROR(_xlfn.XLOOKUP(SALIDAS[[#This Row],[CODIGO]],LISTADO[CODIGOS],LISTADO[CATEGORIA]),"NO EXISTE")</f>
        <v/>
      </c>
      <c r="D1667" s="56">
        <f>IFERROR(_xlfn.XLOOKUP(SALIDAS[[#This Row],[CODIGO]],LISTADO[CODIGOS],LISTADO[PRODUCTOS]),"NO EXISTE")</f>
        <v/>
      </c>
      <c r="E1667" s="19" t="n">
        <v>46165</v>
      </c>
      <c r="F1667" s="18" t="n">
        <v>20</v>
      </c>
      <c r="G1667" s="18" t="inlineStr">
        <is>
          <t>MAIQUETIA</t>
        </is>
      </c>
    </row>
    <row r="1668">
      <c r="B1668" s="18" t="inlineStr">
        <is>
          <t>00136-FER</t>
        </is>
      </c>
      <c r="C1668" s="56">
        <f>IFERROR(_xlfn.XLOOKUP(SALIDAS[[#This Row],[CODIGO]],LISTADO[CODIGOS],LISTADO[CATEGORIA]),"NO EXISTE")</f>
        <v/>
      </c>
      <c r="D1668" s="56">
        <f>IFERROR(_xlfn.XLOOKUP(SALIDAS[[#This Row],[CODIGO]],LISTADO[CODIGOS],LISTADO[PRODUCTOS]),"NO EXISTE")</f>
        <v/>
      </c>
      <c r="E1668" s="19" t="n">
        <v>46165</v>
      </c>
      <c r="F1668" s="18" t="n">
        <v>30</v>
      </c>
      <c r="G1668" s="18" t="inlineStr">
        <is>
          <t>MAIQUETIA</t>
        </is>
      </c>
    </row>
    <row r="1669">
      <c r="B1669" s="18" t="inlineStr">
        <is>
          <t>00040-PLM</t>
        </is>
      </c>
      <c r="C1669" s="56">
        <f>IFERROR(_xlfn.XLOOKUP(SALIDAS[[#This Row],[CODIGO]],LISTADO[CODIGOS],LISTADO[CATEGORIA]),"NO EXISTE")</f>
        <v/>
      </c>
      <c r="D1669" s="56">
        <f>IFERROR(_xlfn.XLOOKUP(SALIDAS[[#This Row],[CODIGO]],LISTADO[CODIGOS],LISTADO[PRODUCTOS]),"NO EXISTE")</f>
        <v/>
      </c>
      <c r="E1669" s="19" t="n">
        <v>46165</v>
      </c>
      <c r="F1669" s="18" t="n">
        <v>60</v>
      </c>
      <c r="G1669" s="18" t="inlineStr">
        <is>
          <t>MAIQUETIA</t>
        </is>
      </c>
    </row>
    <row r="1670">
      <c r="B1670" s="18" t="inlineStr">
        <is>
          <t>00018-PLM</t>
        </is>
      </c>
      <c r="C1670" s="56">
        <f>IFERROR(_xlfn.XLOOKUP(SALIDAS[[#This Row],[CODIGO]],LISTADO[CODIGOS],LISTADO[CATEGORIA]),"NO EXISTE")</f>
        <v/>
      </c>
      <c r="D1670" s="56">
        <f>IFERROR(_xlfn.XLOOKUP(SALIDAS[[#This Row],[CODIGO]],LISTADO[CODIGOS],LISTADO[PRODUCTOS]),"NO EXISTE")</f>
        <v/>
      </c>
      <c r="E1670" s="19" t="n">
        <v>46165</v>
      </c>
      <c r="F1670" s="18" t="n">
        <v>40</v>
      </c>
      <c r="G1670" s="18" t="inlineStr">
        <is>
          <t>MAIQUETIA</t>
        </is>
      </c>
    </row>
    <row r="1671">
      <c r="B1671" s="18" t="inlineStr">
        <is>
          <t>00046-PLM</t>
        </is>
      </c>
      <c r="C1671" s="56">
        <f>IFERROR(_xlfn.XLOOKUP(SALIDAS[[#This Row],[CODIGO]],LISTADO[CODIGOS],LISTADO[CATEGORIA]),"NO EXISTE")</f>
        <v/>
      </c>
      <c r="D1671" s="56">
        <f>IFERROR(_xlfn.XLOOKUP(SALIDAS[[#This Row],[CODIGO]],LISTADO[CODIGOS],LISTADO[PRODUCTOS]),"NO EXISTE")</f>
        <v/>
      </c>
      <c r="E1671" s="19" t="n">
        <v>46165</v>
      </c>
      <c r="F1671" s="18" t="n">
        <v>10</v>
      </c>
      <c r="G1671" s="18" t="inlineStr">
        <is>
          <t>MAIQUETIA</t>
        </is>
      </c>
    </row>
    <row r="1672">
      <c r="B1672" s="18" t="inlineStr">
        <is>
          <t>00015-PLM</t>
        </is>
      </c>
      <c r="C1672" s="56">
        <f>IFERROR(_xlfn.XLOOKUP(SALIDAS[[#This Row],[CODIGO]],LISTADO[CODIGOS],LISTADO[CATEGORIA]),"NO EXISTE")</f>
        <v/>
      </c>
      <c r="D1672" s="56">
        <f>IFERROR(_xlfn.XLOOKUP(SALIDAS[[#This Row],[CODIGO]],LISTADO[CODIGOS],LISTADO[PRODUCTOS]),"NO EXISTE")</f>
        <v/>
      </c>
      <c r="E1672" s="19" t="n">
        <v>46165</v>
      </c>
      <c r="F1672" s="18" t="n">
        <v>10</v>
      </c>
      <c r="G1672" s="18" t="inlineStr">
        <is>
          <t>MAIQUETIA</t>
        </is>
      </c>
    </row>
    <row r="1673">
      <c r="B1673" s="18" t="inlineStr">
        <is>
          <t>00220-FER</t>
        </is>
      </c>
      <c r="C1673" s="56">
        <f>IFERROR(_xlfn.XLOOKUP(SALIDAS[[#This Row],[CODIGO]],LISTADO[CODIGOS],LISTADO[CATEGORIA]),"NO EXISTE")</f>
        <v/>
      </c>
      <c r="D1673" s="56">
        <f>IFERROR(_xlfn.XLOOKUP(SALIDAS[[#This Row],[CODIGO]],LISTADO[CODIGOS],LISTADO[PRODUCTOS]),"NO EXISTE")</f>
        <v/>
      </c>
      <c r="E1673" s="19" t="n">
        <v>46165</v>
      </c>
      <c r="F1673" s="18" t="n">
        <v>1</v>
      </c>
      <c r="G1673" s="18" t="inlineStr">
        <is>
          <t>MAIQUETIA</t>
        </is>
      </c>
    </row>
    <row r="1674">
      <c r="B1674" s="18" t="inlineStr">
        <is>
          <t>00088-FER</t>
        </is>
      </c>
      <c r="C1674" s="56">
        <f>IFERROR(_xlfn.XLOOKUP(SALIDAS[[#This Row],[CODIGO]],LISTADO[CODIGOS],LISTADO[CATEGORIA]),"NO EXISTE")</f>
        <v/>
      </c>
      <c r="D1674" s="56">
        <f>IFERROR(_xlfn.XLOOKUP(SALIDAS[[#This Row],[CODIGO]],LISTADO[CODIGOS],LISTADO[PRODUCTOS]),"NO EXISTE")</f>
        <v/>
      </c>
      <c r="E1674" s="19" t="n">
        <v>46165</v>
      </c>
      <c r="F1674" s="18" t="n">
        <v>4</v>
      </c>
      <c r="G1674" s="18" t="inlineStr">
        <is>
          <t>MAIQUETIA</t>
        </is>
      </c>
    </row>
    <row r="1675">
      <c r="B1675" s="18" t="inlineStr">
        <is>
          <t>00070-ELE</t>
        </is>
      </c>
      <c r="C1675" s="56">
        <f>IFERROR(_xlfn.XLOOKUP(SALIDAS[[#This Row],[CODIGO]],LISTADO[CODIGOS],LISTADO[CATEGORIA]),"NO EXISTE")</f>
        <v/>
      </c>
      <c r="D1675" s="56">
        <f>IFERROR(_xlfn.XLOOKUP(SALIDAS[[#This Row],[CODIGO]],LISTADO[CODIGOS],LISTADO[PRODUCTOS]),"NO EXISTE")</f>
        <v/>
      </c>
      <c r="E1675" s="19" t="n">
        <v>46165</v>
      </c>
      <c r="F1675" s="18" t="n">
        <v>4</v>
      </c>
      <c r="G1675" s="18" t="inlineStr">
        <is>
          <t>MAIQUETIA</t>
        </is>
      </c>
    </row>
    <row r="1676">
      <c r="B1676" s="18" t="inlineStr">
        <is>
          <t>00038-HRR</t>
        </is>
      </c>
      <c r="C1676" s="56">
        <f>IFERROR(_xlfn.XLOOKUP(SALIDAS[[#This Row],[CODIGO]],LISTADO[CODIGOS],LISTADO[CATEGORIA]),"NO EXISTE")</f>
        <v/>
      </c>
      <c r="D1676" s="56">
        <f>IFERROR(_xlfn.XLOOKUP(SALIDAS[[#This Row],[CODIGO]],LISTADO[CODIGOS],LISTADO[PRODUCTOS]),"NO EXISTE")</f>
        <v/>
      </c>
      <c r="E1676" s="19" t="n">
        <v>46165</v>
      </c>
      <c r="F1676" s="18" t="n">
        <v>10</v>
      </c>
      <c r="G1676" s="18" t="inlineStr">
        <is>
          <t>MAIQUETIA</t>
        </is>
      </c>
    </row>
    <row r="1677">
      <c r="B1677" s="18" t="inlineStr">
        <is>
          <t>00056-ELE</t>
        </is>
      </c>
      <c r="C1677" s="56">
        <f>IFERROR(_xlfn.XLOOKUP(SALIDAS[[#This Row],[CODIGO]],LISTADO[CODIGOS],LISTADO[CATEGORIA]),"NO EXISTE")</f>
        <v/>
      </c>
      <c r="D1677" s="56">
        <f>IFERROR(_xlfn.XLOOKUP(SALIDAS[[#This Row],[CODIGO]],LISTADO[CODIGOS],LISTADO[PRODUCTOS]),"NO EXISTE")</f>
        <v/>
      </c>
      <c r="E1677" s="19" t="n">
        <v>46165</v>
      </c>
      <c r="F1677" s="18" t="n">
        <v>80</v>
      </c>
      <c r="G1677" s="18" t="inlineStr">
        <is>
          <t>MAIQUETIA</t>
        </is>
      </c>
    </row>
    <row r="1678">
      <c r="B1678" s="18" t="inlineStr">
        <is>
          <t>00055-ELE</t>
        </is>
      </c>
      <c r="C1678" s="56">
        <f>IFERROR(_xlfn.XLOOKUP(SALIDAS[[#This Row],[CODIGO]],LISTADO[CODIGOS],LISTADO[CATEGORIA]),"NO EXISTE")</f>
        <v/>
      </c>
      <c r="D1678" s="56">
        <f>IFERROR(_xlfn.XLOOKUP(SALIDAS[[#This Row],[CODIGO]],LISTADO[CODIGOS],LISTADO[PRODUCTOS]),"NO EXISTE")</f>
        <v/>
      </c>
      <c r="E1678" s="19" t="n">
        <v>46165</v>
      </c>
      <c r="F1678" s="18" t="n">
        <v>45</v>
      </c>
      <c r="G1678" s="18" t="inlineStr">
        <is>
          <t>MAIQUETIA</t>
        </is>
      </c>
    </row>
    <row r="1679">
      <c r="B1679" s="18" t="inlineStr">
        <is>
          <t>00100-FER</t>
        </is>
      </c>
      <c r="C1679" s="56">
        <f>IFERROR(_xlfn.XLOOKUP(SALIDAS[[#This Row],[CODIGO]],LISTADO[CODIGOS],LISTADO[CATEGORIA]),"NO EXISTE")</f>
        <v/>
      </c>
      <c r="D1679" s="56">
        <f>IFERROR(_xlfn.XLOOKUP(SALIDAS[[#This Row],[CODIGO]],LISTADO[CODIGOS],LISTADO[PRODUCTOS]),"NO EXISTE")</f>
        <v/>
      </c>
      <c r="E1679" s="19" t="n">
        <v>46165</v>
      </c>
      <c r="F1679" s="18" t="n">
        <v>10</v>
      </c>
      <c r="G1679" s="18" t="inlineStr">
        <is>
          <t>MAIQUETIA</t>
        </is>
      </c>
    </row>
    <row r="1680">
      <c r="B1680" s="18" t="inlineStr">
        <is>
          <t>00060-ELE</t>
        </is>
      </c>
      <c r="C1680" s="56">
        <f>IFERROR(_xlfn.XLOOKUP(SALIDAS[[#This Row],[CODIGO]],LISTADO[CODIGOS],LISTADO[CATEGORIA]),"NO EXISTE")</f>
        <v/>
      </c>
      <c r="D1680" s="56">
        <f>IFERROR(_xlfn.XLOOKUP(SALIDAS[[#This Row],[CODIGO]],LISTADO[CODIGOS],LISTADO[PRODUCTOS]),"NO EXISTE")</f>
        <v/>
      </c>
      <c r="E1680" s="19" t="n">
        <v>46165</v>
      </c>
      <c r="F1680" s="18" t="n">
        <v>20</v>
      </c>
      <c r="G1680" s="18" t="inlineStr">
        <is>
          <t>MAIQUETIA</t>
        </is>
      </c>
    </row>
    <row r="1681">
      <c r="B1681" s="18" t="inlineStr">
        <is>
          <t>00066-PLM</t>
        </is>
      </c>
      <c r="C1681" s="56">
        <f>IFERROR(_xlfn.XLOOKUP(SALIDAS[[#This Row],[CODIGO]],LISTADO[CODIGOS],LISTADO[CATEGORIA]),"NO EXISTE")</f>
        <v/>
      </c>
      <c r="D1681" s="56">
        <f>IFERROR(_xlfn.XLOOKUP(SALIDAS[[#This Row],[CODIGO]],LISTADO[CODIGOS],LISTADO[PRODUCTOS]),"NO EXISTE")</f>
        <v/>
      </c>
      <c r="E1681" s="19" t="n">
        <v>46165</v>
      </c>
      <c r="F1681" s="18" t="n">
        <v>3</v>
      </c>
      <c r="G1681" s="18" t="inlineStr">
        <is>
          <t>SAN MARTIN (CARACAS)</t>
        </is>
      </c>
    </row>
    <row r="1682">
      <c r="B1682" s="56" t="inlineStr">
        <is>
          <t>00022-PLM</t>
        </is>
      </c>
      <c r="C1682" s="56">
        <f>IFERROR(_xlfn.XLOOKUP(SALIDAS[[#This Row],[CODIGO]],LISTADO[CODIGOS],LISTADO[CATEGORIA]),"NO EXISTE")</f>
        <v/>
      </c>
      <c r="D1682" s="56">
        <f>IFERROR(_xlfn.XLOOKUP(SALIDAS[[#This Row],[CODIGO]],LISTADO[CODIGOS],LISTADO[PRODUCTOS]),"NO EXISTE")</f>
        <v/>
      </c>
      <c r="E1682" s="19" t="n">
        <v>46165</v>
      </c>
      <c r="F1682" s="18" t="n">
        <v>3</v>
      </c>
      <c r="G1682" s="18" t="inlineStr">
        <is>
          <t>SAN MARTIN (CARACAS)</t>
        </is>
      </c>
    </row>
    <row r="1683">
      <c r="B1683" s="18" t="inlineStr">
        <is>
          <t>00081-FER</t>
        </is>
      </c>
      <c r="C1683" s="56">
        <f>IFERROR(_xlfn.XLOOKUP(SALIDAS[[#This Row],[CODIGO]],LISTADO[CODIGOS],LISTADO[CATEGORIA]),"NO EXISTE")</f>
        <v/>
      </c>
      <c r="D1683" s="56">
        <f>IFERROR(_xlfn.XLOOKUP(SALIDAS[[#This Row],[CODIGO]],LISTADO[CODIGOS],LISTADO[PRODUCTOS]),"NO EXISTE")</f>
        <v/>
      </c>
      <c r="E1683" s="19" t="n">
        <v>46165</v>
      </c>
      <c r="F1683" s="15" t="n">
        <v>1</v>
      </c>
      <c r="G1683" s="18" t="inlineStr">
        <is>
          <t>SAN MARTIN (CARACAS)</t>
        </is>
      </c>
    </row>
    <row r="1684">
      <c r="B1684" s="18" t="inlineStr">
        <is>
          <t>00078-PLM</t>
        </is>
      </c>
      <c r="C1684" s="56">
        <f>IFERROR(_xlfn.XLOOKUP(SALIDAS[[#This Row],[CODIGO]],LISTADO[CODIGOS],LISTADO[CATEGORIA]),"NO EXISTE")</f>
        <v/>
      </c>
      <c r="D1684" s="56">
        <f>IFERROR(_xlfn.XLOOKUP(SALIDAS[[#This Row],[CODIGO]],LISTADO[CODIGOS],LISTADO[PRODUCTOS]),"NO EXISTE")</f>
        <v/>
      </c>
      <c r="E1684" s="19" t="n">
        <v>46165</v>
      </c>
      <c r="F1684" s="15" t="n">
        <v>2</v>
      </c>
      <c r="G1684" s="18" t="inlineStr">
        <is>
          <t>SAN MARTIN (CARACAS)</t>
        </is>
      </c>
    </row>
    <row r="1685">
      <c r="B1685" s="18" t="inlineStr">
        <is>
          <t>00140-REF</t>
        </is>
      </c>
      <c r="C1685" s="56">
        <f>IFERROR(_xlfn.XLOOKUP(SALIDAS[[#This Row],[CODIGO]],LISTADO[CODIGOS],LISTADO[CATEGORIA]),"NO EXISTE")</f>
        <v/>
      </c>
      <c r="D1685" s="56">
        <f>IFERROR(_xlfn.XLOOKUP(SALIDAS[[#This Row],[CODIGO]],LISTADO[CODIGOS],LISTADO[PRODUCTOS]),"NO EXISTE")</f>
        <v/>
      </c>
      <c r="E1685" s="19" t="n">
        <v>46165</v>
      </c>
      <c r="F1685" s="18" t="n">
        <v>1</v>
      </c>
      <c r="G1685" s="18" t="inlineStr">
        <is>
          <t>MAIQUETIA</t>
        </is>
      </c>
    </row>
    <row r="1686">
      <c r="B1686" s="56" t="inlineStr">
        <is>
          <t>00046-FER</t>
        </is>
      </c>
      <c r="C1686" s="56">
        <f>IFERROR(_xlfn.XLOOKUP(SALIDAS[[#This Row],[CODIGO]],LISTADO[CODIGOS],LISTADO[CATEGORIA]),"NO EXISTE")</f>
        <v/>
      </c>
      <c r="D1686" s="56">
        <f>IFERROR(_xlfn.XLOOKUP(SALIDAS[[#This Row],[CODIGO]],LISTADO[CODIGOS],LISTADO[PRODUCTOS]),"NO EXISTE")</f>
        <v/>
      </c>
      <c r="E1686" s="19" t="n">
        <v>46167</v>
      </c>
      <c r="F1686" s="18" t="n">
        <v>6</v>
      </c>
      <c r="G1686" s="18" t="inlineStr">
        <is>
          <t>MAIQUETIA</t>
        </is>
      </c>
    </row>
    <row r="1687">
      <c r="B1687" s="18" t="inlineStr">
        <is>
          <t>00100-REF</t>
        </is>
      </c>
      <c r="C1687" s="56">
        <f>IFERROR(_xlfn.XLOOKUP(SALIDAS[[#This Row],[CODIGO]],LISTADO[CODIGOS],LISTADO[CATEGORIA]),"NO EXISTE")</f>
        <v/>
      </c>
      <c r="D1687" s="56">
        <f>IFERROR(_xlfn.XLOOKUP(SALIDAS[[#This Row],[CODIGO]],LISTADO[CODIGOS],LISTADO[PRODUCTOS]),"NO EXISTE")</f>
        <v/>
      </c>
      <c r="E1687" s="19" t="n">
        <v>46167</v>
      </c>
      <c r="F1687" s="18" t="n">
        <v>3</v>
      </c>
      <c r="G1687" s="18" t="inlineStr">
        <is>
          <t>MAIQUETIA</t>
        </is>
      </c>
    </row>
    <row r="1688">
      <c r="B1688" s="18" t="inlineStr">
        <is>
          <t>00254-FER</t>
        </is>
      </c>
      <c r="C1688" s="56">
        <f>IFERROR(_xlfn.XLOOKUP(SALIDAS[[#This Row],[CODIGO]],LISTADO[CODIGOS],LISTADO[CATEGORIA]),"NO EXISTE")</f>
        <v/>
      </c>
      <c r="D1688" s="56">
        <f>IFERROR(_xlfn.XLOOKUP(SALIDAS[[#This Row],[CODIGO]],LISTADO[CODIGOS],LISTADO[PRODUCTOS]),"NO EXISTE")</f>
        <v/>
      </c>
      <c r="E1688" s="19" t="n">
        <v>46167</v>
      </c>
      <c r="F1688" s="18" t="n">
        <v>3</v>
      </c>
      <c r="G1688" s="18" t="inlineStr">
        <is>
          <t>MAIQUETIA</t>
        </is>
      </c>
    </row>
    <row r="1689">
      <c r="B1689" s="18" t="inlineStr">
        <is>
          <t>00255-FER</t>
        </is>
      </c>
      <c r="C1689" s="56">
        <f>IFERROR(_xlfn.XLOOKUP(SALIDAS[[#This Row],[CODIGO]],LISTADO[CODIGOS],LISTADO[CATEGORIA]),"NO EXISTE")</f>
        <v/>
      </c>
      <c r="D1689" s="56">
        <f>IFERROR(_xlfn.XLOOKUP(SALIDAS[[#This Row],[CODIGO]],LISTADO[CODIGOS],LISTADO[PRODUCTOS]),"NO EXISTE")</f>
        <v/>
      </c>
      <c r="E1689" s="19" t="n">
        <v>46167</v>
      </c>
      <c r="F1689" s="18" t="n">
        <v>4</v>
      </c>
      <c r="G1689" s="18" t="inlineStr">
        <is>
          <t>MAIQUETIA</t>
        </is>
      </c>
    </row>
    <row r="1690">
      <c r="B1690" s="18" t="inlineStr">
        <is>
          <t>00049-ELC</t>
        </is>
      </c>
      <c r="C1690" s="56">
        <f>IFERROR(_xlfn.XLOOKUP(SALIDAS[[#This Row],[CODIGO]],LISTADO[CODIGOS],LISTADO[CATEGORIA]),"NO EXISTE")</f>
        <v/>
      </c>
      <c r="D1690" s="56">
        <f>IFERROR(_xlfn.XLOOKUP(SALIDAS[[#This Row],[CODIGO]],LISTADO[CODIGOS],LISTADO[PRODUCTOS]),"NO EXISTE")</f>
        <v/>
      </c>
      <c r="E1690" s="19" t="n">
        <v>46167</v>
      </c>
      <c r="F1690" s="18" t="n">
        <v>2</v>
      </c>
      <c r="G1690" s="18" t="inlineStr">
        <is>
          <t>MAIQUETIA</t>
        </is>
      </c>
    </row>
    <row r="1691">
      <c r="B1691" s="18" t="inlineStr">
        <is>
          <t>00086-ELC</t>
        </is>
      </c>
      <c r="C1691" s="56">
        <f>IFERROR(_xlfn.XLOOKUP(SALIDAS[[#This Row],[CODIGO]],LISTADO[CODIGOS],LISTADO[CATEGORIA]),"NO EXISTE")</f>
        <v/>
      </c>
      <c r="D1691" s="56">
        <f>IFERROR(_xlfn.XLOOKUP(SALIDAS[[#This Row],[CODIGO]],LISTADO[CODIGOS],LISTADO[PRODUCTOS]),"NO EXISTE")</f>
        <v/>
      </c>
      <c r="E1691" s="19" t="n">
        <v>46170</v>
      </c>
      <c r="F1691" s="15" t="n">
        <v>1</v>
      </c>
      <c r="G1691" s="18" t="inlineStr">
        <is>
          <t>PARAISO (CARACAS)</t>
        </is>
      </c>
    </row>
    <row r="1692">
      <c r="B1692" s="18" t="inlineStr">
        <is>
          <t>00056-ELC</t>
        </is>
      </c>
      <c r="C1692" s="56">
        <f>IFERROR(_xlfn.XLOOKUP(SALIDAS[[#This Row],[CODIGO]],LISTADO[CODIGOS],LISTADO[CATEGORIA]),"NO EXISTE")</f>
        <v/>
      </c>
      <c r="D1692" s="56">
        <f>IFERROR(_xlfn.XLOOKUP(SALIDAS[[#This Row],[CODIGO]],LISTADO[CODIGOS],LISTADO[PRODUCTOS]),"NO EXISTE")</f>
        <v/>
      </c>
      <c r="E1692" s="19" t="n">
        <v>46170</v>
      </c>
      <c r="F1692" s="18" t="n">
        <v>1</v>
      </c>
      <c r="G1692" s="18" t="inlineStr">
        <is>
          <t>MAIQUETIA</t>
        </is>
      </c>
    </row>
    <row r="1693">
      <c r="B1693" s="56" t="inlineStr">
        <is>
          <t>00024-ELC</t>
        </is>
      </c>
      <c r="C1693" s="56">
        <f>IFERROR(_xlfn.XLOOKUP(SALIDAS[[#This Row],[CODIGO]],LISTADO[CODIGOS],LISTADO[CATEGORIA]),"NO EXISTE")</f>
        <v/>
      </c>
      <c r="D1693" s="56">
        <f>IFERROR(_xlfn.XLOOKUP(SALIDAS[[#This Row],[CODIGO]],LISTADO[CODIGOS],LISTADO[PRODUCTOS]),"NO EXISTE")</f>
        <v/>
      </c>
      <c r="E1693" s="19" t="n">
        <v>46170</v>
      </c>
      <c r="F1693" s="18" t="n">
        <v>3</v>
      </c>
      <c r="G1693" s="18" t="inlineStr">
        <is>
          <t>MAIQUETIA</t>
        </is>
      </c>
    </row>
    <row r="1694">
      <c r="B1694" s="18" t="inlineStr">
        <is>
          <t>00058-ELC</t>
        </is>
      </c>
      <c r="C1694" s="56">
        <f>IFERROR(_xlfn.XLOOKUP(SALIDAS[[#This Row],[CODIGO]],LISTADO[CODIGOS],LISTADO[CATEGORIA]),"NO EXISTE")</f>
        <v/>
      </c>
      <c r="D1694" s="56">
        <f>IFERROR(_xlfn.XLOOKUP(SALIDAS[[#This Row],[CODIGO]],LISTADO[CODIGOS],LISTADO[PRODUCTOS]),"NO EXISTE")</f>
        <v/>
      </c>
      <c r="E1694" s="19" t="n">
        <v>46170</v>
      </c>
      <c r="F1694" s="18" t="n">
        <v>2</v>
      </c>
      <c r="G1694" s="18" t="inlineStr">
        <is>
          <t>MAIQUETIA</t>
        </is>
      </c>
    </row>
    <row r="1695">
      <c r="B1695" s="18" t="inlineStr">
        <is>
          <t>00078-ELC</t>
        </is>
      </c>
      <c r="C1695" s="56">
        <f>IFERROR(_xlfn.XLOOKUP(SALIDAS[[#This Row],[CODIGO]],LISTADO[CODIGOS],LISTADO[CATEGORIA]),"NO EXISTE")</f>
        <v/>
      </c>
      <c r="D1695" s="56">
        <f>IFERROR(_xlfn.XLOOKUP(SALIDAS[[#This Row],[CODIGO]],LISTADO[CODIGOS],LISTADO[PRODUCTOS]),"NO EXISTE")</f>
        <v/>
      </c>
      <c r="E1695" s="19" t="n">
        <v>46170</v>
      </c>
      <c r="F1695" s="18" t="n">
        <v>4</v>
      </c>
      <c r="G1695" s="18" t="inlineStr">
        <is>
          <t>MAIQUETIA</t>
        </is>
      </c>
    </row>
    <row r="1696">
      <c r="B1696" s="18" t="inlineStr">
        <is>
          <t>00059-ELC</t>
        </is>
      </c>
      <c r="C1696" s="56">
        <f>IFERROR(_xlfn.XLOOKUP(SALIDAS[[#This Row],[CODIGO]],LISTADO[CODIGOS],LISTADO[CATEGORIA]),"NO EXISTE")</f>
        <v/>
      </c>
      <c r="D1696" s="56">
        <f>IFERROR(_xlfn.XLOOKUP(SALIDAS[[#This Row],[CODIGO]],LISTADO[CODIGOS],LISTADO[PRODUCTOS]),"NO EXISTE")</f>
        <v/>
      </c>
      <c r="E1696" s="19" t="n">
        <v>46170</v>
      </c>
      <c r="F1696" s="18" t="n">
        <v>1</v>
      </c>
      <c r="G1696" s="18" t="inlineStr">
        <is>
          <t>MAIQUETIA</t>
        </is>
      </c>
    </row>
    <row r="1697">
      <c r="B1697" s="56" t="inlineStr">
        <is>
          <t>00108-HER</t>
        </is>
      </c>
      <c r="C1697" s="56">
        <f>IFERROR(_xlfn.XLOOKUP(SALIDAS[[#This Row],[CODIGO]],LISTADO[CODIGOS],LISTADO[CATEGORIA]),"NO EXISTE")</f>
        <v/>
      </c>
      <c r="D1697" s="56">
        <f>IFERROR(_xlfn.XLOOKUP(SALIDAS[[#This Row],[CODIGO]],LISTADO[CODIGOS],LISTADO[PRODUCTOS]),"NO EXISTE")</f>
        <v/>
      </c>
      <c r="E1697" s="19" t="n">
        <v>46170</v>
      </c>
      <c r="F1697" s="18" t="n">
        <v>1</v>
      </c>
      <c r="G1697" s="18" t="inlineStr">
        <is>
          <t>MAIQUETIA</t>
        </is>
      </c>
    </row>
    <row r="1698">
      <c r="B1698" s="18" t="inlineStr">
        <is>
          <t>00083-ELC</t>
        </is>
      </c>
      <c r="C1698" s="56">
        <f>IFERROR(_xlfn.XLOOKUP(SALIDAS[[#This Row],[CODIGO]],LISTADO[CODIGOS],LISTADO[CATEGORIA]),"NO EXISTE")</f>
        <v/>
      </c>
      <c r="D1698" s="56">
        <f>IFERROR(_xlfn.XLOOKUP(SALIDAS[[#This Row],[CODIGO]],LISTADO[CODIGOS],LISTADO[PRODUCTOS]),"NO EXISTE")</f>
        <v/>
      </c>
      <c r="E1698" s="19" t="n">
        <v>46170</v>
      </c>
      <c r="F1698" s="18" t="n">
        <v>1</v>
      </c>
      <c r="G1698" s="18" t="inlineStr">
        <is>
          <t>MAIQUETIA</t>
        </is>
      </c>
    </row>
    <row r="1699">
      <c r="B1699" s="18" t="inlineStr">
        <is>
          <t>00157-REF</t>
        </is>
      </c>
      <c r="C1699" s="56">
        <f>IFERROR(_xlfn.XLOOKUP(SALIDAS[[#This Row],[CODIGO]],LISTADO[CODIGOS],LISTADO[CATEGORIA]),"NO EXISTE")</f>
        <v/>
      </c>
      <c r="D1699" s="56">
        <f>IFERROR(_xlfn.XLOOKUP(SALIDAS[[#This Row],[CODIGO]],LISTADO[CODIGOS],LISTADO[PRODUCTOS]),"NO EXISTE")</f>
        <v/>
      </c>
      <c r="E1699" s="19" t="n">
        <v>46174</v>
      </c>
      <c r="F1699" s="18" t="n">
        <v>1</v>
      </c>
      <c r="G1699" s="18" t="inlineStr">
        <is>
          <t>MAIQUETIA</t>
        </is>
      </c>
    </row>
    <row r="1700">
      <c r="B1700" s="18" t="inlineStr">
        <is>
          <t>00219-FER</t>
        </is>
      </c>
      <c r="C1700" s="56">
        <f>IFERROR(_xlfn.XLOOKUP(SALIDAS[[#This Row],[CODIGO]],LISTADO[CODIGOS],LISTADO[CATEGORIA]),"NO EXISTE")</f>
        <v/>
      </c>
      <c r="D1700" s="56">
        <f>IFERROR(_xlfn.XLOOKUP(SALIDAS[[#This Row],[CODIGO]],LISTADO[CODIGOS],LISTADO[PRODUCTOS]),"NO EXISTE")</f>
        <v/>
      </c>
      <c r="E1700" s="19" t="n">
        <v>46174</v>
      </c>
      <c r="F1700" s="18" t="n">
        <v>2</v>
      </c>
      <c r="G1700" s="18" t="inlineStr">
        <is>
          <t>MAIQUETIA</t>
        </is>
      </c>
    </row>
    <row r="1701">
      <c r="B1701" s="18" t="inlineStr">
        <is>
          <t>00158-REF</t>
        </is>
      </c>
      <c r="C1701" s="56">
        <f>IFERROR(_xlfn.XLOOKUP(SALIDAS[[#This Row],[CODIGO]],LISTADO[CODIGOS],LISTADO[CATEGORIA]),"NO EXISTE")</f>
        <v/>
      </c>
      <c r="D1701" s="56">
        <f>IFERROR(_xlfn.XLOOKUP(SALIDAS[[#This Row],[CODIGO]],LISTADO[CODIGOS],LISTADO[PRODUCTOS]),"NO EXISTE")</f>
        <v/>
      </c>
      <c r="E1701" s="19" t="n">
        <v>46174</v>
      </c>
      <c r="F1701" s="18" t="n">
        <v>8</v>
      </c>
      <c r="G1701" s="18" t="inlineStr">
        <is>
          <t>MAIQUETIA</t>
        </is>
      </c>
    </row>
    <row r="1702">
      <c r="B1702" s="18" t="inlineStr">
        <is>
          <t>00143-REF</t>
        </is>
      </c>
      <c r="C1702" s="56">
        <f>IFERROR(_xlfn.XLOOKUP(SALIDAS[[#This Row],[CODIGO]],LISTADO[CODIGOS],LISTADO[CATEGORIA]),"NO EXISTE")</f>
        <v/>
      </c>
      <c r="D1702" s="56">
        <f>IFERROR(_xlfn.XLOOKUP(SALIDAS[[#This Row],[CODIGO]],LISTADO[CODIGOS],LISTADO[PRODUCTOS]),"NO EXISTE")</f>
        <v/>
      </c>
      <c r="E1702" s="19" t="n">
        <v>46174</v>
      </c>
      <c r="F1702" s="18" t="n">
        <v>2</v>
      </c>
      <c r="G1702" s="18" t="inlineStr">
        <is>
          <t>MAIQUETIA</t>
        </is>
      </c>
    </row>
    <row r="1703">
      <c r="B1703" s="56" t="inlineStr">
        <is>
          <t>00029-REF</t>
        </is>
      </c>
      <c r="C1703" s="56">
        <f>IFERROR(_xlfn.XLOOKUP(SALIDAS[[#This Row],[CODIGO]],LISTADO[CODIGOS],LISTADO[CATEGORIA]),"NO EXISTE")</f>
        <v/>
      </c>
      <c r="D1703" s="56">
        <f>IFERROR(_xlfn.XLOOKUP(SALIDAS[[#This Row],[CODIGO]],LISTADO[CODIGOS],LISTADO[PRODUCTOS]),"NO EXISTE")</f>
        <v/>
      </c>
      <c r="E1703" s="19" t="n">
        <v>46174</v>
      </c>
      <c r="F1703" s="18" t="n">
        <v>8</v>
      </c>
      <c r="G1703" s="18" t="inlineStr">
        <is>
          <t>MAIQUETIA</t>
        </is>
      </c>
    </row>
    <row r="1704">
      <c r="B1704" s="18" t="inlineStr">
        <is>
          <t>00252-FER</t>
        </is>
      </c>
      <c r="C1704" s="56">
        <f>IFERROR(_xlfn.XLOOKUP(SALIDAS[[#This Row],[CODIGO]],LISTADO[CODIGOS],LISTADO[CATEGORIA]),"NO EXISTE")</f>
        <v/>
      </c>
      <c r="D1704" s="56">
        <f>IFERROR(_xlfn.XLOOKUP(SALIDAS[[#This Row],[CODIGO]],LISTADO[CODIGOS],LISTADO[PRODUCTOS]),"NO EXISTE")</f>
        <v/>
      </c>
      <c r="E1704" s="19" t="n">
        <v>46174</v>
      </c>
      <c r="F1704" s="18" t="n">
        <v>2</v>
      </c>
      <c r="G1704" s="18" t="inlineStr">
        <is>
          <t>MAIQUETIA</t>
        </is>
      </c>
    </row>
    <row r="1705">
      <c r="B1705" s="18" t="inlineStr">
        <is>
          <t>00121-ELE</t>
        </is>
      </c>
      <c r="C1705" s="56">
        <f>IFERROR(_xlfn.XLOOKUP(SALIDAS[[#This Row],[CODIGO]],LISTADO[CODIGOS],LISTADO[CATEGORIA]),"NO EXISTE")</f>
        <v/>
      </c>
      <c r="D1705" s="56">
        <f>IFERROR(_xlfn.XLOOKUP(SALIDAS[[#This Row],[CODIGO]],LISTADO[CODIGOS],LISTADO[PRODUCTOS]),"NO EXISTE")</f>
        <v/>
      </c>
      <c r="E1705" s="19" t="n">
        <v>46174</v>
      </c>
      <c r="F1705" s="18" t="n">
        <v>2</v>
      </c>
      <c r="G1705" s="18" t="inlineStr">
        <is>
          <t>MAIQUETIA</t>
        </is>
      </c>
    </row>
    <row r="1706">
      <c r="B1706" s="56" t="inlineStr">
        <is>
          <t>00088-REF</t>
        </is>
      </c>
      <c r="C1706" s="56">
        <f>IFERROR(_xlfn.XLOOKUP(SALIDAS[[#This Row],[CODIGO]],LISTADO[CODIGOS],LISTADO[CATEGORIA]),"NO EXISTE")</f>
        <v/>
      </c>
      <c r="D1706" s="56">
        <f>IFERROR(_xlfn.XLOOKUP(SALIDAS[[#This Row],[CODIGO]],LISTADO[CODIGOS],LISTADO[PRODUCTOS]),"NO EXISTE")</f>
        <v/>
      </c>
      <c r="E1706" s="19" t="n">
        <v>46174</v>
      </c>
      <c r="F1706" s="18" t="n">
        <v>5</v>
      </c>
      <c r="G1706" s="18" t="inlineStr">
        <is>
          <t>MAIQUETIA</t>
        </is>
      </c>
    </row>
    <row r="1707">
      <c r="B1707" s="18" t="inlineStr">
        <is>
          <t>00079-PLM</t>
        </is>
      </c>
      <c r="C1707" s="56">
        <f>IFERROR(_xlfn.XLOOKUP(SALIDAS[[#This Row],[CODIGO]],LISTADO[CODIGOS],LISTADO[CATEGORIA]),"NO EXISTE")</f>
        <v/>
      </c>
      <c r="D1707" s="56">
        <f>IFERROR(_xlfn.XLOOKUP(SALIDAS[[#This Row],[CODIGO]],LISTADO[CODIGOS],LISTADO[PRODUCTOS]),"NO EXISTE")</f>
        <v/>
      </c>
      <c r="E1707" s="19" t="n">
        <v>46174</v>
      </c>
      <c r="F1707" s="18" t="n">
        <v>1</v>
      </c>
      <c r="G1707" s="18" t="inlineStr">
        <is>
          <t>MAIQUETIA</t>
        </is>
      </c>
    </row>
    <row r="1708">
      <c r="B1708" s="18" t="inlineStr">
        <is>
          <t>00253-FER</t>
        </is>
      </c>
      <c r="C1708" s="56">
        <f>IFERROR(_xlfn.XLOOKUP(SALIDAS[[#This Row],[CODIGO]],LISTADO[CODIGOS],LISTADO[CATEGORIA]),"NO EXISTE")</f>
        <v/>
      </c>
      <c r="D1708" s="56">
        <f>IFERROR(_xlfn.XLOOKUP(SALIDAS[[#This Row],[CODIGO]],LISTADO[CODIGOS],LISTADO[PRODUCTOS]),"NO EXISTE")</f>
        <v/>
      </c>
      <c r="E1708" s="19" t="n">
        <v>46174</v>
      </c>
      <c r="F1708" s="18" t="n">
        <v>5</v>
      </c>
      <c r="G1708" s="18" t="inlineStr">
        <is>
          <t>MAIQUETIA</t>
        </is>
      </c>
    </row>
    <row r="1709">
      <c r="B1709" s="18" t="inlineStr">
        <is>
          <t>00105-REF</t>
        </is>
      </c>
      <c r="C1709" s="56">
        <f>IFERROR(_xlfn.XLOOKUP(SALIDAS[[#This Row],[CODIGO]],LISTADO[CODIGOS],LISTADO[CATEGORIA]),"NO EXISTE")</f>
        <v/>
      </c>
      <c r="D1709" s="56">
        <f>IFERROR(_xlfn.XLOOKUP(SALIDAS[[#This Row],[CODIGO]],LISTADO[CODIGOS],LISTADO[PRODUCTOS]),"NO EXISTE")</f>
        <v/>
      </c>
      <c r="E1709" s="19" t="n">
        <v>46174</v>
      </c>
      <c r="F1709" s="18" t="n">
        <v>1</v>
      </c>
      <c r="G1709" s="18" t="inlineStr">
        <is>
          <t>MAIQUETIA</t>
        </is>
      </c>
    </row>
    <row r="1710">
      <c r="B1710" s="18" t="inlineStr">
        <is>
          <t>00083-ELC</t>
        </is>
      </c>
      <c r="C1710" s="56">
        <f>IFERROR(_xlfn.XLOOKUP(SALIDAS[[#This Row],[CODIGO]],LISTADO[CODIGOS],LISTADO[CATEGORIA]),"NO EXISTE")</f>
        <v/>
      </c>
      <c r="D1710" s="56">
        <f>IFERROR(_xlfn.XLOOKUP(SALIDAS[[#This Row],[CODIGO]],LISTADO[CODIGOS],LISTADO[PRODUCTOS]),"NO EXISTE")</f>
        <v/>
      </c>
      <c r="E1710" s="19" t="n">
        <v>46176</v>
      </c>
      <c r="F1710" s="18" t="n">
        <v>1</v>
      </c>
      <c r="G1710" s="18" t="inlineStr">
        <is>
          <t>CEDI FRUVER</t>
        </is>
      </c>
    </row>
    <row r="1711">
      <c r="B1711" s="56" t="inlineStr">
        <is>
          <t>00010-MSC</t>
        </is>
      </c>
      <c r="C1711" s="56">
        <f>IFERROR(_xlfn.XLOOKUP(SALIDAS[[#This Row],[CODIGO]],LISTADO[CODIGOS],LISTADO[CATEGORIA]),"NO EXISTE")</f>
        <v/>
      </c>
      <c r="D1711" s="56">
        <f>IFERROR(_xlfn.XLOOKUP(SALIDAS[[#This Row],[CODIGO]],LISTADO[CODIGOS],LISTADO[PRODUCTOS]),"NO EXISTE")</f>
        <v/>
      </c>
      <c r="E1711" s="19" t="n">
        <v>46176</v>
      </c>
      <c r="F1711" s="18" t="n">
        <v>1</v>
      </c>
      <c r="G1711" s="18" t="inlineStr">
        <is>
          <t>MAIQUETIA</t>
        </is>
      </c>
    </row>
    <row r="1712">
      <c r="B1712" s="56" t="inlineStr">
        <is>
          <t>00015-MSC</t>
        </is>
      </c>
      <c r="C1712" s="56">
        <f>IFERROR(_xlfn.XLOOKUP(SALIDAS[[#This Row],[CODIGO]],LISTADO[CODIGOS],LISTADO[CATEGORIA]),"NO EXISTE")</f>
        <v/>
      </c>
      <c r="D1712" s="56">
        <f>IFERROR(_xlfn.XLOOKUP(SALIDAS[[#This Row],[CODIGO]],LISTADO[CODIGOS],LISTADO[PRODUCTOS]),"NO EXISTE")</f>
        <v/>
      </c>
      <c r="E1712" s="19" t="n">
        <v>46176</v>
      </c>
      <c r="F1712" s="18" t="n">
        <v>1</v>
      </c>
      <c r="G1712" s="18" t="inlineStr">
        <is>
          <t>MAIQUETIA</t>
        </is>
      </c>
    </row>
    <row r="1713">
      <c r="B1713" s="18" t="inlineStr">
        <is>
          <t>00020-MSC</t>
        </is>
      </c>
      <c r="C1713" s="56">
        <f>IFERROR(_xlfn.XLOOKUP(SALIDAS[[#This Row],[CODIGO]],LISTADO[CODIGOS],LISTADO[CATEGORIA]),"NO EXISTE")</f>
        <v/>
      </c>
      <c r="D1713" s="56">
        <f>IFERROR(_xlfn.XLOOKUP(SALIDAS[[#This Row],[CODIGO]],LISTADO[CODIGOS],LISTADO[PRODUCTOS]),"NO EXISTE")</f>
        <v/>
      </c>
      <c r="E1713" s="19" t="n">
        <v>46176</v>
      </c>
      <c r="F1713" s="18" t="n">
        <v>2</v>
      </c>
      <c r="G1713" s="18" t="inlineStr">
        <is>
          <t>MAIQUETIA</t>
        </is>
      </c>
    </row>
    <row r="1714">
      <c r="B1714" s="56" t="inlineStr">
        <is>
          <t>00001-LIM</t>
        </is>
      </c>
      <c r="C1714" s="56">
        <f>IFERROR(_xlfn.XLOOKUP(SALIDAS[[#This Row],[CODIGO]],LISTADO[CODIGOS],LISTADO[CATEGORIA]),"NO EXISTE")</f>
        <v/>
      </c>
      <c r="D1714" s="56">
        <f>IFERROR(_xlfn.XLOOKUP(SALIDAS[[#This Row],[CODIGO]],LISTADO[CODIGOS],LISTADO[PRODUCTOS]),"NO EXISTE")</f>
        <v/>
      </c>
      <c r="E1714" s="19" t="n">
        <v>46176</v>
      </c>
      <c r="F1714" s="18" t="n">
        <v>4</v>
      </c>
      <c r="G1714" s="18" t="inlineStr">
        <is>
          <t>MAIQUETIA</t>
        </is>
      </c>
    </row>
    <row r="1715">
      <c r="B1715" s="18" t="inlineStr">
        <is>
          <t>00013-LIM</t>
        </is>
      </c>
      <c r="C1715" s="56">
        <f>IFERROR(_xlfn.XLOOKUP(SALIDAS[[#This Row],[CODIGO]],LISTADO[CODIGOS],LISTADO[CATEGORIA]),"NO EXISTE")</f>
        <v/>
      </c>
      <c r="D1715" s="56">
        <f>IFERROR(_xlfn.XLOOKUP(SALIDAS[[#This Row],[CODIGO]],LISTADO[CODIGOS],LISTADO[PRODUCTOS]),"NO EXISTE")</f>
        <v/>
      </c>
      <c r="E1715" s="19" t="n">
        <v>46176</v>
      </c>
      <c r="F1715" s="18" t="n">
        <v>2</v>
      </c>
      <c r="G1715" s="18" t="inlineStr">
        <is>
          <t>MAIQUETIA</t>
        </is>
      </c>
    </row>
    <row r="1716">
      <c r="B1716" s="56" t="inlineStr">
        <is>
          <t>00005-LIM</t>
        </is>
      </c>
      <c r="C1716" s="56">
        <f>IFERROR(_xlfn.XLOOKUP(SALIDAS[[#This Row],[CODIGO]],LISTADO[CODIGOS],LISTADO[CATEGORIA]),"NO EXISTE")</f>
        <v/>
      </c>
      <c r="D1716" s="56">
        <f>IFERROR(_xlfn.XLOOKUP(SALIDAS[[#This Row],[CODIGO]],LISTADO[CODIGOS],LISTADO[PRODUCTOS]),"NO EXISTE")</f>
        <v/>
      </c>
      <c r="E1716" s="19" t="n">
        <v>46176</v>
      </c>
      <c r="F1716" s="18" t="n">
        <v>4</v>
      </c>
      <c r="G1716" s="18" t="inlineStr">
        <is>
          <t>MAIQUETIA</t>
        </is>
      </c>
    </row>
    <row r="1717">
      <c r="B1717" s="56" t="inlineStr">
        <is>
          <t>00011-LIM</t>
        </is>
      </c>
      <c r="C1717" s="56">
        <f>IFERROR(_xlfn.XLOOKUP(SALIDAS[[#This Row],[CODIGO]],LISTADO[CODIGOS],LISTADO[CATEGORIA]),"NO EXISTE")</f>
        <v/>
      </c>
      <c r="D1717" s="56">
        <f>IFERROR(_xlfn.XLOOKUP(SALIDAS[[#This Row],[CODIGO]],LISTADO[CODIGOS],LISTADO[PRODUCTOS]),"NO EXISTE")</f>
        <v/>
      </c>
      <c r="E1717" s="19" t="n">
        <v>46176</v>
      </c>
      <c r="F1717" s="18" t="n">
        <v>2</v>
      </c>
      <c r="G1717" s="18" t="inlineStr">
        <is>
          <t>MAIQUETIA</t>
        </is>
      </c>
    </row>
    <row r="1718">
      <c r="B1718" s="18" t="inlineStr">
        <is>
          <t>00023-LIM</t>
        </is>
      </c>
      <c r="C1718" s="56">
        <f>IFERROR(_xlfn.XLOOKUP(SALIDAS[[#This Row],[CODIGO]],LISTADO[CODIGOS],LISTADO[CATEGORIA]),"NO EXISTE")</f>
        <v/>
      </c>
      <c r="D1718" s="56">
        <f>IFERROR(_xlfn.XLOOKUP(SALIDAS[[#This Row],[CODIGO]],LISTADO[CODIGOS],LISTADO[PRODUCTOS]),"NO EXISTE")</f>
        <v/>
      </c>
      <c r="E1718" s="19" t="n">
        <v>46176</v>
      </c>
      <c r="F1718" s="18" t="n">
        <v>2</v>
      </c>
      <c r="G1718" s="18" t="inlineStr">
        <is>
          <t>MAIQUETIA</t>
        </is>
      </c>
    </row>
    <row r="1719">
      <c r="B1719" s="18" t="inlineStr">
        <is>
          <t>00032-LIM</t>
        </is>
      </c>
      <c r="C1719" s="56">
        <f>IFERROR(_xlfn.XLOOKUP(SALIDAS[[#This Row],[CODIGO]],LISTADO[CODIGOS],LISTADO[CATEGORIA]),"NO EXISTE")</f>
        <v/>
      </c>
      <c r="D1719" s="56">
        <f>IFERROR(_xlfn.XLOOKUP(SALIDAS[[#This Row],[CODIGO]],LISTADO[CODIGOS],LISTADO[PRODUCTOS]),"NO EXISTE")</f>
        <v/>
      </c>
      <c r="E1719" s="19" t="n">
        <v>46176</v>
      </c>
      <c r="F1719" s="18" t="n">
        <v>2</v>
      </c>
      <c r="G1719" s="18" t="inlineStr">
        <is>
          <t>MAIQUETIA</t>
        </is>
      </c>
    </row>
    <row r="1720">
      <c r="B1720" s="18" t="inlineStr">
        <is>
          <t>00022-LIM</t>
        </is>
      </c>
      <c r="C1720" s="56">
        <f>IFERROR(_xlfn.XLOOKUP(SALIDAS[[#This Row],[CODIGO]],LISTADO[CODIGOS],LISTADO[CATEGORIA]),"NO EXISTE")</f>
        <v/>
      </c>
      <c r="D1720" s="56">
        <f>IFERROR(_xlfn.XLOOKUP(SALIDAS[[#This Row],[CODIGO]],LISTADO[CODIGOS],LISTADO[PRODUCTOS]),"NO EXISTE")</f>
        <v/>
      </c>
      <c r="E1720" s="19" t="n">
        <v>46176</v>
      </c>
      <c r="F1720" s="18" t="n">
        <v>11</v>
      </c>
      <c r="G1720" s="18" t="inlineStr">
        <is>
          <t>MAIQUETIA</t>
        </is>
      </c>
    </row>
    <row r="1721">
      <c r="B1721" s="18" t="inlineStr">
        <is>
          <t>00033-LIM</t>
        </is>
      </c>
      <c r="C1721" s="56">
        <f>IFERROR(_xlfn.XLOOKUP(SALIDAS[[#This Row],[CODIGO]],LISTADO[CODIGOS],LISTADO[CATEGORIA]),"NO EXISTE")</f>
        <v/>
      </c>
      <c r="D1721" s="56">
        <f>IFERROR(_xlfn.XLOOKUP(SALIDAS[[#This Row],[CODIGO]],LISTADO[CODIGOS],LISTADO[PRODUCTOS]),"NO EXISTE")</f>
        <v/>
      </c>
      <c r="E1721" s="19" t="n">
        <v>46176</v>
      </c>
      <c r="F1721" s="18" t="n">
        <v>1</v>
      </c>
      <c r="G1721" s="18" t="inlineStr">
        <is>
          <t>SAN MARTIN (CARACAS)</t>
        </is>
      </c>
    </row>
    <row r="1722">
      <c r="B1722" s="18" t="inlineStr">
        <is>
          <t>00009-FER</t>
        </is>
      </c>
      <c r="C1722" s="56">
        <f>IFERROR(_xlfn.XLOOKUP(SALIDAS[[#This Row],[CODIGO]],LISTADO[CODIGOS],LISTADO[CATEGORIA]),"NO EXISTE")</f>
        <v/>
      </c>
      <c r="D1722" s="56">
        <f>IFERROR(_xlfn.XLOOKUP(SALIDAS[[#This Row],[CODIGO]],LISTADO[CODIGOS],LISTADO[PRODUCTOS]),"NO EXISTE")</f>
        <v/>
      </c>
      <c r="E1722" s="19" t="n">
        <v>46176</v>
      </c>
      <c r="F1722" s="18" t="n">
        <v>6</v>
      </c>
      <c r="G1722" s="18" t="inlineStr">
        <is>
          <t>MAIQUETIA</t>
        </is>
      </c>
    </row>
    <row r="1723">
      <c r="B1723" s="56" t="inlineStr">
        <is>
          <t>00010-FER</t>
        </is>
      </c>
      <c r="C1723" s="56">
        <f>IFERROR(_xlfn.XLOOKUP(SALIDAS[[#This Row],[CODIGO]],LISTADO[CODIGOS],LISTADO[CATEGORIA]),"NO EXISTE")</f>
        <v/>
      </c>
      <c r="D1723" s="56">
        <f>IFERROR(_xlfn.XLOOKUP(SALIDAS[[#This Row],[CODIGO]],LISTADO[CODIGOS],LISTADO[PRODUCTOS]),"NO EXISTE")</f>
        <v/>
      </c>
      <c r="E1723" s="19" t="n">
        <v>46176</v>
      </c>
      <c r="F1723" s="18" t="n">
        <v>6</v>
      </c>
      <c r="G1723" s="18" t="inlineStr">
        <is>
          <t>MAIQUETIA</t>
        </is>
      </c>
    </row>
    <row r="1724">
      <c r="B1724" s="18" t="inlineStr">
        <is>
          <t>00246-FER</t>
        </is>
      </c>
      <c r="C1724" s="56">
        <f>IFERROR(_xlfn.XLOOKUP(SALIDAS[[#This Row],[CODIGO]],LISTADO[CODIGOS],LISTADO[CATEGORIA]),"NO EXISTE")</f>
        <v/>
      </c>
      <c r="D1724" s="56">
        <f>IFERROR(_xlfn.XLOOKUP(SALIDAS[[#This Row],[CODIGO]],LISTADO[CODIGOS],LISTADO[PRODUCTOS]),"NO EXISTE")</f>
        <v/>
      </c>
      <c r="E1724" s="19" t="n">
        <v>46176</v>
      </c>
      <c r="F1724" s="18" t="n">
        <v>2</v>
      </c>
      <c r="G1724" s="18" t="inlineStr">
        <is>
          <t>MAIQUETIA</t>
        </is>
      </c>
    </row>
    <row r="1725">
      <c r="B1725" s="56" t="inlineStr">
        <is>
          <t>00074-FER</t>
        </is>
      </c>
      <c r="C1725" s="56">
        <f>IFERROR(_xlfn.XLOOKUP(SALIDAS[[#This Row],[CODIGO]],LISTADO[CODIGOS],LISTADO[CATEGORIA]),"NO EXISTE")</f>
        <v/>
      </c>
      <c r="D1725" s="56">
        <f>IFERROR(_xlfn.XLOOKUP(SALIDAS[[#This Row],[CODIGO]],LISTADO[CODIGOS],LISTADO[PRODUCTOS]),"NO EXISTE")</f>
        <v/>
      </c>
      <c r="E1725" s="19" t="n">
        <v>46157</v>
      </c>
      <c r="F1725" s="18" t="n">
        <v>8</v>
      </c>
      <c r="G1725" s="18" t="inlineStr">
        <is>
          <t>MAIQUETIA</t>
        </is>
      </c>
    </row>
    <row r="1726">
      <c r="B1726" s="18" t="inlineStr">
        <is>
          <t>00075-ELE</t>
        </is>
      </c>
      <c r="C1726" s="56">
        <f>IFERROR(_xlfn.XLOOKUP(SALIDAS[[#This Row],[CODIGO]],LISTADO[CODIGOS],LISTADO[CATEGORIA]),"NO EXISTE")</f>
        <v/>
      </c>
      <c r="D1726" s="56">
        <f>IFERROR(_xlfn.XLOOKUP(SALIDAS[[#This Row],[CODIGO]],LISTADO[CODIGOS],LISTADO[PRODUCTOS]),"NO EXISTE")</f>
        <v/>
      </c>
      <c r="E1726" s="19" t="n">
        <v>46157</v>
      </c>
      <c r="F1726" s="18" t="n">
        <v>300</v>
      </c>
      <c r="G1726" s="18" t="inlineStr">
        <is>
          <t>MAIQUETIA</t>
        </is>
      </c>
    </row>
    <row r="1727">
      <c r="B1727" s="18" t="inlineStr">
        <is>
          <t>00066-ELE</t>
        </is>
      </c>
      <c r="C1727" s="56">
        <f>IFERROR(_xlfn.XLOOKUP(SALIDAS[[#This Row],[CODIGO]],LISTADO[CODIGOS],LISTADO[CATEGORIA]),"NO EXISTE")</f>
        <v/>
      </c>
      <c r="D1727" s="56">
        <f>IFERROR(_xlfn.XLOOKUP(SALIDAS[[#This Row],[CODIGO]],LISTADO[CODIGOS],LISTADO[PRODUCTOS]),"NO EXISTE")</f>
        <v/>
      </c>
      <c r="E1727" s="19" t="n">
        <v>46157</v>
      </c>
      <c r="F1727" s="18" t="n">
        <v>300</v>
      </c>
      <c r="G1727" s="18" t="inlineStr">
        <is>
          <t>MAIQUETIA</t>
        </is>
      </c>
    </row>
    <row r="1728">
      <c r="B1728" s="18" t="inlineStr">
        <is>
          <t>00089-ELE</t>
        </is>
      </c>
      <c r="C1728" s="56">
        <f>IFERROR(_xlfn.XLOOKUP(SALIDAS[[#This Row],[CODIGO]],LISTADO[CODIGOS],LISTADO[CATEGORIA]),"NO EXISTE")</f>
        <v/>
      </c>
      <c r="D1728" s="56">
        <f>IFERROR(_xlfn.XLOOKUP(SALIDAS[[#This Row],[CODIGO]],LISTADO[CODIGOS],LISTADO[PRODUCTOS]),"NO EXISTE")</f>
        <v/>
      </c>
      <c r="E1728" s="19" t="n">
        <v>46157</v>
      </c>
      <c r="F1728" s="18" t="n">
        <v>400</v>
      </c>
      <c r="G1728" s="18" t="inlineStr">
        <is>
          <t>MAIQUETIA</t>
        </is>
      </c>
    </row>
    <row r="1729">
      <c r="B1729" s="56" t="inlineStr">
        <is>
          <t>00046-FER</t>
        </is>
      </c>
      <c r="C1729" s="56">
        <f>IFERROR(_xlfn.XLOOKUP(SALIDAS[[#This Row],[CODIGO]],LISTADO[CODIGOS],LISTADO[CATEGORIA]),"NO EXISTE")</f>
        <v/>
      </c>
      <c r="D1729" s="56">
        <f>IFERROR(_xlfn.XLOOKUP(SALIDAS[[#This Row],[CODIGO]],LISTADO[CODIGOS],LISTADO[PRODUCTOS]),"NO EXISTE")</f>
        <v/>
      </c>
      <c r="E1729" s="19" t="n">
        <v>46157</v>
      </c>
      <c r="F1729" s="18" t="n">
        <v>8</v>
      </c>
      <c r="G1729" s="18" t="inlineStr">
        <is>
          <t>MAIQUETIA</t>
        </is>
      </c>
    </row>
    <row r="1730">
      <c r="B1730" s="56" t="inlineStr">
        <is>
          <t>00127-ELE</t>
        </is>
      </c>
      <c r="C1730" s="56">
        <f>IFERROR(_xlfn.XLOOKUP(SALIDAS[[#This Row],[CODIGO]],LISTADO[CODIGOS],LISTADO[CATEGORIA]),"NO EXISTE")</f>
        <v/>
      </c>
      <c r="D1730" s="56">
        <f>IFERROR(_xlfn.XLOOKUP(SALIDAS[[#This Row],[CODIGO]],LISTADO[CODIGOS],LISTADO[PRODUCTOS]),"NO EXISTE")</f>
        <v/>
      </c>
      <c r="E1730" s="19" t="n">
        <v>46157</v>
      </c>
      <c r="F1730" s="18" t="n">
        <v>40</v>
      </c>
      <c r="G1730" s="18" t="inlineStr">
        <is>
          <t>MAIQUETIA</t>
        </is>
      </c>
    </row>
    <row r="1731">
      <c r="B1731" s="18" t="inlineStr">
        <is>
          <t>00099-ELE</t>
        </is>
      </c>
      <c r="C1731" s="56">
        <f>IFERROR(_xlfn.XLOOKUP(SALIDAS[[#This Row],[CODIGO]],LISTADO[CODIGOS],LISTADO[CATEGORIA]),"NO EXISTE")</f>
        <v/>
      </c>
      <c r="D1731" s="56">
        <f>IFERROR(_xlfn.XLOOKUP(SALIDAS[[#This Row],[CODIGO]],LISTADO[CODIGOS],LISTADO[PRODUCTOS]),"NO EXISTE")</f>
        <v/>
      </c>
      <c r="E1731" s="19" t="n">
        <v>46157</v>
      </c>
      <c r="F1731" s="18" t="n">
        <v>50</v>
      </c>
      <c r="G1731" s="18" t="inlineStr">
        <is>
          <t>MAIQUETIA</t>
        </is>
      </c>
    </row>
    <row r="1732">
      <c r="B1732" s="18" t="inlineStr">
        <is>
          <t>00082-ELE</t>
        </is>
      </c>
      <c r="C1732" s="56">
        <f>IFERROR(_xlfn.XLOOKUP(SALIDAS[[#This Row],[CODIGO]],LISTADO[CODIGOS],LISTADO[CATEGORIA]),"NO EXISTE")</f>
        <v/>
      </c>
      <c r="D1732" s="56">
        <f>IFERROR(_xlfn.XLOOKUP(SALIDAS[[#This Row],[CODIGO]],LISTADO[CODIGOS],LISTADO[PRODUCTOS]),"NO EXISTE")</f>
        <v/>
      </c>
      <c r="E1732" s="19" t="n">
        <v>46157</v>
      </c>
      <c r="F1732" s="18" t="n">
        <v>150</v>
      </c>
      <c r="G1732" s="18" t="inlineStr">
        <is>
          <t>MAIQUETIA</t>
        </is>
      </c>
    </row>
    <row r="1733">
      <c r="B1733" s="18" t="inlineStr">
        <is>
          <t>00055-ELE</t>
        </is>
      </c>
      <c r="C1733" s="56">
        <f>IFERROR(_xlfn.XLOOKUP(SALIDAS[[#This Row],[CODIGO]],LISTADO[CODIGOS],LISTADO[CATEGORIA]),"NO EXISTE")</f>
        <v/>
      </c>
      <c r="D1733" s="56">
        <f>IFERROR(_xlfn.XLOOKUP(SALIDAS[[#This Row],[CODIGO]],LISTADO[CODIGOS],LISTADO[PRODUCTOS]),"NO EXISTE")</f>
        <v/>
      </c>
      <c r="E1733" s="19" t="n">
        <v>46157</v>
      </c>
      <c r="F1733" s="18" t="n">
        <v>40</v>
      </c>
      <c r="G1733" s="18" t="inlineStr">
        <is>
          <t>MAIQUETIA</t>
        </is>
      </c>
    </row>
    <row r="1734">
      <c r="B1734" s="56" t="inlineStr">
        <is>
          <t>00088-FER</t>
        </is>
      </c>
      <c r="C1734" s="56">
        <f>IFERROR(_xlfn.XLOOKUP(SALIDAS[[#This Row],[CODIGO]],LISTADO[CODIGOS],LISTADO[CATEGORIA]),"NO EXISTE")</f>
        <v/>
      </c>
      <c r="D1734" s="56">
        <f>IFERROR(_xlfn.XLOOKUP(SALIDAS[[#This Row],[CODIGO]],LISTADO[CODIGOS],LISTADO[PRODUCTOS]),"NO EXISTE")</f>
        <v/>
      </c>
      <c r="E1734" s="19" t="n">
        <v>46157</v>
      </c>
      <c r="F1734" s="18" t="n">
        <v>100</v>
      </c>
      <c r="G1734" s="18" t="inlineStr">
        <is>
          <t>MAIQUETIA</t>
        </is>
      </c>
    </row>
    <row r="1735">
      <c r="B1735" s="56" t="inlineStr">
        <is>
          <t>00094-FER</t>
        </is>
      </c>
      <c r="C1735" s="56">
        <f>IFERROR(_xlfn.XLOOKUP(SALIDAS[[#This Row],[CODIGO]],LISTADO[CODIGOS],LISTADO[CATEGORIA]),"NO EXISTE")</f>
        <v/>
      </c>
      <c r="D1735" s="56">
        <f>IFERROR(_xlfn.XLOOKUP(SALIDAS[[#This Row],[CODIGO]],LISTADO[CODIGOS],LISTADO[PRODUCTOS]),"NO EXISTE")</f>
        <v/>
      </c>
      <c r="E1735" s="19" t="n">
        <v>46157</v>
      </c>
      <c r="F1735" s="18" t="n">
        <v>140</v>
      </c>
      <c r="G1735" s="18" t="inlineStr">
        <is>
          <t>MAIQUETIA</t>
        </is>
      </c>
    </row>
    <row r="1736">
      <c r="B1736" s="56" t="inlineStr">
        <is>
          <t>00091-FER</t>
        </is>
      </c>
      <c r="C1736" s="56">
        <f>IFERROR(_xlfn.XLOOKUP(SALIDAS[[#This Row],[CODIGO]],LISTADO[CODIGOS],LISTADO[CATEGORIA]),"NO EXISTE")</f>
        <v/>
      </c>
      <c r="D1736" s="56">
        <f>IFERROR(_xlfn.XLOOKUP(SALIDAS[[#This Row],[CODIGO]],LISTADO[CODIGOS],LISTADO[PRODUCTOS]),"NO EXISTE")</f>
        <v/>
      </c>
      <c r="E1736" s="19" t="n">
        <v>46157</v>
      </c>
      <c r="F1736" s="18" t="n">
        <v>120</v>
      </c>
      <c r="G1736" s="18" t="inlineStr">
        <is>
          <t>MAIQUETIA</t>
        </is>
      </c>
    </row>
    <row r="1737">
      <c r="B1737" s="18" t="inlineStr">
        <is>
          <t>00128-ELE</t>
        </is>
      </c>
      <c r="C1737" s="56">
        <f>IFERROR(_xlfn.XLOOKUP(SALIDAS[[#This Row],[CODIGO]],LISTADO[CODIGOS],LISTADO[CATEGORIA]),"NO EXISTE")</f>
        <v/>
      </c>
      <c r="D1737" s="56">
        <f>IFERROR(_xlfn.XLOOKUP(SALIDAS[[#This Row],[CODIGO]],LISTADO[CODIGOS],LISTADO[PRODUCTOS]),"NO EXISTE")</f>
        <v/>
      </c>
      <c r="E1737" s="19" t="n">
        <v>46157</v>
      </c>
      <c r="F1737" s="18" t="n">
        <v>120</v>
      </c>
      <c r="G1737" s="18" t="inlineStr">
        <is>
          <t>MAIQUETIA</t>
        </is>
      </c>
    </row>
    <row r="1738">
      <c r="B1738" s="18" t="inlineStr">
        <is>
          <t>00105-ELE</t>
        </is>
      </c>
      <c r="C1738" s="56">
        <f>IFERROR(_xlfn.XLOOKUP(SALIDAS[[#This Row],[CODIGO]],LISTADO[CODIGOS],LISTADO[CATEGORIA]),"NO EXISTE")</f>
        <v/>
      </c>
      <c r="D1738" s="56">
        <f>IFERROR(_xlfn.XLOOKUP(SALIDAS[[#This Row],[CODIGO]],LISTADO[CODIGOS],LISTADO[PRODUCTOS]),"NO EXISTE")</f>
        <v/>
      </c>
      <c r="E1738" s="19" t="n">
        <v>46157</v>
      </c>
      <c r="F1738" s="18" t="n">
        <v>50</v>
      </c>
      <c r="G1738" s="18" t="inlineStr">
        <is>
          <t>MAIQUETIA</t>
        </is>
      </c>
    </row>
    <row r="1739">
      <c r="B1739" s="56" t="inlineStr">
        <is>
          <t>00060-ELE</t>
        </is>
      </c>
      <c r="C1739" s="56">
        <f>IFERROR(_xlfn.XLOOKUP(SALIDAS[[#This Row],[CODIGO]],LISTADO[CODIGOS],LISTADO[CATEGORIA]),"NO EXISTE")</f>
        <v/>
      </c>
      <c r="D1739" s="56">
        <f>IFERROR(_xlfn.XLOOKUP(SALIDAS[[#This Row],[CODIGO]],LISTADO[CODIGOS],LISTADO[PRODUCTOS]),"NO EXISTE")</f>
        <v/>
      </c>
      <c r="E1739" s="19" t="n">
        <v>46157</v>
      </c>
      <c r="F1739" s="18" t="n">
        <v>150</v>
      </c>
      <c r="G1739" s="18" t="inlineStr">
        <is>
          <t>MAIQUETIA</t>
        </is>
      </c>
    </row>
    <row r="1740">
      <c r="B1740" s="18" t="inlineStr">
        <is>
          <t>00069-HRR</t>
        </is>
      </c>
      <c r="C1740" s="56">
        <f>IFERROR(_xlfn.XLOOKUP(SALIDAS[[#This Row],[CODIGO]],LISTADO[CODIGOS],LISTADO[CATEGORIA]),"NO EXISTE")</f>
        <v/>
      </c>
      <c r="D1740" s="56">
        <f>IFERROR(_xlfn.XLOOKUP(SALIDAS[[#This Row],[CODIGO]],LISTADO[CODIGOS],LISTADO[PRODUCTOS]),"NO EXISTE")</f>
        <v/>
      </c>
      <c r="E1740" s="19" t="n">
        <v>46157</v>
      </c>
      <c r="F1740" s="18" t="n">
        <v>40</v>
      </c>
      <c r="G1740" s="18" t="inlineStr">
        <is>
          <t>MAIQUETIA</t>
        </is>
      </c>
    </row>
    <row r="1741">
      <c r="B1741" s="18" t="inlineStr">
        <is>
          <t>00040-HRR</t>
        </is>
      </c>
      <c r="C1741" s="56">
        <f>IFERROR(_xlfn.XLOOKUP(SALIDAS[[#This Row],[CODIGO]],LISTADO[CODIGOS],LISTADO[CATEGORIA]),"NO EXISTE")</f>
        <v/>
      </c>
      <c r="D1741" s="56">
        <f>IFERROR(_xlfn.XLOOKUP(SALIDAS[[#This Row],[CODIGO]],LISTADO[CODIGOS],LISTADO[PRODUCTOS]),"NO EXISTE")</f>
        <v/>
      </c>
      <c r="E1741" s="19" t="n">
        <v>46157</v>
      </c>
      <c r="F1741" s="18" t="n">
        <v>70</v>
      </c>
      <c r="G1741" s="18" t="inlineStr">
        <is>
          <t>MAIQUETIA</t>
        </is>
      </c>
    </row>
    <row r="1742">
      <c r="B1742" s="56" t="inlineStr">
        <is>
          <t>00070-HRR</t>
        </is>
      </c>
      <c r="C1742" s="56">
        <f>IFERROR(_xlfn.XLOOKUP(SALIDAS[[#This Row],[CODIGO]],LISTADO[CODIGOS],LISTADO[CATEGORIA]),"NO EXISTE")</f>
        <v/>
      </c>
      <c r="D1742" s="56">
        <f>IFERROR(_xlfn.XLOOKUP(SALIDAS[[#This Row],[CODIGO]],LISTADO[CODIGOS],LISTADO[PRODUCTOS]),"NO EXISTE")</f>
        <v/>
      </c>
      <c r="E1742" s="19" t="n">
        <v>46157</v>
      </c>
      <c r="F1742" s="18" t="n">
        <v>450</v>
      </c>
      <c r="G1742" s="18" t="inlineStr">
        <is>
          <t>MAIQUETIA</t>
        </is>
      </c>
    </row>
    <row r="1743">
      <c r="B1743" s="18" t="inlineStr">
        <is>
          <t>00031-HRR</t>
        </is>
      </c>
      <c r="C1743" s="56">
        <f>IFERROR(_xlfn.XLOOKUP(SALIDAS[[#This Row],[CODIGO]],LISTADO[CODIGOS],LISTADO[CATEGORIA]),"NO EXISTE")</f>
        <v/>
      </c>
      <c r="D1743" s="56">
        <f>IFERROR(_xlfn.XLOOKUP(SALIDAS[[#This Row],[CODIGO]],LISTADO[CODIGOS],LISTADO[PRODUCTOS]),"NO EXISTE")</f>
        <v/>
      </c>
      <c r="E1743" s="19" t="n">
        <v>46157</v>
      </c>
      <c r="F1743" s="18" t="n">
        <v>70</v>
      </c>
      <c r="G1743" s="18" t="inlineStr">
        <is>
          <t>MAIQUETIA</t>
        </is>
      </c>
    </row>
    <row r="1744">
      <c r="B1744" s="18" t="inlineStr">
        <is>
          <t>00129-ELE</t>
        </is>
      </c>
      <c r="C1744" s="56">
        <f>IFERROR(_xlfn.XLOOKUP(SALIDAS[[#This Row],[CODIGO]],LISTADO[CODIGOS],LISTADO[CATEGORIA]),"NO EXISTE")</f>
        <v/>
      </c>
      <c r="D1744" s="56">
        <f>IFERROR(_xlfn.XLOOKUP(SALIDAS[[#This Row],[CODIGO]],LISTADO[CODIGOS],LISTADO[PRODUCTOS]),"NO EXISTE")</f>
        <v/>
      </c>
      <c r="E1744" s="19" t="n">
        <v>46157</v>
      </c>
      <c r="F1744" s="18" t="n">
        <v>10</v>
      </c>
      <c r="G1744" s="18" t="inlineStr">
        <is>
          <t>MAIQUETIA</t>
        </is>
      </c>
    </row>
    <row r="1745">
      <c r="B1745" s="18" t="inlineStr">
        <is>
          <t>00103-ELE</t>
        </is>
      </c>
      <c r="C1745" s="56">
        <f>IFERROR(_xlfn.XLOOKUP(SALIDAS[[#This Row],[CODIGO]],LISTADO[CODIGOS],LISTADO[CATEGORIA]),"NO EXISTE")</f>
        <v/>
      </c>
      <c r="D1745" s="56">
        <f>IFERROR(_xlfn.XLOOKUP(SALIDAS[[#This Row],[CODIGO]],LISTADO[CODIGOS],LISTADO[PRODUCTOS]),"NO EXISTE")</f>
        <v/>
      </c>
      <c r="E1745" s="19" t="n">
        <v>46157</v>
      </c>
      <c r="F1745" s="18" t="n">
        <v>16</v>
      </c>
      <c r="G1745" s="18" t="inlineStr">
        <is>
          <t>MAIQUETIA</t>
        </is>
      </c>
    </row>
    <row r="1746">
      <c r="B1746" s="18" t="inlineStr">
        <is>
          <t>00079-ELE</t>
        </is>
      </c>
      <c r="C1746" s="56">
        <f>IFERROR(_xlfn.XLOOKUP(SALIDAS[[#This Row],[CODIGO]],LISTADO[CODIGOS],LISTADO[CATEGORIA]),"NO EXISTE")</f>
        <v/>
      </c>
      <c r="D1746" s="56">
        <f>IFERROR(_xlfn.XLOOKUP(SALIDAS[[#This Row],[CODIGO]],LISTADO[CODIGOS],LISTADO[PRODUCTOS]),"NO EXISTE")</f>
        <v/>
      </c>
      <c r="E1746" s="19" t="n">
        <v>46157</v>
      </c>
      <c r="F1746" s="18" t="n">
        <v>100</v>
      </c>
      <c r="G1746" s="18" t="inlineStr">
        <is>
          <t>MAIQUETIA</t>
        </is>
      </c>
    </row>
    <row r="1747">
      <c r="B1747" s="56" t="inlineStr">
        <is>
          <t>00100-FER</t>
        </is>
      </c>
      <c r="C1747" s="56">
        <f>IFERROR(_xlfn.XLOOKUP(SALIDAS[[#This Row],[CODIGO]],LISTADO[CODIGOS],LISTADO[CATEGORIA]),"NO EXISTE")</f>
        <v/>
      </c>
      <c r="D1747" s="56">
        <f>IFERROR(_xlfn.XLOOKUP(SALIDAS[[#This Row],[CODIGO]],LISTADO[CODIGOS],LISTADO[PRODUCTOS]),"NO EXISTE")</f>
        <v/>
      </c>
      <c r="E1747" s="19" t="n">
        <v>46157</v>
      </c>
      <c r="F1747" s="18" t="n">
        <v>70</v>
      </c>
      <c r="G1747" s="18" t="inlineStr">
        <is>
          <t>MAIQUETIA</t>
        </is>
      </c>
    </row>
    <row r="1748">
      <c r="B1748" s="56" t="inlineStr">
        <is>
          <t>00024-FER</t>
        </is>
      </c>
      <c r="C1748" s="56">
        <f>IFERROR(_xlfn.XLOOKUP(SALIDAS[[#This Row],[CODIGO]],LISTADO[CODIGOS],LISTADO[CATEGORIA]),"NO EXISTE")</f>
        <v/>
      </c>
      <c r="D1748" s="56">
        <f>IFERROR(_xlfn.XLOOKUP(SALIDAS[[#This Row],[CODIGO]],LISTADO[CODIGOS],LISTADO[PRODUCTOS]),"NO EXISTE")</f>
        <v/>
      </c>
      <c r="E1748" s="19" t="n">
        <v>46155</v>
      </c>
      <c r="F1748" s="18" t="n">
        <v>4</v>
      </c>
      <c r="G1748" s="18" t="inlineStr">
        <is>
          <t>MAIQUETIA</t>
        </is>
      </c>
    </row>
    <row r="1749">
      <c r="B1749" s="18" t="inlineStr">
        <is>
          <t>00226-FER</t>
        </is>
      </c>
      <c r="C1749" s="56">
        <f>IFERROR(_xlfn.XLOOKUP(SALIDAS[[#This Row],[CODIGO]],LISTADO[CODIGOS],LISTADO[CATEGORIA]),"NO EXISTE")</f>
        <v/>
      </c>
      <c r="D1749" s="56">
        <f>IFERROR(_xlfn.XLOOKUP(SALIDAS[[#This Row],[CODIGO]],LISTADO[CODIGOS],LISTADO[PRODUCTOS]),"NO EXISTE")</f>
        <v/>
      </c>
      <c r="E1749" s="19" t="n">
        <v>46155</v>
      </c>
      <c r="F1749" s="18" t="n">
        <v>11</v>
      </c>
      <c r="G1749" s="18" t="inlineStr">
        <is>
          <t>MAIQUETIA</t>
        </is>
      </c>
    </row>
    <row r="1750">
      <c r="B1750" s="18" t="inlineStr">
        <is>
          <t>00063-HRR</t>
        </is>
      </c>
      <c r="C1750" s="56">
        <f>IFERROR(_xlfn.XLOOKUP(SALIDAS[[#This Row],[CODIGO]],LISTADO[CODIGOS],LISTADO[CATEGORIA]),"NO EXISTE")</f>
        <v/>
      </c>
      <c r="D1750" s="56">
        <f>IFERROR(_xlfn.XLOOKUP(SALIDAS[[#This Row],[CODIGO]],LISTADO[CODIGOS],LISTADO[PRODUCTOS]),"NO EXISTE")</f>
        <v/>
      </c>
      <c r="E1750" s="19" t="n">
        <v>46155</v>
      </c>
      <c r="F1750" s="18" t="n">
        <v>4</v>
      </c>
      <c r="G1750" s="18" t="inlineStr">
        <is>
          <t>MAIQUETIA</t>
        </is>
      </c>
    </row>
    <row r="1751">
      <c r="B1751" s="56" t="inlineStr">
        <is>
          <t>00050-HRR</t>
        </is>
      </c>
      <c r="C1751" s="56">
        <f>IFERROR(_xlfn.XLOOKUP(SALIDAS[[#This Row],[CODIGO]],LISTADO[CODIGOS],LISTADO[CATEGORIA]),"NO EXISTE")</f>
        <v/>
      </c>
      <c r="D1751" s="56">
        <f>IFERROR(_xlfn.XLOOKUP(SALIDAS[[#This Row],[CODIGO]],LISTADO[CODIGOS],LISTADO[PRODUCTOS]),"NO EXISTE")</f>
        <v/>
      </c>
      <c r="E1751" s="19" t="n">
        <v>46155</v>
      </c>
      <c r="F1751" s="18" t="n">
        <v>70</v>
      </c>
      <c r="G1751" s="18" t="inlineStr">
        <is>
          <t>MAIQUETIA</t>
        </is>
      </c>
    </row>
    <row r="1752">
      <c r="B1752" s="56" t="inlineStr">
        <is>
          <t>00009-LIM</t>
        </is>
      </c>
      <c r="C1752" s="56">
        <f>IFERROR(_xlfn.XLOOKUP(SALIDAS[[#This Row],[CODIGO]],LISTADO[CODIGOS],LISTADO[CATEGORIA]),"NO EXISTE")</f>
        <v/>
      </c>
      <c r="D1752" s="56">
        <f>IFERROR(_xlfn.XLOOKUP(SALIDAS[[#This Row],[CODIGO]],LISTADO[CODIGOS],LISTADO[PRODUCTOS]),"NO EXISTE")</f>
        <v/>
      </c>
      <c r="E1752" s="19" t="n">
        <v>46182</v>
      </c>
      <c r="F1752" s="18" t="n">
        <v>6</v>
      </c>
      <c r="G1752" s="18" t="inlineStr">
        <is>
          <t>MAIQUETIA</t>
        </is>
      </c>
    </row>
    <row r="1753">
      <c r="B1753" s="56" t="inlineStr">
        <is>
          <t>00063-FER</t>
        </is>
      </c>
      <c r="C1753" s="56">
        <f>IFERROR(_xlfn.XLOOKUP(SALIDAS[[#This Row],[CODIGO]],LISTADO[CODIGOS],LISTADO[CATEGORIA]),"NO EXISTE")</f>
        <v/>
      </c>
      <c r="D1753" s="56">
        <f>IFERROR(_xlfn.XLOOKUP(SALIDAS[[#This Row],[CODIGO]],LISTADO[CODIGOS],LISTADO[PRODUCTOS]),"NO EXISTE")</f>
        <v/>
      </c>
      <c r="E1753" s="19" t="n">
        <v>46182</v>
      </c>
      <c r="F1753" s="18" t="n">
        <v>2</v>
      </c>
      <c r="G1753" s="18" t="inlineStr">
        <is>
          <t>MAIQUETIA</t>
        </is>
      </c>
    </row>
    <row r="1754">
      <c r="B1754" s="56" t="inlineStr">
        <is>
          <t>00035-LIM</t>
        </is>
      </c>
      <c r="C1754" s="56">
        <f>IFERROR(_xlfn.XLOOKUP(SALIDAS[[#This Row],[CODIGO]],LISTADO[CODIGOS],LISTADO[CATEGORIA]),"NO EXISTE")</f>
        <v/>
      </c>
      <c r="D1754" s="56">
        <f>IFERROR(_xlfn.XLOOKUP(SALIDAS[[#This Row],[CODIGO]],LISTADO[CODIGOS],LISTADO[PRODUCTOS]),"NO EXISTE")</f>
        <v/>
      </c>
      <c r="E1754" s="19" t="n">
        <v>46184</v>
      </c>
      <c r="F1754" s="18" t="n">
        <v>3</v>
      </c>
      <c r="G1754" s="18" t="inlineStr">
        <is>
          <t>MAIQUETIA</t>
        </is>
      </c>
    </row>
    <row r="1755">
      <c r="B1755" s="18" t="inlineStr">
        <is>
          <t>00034-MSC</t>
        </is>
      </c>
      <c r="C1755" s="56">
        <f>IFERROR(_xlfn.XLOOKUP(SALIDAS[[#This Row],[CODIGO]],LISTADO[CODIGOS],LISTADO[CATEGORIA]),"NO EXISTE")</f>
        <v/>
      </c>
      <c r="D1755" s="56">
        <f>IFERROR(_xlfn.XLOOKUP(SALIDAS[[#This Row],[CODIGO]],LISTADO[CODIGOS],LISTADO[PRODUCTOS]),"NO EXISTE")</f>
        <v/>
      </c>
      <c r="E1755" s="19" t="n">
        <v>46185</v>
      </c>
      <c r="F1755" s="18" t="n">
        <v>1</v>
      </c>
      <c r="G1755" s="18" t="inlineStr">
        <is>
          <t>MAIQUETIA</t>
        </is>
      </c>
    </row>
    <row r="1756">
      <c r="B1756" s="56" t="inlineStr">
        <is>
          <t>00004-FER</t>
        </is>
      </c>
      <c r="C1756" s="56">
        <f>IFERROR(_xlfn.XLOOKUP(SALIDAS[[#This Row],[CODIGO]],LISTADO[CODIGOS],LISTADO[CATEGORIA]),"NO EXISTE")</f>
        <v/>
      </c>
      <c r="D1756" s="56">
        <f>IFERROR(_xlfn.XLOOKUP(SALIDAS[[#This Row],[CODIGO]],LISTADO[CODIGOS],LISTADO[PRODUCTOS]),"NO EXISTE")</f>
        <v/>
      </c>
      <c r="E1756" s="19" t="n">
        <v>46146</v>
      </c>
      <c r="F1756" s="18" t="n">
        <v>500</v>
      </c>
      <c r="G1756" s="18" t="inlineStr">
        <is>
          <t>MAIQUETIA</t>
        </is>
      </c>
    </row>
    <row r="1757">
      <c r="B1757" s="18" t="inlineStr">
        <is>
          <t>00001-HRR</t>
        </is>
      </c>
      <c r="C1757" s="56">
        <f>IFERROR(_xlfn.XLOOKUP(SALIDAS[[#This Row],[CODIGO]],LISTADO[CODIGOS],LISTADO[CATEGORIA]),"NO EXISTE")</f>
        <v/>
      </c>
      <c r="D1757" s="56">
        <f>IFERROR(_xlfn.XLOOKUP(SALIDAS[[#This Row],[CODIGO]],LISTADO[CODIGOS],LISTADO[PRODUCTOS]),"NO EXISTE")</f>
        <v/>
      </c>
      <c r="E1757" s="19" t="n">
        <v>46146</v>
      </c>
      <c r="F1757" s="18" t="n">
        <v>1</v>
      </c>
      <c r="G1757" s="18" t="inlineStr">
        <is>
          <t>MAIQUETIA</t>
        </is>
      </c>
    </row>
    <row r="1758">
      <c r="B1758" s="56" t="inlineStr">
        <is>
          <t>00003-HRR</t>
        </is>
      </c>
      <c r="C1758" s="56">
        <f>IFERROR(_xlfn.XLOOKUP(SALIDAS[[#This Row],[CODIGO]],LISTADO[CODIGOS],LISTADO[CATEGORIA]),"NO EXISTE")</f>
        <v/>
      </c>
      <c r="D1758" s="56">
        <f>IFERROR(_xlfn.XLOOKUP(SALIDAS[[#This Row],[CODIGO]],LISTADO[CODIGOS],LISTADO[PRODUCTOS]),"NO EXISTE")</f>
        <v/>
      </c>
      <c r="E1758" s="19" t="n">
        <v>46146</v>
      </c>
      <c r="F1758" s="18" t="n">
        <v>3</v>
      </c>
      <c r="G1758" s="18" t="inlineStr">
        <is>
          <t>MAIQUETIA</t>
        </is>
      </c>
    </row>
    <row r="1759">
      <c r="B1759" s="56" t="inlineStr">
        <is>
          <t>00005-HRR</t>
        </is>
      </c>
      <c r="C1759" s="56">
        <f>IFERROR(_xlfn.XLOOKUP(SALIDAS[[#This Row],[CODIGO]],LISTADO[CODIGOS],LISTADO[CATEGORIA]),"NO EXISTE")</f>
        <v/>
      </c>
      <c r="D1759" s="56">
        <f>IFERROR(_xlfn.XLOOKUP(SALIDAS[[#This Row],[CODIGO]],LISTADO[CODIGOS],LISTADO[PRODUCTOS]),"NO EXISTE")</f>
        <v/>
      </c>
      <c r="E1759" s="19" t="n">
        <v>46146</v>
      </c>
      <c r="F1759" s="18" t="n">
        <v>3</v>
      </c>
      <c r="G1759" s="18" t="inlineStr">
        <is>
          <t>MAIQUETIA</t>
        </is>
      </c>
    </row>
    <row r="1760">
      <c r="B1760" s="56" t="inlineStr">
        <is>
          <t>00007-HRR</t>
        </is>
      </c>
      <c r="C1760" s="56">
        <f>IFERROR(_xlfn.XLOOKUP(SALIDAS[[#This Row],[CODIGO]],LISTADO[CODIGOS],LISTADO[CATEGORIA]),"NO EXISTE")</f>
        <v/>
      </c>
      <c r="D1760" s="56">
        <f>IFERROR(_xlfn.XLOOKUP(SALIDAS[[#This Row],[CODIGO]],LISTADO[CODIGOS],LISTADO[PRODUCTOS]),"NO EXISTE")</f>
        <v/>
      </c>
      <c r="E1760" s="19" t="n">
        <v>46146</v>
      </c>
      <c r="F1760" s="18" t="n">
        <v>5</v>
      </c>
      <c r="G1760" s="18" t="inlineStr">
        <is>
          <t>MAIQUETIA</t>
        </is>
      </c>
    </row>
    <row r="1761">
      <c r="B1761" s="56" t="inlineStr">
        <is>
          <t>00028-FER</t>
        </is>
      </c>
      <c r="C1761" s="56">
        <f>IFERROR(_xlfn.XLOOKUP(SALIDAS[[#This Row],[CODIGO]],LISTADO[CODIGOS],LISTADO[CATEGORIA]),"NO EXISTE")</f>
        <v/>
      </c>
      <c r="D1761" s="56">
        <f>IFERROR(_xlfn.XLOOKUP(SALIDAS[[#This Row],[CODIGO]],LISTADO[CODIGOS],LISTADO[PRODUCTOS]),"NO EXISTE")</f>
        <v/>
      </c>
      <c r="E1761" s="19" t="n">
        <v>46146</v>
      </c>
      <c r="F1761" s="18" t="n">
        <v>1</v>
      </c>
      <c r="G1761" s="18" t="inlineStr">
        <is>
          <t>MAIQUETIA</t>
        </is>
      </c>
    </row>
    <row r="1762">
      <c r="B1762" s="56" t="inlineStr">
        <is>
          <t>00098-FER</t>
        </is>
      </c>
      <c r="C1762" s="56">
        <f>IFERROR(_xlfn.XLOOKUP(SALIDAS[[#This Row],[CODIGO]],LISTADO[CODIGOS],LISTADO[CATEGORIA]),"NO EXISTE")</f>
        <v/>
      </c>
      <c r="D1762" s="56">
        <f>IFERROR(_xlfn.XLOOKUP(SALIDAS[[#This Row],[CODIGO]],LISTADO[CODIGOS],LISTADO[PRODUCTOS]),"NO EXISTE")</f>
        <v/>
      </c>
      <c r="E1762" s="19" t="n">
        <v>46147</v>
      </c>
      <c r="F1762" s="18" t="n">
        <v>1</v>
      </c>
      <c r="G1762" s="18" t="inlineStr">
        <is>
          <t>MAIQUETIA</t>
        </is>
      </c>
    </row>
    <row r="1763">
      <c r="B1763" s="56" t="inlineStr">
        <is>
          <t>00024-FER</t>
        </is>
      </c>
      <c r="C1763" s="56">
        <f>IFERROR(_xlfn.XLOOKUP(SALIDAS[[#This Row],[CODIGO]],LISTADO[CODIGOS],LISTADO[CATEGORIA]),"NO EXISTE")</f>
        <v/>
      </c>
      <c r="D1763" s="56">
        <f>IFERROR(_xlfn.XLOOKUP(SALIDAS[[#This Row],[CODIGO]],LISTADO[CODIGOS],LISTADO[PRODUCTOS]),"NO EXISTE")</f>
        <v/>
      </c>
      <c r="E1763" s="19" t="n">
        <v>46134</v>
      </c>
      <c r="F1763" s="18" t="n">
        <v>8</v>
      </c>
      <c r="G1763" s="18" t="inlineStr">
        <is>
          <t>MAIQUETIA</t>
        </is>
      </c>
    </row>
    <row r="1764">
      <c r="B1764" s="18" t="inlineStr">
        <is>
          <t>00001-HRR</t>
        </is>
      </c>
      <c r="C1764" s="56">
        <f>IFERROR(_xlfn.XLOOKUP(SALIDAS[[#This Row],[CODIGO]],LISTADO[CODIGOS],LISTADO[CATEGORIA]),"NO EXISTE")</f>
        <v/>
      </c>
      <c r="D1764" s="56">
        <f>IFERROR(_xlfn.XLOOKUP(SALIDAS[[#This Row],[CODIGO]],LISTADO[CODIGOS],LISTADO[PRODUCTOS]),"NO EXISTE")</f>
        <v/>
      </c>
      <c r="E1764" s="19" t="n">
        <v>46134</v>
      </c>
      <c r="F1764" s="18" t="n">
        <v>2</v>
      </c>
      <c r="G1764" s="18" t="inlineStr">
        <is>
          <t>MAIQUETIA</t>
        </is>
      </c>
    </row>
    <row r="1765">
      <c r="B1765" s="56" t="inlineStr">
        <is>
          <t>00007-HRR</t>
        </is>
      </c>
      <c r="C1765" s="56">
        <f>IFERROR(_xlfn.XLOOKUP(SALIDAS[[#This Row],[CODIGO]],LISTADO[CODIGOS],LISTADO[CATEGORIA]),"NO EXISTE")</f>
        <v/>
      </c>
      <c r="D1765" s="56">
        <f>IFERROR(_xlfn.XLOOKUP(SALIDAS[[#This Row],[CODIGO]],LISTADO[CODIGOS],LISTADO[PRODUCTOS]),"NO EXISTE")</f>
        <v/>
      </c>
      <c r="E1765" s="19" t="n">
        <v>46134</v>
      </c>
      <c r="F1765" s="18" t="n">
        <v>20</v>
      </c>
      <c r="G1765" s="18" t="inlineStr">
        <is>
          <t>MAIQUETIA</t>
        </is>
      </c>
    </row>
    <row r="1766">
      <c r="B1766" s="56" t="inlineStr">
        <is>
          <t>00052-FER</t>
        </is>
      </c>
      <c r="C1766" s="56">
        <f>IFERROR(_xlfn.XLOOKUP(SALIDAS[[#This Row],[CODIGO]],LISTADO[CODIGOS],LISTADO[CATEGORIA]),"NO EXISTE")</f>
        <v/>
      </c>
      <c r="D1766" s="56">
        <f>IFERROR(_xlfn.XLOOKUP(SALIDAS[[#This Row],[CODIGO]],LISTADO[CODIGOS],LISTADO[PRODUCTOS]),"NO EXISTE")</f>
        <v/>
      </c>
      <c r="E1766" s="19" t="n">
        <v>46134</v>
      </c>
      <c r="F1766" s="18" t="n">
        <v>4</v>
      </c>
      <c r="G1766" s="18" t="inlineStr">
        <is>
          <t>MAIQUETIA</t>
        </is>
      </c>
    </row>
    <row r="1767">
      <c r="B1767" s="56" t="inlineStr">
        <is>
          <t>00139-FER</t>
        </is>
      </c>
      <c r="C1767" s="56">
        <f>IFERROR(_xlfn.XLOOKUP(SALIDAS[[#This Row],[CODIGO]],LISTADO[CODIGOS],LISTADO[CATEGORIA]),"NO EXISTE")</f>
        <v/>
      </c>
      <c r="D1767" s="56">
        <f>IFERROR(_xlfn.XLOOKUP(SALIDAS[[#This Row],[CODIGO]],LISTADO[CODIGOS],LISTADO[PRODUCTOS]),"NO EXISTE")</f>
        <v/>
      </c>
      <c r="E1767" s="19" t="n">
        <v>46134</v>
      </c>
      <c r="F1767" s="18" t="n">
        <v>10</v>
      </c>
      <c r="G1767" s="18" t="inlineStr">
        <is>
          <t>MAIQUETIA</t>
        </is>
      </c>
    </row>
    <row r="1768">
      <c r="B1768" s="18" t="inlineStr">
        <is>
          <t>00262-FER</t>
        </is>
      </c>
      <c r="C1768" s="56">
        <f>IFERROR(_xlfn.XLOOKUP(SALIDAS[[#This Row],[CODIGO]],LISTADO[CODIGOS],LISTADO[CATEGORIA]),"NO EXISTE")</f>
        <v/>
      </c>
      <c r="D1768" s="56">
        <f>IFERROR(_xlfn.XLOOKUP(SALIDAS[[#This Row],[CODIGO]],LISTADO[CODIGOS],LISTADO[PRODUCTOS]),"NO EXISTE")</f>
        <v/>
      </c>
      <c r="E1768" s="19" t="n">
        <v>46134</v>
      </c>
      <c r="F1768" s="18" t="n">
        <v>600</v>
      </c>
      <c r="G1768" s="18" t="inlineStr">
        <is>
          <t>MAIQUETIA</t>
        </is>
      </c>
    </row>
    <row r="1769">
      <c r="B1769" s="56" t="inlineStr">
        <is>
          <t>00001-REF</t>
        </is>
      </c>
      <c r="C1769" s="56">
        <f>IFERROR(_xlfn.XLOOKUP(SALIDAS[[#This Row],[CODIGO]],LISTADO[CODIGOS],LISTADO[CATEGORIA]),"NO EXISTE")</f>
        <v/>
      </c>
      <c r="D1769" s="56">
        <f>IFERROR(_xlfn.XLOOKUP(SALIDAS[[#This Row],[CODIGO]],LISTADO[CODIGOS],LISTADO[PRODUCTOS]),"NO EXISTE")</f>
        <v/>
      </c>
      <c r="E1769" s="19" t="n">
        <v>46134</v>
      </c>
      <c r="F1769" s="18" t="n">
        <v>60</v>
      </c>
      <c r="G1769" s="18" t="inlineStr">
        <is>
          <t>MAIQUETIA</t>
        </is>
      </c>
    </row>
    <row r="1770">
      <c r="B1770" s="56" t="inlineStr">
        <is>
          <t>00037-ILU</t>
        </is>
      </c>
      <c r="C1770" s="56">
        <f>IFERROR(_xlfn.XLOOKUP(SALIDAS[[#This Row],[CODIGO]],LISTADO[CODIGOS],LISTADO[CATEGORIA]),"NO EXISTE")</f>
        <v/>
      </c>
      <c r="D1770" s="56">
        <f>IFERROR(_xlfn.XLOOKUP(SALIDAS[[#This Row],[CODIGO]],LISTADO[CODIGOS],LISTADO[PRODUCTOS]),"NO EXISTE")</f>
        <v/>
      </c>
      <c r="E1770" s="19" t="n">
        <v>46134</v>
      </c>
      <c r="F1770" s="18" t="n">
        <v>10</v>
      </c>
      <c r="G1770" s="18" t="inlineStr">
        <is>
          <t>MAIQUETIA</t>
        </is>
      </c>
    </row>
    <row r="1771">
      <c r="B1771" s="18" t="inlineStr">
        <is>
          <t>00049-ELC</t>
        </is>
      </c>
      <c r="C1771" s="56">
        <f>IFERROR(_xlfn.XLOOKUP(SALIDAS[[#This Row],[CODIGO]],LISTADO[CODIGOS],LISTADO[CATEGORIA]),"NO EXISTE")</f>
        <v/>
      </c>
      <c r="D1771" s="56">
        <f>IFERROR(_xlfn.XLOOKUP(SALIDAS[[#This Row],[CODIGO]],LISTADO[CODIGOS],LISTADO[PRODUCTOS]),"NO EXISTE")</f>
        <v/>
      </c>
      <c r="E1771" s="19" t="n">
        <v>46171</v>
      </c>
      <c r="F1771" s="18" t="n">
        <v>1</v>
      </c>
      <c r="G1771" s="18" t="inlineStr">
        <is>
          <t>TURMERO</t>
        </is>
      </c>
    </row>
    <row r="1772">
      <c r="B1772" s="18" t="inlineStr">
        <is>
          <t>00189-FER</t>
        </is>
      </c>
      <c r="C1772" s="56">
        <f>IFERROR(_xlfn.XLOOKUP(SALIDAS[[#This Row],[CODIGO]],LISTADO[CODIGOS],LISTADO[CATEGORIA]),"NO EXISTE")</f>
        <v/>
      </c>
      <c r="D1772" s="56">
        <f>IFERROR(_xlfn.XLOOKUP(SALIDAS[[#This Row],[CODIGO]],LISTADO[CODIGOS],LISTADO[PRODUCTOS]),"NO EXISTE")</f>
        <v/>
      </c>
      <c r="E1772" s="19" t="n">
        <v>46171</v>
      </c>
      <c r="F1772" s="18" t="n">
        <v>21</v>
      </c>
      <c r="G1772" s="18" t="inlineStr">
        <is>
          <t>TURMERO</t>
        </is>
      </c>
    </row>
    <row r="1773">
      <c r="B1773" s="56" t="inlineStr">
        <is>
          <t>00034-ELE</t>
        </is>
      </c>
      <c r="C1773" s="56">
        <f>IFERROR(_xlfn.XLOOKUP(SALIDAS[[#This Row],[CODIGO]],LISTADO[CODIGOS],LISTADO[CATEGORIA]),"NO EXISTE")</f>
        <v/>
      </c>
      <c r="D1773" s="56">
        <f>IFERROR(_xlfn.XLOOKUP(SALIDAS[[#This Row],[CODIGO]],LISTADO[CODIGOS],LISTADO[PRODUCTOS]),"NO EXISTE")</f>
        <v/>
      </c>
      <c r="E1773" s="19" t="n">
        <v>46171</v>
      </c>
      <c r="F1773" s="18" t="n">
        <v>5</v>
      </c>
      <c r="G1773" s="18" t="inlineStr">
        <is>
          <t>TURMERO</t>
        </is>
      </c>
    </row>
    <row r="1774">
      <c r="B1774" s="56" t="inlineStr">
        <is>
          <t>00029-ELE</t>
        </is>
      </c>
      <c r="C1774" s="56">
        <f>IFERROR(_xlfn.XLOOKUP(SALIDAS[[#This Row],[CODIGO]],LISTADO[CODIGOS],LISTADO[CATEGORIA]),"NO EXISTE")</f>
        <v/>
      </c>
      <c r="D1774" s="56">
        <f>IFERROR(_xlfn.XLOOKUP(SALIDAS[[#This Row],[CODIGO]],LISTADO[CODIGOS],LISTADO[PRODUCTOS]),"NO EXISTE")</f>
        <v/>
      </c>
      <c r="E1774" s="19" t="n">
        <v>46171</v>
      </c>
      <c r="F1774" s="18" t="n">
        <v>1</v>
      </c>
      <c r="G1774" s="18" t="inlineStr">
        <is>
          <t>TURMERO</t>
        </is>
      </c>
    </row>
    <row r="1775">
      <c r="B1775" s="56" t="inlineStr">
        <is>
          <t>00028-ELE</t>
        </is>
      </c>
      <c r="C1775" s="56">
        <f>IFERROR(_xlfn.XLOOKUP(SALIDAS[[#This Row],[CODIGO]],LISTADO[CODIGOS],LISTADO[CATEGORIA]),"NO EXISTE")</f>
        <v/>
      </c>
      <c r="D1775" s="56">
        <f>IFERROR(_xlfn.XLOOKUP(SALIDAS[[#This Row],[CODIGO]],LISTADO[CODIGOS],LISTADO[PRODUCTOS]),"NO EXISTE")</f>
        <v/>
      </c>
      <c r="E1775" s="19" t="n">
        <v>46171</v>
      </c>
      <c r="F1775" s="18" t="n">
        <v>1</v>
      </c>
      <c r="G1775" s="18" t="inlineStr">
        <is>
          <t>TURMERO</t>
        </is>
      </c>
    </row>
    <row r="1776">
      <c r="B1776" s="56" t="inlineStr">
        <is>
          <t>00027-ELE</t>
        </is>
      </c>
      <c r="C1776" s="56">
        <f>IFERROR(_xlfn.XLOOKUP(SALIDAS[[#This Row],[CODIGO]],LISTADO[CODIGOS],LISTADO[CATEGORIA]),"NO EXISTE")</f>
        <v/>
      </c>
      <c r="D1776" s="56">
        <f>IFERROR(_xlfn.XLOOKUP(SALIDAS[[#This Row],[CODIGO]],LISTADO[CODIGOS],LISTADO[PRODUCTOS]),"NO EXISTE")</f>
        <v/>
      </c>
      <c r="E1776" s="19" t="n">
        <v>46171</v>
      </c>
      <c r="F1776" s="18" t="n">
        <v>2</v>
      </c>
      <c r="G1776" s="18" t="inlineStr">
        <is>
          <t>TURMERO</t>
        </is>
      </c>
    </row>
    <row r="1777">
      <c r="B1777" s="56" t="inlineStr">
        <is>
          <t>00061-ELE</t>
        </is>
      </c>
      <c r="C1777" s="56">
        <f>IFERROR(_xlfn.XLOOKUP(SALIDAS[[#This Row],[CODIGO]],LISTADO[CODIGOS],LISTADO[CATEGORIA]),"NO EXISTE")</f>
        <v/>
      </c>
      <c r="D1777" s="56">
        <f>IFERROR(_xlfn.XLOOKUP(SALIDAS[[#This Row],[CODIGO]],LISTADO[CODIGOS],LISTADO[PRODUCTOS]),"NO EXISTE")</f>
        <v/>
      </c>
      <c r="E1777" s="19" t="n">
        <v>46171</v>
      </c>
      <c r="F1777" s="18" t="n">
        <v>1</v>
      </c>
      <c r="G1777" s="18" t="inlineStr">
        <is>
          <t>TURMERO</t>
        </is>
      </c>
    </row>
    <row r="1778">
      <c r="B1778" s="56" t="inlineStr">
        <is>
          <t>00028-FER</t>
        </is>
      </c>
      <c r="C1778" s="56">
        <f>IFERROR(_xlfn.XLOOKUP(SALIDAS[[#This Row],[CODIGO]],LISTADO[CODIGOS],LISTADO[CATEGORIA]),"NO EXISTE")</f>
        <v/>
      </c>
      <c r="D1778" s="56">
        <f>IFERROR(_xlfn.XLOOKUP(SALIDAS[[#This Row],[CODIGO]],LISTADO[CODIGOS],LISTADO[PRODUCTOS]),"NO EXISTE")</f>
        <v/>
      </c>
      <c r="E1778" s="19" t="n">
        <v>46171</v>
      </c>
      <c r="F1778" s="18" t="n">
        <v>1</v>
      </c>
      <c r="G1778" s="18" t="inlineStr">
        <is>
          <t>TURMERO</t>
        </is>
      </c>
    </row>
    <row r="1779">
      <c r="B1779" s="56" t="inlineStr">
        <is>
          <t>00031-FER</t>
        </is>
      </c>
      <c r="C1779" s="56">
        <f>IFERROR(_xlfn.XLOOKUP(SALIDAS[[#This Row],[CODIGO]],LISTADO[CODIGOS],LISTADO[CATEGORIA]),"NO EXISTE")</f>
        <v/>
      </c>
      <c r="D1779" s="56">
        <f>IFERROR(_xlfn.XLOOKUP(SALIDAS[[#This Row],[CODIGO]],LISTADO[CODIGOS],LISTADO[PRODUCTOS]),"NO EXISTE")</f>
        <v/>
      </c>
      <c r="E1779" s="19" t="n">
        <v>46171</v>
      </c>
      <c r="F1779" s="18" t="n">
        <v>1</v>
      </c>
      <c r="G1779" s="18" t="inlineStr">
        <is>
          <t>TURMERO</t>
        </is>
      </c>
    </row>
    <row r="1780">
      <c r="B1780" s="56" t="inlineStr">
        <is>
          <t>00014-ELE</t>
        </is>
      </c>
      <c r="C1780" s="56">
        <f>IFERROR(_xlfn.XLOOKUP(SALIDAS[[#This Row],[CODIGO]],LISTADO[CODIGOS],LISTADO[CATEGORIA]),"NO EXISTE")</f>
        <v/>
      </c>
      <c r="D1780" s="56">
        <f>IFERROR(_xlfn.XLOOKUP(SALIDAS[[#This Row],[CODIGO]],LISTADO[CODIGOS],LISTADO[PRODUCTOS]),"NO EXISTE")</f>
        <v/>
      </c>
      <c r="E1780" s="19" t="n">
        <v>46171</v>
      </c>
      <c r="F1780" s="18" t="n">
        <v>70</v>
      </c>
      <c r="G1780" s="18" t="inlineStr">
        <is>
          <t>TURMERO</t>
        </is>
      </c>
    </row>
    <row r="1781">
      <c r="B1781" s="18" t="inlineStr">
        <is>
          <t>00083-ELC</t>
        </is>
      </c>
      <c r="C1781" s="56">
        <f>IFERROR(_xlfn.XLOOKUP(SALIDAS[[#This Row],[CODIGO]],LISTADO[CODIGOS],LISTADO[CATEGORIA]),"NO EXISTE")</f>
        <v/>
      </c>
      <c r="D1781" s="56">
        <f>IFERROR(_xlfn.XLOOKUP(SALIDAS[[#This Row],[CODIGO]],LISTADO[CODIGOS],LISTADO[PRODUCTOS]),"NO EXISTE")</f>
        <v/>
      </c>
      <c r="E1781" s="19" t="n">
        <v>46168</v>
      </c>
      <c r="F1781" s="18" t="n">
        <v>1</v>
      </c>
      <c r="G1781" s="18" t="inlineStr">
        <is>
          <t>TURMERO</t>
        </is>
      </c>
    </row>
    <row r="1782">
      <c r="B1782" s="18" t="inlineStr">
        <is>
          <t>00008-ELC</t>
        </is>
      </c>
      <c r="C1782" s="56">
        <f>IFERROR(_xlfn.XLOOKUP(SALIDAS[[#This Row],[CODIGO]],LISTADO[CODIGOS],LISTADO[CATEGORIA]),"NO EXISTE")</f>
        <v/>
      </c>
      <c r="D1782" s="56">
        <f>IFERROR(_xlfn.XLOOKUP(SALIDAS[[#This Row],[CODIGO]],LISTADO[CODIGOS],LISTADO[PRODUCTOS]),"NO EXISTE")</f>
        <v/>
      </c>
      <c r="E1782" s="19" t="n">
        <v>46165</v>
      </c>
      <c r="F1782" s="18" t="n">
        <v>5</v>
      </c>
      <c r="G1782" s="18" t="inlineStr">
        <is>
          <t>TURMERO</t>
        </is>
      </c>
    </row>
    <row r="1783">
      <c r="B1783" s="18" t="inlineStr">
        <is>
          <t>00035-MSC</t>
        </is>
      </c>
      <c r="C1783" s="56">
        <f>IFERROR(_xlfn.XLOOKUP(SALIDAS[[#This Row],[CODIGO]],LISTADO[CODIGOS],LISTADO[CATEGORIA]),"NO EXISTE")</f>
        <v/>
      </c>
      <c r="D1783" s="56">
        <f>IFERROR(_xlfn.XLOOKUP(SALIDAS[[#This Row],[CODIGO]],LISTADO[CODIGOS],LISTADO[PRODUCTOS]),"NO EXISTE")</f>
        <v/>
      </c>
      <c r="E1783" s="19" t="n">
        <v>46163</v>
      </c>
      <c r="F1783" s="18" t="n">
        <v>200</v>
      </c>
      <c r="G1783" s="18" t="inlineStr">
        <is>
          <t>TURMERO</t>
        </is>
      </c>
    </row>
    <row r="1784">
      <c r="B1784" s="56" t="inlineStr">
        <is>
          <t>00116-FER</t>
        </is>
      </c>
      <c r="C1784" s="56">
        <f>IFERROR(_xlfn.XLOOKUP(SALIDAS[[#This Row],[CODIGO]],LISTADO[CODIGOS],LISTADO[CATEGORIA]),"NO EXISTE")</f>
        <v/>
      </c>
      <c r="D1784" s="56">
        <f>IFERROR(_xlfn.XLOOKUP(SALIDAS[[#This Row],[CODIGO]],LISTADO[CODIGOS],LISTADO[PRODUCTOS]),"NO EXISTE")</f>
        <v/>
      </c>
      <c r="E1784" s="19" t="n">
        <v>46163</v>
      </c>
      <c r="F1784" s="18" t="n">
        <v>1200</v>
      </c>
      <c r="G1784" s="18" t="inlineStr">
        <is>
          <t>TURMERO</t>
        </is>
      </c>
    </row>
    <row r="1785">
      <c r="B1785" s="18" t="inlineStr">
        <is>
          <t>00036-MSC</t>
        </is>
      </c>
      <c r="C1785" s="56">
        <f>IFERROR(_xlfn.XLOOKUP(SALIDAS[[#This Row],[CODIGO]],LISTADO[CODIGOS],LISTADO[CATEGORIA]),"NO EXISTE")</f>
        <v/>
      </c>
      <c r="D1785" s="56">
        <f>IFERROR(_xlfn.XLOOKUP(SALIDAS[[#This Row],[CODIGO]],LISTADO[CODIGOS],LISTADO[PRODUCTOS]),"NO EXISTE")</f>
        <v/>
      </c>
      <c r="E1785" s="19" t="n">
        <v>46163</v>
      </c>
      <c r="F1785" s="18" t="n">
        <v>1</v>
      </c>
      <c r="G1785" s="18" t="inlineStr">
        <is>
          <t>TURMERO</t>
        </is>
      </c>
    </row>
    <row r="1786">
      <c r="B1786" s="18" t="inlineStr">
        <is>
          <t>00032-MSC</t>
        </is>
      </c>
      <c r="C1786" s="56">
        <f>IFERROR(_xlfn.XLOOKUP(SALIDAS[[#This Row],[CODIGO]],LISTADO[CODIGOS],LISTADO[CATEGORIA]),"NO EXISTE")</f>
        <v/>
      </c>
      <c r="D1786" s="56">
        <f>IFERROR(_xlfn.XLOOKUP(SALIDAS[[#This Row],[CODIGO]],LISTADO[CODIGOS],LISTADO[PRODUCTOS]),"NO EXISTE")</f>
        <v/>
      </c>
      <c r="E1786" s="19" t="n">
        <v>46163</v>
      </c>
      <c r="F1786" s="18" t="n">
        <v>1</v>
      </c>
      <c r="G1786" s="18" t="inlineStr">
        <is>
          <t>TURMERO</t>
        </is>
      </c>
    </row>
    <row r="1787">
      <c r="B1787" s="56" t="inlineStr">
        <is>
          <t>00063-FER</t>
        </is>
      </c>
      <c r="C1787" s="56">
        <f>IFERROR(_xlfn.XLOOKUP(SALIDAS[[#This Row],[CODIGO]],LISTADO[CODIGOS],LISTADO[CATEGORIA]),"NO EXISTE")</f>
        <v/>
      </c>
      <c r="D1787" s="56">
        <f>IFERROR(_xlfn.XLOOKUP(SALIDAS[[#This Row],[CODIGO]],LISTADO[CODIGOS],LISTADO[PRODUCTOS]),"NO EXISTE")</f>
        <v/>
      </c>
      <c r="E1787" s="19" t="n">
        <v>46163</v>
      </c>
      <c r="F1787" s="18" t="n">
        <v>10</v>
      </c>
      <c r="G1787" s="18" t="inlineStr">
        <is>
          <t>TURMERO</t>
        </is>
      </c>
    </row>
    <row r="1788">
      <c r="B1788" s="18" t="inlineStr">
        <is>
          <t>00031-MSC</t>
        </is>
      </c>
      <c r="C1788" s="56">
        <f>IFERROR(_xlfn.XLOOKUP(SALIDAS[[#This Row],[CODIGO]],LISTADO[CODIGOS],LISTADO[CATEGORIA]),"NO EXISTE")</f>
        <v/>
      </c>
      <c r="D1788" s="56">
        <f>IFERROR(_xlfn.XLOOKUP(SALIDAS[[#This Row],[CODIGO]],LISTADO[CODIGOS],LISTADO[PRODUCTOS]),"NO EXISTE")</f>
        <v/>
      </c>
      <c r="E1788" s="19" t="n">
        <v>46163</v>
      </c>
      <c r="F1788" s="18" t="n">
        <v>38</v>
      </c>
      <c r="G1788" s="18" t="inlineStr">
        <is>
          <t>TURMERO</t>
        </is>
      </c>
    </row>
    <row r="1789">
      <c r="B1789" s="18" t="inlineStr">
        <is>
          <t>00030-MSC</t>
        </is>
      </c>
      <c r="C1789" s="56">
        <f>IFERROR(_xlfn.XLOOKUP(SALIDAS[[#This Row],[CODIGO]],LISTADO[CODIGOS],LISTADO[CATEGORIA]),"NO EXISTE")</f>
        <v/>
      </c>
      <c r="D1789" s="56">
        <f>IFERROR(_xlfn.XLOOKUP(SALIDAS[[#This Row],[CODIGO]],LISTADO[CODIGOS],LISTADO[PRODUCTOS]),"NO EXISTE")</f>
        <v/>
      </c>
      <c r="E1789" s="19" t="n">
        <v>46163</v>
      </c>
      <c r="F1789" s="18" t="n">
        <v>70</v>
      </c>
      <c r="G1789" s="18" t="inlineStr">
        <is>
          <t>TURMERO</t>
        </is>
      </c>
    </row>
    <row r="1790">
      <c r="B1790" s="18" t="inlineStr">
        <is>
          <t>00037-MSC</t>
        </is>
      </c>
      <c r="C1790" s="56">
        <f>IFERROR(_xlfn.XLOOKUP(SALIDAS[[#This Row],[CODIGO]],LISTADO[CODIGOS],LISTADO[CATEGORIA]),"NO EXISTE")</f>
        <v/>
      </c>
      <c r="D1790" s="56">
        <f>IFERROR(_xlfn.XLOOKUP(SALIDAS[[#This Row],[CODIGO]],LISTADO[CODIGOS],LISTADO[PRODUCTOS]),"NO EXISTE")</f>
        <v/>
      </c>
      <c r="E1790" s="19" t="n">
        <v>46163</v>
      </c>
      <c r="F1790" s="18" t="n">
        <v>8</v>
      </c>
      <c r="G1790" s="18" t="inlineStr">
        <is>
          <t>TURMERO</t>
        </is>
      </c>
    </row>
    <row r="1791">
      <c r="B1791" s="18" t="inlineStr">
        <is>
          <t>00038-MSC</t>
        </is>
      </c>
      <c r="C1791" s="56">
        <f>IFERROR(_xlfn.XLOOKUP(SALIDAS[[#This Row],[CODIGO]],LISTADO[CODIGOS],LISTADO[CATEGORIA]),"NO EXISTE")</f>
        <v/>
      </c>
      <c r="D1791" s="56">
        <f>IFERROR(_xlfn.XLOOKUP(SALIDAS[[#This Row],[CODIGO]],LISTADO[CODIGOS],LISTADO[PRODUCTOS]),"NO EXISTE")</f>
        <v/>
      </c>
      <c r="E1791" s="19" t="n">
        <v>46163</v>
      </c>
      <c r="F1791" s="18" t="n">
        <v>7</v>
      </c>
      <c r="G1791" s="18" t="inlineStr">
        <is>
          <t>TURMERO</t>
        </is>
      </c>
    </row>
    <row r="1792">
      <c r="B1792" s="56" t="inlineStr">
        <is>
          <t>00051-UNI</t>
        </is>
      </c>
      <c r="C1792" s="56">
        <f>IFERROR(_xlfn.XLOOKUP(SALIDAS[[#This Row],[CODIGO]],LISTADO[CODIGOS],LISTADO[CATEGORIA]),"NO EXISTE")</f>
        <v/>
      </c>
      <c r="D1792" s="56">
        <f>IFERROR(_xlfn.XLOOKUP(SALIDAS[[#This Row],[CODIGO]],LISTADO[CODIGOS],LISTADO[PRODUCTOS]),"NO EXISTE")</f>
        <v/>
      </c>
      <c r="E1792" s="19" t="n">
        <v>46162</v>
      </c>
      <c r="F1792" s="18" t="n">
        <v>2</v>
      </c>
      <c r="G1792" s="18" t="inlineStr">
        <is>
          <t>TURMERO</t>
        </is>
      </c>
    </row>
    <row r="1793">
      <c r="B1793" s="56" t="inlineStr">
        <is>
          <t>00049-UNI</t>
        </is>
      </c>
      <c r="C1793" s="56">
        <f>IFERROR(_xlfn.XLOOKUP(SALIDAS[[#This Row],[CODIGO]],LISTADO[CODIGOS],LISTADO[CATEGORIA]),"NO EXISTE")</f>
        <v/>
      </c>
      <c r="D1793" s="56">
        <f>IFERROR(_xlfn.XLOOKUP(SALIDAS[[#This Row],[CODIGO]],LISTADO[CODIGOS],LISTADO[PRODUCTOS]),"NO EXISTE")</f>
        <v/>
      </c>
      <c r="E1793" s="19" t="n">
        <v>46162</v>
      </c>
      <c r="F1793" s="18" t="n">
        <v>8</v>
      </c>
      <c r="G1793" s="18" t="inlineStr">
        <is>
          <t>TURMERO</t>
        </is>
      </c>
    </row>
    <row r="1794">
      <c r="B1794" s="18" t="inlineStr">
        <is>
          <t>00001-HRR</t>
        </is>
      </c>
      <c r="C1794" s="56">
        <f>IFERROR(_xlfn.XLOOKUP(SALIDAS[[#This Row],[CODIGO]],LISTADO[CODIGOS],LISTADO[CATEGORIA]),"NO EXISTE")</f>
        <v/>
      </c>
      <c r="D1794" s="56">
        <f>IFERROR(_xlfn.XLOOKUP(SALIDAS[[#This Row],[CODIGO]],LISTADO[CODIGOS],LISTADO[PRODUCTOS]),"NO EXISTE")</f>
        <v/>
      </c>
      <c r="E1794" s="19" t="n">
        <v>46125</v>
      </c>
      <c r="F1794" s="18" t="n">
        <v>9</v>
      </c>
      <c r="G1794" s="18" t="inlineStr">
        <is>
          <t>TURMERO</t>
        </is>
      </c>
    </row>
    <row r="1795">
      <c r="B1795" s="56" t="inlineStr">
        <is>
          <t>00115-FER</t>
        </is>
      </c>
      <c r="C1795" s="56">
        <f>IFERROR(_xlfn.XLOOKUP(SALIDAS[[#This Row],[CODIGO]],LISTADO[CODIGOS],LISTADO[CATEGORIA]),"NO EXISTE")</f>
        <v/>
      </c>
      <c r="D1795" s="56">
        <f>IFERROR(_xlfn.XLOOKUP(SALIDAS[[#This Row],[CODIGO]],LISTADO[CODIGOS],LISTADO[PRODUCTOS]),"NO EXISTE")</f>
        <v/>
      </c>
      <c r="E1795" s="19" t="n">
        <v>46125</v>
      </c>
      <c r="F1795" s="18" t="n">
        <v>3000</v>
      </c>
      <c r="G1795" s="18" t="inlineStr">
        <is>
          <t>TURMERO</t>
        </is>
      </c>
    </row>
    <row r="1796">
      <c r="B1796" s="56" t="inlineStr">
        <is>
          <t>00004-FER</t>
        </is>
      </c>
      <c r="C1796" s="56">
        <f>IFERROR(_xlfn.XLOOKUP(SALIDAS[[#This Row],[CODIGO]],LISTADO[CODIGOS],LISTADO[CATEGORIA]),"NO EXISTE")</f>
        <v/>
      </c>
      <c r="D1796" s="56">
        <f>IFERROR(_xlfn.XLOOKUP(SALIDAS[[#This Row],[CODIGO]],LISTADO[CODIGOS],LISTADO[PRODUCTOS]),"NO EXISTE")</f>
        <v/>
      </c>
      <c r="E1796" s="19" t="n">
        <v>46125</v>
      </c>
      <c r="F1796" s="18" t="n">
        <v>3000</v>
      </c>
      <c r="G1796" s="18" t="inlineStr">
        <is>
          <t>TURMERO</t>
        </is>
      </c>
    </row>
    <row r="1797">
      <c r="B1797" s="56" t="inlineStr">
        <is>
          <t>00007-HRR</t>
        </is>
      </c>
      <c r="C1797" s="56">
        <f>IFERROR(_xlfn.XLOOKUP(SALIDAS[[#This Row],[CODIGO]],LISTADO[CODIGOS],LISTADO[CATEGORIA]),"NO EXISTE")</f>
        <v/>
      </c>
      <c r="D1797" s="56">
        <f>IFERROR(_xlfn.XLOOKUP(SALIDAS[[#This Row],[CODIGO]],LISTADO[CODIGOS],LISTADO[PRODUCTOS]),"NO EXISTE")</f>
        <v/>
      </c>
      <c r="E1797" s="19" t="n">
        <v>46125</v>
      </c>
      <c r="F1797" s="18" t="n">
        <v>10</v>
      </c>
      <c r="G1797" s="18" t="inlineStr">
        <is>
          <t>TURMERO</t>
        </is>
      </c>
    </row>
    <row r="1798">
      <c r="B1798" s="56" t="inlineStr">
        <is>
          <t>00006-HRR</t>
        </is>
      </c>
      <c r="C1798" s="56">
        <f>IFERROR(_xlfn.XLOOKUP(SALIDAS[[#This Row],[CODIGO]],LISTADO[CODIGOS],LISTADO[CATEGORIA]),"NO EXISTE")</f>
        <v/>
      </c>
      <c r="D1798" s="56">
        <f>IFERROR(_xlfn.XLOOKUP(SALIDAS[[#This Row],[CODIGO]],LISTADO[CODIGOS],LISTADO[PRODUCTOS]),"NO EXISTE")</f>
        <v/>
      </c>
      <c r="E1798" s="19" t="n">
        <v>46125</v>
      </c>
      <c r="F1798" s="18" t="n">
        <v>5</v>
      </c>
      <c r="G1798" s="18" t="inlineStr">
        <is>
          <t>TURMERO</t>
        </is>
      </c>
    </row>
    <row r="1799">
      <c r="B1799" s="56" t="inlineStr">
        <is>
          <t>00005-HRR</t>
        </is>
      </c>
      <c r="C1799" s="56">
        <f>IFERROR(_xlfn.XLOOKUP(SALIDAS[[#This Row],[CODIGO]],LISTADO[CODIGOS],LISTADO[CATEGORIA]),"NO EXISTE")</f>
        <v/>
      </c>
      <c r="D1799" s="56">
        <f>IFERROR(_xlfn.XLOOKUP(SALIDAS[[#This Row],[CODIGO]],LISTADO[CODIGOS],LISTADO[PRODUCTOS]),"NO EXISTE")</f>
        <v/>
      </c>
      <c r="E1799" s="19" t="n">
        <v>46125</v>
      </c>
      <c r="F1799" s="18" t="n">
        <v>5</v>
      </c>
      <c r="G1799" s="18" t="inlineStr">
        <is>
          <t>TURMERO</t>
        </is>
      </c>
    </row>
    <row r="1800">
      <c r="B1800" s="56" t="inlineStr">
        <is>
          <t>00003-HRR</t>
        </is>
      </c>
      <c r="C1800" s="56">
        <f>IFERROR(_xlfn.XLOOKUP(SALIDAS[[#This Row],[CODIGO]],LISTADO[CODIGOS],LISTADO[CATEGORIA]),"NO EXISTE")</f>
        <v/>
      </c>
      <c r="D1800" s="56">
        <f>IFERROR(_xlfn.XLOOKUP(SALIDAS[[#This Row],[CODIGO]],LISTADO[CODIGOS],LISTADO[PRODUCTOS]),"NO EXISTE")</f>
        <v/>
      </c>
      <c r="E1800" s="19" t="n">
        <v>46125</v>
      </c>
      <c r="F1800" s="18" t="n">
        <v>5</v>
      </c>
      <c r="G1800" s="18" t="inlineStr">
        <is>
          <t>TURMERO</t>
        </is>
      </c>
    </row>
    <row r="1801">
      <c r="B1801" s="56" t="inlineStr">
        <is>
          <t>00043-FER</t>
        </is>
      </c>
      <c r="C1801" s="56">
        <f>IFERROR(_xlfn.XLOOKUP(SALIDAS[[#This Row],[CODIGO]],LISTADO[CODIGOS],LISTADO[CATEGORIA]),"NO EXISTE")</f>
        <v/>
      </c>
      <c r="D1801" s="56">
        <f>IFERROR(_xlfn.XLOOKUP(SALIDAS[[#This Row],[CODIGO]],LISTADO[CODIGOS],LISTADO[PRODUCTOS]),"NO EXISTE")</f>
        <v/>
      </c>
      <c r="E1801" s="19" t="n">
        <v>46125</v>
      </c>
      <c r="F1801" s="18" t="n">
        <v>1</v>
      </c>
      <c r="G1801" s="18" t="inlineStr">
        <is>
          <t>TURMERO</t>
        </is>
      </c>
    </row>
    <row r="1802">
      <c r="B1802" s="56" t="inlineStr">
        <is>
          <t>00031-FER</t>
        </is>
      </c>
      <c r="C1802" s="56">
        <f>IFERROR(_xlfn.XLOOKUP(SALIDAS[[#This Row],[CODIGO]],LISTADO[CODIGOS],LISTADO[CATEGORIA]),"NO EXISTE")</f>
        <v/>
      </c>
      <c r="D1802" s="56">
        <f>IFERROR(_xlfn.XLOOKUP(SALIDAS[[#This Row],[CODIGO]],LISTADO[CODIGOS],LISTADO[PRODUCTOS]),"NO EXISTE")</f>
        <v/>
      </c>
      <c r="E1802" s="19" t="n">
        <v>46125</v>
      </c>
      <c r="F1802" s="18" t="n">
        <v>1</v>
      </c>
      <c r="G1802" s="18" t="inlineStr">
        <is>
          <t>TURMERO</t>
        </is>
      </c>
    </row>
    <row r="1803">
      <c r="B1803" s="56" t="inlineStr">
        <is>
          <t>00028-FER</t>
        </is>
      </c>
      <c r="C1803" s="56">
        <f>IFERROR(_xlfn.XLOOKUP(SALIDAS[[#This Row],[CODIGO]],LISTADO[CODIGOS],LISTADO[CATEGORIA]),"NO EXISTE")</f>
        <v/>
      </c>
      <c r="D1803" s="56">
        <f>IFERROR(_xlfn.XLOOKUP(SALIDAS[[#This Row],[CODIGO]],LISTADO[CODIGOS],LISTADO[PRODUCTOS]),"NO EXISTE")</f>
        <v/>
      </c>
      <c r="E1803" s="19" t="n">
        <v>46125</v>
      </c>
      <c r="F1803" s="18" t="n">
        <v>3</v>
      </c>
      <c r="G1803" s="18" t="inlineStr">
        <is>
          <t>TURMERO</t>
        </is>
      </c>
    </row>
    <row r="1804">
      <c r="B1804" s="56" t="inlineStr">
        <is>
          <t>00083-FER</t>
        </is>
      </c>
      <c r="C1804" s="56">
        <f>IFERROR(_xlfn.XLOOKUP(SALIDAS[[#This Row],[CODIGO]],LISTADO[CODIGOS],LISTADO[CATEGORIA]),"NO EXISTE")</f>
        <v/>
      </c>
      <c r="D1804" s="56">
        <f>IFERROR(_xlfn.XLOOKUP(SALIDAS[[#This Row],[CODIGO]],LISTADO[CODIGOS],LISTADO[PRODUCTOS]),"NO EXISTE")</f>
        <v/>
      </c>
      <c r="E1804" s="19" t="n">
        <v>46125</v>
      </c>
      <c r="F1804" s="18" t="n">
        <v>270</v>
      </c>
      <c r="G1804" s="18" t="inlineStr">
        <is>
          <t>TURMERO</t>
        </is>
      </c>
    </row>
    <row r="1805">
      <c r="B1805" s="56" t="inlineStr">
        <is>
          <t>00085-FER</t>
        </is>
      </c>
      <c r="C1805" s="56">
        <f>IFERROR(_xlfn.XLOOKUP(SALIDAS[[#This Row],[CODIGO]],LISTADO[CODIGOS],LISTADO[CATEGORIA]),"NO EXISTE")</f>
        <v/>
      </c>
      <c r="D1805" s="56">
        <f>IFERROR(_xlfn.XLOOKUP(SALIDAS[[#This Row],[CODIGO]],LISTADO[CODIGOS],LISTADO[PRODUCTOS]),"NO EXISTE")</f>
        <v/>
      </c>
      <c r="E1805" s="19" t="n">
        <v>46125</v>
      </c>
      <c r="F1805" s="18" t="n">
        <v>50</v>
      </c>
      <c r="G1805" s="18" t="inlineStr">
        <is>
          <t>TURMERO</t>
        </is>
      </c>
    </row>
    <row r="1806">
      <c r="B1806" s="56" t="inlineStr">
        <is>
          <t>00084-FER</t>
        </is>
      </c>
      <c r="C1806" s="56">
        <f>IFERROR(_xlfn.XLOOKUP(SALIDAS[[#This Row],[CODIGO]],LISTADO[CODIGOS],LISTADO[CATEGORIA]),"NO EXISTE")</f>
        <v/>
      </c>
      <c r="D1806" s="56">
        <f>IFERROR(_xlfn.XLOOKUP(SALIDAS[[#This Row],[CODIGO]],LISTADO[CODIGOS],LISTADO[PRODUCTOS]),"NO EXISTE")</f>
        <v/>
      </c>
      <c r="E1806" s="19" t="n">
        <v>46125</v>
      </c>
      <c r="F1806" s="18" t="n">
        <v>100</v>
      </c>
      <c r="G1806" s="18" t="inlineStr">
        <is>
          <t>TURMERO</t>
        </is>
      </c>
    </row>
    <row r="1807">
      <c r="B1807" s="56" t="inlineStr">
        <is>
          <t>00086-FER</t>
        </is>
      </c>
      <c r="C1807" s="56">
        <f>IFERROR(_xlfn.XLOOKUP(SALIDAS[[#This Row],[CODIGO]],LISTADO[CODIGOS],LISTADO[CATEGORIA]),"NO EXISTE")</f>
        <v/>
      </c>
      <c r="D1807" s="56">
        <f>IFERROR(_xlfn.XLOOKUP(SALIDAS[[#This Row],[CODIGO]],LISTADO[CODIGOS],LISTADO[PRODUCTOS]),"NO EXISTE")</f>
        <v/>
      </c>
      <c r="E1807" s="19" t="n">
        <v>46125</v>
      </c>
      <c r="F1807" s="18" t="n">
        <v>25</v>
      </c>
      <c r="G1807" s="18" t="inlineStr">
        <is>
          <t>TURMERO</t>
        </is>
      </c>
    </row>
    <row r="1808">
      <c r="B1808" s="56" t="inlineStr">
        <is>
          <t>00035-MSC</t>
        </is>
      </c>
      <c r="C1808" s="56">
        <f>IFERROR(_xlfn.XLOOKUP(SALIDAS[[#This Row],[CODIGO]],LISTADO[CODIGOS],LISTADO[CATEGORIA]),"NO EXISTE")</f>
        <v/>
      </c>
      <c r="D1808" s="56">
        <f>IFERROR(_xlfn.XLOOKUP(SALIDAS[[#This Row],[CODIGO]],LISTADO[CODIGOS],LISTADO[PRODUCTOS]),"NO EXISTE")</f>
        <v/>
      </c>
      <c r="E1808" s="19" t="n">
        <v>46162</v>
      </c>
      <c r="F1808" s="18" t="n">
        <v>2</v>
      </c>
      <c r="G1808" s="18" t="inlineStr">
        <is>
          <t>TURMERO</t>
        </is>
      </c>
    </row>
    <row r="1809">
      <c r="B1809" s="56" t="inlineStr">
        <is>
          <t>00020-ELE</t>
        </is>
      </c>
      <c r="C1809" s="56">
        <f>IFERROR(_xlfn.XLOOKUP(SALIDAS[[#This Row],[CODIGO]],LISTADO[CODIGOS],LISTADO[CATEGORIA]),"NO EXISTE")</f>
        <v/>
      </c>
      <c r="D1809" s="56">
        <f>IFERROR(_xlfn.XLOOKUP(SALIDAS[[#This Row],[CODIGO]],LISTADO[CODIGOS],LISTADO[PRODUCTOS]),"NO EXISTE")</f>
        <v/>
      </c>
      <c r="E1809" s="19" t="n">
        <v>46162</v>
      </c>
      <c r="F1809" s="18" t="n">
        <v>3</v>
      </c>
      <c r="G1809" s="18" t="inlineStr">
        <is>
          <t>TURMERO</t>
        </is>
      </c>
    </row>
    <row r="1810">
      <c r="B1810" s="18" t="inlineStr">
        <is>
          <t>00066-ELE</t>
        </is>
      </c>
      <c r="C1810" s="56">
        <f>IFERROR(_xlfn.XLOOKUP(SALIDAS[[#This Row],[CODIGO]],LISTADO[CODIGOS],LISTADO[CATEGORIA]),"NO EXISTE")</f>
        <v/>
      </c>
      <c r="D1810" s="56">
        <f>IFERROR(_xlfn.XLOOKUP(SALIDAS[[#This Row],[CODIGO]],LISTADO[CODIGOS],LISTADO[PRODUCTOS]),"NO EXISTE")</f>
        <v/>
      </c>
      <c r="E1810" s="19" t="n">
        <v>46162</v>
      </c>
      <c r="F1810" s="18" t="n">
        <v>9</v>
      </c>
      <c r="G1810" s="18" t="inlineStr">
        <is>
          <t>TURMERO</t>
        </is>
      </c>
    </row>
    <row r="1811">
      <c r="B1811" s="56" t="inlineStr">
        <is>
          <t>00094-FER</t>
        </is>
      </c>
      <c r="C1811" s="56">
        <f>IFERROR(_xlfn.XLOOKUP(SALIDAS[[#This Row],[CODIGO]],LISTADO[CODIGOS],LISTADO[CATEGORIA]),"NO EXISTE")</f>
        <v/>
      </c>
      <c r="D1811" s="56">
        <f>IFERROR(_xlfn.XLOOKUP(SALIDAS[[#This Row],[CODIGO]],LISTADO[CODIGOS],LISTADO[PRODUCTOS]),"NO EXISTE")</f>
        <v/>
      </c>
      <c r="E1811" s="19" t="n">
        <v>46162</v>
      </c>
      <c r="F1811" s="18" t="n">
        <v>1</v>
      </c>
      <c r="G1811" s="18" t="inlineStr">
        <is>
          <t>TURMERO</t>
        </is>
      </c>
    </row>
    <row r="1812">
      <c r="B1812" s="18" t="inlineStr">
        <is>
          <t>00053-ILU</t>
        </is>
      </c>
      <c r="C1812" s="56">
        <f>IFERROR(_xlfn.XLOOKUP(SALIDAS[[#This Row],[CODIGO]],LISTADO[CODIGOS],LISTADO[CATEGORIA]),"NO EXISTE")</f>
        <v/>
      </c>
      <c r="D1812" s="56">
        <f>IFERROR(_xlfn.XLOOKUP(SALIDAS[[#This Row],[CODIGO]],LISTADO[CODIGOS],LISTADO[PRODUCTOS]),"NO EXISTE")</f>
        <v/>
      </c>
      <c r="E1812" s="19" t="n">
        <v>46136</v>
      </c>
      <c r="F1812" s="18" t="n">
        <v>6</v>
      </c>
      <c r="G1812" s="18" t="inlineStr">
        <is>
          <t>TURMERO</t>
        </is>
      </c>
    </row>
    <row r="1813">
      <c r="B1813" s="56" t="inlineStr">
        <is>
          <t>00094-FER</t>
        </is>
      </c>
      <c r="C1813" s="56">
        <f>IFERROR(_xlfn.XLOOKUP(SALIDAS[[#This Row],[CODIGO]],LISTADO[CODIGOS],LISTADO[CATEGORIA]),"NO EXISTE")</f>
        <v/>
      </c>
      <c r="D1813" s="56">
        <f>IFERROR(_xlfn.XLOOKUP(SALIDAS[[#This Row],[CODIGO]],LISTADO[CODIGOS],LISTADO[PRODUCTOS]),"NO EXISTE")</f>
        <v/>
      </c>
      <c r="E1813" s="19" t="n">
        <v>46136</v>
      </c>
      <c r="F1813" s="18" t="n">
        <v>40</v>
      </c>
      <c r="G1813" s="18" t="inlineStr">
        <is>
          <t>TURMERO</t>
        </is>
      </c>
    </row>
    <row r="1814">
      <c r="B1814" s="56" t="inlineStr">
        <is>
          <t>00089-FER</t>
        </is>
      </c>
      <c r="C1814" s="56">
        <f>IFERROR(_xlfn.XLOOKUP(SALIDAS[[#This Row],[CODIGO]],LISTADO[CODIGOS],LISTADO[CATEGORIA]),"NO EXISTE")</f>
        <v/>
      </c>
      <c r="D1814" s="56">
        <f>IFERROR(_xlfn.XLOOKUP(SALIDAS[[#This Row],[CODIGO]],LISTADO[CODIGOS],LISTADO[PRODUCTOS]),"NO EXISTE")</f>
        <v/>
      </c>
      <c r="E1814" s="19" t="n">
        <v>46136</v>
      </c>
      <c r="F1814" s="18" t="n">
        <v>40</v>
      </c>
      <c r="G1814" s="18" t="inlineStr">
        <is>
          <t>TURMERO</t>
        </is>
      </c>
    </row>
    <row r="1815">
      <c r="B1815" s="18" t="inlineStr">
        <is>
          <t>00209-FER</t>
        </is>
      </c>
      <c r="C1815" s="56">
        <f>IFERROR(_xlfn.XLOOKUP(SALIDAS[[#This Row],[CODIGO]],LISTADO[CODIGOS],LISTADO[CATEGORIA]),"NO EXISTE")</f>
        <v/>
      </c>
      <c r="D1815" s="56">
        <f>IFERROR(_xlfn.XLOOKUP(SALIDAS[[#This Row],[CODIGO]],LISTADO[CODIGOS],LISTADO[PRODUCTOS]),"NO EXISTE")</f>
        <v/>
      </c>
      <c r="E1815" s="19" t="n">
        <v>46136</v>
      </c>
      <c r="F1815" s="18" t="n">
        <v>3800</v>
      </c>
      <c r="G1815" s="18" t="inlineStr">
        <is>
          <t>TURMERO</t>
        </is>
      </c>
    </row>
    <row r="1816">
      <c r="B1816" s="18" t="inlineStr">
        <is>
          <t>00208-FER</t>
        </is>
      </c>
      <c r="C1816" s="56">
        <f>IFERROR(_xlfn.XLOOKUP(SALIDAS[[#This Row],[CODIGO]],LISTADO[CODIGOS],LISTADO[CATEGORIA]),"NO EXISTE")</f>
        <v/>
      </c>
      <c r="D1816" s="56">
        <f>IFERROR(_xlfn.XLOOKUP(SALIDAS[[#This Row],[CODIGO]],LISTADO[CODIGOS],LISTADO[PRODUCTOS]),"NO EXISTE")</f>
        <v/>
      </c>
      <c r="E1816" s="19" t="n">
        <v>46136</v>
      </c>
      <c r="F1816" s="18" t="n">
        <v>1000</v>
      </c>
      <c r="G1816" s="18" t="inlineStr">
        <is>
          <t>TURMERO</t>
        </is>
      </c>
    </row>
    <row r="1817">
      <c r="B1817" s="18" t="inlineStr">
        <is>
          <t>00093-ELE</t>
        </is>
      </c>
      <c r="C1817" s="56">
        <f>IFERROR(_xlfn.XLOOKUP(SALIDAS[[#This Row],[CODIGO]],LISTADO[CODIGOS],LISTADO[CATEGORIA]),"NO EXISTE")</f>
        <v/>
      </c>
      <c r="D1817" s="56">
        <f>IFERROR(_xlfn.XLOOKUP(SALIDAS[[#This Row],[CODIGO]],LISTADO[CODIGOS],LISTADO[PRODUCTOS]),"NO EXISTE")</f>
        <v/>
      </c>
      <c r="E1817" s="19" t="n">
        <v>46136</v>
      </c>
      <c r="F1817" s="18" t="n">
        <v>10</v>
      </c>
      <c r="G1817" s="18" t="inlineStr">
        <is>
          <t>TURMERO</t>
        </is>
      </c>
    </row>
    <row r="1818">
      <c r="B1818" s="18" t="inlineStr">
        <is>
          <t>00094-ELE</t>
        </is>
      </c>
      <c r="C1818" s="56">
        <f>IFERROR(_xlfn.XLOOKUP(SALIDAS[[#This Row],[CODIGO]],LISTADO[CODIGOS],LISTADO[CATEGORIA]),"NO EXISTE")</f>
        <v/>
      </c>
      <c r="D1818" s="56">
        <f>IFERROR(_xlfn.XLOOKUP(SALIDAS[[#This Row],[CODIGO]],LISTADO[CODIGOS],LISTADO[PRODUCTOS]),"NO EXISTE")</f>
        <v/>
      </c>
      <c r="E1818" s="19" t="n">
        <v>46136</v>
      </c>
      <c r="F1818" s="18" t="n">
        <v>5</v>
      </c>
      <c r="G1818" s="18" t="inlineStr">
        <is>
          <t>TURMERO</t>
        </is>
      </c>
    </row>
    <row r="1819">
      <c r="B1819" s="18" t="inlineStr">
        <is>
          <t>00072-ELE</t>
        </is>
      </c>
      <c r="C1819" s="56">
        <f>IFERROR(_xlfn.XLOOKUP(SALIDAS[[#This Row],[CODIGO]],LISTADO[CODIGOS],LISTADO[CATEGORIA]),"NO EXISTE")</f>
        <v/>
      </c>
      <c r="D1819" s="56">
        <f>IFERROR(_xlfn.XLOOKUP(SALIDAS[[#This Row],[CODIGO]],LISTADO[CODIGOS],LISTADO[PRODUCTOS]),"NO EXISTE")</f>
        <v/>
      </c>
      <c r="E1819" s="19" t="n">
        <v>46136</v>
      </c>
      <c r="F1819" s="18" t="n">
        <v>12</v>
      </c>
      <c r="G1819" s="18" t="inlineStr">
        <is>
          <t>TURMERO</t>
        </is>
      </c>
    </row>
    <row r="1820">
      <c r="B1820" s="18" t="inlineStr">
        <is>
          <t>00096-ELE</t>
        </is>
      </c>
      <c r="C1820" s="56">
        <f>IFERROR(_xlfn.XLOOKUP(SALIDAS[[#This Row],[CODIGO]],LISTADO[CODIGOS],LISTADO[CATEGORIA]),"NO EXISTE")</f>
        <v/>
      </c>
      <c r="D1820" s="56">
        <f>IFERROR(_xlfn.XLOOKUP(SALIDAS[[#This Row],[CODIGO]],LISTADO[CODIGOS],LISTADO[PRODUCTOS]),"NO EXISTE")</f>
        <v/>
      </c>
      <c r="E1820" s="19" t="n">
        <v>46136</v>
      </c>
      <c r="F1820" s="18" t="n">
        <v>40</v>
      </c>
      <c r="G1820" s="18" t="inlineStr">
        <is>
          <t>TURMERO</t>
        </is>
      </c>
    </row>
    <row r="1821">
      <c r="B1821" s="18" t="inlineStr">
        <is>
          <t>00095-ELE</t>
        </is>
      </c>
      <c r="C1821" s="56">
        <f>IFERROR(_xlfn.XLOOKUP(SALIDAS[[#This Row],[CODIGO]],LISTADO[CODIGOS],LISTADO[CATEGORIA]),"NO EXISTE")</f>
        <v/>
      </c>
      <c r="D1821" s="56">
        <f>IFERROR(_xlfn.XLOOKUP(SALIDAS[[#This Row],[CODIGO]],LISTADO[CODIGOS],LISTADO[PRODUCTOS]),"NO EXISTE")</f>
        <v/>
      </c>
      <c r="E1821" s="19" t="n">
        <v>46136</v>
      </c>
      <c r="F1821" s="18" t="n">
        <v>30</v>
      </c>
      <c r="G1821" s="18" t="inlineStr">
        <is>
          <t>TURMERO</t>
        </is>
      </c>
    </row>
    <row r="1822">
      <c r="B1822" s="18" t="inlineStr">
        <is>
          <t>00097-ELE</t>
        </is>
      </c>
      <c r="C1822" s="56">
        <f>IFERROR(_xlfn.XLOOKUP(SALIDAS[[#This Row],[CODIGO]],LISTADO[CODIGOS],LISTADO[CATEGORIA]),"NO EXISTE")</f>
        <v/>
      </c>
      <c r="D1822" s="56">
        <f>IFERROR(_xlfn.XLOOKUP(SALIDAS[[#This Row],[CODIGO]],LISTADO[CODIGOS],LISTADO[PRODUCTOS]),"NO EXISTE")</f>
        <v/>
      </c>
      <c r="E1822" s="19" t="n">
        <v>46136</v>
      </c>
      <c r="F1822" s="18" t="n">
        <v>10</v>
      </c>
      <c r="G1822" s="18" t="inlineStr">
        <is>
          <t>TURMERO</t>
        </is>
      </c>
    </row>
    <row r="1823">
      <c r="B1823" s="56" t="inlineStr">
        <is>
          <t>00039-ELE</t>
        </is>
      </c>
      <c r="C1823" s="56">
        <f>IFERROR(_xlfn.XLOOKUP(SALIDAS[[#This Row],[CODIGO]],LISTADO[CODIGOS],LISTADO[CATEGORIA]),"NO EXISTE")</f>
        <v/>
      </c>
      <c r="D1823" s="56">
        <f>IFERROR(_xlfn.XLOOKUP(SALIDAS[[#This Row],[CODIGO]],LISTADO[CODIGOS],LISTADO[PRODUCTOS]),"NO EXISTE")</f>
        <v/>
      </c>
      <c r="E1823" s="19" t="n">
        <v>46136</v>
      </c>
      <c r="F1823" s="18" t="n">
        <v>1</v>
      </c>
      <c r="G1823" s="18" t="inlineStr">
        <is>
          <t>TURMERO</t>
        </is>
      </c>
    </row>
    <row r="1824">
      <c r="B1824" s="56" t="inlineStr">
        <is>
          <t>00038-ELE</t>
        </is>
      </c>
      <c r="C1824" s="56">
        <f>IFERROR(_xlfn.XLOOKUP(SALIDAS[[#This Row],[CODIGO]],LISTADO[CODIGOS],LISTADO[CATEGORIA]),"NO EXISTE")</f>
        <v/>
      </c>
      <c r="D1824" s="56">
        <f>IFERROR(_xlfn.XLOOKUP(SALIDAS[[#This Row],[CODIGO]],LISTADO[CODIGOS],LISTADO[PRODUCTOS]),"NO EXISTE")</f>
        <v/>
      </c>
      <c r="E1824" s="19" t="n">
        <v>46136</v>
      </c>
      <c r="F1824" s="18" t="n">
        <v>1</v>
      </c>
      <c r="G1824" s="18" t="inlineStr">
        <is>
          <t>TURMERO</t>
        </is>
      </c>
    </row>
    <row r="1825">
      <c r="B1825" s="56" t="inlineStr">
        <is>
          <t>00018-ELE</t>
        </is>
      </c>
      <c r="C1825" s="56">
        <f>IFERROR(_xlfn.XLOOKUP(SALIDAS[[#This Row],[CODIGO]],LISTADO[CODIGOS],LISTADO[CATEGORIA]),"NO EXISTE")</f>
        <v/>
      </c>
      <c r="D1825" s="56">
        <f>IFERROR(_xlfn.XLOOKUP(SALIDAS[[#This Row],[CODIGO]],LISTADO[CODIGOS],LISTADO[PRODUCTOS]),"NO EXISTE")</f>
        <v/>
      </c>
      <c r="E1825" s="19" t="n">
        <v>46136</v>
      </c>
      <c r="F1825" s="18" t="n">
        <v>300</v>
      </c>
      <c r="G1825" s="18" t="inlineStr">
        <is>
          <t>TURMERO</t>
        </is>
      </c>
    </row>
    <row r="1826">
      <c r="B1826" s="18" t="inlineStr">
        <is>
          <t>00111-ELE</t>
        </is>
      </c>
      <c r="C1826" s="56">
        <f>IFERROR(_xlfn.XLOOKUP(SALIDAS[[#This Row],[CODIGO]],LISTADO[CODIGOS],LISTADO[CATEGORIA]),"NO EXISTE")</f>
        <v/>
      </c>
      <c r="D1826" s="56">
        <f>IFERROR(_xlfn.XLOOKUP(SALIDAS[[#This Row],[CODIGO]],LISTADO[CODIGOS],LISTADO[PRODUCTOS]),"NO EXISTE")</f>
        <v/>
      </c>
      <c r="E1826" s="19" t="n">
        <v>46136</v>
      </c>
      <c r="F1826" s="18" t="n">
        <v>500</v>
      </c>
      <c r="G1826" s="18" t="inlineStr">
        <is>
          <t>TURMERO</t>
        </is>
      </c>
    </row>
    <row r="1827">
      <c r="B1827" s="18" t="inlineStr">
        <is>
          <t>00118-ELE</t>
        </is>
      </c>
      <c r="C1827" s="56">
        <f>IFERROR(_xlfn.XLOOKUP(SALIDAS[[#This Row],[CODIGO]],LISTADO[CODIGOS],LISTADO[CATEGORIA]),"NO EXISTE")</f>
        <v/>
      </c>
      <c r="D1827" s="56">
        <f>IFERROR(_xlfn.XLOOKUP(SALIDAS[[#This Row],[CODIGO]],LISTADO[CODIGOS],LISTADO[PRODUCTOS]),"NO EXISTE")</f>
        <v/>
      </c>
      <c r="E1827" s="19" t="n">
        <v>46136</v>
      </c>
      <c r="F1827" s="18" t="n">
        <v>500</v>
      </c>
      <c r="G1827" s="18" t="inlineStr">
        <is>
          <t>TURMERO</t>
        </is>
      </c>
    </row>
    <row r="1828">
      <c r="B1828" s="18" t="inlineStr">
        <is>
          <t>00109-ELE</t>
        </is>
      </c>
      <c r="C1828" s="56">
        <f>IFERROR(_xlfn.XLOOKUP(SALIDAS[[#This Row],[CODIGO]],LISTADO[CODIGOS],LISTADO[CATEGORIA]),"NO EXISTE")</f>
        <v/>
      </c>
      <c r="D1828" s="56">
        <f>IFERROR(_xlfn.XLOOKUP(SALIDAS[[#This Row],[CODIGO]],LISTADO[CODIGOS],LISTADO[PRODUCTOS]),"NO EXISTE")</f>
        <v/>
      </c>
      <c r="E1828" s="19" t="n">
        <v>46136</v>
      </c>
      <c r="F1828" s="18" t="n">
        <v>200</v>
      </c>
      <c r="G1828" s="18" t="inlineStr">
        <is>
          <t>TURMERO</t>
        </is>
      </c>
    </row>
    <row r="1829">
      <c r="B1829" s="18" t="inlineStr">
        <is>
          <t>00122-ELE</t>
        </is>
      </c>
      <c r="C1829" s="56">
        <f>IFERROR(_xlfn.XLOOKUP(SALIDAS[[#This Row],[CODIGO]],LISTADO[CODIGOS],LISTADO[CATEGORIA]),"NO EXISTE")</f>
        <v/>
      </c>
      <c r="D1829" s="56">
        <f>IFERROR(_xlfn.XLOOKUP(SALIDAS[[#This Row],[CODIGO]],LISTADO[CODIGOS],LISTADO[PRODUCTOS]),"NO EXISTE")</f>
        <v/>
      </c>
      <c r="E1829" s="19" t="n">
        <v>46136</v>
      </c>
      <c r="F1829" s="18" t="n">
        <v>500</v>
      </c>
      <c r="G1829" s="18" t="inlineStr">
        <is>
          <t>TURMERO</t>
        </is>
      </c>
    </row>
    <row r="1830">
      <c r="B1830" s="18" t="inlineStr">
        <is>
          <t>00119-ELE</t>
        </is>
      </c>
      <c r="C1830" s="56">
        <f>IFERROR(_xlfn.XLOOKUP(SALIDAS[[#This Row],[CODIGO]],LISTADO[CODIGOS],LISTADO[CATEGORIA]),"NO EXISTE")</f>
        <v/>
      </c>
      <c r="D1830" s="56">
        <f>IFERROR(_xlfn.XLOOKUP(SALIDAS[[#This Row],[CODIGO]],LISTADO[CODIGOS],LISTADO[PRODUCTOS]),"NO EXISTE")</f>
        <v/>
      </c>
      <c r="E1830" s="19" t="n">
        <v>46136</v>
      </c>
      <c r="F1830" s="18" t="n">
        <v>500</v>
      </c>
      <c r="G1830" s="18" t="inlineStr">
        <is>
          <t>TURMERO</t>
        </is>
      </c>
    </row>
    <row r="1831">
      <c r="B1831" s="18" t="inlineStr">
        <is>
          <t>00088-ELE</t>
        </is>
      </c>
      <c r="C1831" s="56">
        <f>IFERROR(_xlfn.XLOOKUP(SALIDAS[[#This Row],[CODIGO]],LISTADO[CODIGOS],LISTADO[CATEGORIA]),"NO EXISTE")</f>
        <v/>
      </c>
      <c r="D1831" s="56">
        <f>IFERROR(_xlfn.XLOOKUP(SALIDAS[[#This Row],[CODIGO]],LISTADO[CODIGOS],LISTADO[PRODUCTOS]),"NO EXISTE")</f>
        <v/>
      </c>
      <c r="E1831" s="19" t="n">
        <v>46136</v>
      </c>
      <c r="F1831" s="18" t="n">
        <v>500</v>
      </c>
      <c r="G1831" s="18" t="inlineStr">
        <is>
          <t>TURMERO</t>
        </is>
      </c>
    </row>
    <row r="1832">
      <c r="B1832" s="56" t="inlineStr">
        <is>
          <t>00016-ELE</t>
        </is>
      </c>
      <c r="C1832" s="56">
        <f>IFERROR(_xlfn.XLOOKUP(SALIDAS[[#This Row],[CODIGO]],LISTADO[CODIGOS],LISTADO[CATEGORIA]),"NO EXISTE")</f>
        <v/>
      </c>
      <c r="D1832" s="56">
        <f>IFERROR(_xlfn.XLOOKUP(SALIDAS[[#This Row],[CODIGO]],LISTADO[CODIGOS],LISTADO[PRODUCTOS]),"NO EXISTE")</f>
        <v/>
      </c>
      <c r="E1832" s="19" t="n">
        <v>46136</v>
      </c>
      <c r="F1832" s="18" t="n">
        <v>100</v>
      </c>
      <c r="G1832" s="18" t="inlineStr">
        <is>
          <t>TURMERO</t>
        </is>
      </c>
    </row>
    <row r="1833">
      <c r="B1833" s="56" t="inlineStr">
        <is>
          <t>00015-ELE</t>
        </is>
      </c>
      <c r="C1833" s="56">
        <f>IFERROR(_xlfn.XLOOKUP(SALIDAS[[#This Row],[CODIGO]],LISTADO[CODIGOS],LISTADO[CATEGORIA]),"NO EXISTE")</f>
        <v/>
      </c>
      <c r="D1833" s="56">
        <f>IFERROR(_xlfn.XLOOKUP(SALIDAS[[#This Row],[CODIGO]],LISTADO[CODIGOS],LISTADO[PRODUCTOS]),"NO EXISTE")</f>
        <v/>
      </c>
      <c r="E1833" s="19" t="n">
        <v>46136</v>
      </c>
      <c r="F1833" s="18" t="n">
        <v>100</v>
      </c>
      <c r="G1833" s="18" t="inlineStr">
        <is>
          <t>TURMERO</t>
        </is>
      </c>
    </row>
    <row r="1834">
      <c r="B1834" s="18" t="inlineStr">
        <is>
          <t>00084-ELE</t>
        </is>
      </c>
      <c r="C1834" s="56">
        <f>IFERROR(_xlfn.XLOOKUP(SALIDAS[[#This Row],[CODIGO]],LISTADO[CODIGOS],LISTADO[CATEGORIA]),"NO EXISTE")</f>
        <v/>
      </c>
      <c r="D1834" s="56">
        <f>IFERROR(_xlfn.XLOOKUP(SALIDAS[[#This Row],[CODIGO]],LISTADO[CODIGOS],LISTADO[PRODUCTOS]),"NO EXISTE")</f>
        <v/>
      </c>
      <c r="E1834" s="19" t="n">
        <v>46136</v>
      </c>
      <c r="F1834" s="18" t="n">
        <v>100</v>
      </c>
      <c r="G1834" s="18" t="inlineStr">
        <is>
          <t>TURMERO</t>
        </is>
      </c>
    </row>
    <row r="1835">
      <c r="B1835" s="18" t="inlineStr">
        <is>
          <t>00117-ELE</t>
        </is>
      </c>
      <c r="C1835" s="56">
        <f>IFERROR(_xlfn.XLOOKUP(SALIDAS[[#This Row],[CODIGO]],LISTADO[CODIGOS],LISTADO[CATEGORIA]),"NO EXISTE")</f>
        <v/>
      </c>
      <c r="D1835" s="56">
        <f>IFERROR(_xlfn.XLOOKUP(SALIDAS[[#This Row],[CODIGO]],LISTADO[CODIGOS],LISTADO[PRODUCTOS]),"NO EXISTE")</f>
        <v/>
      </c>
      <c r="E1835" s="19" t="n">
        <v>46136</v>
      </c>
      <c r="F1835" s="18" t="n">
        <v>500</v>
      </c>
      <c r="G1835" s="18" t="inlineStr">
        <is>
          <t>TURMERO</t>
        </is>
      </c>
    </row>
    <row r="1836">
      <c r="B1836" s="56" t="inlineStr">
        <is>
          <t>00014-ELE</t>
        </is>
      </c>
      <c r="C1836" s="56">
        <f>IFERROR(_xlfn.XLOOKUP(SALIDAS[[#This Row],[CODIGO]],LISTADO[CODIGOS],LISTADO[CATEGORIA]),"NO EXISTE")</f>
        <v/>
      </c>
      <c r="D1836" s="56">
        <f>IFERROR(_xlfn.XLOOKUP(SALIDAS[[#This Row],[CODIGO]],LISTADO[CODIGOS],LISTADO[PRODUCTOS]),"NO EXISTE")</f>
        <v/>
      </c>
      <c r="E1836" s="19" t="n">
        <v>46136</v>
      </c>
      <c r="F1836" s="18" t="n">
        <v>500</v>
      </c>
      <c r="G1836" s="18" t="inlineStr">
        <is>
          <t>TURMERO</t>
        </is>
      </c>
    </row>
    <row r="1837">
      <c r="B1837" s="18" t="inlineStr">
        <is>
          <t>00089-ELE</t>
        </is>
      </c>
      <c r="C1837" s="56">
        <f>IFERROR(_xlfn.XLOOKUP(SALIDAS[[#This Row],[CODIGO]],LISTADO[CODIGOS],LISTADO[CATEGORIA]),"NO EXISTE")</f>
        <v/>
      </c>
      <c r="D1837" s="56">
        <f>IFERROR(_xlfn.XLOOKUP(SALIDAS[[#This Row],[CODIGO]],LISTADO[CODIGOS],LISTADO[PRODUCTOS]),"NO EXISTE")</f>
        <v/>
      </c>
      <c r="E1837" s="19" t="n">
        <v>46136</v>
      </c>
      <c r="F1837" s="18" t="n">
        <v>500</v>
      </c>
      <c r="G1837" s="18" t="inlineStr">
        <is>
          <t>TURMERO</t>
        </is>
      </c>
    </row>
    <row r="1838">
      <c r="B1838" s="18" t="inlineStr">
        <is>
          <t>00066-ELE</t>
        </is>
      </c>
      <c r="C1838" s="56">
        <f>IFERROR(_xlfn.XLOOKUP(SALIDAS[[#This Row],[CODIGO]],LISTADO[CODIGOS],LISTADO[CATEGORIA]),"NO EXISTE")</f>
        <v/>
      </c>
      <c r="D1838" s="56">
        <f>IFERROR(_xlfn.XLOOKUP(SALIDAS[[#This Row],[CODIGO]],LISTADO[CODIGOS],LISTADO[PRODUCTOS]),"NO EXISTE")</f>
        <v/>
      </c>
      <c r="E1838" s="19" t="n">
        <v>46136</v>
      </c>
      <c r="F1838" s="18" t="n">
        <v>1300</v>
      </c>
      <c r="G1838" s="18" t="inlineStr">
        <is>
          <t>TURMERO</t>
        </is>
      </c>
    </row>
    <row r="1839">
      <c r="B1839" s="56" t="inlineStr">
        <is>
          <t>00020-ELE</t>
        </is>
      </c>
      <c r="C1839" s="56">
        <f>IFERROR(_xlfn.XLOOKUP(SALIDAS[[#This Row],[CODIGO]],LISTADO[CODIGOS],LISTADO[CATEGORIA]),"NO EXISTE")</f>
        <v/>
      </c>
      <c r="D1839" s="56">
        <f>IFERROR(_xlfn.XLOOKUP(SALIDAS[[#This Row],[CODIGO]],LISTADO[CODIGOS],LISTADO[PRODUCTOS]),"NO EXISTE")</f>
        <v/>
      </c>
      <c r="E1839" s="19" t="n">
        <v>46136</v>
      </c>
      <c r="F1839" s="18" t="n">
        <v>100</v>
      </c>
      <c r="G1839" s="18" t="inlineStr">
        <is>
          <t>TURMERO</t>
        </is>
      </c>
    </row>
    <row r="1840">
      <c r="B1840" s="18" t="inlineStr">
        <is>
          <t>00240-FER</t>
        </is>
      </c>
      <c r="C1840" s="56">
        <f>IFERROR(_xlfn.XLOOKUP(SALIDAS[[#This Row],[CODIGO]],LISTADO[CODIGOS],LISTADO[CATEGORIA]),"NO EXISTE")</f>
        <v/>
      </c>
      <c r="D1840" s="56">
        <f>IFERROR(_xlfn.XLOOKUP(SALIDAS[[#This Row],[CODIGO]],LISTADO[CODIGOS],LISTADO[PRODUCTOS]),"NO EXISTE")</f>
        <v/>
      </c>
      <c r="E1840" s="19" t="n">
        <v>46136</v>
      </c>
      <c r="F1840" s="18" t="n">
        <v>1</v>
      </c>
      <c r="G1840" s="18" t="inlineStr">
        <is>
          <t>TURMERO</t>
        </is>
      </c>
    </row>
    <row r="1841">
      <c r="B1841" s="18" t="inlineStr">
        <is>
          <t>00241-FER</t>
        </is>
      </c>
      <c r="C1841" s="56">
        <f>IFERROR(_xlfn.XLOOKUP(SALIDAS[[#This Row],[CODIGO]],LISTADO[CODIGOS],LISTADO[CATEGORIA]),"NO EXISTE")</f>
        <v/>
      </c>
      <c r="D1841" s="56">
        <f>IFERROR(_xlfn.XLOOKUP(SALIDAS[[#This Row],[CODIGO]],LISTADO[CODIGOS],LISTADO[PRODUCTOS]),"NO EXISTE")</f>
        <v/>
      </c>
      <c r="E1841" s="19" t="n">
        <v>46162</v>
      </c>
      <c r="F1841" s="18" t="n">
        <v>2</v>
      </c>
      <c r="G1841" s="18" t="inlineStr">
        <is>
          <t>TURMERO</t>
        </is>
      </c>
    </row>
    <row r="1842">
      <c r="B1842" s="56" t="inlineStr">
        <is>
          <t>00127-FER</t>
        </is>
      </c>
      <c r="C1842" s="56">
        <f>IFERROR(_xlfn.XLOOKUP(SALIDAS[[#This Row],[CODIGO]],LISTADO[CODIGOS],LISTADO[CATEGORIA]),"NO EXISTE")</f>
        <v/>
      </c>
      <c r="D1842" s="56">
        <f>IFERROR(_xlfn.XLOOKUP(SALIDAS[[#This Row],[CODIGO]],LISTADO[CODIGOS],LISTADO[PRODUCTOS]),"NO EXISTE")</f>
        <v/>
      </c>
      <c r="E1842" s="19" t="n">
        <v>46161</v>
      </c>
      <c r="F1842" s="18" t="n">
        <v>2</v>
      </c>
      <c r="G1842" s="18" t="inlineStr">
        <is>
          <t>TURMERO</t>
        </is>
      </c>
    </row>
    <row r="1843">
      <c r="B1843" s="56" t="inlineStr">
        <is>
          <t>00037-ILU</t>
        </is>
      </c>
      <c r="C1843" s="56">
        <f>IFERROR(_xlfn.XLOOKUP(SALIDAS[[#This Row],[CODIGO]],LISTADO[CODIGOS],LISTADO[CATEGORIA]),"NO EXISTE")</f>
        <v/>
      </c>
      <c r="D1843" s="56">
        <f>IFERROR(_xlfn.XLOOKUP(SALIDAS[[#This Row],[CODIGO]],LISTADO[CODIGOS],LISTADO[PRODUCTOS]),"NO EXISTE")</f>
        <v/>
      </c>
      <c r="E1843" s="19" t="n">
        <v>46161</v>
      </c>
      <c r="F1843" s="18" t="n">
        <v>4</v>
      </c>
      <c r="G1843" s="18" t="inlineStr">
        <is>
          <t>TURMERO</t>
        </is>
      </c>
    </row>
    <row r="1844">
      <c r="B1844" s="56" t="inlineStr">
        <is>
          <t>00014-ELE</t>
        </is>
      </c>
      <c r="C1844" s="56">
        <f>IFERROR(_xlfn.XLOOKUP(SALIDAS[[#This Row],[CODIGO]],LISTADO[CODIGOS],LISTADO[CATEGORIA]),"NO EXISTE")</f>
        <v/>
      </c>
      <c r="D1844" s="56">
        <f>IFERROR(_xlfn.XLOOKUP(SALIDAS[[#This Row],[CODIGO]],LISTADO[CODIGOS],LISTADO[PRODUCTOS]),"NO EXISTE")</f>
        <v/>
      </c>
      <c r="E1844" s="19" t="n">
        <v>46161</v>
      </c>
      <c r="F1844" s="18" t="n">
        <v>20</v>
      </c>
      <c r="G1844" s="18" t="inlineStr">
        <is>
          <t>TURMERO</t>
        </is>
      </c>
    </row>
    <row r="1845">
      <c r="B1845" s="18" t="inlineStr">
        <is>
          <t>00028-MSC</t>
        </is>
      </c>
      <c r="C1845" s="56">
        <f>IFERROR(_xlfn.XLOOKUP(SALIDAS[[#This Row],[CODIGO]],LISTADO[CODIGOS],LISTADO[CATEGORIA]),"NO EXISTE")</f>
        <v/>
      </c>
      <c r="D1845" s="56">
        <f>IFERROR(_xlfn.XLOOKUP(SALIDAS[[#This Row],[CODIGO]],LISTADO[CODIGOS],LISTADO[PRODUCTOS]),"NO EXISTE")</f>
        <v/>
      </c>
      <c r="E1845" s="19" t="n">
        <v>46161</v>
      </c>
      <c r="F1845" s="18" t="n">
        <v>2</v>
      </c>
      <c r="G1845" s="18" t="inlineStr">
        <is>
          <t>TURMERO</t>
        </is>
      </c>
    </row>
    <row r="1846">
      <c r="B1846" s="18" t="inlineStr">
        <is>
          <t>00029-MSC</t>
        </is>
      </c>
      <c r="C1846" s="56">
        <f>IFERROR(_xlfn.XLOOKUP(SALIDAS[[#This Row],[CODIGO]],LISTADO[CODIGOS],LISTADO[CATEGORIA]),"NO EXISTE")</f>
        <v/>
      </c>
      <c r="D1846" s="56">
        <f>IFERROR(_xlfn.XLOOKUP(SALIDAS[[#This Row],[CODIGO]],LISTADO[CODIGOS],LISTADO[PRODUCTOS]),"NO EXISTE")</f>
        <v/>
      </c>
      <c r="E1846" s="19" t="n">
        <v>46161</v>
      </c>
      <c r="F1846" s="18" t="n">
        <v>2</v>
      </c>
      <c r="G1846" s="18" t="inlineStr">
        <is>
          <t>TURMERO</t>
        </is>
      </c>
    </row>
    <row r="1847">
      <c r="B1847" s="18" t="inlineStr">
        <is>
          <t>00100-REF</t>
        </is>
      </c>
      <c r="C1847" s="56">
        <f>IFERROR(_xlfn.XLOOKUP(SALIDAS[[#This Row],[CODIGO]],LISTADO[CODIGOS],LISTADO[CATEGORIA]),"NO EXISTE")</f>
        <v/>
      </c>
      <c r="D1847" s="56">
        <f>IFERROR(_xlfn.XLOOKUP(SALIDAS[[#This Row],[CODIGO]],LISTADO[CODIGOS],LISTADO[PRODUCTOS]),"NO EXISTE")</f>
        <v/>
      </c>
      <c r="E1847" s="19" t="n">
        <v>46158</v>
      </c>
      <c r="F1847" s="18" t="n">
        <v>1</v>
      </c>
      <c r="G1847" s="18" t="inlineStr">
        <is>
          <t>TURMERO</t>
        </is>
      </c>
    </row>
    <row r="1848">
      <c r="B1848" s="18" t="inlineStr">
        <is>
          <t>00054-PLM</t>
        </is>
      </c>
      <c r="C1848" s="56">
        <f>IFERROR(_xlfn.XLOOKUP(SALIDAS[[#This Row],[CODIGO]],LISTADO[CODIGOS],LISTADO[CATEGORIA]),"NO EXISTE")</f>
        <v/>
      </c>
      <c r="D1848" s="56">
        <f>IFERROR(_xlfn.XLOOKUP(SALIDAS[[#This Row],[CODIGO]],LISTADO[CODIGOS],LISTADO[PRODUCTOS]),"NO EXISTE")</f>
        <v/>
      </c>
      <c r="E1848" s="19" t="n">
        <v>46156</v>
      </c>
      <c r="F1848" s="18" t="n">
        <v>1</v>
      </c>
      <c r="G1848" s="18" t="inlineStr">
        <is>
          <t>TURMERO</t>
        </is>
      </c>
    </row>
    <row r="1849">
      <c r="B1849" s="18" t="inlineStr">
        <is>
          <t>00057-PLM</t>
        </is>
      </c>
      <c r="C1849" s="56">
        <f>IFERROR(_xlfn.XLOOKUP(SALIDAS[[#This Row],[CODIGO]],LISTADO[CODIGOS],LISTADO[CATEGORIA]),"NO EXISTE")</f>
        <v/>
      </c>
      <c r="D1849" s="56">
        <f>IFERROR(_xlfn.XLOOKUP(SALIDAS[[#This Row],[CODIGO]],LISTADO[CODIGOS],LISTADO[PRODUCTOS]),"NO EXISTE")</f>
        <v/>
      </c>
      <c r="E1849" s="19" t="n">
        <v>46156</v>
      </c>
      <c r="F1849" s="18" t="n">
        <v>1</v>
      </c>
      <c r="G1849" s="18" t="inlineStr">
        <is>
          <t>TURMERO</t>
        </is>
      </c>
    </row>
    <row r="1850">
      <c r="B1850" s="56" t="inlineStr">
        <is>
          <t>00010-PLM</t>
        </is>
      </c>
      <c r="C1850" s="56">
        <f>IFERROR(_xlfn.XLOOKUP(SALIDAS[[#This Row],[CODIGO]],LISTADO[CODIGOS],LISTADO[CATEGORIA]),"NO EXISTE")</f>
        <v/>
      </c>
      <c r="D1850" s="56">
        <f>IFERROR(_xlfn.XLOOKUP(SALIDAS[[#This Row],[CODIGO]],LISTADO[CODIGOS],LISTADO[PRODUCTOS]),"NO EXISTE")</f>
        <v/>
      </c>
      <c r="E1850" s="19" t="n">
        <v>46156</v>
      </c>
      <c r="F1850" s="18" t="n">
        <v>1</v>
      </c>
      <c r="G1850" s="18" t="inlineStr">
        <is>
          <t>TURMERO</t>
        </is>
      </c>
    </row>
    <row r="1851">
      <c r="B1851" s="18" t="inlineStr">
        <is>
          <t>00089-ELC</t>
        </is>
      </c>
      <c r="C1851" s="56">
        <f>IFERROR(_xlfn.XLOOKUP(SALIDAS[[#This Row],[CODIGO]],LISTADO[CODIGOS],LISTADO[CATEGORIA]),"NO EXISTE")</f>
        <v/>
      </c>
      <c r="D1851" s="56">
        <f>IFERROR(_xlfn.XLOOKUP(SALIDAS[[#This Row],[CODIGO]],LISTADO[CODIGOS],LISTADO[PRODUCTOS]),"NO EXISTE")</f>
        <v/>
      </c>
      <c r="E1851" s="19" t="n">
        <v>46155</v>
      </c>
      <c r="F1851" s="18" t="n">
        <v>1</v>
      </c>
      <c r="G1851" s="18" t="inlineStr">
        <is>
          <t>TURMERO</t>
        </is>
      </c>
    </row>
    <row r="1852">
      <c r="B1852" s="18" t="inlineStr">
        <is>
          <t>00090-ELC</t>
        </is>
      </c>
      <c r="C1852" s="56">
        <f>IFERROR(_xlfn.XLOOKUP(SALIDAS[[#This Row],[CODIGO]],LISTADO[CODIGOS],LISTADO[CATEGORIA]),"NO EXISTE")</f>
        <v/>
      </c>
      <c r="D1852" s="56">
        <f>IFERROR(_xlfn.XLOOKUP(SALIDAS[[#This Row],[CODIGO]],LISTADO[CODIGOS],LISTADO[PRODUCTOS]),"NO EXISTE")</f>
        <v/>
      </c>
      <c r="E1852" s="19" t="n">
        <v>46155</v>
      </c>
      <c r="F1852" s="18" t="n">
        <v>1</v>
      </c>
      <c r="G1852" s="18" t="inlineStr">
        <is>
          <t>TURMERO</t>
        </is>
      </c>
    </row>
    <row r="1853">
      <c r="B1853" s="56" t="inlineStr">
        <is>
          <t>00046-ELC</t>
        </is>
      </c>
      <c r="C1853" s="56">
        <f>IFERROR(_xlfn.XLOOKUP(SALIDAS[[#This Row],[CODIGO]],LISTADO[CODIGOS],LISTADO[CATEGORIA]),"NO EXISTE")</f>
        <v/>
      </c>
      <c r="D1853" s="56">
        <f>IFERROR(_xlfn.XLOOKUP(SALIDAS[[#This Row],[CODIGO]],LISTADO[CODIGOS],LISTADO[PRODUCTOS]),"NO EXISTE")</f>
        <v/>
      </c>
      <c r="E1853" s="19" t="n">
        <v>46155</v>
      </c>
      <c r="F1853" s="18" t="n">
        <v>1</v>
      </c>
      <c r="G1853" s="18" t="inlineStr">
        <is>
          <t>TURMERO</t>
        </is>
      </c>
    </row>
    <row r="1854">
      <c r="B1854" s="56" t="inlineStr">
        <is>
          <t>00018-PLM</t>
        </is>
      </c>
      <c r="C1854" s="56">
        <f>IFERROR(_xlfn.XLOOKUP(SALIDAS[[#This Row],[CODIGO]],LISTADO[CODIGOS],LISTADO[CATEGORIA]),"NO EXISTE")</f>
        <v/>
      </c>
      <c r="D1854" s="56">
        <f>IFERROR(_xlfn.XLOOKUP(SALIDAS[[#This Row],[CODIGO]],LISTADO[CODIGOS],LISTADO[PRODUCTOS]),"NO EXISTE")</f>
        <v/>
      </c>
      <c r="E1854" s="19" t="n">
        <v>46154</v>
      </c>
      <c r="F1854" s="18" t="n">
        <v>5</v>
      </c>
      <c r="G1854" s="18" t="inlineStr">
        <is>
          <t>TURMERO</t>
        </is>
      </c>
    </row>
    <row r="1855">
      <c r="B1855" s="18" t="inlineStr">
        <is>
          <t>00123-REF</t>
        </is>
      </c>
      <c r="C1855" s="56">
        <f>IFERROR(_xlfn.XLOOKUP(SALIDAS[[#This Row],[CODIGO]],LISTADO[CODIGOS],LISTADO[CATEGORIA]),"NO EXISTE")</f>
        <v/>
      </c>
      <c r="D1855" s="56">
        <f>IFERROR(_xlfn.XLOOKUP(SALIDAS[[#This Row],[CODIGO]],LISTADO[CODIGOS],LISTADO[PRODUCTOS]),"NO EXISTE")</f>
        <v/>
      </c>
      <c r="E1855" s="19" t="n">
        <v>46154</v>
      </c>
      <c r="F1855" s="18" t="n">
        <v>1</v>
      </c>
      <c r="G1855" s="18" t="inlineStr">
        <is>
          <t>TURMERO</t>
        </is>
      </c>
    </row>
    <row r="1856">
      <c r="B1856" s="18" t="inlineStr">
        <is>
          <t>00163-REF</t>
        </is>
      </c>
      <c r="C1856" s="56">
        <f>IFERROR(_xlfn.XLOOKUP(SALIDAS[[#This Row],[CODIGO]],LISTADO[CODIGOS],LISTADO[CATEGORIA]),"NO EXISTE")</f>
        <v/>
      </c>
      <c r="D1856" s="56">
        <f>IFERROR(_xlfn.XLOOKUP(SALIDAS[[#This Row],[CODIGO]],LISTADO[CODIGOS],LISTADO[PRODUCTOS]),"NO EXISTE")</f>
        <v/>
      </c>
      <c r="E1856" s="19" t="n">
        <v>46154</v>
      </c>
      <c r="F1856" s="18" t="n">
        <v>1</v>
      </c>
      <c r="G1856" s="18" t="inlineStr">
        <is>
          <t>TURMERO</t>
        </is>
      </c>
    </row>
    <row r="1857">
      <c r="B1857" s="18" t="inlineStr">
        <is>
          <t>00108-ELE</t>
        </is>
      </c>
      <c r="C1857" s="56">
        <f>IFERROR(_xlfn.XLOOKUP(SALIDAS[[#This Row],[CODIGO]],LISTADO[CODIGOS],LISTADO[CATEGORIA]),"NO EXISTE")</f>
        <v/>
      </c>
      <c r="D1857" s="56">
        <f>IFERROR(_xlfn.XLOOKUP(SALIDAS[[#This Row],[CODIGO]],LISTADO[CODIGOS],LISTADO[PRODUCTOS]),"NO EXISTE")</f>
        <v/>
      </c>
      <c r="E1857" s="19" t="n">
        <v>46150</v>
      </c>
      <c r="F1857" s="18" t="n">
        <v>1</v>
      </c>
      <c r="G1857" s="18" t="inlineStr">
        <is>
          <t>TURMERO</t>
        </is>
      </c>
    </row>
    <row r="1858">
      <c r="B1858" s="18" t="inlineStr">
        <is>
          <t>00100-ELE</t>
        </is>
      </c>
      <c r="C1858" s="56">
        <f>IFERROR(_xlfn.XLOOKUP(SALIDAS[[#This Row],[CODIGO]],LISTADO[CODIGOS],LISTADO[CATEGORIA]),"NO EXISTE")</f>
        <v/>
      </c>
      <c r="D1858" s="56">
        <f>IFERROR(_xlfn.XLOOKUP(SALIDAS[[#This Row],[CODIGO]],LISTADO[CODIGOS],LISTADO[PRODUCTOS]),"NO EXISTE")</f>
        <v/>
      </c>
      <c r="E1858" s="19" t="n">
        <v>46150</v>
      </c>
      <c r="F1858" s="18" t="n">
        <v>1</v>
      </c>
      <c r="G1858" s="18" t="inlineStr">
        <is>
          <t>TURMERO</t>
        </is>
      </c>
    </row>
    <row r="1859">
      <c r="B1859" s="56" t="inlineStr">
        <is>
          <t>00009-ILU</t>
        </is>
      </c>
      <c r="C1859" s="56">
        <f>IFERROR(_xlfn.XLOOKUP(SALIDAS[[#This Row],[CODIGO]],LISTADO[CODIGOS],LISTADO[CATEGORIA]),"NO EXISTE")</f>
        <v/>
      </c>
      <c r="D1859" s="56">
        <f>IFERROR(_xlfn.XLOOKUP(SALIDAS[[#This Row],[CODIGO]],LISTADO[CODIGOS],LISTADO[PRODUCTOS]),"NO EXISTE")</f>
        <v/>
      </c>
      <c r="E1859" s="19" t="n">
        <v>46150</v>
      </c>
      <c r="F1859" s="18" t="n">
        <v>7</v>
      </c>
      <c r="G1859" s="18" t="inlineStr">
        <is>
          <t>TURMERO</t>
        </is>
      </c>
    </row>
    <row r="1860">
      <c r="B1860" s="56" t="inlineStr">
        <is>
          <t>00047-ELE</t>
        </is>
      </c>
      <c r="C1860" s="56">
        <f>IFERROR(_xlfn.XLOOKUP(SALIDAS[[#This Row],[CODIGO]],LISTADO[CODIGOS],LISTADO[CATEGORIA]),"NO EXISTE")</f>
        <v/>
      </c>
      <c r="D1860" s="56">
        <f>IFERROR(_xlfn.XLOOKUP(SALIDAS[[#This Row],[CODIGO]],LISTADO[CODIGOS],LISTADO[PRODUCTOS]),"NO EXISTE")</f>
        <v/>
      </c>
      <c r="E1860" s="19" t="n">
        <v>46150</v>
      </c>
      <c r="F1860" s="18" t="n">
        <v>15</v>
      </c>
      <c r="G1860" s="18" t="inlineStr">
        <is>
          <t>TURMERO</t>
        </is>
      </c>
    </row>
    <row r="1861">
      <c r="B1861" s="56" t="inlineStr">
        <is>
          <t>00015-ELE</t>
        </is>
      </c>
      <c r="C1861" s="56">
        <f>IFERROR(_xlfn.XLOOKUP(SALIDAS[[#This Row],[CODIGO]],LISTADO[CODIGOS],LISTADO[CATEGORIA]),"NO EXISTE")</f>
        <v/>
      </c>
      <c r="D1861" s="56">
        <f>IFERROR(_xlfn.XLOOKUP(SALIDAS[[#This Row],[CODIGO]],LISTADO[CODIGOS],LISTADO[PRODUCTOS]),"NO EXISTE")</f>
        <v/>
      </c>
      <c r="E1861" s="19" t="n">
        <v>46144</v>
      </c>
      <c r="F1861" s="18" t="n">
        <v>2</v>
      </c>
      <c r="G1861" s="18" t="inlineStr">
        <is>
          <t>TURMERO</t>
        </is>
      </c>
    </row>
    <row r="1862">
      <c r="B1862" s="56" t="inlineStr">
        <is>
          <t>00031-ELE</t>
        </is>
      </c>
      <c r="C1862" s="56">
        <f>IFERROR(_xlfn.XLOOKUP(SALIDAS[[#This Row],[CODIGO]],LISTADO[CODIGOS],LISTADO[CATEGORIA]),"NO EXISTE")</f>
        <v/>
      </c>
      <c r="D1862" s="56">
        <f>IFERROR(_xlfn.XLOOKUP(SALIDAS[[#This Row],[CODIGO]],LISTADO[CODIGOS],LISTADO[PRODUCTOS]),"NO EXISTE")</f>
        <v/>
      </c>
      <c r="E1862" s="19" t="n">
        <v>46144</v>
      </c>
      <c r="F1862" s="18" t="n">
        <v>2</v>
      </c>
      <c r="G1862" s="18" t="inlineStr">
        <is>
          <t>TURMERO</t>
        </is>
      </c>
    </row>
    <row r="1863">
      <c r="B1863" s="18" t="inlineStr">
        <is>
          <t>00108-ELE</t>
        </is>
      </c>
      <c r="C1863" s="56">
        <f>IFERROR(_xlfn.XLOOKUP(SALIDAS[[#This Row],[CODIGO]],LISTADO[CODIGOS],LISTADO[CATEGORIA]),"NO EXISTE")</f>
        <v/>
      </c>
      <c r="D1863" s="56">
        <f>IFERROR(_xlfn.XLOOKUP(SALIDAS[[#This Row],[CODIGO]],LISTADO[CODIGOS],LISTADO[PRODUCTOS]),"NO EXISTE")</f>
        <v/>
      </c>
      <c r="E1863" s="19" t="n">
        <v>46150</v>
      </c>
      <c r="F1863" s="18" t="n">
        <v>1</v>
      </c>
      <c r="G1863" s="18" t="inlineStr">
        <is>
          <t>TURMERO</t>
        </is>
      </c>
    </row>
    <row r="1864">
      <c r="B1864" s="56" t="inlineStr">
        <is>
          <t>00010-REF</t>
        </is>
      </c>
      <c r="C1864" s="56">
        <f>IFERROR(_xlfn.XLOOKUP(SALIDAS[[#This Row],[CODIGO]],LISTADO[CODIGOS],LISTADO[CATEGORIA]),"NO EXISTE")</f>
        <v/>
      </c>
      <c r="D1864" s="56">
        <f>IFERROR(_xlfn.XLOOKUP(SALIDAS[[#This Row],[CODIGO]],LISTADO[CODIGOS],LISTADO[PRODUCTOS]),"NO EXISTE")</f>
        <v/>
      </c>
      <c r="E1864" s="19" t="n">
        <v>46150</v>
      </c>
      <c r="F1864" s="18" t="n">
        <v>1</v>
      </c>
      <c r="G1864" s="18" t="inlineStr">
        <is>
          <t>TURMERO</t>
        </is>
      </c>
    </row>
    <row r="1865">
      <c r="B1865" s="18" t="inlineStr">
        <is>
          <t>00165-REF</t>
        </is>
      </c>
      <c r="C1865" s="56">
        <f>IFERROR(_xlfn.XLOOKUP(SALIDAS[[#This Row],[CODIGO]],LISTADO[CODIGOS],LISTADO[CATEGORIA]),"NO EXISTE")</f>
        <v/>
      </c>
      <c r="D1865" s="56">
        <f>IFERROR(_xlfn.XLOOKUP(SALIDAS[[#This Row],[CODIGO]],LISTADO[CODIGOS],LISTADO[PRODUCTOS]),"NO EXISTE")</f>
        <v/>
      </c>
      <c r="E1865" s="19" t="n">
        <v>46150</v>
      </c>
      <c r="F1865" s="18" t="n">
        <v>15</v>
      </c>
      <c r="G1865" s="18" t="inlineStr">
        <is>
          <t>TURMERO</t>
        </is>
      </c>
    </row>
    <row r="1866">
      <c r="B1866" s="18" t="inlineStr">
        <is>
          <t>00165-REF</t>
        </is>
      </c>
      <c r="C1866" s="56">
        <f>IFERROR(_xlfn.XLOOKUP(SALIDAS[[#This Row],[CODIGO]],LISTADO[CODIGOS],LISTADO[CATEGORIA]),"NO EXISTE")</f>
        <v/>
      </c>
      <c r="D1866" s="56">
        <f>IFERROR(_xlfn.XLOOKUP(SALIDAS[[#This Row],[CODIGO]],LISTADO[CODIGOS],LISTADO[PRODUCTOS]),"NO EXISTE")</f>
        <v/>
      </c>
      <c r="E1866" s="19" t="n">
        <v>46150</v>
      </c>
      <c r="F1866" s="18" t="n">
        <v>15</v>
      </c>
      <c r="G1866" s="18" t="inlineStr">
        <is>
          <t>TURMERO</t>
        </is>
      </c>
    </row>
    <row r="1867">
      <c r="B1867" s="56" t="inlineStr">
        <is>
          <t>00001-REF</t>
        </is>
      </c>
      <c r="C1867" s="56">
        <f>IFERROR(_xlfn.XLOOKUP(SALIDAS[[#This Row],[CODIGO]],LISTADO[CODIGOS],LISTADO[CATEGORIA]),"NO EXISTE")</f>
        <v/>
      </c>
      <c r="D1867" s="56">
        <f>IFERROR(_xlfn.XLOOKUP(SALIDAS[[#This Row],[CODIGO]],LISTADO[CODIGOS],LISTADO[PRODUCTOS]),"NO EXISTE")</f>
        <v/>
      </c>
      <c r="E1867" s="19" t="n">
        <v>46150</v>
      </c>
      <c r="F1867" s="18" t="n">
        <v>30</v>
      </c>
      <c r="G1867" s="18" t="inlineStr">
        <is>
          <t>TURMERO</t>
        </is>
      </c>
    </row>
    <row r="1868">
      <c r="B1868" s="18" t="inlineStr">
        <is>
          <t>00221-FER</t>
        </is>
      </c>
      <c r="C1868" s="56">
        <f>IFERROR(_xlfn.XLOOKUP(SALIDAS[[#This Row],[CODIGO]],LISTADO[CODIGOS],LISTADO[CATEGORIA]),"NO EXISTE")</f>
        <v/>
      </c>
      <c r="D1868" s="56">
        <f>IFERROR(_xlfn.XLOOKUP(SALIDAS[[#This Row],[CODIGO]],LISTADO[CODIGOS],LISTADO[PRODUCTOS]),"NO EXISTE")</f>
        <v/>
      </c>
      <c r="E1868" s="19" t="n">
        <v>46150</v>
      </c>
      <c r="F1868" s="18" t="n">
        <v>12</v>
      </c>
      <c r="G1868" s="18" t="inlineStr">
        <is>
          <t>TURMERO</t>
        </is>
      </c>
    </row>
    <row r="1869">
      <c r="B1869" s="56" t="inlineStr">
        <is>
          <t>00087-FER</t>
        </is>
      </c>
      <c r="C1869" s="56">
        <f>IFERROR(_xlfn.XLOOKUP(SALIDAS[[#This Row],[CODIGO]],LISTADO[CODIGOS],LISTADO[CATEGORIA]),"NO EXISTE")</f>
        <v/>
      </c>
      <c r="D1869" s="56">
        <f>IFERROR(_xlfn.XLOOKUP(SALIDAS[[#This Row],[CODIGO]],LISTADO[CODIGOS],LISTADO[PRODUCTOS]),"NO EXISTE")</f>
        <v/>
      </c>
      <c r="E1869" s="19" t="n">
        <v>46149</v>
      </c>
      <c r="F1869" s="18" t="n">
        <v>1</v>
      </c>
      <c r="G1869" s="18" t="inlineStr">
        <is>
          <t>TURMERO</t>
        </is>
      </c>
    </row>
    <row r="1870">
      <c r="B1870" s="18" t="inlineStr">
        <is>
          <t>00229-FER</t>
        </is>
      </c>
      <c r="C1870" s="56">
        <f>IFERROR(_xlfn.XLOOKUP(SALIDAS[[#This Row],[CODIGO]],LISTADO[CODIGOS],LISTADO[CATEGORIA]),"NO EXISTE")</f>
        <v/>
      </c>
      <c r="D1870" s="56">
        <f>IFERROR(_xlfn.XLOOKUP(SALIDAS[[#This Row],[CODIGO]],LISTADO[CODIGOS],LISTADO[PRODUCTOS]),"NO EXISTE")</f>
        <v/>
      </c>
      <c r="E1870" s="19" t="n">
        <v>46149</v>
      </c>
      <c r="F1870" s="18" t="n">
        <v>50</v>
      </c>
      <c r="G1870" s="18" t="inlineStr">
        <is>
          <t>TURMERO</t>
        </is>
      </c>
    </row>
    <row r="1871">
      <c r="B1871" s="56" t="inlineStr">
        <is>
          <t>00046-FER</t>
        </is>
      </c>
      <c r="C1871" s="56">
        <f>IFERROR(_xlfn.XLOOKUP(SALIDAS[[#This Row],[CODIGO]],LISTADO[CODIGOS],LISTADO[CATEGORIA]),"NO EXISTE")</f>
        <v/>
      </c>
      <c r="D1871" s="56">
        <f>IFERROR(_xlfn.XLOOKUP(SALIDAS[[#This Row],[CODIGO]],LISTADO[CODIGOS],LISTADO[PRODUCTOS]),"NO EXISTE")</f>
        <v/>
      </c>
      <c r="E1871" s="19" t="n">
        <v>46148</v>
      </c>
      <c r="F1871" s="18" t="n">
        <v>1</v>
      </c>
      <c r="G1871" s="18" t="inlineStr">
        <is>
          <t>TURMERO</t>
        </is>
      </c>
    </row>
    <row r="1872">
      <c r="B1872" s="18" t="inlineStr">
        <is>
          <t>00027-AUT</t>
        </is>
      </c>
      <c r="C1872" s="56">
        <f>IFERROR(_xlfn.XLOOKUP(SALIDAS[[#This Row],[CODIGO]],LISTADO[CODIGOS],LISTADO[CATEGORIA]),"NO EXISTE")</f>
        <v/>
      </c>
      <c r="D1872" s="56">
        <f>IFERROR(_xlfn.XLOOKUP(SALIDAS[[#This Row],[CODIGO]],LISTADO[CODIGOS],LISTADO[PRODUCTOS]),"NO EXISTE")</f>
        <v/>
      </c>
      <c r="E1872" s="19" t="n">
        <v>46148</v>
      </c>
      <c r="F1872" s="18" t="n">
        <v>2</v>
      </c>
      <c r="G1872" s="18" t="inlineStr">
        <is>
          <t>TURMERO</t>
        </is>
      </c>
    </row>
    <row r="1873">
      <c r="B1873" s="18" t="inlineStr">
        <is>
          <t>00044-AUT</t>
        </is>
      </c>
      <c r="C1873" s="56">
        <f>IFERROR(_xlfn.XLOOKUP(SALIDAS[[#This Row],[CODIGO]],LISTADO[CODIGOS],LISTADO[CATEGORIA]),"NO EXISTE")</f>
        <v/>
      </c>
      <c r="D1873" s="56">
        <f>IFERROR(_xlfn.XLOOKUP(SALIDAS[[#This Row],[CODIGO]],LISTADO[CODIGOS],LISTADO[PRODUCTOS]),"NO EXISTE")</f>
        <v/>
      </c>
      <c r="E1873" s="19" t="n">
        <v>46148</v>
      </c>
      <c r="F1873" s="18" t="n">
        <v>8</v>
      </c>
      <c r="G1873" s="18" t="inlineStr">
        <is>
          <t>TURMERO</t>
        </is>
      </c>
    </row>
    <row r="1874">
      <c r="B1874" s="18" t="inlineStr">
        <is>
          <t>00218-FER</t>
        </is>
      </c>
      <c r="C1874" s="56">
        <f>IFERROR(_xlfn.XLOOKUP(SALIDAS[[#This Row],[CODIGO]],LISTADO[CODIGOS],LISTADO[CATEGORIA]),"NO EXISTE")</f>
        <v/>
      </c>
      <c r="D1874" s="56">
        <f>IFERROR(_xlfn.XLOOKUP(SALIDAS[[#This Row],[CODIGO]],LISTADO[CODIGOS],LISTADO[PRODUCTOS]),"NO EXISTE")</f>
        <v/>
      </c>
      <c r="E1874" s="19" t="n">
        <v>46148</v>
      </c>
      <c r="F1874" s="18" t="n">
        <v>1</v>
      </c>
      <c r="G1874" s="18" t="inlineStr">
        <is>
          <t>TURMERO</t>
        </is>
      </c>
    </row>
    <row r="1875">
      <c r="B1875" s="18" t="inlineStr">
        <is>
          <t>00102-ELE</t>
        </is>
      </c>
      <c r="C1875" s="56">
        <f>IFERROR(_xlfn.XLOOKUP(SALIDAS[[#This Row],[CODIGO]],LISTADO[CODIGOS],LISTADO[CATEGORIA]),"NO EXISTE")</f>
        <v/>
      </c>
      <c r="D1875" s="56">
        <f>IFERROR(_xlfn.XLOOKUP(SALIDAS[[#This Row],[CODIGO]],LISTADO[CODIGOS],LISTADO[PRODUCTOS]),"NO EXISTE")</f>
        <v/>
      </c>
      <c r="E1875" s="19" t="n">
        <v>46146</v>
      </c>
      <c r="F1875" s="18" t="n">
        <v>1</v>
      </c>
      <c r="G1875" s="18" t="inlineStr">
        <is>
          <t>TURMERO</t>
        </is>
      </c>
    </row>
    <row r="1876">
      <c r="B1876" s="18" t="inlineStr">
        <is>
          <t>00130-ELE</t>
        </is>
      </c>
      <c r="C1876" s="56">
        <f>IFERROR(_xlfn.XLOOKUP(SALIDAS[[#This Row],[CODIGO]],LISTADO[CODIGOS],LISTADO[CATEGORIA]),"NO EXISTE")</f>
        <v/>
      </c>
      <c r="D1876" s="56">
        <f>IFERROR(_xlfn.XLOOKUP(SALIDAS[[#This Row],[CODIGO]],LISTADO[CODIGOS],LISTADO[PRODUCTOS]),"NO EXISTE")</f>
        <v/>
      </c>
      <c r="E1876" s="19" t="n">
        <v>46146</v>
      </c>
      <c r="F1876" s="18" t="n">
        <v>1</v>
      </c>
      <c r="G1876" s="18" t="inlineStr">
        <is>
          <t>TURMERO</t>
        </is>
      </c>
    </row>
    <row r="1877">
      <c r="B1877" s="56" t="inlineStr">
        <is>
          <t>00009-ILU</t>
        </is>
      </c>
      <c r="C1877" s="56">
        <f>IFERROR(_xlfn.XLOOKUP(SALIDAS[[#This Row],[CODIGO]],LISTADO[CODIGOS],LISTADO[CATEGORIA]),"NO EXISTE")</f>
        <v/>
      </c>
      <c r="D1877" s="56">
        <f>IFERROR(_xlfn.XLOOKUP(SALIDAS[[#This Row],[CODIGO]],LISTADO[CODIGOS],LISTADO[PRODUCTOS]),"NO EXISTE")</f>
        <v/>
      </c>
      <c r="E1877" s="19" t="n">
        <v>46146</v>
      </c>
      <c r="F1877" s="18" t="n">
        <v>7</v>
      </c>
      <c r="G1877" s="18" t="inlineStr">
        <is>
          <t>TURMERO</t>
        </is>
      </c>
    </row>
    <row r="1878">
      <c r="B1878" s="56" t="inlineStr">
        <is>
          <t>00047-ELE</t>
        </is>
      </c>
      <c r="C1878" s="56">
        <f>IFERROR(_xlfn.XLOOKUP(SALIDAS[[#This Row],[CODIGO]],LISTADO[CODIGOS],LISTADO[CATEGORIA]),"NO EXISTE")</f>
        <v/>
      </c>
      <c r="D1878" s="56">
        <f>IFERROR(_xlfn.XLOOKUP(SALIDAS[[#This Row],[CODIGO]],LISTADO[CODIGOS],LISTADO[PRODUCTOS]),"NO EXISTE")</f>
        <v/>
      </c>
      <c r="E1878" s="19" t="n">
        <v>46146</v>
      </c>
      <c r="F1878" s="18" t="n">
        <v>15</v>
      </c>
      <c r="G1878" s="18" t="inlineStr">
        <is>
          <t>TURMERO</t>
        </is>
      </c>
    </row>
    <row r="1879">
      <c r="B1879" s="56" t="inlineStr">
        <is>
          <t>00015-ELE</t>
        </is>
      </c>
      <c r="C1879" s="56">
        <f>IFERROR(_xlfn.XLOOKUP(SALIDAS[[#This Row],[CODIGO]],LISTADO[CODIGOS],LISTADO[CATEGORIA]),"NO EXISTE")</f>
        <v/>
      </c>
      <c r="D1879" s="56">
        <f>IFERROR(_xlfn.XLOOKUP(SALIDAS[[#This Row],[CODIGO]],LISTADO[CODIGOS],LISTADO[PRODUCTOS]),"NO EXISTE")</f>
        <v/>
      </c>
      <c r="E1879" s="19" t="n">
        <v>46144</v>
      </c>
      <c r="F1879" s="18" t="n">
        <v>2</v>
      </c>
      <c r="G1879" s="18" t="inlineStr">
        <is>
          <t>TURMERO</t>
        </is>
      </c>
    </row>
    <row r="1880">
      <c r="B1880" s="56" t="inlineStr">
        <is>
          <t>00031-ELE</t>
        </is>
      </c>
      <c r="C1880" s="56">
        <f>IFERROR(_xlfn.XLOOKUP(SALIDAS[[#This Row],[CODIGO]],LISTADO[CODIGOS],LISTADO[CATEGORIA]),"NO EXISTE")</f>
        <v/>
      </c>
      <c r="D1880" s="56">
        <f>IFERROR(_xlfn.XLOOKUP(SALIDAS[[#This Row],[CODIGO]],LISTADO[CODIGOS],LISTADO[PRODUCTOS]),"NO EXISTE")</f>
        <v/>
      </c>
      <c r="E1880" s="19" t="n">
        <v>46144</v>
      </c>
      <c r="F1880" s="18" t="n">
        <v>2</v>
      </c>
      <c r="G1880" s="18" t="inlineStr">
        <is>
          <t>TURMERO</t>
        </is>
      </c>
    </row>
    <row r="1881">
      <c r="B1881" s="18" t="inlineStr">
        <is>
          <t>00212-FER</t>
        </is>
      </c>
      <c r="C1881" s="56">
        <f>IFERROR(_xlfn.XLOOKUP(SALIDAS[[#This Row],[CODIGO]],LISTADO[CODIGOS],LISTADO[CATEGORIA]),"NO EXISTE")</f>
        <v/>
      </c>
      <c r="D1881" s="56">
        <f>IFERROR(_xlfn.XLOOKUP(SALIDAS[[#This Row],[CODIGO]],LISTADO[CODIGOS],LISTADO[PRODUCTOS]),"NO EXISTE")</f>
        <v/>
      </c>
      <c r="E1881" s="19" t="n">
        <v>46143</v>
      </c>
      <c r="F1881" s="18" t="n">
        <v>2</v>
      </c>
      <c r="G1881" s="18" t="inlineStr">
        <is>
          <t>TURMERO</t>
        </is>
      </c>
    </row>
    <row r="1882">
      <c r="B1882" s="18" t="inlineStr">
        <is>
          <t>00115-ELE</t>
        </is>
      </c>
      <c r="C1882" s="56">
        <f>IFERROR(_xlfn.XLOOKUP(SALIDAS[[#This Row],[CODIGO]],LISTADO[CODIGOS],LISTADO[CATEGORIA]),"NO EXISTE")</f>
        <v/>
      </c>
      <c r="D1882" s="56">
        <f>IFERROR(_xlfn.XLOOKUP(SALIDAS[[#This Row],[CODIGO]],LISTADO[CODIGOS],LISTADO[PRODUCTOS]),"NO EXISTE")</f>
        <v/>
      </c>
      <c r="E1882" s="19" t="n">
        <v>46142</v>
      </c>
      <c r="F1882" s="18" t="n">
        <v>10</v>
      </c>
      <c r="G1882" s="18" t="inlineStr">
        <is>
          <t>TURMERO</t>
        </is>
      </c>
    </row>
    <row r="1883">
      <c r="B1883" s="18" t="inlineStr">
        <is>
          <t>00103-ELE</t>
        </is>
      </c>
      <c r="C1883" s="56">
        <f>IFERROR(_xlfn.XLOOKUP(SALIDAS[[#This Row],[CODIGO]],LISTADO[CODIGOS],LISTADO[CATEGORIA]),"NO EXISTE")</f>
        <v/>
      </c>
      <c r="D1883" s="56">
        <f>IFERROR(_xlfn.XLOOKUP(SALIDAS[[#This Row],[CODIGO]],LISTADO[CODIGOS],LISTADO[PRODUCTOS]),"NO EXISTE")</f>
        <v/>
      </c>
      <c r="E1883" s="19" t="n">
        <v>46142</v>
      </c>
      <c r="F1883" s="18" t="n">
        <v>4</v>
      </c>
      <c r="G1883" s="18" t="inlineStr">
        <is>
          <t>TURMERO</t>
        </is>
      </c>
    </row>
    <row r="1884">
      <c r="B1884" s="56" t="inlineStr">
        <is>
          <t>00107-FER</t>
        </is>
      </c>
      <c r="C1884" s="56">
        <f>IFERROR(_xlfn.XLOOKUP(SALIDAS[[#This Row],[CODIGO]],LISTADO[CODIGOS],LISTADO[CATEGORIA]),"NO EXISTE")</f>
        <v/>
      </c>
      <c r="D1884" s="56">
        <f>IFERROR(_xlfn.XLOOKUP(SALIDAS[[#This Row],[CODIGO]],LISTADO[CODIGOS],LISTADO[PRODUCTOS]),"NO EXISTE")</f>
        <v/>
      </c>
      <c r="E1884" s="19" t="n">
        <v>46142</v>
      </c>
      <c r="F1884" s="18" t="n">
        <v>20</v>
      </c>
      <c r="G1884" s="18" t="inlineStr">
        <is>
          <t>TURMERO</t>
        </is>
      </c>
    </row>
    <row r="1885">
      <c r="B1885" s="56" t="inlineStr">
        <is>
          <t>00031-ELE</t>
        </is>
      </c>
      <c r="C1885" s="56">
        <f>IFERROR(_xlfn.XLOOKUP(SALIDAS[[#This Row],[CODIGO]],LISTADO[CODIGOS],LISTADO[CATEGORIA]),"NO EXISTE")</f>
        <v/>
      </c>
      <c r="D1885" s="56">
        <f>IFERROR(_xlfn.XLOOKUP(SALIDAS[[#This Row],[CODIGO]],LISTADO[CODIGOS],LISTADO[PRODUCTOS]),"NO EXISTE")</f>
        <v/>
      </c>
      <c r="E1885" s="19" t="n">
        <v>46142</v>
      </c>
      <c r="F1885" s="18" t="n">
        <v>2</v>
      </c>
      <c r="G1885" s="18" t="inlineStr">
        <is>
          <t>TURMERO</t>
        </is>
      </c>
    </row>
    <row r="1886">
      <c r="B1886" s="18" t="inlineStr">
        <is>
          <t>00105-ELE</t>
        </is>
      </c>
      <c r="C1886" s="56">
        <f>IFERROR(_xlfn.XLOOKUP(SALIDAS[[#This Row],[CODIGO]],LISTADO[CODIGOS],LISTADO[CATEGORIA]),"NO EXISTE")</f>
        <v/>
      </c>
      <c r="D1886" s="56">
        <f>IFERROR(_xlfn.XLOOKUP(SALIDAS[[#This Row],[CODIGO]],LISTADO[CODIGOS],LISTADO[PRODUCTOS]),"NO EXISTE")</f>
        <v/>
      </c>
      <c r="E1886" s="19" t="n">
        <v>46142</v>
      </c>
      <c r="F1886" s="18" t="n">
        <v>26</v>
      </c>
      <c r="G1886" s="18" t="inlineStr">
        <is>
          <t>TURMERO</t>
        </is>
      </c>
    </row>
    <row r="1887">
      <c r="B1887" s="56" t="inlineStr">
        <is>
          <t>00115-FER</t>
        </is>
      </c>
      <c r="C1887" s="56">
        <f>IFERROR(_xlfn.XLOOKUP(SALIDAS[[#This Row],[CODIGO]],LISTADO[CODIGOS],LISTADO[CATEGORIA]),"NO EXISTE")</f>
        <v/>
      </c>
      <c r="D1887" s="56">
        <f>IFERROR(_xlfn.XLOOKUP(SALIDAS[[#This Row],[CODIGO]],LISTADO[CODIGOS],LISTADO[PRODUCTOS]),"NO EXISTE")</f>
        <v/>
      </c>
      <c r="E1887" s="19" t="n">
        <v>46142</v>
      </c>
      <c r="F1887" s="18" t="n">
        <v>200</v>
      </c>
      <c r="G1887" s="18" t="inlineStr">
        <is>
          <t>TURMERO</t>
        </is>
      </c>
    </row>
    <row r="1888">
      <c r="B1888" s="56" t="inlineStr">
        <is>
          <t>00035-ELE</t>
        </is>
      </c>
      <c r="C1888" s="56">
        <f>IFERROR(_xlfn.XLOOKUP(SALIDAS[[#This Row],[CODIGO]],LISTADO[CODIGOS],LISTADO[CATEGORIA]),"NO EXISTE")</f>
        <v/>
      </c>
      <c r="D1888" s="56">
        <f>IFERROR(_xlfn.XLOOKUP(SALIDAS[[#This Row],[CODIGO]],LISTADO[CODIGOS],LISTADO[PRODUCTOS]),"NO EXISTE")</f>
        <v/>
      </c>
      <c r="E1888" s="19" t="n">
        <v>46141</v>
      </c>
      <c r="F1888" s="18" t="n">
        <v>6</v>
      </c>
      <c r="G1888" s="18" t="inlineStr">
        <is>
          <t>TURMERO</t>
        </is>
      </c>
    </row>
    <row r="1889">
      <c r="B1889" s="56" t="inlineStr">
        <is>
          <t>00029-ELE</t>
        </is>
      </c>
      <c r="C1889" s="56">
        <f>IFERROR(_xlfn.XLOOKUP(SALIDAS[[#This Row],[CODIGO]],LISTADO[CODIGOS],LISTADO[CATEGORIA]),"NO EXISTE")</f>
        <v/>
      </c>
      <c r="D1889" s="56">
        <f>IFERROR(_xlfn.XLOOKUP(SALIDAS[[#This Row],[CODIGO]],LISTADO[CODIGOS],LISTADO[PRODUCTOS]),"NO EXISTE")</f>
        <v/>
      </c>
      <c r="E1889" s="19" t="n">
        <v>46141</v>
      </c>
      <c r="F1889" s="18" t="n">
        <v>1</v>
      </c>
      <c r="G1889" s="18" t="inlineStr">
        <is>
          <t>TURMERO</t>
        </is>
      </c>
    </row>
    <row r="1890">
      <c r="B1890" s="18" t="inlineStr">
        <is>
          <t>00106-ELE</t>
        </is>
      </c>
      <c r="C1890" s="56">
        <f>IFERROR(_xlfn.XLOOKUP(SALIDAS[[#This Row],[CODIGO]],LISTADO[CODIGOS],LISTADO[CATEGORIA]),"NO EXISTE")</f>
        <v/>
      </c>
      <c r="D1890" s="56">
        <f>IFERROR(_xlfn.XLOOKUP(SALIDAS[[#This Row],[CODIGO]],LISTADO[CODIGOS],LISTADO[PRODUCTOS]),"NO EXISTE")</f>
        <v/>
      </c>
      <c r="E1890" s="19" t="n">
        <v>46141</v>
      </c>
      <c r="F1890" s="18" t="n">
        <v>1</v>
      </c>
      <c r="G1890" s="18" t="inlineStr">
        <is>
          <t>TURMERO</t>
        </is>
      </c>
    </row>
    <row r="1891">
      <c r="B1891" s="56" t="inlineStr">
        <is>
          <t>00047-ELE</t>
        </is>
      </c>
      <c r="C1891" s="56">
        <f>IFERROR(_xlfn.XLOOKUP(SALIDAS[[#This Row],[CODIGO]],LISTADO[CODIGOS],LISTADO[CATEGORIA]),"NO EXISTE")</f>
        <v/>
      </c>
      <c r="D1891" s="56">
        <f>IFERROR(_xlfn.XLOOKUP(SALIDAS[[#This Row],[CODIGO]],LISTADO[CODIGOS],LISTADO[PRODUCTOS]),"NO EXISTE")</f>
        <v/>
      </c>
      <c r="E1891" s="19" t="n">
        <v>46141</v>
      </c>
      <c r="F1891" s="18" t="n">
        <v>10</v>
      </c>
      <c r="G1891" s="18" t="inlineStr">
        <is>
          <t>TURMERO</t>
        </is>
      </c>
    </row>
    <row r="1892">
      <c r="B1892" s="18" t="inlineStr">
        <is>
          <t>00107-ELE</t>
        </is>
      </c>
      <c r="C1892" s="56">
        <f>IFERROR(_xlfn.XLOOKUP(SALIDAS[[#This Row],[CODIGO]],LISTADO[CODIGOS],LISTADO[CATEGORIA]),"NO EXISTE")</f>
        <v/>
      </c>
      <c r="D1892" s="56">
        <f>IFERROR(_xlfn.XLOOKUP(SALIDAS[[#This Row],[CODIGO]],LISTADO[CODIGOS],LISTADO[PRODUCTOS]),"NO EXISTE")</f>
        <v/>
      </c>
      <c r="E1892" s="19" t="n">
        <v>46141</v>
      </c>
      <c r="F1892" s="18" t="n">
        <v>2</v>
      </c>
      <c r="G1892" s="18" t="inlineStr">
        <is>
          <t>TURMERO</t>
        </is>
      </c>
    </row>
    <row r="1893">
      <c r="B1893" s="18" t="inlineStr">
        <is>
          <t>00101-ELE</t>
        </is>
      </c>
      <c r="C1893" s="56">
        <f>IFERROR(_xlfn.XLOOKUP(SALIDAS[[#This Row],[CODIGO]],LISTADO[CODIGOS],LISTADO[CATEGORIA]),"NO EXISTE")</f>
        <v/>
      </c>
      <c r="D1893" s="56">
        <f>IFERROR(_xlfn.XLOOKUP(SALIDAS[[#This Row],[CODIGO]],LISTADO[CODIGOS],LISTADO[PRODUCTOS]),"NO EXISTE")</f>
        <v/>
      </c>
      <c r="E1893" s="19" t="n">
        <v>46140</v>
      </c>
      <c r="F1893" s="18" t="n">
        <v>1</v>
      </c>
      <c r="G1893" s="18" t="inlineStr">
        <is>
          <t>TURMERO</t>
        </is>
      </c>
    </row>
    <row r="1894">
      <c r="B1894" s="18" t="inlineStr">
        <is>
          <t>00130-ELE</t>
        </is>
      </c>
      <c r="C1894" s="56">
        <f>IFERROR(_xlfn.XLOOKUP(SALIDAS[[#This Row],[CODIGO]],LISTADO[CODIGOS],LISTADO[CATEGORIA]),"NO EXISTE")</f>
        <v/>
      </c>
      <c r="D1894" s="56">
        <f>IFERROR(_xlfn.XLOOKUP(SALIDAS[[#This Row],[CODIGO]],LISTADO[CODIGOS],LISTADO[PRODUCTOS]),"NO EXISTE")</f>
        <v/>
      </c>
      <c r="E1894" s="19" t="n">
        <v>46140</v>
      </c>
      <c r="F1894" s="18" t="n">
        <v>5</v>
      </c>
      <c r="G1894" s="18" t="inlineStr">
        <is>
          <t>TURMERO</t>
        </is>
      </c>
    </row>
    <row r="1895">
      <c r="B1895" s="18" t="inlineStr">
        <is>
          <t>00102-ELE</t>
        </is>
      </c>
      <c r="C1895" s="56">
        <f>IFERROR(_xlfn.XLOOKUP(SALIDAS[[#This Row],[CODIGO]],LISTADO[CODIGOS],LISTADO[CATEGORIA]),"NO EXISTE")</f>
        <v/>
      </c>
      <c r="D1895" s="56">
        <f>IFERROR(_xlfn.XLOOKUP(SALIDAS[[#This Row],[CODIGO]],LISTADO[CODIGOS],LISTADO[PRODUCTOS]),"NO EXISTE")</f>
        <v/>
      </c>
      <c r="E1895" s="19" t="n">
        <v>46140</v>
      </c>
      <c r="F1895" s="18" t="n">
        <v>1</v>
      </c>
      <c r="G1895" s="18" t="inlineStr">
        <is>
          <t>TURMERO</t>
        </is>
      </c>
    </row>
    <row r="1896">
      <c r="B1896" s="56" t="inlineStr">
        <is>
          <t>00009-ELE</t>
        </is>
      </c>
      <c r="C1896" s="56">
        <f>IFERROR(_xlfn.XLOOKUP(SALIDAS[[#This Row],[CODIGO]],LISTADO[CODIGOS],LISTADO[CATEGORIA]),"NO EXISTE")</f>
        <v/>
      </c>
      <c r="D1896" s="56">
        <f>IFERROR(_xlfn.XLOOKUP(SALIDAS[[#This Row],[CODIGO]],LISTADO[CODIGOS],LISTADO[PRODUCTOS]),"NO EXISTE")</f>
        <v/>
      </c>
      <c r="E1896" s="19" t="n">
        <v>46140</v>
      </c>
      <c r="F1896" s="18" t="n">
        <v>1</v>
      </c>
      <c r="G1896" s="18" t="inlineStr">
        <is>
          <t>TURMERO</t>
        </is>
      </c>
    </row>
    <row r="1897">
      <c r="B1897" s="18" t="inlineStr">
        <is>
          <t>00073-ELE</t>
        </is>
      </c>
      <c r="C1897" s="56">
        <f>IFERROR(_xlfn.XLOOKUP(SALIDAS[[#This Row],[CODIGO]],LISTADO[CODIGOS],LISTADO[CATEGORIA]),"NO EXISTE")</f>
        <v/>
      </c>
      <c r="D1897" s="56">
        <f>IFERROR(_xlfn.XLOOKUP(SALIDAS[[#This Row],[CODIGO]],LISTADO[CODIGOS],LISTADO[PRODUCTOS]),"NO EXISTE")</f>
        <v/>
      </c>
      <c r="E1897" s="19" t="n">
        <v>46139</v>
      </c>
      <c r="F1897" s="18" t="n">
        <v>60</v>
      </c>
      <c r="G1897" s="18" t="inlineStr">
        <is>
          <t>TURMERO</t>
        </is>
      </c>
    </row>
    <row r="1898">
      <c r="B1898" s="56" t="inlineStr">
        <is>
          <t>00047-ELE</t>
        </is>
      </c>
      <c r="C1898" s="56">
        <f>IFERROR(_xlfn.XLOOKUP(SALIDAS[[#This Row],[CODIGO]],LISTADO[CODIGOS],LISTADO[CATEGORIA]),"NO EXISTE")</f>
        <v/>
      </c>
      <c r="D1898" s="56">
        <f>IFERROR(_xlfn.XLOOKUP(SALIDAS[[#This Row],[CODIGO]],LISTADO[CODIGOS],LISTADO[PRODUCTOS]),"NO EXISTE")</f>
        <v/>
      </c>
      <c r="E1898" s="19" t="n">
        <v>46139</v>
      </c>
      <c r="F1898" s="18" t="n">
        <v>15</v>
      </c>
      <c r="G1898" s="18" t="inlineStr">
        <is>
          <t>TURMERO</t>
        </is>
      </c>
    </row>
    <row r="1899">
      <c r="B1899" s="56" t="inlineStr">
        <is>
          <t>00116-FER</t>
        </is>
      </c>
      <c r="C1899" s="56">
        <f>IFERROR(_xlfn.XLOOKUP(SALIDAS[[#This Row],[CODIGO]],LISTADO[CODIGOS],LISTADO[CATEGORIA]),"NO EXISTE")</f>
        <v/>
      </c>
      <c r="D1899" s="56">
        <f>IFERROR(_xlfn.XLOOKUP(SALIDAS[[#This Row],[CODIGO]],LISTADO[CODIGOS],LISTADO[PRODUCTOS]),"NO EXISTE")</f>
        <v/>
      </c>
      <c r="E1899" s="19" t="n">
        <v>46139</v>
      </c>
      <c r="F1899" s="18" t="n">
        <v>400</v>
      </c>
      <c r="G1899" s="18" t="inlineStr">
        <is>
          <t>TURMERO</t>
        </is>
      </c>
    </row>
    <row r="1900">
      <c r="B1900" s="18" t="inlineStr">
        <is>
          <t>00049-ELC</t>
        </is>
      </c>
      <c r="C1900" s="56">
        <f>IFERROR(_xlfn.XLOOKUP(SALIDAS[[#This Row],[CODIGO]],LISTADO[CODIGOS],LISTADO[CATEGORIA]),"NO EXISTE")</f>
        <v/>
      </c>
      <c r="D1900" s="56">
        <f>IFERROR(_xlfn.XLOOKUP(SALIDAS[[#This Row],[CODIGO]],LISTADO[CODIGOS],LISTADO[PRODUCTOS]),"NO EXISTE")</f>
        <v/>
      </c>
      <c r="E1900" s="19" t="n">
        <v>46136</v>
      </c>
      <c r="F1900" s="18" t="n">
        <v>2</v>
      </c>
      <c r="G1900" s="18" t="inlineStr">
        <is>
          <t>TURMERO</t>
        </is>
      </c>
    </row>
    <row r="1901">
      <c r="B1901" s="18" t="inlineStr">
        <is>
          <t>00114-ELE</t>
        </is>
      </c>
      <c r="C1901" s="56">
        <f>IFERROR(_xlfn.XLOOKUP(SALIDAS[[#This Row],[CODIGO]],LISTADO[CODIGOS],LISTADO[CATEGORIA]),"NO EXISTE")</f>
        <v/>
      </c>
      <c r="D1901" s="56">
        <f>IFERROR(_xlfn.XLOOKUP(SALIDAS[[#This Row],[CODIGO]],LISTADO[CODIGOS],LISTADO[PRODUCTOS]),"NO EXISTE")</f>
        <v/>
      </c>
      <c r="E1901" s="19" t="n">
        <v>46136</v>
      </c>
      <c r="F1901" s="18" t="n">
        <v>140</v>
      </c>
      <c r="G1901" s="18" t="inlineStr">
        <is>
          <t>TURMERO</t>
        </is>
      </c>
    </row>
    <row r="1902">
      <c r="B1902" s="18" t="inlineStr">
        <is>
          <t>00060-ILU</t>
        </is>
      </c>
      <c r="C1902" s="56">
        <f>IFERROR(_xlfn.XLOOKUP(SALIDAS[[#This Row],[CODIGO]],LISTADO[CODIGOS],LISTADO[CATEGORIA]),"NO EXISTE")</f>
        <v/>
      </c>
      <c r="D1902" s="56">
        <f>IFERROR(_xlfn.XLOOKUP(SALIDAS[[#This Row],[CODIGO]],LISTADO[CODIGOS],LISTADO[PRODUCTOS]),"NO EXISTE")</f>
        <v/>
      </c>
      <c r="E1902" s="19" t="n">
        <v>46136</v>
      </c>
      <c r="F1902" s="18" t="n">
        <v>1</v>
      </c>
      <c r="G1902" s="18" t="inlineStr">
        <is>
          <t>TURMERO</t>
        </is>
      </c>
    </row>
    <row r="1903">
      <c r="B1903" s="56" t="inlineStr">
        <is>
          <t>00001-ELE</t>
        </is>
      </c>
      <c r="C1903" s="56">
        <f>IFERROR(_xlfn.XLOOKUP(SALIDAS[[#This Row],[CODIGO]],LISTADO[CODIGOS],LISTADO[CATEGORIA]),"NO EXISTE")</f>
        <v/>
      </c>
      <c r="D1903" s="56">
        <f>IFERROR(_xlfn.XLOOKUP(SALIDAS[[#This Row],[CODIGO]],LISTADO[CODIGOS],LISTADO[PRODUCTOS]),"NO EXISTE")</f>
        <v/>
      </c>
      <c r="E1903" s="19" t="n">
        <v>46136</v>
      </c>
      <c r="F1903" s="18" t="n">
        <v>40</v>
      </c>
      <c r="G1903" s="18" t="inlineStr">
        <is>
          <t>TURMERO</t>
        </is>
      </c>
    </row>
    <row r="1904">
      <c r="B1904" s="56" t="inlineStr">
        <is>
          <t>00033-ELE</t>
        </is>
      </c>
      <c r="C1904" s="56">
        <f>IFERROR(_xlfn.XLOOKUP(SALIDAS[[#This Row],[CODIGO]],LISTADO[CODIGOS],LISTADO[CATEGORIA]),"NO EXISTE")</f>
        <v/>
      </c>
      <c r="D1904" s="56">
        <f>IFERROR(_xlfn.XLOOKUP(SALIDAS[[#This Row],[CODIGO]],LISTADO[CODIGOS],LISTADO[PRODUCTOS]),"NO EXISTE")</f>
        <v/>
      </c>
      <c r="E1904" s="19" t="n">
        <v>46136</v>
      </c>
      <c r="F1904" s="18" t="n">
        <v>30</v>
      </c>
      <c r="G1904" s="18" t="inlineStr">
        <is>
          <t>TURMERO</t>
        </is>
      </c>
    </row>
    <row r="1905">
      <c r="B1905" s="56" t="inlineStr">
        <is>
          <t>00034-ELE</t>
        </is>
      </c>
      <c r="C1905" s="56">
        <f>IFERROR(_xlfn.XLOOKUP(SALIDAS[[#This Row],[CODIGO]],LISTADO[CODIGOS],LISTADO[CATEGORIA]),"NO EXISTE")</f>
        <v/>
      </c>
      <c r="D1905" s="56">
        <f>IFERROR(_xlfn.XLOOKUP(SALIDAS[[#This Row],[CODIGO]],LISTADO[CODIGOS],LISTADO[PRODUCTOS]),"NO EXISTE")</f>
        <v/>
      </c>
      <c r="E1905" s="19" t="n">
        <v>46136</v>
      </c>
      <c r="F1905" s="18" t="n">
        <v>30</v>
      </c>
      <c r="G1905" s="18" t="inlineStr">
        <is>
          <t>TURMERO</t>
        </is>
      </c>
    </row>
    <row r="1906">
      <c r="B1906" s="56" t="inlineStr">
        <is>
          <t>00035-ELE</t>
        </is>
      </c>
      <c r="C1906" s="56">
        <f>IFERROR(_xlfn.XLOOKUP(SALIDAS[[#This Row],[CODIGO]],LISTADO[CODIGOS],LISTADO[CATEGORIA]),"NO EXISTE")</f>
        <v/>
      </c>
      <c r="D1906" s="56">
        <f>IFERROR(_xlfn.XLOOKUP(SALIDAS[[#This Row],[CODIGO]],LISTADO[CODIGOS],LISTADO[PRODUCTOS]),"NO EXISTE")</f>
        <v/>
      </c>
      <c r="E1906" s="19" t="n">
        <v>46136</v>
      </c>
      <c r="F1906" s="18" t="n">
        <v>5</v>
      </c>
      <c r="G1906" s="18" t="inlineStr">
        <is>
          <t>TURMERO</t>
        </is>
      </c>
    </row>
    <row r="1907">
      <c r="B1907" s="56" t="inlineStr">
        <is>
          <t>00061-ELE</t>
        </is>
      </c>
      <c r="C1907" s="56">
        <f>IFERROR(_xlfn.XLOOKUP(SALIDAS[[#This Row],[CODIGO]],LISTADO[CODIGOS],LISTADO[CATEGORIA]),"NO EXISTE")</f>
        <v/>
      </c>
      <c r="D1907" s="56">
        <f>IFERROR(_xlfn.XLOOKUP(SALIDAS[[#This Row],[CODIGO]],LISTADO[CODIGOS],LISTADO[PRODUCTOS]),"NO EXISTE")</f>
        <v/>
      </c>
      <c r="E1907" s="19" t="n">
        <v>46136</v>
      </c>
      <c r="F1907" s="18" t="n">
        <v>8</v>
      </c>
      <c r="G1907" s="18" t="inlineStr">
        <is>
          <t>TURMERO</t>
        </is>
      </c>
    </row>
    <row r="1908">
      <c r="B1908" s="56" t="inlineStr">
        <is>
          <t>00029-ELE</t>
        </is>
      </c>
      <c r="C1908" s="56">
        <f>IFERROR(_xlfn.XLOOKUP(SALIDAS[[#This Row],[CODIGO]],LISTADO[CODIGOS],LISTADO[CATEGORIA]),"NO EXISTE")</f>
        <v/>
      </c>
      <c r="D1908" s="56">
        <f>IFERROR(_xlfn.XLOOKUP(SALIDAS[[#This Row],[CODIGO]],LISTADO[CODIGOS],LISTADO[PRODUCTOS]),"NO EXISTE")</f>
        <v/>
      </c>
      <c r="E1908" s="19" t="n">
        <v>46136</v>
      </c>
      <c r="F1908" s="18" t="n">
        <v>2</v>
      </c>
      <c r="G1908" s="18" t="inlineStr">
        <is>
          <t>TURMERO</t>
        </is>
      </c>
    </row>
    <row r="1909">
      <c r="B1909" s="56" t="inlineStr">
        <is>
          <t>00263-FER</t>
        </is>
      </c>
      <c r="C1909" s="56">
        <f>IFERROR(_xlfn.XLOOKUP(SALIDAS[[#This Row],[CODIGO]],LISTADO[CODIGOS],LISTADO[CATEGORIA]),"NO EXISTE")</f>
        <v/>
      </c>
      <c r="D1909" s="56">
        <f>IFERROR(_xlfn.XLOOKUP(SALIDAS[[#This Row],[CODIGO]],LISTADO[CODIGOS],LISTADO[PRODUCTOS]),"NO EXISTE")</f>
        <v/>
      </c>
      <c r="E1909" s="19" t="n">
        <v>46136</v>
      </c>
      <c r="F1909" s="18" t="n">
        <v>120</v>
      </c>
      <c r="G1909" s="18" t="inlineStr">
        <is>
          <t>TURMERO</t>
        </is>
      </c>
    </row>
    <row r="1910">
      <c r="B1910" s="18" t="inlineStr">
        <is>
          <t>00062-PLM</t>
        </is>
      </c>
      <c r="C1910" s="56">
        <f>IFERROR(_xlfn.XLOOKUP(SALIDAS[[#This Row],[CODIGO]],LISTADO[CODIGOS],LISTADO[CATEGORIA]),"NO EXISTE")</f>
        <v/>
      </c>
      <c r="D1910" s="56">
        <f>IFERROR(_xlfn.XLOOKUP(SALIDAS[[#This Row],[CODIGO]],LISTADO[CODIGOS],LISTADO[PRODUCTOS]),"NO EXISTE")</f>
        <v/>
      </c>
      <c r="E1910" s="19" t="n">
        <v>46136</v>
      </c>
      <c r="F1910" s="18" t="n">
        <v>7</v>
      </c>
      <c r="G1910" s="18" t="inlineStr">
        <is>
          <t>TURMERO</t>
        </is>
      </c>
    </row>
    <row r="1911">
      <c r="B1911" s="18" t="inlineStr">
        <is>
          <t>00208-FER</t>
        </is>
      </c>
      <c r="C1911" s="56">
        <f>IFERROR(_xlfn.XLOOKUP(SALIDAS[[#This Row],[CODIGO]],LISTADO[CODIGOS],LISTADO[CATEGORIA]),"NO EXISTE")</f>
        <v/>
      </c>
      <c r="D1911" s="56">
        <f>IFERROR(_xlfn.XLOOKUP(SALIDAS[[#This Row],[CODIGO]],LISTADO[CODIGOS],LISTADO[PRODUCTOS]),"NO EXISTE")</f>
        <v/>
      </c>
      <c r="E1911" s="19" t="n">
        <v>46136</v>
      </c>
      <c r="F1911" s="18" t="n">
        <v>10</v>
      </c>
      <c r="G1911" s="18" t="inlineStr">
        <is>
          <t>TURMERO</t>
        </is>
      </c>
    </row>
    <row r="1912">
      <c r="B1912" s="56" t="inlineStr">
        <is>
          <t>00030-REF</t>
        </is>
      </c>
      <c r="C1912" s="56">
        <f>IFERROR(_xlfn.XLOOKUP(SALIDAS[[#This Row],[CODIGO]],LISTADO[CODIGOS],LISTADO[CATEGORIA]),"NO EXISTE")</f>
        <v/>
      </c>
      <c r="D1912" s="56">
        <f>IFERROR(_xlfn.XLOOKUP(SALIDAS[[#This Row],[CODIGO]],LISTADO[CODIGOS],LISTADO[PRODUCTOS]),"NO EXISTE")</f>
        <v/>
      </c>
      <c r="E1912" s="19" t="n">
        <v>46154</v>
      </c>
      <c r="F1912" s="18" t="n">
        <v>5</v>
      </c>
      <c r="G1912" s="18" t="inlineStr">
        <is>
          <t>TURMERO</t>
        </is>
      </c>
    </row>
    <row r="1913">
      <c r="B1913" s="18" t="inlineStr">
        <is>
          <t>00123-REF</t>
        </is>
      </c>
      <c r="C1913" s="56">
        <f>IFERROR(_xlfn.XLOOKUP(SALIDAS[[#This Row],[CODIGO]],LISTADO[CODIGOS],LISTADO[CATEGORIA]),"NO EXISTE")</f>
        <v/>
      </c>
      <c r="D1913" s="56">
        <f>IFERROR(_xlfn.XLOOKUP(SALIDAS[[#This Row],[CODIGO]],LISTADO[CODIGOS],LISTADO[PRODUCTOS]),"NO EXISTE")</f>
        <v/>
      </c>
      <c r="E1913" s="19" t="n">
        <v>46154</v>
      </c>
      <c r="F1913" s="18" t="n">
        <v>2</v>
      </c>
      <c r="G1913" s="18" t="inlineStr">
        <is>
          <t>TURMERO</t>
        </is>
      </c>
    </row>
    <row r="1914">
      <c r="B1914" s="18" t="inlineStr">
        <is>
          <t>00163-REF</t>
        </is>
      </c>
      <c r="C1914" s="56">
        <f>IFERROR(_xlfn.XLOOKUP(SALIDAS[[#This Row],[CODIGO]],LISTADO[CODIGOS],LISTADO[CATEGORIA]),"NO EXISTE")</f>
        <v/>
      </c>
      <c r="D1914" s="56">
        <f>IFERROR(_xlfn.XLOOKUP(SALIDAS[[#This Row],[CODIGO]],LISTADO[CODIGOS],LISTADO[PRODUCTOS]),"NO EXISTE")</f>
        <v/>
      </c>
      <c r="E1914" s="19" t="n">
        <v>46154</v>
      </c>
      <c r="F1914" s="18" t="n">
        <v>2</v>
      </c>
      <c r="G1914" s="18" t="inlineStr">
        <is>
          <t>TURMERO</t>
        </is>
      </c>
    </row>
    <row r="1915">
      <c r="B1915" s="56" t="inlineStr">
        <is>
          <t>00049-REF</t>
        </is>
      </c>
      <c r="C1915" s="56">
        <f>IFERROR(_xlfn.XLOOKUP(SALIDAS[[#This Row],[CODIGO]],LISTADO[CODIGOS],LISTADO[CATEGORIA]),"NO EXISTE")</f>
        <v/>
      </c>
      <c r="D1915" s="56">
        <f>IFERROR(_xlfn.XLOOKUP(SALIDAS[[#This Row],[CODIGO]],LISTADO[CODIGOS],LISTADO[PRODUCTOS]),"NO EXISTE")</f>
        <v/>
      </c>
      <c r="E1915" s="19" t="n">
        <v>46154</v>
      </c>
      <c r="F1915" s="18" t="n">
        <v>30</v>
      </c>
      <c r="G1915" s="18" t="inlineStr">
        <is>
          <t>TURMERO</t>
        </is>
      </c>
    </row>
    <row r="1916">
      <c r="B1916" s="18" t="inlineStr">
        <is>
          <t>00115-ELE</t>
        </is>
      </c>
      <c r="C1916" s="56">
        <f>IFERROR(_xlfn.XLOOKUP(SALIDAS[[#This Row],[CODIGO]],LISTADO[CODIGOS],LISTADO[CATEGORIA]),"NO EXISTE")</f>
        <v/>
      </c>
      <c r="D1916" s="56">
        <f>IFERROR(_xlfn.XLOOKUP(SALIDAS[[#This Row],[CODIGO]],LISTADO[CODIGOS],LISTADO[PRODUCTOS]),"NO EXISTE")</f>
        <v/>
      </c>
      <c r="E1916" s="19" t="n">
        <v>46142</v>
      </c>
      <c r="F1916" s="18" t="n">
        <v>10</v>
      </c>
      <c r="G1916" s="18" t="inlineStr">
        <is>
          <t>TURMERO</t>
        </is>
      </c>
    </row>
    <row r="1917">
      <c r="B1917" s="18" t="inlineStr">
        <is>
          <t>00103-ELE</t>
        </is>
      </c>
      <c r="C1917" s="56">
        <f>IFERROR(_xlfn.XLOOKUP(SALIDAS[[#This Row],[CODIGO]],LISTADO[CODIGOS],LISTADO[CATEGORIA]),"NO EXISTE")</f>
        <v/>
      </c>
      <c r="D1917" s="56">
        <f>IFERROR(_xlfn.XLOOKUP(SALIDAS[[#This Row],[CODIGO]],LISTADO[CODIGOS],LISTADO[PRODUCTOS]),"NO EXISTE")</f>
        <v/>
      </c>
      <c r="E1917" s="19" t="n">
        <v>46142</v>
      </c>
      <c r="F1917" s="18" t="n">
        <v>4</v>
      </c>
      <c r="G1917" s="18" t="inlineStr">
        <is>
          <t>TURMERO</t>
        </is>
      </c>
    </row>
    <row r="1918">
      <c r="B1918" s="56" t="inlineStr">
        <is>
          <t>00097-FER</t>
        </is>
      </c>
      <c r="C1918" s="56">
        <f>IFERROR(_xlfn.XLOOKUP(SALIDAS[[#This Row],[CODIGO]],LISTADO[CODIGOS],LISTADO[CATEGORIA]),"NO EXISTE")</f>
        <v/>
      </c>
      <c r="D1918" s="56">
        <f>IFERROR(_xlfn.XLOOKUP(SALIDAS[[#This Row],[CODIGO]],LISTADO[CODIGOS],LISTADO[PRODUCTOS]),"NO EXISTE")</f>
        <v/>
      </c>
      <c r="E1918" s="19" t="n">
        <v>46142</v>
      </c>
      <c r="F1918" s="18" t="n">
        <v>20</v>
      </c>
      <c r="G1918" s="18" t="inlineStr">
        <is>
          <t>TURMERO</t>
        </is>
      </c>
    </row>
    <row r="1919">
      <c r="B1919" s="56" t="inlineStr">
        <is>
          <t>00031-ELE</t>
        </is>
      </c>
      <c r="C1919" s="56">
        <f>IFERROR(_xlfn.XLOOKUP(SALIDAS[[#This Row],[CODIGO]],LISTADO[CODIGOS],LISTADO[CATEGORIA]),"NO EXISTE")</f>
        <v/>
      </c>
      <c r="D1919" s="56">
        <f>IFERROR(_xlfn.XLOOKUP(SALIDAS[[#This Row],[CODIGO]],LISTADO[CODIGOS],LISTADO[PRODUCTOS]),"NO EXISTE")</f>
        <v/>
      </c>
      <c r="E1919" s="19" t="n">
        <v>46142</v>
      </c>
      <c r="F1919" s="18" t="n">
        <v>2</v>
      </c>
      <c r="G1919" s="18" t="inlineStr">
        <is>
          <t>TURMERO</t>
        </is>
      </c>
    </row>
    <row r="1920">
      <c r="B1920" s="18" t="inlineStr">
        <is>
          <t>00105-ELE</t>
        </is>
      </c>
      <c r="C1920" s="56">
        <f>IFERROR(_xlfn.XLOOKUP(SALIDAS[[#This Row],[CODIGO]],LISTADO[CODIGOS],LISTADO[CATEGORIA]),"NO EXISTE")</f>
        <v/>
      </c>
      <c r="D1920" s="56">
        <f>IFERROR(_xlfn.XLOOKUP(SALIDAS[[#This Row],[CODIGO]],LISTADO[CODIGOS],LISTADO[PRODUCTOS]),"NO EXISTE")</f>
        <v/>
      </c>
      <c r="E1920" s="19" t="n">
        <v>46142</v>
      </c>
      <c r="F1920" s="18" t="n">
        <v>26</v>
      </c>
      <c r="G1920" s="18" t="inlineStr">
        <is>
          <t>TURMERO</t>
        </is>
      </c>
    </row>
    <row r="1921">
      <c r="B1921" s="56" t="inlineStr">
        <is>
          <t>00004-FER</t>
        </is>
      </c>
      <c r="C1921" s="56">
        <f>IFERROR(_xlfn.XLOOKUP(SALIDAS[[#This Row],[CODIGO]],LISTADO[CODIGOS],LISTADO[CATEGORIA]),"NO EXISTE")</f>
        <v/>
      </c>
      <c r="D1921" s="56">
        <f>IFERROR(_xlfn.XLOOKUP(SALIDAS[[#This Row],[CODIGO]],LISTADO[CODIGOS],LISTADO[PRODUCTOS]),"NO EXISTE")</f>
        <v/>
      </c>
      <c r="E1921" s="19" t="n">
        <v>46142</v>
      </c>
      <c r="F1921" s="18" t="n">
        <v>200</v>
      </c>
      <c r="G1921" s="18" t="inlineStr">
        <is>
          <t>TURMERO</t>
        </is>
      </c>
    </row>
    <row r="1922">
      <c r="B1922" s="56" t="inlineStr">
        <is>
          <t>00035-ELE</t>
        </is>
      </c>
      <c r="C1922" s="56">
        <f>IFERROR(_xlfn.XLOOKUP(SALIDAS[[#This Row],[CODIGO]],LISTADO[CODIGOS],LISTADO[CATEGORIA]),"NO EXISTE")</f>
        <v/>
      </c>
      <c r="D1922" s="56">
        <f>IFERROR(_xlfn.XLOOKUP(SALIDAS[[#This Row],[CODIGO]],LISTADO[CODIGOS],LISTADO[PRODUCTOS]),"NO EXISTE")</f>
        <v/>
      </c>
      <c r="E1922" s="19" t="n">
        <v>46141</v>
      </c>
      <c r="F1922" s="18" t="n">
        <v>6</v>
      </c>
      <c r="G1922" s="18" t="inlineStr">
        <is>
          <t>TURMERO</t>
        </is>
      </c>
    </row>
    <row r="1923">
      <c r="B1923" s="56" t="inlineStr">
        <is>
          <t>00029-ELE</t>
        </is>
      </c>
      <c r="C1923" s="56">
        <f>IFERROR(_xlfn.XLOOKUP(SALIDAS[[#This Row],[CODIGO]],LISTADO[CODIGOS],LISTADO[CATEGORIA]),"NO EXISTE")</f>
        <v/>
      </c>
      <c r="D1923" s="56">
        <f>IFERROR(_xlfn.XLOOKUP(SALIDAS[[#This Row],[CODIGO]],LISTADO[CODIGOS],LISTADO[PRODUCTOS]),"NO EXISTE")</f>
        <v/>
      </c>
      <c r="E1923" s="19" t="n">
        <v>46141</v>
      </c>
      <c r="F1923" s="18" t="n">
        <v>1</v>
      </c>
      <c r="G1923" s="18" t="inlineStr">
        <is>
          <t>TURMERO</t>
        </is>
      </c>
    </row>
    <row r="1924">
      <c r="B1924" s="18" t="inlineStr">
        <is>
          <t>00106-ELE</t>
        </is>
      </c>
      <c r="C1924" s="56">
        <f>IFERROR(_xlfn.XLOOKUP(SALIDAS[[#This Row],[CODIGO]],LISTADO[CODIGOS],LISTADO[CATEGORIA]),"NO EXISTE")</f>
        <v/>
      </c>
      <c r="D1924" s="56">
        <f>IFERROR(_xlfn.XLOOKUP(SALIDAS[[#This Row],[CODIGO]],LISTADO[CODIGOS],LISTADO[PRODUCTOS]),"NO EXISTE")</f>
        <v/>
      </c>
      <c r="E1924" s="19" t="n">
        <v>46141</v>
      </c>
      <c r="F1924" s="18" t="n">
        <v>1</v>
      </c>
      <c r="G1924" s="18" t="inlineStr">
        <is>
          <t>TURMERO</t>
        </is>
      </c>
    </row>
    <row r="1925">
      <c r="B1925" s="56" t="inlineStr">
        <is>
          <t>00047-ELE</t>
        </is>
      </c>
      <c r="C1925" s="56">
        <f>IFERROR(_xlfn.XLOOKUP(SALIDAS[[#This Row],[CODIGO]],LISTADO[CODIGOS],LISTADO[CATEGORIA]),"NO EXISTE")</f>
        <v/>
      </c>
      <c r="D1925" s="56">
        <f>IFERROR(_xlfn.XLOOKUP(SALIDAS[[#This Row],[CODIGO]],LISTADO[CODIGOS],LISTADO[PRODUCTOS]),"NO EXISTE")</f>
        <v/>
      </c>
      <c r="E1925" s="19" t="n">
        <v>46141</v>
      </c>
      <c r="F1925" s="18" t="n">
        <v>10</v>
      </c>
      <c r="G1925" s="18" t="inlineStr">
        <is>
          <t>TURMERO</t>
        </is>
      </c>
    </row>
    <row r="1926">
      <c r="B1926" s="18" t="inlineStr">
        <is>
          <t>00107-ELE</t>
        </is>
      </c>
      <c r="C1926" s="56">
        <f>IFERROR(_xlfn.XLOOKUP(SALIDAS[[#This Row],[CODIGO]],LISTADO[CODIGOS],LISTADO[CATEGORIA]),"NO EXISTE")</f>
        <v/>
      </c>
      <c r="D1926" s="56">
        <f>IFERROR(_xlfn.XLOOKUP(SALIDAS[[#This Row],[CODIGO]],LISTADO[CODIGOS],LISTADO[PRODUCTOS]),"NO EXISTE")</f>
        <v/>
      </c>
      <c r="E1926" s="19" t="n">
        <v>46141</v>
      </c>
      <c r="F1926" s="18" t="n">
        <v>2</v>
      </c>
      <c r="G1926" s="18" t="inlineStr">
        <is>
          <t>TURMERO</t>
        </is>
      </c>
    </row>
    <row r="1927">
      <c r="B1927" s="18" t="inlineStr">
        <is>
          <t>00073-ELE</t>
        </is>
      </c>
      <c r="C1927" s="56">
        <f>IFERROR(_xlfn.XLOOKUP(SALIDAS[[#This Row],[CODIGO]],LISTADO[CODIGOS],LISTADO[CATEGORIA]),"NO EXISTE")</f>
        <v/>
      </c>
      <c r="D1927" s="56">
        <f>IFERROR(_xlfn.XLOOKUP(SALIDAS[[#This Row],[CODIGO]],LISTADO[CODIGOS],LISTADO[PRODUCTOS]),"NO EXISTE")</f>
        <v/>
      </c>
      <c r="E1927" s="19" t="n">
        <v>46139</v>
      </c>
      <c r="F1927" s="18" t="n">
        <v>60</v>
      </c>
      <c r="G1927" s="18" t="inlineStr">
        <is>
          <t>TURMERO</t>
        </is>
      </c>
    </row>
    <row r="1928">
      <c r="B1928" s="18" t="inlineStr">
        <is>
          <t>00070-ELE</t>
        </is>
      </c>
      <c r="C1928" s="56">
        <f>IFERROR(_xlfn.XLOOKUP(SALIDAS[[#This Row],[CODIGO]],LISTADO[CODIGOS],LISTADO[CATEGORIA]),"NO EXISTE")</f>
        <v/>
      </c>
      <c r="D1928" s="56">
        <f>IFERROR(_xlfn.XLOOKUP(SALIDAS[[#This Row],[CODIGO]],LISTADO[CODIGOS],LISTADO[PRODUCTOS]),"NO EXISTE")</f>
        <v/>
      </c>
      <c r="E1928" s="19" t="n">
        <v>46139</v>
      </c>
      <c r="F1928" s="18" t="n">
        <v>15</v>
      </c>
      <c r="G1928" s="18" t="inlineStr">
        <is>
          <t>TURMERO</t>
        </is>
      </c>
    </row>
    <row r="1929">
      <c r="B1929" s="56" t="inlineStr">
        <is>
          <t>00047-ELE</t>
        </is>
      </c>
      <c r="C1929" s="56">
        <f>IFERROR(_xlfn.XLOOKUP(SALIDAS[[#This Row],[CODIGO]],LISTADO[CODIGOS],LISTADO[CATEGORIA]),"NO EXISTE")</f>
        <v/>
      </c>
      <c r="D1929" s="56">
        <f>IFERROR(_xlfn.XLOOKUP(SALIDAS[[#This Row],[CODIGO]],LISTADO[CODIGOS],LISTADO[PRODUCTOS]),"NO EXISTE")</f>
        <v/>
      </c>
      <c r="E1929" s="19" t="n">
        <v>46139</v>
      </c>
      <c r="F1929" s="18" t="n">
        <v>15</v>
      </c>
      <c r="G1929" s="18" t="inlineStr">
        <is>
          <t>TURMERO</t>
        </is>
      </c>
    </row>
    <row r="1930">
      <c r="B1930" s="56" t="inlineStr">
        <is>
          <t>00116-FER</t>
        </is>
      </c>
      <c r="C1930" s="56">
        <f>IFERROR(_xlfn.XLOOKUP(SALIDAS[[#This Row],[CODIGO]],LISTADO[CODIGOS],LISTADO[CATEGORIA]),"NO EXISTE")</f>
        <v/>
      </c>
      <c r="D1930" s="56">
        <f>IFERROR(_xlfn.XLOOKUP(SALIDAS[[#This Row],[CODIGO]],LISTADO[CODIGOS],LISTADO[PRODUCTOS]),"NO EXISTE")</f>
        <v/>
      </c>
      <c r="E1930" s="19" t="n">
        <v>46139</v>
      </c>
      <c r="F1930" s="18" t="n">
        <v>400</v>
      </c>
      <c r="G1930" s="18" t="inlineStr">
        <is>
          <t>TURMERO</t>
        </is>
      </c>
    </row>
    <row r="1931">
      <c r="B1931" s="56" t="inlineStr">
        <is>
          <t>00117-FER</t>
        </is>
      </c>
      <c r="C1931" s="56">
        <f>IFERROR(_xlfn.XLOOKUP(SALIDAS[[#This Row],[CODIGO]],LISTADO[CODIGOS],LISTADO[CATEGORIA]),"NO EXISTE")</f>
        <v/>
      </c>
      <c r="D1931" s="56">
        <f>IFERROR(_xlfn.XLOOKUP(SALIDAS[[#This Row],[CODIGO]],LISTADO[CODIGOS],LISTADO[PRODUCTOS]),"NO EXISTE")</f>
        <v/>
      </c>
      <c r="E1931" s="19" t="n">
        <v>46189</v>
      </c>
      <c r="F1931" s="18" t="n">
        <v>1</v>
      </c>
      <c r="G1931" s="18" t="inlineStr">
        <is>
          <t>SAN DIEGO</t>
        </is>
      </c>
    </row>
    <row r="1932">
      <c r="B1932" s="56" t="inlineStr">
        <is>
          <t>00052-FER</t>
        </is>
      </c>
      <c r="C1932" s="56">
        <f>IFERROR(_xlfn.XLOOKUP(SALIDAS[[#This Row],[CODIGO]],LISTADO[CODIGOS],LISTADO[CATEGORIA]),"NO EXISTE")</f>
        <v/>
      </c>
      <c r="D1932" s="56">
        <f>IFERROR(_xlfn.XLOOKUP(SALIDAS[[#This Row],[CODIGO]],LISTADO[CODIGOS],LISTADO[PRODUCTOS]),"NO EXISTE")</f>
        <v/>
      </c>
      <c r="E1932" s="19" t="n">
        <v>46189</v>
      </c>
      <c r="F1932" s="18" t="n">
        <v>1</v>
      </c>
      <c r="G1932" s="18" t="inlineStr">
        <is>
          <t>NAGUANAGUA 3</t>
        </is>
      </c>
    </row>
    <row r="1933">
      <c r="B1933" s="56" t="inlineStr">
        <is>
          <t>00050-FER</t>
        </is>
      </c>
      <c r="C1933" s="56">
        <f>IFERROR(_xlfn.XLOOKUP(SALIDAS[[#This Row],[CODIGO]],LISTADO[CODIGOS],LISTADO[CATEGORIA]),"NO EXISTE")</f>
        <v/>
      </c>
      <c r="D1933" s="56">
        <f>IFERROR(_xlfn.XLOOKUP(SALIDAS[[#This Row],[CODIGO]],LISTADO[CODIGOS],LISTADO[PRODUCTOS]),"NO EXISTE")</f>
        <v/>
      </c>
      <c r="E1933" s="19" t="n">
        <v>46189</v>
      </c>
      <c r="F1933" s="18" t="n">
        <v>1</v>
      </c>
      <c r="G1933" s="18" t="inlineStr">
        <is>
          <t>NAGUANAGUA 3</t>
        </is>
      </c>
    </row>
    <row r="1934">
      <c r="B1934" s="56" t="inlineStr">
        <is>
          <t>00036-ILU</t>
        </is>
      </c>
      <c r="C1934" s="56">
        <f>IFERROR(_xlfn.XLOOKUP(SALIDAS[[#This Row],[CODIGO]],LISTADO[CODIGOS],LISTADO[CATEGORIA]),"NO EXISTE")</f>
        <v/>
      </c>
      <c r="D1934" s="56">
        <f>IFERROR(_xlfn.XLOOKUP(SALIDAS[[#This Row],[CODIGO]],LISTADO[CODIGOS],LISTADO[PRODUCTOS]),"NO EXISTE")</f>
        <v/>
      </c>
      <c r="E1934" s="19" t="n">
        <v>46189</v>
      </c>
      <c r="F1934" s="18" t="n">
        <v>1</v>
      </c>
      <c r="G1934" s="18" t="inlineStr">
        <is>
          <t>GUACARA</t>
        </is>
      </c>
    </row>
    <row r="1935">
      <c r="B1935" s="56" t="inlineStr">
        <is>
          <t>00010-PLM</t>
        </is>
      </c>
      <c r="C1935" s="56">
        <f>IFERROR(_xlfn.XLOOKUP(SALIDAS[[#This Row],[CODIGO]],LISTADO[CODIGOS],LISTADO[CATEGORIA]),"NO EXISTE")</f>
        <v/>
      </c>
      <c r="D1935" s="56">
        <f>IFERROR(_xlfn.XLOOKUP(SALIDAS[[#This Row],[CODIGO]],LISTADO[CODIGOS],LISTADO[PRODUCTOS]),"NO EXISTE")</f>
        <v/>
      </c>
      <c r="E1935" s="19" t="n">
        <v>46189</v>
      </c>
      <c r="F1935" s="18" t="n">
        <v>1</v>
      </c>
      <c r="G1935" s="18" t="inlineStr">
        <is>
          <t>ISABELICA</t>
        </is>
      </c>
    </row>
    <row r="1936">
      <c r="B1936" s="56" t="inlineStr">
        <is>
          <t>00041-ELE</t>
        </is>
      </c>
      <c r="C1936" s="56">
        <f>IFERROR(_xlfn.XLOOKUP(SALIDAS[[#This Row],[CODIGO]],LISTADO[CODIGOS],LISTADO[CATEGORIA]),"NO EXISTE")</f>
        <v/>
      </c>
      <c r="D1936" s="56">
        <f>IFERROR(_xlfn.XLOOKUP(SALIDAS[[#This Row],[CODIGO]],LISTADO[CODIGOS],LISTADO[PRODUCTOS]),"NO EXISTE")</f>
        <v/>
      </c>
      <c r="E1936" s="19" t="n">
        <v>46189</v>
      </c>
      <c r="F1936" s="18" t="n">
        <v>1</v>
      </c>
      <c r="G1936" s="18" t="inlineStr">
        <is>
          <t>SAN DIEGO</t>
        </is>
      </c>
    </row>
    <row r="1937">
      <c r="B1937" s="56" t="inlineStr">
        <is>
          <t>00007-HRR</t>
        </is>
      </c>
      <c r="C1937" s="56">
        <f>IFERROR(_xlfn.XLOOKUP(SALIDAS[[#This Row],[CODIGO]],LISTADO[CODIGOS],LISTADO[CATEGORIA]),"NO EXISTE")</f>
        <v/>
      </c>
      <c r="D1937" s="56">
        <f>IFERROR(_xlfn.XLOOKUP(SALIDAS[[#This Row],[CODIGO]],LISTADO[CODIGOS],LISTADO[PRODUCTOS]),"NO EXISTE")</f>
        <v/>
      </c>
      <c r="E1937" s="19" t="n">
        <v>46189</v>
      </c>
      <c r="F1937" s="18" t="n">
        <v>2</v>
      </c>
      <c r="G1937" s="18" t="inlineStr">
        <is>
          <t>SAN DIEGO</t>
        </is>
      </c>
    </row>
    <row r="1938">
      <c r="B1938" s="56" t="inlineStr">
        <is>
          <t>00005-HRR</t>
        </is>
      </c>
      <c r="C1938" s="56">
        <f>IFERROR(_xlfn.XLOOKUP(SALIDAS[[#This Row],[CODIGO]],LISTADO[CODIGOS],LISTADO[CATEGORIA]),"NO EXISTE")</f>
        <v/>
      </c>
      <c r="D1938" s="56">
        <f>IFERROR(_xlfn.XLOOKUP(SALIDAS[[#This Row],[CODIGO]],LISTADO[CODIGOS],LISTADO[PRODUCTOS]),"NO EXISTE")</f>
        <v/>
      </c>
      <c r="E1938" s="19" t="n">
        <v>46189</v>
      </c>
      <c r="F1938" s="18" t="n">
        <v>1</v>
      </c>
      <c r="G1938" s="18" t="inlineStr">
        <is>
          <t>SAN DIEGO</t>
        </is>
      </c>
    </row>
    <row r="1939">
      <c r="B1939" s="56" t="inlineStr">
        <is>
          <t>00031-FER</t>
        </is>
      </c>
      <c r="C1939" s="56">
        <f>IFERROR(_xlfn.XLOOKUP(SALIDAS[[#This Row],[CODIGO]],LISTADO[CODIGOS],LISTADO[CATEGORIA]),"NO EXISTE")</f>
        <v/>
      </c>
      <c r="D1939" s="56">
        <f>IFERROR(_xlfn.XLOOKUP(SALIDAS[[#This Row],[CODIGO]],LISTADO[CODIGOS],LISTADO[PRODUCTOS]),"NO EXISTE")</f>
        <v/>
      </c>
      <c r="E1939" s="19" t="n">
        <v>46189</v>
      </c>
      <c r="F1939" s="18" t="inlineStr">
        <is>
          <t>1|</t>
        </is>
      </c>
      <c r="G1939" s="18" t="inlineStr">
        <is>
          <t>CEDI FRIO</t>
        </is>
      </c>
    </row>
    <row r="1940">
      <c r="B1940" s="18" t="inlineStr">
        <is>
          <t>00091-ELC</t>
        </is>
      </c>
      <c r="C1940" s="56">
        <f>IFERROR(_xlfn.XLOOKUP(SALIDAS[[#This Row],[CODIGO]],LISTADO[CODIGOS],LISTADO[CATEGORIA]),"NO EXISTE")</f>
        <v/>
      </c>
      <c r="D1940" s="56">
        <f>IFERROR(_xlfn.XLOOKUP(SALIDAS[[#This Row],[CODIGO]],LISTADO[CODIGOS],LISTADO[PRODUCTOS]),"NO EXISTE")</f>
        <v/>
      </c>
      <c r="E1940" s="19" t="n">
        <v>46185</v>
      </c>
      <c r="F1940" s="18" t="n">
        <v>1</v>
      </c>
      <c r="G1940" s="18" t="inlineStr">
        <is>
          <t>NAGUANAGUA 3</t>
        </is>
      </c>
    </row>
    <row r="1941">
      <c r="B1941" s="56" t="inlineStr">
        <is>
          <t>00027-ILU</t>
        </is>
      </c>
      <c r="C1941" s="56">
        <f>IFERROR(_xlfn.XLOOKUP(SALIDAS[[#This Row],[CODIGO]],LISTADO[CODIGOS],LISTADO[CATEGORIA]),"NO EXISTE")</f>
        <v/>
      </c>
      <c r="D1941" s="56">
        <f>IFERROR(_xlfn.XLOOKUP(SALIDAS[[#This Row],[CODIGO]],LISTADO[CODIGOS],LISTADO[PRODUCTOS]),"NO EXISTE")</f>
        <v/>
      </c>
      <c r="E1941" s="19" t="n">
        <v>46181</v>
      </c>
      <c r="F1941" s="18" t="n">
        <v>4</v>
      </c>
      <c r="G1941" s="18" t="inlineStr">
        <is>
          <t>MAÑONGO</t>
        </is>
      </c>
    </row>
    <row r="1942">
      <c r="B1942" s="18" t="inlineStr">
        <is>
          <t>00100-REF</t>
        </is>
      </c>
      <c r="C1942" s="56">
        <f>IFERROR(_xlfn.XLOOKUP(SALIDAS[[#This Row],[CODIGO]],LISTADO[CODIGOS],LISTADO[CATEGORIA]),"NO EXISTE")</f>
        <v/>
      </c>
      <c r="D1942" s="56">
        <f>IFERROR(_xlfn.XLOOKUP(SALIDAS[[#This Row],[CODIGO]],LISTADO[CODIGOS],LISTADO[PRODUCTOS]),"NO EXISTE")</f>
        <v/>
      </c>
      <c r="E1942" s="19" t="n">
        <v>46182</v>
      </c>
      <c r="F1942" s="18" t="n">
        <v>1</v>
      </c>
      <c r="G1942" s="18" t="inlineStr">
        <is>
          <t xml:space="preserve">CEDI SECO </t>
        </is>
      </c>
    </row>
    <row r="1943">
      <c r="B1943" s="56" t="inlineStr">
        <is>
          <t>00001-ELC</t>
        </is>
      </c>
      <c r="C1943" s="56">
        <f>IFERROR(_xlfn.XLOOKUP(SALIDAS[[#This Row],[CODIGO]],LISTADO[CODIGOS],LISTADO[CATEGORIA]),"NO EXISTE")</f>
        <v/>
      </c>
      <c r="D1943" s="56">
        <f>IFERROR(_xlfn.XLOOKUP(SALIDAS[[#This Row],[CODIGO]],LISTADO[CODIGOS],LISTADO[PRODUCTOS]),"NO EXISTE")</f>
        <v/>
      </c>
      <c r="E1943" s="19" t="n">
        <v>46182</v>
      </c>
      <c r="F1943" s="18" t="n">
        <v>1</v>
      </c>
      <c r="G1943" s="18" t="inlineStr">
        <is>
          <t xml:space="preserve">CEDI SECO </t>
        </is>
      </c>
    </row>
    <row r="1944">
      <c r="B1944" s="18" t="inlineStr">
        <is>
          <t>00057-ILU</t>
        </is>
      </c>
      <c r="C1944" s="56">
        <f>IFERROR(_xlfn.XLOOKUP(SALIDAS[[#This Row],[CODIGO]],LISTADO[CODIGOS],LISTADO[CATEGORIA]),"NO EXISTE")</f>
        <v/>
      </c>
      <c r="D1944" s="56">
        <f>IFERROR(_xlfn.XLOOKUP(SALIDAS[[#This Row],[CODIGO]],LISTADO[CODIGOS],LISTADO[PRODUCTOS]),"NO EXISTE")</f>
        <v/>
      </c>
      <c r="E1944" s="19" t="n">
        <v>46182</v>
      </c>
      <c r="F1944" s="18" t="n">
        <v>1</v>
      </c>
      <c r="G1944" s="18" t="inlineStr">
        <is>
          <t xml:space="preserve">CEDI SECO </t>
        </is>
      </c>
    </row>
    <row r="1945">
      <c r="B1945" s="56" t="inlineStr">
        <is>
          <t>00003-ILU</t>
        </is>
      </c>
      <c r="C1945" s="56">
        <f>IFERROR(_xlfn.XLOOKUP(SALIDAS[[#This Row],[CODIGO]],LISTADO[CODIGOS],LISTADO[CATEGORIA]),"NO EXISTE")</f>
        <v/>
      </c>
      <c r="D1945" s="56">
        <f>IFERROR(_xlfn.XLOOKUP(SALIDAS[[#This Row],[CODIGO]],LISTADO[CODIGOS],LISTADO[PRODUCTOS]),"NO EXISTE")</f>
        <v/>
      </c>
      <c r="E1945" s="19" t="n">
        <v>46182</v>
      </c>
      <c r="F1945" s="18" t="n">
        <v>2</v>
      </c>
      <c r="G1945" s="18" t="inlineStr">
        <is>
          <t xml:space="preserve">CEDI SECO </t>
        </is>
      </c>
    </row>
    <row r="1946">
      <c r="B1946" s="18" t="inlineStr">
        <is>
          <t>00131-REF</t>
        </is>
      </c>
      <c r="C1946" s="56">
        <f>IFERROR(_xlfn.XLOOKUP(SALIDAS[[#This Row],[CODIGO]],LISTADO[CODIGOS],LISTADO[CATEGORIA]),"NO EXISTE")</f>
        <v/>
      </c>
      <c r="D1946" s="56">
        <f>IFERROR(_xlfn.XLOOKUP(SALIDAS[[#This Row],[CODIGO]],LISTADO[CODIGOS],LISTADO[PRODUCTOS]),"NO EXISTE")</f>
        <v/>
      </c>
      <c r="E1946" s="19" t="n">
        <v>46182</v>
      </c>
      <c r="F1946" s="18" t="n">
        <v>1</v>
      </c>
      <c r="G1946" s="18" t="inlineStr">
        <is>
          <t xml:space="preserve">CEDI SECO </t>
        </is>
      </c>
    </row>
    <row r="1947">
      <c r="B1947" s="18" t="inlineStr">
        <is>
          <t>00030-MSC</t>
        </is>
      </c>
      <c r="C1947" s="56">
        <f>IFERROR(_xlfn.XLOOKUP(SALIDAS[[#This Row],[CODIGO]],LISTADO[CODIGOS],LISTADO[CATEGORIA]),"NO EXISTE")</f>
        <v/>
      </c>
      <c r="D1947" s="56">
        <f>IFERROR(_xlfn.XLOOKUP(SALIDAS[[#This Row],[CODIGO]],LISTADO[CODIGOS],LISTADO[PRODUCTOS]),"NO EXISTE")</f>
        <v/>
      </c>
      <c r="E1947" s="19" t="n">
        <v>46182</v>
      </c>
      <c r="F1947" s="18" t="n">
        <v>10</v>
      </c>
      <c r="G1947" s="18" t="inlineStr">
        <is>
          <t xml:space="preserve">CEDI SECO </t>
        </is>
      </c>
    </row>
    <row r="1948">
      <c r="B1948" s="56" t="inlineStr">
        <is>
          <t>00140-HER</t>
        </is>
      </c>
      <c r="C1948" s="56">
        <f>IFERROR(_xlfn.XLOOKUP(SALIDAS[[#This Row],[CODIGO]],LISTADO[CODIGOS],LISTADO[CATEGORIA]),"NO EXISTE")</f>
        <v/>
      </c>
      <c r="D1948" s="56">
        <f>IFERROR(_xlfn.XLOOKUP(SALIDAS[[#This Row],[CODIGO]],LISTADO[CODIGOS],LISTADO[PRODUCTOS]),"NO EXISTE")</f>
        <v/>
      </c>
      <c r="E1948" s="19" t="n">
        <v>46182</v>
      </c>
      <c r="F1948" s="18" t="n">
        <v>1</v>
      </c>
      <c r="G1948" s="18" t="inlineStr">
        <is>
          <t xml:space="preserve">CEDI SECO </t>
        </is>
      </c>
    </row>
    <row r="1949">
      <c r="B1949" s="56" t="inlineStr">
        <is>
          <t>00035-ILU</t>
        </is>
      </c>
      <c r="C1949" s="56">
        <f>IFERROR(_xlfn.XLOOKUP(SALIDAS[[#This Row],[CODIGO]],LISTADO[CODIGOS],LISTADO[CATEGORIA]),"NO EXISTE")</f>
        <v/>
      </c>
      <c r="D1949" s="56">
        <f>IFERROR(_xlfn.XLOOKUP(SALIDAS[[#This Row],[CODIGO]],LISTADO[CODIGOS],LISTADO[PRODUCTOS]),"NO EXISTE")</f>
        <v/>
      </c>
      <c r="E1949" s="19" t="n">
        <v>46169</v>
      </c>
      <c r="F1949" s="18" t="n">
        <v>3</v>
      </c>
      <c r="G1949" s="18" t="inlineStr">
        <is>
          <t>AV BOLIVAR</t>
        </is>
      </c>
    </row>
    <row r="1950">
      <c r="B1950" s="56" t="inlineStr">
        <is>
          <t>00006-ELE</t>
        </is>
      </c>
      <c r="C1950" s="56">
        <f>IFERROR(_xlfn.XLOOKUP(SALIDAS[[#This Row],[CODIGO]],LISTADO[CODIGOS],LISTADO[CATEGORIA]),"NO EXISTE")</f>
        <v/>
      </c>
      <c r="D1950" s="56">
        <f>IFERROR(_xlfn.XLOOKUP(SALIDAS[[#This Row],[CODIGO]],LISTADO[CODIGOS],LISTADO[PRODUCTOS]),"NO EXISTE")</f>
        <v/>
      </c>
      <c r="E1950" s="19" t="n">
        <v>46169</v>
      </c>
      <c r="F1950" s="18" t="n">
        <v>1</v>
      </c>
      <c r="G1950" s="18" t="inlineStr">
        <is>
          <t>CEDEÑO</t>
        </is>
      </c>
    </row>
    <row r="1951">
      <c r="B1951" s="18" t="inlineStr">
        <is>
          <t>00078-ELC</t>
        </is>
      </c>
      <c r="C1951" s="56">
        <f>IFERROR(_xlfn.XLOOKUP(SALIDAS[[#This Row],[CODIGO]],LISTADO[CODIGOS],LISTADO[CATEGORIA]),"NO EXISTE")</f>
        <v/>
      </c>
      <c r="D1951" s="56">
        <f>IFERROR(_xlfn.XLOOKUP(SALIDAS[[#This Row],[CODIGO]],LISTADO[CODIGOS],LISTADO[PRODUCTOS]),"NO EXISTE")</f>
        <v/>
      </c>
      <c r="E1951" s="19" t="n">
        <v>46169</v>
      </c>
      <c r="F1951" s="18" t="n">
        <v>1</v>
      </c>
      <c r="G1951" s="18" t="inlineStr">
        <is>
          <t>NAGUANAGUA 2</t>
        </is>
      </c>
    </row>
    <row r="1952">
      <c r="B1952" s="56" t="inlineStr">
        <is>
          <t>00052-FER</t>
        </is>
      </c>
      <c r="C1952" s="56">
        <f>IFERROR(_xlfn.XLOOKUP(SALIDAS[[#This Row],[CODIGO]],LISTADO[CODIGOS],LISTADO[CATEGORIA]),"NO EXISTE")</f>
        <v/>
      </c>
      <c r="D1952" s="56">
        <f>IFERROR(_xlfn.XLOOKUP(SALIDAS[[#This Row],[CODIGO]],LISTADO[CODIGOS],LISTADO[PRODUCTOS]),"NO EXISTE")</f>
        <v/>
      </c>
      <c r="E1952" s="19" t="n">
        <v>46169</v>
      </c>
      <c r="F1952" s="18" t="n">
        <v>1.5</v>
      </c>
      <c r="G1952" s="18" t="inlineStr">
        <is>
          <t>NAGUANAGUA 2</t>
        </is>
      </c>
    </row>
    <row r="1953">
      <c r="B1953" s="56" t="inlineStr">
        <is>
          <t>00034-ELE</t>
        </is>
      </c>
      <c r="C1953" s="56">
        <f>IFERROR(_xlfn.XLOOKUP(SALIDAS[[#This Row],[CODIGO]],LISTADO[CODIGOS],LISTADO[CATEGORIA]),"NO EXISTE")</f>
        <v/>
      </c>
      <c r="D1953" s="56">
        <f>IFERROR(_xlfn.XLOOKUP(SALIDAS[[#This Row],[CODIGO]],LISTADO[CODIGOS],LISTADO[PRODUCTOS]),"NO EXISTE")</f>
        <v/>
      </c>
      <c r="E1953" s="19" t="n">
        <v>46175</v>
      </c>
      <c r="F1953" s="18" t="n">
        <v>1</v>
      </c>
      <c r="G1953" s="18" t="inlineStr">
        <is>
          <t>LAS FERIAS</t>
        </is>
      </c>
    </row>
    <row r="1954">
      <c r="B1954" s="18" t="inlineStr">
        <is>
          <t>00125-REF</t>
        </is>
      </c>
      <c r="C1954" s="56">
        <f>IFERROR(_xlfn.XLOOKUP(SALIDAS[[#This Row],[CODIGO]],LISTADO[CODIGOS],LISTADO[CATEGORIA]),"NO EXISTE")</f>
        <v/>
      </c>
      <c r="D1954" s="56">
        <f>IFERROR(_xlfn.XLOOKUP(SALIDAS[[#This Row],[CODIGO]],LISTADO[CODIGOS],LISTADO[PRODUCTOS]),"NO EXISTE")</f>
        <v/>
      </c>
      <c r="E1954" s="19" t="n">
        <v>46175</v>
      </c>
      <c r="F1954" s="18" t="n">
        <v>1</v>
      </c>
      <c r="G1954" s="18" t="inlineStr">
        <is>
          <t>LAS FERIAS</t>
        </is>
      </c>
    </row>
    <row r="1955">
      <c r="B1955" s="56" t="inlineStr">
        <is>
          <t>00007-HRR</t>
        </is>
      </c>
      <c r="C1955" s="56">
        <f>IFERROR(_xlfn.XLOOKUP(SALIDAS[[#This Row],[CODIGO]],LISTADO[CODIGOS],LISTADO[CATEGORIA]),"NO EXISTE")</f>
        <v/>
      </c>
      <c r="D1955" s="56">
        <f>IFERROR(_xlfn.XLOOKUP(SALIDAS[[#This Row],[CODIGO]],LISTADO[CODIGOS],LISTADO[PRODUCTOS]),"NO EXISTE")</f>
        <v/>
      </c>
      <c r="E1955" s="19" t="n">
        <v>46175</v>
      </c>
      <c r="F1955" s="18" t="n">
        <v>1</v>
      </c>
      <c r="G1955" s="18" t="inlineStr">
        <is>
          <t>LAS FERIAS</t>
        </is>
      </c>
    </row>
    <row r="1956">
      <c r="B1956" s="56" t="inlineStr">
        <is>
          <t>00005-HRR</t>
        </is>
      </c>
      <c r="C1956" s="56">
        <f>IFERROR(_xlfn.XLOOKUP(SALIDAS[[#This Row],[CODIGO]],LISTADO[CODIGOS],LISTADO[CATEGORIA]),"NO EXISTE")</f>
        <v/>
      </c>
      <c r="D1956" s="56">
        <f>IFERROR(_xlfn.XLOOKUP(SALIDAS[[#This Row],[CODIGO]],LISTADO[CODIGOS],LISTADO[PRODUCTOS]),"NO EXISTE")</f>
        <v/>
      </c>
      <c r="E1956" s="19" t="n">
        <v>46175</v>
      </c>
      <c r="F1956" s="18" t="n">
        <v>1</v>
      </c>
      <c r="G1956" s="18" t="inlineStr">
        <is>
          <t>LAS FERIAS</t>
        </is>
      </c>
    </row>
    <row r="1957">
      <c r="B1957" s="56" t="inlineStr">
        <is>
          <t>00038-REF</t>
        </is>
      </c>
      <c r="C1957" s="56">
        <f>IFERROR(_xlfn.XLOOKUP(SALIDAS[[#This Row],[CODIGO]],LISTADO[CODIGOS],LISTADO[CATEGORIA]),"NO EXISTE")</f>
        <v/>
      </c>
      <c r="D1957" s="56">
        <f>IFERROR(_xlfn.XLOOKUP(SALIDAS[[#This Row],[CODIGO]],LISTADO[CODIGOS],LISTADO[PRODUCTOS]),"NO EXISTE")</f>
        <v/>
      </c>
      <c r="E1957" s="19" t="n">
        <v>46176</v>
      </c>
      <c r="F1957" s="18" t="n">
        <v>1</v>
      </c>
      <c r="G1957" s="18" t="inlineStr">
        <is>
          <t>FLOR AMARILLO</t>
        </is>
      </c>
    </row>
    <row r="1958">
      <c r="B1958" s="56" t="inlineStr">
        <is>
          <t>00001-REF</t>
        </is>
      </c>
      <c r="C1958" s="56">
        <f>IFERROR(_xlfn.XLOOKUP(SALIDAS[[#This Row],[CODIGO]],LISTADO[CODIGOS],LISTADO[CATEGORIA]),"NO EXISTE")</f>
        <v/>
      </c>
      <c r="D1958" s="56">
        <f>IFERROR(_xlfn.XLOOKUP(SALIDAS[[#This Row],[CODIGO]],LISTADO[CODIGOS],LISTADO[PRODUCTOS]),"NO EXISTE")</f>
        <v/>
      </c>
      <c r="E1958" s="19" t="n">
        <v>46176</v>
      </c>
      <c r="F1958" s="18" t="n">
        <v>2</v>
      </c>
      <c r="G1958" s="18" t="inlineStr">
        <is>
          <t>FLOR AMARILLO</t>
        </is>
      </c>
    </row>
    <row r="1959">
      <c r="B1959" s="56" t="inlineStr">
        <is>
          <t>00051-REF</t>
        </is>
      </c>
      <c r="C1959" s="56">
        <f>IFERROR(_xlfn.XLOOKUP(SALIDAS[[#This Row],[CODIGO]],LISTADO[CODIGOS],LISTADO[CATEGORIA]),"NO EXISTE")</f>
        <v/>
      </c>
      <c r="D1959" s="56">
        <f>IFERROR(_xlfn.XLOOKUP(SALIDAS[[#This Row],[CODIGO]],LISTADO[CODIGOS],LISTADO[PRODUCTOS]),"NO EXISTE")</f>
        <v/>
      </c>
      <c r="E1959" s="19" t="n">
        <v>46176</v>
      </c>
      <c r="F1959" s="18" t="n">
        <v>2</v>
      </c>
      <c r="G1959" s="18" t="inlineStr">
        <is>
          <t>FLOR AMARILLO</t>
        </is>
      </c>
    </row>
    <row r="1960">
      <c r="B1960" s="18" t="inlineStr">
        <is>
          <t>00105-REF</t>
        </is>
      </c>
      <c r="C1960" s="56">
        <f>IFERROR(_xlfn.XLOOKUP(SALIDAS[[#This Row],[CODIGO]],LISTADO[CODIGOS],LISTADO[CATEGORIA]),"NO EXISTE")</f>
        <v/>
      </c>
      <c r="D1960" s="56">
        <f>IFERROR(_xlfn.XLOOKUP(SALIDAS[[#This Row],[CODIGO]],LISTADO[CODIGOS],LISTADO[PRODUCTOS]),"NO EXISTE")</f>
        <v/>
      </c>
      <c r="E1960" s="19" t="n">
        <v>46176</v>
      </c>
      <c r="F1960" s="18" t="n">
        <v>1</v>
      </c>
      <c r="G1960" s="18" t="inlineStr">
        <is>
          <t>LAS FERIAS</t>
        </is>
      </c>
    </row>
    <row r="1961">
      <c r="B1961" s="18" t="inlineStr">
        <is>
          <t>00017-REF</t>
        </is>
      </c>
      <c r="C1961" s="56">
        <f>IFERROR(_xlfn.XLOOKUP(SALIDAS[[#This Row],[CODIGO]],LISTADO[CODIGOS],LISTADO[CATEGORIA]),"NO EXISTE")</f>
        <v/>
      </c>
      <c r="D1961" s="56">
        <f>IFERROR(_xlfn.XLOOKUP(SALIDAS[[#This Row],[CODIGO]],LISTADO[CODIGOS],LISTADO[PRODUCTOS]),"NO EXISTE")</f>
        <v/>
      </c>
      <c r="E1961" s="19" t="n">
        <v>46176</v>
      </c>
      <c r="F1961" s="18" t="n">
        <v>3</v>
      </c>
      <c r="G1961" s="18" t="inlineStr">
        <is>
          <t>FLOR AMARILLO</t>
        </is>
      </c>
    </row>
    <row r="1962">
      <c r="B1962" s="56" t="inlineStr">
        <is>
          <t>00036-REF</t>
        </is>
      </c>
      <c r="C1962" s="56">
        <f>IFERROR(_xlfn.XLOOKUP(SALIDAS[[#This Row],[CODIGO]],LISTADO[CODIGOS],LISTADO[CATEGORIA]),"NO EXISTE")</f>
        <v/>
      </c>
      <c r="D1962" s="56">
        <f>IFERROR(_xlfn.XLOOKUP(SALIDAS[[#This Row],[CODIGO]],LISTADO[CODIGOS],LISTADO[PRODUCTOS]),"NO EXISTE")</f>
        <v/>
      </c>
      <c r="E1962" s="19" t="n">
        <v>46176</v>
      </c>
      <c r="F1962" s="18" t="n">
        <v>3</v>
      </c>
      <c r="G1962" s="18" t="inlineStr">
        <is>
          <t>FLOR AMARILLO</t>
        </is>
      </c>
    </row>
    <row r="1963">
      <c r="B1963" s="18" t="inlineStr">
        <is>
          <t>00101-REF</t>
        </is>
      </c>
      <c r="C1963" s="56">
        <f>IFERROR(_xlfn.XLOOKUP(SALIDAS[[#This Row],[CODIGO]],LISTADO[CODIGOS],LISTADO[CATEGORIA]),"NO EXISTE")</f>
        <v/>
      </c>
      <c r="D1963" s="56">
        <f>IFERROR(_xlfn.XLOOKUP(SALIDAS[[#This Row],[CODIGO]],LISTADO[CODIGOS],LISTADO[PRODUCTOS]),"NO EXISTE")</f>
        <v/>
      </c>
      <c r="E1963" s="19" t="n">
        <v>46176</v>
      </c>
      <c r="F1963" s="18" t="n">
        <v>1</v>
      </c>
      <c r="G1963" s="18" t="inlineStr">
        <is>
          <t>FLOR AMARILLO</t>
        </is>
      </c>
    </row>
    <row r="1964">
      <c r="B1964" s="56" t="inlineStr">
        <is>
          <t>00015-MSC</t>
        </is>
      </c>
      <c r="C1964" s="56">
        <f>IFERROR(_xlfn.XLOOKUP(SALIDAS[[#This Row],[CODIGO]],LISTADO[CODIGOS],LISTADO[CATEGORIA]),"NO EXISTE")</f>
        <v/>
      </c>
      <c r="D1964" s="56">
        <f>IFERROR(_xlfn.XLOOKUP(SALIDAS[[#This Row],[CODIGO]],LISTADO[CODIGOS],LISTADO[PRODUCTOS]),"NO EXISTE")</f>
        <v/>
      </c>
      <c r="E1964" s="19" t="n">
        <v>46176</v>
      </c>
      <c r="F1964" s="18" t="n">
        <v>1</v>
      </c>
      <c r="G1964" s="18" t="inlineStr">
        <is>
          <t>ISABELICA</t>
        </is>
      </c>
    </row>
    <row r="1965">
      <c r="B1965" s="56" t="inlineStr">
        <is>
          <t>00027-ILU</t>
        </is>
      </c>
      <c r="C1965" s="56">
        <f>IFERROR(_xlfn.XLOOKUP(SALIDAS[[#This Row],[CODIGO]],LISTADO[CODIGOS],LISTADO[CATEGORIA]),"NO EXISTE")</f>
        <v/>
      </c>
      <c r="D1965" s="56">
        <f>IFERROR(_xlfn.XLOOKUP(SALIDAS[[#This Row],[CODIGO]],LISTADO[CODIGOS],LISTADO[PRODUCTOS]),"NO EXISTE")</f>
        <v/>
      </c>
      <c r="E1965" s="19" t="n">
        <v>46176</v>
      </c>
      <c r="F1965" s="18" t="n">
        <v>2</v>
      </c>
      <c r="G1965" s="18" t="inlineStr">
        <is>
          <t>NAGUANAGUA 1</t>
        </is>
      </c>
    </row>
    <row r="1966">
      <c r="B1966" s="18" t="inlineStr">
        <is>
          <t>00092-ELC</t>
        </is>
      </c>
      <c r="C1966" s="56">
        <f>IFERROR(_xlfn.XLOOKUP(SALIDAS[[#This Row],[CODIGO]],LISTADO[CODIGOS],LISTADO[CATEGORIA]),"NO EXISTE")</f>
        <v/>
      </c>
      <c r="D1966" s="56">
        <f>IFERROR(_xlfn.XLOOKUP(SALIDAS[[#This Row],[CODIGO]],LISTADO[CODIGOS],LISTADO[PRODUCTOS]),"NO EXISTE")</f>
        <v/>
      </c>
      <c r="E1966" s="19" t="n">
        <v>46176</v>
      </c>
      <c r="F1966" s="18" t="n">
        <v>2</v>
      </c>
      <c r="G1966" s="18" t="inlineStr">
        <is>
          <t>NAGUANAGUA 2</t>
        </is>
      </c>
    </row>
    <row r="1967">
      <c r="B1967" s="56" t="inlineStr">
        <is>
          <t>00036-REF</t>
        </is>
      </c>
      <c r="C1967" s="56">
        <f>IFERROR(_xlfn.XLOOKUP(SALIDAS[[#This Row],[CODIGO]],LISTADO[CODIGOS],LISTADO[CATEGORIA]),"NO EXISTE")</f>
        <v/>
      </c>
      <c r="D1967" s="56">
        <f>IFERROR(_xlfn.XLOOKUP(SALIDAS[[#This Row],[CODIGO]],LISTADO[CODIGOS],LISTADO[PRODUCTOS]),"NO EXISTE")</f>
        <v/>
      </c>
      <c r="E1967" s="19" t="n">
        <v>46174</v>
      </c>
      <c r="F1967" s="18" t="n">
        <v>10</v>
      </c>
      <c r="G1967" s="18" t="inlineStr">
        <is>
          <t>LAS FERIAS</t>
        </is>
      </c>
    </row>
    <row r="1968">
      <c r="B1968" s="56" t="inlineStr">
        <is>
          <t>00010-REF</t>
        </is>
      </c>
      <c r="C1968" s="56">
        <f>IFERROR(_xlfn.XLOOKUP(SALIDAS[[#This Row],[CODIGO]],LISTADO[CODIGOS],LISTADO[CATEGORIA]),"NO EXISTE")</f>
        <v/>
      </c>
      <c r="D1968" s="56">
        <f>IFERROR(_xlfn.XLOOKUP(SALIDAS[[#This Row],[CODIGO]],LISTADO[CODIGOS],LISTADO[PRODUCTOS]),"NO EXISTE")</f>
        <v/>
      </c>
      <c r="E1968" s="19" t="n">
        <v>46174</v>
      </c>
      <c r="F1968" s="18" t="n">
        <v>1</v>
      </c>
      <c r="G1968" s="18" t="inlineStr">
        <is>
          <t>LAS FERIAS</t>
        </is>
      </c>
    </row>
    <row r="1969">
      <c r="B1969" s="18" t="inlineStr">
        <is>
          <t>00101-REF</t>
        </is>
      </c>
      <c r="C1969" s="56">
        <f>IFERROR(_xlfn.XLOOKUP(SALIDAS[[#This Row],[CODIGO]],LISTADO[CODIGOS],LISTADO[CATEGORIA]),"NO EXISTE")</f>
        <v/>
      </c>
      <c r="D1969" s="56">
        <f>IFERROR(_xlfn.XLOOKUP(SALIDAS[[#This Row],[CODIGO]],LISTADO[CODIGOS],LISTADO[PRODUCTOS]),"NO EXISTE")</f>
        <v/>
      </c>
      <c r="E1969" s="19" t="n">
        <v>46174</v>
      </c>
      <c r="F1969" s="18" t="n">
        <v>1</v>
      </c>
      <c r="G1969" s="18" t="inlineStr">
        <is>
          <t>FLOR AMARILLO</t>
        </is>
      </c>
    </row>
    <row r="1970">
      <c r="B1970" s="56" t="inlineStr">
        <is>
          <t>00017-REF</t>
        </is>
      </c>
      <c r="C1970" s="56">
        <f>IFERROR(_xlfn.XLOOKUP(SALIDAS[[#This Row],[CODIGO]],LISTADO[CODIGOS],LISTADO[CATEGORIA]),"NO EXISTE")</f>
        <v/>
      </c>
      <c r="D1970" s="56">
        <f>IFERROR(_xlfn.XLOOKUP(SALIDAS[[#This Row],[CODIGO]],LISTADO[CODIGOS],LISTADO[PRODUCTOS]),"NO EXISTE")</f>
        <v/>
      </c>
      <c r="E1970" s="19" t="n">
        <v>46174</v>
      </c>
      <c r="F1970" s="18" t="n">
        <v>3</v>
      </c>
      <c r="G1970" s="18" t="inlineStr">
        <is>
          <t>FLOR AMARILLO</t>
        </is>
      </c>
    </row>
    <row r="1971">
      <c r="B1971" s="56" t="inlineStr">
        <is>
          <t>00051-REF</t>
        </is>
      </c>
      <c r="C1971" s="56">
        <f>IFERROR(_xlfn.XLOOKUP(SALIDAS[[#This Row],[CODIGO]],LISTADO[CODIGOS],LISTADO[CATEGORIA]),"NO EXISTE")</f>
        <v/>
      </c>
      <c r="D1971" s="56">
        <f>IFERROR(_xlfn.XLOOKUP(SALIDAS[[#This Row],[CODIGO]],LISTADO[CODIGOS],LISTADO[PRODUCTOS]),"NO EXISTE")</f>
        <v/>
      </c>
      <c r="E1971" s="19" t="n">
        <v>46173</v>
      </c>
      <c r="F1971" s="18" t="n">
        <v>1</v>
      </c>
      <c r="G1971" s="18" t="inlineStr">
        <is>
          <t>FLOR AMARILLO</t>
        </is>
      </c>
    </row>
    <row r="1972">
      <c r="B1972" s="56" t="inlineStr">
        <is>
          <t>00035-REF</t>
        </is>
      </c>
      <c r="C1972" s="56">
        <f>IFERROR(_xlfn.XLOOKUP(SALIDAS[[#This Row],[CODIGO]],LISTADO[CODIGOS],LISTADO[CATEGORIA]),"NO EXISTE")</f>
        <v/>
      </c>
      <c r="D1972" s="56">
        <f>IFERROR(_xlfn.XLOOKUP(SALIDAS[[#This Row],[CODIGO]],LISTADO[CODIGOS],LISTADO[PRODUCTOS]),"NO EXISTE")</f>
        <v/>
      </c>
      <c r="E1972" s="19" t="n">
        <v>46173</v>
      </c>
      <c r="F1972" s="18" t="n">
        <v>1</v>
      </c>
      <c r="G1972" s="18" t="inlineStr">
        <is>
          <t>FLOR AMARILLO</t>
        </is>
      </c>
    </row>
    <row r="1973">
      <c r="B1973" s="56" t="inlineStr">
        <is>
          <t>00036-REF</t>
        </is>
      </c>
      <c r="C1973" s="56">
        <f>IFERROR(_xlfn.XLOOKUP(SALIDAS[[#This Row],[CODIGO]],LISTADO[CODIGOS],LISTADO[CATEGORIA]),"NO EXISTE")</f>
        <v/>
      </c>
      <c r="D1973" s="56">
        <f>IFERROR(_xlfn.XLOOKUP(SALIDAS[[#This Row],[CODIGO]],LISTADO[CODIGOS],LISTADO[PRODUCTOS]),"NO EXISTE")</f>
        <v/>
      </c>
      <c r="E1973" s="19" t="n">
        <v>46173</v>
      </c>
      <c r="F1973" s="18" t="n">
        <v>1</v>
      </c>
      <c r="G1973" s="18" t="inlineStr">
        <is>
          <t>FLOR AMARILLO</t>
        </is>
      </c>
    </row>
    <row r="1974">
      <c r="B1974" s="18" t="inlineStr">
        <is>
          <t>00171-REF</t>
        </is>
      </c>
      <c r="C1974" s="56">
        <f>IFERROR(_xlfn.XLOOKUP(SALIDAS[[#This Row],[CODIGO]],LISTADO[CODIGOS],LISTADO[CATEGORIA]),"NO EXISTE")</f>
        <v/>
      </c>
      <c r="D1974" s="56">
        <f>IFERROR(_xlfn.XLOOKUP(SALIDAS[[#This Row],[CODIGO]],LISTADO[CODIGOS],LISTADO[PRODUCTOS]),"NO EXISTE")</f>
        <v/>
      </c>
      <c r="E1974" s="19" t="n">
        <v>46173</v>
      </c>
      <c r="F1974" s="18" t="n">
        <v>1</v>
      </c>
      <c r="G1974" s="18" t="inlineStr">
        <is>
          <t>FLOR AMARILLO</t>
        </is>
      </c>
    </row>
    <row r="1975">
      <c r="B1975" s="18" t="inlineStr">
        <is>
          <t>00172-REF</t>
        </is>
      </c>
      <c r="C1975" s="56">
        <f>IFERROR(_xlfn.XLOOKUP(SALIDAS[[#This Row],[CODIGO]],LISTADO[CODIGOS],LISTADO[CATEGORIA]),"NO EXISTE")</f>
        <v/>
      </c>
      <c r="D1975" s="56">
        <f>IFERROR(_xlfn.XLOOKUP(SALIDAS[[#This Row],[CODIGO]],LISTADO[CODIGOS],LISTADO[PRODUCTOS]),"NO EXISTE")</f>
        <v/>
      </c>
      <c r="E1975" s="19" t="n">
        <v>46173</v>
      </c>
      <c r="F1975" s="18" t="n">
        <v>1</v>
      </c>
      <c r="G1975" s="18" t="inlineStr">
        <is>
          <t>FLOR AMARILLO</t>
        </is>
      </c>
    </row>
    <row r="1976">
      <c r="B1976" s="56" t="inlineStr">
        <is>
          <t>00002-REF</t>
        </is>
      </c>
      <c r="C1976" s="56">
        <f>IFERROR(_xlfn.XLOOKUP(SALIDAS[[#This Row],[CODIGO]],LISTADO[CODIGOS],LISTADO[CATEGORIA]),"NO EXISTE")</f>
        <v/>
      </c>
      <c r="D1976" s="56">
        <f>IFERROR(_xlfn.XLOOKUP(SALIDAS[[#This Row],[CODIGO]],LISTADO[CODIGOS],LISTADO[PRODUCTOS]),"NO EXISTE")</f>
        <v/>
      </c>
      <c r="E1976" s="19" t="n">
        <v>46173</v>
      </c>
      <c r="F1976" s="18" t="n">
        <v>1</v>
      </c>
      <c r="G1976" s="18" t="inlineStr">
        <is>
          <t>FLOR AMARILLO</t>
        </is>
      </c>
    </row>
    <row r="1977">
      <c r="B1977" s="18" t="inlineStr">
        <is>
          <t>00099-REF</t>
        </is>
      </c>
      <c r="C1977" s="56">
        <f>IFERROR(_xlfn.XLOOKUP(SALIDAS[[#This Row],[CODIGO]],LISTADO[CODIGOS],LISTADO[CATEGORIA]),"NO EXISTE")</f>
        <v/>
      </c>
      <c r="D1977" s="56">
        <f>IFERROR(_xlfn.XLOOKUP(SALIDAS[[#This Row],[CODIGO]],LISTADO[CODIGOS],LISTADO[PRODUCTOS]),"NO EXISTE")</f>
        <v/>
      </c>
      <c r="E1977" s="19" t="n">
        <v>46173</v>
      </c>
      <c r="F1977" s="18" t="n">
        <v>1</v>
      </c>
      <c r="G1977" s="18" t="inlineStr">
        <is>
          <t>FLOR AMARILLO</t>
        </is>
      </c>
    </row>
    <row r="1978">
      <c r="B1978" s="56" t="inlineStr">
        <is>
          <t>00015-MSC</t>
        </is>
      </c>
      <c r="C1978" s="56">
        <f>IFERROR(_xlfn.XLOOKUP(SALIDAS[[#This Row],[CODIGO]],LISTADO[CODIGOS],LISTADO[CATEGORIA]),"NO EXISTE")</f>
        <v/>
      </c>
      <c r="D1978" s="56">
        <f>IFERROR(_xlfn.XLOOKUP(SALIDAS[[#This Row],[CODIGO]],LISTADO[CODIGOS],LISTADO[PRODUCTOS]),"NO EXISTE")</f>
        <v/>
      </c>
      <c r="E1978" s="19" t="n">
        <v>46173</v>
      </c>
      <c r="F1978" s="18" t="n">
        <v>1</v>
      </c>
      <c r="G1978" s="18" t="inlineStr">
        <is>
          <t>PARAMACAI</t>
        </is>
      </c>
    </row>
    <row r="1979">
      <c r="B1979" s="56" t="inlineStr">
        <is>
          <t>00075-REF</t>
        </is>
      </c>
      <c r="C1979" s="56">
        <f>IFERROR(_xlfn.XLOOKUP(SALIDAS[[#This Row],[CODIGO]],LISTADO[CODIGOS],LISTADO[CATEGORIA]),"NO EXISTE")</f>
        <v/>
      </c>
      <c r="D1979" s="56">
        <f>IFERROR(_xlfn.XLOOKUP(SALIDAS[[#This Row],[CODIGO]],LISTADO[CODIGOS],LISTADO[PRODUCTOS]),"NO EXISTE")</f>
        <v/>
      </c>
      <c r="E1979" s="19" t="n">
        <v>45825</v>
      </c>
      <c r="F1979" s="18" t="n">
        <v>3</v>
      </c>
      <c r="G1979" s="18" t="inlineStr">
        <is>
          <t>ISABELICA</t>
        </is>
      </c>
    </row>
    <row r="1980">
      <c r="B1980" s="18" t="inlineStr">
        <is>
          <t>00036-REF</t>
        </is>
      </c>
      <c r="C1980" s="56">
        <f>IFERROR(_xlfn.XLOOKUP(SALIDAS[[#This Row],[CODIGO]],LISTADO[CODIGOS],LISTADO[CATEGORIA]),"NO EXISTE")</f>
        <v/>
      </c>
      <c r="D1980" s="56">
        <f>IFERROR(_xlfn.XLOOKUP(SALIDAS[[#This Row],[CODIGO]],LISTADO[CODIGOS],LISTADO[PRODUCTOS]),"NO EXISTE")</f>
        <v/>
      </c>
      <c r="E1980" s="19" t="n">
        <v>45825</v>
      </c>
      <c r="F1980" s="18" t="n">
        <v>4</v>
      </c>
      <c r="G1980" s="18" t="inlineStr">
        <is>
          <t>ISABELICA</t>
        </is>
      </c>
    </row>
    <row r="1981">
      <c r="B1981" s="56" t="inlineStr">
        <is>
          <t>00002-REF</t>
        </is>
      </c>
      <c r="C1981" s="56">
        <f>IFERROR(_xlfn.XLOOKUP(SALIDAS[[#This Row],[CODIGO]],LISTADO[CODIGOS],LISTADO[CATEGORIA]),"NO EXISTE")</f>
        <v/>
      </c>
      <c r="D1981" s="56">
        <f>IFERROR(_xlfn.XLOOKUP(SALIDAS[[#This Row],[CODIGO]],LISTADO[CODIGOS],LISTADO[PRODUCTOS]),"NO EXISTE")</f>
        <v/>
      </c>
      <c r="E1981" s="19" t="n">
        <v>45825</v>
      </c>
      <c r="F1981" s="18" t="n">
        <v>3</v>
      </c>
      <c r="G1981" s="18" t="inlineStr">
        <is>
          <t>ISABELICA</t>
        </is>
      </c>
    </row>
    <row r="1982">
      <c r="B1982" s="18" t="inlineStr">
        <is>
          <t>00051-REF</t>
        </is>
      </c>
      <c r="C1982" s="56">
        <f>IFERROR(_xlfn.XLOOKUP(SALIDAS[[#This Row],[CODIGO]],LISTADO[CODIGOS],LISTADO[CATEGORIA]),"NO EXISTE")</f>
        <v/>
      </c>
      <c r="D1982" s="56">
        <f>IFERROR(_xlfn.XLOOKUP(SALIDAS[[#This Row],[CODIGO]],LISTADO[CODIGOS],LISTADO[PRODUCTOS]),"NO EXISTE")</f>
        <v/>
      </c>
      <c r="E1982" s="19" t="n">
        <v>45825</v>
      </c>
      <c r="F1982" s="18" t="n">
        <v>2</v>
      </c>
      <c r="G1982" s="18" t="inlineStr">
        <is>
          <t>ISABELICA</t>
        </is>
      </c>
    </row>
    <row r="1983">
      <c r="B1983" s="18" t="inlineStr">
        <is>
          <t>00173-REF</t>
        </is>
      </c>
      <c r="C1983" s="56">
        <f>IFERROR(_xlfn.XLOOKUP(SALIDAS[[#This Row],[CODIGO]],LISTADO[CODIGOS],LISTADO[CATEGORIA]),"NO EXISTE")</f>
        <v/>
      </c>
      <c r="D1983" s="56">
        <f>IFERROR(_xlfn.XLOOKUP(SALIDAS[[#This Row],[CODIGO]],LISTADO[CODIGOS],LISTADO[PRODUCTOS]),"NO EXISTE")</f>
        <v/>
      </c>
      <c r="E1983" s="19" t="n">
        <v>45825</v>
      </c>
      <c r="F1983" s="18" t="n">
        <v>1</v>
      </c>
      <c r="G1983" s="18" t="inlineStr">
        <is>
          <t>ISABELICA</t>
        </is>
      </c>
    </row>
    <row r="1984">
      <c r="B1984" s="56" t="inlineStr">
        <is>
          <t>00071-REF</t>
        </is>
      </c>
      <c r="C1984" s="56">
        <f>IFERROR(_xlfn.XLOOKUP(SALIDAS[[#This Row],[CODIGO]],LISTADO[CODIGOS],LISTADO[CATEGORIA]),"NO EXISTE")</f>
        <v/>
      </c>
      <c r="D1984" s="56">
        <f>IFERROR(_xlfn.XLOOKUP(SALIDAS[[#This Row],[CODIGO]],LISTADO[CODIGOS],LISTADO[PRODUCTOS]),"NO EXISTE")</f>
        <v/>
      </c>
      <c r="E1984" s="19" t="n">
        <v>45825</v>
      </c>
      <c r="F1984" s="18" t="n">
        <v>2</v>
      </c>
      <c r="G1984" s="18" t="inlineStr">
        <is>
          <t>ISABELICA</t>
        </is>
      </c>
    </row>
    <row r="1985">
      <c r="B1985" s="18" t="inlineStr">
        <is>
          <t>00143-REF</t>
        </is>
      </c>
      <c r="C1985" s="56">
        <f>IFERROR(_xlfn.XLOOKUP(SALIDAS[[#This Row],[CODIGO]],LISTADO[CODIGOS],LISTADO[CATEGORIA]),"NO EXISTE")</f>
        <v/>
      </c>
      <c r="D1985" s="56">
        <f>IFERROR(_xlfn.XLOOKUP(SALIDAS[[#This Row],[CODIGO]],LISTADO[CODIGOS],LISTADO[PRODUCTOS]),"NO EXISTE")</f>
        <v/>
      </c>
      <c r="E1985" s="19" t="n">
        <v>45825</v>
      </c>
      <c r="F1985" s="18" t="n">
        <v>1</v>
      </c>
      <c r="G1985" s="18" t="inlineStr">
        <is>
          <t>ISABELICA</t>
        </is>
      </c>
    </row>
    <row r="1986">
      <c r="B1986" s="18" t="inlineStr">
        <is>
          <t>00051-REF</t>
        </is>
      </c>
      <c r="C1986" s="56">
        <f>IFERROR(_xlfn.XLOOKUP(SALIDAS[[#This Row],[CODIGO]],LISTADO[CODIGOS],LISTADO[CATEGORIA]),"NO EXISTE")</f>
        <v/>
      </c>
      <c r="D1986" s="56">
        <f>IFERROR(_xlfn.XLOOKUP(SALIDAS[[#This Row],[CODIGO]],LISTADO[CODIGOS],LISTADO[PRODUCTOS]),"NO EXISTE")</f>
        <v/>
      </c>
      <c r="E1986" s="19" t="n">
        <v>46173</v>
      </c>
      <c r="F1986" s="18" t="n">
        <v>1</v>
      </c>
      <c r="G1986" s="18" t="inlineStr">
        <is>
          <t>FLOR AMARILLO</t>
        </is>
      </c>
    </row>
    <row r="1987">
      <c r="B1987" s="56" t="inlineStr">
        <is>
          <t>00035-REF</t>
        </is>
      </c>
      <c r="C1987" s="56">
        <f>IFERROR(_xlfn.XLOOKUP(SALIDAS[[#This Row],[CODIGO]],LISTADO[CODIGOS],LISTADO[CATEGORIA]),"NO EXISTE")</f>
        <v/>
      </c>
      <c r="D1987" s="56">
        <f>IFERROR(_xlfn.XLOOKUP(SALIDAS[[#This Row],[CODIGO]],LISTADO[CODIGOS],LISTADO[PRODUCTOS]),"NO EXISTE")</f>
        <v/>
      </c>
      <c r="E1987" s="19" t="n">
        <v>46173</v>
      </c>
      <c r="F1987" s="18" t="n">
        <v>1</v>
      </c>
      <c r="G1987" s="18" t="inlineStr">
        <is>
          <t>FLOR AMARILLO</t>
        </is>
      </c>
    </row>
    <row r="1988">
      <c r="B1988" s="56" t="inlineStr">
        <is>
          <t>00036-REF</t>
        </is>
      </c>
      <c r="C1988" s="56">
        <f>IFERROR(_xlfn.XLOOKUP(SALIDAS[[#This Row],[CODIGO]],LISTADO[CODIGOS],LISTADO[CATEGORIA]),"NO EXISTE")</f>
        <v/>
      </c>
      <c r="D1988" s="56">
        <f>IFERROR(_xlfn.XLOOKUP(SALIDAS[[#This Row],[CODIGO]],LISTADO[CODIGOS],LISTADO[PRODUCTOS]),"NO EXISTE")</f>
        <v/>
      </c>
      <c r="E1988" s="19" t="n">
        <v>46173</v>
      </c>
      <c r="F1988" s="18" t="n">
        <v>1</v>
      </c>
      <c r="G1988" s="18" t="inlineStr">
        <is>
          <t>FLOR AMARILLO</t>
        </is>
      </c>
    </row>
    <row r="1989">
      <c r="B1989" s="18" t="inlineStr">
        <is>
          <t>00171-REF</t>
        </is>
      </c>
      <c r="C1989" s="56">
        <f>IFERROR(_xlfn.XLOOKUP(SALIDAS[[#This Row],[CODIGO]],LISTADO[CODIGOS],LISTADO[CATEGORIA]),"NO EXISTE")</f>
        <v/>
      </c>
      <c r="D1989" s="56">
        <f>IFERROR(_xlfn.XLOOKUP(SALIDAS[[#This Row],[CODIGO]],LISTADO[CODIGOS],LISTADO[PRODUCTOS]),"NO EXISTE")</f>
        <v/>
      </c>
      <c r="E1989" s="19" t="n">
        <v>46173</v>
      </c>
      <c r="F1989" s="18" t="n">
        <v>1</v>
      </c>
      <c r="G1989" s="18" t="inlineStr">
        <is>
          <t>FLOR AMARILLO</t>
        </is>
      </c>
    </row>
    <row r="1990">
      <c r="B1990" s="18" t="inlineStr">
        <is>
          <t>00103-REF</t>
        </is>
      </c>
      <c r="C1990" s="56">
        <f>IFERROR(_xlfn.XLOOKUP(SALIDAS[[#This Row],[CODIGO]],LISTADO[CODIGOS],LISTADO[CATEGORIA]),"NO EXISTE")</f>
        <v/>
      </c>
      <c r="D1990" s="56">
        <f>IFERROR(_xlfn.XLOOKUP(SALIDAS[[#This Row],[CODIGO]],LISTADO[CODIGOS],LISTADO[PRODUCTOS]),"NO EXISTE")</f>
        <v/>
      </c>
      <c r="E1990" s="19" t="n">
        <v>46173</v>
      </c>
      <c r="F1990" s="18" t="n">
        <v>1</v>
      </c>
      <c r="G1990" s="18" t="inlineStr">
        <is>
          <t>CEDEÑO</t>
        </is>
      </c>
    </row>
    <row r="1991">
      <c r="B1991" s="18" t="inlineStr">
        <is>
          <t>00099-REF</t>
        </is>
      </c>
      <c r="C1991" s="56">
        <f>IFERROR(_xlfn.XLOOKUP(SALIDAS[[#This Row],[CODIGO]],LISTADO[CODIGOS],LISTADO[CATEGORIA]),"NO EXISTE")</f>
        <v/>
      </c>
      <c r="D1991" s="56">
        <f>IFERROR(_xlfn.XLOOKUP(SALIDAS[[#This Row],[CODIGO]],LISTADO[CODIGOS],LISTADO[PRODUCTOS]),"NO EXISTE")</f>
        <v/>
      </c>
      <c r="E1991" s="19" t="n">
        <v>46173</v>
      </c>
      <c r="F1991" s="18" t="n">
        <v>1</v>
      </c>
      <c r="G1991" s="18" t="inlineStr">
        <is>
          <t>FLOR AMARILLO</t>
        </is>
      </c>
    </row>
    <row r="1992">
      <c r="B1992" s="56" t="inlineStr">
        <is>
          <t>00015-MSC</t>
        </is>
      </c>
      <c r="C1992" s="56">
        <f>IFERROR(_xlfn.XLOOKUP(SALIDAS[[#This Row],[CODIGO]],LISTADO[CODIGOS],LISTADO[CATEGORIA]),"NO EXISTE")</f>
        <v/>
      </c>
      <c r="D1992" s="56">
        <f>IFERROR(_xlfn.XLOOKUP(SALIDAS[[#This Row],[CODIGO]],LISTADO[CODIGOS],LISTADO[PRODUCTOS]),"NO EXISTE")</f>
        <v/>
      </c>
      <c r="E1992" s="19" t="n">
        <v>46173</v>
      </c>
      <c r="F1992" s="18" t="n">
        <v>1</v>
      </c>
      <c r="G1992" s="18" t="inlineStr">
        <is>
          <t>FLOR AMARILLO</t>
        </is>
      </c>
    </row>
    <row r="1993">
      <c r="B1993" s="56" t="inlineStr">
        <is>
          <t>00052-FER</t>
        </is>
      </c>
      <c r="C1993" s="56">
        <f>IFERROR(_xlfn.XLOOKUP(SALIDAS[[#This Row],[CODIGO]],LISTADO[CODIGOS],LISTADO[CATEGORIA]),"NO EXISTE")</f>
        <v/>
      </c>
      <c r="D1993" s="56">
        <f>IFERROR(_xlfn.XLOOKUP(SALIDAS[[#This Row],[CODIGO]],LISTADO[CODIGOS],LISTADO[PRODUCTOS]),"NO EXISTE")</f>
        <v/>
      </c>
      <c r="E1993" s="19" t="n">
        <v>46173</v>
      </c>
      <c r="F1993" s="18" t="n">
        <v>1</v>
      </c>
      <c r="G1993" s="18" t="inlineStr">
        <is>
          <t>FLOR AMARILLO</t>
        </is>
      </c>
    </row>
    <row r="1994">
      <c r="B1994" s="18" t="inlineStr">
        <is>
          <t>00008-LIM</t>
        </is>
      </c>
      <c r="C1994" s="56">
        <f>IFERROR(_xlfn.XLOOKUP(SALIDAS[[#This Row],[CODIGO]],LISTADO[CODIGOS],LISTADO[CATEGORIA]),"NO EXISTE")</f>
        <v/>
      </c>
      <c r="D1994" s="56">
        <f>IFERROR(_xlfn.XLOOKUP(SALIDAS[[#This Row],[CODIGO]],LISTADO[CODIGOS],LISTADO[PRODUCTOS]),"NO EXISTE")</f>
        <v/>
      </c>
      <c r="E1994" s="19" t="n">
        <v>46193</v>
      </c>
      <c r="F1994" s="18" t="n">
        <v>6</v>
      </c>
      <c r="G1994" s="18" t="inlineStr">
        <is>
          <t>FERIA</t>
        </is>
      </c>
    </row>
    <row r="1995">
      <c r="B1995" s="18" t="inlineStr">
        <is>
          <t>00036-LIM</t>
        </is>
      </c>
      <c r="C1995" s="56">
        <f>IFERROR(_xlfn.XLOOKUP(SALIDAS[[#This Row],[CODIGO]],LISTADO[CODIGOS],LISTADO[CATEGORIA]),"NO EXISTE")</f>
        <v/>
      </c>
      <c r="D1995" s="56">
        <f>IFERROR(_xlfn.XLOOKUP(SALIDAS[[#This Row],[CODIGO]],LISTADO[CODIGOS],LISTADO[PRODUCTOS]),"NO EXISTE")</f>
        <v/>
      </c>
      <c r="E1995" s="19" t="n">
        <v>46193</v>
      </c>
      <c r="F1995" s="18" t="n">
        <v>10</v>
      </c>
      <c r="G1995" s="18" t="inlineStr">
        <is>
          <t>FERIA</t>
        </is>
      </c>
    </row>
    <row r="1996">
      <c r="B1996" s="56" t="inlineStr">
        <is>
          <t>00046-FER</t>
        </is>
      </c>
      <c r="C1996" s="56">
        <f>IFERROR(_xlfn.XLOOKUP(SALIDAS[[#This Row],[CODIGO]],LISTADO[CODIGOS],LISTADO[CATEGORIA]),"NO EXISTE")</f>
        <v/>
      </c>
      <c r="D1996" s="56">
        <f>IFERROR(_xlfn.XLOOKUP(SALIDAS[[#This Row],[CODIGO]],LISTADO[CODIGOS],LISTADO[PRODUCTOS]),"NO EXISTE")</f>
        <v/>
      </c>
      <c r="E1996" s="19" t="n"/>
    </row>
    <row r="1997">
      <c r="B1997" s="18" t="inlineStr">
        <is>
          <t>00130-REF</t>
        </is>
      </c>
      <c r="C1997" s="56">
        <f>IFERROR(_xlfn.XLOOKUP(SALIDAS[[#This Row],[CODIGO]],LISTADO[CODIGOS],LISTADO[CATEGORIA]),"NO EXISTE")</f>
        <v/>
      </c>
      <c r="D1997" s="56">
        <f>IFERROR(_xlfn.XLOOKUP(SALIDAS[[#This Row],[CODIGO]],LISTADO[CODIGOS],LISTADO[PRODUCTOS]),"NO EXISTE")</f>
        <v/>
      </c>
      <c r="E1997" s="19" t="n">
        <v>46200</v>
      </c>
      <c r="F1997" s="18" t="n">
        <v>1</v>
      </c>
      <c r="G1997" s="18" t="inlineStr">
        <is>
          <t>PARAPARAL</t>
        </is>
      </c>
    </row>
    <row r="1998">
      <c r="B1998" s="56" t="inlineStr">
        <is>
          <t>00017-REF</t>
        </is>
      </c>
      <c r="C1998" s="56">
        <f>IFERROR(_xlfn.XLOOKUP(SALIDAS[[#This Row],[CODIGO]],LISTADO[CODIGOS],LISTADO[CATEGORIA]),"NO EXISTE")</f>
        <v/>
      </c>
      <c r="D1998" s="56">
        <f>IFERROR(_xlfn.XLOOKUP(SALIDAS[[#This Row],[CODIGO]],LISTADO[CODIGOS],LISTADO[PRODUCTOS]),"NO EXISTE")</f>
        <v/>
      </c>
      <c r="E1998" s="19" t="n">
        <v>46200</v>
      </c>
      <c r="F1998" s="18" t="n">
        <v>3</v>
      </c>
      <c r="G1998" s="18" t="inlineStr">
        <is>
          <t>PARAPARAL</t>
        </is>
      </c>
    </row>
    <row r="1999">
      <c r="B1999" s="56" t="inlineStr">
        <is>
          <t>00178-REF</t>
        </is>
      </c>
      <c r="C1999" s="56">
        <f>IFERROR(_xlfn.XLOOKUP(SALIDAS[[#This Row],[CODIGO]],LISTADO[CODIGOS],LISTADO[CATEGORIA]),"NO EXISTE")</f>
        <v/>
      </c>
      <c r="D1999" s="56">
        <f>IFERROR(_xlfn.XLOOKUP(SALIDAS[[#This Row],[CODIGO]],LISTADO[CODIGOS],LISTADO[PRODUCTOS]),"NO EXISTE")</f>
        <v/>
      </c>
      <c r="E1999" s="19" t="n">
        <v>46199</v>
      </c>
      <c r="F1999" s="18" t="n">
        <v>1</v>
      </c>
      <c r="G1999" s="18" t="inlineStr">
        <is>
          <t>MAIQUETIA</t>
        </is>
      </c>
    </row>
    <row r="2000">
      <c r="B2000" s="56" t="inlineStr">
        <is>
          <t>00091-REF</t>
        </is>
      </c>
      <c r="C2000" s="56">
        <f>IFERROR(_xlfn.XLOOKUP(SALIDAS[[#This Row],[CODIGO]],LISTADO[CODIGOS],LISTADO[CATEGORIA]),"NO EXISTE")</f>
        <v/>
      </c>
      <c r="D2000" s="56">
        <f>IFERROR(_xlfn.XLOOKUP(SALIDAS[[#This Row],[CODIGO]],LISTADO[CODIGOS],LISTADO[PRODUCTOS]),"NO EXISTE")</f>
        <v/>
      </c>
      <c r="E2000" s="19" t="n">
        <v>46199</v>
      </c>
      <c r="F2000" s="18" t="n">
        <v>1</v>
      </c>
      <c r="G2000" s="18" t="inlineStr">
        <is>
          <t>MAIQUETIA</t>
        </is>
      </c>
    </row>
    <row r="2001">
      <c r="B2001" s="18" t="inlineStr">
        <is>
          <t>00133-ELE</t>
        </is>
      </c>
      <c r="C2001" s="56">
        <f>IFERROR(_xlfn.XLOOKUP(SALIDAS[[#This Row],[CODIGO]],LISTADO[CODIGOS],LISTADO[CATEGORIA]),"NO EXISTE")</f>
        <v/>
      </c>
      <c r="D2001" s="56">
        <f>IFERROR(_xlfn.XLOOKUP(SALIDAS[[#This Row],[CODIGO]],LISTADO[CODIGOS],LISTADO[PRODUCTOS]),"NO EXISTE")</f>
        <v/>
      </c>
      <c r="E2001" s="19" t="n">
        <v>46200</v>
      </c>
      <c r="F2001" s="18" t="n">
        <v>4</v>
      </c>
      <c r="G2001" s="18" t="inlineStr">
        <is>
          <t>NAGUANAGUA 1</t>
        </is>
      </c>
    </row>
    <row r="2002">
      <c r="B2002" s="18" t="inlineStr">
        <is>
          <t>00129-ELE</t>
        </is>
      </c>
      <c r="C2002" s="56">
        <f>IFERROR(_xlfn.XLOOKUP(SALIDAS[[#This Row],[CODIGO]],LISTADO[CODIGOS],LISTADO[CATEGORIA]),"NO EXISTE")</f>
        <v/>
      </c>
      <c r="D2002" s="56">
        <f>IFERROR(_xlfn.XLOOKUP(SALIDAS[[#This Row],[CODIGO]],LISTADO[CODIGOS],LISTADO[PRODUCTOS]),"NO EXISTE")</f>
        <v/>
      </c>
      <c r="E2002" s="19" t="n">
        <v>46200</v>
      </c>
      <c r="F2002" s="18" t="n">
        <v>4</v>
      </c>
      <c r="G2002" s="18" t="inlineStr">
        <is>
          <t>NAGUANAGUA 1</t>
        </is>
      </c>
    </row>
  </sheetData>
  <mergeCells count="2">
    <mergeCell ref="G10:H10"/>
    <mergeCell ref="A7:G7"/>
  </mergeCells>
  <dataValidations count="7">
    <dataValidation sqref="G20:G268" showDropDown="0" showInputMessage="1" showErrorMessage="1" allowBlank="1" type="list">
      <formula1>$V$2:$V$27</formula1>
    </dataValidation>
    <dataValidation sqref="G269:G427 G429:G569 G571:H571 G572:G686 G688:G877 G880:G886 G888:G971 G973:G1077" showDropDown="0" showInputMessage="1" showErrorMessage="1" allowBlank="1" type="list">
      <formula1>$V$2:$V$28</formula1>
    </dataValidation>
    <dataValidation sqref="H19:H570 H572 H580 H587:H588 H618:H624 H632:H633" showDropDown="0" showInputMessage="1" showErrorMessage="1" allowBlank="1" type="list">
      <formula1>$U$2:$U$27</formula1>
    </dataValidation>
    <dataValidation sqref="G19 G1078:G1190 G1201:G1290 G1298:G1303 G1305:G1353 G1371:G1387 G1389:G1930 G1997:G2002" showDropDown="0" showInputMessage="1" showErrorMessage="1" allowBlank="1" type="list">
      <formula1>$V$2:$V$29</formula1>
    </dataValidation>
    <dataValidation sqref="G1191:G1200 G1291:G1297 G1304" showDropDown="0" showInputMessage="1" showErrorMessage="1" allowBlank="1" type="list">
      <formula1>$V$2:$V$30</formula1>
    </dataValidation>
    <dataValidation sqref="G18:G2000" showDropDown="0" showInputMessage="0" showErrorMessage="1" allowBlank="1" errorTitle="Tienda no válida" error="Seleccione una tienda de la lista CONFIG." type="list">
      <formula1>=CONFIG!$A$7:$A$36</formula1>
    </dataValidation>
    <dataValidation sqref="H18:H2000" showDropDown="0" showInputMessage="0" showErrorMessage="1" allowBlank="1" errorTitle="Responsable no válido" error="Seleccione un responsable de la lista CONFIG." type="list">
      <formula1>=CONFIG!$C$7:$C$33</formula1>
    </dataValidation>
  </dataValidations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Hoja4">
    <outlinePr summaryBelow="1" summaryRight="1"/>
    <pageSetUpPr/>
  </sheetPr>
  <dimension ref="A1:K1295"/>
  <sheetViews>
    <sheetView showGridLines="0" topLeftCell="A3" workbookViewId="0">
      <selection activeCell="E909" sqref="E909"/>
    </sheetView>
  </sheetViews>
  <sheetFormatPr baseColWidth="10" defaultRowHeight="14.5"/>
  <cols>
    <col width="10.90625" customWidth="1" style="56" min="2" max="2"/>
    <col width="14.26953125" bestFit="1" customWidth="1" style="56" min="3" max="4"/>
    <col width="54.36328125" customWidth="1" style="56" min="5" max="5"/>
    <col width="14.81640625" bestFit="1" customWidth="1" style="56" min="6" max="6"/>
    <col width="16.54296875" bestFit="1" customWidth="1" style="11" min="7" max="7"/>
    <col width="20.36328125" bestFit="1" customWidth="1" style="11" min="8" max="8"/>
    <col width="19.1796875" bestFit="1" customWidth="1" style="11" min="10" max="10"/>
  </cols>
  <sheetData>
    <row r="1"/>
    <row r="2"/>
    <row r="3"/>
    <row r="4" ht="18.5" customHeight="1" s="11">
      <c r="B4" s="62" t="inlineStr">
        <is>
          <t>CATEGORIZACION Y CODIFICACION DE LOS PRODUCTOS</t>
        </is>
      </c>
    </row>
    <row r="5"/>
    <row r="6">
      <c r="B6" s="56" t="inlineStr">
        <is>
          <t>N°</t>
        </is>
      </c>
      <c r="C6" s="56" t="inlineStr">
        <is>
          <t>CODIGOS</t>
        </is>
      </c>
      <c r="D6" s="56" t="inlineStr">
        <is>
          <t>CATEGORIA</t>
        </is>
      </c>
      <c r="E6" s="56" t="inlineStr">
        <is>
          <t>PRODUCTOS</t>
        </is>
      </c>
      <c r="F6" s="56" t="inlineStr">
        <is>
          <t>UBICACIÓN</t>
        </is>
      </c>
      <c r="J6" s="30" t="inlineStr">
        <is>
          <t>LISTA DE CATEGORIAS</t>
        </is>
      </c>
      <c r="K6" s="30" t="inlineStr">
        <is>
          <t>REFERENCIAS</t>
        </is>
      </c>
    </row>
    <row r="7" hidden="1" s="11">
      <c r="B7" s="56" t="n">
        <v>1</v>
      </c>
      <c r="C7" s="56">
        <f>TEXT(COUNTIF($D$7:D7, D7), "00000") &amp; "-" &amp; VLOOKUP(D7, $J$7:$K$19, 2, FALSE)</f>
        <v/>
      </c>
      <c r="D7" s="56" t="inlineStr">
        <is>
          <t>REFRIGERACION</t>
        </is>
      </c>
      <c r="E7" s="56" t="inlineStr">
        <is>
          <t>VARILLA PLATA AL 5% 50CM</t>
        </is>
      </c>
      <c r="G7" s="9" t="inlineStr">
        <is>
          <t>Etiquetas de fila</t>
        </is>
      </c>
      <c r="H7" t="inlineStr">
        <is>
          <t>Cuenta de PRODUCTOS</t>
        </is>
      </c>
      <c r="J7" t="inlineStr">
        <is>
          <t>REFRIGERACION</t>
        </is>
      </c>
      <c r="K7" t="inlineStr">
        <is>
          <t>REF</t>
        </is>
      </c>
    </row>
    <row r="8" hidden="1" s="11">
      <c r="B8" s="56" t="n">
        <v>2</v>
      </c>
      <c r="C8" s="56">
        <f>TEXT(COUNTIF($D$7:D8, D8), "00000") &amp; "-" &amp; VLOOKUP(D8, $J$7:$K$19, 2, FALSE)</f>
        <v/>
      </c>
      <c r="D8" s="56" t="inlineStr">
        <is>
          <t>REFRIGERACION</t>
        </is>
      </c>
      <c r="E8" s="56" t="inlineStr">
        <is>
          <t>VARILLA PLATA 0% 50CM</t>
        </is>
      </c>
      <c r="G8" s="10" t="inlineStr">
        <is>
          <t>AUTOMOTRIZ</t>
        </is>
      </c>
      <c r="H8" t="n">
        <v>11</v>
      </c>
      <c r="J8" t="inlineStr">
        <is>
          <t>FERRETERIA</t>
        </is>
      </c>
      <c r="K8" t="inlineStr">
        <is>
          <t>FER</t>
        </is>
      </c>
    </row>
    <row r="9" hidden="1" s="11">
      <c r="B9" s="56" t="n">
        <v>3</v>
      </c>
      <c r="C9" s="56">
        <f>TEXT(COUNTIF($D$7:D9, D9), "00000") &amp; "-" &amp; VLOOKUP(D9, $J$7:$K$19, 2, FALSE)</f>
        <v/>
      </c>
      <c r="D9" s="56" t="inlineStr">
        <is>
          <t>FERRETERIA</t>
        </is>
      </c>
      <c r="E9" s="56" t="inlineStr">
        <is>
          <t>TUERCA HEX 5/16-18</t>
        </is>
      </c>
      <c r="G9" s="10" t="inlineStr">
        <is>
          <t>ELECTRICIDAD</t>
        </is>
      </c>
      <c r="H9" t="n">
        <v>56</v>
      </c>
      <c r="J9" t="inlineStr">
        <is>
          <t>ILUMINACION</t>
        </is>
      </c>
      <c r="K9" t="inlineStr">
        <is>
          <t>ILU</t>
        </is>
      </c>
    </row>
    <row r="10" hidden="1" s="11">
      <c r="B10" s="56" t="n">
        <v>4</v>
      </c>
      <c r="C10" s="56">
        <f>TEXT(COUNTIF($D$7:D10, D10), "00000") &amp; "-" &amp; VLOOKUP(D10, $J$7:$K$19, 2, FALSE)</f>
        <v/>
      </c>
      <c r="D10" s="56" t="inlineStr">
        <is>
          <t>FERRETERIA</t>
        </is>
      </c>
      <c r="E10" s="56" t="inlineStr">
        <is>
          <t>TUERCA HEX 10-1.50</t>
        </is>
      </c>
      <c r="G10" s="10" t="inlineStr">
        <is>
          <t>ELECTRONICO</t>
        </is>
      </c>
      <c r="H10" t="n">
        <v>43</v>
      </c>
      <c r="J10" t="inlineStr">
        <is>
          <t>ELECTRICIDAD</t>
        </is>
      </c>
      <c r="K10" t="inlineStr">
        <is>
          <t>ELE</t>
        </is>
      </c>
    </row>
    <row r="11" hidden="1" s="11">
      <c r="B11" s="56" t="n">
        <v>5</v>
      </c>
      <c r="C11" s="56">
        <f>TEXT(COUNTIF($D$7:D11, D11), "00000") &amp; "-" &amp; VLOOKUP(D11, $J$7:$K$19, 2, FALSE)</f>
        <v/>
      </c>
      <c r="D11" s="56" t="inlineStr">
        <is>
          <t>ILUMINACION</t>
        </is>
      </c>
      <c r="E11" s="56" t="inlineStr">
        <is>
          <t>TUBO LED 30 CM</t>
        </is>
      </c>
      <c r="G11" s="10" t="inlineStr">
        <is>
          <t>FERRETERIA</t>
        </is>
      </c>
      <c r="H11" t="n">
        <v>144</v>
      </c>
      <c r="J11" t="inlineStr">
        <is>
          <t>HERRAMIENTA</t>
        </is>
      </c>
      <c r="K11" t="inlineStr">
        <is>
          <t>HER</t>
        </is>
      </c>
    </row>
    <row r="12" hidden="1" s="11">
      <c r="B12" s="56" t="n">
        <v>6</v>
      </c>
      <c r="C12" s="56">
        <f>TEXT(COUNTIF($D$7:D12, D12), "00000") &amp; "-" &amp; VLOOKUP(D12, $J$7:$K$19, 2, FALSE)</f>
        <v/>
      </c>
      <c r="D12" s="56" t="inlineStr">
        <is>
          <t>ELECTRICIDAD</t>
        </is>
      </c>
      <c r="E12" s="56" t="inlineStr">
        <is>
          <t>TUBERIA CORRUGADA PVC NEGRO 3/4 METRO</t>
        </is>
      </c>
      <c r="G12" s="10" t="inlineStr">
        <is>
          <t>HERRAMIENTA</t>
        </is>
      </c>
      <c r="H12" t="n">
        <v>107</v>
      </c>
      <c r="J12" t="inlineStr">
        <is>
          <t>OFICINA</t>
        </is>
      </c>
      <c r="K12" t="inlineStr">
        <is>
          <t>OFC</t>
        </is>
      </c>
    </row>
    <row r="13" hidden="1" s="11">
      <c r="B13" s="56" t="n">
        <v>7</v>
      </c>
      <c r="C13" s="56">
        <f>TEXT(COUNTIF($D$7:D13, D13), "00000") &amp; "-" &amp; VLOOKUP(D13, $J$7:$K$19, 2, FALSE)</f>
        <v/>
      </c>
      <c r="D13" s="56" t="inlineStr">
        <is>
          <t>ELECTRICIDAD</t>
        </is>
      </c>
      <c r="E13" s="56" t="inlineStr">
        <is>
          <t>TUBERIA CORRUGADA PVC NEGRO 1/2 METRO</t>
        </is>
      </c>
      <c r="G13" s="10" t="inlineStr">
        <is>
          <t>MISCELANEOS</t>
        </is>
      </c>
      <c r="H13" t="n">
        <v>17</v>
      </c>
      <c r="J13" t="inlineStr">
        <is>
          <t>MISCELANEOS</t>
        </is>
      </c>
      <c r="K13" t="inlineStr">
        <is>
          <t>MSC</t>
        </is>
      </c>
    </row>
    <row r="14" hidden="1" s="11">
      <c r="B14" s="56" t="n">
        <v>8</v>
      </c>
      <c r="C14" s="56">
        <f>TEXT(COUNTIF($D$7:D14, D14), "00000") &amp; "-" &amp; VLOOKUP(D14, $J$7:$K$19, 2, FALSE)</f>
        <v/>
      </c>
      <c r="D14" s="56" t="inlineStr">
        <is>
          <t>HERRAMIENTA</t>
        </is>
      </c>
      <c r="E14" s="56" t="inlineStr">
        <is>
          <t>TRIANGULO DE SEGURIDAD PEQ.</t>
        </is>
      </c>
      <c r="G14" s="10" t="inlineStr">
        <is>
          <t>OFICINA</t>
        </is>
      </c>
      <c r="H14" t="n">
        <v>34</v>
      </c>
      <c r="J14" t="inlineStr">
        <is>
          <t>ELECTRONICO</t>
        </is>
      </c>
      <c r="K14" t="inlineStr">
        <is>
          <t>ELC</t>
        </is>
      </c>
    </row>
    <row r="15" hidden="1" s="11">
      <c r="B15" s="56" t="n">
        <v>9</v>
      </c>
      <c r="C15" s="56">
        <f>TEXT(COUNTIF($D$7:D15, D15), "00000") &amp; "-" &amp; VLOOKUP(D15, $J$7:$K$19, 2, FALSE)</f>
        <v/>
      </c>
      <c r="D15" s="56" t="inlineStr">
        <is>
          <t>HERRAMIENTA</t>
        </is>
      </c>
      <c r="E15" s="56" t="inlineStr">
        <is>
          <t>TRIANGULO DE SEGURIDAD GRANDE</t>
        </is>
      </c>
      <c r="G15" s="10" t="inlineStr">
        <is>
          <t>REFRIGERACION</t>
        </is>
      </c>
      <c r="H15" t="n">
        <v>92</v>
      </c>
      <c r="J15" t="inlineStr">
        <is>
          <t>UNIFORME</t>
        </is>
      </c>
      <c r="K15" t="inlineStr">
        <is>
          <t>UNI</t>
        </is>
      </c>
    </row>
    <row r="16" hidden="1" s="11">
      <c r="B16" s="56" t="n">
        <v>10</v>
      </c>
      <c r="C16" s="56">
        <f>TEXT(COUNTIF($D$7:D16, D16), "00000") &amp; "-" &amp; VLOOKUP(D16, $J$7:$K$19, 2, FALSE)</f>
        <v/>
      </c>
      <c r="D16" s="56" t="inlineStr">
        <is>
          <t>FERRETERIA</t>
        </is>
      </c>
      <c r="E16" s="56" t="inlineStr">
        <is>
          <t>TORNILLO DRAYWALL 3"</t>
        </is>
      </c>
      <c r="G16" s="10" t="inlineStr">
        <is>
          <t>UNIFORME</t>
        </is>
      </c>
      <c r="H16" t="n">
        <v>68</v>
      </c>
      <c r="J16" t="inlineStr">
        <is>
          <t>AUTOMOTRIZ</t>
        </is>
      </c>
      <c r="K16" t="inlineStr">
        <is>
          <t>AUT</t>
        </is>
      </c>
    </row>
    <row r="17" hidden="1" s="11">
      <c r="B17" s="56" t="n">
        <v>11</v>
      </c>
      <c r="C17" s="56">
        <f>TEXT(COUNTIF($D$7:D17, D17), "00000") &amp; "-" &amp; VLOOKUP(D17, $J$7:$K$19, 2, FALSE)</f>
        <v/>
      </c>
      <c r="D17" s="56" t="inlineStr">
        <is>
          <t>FERRETERIA</t>
        </is>
      </c>
      <c r="E17" s="56" t="inlineStr">
        <is>
          <t>TORNILLO DRAYWALL 1.5"</t>
        </is>
      </c>
      <c r="G17" s="10" t="inlineStr">
        <is>
          <t>LIMPIEZA</t>
        </is>
      </c>
      <c r="H17" t="n">
        <v>11</v>
      </c>
      <c r="J17" t="inlineStr">
        <is>
          <t>HERRERIA</t>
        </is>
      </c>
      <c r="K17" t="inlineStr">
        <is>
          <t>HRR</t>
        </is>
      </c>
    </row>
    <row r="18" hidden="1" s="11">
      <c r="B18" s="56" t="n">
        <v>12</v>
      </c>
      <c r="C18" s="56">
        <f>TEXT(COUNTIF($D$7:D18, D18), "00000") &amp; "-" &amp; VLOOKUP(D18, $J$7:$K$19, 2, FALSE)</f>
        <v/>
      </c>
      <c r="D18" s="56" t="inlineStr">
        <is>
          <t>FERRETERIA</t>
        </is>
      </c>
      <c r="E18" s="56" t="inlineStr">
        <is>
          <t>TORNILLO C/HEX 5/16-18 X 3/4</t>
        </is>
      </c>
      <c r="G18" s="10" t="inlineStr">
        <is>
          <t>ILUMINACION</t>
        </is>
      </c>
      <c r="H18" t="n">
        <v>40</v>
      </c>
      <c r="J18" t="inlineStr">
        <is>
          <t>PLOMERIA</t>
        </is>
      </c>
      <c r="K18" t="inlineStr">
        <is>
          <t>PLM</t>
        </is>
      </c>
    </row>
    <row r="19" hidden="1" s="11">
      <c r="B19" s="56" t="n">
        <v>13</v>
      </c>
      <c r="C19" s="56">
        <f>TEXT(COUNTIF($D$7:D19, D19), "00000") &amp; "-" &amp; VLOOKUP(D19, $J$7:$K$19, 2, FALSE)</f>
        <v/>
      </c>
      <c r="D19" s="56" t="inlineStr">
        <is>
          <t>FERRETERIA</t>
        </is>
      </c>
      <c r="E19" s="56" t="inlineStr">
        <is>
          <t>TORNILLO C/HEX 10-1.50 X 80</t>
        </is>
      </c>
      <c r="G19" s="10" t="inlineStr">
        <is>
          <t>HERRERIA</t>
        </is>
      </c>
      <c r="H19" t="n">
        <v>37</v>
      </c>
      <c r="J19" t="inlineStr">
        <is>
          <t>LIMPIEZA</t>
        </is>
      </c>
      <c r="K19" t="inlineStr">
        <is>
          <t>LIM</t>
        </is>
      </c>
    </row>
    <row r="20" hidden="1" s="11">
      <c r="B20" s="56" t="n">
        <v>14</v>
      </c>
      <c r="C20" s="56">
        <f>TEXT(COUNTIF($D$7:D20, D20), "00000") &amp; "-" &amp; VLOOKUP(D20, $J$7:$K$19, 2, FALSE)</f>
        <v/>
      </c>
      <c r="D20" s="56" t="inlineStr">
        <is>
          <t>OFICINA</t>
        </is>
      </c>
      <c r="E20" s="56" t="inlineStr">
        <is>
          <t>TONER</t>
        </is>
      </c>
      <c r="G20" s="10" t="inlineStr">
        <is>
          <t>PLOMERIA</t>
        </is>
      </c>
      <c r="H20" t="n">
        <v>44</v>
      </c>
    </row>
    <row r="21" hidden="1" s="11">
      <c r="B21" s="56" t="n">
        <v>15</v>
      </c>
      <c r="C21" s="56">
        <f>TEXT(COUNTIF($D$7:D21, D21), "00000") &amp; "-" &amp; VLOOKUP(D21, $J$7:$K$19, 2, FALSE)</f>
        <v/>
      </c>
      <c r="D21" s="56" t="inlineStr">
        <is>
          <t>MISCELANEOS</t>
        </is>
      </c>
      <c r="E21" s="56" t="inlineStr">
        <is>
          <t>TOALLA SUPER ABSORBENTE X KG</t>
        </is>
      </c>
      <c r="G21" s="10" t="inlineStr">
        <is>
          <t>Total general</t>
        </is>
      </c>
      <c r="H21" t="n">
        <v>704</v>
      </c>
    </row>
    <row r="22" hidden="1" s="11">
      <c r="B22" s="56" t="n">
        <v>16</v>
      </c>
      <c r="C22" s="56">
        <f>TEXT(COUNTIF($D$7:D22, D22), "00000") &amp; "-" &amp; VLOOKUP(D22, $J$7:$K$19, 2, FALSE)</f>
        <v/>
      </c>
      <c r="D22" s="56" t="inlineStr">
        <is>
          <t>FERRETERIA</t>
        </is>
      </c>
      <c r="E22" s="56" t="inlineStr">
        <is>
          <t>TIJERA PARA PODAR 8"</t>
        </is>
      </c>
    </row>
    <row r="23" hidden="1" s="11">
      <c r="B23" s="56" t="n">
        <v>17</v>
      </c>
      <c r="C23" s="56">
        <f>TEXT(COUNTIF($D$7:D23, D23), "00000") &amp; "-" &amp; VLOOKUP(D23, $J$7:$K$19, 2, FALSE)</f>
        <v/>
      </c>
      <c r="D23" s="56" t="inlineStr">
        <is>
          <t>FERRETERIA</t>
        </is>
      </c>
      <c r="E23" s="56" t="inlineStr">
        <is>
          <t>TIJERA MULTIFUNCIONAL 9" TOTAL</t>
        </is>
      </c>
    </row>
    <row r="24" hidden="1" s="11">
      <c r="B24" s="56" t="n">
        <v>18</v>
      </c>
      <c r="C24" s="56">
        <f>TEXT(COUNTIF($D$7:D24, D24), "00000") &amp; "-" &amp; VLOOKUP(D24, $J$7:$K$19, 2, FALSE)</f>
        <v/>
      </c>
      <c r="D24" s="56" t="inlineStr">
        <is>
          <t>OFICINA</t>
        </is>
      </c>
      <c r="E24" s="56" t="inlineStr">
        <is>
          <t>TIJERA</t>
        </is>
      </c>
    </row>
    <row r="25" hidden="1" s="11">
      <c r="B25" s="56" t="n">
        <v>19</v>
      </c>
      <c r="C25" s="56">
        <f>TEXT(COUNTIF($D$7:D25, D25), "00000") &amp; "-" &amp; VLOOKUP(D25, $J$7:$K$19, 2, FALSE)</f>
        <v/>
      </c>
      <c r="D25" s="56" t="inlineStr">
        <is>
          <t>HERRAMIENTA</t>
        </is>
      </c>
      <c r="E25" s="56" t="inlineStr">
        <is>
          <t>TESTER CAPACIMETRO DIGITAL</t>
        </is>
      </c>
    </row>
    <row r="26" hidden="1" s="11">
      <c r="B26" s="56" t="n">
        <v>20</v>
      </c>
      <c r="C26" s="56">
        <f>TEXT(COUNTIF($D$7:D26, D26), "00000") &amp; "-" &amp; VLOOKUP(D26, $J$7:$K$19, 2, FALSE)</f>
        <v/>
      </c>
      <c r="D26" s="56" t="inlineStr">
        <is>
          <t>REFRIGERACION</t>
        </is>
      </c>
      <c r="E26" s="56" t="inlineStr">
        <is>
          <t>TERMOSTATO A/A -30/+30</t>
        </is>
      </c>
    </row>
    <row r="27" hidden="1" s="11">
      <c r="B27" s="56" t="n">
        <v>21</v>
      </c>
      <c r="C27" s="56">
        <f>TEXT(COUNTIF($D$7:D27, D27), "00000") &amp; "-" &amp; VLOOKUP(D27, $J$7:$K$19, 2, FALSE)</f>
        <v/>
      </c>
      <c r="D27" s="56" t="inlineStr">
        <is>
          <t>ELECTRONICO</t>
        </is>
      </c>
      <c r="E27" s="56" t="inlineStr">
        <is>
          <t>TERMOMETRO INFRARROJO</t>
        </is>
      </c>
    </row>
    <row r="28" hidden="1" s="11">
      <c r="B28" s="56" t="n">
        <v>22</v>
      </c>
      <c r="C28" s="56">
        <f>TEXT(COUNTIF($D$7:D28, D28), "00000") &amp; "-" &amp; VLOOKUP(D28, $J$7:$K$19, 2, FALSE)</f>
        <v/>
      </c>
      <c r="D28" s="56" t="inlineStr">
        <is>
          <t>ELECTRICIDAD</t>
        </is>
      </c>
      <c r="E28" s="56" t="inlineStr">
        <is>
          <t>TERMINAL PARA CABLE AMARILLO</t>
        </is>
      </c>
    </row>
    <row r="29" hidden="1" s="11">
      <c r="B29" s="56" t="n">
        <v>23</v>
      </c>
      <c r="C29" s="56">
        <f>TEXT(COUNTIF($D$7:D29, D29), "00000") &amp; "-" &amp; VLOOKUP(D29, $J$7:$K$19, 2, FALSE)</f>
        <v/>
      </c>
      <c r="D29" s="56" t="inlineStr">
        <is>
          <t>REFRIGERACION</t>
        </is>
      </c>
      <c r="E29" s="56" t="inlineStr">
        <is>
          <t>TERMICO NEV. 1/4 HP 110V</t>
        </is>
      </c>
    </row>
    <row r="30" hidden="1" s="11">
      <c r="B30" s="56" t="n">
        <v>24</v>
      </c>
      <c r="C30" s="56">
        <f>TEXT(COUNTIF($D$7:D30, D30), "00000") &amp; "-" &amp; VLOOKUP(D30, $J$7:$K$19, 2, FALSE)</f>
        <v/>
      </c>
      <c r="D30" s="56" t="inlineStr">
        <is>
          <t>REFRIGERACION</t>
        </is>
      </c>
      <c r="E30" s="56" t="inlineStr">
        <is>
          <t>TERMICO NEV. 1/3 HP 110V</t>
        </is>
      </c>
    </row>
    <row r="31" hidden="1" s="11">
      <c r="B31" s="56" t="n">
        <v>25</v>
      </c>
      <c r="C31" s="56">
        <f>TEXT(COUNTIF($D$7:D31, D31), "00000") &amp; "-" &amp; VLOOKUP(D31, $J$7:$K$19, 2, FALSE)</f>
        <v/>
      </c>
      <c r="D31" s="56" t="inlineStr">
        <is>
          <t>ELECTRONICO</t>
        </is>
      </c>
      <c r="E31" s="56" t="inlineStr">
        <is>
          <t>TEMPORIZADOR DE RIEGO</t>
        </is>
      </c>
    </row>
    <row r="32" hidden="1" s="11">
      <c r="B32" s="56" t="n">
        <v>26</v>
      </c>
      <c r="C32" s="56">
        <f>TEXT(COUNTIF($D$7:D32, D32), "00000") &amp; "-" &amp; VLOOKUP(D32, $J$7:$K$19, 2, FALSE)</f>
        <v/>
      </c>
      <c r="D32" s="56" t="inlineStr">
        <is>
          <t>ELECTRICIDAD</t>
        </is>
      </c>
      <c r="E32" s="56" t="inlineStr">
        <is>
          <t>SUPERVISOR TRIFASICO 22OV</t>
        </is>
      </c>
    </row>
    <row r="33" hidden="1" s="11">
      <c r="B33" s="56" t="n">
        <v>27</v>
      </c>
      <c r="C33" s="56">
        <f>TEXT(COUNTIF($D$7:D33, D33), "00000") &amp; "-" &amp; VLOOKUP(D33, $J$7:$K$19, 2, FALSE)</f>
        <v/>
      </c>
      <c r="D33" s="56" t="inlineStr">
        <is>
          <t>OFICINA</t>
        </is>
      </c>
      <c r="E33" s="56" t="inlineStr">
        <is>
          <t>SOBRE MANILA T/OFICIO</t>
        </is>
      </c>
    </row>
    <row r="34" hidden="1" s="11">
      <c r="B34" s="56" t="n">
        <v>28</v>
      </c>
      <c r="C34" s="56">
        <f>TEXT(COUNTIF($D$7:D34, D34), "00000") &amp; "-" &amp; VLOOKUP(D34, $J$7:$K$19, 2, FALSE)</f>
        <v/>
      </c>
      <c r="D34" s="56" t="inlineStr">
        <is>
          <t>HERRAMIENTA</t>
        </is>
      </c>
      <c r="E34" s="56" t="inlineStr">
        <is>
          <t>SIERRA PARA PANELES DE YESO</t>
        </is>
      </c>
    </row>
    <row r="35" hidden="1" s="11">
      <c r="B35" s="56" t="n">
        <v>29</v>
      </c>
      <c r="C35" s="56">
        <f>TEXT(COUNTIF($D$7:D35, D35), "00000") &amp; "-" &amp; VLOOKUP(D35, $J$7:$K$19, 2, FALSE)</f>
        <v/>
      </c>
      <c r="D35" s="56" t="inlineStr">
        <is>
          <t>OFICINA</t>
        </is>
      </c>
      <c r="E35" s="56" t="inlineStr">
        <is>
          <t>SEPARADORES T/CARTA</t>
        </is>
      </c>
    </row>
    <row r="36" hidden="1" s="11">
      <c r="B36" s="56" t="n">
        <v>30</v>
      </c>
      <c r="C36" s="56">
        <f>TEXT(COUNTIF($D$7:D36, D36), "00000") &amp; "-" &amp; VLOOKUP(D36, $J$7:$K$19, 2, FALSE)</f>
        <v/>
      </c>
      <c r="D36" s="56" t="inlineStr">
        <is>
          <t>MISCELANEOS</t>
        </is>
      </c>
      <c r="E36" s="56" t="inlineStr">
        <is>
          <t>SELLADORA DE BOLSA EXCELL</t>
        </is>
      </c>
    </row>
    <row r="37" hidden="1" s="11">
      <c r="B37" s="56" t="n">
        <v>31</v>
      </c>
      <c r="C37" s="56">
        <f>TEXT(COUNTIF($D$7:D37, D37), "00000") &amp; "-" &amp; VLOOKUP(D37, $J$7:$K$19, 2, FALSE)</f>
        <v/>
      </c>
      <c r="D37" s="56" t="inlineStr">
        <is>
          <t>MISCELANEOS</t>
        </is>
      </c>
      <c r="E37" s="56" t="inlineStr">
        <is>
          <t>SELLADORA 300MM</t>
        </is>
      </c>
    </row>
    <row r="38" hidden="1" s="11">
      <c r="B38" s="56" t="n">
        <v>32</v>
      </c>
      <c r="C38" s="56">
        <f>TEXT(COUNTIF($D$7:D38, D38), "00000") &amp; "-" &amp; VLOOKUP(D38, $J$7:$K$19, 2, FALSE)</f>
        <v/>
      </c>
      <c r="D38" s="56" t="inlineStr">
        <is>
          <t>OFICINA</t>
        </is>
      </c>
      <c r="E38" s="56" t="inlineStr">
        <is>
          <t>SACAPUNTAS</t>
        </is>
      </c>
    </row>
    <row r="39" hidden="1" s="11">
      <c r="B39" s="56" t="n">
        <v>33</v>
      </c>
      <c r="C39" s="56">
        <f>TEXT(COUNTIF($D$7:D39, D39), "00000") &amp; "-" &amp; VLOOKUP(D39, $J$7:$K$19, 2, FALSE)</f>
        <v/>
      </c>
      <c r="D39" s="56" t="inlineStr">
        <is>
          <t>OFICINA</t>
        </is>
      </c>
      <c r="E39" s="56" t="inlineStr">
        <is>
          <t>SACA GRAPA</t>
        </is>
      </c>
    </row>
    <row r="40" hidden="1" s="11">
      <c r="B40" s="56" t="n">
        <v>34</v>
      </c>
      <c r="C40" s="56">
        <f>TEXT(COUNTIF($D$7:D40, D40), "00000") &amp; "-" &amp; VLOOKUP(D40, $J$7:$K$19, 2, FALSE)</f>
        <v/>
      </c>
      <c r="D40" s="56" t="inlineStr">
        <is>
          <t>FERRETERIA</t>
        </is>
      </c>
      <c r="E40" s="56" t="inlineStr">
        <is>
          <t>RUEDA NYLON 4X2 GIRATORIA FERK</t>
        </is>
      </c>
    </row>
    <row r="41" hidden="1" s="11">
      <c r="B41" s="56" t="n">
        <v>35</v>
      </c>
      <c r="C41" s="56">
        <f>TEXT(COUNTIF($D$7:D41, D41), "00000") &amp; "-" &amp; VLOOKUP(D41, $J$7:$K$19, 2, FALSE)</f>
        <v/>
      </c>
      <c r="D41" s="56" t="inlineStr">
        <is>
          <t>FERRETERIA</t>
        </is>
      </c>
      <c r="E41" s="56" t="inlineStr">
        <is>
          <t>RUEDA NYLON 4X2 FIJA FERK</t>
        </is>
      </c>
    </row>
    <row r="42" hidden="1" s="11">
      <c r="B42" s="56" t="n">
        <v>36</v>
      </c>
      <c r="C42" s="56">
        <f>TEXT(COUNTIF($D$7:D42, D42), "00000") &amp; "-" &amp; VLOOKUP(D42, $J$7:$K$19, 2, FALSE)</f>
        <v/>
      </c>
      <c r="D42" s="56" t="inlineStr">
        <is>
          <t>FERRETERIA</t>
        </is>
      </c>
      <c r="E42" s="56" t="inlineStr">
        <is>
          <t>RUEDA CARRO SUPERMERCADO 5" FIJA</t>
        </is>
      </c>
    </row>
    <row r="43" hidden="1" s="11">
      <c r="B43" s="56" t="n">
        <v>37</v>
      </c>
      <c r="C43" s="56">
        <f>TEXT(COUNTIF($D$7:D43, D43), "00000") &amp; "-" &amp; VLOOKUP(D43, $J$7:$K$19, 2, FALSE)</f>
        <v/>
      </c>
      <c r="D43" s="56" t="inlineStr">
        <is>
          <t>FERRETERIA</t>
        </is>
      </c>
      <c r="E43" s="56" t="inlineStr">
        <is>
          <t>RUEDA 1 1/2" N/N GIRATORIA</t>
        </is>
      </c>
    </row>
    <row r="44" hidden="1" s="11">
      <c r="B44" s="56" t="n">
        <v>38</v>
      </c>
      <c r="C44" s="56">
        <f>TEXT(COUNTIF($D$7:D44, D44), "00000") &amp; "-" &amp; VLOOKUP(D44, $J$7:$K$19, 2, FALSE)</f>
        <v/>
      </c>
      <c r="D44" s="56" t="inlineStr">
        <is>
          <t>OFICINA</t>
        </is>
      </c>
      <c r="E44" s="56" t="inlineStr">
        <is>
          <t>ROLLO PAPEL CONTAC NEGRO</t>
        </is>
      </c>
    </row>
    <row r="45" hidden="1" s="11">
      <c r="B45" s="56" t="n">
        <v>39</v>
      </c>
      <c r="C45" s="56">
        <f>TEXT(COUNTIF($D$7:D45, D45), "00000") &amp; "-" &amp; VLOOKUP(D45, $J$7:$K$19, 2, FALSE)</f>
        <v/>
      </c>
      <c r="D45" s="56" t="inlineStr">
        <is>
          <t>ELECTRONICO</t>
        </is>
      </c>
      <c r="E45" s="56" t="inlineStr">
        <is>
          <t>ROKU MXQ PRO 4K</t>
        </is>
      </c>
    </row>
    <row r="46" hidden="1" s="11">
      <c r="B46" s="56" t="n">
        <v>40</v>
      </c>
      <c r="C46" s="56">
        <f>TEXT(COUNTIF($D$7:D46, D46), "00000") &amp; "-" &amp; VLOOKUP(D46, $J$7:$K$19, 2, FALSE)</f>
        <v/>
      </c>
      <c r="D46" s="56" t="inlineStr">
        <is>
          <t>FERRETERIA</t>
        </is>
      </c>
      <c r="E46" s="56" t="inlineStr">
        <is>
          <t>RODILLO PARA TRASPALETA 80 X 70</t>
        </is>
      </c>
    </row>
    <row r="47" hidden="1" s="11">
      <c r="B47" s="56" t="n">
        <v>41</v>
      </c>
      <c r="C47" s="56">
        <f>TEXT(COUNTIF($D$7:D47, D47), "00000") &amp; "-" &amp; VLOOKUP(D47, $J$7:$K$19, 2, FALSE)</f>
        <v/>
      </c>
      <c r="D47" s="56" t="inlineStr">
        <is>
          <t>FERRETERIA</t>
        </is>
      </c>
      <c r="E47" s="56" t="inlineStr">
        <is>
          <t>RODAMIENTO 6306 2RS1/C3</t>
        </is>
      </c>
    </row>
    <row r="48" hidden="1" s="11">
      <c r="B48" s="56" t="n">
        <v>42</v>
      </c>
      <c r="C48" s="56">
        <f>TEXT(COUNTIF($D$7:D48, D48), "00000") &amp; "-" &amp; VLOOKUP(D48, $J$7:$K$19, 2, FALSE)</f>
        <v/>
      </c>
      <c r="D48" s="56" t="inlineStr">
        <is>
          <t>FERRETERIA</t>
        </is>
      </c>
      <c r="E48" s="56" t="inlineStr">
        <is>
          <t>RODAMIENTO 6300 2RS</t>
        </is>
      </c>
    </row>
    <row r="49" hidden="1" s="11">
      <c r="B49" s="56" t="n">
        <v>43</v>
      </c>
      <c r="C49" s="56">
        <f>TEXT(COUNTIF($D$7:D49, D49), "00000") &amp; "-" &amp; VLOOKUP(D49, $J$7:$K$19, 2, FALSE)</f>
        <v/>
      </c>
      <c r="D49" s="56" t="inlineStr">
        <is>
          <t>FERRETERIA</t>
        </is>
      </c>
      <c r="E49" s="56" t="inlineStr">
        <is>
          <t>RODAMIENTO 6206 2RS1/C3</t>
        </is>
      </c>
    </row>
    <row r="50" hidden="1" s="11">
      <c r="B50" s="56" t="n">
        <v>44</v>
      </c>
      <c r="C50" s="56">
        <f>TEXT(COUNTIF($D$7:D50, D50), "00000") &amp; "-" &amp; VLOOKUP(D50, $J$7:$K$19, 2, FALSE)</f>
        <v/>
      </c>
      <c r="D50" s="56" t="inlineStr">
        <is>
          <t>FERRETERIA</t>
        </is>
      </c>
      <c r="E50" s="56" t="inlineStr">
        <is>
          <t>RODAMIENTO 6204 2RS/C3</t>
        </is>
      </c>
    </row>
    <row r="51" hidden="1" s="11">
      <c r="B51" s="56" t="n">
        <v>45</v>
      </c>
      <c r="C51" s="56">
        <f>TEXT(COUNTIF($D$7:D51, D51), "00000") &amp; "-" &amp; VLOOKUP(D51, $J$7:$K$19, 2, FALSE)</f>
        <v/>
      </c>
      <c r="D51" s="56" t="inlineStr">
        <is>
          <t>FERRETERIA</t>
        </is>
      </c>
      <c r="E51" s="56" t="inlineStr">
        <is>
          <t>RODAMIENTO 6200 2RS</t>
        </is>
      </c>
    </row>
    <row r="52" hidden="1" s="11">
      <c r="B52" s="56" t="n">
        <v>46</v>
      </c>
      <c r="C52" s="56">
        <f>TEXT(COUNTIF($D$7:D52, D52), "00000") &amp; "-" &amp; VLOOKUP(D52, $J$7:$K$19, 2, FALSE)</f>
        <v/>
      </c>
      <c r="D52" s="56" t="inlineStr">
        <is>
          <t>OFICINA</t>
        </is>
      </c>
      <c r="E52" s="56" t="inlineStr">
        <is>
          <t>RESMA DE HOJA BLANCA T/ OFICIO</t>
        </is>
      </c>
    </row>
    <row r="53" hidden="1" s="11">
      <c r="B53" s="56" t="n">
        <v>47</v>
      </c>
      <c r="C53" s="56">
        <f>TEXT(COUNTIF($D$7:D53, D53), "00000") &amp; "-" &amp; VLOOKUP(D53, $J$7:$K$19, 2, FALSE)</f>
        <v/>
      </c>
      <c r="D53" s="56" t="inlineStr">
        <is>
          <t>OFICINA</t>
        </is>
      </c>
      <c r="E53" s="56" t="inlineStr">
        <is>
          <t>RESMA DE HOJA BLANCA T/ CARTA</t>
        </is>
      </c>
    </row>
    <row r="54" hidden="1" s="11">
      <c r="B54" s="56" t="n">
        <v>48</v>
      </c>
      <c r="C54" s="56">
        <f>TEXT(COUNTIF($D$7:D54, D54), "00000") &amp; "-" &amp; VLOOKUP(D54, $J$7:$K$19, 2, FALSE)</f>
        <v/>
      </c>
      <c r="D54" s="56" t="inlineStr">
        <is>
          <t>OFICINA</t>
        </is>
      </c>
      <c r="E54" s="56" t="inlineStr">
        <is>
          <t>RESALTADOR NARANJA</t>
        </is>
      </c>
    </row>
    <row r="55" hidden="1" s="11">
      <c r="B55" s="56" t="n">
        <v>49</v>
      </c>
      <c r="C55" s="56">
        <f>TEXT(COUNTIF($D$7:D55, D55), "00000") &amp; "-" &amp; VLOOKUP(D55, $J$7:$K$19, 2, FALSE)</f>
        <v/>
      </c>
      <c r="D55" s="56" t="inlineStr">
        <is>
          <t>OFICINA</t>
        </is>
      </c>
      <c r="E55" s="56" t="inlineStr">
        <is>
          <t>RESALTADOR FUCSIA</t>
        </is>
      </c>
    </row>
    <row r="56" hidden="1" s="11">
      <c r="B56" s="56" t="n">
        <v>50</v>
      </c>
      <c r="C56" s="56">
        <f>TEXT(COUNTIF($D$7:D56, D56), "00000") &amp; "-" &amp; VLOOKUP(D56, $J$7:$K$19, 2, FALSE)</f>
        <v/>
      </c>
      <c r="D56" s="56" t="inlineStr">
        <is>
          <t>OFICINA</t>
        </is>
      </c>
      <c r="E56" s="56" t="inlineStr">
        <is>
          <t>RESALTADOR AMARILLO</t>
        </is>
      </c>
    </row>
    <row r="57" hidden="1" s="11">
      <c r="B57" s="56" t="n">
        <v>51</v>
      </c>
      <c r="C57" s="56">
        <f>TEXT(COUNTIF($D$7:D57, D57), "00000") &amp; "-" &amp; VLOOKUP(D57, $J$7:$K$19, 2, FALSE)</f>
        <v/>
      </c>
      <c r="D57" s="56" t="inlineStr">
        <is>
          <t>HERRAMIENTA</t>
        </is>
      </c>
      <c r="E57" s="56" t="inlineStr">
        <is>
          <t>REMACHADORA</t>
        </is>
      </c>
    </row>
    <row r="58" hidden="1" s="11">
      <c r="B58" s="56" t="n">
        <v>52</v>
      </c>
      <c r="C58" s="56">
        <f>TEXT(COUNTIF($D$7:D58, D58), "00000") &amp; "-" &amp; VLOOKUP(D58, $J$7:$K$19, 2, FALSE)</f>
        <v/>
      </c>
      <c r="D58" s="56" t="inlineStr">
        <is>
          <t>REFRIGERACION</t>
        </is>
      </c>
      <c r="E58" s="56" t="inlineStr">
        <is>
          <t>TEMPORIZADOR DE DESCONGELACION UNIV. GRADUABLE</t>
        </is>
      </c>
    </row>
    <row r="59" hidden="1" s="11">
      <c r="B59" s="56" t="n">
        <v>53</v>
      </c>
      <c r="C59" s="56">
        <f>TEXT(COUNTIF($D$7:D59, D59), "00000") &amp; "-" &amp; VLOOKUP(D59, $J$7:$K$19, 2, FALSE)</f>
        <v/>
      </c>
      <c r="D59" s="56" t="inlineStr">
        <is>
          <t>REFRIGERACION</t>
        </is>
      </c>
      <c r="E59" s="56" t="inlineStr">
        <is>
          <t>RELAY NEV. ELECTRO 4 PATAS</t>
        </is>
      </c>
    </row>
    <row r="60" hidden="1" s="11">
      <c r="B60" s="56" t="n">
        <v>54</v>
      </c>
      <c r="C60" s="56">
        <f>TEXT(COUNTIF($D$7:D60, D60), "00000") &amp; "-" &amp; VLOOKUP(D60, $J$7:$K$19, 2, FALSE)</f>
        <v/>
      </c>
      <c r="D60" s="56" t="inlineStr">
        <is>
          <t>REFRIGERACION</t>
        </is>
      </c>
      <c r="E60" s="56" t="inlineStr">
        <is>
          <t>RELAY FAN 24V 4 TERM RF-90360</t>
        </is>
      </c>
    </row>
    <row r="61" hidden="1" s="11">
      <c r="B61" s="56" t="n">
        <v>55</v>
      </c>
      <c r="C61" s="56">
        <f>TEXT(COUNTIF($D$7:D61, D61), "00000") &amp; "-" &amp; VLOOKUP(D61, $J$7:$K$19, 2, FALSE)</f>
        <v/>
      </c>
      <c r="D61" s="56" t="inlineStr">
        <is>
          <t>ELECTRONICO</t>
        </is>
      </c>
      <c r="E61" s="56" t="inlineStr">
        <is>
          <t>REGULADOR DE VOLTAJE CDP</t>
        </is>
      </c>
    </row>
    <row r="62" hidden="1" s="11">
      <c r="B62" s="56" t="n">
        <v>56</v>
      </c>
      <c r="C62" s="56">
        <f>TEXT(COUNTIF($D$7:D62, D62), "00000") &amp; "-" &amp; VLOOKUP(D62, $J$7:$K$19, 2, FALSE)</f>
        <v/>
      </c>
      <c r="D62" s="56" t="inlineStr">
        <is>
          <t>HERRAMIENTA</t>
        </is>
      </c>
      <c r="E62" s="56" t="inlineStr">
        <is>
          <t>REGULADOR DE NITROGENO</t>
        </is>
      </c>
    </row>
    <row r="63" hidden="1" s="11">
      <c r="B63" s="56" t="n">
        <v>57</v>
      </c>
      <c r="C63" s="56">
        <f>TEXT(COUNTIF($D$7:D63, D63), "00000") &amp; "-" &amp; VLOOKUP(D63, $J$7:$K$19, 2, FALSE)</f>
        <v/>
      </c>
      <c r="D63" s="56" t="inlineStr">
        <is>
          <t>ELECTRONICO</t>
        </is>
      </c>
      <c r="E63" s="56" t="inlineStr">
        <is>
          <t>REGLETA ELECTRICA 6 TOMA TROEN</t>
        </is>
      </c>
    </row>
    <row r="64" hidden="1" s="11">
      <c r="B64" s="56" t="n">
        <v>58</v>
      </c>
      <c r="C64" s="56">
        <f>TEXT(COUNTIF($D$7:D64, D64), "00000") &amp; "-" &amp; VLOOKUP(D64, $J$7:$K$19, 2, FALSE)</f>
        <v/>
      </c>
      <c r="D64" s="56" t="inlineStr">
        <is>
          <t>ELECTRONICO</t>
        </is>
      </c>
      <c r="E64" s="56" t="inlineStr">
        <is>
          <t>REGLETA ELECTRICA 10 TOMA TROEN</t>
        </is>
      </c>
    </row>
    <row r="65" hidden="1" s="11">
      <c r="B65" s="56" t="n">
        <v>59</v>
      </c>
      <c r="C65" s="56">
        <f>TEXT(COUNTIF($D$7:D65, D65), "00000") &amp; "-" &amp; VLOOKUP(D65, $J$7:$K$19, 2, FALSE)</f>
        <v/>
      </c>
      <c r="D65" s="56" t="inlineStr">
        <is>
          <t>ILUMINACION</t>
        </is>
      </c>
      <c r="E65" s="56" t="inlineStr">
        <is>
          <t>REFLECTOR LED COLORES 100W</t>
        </is>
      </c>
    </row>
    <row r="66" hidden="1" s="11">
      <c r="B66" s="56" t="n">
        <v>60</v>
      </c>
      <c r="C66" s="56">
        <f>TEXT(COUNTIF($D$7:D66, D66), "00000") &amp; "-" &amp; VLOOKUP(D66, $J$7:$K$19, 2, FALSE)</f>
        <v/>
      </c>
      <c r="D66" s="56" t="inlineStr">
        <is>
          <t>ILUMINACION</t>
        </is>
      </c>
      <c r="E66" s="56" t="inlineStr">
        <is>
          <t>REFLECTOR LED 50W</t>
        </is>
      </c>
    </row>
    <row r="67" hidden="1" s="11">
      <c r="B67" s="56" t="n">
        <v>61</v>
      </c>
      <c r="C67" s="56">
        <f>TEXT(COUNTIF($D$7:D67, D67), "00000") &amp; "-" &amp; VLOOKUP(D67, $J$7:$K$19, 2, FALSE)</f>
        <v/>
      </c>
      <c r="D67" s="56" t="inlineStr">
        <is>
          <t>FERRETERIA</t>
        </is>
      </c>
      <c r="E67" s="56" t="inlineStr">
        <is>
          <t>RODAMIENTO 620 IRS</t>
        </is>
      </c>
    </row>
    <row r="68" hidden="1" s="11">
      <c r="B68" s="56" t="n">
        <v>62</v>
      </c>
      <c r="C68" s="56">
        <f>TEXT(COUNTIF($D$7:D68, D68), "00000") &amp; "-" &amp; VLOOKUP(D68, $J$7:$K$19, 2, FALSE)</f>
        <v/>
      </c>
      <c r="D68" s="56" t="inlineStr">
        <is>
          <t>ELECTRONICO</t>
        </is>
      </c>
      <c r="E68" s="56" t="inlineStr">
        <is>
          <t>RADIO PORTATIL GREAVAL</t>
        </is>
      </c>
    </row>
    <row r="69" hidden="1" s="11">
      <c r="B69" s="56" t="n">
        <v>63</v>
      </c>
      <c r="C69" s="56">
        <f>TEXT(COUNTIF($D$7:D69, D69), "00000") &amp; "-" &amp; VLOOKUP(D69, $J$7:$K$19, 2, FALSE)</f>
        <v/>
      </c>
      <c r="D69" s="56" t="inlineStr">
        <is>
          <t>ELECTRONICO</t>
        </is>
      </c>
      <c r="E69" s="56" t="inlineStr">
        <is>
          <t>RADIO PORTATIL BAOFENG</t>
        </is>
      </c>
    </row>
    <row r="70" hidden="1" s="11">
      <c r="B70" s="56" t="n">
        <v>64</v>
      </c>
      <c r="C70" s="56">
        <f>TEXT(COUNTIF($D$7:D70, D70), "00000") &amp; "-" &amp; VLOOKUP(D70, $J$7:$K$19, 2, FALSE)</f>
        <v/>
      </c>
      <c r="D70" s="56" t="inlineStr">
        <is>
          <t>MISCELANEOS</t>
        </is>
      </c>
      <c r="E70" s="56" t="inlineStr">
        <is>
          <t>QUEMADOR DE REVERBERO DIMAINCA</t>
        </is>
      </c>
    </row>
    <row r="71" hidden="1" s="11">
      <c r="B71" s="56" t="n">
        <v>65</v>
      </c>
      <c r="C71" s="56">
        <f>TEXT(COUNTIF($D$7:D71, D71), "00000") &amp; "-" &amp; VLOOKUP(D71, $J$7:$K$19, 2, FALSE)</f>
        <v/>
      </c>
      <c r="D71" s="56" t="inlineStr">
        <is>
          <t>HERRAMIENTA</t>
        </is>
      </c>
      <c r="E71" s="56" t="inlineStr">
        <is>
          <t>PUNZON EXPANZOR DE CAÑO REFRIGERACION</t>
        </is>
      </c>
    </row>
    <row r="72" hidden="1" s="11">
      <c r="B72" s="56" t="n">
        <v>66</v>
      </c>
      <c r="C72" s="56">
        <f>TEXT(COUNTIF($D$7:D72, D72), "00000") &amp; "-" &amp; VLOOKUP(D72, $J$7:$K$19, 2, FALSE)</f>
        <v/>
      </c>
      <c r="D72" s="56" t="inlineStr">
        <is>
          <t>ILUMINACION</t>
        </is>
      </c>
      <c r="E72" s="56" t="inlineStr">
        <is>
          <t>PROYECTOR DE JARDIN DE JARDIN MHAZOZE</t>
        </is>
      </c>
    </row>
    <row r="73" hidden="1" s="11">
      <c r="B73" s="56" t="n">
        <v>67</v>
      </c>
      <c r="C73" s="56">
        <f>TEXT(COUNTIF($D$7:D73, D73), "00000") &amp; "-" &amp; VLOOKUP(D73, $J$7:$K$19, 2, FALSE)</f>
        <v/>
      </c>
      <c r="D73" s="56" t="inlineStr">
        <is>
          <t>ELECTRICIDAD</t>
        </is>
      </c>
      <c r="E73" s="56" t="inlineStr">
        <is>
          <t>PROTECTOR NEVERA EXCELINE GSM-N120</t>
        </is>
      </c>
    </row>
    <row r="74" hidden="1" s="11">
      <c r="B74" s="56" t="n">
        <v>68</v>
      </c>
      <c r="C74" s="56">
        <f>TEXT(COUNTIF($D$7:D74, D74), "00000") &amp; "-" &amp; VLOOKUP(D74, $J$7:$K$19, 2, FALSE)</f>
        <v/>
      </c>
      <c r="D74" s="56" t="inlineStr">
        <is>
          <t>ELECTRICIDAD</t>
        </is>
      </c>
      <c r="E74" s="56" t="inlineStr">
        <is>
          <t>PROTECTOR MICROONDAS 110V EXCELINE</t>
        </is>
      </c>
    </row>
    <row r="75" hidden="1" s="11">
      <c r="B75" s="56" t="n">
        <v>69</v>
      </c>
      <c r="C75" s="56">
        <f>TEXT(COUNTIF($D$7:D75, D75), "00000") &amp; "-" &amp; VLOOKUP(D75, $J$7:$K$19, 2, FALSE)</f>
        <v/>
      </c>
      <c r="D75" s="56" t="inlineStr">
        <is>
          <t>ELECTRICIDAD</t>
        </is>
      </c>
      <c r="E75" s="56" t="inlineStr">
        <is>
          <t>PROTECTOR DE CORRIENTE PEQ</t>
        </is>
      </c>
    </row>
    <row r="76" hidden="1" s="11">
      <c r="B76" s="56" t="n">
        <v>70</v>
      </c>
      <c r="C76" s="56">
        <f>TEXT(COUNTIF($D$7:D76, D76), "00000") &amp; "-" &amp; VLOOKUP(D76, $J$7:$K$19, 2, FALSE)</f>
        <v/>
      </c>
      <c r="D76" s="56" t="inlineStr">
        <is>
          <t>ELECTRICIDAD</t>
        </is>
      </c>
      <c r="E76" s="56" t="inlineStr">
        <is>
          <t>PROTECTOR DE CIRCUITO DE MOTOR 3 POLOS</t>
        </is>
      </c>
    </row>
    <row r="77" hidden="1" s="11">
      <c r="B77" s="56" t="n">
        <v>71</v>
      </c>
      <c r="C77" s="56">
        <f>TEXT(COUNTIF($D$7:D77, D77), "00000") &amp; "-" &amp; VLOOKUP(D77, $J$7:$K$19, 2, FALSE)</f>
        <v/>
      </c>
      <c r="D77" s="56" t="inlineStr">
        <is>
          <t>ELECTRICIDAD</t>
        </is>
      </c>
      <c r="E77" s="56" t="inlineStr">
        <is>
          <t>PROTECTOR A/A EXCELINE 220V CAB/CAB</t>
        </is>
      </c>
    </row>
    <row r="78" hidden="1" s="11">
      <c r="B78" s="56" t="n">
        <v>72</v>
      </c>
      <c r="C78" s="56">
        <f>TEXT(COUNTIF($D$7:D78, D78), "00000") &amp; "-" &amp; VLOOKUP(D78, $J$7:$K$19, 2, FALSE)</f>
        <v/>
      </c>
      <c r="D78" s="56" t="inlineStr">
        <is>
          <t>ELECTRICIDAD</t>
        </is>
      </c>
      <c r="E78" s="56" t="inlineStr">
        <is>
          <t>PROTECTOR A/A EXCELINE 220V</t>
        </is>
      </c>
    </row>
    <row r="79" hidden="1" s="11">
      <c r="B79" s="56" t="n">
        <v>73</v>
      </c>
      <c r="C79" s="56">
        <f>TEXT(COUNTIF($D$7:D79, D79), "00000") &amp; "-" &amp; VLOOKUP(D79, $J$7:$K$19, 2, FALSE)</f>
        <v/>
      </c>
      <c r="D79" s="56" t="inlineStr">
        <is>
          <t>MISCELANEOS</t>
        </is>
      </c>
      <c r="E79" s="56" t="inlineStr">
        <is>
          <t>PRECINTADORA MANUAL EXCELL</t>
        </is>
      </c>
    </row>
    <row r="80" hidden="1" s="11">
      <c r="B80" s="56" t="n">
        <v>74</v>
      </c>
      <c r="C80" s="56">
        <f>TEXT(COUNTIF($D$7:D80, D80), "00000") &amp; "-" &amp; VLOOKUP(D80, $J$7:$K$19, 2, FALSE)</f>
        <v/>
      </c>
      <c r="D80" s="56" t="inlineStr">
        <is>
          <t>MISCELANEOS</t>
        </is>
      </c>
      <c r="E80" s="56" t="inlineStr">
        <is>
          <t>PORTA PRECIO ADHESIVO</t>
        </is>
      </c>
    </row>
    <row r="81" hidden="1" s="11">
      <c r="B81" s="56" t="n">
        <v>75</v>
      </c>
      <c r="C81" s="56">
        <f>TEXT(COUNTIF($D$7:D81, D81), "00000") &amp; "-" &amp; VLOOKUP(D81, $J$7:$K$19, 2, FALSE)</f>
        <v/>
      </c>
      <c r="D81" s="56" t="inlineStr">
        <is>
          <t>MISCELANEOS</t>
        </is>
      </c>
      <c r="E81" s="56" t="inlineStr">
        <is>
          <t>PLASTIMESA TRANSPARENTE 0,15 MM X METRO</t>
        </is>
      </c>
    </row>
    <row r="82" hidden="1" s="11">
      <c r="B82" s="56" t="n">
        <v>76</v>
      </c>
      <c r="C82" s="56">
        <f>TEXT(COUNTIF($D$7:D82, D82), "00000") &amp; "-" &amp; VLOOKUP(D82, $J$7:$K$19, 2, FALSE)</f>
        <v/>
      </c>
      <c r="D82" s="56" t="inlineStr">
        <is>
          <t>HERRAMIENTA</t>
        </is>
      </c>
      <c r="E82" s="56" t="inlineStr">
        <is>
          <t>PIQUETA DE HERRERIA</t>
        </is>
      </c>
    </row>
    <row r="83" hidden="1" s="11">
      <c r="B83" s="56" t="n">
        <v>77</v>
      </c>
      <c r="C83" s="56">
        <f>TEXT(COUNTIF($D$7:D83, D83), "00000") &amp; "-" &amp; VLOOKUP(D83, $J$7:$K$19, 2, FALSE)</f>
        <v/>
      </c>
      <c r="D83" s="56" t="inlineStr">
        <is>
          <t>HERRAMIENTA</t>
        </is>
      </c>
      <c r="E83" s="56" t="inlineStr">
        <is>
          <t>PINZA DE ELECTRICISTA</t>
        </is>
      </c>
    </row>
    <row r="84" hidden="1" s="11">
      <c r="B84" s="56" t="n">
        <v>78</v>
      </c>
      <c r="C84" s="56">
        <f>TEXT(COUNTIF($D$7:D84, D84), "00000") &amp; "-" &amp; VLOOKUP(D84, $J$7:$K$19, 2, FALSE)</f>
        <v/>
      </c>
      <c r="D84" s="56" t="inlineStr">
        <is>
          <t>OFICINA</t>
        </is>
      </c>
      <c r="E84" s="56" t="inlineStr">
        <is>
          <t>PINTURA AL FRIO</t>
        </is>
      </c>
    </row>
    <row r="85" hidden="1" s="11">
      <c r="B85" s="56" t="n">
        <v>79</v>
      </c>
      <c r="C85" s="56">
        <f>TEXT(COUNTIF($D$7:D85, D85), "00000") &amp; "-" &amp; VLOOKUP(D85, $J$7:$K$19, 2, FALSE)</f>
        <v/>
      </c>
      <c r="D85" s="56" t="inlineStr">
        <is>
          <t>FERRETERIA</t>
        </is>
      </c>
      <c r="E85" s="56" t="inlineStr">
        <is>
          <t>RAMPLUS AZUL</t>
        </is>
      </c>
    </row>
    <row r="86" hidden="1" s="11">
      <c r="B86" s="56" t="n">
        <v>80</v>
      </c>
      <c r="C86" s="56">
        <f>TEXT(COUNTIF($D$7:D86, D86), "00000") &amp; "-" &amp; VLOOKUP(D86, $J$7:$K$19, 2, FALSE)</f>
        <v/>
      </c>
      <c r="D86" s="56" t="inlineStr">
        <is>
          <t>ILUMINACION</t>
        </is>
      </c>
      <c r="E86" s="56" t="inlineStr">
        <is>
          <t>PANEL LED REDONDO EMPOTRABLE 36W</t>
        </is>
      </c>
    </row>
    <row r="87" hidden="1" s="11">
      <c r="B87" s="56" t="n">
        <v>81</v>
      </c>
      <c r="C87" s="56">
        <f>TEXT(COUNTIF($D$7:D87, D87), "00000") &amp; "-" &amp; VLOOKUP(D87, $J$7:$K$19, 2, FALSE)</f>
        <v/>
      </c>
      <c r="D87" s="56" t="inlineStr">
        <is>
          <t>ILUMINACION</t>
        </is>
      </c>
      <c r="E87" s="56" t="inlineStr">
        <is>
          <t>PANEL LED REDONDO EMPOTRABLE 24W</t>
        </is>
      </c>
    </row>
    <row r="88" hidden="1" s="11">
      <c r="B88" s="56" t="n">
        <v>82</v>
      </c>
      <c r="C88" s="56">
        <f>TEXT(COUNTIF($D$7:D88, D88), "00000") &amp; "-" &amp; VLOOKUP(D88, $J$7:$K$19, 2, FALSE)</f>
        <v/>
      </c>
      <c r="D88" s="56" t="inlineStr">
        <is>
          <t>ILUMINACION</t>
        </is>
      </c>
      <c r="E88" s="56" t="inlineStr">
        <is>
          <t>PANEL LED REDONDO EMPOTRABLE 18W</t>
        </is>
      </c>
    </row>
    <row r="89" hidden="1" s="11">
      <c r="B89" s="56" t="n">
        <v>83</v>
      </c>
      <c r="C89" s="56">
        <f>TEXT(COUNTIF($D$7:D89, D89), "00000") &amp; "-" &amp; VLOOKUP(D89, $J$7:$K$19, 2, FALSE)</f>
        <v/>
      </c>
      <c r="D89" s="56" t="inlineStr">
        <is>
          <t>ILUMINACION</t>
        </is>
      </c>
      <c r="E89" s="56" t="inlineStr">
        <is>
          <t>PANEL LED CUADRADO SUPERFICIAL 36W</t>
        </is>
      </c>
    </row>
    <row r="90" hidden="1" s="11">
      <c r="B90" s="56" t="n">
        <v>84</v>
      </c>
      <c r="C90" s="56">
        <f>TEXT(COUNTIF($D$7:D90, D90), "00000") &amp; "-" &amp; VLOOKUP(D90, $J$7:$K$19, 2, FALSE)</f>
        <v/>
      </c>
      <c r="D90" s="56" t="inlineStr">
        <is>
          <t>ILUMINACION</t>
        </is>
      </c>
      <c r="E90" s="56" t="inlineStr">
        <is>
          <t>PANEL LED CUADRADO SUPERFICIAL 24W</t>
        </is>
      </c>
    </row>
    <row r="91" hidden="1" s="11">
      <c r="B91" s="56" t="n">
        <v>85</v>
      </c>
      <c r="C91" s="56">
        <f>TEXT(COUNTIF($D$7:D91, D91), "00000") &amp; "-" &amp; VLOOKUP(D91, $J$7:$K$19, 2, FALSE)</f>
        <v/>
      </c>
      <c r="D91" s="56" t="inlineStr">
        <is>
          <t>HERRAMIENTA</t>
        </is>
      </c>
      <c r="E91" s="56" t="inlineStr">
        <is>
          <t>PALUSTRA LISA</t>
        </is>
      </c>
    </row>
    <row r="92" hidden="1" s="11">
      <c r="B92" s="56" t="n">
        <v>86</v>
      </c>
      <c r="C92" s="56">
        <f>TEXT(COUNTIF($D$7:D92, D92), "00000") &amp; "-" &amp; VLOOKUP(D92, $J$7:$K$19, 2, FALSE)</f>
        <v/>
      </c>
      <c r="D92" s="56" t="inlineStr">
        <is>
          <t>HERRAMIENTA</t>
        </is>
      </c>
      <c r="E92" s="56" t="inlineStr">
        <is>
          <t>PALUSTRA DENTADA</t>
        </is>
      </c>
    </row>
    <row r="93" hidden="1" s="11">
      <c r="B93" s="56" t="n">
        <v>87</v>
      </c>
      <c r="C93" s="56">
        <f>TEXT(COUNTIF($D$7:D93, D93), "00000") &amp; "-" &amp; VLOOKUP(D93, $J$7:$K$19, 2, FALSE)</f>
        <v/>
      </c>
      <c r="D93" s="56" t="inlineStr">
        <is>
          <t>MISCELANEOS</t>
        </is>
      </c>
      <c r="E93" s="56" t="inlineStr">
        <is>
          <t>PALA PEQ PLASTICO USO DOMESTICO</t>
        </is>
      </c>
    </row>
    <row r="94" hidden="1" s="11">
      <c r="B94" s="56" t="n">
        <v>88</v>
      </c>
      <c r="C94" s="56">
        <f>TEXT(COUNTIF($D$7:D94, D94), "00000") &amp; "-" &amp; VLOOKUP(D94, $J$7:$K$19, 2, FALSE)</f>
        <v/>
      </c>
      <c r="D94" s="56" t="inlineStr">
        <is>
          <t>HERRAMIENTA</t>
        </is>
      </c>
      <c r="E94" s="56" t="inlineStr">
        <is>
          <t>PICO P/ SOLDAR</t>
        </is>
      </c>
    </row>
    <row r="95" hidden="1" s="11">
      <c r="B95" s="56" t="n">
        <v>89</v>
      </c>
      <c r="C95" s="56">
        <f>TEXT(COUNTIF($D$7:D95, D95), "00000") &amp; "-" &amp; VLOOKUP(D95, $J$7:$K$19, 2, FALSE)</f>
        <v/>
      </c>
      <c r="D95" s="56" t="inlineStr">
        <is>
          <t>ELECTRONICO</t>
        </is>
      </c>
      <c r="E95" s="56" t="inlineStr">
        <is>
          <t>MONITOR DE CONT. BILLETE</t>
        </is>
      </c>
    </row>
    <row r="96" hidden="1" s="11">
      <c r="B96" s="56" t="n">
        <v>90</v>
      </c>
      <c r="C96" s="56">
        <f>TEXT(COUNTIF($D$7:D96, D96), "00000") &amp; "-" &amp; VLOOKUP(D96, $J$7:$K$19, 2, FALSE)</f>
        <v/>
      </c>
      <c r="D96" s="56" t="inlineStr">
        <is>
          <t>ELECTRONICO</t>
        </is>
      </c>
      <c r="E96" s="56" t="inlineStr">
        <is>
          <t>MICROFONO INALAMBRICO</t>
        </is>
      </c>
    </row>
    <row r="97" hidden="1" s="11">
      <c r="B97" s="56" t="n">
        <v>91</v>
      </c>
      <c r="C97" s="56">
        <f>TEXT(COUNTIF($D$7:D97, D97), "00000") &amp; "-" &amp; VLOOKUP(D97, $J$7:$K$19, 2, FALSE)</f>
        <v/>
      </c>
      <c r="D97" s="56" t="inlineStr">
        <is>
          <t>ELECTRONICO</t>
        </is>
      </c>
      <c r="E97" s="56" t="inlineStr">
        <is>
          <t>MICROFONO CON CABLE</t>
        </is>
      </c>
    </row>
    <row r="98" hidden="1" s="11">
      <c r="B98" s="56" t="n">
        <v>92</v>
      </c>
      <c r="C98" s="56">
        <f>TEXT(COUNTIF($D$7:D98, D98), "00000") &amp; "-" &amp; VLOOKUP(D98, $J$7:$K$19, 2, FALSE)</f>
        <v/>
      </c>
      <c r="D98" s="56" t="inlineStr">
        <is>
          <t>HERRAMIENTA</t>
        </is>
      </c>
      <c r="E98" s="56" t="inlineStr">
        <is>
          <t>NAVAJA PICO LORO 8" EXXEL</t>
        </is>
      </c>
    </row>
    <row r="99" hidden="1" s="11">
      <c r="B99" s="56" t="n">
        <v>93</v>
      </c>
      <c r="C99" s="56">
        <f>TEXT(COUNTIF($D$7:D99, D99), "00000") &amp; "-" &amp; VLOOKUP(D99, $J$7:$K$19, 2, FALSE)</f>
        <v/>
      </c>
      <c r="D99" s="56" t="inlineStr">
        <is>
          <t>HERRAMIENTA</t>
        </is>
      </c>
      <c r="E99" s="56" t="inlineStr">
        <is>
          <t>MECHA DE METAL PEQ.</t>
        </is>
      </c>
    </row>
    <row r="100" hidden="1" s="11">
      <c r="B100" s="56" t="n">
        <v>94</v>
      </c>
      <c r="C100" s="56">
        <f>TEXT(COUNTIF($D$7:D100, D100), "00000") &amp; "-" &amp; VLOOKUP(D100, $J$7:$K$19, 2, FALSE)</f>
        <v/>
      </c>
      <c r="D100" s="56" t="inlineStr">
        <is>
          <t>FERRETERIA</t>
        </is>
      </c>
      <c r="E100" s="56" t="inlineStr">
        <is>
          <t>MECHA HSS KRAFT DIN 338 - 10</t>
        </is>
      </c>
    </row>
    <row r="101" hidden="1" s="11">
      <c r="B101" s="56" t="n">
        <v>95</v>
      </c>
      <c r="C101" s="56">
        <f>TEXT(COUNTIF($D$7:D101, D101), "00000") &amp; "-" &amp; VLOOKUP(D101, $J$7:$K$19, 2, FALSE)</f>
        <v/>
      </c>
      <c r="D101" s="56" t="inlineStr">
        <is>
          <t>OFICINA</t>
        </is>
      </c>
      <c r="E101" s="56" t="inlineStr">
        <is>
          <t>MARCADOR PIZARRA NEGRO</t>
        </is>
      </c>
    </row>
    <row r="102" hidden="1" s="11">
      <c r="B102" s="56" t="n">
        <v>96</v>
      </c>
      <c r="C102" s="56">
        <f>TEXT(COUNTIF($D$7:D102, D102), "00000") &amp; "-" &amp; VLOOKUP(D102, $J$7:$K$19, 2, FALSE)</f>
        <v/>
      </c>
      <c r="D102" s="56" t="inlineStr">
        <is>
          <t>OFICINA</t>
        </is>
      </c>
      <c r="E102" s="56" t="inlineStr">
        <is>
          <t>MARCADOR PIZARRA AZUL</t>
        </is>
      </c>
    </row>
    <row r="103" hidden="1" s="11">
      <c r="B103" s="56" t="n">
        <v>97</v>
      </c>
      <c r="C103" s="56">
        <f>TEXT(COUNTIF($D$7:D103, D103), "00000") &amp; "-" &amp; VLOOKUP(D103, $J$7:$K$19, 2, FALSE)</f>
        <v/>
      </c>
      <c r="D103" s="56" t="inlineStr">
        <is>
          <t>OFICINA</t>
        </is>
      </c>
      <c r="E103" s="56" t="inlineStr">
        <is>
          <t>MARCADOR AZUL PERMANENTE</t>
        </is>
      </c>
    </row>
    <row r="104" hidden="1" s="11">
      <c r="B104" s="56" t="n">
        <v>98</v>
      </c>
      <c r="C104" s="56">
        <f>TEXT(COUNTIF($D$7:D104, D104), "00000") &amp; "-" &amp; VLOOKUP(D104, $J$7:$K$19, 2, FALSE)</f>
        <v/>
      </c>
      <c r="D104" s="56" t="inlineStr">
        <is>
          <t>OFICINA</t>
        </is>
      </c>
      <c r="E104" s="56" t="inlineStr">
        <is>
          <t>MARACADOR NEGRO PERMANENTE</t>
        </is>
      </c>
    </row>
    <row r="105" hidden="1" s="11">
      <c r="B105" s="56" t="n">
        <v>99</v>
      </c>
      <c r="C105" s="56">
        <f>TEXT(COUNTIF($D$7:D105, D105), "00000") &amp; "-" &amp; VLOOKUP(D105, $J$7:$K$19, 2, FALSE)</f>
        <v/>
      </c>
      <c r="D105" s="56" t="inlineStr">
        <is>
          <t>HERRAMIENTA</t>
        </is>
      </c>
      <c r="E105" s="56" t="inlineStr">
        <is>
          <t>MANOMETRO CON MANGUERAS</t>
        </is>
      </c>
    </row>
    <row r="106" hidden="1" s="11">
      <c r="B106" s="56" t="n">
        <v>100</v>
      </c>
      <c r="C106" s="56">
        <f>TEXT(COUNTIF($D$7:D106, D106), "00000") &amp; "-" &amp; VLOOKUP(D106, $J$7:$K$19, 2, FALSE)</f>
        <v/>
      </c>
      <c r="D106" s="56" t="inlineStr">
        <is>
          <t>REFRIGERACION</t>
        </is>
      </c>
      <c r="E106" s="56" t="inlineStr">
        <is>
          <t>MANGUERA DESAGUE A/A 1/2" 2M</t>
        </is>
      </c>
    </row>
    <row r="107" hidden="1" s="11">
      <c r="B107" s="56" t="n">
        <v>101</v>
      </c>
      <c r="C107" s="56">
        <f>TEXT(COUNTIF($D$7:D107, D107), "00000") &amp; "-" &amp; VLOOKUP(D107, $J$7:$K$19, 2, FALSE)</f>
        <v/>
      </c>
      <c r="D107" s="56" t="inlineStr">
        <is>
          <t>HERRAMIENTA</t>
        </is>
      </c>
      <c r="E107" s="56" t="inlineStr">
        <is>
          <t>MANGUERA DE LIMPIEZA DE TUBERIA</t>
        </is>
      </c>
    </row>
    <row r="108" hidden="1" s="11">
      <c r="B108" s="56" t="n">
        <v>102</v>
      </c>
      <c r="C108" s="56">
        <f>TEXT(COUNTIF($D$7:D108, D108), "00000") &amp; "-" &amp; VLOOKUP(D108, $J$7:$K$19, 2, FALSE)</f>
        <v/>
      </c>
      <c r="D108" s="56" t="inlineStr">
        <is>
          <t>HERRAMIENTA</t>
        </is>
      </c>
      <c r="E108" s="56" t="inlineStr">
        <is>
          <t>MANGUERA DE ALTA PRESION ROJA</t>
        </is>
      </c>
    </row>
    <row r="109" hidden="1" s="11">
      <c r="B109" s="56" t="n">
        <v>103</v>
      </c>
      <c r="C109" s="56">
        <f>TEXT(COUNTIF($D$7:D109, D109), "00000") &amp; "-" &amp; VLOOKUP(D109, $J$7:$K$19, 2, FALSE)</f>
        <v/>
      </c>
      <c r="D109" s="56" t="inlineStr">
        <is>
          <t>HERRAMIENTA</t>
        </is>
      </c>
      <c r="E109" s="56" t="inlineStr">
        <is>
          <t>MANGUERA DE ALTA PRESION HIDRO JET</t>
        </is>
      </c>
    </row>
    <row r="110" hidden="1" s="11">
      <c r="B110" s="56" t="n">
        <v>104</v>
      </c>
      <c r="C110" s="56">
        <f>TEXT(COUNTIF($D$7:D110, D110), "00000") &amp; "-" &amp; VLOOKUP(D110, $J$7:$K$19, 2, FALSE)</f>
        <v/>
      </c>
      <c r="D110" s="56" t="inlineStr">
        <is>
          <t>HERRAMIENTA</t>
        </is>
      </c>
      <c r="E110" s="56" t="inlineStr">
        <is>
          <t>MANGO DE RODILLO SIN CAMISA</t>
        </is>
      </c>
    </row>
    <row r="111" hidden="1" s="11">
      <c r="B111" s="56" t="n">
        <v>105</v>
      </c>
      <c r="C111" s="56">
        <f>TEXT(COUNTIF($D$7:D111, D111), "00000") &amp; "-" &amp; VLOOKUP(D111, $J$7:$K$19, 2, FALSE)</f>
        <v/>
      </c>
      <c r="D111" s="56" t="inlineStr">
        <is>
          <t>HERRAMIENTA</t>
        </is>
      </c>
      <c r="E111" s="56" t="inlineStr">
        <is>
          <t>MANDARRIA DE GOMA</t>
        </is>
      </c>
    </row>
    <row r="112" hidden="1" s="11">
      <c r="B112" s="56" t="n">
        <v>106</v>
      </c>
      <c r="C112" s="56">
        <f>TEXT(COUNTIF($D$7:D112, D112), "00000") &amp; "-" &amp; VLOOKUP(D112, $J$7:$K$19, 2, FALSE)</f>
        <v/>
      </c>
      <c r="D112" s="56" t="inlineStr">
        <is>
          <t>HERRAMIENTA</t>
        </is>
      </c>
      <c r="E112" s="56" t="inlineStr">
        <is>
          <t>MARTILLO MANGO DE MADERA</t>
        </is>
      </c>
    </row>
    <row r="113" hidden="1" s="11">
      <c r="B113" s="56" t="n">
        <v>107</v>
      </c>
      <c r="C113" s="56">
        <f>TEXT(COUNTIF($D$7:D113, D113), "00000") &amp; "-" &amp; VLOOKUP(D113, $J$7:$K$19, 2, FALSE)</f>
        <v/>
      </c>
      <c r="D113" s="56" t="inlineStr">
        <is>
          <t>HERRAMIENTA</t>
        </is>
      </c>
      <c r="E113" s="56" t="inlineStr">
        <is>
          <t>LLAVE PARA TUERCA DE CAMIONES</t>
        </is>
      </c>
    </row>
    <row r="114" hidden="1" s="11">
      <c r="B114" s="56" t="n">
        <v>108</v>
      </c>
      <c r="C114" s="56">
        <f>TEXT(COUNTIF($D$7:D114, D114), "00000") &amp; "-" &amp; VLOOKUP(D114, $J$7:$K$19, 2, FALSE)</f>
        <v/>
      </c>
      <c r="D114" s="56" t="inlineStr">
        <is>
          <t>HERRAMIENTA</t>
        </is>
      </c>
      <c r="E114" s="56" t="inlineStr">
        <is>
          <t>LLAVE DE TUBO 14"</t>
        </is>
      </c>
    </row>
    <row r="115" hidden="1" s="11">
      <c r="B115" s="56" t="n">
        <v>109</v>
      </c>
      <c r="C115" s="56">
        <f>TEXT(COUNTIF($D$7:D115, D115), "00000") &amp; "-" &amp; VLOOKUP(D115, $J$7:$K$19, 2, FALSE)</f>
        <v/>
      </c>
      <c r="D115" s="56" t="inlineStr">
        <is>
          <t>HERRAMIENTA</t>
        </is>
      </c>
      <c r="E115" s="56" t="inlineStr">
        <is>
          <t>MANDARREA CON MANGO DE MADERA</t>
        </is>
      </c>
    </row>
    <row r="116" hidden="1" s="11">
      <c r="B116" s="56" t="n">
        <v>110</v>
      </c>
      <c r="C116" s="56">
        <f>TEXT(COUNTIF($D$7:D116, D116), "00000") &amp; "-" &amp; VLOOKUP(D116, $J$7:$K$19, 2, FALSE)</f>
        <v/>
      </c>
      <c r="D116" s="56" t="inlineStr">
        <is>
          <t>HERRAMIENTA</t>
        </is>
      </c>
      <c r="E116" s="56" t="inlineStr">
        <is>
          <t>LLAVE DE CARRACA DE DOBLE EXTREMO</t>
        </is>
      </c>
    </row>
    <row r="117" hidden="1" s="11">
      <c r="B117" s="56" t="n">
        <v>111</v>
      </c>
      <c r="C117" s="56">
        <f>TEXT(COUNTIF($D$7:D117, D117), "00000") &amp; "-" &amp; VLOOKUP(D117, $J$7:$K$19, 2, FALSE)</f>
        <v/>
      </c>
      <c r="D117" s="56" t="inlineStr">
        <is>
          <t>HERRAMIENTA</t>
        </is>
      </c>
      <c r="E117" s="56" t="inlineStr">
        <is>
          <t>LLAVE CORREA PARA FILTRO DE ACEITE</t>
        </is>
      </c>
    </row>
    <row r="118" hidden="1" s="11">
      <c r="B118" s="56" t="n">
        <v>112</v>
      </c>
      <c r="C118" s="56">
        <f>TEXT(COUNTIF($D$7:D118, D118), "00000") &amp; "-" &amp; VLOOKUP(D118, $J$7:$K$19, 2, FALSE)</f>
        <v/>
      </c>
      <c r="D118" s="56" t="inlineStr">
        <is>
          <t>HERRAMIENTA</t>
        </is>
      </c>
      <c r="E118" s="56" t="inlineStr">
        <is>
          <t>LLAVE ALLENS</t>
        </is>
      </c>
    </row>
    <row r="119" hidden="1" s="11">
      <c r="B119" s="56" t="n">
        <v>113</v>
      </c>
      <c r="C119" s="56">
        <f>TEXT(COUNTIF($D$7:D119, D119), "00000") &amp; "-" &amp; VLOOKUP(D119, $J$7:$K$19, 2, FALSE)</f>
        <v/>
      </c>
      <c r="D119" s="56" t="inlineStr">
        <is>
          <t>HERRAMIENTA</t>
        </is>
      </c>
      <c r="E119" s="56" t="inlineStr">
        <is>
          <t>LLAVE AJUSTABLE 8"</t>
        </is>
      </c>
    </row>
    <row r="120" hidden="1" s="11">
      <c r="B120" s="56" t="n">
        <v>114</v>
      </c>
      <c r="C120" s="56">
        <f>TEXT(COUNTIF($D$7:D120, D120), "00000") &amp; "-" &amp; VLOOKUP(D120, $J$7:$K$19, 2, FALSE)</f>
        <v/>
      </c>
      <c r="D120" s="56" t="inlineStr">
        <is>
          <t>HERRAMIENTA</t>
        </is>
      </c>
      <c r="E120" s="56" t="inlineStr">
        <is>
          <t>LLAVE AJUSTABLE 6"</t>
        </is>
      </c>
    </row>
    <row r="121" hidden="1" s="11">
      <c r="B121" s="56" t="n">
        <v>115</v>
      </c>
      <c r="C121" s="56">
        <f>TEXT(COUNTIF($D$7:D121, D121), "00000") &amp; "-" &amp; VLOOKUP(D121, $J$7:$K$19, 2, FALSE)</f>
        <v/>
      </c>
      <c r="D121" s="56" t="inlineStr">
        <is>
          <t>HERRAMIENTA</t>
        </is>
      </c>
      <c r="E121" s="56" t="inlineStr">
        <is>
          <t>LLAVE DE TUBO 12"</t>
        </is>
      </c>
    </row>
    <row r="122" hidden="1" s="11">
      <c r="B122" s="56" t="n">
        <v>116</v>
      </c>
      <c r="C122" s="56">
        <f>TEXT(COUNTIF($D$7:D122, D122), "00000") &amp; "-" &amp; VLOOKUP(D122, $J$7:$K$19, 2, FALSE)</f>
        <v/>
      </c>
      <c r="D122" s="56" t="inlineStr">
        <is>
          <t>HERRAMIENTA</t>
        </is>
      </c>
      <c r="E122" s="56" t="inlineStr">
        <is>
          <t>LLAVE AJUSTABLE 10"</t>
        </is>
      </c>
    </row>
    <row r="123" hidden="1" s="11">
      <c r="B123" s="56" t="n">
        <v>117</v>
      </c>
      <c r="C123" s="56">
        <f>TEXT(COUNTIF($D$7:D123, D123), "00000") &amp; "-" &amp; VLOOKUP(D123, $J$7:$K$19, 2, FALSE)</f>
        <v/>
      </c>
      <c r="D123" s="56" t="inlineStr">
        <is>
          <t>HERRAMIENTA</t>
        </is>
      </c>
      <c r="E123" s="56" t="inlineStr">
        <is>
          <t>LIJADORA ORBITAL</t>
        </is>
      </c>
    </row>
    <row r="124" hidden="1" s="11">
      <c r="B124" s="56" t="n">
        <v>118</v>
      </c>
      <c r="C124" s="56">
        <f>TEXT(COUNTIF($D$7:D124, D124), "00000") &amp; "-" &amp; VLOOKUP(D124, $J$7:$K$19, 2, FALSE)</f>
        <v/>
      </c>
      <c r="D124" s="56" t="inlineStr">
        <is>
          <t>OFICINA</t>
        </is>
      </c>
      <c r="E124" s="56" t="inlineStr">
        <is>
          <t>LAPIZ DE GRAFITO</t>
        </is>
      </c>
    </row>
    <row r="125" hidden="1" s="11">
      <c r="B125" s="56" t="n">
        <v>119</v>
      </c>
      <c r="C125" s="56">
        <f>TEXT(COUNTIF($D$7:D125, D125), "00000") &amp; "-" &amp; VLOOKUP(D125, $J$7:$K$19, 2, FALSE)</f>
        <v/>
      </c>
      <c r="D125" s="56" t="inlineStr">
        <is>
          <t>ILUMINACION</t>
        </is>
      </c>
      <c r="E125" s="56" t="inlineStr">
        <is>
          <t>LAMPARA TIPO UFO AC85-305V 150W</t>
        </is>
      </c>
    </row>
    <row r="126" hidden="1" s="11">
      <c r="B126" s="56" t="n">
        <v>120</v>
      </c>
      <c r="C126" s="56">
        <f>TEXT(COUNTIF($D$7:D126, D126), "00000") &amp; "-" &amp; VLOOKUP(D126, $J$7:$K$19, 2, FALSE)</f>
        <v/>
      </c>
      <c r="D126" s="56" t="inlineStr">
        <is>
          <t>ILUMINACION</t>
        </is>
      </c>
      <c r="E126" s="56" t="inlineStr">
        <is>
          <t>LAMPARA TIPO UFO AC85-265V 150W</t>
        </is>
      </c>
    </row>
    <row r="127" hidden="1" s="11">
      <c r="B127" s="56" t="n">
        <v>121</v>
      </c>
      <c r="C127" s="56">
        <f>TEXT(COUNTIF($D$7:D127, D127), "00000") &amp; "-" &amp; VLOOKUP(D127, $J$7:$K$19, 2, FALSE)</f>
        <v/>
      </c>
      <c r="D127" s="56" t="inlineStr">
        <is>
          <t>ILUMINACION</t>
        </is>
      </c>
      <c r="E127" s="56" t="inlineStr">
        <is>
          <t>LAMPARA LED TIPO CAÑON 10W</t>
        </is>
      </c>
    </row>
    <row r="128" hidden="1" s="11">
      <c r="B128" s="56" t="n">
        <v>122</v>
      </c>
      <c r="C128" s="56">
        <f>TEXT(COUNTIF($D$7:D128, D128), "00000") &amp; "-" &amp; VLOOKUP(D128, $J$7:$K$19, 2, FALSE)</f>
        <v/>
      </c>
      <c r="D128" s="56" t="inlineStr">
        <is>
          <t>ILUMINACION</t>
        </is>
      </c>
      <c r="E128" s="56" t="inlineStr">
        <is>
          <t>LAMPARA LED DE POSTE 500W</t>
        </is>
      </c>
    </row>
    <row r="129" hidden="1" s="11">
      <c r="B129" s="56" t="n">
        <v>123</v>
      </c>
      <c r="C129" s="56">
        <f>TEXT(COUNTIF($D$7:D129, D129), "00000") &amp; "-" &amp; VLOOKUP(D129, $J$7:$K$19, 2, FALSE)</f>
        <v/>
      </c>
      <c r="D129" s="56" t="inlineStr">
        <is>
          <t>ILUMINACION</t>
        </is>
      </c>
      <c r="E129" s="56" t="inlineStr">
        <is>
          <t>LAMPARA LED DE POSTE 400W</t>
        </is>
      </c>
    </row>
    <row r="130" hidden="1" s="11">
      <c r="B130" s="56" t="n">
        <v>124</v>
      </c>
      <c r="C130" s="56">
        <f>TEXT(COUNTIF($D$7:D130, D130), "00000") &amp; "-" &amp; VLOOKUP(D130, $J$7:$K$19, 2, FALSE)</f>
        <v/>
      </c>
      <c r="D130" s="56" t="inlineStr">
        <is>
          <t>ILUMINACION</t>
        </is>
      </c>
      <c r="E130" s="56" t="inlineStr">
        <is>
          <t>LAMPARA LED DE POSTE 200W</t>
        </is>
      </c>
    </row>
    <row r="131" hidden="1" s="11">
      <c r="B131" s="56" t="n">
        <v>125</v>
      </c>
      <c r="C131" s="56">
        <f>TEXT(COUNTIF($D$7:D131, D131), "00000") &amp; "-" &amp; VLOOKUP(D131, $J$7:$K$19, 2, FALSE)</f>
        <v/>
      </c>
      <c r="D131" s="56" t="inlineStr">
        <is>
          <t>ILUMINACION</t>
        </is>
      </c>
      <c r="E131" s="56" t="inlineStr">
        <is>
          <t>LAMPARA LED DE POSTE 100W</t>
        </is>
      </c>
    </row>
    <row r="132" hidden="1" s="11">
      <c r="B132" s="56" t="n">
        <v>126</v>
      </c>
      <c r="C132" s="56">
        <f>TEXT(COUNTIF($D$7:D132, D132), "00000") &amp; "-" &amp; VLOOKUP(D132, $J$7:$K$19, 2, FALSE)</f>
        <v/>
      </c>
      <c r="D132" s="56" t="inlineStr">
        <is>
          <t>ILUMINACION</t>
        </is>
      </c>
      <c r="E132" s="56" t="inlineStr">
        <is>
          <t>LAMPARA LED A PRUEBA DE HUMEDAD 20W</t>
        </is>
      </c>
    </row>
    <row r="133" hidden="1" s="11">
      <c r="B133" s="56" t="n">
        <v>127</v>
      </c>
      <c r="C133" s="56">
        <f>TEXT(COUNTIF($D$7:D133, D133), "00000") &amp; "-" &amp; VLOOKUP(D133, $J$7:$K$19, 2, FALSE)</f>
        <v/>
      </c>
      <c r="D133" s="56" t="inlineStr">
        <is>
          <t>ILUMINACION</t>
        </is>
      </c>
      <c r="E133" s="56" t="inlineStr">
        <is>
          <t>LAMPARA DE EMERGENCIA NEGRA</t>
        </is>
      </c>
    </row>
    <row r="134" hidden="1" s="11">
      <c r="B134" s="56" t="n">
        <v>128</v>
      </c>
      <c r="C134" s="56">
        <f>TEXT(COUNTIF($D$7:D134, D134), "00000") &amp; "-" &amp; VLOOKUP(D134, $J$7:$K$19, 2, FALSE)</f>
        <v/>
      </c>
      <c r="D134" s="56" t="inlineStr">
        <is>
          <t>ILUMINACION</t>
        </is>
      </c>
      <c r="E134" s="56" t="inlineStr">
        <is>
          <t>LAMPARA DE EMERGENCIA 5W</t>
        </is>
      </c>
    </row>
    <row r="135" hidden="1" s="11">
      <c r="B135" s="56" t="n">
        <v>129</v>
      </c>
      <c r="C135" s="56">
        <f>TEXT(COUNTIF($D$7:D135, D135), "00000") &amp; "-" &amp; VLOOKUP(D135, $J$7:$K$19, 2, FALSE)</f>
        <v/>
      </c>
      <c r="D135" s="56" t="inlineStr">
        <is>
          <t>ILUMINACION</t>
        </is>
      </c>
      <c r="E135" s="56" t="inlineStr">
        <is>
          <t>LAMPARA DE EMERGENCIA 20 X 0.2W</t>
        </is>
      </c>
    </row>
    <row r="136" hidden="1" s="11">
      <c r="B136" s="56" t="n">
        <v>130</v>
      </c>
      <c r="C136" s="56">
        <f>TEXT(COUNTIF($D$7:D136, D136), "00000") &amp; "-" &amp; VLOOKUP(D136, $J$7:$K$19, 2, FALSE)</f>
        <v/>
      </c>
      <c r="D136" s="56" t="inlineStr">
        <is>
          <t>HERRAMIENTA</t>
        </is>
      </c>
      <c r="E136" s="56" t="inlineStr">
        <is>
          <t>KIT DE PRENSA PARA TUBERIAS</t>
        </is>
      </c>
    </row>
    <row r="137" hidden="1" s="11">
      <c r="B137" s="56" t="n">
        <v>131</v>
      </c>
      <c r="C137" s="56">
        <f>TEXT(COUNTIF($D$7:D137, D137), "00000") &amp; "-" &amp; VLOOKUP(D137, $J$7:$K$19, 2, FALSE)</f>
        <v/>
      </c>
      <c r="D137" s="56" t="inlineStr">
        <is>
          <t>HERRAMIENTA</t>
        </is>
      </c>
      <c r="E137" s="56" t="inlineStr">
        <is>
          <t>LLAVE AJUSTABLE 12" X 300MM</t>
        </is>
      </c>
    </row>
    <row r="138" hidden="1" s="11">
      <c r="B138" s="56" t="n">
        <v>132</v>
      </c>
      <c r="C138" s="56">
        <f>TEXT(COUNTIF($D$7:D138, D138), "00000") &amp; "-" &amp; VLOOKUP(D138, $J$7:$K$19, 2, FALSE)</f>
        <v/>
      </c>
      <c r="D138" s="56" t="inlineStr">
        <is>
          <t>HERRAMIENTA</t>
        </is>
      </c>
      <c r="E138" s="56" t="inlineStr">
        <is>
          <t>JUEGO DE LLAVE TORX 10 PZAS</t>
        </is>
      </c>
    </row>
    <row r="139" hidden="1" s="11">
      <c r="B139" s="56" t="n">
        <v>133</v>
      </c>
      <c r="C139" s="56">
        <f>TEXT(COUNTIF($D$7:D139, D139), "00000") &amp; "-" &amp; VLOOKUP(D139, $J$7:$K$19, 2, FALSE)</f>
        <v/>
      </c>
      <c r="D139" s="56" t="inlineStr">
        <is>
          <t>HERRAMIENTA</t>
        </is>
      </c>
      <c r="E139" s="56" t="inlineStr">
        <is>
          <t>JUEGO DE LLAVE EXAGONAL</t>
        </is>
      </c>
    </row>
    <row r="140" hidden="1" s="11">
      <c r="B140" s="56" t="n">
        <v>134</v>
      </c>
      <c r="C140" s="56">
        <f>TEXT(COUNTIF($D$7:D140, D140), "00000") &amp; "-" &amp; VLOOKUP(D140, $J$7:$K$19, 2, FALSE)</f>
        <v/>
      </c>
      <c r="D140" s="56" t="inlineStr">
        <is>
          <t>HERRAMIENTA</t>
        </is>
      </c>
      <c r="E140" s="56" t="inlineStr">
        <is>
          <t>JUEGO DE DESTORNILLADOR SIX PACK VERDE</t>
        </is>
      </c>
    </row>
    <row r="141" hidden="1" s="11">
      <c r="B141" s="56" t="n">
        <v>135</v>
      </c>
      <c r="C141" s="56">
        <f>TEXT(COUNTIF($D$7:D141, D141), "00000") &amp; "-" &amp; VLOOKUP(D141, $J$7:$K$19, 2, FALSE)</f>
        <v/>
      </c>
      <c r="D141" s="56" t="inlineStr">
        <is>
          <t>HERRAMIENTA</t>
        </is>
      </c>
      <c r="E141" s="56" t="inlineStr">
        <is>
          <t>JUEGO DE DESTORNILLADOR SIX PACK ROJO</t>
        </is>
      </c>
    </row>
    <row r="142" hidden="1" s="11">
      <c r="B142" s="56" t="n">
        <v>136</v>
      </c>
      <c r="C142" s="56">
        <f>TEXT(COUNTIF($D$7:D142, D142), "00000") &amp; "-" &amp; VLOOKUP(D142, $J$7:$K$19, 2, FALSE)</f>
        <v/>
      </c>
      <c r="D142" s="56" t="inlineStr">
        <is>
          <t>HERRAMIENTA</t>
        </is>
      </c>
      <c r="E142" s="56" t="inlineStr">
        <is>
          <t>JUEGO DE DESTORNILLADOR RELOGERO</t>
        </is>
      </c>
    </row>
    <row r="143" hidden="1" s="11">
      <c r="B143" s="56" t="n">
        <v>137</v>
      </c>
      <c r="C143" s="56">
        <f>TEXT(COUNTIF($D$7:D143, D143), "00000") &amp; "-" &amp; VLOOKUP(D143, $J$7:$K$19, 2, FALSE)</f>
        <v/>
      </c>
      <c r="D143" s="56" t="inlineStr">
        <is>
          <t>HERRAMIENTA</t>
        </is>
      </c>
      <c r="E143" s="56" t="inlineStr">
        <is>
          <t>JUEGO DE DESTORNILLADOR 2 PACK</t>
        </is>
      </c>
    </row>
    <row r="144" hidden="1" s="11">
      <c r="B144" s="56" t="n">
        <v>138</v>
      </c>
      <c r="C144" s="56">
        <f>TEXT(COUNTIF($D$7:D144, D144), "00000") &amp; "-" &amp; VLOOKUP(D144, $J$7:$K$19, 2, FALSE)</f>
        <v/>
      </c>
      <c r="D144" s="56" t="inlineStr">
        <is>
          <t>OFICINA</t>
        </is>
      </c>
      <c r="E144" s="56" t="inlineStr">
        <is>
          <t>HUELLERO</t>
        </is>
      </c>
    </row>
    <row r="145" hidden="1" s="11">
      <c r="B145" s="56" t="n">
        <v>139</v>
      </c>
      <c r="C145" s="56">
        <f>TEXT(COUNTIF($D$7:D145, D145), "00000") &amp; "-" &amp; VLOOKUP(D145, $J$7:$K$19, 2, FALSE)</f>
        <v/>
      </c>
      <c r="D145" s="56" t="inlineStr">
        <is>
          <t>HERRAMIENTA</t>
        </is>
      </c>
      <c r="E145" s="56" t="inlineStr">
        <is>
          <t>JUEGO DE DADOS 1/4 12 PZAS</t>
        </is>
      </c>
    </row>
    <row r="146" hidden="1" s="11">
      <c r="B146" s="56" t="n">
        <v>140</v>
      </c>
      <c r="C146" s="56">
        <f>TEXT(COUNTIF($D$7:D146, D146), "00000") &amp; "-" &amp; VLOOKUP(D146, $J$7:$K$19, 2, FALSE)</f>
        <v/>
      </c>
      <c r="D146" s="56" t="inlineStr">
        <is>
          <t>UNIFORME</t>
        </is>
      </c>
      <c r="E146" s="56" t="inlineStr">
        <is>
          <t>GORRA NEGRA</t>
        </is>
      </c>
    </row>
    <row r="147" hidden="1" s="11">
      <c r="B147" s="56" t="n">
        <v>141</v>
      </c>
      <c r="C147" s="56">
        <f>TEXT(COUNTIF($D$7:D147, D147), "00000") &amp; "-" &amp; VLOOKUP(D147, $J$7:$K$19, 2, FALSE)</f>
        <v/>
      </c>
      <c r="D147" s="56" t="inlineStr">
        <is>
          <t>AUTOMOTRIZ</t>
        </is>
      </c>
      <c r="E147" s="56" t="inlineStr">
        <is>
          <t>GATO HIDRAULICO6 TONELADAS</t>
        </is>
      </c>
    </row>
    <row r="148" hidden="1" s="11">
      <c r="B148" s="56" t="n">
        <v>142</v>
      </c>
      <c r="C148" s="56">
        <f>TEXT(COUNTIF($D$7:D148, D148), "00000") &amp; "-" &amp; VLOOKUP(D148, $J$7:$K$19, 2, FALSE)</f>
        <v/>
      </c>
      <c r="D148" s="56" t="inlineStr">
        <is>
          <t>AUTOMOTRIZ</t>
        </is>
      </c>
      <c r="E148" s="56" t="inlineStr">
        <is>
          <t>GATO HIDRAULICO 30 TONELADAS</t>
        </is>
      </c>
    </row>
    <row r="149" hidden="1" s="11">
      <c r="B149" s="56" t="n">
        <v>143</v>
      </c>
      <c r="C149" s="56">
        <f>TEXT(COUNTIF($D$7:D149, D149), "00000") &amp; "-" &amp; VLOOKUP(D149, $J$7:$K$19, 2, FALSE)</f>
        <v/>
      </c>
      <c r="D149" s="56" t="inlineStr">
        <is>
          <t>FERRETERIA</t>
        </is>
      </c>
      <c r="E149" s="56" t="inlineStr">
        <is>
          <t>HOJA DE SIERRA 7,25"</t>
        </is>
      </c>
    </row>
    <row r="150" hidden="1" s="11">
      <c r="B150" s="56" t="n">
        <v>144</v>
      </c>
      <c r="C150" s="56">
        <f>TEXT(COUNTIF($D$7:D150, D150), "00000") &amp; "-" &amp; VLOOKUP(D150, $J$7:$K$19, 2, FALSE)</f>
        <v/>
      </c>
      <c r="D150" s="56" t="inlineStr">
        <is>
          <t>FERRETERIA</t>
        </is>
      </c>
      <c r="E150" s="56" t="inlineStr">
        <is>
          <t>GANCHO PARA EXTINTOR</t>
        </is>
      </c>
    </row>
    <row r="151" hidden="1" s="11">
      <c r="B151" s="56" t="n">
        <v>145</v>
      </c>
      <c r="C151" s="56">
        <f>TEXT(COUNTIF($D$7:D151, D151), "00000") &amp; "-" &amp; VLOOKUP(D151, $J$7:$K$19, 2, FALSE)</f>
        <v/>
      </c>
      <c r="D151" s="56" t="inlineStr">
        <is>
          <t>FERRETERIA</t>
        </is>
      </c>
      <c r="E151" s="56" t="inlineStr">
        <is>
          <t>GALON THINER ACRILICO</t>
        </is>
      </c>
    </row>
    <row r="152" hidden="1" s="11">
      <c r="B152" s="56" t="n">
        <v>146</v>
      </c>
      <c r="C152" s="56">
        <f>TEXT(COUNTIF($D$7:D152, D152), "00000") &amp; "-" &amp; VLOOKUP(D152, $J$7:$K$19, 2, FALSE)</f>
        <v/>
      </c>
      <c r="D152" s="56" t="inlineStr">
        <is>
          <t>FERRETERIA</t>
        </is>
      </c>
      <c r="E152" s="56" t="inlineStr">
        <is>
          <t>GALON PINTURA SATINADO AMARILLO</t>
        </is>
      </c>
    </row>
    <row r="153" hidden="1" s="11">
      <c r="B153" s="56" t="n">
        <v>147</v>
      </c>
      <c r="C153" s="56">
        <f>TEXT(COUNTIF($D$7:D153, D153), "00000") &amp; "-" &amp; VLOOKUP(D153, $J$7:$K$19, 2, FALSE)</f>
        <v/>
      </c>
      <c r="D153" s="56" t="inlineStr">
        <is>
          <t>FERRETERIA</t>
        </is>
      </c>
      <c r="E153" s="56" t="inlineStr">
        <is>
          <t>GALON PINTURA SATINADA BLANCO</t>
        </is>
      </c>
    </row>
    <row r="154" hidden="1" s="11">
      <c r="B154" s="56" t="n">
        <v>148</v>
      </c>
      <c r="C154" s="56">
        <f>TEXT(COUNTIF($D$7:D154, D154), "00000") &amp; "-" &amp; VLOOKUP(D154, $J$7:$K$19, 2, FALSE)</f>
        <v/>
      </c>
      <c r="D154" s="56" t="inlineStr">
        <is>
          <t>FERRETERIA</t>
        </is>
      </c>
      <c r="E154" s="56" t="inlineStr">
        <is>
          <t>GALON PINTURA ESMALTE VERDE GRANJA</t>
        </is>
      </c>
    </row>
    <row r="155" hidden="1" s="11">
      <c r="B155" s="56" t="n">
        <v>149</v>
      </c>
      <c r="C155" s="56">
        <f>TEXT(COUNTIF($D$7:D155, D155), "00000") &amp; "-" &amp; VLOOKUP(D155, $J$7:$K$19, 2, FALSE)</f>
        <v/>
      </c>
      <c r="D155" s="56" t="inlineStr">
        <is>
          <t>FERRETERIA</t>
        </is>
      </c>
      <c r="E155" s="56" t="inlineStr">
        <is>
          <t>GALON PINTURA ESMALTE NEGRO</t>
        </is>
      </c>
    </row>
    <row r="156" hidden="1" s="11">
      <c r="B156" s="56" t="n">
        <v>150</v>
      </c>
      <c r="C156" s="56">
        <f>TEXT(COUNTIF($D$7:D156, D156), "00000") &amp; "-" &amp; VLOOKUP(D156, $J$7:$K$19, 2, FALSE)</f>
        <v/>
      </c>
      <c r="D156" s="56" t="inlineStr">
        <is>
          <t>FERRETERIA</t>
        </is>
      </c>
      <c r="E156" s="56" t="inlineStr">
        <is>
          <t>GALON PINTURA ESMALTE GRIS MATE</t>
        </is>
      </c>
    </row>
    <row r="157" hidden="1" s="11">
      <c r="B157" s="56" t="n">
        <v>151</v>
      </c>
      <c r="C157" s="56">
        <f>TEXT(COUNTIF($D$7:D157, D157), "00000") &amp; "-" &amp; VLOOKUP(D157, $J$7:$K$19, 2, FALSE)</f>
        <v/>
      </c>
      <c r="D157" s="56" t="inlineStr">
        <is>
          <t>FERRETERIA</t>
        </is>
      </c>
      <c r="E157" s="56" t="inlineStr">
        <is>
          <t>GALON PINTURA ESMALTE GRIS CLARO</t>
        </is>
      </c>
    </row>
    <row r="158" hidden="1" s="11">
      <c r="B158" s="56" t="n">
        <v>152</v>
      </c>
      <c r="C158" s="56">
        <f>TEXT(COUNTIF($D$7:D158, D158), "00000") &amp; "-" &amp; VLOOKUP(D158, $J$7:$K$19, 2, FALSE)</f>
        <v/>
      </c>
      <c r="D158" s="56" t="inlineStr">
        <is>
          <t>FERRETERIA</t>
        </is>
      </c>
      <c r="E158" s="56" t="inlineStr">
        <is>
          <t>GALON PINTURA ESMALTE BLANCO</t>
        </is>
      </c>
    </row>
    <row r="159" hidden="1" s="11">
      <c r="B159" s="56" t="n">
        <v>153</v>
      </c>
      <c r="C159" s="56">
        <f>TEXT(COUNTIF($D$7:D159, D159), "00000") &amp; "-" &amp; VLOOKUP(D159, $J$7:$K$19, 2, FALSE)</f>
        <v/>
      </c>
      <c r="D159" s="56" t="inlineStr">
        <is>
          <t>FERRETERIA</t>
        </is>
      </c>
      <c r="E159" s="56" t="inlineStr">
        <is>
          <t>GALON PINTURA ESMALTE AMARILLO CATEPILLAR</t>
        </is>
      </c>
    </row>
    <row r="160" hidden="1" s="11">
      <c r="B160" s="56" t="n">
        <v>154</v>
      </c>
      <c r="C160" s="56">
        <f>TEXT(COUNTIF($D$7:D160, D160), "00000") &amp; "-" &amp; VLOOKUP(D160, $J$7:$K$19, 2, FALSE)</f>
        <v/>
      </c>
      <c r="D160" s="56" t="inlineStr">
        <is>
          <t>FERRETERIA</t>
        </is>
      </c>
      <c r="E160" s="56" t="inlineStr">
        <is>
          <t>GALON PINTURA EPOXY GRIS</t>
        </is>
      </c>
    </row>
    <row r="161" hidden="1" s="11">
      <c r="B161" s="56" t="n">
        <v>155</v>
      </c>
      <c r="C161" s="56">
        <f>TEXT(COUNTIF($D$7:D161, D161), "00000") &amp; "-" &amp; VLOOKUP(D161, $J$7:$K$19, 2, FALSE)</f>
        <v/>
      </c>
      <c r="D161" s="56" t="inlineStr">
        <is>
          <t>FERRETERIA</t>
        </is>
      </c>
      <c r="E161" s="56" t="inlineStr">
        <is>
          <t>GALON PINTURA EPOXY BLANCO</t>
        </is>
      </c>
    </row>
    <row r="162" hidden="1" s="11">
      <c r="B162" s="56" t="n">
        <v>156</v>
      </c>
      <c r="C162" s="56">
        <f>TEXT(COUNTIF($D$7:D162, D162), "00000") &amp; "-" &amp; VLOOKUP(D162, $J$7:$K$19, 2, FALSE)</f>
        <v/>
      </c>
      <c r="D162" s="56" t="inlineStr">
        <is>
          <t>FERRETERIA</t>
        </is>
      </c>
      <c r="E162" s="56" t="inlineStr">
        <is>
          <t>GALON PINTURA CAUCHO MARRON CHOCOLATE</t>
        </is>
      </c>
    </row>
    <row r="163" hidden="1" s="11">
      <c r="B163" s="56" t="n">
        <v>157</v>
      </c>
      <c r="C163" s="56">
        <f>TEXT(COUNTIF($D$7:D163, D163), "00000") &amp; "-" &amp; VLOOKUP(D163, $J$7:$K$19, 2, FALSE)</f>
        <v/>
      </c>
      <c r="D163" s="56" t="inlineStr">
        <is>
          <t>FERRETERIA</t>
        </is>
      </c>
      <c r="E163" s="56" t="inlineStr">
        <is>
          <t>GALON PINTURA CAUCHO BLANCO</t>
        </is>
      </c>
    </row>
    <row r="164" hidden="1" s="11">
      <c r="B164" s="56" t="n">
        <v>158</v>
      </c>
      <c r="C164" s="56">
        <f>TEXT(COUNTIF($D$7:D164, D164), "00000") &amp; "-" &amp; VLOOKUP(D164, $J$7:$K$19, 2, FALSE)</f>
        <v/>
      </c>
      <c r="D164" s="56" t="inlineStr">
        <is>
          <t>FERRETERIA</t>
        </is>
      </c>
      <c r="E164" s="56" t="inlineStr">
        <is>
          <t>GALON PINTURA CAUCHO AMARILLO REAL</t>
        </is>
      </c>
    </row>
    <row r="165" hidden="1" s="11">
      <c r="B165" s="56" t="n">
        <v>159</v>
      </c>
      <c r="C165" s="56">
        <f>TEXT(COUNTIF($D$7:D165, D165), "00000") &amp; "-" &amp; VLOOKUP(D165, $J$7:$K$19, 2, FALSE)</f>
        <v/>
      </c>
      <c r="D165" s="56" t="inlineStr">
        <is>
          <t>FERRETERIA</t>
        </is>
      </c>
      <c r="E165" s="56" t="inlineStr">
        <is>
          <t>GALON PINTURA CAUCHO AMARILLO DUNA</t>
        </is>
      </c>
    </row>
    <row r="166" hidden="1" s="11">
      <c r="B166" s="56" t="n">
        <v>160</v>
      </c>
      <c r="C166" s="56">
        <f>TEXT(COUNTIF($D$7:D166, D166), "00000") &amp; "-" &amp; VLOOKUP(D166, $J$7:$K$19, 2, FALSE)</f>
        <v/>
      </c>
      <c r="D166" s="56" t="inlineStr">
        <is>
          <t>FERRETERIA</t>
        </is>
      </c>
      <c r="E166" s="56" t="inlineStr">
        <is>
          <t>GALON PINTURA ALTO TRAFICO BLANCO</t>
        </is>
      </c>
    </row>
    <row r="167" hidden="1" s="11">
      <c r="B167" s="56" t="n">
        <v>161</v>
      </c>
      <c r="C167" s="56">
        <f>TEXT(COUNTIF($D$7:D167, D167), "00000") &amp; "-" &amp; VLOOKUP(D167, $J$7:$K$19, 2, FALSE)</f>
        <v/>
      </c>
      <c r="D167" s="56" t="inlineStr">
        <is>
          <t>FERRETERIA</t>
        </is>
      </c>
      <c r="E167" s="56" t="inlineStr">
        <is>
          <t>GALON PINTURA ALTO TRAFICO AZUL</t>
        </is>
      </c>
    </row>
    <row r="168" hidden="1" s="11">
      <c r="B168" s="56" t="n">
        <v>162</v>
      </c>
      <c r="C168" s="56">
        <f>TEXT(COUNTIF($D$7:D168, D168), "00000") &amp; "-" &amp; VLOOKUP(D168, $J$7:$K$19, 2, FALSE)</f>
        <v/>
      </c>
      <c r="D168" s="56" t="inlineStr">
        <is>
          <t>FERRETERIA</t>
        </is>
      </c>
      <c r="E168" s="56" t="inlineStr">
        <is>
          <t>GALON PINTURA ALTO TRAFICO AMARILLO</t>
        </is>
      </c>
    </row>
    <row r="169" hidden="1" s="11">
      <c r="B169" s="56" t="n">
        <v>163</v>
      </c>
      <c r="C169" s="56">
        <f>TEXT(COUNTIF($D$7:D169, D169), "00000") &amp; "-" &amp; VLOOKUP(D169, $J$7:$K$19, 2, FALSE)</f>
        <v/>
      </c>
      <c r="D169" s="56" t="inlineStr">
        <is>
          <t>FERRETERIA</t>
        </is>
      </c>
      <c r="E169" s="56" t="inlineStr">
        <is>
          <t>GALON IMPERMEABILIZANTE GRIS</t>
        </is>
      </c>
    </row>
    <row r="170" hidden="1" s="11">
      <c r="B170" s="56" t="n">
        <v>164</v>
      </c>
      <c r="C170" s="56">
        <f>TEXT(COUNTIF($D$7:D170, D170), "00000") &amp; "-" &amp; VLOOKUP(D170, $J$7:$K$19, 2, FALSE)</f>
        <v/>
      </c>
      <c r="D170" s="56" t="inlineStr">
        <is>
          <t>OFICINA</t>
        </is>
      </c>
      <c r="E170" s="56" t="inlineStr">
        <is>
          <t>FUNDAS P/PLASTIFICAR 9 X 14.5</t>
        </is>
      </c>
    </row>
    <row r="171" hidden="1" s="11">
      <c r="B171" s="56" t="n">
        <v>165</v>
      </c>
      <c r="C171" s="56">
        <f>TEXT(COUNTIF($D$7:D171, D171), "00000") &amp; "-" &amp; VLOOKUP(D171, $J$7:$K$19, 2, FALSE)</f>
        <v/>
      </c>
      <c r="D171" s="56" t="inlineStr">
        <is>
          <t>UNIFORME</t>
        </is>
      </c>
      <c r="E171" s="56" t="inlineStr">
        <is>
          <t>FRANELILLA AZUL T/XL</t>
        </is>
      </c>
    </row>
    <row r="172" hidden="1" s="11">
      <c r="B172" s="56" t="n">
        <v>166</v>
      </c>
      <c r="C172" s="56">
        <f>TEXT(COUNTIF($D$7:D172, D172), "00000") &amp; "-" &amp; VLOOKUP(D172, $J$7:$K$19, 2, FALSE)</f>
        <v/>
      </c>
      <c r="D172" s="56" t="inlineStr">
        <is>
          <t>UNIFORME</t>
        </is>
      </c>
      <c r="E172" s="56" t="inlineStr">
        <is>
          <t>FRANELILLA AZUL T/M</t>
        </is>
      </c>
    </row>
    <row r="173" hidden="1" s="11">
      <c r="B173" s="56" t="n">
        <v>167</v>
      </c>
      <c r="C173" s="56">
        <f>TEXT(COUNTIF($D$7:D173, D173), "00000") &amp; "-" &amp; VLOOKUP(D173, $J$7:$K$19, 2, FALSE)</f>
        <v/>
      </c>
      <c r="D173" s="56" t="inlineStr">
        <is>
          <t>UNIFORME</t>
        </is>
      </c>
      <c r="E173" s="56" t="inlineStr">
        <is>
          <t>FRANELILLA AZUL T/L</t>
        </is>
      </c>
    </row>
    <row r="174" hidden="1" s="11">
      <c r="B174" s="56" t="n">
        <v>168</v>
      </c>
      <c r="C174" s="56">
        <f>TEXT(COUNTIF($D$7:D174, D174), "00000") &amp; "-" &amp; VLOOKUP(D174, $J$7:$K$19, 2, FALSE)</f>
        <v/>
      </c>
      <c r="D174" s="56" t="inlineStr">
        <is>
          <t>UNIFORME</t>
        </is>
      </c>
      <c r="E174" s="56" t="inlineStr">
        <is>
          <t>FRANELA VERDE DAMA T/XXL</t>
        </is>
      </c>
    </row>
    <row r="175" hidden="1" s="11">
      <c r="B175" s="56" t="n">
        <v>169</v>
      </c>
      <c r="C175" s="56">
        <f>TEXT(COUNTIF($D$7:D175, D175), "00000") &amp; "-" &amp; VLOOKUP(D175, $J$7:$K$19, 2, FALSE)</f>
        <v/>
      </c>
      <c r="D175" s="56" t="inlineStr">
        <is>
          <t>UNIFORME</t>
        </is>
      </c>
      <c r="E175" s="56" t="inlineStr">
        <is>
          <t>FRANELA VERDE DAMA T/XL</t>
        </is>
      </c>
    </row>
    <row r="176" hidden="1" s="11">
      <c r="B176" s="56" t="n">
        <v>170</v>
      </c>
      <c r="C176" s="56">
        <f>TEXT(COUNTIF($D$7:D176, D176), "00000") &amp; "-" &amp; VLOOKUP(D176, $J$7:$K$19, 2, FALSE)</f>
        <v/>
      </c>
      <c r="D176" s="56" t="inlineStr">
        <is>
          <t>UNIFORME</t>
        </is>
      </c>
      <c r="E176" s="56" t="inlineStr">
        <is>
          <t>FRANELA VERDE DAMA T/S</t>
        </is>
      </c>
    </row>
    <row r="177" hidden="1" s="11">
      <c r="B177" s="56" t="n">
        <v>171</v>
      </c>
      <c r="C177" s="56">
        <f>TEXT(COUNTIF($D$7:D177, D177), "00000") &amp; "-" &amp; VLOOKUP(D177, $J$7:$K$19, 2, FALSE)</f>
        <v/>
      </c>
      <c r="D177" s="56" t="inlineStr">
        <is>
          <t>UNIFORME</t>
        </is>
      </c>
      <c r="E177" s="56" t="inlineStr">
        <is>
          <t>FRANELA VERDE DAMA T/M</t>
        </is>
      </c>
    </row>
    <row r="178" hidden="1" s="11">
      <c r="B178" s="56" t="n">
        <v>172</v>
      </c>
      <c r="C178" s="56">
        <f>TEXT(COUNTIF($D$7:D178, D178), "00000") &amp; "-" &amp; VLOOKUP(D178, $J$7:$K$19, 2, FALSE)</f>
        <v/>
      </c>
      <c r="D178" s="56" t="inlineStr">
        <is>
          <t>UNIFORME</t>
        </is>
      </c>
      <c r="E178" s="56" t="inlineStr">
        <is>
          <t>FRANELA VERDE DAMA T/L</t>
        </is>
      </c>
    </row>
    <row r="179" hidden="1" s="11">
      <c r="B179" s="56" t="n">
        <v>173</v>
      </c>
      <c r="C179" s="56">
        <f>TEXT(COUNTIF($D$7:D179, D179), "00000") &amp; "-" &amp; VLOOKUP(D179, $J$7:$K$19, 2, FALSE)</f>
        <v/>
      </c>
      <c r="D179" s="56" t="inlineStr">
        <is>
          <t>UNIFORME</t>
        </is>
      </c>
      <c r="E179" s="56" t="inlineStr">
        <is>
          <t>FRANELA VERDE CABALLERO T/XXL</t>
        </is>
      </c>
    </row>
    <row r="180" hidden="1" s="11">
      <c r="B180" s="56" t="n">
        <v>174</v>
      </c>
      <c r="C180" s="56">
        <f>TEXT(COUNTIF($D$7:D180, D180), "00000") &amp; "-" &amp; VLOOKUP(D180, $J$7:$K$19, 2, FALSE)</f>
        <v/>
      </c>
      <c r="D180" s="56" t="inlineStr">
        <is>
          <t>UNIFORME</t>
        </is>
      </c>
      <c r="E180" s="56" t="inlineStr">
        <is>
          <t>FRANELA VERDE CABALLERO T/XL</t>
        </is>
      </c>
    </row>
    <row r="181" hidden="1" s="11">
      <c r="B181" s="56" t="n">
        <v>175</v>
      </c>
      <c r="C181" s="56">
        <f>TEXT(COUNTIF($D$7:D181, D181), "00000") &amp; "-" &amp; VLOOKUP(D181, $J$7:$K$19, 2, FALSE)</f>
        <v/>
      </c>
      <c r="D181" s="56" t="inlineStr">
        <is>
          <t>UNIFORME</t>
        </is>
      </c>
      <c r="E181" s="56" t="inlineStr">
        <is>
          <t>FRANELA VERDE CABALLERO T/S</t>
        </is>
      </c>
    </row>
    <row r="182" hidden="1" s="11">
      <c r="B182" s="56" t="n">
        <v>176</v>
      </c>
      <c r="C182" s="56">
        <f>TEXT(COUNTIF($D$7:D182, D182), "00000") &amp; "-" &amp; VLOOKUP(D182, $J$7:$K$19, 2, FALSE)</f>
        <v/>
      </c>
      <c r="D182" s="56" t="inlineStr">
        <is>
          <t>UNIFORME</t>
        </is>
      </c>
      <c r="E182" s="56" t="inlineStr">
        <is>
          <t>FRANELA VERDE CABALLERO T/M</t>
        </is>
      </c>
    </row>
    <row r="183" hidden="1" s="11">
      <c r="B183" s="56" t="n">
        <v>177</v>
      </c>
      <c r="C183" s="56">
        <f>TEXT(COUNTIF($D$7:D183, D183), "00000") &amp; "-" &amp; VLOOKUP(D183, $J$7:$K$19, 2, FALSE)</f>
        <v/>
      </c>
      <c r="D183" s="56" t="inlineStr">
        <is>
          <t>UNIFORME</t>
        </is>
      </c>
      <c r="E183" s="56" t="inlineStr">
        <is>
          <t>FRANELA VERDE CABALLERO T/L</t>
        </is>
      </c>
    </row>
    <row r="184" hidden="1" s="11">
      <c r="B184" s="56" t="n">
        <v>178</v>
      </c>
      <c r="C184" s="56">
        <f>TEXT(COUNTIF($D$7:D184, D184), "00000") &amp; "-" &amp; VLOOKUP(D184, $J$7:$K$19, 2, FALSE)</f>
        <v/>
      </c>
      <c r="D184" s="56" t="inlineStr">
        <is>
          <t>UNIFORME</t>
        </is>
      </c>
      <c r="E184" s="56" t="inlineStr">
        <is>
          <t>FRANELA AZUL CABALLERO T/S</t>
        </is>
      </c>
    </row>
    <row r="185" hidden="1" s="11">
      <c r="B185" s="56" t="n">
        <v>179</v>
      </c>
      <c r="C185" s="56">
        <f>TEXT(COUNTIF($D$7:D185, D185), "00000") &amp; "-" &amp; VLOOKUP(D185, $J$7:$K$19, 2, FALSE)</f>
        <v/>
      </c>
      <c r="D185" s="56" t="inlineStr">
        <is>
          <t>UNIFORME</t>
        </is>
      </c>
      <c r="E185" s="56" t="inlineStr">
        <is>
          <t>FRANELA AZUL CABALLERO T/M</t>
        </is>
      </c>
    </row>
    <row r="186" hidden="1" s="11">
      <c r="B186" s="56" t="n">
        <v>180</v>
      </c>
      <c r="C186" s="56">
        <f>TEXT(COUNTIF($D$7:D186, D186), "00000") &amp; "-" &amp; VLOOKUP(D186, $J$7:$K$19, 2, FALSE)</f>
        <v/>
      </c>
      <c r="D186" s="56" t="inlineStr">
        <is>
          <t>UNIFORME</t>
        </is>
      </c>
      <c r="E186" s="56" t="inlineStr">
        <is>
          <t>FRANELA CABALLERO T/L</t>
        </is>
      </c>
    </row>
    <row r="187" hidden="1" s="11">
      <c r="B187" s="56" t="n">
        <v>181</v>
      </c>
      <c r="C187" s="56">
        <f>TEXT(COUNTIF($D$7:D187, D187), "00000") &amp; "-" &amp; VLOOKUP(D187, $J$7:$K$19, 2, FALSE)</f>
        <v/>
      </c>
      <c r="D187" s="56" t="inlineStr">
        <is>
          <t>UNIFORME</t>
        </is>
      </c>
      <c r="E187" s="56" t="inlineStr">
        <is>
          <t>FRANELA AZUL DAMA T/XL</t>
        </is>
      </c>
    </row>
    <row r="188" hidden="1" s="11">
      <c r="B188" s="56" t="n">
        <v>182</v>
      </c>
      <c r="C188" s="56">
        <f>TEXT(COUNTIF($D$7:D188, D188), "00000") &amp; "-" &amp; VLOOKUP(D188, $J$7:$K$19, 2, FALSE)</f>
        <v/>
      </c>
      <c r="D188" s="56" t="inlineStr">
        <is>
          <t>UNIFORME</t>
        </is>
      </c>
      <c r="E188" s="56" t="inlineStr">
        <is>
          <t>FRANELA AZUL DAMA T/S</t>
        </is>
      </c>
    </row>
    <row r="189" hidden="1" s="11">
      <c r="B189" s="56" t="n">
        <v>183</v>
      </c>
      <c r="C189" s="56">
        <f>TEXT(COUNTIF($D$7:D189, D189), "00000") &amp; "-" &amp; VLOOKUP(D189, $J$7:$K$19, 2, FALSE)</f>
        <v/>
      </c>
      <c r="D189" s="56" t="inlineStr">
        <is>
          <t>UNIFORME</t>
        </is>
      </c>
      <c r="E189" s="56" t="inlineStr">
        <is>
          <t>FRANELA AZUL DAMA T/M</t>
        </is>
      </c>
    </row>
    <row r="190" hidden="1" s="11">
      <c r="B190" s="56" t="n">
        <v>184</v>
      </c>
      <c r="C190" s="56">
        <f>TEXT(COUNTIF($D$7:D190, D190), "00000") &amp; "-" &amp; VLOOKUP(D190, $J$7:$K$19, 2, FALSE)</f>
        <v/>
      </c>
      <c r="D190" s="56" t="inlineStr">
        <is>
          <t>UNIFORME</t>
        </is>
      </c>
      <c r="E190" s="56" t="inlineStr">
        <is>
          <t>FRANELA AZUL DAMA T/L</t>
        </is>
      </c>
    </row>
    <row r="191" hidden="1" s="11">
      <c r="B191" s="56" t="n">
        <v>185</v>
      </c>
      <c r="C191" s="56">
        <f>TEXT(COUNTIF($D$7:D191, D191), "00000") &amp; "-" &amp; VLOOKUP(D191, $J$7:$K$19, 2, FALSE)</f>
        <v/>
      </c>
      <c r="D191" s="56" t="inlineStr">
        <is>
          <t>UNIFORME</t>
        </is>
      </c>
      <c r="E191" s="56" t="inlineStr">
        <is>
          <t>FRANELA AZUL CABALLERO T/XL</t>
        </is>
      </c>
    </row>
    <row r="192" hidden="1" s="11">
      <c r="B192" s="56" t="n">
        <v>186</v>
      </c>
      <c r="C192" s="56">
        <f>TEXT(COUNTIF($D$7:D192, D192), "00000") &amp; "-" &amp; VLOOKUP(D192, $J$7:$K$19, 2, FALSE)</f>
        <v/>
      </c>
      <c r="D192" s="56" t="inlineStr">
        <is>
          <t>UNIFORME</t>
        </is>
      </c>
      <c r="E192" s="56" t="inlineStr">
        <is>
          <t>FRANELA AZUL CABALLERO T/L</t>
        </is>
      </c>
    </row>
    <row r="193" hidden="1" s="11">
      <c r="B193" s="56" t="n">
        <v>187</v>
      </c>
      <c r="C193" s="56">
        <f>TEXT(COUNTIF($D$7:D193, D193), "00000") &amp; "-" &amp; VLOOKUP(D193, $J$7:$K$19, 2, FALSE)</f>
        <v/>
      </c>
      <c r="D193" s="56" t="inlineStr">
        <is>
          <t>OFICINA</t>
        </is>
      </c>
      <c r="E193" s="56" t="inlineStr">
        <is>
          <t>FOAMI VERDE T/CARTA</t>
        </is>
      </c>
    </row>
    <row r="194" hidden="1" s="11">
      <c r="B194" s="56" t="n">
        <v>188</v>
      </c>
      <c r="C194" s="56">
        <f>TEXT(COUNTIF($D$7:D194, D194), "00000") &amp; "-" &amp; VLOOKUP(D194, $J$7:$K$19, 2, FALSE)</f>
        <v/>
      </c>
      <c r="D194" s="56" t="inlineStr">
        <is>
          <t>HERRAMIENTA</t>
        </is>
      </c>
      <c r="E194" s="56" t="inlineStr">
        <is>
          <t>FLUSH KIT</t>
        </is>
      </c>
    </row>
    <row r="195" hidden="1" s="11">
      <c r="B195" s="56" t="n">
        <v>189</v>
      </c>
      <c r="C195" s="56">
        <f>TEXT(COUNTIF($D$7:D195, D195), "00000") &amp; "-" &amp; VLOOKUP(D195, $J$7:$K$19, 2, FALSE)</f>
        <v/>
      </c>
      <c r="D195" s="56" t="inlineStr">
        <is>
          <t>REFRIGERACION</t>
        </is>
      </c>
      <c r="E195" s="56" t="inlineStr">
        <is>
          <t>FILTRO SEC BULL 3/8 3-6 TON ROSCA</t>
        </is>
      </c>
    </row>
    <row r="196" hidden="1" s="11">
      <c r="B196" s="56" t="n">
        <v>190</v>
      </c>
      <c r="C196" s="56">
        <f>TEXT(COUNTIF($D$7:D196, D196), "00000") &amp; "-" &amp; VLOOKUP(D196, $J$7:$K$19, 2, FALSE)</f>
        <v/>
      </c>
      <c r="D196" s="56" t="inlineStr">
        <is>
          <t>ILUMINACION</t>
        </is>
      </c>
      <c r="E196" s="56" t="inlineStr">
        <is>
          <t>FAROLA SOLAR 300W</t>
        </is>
      </c>
    </row>
    <row r="197" hidden="1" s="11">
      <c r="B197" s="56" t="n">
        <v>191</v>
      </c>
      <c r="C197" s="56">
        <f>TEXT(COUNTIF($D$7:D197, D197), "00000") &amp; "-" &amp; VLOOKUP(D197, $J$7:$K$19, 2, FALSE)</f>
        <v/>
      </c>
      <c r="D197" s="56" t="inlineStr">
        <is>
          <t>ILUMINACION</t>
        </is>
      </c>
      <c r="E197" s="56" t="inlineStr">
        <is>
          <t>FAROLA SOLAR 200W</t>
        </is>
      </c>
    </row>
    <row r="198" hidden="1" s="11">
      <c r="B198" s="56" t="n">
        <v>192</v>
      </c>
      <c r="C198" s="56">
        <f>TEXT(COUNTIF($D$7:D198, D198), "00000") &amp; "-" &amp; VLOOKUP(D198, $J$7:$K$19, 2, FALSE)</f>
        <v/>
      </c>
      <c r="D198" s="56" t="inlineStr">
        <is>
          <t>ILUMINACION</t>
        </is>
      </c>
      <c r="E198" s="56" t="inlineStr">
        <is>
          <t>FAROLA SOLAR 100W</t>
        </is>
      </c>
    </row>
    <row r="199" hidden="1" s="11">
      <c r="B199" s="56" t="n">
        <v>193</v>
      </c>
      <c r="C199" s="56">
        <f>TEXT(COUNTIF($D$7:D199, D199), "00000") &amp; "-" &amp; VLOOKUP(D199, $J$7:$K$19, 2, FALSE)</f>
        <v/>
      </c>
      <c r="D199" s="56" t="inlineStr">
        <is>
          <t>HERRAMIENTA</t>
        </is>
      </c>
      <c r="E199" s="56" t="inlineStr">
        <is>
          <t>EXTRACTOR DE RODAMIENTO</t>
        </is>
      </c>
    </row>
    <row r="200" hidden="1" s="11">
      <c r="B200" s="56" t="n">
        <v>194</v>
      </c>
      <c r="C200" s="56">
        <f>TEXT(COUNTIF($D$7:D200, D200), "00000") &amp; "-" &amp; VLOOKUP(D200, $J$7:$K$19, 2, FALSE)</f>
        <v/>
      </c>
      <c r="D200" s="56" t="inlineStr">
        <is>
          <t>FERRETERIA</t>
        </is>
      </c>
      <c r="E200" s="56" t="inlineStr">
        <is>
          <t>GALON FONDO ANTICORROCIVO NEGRO</t>
        </is>
      </c>
    </row>
    <row r="201" hidden="1" s="11">
      <c r="B201" s="56" t="n">
        <v>195</v>
      </c>
      <c r="C201" s="56">
        <f>TEXT(COUNTIF($D$7:D201, D201), "00000") &amp; "-" &amp; VLOOKUP(D201, $J$7:$K$19, 2, FALSE)</f>
        <v/>
      </c>
      <c r="D201" s="56" t="inlineStr">
        <is>
          <t>HERRAMIENTA</t>
        </is>
      </c>
      <c r="E201" s="56" t="inlineStr">
        <is>
          <t>EXTRACTOR DE ENGRANAJE Y POLEAS</t>
        </is>
      </c>
    </row>
    <row r="202" hidden="1" s="11">
      <c r="B202" s="56" t="n">
        <v>196</v>
      </c>
      <c r="C202" s="56">
        <f>TEXT(COUNTIF($D$7:D202, D202), "00000") &amp; "-" &amp; VLOOKUP(D202, $J$7:$K$19, 2, FALSE)</f>
        <v/>
      </c>
      <c r="D202" s="56" t="inlineStr">
        <is>
          <t>ELECTRONICO</t>
        </is>
      </c>
      <c r="E202" s="56" t="inlineStr">
        <is>
          <t>EXTENCION ELECTRICA INDUSTRIAL 3 TOMA</t>
        </is>
      </c>
    </row>
    <row r="203" hidden="1" s="11">
      <c r="B203" s="56" t="n">
        <v>197</v>
      </c>
      <c r="C203" s="56">
        <f>TEXT(COUNTIF($D$7:D203, D203), "00000") &amp; "-" &amp; VLOOKUP(D203, $J$7:$K$19, 2, FALSE)</f>
        <v/>
      </c>
      <c r="D203" s="56" t="inlineStr">
        <is>
          <t>FERRETERIA</t>
        </is>
      </c>
      <c r="E203" s="56" t="inlineStr">
        <is>
          <t>GALON FONDO ANTICORROCIVO GRIS OSCURO</t>
        </is>
      </c>
    </row>
    <row r="204" hidden="1" s="11">
      <c r="B204" s="56" t="n">
        <v>198</v>
      </c>
      <c r="C204" s="56">
        <f>TEXT(COUNTIF($D$7:D204, D204), "00000") &amp; "-" &amp; VLOOKUP(D204, $J$7:$K$19, 2, FALSE)</f>
        <v/>
      </c>
      <c r="D204" s="56" t="inlineStr">
        <is>
          <t>HERRAMIENTA</t>
        </is>
      </c>
      <c r="E204" s="56" t="inlineStr">
        <is>
          <t>ESPATULA PEQ.</t>
        </is>
      </c>
    </row>
    <row r="205" hidden="1" s="11">
      <c r="B205" s="56" t="n">
        <v>199</v>
      </c>
      <c r="C205" s="56">
        <f>TEXT(COUNTIF($D$7:D205, D205), "00000") &amp; "-" &amp; VLOOKUP(D205, $J$7:$K$19, 2, FALSE)</f>
        <v/>
      </c>
      <c r="D205" s="56" t="inlineStr">
        <is>
          <t>HERRAMIENTA</t>
        </is>
      </c>
      <c r="E205" s="56" t="inlineStr">
        <is>
          <t>ESPATULA GRANDE</t>
        </is>
      </c>
    </row>
    <row r="206" hidden="1" s="11">
      <c r="B206" s="56" t="n">
        <v>200</v>
      </c>
      <c r="C206" s="56">
        <f>TEXT(COUNTIF($D$7:D206, D206), "00000") &amp; "-" &amp; VLOOKUP(D206, $J$7:$K$19, 2, FALSE)</f>
        <v/>
      </c>
      <c r="D206" s="56" t="inlineStr">
        <is>
          <t>FERRETERIA</t>
        </is>
      </c>
      <c r="E206" s="56" t="inlineStr">
        <is>
          <t>GALON CEMENTO PLASTICO</t>
        </is>
      </c>
    </row>
    <row r="207" hidden="1" s="11">
      <c r="B207" s="56" t="n">
        <v>201</v>
      </c>
      <c r="C207" s="56">
        <f>TEXT(COUNTIF($D$7:D207, D207), "00000") &amp; "-" &amp; VLOOKUP(D207, $J$7:$K$19, 2, FALSE)</f>
        <v/>
      </c>
      <c r="D207" s="56" t="inlineStr">
        <is>
          <t>HERRAMIENTA</t>
        </is>
      </c>
      <c r="E207" s="56" t="inlineStr">
        <is>
          <t>ENGRASADORA MANUAL</t>
        </is>
      </c>
    </row>
    <row r="208" hidden="1" s="11">
      <c r="B208" s="56" t="n">
        <v>202</v>
      </c>
      <c r="C208" s="56">
        <f>TEXT(COUNTIF($D$7:D208, D208), "00000") &amp; "-" &amp; VLOOKUP(D208, $J$7:$K$19, 2, FALSE)</f>
        <v/>
      </c>
      <c r="D208" s="56" t="inlineStr">
        <is>
          <t>OFICINA</t>
        </is>
      </c>
      <c r="E208" s="56" t="inlineStr">
        <is>
          <t>ENGRAPADORA</t>
        </is>
      </c>
    </row>
    <row r="209" hidden="1" s="11">
      <c r="B209" s="56" t="n">
        <v>203</v>
      </c>
      <c r="C209" s="56">
        <f>TEXT(COUNTIF($D$7:D209, D209), "00000") &amp; "-" &amp; VLOOKUP(D209, $J$7:$K$19, 2, FALSE)</f>
        <v/>
      </c>
      <c r="D209" s="56" t="inlineStr">
        <is>
          <t>FERRETERIA</t>
        </is>
      </c>
      <c r="E209" s="56" t="inlineStr">
        <is>
          <t>GALON BARNIS</t>
        </is>
      </c>
    </row>
    <row r="210" hidden="1" s="11">
      <c r="B210" s="56" t="n">
        <v>204</v>
      </c>
      <c r="C210" s="56">
        <f>TEXT(COUNTIF($D$7:D210, D210), "00000") &amp; "-" &amp; VLOOKUP(D210, $J$7:$K$19, 2, FALSE)</f>
        <v/>
      </c>
      <c r="D210" s="56" t="inlineStr">
        <is>
          <t>HERRAMIENTA</t>
        </is>
      </c>
      <c r="E210" s="56" t="inlineStr">
        <is>
          <t>DOBLADORA MANUAL DE TUBOS</t>
        </is>
      </c>
    </row>
    <row r="211" hidden="1" s="11">
      <c r="B211" s="56" t="n">
        <v>205</v>
      </c>
      <c r="C211" s="56">
        <f>TEXT(COUNTIF($D$7:D211, D211), "00000") &amp; "-" &amp; VLOOKUP(D211, $J$7:$K$19, 2, FALSE)</f>
        <v/>
      </c>
      <c r="D211" s="56" t="inlineStr">
        <is>
          <t>HERRAMIENTA</t>
        </is>
      </c>
      <c r="E211" s="56" t="inlineStr">
        <is>
          <t>EXTRACTOR DE ESTAÑO</t>
        </is>
      </c>
    </row>
    <row r="212" hidden="1" s="11">
      <c r="B212" s="56" t="n">
        <v>206</v>
      </c>
      <c r="C212" s="56">
        <f>TEXT(COUNTIF($D$7:D212, D212), "00000") &amp; "-" &amp; VLOOKUP(D212, $J$7:$K$19, 2, FALSE)</f>
        <v/>
      </c>
      <c r="D212" s="56" t="inlineStr">
        <is>
          <t>HERRAMIENTA</t>
        </is>
      </c>
      <c r="E212" s="56" t="inlineStr">
        <is>
          <t>EXACTO 18 X 100 MM TOTAL</t>
        </is>
      </c>
    </row>
    <row r="213" hidden="1" s="11">
      <c r="B213" s="56" t="n">
        <v>207</v>
      </c>
      <c r="C213" s="56">
        <f>TEXT(COUNTIF($D$7:D213, D213), "00000") &amp; "-" &amp; VLOOKUP(D213, $J$7:$K$19, 2, FALSE)</f>
        <v/>
      </c>
      <c r="D213" s="56" t="inlineStr">
        <is>
          <t>HERRAMIENTA</t>
        </is>
      </c>
      <c r="E213" s="56" t="inlineStr">
        <is>
          <t>ESPATULA DE METAL 60 MM TOTAL</t>
        </is>
      </c>
    </row>
    <row r="214" hidden="1" s="11">
      <c r="B214" s="56" t="n">
        <v>208</v>
      </c>
      <c r="C214" s="56">
        <f>TEXT(COUNTIF($D$7:D214, D214), "00000") &amp; "-" &amp; VLOOKUP(D214, $J$7:$K$19, 2, FALSE)</f>
        <v/>
      </c>
      <c r="D214" s="56" t="inlineStr">
        <is>
          <t>HERRERIA</t>
        </is>
      </c>
      <c r="E214" s="56" t="inlineStr">
        <is>
          <t>ELECTRODO PAQUETE 5K E6013 3/32</t>
        </is>
      </c>
    </row>
    <row r="215" hidden="1" s="11">
      <c r="B215" s="56" t="n">
        <v>209</v>
      </c>
      <c r="C215" s="56">
        <f>TEXT(COUNTIF($D$7:D215, D215), "00000") &amp; "-" &amp; VLOOKUP(D215, $J$7:$K$19, 2, FALSE)</f>
        <v/>
      </c>
      <c r="D215" s="56" t="inlineStr">
        <is>
          <t>HERRERIA</t>
        </is>
      </c>
      <c r="E215" s="56" t="inlineStr">
        <is>
          <t>ELECTRODO PAQUETE 5K E6013 1/8</t>
        </is>
      </c>
    </row>
    <row r="216" hidden="1" s="11">
      <c r="B216" s="56" t="n">
        <v>210</v>
      </c>
      <c r="C216" s="56">
        <f>TEXT(COUNTIF($D$7:D216, D216), "00000") &amp; "-" &amp; VLOOKUP(D216, $J$7:$K$19, 2, FALSE)</f>
        <v/>
      </c>
      <c r="D216" s="56" t="inlineStr">
        <is>
          <t>HERRAMIENTA</t>
        </is>
      </c>
      <c r="E216" s="56" t="inlineStr">
        <is>
          <t>DESTORNILLADOR/TALADRO INALAMBRICO RYOBI ONE+</t>
        </is>
      </c>
    </row>
    <row r="217" hidden="1" s="11">
      <c r="B217" s="56" t="n">
        <v>211</v>
      </c>
      <c r="C217" s="56">
        <f>TEXT(COUNTIF($D$7:D217, D217), "00000") &amp; "-" &amp; VLOOKUP(D217, $J$7:$K$19, 2, FALSE)</f>
        <v/>
      </c>
      <c r="D217" s="56" t="inlineStr">
        <is>
          <t>HERRAMIENTA</t>
        </is>
      </c>
      <c r="E217" s="56" t="inlineStr">
        <is>
          <t>DESTORNILLADOR RELOJERO T8 X 50</t>
        </is>
      </c>
    </row>
    <row r="218" hidden="1" s="11">
      <c r="B218" s="56" t="n">
        <v>212</v>
      </c>
      <c r="C218" s="56">
        <f>TEXT(COUNTIF($D$7:D218, D218), "00000") &amp; "-" &amp; VLOOKUP(D218, $J$7:$K$19, 2, FALSE)</f>
        <v/>
      </c>
      <c r="D218" s="56" t="inlineStr">
        <is>
          <t>HERRAMIENTA</t>
        </is>
      </c>
      <c r="E218" s="56" t="inlineStr">
        <is>
          <t>DESTORNILLADOR RELOJERO T6 X 50</t>
        </is>
      </c>
    </row>
    <row r="219" hidden="1" s="11">
      <c r="B219" s="56" t="n">
        <v>213</v>
      </c>
      <c r="C219" s="56">
        <f>TEXT(COUNTIF($D$7:D219, D219), "00000") &amp; "-" &amp; VLOOKUP(D219, $J$7:$K$19, 2, FALSE)</f>
        <v/>
      </c>
      <c r="D219" s="56" t="inlineStr">
        <is>
          <t>HERRAMIENTA</t>
        </is>
      </c>
      <c r="E219" s="56" t="inlineStr">
        <is>
          <t>DESTORNILLADOR RELOJERO T10 X 50</t>
        </is>
      </c>
    </row>
    <row r="220" hidden="1" s="11">
      <c r="B220" s="56" t="n">
        <v>214</v>
      </c>
      <c r="C220" s="56">
        <f>TEXT(COUNTIF($D$7:D220, D220), "00000") &amp; "-" &amp; VLOOKUP(D220, $J$7:$K$19, 2, FALSE)</f>
        <v/>
      </c>
      <c r="D220" s="56" t="inlineStr">
        <is>
          <t>HERRAMIENTA</t>
        </is>
      </c>
      <c r="E220" s="56" t="inlineStr">
        <is>
          <t>DESTORNILLADOR RELOJERO PH000 X 50</t>
        </is>
      </c>
    </row>
    <row r="221" hidden="1" s="11">
      <c r="B221" s="56" t="n">
        <v>215</v>
      </c>
      <c r="C221" s="56">
        <f>TEXT(COUNTIF($D$7:D221, D221), "00000") &amp; "-" &amp; VLOOKUP(D221, $J$7:$K$19, 2, FALSE)</f>
        <v/>
      </c>
      <c r="D221" s="56" t="inlineStr">
        <is>
          <t>HERRAMIENTA</t>
        </is>
      </c>
      <c r="E221" s="56" t="inlineStr">
        <is>
          <t>DESTORNILLADOR RELOJERO 3 X 50</t>
        </is>
      </c>
    </row>
    <row r="222" hidden="1" s="11">
      <c r="B222" s="56" t="n">
        <v>216</v>
      </c>
      <c r="C222" s="56">
        <f>TEXT(COUNTIF($D$7:D222, D222), "00000") &amp; "-" &amp; VLOOKUP(D222, $J$7:$K$19, 2, FALSE)</f>
        <v/>
      </c>
      <c r="D222" s="56" t="inlineStr">
        <is>
          <t>HERRAMIENTA</t>
        </is>
      </c>
      <c r="E222" s="56" t="inlineStr">
        <is>
          <t>DESTORNILLADOR RELOJERO 2,5 X 50</t>
        </is>
      </c>
    </row>
    <row r="223" hidden="1" s="11">
      <c r="B223" s="56" t="n">
        <v>217</v>
      </c>
      <c r="C223" s="56">
        <f>TEXT(COUNTIF($D$7:D223, D223), "00000") &amp; "-" &amp; VLOOKUP(D223, $J$7:$K$19, 2, FALSE)</f>
        <v/>
      </c>
      <c r="D223" s="56" t="inlineStr">
        <is>
          <t>HERRAMIENTA</t>
        </is>
      </c>
      <c r="E223" s="56" t="inlineStr">
        <is>
          <t>DESTORNILLADOR RELOJERO 1,5 X 50</t>
        </is>
      </c>
    </row>
    <row r="224" hidden="1" s="11">
      <c r="B224" s="56" t="n">
        <v>218</v>
      </c>
      <c r="C224" s="56">
        <f>TEXT(COUNTIF($D$7:D224, D224), "00000") &amp; "-" &amp; VLOOKUP(D224, $J$7:$K$19, 2, FALSE)</f>
        <v/>
      </c>
      <c r="D224" s="56" t="inlineStr">
        <is>
          <t>HERRAMIENTA</t>
        </is>
      </c>
      <c r="E224" s="56" t="inlineStr">
        <is>
          <t>DESTORNILLADOR DE PALA PEQ.</t>
        </is>
      </c>
    </row>
    <row r="225" hidden="1" s="11">
      <c r="B225" s="56" t="n">
        <v>219</v>
      </c>
      <c r="C225" s="56">
        <f>TEXT(COUNTIF($D$7:D225, D225), "00000") &amp; "-" &amp; VLOOKUP(D225, $J$7:$K$19, 2, FALSE)</f>
        <v/>
      </c>
      <c r="D225" s="56" t="inlineStr">
        <is>
          <t>HERRAMIENTA</t>
        </is>
      </c>
      <c r="E225" s="56" t="inlineStr">
        <is>
          <t>DESTORNILLADOR DE PALA MEDIANO</t>
        </is>
      </c>
    </row>
    <row r="226" hidden="1" s="11">
      <c r="B226" s="56" t="n">
        <v>220</v>
      </c>
      <c r="C226" s="56">
        <f>TEXT(COUNTIF($D$7:D226, D226), "00000") &amp; "-" &amp; VLOOKUP(D226, $J$7:$K$19, 2, FALSE)</f>
        <v/>
      </c>
      <c r="D226" s="56" t="inlineStr">
        <is>
          <t>HERRAMIENTA</t>
        </is>
      </c>
      <c r="E226" s="56" t="inlineStr">
        <is>
          <t>DESTORNILLADOR DE PALA INC-CO</t>
        </is>
      </c>
    </row>
    <row r="227" hidden="1" s="11">
      <c r="B227" s="56" t="n">
        <v>221</v>
      </c>
      <c r="C227" s="56">
        <f>TEXT(COUNTIF($D$7:D227, D227), "00000") &amp; "-" &amp; VLOOKUP(D227, $J$7:$K$19, 2, FALSE)</f>
        <v/>
      </c>
      <c r="D227" s="56" t="inlineStr">
        <is>
          <t>HERRAMIENTA</t>
        </is>
      </c>
      <c r="E227" s="56" t="inlineStr">
        <is>
          <t>DESTORNILLADOR DE PALA ELECTRICISTA</t>
        </is>
      </c>
    </row>
    <row r="228" hidden="1" s="11">
      <c r="B228" s="56" t="n">
        <v>222</v>
      </c>
      <c r="C228" s="56">
        <f>TEXT(COUNTIF($D$7:D228, D228), "00000") &amp; "-" &amp; VLOOKUP(D228, $J$7:$K$19, 2, FALSE)</f>
        <v/>
      </c>
      <c r="D228" s="56" t="inlineStr">
        <is>
          <t>HERRERIA</t>
        </is>
      </c>
      <c r="E228" s="56" t="inlineStr">
        <is>
          <t>DISCO TROZADORA 14"</t>
        </is>
      </c>
    </row>
    <row r="229" hidden="1" s="11">
      <c r="B229" s="56" t="n">
        <v>223</v>
      </c>
      <c r="C229" s="56">
        <f>TEXT(COUNTIF($D$7:D229, D229), "00000") &amp; "-" &amp; VLOOKUP(D229, $J$7:$K$19, 2, FALSE)</f>
        <v/>
      </c>
      <c r="D229" s="56" t="inlineStr">
        <is>
          <t>HERRERIA</t>
        </is>
      </c>
      <c r="E229" s="56" t="inlineStr">
        <is>
          <t>DISCO DESSBANES 7"</t>
        </is>
      </c>
    </row>
    <row r="230" hidden="1" s="11">
      <c r="B230" s="56" t="n">
        <v>224</v>
      </c>
      <c r="C230" s="56">
        <f>TEXT(COUNTIF($D$7:D230, D230), "00000") &amp; "-" &amp; VLOOKUP(D230, $J$7:$K$19, 2, FALSE)</f>
        <v/>
      </c>
      <c r="D230" s="56" t="inlineStr">
        <is>
          <t>HERRERIA</t>
        </is>
      </c>
      <c r="E230" s="56" t="inlineStr">
        <is>
          <t>DISCO DESSBANES 4"</t>
        </is>
      </c>
    </row>
    <row r="231" hidden="1" s="11">
      <c r="B231" s="56" t="n">
        <v>225</v>
      </c>
      <c r="C231" s="56">
        <f>TEXT(COUNTIF($D$7:D231, D231), "00000") &amp; "-" &amp; VLOOKUP(D231, $J$7:$K$19, 2, FALSE)</f>
        <v/>
      </c>
      <c r="D231" s="56" t="inlineStr">
        <is>
          <t>HERRERIA</t>
        </is>
      </c>
      <c r="E231" s="56" t="inlineStr">
        <is>
          <t>DISCO CORTE 7"</t>
        </is>
      </c>
    </row>
    <row r="232" hidden="1" s="11">
      <c r="B232" s="56" t="n">
        <v>226</v>
      </c>
      <c r="C232" s="56">
        <f>TEXT(COUNTIF($D$7:D232, D232), "00000") &amp; "-" &amp; VLOOKUP(D232, $J$7:$K$19, 2, FALSE)</f>
        <v/>
      </c>
      <c r="D232" s="56" t="inlineStr">
        <is>
          <t>HERRERIA</t>
        </is>
      </c>
      <c r="E232" s="56" t="inlineStr">
        <is>
          <t>DISCO CORTE 4.5"</t>
        </is>
      </c>
    </row>
    <row r="233" hidden="1" s="11">
      <c r="B233" s="56" t="n">
        <v>227</v>
      </c>
      <c r="C233" s="56">
        <f>TEXT(COUNTIF($D$7:D233, D233), "00000") &amp; "-" &amp; VLOOKUP(D233, $J$7:$K$19, 2, FALSE)</f>
        <v/>
      </c>
      <c r="D233" s="56" t="inlineStr">
        <is>
          <t>FERRETERIA</t>
        </is>
      </c>
      <c r="E233" s="56" t="inlineStr">
        <is>
          <t>CUÑETE PINTURA ESMALTE VERDE GRANJA</t>
        </is>
      </c>
    </row>
    <row r="234" hidden="1" s="11">
      <c r="B234" s="56" t="n">
        <v>228</v>
      </c>
      <c r="C234" s="56">
        <f>TEXT(COUNTIF($D$7:D234, D234), "00000") &amp; "-" &amp; VLOOKUP(D234, $J$7:$K$19, 2, FALSE)</f>
        <v/>
      </c>
      <c r="D234" s="56" t="inlineStr">
        <is>
          <t>FERRETERIA</t>
        </is>
      </c>
      <c r="E234" s="56" t="inlineStr">
        <is>
          <t>CUÑETE PINTURA ESMALTE BLANCO</t>
        </is>
      </c>
    </row>
    <row r="235" hidden="1" s="11">
      <c r="B235" s="56" t="n">
        <v>229</v>
      </c>
      <c r="C235" s="56">
        <f>TEXT(COUNTIF($D$7:D235, D235), "00000") &amp; "-" &amp; VLOOKUP(D235, $J$7:$K$19, 2, FALSE)</f>
        <v/>
      </c>
      <c r="D235" s="56" t="inlineStr">
        <is>
          <t>FERRETERIA</t>
        </is>
      </c>
      <c r="E235" s="56" t="inlineStr">
        <is>
          <t>CUÑETE PINTURA CAUCHO VERDE GRANJA</t>
        </is>
      </c>
    </row>
    <row r="236" hidden="1" s="11">
      <c r="B236" s="56" t="n">
        <v>230</v>
      </c>
      <c r="C236" s="56">
        <f>TEXT(COUNTIF($D$7:D236, D236), "00000") &amp; "-" &amp; VLOOKUP(D236, $J$7:$K$19, 2, FALSE)</f>
        <v/>
      </c>
      <c r="D236" s="56" t="inlineStr">
        <is>
          <t>FERRETERIA</t>
        </is>
      </c>
      <c r="E236" s="56" t="inlineStr">
        <is>
          <t>CUÑETE PINTURA CAUCHO NEGRO</t>
        </is>
      </c>
    </row>
    <row r="237" hidden="1" s="11">
      <c r="B237" s="56" t="n">
        <v>231</v>
      </c>
      <c r="C237" s="56">
        <f>TEXT(COUNTIF($D$7:D237, D237), "00000") &amp; "-" &amp; VLOOKUP(D237, $J$7:$K$19, 2, FALSE)</f>
        <v/>
      </c>
      <c r="D237" s="56" t="inlineStr">
        <is>
          <t>FERRETERIA</t>
        </is>
      </c>
      <c r="E237" s="56" t="inlineStr">
        <is>
          <t>CUÑETE PINTURA CAUCHO GRIS CLARO</t>
        </is>
      </c>
    </row>
    <row r="238" hidden="1" s="11">
      <c r="B238" s="56" t="n">
        <v>232</v>
      </c>
      <c r="C238" s="56">
        <f>TEXT(COUNTIF($D$7:D238, D238), "00000") &amp; "-" &amp; VLOOKUP(D238, $J$7:$K$19, 2, FALSE)</f>
        <v/>
      </c>
      <c r="D238" s="56" t="inlineStr">
        <is>
          <t>MISCELANEOS</t>
        </is>
      </c>
      <c r="E238" s="56" t="inlineStr">
        <is>
          <t>CUCHILLO 8" EXCALIBUR</t>
        </is>
      </c>
    </row>
    <row r="239" hidden="1" s="11">
      <c r="B239" s="56" t="n">
        <v>233</v>
      </c>
      <c r="C239" s="56">
        <f>TEXT(COUNTIF($D$7:D239, D239), "00000") &amp; "-" &amp; VLOOKUP(D239, $J$7:$K$19, 2, FALSE)</f>
        <v/>
      </c>
      <c r="D239" s="56" t="inlineStr">
        <is>
          <t>MISCELANEOS</t>
        </is>
      </c>
      <c r="E239" s="56" t="inlineStr">
        <is>
          <t>CUCHILLO 7" EXCALIBUR</t>
        </is>
      </c>
    </row>
    <row r="240" hidden="1" s="11">
      <c r="B240" s="56" t="n">
        <v>234</v>
      </c>
      <c r="C240" s="56">
        <f>TEXT(COUNTIF($D$7:D240, D240), "00000") &amp; "-" &amp; VLOOKUP(D240, $J$7:$K$19, 2, FALSE)</f>
        <v/>
      </c>
      <c r="D240" s="56" t="inlineStr">
        <is>
          <t>MISCELANEOS</t>
        </is>
      </c>
      <c r="E240" s="56" t="inlineStr">
        <is>
          <t>CUCHARON MEDIANO</t>
        </is>
      </c>
    </row>
    <row r="241" hidden="1" s="11">
      <c r="B241" s="56" t="n">
        <v>235</v>
      </c>
      <c r="C241" s="56">
        <f>TEXT(COUNTIF($D$7:D241, D241), "00000") &amp; "-" &amp; VLOOKUP(D241, $J$7:$K$19, 2, FALSE)</f>
        <v/>
      </c>
      <c r="D241" s="56" t="inlineStr">
        <is>
          <t>HERRAMIENTA</t>
        </is>
      </c>
      <c r="E241" s="56" t="inlineStr">
        <is>
          <t>CUCHARA DE ALBAÑILERIA GRANDE</t>
        </is>
      </c>
    </row>
    <row r="242" hidden="1" s="11">
      <c r="B242" s="56" t="n">
        <v>236</v>
      </c>
      <c r="C242" s="56">
        <f>TEXT(COUNTIF($D$7:D242, D242), "00000") &amp; "-" &amp; VLOOKUP(D242, $J$7:$K$19, 2, FALSE)</f>
        <v/>
      </c>
      <c r="D242" s="56" t="inlineStr">
        <is>
          <t>OFICINA</t>
        </is>
      </c>
      <c r="E242" s="56" t="inlineStr">
        <is>
          <t>CUADERNO CUADRICULADO</t>
        </is>
      </c>
    </row>
    <row r="243" hidden="1" s="11">
      <c r="B243" s="56" t="n">
        <v>237</v>
      </c>
      <c r="C243" s="56">
        <f>TEXT(COUNTIF($D$7:D243, D243), "00000") &amp; "-" &amp; VLOOKUP(D243, $J$7:$K$19, 2, FALSE)</f>
        <v/>
      </c>
      <c r="D243" s="56" t="inlineStr">
        <is>
          <t>OFICINA</t>
        </is>
      </c>
      <c r="E243" s="56" t="inlineStr">
        <is>
          <t>CUADERNO 1 LINEA</t>
        </is>
      </c>
    </row>
    <row r="244" hidden="1" s="11">
      <c r="B244" s="56" t="n">
        <v>238</v>
      </c>
      <c r="C244" s="56">
        <f>TEXT(COUNTIF($D$7:D244, D244), "00000") &amp; "-" &amp; VLOOKUP(D244, $J$7:$K$19, 2, FALSE)</f>
        <v/>
      </c>
      <c r="D244" s="56" t="inlineStr">
        <is>
          <t>HERRAMIENTA</t>
        </is>
      </c>
      <c r="E244" s="56" t="inlineStr">
        <is>
          <t>CRIMPADORA HIDRAULICA</t>
        </is>
      </c>
    </row>
    <row r="245" hidden="1" s="11">
      <c r="B245" s="56" t="n">
        <v>239</v>
      </c>
      <c r="C245" s="56">
        <f>TEXT(COUNTIF($D$7:D245, D245), "00000") &amp; "-" &amp; VLOOKUP(D245, $J$7:$K$19, 2, FALSE)</f>
        <v/>
      </c>
      <c r="D245" s="56" t="inlineStr">
        <is>
          <t>HERRAMIENTA</t>
        </is>
      </c>
      <c r="E245" s="56" t="inlineStr">
        <is>
          <t>CORTADOR DE VIDRIO MANUAL</t>
        </is>
      </c>
    </row>
    <row r="246" hidden="1" s="11">
      <c r="B246" s="56" t="n">
        <v>240</v>
      </c>
      <c r="C246" s="56">
        <f>TEXT(COUNTIF($D$7:D246, D246), "00000") &amp; "-" &amp; VLOOKUP(D246, $J$7:$K$19, 2, FALSE)</f>
        <v/>
      </c>
      <c r="D246" s="56" t="inlineStr">
        <is>
          <t>HERRAMIENTA</t>
        </is>
      </c>
      <c r="E246" s="56" t="inlineStr">
        <is>
          <t>CORTADOR DE TUBO</t>
        </is>
      </c>
    </row>
    <row r="247" hidden="1" s="11">
      <c r="B247" s="56" t="n">
        <v>241</v>
      </c>
      <c r="C247" s="56">
        <f>TEXT(COUNTIF($D$7:D247, D247), "00000") &amp; "-" &amp; VLOOKUP(D247, $J$7:$K$19, 2, FALSE)</f>
        <v/>
      </c>
      <c r="D247" s="56" t="inlineStr">
        <is>
          <t>REFRIGERACION</t>
        </is>
      </c>
      <c r="E247" s="56" t="inlineStr">
        <is>
          <t>COPA 3/8 REFORZADA</t>
        </is>
      </c>
    </row>
    <row r="248" hidden="1" s="11">
      <c r="B248" s="56" t="n">
        <v>242</v>
      </c>
      <c r="C248" s="56">
        <f>TEXT(COUNTIF($D$7:D248, D248), "00000") &amp; "-" &amp; VLOOKUP(D248, $J$7:$K$19, 2, FALSE)</f>
        <v/>
      </c>
      <c r="D248" s="56" t="inlineStr">
        <is>
          <t>ELECTRONICO</t>
        </is>
      </c>
      <c r="E248" s="56" t="inlineStr">
        <is>
          <t>CONTROLADOR TV DE PARED</t>
        </is>
      </c>
    </row>
    <row r="249" hidden="1" s="11">
      <c r="B249" s="56" t="n">
        <v>243</v>
      </c>
      <c r="C249" s="56">
        <f>TEXT(COUNTIF($D$7:D249, D249), "00000") &amp; "-" &amp; VLOOKUP(D249, $J$7:$K$19, 2, FALSE)</f>
        <v/>
      </c>
      <c r="D249" s="56" t="inlineStr">
        <is>
          <t>ELECTRONICO</t>
        </is>
      </c>
      <c r="E249" s="56" t="inlineStr">
        <is>
          <t>CONTROL TV SANKEY</t>
        </is>
      </c>
    </row>
    <row r="250" hidden="1" s="11">
      <c r="B250" s="56" t="n">
        <v>244</v>
      </c>
      <c r="C250" s="56">
        <f>TEXT(COUNTIF($D$7:D250, D250), "00000") &amp; "-" &amp; VLOOKUP(D250, $J$7:$K$19, 2, FALSE)</f>
        <v/>
      </c>
      <c r="D250" s="56" t="inlineStr">
        <is>
          <t>ELECTRONICO</t>
        </is>
      </c>
      <c r="E250" s="56" t="inlineStr">
        <is>
          <t>CONTROL TV JVC</t>
        </is>
      </c>
    </row>
    <row r="251" hidden="1" s="11">
      <c r="B251" s="56" t="n">
        <v>245</v>
      </c>
      <c r="C251" s="56">
        <f>TEXT(COUNTIF($D$7:D251, D251), "00000") &amp; "-" &amp; VLOOKUP(D251, $J$7:$K$19, 2, FALSE)</f>
        <v/>
      </c>
      <c r="D251" s="56" t="inlineStr">
        <is>
          <t>ELECTRONICO</t>
        </is>
      </c>
      <c r="E251" s="56" t="inlineStr">
        <is>
          <t>CONTROL TV CLX</t>
        </is>
      </c>
    </row>
    <row r="252" hidden="1" s="11">
      <c r="B252" s="56" t="n">
        <v>246</v>
      </c>
      <c r="C252" s="56">
        <f>TEXT(COUNTIF($D$7:D252, D252), "00000") &amp; "-" &amp; VLOOKUP(D252, $J$7:$K$19, 2, FALSE)</f>
        <v/>
      </c>
      <c r="D252" s="56" t="inlineStr">
        <is>
          <t>ELECTRONICO</t>
        </is>
      </c>
      <c r="E252" s="56" t="inlineStr">
        <is>
          <t>CONTROL ROKU VIZZION</t>
        </is>
      </c>
    </row>
    <row r="253" hidden="1" s="11">
      <c r="B253" s="56" t="n">
        <v>247</v>
      </c>
      <c r="C253" s="56">
        <f>TEXT(COUNTIF($D$7:D253, D253), "00000") &amp; "-" &amp; VLOOKUP(D253, $J$7:$K$19, 2, FALSE)</f>
        <v/>
      </c>
      <c r="D253" s="56" t="inlineStr">
        <is>
          <t>ELECTRONICO</t>
        </is>
      </c>
      <c r="E253" s="56" t="inlineStr">
        <is>
          <t>CONTROL A/C MUNDO BLANCO</t>
        </is>
      </c>
    </row>
    <row r="254" hidden="1" s="11">
      <c r="B254" s="56" t="n">
        <v>248</v>
      </c>
      <c r="C254" s="56">
        <f>TEXT(COUNTIF($D$7:D254, D254), "00000") &amp; "-" &amp; VLOOKUP(D254, $J$7:$K$19, 2, FALSE)</f>
        <v/>
      </c>
      <c r="D254" s="56" t="inlineStr">
        <is>
          <t>ELECTRONICO</t>
        </is>
      </c>
      <c r="E254" s="56" t="inlineStr">
        <is>
          <t>CONTROL A/C CONDESA</t>
        </is>
      </c>
    </row>
    <row r="255" hidden="1" s="11">
      <c r="B255" s="56" t="n">
        <v>249</v>
      </c>
      <c r="C255" s="56">
        <f>TEXT(COUNTIF($D$7:D255, D255), "00000") &amp; "-" &amp; VLOOKUP(D255, $J$7:$K$19, 2, FALSE)</f>
        <v/>
      </c>
      <c r="D255" s="56" t="inlineStr">
        <is>
          <t>ELECTRICIDAD</t>
        </is>
      </c>
      <c r="E255" s="56" t="inlineStr">
        <is>
          <t>CONTACTOR ELECTRICO CI 9</t>
        </is>
      </c>
    </row>
    <row r="256" hidden="1" s="11">
      <c r="B256" s="56" t="n">
        <v>250</v>
      </c>
      <c r="C256" s="56">
        <f>TEXT(COUNTIF($D$7:D256, D256), "00000") &amp; "-" &amp; VLOOKUP(D256, $J$7:$K$19, 2, FALSE)</f>
        <v/>
      </c>
      <c r="D256" s="56" t="inlineStr">
        <is>
          <t>REFRIGERACION</t>
        </is>
      </c>
      <c r="E256" s="56" t="inlineStr">
        <is>
          <t>CONDENSADOR A/A VENTANA 2 MF 450V CUADRADO</t>
        </is>
      </c>
    </row>
    <row r="257" hidden="1" s="11">
      <c r="B257" s="56" t="n">
        <v>251</v>
      </c>
      <c r="C257" s="56">
        <f>TEXT(COUNTIF($D$7:D257, D257), "00000") &amp; "-" &amp; VLOOKUP(D257, $J$7:$K$19, 2, FALSE)</f>
        <v/>
      </c>
      <c r="D257" s="56" t="inlineStr">
        <is>
          <t>REFRIGERACION</t>
        </is>
      </c>
      <c r="E257" s="56" t="inlineStr">
        <is>
          <t>CONDENSADOR A/A 60MF 450V EN ACEITE</t>
        </is>
      </c>
    </row>
    <row r="258" hidden="1" s="11">
      <c r="B258" s="56" t="n">
        <v>252</v>
      </c>
      <c r="C258" s="56">
        <f>TEXT(COUNTIF($D$7:D258, D258), "00000") &amp; "-" &amp; VLOOKUP(D258, $J$7:$K$19, 2, FALSE)</f>
        <v/>
      </c>
      <c r="D258" s="56" t="inlineStr">
        <is>
          <t>REFRIGERACION</t>
        </is>
      </c>
      <c r="E258" s="56" t="inlineStr">
        <is>
          <t>COMPRESOR 5HP PANASONIC R410A 220V</t>
        </is>
      </c>
    </row>
    <row r="259" hidden="1" s="11">
      <c r="B259" s="56" t="n">
        <v>253</v>
      </c>
      <c r="C259" s="56">
        <f>TEXT(COUNTIF($D$7:D259, D259), "00000") &amp; "-" &amp; VLOOKUP(D259, $J$7:$K$19, 2, FALSE)</f>
        <v/>
      </c>
      <c r="D259" s="56" t="inlineStr">
        <is>
          <t>REFRIGERACION</t>
        </is>
      </c>
      <c r="E259" s="56" t="inlineStr">
        <is>
          <t>COMPRESOR 1HP 220V/R-404 MONOFASICO</t>
        </is>
      </c>
    </row>
    <row r="260" hidden="1" s="11">
      <c r="B260" s="56" t="n">
        <v>254</v>
      </c>
      <c r="C260" s="56">
        <f>TEXT(COUNTIF($D$7:D260, D260), "00000") &amp; "-" &amp; VLOOKUP(D260, $J$7:$K$19, 2, FALSE)</f>
        <v/>
      </c>
      <c r="D260" s="56" t="inlineStr">
        <is>
          <t>ILUMINACION</t>
        </is>
      </c>
      <c r="E260" s="56" t="inlineStr">
        <is>
          <t>BOMBILLO VERDE CONICO 18 W</t>
        </is>
      </c>
    </row>
    <row r="261" hidden="1" s="11">
      <c r="B261" s="56" t="n">
        <v>255</v>
      </c>
      <c r="C261" s="56">
        <f>TEXT(COUNTIF($D$7:D261, D261), "00000") &amp; "-" &amp; VLOOKUP(D261, $J$7:$K$19, 2, FALSE)</f>
        <v/>
      </c>
      <c r="D261" s="56" t="inlineStr">
        <is>
          <t>HERRAMIENTA</t>
        </is>
      </c>
      <c r="E261" s="56" t="inlineStr">
        <is>
          <t>CIZALLA MANUAL 42"</t>
        </is>
      </c>
    </row>
    <row r="262" hidden="1" s="11">
      <c r="B262" s="56" t="n">
        <v>256</v>
      </c>
      <c r="C262" s="56">
        <f>TEXT(COUNTIF($D$7:D262, D262), "00000") &amp; "-" &amp; VLOOKUP(D262, $J$7:$K$19, 2, FALSE)</f>
        <v/>
      </c>
      <c r="D262" s="56" t="inlineStr">
        <is>
          <t>OFICINA</t>
        </is>
      </c>
      <c r="E262" s="56" t="inlineStr">
        <is>
          <t>CINTA PLASTICA PEQ</t>
        </is>
      </c>
    </row>
    <row r="263" hidden="1" s="11">
      <c r="B263" s="56" t="n">
        <v>257</v>
      </c>
      <c r="C263" s="56">
        <f>TEXT(COUNTIF($D$7:D263, D263), "00000") &amp; "-" &amp; VLOOKUP(D263, $J$7:$K$19, 2, FALSE)</f>
        <v/>
      </c>
      <c r="D263" s="56" t="inlineStr">
        <is>
          <t>HERRAMIENTA</t>
        </is>
      </c>
      <c r="E263" s="56" t="inlineStr">
        <is>
          <t>CINTA METRICA 10M WOKIN</t>
        </is>
      </c>
    </row>
    <row r="264" hidden="1" s="11">
      <c r="B264" s="56" t="n">
        <v>258</v>
      </c>
      <c r="C264" s="56">
        <f>TEXT(COUNTIF($D$7:D264, D264), "00000") &amp; "-" &amp; VLOOKUP(D264, $J$7:$K$19, 2, FALSE)</f>
        <v/>
      </c>
      <c r="D264" s="56" t="inlineStr">
        <is>
          <t>ILUMINACION</t>
        </is>
      </c>
      <c r="E264" s="56" t="inlineStr">
        <is>
          <t>CINTA LED COLORES C/ ACCESORIOS</t>
        </is>
      </c>
    </row>
    <row r="265" hidden="1" s="11">
      <c r="B265" s="56" t="n">
        <v>259</v>
      </c>
      <c r="C265" s="56">
        <f>TEXT(COUNTIF($D$7:D265, D265), "00000") &amp; "-" &amp; VLOOKUP(D265, $J$7:$K$19, 2, FALSE)</f>
        <v/>
      </c>
      <c r="D265" s="56" t="inlineStr">
        <is>
          <t>REFRIGERACION</t>
        </is>
      </c>
      <c r="E265" s="56" t="inlineStr">
        <is>
          <t>CINTA AISLANTE NO ADHESIVA 2" 15M MOMIA</t>
        </is>
      </c>
    </row>
    <row r="266" hidden="1" s="11">
      <c r="B266" s="56" t="n">
        <v>260</v>
      </c>
      <c r="C266" s="56">
        <f>TEXT(COUNTIF($D$7:D266, D266), "00000") &amp; "-" &amp; VLOOKUP(D266, $J$7:$K$19, 2, FALSE)</f>
        <v/>
      </c>
      <c r="D266" s="56" t="inlineStr">
        <is>
          <t>HERRAMIENTA</t>
        </is>
      </c>
      <c r="E266" s="56" t="inlineStr">
        <is>
          <t>CINCEL CON PROTECTOR</t>
        </is>
      </c>
    </row>
    <row r="267" hidden="1" s="11">
      <c r="B267" s="56" t="n">
        <v>261</v>
      </c>
      <c r="C267" s="56">
        <f>TEXT(COUNTIF($D$7:D267, D267), "00000") &amp; "-" &amp; VLOOKUP(D267, $J$7:$K$19, 2, FALSE)</f>
        <v/>
      </c>
      <c r="D267" s="56" t="inlineStr">
        <is>
          <t>UNIFORME</t>
        </is>
      </c>
      <c r="E267" s="56" t="inlineStr">
        <is>
          <t>CHEMISE VERDE DAMA T/XXL</t>
        </is>
      </c>
    </row>
    <row r="268" hidden="1" s="11">
      <c r="B268" s="56" t="n">
        <v>262</v>
      </c>
      <c r="C268" s="56">
        <f>TEXT(COUNTIF($D$7:D268, D268), "00000") &amp; "-" &amp; VLOOKUP(D268, $J$7:$K$19, 2, FALSE)</f>
        <v/>
      </c>
      <c r="D268" s="56" t="inlineStr">
        <is>
          <t>UNIFORME</t>
        </is>
      </c>
      <c r="E268" s="56" t="inlineStr">
        <is>
          <t>CHEMISE VERDE DAMA T/XL</t>
        </is>
      </c>
    </row>
    <row r="269" hidden="1" s="11">
      <c r="B269" s="56" t="n">
        <v>263</v>
      </c>
      <c r="C269" s="56">
        <f>TEXT(COUNTIF($D$7:D269, D269), "00000") &amp; "-" &amp; VLOOKUP(D269, $J$7:$K$19, 2, FALSE)</f>
        <v/>
      </c>
      <c r="D269" s="56" t="inlineStr">
        <is>
          <t>UNIFORME</t>
        </is>
      </c>
      <c r="E269" s="56" t="inlineStr">
        <is>
          <t>CHEMISE VERDE DAMA T/S</t>
        </is>
      </c>
    </row>
    <row r="270" hidden="1" s="11">
      <c r="B270" s="56" t="n">
        <v>264</v>
      </c>
      <c r="C270" s="56">
        <f>TEXT(COUNTIF($D$7:D270, D270), "00000") &amp; "-" &amp; VLOOKUP(D270, $J$7:$K$19, 2, FALSE)</f>
        <v/>
      </c>
      <c r="D270" s="56" t="inlineStr">
        <is>
          <t>UNIFORME</t>
        </is>
      </c>
      <c r="E270" s="56" t="inlineStr">
        <is>
          <t>CHEMISE VERDE DAMA T/M</t>
        </is>
      </c>
    </row>
    <row r="271" hidden="1" s="11">
      <c r="B271" s="56" t="n">
        <v>265</v>
      </c>
      <c r="C271" s="56">
        <f>TEXT(COUNTIF($D$7:D271, D271), "00000") &amp; "-" &amp; VLOOKUP(D271, $J$7:$K$19, 2, FALSE)</f>
        <v/>
      </c>
      <c r="D271" s="56" t="inlineStr">
        <is>
          <t>UNIFORME</t>
        </is>
      </c>
      <c r="E271" s="56" t="inlineStr">
        <is>
          <t>CHEMISE VERDE DAMA T/L</t>
        </is>
      </c>
    </row>
    <row r="272" hidden="1" s="11">
      <c r="B272" s="56" t="n">
        <v>266</v>
      </c>
      <c r="C272" s="56">
        <f>TEXT(COUNTIF($D$7:D272, D272), "00000") &amp; "-" &amp; VLOOKUP(D272, $J$7:$K$19, 2, FALSE)</f>
        <v/>
      </c>
      <c r="D272" s="56" t="inlineStr">
        <is>
          <t>UNIFORME</t>
        </is>
      </c>
      <c r="E272" s="56" t="inlineStr">
        <is>
          <t>CHEMISE VERDE CABALLERO T/XXL</t>
        </is>
      </c>
    </row>
    <row r="273" hidden="1" s="11">
      <c r="B273" s="56" t="n">
        <v>267</v>
      </c>
      <c r="C273" s="56">
        <f>TEXT(COUNTIF($D$7:D273, D273), "00000") &amp; "-" &amp; VLOOKUP(D273, $J$7:$K$19, 2, FALSE)</f>
        <v/>
      </c>
      <c r="D273" s="56" t="inlineStr">
        <is>
          <t>UNIFORME</t>
        </is>
      </c>
      <c r="E273" s="56" t="inlineStr">
        <is>
          <t>CHEMISE VERDE CABALLERO T/XL</t>
        </is>
      </c>
    </row>
    <row r="274" hidden="1" s="11">
      <c r="B274" s="56" t="n">
        <v>268</v>
      </c>
      <c r="C274" s="56">
        <f>TEXT(COUNTIF($D$7:D274, D274), "00000") &amp; "-" &amp; VLOOKUP(D274, $J$7:$K$19, 2, FALSE)</f>
        <v/>
      </c>
      <c r="D274" s="56" t="inlineStr">
        <is>
          <t>UNIFORME</t>
        </is>
      </c>
      <c r="E274" s="56" t="inlineStr">
        <is>
          <t>CHEMISE VERDE CABALLERO T/S</t>
        </is>
      </c>
    </row>
    <row r="275" hidden="1" s="11">
      <c r="B275" s="56" t="n">
        <v>269</v>
      </c>
      <c r="C275" s="56">
        <f>TEXT(COUNTIF($D$7:D275, D275), "00000") &amp; "-" &amp; VLOOKUP(D275, $J$7:$K$19, 2, FALSE)</f>
        <v/>
      </c>
      <c r="D275" s="56" t="inlineStr">
        <is>
          <t>UNIFORME</t>
        </is>
      </c>
      <c r="E275" s="56" t="inlineStr">
        <is>
          <t>CHEMISE VERDE CABALLERO T/M</t>
        </is>
      </c>
    </row>
    <row r="276" hidden="1" s="11">
      <c r="B276" s="56" t="n">
        <v>270</v>
      </c>
      <c r="C276" s="56">
        <f>TEXT(COUNTIF($D$7:D276, D276), "00000") &amp; "-" &amp; VLOOKUP(D276, $J$7:$K$19, 2, FALSE)</f>
        <v/>
      </c>
      <c r="D276" s="56" t="inlineStr">
        <is>
          <t>UNIFORME</t>
        </is>
      </c>
      <c r="E276" s="56" t="inlineStr">
        <is>
          <t>CHEMISE VERDE CABALLERO T/L</t>
        </is>
      </c>
    </row>
    <row r="277" hidden="1" s="11">
      <c r="B277" s="56" t="n">
        <v>271</v>
      </c>
      <c r="C277" s="56">
        <f>TEXT(COUNTIF($D$7:D277, D277), "00000") &amp; "-" &amp; VLOOKUP(D277, $J$7:$K$19, 2, FALSE)</f>
        <v/>
      </c>
      <c r="D277" s="56" t="inlineStr">
        <is>
          <t>UNIFORME</t>
        </is>
      </c>
      <c r="E277" s="56" t="inlineStr">
        <is>
          <t>CHEMISE AZUL DAMA T/XXL</t>
        </is>
      </c>
    </row>
    <row r="278" hidden="1" s="11">
      <c r="B278" s="56" t="n">
        <v>272</v>
      </c>
      <c r="C278" s="56">
        <f>TEXT(COUNTIF($D$7:D278, D278), "00000") &amp; "-" &amp; VLOOKUP(D278, $J$7:$K$19, 2, FALSE)</f>
        <v/>
      </c>
      <c r="D278" s="56" t="inlineStr">
        <is>
          <t>UNIFORME</t>
        </is>
      </c>
      <c r="E278" s="56" t="inlineStr">
        <is>
          <t>CHEMISE AZUL DAMA T/XL</t>
        </is>
      </c>
    </row>
    <row r="279" hidden="1" s="11">
      <c r="B279" s="56" t="n">
        <v>273</v>
      </c>
      <c r="C279" s="56">
        <f>TEXT(COUNTIF($D$7:D279, D279), "00000") &amp; "-" &amp; VLOOKUP(D279, $J$7:$K$19, 2, FALSE)</f>
        <v/>
      </c>
      <c r="D279" s="56" t="inlineStr">
        <is>
          <t>UNIFORME</t>
        </is>
      </c>
      <c r="E279" s="56" t="inlineStr">
        <is>
          <t>CHEMISE AZUL DAMA T/M</t>
        </is>
      </c>
    </row>
    <row r="280" hidden="1" s="11">
      <c r="B280" s="56" t="n">
        <v>274</v>
      </c>
      <c r="C280" s="56">
        <f>TEXT(COUNTIF($D$7:D280, D280), "00000") &amp; "-" &amp; VLOOKUP(D280, $J$7:$K$19, 2, FALSE)</f>
        <v/>
      </c>
      <c r="D280" s="56" t="inlineStr">
        <is>
          <t>UNIFORME</t>
        </is>
      </c>
      <c r="E280" s="56" t="inlineStr">
        <is>
          <t>CHEMISE AZUL DAMA T/L</t>
        </is>
      </c>
    </row>
    <row r="281" hidden="1" s="11">
      <c r="B281" s="56" t="n">
        <v>275</v>
      </c>
      <c r="C281" s="56">
        <f>TEXT(COUNTIF($D$7:D281, D281), "00000") &amp; "-" &amp; VLOOKUP(D281, $J$7:$K$19, 2, FALSE)</f>
        <v/>
      </c>
      <c r="D281" s="56" t="inlineStr">
        <is>
          <t>UNIFORME</t>
        </is>
      </c>
      <c r="E281" s="56" t="inlineStr">
        <is>
          <t>CHEMISE AZUL CABALLERO T/XXL</t>
        </is>
      </c>
    </row>
    <row r="282" hidden="1" s="11">
      <c r="B282" s="56" t="n">
        <v>276</v>
      </c>
      <c r="C282" s="56">
        <f>TEXT(COUNTIF($D$7:D282, D282), "00000") &amp; "-" &amp; VLOOKUP(D282, $J$7:$K$19, 2, FALSE)</f>
        <v/>
      </c>
      <c r="D282" s="56" t="inlineStr">
        <is>
          <t>UNIFORME</t>
        </is>
      </c>
      <c r="E282" s="56" t="inlineStr">
        <is>
          <t>CHEMISE AZUL CABALLERO T/XL</t>
        </is>
      </c>
    </row>
    <row r="283" hidden="1" s="11">
      <c r="B283" s="56" t="n">
        <v>277</v>
      </c>
      <c r="C283" s="56">
        <f>TEXT(COUNTIF($D$7:D283, D283), "00000") &amp; "-" &amp; VLOOKUP(D283, $J$7:$K$19, 2, FALSE)</f>
        <v/>
      </c>
      <c r="D283" s="56" t="inlineStr">
        <is>
          <t>UNIFORME</t>
        </is>
      </c>
      <c r="E283" s="56" t="inlineStr">
        <is>
          <t>CHEMISE AZUL CABALLERO T/M</t>
        </is>
      </c>
    </row>
    <row r="284" hidden="1" s="11">
      <c r="B284" s="56" t="n">
        <v>278</v>
      </c>
      <c r="C284" s="56">
        <f>TEXT(COUNTIF($D$7:D284, D284), "00000") &amp; "-" &amp; VLOOKUP(D284, $J$7:$K$19, 2, FALSE)</f>
        <v/>
      </c>
      <c r="D284" s="56" t="inlineStr">
        <is>
          <t>UNIFORME</t>
        </is>
      </c>
      <c r="E284" s="56" t="inlineStr">
        <is>
          <t>CHEMISE AZUL CABALLERO T/L</t>
        </is>
      </c>
    </row>
    <row r="285" hidden="1" s="11">
      <c r="B285" s="56" t="n">
        <v>279</v>
      </c>
      <c r="C285" s="56">
        <f>TEXT(COUNTIF($D$7:D285, D285), "00000") &amp; "-" &amp; VLOOKUP(D285, $J$7:$K$19, 2, FALSE)</f>
        <v/>
      </c>
      <c r="D285" s="56" t="inlineStr">
        <is>
          <t>UNIFORME</t>
        </is>
      </c>
      <c r="E285" s="56" t="inlineStr">
        <is>
          <t>CHEMISE AMARILLA DAMA T/XXL</t>
        </is>
      </c>
    </row>
    <row r="286" hidden="1" s="11">
      <c r="B286" s="56" t="n">
        <v>280</v>
      </c>
      <c r="C286" s="56">
        <f>TEXT(COUNTIF($D$7:D286, D286), "00000") &amp; "-" &amp; VLOOKUP(D286, $J$7:$K$19, 2, FALSE)</f>
        <v/>
      </c>
      <c r="D286" s="56" t="inlineStr">
        <is>
          <t>UNIFORME</t>
        </is>
      </c>
      <c r="E286" s="56" t="inlineStr">
        <is>
          <t>CHEMISE AMARILLA DAMA T/XL</t>
        </is>
      </c>
    </row>
    <row r="287" hidden="1" s="11">
      <c r="B287" s="56" t="n">
        <v>281</v>
      </c>
      <c r="C287" s="56">
        <f>TEXT(COUNTIF($D$7:D287, D287), "00000") &amp; "-" &amp; VLOOKUP(D287, $J$7:$K$19, 2, FALSE)</f>
        <v/>
      </c>
      <c r="D287" s="56" t="inlineStr">
        <is>
          <t>UNIFORME</t>
        </is>
      </c>
      <c r="E287" s="56" t="inlineStr">
        <is>
          <t>CHEMISE AMARILLA DAMA T/S</t>
        </is>
      </c>
    </row>
    <row r="288" hidden="1" s="11">
      <c r="B288" s="56" t="n">
        <v>282</v>
      </c>
      <c r="C288" s="56">
        <f>TEXT(COUNTIF($D$7:D288, D288), "00000") &amp; "-" &amp; VLOOKUP(D288, $J$7:$K$19, 2, FALSE)</f>
        <v/>
      </c>
      <c r="D288" s="56" t="inlineStr">
        <is>
          <t>UNIFORME</t>
        </is>
      </c>
      <c r="E288" s="56" t="inlineStr">
        <is>
          <t>CHEMISE AMARILLA DAMA T/M</t>
        </is>
      </c>
    </row>
    <row r="289" hidden="1" s="11">
      <c r="B289" s="56" t="n">
        <v>283</v>
      </c>
      <c r="C289" s="56">
        <f>TEXT(COUNTIF($D$7:D289, D289), "00000") &amp; "-" &amp; VLOOKUP(D289, $J$7:$K$19, 2, FALSE)</f>
        <v/>
      </c>
      <c r="D289" s="56" t="inlineStr">
        <is>
          <t>UNIFORME</t>
        </is>
      </c>
      <c r="E289" s="56" t="inlineStr">
        <is>
          <t>CHEMISE AMARILLA DAMA T/L</t>
        </is>
      </c>
    </row>
    <row r="290" hidden="1" s="11">
      <c r="B290" s="56" t="n">
        <v>284</v>
      </c>
      <c r="C290" s="56">
        <f>TEXT(COUNTIF($D$7:D290, D290), "00000") &amp; "-" &amp; VLOOKUP(D290, $J$7:$K$19, 2, FALSE)</f>
        <v/>
      </c>
      <c r="D290" s="56" t="inlineStr">
        <is>
          <t>UNIFORME</t>
        </is>
      </c>
      <c r="E290" s="56" t="inlineStr">
        <is>
          <t>CHEMISE AMARILLA CABALLERO T/M</t>
        </is>
      </c>
    </row>
    <row r="291" hidden="1" s="11">
      <c r="B291" s="56" t="n">
        <v>285</v>
      </c>
      <c r="C291" s="56">
        <f>TEXT(COUNTIF($D$7:D291, D291), "00000") &amp; "-" &amp; VLOOKUP(D291, $J$7:$K$19, 2, FALSE)</f>
        <v/>
      </c>
      <c r="D291" s="56" t="inlineStr">
        <is>
          <t>UNIFORME</t>
        </is>
      </c>
      <c r="E291" s="56" t="inlineStr">
        <is>
          <t>CHEMISE AMARILLA CABALLERO T/L</t>
        </is>
      </c>
    </row>
    <row r="292" hidden="1" s="11">
      <c r="B292" s="56" t="n">
        <v>286</v>
      </c>
      <c r="C292" s="56">
        <f>TEXT(COUNTIF($D$7:D292, D292), "00000") &amp; "-" &amp; VLOOKUP(D292, $J$7:$K$19, 2, FALSE)</f>
        <v/>
      </c>
      <c r="D292" s="56" t="inlineStr">
        <is>
          <t>UNIFORME</t>
        </is>
      </c>
      <c r="E292" s="56" t="inlineStr">
        <is>
          <t>CHALECO VERDE T/XL</t>
        </is>
      </c>
    </row>
    <row r="293" hidden="1" s="11">
      <c r="B293" s="56" t="n">
        <v>287</v>
      </c>
      <c r="C293" s="56">
        <f>TEXT(COUNTIF($D$7:D293, D293), "00000") &amp; "-" &amp; VLOOKUP(D293, $J$7:$K$19, 2, FALSE)</f>
        <v/>
      </c>
      <c r="D293" s="56" t="inlineStr">
        <is>
          <t>UNIFORME</t>
        </is>
      </c>
      <c r="E293" s="56" t="inlineStr">
        <is>
          <t>CHALECO VERDE T/S</t>
        </is>
      </c>
    </row>
    <row r="294" hidden="1" s="11">
      <c r="B294" s="56" t="n">
        <v>288</v>
      </c>
      <c r="C294" s="56">
        <f>TEXT(COUNTIF($D$7:D294, D294), "00000") &amp; "-" &amp; VLOOKUP(D294, $J$7:$K$19, 2, FALSE)</f>
        <v/>
      </c>
      <c r="D294" s="56" t="inlineStr">
        <is>
          <t>UNIFORME</t>
        </is>
      </c>
      <c r="E294" s="56" t="inlineStr">
        <is>
          <t>CHALECO VERDE T/M</t>
        </is>
      </c>
    </row>
    <row r="295" hidden="1" s="11">
      <c r="B295" s="56" t="n">
        <v>289</v>
      </c>
      <c r="C295" s="56">
        <f>TEXT(COUNTIF($D$7:D295, D295), "00000") &amp; "-" &amp; VLOOKUP(D295, $J$7:$K$19, 2, FALSE)</f>
        <v/>
      </c>
      <c r="D295" s="56" t="inlineStr">
        <is>
          <t>UNIFORME</t>
        </is>
      </c>
      <c r="E295" s="56" t="inlineStr">
        <is>
          <t>CHALECO VERDE T/L</t>
        </is>
      </c>
    </row>
    <row r="296" hidden="1" s="11">
      <c r="B296" s="56" t="n">
        <v>290</v>
      </c>
      <c r="C296" s="56">
        <f>TEXT(COUNTIF($D$7:D296, D296), "00000") &amp; "-" &amp; VLOOKUP(D296, $J$7:$K$19, 2, FALSE)</f>
        <v/>
      </c>
      <c r="D296" s="56" t="inlineStr">
        <is>
          <t>MISCELANEOS</t>
        </is>
      </c>
      <c r="E296" s="56" t="inlineStr">
        <is>
          <t>CHAIRA 8" VENEZIA</t>
        </is>
      </c>
    </row>
    <row r="297" hidden="1" s="11">
      <c r="B297" s="56" t="n">
        <v>291</v>
      </c>
      <c r="C297" s="56">
        <f>TEXT(COUNTIF($D$7:D297, D297), "00000") &amp; "-" &amp; VLOOKUP(D297, $J$7:$K$19, 2, FALSE)</f>
        <v/>
      </c>
      <c r="D297" s="56" t="inlineStr">
        <is>
          <t>FERRETERIA</t>
        </is>
      </c>
      <c r="E297" s="56" t="inlineStr">
        <is>
          <t>CUÑETE PINTURA CAUCHO BLANCO</t>
        </is>
      </c>
    </row>
    <row r="298" hidden="1" s="11">
      <c r="B298" s="56" t="n">
        <v>292</v>
      </c>
      <c r="C298" s="56">
        <f>TEXT(COUNTIF($D$7:D298, D298), "00000") &amp; "-" &amp; VLOOKUP(D298, $J$7:$K$19, 2, FALSE)</f>
        <v/>
      </c>
      <c r="D298" s="56" t="inlineStr">
        <is>
          <t>FERRETERIA</t>
        </is>
      </c>
      <c r="E298" s="56" t="inlineStr">
        <is>
          <t>CUÑETE PINTURA ALTO TRAFICO AMARILLO</t>
        </is>
      </c>
    </row>
    <row r="299" hidden="1" s="11">
      <c r="B299" s="56" t="n">
        <v>293</v>
      </c>
      <c r="C299" s="56">
        <f>TEXT(COUNTIF($D$7:D299, D299), "00000") &amp; "-" &amp; VLOOKUP(D299, $J$7:$K$19, 2, FALSE)</f>
        <v/>
      </c>
      <c r="D299" s="56" t="inlineStr">
        <is>
          <t>HERRAMIENTA</t>
        </is>
      </c>
      <c r="E299" s="56" t="inlineStr">
        <is>
          <t>CEPILLO DE ALBAÑILERIA</t>
        </is>
      </c>
    </row>
    <row r="300" hidden="1" s="11">
      <c r="B300" s="56" t="n">
        <v>294</v>
      </c>
      <c r="C300" s="56">
        <f>TEXT(COUNTIF($D$7:D300, D300), "00000") &amp; "-" &amp; VLOOKUP(D300, $J$7:$K$19, 2, FALSE)</f>
        <v/>
      </c>
      <c r="D300" s="56" t="inlineStr">
        <is>
          <t>MISCELANEOS</t>
        </is>
      </c>
      <c r="E300" s="56" t="inlineStr">
        <is>
          <t>CAVA PEQ. NARANJA</t>
        </is>
      </c>
    </row>
    <row r="301" hidden="1" s="11">
      <c r="B301" s="56" t="n">
        <v>295</v>
      </c>
      <c r="C301" s="56">
        <f>TEXT(COUNTIF($D$7:D301, D301), "00000") &amp; "-" &amp; VLOOKUP(D301, $J$7:$K$19, 2, FALSE)</f>
        <v/>
      </c>
      <c r="D301" s="56" t="inlineStr">
        <is>
          <t>MISCELANEOS</t>
        </is>
      </c>
      <c r="E301" s="56" t="inlineStr">
        <is>
          <t>CAVA GRANDE 49L ROJA</t>
        </is>
      </c>
    </row>
    <row r="302" hidden="1" s="11">
      <c r="B302" s="56" t="n">
        <v>296</v>
      </c>
      <c r="C302" s="56">
        <f>TEXT(COUNTIF($D$7:D302, D302), "00000") &amp; "-" &amp; VLOOKUP(D302, $J$7:$K$19, 2, FALSE)</f>
        <v/>
      </c>
      <c r="D302" s="56" t="inlineStr">
        <is>
          <t>HERRAMIENTA</t>
        </is>
      </c>
      <c r="E302" s="56" t="inlineStr">
        <is>
          <t>CAUTIN ELECTRICO 60W 110V</t>
        </is>
      </c>
    </row>
    <row r="303" hidden="1" s="11">
      <c r="B303" s="56" t="n">
        <v>297</v>
      </c>
      <c r="C303" s="56">
        <f>TEXT(COUNTIF($D$7:D303, D303), "00000") &amp; "-" &amp; VLOOKUP(D303, $J$7:$K$19, 2, FALSE)</f>
        <v/>
      </c>
      <c r="D303" s="56" t="inlineStr">
        <is>
          <t>OFICINA</t>
        </is>
      </c>
      <c r="E303" s="56" t="inlineStr">
        <is>
          <t>CARPETA MARRON T/CARTA</t>
        </is>
      </c>
    </row>
    <row r="304" hidden="1" s="11">
      <c r="B304" s="56" t="n">
        <v>298</v>
      </c>
      <c r="C304" s="56">
        <f>TEXT(COUNTIF($D$7:D304, D304), "00000") &amp; "-" &amp; VLOOKUP(D304, $J$7:$K$19, 2, FALSE)</f>
        <v/>
      </c>
      <c r="D304" s="56" t="inlineStr">
        <is>
          <t>OFICINA</t>
        </is>
      </c>
      <c r="E304" s="56" t="inlineStr">
        <is>
          <t>CARPETA MANILA T/CARTA</t>
        </is>
      </c>
    </row>
    <row r="305" hidden="1" s="11">
      <c r="B305" s="56" t="n">
        <v>299</v>
      </c>
      <c r="C305" s="56">
        <f>TEXT(COUNTIF($D$7:D305, D305), "00000") &amp; "-" &amp; VLOOKUP(D305, $J$7:$K$19, 2, FALSE)</f>
        <v/>
      </c>
      <c r="D305" s="56" t="inlineStr">
        <is>
          <t>HERRAMIENTA</t>
        </is>
      </c>
      <c r="E305" s="56" t="inlineStr">
        <is>
          <t>CARGADOR DE BATERIA INTELIGENTE</t>
        </is>
      </c>
    </row>
    <row r="306" hidden="1" s="11">
      <c r="B306" s="56" t="n">
        <v>300</v>
      </c>
      <c r="C306" s="56">
        <f>TEXT(COUNTIF($D$7:D306, D306), "00000") &amp; "-" &amp; VLOOKUP(D306, $J$7:$K$19, 2, FALSE)</f>
        <v/>
      </c>
      <c r="D306" s="56" t="inlineStr">
        <is>
          <t>REFRIGERACION</t>
        </is>
      </c>
      <c r="E306" s="56" t="inlineStr">
        <is>
          <t>CAPILAR 0.49 (METRO)</t>
        </is>
      </c>
    </row>
    <row r="307" hidden="1" s="11">
      <c r="B307" s="56" t="n">
        <v>301</v>
      </c>
      <c r="C307" s="56">
        <f>TEXT(COUNTIF($D$7:D307, D307), "00000") &amp; "-" &amp; VLOOKUP(D307, $J$7:$K$19, 2, FALSE)</f>
        <v/>
      </c>
      <c r="D307" s="56" t="inlineStr">
        <is>
          <t>FERRETERIA</t>
        </is>
      </c>
      <c r="E307" s="56" t="inlineStr">
        <is>
          <t>CUÑETE PASTA PROFECIONAL</t>
        </is>
      </c>
    </row>
    <row r="308" hidden="1" s="11">
      <c r="B308" s="56" t="n">
        <v>302</v>
      </c>
      <c r="C308" s="56">
        <f>TEXT(COUNTIF($D$7:D308, D308), "00000") &amp; "-" &amp; VLOOKUP(D308, $J$7:$K$19, 2, FALSE)</f>
        <v/>
      </c>
      <c r="D308" s="56" t="inlineStr">
        <is>
          <t>FERRETERIA</t>
        </is>
      </c>
      <c r="E308" s="56" t="inlineStr">
        <is>
          <t>CUÑETE IMPERMEABILIZANTE GRIS</t>
        </is>
      </c>
    </row>
    <row r="309" hidden="1" s="11">
      <c r="B309" s="56" t="n">
        <v>303</v>
      </c>
      <c r="C309" s="56">
        <f>TEXT(COUNTIF($D$7:D309, D309), "00000") &amp; "-" &amp; VLOOKUP(D309, $J$7:$K$19, 2, FALSE)</f>
        <v/>
      </c>
      <c r="D309" s="56" t="inlineStr">
        <is>
          <t>FERRETERIA</t>
        </is>
      </c>
      <c r="E309" s="56" t="inlineStr">
        <is>
          <t>CUÑETE IMPERMEABILIZANTE BLANCO</t>
        </is>
      </c>
    </row>
    <row r="310" hidden="1" s="11">
      <c r="B310" s="56" t="n">
        <v>304</v>
      </c>
      <c r="C310" s="56">
        <f>TEXT(COUNTIF($D$7:D310, D310), "00000") &amp; "-" &amp; VLOOKUP(D310, $J$7:$K$19, 2, FALSE)</f>
        <v/>
      </c>
      <c r="D310" s="56" t="inlineStr">
        <is>
          <t>FERRETERIA</t>
        </is>
      </c>
      <c r="E310" s="56" t="inlineStr">
        <is>
          <t>CUÑETE CEMENTO PLASTICO</t>
        </is>
      </c>
    </row>
    <row r="311" hidden="1" s="11">
      <c r="B311" s="56" t="n">
        <v>305</v>
      </c>
      <c r="C311" s="56">
        <f>TEXT(COUNTIF($D$7:D311, D311), "00000") &amp; "-" &amp; VLOOKUP(D311, $J$7:$K$19, 2, FALSE)</f>
        <v/>
      </c>
      <c r="D311" s="56" t="inlineStr">
        <is>
          <t>FERRETERIA</t>
        </is>
      </c>
      <c r="E311" s="56" t="inlineStr">
        <is>
          <t>CERRADURA P/ GAVETA 2 LLAVES</t>
        </is>
      </c>
    </row>
    <row r="312" hidden="1" s="11">
      <c r="B312" s="56" t="n">
        <v>306</v>
      </c>
      <c r="C312" s="56">
        <f>TEXT(COUNTIF($D$7:D312, D312), "00000") &amp; "-" &amp; VLOOKUP(D312, $J$7:$K$19, 2, FALSE)</f>
        <v/>
      </c>
      <c r="D312" s="56" t="inlineStr">
        <is>
          <t>FERRETERIA</t>
        </is>
      </c>
      <c r="E312" s="56" t="inlineStr">
        <is>
          <t>CERRADURA DE MANILLA 3 LLAVES</t>
        </is>
      </c>
    </row>
    <row r="313" hidden="1" s="11">
      <c r="B313" s="56" t="n">
        <v>307</v>
      </c>
      <c r="C313" s="56">
        <f>TEXT(COUNTIF($D$7:D313, D313), "00000") &amp; "-" &amp; VLOOKUP(D313, $J$7:$K$19, 2, FALSE)</f>
        <v/>
      </c>
      <c r="D313" s="56" t="inlineStr">
        <is>
          <t>FERRETERIA</t>
        </is>
      </c>
      <c r="E313" s="56" t="inlineStr">
        <is>
          <t>CANDADO DE COMBINACION P/ INTERIOR</t>
        </is>
      </c>
    </row>
    <row r="314" hidden="1" s="11">
      <c r="B314" s="56" t="n">
        <v>308</v>
      </c>
      <c r="C314" s="56">
        <f>TEXT(COUNTIF($D$7:D314, D314), "00000") &amp; "-" &amp; VLOOKUP(D314, $J$7:$K$19, 2, FALSE)</f>
        <v/>
      </c>
      <c r="D314" s="56" t="inlineStr">
        <is>
          <t>FERRETERIA</t>
        </is>
      </c>
      <c r="E314" s="56" t="inlineStr">
        <is>
          <t>CANDADO ANTICIZALLA 90MM</t>
        </is>
      </c>
    </row>
    <row r="315" hidden="1" s="11">
      <c r="B315" s="56" t="n">
        <v>309</v>
      </c>
      <c r="C315" s="56">
        <f>TEXT(COUNTIF($D$7:D315, D315), "00000") &amp; "-" &amp; VLOOKUP(D315, $J$7:$K$19, 2, FALSE)</f>
        <v/>
      </c>
      <c r="D315" s="56" t="inlineStr">
        <is>
          <t>UNIFORME</t>
        </is>
      </c>
      <c r="E315" s="56" t="inlineStr">
        <is>
          <t>CAMISA NEGRA MAYOR DAMA T/XXL</t>
        </is>
      </c>
    </row>
    <row r="316" hidden="1" s="11">
      <c r="B316" s="56" t="n">
        <v>310</v>
      </c>
      <c r="C316" s="56">
        <f>TEXT(COUNTIF($D$7:D316, D316), "00000") &amp; "-" &amp; VLOOKUP(D316, $J$7:$K$19, 2, FALSE)</f>
        <v/>
      </c>
      <c r="D316" s="56" t="inlineStr">
        <is>
          <t>UNIFORME</t>
        </is>
      </c>
      <c r="E316" s="56" t="inlineStr">
        <is>
          <t>CAMISA NEGRA MAYOR DAMA T/XL</t>
        </is>
      </c>
    </row>
    <row r="317" hidden="1" s="11">
      <c r="B317" s="56" t="n">
        <v>311</v>
      </c>
      <c r="C317" s="56">
        <f>TEXT(COUNTIF($D$7:D317, D317), "00000") &amp; "-" &amp; VLOOKUP(D317, $J$7:$K$19, 2, FALSE)</f>
        <v/>
      </c>
      <c r="D317" s="56" t="inlineStr">
        <is>
          <t>UNIFORME</t>
        </is>
      </c>
      <c r="E317" s="56" t="inlineStr">
        <is>
          <t>CAMISA NEGRA MAYOR DAMA T/S</t>
        </is>
      </c>
    </row>
    <row r="318" hidden="1" s="11">
      <c r="B318" s="56" t="n">
        <v>312</v>
      </c>
      <c r="C318" s="56">
        <f>TEXT(COUNTIF($D$7:D318, D318), "00000") &amp; "-" &amp; VLOOKUP(D318, $J$7:$K$19, 2, FALSE)</f>
        <v/>
      </c>
      <c r="D318" s="56" t="inlineStr">
        <is>
          <t>UNIFORME</t>
        </is>
      </c>
      <c r="E318" s="56" t="inlineStr">
        <is>
          <t>CAMISA NEGRA MAYOR DAMA T/M</t>
        </is>
      </c>
    </row>
    <row r="319" hidden="1" s="11">
      <c r="B319" s="56" t="n">
        <v>313</v>
      </c>
      <c r="C319" s="56">
        <f>TEXT(COUNTIF($D$7:D319, D319), "00000") &amp; "-" &amp; VLOOKUP(D319, $J$7:$K$19, 2, FALSE)</f>
        <v/>
      </c>
      <c r="D319" s="56" t="inlineStr">
        <is>
          <t>UNIFORME</t>
        </is>
      </c>
      <c r="E319" s="56" t="inlineStr">
        <is>
          <t>CAMISA NEGRA MAYOR DAMA T/L</t>
        </is>
      </c>
    </row>
    <row r="320" hidden="1" s="11">
      <c r="B320" s="56" t="n">
        <v>314</v>
      </c>
      <c r="C320" s="56">
        <f>TEXT(COUNTIF($D$7:D320, D320), "00000") &amp; "-" &amp; VLOOKUP(D320, $J$7:$K$19, 2, FALSE)</f>
        <v/>
      </c>
      <c r="D320" s="56" t="inlineStr">
        <is>
          <t>UNIFORME</t>
        </is>
      </c>
      <c r="E320" s="56" t="inlineStr">
        <is>
          <t>CAMISA NEGRA MAYOR CABALLERO T/XXL</t>
        </is>
      </c>
    </row>
    <row r="321" hidden="1" s="11">
      <c r="B321" s="56" t="n">
        <v>315</v>
      </c>
      <c r="C321" s="56">
        <f>TEXT(COUNTIF($D$7:D321, D321), "00000") &amp; "-" &amp; VLOOKUP(D321, $J$7:$K$19, 2, FALSE)</f>
        <v/>
      </c>
      <c r="D321" s="56" t="inlineStr">
        <is>
          <t>UNIFORME</t>
        </is>
      </c>
      <c r="E321" s="56" t="inlineStr">
        <is>
          <t>CAMISA NEGRA MAYOR CABALLERO T/S</t>
        </is>
      </c>
    </row>
    <row r="322" hidden="1" s="11">
      <c r="B322" s="56" t="n">
        <v>316</v>
      </c>
      <c r="C322" s="56">
        <f>TEXT(COUNTIF($D$7:D322, D322), "00000") &amp; "-" &amp; VLOOKUP(D322, $J$7:$K$19, 2, FALSE)</f>
        <v/>
      </c>
      <c r="D322" s="56" t="inlineStr">
        <is>
          <t>UNIFORME</t>
        </is>
      </c>
      <c r="E322" s="56" t="inlineStr">
        <is>
          <t>CAMISA NEGRA MAYOR CABALLERO T/M</t>
        </is>
      </c>
    </row>
    <row r="323" hidden="1" s="11">
      <c r="B323" s="56" t="n">
        <v>317</v>
      </c>
      <c r="C323" s="56">
        <f>TEXT(COUNTIF($D$7:D323, D323), "00000") &amp; "-" &amp; VLOOKUP(D323, $J$7:$K$19, 2, FALSE)</f>
        <v/>
      </c>
      <c r="D323" s="56" t="inlineStr">
        <is>
          <t>UNIFORME</t>
        </is>
      </c>
      <c r="E323" s="56" t="inlineStr">
        <is>
          <t>CAMISA NEGRA MAYOR CABALLERO T/L</t>
        </is>
      </c>
    </row>
    <row r="324" hidden="1" s="11">
      <c r="B324" s="56" t="n">
        <v>318</v>
      </c>
      <c r="C324" s="56">
        <f>TEXT(COUNTIF($D$7:D324, D324), "00000") &amp; "-" &amp; VLOOKUP(D324, $J$7:$K$19, 2, FALSE)</f>
        <v/>
      </c>
      <c r="D324" s="56" t="inlineStr">
        <is>
          <t>UNIFORME</t>
        </is>
      </c>
      <c r="E324" s="56" t="inlineStr">
        <is>
          <t>CAMISA NEGRA DETAL DAMA T/XXL</t>
        </is>
      </c>
    </row>
    <row r="325" hidden="1" s="11">
      <c r="B325" s="56" t="n">
        <v>319</v>
      </c>
      <c r="C325" s="56">
        <f>TEXT(COUNTIF($D$7:D325, D325), "00000") &amp; "-" &amp; VLOOKUP(D325, $J$7:$K$19, 2, FALSE)</f>
        <v/>
      </c>
      <c r="D325" s="56" t="inlineStr">
        <is>
          <t>UNIFORME</t>
        </is>
      </c>
      <c r="E325" s="56" t="inlineStr">
        <is>
          <t>CAMISA NEGRA DETAL DAMA T/XL</t>
        </is>
      </c>
    </row>
    <row r="326" hidden="1" s="11">
      <c r="B326" s="56" t="n">
        <v>320</v>
      </c>
      <c r="C326" s="56">
        <f>TEXT(COUNTIF($D$7:D326, D326), "00000") &amp; "-" &amp; VLOOKUP(D326, $J$7:$K$19, 2, FALSE)</f>
        <v/>
      </c>
      <c r="D326" s="56" t="inlineStr">
        <is>
          <t>UNIFORME</t>
        </is>
      </c>
      <c r="E326" s="56" t="inlineStr">
        <is>
          <t>CAMISA NEGRA DETAL DAMA T/M</t>
        </is>
      </c>
    </row>
    <row r="327" hidden="1" s="11">
      <c r="B327" s="56" t="n">
        <v>321</v>
      </c>
      <c r="C327" s="56">
        <f>TEXT(COUNTIF($D$7:D327, D327), "00000") &amp; "-" &amp; VLOOKUP(D327, $J$7:$K$19, 2, FALSE)</f>
        <v/>
      </c>
      <c r="D327" s="56" t="inlineStr">
        <is>
          <t>UNIFORME</t>
        </is>
      </c>
      <c r="E327" s="56" t="inlineStr">
        <is>
          <t>CAMISA NEGRA DETAL DAMA T/L</t>
        </is>
      </c>
    </row>
    <row r="328" hidden="1" s="11">
      <c r="B328" s="56" t="n">
        <v>322</v>
      </c>
      <c r="C328" s="56">
        <f>TEXT(COUNTIF($D$7:D328, D328), "00000") &amp; "-" &amp; VLOOKUP(D328, $J$7:$K$19, 2, FALSE)</f>
        <v/>
      </c>
      <c r="D328" s="56" t="inlineStr">
        <is>
          <t>UNIFORME</t>
        </is>
      </c>
      <c r="E328" s="56" t="inlineStr">
        <is>
          <t>CAMISA NEGRA DETAL CABALLERO T/XXL</t>
        </is>
      </c>
    </row>
    <row r="329" hidden="1" s="11">
      <c r="B329" s="56" t="n">
        <v>323</v>
      </c>
      <c r="C329" s="56">
        <f>TEXT(COUNTIF($D$7:D329, D329), "00000") &amp; "-" &amp; VLOOKUP(D329, $J$7:$K$19, 2, FALSE)</f>
        <v/>
      </c>
      <c r="D329" s="56" t="inlineStr">
        <is>
          <t>UNIFORME</t>
        </is>
      </c>
      <c r="E329" s="56" t="inlineStr">
        <is>
          <t>CAMISA NEGRA DETAL CABALLERO T/L</t>
        </is>
      </c>
    </row>
    <row r="330" hidden="1" s="11">
      <c r="B330" s="56" t="n">
        <v>324</v>
      </c>
      <c r="C330" s="56">
        <f>TEXT(COUNTIF($D$7:D330, D330), "00000") &amp; "-" &amp; VLOOKUP(D330, $J$7:$K$19, 2, FALSE)</f>
        <v/>
      </c>
      <c r="D330" s="56" t="inlineStr">
        <is>
          <t>ELECTRONICO</t>
        </is>
      </c>
      <c r="E330" s="56" t="inlineStr">
        <is>
          <t>CAMARA INALAMBRICA ONVIF</t>
        </is>
      </c>
    </row>
    <row r="331" hidden="1" s="11">
      <c r="B331" s="56" t="n">
        <v>325</v>
      </c>
      <c r="C331" s="56">
        <f>TEXT(COUNTIF($D$7:D331, D331), "00000") &amp; "-" &amp; VLOOKUP(D331, $J$7:$K$19, 2, FALSE)</f>
        <v/>
      </c>
      <c r="D331" s="56" t="inlineStr">
        <is>
          <t>OFICINA</t>
        </is>
      </c>
      <c r="E331" s="56" t="inlineStr">
        <is>
          <t>CALCULADORA BERNICE N30</t>
        </is>
      </c>
    </row>
    <row r="332" hidden="1" s="11">
      <c r="B332" s="56" t="n">
        <v>326</v>
      </c>
      <c r="C332" s="56">
        <f>TEXT(COUNTIF($D$7:D332, D332), "00000") &amp; "-" &amp; VLOOKUP(D332, $J$7:$K$19, 2, FALSE)</f>
        <v/>
      </c>
      <c r="D332" s="56" t="inlineStr">
        <is>
          <t>OFICINA</t>
        </is>
      </c>
      <c r="E332" s="56" t="inlineStr">
        <is>
          <t>CALCULADORA BERNICE LY634</t>
        </is>
      </c>
    </row>
    <row r="333" hidden="1" s="11">
      <c r="B333" s="56" t="n">
        <v>327</v>
      </c>
      <c r="C333" s="56">
        <f>TEXT(COUNTIF($D$7:D333, D333), "00000") &amp; "-" &amp; VLOOKUP(D333, $J$7:$K$19, 2, FALSE)</f>
        <v/>
      </c>
      <c r="D333" s="56" t="inlineStr">
        <is>
          <t>OFICINA</t>
        </is>
      </c>
      <c r="E333" s="56" t="inlineStr">
        <is>
          <t>CAJA DE GRAPAS LISA</t>
        </is>
      </c>
    </row>
    <row r="334" hidden="1" s="11">
      <c r="B334" s="56" t="n">
        <v>328</v>
      </c>
      <c r="C334" s="56">
        <f>TEXT(COUNTIF($D$7:D334, D334), "00000") &amp; "-" &amp; VLOOKUP(D334, $J$7:$K$19, 2, FALSE)</f>
        <v/>
      </c>
      <c r="D334" s="56" t="inlineStr">
        <is>
          <t>OFICINA</t>
        </is>
      </c>
      <c r="E334" s="56" t="inlineStr">
        <is>
          <t>CAJA DE GRAPAS CORRUGADA</t>
        </is>
      </c>
    </row>
    <row r="335" hidden="1" s="11">
      <c r="B335" s="56" t="n">
        <v>329</v>
      </c>
      <c r="C335" s="56">
        <f>TEXT(COUNTIF($D$7:D335, D335), "00000") &amp; "-" &amp; VLOOKUP(D335, $J$7:$K$19, 2, FALSE)</f>
        <v/>
      </c>
      <c r="D335" s="56" t="inlineStr">
        <is>
          <t>ELECTRICIDAD</t>
        </is>
      </c>
      <c r="E335" s="56" t="inlineStr">
        <is>
          <t>CABLE N°6 ROJO (METRO)</t>
        </is>
      </c>
    </row>
    <row r="336" hidden="1" s="11">
      <c r="B336" s="56" t="n">
        <v>330</v>
      </c>
      <c r="C336" s="56">
        <f>TEXT(COUNTIF($D$7:D336, D336), "00000") &amp; "-" &amp; VLOOKUP(D336, $J$7:$K$19, 2, FALSE)</f>
        <v/>
      </c>
      <c r="D336" s="56" t="inlineStr">
        <is>
          <t>ELECTRICIDAD</t>
        </is>
      </c>
      <c r="E336" s="56" t="inlineStr">
        <is>
          <t>CABLE N°6 BLANCO (METRO)</t>
        </is>
      </c>
    </row>
    <row r="337" hidden="1" s="11">
      <c r="B337" s="56" t="n">
        <v>331</v>
      </c>
      <c r="C337" s="56">
        <f>TEXT(COUNTIF($D$7:D337, D337), "00000") &amp; "-" &amp; VLOOKUP(D337, $J$7:$K$19, 2, FALSE)</f>
        <v/>
      </c>
      <c r="D337" s="56" t="inlineStr">
        <is>
          <t>ELECTRICIDAD</t>
        </is>
      </c>
      <c r="E337" s="56" t="inlineStr">
        <is>
          <t>CABLE N°12 ROJO (METRO)</t>
        </is>
      </c>
    </row>
    <row r="338" hidden="1" s="11">
      <c r="B338" s="56" t="n">
        <v>332</v>
      </c>
      <c r="C338" s="56">
        <f>TEXT(COUNTIF($D$7:D338, D338), "00000") &amp; "-" &amp; VLOOKUP(D338, $J$7:$K$19, 2, FALSE)</f>
        <v/>
      </c>
      <c r="D338" s="56" t="inlineStr">
        <is>
          <t>ELECTRICIDAD</t>
        </is>
      </c>
      <c r="E338" s="56" t="inlineStr">
        <is>
          <t>CABLE N° 8 NEGRO (METRO)</t>
        </is>
      </c>
    </row>
    <row r="339" hidden="1" s="11">
      <c r="B339" s="56" t="n">
        <v>333</v>
      </c>
      <c r="C339" s="56">
        <f>TEXT(COUNTIF($D$7:D339, D339), "00000") &amp; "-" &amp; VLOOKUP(D339, $J$7:$K$19, 2, FALSE)</f>
        <v/>
      </c>
      <c r="D339" s="56" t="inlineStr">
        <is>
          <t>ELECTRICIDAD</t>
        </is>
      </c>
      <c r="E339" s="56" t="inlineStr">
        <is>
          <t>CABLE N° 8 BLANCO (METRO)</t>
        </is>
      </c>
    </row>
    <row r="340" hidden="1" s="11">
      <c r="B340" s="56" t="n">
        <v>334</v>
      </c>
      <c r="C340" s="56">
        <f>TEXT(COUNTIF($D$7:D340, D340), "00000") &amp; "-" &amp; VLOOKUP(D340, $J$7:$K$19, 2, FALSE)</f>
        <v/>
      </c>
      <c r="D340" s="56" t="inlineStr">
        <is>
          <t>ELECTRICIDAD</t>
        </is>
      </c>
      <c r="E340" s="56" t="inlineStr">
        <is>
          <t>CABLE N° 8 AZUL (METRO)</t>
        </is>
      </c>
    </row>
    <row r="341" hidden="1" s="11">
      <c r="B341" s="56" t="n">
        <v>335</v>
      </c>
      <c r="C341" s="56">
        <f>TEXT(COUNTIF($D$7:D341, D341), "00000") &amp; "-" &amp; VLOOKUP(D341, $J$7:$K$19, 2, FALSE)</f>
        <v/>
      </c>
      <c r="D341" s="56" t="inlineStr">
        <is>
          <t>ELECTRICIDAD</t>
        </is>
      </c>
      <c r="E341" s="56" t="inlineStr">
        <is>
          <t>CABLE N° 4 NEGRO (METRO)</t>
        </is>
      </c>
    </row>
    <row r="342" hidden="1" s="11">
      <c r="B342" s="56" t="n">
        <v>336</v>
      </c>
      <c r="C342" s="56">
        <f>TEXT(COUNTIF($D$7:D342, D342), "00000") &amp; "-" &amp; VLOOKUP(D342, $J$7:$K$19, 2, FALSE)</f>
        <v/>
      </c>
      <c r="D342" s="56" t="inlineStr">
        <is>
          <t>ELECTRICIDAD</t>
        </is>
      </c>
      <c r="E342" s="56" t="inlineStr">
        <is>
          <t>CABLE N° 2 BLANCO (METRO)</t>
        </is>
      </c>
    </row>
    <row r="343" hidden="1" s="11">
      <c r="B343" s="56" t="n">
        <v>337</v>
      </c>
      <c r="C343" s="56">
        <f>TEXT(COUNTIF($D$7:D343, D343), "00000") &amp; "-" &amp; VLOOKUP(D343, $J$7:$K$19, 2, FALSE)</f>
        <v/>
      </c>
      <c r="D343" s="56" t="inlineStr">
        <is>
          <t>ELECTRICIDAD</t>
        </is>
      </c>
      <c r="E343" s="56" t="inlineStr">
        <is>
          <t>CABLE N° 16 ROJO (METRO)</t>
        </is>
      </c>
    </row>
    <row r="344" hidden="1" s="11">
      <c r="B344" s="56" t="n">
        <v>338</v>
      </c>
      <c r="C344" s="56">
        <f>TEXT(COUNTIF($D$7:D344, D344), "00000") &amp; "-" &amp; VLOOKUP(D344, $J$7:$K$19, 2, FALSE)</f>
        <v/>
      </c>
      <c r="D344" s="56" t="inlineStr">
        <is>
          <t>ELECTRICIDAD</t>
        </is>
      </c>
      <c r="E344" s="56" t="inlineStr">
        <is>
          <t>CABLE N° 16 GRIS (METRO)</t>
        </is>
      </c>
    </row>
    <row r="345" hidden="1" s="11">
      <c r="B345" s="56" t="n">
        <v>339</v>
      </c>
      <c r="C345" s="56">
        <f>TEXT(COUNTIF($D$7:D345, D345), "00000") &amp; "-" &amp; VLOOKUP(D345, $J$7:$K$19, 2, FALSE)</f>
        <v/>
      </c>
      <c r="D345" s="56" t="inlineStr">
        <is>
          <t>ELECTRONICO</t>
        </is>
      </c>
      <c r="E345" s="56" t="inlineStr">
        <is>
          <t>CABLE HDMI MEDIANO</t>
        </is>
      </c>
    </row>
    <row r="346" hidden="1" s="11">
      <c r="B346" s="56" t="n">
        <v>340</v>
      </c>
      <c r="C346" s="56">
        <f>TEXT(COUNTIF($D$7:D346, D346), "00000") &amp; "-" &amp; VLOOKUP(D346, $J$7:$K$19, 2, FALSE)</f>
        <v/>
      </c>
      <c r="D346" s="56" t="inlineStr">
        <is>
          <t>ELECTRONICO</t>
        </is>
      </c>
      <c r="E346" s="56" t="inlineStr">
        <is>
          <t>CABLE HDMI CORTO</t>
        </is>
      </c>
    </row>
    <row r="347" hidden="1" s="11">
      <c r="B347" s="56" t="n">
        <v>341</v>
      </c>
      <c r="C347" s="56">
        <f>TEXT(COUNTIF($D$7:D347, D347), "00000") &amp; "-" &amp; VLOOKUP(D347, $J$7:$K$19, 2, FALSE)</f>
        <v/>
      </c>
      <c r="D347" s="56" t="inlineStr">
        <is>
          <t>HERRAMIENTA</t>
        </is>
      </c>
      <c r="E347" s="56" t="inlineStr">
        <is>
          <t>CABLE AUXILIARES TOTAL</t>
        </is>
      </c>
    </row>
    <row r="348" hidden="1" s="11">
      <c r="B348" s="56" t="n">
        <v>342</v>
      </c>
      <c r="C348" s="56">
        <f>TEXT(COUNTIF($D$7:D348, D348), "00000") &amp; "-" &amp; VLOOKUP(D348, $J$7:$K$19, 2, FALSE)</f>
        <v/>
      </c>
      <c r="D348" s="56" t="inlineStr">
        <is>
          <t>AUTOMOTRIZ</t>
        </is>
      </c>
      <c r="E348" s="56" t="inlineStr">
        <is>
          <t>CABALLETE DE SOPORTE AUTOMOTRIZ</t>
        </is>
      </c>
    </row>
    <row r="349" hidden="1" s="11">
      <c r="B349" s="56" t="n">
        <v>343</v>
      </c>
      <c r="C349" s="56">
        <f>TEXT(COUNTIF($D$7:D349, D349), "00000") &amp; "-" &amp; VLOOKUP(D349, $J$7:$K$19, 2, FALSE)</f>
        <v/>
      </c>
      <c r="D349" s="56" t="inlineStr">
        <is>
          <t>HERRAMIENTA</t>
        </is>
      </c>
      <c r="E349" s="56" t="inlineStr">
        <is>
          <t>BROCA PARA CONCRETO 9/16</t>
        </is>
      </c>
    </row>
    <row r="350" hidden="1" s="11">
      <c r="B350" s="56" t="n">
        <v>344</v>
      </c>
      <c r="C350" s="56">
        <f>TEXT(COUNTIF($D$7:D350, D350), "00000") &amp; "-" &amp; VLOOKUP(D350, $J$7:$K$19, 2, FALSE)</f>
        <v/>
      </c>
      <c r="D350" s="56" t="inlineStr">
        <is>
          <t>HERRAMIENTA</t>
        </is>
      </c>
      <c r="E350" s="56" t="inlineStr">
        <is>
          <t>BROCA PARA CONCRETO 5/8</t>
        </is>
      </c>
    </row>
    <row r="351" hidden="1" s="11">
      <c r="B351" s="56" t="n">
        <v>345</v>
      </c>
      <c r="C351" s="56">
        <f>TEXT(COUNTIF($D$7:D351, D351), "00000") &amp; "-" &amp; VLOOKUP(D351, $J$7:$K$19, 2, FALSE)</f>
        <v/>
      </c>
      <c r="D351" s="56" t="inlineStr">
        <is>
          <t>HERRAMIENTA</t>
        </is>
      </c>
      <c r="E351" s="56" t="inlineStr">
        <is>
          <t>BROCA PARA CONCRETO 5/32</t>
        </is>
      </c>
    </row>
    <row r="352" hidden="1" s="11">
      <c r="B352" s="56" t="n">
        <v>346</v>
      </c>
      <c r="C352" s="56">
        <f>TEXT(COUNTIF($D$7:D352, D352), "00000") &amp; "-" &amp; VLOOKUP(D352, $J$7:$K$19, 2, FALSE)</f>
        <v/>
      </c>
      <c r="D352" s="56" t="inlineStr">
        <is>
          <t>HERRAMIENTA</t>
        </is>
      </c>
      <c r="E352" s="56" t="inlineStr">
        <is>
          <t>BROCA PARA CONCRETO 5/16 LARGA</t>
        </is>
      </c>
    </row>
    <row r="353" hidden="1" s="11">
      <c r="B353" s="56" t="n">
        <v>347</v>
      </c>
      <c r="C353" s="56">
        <f>TEXT(COUNTIF($D$7:D353, D353), "00000") &amp; "-" &amp; VLOOKUP(D353, $J$7:$K$19, 2, FALSE)</f>
        <v/>
      </c>
      <c r="D353" s="56" t="inlineStr">
        <is>
          <t>HERRAMIENTA</t>
        </is>
      </c>
      <c r="E353" s="56" t="inlineStr">
        <is>
          <t>BROCA PARA CONCRETO 5/16 CORTA</t>
        </is>
      </c>
    </row>
    <row r="354" hidden="1" s="11">
      <c r="B354" s="56" t="n">
        <v>348</v>
      </c>
      <c r="C354" s="56">
        <f>TEXT(COUNTIF($D$7:D354, D354), "00000") &amp; "-" &amp; VLOOKUP(D354, $J$7:$K$19, 2, FALSE)</f>
        <v/>
      </c>
      <c r="D354" s="56" t="inlineStr">
        <is>
          <t>HERRAMIENTA</t>
        </is>
      </c>
      <c r="E354" s="56" t="inlineStr">
        <is>
          <t>BROCA PARA CONCRETO 3/8 LARGA</t>
        </is>
      </c>
    </row>
    <row r="355" hidden="1" s="11">
      <c r="B355" s="56" t="n">
        <v>349</v>
      </c>
      <c r="C355" s="56">
        <f>TEXT(COUNTIF($D$7:D355, D355), "00000") &amp; "-" &amp; VLOOKUP(D355, $J$7:$K$19, 2, FALSE)</f>
        <v/>
      </c>
      <c r="D355" s="56" t="inlineStr">
        <is>
          <t>HERRAMIENTA</t>
        </is>
      </c>
      <c r="E355" s="56" t="inlineStr">
        <is>
          <t>BROCA PARA CONCRETO 3/8</t>
        </is>
      </c>
    </row>
    <row r="356" hidden="1" s="11">
      <c r="B356" s="56" t="n">
        <v>350</v>
      </c>
      <c r="C356" s="56">
        <f>TEXT(COUNTIF($D$7:D356, D356), "00000") &amp; "-" &amp; VLOOKUP(D356, $J$7:$K$19, 2, FALSE)</f>
        <v/>
      </c>
      <c r="D356" s="56" t="inlineStr">
        <is>
          <t>HERRAMIENTA</t>
        </is>
      </c>
      <c r="E356" s="56" t="inlineStr">
        <is>
          <t>BROCA PARA CONCRETO 3/16</t>
        </is>
      </c>
    </row>
    <row r="357" hidden="1" s="11">
      <c r="B357" s="56" t="n">
        <v>351</v>
      </c>
      <c r="C357" s="56">
        <f>TEXT(COUNTIF($D$7:D357, D357), "00000") &amp; "-" &amp; VLOOKUP(D357, $J$7:$K$19, 2, FALSE)</f>
        <v/>
      </c>
      <c r="D357" s="56" t="inlineStr">
        <is>
          <t>HERRAMIENTA</t>
        </is>
      </c>
      <c r="E357" s="56" t="inlineStr">
        <is>
          <t>BROCA PARA CONCRETO 1/4 LARGA</t>
        </is>
      </c>
    </row>
    <row r="358" hidden="1" s="11">
      <c r="B358" s="56" t="n">
        <v>352</v>
      </c>
      <c r="C358" s="56">
        <f>TEXT(COUNTIF($D$7:D358, D358), "00000") &amp; "-" &amp; VLOOKUP(D358, $J$7:$K$19, 2, FALSE)</f>
        <v/>
      </c>
      <c r="D358" s="56" t="inlineStr">
        <is>
          <t>HERRAMIENTA</t>
        </is>
      </c>
      <c r="E358" s="56" t="inlineStr">
        <is>
          <t>BROCA PARA CONCRETO 1/4 CORTA</t>
        </is>
      </c>
    </row>
    <row r="359" hidden="1" s="11">
      <c r="B359" s="56" t="n">
        <v>353</v>
      </c>
      <c r="C359" s="56">
        <f>TEXT(COUNTIF($D$7:D359, D359), "00000") &amp; "-" &amp; VLOOKUP(D359, $J$7:$K$19, 2, FALSE)</f>
        <v/>
      </c>
      <c r="D359" s="56" t="inlineStr">
        <is>
          <t>HERRAMIENTA</t>
        </is>
      </c>
      <c r="E359" s="56" t="inlineStr">
        <is>
          <t>BROCA PARA CONCRETO 1/2 LARGA</t>
        </is>
      </c>
    </row>
    <row r="360" hidden="1" s="11">
      <c r="B360" s="56" t="n">
        <v>354</v>
      </c>
      <c r="C360" s="56">
        <f>TEXT(COUNTIF($D$7:D360, D360), "00000") &amp; "-" &amp; VLOOKUP(D360, $J$7:$K$19, 2, FALSE)</f>
        <v/>
      </c>
      <c r="D360" s="56" t="inlineStr">
        <is>
          <t>ELECTRICIDAD</t>
        </is>
      </c>
      <c r="E360" s="56" t="inlineStr">
        <is>
          <t>BREAKER TERMOMAGNETICO C6 DZ49-63 1 POLO</t>
        </is>
      </c>
    </row>
    <row r="361" hidden="1" s="11">
      <c r="B361" s="56" t="n">
        <v>355</v>
      </c>
      <c r="C361" s="56">
        <f>TEXT(COUNTIF($D$7:D361, D361), "00000") &amp; "-" &amp; VLOOKUP(D361, $J$7:$K$19, 2, FALSE)</f>
        <v/>
      </c>
      <c r="D361" s="56" t="inlineStr">
        <is>
          <t>ELECTRICIDAD</t>
        </is>
      </c>
      <c r="E361" s="56" t="inlineStr">
        <is>
          <t>BREAKER TERMOMAGNETICO C3 YCB9-63 2 POLOS</t>
        </is>
      </c>
    </row>
    <row r="362" hidden="1" s="11">
      <c r="B362" s="56" t="n">
        <v>356</v>
      </c>
      <c r="C362" s="56">
        <f>TEXT(COUNTIF($D$7:D362, D362), "00000") &amp; "-" &amp; VLOOKUP(D362, $J$7:$K$19, 2, FALSE)</f>
        <v/>
      </c>
      <c r="D362" s="56" t="inlineStr">
        <is>
          <t>ELECTRICIDAD</t>
        </is>
      </c>
      <c r="E362" s="56" t="inlineStr">
        <is>
          <t>BREAKER TERMOMAGNETICO C10 ADB3-63 2 POLOS</t>
        </is>
      </c>
    </row>
    <row r="363" hidden="1" s="11">
      <c r="B363" s="56" t="n">
        <v>357</v>
      </c>
      <c r="C363" s="56">
        <f>TEXT(COUNTIF($D$7:D363, D363), "00000") &amp; "-" &amp; VLOOKUP(D363, $J$7:$K$19, 2, FALSE)</f>
        <v/>
      </c>
      <c r="D363" s="56" t="inlineStr">
        <is>
          <t>ELECTRICIDAD</t>
        </is>
      </c>
      <c r="E363" s="56" t="inlineStr">
        <is>
          <t xml:space="preserve">PORTAFUSIBLE CILINDRICO 32 A. 10 x 38 </t>
        </is>
      </c>
    </row>
    <row r="364" hidden="1" s="11">
      <c r="B364" s="56" t="n">
        <v>358</v>
      </c>
      <c r="C364" s="56">
        <f>TEXT(COUNTIF($D$7:D364, D364), "00000") &amp; "-" &amp; VLOOKUP(D364, $J$7:$K$19, 2, FALSE)</f>
        <v/>
      </c>
      <c r="D364" s="56" t="inlineStr">
        <is>
          <t>ELECTRICIDAD</t>
        </is>
      </c>
      <c r="E364" s="56" t="inlineStr">
        <is>
          <t>BREAKER 70 A. 2 POLOS</t>
        </is>
      </c>
    </row>
    <row r="365" hidden="1" s="11">
      <c r="B365" s="56" t="n">
        <v>359</v>
      </c>
      <c r="C365" s="56">
        <f>TEXT(COUNTIF($D$7:D365, D365), "00000") &amp; "-" &amp; VLOOKUP(D365, $J$7:$K$19, 2, FALSE)</f>
        <v/>
      </c>
      <c r="D365" s="56" t="inlineStr">
        <is>
          <t>ELECTRICIDAD</t>
        </is>
      </c>
      <c r="E365" s="56" t="inlineStr">
        <is>
          <t>BREAKER 60 A. 2 POLOS</t>
        </is>
      </c>
    </row>
    <row r="366" hidden="1" s="11">
      <c r="B366" s="56" t="n">
        <v>360</v>
      </c>
      <c r="C366" s="56">
        <f>TEXT(COUNTIF($D$7:D366, D366), "00000") &amp; "-" &amp; VLOOKUP(D366, $J$7:$K$19, 2, FALSE)</f>
        <v/>
      </c>
      <c r="D366" s="56" t="inlineStr">
        <is>
          <t>ELECTRICIDAD</t>
        </is>
      </c>
      <c r="E366" s="56" t="inlineStr">
        <is>
          <t>BREAKER 50 A. 2 POLOS</t>
        </is>
      </c>
    </row>
    <row r="367" hidden="1" s="11">
      <c r="B367" s="56" t="n">
        <v>361</v>
      </c>
      <c r="C367" s="56">
        <f>TEXT(COUNTIF($D$7:D367, D367), "00000") &amp; "-" &amp; VLOOKUP(D367, $J$7:$K$19, 2, FALSE)</f>
        <v/>
      </c>
      <c r="D367" s="56" t="inlineStr">
        <is>
          <t>ELECTRICIDAD</t>
        </is>
      </c>
      <c r="E367" s="56" t="inlineStr">
        <is>
          <t>BREAKER 40 A. 2 POLOS</t>
        </is>
      </c>
    </row>
    <row r="368" hidden="1" s="11">
      <c r="B368" s="56" t="n">
        <v>362</v>
      </c>
      <c r="C368" s="56">
        <f>TEXT(COUNTIF($D$7:D368, D368), "00000") &amp; "-" &amp; VLOOKUP(D368, $J$7:$K$19, 2, FALSE)</f>
        <v/>
      </c>
      <c r="D368" s="56" t="inlineStr">
        <is>
          <t>ELECTRICIDAD</t>
        </is>
      </c>
      <c r="E368" s="56" t="inlineStr">
        <is>
          <t>BREAKER 40 A. 1 POLO</t>
        </is>
      </c>
    </row>
    <row r="369" hidden="1" s="11">
      <c r="B369" s="56" t="n">
        <v>363</v>
      </c>
      <c r="C369" s="56">
        <f>TEXT(COUNTIF($D$7:D369, D369), "00000") &amp; "-" &amp; VLOOKUP(D369, $J$7:$K$19, 2, FALSE)</f>
        <v/>
      </c>
      <c r="D369" s="56" t="inlineStr">
        <is>
          <t>ELECTRICIDAD</t>
        </is>
      </c>
      <c r="E369" s="56" t="inlineStr">
        <is>
          <t>BREAKER 30 A. 3 POLOS</t>
        </is>
      </c>
    </row>
    <row r="370" hidden="1" s="11">
      <c r="B370" s="56" t="n">
        <v>364</v>
      </c>
      <c r="C370" s="56">
        <f>TEXT(COUNTIF($D$7:D370, D370), "00000") &amp; "-" &amp; VLOOKUP(D370, $J$7:$K$19, 2, FALSE)</f>
        <v/>
      </c>
      <c r="D370" s="56" t="inlineStr">
        <is>
          <t>ELECTRICIDAD</t>
        </is>
      </c>
      <c r="E370" s="56" t="inlineStr">
        <is>
          <t>BREAKER 30 A. 2 POLOS EMPOTRABLE</t>
        </is>
      </c>
    </row>
    <row r="371" hidden="1" s="11">
      <c r="B371" s="56" t="n">
        <v>365</v>
      </c>
      <c r="C371" s="56">
        <f>TEXT(COUNTIF($D$7:D371, D371), "00000") &amp; "-" &amp; VLOOKUP(D371, $J$7:$K$19, 2, FALSE)</f>
        <v/>
      </c>
      <c r="D371" s="56" t="inlineStr">
        <is>
          <t>ELECTRICIDAD</t>
        </is>
      </c>
      <c r="E371" s="56" t="inlineStr">
        <is>
          <t>BREAKER 30 A. 2 POLOS</t>
        </is>
      </c>
    </row>
    <row r="372" hidden="1" s="11">
      <c r="B372" s="56" t="n">
        <v>366</v>
      </c>
      <c r="C372" s="56">
        <f>TEXT(COUNTIF($D$7:D372, D372), "00000") &amp; "-" &amp; VLOOKUP(D372, $J$7:$K$19, 2, FALSE)</f>
        <v/>
      </c>
      <c r="D372" s="56" t="inlineStr">
        <is>
          <t>ELECTRICIDAD</t>
        </is>
      </c>
      <c r="E372" s="56" t="inlineStr">
        <is>
          <t>BREAKER 30 A. 1 POLO</t>
        </is>
      </c>
    </row>
    <row r="373" hidden="1" s="11">
      <c r="B373" s="56" t="n">
        <v>367</v>
      </c>
      <c r="C373" s="56">
        <f>TEXT(COUNTIF($D$7:D373, D373), "00000") &amp; "-" &amp; VLOOKUP(D373, $J$7:$K$19, 2, FALSE)</f>
        <v/>
      </c>
      <c r="D373" s="56" t="inlineStr">
        <is>
          <t>ELECTRICIDAD</t>
        </is>
      </c>
      <c r="E373" s="56" t="inlineStr">
        <is>
          <t>BREAKER 20 A. 2 POLOS</t>
        </is>
      </c>
    </row>
    <row r="374" hidden="1" s="11">
      <c r="B374" s="56" t="n">
        <v>368</v>
      </c>
      <c r="C374" s="56">
        <f>TEXT(COUNTIF($D$7:D374, D374), "00000") &amp; "-" &amp; VLOOKUP(D374, $J$7:$K$19, 2, FALSE)</f>
        <v/>
      </c>
      <c r="D374" s="56" t="inlineStr">
        <is>
          <t>ELECTRICIDAD</t>
        </is>
      </c>
      <c r="E374" s="56" t="inlineStr">
        <is>
          <t>BREAKER 20 A. 1 POLO</t>
        </is>
      </c>
    </row>
    <row r="375" hidden="1" s="11">
      <c r="B375" s="56" t="n">
        <v>369</v>
      </c>
      <c r="C375" s="56">
        <f>TEXT(COUNTIF($D$7:D375, D375), "00000") &amp; "-" &amp; VLOOKUP(D375, $J$7:$K$19, 2, FALSE)</f>
        <v/>
      </c>
      <c r="D375" s="56" t="inlineStr">
        <is>
          <t>FERRETERIA</t>
        </is>
      </c>
      <c r="E375" s="56" t="inlineStr">
        <is>
          <t>CANDADO ANTICIZALLA 80MM</t>
        </is>
      </c>
    </row>
    <row r="376" hidden="1" s="11">
      <c r="B376" s="56" t="n">
        <v>370</v>
      </c>
      <c r="C376" s="56">
        <f>TEXT(COUNTIF($D$7:D376, D376), "00000") &amp; "-" &amp; VLOOKUP(D376, $J$7:$K$19, 2, FALSE)</f>
        <v/>
      </c>
      <c r="D376" s="56" t="inlineStr">
        <is>
          <t>FERRETERIA</t>
        </is>
      </c>
      <c r="E376" s="56" t="inlineStr">
        <is>
          <t>CANDADO ANTICIZALLA 75MM</t>
        </is>
      </c>
    </row>
    <row r="377" hidden="1" s="11">
      <c r="B377" s="56" t="n">
        <v>371</v>
      </c>
      <c r="C377" s="56">
        <f>TEXT(COUNTIF($D$7:D377, D377), "00000") &amp; "-" &amp; VLOOKUP(D377, $J$7:$K$19, 2, FALSE)</f>
        <v/>
      </c>
      <c r="D377" s="56" t="inlineStr">
        <is>
          <t>OFICINA</t>
        </is>
      </c>
      <c r="E377" s="56" t="inlineStr">
        <is>
          <t>BORRADOR PIZARRA</t>
        </is>
      </c>
    </row>
    <row r="378" hidden="1" s="11">
      <c r="B378" s="56" t="n">
        <v>372</v>
      </c>
      <c r="C378" s="56">
        <f>TEXT(COUNTIF($D$7:D378, D378), "00000") &amp; "-" &amp; VLOOKUP(D378, $J$7:$K$19, 2, FALSE)</f>
        <v/>
      </c>
      <c r="D378" s="56" t="inlineStr">
        <is>
          <t>ILUMINACION</t>
        </is>
      </c>
      <c r="E378" s="56" t="inlineStr">
        <is>
          <t>BOMBILLO LED TUBULAR 15W</t>
        </is>
      </c>
    </row>
    <row r="379" hidden="1" s="11">
      <c r="B379" s="56" t="n">
        <v>373</v>
      </c>
      <c r="C379" s="56">
        <f>TEXT(COUNTIF($D$7:D379, D379), "00000") &amp; "-" &amp; VLOOKUP(D379, $J$7:$K$19, 2, FALSE)</f>
        <v/>
      </c>
      <c r="D379" s="56" t="inlineStr">
        <is>
          <t>ILUMINACION</t>
        </is>
      </c>
      <c r="E379" s="56" t="inlineStr">
        <is>
          <t>BOMBILLO LED REDONDO 38W</t>
        </is>
      </c>
    </row>
    <row r="380" hidden="1" s="11">
      <c r="B380" s="56" t="n">
        <v>374</v>
      </c>
      <c r="C380" s="56">
        <f>TEXT(COUNTIF($D$7:D380, D380), "00000") &amp; "-" &amp; VLOOKUP(D380, $J$7:$K$19, 2, FALSE)</f>
        <v/>
      </c>
      <c r="D380" s="56" t="inlineStr">
        <is>
          <t>ILUMINACION</t>
        </is>
      </c>
      <c r="E380" s="56" t="inlineStr">
        <is>
          <t>BOMBILLO LED REDONDO 20W</t>
        </is>
      </c>
    </row>
    <row r="381" hidden="1" s="11">
      <c r="B381" s="56" t="n">
        <v>375</v>
      </c>
      <c r="C381" s="56">
        <f>TEXT(COUNTIF($D$7:D381, D381), "00000") &amp; "-" &amp; VLOOKUP(D381, $J$7:$K$19, 2, FALSE)</f>
        <v/>
      </c>
      <c r="D381" s="56" t="inlineStr">
        <is>
          <t>ILUMINACION</t>
        </is>
      </c>
      <c r="E381" s="56" t="inlineStr">
        <is>
          <t>BOMBILLO LED REDONDO 18W</t>
        </is>
      </c>
    </row>
    <row r="382" hidden="1" s="11">
      <c r="B382" s="56" t="n">
        <v>376</v>
      </c>
      <c r="C382" s="56">
        <f>TEXT(COUNTIF($D$7:D382, D382), "00000") &amp; "-" &amp; VLOOKUP(D382, $J$7:$K$19, 2, FALSE)</f>
        <v/>
      </c>
      <c r="D382" s="56" t="inlineStr">
        <is>
          <t>ILUMINACION</t>
        </is>
      </c>
      <c r="E382" s="56" t="inlineStr">
        <is>
          <t>BOMBILLO LED ESFERICO 18W</t>
        </is>
      </c>
    </row>
    <row r="383" hidden="1" s="11">
      <c r="B383" s="56" t="n">
        <v>377</v>
      </c>
      <c r="C383" s="56">
        <f>TEXT(COUNTIF($D$7:D383, D383), "00000") &amp; "-" &amp; VLOOKUP(D383, $J$7:$K$19, 2, FALSE)</f>
        <v/>
      </c>
      <c r="D383" s="56" t="inlineStr">
        <is>
          <t>ILUMINACION</t>
        </is>
      </c>
      <c r="E383" s="56" t="inlineStr">
        <is>
          <t>BOMBILLO LED CON DISIPADOR 100W</t>
        </is>
      </c>
    </row>
    <row r="384" hidden="1" s="11">
      <c r="B384" s="56" t="n">
        <v>378</v>
      </c>
      <c r="C384" s="56">
        <f>TEXT(COUNTIF($D$7:D384, D384), "00000") &amp; "-" &amp; VLOOKUP(D384, $J$7:$K$19, 2, FALSE)</f>
        <v/>
      </c>
      <c r="D384" s="56" t="inlineStr">
        <is>
          <t>HERRAMIENTA</t>
        </is>
      </c>
      <c r="E384" s="56" t="inlineStr">
        <is>
          <t>BOMBA DE VACIO GRANDE</t>
        </is>
      </c>
    </row>
    <row r="385" hidden="1" s="11">
      <c r="B385" s="56" t="n">
        <v>379</v>
      </c>
      <c r="C385" s="56">
        <f>TEXT(COUNTIF($D$7:D385, D385), "00000") &amp; "-" &amp; VLOOKUP(D385, $J$7:$K$19, 2, FALSE)</f>
        <v/>
      </c>
      <c r="D385" s="56" t="inlineStr">
        <is>
          <t>OFICINA</t>
        </is>
      </c>
      <c r="E385" s="56" t="inlineStr">
        <is>
          <t>BOLIGRAFO TINTA AZUL</t>
        </is>
      </c>
    </row>
    <row r="386" hidden="1" s="11">
      <c r="B386" s="56" t="n">
        <v>380</v>
      </c>
      <c r="C386" s="56">
        <f>TEXT(COUNTIF($D$7:D386, D386), "00000") &amp; "-" &amp; VLOOKUP(D386, $J$7:$K$19, 2, FALSE)</f>
        <v/>
      </c>
      <c r="D386" s="56" t="inlineStr">
        <is>
          <t>FERRETERIA</t>
        </is>
      </c>
      <c r="E386" s="56" t="inlineStr">
        <is>
          <t>CANDADO ANTICIZALLA 100MM CISA</t>
        </is>
      </c>
    </row>
    <row r="387" hidden="1" s="11">
      <c r="B387" s="56" t="n">
        <v>381</v>
      </c>
      <c r="C387" s="56">
        <f>TEXT(COUNTIF($D$7:D387, D387), "00000") &amp; "-" &amp; VLOOKUP(D387, $J$7:$K$19, 2, FALSE)</f>
        <v/>
      </c>
      <c r="D387" s="56" t="inlineStr">
        <is>
          <t>HERRAMIENTA</t>
        </is>
      </c>
      <c r="E387" s="56" t="inlineStr">
        <is>
          <t>ARNE DE SEGURIDAD</t>
        </is>
      </c>
    </row>
    <row r="388" hidden="1" s="11">
      <c r="B388" s="56" t="n">
        <v>382</v>
      </c>
      <c r="C388" s="56">
        <f>TEXT(COUNTIF($D$7:D388, D388), "00000") &amp; "-" &amp; VLOOKUP(D388, $J$7:$K$19, 2, FALSE)</f>
        <v/>
      </c>
      <c r="D388" s="56" t="inlineStr">
        <is>
          <t>FERRETERIA</t>
        </is>
      </c>
      <c r="E388" s="56" t="inlineStr">
        <is>
          <t>CANDADO 63MM INC-CO</t>
        </is>
      </c>
    </row>
    <row r="389" hidden="1" s="11">
      <c r="B389" s="56" t="n">
        <v>383</v>
      </c>
      <c r="C389" s="56">
        <f>TEXT(COUNTIF($D$7:D389, D389), "00000") &amp; "-" &amp; VLOOKUP(D389, $J$7:$K$19, 2, FALSE)</f>
        <v/>
      </c>
      <c r="D389" s="56" t="inlineStr">
        <is>
          <t>FERRETERIA</t>
        </is>
      </c>
      <c r="E389" s="56" t="inlineStr">
        <is>
          <t>CANDADO 60MM UNITY</t>
        </is>
      </c>
    </row>
    <row r="390" hidden="1" s="11">
      <c r="B390" s="56" t="n">
        <v>384</v>
      </c>
      <c r="C390" s="56">
        <f>TEXT(COUNTIF($D$7:D390, D390), "00000") &amp; "-" &amp; VLOOKUP(D390, $J$7:$K$19, 2, FALSE)</f>
        <v/>
      </c>
      <c r="D390" s="56" t="inlineStr">
        <is>
          <t>ILUMINACION</t>
        </is>
      </c>
      <c r="E390" s="56" t="inlineStr">
        <is>
          <t>APLIQUE LED CUADRADO PARA PARED 5W</t>
        </is>
      </c>
    </row>
    <row r="391" hidden="1" s="11">
      <c r="B391" s="56" t="n">
        <v>385</v>
      </c>
      <c r="C391" s="56">
        <f>TEXT(COUNTIF($D$7:D391, D391), "00000") &amp; "-" &amp; VLOOKUP(D391, $J$7:$K$19, 2, FALSE)</f>
        <v/>
      </c>
      <c r="D391" s="56" t="inlineStr">
        <is>
          <t>FERRETERIA</t>
        </is>
      </c>
      <c r="E391" s="56" t="inlineStr">
        <is>
          <t>CANDADO 30MM</t>
        </is>
      </c>
    </row>
    <row r="392" hidden="1" s="11">
      <c r="B392" s="56" t="n">
        <v>386</v>
      </c>
      <c r="C392" s="56">
        <f>TEXT(COUNTIF($D$7:D392, D392), "00000") &amp; "-" &amp; VLOOKUP(D392, $J$7:$K$19, 2, FALSE)</f>
        <v/>
      </c>
      <c r="D392" s="56" t="inlineStr">
        <is>
          <t>FERRETERIA</t>
        </is>
      </c>
      <c r="E392" s="56" t="inlineStr">
        <is>
          <t>BRAZO HIDRAULICO PARA PUERTA 45-60 KG</t>
        </is>
      </c>
    </row>
    <row r="393" hidden="1" s="11">
      <c r="B393" s="56" t="n">
        <v>387</v>
      </c>
      <c r="C393" s="56">
        <f>TEXT(COUNTIF($D$7:D393, D393), "00000") &amp; "-" &amp; VLOOKUP(D393, $J$7:$K$19, 2, FALSE)</f>
        <v/>
      </c>
      <c r="D393" s="56" t="inlineStr">
        <is>
          <t>FERRETERIA</t>
        </is>
      </c>
      <c r="E393" s="56" t="inlineStr">
        <is>
          <t>BOTA DE HULE T/40</t>
        </is>
      </c>
    </row>
    <row r="394" hidden="1" s="11">
      <c r="B394" s="56" t="n">
        <v>388</v>
      </c>
      <c r="C394" s="56">
        <f>TEXT(COUNTIF($D$7:D394, D394), "00000") &amp; "-" &amp; VLOOKUP(D394, $J$7:$K$19, 2, FALSE)</f>
        <v/>
      </c>
      <c r="D394" s="56" t="inlineStr">
        <is>
          <t>FERRETERIA</t>
        </is>
      </c>
      <c r="E394" s="56" t="inlineStr">
        <is>
          <t>BARRACUDA MECHA CILD 5/16</t>
        </is>
      </c>
    </row>
    <row r="395" hidden="1" s="11">
      <c r="B395" s="56" t="n">
        <v>389</v>
      </c>
      <c r="C395" s="56">
        <f>TEXT(COUNTIF($D$7:D395, D395), "00000") &amp; "-" &amp; VLOOKUP(D395, $J$7:$K$19, 2, FALSE)</f>
        <v/>
      </c>
      <c r="D395" s="56" t="inlineStr">
        <is>
          <t>HERRAMIENTA</t>
        </is>
      </c>
      <c r="E395" s="56" t="inlineStr">
        <is>
          <t>ALICATE DE PRESION TIPO CHAPALETA</t>
        </is>
      </c>
    </row>
    <row r="396" hidden="1" s="11">
      <c r="B396" s="56" t="n">
        <v>390</v>
      </c>
      <c r="C396" s="56">
        <f>TEXT(COUNTIF($D$7:D396, D396), "00000") &amp; "-" &amp; VLOOKUP(D396, $J$7:$K$19, 2, FALSE)</f>
        <v/>
      </c>
      <c r="D396" s="56" t="inlineStr">
        <is>
          <t>HERRERIA</t>
        </is>
      </c>
      <c r="E396" s="56" t="inlineStr">
        <is>
          <t>ARANDELA PLANA 5/16</t>
        </is>
      </c>
    </row>
    <row r="397" hidden="1" s="11">
      <c r="B397" s="56" t="n">
        <v>391</v>
      </c>
      <c r="C397" s="56">
        <f>TEXT(COUNTIF($D$7:D397, D397), "00000") &amp; "-" &amp; VLOOKUP(D397, $J$7:$K$19, 2, FALSE)</f>
        <v/>
      </c>
      <c r="D397" s="56" t="inlineStr">
        <is>
          <t>HERRERIA</t>
        </is>
      </c>
      <c r="E397" s="56" t="inlineStr">
        <is>
          <t>ARANDELA PLANA 125A 10MM</t>
        </is>
      </c>
    </row>
    <row r="398" hidden="1" s="11">
      <c r="B398" s="56" t="n">
        <v>392</v>
      </c>
      <c r="C398" s="56">
        <f>TEXT(COUNTIF($D$7:D398, D398), "00000") &amp; "-" &amp; VLOOKUP(D398, $J$7:$K$19, 2, FALSE)</f>
        <v/>
      </c>
      <c r="D398" s="56" t="inlineStr">
        <is>
          <t>HERRAMIENTA</t>
        </is>
      </c>
      <c r="E398" s="56" t="inlineStr">
        <is>
          <t>ALICATE PUNTA LARGA AISLADO</t>
        </is>
      </c>
    </row>
    <row r="399" hidden="1" s="11">
      <c r="B399" s="56" t="n">
        <v>393</v>
      </c>
      <c r="C399" s="56">
        <f>TEXT(COUNTIF($D$7:D399, D399), "00000") &amp; "-" &amp; VLOOKUP(D399, $J$7:$K$19, 2, FALSE)</f>
        <v/>
      </c>
      <c r="D399" s="56" t="inlineStr">
        <is>
          <t>ELECTRICIDAD</t>
        </is>
      </c>
      <c r="E399" s="56" t="inlineStr">
        <is>
          <t>CONTACTOR 3 POLOS 220V</t>
        </is>
      </c>
    </row>
    <row r="400" hidden="1" s="11">
      <c r="B400" s="56" t="n">
        <v>394</v>
      </c>
      <c r="C400" s="56">
        <f>TEXT(COUNTIF($D$7:D400, D400), "00000") &amp; "-" &amp; VLOOKUP(D400, $J$7:$K$19, 2, FALSE)</f>
        <v/>
      </c>
      <c r="D400" s="56" t="inlineStr">
        <is>
          <t>HERRAMIENTA</t>
        </is>
      </c>
      <c r="E400" s="56" t="inlineStr">
        <is>
          <t>ALICATE PIQUETA 6"</t>
        </is>
      </c>
    </row>
    <row r="401" hidden="1" s="11">
      <c r="B401" s="56" t="n">
        <v>395</v>
      </c>
      <c r="C401" s="56">
        <f>TEXT(COUNTIF($D$7:D401, D401), "00000") &amp; "-" &amp; VLOOKUP(D401, $J$7:$K$19, 2, FALSE)</f>
        <v/>
      </c>
      <c r="D401" s="56" t="inlineStr">
        <is>
          <t>HERRAMIENTA</t>
        </is>
      </c>
      <c r="E401" s="56" t="inlineStr">
        <is>
          <t>NIVEL DE BURBULA 40CM</t>
        </is>
      </c>
    </row>
    <row r="402" hidden="1" s="11">
      <c r="B402" s="56" t="n">
        <v>396</v>
      </c>
      <c r="C402" s="56">
        <f>TEXT(COUNTIF($D$7:D402, D402), "00000") &amp; "-" &amp; VLOOKUP(D402, $J$7:$K$19, 2, FALSE)</f>
        <v/>
      </c>
      <c r="D402" s="56" t="inlineStr">
        <is>
          <t>HERRAMIENTA</t>
        </is>
      </c>
      <c r="E402" s="56" t="inlineStr">
        <is>
          <t>NIVEL DE BURBUJA 50CM</t>
        </is>
      </c>
    </row>
    <row r="403" hidden="1" s="11">
      <c r="B403" s="56" t="n">
        <v>397</v>
      </c>
      <c r="C403" s="56">
        <f>TEXT(COUNTIF($D$7:D403, D403), "00000") &amp; "-" &amp; VLOOKUP(D403, $J$7:$K$19, 2, FALSE)</f>
        <v/>
      </c>
      <c r="D403" s="56" t="inlineStr">
        <is>
          <t>HERRAMIENTA</t>
        </is>
      </c>
      <c r="E403" s="56" t="inlineStr">
        <is>
          <t>NIVEL DE BURBUJA 60CM</t>
        </is>
      </c>
    </row>
    <row r="404" hidden="1" s="11">
      <c r="B404" s="56" t="n">
        <v>398</v>
      </c>
      <c r="C404" s="56">
        <f>TEXT(COUNTIF($D$7:D404, D404), "00000") &amp; "-" &amp; VLOOKUP(D404, $J$7:$K$19, 2, FALSE)</f>
        <v/>
      </c>
      <c r="D404" s="56" t="inlineStr">
        <is>
          <t>HERRAMIENTA</t>
        </is>
      </c>
      <c r="E404" s="56" t="inlineStr">
        <is>
          <t>SIERRA COPA 2,18"</t>
        </is>
      </c>
    </row>
    <row r="405" hidden="1" s="11">
      <c r="B405" s="56" t="n">
        <v>399</v>
      </c>
      <c r="C405" s="56">
        <f>TEXT(COUNTIF($D$7:D405, D405), "00000") &amp; "-" &amp; VLOOKUP(D405, $J$7:$K$19, 2, FALSE)</f>
        <v/>
      </c>
      <c r="D405" s="56" t="inlineStr">
        <is>
          <t>HERRAMIENTA</t>
        </is>
      </c>
      <c r="E405" s="56" t="inlineStr">
        <is>
          <t>CONECTOR DE HIDRO JET</t>
        </is>
      </c>
    </row>
    <row r="406" hidden="1" s="11">
      <c r="B406" s="56" t="n">
        <v>400</v>
      </c>
      <c r="C406" s="56">
        <f>TEXT(COUNTIF($D$7:D406, D406), "00000") &amp; "-" &amp; VLOOKUP(D406, $J$7:$K$19, 2, FALSE)</f>
        <v/>
      </c>
      <c r="D406" s="56" t="inlineStr">
        <is>
          <t>HERRAMIENTA</t>
        </is>
      </c>
      <c r="E406" s="56" t="inlineStr">
        <is>
          <t>BROCA DE CONCRETO 5/16 X 30CM</t>
        </is>
      </c>
    </row>
    <row r="407" hidden="1" s="11">
      <c r="B407" s="56" t="n">
        <v>401</v>
      </c>
      <c r="C407" s="56">
        <f>TEXT(COUNTIF($D$7:D407, D407), "00000") &amp; "-" &amp; VLOOKUP(D407, $J$7:$K$19, 2, FALSE)</f>
        <v/>
      </c>
      <c r="D407" s="56" t="inlineStr">
        <is>
          <t>HERRAMIENTA</t>
        </is>
      </c>
      <c r="E407" s="56" t="inlineStr">
        <is>
          <t>KIT DE ABORCADO 45°</t>
        </is>
      </c>
    </row>
    <row r="408" hidden="1" s="11">
      <c r="B408" s="56" t="n">
        <v>402</v>
      </c>
      <c r="C408" s="56">
        <f>TEXT(COUNTIF($D$7:D408, D408), "00000") &amp; "-" &amp; VLOOKUP(D408, $J$7:$K$19, 2, FALSE)</f>
        <v/>
      </c>
      <c r="D408" s="56" t="inlineStr">
        <is>
          <t>HERRAMIENTA</t>
        </is>
      </c>
      <c r="E408" s="56" t="inlineStr">
        <is>
          <t>MEDIDOR SECUENTIMETRO 3 FACES</t>
        </is>
      </c>
    </row>
    <row r="409" hidden="1" s="11">
      <c r="B409" s="56" t="n">
        <v>403</v>
      </c>
      <c r="C409" s="56">
        <f>TEXT(COUNTIF($D$7:D409, D409), "00000") &amp; "-" &amp; VLOOKUP(D409, $J$7:$K$19, 2, FALSE)</f>
        <v/>
      </c>
      <c r="D409" s="56" t="inlineStr">
        <is>
          <t>REFRIGERACION</t>
        </is>
      </c>
      <c r="E409" s="56" t="inlineStr">
        <is>
          <t>TERMOSTATO DIGITAL 1 ETAPA STAR GREEN</t>
        </is>
      </c>
    </row>
    <row r="410" hidden="1" s="11">
      <c r="B410" s="56" t="n">
        <v>404</v>
      </c>
      <c r="C410" s="56">
        <f>TEXT(COUNTIF($D$7:D410, D410), "00000") &amp; "-" &amp; VLOOKUP(D410, $J$7:$K$19, 2, FALSE)</f>
        <v/>
      </c>
      <c r="D410" s="56" t="inlineStr">
        <is>
          <t>REFRIGERACION</t>
        </is>
      </c>
      <c r="E410" s="56" t="inlineStr">
        <is>
          <t>TERMOSTATO DIGITAL PROGRAMABLE EVERWELL</t>
        </is>
      </c>
    </row>
    <row r="411" hidden="1" s="11">
      <c r="B411" s="56" t="n">
        <v>405</v>
      </c>
      <c r="C411" s="56">
        <f>TEXT(COUNTIF($D$7:D411, D411), "00000") &amp; "-" &amp; VLOOKUP(D411, $J$7:$K$19, 2, FALSE)</f>
        <v/>
      </c>
      <c r="D411" s="56" t="inlineStr">
        <is>
          <t>REFRIGERACION</t>
        </is>
      </c>
      <c r="E411" s="56" t="inlineStr">
        <is>
          <t>TERMOSTATO DIGITAL PROGRAMABLE QD-HVACIO</t>
        </is>
      </c>
    </row>
    <row r="412" hidden="1" s="11">
      <c r="B412" s="56" t="n">
        <v>406</v>
      </c>
      <c r="C412" s="56">
        <f>TEXT(COUNTIF($D$7:D412, D412), "00000") &amp; "-" &amp; VLOOKUP(D412, $J$7:$K$19, 2, FALSE)</f>
        <v/>
      </c>
      <c r="D412" s="56" t="inlineStr">
        <is>
          <t>REFRIGERACION</t>
        </is>
      </c>
      <c r="E412" s="56" t="inlineStr">
        <is>
          <t>TERMOSTATO REFRIGERACION F200</t>
        </is>
      </c>
    </row>
    <row r="413" hidden="1" s="11">
      <c r="B413" s="56" t="n">
        <v>407</v>
      </c>
      <c r="C413" s="56">
        <f>TEXT(COUNTIF($D$7:D413, D413), "00000") &amp; "-" &amp; VLOOKUP(D413, $J$7:$K$19, 2, FALSE)</f>
        <v/>
      </c>
      <c r="D413" s="56" t="inlineStr">
        <is>
          <t>REFRIGERACION</t>
        </is>
      </c>
      <c r="E413" s="56" t="inlineStr">
        <is>
          <t>TEMPORIZADOR DE RETARDO EVERWELL DOB-072</t>
        </is>
      </c>
    </row>
    <row r="414" hidden="1" s="11">
      <c r="B414" s="56" t="n">
        <v>408</v>
      </c>
      <c r="C414" s="56">
        <f>TEXT(COUNTIF($D$7:D414, D414), "00000") &amp; "-" &amp; VLOOKUP(D414, $J$7:$K$19, 2, FALSE)</f>
        <v/>
      </c>
      <c r="D414" s="56" t="inlineStr">
        <is>
          <t>REFRIGERACION</t>
        </is>
      </c>
      <c r="E414" s="56" t="inlineStr">
        <is>
          <t>TEMPORIZADOR DE RETARDO QD-072</t>
        </is>
      </c>
    </row>
    <row r="415" hidden="1" s="11">
      <c r="B415" s="56" t="n">
        <v>409</v>
      </c>
      <c r="C415" s="56">
        <f>TEXT(COUNTIF($D$7:D415, D415), "00000") &amp; "-" &amp; VLOOKUP(D415, $J$7:$K$19, 2, FALSE)</f>
        <v/>
      </c>
      <c r="D415" s="56" t="inlineStr">
        <is>
          <t>REFRIGERACION</t>
        </is>
      </c>
      <c r="E415" s="56" t="inlineStr">
        <is>
          <t>PRESOSTATO ALTA PRESION A.R. COMPONENTS</t>
        </is>
      </c>
    </row>
    <row r="416" hidden="1" s="11">
      <c r="B416" s="56" t="n">
        <v>410</v>
      </c>
      <c r="C416" s="56">
        <f>TEXT(COUNTIF($D$7:D416, D416), "00000") &amp; "-" &amp; VLOOKUP(D416, $J$7:$K$19, 2, FALSE)</f>
        <v/>
      </c>
      <c r="D416" s="56" t="inlineStr">
        <is>
          <t>REFRIGERACION</t>
        </is>
      </c>
      <c r="E416" s="56" t="inlineStr">
        <is>
          <t>PROTECTOR TERMICO COMPRESOR</t>
        </is>
      </c>
    </row>
    <row r="417" hidden="1" s="11">
      <c r="B417" s="56" t="n">
        <v>411</v>
      </c>
      <c r="C417" s="56">
        <f>TEXT(COUNTIF($D$7:D417, D417), "00000") &amp; "-" &amp; VLOOKUP(D417, $J$7:$K$19, 2, FALSE)</f>
        <v/>
      </c>
      <c r="D417" s="56" t="inlineStr">
        <is>
          <t>REFRIGERACION</t>
        </is>
      </c>
      <c r="E417" s="56" t="inlineStr">
        <is>
          <t>PRESOSTATO ALTA PRESION EVERWELL PH 35025</t>
        </is>
      </c>
    </row>
    <row r="418" hidden="1" s="11">
      <c r="B418" s="56" t="n">
        <v>412</v>
      </c>
      <c r="C418" s="56">
        <f>TEXT(COUNTIF($D$7:D418, D418), "00000") &amp; "-" &amp; VLOOKUP(D418, $J$7:$K$19, 2, FALSE)</f>
        <v/>
      </c>
      <c r="D418" s="56" t="inlineStr">
        <is>
          <t>REFRIGERACION</t>
        </is>
      </c>
      <c r="E418" s="56" t="inlineStr">
        <is>
          <t>CONTROLADOR ELECTRONICO DE REFRIGERACION DANFOSS</t>
        </is>
      </c>
    </row>
    <row r="419" hidden="1" s="11">
      <c r="B419" s="56" t="n">
        <v>413</v>
      </c>
      <c r="C419" s="56">
        <f>TEXT(COUNTIF($D$7:D419, D419), "00000") &amp; "-" &amp; VLOOKUP(D419, $J$7:$K$19, 2, FALSE)</f>
        <v/>
      </c>
      <c r="D419" s="56" t="inlineStr">
        <is>
          <t>REFRIGERACION</t>
        </is>
      </c>
      <c r="E419" s="56" t="inlineStr">
        <is>
          <t>CODO DE COBRE SOLDABLE 90° 3/8</t>
        </is>
      </c>
    </row>
    <row r="420" hidden="1" s="11">
      <c r="B420" s="56" t="n">
        <v>414</v>
      </c>
      <c r="C420" s="56">
        <f>TEXT(COUNTIF($D$7:D420, D420), "00000") &amp; "-" &amp; VLOOKUP(D420, $J$7:$K$19, 2, FALSE)</f>
        <v/>
      </c>
      <c r="D420" s="56" t="inlineStr">
        <is>
          <t>REFRIGERACION</t>
        </is>
      </c>
      <c r="E420" s="56" t="inlineStr">
        <is>
          <t>CODO DE COBRE SOLDABLE 90° 1/2</t>
        </is>
      </c>
    </row>
    <row r="421" hidden="1" s="11">
      <c r="B421" s="56" t="n">
        <v>415</v>
      </c>
      <c r="C421" s="56">
        <f>TEXT(COUNTIF($D$7:D421, D421), "00000") &amp; "-" &amp; VLOOKUP(D421, $J$7:$K$19, 2, FALSE)</f>
        <v/>
      </c>
      <c r="D421" s="56" t="inlineStr">
        <is>
          <t>REFRIGERACION</t>
        </is>
      </c>
      <c r="E421" s="56" t="inlineStr">
        <is>
          <t>CODO DE COBRE SOLDABLE 90° 3/4</t>
        </is>
      </c>
    </row>
    <row r="422" hidden="1" s="11">
      <c r="B422" s="56" t="n">
        <v>416</v>
      </c>
      <c r="C422" s="56">
        <f>TEXT(COUNTIF($D$7:D422, D422), "00000") &amp; "-" &amp; VLOOKUP(D422, $J$7:$K$19, 2, FALSE)</f>
        <v/>
      </c>
      <c r="D422" s="56" t="inlineStr">
        <is>
          <t>REFRIGERACION</t>
        </is>
      </c>
      <c r="E422" s="56" t="inlineStr">
        <is>
          <t>CODO DE COBRE SOLDABLE 90° 7/8</t>
        </is>
      </c>
    </row>
    <row r="423" hidden="1" s="11">
      <c r="B423" s="56" t="n">
        <v>417</v>
      </c>
      <c r="C423" s="56">
        <f>TEXT(COUNTIF($D$7:D423, D423), "00000") &amp; "-" &amp; VLOOKUP(D423, $J$7:$K$19, 2, FALSE)</f>
        <v/>
      </c>
      <c r="D423" s="56" t="inlineStr">
        <is>
          <t>REFRIGERACION</t>
        </is>
      </c>
      <c r="E423" s="56" t="inlineStr">
        <is>
          <t>PRESOSTATO DUAL DE ALTA Y BAJA PRESION</t>
        </is>
      </c>
    </row>
    <row r="424" hidden="1" s="11">
      <c r="B424" s="56" t="n">
        <v>418</v>
      </c>
      <c r="C424" s="56">
        <f>TEXT(COUNTIF($D$7:D424, D424), "00000") &amp; "-" &amp; VLOOKUP(D424, $J$7:$K$19, 2, FALSE)</f>
        <v/>
      </c>
      <c r="D424" s="56" t="inlineStr">
        <is>
          <t>REFRIGERACION</t>
        </is>
      </c>
      <c r="E424" s="56" t="inlineStr">
        <is>
          <t>VALVULA DE EXPANSIÓN TERMOSTATICA</t>
        </is>
      </c>
    </row>
    <row r="425" hidden="1" s="11">
      <c r="B425" s="56" t="n">
        <v>419</v>
      </c>
      <c r="C425" s="56">
        <f>TEXT(COUNTIF($D$7:D425, D425), "00000") &amp; "-" &amp; VLOOKUP(D425, $J$7:$K$19, 2, FALSE)</f>
        <v/>
      </c>
      <c r="D425" s="56" t="inlineStr">
        <is>
          <t>REFRIGERACION</t>
        </is>
      </c>
      <c r="E425" s="56" t="inlineStr">
        <is>
          <t>SIFON DE COBRE 5/8</t>
        </is>
      </c>
    </row>
    <row r="426" hidden="1" s="11">
      <c r="B426" s="56" t="n">
        <v>420</v>
      </c>
      <c r="C426" s="56">
        <f>TEXT(COUNTIF($D$7:D426, D426), "00000") &amp; "-" &amp; VLOOKUP(D426, $J$7:$K$19, 2, FALSE)</f>
        <v/>
      </c>
      <c r="D426" s="56" t="inlineStr">
        <is>
          <t>REFRIGERACION</t>
        </is>
      </c>
      <c r="E426" s="56" t="inlineStr">
        <is>
          <t>BOMBONA DE GAS PROPANO</t>
        </is>
      </c>
    </row>
    <row r="427" hidden="1" s="11">
      <c r="B427" s="56" t="n">
        <v>421</v>
      </c>
      <c r="C427" s="56">
        <f>TEXT(COUNTIF($D$7:D427, D427), "00000") &amp; "-" &amp; VLOOKUP(D427, $J$7:$K$19, 2, FALSE)</f>
        <v/>
      </c>
      <c r="D427" s="56" t="inlineStr">
        <is>
          <t>REFRIGERACION</t>
        </is>
      </c>
      <c r="E427" s="56" t="inlineStr">
        <is>
          <t>DIELECTRICO 1KG</t>
        </is>
      </c>
    </row>
    <row r="428" hidden="1" s="11">
      <c r="B428" s="56" t="n">
        <v>422</v>
      </c>
      <c r="C428" s="56">
        <f>TEXT(COUNTIF($D$7:D428, D428), "00000") &amp; "-" &amp; VLOOKUP(D428, $J$7:$K$19, 2, FALSE)</f>
        <v/>
      </c>
      <c r="D428" s="56" t="inlineStr">
        <is>
          <t>REFRIGERACION</t>
        </is>
      </c>
      <c r="E428" s="56" t="inlineStr">
        <is>
          <t>DIELECTRICO 0,5KG</t>
        </is>
      </c>
    </row>
    <row r="429" hidden="1" s="11">
      <c r="B429" s="56" t="n">
        <v>423</v>
      </c>
      <c r="C429" s="56">
        <f>TEXT(COUNTIF($D$7:D429, D429), "00000") &amp; "-" &amp; VLOOKUP(D429, $J$7:$K$19, 2, FALSE)</f>
        <v/>
      </c>
      <c r="D429" s="56" t="inlineStr">
        <is>
          <t>REFRIGERACION</t>
        </is>
      </c>
      <c r="E429" s="56" t="inlineStr">
        <is>
          <t>FILTRO SECADOR 5/16-1/4 30G</t>
        </is>
      </c>
    </row>
    <row r="430" hidden="1" s="11">
      <c r="B430" s="56" t="n">
        <v>424</v>
      </c>
      <c r="C430" s="56">
        <f>TEXT(COUNTIF($D$7:D430, D430), "00000") &amp; "-" &amp; VLOOKUP(D430, $J$7:$K$19, 2, FALSE)</f>
        <v/>
      </c>
      <c r="D430" s="56" t="inlineStr">
        <is>
          <t>REFRIGERACION</t>
        </is>
      </c>
      <c r="E430" s="56" t="inlineStr">
        <is>
          <t>FILTRO SECADOR 3/8 SEK-163S 3-4 TON SOLDABLE</t>
        </is>
      </c>
    </row>
    <row r="431" hidden="1" s="11">
      <c r="B431" s="56" t="n">
        <v>425</v>
      </c>
      <c r="C431" s="56">
        <f>TEXT(COUNTIF($D$7:D431, D431), "00000") &amp; "-" &amp; VLOOKUP(D431, $J$7:$K$19, 2, FALSE)</f>
        <v/>
      </c>
      <c r="D431" s="56" t="inlineStr">
        <is>
          <t>REFRIGERACION</t>
        </is>
      </c>
      <c r="E431" s="56" t="inlineStr">
        <is>
          <t>FILTRO SECADOR KHALED 1/4 FEKH-052</t>
        </is>
      </c>
    </row>
    <row r="432" hidden="1" s="11">
      <c r="B432" s="56" t="n">
        <v>426</v>
      </c>
      <c r="C432" s="56">
        <f>TEXT(COUNTIF($D$7:D432, D432), "00000") &amp; "-" &amp; VLOOKUP(D432, $J$7:$K$19, 2, FALSE)</f>
        <v/>
      </c>
      <c r="D432" s="56" t="inlineStr">
        <is>
          <t>REFRIGERACION</t>
        </is>
      </c>
      <c r="E432" s="56" t="inlineStr">
        <is>
          <t>FILTRO SECADOR KHALED 5/8 FEKH-165</t>
        </is>
      </c>
    </row>
    <row r="433" hidden="1" s="11">
      <c r="B433" s="56" t="n">
        <v>427</v>
      </c>
      <c r="C433" s="56">
        <f>TEXT(COUNTIF($D$7:D433, D433), "00000") &amp; "-" &amp; VLOOKUP(D433, $J$7:$K$19, 2, FALSE)</f>
        <v/>
      </c>
      <c r="D433" s="56" t="inlineStr">
        <is>
          <t>REFRIGERACION</t>
        </is>
      </c>
      <c r="E433" s="56" t="inlineStr">
        <is>
          <t>FILTRO SECADOR A.R. COMPONENTS 5/8 RFR-165</t>
        </is>
      </c>
    </row>
    <row r="434" hidden="1" s="11">
      <c r="B434" s="56" t="n">
        <v>428</v>
      </c>
      <c r="C434" s="56">
        <f>TEXT(COUNTIF($D$7:D434, D434), "00000") &amp; "-" &amp; VLOOKUP(D434, $J$7:$K$19, 2, FALSE)</f>
        <v/>
      </c>
      <c r="D434" s="56" t="inlineStr">
        <is>
          <t>REFRIGERACION</t>
        </is>
      </c>
      <c r="E434" s="56" t="inlineStr">
        <is>
          <t>FILTRO SECADOR QA QUALITY 3/8 SEK-163F</t>
        </is>
      </c>
    </row>
    <row r="435" hidden="1" s="11">
      <c r="B435" s="56" t="n">
        <v>429</v>
      </c>
      <c r="C435" s="56">
        <f>TEXT(COUNTIF($D$7:D435, D435), "00000") &amp; "-" &amp; VLOOKUP(D435, $J$7:$K$19, 2, FALSE)</f>
        <v/>
      </c>
      <c r="D435" s="56" t="inlineStr">
        <is>
          <t>REFRIGERACION</t>
        </is>
      </c>
      <c r="E435" s="56" t="inlineStr">
        <is>
          <t>FILTRO SECADOR SEK-164 1/2 4-6 TON ROSCABLE</t>
        </is>
      </c>
    </row>
    <row r="436" hidden="1" s="11">
      <c r="B436" s="56" t="n">
        <v>430</v>
      </c>
      <c r="C436" s="56">
        <f>TEXT(COUNTIF($D$7:D436, D436), "00000") &amp; "-" &amp; VLOOKUP(D436, $J$7:$K$19, 2, FALSE)</f>
        <v/>
      </c>
      <c r="D436" s="56" t="inlineStr">
        <is>
          <t>REFRIGERACION</t>
        </is>
      </c>
      <c r="E436" s="56" t="inlineStr">
        <is>
          <t>FILTRO SECADOR KHALED 1/2 FEKH-164</t>
        </is>
      </c>
    </row>
    <row r="437" hidden="1" s="11">
      <c r="B437" s="56" t="n">
        <v>431</v>
      </c>
      <c r="C437" s="56">
        <f>TEXT(COUNTIF($D$7:D437, D437), "00000") &amp; "-" &amp; VLOOKUP(D437, $J$7:$K$19, 2, FALSE)</f>
        <v/>
      </c>
      <c r="D437" s="56" t="inlineStr">
        <is>
          <t>REFRIGERACION</t>
        </is>
      </c>
      <c r="E437" s="56" t="inlineStr">
        <is>
          <t>FILTRO SECADOR KHALED 1/4-7/16</t>
        </is>
      </c>
    </row>
    <row r="438" hidden="1" s="11">
      <c r="B438" s="56" t="n">
        <v>432</v>
      </c>
      <c r="C438" s="56">
        <f>TEXT(COUNTIF($D$7:D438, D438), "00000") &amp; "-" &amp; VLOOKUP(D438, $J$7:$K$19, 2, FALSE)</f>
        <v/>
      </c>
      <c r="D438" s="56" t="inlineStr">
        <is>
          <t>REFRIGERACION</t>
        </is>
      </c>
      <c r="E438" s="56" t="inlineStr">
        <is>
          <t>FILTRO SECADOR DE HIERRO 1/4 ROSCABLE</t>
        </is>
      </c>
    </row>
    <row r="439" hidden="1" s="11">
      <c r="B439" s="56" t="n">
        <v>433</v>
      </c>
      <c r="C439" s="56">
        <f>TEXT(COUNTIF($D$7:D439, D439), "00000") &amp; "-" &amp; VLOOKUP(D439, $J$7:$K$19, 2, FALSE)</f>
        <v/>
      </c>
      <c r="D439" s="56" t="inlineStr">
        <is>
          <t>REFRIGERACION</t>
        </is>
      </c>
      <c r="E439" s="56" t="inlineStr">
        <is>
          <t>FILTRO SECADOR EVERWELL 3/8 SEK-083</t>
        </is>
      </c>
    </row>
    <row r="440" hidden="1" s="11">
      <c r="B440" s="56" t="n">
        <v>434</v>
      </c>
      <c r="C440" s="56">
        <f>TEXT(COUNTIF($D$7:D440, D440), "00000") &amp; "-" &amp; VLOOKUP(D440, $J$7:$K$19, 2, FALSE)</f>
        <v/>
      </c>
      <c r="D440" s="56" t="inlineStr">
        <is>
          <t>REFRIGERACION</t>
        </is>
      </c>
      <c r="E440" s="56" t="inlineStr">
        <is>
          <t>VARILLA PLATA 2% 50CM</t>
        </is>
      </c>
    </row>
    <row r="441" hidden="1" s="11">
      <c r="B441" s="56" t="n">
        <v>435</v>
      </c>
      <c r="C441" s="56">
        <f>TEXT(COUNTIF($D$7:D441, D441), "00000") &amp; "-" &amp; VLOOKUP(D441, $J$7:$K$19, 2, FALSE)</f>
        <v/>
      </c>
      <c r="D441" s="56" t="inlineStr">
        <is>
          <t>REFRIGERACION</t>
        </is>
      </c>
      <c r="E441" s="56" t="inlineStr">
        <is>
          <t>FUNDENTE EN PASTA FLUX-4</t>
        </is>
      </c>
    </row>
    <row r="442" hidden="1" s="11">
      <c r="B442" s="56" t="n">
        <v>436</v>
      </c>
      <c r="C442" s="56">
        <f>TEXT(COUNTIF($D$7:D442, D442), "00000") &amp; "-" &amp; VLOOKUP(D442, $J$7:$K$19, 2, FALSE)</f>
        <v/>
      </c>
      <c r="D442" s="56" t="inlineStr">
        <is>
          <t>REFRIGERACION</t>
        </is>
      </c>
      <c r="E442" s="56" t="inlineStr">
        <is>
          <t>VALVULA DE SERVICIO</t>
        </is>
      </c>
    </row>
    <row r="443" hidden="1" s="11">
      <c r="B443" s="56" t="n">
        <v>437</v>
      </c>
      <c r="C443" s="56">
        <f>TEXT(COUNTIF($D$7:D443, D443), "00000") &amp; "-" &amp; VLOOKUP(D443, $J$7:$K$19, 2, FALSE)</f>
        <v/>
      </c>
      <c r="D443" s="56" t="inlineStr">
        <is>
          <t>REFRIGERACION</t>
        </is>
      </c>
      <c r="E443" s="56" t="inlineStr">
        <is>
          <t>UNIDAD RECTA DE COMPRESION</t>
        </is>
      </c>
    </row>
    <row r="444" hidden="1" s="11">
      <c r="B444" s="56" t="n">
        <v>438</v>
      </c>
      <c r="C444" s="56">
        <f>TEXT(COUNTIF($D$7:D444, D444), "00000") &amp; "-" &amp; VLOOKUP(D444, $J$7:$K$19, 2, FALSE)</f>
        <v/>
      </c>
      <c r="D444" s="56" t="inlineStr">
        <is>
          <t>REFRIGERACION</t>
        </is>
      </c>
      <c r="E444" s="56" t="inlineStr">
        <is>
          <t>CONTROL DE PRESION DE BAJA RANCO</t>
        </is>
      </c>
    </row>
    <row r="445" hidden="1" s="11">
      <c r="B445" s="56" t="n">
        <v>439</v>
      </c>
      <c r="C445" s="56">
        <f>TEXT(COUNTIF($D$7:D445, D445), "00000") &amp; "-" &amp; VLOOKUP(D445, $J$7:$K$19, 2, FALSE)</f>
        <v/>
      </c>
      <c r="D445" s="56" t="inlineStr">
        <is>
          <t>REFRIGERACION</t>
        </is>
      </c>
      <c r="E445" s="56" t="inlineStr">
        <is>
          <t>RELEY TEMPORIZADOR MODULAR DLT RP522TH00</t>
        </is>
      </c>
    </row>
    <row r="446" hidden="1" s="11">
      <c r="B446" s="56" t="n">
        <v>440</v>
      </c>
      <c r="C446" s="56">
        <f>TEXT(COUNTIF($D$7:D446, D446), "00000") &amp; "-" &amp; VLOOKUP(D446, $J$7:$K$19, 2, FALSE)</f>
        <v/>
      </c>
      <c r="D446" s="56" t="inlineStr">
        <is>
          <t>REFRIGERACION</t>
        </is>
      </c>
      <c r="E446" s="56" t="inlineStr">
        <is>
          <t>SISTEMA DE CONTROL UNIVERSAL PARA A/A</t>
        </is>
      </c>
    </row>
    <row r="447" hidden="1" s="11">
      <c r="B447" s="56" t="n">
        <v>441</v>
      </c>
      <c r="C447" s="56">
        <f>TEXT(COUNTIF($D$7:D447, D447), "00000") &amp; "-" &amp; VLOOKUP(D447, $J$7:$K$19, 2, FALSE)</f>
        <v/>
      </c>
      <c r="D447" s="56" t="inlineStr">
        <is>
          <t>REFRIGERACION</t>
        </is>
      </c>
      <c r="E447" s="56" t="inlineStr">
        <is>
          <t>TERMOSTATO ANALOGICO A.R. COMPONENTS RT-57</t>
        </is>
      </c>
    </row>
    <row r="448" hidden="1" s="11">
      <c r="B448" s="56" t="n">
        <v>442</v>
      </c>
      <c r="C448" s="56">
        <f>TEXT(COUNTIF($D$7:D448, D448), "00000") &amp; "-" &amp; VLOOKUP(D448, $J$7:$K$19, 2, FALSE)</f>
        <v/>
      </c>
      <c r="D448" s="56" t="inlineStr">
        <is>
          <t>REFRIGERACION</t>
        </is>
      </c>
      <c r="E448" s="56" t="inlineStr">
        <is>
          <t>MANOMETRO DE BAJA PRESION</t>
        </is>
      </c>
    </row>
    <row r="449" hidden="1" s="11">
      <c r="B449" s="56" t="n">
        <v>443</v>
      </c>
      <c r="C449" s="56">
        <f>TEXT(COUNTIF($D$7:D449, D449), "00000") &amp; "-" &amp; VLOOKUP(D449, $J$7:$K$19, 2, FALSE)</f>
        <v/>
      </c>
      <c r="D449" s="56" t="inlineStr">
        <is>
          <t>REFRIGERACION</t>
        </is>
      </c>
      <c r="E449" s="56" t="inlineStr">
        <is>
          <t>MANOMETRO DE BAJA PRESION C/GLISERINA</t>
        </is>
      </c>
    </row>
    <row r="450" hidden="1" s="11">
      <c r="B450" s="56" t="n">
        <v>444</v>
      </c>
      <c r="C450" s="56">
        <f>TEXT(COUNTIF($D$7:D450, D450), "00000") &amp; "-" &amp; VLOOKUP(D450, $J$7:$K$19, 2, FALSE)</f>
        <v/>
      </c>
      <c r="D450" s="56" t="inlineStr">
        <is>
          <t>REFRIGERACION</t>
        </is>
      </c>
      <c r="E450" s="56" t="inlineStr">
        <is>
          <t>MANOMETRO DE REFRIGERACION HONGSEN</t>
        </is>
      </c>
    </row>
    <row r="451" hidden="1" s="11">
      <c r="B451" s="56" t="n">
        <v>445</v>
      </c>
      <c r="C451" s="56">
        <f>TEXT(COUNTIF($D$7:D451, D451), "00000") &amp; "-" &amp; VLOOKUP(D451, $J$7:$K$19, 2, FALSE)</f>
        <v/>
      </c>
      <c r="D451" s="56" t="inlineStr">
        <is>
          <t>REFRIGERACION</t>
        </is>
      </c>
      <c r="E451" s="56" t="inlineStr">
        <is>
          <t>BOBINA ELECTROMAGNETICA PARA ELECTROVALVULA DANFOSS</t>
        </is>
      </c>
    </row>
    <row r="452" hidden="1" s="11">
      <c r="B452" s="56" t="n">
        <v>446</v>
      </c>
      <c r="C452" s="56">
        <f>TEXT(COUNTIF($D$7:D452, D452), "00000") &amp; "-" &amp; VLOOKUP(D452, $J$7:$K$19, 2, FALSE)</f>
        <v/>
      </c>
      <c r="D452" s="56" t="inlineStr">
        <is>
          <t>REFRIGERACION</t>
        </is>
      </c>
      <c r="E452" s="56" t="inlineStr">
        <is>
          <t>BIMETALICO</t>
        </is>
      </c>
    </row>
    <row r="453" hidden="1" s="11">
      <c r="B453" s="56" t="n">
        <v>447</v>
      </c>
      <c r="C453" s="56">
        <f>TEXT(COUNTIF($D$7:D453, D453), "00000") &amp; "-" &amp; VLOOKUP(D453, $J$7:$K$19, 2, FALSE)</f>
        <v/>
      </c>
      <c r="D453" s="56" t="inlineStr">
        <is>
          <t>REFRIGERACION</t>
        </is>
      </c>
      <c r="E453" s="56" t="inlineStr">
        <is>
          <t>RELEY DE ARRANQUE P/COMPRESOR 4 PATAS</t>
        </is>
      </c>
    </row>
    <row r="454" hidden="1" s="11">
      <c r="B454" s="56" t="n">
        <v>448</v>
      </c>
      <c r="C454" s="56">
        <f>TEXT(COUNTIF($D$7:D454, D454), "00000") &amp; "-" &amp; VLOOKUP(D454, $J$7:$K$19, 2, FALSE)</f>
        <v/>
      </c>
      <c r="D454" s="56" t="inlineStr">
        <is>
          <t>REFRIGERACION</t>
        </is>
      </c>
      <c r="E454" s="56" t="inlineStr">
        <is>
          <t>PROTECTOR TERMICO P/MOTORES DE REFRIGERACION 1/4 HP</t>
        </is>
      </c>
    </row>
    <row r="455" hidden="1" s="11">
      <c r="B455" s="56" t="n">
        <v>449</v>
      </c>
      <c r="C455" s="56">
        <f>TEXT(COUNTIF($D$7:D455, D455), "00000") &amp; "-" &amp; VLOOKUP(D455, $J$7:$K$19, 2, FALSE)</f>
        <v/>
      </c>
      <c r="D455" s="56" t="inlineStr">
        <is>
          <t>REFRIGERACION</t>
        </is>
      </c>
      <c r="E455" s="56" t="inlineStr">
        <is>
          <t>PROTECTOR TERMICO P/MOTORES DE REFRIGERACION 1/3 HP</t>
        </is>
      </c>
    </row>
    <row r="456" hidden="1" s="11">
      <c r="B456" s="56" t="n">
        <v>450</v>
      </c>
      <c r="C456" s="56">
        <f>TEXT(COUNTIF($D$7:D456, D456), "00000") &amp; "-" &amp; VLOOKUP(D456, $J$7:$K$19, 2, FALSE)</f>
        <v/>
      </c>
      <c r="D456" s="56" t="inlineStr">
        <is>
          <t>REFRIGERACION</t>
        </is>
      </c>
      <c r="E456" s="56" t="inlineStr">
        <is>
          <t>ORIFICO PARA VALVULA DE EXPANSIÓN</t>
        </is>
      </c>
    </row>
    <row r="457" hidden="1" s="11">
      <c r="B457" s="56" t="n">
        <v>451</v>
      </c>
      <c r="C457" s="56">
        <f>TEXT(COUNTIF($D$7:D457, D457), "00000") &amp; "-" &amp; VLOOKUP(D457, $J$7:$K$19, 2, FALSE)</f>
        <v/>
      </c>
      <c r="D457" s="56" t="inlineStr">
        <is>
          <t>REFRIGERACION</t>
        </is>
      </c>
      <c r="E457" s="56" t="inlineStr">
        <is>
          <t>VALVULA SELNOIDE EMERSON 200RB</t>
        </is>
      </c>
    </row>
    <row r="458" hidden="1" s="11">
      <c r="B458" s="56" t="n">
        <v>452</v>
      </c>
      <c r="C458" s="56">
        <f>TEXT(COUNTIF($D$7:D458, D458), "00000") &amp; "-" &amp; VLOOKUP(D458, $J$7:$K$19, 2, FALSE)</f>
        <v/>
      </c>
      <c r="D458" s="56" t="inlineStr">
        <is>
          <t>REFRIGERACION</t>
        </is>
      </c>
      <c r="E458" s="56" t="inlineStr">
        <is>
          <t>SENSOR DE TEMPERATURA PARA A/A</t>
        </is>
      </c>
    </row>
    <row r="459" hidden="1" s="11">
      <c r="B459" s="56" t="n">
        <v>453</v>
      </c>
      <c r="C459" s="56">
        <f>TEXT(COUNTIF($D$7:D459, D459), "00000") &amp; "-" &amp; VLOOKUP(D459, $J$7:$K$19, 2, FALSE)</f>
        <v/>
      </c>
      <c r="D459" s="56" t="inlineStr">
        <is>
          <t>REFRIGERACION</t>
        </is>
      </c>
      <c r="E459" s="56" t="inlineStr">
        <is>
          <t>MANGUERA DE DESAGUE A/A 1/2 1,5M</t>
        </is>
      </c>
    </row>
    <row r="460" hidden="1" s="11">
      <c r="B460" s="56" t="n">
        <v>454</v>
      </c>
      <c r="C460" s="56">
        <f>TEXT(COUNTIF($D$7:D460, D460), "00000") &amp; "-" &amp; VLOOKUP(D460, $J$7:$K$19, 2, FALSE)</f>
        <v/>
      </c>
      <c r="D460" s="56" t="inlineStr">
        <is>
          <t>REFRIGERACION</t>
        </is>
      </c>
      <c r="E460" s="56" t="inlineStr">
        <is>
          <t>TUBO CAPILAR DE COBRE 0,031 X 0,081 (METRO)</t>
        </is>
      </c>
    </row>
    <row r="461" hidden="1" s="11">
      <c r="B461" s="56" t="n">
        <v>455</v>
      </c>
      <c r="C461" s="56">
        <f>TEXT(COUNTIF($D$7:D461, D461), "00000") &amp; "-" &amp; VLOOKUP(D461, $J$7:$K$19, 2, FALSE)</f>
        <v/>
      </c>
      <c r="D461" s="56" t="inlineStr">
        <is>
          <t>REFRIGERACION</t>
        </is>
      </c>
      <c r="E461" s="56" t="inlineStr">
        <is>
          <t>TUBO CAPILAR DE COBRE 0,036 X 0,087 (METRO)</t>
        </is>
      </c>
    </row>
    <row r="462" hidden="1" s="11">
      <c r="B462" s="56" t="n">
        <v>456</v>
      </c>
      <c r="C462" s="56">
        <f>TEXT(COUNTIF($D$7:D462, D462), "00000") &amp; "-" &amp; VLOOKUP(D462, $J$7:$K$19, 2, FALSE)</f>
        <v/>
      </c>
      <c r="D462" s="56" t="inlineStr">
        <is>
          <t>REFRIGERACION</t>
        </is>
      </c>
      <c r="E462" s="56" t="inlineStr">
        <is>
          <t>TUBO DE COBRE 3/8 X 0,032MM (METRO)</t>
        </is>
      </c>
    </row>
    <row r="463" hidden="1" s="11">
      <c r="B463" s="56" t="n">
        <v>457</v>
      </c>
      <c r="C463" s="56">
        <f>TEXT(COUNTIF($D$7:D463, D463), "00000") &amp; "-" &amp; VLOOKUP(D463, $J$7:$K$19, 2, FALSE)</f>
        <v/>
      </c>
      <c r="D463" s="56" t="inlineStr">
        <is>
          <t>AUTOMOTRIZ</t>
        </is>
      </c>
      <c r="E463" s="56" t="inlineStr">
        <is>
          <t>ACEITE 15W-40 SHELL LITRO</t>
        </is>
      </c>
    </row>
    <row r="464" hidden="1" s="11">
      <c r="B464" s="56" t="n">
        <v>458</v>
      </c>
      <c r="C464" s="56">
        <f>TEXT(COUNTIF($D$7:D464, D464), "00000") &amp; "-" &amp; VLOOKUP(D464, $J$7:$K$19, 2, FALSE)</f>
        <v/>
      </c>
      <c r="D464" s="56" t="inlineStr">
        <is>
          <t>AUTOMOTRIZ</t>
        </is>
      </c>
      <c r="E464" s="56" t="inlineStr">
        <is>
          <t>FILTRO ACEITE 3387</t>
        </is>
      </c>
    </row>
    <row r="465" hidden="1" s="11">
      <c r="B465" s="56" t="n">
        <v>459</v>
      </c>
      <c r="C465" s="56">
        <f>TEXT(COUNTIF($D$7:D465, D465), "00000") &amp; "-" &amp; VLOOKUP(D465, $J$7:$K$19, 2, FALSE)</f>
        <v/>
      </c>
      <c r="D465" s="56" t="inlineStr">
        <is>
          <t>AUTOMOTRIZ</t>
        </is>
      </c>
      <c r="E465" s="56" t="inlineStr">
        <is>
          <t>BATERIA DUNCAN 242-1150</t>
        </is>
      </c>
    </row>
    <row r="466" hidden="1" s="11">
      <c r="B466" s="56" t="n">
        <v>460</v>
      </c>
      <c r="C466" s="56">
        <f>TEXT(COUNTIF($D$7:D466, D466), "00000") &amp; "-" &amp; VLOOKUP(D466, $J$7:$K$19, 2, FALSE)</f>
        <v/>
      </c>
      <c r="D466" s="56" t="inlineStr">
        <is>
          <t>AUTOMOTRIZ</t>
        </is>
      </c>
      <c r="E466" s="56" t="inlineStr">
        <is>
          <t>ACEITE 20W-50 SHELL LITRO</t>
        </is>
      </c>
    </row>
    <row r="467" hidden="1" s="11">
      <c r="B467" s="56" t="n">
        <v>461</v>
      </c>
      <c r="C467" s="56">
        <f>TEXT(COUNTIF($D$7:D467, D467), "00000") &amp; "-" &amp; VLOOKUP(D467, $J$7:$K$19, 2, FALSE)</f>
        <v/>
      </c>
      <c r="D467" s="56" t="inlineStr">
        <is>
          <t>AUTOMOTRIZ</t>
        </is>
      </c>
      <c r="E467" s="56" t="inlineStr">
        <is>
          <t>ACEITE 80W-90 LRAX LITRO</t>
        </is>
      </c>
    </row>
    <row r="468" hidden="1" s="11">
      <c r="B468" s="56" t="n">
        <v>462</v>
      </c>
      <c r="C468" s="56">
        <f>TEXT(COUNTIF($D$7:D468, D468), "00000") &amp; "-" &amp; VLOOKUP(D468, $J$7:$K$19, 2, FALSE)</f>
        <v/>
      </c>
      <c r="D468" s="56" t="inlineStr">
        <is>
          <t>FERRETERIA</t>
        </is>
      </c>
      <c r="E468" s="56" t="inlineStr">
        <is>
          <t>ALICATE MECANICO 10"</t>
        </is>
      </c>
    </row>
    <row r="469" hidden="1" s="11">
      <c r="B469" s="56" t="n">
        <v>463</v>
      </c>
      <c r="C469" s="56">
        <f>TEXT(COUNTIF($D$7:D469, D469), "00000") &amp; "-" &amp; VLOOKUP(D469, $J$7:$K$19, 2, FALSE)</f>
        <v/>
      </c>
      <c r="D469" s="56" t="inlineStr">
        <is>
          <t>FERRETERIA</t>
        </is>
      </c>
      <c r="E469" s="56" t="inlineStr">
        <is>
          <t>ALICATE ELECTRICISTA 8"</t>
        </is>
      </c>
    </row>
    <row r="470" hidden="1" s="11">
      <c r="B470" s="56" t="n">
        <v>464</v>
      </c>
      <c r="C470" s="56">
        <f>TEXT(COUNTIF($D$7:D470, D470), "00000") &amp; "-" &amp; VLOOKUP(D470, $J$7:$K$19, 2, FALSE)</f>
        <v/>
      </c>
      <c r="D470" s="56" t="inlineStr">
        <is>
          <t>FERRETERIA</t>
        </is>
      </c>
      <c r="E470" s="56" t="inlineStr">
        <is>
          <t>ALICATE DE PRESION RECTO</t>
        </is>
      </c>
    </row>
    <row r="471" hidden="1" s="11">
      <c r="B471" s="56" t="n">
        <v>465</v>
      </c>
      <c r="C471" s="56">
        <f>TEXT(COUNTIF($D$7:D471, D471), "00000") &amp; "-" &amp; VLOOKUP(D471, $J$7:$K$19, 2, FALSE)</f>
        <v/>
      </c>
      <c r="D471" s="56" t="inlineStr">
        <is>
          <t>REFRIGERACION</t>
        </is>
      </c>
      <c r="E471" s="56" t="inlineStr">
        <is>
          <t>MOTOR VENTILADOR FANCOOLERS ACFAN 12881BITL</t>
        </is>
      </c>
    </row>
    <row r="472" hidden="1" s="11">
      <c r="B472" s="56" t="n">
        <v>466</v>
      </c>
      <c r="C472" s="56">
        <f>TEXT(COUNTIF($D$7:D472, D472), "00000") &amp; "-" &amp; VLOOKUP(D472, $J$7:$K$19, 2, FALSE)</f>
        <v/>
      </c>
      <c r="D472" s="56" t="inlineStr">
        <is>
          <t>REFRIGERACION</t>
        </is>
      </c>
      <c r="E472" s="56" t="inlineStr">
        <is>
          <t>ARMAFLEX 7/8 X 3/8</t>
        </is>
      </c>
    </row>
    <row r="473" hidden="1" s="11">
      <c r="B473" s="56" t="n">
        <v>467</v>
      </c>
      <c r="C473" s="56">
        <f>TEXT(COUNTIF($D$7:D473, D473), "00000") &amp; "-" &amp; VLOOKUP(D473, $J$7:$K$19, 2, FALSE)</f>
        <v/>
      </c>
      <c r="D473" s="56" t="inlineStr">
        <is>
          <t>HERRAMIENTA</t>
        </is>
      </c>
      <c r="E473" s="56" t="inlineStr">
        <is>
          <t>BROCHA 2" ECO</t>
        </is>
      </c>
    </row>
    <row r="474" hidden="1" s="11">
      <c r="B474" s="56" t="n">
        <v>468</v>
      </c>
      <c r="C474" s="56">
        <f>TEXT(COUNTIF($D$7:D474, D474), "00000") &amp; "-" &amp; VLOOKUP(D474, $J$7:$K$19, 2, FALSE)</f>
        <v/>
      </c>
      <c r="D474" s="56" t="inlineStr">
        <is>
          <t>HERRAMIENTA</t>
        </is>
      </c>
      <c r="E474" s="56" t="inlineStr">
        <is>
          <t>BROCHA 3" ECO</t>
        </is>
      </c>
    </row>
    <row r="475" hidden="1" s="11">
      <c r="B475" s="56" t="n">
        <v>469</v>
      </c>
      <c r="C475" s="56">
        <f>TEXT(COUNTIF($D$7:D475, D475), "00000") &amp; "-" &amp; VLOOKUP(D475, $J$7:$K$19, 2, FALSE)</f>
        <v/>
      </c>
      <c r="D475" s="56" t="inlineStr">
        <is>
          <t>HERRAMIENTA</t>
        </is>
      </c>
      <c r="E475" s="56" t="inlineStr">
        <is>
          <t>BROCHA 4" ECO</t>
        </is>
      </c>
    </row>
    <row r="476" hidden="1" s="11">
      <c r="B476" s="56" t="n">
        <v>470</v>
      </c>
      <c r="C476" s="56">
        <f>TEXT(COUNTIF($D$7:D476, D476), "00000") &amp; "-" &amp; VLOOKUP(D476, $J$7:$K$19, 2, FALSE)</f>
        <v/>
      </c>
      <c r="D476" s="56" t="inlineStr">
        <is>
          <t>FERRETERIA</t>
        </is>
      </c>
      <c r="E476" s="56" t="inlineStr">
        <is>
          <t>FUNDA PARA RODILLO CAUCHO 9"</t>
        </is>
      </c>
    </row>
    <row r="477" hidden="1" s="11">
      <c r="B477" s="56" t="n">
        <v>471</v>
      </c>
      <c r="C477" s="56">
        <f>TEXT(COUNTIF($D$7:D477, D477), "00000") &amp; "-" &amp; VLOOKUP(D477, $J$7:$K$19, 2, FALSE)</f>
        <v/>
      </c>
      <c r="D477" s="56" t="inlineStr">
        <is>
          <t>FERRETERIA</t>
        </is>
      </c>
      <c r="E477" s="56" t="inlineStr">
        <is>
          <t>1/4 GALON PINTURA ESMALTE ALUMINIO</t>
        </is>
      </c>
    </row>
    <row r="478" hidden="1" s="11">
      <c r="B478" s="56" t="n">
        <v>472</v>
      </c>
      <c r="C478" s="56">
        <f>TEXT(COUNTIF($D$7:D478, D478), "00000") &amp; "-" &amp; VLOOKUP(D478, $J$7:$K$19, 2, FALSE)</f>
        <v/>
      </c>
      <c r="D478" s="56" t="inlineStr">
        <is>
          <t>FERRETERIA</t>
        </is>
      </c>
      <c r="E478" s="56" t="inlineStr">
        <is>
          <t>1/4 GALON CATALIZADOR EPOXICO</t>
        </is>
      </c>
    </row>
    <row r="479" hidden="1" s="11">
      <c r="B479" s="56" t="n">
        <v>473</v>
      </c>
      <c r="C479" s="56">
        <f>TEXT(COUNTIF($D$7:D479, D479), "00000") &amp; "-" &amp; VLOOKUP(D479, $J$7:$K$19, 2, FALSE)</f>
        <v/>
      </c>
      <c r="D479" s="56" t="inlineStr">
        <is>
          <t>OFICINA</t>
        </is>
      </c>
      <c r="E479" s="56" t="inlineStr">
        <is>
          <t>BOLIGRAFO TINTA NEGRA</t>
        </is>
      </c>
    </row>
    <row r="480" hidden="1" s="11">
      <c r="B480" s="56" t="n">
        <v>474</v>
      </c>
      <c r="C480" s="56">
        <f>TEXT(COUNTIF($D$7:D480, D480), "00000") &amp; "-" &amp; VLOOKUP(D480, $J$7:$K$19, 2, FALSE)</f>
        <v/>
      </c>
      <c r="D480" s="56" t="inlineStr">
        <is>
          <t>REFRIGERACION</t>
        </is>
      </c>
      <c r="E480" s="56" t="inlineStr">
        <is>
          <t>COMPRESOR TECUMSEH 3/4 220V R-404</t>
        </is>
      </c>
    </row>
    <row r="481" hidden="1" s="11">
      <c r="B481" s="56" t="n">
        <v>475</v>
      </c>
      <c r="C481" s="56">
        <f>TEXT(COUNTIF($D$7:D481, D481), "00000") &amp; "-" &amp; VLOOKUP(D481, $J$7:$K$19, 2, FALSE)</f>
        <v/>
      </c>
      <c r="D481" s="56" t="inlineStr">
        <is>
          <t>ELECTRONICO</t>
        </is>
      </c>
      <c r="E481" s="56" t="inlineStr">
        <is>
          <t>CONTROL A/A UNIVERSAL KT-4000-6000</t>
        </is>
      </c>
    </row>
    <row r="482" hidden="1" s="11">
      <c r="B482" s="56" t="n">
        <v>476</v>
      </c>
      <c r="C482" s="56">
        <f>TEXT(COUNTIF($D$7:D482, D482), "00000") &amp; "-" &amp; VLOOKUP(D482, $J$7:$K$19, 2, FALSE)</f>
        <v/>
      </c>
      <c r="D482" s="56" t="inlineStr">
        <is>
          <t>HERRAMIENTA</t>
        </is>
      </c>
      <c r="E482" s="56" t="inlineStr">
        <is>
          <t>JUEGO DE HERREMIENTA 121 PCS ROCCIA</t>
        </is>
      </c>
    </row>
    <row r="483" hidden="1" s="11">
      <c r="B483" s="56" t="n">
        <v>477</v>
      </c>
      <c r="C483" s="56">
        <f>TEXT(COUNTIF($D$7:D483, D483), "00000") &amp; "-" &amp; VLOOKUP(D483, $J$7:$K$19, 2, FALSE)</f>
        <v/>
      </c>
      <c r="D483" s="56" t="inlineStr">
        <is>
          <t>HERRAMIENTA</t>
        </is>
      </c>
      <c r="E483" s="56" t="inlineStr">
        <is>
          <t>JUEGO DE LLAVES INGLESAS 12 PZAS 6MM-32MM ROCCIA</t>
        </is>
      </c>
    </row>
    <row r="484" hidden="1" s="11">
      <c r="B484" s="56" t="n">
        <v>478</v>
      </c>
      <c r="C484" s="56">
        <f>TEXT(COUNTIF($D$7:D484, D484), "00000") &amp; "-" &amp; VLOOKUP(D484, $J$7:$K$19, 2, FALSE)</f>
        <v/>
      </c>
      <c r="D484" s="56" t="inlineStr">
        <is>
          <t>AUTOMOTRIZ</t>
        </is>
      </c>
      <c r="E484" s="56" t="inlineStr">
        <is>
          <t>BUJE DE TRIMOTO</t>
        </is>
      </c>
    </row>
    <row r="485" hidden="1" s="11">
      <c r="B485" s="56" t="n">
        <v>479</v>
      </c>
      <c r="C485" s="56">
        <f>TEXT(COUNTIF($D$7:D485, D485), "00000") &amp; "-" &amp; VLOOKUP(D485, $J$7:$K$19, 2, FALSE)</f>
        <v/>
      </c>
      <c r="D485" s="56" t="inlineStr">
        <is>
          <t>HERRERIA</t>
        </is>
      </c>
      <c r="E485" s="56" t="inlineStr">
        <is>
          <t>REMACHE 3/16</t>
        </is>
      </c>
    </row>
    <row r="486" hidden="1" s="11">
      <c r="B486" s="56" t="n">
        <v>480</v>
      </c>
      <c r="C486" s="56">
        <f>TEXT(COUNTIF($D$7:D486, D486), "00000") &amp; "-" &amp; VLOOKUP(D486, $J$7:$K$19, 2, FALSE)</f>
        <v/>
      </c>
      <c r="D486" s="56" t="inlineStr">
        <is>
          <t>PLOMERIA</t>
        </is>
      </c>
      <c r="E486" s="56" t="inlineStr">
        <is>
          <t>TAPA POCETA BLANCO</t>
        </is>
      </c>
    </row>
    <row r="487" hidden="1" s="11">
      <c r="B487" s="56" t="n">
        <v>481</v>
      </c>
      <c r="C487" s="56">
        <f>TEXT(COUNTIF($D$7:D487, D487), "00000") &amp; "-" &amp; VLOOKUP(D487, $J$7:$K$19, 2, FALSE)</f>
        <v/>
      </c>
      <c r="D487" s="56" t="inlineStr">
        <is>
          <t>HERRERIA</t>
        </is>
      </c>
      <c r="E487" s="56" t="inlineStr">
        <is>
          <t>TORNILLO DE METAL 1/4 X 3/4</t>
        </is>
      </c>
    </row>
    <row r="488" hidden="1" s="11">
      <c r="B488" s="56" t="n">
        <v>482</v>
      </c>
      <c r="C488" s="56">
        <f>TEXT(COUNTIF($D$7:D488, D488), "00000") &amp; "-" &amp; VLOOKUP(D488, $J$7:$K$19, 2, FALSE)</f>
        <v/>
      </c>
      <c r="D488" s="56" t="inlineStr">
        <is>
          <t>HERRERIA</t>
        </is>
      </c>
      <c r="E488" s="56" t="inlineStr">
        <is>
          <t>TUERCA HEXAGONAL G2 1/4</t>
        </is>
      </c>
    </row>
    <row r="489" hidden="1" s="11">
      <c r="B489" s="56" t="n">
        <v>483</v>
      </c>
      <c r="C489" s="56">
        <f>TEXT(COUNTIF($D$7:D489, D489), "00000") &amp; "-" &amp; VLOOKUP(D489, $J$7:$K$19, 2, FALSE)</f>
        <v/>
      </c>
      <c r="D489" s="56" t="inlineStr">
        <is>
          <t>PLOMERIA</t>
        </is>
      </c>
      <c r="E489" s="56" t="inlineStr">
        <is>
          <t>HERRAJE CON MANILLA GRIVEN</t>
        </is>
      </c>
    </row>
    <row r="490" hidden="1" s="11">
      <c r="B490" s="56" t="n">
        <v>484</v>
      </c>
      <c r="C490" s="56">
        <f>TEXT(COUNTIF($D$7:D490, D490), "00000") &amp; "-" &amp; VLOOKUP(D490, $J$7:$K$19, 2, FALSE)</f>
        <v/>
      </c>
      <c r="D490" s="56" t="inlineStr">
        <is>
          <t>PLOMERIA</t>
        </is>
      </c>
      <c r="E490" s="56" t="inlineStr">
        <is>
          <t>LLAVE DE PASO 1/2 BRONCE IVANCI</t>
        </is>
      </c>
    </row>
    <row r="491" hidden="1" s="11">
      <c r="B491" s="56" t="n">
        <v>485</v>
      </c>
      <c r="C491" s="56">
        <f>TEXT(COUNTIF($D$7:D491, D491), "00000") &amp; "-" &amp; VLOOKUP(D491, $J$7:$K$19, 2, FALSE)</f>
        <v/>
      </c>
      <c r="D491" s="56" t="inlineStr">
        <is>
          <t>PLOMERIA</t>
        </is>
      </c>
      <c r="E491" s="56" t="inlineStr">
        <is>
          <t>LLAVE DE CHORRO P/R</t>
        </is>
      </c>
    </row>
    <row r="492" hidden="1" s="11">
      <c r="B492" s="56" t="n">
        <v>486</v>
      </c>
      <c r="C492" s="56">
        <f>TEXT(COUNTIF($D$7:D492, D492), "00000") &amp; "-" &amp; VLOOKUP(D492, $J$7:$K$19, 2, FALSE)</f>
        <v/>
      </c>
      <c r="D492" s="56" t="inlineStr">
        <is>
          <t>PLOMERIA</t>
        </is>
      </c>
      <c r="E492" s="56" t="inlineStr">
        <is>
          <t>CONEXIÓN PARA MANGUERA 1/2 BRONCE BELT-G</t>
        </is>
      </c>
    </row>
    <row r="493" hidden="1" s="11">
      <c r="B493" s="56" t="n">
        <v>487</v>
      </c>
      <c r="C493" s="56">
        <f>TEXT(COUNTIF($D$7:D493, D493), "00000") &amp; "-" &amp; VLOOKUP(D493, $J$7:$K$19, 2, FALSE)</f>
        <v/>
      </c>
      <c r="D493" s="56" t="inlineStr">
        <is>
          <t>FERRETERIA</t>
        </is>
      </c>
      <c r="E493" s="56" t="inlineStr">
        <is>
          <t>TIRRO BLANCO LUMISTAR 1" X 30 M</t>
        </is>
      </c>
    </row>
    <row r="494" hidden="1" s="11">
      <c r="B494" s="56" t="n">
        <v>488</v>
      </c>
      <c r="C494" s="56">
        <f>TEXT(COUNTIF($D$7:D494, D494), "00000") &amp; "-" &amp; VLOOKUP(D494, $J$7:$K$19, 2, FALSE)</f>
        <v/>
      </c>
      <c r="D494" s="56" t="inlineStr">
        <is>
          <t>PLOMERIA</t>
        </is>
      </c>
      <c r="E494" s="56" t="inlineStr">
        <is>
          <t>GRIFO LAVAMANO IND METALICO GRIVEN</t>
        </is>
      </c>
    </row>
    <row r="495" hidden="1" s="11">
      <c r="B495" s="56" t="n">
        <v>489</v>
      </c>
      <c r="C495" s="56">
        <f>TEXT(COUNTIF($D$7:D495, D495), "00000") &amp; "-" &amp; VLOOKUP(D495, $J$7:$K$19, 2, FALSE)</f>
        <v/>
      </c>
      <c r="D495" s="56" t="inlineStr">
        <is>
          <t>PLOMERIA</t>
        </is>
      </c>
      <c r="E495" s="56" t="inlineStr">
        <is>
          <t>LLAVE DE ARRESTO 1/2 GRIVEN</t>
        </is>
      </c>
    </row>
    <row r="496" hidden="1" s="11">
      <c r="B496" s="56" t="n">
        <v>490</v>
      </c>
      <c r="C496" s="56">
        <f>TEXT(COUNTIF($D$7:D496, D496), "00000") &amp; "-" &amp; VLOOKUP(D496, $J$7:$K$19, 2, FALSE)</f>
        <v/>
      </c>
      <c r="D496" s="56" t="inlineStr">
        <is>
          <t>PLOMERIA</t>
        </is>
      </c>
      <c r="E496" s="56" t="inlineStr">
        <is>
          <t>LLAVE DE PASO 3/4 BRONCE KOBATEX</t>
        </is>
      </c>
    </row>
    <row r="497" hidden="1" s="11">
      <c r="B497" s="56" t="n">
        <v>491</v>
      </c>
      <c r="C497" s="56">
        <f>TEXT(COUNTIF($D$7:D497, D497), "00000") &amp; "-" &amp; VLOOKUP(D497, $J$7:$K$19, 2, FALSE)</f>
        <v/>
      </c>
      <c r="D497" s="56" t="inlineStr">
        <is>
          <t>PLOMERIA</t>
        </is>
      </c>
      <c r="E497" s="56" t="inlineStr">
        <is>
          <t>UNION DRESS PVC 3/4</t>
        </is>
      </c>
    </row>
    <row r="498" hidden="1" s="11">
      <c r="B498" s="56" t="n">
        <v>492</v>
      </c>
      <c r="C498" s="56">
        <f>TEXT(COUNTIF($D$7:D498, D498), "00000") &amp; "-" &amp; VLOOKUP(D498, $J$7:$K$19, 2, FALSE)</f>
        <v/>
      </c>
      <c r="D498" s="56" t="inlineStr">
        <is>
          <t>FERRETERIA</t>
        </is>
      </c>
      <c r="E498" s="56" t="inlineStr">
        <is>
          <t>TEFLON 3/4 15 M GRANDE</t>
        </is>
      </c>
    </row>
    <row r="499" hidden="1" s="11">
      <c r="B499" s="56" t="n">
        <v>493</v>
      </c>
      <c r="C499" s="56">
        <f>TEXT(COUNTIF($D$7:D499, D499), "00000") &amp; "-" &amp; VLOOKUP(D499, $J$7:$K$19, 2, FALSE)</f>
        <v/>
      </c>
      <c r="D499" s="56" t="inlineStr">
        <is>
          <t>PLOMERIA</t>
        </is>
      </c>
      <c r="E499" s="56" t="inlineStr">
        <is>
          <t>CANILLA PLASTICA 1/2 X 1/2 40 CM</t>
        </is>
      </c>
    </row>
    <row r="500" hidden="1" s="11">
      <c r="B500" s="56" t="n">
        <v>494</v>
      </c>
      <c r="C500" s="56">
        <f>TEXT(COUNTIF($D$7:D500, D500), "00000") &amp; "-" &amp; VLOOKUP(D500, $J$7:$K$19, 2, FALSE)</f>
        <v/>
      </c>
      <c r="D500" s="56" t="inlineStr">
        <is>
          <t>ELECTRONICO</t>
        </is>
      </c>
      <c r="E500" s="56" t="inlineStr">
        <is>
          <t>BALANZA DE MOSTRADOR 40 KG ROCCIA</t>
        </is>
      </c>
    </row>
    <row r="501" hidden="1" s="11">
      <c r="B501" s="56" t="n">
        <v>495</v>
      </c>
      <c r="C501" s="56">
        <f>TEXT(COUNTIF($D$7:D501, D501), "00000") &amp; "-" &amp; VLOOKUP(D501, $J$7:$K$19, 2, FALSE)</f>
        <v/>
      </c>
      <c r="D501" s="56" t="inlineStr">
        <is>
          <t>ILUMINACION</t>
        </is>
      </c>
      <c r="E501" s="56" t="inlineStr">
        <is>
          <t>PANEL LED EMPOTRABLE 60 X 120 48W</t>
        </is>
      </c>
    </row>
    <row r="502" hidden="1" s="11">
      <c r="B502" s="56" t="n">
        <v>496</v>
      </c>
      <c r="C502" s="56">
        <f>TEXT(COUNTIF($D$7:D502, D502), "00000") &amp; "-" &amp; VLOOKUP(D502, $J$7:$K$19, 2, FALSE)</f>
        <v/>
      </c>
      <c r="D502" s="56" t="inlineStr">
        <is>
          <t>FERRETERIA</t>
        </is>
      </c>
      <c r="E502" s="56" t="inlineStr">
        <is>
          <t>TRAMPAGRASA EN ACERO 430</t>
        </is>
      </c>
    </row>
    <row r="503" hidden="1" s="11">
      <c r="B503" s="56" t="n">
        <v>497</v>
      </c>
      <c r="C503" s="56">
        <f>TEXT(COUNTIF($D$7:D503, D503), "00000") &amp; "-" &amp; VLOOKUP(D503, $J$7:$K$19, 2, FALSE)</f>
        <v/>
      </c>
      <c r="D503" s="56" t="inlineStr">
        <is>
          <t>PLOMERIA</t>
        </is>
      </c>
      <c r="E503" s="56" t="inlineStr">
        <is>
          <t>ANILLO 1" PVC</t>
        </is>
      </c>
    </row>
    <row r="504" hidden="1" s="11">
      <c r="B504" s="56" t="n">
        <v>498</v>
      </c>
      <c r="C504" s="56">
        <f>TEXT(COUNTIF($D$7:D504, D504), "00000") &amp; "-" &amp; VLOOKUP(D504, $J$7:$K$19, 2, FALSE)</f>
        <v/>
      </c>
      <c r="D504" s="56" t="inlineStr">
        <is>
          <t>PLOMERIA</t>
        </is>
      </c>
      <c r="E504" s="56" t="inlineStr">
        <is>
          <t>CODO 90° 1" PVC</t>
        </is>
      </c>
    </row>
    <row r="505" hidden="1" s="11">
      <c r="B505" s="56" t="n">
        <v>499</v>
      </c>
      <c r="C505" s="56">
        <f>TEXT(COUNTIF($D$7:D505, D505), "00000") &amp; "-" &amp; VLOOKUP(D505, $J$7:$K$19, 2, FALSE)</f>
        <v/>
      </c>
      <c r="D505" s="56" t="inlineStr">
        <is>
          <t>PLOMERIA</t>
        </is>
      </c>
      <c r="E505" s="56" t="inlineStr">
        <is>
          <t>T 1" PVC</t>
        </is>
      </c>
    </row>
    <row r="506" hidden="1" s="11">
      <c r="B506" s="56" t="n">
        <v>500</v>
      </c>
      <c r="C506" s="56">
        <f>TEXT(COUNTIF($D$7:D506, D506), "00000") &amp; "-" &amp; VLOOKUP(D506, $J$7:$K$19, 2, FALSE)</f>
        <v/>
      </c>
      <c r="D506" s="56" t="inlineStr">
        <is>
          <t>PLOMERIA</t>
        </is>
      </c>
      <c r="E506" s="56" t="inlineStr">
        <is>
          <t>CODO 90° 1" ROSCA</t>
        </is>
      </c>
    </row>
    <row r="507" hidden="1" s="11">
      <c r="B507" s="56" t="n">
        <v>501</v>
      </c>
      <c r="C507" s="56">
        <f>TEXT(COUNTIF($D$7:D507, D507), "00000") &amp; "-" &amp; VLOOKUP(D507, $J$7:$K$19, 2, FALSE)</f>
        <v/>
      </c>
      <c r="D507" s="56" t="inlineStr">
        <is>
          <t>PLOMERIA</t>
        </is>
      </c>
      <c r="E507" s="56" t="inlineStr">
        <is>
          <t>T 3/4 PVC</t>
        </is>
      </c>
    </row>
    <row r="508" hidden="1" s="11">
      <c r="B508" s="56" t="n">
        <v>502</v>
      </c>
      <c r="C508" s="56">
        <f>TEXT(COUNTIF($D$7:D508, D508), "00000") &amp; "-" &amp; VLOOKUP(D508, $J$7:$K$19, 2, FALSE)</f>
        <v/>
      </c>
      <c r="D508" s="56" t="inlineStr">
        <is>
          <t>PLOMERIA</t>
        </is>
      </c>
      <c r="E508" s="56" t="inlineStr">
        <is>
          <t>ANILLO 3/4 PVC</t>
        </is>
      </c>
    </row>
    <row r="509" hidden="1" s="11">
      <c r="B509" s="56" t="n">
        <v>503</v>
      </c>
      <c r="C509" s="56">
        <f>TEXT(COUNTIF($D$7:D509, D509), "00000") &amp; "-" &amp; VLOOKUP(D509, $J$7:$K$19, 2, FALSE)</f>
        <v/>
      </c>
      <c r="D509" s="56" t="inlineStr">
        <is>
          <t>PLOMERIA</t>
        </is>
      </c>
      <c r="E509" s="56" t="inlineStr">
        <is>
          <t>ADAPTADOR MACHO 3/4 PCV A ROSCA</t>
        </is>
      </c>
    </row>
    <row r="510" hidden="1" s="11">
      <c r="B510" s="56" t="n">
        <v>504</v>
      </c>
      <c r="C510" s="56">
        <f>TEXT(COUNTIF($D$7:D510, D510), "00000") &amp; "-" &amp; VLOOKUP(D510, $J$7:$K$19, 2, FALSE)</f>
        <v/>
      </c>
      <c r="D510" s="56" t="inlineStr">
        <is>
          <t>PLOMERIA</t>
        </is>
      </c>
      <c r="E510" s="56" t="inlineStr">
        <is>
          <t>CODO 90° 3/4 PVC</t>
        </is>
      </c>
    </row>
    <row r="511" hidden="1" s="11">
      <c r="B511" s="56" t="n">
        <v>505</v>
      </c>
      <c r="C511" s="56">
        <f>TEXT(COUNTIF($D$7:D511, D511), "00000") &amp; "-" &amp; VLOOKUP(D511, $J$7:$K$19, 2, FALSE)</f>
        <v/>
      </c>
      <c r="D511" s="56" t="inlineStr">
        <is>
          <t>PLOMERIA</t>
        </is>
      </c>
      <c r="E511" s="56" t="inlineStr">
        <is>
          <t>CODO 45° 1" PVC</t>
        </is>
      </c>
    </row>
    <row r="512" hidden="1" s="11">
      <c r="B512" s="56" t="n">
        <v>506</v>
      </c>
      <c r="C512" s="56">
        <f>TEXT(COUNTIF($D$7:D512, D512), "00000") &amp; "-" &amp; VLOOKUP(D512, $J$7:$K$19, 2, FALSE)</f>
        <v/>
      </c>
      <c r="D512" s="56" t="inlineStr">
        <is>
          <t>PLOMERIA</t>
        </is>
      </c>
      <c r="E512" s="56" t="inlineStr">
        <is>
          <t>REDUCTOR 1" A 3/4 PVC</t>
        </is>
      </c>
    </row>
    <row r="513" hidden="1" s="11">
      <c r="B513" s="56" t="n">
        <v>507</v>
      </c>
      <c r="C513" s="56">
        <f>TEXT(COUNTIF($D$7:D513, D513), "00000") &amp; "-" &amp; VLOOKUP(D513, $J$7:$K$19, 2, FALSE)</f>
        <v/>
      </c>
      <c r="D513" s="56" t="inlineStr">
        <is>
          <t>PLOMERIA</t>
        </is>
      </c>
      <c r="E513" s="56" t="inlineStr">
        <is>
          <t>TAPON MACHO 3/4 PVC</t>
        </is>
      </c>
    </row>
    <row r="514" hidden="1" s="11">
      <c r="B514" s="56" t="n">
        <v>508</v>
      </c>
      <c r="C514" s="56">
        <f>TEXT(COUNTIF($D$7:D514, D514), "00000") &amp; "-" &amp; VLOOKUP(D514, $J$7:$K$19, 2, FALSE)</f>
        <v/>
      </c>
      <c r="D514" s="56" t="inlineStr">
        <is>
          <t>PLOMERIA</t>
        </is>
      </c>
      <c r="E514" s="56" t="inlineStr">
        <is>
          <t>CODO 90° PVC 1/2</t>
        </is>
      </c>
    </row>
    <row r="515" hidden="1" s="11">
      <c r="B515" s="56" t="n">
        <v>509</v>
      </c>
      <c r="C515" s="56">
        <f>TEXT(COUNTIF($D$7:D515, D515), "00000") &amp; "-" &amp; VLOOKUP(D515, $J$7:$K$19, 2, FALSE)</f>
        <v/>
      </c>
      <c r="D515" s="56" t="inlineStr">
        <is>
          <t>PLOMERIA</t>
        </is>
      </c>
      <c r="E515" s="56" t="inlineStr">
        <is>
          <t>CODO 90° ROSCA 1/2</t>
        </is>
      </c>
    </row>
    <row r="516" hidden="1" s="11">
      <c r="B516" s="56" t="n">
        <v>510</v>
      </c>
      <c r="C516" s="56">
        <f>TEXT(COUNTIF($D$7:D516, D516), "00000") &amp; "-" &amp; VLOOKUP(D516, $J$7:$K$19, 2, FALSE)</f>
        <v/>
      </c>
      <c r="D516" s="56" t="inlineStr">
        <is>
          <t>PLOMERIA</t>
        </is>
      </c>
      <c r="E516" s="56" t="inlineStr">
        <is>
          <t>TAPON HEMBRA BLANCO 1/2 ROSCA</t>
        </is>
      </c>
    </row>
    <row r="517" hidden="1" s="11">
      <c r="B517" s="56" t="n">
        <v>511</v>
      </c>
      <c r="C517" s="56">
        <f>TEXT(COUNTIF($D$7:D517, D517), "00000") &amp; "-" &amp; VLOOKUP(D517, $J$7:$K$19, 2, FALSE)</f>
        <v/>
      </c>
      <c r="D517" s="56" t="inlineStr">
        <is>
          <t>PLOMERIA</t>
        </is>
      </c>
      <c r="E517" s="56" t="inlineStr">
        <is>
          <t>UNION DRESS 3"</t>
        </is>
      </c>
    </row>
    <row r="518" hidden="1" s="11">
      <c r="B518" s="56" t="n">
        <v>512</v>
      </c>
      <c r="C518" s="56">
        <f>TEXT(COUNTIF($D$7:D518, D518), "00000") &amp; "-" &amp; VLOOKUP(D518, $J$7:$K$19, 2, FALSE)</f>
        <v/>
      </c>
      <c r="D518" s="56" t="inlineStr">
        <is>
          <t>PLOMERIA</t>
        </is>
      </c>
      <c r="E518" s="56" t="inlineStr">
        <is>
          <t>VALVULA CHECK 2"</t>
        </is>
      </c>
    </row>
    <row r="519" hidden="1" s="11">
      <c r="B519" s="56" t="n">
        <v>513</v>
      </c>
      <c r="C519" s="56">
        <f>TEXT(COUNTIF($D$7:D519, D519), "00000") &amp; "-" &amp; VLOOKUP(D519, $J$7:$K$19, 2, FALSE)</f>
        <v/>
      </c>
      <c r="D519" s="56" t="inlineStr">
        <is>
          <t>HERRERIA</t>
        </is>
      </c>
      <c r="E519" s="56" t="inlineStr">
        <is>
          <t>NIPLE GALVANIZADO 1/2</t>
        </is>
      </c>
    </row>
    <row r="520" hidden="1" s="11">
      <c r="B520" s="56" t="n">
        <v>514</v>
      </c>
      <c r="C520" s="56">
        <f>TEXT(COUNTIF($D$7:D520, D520), "00000") &amp; "-" &amp; VLOOKUP(D520, $J$7:$K$19, 2, FALSE)</f>
        <v/>
      </c>
      <c r="D520" s="56" t="inlineStr">
        <is>
          <t>HERRERIA</t>
        </is>
      </c>
      <c r="E520" s="56" t="inlineStr">
        <is>
          <t>ANILLO GALVANIZADO 1/2</t>
        </is>
      </c>
    </row>
    <row r="521" hidden="1" s="11">
      <c r="B521" s="56" t="n">
        <v>515</v>
      </c>
      <c r="C521" s="56">
        <f>TEXT(COUNTIF($D$7:D521, D521), "00000") &amp; "-" &amp; VLOOKUP(D521, $J$7:$K$19, 2, FALSE)</f>
        <v/>
      </c>
      <c r="D521" s="56" t="inlineStr">
        <is>
          <t>HERRERIA</t>
        </is>
      </c>
      <c r="E521" s="56" t="inlineStr">
        <is>
          <t>ANILLO GALVANIZADO 1"</t>
        </is>
      </c>
    </row>
    <row r="522" hidden="1" s="11">
      <c r="B522" s="56" t="n">
        <v>516</v>
      </c>
      <c r="C522" s="56">
        <f>TEXT(COUNTIF($D$7:D522, D522), "00000") &amp; "-" &amp; VLOOKUP(D522, $J$7:$K$19, 2, FALSE)</f>
        <v/>
      </c>
      <c r="D522" s="56" t="inlineStr">
        <is>
          <t>HERRERIA</t>
        </is>
      </c>
      <c r="E522" s="56" t="inlineStr">
        <is>
          <t>ANILLO GALVANIZADO 3/4</t>
        </is>
      </c>
    </row>
    <row r="523" hidden="1" s="11">
      <c r="B523" s="56" t="n">
        <v>517</v>
      </c>
      <c r="C523" s="56">
        <f>TEXT(COUNTIF($D$7:D523, D523), "00000") &amp; "-" &amp; VLOOKUP(D523, $J$7:$K$19, 2, FALSE)</f>
        <v/>
      </c>
      <c r="D523" s="56" t="inlineStr">
        <is>
          <t>HERRERIA</t>
        </is>
      </c>
      <c r="E523" s="56" t="inlineStr">
        <is>
          <t>T GALVANIZADA 1/2</t>
        </is>
      </c>
    </row>
    <row r="524" hidden="1" s="11">
      <c r="B524" s="56" t="n">
        <v>518</v>
      </c>
      <c r="C524" s="56">
        <f>TEXT(COUNTIF($D$7:D524, D524), "00000") &amp; "-" &amp; VLOOKUP(D524, $J$7:$K$19, 2, FALSE)</f>
        <v/>
      </c>
      <c r="D524" s="56" t="inlineStr">
        <is>
          <t>PLOMERIA</t>
        </is>
      </c>
      <c r="E524" s="56" t="inlineStr">
        <is>
          <t>UNION DRESS 1/2 AZUL</t>
        </is>
      </c>
    </row>
    <row r="525" hidden="1" s="11">
      <c r="B525" s="56" t="n">
        <v>519</v>
      </c>
      <c r="C525" s="56">
        <f>TEXT(COUNTIF($D$7:D525, D525), "00000") &amp; "-" &amp; VLOOKUP(D525, $J$7:$K$19, 2, FALSE)</f>
        <v/>
      </c>
      <c r="D525" s="56" t="inlineStr">
        <is>
          <t>PLOMERIA</t>
        </is>
      </c>
      <c r="E525" s="56" t="inlineStr">
        <is>
          <t>UNION DRESS 1/2 BLANCO</t>
        </is>
      </c>
    </row>
    <row r="526" hidden="1" s="11">
      <c r="B526" s="56" t="n">
        <v>520</v>
      </c>
      <c r="C526" s="56">
        <f>TEXT(COUNTIF($D$7:D526, D526), "00000") &amp; "-" &amp; VLOOKUP(D526, $J$7:$K$19, 2, FALSE)</f>
        <v/>
      </c>
      <c r="D526" s="56" t="inlineStr">
        <is>
          <t>PLOMERIA</t>
        </is>
      </c>
      <c r="E526" s="56" t="inlineStr">
        <is>
          <t>UNION DRESS 3/4 BLANCO</t>
        </is>
      </c>
    </row>
    <row r="527" hidden="1" s="11">
      <c r="B527" s="56" t="n">
        <v>521</v>
      </c>
      <c r="C527" s="56">
        <f>TEXT(COUNTIF($D$7:D527, D527), "00000") &amp; "-" &amp; VLOOKUP(D527, $J$7:$K$19, 2, FALSE)</f>
        <v/>
      </c>
      <c r="D527" s="56" t="inlineStr">
        <is>
          <t>HERRERIA</t>
        </is>
      </c>
      <c r="E527" s="56" t="inlineStr">
        <is>
          <t>TAPON MACHO GALVANIZADO 1/2</t>
        </is>
      </c>
    </row>
    <row r="528" hidden="1" s="11">
      <c r="B528" s="56" t="n">
        <v>522</v>
      </c>
      <c r="C528" s="56">
        <f>TEXT(COUNTIF($D$7:D528, D528), "00000") &amp; "-" &amp; VLOOKUP(D528, $J$7:$K$19, 2, FALSE)</f>
        <v/>
      </c>
      <c r="D528" s="56" t="inlineStr">
        <is>
          <t>PLOMERIA</t>
        </is>
      </c>
      <c r="E528" s="56" t="inlineStr">
        <is>
          <t>UNION 1/2 BLANCO</t>
        </is>
      </c>
    </row>
    <row r="529" hidden="1" s="11">
      <c r="B529" s="56" t="n">
        <v>523</v>
      </c>
      <c r="C529" s="56">
        <f>TEXT(COUNTIF($D$7:D529, D529), "00000") &amp; "-" &amp; VLOOKUP(D529, $J$7:$K$19, 2, FALSE)</f>
        <v/>
      </c>
      <c r="D529" s="56" t="inlineStr">
        <is>
          <t>PLOMERIA</t>
        </is>
      </c>
      <c r="E529" s="56" t="inlineStr">
        <is>
          <t>ADAPTADOR 2"</t>
        </is>
      </c>
    </row>
    <row r="530" hidden="1" s="11">
      <c r="B530" s="56" t="n">
        <v>524</v>
      </c>
      <c r="C530" s="56">
        <f>TEXT(COUNTIF($D$7:D530, D530), "00000") &amp; "-" &amp; VLOOKUP(D530, $J$7:$K$19, 2, FALSE)</f>
        <v/>
      </c>
      <c r="D530" s="56" t="inlineStr">
        <is>
          <t>PLOMERIA</t>
        </is>
      </c>
      <c r="E530" s="56" t="inlineStr">
        <is>
          <t>VALVULA CHECK PVC 2"</t>
        </is>
      </c>
    </row>
    <row r="531" hidden="1" s="11">
      <c r="B531" s="56" t="n">
        <v>525</v>
      </c>
      <c r="C531" s="56">
        <f>TEXT(COUNTIF($D$7:D531, D531), "00000") &amp; "-" &amp; VLOOKUP(D531, $J$7:$K$19, 2, FALSE)</f>
        <v/>
      </c>
      <c r="D531" s="56" t="inlineStr">
        <is>
          <t>PLOMERIA</t>
        </is>
      </c>
      <c r="E531" s="56" t="inlineStr">
        <is>
          <t>VALVULA CHECK 1,5"</t>
        </is>
      </c>
    </row>
    <row r="532" hidden="1" s="11">
      <c r="B532" s="56" t="n">
        <v>526</v>
      </c>
      <c r="C532" s="56">
        <f>TEXT(COUNTIF($D$7:D532, D532), "00000") &amp; "-" &amp; VLOOKUP(D532, $J$7:$K$19, 2, FALSE)</f>
        <v/>
      </c>
      <c r="D532" s="56" t="inlineStr">
        <is>
          <t>PLOMERIA</t>
        </is>
      </c>
      <c r="E532" s="56" t="inlineStr">
        <is>
          <t>CODO 90° AGUA CALIENTE 1/2</t>
        </is>
      </c>
    </row>
    <row r="533" hidden="1" s="11">
      <c r="B533" s="56" t="n">
        <v>527</v>
      </c>
      <c r="C533" s="56">
        <f>TEXT(COUNTIF($D$7:D533, D533), "00000") &amp; "-" &amp; VLOOKUP(D533, $J$7:$K$19, 2, FALSE)</f>
        <v/>
      </c>
      <c r="D533" s="56" t="inlineStr">
        <is>
          <t>PLOMERIA</t>
        </is>
      </c>
      <c r="E533" s="56" t="inlineStr">
        <is>
          <t>T AGUA CALIENTE 1/2</t>
        </is>
      </c>
    </row>
    <row r="534" hidden="1" s="11">
      <c r="B534" s="56" t="n">
        <v>528</v>
      </c>
      <c r="C534" s="56">
        <f>TEXT(COUNTIF($D$7:D534, D534), "00000") &amp; "-" &amp; VLOOKUP(D534, $J$7:$K$19, 2, FALSE)</f>
        <v/>
      </c>
      <c r="D534" s="56" t="inlineStr">
        <is>
          <t>FERRETERIA</t>
        </is>
      </c>
      <c r="E534" s="56" t="inlineStr">
        <is>
          <t>SOLDADURA LIQUIDA PVC</t>
        </is>
      </c>
    </row>
    <row r="535" hidden="1" s="11">
      <c r="B535" s="56" t="n">
        <v>529</v>
      </c>
      <c r="C535" s="56">
        <f>TEXT(COUNTIF($D$7:D535, D535), "00000") &amp; "-" &amp; VLOOKUP(D535, $J$7:$K$19, 2, FALSE)</f>
        <v/>
      </c>
      <c r="D535" s="56" t="inlineStr">
        <is>
          <t>FERRETERIA</t>
        </is>
      </c>
      <c r="E535" s="56" t="inlineStr">
        <is>
          <t>SOLDADURA LIQUIDA PVC PEQ</t>
        </is>
      </c>
    </row>
    <row r="536" hidden="1" s="11">
      <c r="B536" s="56" t="n">
        <v>530</v>
      </c>
      <c r="C536" s="56">
        <f>TEXT(COUNTIF($D$7:D536, D536), "00000") &amp; "-" &amp; VLOOKUP(D536, $J$7:$K$19, 2, FALSE)</f>
        <v/>
      </c>
      <c r="D536" s="56" t="inlineStr">
        <is>
          <t>PLOMERIA</t>
        </is>
      </c>
      <c r="E536" s="56" t="inlineStr">
        <is>
          <t>CENTRO PISO ACERO INOXIDABLE 10 X 10</t>
        </is>
      </c>
    </row>
    <row r="537" hidden="1" s="11">
      <c r="B537" s="56" t="n">
        <v>531</v>
      </c>
      <c r="C537" s="56">
        <f>TEXT(COUNTIF($D$7:D537, D537), "00000") &amp; "-" &amp; VLOOKUP(D537, $J$7:$K$19, 2, FALSE)</f>
        <v/>
      </c>
      <c r="D537" s="56" t="inlineStr">
        <is>
          <t>PLOMERIA</t>
        </is>
      </c>
      <c r="E537" s="56" t="inlineStr">
        <is>
          <t>SOPORTE PARA PAPEL SANITARIO</t>
        </is>
      </c>
    </row>
    <row r="538" hidden="1" s="11">
      <c r="B538" s="56" t="n">
        <v>532</v>
      </c>
      <c r="C538" s="56">
        <f>TEXT(COUNTIF($D$7:D538, D538), "00000") &amp; "-" &amp; VLOOKUP(D538, $J$7:$K$19, 2, FALSE)</f>
        <v/>
      </c>
      <c r="D538" s="56" t="inlineStr">
        <is>
          <t>PLOMERIA</t>
        </is>
      </c>
      <c r="E538" s="56" t="inlineStr">
        <is>
          <t>VALVULA DE PASO 1/2</t>
        </is>
      </c>
    </row>
    <row r="539" hidden="1" s="11">
      <c r="B539" s="56" t="n">
        <v>533</v>
      </c>
      <c r="C539" s="56">
        <f>TEXT(COUNTIF($D$7:D539, D539), "00000") &amp; "-" &amp; VLOOKUP(D539, $J$7:$K$19, 2, FALSE)</f>
        <v/>
      </c>
      <c r="D539" s="56" t="inlineStr">
        <is>
          <t>REFRIGERACION</t>
        </is>
      </c>
      <c r="E539" s="56" t="inlineStr">
        <is>
          <t>CAPILAR 0.42 (METRO)</t>
        </is>
      </c>
    </row>
    <row r="540" hidden="1" s="11">
      <c r="B540" s="56" t="n">
        <v>534</v>
      </c>
      <c r="C540" s="56">
        <f>TEXT(COUNTIF($D$7:D540, D540), "00000") &amp; "-" &amp; VLOOKUP(D540, $J$7:$K$19, 2, FALSE)</f>
        <v/>
      </c>
      <c r="D540" s="56" t="inlineStr">
        <is>
          <t>ILUMINACION</t>
        </is>
      </c>
      <c r="E540" s="56" t="inlineStr">
        <is>
          <t>PANEL LED EMPOTRABLE 30 X 120 48W</t>
        </is>
      </c>
    </row>
    <row r="541" hidden="1" s="11">
      <c r="B541" s="56" t="n">
        <v>535</v>
      </c>
      <c r="C541" s="56">
        <f>TEXT(COUNTIF($D$7:D541, D541), "00000") &amp; "-" &amp; VLOOKUP(D541, $J$7:$K$19, 2, FALSE)</f>
        <v/>
      </c>
      <c r="D541" s="56" t="inlineStr">
        <is>
          <t>ILUMINACION</t>
        </is>
      </c>
      <c r="E541" s="56" t="inlineStr">
        <is>
          <t>PANEL LED SUPERFICIAL 30 X 120 48W</t>
        </is>
      </c>
    </row>
    <row r="542" hidden="1" s="11">
      <c r="B542" s="56" t="n">
        <v>536</v>
      </c>
      <c r="C542" s="56">
        <f>TEXT(COUNTIF($D$7:D542, D542), "00000") &amp; "-" &amp; VLOOKUP(D542, $J$7:$K$19, 2, FALSE)</f>
        <v/>
      </c>
      <c r="D542" s="56" t="inlineStr">
        <is>
          <t>ILUMINACION</t>
        </is>
      </c>
      <c r="E542" s="56" t="inlineStr">
        <is>
          <t>TUBO LED T5 90CM 12W</t>
        </is>
      </c>
    </row>
    <row r="543" hidden="1" s="11">
      <c r="B543" s="56" t="n">
        <v>537</v>
      </c>
      <c r="C543" s="56">
        <f>TEXT(COUNTIF($D$7:D543, D543), "00000") &amp; "-" &amp; VLOOKUP(D543, $J$7:$K$19, 2, FALSE)</f>
        <v/>
      </c>
      <c r="D543" s="56" t="inlineStr">
        <is>
          <t>ILUMINACION</t>
        </is>
      </c>
      <c r="E543" s="56" t="inlineStr">
        <is>
          <t>TUBO LED T5 120CM 20W</t>
        </is>
      </c>
    </row>
    <row r="544" hidden="1" s="11">
      <c r="B544" s="56" t="n">
        <v>538</v>
      </c>
      <c r="C544" s="56">
        <f>TEXT(COUNTIF($D$7:D544, D544), "00000") &amp; "-" &amp; VLOOKUP(D544, $J$7:$K$19, 2, FALSE)</f>
        <v/>
      </c>
      <c r="D544" s="56" t="inlineStr">
        <is>
          <t>ILUMINACION</t>
        </is>
      </c>
      <c r="E544" s="56" t="inlineStr">
        <is>
          <t>LAMPARA TIPO UFO AC85-305V 200W</t>
        </is>
      </c>
    </row>
    <row r="545" hidden="1" s="11">
      <c r="B545" s="56" t="n">
        <v>539</v>
      </c>
      <c r="C545" s="56">
        <f>TEXT(COUNTIF($D$7:D545, D545), "00000") &amp; "-" &amp; VLOOKUP(D545, $J$7:$K$19, 2, FALSE)</f>
        <v/>
      </c>
      <c r="D545" s="56" t="inlineStr">
        <is>
          <t>HERRERIA</t>
        </is>
      </c>
      <c r="E545" s="56" t="inlineStr">
        <is>
          <t>TUBO GALVANIZADO 3/4 6 METRO</t>
        </is>
      </c>
    </row>
    <row r="546" hidden="1" s="11">
      <c r="B546" s="56" t="n">
        <v>540</v>
      </c>
      <c r="C546" s="56">
        <f>TEXT(COUNTIF($D$7:D546, D546), "00000") &amp; "-" &amp; VLOOKUP(D546, $J$7:$K$19, 2, FALSE)</f>
        <v/>
      </c>
      <c r="D546" s="56" t="inlineStr">
        <is>
          <t>HERRERIA</t>
        </is>
      </c>
      <c r="E546" s="56" t="inlineStr">
        <is>
          <t>CODO GALVANIZADO 90° 3/4</t>
        </is>
      </c>
    </row>
    <row r="547" hidden="1" s="11">
      <c r="B547" s="56" t="n">
        <v>541</v>
      </c>
      <c r="C547" s="56">
        <f>TEXT(COUNTIF($D$7:D547, D547), "00000") &amp; "-" &amp; VLOOKUP(D547, $J$7:$K$19, 2, FALSE)</f>
        <v/>
      </c>
      <c r="D547" s="56" t="inlineStr">
        <is>
          <t>HERRERIA</t>
        </is>
      </c>
      <c r="E547" s="56" t="inlineStr">
        <is>
          <t>CODO GALVANIZADO 45° 3/4</t>
        </is>
      </c>
    </row>
    <row r="548" hidden="1" s="11">
      <c r="B548" s="56" t="n">
        <v>542</v>
      </c>
      <c r="C548" s="56">
        <f>TEXT(COUNTIF($D$7:D548, D548), "00000") &amp; "-" &amp; VLOOKUP(D548, $J$7:$K$19, 2, FALSE)</f>
        <v/>
      </c>
      <c r="D548" s="56" t="inlineStr">
        <is>
          <t>PLOMERIA</t>
        </is>
      </c>
      <c r="E548" s="56" t="inlineStr">
        <is>
          <t>LLAVE DE PASO 3/4</t>
        </is>
      </c>
    </row>
    <row r="549" hidden="1" s="11">
      <c r="B549" s="56" t="n">
        <v>543</v>
      </c>
      <c r="C549" s="56">
        <f>TEXT(COUNTIF($D$7:D549, D549), "00000") &amp; "-" &amp; VLOOKUP(D549, $J$7:$K$19, 2, FALSE)</f>
        <v/>
      </c>
      <c r="D549" s="56" t="inlineStr">
        <is>
          <t>HERRAMIENTA</t>
        </is>
      </c>
      <c r="E549" s="56" t="inlineStr">
        <is>
          <t>HIDRO JET 110V 1400W 1900PSI</t>
        </is>
      </c>
    </row>
    <row r="550" hidden="1" s="11">
      <c r="B550" s="56" t="n">
        <v>544</v>
      </c>
      <c r="C550" s="56">
        <f>TEXT(COUNTIF($D$7:D550, D550), "00000") &amp; "-" &amp; VLOOKUP(D550, $J$7:$K$19, 2, FALSE)</f>
        <v/>
      </c>
      <c r="D550" s="56" t="inlineStr">
        <is>
          <t>FERRETERIA</t>
        </is>
      </c>
      <c r="E550" s="56" t="inlineStr">
        <is>
          <t>CERRADURA PARA CAVA CUARTO C/ LLAVE</t>
        </is>
      </c>
    </row>
    <row r="551" hidden="1" s="11">
      <c r="B551" s="56" t="n">
        <v>545</v>
      </c>
      <c r="C551" s="56">
        <f>TEXT(COUNTIF($D$7:D551, D551), "00000") &amp; "-" &amp; VLOOKUP(D551, $J$7:$K$19, 2, FALSE)</f>
        <v/>
      </c>
      <c r="D551" s="56" t="inlineStr">
        <is>
          <t>FERRETERIA</t>
        </is>
      </c>
      <c r="E551" s="56" t="inlineStr">
        <is>
          <t>REGATON CUADRADO DE 1,5 X 1,5</t>
        </is>
      </c>
    </row>
    <row r="552" hidden="1" s="11">
      <c r="B552" s="56" t="n">
        <v>546</v>
      </c>
      <c r="C552" s="56">
        <f>TEXT(COUNTIF($D$7:D552, D552), "00000") &amp; "-" &amp; VLOOKUP(D552, $J$7:$K$19, 2, FALSE)</f>
        <v/>
      </c>
      <c r="D552" s="56" t="inlineStr">
        <is>
          <t>FERRETERIA</t>
        </is>
      </c>
      <c r="E552" s="56" t="inlineStr">
        <is>
          <t>REGATON CUADRADO DE 1 X 1</t>
        </is>
      </c>
    </row>
    <row r="553" hidden="1" s="11">
      <c r="B553" s="56" t="n">
        <v>547</v>
      </c>
      <c r="C553" s="56">
        <f>TEXT(COUNTIF($D$7:D553, D553), "00000") &amp; "-" &amp; VLOOKUP(D553, $J$7:$K$19, 2, FALSE)</f>
        <v/>
      </c>
      <c r="D553" s="56" t="inlineStr">
        <is>
          <t>FERRETERIA</t>
        </is>
      </c>
      <c r="E553" s="56" t="inlineStr">
        <is>
          <t>REGATON RECTANGULAR 2 X 1 INTERNO</t>
        </is>
      </c>
    </row>
    <row r="554" hidden="1" s="11">
      <c r="B554" s="56" t="n">
        <v>548</v>
      </c>
      <c r="C554" s="56">
        <f>TEXT(COUNTIF($D$7:D554, D554), "00000") &amp; "-" &amp; VLOOKUP(D554, $J$7:$K$19, 2, FALSE)</f>
        <v/>
      </c>
      <c r="D554" s="56" t="inlineStr">
        <is>
          <t>FERRETERIA</t>
        </is>
      </c>
      <c r="E554" s="56" t="inlineStr">
        <is>
          <t>REGATON CUADRADO 3/4 X 3/4</t>
        </is>
      </c>
    </row>
    <row r="555" hidden="1" s="11">
      <c r="B555" s="56" t="n">
        <v>549</v>
      </c>
      <c r="C555" s="56">
        <f>TEXT(COUNTIF($D$7:D555, D555), "00000") &amp; "-" &amp; VLOOKUP(D555, $J$7:$K$19, 2, FALSE)</f>
        <v/>
      </c>
      <c r="D555" s="56" t="inlineStr">
        <is>
          <t>ELECTRONICO</t>
        </is>
      </c>
      <c r="E555" s="56" t="inlineStr">
        <is>
          <t>BOMBA DE AGUA 2 HP 110V</t>
        </is>
      </c>
    </row>
    <row r="556" hidden="1" s="11">
      <c r="B556" s="56" t="n">
        <v>550</v>
      </c>
      <c r="C556" s="56">
        <f>TEXT(COUNTIF($D$7:D556, D556), "00000") &amp; "-" &amp; VLOOKUP(D556, $J$7:$K$19, 2, FALSE)</f>
        <v/>
      </c>
      <c r="D556" s="56" t="inlineStr">
        <is>
          <t>FERRETERIA</t>
        </is>
      </c>
      <c r="E556" s="56" t="inlineStr">
        <is>
          <t>MALLA CEDAZO 0,91 3 ORIFICIO POR PULGADA</t>
        </is>
      </c>
    </row>
    <row r="557" hidden="1" s="11">
      <c r="B557" s="56" t="n">
        <v>551</v>
      </c>
      <c r="C557" s="56">
        <f>TEXT(COUNTIF($D$7:D557, D557), "00000") &amp; "-" &amp; VLOOKUP(D557, $J$7:$K$19, 2, FALSE)</f>
        <v/>
      </c>
      <c r="D557" s="56" t="inlineStr">
        <is>
          <t>ILUMINACION</t>
        </is>
      </c>
      <c r="E557" s="56" t="inlineStr">
        <is>
          <t>CINTA NEON LED CON ACCESORIO</t>
        </is>
      </c>
    </row>
    <row r="558" hidden="1" s="11">
      <c r="B558" s="56" t="n">
        <v>552</v>
      </c>
      <c r="C558" s="56">
        <f>TEXT(COUNTIF($D$7:D558, D558), "00000") &amp; "-" &amp; VLOOKUP(D558, $J$7:$K$19, 2, FALSE)</f>
        <v/>
      </c>
      <c r="D558" s="56" t="inlineStr">
        <is>
          <t>ELECTRICIDAD</t>
        </is>
      </c>
      <c r="E558" s="56" t="inlineStr">
        <is>
          <t>LUZ TESTIGO VERDE</t>
        </is>
      </c>
    </row>
    <row r="559" hidden="1" s="11">
      <c r="B559" s="56" t="n">
        <v>553</v>
      </c>
      <c r="C559" s="56">
        <f>TEXT(COUNTIF($D$7:D559, D559), "00000") &amp; "-" &amp; VLOOKUP(D559, $J$7:$K$19, 2, FALSE)</f>
        <v/>
      </c>
      <c r="D559" s="56" t="inlineStr">
        <is>
          <t>ELECTRICIDAD</t>
        </is>
      </c>
      <c r="E559" s="56" t="inlineStr">
        <is>
          <t>LUZ TESTIGO ROJA</t>
        </is>
      </c>
    </row>
    <row r="560" hidden="1" s="11">
      <c r="B560" s="56" t="n">
        <v>554</v>
      </c>
      <c r="C560" s="56">
        <f>TEXT(COUNTIF($D$7:D560, D560), "00000") &amp; "-" &amp; VLOOKUP(D560, $J$7:$K$19, 2, FALSE)</f>
        <v/>
      </c>
      <c r="D560" s="56" t="inlineStr">
        <is>
          <t>ILUMINACION</t>
        </is>
      </c>
      <c r="E560" s="56" t="inlineStr">
        <is>
          <t>ADAPTADORES DE ROSCA PARA BOMBILLO</t>
        </is>
      </c>
    </row>
    <row r="561" hidden="1" s="11">
      <c r="B561" s="56" t="n">
        <v>555</v>
      </c>
      <c r="C561" s="56">
        <f>TEXT(COUNTIF($D$7:D561, D561), "00000") &amp; "-" &amp; VLOOKUP(D561, $J$7:$K$19, 2, FALSE)</f>
        <v/>
      </c>
      <c r="D561" s="56" t="inlineStr">
        <is>
          <t>ELECTRICIDAD</t>
        </is>
      </c>
      <c r="E561" s="56" t="inlineStr">
        <is>
          <t>SWITCH SELECTOR DE 1 PASE</t>
        </is>
      </c>
    </row>
    <row r="562" hidden="1" s="11">
      <c r="B562" s="56" t="n">
        <v>556</v>
      </c>
      <c r="C562" s="56">
        <f>TEXT(COUNTIF($D$7:D562, D562), "00000") &amp; "-" &amp; VLOOKUP(D562, $J$7:$K$19, 2, FALSE)</f>
        <v/>
      </c>
      <c r="D562" s="56" t="inlineStr">
        <is>
          <t>ELECTRICIDAD</t>
        </is>
      </c>
      <c r="E562" s="56" t="inlineStr">
        <is>
          <t>TOMA CORRIENTE DOBLE</t>
        </is>
      </c>
    </row>
    <row r="563" hidden="1" s="11">
      <c r="B563" s="56" t="n">
        <v>557</v>
      </c>
      <c r="C563" s="56">
        <f>TEXT(COUNTIF($D$7:D563, D563), "00000") &amp; "-" &amp; VLOOKUP(D563, $J$7:$K$19, 2, FALSE)</f>
        <v/>
      </c>
      <c r="D563" s="56" t="inlineStr">
        <is>
          <t>ELECTRICIDAD</t>
        </is>
      </c>
      <c r="E563" s="56" t="inlineStr">
        <is>
          <t>TOMA CORRIENTE INDIVIDUALE 220V</t>
        </is>
      </c>
    </row>
    <row r="564" hidden="1" s="11">
      <c r="B564" s="56" t="n">
        <v>558</v>
      </c>
      <c r="C564" s="56">
        <f>TEXT(COUNTIF($D$7:D564, D564), "00000") &amp; "-" &amp; VLOOKUP(D564, $J$7:$K$19, 2, FALSE)</f>
        <v/>
      </c>
      <c r="D564" s="56" t="inlineStr">
        <is>
          <t>ELECTRICIDAD</t>
        </is>
      </c>
      <c r="E564" s="56" t="inlineStr">
        <is>
          <t>TOMA CORRIENTE INDIVIDUAL 110V</t>
        </is>
      </c>
    </row>
    <row r="565" hidden="1" s="11">
      <c r="B565" s="56" t="n">
        <v>559</v>
      </c>
      <c r="C565" s="56">
        <f>TEXT(COUNTIF($D$7:D565, D565), "00000") &amp; "-" &amp; VLOOKUP(D565, $J$7:$K$19, 2, FALSE)</f>
        <v/>
      </c>
      <c r="D565" s="56" t="inlineStr">
        <is>
          <t>ELECTRICIDAD</t>
        </is>
      </c>
      <c r="E565" s="56" t="inlineStr">
        <is>
          <t>ADAPTADOR DE ENCHUNFE 110V</t>
        </is>
      </c>
    </row>
    <row r="566" hidden="1" s="11">
      <c r="B566" s="56" t="n">
        <v>560</v>
      </c>
      <c r="C566" s="56">
        <f>TEXT(COUNTIF($D$7:D566, D566), "00000") &amp; "-" &amp; VLOOKUP(D566, $J$7:$K$19, 2, FALSE)</f>
        <v/>
      </c>
      <c r="D566" s="56" t="inlineStr">
        <is>
          <t>ELECTRICIDAD</t>
        </is>
      </c>
      <c r="E566" s="56" t="inlineStr">
        <is>
          <t>CAPACITOR DE 3 MFD 450V CUADRADO</t>
        </is>
      </c>
    </row>
    <row r="567" hidden="1" s="11">
      <c r="B567" s="56" t="n">
        <v>561</v>
      </c>
      <c r="C567" s="56">
        <f>TEXT(COUNTIF($D$7:D567, D567), "00000") &amp; "-" &amp; VLOOKUP(D567, $J$7:$K$19, 2, FALSE)</f>
        <v/>
      </c>
      <c r="D567" s="56" t="inlineStr">
        <is>
          <t>FERRETERIA</t>
        </is>
      </c>
      <c r="E567" s="56" t="inlineStr">
        <is>
          <t>CAJETIN 4 X 4</t>
        </is>
      </c>
    </row>
    <row r="568" hidden="1" s="11">
      <c r="B568" s="56" t="n">
        <v>562</v>
      </c>
      <c r="C568" s="56">
        <f>TEXT(COUNTIF($D$7:D568, D568), "00000") &amp; "-" &amp; VLOOKUP(D568, $J$7:$K$19, 2, FALSE)</f>
        <v/>
      </c>
      <c r="D568" s="56" t="inlineStr">
        <is>
          <t>FERRETERIA</t>
        </is>
      </c>
      <c r="E568" s="56" t="inlineStr">
        <is>
          <t>TEIPE</t>
        </is>
      </c>
    </row>
    <row r="569" hidden="1" s="11">
      <c r="B569" s="56" t="n">
        <v>563</v>
      </c>
      <c r="C569" s="56">
        <f>TEXT(COUNTIF($D$7:D569, D569), "00000") &amp; "-" &amp; VLOOKUP(D569, $J$7:$K$19, 2, FALSE)</f>
        <v/>
      </c>
      <c r="D569" s="56" t="inlineStr">
        <is>
          <t>FERRETERIA</t>
        </is>
      </c>
      <c r="E569" s="56" t="inlineStr">
        <is>
          <t>CAJETIN EXAGONAL BLANCO</t>
        </is>
      </c>
    </row>
    <row r="570" hidden="1" s="11">
      <c r="B570" s="56" t="n">
        <v>564</v>
      </c>
      <c r="C570" s="56">
        <f>TEXT(COUNTIF($D$7:D570, D570), "00000") &amp; "-" &amp; VLOOKUP(D570, $J$7:$K$19, 2, FALSE)</f>
        <v/>
      </c>
      <c r="D570" s="56" t="inlineStr">
        <is>
          <t>FERRETERIA</t>
        </is>
      </c>
      <c r="E570" s="56" t="inlineStr">
        <is>
          <t>CAJETIN EXAGONAL NEGRO</t>
        </is>
      </c>
    </row>
    <row r="571" hidden="1" s="11">
      <c r="B571" s="56" t="n">
        <v>565</v>
      </c>
      <c r="C571" s="56">
        <f>TEXT(COUNTIF($D$7:D571, D571), "00000") &amp; "-" &amp; VLOOKUP(D571, $J$7:$K$19, 2, FALSE)</f>
        <v/>
      </c>
      <c r="D571" s="56" t="inlineStr">
        <is>
          <t>FERRETERIA</t>
        </is>
      </c>
      <c r="E571" s="56" t="inlineStr">
        <is>
          <t>CAMISA PARA RODILLO 4"</t>
        </is>
      </c>
    </row>
    <row r="572" hidden="1" s="11">
      <c r="B572" s="56" t="n">
        <v>566</v>
      </c>
      <c r="C572" s="56">
        <f>TEXT(COUNTIF($D$7:D572, D572), "00000") &amp; "-" &amp; VLOOKUP(D572, $J$7:$K$19, 2, FALSE)</f>
        <v/>
      </c>
      <c r="D572" s="56" t="inlineStr">
        <is>
          <t>FERRETERIA</t>
        </is>
      </c>
      <c r="E572" s="56" t="inlineStr">
        <is>
          <t>SILICON DE TUBO</t>
        </is>
      </c>
    </row>
    <row r="573" hidden="1" s="11">
      <c r="B573" s="56" t="n">
        <v>567</v>
      </c>
      <c r="C573" s="56">
        <f>TEXT(COUNTIF($D$7:D573, D573), "00000") &amp; "-" &amp; VLOOKUP(D573, $J$7:$K$19, 2, FALSE)</f>
        <v/>
      </c>
      <c r="D573" s="56" t="inlineStr">
        <is>
          <t>FERRETERIA</t>
        </is>
      </c>
      <c r="E573" s="56" t="inlineStr">
        <is>
          <t>CAJETIN 4 X 2</t>
        </is>
      </c>
    </row>
    <row r="574" hidden="1" s="11">
      <c r="B574" s="56" t="n">
        <v>568</v>
      </c>
      <c r="C574" s="56">
        <f>TEXT(COUNTIF($D$7:D574, D574), "00000") &amp; "-" &amp; VLOOKUP(D574, $J$7:$K$19, 2, FALSE)</f>
        <v/>
      </c>
      <c r="D574" s="56" t="inlineStr">
        <is>
          <t>FERRETERIA</t>
        </is>
      </c>
      <c r="E574" s="56" t="inlineStr">
        <is>
          <t>TAPA REDONDA 3"</t>
        </is>
      </c>
    </row>
    <row r="575" hidden="1" s="11">
      <c r="B575" s="56" t="n">
        <v>569</v>
      </c>
      <c r="C575" s="56">
        <f>TEXT(COUNTIF($D$7:D575, D575), "00000") &amp; "-" &amp; VLOOKUP(D575, $J$7:$K$19, 2, FALSE)</f>
        <v/>
      </c>
      <c r="D575" s="56" t="inlineStr">
        <is>
          <t>FERRETERIA</t>
        </is>
      </c>
      <c r="E575" s="56" t="inlineStr">
        <is>
          <t>TAPA CUADRADA 4 X 4</t>
        </is>
      </c>
    </row>
    <row r="576" hidden="1" s="11">
      <c r="B576" s="56" t="n">
        <v>570</v>
      </c>
      <c r="C576" s="56">
        <f>TEXT(COUNTIF($D$7:D576, D576), "00000") &amp; "-" &amp; VLOOKUP(D576, $J$7:$K$19, 2, FALSE)</f>
        <v/>
      </c>
      <c r="D576" s="56" t="inlineStr">
        <is>
          <t>FERRETERIA</t>
        </is>
      </c>
      <c r="E576" s="56" t="inlineStr">
        <is>
          <t>ABRAZADERA 1"</t>
        </is>
      </c>
    </row>
    <row r="577" hidden="1" s="11">
      <c r="B577" s="56" t="n">
        <v>571</v>
      </c>
      <c r="C577" s="56">
        <f>TEXT(COUNTIF($D$7:D577, D577), "00000") &amp; "-" &amp; VLOOKUP(D577, $J$7:$K$19, 2, FALSE)</f>
        <v/>
      </c>
      <c r="D577" s="56" t="inlineStr">
        <is>
          <t>FERRETERIA</t>
        </is>
      </c>
      <c r="E577" s="56" t="inlineStr">
        <is>
          <t>CINTA AMARILLA DE PREVENCION</t>
        </is>
      </c>
    </row>
    <row r="578" hidden="1" s="11">
      <c r="B578" s="56" t="n">
        <v>572</v>
      </c>
      <c r="C578" s="56">
        <f>TEXT(COUNTIF($D$7:D578, D578), "00000") &amp; "-" &amp; VLOOKUP(D578, $J$7:$K$19, 2, FALSE)</f>
        <v/>
      </c>
      <c r="D578" s="56" t="inlineStr">
        <is>
          <t>FERRETERIA</t>
        </is>
      </c>
      <c r="E578" s="56" t="inlineStr">
        <is>
          <t>CURVA PARA TUBERIA ELECTRICA 1/2</t>
        </is>
      </c>
    </row>
    <row r="579" hidden="1" s="11">
      <c r="B579" s="56" t="n">
        <v>573</v>
      </c>
      <c r="C579" s="56">
        <f>TEXT(COUNTIF($D$7:D579, D579), "00000") &amp; "-" &amp; VLOOKUP(D579, $J$7:$K$19, 2, FALSE)</f>
        <v/>
      </c>
      <c r="D579" s="56" t="inlineStr">
        <is>
          <t>FERRETERIA</t>
        </is>
      </c>
      <c r="E579" s="56" t="inlineStr">
        <is>
          <t>CURVA PARA TUBERIA ELECTRICA 3/4</t>
        </is>
      </c>
    </row>
    <row r="580" hidden="1" s="11">
      <c r="B580" s="56" t="n">
        <v>574</v>
      </c>
      <c r="C580" s="56">
        <f>TEXT(COUNTIF($D$7:D580, D580), "00000") &amp; "-" &amp; VLOOKUP(D580, $J$7:$K$19, 2, FALSE)</f>
        <v/>
      </c>
      <c r="D580" s="56" t="inlineStr">
        <is>
          <t>FERRETERIA</t>
        </is>
      </c>
      <c r="E580" s="56" t="inlineStr">
        <is>
          <t>ADAPTADOR PARA TUBERIA ELECTRICA 1"</t>
        </is>
      </c>
    </row>
    <row r="581" hidden="1" s="11">
      <c r="B581" s="56" t="n">
        <v>575</v>
      </c>
      <c r="C581" s="56">
        <f>TEXT(COUNTIF($D$7:D581, D581), "00000") &amp; "-" &amp; VLOOKUP(D581, $J$7:$K$19, 2, FALSE)</f>
        <v/>
      </c>
      <c r="D581" s="56" t="inlineStr">
        <is>
          <t>FERRETERIA</t>
        </is>
      </c>
      <c r="E581" s="56" t="inlineStr">
        <is>
          <t>ADAPTADOR PARA TUBERIA ELECTRICA 1/2</t>
        </is>
      </c>
    </row>
    <row r="582" hidden="1" s="11">
      <c r="B582" s="56" t="n">
        <v>576</v>
      </c>
      <c r="C582" s="56">
        <f>TEXT(COUNTIF($D$7:D582, D582), "00000") &amp; "-" &amp; VLOOKUP(D582, $J$7:$K$19, 2, FALSE)</f>
        <v/>
      </c>
      <c r="D582" s="56" t="inlineStr">
        <is>
          <t>FERRETERIA</t>
        </is>
      </c>
      <c r="E582" s="56" t="inlineStr">
        <is>
          <t>TAPA CIEGA DE BRONCE 4"</t>
        </is>
      </c>
    </row>
    <row r="583" hidden="1" s="11">
      <c r="B583" s="56" t="n">
        <v>577</v>
      </c>
      <c r="C583" s="56">
        <f>TEXT(COUNTIF($D$7:D583, D583), "00000") &amp; "-" &amp; VLOOKUP(D583, $J$7:$K$19, 2, FALSE)</f>
        <v/>
      </c>
      <c r="D583" s="56" t="inlineStr">
        <is>
          <t>FERRETERIA</t>
        </is>
      </c>
      <c r="E583" s="56" t="inlineStr">
        <is>
          <t>ABRAZADERA 1/2</t>
        </is>
      </c>
    </row>
    <row r="584" hidden="1" s="11">
      <c r="B584" s="56" t="n">
        <v>578</v>
      </c>
      <c r="C584" s="56">
        <f>TEXT(COUNTIF($D$7:D584, D584), "00000") &amp; "-" &amp; VLOOKUP(D584, $J$7:$K$19, 2, FALSE)</f>
        <v/>
      </c>
      <c r="D584" s="56" t="inlineStr">
        <is>
          <t>FERRETERIA</t>
        </is>
      </c>
      <c r="E584" s="56" t="inlineStr">
        <is>
          <t>CAJA CON TAPA 3 X 4</t>
        </is>
      </c>
    </row>
    <row r="585" hidden="1" s="11">
      <c r="B585" s="56" t="n">
        <v>579</v>
      </c>
      <c r="C585" s="56">
        <f>TEXT(COUNTIF($D$7:D585, D585), "00000") &amp; "-" &amp; VLOOKUP(D585, $J$7:$K$19, 2, FALSE)</f>
        <v/>
      </c>
      <c r="D585" s="56" t="inlineStr">
        <is>
          <t>FERRETERIA</t>
        </is>
      </c>
      <c r="E585" s="56" t="inlineStr">
        <is>
          <t>TAPA CIEGA 30 X 30</t>
        </is>
      </c>
    </row>
    <row r="586" hidden="1" s="11">
      <c r="B586" s="56" t="n">
        <v>580</v>
      </c>
      <c r="C586" s="56">
        <f>TEXT(COUNTIF($D$7:D586, D586), "00000") &amp; "-" &amp; VLOOKUP(D586, $J$7:$K$19, 2, FALSE)</f>
        <v/>
      </c>
      <c r="D586" s="56" t="inlineStr">
        <is>
          <t>FERRETERIA</t>
        </is>
      </c>
      <c r="E586" s="56" t="inlineStr">
        <is>
          <t>ABRAZADERA DE 2"</t>
        </is>
      </c>
    </row>
    <row r="587" hidden="1" s="11">
      <c r="B587" s="56" t="n">
        <v>581</v>
      </c>
      <c r="C587" s="56">
        <f>TEXT(COUNTIF($D$7:D587, D587), "00000") &amp; "-" &amp; VLOOKUP(D587, $J$7:$K$19, 2, FALSE)</f>
        <v/>
      </c>
      <c r="D587" s="56" t="inlineStr">
        <is>
          <t>ELECTRONICO</t>
        </is>
      </c>
      <c r="E587" s="56" t="inlineStr">
        <is>
          <t>JUEGO DE OLLAS 22 PIEZAS</t>
        </is>
      </c>
    </row>
    <row r="588" hidden="1" s="11">
      <c r="B588" s="56" t="n">
        <v>582</v>
      </c>
      <c r="C588" s="56">
        <f>TEXT(COUNTIF($D$7:D588, D588), "00000") &amp; "-" &amp; VLOOKUP(D588, $J$7:$K$19, 2, FALSE)</f>
        <v/>
      </c>
      <c r="D588" s="56" t="inlineStr">
        <is>
          <t>ELECTRONICO</t>
        </is>
      </c>
      <c r="E588" s="56" t="inlineStr">
        <is>
          <t>ASPIRADORA 20 LITROS</t>
        </is>
      </c>
    </row>
    <row r="589" hidden="1" s="11">
      <c r="B589" s="56" t="n">
        <v>583</v>
      </c>
      <c r="C589" s="56">
        <f>TEXT(COUNTIF($D$7:D589, D589), "00000") &amp; "-" &amp; VLOOKUP(D589, $J$7:$K$19, 2, FALSE)</f>
        <v/>
      </c>
      <c r="D589" s="56" t="inlineStr">
        <is>
          <t>ELECTRONICO</t>
        </is>
      </c>
      <c r="E589" s="56" t="inlineStr">
        <is>
          <t>MICROONDAS HYUNDAI 20 L</t>
        </is>
      </c>
    </row>
    <row r="590" hidden="1" s="11">
      <c r="B590" s="56" t="n">
        <v>584</v>
      </c>
      <c r="C590" s="56">
        <f>TEXT(COUNTIF($D$7:D590, D590), "00000") &amp; "-" &amp; VLOOKUP(D590, $J$7:$K$19, 2, FALSE)</f>
        <v/>
      </c>
      <c r="D590" s="56" t="inlineStr">
        <is>
          <t>ELECTRONICO</t>
        </is>
      </c>
      <c r="E590" s="56" t="inlineStr">
        <is>
          <t>MICROONDAS CONDESA 20 L</t>
        </is>
      </c>
    </row>
    <row r="591" hidden="1" s="11">
      <c r="B591" s="56" t="n">
        <v>585</v>
      </c>
      <c r="C591" s="56">
        <f>TEXT(COUNTIF($D$7:D591, D591), "00000") &amp; "-" &amp; VLOOKUP(D591, $J$7:$K$19, 2, FALSE)</f>
        <v/>
      </c>
      <c r="D591" s="56" t="inlineStr">
        <is>
          <t>ELECTRONICO</t>
        </is>
      </c>
      <c r="E591" s="56" t="inlineStr">
        <is>
          <t>COLCHON INFLABLE CON INFLADOR</t>
        </is>
      </c>
    </row>
    <row r="592" hidden="1" s="11">
      <c r="B592" s="56" t="n">
        <v>586</v>
      </c>
      <c r="C592" s="56">
        <f>TEXT(COUNTIF($D$7:D592, D592), "00000") &amp; "-" &amp; VLOOKUP(D592, $J$7:$K$19, 2, FALSE)</f>
        <v/>
      </c>
      <c r="D592" s="56" t="inlineStr">
        <is>
          <t>ELECTRONICO</t>
        </is>
      </c>
      <c r="E592" s="56" t="inlineStr">
        <is>
          <t>PLANTA DE SONIDO</t>
        </is>
      </c>
    </row>
    <row r="593" hidden="1" s="11">
      <c r="B593" s="56" t="n">
        <v>587</v>
      </c>
      <c r="C593" s="56">
        <f>TEXT(COUNTIF($D$7:D593, D593), "00000") &amp; "-" &amp; VLOOKUP(D593, $J$7:$K$19, 2, FALSE)</f>
        <v/>
      </c>
      <c r="D593" s="56" t="inlineStr">
        <is>
          <t>ELECTRONICO</t>
        </is>
      </c>
      <c r="E593" s="56" t="inlineStr">
        <is>
          <t>MINI COMPONENTE DE SONIDO</t>
        </is>
      </c>
    </row>
    <row r="594" hidden="1" s="11">
      <c r="B594" s="56" t="n">
        <v>588</v>
      </c>
      <c r="C594" s="56">
        <f>TEXT(COUNTIF($D$7:D594, D594), "00000") &amp; "-" &amp; VLOOKUP(D594, $J$7:$K$19, 2, FALSE)</f>
        <v/>
      </c>
      <c r="D594" s="56" t="inlineStr">
        <is>
          <t>ELECTRONICO</t>
        </is>
      </c>
      <c r="E594" s="56" t="inlineStr">
        <is>
          <t>CONTADORA DE BILLETE 700 X 355 X 310 MM</t>
        </is>
      </c>
    </row>
    <row r="595" hidden="1" s="11">
      <c r="B595" s="56" t="n">
        <v>589</v>
      </c>
      <c r="C595" s="56">
        <f>TEXT(COUNTIF($D$7:D595, D595), "00000") &amp; "-" &amp; VLOOKUP(D595, $J$7:$K$19, 2, FALSE)</f>
        <v/>
      </c>
      <c r="D595" s="56" t="inlineStr">
        <is>
          <t>ELECTRONICO</t>
        </is>
      </c>
      <c r="E595" s="56" t="inlineStr">
        <is>
          <t>CONTADORA DE BILLETE 337 X 355 X 290 MM</t>
        </is>
      </c>
    </row>
    <row r="596" hidden="1" s="11">
      <c r="B596" s="56" t="n">
        <v>590</v>
      </c>
      <c r="C596" s="56">
        <f>TEXT(COUNTIF($D$7:D596, D596), "00000") &amp; "-" &amp; VLOOKUP(D596, $J$7:$K$19, 2, FALSE)</f>
        <v/>
      </c>
      <c r="D596" s="56" t="inlineStr">
        <is>
          <t>ELECTRONICO</t>
        </is>
      </c>
      <c r="E596" s="56" t="inlineStr">
        <is>
          <t>SMARTV 45"</t>
        </is>
      </c>
    </row>
    <row r="597" hidden="1" s="11">
      <c r="B597" s="56" t="n">
        <v>591</v>
      </c>
      <c r="C597" s="56">
        <f>TEXT(COUNTIF($D$7:D597, D597), "00000") &amp; "-" &amp; VLOOKUP(D597, $J$7:$K$19, 2, FALSE)</f>
        <v/>
      </c>
      <c r="D597" s="56" t="inlineStr">
        <is>
          <t>ELECTRONICO</t>
        </is>
      </c>
      <c r="E597" s="56" t="inlineStr">
        <is>
          <t>SMARTV 55"</t>
        </is>
      </c>
    </row>
    <row r="598" hidden="1" s="11">
      <c r="B598" s="56" t="n">
        <v>592</v>
      </c>
      <c r="C598" s="56">
        <f>TEXT(COUNTIF($D$7:D598, D598), "00000") &amp; "-" &amp; VLOOKUP(D598, $J$7:$K$19, 2, FALSE)</f>
        <v/>
      </c>
      <c r="D598" s="56" t="inlineStr">
        <is>
          <t>ELECTRONICO</t>
        </is>
      </c>
      <c r="E598" s="56" t="inlineStr">
        <is>
          <t>SMARTV DAMASCO 50"</t>
        </is>
      </c>
    </row>
    <row r="599" hidden="1" s="11">
      <c r="B599" s="56" t="n">
        <v>593</v>
      </c>
      <c r="C599" s="56">
        <f>TEXT(COUNTIF($D$7:D599, D599), "00000") &amp; "-" &amp; VLOOKUP(D599, $J$7:$K$19, 2, FALSE)</f>
        <v/>
      </c>
      <c r="D599" s="56" t="inlineStr">
        <is>
          <t>ELECTRONICO</t>
        </is>
      </c>
      <c r="E599" s="56" t="inlineStr">
        <is>
          <t>SMARTV 32" HYUNDAI</t>
        </is>
      </c>
    </row>
    <row r="600" hidden="1" s="11">
      <c r="B600" s="56" t="n">
        <v>594</v>
      </c>
      <c r="C600" s="56">
        <f>TEXT(COUNTIF($D$7:D600, D600), "00000") &amp; "-" &amp; VLOOKUP(D600, $J$7:$K$19, 2, FALSE)</f>
        <v/>
      </c>
      <c r="D600" s="56" t="inlineStr">
        <is>
          <t>ELECTRONICO</t>
        </is>
      </c>
      <c r="E600" s="56" t="inlineStr">
        <is>
          <t>SMARTV 42" HYUNDAI</t>
        </is>
      </c>
    </row>
    <row r="601" hidden="1" s="11">
      <c r="B601" s="56" t="n">
        <v>595</v>
      </c>
      <c r="C601" s="56">
        <f>TEXT(COUNTIF($D$7:D601, D601), "00000") &amp; "-" &amp; VLOOKUP(D601, $J$7:$K$19, 2, FALSE)</f>
        <v/>
      </c>
      <c r="D601" s="56" t="inlineStr">
        <is>
          <t>ELECTRONICO</t>
        </is>
      </c>
      <c r="E601" s="56" t="inlineStr">
        <is>
          <t>SMARTV 50" JVC</t>
        </is>
      </c>
    </row>
    <row r="602" hidden="1" s="11">
      <c r="B602" s="56" t="n">
        <v>596</v>
      </c>
      <c r="C602" s="56">
        <f>TEXT(COUNTIF($D$7:D602, D602), "00000") &amp; "-" &amp; VLOOKUP(D602, $J$7:$K$19, 2, FALSE)</f>
        <v/>
      </c>
      <c r="D602" s="56" t="inlineStr">
        <is>
          <t>ELECTRONICO</t>
        </is>
      </c>
      <c r="E602" s="56" t="inlineStr">
        <is>
          <t>SMARTV 50" HYUNDAI</t>
        </is>
      </c>
    </row>
    <row r="603" hidden="1" s="11">
      <c r="B603" s="56" t="n">
        <v>597</v>
      </c>
      <c r="C603" s="56">
        <f>TEXT(COUNTIF($D$7:D603, D603), "00000") &amp; "-" &amp; VLOOKUP(D603, $J$7:$K$19, 2, FALSE)</f>
        <v/>
      </c>
      <c r="D603" s="56" t="inlineStr">
        <is>
          <t>REFRIGERACION</t>
        </is>
      </c>
      <c r="E603" s="56" t="inlineStr">
        <is>
          <t>COMPRESOR TECUMSEH 1,5 HP 220V R-22</t>
        </is>
      </c>
    </row>
    <row r="604" hidden="1" s="11">
      <c r="B604" s="56" t="n">
        <v>598</v>
      </c>
      <c r="C604" s="56">
        <f>TEXT(COUNTIF($D$7:D604, D604), "00000") &amp; "-" &amp; VLOOKUP(D604, $J$7:$K$19, 2, FALSE)</f>
        <v/>
      </c>
      <c r="D604" s="56" t="inlineStr">
        <is>
          <t>FERRETERIA</t>
        </is>
      </c>
      <c r="E604" s="56" t="inlineStr">
        <is>
          <t>GALON PINTURA ESMALTE MARRON</t>
        </is>
      </c>
    </row>
    <row r="605" hidden="1" s="11">
      <c r="B605" s="56" t="n">
        <v>599</v>
      </c>
      <c r="C605" s="56">
        <f>TEXT(COUNTIF($D$7:D605, D605), "00000") &amp; "-" &amp; VLOOKUP(D605, $J$7:$K$19, 2, FALSE)</f>
        <v/>
      </c>
      <c r="D605" s="56" t="inlineStr">
        <is>
          <t>FERRETERIA</t>
        </is>
      </c>
      <c r="E605" s="56" t="inlineStr">
        <is>
          <t>RAMPLU VERDE</t>
        </is>
      </c>
    </row>
    <row r="606" hidden="1" s="11">
      <c r="B606" s="56" t="n">
        <v>600</v>
      </c>
      <c r="C606" s="56">
        <f>TEXT(COUNTIF($D$7:D606, D606), "00000") &amp; "-" &amp; VLOOKUP(D606, $J$7:$K$19, 2, FALSE)</f>
        <v/>
      </c>
      <c r="D606" s="56" t="inlineStr">
        <is>
          <t>FERRETERIA</t>
        </is>
      </c>
      <c r="E606" s="56" t="inlineStr">
        <is>
          <t>TORNILLO A/R PLANA 8 X 11/4</t>
        </is>
      </c>
    </row>
    <row r="607" hidden="1" s="11">
      <c r="B607" s="56" t="n">
        <v>601</v>
      </c>
      <c r="C607" s="56">
        <f>TEXT(COUNTIF($D$7:D607, D607), "00000") &amp; "-" &amp; VLOOKUP(D607, $J$7:$K$19, 2, FALSE)</f>
        <v/>
      </c>
      <c r="D607" s="56" t="inlineStr">
        <is>
          <t>PLOMERIA</t>
        </is>
      </c>
      <c r="E607" s="56" t="inlineStr">
        <is>
          <t>TUBO 3/4 PVC X METRO</t>
        </is>
      </c>
    </row>
    <row r="608" hidden="1" s="11">
      <c r="B608" s="56" t="n">
        <v>602</v>
      </c>
      <c r="C608" s="56">
        <f>TEXT(COUNTIF($D$7:D608, D608), "00000") &amp; "-" &amp; VLOOKUP(D608, $J$7:$K$19, 2, FALSE)</f>
        <v/>
      </c>
      <c r="D608" s="56" t="inlineStr">
        <is>
          <t>FERRETERIA</t>
        </is>
      </c>
      <c r="E608" s="56" t="inlineStr">
        <is>
          <t>TORNILLO A/R PLANA 14 X 1</t>
        </is>
      </c>
    </row>
    <row r="609" hidden="1" s="11">
      <c r="B609" s="56" t="n">
        <v>603</v>
      </c>
      <c r="C609" s="56">
        <f>TEXT(COUNTIF($D$7:D609, D609), "00000") &amp; "-" &amp; VLOOKUP(D609, $J$7:$K$19, 2, FALSE)</f>
        <v/>
      </c>
      <c r="D609" s="56" t="inlineStr">
        <is>
          <t>PLOMERIA</t>
        </is>
      </c>
      <c r="E609" s="56" t="inlineStr">
        <is>
          <t>CODO 45° 1/2 PVC</t>
        </is>
      </c>
    </row>
    <row r="610" hidden="1" s="11">
      <c r="B610" s="56" t="n">
        <v>604</v>
      </c>
      <c r="C610" s="56">
        <f>TEXT(COUNTIF($D$7:D610, D610), "00000") &amp; "-" &amp; VLOOKUP(D610, $J$7:$K$19, 2, FALSE)</f>
        <v/>
      </c>
      <c r="D610" s="56" t="inlineStr">
        <is>
          <t>FERRETERIA</t>
        </is>
      </c>
      <c r="E610" s="56" t="inlineStr">
        <is>
          <t>GUANTE DE TELA PUNTOS NEGROS X PAR</t>
        </is>
      </c>
    </row>
    <row r="611" hidden="1" s="11">
      <c r="B611" s="56" t="n">
        <v>605</v>
      </c>
      <c r="C611" s="56">
        <f>TEXT(COUNTIF($D$7:D611, D611), "00000") &amp; "-" &amp; VLOOKUP(D611, $J$7:$K$19, 2, FALSE)</f>
        <v/>
      </c>
      <c r="D611" s="56" t="inlineStr">
        <is>
          <t>FERRETERIA</t>
        </is>
      </c>
      <c r="E611" s="56" t="inlineStr">
        <is>
          <t>TORNILLO HEXGONAL GRUESO 5/16 X 3/4</t>
        </is>
      </c>
    </row>
    <row r="612" hidden="1" s="11">
      <c r="B612" s="56" t="n">
        <v>606</v>
      </c>
      <c r="C612" s="56">
        <f>TEXT(COUNTIF($D$7:D612, D612), "00000") &amp; "-" &amp; VLOOKUP(D612, $J$7:$K$19, 2, FALSE)</f>
        <v/>
      </c>
      <c r="D612" s="56" t="inlineStr">
        <is>
          <t>FERRETERIA</t>
        </is>
      </c>
      <c r="E612" s="56" t="inlineStr">
        <is>
          <t>ARANDELA PRESION 5/16</t>
        </is>
      </c>
    </row>
    <row r="613" hidden="1" s="11">
      <c r="B613" s="56" t="n">
        <v>607</v>
      </c>
      <c r="C613" s="56">
        <f>TEXT(COUNTIF($D$7:D613, D613), "00000") &amp; "-" &amp; VLOOKUP(D613, $J$7:$K$19, 2, FALSE)</f>
        <v/>
      </c>
      <c r="D613" s="56" t="inlineStr">
        <is>
          <t>HERRAMIENTA</t>
        </is>
      </c>
      <c r="E613" s="56" t="inlineStr">
        <is>
          <t>MACHO PARA ENROSCAR 5/16</t>
        </is>
      </c>
    </row>
    <row r="614" hidden="1" s="11">
      <c r="B614" s="56" t="n">
        <v>608</v>
      </c>
      <c r="C614" s="56">
        <f>TEXT(COUNTIF($D$7:D614, D614), "00000") &amp; "-" &amp; VLOOKUP(D614, $J$7:$K$19, 2, FALSE)</f>
        <v/>
      </c>
      <c r="D614" s="56" t="inlineStr">
        <is>
          <t>FERRETERIA</t>
        </is>
      </c>
      <c r="E614" s="56" t="inlineStr">
        <is>
          <t>TORNILLO DRAYWALL 1"</t>
        </is>
      </c>
    </row>
    <row r="615" hidden="1" s="11">
      <c r="B615" s="56" t="n">
        <v>609</v>
      </c>
      <c r="C615" s="56">
        <f>TEXT(COUNTIF($D$7:D615, D615), "00000") &amp; "-" &amp; VLOOKUP(D615, $J$7:$K$19, 2, FALSE)</f>
        <v/>
      </c>
      <c r="D615" s="56" t="inlineStr">
        <is>
          <t>FERRETERIA</t>
        </is>
      </c>
      <c r="E615" s="56" t="inlineStr">
        <is>
          <t>TORNILLO DRAYWALL 7/16 GARRAPATA</t>
        </is>
      </c>
    </row>
    <row r="616" hidden="1" s="11">
      <c r="B616" s="56" t="n">
        <v>610</v>
      </c>
      <c r="C616" s="56">
        <f>TEXT(COUNTIF($D$7:D616, D616), "00000") &amp; "-" &amp; VLOOKUP(D616, $J$7:$K$19, 2, FALSE)</f>
        <v/>
      </c>
      <c r="D616" s="56" t="inlineStr">
        <is>
          <t>REFRIGERACION</t>
        </is>
      </c>
      <c r="E616" s="56" t="inlineStr">
        <is>
          <t>MOTOR AXIAL 18" 1500/1580 RPM 220V KIEL</t>
        </is>
      </c>
    </row>
    <row r="617" hidden="1" s="11">
      <c r="B617" s="56" t="n">
        <v>611</v>
      </c>
      <c r="C617" s="56">
        <f>TEXT(COUNTIF($D$7:D617, D617), "00000") &amp; "-" &amp; VLOOKUP(D617, $J$7:$K$19, 2, FALSE)</f>
        <v/>
      </c>
      <c r="D617" s="56" t="inlineStr">
        <is>
          <t>PLOMERIA</t>
        </is>
      </c>
      <c r="E617" s="56" t="inlineStr">
        <is>
          <t>DESAGUE CON REJILLA ANTICUCARACHA</t>
        </is>
      </c>
    </row>
    <row r="618" hidden="1" s="11">
      <c r="B618" s="56" t="n">
        <v>612</v>
      </c>
      <c r="C618" s="56">
        <f>TEXT(COUNTIF($D$7:D618, D618), "00000") &amp; "-" &amp; VLOOKUP(D618, $J$7:$K$19, 2, FALSE)</f>
        <v/>
      </c>
      <c r="D618" s="56" t="inlineStr">
        <is>
          <t>FERRETERIA</t>
        </is>
      </c>
      <c r="E618" s="56" t="inlineStr">
        <is>
          <t>CERRADURA PARA EMPOTRAR 35</t>
        </is>
      </c>
    </row>
    <row r="619" hidden="1" s="11">
      <c r="B619" s="56" t="n">
        <v>613</v>
      </c>
      <c r="C619" s="56">
        <f>TEXT(COUNTIF($D$7:D619, D619), "00000") &amp; "-" &amp; VLOOKUP(D619, $J$7:$K$19, 2, FALSE)</f>
        <v/>
      </c>
      <c r="D619" s="56" t="inlineStr">
        <is>
          <t>FERRETERIA</t>
        </is>
      </c>
      <c r="E619" s="56" t="inlineStr">
        <is>
          <t>COPIAS DE LLAVES</t>
        </is>
      </c>
    </row>
    <row r="620" hidden="1" s="11">
      <c r="B620" s="56" t="n">
        <v>614</v>
      </c>
      <c r="C620" s="56">
        <f>TEXT(COUNTIF($D$7:D620, D620), "00000") &amp; "-" &amp; VLOOKUP(D620, $J$7:$K$19, 2, FALSE)</f>
        <v/>
      </c>
      <c r="D620" s="56" t="inlineStr">
        <is>
          <t>HERRERIA</t>
        </is>
      </c>
      <c r="E620" s="56" t="inlineStr">
        <is>
          <t>BISAGRA PARA SOLDAR 3"</t>
        </is>
      </c>
    </row>
    <row r="621" hidden="1" s="11">
      <c r="B621" s="56" t="n">
        <v>615</v>
      </c>
      <c r="C621" s="56">
        <f>TEXT(COUNTIF($D$7:D621, D621), "00000") &amp; "-" &amp; VLOOKUP(D621, $J$7:$K$19, 2, FALSE)</f>
        <v/>
      </c>
      <c r="D621" s="56" t="inlineStr">
        <is>
          <t>HERRERIA</t>
        </is>
      </c>
      <c r="E621" s="56" t="inlineStr">
        <is>
          <t>NIPLE GALVANIZADO 3/4 X 5"</t>
        </is>
      </c>
    </row>
    <row r="622" hidden="1" s="11">
      <c r="B622" s="56" t="n">
        <v>616</v>
      </c>
      <c r="C622" s="56">
        <f>TEXT(COUNTIF($D$7:D622, D622), "00000") &amp; "-" &amp; VLOOKUP(D622, $J$7:$K$19, 2, FALSE)</f>
        <v/>
      </c>
      <c r="D622" s="56" t="inlineStr">
        <is>
          <t>HERRERIA</t>
        </is>
      </c>
      <c r="E622" s="56" t="inlineStr">
        <is>
          <t>NIPLE GALVANIZADO 3/4 X 4"</t>
        </is>
      </c>
    </row>
    <row r="623" hidden="1" s="11">
      <c r="B623" s="56" t="n">
        <v>617</v>
      </c>
      <c r="C623" s="56">
        <f>TEXT(COUNTIF($D$7:D623, D623), "00000") &amp; "-" &amp; VLOOKUP(D623, $J$7:$K$19, 2, FALSE)</f>
        <v/>
      </c>
      <c r="D623" s="56" t="inlineStr">
        <is>
          <t>HERRERIA</t>
        </is>
      </c>
      <c r="E623" s="56" t="inlineStr">
        <is>
          <t>REDUCCION GALVANIZADA AF BUSHING 1 X 3/4</t>
        </is>
      </c>
    </row>
    <row r="624" hidden="1" s="11">
      <c r="B624" s="56" t="n">
        <v>618</v>
      </c>
      <c r="C624" s="56">
        <f>TEXT(COUNTIF($D$7:D624, D624), "00000") &amp; "-" &amp; VLOOKUP(D624, $J$7:$K$19, 2, FALSE)</f>
        <v/>
      </c>
      <c r="D624" s="56" t="inlineStr">
        <is>
          <t>HERRERIA</t>
        </is>
      </c>
      <c r="E624" s="56" t="inlineStr">
        <is>
          <t>REDUCCION GALVANIZADA AF BUSHING 1 X 1/2</t>
        </is>
      </c>
    </row>
    <row r="625" hidden="1" s="11">
      <c r="B625" s="56" t="n">
        <v>619</v>
      </c>
      <c r="C625" s="56">
        <f>TEXT(COUNTIF($D$7:D625, D625), "00000") &amp; "-" &amp; VLOOKUP(D625, $J$7:$K$19, 2, FALSE)</f>
        <v/>
      </c>
      <c r="D625" s="56" t="inlineStr">
        <is>
          <t>HERRERIA</t>
        </is>
      </c>
      <c r="E625" s="56" t="inlineStr">
        <is>
          <t>NIPLE GALVANIZADO 1/2 X 6"</t>
        </is>
      </c>
    </row>
    <row r="626" hidden="1" s="11">
      <c r="B626" s="56" t="n">
        <v>620</v>
      </c>
      <c r="C626" s="56">
        <f>TEXT(COUNTIF($D$7:D626, D626), "00000") &amp; "-" &amp; VLOOKUP(D626, $J$7:$K$19, 2, FALSE)</f>
        <v/>
      </c>
      <c r="D626" s="56" t="inlineStr">
        <is>
          <t>HERRERIA</t>
        </is>
      </c>
      <c r="E626" s="56" t="inlineStr">
        <is>
          <t>NIPLE GALVANIZADO 1/2 X 4"</t>
        </is>
      </c>
    </row>
    <row r="627" hidden="1" s="11">
      <c r="B627" s="56" t="n">
        <v>621</v>
      </c>
      <c r="C627" s="56">
        <f>TEXT(COUNTIF($D$7:D627, D627), "00000") &amp; "-" &amp; VLOOKUP(D627, $J$7:$K$19, 2, FALSE)</f>
        <v/>
      </c>
      <c r="D627" s="56" t="inlineStr">
        <is>
          <t>HERRERIA</t>
        </is>
      </c>
      <c r="E627" s="56" t="inlineStr">
        <is>
          <t>NIPLE GALVANIZADO 1/2 X 3"</t>
        </is>
      </c>
    </row>
    <row r="628" hidden="1" s="11">
      <c r="B628" s="56" t="n">
        <v>622</v>
      </c>
      <c r="C628" s="56">
        <f>TEXT(COUNTIF($D$7:D628, D628), "00000") &amp; "-" &amp; VLOOKUP(D628, $J$7:$K$19, 2, FALSE)</f>
        <v/>
      </c>
      <c r="D628" s="56" t="inlineStr">
        <is>
          <t>HERRERIA</t>
        </is>
      </c>
      <c r="E628" s="56" t="inlineStr">
        <is>
          <t>CODO GALVANIZADO 90° 1/2</t>
        </is>
      </c>
    </row>
    <row r="629" hidden="1" s="11">
      <c r="B629" s="56" t="n">
        <v>623</v>
      </c>
      <c r="C629" s="56">
        <f>TEXT(COUNTIF($D$7:D629, D629), "00000") &amp; "-" &amp; VLOOKUP(D629, $J$7:$K$19, 2, FALSE)</f>
        <v/>
      </c>
      <c r="D629" s="56" t="inlineStr">
        <is>
          <t>ELECTRONICO</t>
        </is>
      </c>
      <c r="E629" s="56" t="inlineStr">
        <is>
          <t>PLANTA ELECTRICA 125KVA C/ TRANFER</t>
        </is>
      </c>
    </row>
    <row r="630" hidden="1" s="11">
      <c r="B630" s="56" t="n">
        <v>624</v>
      </c>
      <c r="C630" s="56">
        <f>TEXT(COUNTIF($D$7:D630, D630), "00000") &amp; "-" &amp; VLOOKUP(D630, $J$7:$K$19, 2, FALSE)</f>
        <v/>
      </c>
      <c r="D630" s="56" t="inlineStr">
        <is>
          <t>HERRAMIENTA</t>
        </is>
      </c>
      <c r="E630" s="56" t="inlineStr">
        <is>
          <t>EXACTO PLASTICO IMP</t>
        </is>
      </c>
    </row>
    <row r="631" hidden="1" s="11">
      <c r="B631" s="56" t="n">
        <v>625</v>
      </c>
      <c r="C631" s="56">
        <f>TEXT(COUNTIF($D$7:D631, D631), "00000") &amp; "-" &amp; VLOOKUP(D631, $J$7:$K$19, 2, FALSE)</f>
        <v/>
      </c>
      <c r="D631" s="56" t="inlineStr">
        <is>
          <t>ELECTRICIDAD</t>
        </is>
      </c>
      <c r="E631" s="56" t="inlineStr">
        <is>
          <t>TAPA DE TOMA CORRIENTE DOBLE</t>
        </is>
      </c>
    </row>
    <row r="632" hidden="1" s="11">
      <c r="B632" s="56" t="n">
        <v>626</v>
      </c>
      <c r="C632" s="56">
        <f>TEXT(COUNTIF($D$7:D632, D632), "00000") &amp; "-" &amp; VLOOKUP(D632, $J$7:$K$19, 2, FALSE)</f>
        <v/>
      </c>
      <c r="D632" s="56" t="inlineStr">
        <is>
          <t>FERRETERIA</t>
        </is>
      </c>
      <c r="E632" s="56" t="inlineStr">
        <is>
          <t>MANGUERA TRANSPARENTE 3/4</t>
        </is>
      </c>
    </row>
    <row r="633" hidden="1" s="11">
      <c r="B633" s="56" t="n">
        <v>627</v>
      </c>
      <c r="C633" s="56">
        <f>TEXT(COUNTIF($D$7:D633, D633), "00000") &amp; "-" &amp; VLOOKUP(D633, $J$7:$K$19, 2, FALSE)</f>
        <v/>
      </c>
      <c r="D633" s="56" t="inlineStr">
        <is>
          <t>HERRERIA</t>
        </is>
      </c>
      <c r="E633" s="56" t="inlineStr">
        <is>
          <t>ABRAZADERA GALVANIZADA 3/4</t>
        </is>
      </c>
    </row>
    <row r="634" hidden="1" s="11">
      <c r="B634" s="56" t="n">
        <v>628</v>
      </c>
      <c r="C634" s="56">
        <f>TEXT(COUNTIF($D$7:D634, D634), "00000") &amp; "-" &amp; VLOOKUP(D634, $J$7:$K$19, 2, FALSE)</f>
        <v/>
      </c>
      <c r="D634" s="56" t="inlineStr">
        <is>
          <t>ELECTRICIDAD</t>
        </is>
      </c>
      <c r="E634" s="56" t="inlineStr">
        <is>
          <t>TAPA CIEGA 4 X 2 BLANCO</t>
        </is>
      </c>
    </row>
    <row r="635" hidden="1" s="11">
      <c r="B635" s="56" t="n">
        <v>629</v>
      </c>
      <c r="C635" s="56">
        <f>TEXT(COUNTIF($D$7:D635, D635), "00000") &amp; "-" &amp; VLOOKUP(D635, $J$7:$K$19, 2, FALSE)</f>
        <v/>
      </c>
      <c r="D635" s="56" t="inlineStr">
        <is>
          <t>ELECTRICIDAD</t>
        </is>
      </c>
      <c r="E635" s="56" t="inlineStr">
        <is>
          <t>TUBO ELECTRICO 1/2 BLANCO (METRO)</t>
        </is>
      </c>
    </row>
    <row r="636" hidden="1" s="11">
      <c r="B636" s="56" t="n">
        <v>630</v>
      </c>
      <c r="C636" s="56">
        <f>TEXT(COUNTIF($D$7:D636, D636), "00000") &amp; "-" &amp; VLOOKUP(D636, $J$7:$K$19, 2, FALSE)</f>
        <v/>
      </c>
      <c r="D636" s="56" t="inlineStr">
        <is>
          <t>ELECTRICIDAD</t>
        </is>
      </c>
      <c r="E636" s="56" t="inlineStr">
        <is>
          <t>CURVA ELECTRICA PVC BLANCO 1/2</t>
        </is>
      </c>
    </row>
    <row r="637" hidden="1" s="11">
      <c r="B637" s="56" t="n">
        <v>631</v>
      </c>
      <c r="C637" s="56">
        <f>TEXT(COUNTIF($D$7:D637, D637), "00000") &amp; "-" &amp; VLOOKUP(D637, $J$7:$K$19, 2, FALSE)</f>
        <v/>
      </c>
      <c r="D637" s="56" t="inlineStr">
        <is>
          <t>FERRETERIA</t>
        </is>
      </c>
      <c r="E637" s="56" t="inlineStr">
        <is>
          <t>TUERCA HEXAGONAL G2 GRUESO 1/4</t>
        </is>
      </c>
    </row>
    <row r="638" hidden="1" s="11">
      <c r="B638" s="56" t="n">
        <v>632</v>
      </c>
      <c r="C638" s="56">
        <f>TEXT(COUNTIF($D$7:D638, D638), "00000") &amp; "-" &amp; VLOOKUP(D638, $J$7:$K$19, 2, FALSE)</f>
        <v/>
      </c>
      <c r="D638" s="56" t="inlineStr">
        <is>
          <t>HERRAMIENTA</t>
        </is>
      </c>
      <c r="E638" s="56" t="inlineStr">
        <is>
          <t>PUNTA DE ESTRIA Y PALA</t>
        </is>
      </c>
    </row>
    <row r="639" hidden="1" s="11">
      <c r="B639" s="56" t="n">
        <v>633</v>
      </c>
      <c r="C639" s="56">
        <f>TEXT(COUNTIF($D$7:D639, D639), "00000") &amp; "-" &amp; VLOOKUP(D639, $J$7:$K$19, 2, FALSE)</f>
        <v/>
      </c>
      <c r="D639" s="56" t="inlineStr">
        <is>
          <t>PLOMERIA</t>
        </is>
      </c>
      <c r="E639" s="56" t="inlineStr">
        <is>
          <t>ADAPTADOR PLASTICO P/ TANQUE 1/2</t>
        </is>
      </c>
    </row>
    <row r="640" hidden="1" s="11">
      <c r="B640" s="56" t="n">
        <v>634</v>
      </c>
      <c r="C640" s="56">
        <f>TEXT(COUNTIF($D$7:D640, D640), "00000") &amp; "-" &amp; VLOOKUP(D640, $J$7:$K$19, 2, FALSE)</f>
        <v/>
      </c>
      <c r="D640" s="56" t="inlineStr">
        <is>
          <t>FERRETERIA</t>
        </is>
      </c>
      <c r="E640" s="56" t="inlineStr">
        <is>
          <t>TORNILLO PARA REJILLA</t>
        </is>
      </c>
    </row>
    <row r="641" hidden="1" s="11">
      <c r="B641" s="56" t="n">
        <v>635</v>
      </c>
      <c r="C641" s="56">
        <f>TEXT(COUNTIF($D$7:D641, D641), "00000") &amp; "-" &amp; VLOOKUP(D641, $J$7:$K$19, 2, FALSE)</f>
        <v/>
      </c>
      <c r="D641" s="56" t="inlineStr">
        <is>
          <t>REFRIGERACION</t>
        </is>
      </c>
      <c r="E641" s="56" t="inlineStr">
        <is>
          <t>CAPACITOR DE MARCHA 20/1,5 MFD 450V</t>
        </is>
      </c>
    </row>
    <row r="642" hidden="1" s="11">
      <c r="C642" s="56">
        <f>TEXT(COUNTIF($D$7:D642, D642), "00000") &amp; "-" &amp; VLOOKUP(D642, $J$7:$K$19, 2, FALSE)</f>
        <v/>
      </c>
      <c r="D642" s="56" t="inlineStr">
        <is>
          <t>REFRIGERACION</t>
        </is>
      </c>
      <c r="E642" s="56" t="inlineStr">
        <is>
          <t>CAPACITOR PERMANENTE 145-174 MFD 11OV</t>
        </is>
      </c>
    </row>
    <row r="643" hidden="1" s="11">
      <c r="C643" s="56">
        <f>TEXT(COUNTIF($D$7:D643, D643), "00000") &amp; "-" &amp; VLOOKUP(D643, $J$7:$K$19, 2, FALSE)</f>
        <v/>
      </c>
      <c r="D643" s="56" t="inlineStr">
        <is>
          <t>REFRIGERACION</t>
        </is>
      </c>
      <c r="E643" s="56" t="inlineStr">
        <is>
          <t>CAPACITOR 40+15 MFD 250 V</t>
        </is>
      </c>
    </row>
    <row r="644" hidden="1" s="11">
      <c r="C644" s="56">
        <f>TEXT(COUNTIF($D$7:D644, D644), "00000") &amp; "-" &amp; VLOOKUP(D644, $J$7:$K$19, 2, FALSE)</f>
        <v/>
      </c>
      <c r="D644" s="56" t="inlineStr">
        <is>
          <t>REFRIGERACION</t>
        </is>
      </c>
      <c r="E644" s="56" t="inlineStr">
        <is>
          <t>CAPACITOR DE MARCHA 80 MFD 440/450 VAC</t>
        </is>
      </c>
    </row>
    <row r="645" hidden="1" s="11">
      <c r="C645" s="56">
        <f>TEXT(COUNTIF($D$7:D645, D645), "00000") &amp; "-" &amp; VLOOKUP(D645, $J$7:$K$19, 2, FALSE)</f>
        <v/>
      </c>
      <c r="D645" s="56" t="inlineStr">
        <is>
          <t>REFRIGERACION</t>
        </is>
      </c>
      <c r="E645" s="56" t="inlineStr">
        <is>
          <t>CAPACITOR DE MARCHA 30+3 MFD 440/450 VAC</t>
        </is>
      </c>
    </row>
    <row r="646" hidden="1" s="11">
      <c r="C646" s="56">
        <f>TEXT(COUNTIF($D$7:D646, D646), "00000") &amp; "-" &amp; VLOOKUP(D646, $J$7:$K$19, 2, FALSE)</f>
        <v/>
      </c>
      <c r="D646" s="56" t="inlineStr">
        <is>
          <t>REFRIGERACION</t>
        </is>
      </c>
      <c r="E646" s="56" t="inlineStr">
        <is>
          <t>CAPACITOR DE MARCHA 35+7 MFD 440/450 VAC</t>
        </is>
      </c>
    </row>
    <row r="647" hidden="1" s="11">
      <c r="C647" s="56">
        <f>TEXT(COUNTIF($D$7:D647, D647), "00000") &amp; "-" &amp; VLOOKUP(D647, $J$7:$K$19, 2, FALSE)</f>
        <v/>
      </c>
      <c r="D647" s="56" t="inlineStr">
        <is>
          <t>REFRIGERACION</t>
        </is>
      </c>
      <c r="E647" s="56" t="inlineStr">
        <is>
          <t>CAPACITOR DE MARCHA 35+5 MFD 370/440 VAC</t>
        </is>
      </c>
    </row>
    <row r="648" hidden="1" s="11">
      <c r="C648" s="56">
        <f>TEXT(COUNTIF($D$7:D648, D648), "00000") &amp; "-" &amp; VLOOKUP(D648, $J$7:$K$19, 2, FALSE)</f>
        <v/>
      </c>
      <c r="D648" s="56" t="inlineStr">
        <is>
          <t>REFRIGERACION</t>
        </is>
      </c>
      <c r="E648" s="56" t="inlineStr">
        <is>
          <t>CAPACITOR DE MARCHA 60 MFD 370/440 VAC</t>
        </is>
      </c>
    </row>
    <row r="649" hidden="1" s="11">
      <c r="C649" s="56">
        <f>TEXT(COUNTIF($D$7:D649, D649), "00000") &amp; "-" &amp; VLOOKUP(D649, $J$7:$K$19, 2, FALSE)</f>
        <v/>
      </c>
      <c r="D649" s="56" t="inlineStr">
        <is>
          <t>FERRETERIA</t>
        </is>
      </c>
      <c r="E649" s="56" t="inlineStr">
        <is>
          <t>DISCO DE SIERRA 7 1/4" 7/8" 6</t>
        </is>
      </c>
    </row>
    <row r="650" hidden="1" s="11">
      <c r="C650" s="56">
        <f>TEXT(COUNTIF($D$7:D650, D650), "00000") &amp; "-" &amp; VLOOKUP(D650, $J$7:$K$19, 2, FALSE)</f>
        <v/>
      </c>
      <c r="D650" s="56" t="inlineStr">
        <is>
          <t>FERRETERIA</t>
        </is>
      </c>
      <c r="E650" s="56" t="inlineStr">
        <is>
          <t>DISCO DISCO DE SIERRA 7 1/4" 7/8" 4</t>
        </is>
      </c>
    </row>
    <row r="651" hidden="1" s="11">
      <c r="C651" s="56">
        <f>TEXT(COUNTIF($D$7:D651, D651), "00000") &amp; "-" &amp; VLOOKUP(D651, $J$7:$K$19, 2, FALSE)</f>
        <v/>
      </c>
      <c r="D651" s="56" t="inlineStr">
        <is>
          <t>LIMPIEZA</t>
        </is>
      </c>
      <c r="E651" s="56" t="inlineStr">
        <is>
          <t>CEPILLO DE BARRER</t>
        </is>
      </c>
    </row>
    <row r="652" hidden="1" s="11">
      <c r="C652" s="56">
        <f>TEXT(COUNTIF($D$7:D652, D652), "00000") &amp; "-" &amp; VLOOKUP(D652, $J$7:$K$19, 2, FALSE)</f>
        <v/>
      </c>
      <c r="D652" s="56" t="inlineStr">
        <is>
          <t>LIMPIEZA</t>
        </is>
      </c>
      <c r="E652" s="56" t="inlineStr">
        <is>
          <t>PIPOTES 65 LITROS</t>
        </is>
      </c>
    </row>
    <row r="653">
      <c r="C653" s="56">
        <f>TEXT(COUNTIF($D$7:D653, D653), "00000") &amp; "-" &amp; VLOOKUP(D653, $J$7:$K$19, 2, FALSE)</f>
        <v/>
      </c>
      <c r="D653" s="56" t="inlineStr">
        <is>
          <t>LIMPIEZA</t>
        </is>
      </c>
      <c r="E653" s="56" t="inlineStr">
        <is>
          <t>HARAGAN PEQUEÑO</t>
        </is>
      </c>
    </row>
    <row r="654" hidden="1" s="11">
      <c r="C654" s="56">
        <f>TEXT(COUNTIF($D$7:D654, D654), "00000") &amp; "-" &amp; VLOOKUP(D654, $J$7:$K$19, 2, FALSE)</f>
        <v/>
      </c>
      <c r="D654" s="56" t="inlineStr">
        <is>
          <t>MISCELANEOS</t>
        </is>
      </c>
      <c r="E654" s="56" t="inlineStr">
        <is>
          <t>CUCHILLO DE SIERRA N°8</t>
        </is>
      </c>
    </row>
    <row r="655" hidden="1" s="11">
      <c r="C655" s="56">
        <f>TEXT(COUNTIF($D$7:D655, D655), "00000") &amp; "-" &amp; VLOOKUP(D655, $J$7:$K$19, 2, FALSE)</f>
        <v/>
      </c>
      <c r="D655" s="56" t="inlineStr">
        <is>
          <t>MISCELANEOS</t>
        </is>
      </c>
      <c r="E655" s="56" t="inlineStr">
        <is>
          <t>CUCHILLO PROCHEF N°9</t>
        </is>
      </c>
    </row>
    <row r="656" hidden="1" s="11">
      <c r="C656" s="56">
        <f>TEXT(COUNTIF($D$7:D656, D656), "00000") &amp; "-" &amp; VLOOKUP(D656, $J$7:$K$19, 2, FALSE)</f>
        <v/>
      </c>
      <c r="D656" s="56" t="inlineStr">
        <is>
          <t>MISCELANEOS</t>
        </is>
      </c>
      <c r="E656" s="56" t="inlineStr">
        <is>
          <t>CUCHARON PEQUEÑO</t>
        </is>
      </c>
    </row>
    <row r="657" hidden="1" s="11">
      <c r="C657" s="56">
        <f>TEXT(COUNTIF($D$7:D657, D657), "00000") &amp; "-" &amp; VLOOKUP(D657, $J$7:$K$19, 2, FALSE)</f>
        <v/>
      </c>
      <c r="D657" s="56" t="inlineStr">
        <is>
          <t>LIMPIEZA</t>
        </is>
      </c>
      <c r="E657" s="56" t="inlineStr">
        <is>
          <t xml:space="preserve">CABO DE PLASTICO PARA PALA </t>
        </is>
      </c>
    </row>
    <row r="658" hidden="1" s="11">
      <c r="C658" s="56">
        <f>TEXT(COUNTIF($D$7:D658, D658), "00000") &amp; "-" &amp; VLOOKUP(D658, $J$7:$K$19, 2, FALSE)</f>
        <v/>
      </c>
      <c r="D658" s="56" t="inlineStr">
        <is>
          <t>REFRIGERACION</t>
        </is>
      </c>
      <c r="E658" s="56" t="inlineStr">
        <is>
          <t>CAPACITOR DE MARCHA 5 MFD</t>
        </is>
      </c>
    </row>
    <row r="659" hidden="1" s="11">
      <c r="C659" s="56">
        <f>TEXT(COUNTIF($D$7:D659, D659), "00000") &amp; "-" &amp; VLOOKUP(D659, $J$7:$K$19, 2, FALSE)</f>
        <v/>
      </c>
      <c r="D659" s="56" t="inlineStr">
        <is>
          <t>FERRETERIA</t>
        </is>
      </c>
      <c r="E659" s="56" t="inlineStr">
        <is>
          <t>CANILLA PLASTICA 1/2 X 5/8 40 CM</t>
        </is>
      </c>
    </row>
    <row r="660" hidden="1" s="11">
      <c r="C660" s="56">
        <f>TEXT(COUNTIF($D$7:D660, D660), "00000") &amp; "-" &amp; VLOOKUP(D660, $J$7:$K$19, 2, FALSE)</f>
        <v/>
      </c>
      <c r="D660" s="56" t="inlineStr">
        <is>
          <t>AUTOMOTRIZ</t>
        </is>
      </c>
      <c r="E660" s="56" t="inlineStr">
        <is>
          <t>FILTRO DE AIRE PRIMARIO PARA MOTOR CUMMINS 6BTAA5.9</t>
        </is>
      </c>
    </row>
    <row r="661" hidden="1" s="11">
      <c r="C661" s="56">
        <f>TEXT(COUNTIF($D$7:D661, D661), "00000") &amp; "-" &amp; VLOOKUP(D661, $J$7:$K$19, 2, FALSE)</f>
        <v/>
      </c>
      <c r="D661" s="56" t="inlineStr">
        <is>
          <t>AUTOMOTRIZ</t>
        </is>
      </c>
      <c r="E661" s="56" t="inlineStr">
        <is>
          <t>FILTRO DE AIRE SECUNDARIO PARA MOTOR CUMMINS 6BTAA5.9</t>
        </is>
      </c>
    </row>
    <row r="662" hidden="1" s="11">
      <c r="C662" s="56">
        <f>TEXT(COUNTIF($D$7:D662, D662), "00000") &amp; "-" &amp; VLOOKUP(D662, $J$7:$K$19, 2, FALSE)</f>
        <v/>
      </c>
      <c r="D662" s="56" t="inlineStr">
        <is>
          <t>LIMPIEZA</t>
        </is>
      </c>
      <c r="E662" s="56" t="inlineStr">
        <is>
          <t>TOBO DE LIMPIEZA</t>
        </is>
      </c>
    </row>
    <row r="663" hidden="1" s="11">
      <c r="C663" s="56">
        <f>TEXT(COUNTIF($D$7:D663, D663), "00000") &amp; "-" &amp; VLOOKUP(D663, $J$7:$K$19, 2, FALSE)</f>
        <v/>
      </c>
      <c r="D663" s="56" t="inlineStr">
        <is>
          <t>LIMPIEZA</t>
        </is>
      </c>
      <c r="E663" s="56" t="inlineStr">
        <is>
          <t>PALA CON CABO</t>
        </is>
      </c>
    </row>
    <row r="664" hidden="1" s="11">
      <c r="C664" s="56">
        <f>TEXT(COUNTIF($D$7:D664, D664), "00000") &amp; "-" &amp; VLOOKUP(D664, $J$7:$K$19, 2, FALSE)</f>
        <v/>
      </c>
      <c r="D664" s="56" t="inlineStr">
        <is>
          <t>LIMPIEZA</t>
        </is>
      </c>
      <c r="E664" s="56" t="inlineStr">
        <is>
          <t>PAÑITO NEGRO DE LIMPIEZA</t>
        </is>
      </c>
    </row>
    <row r="665" hidden="1" s="11">
      <c r="C665" s="56">
        <f>TEXT(COUNTIF($D$7:D665, D665), "00000") &amp; "-" &amp; VLOOKUP(D665, $J$7:$K$19, 2, FALSE)</f>
        <v/>
      </c>
      <c r="D665" s="56" t="inlineStr">
        <is>
          <t>LIMPIEZA</t>
        </is>
      </c>
      <c r="E665" s="56" t="inlineStr">
        <is>
          <t>COLETO NEGRO</t>
        </is>
      </c>
    </row>
    <row r="666" hidden="1" s="11">
      <c r="C666" s="56">
        <f>TEXT(COUNTIF($D$7:D666, D666), "00000") &amp; "-" &amp; VLOOKUP(D666, $J$7:$K$19, 2, FALSE)</f>
        <v/>
      </c>
      <c r="D666" s="56" t="inlineStr">
        <is>
          <t>LIMPIEZA</t>
        </is>
      </c>
      <c r="E666" s="56" t="inlineStr">
        <is>
          <t>CABO DE MADERA PARA CEPILLO DE BARRER</t>
        </is>
      </c>
    </row>
    <row r="667" hidden="1" s="11">
      <c r="C667" s="56">
        <f>TEXT(COUNTIF($D$7:D667, D667), "00000") &amp; "-" &amp; VLOOKUP(D667, $J$7:$K$19, 2, FALSE)</f>
        <v/>
      </c>
      <c r="D667" s="56" t="inlineStr">
        <is>
          <t>FERRETERIA</t>
        </is>
      </c>
      <c r="E667" s="56" t="inlineStr">
        <is>
          <t>BISAGRA PARA PECERA</t>
        </is>
      </c>
    </row>
    <row r="668" hidden="1" s="11">
      <c r="C668" s="56">
        <f>TEXT(COUNTIF($D$7:D668, D668), "00000") &amp; "-" &amp; VLOOKUP(D668, $J$7:$K$19, 2, FALSE)</f>
        <v/>
      </c>
      <c r="D668" s="56" t="inlineStr">
        <is>
          <t>FERRETERIA</t>
        </is>
      </c>
      <c r="E668" s="56" t="inlineStr">
        <is>
          <t>TORNILLO PARA VISAGRA DE PECERA</t>
        </is>
      </c>
    </row>
    <row r="669" hidden="1" s="11">
      <c r="C669" s="56">
        <f>TEXT(COUNTIF($D$7:D669, D669), "00000") &amp; "-" &amp; VLOOKUP(D669, $J$7:$K$19, 2, FALSE)</f>
        <v/>
      </c>
      <c r="D669" s="56" t="inlineStr">
        <is>
          <t>HERRERIA</t>
        </is>
      </c>
      <c r="E669" s="56" t="inlineStr">
        <is>
          <t>ELECTRODO E6013 3/32 UNIDAD</t>
        </is>
      </c>
    </row>
    <row r="670" hidden="1" s="11">
      <c r="C670" s="56">
        <f>TEXT(COUNTIF($D$7:D670, D670), "00000") &amp; "-" &amp; VLOOKUP(D670, $J$7:$K$19, 2, FALSE)</f>
        <v/>
      </c>
      <c r="D670" s="56" t="inlineStr">
        <is>
          <t>FERRETERIA</t>
        </is>
      </c>
      <c r="E670" s="56" t="inlineStr">
        <is>
          <t>ESPUMA DE POLIUTERANO MULTIUSO</t>
        </is>
      </c>
    </row>
    <row r="671" hidden="1" s="11">
      <c r="C671" s="56">
        <f>TEXT(COUNTIF($D$7:D671, D671), "00000") &amp; "-" &amp; VLOOKUP(D671, $J$7:$K$19, 2, FALSE)</f>
        <v/>
      </c>
      <c r="D671" s="56" t="inlineStr">
        <is>
          <t>FERRETERIA</t>
        </is>
      </c>
      <c r="E671" s="56" t="inlineStr">
        <is>
          <t>BRAZO HIDRAULICO PARA PUERTA 45-60 KG (SIN BRASO)</t>
        </is>
      </c>
    </row>
    <row r="672" hidden="1" s="11">
      <c r="C672" s="56">
        <f>TEXT(COUNTIF($D$7:D672, D672), "00000") &amp; "-" &amp; VLOOKUP(D672, $J$7:$K$19, 2, FALSE)</f>
        <v/>
      </c>
      <c r="D672" s="56" t="inlineStr">
        <is>
          <t>HERRERIA</t>
        </is>
      </c>
      <c r="E672" s="56" t="inlineStr">
        <is>
          <t>RUEDA PARA PORTON TIPO U</t>
        </is>
      </c>
    </row>
    <row r="673" hidden="1" s="11">
      <c r="C673" s="56">
        <f>TEXT(COUNTIF($D$7:D673, D673), "00000") &amp; "-" &amp; VLOOKUP(D673, $J$7:$K$19, 2, FALSE)</f>
        <v/>
      </c>
      <c r="D673" s="56" t="inlineStr">
        <is>
          <t>FERRETERIA</t>
        </is>
      </c>
      <c r="E673" s="56" t="inlineStr">
        <is>
          <t>REGULADOR DE BOMBONA DE GAS ENROSCABLE</t>
        </is>
      </c>
    </row>
    <row r="674" hidden="1" s="11">
      <c r="C674" s="56">
        <f>TEXT(COUNTIF($D$7:D674, D674), "00000") &amp; "-" &amp; VLOOKUP(D674, $J$7:$K$19, 2, FALSE)</f>
        <v/>
      </c>
      <c r="D674" s="56" t="inlineStr">
        <is>
          <t>HERRERIA</t>
        </is>
      </c>
      <c r="E674" s="56" t="inlineStr">
        <is>
          <t>ABRAZADERA DE ACERO 21-38 MM</t>
        </is>
      </c>
    </row>
    <row r="675" hidden="1" s="11">
      <c r="C675" s="56">
        <f>TEXT(COUNTIF($D$7:D675, D675), "00000") &amp; "-" &amp; VLOOKUP(D675, $J$7:$K$19, 2, FALSE)</f>
        <v/>
      </c>
      <c r="D675" s="56" t="inlineStr">
        <is>
          <t>FERRETERIA</t>
        </is>
      </c>
      <c r="E675" s="56" t="inlineStr">
        <is>
          <t>ESPATULA PLASTICA 4"</t>
        </is>
      </c>
    </row>
    <row r="676" hidden="1" s="11">
      <c r="C676" s="56">
        <f>TEXT(COUNTIF($D$7:D676, D676), "00000") &amp; "-" &amp; VLOOKUP(D676, $J$7:$K$19, 2, FALSE)</f>
        <v/>
      </c>
      <c r="D676" s="56" t="inlineStr">
        <is>
          <t>FERRETERIA</t>
        </is>
      </c>
      <c r="E676" s="56" t="inlineStr">
        <is>
          <t>ESPATULA PLASTICA 5"</t>
        </is>
      </c>
    </row>
    <row r="677" hidden="1" s="11">
      <c r="C677" s="56">
        <f>TEXT(COUNTIF($D$7:D677, D677), "00000") &amp; "-" &amp; VLOOKUP(D677, $J$7:$K$19, 2, FALSE)</f>
        <v/>
      </c>
      <c r="D677" s="56" t="inlineStr">
        <is>
          <t>FERRETERIA</t>
        </is>
      </c>
      <c r="E677" s="56" t="inlineStr">
        <is>
          <t>CORREDERA TELESCOPICA PARA CAJON 30 CM</t>
        </is>
      </c>
    </row>
    <row r="678" hidden="1" s="11">
      <c r="C678" s="56">
        <f>TEXT(COUNTIF($D$7:D678, D678), "00000") &amp; "-" &amp; VLOOKUP(D678, $J$7:$K$19, 2, FALSE)</f>
        <v/>
      </c>
      <c r="D678" s="56" t="inlineStr">
        <is>
          <t>REFRIGERACION</t>
        </is>
      </c>
      <c r="E678" s="56" t="inlineStr">
        <is>
          <t>BUJE O SOPORTE DE GOMA DE COMPRESOR</t>
        </is>
      </c>
    </row>
    <row r="679" hidden="1" s="11">
      <c r="C679" s="56">
        <f>TEXT(COUNTIF($D$7:D679, D679), "00000") &amp; "-" &amp; VLOOKUP(D679, $J$7:$K$19, 2, FALSE)</f>
        <v/>
      </c>
      <c r="D679" s="56" t="inlineStr">
        <is>
          <t>FERRETERIA</t>
        </is>
      </c>
      <c r="E679" s="56" t="inlineStr">
        <is>
          <t>PEGAMENTO DE FORMICA Y CHAPILLA 1/4 GALON</t>
        </is>
      </c>
    </row>
    <row r="680" hidden="1" s="11">
      <c r="C680" s="56">
        <f>TEXT(COUNTIF($D$7:D680, D680), "00000") &amp; "-" &amp; VLOOKUP(D680, $J$7:$K$19, 2, FALSE)</f>
        <v/>
      </c>
      <c r="D680" s="56" t="inlineStr">
        <is>
          <t>FERRETERIA</t>
        </is>
      </c>
      <c r="E680" s="56" t="inlineStr">
        <is>
          <t>LENTE DE SEGURIDAD</t>
        </is>
      </c>
    </row>
    <row r="681" hidden="1" s="11">
      <c r="C681" s="56">
        <f>TEXT(COUNTIF($D$7:D681, D681), "00000") &amp; "-" &amp; VLOOKUP(D681, $J$7:$K$19, 2, FALSE)</f>
        <v/>
      </c>
      <c r="D681" s="56" t="inlineStr">
        <is>
          <t>HERRERIA</t>
        </is>
      </c>
      <c r="E681" s="56" t="inlineStr">
        <is>
          <t>BISAGRA 2"</t>
        </is>
      </c>
    </row>
    <row r="682" hidden="1" s="11">
      <c r="C682" s="56">
        <f>TEXT(COUNTIF($D$7:D682, D682), "00000") &amp; "-" &amp; VLOOKUP(D682, $J$7:$K$19, 2, FALSE)</f>
        <v/>
      </c>
      <c r="D682" s="56" t="inlineStr">
        <is>
          <t>FERRETERIA</t>
        </is>
      </c>
      <c r="E682" s="56" t="inlineStr">
        <is>
          <t>TIRRA BLANCO 4.8 X 350MM (UNIDAD)</t>
        </is>
      </c>
    </row>
    <row r="683" hidden="1" s="11">
      <c r="C683" s="56">
        <f>TEXT(COUNTIF($D$7:D683, D683), "00000") &amp; "-" &amp; VLOOKUP(D683, $J$7:$K$19, 2, FALSE)</f>
        <v/>
      </c>
      <c r="D683" s="56" t="inlineStr">
        <is>
          <t>FERRETERIA</t>
        </is>
      </c>
      <c r="E683" s="56" t="inlineStr">
        <is>
          <t>RAMPLU DE ACERO EXPANCIBLE 3/8</t>
        </is>
      </c>
    </row>
    <row r="684" hidden="1" s="11">
      <c r="C684" s="56">
        <f>TEXT(COUNTIF($D$7:D684, D684), "00000") &amp; "-" &amp; VLOOKUP(D684, $J$7:$K$19, 2, FALSE)</f>
        <v/>
      </c>
      <c r="D684" s="56" t="inlineStr">
        <is>
          <t>FERRETERIA</t>
        </is>
      </c>
      <c r="E684" s="56" t="inlineStr">
        <is>
          <t>TORNILLO DE ALTA RESISTENCIA CON TUERCA 4"</t>
        </is>
      </c>
    </row>
    <row r="685" hidden="1" s="11">
      <c r="C685" s="56">
        <f>TEXT(COUNTIF($D$7:D685, D685), "00000") &amp; "-" &amp; VLOOKUP(D685, $J$7:$K$19, 2, FALSE)</f>
        <v/>
      </c>
      <c r="D685" s="56" t="inlineStr">
        <is>
          <t>FERRETERIA</t>
        </is>
      </c>
      <c r="E685" s="56" t="inlineStr">
        <is>
          <t>POMO DE PECERA (PAR)</t>
        </is>
      </c>
    </row>
    <row r="686" hidden="1" s="11">
      <c r="C686" s="56">
        <f>TEXT(COUNTIF($D$7:D686, D686), "00000") &amp; "-" &amp; VLOOKUP(D686, $J$7:$K$19, 2, FALSE)</f>
        <v/>
      </c>
      <c r="D686" s="56" t="inlineStr">
        <is>
          <t>FERRETERIA</t>
        </is>
      </c>
      <c r="E686" s="56" t="inlineStr">
        <is>
          <t>RAMPLU DE ACERO EXPANCIBLE 1/2</t>
        </is>
      </c>
    </row>
    <row r="687" hidden="1" s="11">
      <c r="C687" s="56">
        <f>TEXT(COUNTIF($D$7:D687, D687), "00000") &amp; "-" &amp; VLOOKUP(D687, $J$7:$K$19, 2, FALSE)</f>
        <v/>
      </c>
      <c r="D687" s="56" t="inlineStr">
        <is>
          <t>ELECTRONICO</t>
        </is>
      </c>
      <c r="E687" s="56" t="inlineStr">
        <is>
          <t>EXTRACTOR DE AIRE PLASTICO 10" EVERWELL</t>
        </is>
      </c>
    </row>
    <row r="688" hidden="1" s="11">
      <c r="C688" s="56">
        <f>TEXT(COUNTIF($D$7:D688, D688), "00000") &amp; "-" &amp; VLOOKUP(D688, $J$7:$K$19, 2, FALSE)</f>
        <v/>
      </c>
      <c r="D688" s="56" t="inlineStr">
        <is>
          <t>LIMPIEZA</t>
        </is>
      </c>
      <c r="E688" s="56" t="inlineStr">
        <is>
          <t>CABO DE METAL PARA CEPILLO DE BARRER</t>
        </is>
      </c>
    </row>
    <row r="689" hidden="1" s="11">
      <c r="C689" s="56">
        <f>TEXT(COUNTIF($D$7:D689, D689), "00000") &amp; "-" &amp; VLOOKUP(D689, $J$7:$K$19, 2, FALSE)</f>
        <v/>
      </c>
      <c r="D689" s="56" t="inlineStr">
        <is>
          <t>LIMPIEZA</t>
        </is>
      </c>
      <c r="E689" s="56" t="inlineStr">
        <is>
          <t>CEPILLO PARA LAVAR INODORO</t>
        </is>
      </c>
    </row>
    <row r="690" hidden="1" s="11">
      <c r="C690" s="56">
        <f>TEXT(COUNTIF($D$7:D690, D690), "00000") &amp; "-" &amp; VLOOKUP(D690, $J$7:$K$19, 2, FALSE)</f>
        <v/>
      </c>
      <c r="D690" s="56" t="inlineStr">
        <is>
          <t>FERRETERIA</t>
        </is>
      </c>
      <c r="E690" s="56" t="inlineStr">
        <is>
          <t>CINTA ANTIDESLIZANTE NEGRO/AMARILLO (ROLLO 5M)</t>
        </is>
      </c>
    </row>
    <row r="691" hidden="1" s="11">
      <c r="C691" s="56">
        <f>TEXT(COUNTIF($D$7:D691, D691), "00000") &amp; "-" &amp; VLOOKUP(D691, $J$7:$K$19, 2, FALSE)</f>
        <v/>
      </c>
      <c r="D691" s="56" t="inlineStr">
        <is>
          <t>PLOMERIA</t>
        </is>
      </c>
      <c r="E691" s="56" t="inlineStr">
        <is>
          <t>VALVULA CHECK 1/2 BRONCE</t>
        </is>
      </c>
    </row>
    <row r="692" hidden="1" s="11">
      <c r="C692" s="56">
        <f>TEXT(COUNTIF($D$7:D692, D692), "00000") &amp; "-" &amp; VLOOKUP(D692, $J$7:$K$19, 2, FALSE)</f>
        <v/>
      </c>
      <c r="D692" s="56" t="inlineStr">
        <is>
          <t>ELECTRICIDAD</t>
        </is>
      </c>
      <c r="E692" s="56" t="inlineStr">
        <is>
          <t>CABLE N°18 AZUL (METRO)</t>
        </is>
      </c>
    </row>
    <row r="693" hidden="1" s="11">
      <c r="C693" s="56">
        <f>TEXT(COUNTIF($D$7:D693, D693), "00000") &amp; "-" &amp; VLOOKUP(D693, $J$7:$K$19, 2, FALSE)</f>
        <v/>
      </c>
      <c r="D693" s="56" t="inlineStr">
        <is>
          <t>ELECTRICIDAD</t>
        </is>
      </c>
      <c r="E693" s="56" t="inlineStr">
        <is>
          <t>CABLE N°18 BLANCO (METRO)</t>
        </is>
      </c>
    </row>
    <row r="694" hidden="1" s="11">
      <c r="C694" s="56">
        <f>TEXT(COUNTIF($D$7:D694, D694), "00000") &amp; "-" &amp; VLOOKUP(D694, $J$7:$K$19, 2, FALSE)</f>
        <v/>
      </c>
      <c r="D694" s="56" t="inlineStr">
        <is>
          <t>ELECTRICIDAD</t>
        </is>
      </c>
      <c r="E694" s="56" t="inlineStr">
        <is>
          <t>CABLE N°18 NEGRO (METRO)</t>
        </is>
      </c>
    </row>
    <row r="695" hidden="1" s="11">
      <c r="C695" s="56">
        <f>TEXT(COUNTIF($D$7:D695, D695), "00000") &amp; "-" &amp; VLOOKUP(D695, $J$7:$K$19, 2, FALSE)</f>
        <v/>
      </c>
      <c r="D695" s="56" t="inlineStr">
        <is>
          <t>ELECTRICIDAD</t>
        </is>
      </c>
      <c r="E695" s="56" t="inlineStr">
        <is>
          <t>CABLE N°14 NEGRO (METRO)</t>
        </is>
      </c>
    </row>
    <row r="696" hidden="1" s="11">
      <c r="C696" s="56">
        <f>TEXT(COUNTIF($D$7:D696, D696), "00000") &amp; "-" &amp; VLOOKUP(D696, $J$7:$K$19, 2, FALSE)</f>
        <v/>
      </c>
      <c r="D696" s="56" t="inlineStr">
        <is>
          <t>ELECTRICIDAD</t>
        </is>
      </c>
      <c r="E696" s="56" t="inlineStr">
        <is>
          <t>CABLE N°14 BLANCO (METRO)</t>
        </is>
      </c>
    </row>
    <row r="697" hidden="1" s="11">
      <c r="C697" s="56">
        <f>TEXT(COUNTIF($D$7:D697, D697), "00000") &amp; "-" &amp; VLOOKUP(D697, $J$7:$K$19, 2, FALSE)</f>
        <v/>
      </c>
      <c r="D697" s="56" t="inlineStr">
        <is>
          <t>REFRIGERACION</t>
        </is>
      </c>
      <c r="E697" s="56" t="inlineStr">
        <is>
          <t>TUBO DE COBRE FLEXIBLE 1/2 (METRO)</t>
        </is>
      </c>
    </row>
    <row r="698" hidden="1" s="11">
      <c r="C698" s="56">
        <f>TEXT(COUNTIF($D$7:D698, D698), "00000") &amp; "-" &amp; VLOOKUP(D698, $J$7:$K$19, 2, FALSE)</f>
        <v/>
      </c>
      <c r="D698" s="56" t="inlineStr">
        <is>
          <t>REFRIGERACION</t>
        </is>
      </c>
      <c r="E698" s="56" t="inlineStr">
        <is>
          <t>TUBO DE COBRE FLEXIBLE 7/8 (METRO)</t>
        </is>
      </c>
    </row>
    <row r="699" hidden="1" s="11">
      <c r="C699" s="56">
        <f>TEXT(COUNTIF($D$7:D699, D699), "00000") &amp; "-" &amp; VLOOKUP(D699, $J$7:$K$19, 2, FALSE)</f>
        <v/>
      </c>
      <c r="D699" s="56" t="inlineStr">
        <is>
          <t>REFRIGERACION</t>
        </is>
      </c>
      <c r="E699" s="56" t="inlineStr">
        <is>
          <t>ARMAFLEX 1,1/8 X 3/8</t>
        </is>
      </c>
    </row>
    <row r="700" hidden="1" s="11">
      <c r="C700" s="56">
        <f>TEXT(COUNTIF($D$7:D700, D700), "00000") &amp; "-" &amp; VLOOKUP(D700, $J$7:$K$19, 2, FALSE)</f>
        <v/>
      </c>
      <c r="D700" s="56" t="inlineStr">
        <is>
          <t>REFRIGERACION</t>
        </is>
      </c>
      <c r="E700" s="56" t="inlineStr">
        <is>
          <t>FILTRO SECADOR SOLDABLE 1/2</t>
        </is>
      </c>
    </row>
    <row r="701" hidden="1" s="11">
      <c r="C701" s="56">
        <f>TEXT(COUNTIF($D$7:D701, D701), "00000") &amp; "-" &amp; VLOOKUP(D701, $J$7:$K$19, 2, FALSE)</f>
        <v/>
      </c>
      <c r="D701" s="56" t="inlineStr">
        <is>
          <t>UNIFORME</t>
        </is>
      </c>
      <c r="E701" s="56" t="inlineStr">
        <is>
          <t>CAMISA NEGRA DETAL CABALLERO T/XL</t>
        </is>
      </c>
    </row>
    <row r="702" hidden="1" s="11">
      <c r="C702" s="56">
        <f>TEXT(COUNTIF($D$7:D702, D702), "00000") &amp; "-" &amp; VLOOKUP(D702, $J$7:$K$19, 2, FALSE)</f>
        <v/>
      </c>
      <c r="D702" s="56" t="inlineStr">
        <is>
          <t>ELECTRICIDAD</t>
        </is>
      </c>
      <c r="E702" s="56" t="inlineStr">
        <is>
          <t>TUBO ELECTRICO 3/4 BLANCO 3 METRO</t>
        </is>
      </c>
    </row>
    <row r="703" hidden="1" s="11">
      <c r="C703" s="56">
        <f>TEXT(COUNTIF($D$7:D703, D703), "00000") &amp; "-" &amp; VLOOKUP(D703, $J$7:$K$19, 2, FALSE)</f>
        <v/>
      </c>
      <c r="D703" s="56" t="inlineStr">
        <is>
          <t>ELECTRICIDAD</t>
        </is>
      </c>
      <c r="E703" s="56" t="inlineStr">
        <is>
          <t>TUBERIA CORRUGADA GALVANIZADA 3/4 (METRO)</t>
        </is>
      </c>
    </row>
    <row r="704" hidden="1" s="11">
      <c r="C704" s="56">
        <f>TEXT(COUNTIF($D$7:D704, D704), "00000") &amp; "-" &amp; VLOOKUP(D704, $J$7:$K$19, 2, FALSE)</f>
        <v/>
      </c>
      <c r="D704" s="56" t="inlineStr">
        <is>
          <t>REFRIGERACION</t>
        </is>
      </c>
      <c r="E704" s="56" t="inlineStr">
        <is>
          <t>FILTRO SECADOR SOLDABLE 1/2 EVERWELL</t>
        </is>
      </c>
    </row>
    <row r="705" hidden="1" s="11">
      <c r="C705" s="56">
        <f>TEXT(COUNTIF($D$7:D705, D705), "00000") &amp; "-" &amp; VLOOKUP(D705, $J$7:$K$19, 2, FALSE)</f>
        <v/>
      </c>
      <c r="D705" s="56" t="inlineStr">
        <is>
          <t>FERRETERIA</t>
        </is>
      </c>
      <c r="E705" s="56" t="inlineStr">
        <is>
          <t>RAMPLU NARANJA</t>
        </is>
      </c>
    </row>
    <row r="706" hidden="1" s="11">
      <c r="C706" s="56">
        <f>TEXT(COUNTIF($D$7:D706, D706), "00000") &amp; "-" &amp; VLOOKUP(D706, $J$7:$K$19, 2, FALSE)</f>
        <v/>
      </c>
      <c r="D706" s="56" t="inlineStr">
        <is>
          <t>FERRETERIA</t>
        </is>
      </c>
      <c r="E706" s="56" t="inlineStr">
        <is>
          <t>TRABA ROSCA AZUL</t>
        </is>
      </c>
    </row>
    <row r="707" hidden="1" s="11">
      <c r="C707" s="56">
        <f>TEXT(COUNTIF($D$7:D707, D707), "00000") &amp; "-" &amp; VLOOKUP(D707, $J$7:$K$19, 2, FALSE)</f>
        <v/>
      </c>
      <c r="D707" s="56" t="inlineStr">
        <is>
          <t>HERRERIA</t>
        </is>
      </c>
      <c r="E707" s="56" t="inlineStr">
        <is>
          <t>UNION DRESS GALVANIZADO 3/4</t>
        </is>
      </c>
    </row>
    <row r="708" hidden="1" s="11">
      <c r="C708" s="56">
        <f>TEXT(COUNTIF($D$7:D708, D708), "00000") &amp; "-" &amp; VLOOKUP(D708, $J$7:$K$19, 2, FALSE)</f>
        <v/>
      </c>
      <c r="D708" s="56" t="inlineStr">
        <is>
          <t>FERRETERIA</t>
        </is>
      </c>
      <c r="E708" s="56" t="inlineStr">
        <is>
          <t>TORNILLO A/R PLANA 12 X 11/4</t>
        </is>
      </c>
    </row>
    <row r="709" hidden="1" s="11">
      <c r="C709" s="56">
        <f>TEXT(COUNTIF($D$7:D709, D709), "00000") &amp; "-" &amp; VLOOKUP(D709, $J$7:$K$19, 2, FALSE)</f>
        <v/>
      </c>
      <c r="D709" s="56" t="inlineStr">
        <is>
          <t>HERRERIA</t>
        </is>
      </c>
      <c r="E709" s="56" t="inlineStr">
        <is>
          <t>BISAGRA PARA COCINA HIDRAULICA CON FRENO (PAR)</t>
        </is>
      </c>
    </row>
    <row r="710" hidden="1" s="11">
      <c r="C710" s="56">
        <f>TEXT(COUNTIF($D$7:D710, D710), "00000") &amp; "-" &amp; VLOOKUP(D710, $J$7:$K$19, 2, FALSE)</f>
        <v/>
      </c>
      <c r="D710" s="56" t="inlineStr">
        <is>
          <t>FERRETERIA</t>
        </is>
      </c>
      <c r="E710" s="56" t="inlineStr">
        <is>
          <t>PEGA-MIX TRANSPARENTE 35G</t>
        </is>
      </c>
    </row>
    <row r="711" hidden="1" s="11">
      <c r="C711" s="56">
        <f>TEXT(COUNTIF($D$7:D711, D711), "00000") &amp; "-" &amp; VLOOKUP(D711, $J$7:$K$19, 2, FALSE)</f>
        <v/>
      </c>
      <c r="D711" s="56" t="inlineStr">
        <is>
          <t>ELECTRICIDAD</t>
        </is>
      </c>
      <c r="E711" s="56" t="inlineStr">
        <is>
          <t>RESISTENCIA DE SELLADORA</t>
        </is>
      </c>
    </row>
    <row r="712" hidden="1" s="11">
      <c r="C712" s="56">
        <f>TEXT(COUNTIF($D$7:D712, D712), "00000") &amp; "-" &amp; VLOOKUP(D712, $J$7:$K$19, 2, FALSE)</f>
        <v/>
      </c>
      <c r="D712" s="56" t="inlineStr">
        <is>
          <t>PLOMERIA</t>
        </is>
      </c>
      <c r="E712" s="56" t="inlineStr">
        <is>
          <t>TAPON HEMBRA PVC 3/4</t>
        </is>
      </c>
    </row>
    <row r="713" hidden="1" s="11">
      <c r="C713" s="56">
        <f>TEXT(COUNTIF($D$7:D713, D713), "00000") &amp; "-" &amp; VLOOKUP(D713, $J$7:$K$19, 2, FALSE)</f>
        <v/>
      </c>
      <c r="D713" s="56" t="inlineStr">
        <is>
          <t>PLOMERIA</t>
        </is>
      </c>
      <c r="E713" s="56" t="inlineStr">
        <is>
          <t>UNION UNIVERSAL PVC 3/4</t>
        </is>
      </c>
    </row>
    <row r="714" hidden="1" s="11">
      <c r="C714" s="56">
        <f>TEXT(COUNTIF($D$7:D714, D714), "00000") &amp; "-" &amp; VLOOKUP(D714, $J$7:$K$19, 2, FALSE)</f>
        <v/>
      </c>
      <c r="D714" s="56" t="inlineStr">
        <is>
          <t>PLOMERIA</t>
        </is>
      </c>
      <c r="E714" s="56" t="inlineStr">
        <is>
          <t>TUBO 1/2 PVC (METRO)</t>
        </is>
      </c>
    </row>
    <row r="715" hidden="1" s="11">
      <c r="C715" s="56">
        <f>TEXT(COUNTIF($D$7:D715, D715), "00000") &amp; "-" &amp; VLOOKUP(D715, $J$7:$K$19, 2, FALSE)</f>
        <v/>
      </c>
      <c r="D715" s="56" t="inlineStr">
        <is>
          <t>HERRERIA</t>
        </is>
      </c>
      <c r="E715" s="56" t="inlineStr">
        <is>
          <t>PERFIL UNITRU 3/4</t>
        </is>
      </c>
    </row>
    <row r="716" hidden="1" s="11">
      <c r="C716" s="56">
        <f>TEXT(COUNTIF($D$7:D716, D716), "00000") &amp; "-" &amp; VLOOKUP(D716, $J$7:$K$19, 2, FALSE)</f>
        <v/>
      </c>
      <c r="D716" s="56" t="inlineStr">
        <is>
          <t>HERRERIA</t>
        </is>
      </c>
      <c r="E716" s="56" t="inlineStr">
        <is>
          <t>ABRAZADERA MOROCHA UNITRU 3/4</t>
        </is>
      </c>
    </row>
    <row r="717" hidden="1" s="11">
      <c r="C717" s="56">
        <f>TEXT(COUNTIF($D$7:D717, D717), "00000") &amp; "-" &amp; VLOOKUP(D717, $J$7:$K$19, 2, FALSE)</f>
        <v/>
      </c>
      <c r="D717" s="56" t="inlineStr">
        <is>
          <t>HERRERIA</t>
        </is>
      </c>
      <c r="E717" s="56" t="inlineStr">
        <is>
          <t>ABRAZADERA MOROCHA UNITRU 2"</t>
        </is>
      </c>
    </row>
    <row r="718" hidden="1" s="11">
      <c r="C718" s="56">
        <f>TEXT(COUNTIF($D$7:D718, D718), "00000") &amp; "-" &amp; VLOOKUP(D718, $J$7:$K$19, 2, FALSE)</f>
        <v/>
      </c>
      <c r="D718" s="56" t="inlineStr">
        <is>
          <t>ELECTRICIDAD</t>
        </is>
      </c>
      <c r="E718" s="56" t="inlineStr">
        <is>
          <t>ADAPTADOR TERMINAL GALVANIZADO 1/2</t>
        </is>
      </c>
    </row>
    <row r="719" hidden="1" s="11">
      <c r="C719" s="56">
        <f>TEXT(COUNTIF($D$7:D719, D719), "00000") &amp; "-" &amp; VLOOKUP(D719, $J$7:$K$19, 2, FALSE)</f>
        <v/>
      </c>
      <c r="D719" s="56" t="inlineStr">
        <is>
          <t>ELECTRICIDAD</t>
        </is>
      </c>
      <c r="E719" s="56" t="inlineStr">
        <is>
          <t>ADAPTADOR TERMINAL PLASTICO 1/2</t>
        </is>
      </c>
    </row>
    <row r="720" hidden="1" s="11">
      <c r="C720" s="56">
        <f>TEXT(COUNTIF($D$7:D720, D720), "00000") &amp; "-" &amp; VLOOKUP(D720, $J$7:$K$19, 2, FALSE)</f>
        <v/>
      </c>
      <c r="D720" s="56" t="inlineStr">
        <is>
          <t>ELECTRICIDAD</t>
        </is>
      </c>
      <c r="E720" s="56" t="inlineStr">
        <is>
          <t>ADAPTADOR TERMINAL PLASTICO 3/4</t>
        </is>
      </c>
    </row>
    <row r="721" hidden="1" s="11">
      <c r="C721" s="56">
        <f>TEXT(COUNTIF($D$7:D721, D721), "00000") &amp; "-" &amp; VLOOKUP(D721, $J$7:$K$19, 2, FALSE)</f>
        <v/>
      </c>
      <c r="D721" s="56" t="inlineStr">
        <is>
          <t>ELECTRICIDAD</t>
        </is>
      </c>
      <c r="E721" s="56" t="inlineStr">
        <is>
          <t>BREAKER 60 A. 3 POLOS</t>
        </is>
      </c>
    </row>
    <row r="722" hidden="1" s="11">
      <c r="C722" s="56">
        <f>TEXT(COUNTIF($D$7:D722, D722), "00000") &amp; "-" &amp; VLOOKUP(D722, $J$7:$K$19, 2, FALSE)</f>
        <v/>
      </c>
      <c r="D722" s="56" t="inlineStr">
        <is>
          <t>ILUMINACION</t>
        </is>
      </c>
      <c r="E722" s="56" t="inlineStr">
        <is>
          <t>REFLECTOR LED 300W</t>
        </is>
      </c>
    </row>
    <row r="723" hidden="1" s="11">
      <c r="C723" s="56">
        <f>TEXT(COUNTIF($D$7:D723, D723), "00000") &amp; "-" &amp; VLOOKUP(D723, $J$7:$K$19, 2, FALSE)</f>
        <v/>
      </c>
      <c r="D723" s="56" t="inlineStr">
        <is>
          <t>HERRERIA</t>
        </is>
      </c>
      <c r="E723" s="56" t="inlineStr">
        <is>
          <t>TUBO RECTANGULAR 2 X 1 X 1,10 MM 6 METROS</t>
        </is>
      </c>
    </row>
    <row r="724" hidden="1" s="11">
      <c r="C724" s="56">
        <f>TEXT(COUNTIF($D$7:D724, D724), "00000") &amp; "-" &amp; VLOOKUP(D724, $J$7:$K$19, 2, FALSE)</f>
        <v/>
      </c>
      <c r="D724" s="56" t="inlineStr">
        <is>
          <t>HERRERIA</t>
        </is>
      </c>
      <c r="E724" s="56" t="inlineStr">
        <is>
          <t>TUBO CUADRADO 1 X 1 X 1,1MM 6 METROS</t>
        </is>
      </c>
    </row>
    <row r="725" hidden="1" s="11">
      <c r="C725" s="56">
        <f>TEXT(COUNTIF($D$7:D725, D725), "00000") &amp; "-" &amp; VLOOKUP(D725, $J$7:$K$19, 2, FALSE)</f>
        <v/>
      </c>
      <c r="D725" s="56" t="inlineStr">
        <is>
          <t>HERRERIA</t>
        </is>
      </c>
      <c r="E725" s="56" t="inlineStr">
        <is>
          <t>LAMINA GALVANIZADA 3 MM X 120 X 240</t>
        </is>
      </c>
    </row>
    <row r="726" hidden="1" s="11">
      <c r="C726" s="56">
        <f>TEXT(COUNTIF($D$7:D726, D726), "00000") &amp; "-" &amp; VLOOKUP(D726, $J$7:$K$19, 2, FALSE)</f>
        <v/>
      </c>
      <c r="D726" s="56" t="inlineStr">
        <is>
          <t>HERRERIA</t>
        </is>
      </c>
      <c r="E726" s="56" t="inlineStr">
        <is>
          <t>ANGULO SIDER 40 X 40 X 3 MM X 6 METROS</t>
        </is>
      </c>
    </row>
    <row r="727" hidden="1" s="11">
      <c r="C727" s="56">
        <f>TEXT(COUNTIF($D$7:D727, D727), "00000") &amp; "-" &amp; VLOOKUP(D727, $J$7:$K$19, 2, FALSE)</f>
        <v/>
      </c>
      <c r="D727" s="56" t="inlineStr">
        <is>
          <t>HERRERIA</t>
        </is>
      </c>
      <c r="E727" s="56" t="inlineStr">
        <is>
          <t>ANGULO SIDER 30 X 30 X 3 MM X 6 METROS</t>
        </is>
      </c>
    </row>
    <row r="728" hidden="1" s="11">
      <c r="C728" s="56">
        <f>TEXT(COUNTIF($D$7:D728, D728), "00000") &amp; "-" &amp; VLOOKUP(D728, $J$7:$K$19, 2, FALSE)</f>
        <v/>
      </c>
      <c r="D728" s="56" t="inlineStr">
        <is>
          <t>HERRERIA</t>
        </is>
      </c>
      <c r="E728" s="56" t="inlineStr">
        <is>
          <t>PLETINA 1,1/2" X 3/16" X 6 METROS</t>
        </is>
      </c>
    </row>
    <row r="729" hidden="1" s="11">
      <c r="C729" s="56">
        <f>TEXT(COUNTIF($D$7:D729, D729), "00000") &amp; "-" &amp; VLOOKUP(D729, $J$7:$K$19, 2, FALSE)</f>
        <v/>
      </c>
      <c r="D729" s="56" t="inlineStr">
        <is>
          <t>HERRERIA</t>
        </is>
      </c>
      <c r="E729" s="56" t="inlineStr">
        <is>
          <t>PLETINA 1" X 3/16" X 6 METROS</t>
        </is>
      </c>
    </row>
    <row r="730" hidden="1" s="11">
      <c r="C730" s="56">
        <f>TEXT(COUNTIF($D$7:D730, D730), "00000") &amp; "-" &amp; VLOOKUP(D730, $J$7:$K$19, 2, FALSE)</f>
        <v/>
      </c>
      <c r="D730" s="56" t="inlineStr">
        <is>
          <t>HERRERIA</t>
        </is>
      </c>
      <c r="E730" s="56" t="inlineStr">
        <is>
          <t>ALAMBRON LISO 6 MM X 6 METROS</t>
        </is>
      </c>
    </row>
    <row r="731" hidden="1" s="11">
      <c r="C731" s="56">
        <f>TEXT(COUNTIF($D$7:D731, D731), "00000") &amp; "-" &amp; VLOOKUP(D731, $J$7:$K$19, 2, FALSE)</f>
        <v/>
      </c>
      <c r="D731" s="56" t="inlineStr">
        <is>
          <t>HERRERIA</t>
        </is>
      </c>
      <c r="E731" s="56" t="inlineStr">
        <is>
          <t>BARRA REDONDA LISA 12 MM X 6 METROS</t>
        </is>
      </c>
    </row>
    <row r="732" hidden="1" s="11">
      <c r="C732" s="56">
        <f>TEXT(COUNTIF($D$7:D732, D732), "00000") &amp; "-" &amp; VLOOKUP(D732, $J$7:$K$19, 2, FALSE)</f>
        <v/>
      </c>
      <c r="D732" s="56" t="inlineStr">
        <is>
          <t>HERRERIA</t>
        </is>
      </c>
      <c r="E732" s="56" t="inlineStr">
        <is>
          <t>TUBO CUADRADO 1,1/2 X 1,1/2 X 1,1 MM X 6 METROS</t>
        </is>
      </c>
    </row>
    <row r="733" hidden="1" s="11">
      <c r="C733" s="56">
        <f>TEXT(COUNTIF($D$7:D733, D733), "00000") &amp; "-" &amp; VLOOKUP(D733, $J$7:$K$19, 2, FALSE)</f>
        <v/>
      </c>
      <c r="D733" s="56" t="inlineStr">
        <is>
          <t>HERRERIA</t>
        </is>
      </c>
      <c r="E733" s="56" t="inlineStr">
        <is>
          <t>TUBO RECTANGULAR 3 X 1 X 1,20 MM X 6 METROS</t>
        </is>
      </c>
    </row>
    <row r="734" hidden="1" s="11">
      <c r="C734" s="56">
        <f>TEXT(COUNTIF($D$7:D734, D734), "00000") &amp; "-" &amp; VLOOKUP(D734, $J$7:$K$19, 2, FALSE)</f>
        <v/>
      </c>
      <c r="D734" s="56" t="inlineStr">
        <is>
          <t>HERRERIA</t>
        </is>
      </c>
      <c r="E734" s="56" t="inlineStr">
        <is>
          <t>LAMINA GALVANIZADA 0,9 MM X 120 X 244</t>
        </is>
      </c>
    </row>
    <row r="735" hidden="1" s="11">
      <c r="C735" s="56">
        <f>TEXT(COUNTIF($D$7:D735, D735), "00000") &amp; "-" &amp; VLOOKUP(D735, $J$7:$K$19, 2, FALSE)</f>
        <v/>
      </c>
      <c r="D735" s="56" t="inlineStr">
        <is>
          <t>HERRAMIENTA</t>
        </is>
      </c>
      <c r="E735" s="56" t="inlineStr">
        <is>
          <t>TRASPALETADE 3 T RUEDAS DE NYLON ROCCIA</t>
        </is>
      </c>
    </row>
    <row r="736" hidden="1" s="11">
      <c r="C736" s="56">
        <f>TEXT(COUNTIF($D$7:D736, D736), "00000") &amp; "-" &amp; VLOOKUP(D736, $J$7:$K$19, 2, FALSE)</f>
        <v/>
      </c>
      <c r="D736" s="56" t="inlineStr">
        <is>
          <t>REFRIGERACION</t>
        </is>
      </c>
      <c r="E736" s="56" t="inlineStr">
        <is>
          <t>CONDENSADOR 5 MCF 250V</t>
        </is>
      </c>
    </row>
    <row r="737" hidden="1" s="11">
      <c r="C737" s="56">
        <f>TEXT(COUNTIF($D$7:D737, D737), "00000") &amp; "-" &amp; VLOOKUP(D737, $J$7:$K$19, 2, FALSE)</f>
        <v/>
      </c>
      <c r="D737" s="56" t="inlineStr">
        <is>
          <t>REFRIGERACION</t>
        </is>
      </c>
      <c r="E737" s="56" t="inlineStr">
        <is>
          <t>CONDENSADOR 684 J/ 630 V</t>
        </is>
      </c>
    </row>
    <row r="738" hidden="1" s="11">
      <c r="C738" s="56">
        <f>TEXT(COUNTIF($D$7:D738, D738), "00000") &amp; "-" &amp; VLOOKUP(D738, $J$7:$K$19, 2, FALSE)</f>
        <v/>
      </c>
      <c r="D738" s="56" t="inlineStr">
        <is>
          <t>AUTOMOTRIZ</t>
        </is>
      </c>
      <c r="E738" s="56" t="inlineStr">
        <is>
          <t>CORREA A-51</t>
        </is>
      </c>
    </row>
    <row r="739" hidden="1" s="11">
      <c r="C739" s="56">
        <f>TEXT(COUNTIF($D$7:D739, D739), "00000") &amp; "-" &amp; VLOOKUP(D739, $J$7:$K$19, 2, FALSE)</f>
        <v/>
      </c>
      <c r="D739" s="56" t="inlineStr">
        <is>
          <t>AUTOMOTRIZ</t>
        </is>
      </c>
      <c r="E739" s="56" t="inlineStr">
        <is>
          <t>MANGUERA HIDRAULICA 3/8 (METRO)</t>
        </is>
      </c>
    </row>
    <row r="740" hidden="1" s="11">
      <c r="C740" s="56">
        <f>TEXT(COUNTIF($D$7:D740, D740), "00000") &amp; "-" &amp; VLOOKUP(D740, $J$7:$K$19, 2, FALSE)</f>
        <v/>
      </c>
      <c r="D740" s="56" t="inlineStr">
        <is>
          <t>AUTOMOTRIZ</t>
        </is>
      </c>
      <c r="E740" s="56" t="inlineStr">
        <is>
          <t>MANGUERA HIDRAULICA 1/4 (METRO)</t>
        </is>
      </c>
    </row>
    <row r="741" hidden="1" s="11">
      <c r="C741" s="56">
        <f>TEXT(COUNTIF($D$7:D741, D741), "00000") &amp; "-" &amp; VLOOKUP(D741, $J$7:$K$19, 2, FALSE)</f>
        <v/>
      </c>
      <c r="D741" s="56" t="inlineStr">
        <is>
          <t>ELECTRICIDAD</t>
        </is>
      </c>
      <c r="E741" s="56" t="inlineStr">
        <is>
          <t>BATERIA B 121314L-AZ</t>
        </is>
      </c>
    </row>
    <row r="742" hidden="1" s="11">
      <c r="C742" s="56">
        <f>TEXT(COUNTIF($D$7:D742, D742), "00000") &amp; "-" &amp; VLOOKUP(D742, $J$7:$K$19, 2, FALSE)</f>
        <v/>
      </c>
      <c r="D742" s="56" t="inlineStr">
        <is>
          <t>FERRETERIA</t>
        </is>
      </c>
      <c r="E742" s="56" t="inlineStr">
        <is>
          <t>EXTINTOR PEQUEÑO</t>
        </is>
      </c>
    </row>
    <row r="743" hidden="1" s="11">
      <c r="C743" s="56">
        <f>TEXT(COUNTIF($D$7:D743, D743), "00000") &amp; "-" &amp; VLOOKUP(D743, $J$7:$K$19, 2, FALSE)</f>
        <v/>
      </c>
      <c r="D743" s="56" t="inlineStr">
        <is>
          <t>ELECTRICIDAD</t>
        </is>
      </c>
      <c r="E743" s="56" t="inlineStr">
        <is>
          <t>MANTENIMIENTO DE PLANTA ELECTRICA</t>
        </is>
      </c>
    </row>
    <row r="744" hidden="1" s="11">
      <c r="C744" s="56">
        <f>TEXT(COUNTIF($D$7:D744, D744), "00000") &amp; "-" &amp; VLOOKUP(D744, $J$7:$K$19, 2, FALSE)</f>
        <v/>
      </c>
      <c r="D744" s="56" t="inlineStr">
        <is>
          <t>FERRETERIA</t>
        </is>
      </c>
      <c r="E744" s="56" t="inlineStr">
        <is>
          <t>MANTENIMIENTO DE BARITANTAQUE</t>
        </is>
      </c>
    </row>
    <row r="745" hidden="1" s="11">
      <c r="C745" s="56">
        <f>TEXT(COUNTIF($D$7:D745, D745), "00000") &amp; "-" &amp; VLOOKUP(D745, $J$7:$K$19, 2, FALSE)</f>
        <v/>
      </c>
      <c r="D745" s="56" t="inlineStr">
        <is>
          <t>MISCELANEOS</t>
        </is>
      </c>
      <c r="E745" s="56" t="inlineStr">
        <is>
          <t>ALFOMBRA DE CAUCHO</t>
        </is>
      </c>
    </row>
    <row r="746" hidden="1" s="11">
      <c r="C746" s="56">
        <f>TEXT(COUNTIF($D$7:D746, D746), "00000") &amp; "-" &amp; VLOOKUP(D746, $J$7:$K$19, 2, FALSE)</f>
        <v/>
      </c>
      <c r="D746" s="56" t="inlineStr">
        <is>
          <t>HERRAMIENTA</t>
        </is>
      </c>
      <c r="E746" s="56" t="inlineStr">
        <is>
          <t>ESTAÑO (METRO)</t>
        </is>
      </c>
    </row>
    <row r="747" hidden="1" s="11">
      <c r="C747" s="56">
        <f>TEXT(COUNTIF($D$7:D747, D747), "00000") &amp; "-" &amp; VLOOKUP(D747, $J$7:$K$19, 2, FALSE)</f>
        <v/>
      </c>
      <c r="D747" s="56" t="inlineStr">
        <is>
          <t>ELECTRONICO</t>
        </is>
      </c>
      <c r="E747" s="56" t="inlineStr">
        <is>
          <t>AIRE ACONDICIONADO SPLIT 19000 BTU DEC. MUNDO BLANCO</t>
        </is>
      </c>
    </row>
    <row r="748" hidden="1" s="11">
      <c r="C748" s="56">
        <f>TEXT(COUNTIF($D$7:D748, D748), "00000") &amp; "-" &amp; VLOOKUP(D748, $J$7:$K$19, 2, FALSE)</f>
        <v/>
      </c>
      <c r="D748" s="56" t="inlineStr">
        <is>
          <t>ELECTRONICO</t>
        </is>
      </c>
      <c r="E748" s="56" t="inlineStr">
        <is>
          <t>DISPENSADOR DE AGUA CARGA SUPERIOR NEGRO MILATTI</t>
        </is>
      </c>
    </row>
    <row r="749" hidden="1" s="11">
      <c r="C749" s="56">
        <f>TEXT(COUNTIF($D$7:D749, D749), "00000") &amp; "-" &amp; VLOOKUP(D749, $J$7:$K$19, 2, FALSE)</f>
        <v/>
      </c>
      <c r="D749" s="56" t="inlineStr">
        <is>
          <t>ELECTRONICO</t>
        </is>
      </c>
      <c r="E749" s="56" t="inlineStr">
        <is>
          <t>AIRE ACONDICIONADO VENTANA 13000 BTU ANALG</t>
        </is>
      </c>
    </row>
    <row r="750" hidden="1" s="11">
      <c r="C750" s="56">
        <f>TEXT(COUNTIF($D$7:D750, D750), "00000") &amp; "-" &amp; VLOOKUP(D750, $J$7:$K$19, 2, FALSE)</f>
        <v/>
      </c>
      <c r="D750" s="56" t="inlineStr">
        <is>
          <t>LIMPIEZA</t>
        </is>
      </c>
      <c r="E750" s="56" t="inlineStr">
        <is>
          <t>ESCOBILLONES</t>
        </is>
      </c>
    </row>
    <row r="751">
      <c r="C751" s="56">
        <f>TEXT(COUNTIF($D$7:D751, D751), "00000") &amp; "-" &amp; VLOOKUP(D751, $J$7:$K$19, 2, FALSE)</f>
        <v/>
      </c>
      <c r="D751" s="56" t="inlineStr">
        <is>
          <t>LIMPIEZA</t>
        </is>
      </c>
      <c r="E751" s="56" t="inlineStr">
        <is>
          <t>HARAGAN GRANDE 16"</t>
        </is>
      </c>
    </row>
    <row r="752" hidden="1" s="11">
      <c r="C752" s="56">
        <f>TEXT(COUNTIF($D$7:D752, D752), "00000") &amp; "-" &amp; VLOOKUP(D752, $J$7:$K$19, 2, FALSE)</f>
        <v/>
      </c>
      <c r="D752" s="56" t="inlineStr">
        <is>
          <t>LIMPIEZA</t>
        </is>
      </c>
      <c r="E752" s="56" t="inlineStr">
        <is>
          <t>CEPILLO DE LAVAR A MANO</t>
        </is>
      </c>
    </row>
    <row r="753" hidden="1" s="11">
      <c r="C753" s="56">
        <f>TEXT(COUNTIF($D$7:D753, D753), "00000") &amp; "-" &amp; VLOOKUP(D753, $J$7:$K$19, 2, FALSE)</f>
        <v/>
      </c>
      <c r="D753" s="56" t="inlineStr">
        <is>
          <t>REFRIGERACION</t>
        </is>
      </c>
      <c r="E753" s="56" t="inlineStr">
        <is>
          <t>MOTOR VENTILADOR A/A 1/2 HP 220V</t>
        </is>
      </c>
    </row>
    <row r="754" hidden="1" s="11">
      <c r="C754" s="56">
        <f>TEXT(COUNTIF($D$7:D754, D754), "00000") &amp; "-" &amp; VLOOKUP(D754, $J$7:$K$19, 2, FALSE)</f>
        <v/>
      </c>
      <c r="D754" s="56" t="inlineStr">
        <is>
          <t>ILUMINACION</t>
        </is>
      </c>
      <c r="E754" s="56" t="inlineStr">
        <is>
          <t>TUBO LED T8 120 CM</t>
        </is>
      </c>
    </row>
    <row r="755" hidden="1" s="11">
      <c r="C755" s="56">
        <f>TEXT(COUNTIF($D$7:D755, D755), "00000") &amp; "-" &amp; VLOOKUP(D755, $J$7:$K$19, 2, FALSE)</f>
        <v/>
      </c>
      <c r="D755" s="56" t="inlineStr">
        <is>
          <t>ILUMINACION</t>
        </is>
      </c>
      <c r="E755" s="56" t="inlineStr">
        <is>
          <t>LAMPARA LED ANTIPOLVO 120CM</t>
        </is>
      </c>
    </row>
    <row r="756" hidden="1" s="11">
      <c r="C756" s="56">
        <f>TEXT(COUNTIF($D$7:D756, D756), "00000") &amp; "-" &amp; VLOOKUP(D756, $J$7:$K$19, 2, FALSE)</f>
        <v/>
      </c>
      <c r="D756" s="56" t="inlineStr">
        <is>
          <t>ILUMINACION</t>
        </is>
      </c>
      <c r="E756" s="56" t="inlineStr">
        <is>
          <t>TUBO LED T8 60 CM</t>
        </is>
      </c>
    </row>
    <row r="757" hidden="1" s="11">
      <c r="C757" s="56">
        <f>TEXT(COUNTIF($D$7:D757, D757), "00000") &amp; "-" &amp; VLOOKUP(D757, $J$7:$K$19, 2, FALSE)</f>
        <v/>
      </c>
      <c r="D757" s="56" t="inlineStr">
        <is>
          <t>REFRIGERACION</t>
        </is>
      </c>
      <c r="E757" s="56" t="inlineStr">
        <is>
          <t>BASE PARA A/A 120 KG</t>
        </is>
      </c>
    </row>
    <row r="758" hidden="1" s="11">
      <c r="C758" s="56">
        <f>TEXT(COUNTIF($D$7:D758, D758), "00000") &amp; "-" &amp; VLOOKUP(D758, $J$7:$K$19, 2, FALSE)</f>
        <v/>
      </c>
      <c r="D758" s="56" t="inlineStr">
        <is>
          <t>REFRIGERACION</t>
        </is>
      </c>
      <c r="E758" s="56" t="inlineStr">
        <is>
          <t>BASE PARA A/A 200 KG</t>
        </is>
      </c>
    </row>
    <row r="759" hidden="1" s="11">
      <c r="C759" s="56">
        <f>TEXT(COUNTIF($D$7:D759, D759), "00000") &amp; "-" &amp; VLOOKUP(D759, $J$7:$K$19, 2, FALSE)</f>
        <v/>
      </c>
      <c r="D759" s="56" t="inlineStr">
        <is>
          <t>LIMPIEZA</t>
        </is>
      </c>
      <c r="E759" s="56" t="inlineStr">
        <is>
          <t>PIPOTE GRANDE</t>
        </is>
      </c>
    </row>
    <row r="760" hidden="1" s="11">
      <c r="C760" s="56">
        <f>TEXT(COUNTIF($D$7:D760, D760), "00000") &amp; "-" &amp; VLOOKUP(D760, $J$7:$K$19, 2, FALSE)</f>
        <v/>
      </c>
      <c r="D760" s="56" t="inlineStr">
        <is>
          <t>FERRETERIA</t>
        </is>
      </c>
      <c r="E760" s="56" t="inlineStr">
        <is>
          <t>ARENA LAVADA (SACO)</t>
        </is>
      </c>
    </row>
    <row r="761" hidden="1" s="11">
      <c r="C761" s="56">
        <f>TEXT(COUNTIF($D$7:D761, D761), "00000") &amp; "-" &amp; VLOOKUP(D761, $J$7:$K$19, 2, FALSE)</f>
        <v/>
      </c>
      <c r="D761" s="56" t="inlineStr">
        <is>
          <t>FERRETERIA</t>
        </is>
      </c>
      <c r="E761" s="56" t="inlineStr">
        <is>
          <t>METYLOSA SUPERGEL 50GR</t>
        </is>
      </c>
    </row>
    <row r="762" hidden="1" s="11">
      <c r="C762" s="56">
        <f>TEXT(COUNTIF($D$7:D762, D762), "00000") &amp; "-" &amp; VLOOKUP(D762, $J$7:$K$19, 2, FALSE)</f>
        <v/>
      </c>
      <c r="D762" s="56" t="inlineStr">
        <is>
          <t>FERRETERIA</t>
        </is>
      </c>
      <c r="E762" s="56" t="inlineStr">
        <is>
          <t>MANILLA P/PUERTA FIJA BLANCO</t>
        </is>
      </c>
    </row>
    <row r="763" hidden="1" s="11">
      <c r="C763" s="56">
        <f>TEXT(COUNTIF($D$7:D763, D763), "00000") &amp; "-" &amp; VLOOKUP(D763, $J$7:$K$19, 2, FALSE)</f>
        <v/>
      </c>
      <c r="D763" s="56" t="inlineStr">
        <is>
          <t>FERRETERIA</t>
        </is>
      </c>
      <c r="E763" s="56" t="inlineStr">
        <is>
          <t>TORNILLO A/R PLANA 12 X 1</t>
        </is>
      </c>
    </row>
    <row r="764" hidden="1" s="11">
      <c r="C764" s="56">
        <f>TEXT(COUNTIF($D$7:D764, D764), "00000") &amp; "-" &amp; VLOOKUP(D764, $J$7:$K$19, 2, FALSE)</f>
        <v/>
      </c>
      <c r="D764" s="56" t="inlineStr">
        <is>
          <t>HERRERIA</t>
        </is>
      </c>
      <c r="E764" s="56" t="inlineStr">
        <is>
          <t>UNION UNIVERSAL GALVANIZADO 3/4</t>
        </is>
      </c>
    </row>
    <row r="765" hidden="1" s="11">
      <c r="C765" s="56">
        <f>TEXT(COUNTIF($D$7:D765, D765), "00000") &amp; "-" &amp; VLOOKUP(D765, $J$7:$K$19, 2, FALSE)</f>
        <v/>
      </c>
      <c r="D765" s="56" t="inlineStr">
        <is>
          <t>FERRETERIA</t>
        </is>
      </c>
      <c r="E765" s="56" t="inlineStr">
        <is>
          <t>TORNILLO DRAYWALL 6 X 2,5</t>
        </is>
      </c>
    </row>
    <row r="766" hidden="1" s="11">
      <c r="C766" s="56">
        <f>TEXT(COUNTIF($D$7:D766, D766), "00000") &amp; "-" &amp; VLOOKUP(D766, $J$7:$K$19, 2, FALSE)</f>
        <v/>
      </c>
      <c r="D766" s="56" t="inlineStr">
        <is>
          <t>FERRETERIA</t>
        </is>
      </c>
      <c r="E766" s="56" t="inlineStr">
        <is>
          <t>PASADOR GALVANIZADO 4"</t>
        </is>
      </c>
    </row>
    <row r="767" hidden="1" s="11">
      <c r="C767" s="56">
        <f>TEXT(COUNTIF($D$7:D767, D767), "00000") &amp; "-" &amp; VLOOKUP(D767, $J$7:$K$19, 2, FALSE)</f>
        <v/>
      </c>
      <c r="D767" s="56" t="inlineStr">
        <is>
          <t>HERRERIA</t>
        </is>
      </c>
      <c r="E767" s="56" t="inlineStr">
        <is>
          <t>BROCA PARA METAL 5/32</t>
        </is>
      </c>
    </row>
    <row r="768" hidden="1" s="11">
      <c r="C768" s="56">
        <f>TEXT(COUNTIF($D$7:D768, D768), "00000") &amp; "-" &amp; VLOOKUP(D768, $J$7:$K$19, 2, FALSE)</f>
        <v/>
      </c>
      <c r="D768" s="56" t="inlineStr">
        <is>
          <t>HERRERIA</t>
        </is>
      </c>
      <c r="E768" s="56" t="inlineStr">
        <is>
          <t>REMACHE 5/32</t>
        </is>
      </c>
    </row>
    <row r="769" hidden="1" s="11">
      <c r="C769" s="56">
        <f>TEXT(COUNTIF($D$7:D769, D769), "00000") &amp; "-" &amp; VLOOKUP(D769, $J$7:$K$19, 2, FALSE)</f>
        <v/>
      </c>
      <c r="D769" s="56" t="inlineStr">
        <is>
          <t>HERRERIA</t>
        </is>
      </c>
      <c r="E769" s="56" t="inlineStr">
        <is>
          <t>BISAGRA PARA SOLDAR 4"</t>
        </is>
      </c>
    </row>
    <row r="770" hidden="1" s="11">
      <c r="C770" s="56">
        <f>TEXT(COUNTIF($D$7:D770, D770), "00000") &amp; "-" &amp; VLOOKUP(D770, $J$7:$K$19, 2, FALSE)</f>
        <v/>
      </c>
      <c r="D770" s="56" t="inlineStr">
        <is>
          <t>FERRETERIA</t>
        </is>
      </c>
      <c r="E770" s="56" t="inlineStr">
        <is>
          <t>MECATE #9 5/16 (METRO)</t>
        </is>
      </c>
    </row>
    <row r="771" hidden="1" s="11">
      <c r="C771" s="56">
        <f>TEXT(COUNTIF($D$7:D771, D771), "00000") &amp; "-" &amp; VLOOKUP(D771, $J$7:$K$19, 2, FALSE)</f>
        <v/>
      </c>
      <c r="D771" s="56" t="inlineStr">
        <is>
          <t>ILUMINACION</t>
        </is>
      </c>
      <c r="E771" s="56" t="inlineStr">
        <is>
          <t>TUBO PARA LAMPARA MATA MOSCAS</t>
        </is>
      </c>
    </row>
    <row r="772" hidden="1" s="11">
      <c r="C772" s="56">
        <f>TEXT(COUNTIF($D$7:D772, D772), "00000") &amp; "-" &amp; VLOOKUP(D772, $J$7:$K$19, 2, FALSE)</f>
        <v/>
      </c>
      <c r="D772" s="56" t="inlineStr">
        <is>
          <t>ILUMINACION</t>
        </is>
      </c>
      <c r="E772" s="56" t="inlineStr">
        <is>
          <t>BALASTRO ELECT 1 X 22W SUNLITE</t>
        </is>
      </c>
    </row>
    <row r="773" hidden="1" s="11">
      <c r="C773" s="56">
        <f>TEXT(COUNTIF($D$7:D773, D773), "00000") &amp; "-" &amp; VLOOKUP(D773, $J$7:$K$19, 2, FALSE)</f>
        <v/>
      </c>
      <c r="D773" s="56" t="inlineStr">
        <is>
          <t>PLOMERIA</t>
        </is>
      </c>
      <c r="E773" s="56" t="inlineStr">
        <is>
          <t>ADAPTADOR HEMBRA 2" PVC</t>
        </is>
      </c>
    </row>
    <row r="774" hidden="1" s="11">
      <c r="C774" s="56">
        <f>TEXT(COUNTIF($D$7:D774, D774), "00000") &amp; "-" &amp; VLOOKUP(D774, $J$7:$K$19, 2, FALSE)</f>
        <v/>
      </c>
      <c r="D774" s="56" t="inlineStr">
        <is>
          <t>PLOMERIA</t>
        </is>
      </c>
      <c r="E774" s="56" t="inlineStr">
        <is>
          <t>REDUCCION 2" X 3/4 PVC</t>
        </is>
      </c>
    </row>
    <row r="775" hidden="1" s="11">
      <c r="C775" s="56">
        <f>TEXT(COUNTIF($D$7:D775, D775), "00000") &amp; "-" &amp; VLOOKUP(D775, $J$7:$K$19, 2, FALSE)</f>
        <v/>
      </c>
      <c r="D775" s="56" t="inlineStr">
        <is>
          <t>PLOMERIA</t>
        </is>
      </c>
      <c r="E775" s="56" t="inlineStr">
        <is>
          <t>ADAPTADOR MACHO 3/4 PVC</t>
        </is>
      </c>
    </row>
    <row r="776" hidden="1" s="11">
      <c r="C776" s="56">
        <f>TEXT(COUNTIF($D$7:D776, D776), "00000") &amp; "-" &amp; VLOOKUP(D776, $J$7:$K$19, 2, FALSE)</f>
        <v/>
      </c>
      <c r="D776" s="56" t="inlineStr">
        <is>
          <t>HERRERIA</t>
        </is>
      </c>
      <c r="E776" s="56" t="inlineStr">
        <is>
          <t>BROCA 3/16 METAL</t>
        </is>
      </c>
    </row>
    <row r="777" hidden="1" s="11">
      <c r="C777" s="56">
        <f>TEXT(COUNTIF($D$7:D777, D777), "00000") &amp; "-" &amp; VLOOKUP(D777, $J$7:$K$19, 2, FALSE)</f>
        <v/>
      </c>
      <c r="D777" s="56" t="inlineStr">
        <is>
          <t>FERRETERIA</t>
        </is>
      </c>
      <c r="E777" s="56" t="inlineStr">
        <is>
          <t>TIZA PARA HERRERO</t>
        </is>
      </c>
    </row>
    <row r="778" hidden="1" s="11">
      <c r="C778" s="56">
        <f>TEXT(COUNTIF($D$7:D778, D778), "00000") &amp; "-" &amp; VLOOKUP(D778, $J$7:$K$19, 2, FALSE)</f>
        <v/>
      </c>
      <c r="D778" s="56" t="inlineStr">
        <is>
          <t>FERRETERIA</t>
        </is>
      </c>
      <c r="E778" s="56" t="inlineStr">
        <is>
          <t>BISABRA PARA MADERA 3 X 3</t>
        </is>
      </c>
    </row>
    <row r="779" hidden="1" s="11">
      <c r="C779" s="56">
        <f>TEXT(COUNTIF($D$7:D779, D779), "00000") &amp; "-" &amp; VLOOKUP(D779, $J$7:$K$19, 2, FALSE)</f>
        <v/>
      </c>
      <c r="D779" s="56" t="inlineStr">
        <is>
          <t>FERRETERIA</t>
        </is>
      </c>
      <c r="E779" s="56" t="inlineStr">
        <is>
          <t>LIJA BANDA 4 X 24 G 120</t>
        </is>
      </c>
    </row>
    <row r="780" hidden="1" s="11">
      <c r="C780" s="56">
        <f>TEXT(COUNTIF($D$7:D780, D780), "00000") &amp; "-" &amp; VLOOKUP(D780, $J$7:$K$19, 2, FALSE)</f>
        <v/>
      </c>
      <c r="D780" s="56" t="inlineStr">
        <is>
          <t>FERRETERIA</t>
        </is>
      </c>
      <c r="E780" s="56" t="inlineStr">
        <is>
          <t>BANDEJA PLASTICA PARA RODILLO 9"</t>
        </is>
      </c>
    </row>
    <row r="781" hidden="1" s="11">
      <c r="C781" s="56">
        <f>TEXT(COUNTIF($D$7:D781, D781), "00000") &amp; "-" &amp; VLOOKUP(D781, $J$7:$K$19, 2, FALSE)</f>
        <v/>
      </c>
      <c r="D781" s="56" t="inlineStr">
        <is>
          <t>ELECTRICIDAD</t>
        </is>
      </c>
      <c r="E781" s="56" t="inlineStr">
        <is>
          <t>POTENCIOMETRO 50K</t>
        </is>
      </c>
    </row>
    <row r="782" hidden="1" s="11">
      <c r="C782" s="56">
        <f>TEXT(COUNTIF($D$7:D782, D782), "00000") &amp; "-" &amp; VLOOKUP(D782, $J$7:$K$19, 2, FALSE)</f>
        <v/>
      </c>
      <c r="D782" s="56" t="inlineStr">
        <is>
          <t>ELECTRICIDAD</t>
        </is>
      </c>
      <c r="E782" s="56" t="inlineStr">
        <is>
          <t>PERILLA DE SELLADORA</t>
        </is>
      </c>
    </row>
    <row r="783" hidden="1" s="11">
      <c r="C783" s="56">
        <f>TEXT(COUNTIF($D$7:D783, D783), "00000") &amp; "-" &amp; VLOOKUP(D783, $J$7:$K$19, 2, FALSE)</f>
        <v/>
      </c>
      <c r="D783" s="56" t="inlineStr">
        <is>
          <t>PLOMERIA</t>
        </is>
      </c>
      <c r="E783" s="56" t="inlineStr">
        <is>
          <t>FLOTANTE 3/4 BRONCE C/ BOLLA</t>
        </is>
      </c>
    </row>
    <row r="784" hidden="1" s="11">
      <c r="C784" s="56">
        <f>TEXT(COUNTIF($D$7:D784, D784), "00000") &amp; "-" &amp; VLOOKUP(D784, $J$7:$K$19, 2, FALSE)</f>
        <v/>
      </c>
      <c r="D784" s="56" t="inlineStr">
        <is>
          <t>ELECTRICIDAD</t>
        </is>
      </c>
      <c r="E784" s="56" t="inlineStr">
        <is>
          <t>CABLE N°12 BLANCO (METRO)</t>
        </is>
      </c>
    </row>
    <row r="785" hidden="1" s="11">
      <c r="C785" s="56">
        <f>TEXT(COUNTIF($D$7:D785, D785), "00000") &amp; "-" &amp; VLOOKUP(D785, $J$7:$K$19, 2, FALSE)</f>
        <v/>
      </c>
      <c r="D785" s="56" t="inlineStr">
        <is>
          <t>ELECTRICIDAD</t>
        </is>
      </c>
      <c r="E785" s="56" t="inlineStr">
        <is>
          <t>CABLE N°12 VERDE (METRO)</t>
        </is>
      </c>
    </row>
    <row r="786" hidden="1" s="11">
      <c r="C786" s="56">
        <f>TEXT(COUNTIF($D$7:D786, D786), "00000") &amp; "-" &amp; VLOOKUP(D786, $J$7:$K$19, 2, FALSE)</f>
        <v/>
      </c>
      <c r="D786" s="56" t="inlineStr">
        <is>
          <t>ILUMINACION</t>
        </is>
      </c>
      <c r="E786" s="56" t="inlineStr">
        <is>
          <t>PANEL LED CUADRADO SUPERFICIAL BORDE INF. 48W</t>
        </is>
      </c>
    </row>
    <row r="787" hidden="1" s="11">
      <c r="C787" s="56">
        <f>TEXT(COUNTIF($D$7:D787, D787), "00000") &amp; "-" &amp; VLOOKUP(D787, $J$7:$K$19, 2, FALSE)</f>
        <v/>
      </c>
      <c r="D787" s="56" t="inlineStr">
        <is>
          <t>ILUMINACION</t>
        </is>
      </c>
      <c r="E787" s="56" t="inlineStr">
        <is>
          <t>REFLECTOR LED 2000W CONICO</t>
        </is>
      </c>
    </row>
    <row r="788" hidden="1" s="11">
      <c r="C788" s="56">
        <f>TEXT(COUNTIF($D$7:D788, D788), "00000") &amp; "-" &amp; VLOOKUP(D788, $J$7:$K$19, 2, FALSE)</f>
        <v/>
      </c>
      <c r="D788" s="56" t="inlineStr">
        <is>
          <t>REFRIGERACION</t>
        </is>
      </c>
      <c r="E788" s="56" t="inlineStr">
        <is>
          <t>CONDENSADOR A/A 45+5MFD 450V</t>
        </is>
      </c>
    </row>
    <row r="789" hidden="1" s="11">
      <c r="C789" s="56">
        <f>TEXT(COUNTIF($D$7:D789, D789), "00000") &amp; "-" &amp; VLOOKUP(D789, $J$7:$K$19, 2, FALSE)</f>
        <v/>
      </c>
      <c r="D789" s="56" t="inlineStr">
        <is>
          <t>REFRIGERACION</t>
        </is>
      </c>
      <c r="E789" s="56" t="inlineStr">
        <is>
          <t>BOMBONA REFRIGERANTE R404</t>
        </is>
      </c>
    </row>
    <row r="790" hidden="1" s="11">
      <c r="C790" s="56">
        <f>TEXT(COUNTIF($D$7:D790, D790), "00000") &amp; "-" &amp; VLOOKUP(D790, $J$7:$K$19, 2, FALSE)</f>
        <v/>
      </c>
      <c r="D790" s="56" t="inlineStr">
        <is>
          <t>REFRIGERACION</t>
        </is>
      </c>
      <c r="E790" s="56" t="inlineStr">
        <is>
          <t>BOMBONA REFRIGERANTE R410</t>
        </is>
      </c>
    </row>
    <row r="791" hidden="1" s="11">
      <c r="C791" s="56">
        <f>TEXT(COUNTIF($D$7:D791, D791), "00000") &amp; "-" &amp; VLOOKUP(D791, $J$7:$K$19, 2, FALSE)</f>
        <v/>
      </c>
      <c r="D791" s="56" t="inlineStr">
        <is>
          <t>ILUMINACION</t>
        </is>
      </c>
      <c r="E791" s="56" t="inlineStr">
        <is>
          <t>PANEL LED REDONDO SUPERFICIAL 24W</t>
        </is>
      </c>
    </row>
    <row r="792" hidden="1" s="11">
      <c r="C792" s="56">
        <f>TEXT(COUNTIF($D$7:D792, D792), "00000") &amp; "-" &amp; VLOOKUP(D792, $J$7:$K$19, 2, FALSE)</f>
        <v/>
      </c>
      <c r="D792" s="56" t="inlineStr">
        <is>
          <t>LIMPIEZA</t>
        </is>
      </c>
      <c r="E792" s="56" t="inlineStr">
        <is>
          <t>CLORO (LITRO)</t>
        </is>
      </c>
    </row>
    <row r="793" hidden="1" s="11">
      <c r="C793" s="56">
        <f>TEXT(COUNTIF($D$7:D793, D793), "00000") &amp; "-" &amp; VLOOKUP(D793, $J$7:$K$19, 2, FALSE)</f>
        <v/>
      </c>
      <c r="D793" s="56" t="inlineStr">
        <is>
          <t>LIMPIEZA</t>
        </is>
      </c>
      <c r="E793" s="56" t="inlineStr">
        <is>
          <t>DESINFECTANTE  (LITRO)</t>
        </is>
      </c>
    </row>
    <row r="794" hidden="1" s="11">
      <c r="C794" s="56">
        <f>TEXT(COUNTIF($D$7:D794, D794), "00000") &amp; "-" &amp; VLOOKUP(D794, $J$7:$K$19, 2, FALSE)</f>
        <v/>
      </c>
      <c r="D794" s="56" t="inlineStr">
        <is>
          <t>LIMPIEZA</t>
        </is>
      </c>
      <c r="E794" s="56" t="inlineStr">
        <is>
          <t>DETERGENTE LIQUIDO (LITRO)</t>
        </is>
      </c>
    </row>
    <row r="795" hidden="1" s="11">
      <c r="C795" s="56">
        <f>TEXT(COUNTIF($D$7:D795, D795), "00000") &amp; "-" &amp; VLOOKUP(D795, $J$7:$K$19, 2, FALSE)</f>
        <v/>
      </c>
      <c r="D795" s="56" t="inlineStr">
        <is>
          <t>ELECTRICIDAD</t>
        </is>
      </c>
      <c r="E795" s="56" t="inlineStr">
        <is>
          <t>ENCHUNFE AMARILLO 20A</t>
        </is>
      </c>
    </row>
    <row r="796" hidden="1" s="11">
      <c r="C796" s="56">
        <f>TEXT(COUNTIF($D$7:D796, D796), "00000") &amp; "-" &amp; VLOOKUP(D796, $J$7:$K$19, 2, FALSE)</f>
        <v/>
      </c>
      <c r="D796" s="56" t="inlineStr">
        <is>
          <t>PLOMERIA</t>
        </is>
      </c>
      <c r="E796" s="56" t="inlineStr">
        <is>
          <t>ADAPTADOR HEMBRA 2"</t>
        </is>
      </c>
    </row>
    <row r="797" hidden="1" s="11">
      <c r="C797" s="56">
        <f>TEXT(COUNTIF($D$7:D797, D797), "00000") &amp; "-" &amp; VLOOKUP(D797, $J$7:$K$19, 2, FALSE)</f>
        <v/>
      </c>
      <c r="D797" s="56" t="inlineStr">
        <is>
          <t>PLOMERIA</t>
        </is>
      </c>
      <c r="E797" s="56" t="inlineStr">
        <is>
          <t>ADAPTADOR HEMBRA 3/4 PVC</t>
        </is>
      </c>
    </row>
    <row r="798" hidden="1" s="11">
      <c r="C798" s="56">
        <f>TEXT(COUNTIF($D$7:D798, D798), "00000") &amp; "-" &amp; VLOOKUP(D798, $J$7:$K$19, 2, FALSE)</f>
        <v/>
      </c>
      <c r="D798" s="56" t="inlineStr">
        <is>
          <t>HERRERIA</t>
        </is>
      </c>
      <c r="E798" s="56" t="inlineStr">
        <is>
          <t>NIPLE GALVANIZADO 3/4 X 2,5"</t>
        </is>
      </c>
    </row>
    <row r="799" hidden="1" s="11">
      <c r="C799" s="56">
        <f>TEXT(COUNTIF($D$7:D799, D799), "00000") &amp; "-" &amp; VLOOKUP(D799, $J$7:$K$19, 2, FALSE)</f>
        <v/>
      </c>
      <c r="D799" s="56" t="inlineStr">
        <is>
          <t>ELECTRICIDAD</t>
        </is>
      </c>
      <c r="E799" s="56" t="inlineStr">
        <is>
          <t>SOCATE PVC BLANCO 4"</t>
        </is>
      </c>
    </row>
    <row r="800" hidden="1" s="11">
      <c r="C800" s="56">
        <f>TEXT(COUNTIF($D$7:D800, D800), "00000") &amp; "-" &amp; VLOOKUP(D800, $J$7:$K$19, 2, FALSE)</f>
        <v/>
      </c>
      <c r="D800" s="56" t="inlineStr">
        <is>
          <t>FERRETERIA</t>
        </is>
      </c>
      <c r="E800" s="56" t="inlineStr">
        <is>
          <t>MANILLA P/PUERTA 96MM</t>
        </is>
      </c>
    </row>
    <row r="801" hidden="1" s="11">
      <c r="C801" s="56">
        <f>TEXT(COUNTIF($D$7:D801, D801), "00000") &amp; "-" &amp; VLOOKUP(D801, $J$7:$K$19, 2, FALSE)</f>
        <v/>
      </c>
      <c r="D801" s="56" t="inlineStr">
        <is>
          <t>FERRETERIA</t>
        </is>
      </c>
      <c r="E801" s="56" t="inlineStr">
        <is>
          <t>SILICON GRIS 99G</t>
        </is>
      </c>
    </row>
    <row r="802" hidden="1" s="11">
      <c r="C802" s="56">
        <f>TEXT(COUNTIF($D$7:D802, D802), "00000") &amp; "-" &amp; VLOOKUP(D802, $J$7:$K$19, 2, FALSE)</f>
        <v/>
      </c>
      <c r="D802" s="56" t="inlineStr">
        <is>
          <t>FERRETERIA</t>
        </is>
      </c>
      <c r="E802" s="56" t="inlineStr">
        <is>
          <t>RUEDA NEUMATICA 10" C/RIN DE METAL</t>
        </is>
      </c>
    </row>
    <row r="803" hidden="1" s="11">
      <c r="C803" s="56">
        <f>TEXT(COUNTIF($D$7:D803, D803), "00000") &amp; "-" &amp; VLOOKUP(D803, $J$7:$K$19, 2, FALSE)</f>
        <v/>
      </c>
      <c r="D803" s="56" t="inlineStr">
        <is>
          <t>FERRETERIA</t>
        </is>
      </c>
      <c r="E803" s="56" t="inlineStr">
        <is>
          <t>SOPORTE JUNIOR GIRATORIO 10" PARA RUEDA NEUM</t>
        </is>
      </c>
    </row>
    <row r="804" hidden="1" s="11">
      <c r="C804" s="56">
        <f>TEXT(COUNTIF($D$7:D804, D804), "00000") &amp; "-" &amp; VLOOKUP(D804, $J$7:$K$19, 2, FALSE)</f>
        <v/>
      </c>
      <c r="D804" s="56" t="inlineStr">
        <is>
          <t>FERRETERIA</t>
        </is>
      </c>
      <c r="E804" s="56" t="inlineStr">
        <is>
          <t>SOPORTE FIJO JUNIOR 250 PARA RUEDA NEUMATICA</t>
        </is>
      </c>
    </row>
    <row r="805" hidden="1" s="11">
      <c r="C805" s="56">
        <f>TEXT(COUNTIF($D$7:D805, D805), "00000") &amp; "-" &amp; VLOOKUP(D805, $J$7:$K$19, 2, FALSE)</f>
        <v/>
      </c>
      <c r="D805" s="56" t="inlineStr">
        <is>
          <t>ILUMINACION</t>
        </is>
      </c>
      <c r="E805" s="56" t="inlineStr">
        <is>
          <t>LAMPARA 20W MATA MOSCA ZANCUDO E INSECTOS</t>
        </is>
      </c>
    </row>
    <row r="806" hidden="1" s="11">
      <c r="C806" s="56">
        <f>TEXT(COUNTIF($D$7:D806, D806), "00000") &amp; "-" &amp; VLOOKUP(D806, $J$7:$K$19, 2, FALSE)</f>
        <v/>
      </c>
      <c r="D806" s="56" t="inlineStr">
        <is>
          <t>REFRIGERACION</t>
        </is>
      </c>
      <c r="E806" s="56" t="inlineStr">
        <is>
          <t>COMPRESOR SELLADO 1HP R-404-R22 220V CUBIGEL</t>
        </is>
      </c>
    </row>
    <row r="807" hidden="1" s="11">
      <c r="C807" s="56">
        <f>TEXT(COUNTIF($D$7:D807, D807), "00000") &amp; "-" &amp; VLOOKUP(D807, $J$7:$K$19, 2, FALSE)</f>
        <v/>
      </c>
      <c r="D807" s="56" t="inlineStr">
        <is>
          <t>FERRETERIA</t>
        </is>
      </c>
      <c r="E807" s="56" t="inlineStr">
        <is>
          <t>GALON PINTURA ESMALTE ALUMINIO</t>
        </is>
      </c>
    </row>
    <row r="808" hidden="1" s="11">
      <c r="C808" s="56">
        <f>TEXT(COUNTIF($D$7:D808, D808), "00000") &amp; "-" &amp; VLOOKUP(D808, $J$7:$K$19, 2, FALSE)</f>
        <v/>
      </c>
      <c r="D808" s="56" t="inlineStr">
        <is>
          <t>ELECTRICIDAD</t>
        </is>
      </c>
      <c r="E808" s="56" t="inlineStr">
        <is>
          <t>TAPA CIEGA PVC 4 X 4</t>
        </is>
      </c>
    </row>
    <row r="809" hidden="1" s="11">
      <c r="C809" s="56">
        <f>TEXT(COUNTIF($D$7:D809, D809), "00000") &amp; "-" &amp; VLOOKUP(D809, $J$7:$K$19, 2, FALSE)</f>
        <v/>
      </c>
      <c r="D809" s="56" t="inlineStr">
        <is>
          <t>ELECTRICIDAD</t>
        </is>
      </c>
      <c r="E809" s="56" t="inlineStr">
        <is>
          <t>CONECTOR LINEAL 500 AT</t>
        </is>
      </c>
    </row>
    <row r="810" hidden="1" s="11">
      <c r="C810" s="56">
        <f>TEXT(COUNTIF($D$7:D810, D810), "00000") &amp; "-" &amp; VLOOKUP(D810, $J$7:$K$19, 2, FALSE)</f>
        <v/>
      </c>
      <c r="D810" s="56" t="inlineStr">
        <is>
          <t>ELECTRICIDAD</t>
        </is>
      </c>
      <c r="E810" s="56" t="inlineStr">
        <is>
          <t>TEIPE GOMA NEGRO</t>
        </is>
      </c>
    </row>
    <row r="811" hidden="1" s="11">
      <c r="C811" s="56">
        <f>TEXT(COUNTIF($D$7:D811, D811), "00000") &amp; "-" &amp; VLOOKUP(D811, $J$7:$K$19, 2, FALSE)</f>
        <v/>
      </c>
      <c r="D811" s="56" t="inlineStr">
        <is>
          <t>ELECTRICIDAD</t>
        </is>
      </c>
      <c r="E811" s="56" t="inlineStr">
        <is>
          <t>TAPA CIEGA PVC OCTAGONAL</t>
        </is>
      </c>
    </row>
    <row r="812" hidden="1" s="11">
      <c r="C812" s="56">
        <f>TEXT(COUNTIF($D$7:D812, D812), "00000") &amp; "-" &amp; VLOOKUP(D812, $J$7:$K$19, 2, FALSE)</f>
        <v/>
      </c>
      <c r="D812" s="56" t="inlineStr">
        <is>
          <t>FERRETERIA</t>
        </is>
      </c>
      <c r="E812" s="56" t="inlineStr">
        <is>
          <t>RUEDA SUELTAB APH 7"</t>
        </is>
      </c>
    </row>
    <row r="813" hidden="1" s="11">
      <c r="C813" s="56">
        <f>TEXT(COUNTIF($D$7:D813, D813), "00000") &amp; "-" &amp; VLOOKUP(D813, $J$7:$K$19, 2, FALSE)</f>
        <v/>
      </c>
      <c r="D813" s="56" t="inlineStr">
        <is>
          <t>FERRETERIA</t>
        </is>
      </c>
      <c r="E813" s="56" t="inlineStr">
        <is>
          <t>MACHIMBRADO PINO CALIDAD UNICA (METRO CUADRADO)</t>
        </is>
      </c>
    </row>
    <row r="814" hidden="1" s="11">
      <c r="C814" s="56">
        <f>TEXT(COUNTIF($D$7:D814, D814), "00000") &amp; "-" &amp; VLOOKUP(D814, $J$7:$K$19, 2, FALSE)</f>
        <v/>
      </c>
      <c r="D814" s="56" t="inlineStr">
        <is>
          <t>FERRETERIA</t>
        </is>
      </c>
      <c r="E814" s="56" t="inlineStr">
        <is>
          <t>TABLA 2,5 X 20 X 366CM</t>
        </is>
      </c>
    </row>
    <row r="815" hidden="1" s="11">
      <c r="C815" s="56">
        <f>TEXT(COUNTIF($D$7:D815, D815), "00000") &amp; "-" &amp; VLOOKUP(D815, $J$7:$K$19, 2, FALSE)</f>
        <v/>
      </c>
      <c r="D815" s="56" t="inlineStr">
        <is>
          <t>FERRETERIA</t>
        </is>
      </c>
      <c r="E815" s="56" t="inlineStr">
        <is>
          <t>TABLA 2,5 X 25 X 366CM</t>
        </is>
      </c>
    </row>
    <row r="816" hidden="1" s="11">
      <c r="C816" s="56">
        <f>TEXT(COUNTIF($D$7:D816, D816), "00000") &amp; "-" &amp; VLOOKUP(D816, $J$7:$K$19, 2, FALSE)</f>
        <v/>
      </c>
      <c r="D816" s="56" t="inlineStr">
        <is>
          <t>FERRETERIA</t>
        </is>
      </c>
      <c r="E816" s="56" t="inlineStr">
        <is>
          <t>S4S TECA Y TROPICAL (METRO CUADRADO)</t>
        </is>
      </c>
    </row>
    <row r="817" hidden="1" s="11">
      <c r="C817" s="56">
        <f>TEXT(COUNTIF($D$7:D817, D817), "00000") &amp; "-" &amp; VLOOKUP(D817, $J$7:$K$19, 2, FALSE)</f>
        <v/>
      </c>
      <c r="D817" s="56" t="inlineStr">
        <is>
          <t>FERRETERIA</t>
        </is>
      </c>
      <c r="E817" s="56" t="inlineStr">
        <is>
          <t>LISTON DE MADERA 4 X 4</t>
        </is>
      </c>
    </row>
    <row r="818" hidden="1" s="11">
      <c r="C818" s="56">
        <f>TEXT(COUNTIF($D$7:D818, D818), "00000") &amp; "-" &amp; VLOOKUP(D818, $J$7:$K$19, 2, FALSE)</f>
        <v/>
      </c>
      <c r="D818" s="56" t="inlineStr">
        <is>
          <t>FERRETERIA</t>
        </is>
      </c>
      <c r="E818" s="56" t="inlineStr">
        <is>
          <t>EMBUDO PLASTICO GRANDE</t>
        </is>
      </c>
    </row>
    <row r="819" hidden="1" s="11">
      <c r="C819" s="56">
        <f>TEXT(COUNTIF($D$7:D819, D819), "00000") &amp; "-" &amp; VLOOKUP(D819, $J$7:$K$19, 2, FALSE)</f>
        <v/>
      </c>
      <c r="D819" s="56" t="inlineStr">
        <is>
          <t>HERRERIA</t>
        </is>
      </c>
      <c r="E819" s="56" t="inlineStr">
        <is>
          <t>PASADOR P/ SOLDAR P/CANDADO 5/8</t>
        </is>
      </c>
    </row>
    <row r="820" hidden="1" s="11">
      <c r="C820" s="56">
        <f>TEXT(COUNTIF($D$7:D820, D820), "00000") &amp; "-" &amp; VLOOKUP(D820, $J$7:$K$19, 2, FALSE)</f>
        <v/>
      </c>
      <c r="D820" s="56" t="inlineStr">
        <is>
          <t>HERRAMIENTA</t>
        </is>
      </c>
      <c r="E820" s="56" t="inlineStr">
        <is>
          <t>PISTOLA P/ PINTAR 600CC/ 2 BASE IMP</t>
        </is>
      </c>
    </row>
    <row r="821" hidden="1" s="11">
      <c r="C821" s="56">
        <f>TEXT(COUNTIF($D$7:D821, D821), "00000") &amp; "-" &amp; VLOOKUP(D821, $J$7:$K$19, 2, FALSE)</f>
        <v/>
      </c>
      <c r="D821" s="56" t="inlineStr">
        <is>
          <t>ELECTRICIDAD</t>
        </is>
      </c>
      <c r="E821" s="56" t="inlineStr">
        <is>
          <t>INTERRUPTOR DOBLE BLANCO</t>
        </is>
      </c>
    </row>
    <row r="822" hidden="1" s="11">
      <c r="C822" s="56">
        <f>TEXT(COUNTIF($D$7:D822, D822), "00000") &amp; "-" &amp; VLOOKUP(D822, $J$7:$K$19, 2, FALSE)</f>
        <v/>
      </c>
      <c r="D822" s="56" t="inlineStr">
        <is>
          <t>LIMPIEZA</t>
        </is>
      </c>
      <c r="E822" s="56" t="inlineStr">
        <is>
          <t>PAPELERA PUSH</t>
        </is>
      </c>
    </row>
    <row r="823" hidden="1" s="11">
      <c r="C823" s="56">
        <f>TEXT(COUNTIF($D$7:D823, D823), "00000") &amp; "-" &amp; VLOOKUP(D823, $J$7:$K$19, 2, FALSE)</f>
        <v/>
      </c>
      <c r="D823" s="56" t="inlineStr">
        <is>
          <t>ILUMINACION</t>
        </is>
      </c>
      <c r="E823" s="56" t="inlineStr">
        <is>
          <t>SOCATE DE GOMA</t>
        </is>
      </c>
    </row>
    <row r="824" hidden="1" s="11">
      <c r="C824" s="56">
        <f>TEXT(COUNTIF($D$7:D824, D824), "00000") &amp; "-" &amp; VLOOKUP(D824, $J$7:$K$19, 2, FALSE)</f>
        <v/>
      </c>
      <c r="D824" s="56" t="inlineStr">
        <is>
          <t>REFRIGERACION</t>
        </is>
      </c>
      <c r="E824" s="56" t="inlineStr">
        <is>
          <t>COMPRESOR GMCC 1HP-R134-A 110V</t>
        </is>
      </c>
    </row>
    <row r="825" hidden="1" s="11">
      <c r="C825" s="56">
        <f>TEXT(COUNTIF($D$7:D825, D825), "00000") &amp; "-" &amp; VLOOKUP(D825, $J$7:$K$19, 2, FALSE)</f>
        <v/>
      </c>
      <c r="D825" s="56" t="inlineStr">
        <is>
          <t>REFRIGERACION</t>
        </is>
      </c>
      <c r="E825" s="56" t="inlineStr">
        <is>
          <t>FILTRO SECADOR 25G 1/4-1/3 GRANDE</t>
        </is>
      </c>
    </row>
    <row r="826" hidden="1" s="11">
      <c r="C826" s="56">
        <f>TEXT(COUNTIF($D$7:D826, D826), "00000") &amp; "-" &amp; VLOOKUP(D826, $J$7:$K$19, 2, FALSE)</f>
        <v/>
      </c>
      <c r="D826" s="56" t="inlineStr">
        <is>
          <t>HERRAMIENTA</t>
        </is>
      </c>
      <c r="E826" s="56" t="inlineStr">
        <is>
          <t>MANOMETRO COMPLETO CON BOLSO</t>
        </is>
      </c>
    </row>
    <row r="827" hidden="1" s="11">
      <c r="C827" s="56">
        <f>TEXT(COUNTIF($D$7:D827, D827), "00000") &amp; "-" &amp; VLOOKUP(D827, $J$7:$K$19, 2, FALSE)</f>
        <v/>
      </c>
      <c r="D827" s="56" t="inlineStr">
        <is>
          <t>HERRAMIENTA</t>
        </is>
      </c>
      <c r="E827" s="56" t="inlineStr">
        <is>
          <t xml:space="preserve">PICO 360 PARA HIDRO JET </t>
        </is>
      </c>
    </row>
    <row r="828" hidden="1" s="11">
      <c r="C828" s="56">
        <f>TEXT(COUNTIF($D$7:D828, D828), "00000") &amp; "-" &amp; VLOOKUP(D828, $J$7:$K$19, 2, FALSE)</f>
        <v/>
      </c>
      <c r="D828" s="56" t="inlineStr">
        <is>
          <t>REFRIGERACION</t>
        </is>
      </c>
      <c r="E828" s="56" t="inlineStr">
        <is>
          <t>FILTRO SECADOR SOLDABLE 3/8</t>
        </is>
      </c>
    </row>
    <row r="829" hidden="1" s="11">
      <c r="C829" s="56">
        <f>TEXT(COUNTIF($D$7:D829, D829), "00000") &amp; "-" &amp; VLOOKUP(D829, $J$7:$K$19, 2, FALSE)</f>
        <v/>
      </c>
      <c r="D829" s="56" t="inlineStr">
        <is>
          <t>REFRIGERACION</t>
        </is>
      </c>
      <c r="E829" s="56" t="inlineStr">
        <is>
          <t>PROGRAMADOR DE HORARIO DIARIO SEMANAL 110-220</t>
        </is>
      </c>
    </row>
    <row r="830" hidden="1" s="11">
      <c r="C830" s="56">
        <f>TEXT(COUNTIF($D$7:D830, D830), "00000") &amp; "-" &amp; VLOOKUP(D830, $J$7:$K$19, 2, FALSE)</f>
        <v/>
      </c>
      <c r="D830" s="56" t="inlineStr">
        <is>
          <t>AUTOMOTRIZ</t>
        </is>
      </c>
      <c r="E830" s="56" t="inlineStr">
        <is>
          <t>MANGUERA ACEITE/GAS 3/4</t>
        </is>
      </c>
    </row>
    <row r="831" hidden="1" s="11">
      <c r="C831" s="56">
        <f>TEXT(COUNTIF($D$7:D831, D831), "00000") &amp; "-" &amp; VLOOKUP(D831, $J$7:$K$19, 2, FALSE)</f>
        <v/>
      </c>
      <c r="D831" s="56" t="inlineStr">
        <is>
          <t>FERRETERIA</t>
        </is>
      </c>
      <c r="E831" s="56" t="inlineStr">
        <is>
          <t>ABRAZADERA DE ACERO 14-27 MM</t>
        </is>
      </c>
    </row>
    <row r="832" hidden="1" s="11">
      <c r="C832" s="56">
        <f>TEXT(COUNTIF($D$7:D832, D832), "00000") &amp; "-" &amp; VLOOKUP(D832, $J$7:$K$19, 2, FALSE)</f>
        <v/>
      </c>
      <c r="D832" s="56" t="inlineStr">
        <is>
          <t>HERRAMIENTA</t>
        </is>
      </c>
      <c r="E832" s="56" t="inlineStr">
        <is>
          <t>FUNDA PARA MANTENIMIENTO DE A/A PEQUEÑA</t>
        </is>
      </c>
    </row>
    <row r="833" hidden="1" s="11">
      <c r="C833" s="56">
        <f>TEXT(COUNTIF($D$7:D833, D833), "00000") &amp; "-" &amp; VLOOKUP(D833, $J$7:$K$19, 2, FALSE)</f>
        <v/>
      </c>
      <c r="D833" s="56" t="inlineStr">
        <is>
          <t>PLOMERIA</t>
        </is>
      </c>
      <c r="E833" s="56" t="inlineStr">
        <is>
          <t>FREGADERO1 CESTA EN ACERO 304</t>
        </is>
      </c>
    </row>
    <row r="834" hidden="1" s="11">
      <c r="C834" s="56">
        <f>TEXT(COUNTIF($D$7:D834, D834), "00000") &amp; "-" &amp; VLOOKUP(D834, $J$7:$K$19, 2, FALSE)</f>
        <v/>
      </c>
      <c r="D834" s="56" t="inlineStr">
        <is>
          <t>HERRAMIENTA</t>
        </is>
      </c>
      <c r="E834" s="56" t="inlineStr">
        <is>
          <t>MANGUERA DE JARDIN 1/2 (METRO)</t>
        </is>
      </c>
    </row>
    <row r="835" hidden="1" s="11">
      <c r="C835" s="56">
        <f>TEXT(COUNTIF($D$7:D835, D835), "00000") &amp; "-" &amp; VLOOKUP(D835, $J$7:$K$19, 2, FALSE)</f>
        <v/>
      </c>
      <c r="D835" s="56" t="inlineStr">
        <is>
          <t>FERRETERIA</t>
        </is>
      </c>
      <c r="E835" s="56" t="inlineStr">
        <is>
          <t>ESTAÑO POR ROLLO 100GR 1MM</t>
        </is>
      </c>
    </row>
    <row r="836" hidden="1" s="11">
      <c r="C836" s="56">
        <f>TEXT(COUNTIF($D$7:D836, D836), "00000") &amp; "-" &amp; VLOOKUP(D836, $J$7:$K$19, 2, FALSE)</f>
        <v/>
      </c>
      <c r="D836" s="56" t="inlineStr">
        <is>
          <t>ELECTRICIDAD</t>
        </is>
      </c>
      <c r="E836" s="56" t="inlineStr">
        <is>
          <t>CABLE N°12 NEGRO (METRO)</t>
        </is>
      </c>
    </row>
    <row r="837" hidden="1" s="11">
      <c r="C837" s="56">
        <f>TEXT(COUNTIF($D$7:D837, D837), "00000") &amp; "-" &amp; VLOOKUP(D837, $J$7:$K$19, 2, FALSE)</f>
        <v/>
      </c>
      <c r="D837" s="56" t="inlineStr">
        <is>
          <t>LIMPIEZA</t>
        </is>
      </c>
      <c r="E837" s="56" t="inlineStr">
        <is>
          <t>DISCO PARA PULIDORA INDUSTRIAL 17" NEGRO</t>
        </is>
      </c>
    </row>
    <row r="838" hidden="1" s="11">
      <c r="C838" s="56">
        <f>TEXT(COUNTIF($D$7:D838, D838), "00000") &amp; "-" &amp; VLOOKUP(D838, $J$7:$K$19, 2, FALSE)</f>
        <v/>
      </c>
      <c r="D838" s="56" t="inlineStr">
        <is>
          <t>ELECTRICIDAD</t>
        </is>
      </c>
      <c r="E838" s="56" t="inlineStr">
        <is>
          <t>BARRA COOPERWELD 5/8</t>
        </is>
      </c>
    </row>
    <row r="839" hidden="1" s="11">
      <c r="C839" s="56">
        <f>TEXT(COUNTIF($D$7:D839, D839), "00000") &amp; "-" &amp; VLOOKUP(D839, $J$7:$K$19, 2, FALSE)</f>
        <v/>
      </c>
      <c r="D839" s="56" t="inlineStr">
        <is>
          <t>FERRETERIA</t>
        </is>
      </c>
      <c r="E839" s="56" t="inlineStr">
        <is>
          <t>TORNILLO DRAYWALL 6 X 11/4</t>
        </is>
      </c>
    </row>
    <row r="840" hidden="1" s="11">
      <c r="C840" s="56">
        <f>TEXT(COUNTIF($D$7:D840, D840), "00000") &amp; "-" &amp; VLOOKUP(D840, $J$7:$K$19, 2, FALSE)</f>
        <v/>
      </c>
      <c r="D840" s="56" t="inlineStr">
        <is>
          <t>ELECTRONICO</t>
        </is>
      </c>
      <c r="E840" s="56" t="inlineStr">
        <is>
          <t>BATERIA AAA ALKALINE (PAR)</t>
        </is>
      </c>
    </row>
    <row r="841" hidden="1" s="11">
      <c r="C841" s="56">
        <f>TEXT(COUNTIF($D$7:D841, D841), "00000") &amp; "-" &amp; VLOOKUP(D841, $J$7:$K$19, 2, FALSE)</f>
        <v/>
      </c>
      <c r="D841" s="56" t="inlineStr">
        <is>
          <t>ILUMINACION</t>
        </is>
      </c>
      <c r="E841" s="56" t="inlineStr">
        <is>
          <t>SOCATE PLAFON PORCELANA 4"</t>
        </is>
      </c>
    </row>
    <row r="842" hidden="1" s="11">
      <c r="C842" s="56">
        <f>TEXT(COUNTIF($D$7:D842, D842), "00000") &amp; "-" &amp; VLOOKUP(D842, $J$7:$K$19, 2, FALSE)</f>
        <v/>
      </c>
      <c r="D842" s="56" t="inlineStr">
        <is>
          <t>REFRIGERACION</t>
        </is>
      </c>
      <c r="E842" s="56" t="inlineStr">
        <is>
          <t>CONDENSADOR 15 MCF 400V</t>
        </is>
      </c>
    </row>
    <row r="843" hidden="1" s="11">
      <c r="C843" s="56">
        <f>TEXT(COUNTIF($D$7:D843, D843), "00000") &amp; "-" &amp; VLOOKUP(D843, $J$7:$K$19, 2, FALSE)</f>
        <v/>
      </c>
      <c r="D843" s="56" t="inlineStr">
        <is>
          <t>REFRIGERACION</t>
        </is>
      </c>
      <c r="E843" s="56" t="inlineStr">
        <is>
          <t>CONDENSADOR 22 MCF 400V</t>
        </is>
      </c>
    </row>
    <row r="844" hidden="1" s="11">
      <c r="C844" s="56">
        <f>TEXT(COUNTIF($D$7:D844, D844), "00000") &amp; "-" &amp; VLOOKUP(D844, $J$7:$K$19, 2, FALSE)</f>
        <v/>
      </c>
      <c r="D844" s="56" t="inlineStr">
        <is>
          <t>HERRAMIENTA</t>
        </is>
      </c>
      <c r="E844" s="56" t="inlineStr">
        <is>
          <t>FUNDA PARA MANTENIMIENTO DE A/A 3-5 TON</t>
        </is>
      </c>
    </row>
    <row r="845" hidden="1" s="11">
      <c r="C845" s="56">
        <f>TEXT(COUNTIF($D$7:D845, D845), "00000") &amp; "-" &amp; VLOOKUP(D845, $J$7:$K$19, 2, FALSE)</f>
        <v/>
      </c>
      <c r="D845" s="56" t="inlineStr">
        <is>
          <t>ILUMINACION</t>
        </is>
      </c>
      <c r="E845" s="56" t="inlineStr">
        <is>
          <t>INTERRUPTOR SENCILLO BLANCO</t>
        </is>
      </c>
    </row>
    <row r="846" hidden="1" s="11">
      <c r="C846" s="56">
        <f>TEXT(COUNTIF($D$7:D846, D846), "00000") &amp; "-" &amp; VLOOKUP(D846, $J$7:$K$19, 2, FALSE)</f>
        <v/>
      </c>
      <c r="D846" s="56" t="inlineStr">
        <is>
          <t>FERRETERIA</t>
        </is>
      </c>
      <c r="E846" s="56" t="inlineStr">
        <is>
          <t>TORNILLO A/R PLANA 12 X 3</t>
        </is>
      </c>
    </row>
    <row r="847" hidden="1" s="11">
      <c r="C847" s="56">
        <f>TEXT(COUNTIF($D$7:D847, D847), "00000") &amp; "-" &amp; VLOOKUP(D847, $J$7:$K$19, 2, FALSE)</f>
        <v/>
      </c>
      <c r="D847" s="56" t="inlineStr">
        <is>
          <t>FERRETERIA</t>
        </is>
      </c>
      <c r="E847" s="56" t="inlineStr">
        <is>
          <t>TORNILLO A/R PLANA 12 X 2</t>
        </is>
      </c>
    </row>
    <row r="848" hidden="1" s="11">
      <c r="C848" s="56">
        <f>TEXT(COUNTIF($D$7:D848, D848), "00000") &amp; "-" &amp; VLOOKUP(D848, $J$7:$K$19, 2, FALSE)</f>
        <v/>
      </c>
      <c r="D848" s="56" t="inlineStr">
        <is>
          <t>HERRERIA</t>
        </is>
      </c>
      <c r="E848" s="56" t="inlineStr">
        <is>
          <t>NIPLE GALVANIZADO 1/2 X 11/2</t>
        </is>
      </c>
    </row>
    <row r="849" hidden="1" s="11">
      <c r="C849" s="56">
        <f>TEXT(COUNTIF($D$7:D849, D849), "00000") &amp; "-" &amp; VLOOKUP(D849, $J$7:$K$19, 2, FALSE)</f>
        <v/>
      </c>
      <c r="D849" s="56" t="inlineStr">
        <is>
          <t>MISCELANEOS</t>
        </is>
      </c>
      <c r="E849" s="56" t="inlineStr">
        <is>
          <t>CUCHILLO 6" EXCALIBUR</t>
        </is>
      </c>
    </row>
    <row r="850" hidden="1" s="11">
      <c r="C850" s="56">
        <f>TEXT(COUNTIF($D$7:D850, D850), "00000") &amp; "-" &amp; VLOOKUP(D850, $J$7:$K$19, 2, FALSE)</f>
        <v/>
      </c>
      <c r="D850" s="56" t="inlineStr">
        <is>
          <t>MISCELANEOS</t>
        </is>
      </c>
      <c r="E850" s="56" t="inlineStr">
        <is>
          <t>CUCHARA SACA GRANO</t>
        </is>
      </c>
    </row>
    <row r="851" hidden="1" s="11">
      <c r="C851" s="56">
        <f>TEXT(COUNTIF($D$7:D851, D851), "00000") &amp; "-" &amp; VLOOKUP(D851, $J$7:$K$19, 2, FALSE)</f>
        <v/>
      </c>
      <c r="D851" s="56" t="inlineStr">
        <is>
          <t>LIMPIEZA</t>
        </is>
      </c>
      <c r="E851" s="56" t="inlineStr">
        <is>
          <t>CHUPON DE BAÑO</t>
        </is>
      </c>
    </row>
    <row r="852" hidden="1" s="11">
      <c r="C852" s="56">
        <f>TEXT(COUNTIF($D$7:D852, D852), "00000") &amp; "-" &amp; VLOOKUP(D852, $J$7:$K$19, 2, FALSE)</f>
        <v/>
      </c>
      <c r="D852" s="56" t="inlineStr">
        <is>
          <t>LIMPIEZA</t>
        </is>
      </c>
      <c r="E852" s="56" t="inlineStr">
        <is>
          <t>PAPELERA PEQUEÑA TIPO CESTA</t>
        </is>
      </c>
    </row>
    <row r="853" hidden="1" s="11">
      <c r="C853" s="56">
        <f>TEXT(COUNTIF($D$7:D853, D853), "00000") &amp; "-" &amp; VLOOKUP(D853, $J$7:$K$19, 2, FALSE)</f>
        <v/>
      </c>
      <c r="D853" s="56" t="inlineStr">
        <is>
          <t>LIMPIEZA</t>
        </is>
      </c>
      <c r="E853" s="56" t="inlineStr">
        <is>
          <t>PAPELERA CUADRADA 60 LITROS</t>
        </is>
      </c>
    </row>
    <row r="854" hidden="1" s="11">
      <c r="C854" s="56">
        <f>TEXT(COUNTIF($D$7:D854, D854), "00000") &amp; "-" &amp; VLOOKUP(D854, $J$7:$K$19, 2, FALSE)</f>
        <v/>
      </c>
      <c r="D854" s="56" t="inlineStr">
        <is>
          <t>LIMPIEZA</t>
        </is>
      </c>
      <c r="E854" s="56" t="inlineStr">
        <is>
          <t>PAPELERA DE OFICINA TEJIDA</t>
        </is>
      </c>
    </row>
    <row r="855" hidden="1" s="11">
      <c r="C855" s="56">
        <f>TEXT(COUNTIF($D$7:D855, D855), "00000") &amp; "-" &amp; VLOOKUP(D855, $J$7:$K$19, 2, FALSE)</f>
        <v/>
      </c>
      <c r="D855" s="56" t="inlineStr">
        <is>
          <t>MISCELANEOS</t>
        </is>
      </c>
      <c r="E855" s="56" t="inlineStr">
        <is>
          <t>ESPEJO AUTOADHESIVO GRANDE</t>
        </is>
      </c>
    </row>
    <row r="856" hidden="1" s="11">
      <c r="C856" s="56">
        <f>TEXT(COUNTIF($D$7:D856, D856), "00000") &amp; "-" &amp; VLOOKUP(D856, $J$7:$K$19, 2, FALSE)</f>
        <v/>
      </c>
      <c r="D856" s="56" t="inlineStr">
        <is>
          <t>FERRETERIA</t>
        </is>
      </c>
      <c r="E856" s="56" t="inlineStr">
        <is>
          <t>MELAMINA ROBLE 18MM 185 X 246</t>
        </is>
      </c>
    </row>
    <row r="857" hidden="1" s="11">
      <c r="C857" s="56">
        <f>TEXT(COUNTIF($D$7:D857, D857), "00000") &amp; "-" &amp; VLOOKUP(D857, $J$7:$K$19, 2, FALSE)</f>
        <v/>
      </c>
      <c r="D857" s="56" t="inlineStr">
        <is>
          <t>PLOMERIA</t>
        </is>
      </c>
      <c r="E857" s="56" t="inlineStr">
        <is>
          <t>ANILLO 1/2 PVC</t>
        </is>
      </c>
    </row>
    <row r="858" hidden="1" s="11">
      <c r="C858" s="56">
        <f>TEXT(COUNTIF($D$7:D858, D858), "00000") &amp; "-" &amp; VLOOKUP(D858, $J$7:$K$19, 2, FALSE)</f>
        <v/>
      </c>
      <c r="D858" s="56" t="inlineStr">
        <is>
          <t>PLOMERIA</t>
        </is>
      </c>
      <c r="E858" s="56" t="inlineStr">
        <is>
          <t>ADAPTADOR MACHO 1/2 PVC</t>
        </is>
      </c>
    </row>
    <row r="859" hidden="1" s="11">
      <c r="C859" s="56">
        <f>TEXT(COUNTIF($D$7:D859, D859), "00000") &amp; "-" &amp; VLOOKUP(D859, $J$7:$K$19, 2, FALSE)</f>
        <v/>
      </c>
      <c r="D859" s="56" t="inlineStr">
        <is>
          <t>REFRIGERACION</t>
        </is>
      </c>
      <c r="E859" s="56" t="inlineStr">
        <is>
          <t>COMPRESOR 2 HPCOPELAND 220V R-22</t>
        </is>
      </c>
    </row>
    <row r="860" hidden="1" s="11">
      <c r="C860" s="56">
        <f>TEXT(COUNTIF($D$7:D860, D860), "00000") &amp; "-" &amp; VLOOKUP(D860, $J$7:$K$19, 2, FALSE)</f>
        <v/>
      </c>
      <c r="D860" s="56" t="inlineStr">
        <is>
          <t>ELECTRONICO</t>
        </is>
      </c>
      <c r="E860" s="56" t="inlineStr">
        <is>
          <t>SWICHE DE BATE 20A</t>
        </is>
      </c>
    </row>
    <row r="861" hidden="1" s="11">
      <c r="C861" s="56">
        <f>TEXT(COUNTIF($D$7:D861, D861), "00000") &amp; "-" &amp; VLOOKUP(D861, $J$7:$K$19, 2, FALSE)</f>
        <v/>
      </c>
      <c r="D861" s="56" t="inlineStr">
        <is>
          <t>PLOMERIA</t>
        </is>
      </c>
      <c r="E861" s="56" t="inlineStr">
        <is>
          <t>GRIFO DE FREGADERO</t>
        </is>
      </c>
    </row>
    <row r="862" hidden="1" s="11">
      <c r="C862" s="56">
        <f>TEXT(COUNTIF($D$7:D862, D862), "00000") &amp; "-" &amp; VLOOKUP(D862, $J$7:$K$19, 2, FALSE)</f>
        <v/>
      </c>
      <c r="D862" s="56" t="inlineStr">
        <is>
          <t>ELECTRONICO</t>
        </is>
      </c>
      <c r="E862" s="56" t="inlineStr">
        <is>
          <t>CORTINA DE AIRE 1,5M 110V</t>
        </is>
      </c>
    </row>
    <row r="863" hidden="1" s="11">
      <c r="C863" s="56">
        <f>TEXT(COUNTIF($D$7:D863, D863), "00000") &amp; "-" &amp; VLOOKUP(D863, $J$7:$K$19, 2, FALSE)</f>
        <v/>
      </c>
      <c r="D863" s="56" t="inlineStr">
        <is>
          <t>REFRIGERACION</t>
        </is>
      </c>
      <c r="E863" s="56" t="inlineStr">
        <is>
          <t>CAPACITOR DE ARRANQUE 88MFD 108-330V</t>
        </is>
      </c>
    </row>
    <row r="864" hidden="1" s="11">
      <c r="C864" s="56">
        <f>TEXT(COUNTIF($D$7:D864, D864), "00000") &amp; "-" &amp; VLOOKUP(D864, $J$7:$K$19, 2, FALSE)</f>
        <v/>
      </c>
      <c r="D864" s="56" t="inlineStr">
        <is>
          <t>REFRIGERACION</t>
        </is>
      </c>
      <c r="E864" s="56" t="inlineStr">
        <is>
          <t>CAPACITOR DE ARRANQUE 108MFD 130-330V</t>
        </is>
      </c>
    </row>
    <row r="865" hidden="1" s="11">
      <c r="C865" s="56">
        <f>TEXT(COUNTIF($D$7:D865, D865), "00000") &amp; "-" &amp; VLOOKUP(D865, $J$7:$K$19, 2, FALSE)</f>
        <v/>
      </c>
      <c r="D865" s="56" t="inlineStr">
        <is>
          <t>REFRIGERACION</t>
        </is>
      </c>
      <c r="E865" s="56" t="inlineStr">
        <is>
          <t>RELEY POTENCIAL AA 64  220V</t>
        </is>
      </c>
    </row>
    <row r="866" hidden="1" s="11">
      <c r="C866" s="56">
        <f>TEXT(COUNTIF($D$7:D866, D866), "00000") &amp; "-" &amp; VLOOKUP(D866, $J$7:$K$19, 2, FALSE)</f>
        <v/>
      </c>
      <c r="D866" s="56" t="inlineStr">
        <is>
          <t>REFRIGERACION</t>
        </is>
      </c>
      <c r="E866" s="56" t="inlineStr">
        <is>
          <t>FILTRO SECADOR 1 TON X 1/4 SOLDAR</t>
        </is>
      </c>
    </row>
    <row r="867" hidden="1" s="11">
      <c r="C867" s="56">
        <f>TEXT(COUNTIF($D$7:D867, D867), "00000") &amp; "-" &amp; VLOOKUP(D867, $J$7:$K$19, 2, FALSE)</f>
        <v/>
      </c>
      <c r="D867" s="56" t="inlineStr">
        <is>
          <t>REFRIGERACION</t>
        </is>
      </c>
      <c r="E867" s="56" t="inlineStr">
        <is>
          <t>CAPACITOR  DE ARRANQUE 161-193MFD 330</t>
        </is>
      </c>
    </row>
    <row r="868" hidden="1" s="11">
      <c r="C868" s="56">
        <f>TEXT(COUNTIF($D$7:D868, D868), "00000") &amp; "-" &amp; VLOOKUP(D868, $J$7:$K$19, 2, FALSE)</f>
        <v/>
      </c>
      <c r="D868" s="56" t="inlineStr">
        <is>
          <t>FERRETERIA</t>
        </is>
      </c>
      <c r="E868" s="56" t="inlineStr">
        <is>
          <t>BISAGRA PARA CAVA CUARTO</t>
        </is>
      </c>
    </row>
    <row r="869" hidden="1" s="11">
      <c r="C869" s="56">
        <f>TEXT(COUNTIF($D$7:D869, D869), "00000") &amp; "-" &amp; VLOOKUP(D869, $J$7:$K$19, 2, FALSE)</f>
        <v/>
      </c>
      <c r="D869" s="56" t="inlineStr">
        <is>
          <t>REFRIGERACION</t>
        </is>
      </c>
      <c r="E869" s="56" t="inlineStr">
        <is>
          <t>CONTACTOR 40A 2 POLOS 240V</t>
        </is>
      </c>
    </row>
    <row r="870" hidden="1" s="11">
      <c r="C870" s="56">
        <f>TEXT(COUNTIF($D$7:D870, D870), "00000") &amp; "-" &amp; VLOOKUP(D870, $J$7:$K$19, 2, FALSE)</f>
        <v/>
      </c>
      <c r="D870" s="56" t="inlineStr">
        <is>
          <t>REFRIGERACION</t>
        </is>
      </c>
      <c r="E870" s="56" t="inlineStr">
        <is>
          <t>CONDENSADOR A/A 80MFD 370-440V</t>
        </is>
      </c>
    </row>
    <row r="871" hidden="1" s="11">
      <c r="C871" s="56">
        <f>TEXT(COUNTIF($D$7:D871, D871), "00000") &amp; "-" &amp; VLOOKUP(D871, $J$7:$K$19, 2, FALSE)</f>
        <v/>
      </c>
      <c r="D871" s="56" t="inlineStr">
        <is>
          <t>REFRIGERACION</t>
        </is>
      </c>
      <c r="E871" s="56" t="inlineStr">
        <is>
          <t>CONDENSADOR A/A 35+6MFD 440V EN ACEITE</t>
        </is>
      </c>
    </row>
    <row r="872" hidden="1" s="11">
      <c r="C872" s="56">
        <f>TEXT(COUNTIF($D$7:D872, D872), "00000") &amp; "-" &amp; VLOOKUP(D872, $J$7:$K$19, 2, FALSE)</f>
        <v/>
      </c>
      <c r="D872" s="56" t="inlineStr">
        <is>
          <t>REFRIGERACION</t>
        </is>
      </c>
      <c r="E872" s="56" t="inlineStr">
        <is>
          <t>CONDENSADOR A/A 30+5MFD 440V</t>
        </is>
      </c>
    </row>
    <row r="873" hidden="1" s="11">
      <c r="C873" s="56">
        <f>TEXT(COUNTIF($D$7:D873, D873), "00000") &amp; "-" &amp; VLOOKUP(D873, $J$7:$K$19, 2, FALSE)</f>
        <v/>
      </c>
      <c r="D873" s="56" t="inlineStr">
        <is>
          <t>FERRETERIA</t>
        </is>
      </c>
      <c r="E873" s="56" t="inlineStr">
        <is>
          <t>ADITIVO PARA MORTERO 15L (LITRO)</t>
        </is>
      </c>
    </row>
    <row r="874" hidden="1" s="11">
      <c r="C874" s="56">
        <f>TEXT(COUNTIF($D$7:D874, D874), "00000") &amp; "-" &amp; VLOOKUP(D874, $J$7:$K$19, 2, FALSE)</f>
        <v/>
      </c>
      <c r="D874" s="56" t="inlineStr">
        <is>
          <t>ELECTRONICO</t>
        </is>
      </c>
      <c r="E874" s="56" t="inlineStr">
        <is>
          <t>DISPENSADOR DE AGUA MUNDO GRIS</t>
        </is>
      </c>
    </row>
    <row r="875" hidden="1" s="11">
      <c r="C875" s="56">
        <f>TEXT(COUNTIF($D$7:D875, D875), "00000") &amp; "-" &amp; VLOOKUP(D875, $J$7:$K$19, 2, FALSE)</f>
        <v/>
      </c>
      <c r="D875" s="56" t="inlineStr">
        <is>
          <t>ELECTRONICO</t>
        </is>
      </c>
      <c r="E875" s="56" t="inlineStr">
        <is>
          <t>MICROONDAS CONDESA 25L</t>
        </is>
      </c>
    </row>
    <row r="876" hidden="1" s="11">
      <c r="C876" s="56">
        <f>TEXT(COUNTIF($D$7:D876, D876), "00000") &amp; "-" &amp; VLOOKUP(D876, $J$7:$K$19, 2, FALSE)</f>
        <v/>
      </c>
      <c r="D876" s="56" t="inlineStr">
        <is>
          <t>ELECTRONICO</t>
        </is>
      </c>
      <c r="E876" s="56" t="inlineStr">
        <is>
          <t>REFRIGERADOR SILVER 220L CONDESA</t>
        </is>
      </c>
    </row>
    <row r="877" hidden="1" s="11">
      <c r="C877" s="56">
        <f>TEXT(COUNTIF($D$7:D877, D877), "00000") &amp; "-" &amp; VLOOKUP(D877, $J$7:$K$19, 2, FALSE)</f>
        <v/>
      </c>
      <c r="D877" s="56" t="inlineStr">
        <is>
          <t>ELECTRONICO</t>
        </is>
      </c>
      <c r="E877" s="56" t="inlineStr">
        <is>
          <t>SMARTV CLX 32"</t>
        </is>
      </c>
    </row>
    <row r="878" hidden="1" s="11">
      <c r="C878" s="56">
        <f>TEXT(COUNTIF($D$7:D878, D878), "00000") &amp; "-" &amp; VLOOKUP(D878, $J$7:$K$19, 2, FALSE)</f>
        <v/>
      </c>
      <c r="D878" s="56" t="inlineStr">
        <is>
          <t>ELECTRONICO</t>
        </is>
      </c>
      <c r="E878" s="56" t="inlineStr">
        <is>
          <t>SMARTV KEYTON 40"</t>
        </is>
      </c>
    </row>
    <row r="879" hidden="1" s="11">
      <c r="C879" s="56">
        <f>TEXT(COUNTIF($D$7:D879, D879), "00000") &amp; "-" &amp; VLOOKUP(D879, $J$7:$K$19, 2, FALSE)</f>
        <v/>
      </c>
      <c r="D879" s="56" t="inlineStr">
        <is>
          <t>FERRETERIA</t>
        </is>
      </c>
      <c r="E879" s="56" t="inlineStr">
        <is>
          <t>BASE PARA TV WESTPOOL</t>
        </is>
      </c>
    </row>
    <row r="880" hidden="1" s="11">
      <c r="C880" s="56">
        <f>TEXT(COUNTIF($D$7:D880, D880), "00000") &amp; "-" &amp; VLOOKUP(D880, $J$7:$K$19, 2, FALSE)</f>
        <v/>
      </c>
      <c r="D880" s="56" t="inlineStr">
        <is>
          <t>ELECTRONICO</t>
        </is>
      </c>
      <c r="E880" s="56" t="inlineStr">
        <is>
          <t>COLADORA DE CAFÉ 30 TAZAS 5L RCA</t>
        </is>
      </c>
    </row>
    <row r="881" hidden="1" s="11">
      <c r="C881" s="56">
        <f>TEXT(COUNTIF($D$7:D881, D881), "00000") &amp; "-" &amp; VLOOKUP(D881, $J$7:$K$19, 2, FALSE)</f>
        <v/>
      </c>
      <c r="D881" s="56" t="inlineStr">
        <is>
          <t>ELECTRONICO</t>
        </is>
      </c>
      <c r="E881" s="56" t="inlineStr">
        <is>
          <t>REBANADORA 250MM SEMI-AUT ROCCIA</t>
        </is>
      </c>
    </row>
    <row r="882" hidden="1" s="11">
      <c r="C882" s="56">
        <f>TEXT(COUNTIF($D$7:D882, D882), "00000") &amp; "-" &amp; VLOOKUP(D882, $J$7:$K$19, 2, FALSE)</f>
        <v/>
      </c>
      <c r="D882" s="56" t="inlineStr">
        <is>
          <t>ELECTRONICO</t>
        </is>
      </c>
      <c r="E882" s="56" t="inlineStr">
        <is>
          <t>ROMANA CAP 350KG ROCCIA</t>
        </is>
      </c>
    </row>
    <row r="883" hidden="1" s="11">
      <c r="C883" s="56">
        <f>TEXT(COUNTIF($D$7:D883, D883), "00000") &amp; "-" &amp; VLOOKUP(D883, $J$7:$K$19, 2, FALSE)</f>
        <v/>
      </c>
      <c r="D883" s="56" t="inlineStr">
        <is>
          <t>ELECTRONICO</t>
        </is>
      </c>
      <c r="E883" s="56" t="inlineStr">
        <is>
          <t>VENTILADOR INDUSTRIAL 26" TIPO PEDESTAL ROCCIA</t>
        </is>
      </c>
    </row>
    <row r="884" hidden="1" s="11">
      <c r="C884" s="56">
        <f>TEXT(COUNTIF($D$7:D884, D884), "00000") &amp; "-" &amp; VLOOKUP(D884, $J$7:$K$19, 2, FALSE)</f>
        <v/>
      </c>
      <c r="D884" s="56" t="inlineStr">
        <is>
          <t>ELECTRONICO</t>
        </is>
      </c>
      <c r="E884" s="56" t="inlineStr">
        <is>
          <t>PULIDORA INDUSTRIAL DE 1,5 HP 17" ROCCIA</t>
        </is>
      </c>
    </row>
    <row r="885" hidden="1" s="11">
      <c r="C885" s="56">
        <f>TEXT(COUNTIF($D$7:D885, D885), "00000") &amp; "-" &amp; VLOOKUP(D885, $J$7:$K$19, 2, FALSE)</f>
        <v/>
      </c>
      <c r="D885" s="56" t="inlineStr">
        <is>
          <t>FERRETERIA</t>
        </is>
      </c>
      <c r="E885" s="56" t="inlineStr">
        <is>
          <t>RODILLO CON FUNDA 2"</t>
        </is>
      </c>
    </row>
    <row r="886" hidden="1" s="11">
      <c r="C886" s="56">
        <f>TEXT(COUNTIF($D$7:D886, D886), "00000") &amp; "-" &amp; VLOOKUP(D886, $J$7:$K$19, 2, FALSE)</f>
        <v/>
      </c>
      <c r="D886" s="56" t="inlineStr">
        <is>
          <t>FERRETERIA</t>
        </is>
      </c>
      <c r="E886" s="56" t="inlineStr">
        <is>
          <t>FUNDA PARA RODILLO 4"</t>
        </is>
      </c>
    </row>
    <row r="887" hidden="1" s="11">
      <c r="C887" s="56">
        <f>TEXT(COUNTIF($D$7:D887, D887), "00000") &amp; "-" &amp; VLOOKUP(D887, $J$7:$K$19, 2, FALSE)</f>
        <v/>
      </c>
      <c r="D887" s="56" t="inlineStr">
        <is>
          <t>HERRAMIENTA</t>
        </is>
      </c>
      <c r="E887" s="56" t="inlineStr">
        <is>
          <t>ESCALERA DE ALUMINIO 7 PELDAÑOS</t>
        </is>
      </c>
    </row>
    <row r="888" hidden="1" s="11">
      <c r="C888" s="56">
        <f>TEXT(COUNTIF($D$7:D888, D888), "00000") &amp; "-" &amp; VLOOKUP(D888, $J$7:$K$19, 2, FALSE)</f>
        <v/>
      </c>
      <c r="D888" s="56" t="inlineStr">
        <is>
          <t>REFRIGERACION</t>
        </is>
      </c>
      <c r="E888" s="56" t="inlineStr">
        <is>
          <t>MOTOR AXIAL 20" 1500/1580 RPM 220V KIEL</t>
        </is>
      </c>
    </row>
    <row r="889" hidden="1" s="11">
      <c r="C889" s="56">
        <f>TEXT(COUNTIF($D$7:D889, D889), "00000") &amp; "-" &amp; VLOOKUP(D889, $J$7:$K$19, 2, FALSE)</f>
        <v/>
      </c>
      <c r="D889" s="56" t="inlineStr">
        <is>
          <t>REFRIGERACION</t>
        </is>
      </c>
      <c r="E889" s="56" t="inlineStr">
        <is>
          <t>MOTOR AXIAL 12" 1500/1580 RPM 220V KIEL</t>
        </is>
      </c>
    </row>
    <row r="890" hidden="1" s="11">
      <c r="C890" s="56">
        <f>TEXT(COUNTIF($D$7:D890, D890), "00000") &amp; "-" &amp; VLOOKUP(D890, $J$7:$K$19, 2, FALSE)</f>
        <v/>
      </c>
      <c r="D890" s="56" t="inlineStr">
        <is>
          <t>FERRETERIA</t>
        </is>
      </c>
      <c r="E890" s="56" t="inlineStr">
        <is>
          <t>RAMPLUG MARIPOSA C/TORNILLO 3/16</t>
        </is>
      </c>
    </row>
    <row r="891" hidden="1" s="11">
      <c r="C891" s="56">
        <f>TEXT(COUNTIF($D$7:D891, D891), "00000") &amp; "-" &amp; VLOOKUP(D891, $J$7:$K$19, 2, FALSE)</f>
        <v/>
      </c>
      <c r="D891" s="56" t="inlineStr">
        <is>
          <t>FERRETERIA</t>
        </is>
      </c>
      <c r="E891" s="56" t="inlineStr">
        <is>
          <t>YESO SACO 25KG</t>
        </is>
      </c>
    </row>
    <row r="892" hidden="1" s="11">
      <c r="C892" s="56">
        <f>TEXT(COUNTIF($D$7:D892, D892), "00000") &amp; "-" &amp; VLOOKUP(D892, $J$7:$K$19, 2, FALSE)</f>
        <v/>
      </c>
      <c r="D892" s="56" t="inlineStr">
        <is>
          <t>PLOMERIA</t>
        </is>
      </c>
      <c r="E892" s="56" t="inlineStr">
        <is>
          <t>PRESS CONTROL 110V</t>
        </is>
      </c>
    </row>
    <row r="893" hidden="1" s="11">
      <c r="C893" s="56">
        <f>TEXT(COUNTIF($D$7:D893, D893), "00000") &amp; "-" &amp; VLOOKUP(D893, $J$7:$K$19, 2, FALSE)</f>
        <v/>
      </c>
      <c r="D893" s="56" t="inlineStr">
        <is>
          <t>FERRETERIA</t>
        </is>
      </c>
      <c r="E893" s="56" t="inlineStr">
        <is>
          <t>RODAMIENTO 608 ZZ</t>
        </is>
      </c>
    </row>
    <row r="894" hidden="1" s="11">
      <c r="C894" s="56">
        <f>TEXT(COUNTIF($D$7:D894, D894), "00000") &amp; "-" &amp; VLOOKUP(D894, $J$7:$K$19, 2, FALSE)</f>
        <v/>
      </c>
      <c r="D894" s="56" t="inlineStr">
        <is>
          <t>REFRIGERACION</t>
        </is>
      </c>
      <c r="E894" s="56" t="inlineStr">
        <is>
          <t>CAPACITOR 12 MFD 450V</t>
        </is>
      </c>
    </row>
    <row r="895" hidden="1" s="11">
      <c r="C895" s="56">
        <f>TEXT(COUNTIF($D$7:D895, D895), "00000") &amp; "-" &amp; VLOOKUP(D895, $J$7:$K$19, 2, FALSE)</f>
        <v/>
      </c>
      <c r="D895" s="56" t="inlineStr">
        <is>
          <t>AUTOMOTRIZ</t>
        </is>
      </c>
      <c r="E895" s="56" t="inlineStr">
        <is>
          <t>CRUCETA DE CARGUERO</t>
        </is>
      </c>
    </row>
    <row r="896" hidden="1" s="11">
      <c r="C896" s="56">
        <f>TEXT(COUNTIF($D$7:D896, D896), "00000") &amp; "-" &amp; VLOOKUP(D896, $J$7:$K$19, 2, FALSE)</f>
        <v/>
      </c>
      <c r="D896" s="56" t="inlineStr">
        <is>
          <t>ELECTRICIDAD</t>
        </is>
      </c>
      <c r="E896" s="56" t="inlineStr">
        <is>
          <t>TAPA DE TOMA CORRIENTE SIMPLE</t>
        </is>
      </c>
    </row>
    <row r="897" hidden="1" s="11">
      <c r="C897" s="56">
        <f>TEXT(COUNTIF($D$7:D897, D897), "00000") &amp; "-" &amp; VLOOKUP(D897, $J$7:$K$19, 2, FALSE)</f>
        <v/>
      </c>
      <c r="D897" s="56" t="inlineStr">
        <is>
          <t>FERRETERIA</t>
        </is>
      </c>
      <c r="E897" s="56" t="inlineStr">
        <is>
          <t>FUNDA PARA MINI RODILLO 2"</t>
        </is>
      </c>
    </row>
    <row r="898" hidden="1" s="11">
      <c r="C898" s="56">
        <f>TEXT(COUNTIF($D$7:D898, D898), "00000") &amp; "-" &amp; VLOOKUP(D898, $J$7:$K$19, 2, FALSE)</f>
        <v/>
      </c>
      <c r="D898" s="56" t="inlineStr">
        <is>
          <t>FERRETERIA</t>
        </is>
      </c>
      <c r="E898" s="56" t="inlineStr">
        <is>
          <t>FUNDA PARA MINI RODILLO 3"</t>
        </is>
      </c>
    </row>
    <row r="899" hidden="1" s="11">
      <c r="C899" s="56">
        <f>TEXT(COUNTIF($D$7:D899, D899), "00000") &amp; "-" &amp; VLOOKUP(D899, $J$7:$K$19, 2, FALSE)</f>
        <v/>
      </c>
      <c r="D899" s="56" t="inlineStr">
        <is>
          <t>FERRETERIA</t>
        </is>
      </c>
      <c r="E899" s="56" t="inlineStr">
        <is>
          <t>GRAPA P/ CABLE 2 X 10 PAQUETE 50 UND</t>
        </is>
      </c>
    </row>
    <row r="900" hidden="1" s="11">
      <c r="C900" s="56">
        <f>TEXT(COUNTIF($D$7:D900, D900), "00000") &amp; "-" &amp; VLOOKUP(D900, $J$7:$K$19, 2, FALSE)</f>
        <v/>
      </c>
      <c r="D900" s="56" t="inlineStr">
        <is>
          <t>PLOMERIA</t>
        </is>
      </c>
      <c r="E900" s="56" t="inlineStr">
        <is>
          <t>CODO 90° 3" P/ AGUA NEGRA</t>
        </is>
      </c>
    </row>
    <row r="901" hidden="1" s="11">
      <c r="C901" s="56">
        <f>TEXT(COUNTIF($D$7:D901, D901), "00000") &amp; "-" &amp; VLOOKUP(D901, $J$7:$K$19, 2, FALSE)</f>
        <v/>
      </c>
      <c r="D901" s="56" t="inlineStr">
        <is>
          <t>HERRERIA</t>
        </is>
      </c>
      <c r="E901" s="56" t="inlineStr">
        <is>
          <t>ALDABA GALVANIZADO 2"</t>
        </is>
      </c>
    </row>
    <row r="902" hidden="1" s="11">
      <c r="C902" s="56">
        <f>TEXT(COUNTIF($D$7:D902, D902), "00000") &amp; "-" &amp; VLOOKUP(D902, $J$7:$K$19, 2, FALSE)</f>
        <v/>
      </c>
      <c r="D902" s="56" t="inlineStr">
        <is>
          <t>FERRETERIA</t>
        </is>
      </c>
      <c r="E902" s="56" t="inlineStr">
        <is>
          <t>TORNILLO AUTO ENROSCABLE P/ TECHO 14 X 1"</t>
        </is>
      </c>
    </row>
    <row r="903" hidden="1" s="11">
      <c r="C903" s="56">
        <f>TEXT(COUNTIF($D$7:D903, D903), "00000") &amp; "-" &amp; VLOOKUP(D903, $J$7:$K$19, 2, FALSE)</f>
        <v/>
      </c>
      <c r="D903" s="56" t="inlineStr">
        <is>
          <t>FERRETERIA</t>
        </is>
      </c>
      <c r="E903" s="56" t="inlineStr">
        <is>
          <t>CORTINA PLASTICA ACANALADA 20CM (METRO)</t>
        </is>
      </c>
    </row>
    <row r="904" hidden="1" s="11">
      <c r="C904" s="56">
        <f>TEXT(COUNTIF($D$7:D904, D904), "00000") &amp; "-" &amp; VLOOKUP(D904, $J$7:$K$19, 2, FALSE)</f>
        <v/>
      </c>
      <c r="D904" s="56" t="inlineStr">
        <is>
          <t>ELECTRICIDAD</t>
        </is>
      </c>
      <c r="E904" s="56" t="inlineStr">
        <is>
          <t xml:space="preserve">TOMA CORRIENTE 3 X 20 250V </t>
        </is>
      </c>
    </row>
    <row r="905" hidden="1" s="11">
      <c r="C905" s="56">
        <f>TEXT(COUNTIF($D$7:D905, D905), "00000") &amp; "-" &amp; VLOOKUP(D905, $J$7:$K$19, 2, FALSE)</f>
        <v/>
      </c>
      <c r="D905" s="56" t="inlineStr">
        <is>
          <t>PLOMERIA</t>
        </is>
      </c>
      <c r="E905" s="56" t="inlineStr">
        <is>
          <t>FLOTANTE 1/2 BRONCE C/ BOLLA</t>
        </is>
      </c>
    </row>
    <row r="906" hidden="1" s="11">
      <c r="C906" s="56">
        <f>TEXT(COUNTIF($D$7:D906, D906), "00000") &amp; "-" &amp; VLOOKUP(D906, $J$7:$K$19, 2, FALSE)</f>
        <v/>
      </c>
      <c r="D906" s="56" t="inlineStr">
        <is>
          <t>PLOMERIA</t>
        </is>
      </c>
      <c r="E906" s="56" t="inlineStr">
        <is>
          <t>REDUCCION 3/4 X 1/2 ROSCA PVC</t>
        </is>
      </c>
    </row>
    <row r="907" hidden="1" s="11">
      <c r="C907" s="56">
        <f>TEXT(COUNTIF($D$7:D907, D907), "00000") &amp; "-" &amp; VLOOKUP(D907, $J$7:$K$19, 2, FALSE)</f>
        <v/>
      </c>
      <c r="D907" s="56" t="inlineStr">
        <is>
          <t>FERRETERIA</t>
        </is>
      </c>
      <c r="E907" s="56" t="inlineStr">
        <is>
          <t>RUEDA DE SUPERMERCADO 5" GIRATORIA</t>
        </is>
      </c>
    </row>
    <row r="908" hidden="1" s="11">
      <c r="C908" s="56">
        <f>TEXT(COUNTIF($D$7:D908, D908), "00000") &amp; "-" &amp; VLOOKUP(D908, $J$7:$K$19, 2, FALSE)</f>
        <v/>
      </c>
      <c r="D908" s="56" t="inlineStr">
        <is>
          <t>FERRETERIA</t>
        </is>
      </c>
      <c r="E908" s="56" t="inlineStr">
        <is>
          <t>RUEDA 5" CALIDAD SUP.</t>
        </is>
      </c>
    </row>
    <row r="909" hidden="1" s="11">
      <c r="C909" s="56">
        <f>TEXT(COUNTIF($D$7:D909, D909), "00000") &amp; "-" &amp; VLOOKUP(D909, $J$7:$K$19, 2, FALSE)</f>
        <v/>
      </c>
      <c r="D909" s="56" t="inlineStr">
        <is>
          <t>HERRERIA</t>
        </is>
      </c>
      <c r="E909" s="56" t="inlineStr">
        <is>
          <t>ELECTRODO E6013 3/32 PAQUETE 1 KG</t>
        </is>
      </c>
    </row>
    <row r="910" hidden="1" s="11">
      <c r="C910" s="56">
        <f>TEXT(COUNTIF($D$7:D910, D910), "00000") &amp; "-" &amp; VLOOKUP(D910, $J$7:$K$19, 2, FALSE)</f>
        <v/>
      </c>
      <c r="D910" s="56" t="inlineStr">
        <is>
          <t>FERRETERIA</t>
        </is>
      </c>
      <c r="E910" s="56" t="inlineStr">
        <is>
          <t>JUEGO DE CUCHILLAS 61 X 19MM</t>
        </is>
      </c>
    </row>
    <row r="911" hidden="1" s="11">
      <c r="C911" s="56">
        <f>TEXT(COUNTIF($D$7:D911, D911), "00000") &amp; "-" &amp; VLOOKUP(D911, $J$7:$K$19, 2, FALSE)</f>
        <v/>
      </c>
      <c r="D911" s="56" t="inlineStr">
        <is>
          <t>HERRAMIENTA</t>
        </is>
      </c>
      <c r="E911" s="56" t="inlineStr">
        <is>
          <t>EXACTO MULTIUSO 3 POSC</t>
        </is>
      </c>
    </row>
    <row r="912" hidden="1" s="11">
      <c r="C912" s="56">
        <f>TEXT(COUNTIF($D$7:D912, D912), "00000") &amp; "-" &amp; VLOOKUP(D912, $J$7:$K$19, 2, FALSE)</f>
        <v/>
      </c>
      <c r="D912" s="56" t="inlineStr">
        <is>
          <t>FERRETERIA</t>
        </is>
      </c>
      <c r="E912" s="56" t="inlineStr">
        <is>
          <t>JUEGO DE CUCHILLAS 10 PZA 18MM X 100MM</t>
        </is>
      </c>
    </row>
    <row r="913" hidden="1" s="11">
      <c r="C913" s="56">
        <f>TEXT(COUNTIF($D$7:D913, D913), "00000") &amp; "-" &amp; VLOOKUP(D913, $J$7:$K$19, 2, FALSE)</f>
        <v/>
      </c>
      <c r="D913" s="56" t="inlineStr">
        <is>
          <t>FERRETERIA</t>
        </is>
      </c>
      <c r="E913" s="56" t="inlineStr">
        <is>
          <t>SELLADOR POLIURETANO NEGRO</t>
        </is>
      </c>
    </row>
    <row r="914" hidden="1" s="11">
      <c r="C914" s="56">
        <f>TEXT(COUNTIF($D$7:D914, D914), "00000") &amp; "-" &amp; VLOOKUP(D914, $J$7:$K$19, 2, FALSE)</f>
        <v/>
      </c>
      <c r="D914" s="56" t="inlineStr">
        <is>
          <t>HERRERIA</t>
        </is>
      </c>
      <c r="E914" s="56" t="inlineStr">
        <is>
          <t>FLANCHE C/ HUECO 20 X 20 CM 6MM</t>
        </is>
      </c>
    </row>
    <row r="915" hidden="1" s="11">
      <c r="C915" s="56">
        <f>TEXT(COUNTIF($D$7:D915, D915), "00000") &amp; "-" &amp; VLOOKUP(D915, $J$7:$K$19, 2, FALSE)</f>
        <v/>
      </c>
      <c r="D915" s="56" t="inlineStr">
        <is>
          <t>FERRETERIA</t>
        </is>
      </c>
      <c r="E915" s="56" t="inlineStr">
        <is>
          <t>RODAMIENTO 6805</t>
        </is>
      </c>
    </row>
    <row r="916" hidden="1" s="11">
      <c r="C916" s="56">
        <f>TEXT(COUNTIF($D$7:D916, D916), "00000") &amp; "-" &amp; VLOOKUP(D916, $J$7:$K$19, 2, FALSE)</f>
        <v/>
      </c>
      <c r="D916" s="56" t="inlineStr">
        <is>
          <t>FERRETERIA</t>
        </is>
      </c>
      <c r="E916" s="56" t="inlineStr">
        <is>
          <t>BASE DE TV MOVIBLE 17"-85"</t>
        </is>
      </c>
    </row>
    <row r="917" hidden="1" s="11">
      <c r="C917" s="56">
        <f>TEXT(COUNTIF($D$7:D917, D917), "00000") &amp; "-" &amp; VLOOKUP(D917, $J$7:$K$19, 2, FALSE)</f>
        <v/>
      </c>
      <c r="D917" s="56" t="inlineStr">
        <is>
          <t>ELECTRONICO</t>
        </is>
      </c>
      <c r="E917" s="56" t="inlineStr">
        <is>
          <t>SMARTV 65" MAGNAVOX</t>
        </is>
      </c>
    </row>
    <row r="918" hidden="1" s="11">
      <c r="C918" s="56">
        <f>TEXT(COUNTIF($D$7:D918, D918), "00000") &amp; "-" &amp; VLOOKUP(D918, $J$7:$K$19, 2, FALSE)</f>
        <v/>
      </c>
      <c r="D918" s="56" t="inlineStr">
        <is>
          <t>HERRERIA</t>
        </is>
      </c>
      <c r="E918" s="56" t="inlineStr">
        <is>
          <t>ANGULO SIDER 25 X 3 MM X 6 METROS</t>
        </is>
      </c>
    </row>
    <row r="919" hidden="1" s="11">
      <c r="C919" s="56">
        <f>TEXT(COUNTIF($D$7:D919, D919), "00000") &amp; "-" &amp; VLOOKUP(D919, $J$7:$K$19, 2, FALSE)</f>
        <v/>
      </c>
      <c r="D919" s="56" t="inlineStr">
        <is>
          <t>HERRERIA</t>
        </is>
      </c>
      <c r="E919" s="56" t="inlineStr">
        <is>
          <t>ALDABA GALVANIZADO 1 14 X 316</t>
        </is>
      </c>
    </row>
    <row r="920" hidden="1" s="11">
      <c r="C920" s="56">
        <f>TEXT(COUNTIF($D$7:D920, D920), "00000") &amp; "-" &amp; VLOOKUP(D920, $J$7:$K$19, 2, FALSE)</f>
        <v/>
      </c>
      <c r="D920" s="56" t="inlineStr">
        <is>
          <t>LIMPIEZA</t>
        </is>
      </c>
      <c r="E920" s="56" t="inlineStr">
        <is>
          <t>SODA CAUSTUCA EN ESCAMA AL 99,7% (KG)</t>
        </is>
      </c>
    </row>
    <row r="921" hidden="1" s="11">
      <c r="C921" s="56">
        <f>TEXT(COUNTIF($D$7:D921, D921), "00000") &amp; "-" &amp; VLOOKUP(D921, $J$7:$K$19, 2, FALSE)</f>
        <v/>
      </c>
      <c r="D921" s="56" t="inlineStr">
        <is>
          <t>ELECTRONICO</t>
        </is>
      </c>
      <c r="E921" s="56" t="inlineStr">
        <is>
          <t>CORNETA INALAMBRICA BLUETOOTW 10W AZUL JVC</t>
        </is>
      </c>
    </row>
    <row r="922" hidden="1" s="11">
      <c r="C922" s="56">
        <f>TEXT(COUNTIF($D$7:D922, D922), "00000") &amp; "-" &amp; VLOOKUP(D922, $J$7:$K$19, 2, FALSE)</f>
        <v/>
      </c>
      <c r="D922" s="56" t="inlineStr">
        <is>
          <t>ELECTRONICO</t>
        </is>
      </c>
      <c r="E922" s="56" t="inlineStr">
        <is>
          <t>CORNETA PORTATIL INALAMBRICA 25W RIVIERA</t>
        </is>
      </c>
    </row>
    <row r="923" hidden="1" s="11">
      <c r="C923" s="56">
        <f>TEXT(COUNTIF($D$7:D923, D923), "00000") &amp; "-" &amp; VLOOKUP(D923, $J$7:$K$19, 2, FALSE)</f>
        <v/>
      </c>
      <c r="D923" s="56" t="inlineStr">
        <is>
          <t>ELECTRONICO</t>
        </is>
      </c>
      <c r="E923" s="56" t="inlineStr">
        <is>
          <t>SANDWICHERA DE 2 REBANADAS ANTIADHERENTE DAEWOO</t>
        </is>
      </c>
    </row>
    <row r="924" hidden="1" s="11">
      <c r="C924" s="56">
        <f>TEXT(COUNTIF($D$7:D924, D924), "00000") &amp; "-" &amp; VLOOKUP(D924, $J$7:$K$19, 2, FALSE)</f>
        <v/>
      </c>
      <c r="D924" s="56" t="inlineStr">
        <is>
          <t>ELECTRONICO</t>
        </is>
      </c>
      <c r="E924" s="56" t="inlineStr">
        <is>
          <t>PLANCHA A VAPOR AZUL WESTINGHOUSE</t>
        </is>
      </c>
    </row>
    <row r="925" hidden="1" s="11">
      <c r="C925" s="56">
        <f>TEXT(COUNTIF($D$7:D925, D925), "00000") &amp; "-" &amp; VLOOKUP(D925, $J$7:$K$19, 2, FALSE)</f>
        <v/>
      </c>
      <c r="D925" s="56" t="inlineStr">
        <is>
          <t>FERRETERIA</t>
        </is>
      </c>
      <c r="E925" s="56" t="inlineStr">
        <is>
          <t>CERRADURA PARA EMBUTIR 45MM</t>
        </is>
      </c>
    </row>
    <row r="926" hidden="1" s="11">
      <c r="C926" s="56">
        <f>TEXT(COUNTIF($D$7:D926, D926), "00000") &amp; "-" &amp; VLOOKUP(D926, $J$7:$K$19, 2, FALSE)</f>
        <v/>
      </c>
      <c r="D926" s="56" t="inlineStr">
        <is>
          <t>ELECTRICIDAD</t>
        </is>
      </c>
      <c r="E926" s="56" t="inlineStr">
        <is>
          <t>CURVA PARA TUBERIA ELECTRICA 1"</t>
        </is>
      </c>
    </row>
    <row r="927" hidden="1" s="11">
      <c r="C927" s="56">
        <f>TEXT(COUNTIF($D$7:D927, D927), "00000") &amp; "-" &amp; VLOOKUP(D927, $J$7:$K$19, 2, FALSE)</f>
        <v/>
      </c>
      <c r="D927" s="56" t="inlineStr">
        <is>
          <t>ELECTRICIDAD</t>
        </is>
      </c>
      <c r="E927" s="56" t="inlineStr">
        <is>
          <t>CONTACTOR 3 POLOS 220V 75A</t>
        </is>
      </c>
    </row>
    <row r="928" hidden="1" s="11">
      <c r="C928" s="56">
        <f>TEXT(COUNTIF($D$7:D928, D928), "00000") &amp; "-" &amp; VLOOKUP(D928, $J$7:$K$19, 2, FALSE)</f>
        <v/>
      </c>
      <c r="D928" s="56" t="inlineStr">
        <is>
          <t>ELECTRONICO</t>
        </is>
      </c>
      <c r="E928" s="56" t="inlineStr">
        <is>
          <t>AUDIFONOS INALAMBRICOS E01 NEGRO DBEO</t>
        </is>
      </c>
    </row>
    <row r="929" hidden="1" s="11">
      <c r="C929" s="56">
        <f>TEXT(COUNTIF($D$7:D929, D929), "00000") &amp; "-" &amp; VLOOKUP(D929, $J$7:$K$19, 2, FALSE)</f>
        <v/>
      </c>
      <c r="D929" s="56" t="inlineStr">
        <is>
          <t>ELECTRONICO</t>
        </is>
      </c>
      <c r="E929" s="56" t="inlineStr">
        <is>
          <t>AUDIFONOS INALAMBRICOS E04 NEGRO DBEO</t>
        </is>
      </c>
    </row>
    <row r="930" hidden="1" s="11">
      <c r="C930" s="56">
        <f>TEXT(COUNTIF($D$7:D930, D930), "00000") &amp; "-" &amp; VLOOKUP(D930, $J$7:$K$19, 2, FALSE)</f>
        <v/>
      </c>
      <c r="D930" s="56" t="inlineStr">
        <is>
          <t>ELECTRONICO</t>
        </is>
      </c>
      <c r="E930" s="56" t="inlineStr">
        <is>
          <t>AUDIFONOS DE CONDUCCION OSEA BC3 NEGRO</t>
        </is>
      </c>
    </row>
    <row r="931" hidden="1" s="11">
      <c r="C931" s="56">
        <f>TEXT(COUNTIF($D$7:D931, D931), "00000") &amp; "-" &amp; VLOOKUP(D931, $J$7:$K$19, 2, FALSE)</f>
        <v/>
      </c>
      <c r="D931" s="56" t="inlineStr">
        <is>
          <t>ELECTRONICO</t>
        </is>
      </c>
      <c r="E931" s="56" t="inlineStr">
        <is>
          <t>FREIDORA DE AIRE DIGITAL 3L NEGRO DAEWOO</t>
        </is>
      </c>
    </row>
    <row r="932" hidden="1" s="11">
      <c r="C932" s="56">
        <f>TEXT(COUNTIF($D$7:D932, D932), "00000") &amp; "-" &amp; VLOOKUP(D932, $J$7:$K$19, 2, FALSE)</f>
        <v/>
      </c>
      <c r="D932" s="56" t="inlineStr">
        <is>
          <t>ELECTRONICO</t>
        </is>
      </c>
      <c r="E932" s="56" t="inlineStr">
        <is>
          <t>LICUADORA 1.5L 2 VELOCIDADES GRIS DAEWOO</t>
        </is>
      </c>
    </row>
    <row r="933" hidden="1" s="11">
      <c r="C933" s="56">
        <f>TEXT(COUNTIF($D$7:D933, D933), "00000") &amp; "-" &amp; VLOOKUP(D933, $J$7:$K$19, 2, FALSE)</f>
        <v/>
      </c>
      <c r="D933" s="56" t="inlineStr">
        <is>
          <t>ELECTRONICO</t>
        </is>
      </c>
      <c r="E933" s="56" t="inlineStr">
        <is>
          <t>LICUADORA 1.5L 2 VELOCIDADES NEGRO DAEWOO</t>
        </is>
      </c>
    </row>
    <row r="934" hidden="1" s="11">
      <c r="C934" s="56">
        <f>TEXT(COUNTIF($D$7:D934, D934), "00000") &amp; "-" &amp; VLOOKUP(D934, $J$7:$K$19, 2, FALSE)</f>
        <v/>
      </c>
      <c r="D934" s="56" t="inlineStr">
        <is>
          <t>ELECTRONICO</t>
        </is>
      </c>
      <c r="E934" s="56" t="inlineStr">
        <is>
          <t>HORNILLA ELECT. 1 HORNILLA G-LEY</t>
        </is>
      </c>
    </row>
    <row r="935" hidden="1" s="11">
      <c r="C935" s="56">
        <f>TEXT(COUNTIF($D$7:D935, D935), "00000") &amp; "-" &amp; VLOOKUP(D935, $J$7:$K$19, 2, FALSE)</f>
        <v/>
      </c>
      <c r="D935" s="56" t="inlineStr">
        <is>
          <t>ELECTRONICO</t>
        </is>
      </c>
      <c r="E935" s="56" t="inlineStr">
        <is>
          <t>CAFETERA 12 TAZAS NEGRO BREMEN</t>
        </is>
      </c>
    </row>
    <row r="936" hidden="1" s="11">
      <c r="C936" s="56">
        <f>TEXT(COUNTIF($D$7:D936, D936), "00000") &amp; "-" &amp; VLOOKUP(D936, $J$7:$K$19, 2, FALSE)</f>
        <v/>
      </c>
      <c r="D936" s="56" t="inlineStr">
        <is>
          <t>ELECTRONICO</t>
        </is>
      </c>
      <c r="E936" s="56" t="inlineStr">
        <is>
          <t>CORNETA 8" C/BLUETOOTH NEGRO HYUNDAI</t>
        </is>
      </c>
    </row>
    <row r="937" hidden="1" s="11">
      <c r="C937" s="56">
        <f>TEXT(COUNTIF($D$7:D937, D937), "00000") &amp; "-" &amp; VLOOKUP(D937, $J$7:$K$19, 2, FALSE)</f>
        <v/>
      </c>
      <c r="D937" s="56" t="inlineStr">
        <is>
          <t>ELECTRONICO</t>
        </is>
      </c>
      <c r="E937" s="56" t="inlineStr">
        <is>
          <t>SMARTV NEGRO 32" HYUNDAI</t>
        </is>
      </c>
    </row>
    <row r="938" hidden="1" s="11">
      <c r="C938" s="56">
        <f>TEXT(COUNTIF($D$7:D938, D938), "00000") &amp; "-" &amp; VLOOKUP(D938, $J$7:$K$19, 2, FALSE)</f>
        <v/>
      </c>
      <c r="D938" s="56" t="inlineStr">
        <is>
          <t>ELECTRONICO</t>
        </is>
      </c>
      <c r="E938" s="56" t="inlineStr">
        <is>
          <t>LAVADORA SEMIAUTOMATICA BLANCO HYUNDAI</t>
        </is>
      </c>
    </row>
    <row r="939" hidden="1" s="11">
      <c r="C939" s="56">
        <f>TEXT(COUNTIF($D$7:D939, D939), "00000") &amp; "-" &amp; VLOOKUP(D939, $J$7:$K$19, 2, FALSE)</f>
        <v/>
      </c>
      <c r="D939" s="56" t="inlineStr">
        <is>
          <t>ELECTRONICO</t>
        </is>
      </c>
      <c r="E939" s="56" t="inlineStr">
        <is>
          <t>AIRE ACONDICIONADO 5000BTU VENTANA 110V</t>
        </is>
      </c>
    </row>
    <row r="940" hidden="1" s="11">
      <c r="C940" s="56">
        <f>TEXT(COUNTIF($D$7:D940, D940), "00000") &amp; "-" &amp; VLOOKUP(D940, $J$7:$K$19, 2, FALSE)</f>
        <v/>
      </c>
      <c r="D940" s="56" t="inlineStr">
        <is>
          <t>OFICINA</t>
        </is>
      </c>
      <c r="E940" s="56" t="inlineStr">
        <is>
          <t>CAJA CHINCHES 100 UND</t>
        </is>
      </c>
    </row>
    <row r="941" hidden="1" s="11">
      <c r="C941" s="56">
        <f>TEXT(COUNTIF($D$7:D941, D941), "00000") &amp; "-" &amp; VLOOKUP(D941, $J$7:$K$19, 2, FALSE)</f>
        <v/>
      </c>
      <c r="D941" s="56" t="inlineStr">
        <is>
          <t>OFICINA</t>
        </is>
      </c>
      <c r="E941" s="56" t="inlineStr">
        <is>
          <t>MARCADOR DE PIZARRA ROJO</t>
        </is>
      </c>
    </row>
    <row r="942" hidden="1" s="11">
      <c r="C942" s="56">
        <f>TEXT(COUNTIF($D$7:D942, D942), "00000") &amp; "-" &amp; VLOOKUP(D942, $J$7:$K$19, 2, FALSE)</f>
        <v/>
      </c>
      <c r="D942" s="56" t="inlineStr">
        <is>
          <t>OFICINA</t>
        </is>
      </c>
      <c r="E942" s="56" t="inlineStr">
        <is>
          <t>CARPETA LOMO ANCHO</t>
        </is>
      </c>
    </row>
    <row r="943" hidden="1" s="11">
      <c r="C943" s="56">
        <f>TEXT(COUNTIF($D$7:D943, D943), "00000") &amp; "-" &amp; VLOOKUP(D943, $J$7:$K$19, 2, FALSE)</f>
        <v/>
      </c>
      <c r="D943" s="56" t="inlineStr">
        <is>
          <t>MISCELANEOS</t>
        </is>
      </c>
      <c r="E943" s="56" t="inlineStr">
        <is>
          <t>ENVOPLAST USO INDUSTRIAL</t>
        </is>
      </c>
    </row>
    <row r="944" hidden="1" s="11">
      <c r="C944" s="56">
        <f>TEXT(COUNTIF($D$7:D944, D944), "00000") &amp; "-" &amp; VLOOKUP(D944, $J$7:$K$19, 2, FALSE)</f>
        <v/>
      </c>
      <c r="D944" s="56" t="inlineStr">
        <is>
          <t>ELECTRONICO</t>
        </is>
      </c>
      <c r="E944" s="56" t="inlineStr">
        <is>
          <t>BOMBA DE AGUA 1/2 HP 370W</t>
        </is>
      </c>
    </row>
    <row r="945" hidden="1" s="11">
      <c r="C945" s="56">
        <f>TEXT(COUNTIF($D$7:D945, D945), "00000") &amp; "-" &amp; VLOOKUP(D945, $J$7:$K$19, 2, FALSE)</f>
        <v/>
      </c>
      <c r="D945" s="56" t="inlineStr">
        <is>
          <t>ILUMINACION</t>
        </is>
      </c>
      <c r="E945" s="56" t="inlineStr">
        <is>
          <t>REFLECTOR LED 150W</t>
        </is>
      </c>
    </row>
    <row r="946" hidden="1" s="11">
      <c r="C946" s="56">
        <f>TEXT(COUNTIF($D$7:D946, D946), "00000") &amp; "-" &amp; VLOOKUP(D946, $J$7:$K$19, 2, FALSE)</f>
        <v/>
      </c>
      <c r="D946" s="56" t="inlineStr">
        <is>
          <t>REFRIGERACION</t>
        </is>
      </c>
      <c r="E946" s="56" t="inlineStr">
        <is>
          <t>CONTROLADOR DIGITAL CONSERVACION</t>
        </is>
      </c>
    </row>
    <row r="947" hidden="1" s="11">
      <c r="C947" s="56">
        <f>TEXT(COUNTIF($D$7:D947, D947), "00000") &amp; "-" &amp; VLOOKUP(D947, $J$7:$K$19, 2, FALSE)</f>
        <v/>
      </c>
      <c r="D947" s="56" t="inlineStr">
        <is>
          <t>REFRIGERACION</t>
        </is>
      </c>
      <c r="E947" s="56" t="inlineStr">
        <is>
          <t>CONTACTOR 30A 2 POLOS 110V</t>
        </is>
      </c>
    </row>
    <row r="948" hidden="1" s="11">
      <c r="C948" s="56">
        <f>TEXT(COUNTIF($D$7:D948, D948), "00000") &amp; "-" &amp; VLOOKUP(D948, $J$7:$K$19, 2, FALSE)</f>
        <v/>
      </c>
      <c r="D948" s="56" t="inlineStr">
        <is>
          <t>FERRETERIA</t>
        </is>
      </c>
      <c r="E948" s="56" t="inlineStr">
        <is>
          <t>RAMPLUG MARIPOSA C/TORNILLO 5/16</t>
        </is>
      </c>
    </row>
    <row r="949" hidden="1" s="11">
      <c r="C949" s="56">
        <f>TEXT(COUNTIF($D$7:D949, D949), "00000") &amp; "-" &amp; VLOOKUP(D949, $J$7:$K$19, 2, FALSE)</f>
        <v/>
      </c>
      <c r="D949" s="56" t="inlineStr">
        <is>
          <t>FERRETERIA</t>
        </is>
      </c>
      <c r="E949" s="56" t="inlineStr">
        <is>
          <t>ABRAZADERA 1,5</t>
        </is>
      </c>
    </row>
    <row r="950" hidden="1" s="11">
      <c r="C950" s="56">
        <f>TEXT(COUNTIF($D$7:D950, D950), "00000") &amp; "-" &amp; VLOOKUP(D950, $J$7:$K$19, 2, FALSE)</f>
        <v/>
      </c>
      <c r="D950" s="56" t="inlineStr">
        <is>
          <t>ELECTRICIDAD</t>
        </is>
      </c>
      <c r="E950" s="56" t="inlineStr">
        <is>
          <t>PROTECTOR TRIFASICO 220V</t>
        </is>
      </c>
    </row>
    <row r="951" hidden="1" s="11">
      <c r="C951" s="56">
        <f>TEXT(COUNTIF($D$7:D951, D951), "00000") &amp; "-" &amp; VLOOKUP(D951, $J$7:$K$19, 2, FALSE)</f>
        <v/>
      </c>
      <c r="D951" s="56" t="inlineStr">
        <is>
          <t>FERRETERIA</t>
        </is>
      </c>
      <c r="E951" s="56" t="inlineStr">
        <is>
          <t>CLAVO DE ACERO LISO 3/4</t>
        </is>
      </c>
    </row>
    <row r="952" hidden="1" s="11">
      <c r="C952" s="56">
        <f>TEXT(COUNTIF($D$7:D952, D952), "00000") &amp; "-" &amp; VLOOKUP(D952, $J$7:$K$19, 2, FALSE)</f>
        <v/>
      </c>
      <c r="D952" s="56" t="inlineStr">
        <is>
          <t>LIMPIEZA</t>
        </is>
      </c>
      <c r="E952" s="56" t="inlineStr">
        <is>
          <t>BOLSA PARA LA BASURA GRANDE</t>
        </is>
      </c>
    </row>
    <row r="953" hidden="1" s="11">
      <c r="C953" s="56">
        <f>TEXT(COUNTIF($D$7:D953, D953), "00000") &amp; "-" &amp; VLOOKUP(D953, $J$7:$K$19, 2, FALSE)</f>
        <v/>
      </c>
      <c r="D953" s="56" t="inlineStr">
        <is>
          <t>LIMPIEZA</t>
        </is>
      </c>
      <c r="E953" s="56" t="inlineStr">
        <is>
          <t>BOLSA PARA LA PAPELERA PEQUEÑA</t>
        </is>
      </c>
    </row>
    <row r="954" hidden="1" s="11">
      <c r="C954" s="56">
        <f>TEXT(COUNTIF($D$7:D954, D954), "00000") &amp; "-" &amp; VLOOKUP(D954, $J$7:$K$19, 2, FALSE)</f>
        <v/>
      </c>
      <c r="D954" s="56" t="inlineStr">
        <is>
          <t>HERRERIA</t>
        </is>
      </c>
      <c r="E954" s="56" t="inlineStr">
        <is>
          <t xml:space="preserve">CEPILLO DE ALAMBRE </t>
        </is>
      </c>
    </row>
    <row r="955" hidden="1" s="11">
      <c r="C955" s="56">
        <f>TEXT(COUNTIF($D$7:D955, D955), "00000") &amp; "-" &amp; VLOOKUP(D955, $J$7:$K$19, 2, FALSE)</f>
        <v/>
      </c>
      <c r="D955" s="56" t="inlineStr">
        <is>
          <t>HERRAMIENTA</t>
        </is>
      </c>
      <c r="E955" s="56" t="inlineStr">
        <is>
          <t>SOPLADORA Y ASPIRADORA 600W</t>
        </is>
      </c>
    </row>
    <row r="956" hidden="1" s="11">
      <c r="C956" s="56">
        <f>TEXT(COUNTIF($D$7:D956, D956), "00000") &amp; "-" &amp; VLOOKUP(D956, $J$7:$K$19, 2, FALSE)</f>
        <v/>
      </c>
      <c r="D956" s="56" t="inlineStr">
        <is>
          <t>HERRAMIENTA</t>
        </is>
      </c>
      <c r="E956" s="56" t="inlineStr">
        <is>
          <t>JUEGO DE LLAVES COMBINADAS</t>
        </is>
      </c>
    </row>
    <row r="957" hidden="1" s="11">
      <c r="C957" s="56">
        <f>TEXT(COUNTIF($D$7:D957, D957), "00000") &amp; "-" &amp; VLOOKUP(D957, $J$7:$K$19, 2, FALSE)</f>
        <v/>
      </c>
      <c r="D957" s="56" t="inlineStr">
        <is>
          <t>HERRAMIENTA</t>
        </is>
      </c>
      <c r="E957" s="56" t="inlineStr">
        <is>
          <t>LLAVE COMBINADA</t>
        </is>
      </c>
    </row>
    <row r="958" hidden="1" s="11">
      <c r="C958" s="56">
        <f>TEXT(COUNTIF($D$7:D958, D958), "00000") &amp; "-" &amp; VLOOKUP(D958, $J$7:$K$19, 2, FALSE)</f>
        <v/>
      </c>
      <c r="D958" s="56" t="inlineStr">
        <is>
          <t>HERRAMIENTA</t>
        </is>
      </c>
      <c r="E958" s="56" t="inlineStr">
        <is>
          <t>JUEGO DE RACHET 40 PZS DE 1/4 A 3/8</t>
        </is>
      </c>
    </row>
    <row r="959" hidden="1" s="11">
      <c r="C959" s="56">
        <f>TEXT(COUNTIF($D$7:D959, D959), "00000") &amp; "-" &amp; VLOOKUP(D959, $J$7:$K$19, 2, FALSE)</f>
        <v/>
      </c>
      <c r="D959" s="56" t="inlineStr">
        <is>
          <t>MISCELANEOS</t>
        </is>
      </c>
      <c r="E959" s="56" t="inlineStr">
        <is>
          <t>CESTA FRESERA</t>
        </is>
      </c>
    </row>
    <row r="960" hidden="1" s="11">
      <c r="C960" s="56">
        <f>TEXT(COUNTIF($D$7:D960, D960), "00000") &amp; "-" &amp; VLOOKUP(D960, $J$7:$K$19, 2, FALSE)</f>
        <v/>
      </c>
      <c r="D960" s="56" t="inlineStr">
        <is>
          <t>LIMPIEZA</t>
        </is>
      </c>
      <c r="E960" s="56" t="inlineStr">
        <is>
          <t>MOPA</t>
        </is>
      </c>
    </row>
    <row r="961" hidden="1" s="11">
      <c r="C961" s="56">
        <f>TEXT(COUNTIF($D$7:D961, D961), "00000") &amp; "-" &amp; VLOOKUP(D961, $J$7:$K$19, 2, FALSE)</f>
        <v/>
      </c>
      <c r="D961" s="56" t="inlineStr">
        <is>
          <t>ILUMINACION</t>
        </is>
      </c>
      <c r="E961" s="56" t="inlineStr">
        <is>
          <t>LAMPARA LED EMPOTRABLE 60 X 60 CM</t>
        </is>
      </c>
    </row>
    <row r="962" hidden="1" s="11">
      <c r="C962" s="56">
        <f>TEXT(COUNTIF($D$7:D962, D962), "00000") &amp; "-" &amp; VLOOKUP(D962, $J$7:$K$19, 2, FALSE)</f>
        <v/>
      </c>
      <c r="D962" s="56" t="inlineStr">
        <is>
          <t>FERRETERIA</t>
        </is>
      </c>
      <c r="E962" s="56" t="inlineStr">
        <is>
          <t>BARRA ROSCADA 5/16 2M</t>
        </is>
      </c>
    </row>
    <row r="963" hidden="1" s="11">
      <c r="C963" s="56">
        <f>TEXT(COUNTIF($D$7:D963, D963), "00000") &amp; "-" &amp; VLOOKUP(D963, $J$7:$K$19, 2, FALSE)</f>
        <v/>
      </c>
      <c r="D963" s="56" t="inlineStr">
        <is>
          <t>ELECTRICIDAD</t>
        </is>
      </c>
      <c r="E963" s="56" t="inlineStr">
        <is>
          <t>TUBO ELECTRICO 1" BLANCO 3 METRO</t>
        </is>
      </c>
    </row>
    <row r="964" hidden="1" s="11">
      <c r="C964" s="56">
        <f>TEXT(COUNTIF($D$7:D964, D964), "00000") &amp; "-" &amp; VLOOKUP(D964, $J$7:$K$19, 2, FALSE)</f>
        <v/>
      </c>
      <c r="D964" s="56" t="inlineStr">
        <is>
          <t>FERRETERIA</t>
        </is>
      </c>
      <c r="E964" s="56" t="inlineStr">
        <is>
          <t>TORNILLO AUTO ENROSCABLE C/HEX 12MM X 1,5</t>
        </is>
      </c>
    </row>
    <row r="965" hidden="1" s="11">
      <c r="C965" s="56">
        <f>TEXT(COUNTIF($D$7:D965, D965), "00000") &amp; "-" &amp; VLOOKUP(D965, $J$7:$K$19, 2, FALSE)</f>
        <v/>
      </c>
      <c r="D965" s="56" t="inlineStr">
        <is>
          <t>ELECTRICIDAD</t>
        </is>
      </c>
      <c r="E965" s="56" t="inlineStr">
        <is>
          <t>CABLE N° 8 VERDE (METRO)</t>
        </is>
      </c>
    </row>
    <row r="966" hidden="1" s="11">
      <c r="C966" s="56">
        <f>TEXT(COUNTIF($D$7:D966, D966), "00000") &amp; "-" &amp; VLOOKUP(D966, $J$7:$K$19, 2, FALSE)</f>
        <v/>
      </c>
      <c r="D966" s="56" t="inlineStr">
        <is>
          <t>ELECTRICIDAD</t>
        </is>
      </c>
      <c r="E966" s="56" t="inlineStr">
        <is>
          <t>CABLE N° 8 ROJO (METRO)</t>
        </is>
      </c>
    </row>
    <row r="967" hidden="1" s="11">
      <c r="C967" s="56">
        <f>TEXT(COUNTIF($D$7:D967, D967), "00000") &amp; "-" &amp; VLOOKUP(D967, $J$7:$K$19, 2, FALSE)</f>
        <v/>
      </c>
      <c r="D967" s="56" t="inlineStr">
        <is>
          <t>ELECTRICIDAD</t>
        </is>
      </c>
      <c r="E967" s="56" t="inlineStr">
        <is>
          <t>CABLE N° 2 ROJO (METRO)</t>
        </is>
      </c>
    </row>
    <row r="968" hidden="1" s="11">
      <c r="C968" s="56">
        <f>TEXT(COUNTIF($D$7:D968, D968), "00000") &amp; "-" &amp; VLOOKUP(D968, $J$7:$K$19, 2, FALSE)</f>
        <v/>
      </c>
      <c r="D968" s="56" t="inlineStr">
        <is>
          <t>ELECTRICIDAD</t>
        </is>
      </c>
      <c r="E968" s="56" t="inlineStr">
        <is>
          <t>CABLE N° 16 MARRON (METRO)</t>
        </is>
      </c>
    </row>
    <row r="969" hidden="1" s="11">
      <c r="C969" s="56">
        <f>TEXT(COUNTIF($D$7:D969, D969), "00000") &amp; "-" &amp; VLOOKUP(D969, $J$7:$K$19, 2, FALSE)</f>
        <v/>
      </c>
      <c r="D969" s="56" t="inlineStr">
        <is>
          <t>ELECTRICIDAD</t>
        </is>
      </c>
      <c r="E969" s="56" t="inlineStr">
        <is>
          <t>CABLE N° 16 VERDE (METRO)</t>
        </is>
      </c>
    </row>
    <row r="970" hidden="1" s="11">
      <c r="C970" s="56">
        <f>TEXT(COUNTIF($D$7:D970, D970), "00000") &amp; "-" &amp; VLOOKUP(D970, $J$7:$K$19, 2, FALSE)</f>
        <v/>
      </c>
      <c r="D970" s="56" t="inlineStr">
        <is>
          <t>ELECTRICIDAD</t>
        </is>
      </c>
      <c r="E970" s="56" t="inlineStr">
        <is>
          <t>CABLE N° 10 AZUL (METRO)</t>
        </is>
      </c>
    </row>
    <row r="971" hidden="1" s="11">
      <c r="C971" s="56">
        <f>TEXT(COUNTIF($D$7:D971, D971), "00000") &amp; "-" &amp; VLOOKUP(D971, $J$7:$K$19, 2, FALSE)</f>
        <v/>
      </c>
      <c r="D971" s="56" t="inlineStr">
        <is>
          <t>ILUMINACION</t>
        </is>
      </c>
      <c r="E971" s="56" t="inlineStr">
        <is>
          <t>BOMBILLO LED T5 44CM</t>
        </is>
      </c>
    </row>
    <row r="972" hidden="1" s="11">
      <c r="C972" s="56">
        <f>TEXT(COUNTIF($D$7:D972, D972), "00000") &amp; "-" &amp; VLOOKUP(D972, $J$7:$K$19, 2, FALSE)</f>
        <v/>
      </c>
      <c r="D972" s="56" t="inlineStr">
        <is>
          <t>REFRIGERACION</t>
        </is>
      </c>
      <c r="E972" s="56" t="inlineStr">
        <is>
          <t>TUBO DE COBRE FLEXIBLE 3/4 (METRO)</t>
        </is>
      </c>
    </row>
    <row r="973" hidden="1" s="11">
      <c r="C973" s="56">
        <f>TEXT(COUNTIF($D$7:D973, D973), "00000") &amp; "-" &amp; VLOOKUP(D973, $J$7:$K$19, 2, FALSE)</f>
        <v/>
      </c>
      <c r="D973" s="56" t="inlineStr">
        <is>
          <t>FERRETERIA</t>
        </is>
      </c>
      <c r="E973" s="56" t="inlineStr">
        <is>
          <t>RODAMIENTO 6003 2RS</t>
        </is>
      </c>
    </row>
    <row r="974" hidden="1" s="11">
      <c r="C974" s="56">
        <f>TEXT(COUNTIF($D$7:D974, D974), "00000") &amp; "-" &amp; VLOOKUP(D974, $J$7:$K$19, 2, FALSE)</f>
        <v/>
      </c>
      <c r="D974" s="56" t="inlineStr">
        <is>
          <t>PLOMERIA</t>
        </is>
      </c>
      <c r="E974" s="56" t="inlineStr">
        <is>
          <t>TUBO 1" PVC (METRO)</t>
        </is>
      </c>
    </row>
    <row r="975" hidden="1" s="11">
      <c r="C975" s="56">
        <f>TEXT(COUNTIF($D$7:D975, D975), "00000") &amp; "-" &amp; VLOOKUP(D975, $J$7:$K$19, 2, FALSE)</f>
        <v/>
      </c>
      <c r="D975" s="56" t="inlineStr">
        <is>
          <t>PLOMERIA</t>
        </is>
      </c>
      <c r="E975" s="56" t="inlineStr">
        <is>
          <t>PEGA PVC VERDE MULTI PROPOSITO</t>
        </is>
      </c>
    </row>
    <row r="976" hidden="1" s="11">
      <c r="C976" s="56">
        <f>TEXT(COUNTIF($D$7:D976, D976), "00000") &amp; "-" &amp; VLOOKUP(D976, $J$7:$K$19, 2, FALSE)</f>
        <v/>
      </c>
      <c r="D976" s="56" t="inlineStr">
        <is>
          <t>FERRETERIA</t>
        </is>
      </c>
      <c r="E976" s="56" t="inlineStr">
        <is>
          <t>PEGA CENTRAL PARK 7000 GALON</t>
        </is>
      </c>
    </row>
    <row r="977" hidden="1" s="11">
      <c r="C977" s="56">
        <f>TEXT(COUNTIF($D$7:D977, D977), "00000") &amp; "-" &amp; VLOOKUP(D977, $J$7:$K$19, 2, FALSE)</f>
        <v/>
      </c>
      <c r="D977" s="56" t="inlineStr">
        <is>
          <t>ELECTRONICO</t>
        </is>
      </c>
      <c r="E977" s="56" t="inlineStr">
        <is>
          <t>VENTILADOR INDUSTRIAL 26" TIPO AEREO ROCCIA</t>
        </is>
      </c>
    </row>
    <row r="978" hidden="1" s="11">
      <c r="C978" s="56">
        <f>TEXT(COUNTIF($D$7:D978, D978), "00000") &amp; "-" &amp; VLOOKUP(D978, $J$7:$K$19, 2, FALSE)</f>
        <v/>
      </c>
      <c r="D978" s="56" t="inlineStr">
        <is>
          <t>FERRETERIA</t>
        </is>
      </c>
      <c r="E978" s="56" t="inlineStr">
        <is>
          <t>CLAVO DULCE C/CABEZA 3"</t>
        </is>
      </c>
    </row>
    <row r="979" hidden="1" s="11">
      <c r="C979" s="56">
        <f>TEXT(COUNTIF($D$7:D979, D979), "00000") &amp; "-" &amp; VLOOKUP(D979, $J$7:$K$19, 2, FALSE)</f>
        <v/>
      </c>
      <c r="D979" s="56" t="inlineStr">
        <is>
          <t>ELECTRICIDAD</t>
        </is>
      </c>
      <c r="E979" s="56" t="inlineStr">
        <is>
          <t>CABLE N°12 AZUL (METRO)</t>
        </is>
      </c>
    </row>
    <row r="980" hidden="1" s="11">
      <c r="C980" s="56">
        <f>TEXT(COUNTIF($D$7:D980, D980), "00000") &amp; "-" &amp; VLOOKUP(D980, $J$7:$K$19, 2, FALSE)</f>
        <v/>
      </c>
      <c r="D980" s="56" t="inlineStr">
        <is>
          <t>ELECTRICIDAD</t>
        </is>
      </c>
      <c r="E980" s="56" t="inlineStr">
        <is>
          <t>CABLE N° 16 NEGRO (METRO)</t>
        </is>
      </c>
    </row>
    <row r="981" hidden="1" s="11">
      <c r="C981" s="56">
        <f>TEXT(COUNTIF($D$7:D981, D981), "00000") &amp; "-" &amp; VLOOKUP(D981, $J$7:$K$19, 2, FALSE)</f>
        <v/>
      </c>
      <c r="D981" s="56" t="inlineStr">
        <is>
          <t>REFRIGERACION</t>
        </is>
      </c>
      <c r="E981" s="56" t="inlineStr">
        <is>
          <t>ARMAFLEX 3/4</t>
        </is>
      </c>
    </row>
    <row r="982" hidden="1" s="11">
      <c r="C982" s="56">
        <f>TEXT(COUNTIF($D$7:D982, D982), "00000") &amp; "-" &amp; VLOOKUP(D982, $J$7:$K$19, 2, FALSE)</f>
        <v/>
      </c>
      <c r="D982" s="56" t="inlineStr">
        <is>
          <t>REFRIGERACION</t>
        </is>
      </c>
      <c r="E982" s="56" t="inlineStr">
        <is>
          <t>CONTACTOR 50A 3 POLOS 220V</t>
        </is>
      </c>
    </row>
    <row r="983" hidden="1" s="11">
      <c r="C983" s="56">
        <f>TEXT(COUNTIF($D$7:D983, D983), "00000") &amp; "-" &amp; VLOOKUP(D983, $J$7:$K$19, 2, FALSE)</f>
        <v/>
      </c>
      <c r="D983" s="56" t="inlineStr">
        <is>
          <t>ELECTRONICO</t>
        </is>
      </c>
      <c r="E983" s="56" t="inlineStr">
        <is>
          <t>ASPIRADORA INDUSTRIAL 30L 1400W</t>
        </is>
      </c>
    </row>
    <row r="984" hidden="1" s="11">
      <c r="C984" s="56">
        <f>TEXT(COUNTIF($D$7:D984, D984), "00000") &amp; "-" &amp; VLOOKUP(D984, $J$7:$K$19, 2, FALSE)</f>
        <v/>
      </c>
      <c r="D984" s="56" t="inlineStr">
        <is>
          <t>AUTOMOTRIZ</t>
        </is>
      </c>
      <c r="E984" s="56" t="inlineStr">
        <is>
          <t>CONECTOR DE ALTERNADOR DE MONTACARGA TOYOTA</t>
        </is>
      </c>
    </row>
    <row r="985" hidden="1" s="11">
      <c r="C985" s="56">
        <f>TEXT(COUNTIF($D$7:D985, D985), "00000") &amp; "-" &amp; VLOOKUP(D985, $J$7:$K$19, 2, FALSE)</f>
        <v/>
      </c>
      <c r="D985" s="56" t="inlineStr">
        <is>
          <t>REFRIGERACION</t>
        </is>
      </c>
      <c r="E985" s="56" t="inlineStr">
        <is>
          <t>CAPACITOR DE MARCHA 7MCF 370/440V</t>
        </is>
      </c>
    </row>
    <row r="986" hidden="1" s="11">
      <c r="C986" s="56">
        <f>TEXT(COUNTIF($D$7:D986, D986), "00000") &amp; "-" &amp; VLOOKUP(D986, $J$7:$K$19, 2, FALSE)</f>
        <v/>
      </c>
      <c r="D986" s="56" t="inlineStr">
        <is>
          <t>REFRIGERACION</t>
        </is>
      </c>
      <c r="E986" s="56" t="inlineStr">
        <is>
          <t>CAPACITOR  DE ARRANQUE 64-77MFD 330VAC</t>
        </is>
      </c>
    </row>
    <row r="987" hidden="1" s="11">
      <c r="C987" s="56">
        <f>TEXT(COUNTIF($D$7:D987, D987), "00000") &amp; "-" &amp; VLOOKUP(D987, $J$7:$K$19, 2, FALSE)</f>
        <v/>
      </c>
      <c r="D987" s="56" t="inlineStr">
        <is>
          <t>ILUMINACION</t>
        </is>
      </c>
      <c r="E987" s="56" t="inlineStr">
        <is>
          <t>REFLECTOR LED 200W</t>
        </is>
      </c>
    </row>
    <row r="988" hidden="1" s="11">
      <c r="C988" s="56">
        <f>TEXT(COUNTIF($D$7:D988, D988), "00000") &amp; "-" &amp; VLOOKUP(D988, $J$7:$K$19, 2, FALSE)</f>
        <v/>
      </c>
      <c r="D988" s="56" t="inlineStr">
        <is>
          <t>AUTOMOTRIZ</t>
        </is>
      </c>
      <c r="E988" s="56" t="inlineStr">
        <is>
          <t>EMPACADURA FRONTAL 4BT-JAC 1061-DUOLIKA</t>
        </is>
      </c>
    </row>
    <row r="989" hidden="1" s="11">
      <c r="C989" s="56">
        <f>TEXT(COUNTIF($D$7:D989, D989), "00000") &amp; "-" &amp; VLOOKUP(D989, $J$7:$K$19, 2, FALSE)</f>
        <v/>
      </c>
      <c r="D989" s="56" t="inlineStr">
        <is>
          <t>AUTOMOTRIZ</t>
        </is>
      </c>
      <c r="E989" s="56" t="inlineStr">
        <is>
          <t>CORREA DE PLANTA MODELO 8PK1460</t>
        </is>
      </c>
    </row>
    <row r="990" hidden="1" s="11">
      <c r="C990" s="56">
        <f>TEXT(COUNTIF($D$7:D990, D990), "00000") &amp; "-" &amp; VLOOKUP(D990, $J$7:$K$19, 2, FALSE)</f>
        <v/>
      </c>
      <c r="D990" s="56" t="inlineStr">
        <is>
          <t>AUTOMOTRIZ</t>
        </is>
      </c>
      <c r="E990" s="56" t="inlineStr">
        <is>
          <t>ESTOPERA 4991305</t>
        </is>
      </c>
    </row>
    <row r="991" hidden="1" s="11">
      <c r="C991" s="56">
        <f>TEXT(COUNTIF($D$7:D991, D991), "00000") &amp; "-" &amp; VLOOKUP(D991, $J$7:$K$19, 2, FALSE)</f>
        <v/>
      </c>
      <c r="D991" s="56" t="inlineStr">
        <is>
          <t>MISCELANEOS</t>
        </is>
      </c>
      <c r="E991" s="56" t="inlineStr">
        <is>
          <t>BANDEJA PET REDONDA 36CM NEGRO</t>
        </is>
      </c>
    </row>
    <row r="992" hidden="1" s="11">
      <c r="C992" s="56">
        <f>TEXT(COUNTIF($D$7:D992, D992), "00000") &amp; "-" &amp; VLOOKUP(D992, $J$7:$K$19, 2, FALSE)</f>
        <v/>
      </c>
      <c r="D992" s="56" t="inlineStr">
        <is>
          <t>AUTOMOTRIZ</t>
        </is>
      </c>
      <c r="E992" s="56" t="inlineStr">
        <is>
          <t>MANILLA DELANTERA DERECHA DE AVEO</t>
        </is>
      </c>
    </row>
    <row r="993" hidden="1" s="11">
      <c r="C993" s="56">
        <f>TEXT(COUNTIF($D$7:D993, D993), "00000") &amp; "-" &amp; VLOOKUP(D993, $J$7:$K$19, 2, FALSE)</f>
        <v/>
      </c>
      <c r="D993" s="56" t="inlineStr">
        <is>
          <t>FERRETERIA</t>
        </is>
      </c>
      <c r="E993" s="56" t="inlineStr">
        <is>
          <t>MECATE #3 3/16 (METRO)</t>
        </is>
      </c>
    </row>
    <row r="994" hidden="1" s="11">
      <c r="C994" s="56">
        <f>TEXT(COUNTIF($D$7:D994, D994), "00000") &amp; "-" &amp; VLOOKUP(D994, $J$7:$K$19, 2, FALSE)</f>
        <v/>
      </c>
      <c r="D994" s="56" t="inlineStr">
        <is>
          <t>FERRETERIA</t>
        </is>
      </c>
      <c r="E994" s="56" t="inlineStr">
        <is>
          <t>DISCO PARA SIERRA CIRCULAR 4"</t>
        </is>
      </c>
    </row>
    <row r="995" hidden="1" s="11">
      <c r="C995" s="56">
        <f>TEXT(COUNTIF($D$7:D995, D995), "00000") &amp; "-" &amp; VLOOKUP(D995, $J$7:$K$19, 2, FALSE)</f>
        <v/>
      </c>
      <c r="D995" s="56" t="inlineStr">
        <is>
          <t>AUTOMOTRIZ</t>
        </is>
      </c>
      <c r="E995" s="56" t="inlineStr">
        <is>
          <t>FILTRO COMBUSTIBLE ML. 4102</t>
        </is>
      </c>
    </row>
    <row r="996" hidden="1" s="11">
      <c r="C996" s="56">
        <f>TEXT(COUNTIF($D$7:D996, D996), "00000") &amp; "-" &amp; VLOOKUP(D996, $J$7:$K$19, 2, FALSE)</f>
        <v/>
      </c>
      <c r="D996" s="56" t="inlineStr">
        <is>
          <t>AUTOMOTRIZ</t>
        </is>
      </c>
      <c r="E996" s="56" t="inlineStr">
        <is>
          <t>FILTRO ACEITE ML 5566</t>
        </is>
      </c>
    </row>
    <row r="997" hidden="1" s="11">
      <c r="C997" s="56">
        <f>TEXT(COUNTIF($D$7:D997, D997), "00000") &amp; "-" &amp; VLOOKUP(D997, $J$7:$K$19, 2, FALSE)</f>
        <v/>
      </c>
      <c r="D997" s="56" t="inlineStr">
        <is>
          <t>AUTOMOTRIZ</t>
        </is>
      </c>
      <c r="E997" s="56" t="inlineStr">
        <is>
          <t>GALON REFRIGERANTE ROJO</t>
        </is>
      </c>
    </row>
    <row r="998" hidden="1" s="11">
      <c r="C998" s="56">
        <f>TEXT(COUNTIF($D$7:D998, D998), "00000") &amp; "-" &amp; VLOOKUP(D998, $J$7:$K$19, 2, FALSE)</f>
        <v/>
      </c>
      <c r="D998" s="56" t="inlineStr">
        <is>
          <t>ELECTRICIDAD</t>
        </is>
      </c>
      <c r="E998" s="56" t="inlineStr">
        <is>
          <t>ENCHUNFE DE GOMA 20A</t>
        </is>
      </c>
    </row>
    <row r="999" hidden="1" s="11">
      <c r="C999" s="56">
        <f>TEXT(COUNTIF($D$7:D999, D999), "00000") &amp; "-" &amp; VLOOKUP(D999, $J$7:$K$19, 2, FALSE)</f>
        <v/>
      </c>
      <c r="D999" s="56" t="inlineStr">
        <is>
          <t>REFRIGERACION</t>
        </is>
      </c>
      <c r="E999" s="56" t="inlineStr">
        <is>
          <t>CONTROLADOR DIGITAL FULL GAUGE</t>
        </is>
      </c>
    </row>
    <row r="1000" hidden="1" s="11">
      <c r="C1000" s="56">
        <f>TEXT(COUNTIF($D$7:D1000, D1000), "00000") &amp; "-" &amp; VLOOKUP(D1000, $J$7:$K$19, 2, FALSE)</f>
        <v/>
      </c>
      <c r="D1000" s="56" t="inlineStr">
        <is>
          <t>ELECTRICIDAD</t>
        </is>
      </c>
      <c r="E1000" s="56" t="inlineStr">
        <is>
          <t>PORTAFUSIBLE EN LINEA</t>
        </is>
      </c>
    </row>
    <row r="1001" hidden="1" s="11">
      <c r="C1001" s="56">
        <f>TEXT(COUNTIF($D$7:D1001, D1001), "00000") &amp; "-" &amp; VLOOKUP(D1001, $J$7:$K$19, 2, FALSE)</f>
        <v/>
      </c>
      <c r="D1001" s="56" t="inlineStr">
        <is>
          <t>REFRIGERACION</t>
        </is>
      </c>
      <c r="E1001" s="56" t="inlineStr">
        <is>
          <t>CAPILAR 0,54 (METRO)</t>
        </is>
      </c>
    </row>
    <row r="1002" hidden="1" s="11">
      <c r="C1002" s="56">
        <f>TEXT(COUNTIF($D$7:D1002, D1002), "00000") &amp; "-" &amp; VLOOKUP(D1002, $J$7:$K$19, 2, FALSE)</f>
        <v/>
      </c>
      <c r="D1002" s="56" t="inlineStr">
        <is>
          <t>ELECTRICIDAD</t>
        </is>
      </c>
      <c r="E1002" s="56" t="inlineStr">
        <is>
          <t>CONECTOR TUBULAR 4/0</t>
        </is>
      </c>
    </row>
    <row r="1003" hidden="1" s="11">
      <c r="C1003" s="56">
        <f>TEXT(COUNTIF($D$7:D1003, D1003), "00000") &amp; "-" &amp; VLOOKUP(D1003, $J$7:$K$19, 2, FALSE)</f>
        <v/>
      </c>
      <c r="D1003" s="56" t="inlineStr">
        <is>
          <t>ELECTRICIDAD</t>
        </is>
      </c>
      <c r="E1003" s="56" t="inlineStr">
        <is>
          <t>CONECTOR TUBULAR 2/0</t>
        </is>
      </c>
    </row>
    <row r="1004" hidden="1" s="11">
      <c r="C1004" s="56">
        <f>TEXT(COUNTIF($D$7:D1004, D1004), "00000") &amp; "-" &amp; VLOOKUP(D1004, $J$7:$K$19, 2, FALSE)</f>
        <v/>
      </c>
      <c r="D1004" s="56" t="inlineStr">
        <is>
          <t>ELECTRICIDAD</t>
        </is>
      </c>
      <c r="E1004" s="56" t="inlineStr">
        <is>
          <t>BARRACUDA 4/0</t>
        </is>
      </c>
    </row>
    <row r="1005" hidden="1" s="11">
      <c r="C1005" s="56">
        <f>TEXT(COUNTIF($D$7:D1005, D1005), "00000") &amp; "-" &amp; VLOOKUP(D1005, $J$7:$K$19, 2, FALSE)</f>
        <v/>
      </c>
      <c r="D1005" s="56" t="inlineStr">
        <is>
          <t>ELECTRICIDAD</t>
        </is>
      </c>
      <c r="E1005" s="56" t="inlineStr">
        <is>
          <t>BARRACUDA 2/0</t>
        </is>
      </c>
    </row>
    <row r="1006" hidden="1" s="11">
      <c r="C1006" s="56">
        <f>TEXT(COUNTIF($D$7:D1006, D1006), "00000") &amp; "-" &amp; VLOOKUP(D1006, $J$7:$K$19, 2, FALSE)</f>
        <v/>
      </c>
      <c r="D1006" s="56" t="inlineStr">
        <is>
          <t>ELECTRICIDAD</t>
        </is>
      </c>
      <c r="E1006" s="56" t="inlineStr">
        <is>
          <t>BARRACUDA 2</t>
        </is>
      </c>
    </row>
    <row r="1007" hidden="1" s="11">
      <c r="C1007" s="56">
        <f>TEXT(COUNTIF($D$7:D1007, D1007), "00000") &amp; "-" &amp; VLOOKUP(D1007, $J$7:$K$19, 2, FALSE)</f>
        <v/>
      </c>
      <c r="D1007" s="56" t="inlineStr">
        <is>
          <t>FERRETERIA</t>
        </is>
      </c>
      <c r="E1007" s="56" t="inlineStr">
        <is>
          <t>TIRRA NEGRO 4.8 X 380MM (UNIDAD)</t>
        </is>
      </c>
    </row>
    <row r="1008" hidden="1" s="11">
      <c r="C1008" s="56">
        <f>TEXT(COUNTIF($D$7:D1008, D1008), "00000") &amp; "-" &amp; VLOOKUP(D1008, $J$7:$K$19, 2, FALSE)</f>
        <v/>
      </c>
      <c r="D1008" s="56" t="inlineStr">
        <is>
          <t>FERRETERIA</t>
        </is>
      </c>
      <c r="E1008" s="56" t="inlineStr">
        <is>
          <t>TIRRA BLANCO 4.8 X 250MM (UNIDAD)</t>
        </is>
      </c>
    </row>
    <row r="1009" hidden="1" s="11">
      <c r="C1009" s="56">
        <f>TEXT(COUNTIF($D$7:D1009, D1009), "00000") &amp; "-" &amp; VLOOKUP(D1009, $J$7:$K$19, 2, FALSE)</f>
        <v/>
      </c>
      <c r="D1009" s="56" t="inlineStr">
        <is>
          <t>ELECTRICIDAD</t>
        </is>
      </c>
      <c r="E1009" s="56" t="inlineStr">
        <is>
          <t>CABLE N°18 ROJO (METRO)</t>
        </is>
      </c>
    </row>
    <row r="1010" hidden="1" s="11">
      <c r="C1010" s="56">
        <f>TEXT(COUNTIF($D$7:D1010, D1010), "00000") &amp; "-" &amp; VLOOKUP(D1010, $J$7:$K$19, 2, FALSE)</f>
        <v/>
      </c>
      <c r="D1010" s="56" t="inlineStr">
        <is>
          <t>AUTOMOTRIZ</t>
        </is>
      </c>
      <c r="E1010" s="56" t="inlineStr">
        <is>
          <t>SENSOR DE ACEITE 2 PINES (O-10) BAR</t>
        </is>
      </c>
    </row>
    <row r="1011" hidden="1" s="11">
      <c r="C1011" s="56">
        <f>TEXT(COUNTIF($D$7:D1011, D1011), "00000") &amp; "-" &amp; VLOOKUP(D1011, $J$7:$K$19, 2, FALSE)</f>
        <v/>
      </c>
      <c r="D1011" s="56" t="inlineStr">
        <is>
          <t>ELECTRONICO</t>
        </is>
      </c>
      <c r="E1011" s="56" t="inlineStr">
        <is>
          <t>SWICHE MICRO 16A</t>
        </is>
      </c>
    </row>
    <row r="1012" hidden="1" s="11">
      <c r="C1012" s="56">
        <f>TEXT(COUNTIF($D$7:D1012, D1012), "00000") &amp; "-" &amp; VLOOKUP(D1012, $J$7:$K$19, 2, FALSE)</f>
        <v/>
      </c>
      <c r="D1012" s="56" t="inlineStr">
        <is>
          <t>FERRETERIA</t>
        </is>
      </c>
      <c r="E1012" s="56" t="inlineStr">
        <is>
          <t xml:space="preserve">RUEDA NYLON 4X2 SUELTA </t>
        </is>
      </c>
    </row>
    <row r="1013" hidden="1" s="11">
      <c r="C1013" s="56">
        <f>TEXT(COUNTIF($D$7:D1013, D1013), "00000") &amp; "-" &amp; VLOOKUP(D1013, $J$7:$K$19, 2, FALSE)</f>
        <v/>
      </c>
      <c r="D1013" s="56" t="inlineStr">
        <is>
          <t>PLOMERIA</t>
        </is>
      </c>
      <c r="E1013" s="56" t="inlineStr">
        <is>
          <t>CODO 90° 2" P/ AGUA NEGRA</t>
        </is>
      </c>
    </row>
    <row r="1014" hidden="1" s="11">
      <c r="C1014" s="56">
        <f>TEXT(COUNTIF($D$7:D1014, D1014), "00000") &amp; "-" &amp; VLOOKUP(D1014, $J$7:$K$19, 2, FALSE)</f>
        <v/>
      </c>
      <c r="D1014" s="56" t="inlineStr">
        <is>
          <t>PLOMERIA</t>
        </is>
      </c>
      <c r="E1014" s="56" t="inlineStr">
        <is>
          <t>CODO 45° 2" P/ AGUA NEGRA</t>
        </is>
      </c>
    </row>
    <row r="1015" hidden="1" s="11">
      <c r="C1015" s="56">
        <f>TEXT(COUNTIF($D$7:D1015, D1015), "00000") &amp; "-" &amp; VLOOKUP(D1015, $J$7:$K$19, 2, FALSE)</f>
        <v/>
      </c>
      <c r="D1015" s="56" t="inlineStr">
        <is>
          <t>AUTOMOTRIZ</t>
        </is>
      </c>
      <c r="E1015" s="56" t="inlineStr">
        <is>
          <t>CONO VIAL FLEXIBLE</t>
        </is>
      </c>
    </row>
    <row r="1016" hidden="1" s="11">
      <c r="C1016" s="56">
        <f>TEXT(COUNTIF($D$7:D1016, D1016), "00000") &amp; "-" &amp; VLOOKUP(D1016, $J$7:$K$19, 2, FALSE)</f>
        <v/>
      </c>
      <c r="D1016" s="56" t="inlineStr">
        <is>
          <t>FERRETERIA</t>
        </is>
      </c>
      <c r="E1016" s="56" t="inlineStr">
        <is>
          <t>MANGUERA ESPIRAL TRANSPARENTE 3/4 (METRO)</t>
        </is>
      </c>
    </row>
    <row r="1017" hidden="1" s="11">
      <c r="C1017" s="56">
        <f>TEXT(COUNTIF($D$7:D1017, D1017), "00000") &amp; "-" &amp; VLOOKUP(D1017, $J$7:$K$19, 2, FALSE)</f>
        <v/>
      </c>
      <c r="D1017" s="56" t="inlineStr">
        <is>
          <t>FERRETERIA</t>
        </is>
      </c>
      <c r="E1017" s="56" t="inlineStr">
        <is>
          <t>LAMINA DE ACRILICO 3MM TRANS 122CM X 244CM</t>
        </is>
      </c>
    </row>
    <row r="1018" hidden="1" s="11">
      <c r="C1018" s="56">
        <f>TEXT(COUNTIF($D$7:D1018, D1018), "00000") &amp; "-" &amp; VLOOKUP(D1018, $J$7:$K$19, 2, FALSE)</f>
        <v/>
      </c>
      <c r="D1018" s="56" t="inlineStr">
        <is>
          <t>AUTOMOTRIZ</t>
        </is>
      </c>
      <c r="E1018" s="56" t="inlineStr">
        <is>
          <t xml:space="preserve">PAILA ACEITE MAXI DIESEL 15W-40 </t>
        </is>
      </c>
    </row>
    <row r="1019" hidden="1" s="11">
      <c r="C1019" s="56">
        <f>TEXT(COUNTIF($D$7:D1019, D1019), "00000") &amp; "-" &amp; VLOOKUP(D1019, $J$7:$K$19, 2, FALSE)</f>
        <v/>
      </c>
      <c r="D1019" s="56" t="inlineStr">
        <is>
          <t>MISCELANEOS</t>
        </is>
      </c>
      <c r="E1019" s="56" t="inlineStr">
        <is>
          <t>ALFOMBRA TIPO AFRICA 40 X 60 CM</t>
        </is>
      </c>
    </row>
    <row r="1020" hidden="1" s="11">
      <c r="C1020" s="56">
        <f>TEXT(COUNTIF($D$7:D1020, D1020), "00000") &amp; "-" &amp; VLOOKUP(D1020, $J$7:$K$19, 2, FALSE)</f>
        <v/>
      </c>
      <c r="D1020" s="56" t="inlineStr">
        <is>
          <t>REFRIGERACION</t>
        </is>
      </c>
      <c r="E1020" s="56" t="inlineStr">
        <is>
          <t>COMPRESOR 3/4 HP SECOP 220V R404A</t>
        </is>
      </c>
    </row>
    <row r="1021" hidden="1" s="11">
      <c r="C1021" s="56">
        <f>TEXT(COUNTIF($D$7:D1021, D1021), "00000") &amp; "-" &amp; VLOOKUP(D1021, $J$7:$K$19, 2, FALSE)</f>
        <v/>
      </c>
      <c r="D1021" s="56" t="inlineStr">
        <is>
          <t>REFRIGERACION</t>
        </is>
      </c>
      <c r="E1021" s="56" t="inlineStr">
        <is>
          <t>MOTOR VENTILADOR 18W 100V/220V</t>
        </is>
      </c>
    </row>
    <row r="1022" hidden="1" s="11">
      <c r="C1022" s="56">
        <f>TEXT(COUNTIF($D$7:D1022, D1022), "00000") &amp; "-" &amp; VLOOKUP(D1022, $J$7:$K$19, 2, FALSE)</f>
        <v/>
      </c>
      <c r="D1022" s="56" t="inlineStr">
        <is>
          <t>REFRIGERACION</t>
        </is>
      </c>
      <c r="E1022" s="56" t="inlineStr">
        <is>
          <t>ASPA METALICA VENTILADOR CW 8"</t>
        </is>
      </c>
    </row>
    <row r="1023" hidden="1" s="11">
      <c r="C1023" s="56">
        <f>TEXT(COUNTIF($D$7:D1023, D1023), "00000") &amp; "-" &amp; VLOOKUP(D1023, $J$7:$K$19, 2, FALSE)</f>
        <v/>
      </c>
      <c r="D1023" s="56" t="inlineStr">
        <is>
          <t>FERRETERIA</t>
        </is>
      </c>
      <c r="E1023" s="56" t="inlineStr">
        <is>
          <t>CADENA GALVANIZADA 3/32 (KG)</t>
        </is>
      </c>
    </row>
    <row r="1024" hidden="1" s="11">
      <c r="C1024" s="56">
        <f>TEXT(COUNTIF($D$7:D1024, D1024), "00000") &amp; "-" &amp; VLOOKUP(D1024, $J$7:$K$19, 2, FALSE)</f>
        <v/>
      </c>
      <c r="D1024" s="56" t="inlineStr">
        <is>
          <t>ELECTRICIDAD</t>
        </is>
      </c>
      <c r="E1024" s="56" t="inlineStr">
        <is>
          <t>TUBO ELECTRICO 2" 3 METROS</t>
        </is>
      </c>
    </row>
    <row r="1025" hidden="1" s="11">
      <c r="C1025" s="56">
        <f>TEXT(COUNTIF($D$7:D1025, D1025), "00000") &amp; "-" &amp; VLOOKUP(D1025, $J$7:$K$19, 2, FALSE)</f>
        <v/>
      </c>
      <c r="D1025" s="56" t="inlineStr">
        <is>
          <t>HERRAMIENTA</t>
        </is>
      </c>
      <c r="E1025" s="56" t="inlineStr">
        <is>
          <t>SIERRA CIRCULAR 1400W 7-1/4</t>
        </is>
      </c>
    </row>
    <row r="1026" hidden="1" s="11">
      <c r="C1026" s="56">
        <f>TEXT(COUNTIF($D$7:D1026, D1026), "00000") &amp; "-" &amp; VLOOKUP(D1026, $J$7:$K$19, 2, FALSE)</f>
        <v/>
      </c>
      <c r="D1026" s="56" t="inlineStr">
        <is>
          <t>HERRAMIENTA</t>
        </is>
      </c>
      <c r="E1026" s="56" t="inlineStr">
        <is>
          <t>ESMERIL 1100 W</t>
        </is>
      </c>
    </row>
    <row r="1027" hidden="1" s="11">
      <c r="C1027" s="56">
        <f>TEXT(COUNTIF($D$7:D1027, D1027), "00000") &amp; "-" &amp; VLOOKUP(D1027, $J$7:$K$19, 2, FALSE)</f>
        <v/>
      </c>
      <c r="D1027" s="56" t="inlineStr">
        <is>
          <t>HERRAMIENTA</t>
        </is>
      </c>
      <c r="E1027" s="56" t="inlineStr">
        <is>
          <t>RUOTEADORA MINI 600W</t>
        </is>
      </c>
    </row>
    <row r="1028" hidden="1" s="11">
      <c r="C1028" s="56">
        <f>TEXT(COUNTIF($D$7:D1028, D1028), "00000") &amp; "-" &amp; VLOOKUP(D1028, $J$7:$K$19, 2, FALSE)</f>
        <v/>
      </c>
      <c r="D1028" s="56" t="inlineStr">
        <is>
          <t>HERRAMIENTA</t>
        </is>
      </c>
      <c r="E1028" s="56" t="inlineStr">
        <is>
          <t>MASCARA DE SOLDADURA CON SENS</t>
        </is>
      </c>
    </row>
    <row r="1029" hidden="1" s="11">
      <c r="C1029" s="56">
        <f>TEXT(COUNTIF($D$7:D1029, D1029), "00000") &amp; "-" &amp; VLOOKUP(D1029, $J$7:$K$19, 2, FALSE)</f>
        <v/>
      </c>
      <c r="D1029" s="56" t="inlineStr">
        <is>
          <t>HERRAMIENTA</t>
        </is>
      </c>
      <c r="E1029" s="56" t="inlineStr">
        <is>
          <t>STEP DRILL BIT SET</t>
        </is>
      </c>
    </row>
    <row r="1030" hidden="1" s="11">
      <c r="C1030" s="56">
        <f>TEXT(COUNTIF($D$7:D1030, D1030), "00000") &amp; "-" &amp; VLOOKUP(D1030, $J$7:$K$19, 2, FALSE)</f>
        <v/>
      </c>
      <c r="D1030" s="56" t="inlineStr">
        <is>
          <t>HERRAMIENTA</t>
        </is>
      </c>
      <c r="E1030" s="56" t="inlineStr">
        <is>
          <t>CINTA METRICA 10M X 25MM</t>
        </is>
      </c>
    </row>
    <row r="1031" hidden="1" s="11">
      <c r="C1031" s="56">
        <f>TEXT(COUNTIF($D$7:D1031, D1031), "00000") &amp; "-" &amp; VLOOKUP(D1031, $J$7:$K$19, 2, FALSE)</f>
        <v/>
      </c>
      <c r="D1031" s="56" t="inlineStr">
        <is>
          <t>HERRAMIENTA</t>
        </is>
      </c>
      <c r="E1031" s="56" t="inlineStr">
        <is>
          <t>LLAVE PARA TALADRO 1/2</t>
        </is>
      </c>
    </row>
    <row r="1032" hidden="1" s="11">
      <c r="C1032" s="56">
        <f>TEXT(COUNTIF($D$7:D1032, D1032), "00000") &amp; "-" &amp; VLOOKUP(D1032, $J$7:$K$19, 2, FALSE)</f>
        <v/>
      </c>
      <c r="D1032" s="56" t="inlineStr">
        <is>
          <t>HERRAMIENTA</t>
        </is>
      </c>
      <c r="E1032" s="56" t="inlineStr">
        <is>
          <t>JIG SAW BLADES SET</t>
        </is>
      </c>
    </row>
    <row r="1033" hidden="1" s="11">
      <c r="C1033" s="56">
        <f>TEXT(COUNTIF($D$7:D1033, D1033), "00000") &amp; "-" &amp; VLOOKUP(D1033, $J$7:$K$19, 2, FALSE)</f>
        <v/>
      </c>
      <c r="D1033" s="56" t="inlineStr">
        <is>
          <t>OFICINA</t>
        </is>
      </c>
      <c r="E1033" s="56" t="inlineStr">
        <is>
          <t>TONER 051 A</t>
        </is>
      </c>
    </row>
    <row r="1034" hidden="1" s="11">
      <c r="C1034" s="56">
        <f>TEXT(COUNTIF($D$7:D1034, D1034), "00000") &amp; "-" &amp; VLOOKUP(D1034, $J$7:$K$19, 2, FALSE)</f>
        <v/>
      </c>
      <c r="D1034" s="56" t="inlineStr">
        <is>
          <t>FERRETERIA</t>
        </is>
      </c>
      <c r="E1034" s="56" t="inlineStr">
        <is>
          <t>ACTIVADOR DE CONCRETO SIKA</t>
        </is>
      </c>
    </row>
    <row r="1035" hidden="1" s="11">
      <c r="C1035" s="56">
        <f>TEXT(COUNTIF($D$7:D1035, D1035), "00000") &amp; "-" &amp; VLOOKUP(D1035, $J$7:$K$19, 2, FALSE)</f>
        <v/>
      </c>
      <c r="D1035" s="56" t="inlineStr">
        <is>
          <t>FERRETERIA</t>
        </is>
      </c>
      <c r="E1035" s="56" t="inlineStr">
        <is>
          <t>CEMENTO BLANCO (KG)</t>
        </is>
      </c>
    </row>
    <row r="1036" hidden="1" s="11">
      <c r="C1036" s="56">
        <f>TEXT(COUNTIF($D$7:D1036, D1036), "00000") &amp; "-" &amp; VLOOKUP(D1036, $J$7:$K$19, 2, FALSE)</f>
        <v/>
      </c>
      <c r="D1036" s="56" t="inlineStr">
        <is>
          <t>FERRETERIA</t>
        </is>
      </c>
      <c r="E1036" s="56" t="inlineStr">
        <is>
          <t>TORNILLO ESTUFA C/REDONDA 10-24 X 3/8</t>
        </is>
      </c>
    </row>
    <row r="1037" hidden="1" s="11">
      <c r="C1037" s="56">
        <f>TEXT(COUNTIF($D$7:D1037, D1037), "00000") &amp; "-" &amp; VLOOKUP(D1037, $J$7:$K$19, 2, FALSE)</f>
        <v/>
      </c>
      <c r="D1037" s="56" t="inlineStr">
        <is>
          <t>ELECTRICIDAD</t>
        </is>
      </c>
      <c r="E1037" s="56" t="inlineStr">
        <is>
          <t>BREAKER TEMOMAGNETICO 1 X 25A</t>
        </is>
      </c>
    </row>
    <row r="1038" hidden="1" s="11">
      <c r="C1038" s="56">
        <f>TEXT(COUNTIF($D$7:D1038, D1038), "00000") &amp; "-" &amp; VLOOKUP(D1038, $J$7:$K$19, 2, FALSE)</f>
        <v/>
      </c>
      <c r="D1038" s="56" t="inlineStr">
        <is>
          <t>ELECTRICIDAD</t>
        </is>
      </c>
      <c r="E1038" s="56" t="inlineStr">
        <is>
          <t>CAJA PVC CON VISOR 3-4 POLOS CON RIEL</t>
        </is>
      </c>
    </row>
    <row r="1039" hidden="1" s="11">
      <c r="C1039" s="56">
        <f>TEXT(COUNTIF($D$7:D1039, D1039), "00000") &amp; "-" &amp; VLOOKUP(D1039, $J$7:$K$19, 2, FALSE)</f>
        <v/>
      </c>
      <c r="D1039" s="56" t="inlineStr">
        <is>
          <t>ELECTRICIDAD</t>
        </is>
      </c>
      <c r="E1039" s="56" t="inlineStr">
        <is>
          <t>CAJA PVC CON VISOR 2-3 POLOS CON RIEL</t>
        </is>
      </c>
    </row>
    <row r="1040" hidden="1" s="11">
      <c r="C1040" s="56">
        <f>TEXT(COUNTIF($D$7:D1040, D1040), "00000") &amp; "-" &amp; VLOOKUP(D1040, $J$7:$K$19, 2, FALSE)</f>
        <v/>
      </c>
      <c r="D1040" s="56" t="inlineStr">
        <is>
          <t>UNIFORME</t>
        </is>
      </c>
      <c r="E1040" s="56" t="inlineStr">
        <is>
          <t>CAMISA NEGRA DETAL CABALLERO T/S</t>
        </is>
      </c>
    </row>
    <row r="1041" hidden="1" s="11">
      <c r="C1041" s="56">
        <f>TEXT(COUNTIF($D$7:D1041, D1041), "00000") &amp; "-" &amp; VLOOKUP(D1041, $J$7:$K$19, 2, FALSE)</f>
        <v/>
      </c>
      <c r="D1041" s="56" t="inlineStr">
        <is>
          <t>UNIFORME</t>
        </is>
      </c>
      <c r="E1041" s="56" t="inlineStr">
        <is>
          <t>CAMISA NEGRA DETAL CABALLERO T/M</t>
        </is>
      </c>
    </row>
    <row r="1042" hidden="1" s="11">
      <c r="C1042" s="56">
        <f>TEXT(COUNTIF($D$7:D1042, D1042), "00000") &amp; "-" &amp; VLOOKUP(D1042, $J$7:$K$19, 2, FALSE)</f>
        <v/>
      </c>
      <c r="D1042" s="56" t="inlineStr">
        <is>
          <t>UNIFORME</t>
        </is>
      </c>
      <c r="E1042" s="56" t="inlineStr">
        <is>
          <t>CAMISA NEGRA DETAL DAMA T/S</t>
        </is>
      </c>
    </row>
    <row r="1043" hidden="1" s="11">
      <c r="C1043" s="56">
        <f>TEXT(COUNTIF($D$7:D1043, D1043), "00000") &amp; "-" &amp; VLOOKUP(D1043, $J$7:$K$19, 2, FALSE)</f>
        <v/>
      </c>
      <c r="D1043" s="56" t="inlineStr">
        <is>
          <t>REFRIGERACION</t>
        </is>
      </c>
      <c r="E1043" s="56" t="inlineStr">
        <is>
          <t>COMPRESOR 3/4 HP 220V R-404 CUBIGEL</t>
        </is>
      </c>
    </row>
    <row r="1044" hidden="1" s="11">
      <c r="C1044" s="56">
        <f>TEXT(COUNTIF($D$7:D1044, D1044), "00000") &amp; "-" &amp; VLOOKUP(D1044, $J$7:$K$19, 2, FALSE)</f>
        <v/>
      </c>
      <c r="D1044" s="56" t="inlineStr">
        <is>
          <t>REFRIGERACION</t>
        </is>
      </c>
      <c r="E1044" s="56" t="inlineStr">
        <is>
          <t>CAPILAR 3/4 (METRO)</t>
        </is>
      </c>
    </row>
    <row r="1045" hidden="1" s="11">
      <c r="C1045" s="56">
        <f>TEXT(COUNTIF($D$7:D1045, D1045), "00000") &amp; "-" &amp; VLOOKUP(D1045, $J$7:$K$19, 2, FALSE)</f>
        <v/>
      </c>
      <c r="D1045" s="56" t="inlineStr">
        <is>
          <t>PLOMERIA</t>
        </is>
      </c>
      <c r="E1045" s="56" t="inlineStr">
        <is>
          <t xml:space="preserve">T 1/2 PVC </t>
        </is>
      </c>
    </row>
    <row r="1046" hidden="1" s="11">
      <c r="C1046" s="56">
        <f>TEXT(COUNTIF($D$7:D1046, D1046), "00000") &amp; "-" &amp; VLOOKUP(D1046, $J$7:$K$19, 2, FALSE)</f>
        <v/>
      </c>
      <c r="D1046" s="56" t="inlineStr">
        <is>
          <t>ELECTRICIDAD</t>
        </is>
      </c>
      <c r="E1046" s="56" t="inlineStr">
        <is>
          <t>CURVA PARA TUBERIA ELECTRICA 2"</t>
        </is>
      </c>
    </row>
    <row r="1047" hidden="1" s="11">
      <c r="C1047" s="56">
        <f>TEXT(COUNTIF($D$7:D1047, D1047), "00000") &amp; "-" &amp; VLOOKUP(D1047, $J$7:$K$19, 2, FALSE)</f>
        <v/>
      </c>
      <c r="D1047" s="56" t="inlineStr">
        <is>
          <t>ELECTRICIDAD</t>
        </is>
      </c>
      <c r="E1047" s="56" t="inlineStr">
        <is>
          <t>PLANTA ELECTRICA GENERADOR DE 12,5 KVA CAPTERPILLAR</t>
        </is>
      </c>
    </row>
    <row r="1048" hidden="1" s="11">
      <c r="C1048" s="56">
        <f>TEXT(COUNTIF($D$7:D1048, D1048), "00000") &amp; "-" &amp; VLOOKUP(D1048, $J$7:$K$19, 2, FALSE)</f>
        <v/>
      </c>
      <c r="D1048" s="56" t="inlineStr">
        <is>
          <t>AUTOMOTRIZ</t>
        </is>
      </c>
      <c r="E1048" s="56" t="inlineStr">
        <is>
          <t>ALTERNADOR  PARA MONTACARGA TOYOTA</t>
        </is>
      </c>
    </row>
    <row r="1049" hidden="1" s="11">
      <c r="C1049" s="56">
        <f>TEXT(COUNTIF($D$7:D1049, D1049), "00000") &amp; "-" &amp; VLOOKUP(D1049, $J$7:$K$19, 2, FALSE)</f>
        <v/>
      </c>
      <c r="D1049" s="56" t="inlineStr">
        <is>
          <t>OFICINA</t>
        </is>
      </c>
      <c r="E1049" s="56" t="inlineStr">
        <is>
          <t>CINTA DE EMBALAJE</t>
        </is>
      </c>
    </row>
    <row r="1050" hidden="1" s="11">
      <c r="C1050" s="56">
        <f>TEXT(COUNTIF($D$7:D1050, D1050), "00000") &amp; "-" &amp; VLOOKUP(D1050, $J$7:$K$19, 2, FALSE)</f>
        <v/>
      </c>
      <c r="D1050" s="56" t="inlineStr">
        <is>
          <t>AUTOMOTRIZ</t>
        </is>
      </c>
      <c r="E1050" s="56" t="inlineStr">
        <is>
          <t>CAUCHO 155R12C APLUS</t>
        </is>
      </c>
    </row>
    <row r="1051" hidden="1" s="11">
      <c r="C1051" s="56">
        <f>TEXT(COUNTIF($D$7:D1051, D1051), "00000") &amp; "-" &amp; VLOOKUP(D1051, $J$7:$K$19, 2, FALSE)</f>
        <v/>
      </c>
      <c r="D1051" s="56" t="inlineStr">
        <is>
          <t>AUTOMOTRIZ</t>
        </is>
      </c>
      <c r="E1051" s="56" t="inlineStr">
        <is>
          <t>ESTOPERA 44 X 60 X 07</t>
        </is>
      </c>
    </row>
    <row r="1052" hidden="1" s="11">
      <c r="C1052" s="56">
        <f>TEXT(COUNTIF($D$7:D1052, D1052), "00000") &amp; "-" &amp; VLOOKUP(D1052, $J$7:$K$19, 2, FALSE)</f>
        <v/>
      </c>
      <c r="D1052" s="56" t="inlineStr">
        <is>
          <t>AUTOMOTRIZ</t>
        </is>
      </c>
      <c r="E1052" s="56" t="inlineStr">
        <is>
          <t>BOMBA DE FRENO MONTACARGAS CLARK</t>
        </is>
      </c>
    </row>
    <row r="1053" hidden="1" s="11">
      <c r="C1053" s="56">
        <f>TEXT(COUNTIF($D$7:D1053, D1053), "00000") &amp; "-" &amp; VLOOKUP(D1053, $J$7:$K$19, 2, FALSE)</f>
        <v/>
      </c>
      <c r="D1053" s="56" t="inlineStr">
        <is>
          <t>FERRETERIA</t>
        </is>
      </c>
      <c r="E1053" s="56" t="inlineStr">
        <is>
          <t>TIRRA 7,2 X 200MM 8"</t>
        </is>
      </c>
    </row>
    <row r="1054" hidden="1" s="11">
      <c r="C1054" s="56">
        <f>TEXT(COUNTIF($D$7:D1054, D1054), "00000") &amp; "-" &amp; VLOOKUP(D1054, $J$7:$K$19, 2, FALSE)</f>
        <v/>
      </c>
      <c r="D1054" s="56" t="inlineStr">
        <is>
          <t>ELECTRICIDAD</t>
        </is>
      </c>
      <c r="E1054" s="56" t="inlineStr">
        <is>
          <t>CONECTOR 2" PVC</t>
        </is>
      </c>
    </row>
    <row r="1055" hidden="1" s="11">
      <c r="C1055" s="56">
        <f>TEXT(COUNTIF($D$7:D1055, D1055), "00000") &amp; "-" &amp; VLOOKUP(D1055, $J$7:$K$19, 2, FALSE)</f>
        <v/>
      </c>
      <c r="D1055" s="56" t="inlineStr">
        <is>
          <t>ELECTRICIDAD</t>
        </is>
      </c>
      <c r="E1055" s="56" t="inlineStr">
        <is>
          <t>CAJA PARA BREAKERS PARA EMPOTRAR</t>
        </is>
      </c>
    </row>
    <row r="1056" hidden="1" s="11">
      <c r="C1056" s="56">
        <f>TEXT(COUNTIF($D$7:D1056, D1056), "00000") &amp; "-" &amp; VLOOKUP(D1056, $J$7:$K$19, 2, FALSE)</f>
        <v/>
      </c>
      <c r="D1056" s="56" t="inlineStr">
        <is>
          <t>ELECTRICIDAD</t>
        </is>
      </c>
      <c r="E1056" s="56" t="inlineStr">
        <is>
          <t>BREAKER INDUSTRIAL 3 X 200A</t>
        </is>
      </c>
    </row>
    <row r="1057" hidden="1" s="11">
      <c r="C1057" s="56">
        <f>TEXT(COUNTIF($D$7:D1057, D1057), "00000") &amp; "-" &amp; VLOOKUP(D1057, $J$7:$K$19, 2, FALSE)</f>
        <v/>
      </c>
      <c r="D1057" s="56" t="inlineStr">
        <is>
          <t>ELECTRONICO</t>
        </is>
      </c>
      <c r="E1057" s="56" t="inlineStr">
        <is>
          <t>CAPACITOR 1 MFD</t>
        </is>
      </c>
    </row>
    <row r="1058" hidden="1" s="11">
      <c r="C1058" s="56">
        <f>TEXT(COUNTIF($D$7:D1058, D1058), "00000") &amp; "-" &amp; VLOOKUP(D1058, $J$7:$K$19, 2, FALSE)</f>
        <v/>
      </c>
      <c r="D1058" s="56" t="inlineStr">
        <is>
          <t>FERRETERIA</t>
        </is>
      </c>
      <c r="E1058" s="56" t="inlineStr">
        <is>
          <t>MANGUERA CON VALVULA PARA SACAR LIQUIDOS 1/2 X 1,75M</t>
        </is>
      </c>
    </row>
    <row r="1059" hidden="1" s="11">
      <c r="C1059" s="56">
        <f>TEXT(COUNTIF($D$7:D1059, D1059), "00000") &amp; "-" &amp; VLOOKUP(D1059, $J$7:$K$19, 2, FALSE)</f>
        <v/>
      </c>
      <c r="D1059" s="56" t="inlineStr">
        <is>
          <t>PLOMERIA</t>
        </is>
      </c>
      <c r="E1059" s="56" t="inlineStr">
        <is>
          <t>REDUCCION PLASTICA ROSCA 1 X 1/2</t>
        </is>
      </c>
    </row>
    <row r="1060" hidden="1" s="11">
      <c r="C1060" s="56">
        <f>TEXT(COUNTIF($D$7:D1060, D1060), "00000") &amp; "-" &amp; VLOOKUP(D1060, $J$7:$K$19, 2, FALSE)</f>
        <v/>
      </c>
      <c r="D1060" s="56" t="inlineStr">
        <is>
          <t>REFRIGERACION</t>
        </is>
      </c>
      <c r="E1060" s="56" t="inlineStr">
        <is>
          <t>BASE PARA A/A 100 KG</t>
        </is>
      </c>
    </row>
    <row r="1061" hidden="1" s="11">
      <c r="C1061" s="56">
        <f>TEXT(COUNTIF($D$7:D1061, D1061), "00000") &amp; "-" &amp; VLOOKUP(D1061, $J$7:$K$19, 2, FALSE)</f>
        <v/>
      </c>
      <c r="D1061" s="56" t="inlineStr">
        <is>
          <t>REFRIGERACION</t>
        </is>
      </c>
      <c r="E1061" s="56" t="inlineStr">
        <is>
          <t>CAPACITOR 40+15 MFD 370V EN ACEITE</t>
        </is>
      </c>
    </row>
    <row r="1062" hidden="1" s="11">
      <c r="C1062" s="56">
        <f>TEXT(COUNTIF($D$7:D1062, D1062), "00000") &amp; "-" &amp; VLOOKUP(D1062, $J$7:$K$19, 2, FALSE)</f>
        <v/>
      </c>
      <c r="D1062" s="56" t="inlineStr">
        <is>
          <t>REFRIGERACION</t>
        </is>
      </c>
      <c r="E1062" s="56" t="inlineStr">
        <is>
          <t>CAPACITOR DE A/A 1,5 MFD 450V CUADRADO</t>
        </is>
      </c>
    </row>
    <row r="1063" hidden="1" s="11">
      <c r="C1063" s="56">
        <f>TEXT(COUNTIF($D$7:D1063, D1063), "00000") &amp; "-" &amp; VLOOKUP(D1063, $J$7:$K$19, 2, FALSE)</f>
        <v/>
      </c>
      <c r="D1063" s="56" t="inlineStr">
        <is>
          <t>REFRIGERACION</t>
        </is>
      </c>
      <c r="E1063" s="56" t="inlineStr">
        <is>
          <t>CAPACITOR DE A/A VENT 5 MFD 450V CUADRADO</t>
        </is>
      </c>
    </row>
    <row r="1064" hidden="1" s="11">
      <c r="C1064" s="56">
        <f>TEXT(COUNTIF($D$7:D1064, D1064), "00000") &amp; "-" &amp; VLOOKUP(D1064, $J$7:$K$19, 2, FALSE)</f>
        <v/>
      </c>
      <c r="D1064" s="56" t="inlineStr">
        <is>
          <t>REFRIGERACION</t>
        </is>
      </c>
      <c r="E1064" s="56" t="inlineStr">
        <is>
          <t>CAPACITOR DE ARRANQUE NEV 145-175 125V</t>
        </is>
      </c>
    </row>
    <row r="1065" hidden="1" s="11">
      <c r="C1065" s="56">
        <f>TEXT(COUNTIF($D$7:D1065, D1065), "00000") &amp; "-" &amp; VLOOKUP(D1065, $J$7:$K$19, 2, FALSE)</f>
        <v/>
      </c>
      <c r="D1065" s="56" t="inlineStr">
        <is>
          <t>REFRIGERACION</t>
        </is>
      </c>
      <c r="E1065" s="56" t="inlineStr">
        <is>
          <t>BOMBONA REFRIGERANTE R-22</t>
        </is>
      </c>
    </row>
    <row r="1066" hidden="1" s="11">
      <c r="C1066" s="56">
        <f>TEXT(COUNTIF($D$7:D1066, D1066), "00000") &amp; "-" &amp; VLOOKUP(D1066, $J$7:$K$19, 2, FALSE)</f>
        <v/>
      </c>
      <c r="D1066" s="56" t="inlineStr">
        <is>
          <t>REFRIGERACION</t>
        </is>
      </c>
      <c r="E1066" s="56" t="inlineStr">
        <is>
          <t>RELEY FAN 90-360 24V</t>
        </is>
      </c>
    </row>
    <row r="1067" hidden="1" s="11">
      <c r="C1067" s="56">
        <f>TEXT(COUNTIF($D$7:D1067, D1067), "00000") &amp; "-" &amp; VLOOKUP(D1067, $J$7:$K$19, 2, FALSE)</f>
        <v/>
      </c>
      <c r="D1067" s="56" t="inlineStr">
        <is>
          <t>REFRIGERACION</t>
        </is>
      </c>
      <c r="E1067" s="56" t="inlineStr">
        <is>
          <t>ACIDO A/A LIMPIADOR GALON</t>
        </is>
      </c>
    </row>
    <row r="1068" hidden="1" s="11">
      <c r="C1068" s="56">
        <f>TEXT(COUNTIF($D$7:D1068, D1068), "00000") &amp; "-" &amp; VLOOKUP(D1068, $J$7:$K$19, 2, FALSE)</f>
        <v/>
      </c>
      <c r="D1068" s="56" t="inlineStr">
        <is>
          <t>FERRETERIA</t>
        </is>
      </c>
      <c r="E1068" s="56" t="inlineStr">
        <is>
          <t>CERRADURA DE POMO C/LLAVE</t>
        </is>
      </c>
    </row>
    <row r="1069" hidden="1" s="11">
      <c r="C1069" s="56">
        <f>TEXT(COUNTIF($D$7:D1069, D1069), "00000") &amp; "-" &amp; VLOOKUP(D1069, $J$7:$K$19, 2, FALSE)</f>
        <v/>
      </c>
      <c r="D1069" s="56" t="inlineStr">
        <is>
          <t>ELECTRICIDAD</t>
        </is>
      </c>
      <c r="E1069" s="56" t="inlineStr">
        <is>
          <t>BREAKER 40 A. 3 POLOS</t>
        </is>
      </c>
    </row>
    <row r="1070" hidden="1" s="11">
      <c r="C1070" s="56">
        <f>TEXT(COUNTIF($D$7:D1070, D1070), "00000") &amp; "-" &amp; VLOOKUP(D1070, $J$7:$K$19, 2, FALSE)</f>
        <v/>
      </c>
      <c r="D1070" s="56" t="inlineStr">
        <is>
          <t>ELECTRICIDAD</t>
        </is>
      </c>
      <c r="E1070" s="56" t="inlineStr">
        <is>
          <t>CABLE N° 10 VERDE  (METRO)</t>
        </is>
      </c>
    </row>
    <row r="1071" hidden="1" s="11">
      <c r="C1071" s="56">
        <f>TEXT(COUNTIF($D$7:D1071, D1071), "00000") &amp; "-" &amp; VLOOKUP(D1071, $J$7:$K$19, 2, FALSE)</f>
        <v/>
      </c>
      <c r="D1071" s="56" t="inlineStr">
        <is>
          <t>AUTOMOTRIZ</t>
        </is>
      </c>
      <c r="E1071" s="56" t="inlineStr">
        <is>
          <t>FAROS STOP CARGUERO</t>
        </is>
      </c>
    </row>
    <row r="1072" hidden="1" s="11">
      <c r="C1072" s="56">
        <f>TEXT(COUNTIF($D$7:D1072, D1072), "00000") &amp; "-" &amp; VLOOKUP(D1072, $J$7:$K$19, 2, FALSE)</f>
        <v/>
      </c>
      <c r="D1072" s="56" t="inlineStr">
        <is>
          <t>PLOMERIA</t>
        </is>
      </c>
      <c r="E1072" s="56" t="inlineStr">
        <is>
          <t>CODO 45° 3/4 PVC</t>
        </is>
      </c>
    </row>
    <row r="1073" hidden="1" s="11">
      <c r="C1073" s="56">
        <f>TEXT(COUNTIF($D$7:D1073, D1073), "00000") &amp; "-" &amp; VLOOKUP(D1073, $J$7:$K$19, 2, FALSE)</f>
        <v/>
      </c>
      <c r="D1073" s="56" t="inlineStr">
        <is>
          <t>FERRETERIA</t>
        </is>
      </c>
      <c r="E1073" s="56" t="inlineStr">
        <is>
          <t>PEGA PVC  1/4 GALON</t>
        </is>
      </c>
    </row>
    <row r="1074" hidden="1" s="11">
      <c r="C1074" s="56">
        <f>TEXT(COUNTIF($D$7:D1074, D1074), "00000") &amp; "-" &amp; VLOOKUP(D1074, $J$7:$K$19, 2, FALSE)</f>
        <v/>
      </c>
      <c r="D1074" s="56" t="inlineStr">
        <is>
          <t>FERRETERIA</t>
        </is>
      </c>
      <c r="E1074" s="56" t="inlineStr">
        <is>
          <t>BARRA ROSCADA 1/2 2M</t>
        </is>
      </c>
    </row>
    <row r="1075" hidden="1" s="11">
      <c r="C1075" s="56">
        <f>TEXT(COUNTIF($D$7:D1075, D1075), "00000") &amp; "-" &amp; VLOOKUP(D1075, $J$7:$K$19, 2, FALSE)</f>
        <v/>
      </c>
      <c r="D1075" s="56" t="inlineStr">
        <is>
          <t>FERRETERIA</t>
        </is>
      </c>
      <c r="E1075" s="56" t="inlineStr">
        <is>
          <t>TUERCA HEXAGONAL G2 GRUESO 1/2</t>
        </is>
      </c>
    </row>
    <row r="1076" hidden="1" s="11">
      <c r="C1076" s="56">
        <f>TEXT(COUNTIF($D$7:D1076, D1076), "00000") &amp; "-" &amp; VLOOKUP(D1076, $J$7:$K$19, 2, FALSE)</f>
        <v/>
      </c>
      <c r="D1076" s="56" t="inlineStr">
        <is>
          <t>FERRETERIA</t>
        </is>
      </c>
      <c r="E1076" s="56" t="inlineStr">
        <is>
          <t>ARANDELA PLANA 1/2</t>
        </is>
      </c>
    </row>
    <row r="1077" hidden="1" s="11">
      <c r="C1077" s="56">
        <f>TEXT(COUNTIF($D$7:D1077, D1077), "00000") &amp; "-" &amp; VLOOKUP(D1077, $J$7:$K$19, 2, FALSE)</f>
        <v/>
      </c>
      <c r="D1077" s="56" t="inlineStr">
        <is>
          <t>FERRETERIA</t>
        </is>
      </c>
      <c r="E1077" s="56" t="inlineStr">
        <is>
          <t>TIRRA BLANCO 3.6 X 200MM 8" (UNIDAD)</t>
        </is>
      </c>
    </row>
    <row r="1078" hidden="1" s="11">
      <c r="C1078" s="56">
        <f>TEXT(COUNTIF($D$7:D1078, D1078), "00000") &amp; "-" &amp; VLOOKUP(D1078, $J$7:$K$19, 2, FALSE)</f>
        <v/>
      </c>
      <c r="D1078" s="56" t="inlineStr">
        <is>
          <t>FERRETERIA</t>
        </is>
      </c>
      <c r="E1078" s="56" t="inlineStr">
        <is>
          <t>RAMPLUG MARIPOSA C/TORNILLO 1/2</t>
        </is>
      </c>
    </row>
    <row r="1079" hidden="1" s="11">
      <c r="C1079" s="56">
        <f>TEXT(COUNTIF($D$7:D1079, D1079), "00000") &amp; "-" &amp; VLOOKUP(D1079, $J$7:$K$19, 2, FALSE)</f>
        <v/>
      </c>
      <c r="D1079" s="56" t="inlineStr">
        <is>
          <t>LIMPIEZA</t>
        </is>
      </c>
      <c r="E1079" s="56" t="inlineStr">
        <is>
          <t>PAPELERA 100 LITROS</t>
        </is>
      </c>
    </row>
    <row r="1080" hidden="1" s="11">
      <c r="C1080" s="56">
        <f>TEXT(COUNTIF($D$7:D1080, D1080), "00000") &amp; "-" &amp; VLOOKUP(D1080, $J$7:$K$19, 2, FALSE)</f>
        <v/>
      </c>
      <c r="D1080" s="56" t="inlineStr">
        <is>
          <t>LIMPIEZA</t>
        </is>
      </c>
      <c r="E1080" s="56" t="inlineStr">
        <is>
          <t>PIPOTE 30 LITROS</t>
        </is>
      </c>
    </row>
    <row r="1081" hidden="1" s="11">
      <c r="C1081" s="56">
        <f>TEXT(COUNTIF($D$7:D1081, D1081), "00000") &amp; "-" &amp; VLOOKUP(D1081, $J$7:$K$19, 2, FALSE)</f>
        <v/>
      </c>
      <c r="D1081" s="56" t="inlineStr">
        <is>
          <t>AUTOMOTRIZ</t>
        </is>
      </c>
      <c r="E1081" s="56" t="inlineStr">
        <is>
          <t>GALON REFRIGERANTE NARANJA</t>
        </is>
      </c>
      <c r="F1081" s="56" t="inlineStr">
        <is>
          <t>123456'</t>
        </is>
      </c>
    </row>
    <row r="1082" hidden="1" s="11">
      <c r="C1082" s="56">
        <f>TEXT(COUNTIF($D$7:D1082, D1082), "00000") &amp; "-" &amp; VLOOKUP(D1082, $J$7:$K$19, 2, FALSE)</f>
        <v/>
      </c>
      <c r="D1082" s="56" t="inlineStr">
        <is>
          <t>AUTOMOTRIZ</t>
        </is>
      </c>
      <c r="E1082" s="56" t="inlineStr">
        <is>
          <t>GOMA LACA</t>
        </is>
      </c>
    </row>
    <row r="1083" hidden="1" s="11">
      <c r="C1083" s="56">
        <f>TEXT(COUNTIF($D$7:D1083, D1083), "00000") &amp; "-" &amp; VLOOKUP(D1083, $J$7:$K$19, 2, FALSE)</f>
        <v/>
      </c>
      <c r="D1083" s="56" t="inlineStr">
        <is>
          <t>AUTOMOTRIZ</t>
        </is>
      </c>
      <c r="E1083" s="56" t="inlineStr">
        <is>
          <t>JUEGO DE CABLE DE BUJIAS DE AVEO</t>
        </is>
      </c>
    </row>
    <row r="1084" hidden="1" s="11">
      <c r="C1084" s="56">
        <f>TEXT(COUNTIF($D$7:D1084, D1084), "00000") &amp; "-" &amp; VLOOKUP(D1084, $J$7:$K$19, 2, FALSE)</f>
        <v/>
      </c>
      <c r="D1084" s="56" t="inlineStr">
        <is>
          <t>AUTOMOTRIZ</t>
        </is>
      </c>
      <c r="E1084" s="56" t="inlineStr">
        <is>
          <t>ACEITE HIDRAULICO 68 PAILA</t>
        </is>
      </c>
    </row>
    <row r="1085" hidden="1" s="11">
      <c r="C1085" s="56">
        <f>TEXT(COUNTIF($D$7:D1085, D1085), "00000") &amp; "-" &amp; VLOOKUP(D1085, $J$7:$K$19, 2, FALSE)</f>
        <v/>
      </c>
      <c r="D1085" s="56" t="inlineStr">
        <is>
          <t>AUTOMOTRIZ</t>
        </is>
      </c>
      <c r="E1085" s="56" t="inlineStr">
        <is>
          <t>PEDAL DE CAMBIO DE CARGUERO</t>
        </is>
      </c>
    </row>
    <row r="1086" hidden="1" s="11">
      <c r="C1086" s="56">
        <f>TEXT(COUNTIF($D$7:D1086, D1086), "00000") &amp; "-" &amp; VLOOKUP(D1086, $J$7:$K$19, 2, FALSE)</f>
        <v/>
      </c>
      <c r="D1086" s="56" t="inlineStr">
        <is>
          <t>REFRIGERACION</t>
        </is>
      </c>
      <c r="E1086" s="56" t="inlineStr">
        <is>
          <t>TUBO DE COBRE FLEXIBLE 1/4 (METRO)</t>
        </is>
      </c>
    </row>
    <row r="1087" hidden="1" s="11">
      <c r="C1087" s="56">
        <f>TEXT(COUNTIF($D$7:D1087, D1087), "00000") &amp; "-" &amp; VLOOKUP(D1087, $J$7:$K$19, 2, FALSE)</f>
        <v/>
      </c>
      <c r="D1087" s="56" t="inlineStr">
        <is>
          <t>FERRETERIA</t>
        </is>
      </c>
      <c r="E1087" s="56" t="inlineStr">
        <is>
          <t>PARABICHOS DE ALUMINIO</t>
        </is>
      </c>
    </row>
    <row r="1088" hidden="1" s="11">
      <c r="C1088" s="56">
        <f>TEXT(COUNTIF($D$7:D1088, D1088), "00000") &amp; "-" &amp; VLOOKUP(D1088, $J$7:$K$19, 2, FALSE)</f>
        <v/>
      </c>
      <c r="D1088" s="56" t="inlineStr">
        <is>
          <t>AUTOMOTRIZ</t>
        </is>
      </c>
      <c r="E1088" s="56" t="inlineStr">
        <is>
          <t>CINCHA DE AMARRE C/RACHET 1TON X 6 METROS</t>
        </is>
      </c>
    </row>
    <row r="1089" hidden="1" s="11">
      <c r="C1089" s="56">
        <f>TEXT(COUNTIF($D$7:D1089, D1089), "00000") &amp; "-" &amp; VLOOKUP(D1089, $J$7:$K$19, 2, FALSE)</f>
        <v/>
      </c>
      <c r="D1089" s="56" t="inlineStr">
        <is>
          <t>REFRIGERACION</t>
        </is>
      </c>
      <c r="E1089" s="56" t="inlineStr">
        <is>
          <t>BATERIA CR2032 3V</t>
        </is>
      </c>
    </row>
    <row r="1090" hidden="1" s="11">
      <c r="C1090" s="56">
        <f>TEXT(COUNTIF($D$7:D1090, D1090), "00000") &amp; "-" &amp; VLOOKUP(D1090, $J$7:$K$19, 2, FALSE)</f>
        <v/>
      </c>
      <c r="D1090" s="56" t="inlineStr">
        <is>
          <t>ELECTRICIDAD</t>
        </is>
      </c>
      <c r="E1090" s="56" t="inlineStr">
        <is>
          <t>TERMINAL ANILLO DE COBRE PARA CABLE</t>
        </is>
      </c>
    </row>
    <row r="1091" hidden="1" s="11">
      <c r="C1091" s="56">
        <f>TEXT(COUNTIF($D$7:D1091, D1091), "00000") &amp; "-" &amp; VLOOKUP(D1091, $J$7:$K$19, 2, FALSE)</f>
        <v/>
      </c>
      <c r="D1091" s="56" t="inlineStr">
        <is>
          <t>REFRIGERACION</t>
        </is>
      </c>
      <c r="E1091" s="56" t="inlineStr">
        <is>
          <t>ASPA A/A 38,4 10M CCW</t>
        </is>
      </c>
    </row>
    <row r="1092" hidden="1" s="11">
      <c r="C1092" s="56">
        <f>TEXT(COUNTIF($D$7:D1092, D1092), "00000") &amp; "-" &amp; VLOOKUP(D1092, $J$7:$K$19, 2, FALSE)</f>
        <v/>
      </c>
      <c r="D1092" s="56" t="inlineStr">
        <is>
          <t>FERRETERIA</t>
        </is>
      </c>
      <c r="E1092" s="56" t="inlineStr">
        <is>
          <t>CARBON N°452 PARA ESMERIL ANGULAR 4 1/2 750W</t>
        </is>
      </c>
    </row>
    <row r="1093" hidden="1" s="11">
      <c r="C1093" s="56">
        <f>TEXT(COUNTIF($D$7:D1093, D1093), "00000") &amp; "-" &amp; VLOOKUP(D1093, $J$7:$K$19, 2, FALSE)</f>
        <v/>
      </c>
      <c r="D1093" s="56" t="inlineStr">
        <is>
          <t>AUTOMOTRIZ</t>
        </is>
      </c>
      <c r="E1093" s="56" t="inlineStr">
        <is>
          <t>CORREA DE TIEMPO L300</t>
        </is>
      </c>
    </row>
    <row r="1094" hidden="1" s="11">
      <c r="C1094" s="56">
        <f>TEXT(COUNTIF($D$7:D1094, D1094), "00000") &amp; "-" &amp; VLOOKUP(D1094, $J$7:$K$19, 2, FALSE)</f>
        <v/>
      </c>
      <c r="D1094" s="56" t="inlineStr">
        <is>
          <t>AUTOMOTRIZ</t>
        </is>
      </c>
      <c r="E1094" s="56" t="inlineStr">
        <is>
          <t>CORREA BALANCEADORA</t>
        </is>
      </c>
    </row>
    <row r="1095" hidden="1" s="11">
      <c r="C1095" s="56">
        <f>TEXT(COUNTIF($D$7:D1095, D1095), "00000") &amp; "-" &amp; VLOOKUP(D1095, $J$7:$K$19, 2, FALSE)</f>
        <v/>
      </c>
      <c r="D1095" s="56" t="inlineStr">
        <is>
          <t>PLOMERIA</t>
        </is>
      </c>
      <c r="E1095" s="56" t="inlineStr">
        <is>
          <t>REDUCCION PLASTICA ROSCA 1 X 3/4</t>
        </is>
      </c>
    </row>
    <row r="1096" hidden="1" s="11">
      <c r="C1096" s="56">
        <f>TEXT(COUNTIF($D$7:D1096, D1096), "00000") &amp; "-" &amp; VLOOKUP(D1096, $J$7:$K$19, 2, FALSE)</f>
        <v/>
      </c>
      <c r="D1096" s="56" t="inlineStr">
        <is>
          <t>PLOMERIA</t>
        </is>
      </c>
      <c r="E1096" s="56" t="inlineStr">
        <is>
          <t>VALVULA CHECK 3/4 BRONCE</t>
        </is>
      </c>
    </row>
    <row r="1097" hidden="1" s="11">
      <c r="C1097" s="56">
        <f>TEXT(COUNTIF($D$7:D1097, D1097), "00000") &amp; "-" &amp; VLOOKUP(D1097, $J$7:$K$19, 2, FALSE)</f>
        <v/>
      </c>
      <c r="D1097" s="56" t="inlineStr">
        <is>
          <t>PLOMERIA</t>
        </is>
      </c>
      <c r="E1097" s="56" t="inlineStr">
        <is>
          <t>NIPLE 3/4 X 10"</t>
        </is>
      </c>
    </row>
    <row r="1098" hidden="1" s="11">
      <c r="C1098" s="56">
        <f>TEXT(COUNTIF($D$7:D1098, D1098), "00000") &amp; "-" &amp; VLOOKUP(D1098, $J$7:$K$19, 2, FALSE)</f>
        <v/>
      </c>
      <c r="D1098" s="56" t="inlineStr">
        <is>
          <t>PLOMERIA</t>
        </is>
      </c>
      <c r="E1098" s="56" t="inlineStr">
        <is>
          <t>NIPLE 1/2 X 10"</t>
        </is>
      </c>
    </row>
    <row r="1099" hidden="1" s="11">
      <c r="C1099" s="56">
        <f>TEXT(COUNTIF($D$7:D1099, D1099), "00000") &amp; "-" &amp; VLOOKUP(D1099, $J$7:$K$19, 2, FALSE)</f>
        <v/>
      </c>
      <c r="D1099" s="56" t="inlineStr">
        <is>
          <t>PLOMERIA</t>
        </is>
      </c>
      <c r="E1099" s="56" t="inlineStr">
        <is>
          <t>REDUCCION PLASTICA ROSCA 3/4 X 1/2</t>
        </is>
      </c>
    </row>
    <row r="1100" hidden="1" s="11">
      <c r="C1100" s="56">
        <f>TEXT(COUNTIF($D$7:D1100, D1100), "00000") &amp; "-" &amp; VLOOKUP(D1100, $J$7:$K$19, 2, FALSE)</f>
        <v/>
      </c>
      <c r="D1100" s="56" t="inlineStr">
        <is>
          <t>FERRETERIA</t>
        </is>
      </c>
      <c r="E1100" s="56" t="inlineStr">
        <is>
          <t>PISTOLA P/ MANGUERA 3 VIAS</t>
        </is>
      </c>
    </row>
    <row r="1101" hidden="1" s="11">
      <c r="C1101" s="56">
        <f>TEXT(COUNTIF($D$7:D1101, D1101), "00000") &amp; "-" &amp; VLOOKUP(D1101, $J$7:$K$19, 2, FALSE)</f>
        <v/>
      </c>
      <c r="D1101" s="56" t="inlineStr">
        <is>
          <t>REFRIGERACION</t>
        </is>
      </c>
      <c r="E1101" s="56" t="inlineStr">
        <is>
          <t>COMPRESOR TECUMSEH 1,5 HP 220V R-404 CONGELACION</t>
        </is>
      </c>
    </row>
    <row r="1102" hidden="1" s="11">
      <c r="C1102" s="56">
        <f>TEXT(COUNTIF($D$7:D1102, D1102), "00000") &amp; "-" &amp; VLOOKUP(D1102, $J$7:$K$19, 2, FALSE)</f>
        <v/>
      </c>
      <c r="D1102" s="56" t="inlineStr">
        <is>
          <t>REFRIGERACION</t>
        </is>
      </c>
      <c r="E1102" s="56" t="inlineStr">
        <is>
          <t>CAPILAR 0,07 (METRO)</t>
        </is>
      </c>
    </row>
    <row r="1103" hidden="1" s="11">
      <c r="C1103" s="56">
        <f>TEXT(COUNTIF($D$7:D1103, D1103), "00000") &amp; "-" &amp; VLOOKUP(D1103, $J$7:$K$19, 2, FALSE)</f>
        <v/>
      </c>
      <c r="D1103" s="56" t="inlineStr">
        <is>
          <t>HERRERIA</t>
        </is>
      </c>
      <c r="E1103" s="56" t="inlineStr">
        <is>
          <t>BROCA PARA METAL 1/2</t>
        </is>
      </c>
    </row>
    <row r="1104" hidden="1" s="11">
      <c r="C1104" s="56">
        <f>TEXT(COUNTIF($D$7:D1104, D1104), "00000") &amp; "-" &amp; VLOOKUP(D1104, $J$7:$K$19, 2, FALSE)</f>
        <v/>
      </c>
      <c r="D1104" s="56" t="inlineStr">
        <is>
          <t>FERRETERIA</t>
        </is>
      </c>
      <c r="E1104" s="56" t="inlineStr">
        <is>
          <t>RAMPLUG MARIPOSA C/TORNILLO 1/4</t>
        </is>
      </c>
    </row>
    <row r="1105" hidden="1" s="11">
      <c r="C1105" s="56">
        <f>TEXT(COUNTIF($D$7:D1105, D1105), "00000") &amp; "-" &amp; VLOOKUP(D1105, $J$7:$K$19, 2, FALSE)</f>
        <v/>
      </c>
      <c r="D1105" s="56" t="inlineStr">
        <is>
          <t>FERRETERIA</t>
        </is>
      </c>
      <c r="E1105" s="56" t="inlineStr">
        <is>
          <t>BARRA ROSCADA1/4 1M</t>
        </is>
      </c>
    </row>
    <row r="1106" hidden="1" s="11">
      <c r="C1106" s="56">
        <f>TEXT(COUNTIF($D$7:D1106, D1106), "00000") &amp; "-" &amp; VLOOKUP(D1106, $J$7:$K$19, 2, FALSE)</f>
        <v/>
      </c>
      <c r="D1106" s="56" t="inlineStr">
        <is>
          <t>PLOMERIA</t>
        </is>
      </c>
      <c r="E1106" s="56" t="inlineStr">
        <is>
          <t>IMPELLER P/BOMBA 1/2HP</t>
        </is>
      </c>
    </row>
    <row r="1107" hidden="1" s="11">
      <c r="C1107" s="56">
        <f>TEXT(COUNTIF($D$7:D1107, D1107), "00000") &amp; "-" &amp; VLOOKUP(D1107, $J$7:$K$19, 2, FALSE)</f>
        <v/>
      </c>
      <c r="D1107" s="56" t="inlineStr">
        <is>
          <t>PLOMERIA</t>
        </is>
      </c>
      <c r="E1107" s="56" t="inlineStr">
        <is>
          <t>SELLO PARA BOMBA 1/2 HP</t>
        </is>
      </c>
    </row>
    <row r="1108" hidden="1" s="11">
      <c r="C1108" s="56">
        <f>TEXT(COUNTIF($D$7:D1108, D1108), "00000") &amp; "-" &amp; VLOOKUP(D1108, $J$7:$K$19, 2, FALSE)</f>
        <v/>
      </c>
      <c r="D1108" s="56" t="inlineStr">
        <is>
          <t>FERRETERIA</t>
        </is>
      </c>
      <c r="E1108" s="56" t="inlineStr">
        <is>
          <t>RUEDA P/CARRUCHA 10" MACIZA</t>
        </is>
      </c>
    </row>
    <row r="1109" hidden="1" s="11">
      <c r="C1109" s="56">
        <f>TEXT(COUNTIF($D$7:D1109, D1109), "00000") &amp; "-" &amp; VLOOKUP(D1109, $J$7:$K$19, 2, FALSE)</f>
        <v/>
      </c>
      <c r="D1109" s="56" t="inlineStr">
        <is>
          <t>FERRETERIA</t>
        </is>
      </c>
      <c r="E1109" s="56" t="inlineStr">
        <is>
          <t>ARANDELA PLANA DE COBRE GRANDE</t>
        </is>
      </c>
    </row>
    <row r="1110" hidden="1" s="11">
      <c r="C1110" s="56">
        <f>TEXT(COUNTIF($D$7:D1110, D1110), "00000") &amp; "-" &amp; VLOOKUP(D1110, $J$7:$K$19, 2, FALSE)</f>
        <v/>
      </c>
      <c r="D1110" s="56" t="inlineStr">
        <is>
          <t>ELECTRICIDAD</t>
        </is>
      </c>
      <c r="E1110" s="56" t="inlineStr">
        <is>
          <t>CABLE N°10 BLANCO (METRO)</t>
        </is>
      </c>
    </row>
    <row r="1111" hidden="1" s="11">
      <c r="C1111" s="56">
        <f>TEXT(COUNTIF($D$7:D1111, D1111), "00000") &amp; "-" &amp; VLOOKUP(D1111, $J$7:$K$19, 2, FALSE)</f>
        <v/>
      </c>
      <c r="D1111" s="56" t="inlineStr">
        <is>
          <t>FERRETERIA</t>
        </is>
      </c>
      <c r="E1111" s="56" t="inlineStr">
        <is>
          <t>RODAMIENTO 6003 2RS C3</t>
        </is>
      </c>
    </row>
    <row r="1112" hidden="1" s="11">
      <c r="C1112" s="56">
        <f>TEXT(COUNTIF($D$7:D1112, D1112), "00000") &amp; "-" &amp; VLOOKUP(D1112, $J$7:$K$19, 2, FALSE)</f>
        <v/>
      </c>
      <c r="D1112" s="56" t="inlineStr">
        <is>
          <t>ELECTRONICO</t>
        </is>
      </c>
      <c r="E1112" s="56" t="inlineStr">
        <is>
          <t xml:space="preserve">CONDENSADOR 1000 MFD 25V </t>
        </is>
      </c>
    </row>
    <row r="1113" hidden="1" s="11">
      <c r="C1113" s="56">
        <f>TEXT(COUNTIF($D$7:D1113, D1113), "00000") &amp; "-" &amp; VLOOKUP(D1113, $J$7:$K$19, 2, FALSE)</f>
        <v/>
      </c>
      <c r="D1113" s="56" t="inlineStr">
        <is>
          <t>FERRETERIA</t>
        </is>
      </c>
      <c r="E1113" s="56" t="inlineStr">
        <is>
          <t>TORNILLO HEXAGONAL 80 X 20</t>
        </is>
      </c>
    </row>
    <row r="1114" hidden="1" s="11">
      <c r="C1114" s="56">
        <f>TEXT(COUNTIF($D$7:D1114, D1114), "00000") &amp; "-" &amp; VLOOKUP(D1114, $J$7:$K$19, 2, FALSE)</f>
        <v/>
      </c>
      <c r="D1114" s="56" t="inlineStr">
        <is>
          <t>FERRETERIA</t>
        </is>
      </c>
      <c r="E1114" s="56" t="inlineStr">
        <is>
          <t>TORNILLO HEXAGONAL 80 X 40</t>
        </is>
      </c>
    </row>
    <row r="1115" hidden="1" s="11">
      <c r="C1115" s="56">
        <f>TEXT(COUNTIF($D$7:D1115, D1115), "00000") &amp; "-" &amp; VLOOKUP(D1115, $J$7:$K$19, 2, FALSE)</f>
        <v/>
      </c>
      <c r="D1115" s="56" t="inlineStr">
        <is>
          <t>AUTOMOTRIZ</t>
        </is>
      </c>
      <c r="E1115" s="56" t="inlineStr">
        <is>
          <t>CONECTOR DE BOMBA DE FRENO DE MONTACARGA 10 X 12MM</t>
        </is>
      </c>
    </row>
    <row r="1116" hidden="1" s="11">
      <c r="C1116" s="56">
        <f>TEXT(COUNTIF($D$7:D1116, D1116), "00000") &amp; "-" &amp; VLOOKUP(D1116, $J$7:$K$19, 2, FALSE)</f>
        <v/>
      </c>
      <c r="D1116" s="56" t="inlineStr">
        <is>
          <t>MISCELANEOS</t>
        </is>
      </c>
      <c r="E1116" s="56" t="inlineStr">
        <is>
          <t>PELADOR DE VEGETALES 17CM</t>
        </is>
      </c>
    </row>
    <row r="1117" hidden="1" s="11">
      <c r="C1117" s="56">
        <f>TEXT(COUNTIF($D$7:D1117, D1117), "00000") &amp; "-" &amp; VLOOKUP(D1117, $J$7:$K$19, 2, FALSE)</f>
        <v/>
      </c>
      <c r="D1117" s="56" t="inlineStr">
        <is>
          <t>MISCELANEOS</t>
        </is>
      </c>
      <c r="E1117" s="56" t="inlineStr">
        <is>
          <t>COLADOR DE ACERO INOXIDABLE (COCINA) 40 CM</t>
        </is>
      </c>
    </row>
    <row r="1118" hidden="1" s="11">
      <c r="C1118" s="56">
        <f>TEXT(COUNTIF($D$7:D1118, D1118), "00000") &amp; "-" &amp; VLOOKUP(D1118, $J$7:$K$19, 2, FALSE)</f>
        <v/>
      </c>
      <c r="D1118" s="56" t="inlineStr">
        <is>
          <t>ELECTRONICO</t>
        </is>
      </c>
      <c r="E1118" s="56" t="inlineStr">
        <is>
          <t>BALANZA DE PLATAFORMA 400 KG DE ALTA PRECISION</t>
        </is>
      </c>
    </row>
    <row r="1119" hidden="1" s="11">
      <c r="C1119" s="56">
        <f>TEXT(COUNTIF($D$7:D1119, D1119), "00000") &amp; "-" &amp; VLOOKUP(D1119, $J$7:$K$19, 2, FALSE)</f>
        <v/>
      </c>
      <c r="D1119" s="56" t="inlineStr">
        <is>
          <t>HERRAMIENTA</t>
        </is>
      </c>
      <c r="E1119" s="56" t="inlineStr">
        <is>
          <t>DADO PARA TALADRO 8MM</t>
        </is>
      </c>
    </row>
    <row r="1120" hidden="1" s="11">
      <c r="C1120" s="56">
        <f>TEXT(COUNTIF($D$7:D1120, D1120), "00000") &amp; "-" &amp; VLOOKUP(D1120, $J$7:$K$19, 2, FALSE)</f>
        <v/>
      </c>
      <c r="D1120" s="56" t="inlineStr">
        <is>
          <t>FERRETERIA</t>
        </is>
      </c>
      <c r="E1120" s="56" t="inlineStr">
        <is>
          <t>DISCO CONCRETO 4"</t>
        </is>
      </c>
    </row>
    <row r="1121" hidden="1" s="11">
      <c r="C1121" s="56">
        <f>TEXT(COUNTIF($D$7:D1121, D1121), "00000") &amp; "-" &amp; VLOOKUP(D1121, $J$7:$K$19, 2, FALSE)</f>
        <v/>
      </c>
      <c r="D1121" s="56" t="inlineStr">
        <is>
          <t>HERRAMIENTA</t>
        </is>
      </c>
      <c r="E1121" s="56" t="inlineStr">
        <is>
          <t>MECHA CONICA 4-32M</t>
        </is>
      </c>
    </row>
    <row r="1122" hidden="1" s="11">
      <c r="C1122" s="56">
        <f>TEXT(COUNTIF($D$7:D1122, D1122), "00000") &amp; "-" &amp; VLOOKUP(D1122, $J$7:$K$19, 2, FALSE)</f>
        <v/>
      </c>
      <c r="D1122" s="56" t="inlineStr">
        <is>
          <t>HERRAMIENTA</t>
        </is>
      </c>
      <c r="E1122" s="56" t="inlineStr">
        <is>
          <t>MECHA METAL 6,0MM</t>
        </is>
      </c>
    </row>
    <row r="1123" hidden="1" s="11">
      <c r="C1123" s="56">
        <f>TEXT(COUNTIF($D$7:D1123, D1123), "00000") &amp; "-" &amp; VLOOKUP(D1123, $J$7:$K$19, 2, FALSE)</f>
        <v/>
      </c>
      <c r="D1123" s="56" t="inlineStr">
        <is>
          <t>FERRETERIA</t>
        </is>
      </c>
      <c r="E1123" s="56" t="inlineStr">
        <is>
          <t>TIRRA 300MM 5"</t>
        </is>
      </c>
    </row>
    <row r="1124" hidden="1" s="11">
      <c r="C1124" s="56">
        <f>TEXT(COUNTIF($D$7:D1124, D1124), "00000") &amp; "-" &amp; VLOOKUP(D1124, $J$7:$K$19, 2, FALSE)</f>
        <v/>
      </c>
      <c r="D1124" s="56" t="inlineStr">
        <is>
          <t>FERRETERIA</t>
        </is>
      </c>
      <c r="E1124" s="56" t="inlineStr">
        <is>
          <t>TORNILLO AUTO ENROSCABLE 3X25MM</t>
        </is>
      </c>
    </row>
    <row r="1125" hidden="1" s="11">
      <c r="C1125" s="56">
        <f>TEXT(COUNTIF($D$7:D1125, D1125), "00000") &amp; "-" &amp; VLOOKUP(D1125, $J$7:$K$19, 2, FALSE)</f>
        <v/>
      </c>
      <c r="D1125" s="56" t="inlineStr">
        <is>
          <t>FERRETERIA</t>
        </is>
      </c>
      <c r="E1125" s="56" t="inlineStr">
        <is>
          <t>TORNILLO AUTO ENROSCABLE 6X25MM</t>
        </is>
      </c>
    </row>
    <row r="1126" hidden="1" s="11">
      <c r="C1126" s="56">
        <f>TEXT(COUNTIF($D$7:D1126, D1126), "00000") &amp; "-" &amp; VLOOKUP(D1126, $J$7:$K$19, 2, FALSE)</f>
        <v/>
      </c>
      <c r="D1126" s="56" t="inlineStr">
        <is>
          <t>ELECTRONICO</t>
        </is>
      </c>
      <c r="E1126" s="56" t="inlineStr">
        <is>
          <t>VENTILADOR INDUSTRIAL 26" C/ROCIADOR DE AGUA</t>
        </is>
      </c>
    </row>
    <row r="1127" hidden="1" s="11">
      <c r="C1127" s="56">
        <f>TEXT(COUNTIF($D$7:D1127, D1127), "00000") &amp; "-" &amp; VLOOKUP(D1127, $J$7:$K$19, 2, FALSE)</f>
        <v/>
      </c>
      <c r="D1127" s="56" t="inlineStr">
        <is>
          <t>ELECTRICIDAD</t>
        </is>
      </c>
      <c r="E1127" s="56" t="inlineStr">
        <is>
          <t>PROTECTOR 3 TOMAS 110V AMARILLO</t>
        </is>
      </c>
    </row>
    <row r="1128" hidden="1" s="11">
      <c r="C1128" s="56">
        <f>TEXT(COUNTIF($D$7:D1128, D1128), "00000") &amp; "-" &amp; VLOOKUP(D1128, $J$7:$K$19, 2, FALSE)</f>
        <v/>
      </c>
      <c r="D1128" s="56" t="inlineStr">
        <is>
          <t>PLOMERIA</t>
        </is>
      </c>
      <c r="E1128" s="56" t="inlineStr">
        <is>
          <t>ADAPTADOR HEMBRA 1"</t>
        </is>
      </c>
    </row>
    <row r="1129" hidden="1" s="11">
      <c r="C1129" s="56">
        <f>TEXT(COUNTIF($D$7:D1129, D1129), "00000") &amp; "-" &amp; VLOOKUP(D1129, $J$7:$K$19, 2, FALSE)</f>
        <v/>
      </c>
      <c r="D1129" s="56" t="inlineStr">
        <is>
          <t>PLOMERIA</t>
        </is>
      </c>
      <c r="E1129" s="56" t="inlineStr">
        <is>
          <t>TAPON MACHO 3/4 ROSCA</t>
        </is>
      </c>
    </row>
    <row r="1130" hidden="1" s="11">
      <c r="C1130" s="56">
        <f>TEXT(COUNTIF($D$7:D1130, D1130), "00000") &amp; "-" &amp; VLOOKUP(D1130, $J$7:$K$19, 2, FALSE)</f>
        <v/>
      </c>
      <c r="D1130" s="56" t="inlineStr">
        <is>
          <t>REFRIGERACION</t>
        </is>
      </c>
      <c r="E1130" s="56" t="inlineStr">
        <is>
          <t>TERMOMETRO DIGITAL PORTATIL CON DISPLAY</t>
        </is>
      </c>
    </row>
    <row r="1131" hidden="1" s="11">
      <c r="C1131" s="56">
        <f>TEXT(COUNTIF($D$7:D1131, D1131), "00000") &amp; "-" &amp; VLOOKUP(D1131, $J$7:$K$19, 2, FALSE)</f>
        <v/>
      </c>
      <c r="D1131" s="56" t="inlineStr">
        <is>
          <t>ILUMINACION</t>
        </is>
      </c>
      <c r="E1131" s="56" t="inlineStr">
        <is>
          <t>REFLECTOR LED 400W</t>
        </is>
      </c>
    </row>
    <row r="1132" hidden="1" s="11">
      <c r="C1132" s="56">
        <f>TEXT(COUNTIF($D$7:D1132, D1132), "00000") &amp; "-" &amp; VLOOKUP(D1132, $J$7:$K$19, 2, FALSE)</f>
        <v/>
      </c>
      <c r="D1132" s="56" t="inlineStr">
        <is>
          <t>ELECTRICIDAD</t>
        </is>
      </c>
      <c r="E1132" s="56" t="inlineStr">
        <is>
          <t>GENERADOR ELECTRICO CATERPILLAR 10 KVA DIESEL 110/220V</t>
        </is>
      </c>
    </row>
    <row r="1133" hidden="1" s="11">
      <c r="C1133" s="56">
        <f>TEXT(COUNTIF($D$7:D1133, D1133), "00000") &amp; "-" &amp; VLOOKUP(D1133, $J$7:$K$19, 2, FALSE)</f>
        <v/>
      </c>
      <c r="D1133" s="56" t="inlineStr">
        <is>
          <t>FERRETERIA</t>
        </is>
      </c>
      <c r="E1133" s="56" t="inlineStr">
        <is>
          <t>CUÑETE PINTURA CAUCHO GRIS CEMENTO</t>
        </is>
      </c>
    </row>
    <row r="1134" hidden="1" s="11">
      <c r="C1134" s="56">
        <f>TEXT(COUNTIF($D$7:D1134, D1134), "00000") &amp; "-" &amp; VLOOKUP(D1134, $J$7:$K$19, 2, FALSE)</f>
        <v/>
      </c>
      <c r="D1134" s="56" t="inlineStr">
        <is>
          <t>LIMPIEZA</t>
        </is>
      </c>
      <c r="E1134" s="56" t="inlineStr">
        <is>
          <t>DESENGRASANTE (LITRO)</t>
        </is>
      </c>
    </row>
    <row r="1135" hidden="1" s="11">
      <c r="C1135" s="56">
        <f>TEXT(COUNTIF($D$7:D1135, D1135), "00000") &amp; "-" &amp; VLOOKUP(D1135, $J$7:$K$19, 2, FALSE)</f>
        <v/>
      </c>
      <c r="D1135" s="56" t="inlineStr">
        <is>
          <t>ILUMINACION</t>
        </is>
      </c>
      <c r="E1135" s="56" t="inlineStr">
        <is>
          <t xml:space="preserve">REFLECTOR LED 500W </t>
        </is>
      </c>
    </row>
    <row r="1136" hidden="1" s="11">
      <c r="C1136" s="56">
        <f>TEXT(COUNTIF($D$7:D1136, D1136), "00000") &amp; "-" &amp; VLOOKUP(D1136, $J$7:$K$19, 2, FALSE)</f>
        <v/>
      </c>
      <c r="D1136" s="56" t="inlineStr">
        <is>
          <t>FERRETERIA</t>
        </is>
      </c>
      <c r="E1136" s="56" t="inlineStr">
        <is>
          <t>GALON PINTURA EPOXY GRIS RAL 7001</t>
        </is>
      </c>
    </row>
    <row r="1137" hidden="1" s="11">
      <c r="C1137" s="56">
        <f>TEXT(COUNTIF($D$7:D1137, D1137), "00000") &amp; "-" &amp; VLOOKUP(D1137, $J$7:$K$19, 2, FALSE)</f>
        <v/>
      </c>
      <c r="D1137" s="56" t="inlineStr">
        <is>
          <t>ELECTRICIDAD</t>
        </is>
      </c>
      <c r="E1137" s="56" t="inlineStr">
        <is>
          <t>TOMA CORRIENTE DOBLE C/TIERRA P/EMPOTRAR</t>
        </is>
      </c>
    </row>
    <row r="1138" hidden="1" s="11">
      <c r="C1138" s="56">
        <f>TEXT(COUNTIF($D$7:D1138, D1138), "00000") &amp; "-" &amp; VLOOKUP(D1138, $J$7:$K$19, 2, FALSE)</f>
        <v/>
      </c>
      <c r="D1138" s="56" t="inlineStr">
        <is>
          <t>ELECTRICIDAD</t>
        </is>
      </c>
      <c r="E1138" s="56" t="inlineStr">
        <is>
          <t>CAJA DE PASO METALICA 12 X 12 X 4</t>
        </is>
      </c>
    </row>
    <row r="1139" hidden="1" s="11">
      <c r="C1139" s="56">
        <f>TEXT(COUNTIF($D$7:D1139, D1139), "00000") &amp; "-" &amp; VLOOKUP(D1139, $J$7:$K$19, 2, FALSE)</f>
        <v/>
      </c>
      <c r="D1139" s="56" t="inlineStr">
        <is>
          <t>AUTOMOTRIZ</t>
        </is>
      </c>
      <c r="E1139" s="56" t="inlineStr">
        <is>
          <t>BANDAS DE CARGUERO</t>
        </is>
      </c>
    </row>
    <row r="1140" hidden="1" s="11">
      <c r="C1140" s="56">
        <f>TEXT(COUNTIF($D$7:D1140, D1140), "00000") &amp; "-" &amp; VLOOKUP(D1140, $J$7:$K$19, 2, FALSE)</f>
        <v/>
      </c>
      <c r="D1140" s="56" t="inlineStr">
        <is>
          <t>LIMPIEZA</t>
        </is>
      </c>
      <c r="E1140" s="56" t="inlineStr">
        <is>
          <t>PIPOTE 90 LITROS</t>
        </is>
      </c>
    </row>
    <row r="1141" hidden="1" s="11">
      <c r="C1141" s="56">
        <f>TEXT(COUNTIF($D$7:D1141, D1141), "00000") &amp; "-" &amp; VLOOKUP(D1141, $J$7:$K$19, 2, FALSE)</f>
        <v/>
      </c>
      <c r="D1141" s="56" t="inlineStr">
        <is>
          <t>AUTOMOTRIZ</t>
        </is>
      </c>
      <c r="E1141" s="56" t="inlineStr">
        <is>
          <t>COVER DE BOMBA DE AGUA PARA MONTACARGA TOYO</t>
        </is>
      </c>
    </row>
    <row r="1142" hidden="1" s="11">
      <c r="C1142" s="56">
        <f>TEXT(COUNTIF($D$7:D1142, D1142), "00000") &amp; "-" &amp; VLOOKUP(D1142, $J$7:$K$19, 2, FALSE)</f>
        <v/>
      </c>
      <c r="D1142" s="56" t="inlineStr">
        <is>
          <t>AUTOMOTRIZ</t>
        </is>
      </c>
      <c r="E1142" s="56" t="inlineStr">
        <is>
          <t>GALON REFRIGERANTE VERDE</t>
        </is>
      </c>
    </row>
    <row r="1143" hidden="1" s="11">
      <c r="C1143" s="56">
        <f>TEXT(COUNTIF($D$7:D1143, D1143), "00000") &amp; "-" &amp; VLOOKUP(D1143, $J$7:$K$19, 2, FALSE)</f>
        <v/>
      </c>
      <c r="D1143" s="56" t="inlineStr">
        <is>
          <t>AUTOMOTRIZ</t>
        </is>
      </c>
      <c r="E1143" s="56" t="inlineStr">
        <is>
          <t>FILTRO ACEITE RL51820</t>
        </is>
      </c>
    </row>
    <row r="1144" hidden="1" s="11">
      <c r="C1144" s="56">
        <f>TEXT(COUNTIF($D$7:D1144, D1144), "00000") &amp; "-" &amp; VLOOKUP(D1144, $J$7:$K$19, 2, FALSE)</f>
        <v/>
      </c>
      <c r="D1144" s="56" t="inlineStr">
        <is>
          <t>AUTOMOTRIZ</t>
        </is>
      </c>
      <c r="E1144" s="56" t="inlineStr">
        <is>
          <t>FILTRO ACEITE RL51459</t>
        </is>
      </c>
    </row>
    <row r="1145" hidden="1" s="11">
      <c r="C1145" s="56">
        <f>TEXT(COUNTIF($D$7:D1145, D1145), "00000") &amp; "-" &amp; VLOOKUP(D1145, $J$7:$K$19, 2, FALSE)</f>
        <v/>
      </c>
      <c r="D1145" s="56" t="inlineStr">
        <is>
          <t>AUTOMOTRIZ</t>
        </is>
      </c>
      <c r="E1145" s="56" t="inlineStr">
        <is>
          <t>ACEITE 20W-50 4T (LITRO)</t>
        </is>
      </c>
    </row>
    <row r="1146" hidden="1" s="11">
      <c r="C1146" s="56">
        <f>TEXT(COUNTIF($D$7:D1146, D1146), "00000") &amp; "-" &amp; VLOOKUP(D1146, $J$7:$K$19, 2, FALSE)</f>
        <v/>
      </c>
      <c r="D1146" s="56" t="inlineStr">
        <is>
          <t>AUTOMOTRIZ</t>
        </is>
      </c>
      <c r="E1146" s="56" t="inlineStr">
        <is>
          <t>BOMBA HIDRAHULICA P/M SERIE 7 TOYO</t>
        </is>
      </c>
    </row>
    <row r="1147" hidden="1" s="11">
      <c r="C1147" s="56">
        <f>TEXT(COUNTIF($D$7:D1147, D1147), "00000") &amp; "-" &amp; VLOOKUP(D1147, $J$7:$K$19, 2, FALSE)</f>
        <v/>
      </c>
      <c r="D1147" s="56" t="inlineStr">
        <is>
          <t>AUTOMOTRIZ</t>
        </is>
      </c>
      <c r="E1147" s="56" t="inlineStr">
        <is>
          <t>TAPA DE RADIADOR 7 LIBRAS</t>
        </is>
      </c>
    </row>
    <row r="1148" hidden="1" s="11">
      <c r="C1148" s="56">
        <f>TEXT(COUNTIF($D$7:D1148, D1148), "00000") &amp; "-" &amp; VLOOKUP(D1148, $J$7:$K$19, 2, FALSE)</f>
        <v/>
      </c>
      <c r="D1148" s="56" t="inlineStr">
        <is>
          <t>AUTOMOTRIZ</t>
        </is>
      </c>
      <c r="E1148" s="56" t="inlineStr">
        <is>
          <t>FILTRO DE AIRE GRANDE PARA LA PLANTA</t>
        </is>
      </c>
    </row>
    <row r="1149" hidden="1" s="11">
      <c r="C1149" s="56">
        <f>TEXT(COUNTIF($D$7:D1149, D1149), "00000") &amp; "-" &amp; VLOOKUP(D1149, $J$7:$K$19, 2, FALSE)</f>
        <v/>
      </c>
      <c r="D1149" s="56" t="inlineStr">
        <is>
          <t>REFRIGERACION</t>
        </is>
      </c>
      <c r="E1149" s="56" t="inlineStr">
        <is>
          <t>COMPRESOR  CUBIGEL 1/2HP R-134-A 220V</t>
        </is>
      </c>
    </row>
    <row r="1150" hidden="1" s="11">
      <c r="C1150" s="56">
        <f>TEXT(COUNTIF($D$7:D1150, D1150), "00000") &amp; "-" &amp; VLOOKUP(D1150, $J$7:$K$19, 2, FALSE)</f>
        <v/>
      </c>
      <c r="D1150" s="56" t="inlineStr">
        <is>
          <t>REFRIGERACION</t>
        </is>
      </c>
      <c r="E1150" s="56" t="inlineStr">
        <is>
          <t>TRANSFORMADOR 24VAC -110VAC</t>
        </is>
      </c>
    </row>
    <row r="1151" hidden="1" s="11">
      <c r="C1151" s="56">
        <f>TEXT(COUNTIF($D$7:D1151, D1151), "00000") &amp; "-" &amp; VLOOKUP(D1151, $J$7:$K$19, 2, FALSE)</f>
        <v/>
      </c>
      <c r="D1151" s="56" t="inlineStr">
        <is>
          <t>FERRETERIA</t>
        </is>
      </c>
      <c r="E1151" s="56" t="inlineStr">
        <is>
          <t>CORTINAS GALVANIZADAS</t>
        </is>
      </c>
    </row>
    <row r="1152" hidden="1" s="11">
      <c r="C1152" s="56">
        <f>TEXT(COUNTIF($D$7:D1152, D1152), "00000") &amp; "-" &amp; VLOOKUP(D1152, $J$7:$K$19, 2, FALSE)</f>
        <v/>
      </c>
      <c r="D1152" s="56" t="inlineStr">
        <is>
          <t>FERRETERIA</t>
        </is>
      </c>
      <c r="E1152" s="56" t="inlineStr">
        <is>
          <t>MECHA HSS 15/64</t>
        </is>
      </c>
    </row>
    <row r="1153" hidden="1" s="11">
      <c r="C1153" s="56">
        <f>TEXT(COUNTIF($D$7:D1153, D1153), "00000") &amp; "-" &amp; VLOOKUP(D1153, $J$7:$K$19, 2, FALSE)</f>
        <v/>
      </c>
      <c r="D1153" s="56" t="inlineStr">
        <is>
          <t>MISCELANEOS</t>
        </is>
      </c>
      <c r="E1153" s="56" t="inlineStr">
        <is>
          <t>ALFOMBRA DE ENTRADA 40 X 60CM</t>
        </is>
      </c>
    </row>
    <row r="1154" hidden="1" s="11">
      <c r="C1154" s="56">
        <f>TEXT(COUNTIF($D$7:D1154, D1154), "00000") &amp; "-" &amp; VLOOKUP(D1154, $J$7:$K$19, 2, FALSE)</f>
        <v/>
      </c>
      <c r="D1154" s="56" t="inlineStr">
        <is>
          <t>MISCELANEOS</t>
        </is>
      </c>
      <c r="E1154" s="56" t="inlineStr">
        <is>
          <t>ESPEJO RECTANGULAR</t>
        </is>
      </c>
    </row>
    <row r="1155" hidden="1" s="11">
      <c r="C1155" s="56">
        <f>TEXT(COUNTIF($D$7:D1155, D1155), "00000") &amp; "-" &amp; VLOOKUP(D1155, $J$7:$K$19, 2, FALSE)</f>
        <v/>
      </c>
      <c r="D1155" s="56" t="inlineStr">
        <is>
          <t>MISCELANEOS</t>
        </is>
      </c>
      <c r="E1155" s="56" t="inlineStr">
        <is>
          <t>CESTA NEGRA DE MERCADO CON ASAS</t>
        </is>
      </c>
    </row>
    <row r="1156" hidden="1" s="11">
      <c r="C1156" s="56">
        <f>TEXT(COUNTIF($D$7:D1156, D1156), "00000") &amp; "-" &amp; VLOOKUP(D1156, $J$7:$K$19, 2, FALSE)</f>
        <v/>
      </c>
      <c r="D1156" s="56" t="inlineStr">
        <is>
          <t>MISCELANEOS</t>
        </is>
      </c>
      <c r="E1156" s="56" t="inlineStr">
        <is>
          <t>CESTA VERDE CON RUEDA DE MERCADO</t>
        </is>
      </c>
    </row>
    <row r="1157" hidden="1" s="11">
      <c r="C1157" s="56">
        <f>TEXT(COUNTIF($D$7:D1157, D1157), "00000") &amp; "-" &amp; VLOOKUP(D1157, $J$7:$K$19, 2, FALSE)</f>
        <v/>
      </c>
      <c r="D1157" s="56" t="inlineStr">
        <is>
          <t>HERRAMIENTA</t>
        </is>
      </c>
      <c r="E1157" s="56" t="inlineStr">
        <is>
          <t>JUEGO DE SIERRA COPA 7 PIEZAS</t>
        </is>
      </c>
    </row>
    <row r="1158" hidden="1" s="11">
      <c r="C1158" s="56">
        <f>TEXT(COUNTIF($D$7:D1158, D1158), "00000") &amp; "-" &amp; VLOOKUP(D1158, $J$7:$K$19, 2, FALSE)</f>
        <v/>
      </c>
      <c r="D1158" s="56" t="inlineStr">
        <is>
          <t>ELECTRICIDAD</t>
        </is>
      </c>
      <c r="E1158" s="56" t="inlineStr">
        <is>
          <t>TOMA CORRIENTE INDIVIDUAL C/TIERRA P/EMPOTRAR</t>
        </is>
      </c>
    </row>
    <row r="1159" hidden="1" s="11">
      <c r="C1159" s="56">
        <f>TEXT(COUNTIF($D$7:D1159, D1159), "00000") &amp; "-" &amp; VLOOKUP(D1159, $J$7:$K$19, 2, FALSE)</f>
        <v/>
      </c>
      <c r="D1159" s="56" t="inlineStr">
        <is>
          <t>FERRETERIA</t>
        </is>
      </c>
      <c r="E1159" s="56" t="inlineStr">
        <is>
          <t>FILTRO DE AIRE PARA COMPRESOR</t>
        </is>
      </c>
    </row>
    <row r="1160" hidden="1" s="11">
      <c r="C1160" s="56">
        <f>TEXT(COUNTIF($D$7:D1160, D1160), "00000") &amp; "-" &amp; VLOOKUP(D1160, $J$7:$K$19, 2, FALSE)</f>
        <v/>
      </c>
      <c r="D1160" s="56" t="inlineStr">
        <is>
          <t>MISCELANEOS</t>
        </is>
      </c>
      <c r="E1160" s="56" t="inlineStr">
        <is>
          <t>CARTELERA FISCAL ACRILICA 50 X 60CM</t>
        </is>
      </c>
    </row>
    <row r="1161" hidden="1" s="11">
      <c r="C1161" s="56">
        <f>TEXT(COUNTIF($D$7:D1161, D1161), "00000") &amp; "-" &amp; VLOOKUP(D1161, $J$7:$K$19, 2, FALSE)</f>
        <v/>
      </c>
      <c r="D1161" s="56" t="inlineStr">
        <is>
          <t>ELECTRICIDAD</t>
        </is>
      </c>
      <c r="E1161" s="56" t="inlineStr">
        <is>
          <t>CABLE N°12 AMARILLO (METRO)</t>
        </is>
      </c>
    </row>
    <row r="1162" hidden="1" s="11">
      <c r="C1162" s="56">
        <f>TEXT(COUNTIF($D$7:D1162, D1162), "00000") &amp; "-" &amp; VLOOKUP(D1162, $J$7:$K$19, 2, FALSE)</f>
        <v/>
      </c>
      <c r="D1162" s="56" t="inlineStr">
        <is>
          <t>ELECTRICIDAD</t>
        </is>
      </c>
      <c r="E1162" s="56" t="inlineStr">
        <is>
          <t>CABLE N° 10 AMARILLO (METRO)</t>
        </is>
      </c>
    </row>
    <row r="1163" hidden="1" s="11">
      <c r="C1163" s="56">
        <f>TEXT(COUNTIF($D$7:D1163, D1163), "00000") &amp; "-" &amp; VLOOKUP(D1163, $J$7:$K$19, 2, FALSE)</f>
        <v/>
      </c>
      <c r="D1163" s="56" t="inlineStr">
        <is>
          <t>ELECTRICIDAD</t>
        </is>
      </c>
      <c r="E1163" s="56" t="inlineStr">
        <is>
          <t>CABLE N° 10 NEGRO (METRO)</t>
        </is>
      </c>
    </row>
    <row r="1164" hidden="1" s="11">
      <c r="C1164" s="56">
        <f>TEXT(COUNTIF($D$7:D1164, D1164), "00000") &amp; "-" &amp; VLOOKUP(D1164, $J$7:$K$19, 2, FALSE)</f>
        <v/>
      </c>
      <c r="D1164" s="56" t="inlineStr">
        <is>
          <t>ELECTRICIDAD</t>
        </is>
      </c>
      <c r="E1164" s="56" t="inlineStr">
        <is>
          <t>CABLE N° 10 VERDE (METRO)</t>
        </is>
      </c>
    </row>
    <row r="1165" hidden="1" s="11">
      <c r="C1165" s="56">
        <f>TEXT(COUNTIF($D$7:D1165, D1165), "00000") &amp; "-" &amp; VLOOKUP(D1165, $J$7:$K$19, 2, FALSE)</f>
        <v/>
      </c>
      <c r="D1165" s="56" t="inlineStr">
        <is>
          <t>ILUMINACION</t>
        </is>
      </c>
      <c r="E1165" s="56" t="inlineStr">
        <is>
          <t>FOTOCELDA CON BASE</t>
        </is>
      </c>
    </row>
    <row r="1166" hidden="1" s="11">
      <c r="C1166" s="56">
        <f>TEXT(COUNTIF($D$7:D1166, D1166), "00000") &amp; "-" &amp; VLOOKUP(D1166, $J$7:$K$19, 2, FALSE)</f>
        <v/>
      </c>
      <c r="D1166" s="56" t="inlineStr">
        <is>
          <t>REFRIGERACION</t>
        </is>
      </c>
      <c r="E1166" s="56" t="inlineStr">
        <is>
          <t>CONTACTOR 60A/70A 3 POLOS 220V</t>
        </is>
      </c>
    </row>
    <row r="1167" hidden="1" s="11">
      <c r="C1167" s="56">
        <f>TEXT(COUNTIF($D$7:D1167, D1167), "00000") &amp; "-" &amp; VLOOKUP(D1167, $J$7:$K$19, 2, FALSE)</f>
        <v/>
      </c>
      <c r="D1167" s="56" t="inlineStr">
        <is>
          <t>REFRIGERACION</t>
        </is>
      </c>
      <c r="E1167" s="56" t="inlineStr">
        <is>
          <t>VALVULA DE EXPANSIÓN R22</t>
        </is>
      </c>
    </row>
    <row r="1168" hidden="1" s="11">
      <c r="C1168" s="56">
        <f>TEXT(COUNTIF($D$7:D1168, D1168), "00000") &amp; "-" &amp; VLOOKUP(D1168, $J$7:$K$19, 2, FALSE)</f>
        <v/>
      </c>
      <c r="D1168" s="56" t="inlineStr">
        <is>
          <t>REFRIGERACION</t>
        </is>
      </c>
      <c r="E1168" s="56" t="inlineStr">
        <is>
          <t>COMPRESOR DE PISTON/RECI 5HP R22 220V COPELAND</t>
        </is>
      </c>
    </row>
    <row r="1169" hidden="1" s="11">
      <c r="C1169" s="56">
        <f>TEXT(COUNTIF($D$7:D1169, D1169), "00000") &amp; "-" &amp; VLOOKUP(D1169, $J$7:$K$19, 2, FALSE)</f>
        <v/>
      </c>
      <c r="D1169" s="56" t="inlineStr">
        <is>
          <t>REFRIGERACION</t>
        </is>
      </c>
      <c r="E1169" s="56" t="inlineStr">
        <is>
          <t>SEPARADOR DE ACEITE 5/8</t>
        </is>
      </c>
    </row>
    <row r="1170" hidden="1" s="11">
      <c r="C1170" s="56">
        <f>TEXT(COUNTIF($D$7:D1170, D1170), "00000") &amp; "-" &amp; VLOOKUP(D1170, $J$7:$K$19, 2, FALSE)</f>
        <v/>
      </c>
      <c r="D1170" s="56" t="inlineStr">
        <is>
          <t>REFRIGERACION</t>
        </is>
      </c>
      <c r="E1170" s="56" t="inlineStr">
        <is>
          <t>ACUMULADOR DE SUCCION 3/4</t>
        </is>
      </c>
    </row>
    <row r="1171" hidden="1" s="11">
      <c r="C1171" s="56">
        <f>TEXT(COUNTIF($D$7:D1171, D1171), "00000") &amp; "-" &amp; VLOOKUP(D1171, $J$7:$K$19, 2, FALSE)</f>
        <v/>
      </c>
      <c r="D1171" s="56" t="inlineStr">
        <is>
          <t>REFRIGERACION</t>
        </is>
      </c>
      <c r="E1171" s="56" t="inlineStr">
        <is>
          <t>UNIDAD COND. 3HP R22/R134/R404</t>
        </is>
      </c>
    </row>
    <row r="1172" hidden="1" s="11">
      <c r="C1172" s="56">
        <f>TEXT(COUNTIF($D$7:D1172, D1172), "00000") &amp; "-" &amp; VLOOKUP(D1172, $J$7:$K$19, 2, FALSE)</f>
        <v/>
      </c>
      <c r="D1172" s="56" t="inlineStr">
        <is>
          <t>REFRIGERACION</t>
        </is>
      </c>
      <c r="E1172" s="56" t="inlineStr">
        <is>
          <t xml:space="preserve">COMPRESOR 5 TON. R22 220V </t>
        </is>
      </c>
    </row>
    <row r="1173" hidden="1" s="11">
      <c r="C1173" s="56">
        <f>TEXT(COUNTIF($D$7:D1173, D1173), "00000") &amp; "-" &amp; VLOOKUP(D1173, $J$7:$K$19, 2, FALSE)</f>
        <v/>
      </c>
      <c r="D1173" s="56" t="inlineStr">
        <is>
          <t>FERRETERIA</t>
        </is>
      </c>
      <c r="E1173" s="56" t="inlineStr">
        <is>
          <t>BARRA ROSCADA 1/2 1M</t>
        </is>
      </c>
    </row>
    <row r="1174" hidden="1" s="11">
      <c r="C1174" s="56">
        <f>TEXT(COUNTIF($D$7:D1174, D1174), "00000") &amp; "-" &amp; VLOOKUP(D1174, $J$7:$K$19, 2, FALSE)</f>
        <v/>
      </c>
      <c r="D1174" s="56" t="inlineStr">
        <is>
          <t>REFRIGERACION</t>
        </is>
      </c>
      <c r="E1174" s="56" t="inlineStr">
        <is>
          <t>CODO DE COBRE SOLDABLE 90° 5/8</t>
        </is>
      </c>
    </row>
    <row r="1175" hidden="1" s="11">
      <c r="C1175" s="56">
        <f>TEXT(COUNTIF($D$7:D1175, D1175), "00000") &amp; "-" &amp; VLOOKUP(D1175, $J$7:$K$19, 2, FALSE)</f>
        <v/>
      </c>
      <c r="D1175" s="56" t="inlineStr">
        <is>
          <t>REFRIGERACION</t>
        </is>
      </c>
      <c r="E1175" s="56" t="inlineStr">
        <is>
          <t>TUBO DE COBRE FLEXIBLE 5/8 (METRO)</t>
        </is>
      </c>
    </row>
    <row r="1176" hidden="1" s="11">
      <c r="C1176" s="56">
        <f>TEXT(COUNTIF($D$7:D1176, D1176), "00000") &amp; "-" &amp; VLOOKUP(D1176, $J$7:$K$19, 2, FALSE)</f>
        <v/>
      </c>
      <c r="D1176" s="56" t="inlineStr">
        <is>
          <t>ELECTRICIDAD</t>
        </is>
      </c>
      <c r="E1176" s="56" t="inlineStr">
        <is>
          <t xml:space="preserve">SUPERVISOR MONOFASICO DE A/A 220V </t>
        </is>
      </c>
    </row>
    <row r="1177" hidden="1" s="11">
      <c r="C1177" s="56">
        <f>TEXT(COUNTIF($D$7:D1177, D1177), "00000") &amp; "-" &amp; VLOOKUP(D1177, $J$7:$K$19, 2, FALSE)</f>
        <v/>
      </c>
      <c r="D1177" s="56" t="inlineStr">
        <is>
          <t>REFRIGERACION</t>
        </is>
      </c>
      <c r="E1177" s="56" t="inlineStr">
        <is>
          <t>ACEITE REFRIGERANTE MINERAL GALON</t>
        </is>
      </c>
    </row>
    <row r="1178" hidden="1" s="11">
      <c r="C1178" s="56">
        <f>TEXT(COUNTIF($D$7:D1178, D1178), "00000") &amp; "-" &amp; VLOOKUP(D1178, $J$7:$K$19, 2, FALSE)</f>
        <v/>
      </c>
      <c r="D1178" s="56" t="inlineStr">
        <is>
          <t>PLOMERIA</t>
        </is>
      </c>
      <c r="E1178" s="56" t="inlineStr">
        <is>
          <t>MANILLA DE POCETA</t>
        </is>
      </c>
    </row>
    <row r="1179" hidden="1" s="11">
      <c r="C1179" s="56">
        <f>TEXT(COUNTIF($D$7:D1179, D1179), "00000") &amp; "-" &amp; VLOOKUP(D1179, $J$7:$K$19, 2, FALSE)</f>
        <v/>
      </c>
      <c r="D1179" s="56" t="inlineStr">
        <is>
          <t>ELECTRICIDAD</t>
        </is>
      </c>
      <c r="E1179" s="56" t="inlineStr">
        <is>
          <t>CABLE N° 10 ROJO (METRO)</t>
        </is>
      </c>
    </row>
    <row r="1180" hidden="1" s="11">
      <c r="C1180" s="56">
        <f>TEXT(COUNTIF($D$7:D1180, D1180), "00000") &amp; "-" &amp; VLOOKUP(D1180, $J$7:$K$19, 2, FALSE)</f>
        <v/>
      </c>
      <c r="D1180" s="56" t="inlineStr">
        <is>
          <t>ELECTRICIDAD</t>
        </is>
      </c>
      <c r="E1180" s="56" t="inlineStr">
        <is>
          <t>CABLE N°16 AZUL (METRO)</t>
        </is>
      </c>
    </row>
    <row r="1181" hidden="1" s="11">
      <c r="C1181" s="56">
        <f>TEXT(COUNTIF($D$7:D1181, D1181), "00000") &amp; "-" &amp; VLOOKUP(D1181, $J$7:$K$19, 2, FALSE)</f>
        <v/>
      </c>
      <c r="D1181" s="56" t="inlineStr">
        <is>
          <t>ELECTRONICO</t>
        </is>
      </c>
      <c r="E1181" s="56" t="inlineStr">
        <is>
          <t>MAQUINA SELLADORA AL VACIO 25W</t>
        </is>
      </c>
    </row>
    <row r="1182" hidden="1" s="11">
      <c r="C1182" s="56">
        <f>TEXT(COUNTIF($D$7:D1182, D1182), "00000") &amp; "-" &amp; VLOOKUP(D1182, $J$7:$K$19, 2, FALSE)</f>
        <v/>
      </c>
      <c r="D1182" s="56" t="inlineStr">
        <is>
          <t>OFICINA</t>
        </is>
      </c>
      <c r="E1182" s="56" t="inlineStr">
        <is>
          <t>HABLADOR ARCRILICO CARTA HORIZONTAL</t>
        </is>
      </c>
    </row>
    <row r="1183" hidden="1" s="11">
      <c r="C1183" s="56">
        <f>TEXT(COUNTIF($D$7:D1183, D1183), "00000") &amp; "-" &amp; VLOOKUP(D1183, $J$7:$K$19, 2, FALSE)</f>
        <v/>
      </c>
      <c r="D1183" s="56" t="inlineStr">
        <is>
          <t>ELECTRONICO</t>
        </is>
      </c>
      <c r="E1183" s="56" t="inlineStr">
        <is>
          <t>ROMANA CAP 200KG ROCCIA</t>
        </is>
      </c>
    </row>
    <row r="1184" hidden="1" s="11">
      <c r="C1184" s="56">
        <f>TEXT(COUNTIF($D$7:D1184, D1184), "00000") &amp; "-" &amp; VLOOKUP(D1184, $J$7:$K$19, 2, FALSE)</f>
        <v/>
      </c>
      <c r="D1184" s="56" t="inlineStr">
        <is>
          <t>LIMPIEZA</t>
        </is>
      </c>
      <c r="E1184" s="56" t="inlineStr">
        <is>
          <t>CARRO MOPEADOR 20L</t>
        </is>
      </c>
    </row>
    <row r="1185" hidden="1" s="11">
      <c r="C1185" s="56">
        <f>TEXT(COUNTIF($D$7:D1185, D1185), "00000") &amp; "-" &amp; VLOOKUP(D1185, $J$7:$K$19, 2, FALSE)</f>
        <v/>
      </c>
      <c r="D1185" s="56" t="inlineStr">
        <is>
          <t>LIMPIEZA</t>
        </is>
      </c>
      <c r="E1185" s="56" t="inlineStr">
        <is>
          <t>DISCO PARA PULIDORA INDUSTRIAL 18" ROJO</t>
        </is>
      </c>
    </row>
    <row r="1186" hidden="1" s="11">
      <c r="C1186" s="56">
        <f>TEXT(COUNTIF($D$7:D1186, D1186), "00000") &amp; "-" &amp; VLOOKUP(D1186, $J$7:$K$19, 2, FALSE)</f>
        <v/>
      </c>
      <c r="D1186" s="56" t="inlineStr">
        <is>
          <t>MISCELANEOS</t>
        </is>
      </c>
      <c r="E1186" s="56" t="inlineStr">
        <is>
          <t>BOLSA 2KG S/ ASA CHILLONA 1000UND</t>
        </is>
      </c>
    </row>
    <row r="1187" hidden="1" s="11">
      <c r="C1187" s="56">
        <f>TEXT(COUNTIF($D$7:D1187, D1187), "00000") &amp; "-" &amp; VLOOKUP(D1187, $J$7:$K$19, 2, FALSE)</f>
        <v/>
      </c>
      <c r="D1187" s="56" t="inlineStr">
        <is>
          <t>AUTOMOTRIZ</t>
        </is>
      </c>
      <c r="E1187" s="56" t="inlineStr">
        <is>
          <t>RESORTE DE ACELERACION DE MONTACARGA</t>
        </is>
      </c>
    </row>
    <row r="1188" hidden="1" s="11">
      <c r="C1188" s="56">
        <f>TEXT(COUNTIF($D$7:D1188, D1188), "00000") &amp; "-" &amp; VLOOKUP(D1188, $J$7:$K$19, 2, FALSE)</f>
        <v/>
      </c>
      <c r="D1188" s="56" t="inlineStr">
        <is>
          <t>FERRETERIA</t>
        </is>
      </c>
      <c r="E1188" s="56" t="inlineStr">
        <is>
          <t>CARRUCHA BUHONERA SEMI-PESADA 10X2"</t>
        </is>
      </c>
    </row>
    <row r="1189" hidden="1" s="11">
      <c r="C1189" s="56">
        <f>TEXT(COUNTIF($D$7:D1189, D1189), "00000") &amp; "-" &amp; VLOOKUP(D1189, $J$7:$K$19, 2, FALSE)</f>
        <v/>
      </c>
      <c r="D1189" s="56" t="inlineStr">
        <is>
          <t>HERRAMIENTA</t>
        </is>
      </c>
      <c r="E1189" s="56" t="inlineStr">
        <is>
          <t>MAQUINA DE SOLDAR 250A INVERTER</t>
        </is>
      </c>
    </row>
    <row r="1190" hidden="1" s="11">
      <c r="C1190" s="56">
        <f>TEXT(COUNTIF($D$7:D1190, D1190), "00000") &amp; "-" &amp; VLOOKUP(D1190, $J$7:$K$19, 2, FALSE)</f>
        <v/>
      </c>
      <c r="D1190" s="56" t="inlineStr">
        <is>
          <t>HERRAMIENTA</t>
        </is>
      </c>
      <c r="E1190" s="56" t="inlineStr">
        <is>
          <t>JUEGO DE TALADRO INALAMBRICO Y ATORNILLADOR</t>
        </is>
      </c>
    </row>
    <row r="1191" hidden="1" s="11">
      <c r="C1191" s="56">
        <f>TEXT(COUNTIF($D$7:D1191, D1191), "00000") &amp; "-" &amp; VLOOKUP(D1191, $J$7:$K$19, 2, FALSE)</f>
        <v/>
      </c>
      <c r="D1191" s="56" t="inlineStr">
        <is>
          <t>HERRAMIENTA</t>
        </is>
      </c>
      <c r="E1191" s="56" t="inlineStr">
        <is>
          <t>VERNIER DIGITAL RANGO 0-150MM</t>
        </is>
      </c>
    </row>
    <row r="1192" hidden="1" s="11">
      <c r="C1192" s="56">
        <f>TEXT(COUNTIF($D$7:D1192, D1192), "00000") &amp; "-" &amp; VLOOKUP(D1192, $J$7:$K$19, 2, FALSE)</f>
        <v/>
      </c>
      <c r="D1192" s="56" t="inlineStr">
        <is>
          <t>ELECTRONICO</t>
        </is>
      </c>
      <c r="E1192" s="56" t="inlineStr">
        <is>
          <t>MICROONDAS CONDESA 23L SJ ELECTRONICS</t>
        </is>
      </c>
    </row>
    <row r="1193" hidden="1" s="11">
      <c r="C1193" s="56">
        <f>TEXT(COUNTIF($D$7:D1193, D1193), "00000") &amp; "-" &amp; VLOOKUP(D1193, $J$7:$K$19, 2, FALSE)</f>
        <v/>
      </c>
      <c r="D1193" s="56" t="inlineStr">
        <is>
          <t>ELECTRONICO</t>
        </is>
      </c>
      <c r="E1193" s="56" t="inlineStr">
        <is>
          <t>CAFETERA UNIVERSAL 20 TASAS</t>
        </is>
      </c>
    </row>
    <row r="1194" hidden="1" s="11">
      <c r="C1194" s="56">
        <f>TEXT(COUNTIF($D$7:D1194, D1194), "00000") &amp; "-" &amp; VLOOKUP(D1194, $J$7:$K$19, 2, FALSE)</f>
        <v/>
      </c>
      <c r="D1194" s="56" t="inlineStr">
        <is>
          <t>FERRETERIA</t>
        </is>
      </c>
      <c r="E1194" s="56" t="inlineStr">
        <is>
          <t>CADENA GALVANIZADA P/MATERO N°14 (METRO)</t>
        </is>
      </c>
    </row>
    <row r="1195" hidden="1" s="11">
      <c r="C1195" s="56">
        <f>TEXT(COUNTIF($D$7:D1195, D1195), "00000") &amp; "-" &amp; VLOOKUP(D1195, $J$7:$K$19, 2, FALSE)</f>
        <v/>
      </c>
      <c r="D1195" s="56" t="inlineStr">
        <is>
          <t>FERRETERIA</t>
        </is>
      </c>
      <c r="E1195" s="56" t="inlineStr">
        <is>
          <t>ARMELLA ABIERTO N°6</t>
        </is>
      </c>
    </row>
    <row r="1196" hidden="1" s="11">
      <c r="C1196" s="56">
        <f>TEXT(COUNTIF($D$7:D1196, D1196), "00000") &amp; "-" &amp; VLOOKUP(D1196, $J$7:$K$19, 2, FALSE)</f>
        <v/>
      </c>
      <c r="D1196" s="56" t="inlineStr">
        <is>
          <t>HERRAMIENTA</t>
        </is>
      </c>
      <c r="E1196" s="56" t="inlineStr">
        <is>
          <t>ESMERIL INALAMBRICO 4</t>
        </is>
      </c>
    </row>
    <row r="1197" hidden="1" s="11">
      <c r="C1197" s="56">
        <f>TEXT(COUNTIF($D$7:D1197, D1197), "00000") &amp; "-" &amp; VLOOKUP(D1197, $J$7:$K$19, 2, FALSE)</f>
        <v/>
      </c>
      <c r="D1197" s="56" t="inlineStr">
        <is>
          <t>FERRETERIA</t>
        </is>
      </c>
      <c r="E1197" s="56" t="inlineStr">
        <is>
          <t>SILICON RTV 85G</t>
        </is>
      </c>
    </row>
    <row r="1198" hidden="1" s="11">
      <c r="C1198" s="56">
        <f>TEXT(COUNTIF($D$7:D1198, D1198), "00000") &amp; "-" &amp; VLOOKUP(D1198, $J$7:$K$19, 2, FALSE)</f>
        <v/>
      </c>
      <c r="D1198" s="56" t="inlineStr">
        <is>
          <t>FERRETERIA</t>
        </is>
      </c>
      <c r="E1198" s="56" t="inlineStr">
        <is>
          <t>PEGA PVC 1/32</t>
        </is>
      </c>
    </row>
    <row r="1199" hidden="1" s="11">
      <c r="C1199" s="56">
        <f>TEXT(COUNTIF($D$7:D1199, D1199), "00000") &amp; "-" &amp; VLOOKUP(D1199, $J$7:$K$19, 2, FALSE)</f>
        <v/>
      </c>
      <c r="D1199" s="56" t="inlineStr">
        <is>
          <t>FERRETERIA</t>
        </is>
      </c>
      <c r="E1199" s="56" t="inlineStr">
        <is>
          <t xml:space="preserve">PALA CUADRADA CON MANGO DE MADERA </t>
        </is>
      </c>
    </row>
    <row r="1200" hidden="1" s="11">
      <c r="C1200" s="56">
        <f>TEXT(COUNTIF($D$7:D1200, D1200), "00000") &amp; "-" &amp; VLOOKUP(D1200, $J$7:$K$19, 2, FALSE)</f>
        <v/>
      </c>
      <c r="D1200" s="56" t="inlineStr">
        <is>
          <t>FERRETERIA</t>
        </is>
      </c>
      <c r="E1200" s="56" t="inlineStr">
        <is>
          <t>COPA DE BRONCE 1/4</t>
        </is>
      </c>
    </row>
    <row r="1201" hidden="1" s="11">
      <c r="C1201" s="56">
        <f>TEXT(COUNTIF($D$7:D1201, D1201), "00000") &amp; "-" &amp; VLOOKUP(D1201, $J$7:$K$19, 2, FALSE)</f>
        <v/>
      </c>
      <c r="D1201" s="56" t="inlineStr">
        <is>
          <t>PLOMERIA</t>
        </is>
      </c>
      <c r="E1201" s="56" t="inlineStr">
        <is>
          <t>GALON DE PEGA 43</t>
        </is>
      </c>
    </row>
    <row r="1202" hidden="1" s="11">
      <c r="C1202" s="56">
        <f>TEXT(COUNTIF($D$7:D1202, D1202), "00000") &amp; "-" &amp; VLOOKUP(D1202, $J$7:$K$19, 2, FALSE)</f>
        <v/>
      </c>
      <c r="D1202" s="56" t="inlineStr">
        <is>
          <t>FERRETERIA</t>
        </is>
      </c>
      <c r="E1202" s="56" t="inlineStr">
        <is>
          <t>PINTURA ANTICORROSIVA</t>
        </is>
      </c>
    </row>
    <row r="1203" hidden="1" s="11">
      <c r="C1203" s="56">
        <f>TEXT(COUNTIF($D$7:D1203, D1203), "00000") &amp; "-" &amp; VLOOKUP(D1203, $J$7:$K$19, 2, FALSE)</f>
        <v/>
      </c>
      <c r="D1203" s="56" t="inlineStr">
        <is>
          <t>FERRETERIA</t>
        </is>
      </c>
      <c r="E1203" s="56" t="inlineStr">
        <is>
          <t>COPA 3/8 1/3</t>
        </is>
      </c>
    </row>
    <row r="1204" hidden="1" s="11">
      <c r="C1204" s="56">
        <f>TEXT(COUNTIF($D$7:D1204, D1204), "00000") &amp; "-" &amp; VLOOKUP(D1204, $J$7:$K$19, 2, FALSE)</f>
        <v/>
      </c>
      <c r="D1204" s="56" t="inlineStr">
        <is>
          <t>FERRETERIA</t>
        </is>
      </c>
      <c r="E1204" s="56" t="inlineStr">
        <is>
          <t>COPA 1/4 X 1/4</t>
        </is>
      </c>
    </row>
    <row r="1205" hidden="1" s="11">
      <c r="C1205" s="56">
        <f>TEXT(COUNTIF($D$7:D1205, D1205), "00000") &amp; "-" &amp; VLOOKUP(D1205, $J$7:$K$19, 2, FALSE)</f>
        <v/>
      </c>
      <c r="D1205" s="56" t="inlineStr">
        <is>
          <t>REFRIGERACION</t>
        </is>
      </c>
      <c r="E1205" s="56" t="inlineStr">
        <is>
          <t xml:space="preserve">VALVULA DE EXPASION 404 </t>
        </is>
      </c>
    </row>
    <row r="1206" hidden="1" s="11">
      <c r="C1206" s="56">
        <f>TEXT(COUNTIF($D$7:D1206, D1206), "00000") &amp; "-" &amp; VLOOKUP(D1206, $J$7:$K$19, 2, FALSE)</f>
        <v/>
      </c>
      <c r="D1206" s="56" t="inlineStr">
        <is>
          <t>REFRIGERACION</t>
        </is>
      </c>
      <c r="E1206" s="56" t="inlineStr">
        <is>
          <t>ORIFICIO DANFOSS 0,3</t>
        </is>
      </c>
    </row>
    <row r="1207" hidden="1" s="11">
      <c r="C1207" s="56">
        <f>TEXT(COUNTIF($D$7:D1207, D1207), "00000") &amp; "-" &amp; VLOOKUP(D1207, $J$7:$K$19, 2, FALSE)</f>
        <v/>
      </c>
      <c r="D1207" s="56" t="inlineStr">
        <is>
          <t>FERRETERIA</t>
        </is>
      </c>
      <c r="E1207" s="56" t="inlineStr">
        <is>
          <t>TIRRA 20CM X 2,5MM</t>
        </is>
      </c>
    </row>
    <row r="1208" hidden="1" s="11">
      <c r="C1208" s="56">
        <f>TEXT(COUNTIF($D$7:D1208, D1208), "00000") &amp; "-" &amp; VLOOKUP(D1208, $J$7:$K$19, 2, FALSE)</f>
        <v/>
      </c>
      <c r="D1208" s="56" t="inlineStr">
        <is>
          <t>REFRIGERACION</t>
        </is>
      </c>
      <c r="E1208" s="56" t="inlineStr">
        <is>
          <t xml:space="preserve">TUBO DE COBRE FLEXIBLE 3/8 </t>
        </is>
      </c>
    </row>
    <row r="1209" hidden="1" s="11">
      <c r="C1209" s="56">
        <f>TEXT(COUNTIF($D$7:D1209, D1209), "00000") &amp; "-" &amp; VLOOKUP(D1209, $J$7:$K$19, 2, FALSE)</f>
        <v/>
      </c>
      <c r="D1209" s="56" t="inlineStr">
        <is>
          <t>REFRIGERACION</t>
        </is>
      </c>
      <c r="E1209" s="56" t="inlineStr">
        <is>
          <t>CODO DE COBRE 3/4 45°</t>
        </is>
      </c>
    </row>
    <row r="1210" hidden="1" s="11">
      <c r="C1210" s="56">
        <f>TEXT(COUNTIF($D$7:D1210, D1210), "00000") &amp; "-" &amp; VLOOKUP(D1210, $J$7:$K$19, 2, FALSE)</f>
        <v/>
      </c>
      <c r="D1210" s="56" t="inlineStr">
        <is>
          <t>REFRIGERACION</t>
        </is>
      </c>
      <c r="E1210" s="56" t="inlineStr">
        <is>
          <t>CODO DE COBRE 3/8 45°</t>
        </is>
      </c>
    </row>
    <row r="1211" hidden="1" s="11">
      <c r="C1211" s="56">
        <f>TEXT(COUNTIF($D$7:D1211, D1211), "00000") &amp; "-" &amp; VLOOKUP(D1211, $J$7:$K$19, 2, FALSE)</f>
        <v/>
      </c>
      <c r="D1211" s="56" t="inlineStr">
        <is>
          <t>REFRIGERACION</t>
        </is>
      </c>
      <c r="E1211" s="56" t="inlineStr">
        <is>
          <t>CONDENSADOR A/A 3MFD 450V CUADRADO</t>
        </is>
      </c>
    </row>
    <row r="1212" hidden="1" s="11">
      <c r="C1212" s="56">
        <f>TEXT(COUNTIF($D$7:D1212, D1212), "00000") &amp; "-" &amp; VLOOKUP(D1212, $J$7:$K$19, 2, FALSE)</f>
        <v/>
      </c>
      <c r="D1212" s="56" t="inlineStr">
        <is>
          <t>REFRIGERACION</t>
        </is>
      </c>
      <c r="E1212" s="56" t="inlineStr">
        <is>
          <t>CONDENSADOR A/A 50MFD 440V</t>
        </is>
      </c>
    </row>
    <row r="1213" hidden="1" s="11">
      <c r="C1213" s="56">
        <f>TEXT(COUNTIF($D$7:D1213, D1213), "00000") &amp; "-" &amp; VLOOKUP(D1213, $J$7:$K$19, 2, FALSE)</f>
        <v/>
      </c>
      <c r="D1213" s="56" t="inlineStr">
        <is>
          <t>FERRETERIA</t>
        </is>
      </c>
      <c r="E1213" s="56" t="inlineStr">
        <is>
          <t>CANALETA AUTOADHESIVA</t>
        </is>
      </c>
    </row>
    <row r="1214" hidden="1" s="11">
      <c r="C1214" s="56">
        <f>TEXT(COUNTIF($D$7:D1214, D1214), "00000") &amp; "-" &amp; VLOOKUP(D1214, $J$7:$K$19, 2, FALSE)</f>
        <v/>
      </c>
      <c r="D1214" s="56" t="inlineStr">
        <is>
          <t>FERRETERIA</t>
        </is>
      </c>
      <c r="E1214" s="56" t="inlineStr">
        <is>
          <t>CINTA AISLANTE PVC MOMIA</t>
        </is>
      </c>
    </row>
    <row r="1215" hidden="1" s="11">
      <c r="C1215" s="56">
        <f>TEXT(COUNTIF($D$7:D1215, D1215), "00000") &amp; "-" &amp; VLOOKUP(D1215, $J$7:$K$19, 2, FALSE)</f>
        <v/>
      </c>
      <c r="D1215" s="56" t="inlineStr">
        <is>
          <t>FERRETERIA</t>
        </is>
      </c>
      <c r="E1215" s="56" t="inlineStr">
        <is>
          <t>FORMULA MARINA 354ML</t>
        </is>
      </c>
    </row>
    <row r="1216" hidden="1" s="11">
      <c r="C1216" s="56">
        <f>TEXT(COUNTIF($D$7:D1216, D1216), "00000") &amp; "-" &amp; VLOOKUP(D1216, $J$7:$K$19, 2, FALSE)</f>
        <v/>
      </c>
      <c r="D1216" s="56" t="inlineStr">
        <is>
          <t>REFRIGERACION</t>
        </is>
      </c>
      <c r="E1216" s="56" t="inlineStr">
        <is>
          <t>UNION DE COBRE</t>
        </is>
      </c>
    </row>
    <row r="1217" hidden="1" s="11">
      <c r="C1217" s="56">
        <f>TEXT(COUNTIF($D$7:D1217, D1217), "00000") &amp; "-" &amp; VLOOKUP(D1217, $J$7:$K$19, 2, FALSE)</f>
        <v/>
      </c>
      <c r="D1217" s="56" t="inlineStr">
        <is>
          <t>FERRETERIA</t>
        </is>
      </c>
      <c r="E1217" s="56" t="inlineStr">
        <is>
          <t>CANDADO 50MM BRONCE</t>
        </is>
      </c>
    </row>
    <row r="1218" hidden="1" s="11">
      <c r="C1218" s="56">
        <f>TEXT(COUNTIF($D$7:D1218, D1218), "00000") &amp; "-" &amp; VLOOKUP(D1218, $J$7:$K$19, 2, FALSE)</f>
        <v/>
      </c>
      <c r="D1218" s="56" t="inlineStr">
        <is>
          <t>REFRIGERACION</t>
        </is>
      </c>
      <c r="E1218" s="56" t="inlineStr">
        <is>
          <t>CONTACTOR 30A 2 POLOS 220V</t>
        </is>
      </c>
    </row>
    <row r="1219" hidden="1" s="11">
      <c r="C1219" s="56">
        <f>TEXT(COUNTIF($D$7:D1219, D1219), "00000") &amp; "-" &amp; VLOOKUP(D1219, $J$7:$K$19, 2, FALSE)</f>
        <v/>
      </c>
      <c r="D1219" s="56" t="inlineStr">
        <is>
          <t>FERRETERIA</t>
        </is>
      </c>
      <c r="E1219" s="56" t="inlineStr">
        <is>
          <t>MANILLA P/PUERTA MOVIL BLANCO</t>
        </is>
      </c>
    </row>
    <row r="1220" hidden="1" s="11">
      <c r="C1220" s="56">
        <f>TEXT(COUNTIF($D$7:D1220, D1220), "00000") &amp; "-" &amp; VLOOKUP(D1220, $J$7:$K$19, 2, FALSE)</f>
        <v/>
      </c>
      <c r="D1220" s="56" t="inlineStr">
        <is>
          <t>HERRAMIENTA</t>
        </is>
      </c>
      <c r="E1220" s="56" t="inlineStr">
        <is>
          <t>REPUESTO DE EXACTO GRANDE</t>
        </is>
      </c>
    </row>
    <row r="1221" hidden="1" s="11">
      <c r="C1221" s="56">
        <f>TEXT(COUNTIF($D$7:D1221, D1221), "00000") &amp; "-" &amp; VLOOKUP(D1221, $J$7:$K$19, 2, FALSE)</f>
        <v/>
      </c>
      <c r="D1221" s="56" t="inlineStr">
        <is>
          <t>AUTOMOTRIZ</t>
        </is>
      </c>
      <c r="E1221" s="56" t="inlineStr">
        <is>
          <t>FUSIBLE DE AUTO10-15-20-25-30</t>
        </is>
      </c>
    </row>
    <row r="1222" hidden="1" s="11">
      <c r="C1222" s="56">
        <f>TEXT(COUNTIF($D$7:D1222, D1222), "00000") &amp; "-" &amp; VLOOKUP(D1222, $J$7:$K$19, 2, FALSE)</f>
        <v/>
      </c>
      <c r="D1222" s="56" t="inlineStr">
        <is>
          <t>HERRERIA</t>
        </is>
      </c>
      <c r="E1222" s="56" t="inlineStr">
        <is>
          <t>TAPON MACHO GALVANIZADO 3/4</t>
        </is>
      </c>
    </row>
    <row r="1223" hidden="1" s="11">
      <c r="C1223" s="56">
        <f>TEXT(COUNTIF($D$7:D1223, D1223), "00000") &amp; "-" &amp; VLOOKUP(D1223, $J$7:$K$19, 2, FALSE)</f>
        <v/>
      </c>
      <c r="D1223" s="56" t="inlineStr">
        <is>
          <t>ELECTRICIDAD</t>
        </is>
      </c>
      <c r="E1223" s="56" t="inlineStr">
        <is>
          <t>CABLE N° 16 AZUL (METRO)</t>
        </is>
      </c>
    </row>
    <row r="1224" hidden="1" s="11">
      <c r="C1224" s="56">
        <f>TEXT(COUNTIF($D$7:D1224, D1224), "00000") &amp; "-" &amp; VLOOKUP(D1224, $J$7:$K$19, 2, FALSE)</f>
        <v/>
      </c>
      <c r="D1224" s="56" t="inlineStr">
        <is>
          <t>ELECTRICIDAD</t>
        </is>
      </c>
      <c r="E1224" s="56" t="inlineStr">
        <is>
          <t>CABLE N° 16 MARILLO (METRO)</t>
        </is>
      </c>
    </row>
    <row r="1225" hidden="1" s="11">
      <c r="C1225" s="56">
        <f>TEXT(COUNTIF($D$7:D1225, D1225), "00000") &amp; "-" &amp; VLOOKUP(D1225, $J$7:$K$19, 2, FALSE)</f>
        <v/>
      </c>
      <c r="D1225" s="56" t="inlineStr">
        <is>
          <t>HERRAMIENTA</t>
        </is>
      </c>
      <c r="E1225" s="56" t="inlineStr">
        <is>
          <t>GUANTE DE NITRILO NEGRO</t>
        </is>
      </c>
    </row>
    <row r="1226" hidden="1" s="11">
      <c r="C1226" s="56">
        <f>TEXT(COUNTIF($D$7:D1226, D1226), "00000") &amp; "-" &amp; VLOOKUP(D1226, $J$7:$K$19, 2, FALSE)</f>
        <v/>
      </c>
      <c r="D1226" s="56" t="inlineStr">
        <is>
          <t>PLOMERIA</t>
        </is>
      </c>
      <c r="E1226" s="56" t="inlineStr">
        <is>
          <t>FREGADERO 1 PONCHERA 48 X 48</t>
        </is>
      </c>
    </row>
    <row r="1227" hidden="1" s="11">
      <c r="C1227" s="56">
        <f>TEXT(COUNTIF($D$7:D1227, D1227), "00000") &amp; "-" &amp; VLOOKUP(D1227, $J$7:$K$19, 2, FALSE)</f>
        <v/>
      </c>
      <c r="D1227" s="56" t="inlineStr">
        <is>
          <t>PLOMERIA</t>
        </is>
      </c>
      <c r="E1227" s="56" t="inlineStr">
        <is>
          <t>DESAGUE FREGADERO PLAST C/ SIFON</t>
        </is>
      </c>
    </row>
    <row r="1228" hidden="1" s="11">
      <c r="C1228" s="56">
        <f>TEXT(COUNTIF($D$7:D1228, D1228), "00000") &amp; "-" &amp; VLOOKUP(D1228, $J$7:$K$19, 2, FALSE)</f>
        <v/>
      </c>
      <c r="D1228" s="56" t="inlineStr">
        <is>
          <t>PLOMERIA</t>
        </is>
      </c>
      <c r="E1228" s="56" t="inlineStr">
        <is>
          <t>TAPA HUECO DE FREGADERO</t>
        </is>
      </c>
    </row>
    <row r="1229" hidden="1" s="11">
      <c r="C1229" s="56">
        <f>TEXT(COUNTIF($D$7:D1229, D1229), "00000") &amp; "-" &amp; VLOOKUP(D1229, $J$7:$K$19, 2, FALSE)</f>
        <v/>
      </c>
      <c r="D1229" s="56" t="inlineStr">
        <is>
          <t>PLOMERIA</t>
        </is>
      </c>
      <c r="E1229" s="56" t="inlineStr">
        <is>
          <t>CONECTOR TERMINAL PVC 3/4</t>
        </is>
      </c>
    </row>
    <row r="1230" hidden="1" s="11">
      <c r="C1230" s="56">
        <f>TEXT(COUNTIF($D$7:D1230, D1230), "00000") &amp; "-" &amp; VLOOKUP(D1230, $J$7:$K$19, 2, FALSE)</f>
        <v/>
      </c>
      <c r="D1230" s="56" t="inlineStr">
        <is>
          <t>REFRIGERACION</t>
        </is>
      </c>
      <c r="E1230" s="56" t="inlineStr">
        <is>
          <t>CONTACTOR 95A 220V</t>
        </is>
      </c>
    </row>
    <row r="1231" hidden="1" s="11">
      <c r="C1231" s="56">
        <f>TEXT(COUNTIF($D$7:D1231, D1231), "00000") &amp; "-" &amp; VLOOKUP(D1231, $J$7:$K$19, 2, FALSE)</f>
        <v/>
      </c>
      <c r="D1231" s="56" t="inlineStr">
        <is>
          <t>ELECTRICIDAD</t>
        </is>
      </c>
      <c r="E1231" s="56" t="inlineStr">
        <is>
          <t>CAJA DE CONTROL 30 X 30 X 15</t>
        </is>
      </c>
    </row>
    <row r="1232" hidden="1" s="11">
      <c r="C1232" s="56">
        <f>TEXT(COUNTIF($D$7:D1232, D1232), "00000") &amp; "-" &amp; VLOOKUP(D1232, $J$7:$K$19, 2, FALSE)</f>
        <v/>
      </c>
      <c r="D1232" s="56" t="inlineStr">
        <is>
          <t>ELECTRICIDAD</t>
        </is>
      </c>
      <c r="E1232" s="56" t="inlineStr">
        <is>
          <t>TUBO PVC ELECTRICIDAD 3" 3 METROS</t>
        </is>
      </c>
    </row>
    <row r="1233" hidden="1" s="11">
      <c r="C1233" s="56">
        <f>TEXT(COUNTIF($D$7:D1233, D1233), "00000") &amp; "-" &amp; VLOOKUP(D1233, $J$7:$K$19, 2, FALSE)</f>
        <v/>
      </c>
      <c r="D1233" s="56" t="inlineStr">
        <is>
          <t>ELECTRICIDAD</t>
        </is>
      </c>
      <c r="E1233" s="56" t="inlineStr">
        <is>
          <t>CONECTOR 3" PVC</t>
        </is>
      </c>
    </row>
    <row r="1234" hidden="1" s="11">
      <c r="C1234" s="56">
        <f>TEXT(COUNTIF($D$7:D1234, D1234), "00000") &amp; "-" &amp; VLOOKUP(D1234, $J$7:$K$19, 2, FALSE)</f>
        <v/>
      </c>
      <c r="D1234" s="56" t="inlineStr">
        <is>
          <t>HERRERIA</t>
        </is>
      </c>
      <c r="E1234" s="56" t="inlineStr">
        <is>
          <t>ABRAZADERA MOROCHA UNITRU 3"</t>
        </is>
      </c>
    </row>
    <row r="1235" hidden="1" s="11">
      <c r="C1235" s="56">
        <f>TEXT(COUNTIF($D$7:D1235, D1235), "00000") &amp; "-" &amp; VLOOKUP(D1235, $J$7:$K$19, 2, FALSE)</f>
        <v/>
      </c>
      <c r="D1235" s="56" t="inlineStr">
        <is>
          <t>HERRERIA</t>
        </is>
      </c>
      <c r="E1235" s="56" t="inlineStr">
        <is>
          <t>ABRAZADERA MOROCHA UNITRU 1"</t>
        </is>
      </c>
    </row>
    <row r="1236" hidden="1" s="11">
      <c r="C1236" s="56">
        <f>TEXT(COUNTIF($D$7:D1236, D1236), "00000") &amp; "-" &amp; VLOOKUP(D1236, $J$7:$K$19, 2, FALSE)</f>
        <v/>
      </c>
      <c r="D1236" s="56" t="inlineStr">
        <is>
          <t>ELECTRICIDAD</t>
        </is>
      </c>
      <c r="E1236" s="56" t="inlineStr">
        <is>
          <t>CURVA PARA TUBERIA ELECTRICA 3"</t>
        </is>
      </c>
    </row>
    <row r="1237" hidden="1" s="11">
      <c r="C1237" s="56">
        <f>TEXT(COUNTIF($D$7:D1237, D1237), "00000") &amp; "-" &amp; VLOOKUP(D1237, $J$7:$K$19, 2, FALSE)</f>
        <v/>
      </c>
      <c r="D1237" s="56" t="inlineStr">
        <is>
          <t>LIMPIEZA</t>
        </is>
      </c>
      <c r="E1237" s="56" t="inlineStr">
        <is>
          <t>CERA DE LIMPIEZA GALON</t>
        </is>
      </c>
    </row>
    <row r="1238" hidden="1" s="11">
      <c r="C1238" s="56">
        <f>TEXT(COUNTIF($D$7:D1238, D1238), "00000") &amp; "-" &amp; VLOOKUP(D1238, $J$7:$K$19, 2, FALSE)</f>
        <v/>
      </c>
      <c r="D1238" s="56" t="inlineStr">
        <is>
          <t>MISCELANEOS</t>
        </is>
      </c>
      <c r="E1238" s="56" t="inlineStr">
        <is>
          <t>JUEGOS DE NUMERO DE ETIQUETA</t>
        </is>
      </c>
    </row>
    <row r="1239" hidden="1" s="11">
      <c r="C1239" s="56">
        <f>TEXT(COUNTIF($D$7:D1239, D1239), "00000") &amp; "-" &amp; VLOOKUP(D1239, $J$7:$K$19, 2, FALSE)</f>
        <v/>
      </c>
      <c r="D1239" s="56" t="inlineStr">
        <is>
          <t>FERRETERIA</t>
        </is>
      </c>
      <c r="E1239" s="56" t="inlineStr">
        <is>
          <t>TORNILLO AUTOTALADRANTE 5/16 X 1</t>
        </is>
      </c>
    </row>
    <row r="1240" hidden="1" s="11">
      <c r="C1240" s="56">
        <f>TEXT(COUNTIF($D$7:D1240, D1240), "00000") &amp; "-" &amp; VLOOKUP(D1240, $J$7:$K$19, 2, FALSE)</f>
        <v/>
      </c>
      <c r="D1240" s="56" t="inlineStr">
        <is>
          <t>MISCELANEOS</t>
        </is>
      </c>
      <c r="E1240" s="56" t="inlineStr">
        <is>
          <t>PORTA HABLADORES</t>
        </is>
      </c>
    </row>
    <row r="1241" hidden="1" s="11">
      <c r="C1241" s="56">
        <f>TEXT(COUNTIF($D$7:D1241, D1241), "00000") &amp; "-" &amp; VLOOKUP(D1241, $J$7:$K$19, 2, FALSE)</f>
        <v/>
      </c>
      <c r="D1241" s="56" t="inlineStr">
        <is>
          <t>MISCELANEOS</t>
        </is>
      </c>
      <c r="E1241" s="56" t="inlineStr">
        <is>
          <t>PUNTO ROJO</t>
        </is>
      </c>
    </row>
    <row r="1242" hidden="1" s="11">
      <c r="C1242" s="56">
        <f>TEXT(COUNTIF($D$7:D1242, D1242), "00000") &amp; "-" &amp; VLOOKUP(D1242, $J$7:$K$19, 2, FALSE)</f>
        <v/>
      </c>
      <c r="D1242" s="56" t="inlineStr">
        <is>
          <t>MISCELANEOS</t>
        </is>
      </c>
      <c r="E1242" s="56" t="inlineStr">
        <is>
          <t>CARRITO DE SUPERMERCADO 80 LTS</t>
        </is>
      </c>
    </row>
    <row r="1243" hidden="1" s="11">
      <c r="C1243" s="56">
        <f>TEXT(COUNTIF($D$7:D1243, D1243), "00000") &amp; "-" &amp; VLOOKUP(D1243, $J$7:$K$19, 2, FALSE)</f>
        <v/>
      </c>
      <c r="D1243" s="56" t="inlineStr">
        <is>
          <t>MISCELANEOS</t>
        </is>
      </c>
      <c r="E1243" s="56" t="inlineStr">
        <is>
          <t>CARRITO DUPLEX</t>
        </is>
      </c>
    </row>
    <row r="1244" hidden="1" s="11">
      <c r="C1244" s="56">
        <f>TEXT(COUNTIF($D$7:D1244, D1244), "00000") &amp; "-" &amp; VLOOKUP(D1244, $J$7:$K$19, 2, FALSE)</f>
        <v/>
      </c>
      <c r="D1244" s="56" t="inlineStr">
        <is>
          <t>ELECTRONICO</t>
        </is>
      </c>
      <c r="E1244" s="56" t="inlineStr">
        <is>
          <t>SMARTV KEYTON 32°</t>
        </is>
      </c>
    </row>
    <row r="1245" hidden="1" s="11">
      <c r="C1245" s="56">
        <f>TEXT(COUNTIF($D$7:D1245, D1245), "00000") &amp; "-" &amp; VLOOKUP(D1245, $J$7:$K$19, 2, FALSE)</f>
        <v/>
      </c>
      <c r="D1245" s="56" t="inlineStr">
        <is>
          <t>ELECTRONICO</t>
        </is>
      </c>
      <c r="E1245" s="56" t="inlineStr">
        <is>
          <t>BASE PARA TV FIJA</t>
        </is>
      </c>
    </row>
    <row r="1246" hidden="1" s="11">
      <c r="C1246" s="56">
        <f>TEXT(COUNTIF($D$7:D1246, D1246), "00000") &amp; "-" &amp; VLOOKUP(D1246, $J$7:$K$19, 2, FALSE)</f>
        <v/>
      </c>
      <c r="D1246" s="56" t="inlineStr">
        <is>
          <t>ELECTRICIDAD</t>
        </is>
      </c>
      <c r="E1246" s="56" t="inlineStr">
        <is>
          <t>BREAKER TERMOMAGNETICO 1 X 25A</t>
        </is>
      </c>
    </row>
    <row r="1247" hidden="1" s="11">
      <c r="C1247" s="56">
        <f>TEXT(COUNTIF($D$7:D1247, D1247), "00000") &amp; "-" &amp; VLOOKUP(D1247, $J$7:$K$19, 2, FALSE)</f>
        <v/>
      </c>
      <c r="D1247" s="56" t="inlineStr">
        <is>
          <t>FERRETERIA</t>
        </is>
      </c>
      <c r="E1247" s="56" t="inlineStr">
        <is>
          <t>CADENA 1/8 METRO</t>
        </is>
      </c>
    </row>
    <row r="1248" hidden="1" s="11">
      <c r="C1248" s="56">
        <f>TEXT(COUNTIF($D$7:D1248, D1248), "00000") &amp; "-" &amp; VLOOKUP(D1248, $J$7:$K$19, 2, FALSE)</f>
        <v/>
      </c>
      <c r="D1248" s="56" t="inlineStr">
        <is>
          <t>ELECTRONICO</t>
        </is>
      </c>
      <c r="E1248" s="56" t="inlineStr">
        <is>
          <t>BALANZA DE 300 KG</t>
        </is>
      </c>
    </row>
    <row r="1249" hidden="1" s="11">
      <c r="C1249" s="56">
        <f>TEXT(COUNTIF($D$7:D1249, D1249), "00000") &amp; "-" &amp; VLOOKUP(D1249, $J$7:$K$19, 2, FALSE)</f>
        <v/>
      </c>
      <c r="D1249" s="56" t="inlineStr">
        <is>
          <t>HERRAMIENTA</t>
        </is>
      </c>
      <c r="E1249" s="56" t="inlineStr">
        <is>
          <t>MANGUERA DESTAPA CAÑERIA</t>
        </is>
      </c>
    </row>
    <row r="1250" hidden="1" s="11">
      <c r="C1250" s="56">
        <f>TEXT(COUNTIF($D$7:D1250, D1250), "00000") &amp; "-" &amp; VLOOKUP(D1250, $J$7:$K$19, 2, FALSE)</f>
        <v/>
      </c>
      <c r="D1250" s="56" t="inlineStr">
        <is>
          <t>ELECTRONICO</t>
        </is>
      </c>
      <c r="E1250" s="56" t="inlineStr">
        <is>
          <t>BALANZA 200 KG</t>
        </is>
      </c>
    </row>
    <row r="1251" hidden="1" s="11">
      <c r="C1251" s="56">
        <f>TEXT(COUNTIF($D$7:D1251, D1251), "00000") &amp; "-" &amp; VLOOKUP(D1251, $J$7:$K$19, 2, FALSE)</f>
        <v/>
      </c>
      <c r="D1251" s="56" t="inlineStr">
        <is>
          <t>REFRIGERACION</t>
        </is>
      </c>
      <c r="E1251" s="56" t="inlineStr">
        <is>
          <t xml:space="preserve">BOMBONA DE REFRIGERACION 134 A </t>
        </is>
      </c>
    </row>
    <row r="1252" hidden="1" s="11">
      <c r="C1252" s="56">
        <f>TEXT(COUNTIF($D$7:D1252, D1252), "00000") &amp; "-" &amp; VLOOKUP(D1252, $J$7:$K$19, 2, FALSE)</f>
        <v/>
      </c>
      <c r="D1252" s="56" t="inlineStr">
        <is>
          <t>REFRIGERACION</t>
        </is>
      </c>
      <c r="E1252" s="56" t="inlineStr">
        <is>
          <t>FILTRO SOLDABLE 25 G</t>
        </is>
      </c>
    </row>
    <row r="1253" hidden="1" s="11">
      <c r="C1253" s="56">
        <f>TEXT(COUNTIF($D$7:D1253, D1253), "00000") &amp; "-" &amp; VLOOKUP(D1253, $J$7:$K$19, 2, FALSE)</f>
        <v/>
      </c>
      <c r="D1253" s="56" t="inlineStr">
        <is>
          <t>REFRIGERACION</t>
        </is>
      </c>
      <c r="E1253" s="56" t="inlineStr">
        <is>
          <t>FILTRO DE HIERRO SOLDABLE 1/4</t>
        </is>
      </c>
    </row>
    <row r="1254" hidden="1" s="11">
      <c r="C1254" s="56">
        <f>TEXT(COUNTIF($D$7:D1254, D1254), "00000") &amp; "-" &amp; VLOOKUP(D1254, $J$7:$K$19, 2, FALSE)</f>
        <v/>
      </c>
      <c r="D1254" s="56" t="inlineStr">
        <is>
          <t>LIMPIEZA</t>
        </is>
      </c>
      <c r="E1254" s="56" t="inlineStr">
        <is>
          <t>TRAPITO NEGRO</t>
        </is>
      </c>
    </row>
    <row r="1255" hidden="1" s="11">
      <c r="C1255" s="56">
        <f>TEXT(COUNTIF($D$7:D1255, D1255), "00000") &amp; "-" &amp; VLOOKUP(D1255, $J$7:$K$19, 2, FALSE)</f>
        <v/>
      </c>
      <c r="D1255" s="56" t="inlineStr">
        <is>
          <t>HERRAMIENTA</t>
        </is>
      </c>
      <c r="E1255" s="56" t="inlineStr">
        <is>
          <t xml:space="preserve">TOLDO 3 X 3 METROS </t>
        </is>
      </c>
    </row>
    <row r="1256" hidden="1" s="11">
      <c r="C1256" s="56">
        <f>TEXT(COUNTIF($D$7:D1256, D1256), "00000") &amp; "-" &amp; VLOOKUP(D1256, $J$7:$K$19, 2, FALSE)</f>
        <v/>
      </c>
      <c r="D1256" s="56" t="inlineStr">
        <is>
          <t>FERRETERIA</t>
        </is>
      </c>
      <c r="E1256" s="56" t="inlineStr">
        <is>
          <t>TORNILLOS DE 2°</t>
        </is>
      </c>
    </row>
    <row r="1257" hidden="1" s="11">
      <c r="C1257" s="56">
        <f>TEXT(COUNTIF($D$7:D1257, D1257), "00000") &amp; "-" &amp; VLOOKUP(D1257, $J$7:$K$19, 2, FALSE)</f>
        <v/>
      </c>
      <c r="D1257" s="56" t="inlineStr">
        <is>
          <t>AUTOMOTRIZ</t>
        </is>
      </c>
      <c r="E1257" s="56" t="inlineStr">
        <is>
          <t>FILTRO 3409</t>
        </is>
      </c>
    </row>
    <row r="1258" hidden="1" s="11">
      <c r="C1258" s="56">
        <f>TEXT(COUNTIF($D$7:D1258, D1258), "00000") &amp; "-" &amp; VLOOKUP(D1258, $J$7:$K$19, 2, FALSE)</f>
        <v/>
      </c>
      <c r="D1258" s="56" t="inlineStr">
        <is>
          <t>LIMPIEZA</t>
        </is>
      </c>
      <c r="E1258" s="56" t="inlineStr">
        <is>
          <t>GUANTES DE PVC VERDES</t>
        </is>
      </c>
    </row>
    <row r="1259" hidden="1" s="11">
      <c r="C1259" s="56">
        <f>TEXT(COUNTIF($D$7:D1259, D1259), "00000") &amp; "-" &amp; VLOOKUP(D1259, $J$7:$K$19, 2, FALSE)</f>
        <v/>
      </c>
      <c r="D1259" s="56" t="inlineStr">
        <is>
          <t>PLOMERIA</t>
        </is>
      </c>
      <c r="E1259" s="56" t="inlineStr">
        <is>
          <t xml:space="preserve">MANILLA P/ FLUXOMETRO WC </t>
        </is>
      </c>
    </row>
    <row r="1260" hidden="1" s="11">
      <c r="C1260" s="56">
        <f>TEXT(COUNTIF($D$7:D1260, D1260), "00000") &amp; "-" &amp; VLOOKUP(D1260, $J$7:$K$19, 2, FALSE)</f>
        <v/>
      </c>
      <c r="D1260" s="56" t="inlineStr">
        <is>
          <t>PLOMERIA</t>
        </is>
      </c>
      <c r="E1260" s="56" t="inlineStr">
        <is>
          <t>VALVULA STOP KIT REPARACION SLOAN</t>
        </is>
      </c>
    </row>
    <row r="1261" hidden="1" s="11">
      <c r="C1261" s="56">
        <f>TEXT(COUNTIF($D$7:D1261, D1261), "00000") &amp; "-" &amp; VLOOKUP(D1261, $J$7:$K$19, 2, FALSE)</f>
        <v/>
      </c>
      <c r="D1261" s="56" t="inlineStr">
        <is>
          <t>FERRETERIA</t>
        </is>
      </c>
      <c r="E1261" s="56" t="inlineStr">
        <is>
          <t xml:space="preserve">TEIPE DE COLORES </t>
        </is>
      </c>
    </row>
    <row r="1262" hidden="1" s="11">
      <c r="C1262" s="56">
        <f>TEXT(COUNTIF($D$7:D1262, D1262), "00000") &amp; "-" &amp; VLOOKUP(D1262, $J$7:$K$19, 2, FALSE)</f>
        <v/>
      </c>
      <c r="D1262" s="56" t="inlineStr">
        <is>
          <t>ELECTRICIDAD</t>
        </is>
      </c>
      <c r="E1262" s="56" t="inlineStr">
        <is>
          <t>PROTECTOR MULTIPLE DE MICROONDAS</t>
        </is>
      </c>
    </row>
    <row r="1263" hidden="1" s="11">
      <c r="C1263" s="56">
        <f>TEXT(COUNTIF($D$7:D1263, D1263), "00000") &amp; "-" &amp; VLOOKUP(D1263, $J$7:$K$19, 2, FALSE)</f>
        <v/>
      </c>
      <c r="D1263" s="56" t="inlineStr">
        <is>
          <t>ELECTRONICO</t>
        </is>
      </c>
      <c r="E1263" s="56" t="inlineStr">
        <is>
          <t>SWITCHT ON OFF 20A</t>
        </is>
      </c>
    </row>
    <row r="1264" hidden="1" s="11">
      <c r="C1264" s="56">
        <f>TEXT(COUNTIF($D$7:D1264, D1264), "00000") &amp; "-" &amp; VLOOKUP(D1264, $J$7:$K$19, 2, FALSE)</f>
        <v/>
      </c>
      <c r="D1264" s="56" t="inlineStr">
        <is>
          <t>REFRIGERACION</t>
        </is>
      </c>
      <c r="E1264" s="56" t="inlineStr">
        <is>
          <t xml:space="preserve">COMPRESOR 5 HP PANASONIC R22 220V 1PH </t>
        </is>
      </c>
    </row>
    <row r="1265" hidden="1" s="11">
      <c r="C1265" s="56">
        <f>TEXT(COUNTIF($D$7:D1265, D1265), "00000") &amp; "-" &amp; VLOOKUP(D1265, $J$7:$K$19, 2, FALSE)</f>
        <v/>
      </c>
      <c r="D1265" s="56" t="inlineStr">
        <is>
          <t>PLOMERIA</t>
        </is>
      </c>
      <c r="E1265" s="56" t="inlineStr">
        <is>
          <t xml:space="preserve">ACEITE 3 EN 1 90 CC </t>
        </is>
      </c>
    </row>
    <row r="1266" hidden="1" s="11">
      <c r="C1266" s="56">
        <f>TEXT(COUNTIF($D$7:D1266, D1266), "00000") &amp; "-" &amp; VLOOKUP(D1266, $J$7:$K$19, 2, FALSE)</f>
        <v/>
      </c>
      <c r="D1266" s="56" t="inlineStr">
        <is>
          <t>HERRAMIENTA</t>
        </is>
      </c>
      <c r="E1266" s="56" t="inlineStr">
        <is>
          <t>VACUMETRO MINI DIGITAL BLUETOOTH</t>
        </is>
      </c>
    </row>
    <row r="1267" hidden="1" s="11">
      <c r="C1267" s="56">
        <f>TEXT(COUNTIF($D$7:D1267, D1267), "00000") &amp; "-" &amp; VLOOKUP(D1267, $J$7:$K$19, 2, FALSE)</f>
        <v/>
      </c>
      <c r="D1267" s="56" t="inlineStr">
        <is>
          <t>REFRIGERACION</t>
        </is>
      </c>
      <c r="E1267" s="56" t="inlineStr">
        <is>
          <t>VALVULA REMOVEDORA DE GUSANILLO 1/4</t>
        </is>
      </c>
    </row>
    <row r="1268" hidden="1" s="11">
      <c r="C1268" s="56">
        <f>TEXT(COUNTIF($D$7:D1268, D1268), "00000") &amp; "-" &amp; VLOOKUP(D1268, $J$7:$K$19, 2, FALSE)</f>
        <v/>
      </c>
      <c r="D1268" s="56" t="inlineStr">
        <is>
          <t>ELECTRICIDAD</t>
        </is>
      </c>
      <c r="E1268" s="56" t="inlineStr">
        <is>
          <t>BREAKER  6OA 1 POLO</t>
        </is>
      </c>
    </row>
    <row r="1269" hidden="1" s="11">
      <c r="C1269" s="56">
        <f>TEXT(COUNTIF($D$7:D1269, D1269), "00000") &amp; "-" &amp; VLOOKUP(D1269, $J$7:$K$19, 2, FALSE)</f>
        <v/>
      </c>
      <c r="D1269" s="56" t="inlineStr">
        <is>
          <t>FERRETERIA</t>
        </is>
      </c>
      <c r="E1269" s="56" t="inlineStr">
        <is>
          <t>ARANDELA PLANA 1/4</t>
        </is>
      </c>
    </row>
    <row r="1270" hidden="1" s="11">
      <c r="C1270" s="56">
        <f>TEXT(COUNTIF($D$7:D1270, D1270), "00000") &amp; "-" &amp; VLOOKUP(D1270, $J$7:$K$19, 2, FALSE)</f>
        <v/>
      </c>
      <c r="D1270" s="56" t="inlineStr">
        <is>
          <t>REFRIGERACION</t>
        </is>
      </c>
      <c r="E1270" s="56" t="inlineStr">
        <is>
          <t xml:space="preserve">DIELECTRICO 5 KG </t>
        </is>
      </c>
    </row>
    <row r="1271" hidden="1" s="11">
      <c r="C1271" s="56">
        <f>TEXT(COUNTIF($D$7:D1271, D1271), "00000") &amp; "-" &amp; VLOOKUP(D1271, $J$7:$K$19, 2, FALSE)</f>
        <v/>
      </c>
      <c r="D1271" s="56" t="inlineStr">
        <is>
          <t>HERRAMIENTA</t>
        </is>
      </c>
      <c r="E1271" s="56" t="inlineStr">
        <is>
          <t>BOLSO DE HERRAMIENTA</t>
        </is>
      </c>
    </row>
    <row r="1272" hidden="1" s="11">
      <c r="C1272" s="56">
        <f>TEXT(COUNTIF($D$7:D1272, D1272), "00000") &amp; "-" &amp; VLOOKUP(D1272, $J$7:$K$19, 2, FALSE)</f>
        <v/>
      </c>
      <c r="D1272" s="56" t="inlineStr">
        <is>
          <t>AUTOMOTRIZ</t>
        </is>
      </c>
      <c r="E1272" s="56" t="inlineStr">
        <is>
          <t>LIGA DE FRENO (LITRO)</t>
        </is>
      </c>
    </row>
    <row r="1273" hidden="1" s="11">
      <c r="C1273" s="56">
        <f>TEXT(COUNTIF($D$7:D1273, D1273), "00000") &amp; "-" &amp; VLOOKUP(D1273, $J$7:$K$19, 2, FALSE)</f>
        <v/>
      </c>
      <c r="D1273" s="56" t="inlineStr">
        <is>
          <t>AUTOMOTRIZ</t>
        </is>
      </c>
      <c r="E1273" s="56" t="inlineStr">
        <is>
          <t>ACEITE 10W-30 SEMI SINTETICO (LITRO)</t>
        </is>
      </c>
    </row>
    <row r="1274" hidden="1" s="11">
      <c r="C1274" s="56">
        <f>TEXT(COUNTIF($D$7:D1274, D1274), "00000") &amp; "-" &amp; VLOOKUP(D1274, $J$7:$K$19, 2, FALSE)</f>
        <v/>
      </c>
      <c r="D1274" s="56" t="inlineStr">
        <is>
          <t>AUTOMOTRIZ</t>
        </is>
      </c>
      <c r="E1274" s="56" t="inlineStr">
        <is>
          <t>FILTRO DE ACEITE 4967</t>
        </is>
      </c>
    </row>
    <row r="1275" hidden="1" s="11">
      <c r="C1275" s="56">
        <f>TEXT(COUNTIF($D$7:D1275, D1275), "00000") &amp; "-" &amp; VLOOKUP(D1275, $J$7:$K$19, 2, FALSE)</f>
        <v/>
      </c>
      <c r="D1275" s="56" t="inlineStr">
        <is>
          <t>REFRIGERACION</t>
        </is>
      </c>
      <c r="E1275" s="56" t="inlineStr">
        <is>
          <t>ACEITE RL-32 (LITRO)</t>
        </is>
      </c>
    </row>
    <row r="1276" hidden="1" s="11">
      <c r="C1276" s="56">
        <f>TEXT(COUNTIF($D$7:D1276, D1276), "00000") &amp; "-" &amp; VLOOKUP(D1276, $J$7:$K$19, 2, FALSE)</f>
        <v/>
      </c>
      <c r="D1276" s="56" t="inlineStr">
        <is>
          <t>REFRIGERACION</t>
        </is>
      </c>
      <c r="E1276" s="56" t="inlineStr">
        <is>
          <t xml:space="preserve">COMPRESOR 3 HP INVOTECH R404 220V </t>
        </is>
      </c>
    </row>
    <row r="1277" hidden="1" s="11">
      <c r="C1277" s="56">
        <f>TEXT(COUNTIF($D$7:D1277, D1277), "00000") &amp; "-" &amp; VLOOKUP(D1277, $J$7:$K$19, 2, FALSE)</f>
        <v/>
      </c>
      <c r="D1277" s="56" t="inlineStr">
        <is>
          <t>AUTOMOTRIZ</t>
        </is>
      </c>
      <c r="E1277" s="56" t="inlineStr">
        <is>
          <t>TRIPA 10" 3,50-4 2 LONAS</t>
        </is>
      </c>
    </row>
    <row r="1278" hidden="1" s="11">
      <c r="C1278" s="56">
        <f>TEXT(COUNTIF($D$7:D1278, D1278), "00000") &amp; "-" &amp; VLOOKUP(D1278, $J$7:$K$19, 2, FALSE)</f>
        <v/>
      </c>
      <c r="D1278" s="56" t="inlineStr">
        <is>
          <t>ELECTRICIDAD</t>
        </is>
      </c>
      <c r="E1278" s="56" t="inlineStr">
        <is>
          <t>TUBO PVC CONDUIT 3"</t>
        </is>
      </c>
    </row>
    <row r="1279" hidden="1" s="11">
      <c r="C1279" s="56">
        <f>TEXT(COUNTIF($D$7:D1279, D1279), "00000") &amp; "-" &amp; VLOOKUP(D1279, $J$7:$K$19, 2, FALSE)</f>
        <v/>
      </c>
      <c r="D1279" s="56" t="inlineStr">
        <is>
          <t>PLOMERIA</t>
        </is>
      </c>
      <c r="E1279" s="56" t="inlineStr">
        <is>
          <t>TUBO AGUA NEGRA 3"</t>
        </is>
      </c>
    </row>
    <row r="1280" hidden="1" s="11">
      <c r="C1280" s="56">
        <f>TEXT(COUNTIF($D$7:D1280, D1280), "00000") &amp; "-" &amp; VLOOKUP(D1280, $J$7:$K$19, 2, FALSE)</f>
        <v/>
      </c>
      <c r="D1280" s="56" t="inlineStr">
        <is>
          <t>PLOMERIA</t>
        </is>
      </c>
      <c r="E1280" s="56" t="inlineStr">
        <is>
          <t>CODO AGUA NEGRA 90° 3"</t>
        </is>
      </c>
    </row>
    <row r="1281" hidden="1" s="11">
      <c r="C1281" s="56">
        <f>TEXT(COUNTIF($D$7:D1281, D1281), "00000") &amp; "-" &amp; VLOOKUP(D1281, $J$7:$K$19, 2, FALSE)</f>
        <v/>
      </c>
      <c r="D1281" s="56" t="inlineStr">
        <is>
          <t>FERRETERIA</t>
        </is>
      </c>
      <c r="E1281" s="56" t="inlineStr">
        <is>
          <t>RODAMIENTO 30306 KOYO</t>
        </is>
      </c>
    </row>
    <row r="1282" hidden="1" s="11">
      <c r="C1282" s="56">
        <f>TEXT(COUNTIF($D$7:D1282, D1282), "00000") &amp; "-" &amp; VLOOKUP(D1282, $J$7:$K$19, 2, FALSE)</f>
        <v/>
      </c>
      <c r="D1282" s="56" t="inlineStr">
        <is>
          <t>HERRAMIENTA</t>
        </is>
      </c>
      <c r="E1282" s="56" t="inlineStr">
        <is>
          <t>CORTA TUBO DE COBRE</t>
        </is>
      </c>
    </row>
    <row r="1283" hidden="1" s="11">
      <c r="C1283" s="56">
        <f>TEXT(COUNTIF($D$7:D1283, D1283), "00000") &amp; "-" &amp; VLOOKUP(D1283, $J$7:$K$19, 2, FALSE)</f>
        <v/>
      </c>
      <c r="D1283" s="56" t="inlineStr">
        <is>
          <t>HERRAMIENTA</t>
        </is>
      </c>
      <c r="E1283" s="56" t="inlineStr">
        <is>
          <t xml:space="preserve">GUANTE DE CARNAZA </t>
        </is>
      </c>
    </row>
    <row r="1284" hidden="1" s="11">
      <c r="C1284" s="56">
        <f>TEXT(COUNTIF($D$7:D1284, D1284), "00000") &amp; "-" &amp; VLOOKUP(D1284, $J$7:$K$19, 2, FALSE)</f>
        <v/>
      </c>
      <c r="D1284" s="56" t="inlineStr">
        <is>
          <t>HERRAMIENTA</t>
        </is>
      </c>
      <c r="E1284" s="56" t="inlineStr">
        <is>
          <t>CASCO PARA SOLDAR</t>
        </is>
      </c>
    </row>
    <row r="1285" hidden="1" s="11">
      <c r="C1285" s="56">
        <f>TEXT(COUNTIF($D$7:D1285, D1285), "00000") &amp; "-" &amp; VLOOKUP(D1285, $J$7:$K$19, 2, FALSE)</f>
        <v/>
      </c>
      <c r="D1285" s="56" t="inlineStr">
        <is>
          <t>REFRIGERACION</t>
        </is>
      </c>
      <c r="E1285" s="56" t="inlineStr">
        <is>
          <t>COMPRESOR TECUMSEH 0,5 HP 100V R-134</t>
        </is>
      </c>
    </row>
    <row r="1286" hidden="1" s="11">
      <c r="C1286" s="56">
        <f>TEXT(COUNTIF($D$7:D1286, D1286), "00000") &amp; "-" &amp; VLOOKUP(D1286, $J$7:$K$19, 2, FALSE)</f>
        <v/>
      </c>
      <c r="D1286" s="56" t="inlineStr">
        <is>
          <t>HERRAMIENTA</t>
        </is>
      </c>
      <c r="E1286" s="56" t="inlineStr">
        <is>
          <t>ZUNCHO PARA FILTRO DE ACEITE 73-83MM</t>
        </is>
      </c>
    </row>
    <row r="1287" hidden="1" s="11">
      <c r="C1287" s="56">
        <f>TEXT(COUNTIF($D$7:D1287, D1287), "00000") &amp; "-" &amp; VLOOKUP(D1287, $J$7:$K$19, 2, FALSE)</f>
        <v/>
      </c>
      <c r="D1287" s="56" t="inlineStr">
        <is>
          <t>HERRAMIENTA</t>
        </is>
      </c>
      <c r="E1287" s="56" t="inlineStr">
        <is>
          <t>ALICATE DE ELECTRICISTA 6"</t>
        </is>
      </c>
    </row>
    <row r="1288" hidden="1" s="11">
      <c r="C1288" s="56">
        <f>TEXT(COUNTIF($D$7:D1288, D1288), "00000") &amp; "-" &amp; VLOOKUP(D1288, $J$7:$K$19, 2, FALSE)</f>
        <v/>
      </c>
      <c r="D1288" s="56" t="inlineStr">
        <is>
          <t>HERRAMIENTA</t>
        </is>
      </c>
      <c r="E1288" s="56" t="inlineStr">
        <is>
          <t>TOBO DE ALBAÑILERIA 12 LTS</t>
        </is>
      </c>
    </row>
    <row r="1289" hidden="1" s="11">
      <c r="C1289" s="56">
        <f>TEXT(COUNTIF($D$7:D1289, D1289), "00000") &amp; "-" &amp; VLOOKUP(D1289, $J$7:$K$19, 2, FALSE)</f>
        <v/>
      </c>
      <c r="D1289" s="56" t="inlineStr">
        <is>
          <t>HERRAMIENTA</t>
        </is>
      </c>
      <c r="E1289" s="56" t="inlineStr">
        <is>
          <t>LLAVE AMIGO DE PLOMERO 12"</t>
        </is>
      </c>
    </row>
    <row r="1290" hidden="1" s="11">
      <c r="C1290" s="56">
        <f>TEXT(COUNTIF($D$7:D1290, D1290), "00000") &amp; "-" &amp; VLOOKUP(D1290, $J$7:$K$19, 2, FALSE)</f>
        <v/>
      </c>
      <c r="D1290" s="56" t="inlineStr">
        <is>
          <t>HERRAMIENTA</t>
        </is>
      </c>
      <c r="E1290" s="56" t="inlineStr">
        <is>
          <t>BARRA EN T DESLIZANTE 10"</t>
        </is>
      </c>
    </row>
    <row r="1291" hidden="1" s="11">
      <c r="C1291" s="56">
        <f>TEXT(COUNTIF($D$7:D1291, D1291), "00000") &amp; "-" &amp; VLOOKUP(D1291, $J$7:$K$19, 2, FALSE)</f>
        <v/>
      </c>
      <c r="D1291" s="56" t="inlineStr">
        <is>
          <t>HERRAMIENTA</t>
        </is>
      </c>
      <c r="E1291" s="56" t="inlineStr">
        <is>
          <t>BARRA EN T DESLIZANTE 20"</t>
        </is>
      </c>
    </row>
    <row r="1292" hidden="1" s="11">
      <c r="C1292" s="56">
        <f>TEXT(COUNTIF($D$7:D1292, D1292), "00000") &amp; "-" &amp; VLOOKUP(D1292, $J$7:$K$19, 2, FALSE)</f>
        <v/>
      </c>
      <c r="D1292" s="56" t="inlineStr">
        <is>
          <t>HERRAMIENTA</t>
        </is>
      </c>
      <c r="E1292" s="56" t="inlineStr">
        <is>
          <t>PINZA DE RESORTE 6"</t>
        </is>
      </c>
    </row>
    <row r="1293" hidden="1" s="11">
      <c r="C1293" s="56">
        <f>TEXT(COUNTIF($D$7:D1293, D1293), "00000") &amp; "-" &amp; VLOOKUP(D1293, $J$7:$K$19, 2, FALSE)</f>
        <v/>
      </c>
      <c r="D1293" s="56" t="inlineStr">
        <is>
          <t>AUTOMOTRIZ</t>
        </is>
      </c>
      <c r="E1293" s="56" t="inlineStr">
        <is>
          <t>MANGUERA 5/8 300 PSI</t>
        </is>
      </c>
    </row>
    <row r="1294" hidden="1" s="11">
      <c r="C1294" s="56">
        <f>TEXT(COUNTIF($D$7:D1294, D1294), "00000") &amp; "-" &amp; VLOOKUP(D1294, $J$7:$K$19, 2, FALSE)</f>
        <v/>
      </c>
      <c r="D1294" s="56" t="inlineStr">
        <is>
          <t>AUTOMOTRIZ</t>
        </is>
      </c>
      <c r="E1294" s="56" t="inlineStr">
        <is>
          <t>MANGUERA 3/4 300 PSI</t>
        </is>
      </c>
    </row>
    <row r="1295" hidden="1" s="11">
      <c r="C1295" s="56">
        <f>TEXT(COUNTIF($D$7:D1295, D1295), "00000") &amp; "-" &amp; VLOOKUP(D1295, $J$7:$K$19, 2, FALSE)</f>
        <v/>
      </c>
      <c r="D1295" s="56" t="inlineStr">
        <is>
          <t>FERRETERIA</t>
        </is>
      </c>
      <c r="E1295" s="56" t="inlineStr">
        <is>
          <t>ABRAZADERA DE MANGUERA SIN FIN 3/4</t>
        </is>
      </c>
    </row>
  </sheetData>
  <mergeCells count="1">
    <mergeCell ref="B4:F4"/>
  </mergeCells>
  <conditionalFormatting sqref="E7:E987">
    <cfRule type="duplicateValues" priority="14" dxfId="12"/>
  </conditionalFormatting>
  <conditionalFormatting sqref="E844">
    <cfRule type="duplicateValues" priority="13" dxfId="12"/>
  </conditionalFormatting>
  <conditionalFormatting sqref="E889">
    <cfRule type="duplicateValues" priority="12" dxfId="12"/>
  </conditionalFormatting>
  <conditionalFormatting sqref="E919">
    <cfRule type="duplicateValues" priority="11" dxfId="12"/>
  </conditionalFormatting>
  <conditionalFormatting sqref="E966">
    <cfRule type="duplicateValues" priority="10" dxfId="12"/>
  </conditionalFormatting>
  <conditionalFormatting sqref="E969">
    <cfRule type="duplicateValues" priority="9" dxfId="12"/>
  </conditionalFormatting>
  <conditionalFormatting sqref="E7:E1148">
    <cfRule type="duplicateValues" priority="8" dxfId="12"/>
  </conditionalFormatting>
  <conditionalFormatting sqref="E1063">
    <cfRule type="duplicateValues" priority="7" dxfId="12"/>
  </conditionalFormatting>
  <conditionalFormatting sqref="E1174">
    <cfRule type="duplicateValues" priority="6" dxfId="12"/>
    <cfRule type="duplicateValues" priority="5" dxfId="12"/>
  </conditionalFormatting>
  <conditionalFormatting sqref="E1175">
    <cfRule type="duplicateValues" priority="4" dxfId="12"/>
    <cfRule type="duplicateValues" priority="3" dxfId="12"/>
  </conditionalFormatting>
  <conditionalFormatting sqref="E7:E1295">
    <cfRule type="duplicateValues" priority="19" dxfId="12"/>
    <cfRule type="duplicateValues" priority="20" dxfId="12"/>
  </conditionalFormatting>
  <pageMargins left="0.25" right="0.25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5" customWidth="1" style="11" min="2" max="2"/>
    <col width="38" customWidth="1" style="11" min="7" max="7"/>
  </cols>
  <sheetData>
    <row r="1">
      <c r="A1" s="71" t="inlineStr">
        <is>
          <t>PRODUCTOS QUE REQUIEREN ATENCIÓN</t>
        </is>
      </c>
    </row>
    <row r="3">
      <c r="A3" t="inlineStr">
        <is>
          <t>Filtre en STOCK por columna ESTADO (NEGATIVO, SIN STOCK, BAJO) o use la tabla dinámica INVENTARIO ABC para consumo.</t>
        </is>
      </c>
    </row>
    <row r="5">
      <c r="A5" s="64" t="inlineStr">
        <is>
          <t>CODIGO</t>
        </is>
      </c>
      <c r="B5" s="64" t="inlineStr">
        <is>
          <t>PRODUCTO</t>
        </is>
      </c>
      <c r="C5" s="64" t="inlineStr">
        <is>
          <t>CATEGORIA</t>
        </is>
      </c>
      <c r="D5" s="64" t="inlineStr">
        <is>
          <t>STOCK</t>
        </is>
      </c>
      <c r="E5" s="64" t="inlineStr">
        <is>
          <t>STOCK MÍN.</t>
        </is>
      </c>
      <c r="F5" s="64" t="inlineStr">
        <is>
          <t>ESTADO</t>
        </is>
      </c>
      <c r="G5" s="64" t="inlineStr">
        <is>
          <t>OBSERVACIÓN</t>
        </is>
      </c>
    </row>
    <row r="6">
      <c r="A6">
        <f>IFERROR(FILTER(PRODUCTOS[[CODIGO]:[OBSERVACIÓN]],(PRODUCTOS[ESTADO]="NEGATIVO")+(PRODUCTOS[ESTADO]="SIN STOCK")+(PRODUCTOS[ESTADO]="BAJO")),"Use filtros en hoja STOCK columna ESTADO")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8" customWidth="1" style="11" min="1" max="1"/>
    <col width="28" customWidth="1" style="11" min="3" max="3"/>
  </cols>
  <sheetData>
    <row r="1">
      <c r="A1" s="71" t="inlineStr">
        <is>
          <t>PARÁMETROS Y LISTAS MAESTRAS</t>
        </is>
      </c>
    </row>
    <row r="3">
      <c r="A3" t="inlineStr">
        <is>
          <t>Última actualización plantilla:</t>
        </is>
      </c>
      <c r="B3" t="inlineStr">
        <is>
          <t>2026-09-30</t>
        </is>
      </c>
    </row>
    <row r="4">
      <c r="A4" t="inlineStr">
        <is>
          <t>Stock mínimo por defecto (nuevos ítems):</t>
        </is>
      </c>
      <c r="B4" t="n">
        <v>0</v>
      </c>
    </row>
    <row r="6">
      <c r="A6" s="64" t="inlineStr">
        <is>
          <t>TIENDAS / DESTINOS</t>
        </is>
      </c>
      <c r="C6" s="64" t="inlineStr">
        <is>
          <t>TÉCNICOS / RESPONSABLES</t>
        </is>
      </c>
      <c r="E6" t="inlineStr">
        <is>
          <t>Rango tiendas</t>
        </is>
      </c>
    </row>
    <row r="7">
      <c r="A7" t="inlineStr">
        <is>
          <t>ARTIGAS (CARACAS)</t>
        </is>
      </c>
      <c r="C7" t="inlineStr">
        <is>
          <t>ALBERTO MANRIQUE</t>
        </is>
      </c>
      <c r="E7">
        <f>CONFIG!$A$7:$A$36</f>
        <v/>
      </c>
    </row>
    <row r="8">
      <c r="A8" t="inlineStr">
        <is>
          <t>AV. BOLIVAR</t>
        </is>
      </c>
      <c r="C8" t="inlineStr">
        <is>
          <t>ALEXANDER GUANCHEZ</t>
        </is>
      </c>
      <c r="E8" t="inlineStr">
        <is>
          <t>Rango técnicos</t>
        </is>
      </c>
    </row>
    <row r="9">
      <c r="A9" t="inlineStr">
        <is>
          <t>AV. CEDEÑO</t>
        </is>
      </c>
      <c r="C9" t="inlineStr">
        <is>
          <t>ANTHONY SILVA</t>
        </is>
      </c>
      <c r="E9">
        <f>CONFIG!$C$7:$C$33</f>
        <v/>
      </c>
    </row>
    <row r="10">
      <c r="A10" t="inlineStr">
        <is>
          <t>CEDI FRIO</t>
        </is>
      </c>
      <c r="C10" t="inlineStr">
        <is>
          <t>CARLOS BARRETO</t>
        </is>
      </c>
    </row>
    <row r="11">
      <c r="A11" t="inlineStr">
        <is>
          <t>CEDI FRUVER</t>
        </is>
      </c>
      <c r="C11" t="inlineStr">
        <is>
          <t>EDDY CHOURIO</t>
        </is>
      </c>
    </row>
    <row r="12">
      <c r="A12" t="inlineStr">
        <is>
          <t>CEDI SECO</t>
        </is>
      </c>
      <c r="C12" t="inlineStr">
        <is>
          <t>ERICK BUENAÑO</t>
        </is>
      </c>
    </row>
    <row r="13">
      <c r="A13" t="inlineStr">
        <is>
          <t>CORPORATIVO</t>
        </is>
      </c>
      <c r="C13" t="inlineStr">
        <is>
          <t>GABRIEL MONSALVE</t>
        </is>
      </c>
    </row>
    <row r="14">
      <c r="A14" t="inlineStr">
        <is>
          <t>EL BOSQUE</t>
        </is>
      </c>
      <c r="C14" t="inlineStr">
        <is>
          <t>HENRY COLMENAREZ</t>
        </is>
      </c>
    </row>
    <row r="15">
      <c r="A15" t="inlineStr">
        <is>
          <t>FLOR AMARILLO</t>
        </is>
      </c>
      <c r="C15" t="inlineStr">
        <is>
          <t>HUMBERTO RUIZ</t>
        </is>
      </c>
    </row>
    <row r="16">
      <c r="A16" t="inlineStr">
        <is>
          <t>GUACARA</t>
        </is>
      </c>
      <c r="C16" t="inlineStr">
        <is>
          <t>ISMAEL SANTAELLA</t>
        </is>
      </c>
    </row>
    <row r="17">
      <c r="A17" t="inlineStr">
        <is>
          <t>GUIGUE</t>
        </is>
      </c>
      <c r="C17" t="inlineStr">
        <is>
          <t>JESUS PERDOMO</t>
        </is>
      </c>
    </row>
    <row r="18">
      <c r="A18" t="inlineStr">
        <is>
          <t>ISABELICA</t>
        </is>
      </c>
      <c r="C18" t="inlineStr">
        <is>
          <t>JOSE RODRIGUEZ</t>
        </is>
      </c>
    </row>
    <row r="19">
      <c r="A19" t="inlineStr">
        <is>
          <t>LA VEGA (CARACAS)</t>
        </is>
      </c>
      <c r="C19" t="inlineStr">
        <is>
          <t>JUAN GONZALEZ</t>
        </is>
      </c>
    </row>
    <row r="20">
      <c r="A20" t="inlineStr">
        <is>
          <t>LA VIÑA</t>
        </is>
      </c>
      <c r="C20" t="inlineStr">
        <is>
          <t>JUAN PAEZ</t>
        </is>
      </c>
    </row>
    <row r="21">
      <c r="A21" t="inlineStr">
        <is>
          <t>LAS FERIAS</t>
        </is>
      </c>
      <c r="C21" t="inlineStr">
        <is>
          <t>JULIO MUJICA</t>
        </is>
      </c>
    </row>
    <row r="22">
      <c r="A22" t="inlineStr">
        <is>
          <t>MAIQUETIA</t>
        </is>
      </c>
      <c r="C22" t="inlineStr">
        <is>
          <t>LANGER LINARES</t>
        </is>
      </c>
    </row>
    <row r="23">
      <c r="A23" t="inlineStr">
        <is>
          <t>MAYOR</t>
        </is>
      </c>
      <c r="C23" t="inlineStr">
        <is>
          <t>LUIS COLMENARES</t>
        </is>
      </c>
    </row>
    <row r="24">
      <c r="A24" t="inlineStr">
        <is>
          <t>MAÑONGO</t>
        </is>
      </c>
      <c r="C24" t="inlineStr">
        <is>
          <t>LUIS SILVA</t>
        </is>
      </c>
    </row>
    <row r="25">
      <c r="A25" t="inlineStr">
        <is>
          <t>NAGUANAGUA 1</t>
        </is>
      </c>
      <c r="C25" t="inlineStr">
        <is>
          <t>MARIA GUZMAN</t>
        </is>
      </c>
    </row>
    <row r="26">
      <c r="A26" t="inlineStr">
        <is>
          <t>NAGUANAGUA 2</t>
        </is>
      </c>
      <c r="C26" t="inlineStr">
        <is>
          <t>MARIANGEL HERNANDEZ</t>
        </is>
      </c>
    </row>
    <row r="27">
      <c r="A27" t="inlineStr">
        <is>
          <t>NAGUANAGUA 3</t>
        </is>
      </c>
      <c r="C27" t="inlineStr">
        <is>
          <t>MARLON GUZMAN</t>
        </is>
      </c>
    </row>
    <row r="28">
      <c r="A28" t="inlineStr">
        <is>
          <t>PARAISO (CARACAS)</t>
        </is>
      </c>
      <c r="C28" t="inlineStr">
        <is>
          <t>MENDOR AULAR</t>
        </is>
      </c>
    </row>
    <row r="29">
      <c r="A29" t="inlineStr">
        <is>
          <t>PARAPARAL</t>
        </is>
      </c>
      <c r="C29" t="inlineStr">
        <is>
          <t>OSCAR COLMENARES</t>
        </is>
      </c>
    </row>
    <row r="30">
      <c r="A30" t="inlineStr">
        <is>
          <t>PERIFERICO</t>
        </is>
      </c>
      <c r="C30" t="inlineStr">
        <is>
          <t>ROBERTO ORTIZ</t>
        </is>
      </c>
    </row>
    <row r="31">
      <c r="A31" t="inlineStr">
        <is>
          <t>SAN DIEGO</t>
        </is>
      </c>
      <c r="C31" t="inlineStr">
        <is>
          <t>SIMON ROJAS</t>
        </is>
      </c>
    </row>
    <row r="32">
      <c r="A32" t="inlineStr">
        <is>
          <t>SAN MARTIN (CARACAS)</t>
        </is>
      </c>
      <c r="C32" t="inlineStr">
        <is>
          <t>TECNICOS</t>
        </is>
      </c>
    </row>
    <row r="33">
      <c r="A33" t="inlineStr">
        <is>
          <t>TAZAJAL</t>
        </is>
      </c>
      <c r="C33" t="inlineStr">
        <is>
          <t>WILMER INFANTE</t>
        </is>
      </c>
    </row>
    <row r="34">
      <c r="A34" t="inlineStr">
        <is>
          <t>TIENDA</t>
        </is>
      </c>
    </row>
    <row r="35">
      <c r="A35" t="inlineStr">
        <is>
          <t>TOCUYITO</t>
        </is>
      </c>
    </row>
    <row r="36">
      <c r="A36" t="inlineStr">
        <is>
          <t>TURMERO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B1189"/>
  <sheetViews>
    <sheetView workbookViewId="0">
      <selection activeCell="B6" sqref="B6"/>
    </sheetView>
  </sheetViews>
  <sheetFormatPr baseColWidth="10" defaultRowHeight="14.5"/>
  <cols>
    <col width="58.90625" bestFit="1" customWidth="1" style="11" min="1" max="1"/>
    <col width="15.7265625" bestFit="1" customWidth="1" style="11" min="2" max="2"/>
  </cols>
  <sheetData>
    <row r="3">
      <c r="A3" s="9" t="inlineStr">
        <is>
          <t>Etiquetas de fila</t>
        </is>
      </c>
      <c r="B3" t="inlineStr">
        <is>
          <t xml:space="preserve">Suma de SALIDAS </t>
        </is>
      </c>
    </row>
    <row r="4">
      <c r="A4" s="10" t="inlineStr">
        <is>
          <t>AUTOMOTRIZ</t>
        </is>
      </c>
      <c r="B4" t="n">
        <v>41</v>
      </c>
    </row>
    <row r="5">
      <c r="A5" s="17" t="inlineStr">
        <is>
          <t>ACEITE 15W-40 SHELL LITRO</t>
        </is>
      </c>
      <c r="B5" t="n">
        <v>4</v>
      </c>
    </row>
    <row r="6">
      <c r="A6" s="17" t="inlineStr">
        <is>
          <t>ACEITE 20W-50 4T (LITRO)</t>
        </is>
      </c>
      <c r="B6" t="n">
        <v>0</v>
      </c>
    </row>
    <row r="7">
      <c r="A7" s="17" t="inlineStr">
        <is>
          <t>ACEITE 20W-50 SHELL LITRO</t>
        </is>
      </c>
      <c r="B7" t="n">
        <v>0</v>
      </c>
    </row>
    <row r="8">
      <c r="A8" s="17" t="inlineStr">
        <is>
          <t>ACEITE 80W-90 LRAX LITRO</t>
        </is>
      </c>
      <c r="B8" t="n">
        <v>0</v>
      </c>
    </row>
    <row r="9">
      <c r="A9" s="17" t="inlineStr">
        <is>
          <t>ACEITE HIDRAULICO 68 PAILA</t>
        </is>
      </c>
      <c r="B9" t="n">
        <v>0</v>
      </c>
    </row>
    <row r="10">
      <c r="A10" s="17" t="inlineStr">
        <is>
          <t>ALTERNADOR  PARA MONTACARGA TOYOTA</t>
        </is>
      </c>
      <c r="B10" t="n">
        <v>0</v>
      </c>
    </row>
    <row r="11">
      <c r="A11" s="17" t="inlineStr">
        <is>
          <t>BANDAS DE CARGUERO</t>
        </is>
      </c>
      <c r="B11" t="n">
        <v>2</v>
      </c>
    </row>
    <row r="12">
      <c r="A12" s="17" t="inlineStr">
        <is>
          <t>BATERIA DUNCAN 242-1150</t>
        </is>
      </c>
      <c r="B12" t="n">
        <v>2</v>
      </c>
    </row>
    <row r="13">
      <c r="A13" s="17" t="inlineStr">
        <is>
          <t>BOMBA DE FRENO MONTACARGAS CLARK</t>
        </is>
      </c>
      <c r="B13" t="n">
        <v>0</v>
      </c>
    </row>
    <row r="14">
      <c r="A14" s="17" t="inlineStr">
        <is>
          <t>BOMBA HIDRAHULICA P/M SERIE 7 TOYO</t>
        </is>
      </c>
      <c r="B14" t="n">
        <v>0</v>
      </c>
    </row>
    <row r="15">
      <c r="A15" s="17" t="inlineStr">
        <is>
          <t>BUJE DE TRIMOTO</t>
        </is>
      </c>
      <c r="B15" t="n">
        <v>2</v>
      </c>
    </row>
    <row r="16">
      <c r="A16" s="17" t="inlineStr">
        <is>
          <t>CABALLETE DE SOPORTE AUTOMOTRIZ</t>
        </is>
      </c>
      <c r="B16" t="n">
        <v>0</v>
      </c>
    </row>
    <row r="17">
      <c r="A17" s="17" t="inlineStr">
        <is>
          <t>CAUCHO 155R12C APLUS</t>
        </is>
      </c>
      <c r="B17" t="n">
        <v>4</v>
      </c>
    </row>
    <row r="18">
      <c r="A18" s="17" t="inlineStr">
        <is>
          <t>CINCHA DE AMARRE C/RACHET 1TON X 6 METROS</t>
        </is>
      </c>
      <c r="B18" t="n">
        <v>0</v>
      </c>
    </row>
    <row r="19">
      <c r="A19" s="17" t="inlineStr">
        <is>
          <t>CONECTOR DE ALTERNADOR DE MONTACARGA TOYOTA</t>
        </is>
      </c>
      <c r="B19" t="n">
        <v>1</v>
      </c>
    </row>
    <row r="20">
      <c r="A20" s="17" t="inlineStr">
        <is>
          <t>CONECTOR DE BOMBA DE FRENO DE MONTACARGA 10 X 12MM</t>
        </is>
      </c>
      <c r="B20" t="n">
        <v>0</v>
      </c>
    </row>
    <row r="21">
      <c r="A21" s="17" t="inlineStr">
        <is>
          <t>CONO VIAL FLEXIBLE</t>
        </is>
      </c>
      <c r="B21" t="n">
        <v>12</v>
      </c>
    </row>
    <row r="22">
      <c r="A22" s="17" t="inlineStr">
        <is>
          <t>CORREA A-51</t>
        </is>
      </c>
      <c r="B22" t="n">
        <v>0</v>
      </c>
    </row>
    <row r="23">
      <c r="A23" s="17" t="inlineStr">
        <is>
          <t>CORREA BALANCEADORA</t>
        </is>
      </c>
      <c r="B23" t="n">
        <v>0</v>
      </c>
    </row>
    <row r="24">
      <c r="A24" s="17" t="inlineStr">
        <is>
          <t>CORREA DE PLANTA MODELO 8PK1460</t>
        </is>
      </c>
      <c r="B24" t="n">
        <v>0</v>
      </c>
    </row>
    <row r="25">
      <c r="A25" s="17" t="inlineStr">
        <is>
          <t>CORREA DE TIEMPO L300</t>
        </is>
      </c>
      <c r="B25" t="n">
        <v>0</v>
      </c>
    </row>
    <row r="26">
      <c r="A26" s="17" t="inlineStr">
        <is>
          <t>COVER DE BOMBA DE AGUA PARA MONTACARGA TOYO</t>
        </is>
      </c>
      <c r="B26" t="n">
        <v>0</v>
      </c>
    </row>
    <row r="27">
      <c r="A27" s="17" t="inlineStr">
        <is>
          <t>CRUCETA DE CARGUERO</t>
        </is>
      </c>
      <c r="B27" t="n">
        <v>3</v>
      </c>
    </row>
    <row r="28">
      <c r="A28" s="17" t="inlineStr">
        <is>
          <t>EMPACADURA FRONTAL 4BT-JAC 1061-DUOLIKA</t>
        </is>
      </c>
      <c r="B28" t="n">
        <v>0</v>
      </c>
    </row>
    <row r="29">
      <c r="A29" s="17" t="inlineStr">
        <is>
          <t>ESTOPERA 44 X 60 X 07</t>
        </is>
      </c>
      <c r="B29" t="n">
        <v>1</v>
      </c>
    </row>
    <row r="30">
      <c r="A30" s="17" t="inlineStr">
        <is>
          <t>ESTOPERA 4991305</t>
        </is>
      </c>
      <c r="B30" t="n">
        <v>0</v>
      </c>
    </row>
    <row r="31">
      <c r="A31" s="17" t="inlineStr">
        <is>
          <t>FAROS STOP CARGUERO</t>
        </is>
      </c>
      <c r="B31" t="n">
        <v>1</v>
      </c>
    </row>
    <row r="32">
      <c r="A32" s="17" t="inlineStr">
        <is>
          <t>FILTRO ACEITE 3387</t>
        </is>
      </c>
      <c r="B32" t="n">
        <v>1</v>
      </c>
    </row>
    <row r="33">
      <c r="A33" s="17" t="inlineStr">
        <is>
          <t>FILTRO ACEITE ML 5566</t>
        </is>
      </c>
      <c r="B33" t="n">
        <v>0</v>
      </c>
    </row>
    <row r="34">
      <c r="A34" s="17" t="inlineStr">
        <is>
          <t>FILTRO ACEITE RL51459</t>
        </is>
      </c>
      <c r="B34" t="n">
        <v>0</v>
      </c>
    </row>
    <row r="35">
      <c r="A35" s="17" t="inlineStr">
        <is>
          <t>FILTRO ACEITE RL51820</t>
        </is>
      </c>
      <c r="B35" t="n">
        <v>0</v>
      </c>
    </row>
    <row r="36">
      <c r="A36" s="17" t="inlineStr">
        <is>
          <t>FILTRO COMBUSTIBLE ML. 4102</t>
        </is>
      </c>
      <c r="B36" t="n">
        <v>0</v>
      </c>
    </row>
    <row r="37">
      <c r="A37" s="17" t="inlineStr">
        <is>
          <t>FILTRO DE AIRE GRANDE PARA LA PLANTA</t>
        </is>
      </c>
      <c r="B37" t="n">
        <v>0</v>
      </c>
    </row>
    <row r="38">
      <c r="A38" s="17" t="inlineStr">
        <is>
          <t>FILTRO DE AIRE PRIMARIO PARA MOTOR CUMMINS 6BTAA5.9</t>
        </is>
      </c>
      <c r="B38" t="n">
        <v>0</v>
      </c>
    </row>
    <row r="39">
      <c r="A39" s="17" t="inlineStr">
        <is>
          <t>FILTRO DE AIRE SECUNDARIO PARA MOTOR CUMMINS 6BTAA5.9</t>
        </is>
      </c>
      <c r="B39" t="n">
        <v>0</v>
      </c>
    </row>
    <row r="40">
      <c r="A40" s="17" t="inlineStr">
        <is>
          <t>GALON REFRIGERANTE NARANJA</t>
        </is>
      </c>
      <c r="B40" t="n">
        <v>0</v>
      </c>
    </row>
    <row r="41">
      <c r="A41" s="17" t="inlineStr">
        <is>
          <t>GALON REFRIGERANTE ROJO</t>
        </is>
      </c>
      <c r="B41" t="n">
        <v>0</v>
      </c>
    </row>
    <row r="42">
      <c r="A42" s="17" t="inlineStr">
        <is>
          <t>GALON REFRIGERANTE VERDE</t>
        </is>
      </c>
      <c r="B42" t="n">
        <v>0</v>
      </c>
    </row>
    <row r="43">
      <c r="A43" s="17" t="inlineStr">
        <is>
          <t>GATO HIDRAULICO 30 TONELADAS</t>
        </is>
      </c>
      <c r="B43" t="n">
        <v>0</v>
      </c>
    </row>
    <row r="44">
      <c r="A44" s="17" t="inlineStr">
        <is>
          <t>GATO HIDRAULICO6 TONELADAS</t>
        </is>
      </c>
      <c r="B44" t="n">
        <v>0</v>
      </c>
    </row>
    <row r="45">
      <c r="A45" s="17" t="inlineStr">
        <is>
          <t>GOMA LACA</t>
        </is>
      </c>
      <c r="B45" t="n">
        <v>0</v>
      </c>
    </row>
    <row r="46">
      <c r="A46" s="17" t="inlineStr">
        <is>
          <t>JUEGO DE CABLE DE BUJIAS DE AVEO</t>
        </is>
      </c>
      <c r="B46" t="n">
        <v>0</v>
      </c>
    </row>
    <row r="47">
      <c r="A47" s="17" t="inlineStr">
        <is>
          <t>MANGUERA ACEITE/GAS 3/4</t>
        </is>
      </c>
      <c r="B47" t="n">
        <v>0</v>
      </c>
    </row>
    <row r="48">
      <c r="A48" s="17" t="inlineStr">
        <is>
          <t>MANGUERA HIDRAULICA 1/4 (METRO)</t>
        </is>
      </c>
      <c r="B48" t="n">
        <v>7</v>
      </c>
    </row>
    <row r="49">
      <c r="A49" s="17" t="inlineStr">
        <is>
          <t>MANGUERA HIDRAULICA 3/8 (METRO)</t>
        </is>
      </c>
      <c r="B49" t="n">
        <v>1</v>
      </c>
    </row>
    <row r="50">
      <c r="A50" s="17" t="inlineStr">
        <is>
          <t>MANILLA DELANTERA DERECHA DE AVEO</t>
        </is>
      </c>
      <c r="B50" t="n">
        <v>0</v>
      </c>
    </row>
    <row r="51">
      <c r="A51" s="17" t="inlineStr">
        <is>
          <t xml:space="preserve">PAILA ACEITE MAXI DIESEL 15W-40 </t>
        </is>
      </c>
      <c r="B51" t="n">
        <v>0</v>
      </c>
    </row>
    <row r="52">
      <c r="A52" s="17" t="inlineStr">
        <is>
          <t>PEDAL DE CAMBIO DE CARGUERO</t>
        </is>
      </c>
      <c r="B52" t="n">
        <v>0</v>
      </c>
    </row>
    <row r="53">
      <c r="A53" s="17" t="inlineStr">
        <is>
          <t>SENSOR DE ACEITE 2 PINES (O-10) BAR</t>
        </is>
      </c>
      <c r="B53" t="n">
        <v>0</v>
      </c>
    </row>
    <row r="54">
      <c r="A54" s="17" t="inlineStr">
        <is>
          <t>TAPA DE RADIADOR 7 LIBRAS</t>
        </is>
      </c>
      <c r="B54" t="n">
        <v>0</v>
      </c>
    </row>
    <row r="55">
      <c r="A55" s="10" t="inlineStr">
        <is>
          <t>ELECTRICIDAD</t>
        </is>
      </c>
      <c r="B55" t="n">
        <v>13911</v>
      </c>
    </row>
    <row r="56">
      <c r="A56" s="17" t="inlineStr">
        <is>
          <t>ADAPTADOR DE ENCHUNFE 110V</t>
        </is>
      </c>
      <c r="B56" t="n">
        <v>0</v>
      </c>
    </row>
    <row r="57">
      <c r="A57" s="17" t="inlineStr">
        <is>
          <t>ADAPTADOR TERMINAL GALVANIZADO 1/2</t>
        </is>
      </c>
      <c r="B57" t="n">
        <v>20</v>
      </c>
    </row>
    <row r="58">
      <c r="A58" s="17" t="inlineStr">
        <is>
          <t>ADAPTADOR TERMINAL PLASTICO 1/2</t>
        </is>
      </c>
      <c r="B58" t="n">
        <v>10</v>
      </c>
    </row>
    <row r="59">
      <c r="A59" s="17" t="inlineStr">
        <is>
          <t>ADAPTADOR TERMINAL PLASTICO 3/4</t>
        </is>
      </c>
      <c r="B59" t="n">
        <v>174</v>
      </c>
    </row>
    <row r="60">
      <c r="A60" s="17" t="inlineStr">
        <is>
          <t>BARRA COOPERWELD 5/8</t>
        </is>
      </c>
      <c r="B60" t="n">
        <v>1</v>
      </c>
    </row>
    <row r="61">
      <c r="A61" s="17" t="inlineStr">
        <is>
          <t>BARRACUDA 2</t>
        </is>
      </c>
      <c r="B61" t="n">
        <v>0</v>
      </c>
    </row>
    <row r="62">
      <c r="A62" s="17" t="inlineStr">
        <is>
          <t>BARRACUDA 2/0</t>
        </is>
      </c>
      <c r="B62" t="n">
        <v>0</v>
      </c>
    </row>
    <row r="63">
      <c r="A63" s="17" t="inlineStr">
        <is>
          <t>BARRACUDA 4/0</t>
        </is>
      </c>
      <c r="B63" t="n">
        <v>0</v>
      </c>
    </row>
    <row r="64">
      <c r="A64" s="17" t="inlineStr">
        <is>
          <t>BATERIA B 121314L-AZ</t>
        </is>
      </c>
      <c r="B64" t="n">
        <v>1</v>
      </c>
    </row>
    <row r="65">
      <c r="A65" s="17" t="inlineStr">
        <is>
          <t>BREAKER 20 A. 1 POLO</t>
        </is>
      </c>
      <c r="B65" t="n">
        <v>0</v>
      </c>
    </row>
    <row r="66">
      <c r="A66" s="17" t="inlineStr">
        <is>
          <t>BREAKER 20 A. 2 POLOS</t>
        </is>
      </c>
      <c r="B66" t="n">
        <v>0</v>
      </c>
    </row>
    <row r="67">
      <c r="A67" s="17" t="inlineStr">
        <is>
          <t>BREAKER 30 A. 1 POLO</t>
        </is>
      </c>
      <c r="B67" t="n">
        <v>0</v>
      </c>
    </row>
    <row r="68">
      <c r="A68" s="17" t="inlineStr">
        <is>
          <t>BREAKER 30 A. 2 POLOS</t>
        </is>
      </c>
      <c r="B68" t="n">
        <v>1</v>
      </c>
    </row>
    <row r="69">
      <c r="A69" s="17" t="inlineStr">
        <is>
          <t>BREAKER 30 A. 2 POLOS EMPOTRABLE</t>
        </is>
      </c>
      <c r="B69" t="n">
        <v>0</v>
      </c>
    </row>
    <row r="70">
      <c r="A70" s="17" t="inlineStr">
        <is>
          <t>BREAKER 30 A. 3 POLOS</t>
        </is>
      </c>
      <c r="B70" t="n">
        <v>2</v>
      </c>
    </row>
    <row r="71">
      <c r="A71" s="17" t="inlineStr">
        <is>
          <t>BREAKER 40 A. 1 POLO</t>
        </is>
      </c>
      <c r="B71" t="n">
        <v>0</v>
      </c>
    </row>
    <row r="72">
      <c r="A72" s="17" t="inlineStr">
        <is>
          <t>BREAKER 40 A. 2 POLOS</t>
        </is>
      </c>
      <c r="B72" t="n">
        <v>3</v>
      </c>
    </row>
    <row r="73">
      <c r="A73" s="17" t="inlineStr">
        <is>
          <t>BREAKER 40 A. 3 POLOS</t>
        </is>
      </c>
      <c r="B73" t="n">
        <v>1</v>
      </c>
    </row>
    <row r="74">
      <c r="A74" s="17" t="inlineStr">
        <is>
          <t>BREAKER 50 A. 2 POLOS</t>
        </is>
      </c>
      <c r="B74" t="n">
        <v>2</v>
      </c>
    </row>
    <row r="75">
      <c r="A75" s="17" t="inlineStr">
        <is>
          <t>BREAKER 60 A. 2 POLOS</t>
        </is>
      </c>
      <c r="B75" t="n">
        <v>1</v>
      </c>
    </row>
    <row r="76">
      <c r="A76" s="17" t="inlineStr">
        <is>
          <t>BREAKER 60 A. 3 POLOS</t>
        </is>
      </c>
      <c r="B76" t="n">
        <v>3</v>
      </c>
    </row>
    <row r="77">
      <c r="A77" s="17" t="inlineStr">
        <is>
          <t>BREAKER 70 A. 2 POLOS</t>
        </is>
      </c>
      <c r="B77" t="n">
        <v>0</v>
      </c>
    </row>
    <row r="78">
      <c r="A78" s="17" t="inlineStr">
        <is>
          <t>BREAKER INDUSTRIAL 3 X 200A</t>
        </is>
      </c>
      <c r="B78" t="n">
        <v>0</v>
      </c>
    </row>
    <row r="79">
      <c r="A79" s="17" t="inlineStr">
        <is>
          <t>BREAKER TEMOMAGNETICO 1 X 25A</t>
        </is>
      </c>
      <c r="B79" t="n">
        <v>5</v>
      </c>
    </row>
    <row r="80">
      <c r="A80" s="17" t="inlineStr">
        <is>
          <t>BREAKER TERMOMAGNETICO C10 ADB3-63 2 POLOS</t>
        </is>
      </c>
      <c r="B80" t="n">
        <v>0</v>
      </c>
    </row>
    <row r="81">
      <c r="A81" s="17" t="inlineStr">
        <is>
          <t>BREAKER TERMOMAGNETICO C3 YCB9-63 2 POLOS</t>
        </is>
      </c>
      <c r="B81" t="n">
        <v>0</v>
      </c>
    </row>
    <row r="82">
      <c r="A82" s="17" t="inlineStr">
        <is>
          <t>BREAKER TERMOMAGNETICO C6 DZ49-63 1 POLO</t>
        </is>
      </c>
      <c r="B82" t="n">
        <v>0</v>
      </c>
    </row>
    <row r="83">
      <c r="A83" s="17" t="inlineStr">
        <is>
          <t>CABLE N° 10 AMARILLO (METRO)</t>
        </is>
      </c>
      <c r="B83" t="n">
        <v>1200</v>
      </c>
    </row>
    <row r="84">
      <c r="A84" s="17" t="inlineStr">
        <is>
          <t>CABLE N° 10 AZUL (METRO)</t>
        </is>
      </c>
      <c r="B84" t="n">
        <v>700</v>
      </c>
    </row>
    <row r="85">
      <c r="A85" s="17" t="inlineStr">
        <is>
          <t>CABLE N° 10 NEGRO (METRO)</t>
        </is>
      </c>
      <c r="B85" t="n">
        <v>700</v>
      </c>
    </row>
    <row r="86">
      <c r="A86" s="17" t="inlineStr">
        <is>
          <t>CABLE N° 10 VERDE  (METRO)</t>
        </is>
      </c>
      <c r="B86" t="n">
        <v>100</v>
      </c>
    </row>
    <row r="87">
      <c r="A87" s="17" t="inlineStr">
        <is>
          <t>CABLE N° 10 VERDE (METRO)</t>
        </is>
      </c>
      <c r="B87" t="n">
        <v>400</v>
      </c>
    </row>
    <row r="88">
      <c r="A88" s="17" t="inlineStr">
        <is>
          <t>CABLE N° 16 GRIS (METRO)</t>
        </is>
      </c>
      <c r="B88" t="n">
        <v>217</v>
      </c>
    </row>
    <row r="89">
      <c r="A89" s="17" t="inlineStr">
        <is>
          <t>CABLE N° 16 MARRON (METRO)</t>
        </is>
      </c>
      <c r="B89" t="n">
        <v>0</v>
      </c>
    </row>
    <row r="90">
      <c r="A90" s="17" t="inlineStr">
        <is>
          <t>CABLE N° 16 NEGRO (METRO)</t>
        </is>
      </c>
      <c r="B90" t="n">
        <v>100</v>
      </c>
    </row>
    <row r="91">
      <c r="A91" s="17" t="inlineStr">
        <is>
          <t>CABLE N° 16 ROJO (METRO)</t>
        </is>
      </c>
      <c r="B91" t="n">
        <v>100</v>
      </c>
    </row>
    <row r="92">
      <c r="A92" s="17" t="inlineStr">
        <is>
          <t>CABLE N° 16 VERDE (METRO)</t>
        </is>
      </c>
      <c r="B92" t="n">
        <v>0</v>
      </c>
    </row>
    <row r="93">
      <c r="A93" s="17" t="inlineStr">
        <is>
          <t>CABLE N° 2 BLANCO (METRO)</t>
        </is>
      </c>
      <c r="B93" t="n">
        <v>0</v>
      </c>
    </row>
    <row r="94">
      <c r="A94" s="17" t="inlineStr">
        <is>
          <t>CABLE N° 2 ROJO (METRO)</t>
        </is>
      </c>
      <c r="B94" t="n">
        <v>0</v>
      </c>
    </row>
    <row r="95">
      <c r="A95" s="17" t="inlineStr">
        <is>
          <t>CABLE N° 4 NEGRO (METRO)</t>
        </is>
      </c>
      <c r="B95" t="n">
        <v>300</v>
      </c>
    </row>
    <row r="96">
      <c r="A96" s="17" t="inlineStr">
        <is>
          <t>CABLE N° 8 AZUL (METRO)</t>
        </is>
      </c>
      <c r="B96" t="n">
        <v>200</v>
      </c>
    </row>
    <row r="97">
      <c r="A97" s="17" t="inlineStr">
        <is>
          <t>CABLE N° 8 BLANCO (METRO)</t>
        </is>
      </c>
      <c r="B97" t="n">
        <v>100</v>
      </c>
    </row>
    <row r="98">
      <c r="A98" s="17" t="inlineStr">
        <is>
          <t>CABLE N° 8 NEGRO (METRO)</t>
        </is>
      </c>
      <c r="B98" t="n">
        <v>200</v>
      </c>
    </row>
    <row r="99">
      <c r="A99" s="17" t="inlineStr">
        <is>
          <t>CABLE N° 8 ROJO (METRO)</t>
        </is>
      </c>
      <c r="B99" t="n">
        <v>200</v>
      </c>
    </row>
    <row r="100">
      <c r="A100" s="17" t="inlineStr">
        <is>
          <t>CABLE N° 8 VERDE (METRO)</t>
        </is>
      </c>
      <c r="B100" t="n">
        <v>0</v>
      </c>
    </row>
    <row r="101">
      <c r="A101" s="17" t="inlineStr">
        <is>
          <t>CABLE N°10 BLANCO (METRO)</t>
        </is>
      </c>
      <c r="B101" t="n">
        <v>500</v>
      </c>
    </row>
    <row r="102">
      <c r="A102" s="17" t="inlineStr">
        <is>
          <t>CABLE N°12 AMARILLO (METRO)</t>
        </is>
      </c>
      <c r="B102" t="n">
        <v>700</v>
      </c>
    </row>
    <row r="103">
      <c r="A103" s="17" t="inlineStr">
        <is>
          <t>CABLE N°12 AZUL (METRO)</t>
        </is>
      </c>
      <c r="B103" t="n">
        <v>1500</v>
      </c>
    </row>
    <row r="104">
      <c r="A104" s="17" t="inlineStr">
        <is>
          <t>CABLE N°12 BLANCO (METRO)</t>
        </is>
      </c>
      <c r="B104" t="n">
        <v>1802</v>
      </c>
    </row>
    <row r="105">
      <c r="A105" s="17" t="inlineStr">
        <is>
          <t>CABLE N°12 NEGRO (METRO)</t>
        </is>
      </c>
      <c r="B105" t="n">
        <v>1210</v>
      </c>
    </row>
    <row r="106">
      <c r="A106" s="17" t="inlineStr">
        <is>
          <t>CABLE N°12 ROJO (METRO)</t>
        </is>
      </c>
      <c r="B106" t="n">
        <v>1105</v>
      </c>
    </row>
    <row r="107">
      <c r="A107" s="17" t="inlineStr">
        <is>
          <t>CABLE N°12 VERDE (METRO)</t>
        </is>
      </c>
      <c r="B107" t="n">
        <v>100</v>
      </c>
    </row>
    <row r="108">
      <c r="A108" s="17" t="inlineStr">
        <is>
          <t>CABLE N°14 BLANCO (METRO)</t>
        </is>
      </c>
      <c r="B108" t="n">
        <v>6</v>
      </c>
    </row>
    <row r="109">
      <c r="A109" s="17" t="inlineStr">
        <is>
          <t>CABLE N°14 NEGRO (METRO)</t>
        </is>
      </c>
      <c r="B109" t="n">
        <v>2</v>
      </c>
    </row>
    <row r="110">
      <c r="A110" s="17" t="inlineStr">
        <is>
          <t>CABLE N°18 AZUL (METRO)</t>
        </is>
      </c>
      <c r="B110" t="n">
        <v>100</v>
      </c>
    </row>
    <row r="111">
      <c r="A111" s="17" t="inlineStr">
        <is>
          <t>CABLE N°18 BLANCO (METRO)</t>
        </is>
      </c>
      <c r="B111" t="n">
        <v>100</v>
      </c>
    </row>
    <row r="112">
      <c r="A112" s="17" t="inlineStr">
        <is>
          <t>CABLE N°18 NEGRO (METRO)</t>
        </is>
      </c>
      <c r="B112" t="n">
        <v>100</v>
      </c>
    </row>
    <row r="113">
      <c r="A113" s="17" t="inlineStr">
        <is>
          <t>CABLE N°18 ROJO (METRO)</t>
        </is>
      </c>
      <c r="B113" t="n">
        <v>0</v>
      </c>
    </row>
    <row r="114">
      <c r="A114" s="17" t="inlineStr">
        <is>
          <t>CABLE N°6 BLANCO (METRO)</t>
        </is>
      </c>
      <c r="B114" t="n">
        <v>0</v>
      </c>
    </row>
    <row r="115">
      <c r="A115" s="17" t="inlineStr">
        <is>
          <t>CABLE N°6 ROJO (METRO)</t>
        </is>
      </c>
      <c r="B115" t="n">
        <v>0</v>
      </c>
    </row>
    <row r="116">
      <c r="A116" s="17" t="inlineStr">
        <is>
          <t>CAJA DE PASO METALICA 12 X 12 X 4</t>
        </is>
      </c>
      <c r="B116" t="n">
        <v>20</v>
      </c>
    </row>
    <row r="117">
      <c r="A117" s="17" t="inlineStr">
        <is>
          <t>CAJA PARA BREAKERS PARA EMPOTRAR</t>
        </is>
      </c>
      <c r="B117" t="n">
        <v>0</v>
      </c>
    </row>
    <row r="118">
      <c r="A118" s="17" t="inlineStr">
        <is>
          <t>CAJA PVC CON VISOR 2-3 POLOS CON RIEL</t>
        </is>
      </c>
      <c r="B118" t="n">
        <v>1</v>
      </c>
    </row>
    <row r="119">
      <c r="A119" s="17" t="inlineStr">
        <is>
          <t>CAJA PVC CON VISOR 3-4 POLOS CON RIEL</t>
        </is>
      </c>
      <c r="B119" t="n">
        <v>1</v>
      </c>
    </row>
    <row r="120">
      <c r="A120" s="17" t="inlineStr">
        <is>
          <t>CAPACITOR DE 3 MFD 450V CUADRADO</t>
        </is>
      </c>
      <c r="B120" t="n">
        <v>0</v>
      </c>
    </row>
    <row r="121">
      <c r="A121" s="17" t="inlineStr">
        <is>
          <t>CONECTOR 2" PVC</t>
        </is>
      </c>
      <c r="B121" t="n">
        <v>76</v>
      </c>
    </row>
    <row r="122">
      <c r="A122" s="17" t="inlineStr">
        <is>
          <t>CONECTOR LINEAL 500 AT</t>
        </is>
      </c>
      <c r="B122" t="n">
        <v>0</v>
      </c>
    </row>
    <row r="123">
      <c r="A123" s="17" t="inlineStr">
        <is>
          <t>CONECTOR TUBULAR 2/0</t>
        </is>
      </c>
      <c r="B123" t="n">
        <v>0</v>
      </c>
    </row>
    <row r="124">
      <c r="A124" s="17" t="inlineStr">
        <is>
          <t>CONECTOR TUBULAR 4/0</t>
        </is>
      </c>
      <c r="B124" t="n">
        <v>0</v>
      </c>
    </row>
    <row r="125">
      <c r="A125" s="17" t="inlineStr">
        <is>
          <t>CONTACTOR 3 POLOS 220V</t>
        </is>
      </c>
      <c r="B125" t="n">
        <v>1</v>
      </c>
    </row>
    <row r="126">
      <c r="A126" s="17" t="inlineStr">
        <is>
          <t>CONTACTOR 3 POLOS 220V 75A</t>
        </is>
      </c>
      <c r="B126" t="n">
        <v>1</v>
      </c>
    </row>
    <row r="127">
      <c r="A127" s="17" t="inlineStr">
        <is>
          <t>CONTACTOR ELECTRICO CI 9</t>
        </is>
      </c>
      <c r="B127" t="n">
        <v>0</v>
      </c>
    </row>
    <row r="128">
      <c r="A128" s="17" t="inlineStr">
        <is>
          <t>CURVA ELECTRICA PVC BLANCO 1/2</t>
        </is>
      </c>
      <c r="B128" t="n">
        <v>6</v>
      </c>
    </row>
    <row r="129">
      <c r="A129" s="17" t="inlineStr">
        <is>
          <t>CURVA PARA TUBERIA ELECTRICA 1"</t>
        </is>
      </c>
      <c r="B129" t="n">
        <v>112</v>
      </c>
    </row>
    <row r="130">
      <c r="A130" s="17" t="inlineStr">
        <is>
          <t>CURVA PARA TUBERIA ELECTRICA 2"</t>
        </is>
      </c>
      <c r="B130" t="n">
        <v>16</v>
      </c>
    </row>
    <row r="131">
      <c r="A131" s="17" t="inlineStr">
        <is>
          <t>ENCHUNFE AMARILLO 20A</t>
        </is>
      </c>
      <c r="B131" t="n">
        <v>3</v>
      </c>
    </row>
    <row r="132">
      <c r="A132" s="17" t="inlineStr">
        <is>
          <t>ENCHUNFE DE GOMA 20A</t>
        </is>
      </c>
      <c r="B132" t="n">
        <v>2</v>
      </c>
    </row>
    <row r="133">
      <c r="A133" s="17" t="inlineStr">
        <is>
          <t>GENERADOR ELECTRICO CATERPILLAR 10 KVA DIESEL 110/220V</t>
        </is>
      </c>
      <c r="B133" t="n">
        <v>0</v>
      </c>
    </row>
    <row r="134">
      <c r="A134" s="17" t="inlineStr">
        <is>
          <t>INTERRUPTOR DOBLE BLANCO</t>
        </is>
      </c>
      <c r="B134" t="n">
        <v>30</v>
      </c>
    </row>
    <row r="135">
      <c r="A135" s="17" t="inlineStr">
        <is>
          <t>LUZ TESTIGO ROJA</t>
        </is>
      </c>
      <c r="B135" t="n">
        <v>0</v>
      </c>
    </row>
    <row r="136">
      <c r="A136" s="17" t="inlineStr">
        <is>
          <t>LUZ TESTIGO VERDE</t>
        </is>
      </c>
      <c r="B136" t="n">
        <v>0</v>
      </c>
    </row>
    <row r="137">
      <c r="A137" s="17" t="inlineStr">
        <is>
          <t>MANTENIMIENTO DE PLANTA ELECTRICA</t>
        </is>
      </c>
      <c r="B137" t="n">
        <v>1</v>
      </c>
    </row>
    <row r="138">
      <c r="A138" s="17" t="inlineStr">
        <is>
          <t>PERILLA DE SELLADORA</t>
        </is>
      </c>
      <c r="B138" t="n">
        <v>1</v>
      </c>
    </row>
    <row r="139">
      <c r="A139" s="17" t="inlineStr">
        <is>
          <t>PLANTA ELECTRICA GENERADOR DE 12,5 KVA CAPTERPILLAR</t>
        </is>
      </c>
      <c r="B139" t="n">
        <v>0</v>
      </c>
    </row>
    <row r="140">
      <c r="A140" s="17" t="inlineStr">
        <is>
          <t xml:space="preserve">PORTAFUSIBLE CILINDRICO 32 A. 10 x 38 </t>
        </is>
      </c>
      <c r="B140" t="n">
        <v>0</v>
      </c>
    </row>
    <row r="141">
      <c r="A141" s="17" t="inlineStr">
        <is>
          <t>PORTAFUSIBLE EN LINEA</t>
        </is>
      </c>
      <c r="B141" t="n">
        <v>0</v>
      </c>
    </row>
    <row r="142">
      <c r="A142" s="17" t="inlineStr">
        <is>
          <t>POTENCIOMETRO 50K</t>
        </is>
      </c>
      <c r="B142" t="n">
        <v>1</v>
      </c>
    </row>
    <row r="143">
      <c r="A143" s="17" t="inlineStr">
        <is>
          <t>PROTECTOR 3 TOMAS 110V AMARILLO</t>
        </is>
      </c>
      <c r="B143" t="n">
        <v>3</v>
      </c>
    </row>
    <row r="144">
      <c r="A144" s="17" t="inlineStr">
        <is>
          <t>PROTECTOR A/A EXCELINE 220V</t>
        </is>
      </c>
      <c r="B144" t="n">
        <v>4</v>
      </c>
    </row>
    <row r="145">
      <c r="A145" s="17" t="inlineStr">
        <is>
          <t>PROTECTOR A/A EXCELINE 220V CAB/CAB</t>
        </is>
      </c>
      <c r="B145" t="n">
        <v>50</v>
      </c>
    </row>
    <row r="146">
      <c r="A146" s="17" t="inlineStr">
        <is>
          <t>PROTECTOR DE CIRCUITO DE MOTOR 3 POLOS</t>
        </is>
      </c>
      <c r="B146" t="n">
        <v>0</v>
      </c>
    </row>
    <row r="147">
      <c r="A147" s="17" t="inlineStr">
        <is>
          <t>PROTECTOR DE CORRIENTE PEQ</t>
        </is>
      </c>
      <c r="B147" t="n">
        <v>5</v>
      </c>
    </row>
    <row r="148">
      <c r="A148" s="17" t="inlineStr">
        <is>
          <t>PROTECTOR MICROONDAS 110V EXCELINE</t>
        </is>
      </c>
      <c r="B148" t="n">
        <v>7</v>
      </c>
    </row>
    <row r="149">
      <c r="A149" s="17" t="inlineStr">
        <is>
          <t>PROTECTOR NEVERA EXCELINE GSM-N120</t>
        </is>
      </c>
      <c r="B149" t="n">
        <v>51</v>
      </c>
    </row>
    <row r="150">
      <c r="A150" s="17" t="inlineStr">
        <is>
          <t>PROTECTOR TRIFASICO 220V</t>
        </is>
      </c>
      <c r="B150" t="n">
        <v>2</v>
      </c>
    </row>
    <row r="151">
      <c r="A151" s="17" t="inlineStr">
        <is>
          <t>RESISTENCIA DE SELLADORA</t>
        </is>
      </c>
      <c r="B151" t="n">
        <v>5</v>
      </c>
    </row>
    <row r="152">
      <c r="A152" s="17" t="inlineStr">
        <is>
          <t>SOCATE PVC BLANCO 4"</t>
        </is>
      </c>
      <c r="B152" t="n">
        <v>1</v>
      </c>
    </row>
    <row r="153">
      <c r="A153" s="17" t="inlineStr">
        <is>
          <t xml:space="preserve">SUPERVISOR MONOFASICO DE A/A 220V </t>
        </is>
      </c>
      <c r="B153" t="n">
        <v>4</v>
      </c>
    </row>
    <row r="154">
      <c r="A154" s="17" t="inlineStr">
        <is>
          <t>SUPERVISOR TRIFASICO 22OV</t>
        </is>
      </c>
      <c r="B154" t="n">
        <v>11</v>
      </c>
    </row>
    <row r="155">
      <c r="A155" s="17" t="inlineStr">
        <is>
          <t>SWITCH SELECTOR DE 1 PASE</t>
        </is>
      </c>
      <c r="B155" t="n">
        <v>0</v>
      </c>
    </row>
    <row r="156">
      <c r="A156" s="17" t="inlineStr">
        <is>
          <t>TAPA CIEGA 4 X 2 BLANCO</t>
        </is>
      </c>
      <c r="B156" t="n">
        <v>132</v>
      </c>
    </row>
    <row r="157">
      <c r="A157" s="17" t="inlineStr">
        <is>
          <t>TAPA CIEGA PVC 4 X 4</t>
        </is>
      </c>
      <c r="B157" t="n">
        <v>110</v>
      </c>
    </row>
    <row r="158">
      <c r="A158" s="17" t="inlineStr">
        <is>
          <t>TAPA CIEGA PVC OCTAGONAL</t>
        </is>
      </c>
      <c r="B158" t="n">
        <v>70</v>
      </c>
    </row>
    <row r="159">
      <c r="A159" s="17" t="inlineStr">
        <is>
          <t>TAPA DE TOMA CORRIENTE DOBLE</t>
        </is>
      </c>
      <c r="B159" t="n">
        <v>140</v>
      </c>
    </row>
    <row r="160">
      <c r="A160" s="17" t="inlineStr">
        <is>
          <t>TAPA DE TOMA CORRIENTE SIMPLE</t>
        </is>
      </c>
      <c r="B160" t="n">
        <v>12</v>
      </c>
    </row>
    <row r="161">
      <c r="A161" s="17" t="inlineStr">
        <is>
          <t>TEIPE GOMA NEGRO</t>
        </is>
      </c>
      <c r="B161" t="n">
        <v>0</v>
      </c>
    </row>
    <row r="162">
      <c r="A162" s="17" t="inlineStr">
        <is>
          <t>TERMINAL ANILLO DE COBRE PARA CABLE</t>
        </is>
      </c>
      <c r="B162" t="n">
        <v>0</v>
      </c>
    </row>
    <row r="163">
      <c r="A163" s="17" t="inlineStr">
        <is>
          <t>TERMINAL PARA CABLE AMARILLO</t>
        </is>
      </c>
      <c r="B163" t="n">
        <v>214</v>
      </c>
    </row>
    <row r="164">
      <c r="A164" s="17" t="inlineStr">
        <is>
          <t xml:space="preserve">TOMA CORRIENTE 3 X 20 250V </t>
        </is>
      </c>
      <c r="B164" t="n">
        <v>3</v>
      </c>
    </row>
    <row r="165">
      <c r="A165" s="17" t="inlineStr">
        <is>
          <t>TOMA CORRIENTE DOBLE</t>
        </is>
      </c>
      <c r="B165" t="n">
        <v>249</v>
      </c>
    </row>
    <row r="166">
      <c r="A166" s="17" t="inlineStr">
        <is>
          <t>TOMA CORRIENTE DOBLE C/TIERRA P/EMPOTRAR</t>
        </is>
      </c>
      <c r="B166" t="n">
        <v>0</v>
      </c>
    </row>
    <row r="167">
      <c r="A167" s="17" t="inlineStr">
        <is>
          <t>TOMA CORRIENTE INDIVIDUAL 110V</t>
        </is>
      </c>
      <c r="B167" t="n">
        <v>0</v>
      </c>
    </row>
    <row r="168">
      <c r="A168" s="17" t="inlineStr">
        <is>
          <t>TOMA CORRIENTE INDIVIDUAL C/TIERRA P/EMPOTRAR</t>
        </is>
      </c>
      <c r="B168" t="n">
        <v>8</v>
      </c>
    </row>
    <row r="169">
      <c r="A169" s="17" t="inlineStr">
        <is>
          <t>TOMA CORRIENTE INDIVIDUALE 220V</t>
        </is>
      </c>
      <c r="B169" t="n">
        <v>0</v>
      </c>
    </row>
    <row r="170">
      <c r="A170" s="17" t="inlineStr">
        <is>
          <t>TUBERIA CORRUGADA GALVANIZADA 3/4 (METRO)</t>
        </is>
      </c>
      <c r="B170" t="n">
        <v>186</v>
      </c>
    </row>
    <row r="171">
      <c r="A171" s="17" t="inlineStr">
        <is>
          <t>TUBERIA CORRUGADA PVC NEGRO 1/2 METRO</t>
        </is>
      </c>
      <c r="B171" t="n">
        <v>3</v>
      </c>
    </row>
    <row r="172">
      <c r="A172" s="17" t="inlineStr">
        <is>
          <t>TUBERIA CORRUGADA PVC NEGRO 3/4 METRO</t>
        </is>
      </c>
      <c r="B172" t="n">
        <v>15</v>
      </c>
    </row>
    <row r="173">
      <c r="A173" s="17" t="inlineStr">
        <is>
          <t>TUBO ELECTRICO 1" BLANCO 3 METRO</t>
        </is>
      </c>
      <c r="B173" t="n">
        <v>180</v>
      </c>
    </row>
    <row r="174">
      <c r="A174" s="17" t="inlineStr">
        <is>
          <t>TUBO ELECTRICO 1/2 BLANCO (METRO)</t>
        </is>
      </c>
      <c r="B174" t="n">
        <v>15</v>
      </c>
    </row>
    <row r="175">
      <c r="A175" s="17" t="inlineStr">
        <is>
          <t>TUBO ELECTRICO 2" 3 METROS</t>
        </is>
      </c>
      <c r="B175" t="n">
        <v>57</v>
      </c>
    </row>
    <row r="176">
      <c r="A176" s="17" t="inlineStr">
        <is>
          <t>TUBO ELECTRICO 3/4 BLANCO 3 METRO</t>
        </is>
      </c>
      <c r="B176" t="n">
        <v>136</v>
      </c>
    </row>
    <row r="177">
      <c r="A177" s="10" t="inlineStr">
        <is>
          <t>ELECTRONICO</t>
        </is>
      </c>
      <c r="B177" t="n">
        <v>81</v>
      </c>
    </row>
    <row r="178">
      <c r="A178" s="17" t="inlineStr">
        <is>
          <t>AIRE ACONDICIONADO 5000BTU VENTANA 110V</t>
        </is>
      </c>
      <c r="B178" t="n">
        <v>0</v>
      </c>
    </row>
    <row r="179">
      <c r="A179" s="17" t="inlineStr">
        <is>
          <t>AIRE ACONDICIONADO SPLIT 19000 BTU DEC. MUNDO BLANCO</t>
        </is>
      </c>
      <c r="B179" t="n">
        <v>1</v>
      </c>
    </row>
    <row r="180">
      <c r="A180" s="17" t="inlineStr">
        <is>
          <t>AIRE ACONDICIONADO VENTANA 13000 BTU ANALG</t>
        </is>
      </c>
      <c r="B180" t="n">
        <v>5</v>
      </c>
    </row>
    <row r="181">
      <c r="A181" s="17" t="inlineStr">
        <is>
          <t>ASPIRADORA 20 LITROS</t>
        </is>
      </c>
      <c r="B181" t="n">
        <v>0</v>
      </c>
    </row>
    <row r="182">
      <c r="A182" s="17" t="inlineStr">
        <is>
          <t>ASPIRADORA INDUSTRIAL 30L 1400W</t>
        </is>
      </c>
      <c r="B182" t="n">
        <v>0</v>
      </c>
    </row>
    <row r="183">
      <c r="A183" s="17" t="inlineStr">
        <is>
          <t>AUDIFONOS DE CONDUCCION OSEA BC3 NEGRO</t>
        </is>
      </c>
      <c r="B183" t="n">
        <v>0</v>
      </c>
    </row>
    <row r="184">
      <c r="A184" s="17" t="inlineStr">
        <is>
          <t>AUDIFONOS INALAMBRICOS E01 NEGRO DBEO</t>
        </is>
      </c>
      <c r="B184" t="n">
        <v>0</v>
      </c>
    </row>
    <row r="185">
      <c r="A185" s="17" t="inlineStr">
        <is>
          <t>AUDIFONOS INALAMBRICOS E04 NEGRO DBEO</t>
        </is>
      </c>
      <c r="B185" t="n">
        <v>0</v>
      </c>
    </row>
    <row r="186">
      <c r="A186" s="17" t="inlineStr">
        <is>
          <t>BALANZA DE MOSTRADOR 40 KG ROCCIA</t>
        </is>
      </c>
      <c r="B186" t="n">
        <v>10</v>
      </c>
    </row>
    <row r="187">
      <c r="A187" s="17" t="inlineStr">
        <is>
          <t>BALANZA DE PLATAFORMA 400 KG DE ALTA PRECISION</t>
        </is>
      </c>
      <c r="B187" t="n">
        <v>2</v>
      </c>
    </row>
    <row r="188">
      <c r="A188" s="17" t="inlineStr">
        <is>
          <t>BATERIA AAA ALKALINE (PAR)</t>
        </is>
      </c>
      <c r="B188" t="n">
        <v>1</v>
      </c>
    </row>
    <row r="189">
      <c r="A189" s="17" t="inlineStr">
        <is>
          <t>BOMBA DE AGUA 1/2 HP 370W</t>
        </is>
      </c>
      <c r="B189" t="n">
        <v>2</v>
      </c>
    </row>
    <row r="190">
      <c r="A190" s="17" t="inlineStr">
        <is>
          <t>BOMBA DE AGUA 2 HP 110V</t>
        </is>
      </c>
      <c r="B190" t="n">
        <v>0</v>
      </c>
    </row>
    <row r="191">
      <c r="A191" s="17" t="inlineStr">
        <is>
          <t>CABLE HDMI CORTO</t>
        </is>
      </c>
      <c r="B191" t="n">
        <v>0</v>
      </c>
    </row>
    <row r="192">
      <c r="A192" s="17" t="inlineStr">
        <is>
          <t>CABLE HDMI MEDIANO</t>
        </is>
      </c>
      <c r="B192" t="n">
        <v>0</v>
      </c>
    </row>
    <row r="193">
      <c r="A193" s="17" t="inlineStr">
        <is>
          <t>CAFETERA 12 TAZAS NEGRO BREMEN</t>
        </is>
      </c>
      <c r="B193" t="n">
        <v>1</v>
      </c>
    </row>
    <row r="194">
      <c r="A194" s="17" t="inlineStr">
        <is>
          <t>CAMARA INALAMBRICA ONVIF</t>
        </is>
      </c>
      <c r="B194" t="n">
        <v>0</v>
      </c>
    </row>
    <row r="195">
      <c r="A195" s="17" t="inlineStr">
        <is>
          <t>CAPACITOR 1 MFD</t>
        </is>
      </c>
      <c r="B195" t="n">
        <v>2</v>
      </c>
    </row>
    <row r="196">
      <c r="A196" s="17" t="inlineStr">
        <is>
          <t>COLADORA DE CAFÉ 30 TAZAS 5L RCA</t>
        </is>
      </c>
      <c r="B196" t="n">
        <v>0</v>
      </c>
    </row>
    <row r="197">
      <c r="A197" s="17" t="inlineStr">
        <is>
          <t>COLCHON INFLABLE CON INFLADOR</t>
        </is>
      </c>
      <c r="B197" t="n">
        <v>0</v>
      </c>
    </row>
    <row r="198">
      <c r="A198" s="17" t="inlineStr">
        <is>
          <t xml:space="preserve">CONDENSADOR 1000 MFD 25V </t>
        </is>
      </c>
      <c r="B198" t="n">
        <v>0</v>
      </c>
    </row>
    <row r="199">
      <c r="A199" s="17" t="inlineStr">
        <is>
          <t>CONTADORA DE BILLETE 337 X 355 X 290 MM</t>
        </is>
      </c>
      <c r="B199" t="n">
        <v>0</v>
      </c>
    </row>
    <row r="200">
      <c r="A200" s="17" t="inlineStr">
        <is>
          <t>CONTADORA DE BILLETE 700 X 355 X 310 MM</t>
        </is>
      </c>
      <c r="B200" t="n">
        <v>0</v>
      </c>
    </row>
    <row r="201">
      <c r="A201" s="17" t="inlineStr">
        <is>
          <t>CONTROL A/A UNIVERSAL KT-4000-6000</t>
        </is>
      </c>
      <c r="B201" t="n">
        <v>1</v>
      </c>
    </row>
    <row r="202">
      <c r="A202" s="17" t="inlineStr">
        <is>
          <t>CONTROL A/C CONDESA</t>
        </is>
      </c>
      <c r="B202" t="n">
        <v>0</v>
      </c>
    </row>
    <row r="203">
      <c r="A203" s="17" t="inlineStr">
        <is>
          <t>CONTROL A/C MUNDO BLANCO</t>
        </is>
      </c>
      <c r="B203" t="n">
        <v>0</v>
      </c>
    </row>
    <row r="204">
      <c r="A204" s="17" t="inlineStr">
        <is>
          <t>CONTROL ROKU VIZZION</t>
        </is>
      </c>
      <c r="B204" t="n">
        <v>0</v>
      </c>
    </row>
    <row r="205">
      <c r="A205" s="17" t="inlineStr">
        <is>
          <t>CONTROL TV CLX</t>
        </is>
      </c>
      <c r="B205" t="n">
        <v>0</v>
      </c>
    </row>
    <row r="206">
      <c r="A206" s="17" t="inlineStr">
        <is>
          <t>CONTROL TV JVC</t>
        </is>
      </c>
      <c r="B206" t="n">
        <v>0</v>
      </c>
    </row>
    <row r="207">
      <c r="A207" s="17" t="inlineStr">
        <is>
          <t>CONTROL TV SANKEY</t>
        </is>
      </c>
      <c r="B207" t="n">
        <v>0</v>
      </c>
    </row>
    <row r="208">
      <c r="A208" s="17" t="inlineStr">
        <is>
          <t>CONTROLADOR TV DE PARED</t>
        </is>
      </c>
      <c r="B208" t="n">
        <v>0</v>
      </c>
    </row>
    <row r="209">
      <c r="A209" s="17" t="inlineStr">
        <is>
          <t>CORNETA 8" C/BLUETOOTH NEGRO HYUNDAI</t>
        </is>
      </c>
      <c r="B209" t="n">
        <v>0</v>
      </c>
    </row>
    <row r="210">
      <c r="A210" s="17" t="inlineStr">
        <is>
          <t>CORNETA INALAMBRICA BLUETOOTW 10W AZUL JVC</t>
        </is>
      </c>
      <c r="B210" t="n">
        <v>0</v>
      </c>
    </row>
    <row r="211">
      <c r="A211" s="17" t="inlineStr">
        <is>
          <t>CORNETA PORTATIL INALAMBRICA 25W RIVIERA</t>
        </is>
      </c>
      <c r="B211" t="n">
        <v>0</v>
      </c>
    </row>
    <row r="212">
      <c r="A212" s="17" t="inlineStr">
        <is>
          <t>CORTINA DE AIRE 1,5M 110V</t>
        </is>
      </c>
      <c r="B212" t="n">
        <v>3</v>
      </c>
    </row>
    <row r="213">
      <c r="A213" s="17" t="inlineStr">
        <is>
          <t>DISPENSADOR DE AGUA CARGA SUPERIOR NEGRO MILATTI</t>
        </is>
      </c>
      <c r="B213" t="n">
        <v>0</v>
      </c>
    </row>
    <row r="214">
      <c r="A214" s="17" t="inlineStr">
        <is>
          <t>DISPENSADOR DE AGUA MUNDO GRIS</t>
        </is>
      </c>
      <c r="B214" t="n">
        <v>2</v>
      </c>
    </row>
    <row r="215">
      <c r="A215" s="17" t="inlineStr">
        <is>
          <t>EXTENCION ELECTRICA INDUSTRIAL 3 TOMA</t>
        </is>
      </c>
      <c r="B215" t="n">
        <v>0</v>
      </c>
    </row>
    <row r="216">
      <c r="A216" s="17" t="inlineStr">
        <is>
          <t>EXTRACTOR DE AIRE PLASTICO 10" EVERWELL</t>
        </is>
      </c>
      <c r="B216" t="n">
        <v>1</v>
      </c>
    </row>
    <row r="217">
      <c r="A217" s="17" t="inlineStr">
        <is>
          <t>FREIDORA DE AIRE DIGITAL 3L NEGRO DAEWOO</t>
        </is>
      </c>
      <c r="B217" t="n">
        <v>0</v>
      </c>
    </row>
    <row r="218">
      <c r="A218" s="17" t="inlineStr">
        <is>
          <t>HORNILLA ELECT. 1 HORNILLA G-LEY</t>
        </is>
      </c>
      <c r="B218" t="n">
        <v>0</v>
      </c>
    </row>
    <row r="219">
      <c r="A219" s="17" t="inlineStr">
        <is>
          <t>JUEGO DE OLLAS 22 PIEZAS</t>
        </is>
      </c>
      <c r="B219" t="n">
        <v>0</v>
      </c>
    </row>
    <row r="220">
      <c r="A220" s="17" t="inlineStr">
        <is>
          <t>LAVADORA SEMIAUTOMATICA BLANCO HYUNDAI</t>
        </is>
      </c>
      <c r="B220" t="n">
        <v>0</v>
      </c>
    </row>
    <row r="221">
      <c r="A221" s="17" t="inlineStr">
        <is>
          <t>LICUADORA 1.5L 2 VELOCIDADES GRIS DAEWOO</t>
        </is>
      </c>
      <c r="B221" t="n">
        <v>0</v>
      </c>
    </row>
    <row r="222">
      <c r="A222" s="17" t="inlineStr">
        <is>
          <t>LICUADORA 1.5L 2 VELOCIDADES NEGRO DAEWOO</t>
        </is>
      </c>
      <c r="B222" t="n">
        <v>0</v>
      </c>
    </row>
    <row r="223">
      <c r="A223" s="17" t="inlineStr">
        <is>
          <t>MICROFONO CON CABLE</t>
        </is>
      </c>
      <c r="B223" t="n">
        <v>0</v>
      </c>
    </row>
    <row r="224">
      <c r="A224" s="17" t="inlineStr">
        <is>
          <t>MICROFONO INALAMBRICO</t>
        </is>
      </c>
      <c r="B224" t="n">
        <v>0</v>
      </c>
    </row>
    <row r="225">
      <c r="A225" s="17" t="inlineStr">
        <is>
          <t>MICROONDAS CONDESA 20 L</t>
        </is>
      </c>
      <c r="B225" t="n">
        <v>1</v>
      </c>
    </row>
    <row r="226">
      <c r="A226" s="17" t="inlineStr">
        <is>
          <t>MICROONDAS CONDESA 25L</t>
        </is>
      </c>
      <c r="B226" t="n">
        <v>3</v>
      </c>
    </row>
    <row r="227">
      <c r="A227" s="17" t="inlineStr">
        <is>
          <t>MICROONDAS HYUNDAI 20 L</t>
        </is>
      </c>
      <c r="B227" t="n">
        <v>0</v>
      </c>
    </row>
    <row r="228">
      <c r="A228" s="17" t="inlineStr">
        <is>
          <t>MINI COMPONENTE DE SONIDO</t>
        </is>
      </c>
      <c r="B228" t="n">
        <v>0</v>
      </c>
    </row>
    <row r="229">
      <c r="A229" s="17" t="inlineStr">
        <is>
          <t>MONITOR DE CONT. BILLETE</t>
        </is>
      </c>
      <c r="B229" t="n">
        <v>0</v>
      </c>
    </row>
    <row r="230">
      <c r="A230" s="17" t="inlineStr">
        <is>
          <t>PLANCHA A VAPOR AZUL WESTINGHOUSE</t>
        </is>
      </c>
      <c r="B230" t="n">
        <v>0</v>
      </c>
    </row>
    <row r="231">
      <c r="A231" s="17" t="inlineStr">
        <is>
          <t>PLANTA DE SONIDO</t>
        </is>
      </c>
      <c r="B231" t="n">
        <v>0</v>
      </c>
    </row>
    <row r="232">
      <c r="A232" s="17" t="inlineStr">
        <is>
          <t>PLANTA ELECTRICA 125KVA C/ TRANFER</t>
        </is>
      </c>
      <c r="B232" t="n">
        <v>1</v>
      </c>
    </row>
    <row r="233">
      <c r="A233" s="17" t="inlineStr">
        <is>
          <t>PULIDORA INDUSTRIAL DE 1,5 HP 17" ROCCIA</t>
        </is>
      </c>
      <c r="B233" t="n">
        <v>4</v>
      </c>
    </row>
    <row r="234">
      <c r="A234" s="17" t="inlineStr">
        <is>
          <t>RADIO PORTATIL BAOFENG</t>
        </is>
      </c>
      <c r="B234" t="n">
        <v>7</v>
      </c>
    </row>
    <row r="235">
      <c r="A235" s="17" t="inlineStr">
        <is>
          <t>RADIO PORTATIL GREAVAL</t>
        </is>
      </c>
      <c r="B235" t="n">
        <v>0</v>
      </c>
    </row>
    <row r="236">
      <c r="A236" s="17" t="inlineStr">
        <is>
          <t>REBANADORA 250MM SEMI-AUT ROCCIA</t>
        </is>
      </c>
      <c r="B236" t="n">
        <v>3</v>
      </c>
    </row>
    <row r="237">
      <c r="A237" s="17" t="inlineStr">
        <is>
          <t>REFRIGERADOR SILVER 220L CONDESA</t>
        </is>
      </c>
      <c r="B237" t="n">
        <v>1</v>
      </c>
    </row>
    <row r="238">
      <c r="A238" s="17" t="inlineStr">
        <is>
          <t>REGLETA ELECTRICA 10 TOMA TROEN</t>
        </is>
      </c>
      <c r="B238" t="n">
        <v>0</v>
      </c>
    </row>
    <row r="239">
      <c r="A239" s="17" t="inlineStr">
        <is>
          <t>REGLETA ELECTRICA 6 TOMA TROEN</t>
        </is>
      </c>
      <c r="B239" t="n">
        <v>0</v>
      </c>
    </row>
    <row r="240">
      <c r="A240" s="17" t="inlineStr">
        <is>
          <t>REGULADOR DE VOLTAJE CDP</t>
        </is>
      </c>
      <c r="B240" t="n">
        <v>0</v>
      </c>
    </row>
    <row r="241">
      <c r="A241" s="17" t="inlineStr">
        <is>
          <t>ROKU MXQ PRO 4K</t>
        </is>
      </c>
      <c r="B241" t="n">
        <v>0</v>
      </c>
    </row>
    <row r="242">
      <c r="A242" s="17" t="inlineStr">
        <is>
          <t>ROMANA CAP 350KG ROCCIA</t>
        </is>
      </c>
      <c r="B242" t="n">
        <v>1</v>
      </c>
    </row>
    <row r="243">
      <c r="A243" s="17" t="inlineStr">
        <is>
          <t>SANDWICHERA DE 2 REBANADAS ANTIADHERENTE DAEWOO</t>
        </is>
      </c>
      <c r="B243" t="n">
        <v>0</v>
      </c>
    </row>
    <row r="244">
      <c r="A244" s="17" t="inlineStr">
        <is>
          <t>SMARTV 32" HYUNDAI</t>
        </is>
      </c>
      <c r="B244" t="n">
        <v>0</v>
      </c>
    </row>
    <row r="245">
      <c r="A245" s="17" t="inlineStr">
        <is>
          <t>SMARTV 42" HYUNDAI</t>
        </is>
      </c>
      <c r="B245" t="n">
        <v>1</v>
      </c>
    </row>
    <row r="246">
      <c r="A246" s="17" t="inlineStr">
        <is>
          <t>SMARTV 45"</t>
        </is>
      </c>
      <c r="B246" t="n">
        <v>0</v>
      </c>
    </row>
    <row r="247">
      <c r="A247" s="17" t="inlineStr">
        <is>
          <t>SMARTV 50" HYUNDAI</t>
        </is>
      </c>
      <c r="B247" t="n">
        <v>0</v>
      </c>
    </row>
    <row r="248">
      <c r="A248" s="17" t="inlineStr">
        <is>
          <t>SMARTV 50" JVC</t>
        </is>
      </c>
      <c r="B248" t="n">
        <v>0</v>
      </c>
    </row>
    <row r="249">
      <c r="A249" s="17" t="inlineStr">
        <is>
          <t>SMARTV 55"</t>
        </is>
      </c>
      <c r="B249" t="n">
        <v>0</v>
      </c>
    </row>
    <row r="250">
      <c r="A250" s="17" t="inlineStr">
        <is>
          <t>SMARTV 65" MAGNAVOX</t>
        </is>
      </c>
      <c r="B250" t="n">
        <v>2</v>
      </c>
    </row>
    <row r="251">
      <c r="A251" s="17" t="inlineStr">
        <is>
          <t>SMARTV CLX 32"</t>
        </is>
      </c>
      <c r="B251" t="n">
        <v>2</v>
      </c>
    </row>
    <row r="252">
      <c r="A252" s="17" t="inlineStr">
        <is>
          <t>SMARTV DAMASCO 50"</t>
        </is>
      </c>
      <c r="B252" t="n">
        <v>1</v>
      </c>
    </row>
    <row r="253">
      <c r="A253" s="17" t="inlineStr">
        <is>
          <t>SMARTV KEYTON 40"</t>
        </is>
      </c>
      <c r="B253" t="n">
        <v>0</v>
      </c>
    </row>
    <row r="254">
      <c r="A254" s="17" t="inlineStr">
        <is>
          <t>SMARTV NEGRO 32" HYUNDAI</t>
        </is>
      </c>
      <c r="B254" t="n">
        <v>0</v>
      </c>
    </row>
    <row r="255">
      <c r="A255" s="17" t="inlineStr">
        <is>
          <t>SWICHE DE BATE 20A</t>
        </is>
      </c>
      <c r="B255" t="n">
        <v>1</v>
      </c>
    </row>
    <row r="256">
      <c r="A256" s="17" t="inlineStr">
        <is>
          <t>SWICHE MICRO 16A</t>
        </is>
      </c>
      <c r="B256" t="n">
        <v>5</v>
      </c>
    </row>
    <row r="257">
      <c r="A257" s="17" t="inlineStr">
        <is>
          <t>TEMPORIZADOR DE RIEGO</t>
        </is>
      </c>
      <c r="B257" t="n">
        <v>0</v>
      </c>
    </row>
    <row r="258">
      <c r="A258" s="17" t="inlineStr">
        <is>
          <t>TERMOMETRO INFRARROJO</t>
        </is>
      </c>
      <c r="B258" t="n">
        <v>0</v>
      </c>
    </row>
    <row r="259">
      <c r="A259" s="17" t="inlineStr">
        <is>
          <t>VENTILADOR INDUSTRIAL 26" C/ROCIADOR DE AGUA</t>
        </is>
      </c>
      <c r="B259" t="n">
        <v>0</v>
      </c>
    </row>
    <row r="260">
      <c r="A260" s="17" t="inlineStr">
        <is>
          <t>VENTILADOR INDUSTRIAL 26" TIPO AEREO ROCCIA</t>
        </is>
      </c>
      <c r="B260" t="n">
        <v>8</v>
      </c>
    </row>
    <row r="261">
      <c r="A261" s="17" t="inlineStr">
        <is>
          <t>VENTILADOR INDUSTRIAL 26" TIPO PEDESTAL ROCCIA</t>
        </is>
      </c>
      <c r="B261" t="n">
        <v>9</v>
      </c>
    </row>
    <row r="262">
      <c r="A262" s="10" t="inlineStr">
        <is>
          <t>FERRETERIA</t>
        </is>
      </c>
      <c r="B262" t="n">
        <v>26738</v>
      </c>
    </row>
    <row r="263">
      <c r="A263" s="17" t="inlineStr">
        <is>
          <t>1/4 GALON CATALIZADOR EPOXICO</t>
        </is>
      </c>
      <c r="B263" t="n">
        <v>103</v>
      </c>
    </row>
    <row r="264">
      <c r="A264" s="17" t="inlineStr">
        <is>
          <t>1/4 GALON PINTURA ESMALTE ALUMINIO</t>
        </is>
      </c>
      <c r="B264" t="n">
        <v>0</v>
      </c>
    </row>
    <row r="265">
      <c r="A265" s="17" t="inlineStr">
        <is>
          <t>ABRAZADERA 1"</t>
        </is>
      </c>
      <c r="B265" t="n">
        <v>19</v>
      </c>
    </row>
    <row r="266">
      <c r="A266" s="17" t="inlineStr">
        <is>
          <t>ABRAZADERA 1,5</t>
        </is>
      </c>
      <c r="B266" t="n">
        <v>12</v>
      </c>
    </row>
    <row r="267">
      <c r="A267" s="17" t="inlineStr">
        <is>
          <t>ABRAZADERA 1/2</t>
        </is>
      </c>
      <c r="B267" t="n">
        <v>5</v>
      </c>
    </row>
    <row r="268">
      <c r="A268" s="17" t="inlineStr">
        <is>
          <t>ABRAZADERA DE 2"</t>
        </is>
      </c>
      <c r="B268" t="n">
        <v>0</v>
      </c>
    </row>
    <row r="269">
      <c r="A269" s="17" t="inlineStr">
        <is>
          <t>ABRAZADERA DE ACERO 14-27 MM</t>
        </is>
      </c>
      <c r="B269" t="n">
        <v>0</v>
      </c>
    </row>
    <row r="270">
      <c r="A270" s="17" t="inlineStr">
        <is>
          <t>ACTIVADOR DE CONCRETO SIKA</t>
        </is>
      </c>
      <c r="B270" t="n">
        <v>0</v>
      </c>
    </row>
    <row r="271">
      <c r="A271" s="17" t="inlineStr">
        <is>
          <t>ADAPTADOR PARA TUBERIA ELECTRICA 1"</t>
        </is>
      </c>
      <c r="B271" t="n">
        <v>0</v>
      </c>
    </row>
    <row r="272">
      <c r="A272" s="17" t="inlineStr">
        <is>
          <t>ADAPTADOR PARA TUBERIA ELECTRICA 1/2</t>
        </is>
      </c>
      <c r="B272" t="n">
        <v>0</v>
      </c>
    </row>
    <row r="273">
      <c r="A273" s="17" t="inlineStr">
        <is>
          <t>ADITIVO PARA MORTERO 15L (LITRO)</t>
        </is>
      </c>
      <c r="B273" t="n">
        <v>0</v>
      </c>
    </row>
    <row r="274">
      <c r="A274" s="17" t="inlineStr">
        <is>
          <t>ALICATE DE PRESION RECTO</t>
        </is>
      </c>
      <c r="B274" t="n">
        <v>1</v>
      </c>
    </row>
    <row r="275">
      <c r="A275" s="17" t="inlineStr">
        <is>
          <t>ALICATE ELECTRICISTA 8"</t>
        </is>
      </c>
      <c r="B275" t="n">
        <v>1</v>
      </c>
    </row>
    <row r="276">
      <c r="A276" s="17" t="inlineStr">
        <is>
          <t>ALICATE MECANICO 10"</t>
        </is>
      </c>
      <c r="B276" t="n">
        <v>0</v>
      </c>
    </row>
    <row r="277">
      <c r="A277" s="17" t="inlineStr">
        <is>
          <t>ARANDELA PLANA 1/2</t>
        </is>
      </c>
      <c r="B277" t="n">
        <v>120</v>
      </c>
    </row>
    <row r="278">
      <c r="A278" s="17" t="inlineStr">
        <is>
          <t>ARANDELA PLANA DE COBRE GRANDE</t>
        </is>
      </c>
      <c r="B278" t="n">
        <v>13</v>
      </c>
    </row>
    <row r="279">
      <c r="A279" s="17" t="inlineStr">
        <is>
          <t>ARANDELA PRESION 5/16</t>
        </is>
      </c>
      <c r="B279" t="n">
        <v>0</v>
      </c>
    </row>
    <row r="280">
      <c r="A280" s="17" t="inlineStr">
        <is>
          <t>ARENA LAVADA (SACO)</t>
        </is>
      </c>
      <c r="B280" t="n">
        <v>6</v>
      </c>
    </row>
    <row r="281">
      <c r="A281" s="17" t="inlineStr">
        <is>
          <t>BANDEJA PLASTICA PARA RODILLO 9"</t>
        </is>
      </c>
      <c r="B281" t="n">
        <v>4</v>
      </c>
    </row>
    <row r="282">
      <c r="A282" s="17" t="inlineStr">
        <is>
          <t>BARRA ROSCADA 1/2 1M</t>
        </is>
      </c>
      <c r="B282" t="n">
        <v>24</v>
      </c>
    </row>
    <row r="283">
      <c r="A283" s="17" t="inlineStr">
        <is>
          <t>BARRA ROSCADA 1/2 2M</t>
        </is>
      </c>
      <c r="B283" t="n">
        <v>25</v>
      </c>
    </row>
    <row r="284">
      <c r="A284" s="17" t="inlineStr">
        <is>
          <t>BARRA ROSCADA 5/16 2M</t>
        </is>
      </c>
      <c r="B284" t="n">
        <v>6</v>
      </c>
    </row>
    <row r="285">
      <c r="A285" s="17" t="inlineStr">
        <is>
          <t>BARRA ROSCADA1/4 1M</t>
        </is>
      </c>
      <c r="B285" t="n">
        <v>0</v>
      </c>
    </row>
    <row r="286">
      <c r="A286" s="17" t="inlineStr">
        <is>
          <t>BARRACUDA MECHA CILD 5/16</t>
        </is>
      </c>
      <c r="B286" t="n">
        <v>2</v>
      </c>
    </row>
    <row r="287">
      <c r="A287" s="17" t="inlineStr">
        <is>
          <t>BASE DE TV MOVIBLE 17"-85"</t>
        </is>
      </c>
      <c r="B287" t="n">
        <v>2</v>
      </c>
    </row>
    <row r="288">
      <c r="A288" s="17" t="inlineStr">
        <is>
          <t>BASE PARA TV WESTPOOL</t>
        </is>
      </c>
      <c r="B288" t="n">
        <v>2</v>
      </c>
    </row>
    <row r="289">
      <c r="A289" s="17" t="inlineStr">
        <is>
          <t>BISABRA PARA MADERA 3 X 3</t>
        </is>
      </c>
      <c r="B289" t="n">
        <v>3</v>
      </c>
    </row>
    <row r="290">
      <c r="A290" s="17" t="inlineStr">
        <is>
          <t>BISAGRA PARA CAVA CUARTO</t>
        </is>
      </c>
      <c r="B290" t="n">
        <v>1</v>
      </c>
    </row>
    <row r="291">
      <c r="A291" s="17" t="inlineStr">
        <is>
          <t>BISAGRA PARA PECERA</t>
        </is>
      </c>
      <c r="B291" t="n">
        <v>8</v>
      </c>
    </row>
    <row r="292">
      <c r="A292" s="17" t="inlineStr">
        <is>
          <t>BOTA DE HULE T/40</t>
        </is>
      </c>
      <c r="B292" t="n">
        <v>1</v>
      </c>
    </row>
    <row r="293">
      <c r="A293" s="17" t="inlineStr">
        <is>
          <t>BRAZO HIDRAULICO PARA PUERTA 45-60 KG</t>
        </is>
      </c>
      <c r="B293" t="n">
        <v>4</v>
      </c>
    </row>
    <row r="294">
      <c r="A294" s="17" t="inlineStr">
        <is>
          <t>BRAZO HIDRAULICO PARA PUERTA 45-60 KG (SIN BRASO)</t>
        </is>
      </c>
      <c r="B294" t="n">
        <v>0</v>
      </c>
    </row>
    <row r="295">
      <c r="A295" s="17" t="inlineStr">
        <is>
          <t>CADENA GALVANIZADA 3/32 (KG)</t>
        </is>
      </c>
      <c r="B295" t="n">
        <v>0</v>
      </c>
    </row>
    <row r="296">
      <c r="A296" s="17" t="inlineStr">
        <is>
          <t>CAJA CON TAPA 3 X 4</t>
        </is>
      </c>
      <c r="B296" t="n">
        <v>0</v>
      </c>
    </row>
    <row r="297">
      <c r="A297" s="17" t="inlineStr">
        <is>
          <t>CAJETIN 4 X 2</t>
        </is>
      </c>
      <c r="B297" t="n">
        <v>224</v>
      </c>
    </row>
    <row r="298">
      <c r="A298" s="17" t="inlineStr">
        <is>
          <t>CAJETIN 4 X 4</t>
        </is>
      </c>
      <c r="B298" t="n">
        <v>130</v>
      </c>
    </row>
    <row r="299">
      <c r="A299" s="17" t="inlineStr">
        <is>
          <t>CAJETIN EXAGONAL BLANCO</t>
        </is>
      </c>
      <c r="B299" t="n">
        <v>80</v>
      </c>
    </row>
    <row r="300">
      <c r="A300" s="17" t="inlineStr">
        <is>
          <t>CAJETIN EXAGONAL NEGRO</t>
        </is>
      </c>
      <c r="B300" t="n">
        <v>120</v>
      </c>
    </row>
    <row r="301">
      <c r="A301" s="17" t="inlineStr">
        <is>
          <t>CAMISA PARA RODILLO 4"</t>
        </is>
      </c>
      <c r="B301" t="n">
        <v>0</v>
      </c>
    </row>
    <row r="302">
      <c r="A302" s="17" t="inlineStr">
        <is>
          <t>CANDADO 30MM</t>
        </is>
      </c>
      <c r="B302" t="n">
        <v>1</v>
      </c>
    </row>
    <row r="303">
      <c r="A303" s="17" t="inlineStr">
        <is>
          <t>CANDADO 60MM UNITY</t>
        </is>
      </c>
      <c r="B303" t="n">
        <v>0</v>
      </c>
    </row>
    <row r="304">
      <c r="A304" s="17" t="inlineStr">
        <is>
          <t>CANDADO 63MM INC-CO</t>
        </is>
      </c>
      <c r="B304" t="n">
        <v>0</v>
      </c>
    </row>
    <row r="305">
      <c r="A305" s="17" t="inlineStr">
        <is>
          <t>CANDADO ANTICIZALLA 100MM CISA</t>
        </is>
      </c>
      <c r="B305" t="n">
        <v>0</v>
      </c>
    </row>
    <row r="306">
      <c r="A306" s="17" t="inlineStr">
        <is>
          <t>CANDADO ANTICIZALLA 75MM</t>
        </is>
      </c>
      <c r="B306" t="n">
        <v>1</v>
      </c>
    </row>
    <row r="307">
      <c r="A307" s="17" t="inlineStr">
        <is>
          <t>CANDADO ANTICIZALLA 80MM</t>
        </is>
      </c>
      <c r="B307" t="n">
        <v>0</v>
      </c>
    </row>
    <row r="308">
      <c r="A308" s="17" t="inlineStr">
        <is>
          <t>CANDADO ANTICIZALLA 90MM</t>
        </is>
      </c>
      <c r="B308" t="n">
        <v>0</v>
      </c>
    </row>
    <row r="309">
      <c r="A309" s="17" t="inlineStr">
        <is>
          <t>CANDADO DE COMBINACION P/ INTERIOR</t>
        </is>
      </c>
      <c r="B309" t="n">
        <v>0</v>
      </c>
    </row>
    <row r="310">
      <c r="A310" s="17" t="inlineStr">
        <is>
          <t>CANILLA PLASTICA 1/2 X 5/8 40 CM</t>
        </is>
      </c>
      <c r="B310" t="n">
        <v>2</v>
      </c>
    </row>
    <row r="311">
      <c r="A311" s="17" t="inlineStr">
        <is>
          <t>CARBON N°452 PARA ESMERIL ANGULAR 4 1/2 750W</t>
        </is>
      </c>
      <c r="B311" t="n">
        <v>2</v>
      </c>
    </row>
    <row r="312">
      <c r="A312" s="17" t="inlineStr">
        <is>
          <t>CEMENTO BLANCO (KG)</t>
        </is>
      </c>
      <c r="B312" t="n">
        <v>0</v>
      </c>
    </row>
    <row r="313">
      <c r="A313" s="17" t="inlineStr">
        <is>
          <t>CERRADURA DE MANILLA 3 LLAVES</t>
        </is>
      </c>
      <c r="B313" t="n">
        <v>0</v>
      </c>
    </row>
    <row r="314">
      <c r="A314" s="17" t="inlineStr">
        <is>
          <t>CERRADURA DE POMO C/LLAVE</t>
        </is>
      </c>
      <c r="B314" t="n">
        <v>4</v>
      </c>
    </row>
    <row r="315">
      <c r="A315" s="17" t="inlineStr">
        <is>
          <t>CERRADURA P/ GAVETA 2 LLAVES</t>
        </is>
      </c>
      <c r="B315" t="n">
        <v>2</v>
      </c>
    </row>
    <row r="316">
      <c r="A316" s="17" t="inlineStr">
        <is>
          <t>CERRADURA PARA CAVA CUARTO C/ LLAVE</t>
        </is>
      </c>
      <c r="B316" t="n">
        <v>1</v>
      </c>
    </row>
    <row r="317">
      <c r="A317" s="17" t="inlineStr">
        <is>
          <t>CERRADURA PARA EMBUTIR 45MM</t>
        </is>
      </c>
      <c r="B317" t="n">
        <v>0</v>
      </c>
    </row>
    <row r="318">
      <c r="A318" s="17" t="inlineStr">
        <is>
          <t>CERRADURA PARA EMPOTRAR 35</t>
        </is>
      </c>
      <c r="B318" t="n">
        <v>1</v>
      </c>
    </row>
    <row r="319">
      <c r="A319" s="17" t="inlineStr">
        <is>
          <t>CINTA AMARILLA DE PREVENCION</t>
        </is>
      </c>
      <c r="B319" t="n">
        <v>0</v>
      </c>
    </row>
    <row r="320">
      <c r="A320" s="17" t="inlineStr">
        <is>
          <t>CINTA ANTIDESLIZANTE NEGRO/AMARILLO (ROLLO 5M)</t>
        </is>
      </c>
      <c r="B320" t="n">
        <v>3</v>
      </c>
    </row>
    <row r="321">
      <c r="A321" s="17" t="inlineStr">
        <is>
          <t>CLAVO DE ACERO LISO 3/4</t>
        </is>
      </c>
      <c r="B321" t="n">
        <v>100</v>
      </c>
    </row>
    <row r="322">
      <c r="A322" s="17" t="inlineStr">
        <is>
          <t>CLAVO DULCE C/CABEZA 3"</t>
        </is>
      </c>
      <c r="B322" t="n">
        <v>26</v>
      </c>
    </row>
    <row r="323">
      <c r="A323" s="17" t="inlineStr">
        <is>
          <t>COPIAS DE LLAVES</t>
        </is>
      </c>
      <c r="B323" t="n">
        <v>5</v>
      </c>
    </row>
    <row r="324">
      <c r="A324" s="17" t="inlineStr">
        <is>
          <t>CORREDERA TELESCOPICA PARA CAJON 30 CM</t>
        </is>
      </c>
      <c r="B324" t="n">
        <v>0</v>
      </c>
    </row>
    <row r="325">
      <c r="A325" s="17" t="inlineStr">
        <is>
          <t>CORTINA PLASTICA ACANALADA 20CM (METRO)</t>
        </is>
      </c>
      <c r="B325" t="n">
        <v>15</v>
      </c>
    </row>
    <row r="326">
      <c r="A326" s="17" t="inlineStr">
        <is>
          <t>CORTINAS GALVANIZADAS</t>
        </is>
      </c>
      <c r="B326" t="n">
        <v>15</v>
      </c>
    </row>
    <row r="327">
      <c r="A327" s="17" t="inlineStr">
        <is>
          <t>CUÑETE CEMENTO PLASTICO</t>
        </is>
      </c>
      <c r="B327" t="n">
        <v>0</v>
      </c>
    </row>
    <row r="328">
      <c r="A328" s="17" t="inlineStr">
        <is>
          <t>CUÑETE IMPERMEABILIZANTE BLANCO</t>
        </is>
      </c>
      <c r="B328" t="n">
        <v>1</v>
      </c>
    </row>
    <row r="329">
      <c r="A329" s="17" t="inlineStr">
        <is>
          <t>CUÑETE IMPERMEABILIZANTE GRIS</t>
        </is>
      </c>
      <c r="B329" t="n">
        <v>0</v>
      </c>
    </row>
    <row r="330">
      <c r="A330" s="17" t="inlineStr">
        <is>
          <t>CUÑETE PASTA PROFECIONAL</t>
        </is>
      </c>
      <c r="B330" t="n">
        <v>1</v>
      </c>
    </row>
    <row r="331">
      <c r="A331" s="17" t="inlineStr">
        <is>
          <t>CUÑETE PINTURA ALTO TRAFICO AMARILLO</t>
        </is>
      </c>
      <c r="B331" t="n">
        <v>0.25</v>
      </c>
    </row>
    <row r="332">
      <c r="A332" s="17" t="inlineStr">
        <is>
          <t>CUÑETE PINTURA CAUCHO BLANCO</t>
        </is>
      </c>
      <c r="B332" t="n">
        <v>19.5</v>
      </c>
    </row>
    <row r="333">
      <c r="A333" s="17" t="inlineStr">
        <is>
          <t>CUÑETE PINTURA CAUCHO GRIS CEMENTO</t>
        </is>
      </c>
      <c r="B333" t="n">
        <v>1</v>
      </c>
    </row>
    <row r="334">
      <c r="A334" s="17" t="inlineStr">
        <is>
          <t>CUÑETE PINTURA CAUCHO GRIS CLARO</t>
        </is>
      </c>
      <c r="B334" t="n">
        <v>3</v>
      </c>
    </row>
    <row r="335">
      <c r="A335" s="17" t="inlineStr">
        <is>
          <t>CUÑETE PINTURA CAUCHO NEGRO</t>
        </is>
      </c>
      <c r="B335" t="n">
        <v>13.25</v>
      </c>
    </row>
    <row r="336">
      <c r="A336" s="17" t="inlineStr">
        <is>
          <t>CUÑETE PINTURA CAUCHO VERDE GRANJA</t>
        </is>
      </c>
      <c r="B336" t="n">
        <v>7</v>
      </c>
    </row>
    <row r="337">
      <c r="A337" s="17" t="inlineStr">
        <is>
          <t>CUÑETE PINTURA ESMALTE BLANCO</t>
        </is>
      </c>
      <c r="B337" t="n">
        <v>1</v>
      </c>
    </row>
    <row r="338">
      <c r="A338" s="17" t="inlineStr">
        <is>
          <t>CUÑETE PINTURA ESMALTE VERDE GRANJA</t>
        </is>
      </c>
      <c r="B338" t="n">
        <v>4</v>
      </c>
    </row>
    <row r="339">
      <c r="A339" s="17" t="inlineStr">
        <is>
          <t>CURVA PARA TUBERIA ELECTRICA 1/2</t>
        </is>
      </c>
      <c r="B339" t="n">
        <v>0</v>
      </c>
    </row>
    <row r="340">
      <c r="A340" s="17" t="inlineStr">
        <is>
          <t>CURVA PARA TUBERIA ELECTRICA 3/4</t>
        </is>
      </c>
      <c r="B340" t="n">
        <v>95</v>
      </c>
    </row>
    <row r="341">
      <c r="A341" s="17" t="inlineStr">
        <is>
          <t>DISCO CONCRETO 4"</t>
        </is>
      </c>
      <c r="B341" t="n">
        <v>1</v>
      </c>
    </row>
    <row r="342">
      <c r="A342" s="17" t="inlineStr">
        <is>
          <t>DISCO PARA MADERA 7 1/4" 7/8" 4</t>
        </is>
      </c>
      <c r="B342" t="n">
        <v>1</v>
      </c>
    </row>
    <row r="343">
      <c r="A343" s="17" t="inlineStr">
        <is>
          <t>DISCO PARA MADERA 7 1/4" 7/8" 6</t>
        </is>
      </c>
      <c r="B343" t="n">
        <v>1</v>
      </c>
    </row>
    <row r="344">
      <c r="A344" s="17" t="inlineStr">
        <is>
          <t>DISCO PARA SIERRA CIRCULAR 4"</t>
        </is>
      </c>
      <c r="B344" t="n">
        <v>0</v>
      </c>
    </row>
    <row r="345">
      <c r="A345" s="17" t="inlineStr">
        <is>
          <t>EMBUDO PLASTICO GRANDE</t>
        </is>
      </c>
      <c r="B345" t="n">
        <v>1</v>
      </c>
    </row>
    <row r="346">
      <c r="A346" s="17" t="inlineStr">
        <is>
          <t>ESPATULA PLASTICA 4"</t>
        </is>
      </c>
      <c r="B346" t="n">
        <v>0</v>
      </c>
    </row>
    <row r="347">
      <c r="A347" s="17" t="inlineStr">
        <is>
          <t>ESPATULA PLASTICA 5"</t>
        </is>
      </c>
      <c r="B347" t="n">
        <v>0</v>
      </c>
    </row>
    <row r="348">
      <c r="A348" s="17" t="inlineStr">
        <is>
          <t>ESPUMA DE POLIUTERANO MULTIUSO</t>
        </is>
      </c>
      <c r="B348" t="n">
        <v>0</v>
      </c>
    </row>
    <row r="349">
      <c r="A349" s="17" t="inlineStr">
        <is>
          <t>ESTAÑO POR ROLLO 100GR 1MM</t>
        </is>
      </c>
      <c r="B349" t="n">
        <v>1</v>
      </c>
    </row>
    <row r="350">
      <c r="A350" s="17" t="inlineStr">
        <is>
          <t>EXTINTOR PEQUEÑO</t>
        </is>
      </c>
      <c r="B350" t="n">
        <v>10</v>
      </c>
    </row>
    <row r="351">
      <c r="A351" s="17" t="inlineStr">
        <is>
          <t>FILTRO DE AIRE PARA COMPRESOR</t>
        </is>
      </c>
      <c r="B351" t="n">
        <v>0</v>
      </c>
    </row>
    <row r="352">
      <c r="A352" s="17" t="inlineStr">
        <is>
          <t>FUNDA PARA MINI RODILLO 2"</t>
        </is>
      </c>
      <c r="B352" t="n">
        <v>10</v>
      </c>
    </row>
    <row r="353">
      <c r="A353" s="17" t="inlineStr">
        <is>
          <t>FUNDA PARA MINI RODILLO 3"</t>
        </is>
      </c>
      <c r="B353" t="n">
        <v>20</v>
      </c>
    </row>
    <row r="354">
      <c r="A354" s="17" t="inlineStr">
        <is>
          <t>FUNDA PARA RODILLO 4"</t>
        </is>
      </c>
      <c r="B354" t="n">
        <v>0</v>
      </c>
    </row>
    <row r="355">
      <c r="A355" s="17" t="inlineStr">
        <is>
          <t>FUNDA PARA RODILLO CAUCHO 9"</t>
        </is>
      </c>
      <c r="B355" t="n">
        <v>33</v>
      </c>
    </row>
    <row r="356">
      <c r="A356" s="17" t="inlineStr">
        <is>
          <t>GALON BARNIS</t>
        </is>
      </c>
      <c r="B356" t="n">
        <v>17.5</v>
      </c>
    </row>
    <row r="357">
      <c r="A357" s="17" t="inlineStr">
        <is>
          <t>GALON CEMENTO PLASTICO</t>
        </is>
      </c>
      <c r="B357" t="n">
        <v>0</v>
      </c>
    </row>
    <row r="358">
      <c r="A358" s="17" t="inlineStr">
        <is>
          <t>GALON FONDO ANTICORROCIVO GRIS OSCURO</t>
        </is>
      </c>
      <c r="B358" t="n">
        <v>2</v>
      </c>
    </row>
    <row r="359">
      <c r="A359" s="17" t="inlineStr">
        <is>
          <t>GALON FONDO ANTICORROCIVO NEGRO</t>
        </is>
      </c>
      <c r="B359" t="n">
        <v>7</v>
      </c>
    </row>
    <row r="360">
      <c r="A360" s="17" t="inlineStr">
        <is>
          <t>GALON IMPERMEABILIZANTE GRIS</t>
        </is>
      </c>
      <c r="B360" t="n">
        <v>0</v>
      </c>
    </row>
    <row r="361">
      <c r="A361" s="17" t="inlineStr">
        <is>
          <t>GALON PINTURA ALTO TRAFICO AMARILLO</t>
        </is>
      </c>
      <c r="B361" t="n">
        <v>25.5</v>
      </c>
    </row>
    <row r="362">
      <c r="A362" s="17" t="inlineStr">
        <is>
          <t>GALON PINTURA ALTO TRAFICO AZUL</t>
        </is>
      </c>
      <c r="B362" t="n">
        <v>2</v>
      </c>
    </row>
    <row r="363">
      <c r="A363" s="17" t="inlineStr">
        <is>
          <t>GALON PINTURA ALTO TRAFICO BLANCO</t>
        </is>
      </c>
      <c r="B363" t="n">
        <v>4.5</v>
      </c>
    </row>
    <row r="364">
      <c r="A364" s="17" t="inlineStr">
        <is>
          <t>GALON PINTURA CAUCHO AMARILLO DUNA</t>
        </is>
      </c>
      <c r="B364" t="n">
        <v>0</v>
      </c>
    </row>
    <row r="365">
      <c r="A365" s="17" t="inlineStr">
        <is>
          <t>GALON PINTURA CAUCHO AMARILLO REAL</t>
        </is>
      </c>
      <c r="B365" t="n">
        <v>0</v>
      </c>
    </row>
    <row r="366">
      <c r="A366" s="17" t="inlineStr">
        <is>
          <t>GALON PINTURA CAUCHO BLANCO</t>
        </is>
      </c>
      <c r="B366" t="n">
        <v>3</v>
      </c>
    </row>
    <row r="367">
      <c r="A367" s="17" t="inlineStr">
        <is>
          <t>GALON PINTURA CAUCHO MARRON CHOCOLATE</t>
        </is>
      </c>
      <c r="B367" t="n">
        <v>0</v>
      </c>
    </row>
    <row r="368">
      <c r="A368" s="17" t="inlineStr">
        <is>
          <t>GALON PINTURA EPOXY BLANCO</t>
        </is>
      </c>
      <c r="B368" t="n">
        <v>0</v>
      </c>
    </row>
    <row r="369">
      <c r="A369" s="17" t="inlineStr">
        <is>
          <t>GALON PINTURA EPOXY GRIS</t>
        </is>
      </c>
      <c r="B369" t="n">
        <v>17</v>
      </c>
    </row>
    <row r="370">
      <c r="A370" s="17" t="inlineStr">
        <is>
          <t>GALON PINTURA EPOXY GRIS RAL 7001</t>
        </is>
      </c>
      <c r="B370" t="n">
        <v>2</v>
      </c>
    </row>
    <row r="371">
      <c r="A371" s="17" t="inlineStr">
        <is>
          <t>GALON PINTURA ESMALTE ALUMINIO</t>
        </is>
      </c>
      <c r="B371" t="n">
        <v>2</v>
      </c>
    </row>
    <row r="372">
      <c r="A372" s="17" t="inlineStr">
        <is>
          <t>GALON PINTURA ESMALTE AMARILLO CATEPILLAR</t>
        </is>
      </c>
      <c r="B372" t="n">
        <v>3</v>
      </c>
    </row>
    <row r="373">
      <c r="A373" s="17" t="inlineStr">
        <is>
          <t>GALON PINTURA ESMALTE BLANCO</t>
        </is>
      </c>
      <c r="B373" t="n">
        <v>33</v>
      </c>
    </row>
    <row r="374">
      <c r="A374" s="17" t="inlineStr">
        <is>
          <t>GALON PINTURA ESMALTE GRIS CLARO</t>
        </is>
      </c>
      <c r="B374" t="n">
        <v>8</v>
      </c>
    </row>
    <row r="375">
      <c r="A375" s="17" t="inlineStr">
        <is>
          <t>GALON PINTURA ESMALTE GRIS MATE</t>
        </is>
      </c>
      <c r="B375" t="n">
        <v>4</v>
      </c>
    </row>
    <row r="376">
      <c r="A376" s="17" t="inlineStr">
        <is>
          <t>GALON PINTURA ESMALTE MARRON</t>
        </is>
      </c>
      <c r="B376" t="n">
        <v>1</v>
      </c>
    </row>
    <row r="377">
      <c r="A377" s="17" t="inlineStr">
        <is>
          <t>GALON PINTURA ESMALTE NEGRO</t>
        </is>
      </c>
      <c r="B377" t="n">
        <v>31.5</v>
      </c>
    </row>
    <row r="378">
      <c r="A378" s="17" t="inlineStr">
        <is>
          <t>GALON PINTURA ESMALTE VERDE GRANJA</t>
        </is>
      </c>
      <c r="B378" t="n">
        <v>18</v>
      </c>
    </row>
    <row r="379">
      <c r="A379" s="17" t="inlineStr">
        <is>
          <t>GALON PINTURA SATINADA BLANCO</t>
        </is>
      </c>
      <c r="B379" t="n">
        <v>0</v>
      </c>
    </row>
    <row r="380">
      <c r="A380" s="17" t="inlineStr">
        <is>
          <t>GALON PINTURA SATINADO AMARILLO</t>
        </is>
      </c>
      <c r="B380" t="n">
        <v>1</v>
      </c>
    </row>
    <row r="381">
      <c r="A381" s="17" t="inlineStr">
        <is>
          <t>GALON THINER ACRILICO</t>
        </is>
      </c>
      <c r="B381" t="n">
        <v>10</v>
      </c>
    </row>
    <row r="382">
      <c r="A382" s="17" t="inlineStr">
        <is>
          <t>GANCHO PARA EXTINTOR</t>
        </is>
      </c>
      <c r="B382" t="n">
        <v>43</v>
      </c>
    </row>
    <row r="383">
      <c r="A383" s="17" t="inlineStr">
        <is>
          <t>GRAPA P/ CABLE 2 X 10 PAQUETE 50 UND</t>
        </is>
      </c>
      <c r="B383" t="n">
        <v>1</v>
      </c>
    </row>
    <row r="384">
      <c r="A384" s="17" t="inlineStr">
        <is>
          <t>GUANTE DE TELA PUNTOS NEGROS X PAR</t>
        </is>
      </c>
      <c r="B384" t="n">
        <v>2</v>
      </c>
    </row>
    <row r="385">
      <c r="A385" s="17" t="inlineStr">
        <is>
          <t>HOJA DE SIERRA 7,25"</t>
        </is>
      </c>
      <c r="B385" t="n">
        <v>0</v>
      </c>
    </row>
    <row r="386">
      <c r="A386" s="17" t="inlineStr">
        <is>
          <t>JUEGO DE CUCHILLAS 10 PZA 18MM X 100MM</t>
        </is>
      </c>
      <c r="B386" t="n">
        <v>1</v>
      </c>
    </row>
    <row r="387">
      <c r="A387" s="17" t="inlineStr">
        <is>
          <t>JUEGO DE CUCHILLAS 61 X 19MM</t>
        </is>
      </c>
      <c r="B387" t="n">
        <v>1</v>
      </c>
    </row>
    <row r="388">
      <c r="A388" s="17" t="inlineStr">
        <is>
          <t>LAMINA DE ACRILICO 3MM TRANS 122CM X 244CM</t>
        </is>
      </c>
      <c r="B388" t="n">
        <v>0</v>
      </c>
    </row>
    <row r="389">
      <c r="A389" s="17" t="inlineStr">
        <is>
          <t>LENTE DE SEGURIDAD</t>
        </is>
      </c>
      <c r="B389" t="n">
        <v>0</v>
      </c>
    </row>
    <row r="390">
      <c r="A390" s="17" t="inlineStr">
        <is>
          <t>LIJA BANDA 4 X 24 G 120</t>
        </is>
      </c>
      <c r="B390" t="n">
        <v>1</v>
      </c>
    </row>
    <row r="391">
      <c r="A391" s="17" t="inlineStr">
        <is>
          <t>LISTON DE MADERA 4 X 4</t>
        </is>
      </c>
      <c r="B391" t="n">
        <v>40</v>
      </c>
    </row>
    <row r="392">
      <c r="A392" s="17" t="inlineStr">
        <is>
          <t>MACHIMBRADO PINO CALIDAD UNICA (METRO CUADRADO)</t>
        </is>
      </c>
      <c r="B392" t="n">
        <v>409</v>
      </c>
    </row>
    <row r="393">
      <c r="A393" s="17" t="inlineStr">
        <is>
          <t>MALLA CEDAZO 0,91 3 ORIFICIO POR PULGADA</t>
        </is>
      </c>
      <c r="B393" t="n">
        <v>50</v>
      </c>
    </row>
    <row r="394">
      <c r="A394" s="17" t="inlineStr">
        <is>
          <t>MANGUERA CON VALVULA PARA SACAR LIQUIDOS 1/2 X 1,75M</t>
        </is>
      </c>
      <c r="B394" t="n">
        <v>0</v>
      </c>
    </row>
    <row r="395">
      <c r="A395" s="17" t="inlineStr">
        <is>
          <t>MANGUERA ESPIRAL TRANSPARENTE 3/4 (METRO)</t>
        </is>
      </c>
      <c r="B395" t="n">
        <v>0</v>
      </c>
    </row>
    <row r="396">
      <c r="A396" s="17" t="inlineStr">
        <is>
          <t>MANGUERA TRANSPARENTE 3/4</t>
        </is>
      </c>
      <c r="B396" t="n">
        <v>8</v>
      </c>
    </row>
    <row r="397">
      <c r="A397" s="17" t="inlineStr">
        <is>
          <t>MANILLA P/PUERTA 96MM</t>
        </is>
      </c>
      <c r="B397" t="n">
        <v>4</v>
      </c>
    </row>
    <row r="398">
      <c r="A398" s="17" t="inlineStr">
        <is>
          <t>MANILLA P/PUERTA FIJA BLANCO</t>
        </is>
      </c>
      <c r="B398" t="n">
        <v>0</v>
      </c>
    </row>
    <row r="399">
      <c r="A399" s="17" t="inlineStr">
        <is>
          <t>MANTENIMIENTO DE BARITANTAQUE</t>
        </is>
      </c>
      <c r="B399" t="n">
        <v>1</v>
      </c>
    </row>
    <row r="400">
      <c r="A400" s="17" t="inlineStr">
        <is>
          <t>MECATE #3 3/16 (METRO)</t>
        </is>
      </c>
      <c r="B400" t="n">
        <v>10</v>
      </c>
    </row>
    <row r="401">
      <c r="A401" s="17" t="inlineStr">
        <is>
          <t>MECATE #9 5/16 (METRO)</t>
        </is>
      </c>
      <c r="B401" t="n">
        <v>20</v>
      </c>
    </row>
    <row r="402">
      <c r="A402" s="17" t="inlineStr">
        <is>
          <t>MECHA HSS 15/64</t>
        </is>
      </c>
      <c r="B402" t="n">
        <v>0</v>
      </c>
    </row>
    <row r="403">
      <c r="A403" s="17" t="inlineStr">
        <is>
          <t>MECHA HSS KRAFT DIN 338 - 10</t>
        </is>
      </c>
      <c r="B403" t="n">
        <v>2</v>
      </c>
    </row>
    <row r="404">
      <c r="A404" s="17" t="inlineStr">
        <is>
          <t>MELAMINA ROBLE 18MM 185 X 246</t>
        </is>
      </c>
      <c r="B404" t="n">
        <v>0</v>
      </c>
    </row>
    <row r="405">
      <c r="A405" s="17" t="inlineStr">
        <is>
          <t>METYLOSA SUPERGEL 50GR</t>
        </is>
      </c>
      <c r="B405" t="n">
        <v>0</v>
      </c>
    </row>
    <row r="406">
      <c r="A406" s="17" t="inlineStr">
        <is>
          <t>PARABICHOS DE ALUMINIO</t>
        </is>
      </c>
      <c r="B406" t="n">
        <v>11</v>
      </c>
    </row>
    <row r="407">
      <c r="A407" s="17" t="inlineStr">
        <is>
          <t>PASADOR GALVANIZADO 4"</t>
        </is>
      </c>
      <c r="B407" t="n">
        <v>4</v>
      </c>
    </row>
    <row r="408">
      <c r="A408" s="17" t="inlineStr">
        <is>
          <t>PEGA CENTRAL PARK 7000 GALON</t>
        </is>
      </c>
      <c r="B408" t="n">
        <v>1</v>
      </c>
    </row>
    <row r="409">
      <c r="A409" s="17" t="inlineStr">
        <is>
          <t>PEGA PVC  1/4 GALON</t>
        </is>
      </c>
      <c r="B409" t="n">
        <v>3</v>
      </c>
    </row>
    <row r="410">
      <c r="A410" s="17" t="inlineStr">
        <is>
          <t>PEGAMENTO DE FORMICA Y CHAPILLA 1/4 GALON</t>
        </is>
      </c>
      <c r="B410" t="n">
        <v>1</v>
      </c>
    </row>
    <row r="411">
      <c r="A411" s="17" t="inlineStr">
        <is>
          <t>PEGA-MIX TRANSPARENTE 35G</t>
        </is>
      </c>
      <c r="B411" t="n">
        <v>1</v>
      </c>
    </row>
    <row r="412">
      <c r="A412" s="17" t="inlineStr">
        <is>
          <t>PISTOLA P/ MANGUERA 3 VIAS</t>
        </is>
      </c>
      <c r="B412" t="n">
        <v>1</v>
      </c>
    </row>
    <row r="413">
      <c r="A413" s="17" t="inlineStr">
        <is>
          <t>POMO DE PECERA (PAR)</t>
        </is>
      </c>
      <c r="B413" t="n">
        <v>0</v>
      </c>
    </row>
    <row r="414">
      <c r="A414" s="17" t="inlineStr">
        <is>
          <t>RAMPLU DE ACERO EXPANCIBLE 1/2</t>
        </is>
      </c>
      <c r="B414" t="n">
        <v>90</v>
      </c>
    </row>
    <row r="415">
      <c r="A415" s="17" t="inlineStr">
        <is>
          <t>RAMPLU DE ACERO EXPANCIBLE 3/8</t>
        </is>
      </c>
      <c r="B415" t="n">
        <v>100</v>
      </c>
    </row>
    <row r="416">
      <c r="A416" s="17" t="inlineStr">
        <is>
          <t>RAMPLU NARANJA</t>
        </is>
      </c>
      <c r="B416" t="n">
        <v>1239</v>
      </c>
    </row>
    <row r="417">
      <c r="A417" s="17" t="inlineStr">
        <is>
          <t>RAMPLU VERDE</t>
        </is>
      </c>
      <c r="B417" t="n">
        <v>73</v>
      </c>
    </row>
    <row r="418">
      <c r="A418" s="17" t="inlineStr">
        <is>
          <t>RAMPLUG MARIPOSA C/TORNILLO 1/2</t>
        </is>
      </c>
      <c r="B418" t="n">
        <v>50</v>
      </c>
    </row>
    <row r="419">
      <c r="A419" s="17" t="inlineStr">
        <is>
          <t>RAMPLUG MARIPOSA C/TORNILLO 1/4</t>
        </is>
      </c>
      <c r="B419" t="n">
        <v>70</v>
      </c>
    </row>
    <row r="420">
      <c r="A420" s="17" t="inlineStr">
        <is>
          <t>RAMPLUG MARIPOSA C/TORNILLO 3/16</t>
        </is>
      </c>
      <c r="B420" t="n">
        <v>4</v>
      </c>
    </row>
    <row r="421">
      <c r="A421" s="17" t="inlineStr">
        <is>
          <t>RAMPLUG MARIPOSA C/TORNILLO 5/16</t>
        </is>
      </c>
      <c r="B421" t="n">
        <v>16</v>
      </c>
    </row>
    <row r="422">
      <c r="A422" s="17" t="inlineStr">
        <is>
          <t>RAMPLUS AZUL</t>
        </is>
      </c>
      <c r="B422" t="n">
        <v>0</v>
      </c>
    </row>
    <row r="423">
      <c r="A423" s="17" t="inlineStr">
        <is>
          <t>REGATON CUADRADO 3/4 X 3/4</t>
        </is>
      </c>
      <c r="B423" t="n">
        <v>0</v>
      </c>
    </row>
    <row r="424">
      <c r="A424" s="17" t="inlineStr">
        <is>
          <t>REGATON CUADRADO DE 1 X 1</t>
        </is>
      </c>
      <c r="B424" t="n">
        <v>300</v>
      </c>
    </row>
    <row r="425">
      <c r="A425" s="17" t="inlineStr">
        <is>
          <t>REGATON CUADRADO DE 1,5 X 1,5</t>
        </is>
      </c>
      <c r="B425" t="n">
        <v>399</v>
      </c>
    </row>
    <row r="426">
      <c r="A426" s="17" t="inlineStr">
        <is>
          <t>REGATON RECTANGULAR 2 X 1 INTERNO</t>
        </is>
      </c>
      <c r="B426" t="n">
        <v>200</v>
      </c>
    </row>
    <row r="427">
      <c r="A427" s="17" t="inlineStr">
        <is>
          <t>REGULADOR DE BOMBONA DE GAS ENROSCABLE</t>
        </is>
      </c>
      <c r="B427" t="n">
        <v>0</v>
      </c>
    </row>
    <row r="428">
      <c r="A428" s="17" t="inlineStr">
        <is>
          <t>RODAMIENTO 6003 2RS</t>
        </is>
      </c>
      <c r="B428" t="n">
        <v>4</v>
      </c>
    </row>
    <row r="429">
      <c r="A429" s="17" t="inlineStr">
        <is>
          <t>RODAMIENTO 6003 2RS C3</t>
        </is>
      </c>
      <c r="B429" t="n">
        <v>0</v>
      </c>
    </row>
    <row r="430">
      <c r="A430" s="17" t="inlineStr">
        <is>
          <t>RODAMIENTO 608 ZZ</t>
        </is>
      </c>
      <c r="B430" t="n">
        <v>4</v>
      </c>
    </row>
    <row r="431">
      <c r="A431" s="17" t="inlineStr">
        <is>
          <t>RODAMIENTO 620 IRS</t>
        </is>
      </c>
      <c r="B431" t="n">
        <v>0</v>
      </c>
    </row>
    <row r="432">
      <c r="A432" s="17" t="inlineStr">
        <is>
          <t>RODAMIENTO 6200 2RS</t>
        </is>
      </c>
      <c r="B432" t="n">
        <v>0</v>
      </c>
    </row>
    <row r="433">
      <c r="A433" s="17" t="inlineStr">
        <is>
          <t>RODAMIENTO 6204 2RS/C3</t>
        </is>
      </c>
      <c r="B433" t="n">
        <v>0</v>
      </c>
    </row>
    <row r="434">
      <c r="A434" s="17" t="inlineStr">
        <is>
          <t>RODAMIENTO 6206 2RS1/C3</t>
        </is>
      </c>
      <c r="B434" t="n">
        <v>0</v>
      </c>
    </row>
    <row r="435">
      <c r="A435" s="17" t="inlineStr">
        <is>
          <t>RODAMIENTO 6300 2RS</t>
        </is>
      </c>
      <c r="B435" t="n">
        <v>0</v>
      </c>
    </row>
    <row r="436">
      <c r="A436" s="17" t="inlineStr">
        <is>
          <t>RODAMIENTO 6306 2RS1/C3</t>
        </is>
      </c>
      <c r="B436" t="n">
        <v>0</v>
      </c>
    </row>
    <row r="437">
      <c r="A437" s="17" t="inlineStr">
        <is>
          <t>RODAMIENTO 6805</t>
        </is>
      </c>
      <c r="B437" t="n">
        <v>1</v>
      </c>
    </row>
    <row r="438">
      <c r="A438" s="17" t="inlineStr">
        <is>
          <t>RODILLO CON FUNDA 2"</t>
        </is>
      </c>
      <c r="B438" t="n">
        <v>0</v>
      </c>
    </row>
    <row r="439">
      <c r="A439" s="17" t="inlineStr">
        <is>
          <t>RODILLO PARA TRASPALETA 80 X 70</t>
        </is>
      </c>
      <c r="B439" t="n">
        <v>32</v>
      </c>
    </row>
    <row r="440">
      <c r="A440" s="17" t="inlineStr">
        <is>
          <t>RUEDA 1 1/2" N/N GIRATORIA</t>
        </is>
      </c>
      <c r="B440" t="n">
        <v>0</v>
      </c>
    </row>
    <row r="441">
      <c r="A441" s="17" t="inlineStr">
        <is>
          <t>RUEDA 5" CALIDAD SUP.</t>
        </is>
      </c>
      <c r="B441" t="n">
        <v>0</v>
      </c>
    </row>
    <row r="442">
      <c r="A442" s="17" t="inlineStr">
        <is>
          <t>RUEDA CARRO SUPERMERCADO 5"</t>
        </is>
      </c>
      <c r="B442" t="n">
        <v>0</v>
      </c>
    </row>
    <row r="443">
      <c r="A443" s="17" t="inlineStr">
        <is>
          <t>RUEDA CON BASE GIRATORIA 5" CALIDAD SUP.</t>
        </is>
      </c>
      <c r="B443" t="n">
        <v>0</v>
      </c>
    </row>
    <row r="444">
      <c r="A444" s="17" t="inlineStr">
        <is>
          <t>RUEDA NEUMATICA 10" C/RIN DE METAL</t>
        </is>
      </c>
      <c r="B444" t="n">
        <v>12</v>
      </c>
    </row>
    <row r="445">
      <c r="A445" s="17" t="inlineStr">
        <is>
          <t>RUEDA NYLON 4X2 FIJA FERK</t>
        </is>
      </c>
      <c r="B445" t="n">
        <v>10</v>
      </c>
    </row>
    <row r="446">
      <c r="A446" s="17" t="inlineStr">
        <is>
          <t>RUEDA NYLON 4X2 GIRATORIA FERK</t>
        </is>
      </c>
      <c r="B446" t="n">
        <v>16</v>
      </c>
    </row>
    <row r="447">
      <c r="A447" s="17" t="inlineStr">
        <is>
          <t xml:space="preserve">RUEDA NYLON 4X2 SUELTA </t>
        </is>
      </c>
      <c r="B447" t="n">
        <v>0</v>
      </c>
    </row>
    <row r="448">
      <c r="A448" s="17" t="inlineStr">
        <is>
          <t>RUEDA P/CARRUCHA 10" MACIZA</t>
        </is>
      </c>
      <c r="B448" t="n">
        <v>4</v>
      </c>
    </row>
    <row r="449">
      <c r="A449" s="17" t="inlineStr">
        <is>
          <t>RUEDA SUELTAB APH 7"</t>
        </is>
      </c>
      <c r="B449" t="n">
        <v>1</v>
      </c>
    </row>
    <row r="450">
      <c r="A450" s="17" t="inlineStr">
        <is>
          <t>S4S TECA Y TROPICAL (METRO CUADRADO)</t>
        </is>
      </c>
      <c r="B450" t="n">
        <v>60</v>
      </c>
    </row>
    <row r="451">
      <c r="A451" s="17" t="inlineStr">
        <is>
          <t>SELLADOR POLIURETANO NEGRO</t>
        </is>
      </c>
      <c r="B451" t="n">
        <v>1</v>
      </c>
    </row>
    <row r="452">
      <c r="A452" s="17" t="inlineStr">
        <is>
          <t>SILICON DE TUBO</t>
        </is>
      </c>
      <c r="B452" t="n">
        <v>0</v>
      </c>
    </row>
    <row r="453">
      <c r="A453" s="17" t="inlineStr">
        <is>
          <t>SILICON GRIS 99G</t>
        </is>
      </c>
      <c r="B453" t="n">
        <v>1</v>
      </c>
    </row>
    <row r="454">
      <c r="A454" s="17" t="inlineStr">
        <is>
          <t>SOLDADURA LIQUIDA PVC</t>
        </is>
      </c>
      <c r="B454" t="n">
        <v>6</v>
      </c>
    </row>
    <row r="455">
      <c r="A455" s="17" t="inlineStr">
        <is>
          <t>SOLDADURA LIQUIDA PVC PEQ</t>
        </is>
      </c>
      <c r="B455" t="n">
        <v>1</v>
      </c>
    </row>
    <row r="456">
      <c r="A456" s="17" t="inlineStr">
        <is>
          <t>SOPORTE FIJO JUNIOR 250 PARA RUEDA NEUMATICA</t>
        </is>
      </c>
      <c r="B456" t="n">
        <v>6</v>
      </c>
    </row>
    <row r="457">
      <c r="A457" s="17" t="inlineStr">
        <is>
          <t>SOPORTE JUNIOR GIRATORIO 10" PARA RUEDA NEUM</t>
        </is>
      </c>
      <c r="B457" t="n">
        <v>6</v>
      </c>
    </row>
    <row r="458">
      <c r="A458" s="17" t="inlineStr">
        <is>
          <t>TABLA 2,5 X 20 X 366CM</t>
        </is>
      </c>
      <c r="B458" t="n">
        <v>350</v>
      </c>
    </row>
    <row r="459">
      <c r="A459" s="17" t="inlineStr">
        <is>
          <t>TABLA 2,5 X 25 X 366CM</t>
        </is>
      </c>
      <c r="B459" t="n">
        <v>350</v>
      </c>
    </row>
    <row r="460">
      <c r="A460" s="17" t="inlineStr">
        <is>
          <t>TAPA CIEGA 30 X 30</t>
        </is>
      </c>
      <c r="B460" t="n">
        <v>1</v>
      </c>
    </row>
    <row r="461">
      <c r="A461" s="17" t="inlineStr">
        <is>
          <t>TAPA CIEGA DE BRONCE 4"</t>
        </is>
      </c>
      <c r="B461" t="n">
        <v>0</v>
      </c>
    </row>
    <row r="462">
      <c r="A462" s="17" t="inlineStr">
        <is>
          <t>TAPA CUADRADA 4 X 4</t>
        </is>
      </c>
      <c r="B462" t="n">
        <v>7</v>
      </c>
    </row>
    <row r="463">
      <c r="A463" s="17" t="inlineStr">
        <is>
          <t>TAPA REDONDA 3"</t>
        </is>
      </c>
      <c r="B463" t="n">
        <v>0</v>
      </c>
    </row>
    <row r="464">
      <c r="A464" s="17" t="inlineStr">
        <is>
          <t>TEFLON 3/4 15 M GRANDE</t>
        </is>
      </c>
      <c r="B464" t="n">
        <v>8</v>
      </c>
    </row>
    <row r="465">
      <c r="A465" s="17" t="inlineStr">
        <is>
          <t>TEIPE</t>
        </is>
      </c>
      <c r="B465" t="n">
        <v>61</v>
      </c>
    </row>
    <row r="466">
      <c r="A466" s="17" t="inlineStr">
        <is>
          <t>TIJERA MULTIFUNCIONAL 9" TOTAL</t>
        </is>
      </c>
      <c r="B466" t="n">
        <v>2</v>
      </c>
    </row>
    <row r="467">
      <c r="A467" s="17" t="inlineStr">
        <is>
          <t>TIJERA PARA PODAR 8"</t>
        </is>
      </c>
      <c r="B467" t="n">
        <v>0</v>
      </c>
    </row>
    <row r="468">
      <c r="A468" s="17" t="inlineStr">
        <is>
          <t>TIRRA 300MM 5"</t>
        </is>
      </c>
      <c r="B468" t="n">
        <v>1500</v>
      </c>
    </row>
    <row r="469">
      <c r="A469" s="17" t="inlineStr">
        <is>
          <t>TIRRA 7,2 X 200MM 8"</t>
        </is>
      </c>
      <c r="B469" t="n">
        <v>100</v>
      </c>
    </row>
    <row r="470">
      <c r="A470" s="17" t="inlineStr">
        <is>
          <t>TIRRA BLANCO 3.6 X 200MM 8" (UNIDAD)</t>
        </is>
      </c>
      <c r="B470" t="n">
        <v>200</v>
      </c>
    </row>
    <row r="471">
      <c r="A471" s="17" t="inlineStr">
        <is>
          <t>TIRRA BLANCO 4.8 X 250MM (UNIDAD)</t>
        </is>
      </c>
      <c r="B471" t="n">
        <v>0</v>
      </c>
    </row>
    <row r="472">
      <c r="A472" s="17" t="inlineStr">
        <is>
          <t>TIRRA BLANCO 4.8 X 350MM (UNIDAD)</t>
        </is>
      </c>
      <c r="B472" t="n">
        <v>308</v>
      </c>
    </row>
    <row r="473">
      <c r="A473" s="17" t="inlineStr">
        <is>
          <t>TIRRA NEGRO 4.8 X 380MM (UNIDAD)</t>
        </is>
      </c>
      <c r="B473" t="n">
        <v>0</v>
      </c>
    </row>
    <row r="474">
      <c r="A474" s="17" t="inlineStr">
        <is>
          <t>TIRRO BLANCO LUMISTAR 1" X 30 M</t>
        </is>
      </c>
      <c r="B474" t="n">
        <v>3</v>
      </c>
    </row>
    <row r="475">
      <c r="A475" s="17" t="inlineStr">
        <is>
          <t>TIZA PARA HERRERO</t>
        </is>
      </c>
      <c r="B475" t="n">
        <v>1</v>
      </c>
    </row>
    <row r="476">
      <c r="A476" s="17" t="inlineStr">
        <is>
          <t>TORNILLO A/R PLANA 12 X 1</t>
        </is>
      </c>
      <c r="B476" t="n">
        <v>3</v>
      </c>
    </row>
    <row r="477">
      <c r="A477" s="17" t="inlineStr">
        <is>
          <t>TORNILLO A/R PLANA 12 X 11/4</t>
        </is>
      </c>
      <c r="B477" t="n">
        <v>517</v>
      </c>
    </row>
    <row r="478">
      <c r="A478" s="17" t="inlineStr">
        <is>
          <t>TORNILLO A/R PLANA 12 X 2</t>
        </is>
      </c>
      <c r="B478" t="n">
        <v>3</v>
      </c>
    </row>
    <row r="479">
      <c r="A479" s="17" t="inlineStr">
        <is>
          <t>TORNILLO A/R PLANA 12 X 3</t>
        </is>
      </c>
      <c r="B479" t="n">
        <v>2</v>
      </c>
    </row>
    <row r="480">
      <c r="A480" s="17" t="inlineStr">
        <is>
          <t>TORNILLO A/R PLANA 14 X 1</t>
        </is>
      </c>
      <c r="B480" t="n">
        <v>2</v>
      </c>
    </row>
    <row r="481">
      <c r="A481" s="17" t="inlineStr">
        <is>
          <t>TORNILLO A/R PLANA 8 X 11/4</t>
        </is>
      </c>
      <c r="B481" t="n">
        <v>0</v>
      </c>
    </row>
    <row r="482">
      <c r="A482" s="17" t="inlineStr">
        <is>
          <t>TORNILLO AUTO ENROSCABLE 3X25MM</t>
        </is>
      </c>
      <c r="B482" t="n">
        <v>600</v>
      </c>
    </row>
    <row r="483">
      <c r="A483" s="17" t="inlineStr">
        <is>
          <t>TORNILLO AUTO ENROSCABLE 6X25MM</t>
        </is>
      </c>
      <c r="B483" t="n">
        <v>500</v>
      </c>
    </row>
    <row r="484">
      <c r="A484" s="17" t="inlineStr">
        <is>
          <t>TORNILLO AUTO ENROSCABLE C/HEX 12MM X 1,5</t>
        </is>
      </c>
      <c r="B484" t="n">
        <v>20</v>
      </c>
    </row>
    <row r="485">
      <c r="A485" s="17" t="inlineStr">
        <is>
          <t>TORNILLO AUTO ENROSCABLE P/ TECHO 14 X 1"</t>
        </is>
      </c>
      <c r="B485" t="n">
        <v>600</v>
      </c>
    </row>
    <row r="486">
      <c r="A486" s="17" t="inlineStr">
        <is>
          <t>TORNILLO C/HEX 10-1.50 X 80</t>
        </is>
      </c>
      <c r="B486" t="n">
        <v>58</v>
      </c>
    </row>
    <row r="487">
      <c r="A487" s="17" t="inlineStr">
        <is>
          <t>TORNILLO C/HEX 5/16-18 X 3/4</t>
        </is>
      </c>
      <c r="B487" t="n">
        <v>145</v>
      </c>
    </row>
    <row r="488">
      <c r="A488" s="17" t="inlineStr">
        <is>
          <t>TORNILLO DE ALTA RESISTENCIA CON TUERCA 4"</t>
        </is>
      </c>
      <c r="B488" t="n">
        <v>0</v>
      </c>
    </row>
    <row r="489">
      <c r="A489" s="17" t="inlineStr">
        <is>
          <t>TORNILLO DRAYWALL 1"</t>
        </is>
      </c>
      <c r="B489" t="n">
        <v>6400</v>
      </c>
    </row>
    <row r="490">
      <c r="A490" s="17" t="inlineStr">
        <is>
          <t>TORNILLO DRAYWALL 1.5"</t>
        </is>
      </c>
      <c r="B490" t="n">
        <v>8750</v>
      </c>
    </row>
    <row r="491">
      <c r="A491" s="17" t="inlineStr">
        <is>
          <t>TORNILLO DRAYWALL 3"</t>
        </is>
      </c>
      <c r="B491" t="n">
        <v>0</v>
      </c>
    </row>
    <row r="492">
      <c r="A492" s="17" t="inlineStr">
        <is>
          <t>TORNILLO DRAYWALL 6 X 11/4</t>
        </is>
      </c>
      <c r="B492" t="n">
        <v>300</v>
      </c>
    </row>
    <row r="493">
      <c r="A493" s="17" t="inlineStr">
        <is>
          <t>TORNILLO DRAYWALL 6 X 2,5</t>
        </is>
      </c>
      <c r="B493" t="n">
        <v>100</v>
      </c>
    </row>
    <row r="494">
      <c r="A494" s="17" t="inlineStr">
        <is>
          <t>TORNILLO DRAYWALL 7/16 GARRAPATA</t>
        </is>
      </c>
      <c r="B494" t="n">
        <v>646</v>
      </c>
    </row>
    <row r="495">
      <c r="A495" s="17" t="inlineStr">
        <is>
          <t>TORNILLO ESTUFA C/REDONDA 10-24 X 3/8</t>
        </is>
      </c>
      <c r="B495" t="n">
        <v>0</v>
      </c>
    </row>
    <row r="496">
      <c r="A496" s="17" t="inlineStr">
        <is>
          <t>TORNILLO HEXAGONAL 80 X 20</t>
        </is>
      </c>
      <c r="B496" t="n">
        <v>0</v>
      </c>
    </row>
    <row r="497">
      <c r="A497" s="17" t="inlineStr">
        <is>
          <t>TORNILLO HEXAGONAL 80 X 40</t>
        </is>
      </c>
      <c r="B497" t="n">
        <v>0</v>
      </c>
    </row>
    <row r="498">
      <c r="A498" s="17" t="inlineStr">
        <is>
          <t>TORNILLO HEXGONAL GRUESO 5/16 X 3/4</t>
        </is>
      </c>
      <c r="B498" t="n">
        <v>0</v>
      </c>
    </row>
    <row r="499">
      <c r="A499" s="17" t="inlineStr">
        <is>
          <t>TORNILLO PARA REJILLA</t>
        </is>
      </c>
      <c r="B499" t="n">
        <v>6</v>
      </c>
    </row>
    <row r="500">
      <c r="A500" s="17" t="inlineStr">
        <is>
          <t>TORNILLO PARA VISAGRA DE PECERA</t>
        </is>
      </c>
      <c r="B500" t="n">
        <v>4</v>
      </c>
    </row>
    <row r="501">
      <c r="A501" s="17" t="inlineStr">
        <is>
          <t>TRABA ROSCA AZUL</t>
        </is>
      </c>
      <c r="B501" t="n">
        <v>4</v>
      </c>
    </row>
    <row r="502">
      <c r="A502" s="17" t="inlineStr">
        <is>
          <t>TRAMPAGRASA EN ACERO 430</t>
        </is>
      </c>
      <c r="B502" t="n">
        <v>2</v>
      </c>
    </row>
    <row r="503">
      <c r="A503" s="17" t="inlineStr">
        <is>
          <t>TUERCA HEX 10-1.50</t>
        </is>
      </c>
      <c r="B503" t="n">
        <v>58</v>
      </c>
    </row>
    <row r="504">
      <c r="A504" s="17" t="inlineStr">
        <is>
          <t>TUERCA HEX 5/16-18</t>
        </is>
      </c>
      <c r="B504" t="n">
        <v>195</v>
      </c>
    </row>
    <row r="505">
      <c r="A505" s="17" t="inlineStr">
        <is>
          <t>TUERCA HEXAGONAL G2 GRUESO 1/2</t>
        </is>
      </c>
      <c r="B505" t="n">
        <v>90</v>
      </c>
    </row>
    <row r="506">
      <c r="A506" s="17" t="inlineStr">
        <is>
          <t>TUERCA HEXAGONAL G2 GRUESO 1/4</t>
        </is>
      </c>
      <c r="B506" t="n">
        <v>10</v>
      </c>
    </row>
    <row r="507">
      <c r="A507" s="17" t="inlineStr">
        <is>
          <t>YESO SACO 25KG</t>
        </is>
      </c>
      <c r="B507" t="n">
        <v>1</v>
      </c>
    </row>
    <row r="508">
      <c r="A508" s="10" t="inlineStr">
        <is>
          <t>HERRAMIENTA</t>
        </is>
      </c>
      <c r="B508" t="n">
        <v>126</v>
      </c>
    </row>
    <row r="509">
      <c r="A509" s="17" t="inlineStr">
        <is>
          <t>ALICATE DE PRESION TIPO CHAPALETA</t>
        </is>
      </c>
      <c r="B509" t="n">
        <v>0</v>
      </c>
    </row>
    <row r="510">
      <c r="A510" s="17" t="inlineStr">
        <is>
          <t>ALICATE PIQUETA 6" EXXEL</t>
        </is>
      </c>
      <c r="B510" t="n">
        <v>0</v>
      </c>
    </row>
    <row r="511">
      <c r="A511" s="17" t="inlineStr">
        <is>
          <t>ALICATE PUNTA LARGA AISLADO</t>
        </is>
      </c>
      <c r="B511" t="n">
        <v>1</v>
      </c>
    </row>
    <row r="512">
      <c r="A512" s="17" t="inlineStr">
        <is>
          <t>ARNE DE SEGURIDAD</t>
        </is>
      </c>
      <c r="B512" t="n">
        <v>0</v>
      </c>
    </row>
    <row r="513">
      <c r="A513" s="17" t="inlineStr">
        <is>
          <t>BOMBA DE VACIO GRANDE</t>
        </is>
      </c>
      <c r="B513" t="n">
        <v>0</v>
      </c>
    </row>
    <row r="514">
      <c r="A514" s="17" t="inlineStr">
        <is>
          <t>BROCA DE CONCRETO 5/16 X 30CM</t>
        </is>
      </c>
      <c r="B514" t="n">
        <v>0</v>
      </c>
    </row>
    <row r="515">
      <c r="A515" s="17" t="inlineStr">
        <is>
          <t>BROCA PARA CONCRETO 1/2 LARGA</t>
        </is>
      </c>
      <c r="B515" t="n">
        <v>0</v>
      </c>
    </row>
    <row r="516">
      <c r="A516" s="17" t="inlineStr">
        <is>
          <t>BROCA PARA CONCRETO 1/4 CORTA</t>
        </is>
      </c>
      <c r="B516" t="n">
        <v>2</v>
      </c>
    </row>
    <row r="517">
      <c r="A517" s="17" t="inlineStr">
        <is>
          <t>BROCA PARA CONCRETO 1/4 LARGA</t>
        </is>
      </c>
      <c r="B517" t="n">
        <v>0</v>
      </c>
    </row>
    <row r="518">
      <c r="A518" s="17" t="inlineStr">
        <is>
          <t>BROCA PARA CONCRETO 3/16</t>
        </is>
      </c>
      <c r="B518" t="n">
        <v>0</v>
      </c>
    </row>
    <row r="519">
      <c r="A519" s="17" t="inlineStr">
        <is>
          <t>BROCA PARA CONCRETO 3/8</t>
        </is>
      </c>
      <c r="B519" t="n">
        <v>1</v>
      </c>
    </row>
    <row r="520">
      <c r="A520" s="17" t="inlineStr">
        <is>
          <t>BROCA PARA CONCRETO 3/8 LARGA</t>
        </is>
      </c>
      <c r="B520" t="n">
        <v>0</v>
      </c>
    </row>
    <row r="521">
      <c r="A521" s="17" t="inlineStr">
        <is>
          <t>BROCA PARA CONCRETO 5/16 CORTA</t>
        </is>
      </c>
      <c r="B521" t="n">
        <v>0</v>
      </c>
    </row>
    <row r="522">
      <c r="A522" s="17" t="inlineStr">
        <is>
          <t>BROCA PARA CONCRETO 5/16 LARGA</t>
        </is>
      </c>
      <c r="B522" t="n">
        <v>0</v>
      </c>
    </row>
    <row r="523">
      <c r="A523" s="17" t="inlineStr">
        <is>
          <t>BROCA PARA CONCRETO 5/32</t>
        </is>
      </c>
      <c r="B523" t="n">
        <v>0</v>
      </c>
    </row>
    <row r="524">
      <c r="A524" s="17" t="inlineStr">
        <is>
          <t>BROCA PARA CONCRETO 5/8</t>
        </is>
      </c>
      <c r="B524" t="n">
        <v>0</v>
      </c>
    </row>
    <row r="525">
      <c r="A525" s="17" t="inlineStr">
        <is>
          <t>BROCA PARA CONCRETO 9/16</t>
        </is>
      </c>
      <c r="B525" t="n">
        <v>0</v>
      </c>
    </row>
    <row r="526">
      <c r="A526" s="17" t="inlineStr">
        <is>
          <t>BROCHA 2" ECO</t>
        </is>
      </c>
      <c r="B526" t="n">
        <v>6</v>
      </c>
    </row>
    <row r="527">
      <c r="A527" s="17" t="inlineStr">
        <is>
          <t>BROCHA 3" ECO</t>
        </is>
      </c>
      <c r="B527" t="n">
        <v>4</v>
      </c>
    </row>
    <row r="528">
      <c r="A528" s="17" t="inlineStr">
        <is>
          <t>BROCHA 4" ECO</t>
        </is>
      </c>
      <c r="B528" t="n">
        <v>12</v>
      </c>
    </row>
    <row r="529">
      <c r="A529" s="17" t="inlineStr">
        <is>
          <t>CABLE AUXILIARES TOTAL</t>
        </is>
      </c>
      <c r="B529" t="n">
        <v>0</v>
      </c>
    </row>
    <row r="530">
      <c r="A530" s="17" t="inlineStr">
        <is>
          <t>CARGADOR DE BATERIA INTELIGENTE</t>
        </is>
      </c>
      <c r="B530" t="n">
        <v>0</v>
      </c>
    </row>
    <row r="531">
      <c r="A531" s="17" t="inlineStr">
        <is>
          <t>CAUTIN ELECTRICO 60W 110V</t>
        </is>
      </c>
      <c r="B531" t="n">
        <v>1</v>
      </c>
    </row>
    <row r="532">
      <c r="A532" s="17" t="inlineStr">
        <is>
          <t>CEPILLO DE ALBAÑILERIA</t>
        </is>
      </c>
      <c r="B532" t="n">
        <v>0</v>
      </c>
    </row>
    <row r="533">
      <c r="A533" s="17" t="inlineStr">
        <is>
          <t>CINCEL CON PROTECTOR</t>
        </is>
      </c>
      <c r="B533" t="n">
        <v>0</v>
      </c>
    </row>
    <row r="534">
      <c r="A534" s="17" t="inlineStr">
        <is>
          <t>CINTA METRICA 10M WOKIN</t>
        </is>
      </c>
      <c r="B534" t="n">
        <v>1</v>
      </c>
    </row>
    <row r="535">
      <c r="A535" s="17" t="inlineStr">
        <is>
          <t>CINTA METRICA 10M X 25MM</t>
        </is>
      </c>
      <c r="B535" t="n">
        <v>3</v>
      </c>
    </row>
    <row r="536">
      <c r="A536" s="17" t="inlineStr">
        <is>
          <t>CIZALLA MANUAL 42"</t>
        </is>
      </c>
      <c r="B536" t="n">
        <v>0</v>
      </c>
    </row>
    <row r="537">
      <c r="A537" s="17" t="inlineStr">
        <is>
          <t>CONECTOR DE HIDRO JET</t>
        </is>
      </c>
      <c r="B537" t="n">
        <v>0</v>
      </c>
    </row>
    <row r="538">
      <c r="A538" s="17" t="inlineStr">
        <is>
          <t>CORTADOR DE TUBO</t>
        </is>
      </c>
      <c r="B538" t="n">
        <v>0</v>
      </c>
    </row>
    <row r="539">
      <c r="A539" s="17" t="inlineStr">
        <is>
          <t>CORTADOR DE VIDRIO MANUAL</t>
        </is>
      </c>
      <c r="B539" t="n">
        <v>0</v>
      </c>
    </row>
    <row r="540">
      <c r="A540" s="17" t="inlineStr">
        <is>
          <t>CRIMPADORA HIDRAULICA</t>
        </is>
      </c>
      <c r="B540" t="n">
        <v>0</v>
      </c>
    </row>
    <row r="541">
      <c r="A541" s="17" t="inlineStr">
        <is>
          <t>CUCHARA DE ALBAÑILERIA GRANDE</t>
        </is>
      </c>
      <c r="B541" t="n">
        <v>0</v>
      </c>
    </row>
    <row r="542">
      <c r="A542" s="17" t="inlineStr">
        <is>
          <t>DADO PARA TALADRO 8MM</t>
        </is>
      </c>
      <c r="B542" t="n">
        <v>4</v>
      </c>
    </row>
    <row r="543">
      <c r="A543" s="17" t="inlineStr">
        <is>
          <t>DESTORNILLADOR DE PALA ELECTRICISTA</t>
        </is>
      </c>
      <c r="B543" t="n">
        <v>0</v>
      </c>
    </row>
    <row r="544">
      <c r="A544" s="17" t="inlineStr">
        <is>
          <t>DESTORNILLADOR DE PALA INC-CO</t>
        </is>
      </c>
      <c r="B544" t="n">
        <v>0</v>
      </c>
    </row>
    <row r="545">
      <c r="A545" s="17" t="inlineStr">
        <is>
          <t>DESTORNILLADOR DE PALA MEDIANO</t>
        </is>
      </c>
      <c r="B545" t="n">
        <v>0</v>
      </c>
    </row>
    <row r="546">
      <c r="A546" s="17" t="inlineStr">
        <is>
          <t>DESTORNILLADOR DE PALA PEQ.</t>
        </is>
      </c>
      <c r="B546" t="n">
        <v>0</v>
      </c>
    </row>
    <row r="547">
      <c r="A547" s="17" t="inlineStr">
        <is>
          <t>DESTORNILLADOR RELOJERO 1,5 X 50</t>
        </is>
      </c>
      <c r="B547" t="n">
        <v>0</v>
      </c>
    </row>
    <row r="548">
      <c r="A548" s="17" t="inlineStr">
        <is>
          <t>DESTORNILLADOR RELOJERO 2,5 X 50</t>
        </is>
      </c>
      <c r="B548" t="n">
        <v>0</v>
      </c>
    </row>
    <row r="549">
      <c r="A549" s="17" t="inlineStr">
        <is>
          <t>DESTORNILLADOR RELOJERO 3 X 50</t>
        </is>
      </c>
      <c r="B549" t="n">
        <v>0</v>
      </c>
    </row>
    <row r="550">
      <c r="A550" s="17" t="inlineStr">
        <is>
          <t>DESTORNILLADOR RELOJERO PH000 X 50</t>
        </is>
      </c>
      <c r="B550" t="n">
        <v>0</v>
      </c>
    </row>
    <row r="551">
      <c r="A551" s="17" t="inlineStr">
        <is>
          <t>DESTORNILLADOR RELOJERO T10 X 50</t>
        </is>
      </c>
      <c r="B551" t="n">
        <v>0</v>
      </c>
    </row>
    <row r="552">
      <c r="A552" s="17" t="inlineStr">
        <is>
          <t>DESTORNILLADOR RELOJERO T6 X 50</t>
        </is>
      </c>
      <c r="B552" t="n">
        <v>0</v>
      </c>
    </row>
    <row r="553">
      <c r="A553" s="17" t="inlineStr">
        <is>
          <t>DESTORNILLADOR RELOJERO T8 X 50</t>
        </is>
      </c>
      <c r="B553" t="n">
        <v>0</v>
      </c>
    </row>
    <row r="554">
      <c r="A554" s="17" t="inlineStr">
        <is>
          <t>DESTORNILLADOR/TALADRO INALAMBRICO RYOBI ONE+</t>
        </is>
      </c>
      <c r="B554" t="n">
        <v>0</v>
      </c>
    </row>
    <row r="555">
      <c r="A555" s="17" t="inlineStr">
        <is>
          <t>DOBLADORA MANUAL DE TUBOS</t>
        </is>
      </c>
      <c r="B555" t="n">
        <v>0</v>
      </c>
    </row>
    <row r="556">
      <c r="A556" s="17" t="inlineStr">
        <is>
          <t>ENGRASADORA MANUAL</t>
        </is>
      </c>
      <c r="B556" t="n">
        <v>0</v>
      </c>
    </row>
    <row r="557">
      <c r="A557" s="17" t="inlineStr">
        <is>
          <t>ESCALERA DE ALUMINIO 7 PELDAÑOS</t>
        </is>
      </c>
      <c r="B557" t="n">
        <v>1</v>
      </c>
    </row>
    <row r="558">
      <c r="A558" s="17" t="inlineStr">
        <is>
          <t>ESMERIL 1100 W</t>
        </is>
      </c>
      <c r="B558" t="n">
        <v>1</v>
      </c>
    </row>
    <row r="559">
      <c r="A559" s="17" t="inlineStr">
        <is>
          <t>ESPATULA DE METAL 60 MM TOTAL</t>
        </is>
      </c>
      <c r="B559" t="n">
        <v>1</v>
      </c>
    </row>
    <row r="560">
      <c r="A560" s="17" t="inlineStr">
        <is>
          <t>ESPATULA GRANDE</t>
        </is>
      </c>
      <c r="B560" t="n">
        <v>0</v>
      </c>
    </row>
    <row r="561">
      <c r="A561" s="17" t="inlineStr">
        <is>
          <t>ESPATULA PEQ.</t>
        </is>
      </c>
      <c r="B561" t="n">
        <v>0</v>
      </c>
    </row>
    <row r="562">
      <c r="A562" s="17" t="inlineStr">
        <is>
          <t>ESTAÑO (METRO)</t>
        </is>
      </c>
      <c r="B562" t="n">
        <v>3</v>
      </c>
    </row>
    <row r="563">
      <c r="A563" s="17" t="inlineStr">
        <is>
          <t>EXACTO 18 X 100 MM TOTAL</t>
        </is>
      </c>
      <c r="B563" t="n">
        <v>4</v>
      </c>
    </row>
    <row r="564">
      <c r="A564" s="17" t="inlineStr">
        <is>
          <t>EXACTO MULTIUSO 3 POSC</t>
        </is>
      </c>
      <c r="B564" t="n">
        <v>1</v>
      </c>
    </row>
    <row r="565">
      <c r="A565" s="17" t="inlineStr">
        <is>
          <t>EXACTO PLASTICO IMP</t>
        </is>
      </c>
      <c r="B565" t="n">
        <v>1</v>
      </c>
    </row>
    <row r="566">
      <c r="A566" s="17" t="inlineStr">
        <is>
          <t>EXTRACTOR DE ENGRANAJE Y POLEAS</t>
        </is>
      </c>
      <c r="B566" t="n">
        <v>0</v>
      </c>
    </row>
    <row r="567">
      <c r="A567" s="17" t="inlineStr">
        <is>
          <t>EXTRACTOR DE ESTAÑO</t>
        </is>
      </c>
      <c r="B567" t="n">
        <v>1</v>
      </c>
    </row>
    <row r="568">
      <c r="A568" s="17" t="inlineStr">
        <is>
          <t>EXTRACTOR DE RODAMIENTO</t>
        </is>
      </c>
      <c r="B568" t="n">
        <v>0</v>
      </c>
    </row>
    <row r="569">
      <c r="A569" s="17" t="inlineStr">
        <is>
          <t>FLUSH KIT</t>
        </is>
      </c>
      <c r="B569" t="n">
        <v>0</v>
      </c>
    </row>
    <row r="570">
      <c r="A570" s="17" t="inlineStr">
        <is>
          <t>FUNDA PARA MANTENIMIENTO DE A/A 3-5 TON</t>
        </is>
      </c>
      <c r="B570" t="n">
        <v>0</v>
      </c>
    </row>
    <row r="571">
      <c r="A571" s="17" t="inlineStr">
        <is>
          <t>FUNDA PARA MANTENIMIENTO DE A/A PEQUEÑA</t>
        </is>
      </c>
      <c r="B571" t="n">
        <v>0</v>
      </c>
    </row>
    <row r="572">
      <c r="A572" s="17" t="inlineStr">
        <is>
          <t>HIDRO JET 110V 1400W 1900PSI</t>
        </is>
      </c>
      <c r="B572" t="n">
        <v>1</v>
      </c>
    </row>
    <row r="573">
      <c r="A573" s="17" t="inlineStr">
        <is>
          <t>JIG SAW BLADES SET</t>
        </is>
      </c>
      <c r="B573" t="n">
        <v>1</v>
      </c>
    </row>
    <row r="574">
      <c r="A574" s="17" t="inlineStr">
        <is>
          <t>JUEGO DE DADOS 1/4 12 PZAS</t>
        </is>
      </c>
      <c r="B574" t="n">
        <v>1</v>
      </c>
    </row>
    <row r="575">
      <c r="A575" s="17" t="inlineStr">
        <is>
          <t>JUEGO DE DESTORNILLADOR 2 PACK</t>
        </is>
      </c>
      <c r="B575" t="n">
        <v>2</v>
      </c>
    </row>
    <row r="576">
      <c r="A576" s="17" t="inlineStr">
        <is>
          <t>JUEGO DE DESTORNILLADOR RELOGERO</t>
        </is>
      </c>
      <c r="B576" t="n">
        <v>1</v>
      </c>
    </row>
    <row r="577">
      <c r="A577" s="17" t="inlineStr">
        <is>
          <t>JUEGO DE DESTORNILLADOR SIX PACK ROJO</t>
        </is>
      </c>
      <c r="B577" t="n">
        <v>0</v>
      </c>
    </row>
    <row r="578">
      <c r="A578" s="17" t="inlineStr">
        <is>
          <t>JUEGO DE DESTORNILLADOR SIX PACK VERDE</t>
        </is>
      </c>
      <c r="B578" t="n">
        <v>1</v>
      </c>
    </row>
    <row r="579">
      <c r="A579" s="17" t="inlineStr">
        <is>
          <t>JUEGO DE HERREMIENTA 121 PCS ROCCIA</t>
        </is>
      </c>
      <c r="B579" t="n">
        <v>0</v>
      </c>
    </row>
    <row r="580">
      <c r="A580" s="17" t="inlineStr">
        <is>
          <t>JUEGO DE LLAVE EXAGONAL</t>
        </is>
      </c>
      <c r="B580" t="n">
        <v>2</v>
      </c>
    </row>
    <row r="581">
      <c r="A581" s="17" t="inlineStr">
        <is>
          <t>JUEGO DE LLAVE TORX 10 PZAS</t>
        </is>
      </c>
      <c r="B581" t="n">
        <v>1</v>
      </c>
    </row>
    <row r="582">
      <c r="A582" s="17" t="inlineStr">
        <is>
          <t>JUEGO DE LLAVES COMBINADAS</t>
        </is>
      </c>
      <c r="B582" t="n">
        <v>1</v>
      </c>
    </row>
    <row r="583">
      <c r="A583" s="17" t="inlineStr">
        <is>
          <t>JUEGO DE LLAVES INGLESAS 12 PZAS 6MM-32MM ROCCIA</t>
        </is>
      </c>
      <c r="B583" t="n">
        <v>0</v>
      </c>
    </row>
    <row r="584">
      <c r="A584" s="17" t="inlineStr">
        <is>
          <t>JUEGO DE RACHET 40 PZS DE 1/4 A 3/8</t>
        </is>
      </c>
      <c r="B584" t="n">
        <v>0</v>
      </c>
    </row>
    <row r="585">
      <c r="A585" s="17" t="inlineStr">
        <is>
          <t>JUEGO DE SIERRA COPA 7 PIEZAS</t>
        </is>
      </c>
      <c r="B585" t="n">
        <v>1</v>
      </c>
    </row>
    <row r="586">
      <c r="A586" s="17" t="inlineStr">
        <is>
          <t>KIT DE ABORCADO 45°</t>
        </is>
      </c>
      <c r="B586" t="n">
        <v>0</v>
      </c>
    </row>
    <row r="587">
      <c r="A587" s="17" t="inlineStr">
        <is>
          <t>KIT DE PRENSA PARA TUBERIAS</t>
        </is>
      </c>
      <c r="B587" t="n">
        <v>0</v>
      </c>
    </row>
    <row r="588">
      <c r="A588" s="17" t="inlineStr">
        <is>
          <t>LIJADORA ORBITAL</t>
        </is>
      </c>
      <c r="B588" t="n">
        <v>0</v>
      </c>
    </row>
    <row r="589">
      <c r="A589" s="17" t="inlineStr">
        <is>
          <t>LLAVE AJUSTABLE 10"</t>
        </is>
      </c>
      <c r="B589" t="n">
        <v>0</v>
      </c>
    </row>
    <row r="590">
      <c r="A590" s="17" t="inlineStr">
        <is>
          <t>LLAVE AJUSTABLE 12" X 300MM</t>
        </is>
      </c>
      <c r="B590" t="n">
        <v>1</v>
      </c>
    </row>
    <row r="591">
      <c r="A591" s="17" t="inlineStr">
        <is>
          <t>LLAVE AJUSTABLE 6"</t>
        </is>
      </c>
      <c r="B591" t="n">
        <v>0</v>
      </c>
    </row>
    <row r="592">
      <c r="A592" s="17" t="inlineStr">
        <is>
          <t>LLAVE AJUSTABLE 8"</t>
        </is>
      </c>
      <c r="B592" t="n">
        <v>0</v>
      </c>
    </row>
    <row r="593">
      <c r="A593" s="17" t="inlineStr">
        <is>
          <t>LLAVE ALLENS</t>
        </is>
      </c>
      <c r="B593" t="n">
        <v>0</v>
      </c>
    </row>
    <row r="594">
      <c r="A594" s="17" t="inlineStr">
        <is>
          <t>LLAVE COMBINADA</t>
        </is>
      </c>
      <c r="B594" t="n">
        <v>1</v>
      </c>
    </row>
    <row r="595">
      <c r="A595" s="17" t="inlineStr">
        <is>
          <t>LLAVE CORREA PARA FILTRO DE ACEITE</t>
        </is>
      </c>
      <c r="B595" t="n">
        <v>0</v>
      </c>
    </row>
    <row r="596">
      <c r="A596" s="17" t="inlineStr">
        <is>
          <t>LLAVE DE CARRACA DE DOBLE EXTREMO</t>
        </is>
      </c>
      <c r="B596" t="n">
        <v>0</v>
      </c>
    </row>
    <row r="597">
      <c r="A597" s="17" t="inlineStr">
        <is>
          <t>LLAVE DE TUBO 12"</t>
        </is>
      </c>
      <c r="B597" t="n">
        <v>1</v>
      </c>
    </row>
    <row r="598">
      <c r="A598" s="17" t="inlineStr">
        <is>
          <t>LLAVE DE TUBO 14"</t>
        </is>
      </c>
      <c r="B598" t="n">
        <v>0</v>
      </c>
    </row>
    <row r="599">
      <c r="A599" s="17" t="inlineStr">
        <is>
          <t>LLAVE PARA TALADRO 1/2</t>
        </is>
      </c>
      <c r="B599" t="n">
        <v>1</v>
      </c>
    </row>
    <row r="600">
      <c r="A600" s="17" t="inlineStr">
        <is>
          <t>LLAVE PARA TUERCA DE CAMIONES</t>
        </is>
      </c>
      <c r="B600" t="n">
        <v>0</v>
      </c>
    </row>
    <row r="601">
      <c r="A601" s="17" t="inlineStr">
        <is>
          <t>MACHO PARA ENROSCAR 5/16</t>
        </is>
      </c>
      <c r="B601" t="n">
        <v>0</v>
      </c>
    </row>
    <row r="602">
      <c r="A602" s="17" t="inlineStr">
        <is>
          <t>MANDARREA CON MANGO DE MADERA</t>
        </is>
      </c>
      <c r="B602" t="n">
        <v>0</v>
      </c>
    </row>
    <row r="603">
      <c r="A603" s="17" t="inlineStr">
        <is>
          <t>MANDARRIA DE GOMA</t>
        </is>
      </c>
      <c r="B603" t="n">
        <v>0</v>
      </c>
    </row>
    <row r="604">
      <c r="A604" s="17" t="inlineStr">
        <is>
          <t>MANGO DE RODILLO SIN CAMISA</t>
        </is>
      </c>
      <c r="B604" t="n">
        <v>0</v>
      </c>
    </row>
    <row r="605">
      <c r="A605" s="17" t="inlineStr">
        <is>
          <t>MANGUERA DE ALTA PRESION HIDRO JET</t>
        </is>
      </c>
      <c r="B605" t="n">
        <v>0</v>
      </c>
    </row>
    <row r="606">
      <c r="A606" s="17" t="inlineStr">
        <is>
          <t>MANGUERA DE ALTA PRESION ROJA</t>
        </is>
      </c>
      <c r="B606" t="n">
        <v>0</v>
      </c>
    </row>
    <row r="607">
      <c r="A607" s="17" t="inlineStr">
        <is>
          <t>MANGUERA DE JARDIN 1/2 (METRO)</t>
        </is>
      </c>
      <c r="B607" t="n">
        <v>30</v>
      </c>
    </row>
    <row r="608">
      <c r="A608" s="17" t="inlineStr">
        <is>
          <t>MANGUERA DE LIMPIEZA DE TUBERIA</t>
        </is>
      </c>
      <c r="B608" t="n">
        <v>0</v>
      </c>
    </row>
    <row r="609">
      <c r="A609" s="17" t="inlineStr">
        <is>
          <t>MANOMETRO COMPLETO CON BOLSO</t>
        </is>
      </c>
      <c r="B609" t="n">
        <v>0</v>
      </c>
    </row>
    <row r="610">
      <c r="A610" s="17" t="inlineStr">
        <is>
          <t>MANOMETRO CON MANGUERAS</t>
        </is>
      </c>
      <c r="B610" t="n">
        <v>1</v>
      </c>
    </row>
    <row r="611">
      <c r="A611" s="17" t="inlineStr">
        <is>
          <t>MARTILLO MANGO DE MADERA</t>
        </is>
      </c>
      <c r="B611" t="n">
        <v>1</v>
      </c>
    </row>
    <row r="612">
      <c r="A612" s="17" t="inlineStr">
        <is>
          <t>MASCARA DE SOLDADURA CON SENS</t>
        </is>
      </c>
      <c r="B612" t="n">
        <v>3</v>
      </c>
    </row>
    <row r="613">
      <c r="A613" s="17" t="inlineStr">
        <is>
          <t>MECHA CONICA 4-32M</t>
        </is>
      </c>
      <c r="B613" t="n">
        <v>6</v>
      </c>
    </row>
    <row r="614">
      <c r="A614" s="17" t="inlineStr">
        <is>
          <t>MECHA DE METAL PEQ.</t>
        </is>
      </c>
      <c r="B614" t="n">
        <v>0</v>
      </c>
    </row>
    <row r="615">
      <c r="A615" s="17" t="inlineStr">
        <is>
          <t>MECHA METAL 6,0MM</t>
        </is>
      </c>
      <c r="B615" t="n">
        <v>6</v>
      </c>
    </row>
    <row r="616">
      <c r="A616" s="17" t="inlineStr">
        <is>
          <t>MEDIDOR SECUENTIMETRO 3 FACES</t>
        </is>
      </c>
      <c r="B616" t="n">
        <v>0</v>
      </c>
    </row>
    <row r="617">
      <c r="A617" s="17" t="inlineStr">
        <is>
          <t>NAVAJA PICO LORO 8" EXXEL</t>
        </is>
      </c>
      <c r="B617" t="n">
        <v>1</v>
      </c>
    </row>
    <row r="618">
      <c r="A618" s="17" t="inlineStr">
        <is>
          <t>NIVEL DE BURBUJA 50CM</t>
        </is>
      </c>
      <c r="B618" t="n">
        <v>0</v>
      </c>
    </row>
    <row r="619">
      <c r="A619" s="17" t="inlineStr">
        <is>
          <t>NIVEL DE BURBUJA 60CM</t>
        </is>
      </c>
      <c r="B619" t="n">
        <v>0</v>
      </c>
    </row>
    <row r="620">
      <c r="A620" s="17" t="inlineStr">
        <is>
          <t>NIVEL DE BURBULA 40CM</t>
        </is>
      </c>
      <c r="B620" t="n">
        <v>0</v>
      </c>
    </row>
    <row r="621">
      <c r="A621" s="17" t="inlineStr">
        <is>
          <t>PALUSTRA DENTADA</t>
        </is>
      </c>
      <c r="B621" t="n">
        <v>0</v>
      </c>
    </row>
    <row r="622">
      <c r="A622" s="17" t="inlineStr">
        <is>
          <t>PALUSTRA LISA</t>
        </is>
      </c>
      <c r="B622" t="n">
        <v>0</v>
      </c>
    </row>
    <row r="623">
      <c r="A623" s="17" t="inlineStr">
        <is>
          <t xml:space="preserve">PICO 360 PARA HIDRO JET </t>
        </is>
      </c>
      <c r="B623" t="n">
        <v>0</v>
      </c>
    </row>
    <row r="624">
      <c r="A624" s="17" t="inlineStr">
        <is>
          <t>PICO P/ SOLDAR</t>
        </is>
      </c>
      <c r="B624" t="n">
        <v>0</v>
      </c>
    </row>
    <row r="625">
      <c r="A625" s="17" t="inlineStr">
        <is>
          <t>PINZA DE ELECTRICISTA</t>
        </is>
      </c>
      <c r="B625" t="n">
        <v>0</v>
      </c>
    </row>
    <row r="626">
      <c r="A626" s="17" t="inlineStr">
        <is>
          <t>PIQUETA DE HERRERIA</t>
        </is>
      </c>
      <c r="B626" t="n">
        <v>0</v>
      </c>
    </row>
    <row r="627">
      <c r="A627" s="17" t="inlineStr">
        <is>
          <t>PISTOLA P/ PINTAR 600CC/ 2 BASE IMP</t>
        </is>
      </c>
      <c r="B627" t="n">
        <v>0</v>
      </c>
    </row>
    <row r="628">
      <c r="A628" s="17" t="inlineStr">
        <is>
          <t>PUNTA DE ESTRIA Y PALA</t>
        </is>
      </c>
      <c r="B628" t="n">
        <v>3</v>
      </c>
    </row>
    <row r="629">
      <c r="A629" s="17" t="inlineStr">
        <is>
          <t>PUNZON EXPANZOR DE CAÑO REFRIGERACION</t>
        </is>
      </c>
      <c r="B629" t="n">
        <v>0</v>
      </c>
    </row>
    <row r="630">
      <c r="A630" s="17" t="inlineStr">
        <is>
          <t>REGULADOR DE NITROGENO</t>
        </is>
      </c>
      <c r="B630" t="n">
        <v>0</v>
      </c>
    </row>
    <row r="631">
      <c r="A631" s="17" t="inlineStr">
        <is>
          <t>REMACHADORA</t>
        </is>
      </c>
      <c r="B631" t="n">
        <v>0</v>
      </c>
    </row>
    <row r="632">
      <c r="A632" s="17" t="inlineStr">
        <is>
          <t>RUOTEADORA MINI 600W</t>
        </is>
      </c>
      <c r="B632" t="n">
        <v>1</v>
      </c>
    </row>
    <row r="633">
      <c r="A633" s="17" t="inlineStr">
        <is>
          <t>SIERRA CIRCULAR 1400W 7-1/4</t>
        </is>
      </c>
      <c r="B633" t="n">
        <v>1</v>
      </c>
    </row>
    <row r="634">
      <c r="A634" s="17" t="inlineStr">
        <is>
          <t>SIERRA COPA 2,18"</t>
        </is>
      </c>
      <c r="B634" t="n">
        <v>0</v>
      </c>
    </row>
    <row r="635">
      <c r="A635" s="17" t="inlineStr">
        <is>
          <t>SIERRA PARA PANELES DE YESO</t>
        </is>
      </c>
      <c r="B635" t="n">
        <v>0</v>
      </c>
    </row>
    <row r="636">
      <c r="A636" s="17" t="inlineStr">
        <is>
          <t>SOPLADORA Y ASPIRADORA 600W</t>
        </is>
      </c>
      <c r="B636" t="n">
        <v>1</v>
      </c>
    </row>
    <row r="637">
      <c r="A637" s="17" t="inlineStr">
        <is>
          <t>STEP DRILL BIT SET</t>
        </is>
      </c>
      <c r="B637" t="n">
        <v>1</v>
      </c>
    </row>
    <row r="638">
      <c r="A638" s="17" t="inlineStr">
        <is>
          <t>TESTER CAPACIMETRO DIGITAL</t>
        </is>
      </c>
      <c r="B638" t="n">
        <v>1</v>
      </c>
    </row>
    <row r="639">
      <c r="A639" s="17" t="inlineStr">
        <is>
          <t>TRASPALETADE 3 T RUEDAS DE NYLON ROCCIA</t>
        </is>
      </c>
      <c r="B639" t="n">
        <v>6</v>
      </c>
    </row>
    <row r="640">
      <c r="A640" s="17" t="inlineStr">
        <is>
          <t>TRIANGULO DE SEGURIDAD GRANDE</t>
        </is>
      </c>
      <c r="B640" t="n">
        <v>0</v>
      </c>
    </row>
    <row r="641">
      <c r="A641" s="17" t="inlineStr">
        <is>
          <t>TRIANGULO DE SEGURIDAD PEQ.</t>
        </is>
      </c>
      <c r="B641" t="n">
        <v>0</v>
      </c>
    </row>
    <row r="642">
      <c r="A642" s="10" t="inlineStr">
        <is>
          <t>HERRERIA</t>
        </is>
      </c>
      <c r="B642" t="n">
        <v>1473</v>
      </c>
    </row>
    <row r="643">
      <c r="A643" s="17" t="inlineStr">
        <is>
          <t>ABRAZADERA DE ACERO 21-38 MM</t>
        </is>
      </c>
      <c r="B643" t="n">
        <v>0</v>
      </c>
    </row>
    <row r="644">
      <c r="A644" s="17" t="inlineStr">
        <is>
          <t>ABRAZADERA GALVANIZADA 3/4</t>
        </is>
      </c>
      <c r="B644" t="n">
        <v>133</v>
      </c>
    </row>
    <row r="645">
      <c r="A645" s="17" t="inlineStr">
        <is>
          <t>ABRAZADERA MOROCHA UNITRU 2"</t>
        </is>
      </c>
      <c r="B645" t="n">
        <v>84</v>
      </c>
    </row>
    <row r="646">
      <c r="A646" s="17" t="inlineStr">
        <is>
          <t>ABRAZADERA MOROCHA UNITRU 3/4</t>
        </is>
      </c>
      <c r="B646" t="n">
        <v>74</v>
      </c>
    </row>
    <row r="647">
      <c r="A647" s="17" t="inlineStr">
        <is>
          <t>ALAMBRON LISO 6 MM X 6 METROS</t>
        </is>
      </c>
      <c r="B647" t="n">
        <v>0</v>
      </c>
    </row>
    <row r="648">
      <c r="A648" s="17" t="inlineStr">
        <is>
          <t>ALDABA GALVANIZADO 1 14 X 316</t>
        </is>
      </c>
      <c r="B648" t="n">
        <v>0</v>
      </c>
    </row>
    <row r="649">
      <c r="A649" s="17" t="inlineStr">
        <is>
          <t>ALDABA GALVANIZADO 2"</t>
        </is>
      </c>
      <c r="B649" t="n">
        <v>1</v>
      </c>
    </row>
    <row r="650">
      <c r="A650" s="17" t="inlineStr">
        <is>
          <t>ANGULO SIDER 25 X 3 MM X 6 METROS</t>
        </is>
      </c>
      <c r="B650" t="n">
        <v>0</v>
      </c>
    </row>
    <row r="651">
      <c r="A651" s="17" t="inlineStr">
        <is>
          <t>ANGULO SIDER 30 X 30 X 3 MM X 6 METROS</t>
        </is>
      </c>
      <c r="B651" t="n">
        <v>0</v>
      </c>
    </row>
    <row r="652">
      <c r="A652" s="17" t="inlineStr">
        <is>
          <t>ANGULO SIDER 40 X 40 X 3 MM X 6 METROS</t>
        </is>
      </c>
      <c r="B652" t="n">
        <v>0</v>
      </c>
    </row>
    <row r="653">
      <c r="A653" s="17" t="inlineStr">
        <is>
          <t>ANILLO GALVANIZADO 1"</t>
        </is>
      </c>
      <c r="B653" t="n">
        <v>0</v>
      </c>
    </row>
    <row r="654">
      <c r="A654" s="17" t="inlineStr">
        <is>
          <t>ANILLO GALVANIZADO 1/2</t>
        </is>
      </c>
      <c r="B654" t="n">
        <v>4</v>
      </c>
    </row>
    <row r="655">
      <c r="A655" s="17" t="inlineStr">
        <is>
          <t>ANILLO GALVANIZADO 3/4</t>
        </is>
      </c>
      <c r="B655" t="n">
        <v>15</v>
      </c>
    </row>
    <row r="656">
      <c r="A656" s="17" t="inlineStr">
        <is>
          <t>ARANDELA PLANA 125A 10MM</t>
        </is>
      </c>
      <c r="B656" t="n">
        <v>174</v>
      </c>
    </row>
    <row r="657">
      <c r="A657" s="17" t="inlineStr">
        <is>
          <t>ARANDELA PLANA 5/16</t>
        </is>
      </c>
      <c r="B657" t="n">
        <v>300</v>
      </c>
    </row>
    <row r="658">
      <c r="A658" s="17" t="inlineStr">
        <is>
          <t>BARRA REDONDA LISA 12 MM X 6 METROS</t>
        </is>
      </c>
      <c r="B658" t="n">
        <v>0</v>
      </c>
    </row>
    <row r="659">
      <c r="A659" s="17" t="inlineStr">
        <is>
          <t>BISAGRA 2"</t>
        </is>
      </c>
      <c r="B659" t="n">
        <v>0</v>
      </c>
    </row>
    <row r="660">
      <c r="A660" s="17" t="inlineStr">
        <is>
          <t>BISAGRA PARA COCINA HIDRAULICA CON FRENO (PAR)</t>
        </is>
      </c>
      <c r="B660" t="n">
        <v>6</v>
      </c>
    </row>
    <row r="661">
      <c r="A661" s="17" t="inlineStr">
        <is>
          <t>BISAGRA PARA SOLDAR 3"</t>
        </is>
      </c>
      <c r="B661" t="n">
        <v>8</v>
      </c>
    </row>
    <row r="662">
      <c r="A662" s="17" t="inlineStr">
        <is>
          <t>BISAGRA PARA SOLDAR 4"</t>
        </is>
      </c>
      <c r="B662" t="n">
        <v>2</v>
      </c>
    </row>
    <row r="663">
      <c r="A663" s="17" t="inlineStr">
        <is>
          <t>BROCA 3/16 METAL</t>
        </is>
      </c>
      <c r="B663" t="n">
        <v>1</v>
      </c>
    </row>
    <row r="664">
      <c r="A664" s="17" t="inlineStr">
        <is>
          <t>BROCA PARA METAL 1/2</t>
        </is>
      </c>
      <c r="B664" t="n">
        <v>0</v>
      </c>
    </row>
    <row r="665">
      <c r="A665" s="17" t="inlineStr">
        <is>
          <t>BROCA PARA METAL 5/32</t>
        </is>
      </c>
      <c r="B665" t="n">
        <v>2</v>
      </c>
    </row>
    <row r="666">
      <c r="A666" s="17" t="inlineStr">
        <is>
          <t xml:space="preserve">CEPILLO DE ALAMBRE </t>
        </is>
      </c>
      <c r="B666" t="n">
        <v>1</v>
      </c>
    </row>
    <row r="667">
      <c r="A667" s="17" t="inlineStr">
        <is>
          <t>CODO GALVANIZADO 45° 3/4</t>
        </is>
      </c>
      <c r="B667" t="n">
        <v>2</v>
      </c>
    </row>
    <row r="668">
      <c r="A668" s="17" t="inlineStr">
        <is>
          <t>CODO GALVANIZADO 90° 1/2</t>
        </is>
      </c>
      <c r="B668" t="n">
        <v>5</v>
      </c>
    </row>
    <row r="669">
      <c r="A669" s="17" t="inlineStr">
        <is>
          <t>CODO GALVANIZADO 90° 3/4</t>
        </is>
      </c>
      <c r="B669" t="n">
        <v>17</v>
      </c>
    </row>
    <row r="670">
      <c r="A670" s="17" t="inlineStr">
        <is>
          <t>DISCO CORTE 4.5"</t>
        </is>
      </c>
      <c r="B670" t="n">
        <v>111</v>
      </c>
    </row>
    <row r="671">
      <c r="A671" s="17" t="inlineStr">
        <is>
          <t>DISCO CORTE 7"</t>
        </is>
      </c>
      <c r="B671" t="n">
        <v>17</v>
      </c>
    </row>
    <row r="672">
      <c r="A672" s="17" t="inlineStr">
        <is>
          <t>DISCO DESSBANES 4"</t>
        </is>
      </c>
      <c r="B672" t="n">
        <v>23</v>
      </c>
    </row>
    <row r="673">
      <c r="A673" s="17" t="inlineStr">
        <is>
          <t>DISCO DESSBANES 7"</t>
        </is>
      </c>
      <c r="B673" t="n">
        <v>1</v>
      </c>
    </row>
    <row r="674">
      <c r="A674" s="17" t="inlineStr">
        <is>
          <t>DISCO TROZADORA 14"</t>
        </is>
      </c>
      <c r="B674" t="n">
        <v>11</v>
      </c>
    </row>
    <row r="675">
      <c r="A675" s="17" t="inlineStr">
        <is>
          <t>ELECTRODO E6013 3/32 PAQUETE 1 KG</t>
        </is>
      </c>
      <c r="B675" t="n">
        <v>2.5</v>
      </c>
    </row>
    <row r="676">
      <c r="A676" s="17" t="inlineStr">
        <is>
          <t>ELECTRODO E6013 3/32 UNIDAD</t>
        </is>
      </c>
      <c r="B676" t="n">
        <v>30</v>
      </c>
    </row>
    <row r="677">
      <c r="A677" s="17" t="inlineStr">
        <is>
          <t>ELECTRODO PAQUETE 5K E6013 1/8</t>
        </is>
      </c>
      <c r="B677" t="n">
        <v>3</v>
      </c>
    </row>
    <row r="678">
      <c r="A678" s="17" t="inlineStr">
        <is>
          <t>ELECTRODO PAQUETE 5K E6013 3/32</t>
        </is>
      </c>
      <c r="B678" t="n">
        <v>12</v>
      </c>
    </row>
    <row r="679">
      <c r="A679" s="17" t="inlineStr">
        <is>
          <t>FLANCHE C/ HUECO 20 X 20 CM 6MM</t>
        </is>
      </c>
      <c r="B679" t="n">
        <v>8</v>
      </c>
    </row>
    <row r="680">
      <c r="A680" s="17" t="inlineStr">
        <is>
          <t>LAMINA GALVANIZADA 0,9 MM X 120 X 244</t>
        </is>
      </c>
      <c r="B680" t="n">
        <v>0</v>
      </c>
    </row>
    <row r="681">
      <c r="A681" s="17" t="inlineStr">
        <is>
          <t>LAMINA GALVANIZADA 3 MM X 120 X 240</t>
        </is>
      </c>
      <c r="B681" t="n">
        <v>0</v>
      </c>
    </row>
    <row r="682">
      <c r="A682" s="17" t="inlineStr">
        <is>
          <t>NIPLE GALVANIZADO 1/2</t>
        </is>
      </c>
      <c r="B682" t="n">
        <v>0</v>
      </c>
    </row>
    <row r="683">
      <c r="A683" s="17" t="inlineStr">
        <is>
          <t>NIPLE GALVANIZADO 1/2 X 11/2</t>
        </is>
      </c>
      <c r="B683" t="n">
        <v>1</v>
      </c>
    </row>
    <row r="684">
      <c r="A684" s="17" t="inlineStr">
        <is>
          <t>NIPLE GALVANIZADO 1/2 X 3"</t>
        </is>
      </c>
      <c r="B684" t="n">
        <v>2</v>
      </c>
    </row>
    <row r="685">
      <c r="A685" s="17" t="inlineStr">
        <is>
          <t>NIPLE GALVANIZADO 1/2 X 4"</t>
        </is>
      </c>
      <c r="B685" t="n">
        <v>2</v>
      </c>
    </row>
    <row r="686">
      <c r="A686" s="17" t="inlineStr">
        <is>
          <t>NIPLE GALVANIZADO 1/2 X 6"</t>
        </is>
      </c>
      <c r="B686" t="n">
        <v>2</v>
      </c>
    </row>
    <row r="687">
      <c r="A687" s="17" t="inlineStr">
        <is>
          <t>NIPLE GALVANIZADO 3/4 X 2,5"</t>
        </is>
      </c>
      <c r="B687" t="n">
        <v>4</v>
      </c>
    </row>
    <row r="688">
      <c r="A688" s="17" t="inlineStr">
        <is>
          <t>NIPLE GALVANIZADO 3/4 X 4"</t>
        </is>
      </c>
      <c r="B688" t="n">
        <v>1</v>
      </c>
    </row>
    <row r="689">
      <c r="A689" s="17" t="inlineStr">
        <is>
          <t>NIPLE GALVANIZADO 3/4 X 5"</t>
        </is>
      </c>
      <c r="B689" t="n">
        <v>5</v>
      </c>
    </row>
    <row r="690">
      <c r="A690" s="17" t="inlineStr">
        <is>
          <t>PASADOR P/ SOLDAR P/CANDADO 5/8</t>
        </is>
      </c>
      <c r="B690" t="n">
        <v>1</v>
      </c>
    </row>
    <row r="691">
      <c r="A691" s="17" t="inlineStr">
        <is>
          <t>PERFIL UNITRU 3/4</t>
        </is>
      </c>
      <c r="B691" t="n">
        <v>37</v>
      </c>
    </row>
    <row r="692">
      <c r="A692" s="17" t="inlineStr">
        <is>
          <t>PLETINA 1" X 3/16" X 6 METROS</t>
        </is>
      </c>
      <c r="B692" t="n">
        <v>0</v>
      </c>
    </row>
    <row r="693">
      <c r="A693" s="17" t="inlineStr">
        <is>
          <t>PLETINA 1,1/2" X 3/16" X 6 METROS</t>
        </is>
      </c>
      <c r="B693" t="n">
        <v>0</v>
      </c>
    </row>
    <row r="694">
      <c r="A694" s="17" t="inlineStr">
        <is>
          <t>REDUCCION GALVANIZADA AF BUSHING 1 X 1/2</t>
        </is>
      </c>
      <c r="B694" t="n">
        <v>2</v>
      </c>
    </row>
    <row r="695">
      <c r="A695" s="17" t="inlineStr">
        <is>
          <t>REDUCCION GALVANIZADA AF BUSHING 1 X 3/4</t>
        </is>
      </c>
      <c r="B695" t="n">
        <v>4</v>
      </c>
    </row>
    <row r="696">
      <c r="A696" s="17" t="inlineStr">
        <is>
          <t>REMACHE 3/16</t>
        </is>
      </c>
      <c r="B696" t="n">
        <v>209</v>
      </c>
    </row>
    <row r="697">
      <c r="A697" s="17" t="inlineStr">
        <is>
          <t>REMACHE 5/32</t>
        </is>
      </c>
      <c r="B697" t="n">
        <v>40</v>
      </c>
    </row>
    <row r="698">
      <c r="A698" s="17" t="inlineStr">
        <is>
          <t>RUEDA PARA PORTON TIPO U</t>
        </is>
      </c>
      <c r="B698" t="n">
        <v>0</v>
      </c>
    </row>
    <row r="699">
      <c r="A699" s="17" t="inlineStr">
        <is>
          <t>T GALVANIZADA 1/2</t>
        </is>
      </c>
      <c r="B699" t="n">
        <v>1</v>
      </c>
    </row>
    <row r="700">
      <c r="A700" s="17" t="inlineStr">
        <is>
          <t>TAPON MACHO GALVANIZADO 1/2</t>
        </is>
      </c>
      <c r="B700" t="n">
        <v>1</v>
      </c>
    </row>
    <row r="701">
      <c r="A701" s="17" t="inlineStr">
        <is>
          <t>TORNILLO DE METAL 1/4 X 3/4</t>
        </is>
      </c>
      <c r="B701" t="n">
        <v>4</v>
      </c>
    </row>
    <row r="702">
      <c r="A702" s="17" t="inlineStr">
        <is>
          <t>TUBO CUADRADO 1 X 1 X 1,1MM 6 METROS</t>
        </is>
      </c>
      <c r="B702" t="n">
        <v>5</v>
      </c>
    </row>
    <row r="703">
      <c r="A703" s="17" t="inlineStr">
        <is>
          <t>TUBO CUADRADO 1,1/2 X 1,1/2 X 1,1 MM X 6 METROS</t>
        </is>
      </c>
      <c r="B703" t="n">
        <v>80</v>
      </c>
    </row>
    <row r="704">
      <c r="A704" s="17" t="inlineStr">
        <is>
          <t>TUBO GALVANIZADO 3/4 6 METRO</t>
        </is>
      </c>
      <c r="B704" t="n">
        <v>3.5</v>
      </c>
    </row>
    <row r="705">
      <c r="A705" s="17" t="inlineStr">
        <is>
          <t>TUBO RECTANGULAR 2 X 1 X 1,10 MM 6 METROS</t>
        </is>
      </c>
      <c r="B705" t="n">
        <v>15</v>
      </c>
    </row>
    <row r="706">
      <c r="A706" s="17" t="inlineStr">
        <is>
          <t>TUBO RECTANGULAR 3 X 1 X 1,20 MM X 6 METROS</t>
        </is>
      </c>
      <c r="B706" t="n">
        <v>0</v>
      </c>
    </row>
    <row r="707">
      <c r="A707" s="17" t="inlineStr">
        <is>
          <t>TUERCA HEXAGONAL G2 1/4</t>
        </is>
      </c>
      <c r="B707" t="n">
        <v>4</v>
      </c>
    </row>
    <row r="708">
      <c r="A708" s="17" t="inlineStr">
        <is>
          <t>UNION DRESS GALVANIZADO 3/4</t>
        </is>
      </c>
      <c r="B708" t="n">
        <v>0</v>
      </c>
    </row>
    <row r="709">
      <c r="A709" s="17" t="inlineStr">
        <is>
          <t>UNION UNIVERSAL GALVANIZADO 3/4</t>
        </is>
      </c>
      <c r="B709" t="n">
        <v>2</v>
      </c>
    </row>
    <row r="710">
      <c r="A710" s="10" t="inlineStr">
        <is>
          <t>ILUMINACION</t>
        </is>
      </c>
      <c r="B710" t="n">
        <v>510</v>
      </c>
    </row>
    <row r="711">
      <c r="A711" s="17" t="inlineStr">
        <is>
          <t>ADAPTADORES DE ROSCA PARA BOMBILLO</t>
        </is>
      </c>
      <c r="B711" t="n">
        <v>0</v>
      </c>
    </row>
    <row r="712">
      <c r="A712" s="17" t="inlineStr">
        <is>
          <t>APLIQUE LED CUADRADO PARA PARED 5W</t>
        </is>
      </c>
      <c r="B712" t="n">
        <v>0</v>
      </c>
    </row>
    <row r="713">
      <c r="A713" s="17" t="inlineStr">
        <is>
          <t>BALASTRO ELECT 1 X 22W SUNLITE</t>
        </is>
      </c>
      <c r="B713" t="n">
        <v>4</v>
      </c>
    </row>
    <row r="714">
      <c r="A714" s="17" t="inlineStr">
        <is>
          <t>BOMBILLO LED CON DISIPADOR 100W</t>
        </is>
      </c>
      <c r="B714" t="n">
        <v>42</v>
      </c>
    </row>
    <row r="715">
      <c r="A715" s="17" t="inlineStr">
        <is>
          <t>BOMBILLO LED ESFERICO 18W</t>
        </is>
      </c>
      <c r="B715" t="n">
        <v>0</v>
      </c>
    </row>
    <row r="716">
      <c r="A716" s="17" t="inlineStr">
        <is>
          <t>BOMBILLO LED REDONDO 18W</t>
        </is>
      </c>
      <c r="B716" t="n">
        <v>0</v>
      </c>
    </row>
    <row r="717">
      <c r="A717" s="17" t="inlineStr">
        <is>
          <t>BOMBILLO LED REDONDO 20W</t>
        </is>
      </c>
      <c r="B717" t="n">
        <v>0</v>
      </c>
    </row>
    <row r="718">
      <c r="A718" s="17" t="inlineStr">
        <is>
          <t>BOMBILLO LED REDONDO 38W</t>
        </is>
      </c>
      <c r="B718" t="n">
        <v>17</v>
      </c>
    </row>
    <row r="719">
      <c r="A719" s="17" t="inlineStr">
        <is>
          <t>BOMBILLO LED T5 44CM</t>
        </is>
      </c>
      <c r="B719" t="n">
        <v>0</v>
      </c>
    </row>
    <row r="720">
      <c r="A720" s="17" t="inlineStr">
        <is>
          <t>BOMBILLO LED TUBULAR 15W</t>
        </is>
      </c>
      <c r="B720" t="n">
        <v>0</v>
      </c>
    </row>
    <row r="721">
      <c r="A721" s="17" t="inlineStr">
        <is>
          <t>BOMBILLO VERDE CONICO 18 W</t>
        </is>
      </c>
      <c r="B721" t="n">
        <v>0</v>
      </c>
    </row>
    <row r="722">
      <c r="A722" s="17" t="inlineStr">
        <is>
          <t>CINTA LED COLORES C/ ACCESORIOS</t>
        </is>
      </c>
      <c r="B722" t="n">
        <v>0</v>
      </c>
    </row>
    <row r="723">
      <c r="A723" s="17" t="inlineStr">
        <is>
          <t>CINTA NEON LED CON ACCESORIO</t>
        </is>
      </c>
      <c r="B723" t="n">
        <v>0</v>
      </c>
    </row>
    <row r="724">
      <c r="A724" s="17" t="inlineStr">
        <is>
          <t>FAROLA SOLAR 100W</t>
        </is>
      </c>
      <c r="B724" t="n">
        <v>0</v>
      </c>
    </row>
    <row r="725">
      <c r="A725" s="17" t="inlineStr">
        <is>
          <t>FAROLA SOLAR 200W</t>
        </is>
      </c>
      <c r="B725" t="n">
        <v>0</v>
      </c>
    </row>
    <row r="726">
      <c r="A726" s="17" t="inlineStr">
        <is>
          <t>FAROLA SOLAR 300W</t>
        </is>
      </c>
      <c r="B726" t="n">
        <v>0</v>
      </c>
    </row>
    <row r="727">
      <c r="A727" s="17" t="inlineStr">
        <is>
          <t>FOTOCELDA CON BASE</t>
        </is>
      </c>
      <c r="B727" t="n">
        <v>2</v>
      </c>
    </row>
    <row r="728">
      <c r="A728" s="17" t="inlineStr">
        <is>
          <t>INTERRUPTOR SENCILLO BLANCO</t>
        </is>
      </c>
      <c r="B728" t="n">
        <v>1</v>
      </c>
    </row>
    <row r="729">
      <c r="A729" s="17" t="inlineStr">
        <is>
          <t>LAMPARA 20W MATA MOSCA ZANCUDO E INSECTOS</t>
        </is>
      </c>
      <c r="B729" t="n">
        <v>1</v>
      </c>
    </row>
    <row r="730">
      <c r="A730" s="17" t="inlineStr">
        <is>
          <t>LAMPARA DE EMERGENCIA 20 X 0.2W</t>
        </is>
      </c>
      <c r="B730" t="n">
        <v>20</v>
      </c>
    </row>
    <row r="731">
      <c r="A731" s="17" t="inlineStr">
        <is>
          <t>LAMPARA DE EMERGENCIA 5W</t>
        </is>
      </c>
      <c r="B731" t="n">
        <v>7</v>
      </c>
    </row>
    <row r="732">
      <c r="A732" s="17" t="inlineStr">
        <is>
          <t>LAMPARA DE EMERGENCIA NEGRA</t>
        </is>
      </c>
      <c r="B732" t="n">
        <v>0</v>
      </c>
    </row>
    <row r="733">
      <c r="A733" s="17" t="inlineStr">
        <is>
          <t>LAMPARA LED A PRUEBA DE HUMEDAD 20W</t>
        </is>
      </c>
      <c r="B733" t="n">
        <v>0</v>
      </c>
    </row>
    <row r="734">
      <c r="A734" s="17" t="inlineStr">
        <is>
          <t>LAMPARA LED ANTIPOLVO 120CM</t>
        </is>
      </c>
      <c r="B734" t="n">
        <v>0</v>
      </c>
    </row>
    <row r="735">
      <c r="A735" s="17" t="inlineStr">
        <is>
          <t>LAMPARA LED DE POSTE 100W</t>
        </is>
      </c>
      <c r="B735" t="n">
        <v>0</v>
      </c>
    </row>
    <row r="736">
      <c r="A736" s="17" t="inlineStr">
        <is>
          <t>LAMPARA LED DE POSTE 200W</t>
        </is>
      </c>
      <c r="B736" t="n">
        <v>0</v>
      </c>
    </row>
    <row r="737">
      <c r="A737" s="17" t="inlineStr">
        <is>
          <t>LAMPARA LED DE POSTE 400W</t>
        </is>
      </c>
      <c r="B737" t="n">
        <v>0</v>
      </c>
    </row>
    <row r="738">
      <c r="A738" s="17" t="inlineStr">
        <is>
          <t>LAMPARA LED DE POSTE 500W</t>
        </is>
      </c>
      <c r="B738" t="n">
        <v>0</v>
      </c>
    </row>
    <row r="739">
      <c r="A739" s="17" t="inlineStr">
        <is>
          <t>LAMPARA LED EMPOTRABLE 60 X 60 CM</t>
        </is>
      </c>
      <c r="B739" t="n">
        <v>0</v>
      </c>
    </row>
    <row r="740">
      <c r="A740" s="17" t="inlineStr">
        <is>
          <t>LAMPARA LED TIPO CAÑON 10W</t>
        </is>
      </c>
      <c r="B740" t="n">
        <v>0</v>
      </c>
    </row>
    <row r="741">
      <c r="A741" s="17" t="inlineStr">
        <is>
          <t>LAMPARA TIPO UFO AC85-265V 150W</t>
        </is>
      </c>
      <c r="B741" t="n">
        <v>0</v>
      </c>
    </row>
    <row r="742">
      <c r="A742" s="17" t="inlineStr">
        <is>
          <t>LAMPARA TIPO UFO AC85-305V 150W</t>
        </is>
      </c>
      <c r="B742" t="n">
        <v>1</v>
      </c>
    </row>
    <row r="743">
      <c r="A743" s="17" t="inlineStr">
        <is>
          <t>LAMPARA TIPO UFO AC85-305V 200W</t>
        </is>
      </c>
      <c r="B743" t="n">
        <v>4</v>
      </c>
    </row>
    <row r="744">
      <c r="A744" s="17" t="inlineStr">
        <is>
          <t>PANEL LED CUADRADO SUPERFICIAL 24W</t>
        </is>
      </c>
      <c r="B744" t="n">
        <v>5</v>
      </c>
    </row>
    <row r="745">
      <c r="A745" s="17" t="inlineStr">
        <is>
          <t>PANEL LED CUADRADO SUPERFICIAL 36W</t>
        </is>
      </c>
      <c r="B745" t="n">
        <v>4</v>
      </c>
    </row>
    <row r="746">
      <c r="A746" s="17" t="inlineStr">
        <is>
          <t>PANEL LED CUADRADO SUPERFICIAL BORDE INF. 48W</t>
        </is>
      </c>
      <c r="B746" t="n">
        <v>14</v>
      </c>
    </row>
    <row r="747">
      <c r="A747" s="17" t="inlineStr">
        <is>
          <t>PANEL LED EMPOTRABLE 30 X 120 48W</t>
        </is>
      </c>
      <c r="B747" t="n">
        <v>0</v>
      </c>
    </row>
    <row r="748">
      <c r="A748" s="17" t="inlineStr">
        <is>
          <t>PANEL LED EMPOTRABLE 60 X 120 48W</t>
        </is>
      </c>
      <c r="B748" t="n">
        <v>85</v>
      </c>
    </row>
    <row r="749">
      <c r="A749" s="17" t="inlineStr">
        <is>
          <t>PANEL LED REDONDO EMPOTRABLE 18W</t>
        </is>
      </c>
      <c r="B749" t="n">
        <v>9</v>
      </c>
    </row>
    <row r="750">
      <c r="A750" s="17" t="inlineStr">
        <is>
          <t>PANEL LED REDONDO EMPOTRABLE 24W</t>
        </is>
      </c>
      <c r="B750" t="n">
        <v>53</v>
      </c>
    </row>
    <row r="751">
      <c r="A751" s="17" t="inlineStr">
        <is>
          <t>PANEL LED REDONDO EMPOTRABLE 36W</t>
        </is>
      </c>
      <c r="B751" t="n">
        <v>0</v>
      </c>
    </row>
    <row r="752">
      <c r="A752" s="17" t="inlineStr">
        <is>
          <t>PANEL LED REDONDO SUPERFICIAL 24W</t>
        </is>
      </c>
      <c r="B752" t="n">
        <v>43</v>
      </c>
    </row>
    <row r="753">
      <c r="A753" s="17" t="inlineStr">
        <is>
          <t>PANEL LED SUPERFICIAL 30 X 120 48W</t>
        </is>
      </c>
      <c r="B753" t="n">
        <v>50</v>
      </c>
    </row>
    <row r="754">
      <c r="A754" s="17" t="inlineStr">
        <is>
          <t>PROYECTOR DE JARDIN DE JARDIN MHAZOZE</t>
        </is>
      </c>
      <c r="B754" t="n">
        <v>0</v>
      </c>
    </row>
    <row r="755">
      <c r="A755" s="17" t="inlineStr">
        <is>
          <t>REFLECTOR LED 150W</t>
        </is>
      </c>
      <c r="B755" t="n">
        <v>2</v>
      </c>
    </row>
    <row r="756">
      <c r="A756" s="17" t="inlineStr">
        <is>
          <t>REFLECTOR LED 2000W CONICO</t>
        </is>
      </c>
      <c r="B756" t="n">
        <v>1</v>
      </c>
    </row>
    <row r="757">
      <c r="A757" s="17" t="inlineStr">
        <is>
          <t>REFLECTOR LED 200W</t>
        </is>
      </c>
      <c r="B757" t="n">
        <v>1</v>
      </c>
    </row>
    <row r="758">
      <c r="A758" s="17" t="inlineStr">
        <is>
          <t>REFLECTOR LED 300W</t>
        </is>
      </c>
      <c r="B758" t="n">
        <v>11</v>
      </c>
    </row>
    <row r="759">
      <c r="A759" s="17" t="inlineStr">
        <is>
          <t>REFLECTOR LED 400W</t>
        </is>
      </c>
      <c r="B759" t="n">
        <v>1</v>
      </c>
    </row>
    <row r="760">
      <c r="A760" s="17" t="inlineStr">
        <is>
          <t xml:space="preserve">REFLECTOR LED 500W </t>
        </is>
      </c>
      <c r="B760" t="n">
        <v>2</v>
      </c>
    </row>
    <row r="761">
      <c r="A761" s="17" t="inlineStr">
        <is>
          <t>REFLECTOR LED 50W</t>
        </is>
      </c>
      <c r="B761" t="n">
        <v>0</v>
      </c>
    </row>
    <row r="762">
      <c r="A762" s="17" t="inlineStr">
        <is>
          <t>REFLECTOR LED COLORES 100W</t>
        </is>
      </c>
      <c r="B762" t="n">
        <v>0</v>
      </c>
    </row>
    <row r="763">
      <c r="A763" s="17" t="inlineStr">
        <is>
          <t>SOCATE DE GOMA</t>
        </is>
      </c>
      <c r="B763" t="n">
        <v>0</v>
      </c>
    </row>
    <row r="764">
      <c r="A764" s="17" t="inlineStr">
        <is>
          <t>SOCATE PLAFON PORCELANA 4"</t>
        </is>
      </c>
      <c r="B764" t="n">
        <v>1</v>
      </c>
    </row>
    <row r="765">
      <c r="A765" s="17" t="inlineStr">
        <is>
          <t>TUBO LED 30 CM</t>
        </is>
      </c>
      <c r="B765" t="n">
        <v>0</v>
      </c>
    </row>
    <row r="766">
      <c r="A766" s="17" t="inlineStr">
        <is>
          <t>TUBO LED T5 120CM 20W</t>
        </is>
      </c>
      <c r="B766" t="n">
        <v>25</v>
      </c>
    </row>
    <row r="767">
      <c r="A767" s="17" t="inlineStr">
        <is>
          <t>TUBO LED T5 90CM 12W</t>
        </is>
      </c>
      <c r="B767" t="n">
        <v>24</v>
      </c>
    </row>
    <row r="768">
      <c r="A768" s="17" t="inlineStr">
        <is>
          <t>TUBO LED T8 120 CM</t>
        </is>
      </c>
      <c r="B768" t="n">
        <v>64</v>
      </c>
    </row>
    <row r="769">
      <c r="A769" s="17" t="inlineStr">
        <is>
          <t>TUBO LED T8 60 CM</t>
        </is>
      </c>
      <c r="B769" t="n">
        <v>12</v>
      </c>
    </row>
    <row r="770">
      <c r="A770" s="17" t="inlineStr">
        <is>
          <t>TUBO PARA LAMPARA MATA MOSCAS</t>
        </is>
      </c>
      <c r="B770" t="n">
        <v>4</v>
      </c>
    </row>
    <row r="771">
      <c r="A771" s="10" t="inlineStr">
        <is>
          <t>LIMPIEZA</t>
        </is>
      </c>
      <c r="B771" t="n">
        <v>436.5</v>
      </c>
    </row>
    <row r="772">
      <c r="A772" s="17" t="inlineStr">
        <is>
          <t>BOLSA PARA LA BASURA GRANDE</t>
        </is>
      </c>
      <c r="B772" t="n">
        <v>100</v>
      </c>
    </row>
    <row r="773">
      <c r="A773" s="17" t="inlineStr">
        <is>
          <t>BOLSA PARA LA PAPELERA PEQUEÑA</t>
        </is>
      </c>
      <c r="B773" t="n">
        <v>100</v>
      </c>
    </row>
    <row r="774">
      <c r="A774" s="17" t="inlineStr">
        <is>
          <t>CABO DE MADERA PARA CEPILLO DE BARRER</t>
        </is>
      </c>
      <c r="B774" t="n">
        <v>21</v>
      </c>
    </row>
    <row r="775">
      <c r="A775" s="17" t="inlineStr">
        <is>
          <t>CABO DE METAL PARA CEPILLO DE BARRER</t>
        </is>
      </c>
      <c r="B775" t="n">
        <v>0</v>
      </c>
    </row>
    <row r="776">
      <c r="A776" s="17" t="inlineStr">
        <is>
          <t xml:space="preserve">CABO DE PLASTICO PARA PALA </t>
        </is>
      </c>
      <c r="B776" t="n">
        <v>10</v>
      </c>
    </row>
    <row r="777">
      <c r="A777" s="17" t="inlineStr">
        <is>
          <t>CEPILLO DE BARRER</t>
        </is>
      </c>
      <c r="B777" t="n">
        <v>27</v>
      </c>
    </row>
    <row r="778">
      <c r="A778" s="17" t="inlineStr">
        <is>
          <t>CEPILLO DE LAVAR A MANO</t>
        </is>
      </c>
      <c r="B778" t="n">
        <v>0</v>
      </c>
    </row>
    <row r="779">
      <c r="A779" s="17" t="inlineStr">
        <is>
          <t>CEPILLO PARA LAVAR INODORO</t>
        </is>
      </c>
      <c r="B779" t="n">
        <v>6</v>
      </c>
    </row>
    <row r="780">
      <c r="A780" s="17" t="inlineStr">
        <is>
          <t>CHUPON DE BAÑO</t>
        </is>
      </c>
      <c r="B780" t="n">
        <v>1</v>
      </c>
    </row>
    <row r="781">
      <c r="A781" s="17" t="inlineStr">
        <is>
          <t>CLORO (LITRO)</t>
        </is>
      </c>
      <c r="B781" t="n">
        <v>0</v>
      </c>
    </row>
    <row r="782">
      <c r="A782" s="17" t="inlineStr">
        <is>
          <t>COLETO NEGRO</t>
        </is>
      </c>
      <c r="B782" t="n">
        <v>27</v>
      </c>
    </row>
    <row r="783">
      <c r="A783" s="17" t="inlineStr">
        <is>
          <t>DESENGRASANTE (LITRO)</t>
        </is>
      </c>
      <c r="B783" t="n">
        <v>0</v>
      </c>
    </row>
    <row r="784">
      <c r="A784" s="17" t="inlineStr">
        <is>
          <t>DESINFECTANTE  (LITRO)</t>
        </is>
      </c>
      <c r="B784" t="n">
        <v>0</v>
      </c>
    </row>
    <row r="785">
      <c r="A785" s="17" t="inlineStr">
        <is>
          <t>DETERGENTE LIQUIDO (LITRO)</t>
        </is>
      </c>
      <c r="B785" t="n">
        <v>0</v>
      </c>
    </row>
    <row r="786">
      <c r="A786" s="17" t="inlineStr">
        <is>
          <t>DISCO PARA PULIDORA INDUSTRIAL 17" NEGRO</t>
        </is>
      </c>
      <c r="B786" t="n">
        <v>10</v>
      </c>
    </row>
    <row r="787">
      <c r="A787" s="17" t="inlineStr">
        <is>
          <t>ESCOBILLONES</t>
        </is>
      </c>
      <c r="B787" t="n">
        <v>0</v>
      </c>
    </row>
    <row r="788">
      <c r="A788" s="17" t="inlineStr">
        <is>
          <t>HARAGAN GRANDE 16"</t>
        </is>
      </c>
      <c r="B788" t="n">
        <v>7</v>
      </c>
    </row>
    <row r="789">
      <c r="A789" s="17" t="inlineStr">
        <is>
          <t>HARAGAN PEQUEÑO</t>
        </is>
      </c>
      <c r="B789" t="n">
        <v>9</v>
      </c>
    </row>
    <row r="790">
      <c r="A790" s="17" t="inlineStr">
        <is>
          <t>MOPA</t>
        </is>
      </c>
      <c r="B790" t="n">
        <v>1</v>
      </c>
    </row>
    <row r="791">
      <c r="A791" s="17" t="inlineStr">
        <is>
          <t>PALA CON CABO</t>
        </is>
      </c>
      <c r="B791" t="n">
        <v>16</v>
      </c>
    </row>
    <row r="792">
      <c r="A792" s="17" t="inlineStr">
        <is>
          <t>PAÑITO NEGRO DE LIMPIEZA</t>
        </is>
      </c>
      <c r="B792" t="n">
        <v>28</v>
      </c>
    </row>
    <row r="793">
      <c r="A793" s="17" t="inlineStr">
        <is>
          <t>PAPELERA 100 LITROS</t>
        </is>
      </c>
      <c r="B793" t="n">
        <v>0</v>
      </c>
    </row>
    <row r="794">
      <c r="A794" s="17" t="inlineStr">
        <is>
          <t>PAPELERA CUADRADA 60 LITROS</t>
        </is>
      </c>
      <c r="B794" t="n">
        <v>6</v>
      </c>
    </row>
    <row r="795">
      <c r="A795" s="17" t="inlineStr">
        <is>
          <t>PAPELERA DE OFICINA TEJIDA</t>
        </is>
      </c>
      <c r="B795" t="n">
        <v>1</v>
      </c>
    </row>
    <row r="796">
      <c r="A796" s="17" t="inlineStr">
        <is>
          <t>PAPELERA PEQUEÑA TIPO CESTA</t>
        </is>
      </c>
      <c r="B796" t="n">
        <v>32</v>
      </c>
    </row>
    <row r="797">
      <c r="A797" s="17" t="inlineStr">
        <is>
          <t>PAPELERA PUSH</t>
        </is>
      </c>
      <c r="B797" t="n">
        <v>1</v>
      </c>
    </row>
    <row r="798">
      <c r="A798" s="17" t="inlineStr">
        <is>
          <t>PIPOTE 30 LITROS</t>
        </is>
      </c>
      <c r="B798" t="n">
        <v>0</v>
      </c>
    </row>
    <row r="799">
      <c r="A799" s="17" t="inlineStr">
        <is>
          <t>PIPOTE 90 LITROS</t>
        </is>
      </c>
      <c r="B799" t="n">
        <v>4</v>
      </c>
    </row>
    <row r="800">
      <c r="A800" s="17" t="inlineStr">
        <is>
          <t>PIPOTE GRANDE</t>
        </is>
      </c>
      <c r="B800" t="n">
        <v>1</v>
      </c>
    </row>
    <row r="801">
      <c r="A801" s="17" t="inlineStr">
        <is>
          <t>PIPOTES 65 LITROS</t>
        </is>
      </c>
      <c r="B801" t="n">
        <v>8</v>
      </c>
    </row>
    <row r="802">
      <c r="A802" s="17" t="inlineStr">
        <is>
          <t>SODA CAUSTUCA EN ESCAMA AL 99,7% (KG)</t>
        </is>
      </c>
      <c r="B802" t="n">
        <v>0.5</v>
      </c>
    </row>
    <row r="803">
      <c r="A803" s="17" t="inlineStr">
        <is>
          <t>TOBO DE LIMPIEZA</t>
        </is>
      </c>
      <c r="B803" t="n">
        <v>20</v>
      </c>
    </row>
    <row r="804">
      <c r="A804" s="10" t="inlineStr">
        <is>
          <t>MISCELANEOS</t>
        </is>
      </c>
      <c r="B804" t="n">
        <v>111</v>
      </c>
    </row>
    <row r="805">
      <c r="A805" s="17" t="inlineStr">
        <is>
          <t>ALFOMBRA DE CAUCHO</t>
        </is>
      </c>
      <c r="B805" t="n">
        <v>30</v>
      </c>
    </row>
    <row r="806">
      <c r="A806" s="17" t="inlineStr">
        <is>
          <t>ALFOMBRA DE ENTRADA 40 X 60CM</t>
        </is>
      </c>
      <c r="B806" t="n">
        <v>2</v>
      </c>
    </row>
    <row r="807">
      <c r="A807" s="17" t="inlineStr">
        <is>
          <t>ALFOMBRA TIPO AFRICA 40 X 60 CM</t>
        </is>
      </c>
      <c r="B807" t="n">
        <v>0</v>
      </c>
    </row>
    <row r="808">
      <c r="A808" s="17" t="inlineStr">
        <is>
          <t>BANDEJA PET REDONDA 36CM NEGRO</t>
        </is>
      </c>
      <c r="B808" t="n">
        <v>0</v>
      </c>
    </row>
    <row r="809">
      <c r="A809" s="17" t="inlineStr">
        <is>
          <t>CARTELERA FISCAL ACRILICA 50 X 60CM</t>
        </is>
      </c>
      <c r="B809" t="n">
        <v>0</v>
      </c>
    </row>
    <row r="810">
      <c r="A810" s="17" t="inlineStr">
        <is>
          <t>CAVA GRANDE 49L ROJA</t>
        </is>
      </c>
      <c r="B810" t="n">
        <v>0</v>
      </c>
    </row>
    <row r="811">
      <c r="A811" s="17" t="inlineStr">
        <is>
          <t>CAVA PEQ. NARANJA</t>
        </is>
      </c>
      <c r="B811" t="n">
        <v>0</v>
      </c>
    </row>
    <row r="812">
      <c r="A812" s="17" t="inlineStr">
        <is>
          <t>CESTA FRESERA</t>
        </is>
      </c>
      <c r="B812" t="n">
        <v>0</v>
      </c>
    </row>
    <row r="813">
      <c r="A813" s="17" t="inlineStr">
        <is>
          <t>CESTA NEGRA DE MERCADO CON ASAS</t>
        </is>
      </c>
      <c r="B813" t="n">
        <v>0</v>
      </c>
    </row>
    <row r="814">
      <c r="A814" s="17" t="inlineStr">
        <is>
          <t>CESTA VERDE CON RUEDA DE MERCADO</t>
        </is>
      </c>
      <c r="B814" t="n">
        <v>0</v>
      </c>
    </row>
    <row r="815">
      <c r="A815" s="17" t="inlineStr">
        <is>
          <t>CHAIRA 8" VENEZIA</t>
        </is>
      </c>
      <c r="B815" t="n">
        <v>0</v>
      </c>
    </row>
    <row r="816">
      <c r="A816" s="17" t="inlineStr">
        <is>
          <t>COLADOR DE ACERO INOXIDABLE (COCINA) 40 CM</t>
        </is>
      </c>
      <c r="B816" t="n">
        <v>0</v>
      </c>
    </row>
    <row r="817">
      <c r="A817" s="17" t="inlineStr">
        <is>
          <t>CUCHARA SACA GRANO</t>
        </is>
      </c>
      <c r="B817" t="n">
        <v>5</v>
      </c>
    </row>
    <row r="818">
      <c r="A818" s="17" t="inlineStr">
        <is>
          <t>CUCHARON MEDIANO</t>
        </is>
      </c>
      <c r="B818" t="n">
        <v>0</v>
      </c>
    </row>
    <row r="819">
      <c r="A819" s="17" t="inlineStr">
        <is>
          <t>CUCHARON PEQUEÑO</t>
        </is>
      </c>
      <c r="B819" t="n">
        <v>3</v>
      </c>
    </row>
    <row r="820">
      <c r="A820" s="17" t="inlineStr">
        <is>
          <t>CUCHILLO 6" EXCALIBUR</t>
        </is>
      </c>
      <c r="B820" t="n">
        <v>2</v>
      </c>
    </row>
    <row r="821">
      <c r="A821" s="17" t="inlineStr">
        <is>
          <t>CUCHILLO 7" EXCALIBUR</t>
        </is>
      </c>
      <c r="B821" t="n">
        <v>8</v>
      </c>
    </row>
    <row r="822">
      <c r="A822" s="17" t="inlineStr">
        <is>
          <t>CUCHILLO 8" EXCALIBUR</t>
        </is>
      </c>
      <c r="B822" t="n">
        <v>0</v>
      </c>
    </row>
    <row r="823">
      <c r="A823" s="17" t="inlineStr">
        <is>
          <t>CUCHILLO DE SIERRA N°8</t>
        </is>
      </c>
      <c r="B823" t="n">
        <v>5</v>
      </c>
    </row>
    <row r="824">
      <c r="A824" s="17" t="inlineStr">
        <is>
          <t>CUCHILLO PROCHEF N°9</t>
        </is>
      </c>
      <c r="B824" t="n">
        <v>3</v>
      </c>
    </row>
    <row r="825">
      <c r="A825" s="17" t="inlineStr">
        <is>
          <t>ENVOPLAST USO INDUSTRIAL</t>
        </is>
      </c>
      <c r="B825" t="n">
        <v>0</v>
      </c>
    </row>
    <row r="826">
      <c r="A826" s="17" t="inlineStr">
        <is>
          <t>ESPEJO AUTOADHESIVO GRANDE</t>
        </is>
      </c>
      <c r="B826" t="n">
        <v>2</v>
      </c>
    </row>
    <row r="827">
      <c r="A827" s="17" t="inlineStr">
        <is>
          <t>ESPEJO RECTANGULAR</t>
        </is>
      </c>
      <c r="B827" t="n">
        <v>2</v>
      </c>
    </row>
    <row r="828">
      <c r="A828" s="17" t="inlineStr">
        <is>
          <t>PALA PEQ PLASTICO USO DOMESTICO</t>
        </is>
      </c>
      <c r="B828" t="n">
        <v>1</v>
      </c>
    </row>
    <row r="829">
      <c r="A829" s="17" t="inlineStr">
        <is>
          <t>PELADOR DE VEGETALES 17CM</t>
        </is>
      </c>
      <c r="B829" t="n">
        <v>0</v>
      </c>
    </row>
    <row r="830">
      <c r="A830" s="17" t="inlineStr">
        <is>
          <t>PLASTIMESA TRANSPARENTE 0,15 MM X METRO</t>
        </is>
      </c>
      <c r="B830" t="n">
        <v>40</v>
      </c>
    </row>
    <row r="831">
      <c r="A831" s="17" t="inlineStr">
        <is>
          <t>PORTA PRECIO ADHESIVO</t>
        </is>
      </c>
      <c r="B831" t="n">
        <v>0</v>
      </c>
    </row>
    <row r="832">
      <c r="A832" s="17" t="inlineStr">
        <is>
          <t>PRECINTADORA MANUAL EXCELL</t>
        </is>
      </c>
      <c r="B832" t="n">
        <v>0</v>
      </c>
    </row>
    <row r="833">
      <c r="A833" s="17" t="inlineStr">
        <is>
          <t>QUEMADOR DE REVERBERO DIMAINCA</t>
        </is>
      </c>
      <c r="B833" t="n">
        <v>0</v>
      </c>
    </row>
    <row r="834">
      <c r="A834" s="17" t="inlineStr">
        <is>
          <t>SELLADORA 300MM</t>
        </is>
      </c>
      <c r="B834" t="n">
        <v>7</v>
      </c>
    </row>
    <row r="835">
      <c r="A835" s="17" t="inlineStr">
        <is>
          <t>SELLADORA DE BOLSA EXCELL</t>
        </is>
      </c>
      <c r="B835" t="n">
        <v>1</v>
      </c>
    </row>
    <row r="836">
      <c r="A836" s="17" t="inlineStr">
        <is>
          <t>TOALLA SUPER ABSORBENTE X KG</t>
        </is>
      </c>
      <c r="B836" t="n">
        <v>0</v>
      </c>
    </row>
    <row r="837">
      <c r="A837" s="10" t="inlineStr">
        <is>
          <t>OFICINA</t>
        </is>
      </c>
      <c r="B837" t="n">
        <v>5</v>
      </c>
    </row>
    <row r="838">
      <c r="A838" s="17" t="inlineStr">
        <is>
          <t>BOLIGRAFO TINTA AZUL</t>
        </is>
      </c>
      <c r="B838" t="n">
        <v>1</v>
      </c>
    </row>
    <row r="839">
      <c r="A839" s="17" t="inlineStr">
        <is>
          <t>BOLIGRAFO TINTA NEGRA</t>
        </is>
      </c>
      <c r="B839" t="n">
        <v>0</v>
      </c>
    </row>
    <row r="840">
      <c r="A840" s="17" t="inlineStr">
        <is>
          <t>BORRADOR PIZARRA</t>
        </is>
      </c>
      <c r="B840" t="n">
        <v>0</v>
      </c>
    </row>
    <row r="841">
      <c r="A841" s="17" t="inlineStr">
        <is>
          <t>CAJA CHINCHES 100 UND</t>
        </is>
      </c>
      <c r="B841" t="n">
        <v>0</v>
      </c>
    </row>
    <row r="842">
      <c r="A842" s="17" t="inlineStr">
        <is>
          <t>CAJA DE GRAPAS CORRUGADA</t>
        </is>
      </c>
      <c r="B842" t="n">
        <v>0</v>
      </c>
    </row>
    <row r="843">
      <c r="A843" s="17" t="inlineStr">
        <is>
          <t>CAJA DE GRAPAS LISA</t>
        </is>
      </c>
      <c r="B843" t="n">
        <v>0</v>
      </c>
    </row>
    <row r="844">
      <c r="A844" s="17" t="inlineStr">
        <is>
          <t>CALCULADORA BERNICE LY634</t>
        </is>
      </c>
      <c r="B844" t="n">
        <v>0</v>
      </c>
    </row>
    <row r="845">
      <c r="A845" s="17" t="inlineStr">
        <is>
          <t>CALCULADORA BERNICE N30</t>
        </is>
      </c>
      <c r="B845" t="n">
        <v>0</v>
      </c>
    </row>
    <row r="846">
      <c r="A846" s="17" t="inlineStr">
        <is>
          <t>CARPETA LOMO ANCHO</t>
        </is>
      </c>
      <c r="B846" t="n">
        <v>0</v>
      </c>
    </row>
    <row r="847">
      <c r="A847" s="17" t="inlineStr">
        <is>
          <t>CARPETA MANILA T/CARTA</t>
        </is>
      </c>
      <c r="B847" t="n">
        <v>0</v>
      </c>
    </row>
    <row r="848">
      <c r="A848" s="17" t="inlineStr">
        <is>
          <t>CARPETA MARRON T/CARTA</t>
        </is>
      </c>
      <c r="B848" t="n">
        <v>0</v>
      </c>
    </row>
    <row r="849">
      <c r="A849" s="17" t="inlineStr">
        <is>
          <t>CINTA DE EMBALAJE</t>
        </is>
      </c>
      <c r="B849" t="n">
        <v>0</v>
      </c>
    </row>
    <row r="850">
      <c r="A850" s="17" t="inlineStr">
        <is>
          <t>CINTA PLASTICA PEQ</t>
        </is>
      </c>
      <c r="B850" t="n">
        <v>0</v>
      </c>
    </row>
    <row r="851">
      <c r="A851" s="17" t="inlineStr">
        <is>
          <t>CUADERNO 1 LINEA</t>
        </is>
      </c>
      <c r="B851" t="n">
        <v>2</v>
      </c>
    </row>
    <row r="852">
      <c r="A852" s="17" t="inlineStr">
        <is>
          <t>CUADERNO CUADRICULADO</t>
        </is>
      </c>
      <c r="B852" t="n">
        <v>0</v>
      </c>
    </row>
    <row r="853">
      <c r="A853" s="17" t="inlineStr">
        <is>
          <t>ENGRAPADORA</t>
        </is>
      </c>
      <c r="B853" t="n">
        <v>0</v>
      </c>
    </row>
    <row r="854">
      <c r="A854" s="17" t="inlineStr">
        <is>
          <t>FOAMI VERDE T/CARTA</t>
        </is>
      </c>
      <c r="B854" t="n">
        <v>0</v>
      </c>
    </row>
    <row r="855">
      <c r="A855" s="17" t="inlineStr">
        <is>
          <t>FUNDAS P/PLASTIFICAR 9 X 14.5</t>
        </is>
      </c>
      <c r="B855" t="n">
        <v>0</v>
      </c>
    </row>
    <row r="856">
      <c r="A856" s="17" t="inlineStr">
        <is>
          <t>HUELLERO</t>
        </is>
      </c>
      <c r="B856" t="n">
        <v>0</v>
      </c>
    </row>
    <row r="857">
      <c r="A857" s="17" t="inlineStr">
        <is>
          <t>LAPIZ DE GRAFITO</t>
        </is>
      </c>
      <c r="B857" t="n">
        <v>0</v>
      </c>
    </row>
    <row r="858">
      <c r="A858" s="17" t="inlineStr">
        <is>
          <t>MARACADOR NEGRO PERMANENTE</t>
        </is>
      </c>
      <c r="B858" t="n">
        <v>1</v>
      </c>
    </row>
    <row r="859">
      <c r="A859" s="17" t="inlineStr">
        <is>
          <t>MARCADOR AZUL PERMANENTE</t>
        </is>
      </c>
      <c r="B859" t="n">
        <v>0</v>
      </c>
    </row>
    <row r="860">
      <c r="A860" s="17" t="inlineStr">
        <is>
          <t>MARCADOR DE PIZARRA ROJO</t>
        </is>
      </c>
      <c r="B860" t="n">
        <v>0</v>
      </c>
    </row>
    <row r="861">
      <c r="A861" s="17" t="inlineStr">
        <is>
          <t>MARCADOR PIZARRA AZUL</t>
        </is>
      </c>
      <c r="B861" t="n">
        <v>0</v>
      </c>
    </row>
    <row r="862">
      <c r="A862" s="17" t="inlineStr">
        <is>
          <t>MARCADOR PIZARRA NEGRO</t>
        </is>
      </c>
      <c r="B862" t="n">
        <v>0</v>
      </c>
    </row>
    <row r="863">
      <c r="A863" s="17" t="inlineStr">
        <is>
          <t>PINTURA AL FRIO</t>
        </is>
      </c>
      <c r="B863" t="n">
        <v>0</v>
      </c>
    </row>
    <row r="864">
      <c r="A864" s="17" t="inlineStr">
        <is>
          <t>RESALTADOR AMARILLO</t>
        </is>
      </c>
      <c r="B864" t="n">
        <v>1</v>
      </c>
    </row>
    <row r="865">
      <c r="A865" s="17" t="inlineStr">
        <is>
          <t>RESALTADOR FUCSIA</t>
        </is>
      </c>
      <c r="B865" t="n">
        <v>0</v>
      </c>
    </row>
    <row r="866">
      <c r="A866" s="17" t="inlineStr">
        <is>
          <t>RESALTADOR NARANJA</t>
        </is>
      </c>
      <c r="B866" t="n">
        <v>0</v>
      </c>
    </row>
    <row r="867">
      <c r="A867" s="17" t="inlineStr">
        <is>
          <t>RESMA DE HOJA BLANCA T/ CARTA</t>
        </is>
      </c>
      <c r="B867" t="n">
        <v>0</v>
      </c>
    </row>
    <row r="868">
      <c r="A868" s="17" t="inlineStr">
        <is>
          <t>RESMA DE HOJA BLANCA T/ OFICIO</t>
        </is>
      </c>
      <c r="B868" t="n">
        <v>0</v>
      </c>
    </row>
    <row r="869">
      <c r="A869" s="17" t="inlineStr">
        <is>
          <t>ROLLO PAPEL CONTAC NEGRO</t>
        </is>
      </c>
      <c r="B869" t="n">
        <v>0</v>
      </c>
    </row>
    <row r="870">
      <c r="A870" s="17" t="inlineStr">
        <is>
          <t>SACA GRAPA</t>
        </is>
      </c>
      <c r="B870" t="n">
        <v>0</v>
      </c>
    </row>
    <row r="871">
      <c r="A871" s="17" t="inlineStr">
        <is>
          <t>SACAPUNTAS</t>
        </is>
      </c>
      <c r="B871" t="n">
        <v>0</v>
      </c>
    </row>
    <row r="872">
      <c r="A872" s="17" t="inlineStr">
        <is>
          <t>SEPARADORES T/CARTA</t>
        </is>
      </c>
      <c r="B872" t="n">
        <v>0</v>
      </c>
    </row>
    <row r="873">
      <c r="A873" s="17" t="inlineStr">
        <is>
          <t>SOBRE MANILA T/OFICIO</t>
        </is>
      </c>
      <c r="B873" t="n">
        <v>0</v>
      </c>
    </row>
    <row r="874">
      <c r="A874" s="17" t="inlineStr">
        <is>
          <t>TIJERA</t>
        </is>
      </c>
      <c r="B874" t="n">
        <v>0</v>
      </c>
    </row>
    <row r="875">
      <c r="A875" s="17" t="inlineStr">
        <is>
          <t>TONER</t>
        </is>
      </c>
      <c r="B875" t="n">
        <v>0</v>
      </c>
    </row>
    <row r="876">
      <c r="A876" s="17" t="inlineStr">
        <is>
          <t>TONER 051 A</t>
        </is>
      </c>
      <c r="B876" t="n">
        <v>0</v>
      </c>
    </row>
    <row r="877">
      <c r="A877" s="10" t="inlineStr">
        <is>
          <t>PLOMERIA</t>
        </is>
      </c>
      <c r="B877" t="n">
        <v>543</v>
      </c>
    </row>
    <row r="878">
      <c r="A878" s="17" t="inlineStr">
        <is>
          <t>ADAPTADOR 2"</t>
        </is>
      </c>
      <c r="B878" t="n">
        <v>0</v>
      </c>
    </row>
    <row r="879">
      <c r="A879" s="17" t="inlineStr">
        <is>
          <t>ADAPTADOR HEMBRA 1"</t>
        </is>
      </c>
      <c r="B879" t="n">
        <v>1</v>
      </c>
    </row>
    <row r="880">
      <c r="A880" s="17" t="inlineStr">
        <is>
          <t>ADAPTADOR HEMBRA 2"</t>
        </is>
      </c>
      <c r="B880" t="n">
        <v>2</v>
      </c>
    </row>
    <row r="881">
      <c r="A881" s="17" t="inlineStr">
        <is>
          <t>ADAPTADOR HEMBRA 2" PVC</t>
        </is>
      </c>
      <c r="B881" t="n">
        <v>1</v>
      </c>
    </row>
    <row r="882">
      <c r="A882" s="17" t="inlineStr">
        <is>
          <t>ADAPTADOR HEMBRA 3/4 PVC</t>
        </is>
      </c>
      <c r="B882" t="n">
        <v>2</v>
      </c>
    </row>
    <row r="883">
      <c r="A883" s="17" t="inlineStr">
        <is>
          <t>ADAPTADOR MACHO 1/2 PVC</t>
        </is>
      </c>
      <c r="B883" t="n">
        <v>3</v>
      </c>
    </row>
    <row r="884">
      <c r="A884" s="17" t="inlineStr">
        <is>
          <t>ADAPTADOR MACHO 3/4 PCV A ROSCA</t>
        </is>
      </c>
      <c r="B884" t="n">
        <v>5</v>
      </c>
    </row>
    <row r="885">
      <c r="A885" s="17" t="inlineStr">
        <is>
          <t>ADAPTADOR MACHO 3/4 PVC</t>
        </is>
      </c>
      <c r="B885" t="n">
        <v>2</v>
      </c>
    </row>
    <row r="886">
      <c r="A886" s="17" t="inlineStr">
        <is>
          <t>ADAPTADOR PLASTICO P/ TANQUE 1/2</t>
        </is>
      </c>
      <c r="B886" t="n">
        <v>0</v>
      </c>
    </row>
    <row r="887">
      <c r="A887" s="17" t="inlineStr">
        <is>
          <t>ANILLO 1" PVC</t>
        </is>
      </c>
      <c r="B887" t="n">
        <v>1</v>
      </c>
    </row>
    <row r="888">
      <c r="A888" s="17" t="inlineStr">
        <is>
          <t>ANILLO 1/2 PVC</t>
        </is>
      </c>
      <c r="B888" t="n">
        <v>1</v>
      </c>
    </row>
    <row r="889">
      <c r="A889" s="17" t="inlineStr">
        <is>
          <t>ANILLO 3/4 PVC</t>
        </is>
      </c>
      <c r="B889" t="n">
        <v>1</v>
      </c>
    </row>
    <row r="890">
      <c r="A890" s="17" t="inlineStr">
        <is>
          <t>CANILLA PLASTICA 1/2 X 1/2 40 CM</t>
        </is>
      </c>
      <c r="B890" t="n">
        <v>5</v>
      </c>
    </row>
    <row r="891">
      <c r="A891" s="17" t="inlineStr">
        <is>
          <t>CENTRO PISO ACERO INOXIDABLE 10 X 10</t>
        </is>
      </c>
      <c r="B891" t="n">
        <v>0</v>
      </c>
    </row>
    <row r="892">
      <c r="A892" s="17" t="inlineStr">
        <is>
          <t>CODO 45° 1" PVC</t>
        </is>
      </c>
      <c r="B892" t="n">
        <v>3</v>
      </c>
    </row>
    <row r="893">
      <c r="A893" s="17" t="inlineStr">
        <is>
          <t>CODO 45° 1/2 PVC</t>
        </is>
      </c>
      <c r="B893" t="n">
        <v>2</v>
      </c>
    </row>
    <row r="894">
      <c r="A894" s="17" t="inlineStr">
        <is>
          <t>CODO 45° 2" P/ AGUA NEGRA</t>
        </is>
      </c>
      <c r="B894" t="n">
        <v>0</v>
      </c>
    </row>
    <row r="895">
      <c r="A895" s="17" t="inlineStr">
        <is>
          <t>CODO 45° 3/4 PVC</t>
        </is>
      </c>
      <c r="B895" t="n">
        <v>25</v>
      </c>
    </row>
    <row r="896">
      <c r="A896" s="17" t="inlineStr">
        <is>
          <t>CODO 90° 1" PVC</t>
        </is>
      </c>
      <c r="B896" t="n">
        <v>10</v>
      </c>
    </row>
    <row r="897">
      <c r="A897" s="17" t="inlineStr">
        <is>
          <t>CODO 90° 1" ROSCA</t>
        </is>
      </c>
      <c r="B897" t="n">
        <v>0</v>
      </c>
    </row>
    <row r="898">
      <c r="A898" s="17" t="inlineStr">
        <is>
          <t>CODO 90° 2" P/ AGUA NEGRA</t>
        </is>
      </c>
      <c r="B898" t="n">
        <v>0</v>
      </c>
    </row>
    <row r="899">
      <c r="A899" s="17" t="inlineStr">
        <is>
          <t>CODO 90° 3" P/ AGUA NEGRA</t>
        </is>
      </c>
      <c r="B899" t="n">
        <v>0</v>
      </c>
    </row>
    <row r="900">
      <c r="A900" s="17" t="inlineStr">
        <is>
          <t>CODO 90° 3/4 PVC</t>
        </is>
      </c>
      <c r="B900" t="n">
        <v>143</v>
      </c>
    </row>
    <row r="901">
      <c r="A901" s="17" t="inlineStr">
        <is>
          <t>CODO 90° AGUA CALIENTE 1/2</t>
        </is>
      </c>
      <c r="B901" t="n">
        <v>0</v>
      </c>
    </row>
    <row r="902">
      <c r="A902" s="17" t="inlineStr">
        <is>
          <t>CODO 90° PVC 1/2</t>
        </is>
      </c>
      <c r="B902" t="n">
        <v>3</v>
      </c>
    </row>
    <row r="903">
      <c r="A903" s="17" t="inlineStr">
        <is>
          <t>CODO 90° ROSCA 1/2</t>
        </is>
      </c>
      <c r="B903" t="n">
        <v>0</v>
      </c>
    </row>
    <row r="904">
      <c r="A904" s="17" t="inlineStr">
        <is>
          <t>CONEXIÓN PARA MANGUERA 1/2 BRONCE BELT-G</t>
        </is>
      </c>
      <c r="B904" t="n">
        <v>1</v>
      </c>
    </row>
    <row r="905">
      <c r="A905" s="17" t="inlineStr">
        <is>
          <t>DESAGUE CON REJILLA ANTICUCARACHA</t>
        </is>
      </c>
      <c r="B905" t="n">
        <v>6</v>
      </c>
    </row>
    <row r="906">
      <c r="A906" s="17" t="inlineStr">
        <is>
          <t>FLOTANTE 1/2 BRONCE C/ BOLLA</t>
        </is>
      </c>
      <c r="B906" t="n">
        <v>1</v>
      </c>
    </row>
    <row r="907">
      <c r="A907" s="17" t="inlineStr">
        <is>
          <t>FLOTANTE 3/4 BRONCE C/ BOLLA</t>
        </is>
      </c>
      <c r="B907" t="n">
        <v>1</v>
      </c>
    </row>
    <row r="908">
      <c r="A908" s="17" t="inlineStr">
        <is>
          <t>FREGADERO1 CESTA EN ACERO 304</t>
        </is>
      </c>
      <c r="B908" t="n">
        <v>1</v>
      </c>
    </row>
    <row r="909">
      <c r="A909" s="17" t="inlineStr">
        <is>
          <t>GRIFO DE FREGADERO</t>
        </is>
      </c>
      <c r="B909" t="n">
        <v>1</v>
      </c>
    </row>
    <row r="910">
      <c r="A910" s="17" t="inlineStr">
        <is>
          <t>GRIFO LAVAMANO IND METALICO GRIVEN</t>
        </is>
      </c>
      <c r="B910" t="n">
        <v>9</v>
      </c>
    </row>
    <row r="911">
      <c r="A911" s="17" t="inlineStr">
        <is>
          <t>HERRAJE CON MANILLA GRIVEN</t>
        </is>
      </c>
      <c r="B911" t="n">
        <v>6</v>
      </c>
    </row>
    <row r="912">
      <c r="A912" s="17" t="inlineStr">
        <is>
          <t>IMPELLER P/BOMBA 1/2HP</t>
        </is>
      </c>
      <c r="B912" t="n">
        <v>1</v>
      </c>
    </row>
    <row r="913">
      <c r="A913" s="17" t="inlineStr">
        <is>
          <t>LLAVE DE ARRESTO 1/2 GRIVEN</t>
        </is>
      </c>
      <c r="B913" t="n">
        <v>4</v>
      </c>
    </row>
    <row r="914">
      <c r="A914" s="17" t="inlineStr">
        <is>
          <t>LLAVE DE CHORRO P/R</t>
        </is>
      </c>
      <c r="B914" t="n">
        <v>2</v>
      </c>
    </row>
    <row r="915">
      <c r="A915" s="17" t="inlineStr">
        <is>
          <t>LLAVE DE PASO 1/2 BRONCE IVANCI</t>
        </is>
      </c>
      <c r="B915" t="n">
        <v>1</v>
      </c>
    </row>
    <row r="916">
      <c r="A916" s="17" t="inlineStr">
        <is>
          <t>LLAVE DE PASO 3/4</t>
        </is>
      </c>
      <c r="B916" t="n">
        <v>9</v>
      </c>
    </row>
    <row r="917">
      <c r="A917" s="17" t="inlineStr">
        <is>
          <t>LLAVE DE PASO 3/4 BRONCE KOBATEX</t>
        </is>
      </c>
      <c r="B917" t="n">
        <v>0</v>
      </c>
    </row>
    <row r="918">
      <c r="A918" s="17" t="inlineStr">
        <is>
          <t>MANILLA DE POCETA</t>
        </is>
      </c>
      <c r="B918" t="n">
        <v>2</v>
      </c>
    </row>
    <row r="919">
      <c r="A919" s="17" t="inlineStr">
        <is>
          <t>NIPLE 1/2 X 10"</t>
        </is>
      </c>
      <c r="B919" t="n">
        <v>1</v>
      </c>
    </row>
    <row r="920">
      <c r="A920" s="17" t="inlineStr">
        <is>
          <t>NIPLE 3/4 X 10"</t>
        </is>
      </c>
      <c r="B920" t="n">
        <v>1</v>
      </c>
    </row>
    <row r="921">
      <c r="A921" s="17" t="inlineStr">
        <is>
          <t>PEGA PVC VERDE MULTI PROPOSITO</t>
        </is>
      </c>
      <c r="B921" t="n">
        <v>1</v>
      </c>
    </row>
    <row r="922">
      <c r="A922" s="17" t="inlineStr">
        <is>
          <t>PRESS CONTROL 110V</t>
        </is>
      </c>
      <c r="B922" t="n">
        <v>1</v>
      </c>
    </row>
    <row r="923">
      <c r="A923" s="17" t="inlineStr">
        <is>
          <t>REDUCCION 2" X 3/4 PVC</t>
        </is>
      </c>
      <c r="B923" t="n">
        <v>3</v>
      </c>
    </row>
    <row r="924">
      <c r="A924" s="17" t="inlineStr">
        <is>
          <t>REDUCCION 3/4 X 1/2 ROSCA PVC</t>
        </is>
      </c>
      <c r="B924" t="n">
        <v>1</v>
      </c>
    </row>
    <row r="925">
      <c r="A925" s="17" t="inlineStr">
        <is>
          <t>REDUCCION PLASTICA ROSCA 1 X 1/2</t>
        </is>
      </c>
      <c r="B925" t="n">
        <v>5</v>
      </c>
    </row>
    <row r="926">
      <c r="A926" s="17" t="inlineStr">
        <is>
          <t>REDUCCION PLASTICA ROSCA 1 X 3/4</t>
        </is>
      </c>
      <c r="B926" t="n">
        <v>1</v>
      </c>
    </row>
    <row r="927">
      <c r="A927" s="17" t="inlineStr">
        <is>
          <t>REDUCCION PLASTICA ROSCA 3/4 X 1/2</t>
        </is>
      </c>
      <c r="B927" t="n">
        <v>1</v>
      </c>
    </row>
    <row r="928">
      <c r="A928" s="17" t="inlineStr">
        <is>
          <t>REDUCTOR 1" A 3/4 PVC</t>
        </is>
      </c>
      <c r="B928" t="n">
        <v>1</v>
      </c>
    </row>
    <row r="929">
      <c r="A929" s="17" t="inlineStr">
        <is>
          <t>SELLO PARA BOMBA 1/2 HP</t>
        </is>
      </c>
      <c r="B929" t="n">
        <v>0</v>
      </c>
    </row>
    <row r="930">
      <c r="A930" s="17" t="inlineStr">
        <is>
          <t>SOPORTE PARA PAPEL SANITARIO</t>
        </is>
      </c>
      <c r="B930" t="n">
        <v>0</v>
      </c>
    </row>
    <row r="931">
      <c r="A931" s="17" t="inlineStr">
        <is>
          <t>T 1" PVC</t>
        </is>
      </c>
      <c r="B931" t="n">
        <v>0</v>
      </c>
    </row>
    <row r="932">
      <c r="A932" s="17" t="inlineStr">
        <is>
          <t xml:space="preserve">T 1/2 PVC </t>
        </is>
      </c>
      <c r="B932" t="n">
        <v>5</v>
      </c>
    </row>
    <row r="933">
      <c r="A933" s="17" t="inlineStr">
        <is>
          <t>T 3/4 PVC</t>
        </is>
      </c>
      <c r="B933" t="n">
        <v>38</v>
      </c>
    </row>
    <row r="934">
      <c r="A934" s="17" t="inlineStr">
        <is>
          <t>T AGUA CALIENTE 1/2</t>
        </is>
      </c>
      <c r="B934" t="n">
        <v>0</v>
      </c>
    </row>
    <row r="935">
      <c r="A935" s="17" t="inlineStr">
        <is>
          <t>TAPA POCETA BLANCO</t>
        </is>
      </c>
      <c r="B935" t="n">
        <v>7</v>
      </c>
    </row>
    <row r="936">
      <c r="A936" s="17" t="inlineStr">
        <is>
          <t>TAPON HEMBRA BLANCO 1/2 ROSCA</t>
        </is>
      </c>
      <c r="B936" t="n">
        <v>0</v>
      </c>
    </row>
    <row r="937">
      <c r="A937" s="17" t="inlineStr">
        <is>
          <t>TAPON HEMBRA PVC 3/4</t>
        </is>
      </c>
      <c r="B937" t="n">
        <v>5</v>
      </c>
    </row>
    <row r="938">
      <c r="A938" s="17" t="inlineStr">
        <is>
          <t>TAPON MACHO 3/4 PVC</t>
        </is>
      </c>
      <c r="B938" t="n">
        <v>0</v>
      </c>
    </row>
    <row r="939">
      <c r="A939" s="17" t="inlineStr">
        <is>
          <t>TAPON MACHO 3/4 ROSCA</t>
        </is>
      </c>
      <c r="B939" t="n">
        <v>1</v>
      </c>
    </row>
    <row r="940">
      <c r="A940" s="17" t="inlineStr">
        <is>
          <t>TUBO 1" PVC (METRO)</t>
        </is>
      </c>
      <c r="B940" t="n">
        <v>3</v>
      </c>
    </row>
    <row r="941">
      <c r="A941" s="17" t="inlineStr">
        <is>
          <t>TUBO 1/2 PVC (METRO)</t>
        </is>
      </c>
      <c r="B941" t="n">
        <v>6</v>
      </c>
    </row>
    <row r="942">
      <c r="A942" s="17" t="inlineStr">
        <is>
          <t>TUBO 3/4 PVC X METRO</t>
        </is>
      </c>
      <c r="B942" t="n">
        <v>179</v>
      </c>
    </row>
    <row r="943">
      <c r="A943" s="17" t="inlineStr">
        <is>
          <t>UNION 1/2 BLANCO</t>
        </is>
      </c>
      <c r="B943" t="n">
        <v>1</v>
      </c>
    </row>
    <row r="944">
      <c r="A944" s="17" t="inlineStr">
        <is>
          <t>UNION DRESS 1/2 AZUL</t>
        </is>
      </c>
      <c r="B944" t="n">
        <v>0</v>
      </c>
    </row>
    <row r="945">
      <c r="A945" s="17" t="inlineStr">
        <is>
          <t>UNION DRESS 1/2 BLANCO</t>
        </is>
      </c>
      <c r="B945" t="n">
        <v>0</v>
      </c>
    </row>
    <row r="946">
      <c r="A946" s="17" t="inlineStr">
        <is>
          <t>UNION DRESS 3"</t>
        </is>
      </c>
      <c r="B946" t="n">
        <v>0</v>
      </c>
    </row>
    <row r="947">
      <c r="A947" s="17" t="inlineStr">
        <is>
          <t>UNION DRESS 3/4 BLANCO</t>
        </is>
      </c>
      <c r="B947" t="n">
        <v>0</v>
      </c>
    </row>
    <row r="948">
      <c r="A948" s="17" t="inlineStr">
        <is>
          <t>UNION DRESS PVC 3/4</t>
        </is>
      </c>
      <c r="B948" t="n">
        <v>0</v>
      </c>
    </row>
    <row r="949">
      <c r="A949" s="17" t="inlineStr">
        <is>
          <t>UNION UNIVERSAL PVC 3/4</t>
        </is>
      </c>
      <c r="B949" t="n">
        <v>26</v>
      </c>
    </row>
    <row r="950">
      <c r="A950" s="17" t="inlineStr">
        <is>
          <t>VALVULA CHECK 1,5"</t>
        </is>
      </c>
      <c r="B950" t="n">
        <v>0</v>
      </c>
    </row>
    <row r="951">
      <c r="A951" s="17" t="inlineStr">
        <is>
          <t>VALVULA CHECK 1/2 BRONCE</t>
        </is>
      </c>
      <c r="B951" t="n">
        <v>0</v>
      </c>
    </row>
    <row r="952">
      <c r="A952" s="17" t="inlineStr">
        <is>
          <t>VALVULA CHECK 2"</t>
        </is>
      </c>
      <c r="B952" t="n">
        <v>0</v>
      </c>
    </row>
    <row r="953">
      <c r="A953" s="17" t="inlineStr">
        <is>
          <t>VALVULA CHECK 3/4 BRONCE</t>
        </is>
      </c>
      <c r="B953" t="n">
        <v>1</v>
      </c>
    </row>
    <row r="954">
      <c r="A954" s="17" t="inlineStr">
        <is>
          <t>VALVULA CHECK PVC 2"</t>
        </is>
      </c>
      <c r="B954" t="n">
        <v>0</v>
      </c>
    </row>
    <row r="955">
      <c r="A955" s="17" t="inlineStr">
        <is>
          <t>VALVULA DE PASO 1/2</t>
        </is>
      </c>
      <c r="B955" t="n">
        <v>0</v>
      </c>
    </row>
    <row r="956">
      <c r="A956" s="10" t="inlineStr">
        <is>
          <t>REFRIGERACION</t>
        </is>
      </c>
      <c r="B956" t="n">
        <v>901</v>
      </c>
    </row>
    <row r="957">
      <c r="A957" s="17" t="inlineStr">
        <is>
          <t>ACEITE REFRIGERANTE MINERAL GALON</t>
        </is>
      </c>
      <c r="B957" t="n">
        <v>2</v>
      </c>
    </row>
    <row r="958">
      <c r="A958" s="17" t="inlineStr">
        <is>
          <t>ACIDO A/A LIMPIADOR GALON</t>
        </is>
      </c>
      <c r="B958" t="n">
        <v>0</v>
      </c>
    </row>
    <row r="959">
      <c r="A959" s="17" t="inlineStr">
        <is>
          <t>ACUMULADOR DE SUCCION 3/4</t>
        </is>
      </c>
      <c r="B959" t="n">
        <v>2</v>
      </c>
    </row>
    <row r="960">
      <c r="A960" s="17" t="inlineStr">
        <is>
          <t>ARMAFLEX 1,1/8 X 3/8</t>
        </is>
      </c>
      <c r="B960" t="n">
        <v>8</v>
      </c>
    </row>
    <row r="961">
      <c r="A961" s="17" t="inlineStr">
        <is>
          <t>ARMAFLEX 3/4</t>
        </is>
      </c>
      <c r="B961" t="n">
        <v>150</v>
      </c>
    </row>
    <row r="962">
      <c r="A962" s="17" t="inlineStr">
        <is>
          <t>ARMAFLEX 7/8 X 3/8</t>
        </is>
      </c>
      <c r="B962" t="n">
        <v>61.5</v>
      </c>
    </row>
    <row r="963">
      <c r="A963" s="17" t="inlineStr">
        <is>
          <t>ASPA A/A 38,4 10M CCW</t>
        </is>
      </c>
      <c r="B963" t="n">
        <v>0</v>
      </c>
    </row>
    <row r="964">
      <c r="A964" s="17" t="inlineStr">
        <is>
          <t>ASPA METALICA VENTILADOR CW 8"</t>
        </is>
      </c>
      <c r="B964" t="n">
        <v>0</v>
      </c>
    </row>
    <row r="965">
      <c r="A965" s="17" t="inlineStr">
        <is>
          <t>BASE PARA A/A 100 KG</t>
        </is>
      </c>
      <c r="B965" t="n">
        <v>0</v>
      </c>
    </row>
    <row r="966">
      <c r="A966" s="17" t="inlineStr">
        <is>
          <t>BASE PARA A/A 120 KG</t>
        </is>
      </c>
      <c r="B966" t="n">
        <v>0</v>
      </c>
    </row>
    <row r="967">
      <c r="A967" s="17" t="inlineStr">
        <is>
          <t>BASE PARA A/A 200 KG</t>
        </is>
      </c>
      <c r="B967" t="n">
        <v>0</v>
      </c>
    </row>
    <row r="968">
      <c r="A968" s="17" t="inlineStr">
        <is>
          <t>BATERIA CR2032 3V</t>
        </is>
      </c>
      <c r="B968" t="n">
        <v>0</v>
      </c>
    </row>
    <row r="969">
      <c r="A969" s="17" t="inlineStr">
        <is>
          <t>BIMETALICO</t>
        </is>
      </c>
      <c r="B969" t="n">
        <v>2</v>
      </c>
    </row>
    <row r="970">
      <c r="A970" s="17" t="inlineStr">
        <is>
          <t>BOBINA ELECTROMAGNETICA PARA ELECTROVALVULA DANFOSS</t>
        </is>
      </c>
      <c r="B970" t="n">
        <v>0</v>
      </c>
    </row>
    <row r="971">
      <c r="A971" s="17" t="inlineStr">
        <is>
          <t>BOMBONA DE GAS PROPANO</t>
        </is>
      </c>
      <c r="B971" t="n">
        <v>25</v>
      </c>
    </row>
    <row r="972">
      <c r="A972" s="17" t="inlineStr">
        <is>
          <t>BOMBONA REFRIGERANTE R-22</t>
        </is>
      </c>
      <c r="B972" t="n">
        <v>1</v>
      </c>
    </row>
    <row r="973">
      <c r="A973" s="17" t="inlineStr">
        <is>
          <t>BOMBONA REFRIGERANTE R404</t>
        </is>
      </c>
      <c r="B973" t="n">
        <v>1</v>
      </c>
    </row>
    <row r="974">
      <c r="A974" s="17" t="inlineStr">
        <is>
          <t>BOMBONA REFRIGERANTE R410</t>
        </is>
      </c>
      <c r="B974" t="n">
        <v>3</v>
      </c>
    </row>
    <row r="975">
      <c r="A975" s="17" t="inlineStr">
        <is>
          <t>BUJE O SOPORTE DE GOMA DE COMPRESOR</t>
        </is>
      </c>
      <c r="B975" t="n">
        <v>0</v>
      </c>
    </row>
    <row r="976">
      <c r="A976" s="17" t="inlineStr">
        <is>
          <t>CAPACITOR  DE ARRANQUE 161MFD 193-330</t>
        </is>
      </c>
      <c r="B976" t="n">
        <v>1</v>
      </c>
    </row>
    <row r="977">
      <c r="A977" s="17" t="inlineStr">
        <is>
          <t>CAPACITOR  DE ARRANQUE 64-77MFD 330VAC</t>
        </is>
      </c>
      <c r="B977" t="n">
        <v>1</v>
      </c>
    </row>
    <row r="978">
      <c r="A978" s="17" t="inlineStr">
        <is>
          <t>CAPACITOR 12 MFD 450V</t>
        </is>
      </c>
      <c r="B978" t="n">
        <v>1</v>
      </c>
    </row>
    <row r="979">
      <c r="A979" s="17" t="inlineStr">
        <is>
          <t>CAPACITOR 40+15 MFD 250 V</t>
        </is>
      </c>
      <c r="B979" t="n">
        <v>0</v>
      </c>
    </row>
    <row r="980">
      <c r="A980" s="17" t="inlineStr">
        <is>
          <t>CAPACITOR 40+15 MFD 370V EN ACEITE</t>
        </is>
      </c>
      <c r="B980" t="n">
        <v>0</v>
      </c>
    </row>
    <row r="981">
      <c r="A981" s="17" t="inlineStr">
        <is>
          <t>CAPACITOR DE A/A 1,5 MFD 450V CUADRADO</t>
        </is>
      </c>
      <c r="B981" t="n">
        <v>0</v>
      </c>
    </row>
    <row r="982">
      <c r="A982" s="17" t="inlineStr">
        <is>
          <t>CAPACITOR DE A/A VENT 5 MFD 450V CUADRADO</t>
        </is>
      </c>
      <c r="B982" t="n">
        <v>0</v>
      </c>
    </row>
    <row r="983">
      <c r="A983" s="17" t="inlineStr">
        <is>
          <t>CAPACITOR DE ARRANQUE 108MFD 130-330V</t>
        </is>
      </c>
      <c r="B983" t="n">
        <v>1</v>
      </c>
    </row>
    <row r="984">
      <c r="A984" s="17" t="inlineStr">
        <is>
          <t>CAPACITOR DE ARRANQUE 88MFD 108-330V</t>
        </is>
      </c>
      <c r="B984" t="n">
        <v>0</v>
      </c>
    </row>
    <row r="985">
      <c r="A985" s="17" t="inlineStr">
        <is>
          <t>CAPACITOR DE ARRANQUE NEV 145-175 125V</t>
        </is>
      </c>
      <c r="B985" t="n">
        <v>0</v>
      </c>
    </row>
    <row r="986">
      <c r="A986" s="17" t="inlineStr">
        <is>
          <t>CAPACITOR DE MARCHA 20/1,5 MFD 450V</t>
        </is>
      </c>
      <c r="B986" t="n">
        <v>0</v>
      </c>
    </row>
    <row r="987">
      <c r="A987" s="17" t="inlineStr">
        <is>
          <t>CAPACITOR DE MARCHA 30+3 MFD 440/450 VAC</t>
        </is>
      </c>
      <c r="B987" t="n">
        <v>0</v>
      </c>
    </row>
    <row r="988">
      <c r="A988" s="17" t="inlineStr">
        <is>
          <t>CAPACITOR DE MARCHA 35+5 MFD 370/440 VAC</t>
        </is>
      </c>
      <c r="B988" t="n">
        <v>0</v>
      </c>
    </row>
    <row r="989">
      <c r="A989" s="17" t="inlineStr">
        <is>
          <t>CAPACITOR DE MARCHA 35+7 MFD 440/450 VAC</t>
        </is>
      </c>
      <c r="B989" t="n">
        <v>0</v>
      </c>
    </row>
    <row r="990">
      <c r="A990" s="17" t="inlineStr">
        <is>
          <t>CAPACITOR DE MARCHA 5 MFD</t>
        </is>
      </c>
      <c r="B990" t="n">
        <v>1</v>
      </c>
    </row>
    <row r="991">
      <c r="A991" s="17" t="inlineStr">
        <is>
          <t>CAPACITOR DE MARCHA 60 MFD 370/440 VAC</t>
        </is>
      </c>
      <c r="B991" t="n">
        <v>2</v>
      </c>
    </row>
    <row r="992">
      <c r="A992" s="17" t="inlineStr">
        <is>
          <t>CAPACITOR DE MARCHA 7MCF 370/440V</t>
        </is>
      </c>
      <c r="B992" t="n">
        <v>1</v>
      </c>
    </row>
    <row r="993">
      <c r="A993" s="17" t="inlineStr">
        <is>
          <t>CAPACITOR DE MARCHA 80 MFD 440/450 VAC</t>
        </is>
      </c>
      <c r="B993" t="n">
        <v>0</v>
      </c>
    </row>
    <row r="994">
      <c r="A994" s="17" t="inlineStr">
        <is>
          <t>CAPACITOR PERMANENTE 145-174 MFD 11OV</t>
        </is>
      </c>
      <c r="B994" t="n">
        <v>0</v>
      </c>
    </row>
    <row r="995">
      <c r="A995" s="17" t="inlineStr">
        <is>
          <t>CAPILAR 0,07 (METRO)</t>
        </is>
      </c>
      <c r="B995" t="n">
        <v>0</v>
      </c>
    </row>
    <row r="996">
      <c r="A996" s="17" t="inlineStr">
        <is>
          <t>CAPILAR 0,54 (METRO)</t>
        </is>
      </c>
      <c r="B996" t="n">
        <v>0</v>
      </c>
    </row>
    <row r="997">
      <c r="A997" s="17" t="inlineStr">
        <is>
          <t>CAPILAR 0.42 (METRO)</t>
        </is>
      </c>
      <c r="B997" t="n">
        <v>3</v>
      </c>
    </row>
    <row r="998">
      <c r="A998" s="17" t="inlineStr">
        <is>
          <t>CAPILAR 0.49 (METRO)</t>
        </is>
      </c>
      <c r="B998" t="n">
        <v>9</v>
      </c>
    </row>
    <row r="999">
      <c r="A999" s="17" t="inlineStr">
        <is>
          <t>CAPILAR 3/4 (METRO)</t>
        </is>
      </c>
      <c r="B999" t="n">
        <v>0</v>
      </c>
    </row>
    <row r="1000">
      <c r="A1000" s="17" t="inlineStr">
        <is>
          <t>CINTA AISLANTE NO ADHESIVA 2" 15M MOMIA</t>
        </is>
      </c>
      <c r="B1000" t="n">
        <v>20</v>
      </c>
    </row>
    <row r="1001">
      <c r="A1001" s="17" t="inlineStr">
        <is>
          <t>CODO DE COBRE SOLDABLE 90° 1/2</t>
        </is>
      </c>
      <c r="B1001" t="n">
        <v>8</v>
      </c>
    </row>
    <row r="1002">
      <c r="A1002" s="17" t="inlineStr">
        <is>
          <t>CODO DE COBRE SOLDABLE 90° 3/4</t>
        </is>
      </c>
      <c r="B1002" t="n">
        <v>54</v>
      </c>
    </row>
    <row r="1003">
      <c r="A1003" s="17" t="inlineStr">
        <is>
          <t>CODO DE COBRE SOLDABLE 90° 3/8</t>
        </is>
      </c>
      <c r="B1003" t="n">
        <v>30</v>
      </c>
    </row>
    <row r="1004">
      <c r="A1004" s="17" t="inlineStr">
        <is>
          <t>CODO DE COBRE SOLDABLE 90° 5/8</t>
        </is>
      </c>
      <c r="B1004" t="n">
        <v>28</v>
      </c>
    </row>
    <row r="1005">
      <c r="A1005" s="17" t="inlineStr">
        <is>
          <t>CODO DE COBRE SOLDABLE 90° 7/8</t>
        </is>
      </c>
      <c r="B1005" t="n">
        <v>0</v>
      </c>
    </row>
    <row r="1006">
      <c r="A1006" s="17" t="inlineStr">
        <is>
          <t>COMPRESOR  CUBIGEL 1/2HP R-134-A 220V</t>
        </is>
      </c>
      <c r="B1006" t="n">
        <v>1</v>
      </c>
    </row>
    <row r="1007">
      <c r="A1007" s="17" t="inlineStr">
        <is>
          <t>COMPRESOR 1HP 220V/R-404 MONOFASICO</t>
        </is>
      </c>
      <c r="B1007" t="n">
        <v>1</v>
      </c>
    </row>
    <row r="1008">
      <c r="A1008" s="17" t="inlineStr">
        <is>
          <t>COMPRESOR 2 HPCOPELAND 220V R-22</t>
        </is>
      </c>
      <c r="B1008" t="n">
        <v>1</v>
      </c>
    </row>
    <row r="1009">
      <c r="A1009" s="17" t="inlineStr">
        <is>
          <t>COMPRESOR 3/4 HP 220V R-404 CUBIGEL</t>
        </is>
      </c>
      <c r="B1009" t="n">
        <v>0</v>
      </c>
    </row>
    <row r="1010">
      <c r="A1010" s="17" t="inlineStr">
        <is>
          <t>COMPRESOR 3/4 HP SECOP 220V R404A</t>
        </is>
      </c>
      <c r="B1010" t="n">
        <v>0</v>
      </c>
    </row>
    <row r="1011">
      <c r="A1011" s="17" t="inlineStr">
        <is>
          <t xml:space="preserve">COMPRESOR 5 TON. R22 220V </t>
        </is>
      </c>
      <c r="B1011" t="n">
        <v>3</v>
      </c>
    </row>
    <row r="1012">
      <c r="A1012" s="17" t="inlineStr">
        <is>
          <t>COMPRESOR 5HP PANASONIC R410A 220V</t>
        </is>
      </c>
      <c r="B1012" t="n">
        <v>2</v>
      </c>
    </row>
    <row r="1013">
      <c r="A1013" s="17" t="inlineStr">
        <is>
          <t>COMPRESOR DE PISTON/RECI 5HP R22 220V COPELAND</t>
        </is>
      </c>
      <c r="B1013" t="n">
        <v>1</v>
      </c>
    </row>
    <row r="1014">
      <c r="A1014" s="17" t="inlineStr">
        <is>
          <t>COMPRESOR GMCC 1HP-R134-A 110V</t>
        </is>
      </c>
      <c r="B1014" t="n">
        <v>1</v>
      </c>
    </row>
    <row r="1015">
      <c r="A1015" s="17" t="inlineStr">
        <is>
          <t>COMPRESOR SELLADO 1HP R-404-R22 220V CUBIGEL</t>
        </is>
      </c>
      <c r="B1015" t="n">
        <v>4</v>
      </c>
    </row>
    <row r="1016">
      <c r="A1016" s="17" t="inlineStr">
        <is>
          <t>COMPRESOR TECUMSEH 1,5 HP 220V R-22</t>
        </is>
      </c>
      <c r="B1016" t="n">
        <v>1</v>
      </c>
    </row>
    <row r="1017">
      <c r="A1017" s="17" t="inlineStr">
        <is>
          <t>COMPRESOR TECUMSEH 1,5 HP 220V R-404 CONGELACION</t>
        </is>
      </c>
      <c r="B1017" t="n">
        <v>0</v>
      </c>
    </row>
    <row r="1018">
      <c r="A1018" s="17" t="inlineStr">
        <is>
          <t>COMPRESOR TECUMSEH 3/4 220V R-404</t>
        </is>
      </c>
      <c r="B1018" t="n">
        <v>0</v>
      </c>
    </row>
    <row r="1019">
      <c r="A1019" s="17" t="inlineStr">
        <is>
          <t>CONDENSADOR 15 MCF 400V</t>
        </is>
      </c>
      <c r="B1019" t="n">
        <v>2</v>
      </c>
    </row>
    <row r="1020">
      <c r="A1020" s="17" t="inlineStr">
        <is>
          <t>CONDENSADOR 22 MCF 400V</t>
        </is>
      </c>
      <c r="B1020" t="n">
        <v>2</v>
      </c>
    </row>
    <row r="1021">
      <c r="A1021" s="17" t="inlineStr">
        <is>
          <t>CONDENSADOR 5 MCF 250V</t>
        </is>
      </c>
      <c r="B1021" t="n">
        <v>1</v>
      </c>
    </row>
    <row r="1022">
      <c r="A1022" s="17" t="inlineStr">
        <is>
          <t>CONDENSADOR 684 J/ 630 V</t>
        </is>
      </c>
      <c r="B1022" t="n">
        <v>1</v>
      </c>
    </row>
    <row r="1023">
      <c r="A1023" s="17" t="inlineStr">
        <is>
          <t>CONDENSADOR A/A 30+5MFD 440V</t>
        </is>
      </c>
      <c r="B1023" t="n">
        <v>0</v>
      </c>
    </row>
    <row r="1024">
      <c r="A1024" s="17" t="inlineStr">
        <is>
          <t>CONDENSADOR A/A 35+6MFD 440V EN ACEITE</t>
        </is>
      </c>
      <c r="B1024" t="n">
        <v>0</v>
      </c>
    </row>
    <row r="1025">
      <c r="A1025" s="17" t="inlineStr">
        <is>
          <t>CONDENSADOR A/A 45+5MFD 450V</t>
        </is>
      </c>
      <c r="B1025" t="n">
        <v>3</v>
      </c>
    </row>
    <row r="1026">
      <c r="A1026" s="17" t="inlineStr">
        <is>
          <t>CONDENSADOR A/A 60MF 450V EN ACEITE</t>
        </is>
      </c>
      <c r="B1026" t="n">
        <v>0</v>
      </c>
    </row>
    <row r="1027">
      <c r="A1027" s="17" t="inlineStr">
        <is>
          <t>CONDENSADOR A/A 80MFD 370-440V</t>
        </is>
      </c>
      <c r="B1027" t="n">
        <v>0</v>
      </c>
    </row>
    <row r="1028">
      <c r="A1028" s="17" t="inlineStr">
        <is>
          <t>CONDENSADOR A/A VENTANA 2 MF 450V CUADRADO</t>
        </is>
      </c>
      <c r="B1028" t="n">
        <v>0</v>
      </c>
    </row>
    <row r="1029">
      <c r="A1029" s="17" t="inlineStr">
        <is>
          <t>CONTACTOR 30A 2 POLOS 110V</t>
        </is>
      </c>
      <c r="B1029" t="n">
        <v>0</v>
      </c>
    </row>
    <row r="1030">
      <c r="A1030" s="17" t="inlineStr">
        <is>
          <t>CONTACTOR 40A 2 POLOS 240V</t>
        </is>
      </c>
      <c r="B1030" t="n">
        <v>13</v>
      </c>
    </row>
    <row r="1031">
      <c r="A1031" s="17" t="inlineStr">
        <is>
          <t>CONTACTOR 50A 3 POLOS 220V</t>
        </is>
      </c>
      <c r="B1031" t="n">
        <v>1</v>
      </c>
    </row>
    <row r="1032">
      <c r="A1032" s="17" t="inlineStr">
        <is>
          <t>CONTACTOR 60A/70A 3 POLOS 220V</t>
        </is>
      </c>
      <c r="B1032" t="n">
        <v>1</v>
      </c>
    </row>
    <row r="1033">
      <c r="A1033" s="17" t="inlineStr">
        <is>
          <t>CONTROL DE PRESION DE BAJA RANCO</t>
        </is>
      </c>
      <c r="B1033" t="n">
        <v>0</v>
      </c>
    </row>
    <row r="1034">
      <c r="A1034" s="17" t="inlineStr">
        <is>
          <t>CONTROLADOR DIGITAL CONSERVACION</t>
        </is>
      </c>
      <c r="B1034" t="n">
        <v>0</v>
      </c>
    </row>
    <row r="1035">
      <c r="A1035" s="17" t="inlineStr">
        <is>
          <t>CONTROLADOR DIGITAL FULL GAUGE</t>
        </is>
      </c>
      <c r="B1035" t="n">
        <v>1</v>
      </c>
    </row>
    <row r="1036">
      <c r="A1036" s="17" t="inlineStr">
        <is>
          <t>CONTROLADOR ELECTRONICO DE REFRIGERACION DANFOSS</t>
        </is>
      </c>
      <c r="B1036" t="n">
        <v>0</v>
      </c>
    </row>
    <row r="1037">
      <c r="A1037" s="17" t="inlineStr">
        <is>
          <t>COPA 3/8 REFORZADA</t>
        </is>
      </c>
      <c r="B1037" t="n">
        <v>10</v>
      </c>
    </row>
    <row r="1038">
      <c r="A1038" s="17" t="inlineStr">
        <is>
          <t>DIELECTRICO 0,5KG</t>
        </is>
      </c>
      <c r="B1038" t="n">
        <v>2</v>
      </c>
    </row>
    <row r="1039">
      <c r="A1039" s="17" t="inlineStr">
        <is>
          <t>DIELECTRICO 1KG</t>
        </is>
      </c>
      <c r="B1039" t="n">
        <v>87.5</v>
      </c>
    </row>
    <row r="1040">
      <c r="A1040" s="17" t="inlineStr">
        <is>
          <t>FILTRO SEC BULL 3/8 3-6 TON ROSCA</t>
        </is>
      </c>
      <c r="B1040" t="n">
        <v>8</v>
      </c>
    </row>
    <row r="1041">
      <c r="A1041" s="17" t="inlineStr">
        <is>
          <t>FILTRO SECADOR 1 TON X 1/4 SOLDAR</t>
        </is>
      </c>
      <c r="B1041" t="n">
        <v>2</v>
      </c>
    </row>
    <row r="1042">
      <c r="A1042" s="17" t="inlineStr">
        <is>
          <t>FILTRO SECADOR 25G 1/4-1/3 GRANDE</t>
        </is>
      </c>
      <c r="B1042" t="n">
        <v>0</v>
      </c>
    </row>
    <row r="1043">
      <c r="A1043" s="17" t="inlineStr">
        <is>
          <t>FILTRO SECADOR 3/8 SEK-163S 3-4 TON SOLDABLE</t>
        </is>
      </c>
      <c r="B1043" t="n">
        <v>1</v>
      </c>
    </row>
    <row r="1044">
      <c r="A1044" s="17" t="inlineStr">
        <is>
          <t>FILTRO SECADOR 5/16-1/4 30G</t>
        </is>
      </c>
      <c r="B1044" t="n">
        <v>2</v>
      </c>
    </row>
    <row r="1045">
      <c r="A1045" s="17" t="inlineStr">
        <is>
          <t>FILTRO SECADOR A.R. COMPONENTS 1/4 RFR-32</t>
        </is>
      </c>
      <c r="B1045" t="n">
        <v>1</v>
      </c>
    </row>
    <row r="1046">
      <c r="A1046" s="17" t="inlineStr">
        <is>
          <t>FILTRO SECADOR A.R. COMPONENTS 5/8 RFR-165</t>
        </is>
      </c>
      <c r="B1046" t="n">
        <v>0</v>
      </c>
    </row>
    <row r="1047">
      <c r="A1047" s="17" t="inlineStr">
        <is>
          <t>FILTRO SECADOR EVERWELL 3/8 SEK-083</t>
        </is>
      </c>
      <c r="B1047" t="n">
        <v>0</v>
      </c>
    </row>
    <row r="1048">
      <c r="A1048" s="17" t="inlineStr">
        <is>
          <t>FILTRO SECADOR KHALED 1/2 FEKH-164</t>
        </is>
      </c>
      <c r="B1048" t="n">
        <v>0</v>
      </c>
    </row>
    <row r="1049">
      <c r="A1049" s="17" t="inlineStr">
        <is>
          <t>FILTRO SECADOR KHALED 1/4 FEKH-052</t>
        </is>
      </c>
      <c r="B1049" t="n">
        <v>0</v>
      </c>
    </row>
    <row r="1050">
      <c r="A1050" s="17" t="inlineStr">
        <is>
          <t>FILTRO SECADOR KHALED 1/4-7/16</t>
        </is>
      </c>
      <c r="B1050" t="n">
        <v>0</v>
      </c>
    </row>
    <row r="1051">
      <c r="A1051" s="17" t="inlineStr">
        <is>
          <t>FILTRO SECADOR KHALED 5/8 FEKH-165</t>
        </is>
      </c>
      <c r="B1051" t="n">
        <v>0</v>
      </c>
    </row>
    <row r="1052">
      <c r="A1052" s="17" t="inlineStr">
        <is>
          <t>FILTRO SECADOR QA QUALITY 3/8 SEK-163F</t>
        </is>
      </c>
      <c r="B1052" t="n">
        <v>1</v>
      </c>
    </row>
    <row r="1053">
      <c r="A1053" s="17" t="inlineStr">
        <is>
          <t>FILTRO SECADOR SEK-164 1/2 4-6 TON ROSCABLE</t>
        </is>
      </c>
      <c r="B1053" t="n">
        <v>0</v>
      </c>
    </row>
    <row r="1054">
      <c r="A1054" s="17" t="inlineStr">
        <is>
          <t>FILTRO SECADOR SOLDABLE 1/2</t>
        </is>
      </c>
      <c r="B1054" t="n">
        <v>3</v>
      </c>
    </row>
    <row r="1055">
      <c r="A1055" s="17" t="inlineStr">
        <is>
          <t>FILTRO SECADOR SOLDABLE 1/2 EVERWELL</t>
        </is>
      </c>
      <c r="B1055" t="n">
        <v>2</v>
      </c>
    </row>
    <row r="1056">
      <c r="A1056" s="17" t="inlineStr">
        <is>
          <t>FILTRO SECADOR SOLDABLE 3/8</t>
        </is>
      </c>
      <c r="B1056" t="n">
        <v>1</v>
      </c>
    </row>
    <row r="1057">
      <c r="A1057" s="17" t="inlineStr">
        <is>
          <t>FUNDENTE EN PASTA FLUX-4</t>
        </is>
      </c>
      <c r="B1057" t="n">
        <v>0</v>
      </c>
    </row>
    <row r="1058">
      <c r="A1058" s="17" t="inlineStr">
        <is>
          <t>MANGUERA DE DESAGUE A/A 1/2 1,5M</t>
        </is>
      </c>
      <c r="B1058" t="n">
        <v>0</v>
      </c>
    </row>
    <row r="1059">
      <c r="A1059" s="17" t="inlineStr">
        <is>
          <t>MANGUERA DESAGUE A/A 1/2" 2M</t>
        </is>
      </c>
      <c r="B1059" t="n">
        <v>0</v>
      </c>
    </row>
    <row r="1060">
      <c r="A1060" s="17" t="inlineStr">
        <is>
          <t>MANOMETRO DE BAJA PRESION</t>
        </is>
      </c>
      <c r="B1060" t="n">
        <v>0</v>
      </c>
    </row>
    <row r="1061">
      <c r="A1061" s="17" t="inlineStr">
        <is>
          <t>MANOMETRO DE BAJA PRESION C/GLISERINA</t>
        </is>
      </c>
      <c r="B1061" t="n">
        <v>0</v>
      </c>
    </row>
    <row r="1062">
      <c r="A1062" s="17" t="inlineStr">
        <is>
          <t>MANOMETRO DE REFRIGERACION HONGSEN</t>
        </is>
      </c>
      <c r="B1062" t="n">
        <v>0</v>
      </c>
    </row>
    <row r="1063">
      <c r="A1063" s="17" t="inlineStr">
        <is>
          <t>MOTOR AXIAL 12" 1500/1580 RPM 220V KIEL</t>
        </is>
      </c>
      <c r="B1063" t="n">
        <v>11</v>
      </c>
    </row>
    <row r="1064">
      <c r="A1064" s="17" t="inlineStr">
        <is>
          <t>MOTOR AXIAL 18" 1500/1580 RPM 220V KIEL</t>
        </is>
      </c>
      <c r="B1064" t="n">
        <v>1</v>
      </c>
    </row>
    <row r="1065">
      <c r="A1065" s="17" t="inlineStr">
        <is>
          <t>MOTOR AXIAL 20" 1500/1580 RPM 220V KIEL</t>
        </is>
      </c>
      <c r="B1065" t="n">
        <v>1</v>
      </c>
    </row>
    <row r="1066">
      <c r="A1066" s="17" t="inlineStr">
        <is>
          <t>MOTOR VENTILADOR 18W 100V/220V</t>
        </is>
      </c>
      <c r="B1066" t="n">
        <v>0</v>
      </c>
    </row>
    <row r="1067">
      <c r="A1067" s="17" t="inlineStr">
        <is>
          <t>MOTOR VENTILADOR A/A 1/2 HP 220V</t>
        </is>
      </c>
      <c r="B1067" t="n">
        <v>1</v>
      </c>
    </row>
    <row r="1068">
      <c r="A1068" s="17" t="inlineStr">
        <is>
          <t>MOTOR VENTILADOR FANCOOLERS ACFAN 12881BITL</t>
        </is>
      </c>
      <c r="B1068" t="n">
        <v>1</v>
      </c>
    </row>
    <row r="1069">
      <c r="A1069" s="17" t="inlineStr">
        <is>
          <t>ORIFICO PARA VALVULA DE EXPANSIÓN</t>
        </is>
      </c>
      <c r="B1069" t="n">
        <v>0</v>
      </c>
    </row>
    <row r="1070">
      <c r="A1070" s="17" t="inlineStr">
        <is>
          <t>PRESOSTATO ALTA PRESION A.R. COMPONENTS</t>
        </is>
      </c>
      <c r="B1070" t="n">
        <v>0</v>
      </c>
    </row>
    <row r="1071">
      <c r="A1071" s="17" t="inlineStr">
        <is>
          <t>PRESOSTATO ALTA PRESION EVERWELL PH 35025</t>
        </is>
      </c>
      <c r="B1071" t="n">
        <v>1</v>
      </c>
    </row>
    <row r="1072">
      <c r="A1072" s="17" t="inlineStr">
        <is>
          <t>PRESOSTATO DUAL DE ALTA Y BAJA PRESION</t>
        </is>
      </c>
      <c r="B1072" t="n">
        <v>0</v>
      </c>
    </row>
    <row r="1073">
      <c r="A1073" s="17" t="inlineStr">
        <is>
          <t>PROGRAMADOR DE HORARIO DIARIO SEMANAL 110-220</t>
        </is>
      </c>
      <c r="B1073" t="n">
        <v>18</v>
      </c>
    </row>
    <row r="1074">
      <c r="A1074" s="17" t="inlineStr">
        <is>
          <t>PROTECTOR TERMICO COMPRESOR</t>
        </is>
      </c>
      <c r="B1074" t="n">
        <v>0</v>
      </c>
    </row>
    <row r="1075">
      <c r="A1075" s="17" t="inlineStr">
        <is>
          <t>PROTECTOR TERMICO P/MOTORES DE REFRIGERACION 1/3 HP</t>
        </is>
      </c>
      <c r="B1075" t="n">
        <v>0</v>
      </c>
    </row>
    <row r="1076">
      <c r="A1076" s="17" t="inlineStr">
        <is>
          <t>PROTECTOR TERMICO P/MOTORES DE REFRIGERACION 1/4 HP</t>
        </is>
      </c>
      <c r="B1076" t="n">
        <v>0</v>
      </c>
    </row>
    <row r="1077">
      <c r="A1077" s="17" t="inlineStr">
        <is>
          <t>RELAY FAN 24V 4 TERM RF-90360</t>
        </is>
      </c>
      <c r="B1077" t="n">
        <v>0</v>
      </c>
    </row>
    <row r="1078">
      <c r="A1078" s="17" t="inlineStr">
        <is>
          <t>RELAY NEV. ELECTRO 4 PATAS</t>
        </is>
      </c>
      <c r="B1078" t="n">
        <v>0</v>
      </c>
    </row>
    <row r="1079">
      <c r="A1079" s="17" t="inlineStr">
        <is>
          <t>RELEY DE ARRANQUE P/COMPRESOR 4 PATAS</t>
        </is>
      </c>
      <c r="B1079" t="n">
        <v>0</v>
      </c>
    </row>
    <row r="1080">
      <c r="A1080" s="17" t="inlineStr">
        <is>
          <t>RELEY FAN 90-360 24V</t>
        </is>
      </c>
      <c r="B1080" t="n">
        <v>0</v>
      </c>
    </row>
    <row r="1081">
      <c r="A1081" s="17" t="inlineStr">
        <is>
          <t>RELEY POTENCIAL AA 64  220V</t>
        </is>
      </c>
      <c r="B1081" t="n">
        <v>0</v>
      </c>
    </row>
    <row r="1082">
      <c r="A1082" s="17" t="inlineStr">
        <is>
          <t>RELEY TEMPORIZADOR MODULAR DLT RP522TH00</t>
        </is>
      </c>
      <c r="B1082" t="n">
        <v>0</v>
      </c>
    </row>
    <row r="1083">
      <c r="A1083" s="17" t="inlineStr">
        <is>
          <t>SENSOR DE TEMPERATURA PARA A/A</t>
        </is>
      </c>
      <c r="B1083" t="n">
        <v>1</v>
      </c>
    </row>
    <row r="1084">
      <c r="A1084" s="17" t="inlineStr">
        <is>
          <t>SEPARADOR DE ACEITE 5/8</t>
        </is>
      </c>
      <c r="B1084" t="n">
        <v>2</v>
      </c>
    </row>
    <row r="1085">
      <c r="A1085" s="17" t="inlineStr">
        <is>
          <t>SIFON DE COBRE 5/8</t>
        </is>
      </c>
      <c r="B1085" t="n">
        <v>0</v>
      </c>
    </row>
    <row r="1086">
      <c r="A1086" s="17" t="inlineStr">
        <is>
          <t>SISTEMA DE CONTROL UNIVERSAL PARA A/A</t>
        </is>
      </c>
      <c r="B1086" t="n">
        <v>0</v>
      </c>
    </row>
    <row r="1087">
      <c r="A1087" s="17" t="inlineStr">
        <is>
          <t>TEMPORIZADOR DE DESCONGELACION UNIV. GRADUABLE</t>
        </is>
      </c>
      <c r="B1087" t="n">
        <v>1</v>
      </c>
    </row>
    <row r="1088">
      <c r="A1088" s="17" t="inlineStr">
        <is>
          <t>TEMPORIZADOR DE RETARDO EVERWELL DOB-072</t>
        </is>
      </c>
      <c r="B1088" t="n">
        <v>1</v>
      </c>
    </row>
    <row r="1089">
      <c r="A1089" s="17" t="inlineStr">
        <is>
          <t>TEMPORIZADOR DE RETARDO QD-072</t>
        </is>
      </c>
      <c r="B1089" t="n">
        <v>2</v>
      </c>
    </row>
    <row r="1090">
      <c r="A1090" s="17" t="inlineStr">
        <is>
          <t>TERMICO NEV. 1/3 HP 110V</t>
        </is>
      </c>
      <c r="B1090" t="n">
        <v>0</v>
      </c>
    </row>
    <row r="1091">
      <c r="A1091" s="17" t="inlineStr">
        <is>
          <t>TERMICO NEV. 1/4 HP 110V</t>
        </is>
      </c>
      <c r="B1091" t="n">
        <v>0</v>
      </c>
    </row>
    <row r="1092">
      <c r="A1092" s="17" t="inlineStr">
        <is>
          <t>TERMOMETRO DIGITAL PORTATIL CON DISPLAY</t>
        </is>
      </c>
      <c r="B1092" t="n">
        <v>0</v>
      </c>
    </row>
    <row r="1093">
      <c r="A1093" s="17" t="inlineStr">
        <is>
          <t>TERMOSTATO A/A -30/+30</t>
        </is>
      </c>
      <c r="B1093" t="n">
        <v>1</v>
      </c>
    </row>
    <row r="1094">
      <c r="A1094" s="17" t="inlineStr">
        <is>
          <t>TERMOSTATO ANALOGICO A.R. COMPONENTS RT-57</t>
        </is>
      </c>
      <c r="B1094" t="n">
        <v>0</v>
      </c>
    </row>
    <row r="1095">
      <c r="A1095" s="17" t="inlineStr">
        <is>
          <t>TERMOSTATO DIGITAL 1 ETAPA STAR GREEN</t>
        </is>
      </c>
      <c r="B1095" t="n">
        <v>10</v>
      </c>
    </row>
    <row r="1096">
      <c r="A1096" s="17" t="inlineStr">
        <is>
          <t>TERMOSTATO DIGITAL PROGRAMABLE EVERWELL</t>
        </is>
      </c>
      <c r="B1096" t="n">
        <v>0</v>
      </c>
    </row>
    <row r="1097">
      <c r="A1097" s="17" t="inlineStr">
        <is>
          <t>TERMOSTATO DIGITAL PROGRAMABLE QD-HVACIO</t>
        </is>
      </c>
      <c r="B1097" t="n">
        <v>0</v>
      </c>
    </row>
    <row r="1098">
      <c r="A1098" s="17" t="inlineStr">
        <is>
          <t>TERMOSTATO REFRIGERACION F200</t>
        </is>
      </c>
      <c r="B1098" t="n">
        <v>2</v>
      </c>
    </row>
    <row r="1099">
      <c r="A1099" s="17" t="inlineStr">
        <is>
          <t>TRANSFORMADOR 24VAC -110VAC</t>
        </is>
      </c>
      <c r="B1099" t="n">
        <v>0</v>
      </c>
    </row>
    <row r="1100">
      <c r="A1100" s="17" t="inlineStr">
        <is>
          <t>TUBO CAPILAR DE COBRE 0,031 X 0,081 (METRO)</t>
        </is>
      </c>
      <c r="B1100" t="n">
        <v>0</v>
      </c>
    </row>
    <row r="1101">
      <c r="A1101" s="17" t="inlineStr">
        <is>
          <t>TUBO CAPILAR DE COBRE 0,036 X 0,087 (METRO)</t>
        </is>
      </c>
      <c r="B1101" t="n">
        <v>0</v>
      </c>
    </row>
    <row r="1102">
      <c r="A1102" s="17" t="inlineStr">
        <is>
          <t>TUBO DE COBRE 3/8 X 0,032MM (METRO)</t>
        </is>
      </c>
      <c r="B1102" t="n">
        <v>15</v>
      </c>
    </row>
    <row r="1103">
      <c r="A1103" s="17" t="inlineStr">
        <is>
          <t>TUBO DE COBRE FLEXIBLE 1/2 (METRO)</t>
        </is>
      </c>
      <c r="B1103" t="n">
        <v>57</v>
      </c>
    </row>
    <row r="1104">
      <c r="A1104" s="17" t="inlineStr">
        <is>
          <t>TUBO DE COBRE FLEXIBLE 1/4 (METRO)</t>
        </is>
      </c>
      <c r="B1104" t="n">
        <v>2</v>
      </c>
    </row>
    <row r="1105">
      <c r="A1105" s="17" t="inlineStr">
        <is>
          <t>TUBO DE COBRE FLEXIBLE 3/4 (METRO)</t>
        </is>
      </c>
      <c r="B1105" t="n">
        <v>22</v>
      </c>
    </row>
    <row r="1106">
      <c r="A1106" s="17" t="inlineStr">
        <is>
          <t>TUBO DE COBRE FLEXIBLE 5/8 (METRO)</t>
        </is>
      </c>
      <c r="B1106" t="n">
        <v>16</v>
      </c>
    </row>
    <row r="1107">
      <c r="A1107" s="17" t="inlineStr">
        <is>
          <t>TUBO DE COBRE FLEXIBLE 7/8 (METRO)</t>
        </is>
      </c>
      <c r="B1107" t="n">
        <v>52</v>
      </c>
    </row>
    <row r="1108">
      <c r="A1108" s="17" t="inlineStr">
        <is>
          <t>UNIDAD COND. 3HP R22/R134/R404</t>
        </is>
      </c>
      <c r="B1108" t="n">
        <v>2</v>
      </c>
    </row>
    <row r="1109">
      <c r="A1109" s="17" t="inlineStr">
        <is>
          <t>UNIDAD RECTA DE COMPRESION</t>
        </is>
      </c>
      <c r="B1109" t="n">
        <v>0</v>
      </c>
    </row>
    <row r="1110">
      <c r="A1110" s="17" t="inlineStr">
        <is>
          <t>VALVULA DE EXPANSIÓN R22</t>
        </is>
      </c>
      <c r="B1110" t="n">
        <v>3</v>
      </c>
    </row>
    <row r="1111">
      <c r="A1111" s="17" t="inlineStr">
        <is>
          <t>VALVULA DE EXPANSIÓN TERMOSTATICA</t>
        </is>
      </c>
      <c r="B1111" t="n">
        <v>0</v>
      </c>
    </row>
    <row r="1112">
      <c r="A1112" s="17" t="inlineStr">
        <is>
          <t>VALVULA DE SERVICIO</t>
        </is>
      </c>
      <c r="B1112" t="n">
        <v>29</v>
      </c>
    </row>
    <row r="1113">
      <c r="A1113" s="17" t="inlineStr">
        <is>
          <t>VALVULA SELNOIDE EMERSON 200RB</t>
        </is>
      </c>
      <c r="B1113" t="n">
        <v>0</v>
      </c>
    </row>
    <row r="1114">
      <c r="A1114" s="17" t="inlineStr">
        <is>
          <t>VARILLA PLATA 0% 50CM</t>
        </is>
      </c>
      <c r="B1114" t="n">
        <v>14</v>
      </c>
    </row>
    <row r="1115">
      <c r="A1115" s="17" t="inlineStr">
        <is>
          <t>VARILLA PLATA 2% 50CM</t>
        </is>
      </c>
      <c r="B1115" t="n">
        <v>0</v>
      </c>
    </row>
    <row r="1116">
      <c r="A1116" s="17" t="inlineStr">
        <is>
          <t>VARILLA PLATA AL 5% 50CM</t>
        </is>
      </c>
      <c r="B1116" t="n">
        <v>59</v>
      </c>
    </row>
    <row r="1117">
      <c r="A1117" s="10" t="inlineStr">
        <is>
          <t>UNIFORME</t>
        </is>
      </c>
      <c r="B1117" t="n">
        <v>1051</v>
      </c>
    </row>
    <row r="1118">
      <c r="A1118" s="17" t="inlineStr">
        <is>
          <t>CAMISA NEGRA DETAL CABALLERO T/L</t>
        </is>
      </c>
      <c r="B1118" t="n">
        <v>18</v>
      </c>
    </row>
    <row r="1119">
      <c r="A1119" s="17" t="inlineStr">
        <is>
          <t>CAMISA NEGRA DETAL CABALLERO T/M</t>
        </is>
      </c>
      <c r="B1119" t="n">
        <v>0</v>
      </c>
    </row>
    <row r="1120">
      <c r="A1120" s="17" t="inlineStr">
        <is>
          <t>CAMISA NEGRA DETAL CABALLERO T/S</t>
        </is>
      </c>
      <c r="B1120" t="n">
        <v>0</v>
      </c>
    </row>
    <row r="1121">
      <c r="A1121" s="17" t="inlineStr">
        <is>
          <t>CAMISA NEGRA DETAL CABALLERO T/XL</t>
        </is>
      </c>
      <c r="B1121" t="n">
        <v>15</v>
      </c>
    </row>
    <row r="1122">
      <c r="A1122" s="17" t="inlineStr">
        <is>
          <t>CAMISA NEGRA DETAL CABALLERO T/XXL</t>
        </is>
      </c>
      <c r="B1122" t="n">
        <v>1</v>
      </c>
    </row>
    <row r="1123">
      <c r="A1123" s="17" t="inlineStr">
        <is>
          <t>CAMISA NEGRA DETAL DAMA T/L</t>
        </is>
      </c>
      <c r="B1123" t="n">
        <v>9</v>
      </c>
    </row>
    <row r="1124">
      <c r="A1124" s="17" t="inlineStr">
        <is>
          <t>CAMISA NEGRA DETAL DAMA T/M</t>
        </is>
      </c>
      <c r="B1124" t="n">
        <v>8</v>
      </c>
    </row>
    <row r="1125">
      <c r="A1125" s="17" t="inlineStr">
        <is>
          <t>CAMISA NEGRA DETAL DAMA T/S</t>
        </is>
      </c>
      <c r="B1125" t="n">
        <v>0</v>
      </c>
    </row>
    <row r="1126">
      <c r="A1126" s="17" t="inlineStr">
        <is>
          <t>CAMISA NEGRA DETAL DAMA T/XL</t>
        </is>
      </c>
      <c r="B1126" t="n">
        <v>3</v>
      </c>
    </row>
    <row r="1127">
      <c r="A1127" s="17" t="inlineStr">
        <is>
          <t>CAMISA NEGRA DETAL DAMA T/XXL</t>
        </is>
      </c>
      <c r="B1127" t="n">
        <v>0</v>
      </c>
    </row>
    <row r="1128">
      <c r="A1128" s="17" t="inlineStr">
        <is>
          <t>CAMISA NEGRA MAYOR CABALLERO T/L</t>
        </is>
      </c>
      <c r="B1128" t="n">
        <v>0</v>
      </c>
    </row>
    <row r="1129">
      <c r="A1129" s="17" t="inlineStr">
        <is>
          <t>CAMISA NEGRA MAYOR CABALLERO T/M</t>
        </is>
      </c>
      <c r="B1129" t="n">
        <v>2</v>
      </c>
    </row>
    <row r="1130">
      <c r="A1130" s="17" t="inlineStr">
        <is>
          <t>CAMISA NEGRA MAYOR CABALLERO T/S</t>
        </is>
      </c>
      <c r="B1130" t="n">
        <v>0</v>
      </c>
    </row>
    <row r="1131">
      <c r="A1131" s="17" t="inlineStr">
        <is>
          <t>CAMISA NEGRA MAYOR CABALLERO T/XXL</t>
        </is>
      </c>
      <c r="B1131" t="n">
        <v>0</v>
      </c>
    </row>
    <row r="1132">
      <c r="A1132" s="17" t="inlineStr">
        <is>
          <t>CAMISA NEGRA MAYOR DAMA T/L</t>
        </is>
      </c>
      <c r="B1132" t="n">
        <v>0</v>
      </c>
    </row>
    <row r="1133">
      <c r="A1133" s="17" t="inlineStr">
        <is>
          <t>CAMISA NEGRA MAYOR DAMA T/M</t>
        </is>
      </c>
      <c r="B1133" t="n">
        <v>0</v>
      </c>
    </row>
    <row r="1134">
      <c r="A1134" s="17" t="inlineStr">
        <is>
          <t>CAMISA NEGRA MAYOR DAMA T/S</t>
        </is>
      </c>
      <c r="B1134" t="n">
        <v>0</v>
      </c>
    </row>
    <row r="1135">
      <c r="A1135" s="17" t="inlineStr">
        <is>
          <t>CAMISA NEGRA MAYOR DAMA T/XL</t>
        </is>
      </c>
      <c r="B1135" t="n">
        <v>0</v>
      </c>
    </row>
    <row r="1136">
      <c r="A1136" s="17" t="inlineStr">
        <is>
          <t>CAMISA NEGRA MAYOR DAMA T/XXL</t>
        </is>
      </c>
      <c r="B1136" t="n">
        <v>0</v>
      </c>
    </row>
    <row r="1137">
      <c r="A1137" s="17" t="inlineStr">
        <is>
          <t>CHALECO VERDE T/L</t>
        </is>
      </c>
      <c r="B1137" t="n">
        <v>107</v>
      </c>
    </row>
    <row r="1138">
      <c r="A1138" s="17" t="inlineStr">
        <is>
          <t>CHALECO VERDE T/M</t>
        </is>
      </c>
      <c r="B1138" t="n">
        <v>103</v>
      </c>
    </row>
    <row r="1139">
      <c r="A1139" s="17" t="inlineStr">
        <is>
          <t>CHALECO VERDE T/S</t>
        </is>
      </c>
      <c r="B1139" t="n">
        <v>60</v>
      </c>
    </row>
    <row r="1140">
      <c r="A1140" s="17" t="inlineStr">
        <is>
          <t>CHALECO VERDE T/XL</t>
        </is>
      </c>
      <c r="B1140" t="n">
        <v>52</v>
      </c>
    </row>
    <row r="1141">
      <c r="A1141" s="17" t="inlineStr">
        <is>
          <t>CHEMISE AMARILLA CABALLERO T/L</t>
        </is>
      </c>
      <c r="B1141" t="n">
        <v>0</v>
      </c>
    </row>
    <row r="1142">
      <c r="A1142" s="17" t="inlineStr">
        <is>
          <t>CHEMISE AMARILLA CABALLERO T/M</t>
        </is>
      </c>
      <c r="B1142" t="n">
        <v>4</v>
      </c>
    </row>
    <row r="1143">
      <c r="A1143" s="17" t="inlineStr">
        <is>
          <t>CHEMISE AMARILLA DAMA T/L</t>
        </is>
      </c>
      <c r="B1143" t="n">
        <v>0</v>
      </c>
    </row>
    <row r="1144">
      <c r="A1144" s="17" t="inlineStr">
        <is>
          <t>CHEMISE AMARILLA DAMA T/M</t>
        </is>
      </c>
      <c r="B1144" t="n">
        <v>0</v>
      </c>
    </row>
    <row r="1145">
      <c r="A1145" s="17" t="inlineStr">
        <is>
          <t>CHEMISE AMARILLA DAMA T/S</t>
        </is>
      </c>
      <c r="B1145" t="n">
        <v>0</v>
      </c>
    </row>
    <row r="1146">
      <c r="A1146" s="17" t="inlineStr">
        <is>
          <t>CHEMISE AMARILLA DAMA T/XL</t>
        </is>
      </c>
      <c r="B1146" t="n">
        <v>0</v>
      </c>
    </row>
    <row r="1147">
      <c r="A1147" s="17" t="inlineStr">
        <is>
          <t>CHEMISE AMARILLA DAMA T/XXL</t>
        </is>
      </c>
      <c r="B1147" t="n">
        <v>0</v>
      </c>
    </row>
    <row r="1148">
      <c r="A1148" s="17" t="inlineStr">
        <is>
          <t>CHEMISE AZUL CABALLERO T/L</t>
        </is>
      </c>
      <c r="B1148" t="n">
        <v>8</v>
      </c>
    </row>
    <row r="1149">
      <c r="A1149" s="17" t="inlineStr">
        <is>
          <t>CHEMISE AZUL CABALLERO T/M</t>
        </is>
      </c>
      <c r="B1149" t="n">
        <v>0</v>
      </c>
    </row>
    <row r="1150">
      <c r="A1150" s="17" t="inlineStr">
        <is>
          <t>CHEMISE AZUL CABALLERO T/XL</t>
        </is>
      </c>
      <c r="B1150" t="n">
        <v>2</v>
      </c>
    </row>
    <row r="1151">
      <c r="A1151" s="17" t="inlineStr">
        <is>
          <t>CHEMISE AZUL CABALLERO T/XXL</t>
        </is>
      </c>
      <c r="B1151" t="n">
        <v>0</v>
      </c>
    </row>
    <row r="1152">
      <c r="A1152" s="17" t="inlineStr">
        <is>
          <t>CHEMISE AZUL DAMA T/L</t>
        </is>
      </c>
      <c r="B1152" t="n">
        <v>4</v>
      </c>
    </row>
    <row r="1153">
      <c r="A1153" s="17" t="inlineStr">
        <is>
          <t>CHEMISE AZUL DAMA T/M</t>
        </is>
      </c>
      <c r="B1153" t="n">
        <v>2</v>
      </c>
    </row>
    <row r="1154">
      <c r="A1154" s="17" t="inlineStr">
        <is>
          <t>CHEMISE AZUL DAMA T/XL</t>
        </is>
      </c>
      <c r="B1154" t="n">
        <v>0</v>
      </c>
    </row>
    <row r="1155">
      <c r="A1155" s="17" t="inlineStr">
        <is>
          <t>CHEMISE AZUL DAMA T/XXL</t>
        </is>
      </c>
      <c r="B1155" t="n">
        <v>0</v>
      </c>
    </row>
    <row r="1156">
      <c r="A1156" s="17" t="inlineStr">
        <is>
          <t>CHEMISE VERDE CABALLERO T/L</t>
        </is>
      </c>
      <c r="B1156" t="n">
        <v>32</v>
      </c>
    </row>
    <row r="1157">
      <c r="A1157" s="17" t="inlineStr">
        <is>
          <t>CHEMISE VERDE CABALLERO T/M</t>
        </is>
      </c>
      <c r="B1157" t="n">
        <v>33</v>
      </c>
    </row>
    <row r="1158">
      <c r="A1158" s="17" t="inlineStr">
        <is>
          <t>CHEMISE VERDE CABALLERO T/S</t>
        </is>
      </c>
      <c r="B1158" t="n">
        <v>0</v>
      </c>
    </row>
    <row r="1159">
      <c r="A1159" s="17" t="inlineStr">
        <is>
          <t>CHEMISE VERDE CABALLERO T/XL</t>
        </is>
      </c>
      <c r="B1159" t="n">
        <v>1</v>
      </c>
    </row>
    <row r="1160">
      <c r="A1160" s="17" t="inlineStr">
        <is>
          <t>CHEMISE VERDE CABALLERO T/XXL</t>
        </is>
      </c>
      <c r="B1160" t="n">
        <v>3</v>
      </c>
    </row>
    <row r="1161">
      <c r="A1161" s="17" t="inlineStr">
        <is>
          <t>CHEMISE VERDE DAMA T/L</t>
        </is>
      </c>
      <c r="B1161" t="n">
        <v>6</v>
      </c>
    </row>
    <row r="1162">
      <c r="A1162" s="17" t="inlineStr">
        <is>
          <t>CHEMISE VERDE DAMA T/M</t>
        </is>
      </c>
      <c r="B1162" t="n">
        <v>18</v>
      </c>
    </row>
    <row r="1163">
      <c r="A1163" s="17" t="inlineStr">
        <is>
          <t>CHEMISE VERDE DAMA T/S</t>
        </is>
      </c>
      <c r="B1163" t="n">
        <v>11</v>
      </c>
    </row>
    <row r="1164">
      <c r="A1164" s="17" t="inlineStr">
        <is>
          <t>CHEMISE VERDE DAMA T/XL</t>
        </is>
      </c>
      <c r="B1164" t="n">
        <v>6</v>
      </c>
    </row>
    <row r="1165">
      <c r="A1165" s="17" t="inlineStr">
        <is>
          <t>CHEMISE VERDE DAMA T/XXL</t>
        </is>
      </c>
      <c r="B1165" t="n">
        <v>0</v>
      </c>
    </row>
    <row r="1166">
      <c r="A1166" s="17" t="inlineStr">
        <is>
          <t>FRANELA AZUL CABALLERO T/L</t>
        </is>
      </c>
      <c r="B1166" t="n">
        <v>6</v>
      </c>
    </row>
    <row r="1167">
      <c r="A1167" s="17" t="inlineStr">
        <is>
          <t>FRANELA AZUL CABALLERO T/M</t>
        </is>
      </c>
      <c r="B1167" t="n">
        <v>0</v>
      </c>
    </row>
    <row r="1168">
      <c r="A1168" s="17" t="inlineStr">
        <is>
          <t>FRANELA AZUL CABALLERO T/S</t>
        </is>
      </c>
      <c r="B1168" t="n">
        <v>0</v>
      </c>
    </row>
    <row r="1169">
      <c r="A1169" s="17" t="inlineStr">
        <is>
          <t>FRANELA AZUL CABALLERO T/XL</t>
        </is>
      </c>
      <c r="B1169" t="n">
        <v>4</v>
      </c>
    </row>
    <row r="1170">
      <c r="A1170" s="17" t="inlineStr">
        <is>
          <t>FRANELA AZUL DAMA T/L</t>
        </is>
      </c>
      <c r="B1170" t="n">
        <v>0</v>
      </c>
    </row>
    <row r="1171">
      <c r="A1171" s="17" t="inlineStr">
        <is>
          <t>FRANELA AZUL DAMA T/M</t>
        </is>
      </c>
      <c r="B1171" t="n">
        <v>0</v>
      </c>
    </row>
    <row r="1172">
      <c r="A1172" s="17" t="inlineStr">
        <is>
          <t>FRANELA AZUL DAMA T/S</t>
        </is>
      </c>
      <c r="B1172" t="n">
        <v>0</v>
      </c>
    </row>
    <row r="1173">
      <c r="A1173" s="17" t="inlineStr">
        <is>
          <t>FRANELA AZUL DAMA T/XL</t>
        </is>
      </c>
      <c r="B1173" t="n">
        <v>0</v>
      </c>
    </row>
    <row r="1174">
      <c r="A1174" s="17" t="inlineStr">
        <is>
          <t>FRANELA CABALLERO T/L</t>
        </is>
      </c>
      <c r="B1174" t="n">
        <v>0</v>
      </c>
    </row>
    <row r="1175">
      <c r="A1175" s="17" t="inlineStr">
        <is>
          <t>FRANELA VERDE CABALLERO T/L</t>
        </is>
      </c>
      <c r="B1175" t="n">
        <v>57</v>
      </c>
    </row>
    <row r="1176">
      <c r="A1176" s="17" t="inlineStr">
        <is>
          <t>FRANELA VERDE CABALLERO T/M</t>
        </is>
      </c>
      <c r="B1176" t="n">
        <v>127</v>
      </c>
    </row>
    <row r="1177">
      <c r="A1177" s="17" t="inlineStr">
        <is>
          <t>FRANELA VERDE CABALLERO T/S</t>
        </is>
      </c>
      <c r="B1177" t="n">
        <v>7</v>
      </c>
    </row>
    <row r="1178">
      <c r="A1178" s="17" t="inlineStr">
        <is>
          <t>FRANELA VERDE CABALLERO T/XL</t>
        </is>
      </c>
      <c r="B1178" t="n">
        <v>48</v>
      </c>
    </row>
    <row r="1179">
      <c r="A1179" s="17" t="inlineStr">
        <is>
          <t>FRANELA VERDE CABALLERO T/XXL</t>
        </is>
      </c>
      <c r="B1179" t="n">
        <v>8</v>
      </c>
    </row>
    <row r="1180">
      <c r="A1180" s="17" t="inlineStr">
        <is>
          <t>FRANELA VERDE DAMA T/L</t>
        </is>
      </c>
      <c r="B1180" t="n">
        <v>22</v>
      </c>
    </row>
    <row r="1181">
      <c r="A1181" s="17" t="inlineStr">
        <is>
          <t>FRANELA VERDE DAMA T/M</t>
        </is>
      </c>
      <c r="B1181" t="n">
        <v>95</v>
      </c>
    </row>
    <row r="1182">
      <c r="A1182" s="17" t="inlineStr">
        <is>
          <t>FRANELA VERDE DAMA T/S</t>
        </is>
      </c>
      <c r="B1182" t="n">
        <v>39</v>
      </c>
    </row>
    <row r="1183">
      <c r="A1183" s="17" t="inlineStr">
        <is>
          <t>FRANELA VERDE DAMA T/XL</t>
        </is>
      </c>
      <c r="B1183" t="n">
        <v>23</v>
      </c>
    </row>
    <row r="1184">
      <c r="A1184" s="17" t="inlineStr">
        <is>
          <t>FRANELA VERDE DAMA T/XXL</t>
        </is>
      </c>
      <c r="B1184" t="n">
        <v>1</v>
      </c>
    </row>
    <row r="1185">
      <c r="A1185" s="17" t="inlineStr">
        <is>
          <t>FRANELILLA AZUL T/L</t>
        </is>
      </c>
      <c r="B1185" t="n">
        <v>0</v>
      </c>
    </row>
    <row r="1186">
      <c r="A1186" s="17" t="inlineStr">
        <is>
          <t>FRANELILLA AZUL T/M</t>
        </is>
      </c>
      <c r="B1186" t="n">
        <v>0</v>
      </c>
    </row>
    <row r="1187">
      <c r="A1187" s="17" t="inlineStr">
        <is>
          <t>FRANELILLA AZUL T/XL</t>
        </is>
      </c>
      <c r="B1187" t="n">
        <v>0</v>
      </c>
    </row>
    <row r="1188">
      <c r="A1188" s="17" t="inlineStr">
        <is>
          <t>GORRA NEGRA</t>
        </is>
      </c>
      <c r="B1188" t="n">
        <v>106</v>
      </c>
    </row>
    <row r="1189">
      <c r="A1189" s="10" t="inlineStr">
        <is>
          <t>Total general</t>
        </is>
      </c>
      <c r="B1189" t="n">
        <v>45927.5</v>
      </c>
    </row>
  </sheetData>
  <pageMargins left="0.7" right="0.7" top="0.75" bottom="0.75" header="0.3" footer="0.3"/>
  <pageSetup orientation="portrait" verticalDpi="0"/>
</worksheet>
</file>

<file path=xl/worksheets/sheet10.xml><?xml version="1.0" encoding="utf-8"?>
<worksheet xmlns="http://schemas.openxmlformats.org/spreadsheetml/2006/main">
  <sheetPr codeName="Hoja5">
    <outlinePr summaryBelow="1" summaryRight="1"/>
    <pageSetUpPr/>
  </sheetPr>
  <dimension ref="A1:N94"/>
  <sheetViews>
    <sheetView showGridLines="0" topLeftCell="A46" workbookViewId="0">
      <selection activeCell="B71" sqref="B71"/>
    </sheetView>
  </sheetViews>
  <sheetFormatPr baseColWidth="10" defaultRowHeight="14.5"/>
  <cols>
    <col width="14.26953125" bestFit="1" customWidth="1" style="58" min="1" max="1"/>
    <col width="42.7265625" bestFit="1" customWidth="1" style="56" min="2" max="2"/>
    <col width="18.6328125" customWidth="1" style="56" min="3" max="3"/>
    <col width="36" bestFit="1" customWidth="1" style="11" min="6" max="6"/>
    <col width="13.1796875" bestFit="1" customWidth="1" style="11" min="7" max="7"/>
    <col width="42.54296875" bestFit="1" customWidth="1" style="11" min="10" max="10"/>
    <col width="15.1796875" customWidth="1" style="11" min="11" max="11"/>
  </cols>
  <sheetData>
    <row r="1">
      <c r="B1" s="40" t="inlineStr">
        <is>
          <t>CUÑETE PINTURA ESMALTE VERDE GRANJA</t>
        </is>
      </c>
      <c r="C1" s="41" t="n">
        <v>2</v>
      </c>
      <c r="E1" s="31" t="inlineStr">
        <is>
          <t>Cantidad</t>
        </is>
      </c>
      <c r="F1" s="32" t="inlineStr">
        <is>
          <t>Producto</t>
        </is>
      </c>
      <c r="I1" s="53" t="inlineStr">
        <is>
          <t>CODIGO</t>
        </is>
      </c>
      <c r="J1" s="55" t="inlineStr">
        <is>
          <t>PRODUCTO</t>
        </is>
      </c>
      <c r="K1" s="54" t="inlineStr">
        <is>
          <t>CANTIDAD</t>
        </is>
      </c>
    </row>
    <row r="2">
      <c r="B2" s="40" t="inlineStr">
        <is>
          <t>CUÑETE PINTURA ESMALTE BLANCO</t>
        </is>
      </c>
      <c r="C2" s="41" t="n">
        <v>6</v>
      </c>
      <c r="E2" s="40" t="n">
        <v>5</v>
      </c>
      <c r="F2" s="41" t="inlineStr">
        <is>
          <t>BROCHA 2" ECO</t>
        </is>
      </c>
      <c r="I2" s="48" t="n"/>
      <c r="J2" s="49" t="n"/>
      <c r="K2" s="35" t="n"/>
    </row>
    <row r="3">
      <c r="B3" s="40" t="inlineStr">
        <is>
          <t>CUÑETE PINTURA CAUCHO VERDE GRANJA</t>
        </is>
      </c>
      <c r="C3" s="41" t="n">
        <v>13</v>
      </c>
      <c r="E3" s="40" t="n">
        <v>5</v>
      </c>
      <c r="F3" s="41" t="inlineStr">
        <is>
          <t>BROCHA 3" ECO</t>
        </is>
      </c>
      <c r="I3" s="50" t="n"/>
      <c r="J3" s="49" t="n"/>
      <c r="K3" s="35" t="n"/>
    </row>
    <row r="4">
      <c r="B4" s="40" t="inlineStr">
        <is>
          <t>CUÑETE PINTURA CAUCHO NEGRO</t>
        </is>
      </c>
      <c r="C4" s="41" t="n">
        <v>7</v>
      </c>
      <c r="E4" s="40" t="n">
        <v>5</v>
      </c>
      <c r="F4" s="40" t="inlineStr">
        <is>
          <t>BROCHA 4" ECO</t>
        </is>
      </c>
      <c r="I4" s="48" t="n"/>
      <c r="J4" s="49" t="n"/>
      <c r="K4" s="35" t="n"/>
    </row>
    <row r="5">
      <c r="B5" s="40" t="inlineStr">
        <is>
          <t>CUÑETE PINTURA CAUCHO GRIS CLARO</t>
        </is>
      </c>
      <c r="C5" s="41" t="n">
        <v>10</v>
      </c>
      <c r="E5" s="40" t="n">
        <v>5</v>
      </c>
      <c r="F5" s="40" t="inlineStr">
        <is>
          <t>FUNDA PARA RODILLO 4"</t>
        </is>
      </c>
      <c r="I5" s="50" t="n"/>
      <c r="J5" s="49" t="n"/>
      <c r="K5" s="35" t="n"/>
    </row>
    <row r="6">
      <c r="B6" s="40" t="inlineStr">
        <is>
          <t>CUÑETE PINTURA CAUCHO BLANCO</t>
        </is>
      </c>
      <c r="C6" s="41" t="n">
        <v>8</v>
      </c>
      <c r="E6" s="40" t="n">
        <v>5</v>
      </c>
      <c r="F6" s="40" t="inlineStr">
        <is>
          <t>FUNDA PARA RODILLO CAUCHO 9"</t>
        </is>
      </c>
      <c r="I6" s="48" t="n"/>
      <c r="J6" s="49" t="n"/>
      <c r="K6" s="35" t="n"/>
    </row>
    <row r="7">
      <c r="B7" s="40" t="inlineStr">
        <is>
          <t>CUÑETE PINTURA ALTO TRAFICO AMARILLO</t>
        </is>
      </c>
      <c r="C7" s="41" t="n">
        <v>0</v>
      </c>
      <c r="E7" s="40" t="n">
        <v>10</v>
      </c>
      <c r="F7" s="40" t="inlineStr">
        <is>
          <t>SOLDADURA LIQUIDA PVC</t>
        </is>
      </c>
      <c r="I7" s="50" t="n"/>
      <c r="J7" s="49" t="n"/>
      <c r="K7" s="35" t="n"/>
    </row>
    <row r="8">
      <c r="B8" s="40" t="inlineStr">
        <is>
          <t>CUÑETE PASTA PROFECIONAL</t>
        </is>
      </c>
      <c r="C8" s="41" t="n">
        <v>2</v>
      </c>
      <c r="E8" s="40" t="n"/>
      <c r="F8" s="40" t="n"/>
      <c r="I8" s="48" t="n"/>
      <c r="J8" s="49" t="n"/>
      <c r="K8" s="35" t="n"/>
    </row>
    <row r="9">
      <c r="B9" s="40" t="inlineStr">
        <is>
          <t>CUÑETE IMPERMEABILIZANTE GRIS</t>
        </is>
      </c>
      <c r="C9" s="41" t="n">
        <v>5</v>
      </c>
      <c r="E9" s="40" t="n"/>
      <c r="F9" s="41" t="n"/>
      <c r="I9" s="50" t="n"/>
      <c r="J9" s="49" t="n"/>
      <c r="K9" s="35" t="n"/>
    </row>
    <row r="10" ht="15" customHeight="1" s="11" thickBot="1">
      <c r="B10" s="40" t="inlineStr">
        <is>
          <t>CUÑETE IMPERMEABILIZANTE BLANCO</t>
        </is>
      </c>
      <c r="C10" s="41" t="n">
        <v>2</v>
      </c>
      <c r="E10" s="42" t="n"/>
      <c r="F10" s="39" t="n"/>
      <c r="I10" s="48" t="n"/>
      <c r="J10" s="49" t="n"/>
      <c r="K10" s="35" t="n"/>
    </row>
    <row r="11">
      <c r="B11" s="40" t="inlineStr">
        <is>
          <t>CUÑETE CEMENTO PLASTICO</t>
        </is>
      </c>
      <c r="C11" s="41" t="n"/>
      <c r="I11" s="50" t="n"/>
      <c r="J11" s="49" t="n"/>
      <c r="K11" s="35" t="n"/>
    </row>
    <row r="12">
      <c r="B12" s="40" t="inlineStr">
        <is>
          <t>GALON TINER ACRILICO</t>
        </is>
      </c>
      <c r="C12" s="41" t="n"/>
      <c r="E12" s="61" t="n"/>
      <c r="I12" s="48" t="n"/>
      <c r="J12" s="49" t="n"/>
      <c r="K12" s="35" t="n"/>
      <c r="N12" t="inlineStr">
        <is>
          <t>canilla 5/8 6 unidades</t>
        </is>
      </c>
    </row>
    <row r="13" ht="15" customHeight="1" s="11" thickBot="1">
      <c r="B13" s="40" t="inlineStr">
        <is>
          <t>GALON PINTURA SATINADO AMARILLO</t>
        </is>
      </c>
      <c r="C13" s="41" t="n"/>
      <c r="E13" s="61" t="inlineStr">
        <is>
          <t>SOLICITUD DE MATERIAL</t>
        </is>
      </c>
      <c r="I13" s="50" t="n"/>
      <c r="J13" s="49" t="n"/>
      <c r="K13" s="35" t="n"/>
    </row>
    <row r="14">
      <c r="B14" s="40" t="inlineStr">
        <is>
          <t>GALON PINTURA SATINADA BLANCO</t>
        </is>
      </c>
      <c r="C14" s="41" t="n">
        <v>3</v>
      </c>
      <c r="E14" s="31" t="inlineStr">
        <is>
          <t>Cantidad</t>
        </is>
      </c>
      <c r="F14" s="32" t="inlineStr">
        <is>
          <t>Producto</t>
        </is>
      </c>
      <c r="I14" s="48" t="n"/>
      <c r="J14" s="49" t="n"/>
      <c r="K14" s="35" t="n"/>
    </row>
    <row r="15">
      <c r="B15" s="40" t="inlineStr">
        <is>
          <t>GALON PINTURA ESMALTE VERDE GRANJA</t>
        </is>
      </c>
      <c r="C15" s="41" t="n">
        <v>2</v>
      </c>
      <c r="E15" s="40" t="n">
        <v>12</v>
      </c>
      <c r="F15" s="41" t="inlineStr">
        <is>
          <t>ARMA FLEX 3/4</t>
        </is>
      </c>
      <c r="I15" s="50" t="n"/>
      <c r="J15" s="49" t="n"/>
      <c r="K15" s="35" t="n"/>
    </row>
    <row r="16">
      <c r="B16" s="40" t="inlineStr">
        <is>
          <t>GALON PINTURA ESMALTE NEGRO</t>
        </is>
      </c>
      <c r="C16" s="41" t="n">
        <v>3</v>
      </c>
      <c r="E16" s="40" t="n">
        <v>24</v>
      </c>
      <c r="F16" s="41" t="inlineStr">
        <is>
          <t>CODO 3/4 COBRE</t>
        </is>
      </c>
      <c r="I16" s="48" t="n"/>
      <c r="J16" s="49" t="n"/>
      <c r="K16" s="35" t="n"/>
    </row>
    <row r="17">
      <c r="B17" s="40" t="inlineStr">
        <is>
          <t>GALON PINTURA ESMALTE GRIS MATE</t>
        </is>
      </c>
      <c r="C17" s="41" t="n">
        <v>6</v>
      </c>
      <c r="E17" s="40" t="n">
        <v>12</v>
      </c>
      <c r="F17" s="41" t="inlineStr">
        <is>
          <t>VARILLA DE PLATA 5%</t>
        </is>
      </c>
      <c r="I17" s="50" t="n"/>
      <c r="J17" s="49" t="n"/>
      <c r="K17" s="35" t="n"/>
    </row>
    <row r="18">
      <c r="B18" s="40" t="inlineStr">
        <is>
          <t>GALON PINTURA ESMALTE GRIS CLARO</t>
        </is>
      </c>
      <c r="C18" s="41" t="n">
        <v>1.25</v>
      </c>
      <c r="E18" s="40" t="n">
        <v>4</v>
      </c>
      <c r="F18" s="41" t="inlineStr">
        <is>
          <t>BOMBONA DE GAS PROPANO</t>
        </is>
      </c>
      <c r="I18" s="48" t="n"/>
      <c r="J18" s="49" t="n"/>
      <c r="K18" s="35" t="n"/>
    </row>
    <row r="19">
      <c r="B19" s="40" t="inlineStr">
        <is>
          <t>GALON PINTURA ESMALTE BLANCO</t>
        </is>
      </c>
      <c r="C19" s="41" t="n">
        <v>7</v>
      </c>
      <c r="E19" s="40" t="n">
        <v>1</v>
      </c>
      <c r="F19" s="41" t="inlineStr">
        <is>
          <t>ROLLO DE TUBERIA 3/4</t>
        </is>
      </c>
      <c r="I19" s="50" t="n"/>
      <c r="J19" s="49" t="n"/>
      <c r="K19" s="35" t="n"/>
    </row>
    <row r="20">
      <c r="B20" s="40" t="inlineStr">
        <is>
          <t>GALON PINTURA ESMALTE AMARILLO CATEPILLAR</t>
        </is>
      </c>
      <c r="C20" s="41" t="n">
        <v>12</v>
      </c>
      <c r="E20" s="40" t="n">
        <v>1</v>
      </c>
      <c r="F20" s="41" t="inlineStr">
        <is>
          <t>ROLLO DE TUBERIA 3/8</t>
        </is>
      </c>
      <c r="I20" s="48" t="n"/>
      <c r="J20" s="49" t="n"/>
      <c r="K20" s="35" t="n"/>
    </row>
    <row r="21">
      <c r="B21" s="40" t="inlineStr">
        <is>
          <t>GALON PINTURA EPOXY GRIS</t>
        </is>
      </c>
      <c r="C21" s="41" t="n"/>
      <c r="I21" s="50" t="n"/>
      <c r="J21" s="49" t="n"/>
      <c r="K21" s="35" t="n"/>
    </row>
    <row r="22">
      <c r="B22" s="40" t="inlineStr">
        <is>
          <t>GALON PINTURA EPOXY BLANCO</t>
        </is>
      </c>
      <c r="C22" s="41" t="n">
        <v>1</v>
      </c>
      <c r="I22" s="48" t="n"/>
      <c r="J22" s="49" t="n"/>
      <c r="K22" s="35" t="n"/>
    </row>
    <row r="23">
      <c r="B23" s="40" t="inlineStr">
        <is>
          <t>GALON PINTURA CAUCHO MARRON CHOCOLATE</t>
        </is>
      </c>
      <c r="C23" s="41" t="n">
        <v>1</v>
      </c>
      <c r="I23" s="50" t="n"/>
      <c r="J23" s="49" t="n"/>
      <c r="K23" s="35" t="n"/>
    </row>
    <row r="24">
      <c r="B24" s="40" t="inlineStr">
        <is>
          <t>GALON PINTURA CAUCHO BLANCO</t>
        </is>
      </c>
      <c r="C24" s="41" t="n"/>
      <c r="I24" s="48" t="n"/>
      <c r="J24" s="49" t="n"/>
      <c r="K24" s="35" t="n"/>
    </row>
    <row r="25">
      <c r="B25" s="40" t="inlineStr">
        <is>
          <t>GALON PINTURA CAUCHO AMARILLO REAL</t>
        </is>
      </c>
      <c r="C25" s="41" t="n">
        <v>1</v>
      </c>
      <c r="I25" s="50" t="n"/>
      <c r="J25" s="49" t="n"/>
      <c r="K25" s="35" t="n"/>
    </row>
    <row r="26">
      <c r="B26" s="40" t="inlineStr">
        <is>
          <t>GALON PINTURA CAUCHO AMARILLO DUNA</t>
        </is>
      </c>
      <c r="C26" s="41" t="n">
        <v>1</v>
      </c>
      <c r="I26" s="48" t="n"/>
      <c r="J26" s="49" t="n"/>
      <c r="K26" s="35" t="n"/>
    </row>
    <row r="27">
      <c r="B27" s="40" t="inlineStr">
        <is>
          <t>GALON PINTURA ALTO TRAFICO BLANCO</t>
        </is>
      </c>
      <c r="C27" s="41" t="n">
        <v>10</v>
      </c>
      <c r="I27" s="50" t="n"/>
      <c r="J27" s="49" t="n"/>
      <c r="K27" s="35" t="n"/>
    </row>
    <row r="28">
      <c r="B28" s="40" t="inlineStr">
        <is>
          <t>GALON PINTURA ALTO TRAFICO AZUL</t>
        </is>
      </c>
      <c r="C28" s="41" t="n">
        <v>5</v>
      </c>
      <c r="I28" s="48" t="n"/>
      <c r="J28" s="49" t="n"/>
      <c r="K28" s="35" t="n"/>
    </row>
    <row r="29">
      <c r="B29" s="40" t="inlineStr">
        <is>
          <t>GALON PINTURA ALTO TRAFICO AMARILLO</t>
        </is>
      </c>
      <c r="C29" s="41" t="n">
        <v>7</v>
      </c>
      <c r="I29" s="51" t="n"/>
      <c r="J29" s="49" t="n"/>
      <c r="K29" s="35" t="n"/>
    </row>
    <row r="30">
      <c r="B30" s="40" t="inlineStr">
        <is>
          <t>GALON IMPERMEABILIZANTE GRIS</t>
        </is>
      </c>
      <c r="C30" s="41" t="n">
        <v>2</v>
      </c>
      <c r="I30" s="51" t="n"/>
      <c r="J30" s="49" t="n"/>
      <c r="K30" s="35" t="n"/>
    </row>
    <row r="31">
      <c r="B31" s="40" t="inlineStr">
        <is>
          <t>GALON FONDO ANTICORROCIVO NEGRO</t>
        </is>
      </c>
      <c r="C31" s="41" t="n">
        <v>8</v>
      </c>
      <c r="I31" s="51" t="n"/>
      <c r="J31" s="49" t="n"/>
      <c r="K31" s="35" t="n"/>
    </row>
    <row r="32">
      <c r="B32" s="40" t="inlineStr">
        <is>
          <t>GALON FONDO ANTICORROCIVO GRIS OSCURO</t>
        </is>
      </c>
      <c r="C32" s="41" t="n">
        <v>0</v>
      </c>
      <c r="I32" s="51" t="n"/>
      <c r="J32" s="49" t="n"/>
      <c r="K32" s="35" t="n"/>
    </row>
    <row r="33">
      <c r="B33" s="40" t="inlineStr">
        <is>
          <t>GALON CEMENTO PLASTICO</t>
        </is>
      </c>
      <c r="C33" s="41" t="n"/>
      <c r="I33" s="51" t="n"/>
      <c r="J33" s="49" t="n"/>
      <c r="K33" s="35" t="n"/>
    </row>
    <row r="34">
      <c r="B34" s="40" t="inlineStr">
        <is>
          <t>GALON BARNIS</t>
        </is>
      </c>
      <c r="C34" s="41" t="n">
        <v>1</v>
      </c>
      <c r="I34" s="51" t="n"/>
      <c r="J34" s="49" t="n"/>
      <c r="K34" s="35" t="n"/>
    </row>
    <row r="35">
      <c r="B35" s="40" t="inlineStr">
        <is>
          <t>1/4 GALON PINTURA ESMALTE ALUMINIO</t>
        </is>
      </c>
      <c r="C35" s="41" t="n"/>
      <c r="I35" s="51" t="n"/>
      <c r="J35" s="49" t="n"/>
      <c r="K35" s="35" t="n"/>
    </row>
    <row r="36">
      <c r="B36" s="40" t="inlineStr">
        <is>
          <t>1/4 GALON CATALIZADOR EPOXICO</t>
        </is>
      </c>
      <c r="C36" s="41" t="n">
        <v>2</v>
      </c>
      <c r="I36" s="51" t="n"/>
      <c r="J36" s="49" t="n"/>
      <c r="K36" s="35" t="n"/>
    </row>
    <row r="37">
      <c r="B37" s="40" t="inlineStr">
        <is>
          <t>GALON PINTURA ESMALTE MARRON</t>
        </is>
      </c>
      <c r="C37" s="41" t="n">
        <v>2</v>
      </c>
      <c r="I37" s="51" t="n"/>
      <c r="J37" s="49" t="n"/>
      <c r="K37" s="35" t="n"/>
    </row>
    <row r="38" ht="15" customHeight="1" s="11" thickBot="1">
      <c r="B38" s="42" t="inlineStr">
        <is>
          <t>PEGAMENTO DE FORMICA Y CHAPILLA 1/4 GALON</t>
        </is>
      </c>
      <c r="C38" s="39" t="n">
        <v>0</v>
      </c>
      <c r="I38" s="51" t="n"/>
      <c r="J38" s="49" t="n"/>
      <c r="K38" s="35" t="n"/>
    </row>
    <row r="39">
      <c r="I39" s="51" t="n"/>
      <c r="J39" s="49" t="n"/>
      <c r="K39" s="35" t="n"/>
    </row>
    <row r="40">
      <c r="I40" s="51" t="n"/>
      <c r="J40" s="49" t="n"/>
      <c r="K40" s="35" t="n"/>
    </row>
    <row r="41">
      <c r="I41" s="51" t="n"/>
      <c r="J41" s="49" t="n"/>
      <c r="K41" s="35" t="n"/>
    </row>
    <row r="42">
      <c r="I42" s="51" t="n"/>
      <c r="J42" s="49" t="n"/>
      <c r="K42" s="35" t="n"/>
    </row>
    <row r="43">
      <c r="I43" s="51" t="n"/>
      <c r="J43" s="49" t="n"/>
      <c r="K43" s="35" t="n"/>
    </row>
    <row r="44">
      <c r="I44" s="51" t="n"/>
      <c r="J44" s="49" t="n"/>
      <c r="K44" s="35" t="n"/>
    </row>
    <row r="45">
      <c r="I45" s="51" t="n"/>
      <c r="J45" s="49" t="n"/>
      <c r="K45" s="35" t="n"/>
    </row>
    <row r="46">
      <c r="I46" s="51" t="n"/>
      <c r="J46" s="49" t="n"/>
      <c r="K46" s="35" t="n"/>
    </row>
    <row r="47">
      <c r="I47" s="51" t="n"/>
      <c r="J47" s="49" t="n"/>
      <c r="K47" s="35" t="n"/>
    </row>
    <row r="48">
      <c r="I48" s="51" t="n"/>
      <c r="J48" s="49" t="n"/>
      <c r="K48" s="35" t="n"/>
    </row>
    <row r="49">
      <c r="I49" s="51" t="n"/>
      <c r="J49" s="49" t="n"/>
      <c r="K49" s="35" t="n"/>
    </row>
    <row r="50">
      <c r="I50" s="51" t="n"/>
      <c r="J50" s="49" t="n"/>
      <c r="K50" s="35" t="n"/>
    </row>
    <row r="51">
      <c r="I51" s="51" t="n"/>
      <c r="J51" s="49" t="n"/>
      <c r="K51" s="35" t="n"/>
    </row>
    <row r="52">
      <c r="I52" s="51" t="n"/>
      <c r="J52" s="49" t="n"/>
      <c r="K52" s="35" t="n"/>
    </row>
    <row r="53" ht="21.5" customHeight="1" s="11" thickBot="1">
      <c r="B53" s="29" t="inlineStr">
        <is>
          <t xml:space="preserve">RECEPCION DE UNIFORME </t>
        </is>
      </c>
      <c r="C53" s="28" t="n">
        <v>46088</v>
      </c>
      <c r="I53" s="51" t="n"/>
      <c r="J53" s="49" t="n"/>
      <c r="K53" s="35" t="n"/>
    </row>
    <row r="54" ht="19" customHeight="1" s="11" thickBot="1">
      <c r="B54" s="26" t="inlineStr">
        <is>
          <t>PRODUCTO</t>
        </is>
      </c>
      <c r="C54" s="27" t="inlineStr">
        <is>
          <t>CANTIDAD</t>
        </is>
      </c>
      <c r="I54" s="51" t="n"/>
      <c r="J54" s="49" t="n"/>
      <c r="K54" s="35" t="n"/>
    </row>
    <row r="55">
      <c r="B55" s="20" t="inlineStr">
        <is>
          <t>CHEMISE VERDE CABALLERO T/L</t>
        </is>
      </c>
      <c r="C55" s="21" t="n">
        <v>30</v>
      </c>
      <c r="I55" s="51" t="n"/>
      <c r="J55" s="49" t="n"/>
      <c r="K55" s="35" t="n"/>
    </row>
    <row r="56">
      <c r="B56" s="40" t="inlineStr">
        <is>
          <t>CHEMISE VERDE DAMA T/L</t>
        </is>
      </c>
      <c r="C56" s="41" t="n">
        <v>30</v>
      </c>
      <c r="I56" s="52" t="n"/>
      <c r="J56" s="49" t="n"/>
      <c r="K56" s="35" t="n"/>
    </row>
    <row r="57">
      <c r="B57" s="40" t="inlineStr">
        <is>
          <t>CAMISA NEGRA DETAL DAMA T/L</t>
        </is>
      </c>
      <c r="C57" s="41" t="inlineStr">
        <is>
          <t>50 + 2</t>
        </is>
      </c>
      <c r="I57" s="52" t="n"/>
      <c r="J57" s="49" t="n"/>
      <c r="K57" s="35" t="n"/>
    </row>
    <row r="58">
      <c r="B58" s="40" t="inlineStr">
        <is>
          <t>CAMISA NEGRA DETAL CABALLERO T/L</t>
        </is>
      </c>
      <c r="C58" s="41" t="inlineStr">
        <is>
          <t>20 + 1</t>
        </is>
      </c>
      <c r="I58" s="52" t="n"/>
      <c r="J58" s="49" t="n"/>
      <c r="K58" s="35" t="n"/>
    </row>
    <row r="59" ht="15" customHeight="1" s="11" thickBot="1">
      <c r="B59" s="42" t="inlineStr">
        <is>
          <t>CAMISA NEGRA DETAL CABALLERO T/XL</t>
        </is>
      </c>
      <c r="C59" s="39" t="n">
        <v>30</v>
      </c>
      <c r="I59" s="52" t="n"/>
      <c r="J59" s="49" t="n"/>
      <c r="K59" s="35" t="n"/>
    </row>
    <row r="60">
      <c r="I60" s="52" t="n"/>
      <c r="J60" s="49" t="n"/>
      <c r="K60" s="35" t="n"/>
    </row>
    <row r="61">
      <c r="I61" s="52" t="n"/>
      <c r="J61" s="49" t="n"/>
      <c r="K61" s="35" t="n"/>
    </row>
    <row r="62">
      <c r="A62" s="56" t="inlineStr">
        <is>
          <t>CATEGORIA</t>
        </is>
      </c>
      <c r="B62" s="56" t="inlineStr">
        <is>
          <t>PRODUCTO</t>
        </is>
      </c>
      <c r="C62" s="56" t="inlineStr">
        <is>
          <t>STOCK</t>
        </is>
      </c>
      <c r="I62" s="52" t="n"/>
      <c r="J62" s="49" t="n"/>
      <c r="K62" s="35" t="n"/>
    </row>
    <row r="63">
      <c r="A63" s="56" t="inlineStr">
        <is>
          <t>LIMPIEZA</t>
        </is>
      </c>
      <c r="B63" s="56" t="inlineStr">
        <is>
          <t>CEPILLO DE BARRER</t>
        </is>
      </c>
      <c r="C63" s="56" t="n">
        <v>6</v>
      </c>
      <c r="I63" s="52" t="n"/>
      <c r="J63" s="49" t="n"/>
      <c r="K63" s="35" t="n"/>
    </row>
    <row r="64">
      <c r="A64" s="56" t="inlineStr">
        <is>
          <t>LIMPIEZA</t>
        </is>
      </c>
      <c r="B64" s="56" t="inlineStr">
        <is>
          <t>PIPOTES 65 LITROS</t>
        </is>
      </c>
      <c r="C64" s="56" t="n">
        <v>0</v>
      </c>
      <c r="I64" s="52" t="n"/>
      <c r="J64" s="49" t="n"/>
      <c r="K64" s="35" t="n"/>
    </row>
    <row r="65">
      <c r="A65" s="56" t="inlineStr">
        <is>
          <t>LIMPIEZA</t>
        </is>
      </c>
      <c r="B65" s="56" t="inlineStr">
        <is>
          <t>HARAGAN PEQUEÑO</t>
        </is>
      </c>
      <c r="C65" s="56" t="n">
        <v>7</v>
      </c>
      <c r="I65" s="52" t="n"/>
      <c r="J65" s="49" t="n"/>
      <c r="K65" s="35" t="n"/>
    </row>
    <row r="66">
      <c r="A66" s="56" t="inlineStr">
        <is>
          <t>LIMPIEZA</t>
        </is>
      </c>
      <c r="B66" s="56" t="inlineStr">
        <is>
          <t xml:space="preserve">CABO DE PLASTICO PARA PALA </t>
        </is>
      </c>
      <c r="C66" s="56" t="n">
        <v>0</v>
      </c>
      <c r="I66" s="52" t="n"/>
      <c r="J66" s="49" t="n"/>
      <c r="K66" s="35" t="n"/>
    </row>
    <row r="67">
      <c r="A67" s="56" t="inlineStr">
        <is>
          <t>LIMPIEZA</t>
        </is>
      </c>
      <c r="B67" s="56" t="inlineStr">
        <is>
          <t>TOBO DE LIMPIEZA</t>
        </is>
      </c>
      <c r="C67" s="56" t="n">
        <v>7</v>
      </c>
      <c r="I67" s="52" t="n"/>
      <c r="J67" s="49" t="n"/>
      <c r="K67" s="35" t="n"/>
    </row>
    <row r="68">
      <c r="A68" s="56" t="inlineStr">
        <is>
          <t>LIMPIEZA</t>
        </is>
      </c>
      <c r="B68" s="56" t="inlineStr">
        <is>
          <t>PALA CON CABO</t>
        </is>
      </c>
      <c r="C68" s="56" t="n">
        <v>31</v>
      </c>
      <c r="I68" s="52" t="n"/>
      <c r="J68" s="49" t="n"/>
      <c r="K68" s="35" t="n"/>
    </row>
    <row r="69">
      <c r="A69" s="58" t="inlineStr">
        <is>
          <t>LIMPIEZA</t>
        </is>
      </c>
      <c r="B69" s="56" t="inlineStr">
        <is>
          <t>PAÑITO NEGRO DE LIMPIEZA</t>
        </is>
      </c>
      <c r="C69" s="56" t="n">
        <v>17</v>
      </c>
      <c r="I69" s="37" t="n"/>
      <c r="J69" s="34" t="n"/>
      <c r="K69" s="35" t="n"/>
    </row>
    <row r="70">
      <c r="A70" s="58" t="inlineStr">
        <is>
          <t>LIMPIEZA</t>
        </is>
      </c>
      <c r="B70" s="56" t="inlineStr">
        <is>
          <t>COLETO NEGRO</t>
        </is>
      </c>
      <c r="C70" s="56" t="n">
        <v>30</v>
      </c>
      <c r="I70" s="37" t="n"/>
      <c r="J70" s="34" t="n"/>
      <c r="K70" s="35" t="n"/>
    </row>
    <row r="71">
      <c r="A71" s="58" t="inlineStr">
        <is>
          <t>LIMPIEZA</t>
        </is>
      </c>
      <c r="B71" s="56" t="inlineStr">
        <is>
          <t>CABO DE MADERA PARA CEPILLO DE BARRER</t>
        </is>
      </c>
      <c r="C71" s="56">
        <f>29+344</f>
        <v/>
      </c>
      <c r="I71" s="37" t="n"/>
      <c r="J71" s="34" t="n"/>
      <c r="K71" s="35" t="n"/>
    </row>
    <row r="72">
      <c r="A72" s="58" t="inlineStr">
        <is>
          <t>LIMPIEZA</t>
        </is>
      </c>
      <c r="B72" s="56" t="inlineStr">
        <is>
          <t>CABO DE METAL PARA CEPILLO DE BARRER</t>
        </is>
      </c>
      <c r="C72" s="56" t="n">
        <v>166</v>
      </c>
      <c r="I72" s="37" t="n"/>
      <c r="J72" s="34" t="n"/>
      <c r="K72" s="35" t="n"/>
    </row>
    <row r="73">
      <c r="A73" s="58" t="inlineStr">
        <is>
          <t>LIMPIEZA</t>
        </is>
      </c>
      <c r="B73" s="56" t="inlineStr">
        <is>
          <t>CEPILLO PARA LAVAR INODORO</t>
        </is>
      </c>
      <c r="C73" s="56" t="n">
        <v>14</v>
      </c>
      <c r="I73" s="37" t="n"/>
      <c r="J73" s="34" t="n"/>
      <c r="K73" s="35" t="n"/>
    </row>
    <row r="74">
      <c r="A74" s="58" t="inlineStr">
        <is>
          <t>LIMPIEZA</t>
        </is>
      </c>
      <c r="B74" s="56" t="inlineStr">
        <is>
          <t>ESCOBILLONES</t>
        </is>
      </c>
      <c r="C74" s="56" t="n">
        <v>9</v>
      </c>
      <c r="I74" s="37" t="n"/>
      <c r="J74" s="34" t="n"/>
      <c r="K74" s="35" t="n"/>
    </row>
    <row r="75">
      <c r="A75" s="58" t="inlineStr">
        <is>
          <t>LIMPIEZA</t>
        </is>
      </c>
      <c r="B75" s="56" t="inlineStr">
        <is>
          <t>HARAGAN GRANDE 16"</t>
        </is>
      </c>
      <c r="C75" s="56" t="n">
        <v>5</v>
      </c>
      <c r="I75" s="37" t="n"/>
      <c r="J75" s="34" t="n"/>
      <c r="K75" s="35" t="n"/>
    </row>
    <row r="76">
      <c r="A76" s="58" t="inlineStr">
        <is>
          <t>LIMPIEZA</t>
        </is>
      </c>
      <c r="B76" s="56" t="inlineStr">
        <is>
          <t>CEPILLO DE LAVAR A MANO</t>
        </is>
      </c>
      <c r="C76" s="56" t="n">
        <v>0</v>
      </c>
      <c r="I76" s="37" t="n"/>
      <c r="J76" s="34" t="n"/>
      <c r="K76" s="35" t="n"/>
    </row>
    <row r="77">
      <c r="A77" s="58" t="inlineStr">
        <is>
          <t>LIMPIEZA</t>
        </is>
      </c>
      <c r="B77" s="56" t="inlineStr">
        <is>
          <t>PIPOTE GRANDE</t>
        </is>
      </c>
      <c r="C77" s="56" t="n">
        <v>0</v>
      </c>
      <c r="I77" s="37" t="n"/>
      <c r="J77" s="34" t="n"/>
      <c r="K77" s="35" t="n"/>
    </row>
    <row r="78">
      <c r="A78" s="58" t="inlineStr">
        <is>
          <t>LIMPIEZA</t>
        </is>
      </c>
      <c r="B78" s="56" t="inlineStr">
        <is>
          <t>CLORO (LITRO)</t>
        </is>
      </c>
      <c r="C78" s="56" t="n">
        <v>94</v>
      </c>
      <c r="I78" s="37" t="n"/>
      <c r="J78" s="34" t="n"/>
      <c r="K78" s="35" t="n"/>
    </row>
    <row r="79">
      <c r="A79" s="58" t="inlineStr">
        <is>
          <t>LIMPIEZA</t>
        </is>
      </c>
      <c r="B79" s="56" t="inlineStr">
        <is>
          <t>DESINFECTANTE  (LITRO)</t>
        </is>
      </c>
      <c r="C79" s="56" t="n">
        <v>323</v>
      </c>
      <c r="I79" s="37" t="n"/>
      <c r="J79" s="34" t="n"/>
      <c r="K79" s="35" t="n"/>
    </row>
    <row r="80">
      <c r="A80" s="58" t="inlineStr">
        <is>
          <t>LIMPIEZA</t>
        </is>
      </c>
      <c r="B80" s="56" t="inlineStr">
        <is>
          <t>DETERGENTE LIQUIDO (LITRO)</t>
        </is>
      </c>
      <c r="C80" s="56" t="n">
        <v>0</v>
      </c>
      <c r="I80" s="37" t="n"/>
      <c r="J80" s="34" t="n"/>
      <c r="K80" s="35" t="n"/>
    </row>
    <row r="81">
      <c r="A81" s="58" t="inlineStr">
        <is>
          <t>LIMPIEZA</t>
        </is>
      </c>
      <c r="B81" s="56" t="inlineStr">
        <is>
          <t>PAPELERA PUSH</t>
        </is>
      </c>
      <c r="C81" s="56" t="n">
        <v>0</v>
      </c>
      <c r="I81" s="37" t="n"/>
      <c r="J81" s="34" t="n"/>
      <c r="K81" s="35" t="n"/>
    </row>
    <row r="82" ht="15" customHeight="1" s="11" thickBot="1">
      <c r="A82" s="58" t="inlineStr">
        <is>
          <t>LIMPIEZA</t>
        </is>
      </c>
      <c r="B82" s="56" t="inlineStr">
        <is>
          <t>DISCO PARA PULIDORA INDUSTRIAL 17"</t>
        </is>
      </c>
      <c r="C82" s="56" t="n">
        <v>2</v>
      </c>
      <c r="I82" s="38" t="n"/>
      <c r="J82" s="47" t="n"/>
      <c r="K82" s="36" t="n"/>
    </row>
    <row r="83">
      <c r="A83" s="58" t="inlineStr">
        <is>
          <t>LIMPIEZA</t>
        </is>
      </c>
      <c r="B83" s="56" t="inlineStr">
        <is>
          <t>CHUPON DE BAÑO</t>
        </is>
      </c>
      <c r="C83" s="56" t="n">
        <v>3</v>
      </c>
    </row>
    <row r="84">
      <c r="A84" s="58" t="inlineStr">
        <is>
          <t>LIMPIEZA</t>
        </is>
      </c>
      <c r="B84" s="56" t="inlineStr">
        <is>
          <t>PAPELERA PEQUEÑA TIPO CESTA</t>
        </is>
      </c>
      <c r="C84" s="56" t="n">
        <v>7</v>
      </c>
    </row>
    <row r="85">
      <c r="A85" s="58" t="inlineStr">
        <is>
          <t>LIMPIEZA</t>
        </is>
      </c>
      <c r="B85" s="56" t="inlineStr">
        <is>
          <t>PAPELERA CUADRADA 60 LITROS</t>
        </is>
      </c>
      <c r="C85" s="56" t="n">
        <v>0</v>
      </c>
    </row>
    <row r="86">
      <c r="A86" s="58" t="inlineStr">
        <is>
          <t>LIMPIEZA</t>
        </is>
      </c>
      <c r="B86" s="56" t="inlineStr">
        <is>
          <t>PAPELERA DE OFICINA TEJIDA</t>
        </is>
      </c>
      <c r="C86" s="56" t="n">
        <v>0</v>
      </c>
    </row>
    <row r="87">
      <c r="A87" s="58" t="inlineStr">
        <is>
          <t>LIMPIEZA</t>
        </is>
      </c>
      <c r="B87" s="56" t="inlineStr">
        <is>
          <t>SODA CAUSTUCA EN ESCAMA AL 99,7% (KG)</t>
        </is>
      </c>
      <c r="C87" s="56" t="n">
        <v>0.5</v>
      </c>
    </row>
    <row r="88">
      <c r="A88" s="58" t="inlineStr">
        <is>
          <t>LIMPIEZA</t>
        </is>
      </c>
      <c r="B88" s="56" t="inlineStr">
        <is>
          <t>BOLSA PARA LA BASURA GRANDE</t>
        </is>
      </c>
      <c r="C88" s="56" t="n">
        <v>0</v>
      </c>
    </row>
    <row r="89">
      <c r="A89" s="58" t="inlineStr">
        <is>
          <t>LIMPIEZA</t>
        </is>
      </c>
      <c r="B89" s="56" t="inlineStr">
        <is>
          <t>BOLSA PARA LA PAPELERA PEQUEÑA</t>
        </is>
      </c>
      <c r="C89" s="56" t="n">
        <v>0</v>
      </c>
    </row>
    <row r="90">
      <c r="A90" s="58" t="inlineStr">
        <is>
          <t>LIMPIEZA</t>
        </is>
      </c>
      <c r="B90" s="56" t="inlineStr">
        <is>
          <t>MOPA</t>
        </is>
      </c>
      <c r="C90" s="56" t="n">
        <v>8</v>
      </c>
    </row>
    <row r="91">
      <c r="A91" s="58" t="inlineStr">
        <is>
          <t>LIMPIEZA</t>
        </is>
      </c>
      <c r="B91" s="56" t="inlineStr">
        <is>
          <t>PAPELERA 100 LITROS</t>
        </is>
      </c>
      <c r="C91" s="56" t="n">
        <v>0</v>
      </c>
    </row>
    <row r="92">
      <c r="A92" s="58" t="inlineStr">
        <is>
          <t>LIMPIEZA</t>
        </is>
      </c>
      <c r="B92" s="56" t="inlineStr">
        <is>
          <t>PIPOTE 30 LITROS</t>
        </is>
      </c>
      <c r="C92" s="56" t="n">
        <v>3</v>
      </c>
    </row>
    <row r="93">
      <c r="A93" s="58" t="inlineStr">
        <is>
          <t>LIMPIEZA</t>
        </is>
      </c>
      <c r="B93" s="56" t="inlineStr">
        <is>
          <t>DESENGRASANTE (LITRO)</t>
        </is>
      </c>
      <c r="C93" s="56" t="n">
        <v>2</v>
      </c>
    </row>
    <row r="94">
      <c r="A94" s="58" t="inlineStr">
        <is>
          <t>LIMPIEZA</t>
        </is>
      </c>
      <c r="B94" s="56" t="inlineStr">
        <is>
          <t>PIPOTE 90 LITROS</t>
        </is>
      </c>
      <c r="C94" s="56" t="n">
        <v>2</v>
      </c>
    </row>
  </sheetData>
  <mergeCells count="2">
    <mergeCell ref="E12:F12"/>
    <mergeCell ref="E13:F13"/>
  </mergeCells>
  <pageMargins left="0.25" right="0.25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Villanueva</dc:creator>
  <dcterms:created xsi:type="dcterms:W3CDTF">2026-02-06T12:56:09Z</dcterms:created>
  <dcterms:modified xsi:type="dcterms:W3CDTF">2026-09-30T14:29:10Z</dcterms:modified>
  <cp:lastModifiedBy>Jose Villanueva</cp:lastModifiedBy>
  <cp:lastPrinted>2026-05-29T12:39:25Z</cp:lastPrinted>
</cp:coreProperties>
</file>