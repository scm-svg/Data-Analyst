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Instrucciones" sheetId="1" state="visible" r:id="rId1"/>
    <sheet name="1_Datos" sheetId="2" state="visible" r:id="rId2"/>
    <sheet name="2_Parametros" sheetId="3" state="visible" r:id="rId3"/>
    <sheet name="3_Calc" sheetId="4" state="visible" r:id="rId4"/>
    <sheet name="4_KPI_Responsables" sheetId="5" state="visible" r:id="rId5"/>
    <sheet name="5_Ranking" sheetId="6" state="visible" r:id="rId6"/>
    <sheet name="6_Metodologia" sheetId="7" state="visible" r:id="rId7"/>
    <sheet name="7_Snapshot_Resultados" sheetId="8" state="visible" r:id="rId8"/>
  </sheets>
  <definedNames>
    <definedName name="_xlnm._FilterDatabase" localSheetId="3" hidden="1">'3_Calc'!$A$1:$S$121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sz val="11"/>
    </font>
    <font>
      <name val="Calibri"/>
      <b val="1"/>
      <color rgb="001F4E79"/>
      <sz val="13"/>
    </font>
    <font>
      <name val="Calibri"/>
      <b val="1"/>
      <sz val="11"/>
    </font>
    <font>
      <name val="Calibr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0B3A5C"/>
      </patternFill>
    </fill>
    <fill>
      <patternFill patternType="solid">
        <fgColor rgb="00FFF4CE"/>
      </patternFill>
    </fill>
    <fill>
      <patternFill patternType="solid">
        <fgColor rgb="001F4E79"/>
      </patternFill>
    </fill>
    <fill>
      <patternFill patternType="solid">
        <fgColor rgb="00E8F1F8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2" fillId="0" borderId="1" pivotButton="0" quotePrefix="0" xfId="0"/>
    <xf numFmtId="165" fontId="2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5" borderId="0" pivotButton="0" quotePrefix="0" xfId="0"/>
    <xf numFmtId="0" fontId="4" fillId="6" borderId="1" pivotButton="0" quotePrefix="0" xfId="0"/>
    <xf numFmtId="9" fontId="4" fillId="6" borderId="1" pivotButton="0" quotePrefix="0" xfId="0"/>
    <xf numFmtId="0" fontId="4" fillId="0" borderId="0" pivotButton="0" quotePrefix="0" xfId="0"/>
    <xf numFmtId="165" fontId="0" fillId="0" borderId="0" pivotButton="0" quotePrefix="0" xfId="0"/>
    <xf numFmtId="166" fontId="2" fillId="0" borderId="1" pivotButton="0" quotePrefix="0" xfId="0"/>
    <xf numFmtId="0" fontId="4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0" fontId="0" fillId="6" borderId="1" pivotButton="0" quotePrefix="0" xfId="0"/>
    <xf numFmtId="0" fontId="5" fillId="4" borderId="1" pivotButton="0" quotePrefix="0" xfId="0"/>
    <xf numFmtId="166" fontId="5" fillId="4" borderId="1" pivotButton="0" quotePrefix="0" xfId="0"/>
    <xf numFmtId="0" fontId="4" fillId="5" borderId="1" pivotButton="0" quotePrefix="0" xfId="0"/>
    <xf numFmtId="0" fontId="2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4" fillId="7" borderId="1" pivotButton="0" quotePrefix="0" xfId="0"/>
    <xf numFmtId="0" fontId="4" fillId="8" borderId="1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IOI por responsable (quincena)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'5_Ranking'!C3</f>
            </strRef>
          </tx>
          <spPr>
            <a:ln>
              <a:prstDash val="solid"/>
            </a:ln>
          </spPr>
          <cat>
            <numRef>
              <f>'5_Ranking'!$B$4:$B$8</f>
            </numRef>
          </cat>
          <val>
            <numRef>
              <f>'5_Ranking'!$C$4:$C$8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IOI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2:I62" headerRowCount="1">
  <autoFilter ref="A2:I62"/>
  <tableColumns count="9">
    <tableColumn id="1" name="ID"/>
    <tableColumn id="2" name="Operacion"/>
    <tableColumn id="3" name="Responsable"/>
    <tableColumn id="4" name="Fecha_Inicio"/>
    <tableColumn id="5" name="Fecha_Finalizacion"/>
    <tableColumn id="6" name="Prioridad"/>
    <tableColumn id="7" name="Estado"/>
    <tableColumn id="8" name="Area"/>
    <tableColumn id="9" name="Observacion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8" customHeight="1">
      <c r="A1" s="1" t="inlineStr">
        <is>
          <t>Indicador de Operatividad I+D — Medición Quincenal</t>
        </is>
      </c>
    </row>
    <row r="2">
      <c r="A2" s="2" t="inlineStr"/>
    </row>
    <row r="3">
      <c r="A3" s="3" t="inlineStr">
        <is>
          <t>OBJETIVO</t>
        </is>
      </c>
    </row>
    <row r="4">
      <c r="A4" s="2" t="inlineStr">
        <is>
          <t>Medir la operatividad de cada responsable del departamento I+D (Innovación y Diseño) cada quincena,</t>
        </is>
      </c>
    </row>
    <row r="5">
      <c r="A5" s="2" t="inlineStr">
        <is>
          <t>usando fechas de inicio/finalización y el nivel de prioridad de cada operación.</t>
        </is>
      </c>
    </row>
    <row r="6">
      <c r="A6" s="2" t="inlineStr"/>
    </row>
    <row r="7">
      <c r="A7" s="2" t="inlineStr">
        <is>
          <t>CÓMO ACTUALIZAR (enfoque auto-renovable)</t>
        </is>
      </c>
    </row>
    <row r="8">
      <c r="A8" s="2" t="inlineStr">
        <is>
          <t>1) Abra la hoja 1_Datos.</t>
        </is>
      </c>
    </row>
    <row r="9">
      <c r="A9" s="2" t="inlineStr">
        <is>
          <t>2) Borre solo las filas de datos (no borre la fila 1 de encabezados).</t>
        </is>
      </c>
    </row>
    <row r="10">
      <c r="A10" s="2" t="inlineStr">
        <is>
          <t>3) Pegue las operaciones actuales desde KPIS I+D.xlsx (mismas columnas o mapee a estas).</t>
        </is>
      </c>
    </row>
    <row r="11">
      <c r="A11" s="2" t="inlineStr">
        <is>
          <t>4) En 2_Parametros elija Año, Mes y Quincena a evaluar (1 = días 1-15; 2 = días 16-fin).</t>
        </is>
      </c>
    </row>
    <row r="12">
      <c r="A12" s="2" t="inlineStr">
        <is>
          <t>5) Las hojas 3_Calc, 4_KPI_Responsables y 5_Ranking se actualizan solas con fórmulas Excel.</t>
        </is>
      </c>
    </row>
    <row r="13">
      <c r="A13" s="2" t="inlineStr"/>
    </row>
    <row r="14">
      <c r="A14" s="2" t="inlineStr">
        <is>
          <t>COLUMNAS REQUERIDAS EN 1_Datos</t>
        </is>
      </c>
    </row>
    <row r="15">
      <c r="A15" s="2" t="inlineStr">
        <is>
          <t>ID | Operacion | Responsable | Fecha_Inicio | Fecha_Finalizacion | Prioridad | Estado | Area | Observaciones</t>
        </is>
      </c>
    </row>
    <row r="16">
      <c r="A16" s="2" t="inlineStr">
        <is>
          <t>Prioridad aceptada: Alta / Media / Baja (también P1/P2/P3 o 1/2/3 se normalizan en 3_Calc).</t>
        </is>
      </c>
    </row>
    <row r="17">
      <c r="A17" s="2" t="inlineStr">
        <is>
          <t>Estado: Completada / En proceso / Pendiente / Cancelada (ajustable).</t>
        </is>
      </c>
    </row>
    <row r="18">
      <c r="A18" s="2" t="inlineStr"/>
    </row>
    <row r="19">
      <c r="A19" s="2" t="inlineStr">
        <is>
          <t>INDICADOR PRINCIPAL: IOI — Índice de Operatividad I+D</t>
        </is>
      </c>
    </row>
    <row r="20">
      <c r="A20" s="2" t="inlineStr">
        <is>
          <t>IOI = (0.70 × Cumplimiento ponderado a tiempo) + (0.30 × Eficiencia de ciclo ponderada)</t>
        </is>
      </c>
    </row>
    <row r="21">
      <c r="A21" s="2" t="inlineStr">
        <is>
          <t xml:space="preserve">  • Cumplimiento ponderado: operaciones cerradas a tiempo / operaciones a evaluar, ponderadas por prioridad.</t>
        </is>
      </c>
    </row>
    <row r="22">
      <c r="A22" s="2" t="inlineStr">
        <is>
          <t xml:space="preserve">  • Eficiencia de ciclo: meta de días por prioridad / días reales, tope 100%, ponderada por prioridad.</t>
        </is>
      </c>
    </row>
    <row r="23">
      <c r="A23" s="2" t="inlineStr">
        <is>
          <t xml:space="preserve">  • Pesos por defecto: Alta=3, Media=2, Baja=1 (editables en 2_Parametros).</t>
        </is>
      </c>
    </row>
    <row r="24">
      <c r="A24" s="2" t="inlineStr"/>
    </row>
    <row r="25">
      <c r="A25" s="3" t="inlineStr">
        <is>
          <t>QUINCENA DE EVALUACIÓN</t>
        </is>
      </c>
    </row>
    <row r="26">
      <c r="A26" s="2" t="inlineStr">
        <is>
          <t>Se incluyen operaciones cuya Fecha_Finalizacion cae en la quincena, o (si siguen abiertas)</t>
        </is>
      </c>
    </row>
    <row r="27">
      <c r="A27" s="2" t="inlineStr">
        <is>
          <t>cuya Fecha_Inicio está en la quincena / siguen activas al cierre de la quincena.</t>
        </is>
      </c>
    </row>
    <row r="28">
      <c r="A28" s="2" t="inlineStr">
        <is>
          <t>Regla operativa recomendada (editable): evaluar principalmente cierres de la quincena + atrasos abiertos.</t>
        </is>
      </c>
    </row>
    <row r="29">
      <c r="A29" s="2" t="inlineStr"/>
    </row>
    <row r="30">
      <c r="A30" s="3" t="inlineStr">
        <is>
          <t>SEMAFORO</t>
        </is>
      </c>
    </row>
    <row r="31">
      <c r="A31" s="2" t="inlineStr">
        <is>
          <t>Cumple ≥ Meta IOI (default 85%) | Riesgo entre Umbral y Meta | Critico &lt; Umbral (default 70%).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14" customWidth="1" min="3" max="3"/>
    <col width="14" customWidth="1" min="4" max="4"/>
    <col width="20" customWidth="1" min="5" max="5"/>
    <col width="12" customWidth="1" min="6" max="6"/>
    <col width="12" customWidth="1" min="7" max="7"/>
    <col width="12" customWidth="1" min="8" max="8"/>
    <col width="40" customWidth="1" min="9" max="9"/>
  </cols>
  <sheetData>
    <row r="1">
      <c r="A1" s="4" t="inlineStr">
        <is>
          <t>PEGUE AQUÍ LOS DATOS RENOVADOS DE KPIS I+D (no modifique los encabezados)</t>
        </is>
      </c>
    </row>
    <row r="2">
      <c r="A2" s="5" t="inlineStr">
        <is>
          <t>ID</t>
        </is>
      </c>
      <c r="B2" s="5" t="inlineStr">
        <is>
          <t>Operacion</t>
        </is>
      </c>
      <c r="C2" s="5" t="inlineStr">
        <is>
          <t>Responsable</t>
        </is>
      </c>
      <c r="D2" s="5" t="inlineStr">
        <is>
          <t>Fecha_Inicio</t>
        </is>
      </c>
      <c r="E2" s="5" t="inlineStr">
        <is>
          <t>Fecha_Finalizacion</t>
        </is>
      </c>
      <c r="F2" s="5" t="inlineStr">
        <is>
          <t>Prioridad</t>
        </is>
      </c>
      <c r="G2" s="5" t="inlineStr">
        <is>
          <t>Estado</t>
        </is>
      </c>
      <c r="H2" s="5" t="inlineStr">
        <is>
          <t>Area</t>
        </is>
      </c>
      <c r="I2" s="5" t="inlineStr">
        <is>
          <t>Observaciones</t>
        </is>
      </c>
    </row>
    <row r="3">
      <c r="A3" s="6" t="inlineStr">
        <is>
          <t>OP-001</t>
        </is>
      </c>
      <c r="B3" s="6" t="inlineStr">
        <is>
          <t>Operación I+D #1</t>
        </is>
      </c>
      <c r="C3" s="6" t="inlineStr">
        <is>
          <t>Ana Pérez</t>
        </is>
      </c>
      <c r="D3" s="7" t="n">
        <v>46204</v>
      </c>
      <c r="E3" s="7" t="n">
        <v>46217</v>
      </c>
      <c r="F3" s="6" t="inlineStr">
        <is>
          <t>Baja</t>
        </is>
      </c>
      <c r="G3" s="6" t="inlineStr">
        <is>
          <t>Completada</t>
        </is>
      </c>
      <c r="H3" s="6" t="inlineStr">
        <is>
          <t>Validación</t>
        </is>
      </c>
      <c r="I3" s="6" t="inlineStr">
        <is>
          <t>Dato demo — reemplazar con KPIS I+D.xlsx</t>
        </is>
      </c>
    </row>
    <row r="4">
      <c r="A4" s="6" t="inlineStr">
        <is>
          <t>OP-002</t>
        </is>
      </c>
      <c r="B4" s="6" t="inlineStr">
        <is>
          <t>Operación I+D #2</t>
        </is>
      </c>
      <c r="C4" s="6" t="inlineStr">
        <is>
          <t>Luis Gómez</t>
        </is>
      </c>
      <c r="D4" s="7" t="n">
        <v>46206</v>
      </c>
      <c r="E4" s="7" t="n">
        <v>46214</v>
      </c>
      <c r="F4" s="6" t="inlineStr">
        <is>
          <t>Media</t>
        </is>
      </c>
      <c r="G4" s="6" t="inlineStr">
        <is>
          <t>Completada</t>
        </is>
      </c>
      <c r="H4" s="6" t="inlineStr">
        <is>
          <t>Prototipo</t>
        </is>
      </c>
      <c r="I4" s="6" t="inlineStr">
        <is>
          <t>Dato demo — reemplazar con KPIS I+D.xlsx</t>
        </is>
      </c>
    </row>
    <row r="5">
      <c r="A5" s="6" t="inlineStr">
        <is>
          <t>OP-003</t>
        </is>
      </c>
      <c r="B5" s="6" t="inlineStr">
        <is>
          <t>Operación I+D #3</t>
        </is>
      </c>
      <c r="C5" s="6" t="inlineStr">
        <is>
          <t>María Ruiz</t>
        </is>
      </c>
      <c r="D5" s="7" t="n">
        <v>46208</v>
      </c>
      <c r="E5" s="6" t="n"/>
      <c r="F5" s="6" t="inlineStr">
        <is>
          <t>Alta</t>
        </is>
      </c>
      <c r="G5" s="6" t="inlineStr">
        <is>
          <t>En proceso</t>
        </is>
      </c>
      <c r="H5" s="6" t="inlineStr">
        <is>
          <t>Innovación</t>
        </is>
      </c>
      <c r="I5" s="6" t="inlineStr">
        <is>
          <t>Dato demo — reemplazar con KPIS I+D.xlsx</t>
        </is>
      </c>
    </row>
    <row r="6">
      <c r="A6" s="6" t="inlineStr">
        <is>
          <t>OP-004</t>
        </is>
      </c>
      <c r="B6" s="6" t="inlineStr">
        <is>
          <t>Operación I+D #4</t>
        </is>
      </c>
      <c r="C6" s="6" t="inlineStr">
        <is>
          <t>Carlos Díaz</t>
        </is>
      </c>
      <c r="D6" s="7" t="n">
        <v>46210</v>
      </c>
      <c r="E6" s="6" t="n"/>
      <c r="F6" s="6" t="inlineStr">
        <is>
          <t>Baja</t>
        </is>
      </c>
      <c r="G6" s="6" t="inlineStr">
        <is>
          <t>Pendiente</t>
        </is>
      </c>
      <c r="H6" s="6" t="inlineStr">
        <is>
          <t>Diseño</t>
        </is>
      </c>
      <c r="I6" s="6" t="inlineStr">
        <is>
          <t>Dato demo — reemplazar con KPIS I+D.xlsx</t>
        </is>
      </c>
    </row>
    <row r="7">
      <c r="A7" s="6" t="inlineStr">
        <is>
          <t>OP-005</t>
        </is>
      </c>
      <c r="B7" s="6" t="inlineStr">
        <is>
          <t>Operación I+D #5</t>
        </is>
      </c>
      <c r="C7" s="6" t="inlineStr">
        <is>
          <t>Sofía Vargas</t>
        </is>
      </c>
      <c r="D7" s="7" t="n">
        <v>46212</v>
      </c>
      <c r="E7" s="7" t="n">
        <v>46220</v>
      </c>
      <c r="F7" s="6" t="inlineStr">
        <is>
          <t>Media</t>
        </is>
      </c>
      <c r="G7" s="6" t="inlineStr">
        <is>
          <t>Completada</t>
        </is>
      </c>
      <c r="H7" s="6" t="inlineStr">
        <is>
          <t>Validación</t>
        </is>
      </c>
      <c r="I7" s="6" t="inlineStr">
        <is>
          <t>Dato demo — reemplazar con KPIS I+D.xlsx</t>
        </is>
      </c>
    </row>
    <row r="8">
      <c r="A8" s="6" t="inlineStr">
        <is>
          <t>OP-006</t>
        </is>
      </c>
      <c r="B8" s="6" t="inlineStr">
        <is>
          <t>Operación I+D #6</t>
        </is>
      </c>
      <c r="C8" s="6" t="inlineStr">
        <is>
          <t>Ana Pérez</t>
        </is>
      </c>
      <c r="D8" s="7" t="n">
        <v>46214</v>
      </c>
      <c r="E8" s="7" t="n">
        <v>46218</v>
      </c>
      <c r="F8" s="6" t="inlineStr">
        <is>
          <t>Alta</t>
        </is>
      </c>
      <c r="G8" s="6" t="inlineStr">
        <is>
          <t>Completada</t>
        </is>
      </c>
      <c r="H8" s="6" t="inlineStr">
        <is>
          <t>Prototipo</t>
        </is>
      </c>
      <c r="I8" s="6" t="inlineStr">
        <is>
          <t>Dato demo — reemplazar con KPIS I+D.xlsx</t>
        </is>
      </c>
    </row>
    <row r="9">
      <c r="A9" s="6" t="inlineStr">
        <is>
          <t>OP-007</t>
        </is>
      </c>
      <c r="B9" s="6" t="inlineStr">
        <is>
          <t>Operación I+D #7</t>
        </is>
      </c>
      <c r="C9" s="6" t="inlineStr">
        <is>
          <t>Luis Gómez</t>
        </is>
      </c>
      <c r="D9" s="7" t="n">
        <v>46216</v>
      </c>
      <c r="E9" s="7" t="n">
        <v>46229</v>
      </c>
      <c r="F9" s="6" t="inlineStr">
        <is>
          <t>Baja</t>
        </is>
      </c>
      <c r="G9" s="6" t="inlineStr">
        <is>
          <t>Completada</t>
        </is>
      </c>
      <c r="H9" s="6" t="inlineStr">
        <is>
          <t>Innovación</t>
        </is>
      </c>
      <c r="I9" s="6" t="inlineStr">
        <is>
          <t>Dato demo — reemplazar con KPIS I+D.xlsx</t>
        </is>
      </c>
    </row>
    <row r="10">
      <c r="A10" s="6" t="inlineStr">
        <is>
          <t>OP-008</t>
        </is>
      </c>
      <c r="B10" s="6" t="inlineStr">
        <is>
          <t>Operación I+D #8</t>
        </is>
      </c>
      <c r="C10" s="6" t="inlineStr">
        <is>
          <t>María Ruiz</t>
        </is>
      </c>
      <c r="D10" s="7" t="n">
        <v>46218</v>
      </c>
      <c r="E10" s="6" t="n"/>
      <c r="F10" s="6" t="inlineStr">
        <is>
          <t>Media</t>
        </is>
      </c>
      <c r="G10" s="6" t="inlineStr">
        <is>
          <t>En proceso</t>
        </is>
      </c>
      <c r="H10" s="6" t="inlineStr">
        <is>
          <t>Diseño</t>
        </is>
      </c>
      <c r="I10" s="6" t="inlineStr">
        <is>
          <t>Dato demo — reemplazar con KPIS I+D.xlsx</t>
        </is>
      </c>
    </row>
    <row r="11">
      <c r="A11" s="6" t="inlineStr">
        <is>
          <t>OP-009</t>
        </is>
      </c>
      <c r="B11" s="6" t="inlineStr">
        <is>
          <t>Operación I+D #9</t>
        </is>
      </c>
      <c r="C11" s="6" t="inlineStr">
        <is>
          <t>Carlos Díaz</t>
        </is>
      </c>
      <c r="D11" s="7" t="n">
        <v>46220</v>
      </c>
      <c r="E11" s="6" t="n"/>
      <c r="F11" s="6" t="inlineStr">
        <is>
          <t>Alta</t>
        </is>
      </c>
      <c r="G11" s="6" t="inlineStr">
        <is>
          <t>Pendiente</t>
        </is>
      </c>
      <c r="H11" s="6" t="inlineStr">
        <is>
          <t>Validación</t>
        </is>
      </c>
      <c r="I11" s="6" t="inlineStr">
        <is>
          <t>Dato demo — reemplazar con KPIS I+D.xlsx</t>
        </is>
      </c>
    </row>
    <row r="12">
      <c r="A12" s="6" t="inlineStr">
        <is>
          <t>OP-010</t>
        </is>
      </c>
      <c r="B12" s="6" t="inlineStr">
        <is>
          <t>Operación I+D #10</t>
        </is>
      </c>
      <c r="C12" s="6" t="inlineStr">
        <is>
          <t>Sofía Vargas</t>
        </is>
      </c>
      <c r="D12" s="7" t="n">
        <v>46222</v>
      </c>
      <c r="E12" s="7" t="n">
        <v>46235</v>
      </c>
      <c r="F12" s="6" t="inlineStr">
        <is>
          <t>Baja</t>
        </is>
      </c>
      <c r="G12" s="6" t="inlineStr">
        <is>
          <t>Completada</t>
        </is>
      </c>
      <c r="H12" s="6" t="inlineStr">
        <is>
          <t>Prototipo</t>
        </is>
      </c>
      <c r="I12" s="6" t="inlineStr">
        <is>
          <t>Dato demo — reemplazar con KPIS I+D.xlsx</t>
        </is>
      </c>
    </row>
    <row r="13">
      <c r="A13" s="6" t="inlineStr">
        <is>
          <t>OP-011</t>
        </is>
      </c>
      <c r="B13" s="6" t="inlineStr">
        <is>
          <t>Operación I+D #11</t>
        </is>
      </c>
      <c r="C13" s="6" t="inlineStr">
        <is>
          <t>Ana Pérez</t>
        </is>
      </c>
      <c r="D13" s="7" t="n">
        <v>46224</v>
      </c>
      <c r="E13" s="7" t="n">
        <v>46232</v>
      </c>
      <c r="F13" s="6" t="inlineStr">
        <is>
          <t>Media</t>
        </is>
      </c>
      <c r="G13" s="6" t="inlineStr">
        <is>
          <t>Completada</t>
        </is>
      </c>
      <c r="H13" s="6" t="inlineStr">
        <is>
          <t>Innovación</t>
        </is>
      </c>
      <c r="I13" s="6" t="inlineStr">
        <is>
          <t>Dato demo — reemplazar con KPIS I+D.xlsx</t>
        </is>
      </c>
    </row>
    <row r="14">
      <c r="A14" s="6" t="inlineStr">
        <is>
          <t>OP-012</t>
        </is>
      </c>
      <c r="B14" s="6" t="inlineStr">
        <is>
          <t>Operación I+D #12</t>
        </is>
      </c>
      <c r="C14" s="6" t="inlineStr">
        <is>
          <t>Luis Gómez</t>
        </is>
      </c>
      <c r="D14" s="7" t="n">
        <v>46226</v>
      </c>
      <c r="E14" s="7" t="n">
        <v>46235</v>
      </c>
      <c r="F14" s="6" t="inlineStr">
        <is>
          <t>Alta</t>
        </is>
      </c>
      <c r="G14" s="6" t="inlineStr">
        <is>
          <t>Completada</t>
        </is>
      </c>
      <c r="H14" s="6" t="inlineStr">
        <is>
          <t>Diseño</t>
        </is>
      </c>
      <c r="I14" s="6" t="inlineStr">
        <is>
          <t>Dato demo — reemplazar con KPIS I+D.xlsx</t>
        </is>
      </c>
    </row>
    <row r="15">
      <c r="A15" s="6" t="inlineStr">
        <is>
          <t>OP-013</t>
        </is>
      </c>
      <c r="B15" s="6" t="inlineStr">
        <is>
          <t>Operación I+D #13</t>
        </is>
      </c>
      <c r="C15" s="6" t="inlineStr">
        <is>
          <t>María Ruiz</t>
        </is>
      </c>
      <c r="D15" s="7" t="n">
        <v>46228</v>
      </c>
      <c r="E15" s="6" t="n"/>
      <c r="F15" s="6" t="inlineStr">
        <is>
          <t>Baja</t>
        </is>
      </c>
      <c r="G15" s="6" t="inlineStr">
        <is>
          <t>En proceso</t>
        </is>
      </c>
      <c r="H15" s="6" t="inlineStr">
        <is>
          <t>Validación</t>
        </is>
      </c>
      <c r="I15" s="6" t="inlineStr">
        <is>
          <t>Dato demo — reemplazar con KPIS I+D.xlsx</t>
        </is>
      </c>
    </row>
    <row r="16">
      <c r="A16" s="6" t="inlineStr">
        <is>
          <t>OP-014</t>
        </is>
      </c>
      <c r="B16" s="6" t="inlineStr">
        <is>
          <t>Operación I+D #14</t>
        </is>
      </c>
      <c r="C16" s="6" t="inlineStr">
        <is>
          <t>Carlos Díaz</t>
        </is>
      </c>
      <c r="D16" s="7" t="n">
        <v>46230</v>
      </c>
      <c r="E16" s="6" t="n"/>
      <c r="F16" s="6" t="inlineStr">
        <is>
          <t>Media</t>
        </is>
      </c>
      <c r="G16" s="6" t="inlineStr">
        <is>
          <t>Pendiente</t>
        </is>
      </c>
      <c r="H16" s="6" t="inlineStr">
        <is>
          <t>Prototipo</t>
        </is>
      </c>
      <c r="I16" s="6" t="inlineStr">
        <is>
          <t>Dato demo — reemplazar con KPIS I+D.xlsx</t>
        </is>
      </c>
    </row>
    <row r="17">
      <c r="A17" s="6" t="inlineStr">
        <is>
          <t>OP-015</t>
        </is>
      </c>
      <c r="B17" s="6" t="inlineStr">
        <is>
          <t>Operación I+D #15</t>
        </is>
      </c>
      <c r="C17" s="6" t="inlineStr">
        <is>
          <t>Sofía Vargas</t>
        </is>
      </c>
      <c r="D17" s="7" t="n">
        <v>46232</v>
      </c>
      <c r="E17" s="7" t="n">
        <v>46236</v>
      </c>
      <c r="F17" s="6" t="inlineStr">
        <is>
          <t>Alta</t>
        </is>
      </c>
      <c r="G17" s="6" t="inlineStr">
        <is>
          <t>Completada</t>
        </is>
      </c>
      <c r="H17" s="6" t="inlineStr">
        <is>
          <t>Innovación</t>
        </is>
      </c>
      <c r="I17" s="6" t="inlineStr">
        <is>
          <t>Dato demo — reemplazar con KPIS I+D.xlsx</t>
        </is>
      </c>
    </row>
    <row r="18">
      <c r="A18" s="6" t="inlineStr">
        <is>
          <t>OP-016</t>
        </is>
      </c>
      <c r="B18" s="6" t="inlineStr">
        <is>
          <t>Operación I+D #16</t>
        </is>
      </c>
      <c r="C18" s="6" t="inlineStr">
        <is>
          <t>Ana Pérez</t>
        </is>
      </c>
      <c r="D18" s="7" t="n">
        <v>46234</v>
      </c>
      <c r="E18" s="7" t="n">
        <v>46249</v>
      </c>
      <c r="F18" s="6" t="inlineStr">
        <is>
          <t>Baja</t>
        </is>
      </c>
      <c r="G18" s="6" t="inlineStr">
        <is>
          <t>Completada</t>
        </is>
      </c>
      <c r="H18" s="6" t="inlineStr">
        <is>
          <t>Diseño</t>
        </is>
      </c>
      <c r="I18" s="6" t="inlineStr">
        <is>
          <t>Dato demo — reemplazar con KPIS I+D.xlsx</t>
        </is>
      </c>
    </row>
    <row r="19">
      <c r="A19" s="6" t="inlineStr">
        <is>
          <t>OP-017</t>
        </is>
      </c>
      <c r="B19" s="6" t="inlineStr">
        <is>
          <t>Operación I+D #17</t>
        </is>
      </c>
      <c r="C19" s="6" t="inlineStr">
        <is>
          <t>Luis Gómez</t>
        </is>
      </c>
      <c r="D19" s="7" t="n">
        <v>46236</v>
      </c>
      <c r="E19" s="7" t="n">
        <v>46244</v>
      </c>
      <c r="F19" s="6" t="inlineStr">
        <is>
          <t>Media</t>
        </is>
      </c>
      <c r="G19" s="6" t="inlineStr">
        <is>
          <t>Completada</t>
        </is>
      </c>
      <c r="H19" s="6" t="inlineStr">
        <is>
          <t>Validación</t>
        </is>
      </c>
      <c r="I19" s="6" t="inlineStr">
        <is>
          <t>Dato demo — reemplazar con KPIS I+D.xlsx</t>
        </is>
      </c>
    </row>
    <row r="20">
      <c r="A20" s="6" t="inlineStr">
        <is>
          <t>OP-018</t>
        </is>
      </c>
      <c r="B20" s="6" t="inlineStr">
        <is>
          <t>Operación I+D #18</t>
        </is>
      </c>
      <c r="C20" s="6" t="inlineStr">
        <is>
          <t>María Ruiz</t>
        </is>
      </c>
      <c r="D20" s="7" t="n">
        <v>46238</v>
      </c>
      <c r="E20" s="6" t="n"/>
      <c r="F20" s="6" t="inlineStr">
        <is>
          <t>Alta</t>
        </is>
      </c>
      <c r="G20" s="6" t="inlineStr">
        <is>
          <t>En proceso</t>
        </is>
      </c>
      <c r="H20" s="6" t="inlineStr">
        <is>
          <t>Prototipo</t>
        </is>
      </c>
      <c r="I20" s="6" t="inlineStr">
        <is>
          <t>Dato demo — reemplazar con KPIS I+D.xlsx</t>
        </is>
      </c>
    </row>
    <row r="21">
      <c r="A21" s="6" t="inlineStr">
        <is>
          <t>OP-019</t>
        </is>
      </c>
      <c r="B21" s="6" t="inlineStr">
        <is>
          <t>Operación I+D #19</t>
        </is>
      </c>
      <c r="C21" s="6" t="inlineStr">
        <is>
          <t>Carlos Díaz</t>
        </is>
      </c>
      <c r="D21" s="7" t="n">
        <v>46240</v>
      </c>
      <c r="E21" s="6" t="n"/>
      <c r="F21" s="6" t="inlineStr">
        <is>
          <t>Baja</t>
        </is>
      </c>
      <c r="G21" s="6" t="inlineStr">
        <is>
          <t>Pendiente</t>
        </is>
      </c>
      <c r="H21" s="6" t="inlineStr">
        <is>
          <t>Innovación</t>
        </is>
      </c>
      <c r="I21" s="6" t="inlineStr">
        <is>
          <t>Dato demo — reemplazar con KPIS I+D.xlsx</t>
        </is>
      </c>
    </row>
    <row r="22">
      <c r="A22" s="6" t="inlineStr">
        <is>
          <t>OP-020</t>
        </is>
      </c>
      <c r="B22" s="6" t="inlineStr">
        <is>
          <t>Operación I+D #20</t>
        </is>
      </c>
      <c r="C22" s="6" t="inlineStr">
        <is>
          <t>Sofía Vargas</t>
        </is>
      </c>
      <c r="D22" s="7" t="n">
        <v>46242</v>
      </c>
      <c r="E22" s="7" t="n">
        <v>46252</v>
      </c>
      <c r="F22" s="6" t="inlineStr">
        <is>
          <t>Media</t>
        </is>
      </c>
      <c r="G22" s="6" t="inlineStr">
        <is>
          <t>Completada</t>
        </is>
      </c>
      <c r="H22" s="6" t="inlineStr">
        <is>
          <t>Diseño</t>
        </is>
      </c>
      <c r="I22" s="6" t="inlineStr">
        <is>
          <t>Dato demo — reemplazar con KPIS I+D.xlsx</t>
        </is>
      </c>
    </row>
    <row r="23">
      <c r="A23" s="6" t="inlineStr">
        <is>
          <t>OP-021</t>
        </is>
      </c>
      <c r="B23" s="6" t="inlineStr">
        <is>
          <t>Operación I+D #21</t>
        </is>
      </c>
      <c r="C23" s="6" t="inlineStr">
        <is>
          <t>Ana Pérez</t>
        </is>
      </c>
      <c r="D23" s="7" t="n">
        <v>46244</v>
      </c>
      <c r="E23" s="7" t="n">
        <v>46248</v>
      </c>
      <c r="F23" s="6" t="inlineStr">
        <is>
          <t>Alta</t>
        </is>
      </c>
      <c r="G23" s="6" t="inlineStr">
        <is>
          <t>Completada</t>
        </is>
      </c>
      <c r="H23" s="6" t="inlineStr">
        <is>
          <t>Validación</t>
        </is>
      </c>
      <c r="I23" s="6" t="inlineStr">
        <is>
          <t>Dato demo — reemplazar con KPIS I+D.xlsx</t>
        </is>
      </c>
    </row>
    <row r="24">
      <c r="A24" s="6" t="inlineStr">
        <is>
          <t>OP-022</t>
        </is>
      </c>
      <c r="B24" s="6" t="inlineStr">
        <is>
          <t>Operación I+D #22</t>
        </is>
      </c>
      <c r="C24" s="6" t="inlineStr">
        <is>
          <t>Luis Gómez</t>
        </is>
      </c>
      <c r="D24" s="7" t="n">
        <v>46246</v>
      </c>
      <c r="E24" s="7" t="n">
        <v>46259</v>
      </c>
      <c r="F24" s="6" t="inlineStr">
        <is>
          <t>Baja</t>
        </is>
      </c>
      <c r="G24" s="6" t="inlineStr">
        <is>
          <t>Completada</t>
        </is>
      </c>
      <c r="H24" s="6" t="inlineStr">
        <is>
          <t>Prototipo</t>
        </is>
      </c>
      <c r="I24" s="6" t="inlineStr">
        <is>
          <t>Dato demo — reemplazar con KPIS I+D.xlsx</t>
        </is>
      </c>
    </row>
    <row r="25">
      <c r="A25" s="6" t="inlineStr">
        <is>
          <t>OP-023</t>
        </is>
      </c>
      <c r="B25" s="6" t="inlineStr">
        <is>
          <t>Operación I+D #23</t>
        </is>
      </c>
      <c r="C25" s="6" t="inlineStr">
        <is>
          <t>María Ruiz</t>
        </is>
      </c>
      <c r="D25" s="7" t="n">
        <v>46248</v>
      </c>
      <c r="E25" s="6" t="n"/>
      <c r="F25" s="6" t="inlineStr">
        <is>
          <t>Media</t>
        </is>
      </c>
      <c r="G25" s="6" t="inlineStr">
        <is>
          <t>En proceso</t>
        </is>
      </c>
      <c r="H25" s="6" t="inlineStr">
        <is>
          <t>Innovación</t>
        </is>
      </c>
      <c r="I25" s="6" t="inlineStr">
        <is>
          <t>Dato demo — reemplazar con KPIS I+D.xlsx</t>
        </is>
      </c>
    </row>
    <row r="26">
      <c r="A26" s="6" t="inlineStr">
        <is>
          <t>OP-024</t>
        </is>
      </c>
      <c r="B26" s="6" t="inlineStr">
        <is>
          <t>Operación I+D #24</t>
        </is>
      </c>
      <c r="C26" s="6" t="inlineStr">
        <is>
          <t>Carlos Díaz</t>
        </is>
      </c>
      <c r="D26" s="7" t="n">
        <v>46250</v>
      </c>
      <c r="E26" s="6" t="n"/>
      <c r="F26" s="6" t="inlineStr">
        <is>
          <t>Alta</t>
        </is>
      </c>
      <c r="G26" s="6" t="inlineStr">
        <is>
          <t>Pendiente</t>
        </is>
      </c>
      <c r="H26" s="6" t="inlineStr">
        <is>
          <t>Diseño</t>
        </is>
      </c>
      <c r="I26" s="6" t="inlineStr">
        <is>
          <t>Dato demo — reemplazar con KPIS I+D.xlsx</t>
        </is>
      </c>
    </row>
    <row r="27">
      <c r="A27" s="6" t="inlineStr">
        <is>
          <t>OP-025</t>
        </is>
      </c>
      <c r="B27" s="6" t="inlineStr">
        <is>
          <t>Operación I+D #25</t>
        </is>
      </c>
      <c r="C27" s="6" t="inlineStr">
        <is>
          <t>Sofía Vargas</t>
        </is>
      </c>
      <c r="D27" s="7" t="n">
        <v>46252</v>
      </c>
      <c r="E27" s="7" t="n">
        <v>46265</v>
      </c>
      <c r="F27" s="6" t="inlineStr">
        <is>
          <t>Baja</t>
        </is>
      </c>
      <c r="G27" s="6" t="inlineStr">
        <is>
          <t>Completada</t>
        </is>
      </c>
      <c r="H27" s="6" t="inlineStr">
        <is>
          <t>Validación</t>
        </is>
      </c>
      <c r="I27" s="6" t="inlineStr">
        <is>
          <t>Dato demo — reemplazar con KPIS I+D.xlsx</t>
        </is>
      </c>
    </row>
    <row r="28">
      <c r="A28" s="6" t="inlineStr">
        <is>
          <t>OP-026</t>
        </is>
      </c>
      <c r="B28" s="6" t="inlineStr">
        <is>
          <t>Operación I+D #26</t>
        </is>
      </c>
      <c r="C28" s="6" t="inlineStr">
        <is>
          <t>Ana Pérez</t>
        </is>
      </c>
      <c r="D28" s="7" t="n">
        <v>46204</v>
      </c>
      <c r="E28" s="7" t="n">
        <v>46212</v>
      </c>
      <c r="F28" s="6" t="inlineStr">
        <is>
          <t>Media</t>
        </is>
      </c>
      <c r="G28" s="6" t="inlineStr">
        <is>
          <t>Completada</t>
        </is>
      </c>
      <c r="H28" s="6" t="inlineStr">
        <is>
          <t>Prototipo</t>
        </is>
      </c>
      <c r="I28" s="6" t="inlineStr">
        <is>
          <t>Dato demo — reemplazar con KPIS I+D.xlsx</t>
        </is>
      </c>
    </row>
    <row r="29">
      <c r="A29" s="6" t="inlineStr">
        <is>
          <t>OP-027</t>
        </is>
      </c>
      <c r="B29" s="6" t="inlineStr">
        <is>
          <t>Operación I+D #27</t>
        </is>
      </c>
      <c r="C29" s="6" t="inlineStr">
        <is>
          <t>Luis Gómez</t>
        </is>
      </c>
      <c r="D29" s="7" t="n">
        <v>46206</v>
      </c>
      <c r="E29" s="7" t="n">
        <v>46210</v>
      </c>
      <c r="F29" s="6" t="inlineStr">
        <is>
          <t>Alta</t>
        </is>
      </c>
      <c r="G29" s="6" t="inlineStr">
        <is>
          <t>Completada</t>
        </is>
      </c>
      <c r="H29" s="6" t="inlineStr">
        <is>
          <t>Innovación</t>
        </is>
      </c>
      <c r="I29" s="6" t="inlineStr">
        <is>
          <t>Dato demo — reemplazar con KPIS I+D.xlsx</t>
        </is>
      </c>
    </row>
    <row r="30">
      <c r="A30" s="6" t="inlineStr">
        <is>
          <t>OP-028</t>
        </is>
      </c>
      <c r="B30" s="6" t="inlineStr">
        <is>
          <t>Operación I+D #28</t>
        </is>
      </c>
      <c r="C30" s="6" t="inlineStr">
        <is>
          <t>María Ruiz</t>
        </is>
      </c>
      <c r="D30" s="7" t="n">
        <v>46208</v>
      </c>
      <c r="E30" s="6" t="n"/>
      <c r="F30" s="6" t="inlineStr">
        <is>
          <t>Baja</t>
        </is>
      </c>
      <c r="G30" s="6" t="inlineStr">
        <is>
          <t>En proceso</t>
        </is>
      </c>
      <c r="H30" s="6" t="inlineStr">
        <is>
          <t>Diseño</t>
        </is>
      </c>
      <c r="I30" s="6" t="inlineStr">
        <is>
          <t>Dato demo — reemplazar con KPIS I+D.xlsx</t>
        </is>
      </c>
    </row>
    <row r="31">
      <c r="A31" s="6" t="inlineStr">
        <is>
          <t>OP-029</t>
        </is>
      </c>
      <c r="B31" s="6" t="inlineStr">
        <is>
          <t>Operación I+D #29</t>
        </is>
      </c>
      <c r="C31" s="6" t="inlineStr">
        <is>
          <t>Carlos Díaz</t>
        </is>
      </c>
      <c r="D31" s="7" t="n">
        <v>46210</v>
      </c>
      <c r="E31" s="6" t="n"/>
      <c r="F31" s="6" t="inlineStr">
        <is>
          <t>Media</t>
        </is>
      </c>
      <c r="G31" s="6" t="inlineStr">
        <is>
          <t>Pendiente</t>
        </is>
      </c>
      <c r="H31" s="6" t="inlineStr">
        <is>
          <t>Validación</t>
        </is>
      </c>
      <c r="I31" s="6" t="inlineStr">
        <is>
          <t>Dato demo — reemplazar con KPIS I+D.xlsx</t>
        </is>
      </c>
    </row>
    <row r="32">
      <c r="A32" s="6" t="inlineStr">
        <is>
          <t>OP-030</t>
        </is>
      </c>
      <c r="B32" s="6" t="inlineStr">
        <is>
          <t>Operación I+D #30</t>
        </is>
      </c>
      <c r="C32" s="6" t="inlineStr">
        <is>
          <t>Sofía Vargas</t>
        </is>
      </c>
      <c r="D32" s="7" t="n">
        <v>46212</v>
      </c>
      <c r="E32" s="7" t="n">
        <v>46216</v>
      </c>
      <c r="F32" s="6" t="inlineStr">
        <is>
          <t>Alta</t>
        </is>
      </c>
      <c r="G32" s="6" t="inlineStr">
        <is>
          <t>Completada</t>
        </is>
      </c>
      <c r="H32" s="6" t="inlineStr">
        <is>
          <t>Prototipo</t>
        </is>
      </c>
      <c r="I32" s="6" t="inlineStr">
        <is>
          <t>Dato demo — reemplazar con KPIS I+D.xlsx</t>
        </is>
      </c>
    </row>
    <row r="33">
      <c r="A33" s="6" t="inlineStr">
        <is>
          <t>OP-031</t>
        </is>
      </c>
      <c r="B33" s="6" t="inlineStr">
        <is>
          <t>Operación I+D #31</t>
        </is>
      </c>
      <c r="C33" s="6" t="inlineStr">
        <is>
          <t>Ana Pérez</t>
        </is>
      </c>
      <c r="D33" s="7" t="n">
        <v>46214</v>
      </c>
      <c r="E33" s="7" t="n">
        <v>46227</v>
      </c>
      <c r="F33" s="6" t="inlineStr">
        <is>
          <t>Baja</t>
        </is>
      </c>
      <c r="G33" s="6" t="inlineStr">
        <is>
          <t>Completada</t>
        </is>
      </c>
      <c r="H33" s="6" t="inlineStr">
        <is>
          <t>Innovación</t>
        </is>
      </c>
      <c r="I33" s="6" t="inlineStr">
        <is>
          <t>Dato demo — reemplazar con KPIS I+D.xlsx</t>
        </is>
      </c>
    </row>
    <row r="34">
      <c r="A34" s="6" t="inlineStr">
        <is>
          <t>OP-032</t>
        </is>
      </c>
      <c r="B34" s="6" t="inlineStr">
        <is>
          <t>Operación I+D #32</t>
        </is>
      </c>
      <c r="C34" s="6" t="inlineStr">
        <is>
          <t>Luis Gómez</t>
        </is>
      </c>
      <c r="D34" s="7" t="n">
        <v>46216</v>
      </c>
      <c r="E34" s="7" t="n">
        <v>46226</v>
      </c>
      <c r="F34" s="6" t="inlineStr">
        <is>
          <t>Media</t>
        </is>
      </c>
      <c r="G34" s="6" t="inlineStr">
        <is>
          <t>Completada</t>
        </is>
      </c>
      <c r="H34" s="6" t="inlineStr">
        <is>
          <t>Diseño</t>
        </is>
      </c>
      <c r="I34" s="6" t="inlineStr">
        <is>
          <t>Dato demo — reemplazar con KPIS I+D.xlsx</t>
        </is>
      </c>
    </row>
    <row r="35">
      <c r="A35" s="6" t="inlineStr">
        <is>
          <t>OP-033</t>
        </is>
      </c>
      <c r="B35" s="6" t="inlineStr">
        <is>
          <t>Operación I+D #33</t>
        </is>
      </c>
      <c r="C35" s="6" t="inlineStr">
        <is>
          <t>María Ruiz</t>
        </is>
      </c>
      <c r="D35" s="7" t="n">
        <v>46218</v>
      </c>
      <c r="E35" s="6" t="n"/>
      <c r="F35" s="6" t="inlineStr">
        <is>
          <t>Alta</t>
        </is>
      </c>
      <c r="G35" s="6" t="inlineStr">
        <is>
          <t>En proceso</t>
        </is>
      </c>
      <c r="H35" s="6" t="inlineStr">
        <is>
          <t>Validación</t>
        </is>
      </c>
      <c r="I35" s="6" t="inlineStr">
        <is>
          <t>Dato demo — reemplazar con KPIS I+D.xlsx</t>
        </is>
      </c>
    </row>
    <row r="36">
      <c r="A36" s="6" t="inlineStr">
        <is>
          <t>OP-034</t>
        </is>
      </c>
      <c r="B36" s="6" t="inlineStr">
        <is>
          <t>Operación I+D #34</t>
        </is>
      </c>
      <c r="C36" s="6" t="inlineStr">
        <is>
          <t>Carlos Díaz</t>
        </is>
      </c>
      <c r="D36" s="7" t="n">
        <v>46220</v>
      </c>
      <c r="E36" s="6" t="n"/>
      <c r="F36" s="6" t="inlineStr">
        <is>
          <t>Baja</t>
        </is>
      </c>
      <c r="G36" s="6" t="inlineStr">
        <is>
          <t>Pendiente</t>
        </is>
      </c>
      <c r="H36" s="6" t="inlineStr">
        <is>
          <t>Prototipo</t>
        </is>
      </c>
      <c r="I36" s="6" t="inlineStr">
        <is>
          <t>Dato demo — reemplazar con KPIS I+D.xlsx</t>
        </is>
      </c>
    </row>
    <row r="37">
      <c r="A37" s="6" t="inlineStr">
        <is>
          <t>OP-035</t>
        </is>
      </c>
      <c r="B37" s="6" t="inlineStr">
        <is>
          <t>Operación I+D #35</t>
        </is>
      </c>
      <c r="C37" s="6" t="inlineStr">
        <is>
          <t>Sofía Vargas</t>
        </is>
      </c>
      <c r="D37" s="7" t="n">
        <v>46222</v>
      </c>
      <c r="E37" s="7" t="n">
        <v>46230</v>
      </c>
      <c r="F37" s="6" t="inlineStr">
        <is>
          <t>Media</t>
        </is>
      </c>
      <c r="G37" s="6" t="inlineStr">
        <is>
          <t>Completada</t>
        </is>
      </c>
      <c r="H37" s="6" t="inlineStr">
        <is>
          <t>Innovación</t>
        </is>
      </c>
      <c r="I37" s="6" t="inlineStr">
        <is>
          <t>Dato demo — reemplazar con KPIS I+D.xlsx</t>
        </is>
      </c>
    </row>
    <row r="38">
      <c r="A38" s="6" t="inlineStr">
        <is>
          <t>OP-036</t>
        </is>
      </c>
      <c r="B38" s="6" t="inlineStr">
        <is>
          <t>Operación I+D #36</t>
        </is>
      </c>
      <c r="C38" s="6" t="inlineStr">
        <is>
          <t>Ana Pérez</t>
        </is>
      </c>
      <c r="D38" s="7" t="n">
        <v>46224</v>
      </c>
      <c r="E38" s="7" t="n">
        <v>46233</v>
      </c>
      <c r="F38" s="6" t="inlineStr">
        <is>
          <t>Alta</t>
        </is>
      </c>
      <c r="G38" s="6" t="inlineStr">
        <is>
          <t>Completada</t>
        </is>
      </c>
      <c r="H38" s="6" t="inlineStr">
        <is>
          <t>Diseño</t>
        </is>
      </c>
      <c r="I38" s="6" t="inlineStr">
        <is>
          <t>Dato demo — reemplazar con KPIS I+D.xlsx</t>
        </is>
      </c>
    </row>
    <row r="39">
      <c r="A39" s="6" t="inlineStr">
        <is>
          <t>OP-037</t>
        </is>
      </c>
      <c r="B39" s="6" t="inlineStr">
        <is>
          <t>Operación I+D #37</t>
        </is>
      </c>
      <c r="C39" s="6" t="inlineStr">
        <is>
          <t>Luis Gómez</t>
        </is>
      </c>
      <c r="D39" s="7" t="n">
        <v>46226</v>
      </c>
      <c r="E39" s="7" t="n">
        <v>46239</v>
      </c>
      <c r="F39" s="6" t="inlineStr">
        <is>
          <t>Baja</t>
        </is>
      </c>
      <c r="G39" s="6" t="inlineStr">
        <is>
          <t>Completada</t>
        </is>
      </c>
      <c r="H39" s="6" t="inlineStr">
        <is>
          <t>Validación</t>
        </is>
      </c>
      <c r="I39" s="6" t="inlineStr">
        <is>
          <t>Dato demo — reemplazar con KPIS I+D.xlsx</t>
        </is>
      </c>
    </row>
    <row r="40">
      <c r="A40" s="6" t="inlineStr">
        <is>
          <t>OP-038</t>
        </is>
      </c>
      <c r="B40" s="6" t="inlineStr">
        <is>
          <t>Operación I+D #38</t>
        </is>
      </c>
      <c r="C40" s="6" t="inlineStr">
        <is>
          <t>María Ruiz</t>
        </is>
      </c>
      <c r="D40" s="7" t="n">
        <v>46228</v>
      </c>
      <c r="E40" s="6" t="n"/>
      <c r="F40" s="6" t="inlineStr">
        <is>
          <t>Media</t>
        </is>
      </c>
      <c r="G40" s="6" t="inlineStr">
        <is>
          <t>En proceso</t>
        </is>
      </c>
      <c r="H40" s="6" t="inlineStr">
        <is>
          <t>Prototipo</t>
        </is>
      </c>
      <c r="I40" s="6" t="inlineStr">
        <is>
          <t>Dato demo — reemplazar con KPIS I+D.xlsx</t>
        </is>
      </c>
    </row>
    <row r="41">
      <c r="A41" s="6" t="inlineStr">
        <is>
          <t>OP-039</t>
        </is>
      </c>
      <c r="B41" s="6" t="inlineStr">
        <is>
          <t>Operación I+D #39</t>
        </is>
      </c>
      <c r="C41" s="6" t="inlineStr">
        <is>
          <t>Carlos Díaz</t>
        </is>
      </c>
      <c r="D41" s="7" t="n">
        <v>46230</v>
      </c>
      <c r="E41" s="6" t="n"/>
      <c r="F41" s="6" t="inlineStr">
        <is>
          <t>Alta</t>
        </is>
      </c>
      <c r="G41" s="6" t="inlineStr">
        <is>
          <t>Pendiente</t>
        </is>
      </c>
      <c r="H41" s="6" t="inlineStr">
        <is>
          <t>Innovación</t>
        </is>
      </c>
      <c r="I41" s="6" t="inlineStr">
        <is>
          <t>Dato demo — reemplazar con KPIS I+D.xlsx</t>
        </is>
      </c>
    </row>
    <row r="42">
      <c r="A42" s="6" t="inlineStr">
        <is>
          <t>OP-040</t>
        </is>
      </c>
      <c r="B42" s="6" t="inlineStr">
        <is>
          <t>Operación I+D #40</t>
        </is>
      </c>
      <c r="C42" s="6" t="inlineStr">
        <is>
          <t>Sofía Vargas</t>
        </is>
      </c>
      <c r="D42" s="7" t="n">
        <v>46232</v>
      </c>
      <c r="E42" s="7" t="n">
        <v>46247</v>
      </c>
      <c r="F42" s="6" t="inlineStr">
        <is>
          <t>Baja</t>
        </is>
      </c>
      <c r="G42" s="6" t="inlineStr">
        <is>
          <t>Completada</t>
        </is>
      </c>
      <c r="H42" s="6" t="inlineStr">
        <is>
          <t>Diseño</t>
        </is>
      </c>
      <c r="I42" s="6" t="inlineStr">
        <is>
          <t>Dato demo — reemplazar con KPIS I+D.xlsx</t>
        </is>
      </c>
    </row>
    <row r="43">
      <c r="A43" s="6" t="inlineStr">
        <is>
          <t>OP-041</t>
        </is>
      </c>
      <c r="B43" s="6" t="inlineStr">
        <is>
          <t>Operación I+D #41</t>
        </is>
      </c>
      <c r="C43" s="6" t="inlineStr">
        <is>
          <t>Ana Pérez</t>
        </is>
      </c>
      <c r="D43" s="7" t="n">
        <v>46234</v>
      </c>
      <c r="E43" s="7" t="n">
        <v>46242</v>
      </c>
      <c r="F43" s="6" t="inlineStr">
        <is>
          <t>Media</t>
        </is>
      </c>
      <c r="G43" s="6" t="inlineStr">
        <is>
          <t>Completada</t>
        </is>
      </c>
      <c r="H43" s="6" t="inlineStr">
        <is>
          <t>Validación</t>
        </is>
      </c>
      <c r="I43" s="6" t="inlineStr">
        <is>
          <t>Dato demo — reemplazar con KPIS I+D.xlsx</t>
        </is>
      </c>
    </row>
    <row r="44">
      <c r="A44" s="6" t="inlineStr">
        <is>
          <t>OP-042</t>
        </is>
      </c>
      <c r="B44" s="6" t="inlineStr">
        <is>
          <t>Operación I+D #42</t>
        </is>
      </c>
      <c r="C44" s="6" t="inlineStr">
        <is>
          <t>Luis Gómez</t>
        </is>
      </c>
      <c r="D44" s="7" t="n">
        <v>46236</v>
      </c>
      <c r="E44" s="7" t="n">
        <v>46240</v>
      </c>
      <c r="F44" s="6" t="inlineStr">
        <is>
          <t>Alta</t>
        </is>
      </c>
      <c r="G44" s="6" t="inlineStr">
        <is>
          <t>Completada</t>
        </is>
      </c>
      <c r="H44" s="6" t="inlineStr">
        <is>
          <t>Prototipo</t>
        </is>
      </c>
      <c r="I44" s="6" t="inlineStr">
        <is>
          <t>Dato demo — reemplazar con KPIS I+D.xlsx</t>
        </is>
      </c>
    </row>
    <row r="45">
      <c r="A45" s="6" t="inlineStr">
        <is>
          <t>OP-043</t>
        </is>
      </c>
      <c r="B45" s="6" t="inlineStr">
        <is>
          <t>Operación I+D #43</t>
        </is>
      </c>
      <c r="C45" s="6" t="inlineStr">
        <is>
          <t>María Ruiz</t>
        </is>
      </c>
      <c r="D45" s="7" t="n">
        <v>46238</v>
      </c>
      <c r="E45" s="6" t="n"/>
      <c r="F45" s="6" t="inlineStr">
        <is>
          <t>Baja</t>
        </is>
      </c>
      <c r="G45" s="6" t="inlineStr">
        <is>
          <t>En proceso</t>
        </is>
      </c>
      <c r="H45" s="6" t="inlineStr">
        <is>
          <t>Innovación</t>
        </is>
      </c>
      <c r="I45" s="6" t="inlineStr">
        <is>
          <t>Dato demo — reemplazar con KPIS I+D.xlsx</t>
        </is>
      </c>
    </row>
    <row r="46">
      <c r="A46" s="6" t="inlineStr">
        <is>
          <t>OP-044</t>
        </is>
      </c>
      <c r="B46" s="6" t="inlineStr">
        <is>
          <t>Operación I+D #44</t>
        </is>
      </c>
      <c r="C46" s="6" t="inlineStr">
        <is>
          <t>Carlos Díaz</t>
        </is>
      </c>
      <c r="D46" s="7" t="n">
        <v>46240</v>
      </c>
      <c r="E46" s="6" t="n"/>
      <c r="F46" s="6" t="inlineStr">
        <is>
          <t>Media</t>
        </is>
      </c>
      <c r="G46" s="6" t="inlineStr">
        <is>
          <t>Pendiente</t>
        </is>
      </c>
      <c r="H46" s="6" t="inlineStr">
        <is>
          <t>Diseño</t>
        </is>
      </c>
      <c r="I46" s="6" t="inlineStr">
        <is>
          <t>Dato demo — reemplazar con KPIS I+D.xlsx</t>
        </is>
      </c>
    </row>
    <row r="47">
      <c r="A47" s="6" t="inlineStr">
        <is>
          <t>OP-045</t>
        </is>
      </c>
      <c r="B47" s="6" t="inlineStr">
        <is>
          <t>Operación I+D #45</t>
        </is>
      </c>
      <c r="C47" s="6" t="inlineStr">
        <is>
          <t>Sofía Vargas</t>
        </is>
      </c>
      <c r="D47" s="7" t="n">
        <v>46242</v>
      </c>
      <c r="E47" s="7" t="n">
        <v>46246</v>
      </c>
      <c r="F47" s="6" t="inlineStr">
        <is>
          <t>Alta</t>
        </is>
      </c>
      <c r="G47" s="6" t="inlineStr">
        <is>
          <t>Completada</t>
        </is>
      </c>
      <c r="H47" s="6" t="inlineStr">
        <is>
          <t>Validación</t>
        </is>
      </c>
      <c r="I47" s="6" t="inlineStr">
        <is>
          <t>Dato demo — reemplazar con KPIS I+D.xlsx</t>
        </is>
      </c>
    </row>
    <row r="48">
      <c r="A48" s="6" t="inlineStr">
        <is>
          <t>OP-046</t>
        </is>
      </c>
      <c r="B48" s="6" t="inlineStr">
        <is>
          <t>Operación I+D #46</t>
        </is>
      </c>
      <c r="C48" s="6" t="inlineStr">
        <is>
          <t>Ana Pérez</t>
        </is>
      </c>
      <c r="D48" s="7" t="n">
        <v>46244</v>
      </c>
      <c r="E48" s="7" t="n">
        <v>46257</v>
      </c>
      <c r="F48" s="6" t="inlineStr">
        <is>
          <t>Baja</t>
        </is>
      </c>
      <c r="G48" s="6" t="inlineStr">
        <is>
          <t>Completada</t>
        </is>
      </c>
      <c r="H48" s="6" t="inlineStr">
        <is>
          <t>Prototipo</t>
        </is>
      </c>
      <c r="I48" s="6" t="inlineStr">
        <is>
          <t>Dato demo — reemplazar con KPIS I+D.xlsx</t>
        </is>
      </c>
    </row>
    <row r="49">
      <c r="A49" s="6" t="inlineStr">
        <is>
          <t>OP-047</t>
        </is>
      </c>
      <c r="B49" s="6" t="inlineStr">
        <is>
          <t>Operación I+D #47</t>
        </is>
      </c>
      <c r="C49" s="6" t="inlineStr">
        <is>
          <t>Luis Gómez</t>
        </is>
      </c>
      <c r="D49" s="7" t="n">
        <v>46246</v>
      </c>
      <c r="E49" s="7" t="n">
        <v>46254</v>
      </c>
      <c r="F49" s="6" t="inlineStr">
        <is>
          <t>Media</t>
        </is>
      </c>
      <c r="G49" s="6" t="inlineStr">
        <is>
          <t>Completada</t>
        </is>
      </c>
      <c r="H49" s="6" t="inlineStr">
        <is>
          <t>Innovación</t>
        </is>
      </c>
      <c r="I49" s="6" t="inlineStr">
        <is>
          <t>Dato demo — reemplazar con KPIS I+D.xlsx</t>
        </is>
      </c>
    </row>
    <row r="50">
      <c r="A50" s="6" t="inlineStr">
        <is>
          <t>OP-048</t>
        </is>
      </c>
      <c r="B50" s="6" t="inlineStr">
        <is>
          <t>Operación I+D #48</t>
        </is>
      </c>
      <c r="C50" s="6" t="inlineStr">
        <is>
          <t>María Ruiz</t>
        </is>
      </c>
      <c r="D50" s="7" t="n">
        <v>46248</v>
      </c>
      <c r="E50" s="6" t="n"/>
      <c r="F50" s="6" t="inlineStr">
        <is>
          <t>Alta</t>
        </is>
      </c>
      <c r="G50" s="6" t="inlineStr">
        <is>
          <t>En proceso</t>
        </is>
      </c>
      <c r="H50" s="6" t="inlineStr">
        <is>
          <t>Diseño</t>
        </is>
      </c>
      <c r="I50" s="6" t="inlineStr">
        <is>
          <t>Dato demo — reemplazar con KPIS I+D.xlsx</t>
        </is>
      </c>
    </row>
    <row r="51">
      <c r="A51" s="6" t="inlineStr">
        <is>
          <t>OP-049</t>
        </is>
      </c>
      <c r="B51" s="6" t="inlineStr">
        <is>
          <t>Operación I+D #49</t>
        </is>
      </c>
      <c r="C51" s="6" t="inlineStr">
        <is>
          <t>Carlos Díaz</t>
        </is>
      </c>
      <c r="D51" s="7" t="n">
        <v>46250</v>
      </c>
      <c r="E51" s="6" t="n"/>
      <c r="F51" s="6" t="inlineStr">
        <is>
          <t>Baja</t>
        </is>
      </c>
      <c r="G51" s="6" t="inlineStr">
        <is>
          <t>Pendiente</t>
        </is>
      </c>
      <c r="H51" s="6" t="inlineStr">
        <is>
          <t>Validación</t>
        </is>
      </c>
      <c r="I51" s="6" t="inlineStr">
        <is>
          <t>Dato demo — reemplazar con KPIS I+D.xlsx</t>
        </is>
      </c>
    </row>
    <row r="52">
      <c r="A52" s="6" t="inlineStr">
        <is>
          <t>OP-050</t>
        </is>
      </c>
      <c r="B52" s="6" t="inlineStr">
        <is>
          <t>Operación I+D #50</t>
        </is>
      </c>
      <c r="C52" s="6" t="inlineStr">
        <is>
          <t>Sofía Vargas</t>
        </is>
      </c>
      <c r="D52" s="7" t="n">
        <v>46252</v>
      </c>
      <c r="E52" s="7" t="n">
        <v>46260</v>
      </c>
      <c r="F52" s="6" t="inlineStr">
        <is>
          <t>Media</t>
        </is>
      </c>
      <c r="G52" s="6" t="inlineStr">
        <is>
          <t>Completada</t>
        </is>
      </c>
      <c r="H52" s="6" t="inlineStr">
        <is>
          <t>Prototipo</t>
        </is>
      </c>
      <c r="I52" s="6" t="inlineStr">
        <is>
          <t>Dato demo — reemplazar con KPIS I+D.xlsx</t>
        </is>
      </c>
    </row>
    <row r="53">
      <c r="A53" s="6" t="inlineStr">
        <is>
          <t>OP-051</t>
        </is>
      </c>
      <c r="B53" s="6" t="inlineStr">
        <is>
          <t>Operación I+D #51</t>
        </is>
      </c>
      <c r="C53" s="6" t="inlineStr">
        <is>
          <t>Ana Pérez</t>
        </is>
      </c>
      <c r="D53" s="7" t="n">
        <v>46204</v>
      </c>
      <c r="E53" s="7" t="n">
        <v>46208</v>
      </c>
      <c r="F53" s="6" t="inlineStr">
        <is>
          <t>Alta</t>
        </is>
      </c>
      <c r="G53" s="6" t="inlineStr">
        <is>
          <t>Completada</t>
        </is>
      </c>
      <c r="H53" s="6" t="inlineStr">
        <is>
          <t>Innovación</t>
        </is>
      </c>
      <c r="I53" s="6" t="inlineStr">
        <is>
          <t>Dato demo — reemplazar con KPIS I+D.xlsx</t>
        </is>
      </c>
    </row>
    <row r="54">
      <c r="A54" s="6" t="inlineStr">
        <is>
          <t>OP-052</t>
        </is>
      </c>
      <c r="B54" s="6" t="inlineStr">
        <is>
          <t>Operación I+D #52</t>
        </is>
      </c>
      <c r="C54" s="6" t="inlineStr">
        <is>
          <t>Luis Gómez</t>
        </is>
      </c>
      <c r="D54" s="7" t="n">
        <v>46206</v>
      </c>
      <c r="E54" s="7" t="n">
        <v>46221</v>
      </c>
      <c r="F54" s="6" t="inlineStr">
        <is>
          <t>Baja</t>
        </is>
      </c>
      <c r="G54" s="6" t="inlineStr">
        <is>
          <t>Completada</t>
        </is>
      </c>
      <c r="H54" s="6" t="inlineStr">
        <is>
          <t>Diseño</t>
        </is>
      </c>
      <c r="I54" s="6" t="inlineStr">
        <is>
          <t>Dato demo — reemplazar con KPIS I+D.xlsx</t>
        </is>
      </c>
    </row>
    <row r="55">
      <c r="A55" s="6" t="inlineStr">
        <is>
          <t>OP-053</t>
        </is>
      </c>
      <c r="B55" s="6" t="inlineStr">
        <is>
          <t>Operación I+D #53</t>
        </is>
      </c>
      <c r="C55" s="6" t="inlineStr">
        <is>
          <t>María Ruiz</t>
        </is>
      </c>
      <c r="D55" s="7" t="n">
        <v>46208</v>
      </c>
      <c r="E55" s="6" t="n"/>
      <c r="F55" s="6" t="inlineStr">
        <is>
          <t>Media</t>
        </is>
      </c>
      <c r="G55" s="6" t="inlineStr">
        <is>
          <t>En proceso</t>
        </is>
      </c>
      <c r="H55" s="6" t="inlineStr">
        <is>
          <t>Validación</t>
        </is>
      </c>
      <c r="I55" s="6" t="inlineStr">
        <is>
          <t>Dato demo — reemplazar con KPIS I+D.xlsx</t>
        </is>
      </c>
    </row>
    <row r="56">
      <c r="A56" s="6" t="inlineStr">
        <is>
          <t>OP-054</t>
        </is>
      </c>
      <c r="B56" s="6" t="inlineStr">
        <is>
          <t>Operación I+D #54</t>
        </is>
      </c>
      <c r="C56" s="6" t="inlineStr">
        <is>
          <t>Carlos Díaz</t>
        </is>
      </c>
      <c r="D56" s="7" t="n">
        <v>46210</v>
      </c>
      <c r="E56" s="6" t="n"/>
      <c r="F56" s="6" t="inlineStr">
        <is>
          <t>Alta</t>
        </is>
      </c>
      <c r="G56" s="6" t="inlineStr">
        <is>
          <t>Pendiente</t>
        </is>
      </c>
      <c r="H56" s="6" t="inlineStr">
        <is>
          <t>Prototipo</t>
        </is>
      </c>
      <c r="I56" s="6" t="inlineStr">
        <is>
          <t>Dato demo — reemplazar con KPIS I+D.xlsx</t>
        </is>
      </c>
    </row>
    <row r="57">
      <c r="A57" s="6" t="inlineStr">
        <is>
          <t>OP-055</t>
        </is>
      </c>
      <c r="B57" s="6" t="inlineStr">
        <is>
          <t>Operación I+D #55</t>
        </is>
      </c>
      <c r="C57" s="6" t="inlineStr">
        <is>
          <t>Sofía Vargas</t>
        </is>
      </c>
      <c r="D57" s="7" t="n">
        <v>46212</v>
      </c>
      <c r="E57" s="7" t="n">
        <v>46225</v>
      </c>
      <c r="F57" s="6" t="inlineStr">
        <is>
          <t>Baja</t>
        </is>
      </c>
      <c r="G57" s="6" t="inlineStr">
        <is>
          <t>Completada</t>
        </is>
      </c>
      <c r="H57" s="6" t="inlineStr">
        <is>
          <t>Innovación</t>
        </is>
      </c>
      <c r="I57" s="6" t="inlineStr">
        <is>
          <t>Dato demo — reemplazar con KPIS I+D.xlsx</t>
        </is>
      </c>
    </row>
    <row r="58">
      <c r="A58" s="6" t="inlineStr">
        <is>
          <t>OP-056</t>
        </is>
      </c>
      <c r="B58" s="6" t="inlineStr">
        <is>
          <t>Operación I+D #56</t>
        </is>
      </c>
      <c r="C58" s="6" t="inlineStr">
        <is>
          <t>Ana Pérez</t>
        </is>
      </c>
      <c r="D58" s="7" t="n">
        <v>46214</v>
      </c>
      <c r="E58" s="7" t="n">
        <v>46224</v>
      </c>
      <c r="F58" s="6" t="inlineStr">
        <is>
          <t>Media</t>
        </is>
      </c>
      <c r="G58" s="6" t="inlineStr">
        <is>
          <t>Completada</t>
        </is>
      </c>
      <c r="H58" s="6" t="inlineStr">
        <is>
          <t>Diseño</t>
        </is>
      </c>
      <c r="I58" s="6" t="inlineStr">
        <is>
          <t>Dato demo — reemplazar con KPIS I+D.xlsx</t>
        </is>
      </c>
    </row>
    <row r="59">
      <c r="A59" s="6" t="inlineStr">
        <is>
          <t>OP-057</t>
        </is>
      </c>
      <c r="B59" s="6" t="inlineStr">
        <is>
          <t>Operación I+D #57</t>
        </is>
      </c>
      <c r="C59" s="6" t="inlineStr">
        <is>
          <t>Luis Gómez</t>
        </is>
      </c>
      <c r="D59" s="7" t="n">
        <v>46216</v>
      </c>
      <c r="E59" s="7" t="n">
        <v>46220</v>
      </c>
      <c r="F59" s="6" t="inlineStr">
        <is>
          <t>Alta</t>
        </is>
      </c>
      <c r="G59" s="6" t="inlineStr">
        <is>
          <t>Completada</t>
        </is>
      </c>
      <c r="H59" s="6" t="inlineStr">
        <is>
          <t>Validación</t>
        </is>
      </c>
      <c r="I59" s="6" t="inlineStr">
        <is>
          <t>Dato demo — reemplazar con KPIS I+D.xlsx</t>
        </is>
      </c>
    </row>
    <row r="60">
      <c r="A60" s="6" t="inlineStr">
        <is>
          <t>OP-058</t>
        </is>
      </c>
      <c r="B60" s="6" t="inlineStr">
        <is>
          <t>Operación I+D #58</t>
        </is>
      </c>
      <c r="C60" s="6" t="inlineStr">
        <is>
          <t>María Ruiz</t>
        </is>
      </c>
      <c r="D60" s="7" t="n">
        <v>46218</v>
      </c>
      <c r="E60" s="6" t="n"/>
      <c r="F60" s="6" t="inlineStr">
        <is>
          <t>Baja</t>
        </is>
      </c>
      <c r="G60" s="6" t="inlineStr">
        <is>
          <t>En proceso</t>
        </is>
      </c>
      <c r="H60" s="6" t="inlineStr">
        <is>
          <t>Prototipo</t>
        </is>
      </c>
      <c r="I60" s="6" t="inlineStr">
        <is>
          <t>Dato demo — reemplazar con KPIS I+D.xlsx</t>
        </is>
      </c>
    </row>
    <row r="61">
      <c r="A61" s="6" t="inlineStr">
        <is>
          <t>OP-059</t>
        </is>
      </c>
      <c r="B61" s="6" t="inlineStr">
        <is>
          <t>Operación I+D #59</t>
        </is>
      </c>
      <c r="C61" s="6" t="inlineStr">
        <is>
          <t>Carlos Díaz</t>
        </is>
      </c>
      <c r="D61" s="7" t="n">
        <v>46220</v>
      </c>
      <c r="E61" s="6" t="n"/>
      <c r="F61" s="6" t="inlineStr">
        <is>
          <t>Media</t>
        </is>
      </c>
      <c r="G61" s="6" t="inlineStr">
        <is>
          <t>Pendiente</t>
        </is>
      </c>
      <c r="H61" s="6" t="inlineStr">
        <is>
          <t>Innovación</t>
        </is>
      </c>
      <c r="I61" s="6" t="inlineStr">
        <is>
          <t>Dato demo — reemplazar con KPIS I+D.xlsx</t>
        </is>
      </c>
    </row>
    <row r="62">
      <c r="A62" s="6" t="inlineStr">
        <is>
          <t>OP-060</t>
        </is>
      </c>
      <c r="B62" s="6" t="inlineStr">
        <is>
          <t>Operación I+D #60</t>
        </is>
      </c>
      <c r="C62" s="6" t="inlineStr">
        <is>
          <t>Sofía Vargas</t>
        </is>
      </c>
      <c r="D62" s="7" t="n">
        <v>46222</v>
      </c>
      <c r="E62" s="7" t="n">
        <v>46231</v>
      </c>
      <c r="F62" s="6" t="inlineStr">
        <is>
          <t>Alta</t>
        </is>
      </c>
      <c r="G62" s="6" t="inlineStr">
        <is>
          <t>Completada</t>
        </is>
      </c>
      <c r="H62" s="6" t="inlineStr">
        <is>
          <t>Diseño</t>
        </is>
      </c>
      <c r="I62" s="6" t="inlineStr">
        <is>
          <t>Dato demo — reemplazar con KPIS I+D.xlsx</t>
        </is>
      </c>
    </row>
    <row r="63">
      <c r="A63" s="8" t="n"/>
      <c r="B63" s="8" t="n"/>
      <c r="C63" s="8" t="n"/>
      <c r="D63" s="9" t="n"/>
      <c r="E63" s="9" t="n"/>
      <c r="F63" s="8" t="n"/>
      <c r="G63" s="8" t="n"/>
      <c r="H63" s="8" t="n"/>
      <c r="I63" s="8" t="n"/>
    </row>
    <row r="64">
      <c r="A64" s="8" t="n"/>
      <c r="B64" s="8" t="n"/>
      <c r="C64" s="8" t="n"/>
      <c r="D64" s="9" t="n"/>
      <c r="E64" s="9" t="n"/>
      <c r="F64" s="8" t="n"/>
      <c r="G64" s="8" t="n"/>
      <c r="H64" s="8" t="n"/>
      <c r="I64" s="8" t="n"/>
    </row>
    <row r="65">
      <c r="A65" s="8" t="n"/>
      <c r="B65" s="8" t="n"/>
      <c r="C65" s="8" t="n"/>
      <c r="D65" s="9" t="n"/>
      <c r="E65" s="9" t="n"/>
      <c r="F65" s="8" t="n"/>
      <c r="G65" s="8" t="n"/>
      <c r="H65" s="8" t="n"/>
      <c r="I65" s="8" t="n"/>
    </row>
    <row r="66">
      <c r="A66" s="8" t="n"/>
      <c r="B66" s="8" t="n"/>
      <c r="C66" s="8" t="n"/>
      <c r="D66" s="9" t="n"/>
      <c r="E66" s="9" t="n"/>
      <c r="F66" s="8" t="n"/>
      <c r="G66" s="8" t="n"/>
      <c r="H66" s="8" t="n"/>
      <c r="I66" s="8" t="n"/>
    </row>
    <row r="67">
      <c r="A67" s="8" t="n"/>
      <c r="B67" s="8" t="n"/>
      <c r="C67" s="8" t="n"/>
      <c r="D67" s="9" t="n"/>
      <c r="E67" s="9" t="n"/>
      <c r="F67" s="8" t="n"/>
      <c r="G67" s="8" t="n"/>
      <c r="H67" s="8" t="n"/>
      <c r="I67" s="8" t="n"/>
    </row>
    <row r="68">
      <c r="A68" s="8" t="n"/>
      <c r="B68" s="8" t="n"/>
      <c r="C68" s="8" t="n"/>
      <c r="D68" s="9" t="n"/>
      <c r="E68" s="9" t="n"/>
      <c r="F68" s="8" t="n"/>
      <c r="G68" s="8" t="n"/>
      <c r="H68" s="8" t="n"/>
      <c r="I68" s="8" t="n"/>
    </row>
    <row r="69">
      <c r="A69" s="8" t="n"/>
      <c r="B69" s="8" t="n"/>
      <c r="C69" s="8" t="n"/>
      <c r="D69" s="9" t="n"/>
      <c r="E69" s="9" t="n"/>
      <c r="F69" s="8" t="n"/>
      <c r="G69" s="8" t="n"/>
      <c r="H69" s="8" t="n"/>
      <c r="I69" s="8" t="n"/>
    </row>
    <row r="70">
      <c r="A70" s="8" t="n"/>
      <c r="B70" s="8" t="n"/>
      <c r="C70" s="8" t="n"/>
      <c r="D70" s="9" t="n"/>
      <c r="E70" s="9" t="n"/>
      <c r="F70" s="8" t="n"/>
      <c r="G70" s="8" t="n"/>
      <c r="H70" s="8" t="n"/>
      <c r="I70" s="8" t="n"/>
    </row>
    <row r="71">
      <c r="A71" s="8" t="n"/>
      <c r="B71" s="8" t="n"/>
      <c r="C71" s="8" t="n"/>
      <c r="D71" s="9" t="n"/>
      <c r="E71" s="9" t="n"/>
      <c r="F71" s="8" t="n"/>
      <c r="G71" s="8" t="n"/>
      <c r="H71" s="8" t="n"/>
      <c r="I71" s="8" t="n"/>
    </row>
    <row r="72">
      <c r="A72" s="8" t="n"/>
      <c r="B72" s="8" t="n"/>
      <c r="C72" s="8" t="n"/>
      <c r="D72" s="9" t="n"/>
      <c r="E72" s="9" t="n"/>
      <c r="F72" s="8" t="n"/>
      <c r="G72" s="8" t="n"/>
      <c r="H72" s="8" t="n"/>
      <c r="I72" s="8" t="n"/>
    </row>
    <row r="73">
      <c r="A73" s="8" t="n"/>
      <c r="B73" s="8" t="n"/>
      <c r="C73" s="8" t="n"/>
      <c r="D73" s="9" t="n"/>
      <c r="E73" s="9" t="n"/>
      <c r="F73" s="8" t="n"/>
      <c r="G73" s="8" t="n"/>
      <c r="H73" s="8" t="n"/>
      <c r="I73" s="8" t="n"/>
    </row>
    <row r="74">
      <c r="A74" s="8" t="n"/>
      <c r="B74" s="8" t="n"/>
      <c r="C74" s="8" t="n"/>
      <c r="D74" s="9" t="n"/>
      <c r="E74" s="9" t="n"/>
      <c r="F74" s="8" t="n"/>
      <c r="G74" s="8" t="n"/>
      <c r="H74" s="8" t="n"/>
      <c r="I74" s="8" t="n"/>
    </row>
    <row r="75">
      <c r="A75" s="8" t="n"/>
      <c r="B75" s="8" t="n"/>
      <c r="C75" s="8" t="n"/>
      <c r="D75" s="9" t="n"/>
      <c r="E75" s="9" t="n"/>
      <c r="F75" s="8" t="n"/>
      <c r="G75" s="8" t="n"/>
      <c r="H75" s="8" t="n"/>
      <c r="I75" s="8" t="n"/>
    </row>
    <row r="76">
      <c r="A76" s="8" t="n"/>
      <c r="B76" s="8" t="n"/>
      <c r="C76" s="8" t="n"/>
      <c r="D76" s="9" t="n"/>
      <c r="E76" s="9" t="n"/>
      <c r="F76" s="8" t="n"/>
      <c r="G76" s="8" t="n"/>
      <c r="H76" s="8" t="n"/>
      <c r="I76" s="8" t="n"/>
    </row>
    <row r="77">
      <c r="A77" s="8" t="n"/>
      <c r="B77" s="8" t="n"/>
      <c r="C77" s="8" t="n"/>
      <c r="D77" s="9" t="n"/>
      <c r="E77" s="9" t="n"/>
      <c r="F77" s="8" t="n"/>
      <c r="G77" s="8" t="n"/>
      <c r="H77" s="8" t="n"/>
      <c r="I77" s="8" t="n"/>
    </row>
    <row r="78">
      <c r="A78" s="8" t="n"/>
      <c r="B78" s="8" t="n"/>
      <c r="C78" s="8" t="n"/>
      <c r="D78" s="9" t="n"/>
      <c r="E78" s="9" t="n"/>
      <c r="F78" s="8" t="n"/>
      <c r="G78" s="8" t="n"/>
      <c r="H78" s="8" t="n"/>
      <c r="I78" s="8" t="n"/>
    </row>
    <row r="79">
      <c r="A79" s="8" t="n"/>
      <c r="B79" s="8" t="n"/>
      <c r="C79" s="8" t="n"/>
      <c r="D79" s="9" t="n"/>
      <c r="E79" s="9" t="n"/>
      <c r="F79" s="8" t="n"/>
      <c r="G79" s="8" t="n"/>
      <c r="H79" s="8" t="n"/>
      <c r="I79" s="8" t="n"/>
    </row>
    <row r="80">
      <c r="A80" s="8" t="n"/>
      <c r="B80" s="8" t="n"/>
      <c r="C80" s="8" t="n"/>
      <c r="D80" s="9" t="n"/>
      <c r="E80" s="9" t="n"/>
      <c r="F80" s="8" t="n"/>
      <c r="G80" s="8" t="n"/>
      <c r="H80" s="8" t="n"/>
      <c r="I80" s="8" t="n"/>
    </row>
    <row r="81">
      <c r="A81" s="8" t="n"/>
      <c r="B81" s="8" t="n"/>
      <c r="C81" s="8" t="n"/>
      <c r="D81" s="9" t="n"/>
      <c r="E81" s="9" t="n"/>
      <c r="F81" s="8" t="n"/>
      <c r="G81" s="8" t="n"/>
      <c r="H81" s="8" t="n"/>
      <c r="I81" s="8" t="n"/>
    </row>
    <row r="82">
      <c r="A82" s="8" t="n"/>
      <c r="B82" s="8" t="n"/>
      <c r="C82" s="8" t="n"/>
      <c r="D82" s="9" t="n"/>
      <c r="E82" s="9" t="n"/>
      <c r="F82" s="8" t="n"/>
      <c r="G82" s="8" t="n"/>
      <c r="H82" s="8" t="n"/>
      <c r="I82" s="8" t="n"/>
    </row>
    <row r="83">
      <c r="A83" s="8" t="n"/>
      <c r="B83" s="8" t="n"/>
      <c r="C83" s="8" t="n"/>
      <c r="D83" s="9" t="n"/>
      <c r="E83" s="9" t="n"/>
      <c r="F83" s="8" t="n"/>
      <c r="G83" s="8" t="n"/>
      <c r="H83" s="8" t="n"/>
      <c r="I83" s="8" t="n"/>
    </row>
    <row r="84">
      <c r="A84" s="8" t="n"/>
      <c r="B84" s="8" t="n"/>
      <c r="C84" s="8" t="n"/>
      <c r="D84" s="9" t="n"/>
      <c r="E84" s="9" t="n"/>
      <c r="F84" s="8" t="n"/>
      <c r="G84" s="8" t="n"/>
      <c r="H84" s="8" t="n"/>
      <c r="I84" s="8" t="n"/>
    </row>
    <row r="85">
      <c r="A85" s="8" t="n"/>
      <c r="B85" s="8" t="n"/>
      <c r="C85" s="8" t="n"/>
      <c r="D85" s="9" t="n"/>
      <c r="E85" s="9" t="n"/>
      <c r="F85" s="8" t="n"/>
      <c r="G85" s="8" t="n"/>
      <c r="H85" s="8" t="n"/>
      <c r="I85" s="8" t="n"/>
    </row>
    <row r="86">
      <c r="A86" s="8" t="n"/>
      <c r="B86" s="8" t="n"/>
      <c r="C86" s="8" t="n"/>
      <c r="D86" s="9" t="n"/>
      <c r="E86" s="9" t="n"/>
      <c r="F86" s="8" t="n"/>
      <c r="G86" s="8" t="n"/>
      <c r="H86" s="8" t="n"/>
      <c r="I86" s="8" t="n"/>
    </row>
    <row r="87">
      <c r="A87" s="8" t="n"/>
      <c r="B87" s="8" t="n"/>
      <c r="C87" s="8" t="n"/>
      <c r="D87" s="9" t="n"/>
      <c r="E87" s="9" t="n"/>
      <c r="F87" s="8" t="n"/>
      <c r="G87" s="8" t="n"/>
      <c r="H87" s="8" t="n"/>
      <c r="I87" s="8" t="n"/>
    </row>
    <row r="88">
      <c r="A88" s="8" t="n"/>
      <c r="B88" s="8" t="n"/>
      <c r="C88" s="8" t="n"/>
      <c r="D88" s="9" t="n"/>
      <c r="E88" s="9" t="n"/>
      <c r="F88" s="8" t="n"/>
      <c r="G88" s="8" t="n"/>
      <c r="H88" s="8" t="n"/>
      <c r="I88" s="8" t="n"/>
    </row>
    <row r="89">
      <c r="A89" s="8" t="n"/>
      <c r="B89" s="8" t="n"/>
      <c r="C89" s="8" t="n"/>
      <c r="D89" s="9" t="n"/>
      <c r="E89" s="9" t="n"/>
      <c r="F89" s="8" t="n"/>
      <c r="G89" s="8" t="n"/>
      <c r="H89" s="8" t="n"/>
      <c r="I89" s="8" t="n"/>
    </row>
    <row r="90">
      <c r="A90" s="8" t="n"/>
      <c r="B90" s="8" t="n"/>
      <c r="C90" s="8" t="n"/>
      <c r="D90" s="9" t="n"/>
      <c r="E90" s="9" t="n"/>
      <c r="F90" s="8" t="n"/>
      <c r="G90" s="8" t="n"/>
      <c r="H90" s="8" t="n"/>
      <c r="I90" s="8" t="n"/>
    </row>
    <row r="91">
      <c r="A91" s="8" t="n"/>
      <c r="B91" s="8" t="n"/>
      <c r="C91" s="8" t="n"/>
      <c r="D91" s="9" t="n"/>
      <c r="E91" s="9" t="n"/>
      <c r="F91" s="8" t="n"/>
      <c r="G91" s="8" t="n"/>
      <c r="H91" s="8" t="n"/>
      <c r="I91" s="8" t="n"/>
    </row>
    <row r="92">
      <c r="A92" s="8" t="n"/>
      <c r="B92" s="8" t="n"/>
      <c r="C92" s="8" t="n"/>
      <c r="D92" s="9" t="n"/>
      <c r="E92" s="9" t="n"/>
      <c r="F92" s="8" t="n"/>
      <c r="G92" s="8" t="n"/>
      <c r="H92" s="8" t="n"/>
      <c r="I92" s="8" t="n"/>
    </row>
    <row r="93">
      <c r="A93" s="8" t="n"/>
      <c r="B93" s="8" t="n"/>
      <c r="C93" s="8" t="n"/>
      <c r="D93" s="9" t="n"/>
      <c r="E93" s="9" t="n"/>
      <c r="F93" s="8" t="n"/>
      <c r="G93" s="8" t="n"/>
      <c r="H93" s="8" t="n"/>
      <c r="I93" s="8" t="n"/>
    </row>
    <row r="94">
      <c r="A94" s="8" t="n"/>
      <c r="B94" s="8" t="n"/>
      <c r="C94" s="8" t="n"/>
      <c r="D94" s="9" t="n"/>
      <c r="E94" s="9" t="n"/>
      <c r="F94" s="8" t="n"/>
      <c r="G94" s="8" t="n"/>
      <c r="H94" s="8" t="n"/>
      <c r="I94" s="8" t="n"/>
    </row>
    <row r="95">
      <c r="A95" s="8" t="n"/>
      <c r="B95" s="8" t="n"/>
      <c r="C95" s="8" t="n"/>
      <c r="D95" s="9" t="n"/>
      <c r="E95" s="9" t="n"/>
      <c r="F95" s="8" t="n"/>
      <c r="G95" s="8" t="n"/>
      <c r="H95" s="8" t="n"/>
      <c r="I95" s="8" t="n"/>
    </row>
    <row r="96">
      <c r="A96" s="8" t="n"/>
      <c r="B96" s="8" t="n"/>
      <c r="C96" s="8" t="n"/>
      <c r="D96" s="9" t="n"/>
      <c r="E96" s="9" t="n"/>
      <c r="F96" s="8" t="n"/>
      <c r="G96" s="8" t="n"/>
      <c r="H96" s="8" t="n"/>
      <c r="I96" s="8" t="n"/>
    </row>
    <row r="97">
      <c r="A97" s="8" t="n"/>
      <c r="B97" s="8" t="n"/>
      <c r="C97" s="8" t="n"/>
      <c r="D97" s="9" t="n"/>
      <c r="E97" s="9" t="n"/>
      <c r="F97" s="8" t="n"/>
      <c r="G97" s="8" t="n"/>
      <c r="H97" s="8" t="n"/>
      <c r="I97" s="8" t="n"/>
    </row>
    <row r="98">
      <c r="A98" s="8" t="n"/>
      <c r="B98" s="8" t="n"/>
      <c r="C98" s="8" t="n"/>
      <c r="D98" s="9" t="n"/>
      <c r="E98" s="9" t="n"/>
      <c r="F98" s="8" t="n"/>
      <c r="G98" s="8" t="n"/>
      <c r="H98" s="8" t="n"/>
      <c r="I98" s="8" t="n"/>
    </row>
    <row r="99">
      <c r="A99" s="8" t="n"/>
      <c r="B99" s="8" t="n"/>
      <c r="C99" s="8" t="n"/>
      <c r="D99" s="9" t="n"/>
      <c r="E99" s="9" t="n"/>
      <c r="F99" s="8" t="n"/>
      <c r="G99" s="8" t="n"/>
      <c r="H99" s="8" t="n"/>
      <c r="I99" s="8" t="n"/>
    </row>
    <row r="100">
      <c r="A100" s="8" t="n"/>
      <c r="B100" s="8" t="n"/>
      <c r="C100" s="8" t="n"/>
      <c r="D100" s="9" t="n"/>
      <c r="E100" s="9" t="n"/>
      <c r="F100" s="8" t="n"/>
      <c r="G100" s="8" t="n"/>
      <c r="H100" s="8" t="n"/>
      <c r="I100" s="8" t="n"/>
    </row>
    <row r="101">
      <c r="A101" s="8" t="n"/>
      <c r="B101" s="8" t="n"/>
      <c r="C101" s="8" t="n"/>
      <c r="D101" s="9" t="n"/>
      <c r="E101" s="9" t="n"/>
      <c r="F101" s="8" t="n"/>
      <c r="G101" s="8" t="n"/>
      <c r="H101" s="8" t="n"/>
      <c r="I101" s="8" t="n"/>
    </row>
  </sheetData>
  <mergeCells count="1">
    <mergeCell ref="A1:I1"/>
  </mergeCells>
  <dataValidations count="2">
    <dataValidation sqref="F3:F500" showDropDown="0" showInputMessage="0" showErrorMessage="0" allowBlank="1" type="list">
      <formula1>"Alta,Media,Baja,P1,P2,P3,1,2,3"</formula1>
    </dataValidation>
    <dataValidation sqref="G3:G500" showDropDown="0" showInputMessage="0" showErrorMessage="0" allowBlank="1" type="list">
      <formula1>"Completada,En proceso,Pendiente,Cancelada"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3" customWidth="1" min="3" max="3"/>
    <col width="70" customWidth="1" min="4" max="4"/>
  </cols>
  <sheetData>
    <row r="1">
      <c r="A1" s="1" t="inlineStr">
        <is>
          <t>Parámetros de medición (editables)</t>
        </is>
      </c>
    </row>
    <row r="3">
      <c r="A3" s="10" t="inlineStr">
        <is>
          <t>Año evaluación</t>
        </is>
      </c>
      <c r="B3" s="11" t="n">
        <v>2026</v>
      </c>
      <c r="D3" s="3" t="inlineStr">
        <is>
          <t>Leyenda de actualización</t>
        </is>
      </c>
    </row>
    <row r="4">
      <c r="A4" s="10" t="inlineStr">
        <is>
          <t>Mes evaluación (1-12)</t>
        </is>
      </c>
      <c r="B4" s="11" t="n">
        <v>8</v>
      </c>
      <c r="D4" t="inlineStr">
        <is>
          <t>Celdas amarillas = parámetros editables.</t>
        </is>
      </c>
    </row>
    <row r="5">
      <c r="A5" s="10" t="inlineStr">
        <is>
          <t>Quincena (1 o 2)</t>
        </is>
      </c>
      <c r="B5" s="11" t="n">
        <v>1</v>
      </c>
      <c r="D5" t="inlineStr">
        <is>
          <t>Al cambiar Año/Mes/Quincena, todo el KPI se recalcula.</t>
        </is>
      </c>
    </row>
    <row r="6">
      <c r="D6" t="inlineStr">
        <is>
          <t>Al pegar nuevos datos en 1_Datos, no hace falta tocar fórmulas.</t>
        </is>
      </c>
    </row>
    <row r="7">
      <c r="A7" s="10" t="inlineStr">
        <is>
          <t>Peso prioridad Alta / P1 / 1</t>
        </is>
      </c>
      <c r="B7" s="11" t="n">
        <v>3</v>
      </c>
      <c r="D7" t="inlineStr">
        <is>
          <t>Si su archivo usa otros nombres de columna, mapee a los encabezados de 1_Datos.</t>
        </is>
      </c>
    </row>
    <row r="8">
      <c r="A8" s="10" t="inlineStr">
        <is>
          <t>Peso prioridad Media / P2 / 2</t>
        </is>
      </c>
      <c r="B8" s="11" t="n">
        <v>2</v>
      </c>
    </row>
    <row r="9">
      <c r="A9" s="10" t="inlineStr">
        <is>
          <t>Peso prioridad Baja / P3 / 3</t>
        </is>
      </c>
      <c r="B9" s="11" t="n">
        <v>1</v>
      </c>
    </row>
    <row r="11">
      <c r="A11" s="10" t="inlineStr">
        <is>
          <t>Meta días ciclo Alta</t>
        </is>
      </c>
      <c r="B11" s="11" t="n">
        <v>5</v>
      </c>
    </row>
    <row r="12">
      <c r="A12" s="10" t="inlineStr">
        <is>
          <t>Meta días ciclo Media</t>
        </is>
      </c>
      <c r="B12" s="11" t="n">
        <v>9</v>
      </c>
    </row>
    <row r="13">
      <c r="A13" s="10" t="inlineStr">
        <is>
          <t>Meta días ciclo Baja</t>
        </is>
      </c>
      <c r="B13" s="11" t="n">
        <v>14</v>
      </c>
    </row>
    <row r="15">
      <c r="A15" s="10" t="inlineStr">
        <is>
          <t>Peso IOI — Cumplimiento a tiempo</t>
        </is>
      </c>
      <c r="B15" s="12" t="n">
        <v>0.7</v>
      </c>
    </row>
    <row r="16">
      <c r="A16" s="10" t="inlineStr">
        <is>
          <t>Peso IOI — Eficiencia de ciclo</t>
        </is>
      </c>
      <c r="B16" s="12" t="n">
        <v>0.3</v>
      </c>
    </row>
    <row r="18">
      <c r="A18" s="10" t="inlineStr">
        <is>
          <t>Meta IOI (%)</t>
        </is>
      </c>
      <c r="B18" s="12" t="n">
        <v>0.85</v>
      </c>
    </row>
    <row r="19">
      <c r="A19" s="10" t="inlineStr">
        <is>
          <t>Umbral alerta IOI (%)</t>
        </is>
      </c>
      <c r="B19" s="12" t="n">
        <v>0.7</v>
      </c>
    </row>
    <row r="21">
      <c r="A21" s="10" t="inlineStr">
        <is>
          <t>Incluir abiertas atrasadas (1=Sí, 0=No)</t>
        </is>
      </c>
      <c r="B21" s="11" t="n">
        <v>1</v>
      </c>
    </row>
    <row r="23">
      <c r="A23" s="13" t="inlineStr">
        <is>
          <t>Inicio quincena</t>
        </is>
      </c>
      <c r="B23" s="14">
        <f>DATE(B3,B4,IF(B5=1,1,16))</f>
        <v/>
      </c>
    </row>
    <row r="24">
      <c r="A24" s="13" t="inlineStr">
        <is>
          <t>Fin quincena</t>
        </is>
      </c>
      <c r="B24" s="14">
        <f>IF(B5=1,DATE(B3,B4,15),EOMONTH(DATE(B3,B4,1),0))</f>
        <v/>
      </c>
    </row>
    <row r="25">
      <c r="A25" s="13" t="inlineStr">
        <is>
          <t>Etiqueta quincena</t>
        </is>
      </c>
      <c r="B25">
        <f>"Q"&amp;B5&amp;" "&amp;TEXT(DATE(B3,B4,1),"MMM-YYYY")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5" t="inlineStr">
        <is>
          <t>ID</t>
        </is>
      </c>
      <c r="B1" s="5" t="inlineStr">
        <is>
          <t>Operacion</t>
        </is>
      </c>
      <c r="C1" s="5" t="inlineStr">
        <is>
          <t>Responsable</t>
        </is>
      </c>
      <c r="D1" s="5" t="inlineStr">
        <is>
          <t>Fecha_Inicio</t>
        </is>
      </c>
      <c r="E1" s="5" t="inlineStr">
        <is>
          <t>Fecha_Finalizacion</t>
        </is>
      </c>
      <c r="F1" s="5" t="inlineStr">
        <is>
          <t>Prioridad_Raw</t>
        </is>
      </c>
      <c r="G1" s="5" t="inlineStr">
        <is>
          <t>Prioridad_Norm</t>
        </is>
      </c>
      <c r="H1" s="5" t="inlineStr">
        <is>
          <t>Estado</t>
        </is>
      </c>
      <c r="I1" s="5" t="inlineStr">
        <is>
          <t>Peso</t>
        </is>
      </c>
      <c r="J1" s="5" t="inlineStr">
        <is>
          <t>Dias_Ciclo</t>
        </is>
      </c>
      <c r="K1" s="5" t="inlineStr">
        <is>
          <t>Meta_Dias</t>
        </is>
      </c>
      <c r="L1" s="5" t="inlineStr">
        <is>
          <t>A_Tiempo</t>
        </is>
      </c>
      <c r="M1" s="5" t="inlineStr">
        <is>
          <t>Eficiencia_Ciclo</t>
        </is>
      </c>
      <c r="N1" s="5" t="inlineStr">
        <is>
          <t>En_Quincena</t>
        </is>
      </c>
      <c r="O1" s="5" t="inlineStr">
        <is>
          <t>Es_Cerrada</t>
        </is>
      </c>
      <c r="P1" s="5" t="inlineStr">
        <is>
          <t>Es_Atraso_Abierto</t>
        </is>
      </c>
      <c r="Q1" s="5" t="inlineStr">
        <is>
          <t>Incluir_KPI</t>
        </is>
      </c>
      <c r="R1" s="5" t="inlineStr">
        <is>
          <t>Peso_x_A_Tiempo</t>
        </is>
      </c>
      <c r="S1" s="5" t="inlineStr">
        <is>
          <t>Peso_x_Eficiencia</t>
        </is>
      </c>
    </row>
    <row r="2">
      <c r="A2" s="6">
        <f>IF('1_Datos'!A3="","",'1_Datos'!A3)</f>
        <v/>
      </c>
      <c r="B2" s="6">
        <f>IF(A2="","",'1_Datos'!B3)</f>
        <v/>
      </c>
      <c r="C2" s="6">
        <f>IF(A2="","",'1_Datos'!C3)</f>
        <v/>
      </c>
      <c r="D2" s="7">
        <f>IF(A2="","",'1_Datos'!D3)</f>
        <v/>
      </c>
      <c r="E2" s="7">
        <f>IF(A2="","",IF('1_Datos'!E3="","",'1_Datos'!E3))</f>
        <v/>
      </c>
      <c r="F2" s="6">
        <f>IF(A2="","",'1_Datos'!F3)</f>
        <v/>
      </c>
      <c r="G2" s="6">
        <f>IF(A2="","",IF(OR(UPPER(F2)="ALTA",UPPER(F2)="P1",F2=1),"Alta",IF(OR(UPPER(F2)="MEDIA",UPPER(F2)="P2",F2=2),"Media",IF(OR(UPPER(F2)="BAJA",UPPER(F2)="P3",F2=3),"Baja","Media"))))</f>
        <v/>
      </c>
      <c r="H2" s="6">
        <f>IF(A2="","",'1_Datos'!G3)</f>
        <v/>
      </c>
      <c r="I2" s="6">
        <f>IF(A2="","",IF(G2="Alta",'2_Parametros'!$B$7,IF(G2="Media",'2_Parametros'!$B$8,'2_Parametros'!$B$9)))</f>
        <v/>
      </c>
      <c r="J2" s="6">
        <f>IF(A2="","",IF(E2&lt;&gt;"",E2-D2+1,IF(D2="","",'2_Parametros'!$B$24-D2+1)))</f>
        <v/>
      </c>
      <c r="K2" s="6">
        <f>IF(A2="","",IF(G2="Alta",'2_Parametros'!$B$11,IF(G2="Media",'2_Parametros'!$B$12,'2_Parametros'!$B$13)))</f>
        <v/>
      </c>
      <c r="L2" s="6">
        <f>IF(A2="","",IF(AND(UPPER(H2)="COMPLETADA",E2&lt;&gt;"",J2&lt;=K2),1,0))</f>
        <v/>
      </c>
      <c r="M2" s="15">
        <f>IF(A2="","",IF(OR(J2="",J2=0),0,MIN(1,K2/J2)))</f>
        <v/>
      </c>
      <c r="N2" s="6">
        <f>IF(A2="","",IF(OR(AND(E2&lt;&gt;"",E2&gt;='2_Parametros'!$B$23,E2&lt;='2_Parametros'!$B$24),AND(D2&lt;&gt;"",D2&gt;='2_Parametros'!$B$23,D2&lt;='2_Parametros'!$B$24)),1,0))</f>
        <v/>
      </c>
      <c r="O2" s="6">
        <f>IF(A2="","",IF(AND(UPPER(H2)="COMPLETADA",E2&lt;&gt;""),1,0))</f>
        <v/>
      </c>
      <c r="P2" s="6">
        <f>IF(A2="","",IF(AND(UPPER(H2)&lt;&gt;"COMPLETADA",UPPER(H2)&lt;&gt;"CANCELADA",D2&lt;&gt;"",D2+K2-1&lt;'2_Parametros'!$B$24),1,0))</f>
        <v/>
      </c>
      <c r="Q2" s="6">
        <f>IF(A2="","",IF(OR(AND(O2=1,E2&gt;='2_Parametros'!$B$23,E2&lt;='2_Parametros'!$B$24),AND('2_Parametros'!$B$21=1,P2=1,N2=1)),1,0))</f>
        <v/>
      </c>
      <c r="R2" s="6">
        <f>IF(A2="","",IF(Q2=1,I2*L2,0))</f>
        <v/>
      </c>
      <c r="S2" s="6">
        <f>IF(A2="","",IF(Q2=1,I2*M2,0))</f>
        <v/>
      </c>
    </row>
    <row r="3">
      <c r="A3" s="6">
        <f>IF('1_Datos'!A4="","",'1_Datos'!A4)</f>
        <v/>
      </c>
      <c r="B3" s="6">
        <f>IF(A3="","",'1_Datos'!B4)</f>
        <v/>
      </c>
      <c r="C3" s="6">
        <f>IF(A3="","",'1_Datos'!C4)</f>
        <v/>
      </c>
      <c r="D3" s="7">
        <f>IF(A3="","",'1_Datos'!D4)</f>
        <v/>
      </c>
      <c r="E3" s="7">
        <f>IF(A3="","",IF('1_Datos'!E4="","",'1_Datos'!E4))</f>
        <v/>
      </c>
      <c r="F3" s="6">
        <f>IF(A3="","",'1_Datos'!F4)</f>
        <v/>
      </c>
      <c r="G3" s="6">
        <f>IF(A3="","",IF(OR(UPPER(F3)="ALTA",UPPER(F3)="P1",F3=1),"Alta",IF(OR(UPPER(F3)="MEDIA",UPPER(F3)="P2",F3=2),"Media",IF(OR(UPPER(F3)="BAJA",UPPER(F3)="P3",F3=3),"Baja","Media"))))</f>
        <v/>
      </c>
      <c r="H3" s="6">
        <f>IF(A3="","",'1_Datos'!G4)</f>
        <v/>
      </c>
      <c r="I3" s="6">
        <f>IF(A3="","",IF(G3="Alta",'2_Parametros'!$B$7,IF(G3="Media",'2_Parametros'!$B$8,'2_Parametros'!$B$9)))</f>
        <v/>
      </c>
      <c r="J3" s="6">
        <f>IF(A3="","",IF(E3&lt;&gt;"",E3-D3+1,IF(D3="","",'2_Parametros'!$B$24-D3+1)))</f>
        <v/>
      </c>
      <c r="K3" s="6">
        <f>IF(A3="","",IF(G3="Alta",'2_Parametros'!$B$11,IF(G3="Media",'2_Parametros'!$B$12,'2_Parametros'!$B$13)))</f>
        <v/>
      </c>
      <c r="L3" s="6">
        <f>IF(A3="","",IF(AND(UPPER(H3)="COMPLETADA",E3&lt;&gt;"",J3&lt;=K3),1,0))</f>
        <v/>
      </c>
      <c r="M3" s="15">
        <f>IF(A3="","",IF(OR(J3="",J3=0),0,MIN(1,K3/J3)))</f>
        <v/>
      </c>
      <c r="N3" s="6">
        <f>IF(A3="","",IF(OR(AND(E3&lt;&gt;"",E3&gt;='2_Parametros'!$B$23,E3&lt;='2_Parametros'!$B$24),AND(D3&lt;&gt;"",D3&gt;='2_Parametros'!$B$23,D3&lt;='2_Parametros'!$B$24)),1,0))</f>
        <v/>
      </c>
      <c r="O3" s="6">
        <f>IF(A3="","",IF(AND(UPPER(H3)="COMPLETADA",E3&lt;&gt;""),1,0))</f>
        <v/>
      </c>
      <c r="P3" s="6">
        <f>IF(A3="","",IF(AND(UPPER(H3)&lt;&gt;"COMPLETADA",UPPER(H3)&lt;&gt;"CANCELADA",D3&lt;&gt;"",D3+K3-1&lt;'2_Parametros'!$B$24),1,0))</f>
        <v/>
      </c>
      <c r="Q3" s="6">
        <f>IF(A3="","",IF(OR(AND(O3=1,E3&gt;='2_Parametros'!$B$23,E3&lt;='2_Parametros'!$B$24),AND('2_Parametros'!$B$21=1,P3=1,N3=1)),1,0))</f>
        <v/>
      </c>
      <c r="R3" s="6">
        <f>IF(A3="","",IF(Q3=1,I3*L3,0))</f>
        <v/>
      </c>
      <c r="S3" s="6">
        <f>IF(A3="","",IF(Q3=1,I3*M3,0))</f>
        <v/>
      </c>
    </row>
    <row r="4">
      <c r="A4" s="6">
        <f>IF('1_Datos'!A5="","",'1_Datos'!A5)</f>
        <v/>
      </c>
      <c r="B4" s="6">
        <f>IF(A4="","",'1_Datos'!B5)</f>
        <v/>
      </c>
      <c r="C4" s="6">
        <f>IF(A4="","",'1_Datos'!C5)</f>
        <v/>
      </c>
      <c r="D4" s="7">
        <f>IF(A4="","",'1_Datos'!D5)</f>
        <v/>
      </c>
      <c r="E4" s="7">
        <f>IF(A4="","",IF('1_Datos'!E5="","",'1_Datos'!E5))</f>
        <v/>
      </c>
      <c r="F4" s="6">
        <f>IF(A4="","",'1_Datos'!F5)</f>
        <v/>
      </c>
      <c r="G4" s="6">
        <f>IF(A4="","",IF(OR(UPPER(F4)="ALTA",UPPER(F4)="P1",F4=1),"Alta",IF(OR(UPPER(F4)="MEDIA",UPPER(F4)="P2",F4=2),"Media",IF(OR(UPPER(F4)="BAJA",UPPER(F4)="P3",F4=3),"Baja","Media"))))</f>
        <v/>
      </c>
      <c r="H4" s="6">
        <f>IF(A4="","",'1_Datos'!G5)</f>
        <v/>
      </c>
      <c r="I4" s="6">
        <f>IF(A4="","",IF(G4="Alta",'2_Parametros'!$B$7,IF(G4="Media",'2_Parametros'!$B$8,'2_Parametros'!$B$9)))</f>
        <v/>
      </c>
      <c r="J4" s="6">
        <f>IF(A4="","",IF(E4&lt;&gt;"",E4-D4+1,IF(D4="","",'2_Parametros'!$B$24-D4+1)))</f>
        <v/>
      </c>
      <c r="K4" s="6">
        <f>IF(A4="","",IF(G4="Alta",'2_Parametros'!$B$11,IF(G4="Media",'2_Parametros'!$B$12,'2_Parametros'!$B$13)))</f>
        <v/>
      </c>
      <c r="L4" s="6">
        <f>IF(A4="","",IF(AND(UPPER(H4)="COMPLETADA",E4&lt;&gt;"",J4&lt;=K4),1,0))</f>
        <v/>
      </c>
      <c r="M4" s="15">
        <f>IF(A4="","",IF(OR(J4="",J4=0),0,MIN(1,K4/J4)))</f>
        <v/>
      </c>
      <c r="N4" s="6">
        <f>IF(A4="","",IF(OR(AND(E4&lt;&gt;"",E4&gt;='2_Parametros'!$B$23,E4&lt;='2_Parametros'!$B$24),AND(D4&lt;&gt;"",D4&gt;='2_Parametros'!$B$23,D4&lt;='2_Parametros'!$B$24)),1,0))</f>
        <v/>
      </c>
      <c r="O4" s="6">
        <f>IF(A4="","",IF(AND(UPPER(H4)="COMPLETADA",E4&lt;&gt;""),1,0))</f>
        <v/>
      </c>
      <c r="P4" s="6">
        <f>IF(A4="","",IF(AND(UPPER(H4)&lt;&gt;"COMPLETADA",UPPER(H4)&lt;&gt;"CANCELADA",D4&lt;&gt;"",D4+K4-1&lt;'2_Parametros'!$B$24),1,0))</f>
        <v/>
      </c>
      <c r="Q4" s="6">
        <f>IF(A4="","",IF(OR(AND(O4=1,E4&gt;='2_Parametros'!$B$23,E4&lt;='2_Parametros'!$B$24),AND('2_Parametros'!$B$21=1,P4=1,N4=1)),1,0))</f>
        <v/>
      </c>
      <c r="R4" s="6">
        <f>IF(A4="","",IF(Q4=1,I4*L4,0))</f>
        <v/>
      </c>
      <c r="S4" s="6">
        <f>IF(A4="","",IF(Q4=1,I4*M4,0))</f>
        <v/>
      </c>
    </row>
    <row r="5">
      <c r="A5" s="6">
        <f>IF('1_Datos'!A6="","",'1_Datos'!A6)</f>
        <v/>
      </c>
      <c r="B5" s="6">
        <f>IF(A5="","",'1_Datos'!B6)</f>
        <v/>
      </c>
      <c r="C5" s="6">
        <f>IF(A5="","",'1_Datos'!C6)</f>
        <v/>
      </c>
      <c r="D5" s="7">
        <f>IF(A5="","",'1_Datos'!D6)</f>
        <v/>
      </c>
      <c r="E5" s="7">
        <f>IF(A5="","",IF('1_Datos'!E6="","",'1_Datos'!E6))</f>
        <v/>
      </c>
      <c r="F5" s="6">
        <f>IF(A5="","",'1_Datos'!F6)</f>
        <v/>
      </c>
      <c r="G5" s="6">
        <f>IF(A5="","",IF(OR(UPPER(F5)="ALTA",UPPER(F5)="P1",F5=1),"Alta",IF(OR(UPPER(F5)="MEDIA",UPPER(F5)="P2",F5=2),"Media",IF(OR(UPPER(F5)="BAJA",UPPER(F5)="P3",F5=3),"Baja","Media"))))</f>
        <v/>
      </c>
      <c r="H5" s="6">
        <f>IF(A5="","",'1_Datos'!G6)</f>
        <v/>
      </c>
      <c r="I5" s="6">
        <f>IF(A5="","",IF(G5="Alta",'2_Parametros'!$B$7,IF(G5="Media",'2_Parametros'!$B$8,'2_Parametros'!$B$9)))</f>
        <v/>
      </c>
      <c r="J5" s="6">
        <f>IF(A5="","",IF(E5&lt;&gt;"",E5-D5+1,IF(D5="","",'2_Parametros'!$B$24-D5+1)))</f>
        <v/>
      </c>
      <c r="K5" s="6">
        <f>IF(A5="","",IF(G5="Alta",'2_Parametros'!$B$11,IF(G5="Media",'2_Parametros'!$B$12,'2_Parametros'!$B$13)))</f>
        <v/>
      </c>
      <c r="L5" s="6">
        <f>IF(A5="","",IF(AND(UPPER(H5)="COMPLETADA",E5&lt;&gt;"",J5&lt;=K5),1,0))</f>
        <v/>
      </c>
      <c r="M5" s="15">
        <f>IF(A5="","",IF(OR(J5="",J5=0),0,MIN(1,K5/J5)))</f>
        <v/>
      </c>
      <c r="N5" s="6">
        <f>IF(A5="","",IF(OR(AND(E5&lt;&gt;"",E5&gt;='2_Parametros'!$B$23,E5&lt;='2_Parametros'!$B$24),AND(D5&lt;&gt;"",D5&gt;='2_Parametros'!$B$23,D5&lt;='2_Parametros'!$B$24)),1,0))</f>
        <v/>
      </c>
      <c r="O5" s="6">
        <f>IF(A5="","",IF(AND(UPPER(H5)="COMPLETADA",E5&lt;&gt;""),1,0))</f>
        <v/>
      </c>
      <c r="P5" s="6">
        <f>IF(A5="","",IF(AND(UPPER(H5)&lt;&gt;"COMPLETADA",UPPER(H5)&lt;&gt;"CANCELADA",D5&lt;&gt;"",D5+K5-1&lt;'2_Parametros'!$B$24),1,0))</f>
        <v/>
      </c>
      <c r="Q5" s="6">
        <f>IF(A5="","",IF(OR(AND(O5=1,E5&gt;='2_Parametros'!$B$23,E5&lt;='2_Parametros'!$B$24),AND('2_Parametros'!$B$21=1,P5=1,N5=1)),1,0))</f>
        <v/>
      </c>
      <c r="R5" s="6">
        <f>IF(A5="","",IF(Q5=1,I5*L5,0))</f>
        <v/>
      </c>
      <c r="S5" s="6">
        <f>IF(A5="","",IF(Q5=1,I5*M5,0))</f>
        <v/>
      </c>
    </row>
    <row r="6">
      <c r="A6" s="6">
        <f>IF('1_Datos'!A7="","",'1_Datos'!A7)</f>
        <v/>
      </c>
      <c r="B6" s="6">
        <f>IF(A6="","",'1_Datos'!B7)</f>
        <v/>
      </c>
      <c r="C6" s="6">
        <f>IF(A6="","",'1_Datos'!C7)</f>
        <v/>
      </c>
      <c r="D6" s="7">
        <f>IF(A6="","",'1_Datos'!D7)</f>
        <v/>
      </c>
      <c r="E6" s="7">
        <f>IF(A6="","",IF('1_Datos'!E7="","",'1_Datos'!E7))</f>
        <v/>
      </c>
      <c r="F6" s="6">
        <f>IF(A6="","",'1_Datos'!F7)</f>
        <v/>
      </c>
      <c r="G6" s="6">
        <f>IF(A6="","",IF(OR(UPPER(F6)="ALTA",UPPER(F6)="P1",F6=1),"Alta",IF(OR(UPPER(F6)="MEDIA",UPPER(F6)="P2",F6=2),"Media",IF(OR(UPPER(F6)="BAJA",UPPER(F6)="P3",F6=3),"Baja","Media"))))</f>
        <v/>
      </c>
      <c r="H6" s="6">
        <f>IF(A6="","",'1_Datos'!G7)</f>
        <v/>
      </c>
      <c r="I6" s="6">
        <f>IF(A6="","",IF(G6="Alta",'2_Parametros'!$B$7,IF(G6="Media",'2_Parametros'!$B$8,'2_Parametros'!$B$9)))</f>
        <v/>
      </c>
      <c r="J6" s="6">
        <f>IF(A6="","",IF(E6&lt;&gt;"",E6-D6+1,IF(D6="","",'2_Parametros'!$B$24-D6+1)))</f>
        <v/>
      </c>
      <c r="K6" s="6">
        <f>IF(A6="","",IF(G6="Alta",'2_Parametros'!$B$11,IF(G6="Media",'2_Parametros'!$B$12,'2_Parametros'!$B$13)))</f>
        <v/>
      </c>
      <c r="L6" s="6">
        <f>IF(A6="","",IF(AND(UPPER(H6)="COMPLETADA",E6&lt;&gt;"",J6&lt;=K6),1,0))</f>
        <v/>
      </c>
      <c r="M6" s="15">
        <f>IF(A6="","",IF(OR(J6="",J6=0),0,MIN(1,K6/J6)))</f>
        <v/>
      </c>
      <c r="N6" s="6">
        <f>IF(A6="","",IF(OR(AND(E6&lt;&gt;"",E6&gt;='2_Parametros'!$B$23,E6&lt;='2_Parametros'!$B$24),AND(D6&lt;&gt;"",D6&gt;='2_Parametros'!$B$23,D6&lt;='2_Parametros'!$B$24)),1,0))</f>
        <v/>
      </c>
      <c r="O6" s="6">
        <f>IF(A6="","",IF(AND(UPPER(H6)="COMPLETADA",E6&lt;&gt;""),1,0))</f>
        <v/>
      </c>
      <c r="P6" s="6">
        <f>IF(A6="","",IF(AND(UPPER(H6)&lt;&gt;"COMPLETADA",UPPER(H6)&lt;&gt;"CANCELADA",D6&lt;&gt;"",D6+K6-1&lt;'2_Parametros'!$B$24),1,0))</f>
        <v/>
      </c>
      <c r="Q6" s="6">
        <f>IF(A6="","",IF(OR(AND(O6=1,E6&gt;='2_Parametros'!$B$23,E6&lt;='2_Parametros'!$B$24),AND('2_Parametros'!$B$21=1,P6=1,N6=1)),1,0))</f>
        <v/>
      </c>
      <c r="R6" s="6">
        <f>IF(A6="","",IF(Q6=1,I6*L6,0))</f>
        <v/>
      </c>
      <c r="S6" s="6">
        <f>IF(A6="","",IF(Q6=1,I6*M6,0))</f>
        <v/>
      </c>
    </row>
    <row r="7">
      <c r="A7" s="6">
        <f>IF('1_Datos'!A8="","",'1_Datos'!A8)</f>
        <v/>
      </c>
      <c r="B7" s="6">
        <f>IF(A7="","",'1_Datos'!B8)</f>
        <v/>
      </c>
      <c r="C7" s="6">
        <f>IF(A7="","",'1_Datos'!C8)</f>
        <v/>
      </c>
      <c r="D7" s="7">
        <f>IF(A7="","",'1_Datos'!D8)</f>
        <v/>
      </c>
      <c r="E7" s="7">
        <f>IF(A7="","",IF('1_Datos'!E8="","",'1_Datos'!E8))</f>
        <v/>
      </c>
      <c r="F7" s="6">
        <f>IF(A7="","",'1_Datos'!F8)</f>
        <v/>
      </c>
      <c r="G7" s="6">
        <f>IF(A7="","",IF(OR(UPPER(F7)="ALTA",UPPER(F7)="P1",F7=1),"Alta",IF(OR(UPPER(F7)="MEDIA",UPPER(F7)="P2",F7=2),"Media",IF(OR(UPPER(F7)="BAJA",UPPER(F7)="P3",F7=3),"Baja","Media"))))</f>
        <v/>
      </c>
      <c r="H7" s="6">
        <f>IF(A7="","",'1_Datos'!G8)</f>
        <v/>
      </c>
      <c r="I7" s="6">
        <f>IF(A7="","",IF(G7="Alta",'2_Parametros'!$B$7,IF(G7="Media",'2_Parametros'!$B$8,'2_Parametros'!$B$9)))</f>
        <v/>
      </c>
      <c r="J7" s="6">
        <f>IF(A7="","",IF(E7&lt;&gt;"",E7-D7+1,IF(D7="","",'2_Parametros'!$B$24-D7+1)))</f>
        <v/>
      </c>
      <c r="K7" s="6">
        <f>IF(A7="","",IF(G7="Alta",'2_Parametros'!$B$11,IF(G7="Media",'2_Parametros'!$B$12,'2_Parametros'!$B$13)))</f>
        <v/>
      </c>
      <c r="L7" s="6">
        <f>IF(A7="","",IF(AND(UPPER(H7)="COMPLETADA",E7&lt;&gt;"",J7&lt;=K7),1,0))</f>
        <v/>
      </c>
      <c r="M7" s="15">
        <f>IF(A7="","",IF(OR(J7="",J7=0),0,MIN(1,K7/J7)))</f>
        <v/>
      </c>
      <c r="N7" s="6">
        <f>IF(A7="","",IF(OR(AND(E7&lt;&gt;"",E7&gt;='2_Parametros'!$B$23,E7&lt;='2_Parametros'!$B$24),AND(D7&lt;&gt;"",D7&gt;='2_Parametros'!$B$23,D7&lt;='2_Parametros'!$B$24)),1,0))</f>
        <v/>
      </c>
      <c r="O7" s="6">
        <f>IF(A7="","",IF(AND(UPPER(H7)="COMPLETADA",E7&lt;&gt;""),1,0))</f>
        <v/>
      </c>
      <c r="P7" s="6">
        <f>IF(A7="","",IF(AND(UPPER(H7)&lt;&gt;"COMPLETADA",UPPER(H7)&lt;&gt;"CANCELADA",D7&lt;&gt;"",D7+K7-1&lt;'2_Parametros'!$B$24),1,0))</f>
        <v/>
      </c>
      <c r="Q7" s="6">
        <f>IF(A7="","",IF(OR(AND(O7=1,E7&gt;='2_Parametros'!$B$23,E7&lt;='2_Parametros'!$B$24),AND('2_Parametros'!$B$21=1,P7=1,N7=1)),1,0))</f>
        <v/>
      </c>
      <c r="R7" s="6">
        <f>IF(A7="","",IF(Q7=1,I7*L7,0))</f>
        <v/>
      </c>
      <c r="S7" s="6">
        <f>IF(A7="","",IF(Q7=1,I7*M7,0))</f>
        <v/>
      </c>
    </row>
    <row r="8">
      <c r="A8" s="6">
        <f>IF('1_Datos'!A9="","",'1_Datos'!A9)</f>
        <v/>
      </c>
      <c r="B8" s="6">
        <f>IF(A8="","",'1_Datos'!B9)</f>
        <v/>
      </c>
      <c r="C8" s="6">
        <f>IF(A8="","",'1_Datos'!C9)</f>
        <v/>
      </c>
      <c r="D8" s="7">
        <f>IF(A8="","",'1_Datos'!D9)</f>
        <v/>
      </c>
      <c r="E8" s="7">
        <f>IF(A8="","",IF('1_Datos'!E9="","",'1_Datos'!E9))</f>
        <v/>
      </c>
      <c r="F8" s="6">
        <f>IF(A8="","",'1_Datos'!F9)</f>
        <v/>
      </c>
      <c r="G8" s="6">
        <f>IF(A8="","",IF(OR(UPPER(F8)="ALTA",UPPER(F8)="P1",F8=1),"Alta",IF(OR(UPPER(F8)="MEDIA",UPPER(F8)="P2",F8=2),"Media",IF(OR(UPPER(F8)="BAJA",UPPER(F8)="P3",F8=3),"Baja","Media"))))</f>
        <v/>
      </c>
      <c r="H8" s="6">
        <f>IF(A8="","",'1_Datos'!G9)</f>
        <v/>
      </c>
      <c r="I8" s="6">
        <f>IF(A8="","",IF(G8="Alta",'2_Parametros'!$B$7,IF(G8="Media",'2_Parametros'!$B$8,'2_Parametros'!$B$9)))</f>
        <v/>
      </c>
      <c r="J8" s="6">
        <f>IF(A8="","",IF(E8&lt;&gt;"",E8-D8+1,IF(D8="","",'2_Parametros'!$B$24-D8+1)))</f>
        <v/>
      </c>
      <c r="K8" s="6">
        <f>IF(A8="","",IF(G8="Alta",'2_Parametros'!$B$11,IF(G8="Media",'2_Parametros'!$B$12,'2_Parametros'!$B$13)))</f>
        <v/>
      </c>
      <c r="L8" s="6">
        <f>IF(A8="","",IF(AND(UPPER(H8)="COMPLETADA",E8&lt;&gt;"",J8&lt;=K8),1,0))</f>
        <v/>
      </c>
      <c r="M8" s="15">
        <f>IF(A8="","",IF(OR(J8="",J8=0),0,MIN(1,K8/J8)))</f>
        <v/>
      </c>
      <c r="N8" s="6">
        <f>IF(A8="","",IF(OR(AND(E8&lt;&gt;"",E8&gt;='2_Parametros'!$B$23,E8&lt;='2_Parametros'!$B$24),AND(D8&lt;&gt;"",D8&gt;='2_Parametros'!$B$23,D8&lt;='2_Parametros'!$B$24)),1,0))</f>
        <v/>
      </c>
      <c r="O8" s="6">
        <f>IF(A8="","",IF(AND(UPPER(H8)="COMPLETADA",E8&lt;&gt;""),1,0))</f>
        <v/>
      </c>
      <c r="P8" s="6">
        <f>IF(A8="","",IF(AND(UPPER(H8)&lt;&gt;"COMPLETADA",UPPER(H8)&lt;&gt;"CANCELADA",D8&lt;&gt;"",D8+K8-1&lt;'2_Parametros'!$B$24),1,0))</f>
        <v/>
      </c>
      <c r="Q8" s="6">
        <f>IF(A8="","",IF(OR(AND(O8=1,E8&gt;='2_Parametros'!$B$23,E8&lt;='2_Parametros'!$B$24),AND('2_Parametros'!$B$21=1,P8=1,N8=1)),1,0))</f>
        <v/>
      </c>
      <c r="R8" s="6">
        <f>IF(A8="","",IF(Q8=1,I8*L8,0))</f>
        <v/>
      </c>
      <c r="S8" s="6">
        <f>IF(A8="","",IF(Q8=1,I8*M8,0))</f>
        <v/>
      </c>
    </row>
    <row r="9">
      <c r="A9" s="6">
        <f>IF('1_Datos'!A10="","",'1_Datos'!A10)</f>
        <v/>
      </c>
      <c r="B9" s="6">
        <f>IF(A9="","",'1_Datos'!B10)</f>
        <v/>
      </c>
      <c r="C9" s="6">
        <f>IF(A9="","",'1_Datos'!C10)</f>
        <v/>
      </c>
      <c r="D9" s="7">
        <f>IF(A9="","",'1_Datos'!D10)</f>
        <v/>
      </c>
      <c r="E9" s="7">
        <f>IF(A9="","",IF('1_Datos'!E10="","",'1_Datos'!E10))</f>
        <v/>
      </c>
      <c r="F9" s="6">
        <f>IF(A9="","",'1_Datos'!F10)</f>
        <v/>
      </c>
      <c r="G9" s="6">
        <f>IF(A9="","",IF(OR(UPPER(F9)="ALTA",UPPER(F9)="P1",F9=1),"Alta",IF(OR(UPPER(F9)="MEDIA",UPPER(F9)="P2",F9=2),"Media",IF(OR(UPPER(F9)="BAJA",UPPER(F9)="P3",F9=3),"Baja","Media"))))</f>
        <v/>
      </c>
      <c r="H9" s="6">
        <f>IF(A9="","",'1_Datos'!G10)</f>
        <v/>
      </c>
      <c r="I9" s="6">
        <f>IF(A9="","",IF(G9="Alta",'2_Parametros'!$B$7,IF(G9="Media",'2_Parametros'!$B$8,'2_Parametros'!$B$9)))</f>
        <v/>
      </c>
      <c r="J9" s="6">
        <f>IF(A9="","",IF(E9&lt;&gt;"",E9-D9+1,IF(D9="","",'2_Parametros'!$B$24-D9+1)))</f>
        <v/>
      </c>
      <c r="K9" s="6">
        <f>IF(A9="","",IF(G9="Alta",'2_Parametros'!$B$11,IF(G9="Media",'2_Parametros'!$B$12,'2_Parametros'!$B$13)))</f>
        <v/>
      </c>
      <c r="L9" s="6">
        <f>IF(A9="","",IF(AND(UPPER(H9)="COMPLETADA",E9&lt;&gt;"",J9&lt;=K9),1,0))</f>
        <v/>
      </c>
      <c r="M9" s="15">
        <f>IF(A9="","",IF(OR(J9="",J9=0),0,MIN(1,K9/J9)))</f>
        <v/>
      </c>
      <c r="N9" s="6">
        <f>IF(A9="","",IF(OR(AND(E9&lt;&gt;"",E9&gt;='2_Parametros'!$B$23,E9&lt;='2_Parametros'!$B$24),AND(D9&lt;&gt;"",D9&gt;='2_Parametros'!$B$23,D9&lt;='2_Parametros'!$B$24)),1,0))</f>
        <v/>
      </c>
      <c r="O9" s="6">
        <f>IF(A9="","",IF(AND(UPPER(H9)="COMPLETADA",E9&lt;&gt;""),1,0))</f>
        <v/>
      </c>
      <c r="P9" s="6">
        <f>IF(A9="","",IF(AND(UPPER(H9)&lt;&gt;"COMPLETADA",UPPER(H9)&lt;&gt;"CANCELADA",D9&lt;&gt;"",D9+K9-1&lt;'2_Parametros'!$B$24),1,0))</f>
        <v/>
      </c>
      <c r="Q9" s="6">
        <f>IF(A9="","",IF(OR(AND(O9=1,E9&gt;='2_Parametros'!$B$23,E9&lt;='2_Parametros'!$B$24),AND('2_Parametros'!$B$21=1,P9=1,N9=1)),1,0))</f>
        <v/>
      </c>
      <c r="R9" s="6">
        <f>IF(A9="","",IF(Q9=1,I9*L9,0))</f>
        <v/>
      </c>
      <c r="S9" s="6">
        <f>IF(A9="","",IF(Q9=1,I9*M9,0))</f>
        <v/>
      </c>
    </row>
    <row r="10">
      <c r="A10" s="6">
        <f>IF('1_Datos'!A11="","",'1_Datos'!A11)</f>
        <v/>
      </c>
      <c r="B10" s="6">
        <f>IF(A10="","",'1_Datos'!B11)</f>
        <v/>
      </c>
      <c r="C10" s="6">
        <f>IF(A10="","",'1_Datos'!C11)</f>
        <v/>
      </c>
      <c r="D10" s="7">
        <f>IF(A10="","",'1_Datos'!D11)</f>
        <v/>
      </c>
      <c r="E10" s="7">
        <f>IF(A10="","",IF('1_Datos'!E11="","",'1_Datos'!E11))</f>
        <v/>
      </c>
      <c r="F10" s="6">
        <f>IF(A10="","",'1_Datos'!F11)</f>
        <v/>
      </c>
      <c r="G10" s="6">
        <f>IF(A10="","",IF(OR(UPPER(F10)="ALTA",UPPER(F10)="P1",F10=1),"Alta",IF(OR(UPPER(F10)="MEDIA",UPPER(F10)="P2",F10=2),"Media",IF(OR(UPPER(F10)="BAJA",UPPER(F10)="P3",F10=3),"Baja","Media"))))</f>
        <v/>
      </c>
      <c r="H10" s="6">
        <f>IF(A10="","",'1_Datos'!G11)</f>
        <v/>
      </c>
      <c r="I10" s="6">
        <f>IF(A10="","",IF(G10="Alta",'2_Parametros'!$B$7,IF(G10="Media",'2_Parametros'!$B$8,'2_Parametros'!$B$9)))</f>
        <v/>
      </c>
      <c r="J10" s="6">
        <f>IF(A10="","",IF(E10&lt;&gt;"",E10-D10+1,IF(D10="","",'2_Parametros'!$B$24-D10+1)))</f>
        <v/>
      </c>
      <c r="K10" s="6">
        <f>IF(A10="","",IF(G10="Alta",'2_Parametros'!$B$11,IF(G10="Media",'2_Parametros'!$B$12,'2_Parametros'!$B$13)))</f>
        <v/>
      </c>
      <c r="L10" s="6">
        <f>IF(A10="","",IF(AND(UPPER(H10)="COMPLETADA",E10&lt;&gt;"",J10&lt;=K10),1,0))</f>
        <v/>
      </c>
      <c r="M10" s="15">
        <f>IF(A10="","",IF(OR(J10="",J10=0),0,MIN(1,K10/J10)))</f>
        <v/>
      </c>
      <c r="N10" s="6">
        <f>IF(A10="","",IF(OR(AND(E10&lt;&gt;"",E10&gt;='2_Parametros'!$B$23,E10&lt;='2_Parametros'!$B$24),AND(D10&lt;&gt;"",D10&gt;='2_Parametros'!$B$23,D10&lt;='2_Parametros'!$B$24)),1,0))</f>
        <v/>
      </c>
      <c r="O10" s="6">
        <f>IF(A10="","",IF(AND(UPPER(H10)="COMPLETADA",E10&lt;&gt;""),1,0))</f>
        <v/>
      </c>
      <c r="P10" s="6">
        <f>IF(A10="","",IF(AND(UPPER(H10)&lt;&gt;"COMPLETADA",UPPER(H10)&lt;&gt;"CANCELADA",D10&lt;&gt;"",D10+K10-1&lt;'2_Parametros'!$B$24),1,0))</f>
        <v/>
      </c>
      <c r="Q10" s="6">
        <f>IF(A10="","",IF(OR(AND(O10=1,E10&gt;='2_Parametros'!$B$23,E10&lt;='2_Parametros'!$B$24),AND('2_Parametros'!$B$21=1,P10=1,N10=1)),1,0))</f>
        <v/>
      </c>
      <c r="R10" s="6">
        <f>IF(A10="","",IF(Q10=1,I10*L10,0))</f>
        <v/>
      </c>
      <c r="S10" s="6">
        <f>IF(A10="","",IF(Q10=1,I10*M10,0))</f>
        <v/>
      </c>
    </row>
    <row r="11">
      <c r="A11" s="6">
        <f>IF('1_Datos'!A12="","",'1_Datos'!A12)</f>
        <v/>
      </c>
      <c r="B11" s="6">
        <f>IF(A11="","",'1_Datos'!B12)</f>
        <v/>
      </c>
      <c r="C11" s="6">
        <f>IF(A11="","",'1_Datos'!C12)</f>
        <v/>
      </c>
      <c r="D11" s="7">
        <f>IF(A11="","",'1_Datos'!D12)</f>
        <v/>
      </c>
      <c r="E11" s="7">
        <f>IF(A11="","",IF('1_Datos'!E12="","",'1_Datos'!E12))</f>
        <v/>
      </c>
      <c r="F11" s="6">
        <f>IF(A11="","",'1_Datos'!F12)</f>
        <v/>
      </c>
      <c r="G11" s="6">
        <f>IF(A11="","",IF(OR(UPPER(F11)="ALTA",UPPER(F11)="P1",F11=1),"Alta",IF(OR(UPPER(F11)="MEDIA",UPPER(F11)="P2",F11=2),"Media",IF(OR(UPPER(F11)="BAJA",UPPER(F11)="P3",F11=3),"Baja","Media"))))</f>
        <v/>
      </c>
      <c r="H11" s="6">
        <f>IF(A11="","",'1_Datos'!G12)</f>
        <v/>
      </c>
      <c r="I11" s="6">
        <f>IF(A11="","",IF(G11="Alta",'2_Parametros'!$B$7,IF(G11="Media",'2_Parametros'!$B$8,'2_Parametros'!$B$9)))</f>
        <v/>
      </c>
      <c r="J11" s="6">
        <f>IF(A11="","",IF(E11&lt;&gt;"",E11-D11+1,IF(D11="","",'2_Parametros'!$B$24-D11+1)))</f>
        <v/>
      </c>
      <c r="K11" s="6">
        <f>IF(A11="","",IF(G11="Alta",'2_Parametros'!$B$11,IF(G11="Media",'2_Parametros'!$B$12,'2_Parametros'!$B$13)))</f>
        <v/>
      </c>
      <c r="L11" s="6">
        <f>IF(A11="","",IF(AND(UPPER(H11)="COMPLETADA",E11&lt;&gt;"",J11&lt;=K11),1,0))</f>
        <v/>
      </c>
      <c r="M11" s="15">
        <f>IF(A11="","",IF(OR(J11="",J11=0),0,MIN(1,K11/J11)))</f>
        <v/>
      </c>
      <c r="N11" s="6">
        <f>IF(A11="","",IF(OR(AND(E11&lt;&gt;"",E11&gt;='2_Parametros'!$B$23,E11&lt;='2_Parametros'!$B$24),AND(D11&lt;&gt;"",D11&gt;='2_Parametros'!$B$23,D11&lt;='2_Parametros'!$B$24)),1,0))</f>
        <v/>
      </c>
      <c r="O11" s="6">
        <f>IF(A11="","",IF(AND(UPPER(H11)="COMPLETADA",E11&lt;&gt;""),1,0))</f>
        <v/>
      </c>
      <c r="P11" s="6">
        <f>IF(A11="","",IF(AND(UPPER(H11)&lt;&gt;"COMPLETADA",UPPER(H11)&lt;&gt;"CANCELADA",D11&lt;&gt;"",D11+K11-1&lt;'2_Parametros'!$B$24),1,0))</f>
        <v/>
      </c>
      <c r="Q11" s="6">
        <f>IF(A11="","",IF(OR(AND(O11=1,E11&gt;='2_Parametros'!$B$23,E11&lt;='2_Parametros'!$B$24),AND('2_Parametros'!$B$21=1,P11=1,N11=1)),1,0))</f>
        <v/>
      </c>
      <c r="R11" s="6">
        <f>IF(A11="","",IF(Q11=1,I11*L11,0))</f>
        <v/>
      </c>
      <c r="S11" s="6">
        <f>IF(A11="","",IF(Q11=1,I11*M11,0))</f>
        <v/>
      </c>
    </row>
    <row r="12">
      <c r="A12" s="6">
        <f>IF('1_Datos'!A13="","",'1_Datos'!A13)</f>
        <v/>
      </c>
      <c r="B12" s="6">
        <f>IF(A12="","",'1_Datos'!B13)</f>
        <v/>
      </c>
      <c r="C12" s="6">
        <f>IF(A12="","",'1_Datos'!C13)</f>
        <v/>
      </c>
      <c r="D12" s="7">
        <f>IF(A12="","",'1_Datos'!D13)</f>
        <v/>
      </c>
      <c r="E12" s="7">
        <f>IF(A12="","",IF('1_Datos'!E13="","",'1_Datos'!E13))</f>
        <v/>
      </c>
      <c r="F12" s="6">
        <f>IF(A12="","",'1_Datos'!F13)</f>
        <v/>
      </c>
      <c r="G12" s="6">
        <f>IF(A12="","",IF(OR(UPPER(F12)="ALTA",UPPER(F12)="P1",F12=1),"Alta",IF(OR(UPPER(F12)="MEDIA",UPPER(F12)="P2",F12=2),"Media",IF(OR(UPPER(F12)="BAJA",UPPER(F12)="P3",F12=3),"Baja","Media"))))</f>
        <v/>
      </c>
      <c r="H12" s="6">
        <f>IF(A12="","",'1_Datos'!G13)</f>
        <v/>
      </c>
      <c r="I12" s="6">
        <f>IF(A12="","",IF(G12="Alta",'2_Parametros'!$B$7,IF(G12="Media",'2_Parametros'!$B$8,'2_Parametros'!$B$9)))</f>
        <v/>
      </c>
      <c r="J12" s="6">
        <f>IF(A12="","",IF(E12&lt;&gt;"",E12-D12+1,IF(D12="","",'2_Parametros'!$B$24-D12+1)))</f>
        <v/>
      </c>
      <c r="K12" s="6">
        <f>IF(A12="","",IF(G12="Alta",'2_Parametros'!$B$11,IF(G12="Media",'2_Parametros'!$B$12,'2_Parametros'!$B$13)))</f>
        <v/>
      </c>
      <c r="L12" s="6">
        <f>IF(A12="","",IF(AND(UPPER(H12)="COMPLETADA",E12&lt;&gt;"",J12&lt;=K12),1,0))</f>
        <v/>
      </c>
      <c r="M12" s="15">
        <f>IF(A12="","",IF(OR(J12="",J12=0),0,MIN(1,K12/J12)))</f>
        <v/>
      </c>
      <c r="N12" s="6">
        <f>IF(A12="","",IF(OR(AND(E12&lt;&gt;"",E12&gt;='2_Parametros'!$B$23,E12&lt;='2_Parametros'!$B$24),AND(D12&lt;&gt;"",D12&gt;='2_Parametros'!$B$23,D12&lt;='2_Parametros'!$B$24)),1,0))</f>
        <v/>
      </c>
      <c r="O12" s="6">
        <f>IF(A12="","",IF(AND(UPPER(H12)="COMPLETADA",E12&lt;&gt;""),1,0))</f>
        <v/>
      </c>
      <c r="P12" s="6">
        <f>IF(A12="","",IF(AND(UPPER(H12)&lt;&gt;"COMPLETADA",UPPER(H12)&lt;&gt;"CANCELADA",D12&lt;&gt;"",D12+K12-1&lt;'2_Parametros'!$B$24),1,0))</f>
        <v/>
      </c>
      <c r="Q12" s="6">
        <f>IF(A12="","",IF(OR(AND(O12=1,E12&gt;='2_Parametros'!$B$23,E12&lt;='2_Parametros'!$B$24),AND('2_Parametros'!$B$21=1,P12=1,N12=1)),1,0))</f>
        <v/>
      </c>
      <c r="R12" s="6">
        <f>IF(A12="","",IF(Q12=1,I12*L12,0))</f>
        <v/>
      </c>
      <c r="S12" s="6">
        <f>IF(A12="","",IF(Q12=1,I12*M12,0))</f>
        <v/>
      </c>
    </row>
    <row r="13">
      <c r="A13" s="6">
        <f>IF('1_Datos'!A14="","",'1_Datos'!A14)</f>
        <v/>
      </c>
      <c r="B13" s="6">
        <f>IF(A13="","",'1_Datos'!B14)</f>
        <v/>
      </c>
      <c r="C13" s="6">
        <f>IF(A13="","",'1_Datos'!C14)</f>
        <v/>
      </c>
      <c r="D13" s="7">
        <f>IF(A13="","",'1_Datos'!D14)</f>
        <v/>
      </c>
      <c r="E13" s="7">
        <f>IF(A13="","",IF('1_Datos'!E14="","",'1_Datos'!E14))</f>
        <v/>
      </c>
      <c r="F13" s="6">
        <f>IF(A13="","",'1_Datos'!F14)</f>
        <v/>
      </c>
      <c r="G13" s="6">
        <f>IF(A13="","",IF(OR(UPPER(F13)="ALTA",UPPER(F13)="P1",F13=1),"Alta",IF(OR(UPPER(F13)="MEDIA",UPPER(F13)="P2",F13=2),"Media",IF(OR(UPPER(F13)="BAJA",UPPER(F13)="P3",F13=3),"Baja","Media"))))</f>
        <v/>
      </c>
      <c r="H13" s="6">
        <f>IF(A13="","",'1_Datos'!G14)</f>
        <v/>
      </c>
      <c r="I13" s="6">
        <f>IF(A13="","",IF(G13="Alta",'2_Parametros'!$B$7,IF(G13="Media",'2_Parametros'!$B$8,'2_Parametros'!$B$9)))</f>
        <v/>
      </c>
      <c r="J13" s="6">
        <f>IF(A13="","",IF(E13&lt;&gt;"",E13-D13+1,IF(D13="","",'2_Parametros'!$B$24-D13+1)))</f>
        <v/>
      </c>
      <c r="K13" s="6">
        <f>IF(A13="","",IF(G13="Alta",'2_Parametros'!$B$11,IF(G13="Media",'2_Parametros'!$B$12,'2_Parametros'!$B$13)))</f>
        <v/>
      </c>
      <c r="L13" s="6">
        <f>IF(A13="","",IF(AND(UPPER(H13)="COMPLETADA",E13&lt;&gt;"",J13&lt;=K13),1,0))</f>
        <v/>
      </c>
      <c r="M13" s="15">
        <f>IF(A13="","",IF(OR(J13="",J13=0),0,MIN(1,K13/J13)))</f>
        <v/>
      </c>
      <c r="N13" s="6">
        <f>IF(A13="","",IF(OR(AND(E13&lt;&gt;"",E13&gt;='2_Parametros'!$B$23,E13&lt;='2_Parametros'!$B$24),AND(D13&lt;&gt;"",D13&gt;='2_Parametros'!$B$23,D13&lt;='2_Parametros'!$B$24)),1,0))</f>
        <v/>
      </c>
      <c r="O13" s="6">
        <f>IF(A13="","",IF(AND(UPPER(H13)="COMPLETADA",E13&lt;&gt;""),1,0))</f>
        <v/>
      </c>
      <c r="P13" s="6">
        <f>IF(A13="","",IF(AND(UPPER(H13)&lt;&gt;"COMPLETADA",UPPER(H13)&lt;&gt;"CANCELADA",D13&lt;&gt;"",D13+K13-1&lt;'2_Parametros'!$B$24),1,0))</f>
        <v/>
      </c>
      <c r="Q13" s="6">
        <f>IF(A13="","",IF(OR(AND(O13=1,E13&gt;='2_Parametros'!$B$23,E13&lt;='2_Parametros'!$B$24),AND('2_Parametros'!$B$21=1,P13=1,N13=1)),1,0))</f>
        <v/>
      </c>
      <c r="R13" s="6">
        <f>IF(A13="","",IF(Q13=1,I13*L13,0))</f>
        <v/>
      </c>
      <c r="S13" s="6">
        <f>IF(A13="","",IF(Q13=1,I13*M13,0))</f>
        <v/>
      </c>
    </row>
    <row r="14">
      <c r="A14" s="6">
        <f>IF('1_Datos'!A15="","",'1_Datos'!A15)</f>
        <v/>
      </c>
      <c r="B14" s="6">
        <f>IF(A14="","",'1_Datos'!B15)</f>
        <v/>
      </c>
      <c r="C14" s="6">
        <f>IF(A14="","",'1_Datos'!C15)</f>
        <v/>
      </c>
      <c r="D14" s="7">
        <f>IF(A14="","",'1_Datos'!D15)</f>
        <v/>
      </c>
      <c r="E14" s="7">
        <f>IF(A14="","",IF('1_Datos'!E15="","",'1_Datos'!E15))</f>
        <v/>
      </c>
      <c r="F14" s="6">
        <f>IF(A14="","",'1_Datos'!F15)</f>
        <v/>
      </c>
      <c r="G14" s="6">
        <f>IF(A14="","",IF(OR(UPPER(F14)="ALTA",UPPER(F14)="P1",F14=1),"Alta",IF(OR(UPPER(F14)="MEDIA",UPPER(F14)="P2",F14=2),"Media",IF(OR(UPPER(F14)="BAJA",UPPER(F14)="P3",F14=3),"Baja","Media"))))</f>
        <v/>
      </c>
      <c r="H14" s="6">
        <f>IF(A14="","",'1_Datos'!G15)</f>
        <v/>
      </c>
      <c r="I14" s="6">
        <f>IF(A14="","",IF(G14="Alta",'2_Parametros'!$B$7,IF(G14="Media",'2_Parametros'!$B$8,'2_Parametros'!$B$9)))</f>
        <v/>
      </c>
      <c r="J14" s="6">
        <f>IF(A14="","",IF(E14&lt;&gt;"",E14-D14+1,IF(D14="","",'2_Parametros'!$B$24-D14+1)))</f>
        <v/>
      </c>
      <c r="K14" s="6">
        <f>IF(A14="","",IF(G14="Alta",'2_Parametros'!$B$11,IF(G14="Media",'2_Parametros'!$B$12,'2_Parametros'!$B$13)))</f>
        <v/>
      </c>
      <c r="L14" s="6">
        <f>IF(A14="","",IF(AND(UPPER(H14)="COMPLETADA",E14&lt;&gt;"",J14&lt;=K14),1,0))</f>
        <v/>
      </c>
      <c r="M14" s="15">
        <f>IF(A14="","",IF(OR(J14="",J14=0),0,MIN(1,K14/J14)))</f>
        <v/>
      </c>
      <c r="N14" s="6">
        <f>IF(A14="","",IF(OR(AND(E14&lt;&gt;"",E14&gt;='2_Parametros'!$B$23,E14&lt;='2_Parametros'!$B$24),AND(D14&lt;&gt;"",D14&gt;='2_Parametros'!$B$23,D14&lt;='2_Parametros'!$B$24)),1,0))</f>
        <v/>
      </c>
      <c r="O14" s="6">
        <f>IF(A14="","",IF(AND(UPPER(H14)="COMPLETADA",E14&lt;&gt;""),1,0))</f>
        <v/>
      </c>
      <c r="P14" s="6">
        <f>IF(A14="","",IF(AND(UPPER(H14)&lt;&gt;"COMPLETADA",UPPER(H14)&lt;&gt;"CANCELADA",D14&lt;&gt;"",D14+K14-1&lt;'2_Parametros'!$B$24),1,0))</f>
        <v/>
      </c>
      <c r="Q14" s="6">
        <f>IF(A14="","",IF(OR(AND(O14=1,E14&gt;='2_Parametros'!$B$23,E14&lt;='2_Parametros'!$B$24),AND('2_Parametros'!$B$21=1,P14=1,N14=1)),1,0))</f>
        <v/>
      </c>
      <c r="R14" s="6">
        <f>IF(A14="","",IF(Q14=1,I14*L14,0))</f>
        <v/>
      </c>
      <c r="S14" s="6">
        <f>IF(A14="","",IF(Q14=1,I14*M14,0))</f>
        <v/>
      </c>
    </row>
    <row r="15">
      <c r="A15" s="6">
        <f>IF('1_Datos'!A16="","",'1_Datos'!A16)</f>
        <v/>
      </c>
      <c r="B15" s="6">
        <f>IF(A15="","",'1_Datos'!B16)</f>
        <v/>
      </c>
      <c r="C15" s="6">
        <f>IF(A15="","",'1_Datos'!C16)</f>
        <v/>
      </c>
      <c r="D15" s="7">
        <f>IF(A15="","",'1_Datos'!D16)</f>
        <v/>
      </c>
      <c r="E15" s="7">
        <f>IF(A15="","",IF('1_Datos'!E16="","",'1_Datos'!E16))</f>
        <v/>
      </c>
      <c r="F15" s="6">
        <f>IF(A15="","",'1_Datos'!F16)</f>
        <v/>
      </c>
      <c r="G15" s="6">
        <f>IF(A15="","",IF(OR(UPPER(F15)="ALTA",UPPER(F15)="P1",F15=1),"Alta",IF(OR(UPPER(F15)="MEDIA",UPPER(F15)="P2",F15=2),"Media",IF(OR(UPPER(F15)="BAJA",UPPER(F15)="P3",F15=3),"Baja","Media"))))</f>
        <v/>
      </c>
      <c r="H15" s="6">
        <f>IF(A15="","",'1_Datos'!G16)</f>
        <v/>
      </c>
      <c r="I15" s="6">
        <f>IF(A15="","",IF(G15="Alta",'2_Parametros'!$B$7,IF(G15="Media",'2_Parametros'!$B$8,'2_Parametros'!$B$9)))</f>
        <v/>
      </c>
      <c r="J15" s="6">
        <f>IF(A15="","",IF(E15&lt;&gt;"",E15-D15+1,IF(D15="","",'2_Parametros'!$B$24-D15+1)))</f>
        <v/>
      </c>
      <c r="K15" s="6">
        <f>IF(A15="","",IF(G15="Alta",'2_Parametros'!$B$11,IF(G15="Media",'2_Parametros'!$B$12,'2_Parametros'!$B$13)))</f>
        <v/>
      </c>
      <c r="L15" s="6">
        <f>IF(A15="","",IF(AND(UPPER(H15)="COMPLETADA",E15&lt;&gt;"",J15&lt;=K15),1,0))</f>
        <v/>
      </c>
      <c r="M15" s="15">
        <f>IF(A15="","",IF(OR(J15="",J15=0),0,MIN(1,K15/J15)))</f>
        <v/>
      </c>
      <c r="N15" s="6">
        <f>IF(A15="","",IF(OR(AND(E15&lt;&gt;"",E15&gt;='2_Parametros'!$B$23,E15&lt;='2_Parametros'!$B$24),AND(D15&lt;&gt;"",D15&gt;='2_Parametros'!$B$23,D15&lt;='2_Parametros'!$B$24)),1,0))</f>
        <v/>
      </c>
      <c r="O15" s="6">
        <f>IF(A15="","",IF(AND(UPPER(H15)="COMPLETADA",E15&lt;&gt;""),1,0))</f>
        <v/>
      </c>
      <c r="P15" s="6">
        <f>IF(A15="","",IF(AND(UPPER(H15)&lt;&gt;"COMPLETADA",UPPER(H15)&lt;&gt;"CANCELADA",D15&lt;&gt;"",D15+K15-1&lt;'2_Parametros'!$B$24),1,0))</f>
        <v/>
      </c>
      <c r="Q15" s="6">
        <f>IF(A15="","",IF(OR(AND(O15=1,E15&gt;='2_Parametros'!$B$23,E15&lt;='2_Parametros'!$B$24),AND('2_Parametros'!$B$21=1,P15=1,N15=1)),1,0))</f>
        <v/>
      </c>
      <c r="R15" s="6">
        <f>IF(A15="","",IF(Q15=1,I15*L15,0))</f>
        <v/>
      </c>
      <c r="S15" s="6">
        <f>IF(A15="","",IF(Q15=1,I15*M15,0))</f>
        <v/>
      </c>
    </row>
    <row r="16">
      <c r="A16" s="6">
        <f>IF('1_Datos'!A17="","",'1_Datos'!A17)</f>
        <v/>
      </c>
      <c r="B16" s="6">
        <f>IF(A16="","",'1_Datos'!B17)</f>
        <v/>
      </c>
      <c r="C16" s="6">
        <f>IF(A16="","",'1_Datos'!C17)</f>
        <v/>
      </c>
      <c r="D16" s="7">
        <f>IF(A16="","",'1_Datos'!D17)</f>
        <v/>
      </c>
      <c r="E16" s="7">
        <f>IF(A16="","",IF('1_Datos'!E17="","",'1_Datos'!E17))</f>
        <v/>
      </c>
      <c r="F16" s="6">
        <f>IF(A16="","",'1_Datos'!F17)</f>
        <v/>
      </c>
      <c r="G16" s="6">
        <f>IF(A16="","",IF(OR(UPPER(F16)="ALTA",UPPER(F16)="P1",F16=1),"Alta",IF(OR(UPPER(F16)="MEDIA",UPPER(F16)="P2",F16=2),"Media",IF(OR(UPPER(F16)="BAJA",UPPER(F16)="P3",F16=3),"Baja","Media"))))</f>
        <v/>
      </c>
      <c r="H16" s="6">
        <f>IF(A16="","",'1_Datos'!G17)</f>
        <v/>
      </c>
      <c r="I16" s="6">
        <f>IF(A16="","",IF(G16="Alta",'2_Parametros'!$B$7,IF(G16="Media",'2_Parametros'!$B$8,'2_Parametros'!$B$9)))</f>
        <v/>
      </c>
      <c r="J16" s="6">
        <f>IF(A16="","",IF(E16&lt;&gt;"",E16-D16+1,IF(D16="","",'2_Parametros'!$B$24-D16+1)))</f>
        <v/>
      </c>
      <c r="K16" s="6">
        <f>IF(A16="","",IF(G16="Alta",'2_Parametros'!$B$11,IF(G16="Media",'2_Parametros'!$B$12,'2_Parametros'!$B$13)))</f>
        <v/>
      </c>
      <c r="L16" s="6">
        <f>IF(A16="","",IF(AND(UPPER(H16)="COMPLETADA",E16&lt;&gt;"",J16&lt;=K16),1,0))</f>
        <v/>
      </c>
      <c r="M16" s="15">
        <f>IF(A16="","",IF(OR(J16="",J16=0),0,MIN(1,K16/J16)))</f>
        <v/>
      </c>
      <c r="N16" s="6">
        <f>IF(A16="","",IF(OR(AND(E16&lt;&gt;"",E16&gt;='2_Parametros'!$B$23,E16&lt;='2_Parametros'!$B$24),AND(D16&lt;&gt;"",D16&gt;='2_Parametros'!$B$23,D16&lt;='2_Parametros'!$B$24)),1,0))</f>
        <v/>
      </c>
      <c r="O16" s="6">
        <f>IF(A16="","",IF(AND(UPPER(H16)="COMPLETADA",E16&lt;&gt;""),1,0))</f>
        <v/>
      </c>
      <c r="P16" s="6">
        <f>IF(A16="","",IF(AND(UPPER(H16)&lt;&gt;"COMPLETADA",UPPER(H16)&lt;&gt;"CANCELADA",D16&lt;&gt;"",D16+K16-1&lt;'2_Parametros'!$B$24),1,0))</f>
        <v/>
      </c>
      <c r="Q16" s="6">
        <f>IF(A16="","",IF(OR(AND(O16=1,E16&gt;='2_Parametros'!$B$23,E16&lt;='2_Parametros'!$B$24),AND('2_Parametros'!$B$21=1,P16=1,N16=1)),1,0))</f>
        <v/>
      </c>
      <c r="R16" s="6">
        <f>IF(A16="","",IF(Q16=1,I16*L16,0))</f>
        <v/>
      </c>
      <c r="S16" s="6">
        <f>IF(A16="","",IF(Q16=1,I16*M16,0))</f>
        <v/>
      </c>
    </row>
    <row r="17">
      <c r="A17" s="6">
        <f>IF('1_Datos'!A18="","",'1_Datos'!A18)</f>
        <v/>
      </c>
      <c r="B17" s="6">
        <f>IF(A17="","",'1_Datos'!B18)</f>
        <v/>
      </c>
      <c r="C17" s="6">
        <f>IF(A17="","",'1_Datos'!C18)</f>
        <v/>
      </c>
      <c r="D17" s="7">
        <f>IF(A17="","",'1_Datos'!D18)</f>
        <v/>
      </c>
      <c r="E17" s="7">
        <f>IF(A17="","",IF('1_Datos'!E18="","",'1_Datos'!E18))</f>
        <v/>
      </c>
      <c r="F17" s="6">
        <f>IF(A17="","",'1_Datos'!F18)</f>
        <v/>
      </c>
      <c r="G17" s="6">
        <f>IF(A17="","",IF(OR(UPPER(F17)="ALTA",UPPER(F17)="P1",F17=1),"Alta",IF(OR(UPPER(F17)="MEDIA",UPPER(F17)="P2",F17=2),"Media",IF(OR(UPPER(F17)="BAJA",UPPER(F17)="P3",F17=3),"Baja","Media"))))</f>
        <v/>
      </c>
      <c r="H17" s="6">
        <f>IF(A17="","",'1_Datos'!G18)</f>
        <v/>
      </c>
      <c r="I17" s="6">
        <f>IF(A17="","",IF(G17="Alta",'2_Parametros'!$B$7,IF(G17="Media",'2_Parametros'!$B$8,'2_Parametros'!$B$9)))</f>
        <v/>
      </c>
      <c r="J17" s="6">
        <f>IF(A17="","",IF(E17&lt;&gt;"",E17-D17+1,IF(D17="","",'2_Parametros'!$B$24-D17+1)))</f>
        <v/>
      </c>
      <c r="K17" s="6">
        <f>IF(A17="","",IF(G17="Alta",'2_Parametros'!$B$11,IF(G17="Media",'2_Parametros'!$B$12,'2_Parametros'!$B$13)))</f>
        <v/>
      </c>
      <c r="L17" s="6">
        <f>IF(A17="","",IF(AND(UPPER(H17)="COMPLETADA",E17&lt;&gt;"",J17&lt;=K17),1,0))</f>
        <v/>
      </c>
      <c r="M17" s="15">
        <f>IF(A17="","",IF(OR(J17="",J17=0),0,MIN(1,K17/J17)))</f>
        <v/>
      </c>
      <c r="N17" s="6">
        <f>IF(A17="","",IF(OR(AND(E17&lt;&gt;"",E17&gt;='2_Parametros'!$B$23,E17&lt;='2_Parametros'!$B$24),AND(D17&lt;&gt;"",D17&gt;='2_Parametros'!$B$23,D17&lt;='2_Parametros'!$B$24)),1,0))</f>
        <v/>
      </c>
      <c r="O17" s="6">
        <f>IF(A17="","",IF(AND(UPPER(H17)="COMPLETADA",E17&lt;&gt;""),1,0))</f>
        <v/>
      </c>
      <c r="P17" s="6">
        <f>IF(A17="","",IF(AND(UPPER(H17)&lt;&gt;"COMPLETADA",UPPER(H17)&lt;&gt;"CANCELADA",D17&lt;&gt;"",D17+K17-1&lt;'2_Parametros'!$B$24),1,0))</f>
        <v/>
      </c>
      <c r="Q17" s="6">
        <f>IF(A17="","",IF(OR(AND(O17=1,E17&gt;='2_Parametros'!$B$23,E17&lt;='2_Parametros'!$B$24),AND('2_Parametros'!$B$21=1,P17=1,N17=1)),1,0))</f>
        <v/>
      </c>
      <c r="R17" s="6">
        <f>IF(A17="","",IF(Q17=1,I17*L17,0))</f>
        <v/>
      </c>
      <c r="S17" s="6">
        <f>IF(A17="","",IF(Q17=1,I17*M17,0))</f>
        <v/>
      </c>
    </row>
    <row r="18">
      <c r="A18" s="6">
        <f>IF('1_Datos'!A19="","",'1_Datos'!A19)</f>
        <v/>
      </c>
      <c r="B18" s="6">
        <f>IF(A18="","",'1_Datos'!B19)</f>
        <v/>
      </c>
      <c r="C18" s="6">
        <f>IF(A18="","",'1_Datos'!C19)</f>
        <v/>
      </c>
      <c r="D18" s="7">
        <f>IF(A18="","",'1_Datos'!D19)</f>
        <v/>
      </c>
      <c r="E18" s="7">
        <f>IF(A18="","",IF('1_Datos'!E19="","",'1_Datos'!E19))</f>
        <v/>
      </c>
      <c r="F18" s="6">
        <f>IF(A18="","",'1_Datos'!F19)</f>
        <v/>
      </c>
      <c r="G18" s="6">
        <f>IF(A18="","",IF(OR(UPPER(F18)="ALTA",UPPER(F18)="P1",F18=1),"Alta",IF(OR(UPPER(F18)="MEDIA",UPPER(F18)="P2",F18=2),"Media",IF(OR(UPPER(F18)="BAJA",UPPER(F18)="P3",F18=3),"Baja","Media"))))</f>
        <v/>
      </c>
      <c r="H18" s="6">
        <f>IF(A18="","",'1_Datos'!G19)</f>
        <v/>
      </c>
      <c r="I18" s="6">
        <f>IF(A18="","",IF(G18="Alta",'2_Parametros'!$B$7,IF(G18="Media",'2_Parametros'!$B$8,'2_Parametros'!$B$9)))</f>
        <v/>
      </c>
      <c r="J18" s="6">
        <f>IF(A18="","",IF(E18&lt;&gt;"",E18-D18+1,IF(D18="","",'2_Parametros'!$B$24-D18+1)))</f>
        <v/>
      </c>
      <c r="K18" s="6">
        <f>IF(A18="","",IF(G18="Alta",'2_Parametros'!$B$11,IF(G18="Media",'2_Parametros'!$B$12,'2_Parametros'!$B$13)))</f>
        <v/>
      </c>
      <c r="L18" s="6">
        <f>IF(A18="","",IF(AND(UPPER(H18)="COMPLETADA",E18&lt;&gt;"",J18&lt;=K18),1,0))</f>
        <v/>
      </c>
      <c r="M18" s="15">
        <f>IF(A18="","",IF(OR(J18="",J18=0),0,MIN(1,K18/J18)))</f>
        <v/>
      </c>
      <c r="N18" s="6">
        <f>IF(A18="","",IF(OR(AND(E18&lt;&gt;"",E18&gt;='2_Parametros'!$B$23,E18&lt;='2_Parametros'!$B$24),AND(D18&lt;&gt;"",D18&gt;='2_Parametros'!$B$23,D18&lt;='2_Parametros'!$B$24)),1,0))</f>
        <v/>
      </c>
      <c r="O18" s="6">
        <f>IF(A18="","",IF(AND(UPPER(H18)="COMPLETADA",E18&lt;&gt;""),1,0))</f>
        <v/>
      </c>
      <c r="P18" s="6">
        <f>IF(A18="","",IF(AND(UPPER(H18)&lt;&gt;"COMPLETADA",UPPER(H18)&lt;&gt;"CANCELADA",D18&lt;&gt;"",D18+K18-1&lt;'2_Parametros'!$B$24),1,0))</f>
        <v/>
      </c>
      <c r="Q18" s="6">
        <f>IF(A18="","",IF(OR(AND(O18=1,E18&gt;='2_Parametros'!$B$23,E18&lt;='2_Parametros'!$B$24),AND('2_Parametros'!$B$21=1,P18=1,N18=1)),1,0))</f>
        <v/>
      </c>
      <c r="R18" s="6">
        <f>IF(A18="","",IF(Q18=1,I18*L18,0))</f>
        <v/>
      </c>
      <c r="S18" s="6">
        <f>IF(A18="","",IF(Q18=1,I18*M18,0))</f>
        <v/>
      </c>
    </row>
    <row r="19">
      <c r="A19" s="6">
        <f>IF('1_Datos'!A20="","",'1_Datos'!A20)</f>
        <v/>
      </c>
      <c r="B19" s="6">
        <f>IF(A19="","",'1_Datos'!B20)</f>
        <v/>
      </c>
      <c r="C19" s="6">
        <f>IF(A19="","",'1_Datos'!C20)</f>
        <v/>
      </c>
      <c r="D19" s="7">
        <f>IF(A19="","",'1_Datos'!D20)</f>
        <v/>
      </c>
      <c r="E19" s="7">
        <f>IF(A19="","",IF('1_Datos'!E20="","",'1_Datos'!E20))</f>
        <v/>
      </c>
      <c r="F19" s="6">
        <f>IF(A19="","",'1_Datos'!F20)</f>
        <v/>
      </c>
      <c r="G19" s="6">
        <f>IF(A19="","",IF(OR(UPPER(F19)="ALTA",UPPER(F19)="P1",F19=1),"Alta",IF(OR(UPPER(F19)="MEDIA",UPPER(F19)="P2",F19=2),"Media",IF(OR(UPPER(F19)="BAJA",UPPER(F19)="P3",F19=3),"Baja","Media"))))</f>
        <v/>
      </c>
      <c r="H19" s="6">
        <f>IF(A19="","",'1_Datos'!G20)</f>
        <v/>
      </c>
      <c r="I19" s="6">
        <f>IF(A19="","",IF(G19="Alta",'2_Parametros'!$B$7,IF(G19="Media",'2_Parametros'!$B$8,'2_Parametros'!$B$9)))</f>
        <v/>
      </c>
      <c r="J19" s="6">
        <f>IF(A19="","",IF(E19&lt;&gt;"",E19-D19+1,IF(D19="","",'2_Parametros'!$B$24-D19+1)))</f>
        <v/>
      </c>
      <c r="K19" s="6">
        <f>IF(A19="","",IF(G19="Alta",'2_Parametros'!$B$11,IF(G19="Media",'2_Parametros'!$B$12,'2_Parametros'!$B$13)))</f>
        <v/>
      </c>
      <c r="L19" s="6">
        <f>IF(A19="","",IF(AND(UPPER(H19)="COMPLETADA",E19&lt;&gt;"",J19&lt;=K19),1,0))</f>
        <v/>
      </c>
      <c r="M19" s="15">
        <f>IF(A19="","",IF(OR(J19="",J19=0),0,MIN(1,K19/J19)))</f>
        <v/>
      </c>
      <c r="N19" s="6">
        <f>IF(A19="","",IF(OR(AND(E19&lt;&gt;"",E19&gt;='2_Parametros'!$B$23,E19&lt;='2_Parametros'!$B$24),AND(D19&lt;&gt;"",D19&gt;='2_Parametros'!$B$23,D19&lt;='2_Parametros'!$B$24)),1,0))</f>
        <v/>
      </c>
      <c r="O19" s="6">
        <f>IF(A19="","",IF(AND(UPPER(H19)="COMPLETADA",E19&lt;&gt;""),1,0))</f>
        <v/>
      </c>
      <c r="P19" s="6">
        <f>IF(A19="","",IF(AND(UPPER(H19)&lt;&gt;"COMPLETADA",UPPER(H19)&lt;&gt;"CANCELADA",D19&lt;&gt;"",D19+K19-1&lt;'2_Parametros'!$B$24),1,0))</f>
        <v/>
      </c>
      <c r="Q19" s="6">
        <f>IF(A19="","",IF(OR(AND(O19=1,E19&gt;='2_Parametros'!$B$23,E19&lt;='2_Parametros'!$B$24),AND('2_Parametros'!$B$21=1,P19=1,N19=1)),1,0))</f>
        <v/>
      </c>
      <c r="R19" s="6">
        <f>IF(A19="","",IF(Q19=1,I19*L19,0))</f>
        <v/>
      </c>
      <c r="S19" s="6">
        <f>IF(A19="","",IF(Q19=1,I19*M19,0))</f>
        <v/>
      </c>
    </row>
    <row r="20">
      <c r="A20" s="6">
        <f>IF('1_Datos'!A21="","",'1_Datos'!A21)</f>
        <v/>
      </c>
      <c r="B20" s="6">
        <f>IF(A20="","",'1_Datos'!B21)</f>
        <v/>
      </c>
      <c r="C20" s="6">
        <f>IF(A20="","",'1_Datos'!C21)</f>
        <v/>
      </c>
      <c r="D20" s="7">
        <f>IF(A20="","",'1_Datos'!D21)</f>
        <v/>
      </c>
      <c r="E20" s="7">
        <f>IF(A20="","",IF('1_Datos'!E21="","",'1_Datos'!E21))</f>
        <v/>
      </c>
      <c r="F20" s="6">
        <f>IF(A20="","",'1_Datos'!F21)</f>
        <v/>
      </c>
      <c r="G20" s="6">
        <f>IF(A20="","",IF(OR(UPPER(F20)="ALTA",UPPER(F20)="P1",F20=1),"Alta",IF(OR(UPPER(F20)="MEDIA",UPPER(F20)="P2",F20=2),"Media",IF(OR(UPPER(F20)="BAJA",UPPER(F20)="P3",F20=3),"Baja","Media"))))</f>
        <v/>
      </c>
      <c r="H20" s="6">
        <f>IF(A20="","",'1_Datos'!G21)</f>
        <v/>
      </c>
      <c r="I20" s="6">
        <f>IF(A20="","",IF(G20="Alta",'2_Parametros'!$B$7,IF(G20="Media",'2_Parametros'!$B$8,'2_Parametros'!$B$9)))</f>
        <v/>
      </c>
      <c r="J20" s="6">
        <f>IF(A20="","",IF(E20&lt;&gt;"",E20-D20+1,IF(D20="","",'2_Parametros'!$B$24-D20+1)))</f>
        <v/>
      </c>
      <c r="K20" s="6">
        <f>IF(A20="","",IF(G20="Alta",'2_Parametros'!$B$11,IF(G20="Media",'2_Parametros'!$B$12,'2_Parametros'!$B$13)))</f>
        <v/>
      </c>
      <c r="L20" s="6">
        <f>IF(A20="","",IF(AND(UPPER(H20)="COMPLETADA",E20&lt;&gt;"",J20&lt;=K20),1,0))</f>
        <v/>
      </c>
      <c r="M20" s="15">
        <f>IF(A20="","",IF(OR(J20="",J20=0),0,MIN(1,K20/J20)))</f>
        <v/>
      </c>
      <c r="N20" s="6">
        <f>IF(A20="","",IF(OR(AND(E20&lt;&gt;"",E20&gt;='2_Parametros'!$B$23,E20&lt;='2_Parametros'!$B$24),AND(D20&lt;&gt;"",D20&gt;='2_Parametros'!$B$23,D20&lt;='2_Parametros'!$B$24)),1,0))</f>
        <v/>
      </c>
      <c r="O20" s="6">
        <f>IF(A20="","",IF(AND(UPPER(H20)="COMPLETADA",E20&lt;&gt;""),1,0))</f>
        <v/>
      </c>
      <c r="P20" s="6">
        <f>IF(A20="","",IF(AND(UPPER(H20)&lt;&gt;"COMPLETADA",UPPER(H20)&lt;&gt;"CANCELADA",D20&lt;&gt;"",D20+K20-1&lt;'2_Parametros'!$B$24),1,0))</f>
        <v/>
      </c>
      <c r="Q20" s="6">
        <f>IF(A20="","",IF(OR(AND(O20=1,E20&gt;='2_Parametros'!$B$23,E20&lt;='2_Parametros'!$B$24),AND('2_Parametros'!$B$21=1,P20=1,N20=1)),1,0))</f>
        <v/>
      </c>
      <c r="R20" s="6">
        <f>IF(A20="","",IF(Q20=1,I20*L20,0))</f>
        <v/>
      </c>
      <c r="S20" s="6">
        <f>IF(A20="","",IF(Q20=1,I20*M20,0))</f>
        <v/>
      </c>
    </row>
    <row r="21">
      <c r="A21" s="6">
        <f>IF('1_Datos'!A22="","",'1_Datos'!A22)</f>
        <v/>
      </c>
      <c r="B21" s="6">
        <f>IF(A21="","",'1_Datos'!B22)</f>
        <v/>
      </c>
      <c r="C21" s="6">
        <f>IF(A21="","",'1_Datos'!C22)</f>
        <v/>
      </c>
      <c r="D21" s="7">
        <f>IF(A21="","",'1_Datos'!D22)</f>
        <v/>
      </c>
      <c r="E21" s="7">
        <f>IF(A21="","",IF('1_Datos'!E22="","",'1_Datos'!E22))</f>
        <v/>
      </c>
      <c r="F21" s="6">
        <f>IF(A21="","",'1_Datos'!F22)</f>
        <v/>
      </c>
      <c r="G21" s="6">
        <f>IF(A21="","",IF(OR(UPPER(F21)="ALTA",UPPER(F21)="P1",F21=1),"Alta",IF(OR(UPPER(F21)="MEDIA",UPPER(F21)="P2",F21=2),"Media",IF(OR(UPPER(F21)="BAJA",UPPER(F21)="P3",F21=3),"Baja","Media"))))</f>
        <v/>
      </c>
      <c r="H21" s="6">
        <f>IF(A21="","",'1_Datos'!G22)</f>
        <v/>
      </c>
      <c r="I21" s="6">
        <f>IF(A21="","",IF(G21="Alta",'2_Parametros'!$B$7,IF(G21="Media",'2_Parametros'!$B$8,'2_Parametros'!$B$9)))</f>
        <v/>
      </c>
      <c r="J21" s="6">
        <f>IF(A21="","",IF(E21&lt;&gt;"",E21-D21+1,IF(D21="","",'2_Parametros'!$B$24-D21+1)))</f>
        <v/>
      </c>
      <c r="K21" s="6">
        <f>IF(A21="","",IF(G21="Alta",'2_Parametros'!$B$11,IF(G21="Media",'2_Parametros'!$B$12,'2_Parametros'!$B$13)))</f>
        <v/>
      </c>
      <c r="L21" s="6">
        <f>IF(A21="","",IF(AND(UPPER(H21)="COMPLETADA",E21&lt;&gt;"",J21&lt;=K21),1,0))</f>
        <v/>
      </c>
      <c r="M21" s="15">
        <f>IF(A21="","",IF(OR(J21="",J21=0),0,MIN(1,K21/J21)))</f>
        <v/>
      </c>
      <c r="N21" s="6">
        <f>IF(A21="","",IF(OR(AND(E21&lt;&gt;"",E21&gt;='2_Parametros'!$B$23,E21&lt;='2_Parametros'!$B$24),AND(D21&lt;&gt;"",D21&gt;='2_Parametros'!$B$23,D21&lt;='2_Parametros'!$B$24)),1,0))</f>
        <v/>
      </c>
      <c r="O21" s="6">
        <f>IF(A21="","",IF(AND(UPPER(H21)="COMPLETADA",E21&lt;&gt;""),1,0))</f>
        <v/>
      </c>
      <c r="P21" s="6">
        <f>IF(A21="","",IF(AND(UPPER(H21)&lt;&gt;"COMPLETADA",UPPER(H21)&lt;&gt;"CANCELADA",D21&lt;&gt;"",D21+K21-1&lt;'2_Parametros'!$B$24),1,0))</f>
        <v/>
      </c>
      <c r="Q21" s="6">
        <f>IF(A21="","",IF(OR(AND(O21=1,E21&gt;='2_Parametros'!$B$23,E21&lt;='2_Parametros'!$B$24),AND('2_Parametros'!$B$21=1,P21=1,N21=1)),1,0))</f>
        <v/>
      </c>
      <c r="R21" s="6">
        <f>IF(A21="","",IF(Q21=1,I21*L21,0))</f>
        <v/>
      </c>
      <c r="S21" s="6">
        <f>IF(A21="","",IF(Q21=1,I21*M21,0))</f>
        <v/>
      </c>
    </row>
    <row r="22">
      <c r="A22" s="6">
        <f>IF('1_Datos'!A23="","",'1_Datos'!A23)</f>
        <v/>
      </c>
      <c r="B22" s="6">
        <f>IF(A22="","",'1_Datos'!B23)</f>
        <v/>
      </c>
      <c r="C22" s="6">
        <f>IF(A22="","",'1_Datos'!C23)</f>
        <v/>
      </c>
      <c r="D22" s="7">
        <f>IF(A22="","",'1_Datos'!D23)</f>
        <v/>
      </c>
      <c r="E22" s="7">
        <f>IF(A22="","",IF('1_Datos'!E23="","",'1_Datos'!E23))</f>
        <v/>
      </c>
      <c r="F22" s="6">
        <f>IF(A22="","",'1_Datos'!F23)</f>
        <v/>
      </c>
      <c r="G22" s="6">
        <f>IF(A22="","",IF(OR(UPPER(F22)="ALTA",UPPER(F22)="P1",F22=1),"Alta",IF(OR(UPPER(F22)="MEDIA",UPPER(F22)="P2",F22=2),"Media",IF(OR(UPPER(F22)="BAJA",UPPER(F22)="P3",F22=3),"Baja","Media"))))</f>
        <v/>
      </c>
      <c r="H22" s="6">
        <f>IF(A22="","",'1_Datos'!G23)</f>
        <v/>
      </c>
      <c r="I22" s="6">
        <f>IF(A22="","",IF(G22="Alta",'2_Parametros'!$B$7,IF(G22="Media",'2_Parametros'!$B$8,'2_Parametros'!$B$9)))</f>
        <v/>
      </c>
      <c r="J22" s="6">
        <f>IF(A22="","",IF(E22&lt;&gt;"",E22-D22+1,IF(D22="","",'2_Parametros'!$B$24-D22+1)))</f>
        <v/>
      </c>
      <c r="K22" s="6">
        <f>IF(A22="","",IF(G22="Alta",'2_Parametros'!$B$11,IF(G22="Media",'2_Parametros'!$B$12,'2_Parametros'!$B$13)))</f>
        <v/>
      </c>
      <c r="L22" s="6">
        <f>IF(A22="","",IF(AND(UPPER(H22)="COMPLETADA",E22&lt;&gt;"",J22&lt;=K22),1,0))</f>
        <v/>
      </c>
      <c r="M22" s="15">
        <f>IF(A22="","",IF(OR(J22="",J22=0),0,MIN(1,K22/J22)))</f>
        <v/>
      </c>
      <c r="N22" s="6">
        <f>IF(A22="","",IF(OR(AND(E22&lt;&gt;"",E22&gt;='2_Parametros'!$B$23,E22&lt;='2_Parametros'!$B$24),AND(D22&lt;&gt;"",D22&gt;='2_Parametros'!$B$23,D22&lt;='2_Parametros'!$B$24)),1,0))</f>
        <v/>
      </c>
      <c r="O22" s="6">
        <f>IF(A22="","",IF(AND(UPPER(H22)="COMPLETADA",E22&lt;&gt;""),1,0))</f>
        <v/>
      </c>
      <c r="P22" s="6">
        <f>IF(A22="","",IF(AND(UPPER(H22)&lt;&gt;"COMPLETADA",UPPER(H22)&lt;&gt;"CANCELADA",D22&lt;&gt;"",D22+K22-1&lt;'2_Parametros'!$B$24),1,0))</f>
        <v/>
      </c>
      <c r="Q22" s="6">
        <f>IF(A22="","",IF(OR(AND(O22=1,E22&gt;='2_Parametros'!$B$23,E22&lt;='2_Parametros'!$B$24),AND('2_Parametros'!$B$21=1,P22=1,N22=1)),1,0))</f>
        <v/>
      </c>
      <c r="R22" s="6">
        <f>IF(A22="","",IF(Q22=1,I22*L22,0))</f>
        <v/>
      </c>
      <c r="S22" s="6">
        <f>IF(A22="","",IF(Q22=1,I22*M22,0))</f>
        <v/>
      </c>
    </row>
    <row r="23">
      <c r="A23" s="6">
        <f>IF('1_Datos'!A24="","",'1_Datos'!A24)</f>
        <v/>
      </c>
      <c r="B23" s="6">
        <f>IF(A23="","",'1_Datos'!B24)</f>
        <v/>
      </c>
      <c r="C23" s="6">
        <f>IF(A23="","",'1_Datos'!C24)</f>
        <v/>
      </c>
      <c r="D23" s="7">
        <f>IF(A23="","",'1_Datos'!D24)</f>
        <v/>
      </c>
      <c r="E23" s="7">
        <f>IF(A23="","",IF('1_Datos'!E24="","",'1_Datos'!E24))</f>
        <v/>
      </c>
      <c r="F23" s="6">
        <f>IF(A23="","",'1_Datos'!F24)</f>
        <v/>
      </c>
      <c r="G23" s="6">
        <f>IF(A23="","",IF(OR(UPPER(F23)="ALTA",UPPER(F23)="P1",F23=1),"Alta",IF(OR(UPPER(F23)="MEDIA",UPPER(F23)="P2",F23=2),"Media",IF(OR(UPPER(F23)="BAJA",UPPER(F23)="P3",F23=3),"Baja","Media"))))</f>
        <v/>
      </c>
      <c r="H23" s="6">
        <f>IF(A23="","",'1_Datos'!G24)</f>
        <v/>
      </c>
      <c r="I23" s="6">
        <f>IF(A23="","",IF(G23="Alta",'2_Parametros'!$B$7,IF(G23="Media",'2_Parametros'!$B$8,'2_Parametros'!$B$9)))</f>
        <v/>
      </c>
      <c r="J23" s="6">
        <f>IF(A23="","",IF(E23&lt;&gt;"",E23-D23+1,IF(D23="","",'2_Parametros'!$B$24-D23+1)))</f>
        <v/>
      </c>
      <c r="K23" s="6">
        <f>IF(A23="","",IF(G23="Alta",'2_Parametros'!$B$11,IF(G23="Media",'2_Parametros'!$B$12,'2_Parametros'!$B$13)))</f>
        <v/>
      </c>
      <c r="L23" s="6">
        <f>IF(A23="","",IF(AND(UPPER(H23)="COMPLETADA",E23&lt;&gt;"",J23&lt;=K23),1,0))</f>
        <v/>
      </c>
      <c r="M23" s="15">
        <f>IF(A23="","",IF(OR(J23="",J23=0),0,MIN(1,K23/J23)))</f>
        <v/>
      </c>
      <c r="N23" s="6">
        <f>IF(A23="","",IF(OR(AND(E23&lt;&gt;"",E23&gt;='2_Parametros'!$B$23,E23&lt;='2_Parametros'!$B$24),AND(D23&lt;&gt;"",D23&gt;='2_Parametros'!$B$23,D23&lt;='2_Parametros'!$B$24)),1,0))</f>
        <v/>
      </c>
      <c r="O23" s="6">
        <f>IF(A23="","",IF(AND(UPPER(H23)="COMPLETADA",E23&lt;&gt;""),1,0))</f>
        <v/>
      </c>
      <c r="P23" s="6">
        <f>IF(A23="","",IF(AND(UPPER(H23)&lt;&gt;"COMPLETADA",UPPER(H23)&lt;&gt;"CANCELADA",D23&lt;&gt;"",D23+K23-1&lt;'2_Parametros'!$B$24),1,0))</f>
        <v/>
      </c>
      <c r="Q23" s="6">
        <f>IF(A23="","",IF(OR(AND(O23=1,E23&gt;='2_Parametros'!$B$23,E23&lt;='2_Parametros'!$B$24),AND('2_Parametros'!$B$21=1,P23=1,N23=1)),1,0))</f>
        <v/>
      </c>
      <c r="R23" s="6">
        <f>IF(A23="","",IF(Q23=1,I23*L23,0))</f>
        <v/>
      </c>
      <c r="S23" s="6">
        <f>IF(A23="","",IF(Q23=1,I23*M23,0))</f>
        <v/>
      </c>
    </row>
    <row r="24">
      <c r="A24" s="6">
        <f>IF('1_Datos'!A25="","",'1_Datos'!A25)</f>
        <v/>
      </c>
      <c r="B24" s="6">
        <f>IF(A24="","",'1_Datos'!B25)</f>
        <v/>
      </c>
      <c r="C24" s="6">
        <f>IF(A24="","",'1_Datos'!C25)</f>
        <v/>
      </c>
      <c r="D24" s="7">
        <f>IF(A24="","",'1_Datos'!D25)</f>
        <v/>
      </c>
      <c r="E24" s="7">
        <f>IF(A24="","",IF('1_Datos'!E25="","",'1_Datos'!E25))</f>
        <v/>
      </c>
      <c r="F24" s="6">
        <f>IF(A24="","",'1_Datos'!F25)</f>
        <v/>
      </c>
      <c r="G24" s="6">
        <f>IF(A24="","",IF(OR(UPPER(F24)="ALTA",UPPER(F24)="P1",F24=1),"Alta",IF(OR(UPPER(F24)="MEDIA",UPPER(F24)="P2",F24=2),"Media",IF(OR(UPPER(F24)="BAJA",UPPER(F24)="P3",F24=3),"Baja","Media"))))</f>
        <v/>
      </c>
      <c r="H24" s="6">
        <f>IF(A24="","",'1_Datos'!G25)</f>
        <v/>
      </c>
      <c r="I24" s="6">
        <f>IF(A24="","",IF(G24="Alta",'2_Parametros'!$B$7,IF(G24="Media",'2_Parametros'!$B$8,'2_Parametros'!$B$9)))</f>
        <v/>
      </c>
      <c r="J24" s="6">
        <f>IF(A24="","",IF(E24&lt;&gt;"",E24-D24+1,IF(D24="","",'2_Parametros'!$B$24-D24+1)))</f>
        <v/>
      </c>
      <c r="K24" s="6">
        <f>IF(A24="","",IF(G24="Alta",'2_Parametros'!$B$11,IF(G24="Media",'2_Parametros'!$B$12,'2_Parametros'!$B$13)))</f>
        <v/>
      </c>
      <c r="L24" s="6">
        <f>IF(A24="","",IF(AND(UPPER(H24)="COMPLETADA",E24&lt;&gt;"",J24&lt;=K24),1,0))</f>
        <v/>
      </c>
      <c r="M24" s="15">
        <f>IF(A24="","",IF(OR(J24="",J24=0),0,MIN(1,K24/J24)))</f>
        <v/>
      </c>
      <c r="N24" s="6">
        <f>IF(A24="","",IF(OR(AND(E24&lt;&gt;"",E24&gt;='2_Parametros'!$B$23,E24&lt;='2_Parametros'!$B$24),AND(D24&lt;&gt;"",D24&gt;='2_Parametros'!$B$23,D24&lt;='2_Parametros'!$B$24)),1,0))</f>
        <v/>
      </c>
      <c r="O24" s="6">
        <f>IF(A24="","",IF(AND(UPPER(H24)="COMPLETADA",E24&lt;&gt;""),1,0))</f>
        <v/>
      </c>
      <c r="P24" s="6">
        <f>IF(A24="","",IF(AND(UPPER(H24)&lt;&gt;"COMPLETADA",UPPER(H24)&lt;&gt;"CANCELADA",D24&lt;&gt;"",D24+K24-1&lt;'2_Parametros'!$B$24),1,0))</f>
        <v/>
      </c>
      <c r="Q24" s="6">
        <f>IF(A24="","",IF(OR(AND(O24=1,E24&gt;='2_Parametros'!$B$23,E24&lt;='2_Parametros'!$B$24),AND('2_Parametros'!$B$21=1,P24=1,N24=1)),1,0))</f>
        <v/>
      </c>
      <c r="R24" s="6">
        <f>IF(A24="","",IF(Q24=1,I24*L24,0))</f>
        <v/>
      </c>
      <c r="S24" s="6">
        <f>IF(A24="","",IF(Q24=1,I24*M24,0))</f>
        <v/>
      </c>
    </row>
    <row r="25">
      <c r="A25" s="6">
        <f>IF('1_Datos'!A26="","",'1_Datos'!A26)</f>
        <v/>
      </c>
      <c r="B25" s="6">
        <f>IF(A25="","",'1_Datos'!B26)</f>
        <v/>
      </c>
      <c r="C25" s="6">
        <f>IF(A25="","",'1_Datos'!C26)</f>
        <v/>
      </c>
      <c r="D25" s="7">
        <f>IF(A25="","",'1_Datos'!D26)</f>
        <v/>
      </c>
      <c r="E25" s="7">
        <f>IF(A25="","",IF('1_Datos'!E26="","",'1_Datos'!E26))</f>
        <v/>
      </c>
      <c r="F25" s="6">
        <f>IF(A25="","",'1_Datos'!F26)</f>
        <v/>
      </c>
      <c r="G25" s="6">
        <f>IF(A25="","",IF(OR(UPPER(F25)="ALTA",UPPER(F25)="P1",F25=1),"Alta",IF(OR(UPPER(F25)="MEDIA",UPPER(F25)="P2",F25=2),"Media",IF(OR(UPPER(F25)="BAJA",UPPER(F25)="P3",F25=3),"Baja","Media"))))</f>
        <v/>
      </c>
      <c r="H25" s="6">
        <f>IF(A25="","",'1_Datos'!G26)</f>
        <v/>
      </c>
      <c r="I25" s="6">
        <f>IF(A25="","",IF(G25="Alta",'2_Parametros'!$B$7,IF(G25="Media",'2_Parametros'!$B$8,'2_Parametros'!$B$9)))</f>
        <v/>
      </c>
      <c r="J25" s="6">
        <f>IF(A25="","",IF(E25&lt;&gt;"",E25-D25+1,IF(D25="","",'2_Parametros'!$B$24-D25+1)))</f>
        <v/>
      </c>
      <c r="K25" s="6">
        <f>IF(A25="","",IF(G25="Alta",'2_Parametros'!$B$11,IF(G25="Media",'2_Parametros'!$B$12,'2_Parametros'!$B$13)))</f>
        <v/>
      </c>
      <c r="L25" s="6">
        <f>IF(A25="","",IF(AND(UPPER(H25)="COMPLETADA",E25&lt;&gt;"",J25&lt;=K25),1,0))</f>
        <v/>
      </c>
      <c r="M25" s="15">
        <f>IF(A25="","",IF(OR(J25="",J25=0),0,MIN(1,K25/J25)))</f>
        <v/>
      </c>
      <c r="N25" s="6">
        <f>IF(A25="","",IF(OR(AND(E25&lt;&gt;"",E25&gt;='2_Parametros'!$B$23,E25&lt;='2_Parametros'!$B$24),AND(D25&lt;&gt;"",D25&gt;='2_Parametros'!$B$23,D25&lt;='2_Parametros'!$B$24)),1,0))</f>
        <v/>
      </c>
      <c r="O25" s="6">
        <f>IF(A25="","",IF(AND(UPPER(H25)="COMPLETADA",E25&lt;&gt;""),1,0))</f>
        <v/>
      </c>
      <c r="P25" s="6">
        <f>IF(A25="","",IF(AND(UPPER(H25)&lt;&gt;"COMPLETADA",UPPER(H25)&lt;&gt;"CANCELADA",D25&lt;&gt;"",D25+K25-1&lt;'2_Parametros'!$B$24),1,0))</f>
        <v/>
      </c>
      <c r="Q25" s="6">
        <f>IF(A25="","",IF(OR(AND(O25=1,E25&gt;='2_Parametros'!$B$23,E25&lt;='2_Parametros'!$B$24),AND('2_Parametros'!$B$21=1,P25=1,N25=1)),1,0))</f>
        <v/>
      </c>
      <c r="R25" s="6">
        <f>IF(A25="","",IF(Q25=1,I25*L25,0))</f>
        <v/>
      </c>
      <c r="S25" s="6">
        <f>IF(A25="","",IF(Q25=1,I25*M25,0))</f>
        <v/>
      </c>
    </row>
    <row r="26">
      <c r="A26" s="6">
        <f>IF('1_Datos'!A27="","",'1_Datos'!A27)</f>
        <v/>
      </c>
      <c r="B26" s="6">
        <f>IF(A26="","",'1_Datos'!B27)</f>
        <v/>
      </c>
      <c r="C26" s="6">
        <f>IF(A26="","",'1_Datos'!C27)</f>
        <v/>
      </c>
      <c r="D26" s="7">
        <f>IF(A26="","",'1_Datos'!D27)</f>
        <v/>
      </c>
      <c r="E26" s="7">
        <f>IF(A26="","",IF('1_Datos'!E27="","",'1_Datos'!E27))</f>
        <v/>
      </c>
      <c r="F26" s="6">
        <f>IF(A26="","",'1_Datos'!F27)</f>
        <v/>
      </c>
      <c r="G26" s="6">
        <f>IF(A26="","",IF(OR(UPPER(F26)="ALTA",UPPER(F26)="P1",F26=1),"Alta",IF(OR(UPPER(F26)="MEDIA",UPPER(F26)="P2",F26=2),"Media",IF(OR(UPPER(F26)="BAJA",UPPER(F26)="P3",F26=3),"Baja","Media"))))</f>
        <v/>
      </c>
      <c r="H26" s="6">
        <f>IF(A26="","",'1_Datos'!G27)</f>
        <v/>
      </c>
      <c r="I26" s="6">
        <f>IF(A26="","",IF(G26="Alta",'2_Parametros'!$B$7,IF(G26="Media",'2_Parametros'!$B$8,'2_Parametros'!$B$9)))</f>
        <v/>
      </c>
      <c r="J26" s="6">
        <f>IF(A26="","",IF(E26&lt;&gt;"",E26-D26+1,IF(D26="","",'2_Parametros'!$B$24-D26+1)))</f>
        <v/>
      </c>
      <c r="K26" s="6">
        <f>IF(A26="","",IF(G26="Alta",'2_Parametros'!$B$11,IF(G26="Media",'2_Parametros'!$B$12,'2_Parametros'!$B$13)))</f>
        <v/>
      </c>
      <c r="L26" s="6">
        <f>IF(A26="","",IF(AND(UPPER(H26)="COMPLETADA",E26&lt;&gt;"",J26&lt;=K26),1,0))</f>
        <v/>
      </c>
      <c r="M26" s="15">
        <f>IF(A26="","",IF(OR(J26="",J26=0),0,MIN(1,K26/J26)))</f>
        <v/>
      </c>
      <c r="N26" s="6">
        <f>IF(A26="","",IF(OR(AND(E26&lt;&gt;"",E26&gt;='2_Parametros'!$B$23,E26&lt;='2_Parametros'!$B$24),AND(D26&lt;&gt;"",D26&gt;='2_Parametros'!$B$23,D26&lt;='2_Parametros'!$B$24)),1,0))</f>
        <v/>
      </c>
      <c r="O26" s="6">
        <f>IF(A26="","",IF(AND(UPPER(H26)="COMPLETADA",E26&lt;&gt;""),1,0))</f>
        <v/>
      </c>
      <c r="P26" s="6">
        <f>IF(A26="","",IF(AND(UPPER(H26)&lt;&gt;"COMPLETADA",UPPER(H26)&lt;&gt;"CANCELADA",D26&lt;&gt;"",D26+K26-1&lt;'2_Parametros'!$B$24),1,0))</f>
        <v/>
      </c>
      <c r="Q26" s="6">
        <f>IF(A26="","",IF(OR(AND(O26=1,E26&gt;='2_Parametros'!$B$23,E26&lt;='2_Parametros'!$B$24),AND('2_Parametros'!$B$21=1,P26=1,N26=1)),1,0))</f>
        <v/>
      </c>
      <c r="R26" s="6">
        <f>IF(A26="","",IF(Q26=1,I26*L26,0))</f>
        <v/>
      </c>
      <c r="S26" s="6">
        <f>IF(A26="","",IF(Q26=1,I26*M26,0))</f>
        <v/>
      </c>
    </row>
    <row r="27">
      <c r="A27" s="6">
        <f>IF('1_Datos'!A28="","",'1_Datos'!A28)</f>
        <v/>
      </c>
      <c r="B27" s="6">
        <f>IF(A27="","",'1_Datos'!B28)</f>
        <v/>
      </c>
      <c r="C27" s="6">
        <f>IF(A27="","",'1_Datos'!C28)</f>
        <v/>
      </c>
      <c r="D27" s="7">
        <f>IF(A27="","",'1_Datos'!D28)</f>
        <v/>
      </c>
      <c r="E27" s="7">
        <f>IF(A27="","",IF('1_Datos'!E28="","",'1_Datos'!E28))</f>
        <v/>
      </c>
      <c r="F27" s="6">
        <f>IF(A27="","",'1_Datos'!F28)</f>
        <v/>
      </c>
      <c r="G27" s="6">
        <f>IF(A27="","",IF(OR(UPPER(F27)="ALTA",UPPER(F27)="P1",F27=1),"Alta",IF(OR(UPPER(F27)="MEDIA",UPPER(F27)="P2",F27=2),"Media",IF(OR(UPPER(F27)="BAJA",UPPER(F27)="P3",F27=3),"Baja","Media"))))</f>
        <v/>
      </c>
      <c r="H27" s="6">
        <f>IF(A27="","",'1_Datos'!G28)</f>
        <v/>
      </c>
      <c r="I27" s="6">
        <f>IF(A27="","",IF(G27="Alta",'2_Parametros'!$B$7,IF(G27="Media",'2_Parametros'!$B$8,'2_Parametros'!$B$9)))</f>
        <v/>
      </c>
      <c r="J27" s="6">
        <f>IF(A27="","",IF(E27&lt;&gt;"",E27-D27+1,IF(D27="","",'2_Parametros'!$B$24-D27+1)))</f>
        <v/>
      </c>
      <c r="K27" s="6">
        <f>IF(A27="","",IF(G27="Alta",'2_Parametros'!$B$11,IF(G27="Media",'2_Parametros'!$B$12,'2_Parametros'!$B$13)))</f>
        <v/>
      </c>
      <c r="L27" s="6">
        <f>IF(A27="","",IF(AND(UPPER(H27)="COMPLETADA",E27&lt;&gt;"",J27&lt;=K27),1,0))</f>
        <v/>
      </c>
      <c r="M27" s="15">
        <f>IF(A27="","",IF(OR(J27="",J27=0),0,MIN(1,K27/J27)))</f>
        <v/>
      </c>
      <c r="N27" s="6">
        <f>IF(A27="","",IF(OR(AND(E27&lt;&gt;"",E27&gt;='2_Parametros'!$B$23,E27&lt;='2_Parametros'!$B$24),AND(D27&lt;&gt;"",D27&gt;='2_Parametros'!$B$23,D27&lt;='2_Parametros'!$B$24)),1,0))</f>
        <v/>
      </c>
      <c r="O27" s="6">
        <f>IF(A27="","",IF(AND(UPPER(H27)="COMPLETADA",E27&lt;&gt;""),1,0))</f>
        <v/>
      </c>
      <c r="P27" s="6">
        <f>IF(A27="","",IF(AND(UPPER(H27)&lt;&gt;"COMPLETADA",UPPER(H27)&lt;&gt;"CANCELADA",D27&lt;&gt;"",D27+K27-1&lt;'2_Parametros'!$B$24),1,0))</f>
        <v/>
      </c>
      <c r="Q27" s="6">
        <f>IF(A27="","",IF(OR(AND(O27=1,E27&gt;='2_Parametros'!$B$23,E27&lt;='2_Parametros'!$B$24),AND('2_Parametros'!$B$21=1,P27=1,N27=1)),1,0))</f>
        <v/>
      </c>
      <c r="R27" s="6">
        <f>IF(A27="","",IF(Q27=1,I27*L27,0))</f>
        <v/>
      </c>
      <c r="S27" s="6">
        <f>IF(A27="","",IF(Q27=1,I27*M27,0))</f>
        <v/>
      </c>
    </row>
    <row r="28">
      <c r="A28" s="6">
        <f>IF('1_Datos'!A29="","",'1_Datos'!A29)</f>
        <v/>
      </c>
      <c r="B28" s="6">
        <f>IF(A28="","",'1_Datos'!B29)</f>
        <v/>
      </c>
      <c r="C28" s="6">
        <f>IF(A28="","",'1_Datos'!C29)</f>
        <v/>
      </c>
      <c r="D28" s="7">
        <f>IF(A28="","",'1_Datos'!D29)</f>
        <v/>
      </c>
      <c r="E28" s="7">
        <f>IF(A28="","",IF('1_Datos'!E29="","",'1_Datos'!E29))</f>
        <v/>
      </c>
      <c r="F28" s="6">
        <f>IF(A28="","",'1_Datos'!F29)</f>
        <v/>
      </c>
      <c r="G28" s="6">
        <f>IF(A28="","",IF(OR(UPPER(F28)="ALTA",UPPER(F28)="P1",F28=1),"Alta",IF(OR(UPPER(F28)="MEDIA",UPPER(F28)="P2",F28=2),"Media",IF(OR(UPPER(F28)="BAJA",UPPER(F28)="P3",F28=3),"Baja","Media"))))</f>
        <v/>
      </c>
      <c r="H28" s="6">
        <f>IF(A28="","",'1_Datos'!G29)</f>
        <v/>
      </c>
      <c r="I28" s="6">
        <f>IF(A28="","",IF(G28="Alta",'2_Parametros'!$B$7,IF(G28="Media",'2_Parametros'!$B$8,'2_Parametros'!$B$9)))</f>
        <v/>
      </c>
      <c r="J28" s="6">
        <f>IF(A28="","",IF(E28&lt;&gt;"",E28-D28+1,IF(D28="","",'2_Parametros'!$B$24-D28+1)))</f>
        <v/>
      </c>
      <c r="K28" s="6">
        <f>IF(A28="","",IF(G28="Alta",'2_Parametros'!$B$11,IF(G28="Media",'2_Parametros'!$B$12,'2_Parametros'!$B$13)))</f>
        <v/>
      </c>
      <c r="L28" s="6">
        <f>IF(A28="","",IF(AND(UPPER(H28)="COMPLETADA",E28&lt;&gt;"",J28&lt;=K28),1,0))</f>
        <v/>
      </c>
      <c r="M28" s="15">
        <f>IF(A28="","",IF(OR(J28="",J28=0),0,MIN(1,K28/J28)))</f>
        <v/>
      </c>
      <c r="N28" s="6">
        <f>IF(A28="","",IF(OR(AND(E28&lt;&gt;"",E28&gt;='2_Parametros'!$B$23,E28&lt;='2_Parametros'!$B$24),AND(D28&lt;&gt;"",D28&gt;='2_Parametros'!$B$23,D28&lt;='2_Parametros'!$B$24)),1,0))</f>
        <v/>
      </c>
      <c r="O28" s="6">
        <f>IF(A28="","",IF(AND(UPPER(H28)="COMPLETADA",E28&lt;&gt;""),1,0))</f>
        <v/>
      </c>
      <c r="P28" s="6">
        <f>IF(A28="","",IF(AND(UPPER(H28)&lt;&gt;"COMPLETADA",UPPER(H28)&lt;&gt;"CANCELADA",D28&lt;&gt;"",D28+K28-1&lt;'2_Parametros'!$B$24),1,0))</f>
        <v/>
      </c>
      <c r="Q28" s="6">
        <f>IF(A28="","",IF(OR(AND(O28=1,E28&gt;='2_Parametros'!$B$23,E28&lt;='2_Parametros'!$B$24),AND('2_Parametros'!$B$21=1,P28=1,N28=1)),1,0))</f>
        <v/>
      </c>
      <c r="R28" s="6">
        <f>IF(A28="","",IF(Q28=1,I28*L28,0))</f>
        <v/>
      </c>
      <c r="S28" s="6">
        <f>IF(A28="","",IF(Q28=1,I28*M28,0))</f>
        <v/>
      </c>
    </row>
    <row r="29">
      <c r="A29" s="6">
        <f>IF('1_Datos'!A30="","",'1_Datos'!A30)</f>
        <v/>
      </c>
      <c r="B29" s="6">
        <f>IF(A29="","",'1_Datos'!B30)</f>
        <v/>
      </c>
      <c r="C29" s="6">
        <f>IF(A29="","",'1_Datos'!C30)</f>
        <v/>
      </c>
      <c r="D29" s="7">
        <f>IF(A29="","",'1_Datos'!D30)</f>
        <v/>
      </c>
      <c r="E29" s="7">
        <f>IF(A29="","",IF('1_Datos'!E30="","",'1_Datos'!E30))</f>
        <v/>
      </c>
      <c r="F29" s="6">
        <f>IF(A29="","",'1_Datos'!F30)</f>
        <v/>
      </c>
      <c r="G29" s="6">
        <f>IF(A29="","",IF(OR(UPPER(F29)="ALTA",UPPER(F29)="P1",F29=1),"Alta",IF(OR(UPPER(F29)="MEDIA",UPPER(F29)="P2",F29=2),"Media",IF(OR(UPPER(F29)="BAJA",UPPER(F29)="P3",F29=3),"Baja","Media"))))</f>
        <v/>
      </c>
      <c r="H29" s="6">
        <f>IF(A29="","",'1_Datos'!G30)</f>
        <v/>
      </c>
      <c r="I29" s="6">
        <f>IF(A29="","",IF(G29="Alta",'2_Parametros'!$B$7,IF(G29="Media",'2_Parametros'!$B$8,'2_Parametros'!$B$9)))</f>
        <v/>
      </c>
      <c r="J29" s="6">
        <f>IF(A29="","",IF(E29&lt;&gt;"",E29-D29+1,IF(D29="","",'2_Parametros'!$B$24-D29+1)))</f>
        <v/>
      </c>
      <c r="K29" s="6">
        <f>IF(A29="","",IF(G29="Alta",'2_Parametros'!$B$11,IF(G29="Media",'2_Parametros'!$B$12,'2_Parametros'!$B$13)))</f>
        <v/>
      </c>
      <c r="L29" s="6">
        <f>IF(A29="","",IF(AND(UPPER(H29)="COMPLETADA",E29&lt;&gt;"",J29&lt;=K29),1,0))</f>
        <v/>
      </c>
      <c r="M29" s="15">
        <f>IF(A29="","",IF(OR(J29="",J29=0),0,MIN(1,K29/J29)))</f>
        <v/>
      </c>
      <c r="N29" s="6">
        <f>IF(A29="","",IF(OR(AND(E29&lt;&gt;"",E29&gt;='2_Parametros'!$B$23,E29&lt;='2_Parametros'!$B$24),AND(D29&lt;&gt;"",D29&gt;='2_Parametros'!$B$23,D29&lt;='2_Parametros'!$B$24)),1,0))</f>
        <v/>
      </c>
      <c r="O29" s="6">
        <f>IF(A29="","",IF(AND(UPPER(H29)="COMPLETADA",E29&lt;&gt;""),1,0))</f>
        <v/>
      </c>
      <c r="P29" s="6">
        <f>IF(A29="","",IF(AND(UPPER(H29)&lt;&gt;"COMPLETADA",UPPER(H29)&lt;&gt;"CANCELADA",D29&lt;&gt;"",D29+K29-1&lt;'2_Parametros'!$B$24),1,0))</f>
        <v/>
      </c>
      <c r="Q29" s="6">
        <f>IF(A29="","",IF(OR(AND(O29=1,E29&gt;='2_Parametros'!$B$23,E29&lt;='2_Parametros'!$B$24),AND('2_Parametros'!$B$21=1,P29=1,N29=1)),1,0))</f>
        <v/>
      </c>
      <c r="R29" s="6">
        <f>IF(A29="","",IF(Q29=1,I29*L29,0))</f>
        <v/>
      </c>
      <c r="S29" s="6">
        <f>IF(A29="","",IF(Q29=1,I29*M29,0))</f>
        <v/>
      </c>
    </row>
    <row r="30">
      <c r="A30" s="6">
        <f>IF('1_Datos'!A31="","",'1_Datos'!A31)</f>
        <v/>
      </c>
      <c r="B30" s="6">
        <f>IF(A30="","",'1_Datos'!B31)</f>
        <v/>
      </c>
      <c r="C30" s="6">
        <f>IF(A30="","",'1_Datos'!C31)</f>
        <v/>
      </c>
      <c r="D30" s="7">
        <f>IF(A30="","",'1_Datos'!D31)</f>
        <v/>
      </c>
      <c r="E30" s="7">
        <f>IF(A30="","",IF('1_Datos'!E31="","",'1_Datos'!E31))</f>
        <v/>
      </c>
      <c r="F30" s="6">
        <f>IF(A30="","",'1_Datos'!F31)</f>
        <v/>
      </c>
      <c r="G30" s="6">
        <f>IF(A30="","",IF(OR(UPPER(F30)="ALTA",UPPER(F30)="P1",F30=1),"Alta",IF(OR(UPPER(F30)="MEDIA",UPPER(F30)="P2",F30=2),"Media",IF(OR(UPPER(F30)="BAJA",UPPER(F30)="P3",F30=3),"Baja","Media"))))</f>
        <v/>
      </c>
      <c r="H30" s="6">
        <f>IF(A30="","",'1_Datos'!G31)</f>
        <v/>
      </c>
      <c r="I30" s="6">
        <f>IF(A30="","",IF(G30="Alta",'2_Parametros'!$B$7,IF(G30="Media",'2_Parametros'!$B$8,'2_Parametros'!$B$9)))</f>
        <v/>
      </c>
      <c r="J30" s="6">
        <f>IF(A30="","",IF(E30&lt;&gt;"",E30-D30+1,IF(D30="","",'2_Parametros'!$B$24-D30+1)))</f>
        <v/>
      </c>
      <c r="K30" s="6">
        <f>IF(A30="","",IF(G30="Alta",'2_Parametros'!$B$11,IF(G30="Media",'2_Parametros'!$B$12,'2_Parametros'!$B$13)))</f>
        <v/>
      </c>
      <c r="L30" s="6">
        <f>IF(A30="","",IF(AND(UPPER(H30)="COMPLETADA",E30&lt;&gt;"",J30&lt;=K30),1,0))</f>
        <v/>
      </c>
      <c r="M30" s="15">
        <f>IF(A30="","",IF(OR(J30="",J30=0),0,MIN(1,K30/J30)))</f>
        <v/>
      </c>
      <c r="N30" s="6">
        <f>IF(A30="","",IF(OR(AND(E30&lt;&gt;"",E30&gt;='2_Parametros'!$B$23,E30&lt;='2_Parametros'!$B$24),AND(D30&lt;&gt;"",D30&gt;='2_Parametros'!$B$23,D30&lt;='2_Parametros'!$B$24)),1,0))</f>
        <v/>
      </c>
      <c r="O30" s="6">
        <f>IF(A30="","",IF(AND(UPPER(H30)="COMPLETADA",E30&lt;&gt;""),1,0))</f>
        <v/>
      </c>
      <c r="P30" s="6">
        <f>IF(A30="","",IF(AND(UPPER(H30)&lt;&gt;"COMPLETADA",UPPER(H30)&lt;&gt;"CANCELADA",D30&lt;&gt;"",D30+K30-1&lt;'2_Parametros'!$B$24),1,0))</f>
        <v/>
      </c>
      <c r="Q30" s="6">
        <f>IF(A30="","",IF(OR(AND(O30=1,E30&gt;='2_Parametros'!$B$23,E30&lt;='2_Parametros'!$B$24),AND('2_Parametros'!$B$21=1,P30=1,N30=1)),1,0))</f>
        <v/>
      </c>
      <c r="R30" s="6">
        <f>IF(A30="","",IF(Q30=1,I30*L30,0))</f>
        <v/>
      </c>
      <c r="S30" s="6">
        <f>IF(A30="","",IF(Q30=1,I30*M30,0))</f>
        <v/>
      </c>
    </row>
    <row r="31">
      <c r="A31" s="6">
        <f>IF('1_Datos'!A32="","",'1_Datos'!A32)</f>
        <v/>
      </c>
      <c r="B31" s="6">
        <f>IF(A31="","",'1_Datos'!B32)</f>
        <v/>
      </c>
      <c r="C31" s="6">
        <f>IF(A31="","",'1_Datos'!C32)</f>
        <v/>
      </c>
      <c r="D31" s="7">
        <f>IF(A31="","",'1_Datos'!D32)</f>
        <v/>
      </c>
      <c r="E31" s="7">
        <f>IF(A31="","",IF('1_Datos'!E32="","",'1_Datos'!E32))</f>
        <v/>
      </c>
      <c r="F31" s="6">
        <f>IF(A31="","",'1_Datos'!F32)</f>
        <v/>
      </c>
      <c r="G31" s="6">
        <f>IF(A31="","",IF(OR(UPPER(F31)="ALTA",UPPER(F31)="P1",F31=1),"Alta",IF(OR(UPPER(F31)="MEDIA",UPPER(F31)="P2",F31=2),"Media",IF(OR(UPPER(F31)="BAJA",UPPER(F31)="P3",F31=3),"Baja","Media"))))</f>
        <v/>
      </c>
      <c r="H31" s="6">
        <f>IF(A31="","",'1_Datos'!G32)</f>
        <v/>
      </c>
      <c r="I31" s="6">
        <f>IF(A31="","",IF(G31="Alta",'2_Parametros'!$B$7,IF(G31="Media",'2_Parametros'!$B$8,'2_Parametros'!$B$9)))</f>
        <v/>
      </c>
      <c r="J31" s="6">
        <f>IF(A31="","",IF(E31&lt;&gt;"",E31-D31+1,IF(D31="","",'2_Parametros'!$B$24-D31+1)))</f>
        <v/>
      </c>
      <c r="K31" s="6">
        <f>IF(A31="","",IF(G31="Alta",'2_Parametros'!$B$11,IF(G31="Media",'2_Parametros'!$B$12,'2_Parametros'!$B$13)))</f>
        <v/>
      </c>
      <c r="L31" s="6">
        <f>IF(A31="","",IF(AND(UPPER(H31)="COMPLETADA",E31&lt;&gt;"",J31&lt;=K31),1,0))</f>
        <v/>
      </c>
      <c r="M31" s="15">
        <f>IF(A31="","",IF(OR(J31="",J31=0),0,MIN(1,K31/J31)))</f>
        <v/>
      </c>
      <c r="N31" s="6">
        <f>IF(A31="","",IF(OR(AND(E31&lt;&gt;"",E31&gt;='2_Parametros'!$B$23,E31&lt;='2_Parametros'!$B$24),AND(D31&lt;&gt;"",D31&gt;='2_Parametros'!$B$23,D31&lt;='2_Parametros'!$B$24)),1,0))</f>
        <v/>
      </c>
      <c r="O31" s="6">
        <f>IF(A31="","",IF(AND(UPPER(H31)="COMPLETADA",E31&lt;&gt;""),1,0))</f>
        <v/>
      </c>
      <c r="P31" s="6">
        <f>IF(A31="","",IF(AND(UPPER(H31)&lt;&gt;"COMPLETADA",UPPER(H31)&lt;&gt;"CANCELADA",D31&lt;&gt;"",D31+K31-1&lt;'2_Parametros'!$B$24),1,0))</f>
        <v/>
      </c>
      <c r="Q31" s="6">
        <f>IF(A31="","",IF(OR(AND(O31=1,E31&gt;='2_Parametros'!$B$23,E31&lt;='2_Parametros'!$B$24),AND('2_Parametros'!$B$21=1,P31=1,N31=1)),1,0))</f>
        <v/>
      </c>
      <c r="R31" s="6">
        <f>IF(A31="","",IF(Q31=1,I31*L31,0))</f>
        <v/>
      </c>
      <c r="S31" s="6">
        <f>IF(A31="","",IF(Q31=1,I31*M31,0))</f>
        <v/>
      </c>
    </row>
    <row r="32">
      <c r="A32" s="6">
        <f>IF('1_Datos'!A33="","",'1_Datos'!A33)</f>
        <v/>
      </c>
      <c r="B32" s="6">
        <f>IF(A32="","",'1_Datos'!B33)</f>
        <v/>
      </c>
      <c r="C32" s="6">
        <f>IF(A32="","",'1_Datos'!C33)</f>
        <v/>
      </c>
      <c r="D32" s="7">
        <f>IF(A32="","",'1_Datos'!D33)</f>
        <v/>
      </c>
      <c r="E32" s="7">
        <f>IF(A32="","",IF('1_Datos'!E33="","",'1_Datos'!E33))</f>
        <v/>
      </c>
      <c r="F32" s="6">
        <f>IF(A32="","",'1_Datos'!F33)</f>
        <v/>
      </c>
      <c r="G32" s="6">
        <f>IF(A32="","",IF(OR(UPPER(F32)="ALTA",UPPER(F32)="P1",F32=1),"Alta",IF(OR(UPPER(F32)="MEDIA",UPPER(F32)="P2",F32=2),"Media",IF(OR(UPPER(F32)="BAJA",UPPER(F32)="P3",F32=3),"Baja","Media"))))</f>
        <v/>
      </c>
      <c r="H32" s="6">
        <f>IF(A32="","",'1_Datos'!G33)</f>
        <v/>
      </c>
      <c r="I32" s="6">
        <f>IF(A32="","",IF(G32="Alta",'2_Parametros'!$B$7,IF(G32="Media",'2_Parametros'!$B$8,'2_Parametros'!$B$9)))</f>
        <v/>
      </c>
      <c r="J32" s="6">
        <f>IF(A32="","",IF(E32&lt;&gt;"",E32-D32+1,IF(D32="","",'2_Parametros'!$B$24-D32+1)))</f>
        <v/>
      </c>
      <c r="K32" s="6">
        <f>IF(A32="","",IF(G32="Alta",'2_Parametros'!$B$11,IF(G32="Media",'2_Parametros'!$B$12,'2_Parametros'!$B$13)))</f>
        <v/>
      </c>
      <c r="L32" s="6">
        <f>IF(A32="","",IF(AND(UPPER(H32)="COMPLETADA",E32&lt;&gt;"",J32&lt;=K32),1,0))</f>
        <v/>
      </c>
      <c r="M32" s="15">
        <f>IF(A32="","",IF(OR(J32="",J32=0),0,MIN(1,K32/J32)))</f>
        <v/>
      </c>
      <c r="N32" s="6">
        <f>IF(A32="","",IF(OR(AND(E32&lt;&gt;"",E32&gt;='2_Parametros'!$B$23,E32&lt;='2_Parametros'!$B$24),AND(D32&lt;&gt;"",D32&gt;='2_Parametros'!$B$23,D32&lt;='2_Parametros'!$B$24)),1,0))</f>
        <v/>
      </c>
      <c r="O32" s="6">
        <f>IF(A32="","",IF(AND(UPPER(H32)="COMPLETADA",E32&lt;&gt;""),1,0))</f>
        <v/>
      </c>
      <c r="P32" s="6">
        <f>IF(A32="","",IF(AND(UPPER(H32)&lt;&gt;"COMPLETADA",UPPER(H32)&lt;&gt;"CANCELADA",D32&lt;&gt;"",D32+K32-1&lt;'2_Parametros'!$B$24),1,0))</f>
        <v/>
      </c>
      <c r="Q32" s="6">
        <f>IF(A32="","",IF(OR(AND(O32=1,E32&gt;='2_Parametros'!$B$23,E32&lt;='2_Parametros'!$B$24),AND('2_Parametros'!$B$21=1,P32=1,N32=1)),1,0))</f>
        <v/>
      </c>
      <c r="R32" s="6">
        <f>IF(A32="","",IF(Q32=1,I32*L32,0))</f>
        <v/>
      </c>
      <c r="S32" s="6">
        <f>IF(A32="","",IF(Q32=1,I32*M32,0))</f>
        <v/>
      </c>
    </row>
    <row r="33">
      <c r="A33" s="6">
        <f>IF('1_Datos'!A34="","",'1_Datos'!A34)</f>
        <v/>
      </c>
      <c r="B33" s="6">
        <f>IF(A33="","",'1_Datos'!B34)</f>
        <v/>
      </c>
      <c r="C33" s="6">
        <f>IF(A33="","",'1_Datos'!C34)</f>
        <v/>
      </c>
      <c r="D33" s="7">
        <f>IF(A33="","",'1_Datos'!D34)</f>
        <v/>
      </c>
      <c r="E33" s="7">
        <f>IF(A33="","",IF('1_Datos'!E34="","",'1_Datos'!E34))</f>
        <v/>
      </c>
      <c r="F33" s="6">
        <f>IF(A33="","",'1_Datos'!F34)</f>
        <v/>
      </c>
      <c r="G33" s="6">
        <f>IF(A33="","",IF(OR(UPPER(F33)="ALTA",UPPER(F33)="P1",F33=1),"Alta",IF(OR(UPPER(F33)="MEDIA",UPPER(F33)="P2",F33=2),"Media",IF(OR(UPPER(F33)="BAJA",UPPER(F33)="P3",F33=3),"Baja","Media"))))</f>
        <v/>
      </c>
      <c r="H33" s="6">
        <f>IF(A33="","",'1_Datos'!G34)</f>
        <v/>
      </c>
      <c r="I33" s="6">
        <f>IF(A33="","",IF(G33="Alta",'2_Parametros'!$B$7,IF(G33="Media",'2_Parametros'!$B$8,'2_Parametros'!$B$9)))</f>
        <v/>
      </c>
      <c r="J33" s="6">
        <f>IF(A33="","",IF(E33&lt;&gt;"",E33-D33+1,IF(D33="","",'2_Parametros'!$B$24-D33+1)))</f>
        <v/>
      </c>
      <c r="K33" s="6">
        <f>IF(A33="","",IF(G33="Alta",'2_Parametros'!$B$11,IF(G33="Media",'2_Parametros'!$B$12,'2_Parametros'!$B$13)))</f>
        <v/>
      </c>
      <c r="L33" s="6">
        <f>IF(A33="","",IF(AND(UPPER(H33)="COMPLETADA",E33&lt;&gt;"",J33&lt;=K33),1,0))</f>
        <v/>
      </c>
      <c r="M33" s="15">
        <f>IF(A33="","",IF(OR(J33="",J33=0),0,MIN(1,K33/J33)))</f>
        <v/>
      </c>
      <c r="N33" s="6">
        <f>IF(A33="","",IF(OR(AND(E33&lt;&gt;"",E33&gt;='2_Parametros'!$B$23,E33&lt;='2_Parametros'!$B$24),AND(D33&lt;&gt;"",D33&gt;='2_Parametros'!$B$23,D33&lt;='2_Parametros'!$B$24)),1,0))</f>
        <v/>
      </c>
      <c r="O33" s="6">
        <f>IF(A33="","",IF(AND(UPPER(H33)="COMPLETADA",E33&lt;&gt;""),1,0))</f>
        <v/>
      </c>
      <c r="P33" s="6">
        <f>IF(A33="","",IF(AND(UPPER(H33)&lt;&gt;"COMPLETADA",UPPER(H33)&lt;&gt;"CANCELADA",D33&lt;&gt;"",D33+K33-1&lt;'2_Parametros'!$B$24),1,0))</f>
        <v/>
      </c>
      <c r="Q33" s="6">
        <f>IF(A33="","",IF(OR(AND(O33=1,E33&gt;='2_Parametros'!$B$23,E33&lt;='2_Parametros'!$B$24),AND('2_Parametros'!$B$21=1,P33=1,N33=1)),1,0))</f>
        <v/>
      </c>
      <c r="R33" s="6">
        <f>IF(A33="","",IF(Q33=1,I33*L33,0))</f>
        <v/>
      </c>
      <c r="S33" s="6">
        <f>IF(A33="","",IF(Q33=1,I33*M33,0))</f>
        <v/>
      </c>
    </row>
    <row r="34">
      <c r="A34" s="6">
        <f>IF('1_Datos'!A35="","",'1_Datos'!A35)</f>
        <v/>
      </c>
      <c r="B34" s="6">
        <f>IF(A34="","",'1_Datos'!B35)</f>
        <v/>
      </c>
      <c r="C34" s="6">
        <f>IF(A34="","",'1_Datos'!C35)</f>
        <v/>
      </c>
      <c r="D34" s="7">
        <f>IF(A34="","",'1_Datos'!D35)</f>
        <v/>
      </c>
      <c r="E34" s="7">
        <f>IF(A34="","",IF('1_Datos'!E35="","",'1_Datos'!E35))</f>
        <v/>
      </c>
      <c r="F34" s="6">
        <f>IF(A34="","",'1_Datos'!F35)</f>
        <v/>
      </c>
      <c r="G34" s="6">
        <f>IF(A34="","",IF(OR(UPPER(F34)="ALTA",UPPER(F34)="P1",F34=1),"Alta",IF(OR(UPPER(F34)="MEDIA",UPPER(F34)="P2",F34=2),"Media",IF(OR(UPPER(F34)="BAJA",UPPER(F34)="P3",F34=3),"Baja","Media"))))</f>
        <v/>
      </c>
      <c r="H34" s="6">
        <f>IF(A34="","",'1_Datos'!G35)</f>
        <v/>
      </c>
      <c r="I34" s="6">
        <f>IF(A34="","",IF(G34="Alta",'2_Parametros'!$B$7,IF(G34="Media",'2_Parametros'!$B$8,'2_Parametros'!$B$9)))</f>
        <v/>
      </c>
      <c r="J34" s="6">
        <f>IF(A34="","",IF(E34&lt;&gt;"",E34-D34+1,IF(D34="","",'2_Parametros'!$B$24-D34+1)))</f>
        <v/>
      </c>
      <c r="K34" s="6">
        <f>IF(A34="","",IF(G34="Alta",'2_Parametros'!$B$11,IF(G34="Media",'2_Parametros'!$B$12,'2_Parametros'!$B$13)))</f>
        <v/>
      </c>
      <c r="L34" s="6">
        <f>IF(A34="","",IF(AND(UPPER(H34)="COMPLETADA",E34&lt;&gt;"",J34&lt;=K34),1,0))</f>
        <v/>
      </c>
      <c r="M34" s="15">
        <f>IF(A34="","",IF(OR(J34="",J34=0),0,MIN(1,K34/J34)))</f>
        <v/>
      </c>
      <c r="N34" s="6">
        <f>IF(A34="","",IF(OR(AND(E34&lt;&gt;"",E34&gt;='2_Parametros'!$B$23,E34&lt;='2_Parametros'!$B$24),AND(D34&lt;&gt;"",D34&gt;='2_Parametros'!$B$23,D34&lt;='2_Parametros'!$B$24)),1,0))</f>
        <v/>
      </c>
      <c r="O34" s="6">
        <f>IF(A34="","",IF(AND(UPPER(H34)="COMPLETADA",E34&lt;&gt;""),1,0))</f>
        <v/>
      </c>
      <c r="P34" s="6">
        <f>IF(A34="","",IF(AND(UPPER(H34)&lt;&gt;"COMPLETADA",UPPER(H34)&lt;&gt;"CANCELADA",D34&lt;&gt;"",D34+K34-1&lt;'2_Parametros'!$B$24),1,0))</f>
        <v/>
      </c>
      <c r="Q34" s="6">
        <f>IF(A34="","",IF(OR(AND(O34=1,E34&gt;='2_Parametros'!$B$23,E34&lt;='2_Parametros'!$B$24),AND('2_Parametros'!$B$21=1,P34=1,N34=1)),1,0))</f>
        <v/>
      </c>
      <c r="R34" s="6">
        <f>IF(A34="","",IF(Q34=1,I34*L34,0))</f>
        <v/>
      </c>
      <c r="S34" s="6">
        <f>IF(A34="","",IF(Q34=1,I34*M34,0))</f>
        <v/>
      </c>
    </row>
    <row r="35">
      <c r="A35" s="6">
        <f>IF('1_Datos'!A36="","",'1_Datos'!A36)</f>
        <v/>
      </c>
      <c r="B35" s="6">
        <f>IF(A35="","",'1_Datos'!B36)</f>
        <v/>
      </c>
      <c r="C35" s="6">
        <f>IF(A35="","",'1_Datos'!C36)</f>
        <v/>
      </c>
      <c r="D35" s="7">
        <f>IF(A35="","",'1_Datos'!D36)</f>
        <v/>
      </c>
      <c r="E35" s="7">
        <f>IF(A35="","",IF('1_Datos'!E36="","",'1_Datos'!E36))</f>
        <v/>
      </c>
      <c r="F35" s="6">
        <f>IF(A35="","",'1_Datos'!F36)</f>
        <v/>
      </c>
      <c r="G35" s="6">
        <f>IF(A35="","",IF(OR(UPPER(F35)="ALTA",UPPER(F35)="P1",F35=1),"Alta",IF(OR(UPPER(F35)="MEDIA",UPPER(F35)="P2",F35=2),"Media",IF(OR(UPPER(F35)="BAJA",UPPER(F35)="P3",F35=3),"Baja","Media"))))</f>
        <v/>
      </c>
      <c r="H35" s="6">
        <f>IF(A35="","",'1_Datos'!G36)</f>
        <v/>
      </c>
      <c r="I35" s="6">
        <f>IF(A35="","",IF(G35="Alta",'2_Parametros'!$B$7,IF(G35="Media",'2_Parametros'!$B$8,'2_Parametros'!$B$9)))</f>
        <v/>
      </c>
      <c r="J35" s="6">
        <f>IF(A35="","",IF(E35&lt;&gt;"",E35-D35+1,IF(D35="","",'2_Parametros'!$B$24-D35+1)))</f>
        <v/>
      </c>
      <c r="K35" s="6">
        <f>IF(A35="","",IF(G35="Alta",'2_Parametros'!$B$11,IF(G35="Media",'2_Parametros'!$B$12,'2_Parametros'!$B$13)))</f>
        <v/>
      </c>
      <c r="L35" s="6">
        <f>IF(A35="","",IF(AND(UPPER(H35)="COMPLETADA",E35&lt;&gt;"",J35&lt;=K35),1,0))</f>
        <v/>
      </c>
      <c r="M35" s="15">
        <f>IF(A35="","",IF(OR(J35="",J35=0),0,MIN(1,K35/J35)))</f>
        <v/>
      </c>
      <c r="N35" s="6">
        <f>IF(A35="","",IF(OR(AND(E35&lt;&gt;"",E35&gt;='2_Parametros'!$B$23,E35&lt;='2_Parametros'!$B$24),AND(D35&lt;&gt;"",D35&gt;='2_Parametros'!$B$23,D35&lt;='2_Parametros'!$B$24)),1,0))</f>
        <v/>
      </c>
      <c r="O35" s="6">
        <f>IF(A35="","",IF(AND(UPPER(H35)="COMPLETADA",E35&lt;&gt;""),1,0))</f>
        <v/>
      </c>
      <c r="P35" s="6">
        <f>IF(A35="","",IF(AND(UPPER(H35)&lt;&gt;"COMPLETADA",UPPER(H35)&lt;&gt;"CANCELADA",D35&lt;&gt;"",D35+K35-1&lt;'2_Parametros'!$B$24),1,0))</f>
        <v/>
      </c>
      <c r="Q35" s="6">
        <f>IF(A35="","",IF(OR(AND(O35=1,E35&gt;='2_Parametros'!$B$23,E35&lt;='2_Parametros'!$B$24),AND('2_Parametros'!$B$21=1,P35=1,N35=1)),1,0))</f>
        <v/>
      </c>
      <c r="R35" s="6">
        <f>IF(A35="","",IF(Q35=1,I35*L35,0))</f>
        <v/>
      </c>
      <c r="S35" s="6">
        <f>IF(A35="","",IF(Q35=1,I35*M35,0))</f>
        <v/>
      </c>
    </row>
    <row r="36">
      <c r="A36" s="6">
        <f>IF('1_Datos'!A37="","",'1_Datos'!A37)</f>
        <v/>
      </c>
      <c r="B36" s="6">
        <f>IF(A36="","",'1_Datos'!B37)</f>
        <v/>
      </c>
      <c r="C36" s="6">
        <f>IF(A36="","",'1_Datos'!C37)</f>
        <v/>
      </c>
      <c r="D36" s="7">
        <f>IF(A36="","",'1_Datos'!D37)</f>
        <v/>
      </c>
      <c r="E36" s="7">
        <f>IF(A36="","",IF('1_Datos'!E37="","",'1_Datos'!E37))</f>
        <v/>
      </c>
      <c r="F36" s="6">
        <f>IF(A36="","",'1_Datos'!F37)</f>
        <v/>
      </c>
      <c r="G36" s="6">
        <f>IF(A36="","",IF(OR(UPPER(F36)="ALTA",UPPER(F36)="P1",F36=1),"Alta",IF(OR(UPPER(F36)="MEDIA",UPPER(F36)="P2",F36=2),"Media",IF(OR(UPPER(F36)="BAJA",UPPER(F36)="P3",F36=3),"Baja","Media"))))</f>
        <v/>
      </c>
      <c r="H36" s="6">
        <f>IF(A36="","",'1_Datos'!G37)</f>
        <v/>
      </c>
      <c r="I36" s="6">
        <f>IF(A36="","",IF(G36="Alta",'2_Parametros'!$B$7,IF(G36="Media",'2_Parametros'!$B$8,'2_Parametros'!$B$9)))</f>
        <v/>
      </c>
      <c r="J36" s="6">
        <f>IF(A36="","",IF(E36&lt;&gt;"",E36-D36+1,IF(D36="","",'2_Parametros'!$B$24-D36+1)))</f>
        <v/>
      </c>
      <c r="K36" s="6">
        <f>IF(A36="","",IF(G36="Alta",'2_Parametros'!$B$11,IF(G36="Media",'2_Parametros'!$B$12,'2_Parametros'!$B$13)))</f>
        <v/>
      </c>
      <c r="L36" s="6">
        <f>IF(A36="","",IF(AND(UPPER(H36)="COMPLETADA",E36&lt;&gt;"",J36&lt;=K36),1,0))</f>
        <v/>
      </c>
      <c r="M36" s="15">
        <f>IF(A36="","",IF(OR(J36="",J36=0),0,MIN(1,K36/J36)))</f>
        <v/>
      </c>
      <c r="N36" s="6">
        <f>IF(A36="","",IF(OR(AND(E36&lt;&gt;"",E36&gt;='2_Parametros'!$B$23,E36&lt;='2_Parametros'!$B$24),AND(D36&lt;&gt;"",D36&gt;='2_Parametros'!$B$23,D36&lt;='2_Parametros'!$B$24)),1,0))</f>
        <v/>
      </c>
      <c r="O36" s="6">
        <f>IF(A36="","",IF(AND(UPPER(H36)="COMPLETADA",E36&lt;&gt;""),1,0))</f>
        <v/>
      </c>
      <c r="P36" s="6">
        <f>IF(A36="","",IF(AND(UPPER(H36)&lt;&gt;"COMPLETADA",UPPER(H36)&lt;&gt;"CANCELADA",D36&lt;&gt;"",D36+K36-1&lt;'2_Parametros'!$B$24),1,0))</f>
        <v/>
      </c>
      <c r="Q36" s="6">
        <f>IF(A36="","",IF(OR(AND(O36=1,E36&gt;='2_Parametros'!$B$23,E36&lt;='2_Parametros'!$B$24),AND('2_Parametros'!$B$21=1,P36=1,N36=1)),1,0))</f>
        <v/>
      </c>
      <c r="R36" s="6">
        <f>IF(A36="","",IF(Q36=1,I36*L36,0))</f>
        <v/>
      </c>
      <c r="S36" s="6">
        <f>IF(A36="","",IF(Q36=1,I36*M36,0))</f>
        <v/>
      </c>
    </row>
    <row r="37">
      <c r="A37" s="6">
        <f>IF('1_Datos'!A38="","",'1_Datos'!A38)</f>
        <v/>
      </c>
      <c r="B37" s="6">
        <f>IF(A37="","",'1_Datos'!B38)</f>
        <v/>
      </c>
      <c r="C37" s="6">
        <f>IF(A37="","",'1_Datos'!C38)</f>
        <v/>
      </c>
      <c r="D37" s="7">
        <f>IF(A37="","",'1_Datos'!D38)</f>
        <v/>
      </c>
      <c r="E37" s="7">
        <f>IF(A37="","",IF('1_Datos'!E38="","",'1_Datos'!E38))</f>
        <v/>
      </c>
      <c r="F37" s="6">
        <f>IF(A37="","",'1_Datos'!F38)</f>
        <v/>
      </c>
      <c r="G37" s="6">
        <f>IF(A37="","",IF(OR(UPPER(F37)="ALTA",UPPER(F37)="P1",F37=1),"Alta",IF(OR(UPPER(F37)="MEDIA",UPPER(F37)="P2",F37=2),"Media",IF(OR(UPPER(F37)="BAJA",UPPER(F37)="P3",F37=3),"Baja","Media"))))</f>
        <v/>
      </c>
      <c r="H37" s="6">
        <f>IF(A37="","",'1_Datos'!G38)</f>
        <v/>
      </c>
      <c r="I37" s="6">
        <f>IF(A37="","",IF(G37="Alta",'2_Parametros'!$B$7,IF(G37="Media",'2_Parametros'!$B$8,'2_Parametros'!$B$9)))</f>
        <v/>
      </c>
      <c r="J37" s="6">
        <f>IF(A37="","",IF(E37&lt;&gt;"",E37-D37+1,IF(D37="","",'2_Parametros'!$B$24-D37+1)))</f>
        <v/>
      </c>
      <c r="K37" s="6">
        <f>IF(A37="","",IF(G37="Alta",'2_Parametros'!$B$11,IF(G37="Media",'2_Parametros'!$B$12,'2_Parametros'!$B$13)))</f>
        <v/>
      </c>
      <c r="L37" s="6">
        <f>IF(A37="","",IF(AND(UPPER(H37)="COMPLETADA",E37&lt;&gt;"",J37&lt;=K37),1,0))</f>
        <v/>
      </c>
      <c r="M37" s="15">
        <f>IF(A37="","",IF(OR(J37="",J37=0),0,MIN(1,K37/J37)))</f>
        <v/>
      </c>
      <c r="N37" s="6">
        <f>IF(A37="","",IF(OR(AND(E37&lt;&gt;"",E37&gt;='2_Parametros'!$B$23,E37&lt;='2_Parametros'!$B$24),AND(D37&lt;&gt;"",D37&gt;='2_Parametros'!$B$23,D37&lt;='2_Parametros'!$B$24)),1,0))</f>
        <v/>
      </c>
      <c r="O37" s="6">
        <f>IF(A37="","",IF(AND(UPPER(H37)="COMPLETADA",E37&lt;&gt;""),1,0))</f>
        <v/>
      </c>
      <c r="P37" s="6">
        <f>IF(A37="","",IF(AND(UPPER(H37)&lt;&gt;"COMPLETADA",UPPER(H37)&lt;&gt;"CANCELADA",D37&lt;&gt;"",D37+K37-1&lt;'2_Parametros'!$B$24),1,0))</f>
        <v/>
      </c>
      <c r="Q37" s="6">
        <f>IF(A37="","",IF(OR(AND(O37=1,E37&gt;='2_Parametros'!$B$23,E37&lt;='2_Parametros'!$B$24),AND('2_Parametros'!$B$21=1,P37=1,N37=1)),1,0))</f>
        <v/>
      </c>
      <c r="R37" s="6">
        <f>IF(A37="","",IF(Q37=1,I37*L37,0))</f>
        <v/>
      </c>
      <c r="S37" s="6">
        <f>IF(A37="","",IF(Q37=1,I37*M37,0))</f>
        <v/>
      </c>
    </row>
    <row r="38">
      <c r="A38" s="6">
        <f>IF('1_Datos'!A39="","",'1_Datos'!A39)</f>
        <v/>
      </c>
      <c r="B38" s="6">
        <f>IF(A38="","",'1_Datos'!B39)</f>
        <v/>
      </c>
      <c r="C38" s="6">
        <f>IF(A38="","",'1_Datos'!C39)</f>
        <v/>
      </c>
      <c r="D38" s="7">
        <f>IF(A38="","",'1_Datos'!D39)</f>
        <v/>
      </c>
      <c r="E38" s="7">
        <f>IF(A38="","",IF('1_Datos'!E39="","",'1_Datos'!E39))</f>
        <v/>
      </c>
      <c r="F38" s="6">
        <f>IF(A38="","",'1_Datos'!F39)</f>
        <v/>
      </c>
      <c r="G38" s="6">
        <f>IF(A38="","",IF(OR(UPPER(F38)="ALTA",UPPER(F38)="P1",F38=1),"Alta",IF(OR(UPPER(F38)="MEDIA",UPPER(F38)="P2",F38=2),"Media",IF(OR(UPPER(F38)="BAJA",UPPER(F38)="P3",F38=3),"Baja","Media"))))</f>
        <v/>
      </c>
      <c r="H38" s="6">
        <f>IF(A38="","",'1_Datos'!G39)</f>
        <v/>
      </c>
      <c r="I38" s="6">
        <f>IF(A38="","",IF(G38="Alta",'2_Parametros'!$B$7,IF(G38="Media",'2_Parametros'!$B$8,'2_Parametros'!$B$9)))</f>
        <v/>
      </c>
      <c r="J38" s="6">
        <f>IF(A38="","",IF(E38&lt;&gt;"",E38-D38+1,IF(D38="","",'2_Parametros'!$B$24-D38+1)))</f>
        <v/>
      </c>
      <c r="K38" s="6">
        <f>IF(A38="","",IF(G38="Alta",'2_Parametros'!$B$11,IF(G38="Media",'2_Parametros'!$B$12,'2_Parametros'!$B$13)))</f>
        <v/>
      </c>
      <c r="L38" s="6">
        <f>IF(A38="","",IF(AND(UPPER(H38)="COMPLETADA",E38&lt;&gt;"",J38&lt;=K38),1,0))</f>
        <v/>
      </c>
      <c r="M38" s="15">
        <f>IF(A38="","",IF(OR(J38="",J38=0),0,MIN(1,K38/J38)))</f>
        <v/>
      </c>
      <c r="N38" s="6">
        <f>IF(A38="","",IF(OR(AND(E38&lt;&gt;"",E38&gt;='2_Parametros'!$B$23,E38&lt;='2_Parametros'!$B$24),AND(D38&lt;&gt;"",D38&gt;='2_Parametros'!$B$23,D38&lt;='2_Parametros'!$B$24)),1,0))</f>
        <v/>
      </c>
      <c r="O38" s="6">
        <f>IF(A38="","",IF(AND(UPPER(H38)="COMPLETADA",E38&lt;&gt;""),1,0))</f>
        <v/>
      </c>
      <c r="P38" s="6">
        <f>IF(A38="","",IF(AND(UPPER(H38)&lt;&gt;"COMPLETADA",UPPER(H38)&lt;&gt;"CANCELADA",D38&lt;&gt;"",D38+K38-1&lt;'2_Parametros'!$B$24),1,0))</f>
        <v/>
      </c>
      <c r="Q38" s="6">
        <f>IF(A38="","",IF(OR(AND(O38=1,E38&gt;='2_Parametros'!$B$23,E38&lt;='2_Parametros'!$B$24),AND('2_Parametros'!$B$21=1,P38=1,N38=1)),1,0))</f>
        <v/>
      </c>
      <c r="R38" s="6">
        <f>IF(A38="","",IF(Q38=1,I38*L38,0))</f>
        <v/>
      </c>
      <c r="S38" s="6">
        <f>IF(A38="","",IF(Q38=1,I38*M38,0))</f>
        <v/>
      </c>
    </row>
    <row r="39">
      <c r="A39" s="6">
        <f>IF('1_Datos'!A40="","",'1_Datos'!A40)</f>
        <v/>
      </c>
      <c r="B39" s="6">
        <f>IF(A39="","",'1_Datos'!B40)</f>
        <v/>
      </c>
      <c r="C39" s="6">
        <f>IF(A39="","",'1_Datos'!C40)</f>
        <v/>
      </c>
      <c r="D39" s="7">
        <f>IF(A39="","",'1_Datos'!D40)</f>
        <v/>
      </c>
      <c r="E39" s="7">
        <f>IF(A39="","",IF('1_Datos'!E40="","",'1_Datos'!E40))</f>
        <v/>
      </c>
      <c r="F39" s="6">
        <f>IF(A39="","",'1_Datos'!F40)</f>
        <v/>
      </c>
      <c r="G39" s="6">
        <f>IF(A39="","",IF(OR(UPPER(F39)="ALTA",UPPER(F39)="P1",F39=1),"Alta",IF(OR(UPPER(F39)="MEDIA",UPPER(F39)="P2",F39=2),"Media",IF(OR(UPPER(F39)="BAJA",UPPER(F39)="P3",F39=3),"Baja","Media"))))</f>
        <v/>
      </c>
      <c r="H39" s="6">
        <f>IF(A39="","",'1_Datos'!G40)</f>
        <v/>
      </c>
      <c r="I39" s="6">
        <f>IF(A39="","",IF(G39="Alta",'2_Parametros'!$B$7,IF(G39="Media",'2_Parametros'!$B$8,'2_Parametros'!$B$9)))</f>
        <v/>
      </c>
      <c r="J39" s="6">
        <f>IF(A39="","",IF(E39&lt;&gt;"",E39-D39+1,IF(D39="","",'2_Parametros'!$B$24-D39+1)))</f>
        <v/>
      </c>
      <c r="K39" s="6">
        <f>IF(A39="","",IF(G39="Alta",'2_Parametros'!$B$11,IF(G39="Media",'2_Parametros'!$B$12,'2_Parametros'!$B$13)))</f>
        <v/>
      </c>
      <c r="L39" s="6">
        <f>IF(A39="","",IF(AND(UPPER(H39)="COMPLETADA",E39&lt;&gt;"",J39&lt;=K39),1,0))</f>
        <v/>
      </c>
      <c r="M39" s="15">
        <f>IF(A39="","",IF(OR(J39="",J39=0),0,MIN(1,K39/J39)))</f>
        <v/>
      </c>
      <c r="N39" s="6">
        <f>IF(A39="","",IF(OR(AND(E39&lt;&gt;"",E39&gt;='2_Parametros'!$B$23,E39&lt;='2_Parametros'!$B$24),AND(D39&lt;&gt;"",D39&gt;='2_Parametros'!$B$23,D39&lt;='2_Parametros'!$B$24)),1,0))</f>
        <v/>
      </c>
      <c r="O39" s="6">
        <f>IF(A39="","",IF(AND(UPPER(H39)="COMPLETADA",E39&lt;&gt;""),1,0))</f>
        <v/>
      </c>
      <c r="P39" s="6">
        <f>IF(A39="","",IF(AND(UPPER(H39)&lt;&gt;"COMPLETADA",UPPER(H39)&lt;&gt;"CANCELADA",D39&lt;&gt;"",D39+K39-1&lt;'2_Parametros'!$B$24),1,0))</f>
        <v/>
      </c>
      <c r="Q39" s="6">
        <f>IF(A39="","",IF(OR(AND(O39=1,E39&gt;='2_Parametros'!$B$23,E39&lt;='2_Parametros'!$B$24),AND('2_Parametros'!$B$21=1,P39=1,N39=1)),1,0))</f>
        <v/>
      </c>
      <c r="R39" s="6">
        <f>IF(A39="","",IF(Q39=1,I39*L39,0))</f>
        <v/>
      </c>
      <c r="S39" s="6">
        <f>IF(A39="","",IF(Q39=1,I39*M39,0))</f>
        <v/>
      </c>
    </row>
    <row r="40">
      <c r="A40" s="6">
        <f>IF('1_Datos'!A41="","",'1_Datos'!A41)</f>
        <v/>
      </c>
      <c r="B40" s="6">
        <f>IF(A40="","",'1_Datos'!B41)</f>
        <v/>
      </c>
      <c r="C40" s="6">
        <f>IF(A40="","",'1_Datos'!C41)</f>
        <v/>
      </c>
      <c r="D40" s="7">
        <f>IF(A40="","",'1_Datos'!D41)</f>
        <v/>
      </c>
      <c r="E40" s="7">
        <f>IF(A40="","",IF('1_Datos'!E41="","",'1_Datos'!E41))</f>
        <v/>
      </c>
      <c r="F40" s="6">
        <f>IF(A40="","",'1_Datos'!F41)</f>
        <v/>
      </c>
      <c r="G40" s="6">
        <f>IF(A40="","",IF(OR(UPPER(F40)="ALTA",UPPER(F40)="P1",F40=1),"Alta",IF(OR(UPPER(F40)="MEDIA",UPPER(F40)="P2",F40=2),"Media",IF(OR(UPPER(F40)="BAJA",UPPER(F40)="P3",F40=3),"Baja","Media"))))</f>
        <v/>
      </c>
      <c r="H40" s="6">
        <f>IF(A40="","",'1_Datos'!G41)</f>
        <v/>
      </c>
      <c r="I40" s="6">
        <f>IF(A40="","",IF(G40="Alta",'2_Parametros'!$B$7,IF(G40="Media",'2_Parametros'!$B$8,'2_Parametros'!$B$9)))</f>
        <v/>
      </c>
      <c r="J40" s="6">
        <f>IF(A40="","",IF(E40&lt;&gt;"",E40-D40+1,IF(D40="","",'2_Parametros'!$B$24-D40+1)))</f>
        <v/>
      </c>
      <c r="K40" s="6">
        <f>IF(A40="","",IF(G40="Alta",'2_Parametros'!$B$11,IF(G40="Media",'2_Parametros'!$B$12,'2_Parametros'!$B$13)))</f>
        <v/>
      </c>
      <c r="L40" s="6">
        <f>IF(A40="","",IF(AND(UPPER(H40)="COMPLETADA",E40&lt;&gt;"",J40&lt;=K40),1,0))</f>
        <v/>
      </c>
      <c r="M40" s="15">
        <f>IF(A40="","",IF(OR(J40="",J40=0),0,MIN(1,K40/J40)))</f>
        <v/>
      </c>
      <c r="N40" s="6">
        <f>IF(A40="","",IF(OR(AND(E40&lt;&gt;"",E40&gt;='2_Parametros'!$B$23,E40&lt;='2_Parametros'!$B$24),AND(D40&lt;&gt;"",D40&gt;='2_Parametros'!$B$23,D40&lt;='2_Parametros'!$B$24)),1,0))</f>
        <v/>
      </c>
      <c r="O40" s="6">
        <f>IF(A40="","",IF(AND(UPPER(H40)="COMPLETADA",E40&lt;&gt;""),1,0))</f>
        <v/>
      </c>
      <c r="P40" s="6">
        <f>IF(A40="","",IF(AND(UPPER(H40)&lt;&gt;"COMPLETADA",UPPER(H40)&lt;&gt;"CANCELADA",D40&lt;&gt;"",D40+K40-1&lt;'2_Parametros'!$B$24),1,0))</f>
        <v/>
      </c>
      <c r="Q40" s="6">
        <f>IF(A40="","",IF(OR(AND(O40=1,E40&gt;='2_Parametros'!$B$23,E40&lt;='2_Parametros'!$B$24),AND('2_Parametros'!$B$21=1,P40=1,N40=1)),1,0))</f>
        <v/>
      </c>
      <c r="R40" s="6">
        <f>IF(A40="","",IF(Q40=1,I40*L40,0))</f>
        <v/>
      </c>
      <c r="S40" s="6">
        <f>IF(A40="","",IF(Q40=1,I40*M40,0))</f>
        <v/>
      </c>
    </row>
    <row r="41">
      <c r="A41" s="6">
        <f>IF('1_Datos'!A42="","",'1_Datos'!A42)</f>
        <v/>
      </c>
      <c r="B41" s="6">
        <f>IF(A41="","",'1_Datos'!B42)</f>
        <v/>
      </c>
      <c r="C41" s="6">
        <f>IF(A41="","",'1_Datos'!C42)</f>
        <v/>
      </c>
      <c r="D41" s="7">
        <f>IF(A41="","",'1_Datos'!D42)</f>
        <v/>
      </c>
      <c r="E41" s="7">
        <f>IF(A41="","",IF('1_Datos'!E42="","",'1_Datos'!E42))</f>
        <v/>
      </c>
      <c r="F41" s="6">
        <f>IF(A41="","",'1_Datos'!F42)</f>
        <v/>
      </c>
      <c r="G41" s="6">
        <f>IF(A41="","",IF(OR(UPPER(F41)="ALTA",UPPER(F41)="P1",F41=1),"Alta",IF(OR(UPPER(F41)="MEDIA",UPPER(F41)="P2",F41=2),"Media",IF(OR(UPPER(F41)="BAJA",UPPER(F41)="P3",F41=3),"Baja","Media"))))</f>
        <v/>
      </c>
      <c r="H41" s="6">
        <f>IF(A41="","",'1_Datos'!G42)</f>
        <v/>
      </c>
      <c r="I41" s="6">
        <f>IF(A41="","",IF(G41="Alta",'2_Parametros'!$B$7,IF(G41="Media",'2_Parametros'!$B$8,'2_Parametros'!$B$9)))</f>
        <v/>
      </c>
      <c r="J41" s="6">
        <f>IF(A41="","",IF(E41&lt;&gt;"",E41-D41+1,IF(D41="","",'2_Parametros'!$B$24-D41+1)))</f>
        <v/>
      </c>
      <c r="K41" s="6">
        <f>IF(A41="","",IF(G41="Alta",'2_Parametros'!$B$11,IF(G41="Media",'2_Parametros'!$B$12,'2_Parametros'!$B$13)))</f>
        <v/>
      </c>
      <c r="L41" s="6">
        <f>IF(A41="","",IF(AND(UPPER(H41)="COMPLETADA",E41&lt;&gt;"",J41&lt;=K41),1,0))</f>
        <v/>
      </c>
      <c r="M41" s="15">
        <f>IF(A41="","",IF(OR(J41="",J41=0),0,MIN(1,K41/J41)))</f>
        <v/>
      </c>
      <c r="N41" s="6">
        <f>IF(A41="","",IF(OR(AND(E41&lt;&gt;"",E41&gt;='2_Parametros'!$B$23,E41&lt;='2_Parametros'!$B$24),AND(D41&lt;&gt;"",D41&gt;='2_Parametros'!$B$23,D41&lt;='2_Parametros'!$B$24)),1,0))</f>
        <v/>
      </c>
      <c r="O41" s="6">
        <f>IF(A41="","",IF(AND(UPPER(H41)="COMPLETADA",E41&lt;&gt;""),1,0))</f>
        <v/>
      </c>
      <c r="P41" s="6">
        <f>IF(A41="","",IF(AND(UPPER(H41)&lt;&gt;"COMPLETADA",UPPER(H41)&lt;&gt;"CANCELADA",D41&lt;&gt;"",D41+K41-1&lt;'2_Parametros'!$B$24),1,0))</f>
        <v/>
      </c>
      <c r="Q41" s="6">
        <f>IF(A41="","",IF(OR(AND(O41=1,E41&gt;='2_Parametros'!$B$23,E41&lt;='2_Parametros'!$B$24),AND('2_Parametros'!$B$21=1,P41=1,N41=1)),1,0))</f>
        <v/>
      </c>
      <c r="R41" s="6">
        <f>IF(A41="","",IF(Q41=1,I41*L41,0))</f>
        <v/>
      </c>
      <c r="S41" s="6">
        <f>IF(A41="","",IF(Q41=1,I41*M41,0))</f>
        <v/>
      </c>
    </row>
    <row r="42">
      <c r="A42" s="6">
        <f>IF('1_Datos'!A43="","",'1_Datos'!A43)</f>
        <v/>
      </c>
      <c r="B42" s="6">
        <f>IF(A42="","",'1_Datos'!B43)</f>
        <v/>
      </c>
      <c r="C42" s="6">
        <f>IF(A42="","",'1_Datos'!C43)</f>
        <v/>
      </c>
      <c r="D42" s="7">
        <f>IF(A42="","",'1_Datos'!D43)</f>
        <v/>
      </c>
      <c r="E42" s="7">
        <f>IF(A42="","",IF('1_Datos'!E43="","",'1_Datos'!E43))</f>
        <v/>
      </c>
      <c r="F42" s="6">
        <f>IF(A42="","",'1_Datos'!F43)</f>
        <v/>
      </c>
      <c r="G42" s="6">
        <f>IF(A42="","",IF(OR(UPPER(F42)="ALTA",UPPER(F42)="P1",F42=1),"Alta",IF(OR(UPPER(F42)="MEDIA",UPPER(F42)="P2",F42=2),"Media",IF(OR(UPPER(F42)="BAJA",UPPER(F42)="P3",F42=3),"Baja","Media"))))</f>
        <v/>
      </c>
      <c r="H42" s="6">
        <f>IF(A42="","",'1_Datos'!G43)</f>
        <v/>
      </c>
      <c r="I42" s="6">
        <f>IF(A42="","",IF(G42="Alta",'2_Parametros'!$B$7,IF(G42="Media",'2_Parametros'!$B$8,'2_Parametros'!$B$9)))</f>
        <v/>
      </c>
      <c r="J42" s="6">
        <f>IF(A42="","",IF(E42&lt;&gt;"",E42-D42+1,IF(D42="","",'2_Parametros'!$B$24-D42+1)))</f>
        <v/>
      </c>
      <c r="K42" s="6">
        <f>IF(A42="","",IF(G42="Alta",'2_Parametros'!$B$11,IF(G42="Media",'2_Parametros'!$B$12,'2_Parametros'!$B$13)))</f>
        <v/>
      </c>
      <c r="L42" s="6">
        <f>IF(A42="","",IF(AND(UPPER(H42)="COMPLETADA",E42&lt;&gt;"",J42&lt;=K42),1,0))</f>
        <v/>
      </c>
      <c r="M42" s="15">
        <f>IF(A42="","",IF(OR(J42="",J42=0),0,MIN(1,K42/J42)))</f>
        <v/>
      </c>
      <c r="N42" s="6">
        <f>IF(A42="","",IF(OR(AND(E42&lt;&gt;"",E42&gt;='2_Parametros'!$B$23,E42&lt;='2_Parametros'!$B$24),AND(D42&lt;&gt;"",D42&gt;='2_Parametros'!$B$23,D42&lt;='2_Parametros'!$B$24)),1,0))</f>
        <v/>
      </c>
      <c r="O42" s="6">
        <f>IF(A42="","",IF(AND(UPPER(H42)="COMPLETADA",E42&lt;&gt;""),1,0))</f>
        <v/>
      </c>
      <c r="P42" s="6">
        <f>IF(A42="","",IF(AND(UPPER(H42)&lt;&gt;"COMPLETADA",UPPER(H42)&lt;&gt;"CANCELADA",D42&lt;&gt;"",D42+K42-1&lt;'2_Parametros'!$B$24),1,0))</f>
        <v/>
      </c>
      <c r="Q42" s="6">
        <f>IF(A42="","",IF(OR(AND(O42=1,E42&gt;='2_Parametros'!$B$23,E42&lt;='2_Parametros'!$B$24),AND('2_Parametros'!$B$21=1,P42=1,N42=1)),1,0))</f>
        <v/>
      </c>
      <c r="R42" s="6">
        <f>IF(A42="","",IF(Q42=1,I42*L42,0))</f>
        <v/>
      </c>
      <c r="S42" s="6">
        <f>IF(A42="","",IF(Q42=1,I42*M42,0))</f>
        <v/>
      </c>
    </row>
    <row r="43">
      <c r="A43" s="6">
        <f>IF('1_Datos'!A44="","",'1_Datos'!A44)</f>
        <v/>
      </c>
      <c r="B43" s="6">
        <f>IF(A43="","",'1_Datos'!B44)</f>
        <v/>
      </c>
      <c r="C43" s="6">
        <f>IF(A43="","",'1_Datos'!C44)</f>
        <v/>
      </c>
      <c r="D43" s="7">
        <f>IF(A43="","",'1_Datos'!D44)</f>
        <v/>
      </c>
      <c r="E43" s="7">
        <f>IF(A43="","",IF('1_Datos'!E44="","",'1_Datos'!E44))</f>
        <v/>
      </c>
      <c r="F43" s="6">
        <f>IF(A43="","",'1_Datos'!F44)</f>
        <v/>
      </c>
      <c r="G43" s="6">
        <f>IF(A43="","",IF(OR(UPPER(F43)="ALTA",UPPER(F43)="P1",F43=1),"Alta",IF(OR(UPPER(F43)="MEDIA",UPPER(F43)="P2",F43=2),"Media",IF(OR(UPPER(F43)="BAJA",UPPER(F43)="P3",F43=3),"Baja","Media"))))</f>
        <v/>
      </c>
      <c r="H43" s="6">
        <f>IF(A43="","",'1_Datos'!G44)</f>
        <v/>
      </c>
      <c r="I43" s="6">
        <f>IF(A43="","",IF(G43="Alta",'2_Parametros'!$B$7,IF(G43="Media",'2_Parametros'!$B$8,'2_Parametros'!$B$9)))</f>
        <v/>
      </c>
      <c r="J43" s="6">
        <f>IF(A43="","",IF(E43&lt;&gt;"",E43-D43+1,IF(D43="","",'2_Parametros'!$B$24-D43+1)))</f>
        <v/>
      </c>
      <c r="K43" s="6">
        <f>IF(A43="","",IF(G43="Alta",'2_Parametros'!$B$11,IF(G43="Media",'2_Parametros'!$B$12,'2_Parametros'!$B$13)))</f>
        <v/>
      </c>
      <c r="L43" s="6">
        <f>IF(A43="","",IF(AND(UPPER(H43)="COMPLETADA",E43&lt;&gt;"",J43&lt;=K43),1,0))</f>
        <v/>
      </c>
      <c r="M43" s="15">
        <f>IF(A43="","",IF(OR(J43="",J43=0),0,MIN(1,K43/J43)))</f>
        <v/>
      </c>
      <c r="N43" s="6">
        <f>IF(A43="","",IF(OR(AND(E43&lt;&gt;"",E43&gt;='2_Parametros'!$B$23,E43&lt;='2_Parametros'!$B$24),AND(D43&lt;&gt;"",D43&gt;='2_Parametros'!$B$23,D43&lt;='2_Parametros'!$B$24)),1,0))</f>
        <v/>
      </c>
      <c r="O43" s="6">
        <f>IF(A43="","",IF(AND(UPPER(H43)="COMPLETADA",E43&lt;&gt;""),1,0))</f>
        <v/>
      </c>
      <c r="P43" s="6">
        <f>IF(A43="","",IF(AND(UPPER(H43)&lt;&gt;"COMPLETADA",UPPER(H43)&lt;&gt;"CANCELADA",D43&lt;&gt;"",D43+K43-1&lt;'2_Parametros'!$B$24),1,0))</f>
        <v/>
      </c>
      <c r="Q43" s="6">
        <f>IF(A43="","",IF(OR(AND(O43=1,E43&gt;='2_Parametros'!$B$23,E43&lt;='2_Parametros'!$B$24),AND('2_Parametros'!$B$21=1,P43=1,N43=1)),1,0))</f>
        <v/>
      </c>
      <c r="R43" s="6">
        <f>IF(A43="","",IF(Q43=1,I43*L43,0))</f>
        <v/>
      </c>
      <c r="S43" s="6">
        <f>IF(A43="","",IF(Q43=1,I43*M43,0))</f>
        <v/>
      </c>
    </row>
    <row r="44">
      <c r="A44" s="6">
        <f>IF('1_Datos'!A45="","",'1_Datos'!A45)</f>
        <v/>
      </c>
      <c r="B44" s="6">
        <f>IF(A44="","",'1_Datos'!B45)</f>
        <v/>
      </c>
      <c r="C44" s="6">
        <f>IF(A44="","",'1_Datos'!C45)</f>
        <v/>
      </c>
      <c r="D44" s="7">
        <f>IF(A44="","",'1_Datos'!D45)</f>
        <v/>
      </c>
      <c r="E44" s="7">
        <f>IF(A44="","",IF('1_Datos'!E45="","",'1_Datos'!E45))</f>
        <v/>
      </c>
      <c r="F44" s="6">
        <f>IF(A44="","",'1_Datos'!F45)</f>
        <v/>
      </c>
      <c r="G44" s="6">
        <f>IF(A44="","",IF(OR(UPPER(F44)="ALTA",UPPER(F44)="P1",F44=1),"Alta",IF(OR(UPPER(F44)="MEDIA",UPPER(F44)="P2",F44=2),"Media",IF(OR(UPPER(F44)="BAJA",UPPER(F44)="P3",F44=3),"Baja","Media"))))</f>
        <v/>
      </c>
      <c r="H44" s="6">
        <f>IF(A44="","",'1_Datos'!G45)</f>
        <v/>
      </c>
      <c r="I44" s="6">
        <f>IF(A44="","",IF(G44="Alta",'2_Parametros'!$B$7,IF(G44="Media",'2_Parametros'!$B$8,'2_Parametros'!$B$9)))</f>
        <v/>
      </c>
      <c r="J44" s="6">
        <f>IF(A44="","",IF(E44&lt;&gt;"",E44-D44+1,IF(D44="","",'2_Parametros'!$B$24-D44+1)))</f>
        <v/>
      </c>
      <c r="K44" s="6">
        <f>IF(A44="","",IF(G44="Alta",'2_Parametros'!$B$11,IF(G44="Media",'2_Parametros'!$B$12,'2_Parametros'!$B$13)))</f>
        <v/>
      </c>
      <c r="L44" s="6">
        <f>IF(A44="","",IF(AND(UPPER(H44)="COMPLETADA",E44&lt;&gt;"",J44&lt;=K44),1,0))</f>
        <v/>
      </c>
      <c r="M44" s="15">
        <f>IF(A44="","",IF(OR(J44="",J44=0),0,MIN(1,K44/J44)))</f>
        <v/>
      </c>
      <c r="N44" s="6">
        <f>IF(A44="","",IF(OR(AND(E44&lt;&gt;"",E44&gt;='2_Parametros'!$B$23,E44&lt;='2_Parametros'!$B$24),AND(D44&lt;&gt;"",D44&gt;='2_Parametros'!$B$23,D44&lt;='2_Parametros'!$B$24)),1,0))</f>
        <v/>
      </c>
      <c r="O44" s="6">
        <f>IF(A44="","",IF(AND(UPPER(H44)="COMPLETADA",E44&lt;&gt;""),1,0))</f>
        <v/>
      </c>
      <c r="P44" s="6">
        <f>IF(A44="","",IF(AND(UPPER(H44)&lt;&gt;"COMPLETADA",UPPER(H44)&lt;&gt;"CANCELADA",D44&lt;&gt;"",D44+K44-1&lt;'2_Parametros'!$B$24),1,0))</f>
        <v/>
      </c>
      <c r="Q44" s="6">
        <f>IF(A44="","",IF(OR(AND(O44=1,E44&gt;='2_Parametros'!$B$23,E44&lt;='2_Parametros'!$B$24),AND('2_Parametros'!$B$21=1,P44=1,N44=1)),1,0))</f>
        <v/>
      </c>
      <c r="R44" s="6">
        <f>IF(A44="","",IF(Q44=1,I44*L44,0))</f>
        <v/>
      </c>
      <c r="S44" s="6">
        <f>IF(A44="","",IF(Q44=1,I44*M44,0))</f>
        <v/>
      </c>
    </row>
    <row r="45">
      <c r="A45" s="6">
        <f>IF('1_Datos'!A46="","",'1_Datos'!A46)</f>
        <v/>
      </c>
      <c r="B45" s="6">
        <f>IF(A45="","",'1_Datos'!B46)</f>
        <v/>
      </c>
      <c r="C45" s="6">
        <f>IF(A45="","",'1_Datos'!C46)</f>
        <v/>
      </c>
      <c r="D45" s="7">
        <f>IF(A45="","",'1_Datos'!D46)</f>
        <v/>
      </c>
      <c r="E45" s="7">
        <f>IF(A45="","",IF('1_Datos'!E46="","",'1_Datos'!E46))</f>
        <v/>
      </c>
      <c r="F45" s="6">
        <f>IF(A45="","",'1_Datos'!F46)</f>
        <v/>
      </c>
      <c r="G45" s="6">
        <f>IF(A45="","",IF(OR(UPPER(F45)="ALTA",UPPER(F45)="P1",F45=1),"Alta",IF(OR(UPPER(F45)="MEDIA",UPPER(F45)="P2",F45=2),"Media",IF(OR(UPPER(F45)="BAJA",UPPER(F45)="P3",F45=3),"Baja","Media"))))</f>
        <v/>
      </c>
      <c r="H45" s="6">
        <f>IF(A45="","",'1_Datos'!G46)</f>
        <v/>
      </c>
      <c r="I45" s="6">
        <f>IF(A45="","",IF(G45="Alta",'2_Parametros'!$B$7,IF(G45="Media",'2_Parametros'!$B$8,'2_Parametros'!$B$9)))</f>
        <v/>
      </c>
      <c r="J45" s="6">
        <f>IF(A45="","",IF(E45&lt;&gt;"",E45-D45+1,IF(D45="","",'2_Parametros'!$B$24-D45+1)))</f>
        <v/>
      </c>
      <c r="K45" s="6">
        <f>IF(A45="","",IF(G45="Alta",'2_Parametros'!$B$11,IF(G45="Media",'2_Parametros'!$B$12,'2_Parametros'!$B$13)))</f>
        <v/>
      </c>
      <c r="L45" s="6">
        <f>IF(A45="","",IF(AND(UPPER(H45)="COMPLETADA",E45&lt;&gt;"",J45&lt;=K45),1,0))</f>
        <v/>
      </c>
      <c r="M45" s="15">
        <f>IF(A45="","",IF(OR(J45="",J45=0),0,MIN(1,K45/J45)))</f>
        <v/>
      </c>
      <c r="N45" s="6">
        <f>IF(A45="","",IF(OR(AND(E45&lt;&gt;"",E45&gt;='2_Parametros'!$B$23,E45&lt;='2_Parametros'!$B$24),AND(D45&lt;&gt;"",D45&gt;='2_Parametros'!$B$23,D45&lt;='2_Parametros'!$B$24)),1,0))</f>
        <v/>
      </c>
      <c r="O45" s="6">
        <f>IF(A45="","",IF(AND(UPPER(H45)="COMPLETADA",E45&lt;&gt;""),1,0))</f>
        <v/>
      </c>
      <c r="P45" s="6">
        <f>IF(A45="","",IF(AND(UPPER(H45)&lt;&gt;"COMPLETADA",UPPER(H45)&lt;&gt;"CANCELADA",D45&lt;&gt;"",D45+K45-1&lt;'2_Parametros'!$B$24),1,0))</f>
        <v/>
      </c>
      <c r="Q45" s="6">
        <f>IF(A45="","",IF(OR(AND(O45=1,E45&gt;='2_Parametros'!$B$23,E45&lt;='2_Parametros'!$B$24),AND('2_Parametros'!$B$21=1,P45=1,N45=1)),1,0))</f>
        <v/>
      </c>
      <c r="R45" s="6">
        <f>IF(A45="","",IF(Q45=1,I45*L45,0))</f>
        <v/>
      </c>
      <c r="S45" s="6">
        <f>IF(A45="","",IF(Q45=1,I45*M45,0))</f>
        <v/>
      </c>
    </row>
    <row r="46">
      <c r="A46" s="6">
        <f>IF('1_Datos'!A47="","",'1_Datos'!A47)</f>
        <v/>
      </c>
      <c r="B46" s="6">
        <f>IF(A46="","",'1_Datos'!B47)</f>
        <v/>
      </c>
      <c r="C46" s="6">
        <f>IF(A46="","",'1_Datos'!C47)</f>
        <v/>
      </c>
      <c r="D46" s="7">
        <f>IF(A46="","",'1_Datos'!D47)</f>
        <v/>
      </c>
      <c r="E46" s="7">
        <f>IF(A46="","",IF('1_Datos'!E47="","",'1_Datos'!E47))</f>
        <v/>
      </c>
      <c r="F46" s="6">
        <f>IF(A46="","",'1_Datos'!F47)</f>
        <v/>
      </c>
      <c r="G46" s="6">
        <f>IF(A46="","",IF(OR(UPPER(F46)="ALTA",UPPER(F46)="P1",F46=1),"Alta",IF(OR(UPPER(F46)="MEDIA",UPPER(F46)="P2",F46=2),"Media",IF(OR(UPPER(F46)="BAJA",UPPER(F46)="P3",F46=3),"Baja","Media"))))</f>
        <v/>
      </c>
      <c r="H46" s="6">
        <f>IF(A46="","",'1_Datos'!G47)</f>
        <v/>
      </c>
      <c r="I46" s="6">
        <f>IF(A46="","",IF(G46="Alta",'2_Parametros'!$B$7,IF(G46="Media",'2_Parametros'!$B$8,'2_Parametros'!$B$9)))</f>
        <v/>
      </c>
      <c r="J46" s="6">
        <f>IF(A46="","",IF(E46&lt;&gt;"",E46-D46+1,IF(D46="","",'2_Parametros'!$B$24-D46+1)))</f>
        <v/>
      </c>
      <c r="K46" s="6">
        <f>IF(A46="","",IF(G46="Alta",'2_Parametros'!$B$11,IF(G46="Media",'2_Parametros'!$B$12,'2_Parametros'!$B$13)))</f>
        <v/>
      </c>
      <c r="L46" s="6">
        <f>IF(A46="","",IF(AND(UPPER(H46)="COMPLETADA",E46&lt;&gt;"",J46&lt;=K46),1,0))</f>
        <v/>
      </c>
      <c r="M46" s="15">
        <f>IF(A46="","",IF(OR(J46="",J46=0),0,MIN(1,K46/J46)))</f>
        <v/>
      </c>
      <c r="N46" s="6">
        <f>IF(A46="","",IF(OR(AND(E46&lt;&gt;"",E46&gt;='2_Parametros'!$B$23,E46&lt;='2_Parametros'!$B$24),AND(D46&lt;&gt;"",D46&gt;='2_Parametros'!$B$23,D46&lt;='2_Parametros'!$B$24)),1,0))</f>
        <v/>
      </c>
      <c r="O46" s="6">
        <f>IF(A46="","",IF(AND(UPPER(H46)="COMPLETADA",E46&lt;&gt;""),1,0))</f>
        <v/>
      </c>
      <c r="P46" s="6">
        <f>IF(A46="","",IF(AND(UPPER(H46)&lt;&gt;"COMPLETADA",UPPER(H46)&lt;&gt;"CANCELADA",D46&lt;&gt;"",D46+K46-1&lt;'2_Parametros'!$B$24),1,0))</f>
        <v/>
      </c>
      <c r="Q46" s="6">
        <f>IF(A46="","",IF(OR(AND(O46=1,E46&gt;='2_Parametros'!$B$23,E46&lt;='2_Parametros'!$B$24),AND('2_Parametros'!$B$21=1,P46=1,N46=1)),1,0))</f>
        <v/>
      </c>
      <c r="R46" s="6">
        <f>IF(A46="","",IF(Q46=1,I46*L46,0))</f>
        <v/>
      </c>
      <c r="S46" s="6">
        <f>IF(A46="","",IF(Q46=1,I46*M46,0))</f>
        <v/>
      </c>
    </row>
    <row r="47">
      <c r="A47" s="6">
        <f>IF('1_Datos'!A48="","",'1_Datos'!A48)</f>
        <v/>
      </c>
      <c r="B47" s="6">
        <f>IF(A47="","",'1_Datos'!B48)</f>
        <v/>
      </c>
      <c r="C47" s="6">
        <f>IF(A47="","",'1_Datos'!C48)</f>
        <v/>
      </c>
      <c r="D47" s="7">
        <f>IF(A47="","",'1_Datos'!D48)</f>
        <v/>
      </c>
      <c r="E47" s="7">
        <f>IF(A47="","",IF('1_Datos'!E48="","",'1_Datos'!E48))</f>
        <v/>
      </c>
      <c r="F47" s="6">
        <f>IF(A47="","",'1_Datos'!F48)</f>
        <v/>
      </c>
      <c r="G47" s="6">
        <f>IF(A47="","",IF(OR(UPPER(F47)="ALTA",UPPER(F47)="P1",F47=1),"Alta",IF(OR(UPPER(F47)="MEDIA",UPPER(F47)="P2",F47=2),"Media",IF(OR(UPPER(F47)="BAJA",UPPER(F47)="P3",F47=3),"Baja","Media"))))</f>
        <v/>
      </c>
      <c r="H47" s="6">
        <f>IF(A47="","",'1_Datos'!G48)</f>
        <v/>
      </c>
      <c r="I47" s="6">
        <f>IF(A47="","",IF(G47="Alta",'2_Parametros'!$B$7,IF(G47="Media",'2_Parametros'!$B$8,'2_Parametros'!$B$9)))</f>
        <v/>
      </c>
      <c r="J47" s="6">
        <f>IF(A47="","",IF(E47&lt;&gt;"",E47-D47+1,IF(D47="","",'2_Parametros'!$B$24-D47+1)))</f>
        <v/>
      </c>
      <c r="K47" s="6">
        <f>IF(A47="","",IF(G47="Alta",'2_Parametros'!$B$11,IF(G47="Media",'2_Parametros'!$B$12,'2_Parametros'!$B$13)))</f>
        <v/>
      </c>
      <c r="L47" s="6">
        <f>IF(A47="","",IF(AND(UPPER(H47)="COMPLETADA",E47&lt;&gt;"",J47&lt;=K47),1,0))</f>
        <v/>
      </c>
      <c r="M47" s="15">
        <f>IF(A47="","",IF(OR(J47="",J47=0),0,MIN(1,K47/J47)))</f>
        <v/>
      </c>
      <c r="N47" s="6">
        <f>IF(A47="","",IF(OR(AND(E47&lt;&gt;"",E47&gt;='2_Parametros'!$B$23,E47&lt;='2_Parametros'!$B$24),AND(D47&lt;&gt;"",D47&gt;='2_Parametros'!$B$23,D47&lt;='2_Parametros'!$B$24)),1,0))</f>
        <v/>
      </c>
      <c r="O47" s="6">
        <f>IF(A47="","",IF(AND(UPPER(H47)="COMPLETADA",E47&lt;&gt;""),1,0))</f>
        <v/>
      </c>
      <c r="P47" s="6">
        <f>IF(A47="","",IF(AND(UPPER(H47)&lt;&gt;"COMPLETADA",UPPER(H47)&lt;&gt;"CANCELADA",D47&lt;&gt;"",D47+K47-1&lt;'2_Parametros'!$B$24),1,0))</f>
        <v/>
      </c>
      <c r="Q47" s="6">
        <f>IF(A47="","",IF(OR(AND(O47=1,E47&gt;='2_Parametros'!$B$23,E47&lt;='2_Parametros'!$B$24),AND('2_Parametros'!$B$21=1,P47=1,N47=1)),1,0))</f>
        <v/>
      </c>
      <c r="R47" s="6">
        <f>IF(A47="","",IF(Q47=1,I47*L47,0))</f>
        <v/>
      </c>
      <c r="S47" s="6">
        <f>IF(A47="","",IF(Q47=1,I47*M47,0))</f>
        <v/>
      </c>
    </row>
    <row r="48">
      <c r="A48" s="6">
        <f>IF('1_Datos'!A49="","",'1_Datos'!A49)</f>
        <v/>
      </c>
      <c r="B48" s="6">
        <f>IF(A48="","",'1_Datos'!B49)</f>
        <v/>
      </c>
      <c r="C48" s="6">
        <f>IF(A48="","",'1_Datos'!C49)</f>
        <v/>
      </c>
      <c r="D48" s="7">
        <f>IF(A48="","",'1_Datos'!D49)</f>
        <v/>
      </c>
      <c r="E48" s="7">
        <f>IF(A48="","",IF('1_Datos'!E49="","",'1_Datos'!E49))</f>
        <v/>
      </c>
      <c r="F48" s="6">
        <f>IF(A48="","",'1_Datos'!F49)</f>
        <v/>
      </c>
      <c r="G48" s="6">
        <f>IF(A48="","",IF(OR(UPPER(F48)="ALTA",UPPER(F48)="P1",F48=1),"Alta",IF(OR(UPPER(F48)="MEDIA",UPPER(F48)="P2",F48=2),"Media",IF(OR(UPPER(F48)="BAJA",UPPER(F48)="P3",F48=3),"Baja","Media"))))</f>
        <v/>
      </c>
      <c r="H48" s="6">
        <f>IF(A48="","",'1_Datos'!G49)</f>
        <v/>
      </c>
      <c r="I48" s="6">
        <f>IF(A48="","",IF(G48="Alta",'2_Parametros'!$B$7,IF(G48="Media",'2_Parametros'!$B$8,'2_Parametros'!$B$9)))</f>
        <v/>
      </c>
      <c r="J48" s="6">
        <f>IF(A48="","",IF(E48&lt;&gt;"",E48-D48+1,IF(D48="","",'2_Parametros'!$B$24-D48+1)))</f>
        <v/>
      </c>
      <c r="K48" s="6">
        <f>IF(A48="","",IF(G48="Alta",'2_Parametros'!$B$11,IF(G48="Media",'2_Parametros'!$B$12,'2_Parametros'!$B$13)))</f>
        <v/>
      </c>
      <c r="L48" s="6">
        <f>IF(A48="","",IF(AND(UPPER(H48)="COMPLETADA",E48&lt;&gt;"",J48&lt;=K48),1,0))</f>
        <v/>
      </c>
      <c r="M48" s="15">
        <f>IF(A48="","",IF(OR(J48="",J48=0),0,MIN(1,K48/J48)))</f>
        <v/>
      </c>
      <c r="N48" s="6">
        <f>IF(A48="","",IF(OR(AND(E48&lt;&gt;"",E48&gt;='2_Parametros'!$B$23,E48&lt;='2_Parametros'!$B$24),AND(D48&lt;&gt;"",D48&gt;='2_Parametros'!$B$23,D48&lt;='2_Parametros'!$B$24)),1,0))</f>
        <v/>
      </c>
      <c r="O48" s="6">
        <f>IF(A48="","",IF(AND(UPPER(H48)="COMPLETADA",E48&lt;&gt;""),1,0))</f>
        <v/>
      </c>
      <c r="P48" s="6">
        <f>IF(A48="","",IF(AND(UPPER(H48)&lt;&gt;"COMPLETADA",UPPER(H48)&lt;&gt;"CANCELADA",D48&lt;&gt;"",D48+K48-1&lt;'2_Parametros'!$B$24),1,0))</f>
        <v/>
      </c>
      <c r="Q48" s="6">
        <f>IF(A48="","",IF(OR(AND(O48=1,E48&gt;='2_Parametros'!$B$23,E48&lt;='2_Parametros'!$B$24),AND('2_Parametros'!$B$21=1,P48=1,N48=1)),1,0))</f>
        <v/>
      </c>
      <c r="R48" s="6">
        <f>IF(A48="","",IF(Q48=1,I48*L48,0))</f>
        <v/>
      </c>
      <c r="S48" s="6">
        <f>IF(A48="","",IF(Q48=1,I48*M48,0))</f>
        <v/>
      </c>
    </row>
    <row r="49">
      <c r="A49" s="6">
        <f>IF('1_Datos'!A50="","",'1_Datos'!A50)</f>
        <v/>
      </c>
      <c r="B49" s="6">
        <f>IF(A49="","",'1_Datos'!B50)</f>
        <v/>
      </c>
      <c r="C49" s="6">
        <f>IF(A49="","",'1_Datos'!C50)</f>
        <v/>
      </c>
      <c r="D49" s="7">
        <f>IF(A49="","",'1_Datos'!D50)</f>
        <v/>
      </c>
      <c r="E49" s="7">
        <f>IF(A49="","",IF('1_Datos'!E50="","",'1_Datos'!E50))</f>
        <v/>
      </c>
      <c r="F49" s="6">
        <f>IF(A49="","",'1_Datos'!F50)</f>
        <v/>
      </c>
      <c r="G49" s="6">
        <f>IF(A49="","",IF(OR(UPPER(F49)="ALTA",UPPER(F49)="P1",F49=1),"Alta",IF(OR(UPPER(F49)="MEDIA",UPPER(F49)="P2",F49=2),"Media",IF(OR(UPPER(F49)="BAJA",UPPER(F49)="P3",F49=3),"Baja","Media"))))</f>
        <v/>
      </c>
      <c r="H49" s="6">
        <f>IF(A49="","",'1_Datos'!G50)</f>
        <v/>
      </c>
      <c r="I49" s="6">
        <f>IF(A49="","",IF(G49="Alta",'2_Parametros'!$B$7,IF(G49="Media",'2_Parametros'!$B$8,'2_Parametros'!$B$9)))</f>
        <v/>
      </c>
      <c r="J49" s="6">
        <f>IF(A49="","",IF(E49&lt;&gt;"",E49-D49+1,IF(D49="","",'2_Parametros'!$B$24-D49+1)))</f>
        <v/>
      </c>
      <c r="K49" s="6">
        <f>IF(A49="","",IF(G49="Alta",'2_Parametros'!$B$11,IF(G49="Media",'2_Parametros'!$B$12,'2_Parametros'!$B$13)))</f>
        <v/>
      </c>
      <c r="L49" s="6">
        <f>IF(A49="","",IF(AND(UPPER(H49)="COMPLETADA",E49&lt;&gt;"",J49&lt;=K49),1,0))</f>
        <v/>
      </c>
      <c r="M49" s="15">
        <f>IF(A49="","",IF(OR(J49="",J49=0),0,MIN(1,K49/J49)))</f>
        <v/>
      </c>
      <c r="N49" s="6">
        <f>IF(A49="","",IF(OR(AND(E49&lt;&gt;"",E49&gt;='2_Parametros'!$B$23,E49&lt;='2_Parametros'!$B$24),AND(D49&lt;&gt;"",D49&gt;='2_Parametros'!$B$23,D49&lt;='2_Parametros'!$B$24)),1,0))</f>
        <v/>
      </c>
      <c r="O49" s="6">
        <f>IF(A49="","",IF(AND(UPPER(H49)="COMPLETADA",E49&lt;&gt;""),1,0))</f>
        <v/>
      </c>
      <c r="P49" s="6">
        <f>IF(A49="","",IF(AND(UPPER(H49)&lt;&gt;"COMPLETADA",UPPER(H49)&lt;&gt;"CANCELADA",D49&lt;&gt;"",D49+K49-1&lt;'2_Parametros'!$B$24),1,0))</f>
        <v/>
      </c>
      <c r="Q49" s="6">
        <f>IF(A49="","",IF(OR(AND(O49=1,E49&gt;='2_Parametros'!$B$23,E49&lt;='2_Parametros'!$B$24),AND('2_Parametros'!$B$21=1,P49=1,N49=1)),1,0))</f>
        <v/>
      </c>
      <c r="R49" s="6">
        <f>IF(A49="","",IF(Q49=1,I49*L49,0))</f>
        <v/>
      </c>
      <c r="S49" s="6">
        <f>IF(A49="","",IF(Q49=1,I49*M49,0))</f>
        <v/>
      </c>
    </row>
    <row r="50">
      <c r="A50" s="6">
        <f>IF('1_Datos'!A51="","",'1_Datos'!A51)</f>
        <v/>
      </c>
      <c r="B50" s="6">
        <f>IF(A50="","",'1_Datos'!B51)</f>
        <v/>
      </c>
      <c r="C50" s="6">
        <f>IF(A50="","",'1_Datos'!C51)</f>
        <v/>
      </c>
      <c r="D50" s="7">
        <f>IF(A50="","",'1_Datos'!D51)</f>
        <v/>
      </c>
      <c r="E50" s="7">
        <f>IF(A50="","",IF('1_Datos'!E51="","",'1_Datos'!E51))</f>
        <v/>
      </c>
      <c r="F50" s="6">
        <f>IF(A50="","",'1_Datos'!F51)</f>
        <v/>
      </c>
      <c r="G50" s="6">
        <f>IF(A50="","",IF(OR(UPPER(F50)="ALTA",UPPER(F50)="P1",F50=1),"Alta",IF(OR(UPPER(F50)="MEDIA",UPPER(F50)="P2",F50=2),"Media",IF(OR(UPPER(F50)="BAJA",UPPER(F50)="P3",F50=3),"Baja","Media"))))</f>
        <v/>
      </c>
      <c r="H50" s="6">
        <f>IF(A50="","",'1_Datos'!G51)</f>
        <v/>
      </c>
      <c r="I50" s="6">
        <f>IF(A50="","",IF(G50="Alta",'2_Parametros'!$B$7,IF(G50="Media",'2_Parametros'!$B$8,'2_Parametros'!$B$9)))</f>
        <v/>
      </c>
      <c r="J50" s="6">
        <f>IF(A50="","",IF(E50&lt;&gt;"",E50-D50+1,IF(D50="","",'2_Parametros'!$B$24-D50+1)))</f>
        <v/>
      </c>
      <c r="K50" s="6">
        <f>IF(A50="","",IF(G50="Alta",'2_Parametros'!$B$11,IF(G50="Media",'2_Parametros'!$B$12,'2_Parametros'!$B$13)))</f>
        <v/>
      </c>
      <c r="L50" s="6">
        <f>IF(A50="","",IF(AND(UPPER(H50)="COMPLETADA",E50&lt;&gt;"",J50&lt;=K50),1,0))</f>
        <v/>
      </c>
      <c r="M50" s="15">
        <f>IF(A50="","",IF(OR(J50="",J50=0),0,MIN(1,K50/J50)))</f>
        <v/>
      </c>
      <c r="N50" s="6">
        <f>IF(A50="","",IF(OR(AND(E50&lt;&gt;"",E50&gt;='2_Parametros'!$B$23,E50&lt;='2_Parametros'!$B$24),AND(D50&lt;&gt;"",D50&gt;='2_Parametros'!$B$23,D50&lt;='2_Parametros'!$B$24)),1,0))</f>
        <v/>
      </c>
      <c r="O50" s="6">
        <f>IF(A50="","",IF(AND(UPPER(H50)="COMPLETADA",E50&lt;&gt;""),1,0))</f>
        <v/>
      </c>
      <c r="P50" s="6">
        <f>IF(A50="","",IF(AND(UPPER(H50)&lt;&gt;"COMPLETADA",UPPER(H50)&lt;&gt;"CANCELADA",D50&lt;&gt;"",D50+K50-1&lt;'2_Parametros'!$B$24),1,0))</f>
        <v/>
      </c>
      <c r="Q50" s="6">
        <f>IF(A50="","",IF(OR(AND(O50=1,E50&gt;='2_Parametros'!$B$23,E50&lt;='2_Parametros'!$B$24),AND('2_Parametros'!$B$21=1,P50=1,N50=1)),1,0))</f>
        <v/>
      </c>
      <c r="R50" s="6">
        <f>IF(A50="","",IF(Q50=1,I50*L50,0))</f>
        <v/>
      </c>
      <c r="S50" s="6">
        <f>IF(A50="","",IF(Q50=1,I50*M50,0))</f>
        <v/>
      </c>
    </row>
    <row r="51">
      <c r="A51" s="6">
        <f>IF('1_Datos'!A52="","",'1_Datos'!A52)</f>
        <v/>
      </c>
      <c r="B51" s="6">
        <f>IF(A51="","",'1_Datos'!B52)</f>
        <v/>
      </c>
      <c r="C51" s="6">
        <f>IF(A51="","",'1_Datos'!C52)</f>
        <v/>
      </c>
      <c r="D51" s="7">
        <f>IF(A51="","",'1_Datos'!D52)</f>
        <v/>
      </c>
      <c r="E51" s="7">
        <f>IF(A51="","",IF('1_Datos'!E52="","",'1_Datos'!E52))</f>
        <v/>
      </c>
      <c r="F51" s="6">
        <f>IF(A51="","",'1_Datos'!F52)</f>
        <v/>
      </c>
      <c r="G51" s="6">
        <f>IF(A51="","",IF(OR(UPPER(F51)="ALTA",UPPER(F51)="P1",F51=1),"Alta",IF(OR(UPPER(F51)="MEDIA",UPPER(F51)="P2",F51=2),"Media",IF(OR(UPPER(F51)="BAJA",UPPER(F51)="P3",F51=3),"Baja","Media"))))</f>
        <v/>
      </c>
      <c r="H51" s="6">
        <f>IF(A51="","",'1_Datos'!G52)</f>
        <v/>
      </c>
      <c r="I51" s="6">
        <f>IF(A51="","",IF(G51="Alta",'2_Parametros'!$B$7,IF(G51="Media",'2_Parametros'!$B$8,'2_Parametros'!$B$9)))</f>
        <v/>
      </c>
      <c r="J51" s="6">
        <f>IF(A51="","",IF(E51&lt;&gt;"",E51-D51+1,IF(D51="","",'2_Parametros'!$B$24-D51+1)))</f>
        <v/>
      </c>
      <c r="K51" s="6">
        <f>IF(A51="","",IF(G51="Alta",'2_Parametros'!$B$11,IF(G51="Media",'2_Parametros'!$B$12,'2_Parametros'!$B$13)))</f>
        <v/>
      </c>
      <c r="L51" s="6">
        <f>IF(A51="","",IF(AND(UPPER(H51)="COMPLETADA",E51&lt;&gt;"",J51&lt;=K51),1,0))</f>
        <v/>
      </c>
      <c r="M51" s="15">
        <f>IF(A51="","",IF(OR(J51="",J51=0),0,MIN(1,K51/J51)))</f>
        <v/>
      </c>
      <c r="N51" s="6">
        <f>IF(A51="","",IF(OR(AND(E51&lt;&gt;"",E51&gt;='2_Parametros'!$B$23,E51&lt;='2_Parametros'!$B$24),AND(D51&lt;&gt;"",D51&gt;='2_Parametros'!$B$23,D51&lt;='2_Parametros'!$B$24)),1,0))</f>
        <v/>
      </c>
      <c r="O51" s="6">
        <f>IF(A51="","",IF(AND(UPPER(H51)="COMPLETADA",E51&lt;&gt;""),1,0))</f>
        <v/>
      </c>
      <c r="P51" s="6">
        <f>IF(A51="","",IF(AND(UPPER(H51)&lt;&gt;"COMPLETADA",UPPER(H51)&lt;&gt;"CANCELADA",D51&lt;&gt;"",D51+K51-1&lt;'2_Parametros'!$B$24),1,0))</f>
        <v/>
      </c>
      <c r="Q51" s="6">
        <f>IF(A51="","",IF(OR(AND(O51=1,E51&gt;='2_Parametros'!$B$23,E51&lt;='2_Parametros'!$B$24),AND('2_Parametros'!$B$21=1,P51=1,N51=1)),1,0))</f>
        <v/>
      </c>
      <c r="R51" s="6">
        <f>IF(A51="","",IF(Q51=1,I51*L51,0))</f>
        <v/>
      </c>
      <c r="S51" s="6">
        <f>IF(A51="","",IF(Q51=1,I51*M51,0))</f>
        <v/>
      </c>
    </row>
    <row r="52">
      <c r="A52" s="6">
        <f>IF('1_Datos'!A53="","",'1_Datos'!A53)</f>
        <v/>
      </c>
      <c r="B52" s="6">
        <f>IF(A52="","",'1_Datos'!B53)</f>
        <v/>
      </c>
      <c r="C52" s="6">
        <f>IF(A52="","",'1_Datos'!C53)</f>
        <v/>
      </c>
      <c r="D52" s="7">
        <f>IF(A52="","",'1_Datos'!D53)</f>
        <v/>
      </c>
      <c r="E52" s="7">
        <f>IF(A52="","",IF('1_Datos'!E53="","",'1_Datos'!E53))</f>
        <v/>
      </c>
      <c r="F52" s="6">
        <f>IF(A52="","",'1_Datos'!F53)</f>
        <v/>
      </c>
      <c r="G52" s="6">
        <f>IF(A52="","",IF(OR(UPPER(F52)="ALTA",UPPER(F52)="P1",F52=1),"Alta",IF(OR(UPPER(F52)="MEDIA",UPPER(F52)="P2",F52=2),"Media",IF(OR(UPPER(F52)="BAJA",UPPER(F52)="P3",F52=3),"Baja","Media"))))</f>
        <v/>
      </c>
      <c r="H52" s="6">
        <f>IF(A52="","",'1_Datos'!G53)</f>
        <v/>
      </c>
      <c r="I52" s="6">
        <f>IF(A52="","",IF(G52="Alta",'2_Parametros'!$B$7,IF(G52="Media",'2_Parametros'!$B$8,'2_Parametros'!$B$9)))</f>
        <v/>
      </c>
      <c r="J52" s="6">
        <f>IF(A52="","",IF(E52&lt;&gt;"",E52-D52+1,IF(D52="","",'2_Parametros'!$B$24-D52+1)))</f>
        <v/>
      </c>
      <c r="K52" s="6">
        <f>IF(A52="","",IF(G52="Alta",'2_Parametros'!$B$11,IF(G52="Media",'2_Parametros'!$B$12,'2_Parametros'!$B$13)))</f>
        <v/>
      </c>
      <c r="L52" s="6">
        <f>IF(A52="","",IF(AND(UPPER(H52)="COMPLETADA",E52&lt;&gt;"",J52&lt;=K52),1,0))</f>
        <v/>
      </c>
      <c r="M52" s="15">
        <f>IF(A52="","",IF(OR(J52="",J52=0),0,MIN(1,K52/J52)))</f>
        <v/>
      </c>
      <c r="N52" s="6">
        <f>IF(A52="","",IF(OR(AND(E52&lt;&gt;"",E52&gt;='2_Parametros'!$B$23,E52&lt;='2_Parametros'!$B$24),AND(D52&lt;&gt;"",D52&gt;='2_Parametros'!$B$23,D52&lt;='2_Parametros'!$B$24)),1,0))</f>
        <v/>
      </c>
      <c r="O52" s="6">
        <f>IF(A52="","",IF(AND(UPPER(H52)="COMPLETADA",E52&lt;&gt;""),1,0))</f>
        <v/>
      </c>
      <c r="P52" s="6">
        <f>IF(A52="","",IF(AND(UPPER(H52)&lt;&gt;"COMPLETADA",UPPER(H52)&lt;&gt;"CANCELADA",D52&lt;&gt;"",D52+K52-1&lt;'2_Parametros'!$B$24),1,0))</f>
        <v/>
      </c>
      <c r="Q52" s="6">
        <f>IF(A52="","",IF(OR(AND(O52=1,E52&gt;='2_Parametros'!$B$23,E52&lt;='2_Parametros'!$B$24),AND('2_Parametros'!$B$21=1,P52=1,N52=1)),1,0))</f>
        <v/>
      </c>
      <c r="R52" s="6">
        <f>IF(A52="","",IF(Q52=1,I52*L52,0))</f>
        <v/>
      </c>
      <c r="S52" s="6">
        <f>IF(A52="","",IF(Q52=1,I52*M52,0))</f>
        <v/>
      </c>
    </row>
    <row r="53">
      <c r="A53" s="6">
        <f>IF('1_Datos'!A54="","",'1_Datos'!A54)</f>
        <v/>
      </c>
      <c r="B53" s="6">
        <f>IF(A53="","",'1_Datos'!B54)</f>
        <v/>
      </c>
      <c r="C53" s="6">
        <f>IF(A53="","",'1_Datos'!C54)</f>
        <v/>
      </c>
      <c r="D53" s="7">
        <f>IF(A53="","",'1_Datos'!D54)</f>
        <v/>
      </c>
      <c r="E53" s="7">
        <f>IF(A53="","",IF('1_Datos'!E54="","",'1_Datos'!E54))</f>
        <v/>
      </c>
      <c r="F53" s="6">
        <f>IF(A53="","",'1_Datos'!F54)</f>
        <v/>
      </c>
      <c r="G53" s="6">
        <f>IF(A53="","",IF(OR(UPPER(F53)="ALTA",UPPER(F53)="P1",F53=1),"Alta",IF(OR(UPPER(F53)="MEDIA",UPPER(F53)="P2",F53=2),"Media",IF(OR(UPPER(F53)="BAJA",UPPER(F53)="P3",F53=3),"Baja","Media"))))</f>
        <v/>
      </c>
      <c r="H53" s="6">
        <f>IF(A53="","",'1_Datos'!G54)</f>
        <v/>
      </c>
      <c r="I53" s="6">
        <f>IF(A53="","",IF(G53="Alta",'2_Parametros'!$B$7,IF(G53="Media",'2_Parametros'!$B$8,'2_Parametros'!$B$9)))</f>
        <v/>
      </c>
      <c r="J53" s="6">
        <f>IF(A53="","",IF(E53&lt;&gt;"",E53-D53+1,IF(D53="","",'2_Parametros'!$B$24-D53+1)))</f>
        <v/>
      </c>
      <c r="K53" s="6">
        <f>IF(A53="","",IF(G53="Alta",'2_Parametros'!$B$11,IF(G53="Media",'2_Parametros'!$B$12,'2_Parametros'!$B$13)))</f>
        <v/>
      </c>
      <c r="L53" s="6">
        <f>IF(A53="","",IF(AND(UPPER(H53)="COMPLETADA",E53&lt;&gt;"",J53&lt;=K53),1,0))</f>
        <v/>
      </c>
      <c r="M53" s="15">
        <f>IF(A53="","",IF(OR(J53="",J53=0),0,MIN(1,K53/J53)))</f>
        <v/>
      </c>
      <c r="N53" s="6">
        <f>IF(A53="","",IF(OR(AND(E53&lt;&gt;"",E53&gt;='2_Parametros'!$B$23,E53&lt;='2_Parametros'!$B$24),AND(D53&lt;&gt;"",D53&gt;='2_Parametros'!$B$23,D53&lt;='2_Parametros'!$B$24)),1,0))</f>
        <v/>
      </c>
      <c r="O53" s="6">
        <f>IF(A53="","",IF(AND(UPPER(H53)="COMPLETADA",E53&lt;&gt;""),1,0))</f>
        <v/>
      </c>
      <c r="P53" s="6">
        <f>IF(A53="","",IF(AND(UPPER(H53)&lt;&gt;"COMPLETADA",UPPER(H53)&lt;&gt;"CANCELADA",D53&lt;&gt;"",D53+K53-1&lt;'2_Parametros'!$B$24),1,0))</f>
        <v/>
      </c>
      <c r="Q53" s="6">
        <f>IF(A53="","",IF(OR(AND(O53=1,E53&gt;='2_Parametros'!$B$23,E53&lt;='2_Parametros'!$B$24),AND('2_Parametros'!$B$21=1,P53=1,N53=1)),1,0))</f>
        <v/>
      </c>
      <c r="R53" s="6">
        <f>IF(A53="","",IF(Q53=1,I53*L53,0))</f>
        <v/>
      </c>
      <c r="S53" s="6">
        <f>IF(A53="","",IF(Q53=1,I53*M53,0))</f>
        <v/>
      </c>
    </row>
    <row r="54">
      <c r="A54" s="6">
        <f>IF('1_Datos'!A55="","",'1_Datos'!A55)</f>
        <v/>
      </c>
      <c r="B54" s="6">
        <f>IF(A54="","",'1_Datos'!B55)</f>
        <v/>
      </c>
      <c r="C54" s="6">
        <f>IF(A54="","",'1_Datos'!C55)</f>
        <v/>
      </c>
      <c r="D54" s="7">
        <f>IF(A54="","",'1_Datos'!D55)</f>
        <v/>
      </c>
      <c r="E54" s="7">
        <f>IF(A54="","",IF('1_Datos'!E55="","",'1_Datos'!E55))</f>
        <v/>
      </c>
      <c r="F54" s="6">
        <f>IF(A54="","",'1_Datos'!F55)</f>
        <v/>
      </c>
      <c r="G54" s="6">
        <f>IF(A54="","",IF(OR(UPPER(F54)="ALTA",UPPER(F54)="P1",F54=1),"Alta",IF(OR(UPPER(F54)="MEDIA",UPPER(F54)="P2",F54=2),"Media",IF(OR(UPPER(F54)="BAJA",UPPER(F54)="P3",F54=3),"Baja","Media"))))</f>
        <v/>
      </c>
      <c r="H54" s="6">
        <f>IF(A54="","",'1_Datos'!G55)</f>
        <v/>
      </c>
      <c r="I54" s="6">
        <f>IF(A54="","",IF(G54="Alta",'2_Parametros'!$B$7,IF(G54="Media",'2_Parametros'!$B$8,'2_Parametros'!$B$9)))</f>
        <v/>
      </c>
      <c r="J54" s="6">
        <f>IF(A54="","",IF(E54&lt;&gt;"",E54-D54+1,IF(D54="","",'2_Parametros'!$B$24-D54+1)))</f>
        <v/>
      </c>
      <c r="K54" s="6">
        <f>IF(A54="","",IF(G54="Alta",'2_Parametros'!$B$11,IF(G54="Media",'2_Parametros'!$B$12,'2_Parametros'!$B$13)))</f>
        <v/>
      </c>
      <c r="L54" s="6">
        <f>IF(A54="","",IF(AND(UPPER(H54)="COMPLETADA",E54&lt;&gt;"",J54&lt;=K54),1,0))</f>
        <v/>
      </c>
      <c r="M54" s="15">
        <f>IF(A54="","",IF(OR(J54="",J54=0),0,MIN(1,K54/J54)))</f>
        <v/>
      </c>
      <c r="N54" s="6">
        <f>IF(A54="","",IF(OR(AND(E54&lt;&gt;"",E54&gt;='2_Parametros'!$B$23,E54&lt;='2_Parametros'!$B$24),AND(D54&lt;&gt;"",D54&gt;='2_Parametros'!$B$23,D54&lt;='2_Parametros'!$B$24)),1,0))</f>
        <v/>
      </c>
      <c r="O54" s="6">
        <f>IF(A54="","",IF(AND(UPPER(H54)="COMPLETADA",E54&lt;&gt;""),1,0))</f>
        <v/>
      </c>
      <c r="P54" s="6">
        <f>IF(A54="","",IF(AND(UPPER(H54)&lt;&gt;"COMPLETADA",UPPER(H54)&lt;&gt;"CANCELADA",D54&lt;&gt;"",D54+K54-1&lt;'2_Parametros'!$B$24),1,0))</f>
        <v/>
      </c>
      <c r="Q54" s="6">
        <f>IF(A54="","",IF(OR(AND(O54=1,E54&gt;='2_Parametros'!$B$23,E54&lt;='2_Parametros'!$B$24),AND('2_Parametros'!$B$21=1,P54=1,N54=1)),1,0))</f>
        <v/>
      </c>
      <c r="R54" s="6">
        <f>IF(A54="","",IF(Q54=1,I54*L54,0))</f>
        <v/>
      </c>
      <c r="S54" s="6">
        <f>IF(A54="","",IF(Q54=1,I54*M54,0))</f>
        <v/>
      </c>
    </row>
    <row r="55">
      <c r="A55" s="6">
        <f>IF('1_Datos'!A56="","",'1_Datos'!A56)</f>
        <v/>
      </c>
      <c r="B55" s="6">
        <f>IF(A55="","",'1_Datos'!B56)</f>
        <v/>
      </c>
      <c r="C55" s="6">
        <f>IF(A55="","",'1_Datos'!C56)</f>
        <v/>
      </c>
      <c r="D55" s="7">
        <f>IF(A55="","",'1_Datos'!D56)</f>
        <v/>
      </c>
      <c r="E55" s="7">
        <f>IF(A55="","",IF('1_Datos'!E56="","",'1_Datos'!E56))</f>
        <v/>
      </c>
      <c r="F55" s="6">
        <f>IF(A55="","",'1_Datos'!F56)</f>
        <v/>
      </c>
      <c r="G55" s="6">
        <f>IF(A55="","",IF(OR(UPPER(F55)="ALTA",UPPER(F55)="P1",F55=1),"Alta",IF(OR(UPPER(F55)="MEDIA",UPPER(F55)="P2",F55=2),"Media",IF(OR(UPPER(F55)="BAJA",UPPER(F55)="P3",F55=3),"Baja","Media"))))</f>
        <v/>
      </c>
      <c r="H55" s="6">
        <f>IF(A55="","",'1_Datos'!G56)</f>
        <v/>
      </c>
      <c r="I55" s="6">
        <f>IF(A55="","",IF(G55="Alta",'2_Parametros'!$B$7,IF(G55="Media",'2_Parametros'!$B$8,'2_Parametros'!$B$9)))</f>
        <v/>
      </c>
      <c r="J55" s="6">
        <f>IF(A55="","",IF(E55&lt;&gt;"",E55-D55+1,IF(D55="","",'2_Parametros'!$B$24-D55+1)))</f>
        <v/>
      </c>
      <c r="K55" s="6">
        <f>IF(A55="","",IF(G55="Alta",'2_Parametros'!$B$11,IF(G55="Media",'2_Parametros'!$B$12,'2_Parametros'!$B$13)))</f>
        <v/>
      </c>
      <c r="L55" s="6">
        <f>IF(A55="","",IF(AND(UPPER(H55)="COMPLETADA",E55&lt;&gt;"",J55&lt;=K55),1,0))</f>
        <v/>
      </c>
      <c r="M55" s="15">
        <f>IF(A55="","",IF(OR(J55="",J55=0),0,MIN(1,K55/J55)))</f>
        <v/>
      </c>
      <c r="N55" s="6">
        <f>IF(A55="","",IF(OR(AND(E55&lt;&gt;"",E55&gt;='2_Parametros'!$B$23,E55&lt;='2_Parametros'!$B$24),AND(D55&lt;&gt;"",D55&gt;='2_Parametros'!$B$23,D55&lt;='2_Parametros'!$B$24)),1,0))</f>
        <v/>
      </c>
      <c r="O55" s="6">
        <f>IF(A55="","",IF(AND(UPPER(H55)="COMPLETADA",E55&lt;&gt;""),1,0))</f>
        <v/>
      </c>
      <c r="P55" s="6">
        <f>IF(A55="","",IF(AND(UPPER(H55)&lt;&gt;"COMPLETADA",UPPER(H55)&lt;&gt;"CANCELADA",D55&lt;&gt;"",D55+K55-1&lt;'2_Parametros'!$B$24),1,0))</f>
        <v/>
      </c>
      <c r="Q55" s="6">
        <f>IF(A55="","",IF(OR(AND(O55=1,E55&gt;='2_Parametros'!$B$23,E55&lt;='2_Parametros'!$B$24),AND('2_Parametros'!$B$21=1,P55=1,N55=1)),1,0))</f>
        <v/>
      </c>
      <c r="R55" s="6">
        <f>IF(A55="","",IF(Q55=1,I55*L55,0))</f>
        <v/>
      </c>
      <c r="S55" s="6">
        <f>IF(A55="","",IF(Q55=1,I55*M55,0))</f>
        <v/>
      </c>
    </row>
    <row r="56">
      <c r="A56" s="6">
        <f>IF('1_Datos'!A57="","",'1_Datos'!A57)</f>
        <v/>
      </c>
      <c r="B56" s="6">
        <f>IF(A56="","",'1_Datos'!B57)</f>
        <v/>
      </c>
      <c r="C56" s="6">
        <f>IF(A56="","",'1_Datos'!C57)</f>
        <v/>
      </c>
      <c r="D56" s="7">
        <f>IF(A56="","",'1_Datos'!D57)</f>
        <v/>
      </c>
      <c r="E56" s="7">
        <f>IF(A56="","",IF('1_Datos'!E57="","",'1_Datos'!E57))</f>
        <v/>
      </c>
      <c r="F56" s="6">
        <f>IF(A56="","",'1_Datos'!F57)</f>
        <v/>
      </c>
      <c r="G56" s="6">
        <f>IF(A56="","",IF(OR(UPPER(F56)="ALTA",UPPER(F56)="P1",F56=1),"Alta",IF(OR(UPPER(F56)="MEDIA",UPPER(F56)="P2",F56=2),"Media",IF(OR(UPPER(F56)="BAJA",UPPER(F56)="P3",F56=3),"Baja","Media"))))</f>
        <v/>
      </c>
      <c r="H56" s="6">
        <f>IF(A56="","",'1_Datos'!G57)</f>
        <v/>
      </c>
      <c r="I56" s="6">
        <f>IF(A56="","",IF(G56="Alta",'2_Parametros'!$B$7,IF(G56="Media",'2_Parametros'!$B$8,'2_Parametros'!$B$9)))</f>
        <v/>
      </c>
      <c r="J56" s="6">
        <f>IF(A56="","",IF(E56&lt;&gt;"",E56-D56+1,IF(D56="","",'2_Parametros'!$B$24-D56+1)))</f>
        <v/>
      </c>
      <c r="K56" s="6">
        <f>IF(A56="","",IF(G56="Alta",'2_Parametros'!$B$11,IF(G56="Media",'2_Parametros'!$B$12,'2_Parametros'!$B$13)))</f>
        <v/>
      </c>
      <c r="L56" s="6">
        <f>IF(A56="","",IF(AND(UPPER(H56)="COMPLETADA",E56&lt;&gt;"",J56&lt;=K56),1,0))</f>
        <v/>
      </c>
      <c r="M56" s="15">
        <f>IF(A56="","",IF(OR(J56="",J56=0),0,MIN(1,K56/J56)))</f>
        <v/>
      </c>
      <c r="N56" s="6">
        <f>IF(A56="","",IF(OR(AND(E56&lt;&gt;"",E56&gt;='2_Parametros'!$B$23,E56&lt;='2_Parametros'!$B$24),AND(D56&lt;&gt;"",D56&gt;='2_Parametros'!$B$23,D56&lt;='2_Parametros'!$B$24)),1,0))</f>
        <v/>
      </c>
      <c r="O56" s="6">
        <f>IF(A56="","",IF(AND(UPPER(H56)="COMPLETADA",E56&lt;&gt;""),1,0))</f>
        <v/>
      </c>
      <c r="P56" s="6">
        <f>IF(A56="","",IF(AND(UPPER(H56)&lt;&gt;"COMPLETADA",UPPER(H56)&lt;&gt;"CANCELADA",D56&lt;&gt;"",D56+K56-1&lt;'2_Parametros'!$B$24),1,0))</f>
        <v/>
      </c>
      <c r="Q56" s="6">
        <f>IF(A56="","",IF(OR(AND(O56=1,E56&gt;='2_Parametros'!$B$23,E56&lt;='2_Parametros'!$B$24),AND('2_Parametros'!$B$21=1,P56=1,N56=1)),1,0))</f>
        <v/>
      </c>
      <c r="R56" s="6">
        <f>IF(A56="","",IF(Q56=1,I56*L56,0))</f>
        <v/>
      </c>
      <c r="S56" s="6">
        <f>IF(A56="","",IF(Q56=1,I56*M56,0))</f>
        <v/>
      </c>
    </row>
    <row r="57">
      <c r="A57" s="6">
        <f>IF('1_Datos'!A58="","",'1_Datos'!A58)</f>
        <v/>
      </c>
      <c r="B57" s="6">
        <f>IF(A57="","",'1_Datos'!B58)</f>
        <v/>
      </c>
      <c r="C57" s="6">
        <f>IF(A57="","",'1_Datos'!C58)</f>
        <v/>
      </c>
      <c r="D57" s="7">
        <f>IF(A57="","",'1_Datos'!D58)</f>
        <v/>
      </c>
      <c r="E57" s="7">
        <f>IF(A57="","",IF('1_Datos'!E58="","",'1_Datos'!E58))</f>
        <v/>
      </c>
      <c r="F57" s="6">
        <f>IF(A57="","",'1_Datos'!F58)</f>
        <v/>
      </c>
      <c r="G57" s="6">
        <f>IF(A57="","",IF(OR(UPPER(F57)="ALTA",UPPER(F57)="P1",F57=1),"Alta",IF(OR(UPPER(F57)="MEDIA",UPPER(F57)="P2",F57=2),"Media",IF(OR(UPPER(F57)="BAJA",UPPER(F57)="P3",F57=3),"Baja","Media"))))</f>
        <v/>
      </c>
      <c r="H57" s="6">
        <f>IF(A57="","",'1_Datos'!G58)</f>
        <v/>
      </c>
      <c r="I57" s="6">
        <f>IF(A57="","",IF(G57="Alta",'2_Parametros'!$B$7,IF(G57="Media",'2_Parametros'!$B$8,'2_Parametros'!$B$9)))</f>
        <v/>
      </c>
      <c r="J57" s="6">
        <f>IF(A57="","",IF(E57&lt;&gt;"",E57-D57+1,IF(D57="","",'2_Parametros'!$B$24-D57+1)))</f>
        <v/>
      </c>
      <c r="K57" s="6">
        <f>IF(A57="","",IF(G57="Alta",'2_Parametros'!$B$11,IF(G57="Media",'2_Parametros'!$B$12,'2_Parametros'!$B$13)))</f>
        <v/>
      </c>
      <c r="L57" s="6">
        <f>IF(A57="","",IF(AND(UPPER(H57)="COMPLETADA",E57&lt;&gt;"",J57&lt;=K57),1,0))</f>
        <v/>
      </c>
      <c r="M57" s="15">
        <f>IF(A57="","",IF(OR(J57="",J57=0),0,MIN(1,K57/J57)))</f>
        <v/>
      </c>
      <c r="N57" s="6">
        <f>IF(A57="","",IF(OR(AND(E57&lt;&gt;"",E57&gt;='2_Parametros'!$B$23,E57&lt;='2_Parametros'!$B$24),AND(D57&lt;&gt;"",D57&gt;='2_Parametros'!$B$23,D57&lt;='2_Parametros'!$B$24)),1,0))</f>
        <v/>
      </c>
      <c r="O57" s="6">
        <f>IF(A57="","",IF(AND(UPPER(H57)="COMPLETADA",E57&lt;&gt;""),1,0))</f>
        <v/>
      </c>
      <c r="P57" s="6">
        <f>IF(A57="","",IF(AND(UPPER(H57)&lt;&gt;"COMPLETADA",UPPER(H57)&lt;&gt;"CANCELADA",D57&lt;&gt;"",D57+K57-1&lt;'2_Parametros'!$B$24),1,0))</f>
        <v/>
      </c>
      <c r="Q57" s="6">
        <f>IF(A57="","",IF(OR(AND(O57=1,E57&gt;='2_Parametros'!$B$23,E57&lt;='2_Parametros'!$B$24),AND('2_Parametros'!$B$21=1,P57=1,N57=1)),1,0))</f>
        <v/>
      </c>
      <c r="R57" s="6">
        <f>IF(A57="","",IF(Q57=1,I57*L57,0))</f>
        <v/>
      </c>
      <c r="S57" s="6">
        <f>IF(A57="","",IF(Q57=1,I57*M57,0))</f>
        <v/>
      </c>
    </row>
    <row r="58">
      <c r="A58" s="6">
        <f>IF('1_Datos'!A59="","",'1_Datos'!A59)</f>
        <v/>
      </c>
      <c r="B58" s="6">
        <f>IF(A58="","",'1_Datos'!B59)</f>
        <v/>
      </c>
      <c r="C58" s="6">
        <f>IF(A58="","",'1_Datos'!C59)</f>
        <v/>
      </c>
      <c r="D58" s="7">
        <f>IF(A58="","",'1_Datos'!D59)</f>
        <v/>
      </c>
      <c r="E58" s="7">
        <f>IF(A58="","",IF('1_Datos'!E59="","",'1_Datos'!E59))</f>
        <v/>
      </c>
      <c r="F58" s="6">
        <f>IF(A58="","",'1_Datos'!F59)</f>
        <v/>
      </c>
      <c r="G58" s="6">
        <f>IF(A58="","",IF(OR(UPPER(F58)="ALTA",UPPER(F58)="P1",F58=1),"Alta",IF(OR(UPPER(F58)="MEDIA",UPPER(F58)="P2",F58=2),"Media",IF(OR(UPPER(F58)="BAJA",UPPER(F58)="P3",F58=3),"Baja","Media"))))</f>
        <v/>
      </c>
      <c r="H58" s="6">
        <f>IF(A58="","",'1_Datos'!G59)</f>
        <v/>
      </c>
      <c r="I58" s="6">
        <f>IF(A58="","",IF(G58="Alta",'2_Parametros'!$B$7,IF(G58="Media",'2_Parametros'!$B$8,'2_Parametros'!$B$9)))</f>
        <v/>
      </c>
      <c r="J58" s="6">
        <f>IF(A58="","",IF(E58&lt;&gt;"",E58-D58+1,IF(D58="","",'2_Parametros'!$B$24-D58+1)))</f>
        <v/>
      </c>
      <c r="K58" s="6">
        <f>IF(A58="","",IF(G58="Alta",'2_Parametros'!$B$11,IF(G58="Media",'2_Parametros'!$B$12,'2_Parametros'!$B$13)))</f>
        <v/>
      </c>
      <c r="L58" s="6">
        <f>IF(A58="","",IF(AND(UPPER(H58)="COMPLETADA",E58&lt;&gt;"",J58&lt;=K58),1,0))</f>
        <v/>
      </c>
      <c r="M58" s="15">
        <f>IF(A58="","",IF(OR(J58="",J58=0),0,MIN(1,K58/J58)))</f>
        <v/>
      </c>
      <c r="N58" s="6">
        <f>IF(A58="","",IF(OR(AND(E58&lt;&gt;"",E58&gt;='2_Parametros'!$B$23,E58&lt;='2_Parametros'!$B$24),AND(D58&lt;&gt;"",D58&gt;='2_Parametros'!$B$23,D58&lt;='2_Parametros'!$B$24)),1,0))</f>
        <v/>
      </c>
      <c r="O58" s="6">
        <f>IF(A58="","",IF(AND(UPPER(H58)="COMPLETADA",E58&lt;&gt;""),1,0))</f>
        <v/>
      </c>
      <c r="P58" s="6">
        <f>IF(A58="","",IF(AND(UPPER(H58)&lt;&gt;"COMPLETADA",UPPER(H58)&lt;&gt;"CANCELADA",D58&lt;&gt;"",D58+K58-1&lt;'2_Parametros'!$B$24),1,0))</f>
        <v/>
      </c>
      <c r="Q58" s="6">
        <f>IF(A58="","",IF(OR(AND(O58=1,E58&gt;='2_Parametros'!$B$23,E58&lt;='2_Parametros'!$B$24),AND('2_Parametros'!$B$21=1,P58=1,N58=1)),1,0))</f>
        <v/>
      </c>
      <c r="R58" s="6">
        <f>IF(A58="","",IF(Q58=1,I58*L58,0))</f>
        <v/>
      </c>
      <c r="S58" s="6">
        <f>IF(A58="","",IF(Q58=1,I58*M58,0))</f>
        <v/>
      </c>
    </row>
    <row r="59">
      <c r="A59" s="6">
        <f>IF('1_Datos'!A60="","",'1_Datos'!A60)</f>
        <v/>
      </c>
      <c r="B59" s="6">
        <f>IF(A59="","",'1_Datos'!B60)</f>
        <v/>
      </c>
      <c r="C59" s="6">
        <f>IF(A59="","",'1_Datos'!C60)</f>
        <v/>
      </c>
      <c r="D59" s="7">
        <f>IF(A59="","",'1_Datos'!D60)</f>
        <v/>
      </c>
      <c r="E59" s="7">
        <f>IF(A59="","",IF('1_Datos'!E60="","",'1_Datos'!E60))</f>
        <v/>
      </c>
      <c r="F59" s="6">
        <f>IF(A59="","",'1_Datos'!F60)</f>
        <v/>
      </c>
      <c r="G59" s="6">
        <f>IF(A59="","",IF(OR(UPPER(F59)="ALTA",UPPER(F59)="P1",F59=1),"Alta",IF(OR(UPPER(F59)="MEDIA",UPPER(F59)="P2",F59=2),"Media",IF(OR(UPPER(F59)="BAJA",UPPER(F59)="P3",F59=3),"Baja","Media"))))</f>
        <v/>
      </c>
      <c r="H59" s="6">
        <f>IF(A59="","",'1_Datos'!G60)</f>
        <v/>
      </c>
      <c r="I59" s="6">
        <f>IF(A59="","",IF(G59="Alta",'2_Parametros'!$B$7,IF(G59="Media",'2_Parametros'!$B$8,'2_Parametros'!$B$9)))</f>
        <v/>
      </c>
      <c r="J59" s="6">
        <f>IF(A59="","",IF(E59&lt;&gt;"",E59-D59+1,IF(D59="","",'2_Parametros'!$B$24-D59+1)))</f>
        <v/>
      </c>
      <c r="K59" s="6">
        <f>IF(A59="","",IF(G59="Alta",'2_Parametros'!$B$11,IF(G59="Media",'2_Parametros'!$B$12,'2_Parametros'!$B$13)))</f>
        <v/>
      </c>
      <c r="L59" s="6">
        <f>IF(A59="","",IF(AND(UPPER(H59)="COMPLETADA",E59&lt;&gt;"",J59&lt;=K59),1,0))</f>
        <v/>
      </c>
      <c r="M59" s="15">
        <f>IF(A59="","",IF(OR(J59="",J59=0),0,MIN(1,K59/J59)))</f>
        <v/>
      </c>
      <c r="N59" s="6">
        <f>IF(A59="","",IF(OR(AND(E59&lt;&gt;"",E59&gt;='2_Parametros'!$B$23,E59&lt;='2_Parametros'!$B$24),AND(D59&lt;&gt;"",D59&gt;='2_Parametros'!$B$23,D59&lt;='2_Parametros'!$B$24)),1,0))</f>
        <v/>
      </c>
      <c r="O59" s="6">
        <f>IF(A59="","",IF(AND(UPPER(H59)="COMPLETADA",E59&lt;&gt;""),1,0))</f>
        <v/>
      </c>
      <c r="P59" s="6">
        <f>IF(A59="","",IF(AND(UPPER(H59)&lt;&gt;"COMPLETADA",UPPER(H59)&lt;&gt;"CANCELADA",D59&lt;&gt;"",D59+K59-1&lt;'2_Parametros'!$B$24),1,0))</f>
        <v/>
      </c>
      <c r="Q59" s="6">
        <f>IF(A59="","",IF(OR(AND(O59=1,E59&gt;='2_Parametros'!$B$23,E59&lt;='2_Parametros'!$B$24),AND('2_Parametros'!$B$21=1,P59=1,N59=1)),1,0))</f>
        <v/>
      </c>
      <c r="R59" s="6">
        <f>IF(A59="","",IF(Q59=1,I59*L59,0))</f>
        <v/>
      </c>
      <c r="S59" s="6">
        <f>IF(A59="","",IF(Q59=1,I59*M59,0))</f>
        <v/>
      </c>
    </row>
    <row r="60">
      <c r="A60" s="6">
        <f>IF('1_Datos'!A61="","",'1_Datos'!A61)</f>
        <v/>
      </c>
      <c r="B60" s="6">
        <f>IF(A60="","",'1_Datos'!B61)</f>
        <v/>
      </c>
      <c r="C60" s="6">
        <f>IF(A60="","",'1_Datos'!C61)</f>
        <v/>
      </c>
      <c r="D60" s="7">
        <f>IF(A60="","",'1_Datos'!D61)</f>
        <v/>
      </c>
      <c r="E60" s="7">
        <f>IF(A60="","",IF('1_Datos'!E61="","",'1_Datos'!E61))</f>
        <v/>
      </c>
      <c r="F60" s="6">
        <f>IF(A60="","",'1_Datos'!F61)</f>
        <v/>
      </c>
      <c r="G60" s="6">
        <f>IF(A60="","",IF(OR(UPPER(F60)="ALTA",UPPER(F60)="P1",F60=1),"Alta",IF(OR(UPPER(F60)="MEDIA",UPPER(F60)="P2",F60=2),"Media",IF(OR(UPPER(F60)="BAJA",UPPER(F60)="P3",F60=3),"Baja","Media"))))</f>
        <v/>
      </c>
      <c r="H60" s="6">
        <f>IF(A60="","",'1_Datos'!G61)</f>
        <v/>
      </c>
      <c r="I60" s="6">
        <f>IF(A60="","",IF(G60="Alta",'2_Parametros'!$B$7,IF(G60="Media",'2_Parametros'!$B$8,'2_Parametros'!$B$9)))</f>
        <v/>
      </c>
      <c r="J60" s="6">
        <f>IF(A60="","",IF(E60&lt;&gt;"",E60-D60+1,IF(D60="","",'2_Parametros'!$B$24-D60+1)))</f>
        <v/>
      </c>
      <c r="K60" s="6">
        <f>IF(A60="","",IF(G60="Alta",'2_Parametros'!$B$11,IF(G60="Media",'2_Parametros'!$B$12,'2_Parametros'!$B$13)))</f>
        <v/>
      </c>
      <c r="L60" s="6">
        <f>IF(A60="","",IF(AND(UPPER(H60)="COMPLETADA",E60&lt;&gt;"",J60&lt;=K60),1,0))</f>
        <v/>
      </c>
      <c r="M60" s="15">
        <f>IF(A60="","",IF(OR(J60="",J60=0),0,MIN(1,K60/J60)))</f>
        <v/>
      </c>
      <c r="N60" s="6">
        <f>IF(A60="","",IF(OR(AND(E60&lt;&gt;"",E60&gt;='2_Parametros'!$B$23,E60&lt;='2_Parametros'!$B$24),AND(D60&lt;&gt;"",D60&gt;='2_Parametros'!$B$23,D60&lt;='2_Parametros'!$B$24)),1,0))</f>
        <v/>
      </c>
      <c r="O60" s="6">
        <f>IF(A60="","",IF(AND(UPPER(H60)="COMPLETADA",E60&lt;&gt;""),1,0))</f>
        <v/>
      </c>
      <c r="P60" s="6">
        <f>IF(A60="","",IF(AND(UPPER(H60)&lt;&gt;"COMPLETADA",UPPER(H60)&lt;&gt;"CANCELADA",D60&lt;&gt;"",D60+K60-1&lt;'2_Parametros'!$B$24),1,0))</f>
        <v/>
      </c>
      <c r="Q60" s="6">
        <f>IF(A60="","",IF(OR(AND(O60=1,E60&gt;='2_Parametros'!$B$23,E60&lt;='2_Parametros'!$B$24),AND('2_Parametros'!$B$21=1,P60=1,N60=1)),1,0))</f>
        <v/>
      </c>
      <c r="R60" s="6">
        <f>IF(A60="","",IF(Q60=1,I60*L60,0))</f>
        <v/>
      </c>
      <c r="S60" s="6">
        <f>IF(A60="","",IF(Q60=1,I60*M60,0))</f>
        <v/>
      </c>
    </row>
    <row r="61">
      <c r="A61" s="6">
        <f>IF('1_Datos'!A62="","",'1_Datos'!A62)</f>
        <v/>
      </c>
      <c r="B61" s="6">
        <f>IF(A61="","",'1_Datos'!B62)</f>
        <v/>
      </c>
      <c r="C61" s="6">
        <f>IF(A61="","",'1_Datos'!C62)</f>
        <v/>
      </c>
      <c r="D61" s="7">
        <f>IF(A61="","",'1_Datos'!D62)</f>
        <v/>
      </c>
      <c r="E61" s="7">
        <f>IF(A61="","",IF('1_Datos'!E62="","",'1_Datos'!E62))</f>
        <v/>
      </c>
      <c r="F61" s="6">
        <f>IF(A61="","",'1_Datos'!F62)</f>
        <v/>
      </c>
      <c r="G61" s="6">
        <f>IF(A61="","",IF(OR(UPPER(F61)="ALTA",UPPER(F61)="P1",F61=1),"Alta",IF(OR(UPPER(F61)="MEDIA",UPPER(F61)="P2",F61=2),"Media",IF(OR(UPPER(F61)="BAJA",UPPER(F61)="P3",F61=3),"Baja","Media"))))</f>
        <v/>
      </c>
      <c r="H61" s="6">
        <f>IF(A61="","",'1_Datos'!G62)</f>
        <v/>
      </c>
      <c r="I61" s="6">
        <f>IF(A61="","",IF(G61="Alta",'2_Parametros'!$B$7,IF(G61="Media",'2_Parametros'!$B$8,'2_Parametros'!$B$9)))</f>
        <v/>
      </c>
      <c r="J61" s="6">
        <f>IF(A61="","",IF(E61&lt;&gt;"",E61-D61+1,IF(D61="","",'2_Parametros'!$B$24-D61+1)))</f>
        <v/>
      </c>
      <c r="K61" s="6">
        <f>IF(A61="","",IF(G61="Alta",'2_Parametros'!$B$11,IF(G61="Media",'2_Parametros'!$B$12,'2_Parametros'!$B$13)))</f>
        <v/>
      </c>
      <c r="L61" s="6">
        <f>IF(A61="","",IF(AND(UPPER(H61)="COMPLETADA",E61&lt;&gt;"",J61&lt;=K61),1,0))</f>
        <v/>
      </c>
      <c r="M61" s="15">
        <f>IF(A61="","",IF(OR(J61="",J61=0),0,MIN(1,K61/J61)))</f>
        <v/>
      </c>
      <c r="N61" s="6">
        <f>IF(A61="","",IF(OR(AND(E61&lt;&gt;"",E61&gt;='2_Parametros'!$B$23,E61&lt;='2_Parametros'!$B$24),AND(D61&lt;&gt;"",D61&gt;='2_Parametros'!$B$23,D61&lt;='2_Parametros'!$B$24)),1,0))</f>
        <v/>
      </c>
      <c r="O61" s="6">
        <f>IF(A61="","",IF(AND(UPPER(H61)="COMPLETADA",E61&lt;&gt;""),1,0))</f>
        <v/>
      </c>
      <c r="P61" s="6">
        <f>IF(A61="","",IF(AND(UPPER(H61)&lt;&gt;"COMPLETADA",UPPER(H61)&lt;&gt;"CANCELADA",D61&lt;&gt;"",D61+K61-1&lt;'2_Parametros'!$B$24),1,0))</f>
        <v/>
      </c>
      <c r="Q61" s="6">
        <f>IF(A61="","",IF(OR(AND(O61=1,E61&gt;='2_Parametros'!$B$23,E61&lt;='2_Parametros'!$B$24),AND('2_Parametros'!$B$21=1,P61=1,N61=1)),1,0))</f>
        <v/>
      </c>
      <c r="R61" s="6">
        <f>IF(A61="","",IF(Q61=1,I61*L61,0))</f>
        <v/>
      </c>
      <c r="S61" s="6">
        <f>IF(A61="","",IF(Q61=1,I61*M61,0))</f>
        <v/>
      </c>
    </row>
    <row r="62">
      <c r="A62" s="6">
        <f>IF('1_Datos'!A63="","",'1_Datos'!A63)</f>
        <v/>
      </c>
      <c r="B62" s="6">
        <f>IF(A62="","",'1_Datos'!B63)</f>
        <v/>
      </c>
      <c r="C62" s="6">
        <f>IF(A62="","",'1_Datos'!C63)</f>
        <v/>
      </c>
      <c r="D62" s="7">
        <f>IF(A62="","",'1_Datos'!D63)</f>
        <v/>
      </c>
      <c r="E62" s="7">
        <f>IF(A62="","",IF('1_Datos'!E63="","",'1_Datos'!E63))</f>
        <v/>
      </c>
      <c r="F62" s="6">
        <f>IF(A62="","",'1_Datos'!F63)</f>
        <v/>
      </c>
      <c r="G62" s="6">
        <f>IF(A62="","",IF(OR(UPPER(F62)="ALTA",UPPER(F62)="P1",F62=1),"Alta",IF(OR(UPPER(F62)="MEDIA",UPPER(F62)="P2",F62=2),"Media",IF(OR(UPPER(F62)="BAJA",UPPER(F62)="P3",F62=3),"Baja","Media"))))</f>
        <v/>
      </c>
      <c r="H62" s="6">
        <f>IF(A62="","",'1_Datos'!G63)</f>
        <v/>
      </c>
      <c r="I62" s="6">
        <f>IF(A62="","",IF(G62="Alta",'2_Parametros'!$B$7,IF(G62="Media",'2_Parametros'!$B$8,'2_Parametros'!$B$9)))</f>
        <v/>
      </c>
      <c r="J62" s="6">
        <f>IF(A62="","",IF(E62&lt;&gt;"",E62-D62+1,IF(D62="","",'2_Parametros'!$B$24-D62+1)))</f>
        <v/>
      </c>
      <c r="K62" s="6">
        <f>IF(A62="","",IF(G62="Alta",'2_Parametros'!$B$11,IF(G62="Media",'2_Parametros'!$B$12,'2_Parametros'!$B$13)))</f>
        <v/>
      </c>
      <c r="L62" s="6">
        <f>IF(A62="","",IF(AND(UPPER(H62)="COMPLETADA",E62&lt;&gt;"",J62&lt;=K62),1,0))</f>
        <v/>
      </c>
      <c r="M62" s="15">
        <f>IF(A62="","",IF(OR(J62="",J62=0),0,MIN(1,K62/J62)))</f>
        <v/>
      </c>
      <c r="N62" s="6">
        <f>IF(A62="","",IF(OR(AND(E62&lt;&gt;"",E62&gt;='2_Parametros'!$B$23,E62&lt;='2_Parametros'!$B$24),AND(D62&lt;&gt;"",D62&gt;='2_Parametros'!$B$23,D62&lt;='2_Parametros'!$B$24)),1,0))</f>
        <v/>
      </c>
      <c r="O62" s="6">
        <f>IF(A62="","",IF(AND(UPPER(H62)="COMPLETADA",E62&lt;&gt;""),1,0))</f>
        <v/>
      </c>
      <c r="P62" s="6">
        <f>IF(A62="","",IF(AND(UPPER(H62)&lt;&gt;"COMPLETADA",UPPER(H62)&lt;&gt;"CANCELADA",D62&lt;&gt;"",D62+K62-1&lt;'2_Parametros'!$B$24),1,0))</f>
        <v/>
      </c>
      <c r="Q62" s="6">
        <f>IF(A62="","",IF(OR(AND(O62=1,E62&gt;='2_Parametros'!$B$23,E62&lt;='2_Parametros'!$B$24),AND('2_Parametros'!$B$21=1,P62=1,N62=1)),1,0))</f>
        <v/>
      </c>
      <c r="R62" s="6">
        <f>IF(A62="","",IF(Q62=1,I62*L62,0))</f>
        <v/>
      </c>
      <c r="S62" s="6">
        <f>IF(A62="","",IF(Q62=1,I62*M62,0))</f>
        <v/>
      </c>
    </row>
    <row r="63">
      <c r="A63" s="6">
        <f>IF('1_Datos'!A64="","",'1_Datos'!A64)</f>
        <v/>
      </c>
      <c r="B63" s="6">
        <f>IF(A63="","",'1_Datos'!B64)</f>
        <v/>
      </c>
      <c r="C63" s="6">
        <f>IF(A63="","",'1_Datos'!C64)</f>
        <v/>
      </c>
      <c r="D63" s="7">
        <f>IF(A63="","",'1_Datos'!D64)</f>
        <v/>
      </c>
      <c r="E63" s="7">
        <f>IF(A63="","",IF('1_Datos'!E64="","",'1_Datos'!E64))</f>
        <v/>
      </c>
      <c r="F63" s="6">
        <f>IF(A63="","",'1_Datos'!F64)</f>
        <v/>
      </c>
      <c r="G63" s="6">
        <f>IF(A63="","",IF(OR(UPPER(F63)="ALTA",UPPER(F63)="P1",F63=1),"Alta",IF(OR(UPPER(F63)="MEDIA",UPPER(F63)="P2",F63=2),"Media",IF(OR(UPPER(F63)="BAJA",UPPER(F63)="P3",F63=3),"Baja","Media"))))</f>
        <v/>
      </c>
      <c r="H63" s="6">
        <f>IF(A63="","",'1_Datos'!G64)</f>
        <v/>
      </c>
      <c r="I63" s="6">
        <f>IF(A63="","",IF(G63="Alta",'2_Parametros'!$B$7,IF(G63="Media",'2_Parametros'!$B$8,'2_Parametros'!$B$9)))</f>
        <v/>
      </c>
      <c r="J63" s="6">
        <f>IF(A63="","",IF(E63&lt;&gt;"",E63-D63+1,IF(D63="","",'2_Parametros'!$B$24-D63+1)))</f>
        <v/>
      </c>
      <c r="K63" s="6">
        <f>IF(A63="","",IF(G63="Alta",'2_Parametros'!$B$11,IF(G63="Media",'2_Parametros'!$B$12,'2_Parametros'!$B$13)))</f>
        <v/>
      </c>
      <c r="L63" s="6">
        <f>IF(A63="","",IF(AND(UPPER(H63)="COMPLETADA",E63&lt;&gt;"",J63&lt;=K63),1,0))</f>
        <v/>
      </c>
      <c r="M63" s="15">
        <f>IF(A63="","",IF(OR(J63="",J63=0),0,MIN(1,K63/J63)))</f>
        <v/>
      </c>
      <c r="N63" s="6">
        <f>IF(A63="","",IF(OR(AND(E63&lt;&gt;"",E63&gt;='2_Parametros'!$B$23,E63&lt;='2_Parametros'!$B$24),AND(D63&lt;&gt;"",D63&gt;='2_Parametros'!$B$23,D63&lt;='2_Parametros'!$B$24)),1,0))</f>
        <v/>
      </c>
      <c r="O63" s="6">
        <f>IF(A63="","",IF(AND(UPPER(H63)="COMPLETADA",E63&lt;&gt;""),1,0))</f>
        <v/>
      </c>
      <c r="P63" s="6">
        <f>IF(A63="","",IF(AND(UPPER(H63)&lt;&gt;"COMPLETADA",UPPER(H63)&lt;&gt;"CANCELADA",D63&lt;&gt;"",D63+K63-1&lt;'2_Parametros'!$B$24),1,0))</f>
        <v/>
      </c>
      <c r="Q63" s="6">
        <f>IF(A63="","",IF(OR(AND(O63=1,E63&gt;='2_Parametros'!$B$23,E63&lt;='2_Parametros'!$B$24),AND('2_Parametros'!$B$21=1,P63=1,N63=1)),1,0))</f>
        <v/>
      </c>
      <c r="R63" s="6">
        <f>IF(A63="","",IF(Q63=1,I63*L63,0))</f>
        <v/>
      </c>
      <c r="S63" s="6">
        <f>IF(A63="","",IF(Q63=1,I63*M63,0))</f>
        <v/>
      </c>
    </row>
    <row r="64">
      <c r="A64" s="6">
        <f>IF('1_Datos'!A65="","",'1_Datos'!A65)</f>
        <v/>
      </c>
      <c r="B64" s="6">
        <f>IF(A64="","",'1_Datos'!B65)</f>
        <v/>
      </c>
      <c r="C64" s="6">
        <f>IF(A64="","",'1_Datos'!C65)</f>
        <v/>
      </c>
      <c r="D64" s="7">
        <f>IF(A64="","",'1_Datos'!D65)</f>
        <v/>
      </c>
      <c r="E64" s="7">
        <f>IF(A64="","",IF('1_Datos'!E65="","",'1_Datos'!E65))</f>
        <v/>
      </c>
      <c r="F64" s="6">
        <f>IF(A64="","",'1_Datos'!F65)</f>
        <v/>
      </c>
      <c r="G64" s="6">
        <f>IF(A64="","",IF(OR(UPPER(F64)="ALTA",UPPER(F64)="P1",F64=1),"Alta",IF(OR(UPPER(F64)="MEDIA",UPPER(F64)="P2",F64=2),"Media",IF(OR(UPPER(F64)="BAJA",UPPER(F64)="P3",F64=3),"Baja","Media"))))</f>
        <v/>
      </c>
      <c r="H64" s="6">
        <f>IF(A64="","",'1_Datos'!G65)</f>
        <v/>
      </c>
      <c r="I64" s="6">
        <f>IF(A64="","",IF(G64="Alta",'2_Parametros'!$B$7,IF(G64="Media",'2_Parametros'!$B$8,'2_Parametros'!$B$9)))</f>
        <v/>
      </c>
      <c r="J64" s="6">
        <f>IF(A64="","",IF(E64&lt;&gt;"",E64-D64+1,IF(D64="","",'2_Parametros'!$B$24-D64+1)))</f>
        <v/>
      </c>
      <c r="K64" s="6">
        <f>IF(A64="","",IF(G64="Alta",'2_Parametros'!$B$11,IF(G64="Media",'2_Parametros'!$B$12,'2_Parametros'!$B$13)))</f>
        <v/>
      </c>
      <c r="L64" s="6">
        <f>IF(A64="","",IF(AND(UPPER(H64)="COMPLETADA",E64&lt;&gt;"",J64&lt;=K64),1,0))</f>
        <v/>
      </c>
      <c r="M64" s="15">
        <f>IF(A64="","",IF(OR(J64="",J64=0),0,MIN(1,K64/J64)))</f>
        <v/>
      </c>
      <c r="N64" s="6">
        <f>IF(A64="","",IF(OR(AND(E64&lt;&gt;"",E64&gt;='2_Parametros'!$B$23,E64&lt;='2_Parametros'!$B$24),AND(D64&lt;&gt;"",D64&gt;='2_Parametros'!$B$23,D64&lt;='2_Parametros'!$B$24)),1,0))</f>
        <v/>
      </c>
      <c r="O64" s="6">
        <f>IF(A64="","",IF(AND(UPPER(H64)="COMPLETADA",E64&lt;&gt;""),1,0))</f>
        <v/>
      </c>
      <c r="P64" s="6">
        <f>IF(A64="","",IF(AND(UPPER(H64)&lt;&gt;"COMPLETADA",UPPER(H64)&lt;&gt;"CANCELADA",D64&lt;&gt;"",D64+K64-1&lt;'2_Parametros'!$B$24),1,0))</f>
        <v/>
      </c>
      <c r="Q64" s="6">
        <f>IF(A64="","",IF(OR(AND(O64=1,E64&gt;='2_Parametros'!$B$23,E64&lt;='2_Parametros'!$B$24),AND('2_Parametros'!$B$21=1,P64=1,N64=1)),1,0))</f>
        <v/>
      </c>
      <c r="R64" s="6">
        <f>IF(A64="","",IF(Q64=1,I64*L64,0))</f>
        <v/>
      </c>
      <c r="S64" s="6">
        <f>IF(A64="","",IF(Q64=1,I64*M64,0))</f>
        <v/>
      </c>
    </row>
    <row r="65">
      <c r="A65" s="6">
        <f>IF('1_Datos'!A66="","",'1_Datos'!A66)</f>
        <v/>
      </c>
      <c r="B65" s="6">
        <f>IF(A65="","",'1_Datos'!B66)</f>
        <v/>
      </c>
      <c r="C65" s="6">
        <f>IF(A65="","",'1_Datos'!C66)</f>
        <v/>
      </c>
      <c r="D65" s="7">
        <f>IF(A65="","",'1_Datos'!D66)</f>
        <v/>
      </c>
      <c r="E65" s="7">
        <f>IF(A65="","",IF('1_Datos'!E66="","",'1_Datos'!E66))</f>
        <v/>
      </c>
      <c r="F65" s="6">
        <f>IF(A65="","",'1_Datos'!F66)</f>
        <v/>
      </c>
      <c r="G65" s="6">
        <f>IF(A65="","",IF(OR(UPPER(F65)="ALTA",UPPER(F65)="P1",F65=1),"Alta",IF(OR(UPPER(F65)="MEDIA",UPPER(F65)="P2",F65=2),"Media",IF(OR(UPPER(F65)="BAJA",UPPER(F65)="P3",F65=3),"Baja","Media"))))</f>
        <v/>
      </c>
      <c r="H65" s="6">
        <f>IF(A65="","",'1_Datos'!G66)</f>
        <v/>
      </c>
      <c r="I65" s="6">
        <f>IF(A65="","",IF(G65="Alta",'2_Parametros'!$B$7,IF(G65="Media",'2_Parametros'!$B$8,'2_Parametros'!$B$9)))</f>
        <v/>
      </c>
      <c r="J65" s="6">
        <f>IF(A65="","",IF(E65&lt;&gt;"",E65-D65+1,IF(D65="","",'2_Parametros'!$B$24-D65+1)))</f>
        <v/>
      </c>
      <c r="K65" s="6">
        <f>IF(A65="","",IF(G65="Alta",'2_Parametros'!$B$11,IF(G65="Media",'2_Parametros'!$B$12,'2_Parametros'!$B$13)))</f>
        <v/>
      </c>
      <c r="L65" s="6">
        <f>IF(A65="","",IF(AND(UPPER(H65)="COMPLETADA",E65&lt;&gt;"",J65&lt;=K65),1,0))</f>
        <v/>
      </c>
      <c r="M65" s="15">
        <f>IF(A65="","",IF(OR(J65="",J65=0),0,MIN(1,K65/J65)))</f>
        <v/>
      </c>
      <c r="N65" s="6">
        <f>IF(A65="","",IF(OR(AND(E65&lt;&gt;"",E65&gt;='2_Parametros'!$B$23,E65&lt;='2_Parametros'!$B$24),AND(D65&lt;&gt;"",D65&gt;='2_Parametros'!$B$23,D65&lt;='2_Parametros'!$B$24)),1,0))</f>
        <v/>
      </c>
      <c r="O65" s="6">
        <f>IF(A65="","",IF(AND(UPPER(H65)="COMPLETADA",E65&lt;&gt;""),1,0))</f>
        <v/>
      </c>
      <c r="P65" s="6">
        <f>IF(A65="","",IF(AND(UPPER(H65)&lt;&gt;"COMPLETADA",UPPER(H65)&lt;&gt;"CANCELADA",D65&lt;&gt;"",D65+K65-1&lt;'2_Parametros'!$B$24),1,0))</f>
        <v/>
      </c>
      <c r="Q65" s="6">
        <f>IF(A65="","",IF(OR(AND(O65=1,E65&gt;='2_Parametros'!$B$23,E65&lt;='2_Parametros'!$B$24),AND('2_Parametros'!$B$21=1,P65=1,N65=1)),1,0))</f>
        <v/>
      </c>
      <c r="R65" s="6">
        <f>IF(A65="","",IF(Q65=1,I65*L65,0))</f>
        <v/>
      </c>
      <c r="S65" s="6">
        <f>IF(A65="","",IF(Q65=1,I65*M65,0))</f>
        <v/>
      </c>
    </row>
    <row r="66">
      <c r="A66" s="6">
        <f>IF('1_Datos'!A67="","",'1_Datos'!A67)</f>
        <v/>
      </c>
      <c r="B66" s="6">
        <f>IF(A66="","",'1_Datos'!B67)</f>
        <v/>
      </c>
      <c r="C66" s="6">
        <f>IF(A66="","",'1_Datos'!C67)</f>
        <v/>
      </c>
      <c r="D66" s="7">
        <f>IF(A66="","",'1_Datos'!D67)</f>
        <v/>
      </c>
      <c r="E66" s="7">
        <f>IF(A66="","",IF('1_Datos'!E67="","",'1_Datos'!E67))</f>
        <v/>
      </c>
      <c r="F66" s="6">
        <f>IF(A66="","",'1_Datos'!F67)</f>
        <v/>
      </c>
      <c r="G66" s="6">
        <f>IF(A66="","",IF(OR(UPPER(F66)="ALTA",UPPER(F66)="P1",F66=1),"Alta",IF(OR(UPPER(F66)="MEDIA",UPPER(F66)="P2",F66=2),"Media",IF(OR(UPPER(F66)="BAJA",UPPER(F66)="P3",F66=3),"Baja","Media"))))</f>
        <v/>
      </c>
      <c r="H66" s="6">
        <f>IF(A66="","",'1_Datos'!G67)</f>
        <v/>
      </c>
      <c r="I66" s="6">
        <f>IF(A66="","",IF(G66="Alta",'2_Parametros'!$B$7,IF(G66="Media",'2_Parametros'!$B$8,'2_Parametros'!$B$9)))</f>
        <v/>
      </c>
      <c r="J66" s="6">
        <f>IF(A66="","",IF(E66&lt;&gt;"",E66-D66+1,IF(D66="","",'2_Parametros'!$B$24-D66+1)))</f>
        <v/>
      </c>
      <c r="K66" s="6">
        <f>IF(A66="","",IF(G66="Alta",'2_Parametros'!$B$11,IF(G66="Media",'2_Parametros'!$B$12,'2_Parametros'!$B$13)))</f>
        <v/>
      </c>
      <c r="L66" s="6">
        <f>IF(A66="","",IF(AND(UPPER(H66)="COMPLETADA",E66&lt;&gt;"",J66&lt;=K66),1,0))</f>
        <v/>
      </c>
      <c r="M66" s="15">
        <f>IF(A66="","",IF(OR(J66="",J66=0),0,MIN(1,K66/J66)))</f>
        <v/>
      </c>
      <c r="N66" s="6">
        <f>IF(A66="","",IF(OR(AND(E66&lt;&gt;"",E66&gt;='2_Parametros'!$B$23,E66&lt;='2_Parametros'!$B$24),AND(D66&lt;&gt;"",D66&gt;='2_Parametros'!$B$23,D66&lt;='2_Parametros'!$B$24)),1,0))</f>
        <v/>
      </c>
      <c r="O66" s="6">
        <f>IF(A66="","",IF(AND(UPPER(H66)="COMPLETADA",E66&lt;&gt;""),1,0))</f>
        <v/>
      </c>
      <c r="P66" s="6">
        <f>IF(A66="","",IF(AND(UPPER(H66)&lt;&gt;"COMPLETADA",UPPER(H66)&lt;&gt;"CANCELADA",D66&lt;&gt;"",D66+K66-1&lt;'2_Parametros'!$B$24),1,0))</f>
        <v/>
      </c>
      <c r="Q66" s="6">
        <f>IF(A66="","",IF(OR(AND(O66=1,E66&gt;='2_Parametros'!$B$23,E66&lt;='2_Parametros'!$B$24),AND('2_Parametros'!$B$21=1,P66=1,N66=1)),1,0))</f>
        <v/>
      </c>
      <c r="R66" s="6">
        <f>IF(A66="","",IF(Q66=1,I66*L66,0))</f>
        <v/>
      </c>
      <c r="S66" s="6">
        <f>IF(A66="","",IF(Q66=1,I66*M66,0))</f>
        <v/>
      </c>
    </row>
    <row r="67">
      <c r="A67" s="6">
        <f>IF('1_Datos'!A68="","",'1_Datos'!A68)</f>
        <v/>
      </c>
      <c r="B67" s="6">
        <f>IF(A67="","",'1_Datos'!B68)</f>
        <v/>
      </c>
      <c r="C67" s="6">
        <f>IF(A67="","",'1_Datos'!C68)</f>
        <v/>
      </c>
      <c r="D67" s="7">
        <f>IF(A67="","",'1_Datos'!D68)</f>
        <v/>
      </c>
      <c r="E67" s="7">
        <f>IF(A67="","",IF('1_Datos'!E68="","",'1_Datos'!E68))</f>
        <v/>
      </c>
      <c r="F67" s="6">
        <f>IF(A67="","",'1_Datos'!F68)</f>
        <v/>
      </c>
      <c r="G67" s="6">
        <f>IF(A67="","",IF(OR(UPPER(F67)="ALTA",UPPER(F67)="P1",F67=1),"Alta",IF(OR(UPPER(F67)="MEDIA",UPPER(F67)="P2",F67=2),"Media",IF(OR(UPPER(F67)="BAJA",UPPER(F67)="P3",F67=3),"Baja","Media"))))</f>
        <v/>
      </c>
      <c r="H67" s="6">
        <f>IF(A67="","",'1_Datos'!G68)</f>
        <v/>
      </c>
      <c r="I67" s="6">
        <f>IF(A67="","",IF(G67="Alta",'2_Parametros'!$B$7,IF(G67="Media",'2_Parametros'!$B$8,'2_Parametros'!$B$9)))</f>
        <v/>
      </c>
      <c r="J67" s="6">
        <f>IF(A67="","",IF(E67&lt;&gt;"",E67-D67+1,IF(D67="","",'2_Parametros'!$B$24-D67+1)))</f>
        <v/>
      </c>
      <c r="K67" s="6">
        <f>IF(A67="","",IF(G67="Alta",'2_Parametros'!$B$11,IF(G67="Media",'2_Parametros'!$B$12,'2_Parametros'!$B$13)))</f>
        <v/>
      </c>
      <c r="L67" s="6">
        <f>IF(A67="","",IF(AND(UPPER(H67)="COMPLETADA",E67&lt;&gt;"",J67&lt;=K67),1,0))</f>
        <v/>
      </c>
      <c r="M67" s="15">
        <f>IF(A67="","",IF(OR(J67="",J67=0),0,MIN(1,K67/J67)))</f>
        <v/>
      </c>
      <c r="N67" s="6">
        <f>IF(A67="","",IF(OR(AND(E67&lt;&gt;"",E67&gt;='2_Parametros'!$B$23,E67&lt;='2_Parametros'!$B$24),AND(D67&lt;&gt;"",D67&gt;='2_Parametros'!$B$23,D67&lt;='2_Parametros'!$B$24)),1,0))</f>
        <v/>
      </c>
      <c r="O67" s="6">
        <f>IF(A67="","",IF(AND(UPPER(H67)="COMPLETADA",E67&lt;&gt;""),1,0))</f>
        <v/>
      </c>
      <c r="P67" s="6">
        <f>IF(A67="","",IF(AND(UPPER(H67)&lt;&gt;"COMPLETADA",UPPER(H67)&lt;&gt;"CANCELADA",D67&lt;&gt;"",D67+K67-1&lt;'2_Parametros'!$B$24),1,0))</f>
        <v/>
      </c>
      <c r="Q67" s="6">
        <f>IF(A67="","",IF(OR(AND(O67=1,E67&gt;='2_Parametros'!$B$23,E67&lt;='2_Parametros'!$B$24),AND('2_Parametros'!$B$21=1,P67=1,N67=1)),1,0))</f>
        <v/>
      </c>
      <c r="R67" s="6">
        <f>IF(A67="","",IF(Q67=1,I67*L67,0))</f>
        <v/>
      </c>
      <c r="S67" s="6">
        <f>IF(A67="","",IF(Q67=1,I67*M67,0))</f>
        <v/>
      </c>
    </row>
    <row r="68">
      <c r="A68" s="6">
        <f>IF('1_Datos'!A69="","",'1_Datos'!A69)</f>
        <v/>
      </c>
      <c r="B68" s="6">
        <f>IF(A68="","",'1_Datos'!B69)</f>
        <v/>
      </c>
      <c r="C68" s="6">
        <f>IF(A68="","",'1_Datos'!C69)</f>
        <v/>
      </c>
      <c r="D68" s="7">
        <f>IF(A68="","",'1_Datos'!D69)</f>
        <v/>
      </c>
      <c r="E68" s="7">
        <f>IF(A68="","",IF('1_Datos'!E69="","",'1_Datos'!E69))</f>
        <v/>
      </c>
      <c r="F68" s="6">
        <f>IF(A68="","",'1_Datos'!F69)</f>
        <v/>
      </c>
      <c r="G68" s="6">
        <f>IF(A68="","",IF(OR(UPPER(F68)="ALTA",UPPER(F68)="P1",F68=1),"Alta",IF(OR(UPPER(F68)="MEDIA",UPPER(F68)="P2",F68=2),"Media",IF(OR(UPPER(F68)="BAJA",UPPER(F68)="P3",F68=3),"Baja","Media"))))</f>
        <v/>
      </c>
      <c r="H68" s="6">
        <f>IF(A68="","",'1_Datos'!G69)</f>
        <v/>
      </c>
      <c r="I68" s="6">
        <f>IF(A68="","",IF(G68="Alta",'2_Parametros'!$B$7,IF(G68="Media",'2_Parametros'!$B$8,'2_Parametros'!$B$9)))</f>
        <v/>
      </c>
      <c r="J68" s="6">
        <f>IF(A68="","",IF(E68&lt;&gt;"",E68-D68+1,IF(D68="","",'2_Parametros'!$B$24-D68+1)))</f>
        <v/>
      </c>
      <c r="K68" s="6">
        <f>IF(A68="","",IF(G68="Alta",'2_Parametros'!$B$11,IF(G68="Media",'2_Parametros'!$B$12,'2_Parametros'!$B$13)))</f>
        <v/>
      </c>
      <c r="L68" s="6">
        <f>IF(A68="","",IF(AND(UPPER(H68)="COMPLETADA",E68&lt;&gt;"",J68&lt;=K68),1,0))</f>
        <v/>
      </c>
      <c r="M68" s="15">
        <f>IF(A68="","",IF(OR(J68="",J68=0),0,MIN(1,K68/J68)))</f>
        <v/>
      </c>
      <c r="N68" s="6">
        <f>IF(A68="","",IF(OR(AND(E68&lt;&gt;"",E68&gt;='2_Parametros'!$B$23,E68&lt;='2_Parametros'!$B$24),AND(D68&lt;&gt;"",D68&gt;='2_Parametros'!$B$23,D68&lt;='2_Parametros'!$B$24)),1,0))</f>
        <v/>
      </c>
      <c r="O68" s="6">
        <f>IF(A68="","",IF(AND(UPPER(H68)="COMPLETADA",E68&lt;&gt;""),1,0))</f>
        <v/>
      </c>
      <c r="P68" s="6">
        <f>IF(A68="","",IF(AND(UPPER(H68)&lt;&gt;"COMPLETADA",UPPER(H68)&lt;&gt;"CANCELADA",D68&lt;&gt;"",D68+K68-1&lt;'2_Parametros'!$B$24),1,0))</f>
        <v/>
      </c>
      <c r="Q68" s="6">
        <f>IF(A68="","",IF(OR(AND(O68=1,E68&gt;='2_Parametros'!$B$23,E68&lt;='2_Parametros'!$B$24),AND('2_Parametros'!$B$21=1,P68=1,N68=1)),1,0))</f>
        <v/>
      </c>
      <c r="R68" s="6">
        <f>IF(A68="","",IF(Q68=1,I68*L68,0))</f>
        <v/>
      </c>
      <c r="S68" s="6">
        <f>IF(A68="","",IF(Q68=1,I68*M68,0))</f>
        <v/>
      </c>
    </row>
    <row r="69">
      <c r="A69" s="6">
        <f>IF('1_Datos'!A70="","",'1_Datos'!A70)</f>
        <v/>
      </c>
      <c r="B69" s="6">
        <f>IF(A69="","",'1_Datos'!B70)</f>
        <v/>
      </c>
      <c r="C69" s="6">
        <f>IF(A69="","",'1_Datos'!C70)</f>
        <v/>
      </c>
      <c r="D69" s="7">
        <f>IF(A69="","",'1_Datos'!D70)</f>
        <v/>
      </c>
      <c r="E69" s="7">
        <f>IF(A69="","",IF('1_Datos'!E70="","",'1_Datos'!E70))</f>
        <v/>
      </c>
      <c r="F69" s="6">
        <f>IF(A69="","",'1_Datos'!F70)</f>
        <v/>
      </c>
      <c r="G69" s="6">
        <f>IF(A69="","",IF(OR(UPPER(F69)="ALTA",UPPER(F69)="P1",F69=1),"Alta",IF(OR(UPPER(F69)="MEDIA",UPPER(F69)="P2",F69=2),"Media",IF(OR(UPPER(F69)="BAJA",UPPER(F69)="P3",F69=3),"Baja","Media"))))</f>
        <v/>
      </c>
      <c r="H69" s="6">
        <f>IF(A69="","",'1_Datos'!G70)</f>
        <v/>
      </c>
      <c r="I69" s="6">
        <f>IF(A69="","",IF(G69="Alta",'2_Parametros'!$B$7,IF(G69="Media",'2_Parametros'!$B$8,'2_Parametros'!$B$9)))</f>
        <v/>
      </c>
      <c r="J69" s="6">
        <f>IF(A69="","",IF(E69&lt;&gt;"",E69-D69+1,IF(D69="","",'2_Parametros'!$B$24-D69+1)))</f>
        <v/>
      </c>
      <c r="K69" s="6">
        <f>IF(A69="","",IF(G69="Alta",'2_Parametros'!$B$11,IF(G69="Media",'2_Parametros'!$B$12,'2_Parametros'!$B$13)))</f>
        <v/>
      </c>
      <c r="L69" s="6">
        <f>IF(A69="","",IF(AND(UPPER(H69)="COMPLETADA",E69&lt;&gt;"",J69&lt;=K69),1,0))</f>
        <v/>
      </c>
      <c r="M69" s="15">
        <f>IF(A69="","",IF(OR(J69="",J69=0),0,MIN(1,K69/J69)))</f>
        <v/>
      </c>
      <c r="N69" s="6">
        <f>IF(A69="","",IF(OR(AND(E69&lt;&gt;"",E69&gt;='2_Parametros'!$B$23,E69&lt;='2_Parametros'!$B$24),AND(D69&lt;&gt;"",D69&gt;='2_Parametros'!$B$23,D69&lt;='2_Parametros'!$B$24)),1,0))</f>
        <v/>
      </c>
      <c r="O69" s="6">
        <f>IF(A69="","",IF(AND(UPPER(H69)="COMPLETADA",E69&lt;&gt;""),1,0))</f>
        <v/>
      </c>
      <c r="P69" s="6">
        <f>IF(A69="","",IF(AND(UPPER(H69)&lt;&gt;"COMPLETADA",UPPER(H69)&lt;&gt;"CANCELADA",D69&lt;&gt;"",D69+K69-1&lt;'2_Parametros'!$B$24),1,0))</f>
        <v/>
      </c>
      <c r="Q69" s="6">
        <f>IF(A69="","",IF(OR(AND(O69=1,E69&gt;='2_Parametros'!$B$23,E69&lt;='2_Parametros'!$B$24),AND('2_Parametros'!$B$21=1,P69=1,N69=1)),1,0))</f>
        <v/>
      </c>
      <c r="R69" s="6">
        <f>IF(A69="","",IF(Q69=1,I69*L69,0))</f>
        <v/>
      </c>
      <c r="S69" s="6">
        <f>IF(A69="","",IF(Q69=1,I69*M69,0))</f>
        <v/>
      </c>
    </row>
    <row r="70">
      <c r="A70" s="6">
        <f>IF('1_Datos'!A71="","",'1_Datos'!A71)</f>
        <v/>
      </c>
      <c r="B70" s="6">
        <f>IF(A70="","",'1_Datos'!B71)</f>
        <v/>
      </c>
      <c r="C70" s="6">
        <f>IF(A70="","",'1_Datos'!C71)</f>
        <v/>
      </c>
      <c r="D70" s="7">
        <f>IF(A70="","",'1_Datos'!D71)</f>
        <v/>
      </c>
      <c r="E70" s="7">
        <f>IF(A70="","",IF('1_Datos'!E71="","",'1_Datos'!E71))</f>
        <v/>
      </c>
      <c r="F70" s="6">
        <f>IF(A70="","",'1_Datos'!F71)</f>
        <v/>
      </c>
      <c r="G70" s="6">
        <f>IF(A70="","",IF(OR(UPPER(F70)="ALTA",UPPER(F70)="P1",F70=1),"Alta",IF(OR(UPPER(F70)="MEDIA",UPPER(F70)="P2",F70=2),"Media",IF(OR(UPPER(F70)="BAJA",UPPER(F70)="P3",F70=3),"Baja","Media"))))</f>
        <v/>
      </c>
      <c r="H70" s="6">
        <f>IF(A70="","",'1_Datos'!G71)</f>
        <v/>
      </c>
      <c r="I70" s="6">
        <f>IF(A70="","",IF(G70="Alta",'2_Parametros'!$B$7,IF(G70="Media",'2_Parametros'!$B$8,'2_Parametros'!$B$9)))</f>
        <v/>
      </c>
      <c r="J70" s="6">
        <f>IF(A70="","",IF(E70&lt;&gt;"",E70-D70+1,IF(D70="","",'2_Parametros'!$B$24-D70+1)))</f>
        <v/>
      </c>
      <c r="K70" s="6">
        <f>IF(A70="","",IF(G70="Alta",'2_Parametros'!$B$11,IF(G70="Media",'2_Parametros'!$B$12,'2_Parametros'!$B$13)))</f>
        <v/>
      </c>
      <c r="L70" s="6">
        <f>IF(A70="","",IF(AND(UPPER(H70)="COMPLETADA",E70&lt;&gt;"",J70&lt;=K70),1,0))</f>
        <v/>
      </c>
      <c r="M70" s="15">
        <f>IF(A70="","",IF(OR(J70="",J70=0),0,MIN(1,K70/J70)))</f>
        <v/>
      </c>
      <c r="N70" s="6">
        <f>IF(A70="","",IF(OR(AND(E70&lt;&gt;"",E70&gt;='2_Parametros'!$B$23,E70&lt;='2_Parametros'!$B$24),AND(D70&lt;&gt;"",D70&gt;='2_Parametros'!$B$23,D70&lt;='2_Parametros'!$B$24)),1,0))</f>
        <v/>
      </c>
      <c r="O70" s="6">
        <f>IF(A70="","",IF(AND(UPPER(H70)="COMPLETADA",E70&lt;&gt;""),1,0))</f>
        <v/>
      </c>
      <c r="P70" s="6">
        <f>IF(A70="","",IF(AND(UPPER(H70)&lt;&gt;"COMPLETADA",UPPER(H70)&lt;&gt;"CANCELADA",D70&lt;&gt;"",D70+K70-1&lt;'2_Parametros'!$B$24),1,0))</f>
        <v/>
      </c>
      <c r="Q70" s="6">
        <f>IF(A70="","",IF(OR(AND(O70=1,E70&gt;='2_Parametros'!$B$23,E70&lt;='2_Parametros'!$B$24),AND('2_Parametros'!$B$21=1,P70=1,N70=1)),1,0))</f>
        <v/>
      </c>
      <c r="R70" s="6">
        <f>IF(A70="","",IF(Q70=1,I70*L70,0))</f>
        <v/>
      </c>
      <c r="S70" s="6">
        <f>IF(A70="","",IF(Q70=1,I70*M70,0))</f>
        <v/>
      </c>
    </row>
    <row r="71">
      <c r="A71" s="6">
        <f>IF('1_Datos'!A72="","",'1_Datos'!A72)</f>
        <v/>
      </c>
      <c r="B71" s="6">
        <f>IF(A71="","",'1_Datos'!B72)</f>
        <v/>
      </c>
      <c r="C71" s="6">
        <f>IF(A71="","",'1_Datos'!C72)</f>
        <v/>
      </c>
      <c r="D71" s="7">
        <f>IF(A71="","",'1_Datos'!D72)</f>
        <v/>
      </c>
      <c r="E71" s="7">
        <f>IF(A71="","",IF('1_Datos'!E72="","",'1_Datos'!E72))</f>
        <v/>
      </c>
      <c r="F71" s="6">
        <f>IF(A71="","",'1_Datos'!F72)</f>
        <v/>
      </c>
      <c r="G71" s="6">
        <f>IF(A71="","",IF(OR(UPPER(F71)="ALTA",UPPER(F71)="P1",F71=1),"Alta",IF(OR(UPPER(F71)="MEDIA",UPPER(F71)="P2",F71=2),"Media",IF(OR(UPPER(F71)="BAJA",UPPER(F71)="P3",F71=3),"Baja","Media"))))</f>
        <v/>
      </c>
      <c r="H71" s="6">
        <f>IF(A71="","",'1_Datos'!G72)</f>
        <v/>
      </c>
      <c r="I71" s="6">
        <f>IF(A71="","",IF(G71="Alta",'2_Parametros'!$B$7,IF(G71="Media",'2_Parametros'!$B$8,'2_Parametros'!$B$9)))</f>
        <v/>
      </c>
      <c r="J71" s="6">
        <f>IF(A71="","",IF(E71&lt;&gt;"",E71-D71+1,IF(D71="","",'2_Parametros'!$B$24-D71+1)))</f>
        <v/>
      </c>
      <c r="K71" s="6">
        <f>IF(A71="","",IF(G71="Alta",'2_Parametros'!$B$11,IF(G71="Media",'2_Parametros'!$B$12,'2_Parametros'!$B$13)))</f>
        <v/>
      </c>
      <c r="L71" s="6">
        <f>IF(A71="","",IF(AND(UPPER(H71)="COMPLETADA",E71&lt;&gt;"",J71&lt;=K71),1,0))</f>
        <v/>
      </c>
      <c r="M71" s="15">
        <f>IF(A71="","",IF(OR(J71="",J71=0),0,MIN(1,K71/J71)))</f>
        <v/>
      </c>
      <c r="N71" s="6">
        <f>IF(A71="","",IF(OR(AND(E71&lt;&gt;"",E71&gt;='2_Parametros'!$B$23,E71&lt;='2_Parametros'!$B$24),AND(D71&lt;&gt;"",D71&gt;='2_Parametros'!$B$23,D71&lt;='2_Parametros'!$B$24)),1,0))</f>
        <v/>
      </c>
      <c r="O71" s="6">
        <f>IF(A71="","",IF(AND(UPPER(H71)="COMPLETADA",E71&lt;&gt;""),1,0))</f>
        <v/>
      </c>
      <c r="P71" s="6">
        <f>IF(A71="","",IF(AND(UPPER(H71)&lt;&gt;"COMPLETADA",UPPER(H71)&lt;&gt;"CANCELADA",D71&lt;&gt;"",D71+K71-1&lt;'2_Parametros'!$B$24),1,0))</f>
        <v/>
      </c>
      <c r="Q71" s="6">
        <f>IF(A71="","",IF(OR(AND(O71=1,E71&gt;='2_Parametros'!$B$23,E71&lt;='2_Parametros'!$B$24),AND('2_Parametros'!$B$21=1,P71=1,N71=1)),1,0))</f>
        <v/>
      </c>
      <c r="R71" s="6">
        <f>IF(A71="","",IF(Q71=1,I71*L71,0))</f>
        <v/>
      </c>
      <c r="S71" s="6">
        <f>IF(A71="","",IF(Q71=1,I71*M71,0))</f>
        <v/>
      </c>
    </row>
    <row r="72">
      <c r="A72" s="6">
        <f>IF('1_Datos'!A73="","",'1_Datos'!A73)</f>
        <v/>
      </c>
      <c r="B72" s="6">
        <f>IF(A72="","",'1_Datos'!B73)</f>
        <v/>
      </c>
      <c r="C72" s="6">
        <f>IF(A72="","",'1_Datos'!C73)</f>
        <v/>
      </c>
      <c r="D72" s="7">
        <f>IF(A72="","",'1_Datos'!D73)</f>
        <v/>
      </c>
      <c r="E72" s="7">
        <f>IF(A72="","",IF('1_Datos'!E73="","",'1_Datos'!E73))</f>
        <v/>
      </c>
      <c r="F72" s="6">
        <f>IF(A72="","",'1_Datos'!F73)</f>
        <v/>
      </c>
      <c r="G72" s="6">
        <f>IF(A72="","",IF(OR(UPPER(F72)="ALTA",UPPER(F72)="P1",F72=1),"Alta",IF(OR(UPPER(F72)="MEDIA",UPPER(F72)="P2",F72=2),"Media",IF(OR(UPPER(F72)="BAJA",UPPER(F72)="P3",F72=3),"Baja","Media"))))</f>
        <v/>
      </c>
      <c r="H72" s="6">
        <f>IF(A72="","",'1_Datos'!G73)</f>
        <v/>
      </c>
      <c r="I72" s="6">
        <f>IF(A72="","",IF(G72="Alta",'2_Parametros'!$B$7,IF(G72="Media",'2_Parametros'!$B$8,'2_Parametros'!$B$9)))</f>
        <v/>
      </c>
      <c r="J72" s="6">
        <f>IF(A72="","",IF(E72&lt;&gt;"",E72-D72+1,IF(D72="","",'2_Parametros'!$B$24-D72+1)))</f>
        <v/>
      </c>
      <c r="K72" s="6">
        <f>IF(A72="","",IF(G72="Alta",'2_Parametros'!$B$11,IF(G72="Media",'2_Parametros'!$B$12,'2_Parametros'!$B$13)))</f>
        <v/>
      </c>
      <c r="L72" s="6">
        <f>IF(A72="","",IF(AND(UPPER(H72)="COMPLETADA",E72&lt;&gt;"",J72&lt;=K72),1,0))</f>
        <v/>
      </c>
      <c r="M72" s="15">
        <f>IF(A72="","",IF(OR(J72="",J72=0),0,MIN(1,K72/J72)))</f>
        <v/>
      </c>
      <c r="N72" s="6">
        <f>IF(A72="","",IF(OR(AND(E72&lt;&gt;"",E72&gt;='2_Parametros'!$B$23,E72&lt;='2_Parametros'!$B$24),AND(D72&lt;&gt;"",D72&gt;='2_Parametros'!$B$23,D72&lt;='2_Parametros'!$B$24)),1,0))</f>
        <v/>
      </c>
      <c r="O72" s="6">
        <f>IF(A72="","",IF(AND(UPPER(H72)="COMPLETADA",E72&lt;&gt;""),1,0))</f>
        <v/>
      </c>
      <c r="P72" s="6">
        <f>IF(A72="","",IF(AND(UPPER(H72)&lt;&gt;"COMPLETADA",UPPER(H72)&lt;&gt;"CANCELADA",D72&lt;&gt;"",D72+K72-1&lt;'2_Parametros'!$B$24),1,0))</f>
        <v/>
      </c>
      <c r="Q72" s="6">
        <f>IF(A72="","",IF(OR(AND(O72=1,E72&gt;='2_Parametros'!$B$23,E72&lt;='2_Parametros'!$B$24),AND('2_Parametros'!$B$21=1,P72=1,N72=1)),1,0))</f>
        <v/>
      </c>
      <c r="R72" s="6">
        <f>IF(A72="","",IF(Q72=1,I72*L72,0))</f>
        <v/>
      </c>
      <c r="S72" s="6">
        <f>IF(A72="","",IF(Q72=1,I72*M72,0))</f>
        <v/>
      </c>
    </row>
    <row r="73">
      <c r="A73" s="6">
        <f>IF('1_Datos'!A74="","",'1_Datos'!A74)</f>
        <v/>
      </c>
      <c r="B73" s="6">
        <f>IF(A73="","",'1_Datos'!B74)</f>
        <v/>
      </c>
      <c r="C73" s="6">
        <f>IF(A73="","",'1_Datos'!C74)</f>
        <v/>
      </c>
      <c r="D73" s="7">
        <f>IF(A73="","",'1_Datos'!D74)</f>
        <v/>
      </c>
      <c r="E73" s="7">
        <f>IF(A73="","",IF('1_Datos'!E74="","",'1_Datos'!E74))</f>
        <v/>
      </c>
      <c r="F73" s="6">
        <f>IF(A73="","",'1_Datos'!F74)</f>
        <v/>
      </c>
      <c r="G73" s="6">
        <f>IF(A73="","",IF(OR(UPPER(F73)="ALTA",UPPER(F73)="P1",F73=1),"Alta",IF(OR(UPPER(F73)="MEDIA",UPPER(F73)="P2",F73=2),"Media",IF(OR(UPPER(F73)="BAJA",UPPER(F73)="P3",F73=3),"Baja","Media"))))</f>
        <v/>
      </c>
      <c r="H73" s="6">
        <f>IF(A73="","",'1_Datos'!G74)</f>
        <v/>
      </c>
      <c r="I73" s="6">
        <f>IF(A73="","",IF(G73="Alta",'2_Parametros'!$B$7,IF(G73="Media",'2_Parametros'!$B$8,'2_Parametros'!$B$9)))</f>
        <v/>
      </c>
      <c r="J73" s="6">
        <f>IF(A73="","",IF(E73&lt;&gt;"",E73-D73+1,IF(D73="","",'2_Parametros'!$B$24-D73+1)))</f>
        <v/>
      </c>
      <c r="K73" s="6">
        <f>IF(A73="","",IF(G73="Alta",'2_Parametros'!$B$11,IF(G73="Media",'2_Parametros'!$B$12,'2_Parametros'!$B$13)))</f>
        <v/>
      </c>
      <c r="L73" s="6">
        <f>IF(A73="","",IF(AND(UPPER(H73)="COMPLETADA",E73&lt;&gt;"",J73&lt;=K73),1,0))</f>
        <v/>
      </c>
      <c r="M73" s="15">
        <f>IF(A73="","",IF(OR(J73="",J73=0),0,MIN(1,K73/J73)))</f>
        <v/>
      </c>
      <c r="N73" s="6">
        <f>IF(A73="","",IF(OR(AND(E73&lt;&gt;"",E73&gt;='2_Parametros'!$B$23,E73&lt;='2_Parametros'!$B$24),AND(D73&lt;&gt;"",D73&gt;='2_Parametros'!$B$23,D73&lt;='2_Parametros'!$B$24)),1,0))</f>
        <v/>
      </c>
      <c r="O73" s="6">
        <f>IF(A73="","",IF(AND(UPPER(H73)="COMPLETADA",E73&lt;&gt;""),1,0))</f>
        <v/>
      </c>
      <c r="P73" s="6">
        <f>IF(A73="","",IF(AND(UPPER(H73)&lt;&gt;"COMPLETADA",UPPER(H73)&lt;&gt;"CANCELADA",D73&lt;&gt;"",D73+K73-1&lt;'2_Parametros'!$B$24),1,0))</f>
        <v/>
      </c>
      <c r="Q73" s="6">
        <f>IF(A73="","",IF(OR(AND(O73=1,E73&gt;='2_Parametros'!$B$23,E73&lt;='2_Parametros'!$B$24),AND('2_Parametros'!$B$21=1,P73=1,N73=1)),1,0))</f>
        <v/>
      </c>
      <c r="R73" s="6">
        <f>IF(A73="","",IF(Q73=1,I73*L73,0))</f>
        <v/>
      </c>
      <c r="S73" s="6">
        <f>IF(A73="","",IF(Q73=1,I73*M73,0))</f>
        <v/>
      </c>
    </row>
    <row r="74">
      <c r="A74" s="6">
        <f>IF('1_Datos'!A75="","",'1_Datos'!A75)</f>
        <v/>
      </c>
      <c r="B74" s="6">
        <f>IF(A74="","",'1_Datos'!B75)</f>
        <v/>
      </c>
      <c r="C74" s="6">
        <f>IF(A74="","",'1_Datos'!C75)</f>
        <v/>
      </c>
      <c r="D74" s="7">
        <f>IF(A74="","",'1_Datos'!D75)</f>
        <v/>
      </c>
      <c r="E74" s="7">
        <f>IF(A74="","",IF('1_Datos'!E75="","",'1_Datos'!E75))</f>
        <v/>
      </c>
      <c r="F74" s="6">
        <f>IF(A74="","",'1_Datos'!F75)</f>
        <v/>
      </c>
      <c r="G74" s="6">
        <f>IF(A74="","",IF(OR(UPPER(F74)="ALTA",UPPER(F74)="P1",F74=1),"Alta",IF(OR(UPPER(F74)="MEDIA",UPPER(F74)="P2",F74=2),"Media",IF(OR(UPPER(F74)="BAJA",UPPER(F74)="P3",F74=3),"Baja","Media"))))</f>
        <v/>
      </c>
      <c r="H74" s="6">
        <f>IF(A74="","",'1_Datos'!G75)</f>
        <v/>
      </c>
      <c r="I74" s="6">
        <f>IF(A74="","",IF(G74="Alta",'2_Parametros'!$B$7,IF(G74="Media",'2_Parametros'!$B$8,'2_Parametros'!$B$9)))</f>
        <v/>
      </c>
      <c r="J74" s="6">
        <f>IF(A74="","",IF(E74&lt;&gt;"",E74-D74+1,IF(D74="","",'2_Parametros'!$B$24-D74+1)))</f>
        <v/>
      </c>
      <c r="K74" s="6">
        <f>IF(A74="","",IF(G74="Alta",'2_Parametros'!$B$11,IF(G74="Media",'2_Parametros'!$B$12,'2_Parametros'!$B$13)))</f>
        <v/>
      </c>
      <c r="L74" s="6">
        <f>IF(A74="","",IF(AND(UPPER(H74)="COMPLETADA",E74&lt;&gt;"",J74&lt;=K74),1,0))</f>
        <v/>
      </c>
      <c r="M74" s="15">
        <f>IF(A74="","",IF(OR(J74="",J74=0),0,MIN(1,K74/J74)))</f>
        <v/>
      </c>
      <c r="N74" s="6">
        <f>IF(A74="","",IF(OR(AND(E74&lt;&gt;"",E74&gt;='2_Parametros'!$B$23,E74&lt;='2_Parametros'!$B$24),AND(D74&lt;&gt;"",D74&gt;='2_Parametros'!$B$23,D74&lt;='2_Parametros'!$B$24)),1,0))</f>
        <v/>
      </c>
      <c r="O74" s="6">
        <f>IF(A74="","",IF(AND(UPPER(H74)="COMPLETADA",E74&lt;&gt;""),1,0))</f>
        <v/>
      </c>
      <c r="P74" s="6">
        <f>IF(A74="","",IF(AND(UPPER(H74)&lt;&gt;"COMPLETADA",UPPER(H74)&lt;&gt;"CANCELADA",D74&lt;&gt;"",D74+K74-1&lt;'2_Parametros'!$B$24),1,0))</f>
        <v/>
      </c>
      <c r="Q74" s="6">
        <f>IF(A74="","",IF(OR(AND(O74=1,E74&gt;='2_Parametros'!$B$23,E74&lt;='2_Parametros'!$B$24),AND('2_Parametros'!$B$21=1,P74=1,N74=1)),1,0))</f>
        <v/>
      </c>
      <c r="R74" s="6">
        <f>IF(A74="","",IF(Q74=1,I74*L74,0))</f>
        <v/>
      </c>
      <c r="S74" s="6">
        <f>IF(A74="","",IF(Q74=1,I74*M74,0))</f>
        <v/>
      </c>
    </row>
    <row r="75">
      <c r="A75" s="6">
        <f>IF('1_Datos'!A76="","",'1_Datos'!A76)</f>
        <v/>
      </c>
      <c r="B75" s="6">
        <f>IF(A75="","",'1_Datos'!B76)</f>
        <v/>
      </c>
      <c r="C75" s="6">
        <f>IF(A75="","",'1_Datos'!C76)</f>
        <v/>
      </c>
      <c r="D75" s="7">
        <f>IF(A75="","",'1_Datos'!D76)</f>
        <v/>
      </c>
      <c r="E75" s="7">
        <f>IF(A75="","",IF('1_Datos'!E76="","",'1_Datos'!E76))</f>
        <v/>
      </c>
      <c r="F75" s="6">
        <f>IF(A75="","",'1_Datos'!F76)</f>
        <v/>
      </c>
      <c r="G75" s="6">
        <f>IF(A75="","",IF(OR(UPPER(F75)="ALTA",UPPER(F75)="P1",F75=1),"Alta",IF(OR(UPPER(F75)="MEDIA",UPPER(F75)="P2",F75=2),"Media",IF(OR(UPPER(F75)="BAJA",UPPER(F75)="P3",F75=3),"Baja","Media"))))</f>
        <v/>
      </c>
      <c r="H75" s="6">
        <f>IF(A75="","",'1_Datos'!G76)</f>
        <v/>
      </c>
      <c r="I75" s="6">
        <f>IF(A75="","",IF(G75="Alta",'2_Parametros'!$B$7,IF(G75="Media",'2_Parametros'!$B$8,'2_Parametros'!$B$9)))</f>
        <v/>
      </c>
      <c r="J75" s="6">
        <f>IF(A75="","",IF(E75&lt;&gt;"",E75-D75+1,IF(D75="","",'2_Parametros'!$B$24-D75+1)))</f>
        <v/>
      </c>
      <c r="K75" s="6">
        <f>IF(A75="","",IF(G75="Alta",'2_Parametros'!$B$11,IF(G75="Media",'2_Parametros'!$B$12,'2_Parametros'!$B$13)))</f>
        <v/>
      </c>
      <c r="L75" s="6">
        <f>IF(A75="","",IF(AND(UPPER(H75)="COMPLETADA",E75&lt;&gt;"",J75&lt;=K75),1,0))</f>
        <v/>
      </c>
      <c r="M75" s="15">
        <f>IF(A75="","",IF(OR(J75="",J75=0),0,MIN(1,K75/J75)))</f>
        <v/>
      </c>
      <c r="N75" s="6">
        <f>IF(A75="","",IF(OR(AND(E75&lt;&gt;"",E75&gt;='2_Parametros'!$B$23,E75&lt;='2_Parametros'!$B$24),AND(D75&lt;&gt;"",D75&gt;='2_Parametros'!$B$23,D75&lt;='2_Parametros'!$B$24)),1,0))</f>
        <v/>
      </c>
      <c r="O75" s="6">
        <f>IF(A75="","",IF(AND(UPPER(H75)="COMPLETADA",E75&lt;&gt;""),1,0))</f>
        <v/>
      </c>
      <c r="P75" s="6">
        <f>IF(A75="","",IF(AND(UPPER(H75)&lt;&gt;"COMPLETADA",UPPER(H75)&lt;&gt;"CANCELADA",D75&lt;&gt;"",D75+K75-1&lt;'2_Parametros'!$B$24),1,0))</f>
        <v/>
      </c>
      <c r="Q75" s="6">
        <f>IF(A75="","",IF(OR(AND(O75=1,E75&gt;='2_Parametros'!$B$23,E75&lt;='2_Parametros'!$B$24),AND('2_Parametros'!$B$21=1,P75=1,N75=1)),1,0))</f>
        <v/>
      </c>
      <c r="R75" s="6">
        <f>IF(A75="","",IF(Q75=1,I75*L75,0))</f>
        <v/>
      </c>
      <c r="S75" s="6">
        <f>IF(A75="","",IF(Q75=1,I75*M75,0))</f>
        <v/>
      </c>
    </row>
    <row r="76">
      <c r="A76" s="6">
        <f>IF('1_Datos'!A77="","",'1_Datos'!A77)</f>
        <v/>
      </c>
      <c r="B76" s="6">
        <f>IF(A76="","",'1_Datos'!B77)</f>
        <v/>
      </c>
      <c r="C76" s="6">
        <f>IF(A76="","",'1_Datos'!C77)</f>
        <v/>
      </c>
      <c r="D76" s="7">
        <f>IF(A76="","",'1_Datos'!D77)</f>
        <v/>
      </c>
      <c r="E76" s="7">
        <f>IF(A76="","",IF('1_Datos'!E77="","",'1_Datos'!E77))</f>
        <v/>
      </c>
      <c r="F76" s="6">
        <f>IF(A76="","",'1_Datos'!F77)</f>
        <v/>
      </c>
      <c r="G76" s="6">
        <f>IF(A76="","",IF(OR(UPPER(F76)="ALTA",UPPER(F76)="P1",F76=1),"Alta",IF(OR(UPPER(F76)="MEDIA",UPPER(F76)="P2",F76=2),"Media",IF(OR(UPPER(F76)="BAJA",UPPER(F76)="P3",F76=3),"Baja","Media"))))</f>
        <v/>
      </c>
      <c r="H76" s="6">
        <f>IF(A76="","",'1_Datos'!G77)</f>
        <v/>
      </c>
      <c r="I76" s="6">
        <f>IF(A76="","",IF(G76="Alta",'2_Parametros'!$B$7,IF(G76="Media",'2_Parametros'!$B$8,'2_Parametros'!$B$9)))</f>
        <v/>
      </c>
      <c r="J76" s="6">
        <f>IF(A76="","",IF(E76&lt;&gt;"",E76-D76+1,IF(D76="","",'2_Parametros'!$B$24-D76+1)))</f>
        <v/>
      </c>
      <c r="K76" s="6">
        <f>IF(A76="","",IF(G76="Alta",'2_Parametros'!$B$11,IF(G76="Media",'2_Parametros'!$B$12,'2_Parametros'!$B$13)))</f>
        <v/>
      </c>
      <c r="L76" s="6">
        <f>IF(A76="","",IF(AND(UPPER(H76)="COMPLETADA",E76&lt;&gt;"",J76&lt;=K76),1,0))</f>
        <v/>
      </c>
      <c r="M76" s="15">
        <f>IF(A76="","",IF(OR(J76="",J76=0),0,MIN(1,K76/J76)))</f>
        <v/>
      </c>
      <c r="N76" s="6">
        <f>IF(A76="","",IF(OR(AND(E76&lt;&gt;"",E76&gt;='2_Parametros'!$B$23,E76&lt;='2_Parametros'!$B$24),AND(D76&lt;&gt;"",D76&gt;='2_Parametros'!$B$23,D76&lt;='2_Parametros'!$B$24)),1,0))</f>
        <v/>
      </c>
      <c r="O76" s="6">
        <f>IF(A76="","",IF(AND(UPPER(H76)="COMPLETADA",E76&lt;&gt;""),1,0))</f>
        <v/>
      </c>
      <c r="P76" s="6">
        <f>IF(A76="","",IF(AND(UPPER(H76)&lt;&gt;"COMPLETADA",UPPER(H76)&lt;&gt;"CANCELADA",D76&lt;&gt;"",D76+K76-1&lt;'2_Parametros'!$B$24),1,0))</f>
        <v/>
      </c>
      <c r="Q76" s="6">
        <f>IF(A76="","",IF(OR(AND(O76=1,E76&gt;='2_Parametros'!$B$23,E76&lt;='2_Parametros'!$B$24),AND('2_Parametros'!$B$21=1,P76=1,N76=1)),1,0))</f>
        <v/>
      </c>
      <c r="R76" s="6">
        <f>IF(A76="","",IF(Q76=1,I76*L76,0))</f>
        <v/>
      </c>
      <c r="S76" s="6">
        <f>IF(A76="","",IF(Q76=1,I76*M76,0))</f>
        <v/>
      </c>
    </row>
    <row r="77">
      <c r="A77" s="6">
        <f>IF('1_Datos'!A78="","",'1_Datos'!A78)</f>
        <v/>
      </c>
      <c r="B77" s="6">
        <f>IF(A77="","",'1_Datos'!B78)</f>
        <v/>
      </c>
      <c r="C77" s="6">
        <f>IF(A77="","",'1_Datos'!C78)</f>
        <v/>
      </c>
      <c r="D77" s="7">
        <f>IF(A77="","",'1_Datos'!D78)</f>
        <v/>
      </c>
      <c r="E77" s="7">
        <f>IF(A77="","",IF('1_Datos'!E78="","",'1_Datos'!E78))</f>
        <v/>
      </c>
      <c r="F77" s="6">
        <f>IF(A77="","",'1_Datos'!F78)</f>
        <v/>
      </c>
      <c r="G77" s="6">
        <f>IF(A77="","",IF(OR(UPPER(F77)="ALTA",UPPER(F77)="P1",F77=1),"Alta",IF(OR(UPPER(F77)="MEDIA",UPPER(F77)="P2",F77=2),"Media",IF(OR(UPPER(F77)="BAJA",UPPER(F77)="P3",F77=3),"Baja","Media"))))</f>
        <v/>
      </c>
      <c r="H77" s="6">
        <f>IF(A77="","",'1_Datos'!G78)</f>
        <v/>
      </c>
      <c r="I77" s="6">
        <f>IF(A77="","",IF(G77="Alta",'2_Parametros'!$B$7,IF(G77="Media",'2_Parametros'!$B$8,'2_Parametros'!$B$9)))</f>
        <v/>
      </c>
      <c r="J77" s="6">
        <f>IF(A77="","",IF(E77&lt;&gt;"",E77-D77+1,IF(D77="","",'2_Parametros'!$B$24-D77+1)))</f>
        <v/>
      </c>
      <c r="K77" s="6">
        <f>IF(A77="","",IF(G77="Alta",'2_Parametros'!$B$11,IF(G77="Media",'2_Parametros'!$B$12,'2_Parametros'!$B$13)))</f>
        <v/>
      </c>
      <c r="L77" s="6">
        <f>IF(A77="","",IF(AND(UPPER(H77)="COMPLETADA",E77&lt;&gt;"",J77&lt;=K77),1,0))</f>
        <v/>
      </c>
      <c r="M77" s="15">
        <f>IF(A77="","",IF(OR(J77="",J77=0),0,MIN(1,K77/J77)))</f>
        <v/>
      </c>
      <c r="N77" s="6">
        <f>IF(A77="","",IF(OR(AND(E77&lt;&gt;"",E77&gt;='2_Parametros'!$B$23,E77&lt;='2_Parametros'!$B$24),AND(D77&lt;&gt;"",D77&gt;='2_Parametros'!$B$23,D77&lt;='2_Parametros'!$B$24)),1,0))</f>
        <v/>
      </c>
      <c r="O77" s="6">
        <f>IF(A77="","",IF(AND(UPPER(H77)="COMPLETADA",E77&lt;&gt;""),1,0))</f>
        <v/>
      </c>
      <c r="P77" s="6">
        <f>IF(A77="","",IF(AND(UPPER(H77)&lt;&gt;"COMPLETADA",UPPER(H77)&lt;&gt;"CANCELADA",D77&lt;&gt;"",D77+K77-1&lt;'2_Parametros'!$B$24),1,0))</f>
        <v/>
      </c>
      <c r="Q77" s="6">
        <f>IF(A77="","",IF(OR(AND(O77=1,E77&gt;='2_Parametros'!$B$23,E77&lt;='2_Parametros'!$B$24),AND('2_Parametros'!$B$21=1,P77=1,N77=1)),1,0))</f>
        <v/>
      </c>
      <c r="R77" s="6">
        <f>IF(A77="","",IF(Q77=1,I77*L77,0))</f>
        <v/>
      </c>
      <c r="S77" s="6">
        <f>IF(A77="","",IF(Q77=1,I77*M77,0))</f>
        <v/>
      </c>
    </row>
    <row r="78">
      <c r="A78" s="6">
        <f>IF('1_Datos'!A79="","",'1_Datos'!A79)</f>
        <v/>
      </c>
      <c r="B78" s="6">
        <f>IF(A78="","",'1_Datos'!B79)</f>
        <v/>
      </c>
      <c r="C78" s="6">
        <f>IF(A78="","",'1_Datos'!C79)</f>
        <v/>
      </c>
      <c r="D78" s="7">
        <f>IF(A78="","",'1_Datos'!D79)</f>
        <v/>
      </c>
      <c r="E78" s="7">
        <f>IF(A78="","",IF('1_Datos'!E79="","",'1_Datos'!E79))</f>
        <v/>
      </c>
      <c r="F78" s="6">
        <f>IF(A78="","",'1_Datos'!F79)</f>
        <v/>
      </c>
      <c r="G78" s="6">
        <f>IF(A78="","",IF(OR(UPPER(F78)="ALTA",UPPER(F78)="P1",F78=1),"Alta",IF(OR(UPPER(F78)="MEDIA",UPPER(F78)="P2",F78=2),"Media",IF(OR(UPPER(F78)="BAJA",UPPER(F78)="P3",F78=3),"Baja","Media"))))</f>
        <v/>
      </c>
      <c r="H78" s="6">
        <f>IF(A78="","",'1_Datos'!G79)</f>
        <v/>
      </c>
      <c r="I78" s="6">
        <f>IF(A78="","",IF(G78="Alta",'2_Parametros'!$B$7,IF(G78="Media",'2_Parametros'!$B$8,'2_Parametros'!$B$9)))</f>
        <v/>
      </c>
      <c r="J78" s="6">
        <f>IF(A78="","",IF(E78&lt;&gt;"",E78-D78+1,IF(D78="","",'2_Parametros'!$B$24-D78+1)))</f>
        <v/>
      </c>
      <c r="K78" s="6">
        <f>IF(A78="","",IF(G78="Alta",'2_Parametros'!$B$11,IF(G78="Media",'2_Parametros'!$B$12,'2_Parametros'!$B$13)))</f>
        <v/>
      </c>
      <c r="L78" s="6">
        <f>IF(A78="","",IF(AND(UPPER(H78)="COMPLETADA",E78&lt;&gt;"",J78&lt;=K78),1,0))</f>
        <v/>
      </c>
      <c r="M78" s="15">
        <f>IF(A78="","",IF(OR(J78="",J78=0),0,MIN(1,K78/J78)))</f>
        <v/>
      </c>
      <c r="N78" s="6">
        <f>IF(A78="","",IF(OR(AND(E78&lt;&gt;"",E78&gt;='2_Parametros'!$B$23,E78&lt;='2_Parametros'!$B$24),AND(D78&lt;&gt;"",D78&gt;='2_Parametros'!$B$23,D78&lt;='2_Parametros'!$B$24)),1,0))</f>
        <v/>
      </c>
      <c r="O78" s="6">
        <f>IF(A78="","",IF(AND(UPPER(H78)="COMPLETADA",E78&lt;&gt;""),1,0))</f>
        <v/>
      </c>
      <c r="P78" s="6">
        <f>IF(A78="","",IF(AND(UPPER(H78)&lt;&gt;"COMPLETADA",UPPER(H78)&lt;&gt;"CANCELADA",D78&lt;&gt;"",D78+K78-1&lt;'2_Parametros'!$B$24),1,0))</f>
        <v/>
      </c>
      <c r="Q78" s="6">
        <f>IF(A78="","",IF(OR(AND(O78=1,E78&gt;='2_Parametros'!$B$23,E78&lt;='2_Parametros'!$B$24),AND('2_Parametros'!$B$21=1,P78=1,N78=1)),1,0))</f>
        <v/>
      </c>
      <c r="R78" s="6">
        <f>IF(A78="","",IF(Q78=1,I78*L78,0))</f>
        <v/>
      </c>
      <c r="S78" s="6">
        <f>IF(A78="","",IF(Q78=1,I78*M78,0))</f>
        <v/>
      </c>
    </row>
    <row r="79">
      <c r="A79" s="6">
        <f>IF('1_Datos'!A80="","",'1_Datos'!A80)</f>
        <v/>
      </c>
      <c r="B79" s="6">
        <f>IF(A79="","",'1_Datos'!B80)</f>
        <v/>
      </c>
      <c r="C79" s="6">
        <f>IF(A79="","",'1_Datos'!C80)</f>
        <v/>
      </c>
      <c r="D79" s="7">
        <f>IF(A79="","",'1_Datos'!D80)</f>
        <v/>
      </c>
      <c r="E79" s="7">
        <f>IF(A79="","",IF('1_Datos'!E80="","",'1_Datos'!E80))</f>
        <v/>
      </c>
      <c r="F79" s="6">
        <f>IF(A79="","",'1_Datos'!F80)</f>
        <v/>
      </c>
      <c r="G79" s="6">
        <f>IF(A79="","",IF(OR(UPPER(F79)="ALTA",UPPER(F79)="P1",F79=1),"Alta",IF(OR(UPPER(F79)="MEDIA",UPPER(F79)="P2",F79=2),"Media",IF(OR(UPPER(F79)="BAJA",UPPER(F79)="P3",F79=3),"Baja","Media"))))</f>
        <v/>
      </c>
      <c r="H79" s="6">
        <f>IF(A79="","",'1_Datos'!G80)</f>
        <v/>
      </c>
      <c r="I79" s="6">
        <f>IF(A79="","",IF(G79="Alta",'2_Parametros'!$B$7,IF(G79="Media",'2_Parametros'!$B$8,'2_Parametros'!$B$9)))</f>
        <v/>
      </c>
      <c r="J79" s="6">
        <f>IF(A79="","",IF(E79&lt;&gt;"",E79-D79+1,IF(D79="","",'2_Parametros'!$B$24-D79+1)))</f>
        <v/>
      </c>
      <c r="K79" s="6">
        <f>IF(A79="","",IF(G79="Alta",'2_Parametros'!$B$11,IF(G79="Media",'2_Parametros'!$B$12,'2_Parametros'!$B$13)))</f>
        <v/>
      </c>
      <c r="L79" s="6">
        <f>IF(A79="","",IF(AND(UPPER(H79)="COMPLETADA",E79&lt;&gt;"",J79&lt;=K79),1,0))</f>
        <v/>
      </c>
      <c r="M79" s="15">
        <f>IF(A79="","",IF(OR(J79="",J79=0),0,MIN(1,K79/J79)))</f>
        <v/>
      </c>
      <c r="N79" s="6">
        <f>IF(A79="","",IF(OR(AND(E79&lt;&gt;"",E79&gt;='2_Parametros'!$B$23,E79&lt;='2_Parametros'!$B$24),AND(D79&lt;&gt;"",D79&gt;='2_Parametros'!$B$23,D79&lt;='2_Parametros'!$B$24)),1,0))</f>
        <v/>
      </c>
      <c r="O79" s="6">
        <f>IF(A79="","",IF(AND(UPPER(H79)="COMPLETADA",E79&lt;&gt;""),1,0))</f>
        <v/>
      </c>
      <c r="P79" s="6">
        <f>IF(A79="","",IF(AND(UPPER(H79)&lt;&gt;"COMPLETADA",UPPER(H79)&lt;&gt;"CANCELADA",D79&lt;&gt;"",D79+K79-1&lt;'2_Parametros'!$B$24),1,0))</f>
        <v/>
      </c>
      <c r="Q79" s="6">
        <f>IF(A79="","",IF(OR(AND(O79=1,E79&gt;='2_Parametros'!$B$23,E79&lt;='2_Parametros'!$B$24),AND('2_Parametros'!$B$21=1,P79=1,N79=1)),1,0))</f>
        <v/>
      </c>
      <c r="R79" s="6">
        <f>IF(A79="","",IF(Q79=1,I79*L79,0))</f>
        <v/>
      </c>
      <c r="S79" s="6">
        <f>IF(A79="","",IF(Q79=1,I79*M79,0))</f>
        <v/>
      </c>
    </row>
    <row r="80">
      <c r="A80" s="6">
        <f>IF('1_Datos'!A81="","",'1_Datos'!A81)</f>
        <v/>
      </c>
      <c r="B80" s="6">
        <f>IF(A80="","",'1_Datos'!B81)</f>
        <v/>
      </c>
      <c r="C80" s="6">
        <f>IF(A80="","",'1_Datos'!C81)</f>
        <v/>
      </c>
      <c r="D80" s="7">
        <f>IF(A80="","",'1_Datos'!D81)</f>
        <v/>
      </c>
      <c r="E80" s="7">
        <f>IF(A80="","",IF('1_Datos'!E81="","",'1_Datos'!E81))</f>
        <v/>
      </c>
      <c r="F80" s="6">
        <f>IF(A80="","",'1_Datos'!F81)</f>
        <v/>
      </c>
      <c r="G80" s="6">
        <f>IF(A80="","",IF(OR(UPPER(F80)="ALTA",UPPER(F80)="P1",F80=1),"Alta",IF(OR(UPPER(F80)="MEDIA",UPPER(F80)="P2",F80=2),"Media",IF(OR(UPPER(F80)="BAJA",UPPER(F80)="P3",F80=3),"Baja","Media"))))</f>
        <v/>
      </c>
      <c r="H80" s="6">
        <f>IF(A80="","",'1_Datos'!G81)</f>
        <v/>
      </c>
      <c r="I80" s="6">
        <f>IF(A80="","",IF(G80="Alta",'2_Parametros'!$B$7,IF(G80="Media",'2_Parametros'!$B$8,'2_Parametros'!$B$9)))</f>
        <v/>
      </c>
      <c r="J80" s="6">
        <f>IF(A80="","",IF(E80&lt;&gt;"",E80-D80+1,IF(D80="","",'2_Parametros'!$B$24-D80+1)))</f>
        <v/>
      </c>
      <c r="K80" s="6">
        <f>IF(A80="","",IF(G80="Alta",'2_Parametros'!$B$11,IF(G80="Media",'2_Parametros'!$B$12,'2_Parametros'!$B$13)))</f>
        <v/>
      </c>
      <c r="L80" s="6">
        <f>IF(A80="","",IF(AND(UPPER(H80)="COMPLETADA",E80&lt;&gt;"",J80&lt;=K80),1,0))</f>
        <v/>
      </c>
      <c r="M80" s="15">
        <f>IF(A80="","",IF(OR(J80="",J80=0),0,MIN(1,K80/J80)))</f>
        <v/>
      </c>
      <c r="N80" s="6">
        <f>IF(A80="","",IF(OR(AND(E80&lt;&gt;"",E80&gt;='2_Parametros'!$B$23,E80&lt;='2_Parametros'!$B$24),AND(D80&lt;&gt;"",D80&gt;='2_Parametros'!$B$23,D80&lt;='2_Parametros'!$B$24)),1,0))</f>
        <v/>
      </c>
      <c r="O80" s="6">
        <f>IF(A80="","",IF(AND(UPPER(H80)="COMPLETADA",E80&lt;&gt;""),1,0))</f>
        <v/>
      </c>
      <c r="P80" s="6">
        <f>IF(A80="","",IF(AND(UPPER(H80)&lt;&gt;"COMPLETADA",UPPER(H80)&lt;&gt;"CANCELADA",D80&lt;&gt;"",D80+K80-1&lt;'2_Parametros'!$B$24),1,0))</f>
        <v/>
      </c>
      <c r="Q80" s="6">
        <f>IF(A80="","",IF(OR(AND(O80=1,E80&gt;='2_Parametros'!$B$23,E80&lt;='2_Parametros'!$B$24),AND('2_Parametros'!$B$21=1,P80=1,N80=1)),1,0))</f>
        <v/>
      </c>
      <c r="R80" s="6">
        <f>IF(A80="","",IF(Q80=1,I80*L80,0))</f>
        <v/>
      </c>
      <c r="S80" s="6">
        <f>IF(A80="","",IF(Q80=1,I80*M80,0))</f>
        <v/>
      </c>
    </row>
    <row r="81">
      <c r="A81" s="6">
        <f>IF('1_Datos'!A82="","",'1_Datos'!A82)</f>
        <v/>
      </c>
      <c r="B81" s="6">
        <f>IF(A81="","",'1_Datos'!B82)</f>
        <v/>
      </c>
      <c r="C81" s="6">
        <f>IF(A81="","",'1_Datos'!C82)</f>
        <v/>
      </c>
      <c r="D81" s="7">
        <f>IF(A81="","",'1_Datos'!D82)</f>
        <v/>
      </c>
      <c r="E81" s="7">
        <f>IF(A81="","",IF('1_Datos'!E82="","",'1_Datos'!E82))</f>
        <v/>
      </c>
      <c r="F81" s="6">
        <f>IF(A81="","",'1_Datos'!F82)</f>
        <v/>
      </c>
      <c r="G81" s="6">
        <f>IF(A81="","",IF(OR(UPPER(F81)="ALTA",UPPER(F81)="P1",F81=1),"Alta",IF(OR(UPPER(F81)="MEDIA",UPPER(F81)="P2",F81=2),"Media",IF(OR(UPPER(F81)="BAJA",UPPER(F81)="P3",F81=3),"Baja","Media"))))</f>
        <v/>
      </c>
      <c r="H81" s="6">
        <f>IF(A81="","",'1_Datos'!G82)</f>
        <v/>
      </c>
      <c r="I81" s="6">
        <f>IF(A81="","",IF(G81="Alta",'2_Parametros'!$B$7,IF(G81="Media",'2_Parametros'!$B$8,'2_Parametros'!$B$9)))</f>
        <v/>
      </c>
      <c r="J81" s="6">
        <f>IF(A81="","",IF(E81&lt;&gt;"",E81-D81+1,IF(D81="","",'2_Parametros'!$B$24-D81+1)))</f>
        <v/>
      </c>
      <c r="K81" s="6">
        <f>IF(A81="","",IF(G81="Alta",'2_Parametros'!$B$11,IF(G81="Media",'2_Parametros'!$B$12,'2_Parametros'!$B$13)))</f>
        <v/>
      </c>
      <c r="L81" s="6">
        <f>IF(A81="","",IF(AND(UPPER(H81)="COMPLETADA",E81&lt;&gt;"",J81&lt;=K81),1,0))</f>
        <v/>
      </c>
      <c r="M81" s="15">
        <f>IF(A81="","",IF(OR(J81="",J81=0),0,MIN(1,K81/J81)))</f>
        <v/>
      </c>
      <c r="N81" s="6">
        <f>IF(A81="","",IF(OR(AND(E81&lt;&gt;"",E81&gt;='2_Parametros'!$B$23,E81&lt;='2_Parametros'!$B$24),AND(D81&lt;&gt;"",D81&gt;='2_Parametros'!$B$23,D81&lt;='2_Parametros'!$B$24)),1,0))</f>
        <v/>
      </c>
      <c r="O81" s="6">
        <f>IF(A81="","",IF(AND(UPPER(H81)="COMPLETADA",E81&lt;&gt;""),1,0))</f>
        <v/>
      </c>
      <c r="P81" s="6">
        <f>IF(A81="","",IF(AND(UPPER(H81)&lt;&gt;"COMPLETADA",UPPER(H81)&lt;&gt;"CANCELADA",D81&lt;&gt;"",D81+K81-1&lt;'2_Parametros'!$B$24),1,0))</f>
        <v/>
      </c>
      <c r="Q81" s="6">
        <f>IF(A81="","",IF(OR(AND(O81=1,E81&gt;='2_Parametros'!$B$23,E81&lt;='2_Parametros'!$B$24),AND('2_Parametros'!$B$21=1,P81=1,N81=1)),1,0))</f>
        <v/>
      </c>
      <c r="R81" s="6">
        <f>IF(A81="","",IF(Q81=1,I81*L81,0))</f>
        <v/>
      </c>
      <c r="S81" s="6">
        <f>IF(A81="","",IF(Q81=1,I81*M81,0))</f>
        <v/>
      </c>
    </row>
    <row r="82">
      <c r="A82" s="6">
        <f>IF('1_Datos'!A83="","",'1_Datos'!A83)</f>
        <v/>
      </c>
      <c r="B82" s="6">
        <f>IF(A82="","",'1_Datos'!B83)</f>
        <v/>
      </c>
      <c r="C82" s="6">
        <f>IF(A82="","",'1_Datos'!C83)</f>
        <v/>
      </c>
      <c r="D82" s="7">
        <f>IF(A82="","",'1_Datos'!D83)</f>
        <v/>
      </c>
      <c r="E82" s="7">
        <f>IF(A82="","",IF('1_Datos'!E83="","",'1_Datos'!E83))</f>
        <v/>
      </c>
      <c r="F82" s="6">
        <f>IF(A82="","",'1_Datos'!F83)</f>
        <v/>
      </c>
      <c r="G82" s="6">
        <f>IF(A82="","",IF(OR(UPPER(F82)="ALTA",UPPER(F82)="P1",F82=1),"Alta",IF(OR(UPPER(F82)="MEDIA",UPPER(F82)="P2",F82=2),"Media",IF(OR(UPPER(F82)="BAJA",UPPER(F82)="P3",F82=3),"Baja","Media"))))</f>
        <v/>
      </c>
      <c r="H82" s="6">
        <f>IF(A82="","",'1_Datos'!G83)</f>
        <v/>
      </c>
      <c r="I82" s="6">
        <f>IF(A82="","",IF(G82="Alta",'2_Parametros'!$B$7,IF(G82="Media",'2_Parametros'!$B$8,'2_Parametros'!$B$9)))</f>
        <v/>
      </c>
      <c r="J82" s="6">
        <f>IF(A82="","",IF(E82&lt;&gt;"",E82-D82+1,IF(D82="","",'2_Parametros'!$B$24-D82+1)))</f>
        <v/>
      </c>
      <c r="K82" s="6">
        <f>IF(A82="","",IF(G82="Alta",'2_Parametros'!$B$11,IF(G82="Media",'2_Parametros'!$B$12,'2_Parametros'!$B$13)))</f>
        <v/>
      </c>
      <c r="L82" s="6">
        <f>IF(A82="","",IF(AND(UPPER(H82)="COMPLETADA",E82&lt;&gt;"",J82&lt;=K82),1,0))</f>
        <v/>
      </c>
      <c r="M82" s="15">
        <f>IF(A82="","",IF(OR(J82="",J82=0),0,MIN(1,K82/J82)))</f>
        <v/>
      </c>
      <c r="N82" s="6">
        <f>IF(A82="","",IF(OR(AND(E82&lt;&gt;"",E82&gt;='2_Parametros'!$B$23,E82&lt;='2_Parametros'!$B$24),AND(D82&lt;&gt;"",D82&gt;='2_Parametros'!$B$23,D82&lt;='2_Parametros'!$B$24)),1,0))</f>
        <v/>
      </c>
      <c r="O82" s="6">
        <f>IF(A82="","",IF(AND(UPPER(H82)="COMPLETADA",E82&lt;&gt;""),1,0))</f>
        <v/>
      </c>
      <c r="P82" s="6">
        <f>IF(A82="","",IF(AND(UPPER(H82)&lt;&gt;"COMPLETADA",UPPER(H82)&lt;&gt;"CANCELADA",D82&lt;&gt;"",D82+K82-1&lt;'2_Parametros'!$B$24),1,0))</f>
        <v/>
      </c>
      <c r="Q82" s="6">
        <f>IF(A82="","",IF(OR(AND(O82=1,E82&gt;='2_Parametros'!$B$23,E82&lt;='2_Parametros'!$B$24),AND('2_Parametros'!$B$21=1,P82=1,N82=1)),1,0))</f>
        <v/>
      </c>
      <c r="R82" s="6">
        <f>IF(A82="","",IF(Q82=1,I82*L82,0))</f>
        <v/>
      </c>
      <c r="S82" s="6">
        <f>IF(A82="","",IF(Q82=1,I82*M82,0))</f>
        <v/>
      </c>
    </row>
    <row r="83">
      <c r="A83" s="6">
        <f>IF('1_Datos'!A84="","",'1_Datos'!A84)</f>
        <v/>
      </c>
      <c r="B83" s="6">
        <f>IF(A83="","",'1_Datos'!B84)</f>
        <v/>
      </c>
      <c r="C83" s="6">
        <f>IF(A83="","",'1_Datos'!C84)</f>
        <v/>
      </c>
      <c r="D83" s="7">
        <f>IF(A83="","",'1_Datos'!D84)</f>
        <v/>
      </c>
      <c r="E83" s="7">
        <f>IF(A83="","",IF('1_Datos'!E84="","",'1_Datos'!E84))</f>
        <v/>
      </c>
      <c r="F83" s="6">
        <f>IF(A83="","",'1_Datos'!F84)</f>
        <v/>
      </c>
      <c r="G83" s="6">
        <f>IF(A83="","",IF(OR(UPPER(F83)="ALTA",UPPER(F83)="P1",F83=1),"Alta",IF(OR(UPPER(F83)="MEDIA",UPPER(F83)="P2",F83=2),"Media",IF(OR(UPPER(F83)="BAJA",UPPER(F83)="P3",F83=3),"Baja","Media"))))</f>
        <v/>
      </c>
      <c r="H83" s="6">
        <f>IF(A83="","",'1_Datos'!G84)</f>
        <v/>
      </c>
      <c r="I83" s="6">
        <f>IF(A83="","",IF(G83="Alta",'2_Parametros'!$B$7,IF(G83="Media",'2_Parametros'!$B$8,'2_Parametros'!$B$9)))</f>
        <v/>
      </c>
      <c r="J83" s="6">
        <f>IF(A83="","",IF(E83&lt;&gt;"",E83-D83+1,IF(D83="","",'2_Parametros'!$B$24-D83+1)))</f>
        <v/>
      </c>
      <c r="K83" s="6">
        <f>IF(A83="","",IF(G83="Alta",'2_Parametros'!$B$11,IF(G83="Media",'2_Parametros'!$B$12,'2_Parametros'!$B$13)))</f>
        <v/>
      </c>
      <c r="L83" s="6">
        <f>IF(A83="","",IF(AND(UPPER(H83)="COMPLETADA",E83&lt;&gt;"",J83&lt;=K83),1,0))</f>
        <v/>
      </c>
      <c r="M83" s="15">
        <f>IF(A83="","",IF(OR(J83="",J83=0),0,MIN(1,K83/J83)))</f>
        <v/>
      </c>
      <c r="N83" s="6">
        <f>IF(A83="","",IF(OR(AND(E83&lt;&gt;"",E83&gt;='2_Parametros'!$B$23,E83&lt;='2_Parametros'!$B$24),AND(D83&lt;&gt;"",D83&gt;='2_Parametros'!$B$23,D83&lt;='2_Parametros'!$B$24)),1,0))</f>
        <v/>
      </c>
      <c r="O83" s="6">
        <f>IF(A83="","",IF(AND(UPPER(H83)="COMPLETADA",E83&lt;&gt;""),1,0))</f>
        <v/>
      </c>
      <c r="P83" s="6">
        <f>IF(A83="","",IF(AND(UPPER(H83)&lt;&gt;"COMPLETADA",UPPER(H83)&lt;&gt;"CANCELADA",D83&lt;&gt;"",D83+K83-1&lt;'2_Parametros'!$B$24),1,0))</f>
        <v/>
      </c>
      <c r="Q83" s="6">
        <f>IF(A83="","",IF(OR(AND(O83=1,E83&gt;='2_Parametros'!$B$23,E83&lt;='2_Parametros'!$B$24),AND('2_Parametros'!$B$21=1,P83=1,N83=1)),1,0))</f>
        <v/>
      </c>
      <c r="R83" s="6">
        <f>IF(A83="","",IF(Q83=1,I83*L83,0))</f>
        <v/>
      </c>
      <c r="S83" s="6">
        <f>IF(A83="","",IF(Q83=1,I83*M83,0))</f>
        <v/>
      </c>
    </row>
    <row r="84">
      <c r="A84" s="6">
        <f>IF('1_Datos'!A85="","",'1_Datos'!A85)</f>
        <v/>
      </c>
      <c r="B84" s="6">
        <f>IF(A84="","",'1_Datos'!B85)</f>
        <v/>
      </c>
      <c r="C84" s="6">
        <f>IF(A84="","",'1_Datos'!C85)</f>
        <v/>
      </c>
      <c r="D84" s="7">
        <f>IF(A84="","",'1_Datos'!D85)</f>
        <v/>
      </c>
      <c r="E84" s="7">
        <f>IF(A84="","",IF('1_Datos'!E85="","",'1_Datos'!E85))</f>
        <v/>
      </c>
      <c r="F84" s="6">
        <f>IF(A84="","",'1_Datos'!F85)</f>
        <v/>
      </c>
      <c r="G84" s="6">
        <f>IF(A84="","",IF(OR(UPPER(F84)="ALTA",UPPER(F84)="P1",F84=1),"Alta",IF(OR(UPPER(F84)="MEDIA",UPPER(F84)="P2",F84=2),"Media",IF(OR(UPPER(F84)="BAJA",UPPER(F84)="P3",F84=3),"Baja","Media"))))</f>
        <v/>
      </c>
      <c r="H84" s="6">
        <f>IF(A84="","",'1_Datos'!G85)</f>
        <v/>
      </c>
      <c r="I84" s="6">
        <f>IF(A84="","",IF(G84="Alta",'2_Parametros'!$B$7,IF(G84="Media",'2_Parametros'!$B$8,'2_Parametros'!$B$9)))</f>
        <v/>
      </c>
      <c r="J84" s="6">
        <f>IF(A84="","",IF(E84&lt;&gt;"",E84-D84+1,IF(D84="","",'2_Parametros'!$B$24-D84+1)))</f>
        <v/>
      </c>
      <c r="K84" s="6">
        <f>IF(A84="","",IF(G84="Alta",'2_Parametros'!$B$11,IF(G84="Media",'2_Parametros'!$B$12,'2_Parametros'!$B$13)))</f>
        <v/>
      </c>
      <c r="L84" s="6">
        <f>IF(A84="","",IF(AND(UPPER(H84)="COMPLETADA",E84&lt;&gt;"",J84&lt;=K84),1,0))</f>
        <v/>
      </c>
      <c r="M84" s="15">
        <f>IF(A84="","",IF(OR(J84="",J84=0),0,MIN(1,K84/J84)))</f>
        <v/>
      </c>
      <c r="N84" s="6">
        <f>IF(A84="","",IF(OR(AND(E84&lt;&gt;"",E84&gt;='2_Parametros'!$B$23,E84&lt;='2_Parametros'!$B$24),AND(D84&lt;&gt;"",D84&gt;='2_Parametros'!$B$23,D84&lt;='2_Parametros'!$B$24)),1,0))</f>
        <v/>
      </c>
      <c r="O84" s="6">
        <f>IF(A84="","",IF(AND(UPPER(H84)="COMPLETADA",E84&lt;&gt;""),1,0))</f>
        <v/>
      </c>
      <c r="P84" s="6">
        <f>IF(A84="","",IF(AND(UPPER(H84)&lt;&gt;"COMPLETADA",UPPER(H84)&lt;&gt;"CANCELADA",D84&lt;&gt;"",D84+K84-1&lt;'2_Parametros'!$B$24),1,0))</f>
        <v/>
      </c>
      <c r="Q84" s="6">
        <f>IF(A84="","",IF(OR(AND(O84=1,E84&gt;='2_Parametros'!$B$23,E84&lt;='2_Parametros'!$B$24),AND('2_Parametros'!$B$21=1,P84=1,N84=1)),1,0))</f>
        <v/>
      </c>
      <c r="R84" s="6">
        <f>IF(A84="","",IF(Q84=1,I84*L84,0))</f>
        <v/>
      </c>
      <c r="S84" s="6">
        <f>IF(A84="","",IF(Q84=1,I84*M84,0))</f>
        <v/>
      </c>
    </row>
    <row r="85">
      <c r="A85" s="6">
        <f>IF('1_Datos'!A86="","",'1_Datos'!A86)</f>
        <v/>
      </c>
      <c r="B85" s="6">
        <f>IF(A85="","",'1_Datos'!B86)</f>
        <v/>
      </c>
      <c r="C85" s="6">
        <f>IF(A85="","",'1_Datos'!C86)</f>
        <v/>
      </c>
      <c r="D85" s="7">
        <f>IF(A85="","",'1_Datos'!D86)</f>
        <v/>
      </c>
      <c r="E85" s="7">
        <f>IF(A85="","",IF('1_Datos'!E86="","",'1_Datos'!E86))</f>
        <v/>
      </c>
      <c r="F85" s="6">
        <f>IF(A85="","",'1_Datos'!F86)</f>
        <v/>
      </c>
      <c r="G85" s="6">
        <f>IF(A85="","",IF(OR(UPPER(F85)="ALTA",UPPER(F85)="P1",F85=1),"Alta",IF(OR(UPPER(F85)="MEDIA",UPPER(F85)="P2",F85=2),"Media",IF(OR(UPPER(F85)="BAJA",UPPER(F85)="P3",F85=3),"Baja","Media"))))</f>
        <v/>
      </c>
      <c r="H85" s="6">
        <f>IF(A85="","",'1_Datos'!G86)</f>
        <v/>
      </c>
      <c r="I85" s="6">
        <f>IF(A85="","",IF(G85="Alta",'2_Parametros'!$B$7,IF(G85="Media",'2_Parametros'!$B$8,'2_Parametros'!$B$9)))</f>
        <v/>
      </c>
      <c r="J85" s="6">
        <f>IF(A85="","",IF(E85&lt;&gt;"",E85-D85+1,IF(D85="","",'2_Parametros'!$B$24-D85+1)))</f>
        <v/>
      </c>
      <c r="K85" s="6">
        <f>IF(A85="","",IF(G85="Alta",'2_Parametros'!$B$11,IF(G85="Media",'2_Parametros'!$B$12,'2_Parametros'!$B$13)))</f>
        <v/>
      </c>
      <c r="L85" s="6">
        <f>IF(A85="","",IF(AND(UPPER(H85)="COMPLETADA",E85&lt;&gt;"",J85&lt;=K85),1,0))</f>
        <v/>
      </c>
      <c r="M85" s="15">
        <f>IF(A85="","",IF(OR(J85="",J85=0),0,MIN(1,K85/J85)))</f>
        <v/>
      </c>
      <c r="N85" s="6">
        <f>IF(A85="","",IF(OR(AND(E85&lt;&gt;"",E85&gt;='2_Parametros'!$B$23,E85&lt;='2_Parametros'!$B$24),AND(D85&lt;&gt;"",D85&gt;='2_Parametros'!$B$23,D85&lt;='2_Parametros'!$B$24)),1,0))</f>
        <v/>
      </c>
      <c r="O85" s="6">
        <f>IF(A85="","",IF(AND(UPPER(H85)="COMPLETADA",E85&lt;&gt;""),1,0))</f>
        <v/>
      </c>
      <c r="P85" s="6">
        <f>IF(A85="","",IF(AND(UPPER(H85)&lt;&gt;"COMPLETADA",UPPER(H85)&lt;&gt;"CANCELADA",D85&lt;&gt;"",D85+K85-1&lt;'2_Parametros'!$B$24),1,0))</f>
        <v/>
      </c>
      <c r="Q85" s="6">
        <f>IF(A85="","",IF(OR(AND(O85=1,E85&gt;='2_Parametros'!$B$23,E85&lt;='2_Parametros'!$B$24),AND('2_Parametros'!$B$21=1,P85=1,N85=1)),1,0))</f>
        <v/>
      </c>
      <c r="R85" s="6">
        <f>IF(A85="","",IF(Q85=1,I85*L85,0))</f>
        <v/>
      </c>
      <c r="S85" s="6">
        <f>IF(A85="","",IF(Q85=1,I85*M85,0))</f>
        <v/>
      </c>
    </row>
    <row r="86">
      <c r="A86" s="6">
        <f>IF('1_Datos'!A87="","",'1_Datos'!A87)</f>
        <v/>
      </c>
      <c r="B86" s="6">
        <f>IF(A86="","",'1_Datos'!B87)</f>
        <v/>
      </c>
      <c r="C86" s="6">
        <f>IF(A86="","",'1_Datos'!C87)</f>
        <v/>
      </c>
      <c r="D86" s="7">
        <f>IF(A86="","",'1_Datos'!D87)</f>
        <v/>
      </c>
      <c r="E86" s="7">
        <f>IF(A86="","",IF('1_Datos'!E87="","",'1_Datos'!E87))</f>
        <v/>
      </c>
      <c r="F86" s="6">
        <f>IF(A86="","",'1_Datos'!F87)</f>
        <v/>
      </c>
      <c r="G86" s="6">
        <f>IF(A86="","",IF(OR(UPPER(F86)="ALTA",UPPER(F86)="P1",F86=1),"Alta",IF(OR(UPPER(F86)="MEDIA",UPPER(F86)="P2",F86=2),"Media",IF(OR(UPPER(F86)="BAJA",UPPER(F86)="P3",F86=3),"Baja","Media"))))</f>
        <v/>
      </c>
      <c r="H86" s="6">
        <f>IF(A86="","",'1_Datos'!G87)</f>
        <v/>
      </c>
      <c r="I86" s="6">
        <f>IF(A86="","",IF(G86="Alta",'2_Parametros'!$B$7,IF(G86="Media",'2_Parametros'!$B$8,'2_Parametros'!$B$9)))</f>
        <v/>
      </c>
      <c r="J86" s="6">
        <f>IF(A86="","",IF(E86&lt;&gt;"",E86-D86+1,IF(D86="","",'2_Parametros'!$B$24-D86+1)))</f>
        <v/>
      </c>
      <c r="K86" s="6">
        <f>IF(A86="","",IF(G86="Alta",'2_Parametros'!$B$11,IF(G86="Media",'2_Parametros'!$B$12,'2_Parametros'!$B$13)))</f>
        <v/>
      </c>
      <c r="L86" s="6">
        <f>IF(A86="","",IF(AND(UPPER(H86)="COMPLETADA",E86&lt;&gt;"",J86&lt;=K86),1,0))</f>
        <v/>
      </c>
      <c r="M86" s="15">
        <f>IF(A86="","",IF(OR(J86="",J86=0),0,MIN(1,K86/J86)))</f>
        <v/>
      </c>
      <c r="N86" s="6">
        <f>IF(A86="","",IF(OR(AND(E86&lt;&gt;"",E86&gt;='2_Parametros'!$B$23,E86&lt;='2_Parametros'!$B$24),AND(D86&lt;&gt;"",D86&gt;='2_Parametros'!$B$23,D86&lt;='2_Parametros'!$B$24)),1,0))</f>
        <v/>
      </c>
      <c r="O86" s="6">
        <f>IF(A86="","",IF(AND(UPPER(H86)="COMPLETADA",E86&lt;&gt;""),1,0))</f>
        <v/>
      </c>
      <c r="P86" s="6">
        <f>IF(A86="","",IF(AND(UPPER(H86)&lt;&gt;"COMPLETADA",UPPER(H86)&lt;&gt;"CANCELADA",D86&lt;&gt;"",D86+K86-1&lt;'2_Parametros'!$B$24),1,0))</f>
        <v/>
      </c>
      <c r="Q86" s="6">
        <f>IF(A86="","",IF(OR(AND(O86=1,E86&gt;='2_Parametros'!$B$23,E86&lt;='2_Parametros'!$B$24),AND('2_Parametros'!$B$21=1,P86=1,N86=1)),1,0))</f>
        <v/>
      </c>
      <c r="R86" s="6">
        <f>IF(A86="","",IF(Q86=1,I86*L86,0))</f>
        <v/>
      </c>
      <c r="S86" s="6">
        <f>IF(A86="","",IF(Q86=1,I86*M86,0))</f>
        <v/>
      </c>
    </row>
    <row r="87">
      <c r="A87" s="6">
        <f>IF('1_Datos'!A88="","",'1_Datos'!A88)</f>
        <v/>
      </c>
      <c r="B87" s="6">
        <f>IF(A87="","",'1_Datos'!B88)</f>
        <v/>
      </c>
      <c r="C87" s="6">
        <f>IF(A87="","",'1_Datos'!C88)</f>
        <v/>
      </c>
      <c r="D87" s="7">
        <f>IF(A87="","",'1_Datos'!D88)</f>
        <v/>
      </c>
      <c r="E87" s="7">
        <f>IF(A87="","",IF('1_Datos'!E88="","",'1_Datos'!E88))</f>
        <v/>
      </c>
      <c r="F87" s="6">
        <f>IF(A87="","",'1_Datos'!F88)</f>
        <v/>
      </c>
      <c r="G87" s="6">
        <f>IF(A87="","",IF(OR(UPPER(F87)="ALTA",UPPER(F87)="P1",F87=1),"Alta",IF(OR(UPPER(F87)="MEDIA",UPPER(F87)="P2",F87=2),"Media",IF(OR(UPPER(F87)="BAJA",UPPER(F87)="P3",F87=3),"Baja","Media"))))</f>
        <v/>
      </c>
      <c r="H87" s="6">
        <f>IF(A87="","",'1_Datos'!G88)</f>
        <v/>
      </c>
      <c r="I87" s="6">
        <f>IF(A87="","",IF(G87="Alta",'2_Parametros'!$B$7,IF(G87="Media",'2_Parametros'!$B$8,'2_Parametros'!$B$9)))</f>
        <v/>
      </c>
      <c r="J87" s="6">
        <f>IF(A87="","",IF(E87&lt;&gt;"",E87-D87+1,IF(D87="","",'2_Parametros'!$B$24-D87+1)))</f>
        <v/>
      </c>
      <c r="K87" s="6">
        <f>IF(A87="","",IF(G87="Alta",'2_Parametros'!$B$11,IF(G87="Media",'2_Parametros'!$B$12,'2_Parametros'!$B$13)))</f>
        <v/>
      </c>
      <c r="L87" s="6">
        <f>IF(A87="","",IF(AND(UPPER(H87)="COMPLETADA",E87&lt;&gt;"",J87&lt;=K87),1,0))</f>
        <v/>
      </c>
      <c r="M87" s="15">
        <f>IF(A87="","",IF(OR(J87="",J87=0),0,MIN(1,K87/J87)))</f>
        <v/>
      </c>
      <c r="N87" s="6">
        <f>IF(A87="","",IF(OR(AND(E87&lt;&gt;"",E87&gt;='2_Parametros'!$B$23,E87&lt;='2_Parametros'!$B$24),AND(D87&lt;&gt;"",D87&gt;='2_Parametros'!$B$23,D87&lt;='2_Parametros'!$B$24)),1,0))</f>
        <v/>
      </c>
      <c r="O87" s="6">
        <f>IF(A87="","",IF(AND(UPPER(H87)="COMPLETADA",E87&lt;&gt;""),1,0))</f>
        <v/>
      </c>
      <c r="P87" s="6">
        <f>IF(A87="","",IF(AND(UPPER(H87)&lt;&gt;"COMPLETADA",UPPER(H87)&lt;&gt;"CANCELADA",D87&lt;&gt;"",D87+K87-1&lt;'2_Parametros'!$B$24),1,0))</f>
        <v/>
      </c>
      <c r="Q87" s="6">
        <f>IF(A87="","",IF(OR(AND(O87=1,E87&gt;='2_Parametros'!$B$23,E87&lt;='2_Parametros'!$B$24),AND('2_Parametros'!$B$21=1,P87=1,N87=1)),1,0))</f>
        <v/>
      </c>
      <c r="R87" s="6">
        <f>IF(A87="","",IF(Q87=1,I87*L87,0))</f>
        <v/>
      </c>
      <c r="S87" s="6">
        <f>IF(A87="","",IF(Q87=1,I87*M87,0))</f>
        <v/>
      </c>
    </row>
    <row r="88">
      <c r="A88" s="6">
        <f>IF('1_Datos'!A89="","",'1_Datos'!A89)</f>
        <v/>
      </c>
      <c r="B88" s="6">
        <f>IF(A88="","",'1_Datos'!B89)</f>
        <v/>
      </c>
      <c r="C88" s="6">
        <f>IF(A88="","",'1_Datos'!C89)</f>
        <v/>
      </c>
      <c r="D88" s="7">
        <f>IF(A88="","",'1_Datos'!D89)</f>
        <v/>
      </c>
      <c r="E88" s="7">
        <f>IF(A88="","",IF('1_Datos'!E89="","",'1_Datos'!E89))</f>
        <v/>
      </c>
      <c r="F88" s="6">
        <f>IF(A88="","",'1_Datos'!F89)</f>
        <v/>
      </c>
      <c r="G88" s="6">
        <f>IF(A88="","",IF(OR(UPPER(F88)="ALTA",UPPER(F88)="P1",F88=1),"Alta",IF(OR(UPPER(F88)="MEDIA",UPPER(F88)="P2",F88=2),"Media",IF(OR(UPPER(F88)="BAJA",UPPER(F88)="P3",F88=3),"Baja","Media"))))</f>
        <v/>
      </c>
      <c r="H88" s="6">
        <f>IF(A88="","",'1_Datos'!G89)</f>
        <v/>
      </c>
      <c r="I88" s="6">
        <f>IF(A88="","",IF(G88="Alta",'2_Parametros'!$B$7,IF(G88="Media",'2_Parametros'!$B$8,'2_Parametros'!$B$9)))</f>
        <v/>
      </c>
      <c r="J88" s="6">
        <f>IF(A88="","",IF(E88&lt;&gt;"",E88-D88+1,IF(D88="","",'2_Parametros'!$B$24-D88+1)))</f>
        <v/>
      </c>
      <c r="K88" s="6">
        <f>IF(A88="","",IF(G88="Alta",'2_Parametros'!$B$11,IF(G88="Media",'2_Parametros'!$B$12,'2_Parametros'!$B$13)))</f>
        <v/>
      </c>
      <c r="L88" s="6">
        <f>IF(A88="","",IF(AND(UPPER(H88)="COMPLETADA",E88&lt;&gt;"",J88&lt;=K88),1,0))</f>
        <v/>
      </c>
      <c r="M88" s="15">
        <f>IF(A88="","",IF(OR(J88="",J88=0),0,MIN(1,K88/J88)))</f>
        <v/>
      </c>
      <c r="N88" s="6">
        <f>IF(A88="","",IF(OR(AND(E88&lt;&gt;"",E88&gt;='2_Parametros'!$B$23,E88&lt;='2_Parametros'!$B$24),AND(D88&lt;&gt;"",D88&gt;='2_Parametros'!$B$23,D88&lt;='2_Parametros'!$B$24)),1,0))</f>
        <v/>
      </c>
      <c r="O88" s="6">
        <f>IF(A88="","",IF(AND(UPPER(H88)="COMPLETADA",E88&lt;&gt;""),1,0))</f>
        <v/>
      </c>
      <c r="P88" s="6">
        <f>IF(A88="","",IF(AND(UPPER(H88)&lt;&gt;"COMPLETADA",UPPER(H88)&lt;&gt;"CANCELADA",D88&lt;&gt;"",D88+K88-1&lt;'2_Parametros'!$B$24),1,0))</f>
        <v/>
      </c>
      <c r="Q88" s="6">
        <f>IF(A88="","",IF(OR(AND(O88=1,E88&gt;='2_Parametros'!$B$23,E88&lt;='2_Parametros'!$B$24),AND('2_Parametros'!$B$21=1,P88=1,N88=1)),1,0))</f>
        <v/>
      </c>
      <c r="R88" s="6">
        <f>IF(A88="","",IF(Q88=1,I88*L88,0))</f>
        <v/>
      </c>
      <c r="S88" s="6">
        <f>IF(A88="","",IF(Q88=1,I88*M88,0))</f>
        <v/>
      </c>
    </row>
    <row r="89">
      <c r="A89" s="6">
        <f>IF('1_Datos'!A90="","",'1_Datos'!A90)</f>
        <v/>
      </c>
      <c r="B89" s="6">
        <f>IF(A89="","",'1_Datos'!B90)</f>
        <v/>
      </c>
      <c r="C89" s="6">
        <f>IF(A89="","",'1_Datos'!C90)</f>
        <v/>
      </c>
      <c r="D89" s="7">
        <f>IF(A89="","",'1_Datos'!D90)</f>
        <v/>
      </c>
      <c r="E89" s="7">
        <f>IF(A89="","",IF('1_Datos'!E90="","",'1_Datos'!E90))</f>
        <v/>
      </c>
      <c r="F89" s="6">
        <f>IF(A89="","",'1_Datos'!F90)</f>
        <v/>
      </c>
      <c r="G89" s="6">
        <f>IF(A89="","",IF(OR(UPPER(F89)="ALTA",UPPER(F89)="P1",F89=1),"Alta",IF(OR(UPPER(F89)="MEDIA",UPPER(F89)="P2",F89=2),"Media",IF(OR(UPPER(F89)="BAJA",UPPER(F89)="P3",F89=3),"Baja","Media"))))</f>
        <v/>
      </c>
      <c r="H89" s="6">
        <f>IF(A89="","",'1_Datos'!G90)</f>
        <v/>
      </c>
      <c r="I89" s="6">
        <f>IF(A89="","",IF(G89="Alta",'2_Parametros'!$B$7,IF(G89="Media",'2_Parametros'!$B$8,'2_Parametros'!$B$9)))</f>
        <v/>
      </c>
      <c r="J89" s="6">
        <f>IF(A89="","",IF(E89&lt;&gt;"",E89-D89+1,IF(D89="","",'2_Parametros'!$B$24-D89+1)))</f>
        <v/>
      </c>
      <c r="K89" s="6">
        <f>IF(A89="","",IF(G89="Alta",'2_Parametros'!$B$11,IF(G89="Media",'2_Parametros'!$B$12,'2_Parametros'!$B$13)))</f>
        <v/>
      </c>
      <c r="L89" s="6">
        <f>IF(A89="","",IF(AND(UPPER(H89)="COMPLETADA",E89&lt;&gt;"",J89&lt;=K89),1,0))</f>
        <v/>
      </c>
      <c r="M89" s="15">
        <f>IF(A89="","",IF(OR(J89="",J89=0),0,MIN(1,K89/J89)))</f>
        <v/>
      </c>
      <c r="N89" s="6">
        <f>IF(A89="","",IF(OR(AND(E89&lt;&gt;"",E89&gt;='2_Parametros'!$B$23,E89&lt;='2_Parametros'!$B$24),AND(D89&lt;&gt;"",D89&gt;='2_Parametros'!$B$23,D89&lt;='2_Parametros'!$B$24)),1,0))</f>
        <v/>
      </c>
      <c r="O89" s="6">
        <f>IF(A89="","",IF(AND(UPPER(H89)="COMPLETADA",E89&lt;&gt;""),1,0))</f>
        <v/>
      </c>
      <c r="P89" s="6">
        <f>IF(A89="","",IF(AND(UPPER(H89)&lt;&gt;"COMPLETADA",UPPER(H89)&lt;&gt;"CANCELADA",D89&lt;&gt;"",D89+K89-1&lt;'2_Parametros'!$B$24),1,0))</f>
        <v/>
      </c>
      <c r="Q89" s="6">
        <f>IF(A89="","",IF(OR(AND(O89=1,E89&gt;='2_Parametros'!$B$23,E89&lt;='2_Parametros'!$B$24),AND('2_Parametros'!$B$21=1,P89=1,N89=1)),1,0))</f>
        <v/>
      </c>
      <c r="R89" s="6">
        <f>IF(A89="","",IF(Q89=1,I89*L89,0))</f>
        <v/>
      </c>
      <c r="S89" s="6">
        <f>IF(A89="","",IF(Q89=1,I89*M89,0))</f>
        <v/>
      </c>
    </row>
    <row r="90">
      <c r="A90" s="6">
        <f>IF('1_Datos'!A91="","",'1_Datos'!A91)</f>
        <v/>
      </c>
      <c r="B90" s="6">
        <f>IF(A90="","",'1_Datos'!B91)</f>
        <v/>
      </c>
      <c r="C90" s="6">
        <f>IF(A90="","",'1_Datos'!C91)</f>
        <v/>
      </c>
      <c r="D90" s="7">
        <f>IF(A90="","",'1_Datos'!D91)</f>
        <v/>
      </c>
      <c r="E90" s="7">
        <f>IF(A90="","",IF('1_Datos'!E91="","",'1_Datos'!E91))</f>
        <v/>
      </c>
      <c r="F90" s="6">
        <f>IF(A90="","",'1_Datos'!F91)</f>
        <v/>
      </c>
      <c r="G90" s="6">
        <f>IF(A90="","",IF(OR(UPPER(F90)="ALTA",UPPER(F90)="P1",F90=1),"Alta",IF(OR(UPPER(F90)="MEDIA",UPPER(F90)="P2",F90=2),"Media",IF(OR(UPPER(F90)="BAJA",UPPER(F90)="P3",F90=3),"Baja","Media"))))</f>
        <v/>
      </c>
      <c r="H90" s="6">
        <f>IF(A90="","",'1_Datos'!G91)</f>
        <v/>
      </c>
      <c r="I90" s="6">
        <f>IF(A90="","",IF(G90="Alta",'2_Parametros'!$B$7,IF(G90="Media",'2_Parametros'!$B$8,'2_Parametros'!$B$9)))</f>
        <v/>
      </c>
      <c r="J90" s="6">
        <f>IF(A90="","",IF(E90&lt;&gt;"",E90-D90+1,IF(D90="","",'2_Parametros'!$B$24-D90+1)))</f>
        <v/>
      </c>
      <c r="K90" s="6">
        <f>IF(A90="","",IF(G90="Alta",'2_Parametros'!$B$11,IF(G90="Media",'2_Parametros'!$B$12,'2_Parametros'!$B$13)))</f>
        <v/>
      </c>
      <c r="L90" s="6">
        <f>IF(A90="","",IF(AND(UPPER(H90)="COMPLETADA",E90&lt;&gt;"",J90&lt;=K90),1,0))</f>
        <v/>
      </c>
      <c r="M90" s="15">
        <f>IF(A90="","",IF(OR(J90="",J90=0),0,MIN(1,K90/J90)))</f>
        <v/>
      </c>
      <c r="N90" s="6">
        <f>IF(A90="","",IF(OR(AND(E90&lt;&gt;"",E90&gt;='2_Parametros'!$B$23,E90&lt;='2_Parametros'!$B$24),AND(D90&lt;&gt;"",D90&gt;='2_Parametros'!$B$23,D90&lt;='2_Parametros'!$B$24)),1,0))</f>
        <v/>
      </c>
      <c r="O90" s="6">
        <f>IF(A90="","",IF(AND(UPPER(H90)="COMPLETADA",E90&lt;&gt;""),1,0))</f>
        <v/>
      </c>
      <c r="P90" s="6">
        <f>IF(A90="","",IF(AND(UPPER(H90)&lt;&gt;"COMPLETADA",UPPER(H90)&lt;&gt;"CANCELADA",D90&lt;&gt;"",D90+K90-1&lt;'2_Parametros'!$B$24),1,0))</f>
        <v/>
      </c>
      <c r="Q90" s="6">
        <f>IF(A90="","",IF(OR(AND(O90=1,E90&gt;='2_Parametros'!$B$23,E90&lt;='2_Parametros'!$B$24),AND('2_Parametros'!$B$21=1,P90=1,N90=1)),1,0))</f>
        <v/>
      </c>
      <c r="R90" s="6">
        <f>IF(A90="","",IF(Q90=1,I90*L90,0))</f>
        <v/>
      </c>
      <c r="S90" s="6">
        <f>IF(A90="","",IF(Q90=1,I90*M90,0))</f>
        <v/>
      </c>
    </row>
    <row r="91">
      <c r="A91" s="6">
        <f>IF('1_Datos'!A92="","",'1_Datos'!A92)</f>
        <v/>
      </c>
      <c r="B91" s="6">
        <f>IF(A91="","",'1_Datos'!B92)</f>
        <v/>
      </c>
      <c r="C91" s="6">
        <f>IF(A91="","",'1_Datos'!C92)</f>
        <v/>
      </c>
      <c r="D91" s="7">
        <f>IF(A91="","",'1_Datos'!D92)</f>
        <v/>
      </c>
      <c r="E91" s="7">
        <f>IF(A91="","",IF('1_Datos'!E92="","",'1_Datos'!E92))</f>
        <v/>
      </c>
      <c r="F91" s="6">
        <f>IF(A91="","",'1_Datos'!F92)</f>
        <v/>
      </c>
      <c r="G91" s="6">
        <f>IF(A91="","",IF(OR(UPPER(F91)="ALTA",UPPER(F91)="P1",F91=1),"Alta",IF(OR(UPPER(F91)="MEDIA",UPPER(F91)="P2",F91=2),"Media",IF(OR(UPPER(F91)="BAJA",UPPER(F91)="P3",F91=3),"Baja","Media"))))</f>
        <v/>
      </c>
      <c r="H91" s="6">
        <f>IF(A91="","",'1_Datos'!G92)</f>
        <v/>
      </c>
      <c r="I91" s="6">
        <f>IF(A91="","",IF(G91="Alta",'2_Parametros'!$B$7,IF(G91="Media",'2_Parametros'!$B$8,'2_Parametros'!$B$9)))</f>
        <v/>
      </c>
      <c r="J91" s="6">
        <f>IF(A91="","",IF(E91&lt;&gt;"",E91-D91+1,IF(D91="","",'2_Parametros'!$B$24-D91+1)))</f>
        <v/>
      </c>
      <c r="K91" s="6">
        <f>IF(A91="","",IF(G91="Alta",'2_Parametros'!$B$11,IF(G91="Media",'2_Parametros'!$B$12,'2_Parametros'!$B$13)))</f>
        <v/>
      </c>
      <c r="L91" s="6">
        <f>IF(A91="","",IF(AND(UPPER(H91)="COMPLETADA",E91&lt;&gt;"",J91&lt;=K91),1,0))</f>
        <v/>
      </c>
      <c r="M91" s="15">
        <f>IF(A91="","",IF(OR(J91="",J91=0),0,MIN(1,K91/J91)))</f>
        <v/>
      </c>
      <c r="N91" s="6">
        <f>IF(A91="","",IF(OR(AND(E91&lt;&gt;"",E91&gt;='2_Parametros'!$B$23,E91&lt;='2_Parametros'!$B$24),AND(D91&lt;&gt;"",D91&gt;='2_Parametros'!$B$23,D91&lt;='2_Parametros'!$B$24)),1,0))</f>
        <v/>
      </c>
      <c r="O91" s="6">
        <f>IF(A91="","",IF(AND(UPPER(H91)="COMPLETADA",E91&lt;&gt;""),1,0))</f>
        <v/>
      </c>
      <c r="P91" s="6">
        <f>IF(A91="","",IF(AND(UPPER(H91)&lt;&gt;"COMPLETADA",UPPER(H91)&lt;&gt;"CANCELADA",D91&lt;&gt;"",D91+K91-1&lt;'2_Parametros'!$B$24),1,0))</f>
        <v/>
      </c>
      <c r="Q91" s="6">
        <f>IF(A91="","",IF(OR(AND(O91=1,E91&gt;='2_Parametros'!$B$23,E91&lt;='2_Parametros'!$B$24),AND('2_Parametros'!$B$21=1,P91=1,N91=1)),1,0))</f>
        <v/>
      </c>
      <c r="R91" s="6">
        <f>IF(A91="","",IF(Q91=1,I91*L91,0))</f>
        <v/>
      </c>
      <c r="S91" s="6">
        <f>IF(A91="","",IF(Q91=1,I91*M91,0))</f>
        <v/>
      </c>
    </row>
    <row r="92">
      <c r="A92" s="6">
        <f>IF('1_Datos'!A93="","",'1_Datos'!A93)</f>
        <v/>
      </c>
      <c r="B92" s="6">
        <f>IF(A92="","",'1_Datos'!B93)</f>
        <v/>
      </c>
      <c r="C92" s="6">
        <f>IF(A92="","",'1_Datos'!C93)</f>
        <v/>
      </c>
      <c r="D92" s="7">
        <f>IF(A92="","",'1_Datos'!D93)</f>
        <v/>
      </c>
      <c r="E92" s="7">
        <f>IF(A92="","",IF('1_Datos'!E93="","",'1_Datos'!E93))</f>
        <v/>
      </c>
      <c r="F92" s="6">
        <f>IF(A92="","",'1_Datos'!F93)</f>
        <v/>
      </c>
      <c r="G92" s="6">
        <f>IF(A92="","",IF(OR(UPPER(F92)="ALTA",UPPER(F92)="P1",F92=1),"Alta",IF(OR(UPPER(F92)="MEDIA",UPPER(F92)="P2",F92=2),"Media",IF(OR(UPPER(F92)="BAJA",UPPER(F92)="P3",F92=3),"Baja","Media"))))</f>
        <v/>
      </c>
      <c r="H92" s="6">
        <f>IF(A92="","",'1_Datos'!G93)</f>
        <v/>
      </c>
      <c r="I92" s="6">
        <f>IF(A92="","",IF(G92="Alta",'2_Parametros'!$B$7,IF(G92="Media",'2_Parametros'!$B$8,'2_Parametros'!$B$9)))</f>
        <v/>
      </c>
      <c r="J92" s="6">
        <f>IF(A92="","",IF(E92&lt;&gt;"",E92-D92+1,IF(D92="","",'2_Parametros'!$B$24-D92+1)))</f>
        <v/>
      </c>
      <c r="K92" s="6">
        <f>IF(A92="","",IF(G92="Alta",'2_Parametros'!$B$11,IF(G92="Media",'2_Parametros'!$B$12,'2_Parametros'!$B$13)))</f>
        <v/>
      </c>
      <c r="L92" s="6">
        <f>IF(A92="","",IF(AND(UPPER(H92)="COMPLETADA",E92&lt;&gt;"",J92&lt;=K92),1,0))</f>
        <v/>
      </c>
      <c r="M92" s="15">
        <f>IF(A92="","",IF(OR(J92="",J92=0),0,MIN(1,K92/J92)))</f>
        <v/>
      </c>
      <c r="N92" s="6">
        <f>IF(A92="","",IF(OR(AND(E92&lt;&gt;"",E92&gt;='2_Parametros'!$B$23,E92&lt;='2_Parametros'!$B$24),AND(D92&lt;&gt;"",D92&gt;='2_Parametros'!$B$23,D92&lt;='2_Parametros'!$B$24)),1,0))</f>
        <v/>
      </c>
      <c r="O92" s="6">
        <f>IF(A92="","",IF(AND(UPPER(H92)="COMPLETADA",E92&lt;&gt;""),1,0))</f>
        <v/>
      </c>
      <c r="P92" s="6">
        <f>IF(A92="","",IF(AND(UPPER(H92)&lt;&gt;"COMPLETADA",UPPER(H92)&lt;&gt;"CANCELADA",D92&lt;&gt;"",D92+K92-1&lt;'2_Parametros'!$B$24),1,0))</f>
        <v/>
      </c>
      <c r="Q92" s="6">
        <f>IF(A92="","",IF(OR(AND(O92=1,E92&gt;='2_Parametros'!$B$23,E92&lt;='2_Parametros'!$B$24),AND('2_Parametros'!$B$21=1,P92=1,N92=1)),1,0))</f>
        <v/>
      </c>
      <c r="R92" s="6">
        <f>IF(A92="","",IF(Q92=1,I92*L92,0))</f>
        <v/>
      </c>
      <c r="S92" s="6">
        <f>IF(A92="","",IF(Q92=1,I92*M92,0))</f>
        <v/>
      </c>
    </row>
    <row r="93">
      <c r="A93" s="6">
        <f>IF('1_Datos'!A94="","",'1_Datos'!A94)</f>
        <v/>
      </c>
      <c r="B93" s="6">
        <f>IF(A93="","",'1_Datos'!B94)</f>
        <v/>
      </c>
      <c r="C93" s="6">
        <f>IF(A93="","",'1_Datos'!C94)</f>
        <v/>
      </c>
      <c r="D93" s="7">
        <f>IF(A93="","",'1_Datos'!D94)</f>
        <v/>
      </c>
      <c r="E93" s="7">
        <f>IF(A93="","",IF('1_Datos'!E94="","",'1_Datos'!E94))</f>
        <v/>
      </c>
      <c r="F93" s="6">
        <f>IF(A93="","",'1_Datos'!F94)</f>
        <v/>
      </c>
      <c r="G93" s="6">
        <f>IF(A93="","",IF(OR(UPPER(F93)="ALTA",UPPER(F93)="P1",F93=1),"Alta",IF(OR(UPPER(F93)="MEDIA",UPPER(F93)="P2",F93=2),"Media",IF(OR(UPPER(F93)="BAJA",UPPER(F93)="P3",F93=3),"Baja","Media"))))</f>
        <v/>
      </c>
      <c r="H93" s="6">
        <f>IF(A93="","",'1_Datos'!G94)</f>
        <v/>
      </c>
      <c r="I93" s="6">
        <f>IF(A93="","",IF(G93="Alta",'2_Parametros'!$B$7,IF(G93="Media",'2_Parametros'!$B$8,'2_Parametros'!$B$9)))</f>
        <v/>
      </c>
      <c r="J93" s="6">
        <f>IF(A93="","",IF(E93&lt;&gt;"",E93-D93+1,IF(D93="","",'2_Parametros'!$B$24-D93+1)))</f>
        <v/>
      </c>
      <c r="K93" s="6">
        <f>IF(A93="","",IF(G93="Alta",'2_Parametros'!$B$11,IF(G93="Media",'2_Parametros'!$B$12,'2_Parametros'!$B$13)))</f>
        <v/>
      </c>
      <c r="L93" s="6">
        <f>IF(A93="","",IF(AND(UPPER(H93)="COMPLETADA",E93&lt;&gt;"",J93&lt;=K93),1,0))</f>
        <v/>
      </c>
      <c r="M93" s="15">
        <f>IF(A93="","",IF(OR(J93="",J93=0),0,MIN(1,K93/J93)))</f>
        <v/>
      </c>
      <c r="N93" s="6">
        <f>IF(A93="","",IF(OR(AND(E93&lt;&gt;"",E93&gt;='2_Parametros'!$B$23,E93&lt;='2_Parametros'!$B$24),AND(D93&lt;&gt;"",D93&gt;='2_Parametros'!$B$23,D93&lt;='2_Parametros'!$B$24)),1,0))</f>
        <v/>
      </c>
      <c r="O93" s="6">
        <f>IF(A93="","",IF(AND(UPPER(H93)="COMPLETADA",E93&lt;&gt;""),1,0))</f>
        <v/>
      </c>
      <c r="P93" s="6">
        <f>IF(A93="","",IF(AND(UPPER(H93)&lt;&gt;"COMPLETADA",UPPER(H93)&lt;&gt;"CANCELADA",D93&lt;&gt;"",D93+K93-1&lt;'2_Parametros'!$B$24),1,0))</f>
        <v/>
      </c>
      <c r="Q93" s="6">
        <f>IF(A93="","",IF(OR(AND(O93=1,E93&gt;='2_Parametros'!$B$23,E93&lt;='2_Parametros'!$B$24),AND('2_Parametros'!$B$21=1,P93=1,N93=1)),1,0))</f>
        <v/>
      </c>
      <c r="R93" s="6">
        <f>IF(A93="","",IF(Q93=1,I93*L93,0))</f>
        <v/>
      </c>
      <c r="S93" s="6">
        <f>IF(A93="","",IF(Q93=1,I93*M93,0))</f>
        <v/>
      </c>
    </row>
    <row r="94">
      <c r="A94" s="6">
        <f>IF('1_Datos'!A95="","",'1_Datos'!A95)</f>
        <v/>
      </c>
      <c r="B94" s="6">
        <f>IF(A94="","",'1_Datos'!B95)</f>
        <v/>
      </c>
      <c r="C94" s="6">
        <f>IF(A94="","",'1_Datos'!C95)</f>
        <v/>
      </c>
      <c r="D94" s="7">
        <f>IF(A94="","",'1_Datos'!D95)</f>
        <v/>
      </c>
      <c r="E94" s="7">
        <f>IF(A94="","",IF('1_Datos'!E95="","",'1_Datos'!E95))</f>
        <v/>
      </c>
      <c r="F94" s="6">
        <f>IF(A94="","",'1_Datos'!F95)</f>
        <v/>
      </c>
      <c r="G94" s="6">
        <f>IF(A94="","",IF(OR(UPPER(F94)="ALTA",UPPER(F94)="P1",F94=1),"Alta",IF(OR(UPPER(F94)="MEDIA",UPPER(F94)="P2",F94=2),"Media",IF(OR(UPPER(F94)="BAJA",UPPER(F94)="P3",F94=3),"Baja","Media"))))</f>
        <v/>
      </c>
      <c r="H94" s="6">
        <f>IF(A94="","",'1_Datos'!G95)</f>
        <v/>
      </c>
      <c r="I94" s="6">
        <f>IF(A94="","",IF(G94="Alta",'2_Parametros'!$B$7,IF(G94="Media",'2_Parametros'!$B$8,'2_Parametros'!$B$9)))</f>
        <v/>
      </c>
      <c r="J94" s="6">
        <f>IF(A94="","",IF(E94&lt;&gt;"",E94-D94+1,IF(D94="","",'2_Parametros'!$B$24-D94+1)))</f>
        <v/>
      </c>
      <c r="K94" s="6">
        <f>IF(A94="","",IF(G94="Alta",'2_Parametros'!$B$11,IF(G94="Media",'2_Parametros'!$B$12,'2_Parametros'!$B$13)))</f>
        <v/>
      </c>
      <c r="L94" s="6">
        <f>IF(A94="","",IF(AND(UPPER(H94)="COMPLETADA",E94&lt;&gt;"",J94&lt;=K94),1,0))</f>
        <v/>
      </c>
      <c r="M94" s="15">
        <f>IF(A94="","",IF(OR(J94="",J94=0),0,MIN(1,K94/J94)))</f>
        <v/>
      </c>
      <c r="N94" s="6">
        <f>IF(A94="","",IF(OR(AND(E94&lt;&gt;"",E94&gt;='2_Parametros'!$B$23,E94&lt;='2_Parametros'!$B$24),AND(D94&lt;&gt;"",D94&gt;='2_Parametros'!$B$23,D94&lt;='2_Parametros'!$B$24)),1,0))</f>
        <v/>
      </c>
      <c r="O94" s="6">
        <f>IF(A94="","",IF(AND(UPPER(H94)="COMPLETADA",E94&lt;&gt;""),1,0))</f>
        <v/>
      </c>
      <c r="P94" s="6">
        <f>IF(A94="","",IF(AND(UPPER(H94)&lt;&gt;"COMPLETADA",UPPER(H94)&lt;&gt;"CANCELADA",D94&lt;&gt;"",D94+K94-1&lt;'2_Parametros'!$B$24),1,0))</f>
        <v/>
      </c>
      <c r="Q94" s="6">
        <f>IF(A94="","",IF(OR(AND(O94=1,E94&gt;='2_Parametros'!$B$23,E94&lt;='2_Parametros'!$B$24),AND('2_Parametros'!$B$21=1,P94=1,N94=1)),1,0))</f>
        <v/>
      </c>
      <c r="R94" s="6">
        <f>IF(A94="","",IF(Q94=1,I94*L94,0))</f>
        <v/>
      </c>
      <c r="S94" s="6">
        <f>IF(A94="","",IF(Q94=1,I94*M94,0))</f>
        <v/>
      </c>
    </row>
    <row r="95">
      <c r="A95" s="6">
        <f>IF('1_Datos'!A96="","",'1_Datos'!A96)</f>
        <v/>
      </c>
      <c r="B95" s="6">
        <f>IF(A95="","",'1_Datos'!B96)</f>
        <v/>
      </c>
      <c r="C95" s="6">
        <f>IF(A95="","",'1_Datos'!C96)</f>
        <v/>
      </c>
      <c r="D95" s="7">
        <f>IF(A95="","",'1_Datos'!D96)</f>
        <v/>
      </c>
      <c r="E95" s="7">
        <f>IF(A95="","",IF('1_Datos'!E96="","",'1_Datos'!E96))</f>
        <v/>
      </c>
      <c r="F95" s="6">
        <f>IF(A95="","",'1_Datos'!F96)</f>
        <v/>
      </c>
      <c r="G95" s="6">
        <f>IF(A95="","",IF(OR(UPPER(F95)="ALTA",UPPER(F95)="P1",F95=1),"Alta",IF(OR(UPPER(F95)="MEDIA",UPPER(F95)="P2",F95=2),"Media",IF(OR(UPPER(F95)="BAJA",UPPER(F95)="P3",F95=3),"Baja","Media"))))</f>
        <v/>
      </c>
      <c r="H95" s="6">
        <f>IF(A95="","",'1_Datos'!G96)</f>
        <v/>
      </c>
      <c r="I95" s="6">
        <f>IF(A95="","",IF(G95="Alta",'2_Parametros'!$B$7,IF(G95="Media",'2_Parametros'!$B$8,'2_Parametros'!$B$9)))</f>
        <v/>
      </c>
      <c r="J95" s="6">
        <f>IF(A95="","",IF(E95&lt;&gt;"",E95-D95+1,IF(D95="","",'2_Parametros'!$B$24-D95+1)))</f>
        <v/>
      </c>
      <c r="K95" s="6">
        <f>IF(A95="","",IF(G95="Alta",'2_Parametros'!$B$11,IF(G95="Media",'2_Parametros'!$B$12,'2_Parametros'!$B$13)))</f>
        <v/>
      </c>
      <c r="L95" s="6">
        <f>IF(A95="","",IF(AND(UPPER(H95)="COMPLETADA",E95&lt;&gt;"",J95&lt;=K95),1,0))</f>
        <v/>
      </c>
      <c r="M95" s="15">
        <f>IF(A95="","",IF(OR(J95="",J95=0),0,MIN(1,K95/J95)))</f>
        <v/>
      </c>
      <c r="N95" s="6">
        <f>IF(A95="","",IF(OR(AND(E95&lt;&gt;"",E95&gt;='2_Parametros'!$B$23,E95&lt;='2_Parametros'!$B$24),AND(D95&lt;&gt;"",D95&gt;='2_Parametros'!$B$23,D95&lt;='2_Parametros'!$B$24)),1,0))</f>
        <v/>
      </c>
      <c r="O95" s="6">
        <f>IF(A95="","",IF(AND(UPPER(H95)="COMPLETADA",E95&lt;&gt;""),1,0))</f>
        <v/>
      </c>
      <c r="P95" s="6">
        <f>IF(A95="","",IF(AND(UPPER(H95)&lt;&gt;"COMPLETADA",UPPER(H95)&lt;&gt;"CANCELADA",D95&lt;&gt;"",D95+K95-1&lt;'2_Parametros'!$B$24),1,0))</f>
        <v/>
      </c>
      <c r="Q95" s="6">
        <f>IF(A95="","",IF(OR(AND(O95=1,E95&gt;='2_Parametros'!$B$23,E95&lt;='2_Parametros'!$B$24),AND('2_Parametros'!$B$21=1,P95=1,N95=1)),1,0))</f>
        <v/>
      </c>
      <c r="R95" s="6">
        <f>IF(A95="","",IF(Q95=1,I95*L95,0))</f>
        <v/>
      </c>
      <c r="S95" s="6">
        <f>IF(A95="","",IF(Q95=1,I95*M95,0))</f>
        <v/>
      </c>
    </row>
    <row r="96">
      <c r="A96" s="6">
        <f>IF('1_Datos'!A97="","",'1_Datos'!A97)</f>
        <v/>
      </c>
      <c r="B96" s="6">
        <f>IF(A96="","",'1_Datos'!B97)</f>
        <v/>
      </c>
      <c r="C96" s="6">
        <f>IF(A96="","",'1_Datos'!C97)</f>
        <v/>
      </c>
      <c r="D96" s="7">
        <f>IF(A96="","",'1_Datos'!D97)</f>
        <v/>
      </c>
      <c r="E96" s="7">
        <f>IF(A96="","",IF('1_Datos'!E97="","",'1_Datos'!E97))</f>
        <v/>
      </c>
      <c r="F96" s="6">
        <f>IF(A96="","",'1_Datos'!F97)</f>
        <v/>
      </c>
      <c r="G96" s="6">
        <f>IF(A96="","",IF(OR(UPPER(F96)="ALTA",UPPER(F96)="P1",F96=1),"Alta",IF(OR(UPPER(F96)="MEDIA",UPPER(F96)="P2",F96=2),"Media",IF(OR(UPPER(F96)="BAJA",UPPER(F96)="P3",F96=3),"Baja","Media"))))</f>
        <v/>
      </c>
      <c r="H96" s="6">
        <f>IF(A96="","",'1_Datos'!G97)</f>
        <v/>
      </c>
      <c r="I96" s="6">
        <f>IF(A96="","",IF(G96="Alta",'2_Parametros'!$B$7,IF(G96="Media",'2_Parametros'!$B$8,'2_Parametros'!$B$9)))</f>
        <v/>
      </c>
      <c r="J96" s="6">
        <f>IF(A96="","",IF(E96&lt;&gt;"",E96-D96+1,IF(D96="","",'2_Parametros'!$B$24-D96+1)))</f>
        <v/>
      </c>
      <c r="K96" s="6">
        <f>IF(A96="","",IF(G96="Alta",'2_Parametros'!$B$11,IF(G96="Media",'2_Parametros'!$B$12,'2_Parametros'!$B$13)))</f>
        <v/>
      </c>
      <c r="L96" s="6">
        <f>IF(A96="","",IF(AND(UPPER(H96)="COMPLETADA",E96&lt;&gt;"",J96&lt;=K96),1,0))</f>
        <v/>
      </c>
      <c r="M96" s="15">
        <f>IF(A96="","",IF(OR(J96="",J96=0),0,MIN(1,K96/J96)))</f>
        <v/>
      </c>
      <c r="N96" s="6">
        <f>IF(A96="","",IF(OR(AND(E96&lt;&gt;"",E96&gt;='2_Parametros'!$B$23,E96&lt;='2_Parametros'!$B$24),AND(D96&lt;&gt;"",D96&gt;='2_Parametros'!$B$23,D96&lt;='2_Parametros'!$B$24)),1,0))</f>
        <v/>
      </c>
      <c r="O96" s="6">
        <f>IF(A96="","",IF(AND(UPPER(H96)="COMPLETADA",E96&lt;&gt;""),1,0))</f>
        <v/>
      </c>
      <c r="P96" s="6">
        <f>IF(A96="","",IF(AND(UPPER(H96)&lt;&gt;"COMPLETADA",UPPER(H96)&lt;&gt;"CANCELADA",D96&lt;&gt;"",D96+K96-1&lt;'2_Parametros'!$B$24),1,0))</f>
        <v/>
      </c>
      <c r="Q96" s="6">
        <f>IF(A96="","",IF(OR(AND(O96=1,E96&gt;='2_Parametros'!$B$23,E96&lt;='2_Parametros'!$B$24),AND('2_Parametros'!$B$21=1,P96=1,N96=1)),1,0))</f>
        <v/>
      </c>
      <c r="R96" s="6">
        <f>IF(A96="","",IF(Q96=1,I96*L96,0))</f>
        <v/>
      </c>
      <c r="S96" s="6">
        <f>IF(A96="","",IF(Q96=1,I96*M96,0))</f>
        <v/>
      </c>
    </row>
    <row r="97">
      <c r="A97" s="6">
        <f>IF('1_Datos'!A98="","",'1_Datos'!A98)</f>
        <v/>
      </c>
      <c r="B97" s="6">
        <f>IF(A97="","",'1_Datos'!B98)</f>
        <v/>
      </c>
      <c r="C97" s="6">
        <f>IF(A97="","",'1_Datos'!C98)</f>
        <v/>
      </c>
      <c r="D97" s="7">
        <f>IF(A97="","",'1_Datos'!D98)</f>
        <v/>
      </c>
      <c r="E97" s="7">
        <f>IF(A97="","",IF('1_Datos'!E98="","",'1_Datos'!E98))</f>
        <v/>
      </c>
      <c r="F97" s="6">
        <f>IF(A97="","",'1_Datos'!F98)</f>
        <v/>
      </c>
      <c r="G97" s="6">
        <f>IF(A97="","",IF(OR(UPPER(F97)="ALTA",UPPER(F97)="P1",F97=1),"Alta",IF(OR(UPPER(F97)="MEDIA",UPPER(F97)="P2",F97=2),"Media",IF(OR(UPPER(F97)="BAJA",UPPER(F97)="P3",F97=3),"Baja","Media"))))</f>
        <v/>
      </c>
      <c r="H97" s="6">
        <f>IF(A97="","",'1_Datos'!G98)</f>
        <v/>
      </c>
      <c r="I97" s="6">
        <f>IF(A97="","",IF(G97="Alta",'2_Parametros'!$B$7,IF(G97="Media",'2_Parametros'!$B$8,'2_Parametros'!$B$9)))</f>
        <v/>
      </c>
      <c r="J97" s="6">
        <f>IF(A97="","",IF(E97&lt;&gt;"",E97-D97+1,IF(D97="","",'2_Parametros'!$B$24-D97+1)))</f>
        <v/>
      </c>
      <c r="K97" s="6">
        <f>IF(A97="","",IF(G97="Alta",'2_Parametros'!$B$11,IF(G97="Media",'2_Parametros'!$B$12,'2_Parametros'!$B$13)))</f>
        <v/>
      </c>
      <c r="L97" s="6">
        <f>IF(A97="","",IF(AND(UPPER(H97)="COMPLETADA",E97&lt;&gt;"",J97&lt;=K97),1,0))</f>
        <v/>
      </c>
      <c r="M97" s="15">
        <f>IF(A97="","",IF(OR(J97="",J97=0),0,MIN(1,K97/J97)))</f>
        <v/>
      </c>
      <c r="N97" s="6">
        <f>IF(A97="","",IF(OR(AND(E97&lt;&gt;"",E97&gt;='2_Parametros'!$B$23,E97&lt;='2_Parametros'!$B$24),AND(D97&lt;&gt;"",D97&gt;='2_Parametros'!$B$23,D97&lt;='2_Parametros'!$B$24)),1,0))</f>
        <v/>
      </c>
      <c r="O97" s="6">
        <f>IF(A97="","",IF(AND(UPPER(H97)="COMPLETADA",E97&lt;&gt;""),1,0))</f>
        <v/>
      </c>
      <c r="P97" s="6">
        <f>IF(A97="","",IF(AND(UPPER(H97)&lt;&gt;"COMPLETADA",UPPER(H97)&lt;&gt;"CANCELADA",D97&lt;&gt;"",D97+K97-1&lt;'2_Parametros'!$B$24),1,0))</f>
        <v/>
      </c>
      <c r="Q97" s="6">
        <f>IF(A97="","",IF(OR(AND(O97=1,E97&gt;='2_Parametros'!$B$23,E97&lt;='2_Parametros'!$B$24),AND('2_Parametros'!$B$21=1,P97=1,N97=1)),1,0))</f>
        <v/>
      </c>
      <c r="R97" s="6">
        <f>IF(A97="","",IF(Q97=1,I97*L97,0))</f>
        <v/>
      </c>
      <c r="S97" s="6">
        <f>IF(A97="","",IF(Q97=1,I97*M97,0))</f>
        <v/>
      </c>
    </row>
    <row r="98">
      <c r="A98" s="6">
        <f>IF('1_Datos'!A99="","",'1_Datos'!A99)</f>
        <v/>
      </c>
      <c r="B98" s="6">
        <f>IF(A98="","",'1_Datos'!B99)</f>
        <v/>
      </c>
      <c r="C98" s="6">
        <f>IF(A98="","",'1_Datos'!C99)</f>
        <v/>
      </c>
      <c r="D98" s="7">
        <f>IF(A98="","",'1_Datos'!D99)</f>
        <v/>
      </c>
      <c r="E98" s="7">
        <f>IF(A98="","",IF('1_Datos'!E99="","",'1_Datos'!E99))</f>
        <v/>
      </c>
      <c r="F98" s="6">
        <f>IF(A98="","",'1_Datos'!F99)</f>
        <v/>
      </c>
      <c r="G98" s="6">
        <f>IF(A98="","",IF(OR(UPPER(F98)="ALTA",UPPER(F98)="P1",F98=1),"Alta",IF(OR(UPPER(F98)="MEDIA",UPPER(F98)="P2",F98=2),"Media",IF(OR(UPPER(F98)="BAJA",UPPER(F98)="P3",F98=3),"Baja","Media"))))</f>
        <v/>
      </c>
      <c r="H98" s="6">
        <f>IF(A98="","",'1_Datos'!G99)</f>
        <v/>
      </c>
      <c r="I98" s="6">
        <f>IF(A98="","",IF(G98="Alta",'2_Parametros'!$B$7,IF(G98="Media",'2_Parametros'!$B$8,'2_Parametros'!$B$9)))</f>
        <v/>
      </c>
      <c r="J98" s="6">
        <f>IF(A98="","",IF(E98&lt;&gt;"",E98-D98+1,IF(D98="","",'2_Parametros'!$B$24-D98+1)))</f>
        <v/>
      </c>
      <c r="K98" s="6">
        <f>IF(A98="","",IF(G98="Alta",'2_Parametros'!$B$11,IF(G98="Media",'2_Parametros'!$B$12,'2_Parametros'!$B$13)))</f>
        <v/>
      </c>
      <c r="L98" s="6">
        <f>IF(A98="","",IF(AND(UPPER(H98)="COMPLETADA",E98&lt;&gt;"",J98&lt;=K98),1,0))</f>
        <v/>
      </c>
      <c r="M98" s="15">
        <f>IF(A98="","",IF(OR(J98="",J98=0),0,MIN(1,K98/J98)))</f>
        <v/>
      </c>
      <c r="N98" s="6">
        <f>IF(A98="","",IF(OR(AND(E98&lt;&gt;"",E98&gt;='2_Parametros'!$B$23,E98&lt;='2_Parametros'!$B$24),AND(D98&lt;&gt;"",D98&gt;='2_Parametros'!$B$23,D98&lt;='2_Parametros'!$B$24)),1,0))</f>
        <v/>
      </c>
      <c r="O98" s="6">
        <f>IF(A98="","",IF(AND(UPPER(H98)="COMPLETADA",E98&lt;&gt;""),1,0))</f>
        <v/>
      </c>
      <c r="P98" s="6">
        <f>IF(A98="","",IF(AND(UPPER(H98)&lt;&gt;"COMPLETADA",UPPER(H98)&lt;&gt;"CANCELADA",D98&lt;&gt;"",D98+K98-1&lt;'2_Parametros'!$B$24),1,0))</f>
        <v/>
      </c>
      <c r="Q98" s="6">
        <f>IF(A98="","",IF(OR(AND(O98=1,E98&gt;='2_Parametros'!$B$23,E98&lt;='2_Parametros'!$B$24),AND('2_Parametros'!$B$21=1,P98=1,N98=1)),1,0))</f>
        <v/>
      </c>
      <c r="R98" s="6">
        <f>IF(A98="","",IF(Q98=1,I98*L98,0))</f>
        <v/>
      </c>
      <c r="S98" s="6">
        <f>IF(A98="","",IF(Q98=1,I98*M98,0))</f>
        <v/>
      </c>
    </row>
    <row r="99">
      <c r="A99" s="6">
        <f>IF('1_Datos'!A100="","",'1_Datos'!A100)</f>
        <v/>
      </c>
      <c r="B99" s="6">
        <f>IF(A99="","",'1_Datos'!B100)</f>
        <v/>
      </c>
      <c r="C99" s="6">
        <f>IF(A99="","",'1_Datos'!C100)</f>
        <v/>
      </c>
      <c r="D99" s="7">
        <f>IF(A99="","",'1_Datos'!D100)</f>
        <v/>
      </c>
      <c r="E99" s="7">
        <f>IF(A99="","",IF('1_Datos'!E100="","",'1_Datos'!E100))</f>
        <v/>
      </c>
      <c r="F99" s="6">
        <f>IF(A99="","",'1_Datos'!F100)</f>
        <v/>
      </c>
      <c r="G99" s="6">
        <f>IF(A99="","",IF(OR(UPPER(F99)="ALTA",UPPER(F99)="P1",F99=1),"Alta",IF(OR(UPPER(F99)="MEDIA",UPPER(F99)="P2",F99=2),"Media",IF(OR(UPPER(F99)="BAJA",UPPER(F99)="P3",F99=3),"Baja","Media"))))</f>
        <v/>
      </c>
      <c r="H99" s="6">
        <f>IF(A99="","",'1_Datos'!G100)</f>
        <v/>
      </c>
      <c r="I99" s="6">
        <f>IF(A99="","",IF(G99="Alta",'2_Parametros'!$B$7,IF(G99="Media",'2_Parametros'!$B$8,'2_Parametros'!$B$9)))</f>
        <v/>
      </c>
      <c r="J99" s="6">
        <f>IF(A99="","",IF(E99&lt;&gt;"",E99-D99+1,IF(D99="","",'2_Parametros'!$B$24-D99+1)))</f>
        <v/>
      </c>
      <c r="K99" s="6">
        <f>IF(A99="","",IF(G99="Alta",'2_Parametros'!$B$11,IF(G99="Media",'2_Parametros'!$B$12,'2_Parametros'!$B$13)))</f>
        <v/>
      </c>
      <c r="L99" s="6">
        <f>IF(A99="","",IF(AND(UPPER(H99)="COMPLETADA",E99&lt;&gt;"",J99&lt;=K99),1,0))</f>
        <v/>
      </c>
      <c r="M99" s="15">
        <f>IF(A99="","",IF(OR(J99="",J99=0),0,MIN(1,K99/J99)))</f>
        <v/>
      </c>
      <c r="N99" s="6">
        <f>IF(A99="","",IF(OR(AND(E99&lt;&gt;"",E99&gt;='2_Parametros'!$B$23,E99&lt;='2_Parametros'!$B$24),AND(D99&lt;&gt;"",D99&gt;='2_Parametros'!$B$23,D99&lt;='2_Parametros'!$B$24)),1,0))</f>
        <v/>
      </c>
      <c r="O99" s="6">
        <f>IF(A99="","",IF(AND(UPPER(H99)="COMPLETADA",E99&lt;&gt;""),1,0))</f>
        <v/>
      </c>
      <c r="P99" s="6">
        <f>IF(A99="","",IF(AND(UPPER(H99)&lt;&gt;"COMPLETADA",UPPER(H99)&lt;&gt;"CANCELADA",D99&lt;&gt;"",D99+K99-1&lt;'2_Parametros'!$B$24),1,0))</f>
        <v/>
      </c>
      <c r="Q99" s="6">
        <f>IF(A99="","",IF(OR(AND(O99=1,E99&gt;='2_Parametros'!$B$23,E99&lt;='2_Parametros'!$B$24),AND('2_Parametros'!$B$21=1,P99=1,N99=1)),1,0))</f>
        <v/>
      </c>
      <c r="R99" s="6">
        <f>IF(A99="","",IF(Q99=1,I99*L99,0))</f>
        <v/>
      </c>
      <c r="S99" s="6">
        <f>IF(A99="","",IF(Q99=1,I99*M99,0))</f>
        <v/>
      </c>
    </row>
    <row r="100">
      <c r="A100" s="6">
        <f>IF('1_Datos'!A101="","",'1_Datos'!A101)</f>
        <v/>
      </c>
      <c r="B100" s="6">
        <f>IF(A100="","",'1_Datos'!B101)</f>
        <v/>
      </c>
      <c r="C100" s="6">
        <f>IF(A100="","",'1_Datos'!C101)</f>
        <v/>
      </c>
      <c r="D100" s="7">
        <f>IF(A100="","",'1_Datos'!D101)</f>
        <v/>
      </c>
      <c r="E100" s="7">
        <f>IF(A100="","",IF('1_Datos'!E101="","",'1_Datos'!E101))</f>
        <v/>
      </c>
      <c r="F100" s="6">
        <f>IF(A100="","",'1_Datos'!F101)</f>
        <v/>
      </c>
      <c r="G100" s="6">
        <f>IF(A100="","",IF(OR(UPPER(F100)="ALTA",UPPER(F100)="P1",F100=1),"Alta",IF(OR(UPPER(F100)="MEDIA",UPPER(F100)="P2",F100=2),"Media",IF(OR(UPPER(F100)="BAJA",UPPER(F100)="P3",F100=3),"Baja","Media"))))</f>
        <v/>
      </c>
      <c r="H100" s="6">
        <f>IF(A100="","",'1_Datos'!G101)</f>
        <v/>
      </c>
      <c r="I100" s="6">
        <f>IF(A100="","",IF(G100="Alta",'2_Parametros'!$B$7,IF(G100="Media",'2_Parametros'!$B$8,'2_Parametros'!$B$9)))</f>
        <v/>
      </c>
      <c r="J100" s="6">
        <f>IF(A100="","",IF(E100&lt;&gt;"",E100-D100+1,IF(D100="","",'2_Parametros'!$B$24-D100+1)))</f>
        <v/>
      </c>
      <c r="K100" s="6">
        <f>IF(A100="","",IF(G100="Alta",'2_Parametros'!$B$11,IF(G100="Media",'2_Parametros'!$B$12,'2_Parametros'!$B$13)))</f>
        <v/>
      </c>
      <c r="L100" s="6">
        <f>IF(A100="","",IF(AND(UPPER(H100)="COMPLETADA",E100&lt;&gt;"",J100&lt;=K100),1,0))</f>
        <v/>
      </c>
      <c r="M100" s="15">
        <f>IF(A100="","",IF(OR(J100="",J100=0),0,MIN(1,K100/J100)))</f>
        <v/>
      </c>
      <c r="N100" s="6">
        <f>IF(A100="","",IF(OR(AND(E100&lt;&gt;"",E100&gt;='2_Parametros'!$B$23,E100&lt;='2_Parametros'!$B$24),AND(D100&lt;&gt;"",D100&gt;='2_Parametros'!$B$23,D100&lt;='2_Parametros'!$B$24)),1,0))</f>
        <v/>
      </c>
      <c r="O100" s="6">
        <f>IF(A100="","",IF(AND(UPPER(H100)="COMPLETADA",E100&lt;&gt;""),1,0))</f>
        <v/>
      </c>
      <c r="P100" s="6">
        <f>IF(A100="","",IF(AND(UPPER(H100)&lt;&gt;"COMPLETADA",UPPER(H100)&lt;&gt;"CANCELADA",D100&lt;&gt;"",D100+K100-1&lt;'2_Parametros'!$B$24),1,0))</f>
        <v/>
      </c>
      <c r="Q100" s="6">
        <f>IF(A100="","",IF(OR(AND(O100=1,E100&gt;='2_Parametros'!$B$23,E100&lt;='2_Parametros'!$B$24),AND('2_Parametros'!$B$21=1,P100=1,N100=1)),1,0))</f>
        <v/>
      </c>
      <c r="R100" s="6">
        <f>IF(A100="","",IF(Q100=1,I100*L100,0))</f>
        <v/>
      </c>
      <c r="S100" s="6">
        <f>IF(A100="","",IF(Q100=1,I100*M100,0))</f>
        <v/>
      </c>
    </row>
    <row r="101">
      <c r="A101" s="6">
        <f>IF('1_Datos'!A102="","",'1_Datos'!A102)</f>
        <v/>
      </c>
      <c r="B101" s="6">
        <f>IF(A101="","",'1_Datos'!B102)</f>
        <v/>
      </c>
      <c r="C101" s="6">
        <f>IF(A101="","",'1_Datos'!C102)</f>
        <v/>
      </c>
      <c r="D101" s="7">
        <f>IF(A101="","",'1_Datos'!D102)</f>
        <v/>
      </c>
      <c r="E101" s="7">
        <f>IF(A101="","",IF('1_Datos'!E102="","",'1_Datos'!E102))</f>
        <v/>
      </c>
      <c r="F101" s="6">
        <f>IF(A101="","",'1_Datos'!F102)</f>
        <v/>
      </c>
      <c r="G101" s="6">
        <f>IF(A101="","",IF(OR(UPPER(F101)="ALTA",UPPER(F101)="P1",F101=1),"Alta",IF(OR(UPPER(F101)="MEDIA",UPPER(F101)="P2",F101=2),"Media",IF(OR(UPPER(F101)="BAJA",UPPER(F101)="P3",F101=3),"Baja","Media"))))</f>
        <v/>
      </c>
      <c r="H101" s="6">
        <f>IF(A101="","",'1_Datos'!G102)</f>
        <v/>
      </c>
      <c r="I101" s="6">
        <f>IF(A101="","",IF(G101="Alta",'2_Parametros'!$B$7,IF(G101="Media",'2_Parametros'!$B$8,'2_Parametros'!$B$9)))</f>
        <v/>
      </c>
      <c r="J101" s="6">
        <f>IF(A101="","",IF(E101&lt;&gt;"",E101-D101+1,IF(D101="","",'2_Parametros'!$B$24-D101+1)))</f>
        <v/>
      </c>
      <c r="K101" s="6">
        <f>IF(A101="","",IF(G101="Alta",'2_Parametros'!$B$11,IF(G101="Media",'2_Parametros'!$B$12,'2_Parametros'!$B$13)))</f>
        <v/>
      </c>
      <c r="L101" s="6">
        <f>IF(A101="","",IF(AND(UPPER(H101)="COMPLETADA",E101&lt;&gt;"",J101&lt;=K101),1,0))</f>
        <v/>
      </c>
      <c r="M101" s="15">
        <f>IF(A101="","",IF(OR(J101="",J101=0),0,MIN(1,K101/J101)))</f>
        <v/>
      </c>
      <c r="N101" s="6">
        <f>IF(A101="","",IF(OR(AND(E101&lt;&gt;"",E101&gt;='2_Parametros'!$B$23,E101&lt;='2_Parametros'!$B$24),AND(D101&lt;&gt;"",D101&gt;='2_Parametros'!$B$23,D101&lt;='2_Parametros'!$B$24)),1,0))</f>
        <v/>
      </c>
      <c r="O101" s="6">
        <f>IF(A101="","",IF(AND(UPPER(H101)="COMPLETADA",E101&lt;&gt;""),1,0))</f>
        <v/>
      </c>
      <c r="P101" s="6">
        <f>IF(A101="","",IF(AND(UPPER(H101)&lt;&gt;"COMPLETADA",UPPER(H101)&lt;&gt;"CANCELADA",D101&lt;&gt;"",D101+K101-1&lt;'2_Parametros'!$B$24),1,0))</f>
        <v/>
      </c>
      <c r="Q101" s="6">
        <f>IF(A101="","",IF(OR(AND(O101=1,E101&gt;='2_Parametros'!$B$23,E101&lt;='2_Parametros'!$B$24),AND('2_Parametros'!$B$21=1,P101=1,N101=1)),1,0))</f>
        <v/>
      </c>
      <c r="R101" s="6">
        <f>IF(A101="","",IF(Q101=1,I101*L101,0))</f>
        <v/>
      </c>
      <c r="S101" s="6">
        <f>IF(A101="","",IF(Q101=1,I101*M101,0))</f>
        <v/>
      </c>
    </row>
    <row r="102">
      <c r="A102" s="6">
        <f>IF('1_Datos'!A103="","",'1_Datos'!A103)</f>
        <v/>
      </c>
      <c r="B102" s="6">
        <f>IF(A102="","",'1_Datos'!B103)</f>
        <v/>
      </c>
      <c r="C102" s="6">
        <f>IF(A102="","",'1_Datos'!C103)</f>
        <v/>
      </c>
      <c r="D102" s="7">
        <f>IF(A102="","",'1_Datos'!D103)</f>
        <v/>
      </c>
      <c r="E102" s="7">
        <f>IF(A102="","",IF('1_Datos'!E103="","",'1_Datos'!E103))</f>
        <v/>
      </c>
      <c r="F102" s="6">
        <f>IF(A102="","",'1_Datos'!F103)</f>
        <v/>
      </c>
      <c r="G102" s="6">
        <f>IF(A102="","",IF(OR(UPPER(F102)="ALTA",UPPER(F102)="P1",F102=1),"Alta",IF(OR(UPPER(F102)="MEDIA",UPPER(F102)="P2",F102=2),"Media",IF(OR(UPPER(F102)="BAJA",UPPER(F102)="P3",F102=3),"Baja","Media"))))</f>
        <v/>
      </c>
      <c r="H102" s="6">
        <f>IF(A102="","",'1_Datos'!G103)</f>
        <v/>
      </c>
      <c r="I102" s="6">
        <f>IF(A102="","",IF(G102="Alta",'2_Parametros'!$B$7,IF(G102="Media",'2_Parametros'!$B$8,'2_Parametros'!$B$9)))</f>
        <v/>
      </c>
      <c r="J102" s="6">
        <f>IF(A102="","",IF(E102&lt;&gt;"",E102-D102+1,IF(D102="","",'2_Parametros'!$B$24-D102+1)))</f>
        <v/>
      </c>
      <c r="K102" s="6">
        <f>IF(A102="","",IF(G102="Alta",'2_Parametros'!$B$11,IF(G102="Media",'2_Parametros'!$B$12,'2_Parametros'!$B$13)))</f>
        <v/>
      </c>
      <c r="L102" s="6">
        <f>IF(A102="","",IF(AND(UPPER(H102)="COMPLETADA",E102&lt;&gt;"",J102&lt;=K102),1,0))</f>
        <v/>
      </c>
      <c r="M102" s="15">
        <f>IF(A102="","",IF(OR(J102="",J102=0),0,MIN(1,K102/J102)))</f>
        <v/>
      </c>
      <c r="N102" s="6">
        <f>IF(A102="","",IF(OR(AND(E102&lt;&gt;"",E102&gt;='2_Parametros'!$B$23,E102&lt;='2_Parametros'!$B$24),AND(D102&lt;&gt;"",D102&gt;='2_Parametros'!$B$23,D102&lt;='2_Parametros'!$B$24)),1,0))</f>
        <v/>
      </c>
      <c r="O102" s="6">
        <f>IF(A102="","",IF(AND(UPPER(H102)="COMPLETADA",E102&lt;&gt;""),1,0))</f>
        <v/>
      </c>
      <c r="P102" s="6">
        <f>IF(A102="","",IF(AND(UPPER(H102)&lt;&gt;"COMPLETADA",UPPER(H102)&lt;&gt;"CANCELADA",D102&lt;&gt;"",D102+K102-1&lt;'2_Parametros'!$B$24),1,0))</f>
        <v/>
      </c>
      <c r="Q102" s="6">
        <f>IF(A102="","",IF(OR(AND(O102=1,E102&gt;='2_Parametros'!$B$23,E102&lt;='2_Parametros'!$B$24),AND('2_Parametros'!$B$21=1,P102=1,N102=1)),1,0))</f>
        <v/>
      </c>
      <c r="R102" s="6">
        <f>IF(A102="","",IF(Q102=1,I102*L102,0))</f>
        <v/>
      </c>
      <c r="S102" s="6">
        <f>IF(A102="","",IF(Q102=1,I102*M102,0))</f>
        <v/>
      </c>
    </row>
    <row r="103">
      <c r="A103" s="6">
        <f>IF('1_Datos'!A104="","",'1_Datos'!A104)</f>
        <v/>
      </c>
      <c r="B103" s="6">
        <f>IF(A103="","",'1_Datos'!B104)</f>
        <v/>
      </c>
      <c r="C103" s="6">
        <f>IF(A103="","",'1_Datos'!C104)</f>
        <v/>
      </c>
      <c r="D103" s="7">
        <f>IF(A103="","",'1_Datos'!D104)</f>
        <v/>
      </c>
      <c r="E103" s="7">
        <f>IF(A103="","",IF('1_Datos'!E104="","",'1_Datos'!E104))</f>
        <v/>
      </c>
      <c r="F103" s="6">
        <f>IF(A103="","",'1_Datos'!F104)</f>
        <v/>
      </c>
      <c r="G103" s="6">
        <f>IF(A103="","",IF(OR(UPPER(F103)="ALTA",UPPER(F103)="P1",F103=1),"Alta",IF(OR(UPPER(F103)="MEDIA",UPPER(F103)="P2",F103=2),"Media",IF(OR(UPPER(F103)="BAJA",UPPER(F103)="P3",F103=3),"Baja","Media"))))</f>
        <v/>
      </c>
      <c r="H103" s="6">
        <f>IF(A103="","",'1_Datos'!G104)</f>
        <v/>
      </c>
      <c r="I103" s="6">
        <f>IF(A103="","",IF(G103="Alta",'2_Parametros'!$B$7,IF(G103="Media",'2_Parametros'!$B$8,'2_Parametros'!$B$9)))</f>
        <v/>
      </c>
      <c r="J103" s="6">
        <f>IF(A103="","",IF(E103&lt;&gt;"",E103-D103+1,IF(D103="","",'2_Parametros'!$B$24-D103+1)))</f>
        <v/>
      </c>
      <c r="K103" s="6">
        <f>IF(A103="","",IF(G103="Alta",'2_Parametros'!$B$11,IF(G103="Media",'2_Parametros'!$B$12,'2_Parametros'!$B$13)))</f>
        <v/>
      </c>
      <c r="L103" s="6">
        <f>IF(A103="","",IF(AND(UPPER(H103)="COMPLETADA",E103&lt;&gt;"",J103&lt;=K103),1,0))</f>
        <v/>
      </c>
      <c r="M103" s="15">
        <f>IF(A103="","",IF(OR(J103="",J103=0),0,MIN(1,K103/J103)))</f>
        <v/>
      </c>
      <c r="N103" s="6">
        <f>IF(A103="","",IF(OR(AND(E103&lt;&gt;"",E103&gt;='2_Parametros'!$B$23,E103&lt;='2_Parametros'!$B$24),AND(D103&lt;&gt;"",D103&gt;='2_Parametros'!$B$23,D103&lt;='2_Parametros'!$B$24)),1,0))</f>
        <v/>
      </c>
      <c r="O103" s="6">
        <f>IF(A103="","",IF(AND(UPPER(H103)="COMPLETADA",E103&lt;&gt;""),1,0))</f>
        <v/>
      </c>
      <c r="P103" s="6">
        <f>IF(A103="","",IF(AND(UPPER(H103)&lt;&gt;"COMPLETADA",UPPER(H103)&lt;&gt;"CANCELADA",D103&lt;&gt;"",D103+K103-1&lt;'2_Parametros'!$B$24),1,0))</f>
        <v/>
      </c>
      <c r="Q103" s="6">
        <f>IF(A103="","",IF(OR(AND(O103=1,E103&gt;='2_Parametros'!$B$23,E103&lt;='2_Parametros'!$B$24),AND('2_Parametros'!$B$21=1,P103=1,N103=1)),1,0))</f>
        <v/>
      </c>
      <c r="R103" s="6">
        <f>IF(A103="","",IF(Q103=1,I103*L103,0))</f>
        <v/>
      </c>
      <c r="S103" s="6">
        <f>IF(A103="","",IF(Q103=1,I103*M103,0))</f>
        <v/>
      </c>
    </row>
    <row r="104">
      <c r="A104" s="6">
        <f>IF('1_Datos'!A105="","",'1_Datos'!A105)</f>
        <v/>
      </c>
      <c r="B104" s="6">
        <f>IF(A104="","",'1_Datos'!B105)</f>
        <v/>
      </c>
      <c r="C104" s="6">
        <f>IF(A104="","",'1_Datos'!C105)</f>
        <v/>
      </c>
      <c r="D104" s="7">
        <f>IF(A104="","",'1_Datos'!D105)</f>
        <v/>
      </c>
      <c r="E104" s="7">
        <f>IF(A104="","",IF('1_Datos'!E105="","",'1_Datos'!E105))</f>
        <v/>
      </c>
      <c r="F104" s="6">
        <f>IF(A104="","",'1_Datos'!F105)</f>
        <v/>
      </c>
      <c r="G104" s="6">
        <f>IF(A104="","",IF(OR(UPPER(F104)="ALTA",UPPER(F104)="P1",F104=1),"Alta",IF(OR(UPPER(F104)="MEDIA",UPPER(F104)="P2",F104=2),"Media",IF(OR(UPPER(F104)="BAJA",UPPER(F104)="P3",F104=3),"Baja","Media"))))</f>
        <v/>
      </c>
      <c r="H104" s="6">
        <f>IF(A104="","",'1_Datos'!G105)</f>
        <v/>
      </c>
      <c r="I104" s="6">
        <f>IF(A104="","",IF(G104="Alta",'2_Parametros'!$B$7,IF(G104="Media",'2_Parametros'!$B$8,'2_Parametros'!$B$9)))</f>
        <v/>
      </c>
      <c r="J104" s="6">
        <f>IF(A104="","",IF(E104&lt;&gt;"",E104-D104+1,IF(D104="","",'2_Parametros'!$B$24-D104+1)))</f>
        <v/>
      </c>
      <c r="K104" s="6">
        <f>IF(A104="","",IF(G104="Alta",'2_Parametros'!$B$11,IF(G104="Media",'2_Parametros'!$B$12,'2_Parametros'!$B$13)))</f>
        <v/>
      </c>
      <c r="L104" s="6">
        <f>IF(A104="","",IF(AND(UPPER(H104)="COMPLETADA",E104&lt;&gt;"",J104&lt;=K104),1,0))</f>
        <v/>
      </c>
      <c r="M104" s="15">
        <f>IF(A104="","",IF(OR(J104="",J104=0),0,MIN(1,K104/J104)))</f>
        <v/>
      </c>
      <c r="N104" s="6">
        <f>IF(A104="","",IF(OR(AND(E104&lt;&gt;"",E104&gt;='2_Parametros'!$B$23,E104&lt;='2_Parametros'!$B$24),AND(D104&lt;&gt;"",D104&gt;='2_Parametros'!$B$23,D104&lt;='2_Parametros'!$B$24)),1,0))</f>
        <v/>
      </c>
      <c r="O104" s="6">
        <f>IF(A104="","",IF(AND(UPPER(H104)="COMPLETADA",E104&lt;&gt;""),1,0))</f>
        <v/>
      </c>
      <c r="P104" s="6">
        <f>IF(A104="","",IF(AND(UPPER(H104)&lt;&gt;"COMPLETADA",UPPER(H104)&lt;&gt;"CANCELADA",D104&lt;&gt;"",D104+K104-1&lt;'2_Parametros'!$B$24),1,0))</f>
        <v/>
      </c>
      <c r="Q104" s="6">
        <f>IF(A104="","",IF(OR(AND(O104=1,E104&gt;='2_Parametros'!$B$23,E104&lt;='2_Parametros'!$B$24),AND('2_Parametros'!$B$21=1,P104=1,N104=1)),1,0))</f>
        <v/>
      </c>
      <c r="R104" s="6">
        <f>IF(A104="","",IF(Q104=1,I104*L104,0))</f>
        <v/>
      </c>
      <c r="S104" s="6">
        <f>IF(A104="","",IF(Q104=1,I104*M104,0))</f>
        <v/>
      </c>
    </row>
    <row r="105">
      <c r="A105" s="6">
        <f>IF('1_Datos'!A106="","",'1_Datos'!A106)</f>
        <v/>
      </c>
      <c r="B105" s="6">
        <f>IF(A105="","",'1_Datos'!B106)</f>
        <v/>
      </c>
      <c r="C105" s="6">
        <f>IF(A105="","",'1_Datos'!C106)</f>
        <v/>
      </c>
      <c r="D105" s="7">
        <f>IF(A105="","",'1_Datos'!D106)</f>
        <v/>
      </c>
      <c r="E105" s="7">
        <f>IF(A105="","",IF('1_Datos'!E106="","",'1_Datos'!E106))</f>
        <v/>
      </c>
      <c r="F105" s="6">
        <f>IF(A105="","",'1_Datos'!F106)</f>
        <v/>
      </c>
      <c r="G105" s="6">
        <f>IF(A105="","",IF(OR(UPPER(F105)="ALTA",UPPER(F105)="P1",F105=1),"Alta",IF(OR(UPPER(F105)="MEDIA",UPPER(F105)="P2",F105=2),"Media",IF(OR(UPPER(F105)="BAJA",UPPER(F105)="P3",F105=3),"Baja","Media"))))</f>
        <v/>
      </c>
      <c r="H105" s="6">
        <f>IF(A105="","",'1_Datos'!G106)</f>
        <v/>
      </c>
      <c r="I105" s="6">
        <f>IF(A105="","",IF(G105="Alta",'2_Parametros'!$B$7,IF(G105="Media",'2_Parametros'!$B$8,'2_Parametros'!$B$9)))</f>
        <v/>
      </c>
      <c r="J105" s="6">
        <f>IF(A105="","",IF(E105&lt;&gt;"",E105-D105+1,IF(D105="","",'2_Parametros'!$B$24-D105+1)))</f>
        <v/>
      </c>
      <c r="K105" s="6">
        <f>IF(A105="","",IF(G105="Alta",'2_Parametros'!$B$11,IF(G105="Media",'2_Parametros'!$B$12,'2_Parametros'!$B$13)))</f>
        <v/>
      </c>
      <c r="L105" s="6">
        <f>IF(A105="","",IF(AND(UPPER(H105)="COMPLETADA",E105&lt;&gt;"",J105&lt;=K105),1,0))</f>
        <v/>
      </c>
      <c r="M105" s="15">
        <f>IF(A105="","",IF(OR(J105="",J105=0),0,MIN(1,K105/J105)))</f>
        <v/>
      </c>
      <c r="N105" s="6">
        <f>IF(A105="","",IF(OR(AND(E105&lt;&gt;"",E105&gt;='2_Parametros'!$B$23,E105&lt;='2_Parametros'!$B$24),AND(D105&lt;&gt;"",D105&gt;='2_Parametros'!$B$23,D105&lt;='2_Parametros'!$B$24)),1,0))</f>
        <v/>
      </c>
      <c r="O105" s="6">
        <f>IF(A105="","",IF(AND(UPPER(H105)="COMPLETADA",E105&lt;&gt;""),1,0))</f>
        <v/>
      </c>
      <c r="P105" s="6">
        <f>IF(A105="","",IF(AND(UPPER(H105)&lt;&gt;"COMPLETADA",UPPER(H105)&lt;&gt;"CANCELADA",D105&lt;&gt;"",D105+K105-1&lt;'2_Parametros'!$B$24),1,0))</f>
        <v/>
      </c>
      <c r="Q105" s="6">
        <f>IF(A105="","",IF(OR(AND(O105=1,E105&gt;='2_Parametros'!$B$23,E105&lt;='2_Parametros'!$B$24),AND('2_Parametros'!$B$21=1,P105=1,N105=1)),1,0))</f>
        <v/>
      </c>
      <c r="R105" s="6">
        <f>IF(A105="","",IF(Q105=1,I105*L105,0))</f>
        <v/>
      </c>
      <c r="S105" s="6">
        <f>IF(A105="","",IF(Q105=1,I105*M105,0))</f>
        <v/>
      </c>
    </row>
    <row r="106">
      <c r="A106" s="6">
        <f>IF('1_Datos'!A107="","",'1_Datos'!A107)</f>
        <v/>
      </c>
      <c r="B106" s="6">
        <f>IF(A106="","",'1_Datos'!B107)</f>
        <v/>
      </c>
      <c r="C106" s="6">
        <f>IF(A106="","",'1_Datos'!C107)</f>
        <v/>
      </c>
      <c r="D106" s="7">
        <f>IF(A106="","",'1_Datos'!D107)</f>
        <v/>
      </c>
      <c r="E106" s="7">
        <f>IF(A106="","",IF('1_Datos'!E107="","",'1_Datos'!E107))</f>
        <v/>
      </c>
      <c r="F106" s="6">
        <f>IF(A106="","",'1_Datos'!F107)</f>
        <v/>
      </c>
      <c r="G106" s="6">
        <f>IF(A106="","",IF(OR(UPPER(F106)="ALTA",UPPER(F106)="P1",F106=1),"Alta",IF(OR(UPPER(F106)="MEDIA",UPPER(F106)="P2",F106=2),"Media",IF(OR(UPPER(F106)="BAJA",UPPER(F106)="P3",F106=3),"Baja","Media"))))</f>
        <v/>
      </c>
      <c r="H106" s="6">
        <f>IF(A106="","",'1_Datos'!G107)</f>
        <v/>
      </c>
      <c r="I106" s="6">
        <f>IF(A106="","",IF(G106="Alta",'2_Parametros'!$B$7,IF(G106="Media",'2_Parametros'!$B$8,'2_Parametros'!$B$9)))</f>
        <v/>
      </c>
      <c r="J106" s="6">
        <f>IF(A106="","",IF(E106&lt;&gt;"",E106-D106+1,IF(D106="","",'2_Parametros'!$B$24-D106+1)))</f>
        <v/>
      </c>
      <c r="K106" s="6">
        <f>IF(A106="","",IF(G106="Alta",'2_Parametros'!$B$11,IF(G106="Media",'2_Parametros'!$B$12,'2_Parametros'!$B$13)))</f>
        <v/>
      </c>
      <c r="L106" s="6">
        <f>IF(A106="","",IF(AND(UPPER(H106)="COMPLETADA",E106&lt;&gt;"",J106&lt;=K106),1,0))</f>
        <v/>
      </c>
      <c r="M106" s="15">
        <f>IF(A106="","",IF(OR(J106="",J106=0),0,MIN(1,K106/J106)))</f>
        <v/>
      </c>
      <c r="N106" s="6">
        <f>IF(A106="","",IF(OR(AND(E106&lt;&gt;"",E106&gt;='2_Parametros'!$B$23,E106&lt;='2_Parametros'!$B$24),AND(D106&lt;&gt;"",D106&gt;='2_Parametros'!$B$23,D106&lt;='2_Parametros'!$B$24)),1,0))</f>
        <v/>
      </c>
      <c r="O106" s="6">
        <f>IF(A106="","",IF(AND(UPPER(H106)="COMPLETADA",E106&lt;&gt;""),1,0))</f>
        <v/>
      </c>
      <c r="P106" s="6">
        <f>IF(A106="","",IF(AND(UPPER(H106)&lt;&gt;"COMPLETADA",UPPER(H106)&lt;&gt;"CANCELADA",D106&lt;&gt;"",D106+K106-1&lt;'2_Parametros'!$B$24),1,0))</f>
        <v/>
      </c>
      <c r="Q106" s="6">
        <f>IF(A106="","",IF(OR(AND(O106=1,E106&gt;='2_Parametros'!$B$23,E106&lt;='2_Parametros'!$B$24),AND('2_Parametros'!$B$21=1,P106=1,N106=1)),1,0))</f>
        <v/>
      </c>
      <c r="R106" s="6">
        <f>IF(A106="","",IF(Q106=1,I106*L106,0))</f>
        <v/>
      </c>
      <c r="S106" s="6">
        <f>IF(A106="","",IF(Q106=1,I106*M106,0))</f>
        <v/>
      </c>
    </row>
    <row r="107">
      <c r="A107" s="6">
        <f>IF('1_Datos'!A108="","",'1_Datos'!A108)</f>
        <v/>
      </c>
      <c r="B107" s="6">
        <f>IF(A107="","",'1_Datos'!B108)</f>
        <v/>
      </c>
      <c r="C107" s="6">
        <f>IF(A107="","",'1_Datos'!C108)</f>
        <v/>
      </c>
      <c r="D107" s="7">
        <f>IF(A107="","",'1_Datos'!D108)</f>
        <v/>
      </c>
      <c r="E107" s="7">
        <f>IF(A107="","",IF('1_Datos'!E108="","",'1_Datos'!E108))</f>
        <v/>
      </c>
      <c r="F107" s="6">
        <f>IF(A107="","",'1_Datos'!F108)</f>
        <v/>
      </c>
      <c r="G107" s="6">
        <f>IF(A107="","",IF(OR(UPPER(F107)="ALTA",UPPER(F107)="P1",F107=1),"Alta",IF(OR(UPPER(F107)="MEDIA",UPPER(F107)="P2",F107=2),"Media",IF(OR(UPPER(F107)="BAJA",UPPER(F107)="P3",F107=3),"Baja","Media"))))</f>
        <v/>
      </c>
      <c r="H107" s="6">
        <f>IF(A107="","",'1_Datos'!G108)</f>
        <v/>
      </c>
      <c r="I107" s="6">
        <f>IF(A107="","",IF(G107="Alta",'2_Parametros'!$B$7,IF(G107="Media",'2_Parametros'!$B$8,'2_Parametros'!$B$9)))</f>
        <v/>
      </c>
      <c r="J107" s="6">
        <f>IF(A107="","",IF(E107&lt;&gt;"",E107-D107+1,IF(D107="","",'2_Parametros'!$B$24-D107+1)))</f>
        <v/>
      </c>
      <c r="K107" s="6">
        <f>IF(A107="","",IF(G107="Alta",'2_Parametros'!$B$11,IF(G107="Media",'2_Parametros'!$B$12,'2_Parametros'!$B$13)))</f>
        <v/>
      </c>
      <c r="L107" s="6">
        <f>IF(A107="","",IF(AND(UPPER(H107)="COMPLETADA",E107&lt;&gt;"",J107&lt;=K107),1,0))</f>
        <v/>
      </c>
      <c r="M107" s="15">
        <f>IF(A107="","",IF(OR(J107="",J107=0),0,MIN(1,K107/J107)))</f>
        <v/>
      </c>
      <c r="N107" s="6">
        <f>IF(A107="","",IF(OR(AND(E107&lt;&gt;"",E107&gt;='2_Parametros'!$B$23,E107&lt;='2_Parametros'!$B$24),AND(D107&lt;&gt;"",D107&gt;='2_Parametros'!$B$23,D107&lt;='2_Parametros'!$B$24)),1,0))</f>
        <v/>
      </c>
      <c r="O107" s="6">
        <f>IF(A107="","",IF(AND(UPPER(H107)="COMPLETADA",E107&lt;&gt;""),1,0))</f>
        <v/>
      </c>
      <c r="P107" s="6">
        <f>IF(A107="","",IF(AND(UPPER(H107)&lt;&gt;"COMPLETADA",UPPER(H107)&lt;&gt;"CANCELADA",D107&lt;&gt;"",D107+K107-1&lt;'2_Parametros'!$B$24),1,0))</f>
        <v/>
      </c>
      <c r="Q107" s="6">
        <f>IF(A107="","",IF(OR(AND(O107=1,E107&gt;='2_Parametros'!$B$23,E107&lt;='2_Parametros'!$B$24),AND('2_Parametros'!$B$21=1,P107=1,N107=1)),1,0))</f>
        <v/>
      </c>
      <c r="R107" s="6">
        <f>IF(A107="","",IF(Q107=1,I107*L107,0))</f>
        <v/>
      </c>
      <c r="S107" s="6">
        <f>IF(A107="","",IF(Q107=1,I107*M107,0))</f>
        <v/>
      </c>
    </row>
    <row r="108">
      <c r="A108" s="6">
        <f>IF('1_Datos'!A109="","",'1_Datos'!A109)</f>
        <v/>
      </c>
      <c r="B108" s="6">
        <f>IF(A108="","",'1_Datos'!B109)</f>
        <v/>
      </c>
      <c r="C108" s="6">
        <f>IF(A108="","",'1_Datos'!C109)</f>
        <v/>
      </c>
      <c r="D108" s="7">
        <f>IF(A108="","",'1_Datos'!D109)</f>
        <v/>
      </c>
      <c r="E108" s="7">
        <f>IF(A108="","",IF('1_Datos'!E109="","",'1_Datos'!E109))</f>
        <v/>
      </c>
      <c r="F108" s="6">
        <f>IF(A108="","",'1_Datos'!F109)</f>
        <v/>
      </c>
      <c r="G108" s="6">
        <f>IF(A108="","",IF(OR(UPPER(F108)="ALTA",UPPER(F108)="P1",F108=1),"Alta",IF(OR(UPPER(F108)="MEDIA",UPPER(F108)="P2",F108=2),"Media",IF(OR(UPPER(F108)="BAJA",UPPER(F108)="P3",F108=3),"Baja","Media"))))</f>
        <v/>
      </c>
      <c r="H108" s="6">
        <f>IF(A108="","",'1_Datos'!G109)</f>
        <v/>
      </c>
      <c r="I108" s="6">
        <f>IF(A108="","",IF(G108="Alta",'2_Parametros'!$B$7,IF(G108="Media",'2_Parametros'!$B$8,'2_Parametros'!$B$9)))</f>
        <v/>
      </c>
      <c r="J108" s="6">
        <f>IF(A108="","",IF(E108&lt;&gt;"",E108-D108+1,IF(D108="","",'2_Parametros'!$B$24-D108+1)))</f>
        <v/>
      </c>
      <c r="K108" s="6">
        <f>IF(A108="","",IF(G108="Alta",'2_Parametros'!$B$11,IF(G108="Media",'2_Parametros'!$B$12,'2_Parametros'!$B$13)))</f>
        <v/>
      </c>
      <c r="L108" s="6">
        <f>IF(A108="","",IF(AND(UPPER(H108)="COMPLETADA",E108&lt;&gt;"",J108&lt;=K108),1,0))</f>
        <v/>
      </c>
      <c r="M108" s="15">
        <f>IF(A108="","",IF(OR(J108="",J108=0),0,MIN(1,K108/J108)))</f>
        <v/>
      </c>
      <c r="N108" s="6">
        <f>IF(A108="","",IF(OR(AND(E108&lt;&gt;"",E108&gt;='2_Parametros'!$B$23,E108&lt;='2_Parametros'!$B$24),AND(D108&lt;&gt;"",D108&gt;='2_Parametros'!$B$23,D108&lt;='2_Parametros'!$B$24)),1,0))</f>
        <v/>
      </c>
      <c r="O108" s="6">
        <f>IF(A108="","",IF(AND(UPPER(H108)="COMPLETADA",E108&lt;&gt;""),1,0))</f>
        <v/>
      </c>
      <c r="P108" s="6">
        <f>IF(A108="","",IF(AND(UPPER(H108)&lt;&gt;"COMPLETADA",UPPER(H108)&lt;&gt;"CANCELADA",D108&lt;&gt;"",D108+K108-1&lt;'2_Parametros'!$B$24),1,0))</f>
        <v/>
      </c>
      <c r="Q108" s="6">
        <f>IF(A108="","",IF(OR(AND(O108=1,E108&gt;='2_Parametros'!$B$23,E108&lt;='2_Parametros'!$B$24),AND('2_Parametros'!$B$21=1,P108=1,N108=1)),1,0))</f>
        <v/>
      </c>
      <c r="R108" s="6">
        <f>IF(A108="","",IF(Q108=1,I108*L108,0))</f>
        <v/>
      </c>
      <c r="S108" s="6">
        <f>IF(A108="","",IF(Q108=1,I108*M108,0))</f>
        <v/>
      </c>
    </row>
    <row r="109">
      <c r="A109" s="6">
        <f>IF('1_Datos'!A110="","",'1_Datos'!A110)</f>
        <v/>
      </c>
      <c r="B109" s="6">
        <f>IF(A109="","",'1_Datos'!B110)</f>
        <v/>
      </c>
      <c r="C109" s="6">
        <f>IF(A109="","",'1_Datos'!C110)</f>
        <v/>
      </c>
      <c r="D109" s="7">
        <f>IF(A109="","",'1_Datos'!D110)</f>
        <v/>
      </c>
      <c r="E109" s="7">
        <f>IF(A109="","",IF('1_Datos'!E110="","",'1_Datos'!E110))</f>
        <v/>
      </c>
      <c r="F109" s="6">
        <f>IF(A109="","",'1_Datos'!F110)</f>
        <v/>
      </c>
      <c r="G109" s="6">
        <f>IF(A109="","",IF(OR(UPPER(F109)="ALTA",UPPER(F109)="P1",F109=1),"Alta",IF(OR(UPPER(F109)="MEDIA",UPPER(F109)="P2",F109=2),"Media",IF(OR(UPPER(F109)="BAJA",UPPER(F109)="P3",F109=3),"Baja","Media"))))</f>
        <v/>
      </c>
      <c r="H109" s="6">
        <f>IF(A109="","",'1_Datos'!G110)</f>
        <v/>
      </c>
      <c r="I109" s="6">
        <f>IF(A109="","",IF(G109="Alta",'2_Parametros'!$B$7,IF(G109="Media",'2_Parametros'!$B$8,'2_Parametros'!$B$9)))</f>
        <v/>
      </c>
      <c r="J109" s="6">
        <f>IF(A109="","",IF(E109&lt;&gt;"",E109-D109+1,IF(D109="","",'2_Parametros'!$B$24-D109+1)))</f>
        <v/>
      </c>
      <c r="K109" s="6">
        <f>IF(A109="","",IF(G109="Alta",'2_Parametros'!$B$11,IF(G109="Media",'2_Parametros'!$B$12,'2_Parametros'!$B$13)))</f>
        <v/>
      </c>
      <c r="L109" s="6">
        <f>IF(A109="","",IF(AND(UPPER(H109)="COMPLETADA",E109&lt;&gt;"",J109&lt;=K109),1,0))</f>
        <v/>
      </c>
      <c r="M109" s="15">
        <f>IF(A109="","",IF(OR(J109="",J109=0),0,MIN(1,K109/J109)))</f>
        <v/>
      </c>
      <c r="N109" s="6">
        <f>IF(A109="","",IF(OR(AND(E109&lt;&gt;"",E109&gt;='2_Parametros'!$B$23,E109&lt;='2_Parametros'!$B$24),AND(D109&lt;&gt;"",D109&gt;='2_Parametros'!$B$23,D109&lt;='2_Parametros'!$B$24)),1,0))</f>
        <v/>
      </c>
      <c r="O109" s="6">
        <f>IF(A109="","",IF(AND(UPPER(H109)="COMPLETADA",E109&lt;&gt;""),1,0))</f>
        <v/>
      </c>
      <c r="P109" s="6">
        <f>IF(A109="","",IF(AND(UPPER(H109)&lt;&gt;"COMPLETADA",UPPER(H109)&lt;&gt;"CANCELADA",D109&lt;&gt;"",D109+K109-1&lt;'2_Parametros'!$B$24),1,0))</f>
        <v/>
      </c>
      <c r="Q109" s="6">
        <f>IF(A109="","",IF(OR(AND(O109=1,E109&gt;='2_Parametros'!$B$23,E109&lt;='2_Parametros'!$B$24),AND('2_Parametros'!$B$21=1,P109=1,N109=1)),1,0))</f>
        <v/>
      </c>
      <c r="R109" s="6">
        <f>IF(A109="","",IF(Q109=1,I109*L109,0))</f>
        <v/>
      </c>
      <c r="S109" s="6">
        <f>IF(A109="","",IF(Q109=1,I109*M109,0))</f>
        <v/>
      </c>
    </row>
    <row r="110">
      <c r="A110" s="6">
        <f>IF('1_Datos'!A111="","",'1_Datos'!A111)</f>
        <v/>
      </c>
      <c r="B110" s="6">
        <f>IF(A110="","",'1_Datos'!B111)</f>
        <v/>
      </c>
      <c r="C110" s="6">
        <f>IF(A110="","",'1_Datos'!C111)</f>
        <v/>
      </c>
      <c r="D110" s="7">
        <f>IF(A110="","",'1_Datos'!D111)</f>
        <v/>
      </c>
      <c r="E110" s="7">
        <f>IF(A110="","",IF('1_Datos'!E111="","",'1_Datos'!E111))</f>
        <v/>
      </c>
      <c r="F110" s="6">
        <f>IF(A110="","",'1_Datos'!F111)</f>
        <v/>
      </c>
      <c r="G110" s="6">
        <f>IF(A110="","",IF(OR(UPPER(F110)="ALTA",UPPER(F110)="P1",F110=1),"Alta",IF(OR(UPPER(F110)="MEDIA",UPPER(F110)="P2",F110=2),"Media",IF(OR(UPPER(F110)="BAJA",UPPER(F110)="P3",F110=3),"Baja","Media"))))</f>
        <v/>
      </c>
      <c r="H110" s="6">
        <f>IF(A110="","",'1_Datos'!G111)</f>
        <v/>
      </c>
      <c r="I110" s="6">
        <f>IF(A110="","",IF(G110="Alta",'2_Parametros'!$B$7,IF(G110="Media",'2_Parametros'!$B$8,'2_Parametros'!$B$9)))</f>
        <v/>
      </c>
      <c r="J110" s="6">
        <f>IF(A110="","",IF(E110&lt;&gt;"",E110-D110+1,IF(D110="","",'2_Parametros'!$B$24-D110+1)))</f>
        <v/>
      </c>
      <c r="K110" s="6">
        <f>IF(A110="","",IF(G110="Alta",'2_Parametros'!$B$11,IF(G110="Media",'2_Parametros'!$B$12,'2_Parametros'!$B$13)))</f>
        <v/>
      </c>
      <c r="L110" s="6">
        <f>IF(A110="","",IF(AND(UPPER(H110)="COMPLETADA",E110&lt;&gt;"",J110&lt;=K110),1,0))</f>
        <v/>
      </c>
      <c r="M110" s="15">
        <f>IF(A110="","",IF(OR(J110="",J110=0),0,MIN(1,K110/J110)))</f>
        <v/>
      </c>
      <c r="N110" s="6">
        <f>IF(A110="","",IF(OR(AND(E110&lt;&gt;"",E110&gt;='2_Parametros'!$B$23,E110&lt;='2_Parametros'!$B$24),AND(D110&lt;&gt;"",D110&gt;='2_Parametros'!$B$23,D110&lt;='2_Parametros'!$B$24)),1,0))</f>
        <v/>
      </c>
      <c r="O110" s="6">
        <f>IF(A110="","",IF(AND(UPPER(H110)="COMPLETADA",E110&lt;&gt;""),1,0))</f>
        <v/>
      </c>
      <c r="P110" s="6">
        <f>IF(A110="","",IF(AND(UPPER(H110)&lt;&gt;"COMPLETADA",UPPER(H110)&lt;&gt;"CANCELADA",D110&lt;&gt;"",D110+K110-1&lt;'2_Parametros'!$B$24),1,0))</f>
        <v/>
      </c>
      <c r="Q110" s="6">
        <f>IF(A110="","",IF(OR(AND(O110=1,E110&gt;='2_Parametros'!$B$23,E110&lt;='2_Parametros'!$B$24),AND('2_Parametros'!$B$21=1,P110=1,N110=1)),1,0))</f>
        <v/>
      </c>
      <c r="R110" s="6">
        <f>IF(A110="","",IF(Q110=1,I110*L110,0))</f>
        <v/>
      </c>
      <c r="S110" s="6">
        <f>IF(A110="","",IF(Q110=1,I110*M110,0))</f>
        <v/>
      </c>
    </row>
    <row r="111">
      <c r="A111" s="6">
        <f>IF('1_Datos'!A112="","",'1_Datos'!A112)</f>
        <v/>
      </c>
      <c r="B111" s="6">
        <f>IF(A111="","",'1_Datos'!B112)</f>
        <v/>
      </c>
      <c r="C111" s="6">
        <f>IF(A111="","",'1_Datos'!C112)</f>
        <v/>
      </c>
      <c r="D111" s="7">
        <f>IF(A111="","",'1_Datos'!D112)</f>
        <v/>
      </c>
      <c r="E111" s="7">
        <f>IF(A111="","",IF('1_Datos'!E112="","",'1_Datos'!E112))</f>
        <v/>
      </c>
      <c r="F111" s="6">
        <f>IF(A111="","",'1_Datos'!F112)</f>
        <v/>
      </c>
      <c r="G111" s="6">
        <f>IF(A111="","",IF(OR(UPPER(F111)="ALTA",UPPER(F111)="P1",F111=1),"Alta",IF(OR(UPPER(F111)="MEDIA",UPPER(F111)="P2",F111=2),"Media",IF(OR(UPPER(F111)="BAJA",UPPER(F111)="P3",F111=3),"Baja","Media"))))</f>
        <v/>
      </c>
      <c r="H111" s="6">
        <f>IF(A111="","",'1_Datos'!G112)</f>
        <v/>
      </c>
      <c r="I111" s="6">
        <f>IF(A111="","",IF(G111="Alta",'2_Parametros'!$B$7,IF(G111="Media",'2_Parametros'!$B$8,'2_Parametros'!$B$9)))</f>
        <v/>
      </c>
      <c r="J111" s="6">
        <f>IF(A111="","",IF(E111&lt;&gt;"",E111-D111+1,IF(D111="","",'2_Parametros'!$B$24-D111+1)))</f>
        <v/>
      </c>
      <c r="K111" s="6">
        <f>IF(A111="","",IF(G111="Alta",'2_Parametros'!$B$11,IF(G111="Media",'2_Parametros'!$B$12,'2_Parametros'!$B$13)))</f>
        <v/>
      </c>
      <c r="L111" s="6">
        <f>IF(A111="","",IF(AND(UPPER(H111)="COMPLETADA",E111&lt;&gt;"",J111&lt;=K111),1,0))</f>
        <v/>
      </c>
      <c r="M111" s="15">
        <f>IF(A111="","",IF(OR(J111="",J111=0),0,MIN(1,K111/J111)))</f>
        <v/>
      </c>
      <c r="N111" s="6">
        <f>IF(A111="","",IF(OR(AND(E111&lt;&gt;"",E111&gt;='2_Parametros'!$B$23,E111&lt;='2_Parametros'!$B$24),AND(D111&lt;&gt;"",D111&gt;='2_Parametros'!$B$23,D111&lt;='2_Parametros'!$B$24)),1,0))</f>
        <v/>
      </c>
      <c r="O111" s="6">
        <f>IF(A111="","",IF(AND(UPPER(H111)="COMPLETADA",E111&lt;&gt;""),1,0))</f>
        <v/>
      </c>
      <c r="P111" s="6">
        <f>IF(A111="","",IF(AND(UPPER(H111)&lt;&gt;"COMPLETADA",UPPER(H111)&lt;&gt;"CANCELADA",D111&lt;&gt;"",D111+K111-1&lt;'2_Parametros'!$B$24),1,0))</f>
        <v/>
      </c>
      <c r="Q111" s="6">
        <f>IF(A111="","",IF(OR(AND(O111=1,E111&gt;='2_Parametros'!$B$23,E111&lt;='2_Parametros'!$B$24),AND('2_Parametros'!$B$21=1,P111=1,N111=1)),1,0))</f>
        <v/>
      </c>
      <c r="R111" s="6">
        <f>IF(A111="","",IF(Q111=1,I111*L111,0))</f>
        <v/>
      </c>
      <c r="S111" s="6">
        <f>IF(A111="","",IF(Q111=1,I111*M111,0))</f>
        <v/>
      </c>
    </row>
    <row r="112">
      <c r="A112" s="6">
        <f>IF('1_Datos'!A113="","",'1_Datos'!A113)</f>
        <v/>
      </c>
      <c r="B112" s="6">
        <f>IF(A112="","",'1_Datos'!B113)</f>
        <v/>
      </c>
      <c r="C112" s="6">
        <f>IF(A112="","",'1_Datos'!C113)</f>
        <v/>
      </c>
      <c r="D112" s="7">
        <f>IF(A112="","",'1_Datos'!D113)</f>
        <v/>
      </c>
      <c r="E112" s="7">
        <f>IF(A112="","",IF('1_Datos'!E113="","",'1_Datos'!E113))</f>
        <v/>
      </c>
      <c r="F112" s="6">
        <f>IF(A112="","",'1_Datos'!F113)</f>
        <v/>
      </c>
      <c r="G112" s="6">
        <f>IF(A112="","",IF(OR(UPPER(F112)="ALTA",UPPER(F112)="P1",F112=1),"Alta",IF(OR(UPPER(F112)="MEDIA",UPPER(F112)="P2",F112=2),"Media",IF(OR(UPPER(F112)="BAJA",UPPER(F112)="P3",F112=3),"Baja","Media"))))</f>
        <v/>
      </c>
      <c r="H112" s="6">
        <f>IF(A112="","",'1_Datos'!G113)</f>
        <v/>
      </c>
      <c r="I112" s="6">
        <f>IF(A112="","",IF(G112="Alta",'2_Parametros'!$B$7,IF(G112="Media",'2_Parametros'!$B$8,'2_Parametros'!$B$9)))</f>
        <v/>
      </c>
      <c r="J112" s="6">
        <f>IF(A112="","",IF(E112&lt;&gt;"",E112-D112+1,IF(D112="","",'2_Parametros'!$B$24-D112+1)))</f>
        <v/>
      </c>
      <c r="K112" s="6">
        <f>IF(A112="","",IF(G112="Alta",'2_Parametros'!$B$11,IF(G112="Media",'2_Parametros'!$B$12,'2_Parametros'!$B$13)))</f>
        <v/>
      </c>
      <c r="L112" s="6">
        <f>IF(A112="","",IF(AND(UPPER(H112)="COMPLETADA",E112&lt;&gt;"",J112&lt;=K112),1,0))</f>
        <v/>
      </c>
      <c r="M112" s="15">
        <f>IF(A112="","",IF(OR(J112="",J112=0),0,MIN(1,K112/J112)))</f>
        <v/>
      </c>
      <c r="N112" s="6">
        <f>IF(A112="","",IF(OR(AND(E112&lt;&gt;"",E112&gt;='2_Parametros'!$B$23,E112&lt;='2_Parametros'!$B$24),AND(D112&lt;&gt;"",D112&gt;='2_Parametros'!$B$23,D112&lt;='2_Parametros'!$B$24)),1,0))</f>
        <v/>
      </c>
      <c r="O112" s="6">
        <f>IF(A112="","",IF(AND(UPPER(H112)="COMPLETADA",E112&lt;&gt;""),1,0))</f>
        <v/>
      </c>
      <c r="P112" s="6">
        <f>IF(A112="","",IF(AND(UPPER(H112)&lt;&gt;"COMPLETADA",UPPER(H112)&lt;&gt;"CANCELADA",D112&lt;&gt;"",D112+K112-1&lt;'2_Parametros'!$B$24),1,0))</f>
        <v/>
      </c>
      <c r="Q112" s="6">
        <f>IF(A112="","",IF(OR(AND(O112=1,E112&gt;='2_Parametros'!$B$23,E112&lt;='2_Parametros'!$B$24),AND('2_Parametros'!$B$21=1,P112=1,N112=1)),1,0))</f>
        <v/>
      </c>
      <c r="R112" s="6">
        <f>IF(A112="","",IF(Q112=1,I112*L112,0))</f>
        <v/>
      </c>
      <c r="S112" s="6">
        <f>IF(A112="","",IF(Q112=1,I112*M112,0))</f>
        <v/>
      </c>
    </row>
    <row r="113">
      <c r="A113" s="6">
        <f>IF('1_Datos'!A114="","",'1_Datos'!A114)</f>
        <v/>
      </c>
      <c r="B113" s="6">
        <f>IF(A113="","",'1_Datos'!B114)</f>
        <v/>
      </c>
      <c r="C113" s="6">
        <f>IF(A113="","",'1_Datos'!C114)</f>
        <v/>
      </c>
      <c r="D113" s="7">
        <f>IF(A113="","",'1_Datos'!D114)</f>
        <v/>
      </c>
      <c r="E113" s="7">
        <f>IF(A113="","",IF('1_Datos'!E114="","",'1_Datos'!E114))</f>
        <v/>
      </c>
      <c r="F113" s="6">
        <f>IF(A113="","",'1_Datos'!F114)</f>
        <v/>
      </c>
      <c r="G113" s="6">
        <f>IF(A113="","",IF(OR(UPPER(F113)="ALTA",UPPER(F113)="P1",F113=1),"Alta",IF(OR(UPPER(F113)="MEDIA",UPPER(F113)="P2",F113=2),"Media",IF(OR(UPPER(F113)="BAJA",UPPER(F113)="P3",F113=3),"Baja","Media"))))</f>
        <v/>
      </c>
      <c r="H113" s="6">
        <f>IF(A113="","",'1_Datos'!G114)</f>
        <v/>
      </c>
      <c r="I113" s="6">
        <f>IF(A113="","",IF(G113="Alta",'2_Parametros'!$B$7,IF(G113="Media",'2_Parametros'!$B$8,'2_Parametros'!$B$9)))</f>
        <v/>
      </c>
      <c r="J113" s="6">
        <f>IF(A113="","",IF(E113&lt;&gt;"",E113-D113+1,IF(D113="","",'2_Parametros'!$B$24-D113+1)))</f>
        <v/>
      </c>
      <c r="K113" s="6">
        <f>IF(A113="","",IF(G113="Alta",'2_Parametros'!$B$11,IF(G113="Media",'2_Parametros'!$B$12,'2_Parametros'!$B$13)))</f>
        <v/>
      </c>
      <c r="L113" s="6">
        <f>IF(A113="","",IF(AND(UPPER(H113)="COMPLETADA",E113&lt;&gt;"",J113&lt;=K113),1,0))</f>
        <v/>
      </c>
      <c r="M113" s="15">
        <f>IF(A113="","",IF(OR(J113="",J113=0),0,MIN(1,K113/J113)))</f>
        <v/>
      </c>
      <c r="N113" s="6">
        <f>IF(A113="","",IF(OR(AND(E113&lt;&gt;"",E113&gt;='2_Parametros'!$B$23,E113&lt;='2_Parametros'!$B$24),AND(D113&lt;&gt;"",D113&gt;='2_Parametros'!$B$23,D113&lt;='2_Parametros'!$B$24)),1,0))</f>
        <v/>
      </c>
      <c r="O113" s="6">
        <f>IF(A113="","",IF(AND(UPPER(H113)="COMPLETADA",E113&lt;&gt;""),1,0))</f>
        <v/>
      </c>
      <c r="P113" s="6">
        <f>IF(A113="","",IF(AND(UPPER(H113)&lt;&gt;"COMPLETADA",UPPER(H113)&lt;&gt;"CANCELADA",D113&lt;&gt;"",D113+K113-1&lt;'2_Parametros'!$B$24),1,0))</f>
        <v/>
      </c>
      <c r="Q113" s="6">
        <f>IF(A113="","",IF(OR(AND(O113=1,E113&gt;='2_Parametros'!$B$23,E113&lt;='2_Parametros'!$B$24),AND('2_Parametros'!$B$21=1,P113=1,N113=1)),1,0))</f>
        <v/>
      </c>
      <c r="R113" s="6">
        <f>IF(A113="","",IF(Q113=1,I113*L113,0))</f>
        <v/>
      </c>
      <c r="S113" s="6">
        <f>IF(A113="","",IF(Q113=1,I113*M113,0))</f>
        <v/>
      </c>
    </row>
    <row r="114">
      <c r="A114" s="6">
        <f>IF('1_Datos'!A115="","",'1_Datos'!A115)</f>
        <v/>
      </c>
      <c r="B114" s="6">
        <f>IF(A114="","",'1_Datos'!B115)</f>
        <v/>
      </c>
      <c r="C114" s="6">
        <f>IF(A114="","",'1_Datos'!C115)</f>
        <v/>
      </c>
      <c r="D114" s="7">
        <f>IF(A114="","",'1_Datos'!D115)</f>
        <v/>
      </c>
      <c r="E114" s="7">
        <f>IF(A114="","",IF('1_Datos'!E115="","",'1_Datos'!E115))</f>
        <v/>
      </c>
      <c r="F114" s="6">
        <f>IF(A114="","",'1_Datos'!F115)</f>
        <v/>
      </c>
      <c r="G114" s="6">
        <f>IF(A114="","",IF(OR(UPPER(F114)="ALTA",UPPER(F114)="P1",F114=1),"Alta",IF(OR(UPPER(F114)="MEDIA",UPPER(F114)="P2",F114=2),"Media",IF(OR(UPPER(F114)="BAJA",UPPER(F114)="P3",F114=3),"Baja","Media"))))</f>
        <v/>
      </c>
      <c r="H114" s="6">
        <f>IF(A114="","",'1_Datos'!G115)</f>
        <v/>
      </c>
      <c r="I114" s="6">
        <f>IF(A114="","",IF(G114="Alta",'2_Parametros'!$B$7,IF(G114="Media",'2_Parametros'!$B$8,'2_Parametros'!$B$9)))</f>
        <v/>
      </c>
      <c r="J114" s="6">
        <f>IF(A114="","",IF(E114&lt;&gt;"",E114-D114+1,IF(D114="","",'2_Parametros'!$B$24-D114+1)))</f>
        <v/>
      </c>
      <c r="K114" s="6">
        <f>IF(A114="","",IF(G114="Alta",'2_Parametros'!$B$11,IF(G114="Media",'2_Parametros'!$B$12,'2_Parametros'!$B$13)))</f>
        <v/>
      </c>
      <c r="L114" s="6">
        <f>IF(A114="","",IF(AND(UPPER(H114)="COMPLETADA",E114&lt;&gt;"",J114&lt;=K114),1,0))</f>
        <v/>
      </c>
      <c r="M114" s="15">
        <f>IF(A114="","",IF(OR(J114="",J114=0),0,MIN(1,K114/J114)))</f>
        <v/>
      </c>
      <c r="N114" s="6">
        <f>IF(A114="","",IF(OR(AND(E114&lt;&gt;"",E114&gt;='2_Parametros'!$B$23,E114&lt;='2_Parametros'!$B$24),AND(D114&lt;&gt;"",D114&gt;='2_Parametros'!$B$23,D114&lt;='2_Parametros'!$B$24)),1,0))</f>
        <v/>
      </c>
      <c r="O114" s="6">
        <f>IF(A114="","",IF(AND(UPPER(H114)="COMPLETADA",E114&lt;&gt;""),1,0))</f>
        <v/>
      </c>
      <c r="P114" s="6">
        <f>IF(A114="","",IF(AND(UPPER(H114)&lt;&gt;"COMPLETADA",UPPER(H114)&lt;&gt;"CANCELADA",D114&lt;&gt;"",D114+K114-1&lt;'2_Parametros'!$B$24),1,0))</f>
        <v/>
      </c>
      <c r="Q114" s="6">
        <f>IF(A114="","",IF(OR(AND(O114=1,E114&gt;='2_Parametros'!$B$23,E114&lt;='2_Parametros'!$B$24),AND('2_Parametros'!$B$21=1,P114=1,N114=1)),1,0))</f>
        <v/>
      </c>
      <c r="R114" s="6">
        <f>IF(A114="","",IF(Q114=1,I114*L114,0))</f>
        <v/>
      </c>
      <c r="S114" s="6">
        <f>IF(A114="","",IF(Q114=1,I114*M114,0))</f>
        <v/>
      </c>
    </row>
    <row r="115">
      <c r="A115" s="6">
        <f>IF('1_Datos'!A116="","",'1_Datos'!A116)</f>
        <v/>
      </c>
      <c r="B115" s="6">
        <f>IF(A115="","",'1_Datos'!B116)</f>
        <v/>
      </c>
      <c r="C115" s="6">
        <f>IF(A115="","",'1_Datos'!C116)</f>
        <v/>
      </c>
      <c r="D115" s="7">
        <f>IF(A115="","",'1_Datos'!D116)</f>
        <v/>
      </c>
      <c r="E115" s="7">
        <f>IF(A115="","",IF('1_Datos'!E116="","",'1_Datos'!E116))</f>
        <v/>
      </c>
      <c r="F115" s="6">
        <f>IF(A115="","",'1_Datos'!F116)</f>
        <v/>
      </c>
      <c r="G115" s="6">
        <f>IF(A115="","",IF(OR(UPPER(F115)="ALTA",UPPER(F115)="P1",F115=1),"Alta",IF(OR(UPPER(F115)="MEDIA",UPPER(F115)="P2",F115=2),"Media",IF(OR(UPPER(F115)="BAJA",UPPER(F115)="P3",F115=3),"Baja","Media"))))</f>
        <v/>
      </c>
      <c r="H115" s="6">
        <f>IF(A115="","",'1_Datos'!G116)</f>
        <v/>
      </c>
      <c r="I115" s="6">
        <f>IF(A115="","",IF(G115="Alta",'2_Parametros'!$B$7,IF(G115="Media",'2_Parametros'!$B$8,'2_Parametros'!$B$9)))</f>
        <v/>
      </c>
      <c r="J115" s="6">
        <f>IF(A115="","",IF(E115&lt;&gt;"",E115-D115+1,IF(D115="","",'2_Parametros'!$B$24-D115+1)))</f>
        <v/>
      </c>
      <c r="K115" s="6">
        <f>IF(A115="","",IF(G115="Alta",'2_Parametros'!$B$11,IF(G115="Media",'2_Parametros'!$B$12,'2_Parametros'!$B$13)))</f>
        <v/>
      </c>
      <c r="L115" s="6">
        <f>IF(A115="","",IF(AND(UPPER(H115)="COMPLETADA",E115&lt;&gt;"",J115&lt;=K115),1,0))</f>
        <v/>
      </c>
      <c r="M115" s="15">
        <f>IF(A115="","",IF(OR(J115="",J115=0),0,MIN(1,K115/J115)))</f>
        <v/>
      </c>
      <c r="N115" s="6">
        <f>IF(A115="","",IF(OR(AND(E115&lt;&gt;"",E115&gt;='2_Parametros'!$B$23,E115&lt;='2_Parametros'!$B$24),AND(D115&lt;&gt;"",D115&gt;='2_Parametros'!$B$23,D115&lt;='2_Parametros'!$B$24)),1,0))</f>
        <v/>
      </c>
      <c r="O115" s="6">
        <f>IF(A115="","",IF(AND(UPPER(H115)="COMPLETADA",E115&lt;&gt;""),1,0))</f>
        <v/>
      </c>
      <c r="P115" s="6">
        <f>IF(A115="","",IF(AND(UPPER(H115)&lt;&gt;"COMPLETADA",UPPER(H115)&lt;&gt;"CANCELADA",D115&lt;&gt;"",D115+K115-1&lt;'2_Parametros'!$B$24),1,0))</f>
        <v/>
      </c>
      <c r="Q115" s="6">
        <f>IF(A115="","",IF(OR(AND(O115=1,E115&gt;='2_Parametros'!$B$23,E115&lt;='2_Parametros'!$B$24),AND('2_Parametros'!$B$21=1,P115=1,N115=1)),1,0))</f>
        <v/>
      </c>
      <c r="R115" s="6">
        <f>IF(A115="","",IF(Q115=1,I115*L115,0))</f>
        <v/>
      </c>
      <c r="S115" s="6">
        <f>IF(A115="","",IF(Q115=1,I115*M115,0))</f>
        <v/>
      </c>
    </row>
    <row r="116">
      <c r="A116" s="6">
        <f>IF('1_Datos'!A117="","",'1_Datos'!A117)</f>
        <v/>
      </c>
      <c r="B116" s="6">
        <f>IF(A116="","",'1_Datos'!B117)</f>
        <v/>
      </c>
      <c r="C116" s="6">
        <f>IF(A116="","",'1_Datos'!C117)</f>
        <v/>
      </c>
      <c r="D116" s="7">
        <f>IF(A116="","",'1_Datos'!D117)</f>
        <v/>
      </c>
      <c r="E116" s="7">
        <f>IF(A116="","",IF('1_Datos'!E117="","",'1_Datos'!E117))</f>
        <v/>
      </c>
      <c r="F116" s="6">
        <f>IF(A116="","",'1_Datos'!F117)</f>
        <v/>
      </c>
      <c r="G116" s="6">
        <f>IF(A116="","",IF(OR(UPPER(F116)="ALTA",UPPER(F116)="P1",F116=1),"Alta",IF(OR(UPPER(F116)="MEDIA",UPPER(F116)="P2",F116=2),"Media",IF(OR(UPPER(F116)="BAJA",UPPER(F116)="P3",F116=3),"Baja","Media"))))</f>
        <v/>
      </c>
      <c r="H116" s="6">
        <f>IF(A116="","",'1_Datos'!G117)</f>
        <v/>
      </c>
      <c r="I116" s="6">
        <f>IF(A116="","",IF(G116="Alta",'2_Parametros'!$B$7,IF(G116="Media",'2_Parametros'!$B$8,'2_Parametros'!$B$9)))</f>
        <v/>
      </c>
      <c r="J116" s="6">
        <f>IF(A116="","",IF(E116&lt;&gt;"",E116-D116+1,IF(D116="","",'2_Parametros'!$B$24-D116+1)))</f>
        <v/>
      </c>
      <c r="K116" s="6">
        <f>IF(A116="","",IF(G116="Alta",'2_Parametros'!$B$11,IF(G116="Media",'2_Parametros'!$B$12,'2_Parametros'!$B$13)))</f>
        <v/>
      </c>
      <c r="L116" s="6">
        <f>IF(A116="","",IF(AND(UPPER(H116)="COMPLETADA",E116&lt;&gt;"",J116&lt;=K116),1,0))</f>
        <v/>
      </c>
      <c r="M116" s="15">
        <f>IF(A116="","",IF(OR(J116="",J116=0),0,MIN(1,K116/J116)))</f>
        <v/>
      </c>
      <c r="N116" s="6">
        <f>IF(A116="","",IF(OR(AND(E116&lt;&gt;"",E116&gt;='2_Parametros'!$B$23,E116&lt;='2_Parametros'!$B$24),AND(D116&lt;&gt;"",D116&gt;='2_Parametros'!$B$23,D116&lt;='2_Parametros'!$B$24)),1,0))</f>
        <v/>
      </c>
      <c r="O116" s="6">
        <f>IF(A116="","",IF(AND(UPPER(H116)="COMPLETADA",E116&lt;&gt;""),1,0))</f>
        <v/>
      </c>
      <c r="P116" s="6">
        <f>IF(A116="","",IF(AND(UPPER(H116)&lt;&gt;"COMPLETADA",UPPER(H116)&lt;&gt;"CANCELADA",D116&lt;&gt;"",D116+K116-1&lt;'2_Parametros'!$B$24),1,0))</f>
        <v/>
      </c>
      <c r="Q116" s="6">
        <f>IF(A116="","",IF(OR(AND(O116=1,E116&gt;='2_Parametros'!$B$23,E116&lt;='2_Parametros'!$B$24),AND('2_Parametros'!$B$21=1,P116=1,N116=1)),1,0))</f>
        <v/>
      </c>
      <c r="R116" s="6">
        <f>IF(A116="","",IF(Q116=1,I116*L116,0))</f>
        <v/>
      </c>
      <c r="S116" s="6">
        <f>IF(A116="","",IF(Q116=1,I116*M116,0))</f>
        <v/>
      </c>
    </row>
    <row r="117">
      <c r="A117" s="6">
        <f>IF('1_Datos'!A118="","",'1_Datos'!A118)</f>
        <v/>
      </c>
      <c r="B117" s="6">
        <f>IF(A117="","",'1_Datos'!B118)</f>
        <v/>
      </c>
      <c r="C117" s="6">
        <f>IF(A117="","",'1_Datos'!C118)</f>
        <v/>
      </c>
      <c r="D117" s="7">
        <f>IF(A117="","",'1_Datos'!D118)</f>
        <v/>
      </c>
      <c r="E117" s="7">
        <f>IF(A117="","",IF('1_Datos'!E118="","",'1_Datos'!E118))</f>
        <v/>
      </c>
      <c r="F117" s="6">
        <f>IF(A117="","",'1_Datos'!F118)</f>
        <v/>
      </c>
      <c r="G117" s="6">
        <f>IF(A117="","",IF(OR(UPPER(F117)="ALTA",UPPER(F117)="P1",F117=1),"Alta",IF(OR(UPPER(F117)="MEDIA",UPPER(F117)="P2",F117=2),"Media",IF(OR(UPPER(F117)="BAJA",UPPER(F117)="P3",F117=3),"Baja","Media"))))</f>
        <v/>
      </c>
      <c r="H117" s="6">
        <f>IF(A117="","",'1_Datos'!G118)</f>
        <v/>
      </c>
      <c r="I117" s="6">
        <f>IF(A117="","",IF(G117="Alta",'2_Parametros'!$B$7,IF(G117="Media",'2_Parametros'!$B$8,'2_Parametros'!$B$9)))</f>
        <v/>
      </c>
      <c r="J117" s="6">
        <f>IF(A117="","",IF(E117&lt;&gt;"",E117-D117+1,IF(D117="","",'2_Parametros'!$B$24-D117+1)))</f>
        <v/>
      </c>
      <c r="K117" s="6">
        <f>IF(A117="","",IF(G117="Alta",'2_Parametros'!$B$11,IF(G117="Media",'2_Parametros'!$B$12,'2_Parametros'!$B$13)))</f>
        <v/>
      </c>
      <c r="L117" s="6">
        <f>IF(A117="","",IF(AND(UPPER(H117)="COMPLETADA",E117&lt;&gt;"",J117&lt;=K117),1,0))</f>
        <v/>
      </c>
      <c r="M117" s="15">
        <f>IF(A117="","",IF(OR(J117="",J117=0),0,MIN(1,K117/J117)))</f>
        <v/>
      </c>
      <c r="N117" s="6">
        <f>IF(A117="","",IF(OR(AND(E117&lt;&gt;"",E117&gt;='2_Parametros'!$B$23,E117&lt;='2_Parametros'!$B$24),AND(D117&lt;&gt;"",D117&gt;='2_Parametros'!$B$23,D117&lt;='2_Parametros'!$B$24)),1,0))</f>
        <v/>
      </c>
      <c r="O117" s="6">
        <f>IF(A117="","",IF(AND(UPPER(H117)="COMPLETADA",E117&lt;&gt;""),1,0))</f>
        <v/>
      </c>
      <c r="P117" s="6">
        <f>IF(A117="","",IF(AND(UPPER(H117)&lt;&gt;"COMPLETADA",UPPER(H117)&lt;&gt;"CANCELADA",D117&lt;&gt;"",D117+K117-1&lt;'2_Parametros'!$B$24),1,0))</f>
        <v/>
      </c>
      <c r="Q117" s="6">
        <f>IF(A117="","",IF(OR(AND(O117=1,E117&gt;='2_Parametros'!$B$23,E117&lt;='2_Parametros'!$B$24),AND('2_Parametros'!$B$21=1,P117=1,N117=1)),1,0))</f>
        <v/>
      </c>
      <c r="R117" s="6">
        <f>IF(A117="","",IF(Q117=1,I117*L117,0))</f>
        <v/>
      </c>
      <c r="S117" s="6">
        <f>IF(A117="","",IF(Q117=1,I117*M117,0))</f>
        <v/>
      </c>
    </row>
    <row r="118">
      <c r="A118" s="6">
        <f>IF('1_Datos'!A119="","",'1_Datos'!A119)</f>
        <v/>
      </c>
      <c r="B118" s="6">
        <f>IF(A118="","",'1_Datos'!B119)</f>
        <v/>
      </c>
      <c r="C118" s="6">
        <f>IF(A118="","",'1_Datos'!C119)</f>
        <v/>
      </c>
      <c r="D118" s="7">
        <f>IF(A118="","",'1_Datos'!D119)</f>
        <v/>
      </c>
      <c r="E118" s="7">
        <f>IF(A118="","",IF('1_Datos'!E119="","",'1_Datos'!E119))</f>
        <v/>
      </c>
      <c r="F118" s="6">
        <f>IF(A118="","",'1_Datos'!F119)</f>
        <v/>
      </c>
      <c r="G118" s="6">
        <f>IF(A118="","",IF(OR(UPPER(F118)="ALTA",UPPER(F118)="P1",F118=1),"Alta",IF(OR(UPPER(F118)="MEDIA",UPPER(F118)="P2",F118=2),"Media",IF(OR(UPPER(F118)="BAJA",UPPER(F118)="P3",F118=3),"Baja","Media"))))</f>
        <v/>
      </c>
      <c r="H118" s="6">
        <f>IF(A118="","",'1_Datos'!G119)</f>
        <v/>
      </c>
      <c r="I118" s="6">
        <f>IF(A118="","",IF(G118="Alta",'2_Parametros'!$B$7,IF(G118="Media",'2_Parametros'!$B$8,'2_Parametros'!$B$9)))</f>
        <v/>
      </c>
      <c r="J118" s="6">
        <f>IF(A118="","",IF(E118&lt;&gt;"",E118-D118+1,IF(D118="","",'2_Parametros'!$B$24-D118+1)))</f>
        <v/>
      </c>
      <c r="K118" s="6">
        <f>IF(A118="","",IF(G118="Alta",'2_Parametros'!$B$11,IF(G118="Media",'2_Parametros'!$B$12,'2_Parametros'!$B$13)))</f>
        <v/>
      </c>
      <c r="L118" s="6">
        <f>IF(A118="","",IF(AND(UPPER(H118)="COMPLETADA",E118&lt;&gt;"",J118&lt;=K118),1,0))</f>
        <v/>
      </c>
      <c r="M118" s="15">
        <f>IF(A118="","",IF(OR(J118="",J118=0),0,MIN(1,K118/J118)))</f>
        <v/>
      </c>
      <c r="N118" s="6">
        <f>IF(A118="","",IF(OR(AND(E118&lt;&gt;"",E118&gt;='2_Parametros'!$B$23,E118&lt;='2_Parametros'!$B$24),AND(D118&lt;&gt;"",D118&gt;='2_Parametros'!$B$23,D118&lt;='2_Parametros'!$B$24)),1,0))</f>
        <v/>
      </c>
      <c r="O118" s="6">
        <f>IF(A118="","",IF(AND(UPPER(H118)="COMPLETADA",E118&lt;&gt;""),1,0))</f>
        <v/>
      </c>
      <c r="P118" s="6">
        <f>IF(A118="","",IF(AND(UPPER(H118)&lt;&gt;"COMPLETADA",UPPER(H118)&lt;&gt;"CANCELADA",D118&lt;&gt;"",D118+K118-1&lt;'2_Parametros'!$B$24),1,0))</f>
        <v/>
      </c>
      <c r="Q118" s="6">
        <f>IF(A118="","",IF(OR(AND(O118=1,E118&gt;='2_Parametros'!$B$23,E118&lt;='2_Parametros'!$B$24),AND('2_Parametros'!$B$21=1,P118=1,N118=1)),1,0))</f>
        <v/>
      </c>
      <c r="R118" s="6">
        <f>IF(A118="","",IF(Q118=1,I118*L118,0))</f>
        <v/>
      </c>
      <c r="S118" s="6">
        <f>IF(A118="","",IF(Q118=1,I118*M118,0))</f>
        <v/>
      </c>
    </row>
    <row r="119">
      <c r="A119" s="6">
        <f>IF('1_Datos'!A120="","",'1_Datos'!A120)</f>
        <v/>
      </c>
      <c r="B119" s="6">
        <f>IF(A119="","",'1_Datos'!B120)</f>
        <v/>
      </c>
      <c r="C119" s="6">
        <f>IF(A119="","",'1_Datos'!C120)</f>
        <v/>
      </c>
      <c r="D119" s="7">
        <f>IF(A119="","",'1_Datos'!D120)</f>
        <v/>
      </c>
      <c r="E119" s="7">
        <f>IF(A119="","",IF('1_Datos'!E120="","",'1_Datos'!E120))</f>
        <v/>
      </c>
      <c r="F119" s="6">
        <f>IF(A119="","",'1_Datos'!F120)</f>
        <v/>
      </c>
      <c r="G119" s="6">
        <f>IF(A119="","",IF(OR(UPPER(F119)="ALTA",UPPER(F119)="P1",F119=1),"Alta",IF(OR(UPPER(F119)="MEDIA",UPPER(F119)="P2",F119=2),"Media",IF(OR(UPPER(F119)="BAJA",UPPER(F119)="P3",F119=3),"Baja","Media"))))</f>
        <v/>
      </c>
      <c r="H119" s="6">
        <f>IF(A119="","",'1_Datos'!G120)</f>
        <v/>
      </c>
      <c r="I119" s="6">
        <f>IF(A119="","",IF(G119="Alta",'2_Parametros'!$B$7,IF(G119="Media",'2_Parametros'!$B$8,'2_Parametros'!$B$9)))</f>
        <v/>
      </c>
      <c r="J119" s="6">
        <f>IF(A119="","",IF(E119&lt;&gt;"",E119-D119+1,IF(D119="","",'2_Parametros'!$B$24-D119+1)))</f>
        <v/>
      </c>
      <c r="K119" s="6">
        <f>IF(A119="","",IF(G119="Alta",'2_Parametros'!$B$11,IF(G119="Media",'2_Parametros'!$B$12,'2_Parametros'!$B$13)))</f>
        <v/>
      </c>
      <c r="L119" s="6">
        <f>IF(A119="","",IF(AND(UPPER(H119)="COMPLETADA",E119&lt;&gt;"",J119&lt;=K119),1,0))</f>
        <v/>
      </c>
      <c r="M119" s="15">
        <f>IF(A119="","",IF(OR(J119="",J119=0),0,MIN(1,K119/J119)))</f>
        <v/>
      </c>
      <c r="N119" s="6">
        <f>IF(A119="","",IF(OR(AND(E119&lt;&gt;"",E119&gt;='2_Parametros'!$B$23,E119&lt;='2_Parametros'!$B$24),AND(D119&lt;&gt;"",D119&gt;='2_Parametros'!$B$23,D119&lt;='2_Parametros'!$B$24)),1,0))</f>
        <v/>
      </c>
      <c r="O119" s="6">
        <f>IF(A119="","",IF(AND(UPPER(H119)="COMPLETADA",E119&lt;&gt;""),1,0))</f>
        <v/>
      </c>
      <c r="P119" s="6">
        <f>IF(A119="","",IF(AND(UPPER(H119)&lt;&gt;"COMPLETADA",UPPER(H119)&lt;&gt;"CANCELADA",D119&lt;&gt;"",D119+K119-1&lt;'2_Parametros'!$B$24),1,0))</f>
        <v/>
      </c>
      <c r="Q119" s="6">
        <f>IF(A119="","",IF(OR(AND(O119=1,E119&gt;='2_Parametros'!$B$23,E119&lt;='2_Parametros'!$B$24),AND('2_Parametros'!$B$21=1,P119=1,N119=1)),1,0))</f>
        <v/>
      </c>
      <c r="R119" s="6">
        <f>IF(A119="","",IF(Q119=1,I119*L119,0))</f>
        <v/>
      </c>
      <c r="S119" s="6">
        <f>IF(A119="","",IF(Q119=1,I119*M119,0))</f>
        <v/>
      </c>
    </row>
    <row r="120">
      <c r="A120" s="6">
        <f>IF('1_Datos'!A121="","",'1_Datos'!A121)</f>
        <v/>
      </c>
      <c r="B120" s="6">
        <f>IF(A120="","",'1_Datos'!B121)</f>
        <v/>
      </c>
      <c r="C120" s="6">
        <f>IF(A120="","",'1_Datos'!C121)</f>
        <v/>
      </c>
      <c r="D120" s="7">
        <f>IF(A120="","",'1_Datos'!D121)</f>
        <v/>
      </c>
      <c r="E120" s="7">
        <f>IF(A120="","",IF('1_Datos'!E121="","",'1_Datos'!E121))</f>
        <v/>
      </c>
      <c r="F120" s="6">
        <f>IF(A120="","",'1_Datos'!F121)</f>
        <v/>
      </c>
      <c r="G120" s="6">
        <f>IF(A120="","",IF(OR(UPPER(F120)="ALTA",UPPER(F120)="P1",F120=1),"Alta",IF(OR(UPPER(F120)="MEDIA",UPPER(F120)="P2",F120=2),"Media",IF(OR(UPPER(F120)="BAJA",UPPER(F120)="P3",F120=3),"Baja","Media"))))</f>
        <v/>
      </c>
      <c r="H120" s="6">
        <f>IF(A120="","",'1_Datos'!G121)</f>
        <v/>
      </c>
      <c r="I120" s="6">
        <f>IF(A120="","",IF(G120="Alta",'2_Parametros'!$B$7,IF(G120="Media",'2_Parametros'!$B$8,'2_Parametros'!$B$9)))</f>
        <v/>
      </c>
      <c r="J120" s="6">
        <f>IF(A120="","",IF(E120&lt;&gt;"",E120-D120+1,IF(D120="","",'2_Parametros'!$B$24-D120+1)))</f>
        <v/>
      </c>
      <c r="K120" s="6">
        <f>IF(A120="","",IF(G120="Alta",'2_Parametros'!$B$11,IF(G120="Media",'2_Parametros'!$B$12,'2_Parametros'!$B$13)))</f>
        <v/>
      </c>
      <c r="L120" s="6">
        <f>IF(A120="","",IF(AND(UPPER(H120)="COMPLETADA",E120&lt;&gt;"",J120&lt;=K120),1,0))</f>
        <v/>
      </c>
      <c r="M120" s="15">
        <f>IF(A120="","",IF(OR(J120="",J120=0),0,MIN(1,K120/J120)))</f>
        <v/>
      </c>
      <c r="N120" s="6">
        <f>IF(A120="","",IF(OR(AND(E120&lt;&gt;"",E120&gt;='2_Parametros'!$B$23,E120&lt;='2_Parametros'!$B$24),AND(D120&lt;&gt;"",D120&gt;='2_Parametros'!$B$23,D120&lt;='2_Parametros'!$B$24)),1,0))</f>
        <v/>
      </c>
      <c r="O120" s="6">
        <f>IF(A120="","",IF(AND(UPPER(H120)="COMPLETADA",E120&lt;&gt;""),1,0))</f>
        <v/>
      </c>
      <c r="P120" s="6">
        <f>IF(A120="","",IF(AND(UPPER(H120)&lt;&gt;"COMPLETADA",UPPER(H120)&lt;&gt;"CANCELADA",D120&lt;&gt;"",D120+K120-1&lt;'2_Parametros'!$B$24),1,0))</f>
        <v/>
      </c>
      <c r="Q120" s="6">
        <f>IF(A120="","",IF(OR(AND(O120=1,E120&gt;='2_Parametros'!$B$23,E120&lt;='2_Parametros'!$B$24),AND('2_Parametros'!$B$21=1,P120=1,N120=1)),1,0))</f>
        <v/>
      </c>
      <c r="R120" s="6">
        <f>IF(A120="","",IF(Q120=1,I120*L120,0))</f>
        <v/>
      </c>
      <c r="S120" s="6">
        <f>IF(A120="","",IF(Q120=1,I120*M120,0))</f>
        <v/>
      </c>
    </row>
    <row r="121">
      <c r="A121" s="6">
        <f>IF('1_Datos'!A122="","",'1_Datos'!A122)</f>
        <v/>
      </c>
      <c r="B121" s="6">
        <f>IF(A121="","",'1_Datos'!B122)</f>
        <v/>
      </c>
      <c r="C121" s="6">
        <f>IF(A121="","",'1_Datos'!C122)</f>
        <v/>
      </c>
      <c r="D121" s="7">
        <f>IF(A121="","",'1_Datos'!D122)</f>
        <v/>
      </c>
      <c r="E121" s="7">
        <f>IF(A121="","",IF('1_Datos'!E122="","",'1_Datos'!E122))</f>
        <v/>
      </c>
      <c r="F121" s="6">
        <f>IF(A121="","",'1_Datos'!F122)</f>
        <v/>
      </c>
      <c r="G121" s="6">
        <f>IF(A121="","",IF(OR(UPPER(F121)="ALTA",UPPER(F121)="P1",F121=1),"Alta",IF(OR(UPPER(F121)="MEDIA",UPPER(F121)="P2",F121=2),"Media",IF(OR(UPPER(F121)="BAJA",UPPER(F121)="P3",F121=3),"Baja","Media"))))</f>
        <v/>
      </c>
      <c r="H121" s="6">
        <f>IF(A121="","",'1_Datos'!G122)</f>
        <v/>
      </c>
      <c r="I121" s="6">
        <f>IF(A121="","",IF(G121="Alta",'2_Parametros'!$B$7,IF(G121="Media",'2_Parametros'!$B$8,'2_Parametros'!$B$9)))</f>
        <v/>
      </c>
      <c r="J121" s="6">
        <f>IF(A121="","",IF(E121&lt;&gt;"",E121-D121+1,IF(D121="","",'2_Parametros'!$B$24-D121+1)))</f>
        <v/>
      </c>
      <c r="K121" s="6">
        <f>IF(A121="","",IF(G121="Alta",'2_Parametros'!$B$11,IF(G121="Media",'2_Parametros'!$B$12,'2_Parametros'!$B$13)))</f>
        <v/>
      </c>
      <c r="L121" s="6">
        <f>IF(A121="","",IF(AND(UPPER(H121)="COMPLETADA",E121&lt;&gt;"",J121&lt;=K121),1,0))</f>
        <v/>
      </c>
      <c r="M121" s="15">
        <f>IF(A121="","",IF(OR(J121="",J121=0),0,MIN(1,K121/J121)))</f>
        <v/>
      </c>
      <c r="N121" s="6">
        <f>IF(A121="","",IF(OR(AND(E121&lt;&gt;"",E121&gt;='2_Parametros'!$B$23,E121&lt;='2_Parametros'!$B$24),AND(D121&lt;&gt;"",D121&gt;='2_Parametros'!$B$23,D121&lt;='2_Parametros'!$B$24)),1,0))</f>
        <v/>
      </c>
      <c r="O121" s="6">
        <f>IF(A121="","",IF(AND(UPPER(H121)="COMPLETADA",E121&lt;&gt;""),1,0))</f>
        <v/>
      </c>
      <c r="P121" s="6">
        <f>IF(A121="","",IF(AND(UPPER(H121)&lt;&gt;"COMPLETADA",UPPER(H121)&lt;&gt;"CANCELADA",D121&lt;&gt;"",D121+K121-1&lt;'2_Parametros'!$B$24),1,0))</f>
        <v/>
      </c>
      <c r="Q121" s="6">
        <f>IF(A121="","",IF(OR(AND(O121=1,E121&gt;='2_Parametros'!$B$23,E121&lt;='2_Parametros'!$B$24),AND('2_Parametros'!$B$21=1,P121=1,N121=1)),1,0))</f>
        <v/>
      </c>
      <c r="R121" s="6">
        <f>IF(A121="","",IF(Q121=1,I121*L121,0))</f>
        <v/>
      </c>
      <c r="S121" s="6">
        <f>IF(A121="","",IF(Q121=1,I121*M121,0))</f>
        <v/>
      </c>
    </row>
  </sheetData>
  <autoFilter ref="A1:S1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</cols>
  <sheetData>
    <row r="1">
      <c r="A1" s="1" t="inlineStr">
        <is>
          <t>KPI de Operatividad por Responsable</t>
        </is>
      </c>
    </row>
    <row r="2">
      <c r="A2" s="13">
        <f>"Quincena activa: "&amp;'2_Parametros'!B25&amp;"  |  Periodo: "&amp;TEXT('2_Parametros'!B23,"DD/MM/YYYY")&amp;" - "&amp;TEXT('2_Parametros'!B24,"DD/MM/YYYY")</f>
        <v/>
      </c>
    </row>
    <row r="3"/>
    <row r="4">
      <c r="A4" s="5" t="inlineStr">
        <is>
          <t>Responsable</t>
        </is>
      </c>
      <c r="B4" s="5" t="inlineStr">
        <is>
          <t>Ops_Evaluadas</t>
        </is>
      </c>
      <c r="C4" s="5" t="inlineStr">
        <is>
          <t>Ops_Completadas</t>
        </is>
      </c>
      <c r="D4" s="5" t="inlineStr">
        <is>
          <t>Ops_A_Tiempo</t>
        </is>
      </c>
      <c r="E4" s="5" t="inlineStr">
        <is>
          <t>Peso_Total</t>
        </is>
      </c>
      <c r="F4" s="5" t="inlineStr">
        <is>
          <t>Cumplimiento_Ponderado</t>
        </is>
      </c>
      <c r="G4" s="5" t="inlineStr">
        <is>
          <t>Eficiencia_Ciclo_Ponderada</t>
        </is>
      </c>
      <c r="H4" s="5" t="inlineStr">
        <is>
          <t>IOI</t>
        </is>
      </c>
      <c r="I4" s="5" t="inlineStr">
        <is>
          <t>Semaforo</t>
        </is>
      </c>
      <c r="J4" s="5" t="inlineStr">
        <is>
          <t>Dias_Ciclo_Promedio</t>
        </is>
      </c>
      <c r="K4" s="5" t="inlineStr">
        <is>
          <t>Ops_Alta_Prioridad</t>
        </is>
      </c>
      <c r="L4" s="5" t="inlineStr">
        <is>
          <t>Brecha_vs_Meta</t>
        </is>
      </c>
    </row>
    <row r="5">
      <c r="A5" s="16" t="inlineStr">
        <is>
          <t>Ana Pérez</t>
        </is>
      </c>
      <c r="B5" s="8">
        <f>COUNTIFS('3_Calc'!$C:$C,$A5,'3_Calc'!$Q:$Q,1)</f>
        <v/>
      </c>
      <c r="C5" s="8">
        <f>COUNTIFS('3_Calc'!$C:$C,$A5,'3_Calc'!$Q:$Q,1,'3_Calc'!$O:$O,1)</f>
        <v/>
      </c>
      <c r="D5" s="8">
        <f>SUMIFS('3_Calc'!$L:$L,'3_Calc'!$C:$C,$A5,'3_Calc'!$Q:$Q,1)</f>
        <v/>
      </c>
      <c r="E5" s="8">
        <f>SUMIFS('3_Calc'!$I:$I,'3_Calc'!$C:$C,$A5,'3_Calc'!$Q:$Q,1)</f>
        <v/>
      </c>
      <c r="F5" s="17">
        <f>IF(E5=0,"",SUMIFS('3_Calc'!$R:$R,'3_Calc'!$C:$C,$A5,'3_Calc'!$Q:$Q,1)/E5)</f>
        <v/>
      </c>
      <c r="G5" s="17">
        <f>IF(E5=0,"",SUMIFS('3_Calc'!$S:$S,'3_Calc'!$C:$C,$A5,'3_Calc'!$Q:$Q,1)/E5)</f>
        <v/>
      </c>
      <c r="H5" s="17">
        <f>IF(E5=0,"",F5*'2_Parametros'!$B$15+G5*'2_Parametros'!$B$16)</f>
        <v/>
      </c>
      <c r="I5" s="8">
        <f>IF(H5="","",IF(H5&gt;='2_Parametros'!$B$18,"Cumple",IF(H5&gt;='2_Parametros'!$B$19,"Riesgo","Critico")))</f>
        <v/>
      </c>
      <c r="J5" s="18">
        <f>IFERROR(AVERAGEIFS('3_Calc'!$J:$J,'3_Calc'!$C:$C,$A5,'3_Calc'!$Q:$Q,1,'3_Calc'!$O:$O,1),"")</f>
        <v/>
      </c>
      <c r="K5" s="8">
        <f>COUNTIFS('3_Calc'!$C:$C,$A5,'3_Calc'!$Q:$Q,1,'3_Calc'!$G:$G,"Alta")</f>
        <v/>
      </c>
      <c r="L5" s="17">
        <f>IF(H5="","",H5-'2_Parametros'!$B$18)</f>
        <v/>
      </c>
    </row>
    <row r="6">
      <c r="A6" s="16" t="inlineStr">
        <is>
          <t>Carlos Díaz</t>
        </is>
      </c>
      <c r="B6" s="8">
        <f>COUNTIFS('3_Calc'!$C:$C,$A6,'3_Calc'!$Q:$Q,1)</f>
        <v/>
      </c>
      <c r="C6" s="8">
        <f>COUNTIFS('3_Calc'!$C:$C,$A6,'3_Calc'!$Q:$Q,1,'3_Calc'!$O:$O,1)</f>
        <v/>
      </c>
      <c r="D6" s="8">
        <f>SUMIFS('3_Calc'!$L:$L,'3_Calc'!$C:$C,$A6,'3_Calc'!$Q:$Q,1)</f>
        <v/>
      </c>
      <c r="E6" s="8">
        <f>SUMIFS('3_Calc'!$I:$I,'3_Calc'!$C:$C,$A6,'3_Calc'!$Q:$Q,1)</f>
        <v/>
      </c>
      <c r="F6" s="17">
        <f>IF(E6=0,"",SUMIFS('3_Calc'!$R:$R,'3_Calc'!$C:$C,$A6,'3_Calc'!$Q:$Q,1)/E6)</f>
        <v/>
      </c>
      <c r="G6" s="17">
        <f>IF(E6=0,"",SUMIFS('3_Calc'!$S:$S,'3_Calc'!$C:$C,$A6,'3_Calc'!$Q:$Q,1)/E6)</f>
        <v/>
      </c>
      <c r="H6" s="17">
        <f>IF(E6=0,"",F6*'2_Parametros'!$B$15+G6*'2_Parametros'!$B$16)</f>
        <v/>
      </c>
      <c r="I6" s="8">
        <f>IF(H6="","",IF(H6&gt;='2_Parametros'!$B$18,"Cumple",IF(H6&gt;='2_Parametros'!$B$19,"Riesgo","Critico")))</f>
        <v/>
      </c>
      <c r="J6" s="18">
        <f>IFERROR(AVERAGEIFS('3_Calc'!$J:$J,'3_Calc'!$C:$C,$A6,'3_Calc'!$Q:$Q,1,'3_Calc'!$O:$O,1),"")</f>
        <v/>
      </c>
      <c r="K6" s="8">
        <f>COUNTIFS('3_Calc'!$C:$C,$A6,'3_Calc'!$Q:$Q,1,'3_Calc'!$G:$G,"Alta")</f>
        <v/>
      </c>
      <c r="L6" s="17">
        <f>IF(H6="","",H6-'2_Parametros'!$B$18)</f>
        <v/>
      </c>
    </row>
    <row r="7">
      <c r="A7" s="16" t="inlineStr">
        <is>
          <t>Luis Gómez</t>
        </is>
      </c>
      <c r="B7" s="8">
        <f>COUNTIFS('3_Calc'!$C:$C,$A7,'3_Calc'!$Q:$Q,1)</f>
        <v/>
      </c>
      <c r="C7" s="8">
        <f>COUNTIFS('3_Calc'!$C:$C,$A7,'3_Calc'!$Q:$Q,1,'3_Calc'!$O:$O,1)</f>
        <v/>
      </c>
      <c r="D7" s="8">
        <f>SUMIFS('3_Calc'!$L:$L,'3_Calc'!$C:$C,$A7,'3_Calc'!$Q:$Q,1)</f>
        <v/>
      </c>
      <c r="E7" s="8">
        <f>SUMIFS('3_Calc'!$I:$I,'3_Calc'!$C:$C,$A7,'3_Calc'!$Q:$Q,1)</f>
        <v/>
      </c>
      <c r="F7" s="17">
        <f>IF(E7=0,"",SUMIFS('3_Calc'!$R:$R,'3_Calc'!$C:$C,$A7,'3_Calc'!$Q:$Q,1)/E7)</f>
        <v/>
      </c>
      <c r="G7" s="17">
        <f>IF(E7=0,"",SUMIFS('3_Calc'!$S:$S,'3_Calc'!$C:$C,$A7,'3_Calc'!$Q:$Q,1)/E7)</f>
        <v/>
      </c>
      <c r="H7" s="17">
        <f>IF(E7=0,"",F7*'2_Parametros'!$B$15+G7*'2_Parametros'!$B$16)</f>
        <v/>
      </c>
      <c r="I7" s="8">
        <f>IF(H7="","",IF(H7&gt;='2_Parametros'!$B$18,"Cumple",IF(H7&gt;='2_Parametros'!$B$19,"Riesgo","Critico")))</f>
        <v/>
      </c>
      <c r="J7" s="18">
        <f>IFERROR(AVERAGEIFS('3_Calc'!$J:$J,'3_Calc'!$C:$C,$A7,'3_Calc'!$Q:$Q,1,'3_Calc'!$O:$O,1),"")</f>
        <v/>
      </c>
      <c r="K7" s="8">
        <f>COUNTIFS('3_Calc'!$C:$C,$A7,'3_Calc'!$Q:$Q,1,'3_Calc'!$G:$G,"Alta")</f>
        <v/>
      </c>
      <c r="L7" s="17">
        <f>IF(H7="","",H7-'2_Parametros'!$B$18)</f>
        <v/>
      </c>
    </row>
    <row r="8">
      <c r="A8" s="16" t="inlineStr">
        <is>
          <t>María Ruiz</t>
        </is>
      </c>
      <c r="B8" s="8">
        <f>COUNTIFS('3_Calc'!$C:$C,$A8,'3_Calc'!$Q:$Q,1)</f>
        <v/>
      </c>
      <c r="C8" s="8">
        <f>COUNTIFS('3_Calc'!$C:$C,$A8,'3_Calc'!$Q:$Q,1,'3_Calc'!$O:$O,1)</f>
        <v/>
      </c>
      <c r="D8" s="8">
        <f>SUMIFS('3_Calc'!$L:$L,'3_Calc'!$C:$C,$A8,'3_Calc'!$Q:$Q,1)</f>
        <v/>
      </c>
      <c r="E8" s="8">
        <f>SUMIFS('3_Calc'!$I:$I,'3_Calc'!$C:$C,$A8,'3_Calc'!$Q:$Q,1)</f>
        <v/>
      </c>
      <c r="F8" s="17">
        <f>IF(E8=0,"",SUMIFS('3_Calc'!$R:$R,'3_Calc'!$C:$C,$A8,'3_Calc'!$Q:$Q,1)/E8)</f>
        <v/>
      </c>
      <c r="G8" s="17">
        <f>IF(E8=0,"",SUMIFS('3_Calc'!$S:$S,'3_Calc'!$C:$C,$A8,'3_Calc'!$Q:$Q,1)/E8)</f>
        <v/>
      </c>
      <c r="H8" s="17">
        <f>IF(E8=0,"",F8*'2_Parametros'!$B$15+G8*'2_Parametros'!$B$16)</f>
        <v/>
      </c>
      <c r="I8" s="8">
        <f>IF(H8="","",IF(H8&gt;='2_Parametros'!$B$18,"Cumple",IF(H8&gt;='2_Parametros'!$B$19,"Riesgo","Critico")))</f>
        <v/>
      </c>
      <c r="J8" s="18">
        <f>IFERROR(AVERAGEIFS('3_Calc'!$J:$J,'3_Calc'!$C:$C,$A8,'3_Calc'!$Q:$Q,1,'3_Calc'!$O:$O,1),"")</f>
        <v/>
      </c>
      <c r="K8" s="8">
        <f>COUNTIFS('3_Calc'!$C:$C,$A8,'3_Calc'!$Q:$Q,1,'3_Calc'!$G:$G,"Alta")</f>
        <v/>
      </c>
      <c r="L8" s="17">
        <f>IF(H8="","",H8-'2_Parametros'!$B$18)</f>
        <v/>
      </c>
    </row>
    <row r="9">
      <c r="A9" s="16" t="inlineStr">
        <is>
          <t>Sofía Vargas</t>
        </is>
      </c>
      <c r="B9" s="8">
        <f>COUNTIFS('3_Calc'!$C:$C,$A9,'3_Calc'!$Q:$Q,1)</f>
        <v/>
      </c>
      <c r="C9" s="8">
        <f>COUNTIFS('3_Calc'!$C:$C,$A9,'3_Calc'!$Q:$Q,1,'3_Calc'!$O:$O,1)</f>
        <v/>
      </c>
      <c r="D9" s="8">
        <f>SUMIFS('3_Calc'!$L:$L,'3_Calc'!$C:$C,$A9,'3_Calc'!$Q:$Q,1)</f>
        <v/>
      </c>
      <c r="E9" s="8">
        <f>SUMIFS('3_Calc'!$I:$I,'3_Calc'!$C:$C,$A9,'3_Calc'!$Q:$Q,1)</f>
        <v/>
      </c>
      <c r="F9" s="17">
        <f>IF(E9=0,"",SUMIFS('3_Calc'!$R:$R,'3_Calc'!$C:$C,$A9,'3_Calc'!$Q:$Q,1)/E9)</f>
        <v/>
      </c>
      <c r="G9" s="17">
        <f>IF(E9=0,"",SUMIFS('3_Calc'!$S:$S,'3_Calc'!$C:$C,$A9,'3_Calc'!$Q:$Q,1)/E9)</f>
        <v/>
      </c>
      <c r="H9" s="17">
        <f>IF(E9=0,"",F9*'2_Parametros'!$B$15+G9*'2_Parametros'!$B$16)</f>
        <v/>
      </c>
      <c r="I9" s="8">
        <f>IF(H9="","",IF(H9&gt;='2_Parametros'!$B$18,"Cumple",IF(H9&gt;='2_Parametros'!$B$19,"Riesgo","Critico")))</f>
        <v/>
      </c>
      <c r="J9" s="18">
        <f>IFERROR(AVERAGEIFS('3_Calc'!$J:$J,'3_Calc'!$C:$C,$A9,'3_Calc'!$Q:$Q,1,'3_Calc'!$O:$O,1),"")</f>
        <v/>
      </c>
      <c r="K9" s="8">
        <f>COUNTIFS('3_Calc'!$C:$C,$A9,'3_Calc'!$Q:$Q,1,'3_Calc'!$G:$G,"Alta")</f>
        <v/>
      </c>
      <c r="L9" s="17">
        <f>IF(H9="","",H9-'2_Parametros'!$B$18)</f>
        <v/>
      </c>
    </row>
    <row r="10">
      <c r="A10" s="19" t="n"/>
      <c r="B10" s="8">
        <f>IF(A10="","",COUNTIFS('3_Calc'!$C:$C,$A10,'3_Calc'!$Q:$Q,1))</f>
        <v/>
      </c>
      <c r="C10" s="8">
        <f>IF(A10="","",COUNTIFS('3_Calc'!$C:$C,$A10,'3_Calc'!$Q:$Q,1,'3_Calc'!$O:$O,1))</f>
        <v/>
      </c>
      <c r="D10" s="8">
        <f>IF(A10="","",SUMIFS('3_Calc'!$L:$L,'3_Calc'!$C:$C,$A10,'3_Calc'!$Q:$Q,1))</f>
        <v/>
      </c>
      <c r="E10" s="8">
        <f>IF(A10="","",SUMIFS('3_Calc'!$I:$I,'3_Calc'!$C:$C,$A10,'3_Calc'!$Q:$Q,1))</f>
        <v/>
      </c>
      <c r="F10" s="17">
        <f>IF(OR(A10="",E10=0),"",SUMIFS('3_Calc'!$R:$R,'3_Calc'!$C:$C,$A10,'3_Calc'!$Q:$Q,1)/E10)</f>
        <v/>
      </c>
      <c r="G10" s="17">
        <f>IF(OR(A10="",E10=0),"",SUMIFS('3_Calc'!$S:$S,'3_Calc'!$C:$C,$A10,'3_Calc'!$Q:$Q,1)/E10)</f>
        <v/>
      </c>
      <c r="H10" s="17">
        <f>IF(OR(A10="",E10=0),"",F10*'2_Parametros'!$B$15+G10*'2_Parametros'!$B$16)</f>
        <v/>
      </c>
      <c r="I10" s="8">
        <f>IF(H10="","",IF(H10&gt;='2_Parametros'!$B$18,"Cumple",IF(H10&gt;='2_Parametros'!$B$19,"Riesgo","Critico")))</f>
        <v/>
      </c>
      <c r="J10" s="18">
        <f>IF(A10="","",IFERROR(AVERAGEIFS('3_Calc'!$J:$J,'3_Calc'!$C:$C,$A10,'3_Calc'!$Q:$Q,1,'3_Calc'!$O:$O,1),""))</f>
        <v/>
      </c>
      <c r="K10" s="8">
        <f>IF(A10="","",COUNTIFS('3_Calc'!$C:$C,$A10,'3_Calc'!$Q:$Q,1,'3_Calc'!$G:$G,"Alta"))</f>
        <v/>
      </c>
      <c r="L10" s="17">
        <f>IF(H10="","",H10-'2_Parametros'!$B$18)</f>
        <v/>
      </c>
    </row>
    <row r="11">
      <c r="A11" s="19" t="n"/>
      <c r="B11" s="8">
        <f>IF(A11="","",COUNTIFS('3_Calc'!$C:$C,$A11,'3_Calc'!$Q:$Q,1))</f>
        <v/>
      </c>
      <c r="C11" s="8">
        <f>IF(A11="","",COUNTIFS('3_Calc'!$C:$C,$A11,'3_Calc'!$Q:$Q,1,'3_Calc'!$O:$O,1))</f>
        <v/>
      </c>
      <c r="D11" s="8">
        <f>IF(A11="","",SUMIFS('3_Calc'!$L:$L,'3_Calc'!$C:$C,$A11,'3_Calc'!$Q:$Q,1))</f>
        <v/>
      </c>
      <c r="E11" s="8">
        <f>IF(A11="","",SUMIFS('3_Calc'!$I:$I,'3_Calc'!$C:$C,$A11,'3_Calc'!$Q:$Q,1))</f>
        <v/>
      </c>
      <c r="F11" s="17">
        <f>IF(OR(A11="",E11=0),"",SUMIFS('3_Calc'!$R:$R,'3_Calc'!$C:$C,$A11,'3_Calc'!$Q:$Q,1)/E11)</f>
        <v/>
      </c>
      <c r="G11" s="17">
        <f>IF(OR(A11="",E11=0),"",SUMIFS('3_Calc'!$S:$S,'3_Calc'!$C:$C,$A11,'3_Calc'!$Q:$Q,1)/E11)</f>
        <v/>
      </c>
      <c r="H11" s="17">
        <f>IF(OR(A11="",E11=0),"",F11*'2_Parametros'!$B$15+G11*'2_Parametros'!$B$16)</f>
        <v/>
      </c>
      <c r="I11" s="8">
        <f>IF(H11="","",IF(H11&gt;='2_Parametros'!$B$18,"Cumple",IF(H11&gt;='2_Parametros'!$B$19,"Riesgo","Critico")))</f>
        <v/>
      </c>
      <c r="J11" s="18">
        <f>IF(A11="","",IFERROR(AVERAGEIFS('3_Calc'!$J:$J,'3_Calc'!$C:$C,$A11,'3_Calc'!$Q:$Q,1,'3_Calc'!$O:$O,1),""))</f>
        <v/>
      </c>
      <c r="K11" s="8">
        <f>IF(A11="","",COUNTIFS('3_Calc'!$C:$C,$A11,'3_Calc'!$Q:$Q,1,'3_Calc'!$G:$G,"Alta"))</f>
        <v/>
      </c>
      <c r="L11" s="17">
        <f>IF(H11="","",H11-'2_Parametros'!$B$18)</f>
        <v/>
      </c>
    </row>
    <row r="12">
      <c r="A12" s="19" t="n"/>
      <c r="B12" s="8">
        <f>IF(A12="","",COUNTIFS('3_Calc'!$C:$C,$A12,'3_Calc'!$Q:$Q,1))</f>
        <v/>
      </c>
      <c r="C12" s="8">
        <f>IF(A12="","",COUNTIFS('3_Calc'!$C:$C,$A12,'3_Calc'!$Q:$Q,1,'3_Calc'!$O:$O,1))</f>
        <v/>
      </c>
      <c r="D12" s="8">
        <f>IF(A12="","",SUMIFS('3_Calc'!$L:$L,'3_Calc'!$C:$C,$A12,'3_Calc'!$Q:$Q,1))</f>
        <v/>
      </c>
      <c r="E12" s="8">
        <f>IF(A12="","",SUMIFS('3_Calc'!$I:$I,'3_Calc'!$C:$C,$A12,'3_Calc'!$Q:$Q,1))</f>
        <v/>
      </c>
      <c r="F12" s="17">
        <f>IF(OR(A12="",E12=0),"",SUMIFS('3_Calc'!$R:$R,'3_Calc'!$C:$C,$A12,'3_Calc'!$Q:$Q,1)/E12)</f>
        <v/>
      </c>
      <c r="G12" s="17">
        <f>IF(OR(A12="",E12=0),"",SUMIFS('3_Calc'!$S:$S,'3_Calc'!$C:$C,$A12,'3_Calc'!$Q:$Q,1)/E12)</f>
        <v/>
      </c>
      <c r="H12" s="17">
        <f>IF(OR(A12="",E12=0),"",F12*'2_Parametros'!$B$15+G12*'2_Parametros'!$B$16)</f>
        <v/>
      </c>
      <c r="I12" s="8">
        <f>IF(H12="","",IF(H12&gt;='2_Parametros'!$B$18,"Cumple",IF(H12&gt;='2_Parametros'!$B$19,"Riesgo","Critico")))</f>
        <v/>
      </c>
      <c r="J12" s="18">
        <f>IF(A12="","",IFERROR(AVERAGEIFS('3_Calc'!$J:$J,'3_Calc'!$C:$C,$A12,'3_Calc'!$Q:$Q,1,'3_Calc'!$O:$O,1),""))</f>
        <v/>
      </c>
      <c r="K12" s="8">
        <f>IF(A12="","",COUNTIFS('3_Calc'!$C:$C,$A12,'3_Calc'!$Q:$Q,1,'3_Calc'!$G:$G,"Alta"))</f>
        <v/>
      </c>
      <c r="L12" s="17">
        <f>IF(H12="","",H12-'2_Parametros'!$B$18)</f>
        <v/>
      </c>
    </row>
    <row r="13">
      <c r="A13" s="19" t="n"/>
      <c r="B13" s="8">
        <f>IF(A13="","",COUNTIFS('3_Calc'!$C:$C,$A13,'3_Calc'!$Q:$Q,1))</f>
        <v/>
      </c>
      <c r="C13" s="8">
        <f>IF(A13="","",COUNTIFS('3_Calc'!$C:$C,$A13,'3_Calc'!$Q:$Q,1,'3_Calc'!$O:$O,1))</f>
        <v/>
      </c>
      <c r="D13" s="8">
        <f>IF(A13="","",SUMIFS('3_Calc'!$L:$L,'3_Calc'!$C:$C,$A13,'3_Calc'!$Q:$Q,1))</f>
        <v/>
      </c>
      <c r="E13" s="8">
        <f>IF(A13="","",SUMIFS('3_Calc'!$I:$I,'3_Calc'!$C:$C,$A13,'3_Calc'!$Q:$Q,1))</f>
        <v/>
      </c>
      <c r="F13" s="17">
        <f>IF(OR(A13="",E13=0),"",SUMIFS('3_Calc'!$R:$R,'3_Calc'!$C:$C,$A13,'3_Calc'!$Q:$Q,1)/E13)</f>
        <v/>
      </c>
      <c r="G13" s="17">
        <f>IF(OR(A13="",E13=0),"",SUMIFS('3_Calc'!$S:$S,'3_Calc'!$C:$C,$A13,'3_Calc'!$Q:$Q,1)/E13)</f>
        <v/>
      </c>
      <c r="H13" s="17">
        <f>IF(OR(A13="",E13=0),"",F13*'2_Parametros'!$B$15+G13*'2_Parametros'!$B$16)</f>
        <v/>
      </c>
      <c r="I13" s="8">
        <f>IF(H13="","",IF(H13&gt;='2_Parametros'!$B$18,"Cumple",IF(H13&gt;='2_Parametros'!$B$19,"Riesgo","Critico")))</f>
        <v/>
      </c>
      <c r="J13" s="18">
        <f>IF(A13="","",IFERROR(AVERAGEIFS('3_Calc'!$J:$J,'3_Calc'!$C:$C,$A13,'3_Calc'!$Q:$Q,1,'3_Calc'!$O:$O,1),""))</f>
        <v/>
      </c>
      <c r="K13" s="8">
        <f>IF(A13="","",COUNTIFS('3_Calc'!$C:$C,$A13,'3_Calc'!$Q:$Q,1,'3_Calc'!$G:$G,"Alta"))</f>
        <v/>
      </c>
      <c r="L13" s="17">
        <f>IF(H13="","",H13-'2_Parametros'!$B$18)</f>
        <v/>
      </c>
    </row>
    <row r="14">
      <c r="A14" s="19" t="n"/>
      <c r="B14" s="8">
        <f>IF(A14="","",COUNTIFS('3_Calc'!$C:$C,$A14,'3_Calc'!$Q:$Q,1))</f>
        <v/>
      </c>
      <c r="C14" s="8">
        <f>IF(A14="","",COUNTIFS('3_Calc'!$C:$C,$A14,'3_Calc'!$Q:$Q,1,'3_Calc'!$O:$O,1))</f>
        <v/>
      </c>
      <c r="D14" s="8">
        <f>IF(A14="","",SUMIFS('3_Calc'!$L:$L,'3_Calc'!$C:$C,$A14,'3_Calc'!$Q:$Q,1))</f>
        <v/>
      </c>
      <c r="E14" s="8">
        <f>IF(A14="","",SUMIFS('3_Calc'!$I:$I,'3_Calc'!$C:$C,$A14,'3_Calc'!$Q:$Q,1))</f>
        <v/>
      </c>
      <c r="F14" s="17">
        <f>IF(OR(A14="",E14=0),"",SUMIFS('3_Calc'!$R:$R,'3_Calc'!$C:$C,$A14,'3_Calc'!$Q:$Q,1)/E14)</f>
        <v/>
      </c>
      <c r="G14" s="17">
        <f>IF(OR(A14="",E14=0),"",SUMIFS('3_Calc'!$S:$S,'3_Calc'!$C:$C,$A14,'3_Calc'!$Q:$Q,1)/E14)</f>
        <v/>
      </c>
      <c r="H14" s="17">
        <f>IF(OR(A14="",E14=0),"",F14*'2_Parametros'!$B$15+G14*'2_Parametros'!$B$16)</f>
        <v/>
      </c>
      <c r="I14" s="8">
        <f>IF(H14="","",IF(H14&gt;='2_Parametros'!$B$18,"Cumple",IF(H14&gt;='2_Parametros'!$B$19,"Riesgo","Critico")))</f>
        <v/>
      </c>
      <c r="J14" s="18">
        <f>IF(A14="","",IFERROR(AVERAGEIFS('3_Calc'!$J:$J,'3_Calc'!$C:$C,$A14,'3_Calc'!$Q:$Q,1,'3_Calc'!$O:$O,1),""))</f>
        <v/>
      </c>
      <c r="K14" s="8">
        <f>IF(A14="","",COUNTIFS('3_Calc'!$C:$C,$A14,'3_Calc'!$Q:$Q,1,'3_Calc'!$G:$G,"Alta"))</f>
        <v/>
      </c>
      <c r="L14" s="17">
        <f>IF(H14="","",H14-'2_Parametros'!$B$18)</f>
        <v/>
      </c>
    </row>
    <row r="15">
      <c r="A15" s="19" t="n"/>
      <c r="B15" s="8">
        <f>IF(A15="","",COUNTIFS('3_Calc'!$C:$C,$A15,'3_Calc'!$Q:$Q,1))</f>
        <v/>
      </c>
      <c r="C15" s="8">
        <f>IF(A15="","",COUNTIFS('3_Calc'!$C:$C,$A15,'3_Calc'!$Q:$Q,1,'3_Calc'!$O:$O,1))</f>
        <v/>
      </c>
      <c r="D15" s="8">
        <f>IF(A15="","",SUMIFS('3_Calc'!$L:$L,'3_Calc'!$C:$C,$A15,'3_Calc'!$Q:$Q,1))</f>
        <v/>
      </c>
      <c r="E15" s="8">
        <f>IF(A15="","",SUMIFS('3_Calc'!$I:$I,'3_Calc'!$C:$C,$A15,'3_Calc'!$Q:$Q,1))</f>
        <v/>
      </c>
      <c r="F15" s="17">
        <f>IF(OR(A15="",E15=0),"",SUMIFS('3_Calc'!$R:$R,'3_Calc'!$C:$C,$A15,'3_Calc'!$Q:$Q,1)/E15)</f>
        <v/>
      </c>
      <c r="G15" s="17">
        <f>IF(OR(A15="",E15=0),"",SUMIFS('3_Calc'!$S:$S,'3_Calc'!$C:$C,$A15,'3_Calc'!$Q:$Q,1)/E15)</f>
        <v/>
      </c>
      <c r="H15" s="17">
        <f>IF(OR(A15="",E15=0),"",F15*'2_Parametros'!$B$15+G15*'2_Parametros'!$B$16)</f>
        <v/>
      </c>
      <c r="I15" s="8">
        <f>IF(H15="","",IF(H15&gt;='2_Parametros'!$B$18,"Cumple",IF(H15&gt;='2_Parametros'!$B$19,"Riesgo","Critico")))</f>
        <v/>
      </c>
      <c r="J15" s="18">
        <f>IF(A15="","",IFERROR(AVERAGEIFS('3_Calc'!$J:$J,'3_Calc'!$C:$C,$A15,'3_Calc'!$Q:$Q,1,'3_Calc'!$O:$O,1),""))</f>
        <v/>
      </c>
      <c r="K15" s="8">
        <f>IF(A15="","",COUNTIFS('3_Calc'!$C:$C,$A15,'3_Calc'!$Q:$Q,1,'3_Calc'!$G:$G,"Alta"))</f>
        <v/>
      </c>
      <c r="L15" s="17">
        <f>IF(H15="","",H15-'2_Parametros'!$B$18)</f>
        <v/>
      </c>
    </row>
    <row r="16">
      <c r="A16" s="19" t="n"/>
      <c r="B16" s="8">
        <f>IF(A16="","",COUNTIFS('3_Calc'!$C:$C,$A16,'3_Calc'!$Q:$Q,1))</f>
        <v/>
      </c>
      <c r="C16" s="8">
        <f>IF(A16="","",COUNTIFS('3_Calc'!$C:$C,$A16,'3_Calc'!$Q:$Q,1,'3_Calc'!$O:$O,1))</f>
        <v/>
      </c>
      <c r="D16" s="8">
        <f>IF(A16="","",SUMIFS('3_Calc'!$L:$L,'3_Calc'!$C:$C,$A16,'3_Calc'!$Q:$Q,1))</f>
        <v/>
      </c>
      <c r="E16" s="8">
        <f>IF(A16="","",SUMIFS('3_Calc'!$I:$I,'3_Calc'!$C:$C,$A16,'3_Calc'!$Q:$Q,1))</f>
        <v/>
      </c>
      <c r="F16" s="17">
        <f>IF(OR(A16="",E16=0),"",SUMIFS('3_Calc'!$R:$R,'3_Calc'!$C:$C,$A16,'3_Calc'!$Q:$Q,1)/E16)</f>
        <v/>
      </c>
      <c r="G16" s="17">
        <f>IF(OR(A16="",E16=0),"",SUMIFS('3_Calc'!$S:$S,'3_Calc'!$C:$C,$A16,'3_Calc'!$Q:$Q,1)/E16)</f>
        <v/>
      </c>
      <c r="H16" s="17">
        <f>IF(OR(A16="",E16=0),"",F16*'2_Parametros'!$B$15+G16*'2_Parametros'!$B$16)</f>
        <v/>
      </c>
      <c r="I16" s="8">
        <f>IF(H16="","",IF(H16&gt;='2_Parametros'!$B$18,"Cumple",IF(H16&gt;='2_Parametros'!$B$19,"Riesgo","Critico")))</f>
        <v/>
      </c>
      <c r="J16" s="18">
        <f>IF(A16="","",IFERROR(AVERAGEIFS('3_Calc'!$J:$J,'3_Calc'!$C:$C,$A16,'3_Calc'!$Q:$Q,1,'3_Calc'!$O:$O,1),""))</f>
        <v/>
      </c>
      <c r="K16" s="8">
        <f>IF(A16="","",COUNTIFS('3_Calc'!$C:$C,$A16,'3_Calc'!$Q:$Q,1,'3_Calc'!$G:$G,"Alta"))</f>
        <v/>
      </c>
      <c r="L16" s="17">
        <f>IF(H16="","",H16-'2_Parametros'!$B$18)</f>
        <v/>
      </c>
    </row>
    <row r="17">
      <c r="A17" s="19" t="n"/>
      <c r="B17" s="8">
        <f>IF(A17="","",COUNTIFS('3_Calc'!$C:$C,$A17,'3_Calc'!$Q:$Q,1))</f>
        <v/>
      </c>
      <c r="C17" s="8">
        <f>IF(A17="","",COUNTIFS('3_Calc'!$C:$C,$A17,'3_Calc'!$Q:$Q,1,'3_Calc'!$O:$O,1))</f>
        <v/>
      </c>
      <c r="D17" s="8">
        <f>IF(A17="","",SUMIFS('3_Calc'!$L:$L,'3_Calc'!$C:$C,$A17,'3_Calc'!$Q:$Q,1))</f>
        <v/>
      </c>
      <c r="E17" s="8">
        <f>IF(A17="","",SUMIFS('3_Calc'!$I:$I,'3_Calc'!$C:$C,$A17,'3_Calc'!$Q:$Q,1))</f>
        <v/>
      </c>
      <c r="F17" s="17">
        <f>IF(OR(A17="",E17=0),"",SUMIFS('3_Calc'!$R:$R,'3_Calc'!$C:$C,$A17,'3_Calc'!$Q:$Q,1)/E17)</f>
        <v/>
      </c>
      <c r="G17" s="17">
        <f>IF(OR(A17="",E17=0),"",SUMIFS('3_Calc'!$S:$S,'3_Calc'!$C:$C,$A17,'3_Calc'!$Q:$Q,1)/E17)</f>
        <v/>
      </c>
      <c r="H17" s="17">
        <f>IF(OR(A17="",E17=0),"",F17*'2_Parametros'!$B$15+G17*'2_Parametros'!$B$16)</f>
        <v/>
      </c>
      <c r="I17" s="8">
        <f>IF(H17="","",IF(H17&gt;='2_Parametros'!$B$18,"Cumple",IF(H17&gt;='2_Parametros'!$B$19,"Riesgo","Critico")))</f>
        <v/>
      </c>
      <c r="J17" s="18">
        <f>IF(A17="","",IFERROR(AVERAGEIFS('3_Calc'!$J:$J,'3_Calc'!$C:$C,$A17,'3_Calc'!$Q:$Q,1,'3_Calc'!$O:$O,1),""))</f>
        <v/>
      </c>
      <c r="K17" s="8">
        <f>IF(A17="","",COUNTIFS('3_Calc'!$C:$C,$A17,'3_Calc'!$Q:$Q,1,'3_Calc'!$G:$G,"Alta"))</f>
        <v/>
      </c>
      <c r="L17" s="17">
        <f>IF(H17="","",H17-'2_Parametros'!$B$18)</f>
        <v/>
      </c>
    </row>
    <row r="18">
      <c r="A18" s="19" t="n"/>
      <c r="B18" s="8">
        <f>IF(A18="","",COUNTIFS('3_Calc'!$C:$C,$A18,'3_Calc'!$Q:$Q,1))</f>
        <v/>
      </c>
      <c r="C18" s="8">
        <f>IF(A18="","",COUNTIFS('3_Calc'!$C:$C,$A18,'3_Calc'!$Q:$Q,1,'3_Calc'!$O:$O,1))</f>
        <v/>
      </c>
      <c r="D18" s="8">
        <f>IF(A18="","",SUMIFS('3_Calc'!$L:$L,'3_Calc'!$C:$C,$A18,'3_Calc'!$Q:$Q,1))</f>
        <v/>
      </c>
      <c r="E18" s="8">
        <f>IF(A18="","",SUMIFS('3_Calc'!$I:$I,'3_Calc'!$C:$C,$A18,'3_Calc'!$Q:$Q,1))</f>
        <v/>
      </c>
      <c r="F18" s="17">
        <f>IF(OR(A18="",E18=0),"",SUMIFS('3_Calc'!$R:$R,'3_Calc'!$C:$C,$A18,'3_Calc'!$Q:$Q,1)/E18)</f>
        <v/>
      </c>
      <c r="G18" s="17">
        <f>IF(OR(A18="",E18=0),"",SUMIFS('3_Calc'!$S:$S,'3_Calc'!$C:$C,$A18,'3_Calc'!$Q:$Q,1)/E18)</f>
        <v/>
      </c>
      <c r="H18" s="17">
        <f>IF(OR(A18="",E18=0),"",F18*'2_Parametros'!$B$15+G18*'2_Parametros'!$B$16)</f>
        <v/>
      </c>
      <c r="I18" s="8">
        <f>IF(H18="","",IF(H18&gt;='2_Parametros'!$B$18,"Cumple",IF(H18&gt;='2_Parametros'!$B$19,"Riesgo","Critico")))</f>
        <v/>
      </c>
      <c r="J18" s="18">
        <f>IF(A18="","",IFERROR(AVERAGEIFS('3_Calc'!$J:$J,'3_Calc'!$C:$C,$A18,'3_Calc'!$Q:$Q,1,'3_Calc'!$O:$O,1),""))</f>
        <v/>
      </c>
      <c r="K18" s="8">
        <f>IF(A18="","",COUNTIFS('3_Calc'!$C:$C,$A18,'3_Calc'!$Q:$Q,1,'3_Calc'!$G:$G,"Alta"))</f>
        <v/>
      </c>
      <c r="L18" s="17">
        <f>IF(H18="","",H18-'2_Parametros'!$B$18)</f>
        <v/>
      </c>
    </row>
    <row r="19">
      <c r="A19" s="19" t="n"/>
      <c r="B19" s="8">
        <f>IF(A19="","",COUNTIFS('3_Calc'!$C:$C,$A19,'3_Calc'!$Q:$Q,1))</f>
        <v/>
      </c>
      <c r="C19" s="8">
        <f>IF(A19="","",COUNTIFS('3_Calc'!$C:$C,$A19,'3_Calc'!$Q:$Q,1,'3_Calc'!$O:$O,1))</f>
        <v/>
      </c>
      <c r="D19" s="8">
        <f>IF(A19="","",SUMIFS('3_Calc'!$L:$L,'3_Calc'!$C:$C,$A19,'3_Calc'!$Q:$Q,1))</f>
        <v/>
      </c>
      <c r="E19" s="8">
        <f>IF(A19="","",SUMIFS('3_Calc'!$I:$I,'3_Calc'!$C:$C,$A19,'3_Calc'!$Q:$Q,1))</f>
        <v/>
      </c>
      <c r="F19" s="17">
        <f>IF(OR(A19="",E19=0),"",SUMIFS('3_Calc'!$R:$R,'3_Calc'!$C:$C,$A19,'3_Calc'!$Q:$Q,1)/E19)</f>
        <v/>
      </c>
      <c r="G19" s="17">
        <f>IF(OR(A19="",E19=0),"",SUMIFS('3_Calc'!$S:$S,'3_Calc'!$C:$C,$A19,'3_Calc'!$Q:$Q,1)/E19)</f>
        <v/>
      </c>
      <c r="H19" s="17">
        <f>IF(OR(A19="",E19=0),"",F19*'2_Parametros'!$B$15+G19*'2_Parametros'!$B$16)</f>
        <v/>
      </c>
      <c r="I19" s="8">
        <f>IF(H19="","",IF(H19&gt;='2_Parametros'!$B$18,"Cumple",IF(H19&gt;='2_Parametros'!$B$19,"Riesgo","Critico")))</f>
        <v/>
      </c>
      <c r="J19" s="18">
        <f>IF(A19="","",IFERROR(AVERAGEIFS('3_Calc'!$J:$J,'3_Calc'!$C:$C,$A19,'3_Calc'!$Q:$Q,1,'3_Calc'!$O:$O,1),""))</f>
        <v/>
      </c>
      <c r="K19" s="8">
        <f>IF(A19="","",COUNTIFS('3_Calc'!$C:$C,$A19,'3_Calc'!$Q:$Q,1,'3_Calc'!$G:$G,"Alta"))</f>
        <v/>
      </c>
      <c r="L19" s="17">
        <f>IF(H19="","",H19-'2_Parametros'!$B$18)</f>
        <v/>
      </c>
    </row>
    <row r="20"/>
    <row r="21">
      <c r="A21" s="20" t="inlineStr">
        <is>
          <t>TOTAL DEPARTAMENTO I+D</t>
        </is>
      </c>
      <c r="B21" s="20">
        <f>SUM(B5:B19)</f>
        <v/>
      </c>
      <c r="C21" s="20">
        <f>SUM(C5:C19)</f>
        <v/>
      </c>
      <c r="D21" s="20">
        <f>SUM(D5:D19)</f>
        <v/>
      </c>
      <c r="E21" s="20">
        <f>SUM(E5:E19)</f>
        <v/>
      </c>
      <c r="F21" s="21">
        <f>IF(E21=0,"",SUMPRODUCT((E5:E19)*(F5:F19))/E21)</f>
        <v/>
      </c>
      <c r="G21" s="21">
        <f>IF(E21=0,"",SUMPRODUCT((E5:E19)*(G5:G19))/E21)</f>
        <v/>
      </c>
      <c r="H21" s="21">
        <f>IF(E21=0,"",F21*'2_Parametros'!$B$15+G21*'2_Parametros'!$B$16)</f>
        <v/>
      </c>
      <c r="I21" s="20">
        <f>IF(H21="","",IF(H21&gt;='2_Parametros'!$B$18,"Cumple",IF(H21&gt;='2_Parametros'!$B$19,"Riesgo","Critico")))</f>
        <v/>
      </c>
      <c r="J21" s="20" t="n"/>
      <c r="K21" s="20">
        <f>SUM(K5:K19)</f>
        <v/>
      </c>
      <c r="L21" s="21">
        <f>IF(H21="","",H21-'2_Parametros'!$B$18)</f>
        <v/>
      </c>
    </row>
    <row r="22"/>
    <row r="23">
      <c r="A23" s="2" t="inlineStr">
        <is>
          <t>Fórmulas vivas: al renovar 1_Datos o cambiar 2_Parametros, esta hoja se actualiza sola.</t>
        </is>
      </c>
    </row>
  </sheetData>
  <mergeCells count="3">
    <mergeCell ref="A23:H23"/>
    <mergeCell ref="A2:L2"/>
    <mergeCell ref="A1:L1"/>
  </mergeCells>
  <conditionalFormatting sqref="H5:H19">
    <cfRule type="colorScale" priority="1">
      <colorScale>
        <cfvo type="num" val="0.5"/>
        <cfvo type="num" val="0.7"/>
        <cfvo type="num" val="0.9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8" customWidth="1" min="4" max="4"/>
  </cols>
  <sheetData>
    <row r="1">
      <c r="A1" s="1" t="inlineStr">
        <is>
          <t>Ranking de Operatividad I+D (quincena activa)</t>
        </is>
      </c>
    </row>
    <row r="2"/>
    <row r="3">
      <c r="A3" s="5" t="inlineStr">
        <is>
          <t>Posición</t>
        </is>
      </c>
      <c r="B3" s="5" t="inlineStr">
        <is>
          <t>Responsable</t>
        </is>
      </c>
      <c r="C3" s="5" t="inlineStr">
        <is>
          <t>IOI</t>
        </is>
      </c>
      <c r="D3" s="5" t="inlineStr">
        <is>
          <t>Interpretación</t>
        </is>
      </c>
    </row>
    <row r="4">
      <c r="A4" s="8" t="n">
        <v>1</v>
      </c>
      <c r="B4" s="8">
        <f>IFERROR(INDEX('4_KPI_Responsables'!$A$5:$A$9,MATCH(LARGE('4_KPI_Responsables'!$H$5:$H$9,1),'4_KPI_Responsables'!$H$5:$H$9,0)),"")</f>
        <v/>
      </c>
      <c r="C4" s="17">
        <f>IFERROR(LARGE('4_KPI_Responsables'!$H$5:$H$9,1),"")</f>
        <v/>
      </c>
      <c r="D4" s="8">
        <f>IF(C4="","",IF(C4&gt;='2_Parametros'!$B$18,"Operatividad alta",IF(C4&gt;='2_Parametros'!$B$19,"Operatividad media — revisar atrasos","Operatividad baja — priorizar cierres Alta")))</f>
        <v/>
      </c>
    </row>
    <row r="5">
      <c r="A5" s="8" t="n">
        <v>2</v>
      </c>
      <c r="B5" s="8">
        <f>IFERROR(INDEX('4_KPI_Responsables'!$A$5:$A$9,MATCH(LARGE('4_KPI_Responsables'!$H$5:$H$9,2),'4_KPI_Responsables'!$H$5:$H$9,0)),"")</f>
        <v/>
      </c>
      <c r="C5" s="17">
        <f>IFERROR(LARGE('4_KPI_Responsables'!$H$5:$H$9,2),"")</f>
        <v/>
      </c>
      <c r="D5" s="8">
        <f>IF(C5="","",IF(C5&gt;='2_Parametros'!$B$18,"Operatividad alta",IF(C5&gt;='2_Parametros'!$B$19,"Operatividad media — revisar atrasos","Operatividad baja — priorizar cierres Alta")))</f>
        <v/>
      </c>
    </row>
    <row r="6">
      <c r="A6" s="8" t="n">
        <v>3</v>
      </c>
      <c r="B6" s="8">
        <f>IFERROR(INDEX('4_KPI_Responsables'!$A$5:$A$9,MATCH(LARGE('4_KPI_Responsables'!$H$5:$H$9,3),'4_KPI_Responsables'!$H$5:$H$9,0)),"")</f>
        <v/>
      </c>
      <c r="C6" s="17">
        <f>IFERROR(LARGE('4_KPI_Responsables'!$H$5:$H$9,3),"")</f>
        <v/>
      </c>
      <c r="D6" s="8">
        <f>IF(C6="","",IF(C6&gt;='2_Parametros'!$B$18,"Operatividad alta",IF(C6&gt;='2_Parametros'!$B$19,"Operatividad media — revisar atrasos","Operatividad baja — priorizar cierres Alta")))</f>
        <v/>
      </c>
    </row>
    <row r="7">
      <c r="A7" s="8" t="n">
        <v>4</v>
      </c>
      <c r="B7" s="8">
        <f>IFERROR(INDEX('4_KPI_Responsables'!$A$5:$A$9,MATCH(LARGE('4_KPI_Responsables'!$H$5:$H$9,4),'4_KPI_Responsables'!$H$5:$H$9,0)),"")</f>
        <v/>
      </c>
      <c r="C7" s="17">
        <f>IFERROR(LARGE('4_KPI_Responsables'!$H$5:$H$9,4),"")</f>
        <v/>
      </c>
      <c r="D7" s="8">
        <f>IF(C7="","",IF(C7&gt;='2_Parametros'!$B$18,"Operatividad alta",IF(C7&gt;='2_Parametros'!$B$19,"Operatividad media — revisar atrasos","Operatividad baja — priorizar cierres Alta")))</f>
        <v/>
      </c>
    </row>
    <row r="8">
      <c r="A8" s="8" t="n">
        <v>5</v>
      </c>
      <c r="B8" s="8">
        <f>IFERROR(INDEX('4_KPI_Responsables'!$A$5:$A$9,MATCH(LARGE('4_KPI_Responsables'!$H$5:$H$9,5),'4_KPI_Responsables'!$H$5:$H$9,0)),"")</f>
        <v/>
      </c>
      <c r="C8" s="17">
        <f>IFERROR(LARGE('4_KPI_Responsables'!$H$5:$H$9,5),"")</f>
        <v/>
      </c>
      <c r="D8" s="8">
        <f>IF(C8="","",IF(C8&gt;='2_Parametros'!$B$18,"Operatividad alta",IF(C8&gt;='2_Parametros'!$B$19,"Operatividad media — revisar atrasos","Operatividad baja — priorizar cierres Alta")))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Propuesta metodológica — Indicador de Operatividad de Responsables I+D</t>
        </is>
      </c>
    </row>
    <row r="3">
      <c r="A3" s="5" t="inlineStr">
        <is>
          <t>Concepto</t>
        </is>
      </c>
      <c r="B3" s="5" t="inlineStr">
        <is>
          <t>Definición</t>
        </is>
      </c>
    </row>
    <row r="4" ht="36" customHeight="1">
      <c r="A4" s="22" t="inlineStr">
        <is>
          <t>Nombre del indicador</t>
        </is>
      </c>
      <c r="B4" s="23" t="inlineStr">
        <is>
          <t>IOI — Índice de Operatividad I+D</t>
        </is>
      </c>
    </row>
    <row r="5" ht="36" customHeight="1">
      <c r="A5" s="22" t="inlineStr">
        <is>
          <t>Unidad</t>
        </is>
      </c>
      <c r="B5" s="23" t="inlineStr">
        <is>
          <t>Porcentaje (0%–100%)</t>
        </is>
      </c>
    </row>
    <row r="6" ht="36" customHeight="1">
      <c r="A6" s="22" t="inlineStr">
        <is>
          <t>Frecuencia</t>
        </is>
      </c>
      <c r="B6" s="23" t="inlineStr">
        <is>
          <t>Quincenal (Q1: días 1–15; Q2: días 16–fin de mes)</t>
        </is>
      </c>
    </row>
    <row r="7" ht="36" customHeight="1">
      <c r="A7" s="22" t="inlineStr">
        <is>
          <t>Alcance</t>
        </is>
      </c>
      <c r="B7" s="23" t="inlineStr">
        <is>
          <t>Todos los responsables con operaciones en el departamento I+D</t>
        </is>
      </c>
    </row>
    <row r="8" ht="36" customHeight="1">
      <c r="A8" s="22" t="inlineStr">
        <is>
          <t>Insumos</t>
        </is>
      </c>
      <c r="B8" s="23" t="inlineStr">
        <is>
          <t>Fecha_Inicio, Fecha_Finalizacion, Prioridad, Responsable, Estado (desde KPIS I+D.xlsx)</t>
        </is>
      </c>
    </row>
    <row r="9" ht="36" customHeight="1">
      <c r="A9" s="22" t="inlineStr">
        <is>
          <t>Fórmula IOI</t>
        </is>
      </c>
      <c r="B9" s="23" t="inlineStr">
        <is>
          <t>IOI = 70% × Cumplimiento_Ponderado + 30% × Eficiencia_Ciclo_Ponderada</t>
        </is>
      </c>
    </row>
    <row r="10" ht="36" customHeight="1">
      <c r="A10" s="22" t="inlineStr">
        <is>
          <t>Cumplimiento_Ponderado</t>
        </is>
      </c>
      <c r="B10" s="23" t="inlineStr">
        <is>
          <t>Σ(Peso_prioridad × A_Tiempo) / Σ(Peso_prioridad) sobre ops evaluadas en la quincena</t>
        </is>
      </c>
    </row>
    <row r="11" ht="36" customHeight="1">
      <c r="A11" s="22" t="inlineStr">
        <is>
          <t>A_Tiempo</t>
        </is>
      </c>
      <c r="B11" s="23" t="inlineStr">
        <is>
          <t>1 si Estado=Completada y (Fecha_Finalizacion − Fecha_Inicio + 1) ≤ Meta_días(prioridad); si no, 0</t>
        </is>
      </c>
    </row>
    <row r="12" ht="36" customHeight="1">
      <c r="A12" s="22" t="inlineStr">
        <is>
          <t>Eficiencia_Ciclo_Ponderada</t>
        </is>
      </c>
      <c r="B12" s="23" t="inlineStr">
        <is>
          <t>Σ(Peso × min(1, Meta_días / Días_ciclo)) / Σ(Peso)</t>
        </is>
      </c>
    </row>
    <row r="13" ht="36" customHeight="1">
      <c r="A13" s="22" t="inlineStr">
        <is>
          <t>Pesos de prioridad (default)</t>
        </is>
      </c>
      <c r="B13" s="23" t="inlineStr">
        <is>
          <t>Alta=3, Media=2, Baja=1 — refleja que un atraso en Alta impacta más la operatividad</t>
        </is>
      </c>
    </row>
    <row r="14" ht="36" customHeight="1">
      <c r="A14" s="22" t="inlineStr">
        <is>
          <t>Metas de ciclo (default)</t>
        </is>
      </c>
      <c r="B14" s="23" t="inlineStr">
        <is>
          <t>Alta=5 días, Media=9 días, Baja=14 días — ajustables en 2_Parametros</t>
        </is>
      </c>
    </row>
    <row r="15" ht="36" customHeight="1">
      <c r="A15" s="22" t="inlineStr">
        <is>
          <t>Ops evaluadas en la quincena</t>
        </is>
      </c>
      <c r="B15" s="23" t="inlineStr">
        <is>
          <t>Cierres con Fecha_Finalizacion en la quincena + (opcional) abiertas atrasadas activas en la quincena</t>
        </is>
      </c>
    </row>
    <row r="16" ht="36" customHeight="1">
      <c r="A16" s="22" t="inlineStr">
        <is>
          <t>Por qué este diseño</t>
        </is>
      </c>
      <c r="B16" s="23" t="inlineStr">
        <is>
          <t>Combina puntualidad y velocidad real, ponderadas por criticidad; evita premiar solo volumen sin calidad de cierre</t>
        </is>
      </c>
    </row>
    <row r="17" ht="36" customHeight="1">
      <c r="A17" s="22" t="inlineStr">
        <is>
          <t>Actualización de datos</t>
        </is>
      </c>
      <c r="B17" s="23" t="inlineStr">
        <is>
          <t>Renovar filas en 1_Datos; los KPI se recalculan por fórmulas. No hardcodear resultados.</t>
        </is>
      </c>
    </row>
    <row r="18" ht="36" customHeight="1">
      <c r="A18" s="22" t="inlineStr">
        <is>
          <t>Uso gerencial</t>
        </is>
      </c>
      <c r="B18" s="23" t="inlineStr">
        <is>
          <t>Comparar IOI entre responsables cada quincena; intervenir primero en Critico y en Alta prioridad atrasada</t>
        </is>
      </c>
    </row>
    <row r="19" ht="36" customHeight="1">
      <c r="A19" s="22" t="inlineStr">
        <is>
          <t>Limitación / nota</t>
        </is>
      </c>
      <c r="B19" s="23" t="inlineStr">
        <is>
          <t>Si KPIS I+D.xlsx trae columnas con otros nombres, mapear al encabezado de 1_Datos. Los datos demo son ilustrativos.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7" customWidth="1" min="3" max="3"/>
    <col width="14" customWidth="1" min="4" max="4"/>
    <col width="24" customWidth="1" min="5" max="5"/>
    <col width="28" customWidth="1" min="6" max="6"/>
    <col width="20" customWidth="1" min="7" max="7"/>
    <col width="12" customWidth="1" min="8" max="8"/>
  </cols>
  <sheetData>
    <row r="1">
      <c r="A1" s="1" t="inlineStr">
        <is>
          <t>Snapshot calculado (datos demo / última generación del script)</t>
        </is>
      </c>
    </row>
    <row r="2" ht="36" customHeight="1">
      <c r="A2" s="24" t="inlineStr">
        <is>
          <t>Esta hoja muestra valores ya calculados en Python. Para operación diaria use 4_KPI_Responsables (fórmulas Excel). Al renovar 1_Datos, vuelva a ejecutar el script o confíe en las fórmulas.</t>
        </is>
      </c>
    </row>
    <row r="3">
      <c r="A3" s="13" t="inlineStr">
        <is>
          <t>Periodo snapshot: Q1 08/2026 (2026-08-01 a 2026-08-15)</t>
        </is>
      </c>
    </row>
    <row r="4">
      <c r="A4" s="5" t="inlineStr">
        <is>
          <t>Responsable</t>
        </is>
      </c>
      <c r="B4" s="5" t="inlineStr">
        <is>
          <t>Ops_Evaluadas</t>
        </is>
      </c>
      <c r="C4" s="5" t="inlineStr">
        <is>
          <t>Ops_Completadas</t>
        </is>
      </c>
      <c r="D4" s="5" t="inlineStr">
        <is>
          <t>Ops_A_Tiempo</t>
        </is>
      </c>
      <c r="E4" s="5" t="inlineStr">
        <is>
          <t>Cumplimiento_Ponderado</t>
        </is>
      </c>
      <c r="F4" s="5" t="inlineStr">
        <is>
          <t>Eficiencia_Ciclo_Ponderada</t>
        </is>
      </c>
      <c r="G4" s="5" t="inlineStr">
        <is>
          <t>IOI</t>
        </is>
      </c>
      <c r="H4" s="5" t="inlineStr">
        <is>
          <t>Semaforo</t>
        </is>
      </c>
    </row>
    <row r="5">
      <c r="A5" s="6" t="inlineStr">
        <is>
          <t>Ana Pérez</t>
        </is>
      </c>
      <c r="B5" s="6" t="n">
        <v>3</v>
      </c>
      <c r="C5" s="6" t="n">
        <v>3</v>
      </c>
      <c r="D5" s="6" t="n">
        <v>2</v>
      </c>
      <c r="E5" s="15" t="n">
        <v>0.8333333333333334</v>
      </c>
      <c r="F5" s="15" t="n">
        <v>0.9791666666666666</v>
      </c>
      <c r="G5" s="15" t="n">
        <v>0.8770833333333333</v>
      </c>
      <c r="H5" s="25" t="inlineStr">
        <is>
          <t>Cumple</t>
        </is>
      </c>
    </row>
    <row r="6">
      <c r="A6" s="6" t="inlineStr">
        <is>
          <t>Carlos Díaz</t>
        </is>
      </c>
      <c r="B6" s="6" t="n">
        <v>1</v>
      </c>
      <c r="C6" s="6" t="n">
        <v>0</v>
      </c>
      <c r="D6" s="6" t="n">
        <v>0</v>
      </c>
      <c r="E6" s="15" t="n">
        <v>0</v>
      </c>
      <c r="F6" s="15" t="n">
        <v>0.9</v>
      </c>
      <c r="G6" s="15" t="n">
        <v>0.27</v>
      </c>
      <c r="H6" s="26" t="inlineStr">
        <is>
          <t>Critico</t>
        </is>
      </c>
    </row>
    <row r="7">
      <c r="A7" s="6" t="inlineStr">
        <is>
          <t>Luis Gómez</t>
        </is>
      </c>
      <c r="B7" s="6" t="n">
        <v>4</v>
      </c>
      <c r="C7" s="6" t="n">
        <v>4</v>
      </c>
      <c r="D7" s="6" t="n">
        <v>3</v>
      </c>
      <c r="E7" s="15" t="n">
        <v>0.6666666666666666</v>
      </c>
      <c r="F7" s="15" t="n">
        <v>0.8333333333333334</v>
      </c>
      <c r="G7" s="15" t="n">
        <v>0.7166666666666666</v>
      </c>
      <c r="H7" s="27" t="inlineStr">
        <is>
          <t>Riesgo</t>
        </is>
      </c>
    </row>
    <row r="8">
      <c r="A8" s="6" t="inlineStr">
        <is>
          <t>María Ruiz</t>
        </is>
      </c>
      <c r="B8" s="6" t="n">
        <v>1</v>
      </c>
      <c r="C8" s="6" t="n">
        <v>0</v>
      </c>
      <c r="D8" s="6" t="n">
        <v>0</v>
      </c>
      <c r="E8" s="15" t="n">
        <v>0</v>
      </c>
      <c r="F8" s="15" t="n">
        <v>0.4166666666666667</v>
      </c>
      <c r="G8" s="15" t="n">
        <v>0.125</v>
      </c>
      <c r="H8" s="26" t="inlineStr">
        <is>
          <t>Critico</t>
        </is>
      </c>
    </row>
    <row r="9">
      <c r="A9" s="6" t="inlineStr">
        <is>
          <t>Sofía Vargas</t>
        </is>
      </c>
      <c r="B9" s="6" t="n">
        <v>4</v>
      </c>
      <c r="C9" s="6" t="n">
        <v>4</v>
      </c>
      <c r="D9" s="6" t="n">
        <v>3</v>
      </c>
      <c r="E9" s="15" t="n">
        <v>0.875</v>
      </c>
      <c r="F9" s="15" t="n">
        <v>0.984375</v>
      </c>
      <c r="G9" s="15" t="n">
        <v>0.9078124999999999</v>
      </c>
      <c r="H9" s="25" t="inlineStr">
        <is>
          <t>Cumple</t>
        </is>
      </c>
    </row>
    <row r="10">
      <c r="A10" s="20" t="inlineStr">
        <is>
          <t>TOTAL I+D</t>
        </is>
      </c>
      <c r="B10" s="20" t="n">
        <v>13</v>
      </c>
      <c r="C10" s="20" t="n">
        <v>11</v>
      </c>
      <c r="D10" s="20" t="n">
        <v>8</v>
      </c>
      <c r="E10" s="21" t="n">
        <v>0.6428571428571429</v>
      </c>
      <c r="F10" s="21" t="n">
        <v>0.8678571428571429</v>
      </c>
      <c r="G10" s="21" t="n">
        <v>0.7103571428571429</v>
      </c>
      <c r="H10" s="20" t="inlineStr">
        <is>
          <t>Riesgo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2026-08-13T16:49:25Z</dcterms:created>
  <dcterms:modified xsi:type="dcterms:W3CDTF">2026-08-13T16:49:25Z</dcterms:modified>
</cp:coreProperties>
</file>