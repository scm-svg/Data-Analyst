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EJECUTIVO" sheetId="1" r:id="rId1"/>
    <sheet name="METODOLOGIA" sheetId="2" r:id="rId2"/>
    <sheet name="PARAMETROS" sheetId="3" r:id="rId3"/>
    <sheet name="KPI ATENCION" sheetId="4" r:id="rId4"/>
    <sheet name="TALLER" sheetId="5" r:id="rId5"/>
    <sheet name="TIENDAS" sheetId="6" r:id="rId6"/>
    <sheet name="UNIFICADO" sheetId="7" r:id="rId7"/>
    <sheet name="DISTRIBUCION TIENDAS" sheetId="8" r:id="rId8"/>
    <sheet name="DISTRIBUCION TALLER" sheetId="9" r:id="rId9"/>
    <sheet name="TENDENCIA SEMANAL" sheetId="10" r:id="rId10"/>
    <sheet name="GRAFICOS" sheetId="11" r:id="rId11"/>
    <sheet name="DATA TALLER" sheetId="12" r:id="rId12"/>
    <sheet name="DATA TIENDAS" sheetId="13" r:id="rId13"/>
    <sheet name="DATA CONSOLIDADA" sheetId="14" r:id="rId14"/>
    <sheet name="CALIDAD DE DATOS" sheetId="15" r:id="rId15"/>
  </sheets>
  <definedNames>
    <definedName name="_xlnm._FilterDatabase" localSheetId="13" hidden="1">'DATA CONSOLIDADA'!$A$4:$N$578</definedName>
    <definedName name="_xlnm._FilterDatabase" localSheetId="11" hidden="1">'DATA TALLER'!$A$4:$N$160</definedName>
    <definedName name="_xlnm._FilterDatabase" localSheetId="12" hidden="1">'DATA TIENDAS'!$A$4:$N$422</definedName>
    <definedName name="_xlnm._FilterDatabase" localSheetId="8" hidden="1">'DISTRIBUCION TALLER'!$A$4:$H$59</definedName>
    <definedName name="_xlnm._FilterDatabase" localSheetId="7" hidden="1">'DISTRIBUCION TIENDAS'!$A$4:$I$84</definedName>
    <definedName name="_xlnm._FilterDatabase" localSheetId="4" hidden="1">TALLER!$A$4:$U$59</definedName>
    <definedName name="_xlnm._FilterDatabase" localSheetId="5" hidden="1">TIENDAS!$A$4:$U$84</definedName>
    <definedName name="_xlnm._FilterDatabase" localSheetId="6" hidden="1">UNIFICADO!$A$4:$U$101</definedName>
  </definedNames>
  <calcPr calcId="124519" fullCalcOnLoad="1"/>
</workbook>
</file>

<file path=xl/sharedStrings.xml><?xml version="1.0" encoding="utf-8"?>
<sst xmlns="http://schemas.openxmlformats.org/spreadsheetml/2006/main" count="12853" uniqueCount="435">
  <si>
    <t>ANÁLISIS DE CONSUMIBLES — TALLER Y TIENDAS · HISTORIAL 2 MESES</t>
  </si>
  <si>
    <t>Período analizado: 08/06/2026 al 05/08/2026 (59 días ≈ 8.4 semanas). Objetivo: dimensionar el pedido periódico de consumibles con datos reales de consumo, establecer stock MÍNIMO y MÁXIMO por producto y comparar 3 frecuencias de compra (semanal, quincenal y mensual). Todo el análisis usa EXCLUSIVAMENTE los dos archivos de solicitudes suministrados.</t>
  </si>
  <si>
    <t>1 · FUENTES DE DATOS</t>
  </si>
  <si>
    <t>TALLER</t>
  </si>
  <si>
    <t>solicitudes_taller_2_meses.xlsx — hoja 'CRECO SOLICITUDES'</t>
  </si>
  <si>
    <t>156 solicitudes válidas (09-jun al 05-ago)</t>
  </si>
  <si>
    <t>TIENDAS</t>
  </si>
  <si>
    <t>_Solicitudes (TIENDAS) consumibles 2meses.xlsx — 7 tiendas (GRIETA, SAMBIL VALENCIA, GRAND PLAZ, CERRO VERDE, SAMBIL CHACAO, TOLON, MARGARITA)</t>
  </si>
  <si>
    <t>418 solicitudes válidas (08-jun al 04-ago)</t>
  </si>
  <si>
    <t>CATÁLOGO</t>
  </si>
  <si>
    <t>Hoja 'INVENTARIO DE CONSUMIBLES' del archivo de tiendas</t>
  </si>
  <si>
    <t>173 productos con categoría (usada para clasificar)</t>
  </si>
  <si>
    <t>2 · INDICADORES CLAVE DE ATENCIÓN</t>
  </si>
  <si>
    <t>ALCANCE</t>
  </si>
  <si>
    <t>SOLICITUDES</t>
  </si>
  <si>
    <t>ATENDIDAS</t>
  </si>
  <si>
    <t>NO DISPONIBLES</t>
  </si>
  <si>
    <t>% ATENDIDAS</t>
  </si>
  <si>
    <t>% NO DISPONIBLES</t>
  </si>
  <si>
    <t>UNDS SOLICITADAS</t>
  </si>
  <si>
    <t>UNDS ATENDIDAS</t>
  </si>
  <si>
    <t>UNDS NO CUBIERTAS</t>
  </si>
  <si>
    <t>% UNDS ATENDIDAS</t>
  </si>
  <si>
    <t>UNIFICADO</t>
  </si>
  <si>
    <t>ATENDIDA = solicitudes en estado RECIBIDO / ENTREGADO / ENVIADO + SOLICITADO (criterio indicado: 'recibido e incluye solicitado'). NO ATENDIDA = NO DISPONIBLE. Las 12 filas sin estado (SAMBIL VALENCIA 04-ago) se tratan como SOLICITADO. Detalle en la hoja KPI ATENCION.</t>
  </si>
  <si>
    <t>3 · COMPRA SUGERIDA SEGÚN FRECUENCIA (UNIFICADO, stock inicial = 0)</t>
  </si>
  <si>
    <t>OPCIÓN</t>
  </si>
  <si>
    <t>CICLO (DÍAS)</t>
  </si>
  <si>
    <t>UNDS A PEDIR (PRIMER PEDIDO)</t>
  </si>
  <si>
    <t>STOCK MÁXIMO TOTAL</t>
  </si>
  <si>
    <t>STOCK MÍNIMO TOTAL (PUNTO REORDEN)</t>
  </si>
  <si>
    <t>LECTURA</t>
  </si>
  <si>
    <t>4 · TOP 10 PRODUCTOS POR UNIDADES (UNIFICADO, 2 MESES)</t>
  </si>
  <si>
    <t>#</t>
  </si>
  <si>
    <t>PRODUCTO</t>
  </si>
  <si>
    <t>CATEGORÍA</t>
  </si>
  <si>
    <t>UNDS 2 MESES</t>
  </si>
  <si>
    <t>UNDS/SEMANA</t>
  </si>
  <si>
    <t>% ATENCIÓN</t>
  </si>
  <si>
    <t>STICKER DE REGALO</t>
  </si>
  <si>
    <t>SUMINISTROS</t>
  </si>
  <si>
    <t>BOLSAS PEQUEÑAS NAVIDAD 2024</t>
  </si>
  <si>
    <t>BOLSAS MEDIANAS NAVIDAD 2024</t>
  </si>
  <si>
    <t>BOLSAS GRANDES KRAFT</t>
  </si>
  <si>
    <t>STICKER ADHESIVO DE CIERRE</t>
  </si>
  <si>
    <t>BOLSAS EXTRA PEQUEÑA KRAFT</t>
  </si>
  <si>
    <t>BOLSA DE PAPELERA</t>
  </si>
  <si>
    <t>LIMPIEZA E HIGIENE</t>
  </si>
  <si>
    <t>BOLSAS DE BASURA</t>
  </si>
  <si>
    <t>BOLSAS PEQUEÑAS KRAFT</t>
  </si>
  <si>
    <t>BOLSA DE ENVIO MEDIANA</t>
  </si>
  <si>
    <t>5 · CONCLUSIONES Y RECOMENDACIONES</t>
  </si>
  <si>
    <t>1. En 2 meses se registraron 574 solicitudes por 16,202 unidades: 156 del taller (461 unds) y 418 de tiendas (15,741 unds). Las tiendas concentran el grueso del consumo (bolsas, stickers, limpieza).</t>
  </si>
  <si>
    <t>2. Atención global: 82.1% de las solicitudes fueron atendidas y 17.9% quedaron NO DISPONIBLES (103 solicitudes, 526 unds no cubiertas). El taller tuvo 87.8% de atención y las tiendas 79.9%.</t>
  </si>
  <si>
    <t>3. Productos que más veces quedaron NO DISPONIBLES: SERVILLETAS (13 veces), ESENCIA SPLASH PARA BOLSAS (11 veces), CINTA DOBLE FAZ (10 veces), RESMA DE HOJAS BLANCAS (6 veces), PAÑO AMARILLO (5 veces). Conviene asegurar proveedor/stock de estos ítems primero: son demanda real que hoy se pierde.</t>
  </si>
  <si>
    <t>4. La demanda NO cubierta (526 unds) NO está en las cifras de consumo atendido: los MIN/MAX de este archivo se calcularon sobre la demanda SOLICITADA (real), precisamente para corregir ese desabastecimiento.</t>
  </si>
  <si>
    <t>5. 33 de 97 productos son de demanda intermitente (≤2 solicitudes y ≤4 unds en 2 meses). Para ellos el MÁXIMO calculado es bajo: evalúe comprarlos solo bajo pedido para no inmovilizar capital.</t>
  </si>
  <si>
    <t>6. Frecuencia recomendada: la opción QUINCENAL equilibra capital de trabajo y riesgo de quiebre de stock con proveedores de ~1 semana de lead time. Si el proveedor exige pedido mensual, use la columna PEDIDO MENSUAL; si puede reaccionar semanal, la SEMANAL minimiza inventario. Compare los totales en la sección 3.</t>
  </si>
  <si>
    <t>7. Ajuste el LEAD TIME y el z de NIVEL DE SERVICIO por producto (columnas amarillas en TALLER/TIENDAS/UNIFICADO) cuando tenga el dato real del proveedor: MIN/MAX/PEDIDO se recalculan automáticamente. Los productos clase Z (intermitentes) son candidatos a compra bajo pedido.</t>
  </si>
  <si>
    <t>8. Mejora de registro: corregir el estado 'ENTRGADO' (typo), registrar el estado en TODAS las solicitudes (12 quedaron vacías el 04-ago) y agregar 'REGLETA' al catálogo de consumibles.</t>
  </si>
  <si>
    <t>6 · GUÍA DEL ARCHIVO</t>
  </si>
  <si>
    <t>METODOLOGIA</t>
  </si>
  <si>
    <t>Cómo se limpió la data, definiciones y fórmulas del modelo MIN/MAX.</t>
  </si>
  <si>
    <t>PARAMETROS</t>
  </si>
  <si>
    <t>Nivel de servicio (z), lead time por defecto y días de ciclo. Editables.</t>
  </si>
  <si>
    <t>KPI ATENCION</t>
  </si>
  <si>
    <t>% de solicitudes atendidas vs no disponibles por alcance, sucursal, mes y producto.</t>
  </si>
  <si>
    <t>TALLER / TIENDAS / UNIFICADO</t>
  </si>
  <si>
    <t>Tablas por producto con demanda, MIN/MAX y PEDIDO para las 3 frecuencias.</t>
  </si>
  <si>
    <t>DISTRIBUCION TIENDAS / TALLER</t>
  </si>
  <si>
    <t>En qué sucursal se consume cada producto (para repartir el pedido).</t>
  </si>
  <si>
    <t>TENDENCIA SEMANAL</t>
  </si>
  <si>
    <t>Evolución del consumo semana a semana.</t>
  </si>
  <si>
    <t>GRAFICOS</t>
  </si>
  <si>
    <t>Visualización de atención, top productos, tendencia y faltantes.</t>
  </si>
  <si>
    <t>DATA TALLER / TIENDAS / CONSOLIDADA</t>
  </si>
  <si>
    <t>Data limpia y clasificada usada en todos los cálculos.</t>
  </si>
  <si>
    <t>CALIDAD DE DATOS</t>
  </si>
  <si>
    <t>Filas excluidas y observaciones de limpieza.</t>
  </si>
  <si>
    <t>METODOLOGÍA, DEFINICIONES Y SUPUESTOS</t>
  </si>
  <si>
    <t>1 · ALCANCE Y FUENTES</t>
  </si>
  <si>
    <t>Se usaron EXCLUSIVAMENTE los 2 archivos suministrados. Historial completo desde cero: 08/06/2026 al 05/08/2026 (59 días). Taller: 58 días de registro (09-jun al 05-ago); tiendas: 58 días (08-jun al 04-ago).</t>
  </si>
  <si>
    <t>Cada fila = 1 solicitud de un artículo con su cantidad (unidades según lo registrado: und, paquete, galón, caja…). El análisis se concentra en UNIDADES, tal como se pidió.</t>
  </si>
  <si>
    <t>2 · LIMPIEZA DE DATOS</t>
  </si>
  <si>
    <t>• Se eliminaron 4 filas basura (3 vacías con '.' en TOLON y 1 sin datos en TALLER). Detalle en CALIDAD DE DATOS.</t>
  </si>
  <si>
    <t>• 'ENTRGADO' (error de tipeo) se normalizó a 'ENTREGADO' (136 filas del taller).</t>
  </si>
  <si>
    <t>• 12 solicitudes sin estado (SAMBIL VALENCIA, 04-ago, último día del registro) se tratan como SOLICITADO.</t>
  </si>
  <si>
    <t>• 1 solicitud del taller sin artículo (Kiria Pinto, 30-jun, 3 unds ENTREGADO) cuenta para los KPIs generales pero no puede asignarse a ningún producto.</t>
  </si>
  <si>
    <t>• Cuando ARTICULO estaba vacío se usó CARACTER ADICIONAL (caso 'REGLETA').</t>
  </si>
  <si>
    <t>• No hubo cantidades negativas ni cero; todas son enteros positivos. No hubo duplicados reales.</t>
  </si>
  <si>
    <t>3 · CLASIFICACIÓN DE ATENCIÓN (KPI PEDIDO)</t>
  </si>
  <si>
    <t>ATENDIDA = RECIBIDO + ENTREGADO + ENVIADO + SOLICITADO (criterio: 'recibido e incluye solicitado').</t>
  </si>
  <si>
    <t>NO ATENDIDA = NO DISPONIBLE.</t>
  </si>
  <si>
    <t>% ATENDIDA = solicitudes atendidas / total de solicitudes. Se reporta también en base a unidades.</t>
  </si>
  <si>
    <t>4 · MODELO DE INVENTARIO (POR PRODUCTO)</t>
  </si>
  <si>
    <t>Demanda diaria D = unidades solicitadas en los 2 meses / días del período.</t>
  </si>
  <si>
    <t>Se usa la demanda SOLICITADA (no solo la atendida) porque lo NO DISPONIBLE es demanda real insatisfecha.</t>
  </si>
  <si>
    <t>Variabilidad σ SEMANAL = desviación estándar del consumo por semanas COMPLETAS del período. Se trabaja en semanas (no en días) porque las tiendas retiran en lotes; así el stock de seguridad no se infla artificialmente.</t>
  </si>
  <si>
    <t>Clase de demanda (XYZ): X = regular (CV semanal ≤ 0.5) → z = 1.65 (95% de servicio); Y = variable (CV 0.5–1) → z = 1.28 (90%); Z = intermitente (CV &gt; 1 o ≤2 solicitudes pequeñas) → z = 0.84 (80%). Así los productos parejos se protegen más y los erráticos no inflan el inventario.</t>
  </si>
  <si>
    <t>Stock de seguridad SS = z × σ semanal × √(LT/7)  →  cubre la variabilidad mientras llega el pedido.</t>
  </si>
  <si>
    <t>MÍNIMO (punto de reorden) = D × LT + SS  →  cuando el stock baje de este valor, hay que pedir.</t>
  </si>
  <si>
    <t>MÁXIMO (nivel objetivo) = D × (LT + P) + SS, donde P = días del ciclo de compra (7 semanal, 14 quincenal, 30 mensual).</t>
  </si>
  <si>
    <t>PEDIDO SUGERIDO = MÁXIMO − stock actual. Como el historial arranca desde cero, el stock actual por defecto es 0 y el primer pedido = MÁXIMO.</t>
  </si>
  <si>
    <t>Todas estas celdas son FÓRMULAS VIVAS: cambie LT y z por producto (columnas amarillas), los z por clase o los P (en PARAMETROS) y todo se recalcula.</t>
  </si>
  <si>
    <t>5 · TRES OPCIONES DE FRECUENCIA</t>
  </si>
  <si>
    <t>SEMANAL (P=7d): pedidos pequeños y frecuentes → menor inventario promedio inmovilizado, más trabajo administrativo y dependencia de que el proveedor cumpla cada semana.</t>
  </si>
  <si>
    <t>QUINCENAL (P=14d): equilibrio entre capital de trabajo y riesgo de quiebre de stock. Opción recomendada como punto de partida.</t>
  </si>
  <si>
    <t>MENSUAL (P=30d): un solo pedido grande al mes → menor costo administrativo, pero mayor inventario promedio y mayor riesgo si un proveedor falla (cubrir con el SS).</t>
  </si>
  <si>
    <t>6 · SUPUESTOS Y LIMITACIONES</t>
  </si>
  <si>
    <t>• Lead time (LT): los archivos no traen tiempos de entrega. Se parte de LT = 7 días para todos los productos y se deja EDITABLE por producto (columna amarilla) porque puede variar por ítem/proveedor.</t>
  </si>
  <si>
    <t>• 2 meses es una ventana corta: productos intermitentes (1-2 solicitudes) tienen estadística débil; sus MIN/MAX deben tomarse como referencia inicial y refinarse con más historia.</t>
  </si>
  <si>
    <t>• No hay precios ni unidades de empaque: las cantidades son unidades tal como se registraron.</t>
  </si>
  <si>
    <t>• Agosto solo tiene 4-5 días registrados (mes parcial).</t>
  </si>
  <si>
    <t>• Productos estacionales (p. ej. 'NAVIDAD 2024') pueden no repetir su demanda fuera de temporada.</t>
  </si>
  <si>
    <t>PARÁMETROS DEL MODELO (celdas amarillas editables)</t>
  </si>
  <si>
    <t>PARÁMETRO</t>
  </si>
  <si>
    <t>VALOR</t>
  </si>
  <si>
    <t>DESCRIPCIÓN</t>
  </si>
  <si>
    <t>Días del período — TALLER</t>
  </si>
  <si>
    <t>Del 09-jun-2026 al 05-ago-2026 (informativo).</t>
  </si>
  <si>
    <t>Días del período — TIENDAS</t>
  </si>
  <si>
    <t>Del 08-jun-2026 al 04-ago-2026 (informativo).</t>
  </si>
  <si>
    <t>Días del período — UNIFICADO</t>
  </si>
  <si>
    <t>Ventana completa del análisis (informativo).</t>
  </si>
  <si>
    <t>Lead time por defecto (días)</t>
  </si>
  <si>
    <t>Tiempo entre pedir y recibir. Es el valor inicial de la columna LEAD TIME de cada producto (editable allí producto por producto, porque varía por ítem/proveedor).</t>
  </si>
  <si>
    <t>P — Ciclo SEMANAL (días)</t>
  </si>
  <si>
    <t>Días entre pedidos en la opción semanal.</t>
  </si>
  <si>
    <t>P — Ciclo QUINCENAL (días)</t>
  </si>
  <si>
    <t>Días entre pedidos en la opción quincenal.</t>
  </si>
  <si>
    <t>P — Ciclo MENSUAL (días)</t>
  </si>
  <si>
    <t>Días entre pedidos en la opción mensual.</t>
  </si>
  <si>
    <t>z — Clase X (demanda regular)</t>
  </si>
  <si>
    <t>1.65 → 95% de no quedarse sin stock durante el lead time. Se aplica a productos de consumo parejo (CV semanal ≤ 0.5).</t>
  </si>
  <si>
    <t>z — Clase Y (demanda variable)</t>
  </si>
  <si>
    <t>1.28 → 90%. Productos con consumo irregular (CV semanal entre 0.5 y 1).</t>
  </si>
  <si>
    <t>z — Clase Z (demanda intermitente)</t>
  </si>
  <si>
    <t>0.84 → 80%. Productos esporádicos (CV semanal &gt; 1 o ≤2 solicitudes pequeñas). Para ellos considere compra bajo pedido.</t>
  </si>
  <si>
    <t>Estos valores alimentan las fórmulas de las hojas TALLER, TIENDAS y UNIFICADO: al modificarlos, SS / MIN / MAX / PEDIDO se recalculan automáticamente en todo el libro. El z de cada producto puede sobreescribirse individualmente en su columna amarilla.</t>
  </si>
  <si>
    <t>% DE SOLICITUDES ATENDIDAS vs NO DISPONIBLES</t>
  </si>
  <si>
    <t>ATENDIDA = RECIBIDO/ENTREGADO/ENVIADO + SOLICITADO (criterio indicado). NO ATENDIDA = NO DISPONIBLE. Se muestra por alcance, estado, sucursal, mes y producto, en base a número de solicitudes y a unidades.</t>
  </si>
  <si>
    <t>POR ALCANCE</t>
  </si>
  <si>
    <t>UNDS</t>
  </si>
  <si>
    <t>POR ESTADO (DETALLE)</t>
  </si>
  <si>
    <t>ESTADO</t>
  </si>
  <si>
    <t>TOTAL</t>
  </si>
  <si>
    <t>CLASIFICACIÓN</t>
  </si>
  <si>
    <t>RECIBIDO</t>
  </si>
  <si>
    <t>ATENDIDA</t>
  </si>
  <si>
    <t>ENTREGADO</t>
  </si>
  <si>
    <t>ENVIADO</t>
  </si>
  <si>
    <t>SOLICITADO</t>
  </si>
  <si>
    <t>SIN ESTADO</t>
  </si>
  <si>
    <t>NO DISPONIBLE</t>
  </si>
  <si>
    <t>NO ATENDIDA</t>
  </si>
  <si>
    <t>POR SUCURSAL / SUB-ÁREA</t>
  </si>
  <si>
    <t>ORIGEN</t>
  </si>
  <si>
    <t>SUCURSAL</t>
  </si>
  <si>
    <t>ALMACEN</t>
  </si>
  <si>
    <t>I+D</t>
  </si>
  <si>
    <t>MANTENIMIENTO</t>
  </si>
  <si>
    <t>OFICINAS</t>
  </si>
  <si>
    <t>RECURSOS HUMANOS</t>
  </si>
  <si>
    <t>CERRO VERDE</t>
  </si>
  <si>
    <t>GRAND PLAZ</t>
  </si>
  <si>
    <t>GRIETA</t>
  </si>
  <si>
    <t>MARGARITA</t>
  </si>
  <si>
    <t>SAMBIL CHACAO</t>
  </si>
  <si>
    <t>SAMBIL VALENCIA</t>
  </si>
  <si>
    <t>TOLON</t>
  </si>
  <si>
    <t>POR MES</t>
  </si>
  <si>
    <t>MES</t>
  </si>
  <si>
    <t>SOL. TALLER</t>
  </si>
  <si>
    <t>% AT. TALLER</t>
  </si>
  <si>
    <t>SOL. TIENDAS</t>
  </si>
  <si>
    <t>% AT. TIENDAS</t>
  </si>
  <si>
    <t>SOL. TOTAL</t>
  </si>
  <si>
    <t>% AT. TOTAL</t>
  </si>
  <si>
    <t>UNDS TOTAL</t>
  </si>
  <si>
    <t>JUNIO</t>
  </si>
  <si>
    <t>JULIO</t>
  </si>
  <si>
    <t>AGOSTO (PARCIAL)</t>
  </si>
  <si>
    <t>TOP 10 PRODUCTOS CON MÁS 'NO DISPONIBLE' (demanda perdida)</t>
  </si>
  <si>
    <t>VECES NO DISPONIBLE</t>
  </si>
  <si>
    <t>% NO CUBIERTO</t>
  </si>
  <si>
    <t>SERVILLETAS</t>
  </si>
  <si>
    <t>ESENCIA SPLASH PARA BOLSAS</t>
  </si>
  <si>
    <t>CINTA DOBLE FAZ</t>
  </si>
  <si>
    <t>RESMA DE HOJAS BLANCAS</t>
  </si>
  <si>
    <t>PAÑO AMARILLO</t>
  </si>
  <si>
    <t>AMBIENTADOR GLADE</t>
  </si>
  <si>
    <t>ESPONJA</t>
  </si>
  <si>
    <t>POST ITS</t>
  </si>
  <si>
    <t>TIRRO</t>
  </si>
  <si>
    <t>TALLER — ANÁLISIS POR PRODUCTO Y PEDIDO (3 OPCIONES)</t>
  </si>
  <si>
    <t>Una fila por producto. MIN = punto de reorden = D×LT + SS · MAX = stock objetivo = D×(LT+P) + SS (P = 7/14/30 días) · PEDIDO = MAX − stock actual. Celdas amarillas editables (z de servicio, lead time y stock actual): todo se recalcula. CLASE DEMANDA: X regular / Y variable / Z intermitente. La demanda usada es la SOLICITADA (incluye lo que quedó NO DISPONIBLE). Ámbito: solo solicitudes del TALLER (todas sus sub-áreas).</t>
  </si>
  <si>
    <t>Nº SOLICITUDES</t>
  </si>
  <si>
    <t>UNDS SOLICITADAS (2m)</t>
  </si>
  <si>
    <t>UNDS NO DISPONIBLES</t>
  </si>
  <si>
    <t>% ATENCIÓN (UNDS)</t>
  </si>
  <si>
    <t>DEMANDA DIARIA (D)</t>
  </si>
  <si>
    <t>σ SEMANAL</t>
  </si>
  <si>
    <t>CLASE DEMANDA</t>
  </si>
  <si>
    <t>z NIVEL SERVICIO ✎</t>
  </si>
  <si>
    <t>LEAD TIME (DÍAS) ✎</t>
  </si>
  <si>
    <t>STOCK SEGURIDAD (SS)</t>
  </si>
  <si>
    <t>MIN = PUNTO REORDEN</t>
  </si>
  <si>
    <t>STOCK ACTUAL ✎</t>
  </si>
  <si>
    <t>MAX SEMANAL</t>
  </si>
  <si>
    <t>PEDIDO SEMANAL</t>
  </si>
  <si>
    <t>MAX QUINCENAL</t>
  </si>
  <si>
    <t>PEDIDO QUINCENAL</t>
  </si>
  <si>
    <t>MAX MENSUAL</t>
  </si>
  <si>
    <t>PEDIDO MENSUAL</t>
  </si>
  <si>
    <t>Z · Intermitente</t>
  </si>
  <si>
    <t>LAPIZ</t>
  </si>
  <si>
    <t>OFICINA</t>
  </si>
  <si>
    <t>BOLIGRAFOS</t>
  </si>
  <si>
    <t>TAPABOCAS</t>
  </si>
  <si>
    <t>INSUMOS MEDICOS</t>
  </si>
  <si>
    <t>CINTA DE EMBALAJE</t>
  </si>
  <si>
    <t>X · Regular</t>
  </si>
  <si>
    <t>CINTA METRICA</t>
  </si>
  <si>
    <t>PIQUETAS</t>
  </si>
  <si>
    <t>BOLSA DE ENVIO GRANDE</t>
  </si>
  <si>
    <t>SOBRES MEDIA CARTA</t>
  </si>
  <si>
    <t>SOBRES DE BILLETES</t>
  </si>
  <si>
    <t>MARCADOR PERMANENTE PUNTA FINA</t>
  </si>
  <si>
    <t>Y · Variable</t>
  </si>
  <si>
    <t>TIJERAS NUEVAS</t>
  </si>
  <si>
    <t>PAPEL SANITARIO INDUSTRIAL</t>
  </si>
  <si>
    <t>REMOVEDOR VINIL</t>
  </si>
  <si>
    <t>RESALTADOR FUCSIA</t>
  </si>
  <si>
    <t>BATERIAS AAA</t>
  </si>
  <si>
    <t>ALCOHOL</t>
  </si>
  <si>
    <t>DESINFECTANTE</t>
  </si>
  <si>
    <t>CAFÉ</t>
  </si>
  <si>
    <t>RESALTADOR NARANJA</t>
  </si>
  <si>
    <t>CLORO</t>
  </si>
  <si>
    <t>CUADERNOS</t>
  </si>
  <si>
    <t>MARCADOR PERMANENTE PUNTA GRUESA</t>
  </si>
  <si>
    <t>JABON LAS LLAVES PANELA 250 G</t>
  </si>
  <si>
    <t>TIZA LIQUIDA</t>
  </si>
  <si>
    <t>CARPETAS MARRONES CARTA</t>
  </si>
  <si>
    <t>CUTTERS (EXACTO)</t>
  </si>
  <si>
    <t>RESALTADOR AMARILLO</t>
  </si>
  <si>
    <t>PINZA DEVASTADO</t>
  </si>
  <si>
    <t>JABON LAS LLAVES POLVO 900 G</t>
  </si>
  <si>
    <t>RESALTADOR AZUL</t>
  </si>
  <si>
    <t>CINTA DE REGALO FUCSIA</t>
  </si>
  <si>
    <t>BATERIAS AA</t>
  </si>
  <si>
    <t>GANCHOS PARA CARPETA</t>
  </si>
  <si>
    <t>CINTA DE REGALO AZUL REY</t>
  </si>
  <si>
    <t>MARCADOR ACRILICO</t>
  </si>
  <si>
    <t>LAVATODO</t>
  </si>
  <si>
    <t>RESALTADOR AZUL PUNTA FINA</t>
  </si>
  <si>
    <t>KIT DE OFICINA (MAUSE Y TECLADO)</t>
  </si>
  <si>
    <t>EQUIPOS DE OFICINA</t>
  </si>
  <si>
    <t>SOBRE GRANDE</t>
  </si>
  <si>
    <t>ROLLO DE IMPRESORA FISCAL PAQ 5 UNDS</t>
  </si>
  <si>
    <t>TIJERAS DE CORTE</t>
  </si>
  <si>
    <t>TIZA</t>
  </si>
  <si>
    <t>TONER SAMSUNG 111</t>
  </si>
  <si>
    <t>VENSOL</t>
  </si>
  <si>
    <t>✎ Celdas amarillas editables: LEAD TIME por producto, z de NIVEL DE SERVICIO y STOCK ACTUAL; SS, MIN, MAX y PEDIDO se recalculan solos. PEDIDO = MAX − STOCK ACTUAL (si el stock es 0, el pedido parte de cero). MIN = D×LT + SS · MAX = D×(LT+P) + SS (P = 7/14/30 días) · SS = z×σ semanal×√(LT/7). CLASE DEMANDA: X regular / Y variable / Z intermitente — define el z inicial (95%/90%/80%, configurable en PARAMETROS). Ítems Z: evaluar compra bajo pedido.</t>
  </si>
  <si>
    <t>TIENDAS — ANÁLISIS POR PRODUCTO Y PEDIDO (3 OPCIONES)</t>
  </si>
  <si>
    <t>Una fila por producto. MIN = punto de reorden = D×LT + SS · MAX = stock objetivo = D×(LT+P) + SS (P = 7/14/30 días) · PEDIDO = MAX − stock actual. Celdas amarillas editables (z de servicio, lead time y stock actual): todo se recalcula. CLASE DEMANDA: X regular / Y variable / Z intermitente. La demanda usada es la SOLICITADA (incluye lo que quedó NO DISPONIBLE). Ámbito: consolidado de las 7 tiendas.</t>
  </si>
  <si>
    <t>BOLSAS MEDIANAS KRAFT</t>
  </si>
  <si>
    <t>SOBRE MANILA TAMAÑO CARTA</t>
  </si>
  <si>
    <t>CINTA TERMICA</t>
  </si>
  <si>
    <t>ROLLO DE PUNTO DE VENTA PAQ 5 UNDS</t>
  </si>
  <si>
    <t>PAPEL SANITARIO ROLLO 400 H</t>
  </si>
  <si>
    <t>GEL DE BAÑO</t>
  </si>
  <si>
    <t>ROLLO DE PUNTO DE VENTA PAQ 10 UNDS</t>
  </si>
  <si>
    <t>MOUSE</t>
  </si>
  <si>
    <t>GASA ESTERIL MEDAID</t>
  </si>
  <si>
    <t>CINTA DE REGALO BLANCO</t>
  </si>
  <si>
    <t>COLETO 3 RAYAS</t>
  </si>
  <si>
    <t>MOUSE PAD</t>
  </si>
  <si>
    <t>GRAPAS</t>
  </si>
  <si>
    <t>PRIDE</t>
  </si>
  <si>
    <t>LIMPIA PORCELANA</t>
  </si>
  <si>
    <t>EXTENSION NARANJA</t>
  </si>
  <si>
    <t>CUCHILLA DE PLOTTER</t>
  </si>
  <si>
    <t>BORRADOR</t>
  </si>
  <si>
    <t>CINTA DE REGALO NARANJA</t>
  </si>
  <si>
    <t>LIQUI PAPER CORRECTOR</t>
  </si>
  <si>
    <t>RESMA DE HOJAS DE COLORES</t>
  </si>
  <si>
    <t>SACAPUNTAS</t>
  </si>
  <si>
    <t>ALGODON</t>
  </si>
  <si>
    <t>CURITAS ADHESIVAS</t>
  </si>
  <si>
    <t>CARPETA ACORDEÓN</t>
  </si>
  <si>
    <t>CINTA DE REGALO AZUL / DORADO</t>
  </si>
  <si>
    <t>CEPILLO DE MANO</t>
  </si>
  <si>
    <t>CINTA DE REGALO VERDE OLIVA</t>
  </si>
  <si>
    <t>CINTA DE REGALO NEGRO</t>
  </si>
  <si>
    <t>LIMPIA VIDRIOS</t>
  </si>
  <si>
    <t>REGLETA</t>
  </si>
  <si>
    <t>SIN CATEGORÍA (NO REGISTRADO)</t>
  </si>
  <si>
    <t>SACAGRAPAS</t>
  </si>
  <si>
    <t>TOALLAS HUMEDAS</t>
  </si>
  <si>
    <t>TONER 05A/80A</t>
  </si>
  <si>
    <t>UNIFICADO (TALLER + TIENDAS) — PEDIDO CONSOLIDADO POR PRODUCTO</t>
  </si>
  <si>
    <t>Una fila por producto. MIN = punto de reorden = D×LT + SS · MAX = stock objetivo = D×(LT+P) + SS (P = 7/14/30 días) · PEDIDO = MAX − stock actual. Celdas amarillas editables (z de servicio, lead time y stock actual): todo se recalcula. CLASE DEMANDA: X regular / Y variable / Z intermitente. La demanda usada es la SOLICITADA (incluye lo que quedó NO DISPONIBLE). Esta es la hoja principal para armar el pedido único de consumibles; luego repártalo con las hojas de DISTRIBUCIÓN.</t>
  </si>
  <si>
    <t>OPCIÓN SEMANAL</t>
  </si>
  <si>
    <t>Menor inventario inmovilizado; requiere proveedor ágil cada semana.</t>
  </si>
  <si>
    <t>OPCIÓN QUINCENAL</t>
  </si>
  <si>
    <t>Equilibrio recomendado entre capital y riesgo de quiebre.</t>
  </si>
  <si>
    <t>OPCIÓN MENSUAL</t>
  </si>
  <si>
    <t>Un solo pedido grande; más stock promedio, menor carga administrativa.</t>
  </si>
  <si>
    <t>DISTRIBUCIÓN DEL CONSUMO POR TIENDA (UNDS SOLICITADAS, 2 MESES)</t>
  </si>
  <si>
    <t>Cuántas unidades pidió cada tienda de cada producto. Úsela para repartir el pedido unificado entre las tiendas según su consumo real. La última columna es el total por producto.</t>
  </si>
  <si>
    <t>DISTRIBUCIÓN DEL CONSUMO POR SUB-ÁREA DEL TALLER (UNDS, 2 MESES)</t>
  </si>
  <si>
    <t>Cuántas unidades pidió cada sub-área (TALLER, I+D, ALMACEN, MANTENIMIENTO, RRHH, OFICINAS) de cada producto, para repartir el pedido del taller.</t>
  </si>
  <si>
    <t>TENDENCIA SEMANAL DE SOLICITUDES Y UNIDADES</t>
  </si>
  <si>
    <t>Consumo semana a semana (semanas inician en lunes). Sirve para verificar que la demanda es estable y que los promedios usados en el modelo son representativos.</t>
  </si>
  <si>
    <t>SEMANA (LUNES)</t>
  </si>
  <si>
    <t>UNDS TALLER</t>
  </si>
  <si>
    <t>UNDS TIENDAS</t>
  </si>
  <si>
    <t>Sem. 08/06</t>
  </si>
  <si>
    <t>Sem. 15/06</t>
  </si>
  <si>
    <t>Sem. 22/06</t>
  </si>
  <si>
    <t>Sem. 29/06</t>
  </si>
  <si>
    <t>Sem. 06/07</t>
  </si>
  <si>
    <t>Sem. 13/07</t>
  </si>
  <si>
    <t>Sem. 20/07</t>
  </si>
  <si>
    <t>Sem. 27/07</t>
  </si>
  <si>
    <t>Sem. 03/08</t>
  </si>
  <si>
    <t>GRÁFICOS DEL ANÁLISIS</t>
  </si>
  <si>
    <t>Datos gráfico 1: % atención por alcance</t>
  </si>
  <si>
    <t>Datos gráfico 2: top 10 unds (unificado)</t>
  </si>
  <si>
    <t>Datos gráfico 4: top 10 NO DISPONIBLE (unds perdidas)</t>
  </si>
  <si>
    <t>DATA TALLER</t>
  </si>
  <si>
    <t>Data limpia y clasificada usada en todos los cálculos. ATENCIÓN = ATENDIDA (recibido/entregado/enviado/solicitado) o NO DISPONIBLE.</t>
  </si>
  <si>
    <t>FECHA</t>
  </si>
  <si>
    <t>SEMANA</t>
  </si>
  <si>
    <t>NOMBRE</t>
  </si>
  <si>
    <t>ARTICULO</t>
  </si>
  <si>
    <t>CARACTER ADICIONAL</t>
  </si>
  <si>
    <t>CATEGORIA</t>
  </si>
  <si>
    <t>CANTIDAD</t>
  </si>
  <si>
    <t>ESTADO ORIGINAL</t>
  </si>
  <si>
    <t>ATENCIÓN</t>
  </si>
  <si>
    <t>NOTA LIMPIEZA</t>
  </si>
  <si>
    <t>Hector Zambrano</t>
  </si>
  <si>
    <t>ENTRGADO</t>
  </si>
  <si>
    <t>Carolina Arteaga</t>
  </si>
  <si>
    <t>Brayan Machado</t>
  </si>
  <si>
    <t>Gabriel Chirinos</t>
  </si>
  <si>
    <t>Luciana Rodriguez</t>
  </si>
  <si>
    <t>Clodualdo Morales</t>
  </si>
  <si>
    <t>Zelideth Nuñes</t>
  </si>
  <si>
    <t>Dariana Aguiar</t>
  </si>
  <si>
    <t>Hunnmary Uzcategui</t>
  </si>
  <si>
    <t>Anllie Rodriguez</t>
  </si>
  <si>
    <t>Yoselin Rojas</t>
  </si>
  <si>
    <t>Eenger Muños</t>
  </si>
  <si>
    <t>Carlos Mata</t>
  </si>
  <si>
    <t>Valeria Palacios</t>
  </si>
  <si>
    <t>Vanessa Garcia</t>
  </si>
  <si>
    <t>Kiria Pinto</t>
  </si>
  <si>
    <t>(SIN ARTÍCULO)</t>
  </si>
  <si>
    <t>Sin artículo: solo cuenta para KPIs generales</t>
  </si>
  <si>
    <t>Paola Duran</t>
  </si>
  <si>
    <t>Sundely Partida</t>
  </si>
  <si>
    <t>AllieRodriguez</t>
  </si>
  <si>
    <t>Angel de Benedectis</t>
  </si>
  <si>
    <t>Maria Leon</t>
  </si>
  <si>
    <t>Yusmary Torrealba</t>
  </si>
  <si>
    <t>Jose Angel Martínez</t>
  </si>
  <si>
    <t>Maria Valentina Daniell</t>
  </si>
  <si>
    <t>Gabriela Nieto</t>
  </si>
  <si>
    <t>Gabriela nieto</t>
  </si>
  <si>
    <t>Zelideth Nuñez</t>
  </si>
  <si>
    <t>Marbely Dominguez</t>
  </si>
  <si>
    <t>Elvis Parra</t>
  </si>
  <si>
    <t>Maira Merchan</t>
  </si>
  <si>
    <t>Valeria Palacio</t>
  </si>
  <si>
    <t>VANESA GARCIA</t>
  </si>
  <si>
    <t>ENGER MUÑOZ</t>
  </si>
  <si>
    <t>Adriana la Rosa</t>
  </si>
  <si>
    <t>AGOSTO</t>
  </si>
  <si>
    <t>ROSMARILYN PINTO</t>
  </si>
  <si>
    <t>DATA TIENDAS</t>
  </si>
  <si>
    <t>PEBBLES VALLENILLA</t>
  </si>
  <si>
    <t>1 GALON 3.75L</t>
  </si>
  <si>
    <t>CAJA</t>
  </si>
  <si>
    <t>2L</t>
  </si>
  <si>
    <t>2 L</t>
  </si>
  <si>
    <t>GALON 3.75L</t>
  </si>
  <si>
    <t>PAQUETE</t>
  </si>
  <si>
    <t>3.75ML</t>
  </si>
  <si>
    <t>3.75 ML</t>
  </si>
  <si>
    <t>1 CAJA</t>
  </si>
  <si>
    <t>LIDER TIENDA CCS</t>
  </si>
  <si>
    <t>Artículo tomado de CARACTER ADICIONAL</t>
  </si>
  <si>
    <t>ALBANY HERRERA</t>
  </si>
  <si>
    <t>DOUGLAS ESCOBAR</t>
  </si>
  <si>
    <t>MGT</t>
  </si>
  <si>
    <t>ISOPROPILICO PARA RECUPERAR LAS PRENDAS MANCHADAS</t>
  </si>
  <si>
    <t>45 LITROS</t>
  </si>
  <si>
    <t>PAQUETES DE 500GR</t>
  </si>
  <si>
    <t>PARA CAMEO 5 PLUS</t>
  </si>
  <si>
    <t>2 GALONES</t>
  </si>
  <si>
    <t>JABON PARA LOSA 1 GALON</t>
  </si>
  <si>
    <t>PAQUETE PEQUEÑO</t>
  </si>
  <si>
    <t>PLUMERO</t>
  </si>
  <si>
    <t>PARA TODO EL MES</t>
  </si>
  <si>
    <t>PAOLA ALVARADO</t>
  </si>
  <si>
    <t>DATA CONSOLIDADA</t>
  </si>
  <si>
    <t>CALIDAD DE DATOS — FILAS EXCLUIDAS Y OBSERVACIONES</t>
  </si>
  <si>
    <t>Transparencia total sobre la limpieza: qué filas se excluyeron del análisis y por qué, y qué correcciones/normalizaciones se aplicaron.</t>
  </si>
  <si>
    <t>FILAS EXCLUIDAS DEL ANÁLISIS (4)</t>
  </si>
  <si>
    <t>REFERENCIA</t>
  </si>
  <si>
    <t>HOJA</t>
  </si>
  <si>
    <t>CAR. ADICIONAL</t>
  </si>
  <si>
    <t>MOTIVO DE EXCLUSIÓN</t>
  </si>
  <si>
    <t>TALLER / hoja 'CRECO SOLICITUDES' / fila 159</t>
  </si>
  <si>
    <t>CRECO SOLICITUDES</t>
  </si>
  <si>
    <t>2026-08-05 00:00:00</t>
  </si>
  <si>
    <t>Fila incompleta: sin CANTIDAD ni artículo (solo fecha y nombre)</t>
  </si>
  <si>
    <t>TIENDAS / hoja 'TOLON' / fila 112</t>
  </si>
  <si>
    <t>.</t>
  </si>
  <si>
    <t>Fila vacía / basura (solo contiene '.' o nombre)</t>
  </si>
  <si>
    <t>TIENDAS / hoja 'TOLON' / fila 113</t>
  </si>
  <si>
    <t>TIENDAS / hoja 'TOLON' / fila 114</t>
  </si>
  <si>
    <t>OBSERVACIONES DE LIMPIEZA Y NORMALIZACIÓN</t>
  </si>
  <si>
    <t>• 'ENTRGADO' (typo del origen) normalizado a 'ENTREGADO': 136 filas.</t>
  </si>
  <si>
    <t>• Filas sin ESTADO registrado: 12 (SAMBIL VALENCIA, 04-ago-2026). Se tratan como SOLICITADO para el % de atención y la demanda.</t>
  </si>
  <si>
    <t>• Artículo 'REGLETA' no existe en el catálogo de consumibles: fue solicitado vía CARACTER ADICIONAL. Categoría asignada: SIN CATEGORÍA (NO REGISTRADO).</t>
  </si>
  <si>
    <t>• Las cantidades se mantienen en la unidad registrada en cada solicitud (und, paquete, galón, caja… según CARACTER ADICIONAL).</t>
  </si>
  <si>
    <t>• No se encontraron duplicados reales: las repeticiones del mismo día/artículo corresponden a sucursales distintas.</t>
  </si>
  <si>
    <t>FILAS VÁLIDAS USADAS EN EL ANÁLISIS</t>
  </si>
  <si>
    <t>SOLICITUDES VÁLIDAS</t>
  </si>
  <si>
    <t>UNIDADES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</si>
</sst>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%"/>
    <numFmt numFmtId="166" formatCode="0.00"/>
    <numFmt numFmtId="167" formatCode="dd/mm/yyyy"/>
  </numFmts>
  <fonts count="10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404040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1F4E78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F2F7F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0" borderId="1" xfId="0" applyFont="1" applyBorder="1"/>
    <xf numFmtId="0" fontId="4" fillId="3" borderId="2" xfId="0" applyFont="1" applyFill="1" applyBorder="1"/>
    <xf numFmtId="0" fontId="0" fillId="0" borderId="2" xfId="0" applyBorder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164" fontId="4" fillId="3" borderId="2" xfId="0" applyNumberFormat="1" applyFont="1" applyFill="1" applyBorder="1" applyAlignment="1">
      <alignment horizontal="center"/>
    </xf>
    <xf numFmtId="0" fontId="0" fillId="0" borderId="2" xfId="0" applyBorder="1" applyAlignment="1">
      <alignment vertical="top" wrapText="1"/>
    </xf>
    <xf numFmtId="166" fontId="0" fillId="0" borderId="2" xfId="0" applyNumberFormat="1" applyBorder="1" applyAlignment="1">
      <alignment horizontal="center" vertical="center"/>
    </xf>
    <xf numFmtId="1" fontId="0" fillId="6" borderId="2" xfId="0" applyNumberFormat="1" applyFill="1" applyBorder="1" applyAlignment="1">
      <alignment horizontal="center" vertical="center"/>
    </xf>
    <xf numFmtId="166" fontId="0" fillId="6" borderId="2" xfId="0" applyNumberForma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0" fillId="9" borderId="2" xfId="0" applyFill="1" applyBorder="1" applyAlignment="1">
      <alignment vertical="center"/>
    </xf>
    <xf numFmtId="164" fontId="0" fillId="9" borderId="2" xfId="0" applyNumberFormat="1" applyFill="1" applyBorder="1" applyAlignment="1">
      <alignment horizontal="center"/>
    </xf>
    <xf numFmtId="165" fontId="0" fillId="9" borderId="2" xfId="0" applyNumberFormat="1" applyFill="1" applyBorder="1" applyAlignment="1">
      <alignment horizontal="center"/>
    </xf>
    <xf numFmtId="166" fontId="0" fillId="9" borderId="2" xfId="0" applyNumberFormat="1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center"/>
    </xf>
    <xf numFmtId="166" fontId="4" fillId="3" borderId="2" xfId="0" applyNumberFormat="1" applyFont="1" applyFill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9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solicitudes atendidas vs no disponibles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% ATENDIDAS</c:v>
          </c:tx>
          <c:spPr>
            <a:solidFill>
              <a:srgbClr val="70AD47"/>
            </a:solidFill>
          </c:spPr>
          <c:cat>
            <c:strRef>
              <c:f>GRAFICOS!$A$43:$A$45</c:f>
              <c:strCache>
                <c:ptCount val="3"/>
                <c:pt idx="0">
                  <c:v>TALLER</c:v>
                </c:pt>
                <c:pt idx="1">
                  <c:v>TIENDAS</c:v>
                </c:pt>
                <c:pt idx="2">
                  <c:v>UNIFICADO</c:v>
                </c:pt>
              </c:strCache>
            </c:strRef>
          </c:cat>
          <c:val>
            <c:numRef>
              <c:f>GRAFICOS!$B$43:$B$45</c:f>
              <c:numCache>
                <c:formatCode>General</c:formatCode>
                <c:ptCount val="3"/>
                <c:pt idx="0">
                  <c:v>0.8782051282051282</c:v>
                </c:pt>
                <c:pt idx="1">
                  <c:v>0.7990430622009569</c:v>
                </c:pt>
                <c:pt idx="2">
                  <c:v>0.8205574912891986</c:v>
                </c:pt>
              </c:numCache>
            </c:numRef>
          </c:val>
        </c:ser>
        <c:ser>
          <c:idx val="1"/>
          <c:order val="1"/>
          <c:tx>
            <c:v>% NO DISPONIBLES</c:v>
          </c:tx>
          <c:spPr>
            <a:solidFill>
              <a:srgbClr val="C00000"/>
            </a:solidFill>
          </c:spPr>
          <c:cat>
            <c:strRef>
              <c:f>GRAFICOS!$A$43:$A$45</c:f>
              <c:strCache>
                <c:ptCount val="3"/>
                <c:pt idx="0">
                  <c:v>TALLER</c:v>
                </c:pt>
                <c:pt idx="1">
                  <c:v>TIENDAS</c:v>
                </c:pt>
                <c:pt idx="2">
                  <c:v>UNIFICADO</c:v>
                </c:pt>
              </c:strCache>
            </c:strRef>
          </c:cat>
          <c:val>
            <c:numRef>
              <c:f>GRAFICOS!$C$43:$C$45</c:f>
              <c:numCache>
                <c:formatCode>General</c:formatCode>
                <c:ptCount val="3"/>
                <c:pt idx="0">
                  <c:v>0.1217948717948718</c:v>
                </c:pt>
                <c:pt idx="1">
                  <c:v>0.2009569377990431</c:v>
                </c:pt>
                <c:pt idx="2">
                  <c:v>0.1794425087108014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productos por unidades (unificado)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UNDS (2 meses)</c:v>
          </c:tx>
          <c:spPr>
            <a:solidFill>
              <a:srgbClr val="2E75B6"/>
            </a:solidFill>
          </c:spPr>
          <c:cat>
            <c:strRef>
              <c:f>GRAFICOS!$E$43:$E$52</c:f>
              <c:strCache>
                <c:ptCount val="10"/>
                <c:pt idx="0">
                  <c:v>STICKER DE REGALO</c:v>
                </c:pt>
                <c:pt idx="1">
                  <c:v>BOLSAS PEQUEÑAS NAVIDAD 2024</c:v>
                </c:pt>
                <c:pt idx="2">
                  <c:v>BOLSAS MEDIANAS NAVIDAD 2024</c:v>
                </c:pt>
                <c:pt idx="3">
                  <c:v>BOLSAS GRANDES KRAFT</c:v>
                </c:pt>
                <c:pt idx="4">
                  <c:v>STICKER ADHESIVO DE CIERRE</c:v>
                </c:pt>
                <c:pt idx="5">
                  <c:v>BOLSAS EXTRA PEQUEÑA KRAFT</c:v>
                </c:pt>
                <c:pt idx="6">
                  <c:v>BOLSA DE PAPELERA</c:v>
                </c:pt>
                <c:pt idx="7">
                  <c:v>BOLSAS DE BASURA</c:v>
                </c:pt>
                <c:pt idx="8">
                  <c:v>BOLSAS PEQUEÑAS KRAFT</c:v>
                </c:pt>
                <c:pt idx="9">
                  <c:v>BOLSA DE ENVIO MEDIANA</c:v>
                </c:pt>
              </c:strCache>
            </c:strRef>
          </c:cat>
          <c:val>
            <c:numRef>
              <c:f>GRAFICOS!$F$43:$F$52</c:f>
              <c:numCache>
                <c:formatCode>General</c:formatCode>
                <c:ptCount val="10"/>
                <c:pt idx="0">
                  <c:v>5200</c:v>
                </c:pt>
                <c:pt idx="1">
                  <c:v>2770</c:v>
                </c:pt>
                <c:pt idx="2">
                  <c:v>2460</c:v>
                </c:pt>
                <c:pt idx="3">
                  <c:v>1210</c:v>
                </c:pt>
                <c:pt idx="4">
                  <c:v>800</c:v>
                </c:pt>
                <c:pt idx="5">
                  <c:v>550</c:v>
                </c:pt>
                <c:pt idx="6">
                  <c:v>530</c:v>
                </c:pt>
                <c:pt idx="7">
                  <c:v>438</c:v>
                </c:pt>
                <c:pt idx="8">
                  <c:v>400</c:v>
                </c:pt>
                <c:pt idx="9">
                  <c:v>301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Tendencia semanal de unidades solicitadas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UNDS TALLER</c:v>
          </c:tx>
          <c:spPr>
            <a:ln w="28575">
              <a:solidFill>
                <a:srgbClr val="2E75B6"/>
              </a:solidFill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cat>
            <c:strRef>
              <c:f>'TENDENCIA SEMANAL'!$A$5:$A$13</c:f>
              <c:strCache>
                <c:ptCount val="9"/>
                <c:pt idx="0">
                  <c:v>Sem. 08/06</c:v>
                </c:pt>
                <c:pt idx="1">
                  <c:v>Sem. 15/06</c:v>
                </c:pt>
                <c:pt idx="2">
                  <c:v>Sem. 22/06</c:v>
                </c:pt>
                <c:pt idx="3">
                  <c:v>Sem. 29/06</c:v>
                </c:pt>
                <c:pt idx="4">
                  <c:v>Sem. 06/07</c:v>
                </c:pt>
                <c:pt idx="5">
                  <c:v>Sem. 13/07</c:v>
                </c:pt>
                <c:pt idx="6">
                  <c:v>Sem. 20/07</c:v>
                </c:pt>
                <c:pt idx="7">
                  <c:v>Sem. 27/07</c:v>
                </c:pt>
                <c:pt idx="8">
                  <c:v>Sem. 03/08</c:v>
                </c:pt>
              </c:strCache>
            </c:strRef>
          </c:cat>
          <c:val>
            <c:numRef>
              <c:f>'TENDENCIA SEMANAL'!$C$5:$C$13</c:f>
              <c:numCache>
                <c:formatCode>General</c:formatCode>
                <c:ptCount val="9"/>
                <c:pt idx="0">
                  <c:v>126</c:v>
                </c:pt>
                <c:pt idx="1">
                  <c:v>54</c:v>
                </c:pt>
                <c:pt idx="2">
                  <c:v>26</c:v>
                </c:pt>
                <c:pt idx="3">
                  <c:v>32</c:v>
                </c:pt>
                <c:pt idx="4">
                  <c:v>72</c:v>
                </c:pt>
                <c:pt idx="5">
                  <c:v>100</c:v>
                </c:pt>
                <c:pt idx="6">
                  <c:v>24</c:v>
                </c:pt>
                <c:pt idx="7">
                  <c:v>10</c:v>
                </c:pt>
                <c:pt idx="8">
                  <c:v>17</c:v>
                </c:pt>
              </c:numCache>
            </c:numRef>
          </c:val>
        </c:ser>
        <c:ser>
          <c:idx val="1"/>
          <c:order val="1"/>
          <c:tx>
            <c:v>UNDS TIENDAS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cat>
            <c:strRef>
              <c:f>'TENDENCIA SEMANAL'!$A$5:$A$13</c:f>
              <c:strCache>
                <c:ptCount val="9"/>
                <c:pt idx="0">
                  <c:v>Sem. 08/06</c:v>
                </c:pt>
                <c:pt idx="1">
                  <c:v>Sem. 15/06</c:v>
                </c:pt>
                <c:pt idx="2">
                  <c:v>Sem. 22/06</c:v>
                </c:pt>
                <c:pt idx="3">
                  <c:v>Sem. 29/06</c:v>
                </c:pt>
                <c:pt idx="4">
                  <c:v>Sem. 06/07</c:v>
                </c:pt>
                <c:pt idx="5">
                  <c:v>Sem. 13/07</c:v>
                </c:pt>
                <c:pt idx="6">
                  <c:v>Sem. 20/07</c:v>
                </c:pt>
                <c:pt idx="7">
                  <c:v>Sem. 27/07</c:v>
                </c:pt>
                <c:pt idx="8">
                  <c:v>Sem. 03/08</c:v>
                </c:pt>
              </c:strCache>
            </c:strRef>
          </c:cat>
          <c:val>
            <c:numRef>
              <c:f>'TENDENCIA SEMANAL'!$E$5:$E$13</c:f>
              <c:numCache>
                <c:formatCode>General</c:formatCode>
                <c:ptCount val="9"/>
                <c:pt idx="0">
                  <c:v>2226</c:v>
                </c:pt>
                <c:pt idx="1">
                  <c:v>2491</c:v>
                </c:pt>
                <c:pt idx="2">
                  <c:v>1643</c:v>
                </c:pt>
                <c:pt idx="3">
                  <c:v>29</c:v>
                </c:pt>
                <c:pt idx="4">
                  <c:v>3532</c:v>
                </c:pt>
                <c:pt idx="5">
                  <c:v>738</c:v>
                </c:pt>
                <c:pt idx="6">
                  <c:v>1903</c:v>
                </c:pt>
                <c:pt idx="7">
                  <c:v>2329</c:v>
                </c:pt>
                <c:pt idx="8">
                  <c:v>850</c:v>
                </c:pt>
              </c:numCache>
            </c:numRef>
          </c:val>
        </c:ser>
        <c:ser>
          <c:idx val="2"/>
          <c:order val="2"/>
          <c:tx>
            <c:v>UNDS TOTAL</c:v>
          </c:tx>
          <c:spPr>
            <a:ln w="28575">
              <a:solidFill>
                <a:srgbClr val="70AD47"/>
              </a:solidFill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cat>
            <c:strRef>
              <c:f>'TENDENCIA SEMANAL'!$A$5:$A$13</c:f>
              <c:strCache>
                <c:ptCount val="9"/>
                <c:pt idx="0">
                  <c:v>Sem. 08/06</c:v>
                </c:pt>
                <c:pt idx="1">
                  <c:v>Sem. 15/06</c:v>
                </c:pt>
                <c:pt idx="2">
                  <c:v>Sem. 22/06</c:v>
                </c:pt>
                <c:pt idx="3">
                  <c:v>Sem. 29/06</c:v>
                </c:pt>
                <c:pt idx="4">
                  <c:v>Sem. 06/07</c:v>
                </c:pt>
                <c:pt idx="5">
                  <c:v>Sem. 13/07</c:v>
                </c:pt>
                <c:pt idx="6">
                  <c:v>Sem. 20/07</c:v>
                </c:pt>
                <c:pt idx="7">
                  <c:v>Sem. 27/07</c:v>
                </c:pt>
                <c:pt idx="8">
                  <c:v>Sem. 03/08</c:v>
                </c:pt>
              </c:strCache>
            </c:strRef>
          </c:cat>
          <c:val>
            <c:numRef>
              <c:f>'TENDENCIA SEMANAL'!$G$5:$G$13</c:f>
              <c:numCache>
                <c:formatCode>General</c:formatCode>
                <c:ptCount val="9"/>
                <c:pt idx="0">
                  <c:v>2352</c:v>
                </c:pt>
                <c:pt idx="1">
                  <c:v>2545</c:v>
                </c:pt>
                <c:pt idx="2">
                  <c:v>1669</c:v>
                </c:pt>
                <c:pt idx="3">
                  <c:v>61</c:v>
                </c:pt>
                <c:pt idx="4">
                  <c:v>3604</c:v>
                </c:pt>
                <c:pt idx="5">
                  <c:v>838</c:v>
                </c:pt>
                <c:pt idx="6">
                  <c:v>1927</c:v>
                </c:pt>
                <c:pt idx="7">
                  <c:v>2339</c:v>
                </c:pt>
                <c:pt idx="8">
                  <c:v>867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demanda perdida (NO DISPONIBLE, unds)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UNDS NO CUBIERTAS</c:v>
          </c:tx>
          <c:spPr>
            <a:solidFill>
              <a:srgbClr val="C00000"/>
            </a:solidFill>
          </c:spPr>
          <c:cat>
            <c:strRef>
              <c:f>GRAFICOS!$H$43:$H$52</c:f>
              <c:strCache>
                <c:ptCount val="10"/>
                <c:pt idx="0">
                  <c:v>SERVILLETAS</c:v>
                </c:pt>
                <c:pt idx="1">
                  <c:v>ESENCIA SPLASH PARA BOLSAS</c:v>
                </c:pt>
                <c:pt idx="2">
                  <c:v>CINTA DOBLE FAZ</c:v>
                </c:pt>
                <c:pt idx="3">
                  <c:v>RESMA DE HOJAS BLANCAS</c:v>
                </c:pt>
                <c:pt idx="4">
                  <c:v>PAÑO AMARILLO</c:v>
                </c:pt>
                <c:pt idx="5">
                  <c:v>BOLSA DE PAPELERA</c:v>
                </c:pt>
                <c:pt idx="6">
                  <c:v>AMBIENTADOR GLADE</c:v>
                </c:pt>
                <c:pt idx="7">
                  <c:v>ESPONJA</c:v>
                </c:pt>
                <c:pt idx="8">
                  <c:v>POST ITS</c:v>
                </c:pt>
                <c:pt idx="9">
                  <c:v>TIRRO</c:v>
                </c:pt>
              </c:strCache>
            </c:strRef>
          </c:cat>
          <c:val>
            <c:numRef>
              <c:f>GRAFICOS!$I$43:$I$52</c:f>
              <c:numCache>
                <c:formatCode>General</c:formatCode>
                <c:ptCount val="10"/>
                <c:pt idx="0">
                  <c:v>26</c:v>
                </c:pt>
                <c:pt idx="1">
                  <c:v>20</c:v>
                </c:pt>
                <c:pt idx="2">
                  <c:v>15</c:v>
                </c:pt>
                <c:pt idx="3">
                  <c:v>6</c:v>
                </c:pt>
                <c:pt idx="4">
                  <c:v>12</c:v>
                </c:pt>
                <c:pt idx="5">
                  <c:v>140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428625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5</xdr:col>
      <xdr:colOff>428625</xdr:colOff>
      <xdr:row>38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12</xdr:col>
      <xdr:colOff>428625</xdr:colOff>
      <xdr:row>18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12</xdr:col>
      <xdr:colOff>428625</xdr:colOff>
      <xdr:row>38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1:J54"/>
  <sheetViews>
    <sheetView tabSelected="1" workbookViewId="0"/>
  </sheetViews>
  <sheetFormatPr defaultRowHeight="15"/>
  <cols>
    <col min="1" max="1" width="30.7109375" customWidth="1"/>
    <col min="2" max="10" width="15.7109375" customWidth="1"/>
  </cols>
  <sheetData>
    <row r="1" spans="1:10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2</v>
      </c>
    </row>
    <row r="5" spans="1:10">
      <c r="A5" s="4" t="s">
        <v>3</v>
      </c>
      <c r="B5" s="5" t="s">
        <v>4</v>
      </c>
      <c r="C5" s="5"/>
      <c r="D5" s="5"/>
      <c r="E5" s="5"/>
      <c r="F5" s="5"/>
      <c r="G5" s="5"/>
      <c r="H5" s="5"/>
      <c r="I5" s="5" t="s">
        <v>5</v>
      </c>
      <c r="J5" s="5"/>
    </row>
    <row r="6" spans="1:10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 t="s">
        <v>8</v>
      </c>
      <c r="J6" s="5"/>
    </row>
    <row r="7" spans="1:10">
      <c r="A7" s="4" t="s">
        <v>9</v>
      </c>
      <c r="B7" s="5" t="s">
        <v>10</v>
      </c>
      <c r="C7" s="5"/>
      <c r="D7" s="5"/>
      <c r="E7" s="5"/>
      <c r="F7" s="5"/>
      <c r="G7" s="5"/>
      <c r="H7" s="5"/>
      <c r="I7" s="5" t="s">
        <v>11</v>
      </c>
      <c r="J7" s="5"/>
    </row>
    <row r="9" spans="1:10">
      <c r="A9" s="3" t="s">
        <v>12</v>
      </c>
    </row>
    <row r="10" spans="1:10" ht="30" customHeight="1">
      <c r="A10" s="6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</row>
    <row r="11" spans="1:10">
      <c r="A11" s="4" t="s">
        <v>3</v>
      </c>
      <c r="B11" s="7">
        <v>156</v>
      </c>
      <c r="C11" s="7">
        <v>137</v>
      </c>
      <c r="D11" s="7">
        <v>19</v>
      </c>
      <c r="E11" s="8">
        <v>0.8782051282051282</v>
      </c>
      <c r="F11" s="8">
        <v>0.1217948717948718</v>
      </c>
      <c r="G11" s="7">
        <v>461</v>
      </c>
      <c r="H11" s="7">
        <v>438</v>
      </c>
      <c r="I11" s="7">
        <v>23</v>
      </c>
      <c r="J11" s="9">
        <v>0.9501084598698482</v>
      </c>
    </row>
    <row r="12" spans="1:10">
      <c r="A12" s="4" t="s">
        <v>6</v>
      </c>
      <c r="B12" s="7">
        <v>418</v>
      </c>
      <c r="C12" s="7">
        <v>334</v>
      </c>
      <c r="D12" s="7">
        <v>84</v>
      </c>
      <c r="E12" s="8">
        <v>0.7990430622009569</v>
      </c>
      <c r="F12" s="8">
        <v>0.2009569377990431</v>
      </c>
      <c r="G12" s="7">
        <v>15741</v>
      </c>
      <c r="H12" s="7">
        <v>15238</v>
      </c>
      <c r="I12" s="7">
        <v>503</v>
      </c>
      <c r="J12" s="9">
        <v>0.9680452321961756</v>
      </c>
    </row>
    <row r="13" spans="1:10">
      <c r="A13" s="4" t="s">
        <v>23</v>
      </c>
      <c r="B13" s="7">
        <v>574</v>
      </c>
      <c r="C13" s="7">
        <v>471</v>
      </c>
      <c r="D13" s="7">
        <v>103</v>
      </c>
      <c r="E13" s="8">
        <v>0.8205574912891986</v>
      </c>
      <c r="F13" s="8">
        <v>0.1794425087108014</v>
      </c>
      <c r="G13" s="7">
        <v>16202</v>
      </c>
      <c r="H13" s="7">
        <v>15676</v>
      </c>
      <c r="I13" s="7">
        <v>526</v>
      </c>
      <c r="J13" s="9">
        <v>0.9675348722379953</v>
      </c>
    </row>
    <row r="14" spans="1:10">
      <c r="A14" s="10" t="s">
        <v>24</v>
      </c>
      <c r="B14" s="10"/>
      <c r="C14" s="10"/>
      <c r="D14" s="10"/>
      <c r="E14" s="10"/>
      <c r="F14" s="10"/>
      <c r="G14" s="10"/>
      <c r="H14" s="10"/>
      <c r="I14" s="10"/>
      <c r="J14" s="10"/>
    </row>
    <row r="16" spans="1:10">
      <c r="A16" s="3" t="s">
        <v>25</v>
      </c>
    </row>
    <row r="17" spans="1:6">
      <c r="A17" s="6" t="s">
        <v>26</v>
      </c>
      <c r="B17" s="6" t="s">
        <v>27</v>
      </c>
      <c r="C17" s="6" t="s">
        <v>28</v>
      </c>
      <c r="D17" s="6" t="s">
        <v>29</v>
      </c>
      <c r="E17" s="6" t="s">
        <v>30</v>
      </c>
      <c r="F17" s="6" t="s">
        <v>31</v>
      </c>
    </row>
    <row r="18" spans="1:6" ht="30" customHeight="1">
      <c r="A18" s="4" t="s">
        <v>304</v>
      </c>
      <c r="B18" s="7">
        <v>7</v>
      </c>
      <c r="C18" s="11">
        <f>UNIFICADO!Q102</f>
        <v>6167</v>
      </c>
      <c r="D18" s="11">
        <f>UNIFICADO!P102</f>
        <v>6167</v>
      </c>
      <c r="E18" s="11">
        <f>UNIFICADO!N102</f>
        <v>4239</v>
      </c>
      <c r="F18" s="12" t="s">
        <v>305</v>
      </c>
    </row>
    <row r="19" spans="1:6" ht="30" customHeight="1">
      <c r="A19" s="4" t="s">
        <v>306</v>
      </c>
      <c r="B19" s="7">
        <v>14</v>
      </c>
      <c r="C19" s="11">
        <f>UNIFICADO!S102</f>
        <v>8092</v>
      </c>
      <c r="D19" s="11">
        <f>UNIFICADO!R102</f>
        <v>8092</v>
      </c>
      <c r="E19" s="11">
        <f>UNIFICADO!N102</f>
        <v>4239</v>
      </c>
      <c r="F19" s="12" t="s">
        <v>307</v>
      </c>
    </row>
    <row r="20" spans="1:6" ht="30" customHeight="1">
      <c r="A20" s="4" t="s">
        <v>308</v>
      </c>
      <c r="B20" s="7">
        <v>30</v>
      </c>
      <c r="C20" s="11">
        <f>UNIFICADO!U102</f>
        <v>12474</v>
      </c>
      <c r="D20" s="11">
        <f>UNIFICADO!T102</f>
        <v>12474</v>
      </c>
      <c r="E20" s="11">
        <f>UNIFICADO!N102</f>
        <v>4239</v>
      </c>
      <c r="F20" s="12" t="s">
        <v>309</v>
      </c>
    </row>
    <row r="22" spans="1:6">
      <c r="A22" s="3" t="s">
        <v>32</v>
      </c>
    </row>
    <row r="23" spans="1:6">
      <c r="A23" s="6" t="s">
        <v>33</v>
      </c>
      <c r="B23" s="6" t="s">
        <v>34</v>
      </c>
      <c r="C23" s="6" t="s">
        <v>35</v>
      </c>
      <c r="D23" s="6" t="s">
        <v>36</v>
      </c>
      <c r="E23" s="6" t="s">
        <v>37</v>
      </c>
      <c r="F23" s="6" t="s">
        <v>38</v>
      </c>
    </row>
    <row r="24" spans="1:6">
      <c r="A24" s="7">
        <v>1</v>
      </c>
      <c r="B24" s="5" t="s">
        <v>39</v>
      </c>
      <c r="C24" s="5" t="s">
        <v>40</v>
      </c>
      <c r="D24" s="7">
        <v>5200</v>
      </c>
      <c r="E24" s="13">
        <v>616.9</v>
      </c>
      <c r="F24" s="9">
        <v>1</v>
      </c>
    </row>
    <row r="25" spans="1:6">
      <c r="A25" s="7">
        <v>2</v>
      </c>
      <c r="B25" s="5" t="s">
        <v>41</v>
      </c>
      <c r="C25" s="5" t="s">
        <v>40</v>
      </c>
      <c r="D25" s="7">
        <v>2770</v>
      </c>
      <c r="E25" s="13">
        <v>328.6</v>
      </c>
      <c r="F25" s="9">
        <v>1</v>
      </c>
    </row>
    <row r="26" spans="1:6">
      <c r="A26" s="7">
        <v>3</v>
      </c>
      <c r="B26" s="5" t="s">
        <v>42</v>
      </c>
      <c r="C26" s="5" t="s">
        <v>40</v>
      </c>
      <c r="D26" s="7">
        <v>2460</v>
      </c>
      <c r="E26" s="13">
        <v>291.9</v>
      </c>
      <c r="F26" s="9">
        <v>1</v>
      </c>
    </row>
    <row r="27" spans="1:6">
      <c r="A27" s="7">
        <v>4</v>
      </c>
      <c r="B27" s="5" t="s">
        <v>43</v>
      </c>
      <c r="C27" s="5" t="s">
        <v>40</v>
      </c>
      <c r="D27" s="7">
        <v>1210</v>
      </c>
      <c r="E27" s="13">
        <v>143.6</v>
      </c>
      <c r="F27" s="9">
        <v>1</v>
      </c>
    </row>
    <row r="28" spans="1:6">
      <c r="A28" s="7">
        <v>5</v>
      </c>
      <c r="B28" s="5" t="s">
        <v>44</v>
      </c>
      <c r="C28" s="5" t="s">
        <v>40</v>
      </c>
      <c r="D28" s="7">
        <v>800</v>
      </c>
      <c r="E28" s="13">
        <v>94.90000000000001</v>
      </c>
      <c r="F28" s="9">
        <v>1</v>
      </c>
    </row>
    <row r="29" spans="1:6">
      <c r="A29" s="7">
        <v>6</v>
      </c>
      <c r="B29" s="5" t="s">
        <v>45</v>
      </c>
      <c r="C29" s="5" t="s">
        <v>40</v>
      </c>
      <c r="D29" s="7">
        <v>550</v>
      </c>
      <c r="E29" s="13">
        <v>65.3</v>
      </c>
      <c r="F29" s="9">
        <v>1</v>
      </c>
    </row>
    <row r="30" spans="1:6">
      <c r="A30" s="7">
        <v>7</v>
      </c>
      <c r="B30" s="5" t="s">
        <v>46</v>
      </c>
      <c r="C30" s="5" t="s">
        <v>47</v>
      </c>
      <c r="D30" s="7">
        <v>530</v>
      </c>
      <c r="E30" s="13">
        <v>62.9</v>
      </c>
      <c r="F30" s="9">
        <v>0.7358490566037735</v>
      </c>
    </row>
    <row r="31" spans="1:6">
      <c r="A31" s="7">
        <v>8</v>
      </c>
      <c r="B31" s="5" t="s">
        <v>48</v>
      </c>
      <c r="C31" s="5" t="s">
        <v>47</v>
      </c>
      <c r="D31" s="7">
        <v>438</v>
      </c>
      <c r="E31" s="13">
        <v>52</v>
      </c>
      <c r="F31" s="9">
        <v>0.8858447488584474</v>
      </c>
    </row>
    <row r="32" spans="1:6">
      <c r="A32" s="7">
        <v>9</v>
      </c>
      <c r="B32" s="5" t="s">
        <v>49</v>
      </c>
      <c r="C32" s="5" t="s">
        <v>40</v>
      </c>
      <c r="D32" s="7">
        <v>400</v>
      </c>
      <c r="E32" s="13">
        <v>47.5</v>
      </c>
      <c r="F32" s="9">
        <v>1</v>
      </c>
    </row>
    <row r="33" spans="1:10">
      <c r="A33" s="7">
        <v>10</v>
      </c>
      <c r="B33" s="5" t="s">
        <v>50</v>
      </c>
      <c r="C33" s="5" t="s">
        <v>40</v>
      </c>
      <c r="D33" s="7">
        <v>301</v>
      </c>
      <c r="E33" s="13">
        <v>35.7</v>
      </c>
      <c r="F33" s="9">
        <v>0.7674418604651163</v>
      </c>
    </row>
    <row r="35" spans="1:10">
      <c r="A35" s="3" t="s">
        <v>51</v>
      </c>
    </row>
    <row r="36" spans="1:10" ht="42" customHeight="1">
      <c r="A36" s="12" t="s">
        <v>52</v>
      </c>
      <c r="B36" s="12"/>
      <c r="C36" s="12"/>
      <c r="D36" s="12"/>
      <c r="E36" s="12"/>
      <c r="F36" s="12"/>
      <c r="G36" s="12"/>
      <c r="H36" s="12"/>
      <c r="I36" s="12"/>
      <c r="J36" s="12"/>
    </row>
    <row r="37" spans="1:10" ht="42" customHeight="1">
      <c r="A37" s="12" t="s">
        <v>53</v>
      </c>
      <c r="B37" s="12"/>
      <c r="C37" s="12"/>
      <c r="D37" s="12"/>
      <c r="E37" s="12"/>
      <c r="F37" s="12"/>
      <c r="G37" s="12"/>
      <c r="H37" s="12"/>
      <c r="I37" s="12"/>
      <c r="J37" s="12"/>
    </row>
    <row r="38" spans="1:10" ht="42" customHeight="1">
      <c r="A38" s="12" t="s">
        <v>54</v>
      </c>
      <c r="B38" s="12"/>
      <c r="C38" s="12"/>
      <c r="D38" s="12"/>
      <c r="E38" s="12"/>
      <c r="F38" s="12"/>
      <c r="G38" s="12"/>
      <c r="H38" s="12"/>
      <c r="I38" s="12"/>
      <c r="J38" s="12"/>
    </row>
    <row r="39" spans="1:10" ht="42" customHeight="1">
      <c r="A39" s="12" t="s">
        <v>55</v>
      </c>
      <c r="B39" s="12"/>
      <c r="C39" s="12"/>
      <c r="D39" s="12"/>
      <c r="E39" s="12"/>
      <c r="F39" s="12"/>
      <c r="G39" s="12"/>
      <c r="H39" s="12"/>
      <c r="I39" s="12"/>
      <c r="J39" s="12"/>
    </row>
    <row r="40" spans="1:10" ht="42" customHeight="1">
      <c r="A40" s="12" t="s">
        <v>56</v>
      </c>
      <c r="B40" s="12"/>
      <c r="C40" s="12"/>
      <c r="D40" s="12"/>
      <c r="E40" s="12"/>
      <c r="F40" s="12"/>
      <c r="G40" s="12"/>
      <c r="H40" s="12"/>
      <c r="I40" s="12"/>
      <c r="J40" s="12"/>
    </row>
    <row r="41" spans="1:10" ht="42" customHeight="1">
      <c r="A41" s="12" t="s">
        <v>57</v>
      </c>
      <c r="B41" s="12"/>
      <c r="C41" s="12"/>
      <c r="D41" s="12"/>
      <c r="E41" s="12"/>
      <c r="F41" s="12"/>
      <c r="G41" s="12"/>
      <c r="H41" s="12"/>
      <c r="I41" s="12"/>
      <c r="J41" s="12"/>
    </row>
    <row r="42" spans="1:10" ht="42" customHeight="1">
      <c r="A42" s="12" t="s">
        <v>58</v>
      </c>
      <c r="B42" s="12"/>
      <c r="C42" s="12"/>
      <c r="D42" s="12"/>
      <c r="E42" s="12"/>
      <c r="F42" s="12"/>
      <c r="G42" s="12"/>
      <c r="H42" s="12"/>
      <c r="I42" s="12"/>
      <c r="J42" s="12"/>
    </row>
    <row r="43" spans="1:10" ht="42" customHeight="1">
      <c r="A43" s="12" t="s">
        <v>59</v>
      </c>
      <c r="B43" s="12"/>
      <c r="C43" s="12"/>
      <c r="D43" s="12"/>
      <c r="E43" s="12"/>
      <c r="F43" s="12"/>
      <c r="G43" s="12"/>
      <c r="H43" s="12"/>
      <c r="I43" s="12"/>
      <c r="J43" s="12"/>
    </row>
    <row r="45" spans="1:10">
      <c r="A45" s="3" t="s">
        <v>60</v>
      </c>
    </row>
    <row r="46" spans="1:10">
      <c r="A46" s="4" t="s">
        <v>61</v>
      </c>
      <c r="B46" s="5" t="s">
        <v>62</v>
      </c>
      <c r="C46" s="5"/>
      <c r="D46" s="5"/>
      <c r="E46" s="5"/>
      <c r="F46" s="5"/>
      <c r="G46" s="5"/>
      <c r="H46" s="5"/>
      <c r="I46" s="5"/>
      <c r="J46" s="5"/>
    </row>
    <row r="47" spans="1:10">
      <c r="A47" s="4" t="s">
        <v>63</v>
      </c>
      <c r="B47" s="5" t="s">
        <v>64</v>
      </c>
      <c r="C47" s="5"/>
      <c r="D47" s="5"/>
      <c r="E47" s="5"/>
      <c r="F47" s="5"/>
      <c r="G47" s="5"/>
      <c r="H47" s="5"/>
      <c r="I47" s="5"/>
      <c r="J47" s="5"/>
    </row>
    <row r="48" spans="1:10">
      <c r="A48" s="4" t="s">
        <v>65</v>
      </c>
      <c r="B48" s="5" t="s">
        <v>66</v>
      </c>
      <c r="C48" s="5"/>
      <c r="D48" s="5"/>
      <c r="E48" s="5"/>
      <c r="F48" s="5"/>
      <c r="G48" s="5"/>
      <c r="H48" s="5"/>
      <c r="I48" s="5"/>
      <c r="J48" s="5"/>
    </row>
    <row r="49" spans="1:10">
      <c r="A49" s="4" t="s">
        <v>67</v>
      </c>
      <c r="B49" s="5" t="s">
        <v>68</v>
      </c>
      <c r="C49" s="5"/>
      <c r="D49" s="5"/>
      <c r="E49" s="5"/>
      <c r="F49" s="5"/>
      <c r="G49" s="5"/>
      <c r="H49" s="5"/>
      <c r="I49" s="5"/>
      <c r="J49" s="5"/>
    </row>
    <row r="50" spans="1:10">
      <c r="A50" s="4" t="s">
        <v>69</v>
      </c>
      <c r="B50" s="5" t="s">
        <v>70</v>
      </c>
      <c r="C50" s="5"/>
      <c r="D50" s="5"/>
      <c r="E50" s="5"/>
      <c r="F50" s="5"/>
      <c r="G50" s="5"/>
      <c r="H50" s="5"/>
      <c r="I50" s="5"/>
      <c r="J50" s="5"/>
    </row>
    <row r="51" spans="1:10">
      <c r="A51" s="4" t="s">
        <v>71</v>
      </c>
      <c r="B51" s="5" t="s">
        <v>72</v>
      </c>
      <c r="C51" s="5"/>
      <c r="D51" s="5"/>
      <c r="E51" s="5"/>
      <c r="F51" s="5"/>
      <c r="G51" s="5"/>
      <c r="H51" s="5"/>
      <c r="I51" s="5"/>
      <c r="J51" s="5"/>
    </row>
    <row r="52" spans="1:10">
      <c r="A52" s="4" t="s">
        <v>73</v>
      </c>
      <c r="B52" s="5" t="s">
        <v>74</v>
      </c>
      <c r="C52" s="5"/>
      <c r="D52" s="5"/>
      <c r="E52" s="5"/>
      <c r="F52" s="5"/>
      <c r="G52" s="5"/>
      <c r="H52" s="5"/>
      <c r="I52" s="5"/>
      <c r="J52" s="5"/>
    </row>
    <row r="53" spans="1:10">
      <c r="A53" s="4" t="s">
        <v>75</v>
      </c>
      <c r="B53" s="5" t="s">
        <v>76</v>
      </c>
      <c r="C53" s="5"/>
      <c r="D53" s="5"/>
      <c r="E53" s="5"/>
      <c r="F53" s="5"/>
      <c r="G53" s="5"/>
      <c r="H53" s="5"/>
      <c r="I53" s="5"/>
      <c r="J53" s="5"/>
    </row>
    <row r="54" spans="1:10">
      <c r="A54" s="4" t="s">
        <v>77</v>
      </c>
      <c r="B54" s="5" t="s">
        <v>78</v>
      </c>
      <c r="C54" s="5"/>
      <c r="D54" s="5"/>
      <c r="E54" s="5"/>
      <c r="F54" s="5"/>
      <c r="G54" s="5"/>
      <c r="H54" s="5"/>
      <c r="I54" s="5"/>
      <c r="J54" s="5"/>
    </row>
  </sheetData>
  <mergeCells count="26">
    <mergeCell ref="A1:J1"/>
    <mergeCell ref="A2:J2"/>
    <mergeCell ref="B5:H5"/>
    <mergeCell ref="I5:J5"/>
    <mergeCell ref="B6:H6"/>
    <mergeCell ref="I6:J6"/>
    <mergeCell ref="B7:H7"/>
    <mergeCell ref="I7:J7"/>
    <mergeCell ref="A14:J14"/>
    <mergeCell ref="A36:J36"/>
    <mergeCell ref="A37:J37"/>
    <mergeCell ref="A38:J38"/>
    <mergeCell ref="A39:J39"/>
    <mergeCell ref="A40:J40"/>
    <mergeCell ref="A41:J41"/>
    <mergeCell ref="A42:J42"/>
    <mergeCell ref="A43:J43"/>
    <mergeCell ref="B46:J46"/>
    <mergeCell ref="B47:J47"/>
    <mergeCell ref="B48:J48"/>
    <mergeCell ref="B49:J49"/>
    <mergeCell ref="B50:J50"/>
    <mergeCell ref="B51:J51"/>
    <mergeCell ref="B52:J52"/>
    <mergeCell ref="B53:J53"/>
    <mergeCell ref="B54:J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F7F7F"/>
  </sheetPr>
  <dimension ref="A1:B41"/>
  <sheetViews>
    <sheetView workbookViewId="0"/>
  </sheetViews>
  <sheetFormatPr defaultRowHeight="15"/>
  <cols>
    <col min="1" max="1" width="4.7109375" customWidth="1"/>
    <col min="2" max="2" width="130.7109375" customWidth="1"/>
  </cols>
  <sheetData>
    <row r="1" spans="1:2" ht="26" customHeight="1">
      <c r="A1" s="1" t="s">
        <v>79</v>
      </c>
      <c r="B1" s="1"/>
    </row>
    <row r="3" spans="1:2">
      <c r="B3" s="3" t="s">
        <v>80</v>
      </c>
    </row>
    <row r="4" spans="1:2" ht="28" customHeight="1">
      <c r="B4" s="12" t="s">
        <v>81</v>
      </c>
    </row>
    <row r="5" spans="1:2" ht="28" customHeight="1">
      <c r="B5" s="12" t="s">
        <v>82</v>
      </c>
    </row>
    <row r="7" spans="1:2">
      <c r="B7" s="3" t="s">
        <v>83</v>
      </c>
    </row>
    <row r="8" spans="1:2">
      <c r="B8" s="12" t="s">
        <v>84</v>
      </c>
    </row>
    <row r="9" spans="1:2">
      <c r="B9" s="12" t="s">
        <v>85</v>
      </c>
    </row>
    <row r="10" spans="1:2">
      <c r="B10" s="12" t="s">
        <v>86</v>
      </c>
    </row>
    <row r="11" spans="1:2" ht="28" customHeight="1">
      <c r="B11" s="12" t="s">
        <v>87</v>
      </c>
    </row>
    <row r="12" spans="1:2">
      <c r="B12" s="12" t="s">
        <v>88</v>
      </c>
    </row>
    <row r="13" spans="1:2">
      <c r="B13" s="12" t="s">
        <v>89</v>
      </c>
    </row>
    <row r="15" spans="1:2">
      <c r="B15" s="3" t="s">
        <v>90</v>
      </c>
    </row>
    <row r="16" spans="1:2">
      <c r="B16" s="12" t="s">
        <v>91</v>
      </c>
    </row>
    <row r="17" spans="2:2">
      <c r="B17" s="12" t="s">
        <v>92</v>
      </c>
    </row>
    <row r="18" spans="2:2">
      <c r="B18" s="12" t="s">
        <v>93</v>
      </c>
    </row>
    <row r="20" spans="2:2">
      <c r="B20" s="3" t="s">
        <v>94</v>
      </c>
    </row>
    <row r="21" spans="2:2">
      <c r="B21" s="12" t="s">
        <v>95</v>
      </c>
    </row>
    <row r="22" spans="2:2">
      <c r="B22" s="12" t="s">
        <v>96</v>
      </c>
    </row>
    <row r="23" spans="2:2" ht="28" customHeight="1">
      <c r="B23" s="12" t="s">
        <v>97</v>
      </c>
    </row>
    <row r="24" spans="2:2" ht="42" customHeight="1">
      <c r="B24" s="12" t="s">
        <v>98</v>
      </c>
    </row>
    <row r="25" spans="2:2">
      <c r="B25" s="12" t="s">
        <v>99</v>
      </c>
    </row>
    <row r="26" spans="2:2">
      <c r="B26" s="12" t="s">
        <v>100</v>
      </c>
    </row>
    <row r="27" spans="2:2" ht="28" customHeight="1">
      <c r="B27" s="12" t="s">
        <v>101</v>
      </c>
    </row>
    <row r="28" spans="2:2" ht="28" customHeight="1">
      <c r="B28" s="12" t="s">
        <v>102</v>
      </c>
    </row>
    <row r="29" spans="2:2" ht="28" customHeight="1">
      <c r="B29" s="12" t="s">
        <v>103</v>
      </c>
    </row>
    <row r="31" spans="2:2">
      <c r="B31" s="3" t="s">
        <v>104</v>
      </c>
    </row>
    <row r="32" spans="2:2" ht="28" customHeight="1">
      <c r="B32" s="12" t="s">
        <v>105</v>
      </c>
    </row>
    <row r="33" spans="2:2" ht="28" customHeight="1">
      <c r="B33" s="12" t="s">
        <v>106</v>
      </c>
    </row>
    <row r="34" spans="2:2" ht="28" customHeight="1">
      <c r="B34" s="12" t="s">
        <v>107</v>
      </c>
    </row>
    <row r="36" spans="2:2">
      <c r="B36" s="3" t="s">
        <v>108</v>
      </c>
    </row>
    <row r="37" spans="2:2" ht="28" customHeight="1">
      <c r="B37" s="12" t="s">
        <v>109</v>
      </c>
    </row>
    <row r="38" spans="2:2" ht="28" customHeight="1">
      <c r="B38" s="12" t="s">
        <v>110</v>
      </c>
    </row>
    <row r="39" spans="2:2">
      <c r="B39" s="12" t="s">
        <v>111</v>
      </c>
    </row>
    <row r="40" spans="2:2">
      <c r="B40" s="12" t="s">
        <v>112</v>
      </c>
    </row>
    <row r="41" spans="2:2">
      <c r="B41" s="12" t="s">
        <v>113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workbookViewId="0"/>
  </sheetViews>
  <sheetFormatPr defaultRowHeight="15"/>
  <cols>
    <col min="1" max="1" width="38.7109375" customWidth="1"/>
    <col min="2" max="2" width="14.7109375" customWidth="1"/>
    <col min="3" max="3" width="95.7109375" customWidth="1"/>
  </cols>
  <sheetData>
    <row r="1" spans="1:3" ht="26" customHeight="1">
      <c r="A1" s="1" t="s">
        <v>114</v>
      </c>
      <c r="B1" s="1"/>
      <c r="C1" s="1"/>
    </row>
    <row r="3" spans="1:3">
      <c r="A3" s="6" t="s">
        <v>115</v>
      </c>
      <c r="B3" s="6" t="s">
        <v>116</v>
      </c>
      <c r="C3" s="6" t="s">
        <v>117</v>
      </c>
    </row>
    <row r="4" spans="1:3" ht="30" customHeight="1">
      <c r="A4" s="5" t="s">
        <v>118</v>
      </c>
      <c r="B4" s="7">
        <v>58</v>
      </c>
      <c r="C4" s="12" t="s">
        <v>119</v>
      </c>
    </row>
    <row r="5" spans="1:3" ht="30" customHeight="1">
      <c r="A5" s="5" t="s">
        <v>120</v>
      </c>
      <c r="B5" s="7">
        <v>58</v>
      </c>
      <c r="C5" s="12" t="s">
        <v>121</v>
      </c>
    </row>
    <row r="6" spans="1:3" ht="30" customHeight="1">
      <c r="A6" s="5" t="s">
        <v>122</v>
      </c>
      <c r="B6" s="7">
        <v>59</v>
      </c>
      <c r="C6" s="12" t="s">
        <v>123</v>
      </c>
    </row>
    <row r="7" spans="1:3" ht="30" customHeight="1">
      <c r="A7" s="5" t="s">
        <v>124</v>
      </c>
      <c r="B7" s="14">
        <v>7</v>
      </c>
      <c r="C7" s="12" t="s">
        <v>125</v>
      </c>
    </row>
    <row r="8" spans="1:3" ht="30" customHeight="1">
      <c r="A8" s="5" t="s">
        <v>126</v>
      </c>
      <c r="B8" s="14">
        <v>7</v>
      </c>
      <c r="C8" s="12" t="s">
        <v>127</v>
      </c>
    </row>
    <row r="9" spans="1:3" ht="30" customHeight="1">
      <c r="A9" s="5" t="s">
        <v>128</v>
      </c>
      <c r="B9" s="14">
        <v>14</v>
      </c>
      <c r="C9" s="12" t="s">
        <v>129</v>
      </c>
    </row>
    <row r="10" spans="1:3" ht="30" customHeight="1">
      <c r="A10" s="5" t="s">
        <v>130</v>
      </c>
      <c r="B10" s="14">
        <v>30</v>
      </c>
      <c r="C10" s="12" t="s">
        <v>131</v>
      </c>
    </row>
    <row r="11" spans="1:3" ht="30" customHeight="1">
      <c r="A11" s="5" t="s">
        <v>132</v>
      </c>
      <c r="B11" s="15">
        <v>1.65</v>
      </c>
      <c r="C11" s="12" t="s">
        <v>133</v>
      </c>
    </row>
    <row r="12" spans="1:3" ht="30" customHeight="1">
      <c r="A12" s="5" t="s">
        <v>134</v>
      </c>
      <c r="B12" s="15">
        <v>1.28</v>
      </c>
      <c r="C12" s="12" t="s">
        <v>135</v>
      </c>
    </row>
    <row r="13" spans="1:3" ht="30" customHeight="1">
      <c r="A13" s="5" t="s">
        <v>136</v>
      </c>
      <c r="B13" s="15">
        <v>0.84</v>
      </c>
      <c r="C13" s="12" t="s">
        <v>137</v>
      </c>
    </row>
    <row r="15" spans="1:3">
      <c r="A15" s="10" t="s">
        <v>138</v>
      </c>
      <c r="B15" s="10"/>
      <c r="C15" s="10"/>
    </row>
  </sheetData>
  <mergeCells count="2">
    <mergeCell ref="A1:C1"/>
    <mergeCell ref="A15:C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0AD47"/>
  </sheetPr>
  <dimension ref="A1:J52"/>
  <sheetViews>
    <sheetView workbookViewId="0"/>
  </sheetViews>
  <sheetFormatPr defaultRowHeight="15"/>
  <cols>
    <col min="1" max="1" width="26.7109375" customWidth="1"/>
    <col min="2" max="10" width="14.7109375" customWidth="1"/>
  </cols>
  <sheetData>
    <row r="1" spans="1:10" ht="26" customHeight="1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141</v>
      </c>
    </row>
    <row r="5" spans="1:10" ht="30" customHeight="1">
      <c r="A5" s="6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142</v>
      </c>
      <c r="H5" s="6" t="s">
        <v>20</v>
      </c>
      <c r="I5" s="6" t="s">
        <v>21</v>
      </c>
      <c r="J5" s="6" t="s">
        <v>22</v>
      </c>
    </row>
    <row r="6" spans="1:10">
      <c r="A6" s="4" t="s">
        <v>3</v>
      </c>
      <c r="B6" s="7">
        <v>156</v>
      </c>
      <c r="C6" s="7">
        <v>137</v>
      </c>
      <c r="D6" s="7">
        <v>19</v>
      </c>
      <c r="E6" s="9">
        <v>0.8782051282051282</v>
      </c>
      <c r="F6" s="9">
        <v>0.1217948717948718</v>
      </c>
      <c r="G6" s="7">
        <v>461</v>
      </c>
      <c r="H6" s="7">
        <v>438</v>
      </c>
      <c r="I6" s="7">
        <v>23</v>
      </c>
      <c r="J6" s="9">
        <v>0.9501084598698482</v>
      </c>
    </row>
    <row r="7" spans="1:10">
      <c r="A7" s="4" t="s">
        <v>6</v>
      </c>
      <c r="B7" s="7">
        <v>418</v>
      </c>
      <c r="C7" s="7">
        <v>334</v>
      </c>
      <c r="D7" s="7">
        <v>84</v>
      </c>
      <c r="E7" s="9">
        <v>0.7990430622009569</v>
      </c>
      <c r="F7" s="9">
        <v>0.2009569377990431</v>
      </c>
      <c r="G7" s="7">
        <v>15741</v>
      </c>
      <c r="H7" s="7">
        <v>15238</v>
      </c>
      <c r="I7" s="7">
        <v>503</v>
      </c>
      <c r="J7" s="9">
        <v>0.9680452321961756</v>
      </c>
    </row>
    <row r="8" spans="1:10">
      <c r="A8" s="4" t="s">
        <v>23</v>
      </c>
      <c r="B8" s="7">
        <v>574</v>
      </c>
      <c r="C8" s="7">
        <v>471</v>
      </c>
      <c r="D8" s="7">
        <v>103</v>
      </c>
      <c r="E8" s="9">
        <v>0.8205574912891986</v>
      </c>
      <c r="F8" s="9">
        <v>0.1794425087108014</v>
      </c>
      <c r="G8" s="7">
        <v>16202</v>
      </c>
      <c r="H8" s="7">
        <v>15676</v>
      </c>
      <c r="I8" s="7">
        <v>526</v>
      </c>
      <c r="J8" s="9">
        <v>0.9675348722379953</v>
      </c>
    </row>
    <row r="10" spans="1:10">
      <c r="A10" s="3" t="s">
        <v>143</v>
      </c>
    </row>
    <row r="11" spans="1:10">
      <c r="A11" s="6" t="s">
        <v>144</v>
      </c>
      <c r="B11" s="6" t="s">
        <v>3</v>
      </c>
      <c r="C11" s="6" t="s">
        <v>6</v>
      </c>
      <c r="D11" s="6" t="s">
        <v>145</v>
      </c>
      <c r="E11" s="6" t="s">
        <v>146</v>
      </c>
    </row>
    <row r="12" spans="1:10">
      <c r="A12" s="5" t="s">
        <v>147</v>
      </c>
      <c r="B12" s="7">
        <v>0</v>
      </c>
      <c r="C12" s="7">
        <v>263</v>
      </c>
      <c r="D12" s="7">
        <v>263</v>
      </c>
      <c r="E12" s="16" t="s">
        <v>148</v>
      </c>
    </row>
    <row r="13" spans="1:10">
      <c r="A13" s="5" t="s">
        <v>149</v>
      </c>
      <c r="B13" s="7">
        <v>136</v>
      </c>
      <c r="C13" s="7">
        <v>0</v>
      </c>
      <c r="D13" s="7">
        <v>136</v>
      </c>
      <c r="E13" s="16" t="s">
        <v>148</v>
      </c>
    </row>
    <row r="14" spans="1:10">
      <c r="A14" s="5" t="s">
        <v>150</v>
      </c>
      <c r="B14" s="7">
        <v>0</v>
      </c>
      <c r="C14" s="7">
        <v>3</v>
      </c>
      <c r="D14" s="7">
        <v>3</v>
      </c>
      <c r="E14" s="16" t="s">
        <v>148</v>
      </c>
    </row>
    <row r="15" spans="1:10">
      <c r="A15" s="5" t="s">
        <v>151</v>
      </c>
      <c r="B15" s="7">
        <v>1</v>
      </c>
      <c r="C15" s="7">
        <v>56</v>
      </c>
      <c r="D15" s="7">
        <v>57</v>
      </c>
      <c r="E15" s="16" t="s">
        <v>148</v>
      </c>
    </row>
    <row r="16" spans="1:10">
      <c r="A16" s="5" t="s">
        <v>152</v>
      </c>
      <c r="B16" s="7">
        <v>0</v>
      </c>
      <c r="C16" s="7">
        <v>12</v>
      </c>
      <c r="D16" s="7">
        <v>12</v>
      </c>
      <c r="E16" s="16" t="s">
        <v>148</v>
      </c>
    </row>
    <row r="17" spans="1:8">
      <c r="A17" s="5" t="s">
        <v>153</v>
      </c>
      <c r="B17" s="7">
        <v>19</v>
      </c>
      <c r="C17" s="7">
        <v>84</v>
      </c>
      <c r="D17" s="7">
        <v>103</v>
      </c>
      <c r="E17" s="17" t="s">
        <v>154</v>
      </c>
    </row>
    <row r="19" spans="1:8">
      <c r="A19" s="3" t="s">
        <v>155</v>
      </c>
    </row>
    <row r="20" spans="1:8">
      <c r="A20" s="6" t="s">
        <v>156</v>
      </c>
      <c r="B20" s="6" t="s">
        <v>157</v>
      </c>
      <c r="C20" s="6" t="s">
        <v>14</v>
      </c>
      <c r="D20" s="6" t="s">
        <v>15</v>
      </c>
      <c r="E20" s="6" t="s">
        <v>16</v>
      </c>
      <c r="F20" s="6" t="s">
        <v>17</v>
      </c>
      <c r="G20" s="6" t="s">
        <v>142</v>
      </c>
      <c r="H20" s="6" t="s">
        <v>21</v>
      </c>
    </row>
    <row r="21" spans="1:8">
      <c r="A21" s="5" t="s">
        <v>3</v>
      </c>
      <c r="B21" s="5" t="s">
        <v>158</v>
      </c>
      <c r="C21" s="7">
        <v>17</v>
      </c>
      <c r="D21" s="7">
        <v>17</v>
      </c>
      <c r="E21" s="7">
        <v>0</v>
      </c>
      <c r="F21" s="9">
        <v>1</v>
      </c>
      <c r="G21" s="7">
        <v>31</v>
      </c>
      <c r="H21" s="7">
        <v>0</v>
      </c>
    </row>
    <row r="22" spans="1:8">
      <c r="A22" s="5" t="s">
        <v>3</v>
      </c>
      <c r="B22" s="5" t="s">
        <v>159</v>
      </c>
      <c r="C22" s="7">
        <v>26</v>
      </c>
      <c r="D22" s="7">
        <v>20</v>
      </c>
      <c r="E22" s="7">
        <v>6</v>
      </c>
      <c r="F22" s="9">
        <v>0.7692307692307693</v>
      </c>
      <c r="G22" s="7">
        <v>55</v>
      </c>
      <c r="H22" s="7">
        <v>8</v>
      </c>
    </row>
    <row r="23" spans="1:8">
      <c r="A23" s="5" t="s">
        <v>3</v>
      </c>
      <c r="B23" s="5" t="s">
        <v>160</v>
      </c>
      <c r="C23" s="7">
        <v>10</v>
      </c>
      <c r="D23" s="7">
        <v>10</v>
      </c>
      <c r="E23" s="7">
        <v>0</v>
      </c>
      <c r="F23" s="9">
        <v>1</v>
      </c>
      <c r="G23" s="7">
        <v>69</v>
      </c>
      <c r="H23" s="7">
        <v>0</v>
      </c>
    </row>
    <row r="24" spans="1:8">
      <c r="A24" s="5" t="s">
        <v>3</v>
      </c>
      <c r="B24" s="5" t="s">
        <v>161</v>
      </c>
      <c r="C24" s="7">
        <v>1</v>
      </c>
      <c r="D24" s="7">
        <v>1</v>
      </c>
      <c r="E24" s="7">
        <v>0</v>
      </c>
      <c r="F24" s="9">
        <v>1</v>
      </c>
      <c r="G24" s="7">
        <v>1</v>
      </c>
      <c r="H24" s="7">
        <v>0</v>
      </c>
    </row>
    <row r="25" spans="1:8">
      <c r="A25" s="5" t="s">
        <v>3</v>
      </c>
      <c r="B25" s="5" t="s">
        <v>162</v>
      </c>
      <c r="C25" s="7">
        <v>2</v>
      </c>
      <c r="D25" s="7">
        <v>1</v>
      </c>
      <c r="E25" s="7">
        <v>1</v>
      </c>
      <c r="F25" s="9">
        <v>0.5</v>
      </c>
      <c r="G25" s="7">
        <v>4</v>
      </c>
      <c r="H25" s="7">
        <v>1</v>
      </c>
    </row>
    <row r="26" spans="1:8">
      <c r="A26" s="5" t="s">
        <v>3</v>
      </c>
      <c r="B26" s="5" t="s">
        <v>3</v>
      </c>
      <c r="C26" s="7">
        <v>100</v>
      </c>
      <c r="D26" s="7">
        <v>88</v>
      </c>
      <c r="E26" s="7">
        <v>12</v>
      </c>
      <c r="F26" s="9">
        <v>0.88</v>
      </c>
      <c r="G26" s="7">
        <v>301</v>
      </c>
      <c r="H26" s="7">
        <v>14</v>
      </c>
    </row>
    <row r="27" spans="1:8">
      <c r="A27" s="5" t="s">
        <v>6</v>
      </c>
      <c r="B27" s="5" t="s">
        <v>163</v>
      </c>
      <c r="C27" s="7">
        <v>54</v>
      </c>
      <c r="D27" s="7">
        <v>44</v>
      </c>
      <c r="E27" s="7">
        <v>10</v>
      </c>
      <c r="F27" s="9">
        <v>0.8148148148148148</v>
      </c>
      <c r="G27" s="7">
        <v>3349</v>
      </c>
      <c r="H27" s="7">
        <v>112</v>
      </c>
    </row>
    <row r="28" spans="1:8">
      <c r="A28" s="5" t="s">
        <v>6</v>
      </c>
      <c r="B28" s="5" t="s">
        <v>164</v>
      </c>
      <c r="C28" s="7">
        <v>21</v>
      </c>
      <c r="D28" s="7">
        <v>18</v>
      </c>
      <c r="E28" s="7">
        <v>3</v>
      </c>
      <c r="F28" s="9">
        <v>0.8571428571428571</v>
      </c>
      <c r="G28" s="7">
        <v>707</v>
      </c>
      <c r="H28" s="7">
        <v>6</v>
      </c>
    </row>
    <row r="29" spans="1:8">
      <c r="A29" s="5" t="s">
        <v>6</v>
      </c>
      <c r="B29" s="5" t="s">
        <v>165</v>
      </c>
      <c r="C29" s="7">
        <v>81</v>
      </c>
      <c r="D29" s="7">
        <v>67</v>
      </c>
      <c r="E29" s="7">
        <v>14</v>
      </c>
      <c r="F29" s="9">
        <v>0.8271604938271605</v>
      </c>
      <c r="G29" s="7">
        <v>4030</v>
      </c>
      <c r="H29" s="7">
        <v>231</v>
      </c>
    </row>
    <row r="30" spans="1:8">
      <c r="A30" s="5" t="s">
        <v>6</v>
      </c>
      <c r="B30" s="5" t="s">
        <v>166</v>
      </c>
      <c r="C30" s="7">
        <v>25</v>
      </c>
      <c r="D30" s="7">
        <v>25</v>
      </c>
      <c r="E30" s="7">
        <v>0</v>
      </c>
      <c r="F30" s="9">
        <v>1</v>
      </c>
      <c r="G30" s="7">
        <v>867</v>
      </c>
      <c r="H30" s="7">
        <v>0</v>
      </c>
    </row>
    <row r="31" spans="1:8">
      <c r="A31" s="5" t="s">
        <v>6</v>
      </c>
      <c r="B31" s="5" t="s">
        <v>167</v>
      </c>
      <c r="C31" s="7">
        <v>75</v>
      </c>
      <c r="D31" s="7">
        <v>58</v>
      </c>
      <c r="E31" s="7">
        <v>17</v>
      </c>
      <c r="F31" s="9">
        <v>0.7733333333333333</v>
      </c>
      <c r="G31" s="7">
        <v>2618</v>
      </c>
      <c r="H31" s="7">
        <v>27</v>
      </c>
    </row>
    <row r="32" spans="1:8">
      <c r="A32" s="5" t="s">
        <v>6</v>
      </c>
      <c r="B32" s="5" t="s">
        <v>168</v>
      </c>
      <c r="C32" s="7">
        <v>90</v>
      </c>
      <c r="D32" s="7">
        <v>70</v>
      </c>
      <c r="E32" s="7">
        <v>20</v>
      </c>
      <c r="F32" s="9">
        <v>0.7777777777777778</v>
      </c>
      <c r="G32" s="7">
        <v>3208</v>
      </c>
      <c r="H32" s="7">
        <v>61</v>
      </c>
    </row>
    <row r="33" spans="1:8">
      <c r="A33" s="5" t="s">
        <v>6</v>
      </c>
      <c r="B33" s="5" t="s">
        <v>169</v>
      </c>
      <c r="C33" s="7">
        <v>72</v>
      </c>
      <c r="D33" s="7">
        <v>52</v>
      </c>
      <c r="E33" s="7">
        <v>20</v>
      </c>
      <c r="F33" s="9">
        <v>0.7222222222222222</v>
      </c>
      <c r="G33" s="7">
        <v>962</v>
      </c>
      <c r="H33" s="7">
        <v>66</v>
      </c>
    </row>
    <row r="35" spans="1:8">
      <c r="A35" s="3" t="s">
        <v>170</v>
      </c>
    </row>
    <row r="36" spans="1:8">
      <c r="A36" s="6" t="s">
        <v>171</v>
      </c>
      <c r="B36" s="6" t="s">
        <v>172</v>
      </c>
      <c r="C36" s="6" t="s">
        <v>173</v>
      </c>
      <c r="D36" s="6" t="s">
        <v>174</v>
      </c>
      <c r="E36" s="6" t="s">
        <v>175</v>
      </c>
      <c r="F36" s="6" t="s">
        <v>176</v>
      </c>
      <c r="G36" s="6" t="s">
        <v>177</v>
      </c>
      <c r="H36" s="6" t="s">
        <v>178</v>
      </c>
    </row>
    <row r="37" spans="1:8">
      <c r="A37" s="5" t="s">
        <v>179</v>
      </c>
      <c r="B37" s="7">
        <v>74</v>
      </c>
      <c r="C37" s="9">
        <v>0.9054054054054054</v>
      </c>
      <c r="D37" s="7">
        <v>155</v>
      </c>
      <c r="E37" s="9">
        <v>0.7870967741935484</v>
      </c>
      <c r="F37" s="7">
        <v>229</v>
      </c>
      <c r="G37" s="9">
        <v>0.8253275109170306</v>
      </c>
      <c r="H37" s="7">
        <v>6611</v>
      </c>
    </row>
    <row r="38" spans="1:8">
      <c r="A38" s="5" t="s">
        <v>180</v>
      </c>
      <c r="B38" s="7">
        <v>73</v>
      </c>
      <c r="C38" s="9">
        <v>0.8356164383561644</v>
      </c>
      <c r="D38" s="7">
        <v>215</v>
      </c>
      <c r="E38" s="9">
        <v>0.7813953488372093</v>
      </c>
      <c r="F38" s="7">
        <v>288</v>
      </c>
      <c r="G38" s="9">
        <v>0.7951388888888888</v>
      </c>
      <c r="H38" s="7">
        <v>8724</v>
      </c>
    </row>
    <row r="39" spans="1:8">
      <c r="A39" s="5" t="s">
        <v>181</v>
      </c>
      <c r="B39" s="7">
        <v>9</v>
      </c>
      <c r="C39" s="9">
        <v>1</v>
      </c>
      <c r="D39" s="7">
        <v>48</v>
      </c>
      <c r="E39" s="9">
        <v>0.9166666666666666</v>
      </c>
      <c r="F39" s="7">
        <v>57</v>
      </c>
      <c r="G39" s="9">
        <v>0.9298245614035088</v>
      </c>
      <c r="H39" s="7">
        <v>867</v>
      </c>
    </row>
    <row r="41" spans="1:8">
      <c r="A41" s="3" t="s">
        <v>182</v>
      </c>
    </row>
    <row r="42" spans="1:8">
      <c r="A42" s="6" t="s">
        <v>34</v>
      </c>
      <c r="B42" s="6" t="s">
        <v>183</v>
      </c>
      <c r="C42" s="6" t="s">
        <v>21</v>
      </c>
      <c r="D42" s="6" t="s">
        <v>19</v>
      </c>
      <c r="E42" s="6" t="s">
        <v>184</v>
      </c>
    </row>
    <row r="43" spans="1:8">
      <c r="A43" s="5" t="s">
        <v>185</v>
      </c>
      <c r="B43" s="7">
        <v>13</v>
      </c>
      <c r="C43" s="7">
        <v>26</v>
      </c>
      <c r="D43" s="7">
        <v>57</v>
      </c>
      <c r="E43" s="9">
        <v>0.456140350877193</v>
      </c>
    </row>
    <row r="44" spans="1:8">
      <c r="A44" s="5" t="s">
        <v>186</v>
      </c>
      <c r="B44" s="7">
        <v>11</v>
      </c>
      <c r="C44" s="7">
        <v>20</v>
      </c>
      <c r="D44" s="7">
        <v>46</v>
      </c>
      <c r="E44" s="9">
        <v>0.4347826086956522</v>
      </c>
    </row>
    <row r="45" spans="1:8">
      <c r="A45" s="5" t="s">
        <v>187</v>
      </c>
      <c r="B45" s="7">
        <v>10</v>
      </c>
      <c r="C45" s="7">
        <v>15</v>
      </c>
      <c r="D45" s="7">
        <v>18</v>
      </c>
      <c r="E45" s="9">
        <v>0.8333333333333334</v>
      </c>
    </row>
    <row r="46" spans="1:8">
      <c r="A46" s="5" t="s">
        <v>188</v>
      </c>
      <c r="B46" s="7">
        <v>6</v>
      </c>
      <c r="C46" s="7">
        <v>6</v>
      </c>
      <c r="D46" s="7">
        <v>16</v>
      </c>
      <c r="E46" s="9">
        <v>0.375</v>
      </c>
    </row>
    <row r="47" spans="1:8">
      <c r="A47" s="5" t="s">
        <v>189</v>
      </c>
      <c r="B47" s="7">
        <v>5</v>
      </c>
      <c r="C47" s="7">
        <v>12</v>
      </c>
      <c r="D47" s="7">
        <v>17</v>
      </c>
      <c r="E47" s="9">
        <v>0.7058823529411765</v>
      </c>
    </row>
    <row r="48" spans="1:8">
      <c r="A48" s="5" t="s">
        <v>46</v>
      </c>
      <c r="B48" s="7">
        <v>4</v>
      </c>
      <c r="C48" s="7">
        <v>140</v>
      </c>
      <c r="D48" s="7">
        <v>530</v>
      </c>
      <c r="E48" s="9">
        <v>0.2641509433962264</v>
      </c>
    </row>
    <row r="49" spans="1:5">
      <c r="A49" s="5" t="s">
        <v>190</v>
      </c>
      <c r="B49" s="7">
        <v>4</v>
      </c>
      <c r="C49" s="7">
        <v>7</v>
      </c>
      <c r="D49" s="7">
        <v>18</v>
      </c>
      <c r="E49" s="9">
        <v>0.3888888888888889</v>
      </c>
    </row>
    <row r="50" spans="1:5">
      <c r="A50" s="5" t="s">
        <v>191</v>
      </c>
      <c r="B50" s="7">
        <v>4</v>
      </c>
      <c r="C50" s="7">
        <v>6</v>
      </c>
      <c r="D50" s="7">
        <v>11</v>
      </c>
      <c r="E50" s="9">
        <v>0.5454545454545454</v>
      </c>
    </row>
    <row r="51" spans="1:5">
      <c r="A51" s="5" t="s">
        <v>192</v>
      </c>
      <c r="B51" s="7">
        <v>4</v>
      </c>
      <c r="C51" s="7">
        <v>6</v>
      </c>
      <c r="D51" s="7">
        <v>14</v>
      </c>
      <c r="E51" s="9">
        <v>0.4285714285714285</v>
      </c>
    </row>
    <row r="52" spans="1:5">
      <c r="A52" s="5" t="s">
        <v>193</v>
      </c>
      <c r="B52" s="7">
        <v>4</v>
      </c>
      <c r="C52" s="7">
        <v>5</v>
      </c>
      <c r="D52" s="7">
        <v>36</v>
      </c>
      <c r="E52" s="9">
        <v>0.1388888888888889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E75B6"/>
  </sheetPr>
  <dimension ref="A1:U6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34.7109375" customWidth="1"/>
    <col min="2" max="2" width="23.7109375" customWidth="1"/>
    <col min="3" max="3" width="10.7109375" customWidth="1"/>
    <col min="4" max="4" width="12.7109375" customWidth="1"/>
    <col min="5" max="5" width="11.7109375" customWidth="1"/>
    <col min="6" max="6" width="12.7109375" customWidth="1"/>
    <col min="7" max="8" width="10.7109375" customWidth="1"/>
    <col min="9" max="9" width="9.7109375" customWidth="1"/>
    <col min="10" max="10" width="15.7109375" customWidth="1"/>
    <col min="11" max="13" width="10.7109375" customWidth="1"/>
    <col min="14" max="14" width="11.7109375" customWidth="1"/>
    <col min="15" max="16" width="10.7109375" customWidth="1"/>
    <col min="17" max="18" width="11.7109375" customWidth="1"/>
    <col min="19" max="19" width="12.7109375" customWidth="1"/>
    <col min="20" max="20" width="10.7109375" customWidth="1"/>
    <col min="21" max="21" width="11.7109375" customWidth="1"/>
  </cols>
  <sheetData>
    <row r="1" spans="1:21" ht="26" customHeight="1">
      <c r="A1" s="1" t="s">
        <v>194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42" customHeight="1">
      <c r="A2" s="2" t="s">
        <v>195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spans="1:21" ht="44" customHeight="1">
      <c r="A4" s="6" t="s">
        <v>34</v>
      </c>
      <c r="B4" s="6" t="s">
        <v>35</v>
      </c>
      <c r="C4" s="6" t="s">
        <v>196</v>
      </c>
      <c r="D4" s="6" t="s">
        <v>197</v>
      </c>
      <c r="E4" s="6" t="s">
        <v>20</v>
      </c>
      <c r="F4" s="6" t="s">
        <v>198</v>
      </c>
      <c r="G4" s="6" t="s">
        <v>199</v>
      </c>
      <c r="H4" s="6" t="s">
        <v>200</v>
      </c>
      <c r="I4" s="6" t="s">
        <v>201</v>
      </c>
      <c r="J4" s="6" t="s">
        <v>202</v>
      </c>
      <c r="K4" s="6" t="s">
        <v>203</v>
      </c>
      <c r="L4" s="6" t="s">
        <v>204</v>
      </c>
      <c r="M4" s="6" t="s">
        <v>205</v>
      </c>
      <c r="N4" s="6" t="s">
        <v>206</v>
      </c>
      <c r="O4" s="6" t="s">
        <v>207</v>
      </c>
      <c r="P4" s="6" t="s">
        <v>208</v>
      </c>
      <c r="Q4" s="6" t="s">
        <v>209</v>
      </c>
      <c r="R4" s="6" t="s">
        <v>210</v>
      </c>
      <c r="S4" s="6" t="s">
        <v>211</v>
      </c>
      <c r="T4" s="6" t="s">
        <v>212</v>
      </c>
      <c r="U4" s="6" t="s">
        <v>213</v>
      </c>
    </row>
    <row r="5" spans="1:21">
      <c r="A5" s="5" t="s">
        <v>48</v>
      </c>
      <c r="B5" s="5" t="s">
        <v>47</v>
      </c>
      <c r="C5" s="7">
        <v>10</v>
      </c>
      <c r="D5" s="7">
        <v>52</v>
      </c>
      <c r="E5" s="7">
        <v>52</v>
      </c>
      <c r="F5" s="7">
        <v>0</v>
      </c>
      <c r="G5" s="9">
        <v>1</v>
      </c>
      <c r="H5" s="13">
        <v>0.8966</v>
      </c>
      <c r="I5" s="13">
        <v>11.8683</v>
      </c>
      <c r="J5" s="5" t="s">
        <v>214</v>
      </c>
      <c r="K5" s="15">
        <f>IF(LEFT(J5,1)="X",PARAMETROS!$B$11,IF(LEFT(J5,1)="Y",PARAMETROS!$B$12,PARAMETROS!$B$13))</f>
        <v>0.84</v>
      </c>
      <c r="L5" s="14">
        <f>PARAMETROS!$B$7</f>
        <v>7</v>
      </c>
      <c r="M5" s="13">
        <f>ROUND(K5*I5*SQRT(L5/7),2)</f>
        <v>9.97</v>
      </c>
      <c r="N5" s="7">
        <f>ROUNDUP(H5*L5+M5,0)</f>
        <v>17</v>
      </c>
      <c r="O5" s="14">
        <v>0</v>
      </c>
      <c r="P5" s="7">
        <f>ROUNDUP(H5*(L5+PARAMETROS!$B$8)+M5,0)</f>
        <v>23</v>
      </c>
      <c r="Q5" s="7">
        <f>MAX(0,P5-O5)</f>
        <v>23</v>
      </c>
      <c r="R5" s="7">
        <f>ROUNDUP(H5*(L5+PARAMETROS!$B$9)+M5,0)</f>
        <v>29</v>
      </c>
      <c r="S5" s="7">
        <f>MAX(0,R5-O5)</f>
        <v>29</v>
      </c>
      <c r="T5" s="7">
        <f>ROUNDUP(H5*(L5+PARAMETROS!$B$10)+M5,0)</f>
        <v>44</v>
      </c>
      <c r="U5" s="7">
        <f>MAX(0,T5-O5)</f>
        <v>44</v>
      </c>
    </row>
    <row r="6" spans="1:21">
      <c r="A6" s="18" t="s">
        <v>41</v>
      </c>
      <c r="B6" s="18" t="s">
        <v>40</v>
      </c>
      <c r="C6" s="19">
        <v>3</v>
      </c>
      <c r="D6" s="19">
        <v>50</v>
      </c>
      <c r="E6" s="19">
        <v>50</v>
      </c>
      <c r="F6" s="19">
        <v>0</v>
      </c>
      <c r="G6" s="20">
        <v>1</v>
      </c>
      <c r="H6" s="21">
        <v>0.8621</v>
      </c>
      <c r="I6" s="21">
        <v>10.6066</v>
      </c>
      <c r="J6" s="18" t="s">
        <v>214</v>
      </c>
      <c r="K6" s="15">
        <f>IF(LEFT(J6,1)="X",PARAMETROS!$B$11,IF(LEFT(J6,1)="Y",PARAMETROS!$B$12,PARAMETROS!$B$13))</f>
        <v>0.84</v>
      </c>
      <c r="L6" s="14">
        <f>PARAMETROS!$B$7</f>
        <v>7</v>
      </c>
      <c r="M6" s="21">
        <f>ROUND(K6*I6*SQRT(L6/7),2)</f>
        <v>8.91</v>
      </c>
      <c r="N6" s="19">
        <f>ROUNDUP(H6*L6+M6,0)</f>
        <v>15</v>
      </c>
      <c r="O6" s="14">
        <v>0</v>
      </c>
      <c r="P6" s="19">
        <f>ROUNDUP(H6*(L6+PARAMETROS!$B$8)+M6,0)</f>
        <v>21</v>
      </c>
      <c r="Q6" s="19">
        <f>MAX(0,P6-O6)</f>
        <v>21</v>
      </c>
      <c r="R6" s="19">
        <f>ROUNDUP(H6*(L6+PARAMETROS!$B$9)+M6,0)</f>
        <v>28</v>
      </c>
      <c r="S6" s="19">
        <f>MAX(0,R6-O6)</f>
        <v>28</v>
      </c>
      <c r="T6" s="19">
        <f>ROUNDUP(H6*(L6+PARAMETROS!$B$10)+M6,0)</f>
        <v>41</v>
      </c>
      <c r="U6" s="19">
        <f>MAX(0,T6-O6)</f>
        <v>41</v>
      </c>
    </row>
    <row r="7" spans="1:21">
      <c r="A7" s="5" t="s">
        <v>50</v>
      </c>
      <c r="B7" s="5" t="s">
        <v>40</v>
      </c>
      <c r="C7" s="7">
        <v>2</v>
      </c>
      <c r="D7" s="7">
        <v>35</v>
      </c>
      <c r="E7" s="7">
        <v>35</v>
      </c>
      <c r="F7" s="7">
        <v>0</v>
      </c>
      <c r="G7" s="9">
        <v>1</v>
      </c>
      <c r="H7" s="13">
        <v>0.6034</v>
      </c>
      <c r="I7" s="13">
        <v>8.2104</v>
      </c>
      <c r="J7" s="5" t="s">
        <v>214</v>
      </c>
      <c r="K7" s="15">
        <f>IF(LEFT(J7,1)="X",PARAMETROS!$B$11,IF(LEFT(J7,1)="Y",PARAMETROS!$B$12,PARAMETROS!$B$13))</f>
        <v>0.84</v>
      </c>
      <c r="L7" s="14">
        <f>PARAMETROS!$B$7</f>
        <v>7</v>
      </c>
      <c r="M7" s="13">
        <f>ROUND(K7*I7*SQRT(L7/7),2)</f>
        <v>6.9</v>
      </c>
      <c r="N7" s="7">
        <f>ROUNDUP(H7*L7+M7,0)</f>
        <v>12</v>
      </c>
      <c r="O7" s="14">
        <v>0</v>
      </c>
      <c r="P7" s="7">
        <f>ROUNDUP(H7*(L7+PARAMETROS!$B$8)+M7,0)</f>
        <v>16</v>
      </c>
      <c r="Q7" s="7">
        <f>MAX(0,P7-O7)</f>
        <v>16</v>
      </c>
      <c r="R7" s="7">
        <f>ROUNDUP(H7*(L7+PARAMETROS!$B$9)+M7,0)</f>
        <v>20</v>
      </c>
      <c r="S7" s="7">
        <f>MAX(0,R7-O7)</f>
        <v>20</v>
      </c>
      <c r="T7" s="7">
        <f>ROUNDUP(H7*(L7+PARAMETROS!$B$10)+M7,0)</f>
        <v>30</v>
      </c>
      <c r="U7" s="7">
        <f>MAX(0,T7-O7)</f>
        <v>30</v>
      </c>
    </row>
    <row r="8" spans="1:21">
      <c r="A8" s="18" t="s">
        <v>215</v>
      </c>
      <c r="B8" s="18" t="s">
        <v>216</v>
      </c>
      <c r="C8" s="19">
        <v>9</v>
      </c>
      <c r="D8" s="19">
        <v>35</v>
      </c>
      <c r="E8" s="19">
        <v>33</v>
      </c>
      <c r="F8" s="19">
        <v>2</v>
      </c>
      <c r="G8" s="20">
        <v>0.9428571428571428</v>
      </c>
      <c r="H8" s="21">
        <v>0.6034</v>
      </c>
      <c r="I8" s="21">
        <v>5.0409</v>
      </c>
      <c r="J8" s="18" t="s">
        <v>214</v>
      </c>
      <c r="K8" s="15">
        <f>IF(LEFT(J8,1)="X",PARAMETROS!$B$11,IF(LEFT(J8,1)="Y",PARAMETROS!$B$12,PARAMETROS!$B$13))</f>
        <v>0.84</v>
      </c>
      <c r="L8" s="14">
        <f>PARAMETROS!$B$7</f>
        <v>7</v>
      </c>
      <c r="M8" s="21">
        <f>ROUND(K8*I8*SQRT(L8/7),2)</f>
        <v>4.23</v>
      </c>
      <c r="N8" s="19">
        <f>ROUNDUP(H8*L8+M8,0)</f>
        <v>9</v>
      </c>
      <c r="O8" s="14">
        <v>0</v>
      </c>
      <c r="P8" s="19">
        <f>ROUNDUP(H8*(L8+PARAMETROS!$B$8)+M8,0)</f>
        <v>13</v>
      </c>
      <c r="Q8" s="19">
        <f>MAX(0,P8-O8)</f>
        <v>13</v>
      </c>
      <c r="R8" s="19">
        <f>ROUNDUP(H8*(L8+PARAMETROS!$B$9)+M8,0)</f>
        <v>17</v>
      </c>
      <c r="S8" s="19">
        <f>MAX(0,R8-O8)</f>
        <v>17</v>
      </c>
      <c r="T8" s="19">
        <f>ROUNDUP(H8*(L8+PARAMETROS!$B$10)+M8,0)</f>
        <v>27</v>
      </c>
      <c r="U8" s="19">
        <f>MAX(0,T8-O8)</f>
        <v>27</v>
      </c>
    </row>
    <row r="9" spans="1:21">
      <c r="A9" s="5" t="s">
        <v>217</v>
      </c>
      <c r="B9" s="5" t="s">
        <v>216</v>
      </c>
      <c r="C9" s="7">
        <v>13</v>
      </c>
      <c r="D9" s="7">
        <v>29</v>
      </c>
      <c r="E9" s="7">
        <v>29</v>
      </c>
      <c r="F9" s="7">
        <v>0</v>
      </c>
      <c r="G9" s="9">
        <v>1</v>
      </c>
      <c r="H9" s="13">
        <v>0.5</v>
      </c>
      <c r="I9" s="13">
        <v>3.9641</v>
      </c>
      <c r="J9" s="5" t="s">
        <v>214</v>
      </c>
      <c r="K9" s="15">
        <f>IF(LEFT(J9,1)="X",PARAMETROS!$B$11,IF(LEFT(J9,1)="Y",PARAMETROS!$B$12,PARAMETROS!$B$13))</f>
        <v>0.84</v>
      </c>
      <c r="L9" s="14">
        <f>PARAMETROS!$B$7</f>
        <v>7</v>
      </c>
      <c r="M9" s="13">
        <f>ROUND(K9*I9*SQRT(L9/7),2)</f>
        <v>3.33</v>
      </c>
      <c r="N9" s="7">
        <f>ROUNDUP(H9*L9+M9,0)</f>
        <v>7</v>
      </c>
      <c r="O9" s="14">
        <v>0</v>
      </c>
      <c r="P9" s="7">
        <f>ROUNDUP(H9*(L9+PARAMETROS!$B$8)+M9,0)</f>
        <v>11</v>
      </c>
      <c r="Q9" s="7">
        <f>MAX(0,P9-O9)</f>
        <v>11</v>
      </c>
      <c r="R9" s="7">
        <f>ROUNDUP(H9*(L9+PARAMETROS!$B$9)+M9,0)</f>
        <v>14</v>
      </c>
      <c r="S9" s="7">
        <f>MAX(0,R9-O9)</f>
        <v>14</v>
      </c>
      <c r="T9" s="7">
        <f>ROUNDUP(H9*(L9+PARAMETROS!$B$10)+M9,0)</f>
        <v>22</v>
      </c>
      <c r="U9" s="7">
        <f>MAX(0,T9-O9)</f>
        <v>22</v>
      </c>
    </row>
    <row r="10" spans="1:21">
      <c r="A10" s="18" t="s">
        <v>46</v>
      </c>
      <c r="B10" s="18" t="s">
        <v>47</v>
      </c>
      <c r="C10" s="19">
        <v>1</v>
      </c>
      <c r="D10" s="19">
        <v>25</v>
      </c>
      <c r="E10" s="19">
        <v>25</v>
      </c>
      <c r="F10" s="19">
        <v>0</v>
      </c>
      <c r="G10" s="20">
        <v>1</v>
      </c>
      <c r="H10" s="21">
        <v>0.431</v>
      </c>
      <c r="I10" s="21">
        <v>8.838800000000001</v>
      </c>
      <c r="J10" s="18" t="s">
        <v>214</v>
      </c>
      <c r="K10" s="15">
        <f>IF(LEFT(J10,1)="X",PARAMETROS!$B$11,IF(LEFT(J10,1)="Y",PARAMETROS!$B$12,PARAMETROS!$B$13))</f>
        <v>0.84</v>
      </c>
      <c r="L10" s="14">
        <f>PARAMETROS!$B$7</f>
        <v>7</v>
      </c>
      <c r="M10" s="21">
        <f>ROUND(K10*I10*SQRT(L10/7),2)</f>
        <v>7.42</v>
      </c>
      <c r="N10" s="19">
        <f>ROUNDUP(H10*L10+M10,0)</f>
        <v>11</v>
      </c>
      <c r="O10" s="14">
        <v>0</v>
      </c>
      <c r="P10" s="19">
        <f>ROUNDUP(H10*(L10+PARAMETROS!$B$8)+M10,0)</f>
        <v>14</v>
      </c>
      <c r="Q10" s="19">
        <f>MAX(0,P10-O10)</f>
        <v>14</v>
      </c>
      <c r="R10" s="19">
        <f>ROUNDUP(H10*(L10+PARAMETROS!$B$9)+M10,0)</f>
        <v>17</v>
      </c>
      <c r="S10" s="19">
        <f>MAX(0,R10-O10)</f>
        <v>17</v>
      </c>
      <c r="T10" s="19">
        <f>ROUNDUP(H10*(L10+PARAMETROS!$B$10)+M10,0)</f>
        <v>24</v>
      </c>
      <c r="U10" s="19">
        <f>MAX(0,T10-O10)</f>
        <v>24</v>
      </c>
    </row>
    <row r="11" spans="1:21">
      <c r="A11" s="5" t="s">
        <v>218</v>
      </c>
      <c r="B11" s="5" t="s">
        <v>219</v>
      </c>
      <c r="C11" s="7">
        <v>3</v>
      </c>
      <c r="D11" s="7">
        <v>21</v>
      </c>
      <c r="E11" s="7">
        <v>21</v>
      </c>
      <c r="F11" s="7">
        <v>0</v>
      </c>
      <c r="G11" s="9">
        <v>1</v>
      </c>
      <c r="H11" s="13">
        <v>0.3621</v>
      </c>
      <c r="I11" s="13">
        <v>5.6805</v>
      </c>
      <c r="J11" s="5" t="s">
        <v>214</v>
      </c>
      <c r="K11" s="15">
        <f>IF(LEFT(J11,1)="X",PARAMETROS!$B$11,IF(LEFT(J11,1)="Y",PARAMETROS!$B$12,PARAMETROS!$B$13))</f>
        <v>0.84</v>
      </c>
      <c r="L11" s="14">
        <f>PARAMETROS!$B$7</f>
        <v>7</v>
      </c>
      <c r="M11" s="13">
        <f>ROUND(K11*I11*SQRT(L11/7),2)</f>
        <v>4.77</v>
      </c>
      <c r="N11" s="7">
        <f>ROUNDUP(H11*L11+M11,0)</f>
        <v>8</v>
      </c>
      <c r="O11" s="14">
        <v>0</v>
      </c>
      <c r="P11" s="7">
        <f>ROUNDUP(H11*(L11+PARAMETROS!$B$8)+M11,0)</f>
        <v>10</v>
      </c>
      <c r="Q11" s="7">
        <f>MAX(0,P11-O11)</f>
        <v>10</v>
      </c>
      <c r="R11" s="7">
        <f>ROUNDUP(H11*(L11+PARAMETROS!$B$9)+M11,0)</f>
        <v>13</v>
      </c>
      <c r="S11" s="7">
        <f>MAX(0,R11-O11)</f>
        <v>13</v>
      </c>
      <c r="T11" s="7">
        <f>ROUNDUP(H11*(L11+PARAMETROS!$B$10)+M11,0)</f>
        <v>19</v>
      </c>
      <c r="U11" s="7">
        <f>MAX(0,T11-O11)</f>
        <v>19</v>
      </c>
    </row>
    <row r="12" spans="1:21">
      <c r="A12" s="18" t="s">
        <v>220</v>
      </c>
      <c r="B12" s="18" t="s">
        <v>40</v>
      </c>
      <c r="C12" s="19">
        <v>9</v>
      </c>
      <c r="D12" s="19">
        <v>20</v>
      </c>
      <c r="E12" s="19">
        <v>18</v>
      </c>
      <c r="F12" s="19">
        <v>2</v>
      </c>
      <c r="G12" s="20">
        <v>0.9</v>
      </c>
      <c r="H12" s="21">
        <v>0.3448</v>
      </c>
      <c r="I12" s="21">
        <v>5.5533</v>
      </c>
      <c r="J12" s="18" t="s">
        <v>214</v>
      </c>
      <c r="K12" s="15">
        <f>IF(LEFT(J12,1)="X",PARAMETROS!$B$11,IF(LEFT(J12,1)="Y",PARAMETROS!$B$12,PARAMETROS!$B$13))</f>
        <v>0.84</v>
      </c>
      <c r="L12" s="14">
        <f>PARAMETROS!$B$7</f>
        <v>7</v>
      </c>
      <c r="M12" s="21">
        <f>ROUND(K12*I12*SQRT(L12/7),2)</f>
        <v>4.66</v>
      </c>
      <c r="N12" s="19">
        <f>ROUNDUP(H12*L12+M12,0)</f>
        <v>8</v>
      </c>
      <c r="O12" s="14">
        <v>0</v>
      </c>
      <c r="P12" s="19">
        <f>ROUNDUP(H12*(L12+PARAMETROS!$B$8)+M12,0)</f>
        <v>10</v>
      </c>
      <c r="Q12" s="19">
        <f>MAX(0,P12-O12)</f>
        <v>10</v>
      </c>
      <c r="R12" s="19">
        <f>ROUNDUP(H12*(L12+PARAMETROS!$B$9)+M12,0)</f>
        <v>12</v>
      </c>
      <c r="S12" s="19">
        <f>MAX(0,R12-O12)</f>
        <v>12</v>
      </c>
      <c r="T12" s="19">
        <f>ROUNDUP(H12*(L12+PARAMETROS!$B$10)+M12,0)</f>
        <v>18</v>
      </c>
      <c r="U12" s="19">
        <f>MAX(0,T12-O12)</f>
        <v>18</v>
      </c>
    </row>
    <row r="13" spans="1:21">
      <c r="A13" s="5" t="s">
        <v>193</v>
      </c>
      <c r="B13" s="5" t="s">
        <v>216</v>
      </c>
      <c r="C13" s="7">
        <v>10</v>
      </c>
      <c r="D13" s="7">
        <v>16</v>
      </c>
      <c r="E13" s="7">
        <v>13</v>
      </c>
      <c r="F13" s="7">
        <v>3</v>
      </c>
      <c r="G13" s="9">
        <v>0.8125</v>
      </c>
      <c r="H13" s="13">
        <v>0.2759</v>
      </c>
      <c r="I13" s="13">
        <v>0.7071</v>
      </c>
      <c r="J13" s="5" t="s">
        <v>221</v>
      </c>
      <c r="K13" s="15">
        <f>IF(LEFT(J13,1)="X",PARAMETROS!$B$11,IF(LEFT(J13,1)="Y",PARAMETROS!$B$12,PARAMETROS!$B$13))</f>
        <v>1.65</v>
      </c>
      <c r="L13" s="14">
        <f>PARAMETROS!$B$7</f>
        <v>7</v>
      </c>
      <c r="M13" s="13">
        <f>ROUND(K13*I13*SQRT(L13/7),2)</f>
        <v>1.17</v>
      </c>
      <c r="N13" s="7">
        <f>ROUNDUP(H13*L13+M13,0)</f>
        <v>4</v>
      </c>
      <c r="O13" s="14">
        <v>0</v>
      </c>
      <c r="P13" s="7">
        <f>ROUNDUP(H13*(L13+PARAMETROS!$B$8)+M13,0)</f>
        <v>6</v>
      </c>
      <c r="Q13" s="7">
        <f>MAX(0,P13-O13)</f>
        <v>6</v>
      </c>
      <c r="R13" s="7">
        <f>ROUNDUP(H13*(L13+PARAMETROS!$B$9)+M13,0)</f>
        <v>7</v>
      </c>
      <c r="S13" s="7">
        <f>MAX(0,R13-O13)</f>
        <v>7</v>
      </c>
      <c r="T13" s="7">
        <f>ROUNDUP(H13*(L13+PARAMETROS!$B$10)+M13,0)</f>
        <v>12</v>
      </c>
      <c r="U13" s="7">
        <f>MAX(0,T13-O13)</f>
        <v>12</v>
      </c>
    </row>
    <row r="14" spans="1:21">
      <c r="A14" s="18" t="s">
        <v>222</v>
      </c>
      <c r="B14" s="18" t="s">
        <v>40</v>
      </c>
      <c r="C14" s="19">
        <v>3</v>
      </c>
      <c r="D14" s="19">
        <v>13</v>
      </c>
      <c r="E14" s="19">
        <v>10</v>
      </c>
      <c r="F14" s="19">
        <v>3</v>
      </c>
      <c r="G14" s="20">
        <v>0.7692307692307693</v>
      </c>
      <c r="H14" s="21">
        <v>0.2241</v>
      </c>
      <c r="I14" s="21">
        <v>3.8522</v>
      </c>
      <c r="J14" s="18" t="s">
        <v>214</v>
      </c>
      <c r="K14" s="15">
        <f>IF(LEFT(J14,1)="X",PARAMETROS!$B$11,IF(LEFT(J14,1)="Y",PARAMETROS!$B$12,PARAMETROS!$B$13))</f>
        <v>0.84</v>
      </c>
      <c r="L14" s="14">
        <f>PARAMETROS!$B$7</f>
        <v>7</v>
      </c>
      <c r="M14" s="21">
        <f>ROUND(K14*I14*SQRT(L14/7),2)</f>
        <v>3.24</v>
      </c>
      <c r="N14" s="19">
        <f>ROUNDUP(H14*L14+M14,0)</f>
        <v>5</v>
      </c>
      <c r="O14" s="14">
        <v>0</v>
      </c>
      <c r="P14" s="19">
        <f>ROUNDUP(H14*(L14+PARAMETROS!$B$8)+M14,0)</f>
        <v>7</v>
      </c>
      <c r="Q14" s="19">
        <f>MAX(0,P14-O14)</f>
        <v>7</v>
      </c>
      <c r="R14" s="19">
        <f>ROUNDUP(H14*(L14+PARAMETROS!$B$9)+M14,0)</f>
        <v>8</v>
      </c>
      <c r="S14" s="19">
        <f>MAX(0,R14-O14)</f>
        <v>8</v>
      </c>
      <c r="T14" s="19">
        <f>ROUNDUP(H14*(L14+PARAMETROS!$B$10)+M14,0)</f>
        <v>12</v>
      </c>
      <c r="U14" s="19">
        <f>MAX(0,T14-O14)</f>
        <v>12</v>
      </c>
    </row>
    <row r="15" spans="1:21">
      <c r="A15" s="5" t="s">
        <v>223</v>
      </c>
      <c r="B15" s="5" t="s">
        <v>40</v>
      </c>
      <c r="C15" s="7">
        <v>7</v>
      </c>
      <c r="D15" s="7">
        <v>12</v>
      </c>
      <c r="E15" s="7">
        <v>12</v>
      </c>
      <c r="F15" s="7">
        <v>0</v>
      </c>
      <c r="G15" s="9">
        <v>1</v>
      </c>
      <c r="H15" s="13">
        <v>0.2069</v>
      </c>
      <c r="I15" s="13">
        <v>1.7525</v>
      </c>
      <c r="J15" s="5" t="s">
        <v>214</v>
      </c>
      <c r="K15" s="15">
        <f>IF(LEFT(J15,1)="X",PARAMETROS!$B$11,IF(LEFT(J15,1)="Y",PARAMETROS!$B$12,PARAMETROS!$B$13))</f>
        <v>0.84</v>
      </c>
      <c r="L15" s="14">
        <f>PARAMETROS!$B$7</f>
        <v>7</v>
      </c>
      <c r="M15" s="13">
        <f>ROUND(K15*I15*SQRT(L15/7),2)</f>
        <v>1.47</v>
      </c>
      <c r="N15" s="7">
        <f>ROUNDUP(H15*L15+M15,0)</f>
        <v>3</v>
      </c>
      <c r="O15" s="14">
        <v>0</v>
      </c>
      <c r="P15" s="7">
        <f>ROUNDUP(H15*(L15+PARAMETROS!$B$8)+M15,0)</f>
        <v>5</v>
      </c>
      <c r="Q15" s="7">
        <f>MAX(0,P15-O15)</f>
        <v>5</v>
      </c>
      <c r="R15" s="7">
        <f>ROUNDUP(H15*(L15+PARAMETROS!$B$9)+M15,0)</f>
        <v>6</v>
      </c>
      <c r="S15" s="7">
        <f>MAX(0,R15-O15)</f>
        <v>6</v>
      </c>
      <c r="T15" s="7">
        <f>ROUNDUP(H15*(L15+PARAMETROS!$B$10)+M15,0)</f>
        <v>10</v>
      </c>
      <c r="U15" s="7">
        <f>MAX(0,T15-O15)</f>
        <v>10</v>
      </c>
    </row>
    <row r="16" spans="1:21">
      <c r="A16" s="18" t="s">
        <v>224</v>
      </c>
      <c r="B16" s="18" t="s">
        <v>40</v>
      </c>
      <c r="C16" s="19">
        <v>1</v>
      </c>
      <c r="D16" s="19">
        <v>10</v>
      </c>
      <c r="E16" s="19">
        <v>10</v>
      </c>
      <c r="F16" s="19">
        <v>0</v>
      </c>
      <c r="G16" s="20">
        <v>1</v>
      </c>
      <c r="H16" s="21">
        <v>0.1724</v>
      </c>
      <c r="I16" s="21">
        <v>3.5355</v>
      </c>
      <c r="J16" s="18" t="s">
        <v>214</v>
      </c>
      <c r="K16" s="15">
        <f>IF(LEFT(J16,1)="X",PARAMETROS!$B$11,IF(LEFT(J16,1)="Y",PARAMETROS!$B$12,PARAMETROS!$B$13))</f>
        <v>0.84</v>
      </c>
      <c r="L16" s="14">
        <f>PARAMETROS!$B$7</f>
        <v>7</v>
      </c>
      <c r="M16" s="21">
        <f>ROUND(K16*I16*SQRT(L16/7),2)</f>
        <v>2.97</v>
      </c>
      <c r="N16" s="19">
        <f>ROUNDUP(H16*L16+M16,0)</f>
        <v>5</v>
      </c>
      <c r="O16" s="14">
        <v>0</v>
      </c>
      <c r="P16" s="19">
        <f>ROUNDUP(H16*(L16+PARAMETROS!$B$8)+M16,0)</f>
        <v>6</v>
      </c>
      <c r="Q16" s="19">
        <f>MAX(0,P16-O16)</f>
        <v>6</v>
      </c>
      <c r="R16" s="19">
        <f>ROUNDUP(H16*(L16+PARAMETROS!$B$9)+M16,0)</f>
        <v>7</v>
      </c>
      <c r="S16" s="19">
        <f>MAX(0,R16-O16)</f>
        <v>7</v>
      </c>
      <c r="T16" s="19">
        <f>ROUNDUP(H16*(L16+PARAMETROS!$B$10)+M16,0)</f>
        <v>10</v>
      </c>
      <c r="U16" s="19">
        <f>MAX(0,T16-O16)</f>
        <v>10</v>
      </c>
    </row>
    <row r="17" spans="1:21">
      <c r="A17" s="5" t="s">
        <v>42</v>
      </c>
      <c r="B17" s="5" t="s">
        <v>40</v>
      </c>
      <c r="C17" s="7">
        <v>1</v>
      </c>
      <c r="D17" s="7">
        <v>10</v>
      </c>
      <c r="E17" s="7">
        <v>10</v>
      </c>
      <c r="F17" s="7">
        <v>0</v>
      </c>
      <c r="G17" s="9">
        <v>1</v>
      </c>
      <c r="H17" s="13">
        <v>0.1724</v>
      </c>
      <c r="I17" s="13">
        <v>3.5355</v>
      </c>
      <c r="J17" s="5" t="s">
        <v>214</v>
      </c>
      <c r="K17" s="15">
        <f>IF(LEFT(J17,1)="X",PARAMETROS!$B$11,IF(LEFT(J17,1)="Y",PARAMETROS!$B$12,PARAMETROS!$B$13))</f>
        <v>0.84</v>
      </c>
      <c r="L17" s="14">
        <f>PARAMETROS!$B$7</f>
        <v>7</v>
      </c>
      <c r="M17" s="13">
        <f>ROUND(K17*I17*SQRT(L17/7),2)</f>
        <v>2.97</v>
      </c>
      <c r="N17" s="7">
        <f>ROUNDUP(H17*L17+M17,0)</f>
        <v>5</v>
      </c>
      <c r="O17" s="14">
        <v>0</v>
      </c>
      <c r="P17" s="7">
        <f>ROUNDUP(H17*(L17+PARAMETROS!$B$8)+M17,0)</f>
        <v>6</v>
      </c>
      <c r="Q17" s="7">
        <f>MAX(0,P17-O17)</f>
        <v>6</v>
      </c>
      <c r="R17" s="7">
        <f>ROUNDUP(H17*(L17+PARAMETROS!$B$9)+M17,0)</f>
        <v>7</v>
      </c>
      <c r="S17" s="7">
        <f>MAX(0,R17-O17)</f>
        <v>7</v>
      </c>
      <c r="T17" s="7">
        <f>ROUNDUP(H17*(L17+PARAMETROS!$B$10)+M17,0)</f>
        <v>10</v>
      </c>
      <c r="U17" s="7">
        <f>MAX(0,T17-O17)</f>
        <v>10</v>
      </c>
    </row>
    <row r="18" spans="1:21">
      <c r="A18" s="18" t="s">
        <v>43</v>
      </c>
      <c r="B18" s="18" t="s">
        <v>40</v>
      </c>
      <c r="C18" s="19">
        <v>1</v>
      </c>
      <c r="D18" s="19">
        <v>10</v>
      </c>
      <c r="E18" s="19">
        <v>10</v>
      </c>
      <c r="F18" s="19">
        <v>0</v>
      </c>
      <c r="G18" s="20">
        <v>1</v>
      </c>
      <c r="H18" s="21">
        <v>0.1724</v>
      </c>
      <c r="I18" s="21">
        <v>3.5355</v>
      </c>
      <c r="J18" s="18" t="s">
        <v>214</v>
      </c>
      <c r="K18" s="15">
        <f>IF(LEFT(J18,1)="X",PARAMETROS!$B$11,IF(LEFT(J18,1)="Y",PARAMETROS!$B$12,PARAMETROS!$B$13))</f>
        <v>0.84</v>
      </c>
      <c r="L18" s="14">
        <f>PARAMETROS!$B$7</f>
        <v>7</v>
      </c>
      <c r="M18" s="21">
        <f>ROUND(K18*I18*SQRT(L18/7),2)</f>
        <v>2.97</v>
      </c>
      <c r="N18" s="19">
        <f>ROUNDUP(H18*L18+M18,0)</f>
        <v>5</v>
      </c>
      <c r="O18" s="14">
        <v>0</v>
      </c>
      <c r="P18" s="19">
        <f>ROUNDUP(H18*(L18+PARAMETROS!$B$8)+M18,0)</f>
        <v>6</v>
      </c>
      <c r="Q18" s="19">
        <f>MAX(0,P18-O18)</f>
        <v>6</v>
      </c>
      <c r="R18" s="19">
        <f>ROUNDUP(H18*(L18+PARAMETROS!$B$9)+M18,0)</f>
        <v>7</v>
      </c>
      <c r="S18" s="19">
        <f>MAX(0,R18-O18)</f>
        <v>7</v>
      </c>
      <c r="T18" s="19">
        <f>ROUNDUP(H18*(L18+PARAMETROS!$B$10)+M18,0)</f>
        <v>10</v>
      </c>
      <c r="U18" s="19">
        <f>MAX(0,T18-O18)</f>
        <v>10</v>
      </c>
    </row>
    <row r="19" spans="1:21">
      <c r="A19" s="5" t="s">
        <v>225</v>
      </c>
      <c r="B19" s="5" t="s">
        <v>216</v>
      </c>
      <c r="C19" s="7">
        <v>1</v>
      </c>
      <c r="D19" s="7">
        <v>10</v>
      </c>
      <c r="E19" s="7">
        <v>10</v>
      </c>
      <c r="F19" s="7">
        <v>0</v>
      </c>
      <c r="G19" s="9">
        <v>1</v>
      </c>
      <c r="H19" s="13">
        <v>0.1724</v>
      </c>
      <c r="I19" s="13">
        <v>3.5355</v>
      </c>
      <c r="J19" s="5" t="s">
        <v>214</v>
      </c>
      <c r="K19" s="15">
        <f>IF(LEFT(J19,1)="X",PARAMETROS!$B$11,IF(LEFT(J19,1)="Y",PARAMETROS!$B$12,PARAMETROS!$B$13))</f>
        <v>0.84</v>
      </c>
      <c r="L19" s="14">
        <f>PARAMETROS!$B$7</f>
        <v>7</v>
      </c>
      <c r="M19" s="13">
        <f>ROUND(K19*I19*SQRT(L19/7),2)</f>
        <v>2.97</v>
      </c>
      <c r="N19" s="7">
        <f>ROUNDUP(H19*L19+M19,0)</f>
        <v>5</v>
      </c>
      <c r="O19" s="14">
        <v>0</v>
      </c>
      <c r="P19" s="7">
        <f>ROUNDUP(H19*(L19+PARAMETROS!$B$8)+M19,0)</f>
        <v>6</v>
      </c>
      <c r="Q19" s="7">
        <f>MAX(0,P19-O19)</f>
        <v>6</v>
      </c>
      <c r="R19" s="7">
        <f>ROUNDUP(H19*(L19+PARAMETROS!$B$9)+M19,0)</f>
        <v>7</v>
      </c>
      <c r="S19" s="7">
        <f>MAX(0,R19-O19)</f>
        <v>7</v>
      </c>
      <c r="T19" s="7">
        <f>ROUNDUP(H19*(L19+PARAMETROS!$B$10)+M19,0)</f>
        <v>10</v>
      </c>
      <c r="U19" s="7">
        <f>MAX(0,T19-O19)</f>
        <v>10</v>
      </c>
    </row>
    <row r="20" spans="1:21">
      <c r="A20" s="18" t="s">
        <v>226</v>
      </c>
      <c r="B20" s="18" t="s">
        <v>216</v>
      </c>
      <c r="C20" s="19">
        <v>1</v>
      </c>
      <c r="D20" s="19">
        <v>10</v>
      </c>
      <c r="E20" s="19">
        <v>10</v>
      </c>
      <c r="F20" s="19">
        <v>0</v>
      </c>
      <c r="G20" s="20">
        <v>1</v>
      </c>
      <c r="H20" s="21">
        <v>0.1724</v>
      </c>
      <c r="I20" s="21">
        <v>3.5355</v>
      </c>
      <c r="J20" s="18" t="s">
        <v>214</v>
      </c>
      <c r="K20" s="15">
        <f>IF(LEFT(J20,1)="X",PARAMETROS!$B$11,IF(LEFT(J20,1)="Y",PARAMETROS!$B$12,PARAMETROS!$B$13))</f>
        <v>0.84</v>
      </c>
      <c r="L20" s="14">
        <f>PARAMETROS!$B$7</f>
        <v>7</v>
      </c>
      <c r="M20" s="21">
        <f>ROUND(K20*I20*SQRT(L20/7),2)</f>
        <v>2.97</v>
      </c>
      <c r="N20" s="19">
        <f>ROUNDUP(H20*L20+M20,0)</f>
        <v>5</v>
      </c>
      <c r="O20" s="14">
        <v>0</v>
      </c>
      <c r="P20" s="19">
        <f>ROUNDUP(H20*(L20+PARAMETROS!$B$8)+M20,0)</f>
        <v>6</v>
      </c>
      <c r="Q20" s="19">
        <f>MAX(0,P20-O20)</f>
        <v>6</v>
      </c>
      <c r="R20" s="19">
        <f>ROUNDUP(H20*(L20+PARAMETROS!$B$9)+M20,0)</f>
        <v>7</v>
      </c>
      <c r="S20" s="19">
        <f>MAX(0,R20-O20)</f>
        <v>7</v>
      </c>
      <c r="T20" s="19">
        <f>ROUNDUP(H20*(L20+PARAMETROS!$B$10)+M20,0)</f>
        <v>10</v>
      </c>
      <c r="U20" s="19">
        <f>MAX(0,T20-O20)</f>
        <v>10</v>
      </c>
    </row>
    <row r="21" spans="1:21">
      <c r="A21" s="5" t="s">
        <v>188</v>
      </c>
      <c r="B21" s="5" t="s">
        <v>216</v>
      </c>
      <c r="C21" s="7">
        <v>9</v>
      </c>
      <c r="D21" s="7">
        <v>9</v>
      </c>
      <c r="E21" s="7">
        <v>6</v>
      </c>
      <c r="F21" s="7">
        <v>3</v>
      </c>
      <c r="G21" s="9">
        <v>0.6666666666666666</v>
      </c>
      <c r="H21" s="13">
        <v>0.1552</v>
      </c>
      <c r="I21" s="13">
        <v>1.126</v>
      </c>
      <c r="J21" s="5" t="s">
        <v>214</v>
      </c>
      <c r="K21" s="15">
        <f>IF(LEFT(J21,1)="X",PARAMETROS!$B$11,IF(LEFT(J21,1)="Y",PARAMETROS!$B$12,PARAMETROS!$B$13))</f>
        <v>0.84</v>
      </c>
      <c r="L21" s="14">
        <f>PARAMETROS!$B$7</f>
        <v>7</v>
      </c>
      <c r="M21" s="13">
        <f>ROUND(K21*I21*SQRT(L21/7),2)</f>
        <v>0.95</v>
      </c>
      <c r="N21" s="7">
        <f>ROUNDUP(H21*L21+M21,0)</f>
        <v>3</v>
      </c>
      <c r="O21" s="14">
        <v>0</v>
      </c>
      <c r="P21" s="7">
        <f>ROUNDUP(H21*(L21+PARAMETROS!$B$8)+M21,0)</f>
        <v>4</v>
      </c>
      <c r="Q21" s="7">
        <f>MAX(0,P21-O21)</f>
        <v>4</v>
      </c>
      <c r="R21" s="7">
        <f>ROUNDUP(H21*(L21+PARAMETROS!$B$9)+M21,0)</f>
        <v>5</v>
      </c>
      <c r="S21" s="7">
        <f>MAX(0,R21-O21)</f>
        <v>5</v>
      </c>
      <c r="T21" s="7">
        <f>ROUNDUP(H21*(L21+PARAMETROS!$B$10)+M21,0)</f>
        <v>7</v>
      </c>
      <c r="U21" s="7">
        <f>MAX(0,T21-O21)</f>
        <v>7</v>
      </c>
    </row>
    <row r="22" spans="1:21">
      <c r="A22" s="18" t="s">
        <v>227</v>
      </c>
      <c r="B22" s="18" t="s">
        <v>216</v>
      </c>
      <c r="C22" s="19">
        <v>8</v>
      </c>
      <c r="D22" s="19">
        <v>8</v>
      </c>
      <c r="E22" s="19">
        <v>5</v>
      </c>
      <c r="F22" s="19">
        <v>3</v>
      </c>
      <c r="G22" s="20">
        <v>0.625</v>
      </c>
      <c r="H22" s="21">
        <v>0.1379</v>
      </c>
      <c r="I22" s="21">
        <v>0.7559</v>
      </c>
      <c r="J22" s="18" t="s">
        <v>228</v>
      </c>
      <c r="K22" s="15">
        <f>IF(LEFT(J22,1)="X",PARAMETROS!$B$11,IF(LEFT(J22,1)="Y",PARAMETROS!$B$12,PARAMETROS!$B$13))</f>
        <v>1.28</v>
      </c>
      <c r="L22" s="14">
        <f>PARAMETROS!$B$7</f>
        <v>7</v>
      </c>
      <c r="M22" s="21">
        <f>ROUND(K22*I22*SQRT(L22/7),2)</f>
        <v>0.97</v>
      </c>
      <c r="N22" s="19">
        <f>ROUNDUP(H22*L22+M22,0)</f>
        <v>2</v>
      </c>
      <c r="O22" s="14">
        <v>0</v>
      </c>
      <c r="P22" s="19">
        <f>ROUNDUP(H22*(L22+PARAMETROS!$B$8)+M22,0)</f>
        <v>3</v>
      </c>
      <c r="Q22" s="19">
        <f>MAX(0,P22-O22)</f>
        <v>3</v>
      </c>
      <c r="R22" s="19">
        <f>ROUNDUP(H22*(L22+PARAMETROS!$B$9)+M22,0)</f>
        <v>4</v>
      </c>
      <c r="S22" s="19">
        <f>MAX(0,R22-O22)</f>
        <v>4</v>
      </c>
      <c r="T22" s="19">
        <f>ROUNDUP(H22*(L22+PARAMETROS!$B$10)+M22,0)</f>
        <v>7</v>
      </c>
      <c r="U22" s="19">
        <f>MAX(0,T22-O22)</f>
        <v>7</v>
      </c>
    </row>
    <row r="23" spans="1:21">
      <c r="A23" s="5" t="s">
        <v>229</v>
      </c>
      <c r="B23" s="5" t="s">
        <v>216</v>
      </c>
      <c r="C23" s="7">
        <v>3</v>
      </c>
      <c r="D23" s="7">
        <v>6</v>
      </c>
      <c r="E23" s="7">
        <v>6</v>
      </c>
      <c r="F23" s="7">
        <v>0</v>
      </c>
      <c r="G23" s="9">
        <v>1</v>
      </c>
      <c r="H23" s="13">
        <v>0.1034</v>
      </c>
      <c r="I23" s="13">
        <v>1.069</v>
      </c>
      <c r="J23" s="5" t="s">
        <v>214</v>
      </c>
      <c r="K23" s="15">
        <f>IF(LEFT(J23,1)="X",PARAMETROS!$B$11,IF(LEFT(J23,1)="Y",PARAMETROS!$B$12,PARAMETROS!$B$13))</f>
        <v>0.84</v>
      </c>
      <c r="L23" s="14">
        <f>PARAMETROS!$B$7</f>
        <v>7</v>
      </c>
      <c r="M23" s="13">
        <f>ROUND(K23*I23*SQRT(L23/7),2)</f>
        <v>0.9</v>
      </c>
      <c r="N23" s="7">
        <f>ROUNDUP(H23*L23+M23,0)</f>
        <v>2</v>
      </c>
      <c r="O23" s="14">
        <v>0</v>
      </c>
      <c r="P23" s="7">
        <f>ROUNDUP(H23*(L23+PARAMETROS!$B$8)+M23,0)</f>
        <v>3</v>
      </c>
      <c r="Q23" s="7">
        <f>MAX(0,P23-O23)</f>
        <v>3</v>
      </c>
      <c r="R23" s="7">
        <f>ROUNDUP(H23*(L23+PARAMETROS!$B$9)+M23,0)</f>
        <v>4</v>
      </c>
      <c r="S23" s="7">
        <f>MAX(0,R23-O23)</f>
        <v>4</v>
      </c>
      <c r="T23" s="7">
        <f>ROUNDUP(H23*(L23+PARAMETROS!$B$10)+M23,0)</f>
        <v>5</v>
      </c>
      <c r="U23" s="7">
        <f>MAX(0,T23-O23)</f>
        <v>5</v>
      </c>
    </row>
    <row r="24" spans="1:21">
      <c r="A24" s="18" t="s">
        <v>230</v>
      </c>
      <c r="B24" s="18" t="s">
        <v>47</v>
      </c>
      <c r="C24" s="19">
        <v>2</v>
      </c>
      <c r="D24" s="19">
        <v>4</v>
      </c>
      <c r="E24" s="19">
        <v>4</v>
      </c>
      <c r="F24" s="19">
        <v>0</v>
      </c>
      <c r="G24" s="20">
        <v>1</v>
      </c>
      <c r="H24" s="21">
        <v>0.06900000000000001</v>
      </c>
      <c r="I24" s="21">
        <v>1.069</v>
      </c>
      <c r="J24" s="18" t="s">
        <v>214</v>
      </c>
      <c r="K24" s="15">
        <f>IF(LEFT(J24,1)="X",PARAMETROS!$B$11,IF(LEFT(J24,1)="Y",PARAMETROS!$B$12,PARAMETROS!$B$13))</f>
        <v>0.84</v>
      </c>
      <c r="L24" s="14">
        <f>PARAMETROS!$B$7</f>
        <v>7</v>
      </c>
      <c r="M24" s="21">
        <f>ROUND(K24*I24*SQRT(L24/7),2)</f>
        <v>0.9</v>
      </c>
      <c r="N24" s="19">
        <f>ROUNDUP(H24*L24+M24,0)</f>
        <v>2</v>
      </c>
      <c r="O24" s="14">
        <v>0</v>
      </c>
      <c r="P24" s="19">
        <f>ROUNDUP(H24*(L24+PARAMETROS!$B$8)+M24,0)</f>
        <v>2</v>
      </c>
      <c r="Q24" s="19">
        <f>MAX(0,P24-O24)</f>
        <v>2</v>
      </c>
      <c r="R24" s="19">
        <f>ROUNDUP(H24*(L24+PARAMETROS!$B$9)+M24,0)</f>
        <v>3</v>
      </c>
      <c r="S24" s="19">
        <f>MAX(0,R24-O24)</f>
        <v>3</v>
      </c>
      <c r="T24" s="19">
        <f>ROUNDUP(H24*(L24+PARAMETROS!$B$10)+M24,0)</f>
        <v>4</v>
      </c>
      <c r="U24" s="19">
        <f>MAX(0,T24-O24)</f>
        <v>4</v>
      </c>
    </row>
    <row r="25" spans="1:21">
      <c r="A25" s="5" t="s">
        <v>231</v>
      </c>
      <c r="B25" s="5" t="s">
        <v>40</v>
      </c>
      <c r="C25" s="7">
        <v>4</v>
      </c>
      <c r="D25" s="7">
        <v>4</v>
      </c>
      <c r="E25" s="7">
        <v>4</v>
      </c>
      <c r="F25" s="7">
        <v>0</v>
      </c>
      <c r="G25" s="9">
        <v>1</v>
      </c>
      <c r="H25" s="13">
        <v>0.06900000000000001</v>
      </c>
      <c r="I25" s="13">
        <v>0.744</v>
      </c>
      <c r="J25" s="5" t="s">
        <v>214</v>
      </c>
      <c r="K25" s="15">
        <f>IF(LEFT(J25,1)="X",PARAMETROS!$B$11,IF(LEFT(J25,1)="Y",PARAMETROS!$B$12,PARAMETROS!$B$13))</f>
        <v>0.84</v>
      </c>
      <c r="L25" s="14">
        <f>PARAMETROS!$B$7</f>
        <v>7</v>
      </c>
      <c r="M25" s="13">
        <f>ROUND(K25*I25*SQRT(L25/7),2)</f>
        <v>0.62</v>
      </c>
      <c r="N25" s="7">
        <f>ROUNDUP(H25*L25+M25,0)</f>
        <v>2</v>
      </c>
      <c r="O25" s="14">
        <v>0</v>
      </c>
      <c r="P25" s="7">
        <f>ROUNDUP(H25*(L25+PARAMETROS!$B$8)+M25,0)</f>
        <v>2</v>
      </c>
      <c r="Q25" s="7">
        <f>MAX(0,P25-O25)</f>
        <v>2</v>
      </c>
      <c r="R25" s="7">
        <f>ROUNDUP(H25*(L25+PARAMETROS!$B$9)+M25,0)</f>
        <v>3</v>
      </c>
      <c r="S25" s="7">
        <f>MAX(0,R25-O25)</f>
        <v>3</v>
      </c>
      <c r="T25" s="7">
        <f>ROUNDUP(H25*(L25+PARAMETROS!$B$10)+M25,0)</f>
        <v>4</v>
      </c>
      <c r="U25" s="7">
        <f>MAX(0,T25-O25)</f>
        <v>4</v>
      </c>
    </row>
    <row r="26" spans="1:21">
      <c r="A26" s="18" t="s">
        <v>232</v>
      </c>
      <c r="B26" s="18" t="s">
        <v>216</v>
      </c>
      <c r="C26" s="19">
        <v>3</v>
      </c>
      <c r="D26" s="19">
        <v>4</v>
      </c>
      <c r="E26" s="19">
        <v>4</v>
      </c>
      <c r="F26" s="19">
        <v>0</v>
      </c>
      <c r="G26" s="20">
        <v>1</v>
      </c>
      <c r="H26" s="21">
        <v>0.06900000000000001</v>
      </c>
      <c r="I26" s="21">
        <v>0.7559</v>
      </c>
      <c r="J26" s="18" t="s">
        <v>214</v>
      </c>
      <c r="K26" s="15">
        <f>IF(LEFT(J26,1)="X",PARAMETROS!$B$11,IF(LEFT(J26,1)="Y",PARAMETROS!$B$12,PARAMETROS!$B$13))</f>
        <v>0.84</v>
      </c>
      <c r="L26" s="14">
        <f>PARAMETROS!$B$7</f>
        <v>7</v>
      </c>
      <c r="M26" s="21">
        <f>ROUND(K26*I26*SQRT(L26/7),2)</f>
        <v>0.63</v>
      </c>
      <c r="N26" s="19">
        <f>ROUNDUP(H26*L26+M26,0)</f>
        <v>2</v>
      </c>
      <c r="O26" s="14">
        <v>0</v>
      </c>
      <c r="P26" s="19">
        <f>ROUNDUP(H26*(L26+PARAMETROS!$B$8)+M26,0)</f>
        <v>2</v>
      </c>
      <c r="Q26" s="19">
        <f>MAX(0,P26-O26)</f>
        <v>2</v>
      </c>
      <c r="R26" s="19">
        <f>ROUNDUP(H26*(L26+PARAMETROS!$B$9)+M26,0)</f>
        <v>3</v>
      </c>
      <c r="S26" s="19">
        <f>MAX(0,R26-O26)</f>
        <v>3</v>
      </c>
      <c r="T26" s="19">
        <f>ROUNDUP(H26*(L26+PARAMETROS!$B$10)+M26,0)</f>
        <v>4</v>
      </c>
      <c r="U26" s="19">
        <f>MAX(0,T26-O26)</f>
        <v>4</v>
      </c>
    </row>
    <row r="27" spans="1:21">
      <c r="A27" s="5" t="s">
        <v>233</v>
      </c>
      <c r="B27" s="5" t="s">
        <v>40</v>
      </c>
      <c r="C27" s="7">
        <v>2</v>
      </c>
      <c r="D27" s="7">
        <v>4</v>
      </c>
      <c r="E27" s="7">
        <v>4</v>
      </c>
      <c r="F27" s="7">
        <v>0</v>
      </c>
      <c r="G27" s="9">
        <v>1</v>
      </c>
      <c r="H27" s="13">
        <v>0.06900000000000001</v>
      </c>
      <c r="I27" s="13">
        <v>0.9258</v>
      </c>
      <c r="J27" s="5" t="s">
        <v>214</v>
      </c>
      <c r="K27" s="15">
        <f>IF(LEFT(J27,1)="X",PARAMETROS!$B$11,IF(LEFT(J27,1)="Y",PARAMETROS!$B$12,PARAMETROS!$B$13))</f>
        <v>0.84</v>
      </c>
      <c r="L27" s="14">
        <f>PARAMETROS!$B$7</f>
        <v>7</v>
      </c>
      <c r="M27" s="13">
        <f>ROUND(K27*I27*SQRT(L27/7),2)</f>
        <v>0.78</v>
      </c>
      <c r="N27" s="7">
        <f>ROUNDUP(H27*L27+M27,0)</f>
        <v>2</v>
      </c>
      <c r="O27" s="14">
        <v>0</v>
      </c>
      <c r="P27" s="7">
        <f>ROUNDUP(H27*(L27+PARAMETROS!$B$8)+M27,0)</f>
        <v>2</v>
      </c>
      <c r="Q27" s="7">
        <f>MAX(0,P27-O27)</f>
        <v>2</v>
      </c>
      <c r="R27" s="7">
        <f>ROUNDUP(H27*(L27+PARAMETROS!$B$9)+M27,0)</f>
        <v>3</v>
      </c>
      <c r="S27" s="7">
        <f>MAX(0,R27-O27)</f>
        <v>3</v>
      </c>
      <c r="T27" s="7">
        <f>ROUNDUP(H27*(L27+PARAMETROS!$B$10)+M27,0)</f>
        <v>4</v>
      </c>
      <c r="U27" s="7">
        <f>MAX(0,T27-O27)</f>
        <v>4</v>
      </c>
    </row>
    <row r="28" spans="1:21">
      <c r="A28" s="18" t="s">
        <v>192</v>
      </c>
      <c r="B28" s="18" t="s">
        <v>216</v>
      </c>
      <c r="C28" s="19">
        <v>4</v>
      </c>
      <c r="D28" s="19">
        <v>4</v>
      </c>
      <c r="E28" s="19">
        <v>2</v>
      </c>
      <c r="F28" s="19">
        <v>2</v>
      </c>
      <c r="G28" s="20">
        <v>0.5</v>
      </c>
      <c r="H28" s="21">
        <v>0.06900000000000001</v>
      </c>
      <c r="I28" s="21">
        <v>1.069</v>
      </c>
      <c r="J28" s="18" t="s">
        <v>214</v>
      </c>
      <c r="K28" s="15">
        <f>IF(LEFT(J28,1)="X",PARAMETROS!$B$11,IF(LEFT(J28,1)="Y",PARAMETROS!$B$12,PARAMETROS!$B$13))</f>
        <v>0.84</v>
      </c>
      <c r="L28" s="14">
        <f>PARAMETROS!$B$7</f>
        <v>7</v>
      </c>
      <c r="M28" s="21">
        <f>ROUND(K28*I28*SQRT(L28/7),2)</f>
        <v>0.9</v>
      </c>
      <c r="N28" s="19">
        <f>ROUNDUP(H28*L28+M28,0)</f>
        <v>2</v>
      </c>
      <c r="O28" s="14">
        <v>0</v>
      </c>
      <c r="P28" s="19">
        <f>ROUNDUP(H28*(L28+PARAMETROS!$B$8)+M28,0)</f>
        <v>2</v>
      </c>
      <c r="Q28" s="19">
        <f>MAX(0,P28-O28)</f>
        <v>2</v>
      </c>
      <c r="R28" s="19">
        <f>ROUNDUP(H28*(L28+PARAMETROS!$B$9)+M28,0)</f>
        <v>3</v>
      </c>
      <c r="S28" s="19">
        <f>MAX(0,R28-O28)</f>
        <v>3</v>
      </c>
      <c r="T28" s="19">
        <f>ROUNDUP(H28*(L28+PARAMETROS!$B$10)+M28,0)</f>
        <v>4</v>
      </c>
      <c r="U28" s="19">
        <f>MAX(0,T28-O28)</f>
        <v>4</v>
      </c>
    </row>
    <row r="29" spans="1:21">
      <c r="A29" s="5" t="s">
        <v>234</v>
      </c>
      <c r="B29" s="5" t="s">
        <v>47</v>
      </c>
      <c r="C29" s="7">
        <v>3</v>
      </c>
      <c r="D29" s="7">
        <v>3</v>
      </c>
      <c r="E29" s="7">
        <v>3</v>
      </c>
      <c r="F29" s="7">
        <v>0</v>
      </c>
      <c r="G29" s="9">
        <v>1</v>
      </c>
      <c r="H29" s="13">
        <v>0.0517</v>
      </c>
      <c r="I29" s="13">
        <v>0.5175</v>
      </c>
      <c r="J29" s="5" t="s">
        <v>214</v>
      </c>
      <c r="K29" s="15">
        <f>IF(LEFT(J29,1)="X",PARAMETROS!$B$11,IF(LEFT(J29,1)="Y",PARAMETROS!$B$12,PARAMETROS!$B$13))</f>
        <v>0.84</v>
      </c>
      <c r="L29" s="14">
        <f>PARAMETROS!$B$7</f>
        <v>7</v>
      </c>
      <c r="M29" s="13">
        <f>ROUND(K29*I29*SQRT(L29/7),2)</f>
        <v>0.43</v>
      </c>
      <c r="N29" s="7">
        <f>ROUNDUP(H29*L29+M29,0)</f>
        <v>1</v>
      </c>
      <c r="O29" s="14">
        <v>0</v>
      </c>
      <c r="P29" s="7">
        <f>ROUNDUP(H29*(L29+PARAMETROS!$B$8)+M29,0)</f>
        <v>2</v>
      </c>
      <c r="Q29" s="7">
        <f>MAX(0,P29-O29)</f>
        <v>2</v>
      </c>
      <c r="R29" s="7">
        <f>ROUNDUP(H29*(L29+PARAMETROS!$B$9)+M29,0)</f>
        <v>2</v>
      </c>
      <c r="S29" s="7">
        <f>MAX(0,R29-O29)</f>
        <v>2</v>
      </c>
      <c r="T29" s="7">
        <f>ROUNDUP(H29*(L29+PARAMETROS!$B$10)+M29,0)</f>
        <v>3</v>
      </c>
      <c r="U29" s="7">
        <f>MAX(0,T29-O29)</f>
        <v>3</v>
      </c>
    </row>
    <row r="30" spans="1:21">
      <c r="A30" s="18" t="s">
        <v>190</v>
      </c>
      <c r="B30" s="18" t="s">
        <v>47</v>
      </c>
      <c r="C30" s="19">
        <v>1</v>
      </c>
      <c r="D30" s="19">
        <v>3</v>
      </c>
      <c r="E30" s="19">
        <v>3</v>
      </c>
      <c r="F30" s="19">
        <v>0</v>
      </c>
      <c r="G30" s="20">
        <v>1</v>
      </c>
      <c r="H30" s="21">
        <v>0.0517</v>
      </c>
      <c r="I30" s="21">
        <v>1.0607</v>
      </c>
      <c r="J30" s="18" t="s">
        <v>214</v>
      </c>
      <c r="K30" s="15">
        <f>IF(LEFT(J30,1)="X",PARAMETROS!$B$11,IF(LEFT(J30,1)="Y",PARAMETROS!$B$12,PARAMETROS!$B$13))</f>
        <v>0.84</v>
      </c>
      <c r="L30" s="14">
        <f>PARAMETROS!$B$7</f>
        <v>7</v>
      </c>
      <c r="M30" s="21">
        <f>ROUND(K30*I30*SQRT(L30/7),2)</f>
        <v>0.89</v>
      </c>
      <c r="N30" s="19">
        <f>ROUNDUP(H30*L30+M30,0)</f>
        <v>2</v>
      </c>
      <c r="O30" s="14">
        <v>0</v>
      </c>
      <c r="P30" s="19">
        <f>ROUNDUP(H30*(L30+PARAMETROS!$B$8)+M30,0)</f>
        <v>2</v>
      </c>
      <c r="Q30" s="19">
        <f>MAX(0,P30-O30)</f>
        <v>2</v>
      </c>
      <c r="R30" s="19">
        <f>ROUNDUP(H30*(L30+PARAMETROS!$B$9)+M30,0)</f>
        <v>2</v>
      </c>
      <c r="S30" s="19">
        <f>MAX(0,R30-O30)</f>
        <v>2</v>
      </c>
      <c r="T30" s="19">
        <f>ROUNDUP(H30*(L30+PARAMETROS!$B$10)+M30,0)</f>
        <v>3</v>
      </c>
      <c r="U30" s="19">
        <f>MAX(0,T30-O30)</f>
        <v>3</v>
      </c>
    </row>
    <row r="31" spans="1:21">
      <c r="A31" s="5" t="s">
        <v>235</v>
      </c>
      <c r="B31" s="5" t="s">
        <v>47</v>
      </c>
      <c r="C31" s="7">
        <v>1</v>
      </c>
      <c r="D31" s="7">
        <v>3</v>
      </c>
      <c r="E31" s="7">
        <v>3</v>
      </c>
      <c r="F31" s="7">
        <v>0</v>
      </c>
      <c r="G31" s="9">
        <v>1</v>
      </c>
      <c r="H31" s="13">
        <v>0.0517</v>
      </c>
      <c r="I31" s="13">
        <v>1.0607</v>
      </c>
      <c r="J31" s="5" t="s">
        <v>214</v>
      </c>
      <c r="K31" s="15">
        <f>IF(LEFT(J31,1)="X",PARAMETROS!$B$11,IF(LEFT(J31,1)="Y",PARAMETROS!$B$12,PARAMETROS!$B$13))</f>
        <v>0.84</v>
      </c>
      <c r="L31" s="14">
        <f>PARAMETROS!$B$7</f>
        <v>7</v>
      </c>
      <c r="M31" s="13">
        <f>ROUND(K31*I31*SQRT(L31/7),2)</f>
        <v>0.89</v>
      </c>
      <c r="N31" s="7">
        <f>ROUNDUP(H31*L31+M31,0)</f>
        <v>2</v>
      </c>
      <c r="O31" s="14">
        <v>0</v>
      </c>
      <c r="P31" s="7">
        <f>ROUNDUP(H31*(L31+PARAMETROS!$B$8)+M31,0)</f>
        <v>2</v>
      </c>
      <c r="Q31" s="7">
        <f>MAX(0,P31-O31)</f>
        <v>2</v>
      </c>
      <c r="R31" s="7">
        <f>ROUNDUP(H31*(L31+PARAMETROS!$B$9)+M31,0)</f>
        <v>2</v>
      </c>
      <c r="S31" s="7">
        <f>MAX(0,R31-O31)</f>
        <v>2</v>
      </c>
      <c r="T31" s="7">
        <f>ROUNDUP(H31*(L31+PARAMETROS!$B$10)+M31,0)</f>
        <v>3</v>
      </c>
      <c r="U31" s="7">
        <f>MAX(0,T31-O31)</f>
        <v>3</v>
      </c>
    </row>
    <row r="32" spans="1:21">
      <c r="A32" s="18" t="s">
        <v>236</v>
      </c>
      <c r="B32" s="18" t="s">
        <v>40</v>
      </c>
      <c r="C32" s="19">
        <v>1</v>
      </c>
      <c r="D32" s="19">
        <v>3</v>
      </c>
      <c r="E32" s="19">
        <v>3</v>
      </c>
      <c r="F32" s="19">
        <v>0</v>
      </c>
      <c r="G32" s="20">
        <v>1</v>
      </c>
      <c r="H32" s="21">
        <v>0.0517</v>
      </c>
      <c r="I32" s="21">
        <v>1.0607</v>
      </c>
      <c r="J32" s="18" t="s">
        <v>214</v>
      </c>
      <c r="K32" s="15">
        <f>IF(LEFT(J32,1)="X",PARAMETROS!$B$11,IF(LEFT(J32,1)="Y",PARAMETROS!$B$12,PARAMETROS!$B$13))</f>
        <v>0.84</v>
      </c>
      <c r="L32" s="14">
        <f>PARAMETROS!$B$7</f>
        <v>7</v>
      </c>
      <c r="M32" s="21">
        <f>ROUND(K32*I32*SQRT(L32/7),2)</f>
        <v>0.89</v>
      </c>
      <c r="N32" s="19">
        <f>ROUNDUP(H32*L32+M32,0)</f>
        <v>2</v>
      </c>
      <c r="O32" s="14">
        <v>0</v>
      </c>
      <c r="P32" s="19">
        <f>ROUNDUP(H32*(L32+PARAMETROS!$B$8)+M32,0)</f>
        <v>2</v>
      </c>
      <c r="Q32" s="19">
        <f>MAX(0,P32-O32)</f>
        <v>2</v>
      </c>
      <c r="R32" s="19">
        <f>ROUNDUP(H32*(L32+PARAMETROS!$B$9)+M32,0)</f>
        <v>2</v>
      </c>
      <c r="S32" s="19">
        <f>MAX(0,R32-O32)</f>
        <v>2</v>
      </c>
      <c r="T32" s="19">
        <f>ROUNDUP(H32*(L32+PARAMETROS!$B$10)+M32,0)</f>
        <v>3</v>
      </c>
      <c r="U32" s="19">
        <f>MAX(0,T32-O32)</f>
        <v>3</v>
      </c>
    </row>
    <row r="33" spans="1:21">
      <c r="A33" s="5" t="s">
        <v>237</v>
      </c>
      <c r="B33" s="5" t="s">
        <v>216</v>
      </c>
      <c r="C33" s="7">
        <v>3</v>
      </c>
      <c r="D33" s="7">
        <v>3</v>
      </c>
      <c r="E33" s="7">
        <v>3</v>
      </c>
      <c r="F33" s="7">
        <v>0</v>
      </c>
      <c r="G33" s="9">
        <v>1</v>
      </c>
      <c r="H33" s="13">
        <v>0.0517</v>
      </c>
      <c r="I33" s="13">
        <v>0.5175</v>
      </c>
      <c r="J33" s="5" t="s">
        <v>214</v>
      </c>
      <c r="K33" s="15">
        <f>IF(LEFT(J33,1)="X",PARAMETROS!$B$11,IF(LEFT(J33,1)="Y",PARAMETROS!$B$12,PARAMETROS!$B$13))</f>
        <v>0.84</v>
      </c>
      <c r="L33" s="14">
        <f>PARAMETROS!$B$7</f>
        <v>7</v>
      </c>
      <c r="M33" s="13">
        <f>ROUND(K33*I33*SQRT(L33/7),2)</f>
        <v>0.43</v>
      </c>
      <c r="N33" s="7">
        <f>ROUNDUP(H33*L33+M33,0)</f>
        <v>1</v>
      </c>
      <c r="O33" s="14">
        <v>0</v>
      </c>
      <c r="P33" s="7">
        <f>ROUNDUP(H33*(L33+PARAMETROS!$B$8)+M33,0)</f>
        <v>2</v>
      </c>
      <c r="Q33" s="7">
        <f>MAX(0,P33-O33)</f>
        <v>2</v>
      </c>
      <c r="R33" s="7">
        <f>ROUNDUP(H33*(L33+PARAMETROS!$B$9)+M33,0)</f>
        <v>2</v>
      </c>
      <c r="S33" s="7">
        <f>MAX(0,R33-O33)</f>
        <v>2</v>
      </c>
      <c r="T33" s="7">
        <f>ROUNDUP(H33*(L33+PARAMETROS!$B$10)+M33,0)</f>
        <v>3</v>
      </c>
      <c r="U33" s="7">
        <f>MAX(0,T33-O33)</f>
        <v>3</v>
      </c>
    </row>
    <row r="34" spans="1:21">
      <c r="A34" s="18" t="s">
        <v>238</v>
      </c>
      <c r="B34" s="18" t="s">
        <v>47</v>
      </c>
      <c r="C34" s="19">
        <v>1</v>
      </c>
      <c r="D34" s="19">
        <v>3</v>
      </c>
      <c r="E34" s="19">
        <v>3</v>
      </c>
      <c r="F34" s="19">
        <v>0</v>
      </c>
      <c r="G34" s="20">
        <v>1</v>
      </c>
      <c r="H34" s="21">
        <v>0.0517</v>
      </c>
      <c r="I34" s="21">
        <v>1.0607</v>
      </c>
      <c r="J34" s="18" t="s">
        <v>214</v>
      </c>
      <c r="K34" s="15">
        <f>IF(LEFT(J34,1)="X",PARAMETROS!$B$11,IF(LEFT(J34,1)="Y",PARAMETROS!$B$12,PARAMETROS!$B$13))</f>
        <v>0.84</v>
      </c>
      <c r="L34" s="14">
        <f>PARAMETROS!$B$7</f>
        <v>7</v>
      </c>
      <c r="M34" s="21">
        <f>ROUND(K34*I34*SQRT(L34/7),2)</f>
        <v>0.89</v>
      </c>
      <c r="N34" s="19">
        <f>ROUNDUP(H34*L34+M34,0)</f>
        <v>2</v>
      </c>
      <c r="O34" s="14">
        <v>0</v>
      </c>
      <c r="P34" s="19">
        <f>ROUNDUP(H34*(L34+PARAMETROS!$B$8)+M34,0)</f>
        <v>2</v>
      </c>
      <c r="Q34" s="19">
        <f>MAX(0,P34-O34)</f>
        <v>2</v>
      </c>
      <c r="R34" s="19">
        <f>ROUNDUP(H34*(L34+PARAMETROS!$B$9)+M34,0)</f>
        <v>2</v>
      </c>
      <c r="S34" s="19">
        <f>MAX(0,R34-O34)</f>
        <v>2</v>
      </c>
      <c r="T34" s="19">
        <f>ROUNDUP(H34*(L34+PARAMETROS!$B$10)+M34,0)</f>
        <v>3</v>
      </c>
      <c r="U34" s="19">
        <f>MAX(0,T34-O34)</f>
        <v>3</v>
      </c>
    </row>
    <row r="35" spans="1:21">
      <c r="A35" s="5" t="s">
        <v>239</v>
      </c>
      <c r="B35" s="5" t="s">
        <v>216</v>
      </c>
      <c r="C35" s="7">
        <v>3</v>
      </c>
      <c r="D35" s="7">
        <v>3</v>
      </c>
      <c r="E35" s="7">
        <v>0</v>
      </c>
      <c r="F35" s="7">
        <v>3</v>
      </c>
      <c r="G35" s="9">
        <v>0</v>
      </c>
      <c r="H35" s="13">
        <v>0.0517</v>
      </c>
      <c r="I35" s="13">
        <v>0.744</v>
      </c>
      <c r="J35" s="5" t="s">
        <v>214</v>
      </c>
      <c r="K35" s="15">
        <f>IF(LEFT(J35,1)="X",PARAMETROS!$B$11,IF(LEFT(J35,1)="Y",PARAMETROS!$B$12,PARAMETROS!$B$13))</f>
        <v>0.84</v>
      </c>
      <c r="L35" s="14">
        <f>PARAMETROS!$B$7</f>
        <v>7</v>
      </c>
      <c r="M35" s="13">
        <f>ROUND(K35*I35*SQRT(L35/7),2)</f>
        <v>0.62</v>
      </c>
      <c r="N35" s="7">
        <f>ROUNDUP(H35*L35+M35,0)</f>
        <v>1</v>
      </c>
      <c r="O35" s="14">
        <v>0</v>
      </c>
      <c r="P35" s="7">
        <f>ROUNDUP(H35*(L35+PARAMETROS!$B$8)+M35,0)</f>
        <v>2</v>
      </c>
      <c r="Q35" s="7">
        <f>MAX(0,P35-O35)</f>
        <v>2</v>
      </c>
      <c r="R35" s="7">
        <f>ROUNDUP(H35*(L35+PARAMETROS!$B$9)+M35,0)</f>
        <v>2</v>
      </c>
      <c r="S35" s="7">
        <f>MAX(0,R35-O35)</f>
        <v>2</v>
      </c>
      <c r="T35" s="7">
        <f>ROUNDUP(H35*(L35+PARAMETROS!$B$10)+M35,0)</f>
        <v>3</v>
      </c>
      <c r="U35" s="7">
        <f>MAX(0,T35-O35)</f>
        <v>3</v>
      </c>
    </row>
    <row r="36" spans="1:21">
      <c r="A36" s="18" t="s">
        <v>240</v>
      </c>
      <c r="B36" s="18" t="s">
        <v>216</v>
      </c>
      <c r="C36" s="19">
        <v>2</v>
      </c>
      <c r="D36" s="19">
        <v>3</v>
      </c>
      <c r="E36" s="19">
        <v>3</v>
      </c>
      <c r="F36" s="19">
        <v>0</v>
      </c>
      <c r="G36" s="20">
        <v>1</v>
      </c>
      <c r="H36" s="21">
        <v>0.0517</v>
      </c>
      <c r="I36" s="21">
        <v>0.744</v>
      </c>
      <c r="J36" s="18" t="s">
        <v>214</v>
      </c>
      <c r="K36" s="15">
        <f>IF(LEFT(J36,1)="X",PARAMETROS!$B$11,IF(LEFT(J36,1)="Y",PARAMETROS!$B$12,PARAMETROS!$B$13))</f>
        <v>0.84</v>
      </c>
      <c r="L36" s="14">
        <f>PARAMETROS!$B$7</f>
        <v>7</v>
      </c>
      <c r="M36" s="21">
        <f>ROUND(K36*I36*SQRT(L36/7),2)</f>
        <v>0.62</v>
      </c>
      <c r="N36" s="19">
        <f>ROUNDUP(H36*L36+M36,0)</f>
        <v>1</v>
      </c>
      <c r="O36" s="14">
        <v>0</v>
      </c>
      <c r="P36" s="19">
        <f>ROUNDUP(H36*(L36+PARAMETROS!$B$8)+M36,0)</f>
        <v>2</v>
      </c>
      <c r="Q36" s="19">
        <f>MAX(0,P36-O36)</f>
        <v>2</v>
      </c>
      <c r="R36" s="19">
        <f>ROUNDUP(H36*(L36+PARAMETROS!$B$9)+M36,0)</f>
        <v>2</v>
      </c>
      <c r="S36" s="19">
        <f>MAX(0,R36-O36)</f>
        <v>2</v>
      </c>
      <c r="T36" s="19">
        <f>ROUNDUP(H36*(L36+PARAMETROS!$B$10)+M36,0)</f>
        <v>3</v>
      </c>
      <c r="U36" s="19">
        <f>MAX(0,T36-O36)</f>
        <v>3</v>
      </c>
    </row>
    <row r="37" spans="1:21">
      <c r="A37" s="5" t="s">
        <v>241</v>
      </c>
      <c r="B37" s="5" t="s">
        <v>47</v>
      </c>
      <c r="C37" s="7">
        <v>2</v>
      </c>
      <c r="D37" s="7">
        <v>3</v>
      </c>
      <c r="E37" s="7">
        <v>3</v>
      </c>
      <c r="F37" s="7">
        <v>0</v>
      </c>
      <c r="G37" s="9">
        <v>1</v>
      </c>
      <c r="H37" s="13">
        <v>0.0517</v>
      </c>
      <c r="I37" s="13">
        <v>0.744</v>
      </c>
      <c r="J37" s="5" t="s">
        <v>214</v>
      </c>
      <c r="K37" s="15">
        <f>IF(LEFT(J37,1)="X",PARAMETROS!$B$11,IF(LEFT(J37,1)="Y",PARAMETROS!$B$12,PARAMETROS!$B$13))</f>
        <v>0.84</v>
      </c>
      <c r="L37" s="14">
        <f>PARAMETROS!$B$7</f>
        <v>7</v>
      </c>
      <c r="M37" s="13">
        <f>ROUND(K37*I37*SQRT(L37/7),2)</f>
        <v>0.62</v>
      </c>
      <c r="N37" s="7">
        <f>ROUNDUP(H37*L37+M37,0)</f>
        <v>1</v>
      </c>
      <c r="O37" s="14">
        <v>0</v>
      </c>
      <c r="P37" s="7">
        <f>ROUNDUP(H37*(L37+PARAMETROS!$B$8)+M37,0)</f>
        <v>2</v>
      </c>
      <c r="Q37" s="7">
        <f>MAX(0,P37-O37)</f>
        <v>2</v>
      </c>
      <c r="R37" s="7">
        <f>ROUNDUP(H37*(L37+PARAMETROS!$B$9)+M37,0)</f>
        <v>2</v>
      </c>
      <c r="S37" s="7">
        <f>MAX(0,R37-O37)</f>
        <v>2</v>
      </c>
      <c r="T37" s="7">
        <f>ROUNDUP(H37*(L37+PARAMETROS!$B$10)+M37,0)</f>
        <v>3</v>
      </c>
      <c r="U37" s="7">
        <f>MAX(0,T37-O37)</f>
        <v>3</v>
      </c>
    </row>
    <row r="38" spans="1:21">
      <c r="A38" s="18" t="s">
        <v>185</v>
      </c>
      <c r="B38" s="18" t="s">
        <v>47</v>
      </c>
      <c r="C38" s="19">
        <v>1</v>
      </c>
      <c r="D38" s="19">
        <v>2</v>
      </c>
      <c r="E38" s="19">
        <v>2</v>
      </c>
      <c r="F38" s="19">
        <v>0</v>
      </c>
      <c r="G38" s="20">
        <v>1</v>
      </c>
      <c r="H38" s="21">
        <v>0.0345</v>
      </c>
      <c r="I38" s="21">
        <v>0.7071</v>
      </c>
      <c r="J38" s="18" t="s">
        <v>214</v>
      </c>
      <c r="K38" s="15">
        <f>IF(LEFT(J38,1)="X",PARAMETROS!$B$11,IF(LEFT(J38,1)="Y",PARAMETROS!$B$12,PARAMETROS!$B$13))</f>
        <v>0.84</v>
      </c>
      <c r="L38" s="14">
        <f>PARAMETROS!$B$7</f>
        <v>7</v>
      </c>
      <c r="M38" s="21">
        <f>ROUND(K38*I38*SQRT(L38/7),2)</f>
        <v>0.59</v>
      </c>
      <c r="N38" s="19">
        <f>ROUNDUP(H38*L38+M38,0)</f>
        <v>1</v>
      </c>
      <c r="O38" s="14">
        <v>0</v>
      </c>
      <c r="P38" s="19">
        <f>ROUNDUP(H38*(L38+PARAMETROS!$B$8)+M38,0)</f>
        <v>2</v>
      </c>
      <c r="Q38" s="19">
        <f>MAX(0,P38-O38)</f>
        <v>2</v>
      </c>
      <c r="R38" s="19">
        <f>ROUNDUP(H38*(L38+PARAMETROS!$B$9)+M38,0)</f>
        <v>2</v>
      </c>
      <c r="S38" s="19">
        <f>MAX(0,R38-O38)</f>
        <v>2</v>
      </c>
      <c r="T38" s="19">
        <f>ROUNDUP(H38*(L38+PARAMETROS!$B$10)+M38,0)</f>
        <v>2</v>
      </c>
      <c r="U38" s="19">
        <f>MAX(0,T38-O38)</f>
        <v>2</v>
      </c>
    </row>
    <row r="39" spans="1:21">
      <c r="A39" s="5" t="s">
        <v>242</v>
      </c>
      <c r="B39" s="5" t="s">
        <v>216</v>
      </c>
      <c r="C39" s="7">
        <v>2</v>
      </c>
      <c r="D39" s="7">
        <v>2</v>
      </c>
      <c r="E39" s="7">
        <v>1</v>
      </c>
      <c r="F39" s="7">
        <v>1</v>
      </c>
      <c r="G39" s="9">
        <v>0.5</v>
      </c>
      <c r="H39" s="13">
        <v>0.0345</v>
      </c>
      <c r="I39" s="13">
        <v>0.4629</v>
      </c>
      <c r="J39" s="5" t="s">
        <v>214</v>
      </c>
      <c r="K39" s="15">
        <f>IF(LEFT(J39,1)="X",PARAMETROS!$B$11,IF(LEFT(J39,1)="Y",PARAMETROS!$B$12,PARAMETROS!$B$13))</f>
        <v>0.84</v>
      </c>
      <c r="L39" s="14">
        <f>PARAMETROS!$B$7</f>
        <v>7</v>
      </c>
      <c r="M39" s="13">
        <f>ROUND(K39*I39*SQRT(L39/7),2)</f>
        <v>0.39</v>
      </c>
      <c r="N39" s="7">
        <f>ROUNDUP(H39*L39+M39,0)</f>
        <v>1</v>
      </c>
      <c r="O39" s="14">
        <v>0</v>
      </c>
      <c r="P39" s="7">
        <f>ROUNDUP(H39*(L39+PARAMETROS!$B$8)+M39,0)</f>
        <v>1</v>
      </c>
      <c r="Q39" s="7">
        <f>MAX(0,P39-O39)</f>
        <v>1</v>
      </c>
      <c r="R39" s="7">
        <f>ROUNDUP(H39*(L39+PARAMETROS!$B$9)+M39,0)</f>
        <v>2</v>
      </c>
      <c r="S39" s="7">
        <f>MAX(0,R39-O39)</f>
        <v>2</v>
      </c>
      <c r="T39" s="7">
        <f>ROUNDUP(H39*(L39+PARAMETROS!$B$10)+M39,0)</f>
        <v>2</v>
      </c>
      <c r="U39" s="7">
        <f>MAX(0,T39-O39)</f>
        <v>2</v>
      </c>
    </row>
    <row r="40" spans="1:21">
      <c r="A40" s="18" t="s">
        <v>243</v>
      </c>
      <c r="B40" s="18" t="s">
        <v>216</v>
      </c>
      <c r="C40" s="19">
        <v>2</v>
      </c>
      <c r="D40" s="19">
        <v>2</v>
      </c>
      <c r="E40" s="19">
        <v>2</v>
      </c>
      <c r="F40" s="19">
        <v>0</v>
      </c>
      <c r="G40" s="20">
        <v>1</v>
      </c>
      <c r="H40" s="21">
        <v>0.0345</v>
      </c>
      <c r="I40" s="21">
        <v>0.4629</v>
      </c>
      <c r="J40" s="18" t="s">
        <v>214</v>
      </c>
      <c r="K40" s="15">
        <f>IF(LEFT(J40,1)="X",PARAMETROS!$B$11,IF(LEFT(J40,1)="Y",PARAMETROS!$B$12,PARAMETROS!$B$13))</f>
        <v>0.84</v>
      </c>
      <c r="L40" s="14">
        <f>PARAMETROS!$B$7</f>
        <v>7</v>
      </c>
      <c r="M40" s="21">
        <f>ROUND(K40*I40*SQRT(L40/7),2)</f>
        <v>0.39</v>
      </c>
      <c r="N40" s="19">
        <f>ROUNDUP(H40*L40+M40,0)</f>
        <v>1</v>
      </c>
      <c r="O40" s="14">
        <v>0</v>
      </c>
      <c r="P40" s="19">
        <f>ROUNDUP(H40*(L40+PARAMETROS!$B$8)+M40,0)</f>
        <v>1</v>
      </c>
      <c r="Q40" s="19">
        <f>MAX(0,P40-O40)</f>
        <v>1</v>
      </c>
      <c r="R40" s="19">
        <f>ROUNDUP(H40*(L40+PARAMETROS!$B$9)+M40,0)</f>
        <v>2</v>
      </c>
      <c r="S40" s="19">
        <f>MAX(0,R40-O40)</f>
        <v>2</v>
      </c>
      <c r="T40" s="19">
        <f>ROUNDUP(H40*(L40+PARAMETROS!$B$10)+M40,0)</f>
        <v>2</v>
      </c>
      <c r="U40" s="19">
        <f>MAX(0,T40-O40)</f>
        <v>2</v>
      </c>
    </row>
    <row r="41" spans="1:21">
      <c r="A41" s="5" t="s">
        <v>244</v>
      </c>
      <c r="B41" s="5" t="s">
        <v>40</v>
      </c>
      <c r="C41" s="7">
        <v>2</v>
      </c>
      <c r="D41" s="7">
        <v>2</v>
      </c>
      <c r="E41" s="7">
        <v>2</v>
      </c>
      <c r="F41" s="7">
        <v>0</v>
      </c>
      <c r="G41" s="9">
        <v>1</v>
      </c>
      <c r="H41" s="13">
        <v>0.0345</v>
      </c>
      <c r="I41" s="13">
        <v>0.4629</v>
      </c>
      <c r="J41" s="5" t="s">
        <v>214</v>
      </c>
      <c r="K41" s="15">
        <f>IF(LEFT(J41,1)="X",PARAMETROS!$B$11,IF(LEFT(J41,1)="Y",PARAMETROS!$B$12,PARAMETROS!$B$13))</f>
        <v>0.84</v>
      </c>
      <c r="L41" s="14">
        <f>PARAMETROS!$B$7</f>
        <v>7</v>
      </c>
      <c r="M41" s="13">
        <f>ROUND(K41*I41*SQRT(L41/7),2)</f>
        <v>0.39</v>
      </c>
      <c r="N41" s="7">
        <f>ROUNDUP(H41*L41+M41,0)</f>
        <v>1</v>
      </c>
      <c r="O41" s="14">
        <v>0</v>
      </c>
      <c r="P41" s="7">
        <f>ROUNDUP(H41*(L41+PARAMETROS!$B$8)+M41,0)</f>
        <v>1</v>
      </c>
      <c r="Q41" s="7">
        <f>MAX(0,P41-O41)</f>
        <v>1</v>
      </c>
      <c r="R41" s="7">
        <f>ROUNDUP(H41*(L41+PARAMETROS!$B$9)+M41,0)</f>
        <v>2</v>
      </c>
      <c r="S41" s="7">
        <f>MAX(0,R41-O41)</f>
        <v>2</v>
      </c>
      <c r="T41" s="7">
        <f>ROUNDUP(H41*(L41+PARAMETROS!$B$10)+M41,0)</f>
        <v>2</v>
      </c>
      <c r="U41" s="7">
        <f>MAX(0,T41-O41)</f>
        <v>2</v>
      </c>
    </row>
    <row r="42" spans="1:21">
      <c r="A42" s="18" t="s">
        <v>245</v>
      </c>
      <c r="B42" s="18" t="s">
        <v>216</v>
      </c>
      <c r="C42" s="19">
        <v>2</v>
      </c>
      <c r="D42" s="19">
        <v>2</v>
      </c>
      <c r="E42" s="19">
        <v>2</v>
      </c>
      <c r="F42" s="19">
        <v>0</v>
      </c>
      <c r="G42" s="20">
        <v>1</v>
      </c>
      <c r="H42" s="21">
        <v>0.0345</v>
      </c>
      <c r="I42" s="21">
        <v>0.4629</v>
      </c>
      <c r="J42" s="18" t="s">
        <v>214</v>
      </c>
      <c r="K42" s="15">
        <f>IF(LEFT(J42,1)="X",PARAMETROS!$B$11,IF(LEFT(J42,1)="Y",PARAMETROS!$B$12,PARAMETROS!$B$13))</f>
        <v>0.84</v>
      </c>
      <c r="L42" s="14">
        <f>PARAMETROS!$B$7</f>
        <v>7</v>
      </c>
      <c r="M42" s="21">
        <f>ROUND(K42*I42*SQRT(L42/7),2)</f>
        <v>0.39</v>
      </c>
      <c r="N42" s="19">
        <f>ROUNDUP(H42*L42+M42,0)</f>
        <v>1</v>
      </c>
      <c r="O42" s="14">
        <v>0</v>
      </c>
      <c r="P42" s="19">
        <f>ROUNDUP(H42*(L42+PARAMETROS!$B$8)+M42,0)</f>
        <v>1</v>
      </c>
      <c r="Q42" s="19">
        <f>MAX(0,P42-O42)</f>
        <v>1</v>
      </c>
      <c r="R42" s="19">
        <f>ROUNDUP(H42*(L42+PARAMETROS!$B$9)+M42,0)</f>
        <v>2</v>
      </c>
      <c r="S42" s="19">
        <f>MAX(0,R42-O42)</f>
        <v>2</v>
      </c>
      <c r="T42" s="19">
        <f>ROUNDUP(H42*(L42+PARAMETROS!$B$10)+M42,0)</f>
        <v>2</v>
      </c>
      <c r="U42" s="19">
        <f>MAX(0,T42-O42)</f>
        <v>2</v>
      </c>
    </row>
    <row r="43" spans="1:21">
      <c r="A43" s="5" t="s">
        <v>246</v>
      </c>
      <c r="B43" s="5" t="s">
        <v>40</v>
      </c>
      <c r="C43" s="7">
        <v>2</v>
      </c>
      <c r="D43" s="7">
        <v>2</v>
      </c>
      <c r="E43" s="7">
        <v>2</v>
      </c>
      <c r="F43" s="7">
        <v>0</v>
      </c>
      <c r="G43" s="9">
        <v>1</v>
      </c>
      <c r="H43" s="13">
        <v>0.0345</v>
      </c>
      <c r="I43" s="13">
        <v>0.3536</v>
      </c>
      <c r="J43" s="5" t="s">
        <v>214</v>
      </c>
      <c r="K43" s="15">
        <f>IF(LEFT(J43,1)="X",PARAMETROS!$B$11,IF(LEFT(J43,1)="Y",PARAMETROS!$B$12,PARAMETROS!$B$13))</f>
        <v>0.84</v>
      </c>
      <c r="L43" s="14">
        <f>PARAMETROS!$B$7</f>
        <v>7</v>
      </c>
      <c r="M43" s="13">
        <f>ROUND(K43*I43*SQRT(L43/7),2)</f>
        <v>0.3</v>
      </c>
      <c r="N43" s="7">
        <f>ROUNDUP(H43*L43+M43,0)</f>
        <v>1</v>
      </c>
      <c r="O43" s="14">
        <v>0</v>
      </c>
      <c r="P43" s="7">
        <f>ROUNDUP(H43*(L43+PARAMETROS!$B$8)+M43,0)</f>
        <v>1</v>
      </c>
      <c r="Q43" s="7">
        <f>MAX(0,P43-O43)</f>
        <v>1</v>
      </c>
      <c r="R43" s="7">
        <f>ROUNDUP(H43*(L43+PARAMETROS!$B$9)+M43,0)</f>
        <v>2</v>
      </c>
      <c r="S43" s="7">
        <f>MAX(0,R43-O43)</f>
        <v>2</v>
      </c>
      <c r="T43" s="7">
        <f>ROUNDUP(H43*(L43+PARAMETROS!$B$10)+M43,0)</f>
        <v>2</v>
      </c>
      <c r="U43" s="7">
        <f>MAX(0,T43-O43)</f>
        <v>2</v>
      </c>
    </row>
    <row r="44" spans="1:21">
      <c r="A44" s="18" t="s">
        <v>247</v>
      </c>
      <c r="B44" s="18" t="s">
        <v>47</v>
      </c>
      <c r="C44" s="19">
        <v>1</v>
      </c>
      <c r="D44" s="19">
        <v>2</v>
      </c>
      <c r="E44" s="19">
        <v>2</v>
      </c>
      <c r="F44" s="19">
        <v>0</v>
      </c>
      <c r="G44" s="20">
        <v>1</v>
      </c>
      <c r="H44" s="21">
        <v>0.0345</v>
      </c>
      <c r="I44" s="21">
        <v>0.7071</v>
      </c>
      <c r="J44" s="18" t="s">
        <v>214</v>
      </c>
      <c r="K44" s="15">
        <f>IF(LEFT(J44,1)="X",PARAMETROS!$B$11,IF(LEFT(J44,1)="Y",PARAMETROS!$B$12,PARAMETROS!$B$13))</f>
        <v>0.84</v>
      </c>
      <c r="L44" s="14">
        <f>PARAMETROS!$B$7</f>
        <v>7</v>
      </c>
      <c r="M44" s="21">
        <f>ROUND(K44*I44*SQRT(L44/7),2)</f>
        <v>0.59</v>
      </c>
      <c r="N44" s="19">
        <f>ROUNDUP(H44*L44+M44,0)</f>
        <v>1</v>
      </c>
      <c r="O44" s="14">
        <v>0</v>
      </c>
      <c r="P44" s="19">
        <f>ROUNDUP(H44*(L44+PARAMETROS!$B$8)+M44,0)</f>
        <v>2</v>
      </c>
      <c r="Q44" s="19">
        <f>MAX(0,P44-O44)</f>
        <v>2</v>
      </c>
      <c r="R44" s="19">
        <f>ROUNDUP(H44*(L44+PARAMETROS!$B$9)+M44,0)</f>
        <v>2</v>
      </c>
      <c r="S44" s="19">
        <f>MAX(0,R44-O44)</f>
        <v>2</v>
      </c>
      <c r="T44" s="19">
        <f>ROUNDUP(H44*(L44+PARAMETROS!$B$10)+M44,0)</f>
        <v>2</v>
      </c>
      <c r="U44" s="19">
        <f>MAX(0,T44-O44)</f>
        <v>2</v>
      </c>
    </row>
    <row r="45" spans="1:21">
      <c r="A45" s="5" t="s">
        <v>248</v>
      </c>
      <c r="B45" s="5" t="s">
        <v>216</v>
      </c>
      <c r="C45" s="7">
        <v>2</v>
      </c>
      <c r="D45" s="7">
        <v>2</v>
      </c>
      <c r="E45" s="7">
        <v>2</v>
      </c>
      <c r="F45" s="7">
        <v>0</v>
      </c>
      <c r="G45" s="9">
        <v>1</v>
      </c>
      <c r="H45" s="13">
        <v>0.0345</v>
      </c>
      <c r="I45" s="13">
        <v>0.4629</v>
      </c>
      <c r="J45" s="5" t="s">
        <v>214</v>
      </c>
      <c r="K45" s="15">
        <f>IF(LEFT(J45,1)="X",PARAMETROS!$B$11,IF(LEFT(J45,1)="Y",PARAMETROS!$B$12,PARAMETROS!$B$13))</f>
        <v>0.84</v>
      </c>
      <c r="L45" s="14">
        <f>PARAMETROS!$B$7</f>
        <v>7</v>
      </c>
      <c r="M45" s="13">
        <f>ROUND(K45*I45*SQRT(L45/7),2)</f>
        <v>0.39</v>
      </c>
      <c r="N45" s="7">
        <f>ROUNDUP(H45*L45+M45,0)</f>
        <v>1</v>
      </c>
      <c r="O45" s="14">
        <v>0</v>
      </c>
      <c r="P45" s="7">
        <f>ROUNDUP(H45*(L45+PARAMETROS!$B$8)+M45,0)</f>
        <v>1</v>
      </c>
      <c r="Q45" s="7">
        <f>MAX(0,P45-O45)</f>
        <v>1</v>
      </c>
      <c r="R45" s="7">
        <f>ROUNDUP(H45*(L45+PARAMETROS!$B$9)+M45,0)</f>
        <v>2</v>
      </c>
      <c r="S45" s="7">
        <f>MAX(0,R45-O45)</f>
        <v>2</v>
      </c>
      <c r="T45" s="7">
        <f>ROUNDUP(H45*(L45+PARAMETROS!$B$10)+M45,0)</f>
        <v>2</v>
      </c>
      <c r="U45" s="7">
        <f>MAX(0,T45-O45)</f>
        <v>2</v>
      </c>
    </row>
    <row r="46" spans="1:21">
      <c r="A46" s="18" t="s">
        <v>249</v>
      </c>
      <c r="B46" s="18" t="s">
        <v>40</v>
      </c>
      <c r="C46" s="19">
        <v>1</v>
      </c>
      <c r="D46" s="19">
        <v>1</v>
      </c>
      <c r="E46" s="19">
        <v>1</v>
      </c>
      <c r="F46" s="19">
        <v>0</v>
      </c>
      <c r="G46" s="20">
        <v>1</v>
      </c>
      <c r="H46" s="21">
        <v>0.0172</v>
      </c>
      <c r="I46" s="21">
        <v>0.3536</v>
      </c>
      <c r="J46" s="18" t="s">
        <v>214</v>
      </c>
      <c r="K46" s="15">
        <f>IF(LEFT(J46,1)="X",PARAMETROS!$B$11,IF(LEFT(J46,1)="Y",PARAMETROS!$B$12,PARAMETROS!$B$13))</f>
        <v>0.84</v>
      </c>
      <c r="L46" s="14">
        <f>PARAMETROS!$B$7</f>
        <v>7</v>
      </c>
      <c r="M46" s="21">
        <f>ROUND(K46*I46*SQRT(L46/7),2)</f>
        <v>0.3</v>
      </c>
      <c r="N46" s="19">
        <f>ROUNDUP(H46*L46+M46,0)</f>
        <v>1</v>
      </c>
      <c r="O46" s="14">
        <v>0</v>
      </c>
      <c r="P46" s="19">
        <f>ROUNDUP(H46*(L46+PARAMETROS!$B$8)+M46,0)</f>
        <v>1</v>
      </c>
      <c r="Q46" s="19">
        <f>MAX(0,P46-O46)</f>
        <v>1</v>
      </c>
      <c r="R46" s="19">
        <f>ROUNDUP(H46*(L46+PARAMETROS!$B$9)+M46,0)</f>
        <v>1</v>
      </c>
      <c r="S46" s="19">
        <f>MAX(0,R46-O46)</f>
        <v>1</v>
      </c>
      <c r="T46" s="19">
        <f>ROUNDUP(H46*(L46+PARAMETROS!$B$10)+M46,0)</f>
        <v>1</v>
      </c>
      <c r="U46" s="19">
        <f>MAX(0,T46-O46)</f>
        <v>1</v>
      </c>
    </row>
    <row r="47" spans="1:21">
      <c r="A47" s="5" t="s">
        <v>250</v>
      </c>
      <c r="B47" s="5" t="s">
        <v>40</v>
      </c>
      <c r="C47" s="7">
        <v>1</v>
      </c>
      <c r="D47" s="7">
        <v>1</v>
      </c>
      <c r="E47" s="7">
        <v>1</v>
      </c>
      <c r="F47" s="7">
        <v>0</v>
      </c>
      <c r="G47" s="9">
        <v>1</v>
      </c>
      <c r="H47" s="13">
        <v>0.0172</v>
      </c>
      <c r="I47" s="13">
        <v>0.3536</v>
      </c>
      <c r="J47" s="5" t="s">
        <v>214</v>
      </c>
      <c r="K47" s="15">
        <f>IF(LEFT(J47,1)="X",PARAMETROS!$B$11,IF(LEFT(J47,1)="Y",PARAMETROS!$B$12,PARAMETROS!$B$13))</f>
        <v>0.84</v>
      </c>
      <c r="L47" s="14">
        <f>PARAMETROS!$B$7</f>
        <v>7</v>
      </c>
      <c r="M47" s="13">
        <f>ROUND(K47*I47*SQRT(L47/7),2)</f>
        <v>0.3</v>
      </c>
      <c r="N47" s="7">
        <f>ROUNDUP(H47*L47+M47,0)</f>
        <v>1</v>
      </c>
      <c r="O47" s="14">
        <v>0</v>
      </c>
      <c r="P47" s="7">
        <f>ROUNDUP(H47*(L47+PARAMETROS!$B$8)+M47,0)</f>
        <v>1</v>
      </c>
      <c r="Q47" s="7">
        <f>MAX(0,P47-O47)</f>
        <v>1</v>
      </c>
      <c r="R47" s="7">
        <f>ROUNDUP(H47*(L47+PARAMETROS!$B$9)+M47,0)</f>
        <v>1</v>
      </c>
      <c r="S47" s="7">
        <f>MAX(0,R47-O47)</f>
        <v>1</v>
      </c>
      <c r="T47" s="7">
        <f>ROUNDUP(H47*(L47+PARAMETROS!$B$10)+M47,0)</f>
        <v>1</v>
      </c>
      <c r="U47" s="7">
        <f>MAX(0,T47-O47)</f>
        <v>1</v>
      </c>
    </row>
    <row r="48" spans="1:21">
      <c r="A48" s="18" t="s">
        <v>251</v>
      </c>
      <c r="B48" s="18" t="s">
        <v>216</v>
      </c>
      <c r="C48" s="19">
        <v>1</v>
      </c>
      <c r="D48" s="19">
        <v>1</v>
      </c>
      <c r="E48" s="19">
        <v>1</v>
      </c>
      <c r="F48" s="19">
        <v>0</v>
      </c>
      <c r="G48" s="20">
        <v>1</v>
      </c>
      <c r="H48" s="21">
        <v>0.0172</v>
      </c>
      <c r="I48" s="21">
        <v>0.3536</v>
      </c>
      <c r="J48" s="18" t="s">
        <v>214</v>
      </c>
      <c r="K48" s="15">
        <f>IF(LEFT(J48,1)="X",PARAMETROS!$B$11,IF(LEFT(J48,1)="Y",PARAMETROS!$B$12,PARAMETROS!$B$13))</f>
        <v>0.84</v>
      </c>
      <c r="L48" s="14">
        <f>PARAMETROS!$B$7</f>
        <v>7</v>
      </c>
      <c r="M48" s="21">
        <f>ROUND(K48*I48*SQRT(L48/7),2)</f>
        <v>0.3</v>
      </c>
      <c r="N48" s="19">
        <f>ROUNDUP(H48*L48+M48,0)</f>
        <v>1</v>
      </c>
      <c r="O48" s="14">
        <v>0</v>
      </c>
      <c r="P48" s="19">
        <f>ROUNDUP(H48*(L48+PARAMETROS!$B$8)+M48,0)</f>
        <v>1</v>
      </c>
      <c r="Q48" s="19">
        <f>MAX(0,P48-O48)</f>
        <v>1</v>
      </c>
      <c r="R48" s="19">
        <f>ROUNDUP(H48*(L48+PARAMETROS!$B$9)+M48,0)</f>
        <v>1</v>
      </c>
      <c r="S48" s="19">
        <f>MAX(0,R48-O48)</f>
        <v>1</v>
      </c>
      <c r="T48" s="19">
        <f>ROUNDUP(H48*(L48+PARAMETROS!$B$10)+M48,0)</f>
        <v>1</v>
      </c>
      <c r="U48" s="19">
        <f>MAX(0,T48-O48)</f>
        <v>1</v>
      </c>
    </row>
    <row r="49" spans="1:21">
      <c r="A49" s="5" t="s">
        <v>252</v>
      </c>
      <c r="B49" s="5" t="s">
        <v>40</v>
      </c>
      <c r="C49" s="7">
        <v>1</v>
      </c>
      <c r="D49" s="7">
        <v>1</v>
      </c>
      <c r="E49" s="7">
        <v>1</v>
      </c>
      <c r="F49" s="7">
        <v>0</v>
      </c>
      <c r="G49" s="9">
        <v>1</v>
      </c>
      <c r="H49" s="13">
        <v>0.0172</v>
      </c>
      <c r="I49" s="13">
        <v>0.3536</v>
      </c>
      <c r="J49" s="5" t="s">
        <v>214</v>
      </c>
      <c r="K49" s="15">
        <f>IF(LEFT(J49,1)="X",PARAMETROS!$B$11,IF(LEFT(J49,1)="Y",PARAMETROS!$B$12,PARAMETROS!$B$13))</f>
        <v>0.84</v>
      </c>
      <c r="L49" s="14">
        <f>PARAMETROS!$B$7</f>
        <v>7</v>
      </c>
      <c r="M49" s="13">
        <f>ROUND(K49*I49*SQRT(L49/7),2)</f>
        <v>0.3</v>
      </c>
      <c r="N49" s="7">
        <f>ROUNDUP(H49*L49+M49,0)</f>
        <v>1</v>
      </c>
      <c r="O49" s="14">
        <v>0</v>
      </c>
      <c r="P49" s="7">
        <f>ROUNDUP(H49*(L49+PARAMETROS!$B$8)+M49,0)</f>
        <v>1</v>
      </c>
      <c r="Q49" s="7">
        <f>MAX(0,P49-O49)</f>
        <v>1</v>
      </c>
      <c r="R49" s="7">
        <f>ROUNDUP(H49*(L49+PARAMETROS!$B$9)+M49,0)</f>
        <v>1</v>
      </c>
      <c r="S49" s="7">
        <f>MAX(0,R49-O49)</f>
        <v>1</v>
      </c>
      <c r="T49" s="7">
        <f>ROUNDUP(H49*(L49+PARAMETROS!$B$10)+M49,0)</f>
        <v>1</v>
      </c>
      <c r="U49" s="7">
        <f>MAX(0,T49-O49)</f>
        <v>1</v>
      </c>
    </row>
    <row r="50" spans="1:21">
      <c r="A50" s="18" t="s">
        <v>253</v>
      </c>
      <c r="B50" s="18" t="s">
        <v>216</v>
      </c>
      <c r="C50" s="19">
        <v>1</v>
      </c>
      <c r="D50" s="19">
        <v>1</v>
      </c>
      <c r="E50" s="19">
        <v>1</v>
      </c>
      <c r="F50" s="19">
        <v>0</v>
      </c>
      <c r="G50" s="20">
        <v>1</v>
      </c>
      <c r="H50" s="21">
        <v>0.0172</v>
      </c>
      <c r="I50" s="21">
        <v>0.3536</v>
      </c>
      <c r="J50" s="18" t="s">
        <v>214</v>
      </c>
      <c r="K50" s="15">
        <f>IF(LEFT(J50,1)="X",PARAMETROS!$B$11,IF(LEFT(J50,1)="Y",PARAMETROS!$B$12,PARAMETROS!$B$13))</f>
        <v>0.84</v>
      </c>
      <c r="L50" s="14">
        <f>PARAMETROS!$B$7</f>
        <v>7</v>
      </c>
      <c r="M50" s="21">
        <f>ROUND(K50*I50*SQRT(L50/7),2)</f>
        <v>0.3</v>
      </c>
      <c r="N50" s="19">
        <f>ROUNDUP(H50*L50+M50,0)</f>
        <v>1</v>
      </c>
      <c r="O50" s="14">
        <v>0</v>
      </c>
      <c r="P50" s="19">
        <f>ROUNDUP(H50*(L50+PARAMETROS!$B$8)+M50,0)</f>
        <v>1</v>
      </c>
      <c r="Q50" s="19">
        <f>MAX(0,P50-O50)</f>
        <v>1</v>
      </c>
      <c r="R50" s="19">
        <f>ROUNDUP(H50*(L50+PARAMETROS!$B$9)+M50,0)</f>
        <v>1</v>
      </c>
      <c r="S50" s="19">
        <f>MAX(0,R50-O50)</f>
        <v>1</v>
      </c>
      <c r="T50" s="19">
        <f>ROUNDUP(H50*(L50+PARAMETROS!$B$10)+M50,0)</f>
        <v>1</v>
      </c>
      <c r="U50" s="19">
        <f>MAX(0,T50-O50)</f>
        <v>1</v>
      </c>
    </row>
    <row r="51" spans="1:21">
      <c r="A51" s="5" t="s">
        <v>254</v>
      </c>
      <c r="B51" s="5" t="s">
        <v>47</v>
      </c>
      <c r="C51" s="7">
        <v>1</v>
      </c>
      <c r="D51" s="7">
        <v>1</v>
      </c>
      <c r="E51" s="7">
        <v>1</v>
      </c>
      <c r="F51" s="7">
        <v>0</v>
      </c>
      <c r="G51" s="9">
        <v>1</v>
      </c>
      <c r="H51" s="13">
        <v>0.0172</v>
      </c>
      <c r="I51" s="13">
        <v>0.3536</v>
      </c>
      <c r="J51" s="5" t="s">
        <v>214</v>
      </c>
      <c r="K51" s="15">
        <f>IF(LEFT(J51,1)="X",PARAMETROS!$B$11,IF(LEFT(J51,1)="Y",PARAMETROS!$B$12,PARAMETROS!$B$13))</f>
        <v>0.84</v>
      </c>
      <c r="L51" s="14">
        <f>PARAMETROS!$B$7</f>
        <v>7</v>
      </c>
      <c r="M51" s="13">
        <f>ROUND(K51*I51*SQRT(L51/7),2)</f>
        <v>0.3</v>
      </c>
      <c r="N51" s="7">
        <f>ROUNDUP(H51*L51+M51,0)</f>
        <v>1</v>
      </c>
      <c r="O51" s="14">
        <v>0</v>
      </c>
      <c r="P51" s="7">
        <f>ROUNDUP(H51*(L51+PARAMETROS!$B$8)+M51,0)</f>
        <v>1</v>
      </c>
      <c r="Q51" s="7">
        <f>MAX(0,P51-O51)</f>
        <v>1</v>
      </c>
      <c r="R51" s="7">
        <f>ROUNDUP(H51*(L51+PARAMETROS!$B$9)+M51,0)</f>
        <v>1</v>
      </c>
      <c r="S51" s="7">
        <f>MAX(0,R51-O51)</f>
        <v>1</v>
      </c>
      <c r="T51" s="7">
        <f>ROUNDUP(H51*(L51+PARAMETROS!$B$10)+M51,0)</f>
        <v>1</v>
      </c>
      <c r="U51" s="7">
        <f>MAX(0,T51-O51)</f>
        <v>1</v>
      </c>
    </row>
    <row r="52" spans="1:21">
      <c r="A52" s="18" t="s">
        <v>255</v>
      </c>
      <c r="B52" s="18" t="s">
        <v>216</v>
      </c>
      <c r="C52" s="19">
        <v>1</v>
      </c>
      <c r="D52" s="19">
        <v>1</v>
      </c>
      <c r="E52" s="19">
        <v>1</v>
      </c>
      <c r="F52" s="19">
        <v>0</v>
      </c>
      <c r="G52" s="20">
        <v>1</v>
      </c>
      <c r="H52" s="21">
        <v>0.0172</v>
      </c>
      <c r="I52" s="21">
        <v>0.3536</v>
      </c>
      <c r="J52" s="18" t="s">
        <v>214</v>
      </c>
      <c r="K52" s="15">
        <f>IF(LEFT(J52,1)="X",PARAMETROS!$B$11,IF(LEFT(J52,1)="Y",PARAMETROS!$B$12,PARAMETROS!$B$13))</f>
        <v>0.84</v>
      </c>
      <c r="L52" s="14">
        <f>PARAMETROS!$B$7</f>
        <v>7</v>
      </c>
      <c r="M52" s="21">
        <f>ROUND(K52*I52*SQRT(L52/7),2)</f>
        <v>0.3</v>
      </c>
      <c r="N52" s="19">
        <f>ROUNDUP(H52*L52+M52,0)</f>
        <v>1</v>
      </c>
      <c r="O52" s="14">
        <v>0</v>
      </c>
      <c r="P52" s="19">
        <f>ROUNDUP(H52*(L52+PARAMETROS!$B$8)+M52,0)</f>
        <v>1</v>
      </c>
      <c r="Q52" s="19">
        <f>MAX(0,P52-O52)</f>
        <v>1</v>
      </c>
      <c r="R52" s="19">
        <f>ROUNDUP(H52*(L52+PARAMETROS!$B$9)+M52,0)</f>
        <v>1</v>
      </c>
      <c r="S52" s="19">
        <f>MAX(0,R52-O52)</f>
        <v>1</v>
      </c>
      <c r="T52" s="19">
        <f>ROUNDUP(H52*(L52+PARAMETROS!$B$10)+M52,0)</f>
        <v>1</v>
      </c>
      <c r="U52" s="19">
        <f>MAX(0,T52-O52)</f>
        <v>1</v>
      </c>
    </row>
    <row r="53" spans="1:21">
      <c r="A53" s="5" t="s">
        <v>256</v>
      </c>
      <c r="B53" s="5" t="s">
        <v>257</v>
      </c>
      <c r="C53" s="7">
        <v>1</v>
      </c>
      <c r="D53" s="7">
        <v>1</v>
      </c>
      <c r="E53" s="7">
        <v>1</v>
      </c>
      <c r="F53" s="7">
        <v>0</v>
      </c>
      <c r="G53" s="9">
        <v>1</v>
      </c>
      <c r="H53" s="13">
        <v>0.0172</v>
      </c>
      <c r="I53" s="13">
        <v>0.3536</v>
      </c>
      <c r="J53" s="5" t="s">
        <v>214</v>
      </c>
      <c r="K53" s="15">
        <f>IF(LEFT(J53,1)="X",PARAMETROS!$B$11,IF(LEFT(J53,1)="Y",PARAMETROS!$B$12,PARAMETROS!$B$13))</f>
        <v>0.84</v>
      </c>
      <c r="L53" s="14">
        <f>PARAMETROS!$B$7</f>
        <v>7</v>
      </c>
      <c r="M53" s="13">
        <f>ROUND(K53*I53*SQRT(L53/7),2)</f>
        <v>0.3</v>
      </c>
      <c r="N53" s="7">
        <f>ROUNDUP(H53*L53+M53,0)</f>
        <v>1</v>
      </c>
      <c r="O53" s="14">
        <v>0</v>
      </c>
      <c r="P53" s="7">
        <f>ROUNDUP(H53*(L53+PARAMETROS!$B$8)+M53,0)</f>
        <v>1</v>
      </c>
      <c r="Q53" s="7">
        <f>MAX(0,P53-O53)</f>
        <v>1</v>
      </c>
      <c r="R53" s="7">
        <f>ROUNDUP(H53*(L53+PARAMETROS!$B$9)+M53,0)</f>
        <v>1</v>
      </c>
      <c r="S53" s="7">
        <f>MAX(0,R53-O53)</f>
        <v>1</v>
      </c>
      <c r="T53" s="7">
        <f>ROUNDUP(H53*(L53+PARAMETROS!$B$10)+M53,0)</f>
        <v>1</v>
      </c>
      <c r="U53" s="7">
        <f>MAX(0,T53-O53)</f>
        <v>1</v>
      </c>
    </row>
    <row r="54" spans="1:21">
      <c r="A54" s="18" t="s">
        <v>258</v>
      </c>
      <c r="B54" s="18" t="s">
        <v>216</v>
      </c>
      <c r="C54" s="19">
        <v>1</v>
      </c>
      <c r="D54" s="19">
        <v>1</v>
      </c>
      <c r="E54" s="19">
        <v>1</v>
      </c>
      <c r="F54" s="19">
        <v>0</v>
      </c>
      <c r="G54" s="20">
        <v>1</v>
      </c>
      <c r="H54" s="21">
        <v>0.0172</v>
      </c>
      <c r="I54" s="21">
        <v>0.3536</v>
      </c>
      <c r="J54" s="18" t="s">
        <v>214</v>
      </c>
      <c r="K54" s="15">
        <f>IF(LEFT(J54,1)="X",PARAMETROS!$B$11,IF(LEFT(J54,1)="Y",PARAMETROS!$B$12,PARAMETROS!$B$13))</f>
        <v>0.84</v>
      </c>
      <c r="L54" s="14">
        <f>PARAMETROS!$B$7</f>
        <v>7</v>
      </c>
      <c r="M54" s="21">
        <f>ROUND(K54*I54*SQRT(L54/7),2)</f>
        <v>0.3</v>
      </c>
      <c r="N54" s="19">
        <f>ROUNDUP(H54*L54+M54,0)</f>
        <v>1</v>
      </c>
      <c r="O54" s="14">
        <v>0</v>
      </c>
      <c r="P54" s="19">
        <f>ROUNDUP(H54*(L54+PARAMETROS!$B$8)+M54,0)</f>
        <v>1</v>
      </c>
      <c r="Q54" s="19">
        <f>MAX(0,P54-O54)</f>
        <v>1</v>
      </c>
      <c r="R54" s="19">
        <f>ROUNDUP(H54*(L54+PARAMETROS!$B$9)+M54,0)</f>
        <v>1</v>
      </c>
      <c r="S54" s="19">
        <f>MAX(0,R54-O54)</f>
        <v>1</v>
      </c>
      <c r="T54" s="19">
        <f>ROUNDUP(H54*(L54+PARAMETROS!$B$10)+M54,0)</f>
        <v>1</v>
      </c>
      <c r="U54" s="19">
        <f>MAX(0,T54-O54)</f>
        <v>1</v>
      </c>
    </row>
    <row r="55" spans="1:21">
      <c r="A55" s="5" t="s">
        <v>259</v>
      </c>
      <c r="B55" s="5" t="s">
        <v>40</v>
      </c>
      <c r="C55" s="7">
        <v>1</v>
      </c>
      <c r="D55" s="7">
        <v>1</v>
      </c>
      <c r="E55" s="7">
        <v>1</v>
      </c>
      <c r="F55" s="7">
        <v>0</v>
      </c>
      <c r="G55" s="9">
        <v>1</v>
      </c>
      <c r="H55" s="13">
        <v>0.0172</v>
      </c>
      <c r="I55" s="13">
        <v>0.3536</v>
      </c>
      <c r="J55" s="5" t="s">
        <v>214</v>
      </c>
      <c r="K55" s="15">
        <f>IF(LEFT(J55,1)="X",PARAMETROS!$B$11,IF(LEFT(J55,1)="Y",PARAMETROS!$B$12,PARAMETROS!$B$13))</f>
        <v>0.84</v>
      </c>
      <c r="L55" s="14">
        <f>PARAMETROS!$B$7</f>
        <v>7</v>
      </c>
      <c r="M55" s="13">
        <f>ROUND(K55*I55*SQRT(L55/7),2)</f>
        <v>0.3</v>
      </c>
      <c r="N55" s="7">
        <f>ROUNDUP(H55*L55+M55,0)</f>
        <v>1</v>
      </c>
      <c r="O55" s="14">
        <v>0</v>
      </c>
      <c r="P55" s="7">
        <f>ROUNDUP(H55*(L55+PARAMETROS!$B$8)+M55,0)</f>
        <v>1</v>
      </c>
      <c r="Q55" s="7">
        <f>MAX(0,P55-O55)</f>
        <v>1</v>
      </c>
      <c r="R55" s="7">
        <f>ROUNDUP(H55*(L55+PARAMETROS!$B$9)+M55,0)</f>
        <v>1</v>
      </c>
      <c r="S55" s="7">
        <f>MAX(0,R55-O55)</f>
        <v>1</v>
      </c>
      <c r="T55" s="7">
        <f>ROUNDUP(H55*(L55+PARAMETROS!$B$10)+M55,0)</f>
        <v>1</v>
      </c>
      <c r="U55" s="7">
        <f>MAX(0,T55-O55)</f>
        <v>1</v>
      </c>
    </row>
    <row r="56" spans="1:21">
      <c r="A56" s="18" t="s">
        <v>260</v>
      </c>
      <c r="B56" s="18" t="s">
        <v>40</v>
      </c>
      <c r="C56" s="19">
        <v>1</v>
      </c>
      <c r="D56" s="19">
        <v>1</v>
      </c>
      <c r="E56" s="19">
        <v>0</v>
      </c>
      <c r="F56" s="19">
        <v>1</v>
      </c>
      <c r="G56" s="20">
        <v>0</v>
      </c>
      <c r="H56" s="21">
        <v>0.0172</v>
      </c>
      <c r="I56" s="21">
        <v>0.3536</v>
      </c>
      <c r="J56" s="18" t="s">
        <v>214</v>
      </c>
      <c r="K56" s="15">
        <f>IF(LEFT(J56,1)="X",PARAMETROS!$B$11,IF(LEFT(J56,1)="Y",PARAMETROS!$B$12,PARAMETROS!$B$13))</f>
        <v>0.84</v>
      </c>
      <c r="L56" s="14">
        <f>PARAMETROS!$B$7</f>
        <v>7</v>
      </c>
      <c r="M56" s="21">
        <f>ROUND(K56*I56*SQRT(L56/7),2)</f>
        <v>0.3</v>
      </c>
      <c r="N56" s="19">
        <f>ROUNDUP(H56*L56+M56,0)</f>
        <v>1</v>
      </c>
      <c r="O56" s="14">
        <v>0</v>
      </c>
      <c r="P56" s="19">
        <f>ROUNDUP(H56*(L56+PARAMETROS!$B$8)+M56,0)</f>
        <v>1</v>
      </c>
      <c r="Q56" s="19">
        <f>MAX(0,P56-O56)</f>
        <v>1</v>
      </c>
      <c r="R56" s="19">
        <f>ROUNDUP(H56*(L56+PARAMETROS!$B$9)+M56,0)</f>
        <v>1</v>
      </c>
      <c r="S56" s="19">
        <f>MAX(0,R56-O56)</f>
        <v>1</v>
      </c>
      <c r="T56" s="19">
        <f>ROUNDUP(H56*(L56+PARAMETROS!$B$10)+M56,0)</f>
        <v>1</v>
      </c>
      <c r="U56" s="19">
        <f>MAX(0,T56-O56)</f>
        <v>1</v>
      </c>
    </row>
    <row r="57" spans="1:21">
      <c r="A57" s="5" t="s">
        <v>261</v>
      </c>
      <c r="B57" s="5" t="s">
        <v>216</v>
      </c>
      <c r="C57" s="7">
        <v>1</v>
      </c>
      <c r="D57" s="7">
        <v>1</v>
      </c>
      <c r="E57" s="7">
        <v>1</v>
      </c>
      <c r="F57" s="7">
        <v>0</v>
      </c>
      <c r="G57" s="9">
        <v>1</v>
      </c>
      <c r="H57" s="13">
        <v>0.0172</v>
      </c>
      <c r="I57" s="13">
        <v>0.3536</v>
      </c>
      <c r="J57" s="5" t="s">
        <v>214</v>
      </c>
      <c r="K57" s="15">
        <f>IF(LEFT(J57,1)="X",PARAMETROS!$B$11,IF(LEFT(J57,1)="Y",PARAMETROS!$B$12,PARAMETROS!$B$13))</f>
        <v>0.84</v>
      </c>
      <c r="L57" s="14">
        <f>PARAMETROS!$B$7</f>
        <v>7</v>
      </c>
      <c r="M57" s="13">
        <f>ROUND(K57*I57*SQRT(L57/7),2)</f>
        <v>0.3</v>
      </c>
      <c r="N57" s="7">
        <f>ROUNDUP(H57*L57+M57,0)</f>
        <v>1</v>
      </c>
      <c r="O57" s="14">
        <v>0</v>
      </c>
      <c r="P57" s="7">
        <f>ROUNDUP(H57*(L57+PARAMETROS!$B$8)+M57,0)</f>
        <v>1</v>
      </c>
      <c r="Q57" s="7">
        <f>MAX(0,P57-O57)</f>
        <v>1</v>
      </c>
      <c r="R57" s="7">
        <f>ROUNDUP(H57*(L57+PARAMETROS!$B$9)+M57,0)</f>
        <v>1</v>
      </c>
      <c r="S57" s="7">
        <f>MAX(0,R57-O57)</f>
        <v>1</v>
      </c>
      <c r="T57" s="7">
        <f>ROUNDUP(H57*(L57+PARAMETROS!$B$10)+M57,0)</f>
        <v>1</v>
      </c>
      <c r="U57" s="7">
        <f>MAX(0,T57-O57)</f>
        <v>1</v>
      </c>
    </row>
    <row r="58" spans="1:21">
      <c r="A58" s="18" t="s">
        <v>262</v>
      </c>
      <c r="B58" s="18" t="s">
        <v>257</v>
      </c>
      <c r="C58" s="19">
        <v>1</v>
      </c>
      <c r="D58" s="19">
        <v>1</v>
      </c>
      <c r="E58" s="19">
        <v>1</v>
      </c>
      <c r="F58" s="19">
        <v>0</v>
      </c>
      <c r="G58" s="20">
        <v>1</v>
      </c>
      <c r="H58" s="21">
        <v>0.0172</v>
      </c>
      <c r="I58" s="21">
        <v>0.3536</v>
      </c>
      <c r="J58" s="18" t="s">
        <v>214</v>
      </c>
      <c r="K58" s="15">
        <f>IF(LEFT(J58,1)="X",PARAMETROS!$B$11,IF(LEFT(J58,1)="Y",PARAMETROS!$B$12,PARAMETROS!$B$13))</f>
        <v>0.84</v>
      </c>
      <c r="L58" s="14">
        <f>PARAMETROS!$B$7</f>
        <v>7</v>
      </c>
      <c r="M58" s="21">
        <f>ROUND(K58*I58*SQRT(L58/7),2)</f>
        <v>0.3</v>
      </c>
      <c r="N58" s="19">
        <f>ROUNDUP(H58*L58+M58,0)</f>
        <v>1</v>
      </c>
      <c r="O58" s="14">
        <v>0</v>
      </c>
      <c r="P58" s="19">
        <f>ROUNDUP(H58*(L58+PARAMETROS!$B$8)+M58,0)</f>
        <v>1</v>
      </c>
      <c r="Q58" s="19">
        <f>MAX(0,P58-O58)</f>
        <v>1</v>
      </c>
      <c r="R58" s="19">
        <f>ROUNDUP(H58*(L58+PARAMETROS!$B$9)+M58,0)</f>
        <v>1</v>
      </c>
      <c r="S58" s="19">
        <f>MAX(0,R58-O58)</f>
        <v>1</v>
      </c>
      <c r="T58" s="19">
        <f>ROUNDUP(H58*(L58+PARAMETROS!$B$10)+M58,0)</f>
        <v>1</v>
      </c>
      <c r="U58" s="19">
        <f>MAX(0,T58-O58)</f>
        <v>1</v>
      </c>
    </row>
    <row r="59" spans="1:21">
      <c r="A59" s="5" t="s">
        <v>263</v>
      </c>
      <c r="B59" s="5" t="s">
        <v>47</v>
      </c>
      <c r="C59" s="7">
        <v>1</v>
      </c>
      <c r="D59" s="7">
        <v>1</v>
      </c>
      <c r="E59" s="7">
        <v>1</v>
      </c>
      <c r="F59" s="7">
        <v>0</v>
      </c>
      <c r="G59" s="9">
        <v>1</v>
      </c>
      <c r="H59" s="13">
        <v>0.0172</v>
      </c>
      <c r="I59" s="13">
        <v>0</v>
      </c>
      <c r="J59" s="5" t="s">
        <v>214</v>
      </c>
      <c r="K59" s="15">
        <f>IF(LEFT(J59,1)="X",PARAMETROS!$B$11,IF(LEFT(J59,1)="Y",PARAMETROS!$B$12,PARAMETROS!$B$13))</f>
        <v>0.84</v>
      </c>
      <c r="L59" s="14">
        <f>PARAMETROS!$B$7</f>
        <v>7</v>
      </c>
      <c r="M59" s="13">
        <f>ROUND(K59*I59*SQRT(L59/7),2)</f>
        <v>0.0</v>
      </c>
      <c r="N59" s="7">
        <f>ROUNDUP(H59*L59+M59,0)</f>
        <v>1</v>
      </c>
      <c r="O59" s="14">
        <v>0</v>
      </c>
      <c r="P59" s="7">
        <f>ROUNDUP(H59*(L59+PARAMETROS!$B$8)+M59,0)</f>
        <v>1</v>
      </c>
      <c r="Q59" s="7">
        <f>MAX(0,P59-O59)</f>
        <v>1</v>
      </c>
      <c r="R59" s="7">
        <f>ROUNDUP(H59*(L59+PARAMETROS!$B$9)+M59,0)</f>
        <v>1</v>
      </c>
      <c r="S59" s="7">
        <f>MAX(0,R59-O59)</f>
        <v>1</v>
      </c>
      <c r="T59" s="7">
        <f>ROUNDUP(H59*(L59+PARAMETROS!$B$10)+M59,0)</f>
        <v>1</v>
      </c>
      <c r="U59" s="7">
        <f>MAX(0,T59-O59)</f>
        <v>1</v>
      </c>
    </row>
    <row r="60" spans="1:21">
      <c r="A60" s="4" t="s">
        <v>145</v>
      </c>
      <c r="B60" s="4"/>
      <c r="C60" s="11">
        <f>SUM(C5:C59)</f>
        <v>155</v>
      </c>
      <c r="D60" s="11">
        <f>SUM(D5:D59)</f>
        <v>458</v>
      </c>
      <c r="E60" s="11">
        <f>SUM(E5:E59)</f>
        <v>435</v>
      </c>
      <c r="F60" s="11">
        <f>SUM(F5:F59)</f>
        <v>23</v>
      </c>
      <c r="G60" s="22">
        <f>E60/D60</f>
        <v>0.9497816593886463</v>
      </c>
      <c r="H60" s="23">
        <f>SUM(H5:H59)</f>
        <v>7.8966</v>
      </c>
      <c r="I60" s="4"/>
      <c r="J60" s="4"/>
      <c r="K60" s="4"/>
      <c r="L60" s="4"/>
      <c r="M60" s="4"/>
      <c r="N60" s="11">
        <f>SUM(N5:N59)</f>
        <v>176</v>
      </c>
      <c r="O60" s="4"/>
      <c r="P60" s="11">
        <f>SUM(P5:P59)</f>
        <v>228</v>
      </c>
      <c r="Q60" s="11">
        <f>SUM(Q5:Q59)</f>
        <v>228</v>
      </c>
      <c r="R60" s="11">
        <f>SUM(R5:R59)</f>
        <v>282</v>
      </c>
      <c r="S60" s="11">
        <f>SUM(S5:S59)</f>
        <v>282</v>
      </c>
      <c r="T60" s="11">
        <f>SUM(T5:T59)</f>
        <v>405</v>
      </c>
      <c r="U60" s="11">
        <f>SUM(U5:U59)</f>
        <v>405</v>
      </c>
    </row>
    <row r="62" spans="1:21" ht="44" customHeight="1">
      <c r="A62" s="10" t="s">
        <v>264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</sheetData>
  <autoFilter ref="A4:U59"/>
  <mergeCells count="3">
    <mergeCell ref="A1:U1"/>
    <mergeCell ref="A2:U2"/>
    <mergeCell ref="A62:U62"/>
  </mergeCells>
  <conditionalFormatting sqref="G5:G5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:Q59">
    <cfRule type="dataBar" priority="2">
      <dataBar>
        <cfvo type="min" val="0"/>
        <cfvo type="max" val="0"/>
        <color rgb="FF2E75B6"/>
      </dataBar>
    </cfRule>
  </conditionalFormatting>
  <conditionalFormatting sqref="S5:S59">
    <cfRule type="dataBar" priority="3">
      <dataBar>
        <cfvo type="min" val="0"/>
        <cfvo type="max" val="0"/>
        <color rgb="FF2E75B6"/>
      </dataBar>
    </cfRule>
  </conditionalFormatting>
  <conditionalFormatting sqref="U5:U59">
    <cfRule type="dataBar" priority="4">
      <dataBar>
        <cfvo type="min" val="0"/>
        <cfvo type="max" val="0"/>
        <color rgb="FF2E75B6"/>
      </dataBar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E75B6"/>
  </sheetPr>
  <dimension ref="A1:U8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34.7109375" customWidth="1"/>
    <col min="2" max="2" width="23.7109375" customWidth="1"/>
    <col min="3" max="3" width="10.7109375" customWidth="1"/>
    <col min="4" max="4" width="12.7109375" customWidth="1"/>
    <col min="5" max="5" width="11.7109375" customWidth="1"/>
    <col min="6" max="6" width="12.7109375" customWidth="1"/>
    <col min="7" max="8" width="10.7109375" customWidth="1"/>
    <col min="9" max="9" width="9.7109375" customWidth="1"/>
    <col min="10" max="10" width="15.7109375" customWidth="1"/>
    <col min="11" max="13" width="10.7109375" customWidth="1"/>
    <col min="14" max="14" width="11.7109375" customWidth="1"/>
    <col min="15" max="16" width="10.7109375" customWidth="1"/>
    <col min="17" max="18" width="11.7109375" customWidth="1"/>
    <col min="19" max="19" width="12.7109375" customWidth="1"/>
    <col min="20" max="20" width="10.7109375" customWidth="1"/>
    <col min="21" max="21" width="11.7109375" customWidth="1"/>
  </cols>
  <sheetData>
    <row r="1" spans="1:21" ht="26" customHeight="1">
      <c r="A1" s="1" t="s">
        <v>265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42" customHeight="1">
      <c r="A2" s="2" t="s">
        <v>266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spans="1:21" ht="44" customHeight="1">
      <c r="A4" s="6" t="s">
        <v>34</v>
      </c>
      <c r="B4" s="6" t="s">
        <v>35</v>
      </c>
      <c r="C4" s="6" t="s">
        <v>196</v>
      </c>
      <c r="D4" s="6" t="s">
        <v>197</v>
      </c>
      <c r="E4" s="6" t="s">
        <v>20</v>
      </c>
      <c r="F4" s="6" t="s">
        <v>198</v>
      </c>
      <c r="G4" s="6" t="s">
        <v>199</v>
      </c>
      <c r="H4" s="6" t="s">
        <v>200</v>
      </c>
      <c r="I4" s="6" t="s">
        <v>201</v>
      </c>
      <c r="J4" s="6" t="s">
        <v>202</v>
      </c>
      <c r="K4" s="6" t="s">
        <v>203</v>
      </c>
      <c r="L4" s="6" t="s">
        <v>204</v>
      </c>
      <c r="M4" s="6" t="s">
        <v>205</v>
      </c>
      <c r="N4" s="6" t="s">
        <v>206</v>
      </c>
      <c r="O4" s="6" t="s">
        <v>207</v>
      </c>
      <c r="P4" s="6" t="s">
        <v>208</v>
      </c>
      <c r="Q4" s="6" t="s">
        <v>209</v>
      </c>
      <c r="R4" s="6" t="s">
        <v>210</v>
      </c>
      <c r="S4" s="6" t="s">
        <v>211</v>
      </c>
      <c r="T4" s="6" t="s">
        <v>212</v>
      </c>
      <c r="U4" s="6" t="s">
        <v>213</v>
      </c>
    </row>
    <row r="5" spans="1:21">
      <c r="A5" s="5" t="s">
        <v>39</v>
      </c>
      <c r="B5" s="5" t="s">
        <v>40</v>
      </c>
      <c r="C5" s="7">
        <v>22</v>
      </c>
      <c r="D5" s="7">
        <v>5200</v>
      </c>
      <c r="E5" s="7">
        <v>5200</v>
      </c>
      <c r="F5" s="7">
        <v>0</v>
      </c>
      <c r="G5" s="9">
        <v>1</v>
      </c>
      <c r="H5" s="13">
        <v>89.65519999999999</v>
      </c>
      <c r="I5" s="13">
        <v>505.6379</v>
      </c>
      <c r="J5" s="5" t="s">
        <v>228</v>
      </c>
      <c r="K5" s="15">
        <f>IF(LEFT(J5,1)="X",PARAMETROS!$B$11,IF(LEFT(J5,1)="Y",PARAMETROS!$B$12,PARAMETROS!$B$13))</f>
        <v>1.28</v>
      </c>
      <c r="L5" s="14">
        <f>PARAMETROS!$B$7</f>
        <v>7</v>
      </c>
      <c r="M5" s="13">
        <f>ROUND(K5*I5*SQRT(L5/7),2)</f>
        <v>647.22</v>
      </c>
      <c r="N5" s="7">
        <f>ROUNDUP(H5*L5+M5,0)</f>
        <v>1275</v>
      </c>
      <c r="O5" s="14">
        <v>0</v>
      </c>
      <c r="P5" s="7">
        <f>ROUNDUP(H5*(L5+PARAMETROS!$B$8)+M5,0)</f>
        <v>1903</v>
      </c>
      <c r="Q5" s="7">
        <f>MAX(0,P5-O5)</f>
        <v>1903</v>
      </c>
      <c r="R5" s="7">
        <f>ROUNDUP(H5*(L5+PARAMETROS!$B$9)+M5,0)</f>
        <v>2530</v>
      </c>
      <c r="S5" s="7">
        <f>MAX(0,R5-O5)</f>
        <v>2530</v>
      </c>
      <c r="T5" s="7">
        <f>ROUNDUP(H5*(L5+PARAMETROS!$B$10)+M5,0)</f>
        <v>3965</v>
      </c>
      <c r="U5" s="7">
        <f>MAX(0,T5-O5)</f>
        <v>3965</v>
      </c>
    </row>
    <row r="6" spans="1:21">
      <c r="A6" s="18" t="s">
        <v>41</v>
      </c>
      <c r="B6" s="18" t="s">
        <v>40</v>
      </c>
      <c r="C6" s="19">
        <v>13</v>
      </c>
      <c r="D6" s="19">
        <v>2720</v>
      </c>
      <c r="E6" s="19">
        <v>2720</v>
      </c>
      <c r="F6" s="19">
        <v>0</v>
      </c>
      <c r="G6" s="20">
        <v>1</v>
      </c>
      <c r="H6" s="21">
        <v>46.8966</v>
      </c>
      <c r="I6" s="21">
        <v>307.4318</v>
      </c>
      <c r="J6" s="18" t="s">
        <v>228</v>
      </c>
      <c r="K6" s="15">
        <f>IF(LEFT(J6,1)="X",PARAMETROS!$B$11,IF(LEFT(J6,1)="Y",PARAMETROS!$B$12,PARAMETROS!$B$13))</f>
        <v>1.28</v>
      </c>
      <c r="L6" s="14">
        <f>PARAMETROS!$B$7</f>
        <v>7</v>
      </c>
      <c r="M6" s="21">
        <f>ROUND(K6*I6*SQRT(L6/7),2)</f>
        <v>393.51</v>
      </c>
      <c r="N6" s="19">
        <f>ROUNDUP(H6*L6+M6,0)</f>
        <v>722</v>
      </c>
      <c r="O6" s="14">
        <v>0</v>
      </c>
      <c r="P6" s="19">
        <f>ROUNDUP(H6*(L6+PARAMETROS!$B$8)+M6,0)</f>
        <v>1051</v>
      </c>
      <c r="Q6" s="19">
        <f>MAX(0,P6-O6)</f>
        <v>1051</v>
      </c>
      <c r="R6" s="19">
        <f>ROUNDUP(H6*(L6+PARAMETROS!$B$9)+M6,0)</f>
        <v>1379</v>
      </c>
      <c r="S6" s="19">
        <f>MAX(0,R6-O6)</f>
        <v>1379</v>
      </c>
      <c r="T6" s="19">
        <f>ROUNDUP(H6*(L6+PARAMETROS!$B$10)+M6,0)</f>
        <v>2129</v>
      </c>
      <c r="U6" s="19">
        <f>MAX(0,T6-O6)</f>
        <v>2129</v>
      </c>
    </row>
    <row r="7" spans="1:21">
      <c r="A7" s="5" t="s">
        <v>42</v>
      </c>
      <c r="B7" s="5" t="s">
        <v>40</v>
      </c>
      <c r="C7" s="7">
        <v>11</v>
      </c>
      <c r="D7" s="7">
        <v>2450</v>
      </c>
      <c r="E7" s="7">
        <v>2450</v>
      </c>
      <c r="F7" s="7">
        <v>0</v>
      </c>
      <c r="G7" s="9">
        <v>1</v>
      </c>
      <c r="H7" s="13">
        <v>42.2414</v>
      </c>
      <c r="I7" s="13">
        <v>283.3946</v>
      </c>
      <c r="J7" s="5" t="s">
        <v>228</v>
      </c>
      <c r="K7" s="15">
        <f>IF(LEFT(J7,1)="X",PARAMETROS!$B$11,IF(LEFT(J7,1)="Y",PARAMETROS!$B$12,PARAMETROS!$B$13))</f>
        <v>1.28</v>
      </c>
      <c r="L7" s="14">
        <f>PARAMETROS!$B$7</f>
        <v>7</v>
      </c>
      <c r="M7" s="13">
        <f>ROUND(K7*I7*SQRT(L7/7),2)</f>
        <v>362.75</v>
      </c>
      <c r="N7" s="7">
        <f>ROUNDUP(H7*L7+M7,0)</f>
        <v>659</v>
      </c>
      <c r="O7" s="14">
        <v>0</v>
      </c>
      <c r="P7" s="7">
        <f>ROUNDUP(H7*(L7+PARAMETROS!$B$8)+M7,0)</f>
        <v>955</v>
      </c>
      <c r="Q7" s="7">
        <f>MAX(0,P7-O7)</f>
        <v>955</v>
      </c>
      <c r="R7" s="7">
        <f>ROUNDUP(H7*(L7+PARAMETROS!$B$9)+M7,0)</f>
        <v>1250</v>
      </c>
      <c r="S7" s="7">
        <f>MAX(0,R7-O7)</f>
        <v>1250</v>
      </c>
      <c r="T7" s="7">
        <f>ROUNDUP(H7*(L7+PARAMETROS!$B$10)+M7,0)</f>
        <v>1926</v>
      </c>
      <c r="U7" s="7">
        <f>MAX(0,T7-O7)</f>
        <v>1926</v>
      </c>
    </row>
    <row r="8" spans="1:21">
      <c r="A8" s="18" t="s">
        <v>43</v>
      </c>
      <c r="B8" s="18" t="s">
        <v>40</v>
      </c>
      <c r="C8" s="19">
        <v>7</v>
      </c>
      <c r="D8" s="19">
        <v>1200</v>
      </c>
      <c r="E8" s="19">
        <v>1200</v>
      </c>
      <c r="F8" s="19">
        <v>0</v>
      </c>
      <c r="G8" s="20">
        <v>1</v>
      </c>
      <c r="H8" s="21">
        <v>20.6897</v>
      </c>
      <c r="I8" s="21">
        <v>190.8627</v>
      </c>
      <c r="J8" s="18" t="s">
        <v>214</v>
      </c>
      <c r="K8" s="15">
        <f>IF(LEFT(J8,1)="X",PARAMETROS!$B$11,IF(LEFT(J8,1)="Y",PARAMETROS!$B$12,PARAMETROS!$B$13))</f>
        <v>0.84</v>
      </c>
      <c r="L8" s="14">
        <f>PARAMETROS!$B$7</f>
        <v>7</v>
      </c>
      <c r="M8" s="21">
        <f>ROUND(K8*I8*SQRT(L8/7),2)</f>
        <v>160.32</v>
      </c>
      <c r="N8" s="19">
        <f>ROUNDUP(H8*L8+M8,0)</f>
        <v>306</v>
      </c>
      <c r="O8" s="14">
        <v>0</v>
      </c>
      <c r="P8" s="19">
        <f>ROUNDUP(H8*(L8+PARAMETROS!$B$8)+M8,0)</f>
        <v>450</v>
      </c>
      <c r="Q8" s="19">
        <f>MAX(0,P8-O8)</f>
        <v>450</v>
      </c>
      <c r="R8" s="19">
        <f>ROUNDUP(H8*(L8+PARAMETROS!$B$9)+M8,0)</f>
        <v>595</v>
      </c>
      <c r="S8" s="19">
        <f>MAX(0,R8-O8)</f>
        <v>595</v>
      </c>
      <c r="T8" s="19">
        <f>ROUNDUP(H8*(L8+PARAMETROS!$B$10)+M8,0)</f>
        <v>926</v>
      </c>
      <c r="U8" s="19">
        <f>MAX(0,T8-O8)</f>
        <v>926</v>
      </c>
    </row>
    <row r="9" spans="1:21">
      <c r="A9" s="5" t="s">
        <v>44</v>
      </c>
      <c r="B9" s="5" t="s">
        <v>40</v>
      </c>
      <c r="C9" s="7">
        <v>5</v>
      </c>
      <c r="D9" s="7">
        <v>800</v>
      </c>
      <c r="E9" s="7">
        <v>800</v>
      </c>
      <c r="F9" s="7">
        <v>0</v>
      </c>
      <c r="G9" s="9">
        <v>1</v>
      </c>
      <c r="H9" s="13">
        <v>13.7931</v>
      </c>
      <c r="I9" s="13">
        <v>141.4214</v>
      </c>
      <c r="J9" s="5" t="s">
        <v>214</v>
      </c>
      <c r="K9" s="15">
        <f>IF(LEFT(J9,1)="X",PARAMETROS!$B$11,IF(LEFT(J9,1)="Y",PARAMETROS!$B$12,PARAMETROS!$B$13))</f>
        <v>0.84</v>
      </c>
      <c r="L9" s="14">
        <f>PARAMETROS!$B$7</f>
        <v>7</v>
      </c>
      <c r="M9" s="13">
        <f>ROUND(K9*I9*SQRT(L9/7),2)</f>
        <v>118.79</v>
      </c>
      <c r="N9" s="7">
        <f>ROUNDUP(H9*L9+M9,0)</f>
        <v>216</v>
      </c>
      <c r="O9" s="14">
        <v>0</v>
      </c>
      <c r="P9" s="7">
        <f>ROUNDUP(H9*(L9+PARAMETROS!$B$8)+M9,0)</f>
        <v>312</v>
      </c>
      <c r="Q9" s="7">
        <f>MAX(0,P9-O9)</f>
        <v>312</v>
      </c>
      <c r="R9" s="7">
        <f>ROUNDUP(H9*(L9+PARAMETROS!$B$9)+M9,0)</f>
        <v>409</v>
      </c>
      <c r="S9" s="7">
        <f>MAX(0,R9-O9)</f>
        <v>409</v>
      </c>
      <c r="T9" s="7">
        <f>ROUNDUP(H9*(L9+PARAMETROS!$B$10)+M9,0)</f>
        <v>630</v>
      </c>
      <c r="U9" s="7">
        <f>MAX(0,T9-O9)</f>
        <v>630</v>
      </c>
    </row>
    <row r="10" spans="1:21">
      <c r="A10" s="18" t="s">
        <v>45</v>
      </c>
      <c r="B10" s="18" t="s">
        <v>40</v>
      </c>
      <c r="C10" s="19">
        <v>4</v>
      </c>
      <c r="D10" s="19">
        <v>550</v>
      </c>
      <c r="E10" s="19">
        <v>550</v>
      </c>
      <c r="F10" s="19">
        <v>0</v>
      </c>
      <c r="G10" s="20">
        <v>1</v>
      </c>
      <c r="H10" s="21">
        <v>9.482799999999999</v>
      </c>
      <c r="I10" s="21">
        <v>109.3814</v>
      </c>
      <c r="J10" s="18" t="s">
        <v>214</v>
      </c>
      <c r="K10" s="15">
        <f>IF(LEFT(J10,1)="X",PARAMETROS!$B$11,IF(LEFT(J10,1)="Y",PARAMETROS!$B$12,PARAMETROS!$B$13))</f>
        <v>0.84</v>
      </c>
      <c r="L10" s="14">
        <f>PARAMETROS!$B$7</f>
        <v>7</v>
      </c>
      <c r="M10" s="21">
        <f>ROUND(K10*I10*SQRT(L10/7),2)</f>
        <v>91.88</v>
      </c>
      <c r="N10" s="19">
        <f>ROUNDUP(H10*L10+M10,0)</f>
        <v>159</v>
      </c>
      <c r="O10" s="14">
        <v>0</v>
      </c>
      <c r="P10" s="19">
        <f>ROUNDUP(H10*(L10+PARAMETROS!$B$8)+M10,0)</f>
        <v>225</v>
      </c>
      <c r="Q10" s="19">
        <f>MAX(0,P10-O10)</f>
        <v>225</v>
      </c>
      <c r="R10" s="19">
        <f>ROUNDUP(H10*(L10+PARAMETROS!$B$9)+M10,0)</f>
        <v>292</v>
      </c>
      <c r="S10" s="19">
        <f>MAX(0,R10-O10)</f>
        <v>292</v>
      </c>
      <c r="T10" s="19">
        <f>ROUNDUP(H10*(L10+PARAMETROS!$B$10)+M10,0)</f>
        <v>443</v>
      </c>
      <c r="U10" s="19">
        <f>MAX(0,T10-O10)</f>
        <v>443</v>
      </c>
    </row>
    <row r="11" spans="1:21">
      <c r="A11" s="5" t="s">
        <v>46</v>
      </c>
      <c r="B11" s="5" t="s">
        <v>47</v>
      </c>
      <c r="C11" s="7">
        <v>18</v>
      </c>
      <c r="D11" s="7">
        <v>505</v>
      </c>
      <c r="E11" s="7">
        <v>365</v>
      </c>
      <c r="F11" s="7">
        <v>140</v>
      </c>
      <c r="G11" s="9">
        <v>0.7227722772277227</v>
      </c>
      <c r="H11" s="13">
        <v>8.706899999999999</v>
      </c>
      <c r="I11" s="13">
        <v>27.0499</v>
      </c>
      <c r="J11" s="5" t="s">
        <v>228</v>
      </c>
      <c r="K11" s="15">
        <f>IF(LEFT(J11,1)="X",PARAMETROS!$B$11,IF(LEFT(J11,1)="Y",PARAMETROS!$B$12,PARAMETROS!$B$13))</f>
        <v>1.28</v>
      </c>
      <c r="L11" s="14">
        <f>PARAMETROS!$B$7</f>
        <v>7</v>
      </c>
      <c r="M11" s="13">
        <f>ROUND(K11*I11*SQRT(L11/7),2)</f>
        <v>34.62</v>
      </c>
      <c r="N11" s="7">
        <f>ROUNDUP(H11*L11+M11,0)</f>
        <v>96</v>
      </c>
      <c r="O11" s="14">
        <v>0</v>
      </c>
      <c r="P11" s="7">
        <f>ROUNDUP(H11*(L11+PARAMETROS!$B$8)+M11,0)</f>
        <v>157</v>
      </c>
      <c r="Q11" s="7">
        <f>MAX(0,P11-O11)</f>
        <v>157</v>
      </c>
      <c r="R11" s="7">
        <f>ROUNDUP(H11*(L11+PARAMETROS!$B$9)+M11,0)</f>
        <v>218</v>
      </c>
      <c r="S11" s="7">
        <f>MAX(0,R11-O11)</f>
        <v>218</v>
      </c>
      <c r="T11" s="7">
        <f>ROUNDUP(H11*(L11+PARAMETROS!$B$10)+M11,0)</f>
        <v>357</v>
      </c>
      <c r="U11" s="7">
        <f>MAX(0,T11-O11)</f>
        <v>357</v>
      </c>
    </row>
    <row r="12" spans="1:21">
      <c r="A12" s="18" t="s">
        <v>49</v>
      </c>
      <c r="B12" s="18" t="s">
        <v>40</v>
      </c>
      <c r="C12" s="19">
        <v>1</v>
      </c>
      <c r="D12" s="19">
        <v>400</v>
      </c>
      <c r="E12" s="19">
        <v>400</v>
      </c>
      <c r="F12" s="19">
        <v>0</v>
      </c>
      <c r="G12" s="20">
        <v>1</v>
      </c>
      <c r="H12" s="21">
        <v>6.8966</v>
      </c>
      <c r="I12" s="21">
        <v>141.4214</v>
      </c>
      <c r="J12" s="18" t="s">
        <v>214</v>
      </c>
      <c r="K12" s="15">
        <f>IF(LEFT(J12,1)="X",PARAMETROS!$B$11,IF(LEFT(J12,1)="Y",PARAMETROS!$B$12,PARAMETROS!$B$13))</f>
        <v>0.84</v>
      </c>
      <c r="L12" s="14">
        <f>PARAMETROS!$B$7</f>
        <v>7</v>
      </c>
      <c r="M12" s="21">
        <f>ROUND(K12*I12*SQRT(L12/7),2)</f>
        <v>118.79</v>
      </c>
      <c r="N12" s="19">
        <f>ROUNDUP(H12*L12+M12,0)</f>
        <v>168</v>
      </c>
      <c r="O12" s="14">
        <v>0</v>
      </c>
      <c r="P12" s="19">
        <f>ROUNDUP(H12*(L12+PARAMETROS!$B$8)+M12,0)</f>
        <v>216</v>
      </c>
      <c r="Q12" s="19">
        <f>MAX(0,P12-O12)</f>
        <v>216</v>
      </c>
      <c r="R12" s="19">
        <f>ROUNDUP(H12*(L12+PARAMETROS!$B$9)+M12,0)</f>
        <v>264</v>
      </c>
      <c r="S12" s="19">
        <f>MAX(0,R12-O12)</f>
        <v>264</v>
      </c>
      <c r="T12" s="19">
        <f>ROUNDUP(H12*(L12+PARAMETROS!$B$10)+M12,0)</f>
        <v>374</v>
      </c>
      <c r="U12" s="19">
        <f>MAX(0,T12-O12)</f>
        <v>374</v>
      </c>
    </row>
    <row r="13" spans="1:21">
      <c r="A13" s="5" t="s">
        <v>48</v>
      </c>
      <c r="B13" s="5" t="s">
        <v>47</v>
      </c>
      <c r="C13" s="7">
        <v>12</v>
      </c>
      <c r="D13" s="7">
        <v>386</v>
      </c>
      <c r="E13" s="7">
        <v>336</v>
      </c>
      <c r="F13" s="7">
        <v>50</v>
      </c>
      <c r="G13" s="9">
        <v>0.8704663212435233</v>
      </c>
      <c r="H13" s="13">
        <v>6.6552</v>
      </c>
      <c r="I13" s="13">
        <v>31.1253</v>
      </c>
      <c r="J13" s="5" t="s">
        <v>228</v>
      </c>
      <c r="K13" s="15">
        <f>IF(LEFT(J13,1)="X",PARAMETROS!$B$11,IF(LEFT(J13,1)="Y",PARAMETROS!$B$12,PARAMETROS!$B$13))</f>
        <v>1.28</v>
      </c>
      <c r="L13" s="14">
        <f>PARAMETROS!$B$7</f>
        <v>7</v>
      </c>
      <c r="M13" s="13">
        <f>ROUND(K13*I13*SQRT(L13/7),2)</f>
        <v>39.84</v>
      </c>
      <c r="N13" s="7">
        <f>ROUNDUP(H13*L13+M13,0)</f>
        <v>87</v>
      </c>
      <c r="O13" s="14">
        <v>0</v>
      </c>
      <c r="P13" s="7">
        <f>ROUNDUP(H13*(L13+PARAMETROS!$B$8)+M13,0)</f>
        <v>134</v>
      </c>
      <c r="Q13" s="7">
        <f>MAX(0,P13-O13)</f>
        <v>134</v>
      </c>
      <c r="R13" s="7">
        <f>ROUNDUP(H13*(L13+PARAMETROS!$B$9)+M13,0)</f>
        <v>180</v>
      </c>
      <c r="S13" s="7">
        <f>MAX(0,R13-O13)</f>
        <v>180</v>
      </c>
      <c r="T13" s="7">
        <f>ROUNDUP(H13*(L13+PARAMETROS!$B$10)+M13,0)</f>
        <v>287</v>
      </c>
      <c r="U13" s="7">
        <f>MAX(0,T13-O13)</f>
        <v>287</v>
      </c>
    </row>
    <row r="14" spans="1:21">
      <c r="A14" s="18" t="s">
        <v>50</v>
      </c>
      <c r="B14" s="18" t="s">
        <v>40</v>
      </c>
      <c r="C14" s="19">
        <v>7</v>
      </c>
      <c r="D14" s="19">
        <v>266</v>
      </c>
      <c r="E14" s="19">
        <v>196</v>
      </c>
      <c r="F14" s="19">
        <v>70</v>
      </c>
      <c r="G14" s="20">
        <v>0.7368421052631579</v>
      </c>
      <c r="H14" s="21">
        <v>4.5862</v>
      </c>
      <c r="I14" s="21">
        <v>34.2762</v>
      </c>
      <c r="J14" s="18" t="s">
        <v>214</v>
      </c>
      <c r="K14" s="15">
        <f>IF(LEFT(J14,1)="X",PARAMETROS!$B$11,IF(LEFT(J14,1)="Y",PARAMETROS!$B$12,PARAMETROS!$B$13))</f>
        <v>0.84</v>
      </c>
      <c r="L14" s="14">
        <f>PARAMETROS!$B$7</f>
        <v>7</v>
      </c>
      <c r="M14" s="21">
        <f>ROUND(K14*I14*SQRT(L14/7),2)</f>
        <v>28.79</v>
      </c>
      <c r="N14" s="19">
        <f>ROUNDUP(H14*L14+M14,0)</f>
        <v>61</v>
      </c>
      <c r="O14" s="14">
        <v>0</v>
      </c>
      <c r="P14" s="19">
        <f>ROUNDUP(H14*(L14+PARAMETROS!$B$8)+M14,0)</f>
        <v>93</v>
      </c>
      <c r="Q14" s="19">
        <f>MAX(0,P14-O14)</f>
        <v>93</v>
      </c>
      <c r="R14" s="19">
        <f>ROUNDUP(H14*(L14+PARAMETROS!$B$9)+M14,0)</f>
        <v>126</v>
      </c>
      <c r="S14" s="19">
        <f>MAX(0,R14-O14)</f>
        <v>126</v>
      </c>
      <c r="T14" s="19">
        <f>ROUNDUP(H14*(L14+PARAMETROS!$B$10)+M14,0)</f>
        <v>199</v>
      </c>
      <c r="U14" s="19">
        <f>MAX(0,T14-O14)</f>
        <v>199</v>
      </c>
    </row>
    <row r="15" spans="1:21">
      <c r="A15" s="5" t="s">
        <v>267</v>
      </c>
      <c r="B15" s="5" t="s">
        <v>40</v>
      </c>
      <c r="C15" s="7">
        <v>1</v>
      </c>
      <c r="D15" s="7">
        <v>250</v>
      </c>
      <c r="E15" s="7">
        <v>250</v>
      </c>
      <c r="F15" s="7">
        <v>0</v>
      </c>
      <c r="G15" s="9">
        <v>1</v>
      </c>
      <c r="H15" s="13">
        <v>4.3103</v>
      </c>
      <c r="I15" s="13">
        <v>88.3883</v>
      </c>
      <c r="J15" s="5" t="s">
        <v>214</v>
      </c>
      <c r="K15" s="15">
        <f>IF(LEFT(J15,1)="X",PARAMETROS!$B$11,IF(LEFT(J15,1)="Y",PARAMETROS!$B$12,PARAMETROS!$B$13))</f>
        <v>0.84</v>
      </c>
      <c r="L15" s="14">
        <f>PARAMETROS!$B$7</f>
        <v>7</v>
      </c>
      <c r="M15" s="13">
        <f>ROUND(K15*I15*SQRT(L15/7),2)</f>
        <v>74.25</v>
      </c>
      <c r="N15" s="7">
        <f>ROUNDUP(H15*L15+M15,0)</f>
        <v>105</v>
      </c>
      <c r="O15" s="14">
        <v>0</v>
      </c>
      <c r="P15" s="7">
        <f>ROUNDUP(H15*(L15+PARAMETROS!$B$8)+M15,0)</f>
        <v>135</v>
      </c>
      <c r="Q15" s="7">
        <f>MAX(0,P15-O15)</f>
        <v>135</v>
      </c>
      <c r="R15" s="7">
        <f>ROUNDUP(H15*(L15+PARAMETROS!$B$9)+M15,0)</f>
        <v>165</v>
      </c>
      <c r="S15" s="7">
        <f>MAX(0,R15-O15)</f>
        <v>165</v>
      </c>
      <c r="T15" s="7">
        <f>ROUNDUP(H15*(L15+PARAMETROS!$B$10)+M15,0)</f>
        <v>234</v>
      </c>
      <c r="U15" s="7">
        <f>MAX(0,T15-O15)</f>
        <v>234</v>
      </c>
    </row>
    <row r="16" spans="1:21">
      <c r="A16" s="18" t="s">
        <v>226</v>
      </c>
      <c r="B16" s="18" t="s">
        <v>216</v>
      </c>
      <c r="C16" s="19">
        <v>3</v>
      </c>
      <c r="D16" s="19">
        <v>200</v>
      </c>
      <c r="E16" s="19">
        <v>200</v>
      </c>
      <c r="F16" s="19">
        <v>0</v>
      </c>
      <c r="G16" s="20">
        <v>1</v>
      </c>
      <c r="H16" s="21">
        <v>3.4483</v>
      </c>
      <c r="I16" s="21">
        <v>37.2012</v>
      </c>
      <c r="J16" s="18" t="s">
        <v>214</v>
      </c>
      <c r="K16" s="15">
        <f>IF(LEFT(J16,1)="X",PARAMETROS!$B$11,IF(LEFT(J16,1)="Y",PARAMETROS!$B$12,PARAMETROS!$B$13))</f>
        <v>0.84</v>
      </c>
      <c r="L16" s="14">
        <f>PARAMETROS!$B$7</f>
        <v>7</v>
      </c>
      <c r="M16" s="21">
        <f>ROUND(K16*I16*SQRT(L16/7),2)</f>
        <v>31.25</v>
      </c>
      <c r="N16" s="19">
        <f>ROUNDUP(H16*L16+M16,0)</f>
        <v>56</v>
      </c>
      <c r="O16" s="14">
        <v>0</v>
      </c>
      <c r="P16" s="19">
        <f>ROUNDUP(H16*(L16+PARAMETROS!$B$8)+M16,0)</f>
        <v>80</v>
      </c>
      <c r="Q16" s="19">
        <f>MAX(0,P16-O16)</f>
        <v>80</v>
      </c>
      <c r="R16" s="19">
        <f>ROUNDUP(H16*(L16+PARAMETROS!$B$9)+M16,0)</f>
        <v>104</v>
      </c>
      <c r="S16" s="19">
        <f>MAX(0,R16-O16)</f>
        <v>104</v>
      </c>
      <c r="T16" s="19">
        <f>ROUNDUP(H16*(L16+PARAMETROS!$B$10)+M16,0)</f>
        <v>159</v>
      </c>
      <c r="U16" s="19">
        <f>MAX(0,T16-O16)</f>
        <v>159</v>
      </c>
    </row>
    <row r="17" spans="1:21">
      <c r="A17" s="5" t="s">
        <v>224</v>
      </c>
      <c r="B17" s="5" t="s">
        <v>40</v>
      </c>
      <c r="C17" s="7">
        <v>3</v>
      </c>
      <c r="D17" s="7">
        <v>140</v>
      </c>
      <c r="E17" s="7">
        <v>40</v>
      </c>
      <c r="F17" s="7">
        <v>100</v>
      </c>
      <c r="G17" s="9">
        <v>0.2857142857142857</v>
      </c>
      <c r="H17" s="13">
        <v>2.4138</v>
      </c>
      <c r="I17" s="13">
        <v>36.1544</v>
      </c>
      <c r="J17" s="5" t="s">
        <v>214</v>
      </c>
      <c r="K17" s="15">
        <f>IF(LEFT(J17,1)="X",PARAMETROS!$B$11,IF(LEFT(J17,1)="Y",PARAMETROS!$B$12,PARAMETROS!$B$13))</f>
        <v>0.84</v>
      </c>
      <c r="L17" s="14">
        <f>PARAMETROS!$B$7</f>
        <v>7</v>
      </c>
      <c r="M17" s="13">
        <f>ROUND(K17*I17*SQRT(L17/7),2)</f>
        <v>30.37</v>
      </c>
      <c r="N17" s="7">
        <f>ROUNDUP(H17*L17+M17,0)</f>
        <v>48</v>
      </c>
      <c r="O17" s="14">
        <v>0</v>
      </c>
      <c r="P17" s="7">
        <f>ROUNDUP(H17*(L17+PARAMETROS!$B$8)+M17,0)</f>
        <v>65</v>
      </c>
      <c r="Q17" s="7">
        <f>MAX(0,P17-O17)</f>
        <v>65</v>
      </c>
      <c r="R17" s="7">
        <f>ROUNDUP(H17*(L17+PARAMETROS!$B$9)+M17,0)</f>
        <v>82</v>
      </c>
      <c r="S17" s="7">
        <f>MAX(0,R17-O17)</f>
        <v>82</v>
      </c>
      <c r="T17" s="7">
        <f>ROUNDUP(H17*(L17+PARAMETROS!$B$10)+M17,0)</f>
        <v>120</v>
      </c>
      <c r="U17" s="7">
        <f>MAX(0,T17-O17)</f>
        <v>120</v>
      </c>
    </row>
    <row r="18" spans="1:21">
      <c r="A18" s="18" t="s">
        <v>185</v>
      </c>
      <c r="B18" s="18" t="s">
        <v>47</v>
      </c>
      <c r="C18" s="19">
        <v>24</v>
      </c>
      <c r="D18" s="19">
        <v>55</v>
      </c>
      <c r="E18" s="19">
        <v>29</v>
      </c>
      <c r="F18" s="19">
        <v>26</v>
      </c>
      <c r="G18" s="20">
        <v>0.5272727272727272</v>
      </c>
      <c r="H18" s="21">
        <v>0.9483</v>
      </c>
      <c r="I18" s="21">
        <v>3.9279</v>
      </c>
      <c r="J18" s="18" t="s">
        <v>228</v>
      </c>
      <c r="K18" s="15">
        <f>IF(LEFT(J18,1)="X",PARAMETROS!$B$11,IF(LEFT(J18,1)="Y",PARAMETROS!$B$12,PARAMETROS!$B$13))</f>
        <v>1.28</v>
      </c>
      <c r="L18" s="14">
        <f>PARAMETROS!$B$7</f>
        <v>7</v>
      </c>
      <c r="M18" s="21">
        <f>ROUND(K18*I18*SQRT(L18/7),2)</f>
        <v>5.03</v>
      </c>
      <c r="N18" s="19">
        <f>ROUNDUP(H18*L18+M18,0)</f>
        <v>12</v>
      </c>
      <c r="O18" s="14">
        <v>0</v>
      </c>
      <c r="P18" s="19">
        <f>ROUNDUP(H18*(L18+PARAMETROS!$B$8)+M18,0)</f>
        <v>19</v>
      </c>
      <c r="Q18" s="19">
        <f>MAX(0,P18-O18)</f>
        <v>19</v>
      </c>
      <c r="R18" s="19">
        <f>ROUNDUP(H18*(L18+PARAMETROS!$B$9)+M18,0)</f>
        <v>25</v>
      </c>
      <c r="S18" s="19">
        <f>MAX(0,R18-O18)</f>
        <v>25</v>
      </c>
      <c r="T18" s="19">
        <f>ROUNDUP(H18*(L18+PARAMETROS!$B$10)+M18,0)</f>
        <v>41</v>
      </c>
      <c r="U18" s="19">
        <f>MAX(0,T18-O18)</f>
        <v>41</v>
      </c>
    </row>
    <row r="19" spans="1:21">
      <c r="A19" s="5" t="s">
        <v>186</v>
      </c>
      <c r="B19" s="5" t="s">
        <v>40</v>
      </c>
      <c r="C19" s="7">
        <v>20</v>
      </c>
      <c r="D19" s="7">
        <v>46</v>
      </c>
      <c r="E19" s="7">
        <v>26</v>
      </c>
      <c r="F19" s="7">
        <v>20</v>
      </c>
      <c r="G19" s="9">
        <v>0.5652173913043478</v>
      </c>
      <c r="H19" s="13">
        <v>0.7931</v>
      </c>
      <c r="I19" s="13">
        <v>3.6645</v>
      </c>
      <c r="J19" s="5" t="s">
        <v>228</v>
      </c>
      <c r="K19" s="15">
        <f>IF(LEFT(J19,1)="X",PARAMETROS!$B$11,IF(LEFT(J19,1)="Y",PARAMETROS!$B$12,PARAMETROS!$B$13))</f>
        <v>1.28</v>
      </c>
      <c r="L19" s="14">
        <f>PARAMETROS!$B$7</f>
        <v>7</v>
      </c>
      <c r="M19" s="13">
        <f>ROUND(K19*I19*SQRT(L19/7),2)</f>
        <v>4.69</v>
      </c>
      <c r="N19" s="7">
        <f>ROUNDUP(H19*L19+M19,0)</f>
        <v>11</v>
      </c>
      <c r="O19" s="14">
        <v>0</v>
      </c>
      <c r="P19" s="7">
        <f>ROUNDUP(H19*(L19+PARAMETROS!$B$8)+M19,0)</f>
        <v>16</v>
      </c>
      <c r="Q19" s="7">
        <f>MAX(0,P19-O19)</f>
        <v>16</v>
      </c>
      <c r="R19" s="7">
        <f>ROUNDUP(H19*(L19+PARAMETROS!$B$9)+M19,0)</f>
        <v>22</v>
      </c>
      <c r="S19" s="7">
        <f>MAX(0,R19-O19)</f>
        <v>22</v>
      </c>
      <c r="T19" s="7">
        <f>ROUNDUP(H19*(L19+PARAMETROS!$B$10)+M19,0)</f>
        <v>35</v>
      </c>
      <c r="U19" s="7">
        <f>MAX(0,T19-O19)</f>
        <v>35</v>
      </c>
    </row>
    <row r="20" spans="1:21">
      <c r="A20" s="18" t="s">
        <v>259</v>
      </c>
      <c r="B20" s="18" t="s">
        <v>40</v>
      </c>
      <c r="C20" s="19">
        <v>15</v>
      </c>
      <c r="D20" s="19">
        <v>42</v>
      </c>
      <c r="E20" s="19">
        <v>27</v>
      </c>
      <c r="F20" s="19">
        <v>15</v>
      </c>
      <c r="G20" s="20">
        <v>0.6428571428571429</v>
      </c>
      <c r="H20" s="21">
        <v>0.7241</v>
      </c>
      <c r="I20" s="21">
        <v>6.7401</v>
      </c>
      <c r="J20" s="18" t="s">
        <v>214</v>
      </c>
      <c r="K20" s="15">
        <f>IF(LEFT(J20,1)="X",PARAMETROS!$B$11,IF(LEFT(J20,1)="Y",PARAMETROS!$B$12,PARAMETROS!$B$13))</f>
        <v>0.84</v>
      </c>
      <c r="L20" s="14">
        <f>PARAMETROS!$B$7</f>
        <v>7</v>
      </c>
      <c r="M20" s="21">
        <f>ROUND(K20*I20*SQRT(L20/7),2)</f>
        <v>5.66</v>
      </c>
      <c r="N20" s="19">
        <f>ROUNDUP(H20*L20+M20,0)</f>
        <v>11</v>
      </c>
      <c r="O20" s="14">
        <v>0</v>
      </c>
      <c r="P20" s="19">
        <f>ROUNDUP(H20*(L20+PARAMETROS!$B$8)+M20,0)</f>
        <v>16</v>
      </c>
      <c r="Q20" s="19">
        <f>MAX(0,P20-O20)</f>
        <v>16</v>
      </c>
      <c r="R20" s="19">
        <f>ROUNDUP(H20*(L20+PARAMETROS!$B$9)+M20,0)</f>
        <v>21</v>
      </c>
      <c r="S20" s="19">
        <f>MAX(0,R20-O20)</f>
        <v>21</v>
      </c>
      <c r="T20" s="19">
        <f>ROUNDUP(H20*(L20+PARAMETROS!$B$10)+M20,0)</f>
        <v>33</v>
      </c>
      <c r="U20" s="19">
        <f>MAX(0,T20-O20)</f>
        <v>33</v>
      </c>
    </row>
    <row r="21" spans="1:21">
      <c r="A21" s="5" t="s">
        <v>225</v>
      </c>
      <c r="B21" s="5" t="s">
        <v>216</v>
      </c>
      <c r="C21" s="7">
        <v>3</v>
      </c>
      <c r="D21" s="7">
        <v>42</v>
      </c>
      <c r="E21" s="7">
        <v>42</v>
      </c>
      <c r="F21" s="7">
        <v>0</v>
      </c>
      <c r="G21" s="9">
        <v>1</v>
      </c>
      <c r="H21" s="13">
        <v>0.7241</v>
      </c>
      <c r="I21" s="13">
        <v>14.0586</v>
      </c>
      <c r="J21" s="5" t="s">
        <v>214</v>
      </c>
      <c r="K21" s="15">
        <f>IF(LEFT(J21,1)="X",PARAMETROS!$B$11,IF(LEFT(J21,1)="Y",PARAMETROS!$B$12,PARAMETROS!$B$13))</f>
        <v>0.84</v>
      </c>
      <c r="L21" s="14">
        <f>PARAMETROS!$B$7</f>
        <v>7</v>
      </c>
      <c r="M21" s="13">
        <f>ROUND(K21*I21*SQRT(L21/7),2)</f>
        <v>11.81</v>
      </c>
      <c r="N21" s="7">
        <f>ROUNDUP(H21*L21+M21,0)</f>
        <v>17</v>
      </c>
      <c r="O21" s="14">
        <v>0</v>
      </c>
      <c r="P21" s="7">
        <f>ROUNDUP(H21*(L21+PARAMETROS!$B$8)+M21,0)</f>
        <v>22</v>
      </c>
      <c r="Q21" s="7">
        <f>MAX(0,P21-O21)</f>
        <v>22</v>
      </c>
      <c r="R21" s="7">
        <f>ROUNDUP(H21*(L21+PARAMETROS!$B$9)+M21,0)</f>
        <v>28</v>
      </c>
      <c r="S21" s="7">
        <f>MAX(0,R21-O21)</f>
        <v>28</v>
      </c>
      <c r="T21" s="7">
        <f>ROUNDUP(H21*(L21+PARAMETROS!$B$10)+M21,0)</f>
        <v>39</v>
      </c>
      <c r="U21" s="7">
        <f>MAX(0,T21-O21)</f>
        <v>39</v>
      </c>
    </row>
    <row r="22" spans="1:21">
      <c r="A22" s="18" t="s">
        <v>268</v>
      </c>
      <c r="B22" s="18" t="s">
        <v>216</v>
      </c>
      <c r="C22" s="19">
        <v>2</v>
      </c>
      <c r="D22" s="19">
        <v>40</v>
      </c>
      <c r="E22" s="19">
        <v>40</v>
      </c>
      <c r="F22" s="19">
        <v>0</v>
      </c>
      <c r="G22" s="20">
        <v>1</v>
      </c>
      <c r="H22" s="21">
        <v>0.6897</v>
      </c>
      <c r="I22" s="21">
        <v>9.2582</v>
      </c>
      <c r="J22" s="18" t="s">
        <v>214</v>
      </c>
      <c r="K22" s="15">
        <f>IF(LEFT(J22,1)="X",PARAMETROS!$B$11,IF(LEFT(J22,1)="Y",PARAMETROS!$B$12,PARAMETROS!$B$13))</f>
        <v>0.84</v>
      </c>
      <c r="L22" s="14">
        <f>PARAMETROS!$B$7</f>
        <v>7</v>
      </c>
      <c r="M22" s="21">
        <f>ROUND(K22*I22*SQRT(L22/7),2)</f>
        <v>7.78</v>
      </c>
      <c r="N22" s="19">
        <f>ROUNDUP(H22*L22+M22,0)</f>
        <v>13</v>
      </c>
      <c r="O22" s="14">
        <v>0</v>
      </c>
      <c r="P22" s="19">
        <f>ROUNDUP(H22*(L22+PARAMETROS!$B$8)+M22,0)</f>
        <v>18</v>
      </c>
      <c r="Q22" s="19">
        <f>MAX(0,P22-O22)</f>
        <v>18</v>
      </c>
      <c r="R22" s="19">
        <f>ROUNDUP(H22*(L22+PARAMETROS!$B$9)+M22,0)</f>
        <v>23</v>
      </c>
      <c r="S22" s="19">
        <f>MAX(0,R22-O22)</f>
        <v>23</v>
      </c>
      <c r="T22" s="19">
        <f>ROUNDUP(H22*(L22+PARAMETROS!$B$10)+M22,0)</f>
        <v>34</v>
      </c>
      <c r="U22" s="19">
        <f>MAX(0,T22-O22)</f>
        <v>34</v>
      </c>
    </row>
    <row r="23" spans="1:21">
      <c r="A23" s="5" t="s">
        <v>258</v>
      </c>
      <c r="B23" s="5" t="s">
        <v>216</v>
      </c>
      <c r="C23" s="7">
        <v>2</v>
      </c>
      <c r="D23" s="7">
        <v>40</v>
      </c>
      <c r="E23" s="7">
        <v>40</v>
      </c>
      <c r="F23" s="7">
        <v>0</v>
      </c>
      <c r="G23" s="9">
        <v>1</v>
      </c>
      <c r="H23" s="13">
        <v>0.6897</v>
      </c>
      <c r="I23" s="13">
        <v>14.1421</v>
      </c>
      <c r="J23" s="5" t="s">
        <v>214</v>
      </c>
      <c r="K23" s="15">
        <f>IF(LEFT(J23,1)="X",PARAMETROS!$B$11,IF(LEFT(J23,1)="Y",PARAMETROS!$B$12,PARAMETROS!$B$13))</f>
        <v>0.84</v>
      </c>
      <c r="L23" s="14">
        <f>PARAMETROS!$B$7</f>
        <v>7</v>
      </c>
      <c r="M23" s="13">
        <f>ROUND(K23*I23*SQRT(L23/7),2)</f>
        <v>11.88</v>
      </c>
      <c r="N23" s="7">
        <f>ROUNDUP(H23*L23+M23,0)</f>
        <v>17</v>
      </c>
      <c r="O23" s="14">
        <v>0</v>
      </c>
      <c r="P23" s="7">
        <f>ROUNDUP(H23*(L23+PARAMETROS!$B$8)+M23,0)</f>
        <v>22</v>
      </c>
      <c r="Q23" s="7">
        <f>MAX(0,P23-O23)</f>
        <v>22</v>
      </c>
      <c r="R23" s="7">
        <f>ROUNDUP(H23*(L23+PARAMETROS!$B$9)+M23,0)</f>
        <v>27</v>
      </c>
      <c r="S23" s="7">
        <f>MAX(0,R23-O23)</f>
        <v>27</v>
      </c>
      <c r="T23" s="7">
        <f>ROUNDUP(H23*(L23+PARAMETROS!$B$10)+M23,0)</f>
        <v>38</v>
      </c>
      <c r="U23" s="7">
        <f>MAX(0,T23-O23)</f>
        <v>38</v>
      </c>
    </row>
    <row r="24" spans="1:21">
      <c r="A24" s="18" t="s">
        <v>236</v>
      </c>
      <c r="B24" s="18" t="s">
        <v>40</v>
      </c>
      <c r="C24" s="19">
        <v>18</v>
      </c>
      <c r="D24" s="19">
        <v>35</v>
      </c>
      <c r="E24" s="19">
        <v>31</v>
      </c>
      <c r="F24" s="19">
        <v>4</v>
      </c>
      <c r="G24" s="20">
        <v>0.8857142857142857</v>
      </c>
      <c r="H24" s="21">
        <v>0.6034</v>
      </c>
      <c r="I24" s="21">
        <v>3.0909</v>
      </c>
      <c r="J24" s="18" t="s">
        <v>228</v>
      </c>
      <c r="K24" s="15">
        <f>IF(LEFT(J24,1)="X",PARAMETROS!$B$11,IF(LEFT(J24,1)="Y",PARAMETROS!$B$12,PARAMETROS!$B$13))</f>
        <v>1.28</v>
      </c>
      <c r="L24" s="14">
        <f>PARAMETROS!$B$7</f>
        <v>7</v>
      </c>
      <c r="M24" s="21">
        <f>ROUND(K24*I24*SQRT(L24/7),2)</f>
        <v>3.96</v>
      </c>
      <c r="N24" s="19">
        <f>ROUNDUP(H24*L24+M24,0)</f>
        <v>9</v>
      </c>
      <c r="O24" s="14">
        <v>0</v>
      </c>
      <c r="P24" s="19">
        <f>ROUNDUP(H24*(L24+PARAMETROS!$B$8)+M24,0)</f>
        <v>13</v>
      </c>
      <c r="Q24" s="19">
        <f>MAX(0,P24-O24)</f>
        <v>13</v>
      </c>
      <c r="R24" s="19">
        <f>ROUNDUP(H24*(L24+PARAMETROS!$B$9)+M24,0)</f>
        <v>17</v>
      </c>
      <c r="S24" s="19">
        <f>MAX(0,R24-O24)</f>
        <v>17</v>
      </c>
      <c r="T24" s="19">
        <f>ROUNDUP(H24*(L24+PARAMETROS!$B$10)+M24,0)</f>
        <v>27</v>
      </c>
      <c r="U24" s="19">
        <f>MAX(0,T24-O24)</f>
        <v>27</v>
      </c>
    </row>
    <row r="25" spans="1:21">
      <c r="A25" s="5" t="s">
        <v>220</v>
      </c>
      <c r="B25" s="5" t="s">
        <v>40</v>
      </c>
      <c r="C25" s="7">
        <v>8</v>
      </c>
      <c r="D25" s="7">
        <v>29</v>
      </c>
      <c r="E25" s="7">
        <v>27</v>
      </c>
      <c r="F25" s="7">
        <v>2</v>
      </c>
      <c r="G25" s="9">
        <v>0.9310344827586207</v>
      </c>
      <c r="H25" s="13">
        <v>0.5</v>
      </c>
      <c r="I25" s="13">
        <v>5.579</v>
      </c>
      <c r="J25" s="5" t="s">
        <v>214</v>
      </c>
      <c r="K25" s="15">
        <f>IF(LEFT(J25,1)="X",PARAMETROS!$B$11,IF(LEFT(J25,1)="Y",PARAMETROS!$B$12,PARAMETROS!$B$13))</f>
        <v>0.84</v>
      </c>
      <c r="L25" s="14">
        <f>PARAMETROS!$B$7</f>
        <v>7</v>
      </c>
      <c r="M25" s="13">
        <f>ROUND(K25*I25*SQRT(L25/7),2)</f>
        <v>4.69</v>
      </c>
      <c r="N25" s="7">
        <f>ROUNDUP(H25*L25+M25,0)</f>
        <v>9</v>
      </c>
      <c r="O25" s="14">
        <v>0</v>
      </c>
      <c r="P25" s="7">
        <f>ROUNDUP(H25*(L25+PARAMETROS!$B$8)+M25,0)</f>
        <v>12</v>
      </c>
      <c r="Q25" s="7">
        <f>MAX(0,P25-O25)</f>
        <v>12</v>
      </c>
      <c r="R25" s="7">
        <f>ROUNDUP(H25*(L25+PARAMETROS!$B$9)+M25,0)</f>
        <v>16</v>
      </c>
      <c r="S25" s="7">
        <f>MAX(0,R25-O25)</f>
        <v>16</v>
      </c>
      <c r="T25" s="7">
        <f>ROUNDUP(H25*(L25+PARAMETROS!$B$10)+M25,0)</f>
        <v>24</v>
      </c>
      <c r="U25" s="7">
        <f>MAX(0,T25-O25)</f>
        <v>24</v>
      </c>
    </row>
    <row r="26" spans="1:21">
      <c r="A26" s="18" t="s">
        <v>215</v>
      </c>
      <c r="B26" s="18" t="s">
        <v>216</v>
      </c>
      <c r="C26" s="19">
        <v>5</v>
      </c>
      <c r="D26" s="19">
        <v>26</v>
      </c>
      <c r="E26" s="19">
        <v>21</v>
      </c>
      <c r="F26" s="19">
        <v>5</v>
      </c>
      <c r="G26" s="20">
        <v>0.8076923076923077</v>
      </c>
      <c r="H26" s="21">
        <v>0.4483</v>
      </c>
      <c r="I26" s="21">
        <v>4.2237</v>
      </c>
      <c r="J26" s="18" t="s">
        <v>214</v>
      </c>
      <c r="K26" s="15">
        <f>IF(LEFT(J26,1)="X",PARAMETROS!$B$11,IF(LEFT(J26,1)="Y",PARAMETROS!$B$12,PARAMETROS!$B$13))</f>
        <v>0.84</v>
      </c>
      <c r="L26" s="14">
        <f>PARAMETROS!$B$7</f>
        <v>7</v>
      </c>
      <c r="M26" s="21">
        <f>ROUND(K26*I26*SQRT(L26/7),2)</f>
        <v>3.55</v>
      </c>
      <c r="N26" s="19">
        <f>ROUNDUP(H26*L26+M26,0)</f>
        <v>7</v>
      </c>
      <c r="O26" s="14">
        <v>0</v>
      </c>
      <c r="P26" s="19">
        <f>ROUNDUP(H26*(L26+PARAMETROS!$B$8)+M26,0)</f>
        <v>10</v>
      </c>
      <c r="Q26" s="19">
        <f>MAX(0,P26-O26)</f>
        <v>10</v>
      </c>
      <c r="R26" s="19">
        <f>ROUNDUP(H26*(L26+PARAMETROS!$B$9)+M26,0)</f>
        <v>13</v>
      </c>
      <c r="S26" s="19">
        <f>MAX(0,R26-O26)</f>
        <v>13</v>
      </c>
      <c r="T26" s="19">
        <f>ROUNDUP(H26*(L26+PARAMETROS!$B$10)+M26,0)</f>
        <v>21</v>
      </c>
      <c r="U26" s="19">
        <f>MAX(0,T26-O26)</f>
        <v>21</v>
      </c>
    </row>
    <row r="27" spans="1:21">
      <c r="A27" s="5" t="s">
        <v>269</v>
      </c>
      <c r="B27" s="5" t="s">
        <v>40</v>
      </c>
      <c r="C27" s="7">
        <v>14</v>
      </c>
      <c r="D27" s="7">
        <v>22</v>
      </c>
      <c r="E27" s="7">
        <v>21</v>
      </c>
      <c r="F27" s="7">
        <v>1</v>
      </c>
      <c r="G27" s="9">
        <v>0.9545454545454546</v>
      </c>
      <c r="H27" s="13">
        <v>0.3793</v>
      </c>
      <c r="I27" s="13">
        <v>3.9188</v>
      </c>
      <c r="J27" s="5" t="s">
        <v>214</v>
      </c>
      <c r="K27" s="15">
        <f>IF(LEFT(J27,1)="X",PARAMETROS!$B$11,IF(LEFT(J27,1)="Y",PARAMETROS!$B$12,PARAMETROS!$B$13))</f>
        <v>0.84</v>
      </c>
      <c r="L27" s="14">
        <f>PARAMETROS!$B$7</f>
        <v>7</v>
      </c>
      <c r="M27" s="13">
        <f>ROUND(K27*I27*SQRT(L27/7),2)</f>
        <v>3.29</v>
      </c>
      <c r="N27" s="7">
        <f>ROUNDUP(H27*L27+M27,0)</f>
        <v>6</v>
      </c>
      <c r="O27" s="14">
        <v>0</v>
      </c>
      <c r="P27" s="7">
        <f>ROUNDUP(H27*(L27+PARAMETROS!$B$8)+M27,0)</f>
        <v>9</v>
      </c>
      <c r="Q27" s="7">
        <f>MAX(0,P27-O27)</f>
        <v>9</v>
      </c>
      <c r="R27" s="7">
        <f>ROUNDUP(H27*(L27+PARAMETROS!$B$9)+M27,0)</f>
        <v>12</v>
      </c>
      <c r="S27" s="7">
        <f>MAX(0,R27-O27)</f>
        <v>12</v>
      </c>
      <c r="T27" s="7">
        <f>ROUNDUP(H27*(L27+PARAMETROS!$B$10)+M27,0)</f>
        <v>18</v>
      </c>
      <c r="U27" s="7">
        <f>MAX(0,T27-O27)</f>
        <v>18</v>
      </c>
    </row>
    <row r="28" spans="1:21">
      <c r="A28" s="18" t="s">
        <v>270</v>
      </c>
      <c r="B28" s="18" t="s">
        <v>40</v>
      </c>
      <c r="C28" s="19">
        <v>3</v>
      </c>
      <c r="D28" s="19">
        <v>20</v>
      </c>
      <c r="E28" s="19">
        <v>20</v>
      </c>
      <c r="F28" s="19">
        <v>0</v>
      </c>
      <c r="G28" s="20">
        <v>1</v>
      </c>
      <c r="H28" s="21">
        <v>0.3448</v>
      </c>
      <c r="I28" s="21">
        <v>4.6291</v>
      </c>
      <c r="J28" s="18" t="s">
        <v>214</v>
      </c>
      <c r="K28" s="15">
        <f>IF(LEFT(J28,1)="X",PARAMETROS!$B$11,IF(LEFT(J28,1)="Y",PARAMETROS!$B$12,PARAMETROS!$B$13))</f>
        <v>0.84</v>
      </c>
      <c r="L28" s="14">
        <f>PARAMETROS!$B$7</f>
        <v>7</v>
      </c>
      <c r="M28" s="21">
        <f>ROUND(K28*I28*SQRT(L28/7),2)</f>
        <v>3.89</v>
      </c>
      <c r="N28" s="19">
        <f>ROUNDUP(H28*L28+M28,0)</f>
        <v>7</v>
      </c>
      <c r="O28" s="14">
        <v>0</v>
      </c>
      <c r="P28" s="19">
        <f>ROUNDUP(H28*(L28+PARAMETROS!$B$8)+M28,0)</f>
        <v>9</v>
      </c>
      <c r="Q28" s="19">
        <f>MAX(0,P28-O28)</f>
        <v>9</v>
      </c>
      <c r="R28" s="19">
        <f>ROUNDUP(H28*(L28+PARAMETROS!$B$9)+M28,0)</f>
        <v>12</v>
      </c>
      <c r="S28" s="19">
        <f>MAX(0,R28-O28)</f>
        <v>12</v>
      </c>
      <c r="T28" s="19">
        <f>ROUNDUP(H28*(L28+PARAMETROS!$B$10)+M28,0)</f>
        <v>17</v>
      </c>
      <c r="U28" s="19">
        <f>MAX(0,T28-O28)</f>
        <v>17</v>
      </c>
    </row>
    <row r="29" spans="1:21">
      <c r="A29" s="5" t="s">
        <v>193</v>
      </c>
      <c r="B29" s="5" t="s">
        <v>216</v>
      </c>
      <c r="C29" s="7">
        <v>8</v>
      </c>
      <c r="D29" s="7">
        <v>20</v>
      </c>
      <c r="E29" s="7">
        <v>18</v>
      </c>
      <c r="F29" s="7">
        <v>2</v>
      </c>
      <c r="G29" s="9">
        <v>0.9</v>
      </c>
      <c r="H29" s="13">
        <v>0.3448</v>
      </c>
      <c r="I29" s="13">
        <v>2.5635</v>
      </c>
      <c r="J29" s="5" t="s">
        <v>214</v>
      </c>
      <c r="K29" s="15">
        <f>IF(LEFT(J29,1)="X",PARAMETROS!$B$11,IF(LEFT(J29,1)="Y",PARAMETROS!$B$12,PARAMETROS!$B$13))</f>
        <v>0.84</v>
      </c>
      <c r="L29" s="14">
        <f>PARAMETROS!$B$7</f>
        <v>7</v>
      </c>
      <c r="M29" s="13">
        <f>ROUND(K29*I29*SQRT(L29/7),2)</f>
        <v>2.15</v>
      </c>
      <c r="N29" s="7">
        <f>ROUNDUP(H29*L29+M29,0)</f>
        <v>5</v>
      </c>
      <c r="O29" s="14">
        <v>0</v>
      </c>
      <c r="P29" s="7">
        <f>ROUNDUP(H29*(L29+PARAMETROS!$B$8)+M29,0)</f>
        <v>7</v>
      </c>
      <c r="Q29" s="7">
        <f>MAX(0,P29-O29)</f>
        <v>7</v>
      </c>
      <c r="R29" s="7">
        <f>ROUNDUP(H29*(L29+PARAMETROS!$B$9)+M29,0)</f>
        <v>10</v>
      </c>
      <c r="S29" s="7">
        <f>MAX(0,R29-O29)</f>
        <v>10</v>
      </c>
      <c r="T29" s="7">
        <f>ROUNDUP(H29*(L29+PARAMETROS!$B$10)+M29,0)</f>
        <v>15</v>
      </c>
      <c r="U29" s="7">
        <f>MAX(0,T29-O29)</f>
        <v>15</v>
      </c>
    </row>
    <row r="30" spans="1:21">
      <c r="A30" s="18" t="s">
        <v>187</v>
      </c>
      <c r="B30" s="18" t="s">
        <v>216</v>
      </c>
      <c r="C30" s="19">
        <v>13</v>
      </c>
      <c r="D30" s="19">
        <v>18</v>
      </c>
      <c r="E30" s="19">
        <v>3</v>
      </c>
      <c r="F30" s="19">
        <v>15</v>
      </c>
      <c r="G30" s="20">
        <v>0.1666666666666667</v>
      </c>
      <c r="H30" s="21">
        <v>0.3103</v>
      </c>
      <c r="I30" s="21">
        <v>2.2321</v>
      </c>
      <c r="J30" s="18" t="s">
        <v>214</v>
      </c>
      <c r="K30" s="15">
        <f>IF(LEFT(J30,1)="X",PARAMETROS!$B$11,IF(LEFT(J30,1)="Y",PARAMETROS!$B$12,PARAMETROS!$B$13))</f>
        <v>0.84</v>
      </c>
      <c r="L30" s="14">
        <f>PARAMETROS!$B$7</f>
        <v>7</v>
      </c>
      <c r="M30" s="21">
        <f>ROUND(K30*I30*SQRT(L30/7),2)</f>
        <v>1.87</v>
      </c>
      <c r="N30" s="19">
        <f>ROUNDUP(H30*L30+M30,0)</f>
        <v>5</v>
      </c>
      <c r="O30" s="14">
        <v>0</v>
      </c>
      <c r="P30" s="19">
        <f>ROUNDUP(H30*(L30+PARAMETROS!$B$8)+M30,0)</f>
        <v>7</v>
      </c>
      <c r="Q30" s="19">
        <f>MAX(0,P30-O30)</f>
        <v>7</v>
      </c>
      <c r="R30" s="19">
        <f>ROUNDUP(H30*(L30+PARAMETROS!$B$9)+M30,0)</f>
        <v>9</v>
      </c>
      <c r="S30" s="19">
        <f>MAX(0,R30-O30)</f>
        <v>9</v>
      </c>
      <c r="T30" s="19">
        <f>ROUNDUP(H30*(L30+PARAMETROS!$B$10)+M30,0)</f>
        <v>14</v>
      </c>
      <c r="U30" s="19">
        <f>MAX(0,T30-O30)</f>
        <v>14</v>
      </c>
    </row>
    <row r="31" spans="1:21">
      <c r="A31" s="5" t="s">
        <v>189</v>
      </c>
      <c r="B31" s="5" t="s">
        <v>47</v>
      </c>
      <c r="C31" s="7">
        <v>7</v>
      </c>
      <c r="D31" s="7">
        <v>17</v>
      </c>
      <c r="E31" s="7">
        <v>5</v>
      </c>
      <c r="F31" s="7">
        <v>12</v>
      </c>
      <c r="G31" s="9">
        <v>0.2941176470588235</v>
      </c>
      <c r="H31" s="13">
        <v>0.2931</v>
      </c>
      <c r="I31" s="13">
        <v>2.1002</v>
      </c>
      <c r="J31" s="5" t="s">
        <v>214</v>
      </c>
      <c r="K31" s="15">
        <f>IF(LEFT(J31,1)="X",PARAMETROS!$B$11,IF(LEFT(J31,1)="Y",PARAMETROS!$B$12,PARAMETROS!$B$13))</f>
        <v>0.84</v>
      </c>
      <c r="L31" s="14">
        <f>PARAMETROS!$B$7</f>
        <v>7</v>
      </c>
      <c r="M31" s="13">
        <f>ROUND(K31*I31*SQRT(L31/7),2)</f>
        <v>1.76</v>
      </c>
      <c r="N31" s="7">
        <f>ROUNDUP(H31*L31+M31,0)</f>
        <v>4</v>
      </c>
      <c r="O31" s="14">
        <v>0</v>
      </c>
      <c r="P31" s="7">
        <f>ROUNDUP(H31*(L31+PARAMETROS!$B$8)+M31,0)</f>
        <v>6</v>
      </c>
      <c r="Q31" s="7">
        <f>MAX(0,P31-O31)</f>
        <v>6</v>
      </c>
      <c r="R31" s="7">
        <f>ROUNDUP(H31*(L31+PARAMETROS!$B$9)+M31,0)</f>
        <v>8</v>
      </c>
      <c r="S31" s="7">
        <f>MAX(0,R31-O31)</f>
        <v>8</v>
      </c>
      <c r="T31" s="7">
        <f>ROUNDUP(H31*(L31+PARAMETROS!$B$10)+M31,0)</f>
        <v>13</v>
      </c>
      <c r="U31" s="7">
        <f>MAX(0,T31-O31)</f>
        <v>13</v>
      </c>
    </row>
    <row r="32" spans="1:21">
      <c r="A32" s="18" t="s">
        <v>235</v>
      </c>
      <c r="B32" s="18" t="s">
        <v>47</v>
      </c>
      <c r="C32" s="19">
        <v>14</v>
      </c>
      <c r="D32" s="19">
        <v>15</v>
      </c>
      <c r="E32" s="19">
        <v>15</v>
      </c>
      <c r="F32" s="19">
        <v>0</v>
      </c>
      <c r="G32" s="20">
        <v>1</v>
      </c>
      <c r="H32" s="21">
        <v>0.2586</v>
      </c>
      <c r="I32" s="21">
        <v>1.685</v>
      </c>
      <c r="J32" s="18" t="s">
        <v>214</v>
      </c>
      <c r="K32" s="15">
        <f>IF(LEFT(J32,1)="X",PARAMETROS!$B$11,IF(LEFT(J32,1)="Y",PARAMETROS!$B$12,PARAMETROS!$B$13))</f>
        <v>0.84</v>
      </c>
      <c r="L32" s="14">
        <f>PARAMETROS!$B$7</f>
        <v>7</v>
      </c>
      <c r="M32" s="21">
        <f>ROUND(K32*I32*SQRT(L32/7),2)</f>
        <v>1.42</v>
      </c>
      <c r="N32" s="19">
        <f>ROUNDUP(H32*L32+M32,0)</f>
        <v>4</v>
      </c>
      <c r="O32" s="14">
        <v>0</v>
      </c>
      <c r="P32" s="19">
        <f>ROUNDUP(H32*(L32+PARAMETROS!$B$8)+M32,0)</f>
        <v>6</v>
      </c>
      <c r="Q32" s="19">
        <f>MAX(0,P32-O32)</f>
        <v>6</v>
      </c>
      <c r="R32" s="19">
        <f>ROUNDUP(H32*(L32+PARAMETROS!$B$9)+M32,0)</f>
        <v>7</v>
      </c>
      <c r="S32" s="19">
        <f>MAX(0,R32-O32)</f>
        <v>7</v>
      </c>
      <c r="T32" s="19">
        <f>ROUNDUP(H32*(L32+PARAMETROS!$B$10)+M32,0)</f>
        <v>11</v>
      </c>
      <c r="U32" s="19">
        <f>MAX(0,T32-O32)</f>
        <v>11</v>
      </c>
    </row>
    <row r="33" spans="1:21">
      <c r="A33" s="5" t="s">
        <v>190</v>
      </c>
      <c r="B33" s="5" t="s">
        <v>47</v>
      </c>
      <c r="C33" s="7">
        <v>10</v>
      </c>
      <c r="D33" s="7">
        <v>15</v>
      </c>
      <c r="E33" s="7">
        <v>8</v>
      </c>
      <c r="F33" s="7">
        <v>7</v>
      </c>
      <c r="G33" s="9">
        <v>0.5333333333333333</v>
      </c>
      <c r="H33" s="13">
        <v>0.2586</v>
      </c>
      <c r="I33" s="13">
        <v>1.9226</v>
      </c>
      <c r="J33" s="5" t="s">
        <v>214</v>
      </c>
      <c r="K33" s="15">
        <f>IF(LEFT(J33,1)="X",PARAMETROS!$B$11,IF(LEFT(J33,1)="Y",PARAMETROS!$B$12,PARAMETROS!$B$13))</f>
        <v>0.84</v>
      </c>
      <c r="L33" s="14">
        <f>PARAMETROS!$B$7</f>
        <v>7</v>
      </c>
      <c r="M33" s="13">
        <f>ROUND(K33*I33*SQRT(L33/7),2)</f>
        <v>1.61</v>
      </c>
      <c r="N33" s="7">
        <f>ROUNDUP(H33*L33+M33,0)</f>
        <v>4</v>
      </c>
      <c r="O33" s="14">
        <v>0</v>
      </c>
      <c r="P33" s="7">
        <f>ROUNDUP(H33*(L33+PARAMETROS!$B$8)+M33,0)</f>
        <v>6</v>
      </c>
      <c r="Q33" s="7">
        <f>MAX(0,P33-O33)</f>
        <v>6</v>
      </c>
      <c r="R33" s="7">
        <f>ROUNDUP(H33*(L33+PARAMETROS!$B$9)+M33,0)</f>
        <v>8</v>
      </c>
      <c r="S33" s="7">
        <f>MAX(0,R33-O33)</f>
        <v>8</v>
      </c>
      <c r="T33" s="7">
        <f>ROUNDUP(H33*(L33+PARAMETROS!$B$10)+M33,0)</f>
        <v>12</v>
      </c>
      <c r="U33" s="7">
        <f>MAX(0,T33-O33)</f>
        <v>12</v>
      </c>
    </row>
    <row r="34" spans="1:21">
      <c r="A34" s="18" t="s">
        <v>227</v>
      </c>
      <c r="B34" s="18" t="s">
        <v>216</v>
      </c>
      <c r="C34" s="19">
        <v>5</v>
      </c>
      <c r="D34" s="19">
        <v>11</v>
      </c>
      <c r="E34" s="19">
        <v>10</v>
      </c>
      <c r="F34" s="19">
        <v>1</v>
      </c>
      <c r="G34" s="20">
        <v>0.9090909090909091</v>
      </c>
      <c r="H34" s="21">
        <v>0.1897</v>
      </c>
      <c r="I34" s="21">
        <v>2.0659</v>
      </c>
      <c r="J34" s="18" t="s">
        <v>214</v>
      </c>
      <c r="K34" s="15">
        <f>IF(LEFT(J34,1)="X",PARAMETROS!$B$11,IF(LEFT(J34,1)="Y",PARAMETROS!$B$12,PARAMETROS!$B$13))</f>
        <v>0.84</v>
      </c>
      <c r="L34" s="14">
        <f>PARAMETROS!$B$7</f>
        <v>7</v>
      </c>
      <c r="M34" s="21">
        <f>ROUND(K34*I34*SQRT(L34/7),2)</f>
        <v>1.74</v>
      </c>
      <c r="N34" s="19">
        <f>ROUNDUP(H34*L34+M34,0)</f>
        <v>4</v>
      </c>
      <c r="O34" s="14">
        <v>0</v>
      </c>
      <c r="P34" s="19">
        <f>ROUNDUP(H34*(L34+PARAMETROS!$B$8)+M34,0)</f>
        <v>5</v>
      </c>
      <c r="Q34" s="19">
        <f>MAX(0,P34-O34)</f>
        <v>5</v>
      </c>
      <c r="R34" s="19">
        <f>ROUNDUP(H34*(L34+PARAMETROS!$B$9)+M34,0)</f>
        <v>6</v>
      </c>
      <c r="S34" s="19">
        <f>MAX(0,R34-O34)</f>
        <v>6</v>
      </c>
      <c r="T34" s="19">
        <f>ROUNDUP(H34*(L34+PARAMETROS!$B$10)+M34,0)</f>
        <v>9</v>
      </c>
      <c r="U34" s="19">
        <f>MAX(0,T34-O34)</f>
        <v>9</v>
      </c>
    </row>
    <row r="35" spans="1:21">
      <c r="A35" s="5" t="s">
        <v>191</v>
      </c>
      <c r="B35" s="5" t="s">
        <v>47</v>
      </c>
      <c r="C35" s="7">
        <v>9</v>
      </c>
      <c r="D35" s="7">
        <v>11</v>
      </c>
      <c r="E35" s="7">
        <v>5</v>
      </c>
      <c r="F35" s="7">
        <v>6</v>
      </c>
      <c r="G35" s="9">
        <v>0.4545454545454545</v>
      </c>
      <c r="H35" s="13">
        <v>0.1897</v>
      </c>
      <c r="I35" s="13">
        <v>1.5811</v>
      </c>
      <c r="J35" s="5" t="s">
        <v>214</v>
      </c>
      <c r="K35" s="15">
        <f>IF(LEFT(J35,1)="X",PARAMETROS!$B$11,IF(LEFT(J35,1)="Y",PARAMETROS!$B$12,PARAMETROS!$B$13))</f>
        <v>0.84</v>
      </c>
      <c r="L35" s="14">
        <f>PARAMETROS!$B$7</f>
        <v>7</v>
      </c>
      <c r="M35" s="13">
        <f>ROUND(K35*I35*SQRT(L35/7),2)</f>
        <v>1.33</v>
      </c>
      <c r="N35" s="7">
        <f>ROUNDUP(H35*L35+M35,0)</f>
        <v>3</v>
      </c>
      <c r="O35" s="14">
        <v>0</v>
      </c>
      <c r="P35" s="7">
        <f>ROUNDUP(H35*(L35+PARAMETROS!$B$8)+M35,0)</f>
        <v>4</v>
      </c>
      <c r="Q35" s="7">
        <f>MAX(0,P35-O35)</f>
        <v>4</v>
      </c>
      <c r="R35" s="7">
        <f>ROUNDUP(H35*(L35+PARAMETROS!$B$9)+M35,0)</f>
        <v>6</v>
      </c>
      <c r="S35" s="7">
        <f>MAX(0,R35-O35)</f>
        <v>6</v>
      </c>
      <c r="T35" s="7">
        <f>ROUNDUP(H35*(L35+PARAMETROS!$B$10)+M35,0)</f>
        <v>9</v>
      </c>
      <c r="U35" s="7">
        <f>MAX(0,T35-O35)</f>
        <v>9</v>
      </c>
    </row>
    <row r="36" spans="1:21">
      <c r="A36" s="18" t="s">
        <v>238</v>
      </c>
      <c r="B36" s="18" t="s">
        <v>47</v>
      </c>
      <c r="C36" s="19">
        <v>11</v>
      </c>
      <c r="D36" s="19">
        <v>11</v>
      </c>
      <c r="E36" s="19">
        <v>11</v>
      </c>
      <c r="F36" s="19">
        <v>0</v>
      </c>
      <c r="G36" s="20">
        <v>1</v>
      </c>
      <c r="H36" s="21">
        <v>0.1897</v>
      </c>
      <c r="I36" s="21">
        <v>0.8345</v>
      </c>
      <c r="J36" s="18" t="s">
        <v>228</v>
      </c>
      <c r="K36" s="15">
        <f>IF(LEFT(J36,1)="X",PARAMETROS!$B$11,IF(LEFT(J36,1)="Y",PARAMETROS!$B$12,PARAMETROS!$B$13))</f>
        <v>1.28</v>
      </c>
      <c r="L36" s="14">
        <f>PARAMETROS!$B$7</f>
        <v>7</v>
      </c>
      <c r="M36" s="21">
        <f>ROUND(K36*I36*SQRT(L36/7),2)</f>
        <v>1.07</v>
      </c>
      <c r="N36" s="19">
        <f>ROUNDUP(H36*L36+M36,0)</f>
        <v>3</v>
      </c>
      <c r="O36" s="14">
        <v>0</v>
      </c>
      <c r="P36" s="19">
        <f>ROUNDUP(H36*(L36+PARAMETROS!$B$8)+M36,0)</f>
        <v>4</v>
      </c>
      <c r="Q36" s="19">
        <f>MAX(0,P36-O36)</f>
        <v>4</v>
      </c>
      <c r="R36" s="19">
        <f>ROUNDUP(H36*(L36+PARAMETROS!$B$9)+M36,0)</f>
        <v>6</v>
      </c>
      <c r="S36" s="19">
        <f>MAX(0,R36-O36)</f>
        <v>6</v>
      </c>
      <c r="T36" s="19">
        <f>ROUNDUP(H36*(L36+PARAMETROS!$B$10)+M36,0)</f>
        <v>9</v>
      </c>
      <c r="U36" s="19">
        <f>MAX(0,T36-O36)</f>
        <v>9</v>
      </c>
    </row>
    <row r="37" spans="1:21">
      <c r="A37" s="5" t="s">
        <v>192</v>
      </c>
      <c r="B37" s="5" t="s">
        <v>216</v>
      </c>
      <c r="C37" s="7">
        <v>4</v>
      </c>
      <c r="D37" s="7">
        <v>10</v>
      </c>
      <c r="E37" s="7">
        <v>6</v>
      </c>
      <c r="F37" s="7">
        <v>4</v>
      </c>
      <c r="G37" s="9">
        <v>0.6</v>
      </c>
      <c r="H37" s="13">
        <v>0.1724</v>
      </c>
      <c r="I37" s="13">
        <v>1.7525</v>
      </c>
      <c r="J37" s="5" t="s">
        <v>214</v>
      </c>
      <c r="K37" s="15">
        <f>IF(LEFT(J37,1)="X",PARAMETROS!$B$11,IF(LEFT(J37,1)="Y",PARAMETROS!$B$12,PARAMETROS!$B$13))</f>
        <v>0.84</v>
      </c>
      <c r="L37" s="14">
        <f>PARAMETROS!$B$7</f>
        <v>7</v>
      </c>
      <c r="M37" s="13">
        <f>ROUND(K37*I37*SQRT(L37/7),2)</f>
        <v>1.47</v>
      </c>
      <c r="N37" s="7">
        <f>ROUNDUP(H37*L37+M37,0)</f>
        <v>3</v>
      </c>
      <c r="O37" s="14">
        <v>0</v>
      </c>
      <c r="P37" s="7">
        <f>ROUNDUP(H37*(L37+PARAMETROS!$B$8)+M37,0)</f>
        <v>4</v>
      </c>
      <c r="Q37" s="7">
        <f>MAX(0,P37-O37)</f>
        <v>4</v>
      </c>
      <c r="R37" s="7">
        <f>ROUNDUP(H37*(L37+PARAMETROS!$B$9)+M37,0)</f>
        <v>6</v>
      </c>
      <c r="S37" s="7">
        <f>MAX(0,R37-O37)</f>
        <v>6</v>
      </c>
      <c r="T37" s="7">
        <f>ROUNDUP(H37*(L37+PARAMETROS!$B$10)+M37,0)</f>
        <v>8</v>
      </c>
      <c r="U37" s="7">
        <f>MAX(0,T37-O37)</f>
        <v>8</v>
      </c>
    </row>
    <row r="38" spans="1:21">
      <c r="A38" s="18" t="s">
        <v>233</v>
      </c>
      <c r="B38" s="18" t="s">
        <v>40</v>
      </c>
      <c r="C38" s="19">
        <v>6</v>
      </c>
      <c r="D38" s="19">
        <v>8</v>
      </c>
      <c r="E38" s="19">
        <v>7</v>
      </c>
      <c r="F38" s="19">
        <v>1</v>
      </c>
      <c r="G38" s="20">
        <v>0.875</v>
      </c>
      <c r="H38" s="21">
        <v>0.1379</v>
      </c>
      <c r="I38" s="21">
        <v>1.4142</v>
      </c>
      <c r="J38" s="18" t="s">
        <v>214</v>
      </c>
      <c r="K38" s="15">
        <f>IF(LEFT(J38,1)="X",PARAMETROS!$B$11,IF(LEFT(J38,1)="Y",PARAMETROS!$B$12,PARAMETROS!$B$13))</f>
        <v>0.84</v>
      </c>
      <c r="L38" s="14">
        <f>PARAMETROS!$B$7</f>
        <v>7</v>
      </c>
      <c r="M38" s="21">
        <f>ROUND(K38*I38*SQRT(L38/7),2)</f>
        <v>1.19</v>
      </c>
      <c r="N38" s="19">
        <f>ROUNDUP(H38*L38+M38,0)</f>
        <v>3</v>
      </c>
      <c r="O38" s="14">
        <v>0</v>
      </c>
      <c r="P38" s="19">
        <f>ROUNDUP(H38*(L38+PARAMETROS!$B$8)+M38,0)</f>
        <v>4</v>
      </c>
      <c r="Q38" s="19">
        <f>MAX(0,P38-O38)</f>
        <v>4</v>
      </c>
      <c r="R38" s="19">
        <f>ROUNDUP(H38*(L38+PARAMETROS!$B$9)+M38,0)</f>
        <v>5</v>
      </c>
      <c r="S38" s="19">
        <f>MAX(0,R38-O38)</f>
        <v>5</v>
      </c>
      <c r="T38" s="19">
        <f>ROUNDUP(H38*(L38+PARAMETROS!$B$10)+M38,0)</f>
        <v>7</v>
      </c>
      <c r="U38" s="19">
        <f>MAX(0,T38-O38)</f>
        <v>7</v>
      </c>
    </row>
    <row r="39" spans="1:21">
      <c r="A39" s="5" t="s">
        <v>188</v>
      </c>
      <c r="B39" s="5" t="s">
        <v>216</v>
      </c>
      <c r="C39" s="7">
        <v>7</v>
      </c>
      <c r="D39" s="7">
        <v>7</v>
      </c>
      <c r="E39" s="7">
        <v>4</v>
      </c>
      <c r="F39" s="7">
        <v>3</v>
      </c>
      <c r="G39" s="9">
        <v>0.5714285714285714</v>
      </c>
      <c r="H39" s="13">
        <v>0.1207</v>
      </c>
      <c r="I39" s="13">
        <v>0.744</v>
      </c>
      <c r="J39" s="5" t="s">
        <v>214</v>
      </c>
      <c r="K39" s="15">
        <f>IF(LEFT(J39,1)="X",PARAMETROS!$B$11,IF(LEFT(J39,1)="Y",PARAMETROS!$B$12,PARAMETROS!$B$13))</f>
        <v>0.84</v>
      </c>
      <c r="L39" s="14">
        <f>PARAMETROS!$B$7</f>
        <v>7</v>
      </c>
      <c r="M39" s="13">
        <f>ROUND(K39*I39*SQRT(L39/7),2)</f>
        <v>0.62</v>
      </c>
      <c r="N39" s="7">
        <f>ROUNDUP(H39*L39+M39,0)</f>
        <v>2</v>
      </c>
      <c r="O39" s="14">
        <v>0</v>
      </c>
      <c r="P39" s="7">
        <f>ROUNDUP(H39*(L39+PARAMETROS!$B$8)+M39,0)</f>
        <v>3</v>
      </c>
      <c r="Q39" s="7">
        <f>MAX(0,P39-O39)</f>
        <v>3</v>
      </c>
      <c r="R39" s="7">
        <f>ROUNDUP(H39*(L39+PARAMETROS!$B$9)+M39,0)</f>
        <v>4</v>
      </c>
      <c r="S39" s="7">
        <f>MAX(0,R39-O39)</f>
        <v>4</v>
      </c>
      <c r="T39" s="7">
        <f>ROUNDUP(H39*(L39+PARAMETROS!$B$10)+M39,0)</f>
        <v>6</v>
      </c>
      <c r="U39" s="7">
        <f>MAX(0,T39-O39)</f>
        <v>6</v>
      </c>
    </row>
    <row r="40" spans="1:21">
      <c r="A40" s="18" t="s">
        <v>254</v>
      </c>
      <c r="B40" s="18" t="s">
        <v>47</v>
      </c>
      <c r="C40" s="19">
        <v>7</v>
      </c>
      <c r="D40" s="19">
        <v>7</v>
      </c>
      <c r="E40" s="19">
        <v>5</v>
      </c>
      <c r="F40" s="19">
        <v>2</v>
      </c>
      <c r="G40" s="20">
        <v>0.7142857142857143</v>
      </c>
      <c r="H40" s="21">
        <v>0.1207</v>
      </c>
      <c r="I40" s="21">
        <v>0.991</v>
      </c>
      <c r="J40" s="18" t="s">
        <v>214</v>
      </c>
      <c r="K40" s="15">
        <f>IF(LEFT(J40,1)="X",PARAMETROS!$B$11,IF(LEFT(J40,1)="Y",PARAMETROS!$B$12,PARAMETROS!$B$13))</f>
        <v>0.84</v>
      </c>
      <c r="L40" s="14">
        <f>PARAMETROS!$B$7</f>
        <v>7</v>
      </c>
      <c r="M40" s="21">
        <f>ROUND(K40*I40*SQRT(L40/7),2)</f>
        <v>0.83</v>
      </c>
      <c r="N40" s="19">
        <f>ROUNDUP(H40*L40+M40,0)</f>
        <v>2</v>
      </c>
      <c r="O40" s="14">
        <v>0</v>
      </c>
      <c r="P40" s="19">
        <f>ROUNDUP(H40*(L40+PARAMETROS!$B$8)+M40,0)</f>
        <v>3</v>
      </c>
      <c r="Q40" s="19">
        <f>MAX(0,P40-O40)</f>
        <v>3</v>
      </c>
      <c r="R40" s="19">
        <f>ROUNDUP(H40*(L40+PARAMETROS!$B$9)+M40,0)</f>
        <v>4</v>
      </c>
      <c r="S40" s="19">
        <f>MAX(0,R40-O40)</f>
        <v>4</v>
      </c>
      <c r="T40" s="19">
        <f>ROUNDUP(H40*(L40+PARAMETROS!$B$10)+M40,0)</f>
        <v>6</v>
      </c>
      <c r="U40" s="19">
        <f>MAX(0,T40-O40)</f>
        <v>6</v>
      </c>
    </row>
    <row r="41" spans="1:21">
      <c r="A41" s="5" t="s">
        <v>271</v>
      </c>
      <c r="B41" s="5" t="s">
        <v>47</v>
      </c>
      <c r="C41" s="7">
        <v>5</v>
      </c>
      <c r="D41" s="7">
        <v>6</v>
      </c>
      <c r="E41" s="7">
        <v>6</v>
      </c>
      <c r="F41" s="7">
        <v>0</v>
      </c>
      <c r="G41" s="9">
        <v>1</v>
      </c>
      <c r="H41" s="13">
        <v>0.1034</v>
      </c>
      <c r="I41" s="13">
        <v>0.5175</v>
      </c>
      <c r="J41" s="5" t="s">
        <v>214</v>
      </c>
      <c r="K41" s="15">
        <f>IF(LEFT(J41,1)="X",PARAMETROS!$B$11,IF(LEFT(J41,1)="Y",PARAMETROS!$B$12,PARAMETROS!$B$13))</f>
        <v>0.84</v>
      </c>
      <c r="L41" s="14">
        <f>PARAMETROS!$B$7</f>
        <v>7</v>
      </c>
      <c r="M41" s="13">
        <f>ROUND(K41*I41*SQRT(L41/7),2)</f>
        <v>0.43</v>
      </c>
      <c r="N41" s="7">
        <f>ROUNDUP(H41*L41+M41,0)</f>
        <v>2</v>
      </c>
      <c r="O41" s="14">
        <v>0</v>
      </c>
      <c r="P41" s="7">
        <f>ROUNDUP(H41*(L41+PARAMETROS!$B$8)+M41,0)</f>
        <v>2</v>
      </c>
      <c r="Q41" s="7">
        <f>MAX(0,P41-O41)</f>
        <v>2</v>
      </c>
      <c r="R41" s="7">
        <f>ROUNDUP(H41*(L41+PARAMETROS!$B$9)+M41,0)</f>
        <v>3</v>
      </c>
      <c r="S41" s="7">
        <f>MAX(0,R41-O41)</f>
        <v>3</v>
      </c>
      <c r="T41" s="7">
        <f>ROUNDUP(H41*(L41+PARAMETROS!$B$10)+M41,0)</f>
        <v>5</v>
      </c>
      <c r="U41" s="7">
        <f>MAX(0,T41-O41)</f>
        <v>5</v>
      </c>
    </row>
    <row r="42" spans="1:21">
      <c r="A42" s="18" t="s">
        <v>230</v>
      </c>
      <c r="B42" s="18" t="s">
        <v>47</v>
      </c>
      <c r="C42" s="19">
        <v>5</v>
      </c>
      <c r="D42" s="19">
        <v>6</v>
      </c>
      <c r="E42" s="19">
        <v>6</v>
      </c>
      <c r="F42" s="19">
        <v>0</v>
      </c>
      <c r="G42" s="20">
        <v>1</v>
      </c>
      <c r="H42" s="21">
        <v>0.1034</v>
      </c>
      <c r="I42" s="21">
        <v>1.0351</v>
      </c>
      <c r="J42" s="18" t="s">
        <v>214</v>
      </c>
      <c r="K42" s="15">
        <f>IF(LEFT(J42,1)="X",PARAMETROS!$B$11,IF(LEFT(J42,1)="Y",PARAMETROS!$B$12,PARAMETROS!$B$13))</f>
        <v>0.84</v>
      </c>
      <c r="L42" s="14">
        <f>PARAMETROS!$B$7</f>
        <v>7</v>
      </c>
      <c r="M42" s="21">
        <f>ROUND(K42*I42*SQRT(L42/7),2)</f>
        <v>0.87</v>
      </c>
      <c r="N42" s="19">
        <f>ROUNDUP(H42*L42+M42,0)</f>
        <v>2</v>
      </c>
      <c r="O42" s="14">
        <v>0</v>
      </c>
      <c r="P42" s="19">
        <f>ROUNDUP(H42*(L42+PARAMETROS!$B$8)+M42,0)</f>
        <v>3</v>
      </c>
      <c r="Q42" s="19">
        <f>MAX(0,P42-O42)</f>
        <v>3</v>
      </c>
      <c r="R42" s="19">
        <f>ROUNDUP(H42*(L42+PARAMETROS!$B$9)+M42,0)</f>
        <v>4</v>
      </c>
      <c r="S42" s="19">
        <f>MAX(0,R42-O42)</f>
        <v>4</v>
      </c>
      <c r="T42" s="19">
        <f>ROUNDUP(H42*(L42+PARAMETROS!$B$10)+M42,0)</f>
        <v>5</v>
      </c>
      <c r="U42" s="19">
        <f>MAX(0,T42-O42)</f>
        <v>5</v>
      </c>
    </row>
    <row r="43" spans="1:21">
      <c r="A43" s="5" t="s">
        <v>272</v>
      </c>
      <c r="B43" s="5" t="s">
        <v>47</v>
      </c>
      <c r="C43" s="7">
        <v>6</v>
      </c>
      <c r="D43" s="7">
        <v>6</v>
      </c>
      <c r="E43" s="7">
        <v>6</v>
      </c>
      <c r="F43" s="7">
        <v>0</v>
      </c>
      <c r="G43" s="9">
        <v>1</v>
      </c>
      <c r="H43" s="13">
        <v>0.1034</v>
      </c>
      <c r="I43" s="13">
        <v>0.7071</v>
      </c>
      <c r="J43" s="5" t="s">
        <v>228</v>
      </c>
      <c r="K43" s="15">
        <f>IF(LEFT(J43,1)="X",PARAMETROS!$B$11,IF(LEFT(J43,1)="Y",PARAMETROS!$B$12,PARAMETROS!$B$13))</f>
        <v>1.28</v>
      </c>
      <c r="L43" s="14">
        <f>PARAMETROS!$B$7</f>
        <v>7</v>
      </c>
      <c r="M43" s="13">
        <f>ROUND(K43*I43*SQRT(L43/7),2)</f>
        <v>0.91</v>
      </c>
      <c r="N43" s="7">
        <f>ROUNDUP(H43*L43+M43,0)</f>
        <v>2</v>
      </c>
      <c r="O43" s="14">
        <v>0</v>
      </c>
      <c r="P43" s="7">
        <f>ROUNDUP(H43*(L43+PARAMETROS!$B$8)+M43,0)</f>
        <v>3</v>
      </c>
      <c r="Q43" s="7">
        <f>MAX(0,P43-O43)</f>
        <v>3</v>
      </c>
      <c r="R43" s="7">
        <f>ROUNDUP(H43*(L43+PARAMETROS!$B$9)+M43,0)</f>
        <v>4</v>
      </c>
      <c r="S43" s="7">
        <f>MAX(0,R43-O43)</f>
        <v>4</v>
      </c>
      <c r="T43" s="7">
        <f>ROUNDUP(H43*(L43+PARAMETROS!$B$10)+M43,0)</f>
        <v>5</v>
      </c>
      <c r="U43" s="7">
        <f>MAX(0,T43-O43)</f>
        <v>5</v>
      </c>
    </row>
    <row r="44" spans="1:21">
      <c r="A44" s="18" t="s">
        <v>249</v>
      </c>
      <c r="B44" s="18" t="s">
        <v>40</v>
      </c>
      <c r="C44" s="19">
        <v>4</v>
      </c>
      <c r="D44" s="19">
        <v>6</v>
      </c>
      <c r="E44" s="19">
        <v>6</v>
      </c>
      <c r="F44" s="19">
        <v>0</v>
      </c>
      <c r="G44" s="20">
        <v>1</v>
      </c>
      <c r="H44" s="21">
        <v>0.1034</v>
      </c>
      <c r="I44" s="21">
        <v>0.9258</v>
      </c>
      <c r="J44" s="18" t="s">
        <v>214</v>
      </c>
      <c r="K44" s="15">
        <f>IF(LEFT(J44,1)="X",PARAMETROS!$B$11,IF(LEFT(J44,1)="Y",PARAMETROS!$B$12,PARAMETROS!$B$13))</f>
        <v>0.84</v>
      </c>
      <c r="L44" s="14">
        <f>PARAMETROS!$B$7</f>
        <v>7</v>
      </c>
      <c r="M44" s="21">
        <f>ROUND(K44*I44*SQRT(L44/7),2)</f>
        <v>0.78</v>
      </c>
      <c r="N44" s="19">
        <f>ROUNDUP(H44*L44+M44,0)</f>
        <v>2</v>
      </c>
      <c r="O44" s="14">
        <v>0</v>
      </c>
      <c r="P44" s="19">
        <f>ROUNDUP(H44*(L44+PARAMETROS!$B$8)+M44,0)</f>
        <v>3</v>
      </c>
      <c r="Q44" s="19">
        <f>MAX(0,P44-O44)</f>
        <v>3</v>
      </c>
      <c r="R44" s="19">
        <f>ROUNDUP(H44*(L44+PARAMETROS!$B$9)+M44,0)</f>
        <v>3</v>
      </c>
      <c r="S44" s="19">
        <f>MAX(0,R44-O44)</f>
        <v>3</v>
      </c>
      <c r="T44" s="19">
        <f>ROUNDUP(H44*(L44+PARAMETROS!$B$10)+M44,0)</f>
        <v>5</v>
      </c>
      <c r="U44" s="19">
        <f>MAX(0,T44-O44)</f>
        <v>5</v>
      </c>
    </row>
    <row r="45" spans="1:21">
      <c r="A45" s="5" t="s">
        <v>252</v>
      </c>
      <c r="B45" s="5" t="s">
        <v>40</v>
      </c>
      <c r="C45" s="7">
        <v>3</v>
      </c>
      <c r="D45" s="7">
        <v>6</v>
      </c>
      <c r="E45" s="7">
        <v>6</v>
      </c>
      <c r="F45" s="7">
        <v>0</v>
      </c>
      <c r="G45" s="9">
        <v>1</v>
      </c>
      <c r="H45" s="13">
        <v>0.1034</v>
      </c>
      <c r="I45" s="13">
        <v>1.0607</v>
      </c>
      <c r="J45" s="5" t="s">
        <v>214</v>
      </c>
      <c r="K45" s="15">
        <f>IF(LEFT(J45,1)="X",PARAMETROS!$B$11,IF(LEFT(J45,1)="Y",PARAMETROS!$B$12,PARAMETROS!$B$13))</f>
        <v>0.84</v>
      </c>
      <c r="L45" s="14">
        <f>PARAMETROS!$B$7</f>
        <v>7</v>
      </c>
      <c r="M45" s="13">
        <f>ROUND(K45*I45*SQRT(L45/7),2)</f>
        <v>0.89</v>
      </c>
      <c r="N45" s="7">
        <f>ROUNDUP(H45*L45+M45,0)</f>
        <v>2</v>
      </c>
      <c r="O45" s="14">
        <v>0</v>
      </c>
      <c r="P45" s="7">
        <f>ROUNDUP(H45*(L45+PARAMETROS!$B$8)+M45,0)</f>
        <v>3</v>
      </c>
      <c r="Q45" s="7">
        <f>MAX(0,P45-O45)</f>
        <v>3</v>
      </c>
      <c r="R45" s="7">
        <f>ROUNDUP(H45*(L45+PARAMETROS!$B$9)+M45,0)</f>
        <v>4</v>
      </c>
      <c r="S45" s="7">
        <f>MAX(0,R45-O45)</f>
        <v>4</v>
      </c>
      <c r="T45" s="7">
        <f>ROUNDUP(H45*(L45+PARAMETROS!$B$10)+M45,0)</f>
        <v>5</v>
      </c>
      <c r="U45" s="7">
        <f>MAX(0,T45-O45)</f>
        <v>5</v>
      </c>
    </row>
    <row r="46" spans="1:21">
      <c r="A46" s="18" t="s">
        <v>273</v>
      </c>
      <c r="B46" s="18" t="s">
        <v>40</v>
      </c>
      <c r="C46" s="19">
        <v>4</v>
      </c>
      <c r="D46" s="19">
        <v>5</v>
      </c>
      <c r="E46" s="19">
        <v>5</v>
      </c>
      <c r="F46" s="19">
        <v>0</v>
      </c>
      <c r="G46" s="20">
        <v>1</v>
      </c>
      <c r="H46" s="21">
        <v>0.0862</v>
      </c>
      <c r="I46" s="21">
        <v>1.069</v>
      </c>
      <c r="J46" s="18" t="s">
        <v>214</v>
      </c>
      <c r="K46" s="15">
        <f>IF(LEFT(J46,1)="X",PARAMETROS!$B$11,IF(LEFT(J46,1)="Y",PARAMETROS!$B$12,PARAMETROS!$B$13))</f>
        <v>0.84</v>
      </c>
      <c r="L46" s="14">
        <f>PARAMETROS!$B$7</f>
        <v>7</v>
      </c>
      <c r="M46" s="21">
        <f>ROUND(K46*I46*SQRT(L46/7),2)</f>
        <v>0.9</v>
      </c>
      <c r="N46" s="19">
        <f>ROUNDUP(H46*L46+M46,0)</f>
        <v>2</v>
      </c>
      <c r="O46" s="14">
        <v>0</v>
      </c>
      <c r="P46" s="19">
        <f>ROUNDUP(H46*(L46+PARAMETROS!$B$8)+M46,0)</f>
        <v>3</v>
      </c>
      <c r="Q46" s="19">
        <f>MAX(0,P46-O46)</f>
        <v>3</v>
      </c>
      <c r="R46" s="19">
        <f>ROUNDUP(H46*(L46+PARAMETROS!$B$9)+M46,0)</f>
        <v>3</v>
      </c>
      <c r="S46" s="19">
        <f>MAX(0,R46-O46)</f>
        <v>3</v>
      </c>
      <c r="T46" s="19">
        <f>ROUNDUP(H46*(L46+PARAMETROS!$B$10)+M46,0)</f>
        <v>5</v>
      </c>
      <c r="U46" s="19">
        <f>MAX(0,T46-O46)</f>
        <v>5</v>
      </c>
    </row>
    <row r="47" spans="1:21">
      <c r="A47" s="5" t="s">
        <v>244</v>
      </c>
      <c r="B47" s="5" t="s">
        <v>40</v>
      </c>
      <c r="C47" s="7">
        <v>2</v>
      </c>
      <c r="D47" s="7">
        <v>5</v>
      </c>
      <c r="E47" s="7">
        <v>5</v>
      </c>
      <c r="F47" s="7">
        <v>0</v>
      </c>
      <c r="G47" s="9">
        <v>1</v>
      </c>
      <c r="H47" s="13">
        <v>0.0862</v>
      </c>
      <c r="I47" s="13">
        <v>1.1877</v>
      </c>
      <c r="J47" s="5" t="s">
        <v>214</v>
      </c>
      <c r="K47" s="15">
        <f>IF(LEFT(J47,1)="X",PARAMETROS!$B$11,IF(LEFT(J47,1)="Y",PARAMETROS!$B$12,PARAMETROS!$B$13))</f>
        <v>0.84</v>
      </c>
      <c r="L47" s="14">
        <f>PARAMETROS!$B$7</f>
        <v>7</v>
      </c>
      <c r="M47" s="13">
        <f>ROUND(K47*I47*SQRT(L47/7),2)</f>
        <v>1.0</v>
      </c>
      <c r="N47" s="7">
        <f>ROUNDUP(H47*L47+M47,0)</f>
        <v>2</v>
      </c>
      <c r="O47" s="14">
        <v>0</v>
      </c>
      <c r="P47" s="7">
        <f>ROUNDUP(H47*(L47+PARAMETROS!$B$8)+M47,0)</f>
        <v>3</v>
      </c>
      <c r="Q47" s="7">
        <f>MAX(0,P47-O47)</f>
        <v>3</v>
      </c>
      <c r="R47" s="7">
        <f>ROUNDUP(H47*(L47+PARAMETROS!$B$9)+M47,0)</f>
        <v>3</v>
      </c>
      <c r="S47" s="7">
        <f>MAX(0,R47-O47)</f>
        <v>3</v>
      </c>
      <c r="T47" s="7">
        <f>ROUNDUP(H47*(L47+PARAMETROS!$B$10)+M47,0)</f>
        <v>5</v>
      </c>
      <c r="U47" s="7">
        <f>MAX(0,T47-O47)</f>
        <v>5</v>
      </c>
    </row>
    <row r="48" spans="1:21">
      <c r="A48" s="18" t="s">
        <v>217</v>
      </c>
      <c r="B48" s="18" t="s">
        <v>216</v>
      </c>
      <c r="C48" s="19">
        <v>3</v>
      </c>
      <c r="D48" s="19">
        <v>5</v>
      </c>
      <c r="E48" s="19">
        <v>5</v>
      </c>
      <c r="F48" s="19">
        <v>0</v>
      </c>
      <c r="G48" s="20">
        <v>1</v>
      </c>
      <c r="H48" s="21">
        <v>0.0862</v>
      </c>
      <c r="I48" s="21">
        <v>0.9258</v>
      </c>
      <c r="J48" s="18" t="s">
        <v>214</v>
      </c>
      <c r="K48" s="15">
        <f>IF(LEFT(J48,1)="X",PARAMETROS!$B$11,IF(LEFT(J48,1)="Y",PARAMETROS!$B$12,PARAMETROS!$B$13))</f>
        <v>0.84</v>
      </c>
      <c r="L48" s="14">
        <f>PARAMETROS!$B$7</f>
        <v>7</v>
      </c>
      <c r="M48" s="21">
        <f>ROUND(K48*I48*SQRT(L48/7),2)</f>
        <v>0.78</v>
      </c>
      <c r="N48" s="19">
        <f>ROUNDUP(H48*L48+M48,0)</f>
        <v>2</v>
      </c>
      <c r="O48" s="14">
        <v>0</v>
      </c>
      <c r="P48" s="19">
        <f>ROUNDUP(H48*(L48+PARAMETROS!$B$8)+M48,0)</f>
        <v>2</v>
      </c>
      <c r="Q48" s="19">
        <f>MAX(0,P48-O48)</f>
        <v>2</v>
      </c>
      <c r="R48" s="19">
        <f>ROUNDUP(H48*(L48+PARAMETROS!$B$9)+M48,0)</f>
        <v>3</v>
      </c>
      <c r="S48" s="19">
        <f>MAX(0,R48-O48)</f>
        <v>3</v>
      </c>
      <c r="T48" s="19">
        <f>ROUNDUP(H48*(L48+PARAMETROS!$B$10)+M48,0)</f>
        <v>4</v>
      </c>
      <c r="U48" s="19">
        <f>MAX(0,T48-O48)</f>
        <v>4</v>
      </c>
    </row>
    <row r="49" spans="1:21">
      <c r="A49" s="5" t="s">
        <v>274</v>
      </c>
      <c r="B49" s="5" t="s">
        <v>257</v>
      </c>
      <c r="C49" s="7">
        <v>4</v>
      </c>
      <c r="D49" s="7">
        <v>5</v>
      </c>
      <c r="E49" s="7">
        <v>3</v>
      </c>
      <c r="F49" s="7">
        <v>2</v>
      </c>
      <c r="G49" s="9">
        <v>0.6</v>
      </c>
      <c r="H49" s="13">
        <v>0.0862</v>
      </c>
      <c r="I49" s="13">
        <v>1.0607</v>
      </c>
      <c r="J49" s="5" t="s">
        <v>214</v>
      </c>
      <c r="K49" s="15">
        <f>IF(LEFT(J49,1)="X",PARAMETROS!$B$11,IF(LEFT(J49,1)="Y",PARAMETROS!$B$12,PARAMETROS!$B$13))</f>
        <v>0.84</v>
      </c>
      <c r="L49" s="14">
        <f>PARAMETROS!$B$7</f>
        <v>7</v>
      </c>
      <c r="M49" s="13">
        <f>ROUND(K49*I49*SQRT(L49/7),2)</f>
        <v>0.89</v>
      </c>
      <c r="N49" s="7">
        <f>ROUNDUP(H49*L49+M49,0)</f>
        <v>2</v>
      </c>
      <c r="O49" s="14">
        <v>0</v>
      </c>
      <c r="P49" s="7">
        <f>ROUNDUP(H49*(L49+PARAMETROS!$B$8)+M49,0)</f>
        <v>3</v>
      </c>
      <c r="Q49" s="7">
        <f>MAX(0,P49-O49)</f>
        <v>3</v>
      </c>
      <c r="R49" s="7">
        <f>ROUNDUP(H49*(L49+PARAMETROS!$B$9)+M49,0)</f>
        <v>3</v>
      </c>
      <c r="S49" s="7">
        <f>MAX(0,R49-O49)</f>
        <v>3</v>
      </c>
      <c r="T49" s="7">
        <f>ROUNDUP(H49*(L49+PARAMETROS!$B$10)+M49,0)</f>
        <v>5</v>
      </c>
      <c r="U49" s="7">
        <f>MAX(0,T49-O49)</f>
        <v>5</v>
      </c>
    </row>
    <row r="50" spans="1:21">
      <c r="A50" s="18" t="s">
        <v>275</v>
      </c>
      <c r="B50" s="18" t="s">
        <v>219</v>
      </c>
      <c r="C50" s="19">
        <v>1</v>
      </c>
      <c r="D50" s="19">
        <v>5</v>
      </c>
      <c r="E50" s="19">
        <v>5</v>
      </c>
      <c r="F50" s="19">
        <v>0</v>
      </c>
      <c r="G50" s="20">
        <v>1</v>
      </c>
      <c r="H50" s="21">
        <v>0.0862</v>
      </c>
      <c r="I50" s="21">
        <v>1.7678</v>
      </c>
      <c r="J50" s="18" t="s">
        <v>214</v>
      </c>
      <c r="K50" s="15">
        <f>IF(LEFT(J50,1)="X",PARAMETROS!$B$11,IF(LEFT(J50,1)="Y",PARAMETROS!$B$12,PARAMETROS!$B$13))</f>
        <v>0.84</v>
      </c>
      <c r="L50" s="14">
        <f>PARAMETROS!$B$7</f>
        <v>7</v>
      </c>
      <c r="M50" s="21">
        <f>ROUND(K50*I50*SQRT(L50/7),2)</f>
        <v>1.48</v>
      </c>
      <c r="N50" s="19">
        <f>ROUNDUP(H50*L50+M50,0)</f>
        <v>3</v>
      </c>
      <c r="O50" s="14">
        <v>0</v>
      </c>
      <c r="P50" s="19">
        <f>ROUNDUP(H50*(L50+PARAMETROS!$B$8)+M50,0)</f>
        <v>3</v>
      </c>
      <c r="Q50" s="19">
        <f>MAX(0,P50-O50)</f>
        <v>3</v>
      </c>
      <c r="R50" s="19">
        <f>ROUNDUP(H50*(L50+PARAMETROS!$B$9)+M50,0)</f>
        <v>4</v>
      </c>
      <c r="S50" s="19">
        <f>MAX(0,R50-O50)</f>
        <v>4</v>
      </c>
      <c r="T50" s="19">
        <f>ROUNDUP(H50*(L50+PARAMETROS!$B$10)+M50,0)</f>
        <v>5</v>
      </c>
      <c r="U50" s="19">
        <f>MAX(0,T50-O50)</f>
        <v>5</v>
      </c>
    </row>
    <row r="51" spans="1:21">
      <c r="A51" s="5" t="s">
        <v>276</v>
      </c>
      <c r="B51" s="5" t="s">
        <v>40</v>
      </c>
      <c r="C51" s="7">
        <v>3</v>
      </c>
      <c r="D51" s="7">
        <v>5</v>
      </c>
      <c r="E51" s="7">
        <v>5</v>
      </c>
      <c r="F51" s="7">
        <v>0</v>
      </c>
      <c r="G51" s="9">
        <v>1</v>
      </c>
      <c r="H51" s="13">
        <v>0.0862</v>
      </c>
      <c r="I51" s="13">
        <v>1.069</v>
      </c>
      <c r="J51" s="5" t="s">
        <v>214</v>
      </c>
      <c r="K51" s="15">
        <f>IF(LEFT(J51,1)="X",PARAMETROS!$B$11,IF(LEFT(J51,1)="Y",PARAMETROS!$B$12,PARAMETROS!$B$13))</f>
        <v>0.84</v>
      </c>
      <c r="L51" s="14">
        <f>PARAMETROS!$B$7</f>
        <v>7</v>
      </c>
      <c r="M51" s="13">
        <f>ROUND(K51*I51*SQRT(L51/7),2)</f>
        <v>0.9</v>
      </c>
      <c r="N51" s="7">
        <f>ROUNDUP(H51*L51+M51,0)</f>
        <v>2</v>
      </c>
      <c r="O51" s="14">
        <v>0</v>
      </c>
      <c r="P51" s="7">
        <f>ROUNDUP(H51*(L51+PARAMETROS!$B$8)+M51,0)</f>
        <v>3</v>
      </c>
      <c r="Q51" s="7">
        <f>MAX(0,P51-O51)</f>
        <v>3</v>
      </c>
      <c r="R51" s="7">
        <f>ROUNDUP(H51*(L51+PARAMETROS!$B$9)+M51,0)</f>
        <v>3</v>
      </c>
      <c r="S51" s="7">
        <f>MAX(0,R51-O51)</f>
        <v>3</v>
      </c>
      <c r="T51" s="7">
        <f>ROUNDUP(H51*(L51+PARAMETROS!$B$10)+M51,0)</f>
        <v>5</v>
      </c>
      <c r="U51" s="7">
        <f>MAX(0,T51-O51)</f>
        <v>5</v>
      </c>
    </row>
    <row r="52" spans="1:21">
      <c r="A52" s="18" t="s">
        <v>234</v>
      </c>
      <c r="B52" s="18" t="s">
        <v>47</v>
      </c>
      <c r="C52" s="19">
        <v>4</v>
      </c>
      <c r="D52" s="19">
        <v>4</v>
      </c>
      <c r="E52" s="19">
        <v>4</v>
      </c>
      <c r="F52" s="19">
        <v>0</v>
      </c>
      <c r="G52" s="20">
        <v>1</v>
      </c>
      <c r="H52" s="21">
        <v>0.06900000000000001</v>
      </c>
      <c r="I52" s="21">
        <v>0.5345</v>
      </c>
      <c r="J52" s="18" t="s">
        <v>214</v>
      </c>
      <c r="K52" s="15">
        <f>IF(LEFT(J52,1)="X",PARAMETROS!$B$11,IF(LEFT(J52,1)="Y",PARAMETROS!$B$12,PARAMETROS!$B$13))</f>
        <v>0.84</v>
      </c>
      <c r="L52" s="14">
        <f>PARAMETROS!$B$7</f>
        <v>7</v>
      </c>
      <c r="M52" s="21">
        <f>ROUND(K52*I52*SQRT(L52/7),2)</f>
        <v>0.45</v>
      </c>
      <c r="N52" s="19">
        <f>ROUNDUP(H52*L52+M52,0)</f>
        <v>1</v>
      </c>
      <c r="O52" s="14">
        <v>0</v>
      </c>
      <c r="P52" s="19">
        <f>ROUNDUP(H52*(L52+PARAMETROS!$B$8)+M52,0)</f>
        <v>2</v>
      </c>
      <c r="Q52" s="19">
        <f>MAX(0,P52-O52)</f>
        <v>2</v>
      </c>
      <c r="R52" s="19">
        <f>ROUNDUP(H52*(L52+PARAMETROS!$B$9)+M52,0)</f>
        <v>2</v>
      </c>
      <c r="S52" s="19">
        <f>MAX(0,R52-O52)</f>
        <v>2</v>
      </c>
      <c r="T52" s="19">
        <f>ROUNDUP(H52*(L52+PARAMETROS!$B$10)+M52,0)</f>
        <v>4</v>
      </c>
      <c r="U52" s="19">
        <f>MAX(0,T52-O52)</f>
        <v>4</v>
      </c>
    </row>
    <row r="53" spans="1:21">
      <c r="A53" s="5" t="s">
        <v>277</v>
      </c>
      <c r="B53" s="5" t="s">
        <v>47</v>
      </c>
      <c r="C53" s="7">
        <v>4</v>
      </c>
      <c r="D53" s="7">
        <v>4</v>
      </c>
      <c r="E53" s="7">
        <v>3</v>
      </c>
      <c r="F53" s="7">
        <v>1</v>
      </c>
      <c r="G53" s="9">
        <v>0.75</v>
      </c>
      <c r="H53" s="13">
        <v>0.06900000000000001</v>
      </c>
      <c r="I53" s="13">
        <v>0.5345</v>
      </c>
      <c r="J53" s="5" t="s">
        <v>214</v>
      </c>
      <c r="K53" s="15">
        <f>IF(LEFT(J53,1)="X",PARAMETROS!$B$11,IF(LEFT(J53,1)="Y",PARAMETROS!$B$12,PARAMETROS!$B$13))</f>
        <v>0.84</v>
      </c>
      <c r="L53" s="14">
        <f>PARAMETROS!$B$7</f>
        <v>7</v>
      </c>
      <c r="M53" s="13">
        <f>ROUND(K53*I53*SQRT(L53/7),2)</f>
        <v>0.45</v>
      </c>
      <c r="N53" s="7">
        <f>ROUNDUP(H53*L53+M53,0)</f>
        <v>1</v>
      </c>
      <c r="O53" s="14">
        <v>0</v>
      </c>
      <c r="P53" s="7">
        <f>ROUNDUP(H53*(L53+PARAMETROS!$B$8)+M53,0)</f>
        <v>2</v>
      </c>
      <c r="Q53" s="7">
        <f>MAX(0,P53-O53)</f>
        <v>2</v>
      </c>
      <c r="R53" s="7">
        <f>ROUNDUP(H53*(L53+PARAMETROS!$B$9)+M53,0)</f>
        <v>2</v>
      </c>
      <c r="S53" s="7">
        <f>MAX(0,R53-O53)</f>
        <v>2</v>
      </c>
      <c r="T53" s="7">
        <f>ROUNDUP(H53*(L53+PARAMETROS!$B$10)+M53,0)</f>
        <v>4</v>
      </c>
      <c r="U53" s="7">
        <f>MAX(0,T53-O53)</f>
        <v>4</v>
      </c>
    </row>
    <row r="54" spans="1:21">
      <c r="A54" s="18" t="s">
        <v>250</v>
      </c>
      <c r="B54" s="18" t="s">
        <v>40</v>
      </c>
      <c r="C54" s="19">
        <v>4</v>
      </c>
      <c r="D54" s="19">
        <v>4</v>
      </c>
      <c r="E54" s="19">
        <v>4</v>
      </c>
      <c r="F54" s="19">
        <v>0</v>
      </c>
      <c r="G54" s="20">
        <v>1</v>
      </c>
      <c r="H54" s="21">
        <v>0.06900000000000001</v>
      </c>
      <c r="I54" s="21">
        <v>0.5345</v>
      </c>
      <c r="J54" s="18" t="s">
        <v>214</v>
      </c>
      <c r="K54" s="15">
        <f>IF(LEFT(J54,1)="X",PARAMETROS!$B$11,IF(LEFT(J54,1)="Y",PARAMETROS!$B$12,PARAMETROS!$B$13))</f>
        <v>0.84</v>
      </c>
      <c r="L54" s="14">
        <f>PARAMETROS!$B$7</f>
        <v>7</v>
      </c>
      <c r="M54" s="21">
        <f>ROUND(K54*I54*SQRT(L54/7),2)</f>
        <v>0.45</v>
      </c>
      <c r="N54" s="19">
        <f>ROUNDUP(H54*L54+M54,0)</f>
        <v>1</v>
      </c>
      <c r="O54" s="14">
        <v>0</v>
      </c>
      <c r="P54" s="19">
        <f>ROUNDUP(H54*(L54+PARAMETROS!$B$8)+M54,0)</f>
        <v>2</v>
      </c>
      <c r="Q54" s="19">
        <f>MAX(0,P54-O54)</f>
        <v>2</v>
      </c>
      <c r="R54" s="19">
        <f>ROUNDUP(H54*(L54+PARAMETROS!$B$9)+M54,0)</f>
        <v>2</v>
      </c>
      <c r="S54" s="19">
        <f>MAX(0,R54-O54)</f>
        <v>2</v>
      </c>
      <c r="T54" s="19">
        <f>ROUNDUP(H54*(L54+PARAMETROS!$B$10)+M54,0)</f>
        <v>4</v>
      </c>
      <c r="U54" s="19">
        <f>MAX(0,T54-O54)</f>
        <v>4</v>
      </c>
    </row>
    <row r="55" spans="1:21">
      <c r="A55" s="5" t="s">
        <v>229</v>
      </c>
      <c r="B55" s="5" t="s">
        <v>216</v>
      </c>
      <c r="C55" s="7">
        <v>3</v>
      </c>
      <c r="D55" s="7">
        <v>4</v>
      </c>
      <c r="E55" s="7">
        <v>4</v>
      </c>
      <c r="F55" s="7">
        <v>0</v>
      </c>
      <c r="G55" s="9">
        <v>1</v>
      </c>
      <c r="H55" s="13">
        <v>0.06900000000000001</v>
      </c>
      <c r="I55" s="13">
        <v>1.069</v>
      </c>
      <c r="J55" s="5" t="s">
        <v>214</v>
      </c>
      <c r="K55" s="15">
        <f>IF(LEFT(J55,1)="X",PARAMETROS!$B$11,IF(LEFT(J55,1)="Y",PARAMETROS!$B$12,PARAMETROS!$B$13))</f>
        <v>0.84</v>
      </c>
      <c r="L55" s="14">
        <f>PARAMETROS!$B$7</f>
        <v>7</v>
      </c>
      <c r="M55" s="13">
        <f>ROUND(K55*I55*SQRT(L55/7),2)</f>
        <v>0.9</v>
      </c>
      <c r="N55" s="7">
        <f>ROUNDUP(H55*L55+M55,0)</f>
        <v>2</v>
      </c>
      <c r="O55" s="14">
        <v>0</v>
      </c>
      <c r="P55" s="7">
        <f>ROUNDUP(H55*(L55+PARAMETROS!$B$8)+M55,0)</f>
        <v>2</v>
      </c>
      <c r="Q55" s="7">
        <f>MAX(0,P55-O55)</f>
        <v>2</v>
      </c>
      <c r="R55" s="7">
        <f>ROUNDUP(H55*(L55+PARAMETROS!$B$9)+M55,0)</f>
        <v>3</v>
      </c>
      <c r="S55" s="7">
        <f>MAX(0,R55-O55)</f>
        <v>3</v>
      </c>
      <c r="T55" s="7">
        <f>ROUNDUP(H55*(L55+PARAMETROS!$B$10)+M55,0)</f>
        <v>4</v>
      </c>
      <c r="U55" s="7">
        <f>MAX(0,T55-O55)</f>
        <v>4</v>
      </c>
    </row>
    <row r="56" spans="1:21">
      <c r="A56" s="18" t="s">
        <v>278</v>
      </c>
      <c r="B56" s="18" t="s">
        <v>257</v>
      </c>
      <c r="C56" s="19">
        <v>2</v>
      </c>
      <c r="D56" s="19">
        <v>4</v>
      </c>
      <c r="E56" s="19">
        <v>1</v>
      </c>
      <c r="F56" s="19">
        <v>3</v>
      </c>
      <c r="G56" s="20">
        <v>0.25</v>
      </c>
      <c r="H56" s="21">
        <v>0.06900000000000001</v>
      </c>
      <c r="I56" s="21">
        <v>1.0607</v>
      </c>
      <c r="J56" s="18" t="s">
        <v>214</v>
      </c>
      <c r="K56" s="15">
        <f>IF(LEFT(J56,1)="X",PARAMETROS!$B$11,IF(LEFT(J56,1)="Y",PARAMETROS!$B$12,PARAMETROS!$B$13))</f>
        <v>0.84</v>
      </c>
      <c r="L56" s="14">
        <f>PARAMETROS!$B$7</f>
        <v>7</v>
      </c>
      <c r="M56" s="21">
        <f>ROUND(K56*I56*SQRT(L56/7),2)</f>
        <v>0.89</v>
      </c>
      <c r="N56" s="19">
        <f>ROUNDUP(H56*L56+M56,0)</f>
        <v>2</v>
      </c>
      <c r="O56" s="14">
        <v>0</v>
      </c>
      <c r="P56" s="19">
        <f>ROUNDUP(H56*(L56+PARAMETROS!$B$8)+M56,0)</f>
        <v>2</v>
      </c>
      <c r="Q56" s="19">
        <f>MAX(0,P56-O56)</f>
        <v>2</v>
      </c>
      <c r="R56" s="19">
        <f>ROUNDUP(H56*(L56+PARAMETROS!$B$9)+M56,0)</f>
        <v>3</v>
      </c>
      <c r="S56" s="19">
        <f>MAX(0,R56-O56)</f>
        <v>3</v>
      </c>
      <c r="T56" s="19">
        <f>ROUNDUP(H56*(L56+PARAMETROS!$B$10)+M56,0)</f>
        <v>4</v>
      </c>
      <c r="U56" s="19">
        <f>MAX(0,T56-O56)</f>
        <v>4</v>
      </c>
    </row>
    <row r="57" spans="1:21">
      <c r="A57" s="5" t="s">
        <v>279</v>
      </c>
      <c r="B57" s="5" t="s">
        <v>216</v>
      </c>
      <c r="C57" s="7">
        <v>3</v>
      </c>
      <c r="D57" s="7">
        <v>3</v>
      </c>
      <c r="E57" s="7">
        <v>3</v>
      </c>
      <c r="F57" s="7">
        <v>0</v>
      </c>
      <c r="G57" s="9">
        <v>1</v>
      </c>
      <c r="H57" s="13">
        <v>0.0517</v>
      </c>
      <c r="I57" s="13">
        <v>0.3536</v>
      </c>
      <c r="J57" s="5" t="s">
        <v>214</v>
      </c>
      <c r="K57" s="15">
        <f>IF(LEFT(J57,1)="X",PARAMETROS!$B$11,IF(LEFT(J57,1)="Y",PARAMETROS!$B$12,PARAMETROS!$B$13))</f>
        <v>0.84</v>
      </c>
      <c r="L57" s="14">
        <f>PARAMETROS!$B$7</f>
        <v>7</v>
      </c>
      <c r="M57" s="13">
        <f>ROUND(K57*I57*SQRT(L57/7),2)</f>
        <v>0.3</v>
      </c>
      <c r="N57" s="7">
        <f>ROUNDUP(H57*L57+M57,0)</f>
        <v>1</v>
      </c>
      <c r="O57" s="14">
        <v>0</v>
      </c>
      <c r="P57" s="7">
        <f>ROUNDUP(H57*(L57+PARAMETROS!$B$8)+M57,0)</f>
        <v>2</v>
      </c>
      <c r="Q57" s="7">
        <f>MAX(0,P57-O57)</f>
        <v>2</v>
      </c>
      <c r="R57" s="7">
        <f>ROUNDUP(H57*(L57+PARAMETROS!$B$9)+M57,0)</f>
        <v>2</v>
      </c>
      <c r="S57" s="7">
        <f>MAX(0,R57-O57)</f>
        <v>2</v>
      </c>
      <c r="T57" s="7">
        <f>ROUNDUP(H57*(L57+PARAMETROS!$B$10)+M57,0)</f>
        <v>3</v>
      </c>
      <c r="U57" s="7">
        <f>MAX(0,T57-O57)</f>
        <v>3</v>
      </c>
    </row>
    <row r="58" spans="1:21">
      <c r="A58" s="18" t="s">
        <v>280</v>
      </c>
      <c r="B58" s="18" t="s">
        <v>40</v>
      </c>
      <c r="C58" s="19">
        <v>3</v>
      </c>
      <c r="D58" s="19">
        <v>3</v>
      </c>
      <c r="E58" s="19">
        <v>3</v>
      </c>
      <c r="F58" s="19">
        <v>0</v>
      </c>
      <c r="G58" s="20">
        <v>1</v>
      </c>
      <c r="H58" s="21">
        <v>0.0517</v>
      </c>
      <c r="I58" s="21">
        <v>0.3536</v>
      </c>
      <c r="J58" s="18" t="s">
        <v>214</v>
      </c>
      <c r="K58" s="15">
        <f>IF(LEFT(J58,1)="X",PARAMETROS!$B$11,IF(LEFT(J58,1)="Y",PARAMETROS!$B$12,PARAMETROS!$B$13))</f>
        <v>0.84</v>
      </c>
      <c r="L58" s="14">
        <f>PARAMETROS!$B$7</f>
        <v>7</v>
      </c>
      <c r="M58" s="21">
        <f>ROUND(K58*I58*SQRT(L58/7),2)</f>
        <v>0.3</v>
      </c>
      <c r="N58" s="19">
        <f>ROUNDUP(H58*L58+M58,0)</f>
        <v>1</v>
      </c>
      <c r="O58" s="14">
        <v>0</v>
      </c>
      <c r="P58" s="19">
        <f>ROUNDUP(H58*(L58+PARAMETROS!$B$8)+M58,0)</f>
        <v>2</v>
      </c>
      <c r="Q58" s="19">
        <f>MAX(0,P58-O58)</f>
        <v>2</v>
      </c>
      <c r="R58" s="19">
        <f>ROUNDUP(H58*(L58+PARAMETROS!$B$9)+M58,0)</f>
        <v>2</v>
      </c>
      <c r="S58" s="19">
        <f>MAX(0,R58-O58)</f>
        <v>2</v>
      </c>
      <c r="T58" s="19">
        <f>ROUNDUP(H58*(L58+PARAMETROS!$B$10)+M58,0)</f>
        <v>3</v>
      </c>
      <c r="U58" s="19">
        <f>MAX(0,T58-O58)</f>
        <v>3</v>
      </c>
    </row>
    <row r="59" spans="1:21">
      <c r="A59" s="5" t="s">
        <v>281</v>
      </c>
      <c r="B59" s="5" t="s">
        <v>47</v>
      </c>
      <c r="C59" s="7">
        <v>3</v>
      </c>
      <c r="D59" s="7">
        <v>3</v>
      </c>
      <c r="E59" s="7">
        <v>3</v>
      </c>
      <c r="F59" s="7">
        <v>0</v>
      </c>
      <c r="G59" s="9">
        <v>1</v>
      </c>
      <c r="H59" s="13">
        <v>0.0517</v>
      </c>
      <c r="I59" s="13">
        <v>0.744</v>
      </c>
      <c r="J59" s="5" t="s">
        <v>214</v>
      </c>
      <c r="K59" s="15">
        <f>IF(LEFT(J59,1)="X",PARAMETROS!$B$11,IF(LEFT(J59,1)="Y",PARAMETROS!$B$12,PARAMETROS!$B$13))</f>
        <v>0.84</v>
      </c>
      <c r="L59" s="14">
        <f>PARAMETROS!$B$7</f>
        <v>7</v>
      </c>
      <c r="M59" s="13">
        <f>ROUND(K59*I59*SQRT(L59/7),2)</f>
        <v>0.62</v>
      </c>
      <c r="N59" s="7">
        <f>ROUNDUP(H59*L59+M59,0)</f>
        <v>1</v>
      </c>
      <c r="O59" s="14">
        <v>0</v>
      </c>
      <c r="P59" s="7">
        <f>ROUNDUP(H59*(L59+PARAMETROS!$B$8)+M59,0)</f>
        <v>2</v>
      </c>
      <c r="Q59" s="7">
        <f>MAX(0,P59-O59)</f>
        <v>2</v>
      </c>
      <c r="R59" s="7">
        <f>ROUNDUP(H59*(L59+PARAMETROS!$B$9)+M59,0)</f>
        <v>2</v>
      </c>
      <c r="S59" s="7">
        <f>MAX(0,R59-O59)</f>
        <v>2</v>
      </c>
      <c r="T59" s="7">
        <f>ROUNDUP(H59*(L59+PARAMETROS!$B$10)+M59,0)</f>
        <v>3</v>
      </c>
      <c r="U59" s="7">
        <f>MAX(0,T59-O59)</f>
        <v>3</v>
      </c>
    </row>
    <row r="60" spans="1:21">
      <c r="A60" s="18" t="s">
        <v>240</v>
      </c>
      <c r="B60" s="18" t="s">
        <v>216</v>
      </c>
      <c r="C60" s="19">
        <v>2</v>
      </c>
      <c r="D60" s="19">
        <v>3</v>
      </c>
      <c r="E60" s="19">
        <v>1</v>
      </c>
      <c r="F60" s="19">
        <v>2</v>
      </c>
      <c r="G60" s="20">
        <v>0.3333333333333333</v>
      </c>
      <c r="H60" s="21">
        <v>0.0517</v>
      </c>
      <c r="I60" s="21">
        <v>0.744</v>
      </c>
      <c r="J60" s="18" t="s">
        <v>214</v>
      </c>
      <c r="K60" s="15">
        <f>IF(LEFT(J60,1)="X",PARAMETROS!$B$11,IF(LEFT(J60,1)="Y",PARAMETROS!$B$12,PARAMETROS!$B$13))</f>
        <v>0.84</v>
      </c>
      <c r="L60" s="14">
        <f>PARAMETROS!$B$7</f>
        <v>7</v>
      </c>
      <c r="M60" s="21">
        <f>ROUND(K60*I60*SQRT(L60/7),2)</f>
        <v>0.62</v>
      </c>
      <c r="N60" s="19">
        <f>ROUNDUP(H60*L60+M60,0)</f>
        <v>1</v>
      </c>
      <c r="O60" s="14">
        <v>0</v>
      </c>
      <c r="P60" s="19">
        <f>ROUNDUP(H60*(L60+PARAMETROS!$B$8)+M60,0)</f>
        <v>2</v>
      </c>
      <c r="Q60" s="19">
        <f>MAX(0,P60-O60)</f>
        <v>2</v>
      </c>
      <c r="R60" s="19">
        <f>ROUNDUP(H60*(L60+PARAMETROS!$B$9)+M60,0)</f>
        <v>2</v>
      </c>
      <c r="S60" s="19">
        <f>MAX(0,R60-O60)</f>
        <v>2</v>
      </c>
      <c r="T60" s="19">
        <f>ROUNDUP(H60*(L60+PARAMETROS!$B$10)+M60,0)</f>
        <v>3</v>
      </c>
      <c r="U60" s="19">
        <f>MAX(0,T60-O60)</f>
        <v>3</v>
      </c>
    </row>
    <row r="61" spans="1:21">
      <c r="A61" s="5" t="s">
        <v>239</v>
      </c>
      <c r="B61" s="5" t="s">
        <v>216</v>
      </c>
      <c r="C61" s="7">
        <v>2</v>
      </c>
      <c r="D61" s="7">
        <v>3</v>
      </c>
      <c r="E61" s="7">
        <v>2</v>
      </c>
      <c r="F61" s="7">
        <v>1</v>
      </c>
      <c r="G61" s="9">
        <v>0.6666666666666666</v>
      </c>
      <c r="H61" s="13">
        <v>0.0517</v>
      </c>
      <c r="I61" s="13">
        <v>0.744</v>
      </c>
      <c r="J61" s="5" t="s">
        <v>214</v>
      </c>
      <c r="K61" s="15">
        <f>IF(LEFT(J61,1)="X",PARAMETROS!$B$11,IF(LEFT(J61,1)="Y",PARAMETROS!$B$12,PARAMETROS!$B$13))</f>
        <v>0.84</v>
      </c>
      <c r="L61" s="14">
        <f>PARAMETROS!$B$7</f>
        <v>7</v>
      </c>
      <c r="M61" s="13">
        <f>ROUND(K61*I61*SQRT(L61/7),2)</f>
        <v>0.62</v>
      </c>
      <c r="N61" s="7">
        <f>ROUNDUP(H61*L61+M61,0)</f>
        <v>1</v>
      </c>
      <c r="O61" s="14">
        <v>0</v>
      </c>
      <c r="P61" s="7">
        <f>ROUNDUP(H61*(L61+PARAMETROS!$B$8)+M61,0)</f>
        <v>2</v>
      </c>
      <c r="Q61" s="7">
        <f>MAX(0,P61-O61)</f>
        <v>2</v>
      </c>
      <c r="R61" s="7">
        <f>ROUNDUP(H61*(L61+PARAMETROS!$B$9)+M61,0)</f>
        <v>2</v>
      </c>
      <c r="S61" s="7">
        <f>MAX(0,R61-O61)</f>
        <v>2</v>
      </c>
      <c r="T61" s="7">
        <f>ROUNDUP(H61*(L61+PARAMETROS!$B$10)+M61,0)</f>
        <v>3</v>
      </c>
      <c r="U61" s="7">
        <f>MAX(0,T61-O61)</f>
        <v>3</v>
      </c>
    </row>
    <row r="62" spans="1:21">
      <c r="A62" s="18" t="s">
        <v>282</v>
      </c>
      <c r="B62" s="18" t="s">
        <v>257</v>
      </c>
      <c r="C62" s="19">
        <v>2</v>
      </c>
      <c r="D62" s="19">
        <v>3</v>
      </c>
      <c r="E62" s="19">
        <v>3</v>
      </c>
      <c r="F62" s="19">
        <v>0</v>
      </c>
      <c r="G62" s="20">
        <v>1</v>
      </c>
      <c r="H62" s="21">
        <v>0.0517</v>
      </c>
      <c r="I62" s="21">
        <v>0.7071</v>
      </c>
      <c r="J62" s="18" t="s">
        <v>214</v>
      </c>
      <c r="K62" s="15">
        <f>IF(LEFT(J62,1)="X",PARAMETROS!$B$11,IF(LEFT(J62,1)="Y",PARAMETROS!$B$12,PARAMETROS!$B$13))</f>
        <v>0.84</v>
      </c>
      <c r="L62" s="14">
        <f>PARAMETROS!$B$7</f>
        <v>7</v>
      </c>
      <c r="M62" s="21">
        <f>ROUND(K62*I62*SQRT(L62/7),2)</f>
        <v>0.59</v>
      </c>
      <c r="N62" s="19">
        <f>ROUNDUP(H62*L62+M62,0)</f>
        <v>1</v>
      </c>
      <c r="O62" s="14">
        <v>0</v>
      </c>
      <c r="P62" s="19">
        <f>ROUNDUP(H62*(L62+PARAMETROS!$B$8)+M62,0)</f>
        <v>2</v>
      </c>
      <c r="Q62" s="19">
        <f>MAX(0,P62-O62)</f>
        <v>2</v>
      </c>
      <c r="R62" s="19">
        <f>ROUNDUP(H62*(L62+PARAMETROS!$B$9)+M62,0)</f>
        <v>2</v>
      </c>
      <c r="S62" s="19">
        <f>MAX(0,R62-O62)</f>
        <v>2</v>
      </c>
      <c r="T62" s="19">
        <f>ROUNDUP(H62*(L62+PARAMETROS!$B$10)+M62,0)</f>
        <v>3</v>
      </c>
      <c r="U62" s="19">
        <f>MAX(0,T62-O62)</f>
        <v>3</v>
      </c>
    </row>
    <row r="63" spans="1:21">
      <c r="A63" s="5" t="s">
        <v>263</v>
      </c>
      <c r="B63" s="5" t="s">
        <v>47</v>
      </c>
      <c r="C63" s="7">
        <v>2</v>
      </c>
      <c r="D63" s="7">
        <v>2</v>
      </c>
      <c r="E63" s="7">
        <v>2</v>
      </c>
      <c r="F63" s="7">
        <v>0</v>
      </c>
      <c r="G63" s="9">
        <v>1</v>
      </c>
      <c r="H63" s="13">
        <v>0.0345</v>
      </c>
      <c r="I63" s="13">
        <v>0.7071</v>
      </c>
      <c r="J63" s="5" t="s">
        <v>214</v>
      </c>
      <c r="K63" s="15">
        <f>IF(LEFT(J63,1)="X",PARAMETROS!$B$11,IF(LEFT(J63,1)="Y",PARAMETROS!$B$12,PARAMETROS!$B$13))</f>
        <v>0.84</v>
      </c>
      <c r="L63" s="14">
        <f>PARAMETROS!$B$7</f>
        <v>7</v>
      </c>
      <c r="M63" s="13">
        <f>ROUND(K63*I63*SQRT(L63/7),2)</f>
        <v>0.59</v>
      </c>
      <c r="N63" s="7">
        <f>ROUNDUP(H63*L63+M63,0)</f>
        <v>1</v>
      </c>
      <c r="O63" s="14">
        <v>0</v>
      </c>
      <c r="P63" s="7">
        <f>ROUNDUP(H63*(L63+PARAMETROS!$B$8)+M63,0)</f>
        <v>2</v>
      </c>
      <c r="Q63" s="7">
        <f>MAX(0,P63-O63)</f>
        <v>2</v>
      </c>
      <c r="R63" s="7">
        <f>ROUNDUP(H63*(L63+PARAMETROS!$B$9)+M63,0)</f>
        <v>2</v>
      </c>
      <c r="S63" s="7">
        <f>MAX(0,R63-O63)</f>
        <v>2</v>
      </c>
      <c r="T63" s="7">
        <f>ROUNDUP(H63*(L63+PARAMETROS!$B$10)+M63,0)</f>
        <v>2</v>
      </c>
      <c r="U63" s="7">
        <f>MAX(0,T63-O63)</f>
        <v>2</v>
      </c>
    </row>
    <row r="64" spans="1:21">
      <c r="A64" s="18" t="s">
        <v>283</v>
      </c>
      <c r="B64" s="18" t="s">
        <v>40</v>
      </c>
      <c r="C64" s="19">
        <v>1</v>
      </c>
      <c r="D64" s="19">
        <v>2</v>
      </c>
      <c r="E64" s="19">
        <v>2</v>
      </c>
      <c r="F64" s="19">
        <v>0</v>
      </c>
      <c r="G64" s="20">
        <v>1</v>
      </c>
      <c r="H64" s="21">
        <v>0.0345</v>
      </c>
      <c r="I64" s="21">
        <v>0.7071</v>
      </c>
      <c r="J64" s="18" t="s">
        <v>214</v>
      </c>
      <c r="K64" s="15">
        <f>IF(LEFT(J64,1)="X",PARAMETROS!$B$11,IF(LEFT(J64,1)="Y",PARAMETROS!$B$12,PARAMETROS!$B$13))</f>
        <v>0.84</v>
      </c>
      <c r="L64" s="14">
        <f>PARAMETROS!$B$7</f>
        <v>7</v>
      </c>
      <c r="M64" s="21">
        <f>ROUND(K64*I64*SQRT(L64/7),2)</f>
        <v>0.59</v>
      </c>
      <c r="N64" s="19">
        <f>ROUNDUP(H64*L64+M64,0)</f>
        <v>1</v>
      </c>
      <c r="O64" s="14">
        <v>0</v>
      </c>
      <c r="P64" s="19">
        <f>ROUNDUP(H64*(L64+PARAMETROS!$B$8)+M64,0)</f>
        <v>2</v>
      </c>
      <c r="Q64" s="19">
        <f>MAX(0,P64-O64)</f>
        <v>2</v>
      </c>
      <c r="R64" s="19">
        <f>ROUNDUP(H64*(L64+PARAMETROS!$B$9)+M64,0)</f>
        <v>2</v>
      </c>
      <c r="S64" s="19">
        <f>MAX(0,R64-O64)</f>
        <v>2</v>
      </c>
      <c r="T64" s="19">
        <f>ROUNDUP(H64*(L64+PARAMETROS!$B$10)+M64,0)</f>
        <v>2</v>
      </c>
      <c r="U64" s="19">
        <f>MAX(0,T64-O64)</f>
        <v>2</v>
      </c>
    </row>
    <row r="65" spans="1:21">
      <c r="A65" s="5" t="s">
        <v>284</v>
      </c>
      <c r="B65" s="5" t="s">
        <v>216</v>
      </c>
      <c r="C65" s="7">
        <v>1</v>
      </c>
      <c r="D65" s="7">
        <v>2</v>
      </c>
      <c r="E65" s="7">
        <v>0</v>
      </c>
      <c r="F65" s="7">
        <v>2</v>
      </c>
      <c r="G65" s="9">
        <v>0</v>
      </c>
      <c r="H65" s="13">
        <v>0.0345</v>
      </c>
      <c r="I65" s="13">
        <v>0.7071</v>
      </c>
      <c r="J65" s="5" t="s">
        <v>214</v>
      </c>
      <c r="K65" s="15">
        <f>IF(LEFT(J65,1)="X",PARAMETROS!$B$11,IF(LEFT(J65,1)="Y",PARAMETROS!$B$12,PARAMETROS!$B$13))</f>
        <v>0.84</v>
      </c>
      <c r="L65" s="14">
        <f>PARAMETROS!$B$7</f>
        <v>7</v>
      </c>
      <c r="M65" s="13">
        <f>ROUND(K65*I65*SQRT(L65/7),2)</f>
        <v>0.59</v>
      </c>
      <c r="N65" s="7">
        <f>ROUNDUP(H65*L65+M65,0)</f>
        <v>1</v>
      </c>
      <c r="O65" s="14">
        <v>0</v>
      </c>
      <c r="P65" s="7">
        <f>ROUNDUP(H65*(L65+PARAMETROS!$B$8)+M65,0)</f>
        <v>2</v>
      </c>
      <c r="Q65" s="7">
        <f>MAX(0,P65-O65)</f>
        <v>2</v>
      </c>
      <c r="R65" s="7">
        <f>ROUNDUP(H65*(L65+PARAMETROS!$B$9)+M65,0)</f>
        <v>2</v>
      </c>
      <c r="S65" s="7">
        <f>MAX(0,R65-O65)</f>
        <v>2</v>
      </c>
      <c r="T65" s="7">
        <f>ROUNDUP(H65*(L65+PARAMETROS!$B$10)+M65,0)</f>
        <v>2</v>
      </c>
      <c r="U65" s="7">
        <f>MAX(0,T65-O65)</f>
        <v>2</v>
      </c>
    </row>
    <row r="66" spans="1:21">
      <c r="A66" s="18" t="s">
        <v>285</v>
      </c>
      <c r="B66" s="18" t="s">
        <v>40</v>
      </c>
      <c r="C66" s="19">
        <v>2</v>
      </c>
      <c r="D66" s="19">
        <v>2</v>
      </c>
      <c r="E66" s="19">
        <v>2</v>
      </c>
      <c r="F66" s="19">
        <v>0</v>
      </c>
      <c r="G66" s="20">
        <v>1</v>
      </c>
      <c r="H66" s="21">
        <v>0.0345</v>
      </c>
      <c r="I66" s="21">
        <v>0</v>
      </c>
      <c r="J66" s="18" t="s">
        <v>214</v>
      </c>
      <c r="K66" s="15">
        <f>IF(LEFT(J66,1)="X",PARAMETROS!$B$11,IF(LEFT(J66,1)="Y",PARAMETROS!$B$12,PARAMETROS!$B$13))</f>
        <v>0.84</v>
      </c>
      <c r="L66" s="14">
        <f>PARAMETROS!$B$7</f>
        <v>7</v>
      </c>
      <c r="M66" s="21">
        <f>ROUND(K66*I66*SQRT(L66/7),2)</f>
        <v>0.0</v>
      </c>
      <c r="N66" s="19">
        <f>ROUNDUP(H66*L66+M66,0)</f>
        <v>1</v>
      </c>
      <c r="O66" s="14">
        <v>0</v>
      </c>
      <c r="P66" s="19">
        <f>ROUNDUP(H66*(L66+PARAMETROS!$B$8)+M66,0)</f>
        <v>1</v>
      </c>
      <c r="Q66" s="19">
        <f>MAX(0,P66-O66)</f>
        <v>1</v>
      </c>
      <c r="R66" s="19">
        <f>ROUNDUP(H66*(L66+PARAMETROS!$B$9)+M66,0)</f>
        <v>1</v>
      </c>
      <c r="S66" s="19">
        <f>MAX(0,R66-O66)</f>
        <v>1</v>
      </c>
      <c r="T66" s="19">
        <f>ROUNDUP(H66*(L66+PARAMETROS!$B$10)+M66,0)</f>
        <v>2</v>
      </c>
      <c r="U66" s="19">
        <f>MAX(0,T66-O66)</f>
        <v>2</v>
      </c>
    </row>
    <row r="67" spans="1:21">
      <c r="A67" s="5" t="s">
        <v>286</v>
      </c>
      <c r="B67" s="5" t="s">
        <v>216</v>
      </c>
      <c r="C67" s="7">
        <v>1</v>
      </c>
      <c r="D67" s="7">
        <v>2</v>
      </c>
      <c r="E67" s="7">
        <v>2</v>
      </c>
      <c r="F67" s="7">
        <v>0</v>
      </c>
      <c r="G67" s="9">
        <v>1</v>
      </c>
      <c r="H67" s="13">
        <v>0.0345</v>
      </c>
      <c r="I67" s="13">
        <v>0.7071</v>
      </c>
      <c r="J67" s="5" t="s">
        <v>214</v>
      </c>
      <c r="K67" s="15">
        <f>IF(LEFT(J67,1)="X",PARAMETROS!$B$11,IF(LEFT(J67,1)="Y",PARAMETROS!$B$12,PARAMETROS!$B$13))</f>
        <v>0.84</v>
      </c>
      <c r="L67" s="14">
        <f>PARAMETROS!$B$7</f>
        <v>7</v>
      </c>
      <c r="M67" s="13">
        <f>ROUND(K67*I67*SQRT(L67/7),2)</f>
        <v>0.59</v>
      </c>
      <c r="N67" s="7">
        <f>ROUNDUP(H67*L67+M67,0)</f>
        <v>1</v>
      </c>
      <c r="O67" s="14">
        <v>0</v>
      </c>
      <c r="P67" s="7">
        <f>ROUNDUP(H67*(L67+PARAMETROS!$B$8)+M67,0)</f>
        <v>2</v>
      </c>
      <c r="Q67" s="7">
        <f>MAX(0,P67-O67)</f>
        <v>2</v>
      </c>
      <c r="R67" s="7">
        <f>ROUNDUP(H67*(L67+PARAMETROS!$B$9)+M67,0)</f>
        <v>2</v>
      </c>
      <c r="S67" s="7">
        <f>MAX(0,R67-O67)</f>
        <v>2</v>
      </c>
      <c r="T67" s="7">
        <f>ROUNDUP(H67*(L67+PARAMETROS!$B$10)+M67,0)</f>
        <v>2</v>
      </c>
      <c r="U67" s="7">
        <f>MAX(0,T67-O67)</f>
        <v>2</v>
      </c>
    </row>
    <row r="68" spans="1:21">
      <c r="A68" s="18" t="s">
        <v>287</v>
      </c>
      <c r="B68" s="18" t="s">
        <v>216</v>
      </c>
      <c r="C68" s="19">
        <v>1</v>
      </c>
      <c r="D68" s="19">
        <v>2</v>
      </c>
      <c r="E68" s="19">
        <v>0</v>
      </c>
      <c r="F68" s="19">
        <v>2</v>
      </c>
      <c r="G68" s="20">
        <v>0</v>
      </c>
      <c r="H68" s="21">
        <v>0.0345</v>
      </c>
      <c r="I68" s="21">
        <v>0</v>
      </c>
      <c r="J68" s="18" t="s">
        <v>214</v>
      </c>
      <c r="K68" s="15">
        <f>IF(LEFT(J68,1)="X",PARAMETROS!$B$11,IF(LEFT(J68,1)="Y",PARAMETROS!$B$12,PARAMETROS!$B$13))</f>
        <v>0.84</v>
      </c>
      <c r="L68" s="14">
        <f>PARAMETROS!$B$7</f>
        <v>7</v>
      </c>
      <c r="M68" s="21">
        <f>ROUND(K68*I68*SQRT(L68/7),2)</f>
        <v>0.0</v>
      </c>
      <c r="N68" s="19">
        <f>ROUNDUP(H68*L68+M68,0)</f>
        <v>1</v>
      </c>
      <c r="O68" s="14">
        <v>0</v>
      </c>
      <c r="P68" s="19">
        <f>ROUNDUP(H68*(L68+PARAMETROS!$B$8)+M68,0)</f>
        <v>1</v>
      </c>
      <c r="Q68" s="19">
        <f>MAX(0,P68-O68)</f>
        <v>1</v>
      </c>
      <c r="R68" s="19">
        <f>ROUNDUP(H68*(L68+PARAMETROS!$B$9)+M68,0)</f>
        <v>1</v>
      </c>
      <c r="S68" s="19">
        <f>MAX(0,R68-O68)</f>
        <v>1</v>
      </c>
      <c r="T68" s="19">
        <f>ROUNDUP(H68*(L68+PARAMETROS!$B$10)+M68,0)</f>
        <v>2</v>
      </c>
      <c r="U68" s="19">
        <f>MAX(0,T68-O68)</f>
        <v>2</v>
      </c>
    </row>
    <row r="69" spans="1:21">
      <c r="A69" s="5" t="s">
        <v>288</v>
      </c>
      <c r="B69" s="5" t="s">
        <v>216</v>
      </c>
      <c r="C69" s="7">
        <v>1</v>
      </c>
      <c r="D69" s="7">
        <v>2</v>
      </c>
      <c r="E69" s="7">
        <v>0</v>
      </c>
      <c r="F69" s="7">
        <v>2</v>
      </c>
      <c r="G69" s="9">
        <v>0</v>
      </c>
      <c r="H69" s="13">
        <v>0.0345</v>
      </c>
      <c r="I69" s="13">
        <v>0.7071</v>
      </c>
      <c r="J69" s="5" t="s">
        <v>214</v>
      </c>
      <c r="K69" s="15">
        <f>IF(LEFT(J69,1)="X",PARAMETROS!$B$11,IF(LEFT(J69,1)="Y",PARAMETROS!$B$12,PARAMETROS!$B$13))</f>
        <v>0.84</v>
      </c>
      <c r="L69" s="14">
        <f>PARAMETROS!$B$7</f>
        <v>7</v>
      </c>
      <c r="M69" s="13">
        <f>ROUND(K69*I69*SQRT(L69/7),2)</f>
        <v>0.59</v>
      </c>
      <c r="N69" s="7">
        <f>ROUNDUP(H69*L69+M69,0)</f>
        <v>1</v>
      </c>
      <c r="O69" s="14">
        <v>0</v>
      </c>
      <c r="P69" s="7">
        <f>ROUNDUP(H69*(L69+PARAMETROS!$B$8)+M69,0)</f>
        <v>2</v>
      </c>
      <c r="Q69" s="7">
        <f>MAX(0,P69-O69)</f>
        <v>2</v>
      </c>
      <c r="R69" s="7">
        <f>ROUNDUP(H69*(L69+PARAMETROS!$B$9)+M69,0)</f>
        <v>2</v>
      </c>
      <c r="S69" s="7">
        <f>MAX(0,R69-O69)</f>
        <v>2</v>
      </c>
      <c r="T69" s="7">
        <f>ROUNDUP(H69*(L69+PARAMETROS!$B$10)+M69,0)</f>
        <v>2</v>
      </c>
      <c r="U69" s="7">
        <f>MAX(0,T69-O69)</f>
        <v>2</v>
      </c>
    </row>
    <row r="70" spans="1:21">
      <c r="A70" s="18" t="s">
        <v>289</v>
      </c>
      <c r="B70" s="18" t="s">
        <v>219</v>
      </c>
      <c r="C70" s="19">
        <v>1</v>
      </c>
      <c r="D70" s="19">
        <v>1</v>
      </c>
      <c r="E70" s="19">
        <v>1</v>
      </c>
      <c r="F70" s="19">
        <v>0</v>
      </c>
      <c r="G70" s="20">
        <v>1</v>
      </c>
      <c r="H70" s="21">
        <v>0.0172</v>
      </c>
      <c r="I70" s="21">
        <v>0.3536</v>
      </c>
      <c r="J70" s="18" t="s">
        <v>214</v>
      </c>
      <c r="K70" s="15">
        <f>IF(LEFT(J70,1)="X",PARAMETROS!$B$11,IF(LEFT(J70,1)="Y",PARAMETROS!$B$12,PARAMETROS!$B$13))</f>
        <v>0.84</v>
      </c>
      <c r="L70" s="14">
        <f>PARAMETROS!$B$7</f>
        <v>7</v>
      </c>
      <c r="M70" s="21">
        <f>ROUND(K70*I70*SQRT(L70/7),2)</f>
        <v>0.3</v>
      </c>
      <c r="N70" s="19">
        <f>ROUNDUP(H70*L70+M70,0)</f>
        <v>1</v>
      </c>
      <c r="O70" s="14">
        <v>0</v>
      </c>
      <c r="P70" s="19">
        <f>ROUNDUP(H70*(L70+PARAMETROS!$B$8)+M70,0)</f>
        <v>1</v>
      </c>
      <c r="Q70" s="19">
        <f>MAX(0,P70-O70)</f>
        <v>1</v>
      </c>
      <c r="R70" s="19">
        <f>ROUNDUP(H70*(L70+PARAMETROS!$B$9)+M70,0)</f>
        <v>1</v>
      </c>
      <c r="S70" s="19">
        <f>MAX(0,R70-O70)</f>
        <v>1</v>
      </c>
      <c r="T70" s="19">
        <f>ROUNDUP(H70*(L70+PARAMETROS!$B$10)+M70,0)</f>
        <v>1</v>
      </c>
      <c r="U70" s="19">
        <f>MAX(0,T70-O70)</f>
        <v>1</v>
      </c>
    </row>
    <row r="71" spans="1:21">
      <c r="A71" s="5" t="s">
        <v>290</v>
      </c>
      <c r="B71" s="5" t="s">
        <v>219</v>
      </c>
      <c r="C71" s="7">
        <v>1</v>
      </c>
      <c r="D71" s="7">
        <v>1</v>
      </c>
      <c r="E71" s="7">
        <v>1</v>
      </c>
      <c r="F71" s="7">
        <v>0</v>
      </c>
      <c r="G71" s="9">
        <v>1</v>
      </c>
      <c r="H71" s="13">
        <v>0.0172</v>
      </c>
      <c r="I71" s="13">
        <v>0.3536</v>
      </c>
      <c r="J71" s="5" t="s">
        <v>214</v>
      </c>
      <c r="K71" s="15">
        <f>IF(LEFT(J71,1)="X",PARAMETROS!$B$11,IF(LEFT(J71,1)="Y",PARAMETROS!$B$12,PARAMETROS!$B$13))</f>
        <v>0.84</v>
      </c>
      <c r="L71" s="14">
        <f>PARAMETROS!$B$7</f>
        <v>7</v>
      </c>
      <c r="M71" s="13">
        <f>ROUND(K71*I71*SQRT(L71/7),2)</f>
        <v>0.3</v>
      </c>
      <c r="N71" s="7">
        <f>ROUNDUP(H71*L71+M71,0)</f>
        <v>1</v>
      </c>
      <c r="O71" s="14">
        <v>0</v>
      </c>
      <c r="P71" s="7">
        <f>ROUNDUP(H71*(L71+PARAMETROS!$B$8)+M71,0)</f>
        <v>1</v>
      </c>
      <c r="Q71" s="7">
        <f>MAX(0,P71-O71)</f>
        <v>1</v>
      </c>
      <c r="R71" s="7">
        <f>ROUNDUP(H71*(L71+PARAMETROS!$B$9)+M71,0)</f>
        <v>1</v>
      </c>
      <c r="S71" s="7">
        <f>MAX(0,R71-O71)</f>
        <v>1</v>
      </c>
      <c r="T71" s="7">
        <f>ROUNDUP(H71*(L71+PARAMETROS!$B$10)+M71,0)</f>
        <v>1</v>
      </c>
      <c r="U71" s="7">
        <f>MAX(0,T71-O71)</f>
        <v>1</v>
      </c>
    </row>
    <row r="72" spans="1:21">
      <c r="A72" s="18" t="s">
        <v>291</v>
      </c>
      <c r="B72" s="18" t="s">
        <v>216</v>
      </c>
      <c r="C72" s="19">
        <v>1</v>
      </c>
      <c r="D72" s="19">
        <v>1</v>
      </c>
      <c r="E72" s="19">
        <v>1</v>
      </c>
      <c r="F72" s="19">
        <v>0</v>
      </c>
      <c r="G72" s="20">
        <v>1</v>
      </c>
      <c r="H72" s="21">
        <v>0.0172</v>
      </c>
      <c r="I72" s="21">
        <v>0.3536</v>
      </c>
      <c r="J72" s="18" t="s">
        <v>214</v>
      </c>
      <c r="K72" s="15">
        <f>IF(LEFT(J72,1)="X",PARAMETROS!$B$11,IF(LEFT(J72,1)="Y",PARAMETROS!$B$12,PARAMETROS!$B$13))</f>
        <v>0.84</v>
      </c>
      <c r="L72" s="14">
        <f>PARAMETROS!$B$7</f>
        <v>7</v>
      </c>
      <c r="M72" s="21">
        <f>ROUND(K72*I72*SQRT(L72/7),2)</f>
        <v>0.3</v>
      </c>
      <c r="N72" s="19">
        <f>ROUNDUP(H72*L72+M72,0)</f>
        <v>1</v>
      </c>
      <c r="O72" s="14">
        <v>0</v>
      </c>
      <c r="P72" s="19">
        <f>ROUNDUP(H72*(L72+PARAMETROS!$B$8)+M72,0)</f>
        <v>1</v>
      </c>
      <c r="Q72" s="19">
        <f>MAX(0,P72-O72)</f>
        <v>1</v>
      </c>
      <c r="R72" s="19">
        <f>ROUNDUP(H72*(L72+PARAMETROS!$B$9)+M72,0)</f>
        <v>1</v>
      </c>
      <c r="S72" s="19">
        <f>MAX(0,R72-O72)</f>
        <v>1</v>
      </c>
      <c r="T72" s="19">
        <f>ROUNDUP(H72*(L72+PARAMETROS!$B$10)+M72,0)</f>
        <v>1</v>
      </c>
      <c r="U72" s="19">
        <f>MAX(0,T72-O72)</f>
        <v>1</v>
      </c>
    </row>
    <row r="73" spans="1:21">
      <c r="A73" s="5" t="s">
        <v>292</v>
      </c>
      <c r="B73" s="5" t="s">
        <v>40</v>
      </c>
      <c r="C73" s="7">
        <v>1</v>
      </c>
      <c r="D73" s="7">
        <v>1</v>
      </c>
      <c r="E73" s="7">
        <v>1</v>
      </c>
      <c r="F73" s="7">
        <v>0</v>
      </c>
      <c r="G73" s="9">
        <v>1</v>
      </c>
      <c r="H73" s="13">
        <v>0.0172</v>
      </c>
      <c r="I73" s="13">
        <v>0</v>
      </c>
      <c r="J73" s="5" t="s">
        <v>214</v>
      </c>
      <c r="K73" s="15">
        <f>IF(LEFT(J73,1)="X",PARAMETROS!$B$11,IF(LEFT(J73,1)="Y",PARAMETROS!$B$12,PARAMETROS!$B$13))</f>
        <v>0.84</v>
      </c>
      <c r="L73" s="14">
        <f>PARAMETROS!$B$7</f>
        <v>7</v>
      </c>
      <c r="M73" s="13">
        <f>ROUND(K73*I73*SQRT(L73/7),2)</f>
        <v>0.0</v>
      </c>
      <c r="N73" s="7">
        <f>ROUNDUP(H73*L73+M73,0)</f>
        <v>1</v>
      </c>
      <c r="O73" s="14">
        <v>0</v>
      </c>
      <c r="P73" s="7">
        <f>ROUNDUP(H73*(L73+PARAMETROS!$B$8)+M73,0)</f>
        <v>1</v>
      </c>
      <c r="Q73" s="7">
        <f>MAX(0,P73-O73)</f>
        <v>1</v>
      </c>
      <c r="R73" s="7">
        <f>ROUNDUP(H73*(L73+PARAMETROS!$B$9)+M73,0)</f>
        <v>1</v>
      </c>
      <c r="S73" s="7">
        <f>MAX(0,R73-O73)</f>
        <v>1</v>
      </c>
      <c r="T73" s="7">
        <f>ROUNDUP(H73*(L73+PARAMETROS!$B$10)+M73,0)</f>
        <v>1</v>
      </c>
      <c r="U73" s="7">
        <f>MAX(0,T73-O73)</f>
        <v>1</v>
      </c>
    </row>
    <row r="74" spans="1:21">
      <c r="A74" s="18" t="s">
        <v>293</v>
      </c>
      <c r="B74" s="18" t="s">
        <v>47</v>
      </c>
      <c r="C74" s="19">
        <v>1</v>
      </c>
      <c r="D74" s="19">
        <v>1</v>
      </c>
      <c r="E74" s="19">
        <v>1</v>
      </c>
      <c r="F74" s="19">
        <v>0</v>
      </c>
      <c r="G74" s="20">
        <v>1</v>
      </c>
      <c r="H74" s="21">
        <v>0.0172</v>
      </c>
      <c r="I74" s="21">
        <v>0.3536</v>
      </c>
      <c r="J74" s="18" t="s">
        <v>214</v>
      </c>
      <c r="K74" s="15">
        <f>IF(LEFT(J74,1)="X",PARAMETROS!$B$11,IF(LEFT(J74,1)="Y",PARAMETROS!$B$12,PARAMETROS!$B$13))</f>
        <v>0.84</v>
      </c>
      <c r="L74" s="14">
        <f>PARAMETROS!$B$7</f>
        <v>7</v>
      </c>
      <c r="M74" s="21">
        <f>ROUND(K74*I74*SQRT(L74/7),2)</f>
        <v>0.3</v>
      </c>
      <c r="N74" s="19">
        <f>ROUNDUP(H74*L74+M74,0)</f>
        <v>1</v>
      </c>
      <c r="O74" s="14">
        <v>0</v>
      </c>
      <c r="P74" s="19">
        <f>ROUNDUP(H74*(L74+PARAMETROS!$B$8)+M74,0)</f>
        <v>1</v>
      </c>
      <c r="Q74" s="19">
        <f>MAX(0,P74-O74)</f>
        <v>1</v>
      </c>
      <c r="R74" s="19">
        <f>ROUNDUP(H74*(L74+PARAMETROS!$B$9)+M74,0)</f>
        <v>1</v>
      </c>
      <c r="S74" s="19">
        <f>MAX(0,R74-O74)</f>
        <v>1</v>
      </c>
      <c r="T74" s="19">
        <f>ROUNDUP(H74*(L74+PARAMETROS!$B$10)+M74,0)</f>
        <v>1</v>
      </c>
      <c r="U74" s="19">
        <f>MAX(0,T74-O74)</f>
        <v>1</v>
      </c>
    </row>
    <row r="75" spans="1:21">
      <c r="A75" s="5" t="s">
        <v>294</v>
      </c>
      <c r="B75" s="5" t="s">
        <v>40</v>
      </c>
      <c r="C75" s="7">
        <v>1</v>
      </c>
      <c r="D75" s="7">
        <v>1</v>
      </c>
      <c r="E75" s="7">
        <v>1</v>
      </c>
      <c r="F75" s="7">
        <v>0</v>
      </c>
      <c r="G75" s="9">
        <v>1</v>
      </c>
      <c r="H75" s="13">
        <v>0.0172</v>
      </c>
      <c r="I75" s="13">
        <v>0</v>
      </c>
      <c r="J75" s="5" t="s">
        <v>214</v>
      </c>
      <c r="K75" s="15">
        <f>IF(LEFT(J75,1)="X",PARAMETROS!$B$11,IF(LEFT(J75,1)="Y",PARAMETROS!$B$12,PARAMETROS!$B$13))</f>
        <v>0.84</v>
      </c>
      <c r="L75" s="14">
        <f>PARAMETROS!$B$7</f>
        <v>7</v>
      </c>
      <c r="M75" s="13">
        <f>ROUND(K75*I75*SQRT(L75/7),2)</f>
        <v>0.0</v>
      </c>
      <c r="N75" s="7">
        <f>ROUNDUP(H75*L75+M75,0)</f>
        <v>1</v>
      </c>
      <c r="O75" s="14">
        <v>0</v>
      </c>
      <c r="P75" s="7">
        <f>ROUNDUP(H75*(L75+PARAMETROS!$B$8)+M75,0)</f>
        <v>1</v>
      </c>
      <c r="Q75" s="7">
        <f>MAX(0,P75-O75)</f>
        <v>1</v>
      </c>
      <c r="R75" s="7">
        <f>ROUNDUP(H75*(L75+PARAMETROS!$B$9)+M75,0)</f>
        <v>1</v>
      </c>
      <c r="S75" s="7">
        <f>MAX(0,R75-O75)</f>
        <v>1</v>
      </c>
      <c r="T75" s="7">
        <f>ROUNDUP(H75*(L75+PARAMETROS!$B$10)+M75,0)</f>
        <v>1</v>
      </c>
      <c r="U75" s="7">
        <f>MAX(0,T75-O75)</f>
        <v>1</v>
      </c>
    </row>
    <row r="76" spans="1:21">
      <c r="A76" s="18" t="s">
        <v>295</v>
      </c>
      <c r="B76" s="18" t="s">
        <v>40</v>
      </c>
      <c r="C76" s="19">
        <v>1</v>
      </c>
      <c r="D76" s="19">
        <v>1</v>
      </c>
      <c r="E76" s="19">
        <v>1</v>
      </c>
      <c r="F76" s="19">
        <v>0</v>
      </c>
      <c r="G76" s="20">
        <v>1</v>
      </c>
      <c r="H76" s="21">
        <v>0.0172</v>
      </c>
      <c r="I76" s="21">
        <v>0</v>
      </c>
      <c r="J76" s="18" t="s">
        <v>214</v>
      </c>
      <c r="K76" s="15">
        <f>IF(LEFT(J76,1)="X",PARAMETROS!$B$11,IF(LEFT(J76,1)="Y",PARAMETROS!$B$12,PARAMETROS!$B$13))</f>
        <v>0.84</v>
      </c>
      <c r="L76" s="14">
        <f>PARAMETROS!$B$7</f>
        <v>7</v>
      </c>
      <c r="M76" s="21">
        <f>ROUND(K76*I76*SQRT(L76/7),2)</f>
        <v>0.0</v>
      </c>
      <c r="N76" s="19">
        <f>ROUNDUP(H76*L76+M76,0)</f>
        <v>1</v>
      </c>
      <c r="O76" s="14">
        <v>0</v>
      </c>
      <c r="P76" s="19">
        <f>ROUNDUP(H76*(L76+PARAMETROS!$B$8)+M76,0)</f>
        <v>1</v>
      </c>
      <c r="Q76" s="19">
        <f>MAX(0,P76-O76)</f>
        <v>1</v>
      </c>
      <c r="R76" s="19">
        <f>ROUNDUP(H76*(L76+PARAMETROS!$B$9)+M76,0)</f>
        <v>1</v>
      </c>
      <c r="S76" s="19">
        <f>MAX(0,R76-O76)</f>
        <v>1</v>
      </c>
      <c r="T76" s="19">
        <f>ROUNDUP(H76*(L76+PARAMETROS!$B$10)+M76,0)</f>
        <v>1</v>
      </c>
      <c r="U76" s="19">
        <f>MAX(0,T76-O76)</f>
        <v>1</v>
      </c>
    </row>
    <row r="77" spans="1:21">
      <c r="A77" s="5" t="s">
        <v>296</v>
      </c>
      <c r="B77" s="5" t="s">
        <v>47</v>
      </c>
      <c r="C77" s="7">
        <v>1</v>
      </c>
      <c r="D77" s="7">
        <v>1</v>
      </c>
      <c r="E77" s="7">
        <v>1</v>
      </c>
      <c r="F77" s="7">
        <v>0</v>
      </c>
      <c r="G77" s="9">
        <v>1</v>
      </c>
      <c r="H77" s="13">
        <v>0.0172</v>
      </c>
      <c r="I77" s="13">
        <v>0.3536</v>
      </c>
      <c r="J77" s="5" t="s">
        <v>214</v>
      </c>
      <c r="K77" s="15">
        <f>IF(LEFT(J77,1)="X",PARAMETROS!$B$11,IF(LEFT(J77,1)="Y",PARAMETROS!$B$12,PARAMETROS!$B$13))</f>
        <v>0.84</v>
      </c>
      <c r="L77" s="14">
        <f>PARAMETROS!$B$7</f>
        <v>7</v>
      </c>
      <c r="M77" s="13">
        <f>ROUND(K77*I77*SQRT(L77/7),2)</f>
        <v>0.3</v>
      </c>
      <c r="N77" s="7">
        <f>ROUNDUP(H77*L77+M77,0)</f>
        <v>1</v>
      </c>
      <c r="O77" s="14">
        <v>0</v>
      </c>
      <c r="P77" s="7">
        <f>ROUNDUP(H77*(L77+PARAMETROS!$B$8)+M77,0)</f>
        <v>1</v>
      </c>
      <c r="Q77" s="7">
        <f>MAX(0,P77-O77)</f>
        <v>1</v>
      </c>
      <c r="R77" s="7">
        <f>ROUNDUP(H77*(L77+PARAMETROS!$B$9)+M77,0)</f>
        <v>1</v>
      </c>
      <c r="S77" s="7">
        <f>MAX(0,R77-O77)</f>
        <v>1</v>
      </c>
      <c r="T77" s="7">
        <f>ROUNDUP(H77*(L77+PARAMETROS!$B$10)+M77,0)</f>
        <v>1</v>
      </c>
      <c r="U77" s="7">
        <f>MAX(0,T77-O77)</f>
        <v>1</v>
      </c>
    </row>
    <row r="78" spans="1:21">
      <c r="A78" s="18" t="s">
        <v>256</v>
      </c>
      <c r="B78" s="18" t="s">
        <v>257</v>
      </c>
      <c r="C78" s="19">
        <v>1</v>
      </c>
      <c r="D78" s="19">
        <v>1</v>
      </c>
      <c r="E78" s="19">
        <v>1</v>
      </c>
      <c r="F78" s="19">
        <v>0</v>
      </c>
      <c r="G78" s="20">
        <v>1</v>
      </c>
      <c r="H78" s="21">
        <v>0.0172</v>
      </c>
      <c r="I78" s="21">
        <v>0.3536</v>
      </c>
      <c r="J78" s="18" t="s">
        <v>214</v>
      </c>
      <c r="K78" s="15">
        <f>IF(LEFT(J78,1)="X",PARAMETROS!$B$11,IF(LEFT(J78,1)="Y",PARAMETROS!$B$12,PARAMETROS!$B$13))</f>
        <v>0.84</v>
      </c>
      <c r="L78" s="14">
        <f>PARAMETROS!$B$7</f>
        <v>7</v>
      </c>
      <c r="M78" s="21">
        <f>ROUND(K78*I78*SQRT(L78/7),2)</f>
        <v>0.3</v>
      </c>
      <c r="N78" s="19">
        <f>ROUNDUP(H78*L78+M78,0)</f>
        <v>1</v>
      </c>
      <c r="O78" s="14">
        <v>0</v>
      </c>
      <c r="P78" s="19">
        <f>ROUNDUP(H78*(L78+PARAMETROS!$B$8)+M78,0)</f>
        <v>1</v>
      </c>
      <c r="Q78" s="19">
        <f>MAX(0,P78-O78)</f>
        <v>1</v>
      </c>
      <c r="R78" s="19">
        <f>ROUNDUP(H78*(L78+PARAMETROS!$B$9)+M78,0)</f>
        <v>1</v>
      </c>
      <c r="S78" s="19">
        <f>MAX(0,R78-O78)</f>
        <v>1</v>
      </c>
      <c r="T78" s="19">
        <f>ROUNDUP(H78*(L78+PARAMETROS!$B$10)+M78,0)</f>
        <v>1</v>
      </c>
      <c r="U78" s="19">
        <f>MAX(0,T78-O78)</f>
        <v>1</v>
      </c>
    </row>
    <row r="79" spans="1:21">
      <c r="A79" s="5" t="s">
        <v>253</v>
      </c>
      <c r="B79" s="5" t="s">
        <v>216</v>
      </c>
      <c r="C79" s="7">
        <v>1</v>
      </c>
      <c r="D79" s="7">
        <v>1</v>
      </c>
      <c r="E79" s="7">
        <v>1</v>
      </c>
      <c r="F79" s="7">
        <v>0</v>
      </c>
      <c r="G79" s="9">
        <v>1</v>
      </c>
      <c r="H79" s="13">
        <v>0.0172</v>
      </c>
      <c r="I79" s="13">
        <v>0.3536</v>
      </c>
      <c r="J79" s="5" t="s">
        <v>214</v>
      </c>
      <c r="K79" s="15">
        <f>IF(LEFT(J79,1)="X",PARAMETROS!$B$11,IF(LEFT(J79,1)="Y",PARAMETROS!$B$12,PARAMETROS!$B$13))</f>
        <v>0.84</v>
      </c>
      <c r="L79" s="14">
        <f>PARAMETROS!$B$7</f>
        <v>7</v>
      </c>
      <c r="M79" s="13">
        <f>ROUND(K79*I79*SQRT(L79/7),2)</f>
        <v>0.3</v>
      </c>
      <c r="N79" s="7">
        <f>ROUNDUP(H79*L79+M79,0)</f>
        <v>1</v>
      </c>
      <c r="O79" s="14">
        <v>0</v>
      </c>
      <c r="P79" s="7">
        <f>ROUNDUP(H79*(L79+PARAMETROS!$B$8)+M79,0)</f>
        <v>1</v>
      </c>
      <c r="Q79" s="7">
        <f>MAX(0,P79-O79)</f>
        <v>1</v>
      </c>
      <c r="R79" s="7">
        <f>ROUNDUP(H79*(L79+PARAMETROS!$B$9)+M79,0)</f>
        <v>1</v>
      </c>
      <c r="S79" s="7">
        <f>MAX(0,R79-O79)</f>
        <v>1</v>
      </c>
      <c r="T79" s="7">
        <f>ROUNDUP(H79*(L79+PARAMETROS!$B$10)+M79,0)</f>
        <v>1</v>
      </c>
      <c r="U79" s="7">
        <f>MAX(0,T79-O79)</f>
        <v>1</v>
      </c>
    </row>
    <row r="80" spans="1:21">
      <c r="A80" s="18" t="s">
        <v>246</v>
      </c>
      <c r="B80" s="18" t="s">
        <v>40</v>
      </c>
      <c r="C80" s="19">
        <v>1</v>
      </c>
      <c r="D80" s="19">
        <v>1</v>
      </c>
      <c r="E80" s="19">
        <v>1</v>
      </c>
      <c r="F80" s="19">
        <v>0</v>
      </c>
      <c r="G80" s="20">
        <v>1</v>
      </c>
      <c r="H80" s="21">
        <v>0.0172</v>
      </c>
      <c r="I80" s="21">
        <v>0.3536</v>
      </c>
      <c r="J80" s="18" t="s">
        <v>214</v>
      </c>
      <c r="K80" s="15">
        <f>IF(LEFT(J80,1)="X",PARAMETROS!$B$11,IF(LEFT(J80,1)="Y",PARAMETROS!$B$12,PARAMETROS!$B$13))</f>
        <v>0.84</v>
      </c>
      <c r="L80" s="14">
        <f>PARAMETROS!$B$7</f>
        <v>7</v>
      </c>
      <c r="M80" s="21">
        <f>ROUND(K80*I80*SQRT(L80/7),2)</f>
        <v>0.3</v>
      </c>
      <c r="N80" s="19">
        <f>ROUNDUP(H80*L80+M80,0)</f>
        <v>1</v>
      </c>
      <c r="O80" s="14">
        <v>0</v>
      </c>
      <c r="P80" s="19">
        <f>ROUNDUP(H80*(L80+PARAMETROS!$B$8)+M80,0)</f>
        <v>1</v>
      </c>
      <c r="Q80" s="19">
        <f>MAX(0,P80-O80)</f>
        <v>1</v>
      </c>
      <c r="R80" s="19">
        <f>ROUNDUP(H80*(L80+PARAMETROS!$B$9)+M80,0)</f>
        <v>1</v>
      </c>
      <c r="S80" s="19">
        <f>MAX(0,R80-O80)</f>
        <v>1</v>
      </c>
      <c r="T80" s="19">
        <f>ROUNDUP(H80*(L80+PARAMETROS!$B$10)+M80,0)</f>
        <v>1</v>
      </c>
      <c r="U80" s="19">
        <f>MAX(0,T80-O80)</f>
        <v>1</v>
      </c>
    </row>
    <row r="81" spans="1:21">
      <c r="A81" s="5" t="s">
        <v>297</v>
      </c>
      <c r="B81" s="5" t="s">
        <v>298</v>
      </c>
      <c r="C81" s="7">
        <v>1</v>
      </c>
      <c r="D81" s="7">
        <v>1</v>
      </c>
      <c r="E81" s="7">
        <v>0</v>
      </c>
      <c r="F81" s="7">
        <v>1</v>
      </c>
      <c r="G81" s="9">
        <v>0</v>
      </c>
      <c r="H81" s="13">
        <v>0.0172</v>
      </c>
      <c r="I81" s="13">
        <v>0.3536</v>
      </c>
      <c r="J81" s="5" t="s">
        <v>214</v>
      </c>
      <c r="K81" s="15">
        <f>IF(LEFT(J81,1)="X",PARAMETROS!$B$11,IF(LEFT(J81,1)="Y",PARAMETROS!$B$12,PARAMETROS!$B$13))</f>
        <v>0.84</v>
      </c>
      <c r="L81" s="14">
        <f>PARAMETROS!$B$7</f>
        <v>7</v>
      </c>
      <c r="M81" s="13">
        <f>ROUND(K81*I81*SQRT(L81/7),2)</f>
        <v>0.3</v>
      </c>
      <c r="N81" s="7">
        <f>ROUNDUP(H81*L81+M81,0)</f>
        <v>1</v>
      </c>
      <c r="O81" s="14">
        <v>0</v>
      </c>
      <c r="P81" s="7">
        <f>ROUNDUP(H81*(L81+PARAMETROS!$B$8)+M81,0)</f>
        <v>1</v>
      </c>
      <c r="Q81" s="7">
        <f>MAX(0,P81-O81)</f>
        <v>1</v>
      </c>
      <c r="R81" s="7">
        <f>ROUNDUP(H81*(L81+PARAMETROS!$B$9)+M81,0)</f>
        <v>1</v>
      </c>
      <c r="S81" s="7">
        <f>MAX(0,R81-O81)</f>
        <v>1</v>
      </c>
      <c r="T81" s="7">
        <f>ROUNDUP(H81*(L81+PARAMETROS!$B$10)+M81,0)</f>
        <v>1</v>
      </c>
      <c r="U81" s="7">
        <f>MAX(0,T81-O81)</f>
        <v>1</v>
      </c>
    </row>
    <row r="82" spans="1:21">
      <c r="A82" s="18" t="s">
        <v>299</v>
      </c>
      <c r="B82" s="18" t="s">
        <v>216</v>
      </c>
      <c r="C82" s="19">
        <v>1</v>
      </c>
      <c r="D82" s="19">
        <v>1</v>
      </c>
      <c r="E82" s="19">
        <v>1</v>
      </c>
      <c r="F82" s="19">
        <v>0</v>
      </c>
      <c r="G82" s="20">
        <v>1</v>
      </c>
      <c r="H82" s="21">
        <v>0.0172</v>
      </c>
      <c r="I82" s="21">
        <v>0.3536</v>
      </c>
      <c r="J82" s="18" t="s">
        <v>214</v>
      </c>
      <c r="K82" s="15">
        <f>IF(LEFT(J82,1)="X",PARAMETROS!$B$11,IF(LEFT(J82,1)="Y",PARAMETROS!$B$12,PARAMETROS!$B$13))</f>
        <v>0.84</v>
      </c>
      <c r="L82" s="14">
        <f>PARAMETROS!$B$7</f>
        <v>7</v>
      </c>
      <c r="M82" s="21">
        <f>ROUND(K82*I82*SQRT(L82/7),2)</f>
        <v>0.3</v>
      </c>
      <c r="N82" s="19">
        <f>ROUNDUP(H82*L82+M82,0)</f>
        <v>1</v>
      </c>
      <c r="O82" s="14">
        <v>0</v>
      </c>
      <c r="P82" s="19">
        <f>ROUNDUP(H82*(L82+PARAMETROS!$B$8)+M82,0)</f>
        <v>1</v>
      </c>
      <c r="Q82" s="19">
        <f>MAX(0,P82-O82)</f>
        <v>1</v>
      </c>
      <c r="R82" s="19">
        <f>ROUNDUP(H82*(L82+PARAMETROS!$B$9)+M82,0)</f>
        <v>1</v>
      </c>
      <c r="S82" s="19">
        <f>MAX(0,R82-O82)</f>
        <v>1</v>
      </c>
      <c r="T82" s="19">
        <f>ROUNDUP(H82*(L82+PARAMETROS!$B$10)+M82,0)</f>
        <v>1</v>
      </c>
      <c r="U82" s="19">
        <f>MAX(0,T82-O82)</f>
        <v>1</v>
      </c>
    </row>
    <row r="83" spans="1:21">
      <c r="A83" s="5" t="s">
        <v>300</v>
      </c>
      <c r="B83" s="5" t="s">
        <v>47</v>
      </c>
      <c r="C83" s="7">
        <v>1</v>
      </c>
      <c r="D83" s="7">
        <v>1</v>
      </c>
      <c r="E83" s="7">
        <v>0</v>
      </c>
      <c r="F83" s="7">
        <v>1</v>
      </c>
      <c r="G83" s="9">
        <v>0</v>
      </c>
      <c r="H83" s="13">
        <v>0.0172</v>
      </c>
      <c r="I83" s="13">
        <v>0.3536</v>
      </c>
      <c r="J83" s="5" t="s">
        <v>214</v>
      </c>
      <c r="K83" s="15">
        <f>IF(LEFT(J83,1)="X",PARAMETROS!$B$11,IF(LEFT(J83,1)="Y",PARAMETROS!$B$12,PARAMETROS!$B$13))</f>
        <v>0.84</v>
      </c>
      <c r="L83" s="14">
        <f>PARAMETROS!$B$7</f>
        <v>7</v>
      </c>
      <c r="M83" s="13">
        <f>ROUND(K83*I83*SQRT(L83/7),2)</f>
        <v>0.3</v>
      </c>
      <c r="N83" s="7">
        <f>ROUNDUP(H83*L83+M83,0)</f>
        <v>1</v>
      </c>
      <c r="O83" s="14">
        <v>0</v>
      </c>
      <c r="P83" s="7">
        <f>ROUNDUP(H83*(L83+PARAMETROS!$B$8)+M83,0)</f>
        <v>1</v>
      </c>
      <c r="Q83" s="7">
        <f>MAX(0,P83-O83)</f>
        <v>1</v>
      </c>
      <c r="R83" s="7">
        <f>ROUNDUP(H83*(L83+PARAMETROS!$B$9)+M83,0)</f>
        <v>1</v>
      </c>
      <c r="S83" s="7">
        <f>MAX(0,R83-O83)</f>
        <v>1</v>
      </c>
      <c r="T83" s="7">
        <f>ROUNDUP(H83*(L83+PARAMETROS!$B$10)+M83,0)</f>
        <v>1</v>
      </c>
      <c r="U83" s="7">
        <f>MAX(0,T83-O83)</f>
        <v>1</v>
      </c>
    </row>
    <row r="84" spans="1:21">
      <c r="A84" s="18" t="s">
        <v>301</v>
      </c>
      <c r="B84" s="18" t="s">
        <v>257</v>
      </c>
      <c r="C84" s="19">
        <v>1</v>
      </c>
      <c r="D84" s="19">
        <v>1</v>
      </c>
      <c r="E84" s="19">
        <v>1</v>
      </c>
      <c r="F84" s="19">
        <v>0</v>
      </c>
      <c r="G84" s="20">
        <v>1</v>
      </c>
      <c r="H84" s="21">
        <v>0.0172</v>
      </c>
      <c r="I84" s="21">
        <v>0.3536</v>
      </c>
      <c r="J84" s="18" t="s">
        <v>214</v>
      </c>
      <c r="K84" s="15">
        <f>IF(LEFT(J84,1)="X",PARAMETROS!$B$11,IF(LEFT(J84,1)="Y",PARAMETROS!$B$12,PARAMETROS!$B$13))</f>
        <v>0.84</v>
      </c>
      <c r="L84" s="14">
        <f>PARAMETROS!$B$7</f>
        <v>7</v>
      </c>
      <c r="M84" s="21">
        <f>ROUND(K84*I84*SQRT(L84/7),2)</f>
        <v>0.3</v>
      </c>
      <c r="N84" s="19">
        <f>ROUNDUP(H84*L84+M84,0)</f>
        <v>1</v>
      </c>
      <c r="O84" s="14">
        <v>0</v>
      </c>
      <c r="P84" s="19">
        <f>ROUNDUP(H84*(L84+PARAMETROS!$B$8)+M84,0)</f>
        <v>1</v>
      </c>
      <c r="Q84" s="19">
        <f>MAX(0,P84-O84)</f>
        <v>1</v>
      </c>
      <c r="R84" s="19">
        <f>ROUNDUP(H84*(L84+PARAMETROS!$B$9)+M84,0)</f>
        <v>1</v>
      </c>
      <c r="S84" s="19">
        <f>MAX(0,R84-O84)</f>
        <v>1</v>
      </c>
      <c r="T84" s="19">
        <f>ROUNDUP(H84*(L84+PARAMETROS!$B$10)+M84,0)</f>
        <v>1</v>
      </c>
      <c r="U84" s="19">
        <f>MAX(0,T84-O84)</f>
        <v>1</v>
      </c>
    </row>
    <row r="85" spans="1:21">
      <c r="A85" s="4" t="s">
        <v>145</v>
      </c>
      <c r="B85" s="4"/>
      <c r="C85" s="11">
        <f>SUM(C5:C84)</f>
        <v>418</v>
      </c>
      <c r="D85" s="11">
        <f>SUM(D5:D84)</f>
        <v>15741</v>
      </c>
      <c r="E85" s="11">
        <f>SUM(E5:E84)</f>
        <v>15238</v>
      </c>
      <c r="F85" s="11">
        <f>SUM(F5:F84)</f>
        <v>503</v>
      </c>
      <c r="G85" s="22">
        <f>E85/D85</f>
        <v>0.9680452321961756</v>
      </c>
      <c r="H85" s="23">
        <f>SUM(H5:H84)</f>
        <v>271.3966</v>
      </c>
      <c r="I85" s="4"/>
      <c r="J85" s="4"/>
      <c r="K85" s="4"/>
      <c r="L85" s="4"/>
      <c r="M85" s="4"/>
      <c r="N85" s="11">
        <f>SUM(N5:N84)</f>
        <v>4177</v>
      </c>
      <c r="O85" s="4"/>
      <c r="P85" s="11">
        <f>SUM(P5:P84)</f>
        <v>6081</v>
      </c>
      <c r="Q85" s="11">
        <f>SUM(Q5:Q84)</f>
        <v>6081</v>
      </c>
      <c r="R85" s="11">
        <f>SUM(R5:R84)</f>
        <v>7977</v>
      </c>
      <c r="S85" s="11">
        <f>SUM(S5:S84)</f>
        <v>7977</v>
      </c>
      <c r="T85" s="11">
        <f>SUM(T5:T84)</f>
        <v>12316</v>
      </c>
      <c r="U85" s="11">
        <f>SUM(U5:U84)</f>
        <v>12316</v>
      </c>
    </row>
    <row r="87" spans="1:21" ht="44" customHeight="1">
      <c r="A87" s="10" t="s">
        <v>264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</sheetData>
  <autoFilter ref="A4:U84"/>
  <mergeCells count="3">
    <mergeCell ref="A1:U1"/>
    <mergeCell ref="A2:U2"/>
    <mergeCell ref="A87:U87"/>
  </mergeCells>
  <conditionalFormatting sqref="G5:G8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:Q84">
    <cfRule type="dataBar" priority="2">
      <dataBar>
        <cfvo type="min" val="0"/>
        <cfvo type="max" val="0"/>
        <color rgb="FF2E75B6"/>
      </dataBar>
    </cfRule>
  </conditionalFormatting>
  <conditionalFormatting sqref="S5:S84">
    <cfRule type="dataBar" priority="3">
      <dataBar>
        <cfvo type="min" val="0"/>
        <cfvo type="max" val="0"/>
        <color rgb="FF2E75B6"/>
      </dataBar>
    </cfRule>
  </conditionalFormatting>
  <conditionalFormatting sqref="U5:U84">
    <cfRule type="dataBar" priority="4">
      <dataBar>
        <cfvo type="min" val="0"/>
        <cfvo type="max" val="0"/>
        <color rgb="FF2E75B6"/>
      </dataBar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548235"/>
  </sheetPr>
  <dimension ref="A1:U10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34.7109375" customWidth="1"/>
    <col min="2" max="2" width="23.7109375" customWidth="1"/>
    <col min="3" max="3" width="10.7109375" customWidth="1"/>
    <col min="4" max="4" width="12.7109375" customWidth="1"/>
    <col min="5" max="5" width="11.7109375" customWidth="1"/>
    <col min="6" max="6" width="12.7109375" customWidth="1"/>
    <col min="7" max="8" width="10.7109375" customWidth="1"/>
    <col min="9" max="9" width="9.7109375" customWidth="1"/>
    <col min="10" max="10" width="15.7109375" customWidth="1"/>
    <col min="11" max="13" width="10.7109375" customWidth="1"/>
    <col min="14" max="14" width="11.7109375" customWidth="1"/>
    <col min="15" max="16" width="10.7109375" customWidth="1"/>
    <col min="17" max="18" width="11.7109375" customWidth="1"/>
    <col min="19" max="19" width="12.7109375" customWidth="1"/>
    <col min="20" max="20" width="10.7109375" customWidth="1"/>
    <col min="21" max="21" width="11.7109375" customWidth="1"/>
  </cols>
  <sheetData>
    <row r="1" spans="1:21" ht="26" customHeight="1">
      <c r="A1" s="1" t="s">
        <v>302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42" customHeight="1">
      <c r="A2" s="2" t="s">
        <v>303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spans="1:21" ht="44" customHeight="1">
      <c r="A4" s="6" t="s">
        <v>34</v>
      </c>
      <c r="B4" s="6" t="s">
        <v>35</v>
      </c>
      <c r="C4" s="6" t="s">
        <v>196</v>
      </c>
      <c r="D4" s="6" t="s">
        <v>197</v>
      </c>
      <c r="E4" s="6" t="s">
        <v>20</v>
      </c>
      <c r="F4" s="6" t="s">
        <v>198</v>
      </c>
      <c r="G4" s="6" t="s">
        <v>199</v>
      </c>
      <c r="H4" s="6" t="s">
        <v>200</v>
      </c>
      <c r="I4" s="6" t="s">
        <v>201</v>
      </c>
      <c r="J4" s="6" t="s">
        <v>202</v>
      </c>
      <c r="K4" s="6" t="s">
        <v>203</v>
      </c>
      <c r="L4" s="6" t="s">
        <v>204</v>
      </c>
      <c r="M4" s="6" t="s">
        <v>205</v>
      </c>
      <c r="N4" s="6" t="s">
        <v>206</v>
      </c>
      <c r="O4" s="6" t="s">
        <v>207</v>
      </c>
      <c r="P4" s="6" t="s">
        <v>208</v>
      </c>
      <c r="Q4" s="6" t="s">
        <v>209</v>
      </c>
      <c r="R4" s="6" t="s">
        <v>210</v>
      </c>
      <c r="S4" s="6" t="s">
        <v>211</v>
      </c>
      <c r="T4" s="6" t="s">
        <v>212</v>
      </c>
      <c r="U4" s="6" t="s">
        <v>213</v>
      </c>
    </row>
    <row r="5" spans="1:21">
      <c r="A5" s="5" t="s">
        <v>39</v>
      </c>
      <c r="B5" s="5" t="s">
        <v>40</v>
      </c>
      <c r="C5" s="7">
        <v>22</v>
      </c>
      <c r="D5" s="7">
        <v>5200</v>
      </c>
      <c r="E5" s="7">
        <v>5200</v>
      </c>
      <c r="F5" s="7">
        <v>0</v>
      </c>
      <c r="G5" s="9">
        <v>1</v>
      </c>
      <c r="H5" s="13">
        <v>88.1356</v>
      </c>
      <c r="I5" s="13">
        <v>505.6379</v>
      </c>
      <c r="J5" s="5" t="s">
        <v>228</v>
      </c>
      <c r="K5" s="15">
        <f>IF(LEFT(J5,1)="X",PARAMETROS!$B$11,IF(LEFT(J5,1)="Y",PARAMETROS!$B$12,PARAMETROS!$B$13))</f>
        <v>1.28</v>
      </c>
      <c r="L5" s="14">
        <f>PARAMETROS!$B$7</f>
        <v>7</v>
      </c>
      <c r="M5" s="13">
        <f>ROUND(K5*I5*SQRT(L5/7),2)</f>
        <v>647.22</v>
      </c>
      <c r="N5" s="7">
        <f>ROUNDUP(H5*L5+M5,0)</f>
        <v>1265</v>
      </c>
      <c r="O5" s="14">
        <v>0</v>
      </c>
      <c r="P5" s="7">
        <f>ROUNDUP(H5*(L5+PARAMETROS!$B$8)+M5,0)</f>
        <v>1882</v>
      </c>
      <c r="Q5" s="7">
        <f>MAX(0,P5-O5)</f>
        <v>1882</v>
      </c>
      <c r="R5" s="7">
        <f>ROUNDUP(H5*(L5+PARAMETROS!$B$9)+M5,0)</f>
        <v>2499</v>
      </c>
      <c r="S5" s="7">
        <f>MAX(0,R5-O5)</f>
        <v>2499</v>
      </c>
      <c r="T5" s="7">
        <f>ROUNDUP(H5*(L5+PARAMETROS!$B$10)+M5,0)</f>
        <v>3909</v>
      </c>
      <c r="U5" s="7">
        <f>MAX(0,T5-O5)</f>
        <v>3909</v>
      </c>
    </row>
    <row r="6" spans="1:21">
      <c r="A6" s="18" t="s">
        <v>41</v>
      </c>
      <c r="B6" s="18" t="s">
        <v>40</v>
      </c>
      <c r="C6" s="19">
        <v>16</v>
      </c>
      <c r="D6" s="19">
        <v>2770</v>
      </c>
      <c r="E6" s="19">
        <v>2770</v>
      </c>
      <c r="F6" s="19">
        <v>0</v>
      </c>
      <c r="G6" s="20">
        <v>1</v>
      </c>
      <c r="H6" s="21">
        <v>46.9492</v>
      </c>
      <c r="I6" s="21">
        <v>304.3465</v>
      </c>
      <c r="J6" s="18" t="s">
        <v>228</v>
      </c>
      <c r="K6" s="15">
        <f>IF(LEFT(J6,1)="X",PARAMETROS!$B$11,IF(LEFT(J6,1)="Y",PARAMETROS!$B$12,PARAMETROS!$B$13))</f>
        <v>1.28</v>
      </c>
      <c r="L6" s="14">
        <f>PARAMETROS!$B$7</f>
        <v>7</v>
      </c>
      <c r="M6" s="21">
        <f>ROUND(K6*I6*SQRT(L6/7),2)</f>
        <v>389.56</v>
      </c>
      <c r="N6" s="19">
        <f>ROUNDUP(H6*L6+M6,0)</f>
        <v>719</v>
      </c>
      <c r="O6" s="14">
        <v>0</v>
      </c>
      <c r="P6" s="19">
        <f>ROUNDUP(H6*(L6+PARAMETROS!$B$8)+M6,0)</f>
        <v>1047</v>
      </c>
      <c r="Q6" s="19">
        <f>MAX(0,P6-O6)</f>
        <v>1047</v>
      </c>
      <c r="R6" s="19">
        <f>ROUNDUP(H6*(L6+PARAMETROS!$B$9)+M6,0)</f>
        <v>1376</v>
      </c>
      <c r="S6" s="19">
        <f>MAX(0,R6-O6)</f>
        <v>1376</v>
      </c>
      <c r="T6" s="19">
        <f>ROUNDUP(H6*(L6+PARAMETROS!$B$10)+M6,0)</f>
        <v>2127</v>
      </c>
      <c r="U6" s="19">
        <f>MAX(0,T6-O6)</f>
        <v>2127</v>
      </c>
    </row>
    <row r="7" spans="1:21">
      <c r="A7" s="5" t="s">
        <v>42</v>
      </c>
      <c r="B7" s="5" t="s">
        <v>40</v>
      </c>
      <c r="C7" s="7">
        <v>12</v>
      </c>
      <c r="D7" s="7">
        <v>2460</v>
      </c>
      <c r="E7" s="7">
        <v>2460</v>
      </c>
      <c r="F7" s="7">
        <v>0</v>
      </c>
      <c r="G7" s="9">
        <v>1</v>
      </c>
      <c r="H7" s="13">
        <v>41.6949</v>
      </c>
      <c r="I7" s="13">
        <v>284.8935</v>
      </c>
      <c r="J7" s="5" t="s">
        <v>228</v>
      </c>
      <c r="K7" s="15">
        <f>IF(LEFT(J7,1)="X",PARAMETROS!$B$11,IF(LEFT(J7,1)="Y",PARAMETROS!$B$12,PARAMETROS!$B$13))</f>
        <v>1.28</v>
      </c>
      <c r="L7" s="14">
        <f>PARAMETROS!$B$7</f>
        <v>7</v>
      </c>
      <c r="M7" s="13">
        <f>ROUND(K7*I7*SQRT(L7/7),2)</f>
        <v>364.66</v>
      </c>
      <c r="N7" s="7">
        <f>ROUNDUP(H7*L7+M7,0)</f>
        <v>657</v>
      </c>
      <c r="O7" s="14">
        <v>0</v>
      </c>
      <c r="P7" s="7">
        <f>ROUNDUP(H7*(L7+PARAMETROS!$B$8)+M7,0)</f>
        <v>949</v>
      </c>
      <c r="Q7" s="7">
        <f>MAX(0,P7-O7)</f>
        <v>949</v>
      </c>
      <c r="R7" s="7">
        <f>ROUNDUP(H7*(L7+PARAMETROS!$B$9)+M7,0)</f>
        <v>1241</v>
      </c>
      <c r="S7" s="7">
        <f>MAX(0,R7-O7)</f>
        <v>1241</v>
      </c>
      <c r="T7" s="7">
        <f>ROUNDUP(H7*(L7+PARAMETROS!$B$10)+M7,0)</f>
        <v>1908</v>
      </c>
      <c r="U7" s="7">
        <f>MAX(0,T7-O7)</f>
        <v>1908</v>
      </c>
    </row>
    <row r="8" spans="1:21">
      <c r="A8" s="18" t="s">
        <v>43</v>
      </c>
      <c r="B8" s="18" t="s">
        <v>40</v>
      </c>
      <c r="C8" s="19">
        <v>8</v>
      </c>
      <c r="D8" s="19">
        <v>1210</v>
      </c>
      <c r="E8" s="19">
        <v>1210</v>
      </c>
      <c r="F8" s="19">
        <v>0</v>
      </c>
      <c r="G8" s="20">
        <v>1</v>
      </c>
      <c r="H8" s="21">
        <v>20.5085</v>
      </c>
      <c r="I8" s="21">
        <v>192.0147</v>
      </c>
      <c r="J8" s="18" t="s">
        <v>214</v>
      </c>
      <c r="K8" s="15">
        <f>IF(LEFT(J8,1)="X",PARAMETROS!$B$11,IF(LEFT(J8,1)="Y",PARAMETROS!$B$12,PARAMETROS!$B$13))</f>
        <v>0.84</v>
      </c>
      <c r="L8" s="14">
        <f>PARAMETROS!$B$7</f>
        <v>7</v>
      </c>
      <c r="M8" s="21">
        <f>ROUND(K8*I8*SQRT(L8/7),2)</f>
        <v>161.29</v>
      </c>
      <c r="N8" s="19">
        <f>ROUNDUP(H8*L8+M8,0)</f>
        <v>305</v>
      </c>
      <c r="O8" s="14">
        <v>0</v>
      </c>
      <c r="P8" s="19">
        <f>ROUNDUP(H8*(L8+PARAMETROS!$B$8)+M8,0)</f>
        <v>449</v>
      </c>
      <c r="Q8" s="19">
        <f>MAX(0,P8-O8)</f>
        <v>449</v>
      </c>
      <c r="R8" s="19">
        <f>ROUNDUP(H8*(L8+PARAMETROS!$B$9)+M8,0)</f>
        <v>592</v>
      </c>
      <c r="S8" s="19">
        <f>MAX(0,R8-O8)</f>
        <v>592</v>
      </c>
      <c r="T8" s="19">
        <f>ROUNDUP(H8*(L8+PARAMETROS!$B$10)+M8,0)</f>
        <v>921</v>
      </c>
      <c r="U8" s="19">
        <f>MAX(0,T8-O8)</f>
        <v>921</v>
      </c>
    </row>
    <row r="9" spans="1:21">
      <c r="A9" s="5" t="s">
        <v>44</v>
      </c>
      <c r="B9" s="5" t="s">
        <v>40</v>
      </c>
      <c r="C9" s="7">
        <v>5</v>
      </c>
      <c r="D9" s="7">
        <v>800</v>
      </c>
      <c r="E9" s="7">
        <v>800</v>
      </c>
      <c r="F9" s="7">
        <v>0</v>
      </c>
      <c r="G9" s="9">
        <v>1</v>
      </c>
      <c r="H9" s="13">
        <v>13.5593</v>
      </c>
      <c r="I9" s="13">
        <v>141.4214</v>
      </c>
      <c r="J9" s="5" t="s">
        <v>214</v>
      </c>
      <c r="K9" s="15">
        <f>IF(LEFT(J9,1)="X",PARAMETROS!$B$11,IF(LEFT(J9,1)="Y",PARAMETROS!$B$12,PARAMETROS!$B$13))</f>
        <v>0.84</v>
      </c>
      <c r="L9" s="14">
        <f>PARAMETROS!$B$7</f>
        <v>7</v>
      </c>
      <c r="M9" s="13">
        <f>ROUND(K9*I9*SQRT(L9/7),2)</f>
        <v>118.79</v>
      </c>
      <c r="N9" s="7">
        <f>ROUNDUP(H9*L9+M9,0)</f>
        <v>214</v>
      </c>
      <c r="O9" s="14">
        <v>0</v>
      </c>
      <c r="P9" s="7">
        <f>ROUNDUP(H9*(L9+PARAMETROS!$B$8)+M9,0)</f>
        <v>309</v>
      </c>
      <c r="Q9" s="7">
        <f>MAX(0,P9-O9)</f>
        <v>309</v>
      </c>
      <c r="R9" s="7">
        <f>ROUNDUP(H9*(L9+PARAMETROS!$B$9)+M9,0)</f>
        <v>404</v>
      </c>
      <c r="S9" s="7">
        <f>MAX(0,R9-O9)</f>
        <v>404</v>
      </c>
      <c r="T9" s="7">
        <f>ROUNDUP(H9*(L9+PARAMETROS!$B$10)+M9,0)</f>
        <v>621</v>
      </c>
      <c r="U9" s="7">
        <f>MAX(0,T9-O9)</f>
        <v>621</v>
      </c>
    </row>
    <row r="10" spans="1:21">
      <c r="A10" s="18" t="s">
        <v>45</v>
      </c>
      <c r="B10" s="18" t="s">
        <v>40</v>
      </c>
      <c r="C10" s="19">
        <v>4</v>
      </c>
      <c r="D10" s="19">
        <v>550</v>
      </c>
      <c r="E10" s="19">
        <v>550</v>
      </c>
      <c r="F10" s="19">
        <v>0</v>
      </c>
      <c r="G10" s="20">
        <v>1</v>
      </c>
      <c r="H10" s="21">
        <v>9.321999999999999</v>
      </c>
      <c r="I10" s="21">
        <v>109.3814</v>
      </c>
      <c r="J10" s="18" t="s">
        <v>214</v>
      </c>
      <c r="K10" s="15">
        <f>IF(LEFT(J10,1)="X",PARAMETROS!$B$11,IF(LEFT(J10,1)="Y",PARAMETROS!$B$12,PARAMETROS!$B$13))</f>
        <v>0.84</v>
      </c>
      <c r="L10" s="14">
        <f>PARAMETROS!$B$7</f>
        <v>7</v>
      </c>
      <c r="M10" s="21">
        <f>ROUND(K10*I10*SQRT(L10/7),2)</f>
        <v>91.88</v>
      </c>
      <c r="N10" s="19">
        <f>ROUNDUP(H10*L10+M10,0)</f>
        <v>158</v>
      </c>
      <c r="O10" s="14">
        <v>0</v>
      </c>
      <c r="P10" s="19">
        <f>ROUNDUP(H10*(L10+PARAMETROS!$B$8)+M10,0)</f>
        <v>223</v>
      </c>
      <c r="Q10" s="19">
        <f>MAX(0,P10-O10)</f>
        <v>223</v>
      </c>
      <c r="R10" s="19">
        <f>ROUNDUP(H10*(L10+PARAMETROS!$B$9)+M10,0)</f>
        <v>288</v>
      </c>
      <c r="S10" s="19">
        <f>MAX(0,R10-O10)</f>
        <v>288</v>
      </c>
      <c r="T10" s="19">
        <f>ROUNDUP(H10*(L10+PARAMETROS!$B$10)+M10,0)</f>
        <v>437</v>
      </c>
      <c r="U10" s="19">
        <f>MAX(0,T10-O10)</f>
        <v>437</v>
      </c>
    </row>
    <row r="11" spans="1:21">
      <c r="A11" s="5" t="s">
        <v>46</v>
      </c>
      <c r="B11" s="5" t="s">
        <v>47</v>
      </c>
      <c r="C11" s="7">
        <v>19</v>
      </c>
      <c r="D11" s="7">
        <v>530</v>
      </c>
      <c r="E11" s="7">
        <v>390</v>
      </c>
      <c r="F11" s="7">
        <v>140</v>
      </c>
      <c r="G11" s="9">
        <v>0.7358490566037735</v>
      </c>
      <c r="H11" s="13">
        <v>8.9831</v>
      </c>
      <c r="I11" s="13">
        <v>29.6106</v>
      </c>
      <c r="J11" s="5" t="s">
        <v>228</v>
      </c>
      <c r="K11" s="15">
        <f>IF(LEFT(J11,1)="X",PARAMETROS!$B$11,IF(LEFT(J11,1)="Y",PARAMETROS!$B$12,PARAMETROS!$B$13))</f>
        <v>1.28</v>
      </c>
      <c r="L11" s="14">
        <f>PARAMETROS!$B$7</f>
        <v>7</v>
      </c>
      <c r="M11" s="13">
        <f>ROUND(K11*I11*SQRT(L11/7),2)</f>
        <v>37.9</v>
      </c>
      <c r="N11" s="7">
        <f>ROUNDUP(H11*L11+M11,0)</f>
        <v>101</v>
      </c>
      <c r="O11" s="14">
        <v>0</v>
      </c>
      <c r="P11" s="7">
        <f>ROUNDUP(H11*(L11+PARAMETROS!$B$8)+M11,0)</f>
        <v>164</v>
      </c>
      <c r="Q11" s="7">
        <f>MAX(0,P11-O11)</f>
        <v>164</v>
      </c>
      <c r="R11" s="7">
        <f>ROUNDUP(H11*(L11+PARAMETROS!$B$9)+M11,0)</f>
        <v>227</v>
      </c>
      <c r="S11" s="7">
        <f>MAX(0,R11-O11)</f>
        <v>227</v>
      </c>
      <c r="T11" s="7">
        <f>ROUNDUP(H11*(L11+PARAMETROS!$B$10)+M11,0)</f>
        <v>371</v>
      </c>
      <c r="U11" s="7">
        <f>MAX(0,T11-O11)</f>
        <v>371</v>
      </c>
    </row>
    <row r="12" spans="1:21">
      <c r="A12" s="18" t="s">
        <v>48</v>
      </c>
      <c r="B12" s="18" t="s">
        <v>47</v>
      </c>
      <c r="C12" s="19">
        <v>22</v>
      </c>
      <c r="D12" s="19">
        <v>438</v>
      </c>
      <c r="E12" s="19">
        <v>388</v>
      </c>
      <c r="F12" s="19">
        <v>50</v>
      </c>
      <c r="G12" s="20">
        <v>0.8858447488584474</v>
      </c>
      <c r="H12" s="21">
        <v>7.4237</v>
      </c>
      <c r="I12" s="21">
        <v>29.8795</v>
      </c>
      <c r="J12" s="18" t="s">
        <v>228</v>
      </c>
      <c r="K12" s="15">
        <f>IF(LEFT(J12,1)="X",PARAMETROS!$B$11,IF(LEFT(J12,1)="Y",PARAMETROS!$B$12,PARAMETROS!$B$13))</f>
        <v>1.28</v>
      </c>
      <c r="L12" s="14">
        <f>PARAMETROS!$B$7</f>
        <v>7</v>
      </c>
      <c r="M12" s="21">
        <f>ROUND(K12*I12*SQRT(L12/7),2)</f>
        <v>38.25</v>
      </c>
      <c r="N12" s="19">
        <f>ROUNDUP(H12*L12+M12,0)</f>
        <v>91</v>
      </c>
      <c r="O12" s="14">
        <v>0</v>
      </c>
      <c r="P12" s="19">
        <f>ROUNDUP(H12*(L12+PARAMETROS!$B$8)+M12,0)</f>
        <v>143</v>
      </c>
      <c r="Q12" s="19">
        <f>MAX(0,P12-O12)</f>
        <v>143</v>
      </c>
      <c r="R12" s="19">
        <f>ROUNDUP(H12*(L12+PARAMETROS!$B$9)+M12,0)</f>
        <v>195</v>
      </c>
      <c r="S12" s="19">
        <f>MAX(0,R12-O12)</f>
        <v>195</v>
      </c>
      <c r="T12" s="19">
        <f>ROUNDUP(H12*(L12+PARAMETROS!$B$10)+M12,0)</f>
        <v>313</v>
      </c>
      <c r="U12" s="19">
        <f>MAX(0,T12-O12)</f>
        <v>313</v>
      </c>
    </row>
    <row r="13" spans="1:21">
      <c r="A13" s="5" t="s">
        <v>49</v>
      </c>
      <c r="B13" s="5" t="s">
        <v>40</v>
      </c>
      <c r="C13" s="7">
        <v>1</v>
      </c>
      <c r="D13" s="7">
        <v>400</v>
      </c>
      <c r="E13" s="7">
        <v>400</v>
      </c>
      <c r="F13" s="7">
        <v>0</v>
      </c>
      <c r="G13" s="9">
        <v>1</v>
      </c>
      <c r="H13" s="13">
        <v>6.7797</v>
      </c>
      <c r="I13" s="13">
        <v>141.4214</v>
      </c>
      <c r="J13" s="5" t="s">
        <v>214</v>
      </c>
      <c r="K13" s="15">
        <f>IF(LEFT(J13,1)="X",PARAMETROS!$B$11,IF(LEFT(J13,1)="Y",PARAMETROS!$B$12,PARAMETROS!$B$13))</f>
        <v>0.84</v>
      </c>
      <c r="L13" s="14">
        <f>PARAMETROS!$B$7</f>
        <v>7</v>
      </c>
      <c r="M13" s="13">
        <f>ROUND(K13*I13*SQRT(L13/7),2)</f>
        <v>118.79</v>
      </c>
      <c r="N13" s="7">
        <f>ROUNDUP(H13*L13+M13,0)</f>
        <v>167</v>
      </c>
      <c r="O13" s="14">
        <v>0</v>
      </c>
      <c r="P13" s="7">
        <f>ROUNDUP(H13*(L13+PARAMETROS!$B$8)+M13,0)</f>
        <v>214</v>
      </c>
      <c r="Q13" s="7">
        <f>MAX(0,P13-O13)</f>
        <v>214</v>
      </c>
      <c r="R13" s="7">
        <f>ROUNDUP(H13*(L13+PARAMETROS!$B$9)+M13,0)</f>
        <v>262</v>
      </c>
      <c r="S13" s="7">
        <f>MAX(0,R13-O13)</f>
        <v>262</v>
      </c>
      <c r="T13" s="7">
        <f>ROUNDUP(H13*(L13+PARAMETROS!$B$10)+M13,0)</f>
        <v>370</v>
      </c>
      <c r="U13" s="7">
        <f>MAX(0,T13-O13)</f>
        <v>370</v>
      </c>
    </row>
    <row r="14" spans="1:21">
      <c r="A14" s="18" t="s">
        <v>50</v>
      </c>
      <c r="B14" s="18" t="s">
        <v>40</v>
      </c>
      <c r="C14" s="19">
        <v>9</v>
      </c>
      <c r="D14" s="19">
        <v>301</v>
      </c>
      <c r="E14" s="19">
        <v>231</v>
      </c>
      <c r="F14" s="19">
        <v>70</v>
      </c>
      <c r="G14" s="20">
        <v>0.7674418604651163</v>
      </c>
      <c r="H14" s="21">
        <v>5.1017</v>
      </c>
      <c r="I14" s="21">
        <v>32.6144</v>
      </c>
      <c r="J14" s="18" t="s">
        <v>214</v>
      </c>
      <c r="K14" s="15">
        <f>IF(LEFT(J14,1)="X",PARAMETROS!$B$11,IF(LEFT(J14,1)="Y",PARAMETROS!$B$12,PARAMETROS!$B$13))</f>
        <v>0.84</v>
      </c>
      <c r="L14" s="14">
        <f>PARAMETROS!$B$7</f>
        <v>7</v>
      </c>
      <c r="M14" s="21">
        <f>ROUND(K14*I14*SQRT(L14/7),2)</f>
        <v>27.4</v>
      </c>
      <c r="N14" s="19">
        <f>ROUNDUP(H14*L14+M14,0)</f>
        <v>64</v>
      </c>
      <c r="O14" s="14">
        <v>0</v>
      </c>
      <c r="P14" s="19">
        <f>ROUNDUP(H14*(L14+PARAMETROS!$B$8)+M14,0)</f>
        <v>99</v>
      </c>
      <c r="Q14" s="19">
        <f>MAX(0,P14-O14)</f>
        <v>99</v>
      </c>
      <c r="R14" s="19">
        <f>ROUNDUP(H14*(L14+PARAMETROS!$B$9)+M14,0)</f>
        <v>135</v>
      </c>
      <c r="S14" s="19">
        <f>MAX(0,R14-O14)</f>
        <v>135</v>
      </c>
      <c r="T14" s="19">
        <f>ROUNDUP(H14*(L14+PARAMETROS!$B$10)+M14,0)</f>
        <v>217</v>
      </c>
      <c r="U14" s="19">
        <f>MAX(0,T14-O14)</f>
        <v>217</v>
      </c>
    </row>
    <row r="15" spans="1:21">
      <c r="A15" s="5" t="s">
        <v>267</v>
      </c>
      <c r="B15" s="5" t="s">
        <v>40</v>
      </c>
      <c r="C15" s="7">
        <v>1</v>
      </c>
      <c r="D15" s="7">
        <v>250</v>
      </c>
      <c r="E15" s="7">
        <v>250</v>
      </c>
      <c r="F15" s="7">
        <v>0</v>
      </c>
      <c r="G15" s="9">
        <v>1</v>
      </c>
      <c r="H15" s="13">
        <v>4.2373</v>
      </c>
      <c r="I15" s="13">
        <v>88.3883</v>
      </c>
      <c r="J15" s="5" t="s">
        <v>214</v>
      </c>
      <c r="K15" s="15">
        <f>IF(LEFT(J15,1)="X",PARAMETROS!$B$11,IF(LEFT(J15,1)="Y",PARAMETROS!$B$12,PARAMETROS!$B$13))</f>
        <v>0.84</v>
      </c>
      <c r="L15" s="14">
        <f>PARAMETROS!$B$7</f>
        <v>7</v>
      </c>
      <c r="M15" s="13">
        <f>ROUND(K15*I15*SQRT(L15/7),2)</f>
        <v>74.25</v>
      </c>
      <c r="N15" s="7">
        <f>ROUNDUP(H15*L15+M15,0)</f>
        <v>104</v>
      </c>
      <c r="O15" s="14">
        <v>0</v>
      </c>
      <c r="P15" s="7">
        <f>ROUNDUP(H15*(L15+PARAMETROS!$B$8)+M15,0)</f>
        <v>134</v>
      </c>
      <c r="Q15" s="7">
        <f>MAX(0,P15-O15)</f>
        <v>134</v>
      </c>
      <c r="R15" s="7">
        <f>ROUNDUP(H15*(L15+PARAMETROS!$B$9)+M15,0)</f>
        <v>164</v>
      </c>
      <c r="S15" s="7">
        <f>MAX(0,R15-O15)</f>
        <v>164</v>
      </c>
      <c r="T15" s="7">
        <f>ROUNDUP(H15*(L15+PARAMETROS!$B$10)+M15,0)</f>
        <v>232</v>
      </c>
      <c r="U15" s="7">
        <f>MAX(0,T15-O15)</f>
        <v>232</v>
      </c>
    </row>
    <row r="16" spans="1:21">
      <c r="A16" s="18" t="s">
        <v>226</v>
      </c>
      <c r="B16" s="18" t="s">
        <v>216</v>
      </c>
      <c r="C16" s="19">
        <v>4</v>
      </c>
      <c r="D16" s="19">
        <v>210</v>
      </c>
      <c r="E16" s="19">
        <v>210</v>
      </c>
      <c r="F16" s="19">
        <v>0</v>
      </c>
      <c r="G16" s="20">
        <v>1</v>
      </c>
      <c r="H16" s="21">
        <v>3.5593</v>
      </c>
      <c r="I16" s="21">
        <v>40.3556</v>
      </c>
      <c r="J16" s="18" t="s">
        <v>214</v>
      </c>
      <c r="K16" s="15">
        <f>IF(LEFT(J16,1)="X",PARAMETROS!$B$11,IF(LEFT(J16,1)="Y",PARAMETROS!$B$12,PARAMETROS!$B$13))</f>
        <v>0.84</v>
      </c>
      <c r="L16" s="14">
        <f>PARAMETROS!$B$7</f>
        <v>7</v>
      </c>
      <c r="M16" s="21">
        <f>ROUND(K16*I16*SQRT(L16/7),2)</f>
        <v>33.9</v>
      </c>
      <c r="N16" s="19">
        <f>ROUNDUP(H16*L16+M16,0)</f>
        <v>59</v>
      </c>
      <c r="O16" s="14">
        <v>0</v>
      </c>
      <c r="P16" s="19">
        <f>ROUNDUP(H16*(L16+PARAMETROS!$B$8)+M16,0)</f>
        <v>84</v>
      </c>
      <c r="Q16" s="19">
        <f>MAX(0,P16-O16)</f>
        <v>84</v>
      </c>
      <c r="R16" s="19">
        <f>ROUNDUP(H16*(L16+PARAMETROS!$B$9)+M16,0)</f>
        <v>109</v>
      </c>
      <c r="S16" s="19">
        <f>MAX(0,R16-O16)</f>
        <v>109</v>
      </c>
      <c r="T16" s="19">
        <f>ROUNDUP(H16*(L16+PARAMETROS!$B$10)+M16,0)</f>
        <v>166</v>
      </c>
      <c r="U16" s="19">
        <f>MAX(0,T16-O16)</f>
        <v>166</v>
      </c>
    </row>
    <row r="17" spans="1:21">
      <c r="A17" s="5" t="s">
        <v>224</v>
      </c>
      <c r="B17" s="5" t="s">
        <v>40</v>
      </c>
      <c r="C17" s="7">
        <v>4</v>
      </c>
      <c r="D17" s="7">
        <v>150</v>
      </c>
      <c r="E17" s="7">
        <v>50</v>
      </c>
      <c r="F17" s="7">
        <v>100</v>
      </c>
      <c r="G17" s="9">
        <v>0.3333333333333333</v>
      </c>
      <c r="H17" s="13">
        <v>2.5424</v>
      </c>
      <c r="I17" s="13">
        <v>35.632</v>
      </c>
      <c r="J17" s="5" t="s">
        <v>214</v>
      </c>
      <c r="K17" s="15">
        <f>IF(LEFT(J17,1)="X",PARAMETROS!$B$11,IF(LEFT(J17,1)="Y",PARAMETROS!$B$12,PARAMETROS!$B$13))</f>
        <v>0.84</v>
      </c>
      <c r="L17" s="14">
        <f>PARAMETROS!$B$7</f>
        <v>7</v>
      </c>
      <c r="M17" s="13">
        <f>ROUND(K17*I17*SQRT(L17/7),2)</f>
        <v>29.93</v>
      </c>
      <c r="N17" s="7">
        <f>ROUNDUP(H17*L17+M17,0)</f>
        <v>48</v>
      </c>
      <c r="O17" s="14">
        <v>0</v>
      </c>
      <c r="P17" s="7">
        <f>ROUNDUP(H17*(L17+PARAMETROS!$B$8)+M17,0)</f>
        <v>66</v>
      </c>
      <c r="Q17" s="7">
        <f>MAX(0,P17-O17)</f>
        <v>66</v>
      </c>
      <c r="R17" s="7">
        <f>ROUNDUP(H17*(L17+PARAMETROS!$B$9)+M17,0)</f>
        <v>84</v>
      </c>
      <c r="S17" s="7">
        <f>MAX(0,R17-O17)</f>
        <v>84</v>
      </c>
      <c r="T17" s="7">
        <f>ROUNDUP(H17*(L17+PARAMETROS!$B$10)+M17,0)</f>
        <v>124</v>
      </c>
      <c r="U17" s="7">
        <f>MAX(0,T17-O17)</f>
        <v>124</v>
      </c>
    </row>
    <row r="18" spans="1:21">
      <c r="A18" s="18" t="s">
        <v>215</v>
      </c>
      <c r="B18" s="18" t="s">
        <v>216</v>
      </c>
      <c r="C18" s="19">
        <v>14</v>
      </c>
      <c r="D18" s="19">
        <v>61</v>
      </c>
      <c r="E18" s="19">
        <v>54</v>
      </c>
      <c r="F18" s="19">
        <v>7</v>
      </c>
      <c r="G18" s="20">
        <v>0.8852459016393442</v>
      </c>
      <c r="H18" s="21">
        <v>1.0339</v>
      </c>
      <c r="I18" s="21">
        <v>5.7508</v>
      </c>
      <c r="J18" s="18" t="s">
        <v>228</v>
      </c>
      <c r="K18" s="15">
        <f>IF(LEFT(J18,1)="X",PARAMETROS!$B$11,IF(LEFT(J18,1)="Y",PARAMETROS!$B$12,PARAMETROS!$B$13))</f>
        <v>1.28</v>
      </c>
      <c r="L18" s="14">
        <f>PARAMETROS!$B$7</f>
        <v>7</v>
      </c>
      <c r="M18" s="21">
        <f>ROUND(K18*I18*SQRT(L18/7),2)</f>
        <v>7.36</v>
      </c>
      <c r="N18" s="19">
        <f>ROUNDUP(H18*L18+M18,0)</f>
        <v>15</v>
      </c>
      <c r="O18" s="14">
        <v>0</v>
      </c>
      <c r="P18" s="19">
        <f>ROUNDUP(H18*(L18+PARAMETROS!$B$8)+M18,0)</f>
        <v>22</v>
      </c>
      <c r="Q18" s="19">
        <f>MAX(0,P18-O18)</f>
        <v>22</v>
      </c>
      <c r="R18" s="19">
        <f>ROUNDUP(H18*(L18+PARAMETROS!$B$9)+M18,0)</f>
        <v>30</v>
      </c>
      <c r="S18" s="19">
        <f>MAX(0,R18-O18)</f>
        <v>30</v>
      </c>
      <c r="T18" s="19">
        <f>ROUNDUP(H18*(L18+PARAMETROS!$B$10)+M18,0)</f>
        <v>46</v>
      </c>
      <c r="U18" s="19">
        <f>MAX(0,T18-O18)</f>
        <v>46</v>
      </c>
    </row>
    <row r="19" spans="1:21">
      <c r="A19" s="5" t="s">
        <v>185</v>
      </c>
      <c r="B19" s="5" t="s">
        <v>47</v>
      </c>
      <c r="C19" s="7">
        <v>25</v>
      </c>
      <c r="D19" s="7">
        <v>57</v>
      </c>
      <c r="E19" s="7">
        <v>31</v>
      </c>
      <c r="F19" s="7">
        <v>26</v>
      </c>
      <c r="G19" s="9">
        <v>0.543859649122807</v>
      </c>
      <c r="H19" s="13">
        <v>0.9661</v>
      </c>
      <c r="I19" s="13">
        <v>4.2342</v>
      </c>
      <c r="J19" s="5" t="s">
        <v>228</v>
      </c>
      <c r="K19" s="15">
        <f>IF(LEFT(J19,1)="X",PARAMETROS!$B$11,IF(LEFT(J19,1)="Y",PARAMETROS!$B$12,PARAMETROS!$B$13))</f>
        <v>1.28</v>
      </c>
      <c r="L19" s="14">
        <f>PARAMETROS!$B$7</f>
        <v>7</v>
      </c>
      <c r="M19" s="13">
        <f>ROUND(K19*I19*SQRT(L19/7),2)</f>
        <v>5.42</v>
      </c>
      <c r="N19" s="7">
        <f>ROUNDUP(H19*L19+M19,0)</f>
        <v>13</v>
      </c>
      <c r="O19" s="14">
        <v>0</v>
      </c>
      <c r="P19" s="7">
        <f>ROUNDUP(H19*(L19+PARAMETROS!$B$8)+M19,0)</f>
        <v>19</v>
      </c>
      <c r="Q19" s="7">
        <f>MAX(0,P19-O19)</f>
        <v>19</v>
      </c>
      <c r="R19" s="7">
        <f>ROUNDUP(H19*(L19+PARAMETROS!$B$9)+M19,0)</f>
        <v>26</v>
      </c>
      <c r="S19" s="7">
        <f>MAX(0,R19-O19)</f>
        <v>26</v>
      </c>
      <c r="T19" s="7">
        <f>ROUNDUP(H19*(L19+PARAMETROS!$B$10)+M19,0)</f>
        <v>42</v>
      </c>
      <c r="U19" s="7">
        <f>MAX(0,T19-O19)</f>
        <v>42</v>
      </c>
    </row>
    <row r="20" spans="1:21">
      <c r="A20" s="18" t="s">
        <v>225</v>
      </c>
      <c r="B20" s="18" t="s">
        <v>216</v>
      </c>
      <c r="C20" s="19">
        <v>4</v>
      </c>
      <c r="D20" s="19">
        <v>52</v>
      </c>
      <c r="E20" s="19">
        <v>52</v>
      </c>
      <c r="F20" s="19">
        <v>0</v>
      </c>
      <c r="G20" s="20">
        <v>1</v>
      </c>
      <c r="H20" s="21">
        <v>0.8814</v>
      </c>
      <c r="I20" s="21">
        <v>13.9694</v>
      </c>
      <c r="J20" s="18" t="s">
        <v>214</v>
      </c>
      <c r="K20" s="15">
        <f>IF(LEFT(J20,1)="X",PARAMETROS!$B$11,IF(LEFT(J20,1)="Y",PARAMETROS!$B$12,PARAMETROS!$B$13))</f>
        <v>0.84</v>
      </c>
      <c r="L20" s="14">
        <f>PARAMETROS!$B$7</f>
        <v>7</v>
      </c>
      <c r="M20" s="21">
        <f>ROUND(K20*I20*SQRT(L20/7),2)</f>
        <v>11.73</v>
      </c>
      <c r="N20" s="19">
        <f>ROUNDUP(H20*L20+M20,0)</f>
        <v>18</v>
      </c>
      <c r="O20" s="14">
        <v>0</v>
      </c>
      <c r="P20" s="19">
        <f>ROUNDUP(H20*(L20+PARAMETROS!$B$8)+M20,0)</f>
        <v>25</v>
      </c>
      <c r="Q20" s="19">
        <f>MAX(0,P20-O20)</f>
        <v>25</v>
      </c>
      <c r="R20" s="19">
        <f>ROUNDUP(H20*(L20+PARAMETROS!$B$9)+M20,0)</f>
        <v>31</v>
      </c>
      <c r="S20" s="19">
        <f>MAX(0,R20-O20)</f>
        <v>31</v>
      </c>
      <c r="T20" s="19">
        <f>ROUNDUP(H20*(L20+PARAMETROS!$B$10)+M20,0)</f>
        <v>45</v>
      </c>
      <c r="U20" s="19">
        <f>MAX(0,T20-O20)</f>
        <v>45</v>
      </c>
    </row>
    <row r="21" spans="1:21">
      <c r="A21" s="5" t="s">
        <v>220</v>
      </c>
      <c r="B21" s="5" t="s">
        <v>40</v>
      </c>
      <c r="C21" s="7">
        <v>17</v>
      </c>
      <c r="D21" s="7">
        <v>49</v>
      </c>
      <c r="E21" s="7">
        <v>45</v>
      </c>
      <c r="F21" s="7">
        <v>4</v>
      </c>
      <c r="G21" s="9">
        <v>0.9183673469387755</v>
      </c>
      <c r="H21" s="13">
        <v>0.8305</v>
      </c>
      <c r="I21" s="13">
        <v>6.8034</v>
      </c>
      <c r="J21" s="5" t="s">
        <v>214</v>
      </c>
      <c r="K21" s="15">
        <f>IF(LEFT(J21,1)="X",PARAMETROS!$B$11,IF(LEFT(J21,1)="Y",PARAMETROS!$B$12,PARAMETROS!$B$13))</f>
        <v>0.84</v>
      </c>
      <c r="L21" s="14">
        <f>PARAMETROS!$B$7</f>
        <v>7</v>
      </c>
      <c r="M21" s="13">
        <f>ROUND(K21*I21*SQRT(L21/7),2)</f>
        <v>5.71</v>
      </c>
      <c r="N21" s="7">
        <f>ROUNDUP(H21*L21+M21,0)</f>
        <v>12</v>
      </c>
      <c r="O21" s="14">
        <v>0</v>
      </c>
      <c r="P21" s="7">
        <f>ROUNDUP(H21*(L21+PARAMETROS!$B$8)+M21,0)</f>
        <v>18</v>
      </c>
      <c r="Q21" s="7">
        <f>MAX(0,P21-O21)</f>
        <v>18</v>
      </c>
      <c r="R21" s="7">
        <f>ROUNDUP(H21*(L21+PARAMETROS!$B$9)+M21,0)</f>
        <v>24</v>
      </c>
      <c r="S21" s="7">
        <f>MAX(0,R21-O21)</f>
        <v>24</v>
      </c>
      <c r="T21" s="7">
        <f>ROUNDUP(H21*(L21+PARAMETROS!$B$10)+M21,0)</f>
        <v>37</v>
      </c>
      <c r="U21" s="7">
        <f>MAX(0,T21-O21)</f>
        <v>37</v>
      </c>
    </row>
    <row r="22" spans="1:21">
      <c r="A22" s="18" t="s">
        <v>186</v>
      </c>
      <c r="B22" s="18" t="s">
        <v>40</v>
      </c>
      <c r="C22" s="19">
        <v>20</v>
      </c>
      <c r="D22" s="19">
        <v>46</v>
      </c>
      <c r="E22" s="19">
        <v>26</v>
      </c>
      <c r="F22" s="19">
        <v>20</v>
      </c>
      <c r="G22" s="20">
        <v>0.5652173913043478</v>
      </c>
      <c r="H22" s="21">
        <v>0.7796999999999999</v>
      </c>
      <c r="I22" s="21">
        <v>3.6645</v>
      </c>
      <c r="J22" s="18" t="s">
        <v>228</v>
      </c>
      <c r="K22" s="15">
        <f>IF(LEFT(J22,1)="X",PARAMETROS!$B$11,IF(LEFT(J22,1)="Y",PARAMETROS!$B$12,PARAMETROS!$B$13))</f>
        <v>1.28</v>
      </c>
      <c r="L22" s="14">
        <f>PARAMETROS!$B$7</f>
        <v>7</v>
      </c>
      <c r="M22" s="21">
        <f>ROUND(K22*I22*SQRT(L22/7),2)</f>
        <v>4.69</v>
      </c>
      <c r="N22" s="19">
        <f>ROUNDUP(H22*L22+M22,0)</f>
        <v>11</v>
      </c>
      <c r="O22" s="14">
        <v>0</v>
      </c>
      <c r="P22" s="19">
        <f>ROUNDUP(H22*(L22+PARAMETROS!$B$8)+M22,0)</f>
        <v>16</v>
      </c>
      <c r="Q22" s="19">
        <f>MAX(0,P22-O22)</f>
        <v>16</v>
      </c>
      <c r="R22" s="19">
        <f>ROUNDUP(H22*(L22+PARAMETROS!$B$9)+M22,0)</f>
        <v>22</v>
      </c>
      <c r="S22" s="19">
        <f>MAX(0,R22-O22)</f>
        <v>22</v>
      </c>
      <c r="T22" s="19">
        <f>ROUNDUP(H22*(L22+PARAMETROS!$B$10)+M22,0)</f>
        <v>34</v>
      </c>
      <c r="U22" s="19">
        <f>MAX(0,T22-O22)</f>
        <v>34</v>
      </c>
    </row>
    <row r="23" spans="1:21">
      <c r="A23" s="5" t="s">
        <v>259</v>
      </c>
      <c r="B23" s="5" t="s">
        <v>40</v>
      </c>
      <c r="C23" s="7">
        <v>16</v>
      </c>
      <c r="D23" s="7">
        <v>43</v>
      </c>
      <c r="E23" s="7">
        <v>28</v>
      </c>
      <c r="F23" s="7">
        <v>15</v>
      </c>
      <c r="G23" s="9">
        <v>0.6511627906976745</v>
      </c>
      <c r="H23" s="13">
        <v>0.7288</v>
      </c>
      <c r="I23" s="13">
        <v>6.9166</v>
      </c>
      <c r="J23" s="5" t="s">
        <v>214</v>
      </c>
      <c r="K23" s="15">
        <f>IF(LEFT(J23,1)="X",PARAMETROS!$B$11,IF(LEFT(J23,1)="Y",PARAMETROS!$B$12,PARAMETROS!$B$13))</f>
        <v>0.84</v>
      </c>
      <c r="L23" s="14">
        <f>PARAMETROS!$B$7</f>
        <v>7</v>
      </c>
      <c r="M23" s="13">
        <f>ROUND(K23*I23*SQRT(L23/7),2)</f>
        <v>5.81</v>
      </c>
      <c r="N23" s="7">
        <f>ROUNDUP(H23*L23+M23,0)</f>
        <v>11</v>
      </c>
      <c r="O23" s="14">
        <v>0</v>
      </c>
      <c r="P23" s="7">
        <f>ROUNDUP(H23*(L23+PARAMETROS!$B$8)+M23,0)</f>
        <v>17</v>
      </c>
      <c r="Q23" s="7">
        <f>MAX(0,P23-O23)</f>
        <v>17</v>
      </c>
      <c r="R23" s="7">
        <f>ROUNDUP(H23*(L23+PARAMETROS!$B$9)+M23,0)</f>
        <v>22</v>
      </c>
      <c r="S23" s="7">
        <f>MAX(0,R23-O23)</f>
        <v>22</v>
      </c>
      <c r="T23" s="7">
        <f>ROUNDUP(H23*(L23+PARAMETROS!$B$10)+M23,0)</f>
        <v>33</v>
      </c>
      <c r="U23" s="7">
        <f>MAX(0,T23-O23)</f>
        <v>33</v>
      </c>
    </row>
    <row r="24" spans="1:21">
      <c r="A24" s="18" t="s">
        <v>258</v>
      </c>
      <c r="B24" s="18" t="s">
        <v>216</v>
      </c>
      <c r="C24" s="19">
        <v>3</v>
      </c>
      <c r="D24" s="19">
        <v>41</v>
      </c>
      <c r="E24" s="19">
        <v>41</v>
      </c>
      <c r="F24" s="19">
        <v>0</v>
      </c>
      <c r="G24" s="20">
        <v>1</v>
      </c>
      <c r="H24" s="21">
        <v>0.6949</v>
      </c>
      <c r="I24" s="21">
        <v>14.096</v>
      </c>
      <c r="J24" s="18" t="s">
        <v>214</v>
      </c>
      <c r="K24" s="15">
        <f>IF(LEFT(J24,1)="X",PARAMETROS!$B$11,IF(LEFT(J24,1)="Y",PARAMETROS!$B$12,PARAMETROS!$B$13))</f>
        <v>0.84</v>
      </c>
      <c r="L24" s="14">
        <f>PARAMETROS!$B$7</f>
        <v>7</v>
      </c>
      <c r="M24" s="21">
        <f>ROUND(K24*I24*SQRT(L24/7),2)</f>
        <v>11.84</v>
      </c>
      <c r="N24" s="19">
        <f>ROUNDUP(H24*L24+M24,0)</f>
        <v>17</v>
      </c>
      <c r="O24" s="14">
        <v>0</v>
      </c>
      <c r="P24" s="19">
        <f>ROUNDUP(H24*(L24+PARAMETROS!$B$8)+M24,0)</f>
        <v>22</v>
      </c>
      <c r="Q24" s="19">
        <f>MAX(0,P24-O24)</f>
        <v>22</v>
      </c>
      <c r="R24" s="19">
        <f>ROUNDUP(H24*(L24+PARAMETROS!$B$9)+M24,0)</f>
        <v>27</v>
      </c>
      <c r="S24" s="19">
        <f>MAX(0,R24-O24)</f>
        <v>27</v>
      </c>
      <c r="T24" s="19">
        <f>ROUNDUP(H24*(L24+PARAMETROS!$B$10)+M24,0)</f>
        <v>38</v>
      </c>
      <c r="U24" s="19">
        <f>MAX(0,T24-O24)</f>
        <v>38</v>
      </c>
    </row>
    <row r="25" spans="1:21">
      <c r="A25" s="5" t="s">
        <v>268</v>
      </c>
      <c r="B25" s="5" t="s">
        <v>216</v>
      </c>
      <c r="C25" s="7">
        <v>2</v>
      </c>
      <c r="D25" s="7">
        <v>40</v>
      </c>
      <c r="E25" s="7">
        <v>40</v>
      </c>
      <c r="F25" s="7">
        <v>0</v>
      </c>
      <c r="G25" s="9">
        <v>1</v>
      </c>
      <c r="H25" s="13">
        <v>0.678</v>
      </c>
      <c r="I25" s="13">
        <v>9.2582</v>
      </c>
      <c r="J25" s="5" t="s">
        <v>214</v>
      </c>
      <c r="K25" s="15">
        <f>IF(LEFT(J25,1)="X",PARAMETROS!$B$11,IF(LEFT(J25,1)="Y",PARAMETROS!$B$12,PARAMETROS!$B$13))</f>
        <v>0.84</v>
      </c>
      <c r="L25" s="14">
        <f>PARAMETROS!$B$7</f>
        <v>7</v>
      </c>
      <c r="M25" s="13">
        <f>ROUND(K25*I25*SQRT(L25/7),2)</f>
        <v>7.78</v>
      </c>
      <c r="N25" s="7">
        <f>ROUNDUP(H25*L25+M25,0)</f>
        <v>13</v>
      </c>
      <c r="O25" s="14">
        <v>0</v>
      </c>
      <c r="P25" s="7">
        <f>ROUNDUP(H25*(L25+PARAMETROS!$B$8)+M25,0)</f>
        <v>18</v>
      </c>
      <c r="Q25" s="7">
        <f>MAX(0,P25-O25)</f>
        <v>18</v>
      </c>
      <c r="R25" s="7">
        <f>ROUNDUP(H25*(L25+PARAMETROS!$B$9)+M25,0)</f>
        <v>23</v>
      </c>
      <c r="S25" s="7">
        <f>MAX(0,R25-O25)</f>
        <v>23</v>
      </c>
      <c r="T25" s="7">
        <f>ROUNDUP(H25*(L25+PARAMETROS!$B$10)+M25,0)</f>
        <v>33</v>
      </c>
      <c r="U25" s="7">
        <f>MAX(0,T25-O25)</f>
        <v>33</v>
      </c>
    </row>
    <row r="26" spans="1:21">
      <c r="A26" s="18" t="s">
        <v>236</v>
      </c>
      <c r="B26" s="18" t="s">
        <v>40</v>
      </c>
      <c r="C26" s="19">
        <v>19</v>
      </c>
      <c r="D26" s="19">
        <v>38</v>
      </c>
      <c r="E26" s="19">
        <v>34</v>
      </c>
      <c r="F26" s="19">
        <v>4</v>
      </c>
      <c r="G26" s="20">
        <v>0.8947368421052632</v>
      </c>
      <c r="H26" s="21">
        <v>0.6441</v>
      </c>
      <c r="I26" s="21">
        <v>3.3806</v>
      </c>
      <c r="J26" s="18" t="s">
        <v>228</v>
      </c>
      <c r="K26" s="15">
        <f>IF(LEFT(J26,1)="X",PARAMETROS!$B$11,IF(LEFT(J26,1)="Y",PARAMETROS!$B$12,PARAMETROS!$B$13))</f>
        <v>1.28</v>
      </c>
      <c r="L26" s="14">
        <f>PARAMETROS!$B$7</f>
        <v>7</v>
      </c>
      <c r="M26" s="21">
        <f>ROUND(K26*I26*SQRT(L26/7),2)</f>
        <v>4.33</v>
      </c>
      <c r="N26" s="19">
        <f>ROUNDUP(H26*L26+M26,0)</f>
        <v>9</v>
      </c>
      <c r="O26" s="14">
        <v>0</v>
      </c>
      <c r="P26" s="19">
        <f>ROUNDUP(H26*(L26+PARAMETROS!$B$8)+M26,0)</f>
        <v>14</v>
      </c>
      <c r="Q26" s="19">
        <f>MAX(0,P26-O26)</f>
        <v>14</v>
      </c>
      <c r="R26" s="19">
        <f>ROUNDUP(H26*(L26+PARAMETROS!$B$9)+M26,0)</f>
        <v>18</v>
      </c>
      <c r="S26" s="19">
        <f>MAX(0,R26-O26)</f>
        <v>18</v>
      </c>
      <c r="T26" s="19">
        <f>ROUNDUP(H26*(L26+PARAMETROS!$B$10)+M26,0)</f>
        <v>29</v>
      </c>
      <c r="U26" s="19">
        <f>MAX(0,T26-O26)</f>
        <v>29</v>
      </c>
    </row>
    <row r="27" spans="1:21">
      <c r="A27" s="5" t="s">
        <v>193</v>
      </c>
      <c r="B27" s="5" t="s">
        <v>216</v>
      </c>
      <c r="C27" s="7">
        <v>18</v>
      </c>
      <c r="D27" s="7">
        <v>36</v>
      </c>
      <c r="E27" s="7">
        <v>31</v>
      </c>
      <c r="F27" s="7">
        <v>5</v>
      </c>
      <c r="G27" s="9">
        <v>0.8611111111111112</v>
      </c>
      <c r="H27" s="13">
        <v>0.6102</v>
      </c>
      <c r="I27" s="13">
        <v>3.2842</v>
      </c>
      <c r="J27" s="5" t="s">
        <v>228</v>
      </c>
      <c r="K27" s="15">
        <f>IF(LEFT(J27,1)="X",PARAMETROS!$B$11,IF(LEFT(J27,1)="Y",PARAMETROS!$B$12,PARAMETROS!$B$13))</f>
        <v>1.28</v>
      </c>
      <c r="L27" s="14">
        <f>PARAMETROS!$B$7</f>
        <v>7</v>
      </c>
      <c r="M27" s="13">
        <f>ROUND(K27*I27*SQRT(L27/7),2)</f>
        <v>4.2</v>
      </c>
      <c r="N27" s="7">
        <f>ROUNDUP(H27*L27+M27,0)</f>
        <v>9</v>
      </c>
      <c r="O27" s="14">
        <v>0</v>
      </c>
      <c r="P27" s="7">
        <f>ROUNDUP(H27*(L27+PARAMETROS!$B$8)+M27,0)</f>
        <v>13</v>
      </c>
      <c r="Q27" s="7">
        <f>MAX(0,P27-O27)</f>
        <v>13</v>
      </c>
      <c r="R27" s="7">
        <f>ROUNDUP(H27*(L27+PARAMETROS!$B$9)+M27,0)</f>
        <v>18</v>
      </c>
      <c r="S27" s="7">
        <f>MAX(0,R27-O27)</f>
        <v>18</v>
      </c>
      <c r="T27" s="7">
        <f>ROUNDUP(H27*(L27+PARAMETROS!$B$10)+M27,0)</f>
        <v>27</v>
      </c>
      <c r="U27" s="7">
        <f>MAX(0,T27-O27)</f>
        <v>27</v>
      </c>
    </row>
    <row r="28" spans="1:21">
      <c r="A28" s="18" t="s">
        <v>217</v>
      </c>
      <c r="B28" s="18" t="s">
        <v>216</v>
      </c>
      <c r="C28" s="19">
        <v>16</v>
      </c>
      <c r="D28" s="19">
        <v>34</v>
      </c>
      <c r="E28" s="19">
        <v>34</v>
      </c>
      <c r="F28" s="19">
        <v>0</v>
      </c>
      <c r="G28" s="20">
        <v>1</v>
      </c>
      <c r="H28" s="21">
        <v>0.5763</v>
      </c>
      <c r="I28" s="21">
        <v>3.8173</v>
      </c>
      <c r="J28" s="18" t="s">
        <v>228</v>
      </c>
      <c r="K28" s="15">
        <f>IF(LEFT(J28,1)="X",PARAMETROS!$B$11,IF(LEFT(J28,1)="Y",PARAMETROS!$B$12,PARAMETROS!$B$13))</f>
        <v>1.28</v>
      </c>
      <c r="L28" s="14">
        <f>PARAMETROS!$B$7</f>
        <v>7</v>
      </c>
      <c r="M28" s="21">
        <f>ROUND(K28*I28*SQRT(L28/7),2)</f>
        <v>4.89</v>
      </c>
      <c r="N28" s="19">
        <f>ROUNDUP(H28*L28+M28,0)</f>
        <v>9</v>
      </c>
      <c r="O28" s="14">
        <v>0</v>
      </c>
      <c r="P28" s="19">
        <f>ROUNDUP(H28*(L28+PARAMETROS!$B$8)+M28,0)</f>
        <v>13</v>
      </c>
      <c r="Q28" s="19">
        <f>MAX(0,P28-O28)</f>
        <v>13</v>
      </c>
      <c r="R28" s="19">
        <f>ROUNDUP(H28*(L28+PARAMETROS!$B$9)+M28,0)</f>
        <v>17</v>
      </c>
      <c r="S28" s="19">
        <f>MAX(0,R28-O28)</f>
        <v>17</v>
      </c>
      <c r="T28" s="19">
        <f>ROUNDUP(H28*(L28+PARAMETROS!$B$10)+M28,0)</f>
        <v>27</v>
      </c>
      <c r="U28" s="19">
        <f>MAX(0,T28-O28)</f>
        <v>27</v>
      </c>
    </row>
    <row r="29" spans="1:21">
      <c r="A29" s="5" t="s">
        <v>269</v>
      </c>
      <c r="B29" s="5" t="s">
        <v>40</v>
      </c>
      <c r="C29" s="7">
        <v>14</v>
      </c>
      <c r="D29" s="7">
        <v>22</v>
      </c>
      <c r="E29" s="7">
        <v>21</v>
      </c>
      <c r="F29" s="7">
        <v>1</v>
      </c>
      <c r="G29" s="9">
        <v>0.9545454545454546</v>
      </c>
      <c r="H29" s="13">
        <v>0.3729</v>
      </c>
      <c r="I29" s="13">
        <v>3.9188</v>
      </c>
      <c r="J29" s="5" t="s">
        <v>214</v>
      </c>
      <c r="K29" s="15">
        <f>IF(LEFT(J29,1)="X",PARAMETROS!$B$11,IF(LEFT(J29,1)="Y",PARAMETROS!$B$12,PARAMETROS!$B$13))</f>
        <v>0.84</v>
      </c>
      <c r="L29" s="14">
        <f>PARAMETROS!$B$7</f>
        <v>7</v>
      </c>
      <c r="M29" s="13">
        <f>ROUND(K29*I29*SQRT(L29/7),2)</f>
        <v>3.29</v>
      </c>
      <c r="N29" s="7">
        <f>ROUNDUP(H29*L29+M29,0)</f>
        <v>6</v>
      </c>
      <c r="O29" s="14">
        <v>0</v>
      </c>
      <c r="P29" s="7">
        <f>ROUNDUP(H29*(L29+PARAMETROS!$B$8)+M29,0)</f>
        <v>9</v>
      </c>
      <c r="Q29" s="7">
        <f>MAX(0,P29-O29)</f>
        <v>9</v>
      </c>
      <c r="R29" s="7">
        <f>ROUNDUP(H29*(L29+PARAMETROS!$B$9)+M29,0)</f>
        <v>12</v>
      </c>
      <c r="S29" s="7">
        <f>MAX(0,R29-O29)</f>
        <v>12</v>
      </c>
      <c r="T29" s="7">
        <f>ROUNDUP(H29*(L29+PARAMETROS!$B$10)+M29,0)</f>
        <v>18</v>
      </c>
      <c r="U29" s="7">
        <f>MAX(0,T29-O29)</f>
        <v>18</v>
      </c>
    </row>
    <row r="30" spans="1:21">
      <c r="A30" s="18" t="s">
        <v>218</v>
      </c>
      <c r="B30" s="18" t="s">
        <v>219</v>
      </c>
      <c r="C30" s="19">
        <v>3</v>
      </c>
      <c r="D30" s="19">
        <v>21</v>
      </c>
      <c r="E30" s="19">
        <v>21</v>
      </c>
      <c r="F30" s="19">
        <v>0</v>
      </c>
      <c r="G30" s="20">
        <v>1</v>
      </c>
      <c r="H30" s="21">
        <v>0.3559</v>
      </c>
      <c r="I30" s="21">
        <v>5.2898</v>
      </c>
      <c r="J30" s="18" t="s">
        <v>214</v>
      </c>
      <c r="K30" s="15">
        <f>IF(LEFT(J30,1)="X",PARAMETROS!$B$11,IF(LEFT(J30,1)="Y",PARAMETROS!$B$12,PARAMETROS!$B$13))</f>
        <v>0.84</v>
      </c>
      <c r="L30" s="14">
        <f>PARAMETROS!$B$7</f>
        <v>7</v>
      </c>
      <c r="M30" s="21">
        <f>ROUND(K30*I30*SQRT(L30/7),2)</f>
        <v>4.44</v>
      </c>
      <c r="N30" s="19">
        <f>ROUNDUP(H30*L30+M30,0)</f>
        <v>7</v>
      </c>
      <c r="O30" s="14">
        <v>0</v>
      </c>
      <c r="P30" s="19">
        <f>ROUNDUP(H30*(L30+PARAMETROS!$B$8)+M30,0)</f>
        <v>10</v>
      </c>
      <c r="Q30" s="19">
        <f>MAX(0,P30-O30)</f>
        <v>10</v>
      </c>
      <c r="R30" s="19">
        <f>ROUNDUP(H30*(L30+PARAMETROS!$B$9)+M30,0)</f>
        <v>12</v>
      </c>
      <c r="S30" s="19">
        <f>MAX(0,R30-O30)</f>
        <v>12</v>
      </c>
      <c r="T30" s="19">
        <f>ROUNDUP(H30*(L30+PARAMETROS!$B$10)+M30,0)</f>
        <v>18</v>
      </c>
      <c r="U30" s="19">
        <f>MAX(0,T30-O30)</f>
        <v>18</v>
      </c>
    </row>
    <row r="31" spans="1:21">
      <c r="A31" s="5" t="s">
        <v>270</v>
      </c>
      <c r="B31" s="5" t="s">
        <v>40</v>
      </c>
      <c r="C31" s="7">
        <v>3</v>
      </c>
      <c r="D31" s="7">
        <v>20</v>
      </c>
      <c r="E31" s="7">
        <v>20</v>
      </c>
      <c r="F31" s="7">
        <v>0</v>
      </c>
      <c r="G31" s="9">
        <v>1</v>
      </c>
      <c r="H31" s="13">
        <v>0.339</v>
      </c>
      <c r="I31" s="13">
        <v>4.6291</v>
      </c>
      <c r="J31" s="5" t="s">
        <v>214</v>
      </c>
      <c r="K31" s="15">
        <f>IF(LEFT(J31,1)="X",PARAMETROS!$B$11,IF(LEFT(J31,1)="Y",PARAMETROS!$B$12,PARAMETROS!$B$13))</f>
        <v>0.84</v>
      </c>
      <c r="L31" s="14">
        <f>PARAMETROS!$B$7</f>
        <v>7</v>
      </c>
      <c r="M31" s="13">
        <f>ROUND(K31*I31*SQRT(L31/7),2)</f>
        <v>3.89</v>
      </c>
      <c r="N31" s="7">
        <f>ROUNDUP(H31*L31+M31,0)</f>
        <v>7</v>
      </c>
      <c r="O31" s="14">
        <v>0</v>
      </c>
      <c r="P31" s="7">
        <f>ROUNDUP(H31*(L31+PARAMETROS!$B$8)+M31,0)</f>
        <v>9</v>
      </c>
      <c r="Q31" s="7">
        <f>MAX(0,P31-O31)</f>
        <v>9</v>
      </c>
      <c r="R31" s="7">
        <f>ROUNDUP(H31*(L31+PARAMETROS!$B$9)+M31,0)</f>
        <v>12</v>
      </c>
      <c r="S31" s="7">
        <f>MAX(0,R31-O31)</f>
        <v>12</v>
      </c>
      <c r="T31" s="7">
        <f>ROUNDUP(H31*(L31+PARAMETROS!$B$10)+M31,0)</f>
        <v>17</v>
      </c>
      <c r="U31" s="7">
        <f>MAX(0,T31-O31)</f>
        <v>17</v>
      </c>
    </row>
    <row r="32" spans="1:21">
      <c r="A32" s="18" t="s">
        <v>227</v>
      </c>
      <c r="B32" s="18" t="s">
        <v>216</v>
      </c>
      <c r="C32" s="19">
        <v>13</v>
      </c>
      <c r="D32" s="19">
        <v>19</v>
      </c>
      <c r="E32" s="19">
        <v>15</v>
      </c>
      <c r="F32" s="19">
        <v>4</v>
      </c>
      <c r="G32" s="20">
        <v>0.7894736842105263</v>
      </c>
      <c r="H32" s="21">
        <v>0.322</v>
      </c>
      <c r="I32" s="21">
        <v>2.0659</v>
      </c>
      <c r="J32" s="18" t="s">
        <v>228</v>
      </c>
      <c r="K32" s="15">
        <f>IF(LEFT(J32,1)="X",PARAMETROS!$B$11,IF(LEFT(J32,1)="Y",PARAMETROS!$B$12,PARAMETROS!$B$13))</f>
        <v>1.28</v>
      </c>
      <c r="L32" s="14">
        <f>PARAMETROS!$B$7</f>
        <v>7</v>
      </c>
      <c r="M32" s="21">
        <f>ROUND(K32*I32*SQRT(L32/7),2)</f>
        <v>2.64</v>
      </c>
      <c r="N32" s="19">
        <f>ROUNDUP(H32*L32+M32,0)</f>
        <v>5</v>
      </c>
      <c r="O32" s="14">
        <v>0</v>
      </c>
      <c r="P32" s="19">
        <f>ROUNDUP(H32*(L32+PARAMETROS!$B$8)+M32,0)</f>
        <v>8</v>
      </c>
      <c r="Q32" s="19">
        <f>MAX(0,P32-O32)</f>
        <v>8</v>
      </c>
      <c r="R32" s="19">
        <f>ROUNDUP(H32*(L32+PARAMETROS!$B$9)+M32,0)</f>
        <v>10</v>
      </c>
      <c r="S32" s="19">
        <f>MAX(0,R32-O32)</f>
        <v>10</v>
      </c>
      <c r="T32" s="19">
        <f>ROUNDUP(H32*(L32+PARAMETROS!$B$10)+M32,0)</f>
        <v>15</v>
      </c>
      <c r="U32" s="19">
        <f>MAX(0,T32-O32)</f>
        <v>15</v>
      </c>
    </row>
    <row r="33" spans="1:21">
      <c r="A33" s="5" t="s">
        <v>235</v>
      </c>
      <c r="B33" s="5" t="s">
        <v>47</v>
      </c>
      <c r="C33" s="7">
        <v>15</v>
      </c>
      <c r="D33" s="7">
        <v>18</v>
      </c>
      <c r="E33" s="7">
        <v>18</v>
      </c>
      <c r="F33" s="7">
        <v>0</v>
      </c>
      <c r="G33" s="9">
        <v>1</v>
      </c>
      <c r="H33" s="13">
        <v>0.3051</v>
      </c>
      <c r="I33" s="13">
        <v>2.2678</v>
      </c>
      <c r="J33" s="5" t="s">
        <v>214</v>
      </c>
      <c r="K33" s="15">
        <f>IF(LEFT(J33,1)="X",PARAMETROS!$B$11,IF(LEFT(J33,1)="Y",PARAMETROS!$B$12,PARAMETROS!$B$13))</f>
        <v>0.84</v>
      </c>
      <c r="L33" s="14">
        <f>PARAMETROS!$B$7</f>
        <v>7</v>
      </c>
      <c r="M33" s="13">
        <f>ROUND(K33*I33*SQRT(L33/7),2)</f>
        <v>1.9</v>
      </c>
      <c r="N33" s="7">
        <f>ROUNDUP(H33*L33+M33,0)</f>
        <v>5</v>
      </c>
      <c r="O33" s="14">
        <v>0</v>
      </c>
      <c r="P33" s="7">
        <f>ROUNDUP(H33*(L33+PARAMETROS!$B$8)+M33,0)</f>
        <v>7</v>
      </c>
      <c r="Q33" s="7">
        <f>MAX(0,P33-O33)</f>
        <v>7</v>
      </c>
      <c r="R33" s="7">
        <f>ROUNDUP(H33*(L33+PARAMETROS!$B$9)+M33,0)</f>
        <v>9</v>
      </c>
      <c r="S33" s="7">
        <f>MAX(0,R33-O33)</f>
        <v>9</v>
      </c>
      <c r="T33" s="7">
        <f>ROUNDUP(H33*(L33+PARAMETROS!$B$10)+M33,0)</f>
        <v>14</v>
      </c>
      <c r="U33" s="7">
        <f>MAX(0,T33-O33)</f>
        <v>14</v>
      </c>
    </row>
    <row r="34" spans="1:21">
      <c r="A34" s="18" t="s">
        <v>190</v>
      </c>
      <c r="B34" s="18" t="s">
        <v>47</v>
      </c>
      <c r="C34" s="19">
        <v>11</v>
      </c>
      <c r="D34" s="19">
        <v>18</v>
      </c>
      <c r="E34" s="19">
        <v>11</v>
      </c>
      <c r="F34" s="19">
        <v>7</v>
      </c>
      <c r="G34" s="20">
        <v>0.6111111111111112</v>
      </c>
      <c r="H34" s="21">
        <v>0.3051</v>
      </c>
      <c r="I34" s="21">
        <v>2.7775</v>
      </c>
      <c r="J34" s="18" t="s">
        <v>214</v>
      </c>
      <c r="K34" s="15">
        <f>IF(LEFT(J34,1)="X",PARAMETROS!$B$11,IF(LEFT(J34,1)="Y",PARAMETROS!$B$12,PARAMETROS!$B$13))</f>
        <v>0.84</v>
      </c>
      <c r="L34" s="14">
        <f>PARAMETROS!$B$7</f>
        <v>7</v>
      </c>
      <c r="M34" s="21">
        <f>ROUND(K34*I34*SQRT(L34/7),2)</f>
        <v>2.33</v>
      </c>
      <c r="N34" s="19">
        <f>ROUNDUP(H34*L34+M34,0)</f>
        <v>5</v>
      </c>
      <c r="O34" s="14">
        <v>0</v>
      </c>
      <c r="P34" s="19">
        <f>ROUNDUP(H34*(L34+PARAMETROS!$B$8)+M34,0)</f>
        <v>7</v>
      </c>
      <c r="Q34" s="19">
        <f>MAX(0,P34-O34)</f>
        <v>7</v>
      </c>
      <c r="R34" s="19">
        <f>ROUNDUP(H34*(L34+PARAMETROS!$B$9)+M34,0)</f>
        <v>9</v>
      </c>
      <c r="S34" s="19">
        <f>MAX(0,R34-O34)</f>
        <v>9</v>
      </c>
      <c r="T34" s="19">
        <f>ROUNDUP(H34*(L34+PARAMETROS!$B$10)+M34,0)</f>
        <v>14</v>
      </c>
      <c r="U34" s="19">
        <f>MAX(0,T34-O34)</f>
        <v>14</v>
      </c>
    </row>
    <row r="35" spans="1:21">
      <c r="A35" s="5" t="s">
        <v>187</v>
      </c>
      <c r="B35" s="5" t="s">
        <v>216</v>
      </c>
      <c r="C35" s="7">
        <v>13</v>
      </c>
      <c r="D35" s="7">
        <v>18</v>
      </c>
      <c r="E35" s="7">
        <v>3</v>
      </c>
      <c r="F35" s="7">
        <v>15</v>
      </c>
      <c r="G35" s="9">
        <v>0.1666666666666667</v>
      </c>
      <c r="H35" s="13">
        <v>0.3051</v>
      </c>
      <c r="I35" s="13">
        <v>2.2321</v>
      </c>
      <c r="J35" s="5" t="s">
        <v>214</v>
      </c>
      <c r="K35" s="15">
        <f>IF(LEFT(J35,1)="X",PARAMETROS!$B$11,IF(LEFT(J35,1)="Y",PARAMETROS!$B$12,PARAMETROS!$B$13))</f>
        <v>0.84</v>
      </c>
      <c r="L35" s="14">
        <f>PARAMETROS!$B$7</f>
        <v>7</v>
      </c>
      <c r="M35" s="13">
        <f>ROUND(K35*I35*SQRT(L35/7),2)</f>
        <v>1.87</v>
      </c>
      <c r="N35" s="7">
        <f>ROUNDUP(H35*L35+M35,0)</f>
        <v>5</v>
      </c>
      <c r="O35" s="14">
        <v>0</v>
      </c>
      <c r="P35" s="7">
        <f>ROUNDUP(H35*(L35+PARAMETROS!$B$8)+M35,0)</f>
        <v>7</v>
      </c>
      <c r="Q35" s="7">
        <f>MAX(0,P35-O35)</f>
        <v>7</v>
      </c>
      <c r="R35" s="7">
        <f>ROUNDUP(H35*(L35+PARAMETROS!$B$9)+M35,0)</f>
        <v>9</v>
      </c>
      <c r="S35" s="7">
        <f>MAX(0,R35-O35)</f>
        <v>9</v>
      </c>
      <c r="T35" s="7">
        <f>ROUNDUP(H35*(L35+PARAMETROS!$B$10)+M35,0)</f>
        <v>14</v>
      </c>
      <c r="U35" s="7">
        <f>MAX(0,T35-O35)</f>
        <v>14</v>
      </c>
    </row>
    <row r="36" spans="1:21">
      <c r="A36" s="18" t="s">
        <v>189</v>
      </c>
      <c r="B36" s="18" t="s">
        <v>47</v>
      </c>
      <c r="C36" s="19">
        <v>7</v>
      </c>
      <c r="D36" s="19">
        <v>17</v>
      </c>
      <c r="E36" s="19">
        <v>5</v>
      </c>
      <c r="F36" s="19">
        <v>12</v>
      </c>
      <c r="G36" s="20">
        <v>0.2941176470588235</v>
      </c>
      <c r="H36" s="21">
        <v>0.2881</v>
      </c>
      <c r="I36" s="21">
        <v>2.1002</v>
      </c>
      <c r="J36" s="18" t="s">
        <v>214</v>
      </c>
      <c r="K36" s="15">
        <f>IF(LEFT(J36,1)="X",PARAMETROS!$B$11,IF(LEFT(J36,1)="Y",PARAMETROS!$B$12,PARAMETROS!$B$13))</f>
        <v>0.84</v>
      </c>
      <c r="L36" s="14">
        <f>PARAMETROS!$B$7</f>
        <v>7</v>
      </c>
      <c r="M36" s="21">
        <f>ROUND(K36*I36*SQRT(L36/7),2)</f>
        <v>1.76</v>
      </c>
      <c r="N36" s="19">
        <f>ROUNDUP(H36*L36+M36,0)</f>
        <v>4</v>
      </c>
      <c r="O36" s="14">
        <v>0</v>
      </c>
      <c r="P36" s="19">
        <f>ROUNDUP(H36*(L36+PARAMETROS!$B$8)+M36,0)</f>
        <v>6</v>
      </c>
      <c r="Q36" s="19">
        <f>MAX(0,P36-O36)</f>
        <v>6</v>
      </c>
      <c r="R36" s="19">
        <f>ROUNDUP(H36*(L36+PARAMETROS!$B$9)+M36,0)</f>
        <v>8</v>
      </c>
      <c r="S36" s="19">
        <f>MAX(0,R36-O36)</f>
        <v>8</v>
      </c>
      <c r="T36" s="19">
        <f>ROUNDUP(H36*(L36+PARAMETROS!$B$10)+M36,0)</f>
        <v>13</v>
      </c>
      <c r="U36" s="19">
        <f>MAX(0,T36-O36)</f>
        <v>13</v>
      </c>
    </row>
    <row r="37" spans="1:21">
      <c r="A37" s="5" t="s">
        <v>188</v>
      </c>
      <c r="B37" s="5" t="s">
        <v>216</v>
      </c>
      <c r="C37" s="7">
        <v>16</v>
      </c>
      <c r="D37" s="7">
        <v>16</v>
      </c>
      <c r="E37" s="7">
        <v>10</v>
      </c>
      <c r="F37" s="7">
        <v>6</v>
      </c>
      <c r="G37" s="9">
        <v>0.625</v>
      </c>
      <c r="H37" s="13">
        <v>0.2712</v>
      </c>
      <c r="I37" s="13">
        <v>1.0351</v>
      </c>
      <c r="J37" s="5" t="s">
        <v>228</v>
      </c>
      <c r="K37" s="15">
        <f>IF(LEFT(J37,1)="X",PARAMETROS!$B$11,IF(LEFT(J37,1)="Y",PARAMETROS!$B$12,PARAMETROS!$B$13))</f>
        <v>1.28</v>
      </c>
      <c r="L37" s="14">
        <f>PARAMETROS!$B$7</f>
        <v>7</v>
      </c>
      <c r="M37" s="13">
        <f>ROUND(K37*I37*SQRT(L37/7),2)</f>
        <v>1.32</v>
      </c>
      <c r="N37" s="7">
        <f>ROUNDUP(H37*L37+M37,0)</f>
        <v>4</v>
      </c>
      <c r="O37" s="14">
        <v>0</v>
      </c>
      <c r="P37" s="7">
        <f>ROUNDUP(H37*(L37+PARAMETROS!$B$8)+M37,0)</f>
        <v>6</v>
      </c>
      <c r="Q37" s="7">
        <f>MAX(0,P37-O37)</f>
        <v>6</v>
      </c>
      <c r="R37" s="7">
        <f>ROUNDUP(H37*(L37+PARAMETROS!$B$9)+M37,0)</f>
        <v>8</v>
      </c>
      <c r="S37" s="7">
        <f>MAX(0,R37-O37)</f>
        <v>8</v>
      </c>
      <c r="T37" s="7">
        <f>ROUNDUP(H37*(L37+PARAMETROS!$B$10)+M37,0)</f>
        <v>12</v>
      </c>
      <c r="U37" s="7">
        <f>MAX(0,T37-O37)</f>
        <v>12</v>
      </c>
    </row>
    <row r="38" spans="1:21">
      <c r="A38" s="18" t="s">
        <v>238</v>
      </c>
      <c r="B38" s="18" t="s">
        <v>47</v>
      </c>
      <c r="C38" s="19">
        <v>12</v>
      </c>
      <c r="D38" s="19">
        <v>14</v>
      </c>
      <c r="E38" s="19">
        <v>14</v>
      </c>
      <c r="F38" s="19">
        <v>0</v>
      </c>
      <c r="G38" s="20">
        <v>1</v>
      </c>
      <c r="H38" s="21">
        <v>0.2373</v>
      </c>
      <c r="I38" s="21">
        <v>1.6036</v>
      </c>
      <c r="J38" s="18" t="s">
        <v>214</v>
      </c>
      <c r="K38" s="15">
        <f>IF(LEFT(J38,1)="X",PARAMETROS!$B$11,IF(LEFT(J38,1)="Y",PARAMETROS!$B$12,PARAMETROS!$B$13))</f>
        <v>0.84</v>
      </c>
      <c r="L38" s="14">
        <f>PARAMETROS!$B$7</f>
        <v>7</v>
      </c>
      <c r="M38" s="21">
        <f>ROUND(K38*I38*SQRT(L38/7),2)</f>
        <v>1.35</v>
      </c>
      <c r="N38" s="19">
        <f>ROUNDUP(H38*L38+M38,0)</f>
        <v>4</v>
      </c>
      <c r="O38" s="14">
        <v>0</v>
      </c>
      <c r="P38" s="19">
        <f>ROUNDUP(H38*(L38+PARAMETROS!$B$8)+M38,0)</f>
        <v>5</v>
      </c>
      <c r="Q38" s="19">
        <f>MAX(0,P38-O38)</f>
        <v>5</v>
      </c>
      <c r="R38" s="19">
        <f>ROUNDUP(H38*(L38+PARAMETROS!$B$9)+M38,0)</f>
        <v>7</v>
      </c>
      <c r="S38" s="19">
        <f>MAX(0,R38-O38)</f>
        <v>7</v>
      </c>
      <c r="T38" s="19">
        <f>ROUNDUP(H38*(L38+PARAMETROS!$B$10)+M38,0)</f>
        <v>11</v>
      </c>
      <c r="U38" s="19">
        <f>MAX(0,T38-O38)</f>
        <v>11</v>
      </c>
    </row>
    <row r="39" spans="1:21">
      <c r="A39" s="5" t="s">
        <v>192</v>
      </c>
      <c r="B39" s="5" t="s">
        <v>216</v>
      </c>
      <c r="C39" s="7">
        <v>8</v>
      </c>
      <c r="D39" s="7">
        <v>14</v>
      </c>
      <c r="E39" s="7">
        <v>8</v>
      </c>
      <c r="F39" s="7">
        <v>6</v>
      </c>
      <c r="G39" s="9">
        <v>0.5714285714285714</v>
      </c>
      <c r="H39" s="13">
        <v>0.2373</v>
      </c>
      <c r="I39" s="13">
        <v>1.669</v>
      </c>
      <c r="J39" s="5" t="s">
        <v>228</v>
      </c>
      <c r="K39" s="15">
        <f>IF(LEFT(J39,1)="X",PARAMETROS!$B$11,IF(LEFT(J39,1)="Y",PARAMETROS!$B$12,PARAMETROS!$B$13))</f>
        <v>1.28</v>
      </c>
      <c r="L39" s="14">
        <f>PARAMETROS!$B$7</f>
        <v>7</v>
      </c>
      <c r="M39" s="13">
        <f>ROUND(K39*I39*SQRT(L39/7),2)</f>
        <v>2.14</v>
      </c>
      <c r="N39" s="7">
        <f>ROUNDUP(H39*L39+M39,0)</f>
        <v>4</v>
      </c>
      <c r="O39" s="14">
        <v>0</v>
      </c>
      <c r="P39" s="7">
        <f>ROUNDUP(H39*(L39+PARAMETROS!$B$8)+M39,0)</f>
        <v>6</v>
      </c>
      <c r="Q39" s="7">
        <f>MAX(0,P39-O39)</f>
        <v>6</v>
      </c>
      <c r="R39" s="7">
        <f>ROUNDUP(H39*(L39+PARAMETROS!$B$9)+M39,0)</f>
        <v>8</v>
      </c>
      <c r="S39" s="7">
        <f>MAX(0,R39-O39)</f>
        <v>8</v>
      </c>
      <c r="T39" s="7">
        <f>ROUNDUP(H39*(L39+PARAMETROS!$B$10)+M39,0)</f>
        <v>11</v>
      </c>
      <c r="U39" s="7">
        <f>MAX(0,T39-O39)</f>
        <v>11</v>
      </c>
    </row>
    <row r="40" spans="1:21">
      <c r="A40" s="18" t="s">
        <v>222</v>
      </c>
      <c r="B40" s="18" t="s">
        <v>40</v>
      </c>
      <c r="C40" s="19">
        <v>3</v>
      </c>
      <c r="D40" s="19">
        <v>13</v>
      </c>
      <c r="E40" s="19">
        <v>10</v>
      </c>
      <c r="F40" s="19">
        <v>3</v>
      </c>
      <c r="G40" s="20">
        <v>0.7692307692307693</v>
      </c>
      <c r="H40" s="21">
        <v>0.2203</v>
      </c>
      <c r="I40" s="21">
        <v>2.8253</v>
      </c>
      <c r="J40" s="18" t="s">
        <v>214</v>
      </c>
      <c r="K40" s="15">
        <f>IF(LEFT(J40,1)="X",PARAMETROS!$B$11,IF(LEFT(J40,1)="Y",PARAMETROS!$B$12,PARAMETROS!$B$13))</f>
        <v>0.84</v>
      </c>
      <c r="L40" s="14">
        <f>PARAMETROS!$B$7</f>
        <v>7</v>
      </c>
      <c r="M40" s="21">
        <f>ROUND(K40*I40*SQRT(L40/7),2)</f>
        <v>2.37</v>
      </c>
      <c r="N40" s="19">
        <f>ROUNDUP(H40*L40+M40,0)</f>
        <v>4</v>
      </c>
      <c r="O40" s="14">
        <v>0</v>
      </c>
      <c r="P40" s="19">
        <f>ROUNDUP(H40*(L40+PARAMETROS!$B$8)+M40,0)</f>
        <v>6</v>
      </c>
      <c r="Q40" s="19">
        <f>MAX(0,P40-O40)</f>
        <v>6</v>
      </c>
      <c r="R40" s="19">
        <f>ROUNDUP(H40*(L40+PARAMETROS!$B$9)+M40,0)</f>
        <v>7</v>
      </c>
      <c r="S40" s="19">
        <f>MAX(0,R40-O40)</f>
        <v>7</v>
      </c>
      <c r="T40" s="19">
        <f>ROUNDUP(H40*(L40+PARAMETROS!$B$10)+M40,0)</f>
        <v>11</v>
      </c>
      <c r="U40" s="19">
        <f>MAX(0,T40-O40)</f>
        <v>11</v>
      </c>
    </row>
    <row r="41" spans="1:21">
      <c r="A41" s="5" t="s">
        <v>223</v>
      </c>
      <c r="B41" s="5" t="s">
        <v>40</v>
      </c>
      <c r="C41" s="7">
        <v>7</v>
      </c>
      <c r="D41" s="7">
        <v>12</v>
      </c>
      <c r="E41" s="7">
        <v>12</v>
      </c>
      <c r="F41" s="7">
        <v>0</v>
      </c>
      <c r="G41" s="9">
        <v>1</v>
      </c>
      <c r="H41" s="13">
        <v>0.2034</v>
      </c>
      <c r="I41" s="13">
        <v>1.7525</v>
      </c>
      <c r="J41" s="5" t="s">
        <v>214</v>
      </c>
      <c r="K41" s="15">
        <f>IF(LEFT(J41,1)="X",PARAMETROS!$B$11,IF(LEFT(J41,1)="Y",PARAMETROS!$B$12,PARAMETROS!$B$13))</f>
        <v>0.84</v>
      </c>
      <c r="L41" s="14">
        <f>PARAMETROS!$B$7</f>
        <v>7</v>
      </c>
      <c r="M41" s="13">
        <f>ROUND(K41*I41*SQRT(L41/7),2)</f>
        <v>1.47</v>
      </c>
      <c r="N41" s="7">
        <f>ROUNDUP(H41*L41+M41,0)</f>
        <v>3</v>
      </c>
      <c r="O41" s="14">
        <v>0</v>
      </c>
      <c r="P41" s="7">
        <f>ROUNDUP(H41*(L41+PARAMETROS!$B$8)+M41,0)</f>
        <v>5</v>
      </c>
      <c r="Q41" s="7">
        <f>MAX(0,P41-O41)</f>
        <v>5</v>
      </c>
      <c r="R41" s="7">
        <f>ROUNDUP(H41*(L41+PARAMETROS!$B$9)+M41,0)</f>
        <v>6</v>
      </c>
      <c r="S41" s="7">
        <f>MAX(0,R41-O41)</f>
        <v>6</v>
      </c>
      <c r="T41" s="7">
        <f>ROUNDUP(H41*(L41+PARAMETROS!$B$10)+M41,0)</f>
        <v>9</v>
      </c>
      <c r="U41" s="7">
        <f>MAX(0,T41-O41)</f>
        <v>9</v>
      </c>
    </row>
    <row r="42" spans="1:21">
      <c r="A42" s="18" t="s">
        <v>233</v>
      </c>
      <c r="B42" s="18" t="s">
        <v>40</v>
      </c>
      <c r="C42" s="19">
        <v>8</v>
      </c>
      <c r="D42" s="19">
        <v>12</v>
      </c>
      <c r="E42" s="19">
        <v>11</v>
      </c>
      <c r="F42" s="19">
        <v>1</v>
      </c>
      <c r="G42" s="20">
        <v>0.9166666666666666</v>
      </c>
      <c r="H42" s="21">
        <v>0.2034</v>
      </c>
      <c r="I42" s="21">
        <v>1.5119</v>
      </c>
      <c r="J42" s="18" t="s">
        <v>214</v>
      </c>
      <c r="K42" s="15">
        <f>IF(LEFT(J42,1)="X",PARAMETROS!$B$11,IF(LEFT(J42,1)="Y",PARAMETROS!$B$12,PARAMETROS!$B$13))</f>
        <v>0.84</v>
      </c>
      <c r="L42" s="14">
        <f>PARAMETROS!$B$7</f>
        <v>7</v>
      </c>
      <c r="M42" s="21">
        <f>ROUND(K42*I42*SQRT(L42/7),2)</f>
        <v>1.27</v>
      </c>
      <c r="N42" s="19">
        <f>ROUNDUP(H42*L42+M42,0)</f>
        <v>3</v>
      </c>
      <c r="O42" s="14">
        <v>0</v>
      </c>
      <c r="P42" s="19">
        <f>ROUNDUP(H42*(L42+PARAMETROS!$B$8)+M42,0)</f>
        <v>5</v>
      </c>
      <c r="Q42" s="19">
        <f>MAX(0,P42-O42)</f>
        <v>5</v>
      </c>
      <c r="R42" s="19">
        <f>ROUNDUP(H42*(L42+PARAMETROS!$B$9)+M42,0)</f>
        <v>6</v>
      </c>
      <c r="S42" s="19">
        <f>MAX(0,R42-O42)</f>
        <v>6</v>
      </c>
      <c r="T42" s="19">
        <f>ROUNDUP(H42*(L42+PARAMETROS!$B$10)+M42,0)</f>
        <v>9</v>
      </c>
      <c r="U42" s="19">
        <f>MAX(0,T42-O42)</f>
        <v>9</v>
      </c>
    </row>
    <row r="43" spans="1:21">
      <c r="A43" s="5" t="s">
        <v>191</v>
      </c>
      <c r="B43" s="5" t="s">
        <v>47</v>
      </c>
      <c r="C43" s="7">
        <v>9</v>
      </c>
      <c r="D43" s="7">
        <v>11</v>
      </c>
      <c r="E43" s="7">
        <v>5</v>
      </c>
      <c r="F43" s="7">
        <v>6</v>
      </c>
      <c r="G43" s="9">
        <v>0.4545454545454545</v>
      </c>
      <c r="H43" s="13">
        <v>0.1864</v>
      </c>
      <c r="I43" s="13">
        <v>1.5811</v>
      </c>
      <c r="J43" s="5" t="s">
        <v>214</v>
      </c>
      <c r="K43" s="15">
        <f>IF(LEFT(J43,1)="X",PARAMETROS!$B$11,IF(LEFT(J43,1)="Y",PARAMETROS!$B$12,PARAMETROS!$B$13))</f>
        <v>0.84</v>
      </c>
      <c r="L43" s="14">
        <f>PARAMETROS!$B$7</f>
        <v>7</v>
      </c>
      <c r="M43" s="13">
        <f>ROUND(K43*I43*SQRT(L43/7),2)</f>
        <v>1.33</v>
      </c>
      <c r="N43" s="7">
        <f>ROUNDUP(H43*L43+M43,0)</f>
        <v>3</v>
      </c>
      <c r="O43" s="14">
        <v>0</v>
      </c>
      <c r="P43" s="7">
        <f>ROUNDUP(H43*(L43+PARAMETROS!$B$8)+M43,0)</f>
        <v>4</v>
      </c>
      <c r="Q43" s="7">
        <f>MAX(0,P43-O43)</f>
        <v>4</v>
      </c>
      <c r="R43" s="7">
        <f>ROUNDUP(H43*(L43+PARAMETROS!$B$9)+M43,0)</f>
        <v>6</v>
      </c>
      <c r="S43" s="7">
        <f>MAX(0,R43-O43)</f>
        <v>6</v>
      </c>
      <c r="T43" s="7">
        <f>ROUNDUP(H43*(L43+PARAMETROS!$B$10)+M43,0)</f>
        <v>9</v>
      </c>
      <c r="U43" s="7">
        <f>MAX(0,T43-O43)</f>
        <v>9</v>
      </c>
    </row>
    <row r="44" spans="1:21">
      <c r="A44" s="18" t="s">
        <v>230</v>
      </c>
      <c r="B44" s="18" t="s">
        <v>47</v>
      </c>
      <c r="C44" s="19">
        <v>7</v>
      </c>
      <c r="D44" s="19">
        <v>10</v>
      </c>
      <c r="E44" s="19">
        <v>10</v>
      </c>
      <c r="F44" s="19">
        <v>0</v>
      </c>
      <c r="G44" s="20">
        <v>1</v>
      </c>
      <c r="H44" s="21">
        <v>0.1695</v>
      </c>
      <c r="I44" s="21">
        <v>1.7525</v>
      </c>
      <c r="J44" s="18" t="s">
        <v>214</v>
      </c>
      <c r="K44" s="15">
        <f>IF(LEFT(J44,1)="X",PARAMETROS!$B$11,IF(LEFT(J44,1)="Y",PARAMETROS!$B$12,PARAMETROS!$B$13))</f>
        <v>0.84</v>
      </c>
      <c r="L44" s="14">
        <f>PARAMETROS!$B$7</f>
        <v>7</v>
      </c>
      <c r="M44" s="21">
        <f>ROUND(K44*I44*SQRT(L44/7),2)</f>
        <v>1.47</v>
      </c>
      <c r="N44" s="19">
        <f>ROUNDUP(H44*L44+M44,0)</f>
        <v>3</v>
      </c>
      <c r="O44" s="14">
        <v>0</v>
      </c>
      <c r="P44" s="19">
        <f>ROUNDUP(H44*(L44+PARAMETROS!$B$8)+M44,0)</f>
        <v>4</v>
      </c>
      <c r="Q44" s="19">
        <f>MAX(0,P44-O44)</f>
        <v>4</v>
      </c>
      <c r="R44" s="19">
        <f>ROUNDUP(H44*(L44+PARAMETROS!$B$9)+M44,0)</f>
        <v>6</v>
      </c>
      <c r="S44" s="19">
        <f>MAX(0,R44-O44)</f>
        <v>6</v>
      </c>
      <c r="T44" s="19">
        <f>ROUNDUP(H44*(L44+PARAMETROS!$B$10)+M44,0)</f>
        <v>8</v>
      </c>
      <c r="U44" s="19">
        <f>MAX(0,T44-O44)</f>
        <v>8</v>
      </c>
    </row>
    <row r="45" spans="1:21">
      <c r="A45" s="5" t="s">
        <v>229</v>
      </c>
      <c r="B45" s="5" t="s">
        <v>216</v>
      </c>
      <c r="C45" s="7">
        <v>6</v>
      </c>
      <c r="D45" s="7">
        <v>10</v>
      </c>
      <c r="E45" s="7">
        <v>10</v>
      </c>
      <c r="F45" s="7">
        <v>0</v>
      </c>
      <c r="G45" s="9">
        <v>1</v>
      </c>
      <c r="H45" s="13">
        <v>0.1695</v>
      </c>
      <c r="I45" s="13">
        <v>1.3093</v>
      </c>
      <c r="J45" s="5" t="s">
        <v>214</v>
      </c>
      <c r="K45" s="15">
        <f>IF(LEFT(J45,1)="X",PARAMETROS!$B$11,IF(LEFT(J45,1)="Y",PARAMETROS!$B$12,PARAMETROS!$B$13))</f>
        <v>0.84</v>
      </c>
      <c r="L45" s="14">
        <f>PARAMETROS!$B$7</f>
        <v>7</v>
      </c>
      <c r="M45" s="13">
        <f>ROUND(K45*I45*SQRT(L45/7),2)</f>
        <v>1.1</v>
      </c>
      <c r="N45" s="7">
        <f>ROUNDUP(H45*L45+M45,0)</f>
        <v>3</v>
      </c>
      <c r="O45" s="14">
        <v>0</v>
      </c>
      <c r="P45" s="7">
        <f>ROUNDUP(H45*(L45+PARAMETROS!$B$8)+M45,0)</f>
        <v>4</v>
      </c>
      <c r="Q45" s="7">
        <f>MAX(0,P45-O45)</f>
        <v>4</v>
      </c>
      <c r="R45" s="7">
        <f>ROUNDUP(H45*(L45+PARAMETROS!$B$9)+M45,0)</f>
        <v>5</v>
      </c>
      <c r="S45" s="7">
        <f>MAX(0,R45-O45)</f>
        <v>5</v>
      </c>
      <c r="T45" s="7">
        <f>ROUNDUP(H45*(L45+PARAMETROS!$B$10)+M45,0)</f>
        <v>8</v>
      </c>
      <c r="U45" s="7">
        <f>MAX(0,T45-O45)</f>
        <v>8</v>
      </c>
    </row>
    <row r="46" spans="1:21">
      <c r="A46" s="18" t="s">
        <v>254</v>
      </c>
      <c r="B46" s="18" t="s">
        <v>47</v>
      </c>
      <c r="C46" s="19">
        <v>8</v>
      </c>
      <c r="D46" s="19">
        <v>8</v>
      </c>
      <c r="E46" s="19">
        <v>6</v>
      </c>
      <c r="F46" s="19">
        <v>2</v>
      </c>
      <c r="G46" s="20">
        <v>0.75</v>
      </c>
      <c r="H46" s="21">
        <v>0.1356</v>
      </c>
      <c r="I46" s="21">
        <v>1.3093</v>
      </c>
      <c r="J46" s="18" t="s">
        <v>214</v>
      </c>
      <c r="K46" s="15">
        <f>IF(LEFT(J46,1)="X",PARAMETROS!$B$11,IF(LEFT(J46,1)="Y",PARAMETROS!$B$12,PARAMETROS!$B$13))</f>
        <v>0.84</v>
      </c>
      <c r="L46" s="14">
        <f>PARAMETROS!$B$7</f>
        <v>7</v>
      </c>
      <c r="M46" s="21">
        <f>ROUND(K46*I46*SQRT(L46/7),2)</f>
        <v>1.1</v>
      </c>
      <c r="N46" s="19">
        <f>ROUNDUP(H46*L46+M46,0)</f>
        <v>3</v>
      </c>
      <c r="O46" s="14">
        <v>0</v>
      </c>
      <c r="P46" s="19">
        <f>ROUNDUP(H46*(L46+PARAMETROS!$B$8)+M46,0)</f>
        <v>3</v>
      </c>
      <c r="Q46" s="19">
        <f>MAX(0,P46-O46)</f>
        <v>3</v>
      </c>
      <c r="R46" s="19">
        <f>ROUNDUP(H46*(L46+PARAMETROS!$B$9)+M46,0)</f>
        <v>4</v>
      </c>
      <c r="S46" s="19">
        <f>MAX(0,R46-O46)</f>
        <v>4</v>
      </c>
      <c r="T46" s="19">
        <f>ROUNDUP(H46*(L46+PARAMETROS!$B$10)+M46,0)</f>
        <v>7</v>
      </c>
      <c r="U46" s="19">
        <f>MAX(0,T46-O46)</f>
        <v>7</v>
      </c>
    </row>
    <row r="47" spans="1:21">
      <c r="A47" s="5" t="s">
        <v>234</v>
      </c>
      <c r="B47" s="5" t="s">
        <v>47</v>
      </c>
      <c r="C47" s="7">
        <v>7</v>
      </c>
      <c r="D47" s="7">
        <v>7</v>
      </c>
      <c r="E47" s="7">
        <v>7</v>
      </c>
      <c r="F47" s="7">
        <v>0</v>
      </c>
      <c r="G47" s="9">
        <v>1</v>
      </c>
      <c r="H47" s="13">
        <v>0.1186</v>
      </c>
      <c r="I47" s="13">
        <v>0.3536</v>
      </c>
      <c r="J47" s="5" t="s">
        <v>221</v>
      </c>
      <c r="K47" s="15">
        <f>IF(LEFT(J47,1)="X",PARAMETROS!$B$11,IF(LEFT(J47,1)="Y",PARAMETROS!$B$12,PARAMETROS!$B$13))</f>
        <v>1.65</v>
      </c>
      <c r="L47" s="14">
        <f>PARAMETROS!$B$7</f>
        <v>7</v>
      </c>
      <c r="M47" s="13">
        <f>ROUND(K47*I47*SQRT(L47/7),2)</f>
        <v>0.58</v>
      </c>
      <c r="N47" s="7">
        <f>ROUNDUP(H47*L47+M47,0)</f>
        <v>2</v>
      </c>
      <c r="O47" s="14">
        <v>0</v>
      </c>
      <c r="P47" s="7">
        <f>ROUNDUP(H47*(L47+PARAMETROS!$B$8)+M47,0)</f>
        <v>3</v>
      </c>
      <c r="Q47" s="7">
        <f>MAX(0,P47-O47)</f>
        <v>3</v>
      </c>
      <c r="R47" s="7">
        <f>ROUNDUP(H47*(L47+PARAMETROS!$B$9)+M47,0)</f>
        <v>4</v>
      </c>
      <c r="S47" s="7">
        <f>MAX(0,R47-O47)</f>
        <v>4</v>
      </c>
      <c r="T47" s="7">
        <f>ROUNDUP(H47*(L47+PARAMETROS!$B$10)+M47,0)</f>
        <v>5</v>
      </c>
      <c r="U47" s="7">
        <f>MAX(0,T47-O47)</f>
        <v>5</v>
      </c>
    </row>
    <row r="48" spans="1:21">
      <c r="A48" s="18" t="s">
        <v>252</v>
      </c>
      <c r="B48" s="18" t="s">
        <v>40</v>
      </c>
      <c r="C48" s="19">
        <v>4</v>
      </c>
      <c r="D48" s="19">
        <v>7</v>
      </c>
      <c r="E48" s="19">
        <v>7</v>
      </c>
      <c r="F48" s="19">
        <v>0</v>
      </c>
      <c r="G48" s="20">
        <v>1</v>
      </c>
      <c r="H48" s="21">
        <v>0.1186</v>
      </c>
      <c r="I48" s="21">
        <v>1.069</v>
      </c>
      <c r="J48" s="18" t="s">
        <v>214</v>
      </c>
      <c r="K48" s="15">
        <f>IF(LEFT(J48,1)="X",PARAMETROS!$B$11,IF(LEFT(J48,1)="Y",PARAMETROS!$B$12,PARAMETROS!$B$13))</f>
        <v>0.84</v>
      </c>
      <c r="L48" s="14">
        <f>PARAMETROS!$B$7</f>
        <v>7</v>
      </c>
      <c r="M48" s="21">
        <f>ROUND(K48*I48*SQRT(L48/7),2)</f>
        <v>0.9</v>
      </c>
      <c r="N48" s="19">
        <f>ROUNDUP(H48*L48+M48,0)</f>
        <v>2</v>
      </c>
      <c r="O48" s="14">
        <v>0</v>
      </c>
      <c r="P48" s="19">
        <f>ROUNDUP(H48*(L48+PARAMETROS!$B$8)+M48,0)</f>
        <v>3</v>
      </c>
      <c r="Q48" s="19">
        <f>MAX(0,P48-O48)</f>
        <v>3</v>
      </c>
      <c r="R48" s="19">
        <f>ROUNDUP(H48*(L48+PARAMETROS!$B$9)+M48,0)</f>
        <v>4</v>
      </c>
      <c r="S48" s="19">
        <f>MAX(0,R48-O48)</f>
        <v>4</v>
      </c>
      <c r="T48" s="19">
        <f>ROUNDUP(H48*(L48+PARAMETROS!$B$10)+M48,0)</f>
        <v>6</v>
      </c>
      <c r="U48" s="19">
        <f>MAX(0,T48-O48)</f>
        <v>6</v>
      </c>
    </row>
    <row r="49" spans="1:21">
      <c r="A49" s="5" t="s">
        <v>249</v>
      </c>
      <c r="B49" s="5" t="s">
        <v>40</v>
      </c>
      <c r="C49" s="7">
        <v>5</v>
      </c>
      <c r="D49" s="7">
        <v>7</v>
      </c>
      <c r="E49" s="7">
        <v>7</v>
      </c>
      <c r="F49" s="7">
        <v>0</v>
      </c>
      <c r="G49" s="9">
        <v>1</v>
      </c>
      <c r="H49" s="13">
        <v>0.1186</v>
      </c>
      <c r="I49" s="13">
        <v>0.9161</v>
      </c>
      <c r="J49" s="5" t="s">
        <v>214</v>
      </c>
      <c r="K49" s="15">
        <f>IF(LEFT(J49,1)="X",PARAMETROS!$B$11,IF(LEFT(J49,1)="Y",PARAMETROS!$B$12,PARAMETROS!$B$13))</f>
        <v>0.84</v>
      </c>
      <c r="L49" s="14">
        <f>PARAMETROS!$B$7</f>
        <v>7</v>
      </c>
      <c r="M49" s="13">
        <f>ROUND(K49*I49*SQRT(L49/7),2)</f>
        <v>0.77</v>
      </c>
      <c r="N49" s="7">
        <f>ROUNDUP(H49*L49+M49,0)</f>
        <v>2</v>
      </c>
      <c r="O49" s="14">
        <v>0</v>
      </c>
      <c r="P49" s="7">
        <f>ROUNDUP(H49*(L49+PARAMETROS!$B$8)+M49,0)</f>
        <v>3</v>
      </c>
      <c r="Q49" s="7">
        <f>MAX(0,P49-O49)</f>
        <v>3</v>
      </c>
      <c r="R49" s="7">
        <f>ROUNDUP(H49*(L49+PARAMETROS!$B$9)+M49,0)</f>
        <v>4</v>
      </c>
      <c r="S49" s="7">
        <f>MAX(0,R49-O49)</f>
        <v>4</v>
      </c>
      <c r="T49" s="7">
        <f>ROUNDUP(H49*(L49+PARAMETROS!$B$10)+M49,0)</f>
        <v>6</v>
      </c>
      <c r="U49" s="7">
        <f>MAX(0,T49-O49)</f>
        <v>6</v>
      </c>
    </row>
    <row r="50" spans="1:21">
      <c r="A50" s="18" t="s">
        <v>244</v>
      </c>
      <c r="B50" s="18" t="s">
        <v>40</v>
      </c>
      <c r="C50" s="19">
        <v>4</v>
      </c>
      <c r="D50" s="19">
        <v>7</v>
      </c>
      <c r="E50" s="19">
        <v>7</v>
      </c>
      <c r="F50" s="19">
        <v>0</v>
      </c>
      <c r="G50" s="20">
        <v>1</v>
      </c>
      <c r="H50" s="21">
        <v>0.1186</v>
      </c>
      <c r="I50" s="21">
        <v>1.126</v>
      </c>
      <c r="J50" s="18" t="s">
        <v>214</v>
      </c>
      <c r="K50" s="15">
        <f>IF(LEFT(J50,1)="X",PARAMETROS!$B$11,IF(LEFT(J50,1)="Y",PARAMETROS!$B$12,PARAMETROS!$B$13))</f>
        <v>0.84</v>
      </c>
      <c r="L50" s="14">
        <f>PARAMETROS!$B$7</f>
        <v>7</v>
      </c>
      <c r="M50" s="21">
        <f>ROUND(K50*I50*SQRT(L50/7),2)</f>
        <v>0.95</v>
      </c>
      <c r="N50" s="19">
        <f>ROUNDUP(H50*L50+M50,0)</f>
        <v>2</v>
      </c>
      <c r="O50" s="14">
        <v>0</v>
      </c>
      <c r="P50" s="19">
        <f>ROUNDUP(H50*(L50+PARAMETROS!$B$8)+M50,0)</f>
        <v>3</v>
      </c>
      <c r="Q50" s="19">
        <f>MAX(0,P50-O50)</f>
        <v>3</v>
      </c>
      <c r="R50" s="19">
        <f>ROUNDUP(H50*(L50+PARAMETROS!$B$9)+M50,0)</f>
        <v>4</v>
      </c>
      <c r="S50" s="19">
        <f>MAX(0,R50-O50)</f>
        <v>4</v>
      </c>
      <c r="T50" s="19">
        <f>ROUNDUP(H50*(L50+PARAMETROS!$B$10)+M50,0)</f>
        <v>6</v>
      </c>
      <c r="U50" s="19">
        <f>MAX(0,T50-O50)</f>
        <v>6</v>
      </c>
    </row>
    <row r="51" spans="1:21">
      <c r="A51" s="5" t="s">
        <v>239</v>
      </c>
      <c r="B51" s="5" t="s">
        <v>216</v>
      </c>
      <c r="C51" s="7">
        <v>5</v>
      </c>
      <c r="D51" s="7">
        <v>6</v>
      </c>
      <c r="E51" s="7">
        <v>2</v>
      </c>
      <c r="F51" s="7">
        <v>4</v>
      </c>
      <c r="G51" s="9">
        <v>0.3333333333333333</v>
      </c>
      <c r="H51" s="13">
        <v>0.1017</v>
      </c>
      <c r="I51" s="13">
        <v>0.8864</v>
      </c>
      <c r="J51" s="5" t="s">
        <v>214</v>
      </c>
      <c r="K51" s="15">
        <f>IF(LEFT(J51,1)="X",PARAMETROS!$B$11,IF(LEFT(J51,1)="Y",PARAMETROS!$B$12,PARAMETROS!$B$13))</f>
        <v>0.84</v>
      </c>
      <c r="L51" s="14">
        <f>PARAMETROS!$B$7</f>
        <v>7</v>
      </c>
      <c r="M51" s="13">
        <f>ROUND(K51*I51*SQRT(L51/7),2)</f>
        <v>0.74</v>
      </c>
      <c r="N51" s="7">
        <f>ROUNDUP(H51*L51+M51,0)</f>
        <v>2</v>
      </c>
      <c r="O51" s="14">
        <v>0</v>
      </c>
      <c r="P51" s="7">
        <f>ROUNDUP(H51*(L51+PARAMETROS!$B$8)+M51,0)</f>
        <v>3</v>
      </c>
      <c r="Q51" s="7">
        <f>MAX(0,P51-O51)</f>
        <v>3</v>
      </c>
      <c r="R51" s="7">
        <f>ROUNDUP(H51*(L51+PARAMETROS!$B$9)+M51,0)</f>
        <v>3</v>
      </c>
      <c r="S51" s="7">
        <f>MAX(0,R51-O51)</f>
        <v>3</v>
      </c>
      <c r="T51" s="7">
        <f>ROUNDUP(H51*(L51+PARAMETROS!$B$10)+M51,0)</f>
        <v>5</v>
      </c>
      <c r="U51" s="7">
        <f>MAX(0,T51-O51)</f>
        <v>5</v>
      </c>
    </row>
    <row r="52" spans="1:21">
      <c r="A52" s="18" t="s">
        <v>271</v>
      </c>
      <c r="B52" s="18" t="s">
        <v>47</v>
      </c>
      <c r="C52" s="19">
        <v>5</v>
      </c>
      <c r="D52" s="19">
        <v>6</v>
      </c>
      <c r="E52" s="19">
        <v>6</v>
      </c>
      <c r="F52" s="19">
        <v>0</v>
      </c>
      <c r="G52" s="20">
        <v>1</v>
      </c>
      <c r="H52" s="21">
        <v>0.1017</v>
      </c>
      <c r="I52" s="21">
        <v>0.5175</v>
      </c>
      <c r="J52" s="18" t="s">
        <v>214</v>
      </c>
      <c r="K52" s="15">
        <f>IF(LEFT(J52,1)="X",PARAMETROS!$B$11,IF(LEFT(J52,1)="Y",PARAMETROS!$B$12,PARAMETROS!$B$13))</f>
        <v>0.84</v>
      </c>
      <c r="L52" s="14">
        <f>PARAMETROS!$B$7</f>
        <v>7</v>
      </c>
      <c r="M52" s="21">
        <f>ROUND(K52*I52*SQRT(L52/7),2)</f>
        <v>0.43</v>
      </c>
      <c r="N52" s="19">
        <f>ROUNDUP(H52*L52+M52,0)</f>
        <v>2</v>
      </c>
      <c r="O52" s="14">
        <v>0</v>
      </c>
      <c r="P52" s="19">
        <f>ROUNDUP(H52*(L52+PARAMETROS!$B$8)+M52,0)</f>
        <v>2</v>
      </c>
      <c r="Q52" s="19">
        <f>MAX(0,P52-O52)</f>
        <v>2</v>
      </c>
      <c r="R52" s="19">
        <f>ROUNDUP(H52*(L52+PARAMETROS!$B$9)+M52,0)</f>
        <v>3</v>
      </c>
      <c r="S52" s="19">
        <f>MAX(0,R52-O52)</f>
        <v>3</v>
      </c>
      <c r="T52" s="19">
        <f>ROUNDUP(H52*(L52+PARAMETROS!$B$10)+M52,0)</f>
        <v>5</v>
      </c>
      <c r="U52" s="19">
        <f>MAX(0,T52-O52)</f>
        <v>5</v>
      </c>
    </row>
    <row r="53" spans="1:21">
      <c r="A53" s="5" t="s">
        <v>272</v>
      </c>
      <c r="B53" s="5" t="s">
        <v>47</v>
      </c>
      <c r="C53" s="7">
        <v>6</v>
      </c>
      <c r="D53" s="7">
        <v>6</v>
      </c>
      <c r="E53" s="7">
        <v>6</v>
      </c>
      <c r="F53" s="7">
        <v>0</v>
      </c>
      <c r="G53" s="9">
        <v>1</v>
      </c>
      <c r="H53" s="13">
        <v>0.1017</v>
      </c>
      <c r="I53" s="13">
        <v>0.7071</v>
      </c>
      <c r="J53" s="5" t="s">
        <v>228</v>
      </c>
      <c r="K53" s="15">
        <f>IF(LEFT(J53,1)="X",PARAMETROS!$B$11,IF(LEFT(J53,1)="Y",PARAMETROS!$B$12,PARAMETROS!$B$13))</f>
        <v>1.28</v>
      </c>
      <c r="L53" s="14">
        <f>PARAMETROS!$B$7</f>
        <v>7</v>
      </c>
      <c r="M53" s="13">
        <f>ROUND(K53*I53*SQRT(L53/7),2)</f>
        <v>0.91</v>
      </c>
      <c r="N53" s="7">
        <f>ROUNDUP(H53*L53+M53,0)</f>
        <v>2</v>
      </c>
      <c r="O53" s="14">
        <v>0</v>
      </c>
      <c r="P53" s="7">
        <f>ROUNDUP(H53*(L53+PARAMETROS!$B$8)+M53,0)</f>
        <v>3</v>
      </c>
      <c r="Q53" s="7">
        <f>MAX(0,P53-O53)</f>
        <v>3</v>
      </c>
      <c r="R53" s="7">
        <f>ROUNDUP(H53*(L53+PARAMETROS!$B$9)+M53,0)</f>
        <v>4</v>
      </c>
      <c r="S53" s="7">
        <f>MAX(0,R53-O53)</f>
        <v>4</v>
      </c>
      <c r="T53" s="7">
        <f>ROUNDUP(H53*(L53+PARAMETROS!$B$10)+M53,0)</f>
        <v>5</v>
      </c>
      <c r="U53" s="7">
        <f>MAX(0,T53-O53)</f>
        <v>5</v>
      </c>
    </row>
    <row r="54" spans="1:21">
      <c r="A54" s="18" t="s">
        <v>240</v>
      </c>
      <c r="B54" s="18" t="s">
        <v>216</v>
      </c>
      <c r="C54" s="19">
        <v>4</v>
      </c>
      <c r="D54" s="19">
        <v>6</v>
      </c>
      <c r="E54" s="19">
        <v>4</v>
      </c>
      <c r="F54" s="19">
        <v>2</v>
      </c>
      <c r="G54" s="20">
        <v>0.6666666666666666</v>
      </c>
      <c r="H54" s="21">
        <v>0.1017</v>
      </c>
      <c r="I54" s="21">
        <v>1.0351</v>
      </c>
      <c r="J54" s="18" t="s">
        <v>214</v>
      </c>
      <c r="K54" s="15">
        <f>IF(LEFT(J54,1)="X",PARAMETROS!$B$11,IF(LEFT(J54,1)="Y",PARAMETROS!$B$12,PARAMETROS!$B$13))</f>
        <v>0.84</v>
      </c>
      <c r="L54" s="14">
        <f>PARAMETROS!$B$7</f>
        <v>7</v>
      </c>
      <c r="M54" s="21">
        <f>ROUND(K54*I54*SQRT(L54/7),2)</f>
        <v>0.87</v>
      </c>
      <c r="N54" s="19">
        <f>ROUNDUP(H54*L54+M54,0)</f>
        <v>2</v>
      </c>
      <c r="O54" s="14">
        <v>0</v>
      </c>
      <c r="P54" s="19">
        <f>ROUNDUP(H54*(L54+PARAMETROS!$B$8)+M54,0)</f>
        <v>3</v>
      </c>
      <c r="Q54" s="19">
        <f>MAX(0,P54-O54)</f>
        <v>3</v>
      </c>
      <c r="R54" s="19">
        <f>ROUNDUP(H54*(L54+PARAMETROS!$B$9)+M54,0)</f>
        <v>4</v>
      </c>
      <c r="S54" s="19">
        <f>MAX(0,R54-O54)</f>
        <v>4</v>
      </c>
      <c r="T54" s="19">
        <f>ROUNDUP(H54*(L54+PARAMETROS!$B$10)+M54,0)</f>
        <v>5</v>
      </c>
      <c r="U54" s="19">
        <f>MAX(0,T54-O54)</f>
        <v>5</v>
      </c>
    </row>
    <row r="55" spans="1:21">
      <c r="A55" s="5" t="s">
        <v>274</v>
      </c>
      <c r="B55" s="5" t="s">
        <v>257</v>
      </c>
      <c r="C55" s="7">
        <v>4</v>
      </c>
      <c r="D55" s="7">
        <v>5</v>
      </c>
      <c r="E55" s="7">
        <v>3</v>
      </c>
      <c r="F55" s="7">
        <v>2</v>
      </c>
      <c r="G55" s="9">
        <v>0.6</v>
      </c>
      <c r="H55" s="13">
        <v>0.0847</v>
      </c>
      <c r="I55" s="13">
        <v>1.0607</v>
      </c>
      <c r="J55" s="5" t="s">
        <v>214</v>
      </c>
      <c r="K55" s="15">
        <f>IF(LEFT(J55,1)="X",PARAMETROS!$B$11,IF(LEFT(J55,1)="Y",PARAMETROS!$B$12,PARAMETROS!$B$13))</f>
        <v>0.84</v>
      </c>
      <c r="L55" s="14">
        <f>PARAMETROS!$B$7</f>
        <v>7</v>
      </c>
      <c r="M55" s="13">
        <f>ROUND(K55*I55*SQRT(L55/7),2)</f>
        <v>0.89</v>
      </c>
      <c r="N55" s="7">
        <f>ROUNDUP(H55*L55+M55,0)</f>
        <v>2</v>
      </c>
      <c r="O55" s="14">
        <v>0</v>
      </c>
      <c r="P55" s="7">
        <f>ROUNDUP(H55*(L55+PARAMETROS!$B$8)+M55,0)</f>
        <v>3</v>
      </c>
      <c r="Q55" s="7">
        <f>MAX(0,P55-O55)</f>
        <v>3</v>
      </c>
      <c r="R55" s="7">
        <f>ROUNDUP(H55*(L55+PARAMETROS!$B$9)+M55,0)</f>
        <v>3</v>
      </c>
      <c r="S55" s="7">
        <f>MAX(0,R55-O55)</f>
        <v>3</v>
      </c>
      <c r="T55" s="7">
        <f>ROUNDUP(H55*(L55+PARAMETROS!$B$10)+M55,0)</f>
        <v>5</v>
      </c>
      <c r="U55" s="7">
        <f>MAX(0,T55-O55)</f>
        <v>5</v>
      </c>
    </row>
    <row r="56" spans="1:21">
      <c r="A56" s="18" t="s">
        <v>276</v>
      </c>
      <c r="B56" s="18" t="s">
        <v>40</v>
      </c>
      <c r="C56" s="19">
        <v>3</v>
      </c>
      <c r="D56" s="19">
        <v>5</v>
      </c>
      <c r="E56" s="19">
        <v>5</v>
      </c>
      <c r="F56" s="19">
        <v>0</v>
      </c>
      <c r="G56" s="20">
        <v>1</v>
      </c>
      <c r="H56" s="21">
        <v>0.0847</v>
      </c>
      <c r="I56" s="21">
        <v>1.069</v>
      </c>
      <c r="J56" s="18" t="s">
        <v>214</v>
      </c>
      <c r="K56" s="15">
        <f>IF(LEFT(J56,1)="X",PARAMETROS!$B$11,IF(LEFT(J56,1)="Y",PARAMETROS!$B$12,PARAMETROS!$B$13))</f>
        <v>0.84</v>
      </c>
      <c r="L56" s="14">
        <f>PARAMETROS!$B$7</f>
        <v>7</v>
      </c>
      <c r="M56" s="21">
        <f>ROUND(K56*I56*SQRT(L56/7),2)</f>
        <v>0.9</v>
      </c>
      <c r="N56" s="19">
        <f>ROUNDUP(H56*L56+M56,0)</f>
        <v>2</v>
      </c>
      <c r="O56" s="14">
        <v>0</v>
      </c>
      <c r="P56" s="19">
        <f>ROUNDUP(H56*(L56+PARAMETROS!$B$8)+M56,0)</f>
        <v>3</v>
      </c>
      <c r="Q56" s="19">
        <f>MAX(0,P56-O56)</f>
        <v>3</v>
      </c>
      <c r="R56" s="19">
        <f>ROUNDUP(H56*(L56+PARAMETROS!$B$9)+M56,0)</f>
        <v>3</v>
      </c>
      <c r="S56" s="19">
        <f>MAX(0,R56-O56)</f>
        <v>3</v>
      </c>
      <c r="T56" s="19">
        <f>ROUNDUP(H56*(L56+PARAMETROS!$B$10)+M56,0)</f>
        <v>5</v>
      </c>
      <c r="U56" s="19">
        <f>MAX(0,T56-O56)</f>
        <v>5</v>
      </c>
    </row>
    <row r="57" spans="1:21">
      <c r="A57" s="5" t="s">
        <v>250</v>
      </c>
      <c r="B57" s="5" t="s">
        <v>40</v>
      </c>
      <c r="C57" s="7">
        <v>5</v>
      </c>
      <c r="D57" s="7">
        <v>5</v>
      </c>
      <c r="E57" s="7">
        <v>5</v>
      </c>
      <c r="F57" s="7">
        <v>0</v>
      </c>
      <c r="G57" s="9">
        <v>1</v>
      </c>
      <c r="H57" s="13">
        <v>0.0847</v>
      </c>
      <c r="I57" s="13">
        <v>0.5175</v>
      </c>
      <c r="J57" s="5" t="s">
        <v>228</v>
      </c>
      <c r="K57" s="15">
        <f>IF(LEFT(J57,1)="X",PARAMETROS!$B$11,IF(LEFT(J57,1)="Y",PARAMETROS!$B$12,PARAMETROS!$B$13))</f>
        <v>1.28</v>
      </c>
      <c r="L57" s="14">
        <f>PARAMETROS!$B$7</f>
        <v>7</v>
      </c>
      <c r="M57" s="13">
        <f>ROUND(K57*I57*SQRT(L57/7),2)</f>
        <v>0.66</v>
      </c>
      <c r="N57" s="7">
        <f>ROUNDUP(H57*L57+M57,0)</f>
        <v>2</v>
      </c>
      <c r="O57" s="14">
        <v>0</v>
      </c>
      <c r="P57" s="7">
        <f>ROUNDUP(H57*(L57+PARAMETROS!$B$8)+M57,0)</f>
        <v>2</v>
      </c>
      <c r="Q57" s="7">
        <f>MAX(0,P57-O57)</f>
        <v>2</v>
      </c>
      <c r="R57" s="7">
        <f>ROUNDUP(H57*(L57+PARAMETROS!$B$9)+M57,0)</f>
        <v>3</v>
      </c>
      <c r="S57" s="7">
        <f>MAX(0,R57-O57)</f>
        <v>3</v>
      </c>
      <c r="T57" s="7">
        <f>ROUNDUP(H57*(L57+PARAMETROS!$B$10)+M57,0)</f>
        <v>4</v>
      </c>
      <c r="U57" s="7">
        <f>MAX(0,T57-O57)</f>
        <v>4</v>
      </c>
    </row>
    <row r="58" spans="1:21">
      <c r="A58" s="18" t="s">
        <v>273</v>
      </c>
      <c r="B58" s="18" t="s">
        <v>40</v>
      </c>
      <c r="C58" s="19">
        <v>4</v>
      </c>
      <c r="D58" s="19">
        <v>5</v>
      </c>
      <c r="E58" s="19">
        <v>5</v>
      </c>
      <c r="F58" s="19">
        <v>0</v>
      </c>
      <c r="G58" s="20">
        <v>1</v>
      </c>
      <c r="H58" s="21">
        <v>0.0847</v>
      </c>
      <c r="I58" s="21">
        <v>1.069</v>
      </c>
      <c r="J58" s="18" t="s">
        <v>214</v>
      </c>
      <c r="K58" s="15">
        <f>IF(LEFT(J58,1)="X",PARAMETROS!$B$11,IF(LEFT(J58,1)="Y",PARAMETROS!$B$12,PARAMETROS!$B$13))</f>
        <v>0.84</v>
      </c>
      <c r="L58" s="14">
        <f>PARAMETROS!$B$7</f>
        <v>7</v>
      </c>
      <c r="M58" s="21">
        <f>ROUND(K58*I58*SQRT(L58/7),2)</f>
        <v>0.9</v>
      </c>
      <c r="N58" s="19">
        <f>ROUNDUP(H58*L58+M58,0)</f>
        <v>2</v>
      </c>
      <c r="O58" s="14">
        <v>0</v>
      </c>
      <c r="P58" s="19">
        <f>ROUNDUP(H58*(L58+PARAMETROS!$B$8)+M58,0)</f>
        <v>3</v>
      </c>
      <c r="Q58" s="19">
        <f>MAX(0,P58-O58)</f>
        <v>3</v>
      </c>
      <c r="R58" s="19">
        <f>ROUNDUP(H58*(L58+PARAMETROS!$B$9)+M58,0)</f>
        <v>3</v>
      </c>
      <c r="S58" s="19">
        <f>MAX(0,R58-O58)</f>
        <v>3</v>
      </c>
      <c r="T58" s="19">
        <f>ROUNDUP(H58*(L58+PARAMETROS!$B$10)+M58,0)</f>
        <v>5</v>
      </c>
      <c r="U58" s="19">
        <f>MAX(0,T58-O58)</f>
        <v>5</v>
      </c>
    </row>
    <row r="59" spans="1:21">
      <c r="A59" s="5" t="s">
        <v>275</v>
      </c>
      <c r="B59" s="5" t="s">
        <v>219</v>
      </c>
      <c r="C59" s="7">
        <v>1</v>
      </c>
      <c r="D59" s="7">
        <v>5</v>
      </c>
      <c r="E59" s="7">
        <v>5</v>
      </c>
      <c r="F59" s="7">
        <v>0</v>
      </c>
      <c r="G59" s="9">
        <v>1</v>
      </c>
      <c r="H59" s="13">
        <v>0.0847</v>
      </c>
      <c r="I59" s="13">
        <v>1.7678</v>
      </c>
      <c r="J59" s="5" t="s">
        <v>214</v>
      </c>
      <c r="K59" s="15">
        <f>IF(LEFT(J59,1)="X",PARAMETROS!$B$11,IF(LEFT(J59,1)="Y",PARAMETROS!$B$12,PARAMETROS!$B$13))</f>
        <v>0.84</v>
      </c>
      <c r="L59" s="14">
        <f>PARAMETROS!$B$7</f>
        <v>7</v>
      </c>
      <c r="M59" s="13">
        <f>ROUND(K59*I59*SQRT(L59/7),2)</f>
        <v>1.48</v>
      </c>
      <c r="N59" s="7">
        <f>ROUNDUP(H59*L59+M59,0)</f>
        <v>3</v>
      </c>
      <c r="O59" s="14">
        <v>0</v>
      </c>
      <c r="P59" s="7">
        <f>ROUNDUP(H59*(L59+PARAMETROS!$B$8)+M59,0)</f>
        <v>3</v>
      </c>
      <c r="Q59" s="7">
        <f>MAX(0,P59-O59)</f>
        <v>3</v>
      </c>
      <c r="R59" s="7">
        <f>ROUNDUP(H59*(L59+PARAMETROS!$B$9)+M59,0)</f>
        <v>4</v>
      </c>
      <c r="S59" s="7">
        <f>MAX(0,R59-O59)</f>
        <v>4</v>
      </c>
      <c r="T59" s="7">
        <f>ROUNDUP(H59*(L59+PARAMETROS!$B$10)+M59,0)</f>
        <v>5</v>
      </c>
      <c r="U59" s="7">
        <f>MAX(0,T59-O59)</f>
        <v>5</v>
      </c>
    </row>
    <row r="60" spans="1:21">
      <c r="A60" s="18" t="s">
        <v>232</v>
      </c>
      <c r="B60" s="18" t="s">
        <v>216</v>
      </c>
      <c r="C60" s="19">
        <v>3</v>
      </c>
      <c r="D60" s="19">
        <v>4</v>
      </c>
      <c r="E60" s="19">
        <v>4</v>
      </c>
      <c r="F60" s="19">
        <v>0</v>
      </c>
      <c r="G60" s="20">
        <v>1</v>
      </c>
      <c r="H60" s="21">
        <v>0.0678</v>
      </c>
      <c r="I60" s="21">
        <v>0.7559</v>
      </c>
      <c r="J60" s="18" t="s">
        <v>214</v>
      </c>
      <c r="K60" s="15">
        <f>IF(LEFT(J60,1)="X",PARAMETROS!$B$11,IF(LEFT(J60,1)="Y",PARAMETROS!$B$12,PARAMETROS!$B$13))</f>
        <v>0.84</v>
      </c>
      <c r="L60" s="14">
        <f>PARAMETROS!$B$7</f>
        <v>7</v>
      </c>
      <c r="M60" s="21">
        <f>ROUND(K60*I60*SQRT(L60/7),2)</f>
        <v>0.63</v>
      </c>
      <c r="N60" s="19">
        <f>ROUNDUP(H60*L60+M60,0)</f>
        <v>2</v>
      </c>
      <c r="O60" s="14">
        <v>0</v>
      </c>
      <c r="P60" s="19">
        <f>ROUNDUP(H60*(L60+PARAMETROS!$B$8)+M60,0)</f>
        <v>2</v>
      </c>
      <c r="Q60" s="19">
        <f>MAX(0,P60-O60)</f>
        <v>2</v>
      </c>
      <c r="R60" s="19">
        <f>ROUNDUP(H60*(L60+PARAMETROS!$B$9)+M60,0)</f>
        <v>3</v>
      </c>
      <c r="S60" s="19">
        <f>MAX(0,R60-O60)</f>
        <v>3</v>
      </c>
      <c r="T60" s="19">
        <f>ROUNDUP(H60*(L60+PARAMETROS!$B$10)+M60,0)</f>
        <v>4</v>
      </c>
      <c r="U60" s="19">
        <f>MAX(0,T60-O60)</f>
        <v>4</v>
      </c>
    </row>
    <row r="61" spans="1:21">
      <c r="A61" s="5" t="s">
        <v>277</v>
      </c>
      <c r="B61" s="5" t="s">
        <v>47</v>
      </c>
      <c r="C61" s="7">
        <v>4</v>
      </c>
      <c r="D61" s="7">
        <v>4</v>
      </c>
      <c r="E61" s="7">
        <v>3</v>
      </c>
      <c r="F61" s="7">
        <v>1</v>
      </c>
      <c r="G61" s="9">
        <v>0.75</v>
      </c>
      <c r="H61" s="13">
        <v>0.0678</v>
      </c>
      <c r="I61" s="13">
        <v>0.5345</v>
      </c>
      <c r="J61" s="5" t="s">
        <v>214</v>
      </c>
      <c r="K61" s="15">
        <f>IF(LEFT(J61,1)="X",PARAMETROS!$B$11,IF(LEFT(J61,1)="Y",PARAMETROS!$B$12,PARAMETROS!$B$13))</f>
        <v>0.84</v>
      </c>
      <c r="L61" s="14">
        <f>PARAMETROS!$B$7</f>
        <v>7</v>
      </c>
      <c r="M61" s="13">
        <f>ROUND(K61*I61*SQRT(L61/7),2)</f>
        <v>0.45</v>
      </c>
      <c r="N61" s="7">
        <f>ROUNDUP(H61*L61+M61,0)</f>
        <v>1</v>
      </c>
      <c r="O61" s="14">
        <v>0</v>
      </c>
      <c r="P61" s="7">
        <f>ROUNDUP(H61*(L61+PARAMETROS!$B$8)+M61,0)</f>
        <v>2</v>
      </c>
      <c r="Q61" s="7">
        <f>MAX(0,P61-O61)</f>
        <v>2</v>
      </c>
      <c r="R61" s="7">
        <f>ROUNDUP(H61*(L61+PARAMETROS!$B$9)+M61,0)</f>
        <v>2</v>
      </c>
      <c r="S61" s="7">
        <f>MAX(0,R61-O61)</f>
        <v>2</v>
      </c>
      <c r="T61" s="7">
        <f>ROUNDUP(H61*(L61+PARAMETROS!$B$10)+M61,0)</f>
        <v>3</v>
      </c>
      <c r="U61" s="7">
        <f>MAX(0,T61-O61)</f>
        <v>3</v>
      </c>
    </row>
    <row r="62" spans="1:21">
      <c r="A62" s="18" t="s">
        <v>231</v>
      </c>
      <c r="B62" s="18" t="s">
        <v>40</v>
      </c>
      <c r="C62" s="19">
        <v>4</v>
      </c>
      <c r="D62" s="19">
        <v>4</v>
      </c>
      <c r="E62" s="19">
        <v>4</v>
      </c>
      <c r="F62" s="19">
        <v>0</v>
      </c>
      <c r="G62" s="20">
        <v>1</v>
      </c>
      <c r="H62" s="21">
        <v>0.0678</v>
      </c>
      <c r="I62" s="21">
        <v>0.744</v>
      </c>
      <c r="J62" s="18" t="s">
        <v>214</v>
      </c>
      <c r="K62" s="15">
        <f>IF(LEFT(J62,1)="X",PARAMETROS!$B$11,IF(LEFT(J62,1)="Y",PARAMETROS!$B$12,PARAMETROS!$B$13))</f>
        <v>0.84</v>
      </c>
      <c r="L62" s="14">
        <f>PARAMETROS!$B$7</f>
        <v>7</v>
      </c>
      <c r="M62" s="21">
        <f>ROUND(K62*I62*SQRT(L62/7),2)</f>
        <v>0.62</v>
      </c>
      <c r="N62" s="19">
        <f>ROUNDUP(H62*L62+M62,0)</f>
        <v>2</v>
      </c>
      <c r="O62" s="14">
        <v>0</v>
      </c>
      <c r="P62" s="19">
        <f>ROUNDUP(H62*(L62+PARAMETROS!$B$8)+M62,0)</f>
        <v>2</v>
      </c>
      <c r="Q62" s="19">
        <f>MAX(0,P62-O62)</f>
        <v>2</v>
      </c>
      <c r="R62" s="19">
        <f>ROUNDUP(H62*(L62+PARAMETROS!$B$9)+M62,0)</f>
        <v>3</v>
      </c>
      <c r="S62" s="19">
        <f>MAX(0,R62-O62)</f>
        <v>3</v>
      </c>
      <c r="T62" s="19">
        <f>ROUNDUP(H62*(L62+PARAMETROS!$B$10)+M62,0)</f>
        <v>4</v>
      </c>
      <c r="U62" s="19">
        <f>MAX(0,T62-O62)</f>
        <v>4</v>
      </c>
    </row>
    <row r="63" spans="1:21">
      <c r="A63" s="5" t="s">
        <v>278</v>
      </c>
      <c r="B63" s="5" t="s">
        <v>257</v>
      </c>
      <c r="C63" s="7">
        <v>2</v>
      </c>
      <c r="D63" s="7">
        <v>4</v>
      </c>
      <c r="E63" s="7">
        <v>1</v>
      </c>
      <c r="F63" s="7">
        <v>3</v>
      </c>
      <c r="G63" s="9">
        <v>0.25</v>
      </c>
      <c r="H63" s="13">
        <v>0.0678</v>
      </c>
      <c r="I63" s="13">
        <v>1.0607</v>
      </c>
      <c r="J63" s="5" t="s">
        <v>214</v>
      </c>
      <c r="K63" s="15">
        <f>IF(LEFT(J63,1)="X",PARAMETROS!$B$11,IF(LEFT(J63,1)="Y",PARAMETROS!$B$12,PARAMETROS!$B$13))</f>
        <v>0.84</v>
      </c>
      <c r="L63" s="14">
        <f>PARAMETROS!$B$7</f>
        <v>7</v>
      </c>
      <c r="M63" s="13">
        <f>ROUND(K63*I63*SQRT(L63/7),2)</f>
        <v>0.89</v>
      </c>
      <c r="N63" s="7">
        <f>ROUNDUP(H63*L63+M63,0)</f>
        <v>2</v>
      </c>
      <c r="O63" s="14">
        <v>0</v>
      </c>
      <c r="P63" s="7">
        <f>ROUNDUP(H63*(L63+PARAMETROS!$B$8)+M63,0)</f>
        <v>2</v>
      </c>
      <c r="Q63" s="7">
        <f>MAX(0,P63-O63)</f>
        <v>2</v>
      </c>
      <c r="R63" s="7">
        <f>ROUNDUP(H63*(L63+PARAMETROS!$B$9)+M63,0)</f>
        <v>3</v>
      </c>
      <c r="S63" s="7">
        <f>MAX(0,R63-O63)</f>
        <v>3</v>
      </c>
      <c r="T63" s="7">
        <f>ROUNDUP(H63*(L63+PARAMETROS!$B$10)+M63,0)</f>
        <v>4</v>
      </c>
      <c r="U63" s="7">
        <f>MAX(0,T63-O63)</f>
        <v>4</v>
      </c>
    </row>
    <row r="64" spans="1:21">
      <c r="A64" s="18" t="s">
        <v>241</v>
      </c>
      <c r="B64" s="18" t="s">
        <v>47</v>
      </c>
      <c r="C64" s="19">
        <v>2</v>
      </c>
      <c r="D64" s="19">
        <v>3</v>
      </c>
      <c r="E64" s="19">
        <v>3</v>
      </c>
      <c r="F64" s="19">
        <v>0</v>
      </c>
      <c r="G64" s="20">
        <v>1</v>
      </c>
      <c r="H64" s="21">
        <v>0.0508</v>
      </c>
      <c r="I64" s="21">
        <v>0.744</v>
      </c>
      <c r="J64" s="18" t="s">
        <v>214</v>
      </c>
      <c r="K64" s="15">
        <f>IF(LEFT(J64,1)="X",PARAMETROS!$B$11,IF(LEFT(J64,1)="Y",PARAMETROS!$B$12,PARAMETROS!$B$13))</f>
        <v>0.84</v>
      </c>
      <c r="L64" s="14">
        <f>PARAMETROS!$B$7</f>
        <v>7</v>
      </c>
      <c r="M64" s="21">
        <f>ROUND(K64*I64*SQRT(L64/7),2)</f>
        <v>0.62</v>
      </c>
      <c r="N64" s="19">
        <f>ROUNDUP(H64*L64+M64,0)</f>
        <v>1</v>
      </c>
      <c r="O64" s="14">
        <v>0</v>
      </c>
      <c r="P64" s="19">
        <f>ROUNDUP(H64*(L64+PARAMETROS!$B$8)+M64,0)</f>
        <v>2</v>
      </c>
      <c r="Q64" s="19">
        <f>MAX(0,P64-O64)</f>
        <v>2</v>
      </c>
      <c r="R64" s="19">
        <f>ROUNDUP(H64*(L64+PARAMETROS!$B$9)+M64,0)</f>
        <v>2</v>
      </c>
      <c r="S64" s="19">
        <f>MAX(0,R64-O64)</f>
        <v>2</v>
      </c>
      <c r="T64" s="19">
        <f>ROUNDUP(H64*(L64+PARAMETROS!$B$10)+M64,0)</f>
        <v>3</v>
      </c>
      <c r="U64" s="19">
        <f>MAX(0,T64-O64)</f>
        <v>3</v>
      </c>
    </row>
    <row r="65" spans="1:21">
      <c r="A65" s="5" t="s">
        <v>237</v>
      </c>
      <c r="B65" s="5" t="s">
        <v>216</v>
      </c>
      <c r="C65" s="7">
        <v>3</v>
      </c>
      <c r="D65" s="7">
        <v>3</v>
      </c>
      <c r="E65" s="7">
        <v>3</v>
      </c>
      <c r="F65" s="7">
        <v>0</v>
      </c>
      <c r="G65" s="9">
        <v>1</v>
      </c>
      <c r="H65" s="13">
        <v>0.0508</v>
      </c>
      <c r="I65" s="13">
        <v>0.5175</v>
      </c>
      <c r="J65" s="5" t="s">
        <v>214</v>
      </c>
      <c r="K65" s="15">
        <f>IF(LEFT(J65,1)="X",PARAMETROS!$B$11,IF(LEFT(J65,1)="Y",PARAMETROS!$B$12,PARAMETROS!$B$13))</f>
        <v>0.84</v>
      </c>
      <c r="L65" s="14">
        <f>PARAMETROS!$B$7</f>
        <v>7</v>
      </c>
      <c r="M65" s="13">
        <f>ROUND(K65*I65*SQRT(L65/7),2)</f>
        <v>0.43</v>
      </c>
      <c r="N65" s="7">
        <f>ROUNDUP(H65*L65+M65,0)</f>
        <v>1</v>
      </c>
      <c r="O65" s="14">
        <v>0</v>
      </c>
      <c r="P65" s="7">
        <f>ROUNDUP(H65*(L65+PARAMETROS!$B$8)+M65,0)</f>
        <v>2</v>
      </c>
      <c r="Q65" s="7">
        <f>MAX(0,P65-O65)</f>
        <v>2</v>
      </c>
      <c r="R65" s="7">
        <f>ROUNDUP(H65*(L65+PARAMETROS!$B$9)+M65,0)</f>
        <v>2</v>
      </c>
      <c r="S65" s="7">
        <f>MAX(0,R65-O65)</f>
        <v>2</v>
      </c>
      <c r="T65" s="7">
        <f>ROUNDUP(H65*(L65+PARAMETROS!$B$10)+M65,0)</f>
        <v>3</v>
      </c>
      <c r="U65" s="7">
        <f>MAX(0,T65-O65)</f>
        <v>3</v>
      </c>
    </row>
    <row r="66" spans="1:21">
      <c r="A66" s="18" t="s">
        <v>281</v>
      </c>
      <c r="B66" s="18" t="s">
        <v>47</v>
      </c>
      <c r="C66" s="19">
        <v>3</v>
      </c>
      <c r="D66" s="19">
        <v>3</v>
      </c>
      <c r="E66" s="19">
        <v>3</v>
      </c>
      <c r="F66" s="19">
        <v>0</v>
      </c>
      <c r="G66" s="20">
        <v>1</v>
      </c>
      <c r="H66" s="21">
        <v>0.0508</v>
      </c>
      <c r="I66" s="21">
        <v>0.744</v>
      </c>
      <c r="J66" s="18" t="s">
        <v>214</v>
      </c>
      <c r="K66" s="15">
        <f>IF(LEFT(J66,1)="X",PARAMETROS!$B$11,IF(LEFT(J66,1)="Y",PARAMETROS!$B$12,PARAMETROS!$B$13))</f>
        <v>0.84</v>
      </c>
      <c r="L66" s="14">
        <f>PARAMETROS!$B$7</f>
        <v>7</v>
      </c>
      <c r="M66" s="21">
        <f>ROUND(K66*I66*SQRT(L66/7),2)</f>
        <v>0.62</v>
      </c>
      <c r="N66" s="19">
        <f>ROUNDUP(H66*L66+M66,0)</f>
        <v>1</v>
      </c>
      <c r="O66" s="14">
        <v>0</v>
      </c>
      <c r="P66" s="19">
        <f>ROUNDUP(H66*(L66+PARAMETROS!$B$8)+M66,0)</f>
        <v>2</v>
      </c>
      <c r="Q66" s="19">
        <f>MAX(0,P66-O66)</f>
        <v>2</v>
      </c>
      <c r="R66" s="19">
        <f>ROUNDUP(H66*(L66+PARAMETROS!$B$9)+M66,0)</f>
        <v>2</v>
      </c>
      <c r="S66" s="19">
        <f>MAX(0,R66-O66)</f>
        <v>2</v>
      </c>
      <c r="T66" s="19">
        <f>ROUNDUP(H66*(L66+PARAMETROS!$B$10)+M66,0)</f>
        <v>3</v>
      </c>
      <c r="U66" s="19">
        <f>MAX(0,T66-O66)</f>
        <v>3</v>
      </c>
    </row>
    <row r="67" spans="1:21">
      <c r="A67" s="5" t="s">
        <v>263</v>
      </c>
      <c r="B67" s="5" t="s">
        <v>47</v>
      </c>
      <c r="C67" s="7">
        <v>3</v>
      </c>
      <c r="D67" s="7">
        <v>3</v>
      </c>
      <c r="E67" s="7">
        <v>3</v>
      </c>
      <c r="F67" s="7">
        <v>0</v>
      </c>
      <c r="G67" s="9">
        <v>1</v>
      </c>
      <c r="H67" s="13">
        <v>0.0508</v>
      </c>
      <c r="I67" s="13">
        <v>0.7071</v>
      </c>
      <c r="J67" s="5" t="s">
        <v>214</v>
      </c>
      <c r="K67" s="15">
        <f>IF(LEFT(J67,1)="X",PARAMETROS!$B$11,IF(LEFT(J67,1)="Y",PARAMETROS!$B$12,PARAMETROS!$B$13))</f>
        <v>0.84</v>
      </c>
      <c r="L67" s="14">
        <f>PARAMETROS!$B$7</f>
        <v>7</v>
      </c>
      <c r="M67" s="13">
        <f>ROUND(K67*I67*SQRT(L67/7),2)</f>
        <v>0.59</v>
      </c>
      <c r="N67" s="7">
        <f>ROUNDUP(H67*L67+M67,0)</f>
        <v>1</v>
      </c>
      <c r="O67" s="14">
        <v>0</v>
      </c>
      <c r="P67" s="7">
        <f>ROUNDUP(H67*(L67+PARAMETROS!$B$8)+M67,0)</f>
        <v>2</v>
      </c>
      <c r="Q67" s="7">
        <f>MAX(0,P67-O67)</f>
        <v>2</v>
      </c>
      <c r="R67" s="7">
        <f>ROUNDUP(H67*(L67+PARAMETROS!$B$9)+M67,0)</f>
        <v>2</v>
      </c>
      <c r="S67" s="7">
        <f>MAX(0,R67-O67)</f>
        <v>2</v>
      </c>
      <c r="T67" s="7">
        <f>ROUNDUP(H67*(L67+PARAMETROS!$B$10)+M67,0)</f>
        <v>3</v>
      </c>
      <c r="U67" s="7">
        <f>MAX(0,T67-O67)</f>
        <v>3</v>
      </c>
    </row>
    <row r="68" spans="1:21">
      <c r="A68" s="18" t="s">
        <v>280</v>
      </c>
      <c r="B68" s="18" t="s">
        <v>40</v>
      </c>
      <c r="C68" s="19">
        <v>3</v>
      </c>
      <c r="D68" s="19">
        <v>3</v>
      </c>
      <c r="E68" s="19">
        <v>3</v>
      </c>
      <c r="F68" s="19">
        <v>0</v>
      </c>
      <c r="G68" s="20">
        <v>1</v>
      </c>
      <c r="H68" s="21">
        <v>0.0508</v>
      </c>
      <c r="I68" s="21">
        <v>0.3536</v>
      </c>
      <c r="J68" s="18" t="s">
        <v>214</v>
      </c>
      <c r="K68" s="15">
        <f>IF(LEFT(J68,1)="X",PARAMETROS!$B$11,IF(LEFT(J68,1)="Y",PARAMETROS!$B$12,PARAMETROS!$B$13))</f>
        <v>0.84</v>
      </c>
      <c r="L68" s="14">
        <f>PARAMETROS!$B$7</f>
        <v>7</v>
      </c>
      <c r="M68" s="21">
        <f>ROUND(K68*I68*SQRT(L68/7),2)</f>
        <v>0.3</v>
      </c>
      <c r="N68" s="19">
        <f>ROUNDUP(H68*L68+M68,0)</f>
        <v>1</v>
      </c>
      <c r="O68" s="14">
        <v>0</v>
      </c>
      <c r="P68" s="19">
        <f>ROUNDUP(H68*(L68+PARAMETROS!$B$8)+M68,0)</f>
        <v>2</v>
      </c>
      <c r="Q68" s="19">
        <f>MAX(0,P68-O68)</f>
        <v>2</v>
      </c>
      <c r="R68" s="19">
        <f>ROUNDUP(H68*(L68+PARAMETROS!$B$9)+M68,0)</f>
        <v>2</v>
      </c>
      <c r="S68" s="19">
        <f>MAX(0,R68-O68)</f>
        <v>2</v>
      </c>
      <c r="T68" s="19">
        <f>ROUNDUP(H68*(L68+PARAMETROS!$B$10)+M68,0)</f>
        <v>3</v>
      </c>
      <c r="U68" s="19">
        <f>MAX(0,T68-O68)</f>
        <v>3</v>
      </c>
    </row>
    <row r="69" spans="1:21">
      <c r="A69" s="5" t="s">
        <v>246</v>
      </c>
      <c r="B69" s="5" t="s">
        <v>40</v>
      </c>
      <c r="C69" s="7">
        <v>3</v>
      </c>
      <c r="D69" s="7">
        <v>3</v>
      </c>
      <c r="E69" s="7">
        <v>3</v>
      </c>
      <c r="F69" s="7">
        <v>0</v>
      </c>
      <c r="G69" s="9">
        <v>1</v>
      </c>
      <c r="H69" s="13">
        <v>0.0508</v>
      </c>
      <c r="I69" s="13">
        <v>0.4629</v>
      </c>
      <c r="J69" s="5" t="s">
        <v>214</v>
      </c>
      <c r="K69" s="15">
        <f>IF(LEFT(J69,1)="X",PARAMETROS!$B$11,IF(LEFT(J69,1)="Y",PARAMETROS!$B$12,PARAMETROS!$B$13))</f>
        <v>0.84</v>
      </c>
      <c r="L69" s="14">
        <f>PARAMETROS!$B$7</f>
        <v>7</v>
      </c>
      <c r="M69" s="13">
        <f>ROUND(K69*I69*SQRT(L69/7),2)</f>
        <v>0.39</v>
      </c>
      <c r="N69" s="7">
        <f>ROUNDUP(H69*L69+M69,0)</f>
        <v>1</v>
      </c>
      <c r="O69" s="14">
        <v>0</v>
      </c>
      <c r="P69" s="7">
        <f>ROUNDUP(H69*(L69+PARAMETROS!$B$8)+M69,0)</f>
        <v>2</v>
      </c>
      <c r="Q69" s="7">
        <f>MAX(0,P69-O69)</f>
        <v>2</v>
      </c>
      <c r="R69" s="7">
        <f>ROUNDUP(H69*(L69+PARAMETROS!$B$9)+M69,0)</f>
        <v>2</v>
      </c>
      <c r="S69" s="7">
        <f>MAX(0,R69-O69)</f>
        <v>2</v>
      </c>
      <c r="T69" s="7">
        <f>ROUNDUP(H69*(L69+PARAMETROS!$B$10)+M69,0)</f>
        <v>3</v>
      </c>
      <c r="U69" s="7">
        <f>MAX(0,T69-O69)</f>
        <v>3</v>
      </c>
    </row>
    <row r="70" spans="1:21">
      <c r="A70" s="18" t="s">
        <v>282</v>
      </c>
      <c r="B70" s="18" t="s">
        <v>257</v>
      </c>
      <c r="C70" s="19">
        <v>2</v>
      </c>
      <c r="D70" s="19">
        <v>3</v>
      </c>
      <c r="E70" s="19">
        <v>3</v>
      </c>
      <c r="F70" s="19">
        <v>0</v>
      </c>
      <c r="G70" s="20">
        <v>1</v>
      </c>
      <c r="H70" s="21">
        <v>0.0508</v>
      </c>
      <c r="I70" s="21">
        <v>0.7071</v>
      </c>
      <c r="J70" s="18" t="s">
        <v>214</v>
      </c>
      <c r="K70" s="15">
        <f>IF(LEFT(J70,1)="X",PARAMETROS!$B$11,IF(LEFT(J70,1)="Y",PARAMETROS!$B$12,PARAMETROS!$B$13))</f>
        <v>0.84</v>
      </c>
      <c r="L70" s="14">
        <f>PARAMETROS!$B$7</f>
        <v>7</v>
      </c>
      <c r="M70" s="21">
        <f>ROUND(K70*I70*SQRT(L70/7),2)</f>
        <v>0.59</v>
      </c>
      <c r="N70" s="19">
        <f>ROUNDUP(H70*L70+M70,0)</f>
        <v>1</v>
      </c>
      <c r="O70" s="14">
        <v>0</v>
      </c>
      <c r="P70" s="19">
        <f>ROUNDUP(H70*(L70+PARAMETROS!$B$8)+M70,0)</f>
        <v>2</v>
      </c>
      <c r="Q70" s="19">
        <f>MAX(0,P70-O70)</f>
        <v>2</v>
      </c>
      <c r="R70" s="19">
        <f>ROUNDUP(H70*(L70+PARAMETROS!$B$9)+M70,0)</f>
        <v>2</v>
      </c>
      <c r="S70" s="19">
        <f>MAX(0,R70-O70)</f>
        <v>2</v>
      </c>
      <c r="T70" s="19">
        <f>ROUNDUP(H70*(L70+PARAMETROS!$B$10)+M70,0)</f>
        <v>3</v>
      </c>
      <c r="U70" s="19">
        <f>MAX(0,T70-O70)</f>
        <v>3</v>
      </c>
    </row>
    <row r="71" spans="1:21">
      <c r="A71" s="5" t="s">
        <v>279</v>
      </c>
      <c r="B71" s="5" t="s">
        <v>216</v>
      </c>
      <c r="C71" s="7">
        <v>3</v>
      </c>
      <c r="D71" s="7">
        <v>3</v>
      </c>
      <c r="E71" s="7">
        <v>3</v>
      </c>
      <c r="F71" s="7">
        <v>0</v>
      </c>
      <c r="G71" s="9">
        <v>1</v>
      </c>
      <c r="H71" s="13">
        <v>0.0508</v>
      </c>
      <c r="I71" s="13">
        <v>0.3536</v>
      </c>
      <c r="J71" s="5" t="s">
        <v>214</v>
      </c>
      <c r="K71" s="15">
        <f>IF(LEFT(J71,1)="X",PARAMETROS!$B$11,IF(LEFT(J71,1)="Y",PARAMETROS!$B$12,PARAMETROS!$B$13))</f>
        <v>0.84</v>
      </c>
      <c r="L71" s="14">
        <f>PARAMETROS!$B$7</f>
        <v>7</v>
      </c>
      <c r="M71" s="13">
        <f>ROUND(K71*I71*SQRT(L71/7),2)</f>
        <v>0.3</v>
      </c>
      <c r="N71" s="7">
        <f>ROUNDUP(H71*L71+M71,0)</f>
        <v>1</v>
      </c>
      <c r="O71" s="14">
        <v>0</v>
      </c>
      <c r="P71" s="7">
        <f>ROUNDUP(H71*(L71+PARAMETROS!$B$8)+M71,0)</f>
        <v>2</v>
      </c>
      <c r="Q71" s="7">
        <f>MAX(0,P71-O71)</f>
        <v>2</v>
      </c>
      <c r="R71" s="7">
        <f>ROUNDUP(H71*(L71+PARAMETROS!$B$9)+M71,0)</f>
        <v>2</v>
      </c>
      <c r="S71" s="7">
        <f>MAX(0,R71-O71)</f>
        <v>2</v>
      </c>
      <c r="T71" s="7">
        <f>ROUNDUP(H71*(L71+PARAMETROS!$B$10)+M71,0)</f>
        <v>3</v>
      </c>
      <c r="U71" s="7">
        <f>MAX(0,T71-O71)</f>
        <v>3</v>
      </c>
    </row>
    <row r="72" spans="1:21">
      <c r="A72" s="18" t="s">
        <v>248</v>
      </c>
      <c r="B72" s="18" t="s">
        <v>216</v>
      </c>
      <c r="C72" s="19">
        <v>2</v>
      </c>
      <c r="D72" s="19">
        <v>2</v>
      </c>
      <c r="E72" s="19">
        <v>2</v>
      </c>
      <c r="F72" s="19">
        <v>0</v>
      </c>
      <c r="G72" s="20">
        <v>1</v>
      </c>
      <c r="H72" s="21">
        <v>0.0339</v>
      </c>
      <c r="I72" s="21">
        <v>0.4629</v>
      </c>
      <c r="J72" s="18" t="s">
        <v>214</v>
      </c>
      <c r="K72" s="15">
        <f>IF(LEFT(J72,1)="X",PARAMETROS!$B$11,IF(LEFT(J72,1)="Y",PARAMETROS!$B$12,PARAMETROS!$B$13))</f>
        <v>0.84</v>
      </c>
      <c r="L72" s="14">
        <f>PARAMETROS!$B$7</f>
        <v>7</v>
      </c>
      <c r="M72" s="21">
        <f>ROUND(K72*I72*SQRT(L72/7),2)</f>
        <v>0.39</v>
      </c>
      <c r="N72" s="19">
        <f>ROUNDUP(H72*L72+M72,0)</f>
        <v>1</v>
      </c>
      <c r="O72" s="14">
        <v>0</v>
      </c>
      <c r="P72" s="19">
        <f>ROUNDUP(H72*(L72+PARAMETROS!$B$8)+M72,0)</f>
        <v>1</v>
      </c>
      <c r="Q72" s="19">
        <f>MAX(0,P72-O72)</f>
        <v>1</v>
      </c>
      <c r="R72" s="19">
        <f>ROUNDUP(H72*(L72+PARAMETROS!$B$9)+M72,0)</f>
        <v>2</v>
      </c>
      <c r="S72" s="19">
        <f>MAX(0,R72-O72)</f>
        <v>2</v>
      </c>
      <c r="T72" s="19">
        <f>ROUNDUP(H72*(L72+PARAMETROS!$B$10)+M72,0)</f>
        <v>2</v>
      </c>
      <c r="U72" s="19">
        <f>MAX(0,T72-O72)</f>
        <v>2</v>
      </c>
    </row>
    <row r="73" spans="1:21">
      <c r="A73" s="5" t="s">
        <v>242</v>
      </c>
      <c r="B73" s="5" t="s">
        <v>216</v>
      </c>
      <c r="C73" s="7">
        <v>2</v>
      </c>
      <c r="D73" s="7">
        <v>2</v>
      </c>
      <c r="E73" s="7">
        <v>1</v>
      </c>
      <c r="F73" s="7">
        <v>1</v>
      </c>
      <c r="G73" s="9">
        <v>0.5</v>
      </c>
      <c r="H73" s="13">
        <v>0.0339</v>
      </c>
      <c r="I73" s="13">
        <v>0.4629</v>
      </c>
      <c r="J73" s="5" t="s">
        <v>214</v>
      </c>
      <c r="K73" s="15">
        <f>IF(LEFT(J73,1)="X",PARAMETROS!$B$11,IF(LEFT(J73,1)="Y",PARAMETROS!$B$12,PARAMETROS!$B$13))</f>
        <v>0.84</v>
      </c>
      <c r="L73" s="14">
        <f>PARAMETROS!$B$7</f>
        <v>7</v>
      </c>
      <c r="M73" s="13">
        <f>ROUND(K73*I73*SQRT(L73/7),2)</f>
        <v>0.39</v>
      </c>
      <c r="N73" s="7">
        <f>ROUNDUP(H73*L73+M73,0)</f>
        <v>1</v>
      </c>
      <c r="O73" s="14">
        <v>0</v>
      </c>
      <c r="P73" s="7">
        <f>ROUNDUP(H73*(L73+PARAMETROS!$B$8)+M73,0)</f>
        <v>1</v>
      </c>
      <c r="Q73" s="7">
        <f>MAX(0,P73-O73)</f>
        <v>1</v>
      </c>
      <c r="R73" s="7">
        <f>ROUNDUP(H73*(L73+PARAMETROS!$B$9)+M73,0)</f>
        <v>2</v>
      </c>
      <c r="S73" s="7">
        <f>MAX(0,R73-O73)</f>
        <v>2</v>
      </c>
      <c r="T73" s="7">
        <f>ROUNDUP(H73*(L73+PARAMETROS!$B$10)+M73,0)</f>
        <v>2</v>
      </c>
      <c r="U73" s="7">
        <f>MAX(0,T73-O73)</f>
        <v>2</v>
      </c>
    </row>
    <row r="74" spans="1:21">
      <c r="A74" s="18" t="s">
        <v>288</v>
      </c>
      <c r="B74" s="18" t="s">
        <v>216</v>
      </c>
      <c r="C74" s="19">
        <v>1</v>
      </c>
      <c r="D74" s="19">
        <v>2</v>
      </c>
      <c r="E74" s="19">
        <v>0</v>
      </c>
      <c r="F74" s="19">
        <v>2</v>
      </c>
      <c r="G74" s="20">
        <v>0</v>
      </c>
      <c r="H74" s="21">
        <v>0.0339</v>
      </c>
      <c r="I74" s="21">
        <v>0.7071</v>
      </c>
      <c r="J74" s="18" t="s">
        <v>214</v>
      </c>
      <c r="K74" s="15">
        <f>IF(LEFT(J74,1)="X",PARAMETROS!$B$11,IF(LEFT(J74,1)="Y",PARAMETROS!$B$12,PARAMETROS!$B$13))</f>
        <v>0.84</v>
      </c>
      <c r="L74" s="14">
        <f>PARAMETROS!$B$7</f>
        <v>7</v>
      </c>
      <c r="M74" s="21">
        <f>ROUND(K74*I74*SQRT(L74/7),2)</f>
        <v>0.59</v>
      </c>
      <c r="N74" s="19">
        <f>ROUNDUP(H74*L74+M74,0)</f>
        <v>1</v>
      </c>
      <c r="O74" s="14">
        <v>0</v>
      </c>
      <c r="P74" s="19">
        <f>ROUNDUP(H74*(L74+PARAMETROS!$B$8)+M74,0)</f>
        <v>2</v>
      </c>
      <c r="Q74" s="19">
        <f>MAX(0,P74-O74)</f>
        <v>2</v>
      </c>
      <c r="R74" s="19">
        <f>ROUNDUP(H74*(L74+PARAMETROS!$B$9)+M74,0)</f>
        <v>2</v>
      </c>
      <c r="S74" s="19">
        <f>MAX(0,R74-O74)</f>
        <v>2</v>
      </c>
      <c r="T74" s="19">
        <f>ROUNDUP(H74*(L74+PARAMETROS!$B$10)+M74,0)</f>
        <v>2</v>
      </c>
      <c r="U74" s="19">
        <f>MAX(0,T74-O74)</f>
        <v>2</v>
      </c>
    </row>
    <row r="75" spans="1:21">
      <c r="A75" s="5" t="s">
        <v>247</v>
      </c>
      <c r="B75" s="5" t="s">
        <v>47</v>
      </c>
      <c r="C75" s="7">
        <v>1</v>
      </c>
      <c r="D75" s="7">
        <v>2</v>
      </c>
      <c r="E75" s="7">
        <v>2</v>
      </c>
      <c r="F75" s="7">
        <v>0</v>
      </c>
      <c r="G75" s="9">
        <v>1</v>
      </c>
      <c r="H75" s="13">
        <v>0.0339</v>
      </c>
      <c r="I75" s="13">
        <v>0.7071</v>
      </c>
      <c r="J75" s="5" t="s">
        <v>214</v>
      </c>
      <c r="K75" s="15">
        <f>IF(LEFT(J75,1)="X",PARAMETROS!$B$11,IF(LEFT(J75,1)="Y",PARAMETROS!$B$12,PARAMETROS!$B$13))</f>
        <v>0.84</v>
      </c>
      <c r="L75" s="14">
        <f>PARAMETROS!$B$7</f>
        <v>7</v>
      </c>
      <c r="M75" s="13">
        <f>ROUND(K75*I75*SQRT(L75/7),2)</f>
        <v>0.59</v>
      </c>
      <c r="N75" s="7">
        <f>ROUNDUP(H75*L75+M75,0)</f>
        <v>1</v>
      </c>
      <c r="O75" s="14">
        <v>0</v>
      </c>
      <c r="P75" s="7">
        <f>ROUNDUP(H75*(L75+PARAMETROS!$B$8)+M75,0)</f>
        <v>2</v>
      </c>
      <c r="Q75" s="7">
        <f>MAX(0,P75-O75)</f>
        <v>2</v>
      </c>
      <c r="R75" s="7">
        <f>ROUNDUP(H75*(L75+PARAMETROS!$B$9)+M75,0)</f>
        <v>2</v>
      </c>
      <c r="S75" s="7">
        <f>MAX(0,R75-O75)</f>
        <v>2</v>
      </c>
      <c r="T75" s="7">
        <f>ROUNDUP(H75*(L75+PARAMETROS!$B$10)+M75,0)</f>
        <v>2</v>
      </c>
      <c r="U75" s="7">
        <f>MAX(0,T75-O75)</f>
        <v>2</v>
      </c>
    </row>
    <row r="76" spans="1:21">
      <c r="A76" s="18" t="s">
        <v>285</v>
      </c>
      <c r="B76" s="18" t="s">
        <v>40</v>
      </c>
      <c r="C76" s="19">
        <v>2</v>
      </c>
      <c r="D76" s="19">
        <v>2</v>
      </c>
      <c r="E76" s="19">
        <v>2</v>
      </c>
      <c r="F76" s="19">
        <v>0</v>
      </c>
      <c r="G76" s="20">
        <v>1</v>
      </c>
      <c r="H76" s="21">
        <v>0.0339</v>
      </c>
      <c r="I76" s="21">
        <v>0</v>
      </c>
      <c r="J76" s="18" t="s">
        <v>214</v>
      </c>
      <c r="K76" s="15">
        <f>IF(LEFT(J76,1)="X",PARAMETROS!$B$11,IF(LEFT(J76,1)="Y",PARAMETROS!$B$12,PARAMETROS!$B$13))</f>
        <v>0.84</v>
      </c>
      <c r="L76" s="14">
        <f>PARAMETROS!$B$7</f>
        <v>7</v>
      </c>
      <c r="M76" s="21">
        <f>ROUND(K76*I76*SQRT(L76/7),2)</f>
        <v>0.0</v>
      </c>
      <c r="N76" s="19">
        <f>ROUNDUP(H76*L76+M76,0)</f>
        <v>1</v>
      </c>
      <c r="O76" s="14">
        <v>0</v>
      </c>
      <c r="P76" s="19">
        <f>ROUNDUP(H76*(L76+PARAMETROS!$B$8)+M76,0)</f>
        <v>1</v>
      </c>
      <c r="Q76" s="19">
        <f>MAX(0,P76-O76)</f>
        <v>1</v>
      </c>
      <c r="R76" s="19">
        <f>ROUNDUP(H76*(L76+PARAMETROS!$B$9)+M76,0)</f>
        <v>1</v>
      </c>
      <c r="S76" s="19">
        <f>MAX(0,R76-O76)</f>
        <v>1</v>
      </c>
      <c r="T76" s="19">
        <f>ROUNDUP(H76*(L76+PARAMETROS!$B$10)+M76,0)</f>
        <v>2</v>
      </c>
      <c r="U76" s="19">
        <f>MAX(0,T76-O76)</f>
        <v>2</v>
      </c>
    </row>
    <row r="77" spans="1:21">
      <c r="A77" s="5" t="s">
        <v>243</v>
      </c>
      <c r="B77" s="5" t="s">
        <v>216</v>
      </c>
      <c r="C77" s="7">
        <v>2</v>
      </c>
      <c r="D77" s="7">
        <v>2</v>
      </c>
      <c r="E77" s="7">
        <v>2</v>
      </c>
      <c r="F77" s="7">
        <v>0</v>
      </c>
      <c r="G77" s="9">
        <v>1</v>
      </c>
      <c r="H77" s="13">
        <v>0.0339</v>
      </c>
      <c r="I77" s="13">
        <v>0.4629</v>
      </c>
      <c r="J77" s="5" t="s">
        <v>214</v>
      </c>
      <c r="K77" s="15">
        <f>IF(LEFT(J77,1)="X",PARAMETROS!$B$11,IF(LEFT(J77,1)="Y",PARAMETROS!$B$12,PARAMETROS!$B$13))</f>
        <v>0.84</v>
      </c>
      <c r="L77" s="14">
        <f>PARAMETROS!$B$7</f>
        <v>7</v>
      </c>
      <c r="M77" s="13">
        <f>ROUND(K77*I77*SQRT(L77/7),2)</f>
        <v>0.39</v>
      </c>
      <c r="N77" s="7">
        <f>ROUNDUP(H77*L77+M77,0)</f>
        <v>1</v>
      </c>
      <c r="O77" s="14">
        <v>0</v>
      </c>
      <c r="P77" s="7">
        <f>ROUNDUP(H77*(L77+PARAMETROS!$B$8)+M77,0)</f>
        <v>1</v>
      </c>
      <c r="Q77" s="7">
        <f>MAX(0,P77-O77)</f>
        <v>1</v>
      </c>
      <c r="R77" s="7">
        <f>ROUNDUP(H77*(L77+PARAMETROS!$B$9)+M77,0)</f>
        <v>2</v>
      </c>
      <c r="S77" s="7">
        <f>MAX(0,R77-O77)</f>
        <v>2</v>
      </c>
      <c r="T77" s="7">
        <f>ROUNDUP(H77*(L77+PARAMETROS!$B$10)+M77,0)</f>
        <v>2</v>
      </c>
      <c r="U77" s="7">
        <f>MAX(0,T77-O77)</f>
        <v>2</v>
      </c>
    </row>
    <row r="78" spans="1:21">
      <c r="A78" s="18" t="s">
        <v>284</v>
      </c>
      <c r="B78" s="18" t="s">
        <v>216</v>
      </c>
      <c r="C78" s="19">
        <v>1</v>
      </c>
      <c r="D78" s="19">
        <v>2</v>
      </c>
      <c r="E78" s="19">
        <v>0</v>
      </c>
      <c r="F78" s="19">
        <v>2</v>
      </c>
      <c r="G78" s="20">
        <v>0</v>
      </c>
      <c r="H78" s="21">
        <v>0.0339</v>
      </c>
      <c r="I78" s="21">
        <v>0.7071</v>
      </c>
      <c r="J78" s="18" t="s">
        <v>214</v>
      </c>
      <c r="K78" s="15">
        <f>IF(LEFT(J78,1)="X",PARAMETROS!$B$11,IF(LEFT(J78,1)="Y",PARAMETROS!$B$12,PARAMETROS!$B$13))</f>
        <v>0.84</v>
      </c>
      <c r="L78" s="14">
        <f>PARAMETROS!$B$7</f>
        <v>7</v>
      </c>
      <c r="M78" s="21">
        <f>ROUND(K78*I78*SQRT(L78/7),2)</f>
        <v>0.59</v>
      </c>
      <c r="N78" s="19">
        <f>ROUNDUP(H78*L78+M78,0)</f>
        <v>1</v>
      </c>
      <c r="O78" s="14">
        <v>0</v>
      </c>
      <c r="P78" s="19">
        <f>ROUNDUP(H78*(L78+PARAMETROS!$B$8)+M78,0)</f>
        <v>2</v>
      </c>
      <c r="Q78" s="19">
        <f>MAX(0,P78-O78)</f>
        <v>2</v>
      </c>
      <c r="R78" s="19">
        <f>ROUNDUP(H78*(L78+PARAMETROS!$B$9)+M78,0)</f>
        <v>2</v>
      </c>
      <c r="S78" s="19">
        <f>MAX(0,R78-O78)</f>
        <v>2</v>
      </c>
      <c r="T78" s="19">
        <f>ROUNDUP(H78*(L78+PARAMETROS!$B$10)+M78,0)</f>
        <v>2</v>
      </c>
      <c r="U78" s="19">
        <f>MAX(0,T78-O78)</f>
        <v>2</v>
      </c>
    </row>
    <row r="79" spans="1:21">
      <c r="A79" s="5" t="s">
        <v>245</v>
      </c>
      <c r="B79" s="5" t="s">
        <v>216</v>
      </c>
      <c r="C79" s="7">
        <v>2</v>
      </c>
      <c r="D79" s="7">
        <v>2</v>
      </c>
      <c r="E79" s="7">
        <v>2</v>
      </c>
      <c r="F79" s="7">
        <v>0</v>
      </c>
      <c r="G79" s="9">
        <v>1</v>
      </c>
      <c r="H79" s="13">
        <v>0.0339</v>
      </c>
      <c r="I79" s="13">
        <v>0.4629</v>
      </c>
      <c r="J79" s="5" t="s">
        <v>214</v>
      </c>
      <c r="K79" s="15">
        <f>IF(LEFT(J79,1)="X",PARAMETROS!$B$11,IF(LEFT(J79,1)="Y",PARAMETROS!$B$12,PARAMETROS!$B$13))</f>
        <v>0.84</v>
      </c>
      <c r="L79" s="14">
        <f>PARAMETROS!$B$7</f>
        <v>7</v>
      </c>
      <c r="M79" s="13">
        <f>ROUND(K79*I79*SQRT(L79/7),2)</f>
        <v>0.39</v>
      </c>
      <c r="N79" s="7">
        <f>ROUNDUP(H79*L79+M79,0)</f>
        <v>1</v>
      </c>
      <c r="O79" s="14">
        <v>0</v>
      </c>
      <c r="P79" s="7">
        <f>ROUNDUP(H79*(L79+PARAMETROS!$B$8)+M79,0)</f>
        <v>1</v>
      </c>
      <c r="Q79" s="7">
        <f>MAX(0,P79-O79)</f>
        <v>1</v>
      </c>
      <c r="R79" s="7">
        <f>ROUNDUP(H79*(L79+PARAMETROS!$B$9)+M79,0)</f>
        <v>2</v>
      </c>
      <c r="S79" s="7">
        <f>MAX(0,R79-O79)</f>
        <v>2</v>
      </c>
      <c r="T79" s="7">
        <f>ROUNDUP(H79*(L79+PARAMETROS!$B$10)+M79,0)</f>
        <v>2</v>
      </c>
      <c r="U79" s="7">
        <f>MAX(0,T79-O79)</f>
        <v>2</v>
      </c>
    </row>
    <row r="80" spans="1:21">
      <c r="A80" s="18" t="s">
        <v>287</v>
      </c>
      <c r="B80" s="18" t="s">
        <v>216</v>
      </c>
      <c r="C80" s="19">
        <v>1</v>
      </c>
      <c r="D80" s="19">
        <v>2</v>
      </c>
      <c r="E80" s="19">
        <v>0</v>
      </c>
      <c r="F80" s="19">
        <v>2</v>
      </c>
      <c r="G80" s="20">
        <v>0</v>
      </c>
      <c r="H80" s="21">
        <v>0.0339</v>
      </c>
      <c r="I80" s="21">
        <v>0</v>
      </c>
      <c r="J80" s="18" t="s">
        <v>214</v>
      </c>
      <c r="K80" s="15">
        <f>IF(LEFT(J80,1)="X",PARAMETROS!$B$11,IF(LEFT(J80,1)="Y",PARAMETROS!$B$12,PARAMETROS!$B$13))</f>
        <v>0.84</v>
      </c>
      <c r="L80" s="14">
        <f>PARAMETROS!$B$7</f>
        <v>7</v>
      </c>
      <c r="M80" s="21">
        <f>ROUND(K80*I80*SQRT(L80/7),2)</f>
        <v>0.0</v>
      </c>
      <c r="N80" s="19">
        <f>ROUNDUP(H80*L80+M80,0)</f>
        <v>1</v>
      </c>
      <c r="O80" s="14">
        <v>0</v>
      </c>
      <c r="P80" s="19">
        <f>ROUNDUP(H80*(L80+PARAMETROS!$B$8)+M80,0)</f>
        <v>1</v>
      </c>
      <c r="Q80" s="19">
        <f>MAX(0,P80-O80)</f>
        <v>1</v>
      </c>
      <c r="R80" s="19">
        <f>ROUNDUP(H80*(L80+PARAMETROS!$B$9)+M80,0)</f>
        <v>1</v>
      </c>
      <c r="S80" s="19">
        <f>MAX(0,R80-O80)</f>
        <v>1</v>
      </c>
      <c r="T80" s="19">
        <f>ROUNDUP(H80*(L80+PARAMETROS!$B$10)+M80,0)</f>
        <v>2</v>
      </c>
      <c r="U80" s="19">
        <f>MAX(0,T80-O80)</f>
        <v>2</v>
      </c>
    </row>
    <row r="81" spans="1:21">
      <c r="A81" s="5" t="s">
        <v>286</v>
      </c>
      <c r="B81" s="5" t="s">
        <v>216</v>
      </c>
      <c r="C81" s="7">
        <v>1</v>
      </c>
      <c r="D81" s="7">
        <v>2</v>
      </c>
      <c r="E81" s="7">
        <v>2</v>
      </c>
      <c r="F81" s="7">
        <v>0</v>
      </c>
      <c r="G81" s="9">
        <v>1</v>
      </c>
      <c r="H81" s="13">
        <v>0.0339</v>
      </c>
      <c r="I81" s="13">
        <v>0.7071</v>
      </c>
      <c r="J81" s="5" t="s">
        <v>214</v>
      </c>
      <c r="K81" s="15">
        <f>IF(LEFT(J81,1)="X",PARAMETROS!$B$11,IF(LEFT(J81,1)="Y",PARAMETROS!$B$12,PARAMETROS!$B$13))</f>
        <v>0.84</v>
      </c>
      <c r="L81" s="14">
        <f>PARAMETROS!$B$7</f>
        <v>7</v>
      </c>
      <c r="M81" s="13">
        <f>ROUND(K81*I81*SQRT(L81/7),2)</f>
        <v>0.59</v>
      </c>
      <c r="N81" s="7">
        <f>ROUNDUP(H81*L81+M81,0)</f>
        <v>1</v>
      </c>
      <c r="O81" s="14">
        <v>0</v>
      </c>
      <c r="P81" s="7">
        <f>ROUNDUP(H81*(L81+PARAMETROS!$B$8)+M81,0)</f>
        <v>2</v>
      </c>
      <c r="Q81" s="7">
        <f>MAX(0,P81-O81)</f>
        <v>2</v>
      </c>
      <c r="R81" s="7">
        <f>ROUNDUP(H81*(L81+PARAMETROS!$B$9)+M81,0)</f>
        <v>2</v>
      </c>
      <c r="S81" s="7">
        <f>MAX(0,R81-O81)</f>
        <v>2</v>
      </c>
      <c r="T81" s="7">
        <f>ROUNDUP(H81*(L81+PARAMETROS!$B$10)+M81,0)</f>
        <v>2</v>
      </c>
      <c r="U81" s="7">
        <f>MAX(0,T81-O81)</f>
        <v>2</v>
      </c>
    </row>
    <row r="82" spans="1:21">
      <c r="A82" s="18" t="s">
        <v>256</v>
      </c>
      <c r="B82" s="18" t="s">
        <v>257</v>
      </c>
      <c r="C82" s="19">
        <v>2</v>
      </c>
      <c r="D82" s="19">
        <v>2</v>
      </c>
      <c r="E82" s="19">
        <v>2</v>
      </c>
      <c r="F82" s="19">
        <v>0</v>
      </c>
      <c r="G82" s="20">
        <v>1</v>
      </c>
      <c r="H82" s="21">
        <v>0.0339</v>
      </c>
      <c r="I82" s="21">
        <v>0.4629</v>
      </c>
      <c r="J82" s="18" t="s">
        <v>214</v>
      </c>
      <c r="K82" s="15">
        <f>IF(LEFT(J82,1)="X",PARAMETROS!$B$11,IF(LEFT(J82,1)="Y",PARAMETROS!$B$12,PARAMETROS!$B$13))</f>
        <v>0.84</v>
      </c>
      <c r="L82" s="14">
        <f>PARAMETROS!$B$7</f>
        <v>7</v>
      </c>
      <c r="M82" s="21">
        <f>ROUND(K82*I82*SQRT(L82/7),2)</f>
        <v>0.39</v>
      </c>
      <c r="N82" s="19">
        <f>ROUNDUP(H82*L82+M82,0)</f>
        <v>1</v>
      </c>
      <c r="O82" s="14">
        <v>0</v>
      </c>
      <c r="P82" s="19">
        <f>ROUNDUP(H82*(L82+PARAMETROS!$B$8)+M82,0)</f>
        <v>1</v>
      </c>
      <c r="Q82" s="19">
        <f>MAX(0,P82-O82)</f>
        <v>1</v>
      </c>
      <c r="R82" s="19">
        <f>ROUNDUP(H82*(L82+PARAMETROS!$B$9)+M82,0)</f>
        <v>2</v>
      </c>
      <c r="S82" s="19">
        <f>MAX(0,R82-O82)</f>
        <v>2</v>
      </c>
      <c r="T82" s="19">
        <f>ROUNDUP(H82*(L82+PARAMETROS!$B$10)+M82,0)</f>
        <v>2</v>
      </c>
      <c r="U82" s="19">
        <f>MAX(0,T82-O82)</f>
        <v>2</v>
      </c>
    </row>
    <row r="83" spans="1:21">
      <c r="A83" s="5" t="s">
        <v>283</v>
      </c>
      <c r="B83" s="5" t="s">
        <v>40</v>
      </c>
      <c r="C83" s="7">
        <v>1</v>
      </c>
      <c r="D83" s="7">
        <v>2</v>
      </c>
      <c r="E83" s="7">
        <v>2</v>
      </c>
      <c r="F83" s="7">
        <v>0</v>
      </c>
      <c r="G83" s="9">
        <v>1</v>
      </c>
      <c r="H83" s="13">
        <v>0.0339</v>
      </c>
      <c r="I83" s="13">
        <v>0.7071</v>
      </c>
      <c r="J83" s="5" t="s">
        <v>214</v>
      </c>
      <c r="K83" s="15">
        <f>IF(LEFT(J83,1)="X",PARAMETROS!$B$11,IF(LEFT(J83,1)="Y",PARAMETROS!$B$12,PARAMETROS!$B$13))</f>
        <v>0.84</v>
      </c>
      <c r="L83" s="14">
        <f>PARAMETROS!$B$7</f>
        <v>7</v>
      </c>
      <c r="M83" s="13">
        <f>ROUND(K83*I83*SQRT(L83/7),2)</f>
        <v>0.59</v>
      </c>
      <c r="N83" s="7">
        <f>ROUNDUP(H83*L83+M83,0)</f>
        <v>1</v>
      </c>
      <c r="O83" s="14">
        <v>0</v>
      </c>
      <c r="P83" s="7">
        <f>ROUNDUP(H83*(L83+PARAMETROS!$B$8)+M83,0)</f>
        <v>2</v>
      </c>
      <c r="Q83" s="7">
        <f>MAX(0,P83-O83)</f>
        <v>2</v>
      </c>
      <c r="R83" s="7">
        <f>ROUNDUP(H83*(L83+PARAMETROS!$B$9)+M83,0)</f>
        <v>2</v>
      </c>
      <c r="S83" s="7">
        <f>MAX(0,R83-O83)</f>
        <v>2</v>
      </c>
      <c r="T83" s="7">
        <f>ROUNDUP(H83*(L83+PARAMETROS!$B$10)+M83,0)</f>
        <v>2</v>
      </c>
      <c r="U83" s="7">
        <f>MAX(0,T83-O83)</f>
        <v>2</v>
      </c>
    </row>
    <row r="84" spans="1:21">
      <c r="A84" s="18" t="s">
        <v>253</v>
      </c>
      <c r="B84" s="18" t="s">
        <v>216</v>
      </c>
      <c r="C84" s="19">
        <v>2</v>
      </c>
      <c r="D84" s="19">
        <v>2</v>
      </c>
      <c r="E84" s="19">
        <v>2</v>
      </c>
      <c r="F84" s="19">
        <v>0</v>
      </c>
      <c r="G84" s="20">
        <v>1</v>
      </c>
      <c r="H84" s="21">
        <v>0.0339</v>
      </c>
      <c r="I84" s="21">
        <v>0.4629</v>
      </c>
      <c r="J84" s="18" t="s">
        <v>214</v>
      </c>
      <c r="K84" s="15">
        <f>IF(LEFT(J84,1)="X",PARAMETROS!$B$11,IF(LEFT(J84,1)="Y",PARAMETROS!$B$12,PARAMETROS!$B$13))</f>
        <v>0.84</v>
      </c>
      <c r="L84" s="14">
        <f>PARAMETROS!$B$7</f>
        <v>7</v>
      </c>
      <c r="M84" s="21">
        <f>ROUND(K84*I84*SQRT(L84/7),2)</f>
        <v>0.39</v>
      </c>
      <c r="N84" s="19">
        <f>ROUNDUP(H84*L84+M84,0)</f>
        <v>1</v>
      </c>
      <c r="O84" s="14">
        <v>0</v>
      </c>
      <c r="P84" s="19">
        <f>ROUNDUP(H84*(L84+PARAMETROS!$B$8)+M84,0)</f>
        <v>1</v>
      </c>
      <c r="Q84" s="19">
        <f>MAX(0,P84-O84)</f>
        <v>1</v>
      </c>
      <c r="R84" s="19">
        <f>ROUNDUP(H84*(L84+PARAMETROS!$B$9)+M84,0)</f>
        <v>2</v>
      </c>
      <c r="S84" s="19">
        <f>MAX(0,R84-O84)</f>
        <v>2</v>
      </c>
      <c r="T84" s="19">
        <f>ROUNDUP(H84*(L84+PARAMETROS!$B$10)+M84,0)</f>
        <v>2</v>
      </c>
      <c r="U84" s="19">
        <f>MAX(0,T84-O84)</f>
        <v>2</v>
      </c>
    </row>
    <row r="85" spans="1:21">
      <c r="A85" s="5" t="s">
        <v>289</v>
      </c>
      <c r="B85" s="5" t="s">
        <v>219</v>
      </c>
      <c r="C85" s="7">
        <v>1</v>
      </c>
      <c r="D85" s="7">
        <v>1</v>
      </c>
      <c r="E85" s="7">
        <v>1</v>
      </c>
      <c r="F85" s="7">
        <v>0</v>
      </c>
      <c r="G85" s="9">
        <v>1</v>
      </c>
      <c r="H85" s="13">
        <v>0.0169</v>
      </c>
      <c r="I85" s="13">
        <v>0.3536</v>
      </c>
      <c r="J85" s="5" t="s">
        <v>214</v>
      </c>
      <c r="K85" s="15">
        <f>IF(LEFT(J85,1)="X",PARAMETROS!$B$11,IF(LEFT(J85,1)="Y",PARAMETROS!$B$12,PARAMETROS!$B$13))</f>
        <v>0.84</v>
      </c>
      <c r="L85" s="14">
        <f>PARAMETROS!$B$7</f>
        <v>7</v>
      </c>
      <c r="M85" s="13">
        <f>ROUND(K85*I85*SQRT(L85/7),2)</f>
        <v>0.3</v>
      </c>
      <c r="N85" s="7">
        <f>ROUNDUP(H85*L85+M85,0)</f>
        <v>1</v>
      </c>
      <c r="O85" s="14">
        <v>0</v>
      </c>
      <c r="P85" s="7">
        <f>ROUNDUP(H85*(L85+PARAMETROS!$B$8)+M85,0)</f>
        <v>1</v>
      </c>
      <c r="Q85" s="7">
        <f>MAX(0,P85-O85)</f>
        <v>1</v>
      </c>
      <c r="R85" s="7">
        <f>ROUNDUP(H85*(L85+PARAMETROS!$B$9)+M85,0)</f>
        <v>1</v>
      </c>
      <c r="S85" s="7">
        <f>MAX(0,R85-O85)</f>
        <v>1</v>
      </c>
      <c r="T85" s="7">
        <f>ROUNDUP(H85*(L85+PARAMETROS!$B$10)+M85,0)</f>
        <v>1</v>
      </c>
      <c r="U85" s="7">
        <f>MAX(0,T85-O85)</f>
        <v>1</v>
      </c>
    </row>
    <row r="86" spans="1:21">
      <c r="A86" s="18" t="s">
        <v>295</v>
      </c>
      <c r="B86" s="18" t="s">
        <v>40</v>
      </c>
      <c r="C86" s="19">
        <v>1</v>
      </c>
      <c r="D86" s="19">
        <v>1</v>
      </c>
      <c r="E86" s="19">
        <v>1</v>
      </c>
      <c r="F86" s="19">
        <v>0</v>
      </c>
      <c r="G86" s="20">
        <v>1</v>
      </c>
      <c r="H86" s="21">
        <v>0.0169</v>
      </c>
      <c r="I86" s="21">
        <v>0</v>
      </c>
      <c r="J86" s="18" t="s">
        <v>214</v>
      </c>
      <c r="K86" s="15">
        <f>IF(LEFT(J86,1)="X",PARAMETROS!$B$11,IF(LEFT(J86,1)="Y",PARAMETROS!$B$12,PARAMETROS!$B$13))</f>
        <v>0.84</v>
      </c>
      <c r="L86" s="14">
        <f>PARAMETROS!$B$7</f>
        <v>7</v>
      </c>
      <c r="M86" s="21">
        <f>ROUND(K86*I86*SQRT(L86/7),2)</f>
        <v>0.0</v>
      </c>
      <c r="N86" s="19">
        <f>ROUNDUP(H86*L86+M86,0)</f>
        <v>1</v>
      </c>
      <c r="O86" s="14">
        <v>0</v>
      </c>
      <c r="P86" s="19">
        <f>ROUNDUP(H86*(L86+PARAMETROS!$B$8)+M86,0)</f>
        <v>1</v>
      </c>
      <c r="Q86" s="19">
        <f>MAX(0,P86-O86)</f>
        <v>1</v>
      </c>
      <c r="R86" s="19">
        <f>ROUNDUP(H86*(L86+PARAMETROS!$B$9)+M86,0)</f>
        <v>1</v>
      </c>
      <c r="S86" s="19">
        <f>MAX(0,R86-O86)</f>
        <v>1</v>
      </c>
      <c r="T86" s="19">
        <f>ROUNDUP(H86*(L86+PARAMETROS!$B$10)+M86,0)</f>
        <v>1</v>
      </c>
      <c r="U86" s="19">
        <f>MAX(0,T86-O86)</f>
        <v>1</v>
      </c>
    </row>
    <row r="87" spans="1:21">
      <c r="A87" s="5" t="s">
        <v>294</v>
      </c>
      <c r="B87" s="5" t="s">
        <v>40</v>
      </c>
      <c r="C87" s="7">
        <v>1</v>
      </c>
      <c r="D87" s="7">
        <v>1</v>
      </c>
      <c r="E87" s="7">
        <v>1</v>
      </c>
      <c r="F87" s="7">
        <v>0</v>
      </c>
      <c r="G87" s="9">
        <v>1</v>
      </c>
      <c r="H87" s="13">
        <v>0.0169</v>
      </c>
      <c r="I87" s="13">
        <v>0</v>
      </c>
      <c r="J87" s="5" t="s">
        <v>214</v>
      </c>
      <c r="K87" s="15">
        <f>IF(LEFT(J87,1)="X",PARAMETROS!$B$11,IF(LEFT(J87,1)="Y",PARAMETROS!$B$12,PARAMETROS!$B$13))</f>
        <v>0.84</v>
      </c>
      <c r="L87" s="14">
        <f>PARAMETROS!$B$7</f>
        <v>7</v>
      </c>
      <c r="M87" s="13">
        <f>ROUND(K87*I87*SQRT(L87/7),2)</f>
        <v>0.0</v>
      </c>
      <c r="N87" s="7">
        <f>ROUNDUP(H87*L87+M87,0)</f>
        <v>1</v>
      </c>
      <c r="O87" s="14">
        <v>0</v>
      </c>
      <c r="P87" s="7">
        <f>ROUNDUP(H87*(L87+PARAMETROS!$B$8)+M87,0)</f>
        <v>1</v>
      </c>
      <c r="Q87" s="7">
        <f>MAX(0,P87-O87)</f>
        <v>1</v>
      </c>
      <c r="R87" s="7">
        <f>ROUNDUP(H87*(L87+PARAMETROS!$B$9)+M87,0)</f>
        <v>1</v>
      </c>
      <c r="S87" s="7">
        <f>MAX(0,R87-O87)</f>
        <v>1</v>
      </c>
      <c r="T87" s="7">
        <f>ROUNDUP(H87*(L87+PARAMETROS!$B$10)+M87,0)</f>
        <v>1</v>
      </c>
      <c r="U87" s="7">
        <f>MAX(0,T87-O87)</f>
        <v>1</v>
      </c>
    </row>
    <row r="88" spans="1:21">
      <c r="A88" s="18" t="s">
        <v>293</v>
      </c>
      <c r="B88" s="18" t="s">
        <v>47</v>
      </c>
      <c r="C88" s="19">
        <v>1</v>
      </c>
      <c r="D88" s="19">
        <v>1</v>
      </c>
      <c r="E88" s="19">
        <v>1</v>
      </c>
      <c r="F88" s="19">
        <v>0</v>
      </c>
      <c r="G88" s="20">
        <v>1</v>
      </c>
      <c r="H88" s="21">
        <v>0.0169</v>
      </c>
      <c r="I88" s="21">
        <v>0.3536</v>
      </c>
      <c r="J88" s="18" t="s">
        <v>214</v>
      </c>
      <c r="K88" s="15">
        <f>IF(LEFT(J88,1)="X",PARAMETROS!$B$11,IF(LEFT(J88,1)="Y",PARAMETROS!$B$12,PARAMETROS!$B$13))</f>
        <v>0.84</v>
      </c>
      <c r="L88" s="14">
        <f>PARAMETROS!$B$7</f>
        <v>7</v>
      </c>
      <c r="M88" s="21">
        <f>ROUND(K88*I88*SQRT(L88/7),2)</f>
        <v>0.3</v>
      </c>
      <c r="N88" s="19">
        <f>ROUNDUP(H88*L88+M88,0)</f>
        <v>1</v>
      </c>
      <c r="O88" s="14">
        <v>0</v>
      </c>
      <c r="P88" s="19">
        <f>ROUNDUP(H88*(L88+PARAMETROS!$B$8)+M88,0)</f>
        <v>1</v>
      </c>
      <c r="Q88" s="19">
        <f>MAX(0,P88-O88)</f>
        <v>1</v>
      </c>
      <c r="R88" s="19">
        <f>ROUNDUP(H88*(L88+PARAMETROS!$B$9)+M88,0)</f>
        <v>1</v>
      </c>
      <c r="S88" s="19">
        <f>MAX(0,R88-O88)</f>
        <v>1</v>
      </c>
      <c r="T88" s="19">
        <f>ROUNDUP(H88*(L88+PARAMETROS!$B$10)+M88,0)</f>
        <v>1</v>
      </c>
      <c r="U88" s="19">
        <f>MAX(0,T88-O88)</f>
        <v>1</v>
      </c>
    </row>
    <row r="89" spans="1:21">
      <c r="A89" s="5" t="s">
        <v>292</v>
      </c>
      <c r="B89" s="5" t="s">
        <v>40</v>
      </c>
      <c r="C89" s="7">
        <v>1</v>
      </c>
      <c r="D89" s="7">
        <v>1</v>
      </c>
      <c r="E89" s="7">
        <v>1</v>
      </c>
      <c r="F89" s="7">
        <v>0</v>
      </c>
      <c r="G89" s="9">
        <v>1</v>
      </c>
      <c r="H89" s="13">
        <v>0.0169</v>
      </c>
      <c r="I89" s="13">
        <v>0</v>
      </c>
      <c r="J89" s="5" t="s">
        <v>214</v>
      </c>
      <c r="K89" s="15">
        <f>IF(LEFT(J89,1)="X",PARAMETROS!$B$11,IF(LEFT(J89,1)="Y",PARAMETROS!$B$12,PARAMETROS!$B$13))</f>
        <v>0.84</v>
      </c>
      <c r="L89" s="14">
        <f>PARAMETROS!$B$7</f>
        <v>7</v>
      </c>
      <c r="M89" s="13">
        <f>ROUND(K89*I89*SQRT(L89/7),2)</f>
        <v>0.0</v>
      </c>
      <c r="N89" s="7">
        <f>ROUNDUP(H89*L89+M89,0)</f>
        <v>1</v>
      </c>
      <c r="O89" s="14">
        <v>0</v>
      </c>
      <c r="P89" s="7">
        <f>ROUNDUP(H89*(L89+PARAMETROS!$B$8)+M89,0)</f>
        <v>1</v>
      </c>
      <c r="Q89" s="7">
        <f>MAX(0,P89-O89)</f>
        <v>1</v>
      </c>
      <c r="R89" s="7">
        <f>ROUNDUP(H89*(L89+PARAMETROS!$B$9)+M89,0)</f>
        <v>1</v>
      </c>
      <c r="S89" s="7">
        <f>MAX(0,R89-O89)</f>
        <v>1</v>
      </c>
      <c r="T89" s="7">
        <f>ROUNDUP(H89*(L89+PARAMETROS!$B$10)+M89,0)</f>
        <v>1</v>
      </c>
      <c r="U89" s="7">
        <f>MAX(0,T89-O89)</f>
        <v>1</v>
      </c>
    </row>
    <row r="90" spans="1:21">
      <c r="A90" s="18" t="s">
        <v>291</v>
      </c>
      <c r="B90" s="18" t="s">
        <v>216</v>
      </c>
      <c r="C90" s="19">
        <v>1</v>
      </c>
      <c r="D90" s="19">
        <v>1</v>
      </c>
      <c r="E90" s="19">
        <v>1</v>
      </c>
      <c r="F90" s="19">
        <v>0</v>
      </c>
      <c r="G90" s="20">
        <v>1</v>
      </c>
      <c r="H90" s="21">
        <v>0.0169</v>
      </c>
      <c r="I90" s="21">
        <v>0.3536</v>
      </c>
      <c r="J90" s="18" t="s">
        <v>214</v>
      </c>
      <c r="K90" s="15">
        <f>IF(LEFT(J90,1)="X",PARAMETROS!$B$11,IF(LEFT(J90,1)="Y",PARAMETROS!$B$12,PARAMETROS!$B$13))</f>
        <v>0.84</v>
      </c>
      <c r="L90" s="14">
        <f>PARAMETROS!$B$7</f>
        <v>7</v>
      </c>
      <c r="M90" s="21">
        <f>ROUND(K90*I90*SQRT(L90/7),2)</f>
        <v>0.3</v>
      </c>
      <c r="N90" s="19">
        <f>ROUNDUP(H90*L90+M90,0)</f>
        <v>1</v>
      </c>
      <c r="O90" s="14">
        <v>0</v>
      </c>
      <c r="P90" s="19">
        <f>ROUNDUP(H90*(L90+PARAMETROS!$B$8)+M90,0)</f>
        <v>1</v>
      </c>
      <c r="Q90" s="19">
        <f>MAX(0,P90-O90)</f>
        <v>1</v>
      </c>
      <c r="R90" s="19">
        <f>ROUNDUP(H90*(L90+PARAMETROS!$B$9)+M90,0)</f>
        <v>1</v>
      </c>
      <c r="S90" s="19">
        <f>MAX(0,R90-O90)</f>
        <v>1</v>
      </c>
      <c r="T90" s="19">
        <f>ROUNDUP(H90*(L90+PARAMETROS!$B$10)+M90,0)</f>
        <v>1</v>
      </c>
      <c r="U90" s="19">
        <f>MAX(0,T90-O90)</f>
        <v>1</v>
      </c>
    </row>
    <row r="91" spans="1:21">
      <c r="A91" s="5" t="s">
        <v>296</v>
      </c>
      <c r="B91" s="5" t="s">
        <v>47</v>
      </c>
      <c r="C91" s="7">
        <v>1</v>
      </c>
      <c r="D91" s="7">
        <v>1</v>
      </c>
      <c r="E91" s="7">
        <v>1</v>
      </c>
      <c r="F91" s="7">
        <v>0</v>
      </c>
      <c r="G91" s="9">
        <v>1</v>
      </c>
      <c r="H91" s="13">
        <v>0.0169</v>
      </c>
      <c r="I91" s="13">
        <v>0.3536</v>
      </c>
      <c r="J91" s="5" t="s">
        <v>214</v>
      </c>
      <c r="K91" s="15">
        <f>IF(LEFT(J91,1)="X",PARAMETROS!$B$11,IF(LEFT(J91,1)="Y",PARAMETROS!$B$12,PARAMETROS!$B$13))</f>
        <v>0.84</v>
      </c>
      <c r="L91" s="14">
        <f>PARAMETROS!$B$7</f>
        <v>7</v>
      </c>
      <c r="M91" s="13">
        <f>ROUND(K91*I91*SQRT(L91/7),2)</f>
        <v>0.3</v>
      </c>
      <c r="N91" s="7">
        <f>ROUNDUP(H91*L91+M91,0)</f>
        <v>1</v>
      </c>
      <c r="O91" s="14">
        <v>0</v>
      </c>
      <c r="P91" s="7">
        <f>ROUNDUP(H91*(L91+PARAMETROS!$B$8)+M91,0)</f>
        <v>1</v>
      </c>
      <c r="Q91" s="7">
        <f>MAX(0,P91-O91)</f>
        <v>1</v>
      </c>
      <c r="R91" s="7">
        <f>ROUNDUP(H91*(L91+PARAMETROS!$B$9)+M91,0)</f>
        <v>1</v>
      </c>
      <c r="S91" s="7">
        <f>MAX(0,R91-O91)</f>
        <v>1</v>
      </c>
      <c r="T91" s="7">
        <f>ROUNDUP(H91*(L91+PARAMETROS!$B$10)+M91,0)</f>
        <v>1</v>
      </c>
      <c r="U91" s="7">
        <f>MAX(0,T91-O91)</f>
        <v>1</v>
      </c>
    </row>
    <row r="92" spans="1:21">
      <c r="A92" s="18" t="s">
        <v>290</v>
      </c>
      <c r="B92" s="18" t="s">
        <v>219</v>
      </c>
      <c r="C92" s="19">
        <v>1</v>
      </c>
      <c r="D92" s="19">
        <v>1</v>
      </c>
      <c r="E92" s="19">
        <v>1</v>
      </c>
      <c r="F92" s="19">
        <v>0</v>
      </c>
      <c r="G92" s="20">
        <v>1</v>
      </c>
      <c r="H92" s="21">
        <v>0.0169</v>
      </c>
      <c r="I92" s="21">
        <v>0.3536</v>
      </c>
      <c r="J92" s="18" t="s">
        <v>214</v>
      </c>
      <c r="K92" s="15">
        <f>IF(LEFT(J92,1)="X",PARAMETROS!$B$11,IF(LEFT(J92,1)="Y",PARAMETROS!$B$12,PARAMETROS!$B$13))</f>
        <v>0.84</v>
      </c>
      <c r="L92" s="14">
        <f>PARAMETROS!$B$7</f>
        <v>7</v>
      </c>
      <c r="M92" s="21">
        <f>ROUND(K92*I92*SQRT(L92/7),2)</f>
        <v>0.3</v>
      </c>
      <c r="N92" s="19">
        <f>ROUNDUP(H92*L92+M92,0)</f>
        <v>1</v>
      </c>
      <c r="O92" s="14">
        <v>0</v>
      </c>
      <c r="P92" s="19">
        <f>ROUNDUP(H92*(L92+PARAMETROS!$B$8)+M92,0)</f>
        <v>1</v>
      </c>
      <c r="Q92" s="19">
        <f>MAX(0,P92-O92)</f>
        <v>1</v>
      </c>
      <c r="R92" s="19">
        <f>ROUNDUP(H92*(L92+PARAMETROS!$B$9)+M92,0)</f>
        <v>1</v>
      </c>
      <c r="S92" s="19">
        <f>MAX(0,R92-O92)</f>
        <v>1</v>
      </c>
      <c r="T92" s="19">
        <f>ROUNDUP(H92*(L92+PARAMETROS!$B$10)+M92,0)</f>
        <v>1</v>
      </c>
      <c r="U92" s="19">
        <f>MAX(0,T92-O92)</f>
        <v>1</v>
      </c>
    </row>
    <row r="93" spans="1:21">
      <c r="A93" s="5" t="s">
        <v>251</v>
      </c>
      <c r="B93" s="5" t="s">
        <v>216</v>
      </c>
      <c r="C93" s="7">
        <v>1</v>
      </c>
      <c r="D93" s="7">
        <v>1</v>
      </c>
      <c r="E93" s="7">
        <v>1</v>
      </c>
      <c r="F93" s="7">
        <v>0</v>
      </c>
      <c r="G93" s="9">
        <v>1</v>
      </c>
      <c r="H93" s="13">
        <v>0.0169</v>
      </c>
      <c r="I93" s="13">
        <v>0.3536</v>
      </c>
      <c r="J93" s="5" t="s">
        <v>214</v>
      </c>
      <c r="K93" s="15">
        <f>IF(LEFT(J93,1)="X",PARAMETROS!$B$11,IF(LEFT(J93,1)="Y",PARAMETROS!$B$12,PARAMETROS!$B$13))</f>
        <v>0.84</v>
      </c>
      <c r="L93" s="14">
        <f>PARAMETROS!$B$7</f>
        <v>7</v>
      </c>
      <c r="M93" s="13">
        <f>ROUND(K93*I93*SQRT(L93/7),2)</f>
        <v>0.3</v>
      </c>
      <c r="N93" s="7">
        <f>ROUNDUP(H93*L93+M93,0)</f>
        <v>1</v>
      </c>
      <c r="O93" s="14">
        <v>0</v>
      </c>
      <c r="P93" s="7">
        <f>ROUNDUP(H93*(L93+PARAMETROS!$B$8)+M93,0)</f>
        <v>1</v>
      </c>
      <c r="Q93" s="7">
        <f>MAX(0,P93-O93)</f>
        <v>1</v>
      </c>
      <c r="R93" s="7">
        <f>ROUNDUP(H93*(L93+PARAMETROS!$B$9)+M93,0)</f>
        <v>1</v>
      </c>
      <c r="S93" s="7">
        <f>MAX(0,R93-O93)</f>
        <v>1</v>
      </c>
      <c r="T93" s="7">
        <f>ROUNDUP(H93*(L93+PARAMETROS!$B$10)+M93,0)</f>
        <v>1</v>
      </c>
      <c r="U93" s="7">
        <f>MAX(0,T93-O93)</f>
        <v>1</v>
      </c>
    </row>
    <row r="94" spans="1:21">
      <c r="A94" s="18" t="s">
        <v>299</v>
      </c>
      <c r="B94" s="18" t="s">
        <v>216</v>
      </c>
      <c r="C94" s="19">
        <v>1</v>
      </c>
      <c r="D94" s="19">
        <v>1</v>
      </c>
      <c r="E94" s="19">
        <v>1</v>
      </c>
      <c r="F94" s="19">
        <v>0</v>
      </c>
      <c r="G94" s="20">
        <v>1</v>
      </c>
      <c r="H94" s="21">
        <v>0.0169</v>
      </c>
      <c r="I94" s="21">
        <v>0.3536</v>
      </c>
      <c r="J94" s="18" t="s">
        <v>214</v>
      </c>
      <c r="K94" s="15">
        <f>IF(LEFT(J94,1)="X",PARAMETROS!$B$11,IF(LEFT(J94,1)="Y",PARAMETROS!$B$12,PARAMETROS!$B$13))</f>
        <v>0.84</v>
      </c>
      <c r="L94" s="14">
        <f>PARAMETROS!$B$7</f>
        <v>7</v>
      </c>
      <c r="M94" s="21">
        <f>ROUND(K94*I94*SQRT(L94/7),2)</f>
        <v>0.3</v>
      </c>
      <c r="N94" s="19">
        <f>ROUNDUP(H94*L94+M94,0)</f>
        <v>1</v>
      </c>
      <c r="O94" s="14">
        <v>0</v>
      </c>
      <c r="P94" s="19">
        <f>ROUNDUP(H94*(L94+PARAMETROS!$B$8)+M94,0)</f>
        <v>1</v>
      </c>
      <c r="Q94" s="19">
        <f>MAX(0,P94-O94)</f>
        <v>1</v>
      </c>
      <c r="R94" s="19">
        <f>ROUNDUP(H94*(L94+PARAMETROS!$B$9)+M94,0)</f>
        <v>1</v>
      </c>
      <c r="S94" s="19">
        <f>MAX(0,R94-O94)</f>
        <v>1</v>
      </c>
      <c r="T94" s="19">
        <f>ROUNDUP(H94*(L94+PARAMETROS!$B$10)+M94,0)</f>
        <v>1</v>
      </c>
      <c r="U94" s="19">
        <f>MAX(0,T94-O94)</f>
        <v>1</v>
      </c>
    </row>
    <row r="95" spans="1:21">
      <c r="A95" s="5" t="s">
        <v>255</v>
      </c>
      <c r="B95" s="5" t="s">
        <v>216</v>
      </c>
      <c r="C95" s="7">
        <v>1</v>
      </c>
      <c r="D95" s="7">
        <v>1</v>
      </c>
      <c r="E95" s="7">
        <v>1</v>
      </c>
      <c r="F95" s="7">
        <v>0</v>
      </c>
      <c r="G95" s="9">
        <v>1</v>
      </c>
      <c r="H95" s="13">
        <v>0.0169</v>
      </c>
      <c r="I95" s="13">
        <v>0.3536</v>
      </c>
      <c r="J95" s="5" t="s">
        <v>214</v>
      </c>
      <c r="K95" s="15">
        <f>IF(LEFT(J95,1)="X",PARAMETROS!$B$11,IF(LEFT(J95,1)="Y",PARAMETROS!$B$12,PARAMETROS!$B$13))</f>
        <v>0.84</v>
      </c>
      <c r="L95" s="14">
        <f>PARAMETROS!$B$7</f>
        <v>7</v>
      </c>
      <c r="M95" s="13">
        <f>ROUND(K95*I95*SQRT(L95/7),2)</f>
        <v>0.3</v>
      </c>
      <c r="N95" s="7">
        <f>ROUNDUP(H95*L95+M95,0)</f>
        <v>1</v>
      </c>
      <c r="O95" s="14">
        <v>0</v>
      </c>
      <c r="P95" s="7">
        <f>ROUNDUP(H95*(L95+PARAMETROS!$B$8)+M95,0)</f>
        <v>1</v>
      </c>
      <c r="Q95" s="7">
        <f>MAX(0,P95-O95)</f>
        <v>1</v>
      </c>
      <c r="R95" s="7">
        <f>ROUNDUP(H95*(L95+PARAMETROS!$B$9)+M95,0)</f>
        <v>1</v>
      </c>
      <c r="S95" s="7">
        <f>MAX(0,R95-O95)</f>
        <v>1</v>
      </c>
      <c r="T95" s="7">
        <f>ROUNDUP(H95*(L95+PARAMETROS!$B$10)+M95,0)</f>
        <v>1</v>
      </c>
      <c r="U95" s="7">
        <f>MAX(0,T95-O95)</f>
        <v>1</v>
      </c>
    </row>
    <row r="96" spans="1:21">
      <c r="A96" s="18" t="s">
        <v>297</v>
      </c>
      <c r="B96" s="18" t="s">
        <v>298</v>
      </c>
      <c r="C96" s="19">
        <v>1</v>
      </c>
      <c r="D96" s="19">
        <v>1</v>
      </c>
      <c r="E96" s="19">
        <v>0</v>
      </c>
      <c r="F96" s="19">
        <v>1</v>
      </c>
      <c r="G96" s="20">
        <v>0</v>
      </c>
      <c r="H96" s="21">
        <v>0.0169</v>
      </c>
      <c r="I96" s="21">
        <v>0.3536</v>
      </c>
      <c r="J96" s="18" t="s">
        <v>214</v>
      </c>
      <c r="K96" s="15">
        <f>IF(LEFT(J96,1)="X",PARAMETROS!$B$11,IF(LEFT(J96,1)="Y",PARAMETROS!$B$12,PARAMETROS!$B$13))</f>
        <v>0.84</v>
      </c>
      <c r="L96" s="14">
        <f>PARAMETROS!$B$7</f>
        <v>7</v>
      </c>
      <c r="M96" s="21">
        <f>ROUND(K96*I96*SQRT(L96/7),2)</f>
        <v>0.3</v>
      </c>
      <c r="N96" s="19">
        <f>ROUNDUP(H96*L96+M96,0)</f>
        <v>1</v>
      </c>
      <c r="O96" s="14">
        <v>0</v>
      </c>
      <c r="P96" s="19">
        <f>ROUNDUP(H96*(L96+PARAMETROS!$B$8)+M96,0)</f>
        <v>1</v>
      </c>
      <c r="Q96" s="19">
        <f>MAX(0,P96-O96)</f>
        <v>1</v>
      </c>
      <c r="R96" s="19">
        <f>ROUNDUP(H96*(L96+PARAMETROS!$B$9)+M96,0)</f>
        <v>1</v>
      </c>
      <c r="S96" s="19">
        <f>MAX(0,R96-O96)</f>
        <v>1</v>
      </c>
      <c r="T96" s="19">
        <f>ROUNDUP(H96*(L96+PARAMETROS!$B$10)+M96,0)</f>
        <v>1</v>
      </c>
      <c r="U96" s="19">
        <f>MAX(0,T96-O96)</f>
        <v>1</v>
      </c>
    </row>
    <row r="97" spans="1:21">
      <c r="A97" s="5" t="s">
        <v>260</v>
      </c>
      <c r="B97" s="5" t="s">
        <v>40</v>
      </c>
      <c r="C97" s="7">
        <v>1</v>
      </c>
      <c r="D97" s="7">
        <v>1</v>
      </c>
      <c r="E97" s="7">
        <v>0</v>
      </c>
      <c r="F97" s="7">
        <v>1</v>
      </c>
      <c r="G97" s="9">
        <v>0</v>
      </c>
      <c r="H97" s="13">
        <v>0.0169</v>
      </c>
      <c r="I97" s="13">
        <v>0.3536</v>
      </c>
      <c r="J97" s="5" t="s">
        <v>214</v>
      </c>
      <c r="K97" s="15">
        <f>IF(LEFT(J97,1)="X",PARAMETROS!$B$11,IF(LEFT(J97,1)="Y",PARAMETROS!$B$12,PARAMETROS!$B$13))</f>
        <v>0.84</v>
      </c>
      <c r="L97" s="14">
        <f>PARAMETROS!$B$7</f>
        <v>7</v>
      </c>
      <c r="M97" s="13">
        <f>ROUND(K97*I97*SQRT(L97/7),2)</f>
        <v>0.3</v>
      </c>
      <c r="N97" s="7">
        <f>ROUNDUP(H97*L97+M97,0)</f>
        <v>1</v>
      </c>
      <c r="O97" s="14">
        <v>0</v>
      </c>
      <c r="P97" s="7">
        <f>ROUNDUP(H97*(L97+PARAMETROS!$B$8)+M97,0)</f>
        <v>1</v>
      </c>
      <c r="Q97" s="7">
        <f>MAX(0,P97-O97)</f>
        <v>1</v>
      </c>
      <c r="R97" s="7">
        <f>ROUNDUP(H97*(L97+PARAMETROS!$B$9)+M97,0)</f>
        <v>1</v>
      </c>
      <c r="S97" s="7">
        <f>MAX(0,R97-O97)</f>
        <v>1</v>
      </c>
      <c r="T97" s="7">
        <f>ROUNDUP(H97*(L97+PARAMETROS!$B$10)+M97,0)</f>
        <v>1</v>
      </c>
      <c r="U97" s="7">
        <f>MAX(0,T97-O97)</f>
        <v>1</v>
      </c>
    </row>
    <row r="98" spans="1:21">
      <c r="A98" s="18" t="s">
        <v>261</v>
      </c>
      <c r="B98" s="18" t="s">
        <v>216</v>
      </c>
      <c r="C98" s="19">
        <v>1</v>
      </c>
      <c r="D98" s="19">
        <v>1</v>
      </c>
      <c r="E98" s="19">
        <v>1</v>
      </c>
      <c r="F98" s="19">
        <v>0</v>
      </c>
      <c r="G98" s="20">
        <v>1</v>
      </c>
      <c r="H98" s="21">
        <v>0.0169</v>
      </c>
      <c r="I98" s="21">
        <v>0.3536</v>
      </c>
      <c r="J98" s="18" t="s">
        <v>214</v>
      </c>
      <c r="K98" s="15">
        <f>IF(LEFT(J98,1)="X",PARAMETROS!$B$11,IF(LEFT(J98,1)="Y",PARAMETROS!$B$12,PARAMETROS!$B$13))</f>
        <v>0.84</v>
      </c>
      <c r="L98" s="14">
        <f>PARAMETROS!$B$7</f>
        <v>7</v>
      </c>
      <c r="M98" s="21">
        <f>ROUND(K98*I98*SQRT(L98/7),2)</f>
        <v>0.3</v>
      </c>
      <c r="N98" s="19">
        <f>ROUNDUP(H98*L98+M98,0)</f>
        <v>1</v>
      </c>
      <c r="O98" s="14">
        <v>0</v>
      </c>
      <c r="P98" s="19">
        <f>ROUNDUP(H98*(L98+PARAMETROS!$B$8)+M98,0)</f>
        <v>1</v>
      </c>
      <c r="Q98" s="19">
        <f>MAX(0,P98-O98)</f>
        <v>1</v>
      </c>
      <c r="R98" s="19">
        <f>ROUNDUP(H98*(L98+PARAMETROS!$B$9)+M98,0)</f>
        <v>1</v>
      </c>
      <c r="S98" s="19">
        <f>MAX(0,R98-O98)</f>
        <v>1</v>
      </c>
      <c r="T98" s="19">
        <f>ROUNDUP(H98*(L98+PARAMETROS!$B$10)+M98,0)</f>
        <v>1</v>
      </c>
      <c r="U98" s="19">
        <f>MAX(0,T98-O98)</f>
        <v>1</v>
      </c>
    </row>
    <row r="99" spans="1:21">
      <c r="A99" s="5" t="s">
        <v>300</v>
      </c>
      <c r="B99" s="5" t="s">
        <v>47</v>
      </c>
      <c r="C99" s="7">
        <v>1</v>
      </c>
      <c r="D99" s="7">
        <v>1</v>
      </c>
      <c r="E99" s="7">
        <v>0</v>
      </c>
      <c r="F99" s="7">
        <v>1</v>
      </c>
      <c r="G99" s="9">
        <v>0</v>
      </c>
      <c r="H99" s="13">
        <v>0.0169</v>
      </c>
      <c r="I99" s="13">
        <v>0.3536</v>
      </c>
      <c r="J99" s="5" t="s">
        <v>214</v>
      </c>
      <c r="K99" s="15">
        <f>IF(LEFT(J99,1)="X",PARAMETROS!$B$11,IF(LEFT(J99,1)="Y",PARAMETROS!$B$12,PARAMETROS!$B$13))</f>
        <v>0.84</v>
      </c>
      <c r="L99" s="14">
        <f>PARAMETROS!$B$7</f>
        <v>7</v>
      </c>
      <c r="M99" s="13">
        <f>ROUND(K99*I99*SQRT(L99/7),2)</f>
        <v>0.3</v>
      </c>
      <c r="N99" s="7">
        <f>ROUNDUP(H99*L99+M99,0)</f>
        <v>1</v>
      </c>
      <c r="O99" s="14">
        <v>0</v>
      </c>
      <c r="P99" s="7">
        <f>ROUNDUP(H99*(L99+PARAMETROS!$B$8)+M99,0)</f>
        <v>1</v>
      </c>
      <c r="Q99" s="7">
        <f>MAX(0,P99-O99)</f>
        <v>1</v>
      </c>
      <c r="R99" s="7">
        <f>ROUNDUP(H99*(L99+PARAMETROS!$B$9)+M99,0)</f>
        <v>1</v>
      </c>
      <c r="S99" s="7">
        <f>MAX(0,R99-O99)</f>
        <v>1</v>
      </c>
      <c r="T99" s="7">
        <f>ROUNDUP(H99*(L99+PARAMETROS!$B$10)+M99,0)</f>
        <v>1</v>
      </c>
      <c r="U99" s="7">
        <f>MAX(0,T99-O99)</f>
        <v>1</v>
      </c>
    </row>
    <row r="100" spans="1:21">
      <c r="A100" s="18" t="s">
        <v>301</v>
      </c>
      <c r="B100" s="18" t="s">
        <v>257</v>
      </c>
      <c r="C100" s="19">
        <v>1</v>
      </c>
      <c r="D100" s="19">
        <v>1</v>
      </c>
      <c r="E100" s="19">
        <v>1</v>
      </c>
      <c r="F100" s="19">
        <v>0</v>
      </c>
      <c r="G100" s="20">
        <v>1</v>
      </c>
      <c r="H100" s="21">
        <v>0.0169</v>
      </c>
      <c r="I100" s="21">
        <v>0.3536</v>
      </c>
      <c r="J100" s="18" t="s">
        <v>214</v>
      </c>
      <c r="K100" s="15">
        <f>IF(LEFT(J100,1)="X",PARAMETROS!$B$11,IF(LEFT(J100,1)="Y",PARAMETROS!$B$12,PARAMETROS!$B$13))</f>
        <v>0.84</v>
      </c>
      <c r="L100" s="14">
        <f>PARAMETROS!$B$7</f>
        <v>7</v>
      </c>
      <c r="M100" s="21">
        <f>ROUND(K100*I100*SQRT(L100/7),2)</f>
        <v>0.3</v>
      </c>
      <c r="N100" s="19">
        <f>ROUNDUP(H100*L100+M100,0)</f>
        <v>1</v>
      </c>
      <c r="O100" s="14">
        <v>0</v>
      </c>
      <c r="P100" s="19">
        <f>ROUNDUP(H100*(L100+PARAMETROS!$B$8)+M100,0)</f>
        <v>1</v>
      </c>
      <c r="Q100" s="19">
        <f>MAX(0,P100-O100)</f>
        <v>1</v>
      </c>
      <c r="R100" s="19">
        <f>ROUNDUP(H100*(L100+PARAMETROS!$B$9)+M100,0)</f>
        <v>1</v>
      </c>
      <c r="S100" s="19">
        <f>MAX(0,R100-O100)</f>
        <v>1</v>
      </c>
      <c r="T100" s="19">
        <f>ROUNDUP(H100*(L100+PARAMETROS!$B$10)+M100,0)</f>
        <v>1</v>
      </c>
      <c r="U100" s="19">
        <f>MAX(0,T100-O100)</f>
        <v>1</v>
      </c>
    </row>
    <row r="101" spans="1:21">
      <c r="A101" s="5" t="s">
        <v>262</v>
      </c>
      <c r="B101" s="5" t="s">
        <v>257</v>
      </c>
      <c r="C101" s="7">
        <v>1</v>
      </c>
      <c r="D101" s="7">
        <v>1</v>
      </c>
      <c r="E101" s="7">
        <v>1</v>
      </c>
      <c r="F101" s="7">
        <v>0</v>
      </c>
      <c r="G101" s="9">
        <v>1</v>
      </c>
      <c r="H101" s="13">
        <v>0.0169</v>
      </c>
      <c r="I101" s="13">
        <v>0.3536</v>
      </c>
      <c r="J101" s="5" t="s">
        <v>214</v>
      </c>
      <c r="K101" s="15">
        <f>IF(LEFT(J101,1)="X",PARAMETROS!$B$11,IF(LEFT(J101,1)="Y",PARAMETROS!$B$12,PARAMETROS!$B$13))</f>
        <v>0.84</v>
      </c>
      <c r="L101" s="14">
        <f>PARAMETROS!$B$7</f>
        <v>7</v>
      </c>
      <c r="M101" s="13">
        <f>ROUND(K101*I101*SQRT(L101/7),2)</f>
        <v>0.3</v>
      </c>
      <c r="N101" s="7">
        <f>ROUNDUP(H101*L101+M101,0)</f>
        <v>1</v>
      </c>
      <c r="O101" s="14">
        <v>0</v>
      </c>
      <c r="P101" s="7">
        <f>ROUNDUP(H101*(L101+PARAMETROS!$B$8)+M101,0)</f>
        <v>1</v>
      </c>
      <c r="Q101" s="7">
        <f>MAX(0,P101-O101)</f>
        <v>1</v>
      </c>
      <c r="R101" s="7">
        <f>ROUNDUP(H101*(L101+PARAMETROS!$B$9)+M101,0)</f>
        <v>1</v>
      </c>
      <c r="S101" s="7">
        <f>MAX(0,R101-O101)</f>
        <v>1</v>
      </c>
      <c r="T101" s="7">
        <f>ROUNDUP(H101*(L101+PARAMETROS!$B$10)+M101,0)</f>
        <v>1</v>
      </c>
      <c r="U101" s="7">
        <f>MAX(0,T101-O101)</f>
        <v>1</v>
      </c>
    </row>
    <row r="102" spans="1:21">
      <c r="A102" s="4" t="s">
        <v>145</v>
      </c>
      <c r="B102" s="4"/>
      <c r="C102" s="11">
        <f>SUM(C5:C101)</f>
        <v>573</v>
      </c>
      <c r="D102" s="11">
        <f>SUM(D5:D101)</f>
        <v>16199</v>
      </c>
      <c r="E102" s="11">
        <f>SUM(E5:E101)</f>
        <v>15673</v>
      </c>
      <c r="F102" s="11">
        <f>SUM(F5:F101)</f>
        <v>526</v>
      </c>
      <c r="G102" s="22">
        <f>E102/D102</f>
        <v>0.9675288598061609</v>
      </c>
      <c r="H102" s="23">
        <f>SUM(H5:H101)</f>
        <v>274.5593</v>
      </c>
      <c r="I102" s="4"/>
      <c r="J102" s="4"/>
      <c r="K102" s="4"/>
      <c r="L102" s="4"/>
      <c r="M102" s="4"/>
      <c r="N102" s="11">
        <f>SUM(N5:N101)</f>
        <v>4239</v>
      </c>
      <c r="O102" s="4"/>
      <c r="P102" s="11">
        <f>SUM(P5:P101)</f>
        <v>6167</v>
      </c>
      <c r="Q102" s="11">
        <f>SUM(Q5:Q101)</f>
        <v>6167</v>
      </c>
      <c r="R102" s="11">
        <f>SUM(R5:R101)</f>
        <v>8092</v>
      </c>
      <c r="S102" s="11">
        <f>SUM(S5:S101)</f>
        <v>8092</v>
      </c>
      <c r="T102" s="11">
        <f>SUM(T5:T101)</f>
        <v>12474</v>
      </c>
      <c r="U102" s="11">
        <f>SUM(U5:U101)</f>
        <v>12474</v>
      </c>
    </row>
    <row r="104" spans="1:21" ht="44" customHeight="1">
      <c r="A104" s="10" t="s">
        <v>264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</sheetData>
  <autoFilter ref="A4:U101"/>
  <mergeCells count="3">
    <mergeCell ref="A1:U1"/>
    <mergeCell ref="A2:U2"/>
    <mergeCell ref="A104:U104"/>
  </mergeCells>
  <conditionalFormatting sqref="G5:G10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:Q101">
    <cfRule type="dataBar" priority="2">
      <dataBar>
        <cfvo type="min" val="0"/>
        <cfvo type="max" val="0"/>
        <color rgb="FF2E75B6"/>
      </dataBar>
    </cfRule>
  </conditionalFormatting>
  <conditionalFormatting sqref="S5:S101">
    <cfRule type="dataBar" priority="3">
      <dataBar>
        <cfvo type="min" val="0"/>
        <cfvo type="max" val="0"/>
        <color rgb="FF2E75B6"/>
      </dataBar>
    </cfRule>
  </conditionalFormatting>
  <conditionalFormatting sqref="U5:U101">
    <cfRule type="dataBar" priority="4">
      <dataBar>
        <cfvo type="min" val="0"/>
        <cfvo type="max" val="0"/>
        <color rgb="FF2E75B6"/>
      </dataBar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9DC3E6"/>
  </sheetPr>
  <dimension ref="A1:I8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6.7109375" customWidth="1"/>
    <col min="2" max="9" width="13.7109375" customWidth="1"/>
  </cols>
  <sheetData>
    <row r="1" spans="1:9" ht="26" customHeight="1">
      <c r="A1" s="1" t="s">
        <v>310</v>
      </c>
      <c r="B1" s="1"/>
      <c r="C1" s="1"/>
      <c r="D1" s="1"/>
      <c r="E1" s="1"/>
      <c r="F1" s="1"/>
      <c r="G1" s="1"/>
      <c r="H1" s="1"/>
      <c r="I1" s="1"/>
    </row>
    <row r="2" spans="1:9" ht="42" customHeight="1">
      <c r="A2" s="2" t="s">
        <v>311</v>
      </c>
      <c r="B2" s="2"/>
      <c r="C2" s="2"/>
      <c r="D2" s="2"/>
      <c r="E2" s="2"/>
      <c r="F2" s="2"/>
      <c r="G2" s="2"/>
      <c r="H2" s="2"/>
      <c r="I2" s="2"/>
    </row>
    <row r="4" spans="1:9">
      <c r="A4" s="6" t="s">
        <v>34</v>
      </c>
      <c r="B4" s="6" t="s">
        <v>163</v>
      </c>
      <c r="C4" s="6" t="s">
        <v>164</v>
      </c>
      <c r="D4" s="6" t="s">
        <v>165</v>
      </c>
      <c r="E4" s="6" t="s">
        <v>166</v>
      </c>
      <c r="F4" s="6" t="s">
        <v>167</v>
      </c>
      <c r="G4" s="6" t="s">
        <v>168</v>
      </c>
      <c r="H4" s="6" t="s">
        <v>169</v>
      </c>
      <c r="I4" s="6" t="s">
        <v>145</v>
      </c>
    </row>
    <row r="5" spans="1:9">
      <c r="A5" s="5" t="s">
        <v>39</v>
      </c>
      <c r="B5" s="7">
        <v>1150</v>
      </c>
      <c r="C5" s="7">
        <v>0</v>
      </c>
      <c r="D5" s="7">
        <v>1400</v>
      </c>
      <c r="E5" s="7">
        <v>0</v>
      </c>
      <c r="F5" s="7">
        <v>1400</v>
      </c>
      <c r="G5" s="7">
        <v>700</v>
      </c>
      <c r="H5" s="7">
        <v>550</v>
      </c>
      <c r="I5" s="7">
        <v>5200</v>
      </c>
    </row>
    <row r="6" spans="1:9">
      <c r="A6" s="18" t="s">
        <v>41</v>
      </c>
      <c r="B6" s="19">
        <v>700</v>
      </c>
      <c r="C6" s="19">
        <v>0</v>
      </c>
      <c r="D6" s="19">
        <v>900</v>
      </c>
      <c r="E6" s="19">
        <v>0</v>
      </c>
      <c r="F6" s="19">
        <v>200</v>
      </c>
      <c r="G6" s="19">
        <v>900</v>
      </c>
      <c r="H6" s="19">
        <v>20</v>
      </c>
      <c r="I6" s="19">
        <v>2720</v>
      </c>
    </row>
    <row r="7" spans="1:9">
      <c r="A7" s="5" t="s">
        <v>42</v>
      </c>
      <c r="B7" s="7">
        <v>750</v>
      </c>
      <c r="C7" s="7">
        <v>0</v>
      </c>
      <c r="D7" s="7">
        <v>700</v>
      </c>
      <c r="E7" s="7">
        <v>0</v>
      </c>
      <c r="F7" s="7">
        <v>400</v>
      </c>
      <c r="G7" s="7">
        <v>600</v>
      </c>
      <c r="H7" s="7">
        <v>0</v>
      </c>
      <c r="I7" s="7">
        <v>2450</v>
      </c>
    </row>
    <row r="8" spans="1:9">
      <c r="A8" s="18" t="s">
        <v>43</v>
      </c>
      <c r="B8" s="19">
        <v>350</v>
      </c>
      <c r="C8" s="19">
        <v>150</v>
      </c>
      <c r="D8" s="19">
        <v>200</v>
      </c>
      <c r="E8" s="19">
        <v>100</v>
      </c>
      <c r="F8" s="19">
        <v>0</v>
      </c>
      <c r="G8" s="19">
        <v>400</v>
      </c>
      <c r="H8" s="19">
        <v>0</v>
      </c>
      <c r="I8" s="19">
        <v>1200</v>
      </c>
    </row>
    <row r="9" spans="1:9">
      <c r="A9" s="5" t="s">
        <v>44</v>
      </c>
      <c r="B9" s="7">
        <v>0</v>
      </c>
      <c r="C9" s="7">
        <v>500</v>
      </c>
      <c r="D9" s="7">
        <v>0</v>
      </c>
      <c r="E9" s="7">
        <v>0</v>
      </c>
      <c r="F9" s="7">
        <v>300</v>
      </c>
      <c r="G9" s="7">
        <v>0</v>
      </c>
      <c r="H9" s="7">
        <v>0</v>
      </c>
      <c r="I9" s="7">
        <v>800</v>
      </c>
    </row>
    <row r="10" spans="1:9">
      <c r="A10" s="18" t="s">
        <v>45</v>
      </c>
      <c r="B10" s="19">
        <v>0</v>
      </c>
      <c r="C10" s="19">
        <v>0</v>
      </c>
      <c r="D10" s="19">
        <v>150</v>
      </c>
      <c r="E10" s="19">
        <v>50</v>
      </c>
      <c r="F10" s="19">
        <v>0</v>
      </c>
      <c r="G10" s="19">
        <v>300</v>
      </c>
      <c r="H10" s="19">
        <v>50</v>
      </c>
      <c r="I10" s="19">
        <v>550</v>
      </c>
    </row>
    <row r="11" spans="1:9">
      <c r="A11" s="5" t="s">
        <v>46</v>
      </c>
      <c r="B11" s="7">
        <v>50</v>
      </c>
      <c r="C11" s="7">
        <v>10</v>
      </c>
      <c r="D11" s="7">
        <v>145</v>
      </c>
      <c r="E11" s="7">
        <v>30</v>
      </c>
      <c r="F11" s="7">
        <v>100</v>
      </c>
      <c r="G11" s="7">
        <v>50</v>
      </c>
      <c r="H11" s="7">
        <v>120</v>
      </c>
      <c r="I11" s="7">
        <v>505</v>
      </c>
    </row>
    <row r="12" spans="1:9">
      <c r="A12" s="18" t="s">
        <v>49</v>
      </c>
      <c r="B12" s="19">
        <v>0</v>
      </c>
      <c r="C12" s="19">
        <v>0</v>
      </c>
      <c r="D12" s="19">
        <v>0</v>
      </c>
      <c r="E12" s="19">
        <v>400</v>
      </c>
      <c r="F12" s="19">
        <v>0</v>
      </c>
      <c r="G12" s="19">
        <v>0</v>
      </c>
      <c r="H12" s="19">
        <v>0</v>
      </c>
      <c r="I12" s="19">
        <v>400</v>
      </c>
    </row>
    <row r="13" spans="1:9">
      <c r="A13" s="5" t="s">
        <v>48</v>
      </c>
      <c r="B13" s="7">
        <v>80</v>
      </c>
      <c r="C13" s="7">
        <v>25</v>
      </c>
      <c r="D13" s="7">
        <v>140</v>
      </c>
      <c r="E13" s="7">
        <v>0</v>
      </c>
      <c r="F13" s="7">
        <v>85</v>
      </c>
      <c r="G13" s="7">
        <v>0</v>
      </c>
      <c r="H13" s="7">
        <v>56</v>
      </c>
      <c r="I13" s="7">
        <v>386</v>
      </c>
    </row>
    <row r="14" spans="1:9">
      <c r="A14" s="18" t="s">
        <v>50</v>
      </c>
      <c r="B14" s="19">
        <v>100</v>
      </c>
      <c r="C14" s="19">
        <v>0</v>
      </c>
      <c r="D14" s="19">
        <v>135</v>
      </c>
      <c r="E14" s="19">
        <v>0</v>
      </c>
      <c r="F14" s="19">
        <v>0</v>
      </c>
      <c r="G14" s="19">
        <v>31</v>
      </c>
      <c r="H14" s="19">
        <v>0</v>
      </c>
      <c r="I14" s="19">
        <v>266</v>
      </c>
    </row>
    <row r="15" spans="1:9">
      <c r="A15" s="5" t="s">
        <v>267</v>
      </c>
      <c r="B15" s="7">
        <v>0</v>
      </c>
      <c r="C15" s="7">
        <v>0</v>
      </c>
      <c r="D15" s="7">
        <v>0</v>
      </c>
      <c r="E15" s="7">
        <v>250</v>
      </c>
      <c r="F15" s="7">
        <v>0</v>
      </c>
      <c r="G15" s="7">
        <v>0</v>
      </c>
      <c r="H15" s="7">
        <v>0</v>
      </c>
      <c r="I15" s="7">
        <v>250</v>
      </c>
    </row>
    <row r="16" spans="1:9">
      <c r="A16" s="18" t="s">
        <v>226</v>
      </c>
      <c r="B16" s="19">
        <v>0</v>
      </c>
      <c r="C16" s="19">
        <v>0</v>
      </c>
      <c r="D16" s="19">
        <v>100</v>
      </c>
      <c r="E16" s="19">
        <v>0</v>
      </c>
      <c r="F16" s="19">
        <v>0</v>
      </c>
      <c r="G16" s="19">
        <v>100</v>
      </c>
      <c r="H16" s="19">
        <v>0</v>
      </c>
      <c r="I16" s="19">
        <v>200</v>
      </c>
    </row>
    <row r="17" spans="1:9">
      <c r="A17" s="5" t="s">
        <v>224</v>
      </c>
      <c r="B17" s="7">
        <v>100</v>
      </c>
      <c r="C17" s="7">
        <v>0</v>
      </c>
      <c r="D17" s="7">
        <v>20</v>
      </c>
      <c r="E17" s="7">
        <v>0</v>
      </c>
      <c r="F17" s="7">
        <v>0</v>
      </c>
      <c r="G17" s="7">
        <v>20</v>
      </c>
      <c r="H17" s="7">
        <v>0</v>
      </c>
      <c r="I17" s="7">
        <v>140</v>
      </c>
    </row>
    <row r="18" spans="1:9">
      <c r="A18" s="18" t="s">
        <v>185</v>
      </c>
      <c r="B18" s="19">
        <v>5</v>
      </c>
      <c r="C18" s="19">
        <v>0</v>
      </c>
      <c r="D18" s="19">
        <v>9</v>
      </c>
      <c r="E18" s="19">
        <v>2</v>
      </c>
      <c r="F18" s="19">
        <v>16</v>
      </c>
      <c r="G18" s="19">
        <v>14</v>
      </c>
      <c r="H18" s="19">
        <v>9</v>
      </c>
      <c r="I18" s="19">
        <v>55</v>
      </c>
    </row>
    <row r="19" spans="1:9">
      <c r="A19" s="5" t="s">
        <v>186</v>
      </c>
      <c r="B19" s="7">
        <v>0</v>
      </c>
      <c r="C19" s="7">
        <v>3</v>
      </c>
      <c r="D19" s="7">
        <v>8</v>
      </c>
      <c r="E19" s="7">
        <v>4</v>
      </c>
      <c r="F19" s="7">
        <v>12</v>
      </c>
      <c r="G19" s="7">
        <v>8</v>
      </c>
      <c r="H19" s="7">
        <v>11</v>
      </c>
      <c r="I19" s="7">
        <v>46</v>
      </c>
    </row>
    <row r="20" spans="1:9">
      <c r="A20" s="18" t="s">
        <v>259</v>
      </c>
      <c r="B20" s="19">
        <v>5</v>
      </c>
      <c r="C20" s="19">
        <v>3</v>
      </c>
      <c r="D20" s="19">
        <v>16</v>
      </c>
      <c r="E20" s="19">
        <v>2</v>
      </c>
      <c r="F20" s="19">
        <v>2</v>
      </c>
      <c r="G20" s="19">
        <v>5</v>
      </c>
      <c r="H20" s="19">
        <v>9</v>
      </c>
      <c r="I20" s="19">
        <v>42</v>
      </c>
    </row>
    <row r="21" spans="1:9">
      <c r="A21" s="5" t="s">
        <v>225</v>
      </c>
      <c r="B21" s="7">
        <v>0</v>
      </c>
      <c r="C21" s="7">
        <v>0</v>
      </c>
      <c r="D21" s="7">
        <v>0</v>
      </c>
      <c r="E21" s="7">
        <v>0</v>
      </c>
      <c r="F21" s="7">
        <v>20</v>
      </c>
      <c r="G21" s="7">
        <v>2</v>
      </c>
      <c r="H21" s="7">
        <v>20</v>
      </c>
      <c r="I21" s="7">
        <v>42</v>
      </c>
    </row>
    <row r="22" spans="1:9">
      <c r="A22" s="18" t="s">
        <v>268</v>
      </c>
      <c r="B22" s="19">
        <v>20</v>
      </c>
      <c r="C22" s="19">
        <v>0</v>
      </c>
      <c r="D22" s="19">
        <v>20</v>
      </c>
      <c r="E22" s="19">
        <v>0</v>
      </c>
      <c r="F22" s="19">
        <v>0</v>
      </c>
      <c r="G22" s="19">
        <v>0</v>
      </c>
      <c r="H22" s="19">
        <v>0</v>
      </c>
      <c r="I22" s="19">
        <v>40</v>
      </c>
    </row>
    <row r="23" spans="1:9">
      <c r="A23" s="5" t="s">
        <v>258</v>
      </c>
      <c r="B23" s="7">
        <v>0</v>
      </c>
      <c r="C23" s="7">
        <v>0</v>
      </c>
      <c r="D23" s="7">
        <v>0</v>
      </c>
      <c r="E23" s="7">
        <v>0</v>
      </c>
      <c r="F23" s="7">
        <v>20</v>
      </c>
      <c r="G23" s="7">
        <v>0</v>
      </c>
      <c r="H23" s="7">
        <v>20</v>
      </c>
      <c r="I23" s="7">
        <v>40</v>
      </c>
    </row>
    <row r="24" spans="1:9">
      <c r="A24" s="18" t="s">
        <v>236</v>
      </c>
      <c r="B24" s="19">
        <v>6</v>
      </c>
      <c r="C24" s="19">
        <v>0</v>
      </c>
      <c r="D24" s="19">
        <v>12</v>
      </c>
      <c r="E24" s="19">
        <v>4</v>
      </c>
      <c r="F24" s="19">
        <v>5</v>
      </c>
      <c r="G24" s="19">
        <v>5</v>
      </c>
      <c r="H24" s="19">
        <v>3</v>
      </c>
      <c r="I24" s="19">
        <v>35</v>
      </c>
    </row>
    <row r="25" spans="1:9">
      <c r="A25" s="5" t="s">
        <v>220</v>
      </c>
      <c r="B25" s="7">
        <v>0</v>
      </c>
      <c r="C25" s="7">
        <v>4</v>
      </c>
      <c r="D25" s="7">
        <v>3</v>
      </c>
      <c r="E25" s="7">
        <v>6</v>
      </c>
      <c r="F25" s="7">
        <v>9</v>
      </c>
      <c r="G25" s="7">
        <v>2</v>
      </c>
      <c r="H25" s="7">
        <v>5</v>
      </c>
      <c r="I25" s="7">
        <v>29</v>
      </c>
    </row>
    <row r="26" spans="1:9">
      <c r="A26" s="18" t="s">
        <v>215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3</v>
      </c>
      <c r="H26" s="19">
        <v>23</v>
      </c>
      <c r="I26" s="19">
        <v>26</v>
      </c>
    </row>
    <row r="27" spans="1:9">
      <c r="A27" s="5" t="s">
        <v>269</v>
      </c>
      <c r="B27" s="7">
        <v>2</v>
      </c>
      <c r="C27" s="7">
        <v>3</v>
      </c>
      <c r="D27" s="7">
        <v>4</v>
      </c>
      <c r="E27" s="7">
        <v>0</v>
      </c>
      <c r="F27" s="7">
        <v>3</v>
      </c>
      <c r="G27" s="7">
        <v>5</v>
      </c>
      <c r="H27" s="7">
        <v>5</v>
      </c>
      <c r="I27" s="7">
        <v>22</v>
      </c>
    </row>
    <row r="28" spans="1:9">
      <c r="A28" s="18" t="s">
        <v>270</v>
      </c>
      <c r="B28" s="19">
        <v>5</v>
      </c>
      <c r="C28" s="19">
        <v>0</v>
      </c>
      <c r="D28" s="19">
        <v>10</v>
      </c>
      <c r="E28" s="19">
        <v>0</v>
      </c>
      <c r="F28" s="19">
        <v>0</v>
      </c>
      <c r="G28" s="19">
        <v>0</v>
      </c>
      <c r="H28" s="19">
        <v>5</v>
      </c>
      <c r="I28" s="19">
        <v>20</v>
      </c>
    </row>
    <row r="29" spans="1:9">
      <c r="A29" s="5" t="s">
        <v>193</v>
      </c>
      <c r="B29" s="7">
        <v>4</v>
      </c>
      <c r="C29" s="7">
        <v>0</v>
      </c>
      <c r="D29" s="7">
        <v>4</v>
      </c>
      <c r="E29" s="7">
        <v>0</v>
      </c>
      <c r="F29" s="7">
        <v>7</v>
      </c>
      <c r="G29" s="7">
        <v>1</v>
      </c>
      <c r="H29" s="7">
        <v>4</v>
      </c>
      <c r="I29" s="7">
        <v>20</v>
      </c>
    </row>
    <row r="30" spans="1:9">
      <c r="A30" s="18" t="s">
        <v>187</v>
      </c>
      <c r="B30" s="19">
        <v>1</v>
      </c>
      <c r="C30" s="19">
        <v>0</v>
      </c>
      <c r="D30" s="19">
        <v>0</v>
      </c>
      <c r="E30" s="19">
        <v>1</v>
      </c>
      <c r="F30" s="19">
        <v>6</v>
      </c>
      <c r="G30" s="19">
        <v>2</v>
      </c>
      <c r="H30" s="19">
        <v>8</v>
      </c>
      <c r="I30" s="19">
        <v>18</v>
      </c>
    </row>
    <row r="31" spans="1:9">
      <c r="A31" s="5" t="s">
        <v>189</v>
      </c>
      <c r="B31" s="7">
        <v>0</v>
      </c>
      <c r="C31" s="7">
        <v>0</v>
      </c>
      <c r="D31" s="7">
        <v>3</v>
      </c>
      <c r="E31" s="7">
        <v>0</v>
      </c>
      <c r="F31" s="7">
        <v>0</v>
      </c>
      <c r="G31" s="7">
        <v>4</v>
      </c>
      <c r="H31" s="7">
        <v>10</v>
      </c>
      <c r="I31" s="7">
        <v>17</v>
      </c>
    </row>
    <row r="32" spans="1:9">
      <c r="A32" s="18" t="s">
        <v>235</v>
      </c>
      <c r="B32" s="19">
        <v>2</v>
      </c>
      <c r="C32" s="19">
        <v>0</v>
      </c>
      <c r="D32" s="19">
        <v>2</v>
      </c>
      <c r="E32" s="19">
        <v>2</v>
      </c>
      <c r="F32" s="19">
        <v>4</v>
      </c>
      <c r="G32" s="19">
        <v>2</v>
      </c>
      <c r="H32" s="19">
        <v>3</v>
      </c>
      <c r="I32" s="19">
        <v>15</v>
      </c>
    </row>
    <row r="33" spans="1:9">
      <c r="A33" s="5" t="s">
        <v>190</v>
      </c>
      <c r="B33" s="7">
        <v>2</v>
      </c>
      <c r="C33" s="7">
        <v>0</v>
      </c>
      <c r="D33" s="7">
        <v>5</v>
      </c>
      <c r="E33" s="7">
        <v>0</v>
      </c>
      <c r="F33" s="7">
        <v>3</v>
      </c>
      <c r="G33" s="7">
        <v>5</v>
      </c>
      <c r="H33" s="7">
        <v>0</v>
      </c>
      <c r="I33" s="7">
        <v>15</v>
      </c>
    </row>
    <row r="34" spans="1:9">
      <c r="A34" s="18" t="s">
        <v>227</v>
      </c>
      <c r="B34" s="19">
        <v>0</v>
      </c>
      <c r="C34" s="19">
        <v>0</v>
      </c>
      <c r="D34" s="19">
        <v>1</v>
      </c>
      <c r="E34" s="19">
        <v>2</v>
      </c>
      <c r="F34" s="19">
        <v>2</v>
      </c>
      <c r="G34" s="19">
        <v>2</v>
      </c>
      <c r="H34" s="19">
        <v>4</v>
      </c>
      <c r="I34" s="19">
        <v>11</v>
      </c>
    </row>
    <row r="35" spans="1:9">
      <c r="A35" s="5" t="s">
        <v>191</v>
      </c>
      <c r="B35" s="7">
        <v>0</v>
      </c>
      <c r="C35" s="7">
        <v>0</v>
      </c>
      <c r="D35" s="7">
        <v>1</v>
      </c>
      <c r="E35" s="7">
        <v>0</v>
      </c>
      <c r="F35" s="7">
        <v>1</v>
      </c>
      <c r="G35" s="7">
        <v>4</v>
      </c>
      <c r="H35" s="7">
        <v>5</v>
      </c>
      <c r="I35" s="7">
        <v>11</v>
      </c>
    </row>
    <row r="36" spans="1:9">
      <c r="A36" s="18" t="s">
        <v>238</v>
      </c>
      <c r="B36" s="19">
        <v>2</v>
      </c>
      <c r="C36" s="19">
        <v>0</v>
      </c>
      <c r="D36" s="19">
        <v>2</v>
      </c>
      <c r="E36" s="19">
        <v>0</v>
      </c>
      <c r="F36" s="19">
        <v>4</v>
      </c>
      <c r="G36" s="19">
        <v>1</v>
      </c>
      <c r="H36" s="19">
        <v>2</v>
      </c>
      <c r="I36" s="19">
        <v>11</v>
      </c>
    </row>
    <row r="37" spans="1:9">
      <c r="A37" s="5" t="s">
        <v>192</v>
      </c>
      <c r="B37" s="7">
        <v>0</v>
      </c>
      <c r="C37" s="7">
        <v>4</v>
      </c>
      <c r="D37" s="7">
        <v>5</v>
      </c>
      <c r="E37" s="7">
        <v>1</v>
      </c>
      <c r="F37" s="7">
        <v>0</v>
      </c>
      <c r="G37" s="7">
        <v>0</v>
      </c>
      <c r="H37" s="7">
        <v>0</v>
      </c>
      <c r="I37" s="7">
        <v>10</v>
      </c>
    </row>
    <row r="38" spans="1:9">
      <c r="A38" s="18" t="s">
        <v>233</v>
      </c>
      <c r="B38" s="19">
        <v>1</v>
      </c>
      <c r="C38" s="19">
        <v>4</v>
      </c>
      <c r="D38" s="19">
        <v>0</v>
      </c>
      <c r="E38" s="19">
        <v>0</v>
      </c>
      <c r="F38" s="19">
        <v>0</v>
      </c>
      <c r="G38" s="19">
        <v>3</v>
      </c>
      <c r="H38" s="19">
        <v>0</v>
      </c>
      <c r="I38" s="19">
        <v>8</v>
      </c>
    </row>
    <row r="39" spans="1:9">
      <c r="A39" s="5" t="s">
        <v>188</v>
      </c>
      <c r="B39" s="7">
        <v>2</v>
      </c>
      <c r="C39" s="7">
        <v>0</v>
      </c>
      <c r="D39" s="7">
        <v>2</v>
      </c>
      <c r="E39" s="7">
        <v>0</v>
      </c>
      <c r="F39" s="7">
        <v>1</v>
      </c>
      <c r="G39" s="7">
        <v>2</v>
      </c>
      <c r="H39" s="7">
        <v>0</v>
      </c>
      <c r="I39" s="7">
        <v>7</v>
      </c>
    </row>
    <row r="40" spans="1:9">
      <c r="A40" s="18" t="s">
        <v>254</v>
      </c>
      <c r="B40" s="19">
        <v>0</v>
      </c>
      <c r="C40" s="19">
        <v>0</v>
      </c>
      <c r="D40" s="19">
        <v>2</v>
      </c>
      <c r="E40" s="19">
        <v>1</v>
      </c>
      <c r="F40" s="19">
        <v>1</v>
      </c>
      <c r="G40" s="19">
        <v>2</v>
      </c>
      <c r="H40" s="19">
        <v>1</v>
      </c>
      <c r="I40" s="19">
        <v>7</v>
      </c>
    </row>
    <row r="41" spans="1:9">
      <c r="A41" s="5" t="s">
        <v>271</v>
      </c>
      <c r="B41" s="7">
        <v>2</v>
      </c>
      <c r="C41" s="7">
        <v>0</v>
      </c>
      <c r="D41" s="7">
        <v>0</v>
      </c>
      <c r="E41" s="7">
        <v>0</v>
      </c>
      <c r="F41" s="7">
        <v>4</v>
      </c>
      <c r="G41" s="7">
        <v>0</v>
      </c>
      <c r="H41" s="7">
        <v>0</v>
      </c>
      <c r="I41" s="7">
        <v>6</v>
      </c>
    </row>
    <row r="42" spans="1:9">
      <c r="A42" s="18" t="s">
        <v>230</v>
      </c>
      <c r="B42" s="19">
        <v>1</v>
      </c>
      <c r="C42" s="19">
        <v>0</v>
      </c>
      <c r="D42" s="19">
        <v>3</v>
      </c>
      <c r="E42" s="19">
        <v>0</v>
      </c>
      <c r="F42" s="19">
        <v>0</v>
      </c>
      <c r="G42" s="19">
        <v>2</v>
      </c>
      <c r="H42" s="19">
        <v>0</v>
      </c>
      <c r="I42" s="19">
        <v>6</v>
      </c>
    </row>
    <row r="43" spans="1:9">
      <c r="A43" s="5" t="s">
        <v>272</v>
      </c>
      <c r="B43" s="7">
        <v>0</v>
      </c>
      <c r="C43" s="7">
        <v>0</v>
      </c>
      <c r="D43" s="7">
        <v>1</v>
      </c>
      <c r="E43" s="7">
        <v>0</v>
      </c>
      <c r="F43" s="7">
        <v>2</v>
      </c>
      <c r="G43" s="7">
        <v>2</v>
      </c>
      <c r="H43" s="7">
        <v>1</v>
      </c>
      <c r="I43" s="7">
        <v>6</v>
      </c>
    </row>
    <row r="44" spans="1:9">
      <c r="A44" s="18" t="s">
        <v>249</v>
      </c>
      <c r="B44" s="19">
        <v>1</v>
      </c>
      <c r="C44" s="19">
        <v>0</v>
      </c>
      <c r="D44" s="19">
        <v>4</v>
      </c>
      <c r="E44" s="19">
        <v>0</v>
      </c>
      <c r="F44" s="19">
        <v>0</v>
      </c>
      <c r="G44" s="19">
        <v>1</v>
      </c>
      <c r="H44" s="19">
        <v>0</v>
      </c>
      <c r="I44" s="19">
        <v>6</v>
      </c>
    </row>
    <row r="45" spans="1:9">
      <c r="A45" s="5" t="s">
        <v>252</v>
      </c>
      <c r="B45" s="7">
        <v>1</v>
      </c>
      <c r="C45" s="7">
        <v>0</v>
      </c>
      <c r="D45" s="7">
        <v>3</v>
      </c>
      <c r="E45" s="7">
        <v>0</v>
      </c>
      <c r="F45" s="7">
        <v>0</v>
      </c>
      <c r="G45" s="7">
        <v>2</v>
      </c>
      <c r="H45" s="7">
        <v>0</v>
      </c>
      <c r="I45" s="7">
        <v>6</v>
      </c>
    </row>
    <row r="46" spans="1:9">
      <c r="A46" s="18" t="s">
        <v>273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2</v>
      </c>
      <c r="H46" s="19">
        <v>3</v>
      </c>
      <c r="I46" s="19">
        <v>5</v>
      </c>
    </row>
    <row r="47" spans="1:9">
      <c r="A47" s="5" t="s">
        <v>244</v>
      </c>
      <c r="B47" s="7">
        <v>0</v>
      </c>
      <c r="C47" s="7">
        <v>0</v>
      </c>
      <c r="D47" s="7">
        <v>3</v>
      </c>
      <c r="E47" s="7">
        <v>0</v>
      </c>
      <c r="F47" s="7">
        <v>0</v>
      </c>
      <c r="G47" s="7">
        <v>0</v>
      </c>
      <c r="H47" s="7">
        <v>2</v>
      </c>
      <c r="I47" s="7">
        <v>5</v>
      </c>
    </row>
    <row r="48" spans="1:9">
      <c r="A48" s="18" t="s">
        <v>217</v>
      </c>
      <c r="B48" s="19">
        <v>0</v>
      </c>
      <c r="C48" s="19">
        <v>0</v>
      </c>
      <c r="D48" s="19">
        <v>2</v>
      </c>
      <c r="E48" s="19">
        <v>0</v>
      </c>
      <c r="F48" s="19">
        <v>0</v>
      </c>
      <c r="G48" s="19">
        <v>2</v>
      </c>
      <c r="H48" s="19">
        <v>1</v>
      </c>
      <c r="I48" s="19">
        <v>5</v>
      </c>
    </row>
    <row r="49" spans="1:9">
      <c r="A49" s="5" t="s">
        <v>274</v>
      </c>
      <c r="B49" s="7">
        <v>2</v>
      </c>
      <c r="C49" s="7">
        <v>0</v>
      </c>
      <c r="D49" s="7">
        <v>2</v>
      </c>
      <c r="E49" s="7">
        <v>0</v>
      </c>
      <c r="F49" s="7">
        <v>1</v>
      </c>
      <c r="G49" s="7">
        <v>0</v>
      </c>
      <c r="H49" s="7">
        <v>0</v>
      </c>
      <c r="I49" s="7">
        <v>5</v>
      </c>
    </row>
    <row r="50" spans="1:9">
      <c r="A50" s="18" t="s">
        <v>275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5</v>
      </c>
      <c r="H50" s="19">
        <v>0</v>
      </c>
      <c r="I50" s="19">
        <v>5</v>
      </c>
    </row>
    <row r="51" spans="1:9">
      <c r="A51" s="5" t="s">
        <v>276</v>
      </c>
      <c r="B51" s="7">
        <v>1</v>
      </c>
      <c r="C51" s="7">
        <v>0</v>
      </c>
      <c r="D51" s="7">
        <v>3</v>
      </c>
      <c r="E51" s="7">
        <v>0</v>
      </c>
      <c r="F51" s="7">
        <v>0</v>
      </c>
      <c r="G51" s="7">
        <v>1</v>
      </c>
      <c r="H51" s="7">
        <v>0</v>
      </c>
      <c r="I51" s="7">
        <v>5</v>
      </c>
    </row>
    <row r="52" spans="1:9">
      <c r="A52" s="18" t="s">
        <v>234</v>
      </c>
      <c r="B52" s="19">
        <v>0</v>
      </c>
      <c r="C52" s="19">
        <v>0</v>
      </c>
      <c r="D52" s="19">
        <v>0</v>
      </c>
      <c r="E52" s="19">
        <v>1</v>
      </c>
      <c r="F52" s="19">
        <v>1</v>
      </c>
      <c r="G52" s="19">
        <v>0</v>
      </c>
      <c r="H52" s="19">
        <v>2</v>
      </c>
      <c r="I52" s="19">
        <v>4</v>
      </c>
    </row>
    <row r="53" spans="1:9">
      <c r="A53" s="5" t="s">
        <v>277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1</v>
      </c>
      <c r="H53" s="7">
        <v>3</v>
      </c>
      <c r="I53" s="7">
        <v>4</v>
      </c>
    </row>
    <row r="54" spans="1:9">
      <c r="A54" s="18" t="s">
        <v>250</v>
      </c>
      <c r="B54" s="19">
        <v>1</v>
      </c>
      <c r="C54" s="19">
        <v>1</v>
      </c>
      <c r="D54" s="19">
        <v>1</v>
      </c>
      <c r="E54" s="19">
        <v>0</v>
      </c>
      <c r="F54" s="19">
        <v>1</v>
      </c>
      <c r="G54" s="19">
        <v>0</v>
      </c>
      <c r="H54" s="19">
        <v>0</v>
      </c>
      <c r="I54" s="19">
        <v>4</v>
      </c>
    </row>
    <row r="55" spans="1:9">
      <c r="A55" s="5" t="s">
        <v>229</v>
      </c>
      <c r="B55" s="7">
        <v>1</v>
      </c>
      <c r="C55" s="7">
        <v>0</v>
      </c>
      <c r="D55" s="7">
        <v>1</v>
      </c>
      <c r="E55" s="7">
        <v>0</v>
      </c>
      <c r="F55" s="7">
        <v>2</v>
      </c>
      <c r="G55" s="7">
        <v>0</v>
      </c>
      <c r="H55" s="7">
        <v>0</v>
      </c>
      <c r="I55" s="7">
        <v>4</v>
      </c>
    </row>
    <row r="56" spans="1:9">
      <c r="A56" s="18" t="s">
        <v>278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4</v>
      </c>
      <c r="H56" s="19">
        <v>0</v>
      </c>
      <c r="I56" s="19">
        <v>4</v>
      </c>
    </row>
    <row r="57" spans="1:9">
      <c r="A57" s="5" t="s">
        <v>279</v>
      </c>
      <c r="B57" s="7">
        <v>0</v>
      </c>
      <c r="C57" s="7">
        <v>0</v>
      </c>
      <c r="D57" s="7">
        <v>0</v>
      </c>
      <c r="E57" s="7">
        <v>0</v>
      </c>
      <c r="F57" s="7">
        <v>1</v>
      </c>
      <c r="G57" s="7">
        <v>0</v>
      </c>
      <c r="H57" s="7">
        <v>2</v>
      </c>
      <c r="I57" s="7">
        <v>3</v>
      </c>
    </row>
    <row r="58" spans="1:9">
      <c r="A58" s="18" t="s">
        <v>280</v>
      </c>
      <c r="B58" s="19">
        <v>1</v>
      </c>
      <c r="C58" s="19">
        <v>0</v>
      </c>
      <c r="D58" s="19">
        <v>0</v>
      </c>
      <c r="E58" s="19">
        <v>0</v>
      </c>
      <c r="F58" s="19">
        <v>1</v>
      </c>
      <c r="G58" s="19">
        <v>0</v>
      </c>
      <c r="H58" s="19">
        <v>1</v>
      </c>
      <c r="I58" s="19">
        <v>3</v>
      </c>
    </row>
    <row r="59" spans="1:9">
      <c r="A59" s="5" t="s">
        <v>281</v>
      </c>
      <c r="B59" s="7">
        <v>0</v>
      </c>
      <c r="C59" s="7">
        <v>0</v>
      </c>
      <c r="D59" s="7">
        <v>1</v>
      </c>
      <c r="E59" s="7">
        <v>0</v>
      </c>
      <c r="F59" s="7">
        <v>1</v>
      </c>
      <c r="G59" s="7">
        <v>1</v>
      </c>
      <c r="H59" s="7">
        <v>0</v>
      </c>
      <c r="I59" s="7">
        <v>3</v>
      </c>
    </row>
    <row r="60" spans="1:9">
      <c r="A60" s="18" t="s">
        <v>240</v>
      </c>
      <c r="B60" s="19">
        <v>0</v>
      </c>
      <c r="C60" s="19">
        <v>0</v>
      </c>
      <c r="D60" s="19">
        <v>2</v>
      </c>
      <c r="E60" s="19">
        <v>0</v>
      </c>
      <c r="F60" s="19">
        <v>0</v>
      </c>
      <c r="G60" s="19">
        <v>1</v>
      </c>
      <c r="H60" s="19">
        <v>0</v>
      </c>
      <c r="I60" s="19">
        <v>3</v>
      </c>
    </row>
    <row r="61" spans="1:9">
      <c r="A61" s="5" t="s">
        <v>239</v>
      </c>
      <c r="B61" s="7">
        <v>0</v>
      </c>
      <c r="C61" s="7">
        <v>0</v>
      </c>
      <c r="D61" s="7">
        <v>2</v>
      </c>
      <c r="E61" s="7">
        <v>0</v>
      </c>
      <c r="F61" s="7">
        <v>0</v>
      </c>
      <c r="G61" s="7">
        <v>1</v>
      </c>
      <c r="H61" s="7">
        <v>0</v>
      </c>
      <c r="I61" s="7">
        <v>3</v>
      </c>
    </row>
    <row r="62" spans="1:9">
      <c r="A62" s="18" t="s">
        <v>282</v>
      </c>
      <c r="B62" s="19">
        <v>0</v>
      </c>
      <c r="C62" s="19">
        <v>0</v>
      </c>
      <c r="D62" s="19">
        <v>0</v>
      </c>
      <c r="E62" s="19">
        <v>2</v>
      </c>
      <c r="F62" s="19">
        <v>0</v>
      </c>
      <c r="G62" s="19">
        <v>1</v>
      </c>
      <c r="H62" s="19">
        <v>0</v>
      </c>
      <c r="I62" s="19">
        <v>3</v>
      </c>
    </row>
    <row r="63" spans="1:9">
      <c r="A63" s="5" t="s">
        <v>263</v>
      </c>
      <c r="B63" s="7">
        <v>0</v>
      </c>
      <c r="C63" s="7">
        <v>0</v>
      </c>
      <c r="D63" s="7">
        <v>0</v>
      </c>
      <c r="E63" s="7">
        <v>1</v>
      </c>
      <c r="F63" s="7">
        <v>0</v>
      </c>
      <c r="G63" s="7">
        <v>1</v>
      </c>
      <c r="H63" s="7">
        <v>0</v>
      </c>
      <c r="I63" s="7">
        <v>2</v>
      </c>
    </row>
    <row r="64" spans="1:9">
      <c r="A64" s="18" t="s">
        <v>283</v>
      </c>
      <c r="B64" s="19">
        <v>0</v>
      </c>
      <c r="C64" s="19">
        <v>0</v>
      </c>
      <c r="D64" s="19">
        <v>0</v>
      </c>
      <c r="E64" s="19">
        <v>2</v>
      </c>
      <c r="F64" s="19">
        <v>0</v>
      </c>
      <c r="G64" s="19">
        <v>0</v>
      </c>
      <c r="H64" s="19">
        <v>0</v>
      </c>
      <c r="I64" s="19">
        <v>2</v>
      </c>
    </row>
    <row r="65" spans="1:9">
      <c r="A65" s="5" t="s">
        <v>284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2</v>
      </c>
      <c r="I65" s="7">
        <v>2</v>
      </c>
    </row>
    <row r="66" spans="1:9">
      <c r="A66" s="18" t="s">
        <v>285</v>
      </c>
      <c r="B66" s="19">
        <v>1</v>
      </c>
      <c r="C66" s="19">
        <v>0</v>
      </c>
      <c r="D66" s="19">
        <v>0</v>
      </c>
      <c r="E66" s="19">
        <v>0</v>
      </c>
      <c r="F66" s="19">
        <v>0</v>
      </c>
      <c r="G66" s="19">
        <v>1</v>
      </c>
      <c r="H66" s="19">
        <v>0</v>
      </c>
      <c r="I66" s="19">
        <v>2</v>
      </c>
    </row>
    <row r="67" spans="1:9">
      <c r="A67" s="5" t="s">
        <v>286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2</v>
      </c>
      <c r="H67" s="7">
        <v>0</v>
      </c>
      <c r="I67" s="7">
        <v>2</v>
      </c>
    </row>
    <row r="68" spans="1:9">
      <c r="A68" s="18" t="s">
        <v>287</v>
      </c>
      <c r="B68" s="19">
        <v>0</v>
      </c>
      <c r="C68" s="19">
        <v>0</v>
      </c>
      <c r="D68" s="19">
        <v>0</v>
      </c>
      <c r="E68" s="19">
        <v>0</v>
      </c>
      <c r="F68" s="19">
        <v>2</v>
      </c>
      <c r="G68" s="19">
        <v>0</v>
      </c>
      <c r="H68" s="19">
        <v>0</v>
      </c>
      <c r="I68" s="19">
        <v>2</v>
      </c>
    </row>
    <row r="69" spans="1:9">
      <c r="A69" s="5" t="s">
        <v>288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2</v>
      </c>
      <c r="I69" s="7">
        <v>2</v>
      </c>
    </row>
    <row r="70" spans="1:9">
      <c r="A70" s="18" t="s">
        <v>289</v>
      </c>
      <c r="B70" s="19">
        <v>0</v>
      </c>
      <c r="C70" s="19">
        <v>0</v>
      </c>
      <c r="D70" s="19">
        <v>0</v>
      </c>
      <c r="E70" s="19">
        <v>1</v>
      </c>
      <c r="F70" s="19">
        <v>0</v>
      </c>
      <c r="G70" s="19">
        <v>0</v>
      </c>
      <c r="H70" s="19">
        <v>0</v>
      </c>
      <c r="I70" s="19">
        <v>1</v>
      </c>
    </row>
    <row r="71" spans="1:9">
      <c r="A71" s="5" t="s">
        <v>290</v>
      </c>
      <c r="B71" s="7">
        <v>0</v>
      </c>
      <c r="C71" s="7">
        <v>0</v>
      </c>
      <c r="D71" s="7">
        <v>0</v>
      </c>
      <c r="E71" s="7">
        <v>1</v>
      </c>
      <c r="F71" s="7">
        <v>0</v>
      </c>
      <c r="G71" s="7">
        <v>0</v>
      </c>
      <c r="H71" s="7">
        <v>0</v>
      </c>
      <c r="I71" s="7">
        <v>1</v>
      </c>
    </row>
    <row r="72" spans="1:9">
      <c r="A72" s="18" t="s">
        <v>291</v>
      </c>
      <c r="B72" s="19">
        <v>0</v>
      </c>
      <c r="C72" s="19">
        <v>0</v>
      </c>
      <c r="D72" s="19">
        <v>0</v>
      </c>
      <c r="E72" s="19">
        <v>1</v>
      </c>
      <c r="F72" s="19">
        <v>0</v>
      </c>
      <c r="G72" s="19">
        <v>0</v>
      </c>
      <c r="H72" s="19">
        <v>0</v>
      </c>
      <c r="I72" s="19">
        <v>1</v>
      </c>
    </row>
    <row r="73" spans="1:9">
      <c r="A73" s="5" t="s">
        <v>292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1</v>
      </c>
      <c r="H73" s="7">
        <v>0</v>
      </c>
      <c r="I73" s="7">
        <v>1</v>
      </c>
    </row>
    <row r="74" spans="1:9">
      <c r="A74" s="18" t="s">
        <v>293</v>
      </c>
      <c r="B74" s="19">
        <v>0</v>
      </c>
      <c r="C74" s="19">
        <v>0</v>
      </c>
      <c r="D74" s="19">
        <v>0</v>
      </c>
      <c r="E74" s="19">
        <v>1</v>
      </c>
      <c r="F74" s="19">
        <v>0</v>
      </c>
      <c r="G74" s="19">
        <v>0</v>
      </c>
      <c r="H74" s="19">
        <v>0</v>
      </c>
      <c r="I74" s="19">
        <v>1</v>
      </c>
    </row>
    <row r="75" spans="1:9">
      <c r="A75" s="5" t="s">
        <v>294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1</v>
      </c>
      <c r="H75" s="7">
        <v>0</v>
      </c>
      <c r="I75" s="7">
        <v>1</v>
      </c>
    </row>
    <row r="76" spans="1:9">
      <c r="A76" s="18" t="s">
        <v>295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1</v>
      </c>
      <c r="H76" s="19">
        <v>0</v>
      </c>
      <c r="I76" s="19">
        <v>1</v>
      </c>
    </row>
    <row r="77" spans="1:9">
      <c r="A77" s="5" t="s">
        <v>296</v>
      </c>
      <c r="B77" s="7">
        <v>0</v>
      </c>
      <c r="C77" s="7">
        <v>0</v>
      </c>
      <c r="D77" s="7">
        <v>1</v>
      </c>
      <c r="E77" s="7">
        <v>0</v>
      </c>
      <c r="F77" s="7">
        <v>0</v>
      </c>
      <c r="G77" s="7">
        <v>0</v>
      </c>
      <c r="H77" s="7">
        <v>0</v>
      </c>
      <c r="I77" s="7">
        <v>1</v>
      </c>
    </row>
    <row r="78" spans="1:9">
      <c r="A78" s="18" t="s">
        <v>256</v>
      </c>
      <c r="B78" s="19">
        <v>0</v>
      </c>
      <c r="C78" s="19">
        <v>0</v>
      </c>
      <c r="D78" s="19">
        <v>1</v>
      </c>
      <c r="E78" s="19">
        <v>0</v>
      </c>
      <c r="F78" s="19">
        <v>0</v>
      </c>
      <c r="G78" s="19">
        <v>0</v>
      </c>
      <c r="H78" s="19">
        <v>0</v>
      </c>
      <c r="I78" s="19">
        <v>1</v>
      </c>
    </row>
    <row r="79" spans="1:9">
      <c r="A79" s="5" t="s">
        <v>253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1</v>
      </c>
      <c r="H79" s="7">
        <v>0</v>
      </c>
      <c r="I79" s="7">
        <v>1</v>
      </c>
    </row>
    <row r="80" spans="1:9">
      <c r="A80" s="18" t="s">
        <v>246</v>
      </c>
      <c r="B80" s="19">
        <v>0</v>
      </c>
      <c r="C80" s="19">
        <v>0</v>
      </c>
      <c r="D80" s="19">
        <v>0</v>
      </c>
      <c r="E80" s="19">
        <v>1</v>
      </c>
      <c r="F80" s="19">
        <v>0</v>
      </c>
      <c r="G80" s="19">
        <v>0</v>
      </c>
      <c r="H80" s="19">
        <v>0</v>
      </c>
      <c r="I80" s="19">
        <v>1</v>
      </c>
    </row>
    <row r="81" spans="1:9">
      <c r="A81" s="5" t="s">
        <v>297</v>
      </c>
      <c r="B81" s="7">
        <v>0</v>
      </c>
      <c r="C81" s="7">
        <v>0</v>
      </c>
      <c r="D81" s="7">
        <v>0</v>
      </c>
      <c r="E81" s="7">
        <v>0</v>
      </c>
      <c r="F81" s="7">
        <v>1</v>
      </c>
      <c r="G81" s="7">
        <v>0</v>
      </c>
      <c r="H81" s="7">
        <v>0</v>
      </c>
      <c r="I81" s="7">
        <v>1</v>
      </c>
    </row>
    <row r="82" spans="1:9">
      <c r="A82" s="18" t="s">
        <v>299</v>
      </c>
      <c r="B82" s="19">
        <v>0</v>
      </c>
      <c r="C82" s="19">
        <v>0</v>
      </c>
      <c r="D82" s="19">
        <v>0</v>
      </c>
      <c r="E82" s="19">
        <v>1</v>
      </c>
      <c r="F82" s="19">
        <v>0</v>
      </c>
      <c r="G82" s="19">
        <v>0</v>
      </c>
      <c r="H82" s="19">
        <v>0</v>
      </c>
      <c r="I82" s="19">
        <v>1</v>
      </c>
    </row>
    <row r="83" spans="1:9">
      <c r="A83" s="5" t="s">
        <v>300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1</v>
      </c>
      <c r="H83" s="7">
        <v>0</v>
      </c>
      <c r="I83" s="7">
        <v>1</v>
      </c>
    </row>
    <row r="84" spans="1:9">
      <c r="A84" s="18" t="s">
        <v>301</v>
      </c>
      <c r="B84" s="19">
        <v>0</v>
      </c>
      <c r="C84" s="19">
        <v>0</v>
      </c>
      <c r="D84" s="19">
        <v>1</v>
      </c>
      <c r="E84" s="19">
        <v>0</v>
      </c>
      <c r="F84" s="19">
        <v>0</v>
      </c>
      <c r="G84" s="19">
        <v>0</v>
      </c>
      <c r="H84" s="19">
        <v>0</v>
      </c>
      <c r="I84" s="19">
        <v>1</v>
      </c>
    </row>
    <row r="85" spans="1:9">
      <c r="A85" s="4" t="s">
        <v>145</v>
      </c>
      <c r="B85" s="11">
        <f>SUM(B5:B84)</f>
        <v>3349</v>
      </c>
      <c r="C85" s="11">
        <f>SUM(C5:C84)</f>
        <v>707</v>
      </c>
      <c r="D85" s="11">
        <f>SUM(D5:D84)</f>
        <v>4030</v>
      </c>
      <c r="E85" s="11">
        <f>SUM(E5:E84)</f>
        <v>867</v>
      </c>
      <c r="F85" s="11">
        <f>SUM(F5:F84)</f>
        <v>2618</v>
      </c>
      <c r="G85" s="11">
        <f>SUM(G5:G84)</f>
        <v>3208</v>
      </c>
      <c r="H85" s="11">
        <f>SUM(H5:H84)</f>
        <v>962</v>
      </c>
      <c r="I85" s="11">
        <f>SUM(I5:I84)</f>
        <v>15741</v>
      </c>
    </row>
  </sheetData>
  <autoFilter ref="A4:I84"/>
  <mergeCells count="2">
    <mergeCell ref="A1:I1"/>
    <mergeCell ref="A2:I2"/>
  </mergeCells>
  <conditionalFormatting sqref="B5:I84">
    <cfRule type="dataBar" priority="1">
      <dataBar>
        <cfvo type="min" val="0"/>
        <cfvo type="max" val="0"/>
        <color rgb="FF9DC3E6"/>
      </dataBar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9DC3E6"/>
  </sheetPr>
  <dimension ref="A1:H6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6.7109375" customWidth="1"/>
    <col min="2" max="8" width="13.7109375" customWidth="1"/>
  </cols>
  <sheetData>
    <row r="1" spans="1:8" ht="26" customHeight="1">
      <c r="A1" s="1" t="s">
        <v>312</v>
      </c>
      <c r="B1" s="1"/>
      <c r="C1" s="1"/>
      <c r="D1" s="1"/>
      <c r="E1" s="1"/>
      <c r="F1" s="1"/>
      <c r="G1" s="1"/>
      <c r="H1" s="1"/>
    </row>
    <row r="2" spans="1:8" ht="42" customHeight="1">
      <c r="A2" s="2" t="s">
        <v>313</v>
      </c>
      <c r="B2" s="2"/>
      <c r="C2" s="2"/>
      <c r="D2" s="2"/>
      <c r="E2" s="2"/>
      <c r="F2" s="2"/>
      <c r="G2" s="2"/>
      <c r="H2" s="2"/>
    </row>
    <row r="4" spans="1:8">
      <c r="A4" s="6" t="s">
        <v>34</v>
      </c>
      <c r="B4" s="6" t="s">
        <v>158</v>
      </c>
      <c r="C4" s="6" t="s">
        <v>159</v>
      </c>
      <c r="D4" s="6" t="s">
        <v>160</v>
      </c>
      <c r="E4" s="6" t="s">
        <v>161</v>
      </c>
      <c r="F4" s="6" t="s">
        <v>162</v>
      </c>
      <c r="G4" s="6" t="s">
        <v>3</v>
      </c>
      <c r="H4" s="6" t="s">
        <v>145</v>
      </c>
    </row>
    <row r="5" spans="1:8">
      <c r="A5" s="5" t="s">
        <v>48</v>
      </c>
      <c r="B5" s="7">
        <v>3</v>
      </c>
      <c r="C5" s="7">
        <v>0</v>
      </c>
      <c r="D5" s="7">
        <v>25</v>
      </c>
      <c r="E5" s="7">
        <v>0</v>
      </c>
      <c r="F5" s="7">
        <v>0</v>
      </c>
      <c r="G5" s="7">
        <v>24</v>
      </c>
      <c r="H5" s="7">
        <v>52</v>
      </c>
    </row>
    <row r="6" spans="1:8">
      <c r="A6" s="18" t="s">
        <v>41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50</v>
      </c>
      <c r="H6" s="19">
        <v>50</v>
      </c>
    </row>
    <row r="7" spans="1:8">
      <c r="A7" s="5" t="s">
        <v>50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35</v>
      </c>
      <c r="H7" s="7">
        <v>35</v>
      </c>
    </row>
    <row r="8" spans="1:8">
      <c r="A8" s="18" t="s">
        <v>215</v>
      </c>
      <c r="B8" s="19">
        <v>0</v>
      </c>
      <c r="C8" s="19">
        <v>3</v>
      </c>
      <c r="D8" s="19">
        <v>0</v>
      </c>
      <c r="E8" s="19">
        <v>0</v>
      </c>
      <c r="F8" s="19">
        <v>3</v>
      </c>
      <c r="G8" s="19">
        <v>29</v>
      </c>
      <c r="H8" s="19">
        <v>35</v>
      </c>
    </row>
    <row r="9" spans="1:8">
      <c r="A9" s="5" t="s">
        <v>217</v>
      </c>
      <c r="B9" s="7">
        <v>4</v>
      </c>
      <c r="C9" s="7">
        <v>5</v>
      </c>
      <c r="D9" s="7">
        <v>0</v>
      </c>
      <c r="E9" s="7">
        <v>0</v>
      </c>
      <c r="F9" s="7">
        <v>0</v>
      </c>
      <c r="G9" s="7">
        <v>20</v>
      </c>
      <c r="H9" s="7">
        <v>29</v>
      </c>
    </row>
    <row r="10" spans="1:8">
      <c r="A10" s="18" t="s">
        <v>46</v>
      </c>
      <c r="B10" s="19">
        <v>0</v>
      </c>
      <c r="C10" s="19">
        <v>0</v>
      </c>
      <c r="D10" s="19">
        <v>25</v>
      </c>
      <c r="E10" s="19">
        <v>0</v>
      </c>
      <c r="F10" s="19">
        <v>0</v>
      </c>
      <c r="G10" s="19">
        <v>0</v>
      </c>
      <c r="H10" s="19">
        <v>25</v>
      </c>
    </row>
    <row r="11" spans="1:8">
      <c r="A11" s="5" t="s">
        <v>218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21</v>
      </c>
      <c r="H11" s="7">
        <v>21</v>
      </c>
    </row>
    <row r="12" spans="1:8">
      <c r="A12" s="18" t="s">
        <v>220</v>
      </c>
      <c r="B12" s="19">
        <v>14</v>
      </c>
      <c r="C12" s="19">
        <v>0</v>
      </c>
      <c r="D12" s="19">
        <v>0</v>
      </c>
      <c r="E12" s="19">
        <v>0</v>
      </c>
      <c r="F12" s="19">
        <v>0</v>
      </c>
      <c r="G12" s="19">
        <v>6</v>
      </c>
      <c r="H12" s="19">
        <v>20</v>
      </c>
    </row>
    <row r="13" spans="1:8">
      <c r="A13" s="5" t="s">
        <v>193</v>
      </c>
      <c r="B13" s="7">
        <v>0</v>
      </c>
      <c r="C13" s="7">
        <v>5</v>
      </c>
      <c r="D13" s="7">
        <v>0</v>
      </c>
      <c r="E13" s="7">
        <v>0</v>
      </c>
      <c r="F13" s="7">
        <v>0</v>
      </c>
      <c r="G13" s="7">
        <v>11</v>
      </c>
      <c r="H13" s="7">
        <v>16</v>
      </c>
    </row>
    <row r="14" spans="1:8">
      <c r="A14" s="18" t="s">
        <v>222</v>
      </c>
      <c r="B14" s="19">
        <v>0</v>
      </c>
      <c r="C14" s="19">
        <v>3</v>
      </c>
      <c r="D14" s="19">
        <v>0</v>
      </c>
      <c r="E14" s="19">
        <v>0</v>
      </c>
      <c r="F14" s="19">
        <v>0</v>
      </c>
      <c r="G14" s="19">
        <v>10</v>
      </c>
      <c r="H14" s="19">
        <v>13</v>
      </c>
    </row>
    <row r="15" spans="1:8">
      <c r="A15" s="5" t="s">
        <v>223</v>
      </c>
      <c r="B15" s="7">
        <v>1</v>
      </c>
      <c r="C15" s="7">
        <v>3</v>
      </c>
      <c r="D15" s="7">
        <v>0</v>
      </c>
      <c r="E15" s="7">
        <v>0</v>
      </c>
      <c r="F15" s="7">
        <v>0</v>
      </c>
      <c r="G15" s="7">
        <v>8</v>
      </c>
      <c r="H15" s="7">
        <v>12</v>
      </c>
    </row>
    <row r="16" spans="1:8">
      <c r="A16" s="18" t="s">
        <v>224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10</v>
      </c>
      <c r="H16" s="19">
        <v>10</v>
      </c>
    </row>
    <row r="17" spans="1:8">
      <c r="A17" s="5" t="s">
        <v>42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10</v>
      </c>
      <c r="H17" s="7">
        <v>10</v>
      </c>
    </row>
    <row r="18" spans="1:8">
      <c r="A18" s="18" t="s">
        <v>43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10</v>
      </c>
      <c r="H18" s="19">
        <v>10</v>
      </c>
    </row>
    <row r="19" spans="1:8">
      <c r="A19" s="5" t="s">
        <v>225</v>
      </c>
      <c r="B19" s="7">
        <v>0</v>
      </c>
      <c r="C19" s="7">
        <v>10</v>
      </c>
      <c r="D19" s="7">
        <v>0</v>
      </c>
      <c r="E19" s="7">
        <v>0</v>
      </c>
      <c r="F19" s="7">
        <v>0</v>
      </c>
      <c r="G19" s="7">
        <v>0</v>
      </c>
      <c r="H19" s="7">
        <v>10</v>
      </c>
    </row>
    <row r="20" spans="1:8">
      <c r="A20" s="18" t="s">
        <v>226</v>
      </c>
      <c r="B20" s="19">
        <v>0</v>
      </c>
      <c r="C20" s="19">
        <v>10</v>
      </c>
      <c r="D20" s="19">
        <v>0</v>
      </c>
      <c r="E20" s="19">
        <v>0</v>
      </c>
      <c r="F20" s="19">
        <v>0</v>
      </c>
      <c r="G20" s="19">
        <v>0</v>
      </c>
      <c r="H20" s="19">
        <v>10</v>
      </c>
    </row>
    <row r="21" spans="1:8">
      <c r="A21" s="5" t="s">
        <v>188</v>
      </c>
      <c r="B21" s="7">
        <v>2</v>
      </c>
      <c r="C21" s="7">
        <v>0</v>
      </c>
      <c r="D21" s="7">
        <v>0</v>
      </c>
      <c r="E21" s="7">
        <v>0</v>
      </c>
      <c r="F21" s="7">
        <v>1</v>
      </c>
      <c r="G21" s="7">
        <v>6</v>
      </c>
      <c r="H21" s="7">
        <v>9</v>
      </c>
    </row>
    <row r="22" spans="1:8">
      <c r="A22" s="18" t="s">
        <v>227</v>
      </c>
      <c r="B22" s="19">
        <v>2</v>
      </c>
      <c r="C22" s="19">
        <v>3</v>
      </c>
      <c r="D22" s="19">
        <v>0</v>
      </c>
      <c r="E22" s="19">
        <v>0</v>
      </c>
      <c r="F22" s="19">
        <v>0</v>
      </c>
      <c r="G22" s="19">
        <v>3</v>
      </c>
      <c r="H22" s="19">
        <v>8</v>
      </c>
    </row>
    <row r="23" spans="1:8">
      <c r="A23" s="5" t="s">
        <v>229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6</v>
      </c>
      <c r="H23" s="7">
        <v>6</v>
      </c>
    </row>
    <row r="24" spans="1:8">
      <c r="A24" s="18" t="s">
        <v>230</v>
      </c>
      <c r="B24" s="19">
        <v>0</v>
      </c>
      <c r="C24" s="19">
        <v>0</v>
      </c>
      <c r="D24" s="19">
        <v>4</v>
      </c>
      <c r="E24" s="19">
        <v>0</v>
      </c>
      <c r="F24" s="19">
        <v>0</v>
      </c>
      <c r="G24" s="19">
        <v>0</v>
      </c>
      <c r="H24" s="19">
        <v>4</v>
      </c>
    </row>
    <row r="25" spans="1:8">
      <c r="A25" s="5" t="s">
        <v>231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4</v>
      </c>
      <c r="H25" s="7">
        <v>4</v>
      </c>
    </row>
    <row r="26" spans="1:8">
      <c r="A26" s="18" t="s">
        <v>232</v>
      </c>
      <c r="B26" s="19">
        <v>0</v>
      </c>
      <c r="C26" s="19">
        <v>2</v>
      </c>
      <c r="D26" s="19">
        <v>0</v>
      </c>
      <c r="E26" s="19">
        <v>0</v>
      </c>
      <c r="F26" s="19">
        <v>0</v>
      </c>
      <c r="G26" s="19">
        <v>2</v>
      </c>
      <c r="H26" s="19">
        <v>4</v>
      </c>
    </row>
    <row r="27" spans="1:8">
      <c r="A27" s="5" t="s">
        <v>233</v>
      </c>
      <c r="B27" s="7">
        <v>0</v>
      </c>
      <c r="C27" s="7">
        <v>2</v>
      </c>
      <c r="D27" s="7">
        <v>0</v>
      </c>
      <c r="E27" s="7">
        <v>0</v>
      </c>
      <c r="F27" s="7">
        <v>0</v>
      </c>
      <c r="G27" s="7">
        <v>2</v>
      </c>
      <c r="H27" s="7">
        <v>4</v>
      </c>
    </row>
    <row r="28" spans="1:8">
      <c r="A28" s="18" t="s">
        <v>192</v>
      </c>
      <c r="B28" s="19">
        <v>0</v>
      </c>
      <c r="C28" s="19">
        <v>2</v>
      </c>
      <c r="D28" s="19">
        <v>0</v>
      </c>
      <c r="E28" s="19">
        <v>0</v>
      </c>
      <c r="F28" s="19">
        <v>0</v>
      </c>
      <c r="G28" s="19">
        <v>2</v>
      </c>
      <c r="H28" s="19">
        <v>4</v>
      </c>
    </row>
    <row r="29" spans="1:8">
      <c r="A29" s="5" t="s">
        <v>234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3</v>
      </c>
      <c r="H29" s="7">
        <v>3</v>
      </c>
    </row>
    <row r="30" spans="1:8">
      <c r="A30" s="18" t="s">
        <v>190</v>
      </c>
      <c r="B30" s="19">
        <v>0</v>
      </c>
      <c r="C30" s="19">
        <v>0</v>
      </c>
      <c r="D30" s="19">
        <v>3</v>
      </c>
      <c r="E30" s="19">
        <v>0</v>
      </c>
      <c r="F30" s="19">
        <v>0</v>
      </c>
      <c r="G30" s="19">
        <v>0</v>
      </c>
      <c r="H30" s="19">
        <v>3</v>
      </c>
    </row>
    <row r="31" spans="1:8">
      <c r="A31" s="5" t="s">
        <v>235</v>
      </c>
      <c r="B31" s="7">
        <v>0</v>
      </c>
      <c r="C31" s="7">
        <v>0</v>
      </c>
      <c r="D31" s="7">
        <v>3</v>
      </c>
      <c r="E31" s="7">
        <v>0</v>
      </c>
      <c r="F31" s="7">
        <v>0</v>
      </c>
      <c r="G31" s="7">
        <v>0</v>
      </c>
      <c r="H31" s="7">
        <v>3</v>
      </c>
    </row>
    <row r="32" spans="1:8">
      <c r="A32" s="18" t="s">
        <v>236</v>
      </c>
      <c r="B32" s="19">
        <v>0</v>
      </c>
      <c r="C32" s="19">
        <v>0</v>
      </c>
      <c r="D32" s="19">
        <v>3</v>
      </c>
      <c r="E32" s="19">
        <v>0</v>
      </c>
      <c r="F32" s="19">
        <v>0</v>
      </c>
      <c r="G32" s="19">
        <v>0</v>
      </c>
      <c r="H32" s="19">
        <v>3</v>
      </c>
    </row>
    <row r="33" spans="1:8">
      <c r="A33" s="5" t="s">
        <v>237</v>
      </c>
      <c r="B33" s="7">
        <v>0</v>
      </c>
      <c r="C33" s="7">
        <v>1</v>
      </c>
      <c r="D33" s="7">
        <v>0</v>
      </c>
      <c r="E33" s="7">
        <v>0</v>
      </c>
      <c r="F33" s="7">
        <v>0</v>
      </c>
      <c r="G33" s="7">
        <v>2</v>
      </c>
      <c r="H33" s="7">
        <v>3</v>
      </c>
    </row>
    <row r="34" spans="1:8">
      <c r="A34" s="18" t="s">
        <v>238</v>
      </c>
      <c r="B34" s="19">
        <v>0</v>
      </c>
      <c r="C34" s="19">
        <v>0</v>
      </c>
      <c r="D34" s="19">
        <v>3</v>
      </c>
      <c r="E34" s="19">
        <v>0</v>
      </c>
      <c r="F34" s="19">
        <v>0</v>
      </c>
      <c r="G34" s="19">
        <v>0</v>
      </c>
      <c r="H34" s="19">
        <v>3</v>
      </c>
    </row>
    <row r="35" spans="1:8">
      <c r="A35" s="5" t="s">
        <v>239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3</v>
      </c>
      <c r="H35" s="7">
        <v>3</v>
      </c>
    </row>
    <row r="36" spans="1:8">
      <c r="A36" s="18" t="s">
        <v>240</v>
      </c>
      <c r="B36" s="19">
        <v>2</v>
      </c>
      <c r="C36" s="19">
        <v>0</v>
      </c>
      <c r="D36" s="19">
        <v>0</v>
      </c>
      <c r="E36" s="19">
        <v>0</v>
      </c>
      <c r="F36" s="19">
        <v>0</v>
      </c>
      <c r="G36" s="19">
        <v>1</v>
      </c>
      <c r="H36" s="19">
        <v>3</v>
      </c>
    </row>
    <row r="37" spans="1:8">
      <c r="A37" s="5" t="s">
        <v>241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3</v>
      </c>
      <c r="H37" s="7">
        <v>3</v>
      </c>
    </row>
    <row r="38" spans="1:8">
      <c r="A38" s="18" t="s">
        <v>185</v>
      </c>
      <c r="B38" s="19">
        <v>0</v>
      </c>
      <c r="C38" s="19">
        <v>0</v>
      </c>
      <c r="D38" s="19">
        <v>2</v>
      </c>
      <c r="E38" s="19">
        <v>0</v>
      </c>
      <c r="F38" s="19">
        <v>0</v>
      </c>
      <c r="G38" s="19">
        <v>0</v>
      </c>
      <c r="H38" s="19">
        <v>2</v>
      </c>
    </row>
    <row r="39" spans="1:8">
      <c r="A39" s="5" t="s">
        <v>242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2</v>
      </c>
      <c r="H39" s="7">
        <v>2</v>
      </c>
    </row>
    <row r="40" spans="1:8">
      <c r="A40" s="18" t="s">
        <v>243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2</v>
      </c>
      <c r="H40" s="19">
        <v>2</v>
      </c>
    </row>
    <row r="41" spans="1:8">
      <c r="A41" s="5" t="s">
        <v>244</v>
      </c>
      <c r="B41" s="7">
        <v>2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2</v>
      </c>
    </row>
    <row r="42" spans="1:8">
      <c r="A42" s="18" t="s">
        <v>245</v>
      </c>
      <c r="B42" s="19">
        <v>0</v>
      </c>
      <c r="C42" s="19">
        <v>1</v>
      </c>
      <c r="D42" s="19">
        <v>0</v>
      </c>
      <c r="E42" s="19">
        <v>0</v>
      </c>
      <c r="F42" s="19">
        <v>0</v>
      </c>
      <c r="G42" s="19">
        <v>1</v>
      </c>
      <c r="H42" s="19">
        <v>2</v>
      </c>
    </row>
    <row r="43" spans="1:8">
      <c r="A43" s="5" t="s">
        <v>246</v>
      </c>
      <c r="B43" s="7">
        <v>0</v>
      </c>
      <c r="C43" s="7">
        <v>1</v>
      </c>
      <c r="D43" s="7">
        <v>0</v>
      </c>
      <c r="E43" s="7">
        <v>0</v>
      </c>
      <c r="F43" s="7">
        <v>0</v>
      </c>
      <c r="G43" s="7">
        <v>1</v>
      </c>
      <c r="H43" s="7">
        <v>2</v>
      </c>
    </row>
    <row r="44" spans="1:8">
      <c r="A44" s="18" t="s">
        <v>247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2</v>
      </c>
      <c r="H44" s="19">
        <v>2</v>
      </c>
    </row>
    <row r="45" spans="1:8">
      <c r="A45" s="5" t="s">
        <v>248</v>
      </c>
      <c r="B45" s="7">
        <v>1</v>
      </c>
      <c r="C45" s="7">
        <v>1</v>
      </c>
      <c r="D45" s="7">
        <v>0</v>
      </c>
      <c r="E45" s="7">
        <v>0</v>
      </c>
      <c r="F45" s="7">
        <v>0</v>
      </c>
      <c r="G45" s="7">
        <v>0</v>
      </c>
      <c r="H45" s="7">
        <v>2</v>
      </c>
    </row>
    <row r="46" spans="1:8">
      <c r="A46" s="18" t="s">
        <v>249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1</v>
      </c>
      <c r="H46" s="19">
        <v>1</v>
      </c>
    </row>
    <row r="47" spans="1:8">
      <c r="A47" s="5" t="s">
        <v>250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1</v>
      </c>
      <c r="H47" s="7">
        <v>1</v>
      </c>
    </row>
    <row r="48" spans="1:8">
      <c r="A48" s="18" t="s">
        <v>251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1</v>
      </c>
      <c r="H48" s="19">
        <v>1</v>
      </c>
    </row>
    <row r="49" spans="1:8">
      <c r="A49" s="5" t="s">
        <v>252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1</v>
      </c>
      <c r="H49" s="7">
        <v>1</v>
      </c>
    </row>
    <row r="50" spans="1:8">
      <c r="A50" s="18" t="s">
        <v>253</v>
      </c>
      <c r="B50" s="19">
        <v>0</v>
      </c>
      <c r="C50" s="19">
        <v>1</v>
      </c>
      <c r="D50" s="19">
        <v>0</v>
      </c>
      <c r="E50" s="19">
        <v>0</v>
      </c>
      <c r="F50" s="19">
        <v>0</v>
      </c>
      <c r="G50" s="19">
        <v>0</v>
      </c>
      <c r="H50" s="19">
        <v>1</v>
      </c>
    </row>
    <row r="51" spans="1:8">
      <c r="A51" s="5" t="s">
        <v>254</v>
      </c>
      <c r="B51" s="7">
        <v>0</v>
      </c>
      <c r="C51" s="7">
        <v>0</v>
      </c>
      <c r="D51" s="7">
        <v>1</v>
      </c>
      <c r="E51" s="7">
        <v>0</v>
      </c>
      <c r="F51" s="7">
        <v>0</v>
      </c>
      <c r="G51" s="7">
        <v>0</v>
      </c>
      <c r="H51" s="7">
        <v>1</v>
      </c>
    </row>
    <row r="52" spans="1:8">
      <c r="A52" s="18" t="s">
        <v>255</v>
      </c>
      <c r="B52" s="19">
        <v>0</v>
      </c>
      <c r="C52" s="19">
        <v>1</v>
      </c>
      <c r="D52" s="19">
        <v>0</v>
      </c>
      <c r="E52" s="19">
        <v>0</v>
      </c>
      <c r="F52" s="19">
        <v>0</v>
      </c>
      <c r="G52" s="19">
        <v>0</v>
      </c>
      <c r="H52" s="19">
        <v>1</v>
      </c>
    </row>
    <row r="53" spans="1:8">
      <c r="A53" s="5" t="s">
        <v>256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1</v>
      </c>
      <c r="H53" s="7">
        <v>1</v>
      </c>
    </row>
    <row r="54" spans="1:8">
      <c r="A54" s="18" t="s">
        <v>258</v>
      </c>
      <c r="B54" s="19">
        <v>0</v>
      </c>
      <c r="C54" s="19">
        <v>1</v>
      </c>
      <c r="D54" s="19">
        <v>0</v>
      </c>
      <c r="E54" s="19">
        <v>0</v>
      </c>
      <c r="F54" s="19">
        <v>0</v>
      </c>
      <c r="G54" s="19">
        <v>0</v>
      </c>
      <c r="H54" s="19">
        <v>1</v>
      </c>
    </row>
    <row r="55" spans="1:8">
      <c r="A55" s="5" t="s">
        <v>259</v>
      </c>
      <c r="B55" s="7">
        <v>0</v>
      </c>
      <c r="C55" s="7">
        <v>0</v>
      </c>
      <c r="D55" s="7">
        <v>0</v>
      </c>
      <c r="E55" s="7">
        <v>1</v>
      </c>
      <c r="F55" s="7">
        <v>0</v>
      </c>
      <c r="G55" s="7">
        <v>0</v>
      </c>
      <c r="H55" s="7">
        <v>1</v>
      </c>
    </row>
    <row r="56" spans="1:8">
      <c r="A56" s="18" t="s">
        <v>260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1</v>
      </c>
      <c r="H56" s="19">
        <v>1</v>
      </c>
    </row>
    <row r="57" spans="1:8">
      <c r="A57" s="5" t="s">
        <v>261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1</v>
      </c>
      <c r="H57" s="7">
        <v>1</v>
      </c>
    </row>
    <row r="58" spans="1:8">
      <c r="A58" s="18" t="s">
        <v>262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1</v>
      </c>
      <c r="H58" s="19">
        <v>1</v>
      </c>
    </row>
    <row r="59" spans="1:8">
      <c r="A59" s="5" t="s">
        <v>263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1</v>
      </c>
      <c r="H59" s="7">
        <v>1</v>
      </c>
    </row>
    <row r="60" spans="1:8">
      <c r="A60" s="4" t="s">
        <v>145</v>
      </c>
      <c r="B60" s="11">
        <f>SUM(B5:B59)</f>
        <v>31</v>
      </c>
      <c r="C60" s="11">
        <f>SUM(C5:C59)</f>
        <v>55</v>
      </c>
      <c r="D60" s="11">
        <f>SUM(D5:D59)</f>
        <v>69</v>
      </c>
      <c r="E60" s="11">
        <f>SUM(E5:E59)</f>
        <v>1</v>
      </c>
      <c r="F60" s="11">
        <f>SUM(F5:F59)</f>
        <v>4</v>
      </c>
      <c r="G60" s="11">
        <f>SUM(G5:G59)</f>
        <v>298</v>
      </c>
      <c r="H60" s="11">
        <f>SUM(H5:H59)</f>
        <v>458</v>
      </c>
    </row>
  </sheetData>
  <autoFilter ref="A4:H59"/>
  <mergeCells count="2">
    <mergeCell ref="A1:H1"/>
    <mergeCell ref="A2:H2"/>
  </mergeCells>
  <conditionalFormatting sqref="B5:H59">
    <cfRule type="dataBar" priority="1">
      <dataBar>
        <cfvo type="min" val="0"/>
        <cfvo type="max" val="0"/>
        <color rgb="FF9DC3E6"/>
      </dataBar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7030A0"/>
  </sheetPr>
  <dimension ref="A1:G14"/>
  <sheetViews>
    <sheetView workbookViewId="0"/>
  </sheetViews>
  <sheetFormatPr defaultRowHeight="15"/>
  <cols>
    <col min="1" max="1" width="16.7109375" customWidth="1"/>
    <col min="2" max="7" width="13.7109375" customWidth="1"/>
  </cols>
  <sheetData>
    <row r="1" spans="1:7" ht="26" customHeight="1">
      <c r="A1" s="1" t="s">
        <v>314</v>
      </c>
      <c r="B1" s="1"/>
      <c r="C1" s="1"/>
      <c r="D1" s="1"/>
      <c r="E1" s="1"/>
      <c r="F1" s="1"/>
      <c r="G1" s="1"/>
    </row>
    <row r="2" spans="1:7" ht="42" customHeight="1">
      <c r="A2" s="2" t="s">
        <v>315</v>
      </c>
      <c r="B2" s="2"/>
      <c r="C2" s="2"/>
      <c r="D2" s="2"/>
      <c r="E2" s="2"/>
      <c r="F2" s="2"/>
      <c r="G2" s="2"/>
    </row>
    <row r="4" spans="1:7" ht="28" customHeight="1">
      <c r="A4" s="6" t="s">
        <v>316</v>
      </c>
      <c r="B4" s="6" t="s">
        <v>172</v>
      </c>
      <c r="C4" s="6" t="s">
        <v>317</v>
      </c>
      <c r="D4" s="6" t="s">
        <v>174</v>
      </c>
      <c r="E4" s="6" t="s">
        <v>318</v>
      </c>
      <c r="F4" s="6" t="s">
        <v>176</v>
      </c>
      <c r="G4" s="6" t="s">
        <v>178</v>
      </c>
    </row>
    <row r="5" spans="1:7">
      <c r="A5" s="5" t="s">
        <v>319</v>
      </c>
      <c r="B5" s="7">
        <v>37</v>
      </c>
      <c r="C5" s="7">
        <v>126</v>
      </c>
      <c r="D5" s="7">
        <v>60</v>
      </c>
      <c r="E5" s="7">
        <v>2226</v>
      </c>
      <c r="F5" s="7">
        <v>97</v>
      </c>
      <c r="G5" s="7">
        <v>2352</v>
      </c>
    </row>
    <row r="6" spans="1:7">
      <c r="A6" s="5" t="s">
        <v>320</v>
      </c>
      <c r="B6" s="7">
        <v>19</v>
      </c>
      <c r="C6" s="7">
        <v>54</v>
      </c>
      <c r="D6" s="7">
        <v>45</v>
      </c>
      <c r="E6" s="7">
        <v>2491</v>
      </c>
      <c r="F6" s="7">
        <v>64</v>
      </c>
      <c r="G6" s="7">
        <v>2545</v>
      </c>
    </row>
    <row r="7" spans="1:7">
      <c r="A7" s="5" t="s">
        <v>321</v>
      </c>
      <c r="B7" s="7">
        <v>8</v>
      </c>
      <c r="C7" s="7">
        <v>26</v>
      </c>
      <c r="D7" s="7">
        <v>47</v>
      </c>
      <c r="E7" s="7">
        <v>1643</v>
      </c>
      <c r="F7" s="7">
        <v>55</v>
      </c>
      <c r="G7" s="7">
        <v>1669</v>
      </c>
    </row>
    <row r="8" spans="1:7">
      <c r="A8" s="5" t="s">
        <v>322</v>
      </c>
      <c r="B8" s="7">
        <v>19</v>
      </c>
      <c r="C8" s="7">
        <v>32</v>
      </c>
      <c r="D8" s="7">
        <v>3</v>
      </c>
      <c r="E8" s="7">
        <v>29</v>
      </c>
      <c r="F8" s="7">
        <v>22</v>
      </c>
      <c r="G8" s="7">
        <v>61</v>
      </c>
    </row>
    <row r="9" spans="1:7">
      <c r="A9" s="5" t="s">
        <v>323</v>
      </c>
      <c r="B9" s="7">
        <v>25</v>
      </c>
      <c r="C9" s="7">
        <v>72</v>
      </c>
      <c r="D9" s="7">
        <v>66</v>
      </c>
      <c r="E9" s="7">
        <v>3532</v>
      </c>
      <c r="F9" s="7">
        <v>91</v>
      </c>
      <c r="G9" s="7">
        <v>3604</v>
      </c>
    </row>
    <row r="10" spans="1:7">
      <c r="A10" s="5" t="s">
        <v>324</v>
      </c>
      <c r="B10" s="7">
        <v>22</v>
      </c>
      <c r="C10" s="7">
        <v>100</v>
      </c>
      <c r="D10" s="7">
        <v>34</v>
      </c>
      <c r="E10" s="7">
        <v>738</v>
      </c>
      <c r="F10" s="7">
        <v>56</v>
      </c>
      <c r="G10" s="7">
        <v>838</v>
      </c>
    </row>
    <row r="11" spans="1:7">
      <c r="A11" s="5" t="s">
        <v>325</v>
      </c>
      <c r="B11" s="7">
        <v>10</v>
      </c>
      <c r="C11" s="7">
        <v>24</v>
      </c>
      <c r="D11" s="7">
        <v>67</v>
      </c>
      <c r="E11" s="7">
        <v>1903</v>
      </c>
      <c r="F11" s="7">
        <v>77</v>
      </c>
      <c r="G11" s="7">
        <v>1927</v>
      </c>
    </row>
    <row r="12" spans="1:7">
      <c r="A12" s="5" t="s">
        <v>326</v>
      </c>
      <c r="B12" s="7">
        <v>7</v>
      </c>
      <c r="C12" s="7">
        <v>10</v>
      </c>
      <c r="D12" s="7">
        <v>48</v>
      </c>
      <c r="E12" s="7">
        <v>2329</v>
      </c>
      <c r="F12" s="7">
        <v>55</v>
      </c>
      <c r="G12" s="7">
        <v>2339</v>
      </c>
    </row>
    <row r="13" spans="1:7">
      <c r="A13" s="5" t="s">
        <v>327</v>
      </c>
      <c r="B13" s="7">
        <v>9</v>
      </c>
      <c r="C13" s="7">
        <v>17</v>
      </c>
      <c r="D13" s="7">
        <v>48</v>
      </c>
      <c r="E13" s="7">
        <v>850</v>
      </c>
      <c r="F13" s="7">
        <v>57</v>
      </c>
      <c r="G13" s="7">
        <v>867</v>
      </c>
    </row>
    <row r="14" spans="1:7">
      <c r="A14" s="4" t="s">
        <v>145</v>
      </c>
      <c r="B14" s="11">
        <f>SUM(B5:B13)</f>
        <v>156</v>
      </c>
      <c r="C14" s="11">
        <f>SUM(C5:C13)</f>
        <v>461</v>
      </c>
      <c r="D14" s="11">
        <f>SUM(D5:D13)</f>
        <v>418</v>
      </c>
      <c r="E14" s="11">
        <f>SUM(E5:E13)</f>
        <v>15741</v>
      </c>
      <c r="F14" s="11">
        <f>SUM(F5:F13)</f>
        <v>574</v>
      </c>
      <c r="G14" s="11">
        <f>SUM(G5:G13)</f>
        <v>16202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ED7D31"/>
  </sheetPr>
  <dimension ref="A1:N52"/>
  <sheetViews>
    <sheetView workbookViewId="0"/>
  </sheetViews>
  <sheetFormatPr defaultRowHeight="15"/>
  <cols>
    <col min="1" max="13" width="14.7109375" customWidth="1"/>
  </cols>
  <sheetData>
    <row r="1" spans="1:14" ht="26" customHeight="1">
      <c r="A1" s="1" t="s">
        <v>328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41" spans="1:9">
      <c r="A41" s="3" t="s">
        <v>329</v>
      </c>
      <c r="E41" s="3" t="s">
        <v>330</v>
      </c>
      <c r="H41" s="3" t="s">
        <v>331</v>
      </c>
    </row>
    <row r="42" spans="1:9">
      <c r="A42" s="6" t="s">
        <v>13</v>
      </c>
      <c r="B42" s="6" t="s">
        <v>17</v>
      </c>
      <c r="C42" s="6" t="s">
        <v>18</v>
      </c>
      <c r="E42" s="6" t="s">
        <v>34</v>
      </c>
      <c r="F42" s="6" t="s">
        <v>142</v>
      </c>
      <c r="H42" s="6" t="s">
        <v>34</v>
      </c>
      <c r="I42" s="6" t="s">
        <v>21</v>
      </c>
    </row>
    <row r="43" spans="1:9">
      <c r="A43" s="5" t="s">
        <v>3</v>
      </c>
      <c r="B43" s="9">
        <v>0.8782051282051282</v>
      </c>
      <c r="C43" s="9">
        <v>0.1217948717948718</v>
      </c>
      <c r="E43" s="5" t="s">
        <v>39</v>
      </c>
      <c r="F43" s="7">
        <v>5200</v>
      </c>
      <c r="H43" s="5" t="s">
        <v>185</v>
      </c>
      <c r="I43" s="7">
        <v>26</v>
      </c>
    </row>
    <row r="44" spans="1:9">
      <c r="A44" s="5" t="s">
        <v>6</v>
      </c>
      <c r="B44" s="9">
        <v>0.7990430622009569</v>
      </c>
      <c r="C44" s="9">
        <v>0.2009569377990431</v>
      </c>
      <c r="E44" s="5" t="s">
        <v>41</v>
      </c>
      <c r="F44" s="7">
        <v>2770</v>
      </c>
      <c r="H44" s="5" t="s">
        <v>186</v>
      </c>
      <c r="I44" s="7">
        <v>20</v>
      </c>
    </row>
    <row r="45" spans="1:9">
      <c r="A45" s="5" t="s">
        <v>23</v>
      </c>
      <c r="B45" s="9">
        <v>0.8205574912891986</v>
      </c>
      <c r="C45" s="9">
        <v>0.1794425087108014</v>
      </c>
      <c r="E45" s="5" t="s">
        <v>42</v>
      </c>
      <c r="F45" s="7">
        <v>2460</v>
      </c>
      <c r="H45" s="5" t="s">
        <v>187</v>
      </c>
      <c r="I45" s="7">
        <v>15</v>
      </c>
    </row>
    <row r="46" spans="1:9">
      <c r="E46" s="5" t="s">
        <v>43</v>
      </c>
      <c r="F46" s="7">
        <v>1210</v>
      </c>
      <c r="H46" s="5" t="s">
        <v>188</v>
      </c>
      <c r="I46" s="7">
        <v>6</v>
      </c>
    </row>
    <row r="47" spans="1:9">
      <c r="E47" s="5" t="s">
        <v>44</v>
      </c>
      <c r="F47" s="7">
        <v>800</v>
      </c>
      <c r="H47" s="5" t="s">
        <v>189</v>
      </c>
      <c r="I47" s="7">
        <v>12</v>
      </c>
    </row>
    <row r="48" spans="1:9">
      <c r="E48" s="5" t="s">
        <v>45</v>
      </c>
      <c r="F48" s="7">
        <v>550</v>
      </c>
      <c r="H48" s="5" t="s">
        <v>46</v>
      </c>
      <c r="I48" s="7">
        <v>140</v>
      </c>
    </row>
    <row r="49" spans="5:9">
      <c r="E49" s="5" t="s">
        <v>46</v>
      </c>
      <c r="F49" s="7">
        <v>530</v>
      </c>
      <c r="H49" s="5" t="s">
        <v>190</v>
      </c>
      <c r="I49" s="7">
        <v>7</v>
      </c>
    </row>
    <row r="50" spans="5:9">
      <c r="E50" s="5" t="s">
        <v>48</v>
      </c>
      <c r="F50" s="7">
        <v>438</v>
      </c>
      <c r="H50" s="5" t="s">
        <v>191</v>
      </c>
      <c r="I50" s="7">
        <v>6</v>
      </c>
    </row>
    <row r="51" spans="5:9">
      <c r="E51" s="5" t="s">
        <v>49</v>
      </c>
      <c r="F51" s="7">
        <v>400</v>
      </c>
      <c r="H51" s="5" t="s">
        <v>192</v>
      </c>
      <c r="I51" s="7">
        <v>6</v>
      </c>
    </row>
    <row r="52" spans="5:9">
      <c r="E52" s="5" t="s">
        <v>50</v>
      </c>
      <c r="F52" s="7">
        <v>301</v>
      </c>
      <c r="H52" s="5" t="s">
        <v>193</v>
      </c>
      <c r="I52" s="7">
        <v>5</v>
      </c>
    </row>
  </sheetData>
  <mergeCells count="1">
    <mergeCell ref="A1:N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404040"/>
  </sheetPr>
  <dimension ref="A1:N160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11.7109375" customWidth="1"/>
    <col min="3" max="3" width="10.7109375" customWidth="1"/>
    <col min="4" max="4" width="9.7109375" customWidth="1"/>
    <col min="5" max="5" width="17.7109375" customWidth="1"/>
    <col min="6" max="6" width="22.7109375" customWidth="1"/>
    <col min="7" max="7" width="36.7109375" customWidth="1"/>
    <col min="8" max="8" width="22.7109375" customWidth="1"/>
    <col min="9" max="9" width="24.7109375" customWidth="1"/>
    <col min="10" max="10" width="10.7109375" customWidth="1"/>
    <col min="11" max="11" width="14.7109375" customWidth="1"/>
    <col min="12" max="13" width="13.7109375" customWidth="1"/>
    <col min="14" max="14" width="28.7109375" customWidth="1"/>
  </cols>
  <sheetData>
    <row r="1" spans="1:14" ht="26" customHeight="1">
      <c r="A1" s="1" t="s">
        <v>332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2" customHeight="1">
      <c r="A2" s="2" t="s">
        <v>333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A4" s="6" t="s">
        <v>334</v>
      </c>
      <c r="B4" s="6" t="s">
        <v>335</v>
      </c>
      <c r="C4" s="6" t="s">
        <v>171</v>
      </c>
      <c r="D4" s="6" t="s">
        <v>156</v>
      </c>
      <c r="E4" s="6" t="s">
        <v>157</v>
      </c>
      <c r="F4" s="6" t="s">
        <v>336</v>
      </c>
      <c r="G4" s="6" t="s">
        <v>337</v>
      </c>
      <c r="H4" s="6" t="s">
        <v>338</v>
      </c>
      <c r="I4" s="6" t="s">
        <v>339</v>
      </c>
      <c r="J4" s="6" t="s">
        <v>340</v>
      </c>
      <c r="K4" s="6" t="s">
        <v>341</v>
      </c>
      <c r="L4" s="6" t="s">
        <v>144</v>
      </c>
      <c r="M4" s="6" t="s">
        <v>342</v>
      </c>
      <c r="N4" s="6" t="s">
        <v>343</v>
      </c>
    </row>
    <row r="5" spans="1:14">
      <c r="A5" s="24">
        <v>46182</v>
      </c>
      <c r="B5" s="5" t="s">
        <v>319</v>
      </c>
      <c r="C5" s="5" t="s">
        <v>179</v>
      </c>
      <c r="D5" s="5" t="s">
        <v>3</v>
      </c>
      <c r="E5" s="5" t="s">
        <v>158</v>
      </c>
      <c r="F5" s="5" t="s">
        <v>344</v>
      </c>
      <c r="G5" s="5" t="s">
        <v>220</v>
      </c>
      <c r="H5" s="5"/>
      <c r="I5" s="5" t="s">
        <v>40</v>
      </c>
      <c r="J5" s="7">
        <v>1</v>
      </c>
      <c r="K5" s="5" t="s">
        <v>345</v>
      </c>
      <c r="L5" s="5" t="s">
        <v>149</v>
      </c>
      <c r="M5" s="16" t="s">
        <v>148</v>
      </c>
      <c r="N5" s="5"/>
    </row>
    <row r="6" spans="1:14">
      <c r="A6" s="25">
        <v>46182</v>
      </c>
      <c r="B6" s="18" t="s">
        <v>319</v>
      </c>
      <c r="C6" s="18" t="s">
        <v>179</v>
      </c>
      <c r="D6" s="18" t="s">
        <v>3</v>
      </c>
      <c r="E6" s="18" t="s">
        <v>158</v>
      </c>
      <c r="F6" s="18" t="s">
        <v>344</v>
      </c>
      <c r="G6" s="18" t="s">
        <v>48</v>
      </c>
      <c r="H6" s="18"/>
      <c r="I6" s="18" t="s">
        <v>47</v>
      </c>
      <c r="J6" s="19">
        <v>1</v>
      </c>
      <c r="K6" s="18" t="s">
        <v>345</v>
      </c>
      <c r="L6" s="18" t="s">
        <v>149</v>
      </c>
      <c r="M6" s="16" t="s">
        <v>148</v>
      </c>
      <c r="N6" s="18"/>
    </row>
    <row r="7" spans="1:14">
      <c r="A7" s="24">
        <v>46182</v>
      </c>
      <c r="B7" s="5" t="s">
        <v>319</v>
      </c>
      <c r="C7" s="5" t="s">
        <v>179</v>
      </c>
      <c r="D7" s="5" t="s">
        <v>3</v>
      </c>
      <c r="E7" s="5" t="s">
        <v>158</v>
      </c>
      <c r="F7" s="5" t="s">
        <v>344</v>
      </c>
      <c r="G7" s="5" t="s">
        <v>223</v>
      </c>
      <c r="H7" s="5"/>
      <c r="I7" s="5" t="s">
        <v>40</v>
      </c>
      <c r="J7" s="7">
        <v>1</v>
      </c>
      <c r="K7" s="5" t="s">
        <v>345</v>
      </c>
      <c r="L7" s="5" t="s">
        <v>149</v>
      </c>
      <c r="M7" s="16" t="s">
        <v>148</v>
      </c>
      <c r="N7" s="5"/>
    </row>
    <row r="8" spans="1:14">
      <c r="A8" s="25">
        <v>46182</v>
      </c>
      <c r="B8" s="18" t="s">
        <v>319</v>
      </c>
      <c r="C8" s="18" t="s">
        <v>179</v>
      </c>
      <c r="D8" s="18" t="s">
        <v>3</v>
      </c>
      <c r="E8" s="18" t="s">
        <v>158</v>
      </c>
      <c r="F8" s="18" t="s">
        <v>344</v>
      </c>
      <c r="G8" s="18" t="s">
        <v>220</v>
      </c>
      <c r="H8" s="18"/>
      <c r="I8" s="18" t="s">
        <v>40</v>
      </c>
      <c r="J8" s="19">
        <v>1</v>
      </c>
      <c r="K8" s="18" t="s">
        <v>345</v>
      </c>
      <c r="L8" s="18" t="s">
        <v>149</v>
      </c>
      <c r="M8" s="16" t="s">
        <v>148</v>
      </c>
      <c r="N8" s="18"/>
    </row>
    <row r="9" spans="1:14">
      <c r="A9" s="24">
        <v>46182</v>
      </c>
      <c r="B9" s="5" t="s">
        <v>319</v>
      </c>
      <c r="C9" s="5" t="s">
        <v>179</v>
      </c>
      <c r="D9" s="5" t="s">
        <v>3</v>
      </c>
      <c r="E9" s="5" t="s">
        <v>158</v>
      </c>
      <c r="F9" s="5" t="s">
        <v>344</v>
      </c>
      <c r="G9" s="5" t="s">
        <v>217</v>
      </c>
      <c r="H9" s="5"/>
      <c r="I9" s="5" t="s">
        <v>216</v>
      </c>
      <c r="J9" s="7">
        <v>1</v>
      </c>
      <c r="K9" s="5" t="s">
        <v>345</v>
      </c>
      <c r="L9" s="5" t="s">
        <v>149</v>
      </c>
      <c r="M9" s="16" t="s">
        <v>148</v>
      </c>
      <c r="N9" s="5"/>
    </row>
    <row r="10" spans="1:14">
      <c r="A10" s="25">
        <v>46182</v>
      </c>
      <c r="B10" s="18" t="s">
        <v>319</v>
      </c>
      <c r="C10" s="18" t="s">
        <v>179</v>
      </c>
      <c r="D10" s="18" t="s">
        <v>3</v>
      </c>
      <c r="E10" s="18" t="s">
        <v>158</v>
      </c>
      <c r="F10" s="18" t="s">
        <v>344</v>
      </c>
      <c r="G10" s="18" t="s">
        <v>244</v>
      </c>
      <c r="H10" s="18"/>
      <c r="I10" s="18" t="s">
        <v>40</v>
      </c>
      <c r="J10" s="19">
        <v>1</v>
      </c>
      <c r="K10" s="18" t="s">
        <v>345</v>
      </c>
      <c r="L10" s="18" t="s">
        <v>149</v>
      </c>
      <c r="M10" s="16" t="s">
        <v>148</v>
      </c>
      <c r="N10" s="18"/>
    </row>
    <row r="11" spans="1:14">
      <c r="A11" s="24">
        <v>46182</v>
      </c>
      <c r="B11" s="5" t="s">
        <v>319</v>
      </c>
      <c r="C11" s="5" t="s">
        <v>179</v>
      </c>
      <c r="D11" s="5" t="s">
        <v>3</v>
      </c>
      <c r="E11" s="5" t="s">
        <v>160</v>
      </c>
      <c r="F11" s="5" t="s">
        <v>346</v>
      </c>
      <c r="G11" s="5" t="s">
        <v>236</v>
      </c>
      <c r="H11" s="5"/>
      <c r="I11" s="5" t="s">
        <v>40</v>
      </c>
      <c r="J11" s="7">
        <v>3</v>
      </c>
      <c r="K11" s="5" t="s">
        <v>345</v>
      </c>
      <c r="L11" s="5" t="s">
        <v>149</v>
      </c>
      <c r="M11" s="16" t="s">
        <v>148</v>
      </c>
      <c r="N11" s="5"/>
    </row>
    <row r="12" spans="1:14">
      <c r="A12" s="25">
        <v>46182</v>
      </c>
      <c r="B12" s="18" t="s">
        <v>319</v>
      </c>
      <c r="C12" s="18" t="s">
        <v>179</v>
      </c>
      <c r="D12" s="18" t="s">
        <v>3</v>
      </c>
      <c r="E12" s="18" t="s">
        <v>160</v>
      </c>
      <c r="F12" s="18" t="s">
        <v>346</v>
      </c>
      <c r="G12" s="18" t="s">
        <v>235</v>
      </c>
      <c r="H12" s="18"/>
      <c r="I12" s="18" t="s">
        <v>47</v>
      </c>
      <c r="J12" s="19">
        <v>3</v>
      </c>
      <c r="K12" s="18" t="s">
        <v>345</v>
      </c>
      <c r="L12" s="18" t="s">
        <v>149</v>
      </c>
      <c r="M12" s="16" t="s">
        <v>148</v>
      </c>
      <c r="N12" s="18"/>
    </row>
    <row r="13" spans="1:14">
      <c r="A13" s="24">
        <v>46182</v>
      </c>
      <c r="B13" s="5" t="s">
        <v>319</v>
      </c>
      <c r="C13" s="5" t="s">
        <v>179</v>
      </c>
      <c r="D13" s="5" t="s">
        <v>3</v>
      </c>
      <c r="E13" s="5" t="s">
        <v>160</v>
      </c>
      <c r="F13" s="5" t="s">
        <v>346</v>
      </c>
      <c r="G13" s="5" t="s">
        <v>238</v>
      </c>
      <c r="H13" s="5"/>
      <c r="I13" s="5" t="s">
        <v>47</v>
      </c>
      <c r="J13" s="7">
        <v>3</v>
      </c>
      <c r="K13" s="5" t="s">
        <v>345</v>
      </c>
      <c r="L13" s="5" t="s">
        <v>149</v>
      </c>
      <c r="M13" s="16" t="s">
        <v>148</v>
      </c>
      <c r="N13" s="5"/>
    </row>
    <row r="14" spans="1:14">
      <c r="A14" s="25">
        <v>46182</v>
      </c>
      <c r="B14" s="18" t="s">
        <v>319</v>
      </c>
      <c r="C14" s="18" t="s">
        <v>179</v>
      </c>
      <c r="D14" s="18" t="s">
        <v>3</v>
      </c>
      <c r="E14" s="18" t="s">
        <v>160</v>
      </c>
      <c r="F14" s="18" t="s">
        <v>346</v>
      </c>
      <c r="G14" s="18" t="s">
        <v>254</v>
      </c>
      <c r="H14" s="18"/>
      <c r="I14" s="18" t="s">
        <v>47</v>
      </c>
      <c r="J14" s="19">
        <v>1</v>
      </c>
      <c r="K14" s="18" t="s">
        <v>345</v>
      </c>
      <c r="L14" s="18" t="s">
        <v>149</v>
      </c>
      <c r="M14" s="16" t="s">
        <v>148</v>
      </c>
      <c r="N14" s="18"/>
    </row>
    <row r="15" spans="1:14">
      <c r="A15" s="24">
        <v>46182</v>
      </c>
      <c r="B15" s="5" t="s">
        <v>319</v>
      </c>
      <c r="C15" s="5" t="s">
        <v>179</v>
      </c>
      <c r="D15" s="5" t="s">
        <v>3</v>
      </c>
      <c r="E15" s="5" t="s">
        <v>160</v>
      </c>
      <c r="F15" s="5" t="s">
        <v>346</v>
      </c>
      <c r="G15" s="5" t="s">
        <v>230</v>
      </c>
      <c r="H15" s="5"/>
      <c r="I15" s="5" t="s">
        <v>47</v>
      </c>
      <c r="J15" s="7">
        <v>3</v>
      </c>
      <c r="K15" s="5" t="s">
        <v>345</v>
      </c>
      <c r="L15" s="5" t="s">
        <v>149</v>
      </c>
      <c r="M15" s="16" t="s">
        <v>148</v>
      </c>
      <c r="N15" s="5"/>
    </row>
    <row r="16" spans="1:14">
      <c r="A16" s="25">
        <v>46182</v>
      </c>
      <c r="B16" s="18" t="s">
        <v>319</v>
      </c>
      <c r="C16" s="18" t="s">
        <v>179</v>
      </c>
      <c r="D16" s="18" t="s">
        <v>3</v>
      </c>
      <c r="E16" s="18" t="s">
        <v>160</v>
      </c>
      <c r="F16" s="18" t="s">
        <v>346</v>
      </c>
      <c r="G16" s="18" t="s">
        <v>190</v>
      </c>
      <c r="H16" s="18"/>
      <c r="I16" s="18" t="s">
        <v>47</v>
      </c>
      <c r="J16" s="19">
        <v>3</v>
      </c>
      <c r="K16" s="18" t="s">
        <v>345</v>
      </c>
      <c r="L16" s="18" t="s">
        <v>149</v>
      </c>
      <c r="M16" s="16" t="s">
        <v>148</v>
      </c>
      <c r="N16" s="18"/>
    </row>
    <row r="17" spans="1:14">
      <c r="A17" s="24">
        <v>46182</v>
      </c>
      <c r="B17" s="5" t="s">
        <v>319</v>
      </c>
      <c r="C17" s="5" t="s">
        <v>179</v>
      </c>
      <c r="D17" s="5" t="s">
        <v>3</v>
      </c>
      <c r="E17" s="5" t="s">
        <v>160</v>
      </c>
      <c r="F17" s="5" t="s">
        <v>346</v>
      </c>
      <c r="G17" s="5" t="s">
        <v>46</v>
      </c>
      <c r="H17" s="5"/>
      <c r="I17" s="5" t="s">
        <v>47</v>
      </c>
      <c r="J17" s="7">
        <v>25</v>
      </c>
      <c r="K17" s="5" t="s">
        <v>345</v>
      </c>
      <c r="L17" s="5" t="s">
        <v>149</v>
      </c>
      <c r="M17" s="16" t="s">
        <v>148</v>
      </c>
      <c r="N17" s="5"/>
    </row>
    <row r="18" spans="1:14">
      <c r="A18" s="25">
        <v>46182</v>
      </c>
      <c r="B18" s="18" t="s">
        <v>319</v>
      </c>
      <c r="C18" s="18" t="s">
        <v>179</v>
      </c>
      <c r="D18" s="18" t="s">
        <v>3</v>
      </c>
      <c r="E18" s="18" t="s">
        <v>160</v>
      </c>
      <c r="F18" s="18" t="s">
        <v>346</v>
      </c>
      <c r="G18" s="18" t="s">
        <v>48</v>
      </c>
      <c r="H18" s="18"/>
      <c r="I18" s="18" t="s">
        <v>47</v>
      </c>
      <c r="J18" s="19">
        <v>25</v>
      </c>
      <c r="K18" s="18" t="s">
        <v>345</v>
      </c>
      <c r="L18" s="18" t="s">
        <v>149</v>
      </c>
      <c r="M18" s="16" t="s">
        <v>148</v>
      </c>
      <c r="N18" s="18"/>
    </row>
    <row r="19" spans="1:14">
      <c r="A19" s="24">
        <v>46182</v>
      </c>
      <c r="B19" s="5" t="s">
        <v>319</v>
      </c>
      <c r="C19" s="5" t="s">
        <v>179</v>
      </c>
      <c r="D19" s="5" t="s">
        <v>3</v>
      </c>
      <c r="E19" s="5" t="s">
        <v>3</v>
      </c>
      <c r="F19" s="5" t="s">
        <v>347</v>
      </c>
      <c r="G19" s="5" t="s">
        <v>242</v>
      </c>
      <c r="H19" s="5"/>
      <c r="I19" s="5" t="s">
        <v>216</v>
      </c>
      <c r="J19" s="7">
        <v>1</v>
      </c>
      <c r="K19" s="5" t="s">
        <v>153</v>
      </c>
      <c r="L19" s="5" t="s">
        <v>153</v>
      </c>
      <c r="M19" s="17" t="s">
        <v>153</v>
      </c>
      <c r="N19" s="5"/>
    </row>
    <row r="20" spans="1:14">
      <c r="A20" s="25">
        <v>46182</v>
      </c>
      <c r="B20" s="18" t="s">
        <v>319</v>
      </c>
      <c r="C20" s="18" t="s">
        <v>179</v>
      </c>
      <c r="D20" s="18" t="s">
        <v>3</v>
      </c>
      <c r="E20" s="18" t="s">
        <v>3</v>
      </c>
      <c r="F20" s="18" t="s">
        <v>348</v>
      </c>
      <c r="G20" s="18" t="s">
        <v>261</v>
      </c>
      <c r="H20" s="18"/>
      <c r="I20" s="18" t="s">
        <v>216</v>
      </c>
      <c r="J20" s="19">
        <v>1</v>
      </c>
      <c r="K20" s="18" t="s">
        <v>345</v>
      </c>
      <c r="L20" s="18" t="s">
        <v>149</v>
      </c>
      <c r="M20" s="16" t="s">
        <v>148</v>
      </c>
      <c r="N20" s="18"/>
    </row>
    <row r="21" spans="1:14">
      <c r="A21" s="24">
        <v>46182</v>
      </c>
      <c r="B21" s="5" t="s">
        <v>319</v>
      </c>
      <c r="C21" s="5" t="s">
        <v>179</v>
      </c>
      <c r="D21" s="5" t="s">
        <v>3</v>
      </c>
      <c r="E21" s="5" t="s">
        <v>3</v>
      </c>
      <c r="F21" s="5" t="s">
        <v>349</v>
      </c>
      <c r="G21" s="5" t="s">
        <v>48</v>
      </c>
      <c r="H21" s="5"/>
      <c r="I21" s="5" t="s">
        <v>47</v>
      </c>
      <c r="J21" s="7">
        <v>2</v>
      </c>
      <c r="K21" s="5" t="s">
        <v>345</v>
      </c>
      <c r="L21" s="5" t="s">
        <v>149</v>
      </c>
      <c r="M21" s="16" t="s">
        <v>148</v>
      </c>
      <c r="N21" s="5"/>
    </row>
    <row r="22" spans="1:14">
      <c r="A22" s="25">
        <v>46182</v>
      </c>
      <c r="B22" s="18" t="s">
        <v>319</v>
      </c>
      <c r="C22" s="18" t="s">
        <v>179</v>
      </c>
      <c r="D22" s="18" t="s">
        <v>3</v>
      </c>
      <c r="E22" s="18" t="s">
        <v>3</v>
      </c>
      <c r="F22" s="18" t="s">
        <v>350</v>
      </c>
      <c r="G22" s="18" t="s">
        <v>220</v>
      </c>
      <c r="H22" s="18"/>
      <c r="I22" s="18" t="s">
        <v>40</v>
      </c>
      <c r="J22" s="19">
        <v>1</v>
      </c>
      <c r="K22" s="18" t="s">
        <v>345</v>
      </c>
      <c r="L22" s="18" t="s">
        <v>149</v>
      </c>
      <c r="M22" s="16" t="s">
        <v>148</v>
      </c>
      <c r="N22" s="18"/>
    </row>
    <row r="23" spans="1:14">
      <c r="A23" s="24">
        <v>46183</v>
      </c>
      <c r="B23" s="5" t="s">
        <v>319</v>
      </c>
      <c r="C23" s="5" t="s">
        <v>179</v>
      </c>
      <c r="D23" s="5" t="s">
        <v>3</v>
      </c>
      <c r="E23" s="5" t="s">
        <v>158</v>
      </c>
      <c r="F23" s="5" t="s">
        <v>344</v>
      </c>
      <c r="G23" s="5" t="s">
        <v>220</v>
      </c>
      <c r="H23" s="5"/>
      <c r="I23" s="5" t="s">
        <v>40</v>
      </c>
      <c r="J23" s="7">
        <v>6</v>
      </c>
      <c r="K23" s="5" t="s">
        <v>345</v>
      </c>
      <c r="L23" s="5" t="s">
        <v>149</v>
      </c>
      <c r="M23" s="16" t="s">
        <v>148</v>
      </c>
      <c r="N23" s="5"/>
    </row>
    <row r="24" spans="1:14">
      <c r="A24" s="25">
        <v>46183</v>
      </c>
      <c r="B24" s="18" t="s">
        <v>319</v>
      </c>
      <c r="C24" s="18" t="s">
        <v>179</v>
      </c>
      <c r="D24" s="18" t="s">
        <v>3</v>
      </c>
      <c r="E24" s="18" t="s">
        <v>158</v>
      </c>
      <c r="F24" s="18" t="s">
        <v>344</v>
      </c>
      <c r="G24" s="18" t="s">
        <v>227</v>
      </c>
      <c r="H24" s="18"/>
      <c r="I24" s="18" t="s">
        <v>216</v>
      </c>
      <c r="J24" s="19">
        <v>1</v>
      </c>
      <c r="K24" s="18" t="s">
        <v>345</v>
      </c>
      <c r="L24" s="18" t="s">
        <v>149</v>
      </c>
      <c r="M24" s="16" t="s">
        <v>148</v>
      </c>
      <c r="N24" s="18"/>
    </row>
    <row r="25" spans="1:14">
      <c r="A25" s="24">
        <v>46183</v>
      </c>
      <c r="B25" s="5" t="s">
        <v>319</v>
      </c>
      <c r="C25" s="5" t="s">
        <v>179</v>
      </c>
      <c r="D25" s="5" t="s">
        <v>3</v>
      </c>
      <c r="E25" s="5" t="s">
        <v>158</v>
      </c>
      <c r="F25" s="5" t="s">
        <v>344</v>
      </c>
      <c r="G25" s="5" t="s">
        <v>248</v>
      </c>
      <c r="H25" s="5"/>
      <c r="I25" s="5" t="s">
        <v>216</v>
      </c>
      <c r="J25" s="7">
        <v>1</v>
      </c>
      <c r="K25" s="5" t="s">
        <v>345</v>
      </c>
      <c r="L25" s="5" t="s">
        <v>149</v>
      </c>
      <c r="M25" s="16" t="s">
        <v>148</v>
      </c>
      <c r="N25" s="5"/>
    </row>
    <row r="26" spans="1:14">
      <c r="A26" s="25">
        <v>46183</v>
      </c>
      <c r="B26" s="18" t="s">
        <v>319</v>
      </c>
      <c r="C26" s="18" t="s">
        <v>179</v>
      </c>
      <c r="D26" s="18" t="s">
        <v>3</v>
      </c>
      <c r="E26" s="18" t="s">
        <v>160</v>
      </c>
      <c r="F26" s="18" t="s">
        <v>346</v>
      </c>
      <c r="G26" s="18" t="s">
        <v>185</v>
      </c>
      <c r="H26" s="18"/>
      <c r="I26" s="18" t="s">
        <v>47</v>
      </c>
      <c r="J26" s="19">
        <v>2</v>
      </c>
      <c r="K26" s="18" t="s">
        <v>345</v>
      </c>
      <c r="L26" s="18" t="s">
        <v>149</v>
      </c>
      <c r="M26" s="16" t="s">
        <v>148</v>
      </c>
      <c r="N26" s="18"/>
    </row>
    <row r="27" spans="1:14">
      <c r="A27" s="24">
        <v>46183</v>
      </c>
      <c r="B27" s="5" t="s">
        <v>319</v>
      </c>
      <c r="C27" s="5" t="s">
        <v>179</v>
      </c>
      <c r="D27" s="5" t="s">
        <v>3</v>
      </c>
      <c r="E27" s="5" t="s">
        <v>3</v>
      </c>
      <c r="F27" s="5" t="s">
        <v>351</v>
      </c>
      <c r="G27" s="5" t="s">
        <v>243</v>
      </c>
      <c r="H27" s="5"/>
      <c r="I27" s="5" t="s">
        <v>216</v>
      </c>
      <c r="J27" s="7">
        <v>1</v>
      </c>
      <c r="K27" s="5" t="s">
        <v>345</v>
      </c>
      <c r="L27" s="5" t="s">
        <v>149</v>
      </c>
      <c r="M27" s="16" t="s">
        <v>148</v>
      </c>
      <c r="N27" s="5"/>
    </row>
    <row r="28" spans="1:14">
      <c r="A28" s="25">
        <v>46183</v>
      </c>
      <c r="B28" s="18" t="s">
        <v>319</v>
      </c>
      <c r="C28" s="18" t="s">
        <v>179</v>
      </c>
      <c r="D28" s="18" t="s">
        <v>3</v>
      </c>
      <c r="E28" s="18" t="s">
        <v>3</v>
      </c>
      <c r="F28" s="18" t="s">
        <v>351</v>
      </c>
      <c r="G28" s="18" t="s">
        <v>251</v>
      </c>
      <c r="H28" s="18"/>
      <c r="I28" s="18" t="s">
        <v>216</v>
      </c>
      <c r="J28" s="19">
        <v>1</v>
      </c>
      <c r="K28" s="18" t="s">
        <v>345</v>
      </c>
      <c r="L28" s="18" t="s">
        <v>149</v>
      </c>
      <c r="M28" s="16" t="s">
        <v>148</v>
      </c>
      <c r="N28" s="18"/>
    </row>
    <row r="29" spans="1:14">
      <c r="A29" s="24">
        <v>46183</v>
      </c>
      <c r="B29" s="5" t="s">
        <v>319</v>
      </c>
      <c r="C29" s="5" t="s">
        <v>179</v>
      </c>
      <c r="D29" s="5" t="s">
        <v>3</v>
      </c>
      <c r="E29" s="5" t="s">
        <v>3</v>
      </c>
      <c r="F29" s="5" t="s">
        <v>349</v>
      </c>
      <c r="G29" s="5" t="s">
        <v>48</v>
      </c>
      <c r="H29" s="5"/>
      <c r="I29" s="5" t="s">
        <v>47</v>
      </c>
      <c r="J29" s="7">
        <v>2</v>
      </c>
      <c r="K29" s="5" t="s">
        <v>345</v>
      </c>
      <c r="L29" s="5" t="s">
        <v>149</v>
      </c>
      <c r="M29" s="16" t="s">
        <v>148</v>
      </c>
      <c r="N29" s="5"/>
    </row>
    <row r="30" spans="1:14">
      <c r="A30" s="25">
        <v>46183</v>
      </c>
      <c r="B30" s="18" t="s">
        <v>319</v>
      </c>
      <c r="C30" s="18" t="s">
        <v>179</v>
      </c>
      <c r="D30" s="18" t="s">
        <v>3</v>
      </c>
      <c r="E30" s="18" t="s">
        <v>3</v>
      </c>
      <c r="F30" s="18" t="s">
        <v>349</v>
      </c>
      <c r="G30" s="18" t="s">
        <v>227</v>
      </c>
      <c r="H30" s="18"/>
      <c r="I30" s="18" t="s">
        <v>216</v>
      </c>
      <c r="J30" s="19">
        <v>1</v>
      </c>
      <c r="K30" s="18" t="s">
        <v>345</v>
      </c>
      <c r="L30" s="18" t="s">
        <v>149</v>
      </c>
      <c r="M30" s="16" t="s">
        <v>148</v>
      </c>
      <c r="N30" s="18"/>
    </row>
    <row r="31" spans="1:14">
      <c r="A31" s="24">
        <v>46183</v>
      </c>
      <c r="B31" s="5" t="s">
        <v>319</v>
      </c>
      <c r="C31" s="5" t="s">
        <v>179</v>
      </c>
      <c r="D31" s="5" t="s">
        <v>3</v>
      </c>
      <c r="E31" s="5" t="s">
        <v>3</v>
      </c>
      <c r="F31" s="5" t="s">
        <v>349</v>
      </c>
      <c r="G31" s="5" t="s">
        <v>237</v>
      </c>
      <c r="H31" s="5"/>
      <c r="I31" s="5" t="s">
        <v>216</v>
      </c>
      <c r="J31" s="7">
        <v>1</v>
      </c>
      <c r="K31" s="5" t="s">
        <v>345</v>
      </c>
      <c r="L31" s="5" t="s">
        <v>149</v>
      </c>
      <c r="M31" s="16" t="s">
        <v>148</v>
      </c>
      <c r="N31" s="5"/>
    </row>
    <row r="32" spans="1:14">
      <c r="A32" s="25">
        <v>46183</v>
      </c>
      <c r="B32" s="18" t="s">
        <v>319</v>
      </c>
      <c r="C32" s="18" t="s">
        <v>179</v>
      </c>
      <c r="D32" s="18" t="s">
        <v>3</v>
      </c>
      <c r="E32" s="18" t="s">
        <v>3</v>
      </c>
      <c r="F32" s="18" t="s">
        <v>349</v>
      </c>
      <c r="G32" s="18" t="s">
        <v>220</v>
      </c>
      <c r="H32" s="18"/>
      <c r="I32" s="18" t="s">
        <v>40</v>
      </c>
      <c r="J32" s="19">
        <v>1</v>
      </c>
      <c r="K32" s="18" t="s">
        <v>345</v>
      </c>
      <c r="L32" s="18" t="s">
        <v>149</v>
      </c>
      <c r="M32" s="16" t="s">
        <v>148</v>
      </c>
      <c r="N32" s="18"/>
    </row>
    <row r="33" spans="1:14">
      <c r="A33" s="24">
        <v>46184</v>
      </c>
      <c r="B33" s="5" t="s">
        <v>319</v>
      </c>
      <c r="C33" s="5" t="s">
        <v>179</v>
      </c>
      <c r="D33" s="5" t="s">
        <v>3</v>
      </c>
      <c r="E33" s="5" t="s">
        <v>158</v>
      </c>
      <c r="F33" s="5" t="s">
        <v>344</v>
      </c>
      <c r="G33" s="5" t="s">
        <v>220</v>
      </c>
      <c r="H33" s="5"/>
      <c r="I33" s="5" t="s">
        <v>40</v>
      </c>
      <c r="J33" s="7">
        <v>6</v>
      </c>
      <c r="K33" s="5" t="s">
        <v>345</v>
      </c>
      <c r="L33" s="5" t="s">
        <v>149</v>
      </c>
      <c r="M33" s="16" t="s">
        <v>148</v>
      </c>
      <c r="N33" s="5"/>
    </row>
    <row r="34" spans="1:14">
      <c r="A34" s="25">
        <v>46184</v>
      </c>
      <c r="B34" s="18" t="s">
        <v>319</v>
      </c>
      <c r="C34" s="18" t="s">
        <v>179</v>
      </c>
      <c r="D34" s="18" t="s">
        <v>3</v>
      </c>
      <c r="E34" s="18" t="s">
        <v>159</v>
      </c>
      <c r="F34" s="18" t="s">
        <v>352</v>
      </c>
      <c r="G34" s="18" t="s">
        <v>193</v>
      </c>
      <c r="H34" s="18"/>
      <c r="I34" s="18" t="s">
        <v>216</v>
      </c>
      <c r="J34" s="19">
        <v>2</v>
      </c>
      <c r="K34" s="18" t="s">
        <v>345</v>
      </c>
      <c r="L34" s="18" t="s">
        <v>149</v>
      </c>
      <c r="M34" s="16" t="s">
        <v>148</v>
      </c>
      <c r="N34" s="18"/>
    </row>
    <row r="35" spans="1:14">
      <c r="A35" s="24">
        <v>46184</v>
      </c>
      <c r="B35" s="5" t="s">
        <v>319</v>
      </c>
      <c r="C35" s="5" t="s">
        <v>179</v>
      </c>
      <c r="D35" s="5" t="s">
        <v>3</v>
      </c>
      <c r="E35" s="5" t="s">
        <v>159</v>
      </c>
      <c r="F35" s="5" t="s">
        <v>352</v>
      </c>
      <c r="G35" s="5" t="s">
        <v>217</v>
      </c>
      <c r="H35" s="5"/>
      <c r="I35" s="5" t="s">
        <v>216</v>
      </c>
      <c r="J35" s="7">
        <v>2</v>
      </c>
      <c r="K35" s="5" t="s">
        <v>345</v>
      </c>
      <c r="L35" s="5" t="s">
        <v>149</v>
      </c>
      <c r="M35" s="16" t="s">
        <v>148</v>
      </c>
      <c r="N35" s="5"/>
    </row>
    <row r="36" spans="1:14">
      <c r="A36" s="25">
        <v>46184</v>
      </c>
      <c r="B36" s="18" t="s">
        <v>319</v>
      </c>
      <c r="C36" s="18" t="s">
        <v>179</v>
      </c>
      <c r="D36" s="18" t="s">
        <v>3</v>
      </c>
      <c r="E36" s="18" t="s">
        <v>162</v>
      </c>
      <c r="F36" s="18" t="s">
        <v>353</v>
      </c>
      <c r="G36" s="18" t="s">
        <v>215</v>
      </c>
      <c r="H36" s="18"/>
      <c r="I36" s="18" t="s">
        <v>216</v>
      </c>
      <c r="J36" s="19">
        <v>3</v>
      </c>
      <c r="K36" s="18" t="s">
        <v>345</v>
      </c>
      <c r="L36" s="18" t="s">
        <v>149</v>
      </c>
      <c r="M36" s="16" t="s">
        <v>148</v>
      </c>
      <c r="N36" s="18"/>
    </row>
    <row r="37" spans="1:14">
      <c r="A37" s="24">
        <v>46184</v>
      </c>
      <c r="B37" s="5" t="s">
        <v>319</v>
      </c>
      <c r="C37" s="5" t="s">
        <v>179</v>
      </c>
      <c r="D37" s="5" t="s">
        <v>3</v>
      </c>
      <c r="E37" s="5" t="s">
        <v>3</v>
      </c>
      <c r="F37" s="5" t="s">
        <v>348</v>
      </c>
      <c r="G37" s="5" t="s">
        <v>260</v>
      </c>
      <c r="H37" s="5"/>
      <c r="I37" s="5" t="s">
        <v>40</v>
      </c>
      <c r="J37" s="7">
        <v>1</v>
      </c>
      <c r="K37" s="5" t="s">
        <v>153</v>
      </c>
      <c r="L37" s="5" t="s">
        <v>153</v>
      </c>
      <c r="M37" s="17" t="s">
        <v>153</v>
      </c>
      <c r="N37" s="5"/>
    </row>
    <row r="38" spans="1:14">
      <c r="A38" s="25">
        <v>46184</v>
      </c>
      <c r="B38" s="18" t="s">
        <v>319</v>
      </c>
      <c r="C38" s="18" t="s">
        <v>179</v>
      </c>
      <c r="D38" s="18" t="s">
        <v>3</v>
      </c>
      <c r="E38" s="18" t="s">
        <v>3</v>
      </c>
      <c r="F38" s="18" t="s">
        <v>354</v>
      </c>
      <c r="G38" s="18" t="s">
        <v>215</v>
      </c>
      <c r="H38" s="18"/>
      <c r="I38" s="18" t="s">
        <v>216</v>
      </c>
      <c r="J38" s="19">
        <v>12</v>
      </c>
      <c r="K38" s="18" t="s">
        <v>345</v>
      </c>
      <c r="L38" s="18" t="s">
        <v>149</v>
      </c>
      <c r="M38" s="16" t="s">
        <v>148</v>
      </c>
      <c r="N38" s="18"/>
    </row>
    <row r="39" spans="1:14">
      <c r="A39" s="24">
        <v>46184</v>
      </c>
      <c r="B39" s="5" t="s">
        <v>319</v>
      </c>
      <c r="C39" s="5" t="s">
        <v>179</v>
      </c>
      <c r="D39" s="5" t="s">
        <v>3</v>
      </c>
      <c r="E39" s="5" t="s">
        <v>3</v>
      </c>
      <c r="F39" s="5" t="s">
        <v>351</v>
      </c>
      <c r="G39" s="5" t="s">
        <v>48</v>
      </c>
      <c r="H39" s="5"/>
      <c r="I39" s="5" t="s">
        <v>47</v>
      </c>
      <c r="J39" s="7">
        <v>3</v>
      </c>
      <c r="K39" s="5" t="s">
        <v>345</v>
      </c>
      <c r="L39" s="5" t="s">
        <v>149</v>
      </c>
      <c r="M39" s="16" t="s">
        <v>148</v>
      </c>
      <c r="N39" s="5"/>
    </row>
    <row r="40" spans="1:14">
      <c r="A40" s="25">
        <v>46184</v>
      </c>
      <c r="B40" s="18" t="s">
        <v>319</v>
      </c>
      <c r="C40" s="18" t="s">
        <v>179</v>
      </c>
      <c r="D40" s="18" t="s">
        <v>3</v>
      </c>
      <c r="E40" s="18" t="s">
        <v>3</v>
      </c>
      <c r="F40" s="18" t="s">
        <v>351</v>
      </c>
      <c r="G40" s="18" t="s">
        <v>48</v>
      </c>
      <c r="H40" s="18"/>
      <c r="I40" s="18" t="s">
        <v>47</v>
      </c>
      <c r="J40" s="19">
        <v>2</v>
      </c>
      <c r="K40" s="18" t="s">
        <v>345</v>
      </c>
      <c r="L40" s="18" t="s">
        <v>149</v>
      </c>
      <c r="M40" s="16" t="s">
        <v>148</v>
      </c>
      <c r="N40" s="18"/>
    </row>
    <row r="41" spans="1:14">
      <c r="A41" s="24">
        <v>46184</v>
      </c>
      <c r="B41" s="5" t="s">
        <v>319</v>
      </c>
      <c r="C41" s="5" t="s">
        <v>179</v>
      </c>
      <c r="D41" s="5" t="s">
        <v>3</v>
      </c>
      <c r="E41" s="5" t="s">
        <v>3</v>
      </c>
      <c r="F41" s="5" t="s">
        <v>355</v>
      </c>
      <c r="G41" s="5" t="s">
        <v>231</v>
      </c>
      <c r="H41" s="5"/>
      <c r="I41" s="5" t="s">
        <v>40</v>
      </c>
      <c r="J41" s="7">
        <v>1</v>
      </c>
      <c r="K41" s="5" t="s">
        <v>345</v>
      </c>
      <c r="L41" s="5" t="s">
        <v>149</v>
      </c>
      <c r="M41" s="16" t="s">
        <v>148</v>
      </c>
      <c r="N41" s="5"/>
    </row>
    <row r="42" spans="1:14">
      <c r="A42" s="25">
        <v>46188</v>
      </c>
      <c r="B42" s="18" t="s">
        <v>320</v>
      </c>
      <c r="C42" s="18" t="s">
        <v>179</v>
      </c>
      <c r="D42" s="18" t="s">
        <v>3</v>
      </c>
      <c r="E42" s="18" t="s">
        <v>158</v>
      </c>
      <c r="F42" s="18" t="s">
        <v>356</v>
      </c>
      <c r="G42" s="18" t="s">
        <v>188</v>
      </c>
      <c r="H42" s="18"/>
      <c r="I42" s="18" t="s">
        <v>216</v>
      </c>
      <c r="J42" s="19">
        <v>1</v>
      </c>
      <c r="K42" s="18" t="s">
        <v>345</v>
      </c>
      <c r="L42" s="18" t="s">
        <v>149</v>
      </c>
      <c r="M42" s="16" t="s">
        <v>148</v>
      </c>
      <c r="N42" s="18"/>
    </row>
    <row r="43" spans="1:14">
      <c r="A43" s="24">
        <v>46188</v>
      </c>
      <c r="B43" s="5" t="s">
        <v>320</v>
      </c>
      <c r="C43" s="5" t="s">
        <v>179</v>
      </c>
      <c r="D43" s="5" t="s">
        <v>3</v>
      </c>
      <c r="E43" s="5" t="s">
        <v>161</v>
      </c>
      <c r="F43" s="5" t="s">
        <v>357</v>
      </c>
      <c r="G43" s="5" t="s">
        <v>259</v>
      </c>
      <c r="H43" s="5"/>
      <c r="I43" s="5" t="s">
        <v>40</v>
      </c>
      <c r="J43" s="7">
        <v>1</v>
      </c>
      <c r="K43" s="5" t="s">
        <v>345</v>
      </c>
      <c r="L43" s="5" t="s">
        <v>149</v>
      </c>
      <c r="M43" s="16" t="s">
        <v>148</v>
      </c>
      <c r="N43" s="5"/>
    </row>
    <row r="44" spans="1:14">
      <c r="A44" s="25">
        <v>46188</v>
      </c>
      <c r="B44" s="18" t="s">
        <v>320</v>
      </c>
      <c r="C44" s="18" t="s">
        <v>179</v>
      </c>
      <c r="D44" s="18" t="s">
        <v>3</v>
      </c>
      <c r="E44" s="18" t="s">
        <v>3</v>
      </c>
      <c r="F44" s="18" t="s">
        <v>355</v>
      </c>
      <c r="G44" s="18" t="s">
        <v>217</v>
      </c>
      <c r="H44" s="18"/>
      <c r="I44" s="18" t="s">
        <v>216</v>
      </c>
      <c r="J44" s="19">
        <v>4</v>
      </c>
      <c r="K44" s="18" t="s">
        <v>345</v>
      </c>
      <c r="L44" s="18" t="s">
        <v>149</v>
      </c>
      <c r="M44" s="16" t="s">
        <v>148</v>
      </c>
      <c r="N44" s="18"/>
    </row>
    <row r="45" spans="1:14">
      <c r="A45" s="24">
        <v>46188</v>
      </c>
      <c r="B45" s="5" t="s">
        <v>320</v>
      </c>
      <c r="C45" s="5" t="s">
        <v>179</v>
      </c>
      <c r="D45" s="5" t="s">
        <v>3</v>
      </c>
      <c r="E45" s="5" t="s">
        <v>3</v>
      </c>
      <c r="F45" s="5" t="s">
        <v>355</v>
      </c>
      <c r="G45" s="5" t="s">
        <v>234</v>
      </c>
      <c r="H45" s="5"/>
      <c r="I45" s="5" t="s">
        <v>47</v>
      </c>
      <c r="J45" s="7">
        <v>1</v>
      </c>
      <c r="K45" s="5" t="s">
        <v>345</v>
      </c>
      <c r="L45" s="5" t="s">
        <v>149</v>
      </c>
      <c r="M45" s="16" t="s">
        <v>148</v>
      </c>
      <c r="N45" s="5"/>
    </row>
    <row r="46" spans="1:14">
      <c r="A46" s="25">
        <v>46188</v>
      </c>
      <c r="B46" s="18" t="s">
        <v>320</v>
      </c>
      <c r="C46" s="18" t="s">
        <v>179</v>
      </c>
      <c r="D46" s="18" t="s">
        <v>3</v>
      </c>
      <c r="E46" s="18" t="s">
        <v>3</v>
      </c>
      <c r="F46" s="18" t="s">
        <v>355</v>
      </c>
      <c r="G46" s="18" t="s">
        <v>188</v>
      </c>
      <c r="H46" s="18"/>
      <c r="I46" s="18" t="s">
        <v>216</v>
      </c>
      <c r="J46" s="19">
        <v>1</v>
      </c>
      <c r="K46" s="18" t="s">
        <v>345</v>
      </c>
      <c r="L46" s="18" t="s">
        <v>149</v>
      </c>
      <c r="M46" s="16" t="s">
        <v>148</v>
      </c>
      <c r="N46" s="18"/>
    </row>
    <row r="47" spans="1:14">
      <c r="A47" s="24">
        <v>46189</v>
      </c>
      <c r="B47" s="5" t="s">
        <v>320</v>
      </c>
      <c r="C47" s="5" t="s">
        <v>179</v>
      </c>
      <c r="D47" s="5" t="s">
        <v>3</v>
      </c>
      <c r="E47" s="5" t="s">
        <v>3</v>
      </c>
      <c r="F47" s="5" t="s">
        <v>349</v>
      </c>
      <c r="G47" s="5" t="s">
        <v>223</v>
      </c>
      <c r="H47" s="5"/>
      <c r="I47" s="5" t="s">
        <v>40</v>
      </c>
      <c r="J47" s="7">
        <v>1</v>
      </c>
      <c r="K47" s="5" t="s">
        <v>345</v>
      </c>
      <c r="L47" s="5" t="s">
        <v>149</v>
      </c>
      <c r="M47" s="16" t="s">
        <v>148</v>
      </c>
      <c r="N47" s="5"/>
    </row>
    <row r="48" spans="1:14">
      <c r="A48" s="25">
        <v>46189</v>
      </c>
      <c r="B48" s="18" t="s">
        <v>320</v>
      </c>
      <c r="C48" s="18" t="s">
        <v>179</v>
      </c>
      <c r="D48" s="18" t="s">
        <v>3</v>
      </c>
      <c r="E48" s="18" t="s">
        <v>3</v>
      </c>
      <c r="F48" s="18" t="s">
        <v>348</v>
      </c>
      <c r="G48" s="18" t="s">
        <v>188</v>
      </c>
      <c r="H48" s="18"/>
      <c r="I48" s="18" t="s">
        <v>216</v>
      </c>
      <c r="J48" s="19">
        <v>1</v>
      </c>
      <c r="K48" s="18" t="s">
        <v>153</v>
      </c>
      <c r="L48" s="18" t="s">
        <v>153</v>
      </c>
      <c r="M48" s="17" t="s">
        <v>153</v>
      </c>
      <c r="N48" s="18"/>
    </row>
    <row r="49" spans="1:14">
      <c r="A49" s="24">
        <v>46190</v>
      </c>
      <c r="B49" s="5" t="s">
        <v>320</v>
      </c>
      <c r="C49" s="5" t="s">
        <v>179</v>
      </c>
      <c r="D49" s="5" t="s">
        <v>3</v>
      </c>
      <c r="E49" s="5" t="s">
        <v>159</v>
      </c>
      <c r="F49" s="5" t="s">
        <v>358</v>
      </c>
      <c r="G49" s="5" t="s">
        <v>215</v>
      </c>
      <c r="H49" s="5"/>
      <c r="I49" s="5" t="s">
        <v>216</v>
      </c>
      <c r="J49" s="7">
        <v>3</v>
      </c>
      <c r="K49" s="5" t="s">
        <v>345</v>
      </c>
      <c r="L49" s="5" t="s">
        <v>149</v>
      </c>
      <c r="M49" s="16" t="s">
        <v>148</v>
      </c>
      <c r="N49" s="5"/>
    </row>
    <row r="50" spans="1:14">
      <c r="A50" s="25">
        <v>46190</v>
      </c>
      <c r="B50" s="18" t="s">
        <v>320</v>
      </c>
      <c r="C50" s="18" t="s">
        <v>179</v>
      </c>
      <c r="D50" s="18" t="s">
        <v>3</v>
      </c>
      <c r="E50" s="18" t="s">
        <v>159</v>
      </c>
      <c r="F50" s="18" t="s">
        <v>358</v>
      </c>
      <c r="G50" s="18" t="s">
        <v>223</v>
      </c>
      <c r="H50" s="18"/>
      <c r="I50" s="18" t="s">
        <v>40</v>
      </c>
      <c r="J50" s="19">
        <v>3</v>
      </c>
      <c r="K50" s="18" t="s">
        <v>345</v>
      </c>
      <c r="L50" s="18" t="s">
        <v>149</v>
      </c>
      <c r="M50" s="16" t="s">
        <v>148</v>
      </c>
      <c r="N50" s="18"/>
    </row>
    <row r="51" spans="1:14">
      <c r="A51" s="24">
        <v>46190</v>
      </c>
      <c r="B51" s="5" t="s">
        <v>320</v>
      </c>
      <c r="C51" s="5" t="s">
        <v>179</v>
      </c>
      <c r="D51" s="5" t="s">
        <v>3</v>
      </c>
      <c r="E51" s="5" t="s">
        <v>159</v>
      </c>
      <c r="F51" s="5" t="s">
        <v>358</v>
      </c>
      <c r="G51" s="5" t="s">
        <v>248</v>
      </c>
      <c r="H51" s="5"/>
      <c r="I51" s="5" t="s">
        <v>216</v>
      </c>
      <c r="J51" s="7">
        <v>1</v>
      </c>
      <c r="K51" s="5" t="s">
        <v>345</v>
      </c>
      <c r="L51" s="5" t="s">
        <v>149</v>
      </c>
      <c r="M51" s="16" t="s">
        <v>148</v>
      </c>
      <c r="N51" s="5"/>
    </row>
    <row r="52" spans="1:14">
      <c r="A52" s="25">
        <v>46190</v>
      </c>
      <c r="B52" s="18" t="s">
        <v>320</v>
      </c>
      <c r="C52" s="18" t="s">
        <v>179</v>
      </c>
      <c r="D52" s="18" t="s">
        <v>3</v>
      </c>
      <c r="E52" s="18" t="s">
        <v>159</v>
      </c>
      <c r="F52" s="18" t="s">
        <v>358</v>
      </c>
      <c r="G52" s="18" t="s">
        <v>245</v>
      </c>
      <c r="H52" s="18"/>
      <c r="I52" s="18" t="s">
        <v>216</v>
      </c>
      <c r="J52" s="19">
        <v>1</v>
      </c>
      <c r="K52" s="18" t="s">
        <v>345</v>
      </c>
      <c r="L52" s="18" t="s">
        <v>149</v>
      </c>
      <c r="M52" s="16" t="s">
        <v>148</v>
      </c>
      <c r="N52" s="18"/>
    </row>
    <row r="53" spans="1:14">
      <c r="A53" s="24">
        <v>46190</v>
      </c>
      <c r="B53" s="5" t="s">
        <v>320</v>
      </c>
      <c r="C53" s="5" t="s">
        <v>179</v>
      </c>
      <c r="D53" s="5" t="s">
        <v>3</v>
      </c>
      <c r="E53" s="5" t="s">
        <v>159</v>
      </c>
      <c r="F53" s="5" t="s">
        <v>358</v>
      </c>
      <c r="G53" s="5" t="s">
        <v>232</v>
      </c>
      <c r="H53" s="5"/>
      <c r="I53" s="5" t="s">
        <v>216</v>
      </c>
      <c r="J53" s="7">
        <v>1</v>
      </c>
      <c r="K53" s="5" t="s">
        <v>345</v>
      </c>
      <c r="L53" s="5" t="s">
        <v>149</v>
      </c>
      <c r="M53" s="16" t="s">
        <v>148</v>
      </c>
      <c r="N53" s="5"/>
    </row>
    <row r="54" spans="1:14">
      <c r="A54" s="25">
        <v>46190</v>
      </c>
      <c r="B54" s="18" t="s">
        <v>320</v>
      </c>
      <c r="C54" s="18" t="s">
        <v>179</v>
      </c>
      <c r="D54" s="18" t="s">
        <v>3</v>
      </c>
      <c r="E54" s="18" t="s">
        <v>159</v>
      </c>
      <c r="F54" s="18" t="s">
        <v>358</v>
      </c>
      <c r="G54" s="18" t="s">
        <v>237</v>
      </c>
      <c r="H54" s="18"/>
      <c r="I54" s="18" t="s">
        <v>216</v>
      </c>
      <c r="J54" s="19">
        <v>1</v>
      </c>
      <c r="K54" s="18" t="s">
        <v>345</v>
      </c>
      <c r="L54" s="18" t="s">
        <v>149</v>
      </c>
      <c r="M54" s="16" t="s">
        <v>148</v>
      </c>
      <c r="N54" s="18"/>
    </row>
    <row r="55" spans="1:14">
      <c r="A55" s="24">
        <v>46190</v>
      </c>
      <c r="B55" s="5" t="s">
        <v>320</v>
      </c>
      <c r="C55" s="5" t="s">
        <v>179</v>
      </c>
      <c r="D55" s="5" t="s">
        <v>3</v>
      </c>
      <c r="E55" s="5" t="s">
        <v>159</v>
      </c>
      <c r="F55" s="5" t="s">
        <v>358</v>
      </c>
      <c r="G55" s="5" t="s">
        <v>217</v>
      </c>
      <c r="H55" s="5"/>
      <c r="I55" s="5" t="s">
        <v>216</v>
      </c>
      <c r="J55" s="7">
        <v>3</v>
      </c>
      <c r="K55" s="5" t="s">
        <v>345</v>
      </c>
      <c r="L55" s="5" t="s">
        <v>149</v>
      </c>
      <c r="M55" s="16" t="s">
        <v>148</v>
      </c>
      <c r="N55" s="5"/>
    </row>
    <row r="56" spans="1:14">
      <c r="A56" s="25">
        <v>46190</v>
      </c>
      <c r="B56" s="18" t="s">
        <v>320</v>
      </c>
      <c r="C56" s="18" t="s">
        <v>179</v>
      </c>
      <c r="D56" s="18" t="s">
        <v>3</v>
      </c>
      <c r="E56" s="18" t="s">
        <v>159</v>
      </c>
      <c r="F56" s="18" t="s">
        <v>358</v>
      </c>
      <c r="G56" s="18" t="s">
        <v>222</v>
      </c>
      <c r="H56" s="18"/>
      <c r="I56" s="18" t="s">
        <v>40</v>
      </c>
      <c r="J56" s="19">
        <v>3</v>
      </c>
      <c r="K56" s="18" t="s">
        <v>153</v>
      </c>
      <c r="L56" s="18" t="s">
        <v>153</v>
      </c>
      <c r="M56" s="17" t="s">
        <v>153</v>
      </c>
      <c r="N56" s="18"/>
    </row>
    <row r="57" spans="1:14">
      <c r="A57" s="24">
        <v>46190</v>
      </c>
      <c r="B57" s="5" t="s">
        <v>320</v>
      </c>
      <c r="C57" s="5" t="s">
        <v>179</v>
      </c>
      <c r="D57" s="5" t="s">
        <v>3</v>
      </c>
      <c r="E57" s="5" t="s">
        <v>3</v>
      </c>
      <c r="F57" s="5" t="s">
        <v>359</v>
      </c>
      <c r="G57" s="5" t="s">
        <v>241</v>
      </c>
      <c r="H57" s="5"/>
      <c r="I57" s="5" t="s">
        <v>47</v>
      </c>
      <c r="J57" s="7">
        <v>1</v>
      </c>
      <c r="K57" s="5" t="s">
        <v>345</v>
      </c>
      <c r="L57" s="5" t="s">
        <v>149</v>
      </c>
      <c r="M57" s="16" t="s">
        <v>148</v>
      </c>
      <c r="N57" s="5"/>
    </row>
    <row r="58" spans="1:14">
      <c r="A58" s="25">
        <v>46191</v>
      </c>
      <c r="B58" s="18" t="s">
        <v>320</v>
      </c>
      <c r="C58" s="18" t="s">
        <v>179</v>
      </c>
      <c r="D58" s="18" t="s">
        <v>3</v>
      </c>
      <c r="E58" s="18" t="s">
        <v>3</v>
      </c>
      <c r="F58" s="18" t="s">
        <v>355</v>
      </c>
      <c r="G58" s="18" t="s">
        <v>50</v>
      </c>
      <c r="H58" s="18"/>
      <c r="I58" s="18" t="s">
        <v>40</v>
      </c>
      <c r="J58" s="19">
        <v>20</v>
      </c>
      <c r="K58" s="18" t="s">
        <v>345</v>
      </c>
      <c r="L58" s="18" t="s">
        <v>149</v>
      </c>
      <c r="M58" s="16" t="s">
        <v>148</v>
      </c>
      <c r="N58" s="18"/>
    </row>
    <row r="59" spans="1:14">
      <c r="A59" s="24">
        <v>46191</v>
      </c>
      <c r="B59" s="5" t="s">
        <v>320</v>
      </c>
      <c r="C59" s="5" t="s">
        <v>179</v>
      </c>
      <c r="D59" s="5" t="s">
        <v>3</v>
      </c>
      <c r="E59" s="5" t="s">
        <v>3</v>
      </c>
      <c r="F59" s="5" t="s">
        <v>348</v>
      </c>
      <c r="G59" s="5" t="s">
        <v>48</v>
      </c>
      <c r="H59" s="5"/>
      <c r="I59" s="5" t="s">
        <v>47</v>
      </c>
      <c r="J59" s="7">
        <v>5</v>
      </c>
      <c r="K59" s="5" t="s">
        <v>345</v>
      </c>
      <c r="L59" s="5" t="s">
        <v>149</v>
      </c>
      <c r="M59" s="16" t="s">
        <v>148</v>
      </c>
      <c r="N59" s="5"/>
    </row>
    <row r="60" spans="1:14">
      <c r="A60" s="25">
        <v>46191</v>
      </c>
      <c r="B60" s="18" t="s">
        <v>320</v>
      </c>
      <c r="C60" s="18" t="s">
        <v>179</v>
      </c>
      <c r="D60" s="18" t="s">
        <v>3</v>
      </c>
      <c r="E60" s="18" t="s">
        <v>3</v>
      </c>
      <c r="F60" s="18" t="s">
        <v>348</v>
      </c>
      <c r="G60" s="18" t="s">
        <v>193</v>
      </c>
      <c r="H60" s="18"/>
      <c r="I60" s="18" t="s">
        <v>216</v>
      </c>
      <c r="J60" s="19">
        <v>2</v>
      </c>
      <c r="K60" s="18" t="s">
        <v>345</v>
      </c>
      <c r="L60" s="18" t="s">
        <v>149</v>
      </c>
      <c r="M60" s="16" t="s">
        <v>148</v>
      </c>
      <c r="N60" s="18"/>
    </row>
    <row r="61" spans="1:14">
      <c r="A61" s="24">
        <v>46195</v>
      </c>
      <c r="B61" s="5" t="s">
        <v>321</v>
      </c>
      <c r="C61" s="5" t="s">
        <v>179</v>
      </c>
      <c r="D61" s="5" t="s">
        <v>3</v>
      </c>
      <c r="E61" s="5" t="s">
        <v>3</v>
      </c>
      <c r="F61" s="5" t="s">
        <v>359</v>
      </c>
      <c r="G61" s="5" t="s">
        <v>41</v>
      </c>
      <c r="H61" s="5"/>
      <c r="I61" s="5" t="s">
        <v>40</v>
      </c>
      <c r="J61" s="7">
        <v>10</v>
      </c>
      <c r="K61" s="5" t="s">
        <v>345</v>
      </c>
      <c r="L61" s="5" t="s">
        <v>149</v>
      </c>
      <c r="M61" s="16" t="s">
        <v>148</v>
      </c>
      <c r="N61" s="5"/>
    </row>
    <row r="62" spans="1:14">
      <c r="A62" s="25">
        <v>46195</v>
      </c>
      <c r="B62" s="18" t="s">
        <v>321</v>
      </c>
      <c r="C62" s="18" t="s">
        <v>179</v>
      </c>
      <c r="D62" s="18" t="s">
        <v>3</v>
      </c>
      <c r="E62" s="18" t="s">
        <v>3</v>
      </c>
      <c r="F62" s="18" t="s">
        <v>359</v>
      </c>
      <c r="G62" s="18" t="s">
        <v>222</v>
      </c>
      <c r="H62" s="18"/>
      <c r="I62" s="18" t="s">
        <v>40</v>
      </c>
      <c r="J62" s="19">
        <v>8</v>
      </c>
      <c r="K62" s="18" t="s">
        <v>345</v>
      </c>
      <c r="L62" s="18" t="s">
        <v>149</v>
      </c>
      <c r="M62" s="16" t="s">
        <v>148</v>
      </c>
      <c r="N62" s="18"/>
    </row>
    <row r="63" spans="1:14">
      <c r="A63" s="24">
        <v>46199</v>
      </c>
      <c r="B63" s="5" t="s">
        <v>321</v>
      </c>
      <c r="C63" s="5" t="s">
        <v>179</v>
      </c>
      <c r="D63" s="5" t="s">
        <v>3</v>
      </c>
      <c r="E63" s="5" t="s">
        <v>3</v>
      </c>
      <c r="F63" s="5" t="s">
        <v>355</v>
      </c>
      <c r="G63" s="5" t="s">
        <v>220</v>
      </c>
      <c r="H63" s="5"/>
      <c r="I63" s="5" t="s">
        <v>40</v>
      </c>
      <c r="J63" s="7">
        <v>2</v>
      </c>
      <c r="K63" s="5" t="s">
        <v>153</v>
      </c>
      <c r="L63" s="5" t="s">
        <v>153</v>
      </c>
      <c r="M63" s="17" t="s">
        <v>153</v>
      </c>
      <c r="N63" s="5"/>
    </row>
    <row r="64" spans="1:14">
      <c r="A64" s="25">
        <v>46199</v>
      </c>
      <c r="B64" s="18" t="s">
        <v>321</v>
      </c>
      <c r="C64" s="18" t="s">
        <v>179</v>
      </c>
      <c r="D64" s="18" t="s">
        <v>3</v>
      </c>
      <c r="E64" s="18" t="s">
        <v>3</v>
      </c>
      <c r="F64" s="18" t="s">
        <v>355</v>
      </c>
      <c r="G64" s="18" t="s">
        <v>232</v>
      </c>
      <c r="H64" s="18"/>
      <c r="I64" s="18" t="s">
        <v>216</v>
      </c>
      <c r="J64" s="19">
        <v>2</v>
      </c>
      <c r="K64" s="18" t="s">
        <v>345</v>
      </c>
      <c r="L64" s="18" t="s">
        <v>149</v>
      </c>
      <c r="M64" s="16" t="s">
        <v>148</v>
      </c>
      <c r="N64" s="18"/>
    </row>
    <row r="65" spans="1:14">
      <c r="A65" s="24">
        <v>46199</v>
      </c>
      <c r="B65" s="5" t="s">
        <v>321</v>
      </c>
      <c r="C65" s="5" t="s">
        <v>179</v>
      </c>
      <c r="D65" s="5" t="s">
        <v>3</v>
      </c>
      <c r="E65" s="5" t="s">
        <v>3</v>
      </c>
      <c r="F65" s="5" t="s">
        <v>355</v>
      </c>
      <c r="G65" s="5" t="s">
        <v>245</v>
      </c>
      <c r="H65" s="5"/>
      <c r="I65" s="5" t="s">
        <v>216</v>
      </c>
      <c r="J65" s="7">
        <v>1</v>
      </c>
      <c r="K65" s="5" t="s">
        <v>345</v>
      </c>
      <c r="L65" s="5" t="s">
        <v>149</v>
      </c>
      <c r="M65" s="16" t="s">
        <v>148</v>
      </c>
      <c r="N65" s="5"/>
    </row>
    <row r="66" spans="1:14">
      <c r="A66" s="25">
        <v>46199</v>
      </c>
      <c r="B66" s="18" t="s">
        <v>321</v>
      </c>
      <c r="C66" s="18" t="s">
        <v>179</v>
      </c>
      <c r="D66" s="18" t="s">
        <v>3</v>
      </c>
      <c r="E66" s="18" t="s">
        <v>3</v>
      </c>
      <c r="F66" s="18" t="s">
        <v>355</v>
      </c>
      <c r="G66" s="18" t="s">
        <v>240</v>
      </c>
      <c r="H66" s="18"/>
      <c r="I66" s="18" t="s">
        <v>216</v>
      </c>
      <c r="J66" s="19">
        <v>1</v>
      </c>
      <c r="K66" s="18" t="s">
        <v>345</v>
      </c>
      <c r="L66" s="18" t="s">
        <v>149</v>
      </c>
      <c r="M66" s="16" t="s">
        <v>148</v>
      </c>
      <c r="N66" s="18"/>
    </row>
    <row r="67" spans="1:14">
      <c r="A67" s="24">
        <v>46199</v>
      </c>
      <c r="B67" s="5" t="s">
        <v>321</v>
      </c>
      <c r="C67" s="5" t="s">
        <v>179</v>
      </c>
      <c r="D67" s="5" t="s">
        <v>3</v>
      </c>
      <c r="E67" s="5" t="s">
        <v>3</v>
      </c>
      <c r="F67" s="5" t="s">
        <v>355</v>
      </c>
      <c r="G67" s="5" t="s">
        <v>223</v>
      </c>
      <c r="H67" s="5"/>
      <c r="I67" s="5" t="s">
        <v>40</v>
      </c>
      <c r="J67" s="7">
        <v>1</v>
      </c>
      <c r="K67" s="5" t="s">
        <v>345</v>
      </c>
      <c r="L67" s="5" t="s">
        <v>149</v>
      </c>
      <c r="M67" s="16" t="s">
        <v>148</v>
      </c>
      <c r="N67" s="5"/>
    </row>
    <row r="68" spans="1:14">
      <c r="A68" s="25">
        <v>46199</v>
      </c>
      <c r="B68" s="18" t="s">
        <v>321</v>
      </c>
      <c r="C68" s="18" t="s">
        <v>179</v>
      </c>
      <c r="D68" s="18" t="s">
        <v>3</v>
      </c>
      <c r="E68" s="18" t="s">
        <v>3</v>
      </c>
      <c r="F68" s="18" t="s">
        <v>351</v>
      </c>
      <c r="G68" s="18" t="s">
        <v>227</v>
      </c>
      <c r="H68" s="18"/>
      <c r="I68" s="18" t="s">
        <v>216</v>
      </c>
      <c r="J68" s="19">
        <v>1</v>
      </c>
      <c r="K68" s="18" t="s">
        <v>153</v>
      </c>
      <c r="L68" s="18" t="s">
        <v>153</v>
      </c>
      <c r="M68" s="17" t="s">
        <v>153</v>
      </c>
      <c r="N68" s="18"/>
    </row>
    <row r="69" spans="1:14">
      <c r="A69" s="24">
        <v>46203</v>
      </c>
      <c r="B69" s="5" t="s">
        <v>322</v>
      </c>
      <c r="C69" s="5" t="s">
        <v>179</v>
      </c>
      <c r="D69" s="5" t="s">
        <v>3</v>
      </c>
      <c r="E69" s="5" t="s">
        <v>3</v>
      </c>
      <c r="F69" s="5" t="s">
        <v>360</v>
      </c>
      <c r="G69" s="5" t="s">
        <v>361</v>
      </c>
      <c r="H69" s="5"/>
      <c r="I69" s="5" t="s">
        <v>298</v>
      </c>
      <c r="J69" s="7">
        <v>3</v>
      </c>
      <c r="K69" s="5" t="s">
        <v>345</v>
      </c>
      <c r="L69" s="5" t="s">
        <v>149</v>
      </c>
      <c r="M69" s="16" t="s">
        <v>148</v>
      </c>
      <c r="N69" s="5" t="s">
        <v>362</v>
      </c>
    </row>
    <row r="70" spans="1:14">
      <c r="A70" s="25">
        <v>46203</v>
      </c>
      <c r="B70" s="18" t="s">
        <v>322</v>
      </c>
      <c r="C70" s="18" t="s">
        <v>179</v>
      </c>
      <c r="D70" s="18" t="s">
        <v>3</v>
      </c>
      <c r="E70" s="18" t="s">
        <v>3</v>
      </c>
      <c r="F70" s="18" t="s">
        <v>360</v>
      </c>
      <c r="G70" s="18" t="s">
        <v>217</v>
      </c>
      <c r="H70" s="18"/>
      <c r="I70" s="18" t="s">
        <v>216</v>
      </c>
      <c r="J70" s="19">
        <v>2</v>
      </c>
      <c r="K70" s="18" t="s">
        <v>345</v>
      </c>
      <c r="L70" s="18" t="s">
        <v>149</v>
      </c>
      <c r="M70" s="16" t="s">
        <v>148</v>
      </c>
      <c r="N70" s="18"/>
    </row>
    <row r="71" spans="1:14">
      <c r="A71" s="24">
        <v>46203</v>
      </c>
      <c r="B71" s="5" t="s">
        <v>322</v>
      </c>
      <c r="C71" s="5" t="s">
        <v>179</v>
      </c>
      <c r="D71" s="5" t="s">
        <v>3</v>
      </c>
      <c r="E71" s="5" t="s">
        <v>3</v>
      </c>
      <c r="F71" s="5" t="s">
        <v>360</v>
      </c>
      <c r="G71" s="5" t="s">
        <v>234</v>
      </c>
      <c r="H71" s="5"/>
      <c r="I71" s="5" t="s">
        <v>47</v>
      </c>
      <c r="J71" s="7">
        <v>1</v>
      </c>
      <c r="K71" s="5" t="s">
        <v>345</v>
      </c>
      <c r="L71" s="5" t="s">
        <v>149</v>
      </c>
      <c r="M71" s="16" t="s">
        <v>148</v>
      </c>
      <c r="N71" s="5"/>
    </row>
    <row r="72" spans="1:14">
      <c r="A72" s="25">
        <v>46203</v>
      </c>
      <c r="B72" s="18" t="s">
        <v>322</v>
      </c>
      <c r="C72" s="18" t="s">
        <v>179</v>
      </c>
      <c r="D72" s="18" t="s">
        <v>3</v>
      </c>
      <c r="E72" s="18" t="s">
        <v>3</v>
      </c>
      <c r="F72" s="18" t="s">
        <v>363</v>
      </c>
      <c r="G72" s="18" t="s">
        <v>215</v>
      </c>
      <c r="H72" s="18"/>
      <c r="I72" s="18" t="s">
        <v>216</v>
      </c>
      <c r="J72" s="19">
        <v>2</v>
      </c>
      <c r="K72" s="18" t="s">
        <v>153</v>
      </c>
      <c r="L72" s="18" t="s">
        <v>153</v>
      </c>
      <c r="M72" s="17" t="s">
        <v>153</v>
      </c>
      <c r="N72" s="18"/>
    </row>
    <row r="73" spans="1:14">
      <c r="A73" s="24">
        <v>46203</v>
      </c>
      <c r="B73" s="5" t="s">
        <v>322</v>
      </c>
      <c r="C73" s="5" t="s">
        <v>179</v>
      </c>
      <c r="D73" s="5" t="s">
        <v>3</v>
      </c>
      <c r="E73" s="5" t="s">
        <v>3</v>
      </c>
      <c r="F73" s="5" t="s">
        <v>363</v>
      </c>
      <c r="G73" s="5" t="s">
        <v>192</v>
      </c>
      <c r="H73" s="5"/>
      <c r="I73" s="5" t="s">
        <v>216</v>
      </c>
      <c r="J73" s="7">
        <v>1</v>
      </c>
      <c r="K73" s="5" t="s">
        <v>345</v>
      </c>
      <c r="L73" s="5" t="s">
        <v>149</v>
      </c>
      <c r="M73" s="16" t="s">
        <v>148</v>
      </c>
      <c r="N73" s="5"/>
    </row>
    <row r="74" spans="1:14">
      <c r="A74" s="25">
        <v>46203</v>
      </c>
      <c r="B74" s="18" t="s">
        <v>322</v>
      </c>
      <c r="C74" s="18" t="s">
        <v>179</v>
      </c>
      <c r="D74" s="18" t="s">
        <v>3</v>
      </c>
      <c r="E74" s="18" t="s">
        <v>3</v>
      </c>
      <c r="F74" s="18" t="s">
        <v>360</v>
      </c>
      <c r="G74" s="18" t="s">
        <v>250</v>
      </c>
      <c r="H74" s="18"/>
      <c r="I74" s="18" t="s">
        <v>40</v>
      </c>
      <c r="J74" s="19">
        <v>1</v>
      </c>
      <c r="K74" s="18" t="s">
        <v>345</v>
      </c>
      <c r="L74" s="18" t="s">
        <v>149</v>
      </c>
      <c r="M74" s="16" t="s">
        <v>148</v>
      </c>
      <c r="N74" s="18"/>
    </row>
    <row r="75" spans="1:14">
      <c r="A75" s="24">
        <v>46203</v>
      </c>
      <c r="B75" s="5" t="s">
        <v>322</v>
      </c>
      <c r="C75" s="5" t="s">
        <v>179</v>
      </c>
      <c r="D75" s="5" t="s">
        <v>3</v>
      </c>
      <c r="E75" s="5" t="s">
        <v>3</v>
      </c>
      <c r="F75" s="5" t="s">
        <v>349</v>
      </c>
      <c r="G75" s="5" t="s">
        <v>223</v>
      </c>
      <c r="H75" s="5"/>
      <c r="I75" s="5" t="s">
        <v>40</v>
      </c>
      <c r="J75" s="7">
        <v>2</v>
      </c>
      <c r="K75" s="5" t="s">
        <v>345</v>
      </c>
      <c r="L75" s="5" t="s">
        <v>149</v>
      </c>
      <c r="M75" s="16" t="s">
        <v>148</v>
      </c>
      <c r="N75" s="5"/>
    </row>
    <row r="76" spans="1:14">
      <c r="A76" s="25">
        <v>46203</v>
      </c>
      <c r="B76" s="18" t="s">
        <v>322</v>
      </c>
      <c r="C76" s="18" t="s">
        <v>179</v>
      </c>
      <c r="D76" s="18" t="s">
        <v>3</v>
      </c>
      <c r="E76" s="18" t="s">
        <v>3</v>
      </c>
      <c r="F76" s="18" t="s">
        <v>349</v>
      </c>
      <c r="G76" s="18" t="s">
        <v>229</v>
      </c>
      <c r="H76" s="18"/>
      <c r="I76" s="18" t="s">
        <v>216</v>
      </c>
      <c r="J76" s="19">
        <v>1</v>
      </c>
      <c r="K76" s="18" t="s">
        <v>345</v>
      </c>
      <c r="L76" s="18" t="s">
        <v>149</v>
      </c>
      <c r="M76" s="16" t="s">
        <v>148</v>
      </c>
      <c r="N76" s="18"/>
    </row>
    <row r="77" spans="1:14">
      <c r="A77" s="24">
        <v>46203</v>
      </c>
      <c r="B77" s="5" t="s">
        <v>322</v>
      </c>
      <c r="C77" s="5" t="s">
        <v>179</v>
      </c>
      <c r="D77" s="5" t="s">
        <v>3</v>
      </c>
      <c r="E77" s="5" t="s">
        <v>3</v>
      </c>
      <c r="F77" s="5" t="s">
        <v>364</v>
      </c>
      <c r="G77" s="5" t="s">
        <v>231</v>
      </c>
      <c r="H77" s="5"/>
      <c r="I77" s="5" t="s">
        <v>40</v>
      </c>
      <c r="J77" s="7">
        <v>1</v>
      </c>
      <c r="K77" s="5" t="s">
        <v>345</v>
      </c>
      <c r="L77" s="5" t="s">
        <v>149</v>
      </c>
      <c r="M77" s="16" t="s">
        <v>148</v>
      </c>
      <c r="N77" s="5"/>
    </row>
    <row r="78" spans="1:14">
      <c r="A78" s="25">
        <v>46203</v>
      </c>
      <c r="B78" s="18" t="s">
        <v>322</v>
      </c>
      <c r="C78" s="18" t="s">
        <v>179</v>
      </c>
      <c r="D78" s="18" t="s">
        <v>3</v>
      </c>
      <c r="E78" s="18" t="s">
        <v>3</v>
      </c>
      <c r="F78" s="18" t="s">
        <v>364</v>
      </c>
      <c r="G78" s="18" t="s">
        <v>222</v>
      </c>
      <c r="H78" s="18"/>
      <c r="I78" s="18" t="s">
        <v>40</v>
      </c>
      <c r="J78" s="19">
        <v>2</v>
      </c>
      <c r="K78" s="18" t="s">
        <v>345</v>
      </c>
      <c r="L78" s="18" t="s">
        <v>149</v>
      </c>
      <c r="M78" s="16" t="s">
        <v>148</v>
      </c>
      <c r="N78" s="18"/>
    </row>
    <row r="79" spans="1:14">
      <c r="A79" s="24">
        <v>46204</v>
      </c>
      <c r="B79" s="5" t="s">
        <v>322</v>
      </c>
      <c r="C79" s="5" t="s">
        <v>180</v>
      </c>
      <c r="D79" s="5" t="s">
        <v>3</v>
      </c>
      <c r="E79" s="5" t="s">
        <v>3</v>
      </c>
      <c r="F79" s="5" t="s">
        <v>348</v>
      </c>
      <c r="G79" s="5" t="s">
        <v>218</v>
      </c>
      <c r="H79" s="5"/>
      <c r="I79" s="5" t="s">
        <v>219</v>
      </c>
      <c r="J79" s="7">
        <v>5</v>
      </c>
      <c r="K79" s="5" t="s">
        <v>345</v>
      </c>
      <c r="L79" s="5" t="s">
        <v>149</v>
      </c>
      <c r="M79" s="16" t="s">
        <v>148</v>
      </c>
      <c r="N79" s="5"/>
    </row>
    <row r="80" spans="1:14">
      <c r="A80" s="25">
        <v>46205</v>
      </c>
      <c r="B80" s="18" t="s">
        <v>322</v>
      </c>
      <c r="C80" s="18" t="s">
        <v>180</v>
      </c>
      <c r="D80" s="18" t="s">
        <v>3</v>
      </c>
      <c r="E80" s="18" t="s">
        <v>3</v>
      </c>
      <c r="F80" s="18" t="s">
        <v>355</v>
      </c>
      <c r="G80" s="18" t="s">
        <v>188</v>
      </c>
      <c r="H80" s="18"/>
      <c r="I80" s="18" t="s">
        <v>216</v>
      </c>
      <c r="J80" s="19">
        <v>1</v>
      </c>
      <c r="K80" s="18" t="s">
        <v>153</v>
      </c>
      <c r="L80" s="18" t="s">
        <v>153</v>
      </c>
      <c r="M80" s="17" t="s">
        <v>153</v>
      </c>
      <c r="N80" s="18"/>
    </row>
    <row r="81" spans="1:14">
      <c r="A81" s="24">
        <v>46205</v>
      </c>
      <c r="B81" s="5" t="s">
        <v>322</v>
      </c>
      <c r="C81" s="5" t="s">
        <v>180</v>
      </c>
      <c r="D81" s="5" t="s">
        <v>3</v>
      </c>
      <c r="E81" s="5" t="s">
        <v>3</v>
      </c>
      <c r="F81" s="5" t="s">
        <v>365</v>
      </c>
      <c r="G81" s="5" t="s">
        <v>231</v>
      </c>
      <c r="H81" s="5"/>
      <c r="I81" s="5" t="s">
        <v>40</v>
      </c>
      <c r="J81" s="7">
        <v>1</v>
      </c>
      <c r="K81" s="5" t="s">
        <v>345</v>
      </c>
      <c r="L81" s="5" t="s">
        <v>149</v>
      </c>
      <c r="M81" s="16" t="s">
        <v>148</v>
      </c>
      <c r="N81" s="5"/>
    </row>
    <row r="82" spans="1:14">
      <c r="A82" s="25">
        <v>46206</v>
      </c>
      <c r="B82" s="18" t="s">
        <v>322</v>
      </c>
      <c r="C82" s="18" t="s">
        <v>180</v>
      </c>
      <c r="D82" s="18" t="s">
        <v>3</v>
      </c>
      <c r="E82" s="18" t="s">
        <v>3</v>
      </c>
      <c r="F82" s="18" t="s">
        <v>355</v>
      </c>
      <c r="G82" s="18" t="s">
        <v>243</v>
      </c>
      <c r="H82" s="18"/>
      <c r="I82" s="18" t="s">
        <v>216</v>
      </c>
      <c r="J82" s="19">
        <v>1</v>
      </c>
      <c r="K82" s="18" t="s">
        <v>345</v>
      </c>
      <c r="L82" s="18" t="s">
        <v>149</v>
      </c>
      <c r="M82" s="16" t="s">
        <v>148</v>
      </c>
      <c r="N82" s="18"/>
    </row>
    <row r="83" spans="1:14">
      <c r="A83" s="24">
        <v>46206</v>
      </c>
      <c r="B83" s="5" t="s">
        <v>322</v>
      </c>
      <c r="C83" s="5" t="s">
        <v>180</v>
      </c>
      <c r="D83" s="5" t="s">
        <v>3</v>
      </c>
      <c r="E83" s="5" t="s">
        <v>3</v>
      </c>
      <c r="F83" s="5" t="s">
        <v>366</v>
      </c>
      <c r="G83" s="5" t="s">
        <v>256</v>
      </c>
      <c r="H83" s="5"/>
      <c r="I83" s="5" t="s">
        <v>257</v>
      </c>
      <c r="J83" s="7">
        <v>1</v>
      </c>
      <c r="K83" s="5" t="s">
        <v>345</v>
      </c>
      <c r="L83" s="5" t="s">
        <v>149</v>
      </c>
      <c r="M83" s="16" t="s">
        <v>148</v>
      </c>
      <c r="N83" s="5"/>
    </row>
    <row r="84" spans="1:14">
      <c r="A84" s="25">
        <v>46206</v>
      </c>
      <c r="B84" s="18" t="s">
        <v>322</v>
      </c>
      <c r="C84" s="18" t="s">
        <v>180</v>
      </c>
      <c r="D84" s="18" t="s">
        <v>3</v>
      </c>
      <c r="E84" s="18" t="s">
        <v>3</v>
      </c>
      <c r="F84" s="18" t="s">
        <v>367</v>
      </c>
      <c r="G84" s="18" t="s">
        <v>241</v>
      </c>
      <c r="H84" s="18"/>
      <c r="I84" s="18" t="s">
        <v>47</v>
      </c>
      <c r="J84" s="19">
        <v>2</v>
      </c>
      <c r="K84" s="18" t="s">
        <v>345</v>
      </c>
      <c r="L84" s="18" t="s">
        <v>149</v>
      </c>
      <c r="M84" s="16" t="s">
        <v>148</v>
      </c>
      <c r="N84" s="18"/>
    </row>
    <row r="85" spans="1:14">
      <c r="A85" s="24">
        <v>46206</v>
      </c>
      <c r="B85" s="5" t="s">
        <v>322</v>
      </c>
      <c r="C85" s="5" t="s">
        <v>180</v>
      </c>
      <c r="D85" s="5" t="s">
        <v>3</v>
      </c>
      <c r="E85" s="5" t="s">
        <v>3</v>
      </c>
      <c r="F85" s="5" t="s">
        <v>367</v>
      </c>
      <c r="G85" s="5" t="s">
        <v>247</v>
      </c>
      <c r="H85" s="5"/>
      <c r="I85" s="5" t="s">
        <v>47</v>
      </c>
      <c r="J85" s="7">
        <v>2</v>
      </c>
      <c r="K85" s="5" t="s">
        <v>345</v>
      </c>
      <c r="L85" s="5" t="s">
        <v>149</v>
      </c>
      <c r="M85" s="16" t="s">
        <v>148</v>
      </c>
      <c r="N85" s="5"/>
    </row>
    <row r="86" spans="1:14">
      <c r="A86" s="25">
        <v>46206</v>
      </c>
      <c r="B86" s="18" t="s">
        <v>322</v>
      </c>
      <c r="C86" s="18" t="s">
        <v>180</v>
      </c>
      <c r="D86" s="18" t="s">
        <v>3</v>
      </c>
      <c r="E86" s="18" t="s">
        <v>3</v>
      </c>
      <c r="F86" s="18" t="s">
        <v>350</v>
      </c>
      <c r="G86" s="18" t="s">
        <v>188</v>
      </c>
      <c r="H86" s="18"/>
      <c r="I86" s="18" t="s">
        <v>216</v>
      </c>
      <c r="J86" s="19">
        <v>1</v>
      </c>
      <c r="K86" s="18" t="s">
        <v>345</v>
      </c>
      <c r="L86" s="18" t="s">
        <v>149</v>
      </c>
      <c r="M86" s="16" t="s">
        <v>148</v>
      </c>
      <c r="N86" s="18"/>
    </row>
    <row r="87" spans="1:14">
      <c r="A87" s="24">
        <v>46206</v>
      </c>
      <c r="B87" s="5" t="s">
        <v>322</v>
      </c>
      <c r="C87" s="5" t="s">
        <v>180</v>
      </c>
      <c r="D87" s="5" t="s">
        <v>3</v>
      </c>
      <c r="E87" s="5" t="s">
        <v>3</v>
      </c>
      <c r="F87" s="5" t="s">
        <v>368</v>
      </c>
      <c r="G87" s="5" t="s">
        <v>223</v>
      </c>
      <c r="H87" s="5"/>
      <c r="I87" s="5" t="s">
        <v>40</v>
      </c>
      <c r="J87" s="7">
        <v>2</v>
      </c>
      <c r="K87" s="5" t="s">
        <v>345</v>
      </c>
      <c r="L87" s="5" t="s">
        <v>149</v>
      </c>
      <c r="M87" s="16" t="s">
        <v>148</v>
      </c>
      <c r="N87" s="5"/>
    </row>
    <row r="88" spans="1:14">
      <c r="A88" s="25">
        <v>46209</v>
      </c>
      <c r="B88" s="18" t="s">
        <v>323</v>
      </c>
      <c r="C88" s="18" t="s">
        <v>180</v>
      </c>
      <c r="D88" s="18" t="s">
        <v>3</v>
      </c>
      <c r="E88" s="18" t="s">
        <v>158</v>
      </c>
      <c r="F88" s="18" t="s">
        <v>369</v>
      </c>
      <c r="G88" s="18" t="s">
        <v>188</v>
      </c>
      <c r="H88" s="18"/>
      <c r="I88" s="18" t="s">
        <v>216</v>
      </c>
      <c r="J88" s="19">
        <v>1</v>
      </c>
      <c r="K88" s="18" t="s">
        <v>345</v>
      </c>
      <c r="L88" s="18" t="s">
        <v>149</v>
      </c>
      <c r="M88" s="16" t="s">
        <v>148</v>
      </c>
      <c r="N88" s="18"/>
    </row>
    <row r="89" spans="1:14">
      <c r="A89" s="24">
        <v>46209</v>
      </c>
      <c r="B89" s="5" t="s">
        <v>323</v>
      </c>
      <c r="C89" s="5" t="s">
        <v>180</v>
      </c>
      <c r="D89" s="5" t="s">
        <v>3</v>
      </c>
      <c r="E89" s="5" t="s">
        <v>158</v>
      </c>
      <c r="F89" s="5" t="s">
        <v>369</v>
      </c>
      <c r="G89" s="5" t="s">
        <v>244</v>
      </c>
      <c r="H89" s="5"/>
      <c r="I89" s="5" t="s">
        <v>40</v>
      </c>
      <c r="J89" s="7">
        <v>1</v>
      </c>
      <c r="K89" s="5" t="s">
        <v>345</v>
      </c>
      <c r="L89" s="5" t="s">
        <v>149</v>
      </c>
      <c r="M89" s="16" t="s">
        <v>148</v>
      </c>
      <c r="N89" s="5"/>
    </row>
    <row r="90" spans="1:14">
      <c r="A90" s="25">
        <v>46209</v>
      </c>
      <c r="B90" s="18" t="s">
        <v>323</v>
      </c>
      <c r="C90" s="18" t="s">
        <v>180</v>
      </c>
      <c r="D90" s="18" t="s">
        <v>3</v>
      </c>
      <c r="E90" s="18" t="s">
        <v>158</v>
      </c>
      <c r="F90" s="18" t="s">
        <v>369</v>
      </c>
      <c r="G90" s="18" t="s">
        <v>217</v>
      </c>
      <c r="H90" s="18"/>
      <c r="I90" s="18" t="s">
        <v>216</v>
      </c>
      <c r="J90" s="19">
        <v>3</v>
      </c>
      <c r="K90" s="18" t="s">
        <v>345</v>
      </c>
      <c r="L90" s="18" t="s">
        <v>149</v>
      </c>
      <c r="M90" s="16" t="s">
        <v>148</v>
      </c>
      <c r="N90" s="18"/>
    </row>
    <row r="91" spans="1:14">
      <c r="A91" s="24">
        <v>46209</v>
      </c>
      <c r="B91" s="5" t="s">
        <v>323</v>
      </c>
      <c r="C91" s="5" t="s">
        <v>180</v>
      </c>
      <c r="D91" s="5" t="s">
        <v>3</v>
      </c>
      <c r="E91" s="5" t="s">
        <v>158</v>
      </c>
      <c r="F91" s="5" t="s">
        <v>369</v>
      </c>
      <c r="G91" s="5" t="s">
        <v>240</v>
      </c>
      <c r="H91" s="5"/>
      <c r="I91" s="5" t="s">
        <v>216</v>
      </c>
      <c r="J91" s="7">
        <v>2</v>
      </c>
      <c r="K91" s="5" t="s">
        <v>345</v>
      </c>
      <c r="L91" s="5" t="s">
        <v>149</v>
      </c>
      <c r="M91" s="16" t="s">
        <v>148</v>
      </c>
      <c r="N91" s="5"/>
    </row>
    <row r="92" spans="1:14">
      <c r="A92" s="25">
        <v>46209</v>
      </c>
      <c r="B92" s="18" t="s">
        <v>323</v>
      </c>
      <c r="C92" s="18" t="s">
        <v>180</v>
      </c>
      <c r="D92" s="18" t="s">
        <v>3</v>
      </c>
      <c r="E92" s="18" t="s">
        <v>158</v>
      </c>
      <c r="F92" s="18" t="s">
        <v>369</v>
      </c>
      <c r="G92" s="18" t="s">
        <v>227</v>
      </c>
      <c r="H92" s="18"/>
      <c r="I92" s="18" t="s">
        <v>216</v>
      </c>
      <c r="J92" s="19">
        <v>1</v>
      </c>
      <c r="K92" s="18" t="s">
        <v>345</v>
      </c>
      <c r="L92" s="18" t="s">
        <v>149</v>
      </c>
      <c r="M92" s="16" t="s">
        <v>148</v>
      </c>
      <c r="N92" s="18"/>
    </row>
    <row r="93" spans="1:14">
      <c r="A93" s="24">
        <v>46209</v>
      </c>
      <c r="B93" s="5" t="s">
        <v>323</v>
      </c>
      <c r="C93" s="5" t="s">
        <v>180</v>
      </c>
      <c r="D93" s="5" t="s">
        <v>3</v>
      </c>
      <c r="E93" s="5" t="s">
        <v>159</v>
      </c>
      <c r="F93" s="5" t="s">
        <v>370</v>
      </c>
      <c r="G93" s="5" t="s">
        <v>233</v>
      </c>
      <c r="H93" s="5"/>
      <c r="I93" s="5" t="s">
        <v>40</v>
      </c>
      <c r="J93" s="7">
        <v>2</v>
      </c>
      <c r="K93" s="5" t="s">
        <v>345</v>
      </c>
      <c r="L93" s="5" t="s">
        <v>149</v>
      </c>
      <c r="M93" s="16" t="s">
        <v>148</v>
      </c>
      <c r="N93" s="5"/>
    </row>
    <row r="94" spans="1:14">
      <c r="A94" s="25">
        <v>46209</v>
      </c>
      <c r="B94" s="18" t="s">
        <v>323</v>
      </c>
      <c r="C94" s="18" t="s">
        <v>180</v>
      </c>
      <c r="D94" s="18" t="s">
        <v>3</v>
      </c>
      <c r="E94" s="18" t="s">
        <v>3</v>
      </c>
      <c r="F94" s="18" t="s">
        <v>348</v>
      </c>
      <c r="G94" s="18" t="s">
        <v>193</v>
      </c>
      <c r="H94" s="18"/>
      <c r="I94" s="18" t="s">
        <v>216</v>
      </c>
      <c r="J94" s="19">
        <v>2</v>
      </c>
      <c r="K94" s="18" t="s">
        <v>345</v>
      </c>
      <c r="L94" s="18" t="s">
        <v>149</v>
      </c>
      <c r="M94" s="16" t="s">
        <v>148</v>
      </c>
      <c r="N94" s="18"/>
    </row>
    <row r="95" spans="1:14">
      <c r="A95" s="24">
        <v>46210</v>
      </c>
      <c r="B95" s="5" t="s">
        <v>323</v>
      </c>
      <c r="C95" s="5" t="s">
        <v>180</v>
      </c>
      <c r="D95" s="5" t="s">
        <v>3</v>
      </c>
      <c r="E95" s="5" t="s">
        <v>3</v>
      </c>
      <c r="F95" s="5" t="s">
        <v>349</v>
      </c>
      <c r="G95" s="5" t="s">
        <v>193</v>
      </c>
      <c r="H95" s="5"/>
      <c r="I95" s="5" t="s">
        <v>216</v>
      </c>
      <c r="J95" s="7">
        <v>2</v>
      </c>
      <c r="K95" s="5" t="s">
        <v>345</v>
      </c>
      <c r="L95" s="5" t="s">
        <v>149</v>
      </c>
      <c r="M95" s="16" t="s">
        <v>148</v>
      </c>
      <c r="N95" s="5"/>
    </row>
    <row r="96" spans="1:14">
      <c r="A96" s="25">
        <v>46210</v>
      </c>
      <c r="B96" s="18" t="s">
        <v>323</v>
      </c>
      <c r="C96" s="18" t="s">
        <v>180</v>
      </c>
      <c r="D96" s="18" t="s">
        <v>3</v>
      </c>
      <c r="E96" s="18" t="s">
        <v>3</v>
      </c>
      <c r="F96" s="18" t="s">
        <v>349</v>
      </c>
      <c r="G96" s="18" t="s">
        <v>229</v>
      </c>
      <c r="H96" s="18"/>
      <c r="I96" s="18" t="s">
        <v>216</v>
      </c>
      <c r="J96" s="19">
        <v>3</v>
      </c>
      <c r="K96" s="18" t="s">
        <v>345</v>
      </c>
      <c r="L96" s="18" t="s">
        <v>149</v>
      </c>
      <c r="M96" s="16" t="s">
        <v>148</v>
      </c>
      <c r="N96" s="18"/>
    </row>
    <row r="97" spans="1:14">
      <c r="A97" s="24">
        <v>46210</v>
      </c>
      <c r="B97" s="5" t="s">
        <v>323</v>
      </c>
      <c r="C97" s="5" t="s">
        <v>180</v>
      </c>
      <c r="D97" s="5" t="s">
        <v>3</v>
      </c>
      <c r="E97" s="5" t="s">
        <v>3</v>
      </c>
      <c r="F97" s="5" t="s">
        <v>355</v>
      </c>
      <c r="G97" s="5" t="s">
        <v>237</v>
      </c>
      <c r="H97" s="5"/>
      <c r="I97" s="5" t="s">
        <v>216</v>
      </c>
      <c r="J97" s="7">
        <v>1</v>
      </c>
      <c r="K97" s="5" t="s">
        <v>345</v>
      </c>
      <c r="L97" s="5" t="s">
        <v>149</v>
      </c>
      <c r="M97" s="16" t="s">
        <v>148</v>
      </c>
      <c r="N97" s="5"/>
    </row>
    <row r="98" spans="1:14">
      <c r="A98" s="25">
        <v>46212</v>
      </c>
      <c r="B98" s="18" t="s">
        <v>323</v>
      </c>
      <c r="C98" s="18" t="s">
        <v>180</v>
      </c>
      <c r="D98" s="18" t="s">
        <v>3</v>
      </c>
      <c r="E98" s="18" t="s">
        <v>3</v>
      </c>
      <c r="F98" s="18" t="s">
        <v>355</v>
      </c>
      <c r="G98" s="18" t="s">
        <v>252</v>
      </c>
      <c r="H98" s="18"/>
      <c r="I98" s="18" t="s">
        <v>40</v>
      </c>
      <c r="J98" s="19">
        <v>1</v>
      </c>
      <c r="K98" s="18" t="s">
        <v>345</v>
      </c>
      <c r="L98" s="18" t="s">
        <v>149</v>
      </c>
      <c r="M98" s="16" t="s">
        <v>148</v>
      </c>
      <c r="N98" s="18"/>
    </row>
    <row r="99" spans="1:14">
      <c r="A99" s="24">
        <v>46212</v>
      </c>
      <c r="B99" s="5" t="s">
        <v>323</v>
      </c>
      <c r="C99" s="5" t="s">
        <v>180</v>
      </c>
      <c r="D99" s="5" t="s">
        <v>3</v>
      </c>
      <c r="E99" s="5" t="s">
        <v>3</v>
      </c>
      <c r="F99" s="5" t="s">
        <v>355</v>
      </c>
      <c r="G99" s="5" t="s">
        <v>249</v>
      </c>
      <c r="H99" s="5"/>
      <c r="I99" s="5" t="s">
        <v>40</v>
      </c>
      <c r="J99" s="7">
        <v>1</v>
      </c>
      <c r="K99" s="5" t="s">
        <v>345</v>
      </c>
      <c r="L99" s="5" t="s">
        <v>149</v>
      </c>
      <c r="M99" s="16" t="s">
        <v>148</v>
      </c>
      <c r="N99" s="5"/>
    </row>
    <row r="100" spans="1:14">
      <c r="A100" s="25">
        <v>46212</v>
      </c>
      <c r="B100" s="18" t="s">
        <v>323</v>
      </c>
      <c r="C100" s="18" t="s">
        <v>180</v>
      </c>
      <c r="D100" s="18" t="s">
        <v>3</v>
      </c>
      <c r="E100" s="18" t="s">
        <v>3</v>
      </c>
      <c r="F100" s="18" t="s">
        <v>348</v>
      </c>
      <c r="G100" s="18" t="s">
        <v>188</v>
      </c>
      <c r="H100" s="18"/>
      <c r="I100" s="18" t="s">
        <v>216</v>
      </c>
      <c r="J100" s="19">
        <v>1</v>
      </c>
      <c r="K100" s="18" t="s">
        <v>345</v>
      </c>
      <c r="L100" s="18" t="s">
        <v>149</v>
      </c>
      <c r="M100" s="16" t="s">
        <v>148</v>
      </c>
      <c r="N100" s="18"/>
    </row>
    <row r="101" spans="1:14">
      <c r="A101" s="24">
        <v>46212</v>
      </c>
      <c r="B101" s="5" t="s">
        <v>323</v>
      </c>
      <c r="C101" s="5" t="s">
        <v>180</v>
      </c>
      <c r="D101" s="5" t="s">
        <v>3</v>
      </c>
      <c r="E101" s="5" t="s">
        <v>3</v>
      </c>
      <c r="F101" s="5" t="s">
        <v>348</v>
      </c>
      <c r="G101" s="5" t="s">
        <v>217</v>
      </c>
      <c r="H101" s="5"/>
      <c r="I101" s="5" t="s">
        <v>216</v>
      </c>
      <c r="J101" s="7">
        <v>1</v>
      </c>
      <c r="K101" s="5" t="s">
        <v>345</v>
      </c>
      <c r="L101" s="5" t="s">
        <v>149</v>
      </c>
      <c r="M101" s="16" t="s">
        <v>148</v>
      </c>
      <c r="N101" s="5"/>
    </row>
    <row r="102" spans="1:14">
      <c r="A102" s="25">
        <v>46212</v>
      </c>
      <c r="B102" s="18" t="s">
        <v>323</v>
      </c>
      <c r="C102" s="18" t="s">
        <v>180</v>
      </c>
      <c r="D102" s="18" t="s">
        <v>3</v>
      </c>
      <c r="E102" s="18" t="s">
        <v>3</v>
      </c>
      <c r="F102" s="18" t="s">
        <v>371</v>
      </c>
      <c r="G102" s="18" t="s">
        <v>217</v>
      </c>
      <c r="H102" s="18"/>
      <c r="I102" s="18" t="s">
        <v>216</v>
      </c>
      <c r="J102" s="19">
        <v>2</v>
      </c>
      <c r="K102" s="18" t="s">
        <v>345</v>
      </c>
      <c r="L102" s="18" t="s">
        <v>149</v>
      </c>
      <c r="M102" s="16" t="s">
        <v>148</v>
      </c>
      <c r="N102" s="18"/>
    </row>
    <row r="103" spans="1:14">
      <c r="A103" s="24">
        <v>46212</v>
      </c>
      <c r="B103" s="5" t="s">
        <v>323</v>
      </c>
      <c r="C103" s="5" t="s">
        <v>180</v>
      </c>
      <c r="D103" s="5" t="s">
        <v>3</v>
      </c>
      <c r="E103" s="5" t="s">
        <v>3</v>
      </c>
      <c r="F103" s="5" t="s">
        <v>372</v>
      </c>
      <c r="G103" s="5" t="s">
        <v>242</v>
      </c>
      <c r="H103" s="5"/>
      <c r="I103" s="5" t="s">
        <v>216</v>
      </c>
      <c r="J103" s="7">
        <v>1</v>
      </c>
      <c r="K103" s="5" t="s">
        <v>345</v>
      </c>
      <c r="L103" s="5" t="s">
        <v>149</v>
      </c>
      <c r="M103" s="16" t="s">
        <v>148</v>
      </c>
      <c r="N103" s="5"/>
    </row>
    <row r="104" spans="1:14">
      <c r="A104" s="25">
        <v>46212</v>
      </c>
      <c r="B104" s="18" t="s">
        <v>323</v>
      </c>
      <c r="C104" s="18" t="s">
        <v>180</v>
      </c>
      <c r="D104" s="18" t="s">
        <v>3</v>
      </c>
      <c r="E104" s="18" t="s">
        <v>3</v>
      </c>
      <c r="F104" s="18" t="s">
        <v>372</v>
      </c>
      <c r="G104" s="18" t="s">
        <v>227</v>
      </c>
      <c r="H104" s="18"/>
      <c r="I104" s="18" t="s">
        <v>216</v>
      </c>
      <c r="J104" s="19">
        <v>1</v>
      </c>
      <c r="K104" s="18" t="s">
        <v>345</v>
      </c>
      <c r="L104" s="18" t="s">
        <v>149</v>
      </c>
      <c r="M104" s="16" t="s">
        <v>148</v>
      </c>
      <c r="N104" s="18"/>
    </row>
    <row r="105" spans="1:14">
      <c r="A105" s="24">
        <v>46212</v>
      </c>
      <c r="B105" s="5" t="s">
        <v>323</v>
      </c>
      <c r="C105" s="5" t="s">
        <v>180</v>
      </c>
      <c r="D105" s="5" t="s">
        <v>3</v>
      </c>
      <c r="E105" s="5" t="s">
        <v>3</v>
      </c>
      <c r="F105" s="5" t="s">
        <v>355</v>
      </c>
      <c r="G105" s="5" t="s">
        <v>215</v>
      </c>
      <c r="H105" s="5"/>
      <c r="I105" s="5" t="s">
        <v>216</v>
      </c>
      <c r="J105" s="7">
        <v>4</v>
      </c>
      <c r="K105" s="5" t="s">
        <v>345</v>
      </c>
      <c r="L105" s="5" t="s">
        <v>149</v>
      </c>
      <c r="M105" s="16" t="s">
        <v>148</v>
      </c>
      <c r="N105" s="5"/>
    </row>
    <row r="106" spans="1:14">
      <c r="A106" s="25">
        <v>46212</v>
      </c>
      <c r="B106" s="18" t="s">
        <v>323</v>
      </c>
      <c r="C106" s="18" t="s">
        <v>180</v>
      </c>
      <c r="D106" s="18" t="s">
        <v>3</v>
      </c>
      <c r="E106" s="18" t="s">
        <v>3</v>
      </c>
      <c r="F106" s="18" t="s">
        <v>373</v>
      </c>
      <c r="G106" s="18" t="s">
        <v>217</v>
      </c>
      <c r="H106" s="18"/>
      <c r="I106" s="18" t="s">
        <v>216</v>
      </c>
      <c r="J106" s="19">
        <v>2</v>
      </c>
      <c r="K106" s="18" t="s">
        <v>345</v>
      </c>
      <c r="L106" s="18" t="s">
        <v>149</v>
      </c>
      <c r="M106" s="16" t="s">
        <v>148</v>
      </c>
      <c r="N106" s="18"/>
    </row>
    <row r="107" spans="1:14">
      <c r="A107" s="24">
        <v>46212</v>
      </c>
      <c r="B107" s="5" t="s">
        <v>323</v>
      </c>
      <c r="C107" s="5" t="s">
        <v>180</v>
      </c>
      <c r="D107" s="5" t="s">
        <v>3</v>
      </c>
      <c r="E107" s="5" t="s">
        <v>3</v>
      </c>
      <c r="F107" s="5" t="s">
        <v>373</v>
      </c>
      <c r="G107" s="5" t="s">
        <v>188</v>
      </c>
      <c r="H107" s="5"/>
      <c r="I107" s="5" t="s">
        <v>216</v>
      </c>
      <c r="J107" s="7">
        <v>1</v>
      </c>
      <c r="K107" s="5" t="s">
        <v>345</v>
      </c>
      <c r="L107" s="5" t="s">
        <v>149</v>
      </c>
      <c r="M107" s="16" t="s">
        <v>148</v>
      </c>
      <c r="N107" s="5"/>
    </row>
    <row r="108" spans="1:14">
      <c r="A108" s="25">
        <v>46213</v>
      </c>
      <c r="B108" s="18" t="s">
        <v>323</v>
      </c>
      <c r="C108" s="18" t="s">
        <v>180</v>
      </c>
      <c r="D108" s="18" t="s">
        <v>3</v>
      </c>
      <c r="E108" s="18" t="s">
        <v>3</v>
      </c>
      <c r="F108" s="18" t="s">
        <v>355</v>
      </c>
      <c r="G108" s="18" t="s">
        <v>217</v>
      </c>
      <c r="H108" s="18"/>
      <c r="I108" s="18" t="s">
        <v>216</v>
      </c>
      <c r="J108" s="19">
        <v>4</v>
      </c>
      <c r="K108" s="18" t="s">
        <v>345</v>
      </c>
      <c r="L108" s="18" t="s">
        <v>149</v>
      </c>
      <c r="M108" s="16" t="s">
        <v>148</v>
      </c>
      <c r="N108" s="18"/>
    </row>
    <row r="109" spans="1:14">
      <c r="A109" s="24">
        <v>46213</v>
      </c>
      <c r="B109" s="5" t="s">
        <v>323</v>
      </c>
      <c r="C109" s="5" t="s">
        <v>180</v>
      </c>
      <c r="D109" s="5" t="s">
        <v>3</v>
      </c>
      <c r="E109" s="5" t="s">
        <v>3</v>
      </c>
      <c r="F109" s="5" t="s">
        <v>355</v>
      </c>
      <c r="G109" s="5" t="s">
        <v>41</v>
      </c>
      <c r="H109" s="5"/>
      <c r="I109" s="5" t="s">
        <v>40</v>
      </c>
      <c r="J109" s="7">
        <v>10</v>
      </c>
      <c r="K109" s="5" t="s">
        <v>345</v>
      </c>
      <c r="L109" s="5" t="s">
        <v>149</v>
      </c>
      <c r="M109" s="16" t="s">
        <v>148</v>
      </c>
      <c r="N109" s="5"/>
    </row>
    <row r="110" spans="1:14">
      <c r="A110" s="25">
        <v>46213</v>
      </c>
      <c r="B110" s="18" t="s">
        <v>323</v>
      </c>
      <c r="C110" s="18" t="s">
        <v>180</v>
      </c>
      <c r="D110" s="18" t="s">
        <v>3</v>
      </c>
      <c r="E110" s="18" t="s">
        <v>3</v>
      </c>
      <c r="F110" s="18" t="s">
        <v>355</v>
      </c>
      <c r="G110" s="18" t="s">
        <v>43</v>
      </c>
      <c r="H110" s="18"/>
      <c r="I110" s="18" t="s">
        <v>40</v>
      </c>
      <c r="J110" s="19">
        <v>10</v>
      </c>
      <c r="K110" s="18" t="s">
        <v>345</v>
      </c>
      <c r="L110" s="18" t="s">
        <v>149</v>
      </c>
      <c r="M110" s="16" t="s">
        <v>148</v>
      </c>
      <c r="N110" s="18"/>
    </row>
    <row r="111" spans="1:14">
      <c r="A111" s="24">
        <v>46213</v>
      </c>
      <c r="B111" s="5" t="s">
        <v>323</v>
      </c>
      <c r="C111" s="5" t="s">
        <v>180</v>
      </c>
      <c r="D111" s="5" t="s">
        <v>3</v>
      </c>
      <c r="E111" s="5" t="s">
        <v>3</v>
      </c>
      <c r="F111" s="5" t="s">
        <v>355</v>
      </c>
      <c r="G111" s="5" t="s">
        <v>42</v>
      </c>
      <c r="H111" s="5"/>
      <c r="I111" s="5" t="s">
        <v>40</v>
      </c>
      <c r="J111" s="7">
        <v>10</v>
      </c>
      <c r="K111" s="5" t="s">
        <v>345</v>
      </c>
      <c r="L111" s="5" t="s">
        <v>149</v>
      </c>
      <c r="M111" s="16" t="s">
        <v>148</v>
      </c>
      <c r="N111" s="5"/>
    </row>
    <row r="112" spans="1:14">
      <c r="A112" s="25">
        <v>46213</v>
      </c>
      <c r="B112" s="18" t="s">
        <v>323</v>
      </c>
      <c r="C112" s="18" t="s">
        <v>180</v>
      </c>
      <c r="D112" s="18" t="s">
        <v>3</v>
      </c>
      <c r="E112" s="18" t="s">
        <v>3</v>
      </c>
      <c r="F112" s="18" t="s">
        <v>348</v>
      </c>
      <c r="G112" s="18" t="s">
        <v>48</v>
      </c>
      <c r="H112" s="18"/>
      <c r="I112" s="18" t="s">
        <v>47</v>
      </c>
      <c r="J112" s="19">
        <v>5</v>
      </c>
      <c r="K112" s="18" t="s">
        <v>345</v>
      </c>
      <c r="L112" s="18" t="s">
        <v>149</v>
      </c>
      <c r="M112" s="16" t="s">
        <v>148</v>
      </c>
      <c r="N112" s="18"/>
    </row>
    <row r="113" spans="1:14">
      <c r="A113" s="24">
        <v>46216</v>
      </c>
      <c r="B113" s="5" t="s">
        <v>324</v>
      </c>
      <c r="C113" s="5" t="s">
        <v>180</v>
      </c>
      <c r="D113" s="5" t="s">
        <v>3</v>
      </c>
      <c r="E113" s="5" t="s">
        <v>3</v>
      </c>
      <c r="F113" s="5" t="s">
        <v>374</v>
      </c>
      <c r="G113" s="5" t="s">
        <v>217</v>
      </c>
      <c r="H113" s="5"/>
      <c r="I113" s="5" t="s">
        <v>216</v>
      </c>
      <c r="J113" s="7">
        <v>2</v>
      </c>
      <c r="K113" s="5" t="s">
        <v>345</v>
      </c>
      <c r="L113" s="5" t="s">
        <v>149</v>
      </c>
      <c r="M113" s="16" t="s">
        <v>148</v>
      </c>
      <c r="N113" s="5"/>
    </row>
    <row r="114" spans="1:14">
      <c r="A114" s="25">
        <v>46216</v>
      </c>
      <c r="B114" s="18" t="s">
        <v>324</v>
      </c>
      <c r="C114" s="18" t="s">
        <v>180</v>
      </c>
      <c r="D114" s="18" t="s">
        <v>3</v>
      </c>
      <c r="E114" s="18" t="s">
        <v>3</v>
      </c>
      <c r="F114" s="18" t="s">
        <v>355</v>
      </c>
      <c r="G114" s="18" t="s">
        <v>50</v>
      </c>
      <c r="H114" s="18"/>
      <c r="I114" s="18" t="s">
        <v>40</v>
      </c>
      <c r="J114" s="19">
        <v>15</v>
      </c>
      <c r="K114" s="18" t="s">
        <v>345</v>
      </c>
      <c r="L114" s="18" t="s">
        <v>149</v>
      </c>
      <c r="M114" s="16" t="s">
        <v>148</v>
      </c>
      <c r="N114" s="18"/>
    </row>
    <row r="115" spans="1:14">
      <c r="A115" s="24">
        <v>46216</v>
      </c>
      <c r="B115" s="5" t="s">
        <v>324</v>
      </c>
      <c r="C115" s="5" t="s">
        <v>180</v>
      </c>
      <c r="D115" s="5" t="s">
        <v>3</v>
      </c>
      <c r="E115" s="5" t="s">
        <v>3</v>
      </c>
      <c r="F115" s="5" t="s">
        <v>355</v>
      </c>
      <c r="G115" s="5" t="s">
        <v>224</v>
      </c>
      <c r="H115" s="5"/>
      <c r="I115" s="5" t="s">
        <v>40</v>
      </c>
      <c r="J115" s="7">
        <v>10</v>
      </c>
      <c r="K115" s="5" t="s">
        <v>345</v>
      </c>
      <c r="L115" s="5" t="s">
        <v>149</v>
      </c>
      <c r="M115" s="16" t="s">
        <v>148</v>
      </c>
      <c r="N115" s="5"/>
    </row>
    <row r="116" spans="1:14">
      <c r="A116" s="25">
        <v>46216</v>
      </c>
      <c r="B116" s="18" t="s">
        <v>324</v>
      </c>
      <c r="C116" s="18" t="s">
        <v>180</v>
      </c>
      <c r="D116" s="18" t="s">
        <v>3</v>
      </c>
      <c r="E116" s="18" t="s">
        <v>3</v>
      </c>
      <c r="F116" s="18" t="s">
        <v>374</v>
      </c>
      <c r="G116" s="18" t="s">
        <v>215</v>
      </c>
      <c r="H116" s="18"/>
      <c r="I116" s="18" t="s">
        <v>216</v>
      </c>
      <c r="J116" s="19">
        <v>2</v>
      </c>
      <c r="K116" s="18" t="s">
        <v>345</v>
      </c>
      <c r="L116" s="18" t="s">
        <v>149</v>
      </c>
      <c r="M116" s="16" t="s">
        <v>148</v>
      </c>
      <c r="N116" s="18"/>
    </row>
    <row r="117" spans="1:14">
      <c r="A117" s="24">
        <v>46216</v>
      </c>
      <c r="B117" s="5" t="s">
        <v>324</v>
      </c>
      <c r="C117" s="5" t="s">
        <v>180</v>
      </c>
      <c r="D117" s="5" t="s">
        <v>3</v>
      </c>
      <c r="E117" s="5" t="s">
        <v>3</v>
      </c>
      <c r="F117" s="5" t="s">
        <v>374</v>
      </c>
      <c r="G117" s="5" t="s">
        <v>239</v>
      </c>
      <c r="H117" s="5"/>
      <c r="I117" s="5" t="s">
        <v>216</v>
      </c>
      <c r="J117" s="7">
        <v>1</v>
      </c>
      <c r="K117" s="5" t="s">
        <v>153</v>
      </c>
      <c r="L117" s="5" t="s">
        <v>153</v>
      </c>
      <c r="M117" s="17" t="s">
        <v>153</v>
      </c>
      <c r="N117" s="5"/>
    </row>
    <row r="118" spans="1:14">
      <c r="A118" s="25">
        <v>46217</v>
      </c>
      <c r="B118" s="18" t="s">
        <v>324</v>
      </c>
      <c r="C118" s="18" t="s">
        <v>180</v>
      </c>
      <c r="D118" s="18" t="s">
        <v>3</v>
      </c>
      <c r="E118" s="18" t="s">
        <v>158</v>
      </c>
      <c r="F118" s="18" t="s">
        <v>375</v>
      </c>
      <c r="G118" s="18" t="s">
        <v>48</v>
      </c>
      <c r="H118" s="18"/>
      <c r="I118" s="18" t="s">
        <v>47</v>
      </c>
      <c r="J118" s="19">
        <v>2</v>
      </c>
      <c r="K118" s="18" t="s">
        <v>345</v>
      </c>
      <c r="L118" s="18" t="s">
        <v>149</v>
      </c>
      <c r="M118" s="16" t="s">
        <v>148</v>
      </c>
      <c r="N118" s="18"/>
    </row>
    <row r="119" spans="1:14">
      <c r="A119" s="24">
        <v>46217</v>
      </c>
      <c r="B119" s="5" t="s">
        <v>324</v>
      </c>
      <c r="C119" s="5" t="s">
        <v>180</v>
      </c>
      <c r="D119" s="5" t="s">
        <v>3</v>
      </c>
      <c r="E119" s="5" t="s">
        <v>159</v>
      </c>
      <c r="F119" s="5" t="s">
        <v>358</v>
      </c>
      <c r="G119" s="5" t="s">
        <v>258</v>
      </c>
      <c r="H119" s="5"/>
      <c r="I119" s="5" t="s">
        <v>216</v>
      </c>
      <c r="J119" s="7">
        <v>1</v>
      </c>
      <c r="K119" s="5" t="s">
        <v>345</v>
      </c>
      <c r="L119" s="5" t="s">
        <v>149</v>
      </c>
      <c r="M119" s="16" t="s">
        <v>148</v>
      </c>
      <c r="N119" s="5"/>
    </row>
    <row r="120" spans="1:14">
      <c r="A120" s="25">
        <v>46217</v>
      </c>
      <c r="B120" s="18" t="s">
        <v>324</v>
      </c>
      <c r="C120" s="18" t="s">
        <v>180</v>
      </c>
      <c r="D120" s="18" t="s">
        <v>3</v>
      </c>
      <c r="E120" s="18" t="s">
        <v>159</v>
      </c>
      <c r="F120" s="18" t="s">
        <v>364</v>
      </c>
      <c r="G120" s="18" t="s">
        <v>193</v>
      </c>
      <c r="H120" s="18"/>
      <c r="I120" s="18" t="s">
        <v>216</v>
      </c>
      <c r="J120" s="19">
        <v>1</v>
      </c>
      <c r="K120" s="18" t="s">
        <v>153</v>
      </c>
      <c r="L120" s="18" t="s">
        <v>153</v>
      </c>
      <c r="M120" s="17" t="s">
        <v>153</v>
      </c>
      <c r="N120" s="18"/>
    </row>
    <row r="121" spans="1:14">
      <c r="A121" s="24">
        <v>46217</v>
      </c>
      <c r="B121" s="5" t="s">
        <v>324</v>
      </c>
      <c r="C121" s="5" t="s">
        <v>180</v>
      </c>
      <c r="D121" s="5" t="s">
        <v>3</v>
      </c>
      <c r="E121" s="5" t="s">
        <v>159</v>
      </c>
      <c r="F121" s="5" t="s">
        <v>364</v>
      </c>
      <c r="G121" s="5" t="s">
        <v>192</v>
      </c>
      <c r="H121" s="5"/>
      <c r="I121" s="5" t="s">
        <v>216</v>
      </c>
      <c r="J121" s="7">
        <v>1</v>
      </c>
      <c r="K121" s="5" t="s">
        <v>345</v>
      </c>
      <c r="L121" s="5" t="s">
        <v>149</v>
      </c>
      <c r="M121" s="16" t="s">
        <v>148</v>
      </c>
      <c r="N121" s="5"/>
    </row>
    <row r="122" spans="1:14">
      <c r="A122" s="25">
        <v>46217</v>
      </c>
      <c r="B122" s="18" t="s">
        <v>324</v>
      </c>
      <c r="C122" s="18" t="s">
        <v>180</v>
      </c>
      <c r="D122" s="18" t="s">
        <v>3</v>
      </c>
      <c r="E122" s="18" t="s">
        <v>159</v>
      </c>
      <c r="F122" s="18" t="s">
        <v>364</v>
      </c>
      <c r="G122" s="18" t="s">
        <v>225</v>
      </c>
      <c r="H122" s="18"/>
      <c r="I122" s="18" t="s">
        <v>216</v>
      </c>
      <c r="J122" s="19">
        <v>10</v>
      </c>
      <c r="K122" s="18" t="s">
        <v>345</v>
      </c>
      <c r="L122" s="18" t="s">
        <v>149</v>
      </c>
      <c r="M122" s="16" t="s">
        <v>148</v>
      </c>
      <c r="N122" s="18"/>
    </row>
    <row r="123" spans="1:14">
      <c r="A123" s="24">
        <v>46217</v>
      </c>
      <c r="B123" s="5" t="s">
        <v>324</v>
      </c>
      <c r="C123" s="5" t="s">
        <v>180</v>
      </c>
      <c r="D123" s="5" t="s">
        <v>3</v>
      </c>
      <c r="E123" s="5" t="s">
        <v>160</v>
      </c>
      <c r="F123" s="5" t="s">
        <v>376</v>
      </c>
      <c r="G123" s="5" t="s">
        <v>230</v>
      </c>
      <c r="H123" s="5"/>
      <c r="I123" s="5" t="s">
        <v>47</v>
      </c>
      <c r="J123" s="7">
        <v>1</v>
      </c>
      <c r="K123" s="5" t="s">
        <v>345</v>
      </c>
      <c r="L123" s="5" t="s">
        <v>149</v>
      </c>
      <c r="M123" s="16" t="s">
        <v>148</v>
      </c>
      <c r="N123" s="5"/>
    </row>
    <row r="124" spans="1:14">
      <c r="A124" s="25">
        <v>46217</v>
      </c>
      <c r="B124" s="18" t="s">
        <v>324</v>
      </c>
      <c r="C124" s="18" t="s">
        <v>180</v>
      </c>
      <c r="D124" s="18" t="s">
        <v>3</v>
      </c>
      <c r="E124" s="18" t="s">
        <v>162</v>
      </c>
      <c r="F124" s="18" t="s">
        <v>353</v>
      </c>
      <c r="G124" s="18" t="s">
        <v>188</v>
      </c>
      <c r="H124" s="18"/>
      <c r="I124" s="18" t="s">
        <v>216</v>
      </c>
      <c r="J124" s="19">
        <v>1</v>
      </c>
      <c r="K124" s="18" t="s">
        <v>153</v>
      </c>
      <c r="L124" s="18" t="s">
        <v>153</v>
      </c>
      <c r="M124" s="17" t="s">
        <v>153</v>
      </c>
      <c r="N124" s="18"/>
    </row>
    <row r="125" spans="1:14">
      <c r="A125" s="24">
        <v>46217</v>
      </c>
      <c r="B125" s="5" t="s">
        <v>324</v>
      </c>
      <c r="C125" s="5" t="s">
        <v>180</v>
      </c>
      <c r="D125" s="5" t="s">
        <v>3</v>
      </c>
      <c r="E125" s="5" t="s">
        <v>3</v>
      </c>
      <c r="F125" s="5" t="s">
        <v>374</v>
      </c>
      <c r="G125" s="5" t="s">
        <v>218</v>
      </c>
      <c r="H125" s="5"/>
      <c r="I125" s="5" t="s">
        <v>219</v>
      </c>
      <c r="J125" s="7">
        <v>15</v>
      </c>
      <c r="K125" s="5" t="s">
        <v>345</v>
      </c>
      <c r="L125" s="5" t="s">
        <v>149</v>
      </c>
      <c r="M125" s="16" t="s">
        <v>148</v>
      </c>
      <c r="N125" s="5"/>
    </row>
    <row r="126" spans="1:14">
      <c r="A126" s="25">
        <v>46217</v>
      </c>
      <c r="B126" s="18" t="s">
        <v>324</v>
      </c>
      <c r="C126" s="18" t="s">
        <v>180</v>
      </c>
      <c r="D126" s="18" t="s">
        <v>3</v>
      </c>
      <c r="E126" s="18" t="s">
        <v>3</v>
      </c>
      <c r="F126" s="18" t="s">
        <v>355</v>
      </c>
      <c r="G126" s="18" t="s">
        <v>41</v>
      </c>
      <c r="H126" s="18"/>
      <c r="I126" s="18" t="s">
        <v>40</v>
      </c>
      <c r="J126" s="19">
        <v>30</v>
      </c>
      <c r="K126" s="18" t="s">
        <v>345</v>
      </c>
      <c r="L126" s="18" t="s">
        <v>149</v>
      </c>
      <c r="M126" s="16" t="s">
        <v>148</v>
      </c>
      <c r="N126" s="18"/>
    </row>
    <row r="127" spans="1:14">
      <c r="A127" s="24">
        <v>46218</v>
      </c>
      <c r="B127" s="5" t="s">
        <v>324</v>
      </c>
      <c r="C127" s="5" t="s">
        <v>180</v>
      </c>
      <c r="D127" s="5" t="s">
        <v>3</v>
      </c>
      <c r="E127" s="5" t="s">
        <v>159</v>
      </c>
      <c r="F127" s="5" t="s">
        <v>377</v>
      </c>
      <c r="G127" s="5" t="s">
        <v>227</v>
      </c>
      <c r="H127" s="5"/>
      <c r="I127" s="5" t="s">
        <v>216</v>
      </c>
      <c r="J127" s="7">
        <v>1</v>
      </c>
      <c r="K127" s="5" t="s">
        <v>345</v>
      </c>
      <c r="L127" s="5" t="s">
        <v>149</v>
      </c>
      <c r="M127" s="16" t="s">
        <v>148</v>
      </c>
      <c r="N127" s="5"/>
    </row>
    <row r="128" spans="1:14">
      <c r="A128" s="25">
        <v>46218</v>
      </c>
      <c r="B128" s="18" t="s">
        <v>324</v>
      </c>
      <c r="C128" s="18" t="s">
        <v>180</v>
      </c>
      <c r="D128" s="18" t="s">
        <v>3</v>
      </c>
      <c r="E128" s="18" t="s">
        <v>159</v>
      </c>
      <c r="F128" s="18" t="s">
        <v>377</v>
      </c>
      <c r="G128" s="18" t="s">
        <v>232</v>
      </c>
      <c r="H128" s="18"/>
      <c r="I128" s="18" t="s">
        <v>216</v>
      </c>
      <c r="J128" s="19">
        <v>1</v>
      </c>
      <c r="K128" s="18" t="s">
        <v>345</v>
      </c>
      <c r="L128" s="18" t="s">
        <v>149</v>
      </c>
      <c r="M128" s="16" t="s">
        <v>148</v>
      </c>
      <c r="N128" s="18"/>
    </row>
    <row r="129" spans="1:14">
      <c r="A129" s="24">
        <v>46218</v>
      </c>
      <c r="B129" s="5" t="s">
        <v>324</v>
      </c>
      <c r="C129" s="5" t="s">
        <v>180</v>
      </c>
      <c r="D129" s="5" t="s">
        <v>3</v>
      </c>
      <c r="E129" s="5" t="s">
        <v>159</v>
      </c>
      <c r="F129" s="5" t="s">
        <v>377</v>
      </c>
      <c r="G129" s="5" t="s">
        <v>255</v>
      </c>
      <c r="H129" s="5"/>
      <c r="I129" s="5" t="s">
        <v>216</v>
      </c>
      <c r="J129" s="7">
        <v>1</v>
      </c>
      <c r="K129" s="5" t="s">
        <v>345</v>
      </c>
      <c r="L129" s="5" t="s">
        <v>149</v>
      </c>
      <c r="M129" s="16" t="s">
        <v>148</v>
      </c>
      <c r="N129" s="5"/>
    </row>
    <row r="130" spans="1:14">
      <c r="A130" s="25">
        <v>46218</v>
      </c>
      <c r="B130" s="18" t="s">
        <v>324</v>
      </c>
      <c r="C130" s="18" t="s">
        <v>180</v>
      </c>
      <c r="D130" s="18" t="s">
        <v>3</v>
      </c>
      <c r="E130" s="18" t="s">
        <v>159</v>
      </c>
      <c r="F130" s="18" t="s">
        <v>377</v>
      </c>
      <c r="G130" s="18" t="s">
        <v>192</v>
      </c>
      <c r="H130" s="18"/>
      <c r="I130" s="18" t="s">
        <v>216</v>
      </c>
      <c r="J130" s="19">
        <v>1</v>
      </c>
      <c r="K130" s="18" t="s">
        <v>153</v>
      </c>
      <c r="L130" s="18" t="s">
        <v>153</v>
      </c>
      <c r="M130" s="17" t="s">
        <v>153</v>
      </c>
      <c r="N130" s="18"/>
    </row>
    <row r="131" spans="1:14">
      <c r="A131" s="24">
        <v>46218</v>
      </c>
      <c r="B131" s="5" t="s">
        <v>324</v>
      </c>
      <c r="C131" s="5" t="s">
        <v>180</v>
      </c>
      <c r="D131" s="5" t="s">
        <v>3</v>
      </c>
      <c r="E131" s="5" t="s">
        <v>3</v>
      </c>
      <c r="F131" s="5" t="s">
        <v>350</v>
      </c>
      <c r="G131" s="5" t="s">
        <v>220</v>
      </c>
      <c r="H131" s="5"/>
      <c r="I131" s="5" t="s">
        <v>40</v>
      </c>
      <c r="J131" s="7">
        <v>1</v>
      </c>
      <c r="K131" s="5" t="s">
        <v>345</v>
      </c>
      <c r="L131" s="5" t="s">
        <v>149</v>
      </c>
      <c r="M131" s="16" t="s">
        <v>148</v>
      </c>
      <c r="N131" s="5"/>
    </row>
    <row r="132" spans="1:14">
      <c r="A132" s="25">
        <v>46218</v>
      </c>
      <c r="B132" s="18" t="s">
        <v>324</v>
      </c>
      <c r="C132" s="18" t="s">
        <v>180</v>
      </c>
      <c r="D132" s="18" t="s">
        <v>3</v>
      </c>
      <c r="E132" s="18" t="s">
        <v>3</v>
      </c>
      <c r="F132" s="18" t="s">
        <v>350</v>
      </c>
      <c r="G132" s="18" t="s">
        <v>193</v>
      </c>
      <c r="H132" s="18"/>
      <c r="I132" s="18" t="s">
        <v>216</v>
      </c>
      <c r="J132" s="19">
        <v>1</v>
      </c>
      <c r="K132" s="18" t="s">
        <v>153</v>
      </c>
      <c r="L132" s="18" t="s">
        <v>153</v>
      </c>
      <c r="M132" s="17" t="s">
        <v>153</v>
      </c>
      <c r="N132" s="18"/>
    </row>
    <row r="133" spans="1:14">
      <c r="A133" s="24">
        <v>46218</v>
      </c>
      <c r="B133" s="5" t="s">
        <v>324</v>
      </c>
      <c r="C133" s="5" t="s">
        <v>180</v>
      </c>
      <c r="D133" s="5" t="s">
        <v>3</v>
      </c>
      <c r="E133" s="5" t="s">
        <v>3</v>
      </c>
      <c r="F133" s="5" t="s">
        <v>350</v>
      </c>
      <c r="G133" s="5" t="s">
        <v>192</v>
      </c>
      <c r="H133" s="5"/>
      <c r="I133" s="5" t="s">
        <v>216</v>
      </c>
      <c r="J133" s="7">
        <v>1</v>
      </c>
      <c r="K133" s="5" t="s">
        <v>153</v>
      </c>
      <c r="L133" s="5" t="s">
        <v>153</v>
      </c>
      <c r="M133" s="17" t="s">
        <v>153</v>
      </c>
      <c r="N133" s="5"/>
    </row>
    <row r="134" spans="1:14">
      <c r="A134" s="25">
        <v>46219</v>
      </c>
      <c r="B134" s="18" t="s">
        <v>324</v>
      </c>
      <c r="C134" s="18" t="s">
        <v>180</v>
      </c>
      <c r="D134" s="18" t="s">
        <v>3</v>
      </c>
      <c r="E134" s="18" t="s">
        <v>159</v>
      </c>
      <c r="F134" s="18" t="s">
        <v>364</v>
      </c>
      <c r="G134" s="18" t="s">
        <v>227</v>
      </c>
      <c r="H134" s="18"/>
      <c r="I134" s="18" t="s">
        <v>216</v>
      </c>
      <c r="J134" s="19">
        <v>1</v>
      </c>
      <c r="K134" s="18" t="s">
        <v>153</v>
      </c>
      <c r="L134" s="18" t="s">
        <v>153</v>
      </c>
      <c r="M134" s="17" t="s">
        <v>153</v>
      </c>
      <c r="N134" s="18"/>
    </row>
    <row r="135" spans="1:14">
      <c r="A135" s="24">
        <v>46223</v>
      </c>
      <c r="B135" s="5" t="s">
        <v>325</v>
      </c>
      <c r="C135" s="5" t="s">
        <v>180</v>
      </c>
      <c r="D135" s="5" t="s">
        <v>3</v>
      </c>
      <c r="E135" s="5" t="s">
        <v>3</v>
      </c>
      <c r="F135" s="5" t="s">
        <v>378</v>
      </c>
      <c r="G135" s="5" t="s">
        <v>262</v>
      </c>
      <c r="H135" s="5"/>
      <c r="I135" s="5" t="s">
        <v>257</v>
      </c>
      <c r="J135" s="7">
        <v>1</v>
      </c>
      <c r="K135" s="5" t="s">
        <v>345</v>
      </c>
      <c r="L135" s="5" t="s">
        <v>149</v>
      </c>
      <c r="M135" s="16" t="s">
        <v>148</v>
      </c>
      <c r="N135" s="5"/>
    </row>
    <row r="136" spans="1:14">
      <c r="A136" s="25">
        <v>46223</v>
      </c>
      <c r="B136" s="18" t="s">
        <v>325</v>
      </c>
      <c r="C136" s="18" t="s">
        <v>180</v>
      </c>
      <c r="D136" s="18" t="s">
        <v>3</v>
      </c>
      <c r="E136" s="18" t="s">
        <v>3</v>
      </c>
      <c r="F136" s="18" t="s">
        <v>378</v>
      </c>
      <c r="G136" s="18" t="s">
        <v>233</v>
      </c>
      <c r="H136" s="18"/>
      <c r="I136" s="18" t="s">
        <v>40</v>
      </c>
      <c r="J136" s="19">
        <v>2</v>
      </c>
      <c r="K136" s="18" t="s">
        <v>345</v>
      </c>
      <c r="L136" s="18" t="s">
        <v>149</v>
      </c>
      <c r="M136" s="16" t="s">
        <v>148</v>
      </c>
      <c r="N136" s="18"/>
    </row>
    <row r="137" spans="1:14">
      <c r="A137" s="24">
        <v>46223</v>
      </c>
      <c r="B137" s="5" t="s">
        <v>325</v>
      </c>
      <c r="C137" s="5" t="s">
        <v>180</v>
      </c>
      <c r="D137" s="5" t="s">
        <v>3</v>
      </c>
      <c r="E137" s="5" t="s">
        <v>3</v>
      </c>
      <c r="F137" s="5" t="s">
        <v>379</v>
      </c>
      <c r="G137" s="5" t="s">
        <v>218</v>
      </c>
      <c r="H137" s="5"/>
      <c r="I137" s="5" t="s">
        <v>219</v>
      </c>
      <c r="J137" s="7">
        <v>1</v>
      </c>
      <c r="K137" s="5" t="s">
        <v>345</v>
      </c>
      <c r="L137" s="5" t="s">
        <v>149</v>
      </c>
      <c r="M137" s="16" t="s">
        <v>148</v>
      </c>
      <c r="N137" s="5"/>
    </row>
    <row r="138" spans="1:14">
      <c r="A138" s="25">
        <v>46223</v>
      </c>
      <c r="B138" s="18" t="s">
        <v>325</v>
      </c>
      <c r="C138" s="18" t="s">
        <v>180</v>
      </c>
      <c r="D138" s="18" t="s">
        <v>3</v>
      </c>
      <c r="E138" s="18" t="s">
        <v>3</v>
      </c>
      <c r="F138" s="18" t="s">
        <v>348</v>
      </c>
      <c r="G138" s="18" t="s">
        <v>48</v>
      </c>
      <c r="H138" s="18"/>
      <c r="I138" s="18" t="s">
        <v>47</v>
      </c>
      <c r="J138" s="19">
        <v>5</v>
      </c>
      <c r="K138" s="18" t="s">
        <v>345</v>
      </c>
      <c r="L138" s="18" t="s">
        <v>149</v>
      </c>
      <c r="M138" s="16" t="s">
        <v>148</v>
      </c>
      <c r="N138" s="18"/>
    </row>
    <row r="139" spans="1:14">
      <c r="A139" s="24">
        <v>46224</v>
      </c>
      <c r="B139" s="5" t="s">
        <v>325</v>
      </c>
      <c r="C139" s="5" t="s">
        <v>180</v>
      </c>
      <c r="D139" s="5" t="s">
        <v>3</v>
      </c>
      <c r="E139" s="5" t="s">
        <v>159</v>
      </c>
      <c r="F139" s="5" t="s">
        <v>364</v>
      </c>
      <c r="G139" s="5" t="s">
        <v>193</v>
      </c>
      <c r="H139" s="5"/>
      <c r="I139" s="5" t="s">
        <v>216</v>
      </c>
      <c r="J139" s="7">
        <v>1</v>
      </c>
      <c r="K139" s="5" t="s">
        <v>345</v>
      </c>
      <c r="L139" s="5" t="s">
        <v>149</v>
      </c>
      <c r="M139" s="16" t="s">
        <v>148</v>
      </c>
      <c r="N139" s="5"/>
    </row>
    <row r="140" spans="1:14">
      <c r="A140" s="25">
        <v>46224</v>
      </c>
      <c r="B140" s="18" t="s">
        <v>325</v>
      </c>
      <c r="C140" s="18" t="s">
        <v>180</v>
      </c>
      <c r="D140" s="18" t="s">
        <v>3</v>
      </c>
      <c r="E140" s="18" t="s">
        <v>159</v>
      </c>
      <c r="F140" s="18" t="s">
        <v>364</v>
      </c>
      <c r="G140" s="18" t="s">
        <v>226</v>
      </c>
      <c r="H140" s="18"/>
      <c r="I140" s="18" t="s">
        <v>216</v>
      </c>
      <c r="J140" s="19">
        <v>10</v>
      </c>
      <c r="K140" s="18" t="s">
        <v>345</v>
      </c>
      <c r="L140" s="18" t="s">
        <v>149</v>
      </c>
      <c r="M140" s="16" t="s">
        <v>148</v>
      </c>
      <c r="N140" s="18"/>
    </row>
    <row r="141" spans="1:14">
      <c r="A141" s="24">
        <v>46225</v>
      </c>
      <c r="B141" s="5" t="s">
        <v>325</v>
      </c>
      <c r="C141" s="5" t="s">
        <v>180</v>
      </c>
      <c r="D141" s="5" t="s">
        <v>3</v>
      </c>
      <c r="E141" s="5" t="s">
        <v>159</v>
      </c>
      <c r="F141" s="5" t="s">
        <v>364</v>
      </c>
      <c r="G141" s="5" t="s">
        <v>253</v>
      </c>
      <c r="H141" s="5"/>
      <c r="I141" s="5" t="s">
        <v>216</v>
      </c>
      <c r="J141" s="7">
        <v>1</v>
      </c>
      <c r="K141" s="5" t="s">
        <v>345</v>
      </c>
      <c r="L141" s="5" t="s">
        <v>149</v>
      </c>
      <c r="M141" s="16" t="s">
        <v>148</v>
      </c>
      <c r="N141" s="5"/>
    </row>
    <row r="142" spans="1:14">
      <c r="A142" s="25">
        <v>46225</v>
      </c>
      <c r="B142" s="18" t="s">
        <v>325</v>
      </c>
      <c r="C142" s="18" t="s">
        <v>180</v>
      </c>
      <c r="D142" s="18" t="s">
        <v>3</v>
      </c>
      <c r="E142" s="18" t="s">
        <v>3</v>
      </c>
      <c r="F142" s="18" t="s">
        <v>349</v>
      </c>
      <c r="G142" s="18" t="s">
        <v>239</v>
      </c>
      <c r="H142" s="18"/>
      <c r="I142" s="18" t="s">
        <v>216</v>
      </c>
      <c r="J142" s="19">
        <v>1</v>
      </c>
      <c r="K142" s="18" t="s">
        <v>153</v>
      </c>
      <c r="L142" s="18" t="s">
        <v>153</v>
      </c>
      <c r="M142" s="17" t="s">
        <v>153</v>
      </c>
      <c r="N142" s="18"/>
    </row>
    <row r="143" spans="1:14">
      <c r="A143" s="24">
        <v>46226</v>
      </c>
      <c r="B143" s="5" t="s">
        <v>325</v>
      </c>
      <c r="C143" s="5" t="s">
        <v>180</v>
      </c>
      <c r="D143" s="5" t="s">
        <v>3</v>
      </c>
      <c r="E143" s="5" t="s">
        <v>159</v>
      </c>
      <c r="F143" s="5" t="s">
        <v>377</v>
      </c>
      <c r="G143" s="5" t="s">
        <v>193</v>
      </c>
      <c r="H143" s="5"/>
      <c r="I143" s="5" t="s">
        <v>216</v>
      </c>
      <c r="J143" s="7">
        <v>1</v>
      </c>
      <c r="K143" s="5" t="s">
        <v>153</v>
      </c>
      <c r="L143" s="5" t="s">
        <v>153</v>
      </c>
      <c r="M143" s="17" t="s">
        <v>153</v>
      </c>
      <c r="N143" s="5"/>
    </row>
    <row r="144" spans="1:14">
      <c r="A144" s="25">
        <v>46226</v>
      </c>
      <c r="B144" s="18" t="s">
        <v>325</v>
      </c>
      <c r="C144" s="18" t="s">
        <v>180</v>
      </c>
      <c r="D144" s="18" t="s">
        <v>3</v>
      </c>
      <c r="E144" s="18" t="s">
        <v>159</v>
      </c>
      <c r="F144" s="18" t="s">
        <v>377</v>
      </c>
      <c r="G144" s="18" t="s">
        <v>227</v>
      </c>
      <c r="H144" s="18"/>
      <c r="I144" s="18" t="s">
        <v>216</v>
      </c>
      <c r="J144" s="19">
        <v>1</v>
      </c>
      <c r="K144" s="18" t="s">
        <v>153</v>
      </c>
      <c r="L144" s="18" t="s">
        <v>153</v>
      </c>
      <c r="M144" s="17" t="s">
        <v>153</v>
      </c>
      <c r="N144" s="18"/>
    </row>
    <row r="145" spans="1:14">
      <c r="A145" s="24">
        <v>46230</v>
      </c>
      <c r="B145" s="5" t="s">
        <v>326</v>
      </c>
      <c r="C145" s="5" t="s">
        <v>180</v>
      </c>
      <c r="D145" s="5" t="s">
        <v>3</v>
      </c>
      <c r="E145" s="5" t="s">
        <v>3</v>
      </c>
      <c r="F145" s="5" t="s">
        <v>374</v>
      </c>
      <c r="G145" s="5" t="s">
        <v>239</v>
      </c>
      <c r="H145" s="5"/>
      <c r="I145" s="5" t="s">
        <v>216</v>
      </c>
      <c r="J145" s="7">
        <v>1</v>
      </c>
      <c r="K145" s="5" t="s">
        <v>153</v>
      </c>
      <c r="L145" s="5" t="s">
        <v>153</v>
      </c>
      <c r="M145" s="17" t="s">
        <v>153</v>
      </c>
      <c r="N145" s="5"/>
    </row>
    <row r="146" spans="1:14">
      <c r="A146" s="25">
        <v>46230</v>
      </c>
      <c r="B146" s="18" t="s">
        <v>326</v>
      </c>
      <c r="C146" s="18" t="s">
        <v>180</v>
      </c>
      <c r="D146" s="18" t="s">
        <v>3</v>
      </c>
      <c r="E146" s="18" t="s">
        <v>3</v>
      </c>
      <c r="F146" s="18" t="s">
        <v>374</v>
      </c>
      <c r="G146" s="18" t="s">
        <v>217</v>
      </c>
      <c r="H146" s="18"/>
      <c r="I146" s="18" t="s">
        <v>216</v>
      </c>
      <c r="J146" s="19">
        <v>2</v>
      </c>
      <c r="K146" s="18" t="s">
        <v>345</v>
      </c>
      <c r="L146" s="18" t="s">
        <v>149</v>
      </c>
      <c r="M146" s="16" t="s">
        <v>148</v>
      </c>
      <c r="N146" s="18"/>
    </row>
    <row r="147" spans="1:14">
      <c r="A147" s="24">
        <v>46231</v>
      </c>
      <c r="B147" s="5" t="s">
        <v>326</v>
      </c>
      <c r="C147" s="5" t="s">
        <v>180</v>
      </c>
      <c r="D147" s="5" t="s">
        <v>3</v>
      </c>
      <c r="E147" s="5" t="s">
        <v>3</v>
      </c>
      <c r="F147" s="5" t="s">
        <v>348</v>
      </c>
      <c r="G147" s="5" t="s">
        <v>193</v>
      </c>
      <c r="H147" s="5"/>
      <c r="I147" s="5" t="s">
        <v>216</v>
      </c>
      <c r="J147" s="7">
        <v>2</v>
      </c>
      <c r="K147" s="5" t="s">
        <v>345</v>
      </c>
      <c r="L147" s="5" t="s">
        <v>149</v>
      </c>
      <c r="M147" s="16" t="s">
        <v>148</v>
      </c>
      <c r="N147" s="5"/>
    </row>
    <row r="148" spans="1:14">
      <c r="A148" s="25">
        <v>46232</v>
      </c>
      <c r="B148" s="18" t="s">
        <v>326</v>
      </c>
      <c r="C148" s="18" t="s">
        <v>180</v>
      </c>
      <c r="D148" s="18" t="s">
        <v>3</v>
      </c>
      <c r="E148" s="18" t="s">
        <v>3</v>
      </c>
      <c r="F148" s="18" t="s">
        <v>348</v>
      </c>
      <c r="G148" s="18" t="s">
        <v>215</v>
      </c>
      <c r="H148" s="18"/>
      <c r="I148" s="18" t="s">
        <v>216</v>
      </c>
      <c r="J148" s="19">
        <v>2</v>
      </c>
      <c r="K148" s="18" t="s">
        <v>345</v>
      </c>
      <c r="L148" s="18" t="s">
        <v>149</v>
      </c>
      <c r="M148" s="16" t="s">
        <v>148</v>
      </c>
      <c r="N148" s="18"/>
    </row>
    <row r="149" spans="1:14">
      <c r="A149" s="24">
        <v>46232</v>
      </c>
      <c r="B149" s="5" t="s">
        <v>326</v>
      </c>
      <c r="C149" s="5" t="s">
        <v>180</v>
      </c>
      <c r="D149" s="5" t="s">
        <v>3</v>
      </c>
      <c r="E149" s="5" t="s">
        <v>3</v>
      </c>
      <c r="F149" s="5" t="s">
        <v>380</v>
      </c>
      <c r="G149" s="5" t="s">
        <v>215</v>
      </c>
      <c r="H149" s="5"/>
      <c r="I149" s="5" t="s">
        <v>216</v>
      </c>
      <c r="J149" s="7">
        <v>1</v>
      </c>
      <c r="K149" s="5" t="s">
        <v>345</v>
      </c>
      <c r="L149" s="5" t="s">
        <v>149</v>
      </c>
      <c r="M149" s="16" t="s">
        <v>148</v>
      </c>
      <c r="N149" s="5"/>
    </row>
    <row r="150" spans="1:14">
      <c r="A150" s="25">
        <v>46233</v>
      </c>
      <c r="B150" s="18" t="s">
        <v>326</v>
      </c>
      <c r="C150" s="18" t="s">
        <v>180</v>
      </c>
      <c r="D150" s="18" t="s">
        <v>3</v>
      </c>
      <c r="E150" s="18" t="s">
        <v>159</v>
      </c>
      <c r="F150" s="18" t="s">
        <v>364</v>
      </c>
      <c r="G150" s="18" t="s">
        <v>246</v>
      </c>
      <c r="H150" s="18"/>
      <c r="I150" s="18" t="s">
        <v>40</v>
      </c>
      <c r="J150" s="19">
        <v>1</v>
      </c>
      <c r="K150" s="18" t="s">
        <v>345</v>
      </c>
      <c r="L150" s="18" t="s">
        <v>149</v>
      </c>
      <c r="M150" s="16" t="s">
        <v>148</v>
      </c>
      <c r="N150" s="18"/>
    </row>
    <row r="151" spans="1:14">
      <c r="A151" s="24">
        <v>46234</v>
      </c>
      <c r="B151" s="5" t="s">
        <v>326</v>
      </c>
      <c r="C151" s="5" t="s">
        <v>180</v>
      </c>
      <c r="D151" s="5" t="s">
        <v>3</v>
      </c>
      <c r="E151" s="5" t="s">
        <v>3</v>
      </c>
      <c r="F151" s="5" t="s">
        <v>349</v>
      </c>
      <c r="G151" s="5" t="s">
        <v>234</v>
      </c>
      <c r="H151" s="5"/>
      <c r="I151" s="5" t="s">
        <v>47</v>
      </c>
      <c r="J151" s="7">
        <v>1</v>
      </c>
      <c r="K151" s="5" t="s">
        <v>345</v>
      </c>
      <c r="L151" s="5" t="s">
        <v>149</v>
      </c>
      <c r="M151" s="16" t="s">
        <v>148</v>
      </c>
      <c r="N151" s="5"/>
    </row>
    <row r="152" spans="1:14">
      <c r="A152" s="25">
        <v>46238</v>
      </c>
      <c r="B152" s="18" t="s">
        <v>327</v>
      </c>
      <c r="C152" s="18" t="s">
        <v>381</v>
      </c>
      <c r="D152" s="18" t="s">
        <v>3</v>
      </c>
      <c r="E152" s="18" t="s">
        <v>3</v>
      </c>
      <c r="F152" s="18" t="s">
        <v>350</v>
      </c>
      <c r="G152" s="18" t="s">
        <v>229</v>
      </c>
      <c r="H152" s="18"/>
      <c r="I152" s="18" t="s">
        <v>216</v>
      </c>
      <c r="J152" s="19">
        <v>2</v>
      </c>
      <c r="K152" s="18" t="s">
        <v>345</v>
      </c>
      <c r="L152" s="18" t="s">
        <v>149</v>
      </c>
      <c r="M152" s="16" t="s">
        <v>148</v>
      </c>
      <c r="N152" s="18"/>
    </row>
    <row r="153" spans="1:14">
      <c r="A153" s="24">
        <v>46238</v>
      </c>
      <c r="B153" s="5" t="s">
        <v>327</v>
      </c>
      <c r="C153" s="5" t="s">
        <v>381</v>
      </c>
      <c r="D153" s="5" t="s">
        <v>3</v>
      </c>
      <c r="E153" s="5" t="s">
        <v>3</v>
      </c>
      <c r="F153" s="5" t="s">
        <v>350</v>
      </c>
      <c r="G153" s="5" t="s">
        <v>193</v>
      </c>
      <c r="H153" s="5"/>
      <c r="I153" s="5" t="s">
        <v>216</v>
      </c>
      <c r="J153" s="7">
        <v>2</v>
      </c>
      <c r="K153" s="5" t="s">
        <v>345</v>
      </c>
      <c r="L153" s="5" t="s">
        <v>149</v>
      </c>
      <c r="M153" s="16" t="s">
        <v>148</v>
      </c>
      <c r="N153" s="5"/>
    </row>
    <row r="154" spans="1:14">
      <c r="A154" s="25">
        <v>46238</v>
      </c>
      <c r="B154" s="18" t="s">
        <v>327</v>
      </c>
      <c r="C154" s="18" t="s">
        <v>381</v>
      </c>
      <c r="D154" s="18" t="s">
        <v>3</v>
      </c>
      <c r="E154" s="18" t="s">
        <v>3</v>
      </c>
      <c r="F154" s="18" t="s">
        <v>350</v>
      </c>
      <c r="G154" s="18" t="s">
        <v>215</v>
      </c>
      <c r="H154" s="18"/>
      <c r="I154" s="18" t="s">
        <v>216</v>
      </c>
      <c r="J154" s="19">
        <v>6</v>
      </c>
      <c r="K154" s="18" t="s">
        <v>345</v>
      </c>
      <c r="L154" s="18" t="s">
        <v>149</v>
      </c>
      <c r="M154" s="16" t="s">
        <v>148</v>
      </c>
      <c r="N154" s="18"/>
    </row>
    <row r="155" spans="1:14">
      <c r="A155" s="24">
        <v>46238</v>
      </c>
      <c r="B155" s="5" t="s">
        <v>327</v>
      </c>
      <c r="C155" s="5" t="s">
        <v>381</v>
      </c>
      <c r="D155" s="5" t="s">
        <v>3</v>
      </c>
      <c r="E155" s="5" t="s">
        <v>3</v>
      </c>
      <c r="F155" s="5" t="s">
        <v>350</v>
      </c>
      <c r="G155" s="5" t="s">
        <v>231</v>
      </c>
      <c r="H155" s="5"/>
      <c r="I155" s="5" t="s">
        <v>40</v>
      </c>
      <c r="J155" s="7">
        <v>1</v>
      </c>
      <c r="K155" s="5" t="s">
        <v>345</v>
      </c>
      <c r="L155" s="5" t="s">
        <v>149</v>
      </c>
      <c r="M155" s="16" t="s">
        <v>148</v>
      </c>
      <c r="N155" s="5"/>
    </row>
    <row r="156" spans="1:14">
      <c r="A156" s="25">
        <v>46238</v>
      </c>
      <c r="B156" s="18" t="s">
        <v>327</v>
      </c>
      <c r="C156" s="18" t="s">
        <v>381</v>
      </c>
      <c r="D156" s="18" t="s">
        <v>3</v>
      </c>
      <c r="E156" s="18" t="s">
        <v>3</v>
      </c>
      <c r="F156" s="18" t="s">
        <v>350</v>
      </c>
      <c r="G156" s="18" t="s">
        <v>263</v>
      </c>
      <c r="H156" s="18"/>
      <c r="I156" s="18" t="s">
        <v>47</v>
      </c>
      <c r="J156" s="19">
        <v>1</v>
      </c>
      <c r="K156" s="18" t="s">
        <v>345</v>
      </c>
      <c r="L156" s="18" t="s">
        <v>149</v>
      </c>
      <c r="M156" s="16" t="s">
        <v>148</v>
      </c>
      <c r="N156" s="18"/>
    </row>
    <row r="157" spans="1:14">
      <c r="A157" s="24">
        <v>46238</v>
      </c>
      <c r="B157" s="5" t="s">
        <v>327</v>
      </c>
      <c r="C157" s="5" t="s">
        <v>381</v>
      </c>
      <c r="D157" s="5" t="s">
        <v>3</v>
      </c>
      <c r="E157" s="5" t="s">
        <v>3</v>
      </c>
      <c r="F157" s="5" t="s">
        <v>350</v>
      </c>
      <c r="G157" s="5" t="s">
        <v>217</v>
      </c>
      <c r="H157" s="5"/>
      <c r="I157" s="5" t="s">
        <v>216</v>
      </c>
      <c r="J157" s="7">
        <v>1</v>
      </c>
      <c r="K157" s="5" t="s">
        <v>345</v>
      </c>
      <c r="L157" s="5" t="s">
        <v>149</v>
      </c>
      <c r="M157" s="16" t="s">
        <v>148</v>
      </c>
      <c r="N157" s="5"/>
    </row>
    <row r="158" spans="1:14">
      <c r="A158" s="25">
        <v>46238</v>
      </c>
      <c r="B158" s="18" t="s">
        <v>327</v>
      </c>
      <c r="C158" s="18" t="s">
        <v>381</v>
      </c>
      <c r="D158" s="18" t="s">
        <v>3</v>
      </c>
      <c r="E158" s="18" t="s">
        <v>3</v>
      </c>
      <c r="F158" s="18" t="s">
        <v>350</v>
      </c>
      <c r="G158" s="18" t="s">
        <v>220</v>
      </c>
      <c r="H158" s="18"/>
      <c r="I158" s="18" t="s">
        <v>40</v>
      </c>
      <c r="J158" s="19">
        <v>1</v>
      </c>
      <c r="K158" s="18" t="s">
        <v>345</v>
      </c>
      <c r="L158" s="18" t="s">
        <v>149</v>
      </c>
      <c r="M158" s="16" t="s">
        <v>148</v>
      </c>
      <c r="N158" s="18"/>
    </row>
    <row r="159" spans="1:14">
      <c r="A159" s="24">
        <v>46238</v>
      </c>
      <c r="B159" s="5" t="s">
        <v>327</v>
      </c>
      <c r="C159" s="5" t="s">
        <v>381</v>
      </c>
      <c r="D159" s="5" t="s">
        <v>3</v>
      </c>
      <c r="E159" s="5" t="s">
        <v>3</v>
      </c>
      <c r="F159" s="5" t="s">
        <v>350</v>
      </c>
      <c r="G159" s="5" t="s">
        <v>246</v>
      </c>
      <c r="H159" s="5"/>
      <c r="I159" s="5" t="s">
        <v>40</v>
      </c>
      <c r="J159" s="7">
        <v>1</v>
      </c>
      <c r="K159" s="5" t="s">
        <v>345</v>
      </c>
      <c r="L159" s="5" t="s">
        <v>149</v>
      </c>
      <c r="M159" s="16" t="s">
        <v>148</v>
      </c>
      <c r="N159" s="5"/>
    </row>
    <row r="160" spans="1:14">
      <c r="A160" s="25">
        <v>46239</v>
      </c>
      <c r="B160" s="18" t="s">
        <v>327</v>
      </c>
      <c r="C160" s="18" t="s">
        <v>381</v>
      </c>
      <c r="D160" s="18" t="s">
        <v>3</v>
      </c>
      <c r="E160" s="18" t="s">
        <v>3</v>
      </c>
      <c r="F160" s="18" t="s">
        <v>382</v>
      </c>
      <c r="G160" s="18" t="s">
        <v>223</v>
      </c>
      <c r="H160" s="18"/>
      <c r="I160" s="18" t="s">
        <v>40</v>
      </c>
      <c r="J160" s="19">
        <v>2</v>
      </c>
      <c r="K160" s="18" t="s">
        <v>151</v>
      </c>
      <c r="L160" s="18" t="s">
        <v>151</v>
      </c>
      <c r="M160" s="16" t="s">
        <v>148</v>
      </c>
      <c r="N160" s="18"/>
    </row>
  </sheetData>
  <autoFilter ref="A4:N160"/>
  <mergeCells count="2">
    <mergeCell ref="A1:N1"/>
    <mergeCell ref="A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404040"/>
  </sheetPr>
  <dimension ref="A1:N422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11.7109375" customWidth="1"/>
    <col min="3" max="3" width="10.7109375" customWidth="1"/>
    <col min="4" max="4" width="9.7109375" customWidth="1"/>
    <col min="5" max="5" width="17.7109375" customWidth="1"/>
    <col min="6" max="6" width="22.7109375" customWidth="1"/>
    <col min="7" max="7" width="36.7109375" customWidth="1"/>
    <col min="8" max="8" width="22.7109375" customWidth="1"/>
    <col min="9" max="9" width="24.7109375" customWidth="1"/>
    <col min="10" max="10" width="10.7109375" customWidth="1"/>
    <col min="11" max="11" width="14.7109375" customWidth="1"/>
    <col min="12" max="13" width="13.7109375" customWidth="1"/>
    <col min="14" max="14" width="28.7109375" customWidth="1"/>
  </cols>
  <sheetData>
    <row r="1" spans="1:14" ht="26" customHeight="1">
      <c r="A1" s="1" t="s">
        <v>383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2" customHeight="1">
      <c r="A2" s="2" t="s">
        <v>333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A4" s="6" t="s">
        <v>334</v>
      </c>
      <c r="B4" s="6" t="s">
        <v>335</v>
      </c>
      <c r="C4" s="6" t="s">
        <v>171</v>
      </c>
      <c r="D4" s="6" t="s">
        <v>156</v>
      </c>
      <c r="E4" s="6" t="s">
        <v>157</v>
      </c>
      <c r="F4" s="6" t="s">
        <v>336</v>
      </c>
      <c r="G4" s="6" t="s">
        <v>337</v>
      </c>
      <c r="H4" s="6" t="s">
        <v>338</v>
      </c>
      <c r="I4" s="6" t="s">
        <v>339</v>
      </c>
      <c r="J4" s="6" t="s">
        <v>340</v>
      </c>
      <c r="K4" s="6" t="s">
        <v>341</v>
      </c>
      <c r="L4" s="6" t="s">
        <v>144</v>
      </c>
      <c r="M4" s="6" t="s">
        <v>342</v>
      </c>
      <c r="N4" s="6" t="s">
        <v>343</v>
      </c>
    </row>
    <row r="5" spans="1:14">
      <c r="A5" s="24">
        <v>46181</v>
      </c>
      <c r="B5" s="5" t="s">
        <v>319</v>
      </c>
      <c r="C5" s="5" t="s">
        <v>179</v>
      </c>
      <c r="D5" s="5" t="s">
        <v>6</v>
      </c>
      <c r="E5" s="5" t="s">
        <v>163</v>
      </c>
      <c r="F5" s="5" t="s">
        <v>384</v>
      </c>
      <c r="G5" s="5" t="s">
        <v>224</v>
      </c>
      <c r="H5" s="5"/>
      <c r="I5" s="5" t="s">
        <v>40</v>
      </c>
      <c r="J5" s="7">
        <v>100</v>
      </c>
      <c r="K5" s="5" t="s">
        <v>153</v>
      </c>
      <c r="L5" s="5" t="s">
        <v>153</v>
      </c>
      <c r="M5" s="17" t="s">
        <v>153</v>
      </c>
      <c r="N5" s="5"/>
    </row>
    <row r="6" spans="1:14">
      <c r="A6" s="25">
        <v>46181</v>
      </c>
      <c r="B6" s="18" t="s">
        <v>319</v>
      </c>
      <c r="C6" s="18" t="s">
        <v>179</v>
      </c>
      <c r="D6" s="18" t="s">
        <v>6</v>
      </c>
      <c r="E6" s="18" t="s">
        <v>163</v>
      </c>
      <c r="F6" s="18" t="s">
        <v>384</v>
      </c>
      <c r="G6" s="18" t="s">
        <v>50</v>
      </c>
      <c r="H6" s="18"/>
      <c r="I6" s="18" t="s">
        <v>40</v>
      </c>
      <c r="J6" s="19">
        <v>100</v>
      </c>
      <c r="K6" s="18" t="s">
        <v>147</v>
      </c>
      <c r="L6" s="18" t="s">
        <v>147</v>
      </c>
      <c r="M6" s="16" t="s">
        <v>148</v>
      </c>
      <c r="N6" s="18"/>
    </row>
    <row r="7" spans="1:14">
      <c r="A7" s="24">
        <v>46181</v>
      </c>
      <c r="B7" s="5" t="s">
        <v>319</v>
      </c>
      <c r="C7" s="5" t="s">
        <v>179</v>
      </c>
      <c r="D7" s="5" t="s">
        <v>6</v>
      </c>
      <c r="E7" s="5" t="s">
        <v>163</v>
      </c>
      <c r="F7" s="5" t="s">
        <v>384</v>
      </c>
      <c r="G7" s="5" t="s">
        <v>236</v>
      </c>
      <c r="H7" s="5"/>
      <c r="I7" s="5" t="s">
        <v>40</v>
      </c>
      <c r="J7" s="7">
        <v>2</v>
      </c>
      <c r="K7" s="5" t="s">
        <v>147</v>
      </c>
      <c r="L7" s="5" t="s">
        <v>147</v>
      </c>
      <c r="M7" s="16" t="s">
        <v>148</v>
      </c>
      <c r="N7" s="5"/>
    </row>
    <row r="8" spans="1:14">
      <c r="A8" s="25">
        <v>46181</v>
      </c>
      <c r="B8" s="18" t="s">
        <v>319</v>
      </c>
      <c r="C8" s="18" t="s">
        <v>179</v>
      </c>
      <c r="D8" s="18" t="s">
        <v>6</v>
      </c>
      <c r="E8" s="18" t="s">
        <v>163</v>
      </c>
      <c r="F8" s="18" t="s">
        <v>384</v>
      </c>
      <c r="G8" s="18" t="s">
        <v>39</v>
      </c>
      <c r="H8" s="18"/>
      <c r="I8" s="18" t="s">
        <v>40</v>
      </c>
      <c r="J8" s="19">
        <v>100</v>
      </c>
      <c r="K8" s="18" t="s">
        <v>147</v>
      </c>
      <c r="L8" s="18" t="s">
        <v>147</v>
      </c>
      <c r="M8" s="16" t="s">
        <v>148</v>
      </c>
      <c r="N8" s="18"/>
    </row>
    <row r="9" spans="1:14">
      <c r="A9" s="24">
        <v>46181</v>
      </c>
      <c r="B9" s="5" t="s">
        <v>319</v>
      </c>
      <c r="C9" s="5" t="s">
        <v>179</v>
      </c>
      <c r="D9" s="5" t="s">
        <v>6</v>
      </c>
      <c r="E9" s="5" t="s">
        <v>163</v>
      </c>
      <c r="F9" s="5" t="s">
        <v>384</v>
      </c>
      <c r="G9" s="5" t="s">
        <v>46</v>
      </c>
      <c r="H9" s="5"/>
      <c r="I9" s="5" t="s">
        <v>47</v>
      </c>
      <c r="J9" s="7">
        <v>50</v>
      </c>
      <c r="K9" s="5" t="s">
        <v>147</v>
      </c>
      <c r="L9" s="5" t="s">
        <v>147</v>
      </c>
      <c r="M9" s="16" t="s">
        <v>148</v>
      </c>
      <c r="N9" s="5"/>
    </row>
    <row r="10" spans="1:14">
      <c r="A10" s="25">
        <v>46181</v>
      </c>
      <c r="B10" s="18" t="s">
        <v>319</v>
      </c>
      <c r="C10" s="18" t="s">
        <v>179</v>
      </c>
      <c r="D10" s="18" t="s">
        <v>6</v>
      </c>
      <c r="E10" s="18" t="s">
        <v>163</v>
      </c>
      <c r="F10" s="18" t="s">
        <v>384</v>
      </c>
      <c r="G10" s="18" t="s">
        <v>229</v>
      </c>
      <c r="H10" s="18"/>
      <c r="I10" s="18" t="s">
        <v>216</v>
      </c>
      <c r="J10" s="19">
        <v>1</v>
      </c>
      <c r="K10" s="18" t="s">
        <v>147</v>
      </c>
      <c r="L10" s="18" t="s">
        <v>147</v>
      </c>
      <c r="M10" s="16" t="s">
        <v>148</v>
      </c>
      <c r="N10" s="18"/>
    </row>
    <row r="11" spans="1:14">
      <c r="A11" s="24">
        <v>46181</v>
      </c>
      <c r="B11" s="5" t="s">
        <v>319</v>
      </c>
      <c r="C11" s="5" t="s">
        <v>179</v>
      </c>
      <c r="D11" s="5" t="s">
        <v>6</v>
      </c>
      <c r="E11" s="5" t="s">
        <v>163</v>
      </c>
      <c r="F11" s="5" t="s">
        <v>384</v>
      </c>
      <c r="G11" s="5" t="s">
        <v>185</v>
      </c>
      <c r="H11" s="5"/>
      <c r="I11" s="5" t="s">
        <v>47</v>
      </c>
      <c r="J11" s="7">
        <v>2</v>
      </c>
      <c r="K11" s="5" t="s">
        <v>147</v>
      </c>
      <c r="L11" s="5" t="s">
        <v>147</v>
      </c>
      <c r="M11" s="16" t="s">
        <v>148</v>
      </c>
      <c r="N11" s="5"/>
    </row>
    <row r="12" spans="1:14">
      <c r="A12" s="25">
        <v>46181</v>
      </c>
      <c r="B12" s="18" t="s">
        <v>319</v>
      </c>
      <c r="C12" s="18" t="s">
        <v>179</v>
      </c>
      <c r="D12" s="18" t="s">
        <v>6</v>
      </c>
      <c r="E12" s="18" t="s">
        <v>167</v>
      </c>
      <c r="F12" s="18" t="s">
        <v>384</v>
      </c>
      <c r="G12" s="18" t="s">
        <v>185</v>
      </c>
      <c r="H12" s="18"/>
      <c r="I12" s="18" t="s">
        <v>47</v>
      </c>
      <c r="J12" s="19">
        <v>3</v>
      </c>
      <c r="K12" s="18" t="s">
        <v>153</v>
      </c>
      <c r="L12" s="18" t="s">
        <v>153</v>
      </c>
      <c r="M12" s="17" t="s">
        <v>153</v>
      </c>
      <c r="N12" s="18"/>
    </row>
    <row r="13" spans="1:14">
      <c r="A13" s="24">
        <v>46181</v>
      </c>
      <c r="B13" s="5" t="s">
        <v>319</v>
      </c>
      <c r="C13" s="5" t="s">
        <v>179</v>
      </c>
      <c r="D13" s="5" t="s">
        <v>6</v>
      </c>
      <c r="E13" s="5" t="s">
        <v>167</v>
      </c>
      <c r="F13" s="5" t="s">
        <v>384</v>
      </c>
      <c r="G13" s="5" t="s">
        <v>236</v>
      </c>
      <c r="H13" s="5"/>
      <c r="I13" s="5" t="s">
        <v>40</v>
      </c>
      <c r="J13" s="7">
        <v>2</v>
      </c>
      <c r="K13" s="5" t="s">
        <v>147</v>
      </c>
      <c r="L13" s="5" t="s">
        <v>147</v>
      </c>
      <c r="M13" s="16" t="s">
        <v>148</v>
      </c>
      <c r="N13" s="5"/>
    </row>
    <row r="14" spans="1:14">
      <c r="A14" s="25">
        <v>46181</v>
      </c>
      <c r="B14" s="18" t="s">
        <v>319</v>
      </c>
      <c r="C14" s="18" t="s">
        <v>179</v>
      </c>
      <c r="D14" s="18" t="s">
        <v>6</v>
      </c>
      <c r="E14" s="18" t="s">
        <v>167</v>
      </c>
      <c r="F14" s="18" t="s">
        <v>384</v>
      </c>
      <c r="G14" s="18" t="s">
        <v>39</v>
      </c>
      <c r="H14" s="18"/>
      <c r="I14" s="18" t="s">
        <v>40</v>
      </c>
      <c r="J14" s="19">
        <v>500</v>
      </c>
      <c r="K14" s="18" t="s">
        <v>147</v>
      </c>
      <c r="L14" s="18" t="s">
        <v>147</v>
      </c>
      <c r="M14" s="16" t="s">
        <v>148</v>
      </c>
      <c r="N14" s="18"/>
    </row>
    <row r="15" spans="1:14">
      <c r="A15" s="24">
        <v>46181</v>
      </c>
      <c r="B15" s="5" t="s">
        <v>319</v>
      </c>
      <c r="C15" s="5" t="s">
        <v>179</v>
      </c>
      <c r="D15" s="5" t="s">
        <v>6</v>
      </c>
      <c r="E15" s="5" t="s">
        <v>167</v>
      </c>
      <c r="F15" s="5" t="s">
        <v>384</v>
      </c>
      <c r="G15" s="5" t="s">
        <v>190</v>
      </c>
      <c r="H15" s="5"/>
      <c r="I15" s="5" t="s">
        <v>47</v>
      </c>
      <c r="J15" s="7">
        <v>1</v>
      </c>
      <c r="K15" s="5" t="s">
        <v>153</v>
      </c>
      <c r="L15" s="5" t="s">
        <v>153</v>
      </c>
      <c r="M15" s="17" t="s">
        <v>153</v>
      </c>
      <c r="N15" s="5"/>
    </row>
    <row r="16" spans="1:14">
      <c r="A16" s="25">
        <v>46181</v>
      </c>
      <c r="B16" s="18" t="s">
        <v>319</v>
      </c>
      <c r="C16" s="18" t="s">
        <v>179</v>
      </c>
      <c r="D16" s="18" t="s">
        <v>6</v>
      </c>
      <c r="E16" s="18" t="s">
        <v>167</v>
      </c>
      <c r="F16" s="18" t="s">
        <v>384</v>
      </c>
      <c r="G16" s="18" t="s">
        <v>269</v>
      </c>
      <c r="H16" s="18"/>
      <c r="I16" s="18" t="s">
        <v>40</v>
      </c>
      <c r="J16" s="19">
        <v>1</v>
      </c>
      <c r="K16" s="18" t="s">
        <v>153</v>
      </c>
      <c r="L16" s="18" t="s">
        <v>153</v>
      </c>
      <c r="M16" s="17" t="s">
        <v>153</v>
      </c>
      <c r="N16" s="18"/>
    </row>
    <row r="17" spans="1:14">
      <c r="A17" s="24">
        <v>46181</v>
      </c>
      <c r="B17" s="5" t="s">
        <v>319</v>
      </c>
      <c r="C17" s="5" t="s">
        <v>179</v>
      </c>
      <c r="D17" s="5" t="s">
        <v>6</v>
      </c>
      <c r="E17" s="5" t="s">
        <v>167</v>
      </c>
      <c r="F17" s="5" t="s">
        <v>384</v>
      </c>
      <c r="G17" s="5" t="s">
        <v>259</v>
      </c>
      <c r="H17" s="5"/>
      <c r="I17" s="5" t="s">
        <v>40</v>
      </c>
      <c r="J17" s="7">
        <v>2</v>
      </c>
      <c r="K17" s="5" t="s">
        <v>147</v>
      </c>
      <c r="L17" s="5" t="s">
        <v>147</v>
      </c>
      <c r="M17" s="16" t="s">
        <v>148</v>
      </c>
      <c r="N17" s="5"/>
    </row>
    <row r="18" spans="1:14">
      <c r="A18" s="25">
        <v>46181</v>
      </c>
      <c r="B18" s="18" t="s">
        <v>319</v>
      </c>
      <c r="C18" s="18" t="s">
        <v>179</v>
      </c>
      <c r="D18" s="18" t="s">
        <v>6</v>
      </c>
      <c r="E18" s="18" t="s">
        <v>167</v>
      </c>
      <c r="F18" s="18" t="s">
        <v>384</v>
      </c>
      <c r="G18" s="18" t="s">
        <v>229</v>
      </c>
      <c r="H18" s="18"/>
      <c r="I18" s="18" t="s">
        <v>216</v>
      </c>
      <c r="J18" s="19">
        <v>2</v>
      </c>
      <c r="K18" s="18" t="s">
        <v>147</v>
      </c>
      <c r="L18" s="18" t="s">
        <v>147</v>
      </c>
      <c r="M18" s="16" t="s">
        <v>148</v>
      </c>
      <c r="N18" s="18"/>
    </row>
    <row r="19" spans="1:14">
      <c r="A19" s="24">
        <v>46181</v>
      </c>
      <c r="B19" s="5" t="s">
        <v>319</v>
      </c>
      <c r="C19" s="5" t="s">
        <v>179</v>
      </c>
      <c r="D19" s="5" t="s">
        <v>6</v>
      </c>
      <c r="E19" s="5" t="s">
        <v>167</v>
      </c>
      <c r="F19" s="5" t="s">
        <v>384</v>
      </c>
      <c r="G19" s="5" t="s">
        <v>227</v>
      </c>
      <c r="H19" s="5"/>
      <c r="I19" s="5" t="s">
        <v>216</v>
      </c>
      <c r="J19" s="7">
        <v>2</v>
      </c>
      <c r="K19" s="5" t="s">
        <v>147</v>
      </c>
      <c r="L19" s="5" t="s">
        <v>147</v>
      </c>
      <c r="M19" s="16" t="s">
        <v>148</v>
      </c>
      <c r="N19" s="5"/>
    </row>
    <row r="20" spans="1:14">
      <c r="A20" s="25">
        <v>46181</v>
      </c>
      <c r="B20" s="18" t="s">
        <v>319</v>
      </c>
      <c r="C20" s="18" t="s">
        <v>179</v>
      </c>
      <c r="D20" s="18" t="s">
        <v>6</v>
      </c>
      <c r="E20" s="18" t="s">
        <v>167</v>
      </c>
      <c r="F20" s="18" t="s">
        <v>384</v>
      </c>
      <c r="G20" s="18" t="s">
        <v>186</v>
      </c>
      <c r="H20" s="18"/>
      <c r="I20" s="18" t="s">
        <v>40</v>
      </c>
      <c r="J20" s="19">
        <v>2</v>
      </c>
      <c r="K20" s="18" t="s">
        <v>147</v>
      </c>
      <c r="L20" s="18" t="s">
        <v>147</v>
      </c>
      <c r="M20" s="16" t="s">
        <v>148</v>
      </c>
      <c r="N20" s="18"/>
    </row>
    <row r="21" spans="1:14">
      <c r="A21" s="24">
        <v>46181</v>
      </c>
      <c r="B21" s="5" t="s">
        <v>319</v>
      </c>
      <c r="C21" s="5" t="s">
        <v>179</v>
      </c>
      <c r="D21" s="5" t="s">
        <v>6</v>
      </c>
      <c r="E21" s="5" t="s">
        <v>167</v>
      </c>
      <c r="F21" s="5" t="s">
        <v>384</v>
      </c>
      <c r="G21" s="5" t="s">
        <v>193</v>
      </c>
      <c r="H21" s="5"/>
      <c r="I21" s="5" t="s">
        <v>216</v>
      </c>
      <c r="J21" s="7">
        <v>4</v>
      </c>
      <c r="K21" s="5" t="s">
        <v>147</v>
      </c>
      <c r="L21" s="5" t="s">
        <v>147</v>
      </c>
      <c r="M21" s="16" t="s">
        <v>148</v>
      </c>
      <c r="N21" s="5"/>
    </row>
    <row r="22" spans="1:14">
      <c r="A22" s="25">
        <v>46181</v>
      </c>
      <c r="B22" s="18" t="s">
        <v>319</v>
      </c>
      <c r="C22" s="18" t="s">
        <v>179</v>
      </c>
      <c r="D22" s="18" t="s">
        <v>6</v>
      </c>
      <c r="E22" s="18" t="s">
        <v>169</v>
      </c>
      <c r="F22" s="18" t="s">
        <v>384</v>
      </c>
      <c r="G22" s="18" t="s">
        <v>186</v>
      </c>
      <c r="H22" s="18"/>
      <c r="I22" s="18" t="s">
        <v>40</v>
      </c>
      <c r="J22" s="19">
        <v>3</v>
      </c>
      <c r="K22" s="18" t="s">
        <v>147</v>
      </c>
      <c r="L22" s="18" t="s">
        <v>147</v>
      </c>
      <c r="M22" s="16" t="s">
        <v>148</v>
      </c>
      <c r="N22" s="18"/>
    </row>
    <row r="23" spans="1:14">
      <c r="A23" s="24">
        <v>46181</v>
      </c>
      <c r="B23" s="5" t="s">
        <v>319</v>
      </c>
      <c r="C23" s="5" t="s">
        <v>179</v>
      </c>
      <c r="D23" s="5" t="s">
        <v>6</v>
      </c>
      <c r="E23" s="5" t="s">
        <v>169</v>
      </c>
      <c r="F23" s="5" t="s">
        <v>384</v>
      </c>
      <c r="G23" s="5" t="s">
        <v>48</v>
      </c>
      <c r="H23" s="5"/>
      <c r="I23" s="5" t="s">
        <v>47</v>
      </c>
      <c r="J23" s="7">
        <v>6</v>
      </c>
      <c r="K23" s="5" t="s">
        <v>147</v>
      </c>
      <c r="L23" s="5" t="s">
        <v>147</v>
      </c>
      <c r="M23" s="16" t="s">
        <v>148</v>
      </c>
      <c r="N23" s="5"/>
    </row>
    <row r="24" spans="1:14">
      <c r="A24" s="25">
        <v>46181</v>
      </c>
      <c r="B24" s="18" t="s">
        <v>319</v>
      </c>
      <c r="C24" s="18" t="s">
        <v>179</v>
      </c>
      <c r="D24" s="18" t="s">
        <v>6</v>
      </c>
      <c r="E24" s="18" t="s">
        <v>169</v>
      </c>
      <c r="F24" s="18" t="s">
        <v>384</v>
      </c>
      <c r="G24" s="18" t="s">
        <v>235</v>
      </c>
      <c r="H24" s="18" t="s">
        <v>385</v>
      </c>
      <c r="I24" s="18" t="s">
        <v>47</v>
      </c>
      <c r="J24" s="19">
        <v>1</v>
      </c>
      <c r="K24" s="18" t="s">
        <v>147</v>
      </c>
      <c r="L24" s="18" t="s">
        <v>147</v>
      </c>
      <c r="M24" s="16" t="s">
        <v>148</v>
      </c>
      <c r="N24" s="18"/>
    </row>
    <row r="25" spans="1:14">
      <c r="A25" s="24">
        <v>46181</v>
      </c>
      <c r="B25" s="5" t="s">
        <v>319</v>
      </c>
      <c r="C25" s="5" t="s">
        <v>179</v>
      </c>
      <c r="D25" s="5" t="s">
        <v>6</v>
      </c>
      <c r="E25" s="5" t="s">
        <v>169</v>
      </c>
      <c r="F25" s="5" t="s">
        <v>384</v>
      </c>
      <c r="G25" s="5" t="s">
        <v>279</v>
      </c>
      <c r="H25" s="5" t="s">
        <v>386</v>
      </c>
      <c r="I25" s="5" t="s">
        <v>216</v>
      </c>
      <c r="J25" s="7">
        <v>1</v>
      </c>
      <c r="K25" s="5" t="s">
        <v>147</v>
      </c>
      <c r="L25" s="5" t="s">
        <v>147</v>
      </c>
      <c r="M25" s="16" t="s">
        <v>148</v>
      </c>
      <c r="N25" s="5"/>
    </row>
    <row r="26" spans="1:14">
      <c r="A26" s="25">
        <v>46181</v>
      </c>
      <c r="B26" s="18" t="s">
        <v>319</v>
      </c>
      <c r="C26" s="18" t="s">
        <v>179</v>
      </c>
      <c r="D26" s="18" t="s">
        <v>6</v>
      </c>
      <c r="E26" s="18" t="s">
        <v>169</v>
      </c>
      <c r="F26" s="18" t="s">
        <v>384</v>
      </c>
      <c r="G26" s="18" t="s">
        <v>185</v>
      </c>
      <c r="H26" s="18"/>
      <c r="I26" s="18" t="s">
        <v>47</v>
      </c>
      <c r="J26" s="19">
        <v>2</v>
      </c>
      <c r="K26" s="18" t="s">
        <v>153</v>
      </c>
      <c r="L26" s="18" t="s">
        <v>153</v>
      </c>
      <c r="M26" s="17" t="s">
        <v>153</v>
      </c>
      <c r="N26" s="18"/>
    </row>
    <row r="27" spans="1:14">
      <c r="A27" s="24">
        <v>46181</v>
      </c>
      <c r="B27" s="5" t="s">
        <v>319</v>
      </c>
      <c r="C27" s="5" t="s">
        <v>179</v>
      </c>
      <c r="D27" s="5" t="s">
        <v>6</v>
      </c>
      <c r="E27" s="5" t="s">
        <v>169</v>
      </c>
      <c r="F27" s="5" t="s">
        <v>384</v>
      </c>
      <c r="G27" s="5" t="s">
        <v>277</v>
      </c>
      <c r="H27" s="5"/>
      <c r="I27" s="5" t="s">
        <v>47</v>
      </c>
      <c r="J27" s="7">
        <v>1</v>
      </c>
      <c r="K27" s="5" t="s">
        <v>153</v>
      </c>
      <c r="L27" s="5" t="s">
        <v>153</v>
      </c>
      <c r="M27" s="17" t="s">
        <v>153</v>
      </c>
      <c r="N27" s="5"/>
    </row>
    <row r="28" spans="1:14">
      <c r="A28" s="25">
        <v>46181</v>
      </c>
      <c r="B28" s="18" t="s">
        <v>319</v>
      </c>
      <c r="C28" s="18" t="s">
        <v>179</v>
      </c>
      <c r="D28" s="18" t="s">
        <v>6</v>
      </c>
      <c r="E28" s="18" t="s">
        <v>169</v>
      </c>
      <c r="F28" s="18" t="s">
        <v>384</v>
      </c>
      <c r="G28" s="18" t="s">
        <v>191</v>
      </c>
      <c r="H28" s="18"/>
      <c r="I28" s="18" t="s">
        <v>47</v>
      </c>
      <c r="J28" s="19">
        <v>2</v>
      </c>
      <c r="K28" s="18" t="s">
        <v>153</v>
      </c>
      <c r="L28" s="18" t="s">
        <v>153</v>
      </c>
      <c r="M28" s="17" t="s">
        <v>153</v>
      </c>
      <c r="N28" s="18"/>
    </row>
    <row r="29" spans="1:14">
      <c r="A29" s="24">
        <v>46181</v>
      </c>
      <c r="B29" s="5" t="s">
        <v>319</v>
      </c>
      <c r="C29" s="5" t="s">
        <v>179</v>
      </c>
      <c r="D29" s="5" t="s">
        <v>6</v>
      </c>
      <c r="E29" s="5" t="s">
        <v>169</v>
      </c>
      <c r="F29" s="5" t="s">
        <v>384</v>
      </c>
      <c r="G29" s="5" t="s">
        <v>254</v>
      </c>
      <c r="H29" s="5" t="s">
        <v>385</v>
      </c>
      <c r="I29" s="5" t="s">
        <v>47</v>
      </c>
      <c r="J29" s="7">
        <v>1</v>
      </c>
      <c r="K29" s="5" t="s">
        <v>153</v>
      </c>
      <c r="L29" s="5" t="s">
        <v>153</v>
      </c>
      <c r="M29" s="17" t="s">
        <v>153</v>
      </c>
      <c r="N29" s="5"/>
    </row>
    <row r="30" spans="1:14">
      <c r="A30" s="25">
        <v>46182</v>
      </c>
      <c r="B30" s="18" t="s">
        <v>319</v>
      </c>
      <c r="C30" s="18" t="s">
        <v>179</v>
      </c>
      <c r="D30" s="18" t="s">
        <v>6</v>
      </c>
      <c r="E30" s="18" t="s">
        <v>164</v>
      </c>
      <c r="F30" s="18" t="s">
        <v>384</v>
      </c>
      <c r="G30" s="18" t="s">
        <v>186</v>
      </c>
      <c r="H30" s="18"/>
      <c r="I30" s="18" t="s">
        <v>40</v>
      </c>
      <c r="J30" s="19">
        <v>3</v>
      </c>
      <c r="K30" s="18" t="s">
        <v>147</v>
      </c>
      <c r="L30" s="18" t="s">
        <v>147</v>
      </c>
      <c r="M30" s="16" t="s">
        <v>148</v>
      </c>
      <c r="N30" s="18"/>
    </row>
    <row r="31" spans="1:14">
      <c r="A31" s="24">
        <v>46182</v>
      </c>
      <c r="B31" s="5" t="s">
        <v>319</v>
      </c>
      <c r="C31" s="5" t="s">
        <v>179</v>
      </c>
      <c r="D31" s="5" t="s">
        <v>6</v>
      </c>
      <c r="E31" s="5" t="s">
        <v>164</v>
      </c>
      <c r="F31" s="5" t="s">
        <v>384</v>
      </c>
      <c r="G31" s="5" t="s">
        <v>233</v>
      </c>
      <c r="H31" s="5"/>
      <c r="I31" s="5" t="s">
        <v>40</v>
      </c>
      <c r="J31" s="7">
        <v>1</v>
      </c>
      <c r="K31" s="5" t="s">
        <v>147</v>
      </c>
      <c r="L31" s="5" t="s">
        <v>147</v>
      </c>
      <c r="M31" s="16" t="s">
        <v>148</v>
      </c>
      <c r="N31" s="5"/>
    </row>
    <row r="32" spans="1:14">
      <c r="A32" s="25">
        <v>46182</v>
      </c>
      <c r="B32" s="18" t="s">
        <v>319</v>
      </c>
      <c r="C32" s="18" t="s">
        <v>179</v>
      </c>
      <c r="D32" s="18" t="s">
        <v>6</v>
      </c>
      <c r="E32" s="18" t="s">
        <v>164</v>
      </c>
      <c r="F32" s="18" t="s">
        <v>384</v>
      </c>
      <c r="G32" s="18" t="s">
        <v>250</v>
      </c>
      <c r="H32" s="18"/>
      <c r="I32" s="18" t="s">
        <v>40</v>
      </c>
      <c r="J32" s="19">
        <v>1</v>
      </c>
      <c r="K32" s="18" t="s">
        <v>147</v>
      </c>
      <c r="L32" s="18" t="s">
        <v>147</v>
      </c>
      <c r="M32" s="16" t="s">
        <v>148</v>
      </c>
      <c r="N32" s="18"/>
    </row>
    <row r="33" spans="1:14">
      <c r="A33" s="24">
        <v>46182</v>
      </c>
      <c r="B33" s="5" t="s">
        <v>319</v>
      </c>
      <c r="C33" s="5" t="s">
        <v>179</v>
      </c>
      <c r="D33" s="5" t="s">
        <v>6</v>
      </c>
      <c r="E33" s="5" t="s">
        <v>164</v>
      </c>
      <c r="F33" s="5" t="s">
        <v>384</v>
      </c>
      <c r="G33" s="5" t="s">
        <v>43</v>
      </c>
      <c r="H33" s="5"/>
      <c r="I33" s="5" t="s">
        <v>40</v>
      </c>
      <c r="J33" s="7">
        <v>150</v>
      </c>
      <c r="K33" s="5" t="s">
        <v>147</v>
      </c>
      <c r="L33" s="5" t="s">
        <v>147</v>
      </c>
      <c r="M33" s="16" t="s">
        <v>148</v>
      </c>
      <c r="N33" s="5"/>
    </row>
    <row r="34" spans="1:14">
      <c r="A34" s="25">
        <v>46182</v>
      </c>
      <c r="B34" s="18" t="s">
        <v>319</v>
      </c>
      <c r="C34" s="18" t="s">
        <v>179</v>
      </c>
      <c r="D34" s="18" t="s">
        <v>6</v>
      </c>
      <c r="E34" s="18" t="s">
        <v>164</v>
      </c>
      <c r="F34" s="18" t="s">
        <v>384</v>
      </c>
      <c r="G34" s="18" t="s">
        <v>259</v>
      </c>
      <c r="H34" s="18"/>
      <c r="I34" s="18" t="s">
        <v>40</v>
      </c>
      <c r="J34" s="19">
        <v>1</v>
      </c>
      <c r="K34" s="18" t="s">
        <v>147</v>
      </c>
      <c r="L34" s="18" t="s">
        <v>147</v>
      </c>
      <c r="M34" s="16" t="s">
        <v>148</v>
      </c>
      <c r="N34" s="18"/>
    </row>
    <row r="35" spans="1:14">
      <c r="A35" s="24">
        <v>46182</v>
      </c>
      <c r="B35" s="5" t="s">
        <v>319</v>
      </c>
      <c r="C35" s="5" t="s">
        <v>179</v>
      </c>
      <c r="D35" s="5" t="s">
        <v>6</v>
      </c>
      <c r="E35" s="5" t="s">
        <v>164</v>
      </c>
      <c r="F35" s="5" t="s">
        <v>384</v>
      </c>
      <c r="G35" s="5" t="s">
        <v>44</v>
      </c>
      <c r="H35" s="5"/>
      <c r="I35" s="5" t="s">
        <v>40</v>
      </c>
      <c r="J35" s="7">
        <v>200</v>
      </c>
      <c r="K35" s="5" t="s">
        <v>147</v>
      </c>
      <c r="L35" s="5" t="s">
        <v>147</v>
      </c>
      <c r="M35" s="16" t="s">
        <v>148</v>
      </c>
      <c r="N35" s="5"/>
    </row>
    <row r="36" spans="1:14">
      <c r="A36" s="25">
        <v>46182</v>
      </c>
      <c r="B36" s="18" t="s">
        <v>319</v>
      </c>
      <c r="C36" s="18" t="s">
        <v>179</v>
      </c>
      <c r="D36" s="18" t="s">
        <v>6</v>
      </c>
      <c r="E36" s="18" t="s">
        <v>165</v>
      </c>
      <c r="F36" s="18" t="s">
        <v>384</v>
      </c>
      <c r="G36" s="18" t="s">
        <v>41</v>
      </c>
      <c r="H36" s="18"/>
      <c r="I36" s="18" t="s">
        <v>40</v>
      </c>
      <c r="J36" s="19">
        <v>200</v>
      </c>
      <c r="K36" s="18" t="s">
        <v>147</v>
      </c>
      <c r="L36" s="18" t="s">
        <v>147</v>
      </c>
      <c r="M36" s="16" t="s">
        <v>148</v>
      </c>
      <c r="N36" s="18"/>
    </row>
    <row r="37" spans="1:14">
      <c r="A37" s="24">
        <v>46182</v>
      </c>
      <c r="B37" s="5" t="s">
        <v>319</v>
      </c>
      <c r="C37" s="5" t="s">
        <v>179</v>
      </c>
      <c r="D37" s="5" t="s">
        <v>6</v>
      </c>
      <c r="E37" s="5" t="s">
        <v>165</v>
      </c>
      <c r="F37" s="5" t="s">
        <v>384</v>
      </c>
      <c r="G37" s="5" t="s">
        <v>238</v>
      </c>
      <c r="H37" s="5" t="s">
        <v>385</v>
      </c>
      <c r="I37" s="5" t="s">
        <v>47</v>
      </c>
      <c r="J37" s="7">
        <v>1</v>
      </c>
      <c r="K37" s="5" t="s">
        <v>147</v>
      </c>
      <c r="L37" s="5" t="s">
        <v>147</v>
      </c>
      <c r="M37" s="16" t="s">
        <v>148</v>
      </c>
      <c r="N37" s="5"/>
    </row>
    <row r="38" spans="1:14">
      <c r="A38" s="25">
        <v>46182</v>
      </c>
      <c r="B38" s="18" t="s">
        <v>319</v>
      </c>
      <c r="C38" s="18" t="s">
        <v>179</v>
      </c>
      <c r="D38" s="18" t="s">
        <v>6</v>
      </c>
      <c r="E38" s="18" t="s">
        <v>165</v>
      </c>
      <c r="F38" s="18" t="s">
        <v>384</v>
      </c>
      <c r="G38" s="18" t="s">
        <v>235</v>
      </c>
      <c r="H38" s="18" t="s">
        <v>385</v>
      </c>
      <c r="I38" s="18" t="s">
        <v>47</v>
      </c>
      <c r="J38" s="19">
        <v>1</v>
      </c>
      <c r="K38" s="18" t="s">
        <v>147</v>
      </c>
      <c r="L38" s="18" t="s">
        <v>147</v>
      </c>
      <c r="M38" s="16" t="s">
        <v>148</v>
      </c>
      <c r="N38" s="18"/>
    </row>
    <row r="39" spans="1:14">
      <c r="A39" s="24">
        <v>46182</v>
      </c>
      <c r="B39" s="5" t="s">
        <v>319</v>
      </c>
      <c r="C39" s="5" t="s">
        <v>179</v>
      </c>
      <c r="D39" s="5" t="s">
        <v>6</v>
      </c>
      <c r="E39" s="5" t="s">
        <v>165</v>
      </c>
      <c r="F39" s="5" t="s">
        <v>384</v>
      </c>
      <c r="G39" s="5" t="s">
        <v>254</v>
      </c>
      <c r="H39" s="5" t="s">
        <v>385</v>
      </c>
      <c r="I39" s="5" t="s">
        <v>47</v>
      </c>
      <c r="J39" s="7">
        <v>1</v>
      </c>
      <c r="K39" s="5" t="s">
        <v>147</v>
      </c>
      <c r="L39" s="5" t="s">
        <v>147</v>
      </c>
      <c r="M39" s="16" t="s">
        <v>148</v>
      </c>
      <c r="N39" s="5"/>
    </row>
    <row r="40" spans="1:14">
      <c r="A40" s="25">
        <v>46182</v>
      </c>
      <c r="B40" s="18" t="s">
        <v>319</v>
      </c>
      <c r="C40" s="18" t="s">
        <v>179</v>
      </c>
      <c r="D40" s="18" t="s">
        <v>6</v>
      </c>
      <c r="E40" s="18" t="s">
        <v>165</v>
      </c>
      <c r="F40" s="18" t="s">
        <v>384</v>
      </c>
      <c r="G40" s="18" t="s">
        <v>190</v>
      </c>
      <c r="H40" s="18"/>
      <c r="I40" s="18" t="s">
        <v>47</v>
      </c>
      <c r="J40" s="19">
        <v>2</v>
      </c>
      <c r="K40" s="18" t="s">
        <v>153</v>
      </c>
      <c r="L40" s="18" t="s">
        <v>153</v>
      </c>
      <c r="M40" s="17" t="s">
        <v>153</v>
      </c>
      <c r="N40" s="18"/>
    </row>
    <row r="41" spans="1:14">
      <c r="A41" s="24">
        <v>46182</v>
      </c>
      <c r="B41" s="5" t="s">
        <v>319</v>
      </c>
      <c r="C41" s="5" t="s">
        <v>179</v>
      </c>
      <c r="D41" s="5" t="s">
        <v>6</v>
      </c>
      <c r="E41" s="5" t="s">
        <v>165</v>
      </c>
      <c r="F41" s="5" t="s">
        <v>384</v>
      </c>
      <c r="G41" s="5" t="s">
        <v>48</v>
      </c>
      <c r="H41" s="5"/>
      <c r="I41" s="5" t="s">
        <v>47</v>
      </c>
      <c r="J41" s="7">
        <v>10</v>
      </c>
      <c r="K41" s="5" t="s">
        <v>147</v>
      </c>
      <c r="L41" s="5" t="s">
        <v>147</v>
      </c>
      <c r="M41" s="16" t="s">
        <v>148</v>
      </c>
      <c r="N41" s="5"/>
    </row>
    <row r="42" spans="1:14">
      <c r="A42" s="25">
        <v>46182</v>
      </c>
      <c r="B42" s="18" t="s">
        <v>319</v>
      </c>
      <c r="C42" s="18" t="s">
        <v>179</v>
      </c>
      <c r="D42" s="18" t="s">
        <v>6</v>
      </c>
      <c r="E42" s="18" t="s">
        <v>165</v>
      </c>
      <c r="F42" s="18" t="s">
        <v>384</v>
      </c>
      <c r="G42" s="18" t="s">
        <v>46</v>
      </c>
      <c r="H42" s="18"/>
      <c r="I42" s="18" t="s">
        <v>47</v>
      </c>
      <c r="J42" s="19">
        <v>10</v>
      </c>
      <c r="K42" s="18" t="s">
        <v>147</v>
      </c>
      <c r="L42" s="18" t="s">
        <v>147</v>
      </c>
      <c r="M42" s="16" t="s">
        <v>148</v>
      </c>
      <c r="N42" s="18"/>
    </row>
    <row r="43" spans="1:14">
      <c r="A43" s="24">
        <v>46182</v>
      </c>
      <c r="B43" s="5" t="s">
        <v>319</v>
      </c>
      <c r="C43" s="5" t="s">
        <v>179</v>
      </c>
      <c r="D43" s="5" t="s">
        <v>6</v>
      </c>
      <c r="E43" s="5" t="s">
        <v>165</v>
      </c>
      <c r="F43" s="5" t="s">
        <v>384</v>
      </c>
      <c r="G43" s="5" t="s">
        <v>189</v>
      </c>
      <c r="H43" s="5"/>
      <c r="I43" s="5" t="s">
        <v>47</v>
      </c>
      <c r="J43" s="7">
        <v>3</v>
      </c>
      <c r="K43" s="5" t="s">
        <v>153</v>
      </c>
      <c r="L43" s="5" t="s">
        <v>153</v>
      </c>
      <c r="M43" s="17" t="s">
        <v>153</v>
      </c>
      <c r="N43" s="5"/>
    </row>
    <row r="44" spans="1:14">
      <c r="A44" s="25">
        <v>46182</v>
      </c>
      <c r="B44" s="18" t="s">
        <v>319</v>
      </c>
      <c r="C44" s="18" t="s">
        <v>179</v>
      </c>
      <c r="D44" s="18" t="s">
        <v>6</v>
      </c>
      <c r="E44" s="18" t="s">
        <v>165</v>
      </c>
      <c r="F44" s="18" t="s">
        <v>384</v>
      </c>
      <c r="G44" s="18" t="s">
        <v>296</v>
      </c>
      <c r="H44" s="18"/>
      <c r="I44" s="18" t="s">
        <v>47</v>
      </c>
      <c r="J44" s="19">
        <v>1</v>
      </c>
      <c r="K44" s="18" t="s">
        <v>147</v>
      </c>
      <c r="L44" s="18" t="s">
        <v>147</v>
      </c>
      <c r="M44" s="16" t="s">
        <v>148</v>
      </c>
      <c r="N44" s="18"/>
    </row>
    <row r="45" spans="1:14">
      <c r="A45" s="24">
        <v>46182</v>
      </c>
      <c r="B45" s="5" t="s">
        <v>319</v>
      </c>
      <c r="C45" s="5" t="s">
        <v>179</v>
      </c>
      <c r="D45" s="5" t="s">
        <v>6</v>
      </c>
      <c r="E45" s="5" t="s">
        <v>165</v>
      </c>
      <c r="F45" s="5" t="s">
        <v>384</v>
      </c>
      <c r="G45" s="5" t="s">
        <v>272</v>
      </c>
      <c r="H45" s="5" t="s">
        <v>387</v>
      </c>
      <c r="I45" s="5" t="s">
        <v>47</v>
      </c>
      <c r="J45" s="7">
        <v>1</v>
      </c>
      <c r="K45" s="5" t="s">
        <v>147</v>
      </c>
      <c r="L45" s="5" t="s">
        <v>147</v>
      </c>
      <c r="M45" s="16" t="s">
        <v>148</v>
      </c>
      <c r="N45" s="5"/>
    </row>
    <row r="46" spans="1:14">
      <c r="A46" s="25">
        <v>46182</v>
      </c>
      <c r="B46" s="18" t="s">
        <v>319</v>
      </c>
      <c r="C46" s="18" t="s">
        <v>179</v>
      </c>
      <c r="D46" s="18" t="s">
        <v>6</v>
      </c>
      <c r="E46" s="18" t="s">
        <v>165</v>
      </c>
      <c r="F46" s="18" t="s">
        <v>384</v>
      </c>
      <c r="G46" s="18" t="s">
        <v>188</v>
      </c>
      <c r="H46" s="18"/>
      <c r="I46" s="18" t="s">
        <v>216</v>
      </c>
      <c r="J46" s="19">
        <v>1</v>
      </c>
      <c r="K46" s="18" t="s">
        <v>147</v>
      </c>
      <c r="L46" s="18" t="s">
        <v>147</v>
      </c>
      <c r="M46" s="16" t="s">
        <v>148</v>
      </c>
      <c r="N46" s="18"/>
    </row>
    <row r="47" spans="1:14">
      <c r="A47" s="24">
        <v>46182</v>
      </c>
      <c r="B47" s="5" t="s">
        <v>319</v>
      </c>
      <c r="C47" s="5" t="s">
        <v>179</v>
      </c>
      <c r="D47" s="5" t="s">
        <v>6</v>
      </c>
      <c r="E47" s="5" t="s">
        <v>168</v>
      </c>
      <c r="F47" s="5" t="s">
        <v>384</v>
      </c>
      <c r="G47" s="5" t="s">
        <v>230</v>
      </c>
      <c r="H47" s="5"/>
      <c r="I47" s="5" t="s">
        <v>47</v>
      </c>
      <c r="J47" s="7">
        <v>1</v>
      </c>
      <c r="K47" s="5" t="s">
        <v>147</v>
      </c>
      <c r="L47" s="5" t="s">
        <v>147</v>
      </c>
      <c r="M47" s="16" t="s">
        <v>148</v>
      </c>
      <c r="N47" s="5"/>
    </row>
    <row r="48" spans="1:14">
      <c r="A48" s="25">
        <v>46182</v>
      </c>
      <c r="B48" s="18" t="s">
        <v>319</v>
      </c>
      <c r="C48" s="18" t="s">
        <v>179</v>
      </c>
      <c r="D48" s="18" t="s">
        <v>6</v>
      </c>
      <c r="E48" s="18" t="s">
        <v>168</v>
      </c>
      <c r="F48" s="18" t="s">
        <v>384</v>
      </c>
      <c r="G48" s="18" t="s">
        <v>235</v>
      </c>
      <c r="H48" s="18" t="s">
        <v>385</v>
      </c>
      <c r="I48" s="18" t="s">
        <v>47</v>
      </c>
      <c r="J48" s="19">
        <v>1</v>
      </c>
      <c r="K48" s="18" t="s">
        <v>147</v>
      </c>
      <c r="L48" s="18" t="s">
        <v>147</v>
      </c>
      <c r="M48" s="16" t="s">
        <v>148</v>
      </c>
      <c r="N48" s="18"/>
    </row>
    <row r="49" spans="1:14">
      <c r="A49" s="24">
        <v>46182</v>
      </c>
      <c r="B49" s="5" t="s">
        <v>319</v>
      </c>
      <c r="C49" s="5" t="s">
        <v>179</v>
      </c>
      <c r="D49" s="5" t="s">
        <v>6</v>
      </c>
      <c r="E49" s="5" t="s">
        <v>168</v>
      </c>
      <c r="F49" s="5" t="s">
        <v>384</v>
      </c>
      <c r="G49" s="5" t="s">
        <v>238</v>
      </c>
      <c r="H49" s="5" t="s">
        <v>385</v>
      </c>
      <c r="I49" s="5" t="s">
        <v>47</v>
      </c>
      <c r="J49" s="7">
        <v>1</v>
      </c>
      <c r="K49" s="5" t="s">
        <v>147</v>
      </c>
      <c r="L49" s="5" t="s">
        <v>147</v>
      </c>
      <c r="M49" s="16" t="s">
        <v>148</v>
      </c>
      <c r="N49" s="5"/>
    </row>
    <row r="50" spans="1:14">
      <c r="A50" s="25">
        <v>46182</v>
      </c>
      <c r="B50" s="18" t="s">
        <v>319</v>
      </c>
      <c r="C50" s="18" t="s">
        <v>179</v>
      </c>
      <c r="D50" s="18" t="s">
        <v>6</v>
      </c>
      <c r="E50" s="18" t="s">
        <v>168</v>
      </c>
      <c r="F50" s="18" t="s">
        <v>384</v>
      </c>
      <c r="G50" s="18" t="s">
        <v>254</v>
      </c>
      <c r="H50" s="18" t="s">
        <v>385</v>
      </c>
      <c r="I50" s="18" t="s">
        <v>47</v>
      </c>
      <c r="J50" s="19">
        <v>1</v>
      </c>
      <c r="K50" s="18" t="s">
        <v>153</v>
      </c>
      <c r="L50" s="18" t="s">
        <v>153</v>
      </c>
      <c r="M50" s="17" t="s">
        <v>153</v>
      </c>
      <c r="N50" s="18"/>
    </row>
    <row r="51" spans="1:14">
      <c r="A51" s="24">
        <v>46182</v>
      </c>
      <c r="B51" s="5" t="s">
        <v>319</v>
      </c>
      <c r="C51" s="5" t="s">
        <v>179</v>
      </c>
      <c r="D51" s="5" t="s">
        <v>6</v>
      </c>
      <c r="E51" s="5" t="s">
        <v>168</v>
      </c>
      <c r="F51" s="5" t="s">
        <v>384</v>
      </c>
      <c r="G51" s="5" t="s">
        <v>185</v>
      </c>
      <c r="H51" s="5"/>
      <c r="I51" s="5" t="s">
        <v>47</v>
      </c>
      <c r="J51" s="7">
        <v>3</v>
      </c>
      <c r="K51" s="5" t="s">
        <v>147</v>
      </c>
      <c r="L51" s="5" t="s">
        <v>147</v>
      </c>
      <c r="M51" s="16" t="s">
        <v>148</v>
      </c>
      <c r="N51" s="5"/>
    </row>
    <row r="52" spans="1:14">
      <c r="A52" s="25">
        <v>46182</v>
      </c>
      <c r="B52" s="18" t="s">
        <v>319</v>
      </c>
      <c r="C52" s="18" t="s">
        <v>179</v>
      </c>
      <c r="D52" s="18" t="s">
        <v>6</v>
      </c>
      <c r="E52" s="18" t="s">
        <v>168</v>
      </c>
      <c r="F52" s="18" t="s">
        <v>384</v>
      </c>
      <c r="G52" s="18" t="s">
        <v>190</v>
      </c>
      <c r="H52" s="18"/>
      <c r="I52" s="18" t="s">
        <v>47</v>
      </c>
      <c r="J52" s="19">
        <v>2</v>
      </c>
      <c r="K52" s="18" t="s">
        <v>153</v>
      </c>
      <c r="L52" s="18" t="s">
        <v>153</v>
      </c>
      <c r="M52" s="17" t="s">
        <v>153</v>
      </c>
      <c r="N52" s="18"/>
    </row>
    <row r="53" spans="1:14">
      <c r="A53" s="24">
        <v>46182</v>
      </c>
      <c r="B53" s="5" t="s">
        <v>319</v>
      </c>
      <c r="C53" s="5" t="s">
        <v>179</v>
      </c>
      <c r="D53" s="5" t="s">
        <v>6</v>
      </c>
      <c r="E53" s="5" t="s">
        <v>168</v>
      </c>
      <c r="F53" s="5" t="s">
        <v>384</v>
      </c>
      <c r="G53" s="5" t="s">
        <v>272</v>
      </c>
      <c r="H53" s="5" t="s">
        <v>388</v>
      </c>
      <c r="I53" s="5" t="s">
        <v>47</v>
      </c>
      <c r="J53" s="7">
        <v>1</v>
      </c>
      <c r="K53" s="5" t="s">
        <v>147</v>
      </c>
      <c r="L53" s="5" t="s">
        <v>147</v>
      </c>
      <c r="M53" s="16" t="s">
        <v>148</v>
      </c>
      <c r="N53" s="5"/>
    </row>
    <row r="54" spans="1:14">
      <c r="A54" s="25">
        <v>46182</v>
      </c>
      <c r="B54" s="18" t="s">
        <v>319</v>
      </c>
      <c r="C54" s="18" t="s">
        <v>179</v>
      </c>
      <c r="D54" s="18" t="s">
        <v>6</v>
      </c>
      <c r="E54" s="18" t="s">
        <v>168</v>
      </c>
      <c r="F54" s="18" t="s">
        <v>384</v>
      </c>
      <c r="G54" s="18" t="s">
        <v>189</v>
      </c>
      <c r="H54" s="18"/>
      <c r="I54" s="18" t="s">
        <v>47</v>
      </c>
      <c r="J54" s="19">
        <v>2</v>
      </c>
      <c r="K54" s="18" t="s">
        <v>153</v>
      </c>
      <c r="L54" s="18" t="s">
        <v>153</v>
      </c>
      <c r="M54" s="17" t="s">
        <v>153</v>
      </c>
      <c r="N54" s="18"/>
    </row>
    <row r="55" spans="1:14">
      <c r="A55" s="24">
        <v>46182</v>
      </c>
      <c r="B55" s="5" t="s">
        <v>319</v>
      </c>
      <c r="C55" s="5" t="s">
        <v>179</v>
      </c>
      <c r="D55" s="5" t="s">
        <v>6</v>
      </c>
      <c r="E55" s="5" t="s">
        <v>168</v>
      </c>
      <c r="F55" s="5" t="s">
        <v>384</v>
      </c>
      <c r="G55" s="5" t="s">
        <v>236</v>
      </c>
      <c r="H55" s="5"/>
      <c r="I55" s="5" t="s">
        <v>40</v>
      </c>
      <c r="J55" s="7">
        <v>1</v>
      </c>
      <c r="K55" s="5" t="s">
        <v>147</v>
      </c>
      <c r="L55" s="5" t="s">
        <v>147</v>
      </c>
      <c r="M55" s="16" t="s">
        <v>148</v>
      </c>
      <c r="N55" s="5"/>
    </row>
    <row r="56" spans="1:14">
      <c r="A56" s="25">
        <v>46182</v>
      </c>
      <c r="B56" s="18" t="s">
        <v>319</v>
      </c>
      <c r="C56" s="18" t="s">
        <v>179</v>
      </c>
      <c r="D56" s="18" t="s">
        <v>6</v>
      </c>
      <c r="E56" s="18" t="s">
        <v>168</v>
      </c>
      <c r="F56" s="18" t="s">
        <v>384</v>
      </c>
      <c r="G56" s="18" t="s">
        <v>188</v>
      </c>
      <c r="H56" s="18"/>
      <c r="I56" s="18" t="s">
        <v>216</v>
      </c>
      <c r="J56" s="19">
        <v>1</v>
      </c>
      <c r="K56" s="18" t="s">
        <v>147</v>
      </c>
      <c r="L56" s="18" t="s">
        <v>147</v>
      </c>
      <c r="M56" s="16" t="s">
        <v>148</v>
      </c>
      <c r="N56" s="18"/>
    </row>
    <row r="57" spans="1:14">
      <c r="A57" s="24">
        <v>46182</v>
      </c>
      <c r="B57" s="5" t="s">
        <v>319</v>
      </c>
      <c r="C57" s="5" t="s">
        <v>179</v>
      </c>
      <c r="D57" s="5" t="s">
        <v>6</v>
      </c>
      <c r="E57" s="5" t="s">
        <v>168</v>
      </c>
      <c r="F57" s="5" t="s">
        <v>384</v>
      </c>
      <c r="G57" s="5" t="s">
        <v>191</v>
      </c>
      <c r="H57" s="5"/>
      <c r="I57" s="5" t="s">
        <v>47</v>
      </c>
      <c r="J57" s="7">
        <v>2</v>
      </c>
      <c r="K57" s="5" t="s">
        <v>153</v>
      </c>
      <c r="L57" s="5" t="s">
        <v>153</v>
      </c>
      <c r="M57" s="17" t="s">
        <v>153</v>
      </c>
      <c r="N57" s="5"/>
    </row>
    <row r="58" spans="1:14">
      <c r="A58" s="25">
        <v>46183</v>
      </c>
      <c r="B58" s="18" t="s">
        <v>319</v>
      </c>
      <c r="C58" s="18" t="s">
        <v>179</v>
      </c>
      <c r="D58" s="18" t="s">
        <v>6</v>
      </c>
      <c r="E58" s="18" t="s">
        <v>165</v>
      </c>
      <c r="F58" s="18" t="s">
        <v>384</v>
      </c>
      <c r="G58" s="18" t="s">
        <v>193</v>
      </c>
      <c r="H58" s="18"/>
      <c r="I58" s="18" t="s">
        <v>216</v>
      </c>
      <c r="J58" s="19">
        <v>1</v>
      </c>
      <c r="K58" s="18" t="s">
        <v>147</v>
      </c>
      <c r="L58" s="18" t="s">
        <v>147</v>
      </c>
      <c r="M58" s="16" t="s">
        <v>148</v>
      </c>
      <c r="N58" s="18"/>
    </row>
    <row r="59" spans="1:14">
      <c r="A59" s="24">
        <v>46184</v>
      </c>
      <c r="B59" s="5" t="s">
        <v>319</v>
      </c>
      <c r="C59" s="5" t="s">
        <v>179</v>
      </c>
      <c r="D59" s="5" t="s">
        <v>6</v>
      </c>
      <c r="E59" s="5" t="s">
        <v>165</v>
      </c>
      <c r="F59" s="5" t="s">
        <v>384</v>
      </c>
      <c r="G59" s="5" t="s">
        <v>252</v>
      </c>
      <c r="H59" s="5"/>
      <c r="I59" s="5" t="s">
        <v>40</v>
      </c>
      <c r="J59" s="7">
        <v>3</v>
      </c>
      <c r="K59" s="5" t="s">
        <v>147</v>
      </c>
      <c r="L59" s="5" t="s">
        <v>147</v>
      </c>
      <c r="M59" s="16" t="s">
        <v>148</v>
      </c>
      <c r="N59" s="5"/>
    </row>
    <row r="60" spans="1:14">
      <c r="A60" s="25">
        <v>46184</v>
      </c>
      <c r="B60" s="18" t="s">
        <v>319</v>
      </c>
      <c r="C60" s="18" t="s">
        <v>179</v>
      </c>
      <c r="D60" s="18" t="s">
        <v>6</v>
      </c>
      <c r="E60" s="18" t="s">
        <v>165</v>
      </c>
      <c r="F60" s="18" t="s">
        <v>384</v>
      </c>
      <c r="G60" s="18" t="s">
        <v>276</v>
      </c>
      <c r="H60" s="18"/>
      <c r="I60" s="18" t="s">
        <v>40</v>
      </c>
      <c r="J60" s="19">
        <v>3</v>
      </c>
      <c r="K60" s="18" t="s">
        <v>147</v>
      </c>
      <c r="L60" s="18" t="s">
        <v>147</v>
      </c>
      <c r="M60" s="16" t="s">
        <v>148</v>
      </c>
      <c r="N60" s="18"/>
    </row>
    <row r="61" spans="1:14">
      <c r="A61" s="24">
        <v>46184</v>
      </c>
      <c r="B61" s="5" t="s">
        <v>319</v>
      </c>
      <c r="C61" s="5" t="s">
        <v>179</v>
      </c>
      <c r="D61" s="5" t="s">
        <v>6</v>
      </c>
      <c r="E61" s="5" t="s">
        <v>165</v>
      </c>
      <c r="F61" s="5" t="s">
        <v>384</v>
      </c>
      <c r="G61" s="5" t="s">
        <v>259</v>
      </c>
      <c r="H61" s="5"/>
      <c r="I61" s="5" t="s">
        <v>40</v>
      </c>
      <c r="J61" s="7">
        <v>15</v>
      </c>
      <c r="K61" s="5" t="s">
        <v>153</v>
      </c>
      <c r="L61" s="5" t="s">
        <v>153</v>
      </c>
      <c r="M61" s="17" t="s">
        <v>153</v>
      </c>
      <c r="N61" s="5"/>
    </row>
    <row r="62" spans="1:14">
      <c r="A62" s="25">
        <v>46184</v>
      </c>
      <c r="B62" s="18" t="s">
        <v>319</v>
      </c>
      <c r="C62" s="18" t="s">
        <v>179</v>
      </c>
      <c r="D62" s="18" t="s">
        <v>6</v>
      </c>
      <c r="E62" s="18" t="s">
        <v>165</v>
      </c>
      <c r="F62" s="18" t="s">
        <v>384</v>
      </c>
      <c r="G62" s="18" t="s">
        <v>270</v>
      </c>
      <c r="H62" s="18"/>
      <c r="I62" s="18" t="s">
        <v>40</v>
      </c>
      <c r="J62" s="19">
        <v>10</v>
      </c>
      <c r="K62" s="18" t="s">
        <v>147</v>
      </c>
      <c r="L62" s="18" t="s">
        <v>147</v>
      </c>
      <c r="M62" s="16" t="s">
        <v>148</v>
      </c>
      <c r="N62" s="18"/>
    </row>
    <row r="63" spans="1:14">
      <c r="A63" s="24">
        <v>46184</v>
      </c>
      <c r="B63" s="5" t="s">
        <v>319</v>
      </c>
      <c r="C63" s="5" t="s">
        <v>179</v>
      </c>
      <c r="D63" s="5" t="s">
        <v>6</v>
      </c>
      <c r="E63" s="5" t="s">
        <v>165</v>
      </c>
      <c r="F63" s="5" t="s">
        <v>384</v>
      </c>
      <c r="G63" s="5" t="s">
        <v>39</v>
      </c>
      <c r="H63" s="5"/>
      <c r="I63" s="5" t="s">
        <v>40</v>
      </c>
      <c r="J63" s="7">
        <v>500</v>
      </c>
      <c r="K63" s="5" t="s">
        <v>147</v>
      </c>
      <c r="L63" s="5" t="s">
        <v>147</v>
      </c>
      <c r="M63" s="16" t="s">
        <v>148</v>
      </c>
      <c r="N63" s="5"/>
    </row>
    <row r="64" spans="1:14">
      <c r="A64" s="25">
        <v>46184</v>
      </c>
      <c r="B64" s="18" t="s">
        <v>319</v>
      </c>
      <c r="C64" s="18" t="s">
        <v>179</v>
      </c>
      <c r="D64" s="18" t="s">
        <v>6</v>
      </c>
      <c r="E64" s="18" t="s">
        <v>168</v>
      </c>
      <c r="F64" s="18" t="s">
        <v>384</v>
      </c>
      <c r="G64" s="18" t="s">
        <v>39</v>
      </c>
      <c r="H64" s="18"/>
      <c r="I64" s="18" t="s">
        <v>40</v>
      </c>
      <c r="J64" s="19">
        <v>200</v>
      </c>
      <c r="K64" s="18" t="s">
        <v>147</v>
      </c>
      <c r="L64" s="18" t="s">
        <v>147</v>
      </c>
      <c r="M64" s="16" t="s">
        <v>148</v>
      </c>
      <c r="N64" s="18"/>
    </row>
    <row r="65" spans="1:14">
      <c r="A65" s="24">
        <v>46188</v>
      </c>
      <c r="B65" s="5" t="s">
        <v>320</v>
      </c>
      <c r="C65" s="5" t="s">
        <v>179</v>
      </c>
      <c r="D65" s="5" t="s">
        <v>6</v>
      </c>
      <c r="E65" s="5" t="s">
        <v>163</v>
      </c>
      <c r="F65" s="5" t="s">
        <v>384</v>
      </c>
      <c r="G65" s="5" t="s">
        <v>259</v>
      </c>
      <c r="H65" s="5"/>
      <c r="I65" s="5" t="s">
        <v>40</v>
      </c>
      <c r="J65" s="7">
        <v>5</v>
      </c>
      <c r="K65" s="5" t="s">
        <v>147</v>
      </c>
      <c r="L65" s="5" t="s">
        <v>147</v>
      </c>
      <c r="M65" s="16" t="s">
        <v>148</v>
      </c>
      <c r="N65" s="5"/>
    </row>
    <row r="66" spans="1:14">
      <c r="A66" s="25">
        <v>46188</v>
      </c>
      <c r="B66" s="18" t="s">
        <v>320</v>
      </c>
      <c r="C66" s="18" t="s">
        <v>179</v>
      </c>
      <c r="D66" s="18" t="s">
        <v>6</v>
      </c>
      <c r="E66" s="18" t="s">
        <v>163</v>
      </c>
      <c r="F66" s="18" t="s">
        <v>384</v>
      </c>
      <c r="G66" s="18" t="s">
        <v>270</v>
      </c>
      <c r="H66" s="18"/>
      <c r="I66" s="18" t="s">
        <v>40</v>
      </c>
      <c r="J66" s="19">
        <v>5</v>
      </c>
      <c r="K66" s="18" t="s">
        <v>147</v>
      </c>
      <c r="L66" s="18" t="s">
        <v>147</v>
      </c>
      <c r="M66" s="16" t="s">
        <v>148</v>
      </c>
      <c r="N66" s="18"/>
    </row>
    <row r="67" spans="1:14">
      <c r="A67" s="24">
        <v>46188</v>
      </c>
      <c r="B67" s="5" t="s">
        <v>320</v>
      </c>
      <c r="C67" s="5" t="s">
        <v>179</v>
      </c>
      <c r="D67" s="5" t="s">
        <v>6</v>
      </c>
      <c r="E67" s="5" t="s">
        <v>163</v>
      </c>
      <c r="F67" s="5" t="s">
        <v>384</v>
      </c>
      <c r="G67" s="5" t="s">
        <v>43</v>
      </c>
      <c r="H67" s="5"/>
      <c r="I67" s="5" t="s">
        <v>40</v>
      </c>
      <c r="J67" s="7">
        <v>250</v>
      </c>
      <c r="K67" s="5" t="s">
        <v>147</v>
      </c>
      <c r="L67" s="5" t="s">
        <v>147</v>
      </c>
      <c r="M67" s="16" t="s">
        <v>148</v>
      </c>
      <c r="N67" s="5"/>
    </row>
    <row r="68" spans="1:14">
      <c r="A68" s="25">
        <v>46188</v>
      </c>
      <c r="B68" s="18" t="s">
        <v>320</v>
      </c>
      <c r="C68" s="18" t="s">
        <v>179</v>
      </c>
      <c r="D68" s="18" t="s">
        <v>6</v>
      </c>
      <c r="E68" s="18" t="s">
        <v>163</v>
      </c>
      <c r="F68" s="18" t="s">
        <v>384</v>
      </c>
      <c r="G68" s="18" t="s">
        <v>42</v>
      </c>
      <c r="H68" s="18"/>
      <c r="I68" s="18" t="s">
        <v>40</v>
      </c>
      <c r="J68" s="19">
        <v>300</v>
      </c>
      <c r="K68" s="18" t="s">
        <v>147</v>
      </c>
      <c r="L68" s="18" t="s">
        <v>147</v>
      </c>
      <c r="M68" s="16" t="s">
        <v>148</v>
      </c>
      <c r="N68" s="18"/>
    </row>
    <row r="69" spans="1:14">
      <c r="A69" s="24">
        <v>46188</v>
      </c>
      <c r="B69" s="5" t="s">
        <v>320</v>
      </c>
      <c r="C69" s="5" t="s">
        <v>179</v>
      </c>
      <c r="D69" s="5" t="s">
        <v>6</v>
      </c>
      <c r="E69" s="5" t="s">
        <v>163</v>
      </c>
      <c r="F69" s="5" t="s">
        <v>384</v>
      </c>
      <c r="G69" s="5" t="s">
        <v>41</v>
      </c>
      <c r="H69" s="5"/>
      <c r="I69" s="5" t="s">
        <v>40</v>
      </c>
      <c r="J69" s="7">
        <v>300</v>
      </c>
      <c r="K69" s="5" t="s">
        <v>147</v>
      </c>
      <c r="L69" s="5" t="s">
        <v>147</v>
      </c>
      <c r="M69" s="16" t="s">
        <v>148</v>
      </c>
      <c r="N69" s="5"/>
    </row>
    <row r="70" spans="1:14">
      <c r="A70" s="25">
        <v>46188</v>
      </c>
      <c r="B70" s="18" t="s">
        <v>320</v>
      </c>
      <c r="C70" s="18" t="s">
        <v>179</v>
      </c>
      <c r="D70" s="18" t="s">
        <v>6</v>
      </c>
      <c r="E70" s="18" t="s">
        <v>163</v>
      </c>
      <c r="F70" s="18" t="s">
        <v>384</v>
      </c>
      <c r="G70" s="18" t="s">
        <v>48</v>
      </c>
      <c r="H70" s="18"/>
      <c r="I70" s="18" t="s">
        <v>47</v>
      </c>
      <c r="J70" s="19">
        <v>30</v>
      </c>
      <c r="K70" s="18" t="s">
        <v>147</v>
      </c>
      <c r="L70" s="18" t="s">
        <v>147</v>
      </c>
      <c r="M70" s="16" t="s">
        <v>148</v>
      </c>
      <c r="N70" s="18"/>
    </row>
    <row r="71" spans="1:14">
      <c r="A71" s="24">
        <v>46188</v>
      </c>
      <c r="B71" s="5" t="s">
        <v>320</v>
      </c>
      <c r="C71" s="5" t="s">
        <v>179</v>
      </c>
      <c r="D71" s="5" t="s">
        <v>6</v>
      </c>
      <c r="E71" s="5" t="s">
        <v>163</v>
      </c>
      <c r="F71" s="5" t="s">
        <v>384</v>
      </c>
      <c r="G71" s="5" t="s">
        <v>39</v>
      </c>
      <c r="H71" s="5"/>
      <c r="I71" s="5" t="s">
        <v>40</v>
      </c>
      <c r="J71" s="7">
        <v>200</v>
      </c>
      <c r="K71" s="5" t="s">
        <v>147</v>
      </c>
      <c r="L71" s="5" t="s">
        <v>147</v>
      </c>
      <c r="M71" s="16" t="s">
        <v>148</v>
      </c>
      <c r="N71" s="5"/>
    </row>
    <row r="72" spans="1:14">
      <c r="A72" s="25">
        <v>46188</v>
      </c>
      <c r="B72" s="18" t="s">
        <v>320</v>
      </c>
      <c r="C72" s="18" t="s">
        <v>179</v>
      </c>
      <c r="D72" s="18" t="s">
        <v>6</v>
      </c>
      <c r="E72" s="18" t="s">
        <v>164</v>
      </c>
      <c r="F72" s="18" t="s">
        <v>384</v>
      </c>
      <c r="G72" s="18" t="s">
        <v>269</v>
      </c>
      <c r="H72" s="18"/>
      <c r="I72" s="18" t="s">
        <v>40</v>
      </c>
      <c r="J72" s="19">
        <v>2</v>
      </c>
      <c r="K72" s="18" t="s">
        <v>147</v>
      </c>
      <c r="L72" s="18" t="s">
        <v>147</v>
      </c>
      <c r="M72" s="16" t="s">
        <v>148</v>
      </c>
      <c r="N72" s="18"/>
    </row>
    <row r="73" spans="1:14">
      <c r="A73" s="24">
        <v>46188</v>
      </c>
      <c r="B73" s="5" t="s">
        <v>320</v>
      </c>
      <c r="C73" s="5" t="s">
        <v>179</v>
      </c>
      <c r="D73" s="5" t="s">
        <v>6</v>
      </c>
      <c r="E73" s="5" t="s">
        <v>164</v>
      </c>
      <c r="F73" s="5" t="s">
        <v>384</v>
      </c>
      <c r="G73" s="5" t="s">
        <v>220</v>
      </c>
      <c r="H73" s="5"/>
      <c r="I73" s="5" t="s">
        <v>40</v>
      </c>
      <c r="J73" s="7">
        <v>2</v>
      </c>
      <c r="K73" s="5" t="s">
        <v>147</v>
      </c>
      <c r="L73" s="5" t="s">
        <v>147</v>
      </c>
      <c r="M73" s="16" t="s">
        <v>148</v>
      </c>
      <c r="N73" s="5"/>
    </row>
    <row r="74" spans="1:14">
      <c r="A74" s="25">
        <v>46188</v>
      </c>
      <c r="B74" s="18" t="s">
        <v>320</v>
      </c>
      <c r="C74" s="18" t="s">
        <v>179</v>
      </c>
      <c r="D74" s="18" t="s">
        <v>6</v>
      </c>
      <c r="E74" s="18" t="s">
        <v>164</v>
      </c>
      <c r="F74" s="18" t="s">
        <v>384</v>
      </c>
      <c r="G74" s="18" t="s">
        <v>192</v>
      </c>
      <c r="H74" s="18"/>
      <c r="I74" s="18" t="s">
        <v>216</v>
      </c>
      <c r="J74" s="19">
        <v>2</v>
      </c>
      <c r="K74" s="18" t="s">
        <v>153</v>
      </c>
      <c r="L74" s="18" t="s">
        <v>153</v>
      </c>
      <c r="M74" s="17" t="s">
        <v>153</v>
      </c>
      <c r="N74" s="18"/>
    </row>
    <row r="75" spans="1:14">
      <c r="A75" s="24">
        <v>46188</v>
      </c>
      <c r="B75" s="5" t="s">
        <v>320</v>
      </c>
      <c r="C75" s="5" t="s">
        <v>179</v>
      </c>
      <c r="D75" s="5" t="s">
        <v>6</v>
      </c>
      <c r="E75" s="5" t="s">
        <v>164</v>
      </c>
      <c r="F75" s="5" t="s">
        <v>384</v>
      </c>
      <c r="G75" s="5" t="s">
        <v>48</v>
      </c>
      <c r="H75" s="5"/>
      <c r="I75" s="5" t="s">
        <v>47</v>
      </c>
      <c r="J75" s="7">
        <v>15</v>
      </c>
      <c r="K75" s="5" t="s">
        <v>147</v>
      </c>
      <c r="L75" s="5" t="s">
        <v>147</v>
      </c>
      <c r="M75" s="16" t="s">
        <v>148</v>
      </c>
      <c r="N75" s="5"/>
    </row>
    <row r="76" spans="1:14">
      <c r="A76" s="25">
        <v>46188</v>
      </c>
      <c r="B76" s="18" t="s">
        <v>320</v>
      </c>
      <c r="C76" s="18" t="s">
        <v>179</v>
      </c>
      <c r="D76" s="18" t="s">
        <v>6</v>
      </c>
      <c r="E76" s="18" t="s">
        <v>165</v>
      </c>
      <c r="F76" s="18" t="s">
        <v>384</v>
      </c>
      <c r="G76" s="18" t="s">
        <v>229</v>
      </c>
      <c r="H76" s="18"/>
      <c r="I76" s="18" t="s">
        <v>216</v>
      </c>
      <c r="J76" s="19">
        <v>1</v>
      </c>
      <c r="K76" s="18" t="s">
        <v>147</v>
      </c>
      <c r="L76" s="18" t="s">
        <v>147</v>
      </c>
      <c r="M76" s="16" t="s">
        <v>148</v>
      </c>
      <c r="N76" s="18"/>
    </row>
    <row r="77" spans="1:14">
      <c r="A77" s="24">
        <v>46188</v>
      </c>
      <c r="B77" s="5" t="s">
        <v>320</v>
      </c>
      <c r="C77" s="5" t="s">
        <v>179</v>
      </c>
      <c r="D77" s="5" t="s">
        <v>6</v>
      </c>
      <c r="E77" s="5" t="s">
        <v>167</v>
      </c>
      <c r="F77" s="5" t="s">
        <v>384</v>
      </c>
      <c r="G77" s="5" t="s">
        <v>185</v>
      </c>
      <c r="H77" s="5"/>
      <c r="I77" s="5" t="s">
        <v>47</v>
      </c>
      <c r="J77" s="7">
        <v>4</v>
      </c>
      <c r="K77" s="5" t="s">
        <v>147</v>
      </c>
      <c r="L77" s="5" t="s">
        <v>147</v>
      </c>
      <c r="M77" s="16" t="s">
        <v>148</v>
      </c>
      <c r="N77" s="5"/>
    </row>
    <row r="78" spans="1:14">
      <c r="A78" s="25">
        <v>46188</v>
      </c>
      <c r="B78" s="18" t="s">
        <v>320</v>
      </c>
      <c r="C78" s="18" t="s">
        <v>179</v>
      </c>
      <c r="D78" s="18" t="s">
        <v>6</v>
      </c>
      <c r="E78" s="18" t="s">
        <v>167</v>
      </c>
      <c r="F78" s="18" t="s">
        <v>384</v>
      </c>
      <c r="G78" s="18" t="s">
        <v>48</v>
      </c>
      <c r="H78" s="18"/>
      <c r="I78" s="18" t="s">
        <v>47</v>
      </c>
      <c r="J78" s="19">
        <v>60</v>
      </c>
      <c r="K78" s="18" t="s">
        <v>147</v>
      </c>
      <c r="L78" s="18" t="s">
        <v>147</v>
      </c>
      <c r="M78" s="16" t="s">
        <v>148</v>
      </c>
      <c r="N78" s="18"/>
    </row>
    <row r="79" spans="1:14">
      <c r="A79" s="24">
        <v>46188</v>
      </c>
      <c r="B79" s="5" t="s">
        <v>320</v>
      </c>
      <c r="C79" s="5" t="s">
        <v>179</v>
      </c>
      <c r="D79" s="5" t="s">
        <v>6</v>
      </c>
      <c r="E79" s="5" t="s">
        <v>167</v>
      </c>
      <c r="F79" s="5" t="s">
        <v>384</v>
      </c>
      <c r="G79" s="5" t="s">
        <v>238</v>
      </c>
      <c r="H79" s="5" t="s">
        <v>389</v>
      </c>
      <c r="I79" s="5" t="s">
        <v>47</v>
      </c>
      <c r="J79" s="7">
        <v>1</v>
      </c>
      <c r="K79" s="5" t="s">
        <v>147</v>
      </c>
      <c r="L79" s="5" t="s">
        <v>147</v>
      </c>
      <c r="M79" s="16" t="s">
        <v>148</v>
      </c>
      <c r="N79" s="5"/>
    </row>
    <row r="80" spans="1:14">
      <c r="A80" s="25">
        <v>46188</v>
      </c>
      <c r="B80" s="18" t="s">
        <v>320</v>
      </c>
      <c r="C80" s="18" t="s">
        <v>179</v>
      </c>
      <c r="D80" s="18" t="s">
        <v>6</v>
      </c>
      <c r="E80" s="18" t="s">
        <v>167</v>
      </c>
      <c r="F80" s="18" t="s">
        <v>384</v>
      </c>
      <c r="G80" s="18" t="s">
        <v>235</v>
      </c>
      <c r="H80" s="18" t="s">
        <v>389</v>
      </c>
      <c r="I80" s="18" t="s">
        <v>47</v>
      </c>
      <c r="J80" s="19">
        <v>1</v>
      </c>
      <c r="K80" s="18" t="s">
        <v>147</v>
      </c>
      <c r="L80" s="18" t="s">
        <v>147</v>
      </c>
      <c r="M80" s="16" t="s">
        <v>148</v>
      </c>
      <c r="N80" s="18"/>
    </row>
    <row r="81" spans="1:14">
      <c r="A81" s="24">
        <v>46188</v>
      </c>
      <c r="B81" s="5" t="s">
        <v>320</v>
      </c>
      <c r="C81" s="5" t="s">
        <v>179</v>
      </c>
      <c r="D81" s="5" t="s">
        <v>6</v>
      </c>
      <c r="E81" s="5" t="s">
        <v>167</v>
      </c>
      <c r="F81" s="5" t="s">
        <v>384</v>
      </c>
      <c r="G81" s="5" t="s">
        <v>254</v>
      </c>
      <c r="H81" s="5" t="s">
        <v>389</v>
      </c>
      <c r="I81" s="5" t="s">
        <v>47</v>
      </c>
      <c r="J81" s="7">
        <v>1</v>
      </c>
      <c r="K81" s="5" t="s">
        <v>147</v>
      </c>
      <c r="L81" s="5" t="s">
        <v>147</v>
      </c>
      <c r="M81" s="16" t="s">
        <v>148</v>
      </c>
      <c r="N81" s="5"/>
    </row>
    <row r="82" spans="1:14">
      <c r="A82" s="25">
        <v>46188</v>
      </c>
      <c r="B82" s="18" t="s">
        <v>320</v>
      </c>
      <c r="C82" s="18" t="s">
        <v>179</v>
      </c>
      <c r="D82" s="18" t="s">
        <v>6</v>
      </c>
      <c r="E82" s="18" t="s">
        <v>167</v>
      </c>
      <c r="F82" s="18" t="s">
        <v>384</v>
      </c>
      <c r="G82" s="18" t="s">
        <v>220</v>
      </c>
      <c r="H82" s="18"/>
      <c r="I82" s="18" t="s">
        <v>40</v>
      </c>
      <c r="J82" s="19">
        <v>5</v>
      </c>
      <c r="K82" s="18" t="s">
        <v>147</v>
      </c>
      <c r="L82" s="18" t="s">
        <v>147</v>
      </c>
      <c r="M82" s="16" t="s">
        <v>148</v>
      </c>
      <c r="N82" s="18"/>
    </row>
    <row r="83" spans="1:14">
      <c r="A83" s="24">
        <v>46188</v>
      </c>
      <c r="B83" s="5" t="s">
        <v>320</v>
      </c>
      <c r="C83" s="5" t="s">
        <v>179</v>
      </c>
      <c r="D83" s="5" t="s">
        <v>6</v>
      </c>
      <c r="E83" s="5" t="s">
        <v>167</v>
      </c>
      <c r="F83" s="5" t="s">
        <v>384</v>
      </c>
      <c r="G83" s="5" t="s">
        <v>186</v>
      </c>
      <c r="H83" s="5"/>
      <c r="I83" s="5" t="s">
        <v>40</v>
      </c>
      <c r="J83" s="7">
        <v>2</v>
      </c>
      <c r="K83" s="5" t="s">
        <v>147</v>
      </c>
      <c r="L83" s="5" t="s">
        <v>147</v>
      </c>
      <c r="M83" s="16" t="s">
        <v>148</v>
      </c>
      <c r="N83" s="5"/>
    </row>
    <row r="84" spans="1:14">
      <c r="A84" s="25">
        <v>46188</v>
      </c>
      <c r="B84" s="18" t="s">
        <v>320</v>
      </c>
      <c r="C84" s="18" t="s">
        <v>179</v>
      </c>
      <c r="D84" s="18" t="s">
        <v>6</v>
      </c>
      <c r="E84" s="18" t="s">
        <v>169</v>
      </c>
      <c r="F84" s="18" t="s">
        <v>384</v>
      </c>
      <c r="G84" s="18" t="s">
        <v>187</v>
      </c>
      <c r="H84" s="18"/>
      <c r="I84" s="18" t="s">
        <v>216</v>
      </c>
      <c r="J84" s="19">
        <v>2</v>
      </c>
      <c r="K84" s="18" t="s">
        <v>153</v>
      </c>
      <c r="L84" s="18" t="s">
        <v>153</v>
      </c>
      <c r="M84" s="17" t="s">
        <v>153</v>
      </c>
      <c r="N84" s="18"/>
    </row>
    <row r="85" spans="1:14">
      <c r="A85" s="24">
        <v>46188</v>
      </c>
      <c r="B85" s="5" t="s">
        <v>320</v>
      </c>
      <c r="C85" s="5" t="s">
        <v>179</v>
      </c>
      <c r="D85" s="5" t="s">
        <v>6</v>
      </c>
      <c r="E85" s="5" t="s">
        <v>169</v>
      </c>
      <c r="F85" s="5" t="s">
        <v>384</v>
      </c>
      <c r="G85" s="5" t="s">
        <v>185</v>
      </c>
      <c r="H85" s="5"/>
      <c r="I85" s="5" t="s">
        <v>47</v>
      </c>
      <c r="J85" s="7">
        <v>4</v>
      </c>
      <c r="K85" s="5" t="s">
        <v>147</v>
      </c>
      <c r="L85" s="5" t="s">
        <v>147</v>
      </c>
      <c r="M85" s="16" t="s">
        <v>148</v>
      </c>
      <c r="N85" s="5"/>
    </row>
    <row r="86" spans="1:14">
      <c r="A86" s="25">
        <v>46188</v>
      </c>
      <c r="B86" s="18" t="s">
        <v>320</v>
      </c>
      <c r="C86" s="18" t="s">
        <v>179</v>
      </c>
      <c r="D86" s="18" t="s">
        <v>6</v>
      </c>
      <c r="E86" s="18" t="s">
        <v>169</v>
      </c>
      <c r="F86" s="18" t="s">
        <v>384</v>
      </c>
      <c r="G86" s="18" t="s">
        <v>270</v>
      </c>
      <c r="H86" s="18"/>
      <c r="I86" s="18" t="s">
        <v>40</v>
      </c>
      <c r="J86" s="19">
        <v>5</v>
      </c>
      <c r="K86" s="18" t="s">
        <v>147</v>
      </c>
      <c r="L86" s="18" t="s">
        <v>147</v>
      </c>
      <c r="M86" s="16" t="s">
        <v>148</v>
      </c>
      <c r="N86" s="18"/>
    </row>
    <row r="87" spans="1:14">
      <c r="A87" s="24">
        <v>46188</v>
      </c>
      <c r="B87" s="5" t="s">
        <v>320</v>
      </c>
      <c r="C87" s="5" t="s">
        <v>179</v>
      </c>
      <c r="D87" s="5" t="s">
        <v>6</v>
      </c>
      <c r="E87" s="5" t="s">
        <v>169</v>
      </c>
      <c r="F87" s="5" t="s">
        <v>384</v>
      </c>
      <c r="G87" s="5" t="s">
        <v>259</v>
      </c>
      <c r="H87" s="5"/>
      <c r="I87" s="5" t="s">
        <v>40</v>
      </c>
      <c r="J87" s="7">
        <v>5</v>
      </c>
      <c r="K87" s="5" t="s">
        <v>147</v>
      </c>
      <c r="L87" s="5" t="s">
        <v>147</v>
      </c>
      <c r="M87" s="16" t="s">
        <v>148</v>
      </c>
      <c r="N87" s="5"/>
    </row>
    <row r="88" spans="1:14">
      <c r="A88" s="25">
        <v>46188</v>
      </c>
      <c r="B88" s="18" t="s">
        <v>320</v>
      </c>
      <c r="C88" s="18" t="s">
        <v>179</v>
      </c>
      <c r="D88" s="18" t="s">
        <v>6</v>
      </c>
      <c r="E88" s="18" t="s">
        <v>169</v>
      </c>
      <c r="F88" s="18" t="s">
        <v>384</v>
      </c>
      <c r="G88" s="18" t="s">
        <v>269</v>
      </c>
      <c r="H88" s="18"/>
      <c r="I88" s="18" t="s">
        <v>40</v>
      </c>
      <c r="J88" s="19">
        <v>2</v>
      </c>
      <c r="K88" s="18" t="s">
        <v>147</v>
      </c>
      <c r="L88" s="18" t="s">
        <v>147</v>
      </c>
      <c r="M88" s="16" t="s">
        <v>148</v>
      </c>
      <c r="N88" s="18"/>
    </row>
    <row r="89" spans="1:14">
      <c r="A89" s="24">
        <v>46188</v>
      </c>
      <c r="B89" s="5" t="s">
        <v>320</v>
      </c>
      <c r="C89" s="5" t="s">
        <v>179</v>
      </c>
      <c r="D89" s="5" t="s">
        <v>6</v>
      </c>
      <c r="E89" s="5" t="s">
        <v>169</v>
      </c>
      <c r="F89" s="5" t="s">
        <v>384</v>
      </c>
      <c r="G89" s="5" t="s">
        <v>288</v>
      </c>
      <c r="H89" s="5"/>
      <c r="I89" s="5" t="s">
        <v>216</v>
      </c>
      <c r="J89" s="7">
        <v>2</v>
      </c>
      <c r="K89" s="5" t="s">
        <v>153</v>
      </c>
      <c r="L89" s="5" t="s">
        <v>153</v>
      </c>
      <c r="M89" s="17" t="s">
        <v>153</v>
      </c>
      <c r="N89" s="5"/>
    </row>
    <row r="90" spans="1:14">
      <c r="A90" s="25">
        <v>46188</v>
      </c>
      <c r="B90" s="18" t="s">
        <v>320</v>
      </c>
      <c r="C90" s="18" t="s">
        <v>179</v>
      </c>
      <c r="D90" s="18" t="s">
        <v>6</v>
      </c>
      <c r="E90" s="18" t="s">
        <v>169</v>
      </c>
      <c r="F90" s="18" t="s">
        <v>384</v>
      </c>
      <c r="G90" s="18" t="s">
        <v>215</v>
      </c>
      <c r="H90" s="18"/>
      <c r="I90" s="18" t="s">
        <v>216</v>
      </c>
      <c r="J90" s="19">
        <v>5</v>
      </c>
      <c r="K90" s="18" t="s">
        <v>147</v>
      </c>
      <c r="L90" s="18" t="s">
        <v>147</v>
      </c>
      <c r="M90" s="16" t="s">
        <v>148</v>
      </c>
      <c r="N90" s="18"/>
    </row>
    <row r="91" spans="1:14">
      <c r="A91" s="24">
        <v>46188</v>
      </c>
      <c r="B91" s="5" t="s">
        <v>320</v>
      </c>
      <c r="C91" s="5" t="s">
        <v>179</v>
      </c>
      <c r="D91" s="5" t="s">
        <v>6</v>
      </c>
      <c r="E91" s="5" t="s">
        <v>169</v>
      </c>
      <c r="F91" s="5" t="s">
        <v>384</v>
      </c>
      <c r="G91" s="5" t="s">
        <v>284</v>
      </c>
      <c r="H91" s="5"/>
      <c r="I91" s="5" t="s">
        <v>216</v>
      </c>
      <c r="J91" s="7">
        <v>2</v>
      </c>
      <c r="K91" s="5" t="s">
        <v>153</v>
      </c>
      <c r="L91" s="5" t="s">
        <v>153</v>
      </c>
      <c r="M91" s="17" t="s">
        <v>153</v>
      </c>
      <c r="N91" s="5"/>
    </row>
    <row r="92" spans="1:14">
      <c r="A92" s="25">
        <v>46189</v>
      </c>
      <c r="B92" s="18" t="s">
        <v>320</v>
      </c>
      <c r="C92" s="18" t="s">
        <v>179</v>
      </c>
      <c r="D92" s="18" t="s">
        <v>6</v>
      </c>
      <c r="E92" s="18" t="s">
        <v>165</v>
      </c>
      <c r="F92" s="18" t="s">
        <v>384</v>
      </c>
      <c r="G92" s="18" t="s">
        <v>46</v>
      </c>
      <c r="H92" s="18"/>
      <c r="I92" s="18" t="s">
        <v>47</v>
      </c>
      <c r="J92" s="19">
        <v>20</v>
      </c>
      <c r="K92" s="18" t="s">
        <v>147</v>
      </c>
      <c r="L92" s="18" t="s">
        <v>147</v>
      </c>
      <c r="M92" s="16" t="s">
        <v>148</v>
      </c>
      <c r="N92" s="18"/>
    </row>
    <row r="93" spans="1:14">
      <c r="A93" s="24">
        <v>46189</v>
      </c>
      <c r="B93" s="5" t="s">
        <v>320</v>
      </c>
      <c r="C93" s="5" t="s">
        <v>179</v>
      </c>
      <c r="D93" s="5" t="s">
        <v>6</v>
      </c>
      <c r="E93" s="5" t="s">
        <v>165</v>
      </c>
      <c r="F93" s="5" t="s">
        <v>384</v>
      </c>
      <c r="G93" s="5" t="s">
        <v>269</v>
      </c>
      <c r="H93" s="5"/>
      <c r="I93" s="5" t="s">
        <v>40</v>
      </c>
      <c r="J93" s="7">
        <v>2</v>
      </c>
      <c r="K93" s="5" t="s">
        <v>147</v>
      </c>
      <c r="L93" s="5" t="s">
        <v>147</v>
      </c>
      <c r="M93" s="16" t="s">
        <v>148</v>
      </c>
      <c r="N93" s="5"/>
    </row>
    <row r="94" spans="1:14">
      <c r="A94" s="25">
        <v>46189</v>
      </c>
      <c r="B94" s="18" t="s">
        <v>320</v>
      </c>
      <c r="C94" s="18" t="s">
        <v>179</v>
      </c>
      <c r="D94" s="18" t="s">
        <v>6</v>
      </c>
      <c r="E94" s="18" t="s">
        <v>165</v>
      </c>
      <c r="F94" s="18" t="s">
        <v>384</v>
      </c>
      <c r="G94" s="18" t="s">
        <v>185</v>
      </c>
      <c r="H94" s="18"/>
      <c r="I94" s="18" t="s">
        <v>47</v>
      </c>
      <c r="J94" s="19">
        <v>4</v>
      </c>
      <c r="K94" s="18" t="s">
        <v>147</v>
      </c>
      <c r="L94" s="18" t="s">
        <v>147</v>
      </c>
      <c r="M94" s="16" t="s">
        <v>148</v>
      </c>
      <c r="N94" s="18"/>
    </row>
    <row r="95" spans="1:14">
      <c r="A95" s="24">
        <v>46189</v>
      </c>
      <c r="B95" s="5" t="s">
        <v>320</v>
      </c>
      <c r="C95" s="5" t="s">
        <v>179</v>
      </c>
      <c r="D95" s="5" t="s">
        <v>6</v>
      </c>
      <c r="E95" s="5" t="s">
        <v>165</v>
      </c>
      <c r="F95" s="5" t="s">
        <v>384</v>
      </c>
      <c r="G95" s="5" t="s">
        <v>190</v>
      </c>
      <c r="H95" s="5"/>
      <c r="I95" s="5" t="s">
        <v>47</v>
      </c>
      <c r="J95" s="7">
        <v>2</v>
      </c>
      <c r="K95" s="5" t="s">
        <v>147</v>
      </c>
      <c r="L95" s="5" t="s">
        <v>147</v>
      </c>
      <c r="M95" s="16" t="s">
        <v>148</v>
      </c>
      <c r="N95" s="5"/>
    </row>
    <row r="96" spans="1:14">
      <c r="A96" s="25">
        <v>46189</v>
      </c>
      <c r="B96" s="18" t="s">
        <v>320</v>
      </c>
      <c r="C96" s="18" t="s">
        <v>179</v>
      </c>
      <c r="D96" s="18" t="s">
        <v>6</v>
      </c>
      <c r="E96" s="18" t="s">
        <v>165</v>
      </c>
      <c r="F96" s="18" t="s">
        <v>384</v>
      </c>
      <c r="G96" s="18" t="s">
        <v>281</v>
      </c>
      <c r="H96" s="18" t="s">
        <v>385</v>
      </c>
      <c r="I96" s="18" t="s">
        <v>47</v>
      </c>
      <c r="J96" s="19">
        <v>1</v>
      </c>
      <c r="K96" s="18" t="s">
        <v>147</v>
      </c>
      <c r="L96" s="18" t="s">
        <v>147</v>
      </c>
      <c r="M96" s="16" t="s">
        <v>148</v>
      </c>
      <c r="N96" s="18"/>
    </row>
    <row r="97" spans="1:14">
      <c r="A97" s="24">
        <v>46189</v>
      </c>
      <c r="B97" s="5" t="s">
        <v>320</v>
      </c>
      <c r="C97" s="5" t="s">
        <v>179</v>
      </c>
      <c r="D97" s="5" t="s">
        <v>6</v>
      </c>
      <c r="E97" s="5" t="s">
        <v>165</v>
      </c>
      <c r="F97" s="5" t="s">
        <v>384</v>
      </c>
      <c r="G97" s="5" t="s">
        <v>230</v>
      </c>
      <c r="H97" s="5" t="s">
        <v>390</v>
      </c>
      <c r="I97" s="5" t="s">
        <v>47</v>
      </c>
      <c r="J97" s="7">
        <v>1</v>
      </c>
      <c r="K97" s="5" t="s">
        <v>147</v>
      </c>
      <c r="L97" s="5" t="s">
        <v>147</v>
      </c>
      <c r="M97" s="16" t="s">
        <v>148</v>
      </c>
      <c r="N97" s="5"/>
    </row>
    <row r="98" spans="1:14">
      <c r="A98" s="25">
        <v>46189</v>
      </c>
      <c r="B98" s="18" t="s">
        <v>320</v>
      </c>
      <c r="C98" s="18" t="s">
        <v>179</v>
      </c>
      <c r="D98" s="18" t="s">
        <v>6</v>
      </c>
      <c r="E98" s="18" t="s">
        <v>168</v>
      </c>
      <c r="F98" s="18" t="s">
        <v>384</v>
      </c>
      <c r="G98" s="18" t="s">
        <v>259</v>
      </c>
      <c r="H98" s="18"/>
      <c r="I98" s="18" t="s">
        <v>40</v>
      </c>
      <c r="J98" s="19">
        <v>3</v>
      </c>
      <c r="K98" s="18" t="s">
        <v>147</v>
      </c>
      <c r="L98" s="18" t="s">
        <v>147</v>
      </c>
      <c r="M98" s="16" t="s">
        <v>148</v>
      </c>
      <c r="N98" s="18"/>
    </row>
    <row r="99" spans="1:14">
      <c r="A99" s="24">
        <v>46189</v>
      </c>
      <c r="B99" s="5" t="s">
        <v>320</v>
      </c>
      <c r="C99" s="5" t="s">
        <v>179</v>
      </c>
      <c r="D99" s="5" t="s">
        <v>6</v>
      </c>
      <c r="E99" s="5" t="s">
        <v>168</v>
      </c>
      <c r="F99" s="5" t="s">
        <v>384</v>
      </c>
      <c r="G99" s="5" t="s">
        <v>46</v>
      </c>
      <c r="H99" s="5"/>
      <c r="I99" s="5" t="s">
        <v>47</v>
      </c>
      <c r="J99" s="7">
        <v>20</v>
      </c>
      <c r="K99" s="5" t="s">
        <v>147</v>
      </c>
      <c r="L99" s="5" t="s">
        <v>147</v>
      </c>
      <c r="M99" s="16" t="s">
        <v>148</v>
      </c>
      <c r="N99" s="5"/>
    </row>
    <row r="100" spans="1:14">
      <c r="A100" s="25">
        <v>46189</v>
      </c>
      <c r="B100" s="18" t="s">
        <v>320</v>
      </c>
      <c r="C100" s="18" t="s">
        <v>179</v>
      </c>
      <c r="D100" s="18" t="s">
        <v>6</v>
      </c>
      <c r="E100" s="18" t="s">
        <v>168</v>
      </c>
      <c r="F100" s="18" t="s">
        <v>384</v>
      </c>
      <c r="G100" s="18" t="s">
        <v>281</v>
      </c>
      <c r="H100" s="18" t="s">
        <v>385</v>
      </c>
      <c r="I100" s="18" t="s">
        <v>47</v>
      </c>
      <c r="J100" s="19">
        <v>1</v>
      </c>
      <c r="K100" s="18" t="s">
        <v>147</v>
      </c>
      <c r="L100" s="18" t="s">
        <v>147</v>
      </c>
      <c r="M100" s="16" t="s">
        <v>148</v>
      </c>
      <c r="N100" s="18"/>
    </row>
    <row r="101" spans="1:14">
      <c r="A101" s="24">
        <v>46189</v>
      </c>
      <c r="B101" s="5" t="s">
        <v>320</v>
      </c>
      <c r="C101" s="5" t="s">
        <v>179</v>
      </c>
      <c r="D101" s="5" t="s">
        <v>6</v>
      </c>
      <c r="E101" s="5" t="s">
        <v>168</v>
      </c>
      <c r="F101" s="5" t="s">
        <v>384</v>
      </c>
      <c r="G101" s="5" t="s">
        <v>43</v>
      </c>
      <c r="H101" s="5"/>
      <c r="I101" s="5" t="s">
        <v>40</v>
      </c>
      <c r="J101" s="7">
        <v>300</v>
      </c>
      <c r="K101" s="5" t="s">
        <v>147</v>
      </c>
      <c r="L101" s="5" t="s">
        <v>147</v>
      </c>
      <c r="M101" s="16" t="s">
        <v>148</v>
      </c>
      <c r="N101" s="5"/>
    </row>
    <row r="102" spans="1:14">
      <c r="A102" s="25">
        <v>46189</v>
      </c>
      <c r="B102" s="18" t="s">
        <v>320</v>
      </c>
      <c r="C102" s="18" t="s">
        <v>179</v>
      </c>
      <c r="D102" s="18" t="s">
        <v>6</v>
      </c>
      <c r="E102" s="18" t="s">
        <v>168</v>
      </c>
      <c r="F102" s="18" t="s">
        <v>384</v>
      </c>
      <c r="G102" s="18" t="s">
        <v>42</v>
      </c>
      <c r="H102" s="18"/>
      <c r="I102" s="18" t="s">
        <v>40</v>
      </c>
      <c r="J102" s="19">
        <v>300</v>
      </c>
      <c r="K102" s="18" t="s">
        <v>147</v>
      </c>
      <c r="L102" s="18" t="s">
        <v>147</v>
      </c>
      <c r="M102" s="16" t="s">
        <v>148</v>
      </c>
      <c r="N102" s="18"/>
    </row>
    <row r="103" spans="1:14">
      <c r="A103" s="24">
        <v>46189</v>
      </c>
      <c r="B103" s="5" t="s">
        <v>320</v>
      </c>
      <c r="C103" s="5" t="s">
        <v>179</v>
      </c>
      <c r="D103" s="5" t="s">
        <v>6</v>
      </c>
      <c r="E103" s="5" t="s">
        <v>168</v>
      </c>
      <c r="F103" s="5" t="s">
        <v>384</v>
      </c>
      <c r="G103" s="5" t="s">
        <v>41</v>
      </c>
      <c r="H103" s="5"/>
      <c r="I103" s="5" t="s">
        <v>40</v>
      </c>
      <c r="J103" s="7">
        <v>300</v>
      </c>
      <c r="K103" s="5" t="s">
        <v>147</v>
      </c>
      <c r="L103" s="5" t="s">
        <v>147</v>
      </c>
      <c r="M103" s="16" t="s">
        <v>148</v>
      </c>
      <c r="N103" s="5"/>
    </row>
    <row r="104" spans="1:14">
      <c r="A104" s="25">
        <v>46189</v>
      </c>
      <c r="B104" s="18" t="s">
        <v>320</v>
      </c>
      <c r="C104" s="18" t="s">
        <v>179</v>
      </c>
      <c r="D104" s="18" t="s">
        <v>6</v>
      </c>
      <c r="E104" s="18" t="s">
        <v>168</v>
      </c>
      <c r="F104" s="18" t="s">
        <v>384</v>
      </c>
      <c r="G104" s="18" t="s">
        <v>190</v>
      </c>
      <c r="H104" s="18"/>
      <c r="I104" s="18" t="s">
        <v>47</v>
      </c>
      <c r="J104" s="19">
        <v>2</v>
      </c>
      <c r="K104" s="18" t="s">
        <v>147</v>
      </c>
      <c r="L104" s="18" t="s">
        <v>147</v>
      </c>
      <c r="M104" s="16" t="s">
        <v>148</v>
      </c>
      <c r="N104" s="18"/>
    </row>
    <row r="105" spans="1:14">
      <c r="A105" s="24">
        <v>46189</v>
      </c>
      <c r="B105" s="5" t="s">
        <v>320</v>
      </c>
      <c r="C105" s="5" t="s">
        <v>179</v>
      </c>
      <c r="D105" s="5" t="s">
        <v>6</v>
      </c>
      <c r="E105" s="5" t="s">
        <v>168</v>
      </c>
      <c r="F105" s="5" t="s">
        <v>384</v>
      </c>
      <c r="G105" s="5" t="s">
        <v>269</v>
      </c>
      <c r="H105" s="5"/>
      <c r="I105" s="5" t="s">
        <v>40</v>
      </c>
      <c r="J105" s="7">
        <v>2</v>
      </c>
      <c r="K105" s="5" t="s">
        <v>147</v>
      </c>
      <c r="L105" s="5" t="s">
        <v>147</v>
      </c>
      <c r="M105" s="16" t="s">
        <v>148</v>
      </c>
      <c r="N105" s="5"/>
    </row>
    <row r="106" spans="1:14">
      <c r="A106" s="25">
        <v>46190</v>
      </c>
      <c r="B106" s="18" t="s">
        <v>320</v>
      </c>
      <c r="C106" s="18" t="s">
        <v>179</v>
      </c>
      <c r="D106" s="18" t="s">
        <v>6</v>
      </c>
      <c r="E106" s="18" t="s">
        <v>163</v>
      </c>
      <c r="F106" s="18" t="s">
        <v>384</v>
      </c>
      <c r="G106" s="18" t="s">
        <v>269</v>
      </c>
      <c r="H106" s="18"/>
      <c r="I106" s="18" t="s">
        <v>40</v>
      </c>
      <c r="J106" s="19">
        <v>2</v>
      </c>
      <c r="K106" s="18" t="s">
        <v>147</v>
      </c>
      <c r="L106" s="18" t="s">
        <v>147</v>
      </c>
      <c r="M106" s="16" t="s">
        <v>148</v>
      </c>
      <c r="N106" s="18"/>
    </row>
    <row r="107" spans="1:14">
      <c r="A107" s="24">
        <v>46190</v>
      </c>
      <c r="B107" s="5" t="s">
        <v>320</v>
      </c>
      <c r="C107" s="5" t="s">
        <v>179</v>
      </c>
      <c r="D107" s="5" t="s">
        <v>6</v>
      </c>
      <c r="E107" s="5" t="s">
        <v>167</v>
      </c>
      <c r="F107" s="5" t="s">
        <v>384</v>
      </c>
      <c r="G107" s="5" t="s">
        <v>269</v>
      </c>
      <c r="H107" s="5"/>
      <c r="I107" s="5" t="s">
        <v>40</v>
      </c>
      <c r="J107" s="7">
        <v>2</v>
      </c>
      <c r="K107" s="5" t="s">
        <v>147</v>
      </c>
      <c r="L107" s="5" t="s">
        <v>147</v>
      </c>
      <c r="M107" s="16" t="s">
        <v>148</v>
      </c>
      <c r="N107" s="5"/>
    </row>
    <row r="108" spans="1:14">
      <c r="A108" s="25">
        <v>46190</v>
      </c>
      <c r="B108" s="18" t="s">
        <v>320</v>
      </c>
      <c r="C108" s="18" t="s">
        <v>179</v>
      </c>
      <c r="D108" s="18" t="s">
        <v>6</v>
      </c>
      <c r="E108" s="18" t="s">
        <v>168</v>
      </c>
      <c r="F108" s="18" t="s">
        <v>384</v>
      </c>
      <c r="G108" s="18" t="s">
        <v>45</v>
      </c>
      <c r="H108" s="18"/>
      <c r="I108" s="18" t="s">
        <v>40</v>
      </c>
      <c r="J108" s="19">
        <v>300</v>
      </c>
      <c r="K108" s="18" t="s">
        <v>147</v>
      </c>
      <c r="L108" s="18" t="s">
        <v>147</v>
      </c>
      <c r="M108" s="16" t="s">
        <v>148</v>
      </c>
      <c r="N108" s="18"/>
    </row>
    <row r="109" spans="1:14">
      <c r="A109" s="24">
        <v>46192</v>
      </c>
      <c r="B109" s="5" t="s">
        <v>320</v>
      </c>
      <c r="C109" s="5" t="s">
        <v>179</v>
      </c>
      <c r="D109" s="5" t="s">
        <v>6</v>
      </c>
      <c r="E109" s="5" t="s">
        <v>168</v>
      </c>
      <c r="F109" s="5" t="s">
        <v>384</v>
      </c>
      <c r="G109" s="5" t="s">
        <v>50</v>
      </c>
      <c r="H109" s="5"/>
      <c r="I109" s="5" t="s">
        <v>40</v>
      </c>
      <c r="J109" s="7">
        <v>16</v>
      </c>
      <c r="K109" s="5" t="s">
        <v>147</v>
      </c>
      <c r="L109" s="5" t="s">
        <v>147</v>
      </c>
      <c r="M109" s="16" t="s">
        <v>148</v>
      </c>
      <c r="N109" s="5"/>
    </row>
    <row r="110" spans="1:14">
      <c r="A110" s="25">
        <v>46195</v>
      </c>
      <c r="B110" s="18" t="s">
        <v>321</v>
      </c>
      <c r="C110" s="18" t="s">
        <v>179</v>
      </c>
      <c r="D110" s="18" t="s">
        <v>6</v>
      </c>
      <c r="E110" s="18" t="s">
        <v>163</v>
      </c>
      <c r="F110" s="18" t="s">
        <v>384</v>
      </c>
      <c r="G110" s="18" t="s">
        <v>39</v>
      </c>
      <c r="H110" s="18"/>
      <c r="I110" s="18" t="s">
        <v>40</v>
      </c>
      <c r="J110" s="19">
        <v>300</v>
      </c>
      <c r="K110" s="18" t="s">
        <v>147</v>
      </c>
      <c r="L110" s="18" t="s">
        <v>147</v>
      </c>
      <c r="M110" s="16" t="s">
        <v>148</v>
      </c>
      <c r="N110" s="18"/>
    </row>
    <row r="111" spans="1:14">
      <c r="A111" s="24">
        <v>46195</v>
      </c>
      <c r="B111" s="5" t="s">
        <v>321</v>
      </c>
      <c r="C111" s="5" t="s">
        <v>179</v>
      </c>
      <c r="D111" s="5" t="s">
        <v>6</v>
      </c>
      <c r="E111" s="5" t="s">
        <v>163</v>
      </c>
      <c r="F111" s="5" t="s">
        <v>384</v>
      </c>
      <c r="G111" s="5" t="s">
        <v>187</v>
      </c>
      <c r="H111" s="5"/>
      <c r="I111" s="5" t="s">
        <v>216</v>
      </c>
      <c r="J111" s="7">
        <v>1</v>
      </c>
      <c r="K111" s="5" t="s">
        <v>153</v>
      </c>
      <c r="L111" s="5" t="s">
        <v>153</v>
      </c>
      <c r="M111" s="17" t="s">
        <v>153</v>
      </c>
      <c r="N111" s="5"/>
    </row>
    <row r="112" spans="1:14">
      <c r="A112" s="25">
        <v>46195</v>
      </c>
      <c r="B112" s="18" t="s">
        <v>321</v>
      </c>
      <c r="C112" s="18" t="s">
        <v>179</v>
      </c>
      <c r="D112" s="18" t="s">
        <v>6</v>
      </c>
      <c r="E112" s="18" t="s">
        <v>163</v>
      </c>
      <c r="F112" s="18" t="s">
        <v>384</v>
      </c>
      <c r="G112" s="18" t="s">
        <v>268</v>
      </c>
      <c r="H112" s="18"/>
      <c r="I112" s="18" t="s">
        <v>216</v>
      </c>
      <c r="J112" s="19">
        <v>20</v>
      </c>
      <c r="K112" s="18" t="s">
        <v>147</v>
      </c>
      <c r="L112" s="18" t="s">
        <v>147</v>
      </c>
      <c r="M112" s="16" t="s">
        <v>148</v>
      </c>
      <c r="N112" s="18"/>
    </row>
    <row r="113" spans="1:14">
      <c r="A113" s="24">
        <v>46195</v>
      </c>
      <c r="B113" s="5" t="s">
        <v>321</v>
      </c>
      <c r="C113" s="5" t="s">
        <v>179</v>
      </c>
      <c r="D113" s="5" t="s">
        <v>6</v>
      </c>
      <c r="E113" s="5" t="s">
        <v>163</v>
      </c>
      <c r="F113" s="5" t="s">
        <v>384</v>
      </c>
      <c r="G113" s="5" t="s">
        <v>274</v>
      </c>
      <c r="H113" s="5"/>
      <c r="I113" s="5" t="s">
        <v>257</v>
      </c>
      <c r="J113" s="7">
        <v>1</v>
      </c>
      <c r="K113" s="5" t="s">
        <v>153</v>
      </c>
      <c r="L113" s="5" t="s">
        <v>153</v>
      </c>
      <c r="M113" s="17" t="s">
        <v>153</v>
      </c>
      <c r="N113" s="5"/>
    </row>
    <row r="114" spans="1:14">
      <c r="A114" s="25">
        <v>46195</v>
      </c>
      <c r="B114" s="18" t="s">
        <v>321</v>
      </c>
      <c r="C114" s="18" t="s">
        <v>179</v>
      </c>
      <c r="D114" s="18" t="s">
        <v>6</v>
      </c>
      <c r="E114" s="18" t="s">
        <v>163</v>
      </c>
      <c r="F114" s="18" t="s">
        <v>384</v>
      </c>
      <c r="G114" s="18" t="s">
        <v>48</v>
      </c>
      <c r="H114" s="18"/>
      <c r="I114" s="18" t="s">
        <v>47</v>
      </c>
      <c r="J114" s="19">
        <v>50</v>
      </c>
      <c r="K114" s="18" t="s">
        <v>147</v>
      </c>
      <c r="L114" s="18" t="s">
        <v>147</v>
      </c>
      <c r="M114" s="16" t="s">
        <v>148</v>
      </c>
      <c r="N114" s="18"/>
    </row>
    <row r="115" spans="1:14">
      <c r="A115" s="24">
        <v>46195</v>
      </c>
      <c r="B115" s="5" t="s">
        <v>321</v>
      </c>
      <c r="C115" s="5" t="s">
        <v>179</v>
      </c>
      <c r="D115" s="5" t="s">
        <v>6</v>
      </c>
      <c r="E115" s="5" t="s">
        <v>164</v>
      </c>
      <c r="F115" s="5" t="s">
        <v>384</v>
      </c>
      <c r="G115" s="5" t="s">
        <v>269</v>
      </c>
      <c r="H115" s="5"/>
      <c r="I115" s="5" t="s">
        <v>40</v>
      </c>
      <c r="J115" s="7">
        <v>1</v>
      </c>
      <c r="K115" s="5" t="s">
        <v>147</v>
      </c>
      <c r="L115" s="5" t="s">
        <v>147</v>
      </c>
      <c r="M115" s="16" t="s">
        <v>148</v>
      </c>
      <c r="N115" s="5"/>
    </row>
    <row r="116" spans="1:14">
      <c r="A116" s="25">
        <v>46195</v>
      </c>
      <c r="B116" s="18" t="s">
        <v>321</v>
      </c>
      <c r="C116" s="18" t="s">
        <v>179</v>
      </c>
      <c r="D116" s="18" t="s">
        <v>6</v>
      </c>
      <c r="E116" s="18" t="s">
        <v>164</v>
      </c>
      <c r="F116" s="18" t="s">
        <v>384</v>
      </c>
      <c r="G116" s="18" t="s">
        <v>192</v>
      </c>
      <c r="H116" s="18"/>
      <c r="I116" s="18" t="s">
        <v>216</v>
      </c>
      <c r="J116" s="19">
        <v>2</v>
      </c>
      <c r="K116" s="18" t="s">
        <v>153</v>
      </c>
      <c r="L116" s="18" t="s">
        <v>153</v>
      </c>
      <c r="M116" s="17" t="s">
        <v>153</v>
      </c>
      <c r="N116" s="18"/>
    </row>
    <row r="117" spans="1:14">
      <c r="A117" s="24">
        <v>46195</v>
      </c>
      <c r="B117" s="5" t="s">
        <v>321</v>
      </c>
      <c r="C117" s="5" t="s">
        <v>179</v>
      </c>
      <c r="D117" s="5" t="s">
        <v>6</v>
      </c>
      <c r="E117" s="5" t="s">
        <v>164</v>
      </c>
      <c r="F117" s="5" t="s">
        <v>384</v>
      </c>
      <c r="G117" s="5" t="s">
        <v>46</v>
      </c>
      <c r="H117" s="5"/>
      <c r="I117" s="5" t="s">
        <v>47</v>
      </c>
      <c r="J117" s="7">
        <v>10</v>
      </c>
      <c r="K117" s="5" t="s">
        <v>147</v>
      </c>
      <c r="L117" s="5" t="s">
        <v>147</v>
      </c>
      <c r="M117" s="16" t="s">
        <v>148</v>
      </c>
      <c r="N117" s="5"/>
    </row>
    <row r="118" spans="1:14">
      <c r="A118" s="25">
        <v>46195</v>
      </c>
      <c r="B118" s="18" t="s">
        <v>321</v>
      </c>
      <c r="C118" s="18" t="s">
        <v>179</v>
      </c>
      <c r="D118" s="18" t="s">
        <v>6</v>
      </c>
      <c r="E118" s="18" t="s">
        <v>164</v>
      </c>
      <c r="F118" s="18" t="s">
        <v>384</v>
      </c>
      <c r="G118" s="18" t="s">
        <v>220</v>
      </c>
      <c r="H118" s="18"/>
      <c r="I118" s="18" t="s">
        <v>40</v>
      </c>
      <c r="J118" s="19">
        <v>2</v>
      </c>
      <c r="K118" s="18" t="s">
        <v>153</v>
      </c>
      <c r="L118" s="18" t="s">
        <v>153</v>
      </c>
      <c r="M118" s="17" t="s">
        <v>153</v>
      </c>
      <c r="N118" s="18"/>
    </row>
    <row r="119" spans="1:14">
      <c r="A119" s="24">
        <v>46195</v>
      </c>
      <c r="B119" s="5" t="s">
        <v>321</v>
      </c>
      <c r="C119" s="5" t="s">
        <v>179</v>
      </c>
      <c r="D119" s="5" t="s">
        <v>6</v>
      </c>
      <c r="E119" s="5" t="s">
        <v>164</v>
      </c>
      <c r="F119" s="5" t="s">
        <v>384</v>
      </c>
      <c r="G119" s="5" t="s">
        <v>233</v>
      </c>
      <c r="H119" s="5"/>
      <c r="I119" s="5" t="s">
        <v>40</v>
      </c>
      <c r="J119" s="7">
        <v>2</v>
      </c>
      <c r="K119" s="5" t="s">
        <v>147</v>
      </c>
      <c r="L119" s="5" t="s">
        <v>147</v>
      </c>
      <c r="M119" s="16" t="s">
        <v>148</v>
      </c>
      <c r="N119" s="5"/>
    </row>
    <row r="120" spans="1:14">
      <c r="A120" s="25">
        <v>46195</v>
      </c>
      <c r="B120" s="18" t="s">
        <v>321</v>
      </c>
      <c r="C120" s="18" t="s">
        <v>179</v>
      </c>
      <c r="D120" s="18" t="s">
        <v>6</v>
      </c>
      <c r="E120" s="18" t="s">
        <v>164</v>
      </c>
      <c r="F120" s="18" t="s">
        <v>384</v>
      </c>
      <c r="G120" s="18" t="s">
        <v>259</v>
      </c>
      <c r="H120" s="18"/>
      <c r="I120" s="18" t="s">
        <v>40</v>
      </c>
      <c r="J120" s="19">
        <v>1</v>
      </c>
      <c r="K120" s="18" t="s">
        <v>147</v>
      </c>
      <c r="L120" s="18" t="s">
        <v>147</v>
      </c>
      <c r="M120" s="16" t="s">
        <v>148</v>
      </c>
      <c r="N120" s="18"/>
    </row>
    <row r="121" spans="1:14">
      <c r="A121" s="24">
        <v>46195</v>
      </c>
      <c r="B121" s="5" t="s">
        <v>321</v>
      </c>
      <c r="C121" s="5" t="s">
        <v>179</v>
      </c>
      <c r="D121" s="5" t="s">
        <v>6</v>
      </c>
      <c r="E121" s="5" t="s">
        <v>164</v>
      </c>
      <c r="F121" s="5" t="s">
        <v>384</v>
      </c>
      <c r="G121" s="5" t="s">
        <v>44</v>
      </c>
      <c r="H121" s="5"/>
      <c r="I121" s="5" t="s">
        <v>40</v>
      </c>
      <c r="J121" s="7">
        <v>200</v>
      </c>
      <c r="K121" s="5" t="s">
        <v>147</v>
      </c>
      <c r="L121" s="5" t="s">
        <v>147</v>
      </c>
      <c r="M121" s="16" t="s">
        <v>148</v>
      </c>
      <c r="N121" s="5"/>
    </row>
    <row r="122" spans="1:14">
      <c r="A122" s="25">
        <v>46195</v>
      </c>
      <c r="B122" s="18" t="s">
        <v>321</v>
      </c>
      <c r="C122" s="18" t="s">
        <v>179</v>
      </c>
      <c r="D122" s="18" t="s">
        <v>6</v>
      </c>
      <c r="E122" s="18" t="s">
        <v>165</v>
      </c>
      <c r="F122" s="18" t="s">
        <v>384</v>
      </c>
      <c r="G122" s="18" t="s">
        <v>256</v>
      </c>
      <c r="H122" s="18"/>
      <c r="I122" s="18" t="s">
        <v>257</v>
      </c>
      <c r="J122" s="19">
        <v>1</v>
      </c>
      <c r="K122" s="18" t="s">
        <v>147</v>
      </c>
      <c r="L122" s="18" t="s">
        <v>147</v>
      </c>
      <c r="M122" s="16" t="s">
        <v>148</v>
      </c>
      <c r="N122" s="18"/>
    </row>
    <row r="123" spans="1:14">
      <c r="A123" s="24">
        <v>46195</v>
      </c>
      <c r="B123" s="5" t="s">
        <v>321</v>
      </c>
      <c r="C123" s="5" t="s">
        <v>179</v>
      </c>
      <c r="D123" s="5" t="s">
        <v>6</v>
      </c>
      <c r="E123" s="5" t="s">
        <v>165</v>
      </c>
      <c r="F123" s="5" t="s">
        <v>384</v>
      </c>
      <c r="G123" s="5" t="s">
        <v>42</v>
      </c>
      <c r="H123" s="5"/>
      <c r="I123" s="5" t="s">
        <v>40</v>
      </c>
      <c r="J123" s="7">
        <v>200</v>
      </c>
      <c r="K123" s="5" t="s">
        <v>147</v>
      </c>
      <c r="L123" s="5" t="s">
        <v>147</v>
      </c>
      <c r="M123" s="16" t="s">
        <v>148</v>
      </c>
      <c r="N123" s="5"/>
    </row>
    <row r="124" spans="1:14">
      <c r="A124" s="25">
        <v>46195</v>
      </c>
      <c r="B124" s="18" t="s">
        <v>321</v>
      </c>
      <c r="C124" s="18" t="s">
        <v>179</v>
      </c>
      <c r="D124" s="18" t="s">
        <v>6</v>
      </c>
      <c r="E124" s="18" t="s">
        <v>165</v>
      </c>
      <c r="F124" s="18" t="s">
        <v>384</v>
      </c>
      <c r="G124" s="18" t="s">
        <v>41</v>
      </c>
      <c r="H124" s="18"/>
      <c r="I124" s="18" t="s">
        <v>40</v>
      </c>
      <c r="J124" s="19">
        <v>200</v>
      </c>
      <c r="K124" s="18" t="s">
        <v>147</v>
      </c>
      <c r="L124" s="18" t="s">
        <v>147</v>
      </c>
      <c r="M124" s="16" t="s">
        <v>148</v>
      </c>
      <c r="N124" s="18"/>
    </row>
    <row r="125" spans="1:14">
      <c r="A125" s="24">
        <v>46195</v>
      </c>
      <c r="B125" s="5" t="s">
        <v>321</v>
      </c>
      <c r="C125" s="5" t="s">
        <v>179</v>
      </c>
      <c r="D125" s="5" t="s">
        <v>6</v>
      </c>
      <c r="E125" s="5" t="s">
        <v>165</v>
      </c>
      <c r="F125" s="5" t="s">
        <v>384</v>
      </c>
      <c r="G125" s="5" t="s">
        <v>50</v>
      </c>
      <c r="H125" s="5"/>
      <c r="I125" s="5" t="s">
        <v>40</v>
      </c>
      <c r="J125" s="7">
        <v>50</v>
      </c>
      <c r="K125" s="5" t="s">
        <v>153</v>
      </c>
      <c r="L125" s="5" t="s">
        <v>153</v>
      </c>
      <c r="M125" s="17" t="s">
        <v>153</v>
      </c>
      <c r="N125" s="5"/>
    </row>
    <row r="126" spans="1:14">
      <c r="A126" s="25">
        <v>46195</v>
      </c>
      <c r="B126" s="18" t="s">
        <v>321</v>
      </c>
      <c r="C126" s="18" t="s">
        <v>179</v>
      </c>
      <c r="D126" s="18" t="s">
        <v>6</v>
      </c>
      <c r="E126" s="18" t="s">
        <v>165</v>
      </c>
      <c r="F126" s="18" t="s">
        <v>384</v>
      </c>
      <c r="G126" s="18" t="s">
        <v>249</v>
      </c>
      <c r="H126" s="18"/>
      <c r="I126" s="18" t="s">
        <v>40</v>
      </c>
      <c r="J126" s="19">
        <v>2</v>
      </c>
      <c r="K126" s="18" t="s">
        <v>147</v>
      </c>
      <c r="L126" s="18" t="s">
        <v>147</v>
      </c>
      <c r="M126" s="16" t="s">
        <v>148</v>
      </c>
      <c r="N126" s="18"/>
    </row>
    <row r="127" spans="1:14">
      <c r="A127" s="24">
        <v>46195</v>
      </c>
      <c r="B127" s="5" t="s">
        <v>321</v>
      </c>
      <c r="C127" s="5" t="s">
        <v>179</v>
      </c>
      <c r="D127" s="5" t="s">
        <v>6</v>
      </c>
      <c r="E127" s="5" t="s">
        <v>165</v>
      </c>
      <c r="F127" s="5" t="s">
        <v>384</v>
      </c>
      <c r="G127" s="5" t="s">
        <v>269</v>
      </c>
      <c r="H127" s="5"/>
      <c r="I127" s="5" t="s">
        <v>40</v>
      </c>
      <c r="J127" s="7">
        <v>1</v>
      </c>
      <c r="K127" s="5" t="s">
        <v>147</v>
      </c>
      <c r="L127" s="5" t="s">
        <v>147</v>
      </c>
      <c r="M127" s="16" t="s">
        <v>148</v>
      </c>
      <c r="N127" s="5"/>
    </row>
    <row r="128" spans="1:14">
      <c r="A128" s="25">
        <v>46195</v>
      </c>
      <c r="B128" s="18" t="s">
        <v>321</v>
      </c>
      <c r="C128" s="18" t="s">
        <v>179</v>
      </c>
      <c r="D128" s="18" t="s">
        <v>6</v>
      </c>
      <c r="E128" s="18" t="s">
        <v>165</v>
      </c>
      <c r="F128" s="18" t="s">
        <v>384</v>
      </c>
      <c r="G128" s="18" t="s">
        <v>186</v>
      </c>
      <c r="H128" s="18"/>
      <c r="I128" s="18" t="s">
        <v>40</v>
      </c>
      <c r="J128" s="19">
        <v>3</v>
      </c>
      <c r="K128" s="18" t="s">
        <v>147</v>
      </c>
      <c r="L128" s="18" t="s">
        <v>147</v>
      </c>
      <c r="M128" s="16" t="s">
        <v>148</v>
      </c>
      <c r="N128" s="18"/>
    </row>
    <row r="129" spans="1:14">
      <c r="A129" s="24">
        <v>46195</v>
      </c>
      <c r="B129" s="5" t="s">
        <v>321</v>
      </c>
      <c r="C129" s="5" t="s">
        <v>179</v>
      </c>
      <c r="D129" s="5" t="s">
        <v>6</v>
      </c>
      <c r="E129" s="5" t="s">
        <v>165</v>
      </c>
      <c r="F129" s="5" t="s">
        <v>384</v>
      </c>
      <c r="G129" s="5" t="s">
        <v>46</v>
      </c>
      <c r="H129" s="5"/>
      <c r="I129" s="5" t="s">
        <v>47</v>
      </c>
      <c r="J129" s="7">
        <v>15</v>
      </c>
      <c r="K129" s="5" t="s">
        <v>147</v>
      </c>
      <c r="L129" s="5" t="s">
        <v>147</v>
      </c>
      <c r="M129" s="16" t="s">
        <v>148</v>
      </c>
      <c r="N129" s="5"/>
    </row>
    <row r="130" spans="1:14">
      <c r="A130" s="25">
        <v>46195</v>
      </c>
      <c r="B130" s="18" t="s">
        <v>321</v>
      </c>
      <c r="C130" s="18" t="s">
        <v>179</v>
      </c>
      <c r="D130" s="18" t="s">
        <v>6</v>
      </c>
      <c r="E130" s="18" t="s">
        <v>165</v>
      </c>
      <c r="F130" s="18" t="s">
        <v>384</v>
      </c>
      <c r="G130" s="18" t="s">
        <v>193</v>
      </c>
      <c r="H130" s="18"/>
      <c r="I130" s="18" t="s">
        <v>216</v>
      </c>
      <c r="J130" s="19">
        <v>3</v>
      </c>
      <c r="K130" s="18" t="s">
        <v>147</v>
      </c>
      <c r="L130" s="18" t="s">
        <v>147</v>
      </c>
      <c r="M130" s="16" t="s">
        <v>148</v>
      </c>
      <c r="N130" s="18"/>
    </row>
    <row r="131" spans="1:14">
      <c r="A131" s="24">
        <v>46195</v>
      </c>
      <c r="B131" s="5" t="s">
        <v>321</v>
      </c>
      <c r="C131" s="5" t="s">
        <v>179</v>
      </c>
      <c r="D131" s="5" t="s">
        <v>6</v>
      </c>
      <c r="E131" s="5" t="s">
        <v>165</v>
      </c>
      <c r="F131" s="5" t="s">
        <v>384</v>
      </c>
      <c r="G131" s="5" t="s">
        <v>220</v>
      </c>
      <c r="H131" s="5"/>
      <c r="I131" s="5" t="s">
        <v>40</v>
      </c>
      <c r="J131" s="7">
        <v>3</v>
      </c>
      <c r="K131" s="5" t="s">
        <v>147</v>
      </c>
      <c r="L131" s="5" t="s">
        <v>147</v>
      </c>
      <c r="M131" s="16" t="s">
        <v>148</v>
      </c>
      <c r="N131" s="5"/>
    </row>
    <row r="132" spans="1:14">
      <c r="A132" s="25">
        <v>46195</v>
      </c>
      <c r="B132" s="18" t="s">
        <v>321</v>
      </c>
      <c r="C132" s="18" t="s">
        <v>179</v>
      </c>
      <c r="D132" s="18" t="s">
        <v>6</v>
      </c>
      <c r="E132" s="18" t="s">
        <v>167</v>
      </c>
      <c r="F132" s="18" t="s">
        <v>384</v>
      </c>
      <c r="G132" s="18" t="s">
        <v>46</v>
      </c>
      <c r="H132" s="18"/>
      <c r="I132" s="18" t="s">
        <v>47</v>
      </c>
      <c r="J132" s="19">
        <v>20</v>
      </c>
      <c r="K132" s="18" t="s">
        <v>147</v>
      </c>
      <c r="L132" s="18" t="s">
        <v>147</v>
      </c>
      <c r="M132" s="16" t="s">
        <v>148</v>
      </c>
      <c r="N132" s="18"/>
    </row>
    <row r="133" spans="1:14">
      <c r="A133" s="24">
        <v>46195</v>
      </c>
      <c r="B133" s="5" t="s">
        <v>321</v>
      </c>
      <c r="C133" s="5" t="s">
        <v>179</v>
      </c>
      <c r="D133" s="5" t="s">
        <v>6</v>
      </c>
      <c r="E133" s="5" t="s">
        <v>167</v>
      </c>
      <c r="F133" s="5" t="s">
        <v>384</v>
      </c>
      <c r="G133" s="5" t="s">
        <v>39</v>
      </c>
      <c r="H133" s="5"/>
      <c r="I133" s="5" t="s">
        <v>40</v>
      </c>
      <c r="J133" s="7">
        <v>100</v>
      </c>
      <c r="K133" s="5" t="s">
        <v>147</v>
      </c>
      <c r="L133" s="5" t="s">
        <v>147</v>
      </c>
      <c r="M133" s="16" t="s">
        <v>148</v>
      </c>
      <c r="N133" s="5"/>
    </row>
    <row r="134" spans="1:14">
      <c r="A134" s="25">
        <v>46195</v>
      </c>
      <c r="B134" s="18" t="s">
        <v>321</v>
      </c>
      <c r="C134" s="18" t="s">
        <v>179</v>
      </c>
      <c r="D134" s="18" t="s">
        <v>6</v>
      </c>
      <c r="E134" s="18" t="s">
        <v>167</v>
      </c>
      <c r="F134" s="18" t="s">
        <v>384</v>
      </c>
      <c r="G134" s="18" t="s">
        <v>272</v>
      </c>
      <c r="H134" s="18" t="s">
        <v>391</v>
      </c>
      <c r="I134" s="18" t="s">
        <v>47</v>
      </c>
      <c r="J134" s="19">
        <v>1</v>
      </c>
      <c r="K134" s="18" t="s">
        <v>147</v>
      </c>
      <c r="L134" s="18" t="s">
        <v>147</v>
      </c>
      <c r="M134" s="16" t="s">
        <v>148</v>
      </c>
      <c r="N134" s="18"/>
    </row>
    <row r="135" spans="1:14">
      <c r="A135" s="24">
        <v>46195</v>
      </c>
      <c r="B135" s="5" t="s">
        <v>321</v>
      </c>
      <c r="C135" s="5" t="s">
        <v>179</v>
      </c>
      <c r="D135" s="5" t="s">
        <v>6</v>
      </c>
      <c r="E135" s="5" t="s">
        <v>167</v>
      </c>
      <c r="F135" s="5" t="s">
        <v>384</v>
      </c>
      <c r="G135" s="5" t="s">
        <v>185</v>
      </c>
      <c r="H135" s="5"/>
      <c r="I135" s="5" t="s">
        <v>47</v>
      </c>
      <c r="J135" s="7">
        <v>1</v>
      </c>
      <c r="K135" s="5" t="s">
        <v>153</v>
      </c>
      <c r="L135" s="5" t="s">
        <v>153</v>
      </c>
      <c r="M135" s="17" t="s">
        <v>153</v>
      </c>
      <c r="N135" s="5"/>
    </row>
    <row r="136" spans="1:14">
      <c r="A136" s="25">
        <v>46195</v>
      </c>
      <c r="B136" s="18" t="s">
        <v>321</v>
      </c>
      <c r="C136" s="18" t="s">
        <v>179</v>
      </c>
      <c r="D136" s="18" t="s">
        <v>6</v>
      </c>
      <c r="E136" s="18" t="s">
        <v>167</v>
      </c>
      <c r="F136" s="18" t="s">
        <v>384</v>
      </c>
      <c r="G136" s="18" t="s">
        <v>44</v>
      </c>
      <c r="H136" s="18"/>
      <c r="I136" s="18" t="s">
        <v>40</v>
      </c>
      <c r="J136" s="19">
        <v>100</v>
      </c>
      <c r="K136" s="18" t="s">
        <v>147</v>
      </c>
      <c r="L136" s="18" t="s">
        <v>147</v>
      </c>
      <c r="M136" s="16" t="s">
        <v>148</v>
      </c>
      <c r="N136" s="18"/>
    </row>
    <row r="137" spans="1:14">
      <c r="A137" s="24">
        <v>46195</v>
      </c>
      <c r="B137" s="5" t="s">
        <v>321</v>
      </c>
      <c r="C137" s="5" t="s">
        <v>179</v>
      </c>
      <c r="D137" s="5" t="s">
        <v>6</v>
      </c>
      <c r="E137" s="5" t="s">
        <v>167</v>
      </c>
      <c r="F137" s="5" t="s">
        <v>384</v>
      </c>
      <c r="G137" s="5" t="s">
        <v>187</v>
      </c>
      <c r="H137" s="5"/>
      <c r="I137" s="5" t="s">
        <v>216</v>
      </c>
      <c r="J137" s="7">
        <v>2</v>
      </c>
      <c r="K137" s="5" t="s">
        <v>153</v>
      </c>
      <c r="L137" s="5" t="s">
        <v>153</v>
      </c>
      <c r="M137" s="17" t="s">
        <v>153</v>
      </c>
      <c r="N137" s="5"/>
    </row>
    <row r="138" spans="1:14">
      <c r="A138" s="25">
        <v>46195</v>
      </c>
      <c r="B138" s="18" t="s">
        <v>321</v>
      </c>
      <c r="C138" s="18" t="s">
        <v>179</v>
      </c>
      <c r="D138" s="18" t="s">
        <v>6</v>
      </c>
      <c r="E138" s="18" t="s">
        <v>168</v>
      </c>
      <c r="F138" s="18" t="s">
        <v>384</v>
      </c>
      <c r="G138" s="18" t="s">
        <v>269</v>
      </c>
      <c r="H138" s="18"/>
      <c r="I138" s="18" t="s">
        <v>40</v>
      </c>
      <c r="J138" s="19">
        <v>1</v>
      </c>
      <c r="K138" s="18" t="s">
        <v>147</v>
      </c>
      <c r="L138" s="18" t="s">
        <v>147</v>
      </c>
      <c r="M138" s="16" t="s">
        <v>148</v>
      </c>
      <c r="N138" s="18"/>
    </row>
    <row r="139" spans="1:14">
      <c r="A139" s="24">
        <v>46195</v>
      </c>
      <c r="B139" s="5" t="s">
        <v>321</v>
      </c>
      <c r="C139" s="5" t="s">
        <v>179</v>
      </c>
      <c r="D139" s="5" t="s">
        <v>6</v>
      </c>
      <c r="E139" s="5" t="s">
        <v>168</v>
      </c>
      <c r="F139" s="5" t="s">
        <v>384</v>
      </c>
      <c r="G139" s="5" t="s">
        <v>220</v>
      </c>
      <c r="H139" s="5"/>
      <c r="I139" s="5" t="s">
        <v>40</v>
      </c>
      <c r="J139" s="7">
        <v>2</v>
      </c>
      <c r="K139" s="5" t="s">
        <v>147</v>
      </c>
      <c r="L139" s="5" t="s">
        <v>147</v>
      </c>
      <c r="M139" s="16" t="s">
        <v>148</v>
      </c>
      <c r="N139" s="5"/>
    </row>
    <row r="140" spans="1:14">
      <c r="A140" s="25">
        <v>46195</v>
      </c>
      <c r="B140" s="18" t="s">
        <v>321</v>
      </c>
      <c r="C140" s="18" t="s">
        <v>179</v>
      </c>
      <c r="D140" s="18" t="s">
        <v>6</v>
      </c>
      <c r="E140" s="18" t="s">
        <v>168</v>
      </c>
      <c r="F140" s="18" t="s">
        <v>384</v>
      </c>
      <c r="G140" s="18" t="s">
        <v>217</v>
      </c>
      <c r="H140" s="18"/>
      <c r="I140" s="18" t="s">
        <v>216</v>
      </c>
      <c r="J140" s="19">
        <v>2</v>
      </c>
      <c r="K140" s="18" t="s">
        <v>147</v>
      </c>
      <c r="L140" s="18" t="s">
        <v>147</v>
      </c>
      <c r="M140" s="16" t="s">
        <v>148</v>
      </c>
      <c r="N140" s="18"/>
    </row>
    <row r="141" spans="1:14">
      <c r="A141" s="24">
        <v>46195</v>
      </c>
      <c r="B141" s="5" t="s">
        <v>321</v>
      </c>
      <c r="C141" s="5" t="s">
        <v>179</v>
      </c>
      <c r="D141" s="5" t="s">
        <v>6</v>
      </c>
      <c r="E141" s="5" t="s">
        <v>168</v>
      </c>
      <c r="F141" s="5" t="s">
        <v>384</v>
      </c>
      <c r="G141" s="5" t="s">
        <v>240</v>
      </c>
      <c r="H141" s="5"/>
      <c r="I141" s="5" t="s">
        <v>216</v>
      </c>
      <c r="J141" s="7">
        <v>1</v>
      </c>
      <c r="K141" s="5" t="s">
        <v>147</v>
      </c>
      <c r="L141" s="5" t="s">
        <v>147</v>
      </c>
      <c r="M141" s="16" t="s">
        <v>148</v>
      </c>
      <c r="N141" s="5"/>
    </row>
    <row r="142" spans="1:14">
      <c r="A142" s="25">
        <v>46195</v>
      </c>
      <c r="B142" s="18" t="s">
        <v>321</v>
      </c>
      <c r="C142" s="18" t="s">
        <v>179</v>
      </c>
      <c r="D142" s="18" t="s">
        <v>6</v>
      </c>
      <c r="E142" s="18" t="s">
        <v>168</v>
      </c>
      <c r="F142" s="18" t="s">
        <v>384</v>
      </c>
      <c r="G142" s="18" t="s">
        <v>186</v>
      </c>
      <c r="H142" s="18"/>
      <c r="I142" s="18" t="s">
        <v>40</v>
      </c>
      <c r="J142" s="19">
        <v>3</v>
      </c>
      <c r="K142" s="18" t="s">
        <v>147</v>
      </c>
      <c r="L142" s="18" t="s">
        <v>147</v>
      </c>
      <c r="M142" s="16" t="s">
        <v>148</v>
      </c>
      <c r="N142" s="18"/>
    </row>
    <row r="143" spans="1:14">
      <c r="A143" s="24">
        <v>46195</v>
      </c>
      <c r="B143" s="5" t="s">
        <v>321</v>
      </c>
      <c r="C143" s="5" t="s">
        <v>179</v>
      </c>
      <c r="D143" s="5" t="s">
        <v>6</v>
      </c>
      <c r="E143" s="5" t="s">
        <v>168</v>
      </c>
      <c r="F143" s="5" t="s">
        <v>384</v>
      </c>
      <c r="G143" s="5" t="s">
        <v>191</v>
      </c>
      <c r="H143" s="5"/>
      <c r="I143" s="5" t="s">
        <v>47</v>
      </c>
      <c r="J143" s="7">
        <v>1</v>
      </c>
      <c r="K143" s="5" t="s">
        <v>153</v>
      </c>
      <c r="L143" s="5" t="s">
        <v>153</v>
      </c>
      <c r="M143" s="17" t="s">
        <v>153</v>
      </c>
      <c r="N143" s="5"/>
    </row>
    <row r="144" spans="1:14">
      <c r="A144" s="25">
        <v>46195</v>
      </c>
      <c r="B144" s="18" t="s">
        <v>321</v>
      </c>
      <c r="C144" s="18" t="s">
        <v>179</v>
      </c>
      <c r="D144" s="18" t="s">
        <v>6</v>
      </c>
      <c r="E144" s="18" t="s">
        <v>169</v>
      </c>
      <c r="F144" s="18" t="s">
        <v>384</v>
      </c>
      <c r="G144" s="18" t="s">
        <v>191</v>
      </c>
      <c r="H144" s="18"/>
      <c r="I144" s="18" t="s">
        <v>47</v>
      </c>
      <c r="J144" s="19">
        <v>1</v>
      </c>
      <c r="K144" s="18" t="s">
        <v>153</v>
      </c>
      <c r="L144" s="18" t="s">
        <v>153</v>
      </c>
      <c r="M144" s="17" t="s">
        <v>153</v>
      </c>
      <c r="N144" s="18"/>
    </row>
    <row r="145" spans="1:14">
      <c r="A145" s="24">
        <v>46195</v>
      </c>
      <c r="B145" s="5" t="s">
        <v>321</v>
      </c>
      <c r="C145" s="5" t="s">
        <v>179</v>
      </c>
      <c r="D145" s="5" t="s">
        <v>6</v>
      </c>
      <c r="E145" s="5" t="s">
        <v>169</v>
      </c>
      <c r="F145" s="5" t="s">
        <v>384</v>
      </c>
      <c r="G145" s="5" t="s">
        <v>186</v>
      </c>
      <c r="H145" s="5"/>
      <c r="I145" s="5" t="s">
        <v>40</v>
      </c>
      <c r="J145" s="7">
        <v>3</v>
      </c>
      <c r="K145" s="5" t="s">
        <v>147</v>
      </c>
      <c r="L145" s="5" t="s">
        <v>147</v>
      </c>
      <c r="M145" s="16" t="s">
        <v>148</v>
      </c>
      <c r="N145" s="5"/>
    </row>
    <row r="146" spans="1:14">
      <c r="A146" s="25">
        <v>46195</v>
      </c>
      <c r="B146" s="18" t="s">
        <v>321</v>
      </c>
      <c r="C146" s="18" t="s">
        <v>179</v>
      </c>
      <c r="D146" s="18" t="s">
        <v>6</v>
      </c>
      <c r="E146" s="18" t="s">
        <v>169</v>
      </c>
      <c r="F146" s="18" t="s">
        <v>384</v>
      </c>
      <c r="G146" s="18" t="s">
        <v>234</v>
      </c>
      <c r="H146" s="18" t="s">
        <v>392</v>
      </c>
      <c r="I146" s="18" t="s">
        <v>47</v>
      </c>
      <c r="J146" s="19">
        <v>1</v>
      </c>
      <c r="K146" s="18" t="s">
        <v>147</v>
      </c>
      <c r="L146" s="18" t="s">
        <v>147</v>
      </c>
      <c r="M146" s="16" t="s">
        <v>148</v>
      </c>
      <c r="N146" s="18"/>
    </row>
    <row r="147" spans="1:14">
      <c r="A147" s="24">
        <v>46195</v>
      </c>
      <c r="B147" s="5" t="s">
        <v>321</v>
      </c>
      <c r="C147" s="5" t="s">
        <v>179</v>
      </c>
      <c r="D147" s="5" t="s">
        <v>6</v>
      </c>
      <c r="E147" s="5" t="s">
        <v>169</v>
      </c>
      <c r="F147" s="5" t="s">
        <v>384</v>
      </c>
      <c r="G147" s="5" t="s">
        <v>277</v>
      </c>
      <c r="H147" s="5"/>
      <c r="I147" s="5" t="s">
        <v>47</v>
      </c>
      <c r="J147" s="7">
        <v>1</v>
      </c>
      <c r="K147" s="5" t="s">
        <v>147</v>
      </c>
      <c r="L147" s="5" t="s">
        <v>147</v>
      </c>
      <c r="M147" s="16" t="s">
        <v>148</v>
      </c>
      <c r="N147" s="5"/>
    </row>
    <row r="148" spans="1:14">
      <c r="A148" s="25">
        <v>46195</v>
      </c>
      <c r="B148" s="18" t="s">
        <v>321</v>
      </c>
      <c r="C148" s="18" t="s">
        <v>179</v>
      </c>
      <c r="D148" s="18" t="s">
        <v>6</v>
      </c>
      <c r="E148" s="18" t="s">
        <v>169</v>
      </c>
      <c r="F148" s="18" t="s">
        <v>384</v>
      </c>
      <c r="G148" s="18" t="s">
        <v>185</v>
      </c>
      <c r="H148" s="18"/>
      <c r="I148" s="18" t="s">
        <v>47</v>
      </c>
      <c r="J148" s="19">
        <v>2</v>
      </c>
      <c r="K148" s="18" t="s">
        <v>153</v>
      </c>
      <c r="L148" s="18" t="s">
        <v>153</v>
      </c>
      <c r="M148" s="17" t="s">
        <v>153</v>
      </c>
      <c r="N148" s="18"/>
    </row>
    <row r="149" spans="1:14">
      <c r="A149" s="24">
        <v>46195</v>
      </c>
      <c r="B149" s="5" t="s">
        <v>321</v>
      </c>
      <c r="C149" s="5" t="s">
        <v>179</v>
      </c>
      <c r="D149" s="5" t="s">
        <v>6</v>
      </c>
      <c r="E149" s="5" t="s">
        <v>169</v>
      </c>
      <c r="F149" s="5" t="s">
        <v>384</v>
      </c>
      <c r="G149" s="5" t="s">
        <v>236</v>
      </c>
      <c r="H149" s="5"/>
      <c r="I149" s="5" t="s">
        <v>40</v>
      </c>
      <c r="J149" s="7">
        <v>2</v>
      </c>
      <c r="K149" s="5" t="s">
        <v>147</v>
      </c>
      <c r="L149" s="5" t="s">
        <v>147</v>
      </c>
      <c r="M149" s="16" t="s">
        <v>148</v>
      </c>
      <c r="N149" s="5"/>
    </row>
    <row r="150" spans="1:14">
      <c r="A150" s="25">
        <v>46195</v>
      </c>
      <c r="B150" s="18" t="s">
        <v>321</v>
      </c>
      <c r="C150" s="18" t="s">
        <v>179</v>
      </c>
      <c r="D150" s="18" t="s">
        <v>6</v>
      </c>
      <c r="E150" s="18" t="s">
        <v>169</v>
      </c>
      <c r="F150" s="18" t="s">
        <v>384</v>
      </c>
      <c r="G150" s="18" t="s">
        <v>215</v>
      </c>
      <c r="H150" s="18"/>
      <c r="I150" s="18" t="s">
        <v>216</v>
      </c>
      <c r="J150" s="19">
        <v>5</v>
      </c>
      <c r="K150" s="18" t="s">
        <v>153</v>
      </c>
      <c r="L150" s="18" t="s">
        <v>153</v>
      </c>
      <c r="M150" s="17" t="s">
        <v>153</v>
      </c>
      <c r="N150" s="18"/>
    </row>
    <row r="151" spans="1:14">
      <c r="A151" s="24">
        <v>46195</v>
      </c>
      <c r="B151" s="5" t="s">
        <v>321</v>
      </c>
      <c r="C151" s="5" t="s">
        <v>179</v>
      </c>
      <c r="D151" s="5" t="s">
        <v>6</v>
      </c>
      <c r="E151" s="5" t="s">
        <v>169</v>
      </c>
      <c r="F151" s="5" t="s">
        <v>384</v>
      </c>
      <c r="G151" s="5" t="s">
        <v>259</v>
      </c>
      <c r="H151" s="5"/>
      <c r="I151" s="5" t="s">
        <v>40</v>
      </c>
      <c r="J151" s="7">
        <v>1</v>
      </c>
      <c r="K151" s="5" t="s">
        <v>147</v>
      </c>
      <c r="L151" s="5" t="s">
        <v>147</v>
      </c>
      <c r="M151" s="16" t="s">
        <v>148</v>
      </c>
      <c r="N151" s="5"/>
    </row>
    <row r="152" spans="1:14">
      <c r="A152" s="25">
        <v>46195</v>
      </c>
      <c r="B152" s="18" t="s">
        <v>321</v>
      </c>
      <c r="C152" s="18" t="s">
        <v>179</v>
      </c>
      <c r="D152" s="18" t="s">
        <v>6</v>
      </c>
      <c r="E152" s="18" t="s">
        <v>169</v>
      </c>
      <c r="F152" s="18" t="s">
        <v>384</v>
      </c>
      <c r="G152" s="18" t="s">
        <v>273</v>
      </c>
      <c r="H152" s="18"/>
      <c r="I152" s="18" t="s">
        <v>40</v>
      </c>
      <c r="J152" s="19">
        <v>1</v>
      </c>
      <c r="K152" s="18" t="s">
        <v>147</v>
      </c>
      <c r="L152" s="18" t="s">
        <v>147</v>
      </c>
      <c r="M152" s="16" t="s">
        <v>148</v>
      </c>
      <c r="N152" s="18"/>
    </row>
    <row r="153" spans="1:14">
      <c r="A153" s="24">
        <v>46195</v>
      </c>
      <c r="B153" s="5" t="s">
        <v>321</v>
      </c>
      <c r="C153" s="5" t="s">
        <v>179</v>
      </c>
      <c r="D153" s="5" t="s">
        <v>6</v>
      </c>
      <c r="E153" s="5" t="s">
        <v>169</v>
      </c>
      <c r="F153" s="5" t="s">
        <v>384</v>
      </c>
      <c r="G153" s="5" t="s">
        <v>187</v>
      </c>
      <c r="H153" s="5"/>
      <c r="I153" s="5" t="s">
        <v>216</v>
      </c>
      <c r="J153" s="7">
        <v>1</v>
      </c>
      <c r="K153" s="5" t="s">
        <v>153</v>
      </c>
      <c r="L153" s="5" t="s">
        <v>153</v>
      </c>
      <c r="M153" s="17" t="s">
        <v>153</v>
      </c>
      <c r="N153" s="5"/>
    </row>
    <row r="154" spans="1:14">
      <c r="A154" s="25">
        <v>46195</v>
      </c>
      <c r="B154" s="18" t="s">
        <v>321</v>
      </c>
      <c r="C154" s="18" t="s">
        <v>179</v>
      </c>
      <c r="D154" s="18" t="s">
        <v>6</v>
      </c>
      <c r="E154" s="18" t="s">
        <v>169</v>
      </c>
      <c r="F154" s="18" t="s">
        <v>384</v>
      </c>
      <c r="G154" s="18" t="s">
        <v>46</v>
      </c>
      <c r="H154" s="18"/>
      <c r="I154" s="18" t="s">
        <v>47</v>
      </c>
      <c r="J154" s="19">
        <v>20</v>
      </c>
      <c r="K154" s="18" t="s">
        <v>147</v>
      </c>
      <c r="L154" s="18" t="s">
        <v>147</v>
      </c>
      <c r="M154" s="16" t="s">
        <v>148</v>
      </c>
      <c r="N154" s="18"/>
    </row>
    <row r="155" spans="1:14">
      <c r="A155" s="24">
        <v>46195</v>
      </c>
      <c r="B155" s="5" t="s">
        <v>321</v>
      </c>
      <c r="C155" s="5" t="s">
        <v>179</v>
      </c>
      <c r="D155" s="5" t="s">
        <v>6</v>
      </c>
      <c r="E155" s="5" t="s">
        <v>169</v>
      </c>
      <c r="F155" s="5" t="s">
        <v>384</v>
      </c>
      <c r="G155" s="5" t="s">
        <v>189</v>
      </c>
      <c r="H155" s="5"/>
      <c r="I155" s="5" t="s">
        <v>47</v>
      </c>
      <c r="J155" s="7">
        <v>3</v>
      </c>
      <c r="K155" s="5" t="s">
        <v>153</v>
      </c>
      <c r="L155" s="5" t="s">
        <v>153</v>
      </c>
      <c r="M155" s="17" t="s">
        <v>153</v>
      </c>
      <c r="N155" s="5"/>
    </row>
    <row r="156" spans="1:14">
      <c r="A156" s="25">
        <v>46195</v>
      </c>
      <c r="B156" s="18" t="s">
        <v>321</v>
      </c>
      <c r="C156" s="18" t="s">
        <v>179</v>
      </c>
      <c r="D156" s="18" t="s">
        <v>6</v>
      </c>
      <c r="E156" s="18" t="s">
        <v>169</v>
      </c>
      <c r="F156" s="18" t="s">
        <v>384</v>
      </c>
      <c r="G156" s="18" t="s">
        <v>39</v>
      </c>
      <c r="H156" s="18"/>
      <c r="I156" s="18" t="s">
        <v>40</v>
      </c>
      <c r="J156" s="19">
        <v>300</v>
      </c>
      <c r="K156" s="18" t="s">
        <v>147</v>
      </c>
      <c r="L156" s="18" t="s">
        <v>147</v>
      </c>
      <c r="M156" s="16" t="s">
        <v>148</v>
      </c>
      <c r="N156" s="18"/>
    </row>
    <row r="157" spans="1:14">
      <c r="A157" s="24">
        <v>46202</v>
      </c>
      <c r="B157" s="5" t="s">
        <v>322</v>
      </c>
      <c r="C157" s="5" t="s">
        <v>179</v>
      </c>
      <c r="D157" s="5" t="s">
        <v>6</v>
      </c>
      <c r="E157" s="5" t="s">
        <v>165</v>
      </c>
      <c r="F157" s="5" t="s">
        <v>384</v>
      </c>
      <c r="G157" s="5" t="s">
        <v>236</v>
      </c>
      <c r="H157" s="5"/>
      <c r="I157" s="5" t="s">
        <v>40</v>
      </c>
      <c r="J157" s="7">
        <v>6</v>
      </c>
      <c r="K157" s="5" t="s">
        <v>147</v>
      </c>
      <c r="L157" s="5" t="s">
        <v>147</v>
      </c>
      <c r="M157" s="16" t="s">
        <v>148</v>
      </c>
      <c r="N157" s="5"/>
    </row>
    <row r="158" spans="1:14">
      <c r="A158" s="25">
        <v>46202</v>
      </c>
      <c r="B158" s="18" t="s">
        <v>322</v>
      </c>
      <c r="C158" s="18" t="s">
        <v>179</v>
      </c>
      <c r="D158" s="18" t="s">
        <v>6</v>
      </c>
      <c r="E158" s="18" t="s">
        <v>165</v>
      </c>
      <c r="F158" s="18" t="s">
        <v>384</v>
      </c>
      <c r="G158" s="18" t="s">
        <v>50</v>
      </c>
      <c r="H158" s="18"/>
      <c r="I158" s="18" t="s">
        <v>40</v>
      </c>
      <c r="J158" s="19">
        <v>20</v>
      </c>
      <c r="K158" s="18" t="s">
        <v>153</v>
      </c>
      <c r="L158" s="18" t="s">
        <v>153</v>
      </c>
      <c r="M158" s="17" t="s">
        <v>153</v>
      </c>
      <c r="N158" s="18"/>
    </row>
    <row r="159" spans="1:14">
      <c r="A159" s="24">
        <v>46203</v>
      </c>
      <c r="B159" s="5" t="s">
        <v>322</v>
      </c>
      <c r="C159" s="5" t="s">
        <v>179</v>
      </c>
      <c r="D159" s="5" t="s">
        <v>6</v>
      </c>
      <c r="E159" s="5" t="s">
        <v>165</v>
      </c>
      <c r="F159" s="5" t="s">
        <v>384</v>
      </c>
      <c r="G159" s="5" t="s">
        <v>244</v>
      </c>
      <c r="H159" s="5"/>
      <c r="I159" s="5" t="s">
        <v>40</v>
      </c>
      <c r="J159" s="7">
        <v>3</v>
      </c>
      <c r="K159" s="5" t="s">
        <v>147</v>
      </c>
      <c r="L159" s="5" t="s">
        <v>147</v>
      </c>
      <c r="M159" s="16" t="s">
        <v>148</v>
      </c>
      <c r="N159" s="5"/>
    </row>
    <row r="160" spans="1:14">
      <c r="A160" s="25">
        <v>46209</v>
      </c>
      <c r="B160" s="18" t="s">
        <v>323</v>
      </c>
      <c r="C160" s="18" t="s">
        <v>180</v>
      </c>
      <c r="D160" s="18" t="s">
        <v>6</v>
      </c>
      <c r="E160" s="18" t="s">
        <v>163</v>
      </c>
      <c r="F160" s="18" t="s">
        <v>384</v>
      </c>
      <c r="G160" s="18" t="s">
        <v>39</v>
      </c>
      <c r="H160" s="18"/>
      <c r="I160" s="18" t="s">
        <v>40</v>
      </c>
      <c r="J160" s="19">
        <v>200</v>
      </c>
      <c r="K160" s="18" t="s">
        <v>147</v>
      </c>
      <c r="L160" s="18" t="s">
        <v>147</v>
      </c>
      <c r="M160" s="16" t="s">
        <v>148</v>
      </c>
      <c r="N160" s="18"/>
    </row>
    <row r="161" spans="1:14">
      <c r="A161" s="24">
        <v>46209</v>
      </c>
      <c r="B161" s="5" t="s">
        <v>323</v>
      </c>
      <c r="C161" s="5" t="s">
        <v>180</v>
      </c>
      <c r="D161" s="5" t="s">
        <v>6</v>
      </c>
      <c r="E161" s="5" t="s">
        <v>163</v>
      </c>
      <c r="F161" s="5" t="s">
        <v>384</v>
      </c>
      <c r="G161" s="5" t="s">
        <v>236</v>
      </c>
      <c r="H161" s="5"/>
      <c r="I161" s="5" t="s">
        <v>40</v>
      </c>
      <c r="J161" s="7">
        <v>1</v>
      </c>
      <c r="K161" s="5" t="s">
        <v>153</v>
      </c>
      <c r="L161" s="5" t="s">
        <v>153</v>
      </c>
      <c r="M161" s="17" t="s">
        <v>153</v>
      </c>
      <c r="N161" s="5"/>
    </row>
    <row r="162" spans="1:14">
      <c r="A162" s="25">
        <v>46209</v>
      </c>
      <c r="B162" s="18" t="s">
        <v>323</v>
      </c>
      <c r="C162" s="18" t="s">
        <v>180</v>
      </c>
      <c r="D162" s="18" t="s">
        <v>6</v>
      </c>
      <c r="E162" s="18" t="s">
        <v>163</v>
      </c>
      <c r="F162" s="18" t="s">
        <v>384</v>
      </c>
      <c r="G162" s="18" t="s">
        <v>235</v>
      </c>
      <c r="H162" s="18"/>
      <c r="I162" s="18" t="s">
        <v>47</v>
      </c>
      <c r="J162" s="19">
        <v>1</v>
      </c>
      <c r="K162" s="18" t="s">
        <v>147</v>
      </c>
      <c r="L162" s="18" t="s">
        <v>147</v>
      </c>
      <c r="M162" s="16" t="s">
        <v>148</v>
      </c>
      <c r="N162" s="18"/>
    </row>
    <row r="163" spans="1:14">
      <c r="A163" s="24">
        <v>46209</v>
      </c>
      <c r="B163" s="5" t="s">
        <v>323</v>
      </c>
      <c r="C163" s="5" t="s">
        <v>180</v>
      </c>
      <c r="D163" s="5" t="s">
        <v>6</v>
      </c>
      <c r="E163" s="5" t="s">
        <v>163</v>
      </c>
      <c r="F163" s="5" t="s">
        <v>384</v>
      </c>
      <c r="G163" s="5" t="s">
        <v>238</v>
      </c>
      <c r="H163" s="5"/>
      <c r="I163" s="5" t="s">
        <v>47</v>
      </c>
      <c r="J163" s="7">
        <v>1</v>
      </c>
      <c r="K163" s="5" t="s">
        <v>147</v>
      </c>
      <c r="L163" s="5" t="s">
        <v>147</v>
      </c>
      <c r="M163" s="16" t="s">
        <v>148</v>
      </c>
      <c r="N163" s="5"/>
    </row>
    <row r="164" spans="1:14">
      <c r="A164" s="25">
        <v>46209</v>
      </c>
      <c r="B164" s="18" t="s">
        <v>323</v>
      </c>
      <c r="C164" s="18" t="s">
        <v>180</v>
      </c>
      <c r="D164" s="18" t="s">
        <v>6</v>
      </c>
      <c r="E164" s="18" t="s">
        <v>163</v>
      </c>
      <c r="F164" s="18" t="s">
        <v>384</v>
      </c>
      <c r="G164" s="18" t="s">
        <v>193</v>
      </c>
      <c r="H164" s="18"/>
      <c r="I164" s="18" t="s">
        <v>216</v>
      </c>
      <c r="J164" s="19">
        <v>2</v>
      </c>
      <c r="K164" s="18" t="s">
        <v>147</v>
      </c>
      <c r="L164" s="18" t="s">
        <v>147</v>
      </c>
      <c r="M164" s="16" t="s">
        <v>148</v>
      </c>
      <c r="N164" s="18"/>
    </row>
    <row r="165" spans="1:14">
      <c r="A165" s="24">
        <v>46209</v>
      </c>
      <c r="B165" s="5" t="s">
        <v>323</v>
      </c>
      <c r="C165" s="5" t="s">
        <v>180</v>
      </c>
      <c r="D165" s="5" t="s">
        <v>6</v>
      </c>
      <c r="E165" s="5" t="s">
        <v>163</v>
      </c>
      <c r="F165" s="5" t="s">
        <v>384</v>
      </c>
      <c r="G165" s="5" t="s">
        <v>276</v>
      </c>
      <c r="H165" s="5"/>
      <c r="I165" s="5" t="s">
        <v>40</v>
      </c>
      <c r="J165" s="7">
        <v>1</v>
      </c>
      <c r="K165" s="5" t="s">
        <v>147</v>
      </c>
      <c r="L165" s="5" t="s">
        <v>147</v>
      </c>
      <c r="M165" s="16" t="s">
        <v>148</v>
      </c>
      <c r="N165" s="5"/>
    </row>
    <row r="166" spans="1:14">
      <c r="A166" s="25">
        <v>46209</v>
      </c>
      <c r="B166" s="18" t="s">
        <v>323</v>
      </c>
      <c r="C166" s="18" t="s">
        <v>180</v>
      </c>
      <c r="D166" s="18" t="s">
        <v>6</v>
      </c>
      <c r="E166" s="18" t="s">
        <v>163</v>
      </c>
      <c r="F166" s="18" t="s">
        <v>384</v>
      </c>
      <c r="G166" s="18" t="s">
        <v>230</v>
      </c>
      <c r="H166" s="18"/>
      <c r="I166" s="18" t="s">
        <v>47</v>
      </c>
      <c r="J166" s="19">
        <v>1</v>
      </c>
      <c r="K166" s="18" t="s">
        <v>147</v>
      </c>
      <c r="L166" s="18" t="s">
        <v>147</v>
      </c>
      <c r="M166" s="16" t="s">
        <v>148</v>
      </c>
      <c r="N166" s="18"/>
    </row>
    <row r="167" spans="1:14">
      <c r="A167" s="24">
        <v>46209</v>
      </c>
      <c r="B167" s="5" t="s">
        <v>323</v>
      </c>
      <c r="C167" s="5" t="s">
        <v>180</v>
      </c>
      <c r="D167" s="5" t="s">
        <v>6</v>
      </c>
      <c r="E167" s="5" t="s">
        <v>164</v>
      </c>
      <c r="F167" s="5" t="s">
        <v>384</v>
      </c>
      <c r="G167" s="5" t="s">
        <v>259</v>
      </c>
      <c r="H167" s="5"/>
      <c r="I167" s="5" t="s">
        <v>40</v>
      </c>
      <c r="J167" s="7">
        <v>1</v>
      </c>
      <c r="K167" s="5" t="s">
        <v>147</v>
      </c>
      <c r="L167" s="5" t="s">
        <v>147</v>
      </c>
      <c r="M167" s="16" t="s">
        <v>148</v>
      </c>
      <c r="N167" s="5"/>
    </row>
    <row r="168" spans="1:14">
      <c r="A168" s="25">
        <v>46209</v>
      </c>
      <c r="B168" s="18" t="s">
        <v>323</v>
      </c>
      <c r="C168" s="18" t="s">
        <v>180</v>
      </c>
      <c r="D168" s="18" t="s">
        <v>6</v>
      </c>
      <c r="E168" s="18" t="s">
        <v>164</v>
      </c>
      <c r="F168" s="18" t="s">
        <v>384</v>
      </c>
      <c r="G168" s="18" t="s">
        <v>233</v>
      </c>
      <c r="H168" s="18"/>
      <c r="I168" s="18" t="s">
        <v>40</v>
      </c>
      <c r="J168" s="19">
        <v>1</v>
      </c>
      <c r="K168" s="18" t="s">
        <v>147</v>
      </c>
      <c r="L168" s="18" t="s">
        <v>147</v>
      </c>
      <c r="M168" s="16" t="s">
        <v>148</v>
      </c>
      <c r="N168" s="18"/>
    </row>
    <row r="169" spans="1:14">
      <c r="A169" s="24">
        <v>46209</v>
      </c>
      <c r="B169" s="5" t="s">
        <v>323</v>
      </c>
      <c r="C169" s="5" t="s">
        <v>180</v>
      </c>
      <c r="D169" s="5" t="s">
        <v>6</v>
      </c>
      <c r="E169" s="5" t="s">
        <v>164</v>
      </c>
      <c r="F169" s="5" t="s">
        <v>384</v>
      </c>
      <c r="G169" s="5" t="s">
        <v>44</v>
      </c>
      <c r="H169" s="5"/>
      <c r="I169" s="5" t="s">
        <v>40</v>
      </c>
      <c r="J169" s="7">
        <v>100</v>
      </c>
      <c r="K169" s="5" t="s">
        <v>147</v>
      </c>
      <c r="L169" s="5" t="s">
        <v>147</v>
      </c>
      <c r="M169" s="16" t="s">
        <v>148</v>
      </c>
      <c r="N169" s="5"/>
    </row>
    <row r="170" spans="1:14">
      <c r="A170" s="25">
        <v>46209</v>
      </c>
      <c r="B170" s="18" t="s">
        <v>323</v>
      </c>
      <c r="C170" s="18" t="s">
        <v>180</v>
      </c>
      <c r="D170" s="18" t="s">
        <v>6</v>
      </c>
      <c r="E170" s="18" t="s">
        <v>164</v>
      </c>
      <c r="F170" s="18" t="s">
        <v>384</v>
      </c>
      <c r="G170" s="18" t="s">
        <v>48</v>
      </c>
      <c r="H170" s="18"/>
      <c r="I170" s="18" t="s">
        <v>47</v>
      </c>
      <c r="J170" s="19">
        <v>10</v>
      </c>
      <c r="K170" s="18" t="s">
        <v>147</v>
      </c>
      <c r="L170" s="18" t="s">
        <v>147</v>
      </c>
      <c r="M170" s="16" t="s">
        <v>148</v>
      </c>
      <c r="N170" s="18"/>
    </row>
    <row r="171" spans="1:14">
      <c r="A171" s="24">
        <v>46209</v>
      </c>
      <c r="B171" s="5" t="s">
        <v>323</v>
      </c>
      <c r="C171" s="5" t="s">
        <v>180</v>
      </c>
      <c r="D171" s="5" t="s">
        <v>6</v>
      </c>
      <c r="E171" s="5" t="s">
        <v>165</v>
      </c>
      <c r="F171" s="5" t="s">
        <v>384</v>
      </c>
      <c r="G171" s="5" t="s">
        <v>226</v>
      </c>
      <c r="H171" s="5"/>
      <c r="I171" s="5" t="s">
        <v>216</v>
      </c>
      <c r="J171" s="7">
        <v>50</v>
      </c>
      <c r="K171" s="5" t="s">
        <v>147</v>
      </c>
      <c r="L171" s="5" t="s">
        <v>147</v>
      </c>
      <c r="M171" s="16" t="s">
        <v>148</v>
      </c>
      <c r="N171" s="5"/>
    </row>
    <row r="172" spans="1:14">
      <c r="A172" s="25">
        <v>46209</v>
      </c>
      <c r="B172" s="18" t="s">
        <v>323</v>
      </c>
      <c r="C172" s="18" t="s">
        <v>180</v>
      </c>
      <c r="D172" s="18" t="s">
        <v>6</v>
      </c>
      <c r="E172" s="18" t="s">
        <v>165</v>
      </c>
      <c r="F172" s="18" t="s">
        <v>384</v>
      </c>
      <c r="G172" s="18" t="s">
        <v>41</v>
      </c>
      <c r="H172" s="18"/>
      <c r="I172" s="18" t="s">
        <v>40</v>
      </c>
      <c r="J172" s="19">
        <v>200</v>
      </c>
      <c r="K172" s="18" t="s">
        <v>147</v>
      </c>
      <c r="L172" s="18" t="s">
        <v>147</v>
      </c>
      <c r="M172" s="16" t="s">
        <v>148</v>
      </c>
      <c r="N172" s="18"/>
    </row>
    <row r="173" spans="1:14">
      <c r="A173" s="24">
        <v>46209</v>
      </c>
      <c r="B173" s="5" t="s">
        <v>323</v>
      </c>
      <c r="C173" s="5" t="s">
        <v>180</v>
      </c>
      <c r="D173" s="5" t="s">
        <v>6</v>
      </c>
      <c r="E173" s="5" t="s">
        <v>165</v>
      </c>
      <c r="F173" s="5" t="s">
        <v>384</v>
      </c>
      <c r="G173" s="5" t="s">
        <v>43</v>
      </c>
      <c r="H173" s="5"/>
      <c r="I173" s="5" t="s">
        <v>40</v>
      </c>
      <c r="J173" s="7">
        <v>200</v>
      </c>
      <c r="K173" s="5" t="s">
        <v>147</v>
      </c>
      <c r="L173" s="5" t="s">
        <v>147</v>
      </c>
      <c r="M173" s="16" t="s">
        <v>148</v>
      </c>
      <c r="N173" s="5"/>
    </row>
    <row r="174" spans="1:14">
      <c r="A174" s="25">
        <v>46209</v>
      </c>
      <c r="B174" s="18" t="s">
        <v>323</v>
      </c>
      <c r="C174" s="18" t="s">
        <v>180</v>
      </c>
      <c r="D174" s="18" t="s">
        <v>6</v>
      </c>
      <c r="E174" s="18" t="s">
        <v>165</v>
      </c>
      <c r="F174" s="18" t="s">
        <v>384</v>
      </c>
      <c r="G174" s="18" t="s">
        <v>42</v>
      </c>
      <c r="H174" s="18"/>
      <c r="I174" s="18" t="s">
        <v>40</v>
      </c>
      <c r="J174" s="19">
        <v>200</v>
      </c>
      <c r="K174" s="18" t="s">
        <v>147</v>
      </c>
      <c r="L174" s="18" t="s">
        <v>147</v>
      </c>
      <c r="M174" s="16" t="s">
        <v>148</v>
      </c>
      <c r="N174" s="18"/>
    </row>
    <row r="175" spans="1:14">
      <c r="A175" s="24">
        <v>46209</v>
      </c>
      <c r="B175" s="5" t="s">
        <v>323</v>
      </c>
      <c r="C175" s="5" t="s">
        <v>180</v>
      </c>
      <c r="D175" s="5" t="s">
        <v>6</v>
      </c>
      <c r="E175" s="5" t="s">
        <v>165</v>
      </c>
      <c r="F175" s="5" t="s">
        <v>384</v>
      </c>
      <c r="G175" s="5" t="s">
        <v>39</v>
      </c>
      <c r="H175" s="5"/>
      <c r="I175" s="5" t="s">
        <v>40</v>
      </c>
      <c r="J175" s="7">
        <v>300</v>
      </c>
      <c r="K175" s="5" t="s">
        <v>147</v>
      </c>
      <c r="L175" s="5" t="s">
        <v>147</v>
      </c>
      <c r="M175" s="16" t="s">
        <v>148</v>
      </c>
      <c r="N175" s="5"/>
    </row>
    <row r="176" spans="1:14">
      <c r="A176" s="25">
        <v>46209</v>
      </c>
      <c r="B176" s="18" t="s">
        <v>323</v>
      </c>
      <c r="C176" s="18" t="s">
        <v>180</v>
      </c>
      <c r="D176" s="18" t="s">
        <v>6</v>
      </c>
      <c r="E176" s="18" t="s">
        <v>165</v>
      </c>
      <c r="F176" s="18" t="s">
        <v>384</v>
      </c>
      <c r="G176" s="18" t="s">
        <v>48</v>
      </c>
      <c r="H176" s="18"/>
      <c r="I176" s="18" t="s">
        <v>47</v>
      </c>
      <c r="J176" s="19">
        <v>50</v>
      </c>
      <c r="K176" s="18" t="s">
        <v>153</v>
      </c>
      <c r="L176" s="18" t="s">
        <v>153</v>
      </c>
      <c r="M176" s="17" t="s">
        <v>153</v>
      </c>
      <c r="N176" s="18"/>
    </row>
    <row r="177" spans="1:14">
      <c r="A177" s="24">
        <v>46209</v>
      </c>
      <c r="B177" s="5" t="s">
        <v>323</v>
      </c>
      <c r="C177" s="5" t="s">
        <v>180</v>
      </c>
      <c r="D177" s="5" t="s">
        <v>6</v>
      </c>
      <c r="E177" s="5" t="s">
        <v>165</v>
      </c>
      <c r="F177" s="5" t="s">
        <v>384</v>
      </c>
      <c r="G177" s="5" t="s">
        <v>46</v>
      </c>
      <c r="H177" s="5"/>
      <c r="I177" s="5" t="s">
        <v>47</v>
      </c>
      <c r="J177" s="7">
        <v>30</v>
      </c>
      <c r="K177" s="5" t="s">
        <v>153</v>
      </c>
      <c r="L177" s="5" t="s">
        <v>153</v>
      </c>
      <c r="M177" s="17" t="s">
        <v>153</v>
      </c>
      <c r="N177" s="5"/>
    </row>
    <row r="178" spans="1:14">
      <c r="A178" s="25">
        <v>46209</v>
      </c>
      <c r="B178" s="18" t="s">
        <v>323</v>
      </c>
      <c r="C178" s="18" t="s">
        <v>180</v>
      </c>
      <c r="D178" s="18" t="s">
        <v>6</v>
      </c>
      <c r="E178" s="18" t="s">
        <v>165</v>
      </c>
      <c r="F178" s="18" t="s">
        <v>384</v>
      </c>
      <c r="G178" s="18" t="s">
        <v>45</v>
      </c>
      <c r="H178" s="18"/>
      <c r="I178" s="18" t="s">
        <v>40</v>
      </c>
      <c r="J178" s="19">
        <v>150</v>
      </c>
      <c r="K178" s="18" t="s">
        <v>147</v>
      </c>
      <c r="L178" s="18" t="s">
        <v>147</v>
      </c>
      <c r="M178" s="16" t="s">
        <v>148</v>
      </c>
      <c r="N178" s="18"/>
    </row>
    <row r="179" spans="1:14">
      <c r="A179" s="24">
        <v>46209</v>
      </c>
      <c r="B179" s="5" t="s">
        <v>323</v>
      </c>
      <c r="C179" s="5" t="s">
        <v>180</v>
      </c>
      <c r="D179" s="5" t="s">
        <v>6</v>
      </c>
      <c r="E179" s="5" t="s">
        <v>165</v>
      </c>
      <c r="F179" s="5" t="s">
        <v>384</v>
      </c>
      <c r="G179" s="5" t="s">
        <v>274</v>
      </c>
      <c r="H179" s="5"/>
      <c r="I179" s="5" t="s">
        <v>257</v>
      </c>
      <c r="J179" s="7">
        <v>2</v>
      </c>
      <c r="K179" s="5" t="s">
        <v>147</v>
      </c>
      <c r="L179" s="5" t="s">
        <v>147</v>
      </c>
      <c r="M179" s="16" t="s">
        <v>148</v>
      </c>
      <c r="N179" s="5"/>
    </row>
    <row r="180" spans="1:14">
      <c r="A180" s="25">
        <v>46209</v>
      </c>
      <c r="B180" s="18" t="s">
        <v>323</v>
      </c>
      <c r="C180" s="18" t="s">
        <v>180</v>
      </c>
      <c r="D180" s="18" t="s">
        <v>6</v>
      </c>
      <c r="E180" s="18" t="s">
        <v>167</v>
      </c>
      <c r="F180" s="18" t="s">
        <v>384</v>
      </c>
      <c r="G180" s="18" t="s">
        <v>281</v>
      </c>
      <c r="H180" s="18"/>
      <c r="I180" s="18" t="s">
        <v>47</v>
      </c>
      <c r="J180" s="19">
        <v>1</v>
      </c>
      <c r="K180" s="18" t="s">
        <v>147</v>
      </c>
      <c r="L180" s="18" t="s">
        <v>147</v>
      </c>
      <c r="M180" s="16" t="s">
        <v>148</v>
      </c>
      <c r="N180" s="18"/>
    </row>
    <row r="181" spans="1:14">
      <c r="A181" s="24">
        <v>46209</v>
      </c>
      <c r="B181" s="5" t="s">
        <v>323</v>
      </c>
      <c r="C181" s="5" t="s">
        <v>180</v>
      </c>
      <c r="D181" s="5" t="s">
        <v>6</v>
      </c>
      <c r="E181" s="5" t="s">
        <v>167</v>
      </c>
      <c r="F181" s="5" t="s">
        <v>384</v>
      </c>
      <c r="G181" s="5" t="s">
        <v>235</v>
      </c>
      <c r="H181" s="5"/>
      <c r="I181" s="5" t="s">
        <v>47</v>
      </c>
      <c r="J181" s="7">
        <v>1</v>
      </c>
      <c r="K181" s="5" t="s">
        <v>147</v>
      </c>
      <c r="L181" s="5" t="s">
        <v>147</v>
      </c>
      <c r="M181" s="16" t="s">
        <v>148</v>
      </c>
      <c r="N181" s="5"/>
    </row>
    <row r="182" spans="1:14">
      <c r="A182" s="25">
        <v>46209</v>
      </c>
      <c r="B182" s="18" t="s">
        <v>323</v>
      </c>
      <c r="C182" s="18" t="s">
        <v>180</v>
      </c>
      <c r="D182" s="18" t="s">
        <v>6</v>
      </c>
      <c r="E182" s="18" t="s">
        <v>167</v>
      </c>
      <c r="F182" s="18" t="s">
        <v>384</v>
      </c>
      <c r="G182" s="18" t="s">
        <v>272</v>
      </c>
      <c r="H182" s="18"/>
      <c r="I182" s="18" t="s">
        <v>47</v>
      </c>
      <c r="J182" s="19">
        <v>1</v>
      </c>
      <c r="K182" s="18" t="s">
        <v>147</v>
      </c>
      <c r="L182" s="18" t="s">
        <v>147</v>
      </c>
      <c r="M182" s="16" t="s">
        <v>148</v>
      </c>
      <c r="N182" s="18"/>
    </row>
    <row r="183" spans="1:14">
      <c r="A183" s="24">
        <v>46209</v>
      </c>
      <c r="B183" s="5" t="s">
        <v>323</v>
      </c>
      <c r="C183" s="5" t="s">
        <v>180</v>
      </c>
      <c r="D183" s="5" t="s">
        <v>6</v>
      </c>
      <c r="E183" s="5" t="s">
        <v>167</v>
      </c>
      <c r="F183" s="5" t="s">
        <v>384</v>
      </c>
      <c r="G183" s="5" t="s">
        <v>271</v>
      </c>
      <c r="H183" s="5"/>
      <c r="I183" s="5" t="s">
        <v>47</v>
      </c>
      <c r="J183" s="7">
        <v>1</v>
      </c>
      <c r="K183" s="5" t="s">
        <v>147</v>
      </c>
      <c r="L183" s="5" t="s">
        <v>147</v>
      </c>
      <c r="M183" s="16" t="s">
        <v>148</v>
      </c>
      <c r="N183" s="5"/>
    </row>
    <row r="184" spans="1:14">
      <c r="A184" s="25">
        <v>46209</v>
      </c>
      <c r="B184" s="18" t="s">
        <v>323</v>
      </c>
      <c r="C184" s="18" t="s">
        <v>180</v>
      </c>
      <c r="D184" s="18" t="s">
        <v>6</v>
      </c>
      <c r="E184" s="18" t="s">
        <v>167</v>
      </c>
      <c r="F184" s="18" t="s">
        <v>384</v>
      </c>
      <c r="G184" s="18" t="s">
        <v>46</v>
      </c>
      <c r="H184" s="18"/>
      <c r="I184" s="18" t="s">
        <v>47</v>
      </c>
      <c r="J184" s="19">
        <v>30</v>
      </c>
      <c r="K184" s="18" t="s">
        <v>147</v>
      </c>
      <c r="L184" s="18" t="s">
        <v>147</v>
      </c>
      <c r="M184" s="16" t="s">
        <v>148</v>
      </c>
      <c r="N184" s="18"/>
    </row>
    <row r="185" spans="1:14">
      <c r="A185" s="24">
        <v>46209</v>
      </c>
      <c r="B185" s="5" t="s">
        <v>323</v>
      </c>
      <c r="C185" s="5" t="s">
        <v>180</v>
      </c>
      <c r="D185" s="5" t="s">
        <v>6</v>
      </c>
      <c r="E185" s="5" t="s">
        <v>167</v>
      </c>
      <c r="F185" s="5" t="s">
        <v>384</v>
      </c>
      <c r="G185" s="5" t="s">
        <v>193</v>
      </c>
      <c r="H185" s="5"/>
      <c r="I185" s="5" t="s">
        <v>216</v>
      </c>
      <c r="J185" s="7">
        <v>3</v>
      </c>
      <c r="K185" s="5" t="s">
        <v>147</v>
      </c>
      <c r="L185" s="5" t="s">
        <v>147</v>
      </c>
      <c r="M185" s="16" t="s">
        <v>148</v>
      </c>
      <c r="N185" s="5"/>
    </row>
    <row r="186" spans="1:14">
      <c r="A186" s="25">
        <v>46209</v>
      </c>
      <c r="B186" s="18" t="s">
        <v>323</v>
      </c>
      <c r="C186" s="18" t="s">
        <v>180</v>
      </c>
      <c r="D186" s="18" t="s">
        <v>6</v>
      </c>
      <c r="E186" s="18" t="s">
        <v>167</v>
      </c>
      <c r="F186" s="18" t="s">
        <v>384</v>
      </c>
      <c r="G186" s="18" t="s">
        <v>39</v>
      </c>
      <c r="H186" s="18"/>
      <c r="I186" s="18" t="s">
        <v>40</v>
      </c>
      <c r="J186" s="19">
        <v>500</v>
      </c>
      <c r="K186" s="18" t="s">
        <v>147</v>
      </c>
      <c r="L186" s="18" t="s">
        <v>147</v>
      </c>
      <c r="M186" s="16" t="s">
        <v>148</v>
      </c>
      <c r="N186" s="18"/>
    </row>
    <row r="187" spans="1:14">
      <c r="A187" s="24">
        <v>46209</v>
      </c>
      <c r="B187" s="5" t="s">
        <v>323</v>
      </c>
      <c r="C187" s="5" t="s">
        <v>180</v>
      </c>
      <c r="D187" s="5" t="s">
        <v>6</v>
      </c>
      <c r="E187" s="5" t="s">
        <v>167</v>
      </c>
      <c r="F187" s="5" t="s">
        <v>384</v>
      </c>
      <c r="G187" s="5" t="s">
        <v>186</v>
      </c>
      <c r="H187" s="5"/>
      <c r="I187" s="5" t="s">
        <v>40</v>
      </c>
      <c r="J187" s="7">
        <v>2</v>
      </c>
      <c r="K187" s="5" t="s">
        <v>153</v>
      </c>
      <c r="L187" s="5" t="s">
        <v>153</v>
      </c>
      <c r="M187" s="17" t="s">
        <v>153</v>
      </c>
      <c r="N187" s="5"/>
    </row>
    <row r="188" spans="1:14">
      <c r="A188" s="25">
        <v>46209</v>
      </c>
      <c r="B188" s="18" t="s">
        <v>323</v>
      </c>
      <c r="C188" s="18" t="s">
        <v>180</v>
      </c>
      <c r="D188" s="18" t="s">
        <v>6</v>
      </c>
      <c r="E188" s="18" t="s">
        <v>167</v>
      </c>
      <c r="F188" s="18" t="s">
        <v>384</v>
      </c>
      <c r="G188" s="18" t="s">
        <v>44</v>
      </c>
      <c r="H188" s="18"/>
      <c r="I188" s="18" t="s">
        <v>40</v>
      </c>
      <c r="J188" s="19">
        <v>200</v>
      </c>
      <c r="K188" s="18" t="s">
        <v>147</v>
      </c>
      <c r="L188" s="18" t="s">
        <v>147</v>
      </c>
      <c r="M188" s="16" t="s">
        <v>148</v>
      </c>
      <c r="N188" s="18"/>
    </row>
    <row r="189" spans="1:14">
      <c r="A189" s="24">
        <v>46209</v>
      </c>
      <c r="B189" s="5" t="s">
        <v>323</v>
      </c>
      <c r="C189" s="5" t="s">
        <v>180</v>
      </c>
      <c r="D189" s="5" t="s">
        <v>6</v>
      </c>
      <c r="E189" s="5" t="s">
        <v>167</v>
      </c>
      <c r="F189" s="5" t="s">
        <v>384</v>
      </c>
      <c r="G189" s="5" t="s">
        <v>236</v>
      </c>
      <c r="H189" s="5"/>
      <c r="I189" s="5" t="s">
        <v>40</v>
      </c>
      <c r="J189" s="7">
        <v>1</v>
      </c>
      <c r="K189" s="5" t="s">
        <v>153</v>
      </c>
      <c r="L189" s="5" t="s">
        <v>153</v>
      </c>
      <c r="M189" s="17" t="s">
        <v>153</v>
      </c>
      <c r="N189" s="5"/>
    </row>
    <row r="190" spans="1:14">
      <c r="A190" s="25">
        <v>46209</v>
      </c>
      <c r="B190" s="18" t="s">
        <v>323</v>
      </c>
      <c r="C190" s="18" t="s">
        <v>180</v>
      </c>
      <c r="D190" s="18" t="s">
        <v>6</v>
      </c>
      <c r="E190" s="18" t="s">
        <v>167</v>
      </c>
      <c r="F190" s="18" t="s">
        <v>384</v>
      </c>
      <c r="G190" s="18" t="s">
        <v>185</v>
      </c>
      <c r="H190" s="18"/>
      <c r="I190" s="18" t="s">
        <v>47</v>
      </c>
      <c r="J190" s="19">
        <v>3</v>
      </c>
      <c r="K190" s="18" t="s">
        <v>147</v>
      </c>
      <c r="L190" s="18" t="s">
        <v>147</v>
      </c>
      <c r="M190" s="16" t="s">
        <v>148</v>
      </c>
      <c r="N190" s="18"/>
    </row>
    <row r="191" spans="1:14">
      <c r="A191" s="24">
        <v>46209</v>
      </c>
      <c r="B191" s="5" t="s">
        <v>323</v>
      </c>
      <c r="C191" s="5" t="s">
        <v>180</v>
      </c>
      <c r="D191" s="5" t="s">
        <v>6</v>
      </c>
      <c r="E191" s="5" t="s">
        <v>167</v>
      </c>
      <c r="F191" s="5" t="s">
        <v>384</v>
      </c>
      <c r="G191" s="5" t="s">
        <v>187</v>
      </c>
      <c r="H191" s="5"/>
      <c r="I191" s="5" t="s">
        <v>216</v>
      </c>
      <c r="J191" s="7">
        <v>2</v>
      </c>
      <c r="K191" s="5" t="s">
        <v>153</v>
      </c>
      <c r="L191" s="5" t="s">
        <v>153</v>
      </c>
      <c r="M191" s="17" t="s">
        <v>153</v>
      </c>
      <c r="N191" s="5"/>
    </row>
    <row r="192" spans="1:14">
      <c r="A192" s="25">
        <v>46209</v>
      </c>
      <c r="B192" s="18" t="s">
        <v>323</v>
      </c>
      <c r="C192" s="18" t="s">
        <v>180</v>
      </c>
      <c r="D192" s="18" t="s">
        <v>6</v>
      </c>
      <c r="E192" s="18" t="s">
        <v>167</v>
      </c>
      <c r="F192" s="18" t="s">
        <v>384</v>
      </c>
      <c r="G192" s="18" t="s">
        <v>41</v>
      </c>
      <c r="H192" s="18"/>
      <c r="I192" s="18" t="s">
        <v>40</v>
      </c>
      <c r="J192" s="19">
        <v>200</v>
      </c>
      <c r="K192" s="18" t="s">
        <v>147</v>
      </c>
      <c r="L192" s="18" t="s">
        <v>147</v>
      </c>
      <c r="M192" s="16" t="s">
        <v>148</v>
      </c>
      <c r="N192" s="18"/>
    </row>
    <row r="193" spans="1:14">
      <c r="A193" s="24">
        <v>46209</v>
      </c>
      <c r="B193" s="5" t="s">
        <v>323</v>
      </c>
      <c r="C193" s="5" t="s">
        <v>180</v>
      </c>
      <c r="D193" s="5" t="s">
        <v>6</v>
      </c>
      <c r="E193" s="5" t="s">
        <v>167</v>
      </c>
      <c r="F193" s="5" t="s">
        <v>384</v>
      </c>
      <c r="G193" s="5" t="s">
        <v>42</v>
      </c>
      <c r="H193" s="5"/>
      <c r="I193" s="5" t="s">
        <v>40</v>
      </c>
      <c r="J193" s="7">
        <v>300</v>
      </c>
      <c r="K193" s="5" t="s">
        <v>147</v>
      </c>
      <c r="L193" s="5" t="s">
        <v>147</v>
      </c>
      <c r="M193" s="16" t="s">
        <v>148</v>
      </c>
      <c r="N193" s="5"/>
    </row>
    <row r="194" spans="1:14">
      <c r="A194" s="25">
        <v>46209</v>
      </c>
      <c r="B194" s="18" t="s">
        <v>323</v>
      </c>
      <c r="C194" s="18" t="s">
        <v>180</v>
      </c>
      <c r="D194" s="18" t="s">
        <v>6</v>
      </c>
      <c r="E194" s="18" t="s">
        <v>167</v>
      </c>
      <c r="F194" s="18" t="s">
        <v>384</v>
      </c>
      <c r="G194" s="18" t="s">
        <v>274</v>
      </c>
      <c r="H194" s="18"/>
      <c r="I194" s="18" t="s">
        <v>257</v>
      </c>
      <c r="J194" s="19">
        <v>1</v>
      </c>
      <c r="K194" s="18" t="s">
        <v>147</v>
      </c>
      <c r="L194" s="18" t="s">
        <v>147</v>
      </c>
      <c r="M194" s="16" t="s">
        <v>148</v>
      </c>
      <c r="N194" s="18"/>
    </row>
    <row r="195" spans="1:14">
      <c r="A195" s="24">
        <v>46209</v>
      </c>
      <c r="B195" s="5" t="s">
        <v>323</v>
      </c>
      <c r="C195" s="5" t="s">
        <v>180</v>
      </c>
      <c r="D195" s="5" t="s">
        <v>6</v>
      </c>
      <c r="E195" s="5" t="s">
        <v>168</v>
      </c>
      <c r="F195" s="5" t="s">
        <v>384</v>
      </c>
      <c r="G195" s="5" t="s">
        <v>185</v>
      </c>
      <c r="H195" s="5"/>
      <c r="I195" s="5" t="s">
        <v>47</v>
      </c>
      <c r="J195" s="7">
        <v>3</v>
      </c>
      <c r="K195" s="5" t="s">
        <v>147</v>
      </c>
      <c r="L195" s="5" t="s">
        <v>147</v>
      </c>
      <c r="M195" s="16" t="s">
        <v>148</v>
      </c>
      <c r="N195" s="5"/>
    </row>
    <row r="196" spans="1:14">
      <c r="A196" s="25">
        <v>46209</v>
      </c>
      <c r="B196" s="18" t="s">
        <v>323</v>
      </c>
      <c r="C196" s="18" t="s">
        <v>180</v>
      </c>
      <c r="D196" s="18" t="s">
        <v>6</v>
      </c>
      <c r="E196" s="18" t="s">
        <v>168</v>
      </c>
      <c r="F196" s="18" t="s">
        <v>384</v>
      </c>
      <c r="G196" s="18" t="s">
        <v>41</v>
      </c>
      <c r="H196" s="18"/>
      <c r="I196" s="18" t="s">
        <v>40</v>
      </c>
      <c r="J196" s="19">
        <v>100</v>
      </c>
      <c r="K196" s="18" t="s">
        <v>147</v>
      </c>
      <c r="L196" s="18" t="s">
        <v>147</v>
      </c>
      <c r="M196" s="16" t="s">
        <v>148</v>
      </c>
      <c r="N196" s="18"/>
    </row>
    <row r="197" spans="1:14">
      <c r="A197" s="24">
        <v>46209</v>
      </c>
      <c r="B197" s="5" t="s">
        <v>323</v>
      </c>
      <c r="C197" s="5" t="s">
        <v>180</v>
      </c>
      <c r="D197" s="5" t="s">
        <v>6</v>
      </c>
      <c r="E197" s="5" t="s">
        <v>168</v>
      </c>
      <c r="F197" s="5" t="s">
        <v>384</v>
      </c>
      <c r="G197" s="5" t="s">
        <v>43</v>
      </c>
      <c r="H197" s="5"/>
      <c r="I197" s="5" t="s">
        <v>40</v>
      </c>
      <c r="J197" s="7">
        <v>100</v>
      </c>
      <c r="K197" s="5" t="s">
        <v>147</v>
      </c>
      <c r="L197" s="5" t="s">
        <v>147</v>
      </c>
      <c r="M197" s="16" t="s">
        <v>148</v>
      </c>
      <c r="N197" s="5"/>
    </row>
    <row r="198" spans="1:14">
      <c r="A198" s="25">
        <v>46209</v>
      </c>
      <c r="B198" s="18" t="s">
        <v>323</v>
      </c>
      <c r="C198" s="18" t="s">
        <v>180</v>
      </c>
      <c r="D198" s="18" t="s">
        <v>6</v>
      </c>
      <c r="E198" s="18" t="s">
        <v>168</v>
      </c>
      <c r="F198" s="18" t="s">
        <v>384</v>
      </c>
      <c r="G198" s="18" t="s">
        <v>42</v>
      </c>
      <c r="H198" s="18"/>
      <c r="I198" s="18" t="s">
        <v>40</v>
      </c>
      <c r="J198" s="19">
        <v>100</v>
      </c>
      <c r="K198" s="18" t="s">
        <v>147</v>
      </c>
      <c r="L198" s="18" t="s">
        <v>147</v>
      </c>
      <c r="M198" s="16" t="s">
        <v>148</v>
      </c>
      <c r="N198" s="18"/>
    </row>
    <row r="199" spans="1:14">
      <c r="A199" s="24">
        <v>46209</v>
      </c>
      <c r="B199" s="5" t="s">
        <v>323</v>
      </c>
      <c r="C199" s="5" t="s">
        <v>180</v>
      </c>
      <c r="D199" s="5" t="s">
        <v>6</v>
      </c>
      <c r="E199" s="5" t="s">
        <v>168</v>
      </c>
      <c r="F199" s="5" t="s">
        <v>384</v>
      </c>
      <c r="G199" s="5" t="s">
        <v>39</v>
      </c>
      <c r="H199" s="5"/>
      <c r="I199" s="5" t="s">
        <v>40</v>
      </c>
      <c r="J199" s="7">
        <v>200</v>
      </c>
      <c r="K199" s="5" t="s">
        <v>147</v>
      </c>
      <c r="L199" s="5" t="s">
        <v>147</v>
      </c>
      <c r="M199" s="16" t="s">
        <v>148</v>
      </c>
      <c r="N199" s="5"/>
    </row>
    <row r="200" spans="1:14">
      <c r="A200" s="25">
        <v>46209</v>
      </c>
      <c r="B200" s="18" t="s">
        <v>323</v>
      </c>
      <c r="C200" s="18" t="s">
        <v>180</v>
      </c>
      <c r="D200" s="18" t="s">
        <v>6</v>
      </c>
      <c r="E200" s="18" t="s">
        <v>168</v>
      </c>
      <c r="F200" s="18" t="s">
        <v>384</v>
      </c>
      <c r="G200" s="18" t="s">
        <v>259</v>
      </c>
      <c r="H200" s="18"/>
      <c r="I200" s="18" t="s">
        <v>40</v>
      </c>
      <c r="J200" s="19">
        <v>1</v>
      </c>
      <c r="K200" s="18" t="s">
        <v>147</v>
      </c>
      <c r="L200" s="18" t="s">
        <v>147</v>
      </c>
      <c r="M200" s="16" t="s">
        <v>148</v>
      </c>
      <c r="N200" s="18"/>
    </row>
    <row r="201" spans="1:14">
      <c r="A201" s="24">
        <v>46209</v>
      </c>
      <c r="B201" s="5" t="s">
        <v>323</v>
      </c>
      <c r="C201" s="5" t="s">
        <v>180</v>
      </c>
      <c r="D201" s="5" t="s">
        <v>6</v>
      </c>
      <c r="E201" s="5" t="s">
        <v>168</v>
      </c>
      <c r="F201" s="5" t="s">
        <v>384</v>
      </c>
      <c r="G201" s="5" t="s">
        <v>273</v>
      </c>
      <c r="H201" s="5"/>
      <c r="I201" s="5" t="s">
        <v>40</v>
      </c>
      <c r="J201" s="7">
        <v>1</v>
      </c>
      <c r="K201" s="5" t="s">
        <v>147</v>
      </c>
      <c r="L201" s="5" t="s">
        <v>147</v>
      </c>
      <c r="M201" s="16" t="s">
        <v>148</v>
      </c>
      <c r="N201" s="5"/>
    </row>
    <row r="202" spans="1:14">
      <c r="A202" s="25">
        <v>46209</v>
      </c>
      <c r="B202" s="18" t="s">
        <v>323</v>
      </c>
      <c r="C202" s="18" t="s">
        <v>180</v>
      </c>
      <c r="D202" s="18" t="s">
        <v>6</v>
      </c>
      <c r="E202" s="18" t="s">
        <v>168</v>
      </c>
      <c r="F202" s="18" t="s">
        <v>384</v>
      </c>
      <c r="G202" s="18" t="s">
        <v>189</v>
      </c>
      <c r="H202" s="18"/>
      <c r="I202" s="18" t="s">
        <v>47</v>
      </c>
      <c r="J202" s="19">
        <v>2</v>
      </c>
      <c r="K202" s="18" t="s">
        <v>153</v>
      </c>
      <c r="L202" s="18" t="s">
        <v>153</v>
      </c>
      <c r="M202" s="17" t="s">
        <v>153</v>
      </c>
      <c r="N202" s="18"/>
    </row>
    <row r="203" spans="1:14">
      <c r="A203" s="24">
        <v>46209</v>
      </c>
      <c r="B203" s="5" t="s">
        <v>323</v>
      </c>
      <c r="C203" s="5" t="s">
        <v>180</v>
      </c>
      <c r="D203" s="5" t="s">
        <v>6</v>
      </c>
      <c r="E203" s="5" t="s">
        <v>168</v>
      </c>
      <c r="F203" s="5" t="s">
        <v>384</v>
      </c>
      <c r="G203" s="5" t="s">
        <v>191</v>
      </c>
      <c r="H203" s="5"/>
      <c r="I203" s="5" t="s">
        <v>47</v>
      </c>
      <c r="J203" s="7">
        <v>1</v>
      </c>
      <c r="K203" s="5" t="s">
        <v>147</v>
      </c>
      <c r="L203" s="5" t="s">
        <v>147</v>
      </c>
      <c r="M203" s="16" t="s">
        <v>148</v>
      </c>
      <c r="N203" s="5"/>
    </row>
    <row r="204" spans="1:14">
      <c r="A204" s="25">
        <v>46209</v>
      </c>
      <c r="B204" s="18" t="s">
        <v>323</v>
      </c>
      <c r="C204" s="18" t="s">
        <v>180</v>
      </c>
      <c r="D204" s="18" t="s">
        <v>6</v>
      </c>
      <c r="E204" s="18" t="s">
        <v>168</v>
      </c>
      <c r="F204" s="18" t="s">
        <v>384</v>
      </c>
      <c r="G204" s="18" t="s">
        <v>187</v>
      </c>
      <c r="H204" s="18"/>
      <c r="I204" s="18" t="s">
        <v>216</v>
      </c>
      <c r="J204" s="19">
        <v>1</v>
      </c>
      <c r="K204" s="18" t="s">
        <v>153</v>
      </c>
      <c r="L204" s="18" t="s">
        <v>153</v>
      </c>
      <c r="M204" s="17" t="s">
        <v>153</v>
      </c>
      <c r="N204" s="18"/>
    </row>
    <row r="205" spans="1:14">
      <c r="A205" s="24">
        <v>46209</v>
      </c>
      <c r="B205" s="5" t="s">
        <v>323</v>
      </c>
      <c r="C205" s="5" t="s">
        <v>180</v>
      </c>
      <c r="D205" s="5" t="s">
        <v>6</v>
      </c>
      <c r="E205" s="5" t="s">
        <v>169</v>
      </c>
      <c r="F205" s="5" t="s">
        <v>384</v>
      </c>
      <c r="G205" s="5" t="s">
        <v>191</v>
      </c>
      <c r="H205" s="5"/>
      <c r="I205" s="5" t="s">
        <v>47</v>
      </c>
      <c r="J205" s="7">
        <v>1</v>
      </c>
      <c r="K205" s="5" t="s">
        <v>147</v>
      </c>
      <c r="L205" s="5" t="s">
        <v>147</v>
      </c>
      <c r="M205" s="16" t="s">
        <v>148</v>
      </c>
      <c r="N205" s="5"/>
    </row>
    <row r="206" spans="1:14">
      <c r="A206" s="25">
        <v>46209</v>
      </c>
      <c r="B206" s="18" t="s">
        <v>323</v>
      </c>
      <c r="C206" s="18" t="s">
        <v>180</v>
      </c>
      <c r="D206" s="18" t="s">
        <v>6</v>
      </c>
      <c r="E206" s="18" t="s">
        <v>169</v>
      </c>
      <c r="F206" s="18" t="s">
        <v>384</v>
      </c>
      <c r="G206" s="18" t="s">
        <v>186</v>
      </c>
      <c r="H206" s="18"/>
      <c r="I206" s="18" t="s">
        <v>40</v>
      </c>
      <c r="J206" s="19">
        <v>2</v>
      </c>
      <c r="K206" s="18" t="s">
        <v>153</v>
      </c>
      <c r="L206" s="18" t="s">
        <v>153</v>
      </c>
      <c r="M206" s="17" t="s">
        <v>153</v>
      </c>
      <c r="N206" s="18"/>
    </row>
    <row r="207" spans="1:14">
      <c r="A207" s="24">
        <v>46209</v>
      </c>
      <c r="B207" s="5" t="s">
        <v>323</v>
      </c>
      <c r="C207" s="5" t="s">
        <v>180</v>
      </c>
      <c r="D207" s="5" t="s">
        <v>6</v>
      </c>
      <c r="E207" s="5" t="s">
        <v>169</v>
      </c>
      <c r="F207" s="5" t="s">
        <v>384</v>
      </c>
      <c r="G207" s="5" t="s">
        <v>234</v>
      </c>
      <c r="H207" s="5"/>
      <c r="I207" s="5" t="s">
        <v>47</v>
      </c>
      <c r="J207" s="7">
        <v>1</v>
      </c>
      <c r="K207" s="5" t="s">
        <v>147</v>
      </c>
      <c r="L207" s="5" t="s">
        <v>147</v>
      </c>
      <c r="M207" s="16" t="s">
        <v>148</v>
      </c>
      <c r="N207" s="5"/>
    </row>
    <row r="208" spans="1:14">
      <c r="A208" s="25">
        <v>46209</v>
      </c>
      <c r="B208" s="18" t="s">
        <v>323</v>
      </c>
      <c r="C208" s="18" t="s">
        <v>180</v>
      </c>
      <c r="D208" s="18" t="s">
        <v>6</v>
      </c>
      <c r="E208" s="18" t="s">
        <v>169</v>
      </c>
      <c r="F208" s="18" t="s">
        <v>384</v>
      </c>
      <c r="G208" s="18" t="s">
        <v>277</v>
      </c>
      <c r="H208" s="18"/>
      <c r="I208" s="18" t="s">
        <v>47</v>
      </c>
      <c r="J208" s="19">
        <v>1</v>
      </c>
      <c r="K208" s="18" t="s">
        <v>147</v>
      </c>
      <c r="L208" s="18" t="s">
        <v>147</v>
      </c>
      <c r="M208" s="16" t="s">
        <v>148</v>
      </c>
      <c r="N208" s="18"/>
    </row>
    <row r="209" spans="1:14">
      <c r="A209" s="24">
        <v>46209</v>
      </c>
      <c r="B209" s="5" t="s">
        <v>323</v>
      </c>
      <c r="C209" s="5" t="s">
        <v>180</v>
      </c>
      <c r="D209" s="5" t="s">
        <v>6</v>
      </c>
      <c r="E209" s="5" t="s">
        <v>169</v>
      </c>
      <c r="F209" s="5" t="s">
        <v>384</v>
      </c>
      <c r="G209" s="5" t="s">
        <v>185</v>
      </c>
      <c r="H209" s="5"/>
      <c r="I209" s="5" t="s">
        <v>47</v>
      </c>
      <c r="J209" s="7">
        <v>1</v>
      </c>
      <c r="K209" s="5" t="s">
        <v>147</v>
      </c>
      <c r="L209" s="5" t="s">
        <v>147</v>
      </c>
      <c r="M209" s="16" t="s">
        <v>148</v>
      </c>
      <c r="N209" s="5"/>
    </row>
    <row r="210" spans="1:14">
      <c r="A210" s="25">
        <v>46209</v>
      </c>
      <c r="B210" s="18" t="s">
        <v>323</v>
      </c>
      <c r="C210" s="18" t="s">
        <v>180</v>
      </c>
      <c r="D210" s="18" t="s">
        <v>6</v>
      </c>
      <c r="E210" s="18" t="s">
        <v>169</v>
      </c>
      <c r="F210" s="18" t="s">
        <v>384</v>
      </c>
      <c r="G210" s="18" t="s">
        <v>236</v>
      </c>
      <c r="H210" s="18"/>
      <c r="I210" s="18" t="s">
        <v>40</v>
      </c>
      <c r="J210" s="19">
        <v>1</v>
      </c>
      <c r="K210" s="18" t="s">
        <v>153</v>
      </c>
      <c r="L210" s="18" t="s">
        <v>153</v>
      </c>
      <c r="M210" s="17" t="s">
        <v>153</v>
      </c>
      <c r="N210" s="18"/>
    </row>
    <row r="211" spans="1:14">
      <c r="A211" s="24">
        <v>46209</v>
      </c>
      <c r="B211" s="5" t="s">
        <v>323</v>
      </c>
      <c r="C211" s="5" t="s">
        <v>180</v>
      </c>
      <c r="D211" s="5" t="s">
        <v>6</v>
      </c>
      <c r="E211" s="5" t="s">
        <v>169</v>
      </c>
      <c r="F211" s="5" t="s">
        <v>384</v>
      </c>
      <c r="G211" s="5" t="s">
        <v>215</v>
      </c>
      <c r="H211" s="5" t="s">
        <v>393</v>
      </c>
      <c r="I211" s="5" t="s">
        <v>216</v>
      </c>
      <c r="J211" s="7">
        <v>12</v>
      </c>
      <c r="K211" s="5" t="s">
        <v>147</v>
      </c>
      <c r="L211" s="5" t="s">
        <v>147</v>
      </c>
      <c r="M211" s="16" t="s">
        <v>148</v>
      </c>
      <c r="N211" s="5"/>
    </row>
    <row r="212" spans="1:14">
      <c r="A212" s="25">
        <v>46209</v>
      </c>
      <c r="B212" s="18" t="s">
        <v>323</v>
      </c>
      <c r="C212" s="18" t="s">
        <v>180</v>
      </c>
      <c r="D212" s="18" t="s">
        <v>6</v>
      </c>
      <c r="E212" s="18" t="s">
        <v>169</v>
      </c>
      <c r="F212" s="18" t="s">
        <v>384</v>
      </c>
      <c r="G212" s="18" t="s">
        <v>259</v>
      </c>
      <c r="H212" s="18"/>
      <c r="I212" s="18" t="s">
        <v>40</v>
      </c>
      <c r="J212" s="19">
        <v>2</v>
      </c>
      <c r="K212" s="18" t="s">
        <v>147</v>
      </c>
      <c r="L212" s="18" t="s">
        <v>147</v>
      </c>
      <c r="M212" s="16" t="s">
        <v>148</v>
      </c>
      <c r="N212" s="18"/>
    </row>
    <row r="213" spans="1:14">
      <c r="A213" s="24">
        <v>46209</v>
      </c>
      <c r="B213" s="5" t="s">
        <v>323</v>
      </c>
      <c r="C213" s="5" t="s">
        <v>180</v>
      </c>
      <c r="D213" s="5" t="s">
        <v>6</v>
      </c>
      <c r="E213" s="5" t="s">
        <v>169</v>
      </c>
      <c r="F213" s="5" t="s">
        <v>384</v>
      </c>
      <c r="G213" s="5" t="s">
        <v>273</v>
      </c>
      <c r="H213" s="5"/>
      <c r="I213" s="5" t="s">
        <v>40</v>
      </c>
      <c r="J213" s="7">
        <v>2</v>
      </c>
      <c r="K213" s="5" t="s">
        <v>147</v>
      </c>
      <c r="L213" s="5" t="s">
        <v>147</v>
      </c>
      <c r="M213" s="16" t="s">
        <v>148</v>
      </c>
      <c r="N213" s="5"/>
    </row>
    <row r="214" spans="1:14">
      <c r="A214" s="25">
        <v>46209</v>
      </c>
      <c r="B214" s="18" t="s">
        <v>323</v>
      </c>
      <c r="C214" s="18" t="s">
        <v>180</v>
      </c>
      <c r="D214" s="18" t="s">
        <v>6</v>
      </c>
      <c r="E214" s="18" t="s">
        <v>169</v>
      </c>
      <c r="F214" s="18" t="s">
        <v>384</v>
      </c>
      <c r="G214" s="18" t="s">
        <v>187</v>
      </c>
      <c r="H214" s="18"/>
      <c r="I214" s="18" t="s">
        <v>216</v>
      </c>
      <c r="J214" s="19">
        <v>2</v>
      </c>
      <c r="K214" s="18" t="s">
        <v>153</v>
      </c>
      <c r="L214" s="18" t="s">
        <v>153</v>
      </c>
      <c r="M214" s="17" t="s">
        <v>153</v>
      </c>
      <c r="N214" s="18"/>
    </row>
    <row r="215" spans="1:14">
      <c r="A215" s="24">
        <v>46209</v>
      </c>
      <c r="B215" s="5" t="s">
        <v>323</v>
      </c>
      <c r="C215" s="5" t="s">
        <v>180</v>
      </c>
      <c r="D215" s="5" t="s">
        <v>6</v>
      </c>
      <c r="E215" s="5" t="s">
        <v>169</v>
      </c>
      <c r="F215" s="5" t="s">
        <v>384</v>
      </c>
      <c r="G215" s="5" t="s">
        <v>46</v>
      </c>
      <c r="H215" s="5"/>
      <c r="I215" s="5" t="s">
        <v>47</v>
      </c>
      <c r="J215" s="7">
        <v>20</v>
      </c>
      <c r="K215" s="5" t="s">
        <v>147</v>
      </c>
      <c r="L215" s="5" t="s">
        <v>147</v>
      </c>
      <c r="M215" s="16" t="s">
        <v>148</v>
      </c>
      <c r="N215" s="5"/>
    </row>
    <row r="216" spans="1:14">
      <c r="A216" s="25">
        <v>46209</v>
      </c>
      <c r="B216" s="18" t="s">
        <v>323</v>
      </c>
      <c r="C216" s="18" t="s">
        <v>180</v>
      </c>
      <c r="D216" s="18" t="s">
        <v>6</v>
      </c>
      <c r="E216" s="18" t="s">
        <v>169</v>
      </c>
      <c r="F216" s="18" t="s">
        <v>384</v>
      </c>
      <c r="G216" s="18" t="s">
        <v>189</v>
      </c>
      <c r="H216" s="18"/>
      <c r="I216" s="18" t="s">
        <v>47</v>
      </c>
      <c r="J216" s="19">
        <v>2</v>
      </c>
      <c r="K216" s="18" t="s">
        <v>153</v>
      </c>
      <c r="L216" s="18" t="s">
        <v>153</v>
      </c>
      <c r="M216" s="17" t="s">
        <v>153</v>
      </c>
      <c r="N216" s="18"/>
    </row>
    <row r="217" spans="1:14">
      <c r="A217" s="24">
        <v>46209</v>
      </c>
      <c r="B217" s="5" t="s">
        <v>323</v>
      </c>
      <c r="C217" s="5" t="s">
        <v>180</v>
      </c>
      <c r="D217" s="5" t="s">
        <v>6</v>
      </c>
      <c r="E217" s="5" t="s">
        <v>169</v>
      </c>
      <c r="F217" s="5" t="s">
        <v>384</v>
      </c>
      <c r="G217" s="5" t="s">
        <v>39</v>
      </c>
      <c r="H217" s="5"/>
      <c r="I217" s="5" t="s">
        <v>40</v>
      </c>
      <c r="J217" s="7">
        <v>150</v>
      </c>
      <c r="K217" s="5" t="s">
        <v>147</v>
      </c>
      <c r="L217" s="5" t="s">
        <v>147</v>
      </c>
      <c r="M217" s="16" t="s">
        <v>148</v>
      </c>
      <c r="N217" s="5"/>
    </row>
    <row r="218" spans="1:14">
      <c r="A218" s="25">
        <v>46211</v>
      </c>
      <c r="B218" s="18" t="s">
        <v>323</v>
      </c>
      <c r="C218" s="18" t="s">
        <v>180</v>
      </c>
      <c r="D218" s="18" t="s">
        <v>6</v>
      </c>
      <c r="E218" s="18" t="s">
        <v>165</v>
      </c>
      <c r="F218" s="18" t="s">
        <v>384</v>
      </c>
      <c r="G218" s="18" t="s">
        <v>250</v>
      </c>
      <c r="H218" s="18"/>
      <c r="I218" s="18" t="s">
        <v>40</v>
      </c>
      <c r="J218" s="19">
        <v>1</v>
      </c>
      <c r="K218" s="18" t="s">
        <v>147</v>
      </c>
      <c r="L218" s="18" t="s">
        <v>147</v>
      </c>
      <c r="M218" s="16" t="s">
        <v>148</v>
      </c>
      <c r="N218" s="18"/>
    </row>
    <row r="219" spans="1:14">
      <c r="A219" s="24">
        <v>46212</v>
      </c>
      <c r="B219" s="5" t="s">
        <v>323</v>
      </c>
      <c r="C219" s="5" t="s">
        <v>180</v>
      </c>
      <c r="D219" s="5" t="s">
        <v>6</v>
      </c>
      <c r="E219" s="5" t="s">
        <v>165</v>
      </c>
      <c r="F219" s="5" t="s">
        <v>384</v>
      </c>
      <c r="G219" s="5" t="s">
        <v>192</v>
      </c>
      <c r="H219" s="5"/>
      <c r="I219" s="5" t="s">
        <v>216</v>
      </c>
      <c r="J219" s="7">
        <v>5</v>
      </c>
      <c r="K219" s="5" t="s">
        <v>147</v>
      </c>
      <c r="L219" s="5" t="s">
        <v>147</v>
      </c>
      <c r="M219" s="16" t="s">
        <v>148</v>
      </c>
      <c r="N219" s="5"/>
    </row>
    <row r="220" spans="1:14">
      <c r="A220" s="25">
        <v>46212</v>
      </c>
      <c r="B220" s="18" t="s">
        <v>323</v>
      </c>
      <c r="C220" s="18" t="s">
        <v>180</v>
      </c>
      <c r="D220" s="18" t="s">
        <v>6</v>
      </c>
      <c r="E220" s="18" t="s">
        <v>165</v>
      </c>
      <c r="F220" s="18" t="s">
        <v>384</v>
      </c>
      <c r="G220" s="18" t="s">
        <v>191</v>
      </c>
      <c r="H220" s="18"/>
      <c r="I220" s="18" t="s">
        <v>47</v>
      </c>
      <c r="J220" s="19">
        <v>1</v>
      </c>
      <c r="K220" s="18" t="s">
        <v>147</v>
      </c>
      <c r="L220" s="18" t="s">
        <v>147</v>
      </c>
      <c r="M220" s="16" t="s">
        <v>148</v>
      </c>
      <c r="N220" s="18"/>
    </row>
    <row r="221" spans="1:14">
      <c r="A221" s="24">
        <v>46213</v>
      </c>
      <c r="B221" s="5" t="s">
        <v>323</v>
      </c>
      <c r="C221" s="5" t="s">
        <v>180</v>
      </c>
      <c r="D221" s="5" t="s">
        <v>6</v>
      </c>
      <c r="E221" s="5" t="s">
        <v>165</v>
      </c>
      <c r="F221" s="5" t="s">
        <v>384</v>
      </c>
      <c r="G221" s="5" t="s">
        <v>239</v>
      </c>
      <c r="H221" s="5"/>
      <c r="I221" s="5" t="s">
        <v>216</v>
      </c>
      <c r="J221" s="7">
        <v>2</v>
      </c>
      <c r="K221" s="5" t="s">
        <v>147</v>
      </c>
      <c r="L221" s="5" t="s">
        <v>147</v>
      </c>
      <c r="M221" s="16" t="s">
        <v>148</v>
      </c>
      <c r="N221" s="5"/>
    </row>
    <row r="222" spans="1:14">
      <c r="A222" s="25">
        <v>46213</v>
      </c>
      <c r="B222" s="18" t="s">
        <v>323</v>
      </c>
      <c r="C222" s="18" t="s">
        <v>180</v>
      </c>
      <c r="D222" s="18" t="s">
        <v>6</v>
      </c>
      <c r="E222" s="18" t="s">
        <v>165</v>
      </c>
      <c r="F222" s="18" t="s">
        <v>384</v>
      </c>
      <c r="G222" s="18" t="s">
        <v>224</v>
      </c>
      <c r="H222" s="18"/>
      <c r="I222" s="18" t="s">
        <v>40</v>
      </c>
      <c r="J222" s="19">
        <v>20</v>
      </c>
      <c r="K222" s="18" t="s">
        <v>147</v>
      </c>
      <c r="L222" s="18" t="s">
        <v>147</v>
      </c>
      <c r="M222" s="16" t="s">
        <v>148</v>
      </c>
      <c r="N222" s="18"/>
    </row>
    <row r="223" spans="1:14">
      <c r="A223" s="24">
        <v>46213</v>
      </c>
      <c r="B223" s="5" t="s">
        <v>323</v>
      </c>
      <c r="C223" s="5" t="s">
        <v>180</v>
      </c>
      <c r="D223" s="5" t="s">
        <v>6</v>
      </c>
      <c r="E223" s="5" t="s">
        <v>165</v>
      </c>
      <c r="F223" s="5" t="s">
        <v>384</v>
      </c>
      <c r="G223" s="5" t="s">
        <v>50</v>
      </c>
      <c r="H223" s="5"/>
      <c r="I223" s="5" t="s">
        <v>40</v>
      </c>
      <c r="J223" s="7">
        <v>15</v>
      </c>
      <c r="K223" s="5" t="s">
        <v>147</v>
      </c>
      <c r="L223" s="5" t="s">
        <v>147</v>
      </c>
      <c r="M223" s="16" t="s">
        <v>148</v>
      </c>
      <c r="N223" s="5"/>
    </row>
    <row r="224" spans="1:14">
      <c r="A224" s="25">
        <v>46213</v>
      </c>
      <c r="B224" s="18" t="s">
        <v>323</v>
      </c>
      <c r="C224" s="18" t="s">
        <v>180</v>
      </c>
      <c r="D224" s="18" t="s">
        <v>6</v>
      </c>
      <c r="E224" s="18" t="s">
        <v>168</v>
      </c>
      <c r="F224" s="18" t="s">
        <v>384</v>
      </c>
      <c r="G224" s="18" t="s">
        <v>224</v>
      </c>
      <c r="H224" s="18"/>
      <c r="I224" s="18" t="s">
        <v>40</v>
      </c>
      <c r="J224" s="19">
        <v>20</v>
      </c>
      <c r="K224" s="18" t="s">
        <v>147</v>
      </c>
      <c r="L224" s="18" t="s">
        <v>147</v>
      </c>
      <c r="M224" s="16" t="s">
        <v>148</v>
      </c>
      <c r="N224" s="18"/>
    </row>
    <row r="225" spans="1:14">
      <c r="A225" s="24">
        <v>46213</v>
      </c>
      <c r="B225" s="5" t="s">
        <v>323</v>
      </c>
      <c r="C225" s="5" t="s">
        <v>180</v>
      </c>
      <c r="D225" s="5" t="s">
        <v>6</v>
      </c>
      <c r="E225" s="5" t="s">
        <v>168</v>
      </c>
      <c r="F225" s="5" t="s">
        <v>384</v>
      </c>
      <c r="G225" s="5" t="s">
        <v>50</v>
      </c>
      <c r="H225" s="5"/>
      <c r="I225" s="5" t="s">
        <v>40</v>
      </c>
      <c r="J225" s="7">
        <v>15</v>
      </c>
      <c r="K225" s="5" t="s">
        <v>147</v>
      </c>
      <c r="L225" s="5" t="s">
        <v>147</v>
      </c>
      <c r="M225" s="16" t="s">
        <v>148</v>
      </c>
      <c r="N225" s="5"/>
    </row>
    <row r="226" spans="1:14">
      <c r="A226" s="25">
        <v>46216</v>
      </c>
      <c r="B226" s="18" t="s">
        <v>324</v>
      </c>
      <c r="C226" s="18" t="s">
        <v>180</v>
      </c>
      <c r="D226" s="18" t="s">
        <v>6</v>
      </c>
      <c r="E226" s="18" t="s">
        <v>163</v>
      </c>
      <c r="F226" s="18" t="s">
        <v>384</v>
      </c>
      <c r="G226" s="18" t="s">
        <v>188</v>
      </c>
      <c r="H226" s="18"/>
      <c r="I226" s="18" t="s">
        <v>216</v>
      </c>
      <c r="J226" s="19">
        <v>1</v>
      </c>
      <c r="K226" s="18" t="s">
        <v>153</v>
      </c>
      <c r="L226" s="18" t="s">
        <v>153</v>
      </c>
      <c r="M226" s="17" t="s">
        <v>153</v>
      </c>
      <c r="N226" s="18"/>
    </row>
    <row r="227" spans="1:14">
      <c r="A227" s="24">
        <v>46216</v>
      </c>
      <c r="B227" s="5" t="s">
        <v>324</v>
      </c>
      <c r="C227" s="5" t="s">
        <v>180</v>
      </c>
      <c r="D227" s="5" t="s">
        <v>6</v>
      </c>
      <c r="E227" s="5" t="s">
        <v>163</v>
      </c>
      <c r="F227" s="5" t="s">
        <v>384</v>
      </c>
      <c r="G227" s="5" t="s">
        <v>236</v>
      </c>
      <c r="H227" s="5"/>
      <c r="I227" s="5" t="s">
        <v>40</v>
      </c>
      <c r="J227" s="7">
        <v>1</v>
      </c>
      <c r="K227" s="5" t="s">
        <v>147</v>
      </c>
      <c r="L227" s="5" t="s">
        <v>147</v>
      </c>
      <c r="M227" s="16" t="s">
        <v>148</v>
      </c>
      <c r="N227" s="5"/>
    </row>
    <row r="228" spans="1:14">
      <c r="A228" s="25">
        <v>46216</v>
      </c>
      <c r="B228" s="18" t="s">
        <v>324</v>
      </c>
      <c r="C228" s="18" t="s">
        <v>180</v>
      </c>
      <c r="D228" s="18" t="s">
        <v>6</v>
      </c>
      <c r="E228" s="18" t="s">
        <v>163</v>
      </c>
      <c r="F228" s="18" t="s">
        <v>384</v>
      </c>
      <c r="G228" s="18" t="s">
        <v>39</v>
      </c>
      <c r="H228" s="18"/>
      <c r="I228" s="18" t="s">
        <v>40</v>
      </c>
      <c r="J228" s="19">
        <v>200</v>
      </c>
      <c r="K228" s="18" t="s">
        <v>147</v>
      </c>
      <c r="L228" s="18" t="s">
        <v>147</v>
      </c>
      <c r="M228" s="16" t="s">
        <v>148</v>
      </c>
      <c r="N228" s="18"/>
    </row>
    <row r="229" spans="1:14">
      <c r="A229" s="24">
        <v>46216</v>
      </c>
      <c r="B229" s="5" t="s">
        <v>324</v>
      </c>
      <c r="C229" s="5" t="s">
        <v>180</v>
      </c>
      <c r="D229" s="5" t="s">
        <v>6</v>
      </c>
      <c r="E229" s="5" t="s">
        <v>163</v>
      </c>
      <c r="F229" s="5" t="s">
        <v>384</v>
      </c>
      <c r="G229" s="5" t="s">
        <v>271</v>
      </c>
      <c r="H229" s="5"/>
      <c r="I229" s="5" t="s">
        <v>47</v>
      </c>
      <c r="J229" s="7">
        <v>1</v>
      </c>
      <c r="K229" s="5" t="s">
        <v>147</v>
      </c>
      <c r="L229" s="5" t="s">
        <v>147</v>
      </c>
      <c r="M229" s="16" t="s">
        <v>148</v>
      </c>
      <c r="N229" s="5"/>
    </row>
    <row r="230" spans="1:14">
      <c r="A230" s="25">
        <v>46216</v>
      </c>
      <c r="B230" s="18" t="s">
        <v>324</v>
      </c>
      <c r="C230" s="18" t="s">
        <v>180</v>
      </c>
      <c r="D230" s="18" t="s">
        <v>6</v>
      </c>
      <c r="E230" s="18" t="s">
        <v>163</v>
      </c>
      <c r="F230" s="18" t="s">
        <v>384</v>
      </c>
      <c r="G230" s="18" t="s">
        <v>193</v>
      </c>
      <c r="H230" s="18"/>
      <c r="I230" s="18" t="s">
        <v>216</v>
      </c>
      <c r="J230" s="19">
        <v>2</v>
      </c>
      <c r="K230" s="18" t="s">
        <v>153</v>
      </c>
      <c r="L230" s="18" t="s">
        <v>153</v>
      </c>
      <c r="M230" s="17" t="s">
        <v>153</v>
      </c>
      <c r="N230" s="18"/>
    </row>
    <row r="231" spans="1:14">
      <c r="A231" s="24">
        <v>46216</v>
      </c>
      <c r="B231" s="5" t="s">
        <v>324</v>
      </c>
      <c r="C231" s="5" t="s">
        <v>180</v>
      </c>
      <c r="D231" s="5" t="s">
        <v>6</v>
      </c>
      <c r="E231" s="5" t="s">
        <v>163</v>
      </c>
      <c r="F231" s="5" t="s">
        <v>384</v>
      </c>
      <c r="G231" s="5" t="s">
        <v>41</v>
      </c>
      <c r="H231" s="5"/>
      <c r="I231" s="5" t="s">
        <v>40</v>
      </c>
      <c r="J231" s="7">
        <v>100</v>
      </c>
      <c r="K231" s="5" t="s">
        <v>147</v>
      </c>
      <c r="L231" s="5" t="s">
        <v>147</v>
      </c>
      <c r="M231" s="16" t="s">
        <v>148</v>
      </c>
      <c r="N231" s="5"/>
    </row>
    <row r="232" spans="1:14">
      <c r="A232" s="25">
        <v>46216</v>
      </c>
      <c r="B232" s="18" t="s">
        <v>324</v>
      </c>
      <c r="C232" s="18" t="s">
        <v>180</v>
      </c>
      <c r="D232" s="18" t="s">
        <v>6</v>
      </c>
      <c r="E232" s="18" t="s">
        <v>163</v>
      </c>
      <c r="F232" s="18" t="s">
        <v>384</v>
      </c>
      <c r="G232" s="18" t="s">
        <v>43</v>
      </c>
      <c r="H232" s="18"/>
      <c r="I232" s="18" t="s">
        <v>40</v>
      </c>
      <c r="J232" s="19">
        <v>100</v>
      </c>
      <c r="K232" s="18" t="s">
        <v>147</v>
      </c>
      <c r="L232" s="18" t="s">
        <v>147</v>
      </c>
      <c r="M232" s="16" t="s">
        <v>148</v>
      </c>
      <c r="N232" s="18"/>
    </row>
    <row r="233" spans="1:14">
      <c r="A233" s="24">
        <v>46216</v>
      </c>
      <c r="B233" s="5" t="s">
        <v>324</v>
      </c>
      <c r="C233" s="5" t="s">
        <v>180</v>
      </c>
      <c r="D233" s="5" t="s">
        <v>6</v>
      </c>
      <c r="E233" s="5" t="s">
        <v>163</v>
      </c>
      <c r="F233" s="5" t="s">
        <v>384</v>
      </c>
      <c r="G233" s="5" t="s">
        <v>42</v>
      </c>
      <c r="H233" s="5"/>
      <c r="I233" s="5" t="s">
        <v>40</v>
      </c>
      <c r="J233" s="7">
        <v>150</v>
      </c>
      <c r="K233" s="5" t="s">
        <v>147</v>
      </c>
      <c r="L233" s="5" t="s">
        <v>147</v>
      </c>
      <c r="M233" s="16" t="s">
        <v>148</v>
      </c>
      <c r="N233" s="5"/>
    </row>
    <row r="234" spans="1:14">
      <c r="A234" s="25">
        <v>46216</v>
      </c>
      <c r="B234" s="18" t="s">
        <v>324</v>
      </c>
      <c r="C234" s="18" t="s">
        <v>180</v>
      </c>
      <c r="D234" s="18" t="s">
        <v>6</v>
      </c>
      <c r="E234" s="18" t="s">
        <v>165</v>
      </c>
      <c r="F234" s="18" t="s">
        <v>384</v>
      </c>
      <c r="G234" s="18" t="s">
        <v>230</v>
      </c>
      <c r="H234" s="18"/>
      <c r="I234" s="18" t="s">
        <v>47</v>
      </c>
      <c r="J234" s="19">
        <v>2</v>
      </c>
      <c r="K234" s="18" t="s">
        <v>147</v>
      </c>
      <c r="L234" s="18" t="s">
        <v>147</v>
      </c>
      <c r="M234" s="16" t="s">
        <v>148</v>
      </c>
      <c r="N234" s="18"/>
    </row>
    <row r="235" spans="1:14">
      <c r="A235" s="24">
        <v>46216</v>
      </c>
      <c r="B235" s="5" t="s">
        <v>324</v>
      </c>
      <c r="C235" s="5" t="s">
        <v>180</v>
      </c>
      <c r="D235" s="5" t="s">
        <v>6</v>
      </c>
      <c r="E235" s="5" t="s">
        <v>165</v>
      </c>
      <c r="F235" s="5" t="s">
        <v>384</v>
      </c>
      <c r="G235" s="5" t="s">
        <v>268</v>
      </c>
      <c r="H235" s="5"/>
      <c r="I235" s="5" t="s">
        <v>216</v>
      </c>
      <c r="J235" s="7">
        <v>20</v>
      </c>
      <c r="K235" s="5" t="s">
        <v>147</v>
      </c>
      <c r="L235" s="5" t="s">
        <v>147</v>
      </c>
      <c r="M235" s="16" t="s">
        <v>148</v>
      </c>
      <c r="N235" s="5"/>
    </row>
    <row r="236" spans="1:14">
      <c r="A236" s="25">
        <v>46216</v>
      </c>
      <c r="B236" s="18" t="s">
        <v>324</v>
      </c>
      <c r="C236" s="18" t="s">
        <v>180</v>
      </c>
      <c r="D236" s="18" t="s">
        <v>6</v>
      </c>
      <c r="E236" s="18" t="s">
        <v>165</v>
      </c>
      <c r="F236" s="18" t="s">
        <v>384</v>
      </c>
      <c r="G236" s="18" t="s">
        <v>235</v>
      </c>
      <c r="H236" s="18"/>
      <c r="I236" s="18" t="s">
        <v>47</v>
      </c>
      <c r="J236" s="19">
        <v>1</v>
      </c>
      <c r="K236" s="18" t="s">
        <v>147</v>
      </c>
      <c r="L236" s="18" t="s">
        <v>147</v>
      </c>
      <c r="M236" s="16" t="s">
        <v>148</v>
      </c>
      <c r="N236" s="18"/>
    </row>
    <row r="237" spans="1:14">
      <c r="A237" s="24">
        <v>46216</v>
      </c>
      <c r="B237" s="5" t="s">
        <v>324</v>
      </c>
      <c r="C237" s="5" t="s">
        <v>180</v>
      </c>
      <c r="D237" s="5" t="s">
        <v>6</v>
      </c>
      <c r="E237" s="5" t="s">
        <v>165</v>
      </c>
      <c r="F237" s="5" t="s">
        <v>384</v>
      </c>
      <c r="G237" s="5" t="s">
        <v>238</v>
      </c>
      <c r="H237" s="5"/>
      <c r="I237" s="5" t="s">
        <v>47</v>
      </c>
      <c r="J237" s="7">
        <v>1</v>
      </c>
      <c r="K237" s="5" t="s">
        <v>147</v>
      </c>
      <c r="L237" s="5" t="s">
        <v>147</v>
      </c>
      <c r="M237" s="16" t="s">
        <v>148</v>
      </c>
      <c r="N237" s="5"/>
    </row>
    <row r="238" spans="1:14">
      <c r="A238" s="25">
        <v>46216</v>
      </c>
      <c r="B238" s="18" t="s">
        <v>324</v>
      </c>
      <c r="C238" s="18" t="s">
        <v>180</v>
      </c>
      <c r="D238" s="18" t="s">
        <v>6</v>
      </c>
      <c r="E238" s="18" t="s">
        <v>165</v>
      </c>
      <c r="F238" s="18" t="s">
        <v>384</v>
      </c>
      <c r="G238" s="18" t="s">
        <v>254</v>
      </c>
      <c r="H238" s="18"/>
      <c r="I238" s="18" t="s">
        <v>47</v>
      </c>
      <c r="J238" s="19">
        <v>1</v>
      </c>
      <c r="K238" s="18" t="s">
        <v>147</v>
      </c>
      <c r="L238" s="18" t="s">
        <v>147</v>
      </c>
      <c r="M238" s="16" t="s">
        <v>148</v>
      </c>
      <c r="N238" s="18"/>
    </row>
    <row r="239" spans="1:14">
      <c r="A239" s="24">
        <v>46216</v>
      </c>
      <c r="B239" s="5" t="s">
        <v>324</v>
      </c>
      <c r="C239" s="5" t="s">
        <v>180</v>
      </c>
      <c r="D239" s="5" t="s">
        <v>6</v>
      </c>
      <c r="E239" s="5" t="s">
        <v>165</v>
      </c>
      <c r="F239" s="5" t="s">
        <v>384</v>
      </c>
      <c r="G239" s="5" t="s">
        <v>190</v>
      </c>
      <c r="H239" s="5"/>
      <c r="I239" s="5" t="s">
        <v>47</v>
      </c>
      <c r="J239" s="7">
        <v>1</v>
      </c>
      <c r="K239" s="5" t="s">
        <v>147</v>
      </c>
      <c r="L239" s="5" t="s">
        <v>147</v>
      </c>
      <c r="M239" s="16" t="s">
        <v>148</v>
      </c>
      <c r="N239" s="5"/>
    </row>
    <row r="240" spans="1:14">
      <c r="A240" s="25">
        <v>46216</v>
      </c>
      <c r="B240" s="18" t="s">
        <v>324</v>
      </c>
      <c r="C240" s="18" t="s">
        <v>180</v>
      </c>
      <c r="D240" s="18" t="s">
        <v>6</v>
      </c>
      <c r="E240" s="18" t="s">
        <v>165</v>
      </c>
      <c r="F240" s="18" t="s">
        <v>384</v>
      </c>
      <c r="G240" s="18" t="s">
        <v>46</v>
      </c>
      <c r="H240" s="18"/>
      <c r="I240" s="18" t="s">
        <v>47</v>
      </c>
      <c r="J240" s="19">
        <v>50</v>
      </c>
      <c r="K240" s="18" t="s">
        <v>153</v>
      </c>
      <c r="L240" s="18" t="s">
        <v>153</v>
      </c>
      <c r="M240" s="17" t="s">
        <v>153</v>
      </c>
      <c r="N240" s="18"/>
    </row>
    <row r="241" spans="1:14">
      <c r="A241" s="24">
        <v>46216</v>
      </c>
      <c r="B241" s="5" t="s">
        <v>324</v>
      </c>
      <c r="C241" s="5" t="s">
        <v>180</v>
      </c>
      <c r="D241" s="5" t="s">
        <v>6</v>
      </c>
      <c r="E241" s="5" t="s">
        <v>165</v>
      </c>
      <c r="F241" s="5" t="s">
        <v>384</v>
      </c>
      <c r="G241" s="5" t="s">
        <v>48</v>
      </c>
      <c r="H241" s="5"/>
      <c r="I241" s="5" t="s">
        <v>47</v>
      </c>
      <c r="J241" s="7">
        <v>50</v>
      </c>
      <c r="K241" s="5" t="s">
        <v>147</v>
      </c>
      <c r="L241" s="5" t="s">
        <v>147</v>
      </c>
      <c r="M241" s="16" t="s">
        <v>148</v>
      </c>
      <c r="N241" s="5"/>
    </row>
    <row r="242" spans="1:14">
      <c r="A242" s="25">
        <v>46216</v>
      </c>
      <c r="B242" s="18" t="s">
        <v>324</v>
      </c>
      <c r="C242" s="18" t="s">
        <v>180</v>
      </c>
      <c r="D242" s="18" t="s">
        <v>6</v>
      </c>
      <c r="E242" s="18" t="s">
        <v>165</v>
      </c>
      <c r="F242" s="18" t="s">
        <v>384</v>
      </c>
      <c r="G242" s="18" t="s">
        <v>185</v>
      </c>
      <c r="H242" s="18"/>
      <c r="I242" s="18" t="s">
        <v>47</v>
      </c>
      <c r="J242" s="19">
        <v>4</v>
      </c>
      <c r="K242" s="18" t="s">
        <v>153</v>
      </c>
      <c r="L242" s="18" t="s">
        <v>153</v>
      </c>
      <c r="M242" s="17" t="s">
        <v>153</v>
      </c>
      <c r="N242" s="18"/>
    </row>
    <row r="243" spans="1:14">
      <c r="A243" s="24">
        <v>46216</v>
      </c>
      <c r="B243" s="5" t="s">
        <v>324</v>
      </c>
      <c r="C243" s="5" t="s">
        <v>180</v>
      </c>
      <c r="D243" s="5" t="s">
        <v>6</v>
      </c>
      <c r="E243" s="5" t="s">
        <v>165</v>
      </c>
      <c r="F243" s="5" t="s">
        <v>384</v>
      </c>
      <c r="G243" s="5" t="s">
        <v>217</v>
      </c>
      <c r="H243" s="5"/>
      <c r="I243" s="5" t="s">
        <v>216</v>
      </c>
      <c r="J243" s="7">
        <v>2</v>
      </c>
      <c r="K243" s="5" t="s">
        <v>147</v>
      </c>
      <c r="L243" s="5" t="s">
        <v>147</v>
      </c>
      <c r="M243" s="16" t="s">
        <v>148</v>
      </c>
      <c r="N243" s="5"/>
    </row>
    <row r="244" spans="1:14">
      <c r="A244" s="25">
        <v>46216</v>
      </c>
      <c r="B244" s="18" t="s">
        <v>324</v>
      </c>
      <c r="C244" s="18" t="s">
        <v>180</v>
      </c>
      <c r="D244" s="18" t="s">
        <v>6</v>
      </c>
      <c r="E244" s="18" t="s">
        <v>165</v>
      </c>
      <c r="F244" s="18" t="s">
        <v>384</v>
      </c>
      <c r="G244" s="18" t="s">
        <v>240</v>
      </c>
      <c r="H244" s="18"/>
      <c r="I244" s="18" t="s">
        <v>216</v>
      </c>
      <c r="J244" s="19">
        <v>2</v>
      </c>
      <c r="K244" s="18" t="s">
        <v>153</v>
      </c>
      <c r="L244" s="18" t="s">
        <v>153</v>
      </c>
      <c r="M244" s="17" t="s">
        <v>153</v>
      </c>
      <c r="N244" s="18"/>
    </row>
    <row r="245" spans="1:14">
      <c r="A245" s="24">
        <v>46216</v>
      </c>
      <c r="B245" s="5" t="s">
        <v>324</v>
      </c>
      <c r="C245" s="5" t="s">
        <v>180</v>
      </c>
      <c r="D245" s="5" t="s">
        <v>6</v>
      </c>
      <c r="E245" s="5" t="s">
        <v>165</v>
      </c>
      <c r="F245" s="5" t="s">
        <v>384</v>
      </c>
      <c r="G245" s="5" t="s">
        <v>227</v>
      </c>
      <c r="H245" s="5"/>
      <c r="I245" s="5" t="s">
        <v>216</v>
      </c>
      <c r="J245" s="7">
        <v>1</v>
      </c>
      <c r="K245" s="5" t="s">
        <v>153</v>
      </c>
      <c r="L245" s="5" t="s">
        <v>153</v>
      </c>
      <c r="M245" s="17" t="s">
        <v>153</v>
      </c>
      <c r="N245" s="5"/>
    </row>
    <row r="246" spans="1:14">
      <c r="A246" s="25">
        <v>46216</v>
      </c>
      <c r="B246" s="18" t="s">
        <v>324</v>
      </c>
      <c r="C246" s="18" t="s">
        <v>180</v>
      </c>
      <c r="D246" s="18" t="s">
        <v>6</v>
      </c>
      <c r="E246" s="18" t="s">
        <v>165</v>
      </c>
      <c r="F246" s="18" t="s">
        <v>384</v>
      </c>
      <c r="G246" s="18" t="s">
        <v>249</v>
      </c>
      <c r="H246" s="18"/>
      <c r="I246" s="18" t="s">
        <v>40</v>
      </c>
      <c r="J246" s="19">
        <v>2</v>
      </c>
      <c r="K246" s="18" t="s">
        <v>147</v>
      </c>
      <c r="L246" s="18" t="s">
        <v>147</v>
      </c>
      <c r="M246" s="16" t="s">
        <v>148</v>
      </c>
      <c r="N246" s="18"/>
    </row>
    <row r="247" spans="1:14">
      <c r="A247" s="24">
        <v>46216</v>
      </c>
      <c r="B247" s="5" t="s">
        <v>324</v>
      </c>
      <c r="C247" s="5" t="s">
        <v>180</v>
      </c>
      <c r="D247" s="5" t="s">
        <v>6</v>
      </c>
      <c r="E247" s="5" t="s">
        <v>167</v>
      </c>
      <c r="F247" s="5" t="s">
        <v>384</v>
      </c>
      <c r="G247" s="5" t="s">
        <v>234</v>
      </c>
      <c r="H247" s="5"/>
      <c r="I247" s="5" t="s">
        <v>47</v>
      </c>
      <c r="J247" s="7">
        <v>1</v>
      </c>
      <c r="K247" s="5" t="s">
        <v>147</v>
      </c>
      <c r="L247" s="5" t="s">
        <v>147</v>
      </c>
      <c r="M247" s="16" t="s">
        <v>148</v>
      </c>
      <c r="N247" s="5"/>
    </row>
    <row r="248" spans="1:14">
      <c r="A248" s="25">
        <v>46216</v>
      </c>
      <c r="B248" s="18" t="s">
        <v>324</v>
      </c>
      <c r="C248" s="18" t="s">
        <v>180</v>
      </c>
      <c r="D248" s="18" t="s">
        <v>6</v>
      </c>
      <c r="E248" s="18" t="s">
        <v>167</v>
      </c>
      <c r="F248" s="18" t="s">
        <v>384</v>
      </c>
      <c r="G248" s="18" t="s">
        <v>190</v>
      </c>
      <c r="H248" s="18"/>
      <c r="I248" s="18" t="s">
        <v>47</v>
      </c>
      <c r="J248" s="19">
        <v>1</v>
      </c>
      <c r="K248" s="18" t="s">
        <v>147</v>
      </c>
      <c r="L248" s="18" t="s">
        <v>147</v>
      </c>
      <c r="M248" s="16" t="s">
        <v>148</v>
      </c>
      <c r="N248" s="18"/>
    </row>
    <row r="249" spans="1:14">
      <c r="A249" s="24">
        <v>46216</v>
      </c>
      <c r="B249" s="5" t="s">
        <v>324</v>
      </c>
      <c r="C249" s="5" t="s">
        <v>180</v>
      </c>
      <c r="D249" s="5" t="s">
        <v>6</v>
      </c>
      <c r="E249" s="5" t="s">
        <v>167</v>
      </c>
      <c r="F249" s="5" t="s">
        <v>384</v>
      </c>
      <c r="G249" s="5" t="s">
        <v>238</v>
      </c>
      <c r="H249" s="5"/>
      <c r="I249" s="5" t="s">
        <v>47</v>
      </c>
      <c r="J249" s="7">
        <v>1</v>
      </c>
      <c r="K249" s="5" t="s">
        <v>147</v>
      </c>
      <c r="L249" s="5" t="s">
        <v>147</v>
      </c>
      <c r="M249" s="16" t="s">
        <v>148</v>
      </c>
      <c r="N249" s="5"/>
    </row>
    <row r="250" spans="1:14">
      <c r="A250" s="25">
        <v>46216</v>
      </c>
      <c r="B250" s="18" t="s">
        <v>324</v>
      </c>
      <c r="C250" s="18" t="s">
        <v>180</v>
      </c>
      <c r="D250" s="18" t="s">
        <v>6</v>
      </c>
      <c r="E250" s="18" t="s">
        <v>167</v>
      </c>
      <c r="F250" s="18" t="s">
        <v>384</v>
      </c>
      <c r="G250" s="18" t="s">
        <v>250</v>
      </c>
      <c r="H250" s="18"/>
      <c r="I250" s="18" t="s">
        <v>40</v>
      </c>
      <c r="J250" s="19">
        <v>1</v>
      </c>
      <c r="K250" s="18" t="s">
        <v>147</v>
      </c>
      <c r="L250" s="18" t="s">
        <v>147</v>
      </c>
      <c r="M250" s="16" t="s">
        <v>148</v>
      </c>
      <c r="N250" s="18"/>
    </row>
    <row r="251" spans="1:14">
      <c r="A251" s="24">
        <v>46216</v>
      </c>
      <c r="B251" s="5" t="s">
        <v>324</v>
      </c>
      <c r="C251" s="5" t="s">
        <v>180</v>
      </c>
      <c r="D251" s="5" t="s">
        <v>6</v>
      </c>
      <c r="E251" s="5" t="s">
        <v>168</v>
      </c>
      <c r="F251" s="5" t="s">
        <v>384</v>
      </c>
      <c r="G251" s="5" t="s">
        <v>236</v>
      </c>
      <c r="H251" s="5"/>
      <c r="I251" s="5" t="s">
        <v>40</v>
      </c>
      <c r="J251" s="7">
        <v>1</v>
      </c>
      <c r="K251" s="5" t="s">
        <v>147</v>
      </c>
      <c r="L251" s="5" t="s">
        <v>147</v>
      </c>
      <c r="M251" s="16" t="s">
        <v>148</v>
      </c>
      <c r="N251" s="5"/>
    </row>
    <row r="252" spans="1:14">
      <c r="A252" s="25">
        <v>46216</v>
      </c>
      <c r="B252" s="18" t="s">
        <v>324</v>
      </c>
      <c r="C252" s="18" t="s">
        <v>180</v>
      </c>
      <c r="D252" s="18" t="s">
        <v>6</v>
      </c>
      <c r="E252" s="18" t="s">
        <v>168</v>
      </c>
      <c r="F252" s="18" t="s">
        <v>384</v>
      </c>
      <c r="G252" s="18" t="s">
        <v>230</v>
      </c>
      <c r="H252" s="18"/>
      <c r="I252" s="18" t="s">
        <v>47</v>
      </c>
      <c r="J252" s="19">
        <v>1</v>
      </c>
      <c r="K252" s="18" t="s">
        <v>147</v>
      </c>
      <c r="L252" s="18" t="s">
        <v>147</v>
      </c>
      <c r="M252" s="16" t="s">
        <v>148</v>
      </c>
      <c r="N252" s="18"/>
    </row>
    <row r="253" spans="1:14">
      <c r="A253" s="24">
        <v>46216</v>
      </c>
      <c r="B253" s="5" t="s">
        <v>324</v>
      </c>
      <c r="C253" s="5" t="s">
        <v>180</v>
      </c>
      <c r="D253" s="5" t="s">
        <v>6</v>
      </c>
      <c r="E253" s="5" t="s">
        <v>168</v>
      </c>
      <c r="F253" s="5" t="s">
        <v>384</v>
      </c>
      <c r="G253" s="5" t="s">
        <v>186</v>
      </c>
      <c r="H253" s="5"/>
      <c r="I253" s="5" t="s">
        <v>40</v>
      </c>
      <c r="J253" s="7">
        <v>2</v>
      </c>
      <c r="K253" s="5" t="s">
        <v>153</v>
      </c>
      <c r="L253" s="5" t="s">
        <v>153</v>
      </c>
      <c r="M253" s="17" t="s">
        <v>153</v>
      </c>
      <c r="N253" s="5"/>
    </row>
    <row r="254" spans="1:14">
      <c r="A254" s="25">
        <v>46216</v>
      </c>
      <c r="B254" s="18" t="s">
        <v>324</v>
      </c>
      <c r="C254" s="18" t="s">
        <v>180</v>
      </c>
      <c r="D254" s="18" t="s">
        <v>6</v>
      </c>
      <c r="E254" s="18" t="s">
        <v>168</v>
      </c>
      <c r="F254" s="18" t="s">
        <v>384</v>
      </c>
      <c r="G254" s="18" t="s">
        <v>269</v>
      </c>
      <c r="H254" s="18"/>
      <c r="I254" s="18" t="s">
        <v>40</v>
      </c>
      <c r="J254" s="19">
        <v>1</v>
      </c>
      <c r="K254" s="18" t="s">
        <v>147</v>
      </c>
      <c r="L254" s="18" t="s">
        <v>147</v>
      </c>
      <c r="M254" s="16" t="s">
        <v>148</v>
      </c>
      <c r="N254" s="18"/>
    </row>
    <row r="255" spans="1:14">
      <c r="A255" s="24">
        <v>46216</v>
      </c>
      <c r="B255" s="5" t="s">
        <v>324</v>
      </c>
      <c r="C255" s="5" t="s">
        <v>180</v>
      </c>
      <c r="D255" s="5" t="s">
        <v>6</v>
      </c>
      <c r="E255" s="5" t="s">
        <v>168</v>
      </c>
      <c r="F255" s="5" t="s">
        <v>384</v>
      </c>
      <c r="G255" s="5" t="s">
        <v>253</v>
      </c>
      <c r="H255" s="5"/>
      <c r="I255" s="5" t="s">
        <v>216</v>
      </c>
      <c r="J255" s="7">
        <v>1</v>
      </c>
      <c r="K255" s="5" t="s">
        <v>147</v>
      </c>
      <c r="L255" s="5" t="s">
        <v>147</v>
      </c>
      <c r="M255" s="16" t="s">
        <v>148</v>
      </c>
      <c r="N255" s="5"/>
    </row>
    <row r="256" spans="1:14">
      <c r="A256" s="25">
        <v>46216</v>
      </c>
      <c r="B256" s="18" t="s">
        <v>324</v>
      </c>
      <c r="C256" s="18" t="s">
        <v>180</v>
      </c>
      <c r="D256" s="18" t="s">
        <v>6</v>
      </c>
      <c r="E256" s="18" t="s">
        <v>169</v>
      </c>
      <c r="F256" s="18" t="s">
        <v>384</v>
      </c>
      <c r="G256" s="18" t="s">
        <v>46</v>
      </c>
      <c r="H256" s="18"/>
      <c r="I256" s="18" t="s">
        <v>47</v>
      </c>
      <c r="J256" s="19">
        <v>30</v>
      </c>
      <c r="K256" s="18" t="s">
        <v>153</v>
      </c>
      <c r="L256" s="18" t="s">
        <v>153</v>
      </c>
      <c r="M256" s="17" t="s">
        <v>153</v>
      </c>
      <c r="N256" s="18"/>
    </row>
    <row r="257" spans="1:14">
      <c r="A257" s="24">
        <v>46216</v>
      </c>
      <c r="B257" s="5" t="s">
        <v>324</v>
      </c>
      <c r="C257" s="5" t="s">
        <v>180</v>
      </c>
      <c r="D257" s="5" t="s">
        <v>6</v>
      </c>
      <c r="E257" s="5" t="s">
        <v>169</v>
      </c>
      <c r="F257" s="5" t="s">
        <v>384</v>
      </c>
      <c r="G257" s="5" t="s">
        <v>259</v>
      </c>
      <c r="H257" s="5"/>
      <c r="I257" s="5" t="s">
        <v>40</v>
      </c>
      <c r="J257" s="7">
        <v>1</v>
      </c>
      <c r="K257" s="5" t="s">
        <v>147</v>
      </c>
      <c r="L257" s="5" t="s">
        <v>147</v>
      </c>
      <c r="M257" s="16" t="s">
        <v>148</v>
      </c>
      <c r="N257" s="5"/>
    </row>
    <row r="258" spans="1:14">
      <c r="A258" s="25">
        <v>46216</v>
      </c>
      <c r="B258" s="18" t="s">
        <v>324</v>
      </c>
      <c r="C258" s="18" t="s">
        <v>180</v>
      </c>
      <c r="D258" s="18" t="s">
        <v>6</v>
      </c>
      <c r="E258" s="18" t="s">
        <v>169</v>
      </c>
      <c r="F258" s="18" t="s">
        <v>384</v>
      </c>
      <c r="G258" s="18" t="s">
        <v>193</v>
      </c>
      <c r="H258" s="18"/>
      <c r="I258" s="18" t="s">
        <v>216</v>
      </c>
      <c r="J258" s="19">
        <v>4</v>
      </c>
      <c r="K258" s="18" t="s">
        <v>147</v>
      </c>
      <c r="L258" s="18" t="s">
        <v>147</v>
      </c>
      <c r="M258" s="16" t="s">
        <v>148</v>
      </c>
      <c r="N258" s="18"/>
    </row>
    <row r="259" spans="1:14">
      <c r="A259" s="24">
        <v>46218</v>
      </c>
      <c r="B259" s="5" t="s">
        <v>324</v>
      </c>
      <c r="C259" s="5" t="s">
        <v>180</v>
      </c>
      <c r="D259" s="5" t="s">
        <v>6</v>
      </c>
      <c r="E259" s="5" t="s">
        <v>165</v>
      </c>
      <c r="F259" s="5" t="s">
        <v>384</v>
      </c>
      <c r="G259" s="5" t="s">
        <v>301</v>
      </c>
      <c r="H259" s="5"/>
      <c r="I259" s="5" t="s">
        <v>257</v>
      </c>
      <c r="J259" s="7">
        <v>1</v>
      </c>
      <c r="K259" s="5" t="s">
        <v>147</v>
      </c>
      <c r="L259" s="5" t="s">
        <v>147</v>
      </c>
      <c r="M259" s="16" t="s">
        <v>148</v>
      </c>
      <c r="N259" s="5"/>
    </row>
    <row r="260" spans="1:14">
      <c r="A260" s="25">
        <v>46223</v>
      </c>
      <c r="B260" s="18" t="s">
        <v>325</v>
      </c>
      <c r="C260" s="18" t="s">
        <v>180</v>
      </c>
      <c r="D260" s="18" t="s">
        <v>6</v>
      </c>
      <c r="E260" s="18" t="s">
        <v>163</v>
      </c>
      <c r="F260" s="18" t="s">
        <v>394</v>
      </c>
      <c r="G260" s="18" t="s">
        <v>185</v>
      </c>
      <c r="H260" s="18"/>
      <c r="I260" s="18" t="s">
        <v>47</v>
      </c>
      <c r="J260" s="19">
        <v>2</v>
      </c>
      <c r="K260" s="18" t="s">
        <v>153</v>
      </c>
      <c r="L260" s="18" t="s">
        <v>153</v>
      </c>
      <c r="M260" s="17" t="s">
        <v>153</v>
      </c>
      <c r="N260" s="18"/>
    </row>
    <row r="261" spans="1:14">
      <c r="A261" s="24">
        <v>46223</v>
      </c>
      <c r="B261" s="5" t="s">
        <v>325</v>
      </c>
      <c r="C261" s="5" t="s">
        <v>180</v>
      </c>
      <c r="D261" s="5" t="s">
        <v>6</v>
      </c>
      <c r="E261" s="5" t="s">
        <v>163</v>
      </c>
      <c r="F261" s="5" t="s">
        <v>394</v>
      </c>
      <c r="G261" s="5" t="s">
        <v>274</v>
      </c>
      <c r="H261" s="5"/>
      <c r="I261" s="5" t="s">
        <v>257</v>
      </c>
      <c r="J261" s="7">
        <v>1</v>
      </c>
      <c r="K261" s="5" t="s">
        <v>153</v>
      </c>
      <c r="L261" s="5" t="s">
        <v>153</v>
      </c>
      <c r="M261" s="17" t="s">
        <v>153</v>
      </c>
      <c r="N261" s="5"/>
    </row>
    <row r="262" spans="1:14">
      <c r="A262" s="25">
        <v>46223</v>
      </c>
      <c r="B262" s="18" t="s">
        <v>325</v>
      </c>
      <c r="C262" s="18" t="s">
        <v>180</v>
      </c>
      <c r="D262" s="18" t="s">
        <v>6</v>
      </c>
      <c r="E262" s="18" t="s">
        <v>167</v>
      </c>
      <c r="F262" s="18" t="s">
        <v>394</v>
      </c>
      <c r="G262" s="18" t="s">
        <v>220</v>
      </c>
      <c r="H262" s="18"/>
      <c r="I262" s="18" t="s">
        <v>40</v>
      </c>
      <c r="J262" s="19">
        <v>4</v>
      </c>
      <c r="K262" s="18" t="s">
        <v>147</v>
      </c>
      <c r="L262" s="18" t="s">
        <v>147</v>
      </c>
      <c r="M262" s="16" t="s">
        <v>148</v>
      </c>
      <c r="N262" s="18"/>
    </row>
    <row r="263" spans="1:14">
      <c r="A263" s="24">
        <v>46223</v>
      </c>
      <c r="B263" s="5" t="s">
        <v>325</v>
      </c>
      <c r="C263" s="5" t="s">
        <v>180</v>
      </c>
      <c r="D263" s="5" t="s">
        <v>6</v>
      </c>
      <c r="E263" s="5" t="s">
        <v>167</v>
      </c>
      <c r="F263" s="5" t="s">
        <v>394</v>
      </c>
      <c r="G263" s="5" t="s">
        <v>48</v>
      </c>
      <c r="H263" s="5"/>
      <c r="I263" s="5" t="s">
        <v>47</v>
      </c>
      <c r="J263" s="7">
        <v>25</v>
      </c>
      <c r="K263" s="5" t="s">
        <v>147</v>
      </c>
      <c r="L263" s="5" t="s">
        <v>147</v>
      </c>
      <c r="M263" s="16" t="s">
        <v>148</v>
      </c>
      <c r="N263" s="5"/>
    </row>
    <row r="264" spans="1:14">
      <c r="A264" s="25">
        <v>46223</v>
      </c>
      <c r="B264" s="18" t="s">
        <v>325</v>
      </c>
      <c r="C264" s="18" t="s">
        <v>180</v>
      </c>
      <c r="D264" s="18" t="s">
        <v>6</v>
      </c>
      <c r="E264" s="18" t="s">
        <v>167</v>
      </c>
      <c r="F264" s="18" t="s">
        <v>394</v>
      </c>
      <c r="G264" s="18" t="s">
        <v>186</v>
      </c>
      <c r="H264" s="18"/>
      <c r="I264" s="18" t="s">
        <v>40</v>
      </c>
      <c r="J264" s="19">
        <v>2</v>
      </c>
      <c r="K264" s="18" t="s">
        <v>153</v>
      </c>
      <c r="L264" s="18" t="s">
        <v>153</v>
      </c>
      <c r="M264" s="17" t="s">
        <v>153</v>
      </c>
      <c r="N264" s="18"/>
    </row>
    <row r="265" spans="1:14">
      <c r="A265" s="24">
        <v>46223</v>
      </c>
      <c r="B265" s="5" t="s">
        <v>325</v>
      </c>
      <c r="C265" s="5" t="s">
        <v>180</v>
      </c>
      <c r="D265" s="5" t="s">
        <v>6</v>
      </c>
      <c r="E265" s="5" t="s">
        <v>167</v>
      </c>
      <c r="F265" s="5" t="s">
        <v>394</v>
      </c>
      <c r="G265" s="5" t="s">
        <v>39</v>
      </c>
      <c r="H265" s="5"/>
      <c r="I265" s="5" t="s">
        <v>40</v>
      </c>
      <c r="J265" s="7">
        <v>100</v>
      </c>
      <c r="K265" s="5" t="s">
        <v>147</v>
      </c>
      <c r="L265" s="5" t="s">
        <v>147</v>
      </c>
      <c r="M265" s="16" t="s">
        <v>148</v>
      </c>
      <c r="N265" s="5"/>
    </row>
    <row r="266" spans="1:14">
      <c r="A266" s="25">
        <v>46223</v>
      </c>
      <c r="B266" s="18" t="s">
        <v>325</v>
      </c>
      <c r="C266" s="18" t="s">
        <v>180</v>
      </c>
      <c r="D266" s="18" t="s">
        <v>6</v>
      </c>
      <c r="E266" s="18" t="s">
        <v>167</v>
      </c>
      <c r="F266" s="18" t="s">
        <v>394</v>
      </c>
      <c r="G266" s="18" t="s">
        <v>187</v>
      </c>
      <c r="H266" s="18"/>
      <c r="I266" s="18" t="s">
        <v>216</v>
      </c>
      <c r="J266" s="19">
        <v>1</v>
      </c>
      <c r="K266" s="18" t="s">
        <v>153</v>
      </c>
      <c r="L266" s="18" t="s">
        <v>153</v>
      </c>
      <c r="M266" s="17" t="s">
        <v>153</v>
      </c>
      <c r="N266" s="18"/>
    </row>
    <row r="267" spans="1:14">
      <c r="A267" s="24">
        <v>46223</v>
      </c>
      <c r="B267" s="5" t="s">
        <v>325</v>
      </c>
      <c r="C267" s="5" t="s">
        <v>180</v>
      </c>
      <c r="D267" s="5" t="s">
        <v>6</v>
      </c>
      <c r="E267" s="5" t="s">
        <v>167</v>
      </c>
      <c r="F267" s="5" t="s">
        <v>394</v>
      </c>
      <c r="G267" s="5" t="s">
        <v>297</v>
      </c>
      <c r="H267" s="5" t="s">
        <v>297</v>
      </c>
      <c r="I267" s="5" t="s">
        <v>298</v>
      </c>
      <c r="J267" s="7">
        <v>1</v>
      </c>
      <c r="K267" s="5" t="s">
        <v>153</v>
      </c>
      <c r="L267" s="5" t="s">
        <v>153</v>
      </c>
      <c r="M267" s="17" t="s">
        <v>153</v>
      </c>
      <c r="N267" s="5" t="s">
        <v>395</v>
      </c>
    </row>
    <row r="268" spans="1:14">
      <c r="A268" s="25">
        <v>46223</v>
      </c>
      <c r="B268" s="18" t="s">
        <v>325</v>
      </c>
      <c r="C268" s="18" t="s">
        <v>180</v>
      </c>
      <c r="D268" s="18" t="s">
        <v>6</v>
      </c>
      <c r="E268" s="18" t="s">
        <v>167</v>
      </c>
      <c r="F268" s="18" t="s">
        <v>394</v>
      </c>
      <c r="G268" s="18" t="s">
        <v>235</v>
      </c>
      <c r="H268" s="18"/>
      <c r="I268" s="18" t="s">
        <v>47</v>
      </c>
      <c r="J268" s="19">
        <v>1</v>
      </c>
      <c r="K268" s="18" t="s">
        <v>147</v>
      </c>
      <c r="L268" s="18" t="s">
        <v>147</v>
      </c>
      <c r="M268" s="16" t="s">
        <v>148</v>
      </c>
      <c r="N268" s="18"/>
    </row>
    <row r="269" spans="1:14">
      <c r="A269" s="24">
        <v>46223</v>
      </c>
      <c r="B269" s="5" t="s">
        <v>325</v>
      </c>
      <c r="C269" s="5" t="s">
        <v>180</v>
      </c>
      <c r="D269" s="5" t="s">
        <v>6</v>
      </c>
      <c r="E269" s="5" t="s">
        <v>167</v>
      </c>
      <c r="F269" s="5" t="s">
        <v>394</v>
      </c>
      <c r="G269" s="5" t="s">
        <v>238</v>
      </c>
      <c r="H269" s="5"/>
      <c r="I269" s="5" t="s">
        <v>47</v>
      </c>
      <c r="J269" s="7">
        <v>1</v>
      </c>
      <c r="K269" s="5" t="s">
        <v>147</v>
      </c>
      <c r="L269" s="5" t="s">
        <v>147</v>
      </c>
      <c r="M269" s="16" t="s">
        <v>148</v>
      </c>
      <c r="N269" s="5"/>
    </row>
    <row r="270" spans="1:14">
      <c r="A270" s="25">
        <v>46223</v>
      </c>
      <c r="B270" s="18" t="s">
        <v>325</v>
      </c>
      <c r="C270" s="18" t="s">
        <v>180</v>
      </c>
      <c r="D270" s="18" t="s">
        <v>6</v>
      </c>
      <c r="E270" s="18" t="s">
        <v>167</v>
      </c>
      <c r="F270" s="18" t="s">
        <v>394</v>
      </c>
      <c r="G270" s="18" t="s">
        <v>271</v>
      </c>
      <c r="H270" s="18"/>
      <c r="I270" s="18" t="s">
        <v>47</v>
      </c>
      <c r="J270" s="19">
        <v>1</v>
      </c>
      <c r="K270" s="18" t="s">
        <v>147</v>
      </c>
      <c r="L270" s="18" t="s">
        <v>147</v>
      </c>
      <c r="M270" s="16" t="s">
        <v>148</v>
      </c>
      <c r="N270" s="18"/>
    </row>
    <row r="271" spans="1:14">
      <c r="A271" s="24">
        <v>46223</v>
      </c>
      <c r="B271" s="5" t="s">
        <v>325</v>
      </c>
      <c r="C271" s="5" t="s">
        <v>180</v>
      </c>
      <c r="D271" s="5" t="s">
        <v>6</v>
      </c>
      <c r="E271" s="5" t="s">
        <v>167</v>
      </c>
      <c r="F271" s="5" t="s">
        <v>394</v>
      </c>
      <c r="G271" s="5" t="s">
        <v>185</v>
      </c>
      <c r="H271" s="5"/>
      <c r="I271" s="5" t="s">
        <v>47</v>
      </c>
      <c r="J271" s="7">
        <v>1</v>
      </c>
      <c r="K271" s="5" t="s">
        <v>153</v>
      </c>
      <c r="L271" s="5" t="s">
        <v>153</v>
      </c>
      <c r="M271" s="17" t="s">
        <v>153</v>
      </c>
      <c r="N271" s="5"/>
    </row>
    <row r="272" spans="1:14">
      <c r="A272" s="25">
        <v>46223</v>
      </c>
      <c r="B272" s="18" t="s">
        <v>325</v>
      </c>
      <c r="C272" s="18" t="s">
        <v>180</v>
      </c>
      <c r="D272" s="18" t="s">
        <v>6</v>
      </c>
      <c r="E272" s="18" t="s">
        <v>167</v>
      </c>
      <c r="F272" s="18" t="s">
        <v>394</v>
      </c>
      <c r="G272" s="18" t="s">
        <v>236</v>
      </c>
      <c r="H272" s="18"/>
      <c r="I272" s="18" t="s">
        <v>40</v>
      </c>
      <c r="J272" s="19">
        <v>1</v>
      </c>
      <c r="K272" s="18" t="s">
        <v>147</v>
      </c>
      <c r="L272" s="18" t="s">
        <v>147</v>
      </c>
      <c r="M272" s="16" t="s">
        <v>148</v>
      </c>
      <c r="N272" s="18"/>
    </row>
    <row r="273" spans="1:14">
      <c r="A273" s="24">
        <v>46223</v>
      </c>
      <c r="B273" s="5" t="s">
        <v>325</v>
      </c>
      <c r="C273" s="5" t="s">
        <v>180</v>
      </c>
      <c r="D273" s="5" t="s">
        <v>6</v>
      </c>
      <c r="E273" s="5" t="s">
        <v>168</v>
      </c>
      <c r="F273" s="5" t="s">
        <v>396</v>
      </c>
      <c r="G273" s="5" t="s">
        <v>263</v>
      </c>
      <c r="H273" s="5"/>
      <c r="I273" s="5" t="s">
        <v>47</v>
      </c>
      <c r="J273" s="7">
        <v>1</v>
      </c>
      <c r="K273" s="5" t="s">
        <v>147</v>
      </c>
      <c r="L273" s="5" t="s">
        <v>147</v>
      </c>
      <c r="M273" s="16" t="s">
        <v>148</v>
      </c>
      <c r="N273" s="5"/>
    </row>
    <row r="274" spans="1:14">
      <c r="A274" s="25">
        <v>46223</v>
      </c>
      <c r="B274" s="18" t="s">
        <v>325</v>
      </c>
      <c r="C274" s="18" t="s">
        <v>180</v>
      </c>
      <c r="D274" s="18" t="s">
        <v>6</v>
      </c>
      <c r="E274" s="18" t="s">
        <v>168</v>
      </c>
      <c r="F274" s="18" t="s">
        <v>396</v>
      </c>
      <c r="G274" s="18" t="s">
        <v>300</v>
      </c>
      <c r="H274" s="18"/>
      <c r="I274" s="18" t="s">
        <v>47</v>
      </c>
      <c r="J274" s="19">
        <v>1</v>
      </c>
      <c r="K274" s="18" t="s">
        <v>153</v>
      </c>
      <c r="L274" s="18" t="s">
        <v>153</v>
      </c>
      <c r="M274" s="17" t="s">
        <v>153</v>
      </c>
      <c r="N274" s="18"/>
    </row>
    <row r="275" spans="1:14">
      <c r="A275" s="24">
        <v>46223</v>
      </c>
      <c r="B275" s="5" t="s">
        <v>325</v>
      </c>
      <c r="C275" s="5" t="s">
        <v>180</v>
      </c>
      <c r="D275" s="5" t="s">
        <v>6</v>
      </c>
      <c r="E275" s="5" t="s">
        <v>168</v>
      </c>
      <c r="F275" s="5" t="s">
        <v>396</v>
      </c>
      <c r="G275" s="5" t="s">
        <v>275</v>
      </c>
      <c r="H275" s="5"/>
      <c r="I275" s="5" t="s">
        <v>219</v>
      </c>
      <c r="J275" s="7">
        <v>5</v>
      </c>
      <c r="K275" s="5" t="s">
        <v>147</v>
      </c>
      <c r="L275" s="5" t="s">
        <v>147</v>
      </c>
      <c r="M275" s="16" t="s">
        <v>148</v>
      </c>
      <c r="N275" s="5"/>
    </row>
    <row r="276" spans="1:14">
      <c r="A276" s="25">
        <v>46223</v>
      </c>
      <c r="B276" s="18" t="s">
        <v>325</v>
      </c>
      <c r="C276" s="18" t="s">
        <v>180</v>
      </c>
      <c r="D276" s="18" t="s">
        <v>6</v>
      </c>
      <c r="E276" s="18" t="s">
        <v>168</v>
      </c>
      <c r="F276" s="18" t="s">
        <v>396</v>
      </c>
      <c r="G276" s="18" t="s">
        <v>187</v>
      </c>
      <c r="H276" s="18"/>
      <c r="I276" s="18" t="s">
        <v>216</v>
      </c>
      <c r="J276" s="19">
        <v>1</v>
      </c>
      <c r="K276" s="18" t="s">
        <v>153</v>
      </c>
      <c r="L276" s="18" t="s">
        <v>153</v>
      </c>
      <c r="M276" s="17" t="s">
        <v>153</v>
      </c>
      <c r="N276" s="18"/>
    </row>
    <row r="277" spans="1:14">
      <c r="A277" s="24">
        <v>46223</v>
      </c>
      <c r="B277" s="5" t="s">
        <v>325</v>
      </c>
      <c r="C277" s="5" t="s">
        <v>180</v>
      </c>
      <c r="D277" s="5" t="s">
        <v>6</v>
      </c>
      <c r="E277" s="5" t="s">
        <v>168</v>
      </c>
      <c r="F277" s="5" t="s">
        <v>396</v>
      </c>
      <c r="G277" s="5" t="s">
        <v>185</v>
      </c>
      <c r="H277" s="5"/>
      <c r="I277" s="5" t="s">
        <v>47</v>
      </c>
      <c r="J277" s="7">
        <v>2</v>
      </c>
      <c r="K277" s="5" t="s">
        <v>153</v>
      </c>
      <c r="L277" s="5" t="s">
        <v>153</v>
      </c>
      <c r="M277" s="17" t="s">
        <v>153</v>
      </c>
      <c r="N277" s="5"/>
    </row>
    <row r="278" spans="1:14">
      <c r="A278" s="25">
        <v>46223</v>
      </c>
      <c r="B278" s="18" t="s">
        <v>325</v>
      </c>
      <c r="C278" s="18" t="s">
        <v>180</v>
      </c>
      <c r="D278" s="18" t="s">
        <v>6</v>
      </c>
      <c r="E278" s="18" t="s">
        <v>168</v>
      </c>
      <c r="F278" s="18" t="s">
        <v>396</v>
      </c>
      <c r="G278" s="18" t="s">
        <v>190</v>
      </c>
      <c r="H278" s="18"/>
      <c r="I278" s="18" t="s">
        <v>47</v>
      </c>
      <c r="J278" s="19">
        <v>1</v>
      </c>
      <c r="K278" s="18" t="s">
        <v>147</v>
      </c>
      <c r="L278" s="18" t="s">
        <v>147</v>
      </c>
      <c r="M278" s="16" t="s">
        <v>148</v>
      </c>
      <c r="N278" s="18"/>
    </row>
    <row r="279" spans="1:14">
      <c r="A279" s="24">
        <v>46223</v>
      </c>
      <c r="B279" s="5" t="s">
        <v>325</v>
      </c>
      <c r="C279" s="5" t="s">
        <v>180</v>
      </c>
      <c r="D279" s="5" t="s">
        <v>6</v>
      </c>
      <c r="E279" s="5" t="s">
        <v>168</v>
      </c>
      <c r="F279" s="5" t="s">
        <v>396</v>
      </c>
      <c r="G279" s="5" t="s">
        <v>278</v>
      </c>
      <c r="H279" s="5"/>
      <c r="I279" s="5" t="s">
        <v>257</v>
      </c>
      <c r="J279" s="7">
        <v>3</v>
      </c>
      <c r="K279" s="5" t="s">
        <v>153</v>
      </c>
      <c r="L279" s="5" t="s">
        <v>153</v>
      </c>
      <c r="M279" s="17" t="s">
        <v>153</v>
      </c>
      <c r="N279" s="5"/>
    </row>
    <row r="280" spans="1:14">
      <c r="A280" s="25">
        <v>46223</v>
      </c>
      <c r="B280" s="18" t="s">
        <v>325</v>
      </c>
      <c r="C280" s="18" t="s">
        <v>180</v>
      </c>
      <c r="D280" s="18" t="s">
        <v>6</v>
      </c>
      <c r="E280" s="18" t="s">
        <v>168</v>
      </c>
      <c r="F280" s="18" t="s">
        <v>396</v>
      </c>
      <c r="G280" s="18" t="s">
        <v>215</v>
      </c>
      <c r="H280" s="18"/>
      <c r="I280" s="18" t="s">
        <v>216</v>
      </c>
      <c r="J280" s="19">
        <v>3</v>
      </c>
      <c r="K280" s="18" t="s">
        <v>147</v>
      </c>
      <c r="L280" s="18" t="s">
        <v>147</v>
      </c>
      <c r="M280" s="16" t="s">
        <v>148</v>
      </c>
      <c r="N280" s="18"/>
    </row>
    <row r="281" spans="1:14">
      <c r="A281" s="24">
        <v>46223</v>
      </c>
      <c r="B281" s="5" t="s">
        <v>325</v>
      </c>
      <c r="C281" s="5" t="s">
        <v>180</v>
      </c>
      <c r="D281" s="5" t="s">
        <v>6</v>
      </c>
      <c r="E281" s="5" t="s">
        <v>168</v>
      </c>
      <c r="F281" s="5" t="s">
        <v>396</v>
      </c>
      <c r="G281" s="5" t="s">
        <v>225</v>
      </c>
      <c r="H281" s="5"/>
      <c r="I281" s="5" t="s">
        <v>216</v>
      </c>
      <c r="J281" s="7">
        <v>2</v>
      </c>
      <c r="K281" s="5" t="s">
        <v>147</v>
      </c>
      <c r="L281" s="5" t="s">
        <v>147</v>
      </c>
      <c r="M281" s="16" t="s">
        <v>148</v>
      </c>
      <c r="N281" s="5"/>
    </row>
    <row r="282" spans="1:14">
      <c r="A282" s="25">
        <v>46223</v>
      </c>
      <c r="B282" s="18" t="s">
        <v>325</v>
      </c>
      <c r="C282" s="18" t="s">
        <v>180</v>
      </c>
      <c r="D282" s="18" t="s">
        <v>6</v>
      </c>
      <c r="E282" s="18" t="s">
        <v>168</v>
      </c>
      <c r="F282" s="18" t="s">
        <v>396</v>
      </c>
      <c r="G282" s="18" t="s">
        <v>41</v>
      </c>
      <c r="H282" s="18"/>
      <c r="I282" s="18" t="s">
        <v>40</v>
      </c>
      <c r="J282" s="19">
        <v>200</v>
      </c>
      <c r="K282" s="18" t="s">
        <v>147</v>
      </c>
      <c r="L282" s="18" t="s">
        <v>147</v>
      </c>
      <c r="M282" s="16" t="s">
        <v>148</v>
      </c>
      <c r="N282" s="18"/>
    </row>
    <row r="283" spans="1:14">
      <c r="A283" s="24">
        <v>46223</v>
      </c>
      <c r="B283" s="5" t="s">
        <v>325</v>
      </c>
      <c r="C283" s="5" t="s">
        <v>180</v>
      </c>
      <c r="D283" s="5" t="s">
        <v>6</v>
      </c>
      <c r="E283" s="5" t="s">
        <v>168</v>
      </c>
      <c r="F283" s="5" t="s">
        <v>396</v>
      </c>
      <c r="G283" s="5" t="s">
        <v>42</v>
      </c>
      <c r="H283" s="5"/>
      <c r="I283" s="5" t="s">
        <v>40</v>
      </c>
      <c r="J283" s="7">
        <v>200</v>
      </c>
      <c r="K283" s="5" t="s">
        <v>147</v>
      </c>
      <c r="L283" s="5" t="s">
        <v>147</v>
      </c>
      <c r="M283" s="16" t="s">
        <v>148</v>
      </c>
      <c r="N283" s="5"/>
    </row>
    <row r="284" spans="1:14">
      <c r="A284" s="25">
        <v>46223</v>
      </c>
      <c r="B284" s="18" t="s">
        <v>325</v>
      </c>
      <c r="C284" s="18" t="s">
        <v>180</v>
      </c>
      <c r="D284" s="18" t="s">
        <v>6</v>
      </c>
      <c r="E284" s="18" t="s">
        <v>169</v>
      </c>
      <c r="F284" s="18" t="s">
        <v>394</v>
      </c>
      <c r="G284" s="18" t="s">
        <v>186</v>
      </c>
      <c r="H284" s="18"/>
      <c r="I284" s="18" t="s">
        <v>40</v>
      </c>
      <c r="J284" s="19">
        <v>2</v>
      </c>
      <c r="K284" s="18" t="s">
        <v>153</v>
      </c>
      <c r="L284" s="18" t="s">
        <v>153</v>
      </c>
      <c r="M284" s="17" t="s">
        <v>153</v>
      </c>
      <c r="N284" s="18"/>
    </row>
    <row r="285" spans="1:14">
      <c r="A285" s="24">
        <v>46223</v>
      </c>
      <c r="B285" s="5" t="s">
        <v>325</v>
      </c>
      <c r="C285" s="5" t="s">
        <v>180</v>
      </c>
      <c r="D285" s="5" t="s">
        <v>6</v>
      </c>
      <c r="E285" s="5" t="s">
        <v>169</v>
      </c>
      <c r="F285" s="5" t="s">
        <v>394</v>
      </c>
      <c r="G285" s="5" t="s">
        <v>244</v>
      </c>
      <c r="H285" s="5"/>
      <c r="I285" s="5" t="s">
        <v>40</v>
      </c>
      <c r="J285" s="7">
        <v>2</v>
      </c>
      <c r="K285" s="5" t="s">
        <v>147</v>
      </c>
      <c r="L285" s="5" t="s">
        <v>147</v>
      </c>
      <c r="M285" s="16" t="s">
        <v>148</v>
      </c>
      <c r="N285" s="5"/>
    </row>
    <row r="286" spans="1:14">
      <c r="A286" s="25">
        <v>46223</v>
      </c>
      <c r="B286" s="18" t="s">
        <v>325</v>
      </c>
      <c r="C286" s="18" t="s">
        <v>180</v>
      </c>
      <c r="D286" s="18" t="s">
        <v>6</v>
      </c>
      <c r="E286" s="18" t="s">
        <v>169</v>
      </c>
      <c r="F286" s="18" t="s">
        <v>394</v>
      </c>
      <c r="G286" s="18" t="s">
        <v>187</v>
      </c>
      <c r="H286" s="18"/>
      <c r="I286" s="18" t="s">
        <v>216</v>
      </c>
      <c r="J286" s="19">
        <v>2</v>
      </c>
      <c r="K286" s="18" t="s">
        <v>153</v>
      </c>
      <c r="L286" s="18" t="s">
        <v>153</v>
      </c>
      <c r="M286" s="17" t="s">
        <v>153</v>
      </c>
      <c r="N286" s="18"/>
    </row>
    <row r="287" spans="1:14">
      <c r="A287" s="24">
        <v>46223</v>
      </c>
      <c r="B287" s="5" t="s">
        <v>325</v>
      </c>
      <c r="C287" s="5" t="s">
        <v>180</v>
      </c>
      <c r="D287" s="5" t="s">
        <v>6</v>
      </c>
      <c r="E287" s="5" t="s">
        <v>169</v>
      </c>
      <c r="F287" s="5" t="s">
        <v>394</v>
      </c>
      <c r="G287" s="5" t="s">
        <v>269</v>
      </c>
      <c r="H287" s="5"/>
      <c r="I287" s="5" t="s">
        <v>40</v>
      </c>
      <c r="J287" s="7">
        <v>3</v>
      </c>
      <c r="K287" s="5" t="s">
        <v>147</v>
      </c>
      <c r="L287" s="5" t="s">
        <v>147</v>
      </c>
      <c r="M287" s="16" t="s">
        <v>148</v>
      </c>
      <c r="N287" s="5"/>
    </row>
    <row r="288" spans="1:14">
      <c r="A288" s="25">
        <v>46223</v>
      </c>
      <c r="B288" s="18" t="s">
        <v>325</v>
      </c>
      <c r="C288" s="18" t="s">
        <v>180</v>
      </c>
      <c r="D288" s="18" t="s">
        <v>6</v>
      </c>
      <c r="E288" s="18" t="s">
        <v>169</v>
      </c>
      <c r="F288" s="18" t="s">
        <v>394</v>
      </c>
      <c r="G288" s="18" t="s">
        <v>220</v>
      </c>
      <c r="H288" s="18"/>
      <c r="I288" s="18" t="s">
        <v>40</v>
      </c>
      <c r="J288" s="19">
        <v>5</v>
      </c>
      <c r="K288" s="18" t="s">
        <v>147</v>
      </c>
      <c r="L288" s="18" t="s">
        <v>147</v>
      </c>
      <c r="M288" s="16" t="s">
        <v>148</v>
      </c>
      <c r="N288" s="18"/>
    </row>
    <row r="289" spans="1:14">
      <c r="A289" s="24">
        <v>46223</v>
      </c>
      <c r="B289" s="5" t="s">
        <v>325</v>
      </c>
      <c r="C289" s="5" t="s">
        <v>180</v>
      </c>
      <c r="D289" s="5" t="s">
        <v>6</v>
      </c>
      <c r="E289" s="5" t="s">
        <v>169</v>
      </c>
      <c r="F289" s="5" t="s">
        <v>394</v>
      </c>
      <c r="G289" s="5" t="s">
        <v>189</v>
      </c>
      <c r="H289" s="5"/>
      <c r="I289" s="5" t="s">
        <v>47</v>
      </c>
      <c r="J289" s="7">
        <v>3</v>
      </c>
      <c r="K289" s="5" t="s">
        <v>147</v>
      </c>
      <c r="L289" s="5" t="s">
        <v>147</v>
      </c>
      <c r="M289" s="16" t="s">
        <v>148</v>
      </c>
      <c r="N289" s="5"/>
    </row>
    <row r="290" spans="1:14">
      <c r="A290" s="25">
        <v>46223</v>
      </c>
      <c r="B290" s="18" t="s">
        <v>325</v>
      </c>
      <c r="C290" s="18" t="s">
        <v>180</v>
      </c>
      <c r="D290" s="18" t="s">
        <v>6</v>
      </c>
      <c r="E290" s="18" t="s">
        <v>169</v>
      </c>
      <c r="F290" s="18" t="s">
        <v>394</v>
      </c>
      <c r="G290" s="18" t="s">
        <v>272</v>
      </c>
      <c r="H290" s="18"/>
      <c r="I290" s="18" t="s">
        <v>47</v>
      </c>
      <c r="J290" s="19">
        <v>1</v>
      </c>
      <c r="K290" s="18" t="s">
        <v>147</v>
      </c>
      <c r="L290" s="18" t="s">
        <v>147</v>
      </c>
      <c r="M290" s="16" t="s">
        <v>148</v>
      </c>
      <c r="N290" s="18"/>
    </row>
    <row r="291" spans="1:14">
      <c r="A291" s="24">
        <v>46223</v>
      </c>
      <c r="B291" s="5" t="s">
        <v>325</v>
      </c>
      <c r="C291" s="5" t="s">
        <v>180</v>
      </c>
      <c r="D291" s="5" t="s">
        <v>6</v>
      </c>
      <c r="E291" s="5" t="s">
        <v>169</v>
      </c>
      <c r="F291" s="5" t="s">
        <v>394</v>
      </c>
      <c r="G291" s="5" t="s">
        <v>235</v>
      </c>
      <c r="H291" s="5"/>
      <c r="I291" s="5" t="s">
        <v>47</v>
      </c>
      <c r="J291" s="7">
        <v>1</v>
      </c>
      <c r="K291" s="5" t="s">
        <v>147</v>
      </c>
      <c r="L291" s="5" t="s">
        <v>147</v>
      </c>
      <c r="M291" s="16" t="s">
        <v>148</v>
      </c>
      <c r="N291" s="5"/>
    </row>
    <row r="292" spans="1:14">
      <c r="A292" s="25">
        <v>46223</v>
      </c>
      <c r="B292" s="18" t="s">
        <v>325</v>
      </c>
      <c r="C292" s="18" t="s">
        <v>180</v>
      </c>
      <c r="D292" s="18" t="s">
        <v>6</v>
      </c>
      <c r="E292" s="18" t="s">
        <v>169</v>
      </c>
      <c r="F292" s="18" t="s">
        <v>394</v>
      </c>
      <c r="G292" s="18" t="s">
        <v>238</v>
      </c>
      <c r="H292" s="18"/>
      <c r="I292" s="18" t="s">
        <v>47</v>
      </c>
      <c r="J292" s="19">
        <v>1</v>
      </c>
      <c r="K292" s="18" t="s">
        <v>147</v>
      </c>
      <c r="L292" s="18" t="s">
        <v>147</v>
      </c>
      <c r="M292" s="16" t="s">
        <v>148</v>
      </c>
      <c r="N292" s="18"/>
    </row>
    <row r="293" spans="1:14">
      <c r="A293" s="24">
        <v>46224</v>
      </c>
      <c r="B293" s="5" t="s">
        <v>325</v>
      </c>
      <c r="C293" s="5" t="s">
        <v>180</v>
      </c>
      <c r="D293" s="5" t="s">
        <v>6</v>
      </c>
      <c r="E293" s="5" t="s">
        <v>165</v>
      </c>
      <c r="F293" s="5" t="s">
        <v>397</v>
      </c>
      <c r="G293" s="5" t="s">
        <v>48</v>
      </c>
      <c r="H293" s="5"/>
      <c r="I293" s="5" t="s">
        <v>47</v>
      </c>
      <c r="J293" s="7">
        <v>30</v>
      </c>
      <c r="K293" s="5" t="s">
        <v>147</v>
      </c>
      <c r="L293" s="5" t="s">
        <v>147</v>
      </c>
      <c r="M293" s="16" t="s">
        <v>148</v>
      </c>
      <c r="N293" s="5"/>
    </row>
    <row r="294" spans="1:14">
      <c r="A294" s="25">
        <v>46224</v>
      </c>
      <c r="B294" s="18" t="s">
        <v>325</v>
      </c>
      <c r="C294" s="18" t="s">
        <v>180</v>
      </c>
      <c r="D294" s="18" t="s">
        <v>6</v>
      </c>
      <c r="E294" s="18" t="s">
        <v>165</v>
      </c>
      <c r="F294" s="18" t="s">
        <v>397</v>
      </c>
      <c r="G294" s="18" t="s">
        <v>46</v>
      </c>
      <c r="H294" s="18"/>
      <c r="I294" s="18" t="s">
        <v>47</v>
      </c>
      <c r="J294" s="19">
        <v>20</v>
      </c>
      <c r="K294" s="18" t="s">
        <v>147</v>
      </c>
      <c r="L294" s="18" t="s">
        <v>147</v>
      </c>
      <c r="M294" s="16" t="s">
        <v>148</v>
      </c>
      <c r="N294" s="18"/>
    </row>
    <row r="295" spans="1:14">
      <c r="A295" s="24">
        <v>46224</v>
      </c>
      <c r="B295" s="5" t="s">
        <v>325</v>
      </c>
      <c r="C295" s="5" t="s">
        <v>180</v>
      </c>
      <c r="D295" s="5" t="s">
        <v>6</v>
      </c>
      <c r="E295" s="5" t="s">
        <v>165</v>
      </c>
      <c r="F295" s="5" t="s">
        <v>397</v>
      </c>
      <c r="G295" s="5" t="s">
        <v>186</v>
      </c>
      <c r="H295" s="5"/>
      <c r="I295" s="5" t="s">
        <v>40</v>
      </c>
      <c r="J295" s="7">
        <v>2</v>
      </c>
      <c r="K295" s="5" t="s">
        <v>153</v>
      </c>
      <c r="L295" s="5" t="s">
        <v>153</v>
      </c>
      <c r="M295" s="17" t="s">
        <v>153</v>
      </c>
      <c r="N295" s="5"/>
    </row>
    <row r="296" spans="1:14">
      <c r="A296" s="25">
        <v>46224</v>
      </c>
      <c r="B296" s="18" t="s">
        <v>325</v>
      </c>
      <c r="C296" s="18" t="s">
        <v>180</v>
      </c>
      <c r="D296" s="18" t="s">
        <v>6</v>
      </c>
      <c r="E296" s="18" t="s">
        <v>165</v>
      </c>
      <c r="F296" s="18" t="s">
        <v>397</v>
      </c>
      <c r="G296" s="18" t="s">
        <v>188</v>
      </c>
      <c r="H296" s="18"/>
      <c r="I296" s="18" t="s">
        <v>216</v>
      </c>
      <c r="J296" s="19">
        <v>1</v>
      </c>
      <c r="K296" s="18" t="s">
        <v>153</v>
      </c>
      <c r="L296" s="18" t="s">
        <v>153</v>
      </c>
      <c r="M296" s="17" t="s">
        <v>153</v>
      </c>
      <c r="N296" s="18"/>
    </row>
    <row r="297" spans="1:14">
      <c r="A297" s="24">
        <v>46224</v>
      </c>
      <c r="B297" s="5" t="s">
        <v>325</v>
      </c>
      <c r="C297" s="5" t="s">
        <v>180</v>
      </c>
      <c r="D297" s="5" t="s">
        <v>6</v>
      </c>
      <c r="E297" s="5" t="s">
        <v>165</v>
      </c>
      <c r="F297" s="5" t="s">
        <v>397</v>
      </c>
      <c r="G297" s="5" t="s">
        <v>39</v>
      </c>
      <c r="H297" s="5"/>
      <c r="I297" s="5" t="s">
        <v>40</v>
      </c>
      <c r="J297" s="7">
        <v>300</v>
      </c>
      <c r="K297" s="5" t="s">
        <v>147</v>
      </c>
      <c r="L297" s="5" t="s">
        <v>147</v>
      </c>
      <c r="M297" s="16" t="s">
        <v>148</v>
      </c>
      <c r="N297" s="5"/>
    </row>
    <row r="298" spans="1:14">
      <c r="A298" s="25">
        <v>46224</v>
      </c>
      <c r="B298" s="18" t="s">
        <v>325</v>
      </c>
      <c r="C298" s="18" t="s">
        <v>180</v>
      </c>
      <c r="D298" s="18" t="s">
        <v>6</v>
      </c>
      <c r="E298" s="18" t="s">
        <v>165</v>
      </c>
      <c r="F298" s="18" t="s">
        <v>397</v>
      </c>
      <c r="G298" s="18" t="s">
        <v>185</v>
      </c>
      <c r="H298" s="18"/>
      <c r="I298" s="18" t="s">
        <v>47</v>
      </c>
      <c r="J298" s="19">
        <v>1</v>
      </c>
      <c r="K298" s="18" t="s">
        <v>153</v>
      </c>
      <c r="L298" s="18" t="s">
        <v>153</v>
      </c>
      <c r="M298" s="17" t="s">
        <v>153</v>
      </c>
      <c r="N298" s="18"/>
    </row>
    <row r="299" spans="1:14">
      <c r="A299" s="24">
        <v>46224</v>
      </c>
      <c r="B299" s="5" t="s">
        <v>325</v>
      </c>
      <c r="C299" s="5" t="s">
        <v>180</v>
      </c>
      <c r="D299" s="5" t="s">
        <v>6</v>
      </c>
      <c r="E299" s="5" t="s">
        <v>166</v>
      </c>
      <c r="F299" s="5" t="s">
        <v>398</v>
      </c>
      <c r="G299" s="5" t="s">
        <v>291</v>
      </c>
      <c r="H299" s="5"/>
      <c r="I299" s="5" t="s">
        <v>216</v>
      </c>
      <c r="J299" s="7">
        <v>1</v>
      </c>
      <c r="K299" s="5" t="s">
        <v>151</v>
      </c>
      <c r="L299" s="5" t="s">
        <v>151</v>
      </c>
      <c r="M299" s="16" t="s">
        <v>148</v>
      </c>
      <c r="N299" s="5"/>
    </row>
    <row r="300" spans="1:14">
      <c r="A300" s="25">
        <v>46224</v>
      </c>
      <c r="B300" s="18" t="s">
        <v>325</v>
      </c>
      <c r="C300" s="18" t="s">
        <v>180</v>
      </c>
      <c r="D300" s="18" t="s">
        <v>6</v>
      </c>
      <c r="E300" s="18" t="s">
        <v>166</v>
      </c>
      <c r="F300" s="18" t="s">
        <v>398</v>
      </c>
      <c r="G300" s="18" t="s">
        <v>234</v>
      </c>
      <c r="H300" s="18" t="s">
        <v>399</v>
      </c>
      <c r="I300" s="18" t="s">
        <v>47</v>
      </c>
      <c r="J300" s="19">
        <v>1</v>
      </c>
      <c r="K300" s="18" t="s">
        <v>151</v>
      </c>
      <c r="L300" s="18" t="s">
        <v>151</v>
      </c>
      <c r="M300" s="16" t="s">
        <v>148</v>
      </c>
      <c r="N300" s="18"/>
    </row>
    <row r="301" spans="1:14">
      <c r="A301" s="24">
        <v>46224</v>
      </c>
      <c r="B301" s="5" t="s">
        <v>325</v>
      </c>
      <c r="C301" s="5" t="s">
        <v>180</v>
      </c>
      <c r="D301" s="5" t="s">
        <v>6</v>
      </c>
      <c r="E301" s="5" t="s">
        <v>166</v>
      </c>
      <c r="F301" s="5" t="s">
        <v>398</v>
      </c>
      <c r="G301" s="5" t="s">
        <v>289</v>
      </c>
      <c r="H301" s="5"/>
      <c r="I301" s="5" t="s">
        <v>219</v>
      </c>
      <c r="J301" s="7">
        <v>1</v>
      </c>
      <c r="K301" s="5" t="s">
        <v>151</v>
      </c>
      <c r="L301" s="5" t="s">
        <v>151</v>
      </c>
      <c r="M301" s="16" t="s">
        <v>148</v>
      </c>
      <c r="N301" s="5"/>
    </row>
    <row r="302" spans="1:14">
      <c r="A302" s="25">
        <v>46224</v>
      </c>
      <c r="B302" s="18" t="s">
        <v>325</v>
      </c>
      <c r="C302" s="18" t="s">
        <v>180</v>
      </c>
      <c r="D302" s="18" t="s">
        <v>6</v>
      </c>
      <c r="E302" s="18" t="s">
        <v>166</v>
      </c>
      <c r="F302" s="18" t="s">
        <v>398</v>
      </c>
      <c r="G302" s="18" t="s">
        <v>46</v>
      </c>
      <c r="H302" s="18" t="s">
        <v>400</v>
      </c>
      <c r="I302" s="18" t="s">
        <v>47</v>
      </c>
      <c r="J302" s="19">
        <v>30</v>
      </c>
      <c r="K302" s="18" t="s">
        <v>151</v>
      </c>
      <c r="L302" s="18" t="s">
        <v>151</v>
      </c>
      <c r="M302" s="16" t="s">
        <v>148</v>
      </c>
      <c r="N302" s="18"/>
    </row>
    <row r="303" spans="1:14">
      <c r="A303" s="24">
        <v>46224</v>
      </c>
      <c r="B303" s="5" t="s">
        <v>325</v>
      </c>
      <c r="C303" s="5" t="s">
        <v>180</v>
      </c>
      <c r="D303" s="5" t="s">
        <v>6</v>
      </c>
      <c r="E303" s="5" t="s">
        <v>166</v>
      </c>
      <c r="F303" s="5" t="s">
        <v>398</v>
      </c>
      <c r="G303" s="5" t="s">
        <v>236</v>
      </c>
      <c r="H303" s="5" t="s">
        <v>401</v>
      </c>
      <c r="I303" s="5" t="s">
        <v>40</v>
      </c>
      <c r="J303" s="7">
        <v>4</v>
      </c>
      <c r="K303" s="5" t="s">
        <v>151</v>
      </c>
      <c r="L303" s="5" t="s">
        <v>151</v>
      </c>
      <c r="M303" s="16" t="s">
        <v>148</v>
      </c>
      <c r="N303" s="5"/>
    </row>
    <row r="304" spans="1:14">
      <c r="A304" s="25">
        <v>46224</v>
      </c>
      <c r="B304" s="18" t="s">
        <v>325</v>
      </c>
      <c r="C304" s="18" t="s">
        <v>180</v>
      </c>
      <c r="D304" s="18" t="s">
        <v>6</v>
      </c>
      <c r="E304" s="18" t="s">
        <v>166</v>
      </c>
      <c r="F304" s="18" t="s">
        <v>398</v>
      </c>
      <c r="G304" s="18" t="s">
        <v>220</v>
      </c>
      <c r="H304" s="18"/>
      <c r="I304" s="18" t="s">
        <v>40</v>
      </c>
      <c r="J304" s="19">
        <v>6</v>
      </c>
      <c r="K304" s="18" t="s">
        <v>151</v>
      </c>
      <c r="L304" s="18" t="s">
        <v>151</v>
      </c>
      <c r="M304" s="16" t="s">
        <v>148</v>
      </c>
      <c r="N304" s="18"/>
    </row>
    <row r="305" spans="1:14">
      <c r="A305" s="24">
        <v>46224</v>
      </c>
      <c r="B305" s="5" t="s">
        <v>325</v>
      </c>
      <c r="C305" s="5" t="s">
        <v>180</v>
      </c>
      <c r="D305" s="5" t="s">
        <v>6</v>
      </c>
      <c r="E305" s="5" t="s">
        <v>166</v>
      </c>
      <c r="F305" s="5" t="s">
        <v>398</v>
      </c>
      <c r="G305" s="5" t="s">
        <v>283</v>
      </c>
      <c r="H305" s="5" t="s">
        <v>402</v>
      </c>
      <c r="I305" s="5" t="s">
        <v>40</v>
      </c>
      <c r="J305" s="7">
        <v>2</v>
      </c>
      <c r="K305" s="5" t="s">
        <v>151</v>
      </c>
      <c r="L305" s="5" t="s">
        <v>151</v>
      </c>
      <c r="M305" s="16" t="s">
        <v>148</v>
      </c>
      <c r="N305" s="5"/>
    </row>
    <row r="306" spans="1:14">
      <c r="A306" s="25">
        <v>46224</v>
      </c>
      <c r="B306" s="18" t="s">
        <v>325</v>
      </c>
      <c r="C306" s="18" t="s">
        <v>180</v>
      </c>
      <c r="D306" s="18" t="s">
        <v>6</v>
      </c>
      <c r="E306" s="18" t="s">
        <v>166</v>
      </c>
      <c r="F306" s="18" t="s">
        <v>398</v>
      </c>
      <c r="G306" s="18" t="s">
        <v>290</v>
      </c>
      <c r="H306" s="18" t="s">
        <v>393</v>
      </c>
      <c r="I306" s="18" t="s">
        <v>219</v>
      </c>
      <c r="J306" s="19">
        <v>1</v>
      </c>
      <c r="K306" s="18" t="s">
        <v>151</v>
      </c>
      <c r="L306" s="18" t="s">
        <v>151</v>
      </c>
      <c r="M306" s="16" t="s">
        <v>148</v>
      </c>
      <c r="N306" s="18"/>
    </row>
    <row r="307" spans="1:14">
      <c r="A307" s="24">
        <v>46224</v>
      </c>
      <c r="B307" s="5" t="s">
        <v>325</v>
      </c>
      <c r="C307" s="5" t="s">
        <v>180</v>
      </c>
      <c r="D307" s="5" t="s">
        <v>6</v>
      </c>
      <c r="E307" s="5" t="s">
        <v>166</v>
      </c>
      <c r="F307" s="5" t="s">
        <v>398</v>
      </c>
      <c r="G307" s="5" t="s">
        <v>235</v>
      </c>
      <c r="H307" s="5" t="s">
        <v>403</v>
      </c>
      <c r="I307" s="5" t="s">
        <v>47</v>
      </c>
      <c r="J307" s="7">
        <v>2</v>
      </c>
      <c r="K307" s="5" t="s">
        <v>151</v>
      </c>
      <c r="L307" s="5" t="s">
        <v>151</v>
      </c>
      <c r="M307" s="16" t="s">
        <v>148</v>
      </c>
      <c r="N307" s="5"/>
    </row>
    <row r="308" spans="1:14">
      <c r="A308" s="25">
        <v>46224</v>
      </c>
      <c r="B308" s="18" t="s">
        <v>325</v>
      </c>
      <c r="C308" s="18" t="s">
        <v>180</v>
      </c>
      <c r="D308" s="18" t="s">
        <v>6</v>
      </c>
      <c r="E308" s="18" t="s">
        <v>166</v>
      </c>
      <c r="F308" s="18" t="s">
        <v>398</v>
      </c>
      <c r="G308" s="18" t="s">
        <v>186</v>
      </c>
      <c r="H308" s="18"/>
      <c r="I308" s="18" t="s">
        <v>40</v>
      </c>
      <c r="J308" s="19">
        <v>4</v>
      </c>
      <c r="K308" s="18" t="s">
        <v>151</v>
      </c>
      <c r="L308" s="18" t="s">
        <v>151</v>
      </c>
      <c r="M308" s="16" t="s">
        <v>148</v>
      </c>
      <c r="N308" s="18"/>
    </row>
    <row r="309" spans="1:14">
      <c r="A309" s="24">
        <v>46224</v>
      </c>
      <c r="B309" s="5" t="s">
        <v>325</v>
      </c>
      <c r="C309" s="5" t="s">
        <v>180</v>
      </c>
      <c r="D309" s="5" t="s">
        <v>6</v>
      </c>
      <c r="E309" s="5" t="s">
        <v>166</v>
      </c>
      <c r="F309" s="5" t="s">
        <v>398</v>
      </c>
      <c r="G309" s="5" t="s">
        <v>254</v>
      </c>
      <c r="H309" s="5" t="s">
        <v>404</v>
      </c>
      <c r="I309" s="5" t="s">
        <v>47</v>
      </c>
      <c r="J309" s="7">
        <v>1</v>
      </c>
      <c r="K309" s="5" t="s">
        <v>151</v>
      </c>
      <c r="L309" s="5" t="s">
        <v>151</v>
      </c>
      <c r="M309" s="16" t="s">
        <v>148</v>
      </c>
      <c r="N309" s="5"/>
    </row>
    <row r="310" spans="1:14">
      <c r="A310" s="25">
        <v>46224</v>
      </c>
      <c r="B310" s="18" t="s">
        <v>325</v>
      </c>
      <c r="C310" s="18" t="s">
        <v>180</v>
      </c>
      <c r="D310" s="18" t="s">
        <v>6</v>
      </c>
      <c r="E310" s="18" t="s">
        <v>166</v>
      </c>
      <c r="F310" s="18" t="s">
        <v>398</v>
      </c>
      <c r="G310" s="18" t="s">
        <v>246</v>
      </c>
      <c r="H310" s="18"/>
      <c r="I310" s="18" t="s">
        <v>40</v>
      </c>
      <c r="J310" s="19">
        <v>1</v>
      </c>
      <c r="K310" s="18" t="s">
        <v>151</v>
      </c>
      <c r="L310" s="18" t="s">
        <v>151</v>
      </c>
      <c r="M310" s="16" t="s">
        <v>148</v>
      </c>
      <c r="N310" s="18"/>
    </row>
    <row r="311" spans="1:14">
      <c r="A311" s="24">
        <v>46224</v>
      </c>
      <c r="B311" s="5" t="s">
        <v>325</v>
      </c>
      <c r="C311" s="5" t="s">
        <v>180</v>
      </c>
      <c r="D311" s="5" t="s">
        <v>6</v>
      </c>
      <c r="E311" s="5" t="s">
        <v>166</v>
      </c>
      <c r="F311" s="5" t="s">
        <v>398</v>
      </c>
      <c r="G311" s="5" t="s">
        <v>192</v>
      </c>
      <c r="H311" s="5" t="s">
        <v>405</v>
      </c>
      <c r="I311" s="5" t="s">
        <v>216</v>
      </c>
      <c r="J311" s="7">
        <v>1</v>
      </c>
      <c r="K311" s="5" t="s">
        <v>151</v>
      </c>
      <c r="L311" s="5" t="s">
        <v>151</v>
      </c>
      <c r="M311" s="16" t="s">
        <v>148</v>
      </c>
      <c r="N311" s="5"/>
    </row>
    <row r="312" spans="1:14">
      <c r="A312" s="25">
        <v>46224</v>
      </c>
      <c r="B312" s="18" t="s">
        <v>325</v>
      </c>
      <c r="C312" s="18" t="s">
        <v>180</v>
      </c>
      <c r="D312" s="18" t="s">
        <v>6</v>
      </c>
      <c r="E312" s="18" t="s">
        <v>166</v>
      </c>
      <c r="F312" s="18" t="s">
        <v>398</v>
      </c>
      <c r="G312" s="18" t="s">
        <v>299</v>
      </c>
      <c r="H312" s="18"/>
      <c r="I312" s="18" t="s">
        <v>216</v>
      </c>
      <c r="J312" s="19">
        <v>1</v>
      </c>
      <c r="K312" s="18" t="s">
        <v>151</v>
      </c>
      <c r="L312" s="18" t="s">
        <v>151</v>
      </c>
      <c r="M312" s="16" t="s">
        <v>148</v>
      </c>
      <c r="N312" s="18"/>
    </row>
    <row r="313" spans="1:14">
      <c r="A313" s="24">
        <v>46224</v>
      </c>
      <c r="B313" s="5" t="s">
        <v>325</v>
      </c>
      <c r="C313" s="5" t="s">
        <v>180</v>
      </c>
      <c r="D313" s="5" t="s">
        <v>6</v>
      </c>
      <c r="E313" s="5" t="s">
        <v>166</v>
      </c>
      <c r="F313" s="5" t="s">
        <v>398</v>
      </c>
      <c r="G313" s="5" t="s">
        <v>185</v>
      </c>
      <c r="H313" s="5" t="s">
        <v>405</v>
      </c>
      <c r="I313" s="5" t="s">
        <v>47</v>
      </c>
      <c r="J313" s="7">
        <v>2</v>
      </c>
      <c r="K313" s="5" t="s">
        <v>151</v>
      </c>
      <c r="L313" s="5" t="s">
        <v>151</v>
      </c>
      <c r="M313" s="16" t="s">
        <v>148</v>
      </c>
      <c r="N313" s="5"/>
    </row>
    <row r="314" spans="1:14">
      <c r="A314" s="25">
        <v>46224</v>
      </c>
      <c r="B314" s="18" t="s">
        <v>325</v>
      </c>
      <c r="C314" s="18" t="s">
        <v>180</v>
      </c>
      <c r="D314" s="18" t="s">
        <v>6</v>
      </c>
      <c r="E314" s="18" t="s">
        <v>166</v>
      </c>
      <c r="F314" s="18" t="s">
        <v>398</v>
      </c>
      <c r="G314" s="18" t="s">
        <v>263</v>
      </c>
      <c r="H314" s="18"/>
      <c r="I314" s="18" t="s">
        <v>47</v>
      </c>
      <c r="J314" s="19">
        <v>1</v>
      </c>
      <c r="K314" s="18" t="s">
        <v>151</v>
      </c>
      <c r="L314" s="18" t="s">
        <v>151</v>
      </c>
      <c r="M314" s="16" t="s">
        <v>148</v>
      </c>
      <c r="N314" s="18"/>
    </row>
    <row r="315" spans="1:14">
      <c r="A315" s="24">
        <v>46224</v>
      </c>
      <c r="B315" s="5" t="s">
        <v>325</v>
      </c>
      <c r="C315" s="5" t="s">
        <v>180</v>
      </c>
      <c r="D315" s="5" t="s">
        <v>6</v>
      </c>
      <c r="E315" s="5" t="s">
        <v>166</v>
      </c>
      <c r="F315" s="5" t="s">
        <v>398</v>
      </c>
      <c r="G315" s="5" t="s">
        <v>45</v>
      </c>
      <c r="H315" s="5"/>
      <c r="I315" s="5" t="s">
        <v>40</v>
      </c>
      <c r="J315" s="7">
        <v>50</v>
      </c>
      <c r="K315" s="5" t="s">
        <v>151</v>
      </c>
      <c r="L315" s="5" t="s">
        <v>151</v>
      </c>
      <c r="M315" s="16" t="s">
        <v>148</v>
      </c>
      <c r="N315" s="5"/>
    </row>
    <row r="316" spans="1:14">
      <c r="A316" s="25">
        <v>46224</v>
      </c>
      <c r="B316" s="18" t="s">
        <v>325</v>
      </c>
      <c r="C316" s="18" t="s">
        <v>180</v>
      </c>
      <c r="D316" s="18" t="s">
        <v>6</v>
      </c>
      <c r="E316" s="18" t="s">
        <v>166</v>
      </c>
      <c r="F316" s="18" t="s">
        <v>398</v>
      </c>
      <c r="G316" s="18" t="s">
        <v>49</v>
      </c>
      <c r="H316" s="18"/>
      <c r="I316" s="18" t="s">
        <v>40</v>
      </c>
      <c r="J316" s="19">
        <v>400</v>
      </c>
      <c r="K316" s="18" t="s">
        <v>151</v>
      </c>
      <c r="L316" s="18" t="s">
        <v>151</v>
      </c>
      <c r="M316" s="16" t="s">
        <v>148</v>
      </c>
      <c r="N316" s="18"/>
    </row>
    <row r="317" spans="1:14">
      <c r="A317" s="24">
        <v>46224</v>
      </c>
      <c r="B317" s="5" t="s">
        <v>325</v>
      </c>
      <c r="C317" s="5" t="s">
        <v>180</v>
      </c>
      <c r="D317" s="5" t="s">
        <v>6</v>
      </c>
      <c r="E317" s="5" t="s">
        <v>166</v>
      </c>
      <c r="F317" s="5" t="s">
        <v>398</v>
      </c>
      <c r="G317" s="5" t="s">
        <v>267</v>
      </c>
      <c r="H317" s="5"/>
      <c r="I317" s="5" t="s">
        <v>40</v>
      </c>
      <c r="J317" s="7">
        <v>250</v>
      </c>
      <c r="K317" s="5" t="s">
        <v>151</v>
      </c>
      <c r="L317" s="5" t="s">
        <v>151</v>
      </c>
      <c r="M317" s="16" t="s">
        <v>148</v>
      </c>
      <c r="N317" s="5"/>
    </row>
    <row r="318" spans="1:14">
      <c r="A318" s="25">
        <v>46224</v>
      </c>
      <c r="B318" s="18" t="s">
        <v>325</v>
      </c>
      <c r="C318" s="18" t="s">
        <v>180</v>
      </c>
      <c r="D318" s="18" t="s">
        <v>6</v>
      </c>
      <c r="E318" s="18" t="s">
        <v>166</v>
      </c>
      <c r="F318" s="18" t="s">
        <v>398</v>
      </c>
      <c r="G318" s="18" t="s">
        <v>43</v>
      </c>
      <c r="H318" s="18"/>
      <c r="I318" s="18" t="s">
        <v>40</v>
      </c>
      <c r="J318" s="19">
        <v>100</v>
      </c>
      <c r="K318" s="18" t="s">
        <v>151</v>
      </c>
      <c r="L318" s="18" t="s">
        <v>151</v>
      </c>
      <c r="M318" s="16" t="s">
        <v>148</v>
      </c>
      <c r="N318" s="18"/>
    </row>
    <row r="319" spans="1:14">
      <c r="A319" s="24">
        <v>46224</v>
      </c>
      <c r="B319" s="5" t="s">
        <v>325</v>
      </c>
      <c r="C319" s="5" t="s">
        <v>180</v>
      </c>
      <c r="D319" s="5" t="s">
        <v>6</v>
      </c>
      <c r="E319" s="5" t="s">
        <v>168</v>
      </c>
      <c r="F319" s="5" t="s">
        <v>396</v>
      </c>
      <c r="G319" s="5" t="s">
        <v>235</v>
      </c>
      <c r="H319" s="5"/>
      <c r="I319" s="5" t="s">
        <v>47</v>
      </c>
      <c r="J319" s="7">
        <v>1</v>
      </c>
      <c r="K319" s="5" t="s">
        <v>147</v>
      </c>
      <c r="L319" s="5" t="s">
        <v>147</v>
      </c>
      <c r="M319" s="16" t="s">
        <v>148</v>
      </c>
      <c r="N319" s="5"/>
    </row>
    <row r="320" spans="1:14">
      <c r="A320" s="25">
        <v>46224</v>
      </c>
      <c r="B320" s="18" t="s">
        <v>325</v>
      </c>
      <c r="C320" s="18" t="s">
        <v>180</v>
      </c>
      <c r="D320" s="18" t="s">
        <v>6</v>
      </c>
      <c r="E320" s="18" t="s">
        <v>168</v>
      </c>
      <c r="F320" s="18" t="s">
        <v>396</v>
      </c>
      <c r="G320" s="18" t="s">
        <v>226</v>
      </c>
      <c r="H320" s="18"/>
      <c r="I320" s="18" t="s">
        <v>216</v>
      </c>
      <c r="J320" s="19">
        <v>100</v>
      </c>
      <c r="K320" s="18" t="s">
        <v>147</v>
      </c>
      <c r="L320" s="18" t="s">
        <v>147</v>
      </c>
      <c r="M320" s="16" t="s">
        <v>148</v>
      </c>
      <c r="N320" s="18"/>
    </row>
    <row r="321" spans="1:14">
      <c r="A321" s="24">
        <v>46225</v>
      </c>
      <c r="B321" s="5" t="s">
        <v>325</v>
      </c>
      <c r="C321" s="5" t="s">
        <v>180</v>
      </c>
      <c r="D321" s="5" t="s">
        <v>6</v>
      </c>
      <c r="E321" s="5" t="s">
        <v>166</v>
      </c>
      <c r="F321" s="5" t="s">
        <v>398</v>
      </c>
      <c r="G321" s="5" t="s">
        <v>259</v>
      </c>
      <c r="H321" s="5"/>
      <c r="I321" s="5" t="s">
        <v>40</v>
      </c>
      <c r="J321" s="7">
        <v>2</v>
      </c>
      <c r="K321" s="5" t="s">
        <v>151</v>
      </c>
      <c r="L321" s="5" t="s">
        <v>151</v>
      </c>
      <c r="M321" s="16" t="s">
        <v>148</v>
      </c>
      <c r="N321" s="5"/>
    </row>
    <row r="322" spans="1:14">
      <c r="A322" s="25">
        <v>46225</v>
      </c>
      <c r="B322" s="18" t="s">
        <v>325</v>
      </c>
      <c r="C322" s="18" t="s">
        <v>180</v>
      </c>
      <c r="D322" s="18" t="s">
        <v>6</v>
      </c>
      <c r="E322" s="18" t="s">
        <v>166</v>
      </c>
      <c r="F322" s="18" t="s">
        <v>398</v>
      </c>
      <c r="G322" s="18" t="s">
        <v>187</v>
      </c>
      <c r="H322" s="18"/>
      <c r="I322" s="18" t="s">
        <v>216</v>
      </c>
      <c r="J322" s="19">
        <v>1</v>
      </c>
      <c r="K322" s="18" t="s">
        <v>151</v>
      </c>
      <c r="L322" s="18" t="s">
        <v>151</v>
      </c>
      <c r="M322" s="16" t="s">
        <v>148</v>
      </c>
      <c r="N322" s="18"/>
    </row>
    <row r="323" spans="1:14">
      <c r="A323" s="24">
        <v>46225</v>
      </c>
      <c r="B323" s="5" t="s">
        <v>325</v>
      </c>
      <c r="C323" s="5" t="s">
        <v>180</v>
      </c>
      <c r="D323" s="5" t="s">
        <v>6</v>
      </c>
      <c r="E323" s="5" t="s">
        <v>166</v>
      </c>
      <c r="F323" s="5" t="s">
        <v>398</v>
      </c>
      <c r="G323" s="5" t="s">
        <v>282</v>
      </c>
      <c r="H323" s="5"/>
      <c r="I323" s="5" t="s">
        <v>257</v>
      </c>
      <c r="J323" s="7">
        <v>2</v>
      </c>
      <c r="K323" s="5" t="s">
        <v>151</v>
      </c>
      <c r="L323" s="5" t="s">
        <v>151</v>
      </c>
      <c r="M323" s="16" t="s">
        <v>148</v>
      </c>
      <c r="N323" s="5"/>
    </row>
    <row r="324" spans="1:14">
      <c r="A324" s="25">
        <v>46225</v>
      </c>
      <c r="B324" s="18" t="s">
        <v>325</v>
      </c>
      <c r="C324" s="18" t="s">
        <v>180</v>
      </c>
      <c r="D324" s="18" t="s">
        <v>6</v>
      </c>
      <c r="E324" s="18" t="s">
        <v>166</v>
      </c>
      <c r="F324" s="18" t="s">
        <v>398</v>
      </c>
      <c r="G324" s="18" t="s">
        <v>293</v>
      </c>
      <c r="H324" s="18" t="s">
        <v>406</v>
      </c>
      <c r="I324" s="18" t="s">
        <v>47</v>
      </c>
      <c r="J324" s="19">
        <v>1</v>
      </c>
      <c r="K324" s="18" t="s">
        <v>151</v>
      </c>
      <c r="L324" s="18" t="s">
        <v>151</v>
      </c>
      <c r="M324" s="16" t="s">
        <v>148</v>
      </c>
      <c r="N324" s="18"/>
    </row>
    <row r="325" spans="1:14">
      <c r="A325" s="24">
        <v>46225</v>
      </c>
      <c r="B325" s="5" t="s">
        <v>325</v>
      </c>
      <c r="C325" s="5" t="s">
        <v>180</v>
      </c>
      <c r="D325" s="5" t="s">
        <v>6</v>
      </c>
      <c r="E325" s="5" t="s">
        <v>166</v>
      </c>
      <c r="F325" s="5" t="s">
        <v>398</v>
      </c>
      <c r="G325" s="5" t="s">
        <v>227</v>
      </c>
      <c r="H325" s="5"/>
      <c r="I325" s="5" t="s">
        <v>216</v>
      </c>
      <c r="J325" s="7">
        <v>2</v>
      </c>
      <c r="K325" s="5" t="s">
        <v>151</v>
      </c>
      <c r="L325" s="5" t="s">
        <v>151</v>
      </c>
      <c r="M325" s="16" t="s">
        <v>148</v>
      </c>
      <c r="N325" s="5"/>
    </row>
    <row r="326" spans="1:14">
      <c r="A326" s="25">
        <v>46225</v>
      </c>
      <c r="B326" s="18" t="s">
        <v>325</v>
      </c>
      <c r="C326" s="18" t="s">
        <v>180</v>
      </c>
      <c r="D326" s="18" t="s">
        <v>6</v>
      </c>
      <c r="E326" s="18" t="s">
        <v>168</v>
      </c>
      <c r="F326" s="18" t="s">
        <v>396</v>
      </c>
      <c r="G326" s="18" t="s">
        <v>239</v>
      </c>
      <c r="H326" s="18"/>
      <c r="I326" s="18" t="s">
        <v>216</v>
      </c>
      <c r="J326" s="19">
        <v>1</v>
      </c>
      <c r="K326" s="18" t="s">
        <v>153</v>
      </c>
      <c r="L326" s="18" t="s">
        <v>153</v>
      </c>
      <c r="M326" s="17" t="s">
        <v>153</v>
      </c>
      <c r="N326" s="18"/>
    </row>
    <row r="327" spans="1:14">
      <c r="A327" s="24">
        <v>46230</v>
      </c>
      <c r="B327" s="5" t="s">
        <v>326</v>
      </c>
      <c r="C327" s="5" t="s">
        <v>180</v>
      </c>
      <c r="D327" s="5" t="s">
        <v>6</v>
      </c>
      <c r="E327" s="5" t="s">
        <v>163</v>
      </c>
      <c r="F327" s="5" t="s">
        <v>394</v>
      </c>
      <c r="G327" s="5" t="s">
        <v>233</v>
      </c>
      <c r="H327" s="5"/>
      <c r="I327" s="5" t="s">
        <v>40</v>
      </c>
      <c r="J327" s="7">
        <v>1</v>
      </c>
      <c r="K327" s="5" t="s">
        <v>147</v>
      </c>
      <c r="L327" s="5" t="s">
        <v>147</v>
      </c>
      <c r="M327" s="16" t="s">
        <v>148</v>
      </c>
      <c r="N327" s="5"/>
    </row>
    <row r="328" spans="1:14">
      <c r="A328" s="25">
        <v>46230</v>
      </c>
      <c r="B328" s="18" t="s">
        <v>326</v>
      </c>
      <c r="C328" s="18" t="s">
        <v>180</v>
      </c>
      <c r="D328" s="18" t="s">
        <v>6</v>
      </c>
      <c r="E328" s="18" t="s">
        <v>163</v>
      </c>
      <c r="F328" s="18" t="s">
        <v>394</v>
      </c>
      <c r="G328" s="18" t="s">
        <v>250</v>
      </c>
      <c r="H328" s="18"/>
      <c r="I328" s="18" t="s">
        <v>40</v>
      </c>
      <c r="J328" s="19">
        <v>1</v>
      </c>
      <c r="K328" s="18" t="s">
        <v>147</v>
      </c>
      <c r="L328" s="18" t="s">
        <v>147</v>
      </c>
      <c r="M328" s="16" t="s">
        <v>148</v>
      </c>
      <c r="N328" s="18"/>
    </row>
    <row r="329" spans="1:14">
      <c r="A329" s="24">
        <v>46230</v>
      </c>
      <c r="B329" s="5" t="s">
        <v>326</v>
      </c>
      <c r="C329" s="5" t="s">
        <v>180</v>
      </c>
      <c r="D329" s="5" t="s">
        <v>6</v>
      </c>
      <c r="E329" s="5" t="s">
        <v>163</v>
      </c>
      <c r="F329" s="5" t="s">
        <v>394</v>
      </c>
      <c r="G329" s="5" t="s">
        <v>42</v>
      </c>
      <c r="H329" s="5"/>
      <c r="I329" s="5" t="s">
        <v>40</v>
      </c>
      <c r="J329" s="7">
        <v>300</v>
      </c>
      <c r="K329" s="5" t="s">
        <v>147</v>
      </c>
      <c r="L329" s="5" t="s">
        <v>147</v>
      </c>
      <c r="M329" s="16" t="s">
        <v>148</v>
      </c>
      <c r="N329" s="5"/>
    </row>
    <row r="330" spans="1:14">
      <c r="A330" s="25">
        <v>46230</v>
      </c>
      <c r="B330" s="18" t="s">
        <v>326</v>
      </c>
      <c r="C330" s="18" t="s">
        <v>180</v>
      </c>
      <c r="D330" s="18" t="s">
        <v>6</v>
      </c>
      <c r="E330" s="18" t="s">
        <v>163</v>
      </c>
      <c r="F330" s="18" t="s">
        <v>394</v>
      </c>
      <c r="G330" s="18" t="s">
        <v>41</v>
      </c>
      <c r="H330" s="18"/>
      <c r="I330" s="18" t="s">
        <v>40</v>
      </c>
      <c r="J330" s="19">
        <v>300</v>
      </c>
      <c r="K330" s="18" t="s">
        <v>147</v>
      </c>
      <c r="L330" s="18" t="s">
        <v>147</v>
      </c>
      <c r="M330" s="16" t="s">
        <v>148</v>
      </c>
      <c r="N330" s="18"/>
    </row>
    <row r="331" spans="1:14">
      <c r="A331" s="24">
        <v>46230</v>
      </c>
      <c r="B331" s="5" t="s">
        <v>326</v>
      </c>
      <c r="C331" s="5" t="s">
        <v>180</v>
      </c>
      <c r="D331" s="5" t="s">
        <v>6</v>
      </c>
      <c r="E331" s="5" t="s">
        <v>163</v>
      </c>
      <c r="F331" s="5" t="s">
        <v>394</v>
      </c>
      <c r="G331" s="5" t="s">
        <v>236</v>
      </c>
      <c r="H331" s="5"/>
      <c r="I331" s="5" t="s">
        <v>40</v>
      </c>
      <c r="J331" s="7">
        <v>1</v>
      </c>
      <c r="K331" s="5" t="s">
        <v>147</v>
      </c>
      <c r="L331" s="5" t="s">
        <v>147</v>
      </c>
      <c r="M331" s="16" t="s">
        <v>148</v>
      </c>
      <c r="N331" s="5"/>
    </row>
    <row r="332" spans="1:14">
      <c r="A332" s="25">
        <v>46230</v>
      </c>
      <c r="B332" s="18" t="s">
        <v>326</v>
      </c>
      <c r="C332" s="18" t="s">
        <v>180</v>
      </c>
      <c r="D332" s="18" t="s">
        <v>6</v>
      </c>
      <c r="E332" s="18" t="s">
        <v>163</v>
      </c>
      <c r="F332" s="18" t="s">
        <v>394</v>
      </c>
      <c r="G332" s="18" t="s">
        <v>185</v>
      </c>
      <c r="H332" s="18"/>
      <c r="I332" s="18" t="s">
        <v>47</v>
      </c>
      <c r="J332" s="19">
        <v>1</v>
      </c>
      <c r="K332" s="18" t="s">
        <v>153</v>
      </c>
      <c r="L332" s="18" t="s">
        <v>153</v>
      </c>
      <c r="M332" s="17" t="s">
        <v>153</v>
      </c>
      <c r="N332" s="18"/>
    </row>
    <row r="333" spans="1:14">
      <c r="A333" s="24">
        <v>46230</v>
      </c>
      <c r="B333" s="5" t="s">
        <v>326</v>
      </c>
      <c r="C333" s="5" t="s">
        <v>180</v>
      </c>
      <c r="D333" s="5" t="s">
        <v>6</v>
      </c>
      <c r="E333" s="5" t="s">
        <v>163</v>
      </c>
      <c r="F333" s="5" t="s">
        <v>394</v>
      </c>
      <c r="G333" s="5" t="s">
        <v>235</v>
      </c>
      <c r="H333" s="5"/>
      <c r="I333" s="5" t="s">
        <v>47</v>
      </c>
      <c r="J333" s="7">
        <v>1</v>
      </c>
      <c r="K333" s="5" t="s">
        <v>147</v>
      </c>
      <c r="L333" s="5" t="s">
        <v>147</v>
      </c>
      <c r="M333" s="16" t="s">
        <v>148</v>
      </c>
      <c r="N333" s="5"/>
    </row>
    <row r="334" spans="1:14">
      <c r="A334" s="25">
        <v>46230</v>
      </c>
      <c r="B334" s="18" t="s">
        <v>326</v>
      </c>
      <c r="C334" s="18" t="s">
        <v>180</v>
      </c>
      <c r="D334" s="18" t="s">
        <v>6</v>
      </c>
      <c r="E334" s="18" t="s">
        <v>163</v>
      </c>
      <c r="F334" s="18" t="s">
        <v>394</v>
      </c>
      <c r="G334" s="18" t="s">
        <v>238</v>
      </c>
      <c r="H334" s="18"/>
      <c r="I334" s="18" t="s">
        <v>47</v>
      </c>
      <c r="J334" s="19">
        <v>1</v>
      </c>
      <c r="K334" s="18" t="s">
        <v>147</v>
      </c>
      <c r="L334" s="18" t="s">
        <v>147</v>
      </c>
      <c r="M334" s="16" t="s">
        <v>148</v>
      </c>
      <c r="N334" s="18"/>
    </row>
    <row r="335" spans="1:14">
      <c r="A335" s="24">
        <v>46230</v>
      </c>
      <c r="B335" s="5" t="s">
        <v>326</v>
      </c>
      <c r="C335" s="5" t="s">
        <v>180</v>
      </c>
      <c r="D335" s="5" t="s">
        <v>6</v>
      </c>
      <c r="E335" s="5" t="s">
        <v>165</v>
      </c>
      <c r="F335" s="5" t="s">
        <v>397</v>
      </c>
      <c r="G335" s="5" t="s">
        <v>236</v>
      </c>
      <c r="H335" s="5" t="s">
        <v>407</v>
      </c>
      <c r="I335" s="5" t="s">
        <v>40</v>
      </c>
      <c r="J335" s="7">
        <v>6</v>
      </c>
      <c r="K335" s="5" t="s">
        <v>147</v>
      </c>
      <c r="L335" s="5" t="s">
        <v>147</v>
      </c>
      <c r="M335" s="16" t="s">
        <v>148</v>
      </c>
      <c r="N335" s="5"/>
    </row>
    <row r="336" spans="1:14">
      <c r="A336" s="25">
        <v>46230</v>
      </c>
      <c r="B336" s="18" t="s">
        <v>326</v>
      </c>
      <c r="C336" s="18" t="s">
        <v>180</v>
      </c>
      <c r="D336" s="18" t="s">
        <v>6</v>
      </c>
      <c r="E336" s="18" t="s">
        <v>165</v>
      </c>
      <c r="F336" s="18" t="s">
        <v>397</v>
      </c>
      <c r="G336" s="18" t="s">
        <v>41</v>
      </c>
      <c r="H336" s="18"/>
      <c r="I336" s="18" t="s">
        <v>40</v>
      </c>
      <c r="J336" s="19">
        <v>300</v>
      </c>
      <c r="K336" s="18" t="s">
        <v>147</v>
      </c>
      <c r="L336" s="18" t="s">
        <v>147</v>
      </c>
      <c r="M336" s="16" t="s">
        <v>148</v>
      </c>
      <c r="N336" s="18"/>
    </row>
    <row r="337" spans="1:14">
      <c r="A337" s="24">
        <v>46230</v>
      </c>
      <c r="B337" s="5" t="s">
        <v>326</v>
      </c>
      <c r="C337" s="5" t="s">
        <v>180</v>
      </c>
      <c r="D337" s="5" t="s">
        <v>6</v>
      </c>
      <c r="E337" s="5" t="s">
        <v>165</v>
      </c>
      <c r="F337" s="5" t="s">
        <v>397</v>
      </c>
      <c r="G337" s="5" t="s">
        <v>42</v>
      </c>
      <c r="H337" s="5"/>
      <c r="I337" s="5" t="s">
        <v>40</v>
      </c>
      <c r="J337" s="7">
        <v>300</v>
      </c>
      <c r="K337" s="5" t="s">
        <v>147</v>
      </c>
      <c r="L337" s="5" t="s">
        <v>147</v>
      </c>
      <c r="M337" s="16" t="s">
        <v>148</v>
      </c>
      <c r="N337" s="5"/>
    </row>
    <row r="338" spans="1:14">
      <c r="A338" s="25">
        <v>46230</v>
      </c>
      <c r="B338" s="18" t="s">
        <v>326</v>
      </c>
      <c r="C338" s="18" t="s">
        <v>180</v>
      </c>
      <c r="D338" s="18" t="s">
        <v>6</v>
      </c>
      <c r="E338" s="18" t="s">
        <v>165</v>
      </c>
      <c r="F338" s="18" t="s">
        <v>397</v>
      </c>
      <c r="G338" s="18" t="s">
        <v>269</v>
      </c>
      <c r="H338" s="18"/>
      <c r="I338" s="18" t="s">
        <v>40</v>
      </c>
      <c r="J338" s="19">
        <v>1</v>
      </c>
      <c r="K338" s="18" t="s">
        <v>147</v>
      </c>
      <c r="L338" s="18" t="s">
        <v>147</v>
      </c>
      <c r="M338" s="16" t="s">
        <v>148</v>
      </c>
      <c r="N338" s="18"/>
    </row>
    <row r="339" spans="1:14">
      <c r="A339" s="24">
        <v>46230</v>
      </c>
      <c r="B339" s="5" t="s">
        <v>326</v>
      </c>
      <c r="C339" s="5" t="s">
        <v>180</v>
      </c>
      <c r="D339" s="5" t="s">
        <v>6</v>
      </c>
      <c r="E339" s="5" t="s">
        <v>167</v>
      </c>
      <c r="F339" s="5" t="s">
        <v>394</v>
      </c>
      <c r="G339" s="5" t="s">
        <v>190</v>
      </c>
      <c r="H339" s="5"/>
      <c r="I339" s="5" t="s">
        <v>47</v>
      </c>
      <c r="J339" s="7">
        <v>1</v>
      </c>
      <c r="K339" s="5" t="s">
        <v>147</v>
      </c>
      <c r="L339" s="5" t="s">
        <v>147</v>
      </c>
      <c r="M339" s="16" t="s">
        <v>148</v>
      </c>
      <c r="N339" s="5"/>
    </row>
    <row r="340" spans="1:14">
      <c r="A340" s="25">
        <v>46230</v>
      </c>
      <c r="B340" s="18" t="s">
        <v>326</v>
      </c>
      <c r="C340" s="18" t="s">
        <v>180</v>
      </c>
      <c r="D340" s="18" t="s">
        <v>6</v>
      </c>
      <c r="E340" s="18" t="s">
        <v>167</v>
      </c>
      <c r="F340" s="18" t="s">
        <v>394</v>
      </c>
      <c r="G340" s="18" t="s">
        <v>185</v>
      </c>
      <c r="H340" s="18"/>
      <c r="I340" s="18" t="s">
        <v>47</v>
      </c>
      <c r="J340" s="19">
        <v>2</v>
      </c>
      <c r="K340" s="18" t="s">
        <v>153</v>
      </c>
      <c r="L340" s="18" t="s">
        <v>153</v>
      </c>
      <c r="M340" s="17" t="s">
        <v>153</v>
      </c>
      <c r="N340" s="18"/>
    </row>
    <row r="341" spans="1:14">
      <c r="A341" s="24">
        <v>46230</v>
      </c>
      <c r="B341" s="5" t="s">
        <v>326</v>
      </c>
      <c r="C341" s="5" t="s">
        <v>180</v>
      </c>
      <c r="D341" s="5" t="s">
        <v>6</v>
      </c>
      <c r="E341" s="5" t="s">
        <v>167</v>
      </c>
      <c r="F341" s="5" t="s">
        <v>394</v>
      </c>
      <c r="G341" s="5" t="s">
        <v>39</v>
      </c>
      <c r="H341" s="5"/>
      <c r="I341" s="5" t="s">
        <v>40</v>
      </c>
      <c r="J341" s="7">
        <v>100</v>
      </c>
      <c r="K341" s="5" t="s">
        <v>147</v>
      </c>
      <c r="L341" s="5" t="s">
        <v>147</v>
      </c>
      <c r="M341" s="16" t="s">
        <v>148</v>
      </c>
      <c r="N341" s="5"/>
    </row>
    <row r="342" spans="1:14">
      <c r="A342" s="25">
        <v>46230</v>
      </c>
      <c r="B342" s="18" t="s">
        <v>326</v>
      </c>
      <c r="C342" s="18" t="s">
        <v>180</v>
      </c>
      <c r="D342" s="18" t="s">
        <v>6</v>
      </c>
      <c r="E342" s="18" t="s">
        <v>167</v>
      </c>
      <c r="F342" s="18" t="s">
        <v>394</v>
      </c>
      <c r="G342" s="18" t="s">
        <v>42</v>
      </c>
      <c r="H342" s="18"/>
      <c r="I342" s="18" t="s">
        <v>40</v>
      </c>
      <c r="J342" s="19">
        <v>100</v>
      </c>
      <c r="K342" s="18" t="s">
        <v>147</v>
      </c>
      <c r="L342" s="18" t="s">
        <v>147</v>
      </c>
      <c r="M342" s="16" t="s">
        <v>148</v>
      </c>
      <c r="N342" s="18"/>
    </row>
    <row r="343" spans="1:14">
      <c r="A343" s="24">
        <v>46230</v>
      </c>
      <c r="B343" s="5" t="s">
        <v>326</v>
      </c>
      <c r="C343" s="5" t="s">
        <v>180</v>
      </c>
      <c r="D343" s="5" t="s">
        <v>6</v>
      </c>
      <c r="E343" s="5" t="s">
        <v>167</v>
      </c>
      <c r="F343" s="5" t="s">
        <v>394</v>
      </c>
      <c r="G343" s="5" t="s">
        <v>186</v>
      </c>
      <c r="H343" s="5"/>
      <c r="I343" s="5" t="s">
        <v>40</v>
      </c>
      <c r="J343" s="7">
        <v>1</v>
      </c>
      <c r="K343" s="5" t="s">
        <v>153</v>
      </c>
      <c r="L343" s="5" t="s">
        <v>153</v>
      </c>
      <c r="M343" s="17" t="s">
        <v>153</v>
      </c>
      <c r="N343" s="5"/>
    </row>
    <row r="344" spans="1:14">
      <c r="A344" s="25">
        <v>46230</v>
      </c>
      <c r="B344" s="18" t="s">
        <v>326</v>
      </c>
      <c r="C344" s="18" t="s">
        <v>180</v>
      </c>
      <c r="D344" s="18" t="s">
        <v>6</v>
      </c>
      <c r="E344" s="18" t="s">
        <v>167</v>
      </c>
      <c r="F344" s="18" t="s">
        <v>394</v>
      </c>
      <c r="G344" s="18" t="s">
        <v>187</v>
      </c>
      <c r="H344" s="18"/>
      <c r="I344" s="18" t="s">
        <v>216</v>
      </c>
      <c r="J344" s="19">
        <v>1</v>
      </c>
      <c r="K344" s="18" t="s">
        <v>147</v>
      </c>
      <c r="L344" s="18" t="s">
        <v>147</v>
      </c>
      <c r="M344" s="16" t="s">
        <v>148</v>
      </c>
      <c r="N344" s="18"/>
    </row>
    <row r="345" spans="1:14">
      <c r="A345" s="24">
        <v>46230</v>
      </c>
      <c r="B345" s="5" t="s">
        <v>326</v>
      </c>
      <c r="C345" s="5" t="s">
        <v>180</v>
      </c>
      <c r="D345" s="5" t="s">
        <v>6</v>
      </c>
      <c r="E345" s="5" t="s">
        <v>167</v>
      </c>
      <c r="F345" s="5" t="s">
        <v>394</v>
      </c>
      <c r="G345" s="5" t="s">
        <v>191</v>
      </c>
      <c r="H345" s="5"/>
      <c r="I345" s="5" t="s">
        <v>47</v>
      </c>
      <c r="J345" s="7">
        <v>1</v>
      </c>
      <c r="K345" s="5" t="s">
        <v>147</v>
      </c>
      <c r="L345" s="5" t="s">
        <v>147</v>
      </c>
      <c r="M345" s="16" t="s">
        <v>148</v>
      </c>
      <c r="N345" s="5"/>
    </row>
    <row r="346" spans="1:14">
      <c r="A346" s="25">
        <v>46230</v>
      </c>
      <c r="B346" s="18" t="s">
        <v>326</v>
      </c>
      <c r="C346" s="18" t="s">
        <v>180</v>
      </c>
      <c r="D346" s="18" t="s">
        <v>6</v>
      </c>
      <c r="E346" s="18" t="s">
        <v>167</v>
      </c>
      <c r="F346" s="18" t="s">
        <v>394</v>
      </c>
      <c r="G346" s="18" t="s">
        <v>225</v>
      </c>
      <c r="H346" s="18"/>
      <c r="I346" s="18" t="s">
        <v>216</v>
      </c>
      <c r="J346" s="19">
        <v>20</v>
      </c>
      <c r="K346" s="18" t="s">
        <v>147</v>
      </c>
      <c r="L346" s="18" t="s">
        <v>147</v>
      </c>
      <c r="M346" s="16" t="s">
        <v>148</v>
      </c>
      <c r="N346" s="18"/>
    </row>
    <row r="347" spans="1:14">
      <c r="A347" s="24">
        <v>46230</v>
      </c>
      <c r="B347" s="5" t="s">
        <v>326</v>
      </c>
      <c r="C347" s="5" t="s">
        <v>180</v>
      </c>
      <c r="D347" s="5" t="s">
        <v>6</v>
      </c>
      <c r="E347" s="5" t="s">
        <v>167</v>
      </c>
      <c r="F347" s="5" t="s">
        <v>394</v>
      </c>
      <c r="G347" s="5" t="s">
        <v>258</v>
      </c>
      <c r="H347" s="5"/>
      <c r="I347" s="5" t="s">
        <v>216</v>
      </c>
      <c r="J347" s="7">
        <v>20</v>
      </c>
      <c r="K347" s="5" t="s">
        <v>147</v>
      </c>
      <c r="L347" s="5" t="s">
        <v>147</v>
      </c>
      <c r="M347" s="16" t="s">
        <v>148</v>
      </c>
      <c r="N347" s="5"/>
    </row>
    <row r="348" spans="1:14">
      <c r="A348" s="25">
        <v>46230</v>
      </c>
      <c r="B348" s="18" t="s">
        <v>326</v>
      </c>
      <c r="C348" s="18" t="s">
        <v>180</v>
      </c>
      <c r="D348" s="18" t="s">
        <v>6</v>
      </c>
      <c r="E348" s="18" t="s">
        <v>168</v>
      </c>
      <c r="F348" s="18" t="s">
        <v>397</v>
      </c>
      <c r="G348" s="18" t="s">
        <v>185</v>
      </c>
      <c r="H348" s="18"/>
      <c r="I348" s="18" t="s">
        <v>47</v>
      </c>
      <c r="J348" s="19">
        <v>2</v>
      </c>
      <c r="K348" s="18" t="s">
        <v>153</v>
      </c>
      <c r="L348" s="18" t="s">
        <v>153</v>
      </c>
      <c r="M348" s="17" t="s">
        <v>153</v>
      </c>
      <c r="N348" s="18"/>
    </row>
    <row r="349" spans="1:14">
      <c r="A349" s="24">
        <v>46230</v>
      </c>
      <c r="B349" s="5" t="s">
        <v>326</v>
      </c>
      <c r="C349" s="5" t="s">
        <v>180</v>
      </c>
      <c r="D349" s="5" t="s">
        <v>6</v>
      </c>
      <c r="E349" s="5" t="s">
        <v>168</v>
      </c>
      <c r="F349" s="5" t="s">
        <v>397</v>
      </c>
      <c r="G349" s="5" t="s">
        <v>186</v>
      </c>
      <c r="H349" s="5"/>
      <c r="I349" s="5" t="s">
        <v>40</v>
      </c>
      <c r="J349" s="7">
        <v>1</v>
      </c>
      <c r="K349" s="5" t="s">
        <v>153</v>
      </c>
      <c r="L349" s="5" t="s">
        <v>153</v>
      </c>
      <c r="M349" s="17" t="s">
        <v>153</v>
      </c>
      <c r="N349" s="5"/>
    </row>
    <row r="350" spans="1:14">
      <c r="A350" s="25">
        <v>46230</v>
      </c>
      <c r="B350" s="18" t="s">
        <v>326</v>
      </c>
      <c r="C350" s="18" t="s">
        <v>180</v>
      </c>
      <c r="D350" s="18" t="s">
        <v>6</v>
      </c>
      <c r="E350" s="18" t="s">
        <v>168</v>
      </c>
      <c r="F350" s="18" t="s">
        <v>397</v>
      </c>
      <c r="G350" s="18" t="s">
        <v>236</v>
      </c>
      <c r="H350" s="18"/>
      <c r="I350" s="18" t="s">
        <v>40</v>
      </c>
      <c r="J350" s="19">
        <v>1</v>
      </c>
      <c r="K350" s="18" t="s">
        <v>153</v>
      </c>
      <c r="L350" s="18" t="s">
        <v>153</v>
      </c>
      <c r="M350" s="17" t="s">
        <v>153</v>
      </c>
      <c r="N350" s="18"/>
    </row>
    <row r="351" spans="1:14">
      <c r="A351" s="24">
        <v>46230</v>
      </c>
      <c r="B351" s="5" t="s">
        <v>326</v>
      </c>
      <c r="C351" s="5" t="s">
        <v>180</v>
      </c>
      <c r="D351" s="5" t="s">
        <v>6</v>
      </c>
      <c r="E351" s="5" t="s">
        <v>168</v>
      </c>
      <c r="F351" s="5" t="s">
        <v>397</v>
      </c>
      <c r="G351" s="5" t="s">
        <v>233</v>
      </c>
      <c r="H351" s="5"/>
      <c r="I351" s="5" t="s">
        <v>40</v>
      </c>
      <c r="J351" s="7">
        <v>2</v>
      </c>
      <c r="K351" s="5" t="s">
        <v>147</v>
      </c>
      <c r="L351" s="5" t="s">
        <v>147</v>
      </c>
      <c r="M351" s="16" t="s">
        <v>148</v>
      </c>
      <c r="N351" s="5"/>
    </row>
    <row r="352" spans="1:14">
      <c r="A352" s="25">
        <v>46230</v>
      </c>
      <c r="B352" s="18" t="s">
        <v>326</v>
      </c>
      <c r="C352" s="18" t="s">
        <v>180</v>
      </c>
      <c r="D352" s="18" t="s">
        <v>6</v>
      </c>
      <c r="E352" s="18" t="s">
        <v>168</v>
      </c>
      <c r="F352" s="18" t="s">
        <v>397</v>
      </c>
      <c r="G352" s="18" t="s">
        <v>277</v>
      </c>
      <c r="H352" s="18"/>
      <c r="I352" s="18" t="s">
        <v>47</v>
      </c>
      <c r="J352" s="19">
        <v>1</v>
      </c>
      <c r="K352" s="18" t="s">
        <v>147</v>
      </c>
      <c r="L352" s="18" t="s">
        <v>147</v>
      </c>
      <c r="M352" s="16" t="s">
        <v>148</v>
      </c>
      <c r="N352" s="18"/>
    </row>
    <row r="353" spans="1:14">
      <c r="A353" s="24">
        <v>46230</v>
      </c>
      <c r="B353" s="5" t="s">
        <v>326</v>
      </c>
      <c r="C353" s="5" t="s">
        <v>180</v>
      </c>
      <c r="D353" s="5" t="s">
        <v>6</v>
      </c>
      <c r="E353" s="5" t="s">
        <v>168</v>
      </c>
      <c r="F353" s="5" t="s">
        <v>397</v>
      </c>
      <c r="G353" s="5" t="s">
        <v>269</v>
      </c>
      <c r="H353" s="5"/>
      <c r="I353" s="5" t="s">
        <v>40</v>
      </c>
      <c r="J353" s="7">
        <v>1</v>
      </c>
      <c r="K353" s="5" t="s">
        <v>147</v>
      </c>
      <c r="L353" s="5" t="s">
        <v>147</v>
      </c>
      <c r="M353" s="16" t="s">
        <v>148</v>
      </c>
      <c r="N353" s="5"/>
    </row>
    <row r="354" spans="1:14">
      <c r="A354" s="25">
        <v>46230</v>
      </c>
      <c r="B354" s="18" t="s">
        <v>326</v>
      </c>
      <c r="C354" s="18" t="s">
        <v>180</v>
      </c>
      <c r="D354" s="18" t="s">
        <v>6</v>
      </c>
      <c r="E354" s="18" t="s">
        <v>168</v>
      </c>
      <c r="F354" s="18" t="s">
        <v>397</v>
      </c>
      <c r="G354" s="18" t="s">
        <v>193</v>
      </c>
      <c r="H354" s="18"/>
      <c r="I354" s="18" t="s">
        <v>216</v>
      </c>
      <c r="J354" s="19">
        <v>1</v>
      </c>
      <c r="K354" s="18" t="s">
        <v>147</v>
      </c>
      <c r="L354" s="18" t="s">
        <v>147</v>
      </c>
      <c r="M354" s="16" t="s">
        <v>148</v>
      </c>
      <c r="N354" s="18"/>
    </row>
    <row r="355" spans="1:14">
      <c r="A355" s="24">
        <v>46230</v>
      </c>
      <c r="B355" s="5" t="s">
        <v>326</v>
      </c>
      <c r="C355" s="5" t="s">
        <v>180</v>
      </c>
      <c r="D355" s="5" t="s">
        <v>6</v>
      </c>
      <c r="E355" s="5" t="s">
        <v>168</v>
      </c>
      <c r="F355" s="5" t="s">
        <v>397</v>
      </c>
      <c r="G355" s="5" t="s">
        <v>227</v>
      </c>
      <c r="H355" s="5"/>
      <c r="I355" s="5" t="s">
        <v>216</v>
      </c>
      <c r="J355" s="7">
        <v>2</v>
      </c>
      <c r="K355" s="5" t="s">
        <v>147</v>
      </c>
      <c r="L355" s="5" t="s">
        <v>147</v>
      </c>
      <c r="M355" s="16" t="s">
        <v>148</v>
      </c>
      <c r="N355" s="5"/>
    </row>
    <row r="356" spans="1:14">
      <c r="A356" s="25">
        <v>46230</v>
      </c>
      <c r="B356" s="18" t="s">
        <v>326</v>
      </c>
      <c r="C356" s="18" t="s">
        <v>180</v>
      </c>
      <c r="D356" s="18" t="s">
        <v>6</v>
      </c>
      <c r="E356" s="18" t="s">
        <v>168</v>
      </c>
      <c r="F356" s="18" t="s">
        <v>397</v>
      </c>
      <c r="G356" s="18" t="s">
        <v>39</v>
      </c>
      <c r="H356" s="18"/>
      <c r="I356" s="18" t="s">
        <v>40</v>
      </c>
      <c r="J356" s="19">
        <v>300</v>
      </c>
      <c r="K356" s="18" t="s">
        <v>147</v>
      </c>
      <c r="L356" s="18" t="s">
        <v>147</v>
      </c>
      <c r="M356" s="16" t="s">
        <v>148</v>
      </c>
      <c r="N356" s="18"/>
    </row>
    <row r="357" spans="1:14">
      <c r="A357" s="24">
        <v>46230</v>
      </c>
      <c r="B357" s="5" t="s">
        <v>326</v>
      </c>
      <c r="C357" s="5" t="s">
        <v>180</v>
      </c>
      <c r="D357" s="5" t="s">
        <v>6</v>
      </c>
      <c r="E357" s="5" t="s">
        <v>168</v>
      </c>
      <c r="F357" s="5" t="s">
        <v>397</v>
      </c>
      <c r="G357" s="5" t="s">
        <v>286</v>
      </c>
      <c r="H357" s="5"/>
      <c r="I357" s="5" t="s">
        <v>216</v>
      </c>
      <c r="J357" s="7">
        <v>2</v>
      </c>
      <c r="K357" s="5" t="s">
        <v>147</v>
      </c>
      <c r="L357" s="5" t="s">
        <v>147</v>
      </c>
      <c r="M357" s="16" t="s">
        <v>148</v>
      </c>
      <c r="N357" s="5"/>
    </row>
    <row r="358" spans="1:14">
      <c r="A358" s="25">
        <v>46230</v>
      </c>
      <c r="B358" s="18" t="s">
        <v>326</v>
      </c>
      <c r="C358" s="18" t="s">
        <v>180</v>
      </c>
      <c r="D358" s="18" t="s">
        <v>6</v>
      </c>
      <c r="E358" s="18" t="s">
        <v>168</v>
      </c>
      <c r="F358" s="18" t="s">
        <v>397</v>
      </c>
      <c r="G358" s="18" t="s">
        <v>188</v>
      </c>
      <c r="H358" s="18"/>
      <c r="I358" s="18" t="s">
        <v>216</v>
      </c>
      <c r="J358" s="19">
        <v>1</v>
      </c>
      <c r="K358" s="18" t="s">
        <v>147</v>
      </c>
      <c r="L358" s="18" t="s">
        <v>147</v>
      </c>
      <c r="M358" s="16" t="s">
        <v>148</v>
      </c>
      <c r="N358" s="18"/>
    </row>
    <row r="359" spans="1:14">
      <c r="A359" s="24">
        <v>46230</v>
      </c>
      <c r="B359" s="5" t="s">
        <v>326</v>
      </c>
      <c r="C359" s="5" t="s">
        <v>180</v>
      </c>
      <c r="D359" s="5" t="s">
        <v>6</v>
      </c>
      <c r="E359" s="5" t="s">
        <v>168</v>
      </c>
      <c r="F359" s="5" t="s">
        <v>397</v>
      </c>
      <c r="G359" s="5" t="s">
        <v>41</v>
      </c>
      <c r="H359" s="5"/>
      <c r="I359" s="5" t="s">
        <v>40</v>
      </c>
      <c r="J359" s="7">
        <v>300</v>
      </c>
      <c r="K359" s="5" t="s">
        <v>147</v>
      </c>
      <c r="L359" s="5" t="s">
        <v>147</v>
      </c>
      <c r="M359" s="16" t="s">
        <v>148</v>
      </c>
      <c r="N359" s="5"/>
    </row>
    <row r="360" spans="1:14">
      <c r="A360" s="25">
        <v>46230</v>
      </c>
      <c r="B360" s="18" t="s">
        <v>326</v>
      </c>
      <c r="C360" s="18" t="s">
        <v>180</v>
      </c>
      <c r="D360" s="18" t="s">
        <v>6</v>
      </c>
      <c r="E360" s="18" t="s">
        <v>169</v>
      </c>
      <c r="F360" s="18" t="s">
        <v>394</v>
      </c>
      <c r="G360" s="18" t="s">
        <v>39</v>
      </c>
      <c r="H360" s="18"/>
      <c r="I360" s="18" t="s">
        <v>40</v>
      </c>
      <c r="J360" s="19">
        <v>100</v>
      </c>
      <c r="K360" s="18" t="s">
        <v>147</v>
      </c>
      <c r="L360" s="18" t="s">
        <v>147</v>
      </c>
      <c r="M360" s="16" t="s">
        <v>148</v>
      </c>
      <c r="N360" s="18"/>
    </row>
    <row r="361" spans="1:14">
      <c r="A361" s="24">
        <v>46230</v>
      </c>
      <c r="B361" s="5" t="s">
        <v>326</v>
      </c>
      <c r="C361" s="5" t="s">
        <v>180</v>
      </c>
      <c r="D361" s="5" t="s">
        <v>6</v>
      </c>
      <c r="E361" s="5" t="s">
        <v>169</v>
      </c>
      <c r="F361" s="5" t="s">
        <v>394</v>
      </c>
      <c r="G361" s="5" t="s">
        <v>186</v>
      </c>
      <c r="H361" s="5"/>
      <c r="I361" s="5" t="s">
        <v>40</v>
      </c>
      <c r="J361" s="7">
        <v>1</v>
      </c>
      <c r="K361" s="5" t="s">
        <v>153</v>
      </c>
      <c r="L361" s="5" t="s">
        <v>153</v>
      </c>
      <c r="M361" s="17" t="s">
        <v>153</v>
      </c>
      <c r="N361" s="5"/>
    </row>
    <row r="362" spans="1:14">
      <c r="A362" s="25">
        <v>46230</v>
      </c>
      <c r="B362" s="18" t="s">
        <v>326</v>
      </c>
      <c r="C362" s="18" t="s">
        <v>180</v>
      </c>
      <c r="D362" s="18" t="s">
        <v>6</v>
      </c>
      <c r="E362" s="18" t="s">
        <v>169</v>
      </c>
      <c r="F362" s="18" t="s">
        <v>394</v>
      </c>
      <c r="G362" s="18" t="s">
        <v>225</v>
      </c>
      <c r="H362" s="18"/>
      <c r="I362" s="18" t="s">
        <v>216</v>
      </c>
      <c r="J362" s="19">
        <v>20</v>
      </c>
      <c r="K362" s="18" t="s">
        <v>147</v>
      </c>
      <c r="L362" s="18" t="s">
        <v>147</v>
      </c>
      <c r="M362" s="16" t="s">
        <v>148</v>
      </c>
      <c r="N362" s="18"/>
    </row>
    <row r="363" spans="1:14">
      <c r="A363" s="24">
        <v>46230</v>
      </c>
      <c r="B363" s="5" t="s">
        <v>326</v>
      </c>
      <c r="C363" s="5" t="s">
        <v>180</v>
      </c>
      <c r="D363" s="5" t="s">
        <v>6</v>
      </c>
      <c r="E363" s="5" t="s">
        <v>169</v>
      </c>
      <c r="F363" s="5" t="s">
        <v>394</v>
      </c>
      <c r="G363" s="5" t="s">
        <v>258</v>
      </c>
      <c r="H363" s="5"/>
      <c r="I363" s="5" t="s">
        <v>216</v>
      </c>
      <c r="J363" s="7">
        <v>20</v>
      </c>
      <c r="K363" s="5" t="s">
        <v>147</v>
      </c>
      <c r="L363" s="5" t="s">
        <v>147</v>
      </c>
      <c r="M363" s="16" t="s">
        <v>148</v>
      </c>
      <c r="N363" s="5"/>
    </row>
    <row r="364" spans="1:14">
      <c r="A364" s="25">
        <v>46230</v>
      </c>
      <c r="B364" s="18" t="s">
        <v>326</v>
      </c>
      <c r="C364" s="18" t="s">
        <v>180</v>
      </c>
      <c r="D364" s="18" t="s">
        <v>6</v>
      </c>
      <c r="E364" s="18" t="s">
        <v>169</v>
      </c>
      <c r="F364" s="18" t="s">
        <v>394</v>
      </c>
      <c r="G364" s="18" t="s">
        <v>280</v>
      </c>
      <c r="H364" s="18"/>
      <c r="I364" s="18" t="s">
        <v>40</v>
      </c>
      <c r="J364" s="19">
        <v>1</v>
      </c>
      <c r="K364" s="18" t="s">
        <v>147</v>
      </c>
      <c r="L364" s="18" t="s">
        <v>147</v>
      </c>
      <c r="M364" s="16" t="s">
        <v>148</v>
      </c>
      <c r="N364" s="18"/>
    </row>
    <row r="365" spans="1:14">
      <c r="A365" s="24">
        <v>46230</v>
      </c>
      <c r="B365" s="5" t="s">
        <v>326</v>
      </c>
      <c r="C365" s="5" t="s">
        <v>180</v>
      </c>
      <c r="D365" s="5" t="s">
        <v>6</v>
      </c>
      <c r="E365" s="5" t="s">
        <v>169</v>
      </c>
      <c r="F365" s="5" t="s">
        <v>394</v>
      </c>
      <c r="G365" s="5" t="s">
        <v>227</v>
      </c>
      <c r="H365" s="5"/>
      <c r="I365" s="5" t="s">
        <v>216</v>
      </c>
      <c r="J365" s="7">
        <v>4</v>
      </c>
      <c r="K365" s="5" t="s">
        <v>147</v>
      </c>
      <c r="L365" s="5" t="s">
        <v>147</v>
      </c>
      <c r="M365" s="16" t="s">
        <v>148</v>
      </c>
      <c r="N365" s="5"/>
    </row>
    <row r="366" spans="1:14">
      <c r="A366" s="25">
        <v>46230</v>
      </c>
      <c r="B366" s="18" t="s">
        <v>326</v>
      </c>
      <c r="C366" s="18" t="s">
        <v>180</v>
      </c>
      <c r="D366" s="18" t="s">
        <v>6</v>
      </c>
      <c r="E366" s="18" t="s">
        <v>169</v>
      </c>
      <c r="F366" s="18" t="s">
        <v>394</v>
      </c>
      <c r="G366" s="18" t="s">
        <v>41</v>
      </c>
      <c r="H366" s="18"/>
      <c r="I366" s="18" t="s">
        <v>40</v>
      </c>
      <c r="J366" s="19">
        <v>20</v>
      </c>
      <c r="K366" s="18" t="s">
        <v>147</v>
      </c>
      <c r="L366" s="18" t="s">
        <v>147</v>
      </c>
      <c r="M366" s="16" t="s">
        <v>148</v>
      </c>
      <c r="N366" s="18"/>
    </row>
    <row r="367" spans="1:14">
      <c r="A367" s="24">
        <v>46230</v>
      </c>
      <c r="B367" s="5" t="s">
        <v>326</v>
      </c>
      <c r="C367" s="5" t="s">
        <v>180</v>
      </c>
      <c r="D367" s="5" t="s">
        <v>6</v>
      </c>
      <c r="E367" s="5" t="s">
        <v>169</v>
      </c>
      <c r="F367" s="5" t="s">
        <v>394</v>
      </c>
      <c r="G367" s="5" t="s">
        <v>48</v>
      </c>
      <c r="H367" s="5"/>
      <c r="I367" s="5" t="s">
        <v>47</v>
      </c>
      <c r="J367" s="7">
        <v>50</v>
      </c>
      <c r="K367" s="5" t="s">
        <v>147</v>
      </c>
      <c r="L367" s="5" t="s">
        <v>147</v>
      </c>
      <c r="M367" s="16" t="s">
        <v>148</v>
      </c>
      <c r="N367" s="5"/>
    </row>
    <row r="368" spans="1:14">
      <c r="A368" s="25">
        <v>46234</v>
      </c>
      <c r="B368" s="18" t="s">
        <v>326</v>
      </c>
      <c r="C368" s="18" t="s">
        <v>180</v>
      </c>
      <c r="D368" s="18" t="s">
        <v>6</v>
      </c>
      <c r="E368" s="18" t="s">
        <v>168</v>
      </c>
      <c r="F368" s="18" t="s">
        <v>397</v>
      </c>
      <c r="G368" s="18" t="s">
        <v>46</v>
      </c>
      <c r="H368" s="18"/>
      <c r="I368" s="18" t="s">
        <v>47</v>
      </c>
      <c r="J368" s="19">
        <v>30</v>
      </c>
      <c r="K368" s="18" t="s">
        <v>153</v>
      </c>
      <c r="L368" s="18" t="s">
        <v>153</v>
      </c>
      <c r="M368" s="17" t="s">
        <v>153</v>
      </c>
      <c r="N368" s="18"/>
    </row>
    <row r="369" spans="1:14">
      <c r="A369" s="24">
        <v>46234</v>
      </c>
      <c r="B369" s="5" t="s">
        <v>326</v>
      </c>
      <c r="C369" s="5" t="s">
        <v>180</v>
      </c>
      <c r="D369" s="5" t="s">
        <v>6</v>
      </c>
      <c r="E369" s="5" t="s">
        <v>168</v>
      </c>
      <c r="F369" s="5" t="s">
        <v>397</v>
      </c>
      <c r="G369" s="5" t="s">
        <v>254</v>
      </c>
      <c r="H369" s="5"/>
      <c r="I369" s="5" t="s">
        <v>47</v>
      </c>
      <c r="J369" s="7">
        <v>1</v>
      </c>
      <c r="K369" s="5" t="s">
        <v>150</v>
      </c>
      <c r="L369" s="5" t="s">
        <v>150</v>
      </c>
      <c r="M369" s="16" t="s">
        <v>148</v>
      </c>
      <c r="N369" s="5"/>
    </row>
    <row r="370" spans="1:14">
      <c r="A370" s="25">
        <v>46234</v>
      </c>
      <c r="B370" s="18" t="s">
        <v>326</v>
      </c>
      <c r="C370" s="18" t="s">
        <v>180</v>
      </c>
      <c r="D370" s="18" t="s">
        <v>6</v>
      </c>
      <c r="E370" s="18" t="s">
        <v>168</v>
      </c>
      <c r="F370" s="18" t="s">
        <v>397</v>
      </c>
      <c r="G370" s="18" t="s">
        <v>233</v>
      </c>
      <c r="H370" s="18"/>
      <c r="I370" s="18" t="s">
        <v>40</v>
      </c>
      <c r="J370" s="19">
        <v>1</v>
      </c>
      <c r="K370" s="18" t="s">
        <v>153</v>
      </c>
      <c r="L370" s="18" t="s">
        <v>153</v>
      </c>
      <c r="M370" s="17" t="s">
        <v>153</v>
      </c>
      <c r="N370" s="18"/>
    </row>
    <row r="371" spans="1:14">
      <c r="A371" s="24">
        <v>46234</v>
      </c>
      <c r="B371" s="5" t="s">
        <v>326</v>
      </c>
      <c r="C371" s="5" t="s">
        <v>180</v>
      </c>
      <c r="D371" s="5" t="s">
        <v>6</v>
      </c>
      <c r="E371" s="5" t="s">
        <v>168</v>
      </c>
      <c r="F371" s="5" t="s">
        <v>397</v>
      </c>
      <c r="G371" s="5" t="s">
        <v>185</v>
      </c>
      <c r="H371" s="5"/>
      <c r="I371" s="5" t="s">
        <v>47</v>
      </c>
      <c r="J371" s="7">
        <v>3</v>
      </c>
      <c r="K371" s="5" t="s">
        <v>153</v>
      </c>
      <c r="L371" s="5" t="s">
        <v>153</v>
      </c>
      <c r="M371" s="17" t="s">
        <v>153</v>
      </c>
      <c r="N371" s="5"/>
    </row>
    <row r="372" spans="1:14">
      <c r="A372" s="25">
        <v>46234</v>
      </c>
      <c r="B372" s="18" t="s">
        <v>326</v>
      </c>
      <c r="C372" s="18" t="s">
        <v>180</v>
      </c>
      <c r="D372" s="18" t="s">
        <v>6</v>
      </c>
      <c r="E372" s="18" t="s">
        <v>168</v>
      </c>
      <c r="F372" s="18" t="s">
        <v>397</v>
      </c>
      <c r="G372" s="18" t="s">
        <v>236</v>
      </c>
      <c r="H372" s="18"/>
      <c r="I372" s="18" t="s">
        <v>40</v>
      </c>
      <c r="J372" s="19">
        <v>2</v>
      </c>
      <c r="K372" s="18" t="s">
        <v>150</v>
      </c>
      <c r="L372" s="18" t="s">
        <v>150</v>
      </c>
      <c r="M372" s="16" t="s">
        <v>148</v>
      </c>
      <c r="N372" s="18"/>
    </row>
    <row r="373" spans="1:14">
      <c r="A373" s="24">
        <v>46234</v>
      </c>
      <c r="B373" s="5" t="s">
        <v>326</v>
      </c>
      <c r="C373" s="5" t="s">
        <v>180</v>
      </c>
      <c r="D373" s="5" t="s">
        <v>6</v>
      </c>
      <c r="E373" s="5" t="s">
        <v>168</v>
      </c>
      <c r="F373" s="5" t="s">
        <v>397</v>
      </c>
      <c r="G373" s="5" t="s">
        <v>272</v>
      </c>
      <c r="H373" s="5"/>
      <c r="I373" s="5" t="s">
        <v>47</v>
      </c>
      <c r="J373" s="7">
        <v>1</v>
      </c>
      <c r="K373" s="5" t="s">
        <v>150</v>
      </c>
      <c r="L373" s="5" t="s">
        <v>150</v>
      </c>
      <c r="M373" s="16" t="s">
        <v>148</v>
      </c>
      <c r="N373" s="5"/>
    </row>
    <row r="374" spans="1:14">
      <c r="A374" s="25">
        <v>46234</v>
      </c>
      <c r="B374" s="18" t="s">
        <v>326</v>
      </c>
      <c r="C374" s="18" t="s">
        <v>180</v>
      </c>
      <c r="D374" s="18" t="s">
        <v>6</v>
      </c>
      <c r="E374" s="18" t="s">
        <v>168</v>
      </c>
      <c r="F374" s="18" t="s">
        <v>397</v>
      </c>
      <c r="G374" s="18" t="s">
        <v>186</v>
      </c>
      <c r="H374" s="18"/>
      <c r="I374" s="18" t="s">
        <v>40</v>
      </c>
      <c r="J374" s="19">
        <v>2</v>
      </c>
      <c r="K374" s="18" t="s">
        <v>153</v>
      </c>
      <c r="L374" s="18" t="s">
        <v>153</v>
      </c>
      <c r="M374" s="17" t="s">
        <v>153</v>
      </c>
      <c r="N374" s="18"/>
    </row>
    <row r="375" spans="1:14">
      <c r="A375" s="24">
        <v>46237</v>
      </c>
      <c r="B375" s="5" t="s">
        <v>327</v>
      </c>
      <c r="C375" s="5" t="s">
        <v>381</v>
      </c>
      <c r="D375" s="5" t="s">
        <v>6</v>
      </c>
      <c r="E375" s="5" t="s">
        <v>163</v>
      </c>
      <c r="F375" s="5" t="s">
        <v>394</v>
      </c>
      <c r="G375" s="5" t="s">
        <v>271</v>
      </c>
      <c r="H375" s="5"/>
      <c r="I375" s="5" t="s">
        <v>47</v>
      </c>
      <c r="J375" s="7">
        <v>1</v>
      </c>
      <c r="K375" s="5" t="s">
        <v>151</v>
      </c>
      <c r="L375" s="5" t="s">
        <v>151</v>
      </c>
      <c r="M375" s="16" t="s">
        <v>148</v>
      </c>
      <c r="N375" s="5"/>
    </row>
    <row r="376" spans="1:14">
      <c r="A376" s="25">
        <v>46237</v>
      </c>
      <c r="B376" s="18" t="s">
        <v>327</v>
      </c>
      <c r="C376" s="18" t="s">
        <v>381</v>
      </c>
      <c r="D376" s="18" t="s">
        <v>6</v>
      </c>
      <c r="E376" s="18" t="s">
        <v>163</v>
      </c>
      <c r="F376" s="18" t="s">
        <v>394</v>
      </c>
      <c r="G376" s="18" t="s">
        <v>236</v>
      </c>
      <c r="H376" s="18"/>
      <c r="I376" s="18" t="s">
        <v>40</v>
      </c>
      <c r="J376" s="19">
        <v>1</v>
      </c>
      <c r="K376" s="18" t="s">
        <v>151</v>
      </c>
      <c r="L376" s="18" t="s">
        <v>151</v>
      </c>
      <c r="M376" s="16" t="s">
        <v>148</v>
      </c>
      <c r="N376" s="18"/>
    </row>
    <row r="377" spans="1:14">
      <c r="A377" s="24">
        <v>46237</v>
      </c>
      <c r="B377" s="5" t="s">
        <v>327</v>
      </c>
      <c r="C377" s="5" t="s">
        <v>381</v>
      </c>
      <c r="D377" s="5" t="s">
        <v>6</v>
      </c>
      <c r="E377" s="5" t="s">
        <v>163</v>
      </c>
      <c r="F377" s="5" t="s">
        <v>394</v>
      </c>
      <c r="G377" s="5" t="s">
        <v>190</v>
      </c>
      <c r="H377" s="5"/>
      <c r="I377" s="5" t="s">
        <v>47</v>
      </c>
      <c r="J377" s="7">
        <v>2</v>
      </c>
      <c r="K377" s="5" t="s">
        <v>153</v>
      </c>
      <c r="L377" s="5" t="s">
        <v>153</v>
      </c>
      <c r="M377" s="17" t="s">
        <v>153</v>
      </c>
      <c r="N377" s="5"/>
    </row>
    <row r="378" spans="1:14">
      <c r="A378" s="25">
        <v>46237</v>
      </c>
      <c r="B378" s="18" t="s">
        <v>327</v>
      </c>
      <c r="C378" s="18" t="s">
        <v>381</v>
      </c>
      <c r="D378" s="18" t="s">
        <v>6</v>
      </c>
      <c r="E378" s="18" t="s">
        <v>163</v>
      </c>
      <c r="F378" s="18" t="s">
        <v>394</v>
      </c>
      <c r="G378" s="18" t="s">
        <v>39</v>
      </c>
      <c r="H378" s="18"/>
      <c r="I378" s="18" t="s">
        <v>40</v>
      </c>
      <c r="J378" s="19">
        <v>150</v>
      </c>
      <c r="K378" s="18" t="s">
        <v>151</v>
      </c>
      <c r="L378" s="18" t="s">
        <v>151</v>
      </c>
      <c r="M378" s="16" t="s">
        <v>148</v>
      </c>
      <c r="N378" s="18"/>
    </row>
    <row r="379" spans="1:14">
      <c r="A379" s="24">
        <v>46237</v>
      </c>
      <c r="B379" s="5" t="s">
        <v>327</v>
      </c>
      <c r="C379" s="5" t="s">
        <v>381</v>
      </c>
      <c r="D379" s="5" t="s">
        <v>6</v>
      </c>
      <c r="E379" s="5" t="s">
        <v>163</v>
      </c>
      <c r="F379" s="5" t="s">
        <v>394</v>
      </c>
      <c r="G379" s="5" t="s">
        <v>252</v>
      </c>
      <c r="H379" s="5"/>
      <c r="I379" s="5" t="s">
        <v>40</v>
      </c>
      <c r="J379" s="7">
        <v>1</v>
      </c>
      <c r="K379" s="5" t="s">
        <v>151</v>
      </c>
      <c r="L379" s="5" t="s">
        <v>151</v>
      </c>
      <c r="M379" s="16" t="s">
        <v>148</v>
      </c>
      <c r="N379" s="5"/>
    </row>
    <row r="380" spans="1:14">
      <c r="A380" s="25">
        <v>46237</v>
      </c>
      <c r="B380" s="18" t="s">
        <v>327</v>
      </c>
      <c r="C380" s="18" t="s">
        <v>381</v>
      </c>
      <c r="D380" s="18" t="s">
        <v>6</v>
      </c>
      <c r="E380" s="18" t="s">
        <v>163</v>
      </c>
      <c r="F380" s="18" t="s">
        <v>394</v>
      </c>
      <c r="G380" s="18" t="s">
        <v>285</v>
      </c>
      <c r="H380" s="18"/>
      <c r="I380" s="18" t="s">
        <v>40</v>
      </c>
      <c r="J380" s="19">
        <v>1</v>
      </c>
      <c r="K380" s="18" t="s">
        <v>151</v>
      </c>
      <c r="L380" s="18" t="s">
        <v>151</v>
      </c>
      <c r="M380" s="16" t="s">
        <v>148</v>
      </c>
      <c r="N380" s="18"/>
    </row>
    <row r="381" spans="1:14">
      <c r="A381" s="24">
        <v>46237</v>
      </c>
      <c r="B381" s="5" t="s">
        <v>327</v>
      </c>
      <c r="C381" s="5" t="s">
        <v>381</v>
      </c>
      <c r="D381" s="5" t="s">
        <v>6</v>
      </c>
      <c r="E381" s="5" t="s">
        <v>163</v>
      </c>
      <c r="F381" s="5" t="s">
        <v>394</v>
      </c>
      <c r="G381" s="5" t="s">
        <v>249</v>
      </c>
      <c r="H381" s="5"/>
      <c r="I381" s="5" t="s">
        <v>40</v>
      </c>
      <c r="J381" s="7">
        <v>1</v>
      </c>
      <c r="K381" s="5" t="s">
        <v>151</v>
      </c>
      <c r="L381" s="5" t="s">
        <v>151</v>
      </c>
      <c r="M381" s="16" t="s">
        <v>148</v>
      </c>
      <c r="N381" s="5"/>
    </row>
    <row r="382" spans="1:14">
      <c r="A382" s="25">
        <v>46237</v>
      </c>
      <c r="B382" s="18" t="s">
        <v>327</v>
      </c>
      <c r="C382" s="18" t="s">
        <v>381</v>
      </c>
      <c r="D382" s="18" t="s">
        <v>6</v>
      </c>
      <c r="E382" s="18" t="s">
        <v>163</v>
      </c>
      <c r="F382" s="18" t="s">
        <v>394</v>
      </c>
      <c r="G382" s="18" t="s">
        <v>188</v>
      </c>
      <c r="H382" s="18"/>
      <c r="I382" s="18" t="s">
        <v>216</v>
      </c>
      <c r="J382" s="19">
        <v>1</v>
      </c>
      <c r="K382" s="18" t="s">
        <v>151</v>
      </c>
      <c r="L382" s="18" t="s">
        <v>151</v>
      </c>
      <c r="M382" s="16" t="s">
        <v>148</v>
      </c>
      <c r="N382" s="18"/>
    </row>
    <row r="383" spans="1:14">
      <c r="A383" s="24">
        <v>46237</v>
      </c>
      <c r="B383" s="5" t="s">
        <v>327</v>
      </c>
      <c r="C383" s="5" t="s">
        <v>381</v>
      </c>
      <c r="D383" s="5" t="s">
        <v>6</v>
      </c>
      <c r="E383" s="5" t="s">
        <v>163</v>
      </c>
      <c r="F383" s="5" t="s">
        <v>394</v>
      </c>
      <c r="G383" s="5" t="s">
        <v>280</v>
      </c>
      <c r="H383" s="5"/>
      <c r="I383" s="5" t="s">
        <v>40</v>
      </c>
      <c r="J383" s="7">
        <v>1</v>
      </c>
      <c r="K383" s="5" t="s">
        <v>151</v>
      </c>
      <c r="L383" s="5" t="s">
        <v>151</v>
      </c>
      <c r="M383" s="16" t="s">
        <v>148</v>
      </c>
      <c r="N383" s="5"/>
    </row>
    <row r="384" spans="1:14">
      <c r="A384" s="25">
        <v>46237</v>
      </c>
      <c r="B384" s="18" t="s">
        <v>327</v>
      </c>
      <c r="C384" s="18" t="s">
        <v>381</v>
      </c>
      <c r="D384" s="18" t="s">
        <v>6</v>
      </c>
      <c r="E384" s="18" t="s">
        <v>167</v>
      </c>
      <c r="F384" s="18" t="s">
        <v>394</v>
      </c>
      <c r="G384" s="18" t="s">
        <v>238</v>
      </c>
      <c r="H384" s="18"/>
      <c r="I384" s="18" t="s">
        <v>47</v>
      </c>
      <c r="J384" s="19">
        <v>1</v>
      </c>
      <c r="K384" s="18" t="s">
        <v>151</v>
      </c>
      <c r="L384" s="18" t="s">
        <v>151</v>
      </c>
      <c r="M384" s="16" t="s">
        <v>148</v>
      </c>
      <c r="N384" s="18"/>
    </row>
    <row r="385" spans="1:14">
      <c r="A385" s="24">
        <v>46237</v>
      </c>
      <c r="B385" s="5" t="s">
        <v>327</v>
      </c>
      <c r="C385" s="5" t="s">
        <v>381</v>
      </c>
      <c r="D385" s="5" t="s">
        <v>6</v>
      </c>
      <c r="E385" s="5" t="s">
        <v>167</v>
      </c>
      <c r="F385" s="5" t="s">
        <v>394</v>
      </c>
      <c r="G385" s="5" t="s">
        <v>280</v>
      </c>
      <c r="H385" s="5"/>
      <c r="I385" s="5" t="s">
        <v>40</v>
      </c>
      <c r="J385" s="7">
        <v>1</v>
      </c>
      <c r="K385" s="5" t="s">
        <v>151</v>
      </c>
      <c r="L385" s="5" t="s">
        <v>151</v>
      </c>
      <c r="M385" s="16" t="s">
        <v>148</v>
      </c>
      <c r="N385" s="5"/>
    </row>
    <row r="386" spans="1:14">
      <c r="A386" s="25">
        <v>46237</v>
      </c>
      <c r="B386" s="18" t="s">
        <v>327</v>
      </c>
      <c r="C386" s="18" t="s">
        <v>381</v>
      </c>
      <c r="D386" s="18" t="s">
        <v>6</v>
      </c>
      <c r="E386" s="18" t="s">
        <v>167</v>
      </c>
      <c r="F386" s="18" t="s">
        <v>394</v>
      </c>
      <c r="G386" s="18" t="s">
        <v>287</v>
      </c>
      <c r="H386" s="18"/>
      <c r="I386" s="18" t="s">
        <v>216</v>
      </c>
      <c r="J386" s="19">
        <v>2</v>
      </c>
      <c r="K386" s="18" t="s">
        <v>153</v>
      </c>
      <c r="L386" s="18" t="s">
        <v>153</v>
      </c>
      <c r="M386" s="17" t="s">
        <v>153</v>
      </c>
      <c r="N386" s="18"/>
    </row>
    <row r="387" spans="1:14">
      <c r="A387" s="24">
        <v>46237</v>
      </c>
      <c r="B387" s="5" t="s">
        <v>327</v>
      </c>
      <c r="C387" s="5" t="s">
        <v>381</v>
      </c>
      <c r="D387" s="5" t="s">
        <v>6</v>
      </c>
      <c r="E387" s="5" t="s">
        <v>167</v>
      </c>
      <c r="F387" s="5" t="s">
        <v>394</v>
      </c>
      <c r="G387" s="5" t="s">
        <v>235</v>
      </c>
      <c r="H387" s="5"/>
      <c r="I387" s="5" t="s">
        <v>47</v>
      </c>
      <c r="J387" s="7">
        <v>1</v>
      </c>
      <c r="K387" s="5" t="s">
        <v>151</v>
      </c>
      <c r="L387" s="5" t="s">
        <v>151</v>
      </c>
      <c r="M387" s="16" t="s">
        <v>148</v>
      </c>
      <c r="N387" s="5"/>
    </row>
    <row r="388" spans="1:14">
      <c r="A388" s="25">
        <v>46237</v>
      </c>
      <c r="B388" s="18" t="s">
        <v>327</v>
      </c>
      <c r="C388" s="18" t="s">
        <v>381</v>
      </c>
      <c r="D388" s="18" t="s">
        <v>6</v>
      </c>
      <c r="E388" s="18" t="s">
        <v>167</v>
      </c>
      <c r="F388" s="18" t="s">
        <v>394</v>
      </c>
      <c r="G388" s="18" t="s">
        <v>271</v>
      </c>
      <c r="H388" s="18"/>
      <c r="I388" s="18" t="s">
        <v>47</v>
      </c>
      <c r="J388" s="19">
        <v>2</v>
      </c>
      <c r="K388" s="18" t="s">
        <v>151</v>
      </c>
      <c r="L388" s="18" t="s">
        <v>151</v>
      </c>
      <c r="M388" s="16" t="s">
        <v>148</v>
      </c>
      <c r="N388" s="18"/>
    </row>
    <row r="389" spans="1:14">
      <c r="A389" s="24">
        <v>46237</v>
      </c>
      <c r="B389" s="5" t="s">
        <v>327</v>
      </c>
      <c r="C389" s="5" t="s">
        <v>381</v>
      </c>
      <c r="D389" s="5" t="s">
        <v>6</v>
      </c>
      <c r="E389" s="5" t="s">
        <v>167</v>
      </c>
      <c r="F389" s="5" t="s">
        <v>394</v>
      </c>
      <c r="G389" s="5" t="s">
        <v>185</v>
      </c>
      <c r="H389" s="5"/>
      <c r="I389" s="5" t="s">
        <v>47</v>
      </c>
      <c r="J389" s="7">
        <v>2</v>
      </c>
      <c r="K389" s="5" t="s">
        <v>151</v>
      </c>
      <c r="L389" s="5" t="s">
        <v>151</v>
      </c>
      <c r="M389" s="16" t="s">
        <v>148</v>
      </c>
      <c r="N389" s="5"/>
    </row>
    <row r="390" spans="1:14">
      <c r="A390" s="25">
        <v>46237</v>
      </c>
      <c r="B390" s="18" t="s">
        <v>327</v>
      </c>
      <c r="C390" s="18" t="s">
        <v>381</v>
      </c>
      <c r="D390" s="18" t="s">
        <v>6</v>
      </c>
      <c r="E390" s="18" t="s">
        <v>167</v>
      </c>
      <c r="F390" s="18" t="s">
        <v>394</v>
      </c>
      <c r="G390" s="18" t="s">
        <v>236</v>
      </c>
      <c r="H390" s="18"/>
      <c r="I390" s="18" t="s">
        <v>40</v>
      </c>
      <c r="J390" s="19">
        <v>1</v>
      </c>
      <c r="K390" s="18" t="s">
        <v>151</v>
      </c>
      <c r="L390" s="18" t="s">
        <v>151</v>
      </c>
      <c r="M390" s="16" t="s">
        <v>148</v>
      </c>
      <c r="N390" s="18"/>
    </row>
    <row r="391" spans="1:14">
      <c r="A391" s="24">
        <v>46237</v>
      </c>
      <c r="B391" s="5" t="s">
        <v>327</v>
      </c>
      <c r="C391" s="5" t="s">
        <v>381</v>
      </c>
      <c r="D391" s="5" t="s">
        <v>6</v>
      </c>
      <c r="E391" s="5" t="s">
        <v>167</v>
      </c>
      <c r="F391" s="5" t="s">
        <v>394</v>
      </c>
      <c r="G391" s="5" t="s">
        <v>188</v>
      </c>
      <c r="H391" s="5"/>
      <c r="I391" s="5" t="s">
        <v>216</v>
      </c>
      <c r="J391" s="7">
        <v>1</v>
      </c>
      <c r="K391" s="5" t="s">
        <v>153</v>
      </c>
      <c r="L391" s="5" t="s">
        <v>153</v>
      </c>
      <c r="M391" s="17" t="s">
        <v>153</v>
      </c>
      <c r="N391" s="5"/>
    </row>
    <row r="392" spans="1:14">
      <c r="A392" s="25">
        <v>46237</v>
      </c>
      <c r="B392" s="18" t="s">
        <v>327</v>
      </c>
      <c r="C392" s="18" t="s">
        <v>381</v>
      </c>
      <c r="D392" s="18" t="s">
        <v>6</v>
      </c>
      <c r="E392" s="18" t="s">
        <v>167</v>
      </c>
      <c r="F392" s="18" t="s">
        <v>394</v>
      </c>
      <c r="G392" s="18" t="s">
        <v>39</v>
      </c>
      <c r="H392" s="18"/>
      <c r="I392" s="18" t="s">
        <v>40</v>
      </c>
      <c r="J392" s="19">
        <v>100</v>
      </c>
      <c r="K392" s="18" t="s">
        <v>151</v>
      </c>
      <c r="L392" s="18" t="s">
        <v>151</v>
      </c>
      <c r="M392" s="16" t="s">
        <v>148</v>
      </c>
      <c r="N392" s="18"/>
    </row>
    <row r="393" spans="1:14">
      <c r="A393" s="24">
        <v>46237</v>
      </c>
      <c r="B393" s="5" t="s">
        <v>327</v>
      </c>
      <c r="C393" s="5" t="s">
        <v>381</v>
      </c>
      <c r="D393" s="5" t="s">
        <v>6</v>
      </c>
      <c r="E393" s="5" t="s">
        <v>167</v>
      </c>
      <c r="F393" s="5" t="s">
        <v>394</v>
      </c>
      <c r="G393" s="5" t="s">
        <v>279</v>
      </c>
      <c r="H393" s="5"/>
      <c r="I393" s="5" t="s">
        <v>216</v>
      </c>
      <c r="J393" s="7">
        <v>1</v>
      </c>
      <c r="K393" s="5" t="s">
        <v>151</v>
      </c>
      <c r="L393" s="5" t="s">
        <v>151</v>
      </c>
      <c r="M393" s="16" t="s">
        <v>148</v>
      </c>
      <c r="N393" s="5"/>
    </row>
    <row r="394" spans="1:14">
      <c r="A394" s="25">
        <v>46237</v>
      </c>
      <c r="B394" s="18" t="s">
        <v>327</v>
      </c>
      <c r="C394" s="18" t="s">
        <v>381</v>
      </c>
      <c r="D394" s="18" t="s">
        <v>6</v>
      </c>
      <c r="E394" s="18" t="s">
        <v>167</v>
      </c>
      <c r="F394" s="18" t="s">
        <v>394</v>
      </c>
      <c r="G394" s="18" t="s">
        <v>186</v>
      </c>
      <c r="H394" s="18"/>
      <c r="I394" s="18" t="s">
        <v>40</v>
      </c>
      <c r="J394" s="19">
        <v>3</v>
      </c>
      <c r="K394" s="18" t="s">
        <v>153</v>
      </c>
      <c r="L394" s="18" t="s">
        <v>153</v>
      </c>
      <c r="M394" s="17" t="s">
        <v>153</v>
      </c>
      <c r="N394" s="18"/>
    </row>
    <row r="395" spans="1:14">
      <c r="A395" s="24">
        <v>46237</v>
      </c>
      <c r="B395" s="5" t="s">
        <v>327</v>
      </c>
      <c r="C395" s="5" t="s">
        <v>381</v>
      </c>
      <c r="D395" s="5" t="s">
        <v>6</v>
      </c>
      <c r="E395" s="5" t="s">
        <v>167</v>
      </c>
      <c r="F395" s="5" t="s">
        <v>394</v>
      </c>
      <c r="G395" s="5" t="s">
        <v>46</v>
      </c>
      <c r="H395" s="5"/>
      <c r="I395" s="5" t="s">
        <v>47</v>
      </c>
      <c r="J395" s="7">
        <v>50</v>
      </c>
      <c r="K395" s="5" t="s">
        <v>151</v>
      </c>
      <c r="L395" s="5" t="s">
        <v>151</v>
      </c>
      <c r="M395" s="16" t="s">
        <v>148</v>
      </c>
      <c r="N395" s="5"/>
    </row>
    <row r="396" spans="1:14">
      <c r="A396" s="25">
        <v>46237</v>
      </c>
      <c r="B396" s="18" t="s">
        <v>327</v>
      </c>
      <c r="C396" s="18" t="s">
        <v>381</v>
      </c>
      <c r="D396" s="18" t="s">
        <v>6</v>
      </c>
      <c r="E396" s="18" t="s">
        <v>169</v>
      </c>
      <c r="F396" s="18" t="s">
        <v>394</v>
      </c>
      <c r="G396" s="18" t="s">
        <v>45</v>
      </c>
      <c r="H396" s="18"/>
      <c r="I396" s="18" t="s">
        <v>40</v>
      </c>
      <c r="J396" s="19">
        <v>50</v>
      </c>
      <c r="K396" s="18" t="s">
        <v>151</v>
      </c>
      <c r="L396" s="18" t="s">
        <v>151</v>
      </c>
      <c r="M396" s="16" t="s">
        <v>148</v>
      </c>
      <c r="N396" s="18"/>
    </row>
    <row r="397" spans="1:14">
      <c r="A397" s="24">
        <v>46237</v>
      </c>
      <c r="B397" s="5" t="s">
        <v>327</v>
      </c>
      <c r="C397" s="5" t="s">
        <v>381</v>
      </c>
      <c r="D397" s="5" t="s">
        <v>6</v>
      </c>
      <c r="E397" s="5" t="s">
        <v>169</v>
      </c>
      <c r="F397" s="5" t="s">
        <v>394</v>
      </c>
      <c r="G397" s="5" t="s">
        <v>46</v>
      </c>
      <c r="H397" s="5"/>
      <c r="I397" s="5" t="s">
        <v>47</v>
      </c>
      <c r="J397" s="7">
        <v>50</v>
      </c>
      <c r="K397" s="5" t="s">
        <v>151</v>
      </c>
      <c r="L397" s="5" t="s">
        <v>151</v>
      </c>
      <c r="M397" s="16" t="s">
        <v>148</v>
      </c>
      <c r="N397" s="5"/>
    </row>
    <row r="398" spans="1:14">
      <c r="A398" s="25">
        <v>46237</v>
      </c>
      <c r="B398" s="18" t="s">
        <v>327</v>
      </c>
      <c r="C398" s="18" t="s">
        <v>381</v>
      </c>
      <c r="D398" s="18" t="s">
        <v>6</v>
      </c>
      <c r="E398" s="18" t="s">
        <v>169</v>
      </c>
      <c r="F398" s="18" t="s">
        <v>394</v>
      </c>
      <c r="G398" s="18" t="s">
        <v>189</v>
      </c>
      <c r="H398" s="18"/>
      <c r="I398" s="18" t="s">
        <v>47</v>
      </c>
      <c r="J398" s="19">
        <v>2</v>
      </c>
      <c r="K398" s="18" t="s">
        <v>151</v>
      </c>
      <c r="L398" s="18" t="s">
        <v>151</v>
      </c>
      <c r="M398" s="16" t="s">
        <v>148</v>
      </c>
      <c r="N398" s="18"/>
    </row>
    <row r="399" spans="1:14">
      <c r="A399" s="24">
        <v>46237</v>
      </c>
      <c r="B399" s="5" t="s">
        <v>327</v>
      </c>
      <c r="C399" s="5" t="s">
        <v>381</v>
      </c>
      <c r="D399" s="5" t="s">
        <v>6</v>
      </c>
      <c r="E399" s="5" t="s">
        <v>169</v>
      </c>
      <c r="F399" s="5" t="s">
        <v>394</v>
      </c>
      <c r="G399" s="5" t="s">
        <v>187</v>
      </c>
      <c r="H399" s="5"/>
      <c r="I399" s="5" t="s">
        <v>216</v>
      </c>
      <c r="J399" s="7">
        <v>1</v>
      </c>
      <c r="K399" s="5" t="s">
        <v>151</v>
      </c>
      <c r="L399" s="5" t="s">
        <v>151</v>
      </c>
      <c r="M399" s="16" t="s">
        <v>148</v>
      </c>
      <c r="N399" s="5"/>
    </row>
    <row r="400" spans="1:14">
      <c r="A400" s="25">
        <v>46237</v>
      </c>
      <c r="B400" s="18" t="s">
        <v>327</v>
      </c>
      <c r="C400" s="18" t="s">
        <v>381</v>
      </c>
      <c r="D400" s="18" t="s">
        <v>6</v>
      </c>
      <c r="E400" s="18" t="s">
        <v>169</v>
      </c>
      <c r="F400" s="18" t="s">
        <v>394</v>
      </c>
      <c r="G400" s="18" t="s">
        <v>191</v>
      </c>
      <c r="H400" s="18"/>
      <c r="I400" s="18" t="s">
        <v>47</v>
      </c>
      <c r="J400" s="19">
        <v>1</v>
      </c>
      <c r="K400" s="18" t="s">
        <v>151</v>
      </c>
      <c r="L400" s="18" t="s">
        <v>151</v>
      </c>
      <c r="M400" s="16" t="s">
        <v>148</v>
      </c>
      <c r="N400" s="18"/>
    </row>
    <row r="401" spans="1:14">
      <c r="A401" s="24">
        <v>46237</v>
      </c>
      <c r="B401" s="5" t="s">
        <v>327</v>
      </c>
      <c r="C401" s="5" t="s">
        <v>381</v>
      </c>
      <c r="D401" s="5" t="s">
        <v>6</v>
      </c>
      <c r="E401" s="5" t="s">
        <v>169</v>
      </c>
      <c r="F401" s="5" t="s">
        <v>394</v>
      </c>
      <c r="G401" s="5" t="s">
        <v>238</v>
      </c>
      <c r="H401" s="5"/>
      <c r="I401" s="5" t="s">
        <v>47</v>
      </c>
      <c r="J401" s="7">
        <v>1</v>
      </c>
      <c r="K401" s="5" t="s">
        <v>151</v>
      </c>
      <c r="L401" s="5" t="s">
        <v>151</v>
      </c>
      <c r="M401" s="16" t="s">
        <v>148</v>
      </c>
      <c r="N401" s="5"/>
    </row>
    <row r="402" spans="1:14">
      <c r="A402" s="25">
        <v>46237</v>
      </c>
      <c r="B402" s="18" t="s">
        <v>327</v>
      </c>
      <c r="C402" s="18" t="s">
        <v>381</v>
      </c>
      <c r="D402" s="18" t="s">
        <v>6</v>
      </c>
      <c r="E402" s="18" t="s">
        <v>169</v>
      </c>
      <c r="F402" s="18" t="s">
        <v>394</v>
      </c>
      <c r="G402" s="18" t="s">
        <v>235</v>
      </c>
      <c r="H402" s="18"/>
      <c r="I402" s="18" t="s">
        <v>47</v>
      </c>
      <c r="J402" s="19">
        <v>1</v>
      </c>
      <c r="K402" s="18" t="s">
        <v>151</v>
      </c>
      <c r="L402" s="18" t="s">
        <v>151</v>
      </c>
      <c r="M402" s="16" t="s">
        <v>148</v>
      </c>
      <c r="N402" s="18"/>
    </row>
    <row r="403" spans="1:14">
      <c r="A403" s="24">
        <v>46237</v>
      </c>
      <c r="B403" s="5" t="s">
        <v>327</v>
      </c>
      <c r="C403" s="5" t="s">
        <v>381</v>
      </c>
      <c r="D403" s="5" t="s">
        <v>6</v>
      </c>
      <c r="E403" s="5" t="s">
        <v>169</v>
      </c>
      <c r="F403" s="5" t="s">
        <v>394</v>
      </c>
      <c r="G403" s="5" t="s">
        <v>279</v>
      </c>
      <c r="H403" s="5"/>
      <c r="I403" s="5" t="s">
        <v>216</v>
      </c>
      <c r="J403" s="7">
        <v>1</v>
      </c>
      <c r="K403" s="5" t="s">
        <v>151</v>
      </c>
      <c r="L403" s="5" t="s">
        <v>151</v>
      </c>
      <c r="M403" s="16" t="s">
        <v>148</v>
      </c>
      <c r="N403" s="5"/>
    </row>
    <row r="404" spans="1:14">
      <c r="A404" s="25">
        <v>46237</v>
      </c>
      <c r="B404" s="18" t="s">
        <v>327</v>
      </c>
      <c r="C404" s="18" t="s">
        <v>381</v>
      </c>
      <c r="D404" s="18" t="s">
        <v>6</v>
      </c>
      <c r="E404" s="18" t="s">
        <v>169</v>
      </c>
      <c r="F404" s="18" t="s">
        <v>394</v>
      </c>
      <c r="G404" s="18" t="s">
        <v>217</v>
      </c>
      <c r="H404" s="18"/>
      <c r="I404" s="18" t="s">
        <v>216</v>
      </c>
      <c r="J404" s="19">
        <v>1</v>
      </c>
      <c r="K404" s="18" t="s">
        <v>151</v>
      </c>
      <c r="L404" s="18" t="s">
        <v>151</v>
      </c>
      <c r="M404" s="16" t="s">
        <v>148</v>
      </c>
      <c r="N404" s="18"/>
    </row>
    <row r="405" spans="1:14">
      <c r="A405" s="24">
        <v>46237</v>
      </c>
      <c r="B405" s="5" t="s">
        <v>327</v>
      </c>
      <c r="C405" s="5" t="s">
        <v>381</v>
      </c>
      <c r="D405" s="5" t="s">
        <v>6</v>
      </c>
      <c r="E405" s="5" t="s">
        <v>169</v>
      </c>
      <c r="F405" s="5" t="s">
        <v>394</v>
      </c>
      <c r="G405" s="5" t="s">
        <v>215</v>
      </c>
      <c r="H405" s="5"/>
      <c r="I405" s="5" t="s">
        <v>216</v>
      </c>
      <c r="J405" s="7">
        <v>1</v>
      </c>
      <c r="K405" s="5" t="s">
        <v>151</v>
      </c>
      <c r="L405" s="5" t="s">
        <v>151</v>
      </c>
      <c r="M405" s="16" t="s">
        <v>148</v>
      </c>
      <c r="N405" s="5"/>
    </row>
    <row r="406" spans="1:14">
      <c r="A406" s="25">
        <v>46238</v>
      </c>
      <c r="B406" s="18" t="s">
        <v>327</v>
      </c>
      <c r="C406" s="18" t="s">
        <v>381</v>
      </c>
      <c r="D406" s="18" t="s">
        <v>6</v>
      </c>
      <c r="E406" s="18" t="s">
        <v>165</v>
      </c>
      <c r="F406" s="18" t="s">
        <v>408</v>
      </c>
      <c r="G406" s="18" t="s">
        <v>50</v>
      </c>
      <c r="H406" s="18"/>
      <c r="I406" s="18" t="s">
        <v>40</v>
      </c>
      <c r="J406" s="19">
        <v>50</v>
      </c>
      <c r="K406" s="18" t="s">
        <v>147</v>
      </c>
      <c r="L406" s="18" t="s">
        <v>147</v>
      </c>
      <c r="M406" s="16" t="s">
        <v>148</v>
      </c>
      <c r="N406" s="18"/>
    </row>
    <row r="407" spans="1:14">
      <c r="A407" s="24">
        <v>46238</v>
      </c>
      <c r="B407" s="5" t="s">
        <v>327</v>
      </c>
      <c r="C407" s="5" t="s">
        <v>381</v>
      </c>
      <c r="D407" s="5" t="s">
        <v>6</v>
      </c>
      <c r="E407" s="5" t="s">
        <v>165</v>
      </c>
      <c r="F407" s="5" t="s">
        <v>397</v>
      </c>
      <c r="G407" s="5" t="s">
        <v>226</v>
      </c>
      <c r="H407" s="5"/>
      <c r="I407" s="5" t="s">
        <v>216</v>
      </c>
      <c r="J407" s="7">
        <v>50</v>
      </c>
      <c r="K407" s="5" t="s">
        <v>151</v>
      </c>
      <c r="L407" s="5" t="s">
        <v>151</v>
      </c>
      <c r="M407" s="16" t="s">
        <v>148</v>
      </c>
      <c r="N407" s="5"/>
    </row>
    <row r="408" spans="1:14">
      <c r="A408" s="25">
        <v>46238</v>
      </c>
      <c r="B408" s="18" t="s">
        <v>327</v>
      </c>
      <c r="C408" s="18" t="s">
        <v>381</v>
      </c>
      <c r="D408" s="18" t="s">
        <v>6</v>
      </c>
      <c r="E408" s="18" t="s">
        <v>165</v>
      </c>
      <c r="F408" s="18" t="s">
        <v>397</v>
      </c>
      <c r="G408" s="18" t="s">
        <v>259</v>
      </c>
      <c r="H408" s="18"/>
      <c r="I408" s="18" t="s">
        <v>40</v>
      </c>
      <c r="J408" s="19">
        <v>1</v>
      </c>
      <c r="K408" s="18" t="s">
        <v>151</v>
      </c>
      <c r="L408" s="18" t="s">
        <v>151</v>
      </c>
      <c r="M408" s="16" t="s">
        <v>148</v>
      </c>
      <c r="N408" s="18"/>
    </row>
    <row r="409" spans="1:14">
      <c r="A409" s="24">
        <v>46238</v>
      </c>
      <c r="B409" s="5" t="s">
        <v>327</v>
      </c>
      <c r="C409" s="5" t="s">
        <v>381</v>
      </c>
      <c r="D409" s="5" t="s">
        <v>6</v>
      </c>
      <c r="E409" s="5" t="s">
        <v>165</v>
      </c>
      <c r="F409" s="5" t="s">
        <v>397</v>
      </c>
      <c r="G409" s="5" t="s">
        <v>186</v>
      </c>
      <c r="H409" s="5"/>
      <c r="I409" s="5" t="s">
        <v>40</v>
      </c>
      <c r="J409" s="7">
        <v>3</v>
      </c>
      <c r="K409" s="5" t="s">
        <v>151</v>
      </c>
      <c r="L409" s="5" t="s">
        <v>151</v>
      </c>
      <c r="M409" s="16" t="s">
        <v>148</v>
      </c>
      <c r="N409" s="5"/>
    </row>
    <row r="410" spans="1:14">
      <c r="A410" s="25">
        <v>46238</v>
      </c>
      <c r="B410" s="18" t="s">
        <v>327</v>
      </c>
      <c r="C410" s="18" t="s">
        <v>381</v>
      </c>
      <c r="D410" s="18" t="s">
        <v>6</v>
      </c>
      <c r="E410" s="18" t="s">
        <v>165</v>
      </c>
      <c r="F410" s="18" t="s">
        <v>397</v>
      </c>
      <c r="G410" s="18" t="s">
        <v>39</v>
      </c>
      <c r="H410" s="18"/>
      <c r="I410" s="18" t="s">
        <v>40</v>
      </c>
      <c r="J410" s="19">
        <v>300</v>
      </c>
      <c r="K410" s="18" t="s">
        <v>151</v>
      </c>
      <c r="L410" s="18" t="s">
        <v>151</v>
      </c>
      <c r="M410" s="16" t="s">
        <v>148</v>
      </c>
      <c r="N410" s="18"/>
    </row>
    <row r="411" spans="1:14">
      <c r="A411" s="24">
        <v>46238</v>
      </c>
      <c r="B411" s="5" t="s">
        <v>327</v>
      </c>
      <c r="C411" s="5" t="s">
        <v>381</v>
      </c>
      <c r="D411" s="5" t="s">
        <v>6</v>
      </c>
      <c r="E411" s="5" t="s">
        <v>168</v>
      </c>
      <c r="F411" s="5" t="s">
        <v>397</v>
      </c>
      <c r="G411" s="5" t="s">
        <v>278</v>
      </c>
      <c r="H411" s="5"/>
      <c r="I411" s="5" t="s">
        <v>257</v>
      </c>
      <c r="J411" s="7">
        <v>1</v>
      </c>
      <c r="K411" s="5"/>
      <c r="L411" s="5" t="s">
        <v>152</v>
      </c>
      <c r="M411" s="16" t="s">
        <v>148</v>
      </c>
      <c r="N411" s="5"/>
    </row>
    <row r="412" spans="1:14">
      <c r="A412" s="25">
        <v>46238</v>
      </c>
      <c r="B412" s="18" t="s">
        <v>327</v>
      </c>
      <c r="C412" s="18" t="s">
        <v>381</v>
      </c>
      <c r="D412" s="18" t="s">
        <v>6</v>
      </c>
      <c r="E412" s="18" t="s">
        <v>168</v>
      </c>
      <c r="F412" s="18" t="s">
        <v>397</v>
      </c>
      <c r="G412" s="18" t="s">
        <v>259</v>
      </c>
      <c r="H412" s="18"/>
      <c r="I412" s="18" t="s">
        <v>40</v>
      </c>
      <c r="J412" s="19">
        <v>1</v>
      </c>
      <c r="K412" s="18"/>
      <c r="L412" s="18" t="s">
        <v>152</v>
      </c>
      <c r="M412" s="16" t="s">
        <v>148</v>
      </c>
      <c r="N412" s="18"/>
    </row>
    <row r="413" spans="1:14">
      <c r="A413" s="24">
        <v>46238</v>
      </c>
      <c r="B413" s="5" t="s">
        <v>327</v>
      </c>
      <c r="C413" s="5" t="s">
        <v>381</v>
      </c>
      <c r="D413" s="5" t="s">
        <v>6</v>
      </c>
      <c r="E413" s="5" t="s">
        <v>168</v>
      </c>
      <c r="F413" s="5" t="s">
        <v>397</v>
      </c>
      <c r="G413" s="5" t="s">
        <v>273</v>
      </c>
      <c r="H413" s="5"/>
      <c r="I413" s="5" t="s">
        <v>40</v>
      </c>
      <c r="J413" s="7">
        <v>1</v>
      </c>
      <c r="K413" s="5"/>
      <c r="L413" s="5" t="s">
        <v>152</v>
      </c>
      <c r="M413" s="16" t="s">
        <v>148</v>
      </c>
      <c r="N413" s="5"/>
    </row>
    <row r="414" spans="1:14">
      <c r="A414" s="25">
        <v>46238</v>
      </c>
      <c r="B414" s="18" t="s">
        <v>327</v>
      </c>
      <c r="C414" s="18" t="s">
        <v>381</v>
      </c>
      <c r="D414" s="18" t="s">
        <v>6</v>
      </c>
      <c r="E414" s="18" t="s">
        <v>168</v>
      </c>
      <c r="F414" s="18" t="s">
        <v>397</v>
      </c>
      <c r="G414" s="18" t="s">
        <v>282</v>
      </c>
      <c r="H414" s="18"/>
      <c r="I414" s="18" t="s">
        <v>257</v>
      </c>
      <c r="J414" s="19">
        <v>1</v>
      </c>
      <c r="K414" s="18"/>
      <c r="L414" s="18" t="s">
        <v>152</v>
      </c>
      <c r="M414" s="16" t="s">
        <v>148</v>
      </c>
      <c r="N414" s="18"/>
    </row>
    <row r="415" spans="1:14">
      <c r="A415" s="24">
        <v>46238</v>
      </c>
      <c r="B415" s="5" t="s">
        <v>327</v>
      </c>
      <c r="C415" s="5" t="s">
        <v>381</v>
      </c>
      <c r="D415" s="5" t="s">
        <v>6</v>
      </c>
      <c r="E415" s="5" t="s">
        <v>168</v>
      </c>
      <c r="F415" s="5" t="s">
        <v>397</v>
      </c>
      <c r="G415" s="5" t="s">
        <v>185</v>
      </c>
      <c r="H415" s="5"/>
      <c r="I415" s="5" t="s">
        <v>47</v>
      </c>
      <c r="J415" s="7">
        <v>1</v>
      </c>
      <c r="K415" s="5"/>
      <c r="L415" s="5" t="s">
        <v>152</v>
      </c>
      <c r="M415" s="16" t="s">
        <v>148</v>
      </c>
      <c r="N415" s="5"/>
    </row>
    <row r="416" spans="1:14">
      <c r="A416" s="25">
        <v>46238</v>
      </c>
      <c r="B416" s="18" t="s">
        <v>327</v>
      </c>
      <c r="C416" s="18" t="s">
        <v>381</v>
      </c>
      <c r="D416" s="18" t="s">
        <v>6</v>
      </c>
      <c r="E416" s="18" t="s">
        <v>168</v>
      </c>
      <c r="F416" s="18" t="s">
        <v>397</v>
      </c>
      <c r="G416" s="18" t="s">
        <v>252</v>
      </c>
      <c r="H416" s="18"/>
      <c r="I416" s="18" t="s">
        <v>40</v>
      </c>
      <c r="J416" s="19">
        <v>2</v>
      </c>
      <c r="K416" s="18"/>
      <c r="L416" s="18" t="s">
        <v>152</v>
      </c>
      <c r="M416" s="16" t="s">
        <v>148</v>
      </c>
      <c r="N416" s="18"/>
    </row>
    <row r="417" spans="1:14">
      <c r="A417" s="24">
        <v>46238</v>
      </c>
      <c r="B417" s="5" t="s">
        <v>327</v>
      </c>
      <c r="C417" s="5" t="s">
        <v>381</v>
      </c>
      <c r="D417" s="5" t="s">
        <v>6</v>
      </c>
      <c r="E417" s="5" t="s">
        <v>168</v>
      </c>
      <c r="F417" s="5" t="s">
        <v>397</v>
      </c>
      <c r="G417" s="5" t="s">
        <v>276</v>
      </c>
      <c r="H417" s="5"/>
      <c r="I417" s="5" t="s">
        <v>40</v>
      </c>
      <c r="J417" s="7">
        <v>1</v>
      </c>
      <c r="K417" s="5"/>
      <c r="L417" s="5" t="s">
        <v>152</v>
      </c>
      <c r="M417" s="16" t="s">
        <v>148</v>
      </c>
      <c r="N417" s="5"/>
    </row>
    <row r="418" spans="1:14">
      <c r="A418" s="25">
        <v>46238</v>
      </c>
      <c r="B418" s="18" t="s">
        <v>327</v>
      </c>
      <c r="C418" s="18" t="s">
        <v>381</v>
      </c>
      <c r="D418" s="18" t="s">
        <v>6</v>
      </c>
      <c r="E418" s="18" t="s">
        <v>168</v>
      </c>
      <c r="F418" s="18" t="s">
        <v>397</v>
      </c>
      <c r="G418" s="18" t="s">
        <v>292</v>
      </c>
      <c r="H418" s="18"/>
      <c r="I418" s="18" t="s">
        <v>40</v>
      </c>
      <c r="J418" s="19">
        <v>1</v>
      </c>
      <c r="K418" s="18"/>
      <c r="L418" s="18" t="s">
        <v>152</v>
      </c>
      <c r="M418" s="16" t="s">
        <v>148</v>
      </c>
      <c r="N418" s="18"/>
    </row>
    <row r="419" spans="1:14">
      <c r="A419" s="24">
        <v>46238</v>
      </c>
      <c r="B419" s="5" t="s">
        <v>327</v>
      </c>
      <c r="C419" s="5" t="s">
        <v>381</v>
      </c>
      <c r="D419" s="5" t="s">
        <v>6</v>
      </c>
      <c r="E419" s="5" t="s">
        <v>168</v>
      </c>
      <c r="F419" s="5" t="s">
        <v>397</v>
      </c>
      <c r="G419" s="5" t="s">
        <v>249</v>
      </c>
      <c r="H419" s="5"/>
      <c r="I419" s="5" t="s">
        <v>40</v>
      </c>
      <c r="J419" s="7">
        <v>1</v>
      </c>
      <c r="K419" s="5"/>
      <c r="L419" s="5" t="s">
        <v>152</v>
      </c>
      <c r="M419" s="16" t="s">
        <v>148</v>
      </c>
      <c r="N419" s="5"/>
    </row>
    <row r="420" spans="1:14">
      <c r="A420" s="25">
        <v>46238</v>
      </c>
      <c r="B420" s="18" t="s">
        <v>327</v>
      </c>
      <c r="C420" s="18" t="s">
        <v>381</v>
      </c>
      <c r="D420" s="18" t="s">
        <v>6</v>
      </c>
      <c r="E420" s="18" t="s">
        <v>168</v>
      </c>
      <c r="F420" s="18" t="s">
        <v>397</v>
      </c>
      <c r="G420" s="18" t="s">
        <v>285</v>
      </c>
      <c r="H420" s="18"/>
      <c r="I420" s="18" t="s">
        <v>40</v>
      </c>
      <c r="J420" s="19">
        <v>1</v>
      </c>
      <c r="K420" s="18"/>
      <c r="L420" s="18" t="s">
        <v>152</v>
      </c>
      <c r="M420" s="16" t="s">
        <v>148</v>
      </c>
      <c r="N420" s="18"/>
    </row>
    <row r="421" spans="1:14">
      <c r="A421" s="24">
        <v>46238</v>
      </c>
      <c r="B421" s="5" t="s">
        <v>327</v>
      </c>
      <c r="C421" s="5" t="s">
        <v>381</v>
      </c>
      <c r="D421" s="5" t="s">
        <v>6</v>
      </c>
      <c r="E421" s="5" t="s">
        <v>168</v>
      </c>
      <c r="F421" s="5" t="s">
        <v>397</v>
      </c>
      <c r="G421" s="5" t="s">
        <v>295</v>
      </c>
      <c r="H421" s="5"/>
      <c r="I421" s="5" t="s">
        <v>40</v>
      </c>
      <c r="J421" s="7">
        <v>1</v>
      </c>
      <c r="K421" s="5"/>
      <c r="L421" s="5" t="s">
        <v>152</v>
      </c>
      <c r="M421" s="16" t="s">
        <v>148</v>
      </c>
      <c r="N421" s="5"/>
    </row>
    <row r="422" spans="1:14">
      <c r="A422" s="25">
        <v>46238</v>
      </c>
      <c r="B422" s="18" t="s">
        <v>327</v>
      </c>
      <c r="C422" s="18" t="s">
        <v>381</v>
      </c>
      <c r="D422" s="18" t="s">
        <v>6</v>
      </c>
      <c r="E422" s="18" t="s">
        <v>168</v>
      </c>
      <c r="F422" s="18" t="s">
        <v>397</v>
      </c>
      <c r="G422" s="18" t="s">
        <v>294</v>
      </c>
      <c r="H422" s="18"/>
      <c r="I422" s="18" t="s">
        <v>40</v>
      </c>
      <c r="J422" s="19">
        <v>1</v>
      </c>
      <c r="K422" s="18"/>
      <c r="L422" s="18" t="s">
        <v>152</v>
      </c>
      <c r="M422" s="16" t="s">
        <v>148</v>
      </c>
      <c r="N422" s="18"/>
    </row>
  </sheetData>
  <autoFilter ref="A4:N422"/>
  <mergeCells count="2">
    <mergeCell ref="A1:N1"/>
    <mergeCell ref="A2:N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404040"/>
  </sheetPr>
  <dimension ref="A1:N578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11.7109375" customWidth="1"/>
    <col min="3" max="3" width="10.7109375" customWidth="1"/>
    <col min="4" max="4" width="9.7109375" customWidth="1"/>
    <col min="5" max="5" width="17.7109375" customWidth="1"/>
    <col min="6" max="6" width="22.7109375" customWidth="1"/>
    <col min="7" max="7" width="36.7109375" customWidth="1"/>
    <col min="8" max="8" width="22.7109375" customWidth="1"/>
    <col min="9" max="9" width="24.7109375" customWidth="1"/>
    <col min="10" max="10" width="10.7109375" customWidth="1"/>
    <col min="11" max="11" width="14.7109375" customWidth="1"/>
    <col min="12" max="13" width="13.7109375" customWidth="1"/>
    <col min="14" max="14" width="28.7109375" customWidth="1"/>
  </cols>
  <sheetData>
    <row r="1" spans="1:14" ht="26" customHeight="1">
      <c r="A1" s="1" t="s">
        <v>409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2" customHeight="1">
      <c r="A2" s="2" t="s">
        <v>333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A4" s="6" t="s">
        <v>334</v>
      </c>
      <c r="B4" s="6" t="s">
        <v>335</v>
      </c>
      <c r="C4" s="6" t="s">
        <v>171</v>
      </c>
      <c r="D4" s="6" t="s">
        <v>156</v>
      </c>
      <c r="E4" s="6" t="s">
        <v>157</v>
      </c>
      <c r="F4" s="6" t="s">
        <v>336</v>
      </c>
      <c r="G4" s="6" t="s">
        <v>337</v>
      </c>
      <c r="H4" s="6" t="s">
        <v>338</v>
      </c>
      <c r="I4" s="6" t="s">
        <v>339</v>
      </c>
      <c r="J4" s="6" t="s">
        <v>340</v>
      </c>
      <c r="K4" s="6" t="s">
        <v>341</v>
      </c>
      <c r="L4" s="6" t="s">
        <v>144</v>
      </c>
      <c r="M4" s="6" t="s">
        <v>342</v>
      </c>
      <c r="N4" s="6" t="s">
        <v>343</v>
      </c>
    </row>
    <row r="5" spans="1:14">
      <c r="A5" s="24">
        <v>46181</v>
      </c>
      <c r="B5" s="5" t="s">
        <v>319</v>
      </c>
      <c r="C5" s="5" t="s">
        <v>179</v>
      </c>
      <c r="D5" s="5" t="s">
        <v>6</v>
      </c>
      <c r="E5" s="5" t="s">
        <v>163</v>
      </c>
      <c r="F5" s="5" t="s">
        <v>384</v>
      </c>
      <c r="G5" s="5" t="s">
        <v>224</v>
      </c>
      <c r="H5" s="5"/>
      <c r="I5" s="5" t="s">
        <v>40</v>
      </c>
      <c r="J5" s="7">
        <v>100</v>
      </c>
      <c r="K5" s="5" t="s">
        <v>153</v>
      </c>
      <c r="L5" s="5" t="s">
        <v>153</v>
      </c>
      <c r="M5" s="17" t="s">
        <v>153</v>
      </c>
      <c r="N5" s="5"/>
    </row>
    <row r="6" spans="1:14">
      <c r="A6" s="25">
        <v>46181</v>
      </c>
      <c r="B6" s="18" t="s">
        <v>319</v>
      </c>
      <c r="C6" s="18" t="s">
        <v>179</v>
      </c>
      <c r="D6" s="18" t="s">
        <v>6</v>
      </c>
      <c r="E6" s="18" t="s">
        <v>163</v>
      </c>
      <c r="F6" s="18" t="s">
        <v>384</v>
      </c>
      <c r="G6" s="18" t="s">
        <v>50</v>
      </c>
      <c r="H6" s="18"/>
      <c r="I6" s="18" t="s">
        <v>40</v>
      </c>
      <c r="J6" s="19">
        <v>100</v>
      </c>
      <c r="K6" s="18" t="s">
        <v>147</v>
      </c>
      <c r="L6" s="18" t="s">
        <v>147</v>
      </c>
      <c r="M6" s="16" t="s">
        <v>148</v>
      </c>
      <c r="N6" s="18"/>
    </row>
    <row r="7" spans="1:14">
      <c r="A7" s="24">
        <v>46181</v>
      </c>
      <c r="B7" s="5" t="s">
        <v>319</v>
      </c>
      <c r="C7" s="5" t="s">
        <v>179</v>
      </c>
      <c r="D7" s="5" t="s">
        <v>6</v>
      </c>
      <c r="E7" s="5" t="s">
        <v>163</v>
      </c>
      <c r="F7" s="5" t="s">
        <v>384</v>
      </c>
      <c r="G7" s="5" t="s">
        <v>236</v>
      </c>
      <c r="H7" s="5"/>
      <c r="I7" s="5" t="s">
        <v>40</v>
      </c>
      <c r="J7" s="7">
        <v>2</v>
      </c>
      <c r="K7" s="5" t="s">
        <v>147</v>
      </c>
      <c r="L7" s="5" t="s">
        <v>147</v>
      </c>
      <c r="M7" s="16" t="s">
        <v>148</v>
      </c>
      <c r="N7" s="5"/>
    </row>
    <row r="8" spans="1:14">
      <c r="A8" s="25">
        <v>46181</v>
      </c>
      <c r="B8" s="18" t="s">
        <v>319</v>
      </c>
      <c r="C8" s="18" t="s">
        <v>179</v>
      </c>
      <c r="D8" s="18" t="s">
        <v>6</v>
      </c>
      <c r="E8" s="18" t="s">
        <v>163</v>
      </c>
      <c r="F8" s="18" t="s">
        <v>384</v>
      </c>
      <c r="G8" s="18" t="s">
        <v>39</v>
      </c>
      <c r="H8" s="18"/>
      <c r="I8" s="18" t="s">
        <v>40</v>
      </c>
      <c r="J8" s="19">
        <v>100</v>
      </c>
      <c r="K8" s="18" t="s">
        <v>147</v>
      </c>
      <c r="L8" s="18" t="s">
        <v>147</v>
      </c>
      <c r="M8" s="16" t="s">
        <v>148</v>
      </c>
      <c r="N8" s="18"/>
    </row>
    <row r="9" spans="1:14">
      <c r="A9" s="24">
        <v>46181</v>
      </c>
      <c r="B9" s="5" t="s">
        <v>319</v>
      </c>
      <c r="C9" s="5" t="s">
        <v>179</v>
      </c>
      <c r="D9" s="5" t="s">
        <v>6</v>
      </c>
      <c r="E9" s="5" t="s">
        <v>163</v>
      </c>
      <c r="F9" s="5" t="s">
        <v>384</v>
      </c>
      <c r="G9" s="5" t="s">
        <v>46</v>
      </c>
      <c r="H9" s="5"/>
      <c r="I9" s="5" t="s">
        <v>47</v>
      </c>
      <c r="J9" s="7">
        <v>50</v>
      </c>
      <c r="K9" s="5" t="s">
        <v>147</v>
      </c>
      <c r="L9" s="5" t="s">
        <v>147</v>
      </c>
      <c r="M9" s="16" t="s">
        <v>148</v>
      </c>
      <c r="N9" s="5"/>
    </row>
    <row r="10" spans="1:14">
      <c r="A10" s="25">
        <v>46181</v>
      </c>
      <c r="B10" s="18" t="s">
        <v>319</v>
      </c>
      <c r="C10" s="18" t="s">
        <v>179</v>
      </c>
      <c r="D10" s="18" t="s">
        <v>6</v>
      </c>
      <c r="E10" s="18" t="s">
        <v>163</v>
      </c>
      <c r="F10" s="18" t="s">
        <v>384</v>
      </c>
      <c r="G10" s="18" t="s">
        <v>229</v>
      </c>
      <c r="H10" s="18"/>
      <c r="I10" s="18" t="s">
        <v>216</v>
      </c>
      <c r="J10" s="19">
        <v>1</v>
      </c>
      <c r="K10" s="18" t="s">
        <v>147</v>
      </c>
      <c r="L10" s="18" t="s">
        <v>147</v>
      </c>
      <c r="M10" s="16" t="s">
        <v>148</v>
      </c>
      <c r="N10" s="18"/>
    </row>
    <row r="11" spans="1:14">
      <c r="A11" s="24">
        <v>46181</v>
      </c>
      <c r="B11" s="5" t="s">
        <v>319</v>
      </c>
      <c r="C11" s="5" t="s">
        <v>179</v>
      </c>
      <c r="D11" s="5" t="s">
        <v>6</v>
      </c>
      <c r="E11" s="5" t="s">
        <v>163</v>
      </c>
      <c r="F11" s="5" t="s">
        <v>384</v>
      </c>
      <c r="G11" s="5" t="s">
        <v>185</v>
      </c>
      <c r="H11" s="5"/>
      <c r="I11" s="5" t="s">
        <v>47</v>
      </c>
      <c r="J11" s="7">
        <v>2</v>
      </c>
      <c r="K11" s="5" t="s">
        <v>147</v>
      </c>
      <c r="L11" s="5" t="s">
        <v>147</v>
      </c>
      <c r="M11" s="16" t="s">
        <v>148</v>
      </c>
      <c r="N11" s="5"/>
    </row>
    <row r="12" spans="1:14">
      <c r="A12" s="25">
        <v>46181</v>
      </c>
      <c r="B12" s="18" t="s">
        <v>319</v>
      </c>
      <c r="C12" s="18" t="s">
        <v>179</v>
      </c>
      <c r="D12" s="18" t="s">
        <v>6</v>
      </c>
      <c r="E12" s="18" t="s">
        <v>167</v>
      </c>
      <c r="F12" s="18" t="s">
        <v>384</v>
      </c>
      <c r="G12" s="18" t="s">
        <v>185</v>
      </c>
      <c r="H12" s="18"/>
      <c r="I12" s="18" t="s">
        <v>47</v>
      </c>
      <c r="J12" s="19">
        <v>3</v>
      </c>
      <c r="K12" s="18" t="s">
        <v>153</v>
      </c>
      <c r="L12" s="18" t="s">
        <v>153</v>
      </c>
      <c r="M12" s="17" t="s">
        <v>153</v>
      </c>
      <c r="N12" s="18"/>
    </row>
    <row r="13" spans="1:14">
      <c r="A13" s="24">
        <v>46181</v>
      </c>
      <c r="B13" s="5" t="s">
        <v>319</v>
      </c>
      <c r="C13" s="5" t="s">
        <v>179</v>
      </c>
      <c r="D13" s="5" t="s">
        <v>6</v>
      </c>
      <c r="E13" s="5" t="s">
        <v>167</v>
      </c>
      <c r="F13" s="5" t="s">
        <v>384</v>
      </c>
      <c r="G13" s="5" t="s">
        <v>236</v>
      </c>
      <c r="H13" s="5"/>
      <c r="I13" s="5" t="s">
        <v>40</v>
      </c>
      <c r="J13" s="7">
        <v>2</v>
      </c>
      <c r="K13" s="5" t="s">
        <v>147</v>
      </c>
      <c r="L13" s="5" t="s">
        <v>147</v>
      </c>
      <c r="M13" s="16" t="s">
        <v>148</v>
      </c>
      <c r="N13" s="5"/>
    </row>
    <row r="14" spans="1:14">
      <c r="A14" s="25">
        <v>46181</v>
      </c>
      <c r="B14" s="18" t="s">
        <v>319</v>
      </c>
      <c r="C14" s="18" t="s">
        <v>179</v>
      </c>
      <c r="D14" s="18" t="s">
        <v>6</v>
      </c>
      <c r="E14" s="18" t="s">
        <v>167</v>
      </c>
      <c r="F14" s="18" t="s">
        <v>384</v>
      </c>
      <c r="G14" s="18" t="s">
        <v>39</v>
      </c>
      <c r="H14" s="18"/>
      <c r="I14" s="18" t="s">
        <v>40</v>
      </c>
      <c r="J14" s="19">
        <v>500</v>
      </c>
      <c r="K14" s="18" t="s">
        <v>147</v>
      </c>
      <c r="L14" s="18" t="s">
        <v>147</v>
      </c>
      <c r="M14" s="16" t="s">
        <v>148</v>
      </c>
      <c r="N14" s="18"/>
    </row>
    <row r="15" spans="1:14">
      <c r="A15" s="24">
        <v>46181</v>
      </c>
      <c r="B15" s="5" t="s">
        <v>319</v>
      </c>
      <c r="C15" s="5" t="s">
        <v>179</v>
      </c>
      <c r="D15" s="5" t="s">
        <v>6</v>
      </c>
      <c r="E15" s="5" t="s">
        <v>167</v>
      </c>
      <c r="F15" s="5" t="s">
        <v>384</v>
      </c>
      <c r="G15" s="5" t="s">
        <v>190</v>
      </c>
      <c r="H15" s="5"/>
      <c r="I15" s="5" t="s">
        <v>47</v>
      </c>
      <c r="J15" s="7">
        <v>1</v>
      </c>
      <c r="K15" s="5" t="s">
        <v>153</v>
      </c>
      <c r="L15" s="5" t="s">
        <v>153</v>
      </c>
      <c r="M15" s="17" t="s">
        <v>153</v>
      </c>
      <c r="N15" s="5"/>
    </row>
    <row r="16" spans="1:14">
      <c r="A16" s="25">
        <v>46181</v>
      </c>
      <c r="B16" s="18" t="s">
        <v>319</v>
      </c>
      <c r="C16" s="18" t="s">
        <v>179</v>
      </c>
      <c r="D16" s="18" t="s">
        <v>6</v>
      </c>
      <c r="E16" s="18" t="s">
        <v>167</v>
      </c>
      <c r="F16" s="18" t="s">
        <v>384</v>
      </c>
      <c r="G16" s="18" t="s">
        <v>269</v>
      </c>
      <c r="H16" s="18"/>
      <c r="I16" s="18" t="s">
        <v>40</v>
      </c>
      <c r="J16" s="19">
        <v>1</v>
      </c>
      <c r="K16" s="18" t="s">
        <v>153</v>
      </c>
      <c r="L16" s="18" t="s">
        <v>153</v>
      </c>
      <c r="M16" s="17" t="s">
        <v>153</v>
      </c>
      <c r="N16" s="18"/>
    </row>
    <row r="17" spans="1:14">
      <c r="A17" s="24">
        <v>46181</v>
      </c>
      <c r="B17" s="5" t="s">
        <v>319</v>
      </c>
      <c r="C17" s="5" t="s">
        <v>179</v>
      </c>
      <c r="D17" s="5" t="s">
        <v>6</v>
      </c>
      <c r="E17" s="5" t="s">
        <v>167</v>
      </c>
      <c r="F17" s="5" t="s">
        <v>384</v>
      </c>
      <c r="G17" s="5" t="s">
        <v>259</v>
      </c>
      <c r="H17" s="5"/>
      <c r="I17" s="5" t="s">
        <v>40</v>
      </c>
      <c r="J17" s="7">
        <v>2</v>
      </c>
      <c r="K17" s="5" t="s">
        <v>147</v>
      </c>
      <c r="L17" s="5" t="s">
        <v>147</v>
      </c>
      <c r="M17" s="16" t="s">
        <v>148</v>
      </c>
      <c r="N17" s="5"/>
    </row>
    <row r="18" spans="1:14">
      <c r="A18" s="25">
        <v>46181</v>
      </c>
      <c r="B18" s="18" t="s">
        <v>319</v>
      </c>
      <c r="C18" s="18" t="s">
        <v>179</v>
      </c>
      <c r="D18" s="18" t="s">
        <v>6</v>
      </c>
      <c r="E18" s="18" t="s">
        <v>167</v>
      </c>
      <c r="F18" s="18" t="s">
        <v>384</v>
      </c>
      <c r="G18" s="18" t="s">
        <v>229</v>
      </c>
      <c r="H18" s="18"/>
      <c r="I18" s="18" t="s">
        <v>216</v>
      </c>
      <c r="J18" s="19">
        <v>2</v>
      </c>
      <c r="K18" s="18" t="s">
        <v>147</v>
      </c>
      <c r="L18" s="18" t="s">
        <v>147</v>
      </c>
      <c r="M18" s="16" t="s">
        <v>148</v>
      </c>
      <c r="N18" s="18"/>
    </row>
    <row r="19" spans="1:14">
      <c r="A19" s="24">
        <v>46181</v>
      </c>
      <c r="B19" s="5" t="s">
        <v>319</v>
      </c>
      <c r="C19" s="5" t="s">
        <v>179</v>
      </c>
      <c r="D19" s="5" t="s">
        <v>6</v>
      </c>
      <c r="E19" s="5" t="s">
        <v>167</v>
      </c>
      <c r="F19" s="5" t="s">
        <v>384</v>
      </c>
      <c r="G19" s="5" t="s">
        <v>227</v>
      </c>
      <c r="H19" s="5"/>
      <c r="I19" s="5" t="s">
        <v>216</v>
      </c>
      <c r="J19" s="7">
        <v>2</v>
      </c>
      <c r="K19" s="5" t="s">
        <v>147</v>
      </c>
      <c r="L19" s="5" t="s">
        <v>147</v>
      </c>
      <c r="M19" s="16" t="s">
        <v>148</v>
      </c>
      <c r="N19" s="5"/>
    </row>
    <row r="20" spans="1:14">
      <c r="A20" s="25">
        <v>46181</v>
      </c>
      <c r="B20" s="18" t="s">
        <v>319</v>
      </c>
      <c r="C20" s="18" t="s">
        <v>179</v>
      </c>
      <c r="D20" s="18" t="s">
        <v>6</v>
      </c>
      <c r="E20" s="18" t="s">
        <v>167</v>
      </c>
      <c r="F20" s="18" t="s">
        <v>384</v>
      </c>
      <c r="G20" s="18" t="s">
        <v>186</v>
      </c>
      <c r="H20" s="18"/>
      <c r="I20" s="18" t="s">
        <v>40</v>
      </c>
      <c r="J20" s="19">
        <v>2</v>
      </c>
      <c r="K20" s="18" t="s">
        <v>147</v>
      </c>
      <c r="L20" s="18" t="s">
        <v>147</v>
      </c>
      <c r="M20" s="16" t="s">
        <v>148</v>
      </c>
      <c r="N20" s="18"/>
    </row>
    <row r="21" spans="1:14">
      <c r="A21" s="24">
        <v>46181</v>
      </c>
      <c r="B21" s="5" t="s">
        <v>319</v>
      </c>
      <c r="C21" s="5" t="s">
        <v>179</v>
      </c>
      <c r="D21" s="5" t="s">
        <v>6</v>
      </c>
      <c r="E21" s="5" t="s">
        <v>167</v>
      </c>
      <c r="F21" s="5" t="s">
        <v>384</v>
      </c>
      <c r="G21" s="5" t="s">
        <v>193</v>
      </c>
      <c r="H21" s="5"/>
      <c r="I21" s="5" t="s">
        <v>216</v>
      </c>
      <c r="J21" s="7">
        <v>4</v>
      </c>
      <c r="K21" s="5" t="s">
        <v>147</v>
      </c>
      <c r="L21" s="5" t="s">
        <v>147</v>
      </c>
      <c r="M21" s="16" t="s">
        <v>148</v>
      </c>
      <c r="N21" s="5"/>
    </row>
    <row r="22" spans="1:14">
      <c r="A22" s="25">
        <v>46181</v>
      </c>
      <c r="B22" s="18" t="s">
        <v>319</v>
      </c>
      <c r="C22" s="18" t="s">
        <v>179</v>
      </c>
      <c r="D22" s="18" t="s">
        <v>6</v>
      </c>
      <c r="E22" s="18" t="s">
        <v>169</v>
      </c>
      <c r="F22" s="18" t="s">
        <v>384</v>
      </c>
      <c r="G22" s="18" t="s">
        <v>186</v>
      </c>
      <c r="H22" s="18"/>
      <c r="I22" s="18" t="s">
        <v>40</v>
      </c>
      <c r="J22" s="19">
        <v>3</v>
      </c>
      <c r="K22" s="18" t="s">
        <v>147</v>
      </c>
      <c r="L22" s="18" t="s">
        <v>147</v>
      </c>
      <c r="M22" s="16" t="s">
        <v>148</v>
      </c>
      <c r="N22" s="18"/>
    </row>
    <row r="23" spans="1:14">
      <c r="A23" s="24">
        <v>46181</v>
      </c>
      <c r="B23" s="5" t="s">
        <v>319</v>
      </c>
      <c r="C23" s="5" t="s">
        <v>179</v>
      </c>
      <c r="D23" s="5" t="s">
        <v>6</v>
      </c>
      <c r="E23" s="5" t="s">
        <v>169</v>
      </c>
      <c r="F23" s="5" t="s">
        <v>384</v>
      </c>
      <c r="G23" s="5" t="s">
        <v>48</v>
      </c>
      <c r="H23" s="5"/>
      <c r="I23" s="5" t="s">
        <v>47</v>
      </c>
      <c r="J23" s="7">
        <v>6</v>
      </c>
      <c r="K23" s="5" t="s">
        <v>147</v>
      </c>
      <c r="L23" s="5" t="s">
        <v>147</v>
      </c>
      <c r="M23" s="16" t="s">
        <v>148</v>
      </c>
      <c r="N23" s="5"/>
    </row>
    <row r="24" spans="1:14">
      <c r="A24" s="25">
        <v>46181</v>
      </c>
      <c r="B24" s="18" t="s">
        <v>319</v>
      </c>
      <c r="C24" s="18" t="s">
        <v>179</v>
      </c>
      <c r="D24" s="18" t="s">
        <v>6</v>
      </c>
      <c r="E24" s="18" t="s">
        <v>169</v>
      </c>
      <c r="F24" s="18" t="s">
        <v>384</v>
      </c>
      <c r="G24" s="18" t="s">
        <v>235</v>
      </c>
      <c r="H24" s="18" t="s">
        <v>385</v>
      </c>
      <c r="I24" s="18" t="s">
        <v>47</v>
      </c>
      <c r="J24" s="19">
        <v>1</v>
      </c>
      <c r="K24" s="18" t="s">
        <v>147</v>
      </c>
      <c r="L24" s="18" t="s">
        <v>147</v>
      </c>
      <c r="M24" s="16" t="s">
        <v>148</v>
      </c>
      <c r="N24" s="18"/>
    </row>
    <row r="25" spans="1:14">
      <c r="A25" s="24">
        <v>46181</v>
      </c>
      <c r="B25" s="5" t="s">
        <v>319</v>
      </c>
      <c r="C25" s="5" t="s">
        <v>179</v>
      </c>
      <c r="D25" s="5" t="s">
        <v>6</v>
      </c>
      <c r="E25" s="5" t="s">
        <v>169</v>
      </c>
      <c r="F25" s="5" t="s">
        <v>384</v>
      </c>
      <c r="G25" s="5" t="s">
        <v>279</v>
      </c>
      <c r="H25" s="5" t="s">
        <v>386</v>
      </c>
      <c r="I25" s="5" t="s">
        <v>216</v>
      </c>
      <c r="J25" s="7">
        <v>1</v>
      </c>
      <c r="K25" s="5" t="s">
        <v>147</v>
      </c>
      <c r="L25" s="5" t="s">
        <v>147</v>
      </c>
      <c r="M25" s="16" t="s">
        <v>148</v>
      </c>
      <c r="N25" s="5"/>
    </row>
    <row r="26" spans="1:14">
      <c r="A26" s="25">
        <v>46181</v>
      </c>
      <c r="B26" s="18" t="s">
        <v>319</v>
      </c>
      <c r="C26" s="18" t="s">
        <v>179</v>
      </c>
      <c r="D26" s="18" t="s">
        <v>6</v>
      </c>
      <c r="E26" s="18" t="s">
        <v>169</v>
      </c>
      <c r="F26" s="18" t="s">
        <v>384</v>
      </c>
      <c r="G26" s="18" t="s">
        <v>185</v>
      </c>
      <c r="H26" s="18"/>
      <c r="I26" s="18" t="s">
        <v>47</v>
      </c>
      <c r="J26" s="19">
        <v>2</v>
      </c>
      <c r="K26" s="18" t="s">
        <v>153</v>
      </c>
      <c r="L26" s="18" t="s">
        <v>153</v>
      </c>
      <c r="M26" s="17" t="s">
        <v>153</v>
      </c>
      <c r="N26" s="18"/>
    </row>
    <row r="27" spans="1:14">
      <c r="A27" s="24">
        <v>46181</v>
      </c>
      <c r="B27" s="5" t="s">
        <v>319</v>
      </c>
      <c r="C27" s="5" t="s">
        <v>179</v>
      </c>
      <c r="D27" s="5" t="s">
        <v>6</v>
      </c>
      <c r="E27" s="5" t="s">
        <v>169</v>
      </c>
      <c r="F27" s="5" t="s">
        <v>384</v>
      </c>
      <c r="G27" s="5" t="s">
        <v>277</v>
      </c>
      <c r="H27" s="5"/>
      <c r="I27" s="5" t="s">
        <v>47</v>
      </c>
      <c r="J27" s="7">
        <v>1</v>
      </c>
      <c r="K27" s="5" t="s">
        <v>153</v>
      </c>
      <c r="L27" s="5" t="s">
        <v>153</v>
      </c>
      <c r="M27" s="17" t="s">
        <v>153</v>
      </c>
      <c r="N27" s="5"/>
    </row>
    <row r="28" spans="1:14">
      <c r="A28" s="25">
        <v>46181</v>
      </c>
      <c r="B28" s="18" t="s">
        <v>319</v>
      </c>
      <c r="C28" s="18" t="s">
        <v>179</v>
      </c>
      <c r="D28" s="18" t="s">
        <v>6</v>
      </c>
      <c r="E28" s="18" t="s">
        <v>169</v>
      </c>
      <c r="F28" s="18" t="s">
        <v>384</v>
      </c>
      <c r="G28" s="18" t="s">
        <v>191</v>
      </c>
      <c r="H28" s="18"/>
      <c r="I28" s="18" t="s">
        <v>47</v>
      </c>
      <c r="J28" s="19">
        <v>2</v>
      </c>
      <c r="K28" s="18" t="s">
        <v>153</v>
      </c>
      <c r="L28" s="18" t="s">
        <v>153</v>
      </c>
      <c r="M28" s="17" t="s">
        <v>153</v>
      </c>
      <c r="N28" s="18"/>
    </row>
    <row r="29" spans="1:14">
      <c r="A29" s="24">
        <v>46181</v>
      </c>
      <c r="B29" s="5" t="s">
        <v>319</v>
      </c>
      <c r="C29" s="5" t="s">
        <v>179</v>
      </c>
      <c r="D29" s="5" t="s">
        <v>6</v>
      </c>
      <c r="E29" s="5" t="s">
        <v>169</v>
      </c>
      <c r="F29" s="5" t="s">
        <v>384</v>
      </c>
      <c r="G29" s="5" t="s">
        <v>254</v>
      </c>
      <c r="H29" s="5" t="s">
        <v>385</v>
      </c>
      <c r="I29" s="5" t="s">
        <v>47</v>
      </c>
      <c r="J29" s="7">
        <v>1</v>
      </c>
      <c r="K29" s="5" t="s">
        <v>153</v>
      </c>
      <c r="L29" s="5" t="s">
        <v>153</v>
      </c>
      <c r="M29" s="17" t="s">
        <v>153</v>
      </c>
      <c r="N29" s="5"/>
    </row>
    <row r="30" spans="1:14">
      <c r="A30" s="25">
        <v>46182</v>
      </c>
      <c r="B30" s="18" t="s">
        <v>319</v>
      </c>
      <c r="C30" s="18" t="s">
        <v>179</v>
      </c>
      <c r="D30" s="18" t="s">
        <v>3</v>
      </c>
      <c r="E30" s="18" t="s">
        <v>158</v>
      </c>
      <c r="F30" s="18" t="s">
        <v>344</v>
      </c>
      <c r="G30" s="18" t="s">
        <v>220</v>
      </c>
      <c r="H30" s="18"/>
      <c r="I30" s="18" t="s">
        <v>40</v>
      </c>
      <c r="J30" s="19">
        <v>1</v>
      </c>
      <c r="K30" s="18" t="s">
        <v>345</v>
      </c>
      <c r="L30" s="18" t="s">
        <v>149</v>
      </c>
      <c r="M30" s="16" t="s">
        <v>148</v>
      </c>
      <c r="N30" s="18"/>
    </row>
    <row r="31" spans="1:14">
      <c r="A31" s="24">
        <v>46182</v>
      </c>
      <c r="B31" s="5" t="s">
        <v>319</v>
      </c>
      <c r="C31" s="5" t="s">
        <v>179</v>
      </c>
      <c r="D31" s="5" t="s">
        <v>3</v>
      </c>
      <c r="E31" s="5" t="s">
        <v>158</v>
      </c>
      <c r="F31" s="5" t="s">
        <v>344</v>
      </c>
      <c r="G31" s="5" t="s">
        <v>48</v>
      </c>
      <c r="H31" s="5"/>
      <c r="I31" s="5" t="s">
        <v>47</v>
      </c>
      <c r="J31" s="7">
        <v>1</v>
      </c>
      <c r="K31" s="5" t="s">
        <v>345</v>
      </c>
      <c r="L31" s="5" t="s">
        <v>149</v>
      </c>
      <c r="M31" s="16" t="s">
        <v>148</v>
      </c>
      <c r="N31" s="5"/>
    </row>
    <row r="32" spans="1:14">
      <c r="A32" s="25">
        <v>46182</v>
      </c>
      <c r="B32" s="18" t="s">
        <v>319</v>
      </c>
      <c r="C32" s="18" t="s">
        <v>179</v>
      </c>
      <c r="D32" s="18" t="s">
        <v>3</v>
      </c>
      <c r="E32" s="18" t="s">
        <v>158</v>
      </c>
      <c r="F32" s="18" t="s">
        <v>344</v>
      </c>
      <c r="G32" s="18" t="s">
        <v>223</v>
      </c>
      <c r="H32" s="18"/>
      <c r="I32" s="18" t="s">
        <v>40</v>
      </c>
      <c r="J32" s="19">
        <v>1</v>
      </c>
      <c r="K32" s="18" t="s">
        <v>345</v>
      </c>
      <c r="L32" s="18" t="s">
        <v>149</v>
      </c>
      <c r="M32" s="16" t="s">
        <v>148</v>
      </c>
      <c r="N32" s="18"/>
    </row>
    <row r="33" spans="1:14">
      <c r="A33" s="24">
        <v>46182</v>
      </c>
      <c r="B33" s="5" t="s">
        <v>319</v>
      </c>
      <c r="C33" s="5" t="s">
        <v>179</v>
      </c>
      <c r="D33" s="5" t="s">
        <v>3</v>
      </c>
      <c r="E33" s="5" t="s">
        <v>158</v>
      </c>
      <c r="F33" s="5" t="s">
        <v>344</v>
      </c>
      <c r="G33" s="5" t="s">
        <v>220</v>
      </c>
      <c r="H33" s="5"/>
      <c r="I33" s="5" t="s">
        <v>40</v>
      </c>
      <c r="J33" s="7">
        <v>1</v>
      </c>
      <c r="K33" s="5" t="s">
        <v>345</v>
      </c>
      <c r="L33" s="5" t="s">
        <v>149</v>
      </c>
      <c r="M33" s="16" t="s">
        <v>148</v>
      </c>
      <c r="N33" s="5"/>
    </row>
    <row r="34" spans="1:14">
      <c r="A34" s="25">
        <v>46182</v>
      </c>
      <c r="B34" s="18" t="s">
        <v>319</v>
      </c>
      <c r="C34" s="18" t="s">
        <v>179</v>
      </c>
      <c r="D34" s="18" t="s">
        <v>3</v>
      </c>
      <c r="E34" s="18" t="s">
        <v>158</v>
      </c>
      <c r="F34" s="18" t="s">
        <v>344</v>
      </c>
      <c r="G34" s="18" t="s">
        <v>217</v>
      </c>
      <c r="H34" s="18"/>
      <c r="I34" s="18" t="s">
        <v>216</v>
      </c>
      <c r="J34" s="19">
        <v>1</v>
      </c>
      <c r="K34" s="18" t="s">
        <v>345</v>
      </c>
      <c r="L34" s="18" t="s">
        <v>149</v>
      </c>
      <c r="M34" s="16" t="s">
        <v>148</v>
      </c>
      <c r="N34" s="18"/>
    </row>
    <row r="35" spans="1:14">
      <c r="A35" s="24">
        <v>46182</v>
      </c>
      <c r="B35" s="5" t="s">
        <v>319</v>
      </c>
      <c r="C35" s="5" t="s">
        <v>179</v>
      </c>
      <c r="D35" s="5" t="s">
        <v>3</v>
      </c>
      <c r="E35" s="5" t="s">
        <v>158</v>
      </c>
      <c r="F35" s="5" t="s">
        <v>344</v>
      </c>
      <c r="G35" s="5" t="s">
        <v>244</v>
      </c>
      <c r="H35" s="5"/>
      <c r="I35" s="5" t="s">
        <v>40</v>
      </c>
      <c r="J35" s="7">
        <v>1</v>
      </c>
      <c r="K35" s="5" t="s">
        <v>345</v>
      </c>
      <c r="L35" s="5" t="s">
        <v>149</v>
      </c>
      <c r="M35" s="16" t="s">
        <v>148</v>
      </c>
      <c r="N35" s="5"/>
    </row>
    <row r="36" spans="1:14">
      <c r="A36" s="25">
        <v>46182</v>
      </c>
      <c r="B36" s="18" t="s">
        <v>319</v>
      </c>
      <c r="C36" s="18" t="s">
        <v>179</v>
      </c>
      <c r="D36" s="18" t="s">
        <v>3</v>
      </c>
      <c r="E36" s="18" t="s">
        <v>160</v>
      </c>
      <c r="F36" s="18" t="s">
        <v>346</v>
      </c>
      <c r="G36" s="18" t="s">
        <v>236</v>
      </c>
      <c r="H36" s="18"/>
      <c r="I36" s="18" t="s">
        <v>40</v>
      </c>
      <c r="J36" s="19">
        <v>3</v>
      </c>
      <c r="K36" s="18" t="s">
        <v>345</v>
      </c>
      <c r="L36" s="18" t="s">
        <v>149</v>
      </c>
      <c r="M36" s="16" t="s">
        <v>148</v>
      </c>
      <c r="N36" s="18"/>
    </row>
    <row r="37" spans="1:14">
      <c r="A37" s="24">
        <v>46182</v>
      </c>
      <c r="B37" s="5" t="s">
        <v>319</v>
      </c>
      <c r="C37" s="5" t="s">
        <v>179</v>
      </c>
      <c r="D37" s="5" t="s">
        <v>3</v>
      </c>
      <c r="E37" s="5" t="s">
        <v>160</v>
      </c>
      <c r="F37" s="5" t="s">
        <v>346</v>
      </c>
      <c r="G37" s="5" t="s">
        <v>235</v>
      </c>
      <c r="H37" s="5"/>
      <c r="I37" s="5" t="s">
        <v>47</v>
      </c>
      <c r="J37" s="7">
        <v>3</v>
      </c>
      <c r="K37" s="5" t="s">
        <v>345</v>
      </c>
      <c r="L37" s="5" t="s">
        <v>149</v>
      </c>
      <c r="M37" s="16" t="s">
        <v>148</v>
      </c>
      <c r="N37" s="5"/>
    </row>
    <row r="38" spans="1:14">
      <c r="A38" s="25">
        <v>46182</v>
      </c>
      <c r="B38" s="18" t="s">
        <v>319</v>
      </c>
      <c r="C38" s="18" t="s">
        <v>179</v>
      </c>
      <c r="D38" s="18" t="s">
        <v>3</v>
      </c>
      <c r="E38" s="18" t="s">
        <v>160</v>
      </c>
      <c r="F38" s="18" t="s">
        <v>346</v>
      </c>
      <c r="G38" s="18" t="s">
        <v>238</v>
      </c>
      <c r="H38" s="18"/>
      <c r="I38" s="18" t="s">
        <v>47</v>
      </c>
      <c r="J38" s="19">
        <v>3</v>
      </c>
      <c r="K38" s="18" t="s">
        <v>345</v>
      </c>
      <c r="L38" s="18" t="s">
        <v>149</v>
      </c>
      <c r="M38" s="16" t="s">
        <v>148</v>
      </c>
      <c r="N38" s="18"/>
    </row>
    <row r="39" spans="1:14">
      <c r="A39" s="24">
        <v>46182</v>
      </c>
      <c r="B39" s="5" t="s">
        <v>319</v>
      </c>
      <c r="C39" s="5" t="s">
        <v>179</v>
      </c>
      <c r="D39" s="5" t="s">
        <v>3</v>
      </c>
      <c r="E39" s="5" t="s">
        <v>160</v>
      </c>
      <c r="F39" s="5" t="s">
        <v>346</v>
      </c>
      <c r="G39" s="5" t="s">
        <v>254</v>
      </c>
      <c r="H39" s="5"/>
      <c r="I39" s="5" t="s">
        <v>47</v>
      </c>
      <c r="J39" s="7">
        <v>1</v>
      </c>
      <c r="K39" s="5" t="s">
        <v>345</v>
      </c>
      <c r="L39" s="5" t="s">
        <v>149</v>
      </c>
      <c r="M39" s="16" t="s">
        <v>148</v>
      </c>
      <c r="N39" s="5"/>
    </row>
    <row r="40" spans="1:14">
      <c r="A40" s="25">
        <v>46182</v>
      </c>
      <c r="B40" s="18" t="s">
        <v>319</v>
      </c>
      <c r="C40" s="18" t="s">
        <v>179</v>
      </c>
      <c r="D40" s="18" t="s">
        <v>3</v>
      </c>
      <c r="E40" s="18" t="s">
        <v>160</v>
      </c>
      <c r="F40" s="18" t="s">
        <v>346</v>
      </c>
      <c r="G40" s="18" t="s">
        <v>230</v>
      </c>
      <c r="H40" s="18"/>
      <c r="I40" s="18" t="s">
        <v>47</v>
      </c>
      <c r="J40" s="19">
        <v>3</v>
      </c>
      <c r="K40" s="18" t="s">
        <v>345</v>
      </c>
      <c r="L40" s="18" t="s">
        <v>149</v>
      </c>
      <c r="M40" s="16" t="s">
        <v>148</v>
      </c>
      <c r="N40" s="18"/>
    </row>
    <row r="41" spans="1:14">
      <c r="A41" s="24">
        <v>46182</v>
      </c>
      <c r="B41" s="5" t="s">
        <v>319</v>
      </c>
      <c r="C41" s="5" t="s">
        <v>179</v>
      </c>
      <c r="D41" s="5" t="s">
        <v>3</v>
      </c>
      <c r="E41" s="5" t="s">
        <v>160</v>
      </c>
      <c r="F41" s="5" t="s">
        <v>346</v>
      </c>
      <c r="G41" s="5" t="s">
        <v>190</v>
      </c>
      <c r="H41" s="5"/>
      <c r="I41" s="5" t="s">
        <v>47</v>
      </c>
      <c r="J41" s="7">
        <v>3</v>
      </c>
      <c r="K41" s="5" t="s">
        <v>345</v>
      </c>
      <c r="L41" s="5" t="s">
        <v>149</v>
      </c>
      <c r="M41" s="16" t="s">
        <v>148</v>
      </c>
      <c r="N41" s="5"/>
    </row>
    <row r="42" spans="1:14">
      <c r="A42" s="25">
        <v>46182</v>
      </c>
      <c r="B42" s="18" t="s">
        <v>319</v>
      </c>
      <c r="C42" s="18" t="s">
        <v>179</v>
      </c>
      <c r="D42" s="18" t="s">
        <v>3</v>
      </c>
      <c r="E42" s="18" t="s">
        <v>160</v>
      </c>
      <c r="F42" s="18" t="s">
        <v>346</v>
      </c>
      <c r="G42" s="18" t="s">
        <v>46</v>
      </c>
      <c r="H42" s="18"/>
      <c r="I42" s="18" t="s">
        <v>47</v>
      </c>
      <c r="J42" s="19">
        <v>25</v>
      </c>
      <c r="K42" s="18" t="s">
        <v>345</v>
      </c>
      <c r="L42" s="18" t="s">
        <v>149</v>
      </c>
      <c r="M42" s="16" t="s">
        <v>148</v>
      </c>
      <c r="N42" s="18"/>
    </row>
    <row r="43" spans="1:14">
      <c r="A43" s="24">
        <v>46182</v>
      </c>
      <c r="B43" s="5" t="s">
        <v>319</v>
      </c>
      <c r="C43" s="5" t="s">
        <v>179</v>
      </c>
      <c r="D43" s="5" t="s">
        <v>3</v>
      </c>
      <c r="E43" s="5" t="s">
        <v>160</v>
      </c>
      <c r="F43" s="5" t="s">
        <v>346</v>
      </c>
      <c r="G43" s="5" t="s">
        <v>48</v>
      </c>
      <c r="H43" s="5"/>
      <c r="I43" s="5" t="s">
        <v>47</v>
      </c>
      <c r="J43" s="7">
        <v>25</v>
      </c>
      <c r="K43" s="5" t="s">
        <v>345</v>
      </c>
      <c r="L43" s="5" t="s">
        <v>149</v>
      </c>
      <c r="M43" s="16" t="s">
        <v>148</v>
      </c>
      <c r="N43" s="5"/>
    </row>
    <row r="44" spans="1:14">
      <c r="A44" s="25">
        <v>46182</v>
      </c>
      <c r="B44" s="18" t="s">
        <v>319</v>
      </c>
      <c r="C44" s="18" t="s">
        <v>179</v>
      </c>
      <c r="D44" s="18" t="s">
        <v>3</v>
      </c>
      <c r="E44" s="18" t="s">
        <v>3</v>
      </c>
      <c r="F44" s="18" t="s">
        <v>347</v>
      </c>
      <c r="G44" s="18" t="s">
        <v>242</v>
      </c>
      <c r="H44" s="18"/>
      <c r="I44" s="18" t="s">
        <v>216</v>
      </c>
      <c r="J44" s="19">
        <v>1</v>
      </c>
      <c r="K44" s="18" t="s">
        <v>153</v>
      </c>
      <c r="L44" s="18" t="s">
        <v>153</v>
      </c>
      <c r="M44" s="17" t="s">
        <v>153</v>
      </c>
      <c r="N44" s="18"/>
    </row>
    <row r="45" spans="1:14">
      <c r="A45" s="24">
        <v>46182</v>
      </c>
      <c r="B45" s="5" t="s">
        <v>319</v>
      </c>
      <c r="C45" s="5" t="s">
        <v>179</v>
      </c>
      <c r="D45" s="5" t="s">
        <v>3</v>
      </c>
      <c r="E45" s="5" t="s">
        <v>3</v>
      </c>
      <c r="F45" s="5" t="s">
        <v>348</v>
      </c>
      <c r="G45" s="5" t="s">
        <v>261</v>
      </c>
      <c r="H45" s="5"/>
      <c r="I45" s="5" t="s">
        <v>216</v>
      </c>
      <c r="J45" s="7">
        <v>1</v>
      </c>
      <c r="K45" s="5" t="s">
        <v>345</v>
      </c>
      <c r="L45" s="5" t="s">
        <v>149</v>
      </c>
      <c r="M45" s="16" t="s">
        <v>148</v>
      </c>
      <c r="N45" s="5"/>
    </row>
    <row r="46" spans="1:14">
      <c r="A46" s="25">
        <v>46182</v>
      </c>
      <c r="B46" s="18" t="s">
        <v>319</v>
      </c>
      <c r="C46" s="18" t="s">
        <v>179</v>
      </c>
      <c r="D46" s="18" t="s">
        <v>3</v>
      </c>
      <c r="E46" s="18" t="s">
        <v>3</v>
      </c>
      <c r="F46" s="18" t="s">
        <v>349</v>
      </c>
      <c r="G46" s="18" t="s">
        <v>48</v>
      </c>
      <c r="H46" s="18"/>
      <c r="I46" s="18" t="s">
        <v>47</v>
      </c>
      <c r="J46" s="19">
        <v>2</v>
      </c>
      <c r="K46" s="18" t="s">
        <v>345</v>
      </c>
      <c r="L46" s="18" t="s">
        <v>149</v>
      </c>
      <c r="M46" s="16" t="s">
        <v>148</v>
      </c>
      <c r="N46" s="18"/>
    </row>
    <row r="47" spans="1:14">
      <c r="A47" s="24">
        <v>46182</v>
      </c>
      <c r="B47" s="5" t="s">
        <v>319</v>
      </c>
      <c r="C47" s="5" t="s">
        <v>179</v>
      </c>
      <c r="D47" s="5" t="s">
        <v>3</v>
      </c>
      <c r="E47" s="5" t="s">
        <v>3</v>
      </c>
      <c r="F47" s="5" t="s">
        <v>350</v>
      </c>
      <c r="G47" s="5" t="s">
        <v>220</v>
      </c>
      <c r="H47" s="5"/>
      <c r="I47" s="5" t="s">
        <v>40</v>
      </c>
      <c r="J47" s="7">
        <v>1</v>
      </c>
      <c r="K47" s="5" t="s">
        <v>345</v>
      </c>
      <c r="L47" s="5" t="s">
        <v>149</v>
      </c>
      <c r="M47" s="16" t="s">
        <v>148</v>
      </c>
      <c r="N47" s="5"/>
    </row>
    <row r="48" spans="1:14">
      <c r="A48" s="25">
        <v>46182</v>
      </c>
      <c r="B48" s="18" t="s">
        <v>319</v>
      </c>
      <c r="C48" s="18" t="s">
        <v>179</v>
      </c>
      <c r="D48" s="18" t="s">
        <v>6</v>
      </c>
      <c r="E48" s="18" t="s">
        <v>164</v>
      </c>
      <c r="F48" s="18" t="s">
        <v>384</v>
      </c>
      <c r="G48" s="18" t="s">
        <v>186</v>
      </c>
      <c r="H48" s="18"/>
      <c r="I48" s="18" t="s">
        <v>40</v>
      </c>
      <c r="J48" s="19">
        <v>3</v>
      </c>
      <c r="K48" s="18" t="s">
        <v>147</v>
      </c>
      <c r="L48" s="18" t="s">
        <v>147</v>
      </c>
      <c r="M48" s="16" t="s">
        <v>148</v>
      </c>
      <c r="N48" s="18"/>
    </row>
    <row r="49" spans="1:14">
      <c r="A49" s="24">
        <v>46182</v>
      </c>
      <c r="B49" s="5" t="s">
        <v>319</v>
      </c>
      <c r="C49" s="5" t="s">
        <v>179</v>
      </c>
      <c r="D49" s="5" t="s">
        <v>6</v>
      </c>
      <c r="E49" s="5" t="s">
        <v>164</v>
      </c>
      <c r="F49" s="5" t="s">
        <v>384</v>
      </c>
      <c r="G49" s="5" t="s">
        <v>233</v>
      </c>
      <c r="H49" s="5"/>
      <c r="I49" s="5" t="s">
        <v>40</v>
      </c>
      <c r="J49" s="7">
        <v>1</v>
      </c>
      <c r="K49" s="5" t="s">
        <v>147</v>
      </c>
      <c r="L49" s="5" t="s">
        <v>147</v>
      </c>
      <c r="M49" s="16" t="s">
        <v>148</v>
      </c>
      <c r="N49" s="5"/>
    </row>
    <row r="50" spans="1:14">
      <c r="A50" s="25">
        <v>46182</v>
      </c>
      <c r="B50" s="18" t="s">
        <v>319</v>
      </c>
      <c r="C50" s="18" t="s">
        <v>179</v>
      </c>
      <c r="D50" s="18" t="s">
        <v>6</v>
      </c>
      <c r="E50" s="18" t="s">
        <v>164</v>
      </c>
      <c r="F50" s="18" t="s">
        <v>384</v>
      </c>
      <c r="G50" s="18" t="s">
        <v>250</v>
      </c>
      <c r="H50" s="18"/>
      <c r="I50" s="18" t="s">
        <v>40</v>
      </c>
      <c r="J50" s="19">
        <v>1</v>
      </c>
      <c r="K50" s="18" t="s">
        <v>147</v>
      </c>
      <c r="L50" s="18" t="s">
        <v>147</v>
      </c>
      <c r="M50" s="16" t="s">
        <v>148</v>
      </c>
      <c r="N50" s="18"/>
    </row>
    <row r="51" spans="1:14">
      <c r="A51" s="24">
        <v>46182</v>
      </c>
      <c r="B51" s="5" t="s">
        <v>319</v>
      </c>
      <c r="C51" s="5" t="s">
        <v>179</v>
      </c>
      <c r="D51" s="5" t="s">
        <v>6</v>
      </c>
      <c r="E51" s="5" t="s">
        <v>164</v>
      </c>
      <c r="F51" s="5" t="s">
        <v>384</v>
      </c>
      <c r="G51" s="5" t="s">
        <v>43</v>
      </c>
      <c r="H51" s="5"/>
      <c r="I51" s="5" t="s">
        <v>40</v>
      </c>
      <c r="J51" s="7">
        <v>150</v>
      </c>
      <c r="K51" s="5" t="s">
        <v>147</v>
      </c>
      <c r="L51" s="5" t="s">
        <v>147</v>
      </c>
      <c r="M51" s="16" t="s">
        <v>148</v>
      </c>
      <c r="N51" s="5"/>
    </row>
    <row r="52" spans="1:14">
      <c r="A52" s="25">
        <v>46182</v>
      </c>
      <c r="B52" s="18" t="s">
        <v>319</v>
      </c>
      <c r="C52" s="18" t="s">
        <v>179</v>
      </c>
      <c r="D52" s="18" t="s">
        <v>6</v>
      </c>
      <c r="E52" s="18" t="s">
        <v>164</v>
      </c>
      <c r="F52" s="18" t="s">
        <v>384</v>
      </c>
      <c r="G52" s="18" t="s">
        <v>259</v>
      </c>
      <c r="H52" s="18"/>
      <c r="I52" s="18" t="s">
        <v>40</v>
      </c>
      <c r="J52" s="19">
        <v>1</v>
      </c>
      <c r="K52" s="18" t="s">
        <v>147</v>
      </c>
      <c r="L52" s="18" t="s">
        <v>147</v>
      </c>
      <c r="M52" s="16" t="s">
        <v>148</v>
      </c>
      <c r="N52" s="18"/>
    </row>
    <row r="53" spans="1:14">
      <c r="A53" s="24">
        <v>46182</v>
      </c>
      <c r="B53" s="5" t="s">
        <v>319</v>
      </c>
      <c r="C53" s="5" t="s">
        <v>179</v>
      </c>
      <c r="D53" s="5" t="s">
        <v>6</v>
      </c>
      <c r="E53" s="5" t="s">
        <v>164</v>
      </c>
      <c r="F53" s="5" t="s">
        <v>384</v>
      </c>
      <c r="G53" s="5" t="s">
        <v>44</v>
      </c>
      <c r="H53" s="5"/>
      <c r="I53" s="5" t="s">
        <v>40</v>
      </c>
      <c r="J53" s="7">
        <v>200</v>
      </c>
      <c r="K53" s="5" t="s">
        <v>147</v>
      </c>
      <c r="L53" s="5" t="s">
        <v>147</v>
      </c>
      <c r="M53" s="16" t="s">
        <v>148</v>
      </c>
      <c r="N53" s="5"/>
    </row>
    <row r="54" spans="1:14">
      <c r="A54" s="25">
        <v>46182</v>
      </c>
      <c r="B54" s="18" t="s">
        <v>319</v>
      </c>
      <c r="C54" s="18" t="s">
        <v>179</v>
      </c>
      <c r="D54" s="18" t="s">
        <v>6</v>
      </c>
      <c r="E54" s="18" t="s">
        <v>165</v>
      </c>
      <c r="F54" s="18" t="s">
        <v>384</v>
      </c>
      <c r="G54" s="18" t="s">
        <v>41</v>
      </c>
      <c r="H54" s="18"/>
      <c r="I54" s="18" t="s">
        <v>40</v>
      </c>
      <c r="J54" s="19">
        <v>200</v>
      </c>
      <c r="K54" s="18" t="s">
        <v>147</v>
      </c>
      <c r="L54" s="18" t="s">
        <v>147</v>
      </c>
      <c r="M54" s="16" t="s">
        <v>148</v>
      </c>
      <c r="N54" s="18"/>
    </row>
    <row r="55" spans="1:14">
      <c r="A55" s="24">
        <v>46182</v>
      </c>
      <c r="B55" s="5" t="s">
        <v>319</v>
      </c>
      <c r="C55" s="5" t="s">
        <v>179</v>
      </c>
      <c r="D55" s="5" t="s">
        <v>6</v>
      </c>
      <c r="E55" s="5" t="s">
        <v>165</v>
      </c>
      <c r="F55" s="5" t="s">
        <v>384</v>
      </c>
      <c r="G55" s="5" t="s">
        <v>238</v>
      </c>
      <c r="H55" s="5" t="s">
        <v>385</v>
      </c>
      <c r="I55" s="5" t="s">
        <v>47</v>
      </c>
      <c r="J55" s="7">
        <v>1</v>
      </c>
      <c r="K55" s="5" t="s">
        <v>147</v>
      </c>
      <c r="L55" s="5" t="s">
        <v>147</v>
      </c>
      <c r="M55" s="16" t="s">
        <v>148</v>
      </c>
      <c r="N55" s="5"/>
    </row>
    <row r="56" spans="1:14">
      <c r="A56" s="25">
        <v>46182</v>
      </c>
      <c r="B56" s="18" t="s">
        <v>319</v>
      </c>
      <c r="C56" s="18" t="s">
        <v>179</v>
      </c>
      <c r="D56" s="18" t="s">
        <v>6</v>
      </c>
      <c r="E56" s="18" t="s">
        <v>165</v>
      </c>
      <c r="F56" s="18" t="s">
        <v>384</v>
      </c>
      <c r="G56" s="18" t="s">
        <v>235</v>
      </c>
      <c r="H56" s="18" t="s">
        <v>385</v>
      </c>
      <c r="I56" s="18" t="s">
        <v>47</v>
      </c>
      <c r="J56" s="19">
        <v>1</v>
      </c>
      <c r="K56" s="18" t="s">
        <v>147</v>
      </c>
      <c r="L56" s="18" t="s">
        <v>147</v>
      </c>
      <c r="M56" s="16" t="s">
        <v>148</v>
      </c>
      <c r="N56" s="18"/>
    </row>
    <row r="57" spans="1:14">
      <c r="A57" s="24">
        <v>46182</v>
      </c>
      <c r="B57" s="5" t="s">
        <v>319</v>
      </c>
      <c r="C57" s="5" t="s">
        <v>179</v>
      </c>
      <c r="D57" s="5" t="s">
        <v>6</v>
      </c>
      <c r="E57" s="5" t="s">
        <v>165</v>
      </c>
      <c r="F57" s="5" t="s">
        <v>384</v>
      </c>
      <c r="G57" s="5" t="s">
        <v>254</v>
      </c>
      <c r="H57" s="5" t="s">
        <v>385</v>
      </c>
      <c r="I57" s="5" t="s">
        <v>47</v>
      </c>
      <c r="J57" s="7">
        <v>1</v>
      </c>
      <c r="K57" s="5" t="s">
        <v>147</v>
      </c>
      <c r="L57" s="5" t="s">
        <v>147</v>
      </c>
      <c r="M57" s="16" t="s">
        <v>148</v>
      </c>
      <c r="N57" s="5"/>
    </row>
    <row r="58" spans="1:14">
      <c r="A58" s="25">
        <v>46182</v>
      </c>
      <c r="B58" s="18" t="s">
        <v>319</v>
      </c>
      <c r="C58" s="18" t="s">
        <v>179</v>
      </c>
      <c r="D58" s="18" t="s">
        <v>6</v>
      </c>
      <c r="E58" s="18" t="s">
        <v>165</v>
      </c>
      <c r="F58" s="18" t="s">
        <v>384</v>
      </c>
      <c r="G58" s="18" t="s">
        <v>190</v>
      </c>
      <c r="H58" s="18"/>
      <c r="I58" s="18" t="s">
        <v>47</v>
      </c>
      <c r="J58" s="19">
        <v>2</v>
      </c>
      <c r="K58" s="18" t="s">
        <v>153</v>
      </c>
      <c r="L58" s="18" t="s">
        <v>153</v>
      </c>
      <c r="M58" s="17" t="s">
        <v>153</v>
      </c>
      <c r="N58" s="18"/>
    </row>
    <row r="59" spans="1:14">
      <c r="A59" s="24">
        <v>46182</v>
      </c>
      <c r="B59" s="5" t="s">
        <v>319</v>
      </c>
      <c r="C59" s="5" t="s">
        <v>179</v>
      </c>
      <c r="D59" s="5" t="s">
        <v>6</v>
      </c>
      <c r="E59" s="5" t="s">
        <v>165</v>
      </c>
      <c r="F59" s="5" t="s">
        <v>384</v>
      </c>
      <c r="G59" s="5" t="s">
        <v>48</v>
      </c>
      <c r="H59" s="5"/>
      <c r="I59" s="5" t="s">
        <v>47</v>
      </c>
      <c r="J59" s="7">
        <v>10</v>
      </c>
      <c r="K59" s="5" t="s">
        <v>147</v>
      </c>
      <c r="L59" s="5" t="s">
        <v>147</v>
      </c>
      <c r="M59" s="16" t="s">
        <v>148</v>
      </c>
      <c r="N59" s="5"/>
    </row>
    <row r="60" spans="1:14">
      <c r="A60" s="25">
        <v>46182</v>
      </c>
      <c r="B60" s="18" t="s">
        <v>319</v>
      </c>
      <c r="C60" s="18" t="s">
        <v>179</v>
      </c>
      <c r="D60" s="18" t="s">
        <v>6</v>
      </c>
      <c r="E60" s="18" t="s">
        <v>165</v>
      </c>
      <c r="F60" s="18" t="s">
        <v>384</v>
      </c>
      <c r="G60" s="18" t="s">
        <v>46</v>
      </c>
      <c r="H60" s="18"/>
      <c r="I60" s="18" t="s">
        <v>47</v>
      </c>
      <c r="J60" s="19">
        <v>10</v>
      </c>
      <c r="K60" s="18" t="s">
        <v>147</v>
      </c>
      <c r="L60" s="18" t="s">
        <v>147</v>
      </c>
      <c r="M60" s="16" t="s">
        <v>148</v>
      </c>
      <c r="N60" s="18"/>
    </row>
    <row r="61" spans="1:14">
      <c r="A61" s="24">
        <v>46182</v>
      </c>
      <c r="B61" s="5" t="s">
        <v>319</v>
      </c>
      <c r="C61" s="5" t="s">
        <v>179</v>
      </c>
      <c r="D61" s="5" t="s">
        <v>6</v>
      </c>
      <c r="E61" s="5" t="s">
        <v>165</v>
      </c>
      <c r="F61" s="5" t="s">
        <v>384</v>
      </c>
      <c r="G61" s="5" t="s">
        <v>189</v>
      </c>
      <c r="H61" s="5"/>
      <c r="I61" s="5" t="s">
        <v>47</v>
      </c>
      <c r="J61" s="7">
        <v>3</v>
      </c>
      <c r="K61" s="5" t="s">
        <v>153</v>
      </c>
      <c r="L61" s="5" t="s">
        <v>153</v>
      </c>
      <c r="M61" s="17" t="s">
        <v>153</v>
      </c>
      <c r="N61" s="5"/>
    </row>
    <row r="62" spans="1:14">
      <c r="A62" s="25">
        <v>46182</v>
      </c>
      <c r="B62" s="18" t="s">
        <v>319</v>
      </c>
      <c r="C62" s="18" t="s">
        <v>179</v>
      </c>
      <c r="D62" s="18" t="s">
        <v>6</v>
      </c>
      <c r="E62" s="18" t="s">
        <v>165</v>
      </c>
      <c r="F62" s="18" t="s">
        <v>384</v>
      </c>
      <c r="G62" s="18" t="s">
        <v>296</v>
      </c>
      <c r="H62" s="18"/>
      <c r="I62" s="18" t="s">
        <v>47</v>
      </c>
      <c r="J62" s="19">
        <v>1</v>
      </c>
      <c r="K62" s="18" t="s">
        <v>147</v>
      </c>
      <c r="L62" s="18" t="s">
        <v>147</v>
      </c>
      <c r="M62" s="16" t="s">
        <v>148</v>
      </c>
      <c r="N62" s="18"/>
    </row>
    <row r="63" spans="1:14">
      <c r="A63" s="24">
        <v>46182</v>
      </c>
      <c r="B63" s="5" t="s">
        <v>319</v>
      </c>
      <c r="C63" s="5" t="s">
        <v>179</v>
      </c>
      <c r="D63" s="5" t="s">
        <v>6</v>
      </c>
      <c r="E63" s="5" t="s">
        <v>165</v>
      </c>
      <c r="F63" s="5" t="s">
        <v>384</v>
      </c>
      <c r="G63" s="5" t="s">
        <v>272</v>
      </c>
      <c r="H63" s="5" t="s">
        <v>387</v>
      </c>
      <c r="I63" s="5" t="s">
        <v>47</v>
      </c>
      <c r="J63" s="7">
        <v>1</v>
      </c>
      <c r="K63" s="5" t="s">
        <v>147</v>
      </c>
      <c r="L63" s="5" t="s">
        <v>147</v>
      </c>
      <c r="M63" s="16" t="s">
        <v>148</v>
      </c>
      <c r="N63" s="5"/>
    </row>
    <row r="64" spans="1:14">
      <c r="A64" s="25">
        <v>46182</v>
      </c>
      <c r="B64" s="18" t="s">
        <v>319</v>
      </c>
      <c r="C64" s="18" t="s">
        <v>179</v>
      </c>
      <c r="D64" s="18" t="s">
        <v>6</v>
      </c>
      <c r="E64" s="18" t="s">
        <v>165</v>
      </c>
      <c r="F64" s="18" t="s">
        <v>384</v>
      </c>
      <c r="G64" s="18" t="s">
        <v>188</v>
      </c>
      <c r="H64" s="18"/>
      <c r="I64" s="18" t="s">
        <v>216</v>
      </c>
      <c r="J64" s="19">
        <v>1</v>
      </c>
      <c r="K64" s="18" t="s">
        <v>147</v>
      </c>
      <c r="L64" s="18" t="s">
        <v>147</v>
      </c>
      <c r="M64" s="16" t="s">
        <v>148</v>
      </c>
      <c r="N64" s="18"/>
    </row>
    <row r="65" spans="1:14">
      <c r="A65" s="24">
        <v>46182</v>
      </c>
      <c r="B65" s="5" t="s">
        <v>319</v>
      </c>
      <c r="C65" s="5" t="s">
        <v>179</v>
      </c>
      <c r="D65" s="5" t="s">
        <v>6</v>
      </c>
      <c r="E65" s="5" t="s">
        <v>168</v>
      </c>
      <c r="F65" s="5" t="s">
        <v>384</v>
      </c>
      <c r="G65" s="5" t="s">
        <v>230</v>
      </c>
      <c r="H65" s="5"/>
      <c r="I65" s="5" t="s">
        <v>47</v>
      </c>
      <c r="J65" s="7">
        <v>1</v>
      </c>
      <c r="K65" s="5" t="s">
        <v>147</v>
      </c>
      <c r="L65" s="5" t="s">
        <v>147</v>
      </c>
      <c r="M65" s="16" t="s">
        <v>148</v>
      </c>
      <c r="N65" s="5"/>
    </row>
    <row r="66" spans="1:14">
      <c r="A66" s="25">
        <v>46182</v>
      </c>
      <c r="B66" s="18" t="s">
        <v>319</v>
      </c>
      <c r="C66" s="18" t="s">
        <v>179</v>
      </c>
      <c r="D66" s="18" t="s">
        <v>6</v>
      </c>
      <c r="E66" s="18" t="s">
        <v>168</v>
      </c>
      <c r="F66" s="18" t="s">
        <v>384</v>
      </c>
      <c r="G66" s="18" t="s">
        <v>235</v>
      </c>
      <c r="H66" s="18" t="s">
        <v>385</v>
      </c>
      <c r="I66" s="18" t="s">
        <v>47</v>
      </c>
      <c r="J66" s="19">
        <v>1</v>
      </c>
      <c r="K66" s="18" t="s">
        <v>147</v>
      </c>
      <c r="L66" s="18" t="s">
        <v>147</v>
      </c>
      <c r="M66" s="16" t="s">
        <v>148</v>
      </c>
      <c r="N66" s="18"/>
    </row>
    <row r="67" spans="1:14">
      <c r="A67" s="24">
        <v>46182</v>
      </c>
      <c r="B67" s="5" t="s">
        <v>319</v>
      </c>
      <c r="C67" s="5" t="s">
        <v>179</v>
      </c>
      <c r="D67" s="5" t="s">
        <v>6</v>
      </c>
      <c r="E67" s="5" t="s">
        <v>168</v>
      </c>
      <c r="F67" s="5" t="s">
        <v>384</v>
      </c>
      <c r="G67" s="5" t="s">
        <v>238</v>
      </c>
      <c r="H67" s="5" t="s">
        <v>385</v>
      </c>
      <c r="I67" s="5" t="s">
        <v>47</v>
      </c>
      <c r="J67" s="7">
        <v>1</v>
      </c>
      <c r="K67" s="5" t="s">
        <v>147</v>
      </c>
      <c r="L67" s="5" t="s">
        <v>147</v>
      </c>
      <c r="M67" s="16" t="s">
        <v>148</v>
      </c>
      <c r="N67" s="5"/>
    </row>
    <row r="68" spans="1:14">
      <c r="A68" s="25">
        <v>46182</v>
      </c>
      <c r="B68" s="18" t="s">
        <v>319</v>
      </c>
      <c r="C68" s="18" t="s">
        <v>179</v>
      </c>
      <c r="D68" s="18" t="s">
        <v>6</v>
      </c>
      <c r="E68" s="18" t="s">
        <v>168</v>
      </c>
      <c r="F68" s="18" t="s">
        <v>384</v>
      </c>
      <c r="G68" s="18" t="s">
        <v>254</v>
      </c>
      <c r="H68" s="18" t="s">
        <v>385</v>
      </c>
      <c r="I68" s="18" t="s">
        <v>47</v>
      </c>
      <c r="J68" s="19">
        <v>1</v>
      </c>
      <c r="K68" s="18" t="s">
        <v>153</v>
      </c>
      <c r="L68" s="18" t="s">
        <v>153</v>
      </c>
      <c r="M68" s="17" t="s">
        <v>153</v>
      </c>
      <c r="N68" s="18"/>
    </row>
    <row r="69" spans="1:14">
      <c r="A69" s="24">
        <v>46182</v>
      </c>
      <c r="B69" s="5" t="s">
        <v>319</v>
      </c>
      <c r="C69" s="5" t="s">
        <v>179</v>
      </c>
      <c r="D69" s="5" t="s">
        <v>6</v>
      </c>
      <c r="E69" s="5" t="s">
        <v>168</v>
      </c>
      <c r="F69" s="5" t="s">
        <v>384</v>
      </c>
      <c r="G69" s="5" t="s">
        <v>185</v>
      </c>
      <c r="H69" s="5"/>
      <c r="I69" s="5" t="s">
        <v>47</v>
      </c>
      <c r="J69" s="7">
        <v>3</v>
      </c>
      <c r="K69" s="5" t="s">
        <v>147</v>
      </c>
      <c r="L69" s="5" t="s">
        <v>147</v>
      </c>
      <c r="M69" s="16" t="s">
        <v>148</v>
      </c>
      <c r="N69" s="5"/>
    </row>
    <row r="70" spans="1:14">
      <c r="A70" s="25">
        <v>46182</v>
      </c>
      <c r="B70" s="18" t="s">
        <v>319</v>
      </c>
      <c r="C70" s="18" t="s">
        <v>179</v>
      </c>
      <c r="D70" s="18" t="s">
        <v>6</v>
      </c>
      <c r="E70" s="18" t="s">
        <v>168</v>
      </c>
      <c r="F70" s="18" t="s">
        <v>384</v>
      </c>
      <c r="G70" s="18" t="s">
        <v>190</v>
      </c>
      <c r="H70" s="18"/>
      <c r="I70" s="18" t="s">
        <v>47</v>
      </c>
      <c r="J70" s="19">
        <v>2</v>
      </c>
      <c r="K70" s="18" t="s">
        <v>153</v>
      </c>
      <c r="L70" s="18" t="s">
        <v>153</v>
      </c>
      <c r="M70" s="17" t="s">
        <v>153</v>
      </c>
      <c r="N70" s="18"/>
    </row>
    <row r="71" spans="1:14">
      <c r="A71" s="24">
        <v>46182</v>
      </c>
      <c r="B71" s="5" t="s">
        <v>319</v>
      </c>
      <c r="C71" s="5" t="s">
        <v>179</v>
      </c>
      <c r="D71" s="5" t="s">
        <v>6</v>
      </c>
      <c r="E71" s="5" t="s">
        <v>168</v>
      </c>
      <c r="F71" s="5" t="s">
        <v>384</v>
      </c>
      <c r="G71" s="5" t="s">
        <v>272</v>
      </c>
      <c r="H71" s="5" t="s">
        <v>388</v>
      </c>
      <c r="I71" s="5" t="s">
        <v>47</v>
      </c>
      <c r="J71" s="7">
        <v>1</v>
      </c>
      <c r="K71" s="5" t="s">
        <v>147</v>
      </c>
      <c r="L71" s="5" t="s">
        <v>147</v>
      </c>
      <c r="M71" s="16" t="s">
        <v>148</v>
      </c>
      <c r="N71" s="5"/>
    </row>
    <row r="72" spans="1:14">
      <c r="A72" s="25">
        <v>46182</v>
      </c>
      <c r="B72" s="18" t="s">
        <v>319</v>
      </c>
      <c r="C72" s="18" t="s">
        <v>179</v>
      </c>
      <c r="D72" s="18" t="s">
        <v>6</v>
      </c>
      <c r="E72" s="18" t="s">
        <v>168</v>
      </c>
      <c r="F72" s="18" t="s">
        <v>384</v>
      </c>
      <c r="G72" s="18" t="s">
        <v>189</v>
      </c>
      <c r="H72" s="18"/>
      <c r="I72" s="18" t="s">
        <v>47</v>
      </c>
      <c r="J72" s="19">
        <v>2</v>
      </c>
      <c r="K72" s="18" t="s">
        <v>153</v>
      </c>
      <c r="L72" s="18" t="s">
        <v>153</v>
      </c>
      <c r="M72" s="17" t="s">
        <v>153</v>
      </c>
      <c r="N72" s="18"/>
    </row>
    <row r="73" spans="1:14">
      <c r="A73" s="24">
        <v>46182</v>
      </c>
      <c r="B73" s="5" t="s">
        <v>319</v>
      </c>
      <c r="C73" s="5" t="s">
        <v>179</v>
      </c>
      <c r="D73" s="5" t="s">
        <v>6</v>
      </c>
      <c r="E73" s="5" t="s">
        <v>168</v>
      </c>
      <c r="F73" s="5" t="s">
        <v>384</v>
      </c>
      <c r="G73" s="5" t="s">
        <v>236</v>
      </c>
      <c r="H73" s="5"/>
      <c r="I73" s="5" t="s">
        <v>40</v>
      </c>
      <c r="J73" s="7">
        <v>1</v>
      </c>
      <c r="K73" s="5" t="s">
        <v>147</v>
      </c>
      <c r="L73" s="5" t="s">
        <v>147</v>
      </c>
      <c r="M73" s="16" t="s">
        <v>148</v>
      </c>
      <c r="N73" s="5"/>
    </row>
    <row r="74" spans="1:14">
      <c r="A74" s="25">
        <v>46182</v>
      </c>
      <c r="B74" s="18" t="s">
        <v>319</v>
      </c>
      <c r="C74" s="18" t="s">
        <v>179</v>
      </c>
      <c r="D74" s="18" t="s">
        <v>6</v>
      </c>
      <c r="E74" s="18" t="s">
        <v>168</v>
      </c>
      <c r="F74" s="18" t="s">
        <v>384</v>
      </c>
      <c r="G74" s="18" t="s">
        <v>188</v>
      </c>
      <c r="H74" s="18"/>
      <c r="I74" s="18" t="s">
        <v>216</v>
      </c>
      <c r="J74" s="19">
        <v>1</v>
      </c>
      <c r="K74" s="18" t="s">
        <v>147</v>
      </c>
      <c r="L74" s="18" t="s">
        <v>147</v>
      </c>
      <c r="M74" s="16" t="s">
        <v>148</v>
      </c>
      <c r="N74" s="18"/>
    </row>
    <row r="75" spans="1:14">
      <c r="A75" s="24">
        <v>46182</v>
      </c>
      <c r="B75" s="5" t="s">
        <v>319</v>
      </c>
      <c r="C75" s="5" t="s">
        <v>179</v>
      </c>
      <c r="D75" s="5" t="s">
        <v>6</v>
      </c>
      <c r="E75" s="5" t="s">
        <v>168</v>
      </c>
      <c r="F75" s="5" t="s">
        <v>384</v>
      </c>
      <c r="G75" s="5" t="s">
        <v>191</v>
      </c>
      <c r="H75" s="5"/>
      <c r="I75" s="5" t="s">
        <v>47</v>
      </c>
      <c r="J75" s="7">
        <v>2</v>
      </c>
      <c r="K75" s="5" t="s">
        <v>153</v>
      </c>
      <c r="L75" s="5" t="s">
        <v>153</v>
      </c>
      <c r="M75" s="17" t="s">
        <v>153</v>
      </c>
      <c r="N75" s="5"/>
    </row>
    <row r="76" spans="1:14">
      <c r="A76" s="25">
        <v>46183</v>
      </c>
      <c r="B76" s="18" t="s">
        <v>319</v>
      </c>
      <c r="C76" s="18" t="s">
        <v>179</v>
      </c>
      <c r="D76" s="18" t="s">
        <v>3</v>
      </c>
      <c r="E76" s="18" t="s">
        <v>158</v>
      </c>
      <c r="F76" s="18" t="s">
        <v>344</v>
      </c>
      <c r="G76" s="18" t="s">
        <v>220</v>
      </c>
      <c r="H76" s="18"/>
      <c r="I76" s="18" t="s">
        <v>40</v>
      </c>
      <c r="J76" s="19">
        <v>6</v>
      </c>
      <c r="K76" s="18" t="s">
        <v>345</v>
      </c>
      <c r="L76" s="18" t="s">
        <v>149</v>
      </c>
      <c r="M76" s="16" t="s">
        <v>148</v>
      </c>
      <c r="N76" s="18"/>
    </row>
    <row r="77" spans="1:14">
      <c r="A77" s="24">
        <v>46183</v>
      </c>
      <c r="B77" s="5" t="s">
        <v>319</v>
      </c>
      <c r="C77" s="5" t="s">
        <v>179</v>
      </c>
      <c r="D77" s="5" t="s">
        <v>3</v>
      </c>
      <c r="E77" s="5" t="s">
        <v>158</v>
      </c>
      <c r="F77" s="5" t="s">
        <v>344</v>
      </c>
      <c r="G77" s="5" t="s">
        <v>227</v>
      </c>
      <c r="H77" s="5"/>
      <c r="I77" s="5" t="s">
        <v>216</v>
      </c>
      <c r="J77" s="7">
        <v>1</v>
      </c>
      <c r="K77" s="5" t="s">
        <v>345</v>
      </c>
      <c r="L77" s="5" t="s">
        <v>149</v>
      </c>
      <c r="M77" s="16" t="s">
        <v>148</v>
      </c>
      <c r="N77" s="5"/>
    </row>
    <row r="78" spans="1:14">
      <c r="A78" s="25">
        <v>46183</v>
      </c>
      <c r="B78" s="18" t="s">
        <v>319</v>
      </c>
      <c r="C78" s="18" t="s">
        <v>179</v>
      </c>
      <c r="D78" s="18" t="s">
        <v>3</v>
      </c>
      <c r="E78" s="18" t="s">
        <v>158</v>
      </c>
      <c r="F78" s="18" t="s">
        <v>344</v>
      </c>
      <c r="G78" s="18" t="s">
        <v>248</v>
      </c>
      <c r="H78" s="18"/>
      <c r="I78" s="18" t="s">
        <v>216</v>
      </c>
      <c r="J78" s="19">
        <v>1</v>
      </c>
      <c r="K78" s="18" t="s">
        <v>345</v>
      </c>
      <c r="L78" s="18" t="s">
        <v>149</v>
      </c>
      <c r="M78" s="16" t="s">
        <v>148</v>
      </c>
      <c r="N78" s="18"/>
    </row>
    <row r="79" spans="1:14">
      <c r="A79" s="24">
        <v>46183</v>
      </c>
      <c r="B79" s="5" t="s">
        <v>319</v>
      </c>
      <c r="C79" s="5" t="s">
        <v>179</v>
      </c>
      <c r="D79" s="5" t="s">
        <v>3</v>
      </c>
      <c r="E79" s="5" t="s">
        <v>160</v>
      </c>
      <c r="F79" s="5" t="s">
        <v>346</v>
      </c>
      <c r="G79" s="5" t="s">
        <v>185</v>
      </c>
      <c r="H79" s="5"/>
      <c r="I79" s="5" t="s">
        <v>47</v>
      </c>
      <c r="J79" s="7">
        <v>2</v>
      </c>
      <c r="K79" s="5" t="s">
        <v>345</v>
      </c>
      <c r="L79" s="5" t="s">
        <v>149</v>
      </c>
      <c r="M79" s="16" t="s">
        <v>148</v>
      </c>
      <c r="N79" s="5"/>
    </row>
    <row r="80" spans="1:14">
      <c r="A80" s="25">
        <v>46183</v>
      </c>
      <c r="B80" s="18" t="s">
        <v>319</v>
      </c>
      <c r="C80" s="18" t="s">
        <v>179</v>
      </c>
      <c r="D80" s="18" t="s">
        <v>3</v>
      </c>
      <c r="E80" s="18" t="s">
        <v>3</v>
      </c>
      <c r="F80" s="18" t="s">
        <v>351</v>
      </c>
      <c r="G80" s="18" t="s">
        <v>243</v>
      </c>
      <c r="H80" s="18"/>
      <c r="I80" s="18" t="s">
        <v>216</v>
      </c>
      <c r="J80" s="19">
        <v>1</v>
      </c>
      <c r="K80" s="18" t="s">
        <v>345</v>
      </c>
      <c r="L80" s="18" t="s">
        <v>149</v>
      </c>
      <c r="M80" s="16" t="s">
        <v>148</v>
      </c>
      <c r="N80" s="18"/>
    </row>
    <row r="81" spans="1:14">
      <c r="A81" s="24">
        <v>46183</v>
      </c>
      <c r="B81" s="5" t="s">
        <v>319</v>
      </c>
      <c r="C81" s="5" t="s">
        <v>179</v>
      </c>
      <c r="D81" s="5" t="s">
        <v>3</v>
      </c>
      <c r="E81" s="5" t="s">
        <v>3</v>
      </c>
      <c r="F81" s="5" t="s">
        <v>351</v>
      </c>
      <c r="G81" s="5" t="s">
        <v>251</v>
      </c>
      <c r="H81" s="5"/>
      <c r="I81" s="5" t="s">
        <v>216</v>
      </c>
      <c r="J81" s="7">
        <v>1</v>
      </c>
      <c r="K81" s="5" t="s">
        <v>345</v>
      </c>
      <c r="L81" s="5" t="s">
        <v>149</v>
      </c>
      <c r="M81" s="16" t="s">
        <v>148</v>
      </c>
      <c r="N81" s="5"/>
    </row>
    <row r="82" spans="1:14">
      <c r="A82" s="25">
        <v>46183</v>
      </c>
      <c r="B82" s="18" t="s">
        <v>319</v>
      </c>
      <c r="C82" s="18" t="s">
        <v>179</v>
      </c>
      <c r="D82" s="18" t="s">
        <v>3</v>
      </c>
      <c r="E82" s="18" t="s">
        <v>3</v>
      </c>
      <c r="F82" s="18" t="s">
        <v>349</v>
      </c>
      <c r="G82" s="18" t="s">
        <v>48</v>
      </c>
      <c r="H82" s="18"/>
      <c r="I82" s="18" t="s">
        <v>47</v>
      </c>
      <c r="J82" s="19">
        <v>2</v>
      </c>
      <c r="K82" s="18" t="s">
        <v>345</v>
      </c>
      <c r="L82" s="18" t="s">
        <v>149</v>
      </c>
      <c r="M82" s="16" t="s">
        <v>148</v>
      </c>
      <c r="N82" s="18"/>
    </row>
    <row r="83" spans="1:14">
      <c r="A83" s="24">
        <v>46183</v>
      </c>
      <c r="B83" s="5" t="s">
        <v>319</v>
      </c>
      <c r="C83" s="5" t="s">
        <v>179</v>
      </c>
      <c r="D83" s="5" t="s">
        <v>3</v>
      </c>
      <c r="E83" s="5" t="s">
        <v>3</v>
      </c>
      <c r="F83" s="5" t="s">
        <v>349</v>
      </c>
      <c r="G83" s="5" t="s">
        <v>227</v>
      </c>
      <c r="H83" s="5"/>
      <c r="I83" s="5" t="s">
        <v>216</v>
      </c>
      <c r="J83" s="7">
        <v>1</v>
      </c>
      <c r="K83" s="5" t="s">
        <v>345</v>
      </c>
      <c r="L83" s="5" t="s">
        <v>149</v>
      </c>
      <c r="M83" s="16" t="s">
        <v>148</v>
      </c>
      <c r="N83" s="5"/>
    </row>
    <row r="84" spans="1:14">
      <c r="A84" s="25">
        <v>46183</v>
      </c>
      <c r="B84" s="18" t="s">
        <v>319</v>
      </c>
      <c r="C84" s="18" t="s">
        <v>179</v>
      </c>
      <c r="D84" s="18" t="s">
        <v>3</v>
      </c>
      <c r="E84" s="18" t="s">
        <v>3</v>
      </c>
      <c r="F84" s="18" t="s">
        <v>349</v>
      </c>
      <c r="G84" s="18" t="s">
        <v>237</v>
      </c>
      <c r="H84" s="18"/>
      <c r="I84" s="18" t="s">
        <v>216</v>
      </c>
      <c r="J84" s="19">
        <v>1</v>
      </c>
      <c r="K84" s="18" t="s">
        <v>345</v>
      </c>
      <c r="L84" s="18" t="s">
        <v>149</v>
      </c>
      <c r="M84" s="16" t="s">
        <v>148</v>
      </c>
      <c r="N84" s="18"/>
    </row>
    <row r="85" spans="1:14">
      <c r="A85" s="24">
        <v>46183</v>
      </c>
      <c r="B85" s="5" t="s">
        <v>319</v>
      </c>
      <c r="C85" s="5" t="s">
        <v>179</v>
      </c>
      <c r="D85" s="5" t="s">
        <v>3</v>
      </c>
      <c r="E85" s="5" t="s">
        <v>3</v>
      </c>
      <c r="F85" s="5" t="s">
        <v>349</v>
      </c>
      <c r="G85" s="5" t="s">
        <v>220</v>
      </c>
      <c r="H85" s="5"/>
      <c r="I85" s="5" t="s">
        <v>40</v>
      </c>
      <c r="J85" s="7">
        <v>1</v>
      </c>
      <c r="K85" s="5" t="s">
        <v>345</v>
      </c>
      <c r="L85" s="5" t="s">
        <v>149</v>
      </c>
      <c r="M85" s="16" t="s">
        <v>148</v>
      </c>
      <c r="N85" s="5"/>
    </row>
    <row r="86" spans="1:14">
      <c r="A86" s="25">
        <v>46183</v>
      </c>
      <c r="B86" s="18" t="s">
        <v>319</v>
      </c>
      <c r="C86" s="18" t="s">
        <v>179</v>
      </c>
      <c r="D86" s="18" t="s">
        <v>6</v>
      </c>
      <c r="E86" s="18" t="s">
        <v>165</v>
      </c>
      <c r="F86" s="18" t="s">
        <v>384</v>
      </c>
      <c r="G86" s="18" t="s">
        <v>193</v>
      </c>
      <c r="H86" s="18"/>
      <c r="I86" s="18" t="s">
        <v>216</v>
      </c>
      <c r="J86" s="19">
        <v>1</v>
      </c>
      <c r="K86" s="18" t="s">
        <v>147</v>
      </c>
      <c r="L86" s="18" t="s">
        <v>147</v>
      </c>
      <c r="M86" s="16" t="s">
        <v>148</v>
      </c>
      <c r="N86" s="18"/>
    </row>
    <row r="87" spans="1:14">
      <c r="A87" s="24">
        <v>46184</v>
      </c>
      <c r="B87" s="5" t="s">
        <v>319</v>
      </c>
      <c r="C87" s="5" t="s">
        <v>179</v>
      </c>
      <c r="D87" s="5" t="s">
        <v>3</v>
      </c>
      <c r="E87" s="5" t="s">
        <v>158</v>
      </c>
      <c r="F87" s="5" t="s">
        <v>344</v>
      </c>
      <c r="G87" s="5" t="s">
        <v>220</v>
      </c>
      <c r="H87" s="5"/>
      <c r="I87" s="5" t="s">
        <v>40</v>
      </c>
      <c r="J87" s="7">
        <v>6</v>
      </c>
      <c r="K87" s="5" t="s">
        <v>345</v>
      </c>
      <c r="L87" s="5" t="s">
        <v>149</v>
      </c>
      <c r="M87" s="16" t="s">
        <v>148</v>
      </c>
      <c r="N87" s="5"/>
    </row>
    <row r="88" spans="1:14">
      <c r="A88" s="25">
        <v>46184</v>
      </c>
      <c r="B88" s="18" t="s">
        <v>319</v>
      </c>
      <c r="C88" s="18" t="s">
        <v>179</v>
      </c>
      <c r="D88" s="18" t="s">
        <v>3</v>
      </c>
      <c r="E88" s="18" t="s">
        <v>159</v>
      </c>
      <c r="F88" s="18" t="s">
        <v>352</v>
      </c>
      <c r="G88" s="18" t="s">
        <v>193</v>
      </c>
      <c r="H88" s="18"/>
      <c r="I88" s="18" t="s">
        <v>216</v>
      </c>
      <c r="J88" s="19">
        <v>2</v>
      </c>
      <c r="K88" s="18" t="s">
        <v>345</v>
      </c>
      <c r="L88" s="18" t="s">
        <v>149</v>
      </c>
      <c r="M88" s="16" t="s">
        <v>148</v>
      </c>
      <c r="N88" s="18"/>
    </row>
    <row r="89" spans="1:14">
      <c r="A89" s="24">
        <v>46184</v>
      </c>
      <c r="B89" s="5" t="s">
        <v>319</v>
      </c>
      <c r="C89" s="5" t="s">
        <v>179</v>
      </c>
      <c r="D89" s="5" t="s">
        <v>3</v>
      </c>
      <c r="E89" s="5" t="s">
        <v>159</v>
      </c>
      <c r="F89" s="5" t="s">
        <v>352</v>
      </c>
      <c r="G89" s="5" t="s">
        <v>217</v>
      </c>
      <c r="H89" s="5"/>
      <c r="I89" s="5" t="s">
        <v>216</v>
      </c>
      <c r="J89" s="7">
        <v>2</v>
      </c>
      <c r="K89" s="5" t="s">
        <v>345</v>
      </c>
      <c r="L89" s="5" t="s">
        <v>149</v>
      </c>
      <c r="M89" s="16" t="s">
        <v>148</v>
      </c>
      <c r="N89" s="5"/>
    </row>
    <row r="90" spans="1:14">
      <c r="A90" s="25">
        <v>46184</v>
      </c>
      <c r="B90" s="18" t="s">
        <v>319</v>
      </c>
      <c r="C90" s="18" t="s">
        <v>179</v>
      </c>
      <c r="D90" s="18" t="s">
        <v>3</v>
      </c>
      <c r="E90" s="18" t="s">
        <v>162</v>
      </c>
      <c r="F90" s="18" t="s">
        <v>353</v>
      </c>
      <c r="G90" s="18" t="s">
        <v>215</v>
      </c>
      <c r="H90" s="18"/>
      <c r="I90" s="18" t="s">
        <v>216</v>
      </c>
      <c r="J90" s="19">
        <v>3</v>
      </c>
      <c r="K90" s="18" t="s">
        <v>345</v>
      </c>
      <c r="L90" s="18" t="s">
        <v>149</v>
      </c>
      <c r="M90" s="16" t="s">
        <v>148</v>
      </c>
      <c r="N90" s="18"/>
    </row>
    <row r="91" spans="1:14">
      <c r="A91" s="24">
        <v>46184</v>
      </c>
      <c r="B91" s="5" t="s">
        <v>319</v>
      </c>
      <c r="C91" s="5" t="s">
        <v>179</v>
      </c>
      <c r="D91" s="5" t="s">
        <v>3</v>
      </c>
      <c r="E91" s="5" t="s">
        <v>3</v>
      </c>
      <c r="F91" s="5" t="s">
        <v>348</v>
      </c>
      <c r="G91" s="5" t="s">
        <v>260</v>
      </c>
      <c r="H91" s="5"/>
      <c r="I91" s="5" t="s">
        <v>40</v>
      </c>
      <c r="J91" s="7">
        <v>1</v>
      </c>
      <c r="K91" s="5" t="s">
        <v>153</v>
      </c>
      <c r="L91" s="5" t="s">
        <v>153</v>
      </c>
      <c r="M91" s="17" t="s">
        <v>153</v>
      </c>
      <c r="N91" s="5"/>
    </row>
    <row r="92" spans="1:14">
      <c r="A92" s="25">
        <v>46184</v>
      </c>
      <c r="B92" s="18" t="s">
        <v>319</v>
      </c>
      <c r="C92" s="18" t="s">
        <v>179</v>
      </c>
      <c r="D92" s="18" t="s">
        <v>3</v>
      </c>
      <c r="E92" s="18" t="s">
        <v>3</v>
      </c>
      <c r="F92" s="18" t="s">
        <v>354</v>
      </c>
      <c r="G92" s="18" t="s">
        <v>215</v>
      </c>
      <c r="H92" s="18"/>
      <c r="I92" s="18" t="s">
        <v>216</v>
      </c>
      <c r="J92" s="19">
        <v>12</v>
      </c>
      <c r="K92" s="18" t="s">
        <v>345</v>
      </c>
      <c r="L92" s="18" t="s">
        <v>149</v>
      </c>
      <c r="M92" s="16" t="s">
        <v>148</v>
      </c>
      <c r="N92" s="18"/>
    </row>
    <row r="93" spans="1:14">
      <c r="A93" s="24">
        <v>46184</v>
      </c>
      <c r="B93" s="5" t="s">
        <v>319</v>
      </c>
      <c r="C93" s="5" t="s">
        <v>179</v>
      </c>
      <c r="D93" s="5" t="s">
        <v>3</v>
      </c>
      <c r="E93" s="5" t="s">
        <v>3</v>
      </c>
      <c r="F93" s="5" t="s">
        <v>351</v>
      </c>
      <c r="G93" s="5" t="s">
        <v>48</v>
      </c>
      <c r="H93" s="5"/>
      <c r="I93" s="5" t="s">
        <v>47</v>
      </c>
      <c r="J93" s="7">
        <v>3</v>
      </c>
      <c r="K93" s="5" t="s">
        <v>345</v>
      </c>
      <c r="L93" s="5" t="s">
        <v>149</v>
      </c>
      <c r="M93" s="16" t="s">
        <v>148</v>
      </c>
      <c r="N93" s="5"/>
    </row>
    <row r="94" spans="1:14">
      <c r="A94" s="25">
        <v>46184</v>
      </c>
      <c r="B94" s="18" t="s">
        <v>319</v>
      </c>
      <c r="C94" s="18" t="s">
        <v>179</v>
      </c>
      <c r="D94" s="18" t="s">
        <v>3</v>
      </c>
      <c r="E94" s="18" t="s">
        <v>3</v>
      </c>
      <c r="F94" s="18" t="s">
        <v>351</v>
      </c>
      <c r="G94" s="18" t="s">
        <v>48</v>
      </c>
      <c r="H94" s="18"/>
      <c r="I94" s="18" t="s">
        <v>47</v>
      </c>
      <c r="J94" s="19">
        <v>2</v>
      </c>
      <c r="K94" s="18" t="s">
        <v>345</v>
      </c>
      <c r="L94" s="18" t="s">
        <v>149</v>
      </c>
      <c r="M94" s="16" t="s">
        <v>148</v>
      </c>
      <c r="N94" s="18"/>
    </row>
    <row r="95" spans="1:14">
      <c r="A95" s="24">
        <v>46184</v>
      </c>
      <c r="B95" s="5" t="s">
        <v>319</v>
      </c>
      <c r="C95" s="5" t="s">
        <v>179</v>
      </c>
      <c r="D95" s="5" t="s">
        <v>3</v>
      </c>
      <c r="E95" s="5" t="s">
        <v>3</v>
      </c>
      <c r="F95" s="5" t="s">
        <v>355</v>
      </c>
      <c r="G95" s="5" t="s">
        <v>231</v>
      </c>
      <c r="H95" s="5"/>
      <c r="I95" s="5" t="s">
        <v>40</v>
      </c>
      <c r="J95" s="7">
        <v>1</v>
      </c>
      <c r="K95" s="5" t="s">
        <v>345</v>
      </c>
      <c r="L95" s="5" t="s">
        <v>149</v>
      </c>
      <c r="M95" s="16" t="s">
        <v>148</v>
      </c>
      <c r="N95" s="5"/>
    </row>
    <row r="96" spans="1:14">
      <c r="A96" s="25">
        <v>46184</v>
      </c>
      <c r="B96" s="18" t="s">
        <v>319</v>
      </c>
      <c r="C96" s="18" t="s">
        <v>179</v>
      </c>
      <c r="D96" s="18" t="s">
        <v>6</v>
      </c>
      <c r="E96" s="18" t="s">
        <v>165</v>
      </c>
      <c r="F96" s="18" t="s">
        <v>384</v>
      </c>
      <c r="G96" s="18" t="s">
        <v>252</v>
      </c>
      <c r="H96" s="18"/>
      <c r="I96" s="18" t="s">
        <v>40</v>
      </c>
      <c r="J96" s="19">
        <v>3</v>
      </c>
      <c r="K96" s="18" t="s">
        <v>147</v>
      </c>
      <c r="L96" s="18" t="s">
        <v>147</v>
      </c>
      <c r="M96" s="16" t="s">
        <v>148</v>
      </c>
      <c r="N96" s="18"/>
    </row>
    <row r="97" spans="1:14">
      <c r="A97" s="24">
        <v>46184</v>
      </c>
      <c r="B97" s="5" t="s">
        <v>319</v>
      </c>
      <c r="C97" s="5" t="s">
        <v>179</v>
      </c>
      <c r="D97" s="5" t="s">
        <v>6</v>
      </c>
      <c r="E97" s="5" t="s">
        <v>165</v>
      </c>
      <c r="F97" s="5" t="s">
        <v>384</v>
      </c>
      <c r="G97" s="5" t="s">
        <v>276</v>
      </c>
      <c r="H97" s="5"/>
      <c r="I97" s="5" t="s">
        <v>40</v>
      </c>
      <c r="J97" s="7">
        <v>3</v>
      </c>
      <c r="K97" s="5" t="s">
        <v>147</v>
      </c>
      <c r="L97" s="5" t="s">
        <v>147</v>
      </c>
      <c r="M97" s="16" t="s">
        <v>148</v>
      </c>
      <c r="N97" s="5"/>
    </row>
    <row r="98" spans="1:14">
      <c r="A98" s="25">
        <v>46184</v>
      </c>
      <c r="B98" s="18" t="s">
        <v>319</v>
      </c>
      <c r="C98" s="18" t="s">
        <v>179</v>
      </c>
      <c r="D98" s="18" t="s">
        <v>6</v>
      </c>
      <c r="E98" s="18" t="s">
        <v>165</v>
      </c>
      <c r="F98" s="18" t="s">
        <v>384</v>
      </c>
      <c r="G98" s="18" t="s">
        <v>259</v>
      </c>
      <c r="H98" s="18"/>
      <c r="I98" s="18" t="s">
        <v>40</v>
      </c>
      <c r="J98" s="19">
        <v>15</v>
      </c>
      <c r="K98" s="18" t="s">
        <v>153</v>
      </c>
      <c r="L98" s="18" t="s">
        <v>153</v>
      </c>
      <c r="M98" s="17" t="s">
        <v>153</v>
      </c>
      <c r="N98" s="18"/>
    </row>
    <row r="99" spans="1:14">
      <c r="A99" s="24">
        <v>46184</v>
      </c>
      <c r="B99" s="5" t="s">
        <v>319</v>
      </c>
      <c r="C99" s="5" t="s">
        <v>179</v>
      </c>
      <c r="D99" s="5" t="s">
        <v>6</v>
      </c>
      <c r="E99" s="5" t="s">
        <v>165</v>
      </c>
      <c r="F99" s="5" t="s">
        <v>384</v>
      </c>
      <c r="G99" s="5" t="s">
        <v>270</v>
      </c>
      <c r="H99" s="5"/>
      <c r="I99" s="5" t="s">
        <v>40</v>
      </c>
      <c r="J99" s="7">
        <v>10</v>
      </c>
      <c r="K99" s="5" t="s">
        <v>147</v>
      </c>
      <c r="L99" s="5" t="s">
        <v>147</v>
      </c>
      <c r="M99" s="16" t="s">
        <v>148</v>
      </c>
      <c r="N99" s="5"/>
    </row>
    <row r="100" spans="1:14">
      <c r="A100" s="25">
        <v>46184</v>
      </c>
      <c r="B100" s="18" t="s">
        <v>319</v>
      </c>
      <c r="C100" s="18" t="s">
        <v>179</v>
      </c>
      <c r="D100" s="18" t="s">
        <v>6</v>
      </c>
      <c r="E100" s="18" t="s">
        <v>165</v>
      </c>
      <c r="F100" s="18" t="s">
        <v>384</v>
      </c>
      <c r="G100" s="18" t="s">
        <v>39</v>
      </c>
      <c r="H100" s="18"/>
      <c r="I100" s="18" t="s">
        <v>40</v>
      </c>
      <c r="J100" s="19">
        <v>500</v>
      </c>
      <c r="K100" s="18" t="s">
        <v>147</v>
      </c>
      <c r="L100" s="18" t="s">
        <v>147</v>
      </c>
      <c r="M100" s="16" t="s">
        <v>148</v>
      </c>
      <c r="N100" s="18"/>
    </row>
    <row r="101" spans="1:14">
      <c r="A101" s="24">
        <v>46184</v>
      </c>
      <c r="B101" s="5" t="s">
        <v>319</v>
      </c>
      <c r="C101" s="5" t="s">
        <v>179</v>
      </c>
      <c r="D101" s="5" t="s">
        <v>6</v>
      </c>
      <c r="E101" s="5" t="s">
        <v>168</v>
      </c>
      <c r="F101" s="5" t="s">
        <v>384</v>
      </c>
      <c r="G101" s="5" t="s">
        <v>39</v>
      </c>
      <c r="H101" s="5"/>
      <c r="I101" s="5" t="s">
        <v>40</v>
      </c>
      <c r="J101" s="7">
        <v>200</v>
      </c>
      <c r="K101" s="5" t="s">
        <v>147</v>
      </c>
      <c r="L101" s="5" t="s">
        <v>147</v>
      </c>
      <c r="M101" s="16" t="s">
        <v>148</v>
      </c>
      <c r="N101" s="5"/>
    </row>
    <row r="102" spans="1:14">
      <c r="A102" s="25">
        <v>46188</v>
      </c>
      <c r="B102" s="18" t="s">
        <v>320</v>
      </c>
      <c r="C102" s="18" t="s">
        <v>179</v>
      </c>
      <c r="D102" s="18" t="s">
        <v>3</v>
      </c>
      <c r="E102" s="18" t="s">
        <v>158</v>
      </c>
      <c r="F102" s="18" t="s">
        <v>356</v>
      </c>
      <c r="G102" s="18" t="s">
        <v>188</v>
      </c>
      <c r="H102" s="18"/>
      <c r="I102" s="18" t="s">
        <v>216</v>
      </c>
      <c r="J102" s="19">
        <v>1</v>
      </c>
      <c r="K102" s="18" t="s">
        <v>345</v>
      </c>
      <c r="L102" s="18" t="s">
        <v>149</v>
      </c>
      <c r="M102" s="16" t="s">
        <v>148</v>
      </c>
      <c r="N102" s="18"/>
    </row>
    <row r="103" spans="1:14">
      <c r="A103" s="24">
        <v>46188</v>
      </c>
      <c r="B103" s="5" t="s">
        <v>320</v>
      </c>
      <c r="C103" s="5" t="s">
        <v>179</v>
      </c>
      <c r="D103" s="5" t="s">
        <v>3</v>
      </c>
      <c r="E103" s="5" t="s">
        <v>161</v>
      </c>
      <c r="F103" s="5" t="s">
        <v>357</v>
      </c>
      <c r="G103" s="5" t="s">
        <v>259</v>
      </c>
      <c r="H103" s="5"/>
      <c r="I103" s="5" t="s">
        <v>40</v>
      </c>
      <c r="J103" s="7">
        <v>1</v>
      </c>
      <c r="K103" s="5" t="s">
        <v>345</v>
      </c>
      <c r="L103" s="5" t="s">
        <v>149</v>
      </c>
      <c r="M103" s="16" t="s">
        <v>148</v>
      </c>
      <c r="N103" s="5"/>
    </row>
    <row r="104" spans="1:14">
      <c r="A104" s="25">
        <v>46188</v>
      </c>
      <c r="B104" s="18" t="s">
        <v>320</v>
      </c>
      <c r="C104" s="18" t="s">
        <v>179</v>
      </c>
      <c r="D104" s="18" t="s">
        <v>3</v>
      </c>
      <c r="E104" s="18" t="s">
        <v>3</v>
      </c>
      <c r="F104" s="18" t="s">
        <v>355</v>
      </c>
      <c r="G104" s="18" t="s">
        <v>217</v>
      </c>
      <c r="H104" s="18"/>
      <c r="I104" s="18" t="s">
        <v>216</v>
      </c>
      <c r="J104" s="19">
        <v>4</v>
      </c>
      <c r="K104" s="18" t="s">
        <v>345</v>
      </c>
      <c r="L104" s="18" t="s">
        <v>149</v>
      </c>
      <c r="M104" s="16" t="s">
        <v>148</v>
      </c>
      <c r="N104" s="18"/>
    </row>
    <row r="105" spans="1:14">
      <c r="A105" s="24">
        <v>46188</v>
      </c>
      <c r="B105" s="5" t="s">
        <v>320</v>
      </c>
      <c r="C105" s="5" t="s">
        <v>179</v>
      </c>
      <c r="D105" s="5" t="s">
        <v>3</v>
      </c>
      <c r="E105" s="5" t="s">
        <v>3</v>
      </c>
      <c r="F105" s="5" t="s">
        <v>355</v>
      </c>
      <c r="G105" s="5" t="s">
        <v>234</v>
      </c>
      <c r="H105" s="5"/>
      <c r="I105" s="5" t="s">
        <v>47</v>
      </c>
      <c r="J105" s="7">
        <v>1</v>
      </c>
      <c r="K105" s="5" t="s">
        <v>345</v>
      </c>
      <c r="L105" s="5" t="s">
        <v>149</v>
      </c>
      <c r="M105" s="16" t="s">
        <v>148</v>
      </c>
      <c r="N105" s="5"/>
    </row>
    <row r="106" spans="1:14">
      <c r="A106" s="25">
        <v>46188</v>
      </c>
      <c r="B106" s="18" t="s">
        <v>320</v>
      </c>
      <c r="C106" s="18" t="s">
        <v>179</v>
      </c>
      <c r="D106" s="18" t="s">
        <v>3</v>
      </c>
      <c r="E106" s="18" t="s">
        <v>3</v>
      </c>
      <c r="F106" s="18" t="s">
        <v>355</v>
      </c>
      <c r="G106" s="18" t="s">
        <v>188</v>
      </c>
      <c r="H106" s="18"/>
      <c r="I106" s="18" t="s">
        <v>216</v>
      </c>
      <c r="J106" s="19">
        <v>1</v>
      </c>
      <c r="K106" s="18" t="s">
        <v>345</v>
      </c>
      <c r="L106" s="18" t="s">
        <v>149</v>
      </c>
      <c r="M106" s="16" t="s">
        <v>148</v>
      </c>
      <c r="N106" s="18"/>
    </row>
    <row r="107" spans="1:14">
      <c r="A107" s="24">
        <v>46188</v>
      </c>
      <c r="B107" s="5" t="s">
        <v>320</v>
      </c>
      <c r="C107" s="5" t="s">
        <v>179</v>
      </c>
      <c r="D107" s="5" t="s">
        <v>6</v>
      </c>
      <c r="E107" s="5" t="s">
        <v>163</v>
      </c>
      <c r="F107" s="5" t="s">
        <v>384</v>
      </c>
      <c r="G107" s="5" t="s">
        <v>259</v>
      </c>
      <c r="H107" s="5"/>
      <c r="I107" s="5" t="s">
        <v>40</v>
      </c>
      <c r="J107" s="7">
        <v>5</v>
      </c>
      <c r="K107" s="5" t="s">
        <v>147</v>
      </c>
      <c r="L107" s="5" t="s">
        <v>147</v>
      </c>
      <c r="M107" s="16" t="s">
        <v>148</v>
      </c>
      <c r="N107" s="5"/>
    </row>
    <row r="108" spans="1:14">
      <c r="A108" s="25">
        <v>46188</v>
      </c>
      <c r="B108" s="18" t="s">
        <v>320</v>
      </c>
      <c r="C108" s="18" t="s">
        <v>179</v>
      </c>
      <c r="D108" s="18" t="s">
        <v>6</v>
      </c>
      <c r="E108" s="18" t="s">
        <v>163</v>
      </c>
      <c r="F108" s="18" t="s">
        <v>384</v>
      </c>
      <c r="G108" s="18" t="s">
        <v>270</v>
      </c>
      <c r="H108" s="18"/>
      <c r="I108" s="18" t="s">
        <v>40</v>
      </c>
      <c r="J108" s="19">
        <v>5</v>
      </c>
      <c r="K108" s="18" t="s">
        <v>147</v>
      </c>
      <c r="L108" s="18" t="s">
        <v>147</v>
      </c>
      <c r="M108" s="16" t="s">
        <v>148</v>
      </c>
      <c r="N108" s="18"/>
    </row>
    <row r="109" spans="1:14">
      <c r="A109" s="24">
        <v>46188</v>
      </c>
      <c r="B109" s="5" t="s">
        <v>320</v>
      </c>
      <c r="C109" s="5" t="s">
        <v>179</v>
      </c>
      <c r="D109" s="5" t="s">
        <v>6</v>
      </c>
      <c r="E109" s="5" t="s">
        <v>163</v>
      </c>
      <c r="F109" s="5" t="s">
        <v>384</v>
      </c>
      <c r="G109" s="5" t="s">
        <v>43</v>
      </c>
      <c r="H109" s="5"/>
      <c r="I109" s="5" t="s">
        <v>40</v>
      </c>
      <c r="J109" s="7">
        <v>250</v>
      </c>
      <c r="K109" s="5" t="s">
        <v>147</v>
      </c>
      <c r="L109" s="5" t="s">
        <v>147</v>
      </c>
      <c r="M109" s="16" t="s">
        <v>148</v>
      </c>
      <c r="N109" s="5"/>
    </row>
    <row r="110" spans="1:14">
      <c r="A110" s="25">
        <v>46188</v>
      </c>
      <c r="B110" s="18" t="s">
        <v>320</v>
      </c>
      <c r="C110" s="18" t="s">
        <v>179</v>
      </c>
      <c r="D110" s="18" t="s">
        <v>6</v>
      </c>
      <c r="E110" s="18" t="s">
        <v>163</v>
      </c>
      <c r="F110" s="18" t="s">
        <v>384</v>
      </c>
      <c r="G110" s="18" t="s">
        <v>42</v>
      </c>
      <c r="H110" s="18"/>
      <c r="I110" s="18" t="s">
        <v>40</v>
      </c>
      <c r="J110" s="19">
        <v>300</v>
      </c>
      <c r="K110" s="18" t="s">
        <v>147</v>
      </c>
      <c r="L110" s="18" t="s">
        <v>147</v>
      </c>
      <c r="M110" s="16" t="s">
        <v>148</v>
      </c>
      <c r="N110" s="18"/>
    </row>
    <row r="111" spans="1:14">
      <c r="A111" s="24">
        <v>46188</v>
      </c>
      <c r="B111" s="5" t="s">
        <v>320</v>
      </c>
      <c r="C111" s="5" t="s">
        <v>179</v>
      </c>
      <c r="D111" s="5" t="s">
        <v>6</v>
      </c>
      <c r="E111" s="5" t="s">
        <v>163</v>
      </c>
      <c r="F111" s="5" t="s">
        <v>384</v>
      </c>
      <c r="G111" s="5" t="s">
        <v>41</v>
      </c>
      <c r="H111" s="5"/>
      <c r="I111" s="5" t="s">
        <v>40</v>
      </c>
      <c r="J111" s="7">
        <v>300</v>
      </c>
      <c r="K111" s="5" t="s">
        <v>147</v>
      </c>
      <c r="L111" s="5" t="s">
        <v>147</v>
      </c>
      <c r="M111" s="16" t="s">
        <v>148</v>
      </c>
      <c r="N111" s="5"/>
    </row>
    <row r="112" spans="1:14">
      <c r="A112" s="25">
        <v>46188</v>
      </c>
      <c r="B112" s="18" t="s">
        <v>320</v>
      </c>
      <c r="C112" s="18" t="s">
        <v>179</v>
      </c>
      <c r="D112" s="18" t="s">
        <v>6</v>
      </c>
      <c r="E112" s="18" t="s">
        <v>163</v>
      </c>
      <c r="F112" s="18" t="s">
        <v>384</v>
      </c>
      <c r="G112" s="18" t="s">
        <v>48</v>
      </c>
      <c r="H112" s="18"/>
      <c r="I112" s="18" t="s">
        <v>47</v>
      </c>
      <c r="J112" s="19">
        <v>30</v>
      </c>
      <c r="K112" s="18" t="s">
        <v>147</v>
      </c>
      <c r="L112" s="18" t="s">
        <v>147</v>
      </c>
      <c r="M112" s="16" t="s">
        <v>148</v>
      </c>
      <c r="N112" s="18"/>
    </row>
    <row r="113" spans="1:14">
      <c r="A113" s="24">
        <v>46188</v>
      </c>
      <c r="B113" s="5" t="s">
        <v>320</v>
      </c>
      <c r="C113" s="5" t="s">
        <v>179</v>
      </c>
      <c r="D113" s="5" t="s">
        <v>6</v>
      </c>
      <c r="E113" s="5" t="s">
        <v>163</v>
      </c>
      <c r="F113" s="5" t="s">
        <v>384</v>
      </c>
      <c r="G113" s="5" t="s">
        <v>39</v>
      </c>
      <c r="H113" s="5"/>
      <c r="I113" s="5" t="s">
        <v>40</v>
      </c>
      <c r="J113" s="7">
        <v>200</v>
      </c>
      <c r="K113" s="5" t="s">
        <v>147</v>
      </c>
      <c r="L113" s="5" t="s">
        <v>147</v>
      </c>
      <c r="M113" s="16" t="s">
        <v>148</v>
      </c>
      <c r="N113" s="5"/>
    </row>
    <row r="114" spans="1:14">
      <c r="A114" s="25">
        <v>46188</v>
      </c>
      <c r="B114" s="18" t="s">
        <v>320</v>
      </c>
      <c r="C114" s="18" t="s">
        <v>179</v>
      </c>
      <c r="D114" s="18" t="s">
        <v>6</v>
      </c>
      <c r="E114" s="18" t="s">
        <v>164</v>
      </c>
      <c r="F114" s="18" t="s">
        <v>384</v>
      </c>
      <c r="G114" s="18" t="s">
        <v>269</v>
      </c>
      <c r="H114" s="18"/>
      <c r="I114" s="18" t="s">
        <v>40</v>
      </c>
      <c r="J114" s="19">
        <v>2</v>
      </c>
      <c r="K114" s="18" t="s">
        <v>147</v>
      </c>
      <c r="L114" s="18" t="s">
        <v>147</v>
      </c>
      <c r="M114" s="16" t="s">
        <v>148</v>
      </c>
      <c r="N114" s="18"/>
    </row>
    <row r="115" spans="1:14">
      <c r="A115" s="24">
        <v>46188</v>
      </c>
      <c r="B115" s="5" t="s">
        <v>320</v>
      </c>
      <c r="C115" s="5" t="s">
        <v>179</v>
      </c>
      <c r="D115" s="5" t="s">
        <v>6</v>
      </c>
      <c r="E115" s="5" t="s">
        <v>164</v>
      </c>
      <c r="F115" s="5" t="s">
        <v>384</v>
      </c>
      <c r="G115" s="5" t="s">
        <v>220</v>
      </c>
      <c r="H115" s="5"/>
      <c r="I115" s="5" t="s">
        <v>40</v>
      </c>
      <c r="J115" s="7">
        <v>2</v>
      </c>
      <c r="K115" s="5" t="s">
        <v>147</v>
      </c>
      <c r="L115" s="5" t="s">
        <v>147</v>
      </c>
      <c r="M115" s="16" t="s">
        <v>148</v>
      </c>
      <c r="N115" s="5"/>
    </row>
    <row r="116" spans="1:14">
      <c r="A116" s="25">
        <v>46188</v>
      </c>
      <c r="B116" s="18" t="s">
        <v>320</v>
      </c>
      <c r="C116" s="18" t="s">
        <v>179</v>
      </c>
      <c r="D116" s="18" t="s">
        <v>6</v>
      </c>
      <c r="E116" s="18" t="s">
        <v>164</v>
      </c>
      <c r="F116" s="18" t="s">
        <v>384</v>
      </c>
      <c r="G116" s="18" t="s">
        <v>192</v>
      </c>
      <c r="H116" s="18"/>
      <c r="I116" s="18" t="s">
        <v>216</v>
      </c>
      <c r="J116" s="19">
        <v>2</v>
      </c>
      <c r="K116" s="18" t="s">
        <v>153</v>
      </c>
      <c r="L116" s="18" t="s">
        <v>153</v>
      </c>
      <c r="M116" s="17" t="s">
        <v>153</v>
      </c>
      <c r="N116" s="18"/>
    </row>
    <row r="117" spans="1:14">
      <c r="A117" s="24">
        <v>46188</v>
      </c>
      <c r="B117" s="5" t="s">
        <v>320</v>
      </c>
      <c r="C117" s="5" t="s">
        <v>179</v>
      </c>
      <c r="D117" s="5" t="s">
        <v>6</v>
      </c>
      <c r="E117" s="5" t="s">
        <v>164</v>
      </c>
      <c r="F117" s="5" t="s">
        <v>384</v>
      </c>
      <c r="G117" s="5" t="s">
        <v>48</v>
      </c>
      <c r="H117" s="5"/>
      <c r="I117" s="5" t="s">
        <v>47</v>
      </c>
      <c r="J117" s="7">
        <v>15</v>
      </c>
      <c r="K117" s="5" t="s">
        <v>147</v>
      </c>
      <c r="L117" s="5" t="s">
        <v>147</v>
      </c>
      <c r="M117" s="16" t="s">
        <v>148</v>
      </c>
      <c r="N117" s="5"/>
    </row>
    <row r="118" spans="1:14">
      <c r="A118" s="25">
        <v>46188</v>
      </c>
      <c r="B118" s="18" t="s">
        <v>320</v>
      </c>
      <c r="C118" s="18" t="s">
        <v>179</v>
      </c>
      <c r="D118" s="18" t="s">
        <v>6</v>
      </c>
      <c r="E118" s="18" t="s">
        <v>165</v>
      </c>
      <c r="F118" s="18" t="s">
        <v>384</v>
      </c>
      <c r="G118" s="18" t="s">
        <v>229</v>
      </c>
      <c r="H118" s="18"/>
      <c r="I118" s="18" t="s">
        <v>216</v>
      </c>
      <c r="J118" s="19">
        <v>1</v>
      </c>
      <c r="K118" s="18" t="s">
        <v>147</v>
      </c>
      <c r="L118" s="18" t="s">
        <v>147</v>
      </c>
      <c r="M118" s="16" t="s">
        <v>148</v>
      </c>
      <c r="N118" s="18"/>
    </row>
    <row r="119" spans="1:14">
      <c r="A119" s="24">
        <v>46188</v>
      </c>
      <c r="B119" s="5" t="s">
        <v>320</v>
      </c>
      <c r="C119" s="5" t="s">
        <v>179</v>
      </c>
      <c r="D119" s="5" t="s">
        <v>6</v>
      </c>
      <c r="E119" s="5" t="s">
        <v>167</v>
      </c>
      <c r="F119" s="5" t="s">
        <v>384</v>
      </c>
      <c r="G119" s="5" t="s">
        <v>185</v>
      </c>
      <c r="H119" s="5"/>
      <c r="I119" s="5" t="s">
        <v>47</v>
      </c>
      <c r="J119" s="7">
        <v>4</v>
      </c>
      <c r="K119" s="5" t="s">
        <v>147</v>
      </c>
      <c r="L119" s="5" t="s">
        <v>147</v>
      </c>
      <c r="M119" s="16" t="s">
        <v>148</v>
      </c>
      <c r="N119" s="5"/>
    </row>
    <row r="120" spans="1:14">
      <c r="A120" s="25">
        <v>46188</v>
      </c>
      <c r="B120" s="18" t="s">
        <v>320</v>
      </c>
      <c r="C120" s="18" t="s">
        <v>179</v>
      </c>
      <c r="D120" s="18" t="s">
        <v>6</v>
      </c>
      <c r="E120" s="18" t="s">
        <v>167</v>
      </c>
      <c r="F120" s="18" t="s">
        <v>384</v>
      </c>
      <c r="G120" s="18" t="s">
        <v>48</v>
      </c>
      <c r="H120" s="18"/>
      <c r="I120" s="18" t="s">
        <v>47</v>
      </c>
      <c r="J120" s="19">
        <v>60</v>
      </c>
      <c r="K120" s="18" t="s">
        <v>147</v>
      </c>
      <c r="L120" s="18" t="s">
        <v>147</v>
      </c>
      <c r="M120" s="16" t="s">
        <v>148</v>
      </c>
      <c r="N120" s="18"/>
    </row>
    <row r="121" spans="1:14">
      <c r="A121" s="24">
        <v>46188</v>
      </c>
      <c r="B121" s="5" t="s">
        <v>320</v>
      </c>
      <c r="C121" s="5" t="s">
        <v>179</v>
      </c>
      <c r="D121" s="5" t="s">
        <v>6</v>
      </c>
      <c r="E121" s="5" t="s">
        <v>167</v>
      </c>
      <c r="F121" s="5" t="s">
        <v>384</v>
      </c>
      <c r="G121" s="5" t="s">
        <v>238</v>
      </c>
      <c r="H121" s="5" t="s">
        <v>389</v>
      </c>
      <c r="I121" s="5" t="s">
        <v>47</v>
      </c>
      <c r="J121" s="7">
        <v>1</v>
      </c>
      <c r="K121" s="5" t="s">
        <v>147</v>
      </c>
      <c r="L121" s="5" t="s">
        <v>147</v>
      </c>
      <c r="M121" s="16" t="s">
        <v>148</v>
      </c>
      <c r="N121" s="5"/>
    </row>
    <row r="122" spans="1:14">
      <c r="A122" s="25">
        <v>46188</v>
      </c>
      <c r="B122" s="18" t="s">
        <v>320</v>
      </c>
      <c r="C122" s="18" t="s">
        <v>179</v>
      </c>
      <c r="D122" s="18" t="s">
        <v>6</v>
      </c>
      <c r="E122" s="18" t="s">
        <v>167</v>
      </c>
      <c r="F122" s="18" t="s">
        <v>384</v>
      </c>
      <c r="G122" s="18" t="s">
        <v>235</v>
      </c>
      <c r="H122" s="18" t="s">
        <v>389</v>
      </c>
      <c r="I122" s="18" t="s">
        <v>47</v>
      </c>
      <c r="J122" s="19">
        <v>1</v>
      </c>
      <c r="K122" s="18" t="s">
        <v>147</v>
      </c>
      <c r="L122" s="18" t="s">
        <v>147</v>
      </c>
      <c r="M122" s="16" t="s">
        <v>148</v>
      </c>
      <c r="N122" s="18"/>
    </row>
    <row r="123" spans="1:14">
      <c r="A123" s="24">
        <v>46188</v>
      </c>
      <c r="B123" s="5" t="s">
        <v>320</v>
      </c>
      <c r="C123" s="5" t="s">
        <v>179</v>
      </c>
      <c r="D123" s="5" t="s">
        <v>6</v>
      </c>
      <c r="E123" s="5" t="s">
        <v>167</v>
      </c>
      <c r="F123" s="5" t="s">
        <v>384</v>
      </c>
      <c r="G123" s="5" t="s">
        <v>254</v>
      </c>
      <c r="H123" s="5" t="s">
        <v>389</v>
      </c>
      <c r="I123" s="5" t="s">
        <v>47</v>
      </c>
      <c r="J123" s="7">
        <v>1</v>
      </c>
      <c r="K123" s="5" t="s">
        <v>147</v>
      </c>
      <c r="L123" s="5" t="s">
        <v>147</v>
      </c>
      <c r="M123" s="16" t="s">
        <v>148</v>
      </c>
      <c r="N123" s="5"/>
    </row>
    <row r="124" spans="1:14">
      <c r="A124" s="25">
        <v>46188</v>
      </c>
      <c r="B124" s="18" t="s">
        <v>320</v>
      </c>
      <c r="C124" s="18" t="s">
        <v>179</v>
      </c>
      <c r="D124" s="18" t="s">
        <v>6</v>
      </c>
      <c r="E124" s="18" t="s">
        <v>167</v>
      </c>
      <c r="F124" s="18" t="s">
        <v>384</v>
      </c>
      <c r="G124" s="18" t="s">
        <v>220</v>
      </c>
      <c r="H124" s="18"/>
      <c r="I124" s="18" t="s">
        <v>40</v>
      </c>
      <c r="J124" s="19">
        <v>5</v>
      </c>
      <c r="K124" s="18" t="s">
        <v>147</v>
      </c>
      <c r="L124" s="18" t="s">
        <v>147</v>
      </c>
      <c r="M124" s="16" t="s">
        <v>148</v>
      </c>
      <c r="N124" s="18"/>
    </row>
    <row r="125" spans="1:14">
      <c r="A125" s="24">
        <v>46188</v>
      </c>
      <c r="B125" s="5" t="s">
        <v>320</v>
      </c>
      <c r="C125" s="5" t="s">
        <v>179</v>
      </c>
      <c r="D125" s="5" t="s">
        <v>6</v>
      </c>
      <c r="E125" s="5" t="s">
        <v>167</v>
      </c>
      <c r="F125" s="5" t="s">
        <v>384</v>
      </c>
      <c r="G125" s="5" t="s">
        <v>186</v>
      </c>
      <c r="H125" s="5"/>
      <c r="I125" s="5" t="s">
        <v>40</v>
      </c>
      <c r="J125" s="7">
        <v>2</v>
      </c>
      <c r="K125" s="5" t="s">
        <v>147</v>
      </c>
      <c r="L125" s="5" t="s">
        <v>147</v>
      </c>
      <c r="M125" s="16" t="s">
        <v>148</v>
      </c>
      <c r="N125" s="5"/>
    </row>
    <row r="126" spans="1:14">
      <c r="A126" s="25">
        <v>46188</v>
      </c>
      <c r="B126" s="18" t="s">
        <v>320</v>
      </c>
      <c r="C126" s="18" t="s">
        <v>179</v>
      </c>
      <c r="D126" s="18" t="s">
        <v>6</v>
      </c>
      <c r="E126" s="18" t="s">
        <v>169</v>
      </c>
      <c r="F126" s="18" t="s">
        <v>384</v>
      </c>
      <c r="G126" s="18" t="s">
        <v>187</v>
      </c>
      <c r="H126" s="18"/>
      <c r="I126" s="18" t="s">
        <v>216</v>
      </c>
      <c r="J126" s="19">
        <v>2</v>
      </c>
      <c r="K126" s="18" t="s">
        <v>153</v>
      </c>
      <c r="L126" s="18" t="s">
        <v>153</v>
      </c>
      <c r="M126" s="17" t="s">
        <v>153</v>
      </c>
      <c r="N126" s="18"/>
    </row>
    <row r="127" spans="1:14">
      <c r="A127" s="24">
        <v>46188</v>
      </c>
      <c r="B127" s="5" t="s">
        <v>320</v>
      </c>
      <c r="C127" s="5" t="s">
        <v>179</v>
      </c>
      <c r="D127" s="5" t="s">
        <v>6</v>
      </c>
      <c r="E127" s="5" t="s">
        <v>169</v>
      </c>
      <c r="F127" s="5" t="s">
        <v>384</v>
      </c>
      <c r="G127" s="5" t="s">
        <v>185</v>
      </c>
      <c r="H127" s="5"/>
      <c r="I127" s="5" t="s">
        <v>47</v>
      </c>
      <c r="J127" s="7">
        <v>4</v>
      </c>
      <c r="K127" s="5" t="s">
        <v>147</v>
      </c>
      <c r="L127" s="5" t="s">
        <v>147</v>
      </c>
      <c r="M127" s="16" t="s">
        <v>148</v>
      </c>
      <c r="N127" s="5"/>
    </row>
    <row r="128" spans="1:14">
      <c r="A128" s="25">
        <v>46188</v>
      </c>
      <c r="B128" s="18" t="s">
        <v>320</v>
      </c>
      <c r="C128" s="18" t="s">
        <v>179</v>
      </c>
      <c r="D128" s="18" t="s">
        <v>6</v>
      </c>
      <c r="E128" s="18" t="s">
        <v>169</v>
      </c>
      <c r="F128" s="18" t="s">
        <v>384</v>
      </c>
      <c r="G128" s="18" t="s">
        <v>270</v>
      </c>
      <c r="H128" s="18"/>
      <c r="I128" s="18" t="s">
        <v>40</v>
      </c>
      <c r="J128" s="19">
        <v>5</v>
      </c>
      <c r="K128" s="18" t="s">
        <v>147</v>
      </c>
      <c r="L128" s="18" t="s">
        <v>147</v>
      </c>
      <c r="M128" s="16" t="s">
        <v>148</v>
      </c>
      <c r="N128" s="18"/>
    </row>
    <row r="129" spans="1:14">
      <c r="A129" s="24">
        <v>46188</v>
      </c>
      <c r="B129" s="5" t="s">
        <v>320</v>
      </c>
      <c r="C129" s="5" t="s">
        <v>179</v>
      </c>
      <c r="D129" s="5" t="s">
        <v>6</v>
      </c>
      <c r="E129" s="5" t="s">
        <v>169</v>
      </c>
      <c r="F129" s="5" t="s">
        <v>384</v>
      </c>
      <c r="G129" s="5" t="s">
        <v>259</v>
      </c>
      <c r="H129" s="5"/>
      <c r="I129" s="5" t="s">
        <v>40</v>
      </c>
      <c r="J129" s="7">
        <v>5</v>
      </c>
      <c r="K129" s="5" t="s">
        <v>147</v>
      </c>
      <c r="L129" s="5" t="s">
        <v>147</v>
      </c>
      <c r="M129" s="16" t="s">
        <v>148</v>
      </c>
      <c r="N129" s="5"/>
    </row>
    <row r="130" spans="1:14">
      <c r="A130" s="25">
        <v>46188</v>
      </c>
      <c r="B130" s="18" t="s">
        <v>320</v>
      </c>
      <c r="C130" s="18" t="s">
        <v>179</v>
      </c>
      <c r="D130" s="18" t="s">
        <v>6</v>
      </c>
      <c r="E130" s="18" t="s">
        <v>169</v>
      </c>
      <c r="F130" s="18" t="s">
        <v>384</v>
      </c>
      <c r="G130" s="18" t="s">
        <v>269</v>
      </c>
      <c r="H130" s="18"/>
      <c r="I130" s="18" t="s">
        <v>40</v>
      </c>
      <c r="J130" s="19">
        <v>2</v>
      </c>
      <c r="K130" s="18" t="s">
        <v>147</v>
      </c>
      <c r="L130" s="18" t="s">
        <v>147</v>
      </c>
      <c r="M130" s="16" t="s">
        <v>148</v>
      </c>
      <c r="N130" s="18"/>
    </row>
    <row r="131" spans="1:14">
      <c r="A131" s="24">
        <v>46188</v>
      </c>
      <c r="B131" s="5" t="s">
        <v>320</v>
      </c>
      <c r="C131" s="5" t="s">
        <v>179</v>
      </c>
      <c r="D131" s="5" t="s">
        <v>6</v>
      </c>
      <c r="E131" s="5" t="s">
        <v>169</v>
      </c>
      <c r="F131" s="5" t="s">
        <v>384</v>
      </c>
      <c r="G131" s="5" t="s">
        <v>288</v>
      </c>
      <c r="H131" s="5"/>
      <c r="I131" s="5" t="s">
        <v>216</v>
      </c>
      <c r="J131" s="7">
        <v>2</v>
      </c>
      <c r="K131" s="5" t="s">
        <v>153</v>
      </c>
      <c r="L131" s="5" t="s">
        <v>153</v>
      </c>
      <c r="M131" s="17" t="s">
        <v>153</v>
      </c>
      <c r="N131" s="5"/>
    </row>
    <row r="132" spans="1:14">
      <c r="A132" s="25">
        <v>46188</v>
      </c>
      <c r="B132" s="18" t="s">
        <v>320</v>
      </c>
      <c r="C132" s="18" t="s">
        <v>179</v>
      </c>
      <c r="D132" s="18" t="s">
        <v>6</v>
      </c>
      <c r="E132" s="18" t="s">
        <v>169</v>
      </c>
      <c r="F132" s="18" t="s">
        <v>384</v>
      </c>
      <c r="G132" s="18" t="s">
        <v>215</v>
      </c>
      <c r="H132" s="18"/>
      <c r="I132" s="18" t="s">
        <v>216</v>
      </c>
      <c r="J132" s="19">
        <v>5</v>
      </c>
      <c r="K132" s="18" t="s">
        <v>147</v>
      </c>
      <c r="L132" s="18" t="s">
        <v>147</v>
      </c>
      <c r="M132" s="16" t="s">
        <v>148</v>
      </c>
      <c r="N132" s="18"/>
    </row>
    <row r="133" spans="1:14">
      <c r="A133" s="24">
        <v>46188</v>
      </c>
      <c r="B133" s="5" t="s">
        <v>320</v>
      </c>
      <c r="C133" s="5" t="s">
        <v>179</v>
      </c>
      <c r="D133" s="5" t="s">
        <v>6</v>
      </c>
      <c r="E133" s="5" t="s">
        <v>169</v>
      </c>
      <c r="F133" s="5" t="s">
        <v>384</v>
      </c>
      <c r="G133" s="5" t="s">
        <v>284</v>
      </c>
      <c r="H133" s="5"/>
      <c r="I133" s="5" t="s">
        <v>216</v>
      </c>
      <c r="J133" s="7">
        <v>2</v>
      </c>
      <c r="K133" s="5" t="s">
        <v>153</v>
      </c>
      <c r="L133" s="5" t="s">
        <v>153</v>
      </c>
      <c r="M133" s="17" t="s">
        <v>153</v>
      </c>
      <c r="N133" s="5"/>
    </row>
    <row r="134" spans="1:14">
      <c r="A134" s="25">
        <v>46189</v>
      </c>
      <c r="B134" s="18" t="s">
        <v>320</v>
      </c>
      <c r="C134" s="18" t="s">
        <v>179</v>
      </c>
      <c r="D134" s="18" t="s">
        <v>3</v>
      </c>
      <c r="E134" s="18" t="s">
        <v>3</v>
      </c>
      <c r="F134" s="18" t="s">
        <v>349</v>
      </c>
      <c r="G134" s="18" t="s">
        <v>223</v>
      </c>
      <c r="H134" s="18"/>
      <c r="I134" s="18" t="s">
        <v>40</v>
      </c>
      <c r="J134" s="19">
        <v>1</v>
      </c>
      <c r="K134" s="18" t="s">
        <v>345</v>
      </c>
      <c r="L134" s="18" t="s">
        <v>149</v>
      </c>
      <c r="M134" s="16" t="s">
        <v>148</v>
      </c>
      <c r="N134" s="18"/>
    </row>
    <row r="135" spans="1:14">
      <c r="A135" s="24">
        <v>46189</v>
      </c>
      <c r="B135" s="5" t="s">
        <v>320</v>
      </c>
      <c r="C135" s="5" t="s">
        <v>179</v>
      </c>
      <c r="D135" s="5" t="s">
        <v>3</v>
      </c>
      <c r="E135" s="5" t="s">
        <v>3</v>
      </c>
      <c r="F135" s="5" t="s">
        <v>348</v>
      </c>
      <c r="G135" s="5" t="s">
        <v>188</v>
      </c>
      <c r="H135" s="5"/>
      <c r="I135" s="5" t="s">
        <v>216</v>
      </c>
      <c r="J135" s="7">
        <v>1</v>
      </c>
      <c r="K135" s="5" t="s">
        <v>153</v>
      </c>
      <c r="L135" s="5" t="s">
        <v>153</v>
      </c>
      <c r="M135" s="17" t="s">
        <v>153</v>
      </c>
      <c r="N135" s="5"/>
    </row>
    <row r="136" spans="1:14">
      <c r="A136" s="25">
        <v>46189</v>
      </c>
      <c r="B136" s="18" t="s">
        <v>320</v>
      </c>
      <c r="C136" s="18" t="s">
        <v>179</v>
      </c>
      <c r="D136" s="18" t="s">
        <v>6</v>
      </c>
      <c r="E136" s="18" t="s">
        <v>165</v>
      </c>
      <c r="F136" s="18" t="s">
        <v>384</v>
      </c>
      <c r="G136" s="18" t="s">
        <v>46</v>
      </c>
      <c r="H136" s="18"/>
      <c r="I136" s="18" t="s">
        <v>47</v>
      </c>
      <c r="J136" s="19">
        <v>20</v>
      </c>
      <c r="K136" s="18" t="s">
        <v>147</v>
      </c>
      <c r="L136" s="18" t="s">
        <v>147</v>
      </c>
      <c r="M136" s="16" t="s">
        <v>148</v>
      </c>
      <c r="N136" s="18"/>
    </row>
    <row r="137" spans="1:14">
      <c r="A137" s="24">
        <v>46189</v>
      </c>
      <c r="B137" s="5" t="s">
        <v>320</v>
      </c>
      <c r="C137" s="5" t="s">
        <v>179</v>
      </c>
      <c r="D137" s="5" t="s">
        <v>6</v>
      </c>
      <c r="E137" s="5" t="s">
        <v>165</v>
      </c>
      <c r="F137" s="5" t="s">
        <v>384</v>
      </c>
      <c r="G137" s="5" t="s">
        <v>269</v>
      </c>
      <c r="H137" s="5"/>
      <c r="I137" s="5" t="s">
        <v>40</v>
      </c>
      <c r="J137" s="7">
        <v>2</v>
      </c>
      <c r="K137" s="5" t="s">
        <v>147</v>
      </c>
      <c r="L137" s="5" t="s">
        <v>147</v>
      </c>
      <c r="M137" s="16" t="s">
        <v>148</v>
      </c>
      <c r="N137" s="5"/>
    </row>
    <row r="138" spans="1:14">
      <c r="A138" s="25">
        <v>46189</v>
      </c>
      <c r="B138" s="18" t="s">
        <v>320</v>
      </c>
      <c r="C138" s="18" t="s">
        <v>179</v>
      </c>
      <c r="D138" s="18" t="s">
        <v>6</v>
      </c>
      <c r="E138" s="18" t="s">
        <v>165</v>
      </c>
      <c r="F138" s="18" t="s">
        <v>384</v>
      </c>
      <c r="G138" s="18" t="s">
        <v>185</v>
      </c>
      <c r="H138" s="18"/>
      <c r="I138" s="18" t="s">
        <v>47</v>
      </c>
      <c r="J138" s="19">
        <v>4</v>
      </c>
      <c r="K138" s="18" t="s">
        <v>147</v>
      </c>
      <c r="L138" s="18" t="s">
        <v>147</v>
      </c>
      <c r="M138" s="16" t="s">
        <v>148</v>
      </c>
      <c r="N138" s="18"/>
    </row>
    <row r="139" spans="1:14">
      <c r="A139" s="24">
        <v>46189</v>
      </c>
      <c r="B139" s="5" t="s">
        <v>320</v>
      </c>
      <c r="C139" s="5" t="s">
        <v>179</v>
      </c>
      <c r="D139" s="5" t="s">
        <v>6</v>
      </c>
      <c r="E139" s="5" t="s">
        <v>165</v>
      </c>
      <c r="F139" s="5" t="s">
        <v>384</v>
      </c>
      <c r="G139" s="5" t="s">
        <v>190</v>
      </c>
      <c r="H139" s="5"/>
      <c r="I139" s="5" t="s">
        <v>47</v>
      </c>
      <c r="J139" s="7">
        <v>2</v>
      </c>
      <c r="K139" s="5" t="s">
        <v>147</v>
      </c>
      <c r="L139" s="5" t="s">
        <v>147</v>
      </c>
      <c r="M139" s="16" t="s">
        <v>148</v>
      </c>
      <c r="N139" s="5"/>
    </row>
    <row r="140" spans="1:14">
      <c r="A140" s="25">
        <v>46189</v>
      </c>
      <c r="B140" s="18" t="s">
        <v>320</v>
      </c>
      <c r="C140" s="18" t="s">
        <v>179</v>
      </c>
      <c r="D140" s="18" t="s">
        <v>6</v>
      </c>
      <c r="E140" s="18" t="s">
        <v>165</v>
      </c>
      <c r="F140" s="18" t="s">
        <v>384</v>
      </c>
      <c r="G140" s="18" t="s">
        <v>281</v>
      </c>
      <c r="H140" s="18" t="s">
        <v>385</v>
      </c>
      <c r="I140" s="18" t="s">
        <v>47</v>
      </c>
      <c r="J140" s="19">
        <v>1</v>
      </c>
      <c r="K140" s="18" t="s">
        <v>147</v>
      </c>
      <c r="L140" s="18" t="s">
        <v>147</v>
      </c>
      <c r="M140" s="16" t="s">
        <v>148</v>
      </c>
      <c r="N140" s="18"/>
    </row>
    <row r="141" spans="1:14">
      <c r="A141" s="24">
        <v>46189</v>
      </c>
      <c r="B141" s="5" t="s">
        <v>320</v>
      </c>
      <c r="C141" s="5" t="s">
        <v>179</v>
      </c>
      <c r="D141" s="5" t="s">
        <v>6</v>
      </c>
      <c r="E141" s="5" t="s">
        <v>165</v>
      </c>
      <c r="F141" s="5" t="s">
        <v>384</v>
      </c>
      <c r="G141" s="5" t="s">
        <v>230</v>
      </c>
      <c r="H141" s="5" t="s">
        <v>390</v>
      </c>
      <c r="I141" s="5" t="s">
        <v>47</v>
      </c>
      <c r="J141" s="7">
        <v>1</v>
      </c>
      <c r="K141" s="5" t="s">
        <v>147</v>
      </c>
      <c r="L141" s="5" t="s">
        <v>147</v>
      </c>
      <c r="M141" s="16" t="s">
        <v>148</v>
      </c>
      <c r="N141" s="5"/>
    </row>
    <row r="142" spans="1:14">
      <c r="A142" s="25">
        <v>46189</v>
      </c>
      <c r="B142" s="18" t="s">
        <v>320</v>
      </c>
      <c r="C142" s="18" t="s">
        <v>179</v>
      </c>
      <c r="D142" s="18" t="s">
        <v>6</v>
      </c>
      <c r="E142" s="18" t="s">
        <v>168</v>
      </c>
      <c r="F142" s="18" t="s">
        <v>384</v>
      </c>
      <c r="G142" s="18" t="s">
        <v>259</v>
      </c>
      <c r="H142" s="18"/>
      <c r="I142" s="18" t="s">
        <v>40</v>
      </c>
      <c r="J142" s="19">
        <v>3</v>
      </c>
      <c r="K142" s="18" t="s">
        <v>147</v>
      </c>
      <c r="L142" s="18" t="s">
        <v>147</v>
      </c>
      <c r="M142" s="16" t="s">
        <v>148</v>
      </c>
      <c r="N142" s="18"/>
    </row>
    <row r="143" spans="1:14">
      <c r="A143" s="24">
        <v>46189</v>
      </c>
      <c r="B143" s="5" t="s">
        <v>320</v>
      </c>
      <c r="C143" s="5" t="s">
        <v>179</v>
      </c>
      <c r="D143" s="5" t="s">
        <v>6</v>
      </c>
      <c r="E143" s="5" t="s">
        <v>168</v>
      </c>
      <c r="F143" s="5" t="s">
        <v>384</v>
      </c>
      <c r="G143" s="5" t="s">
        <v>46</v>
      </c>
      <c r="H143" s="5"/>
      <c r="I143" s="5" t="s">
        <v>47</v>
      </c>
      <c r="J143" s="7">
        <v>20</v>
      </c>
      <c r="K143" s="5" t="s">
        <v>147</v>
      </c>
      <c r="L143" s="5" t="s">
        <v>147</v>
      </c>
      <c r="M143" s="16" t="s">
        <v>148</v>
      </c>
      <c r="N143" s="5"/>
    </row>
    <row r="144" spans="1:14">
      <c r="A144" s="25">
        <v>46189</v>
      </c>
      <c r="B144" s="18" t="s">
        <v>320</v>
      </c>
      <c r="C144" s="18" t="s">
        <v>179</v>
      </c>
      <c r="D144" s="18" t="s">
        <v>6</v>
      </c>
      <c r="E144" s="18" t="s">
        <v>168</v>
      </c>
      <c r="F144" s="18" t="s">
        <v>384</v>
      </c>
      <c r="G144" s="18" t="s">
        <v>281</v>
      </c>
      <c r="H144" s="18" t="s">
        <v>385</v>
      </c>
      <c r="I144" s="18" t="s">
        <v>47</v>
      </c>
      <c r="J144" s="19">
        <v>1</v>
      </c>
      <c r="K144" s="18" t="s">
        <v>147</v>
      </c>
      <c r="L144" s="18" t="s">
        <v>147</v>
      </c>
      <c r="M144" s="16" t="s">
        <v>148</v>
      </c>
      <c r="N144" s="18"/>
    </row>
    <row r="145" spans="1:14">
      <c r="A145" s="24">
        <v>46189</v>
      </c>
      <c r="B145" s="5" t="s">
        <v>320</v>
      </c>
      <c r="C145" s="5" t="s">
        <v>179</v>
      </c>
      <c r="D145" s="5" t="s">
        <v>6</v>
      </c>
      <c r="E145" s="5" t="s">
        <v>168</v>
      </c>
      <c r="F145" s="5" t="s">
        <v>384</v>
      </c>
      <c r="G145" s="5" t="s">
        <v>43</v>
      </c>
      <c r="H145" s="5"/>
      <c r="I145" s="5" t="s">
        <v>40</v>
      </c>
      <c r="J145" s="7">
        <v>300</v>
      </c>
      <c r="K145" s="5" t="s">
        <v>147</v>
      </c>
      <c r="L145" s="5" t="s">
        <v>147</v>
      </c>
      <c r="M145" s="16" t="s">
        <v>148</v>
      </c>
      <c r="N145" s="5"/>
    </row>
    <row r="146" spans="1:14">
      <c r="A146" s="25">
        <v>46189</v>
      </c>
      <c r="B146" s="18" t="s">
        <v>320</v>
      </c>
      <c r="C146" s="18" t="s">
        <v>179</v>
      </c>
      <c r="D146" s="18" t="s">
        <v>6</v>
      </c>
      <c r="E146" s="18" t="s">
        <v>168</v>
      </c>
      <c r="F146" s="18" t="s">
        <v>384</v>
      </c>
      <c r="G146" s="18" t="s">
        <v>42</v>
      </c>
      <c r="H146" s="18"/>
      <c r="I146" s="18" t="s">
        <v>40</v>
      </c>
      <c r="J146" s="19">
        <v>300</v>
      </c>
      <c r="K146" s="18" t="s">
        <v>147</v>
      </c>
      <c r="L146" s="18" t="s">
        <v>147</v>
      </c>
      <c r="M146" s="16" t="s">
        <v>148</v>
      </c>
      <c r="N146" s="18"/>
    </row>
    <row r="147" spans="1:14">
      <c r="A147" s="24">
        <v>46189</v>
      </c>
      <c r="B147" s="5" t="s">
        <v>320</v>
      </c>
      <c r="C147" s="5" t="s">
        <v>179</v>
      </c>
      <c r="D147" s="5" t="s">
        <v>6</v>
      </c>
      <c r="E147" s="5" t="s">
        <v>168</v>
      </c>
      <c r="F147" s="5" t="s">
        <v>384</v>
      </c>
      <c r="G147" s="5" t="s">
        <v>41</v>
      </c>
      <c r="H147" s="5"/>
      <c r="I147" s="5" t="s">
        <v>40</v>
      </c>
      <c r="J147" s="7">
        <v>300</v>
      </c>
      <c r="K147" s="5" t="s">
        <v>147</v>
      </c>
      <c r="L147" s="5" t="s">
        <v>147</v>
      </c>
      <c r="M147" s="16" t="s">
        <v>148</v>
      </c>
      <c r="N147" s="5"/>
    </row>
    <row r="148" spans="1:14">
      <c r="A148" s="25">
        <v>46189</v>
      </c>
      <c r="B148" s="18" t="s">
        <v>320</v>
      </c>
      <c r="C148" s="18" t="s">
        <v>179</v>
      </c>
      <c r="D148" s="18" t="s">
        <v>6</v>
      </c>
      <c r="E148" s="18" t="s">
        <v>168</v>
      </c>
      <c r="F148" s="18" t="s">
        <v>384</v>
      </c>
      <c r="G148" s="18" t="s">
        <v>190</v>
      </c>
      <c r="H148" s="18"/>
      <c r="I148" s="18" t="s">
        <v>47</v>
      </c>
      <c r="J148" s="19">
        <v>2</v>
      </c>
      <c r="K148" s="18" t="s">
        <v>147</v>
      </c>
      <c r="L148" s="18" t="s">
        <v>147</v>
      </c>
      <c r="M148" s="16" t="s">
        <v>148</v>
      </c>
      <c r="N148" s="18"/>
    </row>
    <row r="149" spans="1:14">
      <c r="A149" s="24">
        <v>46189</v>
      </c>
      <c r="B149" s="5" t="s">
        <v>320</v>
      </c>
      <c r="C149" s="5" t="s">
        <v>179</v>
      </c>
      <c r="D149" s="5" t="s">
        <v>6</v>
      </c>
      <c r="E149" s="5" t="s">
        <v>168</v>
      </c>
      <c r="F149" s="5" t="s">
        <v>384</v>
      </c>
      <c r="G149" s="5" t="s">
        <v>269</v>
      </c>
      <c r="H149" s="5"/>
      <c r="I149" s="5" t="s">
        <v>40</v>
      </c>
      <c r="J149" s="7">
        <v>2</v>
      </c>
      <c r="K149" s="5" t="s">
        <v>147</v>
      </c>
      <c r="L149" s="5" t="s">
        <v>147</v>
      </c>
      <c r="M149" s="16" t="s">
        <v>148</v>
      </c>
      <c r="N149" s="5"/>
    </row>
    <row r="150" spans="1:14">
      <c r="A150" s="25">
        <v>46190</v>
      </c>
      <c r="B150" s="18" t="s">
        <v>320</v>
      </c>
      <c r="C150" s="18" t="s">
        <v>179</v>
      </c>
      <c r="D150" s="18" t="s">
        <v>3</v>
      </c>
      <c r="E150" s="18" t="s">
        <v>159</v>
      </c>
      <c r="F150" s="18" t="s">
        <v>358</v>
      </c>
      <c r="G150" s="18" t="s">
        <v>215</v>
      </c>
      <c r="H150" s="18"/>
      <c r="I150" s="18" t="s">
        <v>216</v>
      </c>
      <c r="J150" s="19">
        <v>3</v>
      </c>
      <c r="K150" s="18" t="s">
        <v>345</v>
      </c>
      <c r="L150" s="18" t="s">
        <v>149</v>
      </c>
      <c r="M150" s="16" t="s">
        <v>148</v>
      </c>
      <c r="N150" s="18"/>
    </row>
    <row r="151" spans="1:14">
      <c r="A151" s="24">
        <v>46190</v>
      </c>
      <c r="B151" s="5" t="s">
        <v>320</v>
      </c>
      <c r="C151" s="5" t="s">
        <v>179</v>
      </c>
      <c r="D151" s="5" t="s">
        <v>3</v>
      </c>
      <c r="E151" s="5" t="s">
        <v>159</v>
      </c>
      <c r="F151" s="5" t="s">
        <v>358</v>
      </c>
      <c r="G151" s="5" t="s">
        <v>223</v>
      </c>
      <c r="H151" s="5"/>
      <c r="I151" s="5" t="s">
        <v>40</v>
      </c>
      <c r="J151" s="7">
        <v>3</v>
      </c>
      <c r="K151" s="5" t="s">
        <v>345</v>
      </c>
      <c r="L151" s="5" t="s">
        <v>149</v>
      </c>
      <c r="M151" s="16" t="s">
        <v>148</v>
      </c>
      <c r="N151" s="5"/>
    </row>
    <row r="152" spans="1:14">
      <c r="A152" s="25">
        <v>46190</v>
      </c>
      <c r="B152" s="18" t="s">
        <v>320</v>
      </c>
      <c r="C152" s="18" t="s">
        <v>179</v>
      </c>
      <c r="D152" s="18" t="s">
        <v>3</v>
      </c>
      <c r="E152" s="18" t="s">
        <v>159</v>
      </c>
      <c r="F152" s="18" t="s">
        <v>358</v>
      </c>
      <c r="G152" s="18" t="s">
        <v>248</v>
      </c>
      <c r="H152" s="18"/>
      <c r="I152" s="18" t="s">
        <v>216</v>
      </c>
      <c r="J152" s="19">
        <v>1</v>
      </c>
      <c r="K152" s="18" t="s">
        <v>345</v>
      </c>
      <c r="L152" s="18" t="s">
        <v>149</v>
      </c>
      <c r="M152" s="16" t="s">
        <v>148</v>
      </c>
      <c r="N152" s="18"/>
    </row>
    <row r="153" spans="1:14">
      <c r="A153" s="24">
        <v>46190</v>
      </c>
      <c r="B153" s="5" t="s">
        <v>320</v>
      </c>
      <c r="C153" s="5" t="s">
        <v>179</v>
      </c>
      <c r="D153" s="5" t="s">
        <v>3</v>
      </c>
      <c r="E153" s="5" t="s">
        <v>159</v>
      </c>
      <c r="F153" s="5" t="s">
        <v>358</v>
      </c>
      <c r="G153" s="5" t="s">
        <v>245</v>
      </c>
      <c r="H153" s="5"/>
      <c r="I153" s="5" t="s">
        <v>216</v>
      </c>
      <c r="J153" s="7">
        <v>1</v>
      </c>
      <c r="K153" s="5" t="s">
        <v>345</v>
      </c>
      <c r="L153" s="5" t="s">
        <v>149</v>
      </c>
      <c r="M153" s="16" t="s">
        <v>148</v>
      </c>
      <c r="N153" s="5"/>
    </row>
    <row r="154" spans="1:14">
      <c r="A154" s="25">
        <v>46190</v>
      </c>
      <c r="B154" s="18" t="s">
        <v>320</v>
      </c>
      <c r="C154" s="18" t="s">
        <v>179</v>
      </c>
      <c r="D154" s="18" t="s">
        <v>3</v>
      </c>
      <c r="E154" s="18" t="s">
        <v>159</v>
      </c>
      <c r="F154" s="18" t="s">
        <v>358</v>
      </c>
      <c r="G154" s="18" t="s">
        <v>232</v>
      </c>
      <c r="H154" s="18"/>
      <c r="I154" s="18" t="s">
        <v>216</v>
      </c>
      <c r="J154" s="19">
        <v>1</v>
      </c>
      <c r="K154" s="18" t="s">
        <v>345</v>
      </c>
      <c r="L154" s="18" t="s">
        <v>149</v>
      </c>
      <c r="M154" s="16" t="s">
        <v>148</v>
      </c>
      <c r="N154" s="18"/>
    </row>
    <row r="155" spans="1:14">
      <c r="A155" s="24">
        <v>46190</v>
      </c>
      <c r="B155" s="5" t="s">
        <v>320</v>
      </c>
      <c r="C155" s="5" t="s">
        <v>179</v>
      </c>
      <c r="D155" s="5" t="s">
        <v>3</v>
      </c>
      <c r="E155" s="5" t="s">
        <v>159</v>
      </c>
      <c r="F155" s="5" t="s">
        <v>358</v>
      </c>
      <c r="G155" s="5" t="s">
        <v>237</v>
      </c>
      <c r="H155" s="5"/>
      <c r="I155" s="5" t="s">
        <v>216</v>
      </c>
      <c r="J155" s="7">
        <v>1</v>
      </c>
      <c r="K155" s="5" t="s">
        <v>345</v>
      </c>
      <c r="L155" s="5" t="s">
        <v>149</v>
      </c>
      <c r="M155" s="16" t="s">
        <v>148</v>
      </c>
      <c r="N155" s="5"/>
    </row>
    <row r="156" spans="1:14">
      <c r="A156" s="25">
        <v>46190</v>
      </c>
      <c r="B156" s="18" t="s">
        <v>320</v>
      </c>
      <c r="C156" s="18" t="s">
        <v>179</v>
      </c>
      <c r="D156" s="18" t="s">
        <v>3</v>
      </c>
      <c r="E156" s="18" t="s">
        <v>159</v>
      </c>
      <c r="F156" s="18" t="s">
        <v>358</v>
      </c>
      <c r="G156" s="18" t="s">
        <v>217</v>
      </c>
      <c r="H156" s="18"/>
      <c r="I156" s="18" t="s">
        <v>216</v>
      </c>
      <c r="J156" s="19">
        <v>3</v>
      </c>
      <c r="K156" s="18" t="s">
        <v>345</v>
      </c>
      <c r="L156" s="18" t="s">
        <v>149</v>
      </c>
      <c r="M156" s="16" t="s">
        <v>148</v>
      </c>
      <c r="N156" s="18"/>
    </row>
    <row r="157" spans="1:14">
      <c r="A157" s="24">
        <v>46190</v>
      </c>
      <c r="B157" s="5" t="s">
        <v>320</v>
      </c>
      <c r="C157" s="5" t="s">
        <v>179</v>
      </c>
      <c r="D157" s="5" t="s">
        <v>3</v>
      </c>
      <c r="E157" s="5" t="s">
        <v>159</v>
      </c>
      <c r="F157" s="5" t="s">
        <v>358</v>
      </c>
      <c r="G157" s="5" t="s">
        <v>222</v>
      </c>
      <c r="H157" s="5"/>
      <c r="I157" s="5" t="s">
        <v>40</v>
      </c>
      <c r="J157" s="7">
        <v>3</v>
      </c>
      <c r="K157" s="5" t="s">
        <v>153</v>
      </c>
      <c r="L157" s="5" t="s">
        <v>153</v>
      </c>
      <c r="M157" s="17" t="s">
        <v>153</v>
      </c>
      <c r="N157" s="5"/>
    </row>
    <row r="158" spans="1:14">
      <c r="A158" s="25">
        <v>46190</v>
      </c>
      <c r="B158" s="18" t="s">
        <v>320</v>
      </c>
      <c r="C158" s="18" t="s">
        <v>179</v>
      </c>
      <c r="D158" s="18" t="s">
        <v>3</v>
      </c>
      <c r="E158" s="18" t="s">
        <v>3</v>
      </c>
      <c r="F158" s="18" t="s">
        <v>359</v>
      </c>
      <c r="G158" s="18" t="s">
        <v>241</v>
      </c>
      <c r="H158" s="18"/>
      <c r="I158" s="18" t="s">
        <v>47</v>
      </c>
      <c r="J158" s="19">
        <v>1</v>
      </c>
      <c r="K158" s="18" t="s">
        <v>345</v>
      </c>
      <c r="L158" s="18" t="s">
        <v>149</v>
      </c>
      <c r="M158" s="16" t="s">
        <v>148</v>
      </c>
      <c r="N158" s="18"/>
    </row>
    <row r="159" spans="1:14">
      <c r="A159" s="24">
        <v>46190</v>
      </c>
      <c r="B159" s="5" t="s">
        <v>320</v>
      </c>
      <c r="C159" s="5" t="s">
        <v>179</v>
      </c>
      <c r="D159" s="5" t="s">
        <v>6</v>
      </c>
      <c r="E159" s="5" t="s">
        <v>163</v>
      </c>
      <c r="F159" s="5" t="s">
        <v>384</v>
      </c>
      <c r="G159" s="5" t="s">
        <v>269</v>
      </c>
      <c r="H159" s="5"/>
      <c r="I159" s="5" t="s">
        <v>40</v>
      </c>
      <c r="J159" s="7">
        <v>2</v>
      </c>
      <c r="K159" s="5" t="s">
        <v>147</v>
      </c>
      <c r="L159" s="5" t="s">
        <v>147</v>
      </c>
      <c r="M159" s="16" t="s">
        <v>148</v>
      </c>
      <c r="N159" s="5"/>
    </row>
    <row r="160" spans="1:14">
      <c r="A160" s="25">
        <v>46190</v>
      </c>
      <c r="B160" s="18" t="s">
        <v>320</v>
      </c>
      <c r="C160" s="18" t="s">
        <v>179</v>
      </c>
      <c r="D160" s="18" t="s">
        <v>6</v>
      </c>
      <c r="E160" s="18" t="s">
        <v>167</v>
      </c>
      <c r="F160" s="18" t="s">
        <v>384</v>
      </c>
      <c r="G160" s="18" t="s">
        <v>269</v>
      </c>
      <c r="H160" s="18"/>
      <c r="I160" s="18" t="s">
        <v>40</v>
      </c>
      <c r="J160" s="19">
        <v>2</v>
      </c>
      <c r="K160" s="18" t="s">
        <v>147</v>
      </c>
      <c r="L160" s="18" t="s">
        <v>147</v>
      </c>
      <c r="M160" s="16" t="s">
        <v>148</v>
      </c>
      <c r="N160" s="18"/>
    </row>
    <row r="161" spans="1:14">
      <c r="A161" s="24">
        <v>46190</v>
      </c>
      <c r="B161" s="5" t="s">
        <v>320</v>
      </c>
      <c r="C161" s="5" t="s">
        <v>179</v>
      </c>
      <c r="D161" s="5" t="s">
        <v>6</v>
      </c>
      <c r="E161" s="5" t="s">
        <v>168</v>
      </c>
      <c r="F161" s="5" t="s">
        <v>384</v>
      </c>
      <c r="G161" s="5" t="s">
        <v>45</v>
      </c>
      <c r="H161" s="5"/>
      <c r="I161" s="5" t="s">
        <v>40</v>
      </c>
      <c r="J161" s="7">
        <v>300</v>
      </c>
      <c r="K161" s="5" t="s">
        <v>147</v>
      </c>
      <c r="L161" s="5" t="s">
        <v>147</v>
      </c>
      <c r="M161" s="16" t="s">
        <v>148</v>
      </c>
      <c r="N161" s="5"/>
    </row>
    <row r="162" spans="1:14">
      <c r="A162" s="25">
        <v>46191</v>
      </c>
      <c r="B162" s="18" t="s">
        <v>320</v>
      </c>
      <c r="C162" s="18" t="s">
        <v>179</v>
      </c>
      <c r="D162" s="18" t="s">
        <v>3</v>
      </c>
      <c r="E162" s="18" t="s">
        <v>3</v>
      </c>
      <c r="F162" s="18" t="s">
        <v>355</v>
      </c>
      <c r="G162" s="18" t="s">
        <v>50</v>
      </c>
      <c r="H162" s="18"/>
      <c r="I162" s="18" t="s">
        <v>40</v>
      </c>
      <c r="J162" s="19">
        <v>20</v>
      </c>
      <c r="K162" s="18" t="s">
        <v>345</v>
      </c>
      <c r="L162" s="18" t="s">
        <v>149</v>
      </c>
      <c r="M162" s="16" t="s">
        <v>148</v>
      </c>
      <c r="N162" s="18"/>
    </row>
    <row r="163" spans="1:14">
      <c r="A163" s="24">
        <v>46191</v>
      </c>
      <c r="B163" s="5" t="s">
        <v>320</v>
      </c>
      <c r="C163" s="5" t="s">
        <v>179</v>
      </c>
      <c r="D163" s="5" t="s">
        <v>3</v>
      </c>
      <c r="E163" s="5" t="s">
        <v>3</v>
      </c>
      <c r="F163" s="5" t="s">
        <v>348</v>
      </c>
      <c r="G163" s="5" t="s">
        <v>48</v>
      </c>
      <c r="H163" s="5"/>
      <c r="I163" s="5" t="s">
        <v>47</v>
      </c>
      <c r="J163" s="7">
        <v>5</v>
      </c>
      <c r="K163" s="5" t="s">
        <v>345</v>
      </c>
      <c r="L163" s="5" t="s">
        <v>149</v>
      </c>
      <c r="M163" s="16" t="s">
        <v>148</v>
      </c>
      <c r="N163" s="5"/>
    </row>
    <row r="164" spans="1:14">
      <c r="A164" s="25">
        <v>46191</v>
      </c>
      <c r="B164" s="18" t="s">
        <v>320</v>
      </c>
      <c r="C164" s="18" t="s">
        <v>179</v>
      </c>
      <c r="D164" s="18" t="s">
        <v>3</v>
      </c>
      <c r="E164" s="18" t="s">
        <v>3</v>
      </c>
      <c r="F164" s="18" t="s">
        <v>348</v>
      </c>
      <c r="G164" s="18" t="s">
        <v>193</v>
      </c>
      <c r="H164" s="18"/>
      <c r="I164" s="18" t="s">
        <v>216</v>
      </c>
      <c r="J164" s="19">
        <v>2</v>
      </c>
      <c r="K164" s="18" t="s">
        <v>345</v>
      </c>
      <c r="L164" s="18" t="s">
        <v>149</v>
      </c>
      <c r="M164" s="16" t="s">
        <v>148</v>
      </c>
      <c r="N164" s="18"/>
    </row>
    <row r="165" spans="1:14">
      <c r="A165" s="24">
        <v>46192</v>
      </c>
      <c r="B165" s="5" t="s">
        <v>320</v>
      </c>
      <c r="C165" s="5" t="s">
        <v>179</v>
      </c>
      <c r="D165" s="5" t="s">
        <v>6</v>
      </c>
      <c r="E165" s="5" t="s">
        <v>168</v>
      </c>
      <c r="F165" s="5" t="s">
        <v>384</v>
      </c>
      <c r="G165" s="5" t="s">
        <v>50</v>
      </c>
      <c r="H165" s="5"/>
      <c r="I165" s="5" t="s">
        <v>40</v>
      </c>
      <c r="J165" s="7">
        <v>16</v>
      </c>
      <c r="K165" s="5" t="s">
        <v>147</v>
      </c>
      <c r="L165" s="5" t="s">
        <v>147</v>
      </c>
      <c r="M165" s="16" t="s">
        <v>148</v>
      </c>
      <c r="N165" s="5"/>
    </row>
    <row r="166" spans="1:14">
      <c r="A166" s="25">
        <v>46195</v>
      </c>
      <c r="B166" s="18" t="s">
        <v>321</v>
      </c>
      <c r="C166" s="18" t="s">
        <v>179</v>
      </c>
      <c r="D166" s="18" t="s">
        <v>3</v>
      </c>
      <c r="E166" s="18" t="s">
        <v>3</v>
      </c>
      <c r="F166" s="18" t="s">
        <v>359</v>
      </c>
      <c r="G166" s="18" t="s">
        <v>41</v>
      </c>
      <c r="H166" s="18"/>
      <c r="I166" s="18" t="s">
        <v>40</v>
      </c>
      <c r="J166" s="19">
        <v>10</v>
      </c>
      <c r="K166" s="18" t="s">
        <v>345</v>
      </c>
      <c r="L166" s="18" t="s">
        <v>149</v>
      </c>
      <c r="M166" s="16" t="s">
        <v>148</v>
      </c>
      <c r="N166" s="18"/>
    </row>
    <row r="167" spans="1:14">
      <c r="A167" s="24">
        <v>46195</v>
      </c>
      <c r="B167" s="5" t="s">
        <v>321</v>
      </c>
      <c r="C167" s="5" t="s">
        <v>179</v>
      </c>
      <c r="D167" s="5" t="s">
        <v>3</v>
      </c>
      <c r="E167" s="5" t="s">
        <v>3</v>
      </c>
      <c r="F167" s="5" t="s">
        <v>359</v>
      </c>
      <c r="G167" s="5" t="s">
        <v>222</v>
      </c>
      <c r="H167" s="5"/>
      <c r="I167" s="5" t="s">
        <v>40</v>
      </c>
      <c r="J167" s="7">
        <v>8</v>
      </c>
      <c r="K167" s="5" t="s">
        <v>345</v>
      </c>
      <c r="L167" s="5" t="s">
        <v>149</v>
      </c>
      <c r="M167" s="16" t="s">
        <v>148</v>
      </c>
      <c r="N167" s="5"/>
    </row>
    <row r="168" spans="1:14">
      <c r="A168" s="25">
        <v>46195</v>
      </c>
      <c r="B168" s="18" t="s">
        <v>321</v>
      </c>
      <c r="C168" s="18" t="s">
        <v>179</v>
      </c>
      <c r="D168" s="18" t="s">
        <v>6</v>
      </c>
      <c r="E168" s="18" t="s">
        <v>163</v>
      </c>
      <c r="F168" s="18" t="s">
        <v>384</v>
      </c>
      <c r="G168" s="18" t="s">
        <v>39</v>
      </c>
      <c r="H168" s="18"/>
      <c r="I168" s="18" t="s">
        <v>40</v>
      </c>
      <c r="J168" s="19">
        <v>300</v>
      </c>
      <c r="K168" s="18" t="s">
        <v>147</v>
      </c>
      <c r="L168" s="18" t="s">
        <v>147</v>
      </c>
      <c r="M168" s="16" t="s">
        <v>148</v>
      </c>
      <c r="N168" s="18"/>
    </row>
    <row r="169" spans="1:14">
      <c r="A169" s="24">
        <v>46195</v>
      </c>
      <c r="B169" s="5" t="s">
        <v>321</v>
      </c>
      <c r="C169" s="5" t="s">
        <v>179</v>
      </c>
      <c r="D169" s="5" t="s">
        <v>6</v>
      </c>
      <c r="E169" s="5" t="s">
        <v>163</v>
      </c>
      <c r="F169" s="5" t="s">
        <v>384</v>
      </c>
      <c r="G169" s="5" t="s">
        <v>187</v>
      </c>
      <c r="H169" s="5"/>
      <c r="I169" s="5" t="s">
        <v>216</v>
      </c>
      <c r="J169" s="7">
        <v>1</v>
      </c>
      <c r="K169" s="5" t="s">
        <v>153</v>
      </c>
      <c r="L169" s="5" t="s">
        <v>153</v>
      </c>
      <c r="M169" s="17" t="s">
        <v>153</v>
      </c>
      <c r="N169" s="5"/>
    </row>
    <row r="170" spans="1:14">
      <c r="A170" s="25">
        <v>46195</v>
      </c>
      <c r="B170" s="18" t="s">
        <v>321</v>
      </c>
      <c r="C170" s="18" t="s">
        <v>179</v>
      </c>
      <c r="D170" s="18" t="s">
        <v>6</v>
      </c>
      <c r="E170" s="18" t="s">
        <v>163</v>
      </c>
      <c r="F170" s="18" t="s">
        <v>384</v>
      </c>
      <c r="G170" s="18" t="s">
        <v>268</v>
      </c>
      <c r="H170" s="18"/>
      <c r="I170" s="18" t="s">
        <v>216</v>
      </c>
      <c r="J170" s="19">
        <v>20</v>
      </c>
      <c r="K170" s="18" t="s">
        <v>147</v>
      </c>
      <c r="L170" s="18" t="s">
        <v>147</v>
      </c>
      <c r="M170" s="16" t="s">
        <v>148</v>
      </c>
      <c r="N170" s="18"/>
    </row>
    <row r="171" spans="1:14">
      <c r="A171" s="24">
        <v>46195</v>
      </c>
      <c r="B171" s="5" t="s">
        <v>321</v>
      </c>
      <c r="C171" s="5" t="s">
        <v>179</v>
      </c>
      <c r="D171" s="5" t="s">
        <v>6</v>
      </c>
      <c r="E171" s="5" t="s">
        <v>163</v>
      </c>
      <c r="F171" s="5" t="s">
        <v>384</v>
      </c>
      <c r="G171" s="5" t="s">
        <v>274</v>
      </c>
      <c r="H171" s="5"/>
      <c r="I171" s="5" t="s">
        <v>257</v>
      </c>
      <c r="J171" s="7">
        <v>1</v>
      </c>
      <c r="K171" s="5" t="s">
        <v>153</v>
      </c>
      <c r="L171" s="5" t="s">
        <v>153</v>
      </c>
      <c r="M171" s="17" t="s">
        <v>153</v>
      </c>
      <c r="N171" s="5"/>
    </row>
    <row r="172" spans="1:14">
      <c r="A172" s="25">
        <v>46195</v>
      </c>
      <c r="B172" s="18" t="s">
        <v>321</v>
      </c>
      <c r="C172" s="18" t="s">
        <v>179</v>
      </c>
      <c r="D172" s="18" t="s">
        <v>6</v>
      </c>
      <c r="E172" s="18" t="s">
        <v>163</v>
      </c>
      <c r="F172" s="18" t="s">
        <v>384</v>
      </c>
      <c r="G172" s="18" t="s">
        <v>48</v>
      </c>
      <c r="H172" s="18"/>
      <c r="I172" s="18" t="s">
        <v>47</v>
      </c>
      <c r="J172" s="19">
        <v>50</v>
      </c>
      <c r="K172" s="18" t="s">
        <v>147</v>
      </c>
      <c r="L172" s="18" t="s">
        <v>147</v>
      </c>
      <c r="M172" s="16" t="s">
        <v>148</v>
      </c>
      <c r="N172" s="18"/>
    </row>
    <row r="173" spans="1:14">
      <c r="A173" s="24">
        <v>46195</v>
      </c>
      <c r="B173" s="5" t="s">
        <v>321</v>
      </c>
      <c r="C173" s="5" t="s">
        <v>179</v>
      </c>
      <c r="D173" s="5" t="s">
        <v>6</v>
      </c>
      <c r="E173" s="5" t="s">
        <v>164</v>
      </c>
      <c r="F173" s="5" t="s">
        <v>384</v>
      </c>
      <c r="G173" s="5" t="s">
        <v>269</v>
      </c>
      <c r="H173" s="5"/>
      <c r="I173" s="5" t="s">
        <v>40</v>
      </c>
      <c r="J173" s="7">
        <v>1</v>
      </c>
      <c r="K173" s="5" t="s">
        <v>147</v>
      </c>
      <c r="L173" s="5" t="s">
        <v>147</v>
      </c>
      <c r="M173" s="16" t="s">
        <v>148</v>
      </c>
      <c r="N173" s="5"/>
    </row>
    <row r="174" spans="1:14">
      <c r="A174" s="25">
        <v>46195</v>
      </c>
      <c r="B174" s="18" t="s">
        <v>321</v>
      </c>
      <c r="C174" s="18" t="s">
        <v>179</v>
      </c>
      <c r="D174" s="18" t="s">
        <v>6</v>
      </c>
      <c r="E174" s="18" t="s">
        <v>164</v>
      </c>
      <c r="F174" s="18" t="s">
        <v>384</v>
      </c>
      <c r="G174" s="18" t="s">
        <v>192</v>
      </c>
      <c r="H174" s="18"/>
      <c r="I174" s="18" t="s">
        <v>216</v>
      </c>
      <c r="J174" s="19">
        <v>2</v>
      </c>
      <c r="K174" s="18" t="s">
        <v>153</v>
      </c>
      <c r="L174" s="18" t="s">
        <v>153</v>
      </c>
      <c r="M174" s="17" t="s">
        <v>153</v>
      </c>
      <c r="N174" s="18"/>
    </row>
    <row r="175" spans="1:14">
      <c r="A175" s="24">
        <v>46195</v>
      </c>
      <c r="B175" s="5" t="s">
        <v>321</v>
      </c>
      <c r="C175" s="5" t="s">
        <v>179</v>
      </c>
      <c r="D175" s="5" t="s">
        <v>6</v>
      </c>
      <c r="E175" s="5" t="s">
        <v>164</v>
      </c>
      <c r="F175" s="5" t="s">
        <v>384</v>
      </c>
      <c r="G175" s="5" t="s">
        <v>46</v>
      </c>
      <c r="H175" s="5"/>
      <c r="I175" s="5" t="s">
        <v>47</v>
      </c>
      <c r="J175" s="7">
        <v>10</v>
      </c>
      <c r="K175" s="5" t="s">
        <v>147</v>
      </c>
      <c r="L175" s="5" t="s">
        <v>147</v>
      </c>
      <c r="M175" s="16" t="s">
        <v>148</v>
      </c>
      <c r="N175" s="5"/>
    </row>
    <row r="176" spans="1:14">
      <c r="A176" s="25">
        <v>46195</v>
      </c>
      <c r="B176" s="18" t="s">
        <v>321</v>
      </c>
      <c r="C176" s="18" t="s">
        <v>179</v>
      </c>
      <c r="D176" s="18" t="s">
        <v>6</v>
      </c>
      <c r="E176" s="18" t="s">
        <v>164</v>
      </c>
      <c r="F176" s="18" t="s">
        <v>384</v>
      </c>
      <c r="G176" s="18" t="s">
        <v>220</v>
      </c>
      <c r="H176" s="18"/>
      <c r="I176" s="18" t="s">
        <v>40</v>
      </c>
      <c r="J176" s="19">
        <v>2</v>
      </c>
      <c r="K176" s="18" t="s">
        <v>153</v>
      </c>
      <c r="L176" s="18" t="s">
        <v>153</v>
      </c>
      <c r="M176" s="17" t="s">
        <v>153</v>
      </c>
      <c r="N176" s="18"/>
    </row>
    <row r="177" spans="1:14">
      <c r="A177" s="24">
        <v>46195</v>
      </c>
      <c r="B177" s="5" t="s">
        <v>321</v>
      </c>
      <c r="C177" s="5" t="s">
        <v>179</v>
      </c>
      <c r="D177" s="5" t="s">
        <v>6</v>
      </c>
      <c r="E177" s="5" t="s">
        <v>164</v>
      </c>
      <c r="F177" s="5" t="s">
        <v>384</v>
      </c>
      <c r="G177" s="5" t="s">
        <v>233</v>
      </c>
      <c r="H177" s="5"/>
      <c r="I177" s="5" t="s">
        <v>40</v>
      </c>
      <c r="J177" s="7">
        <v>2</v>
      </c>
      <c r="K177" s="5" t="s">
        <v>147</v>
      </c>
      <c r="L177" s="5" t="s">
        <v>147</v>
      </c>
      <c r="M177" s="16" t="s">
        <v>148</v>
      </c>
      <c r="N177" s="5"/>
    </row>
    <row r="178" spans="1:14">
      <c r="A178" s="25">
        <v>46195</v>
      </c>
      <c r="B178" s="18" t="s">
        <v>321</v>
      </c>
      <c r="C178" s="18" t="s">
        <v>179</v>
      </c>
      <c r="D178" s="18" t="s">
        <v>6</v>
      </c>
      <c r="E178" s="18" t="s">
        <v>164</v>
      </c>
      <c r="F178" s="18" t="s">
        <v>384</v>
      </c>
      <c r="G178" s="18" t="s">
        <v>259</v>
      </c>
      <c r="H178" s="18"/>
      <c r="I178" s="18" t="s">
        <v>40</v>
      </c>
      <c r="J178" s="19">
        <v>1</v>
      </c>
      <c r="K178" s="18" t="s">
        <v>147</v>
      </c>
      <c r="L178" s="18" t="s">
        <v>147</v>
      </c>
      <c r="M178" s="16" t="s">
        <v>148</v>
      </c>
      <c r="N178" s="18"/>
    </row>
    <row r="179" spans="1:14">
      <c r="A179" s="24">
        <v>46195</v>
      </c>
      <c r="B179" s="5" t="s">
        <v>321</v>
      </c>
      <c r="C179" s="5" t="s">
        <v>179</v>
      </c>
      <c r="D179" s="5" t="s">
        <v>6</v>
      </c>
      <c r="E179" s="5" t="s">
        <v>164</v>
      </c>
      <c r="F179" s="5" t="s">
        <v>384</v>
      </c>
      <c r="G179" s="5" t="s">
        <v>44</v>
      </c>
      <c r="H179" s="5"/>
      <c r="I179" s="5" t="s">
        <v>40</v>
      </c>
      <c r="J179" s="7">
        <v>200</v>
      </c>
      <c r="K179" s="5" t="s">
        <v>147</v>
      </c>
      <c r="L179" s="5" t="s">
        <v>147</v>
      </c>
      <c r="M179" s="16" t="s">
        <v>148</v>
      </c>
      <c r="N179" s="5"/>
    </row>
    <row r="180" spans="1:14">
      <c r="A180" s="25">
        <v>46195</v>
      </c>
      <c r="B180" s="18" t="s">
        <v>321</v>
      </c>
      <c r="C180" s="18" t="s">
        <v>179</v>
      </c>
      <c r="D180" s="18" t="s">
        <v>6</v>
      </c>
      <c r="E180" s="18" t="s">
        <v>165</v>
      </c>
      <c r="F180" s="18" t="s">
        <v>384</v>
      </c>
      <c r="G180" s="18" t="s">
        <v>256</v>
      </c>
      <c r="H180" s="18"/>
      <c r="I180" s="18" t="s">
        <v>257</v>
      </c>
      <c r="J180" s="19">
        <v>1</v>
      </c>
      <c r="K180" s="18" t="s">
        <v>147</v>
      </c>
      <c r="L180" s="18" t="s">
        <v>147</v>
      </c>
      <c r="M180" s="16" t="s">
        <v>148</v>
      </c>
      <c r="N180" s="18"/>
    </row>
    <row r="181" spans="1:14">
      <c r="A181" s="24">
        <v>46195</v>
      </c>
      <c r="B181" s="5" t="s">
        <v>321</v>
      </c>
      <c r="C181" s="5" t="s">
        <v>179</v>
      </c>
      <c r="D181" s="5" t="s">
        <v>6</v>
      </c>
      <c r="E181" s="5" t="s">
        <v>165</v>
      </c>
      <c r="F181" s="5" t="s">
        <v>384</v>
      </c>
      <c r="G181" s="5" t="s">
        <v>42</v>
      </c>
      <c r="H181" s="5"/>
      <c r="I181" s="5" t="s">
        <v>40</v>
      </c>
      <c r="J181" s="7">
        <v>200</v>
      </c>
      <c r="K181" s="5" t="s">
        <v>147</v>
      </c>
      <c r="L181" s="5" t="s">
        <v>147</v>
      </c>
      <c r="M181" s="16" t="s">
        <v>148</v>
      </c>
      <c r="N181" s="5"/>
    </row>
    <row r="182" spans="1:14">
      <c r="A182" s="25">
        <v>46195</v>
      </c>
      <c r="B182" s="18" t="s">
        <v>321</v>
      </c>
      <c r="C182" s="18" t="s">
        <v>179</v>
      </c>
      <c r="D182" s="18" t="s">
        <v>6</v>
      </c>
      <c r="E182" s="18" t="s">
        <v>165</v>
      </c>
      <c r="F182" s="18" t="s">
        <v>384</v>
      </c>
      <c r="G182" s="18" t="s">
        <v>41</v>
      </c>
      <c r="H182" s="18"/>
      <c r="I182" s="18" t="s">
        <v>40</v>
      </c>
      <c r="J182" s="19">
        <v>200</v>
      </c>
      <c r="K182" s="18" t="s">
        <v>147</v>
      </c>
      <c r="L182" s="18" t="s">
        <v>147</v>
      </c>
      <c r="M182" s="16" t="s">
        <v>148</v>
      </c>
      <c r="N182" s="18"/>
    </row>
    <row r="183" spans="1:14">
      <c r="A183" s="24">
        <v>46195</v>
      </c>
      <c r="B183" s="5" t="s">
        <v>321</v>
      </c>
      <c r="C183" s="5" t="s">
        <v>179</v>
      </c>
      <c r="D183" s="5" t="s">
        <v>6</v>
      </c>
      <c r="E183" s="5" t="s">
        <v>165</v>
      </c>
      <c r="F183" s="5" t="s">
        <v>384</v>
      </c>
      <c r="G183" s="5" t="s">
        <v>50</v>
      </c>
      <c r="H183" s="5"/>
      <c r="I183" s="5" t="s">
        <v>40</v>
      </c>
      <c r="J183" s="7">
        <v>50</v>
      </c>
      <c r="K183" s="5" t="s">
        <v>153</v>
      </c>
      <c r="L183" s="5" t="s">
        <v>153</v>
      </c>
      <c r="M183" s="17" t="s">
        <v>153</v>
      </c>
      <c r="N183" s="5"/>
    </row>
    <row r="184" spans="1:14">
      <c r="A184" s="25">
        <v>46195</v>
      </c>
      <c r="B184" s="18" t="s">
        <v>321</v>
      </c>
      <c r="C184" s="18" t="s">
        <v>179</v>
      </c>
      <c r="D184" s="18" t="s">
        <v>6</v>
      </c>
      <c r="E184" s="18" t="s">
        <v>165</v>
      </c>
      <c r="F184" s="18" t="s">
        <v>384</v>
      </c>
      <c r="G184" s="18" t="s">
        <v>249</v>
      </c>
      <c r="H184" s="18"/>
      <c r="I184" s="18" t="s">
        <v>40</v>
      </c>
      <c r="J184" s="19">
        <v>2</v>
      </c>
      <c r="K184" s="18" t="s">
        <v>147</v>
      </c>
      <c r="L184" s="18" t="s">
        <v>147</v>
      </c>
      <c r="M184" s="16" t="s">
        <v>148</v>
      </c>
      <c r="N184" s="18"/>
    </row>
    <row r="185" spans="1:14">
      <c r="A185" s="24">
        <v>46195</v>
      </c>
      <c r="B185" s="5" t="s">
        <v>321</v>
      </c>
      <c r="C185" s="5" t="s">
        <v>179</v>
      </c>
      <c r="D185" s="5" t="s">
        <v>6</v>
      </c>
      <c r="E185" s="5" t="s">
        <v>165</v>
      </c>
      <c r="F185" s="5" t="s">
        <v>384</v>
      </c>
      <c r="G185" s="5" t="s">
        <v>269</v>
      </c>
      <c r="H185" s="5"/>
      <c r="I185" s="5" t="s">
        <v>40</v>
      </c>
      <c r="J185" s="7">
        <v>1</v>
      </c>
      <c r="K185" s="5" t="s">
        <v>147</v>
      </c>
      <c r="L185" s="5" t="s">
        <v>147</v>
      </c>
      <c r="M185" s="16" t="s">
        <v>148</v>
      </c>
      <c r="N185" s="5"/>
    </row>
    <row r="186" spans="1:14">
      <c r="A186" s="25">
        <v>46195</v>
      </c>
      <c r="B186" s="18" t="s">
        <v>321</v>
      </c>
      <c r="C186" s="18" t="s">
        <v>179</v>
      </c>
      <c r="D186" s="18" t="s">
        <v>6</v>
      </c>
      <c r="E186" s="18" t="s">
        <v>165</v>
      </c>
      <c r="F186" s="18" t="s">
        <v>384</v>
      </c>
      <c r="G186" s="18" t="s">
        <v>186</v>
      </c>
      <c r="H186" s="18"/>
      <c r="I186" s="18" t="s">
        <v>40</v>
      </c>
      <c r="J186" s="19">
        <v>3</v>
      </c>
      <c r="K186" s="18" t="s">
        <v>147</v>
      </c>
      <c r="L186" s="18" t="s">
        <v>147</v>
      </c>
      <c r="M186" s="16" t="s">
        <v>148</v>
      </c>
      <c r="N186" s="18"/>
    </row>
    <row r="187" spans="1:14">
      <c r="A187" s="24">
        <v>46195</v>
      </c>
      <c r="B187" s="5" t="s">
        <v>321</v>
      </c>
      <c r="C187" s="5" t="s">
        <v>179</v>
      </c>
      <c r="D187" s="5" t="s">
        <v>6</v>
      </c>
      <c r="E187" s="5" t="s">
        <v>165</v>
      </c>
      <c r="F187" s="5" t="s">
        <v>384</v>
      </c>
      <c r="G187" s="5" t="s">
        <v>46</v>
      </c>
      <c r="H187" s="5"/>
      <c r="I187" s="5" t="s">
        <v>47</v>
      </c>
      <c r="J187" s="7">
        <v>15</v>
      </c>
      <c r="K187" s="5" t="s">
        <v>147</v>
      </c>
      <c r="L187" s="5" t="s">
        <v>147</v>
      </c>
      <c r="M187" s="16" t="s">
        <v>148</v>
      </c>
      <c r="N187" s="5"/>
    </row>
    <row r="188" spans="1:14">
      <c r="A188" s="25">
        <v>46195</v>
      </c>
      <c r="B188" s="18" t="s">
        <v>321</v>
      </c>
      <c r="C188" s="18" t="s">
        <v>179</v>
      </c>
      <c r="D188" s="18" t="s">
        <v>6</v>
      </c>
      <c r="E188" s="18" t="s">
        <v>165</v>
      </c>
      <c r="F188" s="18" t="s">
        <v>384</v>
      </c>
      <c r="G188" s="18" t="s">
        <v>193</v>
      </c>
      <c r="H188" s="18"/>
      <c r="I188" s="18" t="s">
        <v>216</v>
      </c>
      <c r="J188" s="19">
        <v>3</v>
      </c>
      <c r="K188" s="18" t="s">
        <v>147</v>
      </c>
      <c r="L188" s="18" t="s">
        <v>147</v>
      </c>
      <c r="M188" s="16" t="s">
        <v>148</v>
      </c>
      <c r="N188" s="18"/>
    </row>
    <row r="189" spans="1:14">
      <c r="A189" s="24">
        <v>46195</v>
      </c>
      <c r="B189" s="5" t="s">
        <v>321</v>
      </c>
      <c r="C189" s="5" t="s">
        <v>179</v>
      </c>
      <c r="D189" s="5" t="s">
        <v>6</v>
      </c>
      <c r="E189" s="5" t="s">
        <v>165</v>
      </c>
      <c r="F189" s="5" t="s">
        <v>384</v>
      </c>
      <c r="G189" s="5" t="s">
        <v>220</v>
      </c>
      <c r="H189" s="5"/>
      <c r="I189" s="5" t="s">
        <v>40</v>
      </c>
      <c r="J189" s="7">
        <v>3</v>
      </c>
      <c r="K189" s="5" t="s">
        <v>147</v>
      </c>
      <c r="L189" s="5" t="s">
        <v>147</v>
      </c>
      <c r="M189" s="16" t="s">
        <v>148</v>
      </c>
      <c r="N189" s="5"/>
    </row>
    <row r="190" spans="1:14">
      <c r="A190" s="25">
        <v>46195</v>
      </c>
      <c r="B190" s="18" t="s">
        <v>321</v>
      </c>
      <c r="C190" s="18" t="s">
        <v>179</v>
      </c>
      <c r="D190" s="18" t="s">
        <v>6</v>
      </c>
      <c r="E190" s="18" t="s">
        <v>167</v>
      </c>
      <c r="F190" s="18" t="s">
        <v>384</v>
      </c>
      <c r="G190" s="18" t="s">
        <v>46</v>
      </c>
      <c r="H190" s="18"/>
      <c r="I190" s="18" t="s">
        <v>47</v>
      </c>
      <c r="J190" s="19">
        <v>20</v>
      </c>
      <c r="K190" s="18" t="s">
        <v>147</v>
      </c>
      <c r="L190" s="18" t="s">
        <v>147</v>
      </c>
      <c r="M190" s="16" t="s">
        <v>148</v>
      </c>
      <c r="N190" s="18"/>
    </row>
    <row r="191" spans="1:14">
      <c r="A191" s="24">
        <v>46195</v>
      </c>
      <c r="B191" s="5" t="s">
        <v>321</v>
      </c>
      <c r="C191" s="5" t="s">
        <v>179</v>
      </c>
      <c r="D191" s="5" t="s">
        <v>6</v>
      </c>
      <c r="E191" s="5" t="s">
        <v>167</v>
      </c>
      <c r="F191" s="5" t="s">
        <v>384</v>
      </c>
      <c r="G191" s="5" t="s">
        <v>39</v>
      </c>
      <c r="H191" s="5"/>
      <c r="I191" s="5" t="s">
        <v>40</v>
      </c>
      <c r="J191" s="7">
        <v>100</v>
      </c>
      <c r="K191" s="5" t="s">
        <v>147</v>
      </c>
      <c r="L191" s="5" t="s">
        <v>147</v>
      </c>
      <c r="M191" s="16" t="s">
        <v>148</v>
      </c>
      <c r="N191" s="5"/>
    </row>
    <row r="192" spans="1:14">
      <c r="A192" s="25">
        <v>46195</v>
      </c>
      <c r="B192" s="18" t="s">
        <v>321</v>
      </c>
      <c r="C192" s="18" t="s">
        <v>179</v>
      </c>
      <c r="D192" s="18" t="s">
        <v>6</v>
      </c>
      <c r="E192" s="18" t="s">
        <v>167</v>
      </c>
      <c r="F192" s="18" t="s">
        <v>384</v>
      </c>
      <c r="G192" s="18" t="s">
        <v>272</v>
      </c>
      <c r="H192" s="18" t="s">
        <v>391</v>
      </c>
      <c r="I192" s="18" t="s">
        <v>47</v>
      </c>
      <c r="J192" s="19">
        <v>1</v>
      </c>
      <c r="K192" s="18" t="s">
        <v>147</v>
      </c>
      <c r="L192" s="18" t="s">
        <v>147</v>
      </c>
      <c r="M192" s="16" t="s">
        <v>148</v>
      </c>
      <c r="N192" s="18"/>
    </row>
    <row r="193" spans="1:14">
      <c r="A193" s="24">
        <v>46195</v>
      </c>
      <c r="B193" s="5" t="s">
        <v>321</v>
      </c>
      <c r="C193" s="5" t="s">
        <v>179</v>
      </c>
      <c r="D193" s="5" t="s">
        <v>6</v>
      </c>
      <c r="E193" s="5" t="s">
        <v>167</v>
      </c>
      <c r="F193" s="5" t="s">
        <v>384</v>
      </c>
      <c r="G193" s="5" t="s">
        <v>185</v>
      </c>
      <c r="H193" s="5"/>
      <c r="I193" s="5" t="s">
        <v>47</v>
      </c>
      <c r="J193" s="7">
        <v>1</v>
      </c>
      <c r="K193" s="5" t="s">
        <v>153</v>
      </c>
      <c r="L193" s="5" t="s">
        <v>153</v>
      </c>
      <c r="M193" s="17" t="s">
        <v>153</v>
      </c>
      <c r="N193" s="5"/>
    </row>
    <row r="194" spans="1:14">
      <c r="A194" s="25">
        <v>46195</v>
      </c>
      <c r="B194" s="18" t="s">
        <v>321</v>
      </c>
      <c r="C194" s="18" t="s">
        <v>179</v>
      </c>
      <c r="D194" s="18" t="s">
        <v>6</v>
      </c>
      <c r="E194" s="18" t="s">
        <v>167</v>
      </c>
      <c r="F194" s="18" t="s">
        <v>384</v>
      </c>
      <c r="G194" s="18" t="s">
        <v>44</v>
      </c>
      <c r="H194" s="18"/>
      <c r="I194" s="18" t="s">
        <v>40</v>
      </c>
      <c r="J194" s="19">
        <v>100</v>
      </c>
      <c r="K194" s="18" t="s">
        <v>147</v>
      </c>
      <c r="L194" s="18" t="s">
        <v>147</v>
      </c>
      <c r="M194" s="16" t="s">
        <v>148</v>
      </c>
      <c r="N194" s="18"/>
    </row>
    <row r="195" spans="1:14">
      <c r="A195" s="24">
        <v>46195</v>
      </c>
      <c r="B195" s="5" t="s">
        <v>321</v>
      </c>
      <c r="C195" s="5" t="s">
        <v>179</v>
      </c>
      <c r="D195" s="5" t="s">
        <v>6</v>
      </c>
      <c r="E195" s="5" t="s">
        <v>167</v>
      </c>
      <c r="F195" s="5" t="s">
        <v>384</v>
      </c>
      <c r="G195" s="5" t="s">
        <v>187</v>
      </c>
      <c r="H195" s="5"/>
      <c r="I195" s="5" t="s">
        <v>216</v>
      </c>
      <c r="J195" s="7">
        <v>2</v>
      </c>
      <c r="K195" s="5" t="s">
        <v>153</v>
      </c>
      <c r="L195" s="5" t="s">
        <v>153</v>
      </c>
      <c r="M195" s="17" t="s">
        <v>153</v>
      </c>
      <c r="N195" s="5"/>
    </row>
    <row r="196" spans="1:14">
      <c r="A196" s="25">
        <v>46195</v>
      </c>
      <c r="B196" s="18" t="s">
        <v>321</v>
      </c>
      <c r="C196" s="18" t="s">
        <v>179</v>
      </c>
      <c r="D196" s="18" t="s">
        <v>6</v>
      </c>
      <c r="E196" s="18" t="s">
        <v>168</v>
      </c>
      <c r="F196" s="18" t="s">
        <v>384</v>
      </c>
      <c r="G196" s="18" t="s">
        <v>269</v>
      </c>
      <c r="H196" s="18"/>
      <c r="I196" s="18" t="s">
        <v>40</v>
      </c>
      <c r="J196" s="19">
        <v>1</v>
      </c>
      <c r="K196" s="18" t="s">
        <v>147</v>
      </c>
      <c r="L196" s="18" t="s">
        <v>147</v>
      </c>
      <c r="M196" s="16" t="s">
        <v>148</v>
      </c>
      <c r="N196" s="18"/>
    </row>
    <row r="197" spans="1:14">
      <c r="A197" s="24">
        <v>46195</v>
      </c>
      <c r="B197" s="5" t="s">
        <v>321</v>
      </c>
      <c r="C197" s="5" t="s">
        <v>179</v>
      </c>
      <c r="D197" s="5" t="s">
        <v>6</v>
      </c>
      <c r="E197" s="5" t="s">
        <v>168</v>
      </c>
      <c r="F197" s="5" t="s">
        <v>384</v>
      </c>
      <c r="G197" s="5" t="s">
        <v>220</v>
      </c>
      <c r="H197" s="5"/>
      <c r="I197" s="5" t="s">
        <v>40</v>
      </c>
      <c r="J197" s="7">
        <v>2</v>
      </c>
      <c r="K197" s="5" t="s">
        <v>147</v>
      </c>
      <c r="L197" s="5" t="s">
        <v>147</v>
      </c>
      <c r="M197" s="16" t="s">
        <v>148</v>
      </c>
      <c r="N197" s="5"/>
    </row>
    <row r="198" spans="1:14">
      <c r="A198" s="25">
        <v>46195</v>
      </c>
      <c r="B198" s="18" t="s">
        <v>321</v>
      </c>
      <c r="C198" s="18" t="s">
        <v>179</v>
      </c>
      <c r="D198" s="18" t="s">
        <v>6</v>
      </c>
      <c r="E198" s="18" t="s">
        <v>168</v>
      </c>
      <c r="F198" s="18" t="s">
        <v>384</v>
      </c>
      <c r="G198" s="18" t="s">
        <v>217</v>
      </c>
      <c r="H198" s="18"/>
      <c r="I198" s="18" t="s">
        <v>216</v>
      </c>
      <c r="J198" s="19">
        <v>2</v>
      </c>
      <c r="K198" s="18" t="s">
        <v>147</v>
      </c>
      <c r="L198" s="18" t="s">
        <v>147</v>
      </c>
      <c r="M198" s="16" t="s">
        <v>148</v>
      </c>
      <c r="N198" s="18"/>
    </row>
    <row r="199" spans="1:14">
      <c r="A199" s="24">
        <v>46195</v>
      </c>
      <c r="B199" s="5" t="s">
        <v>321</v>
      </c>
      <c r="C199" s="5" t="s">
        <v>179</v>
      </c>
      <c r="D199" s="5" t="s">
        <v>6</v>
      </c>
      <c r="E199" s="5" t="s">
        <v>168</v>
      </c>
      <c r="F199" s="5" t="s">
        <v>384</v>
      </c>
      <c r="G199" s="5" t="s">
        <v>240</v>
      </c>
      <c r="H199" s="5"/>
      <c r="I199" s="5" t="s">
        <v>216</v>
      </c>
      <c r="J199" s="7">
        <v>1</v>
      </c>
      <c r="K199" s="5" t="s">
        <v>147</v>
      </c>
      <c r="L199" s="5" t="s">
        <v>147</v>
      </c>
      <c r="M199" s="16" t="s">
        <v>148</v>
      </c>
      <c r="N199" s="5"/>
    </row>
    <row r="200" spans="1:14">
      <c r="A200" s="25">
        <v>46195</v>
      </c>
      <c r="B200" s="18" t="s">
        <v>321</v>
      </c>
      <c r="C200" s="18" t="s">
        <v>179</v>
      </c>
      <c r="D200" s="18" t="s">
        <v>6</v>
      </c>
      <c r="E200" s="18" t="s">
        <v>168</v>
      </c>
      <c r="F200" s="18" t="s">
        <v>384</v>
      </c>
      <c r="G200" s="18" t="s">
        <v>186</v>
      </c>
      <c r="H200" s="18"/>
      <c r="I200" s="18" t="s">
        <v>40</v>
      </c>
      <c r="J200" s="19">
        <v>3</v>
      </c>
      <c r="K200" s="18" t="s">
        <v>147</v>
      </c>
      <c r="L200" s="18" t="s">
        <v>147</v>
      </c>
      <c r="M200" s="16" t="s">
        <v>148</v>
      </c>
      <c r="N200" s="18"/>
    </row>
    <row r="201" spans="1:14">
      <c r="A201" s="24">
        <v>46195</v>
      </c>
      <c r="B201" s="5" t="s">
        <v>321</v>
      </c>
      <c r="C201" s="5" t="s">
        <v>179</v>
      </c>
      <c r="D201" s="5" t="s">
        <v>6</v>
      </c>
      <c r="E201" s="5" t="s">
        <v>168</v>
      </c>
      <c r="F201" s="5" t="s">
        <v>384</v>
      </c>
      <c r="G201" s="5" t="s">
        <v>191</v>
      </c>
      <c r="H201" s="5"/>
      <c r="I201" s="5" t="s">
        <v>47</v>
      </c>
      <c r="J201" s="7">
        <v>1</v>
      </c>
      <c r="K201" s="5" t="s">
        <v>153</v>
      </c>
      <c r="L201" s="5" t="s">
        <v>153</v>
      </c>
      <c r="M201" s="17" t="s">
        <v>153</v>
      </c>
      <c r="N201" s="5"/>
    </row>
    <row r="202" spans="1:14">
      <c r="A202" s="25">
        <v>46195</v>
      </c>
      <c r="B202" s="18" t="s">
        <v>321</v>
      </c>
      <c r="C202" s="18" t="s">
        <v>179</v>
      </c>
      <c r="D202" s="18" t="s">
        <v>6</v>
      </c>
      <c r="E202" s="18" t="s">
        <v>169</v>
      </c>
      <c r="F202" s="18" t="s">
        <v>384</v>
      </c>
      <c r="G202" s="18" t="s">
        <v>191</v>
      </c>
      <c r="H202" s="18"/>
      <c r="I202" s="18" t="s">
        <v>47</v>
      </c>
      <c r="J202" s="19">
        <v>1</v>
      </c>
      <c r="K202" s="18" t="s">
        <v>153</v>
      </c>
      <c r="L202" s="18" t="s">
        <v>153</v>
      </c>
      <c r="M202" s="17" t="s">
        <v>153</v>
      </c>
      <c r="N202" s="18"/>
    </row>
    <row r="203" spans="1:14">
      <c r="A203" s="24">
        <v>46195</v>
      </c>
      <c r="B203" s="5" t="s">
        <v>321</v>
      </c>
      <c r="C203" s="5" t="s">
        <v>179</v>
      </c>
      <c r="D203" s="5" t="s">
        <v>6</v>
      </c>
      <c r="E203" s="5" t="s">
        <v>169</v>
      </c>
      <c r="F203" s="5" t="s">
        <v>384</v>
      </c>
      <c r="G203" s="5" t="s">
        <v>186</v>
      </c>
      <c r="H203" s="5"/>
      <c r="I203" s="5" t="s">
        <v>40</v>
      </c>
      <c r="J203" s="7">
        <v>3</v>
      </c>
      <c r="K203" s="5" t="s">
        <v>147</v>
      </c>
      <c r="L203" s="5" t="s">
        <v>147</v>
      </c>
      <c r="M203" s="16" t="s">
        <v>148</v>
      </c>
      <c r="N203" s="5"/>
    </row>
    <row r="204" spans="1:14">
      <c r="A204" s="25">
        <v>46195</v>
      </c>
      <c r="B204" s="18" t="s">
        <v>321</v>
      </c>
      <c r="C204" s="18" t="s">
        <v>179</v>
      </c>
      <c r="D204" s="18" t="s">
        <v>6</v>
      </c>
      <c r="E204" s="18" t="s">
        <v>169</v>
      </c>
      <c r="F204" s="18" t="s">
        <v>384</v>
      </c>
      <c r="G204" s="18" t="s">
        <v>234</v>
      </c>
      <c r="H204" s="18" t="s">
        <v>392</v>
      </c>
      <c r="I204" s="18" t="s">
        <v>47</v>
      </c>
      <c r="J204" s="19">
        <v>1</v>
      </c>
      <c r="K204" s="18" t="s">
        <v>147</v>
      </c>
      <c r="L204" s="18" t="s">
        <v>147</v>
      </c>
      <c r="M204" s="16" t="s">
        <v>148</v>
      </c>
      <c r="N204" s="18"/>
    </row>
    <row r="205" spans="1:14">
      <c r="A205" s="24">
        <v>46195</v>
      </c>
      <c r="B205" s="5" t="s">
        <v>321</v>
      </c>
      <c r="C205" s="5" t="s">
        <v>179</v>
      </c>
      <c r="D205" s="5" t="s">
        <v>6</v>
      </c>
      <c r="E205" s="5" t="s">
        <v>169</v>
      </c>
      <c r="F205" s="5" t="s">
        <v>384</v>
      </c>
      <c r="G205" s="5" t="s">
        <v>277</v>
      </c>
      <c r="H205" s="5"/>
      <c r="I205" s="5" t="s">
        <v>47</v>
      </c>
      <c r="J205" s="7">
        <v>1</v>
      </c>
      <c r="K205" s="5" t="s">
        <v>147</v>
      </c>
      <c r="L205" s="5" t="s">
        <v>147</v>
      </c>
      <c r="M205" s="16" t="s">
        <v>148</v>
      </c>
      <c r="N205" s="5"/>
    </row>
    <row r="206" spans="1:14">
      <c r="A206" s="25">
        <v>46195</v>
      </c>
      <c r="B206" s="18" t="s">
        <v>321</v>
      </c>
      <c r="C206" s="18" t="s">
        <v>179</v>
      </c>
      <c r="D206" s="18" t="s">
        <v>6</v>
      </c>
      <c r="E206" s="18" t="s">
        <v>169</v>
      </c>
      <c r="F206" s="18" t="s">
        <v>384</v>
      </c>
      <c r="G206" s="18" t="s">
        <v>185</v>
      </c>
      <c r="H206" s="18"/>
      <c r="I206" s="18" t="s">
        <v>47</v>
      </c>
      <c r="J206" s="19">
        <v>2</v>
      </c>
      <c r="K206" s="18" t="s">
        <v>153</v>
      </c>
      <c r="L206" s="18" t="s">
        <v>153</v>
      </c>
      <c r="M206" s="17" t="s">
        <v>153</v>
      </c>
      <c r="N206" s="18"/>
    </row>
    <row r="207" spans="1:14">
      <c r="A207" s="24">
        <v>46195</v>
      </c>
      <c r="B207" s="5" t="s">
        <v>321</v>
      </c>
      <c r="C207" s="5" t="s">
        <v>179</v>
      </c>
      <c r="D207" s="5" t="s">
        <v>6</v>
      </c>
      <c r="E207" s="5" t="s">
        <v>169</v>
      </c>
      <c r="F207" s="5" t="s">
        <v>384</v>
      </c>
      <c r="G207" s="5" t="s">
        <v>236</v>
      </c>
      <c r="H207" s="5"/>
      <c r="I207" s="5" t="s">
        <v>40</v>
      </c>
      <c r="J207" s="7">
        <v>2</v>
      </c>
      <c r="K207" s="5" t="s">
        <v>147</v>
      </c>
      <c r="L207" s="5" t="s">
        <v>147</v>
      </c>
      <c r="M207" s="16" t="s">
        <v>148</v>
      </c>
      <c r="N207" s="5"/>
    </row>
    <row r="208" spans="1:14">
      <c r="A208" s="25">
        <v>46195</v>
      </c>
      <c r="B208" s="18" t="s">
        <v>321</v>
      </c>
      <c r="C208" s="18" t="s">
        <v>179</v>
      </c>
      <c r="D208" s="18" t="s">
        <v>6</v>
      </c>
      <c r="E208" s="18" t="s">
        <v>169</v>
      </c>
      <c r="F208" s="18" t="s">
        <v>384</v>
      </c>
      <c r="G208" s="18" t="s">
        <v>215</v>
      </c>
      <c r="H208" s="18"/>
      <c r="I208" s="18" t="s">
        <v>216</v>
      </c>
      <c r="J208" s="19">
        <v>5</v>
      </c>
      <c r="K208" s="18" t="s">
        <v>153</v>
      </c>
      <c r="L208" s="18" t="s">
        <v>153</v>
      </c>
      <c r="M208" s="17" t="s">
        <v>153</v>
      </c>
      <c r="N208" s="18"/>
    </row>
    <row r="209" spans="1:14">
      <c r="A209" s="24">
        <v>46195</v>
      </c>
      <c r="B209" s="5" t="s">
        <v>321</v>
      </c>
      <c r="C209" s="5" t="s">
        <v>179</v>
      </c>
      <c r="D209" s="5" t="s">
        <v>6</v>
      </c>
      <c r="E209" s="5" t="s">
        <v>169</v>
      </c>
      <c r="F209" s="5" t="s">
        <v>384</v>
      </c>
      <c r="G209" s="5" t="s">
        <v>259</v>
      </c>
      <c r="H209" s="5"/>
      <c r="I209" s="5" t="s">
        <v>40</v>
      </c>
      <c r="J209" s="7">
        <v>1</v>
      </c>
      <c r="K209" s="5" t="s">
        <v>147</v>
      </c>
      <c r="L209" s="5" t="s">
        <v>147</v>
      </c>
      <c r="M209" s="16" t="s">
        <v>148</v>
      </c>
      <c r="N209" s="5"/>
    </row>
    <row r="210" spans="1:14">
      <c r="A210" s="25">
        <v>46195</v>
      </c>
      <c r="B210" s="18" t="s">
        <v>321</v>
      </c>
      <c r="C210" s="18" t="s">
        <v>179</v>
      </c>
      <c r="D210" s="18" t="s">
        <v>6</v>
      </c>
      <c r="E210" s="18" t="s">
        <v>169</v>
      </c>
      <c r="F210" s="18" t="s">
        <v>384</v>
      </c>
      <c r="G210" s="18" t="s">
        <v>273</v>
      </c>
      <c r="H210" s="18"/>
      <c r="I210" s="18" t="s">
        <v>40</v>
      </c>
      <c r="J210" s="19">
        <v>1</v>
      </c>
      <c r="K210" s="18" t="s">
        <v>147</v>
      </c>
      <c r="L210" s="18" t="s">
        <v>147</v>
      </c>
      <c r="M210" s="16" t="s">
        <v>148</v>
      </c>
      <c r="N210" s="18"/>
    </row>
    <row r="211" spans="1:14">
      <c r="A211" s="24">
        <v>46195</v>
      </c>
      <c r="B211" s="5" t="s">
        <v>321</v>
      </c>
      <c r="C211" s="5" t="s">
        <v>179</v>
      </c>
      <c r="D211" s="5" t="s">
        <v>6</v>
      </c>
      <c r="E211" s="5" t="s">
        <v>169</v>
      </c>
      <c r="F211" s="5" t="s">
        <v>384</v>
      </c>
      <c r="G211" s="5" t="s">
        <v>187</v>
      </c>
      <c r="H211" s="5"/>
      <c r="I211" s="5" t="s">
        <v>216</v>
      </c>
      <c r="J211" s="7">
        <v>1</v>
      </c>
      <c r="K211" s="5" t="s">
        <v>153</v>
      </c>
      <c r="L211" s="5" t="s">
        <v>153</v>
      </c>
      <c r="M211" s="17" t="s">
        <v>153</v>
      </c>
      <c r="N211" s="5"/>
    </row>
    <row r="212" spans="1:14">
      <c r="A212" s="25">
        <v>46195</v>
      </c>
      <c r="B212" s="18" t="s">
        <v>321</v>
      </c>
      <c r="C212" s="18" t="s">
        <v>179</v>
      </c>
      <c r="D212" s="18" t="s">
        <v>6</v>
      </c>
      <c r="E212" s="18" t="s">
        <v>169</v>
      </c>
      <c r="F212" s="18" t="s">
        <v>384</v>
      </c>
      <c r="G212" s="18" t="s">
        <v>46</v>
      </c>
      <c r="H212" s="18"/>
      <c r="I212" s="18" t="s">
        <v>47</v>
      </c>
      <c r="J212" s="19">
        <v>20</v>
      </c>
      <c r="K212" s="18" t="s">
        <v>147</v>
      </c>
      <c r="L212" s="18" t="s">
        <v>147</v>
      </c>
      <c r="M212" s="16" t="s">
        <v>148</v>
      </c>
      <c r="N212" s="18"/>
    </row>
    <row r="213" spans="1:14">
      <c r="A213" s="24">
        <v>46195</v>
      </c>
      <c r="B213" s="5" t="s">
        <v>321</v>
      </c>
      <c r="C213" s="5" t="s">
        <v>179</v>
      </c>
      <c r="D213" s="5" t="s">
        <v>6</v>
      </c>
      <c r="E213" s="5" t="s">
        <v>169</v>
      </c>
      <c r="F213" s="5" t="s">
        <v>384</v>
      </c>
      <c r="G213" s="5" t="s">
        <v>189</v>
      </c>
      <c r="H213" s="5"/>
      <c r="I213" s="5" t="s">
        <v>47</v>
      </c>
      <c r="J213" s="7">
        <v>3</v>
      </c>
      <c r="K213" s="5" t="s">
        <v>153</v>
      </c>
      <c r="L213" s="5" t="s">
        <v>153</v>
      </c>
      <c r="M213" s="17" t="s">
        <v>153</v>
      </c>
      <c r="N213" s="5"/>
    </row>
    <row r="214" spans="1:14">
      <c r="A214" s="25">
        <v>46195</v>
      </c>
      <c r="B214" s="18" t="s">
        <v>321</v>
      </c>
      <c r="C214" s="18" t="s">
        <v>179</v>
      </c>
      <c r="D214" s="18" t="s">
        <v>6</v>
      </c>
      <c r="E214" s="18" t="s">
        <v>169</v>
      </c>
      <c r="F214" s="18" t="s">
        <v>384</v>
      </c>
      <c r="G214" s="18" t="s">
        <v>39</v>
      </c>
      <c r="H214" s="18"/>
      <c r="I214" s="18" t="s">
        <v>40</v>
      </c>
      <c r="J214" s="19">
        <v>300</v>
      </c>
      <c r="K214" s="18" t="s">
        <v>147</v>
      </c>
      <c r="L214" s="18" t="s">
        <v>147</v>
      </c>
      <c r="M214" s="16" t="s">
        <v>148</v>
      </c>
      <c r="N214" s="18"/>
    </row>
    <row r="215" spans="1:14">
      <c r="A215" s="24">
        <v>46199</v>
      </c>
      <c r="B215" s="5" t="s">
        <v>321</v>
      </c>
      <c r="C215" s="5" t="s">
        <v>179</v>
      </c>
      <c r="D215" s="5" t="s">
        <v>3</v>
      </c>
      <c r="E215" s="5" t="s">
        <v>3</v>
      </c>
      <c r="F215" s="5" t="s">
        <v>355</v>
      </c>
      <c r="G215" s="5" t="s">
        <v>220</v>
      </c>
      <c r="H215" s="5"/>
      <c r="I215" s="5" t="s">
        <v>40</v>
      </c>
      <c r="J215" s="7">
        <v>2</v>
      </c>
      <c r="K215" s="5" t="s">
        <v>153</v>
      </c>
      <c r="L215" s="5" t="s">
        <v>153</v>
      </c>
      <c r="M215" s="17" t="s">
        <v>153</v>
      </c>
      <c r="N215" s="5"/>
    </row>
    <row r="216" spans="1:14">
      <c r="A216" s="25">
        <v>46199</v>
      </c>
      <c r="B216" s="18" t="s">
        <v>321</v>
      </c>
      <c r="C216" s="18" t="s">
        <v>179</v>
      </c>
      <c r="D216" s="18" t="s">
        <v>3</v>
      </c>
      <c r="E216" s="18" t="s">
        <v>3</v>
      </c>
      <c r="F216" s="18" t="s">
        <v>355</v>
      </c>
      <c r="G216" s="18" t="s">
        <v>232</v>
      </c>
      <c r="H216" s="18"/>
      <c r="I216" s="18" t="s">
        <v>216</v>
      </c>
      <c r="J216" s="19">
        <v>2</v>
      </c>
      <c r="K216" s="18" t="s">
        <v>345</v>
      </c>
      <c r="L216" s="18" t="s">
        <v>149</v>
      </c>
      <c r="M216" s="16" t="s">
        <v>148</v>
      </c>
      <c r="N216" s="18"/>
    </row>
    <row r="217" spans="1:14">
      <c r="A217" s="24">
        <v>46199</v>
      </c>
      <c r="B217" s="5" t="s">
        <v>321</v>
      </c>
      <c r="C217" s="5" t="s">
        <v>179</v>
      </c>
      <c r="D217" s="5" t="s">
        <v>3</v>
      </c>
      <c r="E217" s="5" t="s">
        <v>3</v>
      </c>
      <c r="F217" s="5" t="s">
        <v>355</v>
      </c>
      <c r="G217" s="5" t="s">
        <v>245</v>
      </c>
      <c r="H217" s="5"/>
      <c r="I217" s="5" t="s">
        <v>216</v>
      </c>
      <c r="J217" s="7">
        <v>1</v>
      </c>
      <c r="K217" s="5" t="s">
        <v>345</v>
      </c>
      <c r="L217" s="5" t="s">
        <v>149</v>
      </c>
      <c r="M217" s="16" t="s">
        <v>148</v>
      </c>
      <c r="N217" s="5"/>
    </row>
    <row r="218" spans="1:14">
      <c r="A218" s="25">
        <v>46199</v>
      </c>
      <c r="B218" s="18" t="s">
        <v>321</v>
      </c>
      <c r="C218" s="18" t="s">
        <v>179</v>
      </c>
      <c r="D218" s="18" t="s">
        <v>3</v>
      </c>
      <c r="E218" s="18" t="s">
        <v>3</v>
      </c>
      <c r="F218" s="18" t="s">
        <v>355</v>
      </c>
      <c r="G218" s="18" t="s">
        <v>240</v>
      </c>
      <c r="H218" s="18"/>
      <c r="I218" s="18" t="s">
        <v>216</v>
      </c>
      <c r="J218" s="19">
        <v>1</v>
      </c>
      <c r="K218" s="18" t="s">
        <v>345</v>
      </c>
      <c r="L218" s="18" t="s">
        <v>149</v>
      </c>
      <c r="M218" s="16" t="s">
        <v>148</v>
      </c>
      <c r="N218" s="18"/>
    </row>
    <row r="219" spans="1:14">
      <c r="A219" s="24">
        <v>46199</v>
      </c>
      <c r="B219" s="5" t="s">
        <v>321</v>
      </c>
      <c r="C219" s="5" t="s">
        <v>179</v>
      </c>
      <c r="D219" s="5" t="s">
        <v>3</v>
      </c>
      <c r="E219" s="5" t="s">
        <v>3</v>
      </c>
      <c r="F219" s="5" t="s">
        <v>355</v>
      </c>
      <c r="G219" s="5" t="s">
        <v>223</v>
      </c>
      <c r="H219" s="5"/>
      <c r="I219" s="5" t="s">
        <v>40</v>
      </c>
      <c r="J219" s="7">
        <v>1</v>
      </c>
      <c r="K219" s="5" t="s">
        <v>345</v>
      </c>
      <c r="L219" s="5" t="s">
        <v>149</v>
      </c>
      <c r="M219" s="16" t="s">
        <v>148</v>
      </c>
      <c r="N219" s="5"/>
    </row>
    <row r="220" spans="1:14">
      <c r="A220" s="25">
        <v>46199</v>
      </c>
      <c r="B220" s="18" t="s">
        <v>321</v>
      </c>
      <c r="C220" s="18" t="s">
        <v>179</v>
      </c>
      <c r="D220" s="18" t="s">
        <v>3</v>
      </c>
      <c r="E220" s="18" t="s">
        <v>3</v>
      </c>
      <c r="F220" s="18" t="s">
        <v>351</v>
      </c>
      <c r="G220" s="18" t="s">
        <v>227</v>
      </c>
      <c r="H220" s="18"/>
      <c r="I220" s="18" t="s">
        <v>216</v>
      </c>
      <c r="J220" s="19">
        <v>1</v>
      </c>
      <c r="K220" s="18" t="s">
        <v>153</v>
      </c>
      <c r="L220" s="18" t="s">
        <v>153</v>
      </c>
      <c r="M220" s="17" t="s">
        <v>153</v>
      </c>
      <c r="N220" s="18"/>
    </row>
    <row r="221" spans="1:14">
      <c r="A221" s="24">
        <v>46202</v>
      </c>
      <c r="B221" s="5" t="s">
        <v>322</v>
      </c>
      <c r="C221" s="5" t="s">
        <v>179</v>
      </c>
      <c r="D221" s="5" t="s">
        <v>6</v>
      </c>
      <c r="E221" s="5" t="s">
        <v>165</v>
      </c>
      <c r="F221" s="5" t="s">
        <v>384</v>
      </c>
      <c r="G221" s="5" t="s">
        <v>236</v>
      </c>
      <c r="H221" s="5"/>
      <c r="I221" s="5" t="s">
        <v>40</v>
      </c>
      <c r="J221" s="7">
        <v>6</v>
      </c>
      <c r="K221" s="5" t="s">
        <v>147</v>
      </c>
      <c r="L221" s="5" t="s">
        <v>147</v>
      </c>
      <c r="M221" s="16" t="s">
        <v>148</v>
      </c>
      <c r="N221" s="5"/>
    </row>
    <row r="222" spans="1:14">
      <c r="A222" s="25">
        <v>46202</v>
      </c>
      <c r="B222" s="18" t="s">
        <v>322</v>
      </c>
      <c r="C222" s="18" t="s">
        <v>179</v>
      </c>
      <c r="D222" s="18" t="s">
        <v>6</v>
      </c>
      <c r="E222" s="18" t="s">
        <v>165</v>
      </c>
      <c r="F222" s="18" t="s">
        <v>384</v>
      </c>
      <c r="G222" s="18" t="s">
        <v>50</v>
      </c>
      <c r="H222" s="18"/>
      <c r="I222" s="18" t="s">
        <v>40</v>
      </c>
      <c r="J222" s="19">
        <v>20</v>
      </c>
      <c r="K222" s="18" t="s">
        <v>153</v>
      </c>
      <c r="L222" s="18" t="s">
        <v>153</v>
      </c>
      <c r="M222" s="17" t="s">
        <v>153</v>
      </c>
      <c r="N222" s="18"/>
    </row>
    <row r="223" spans="1:14">
      <c r="A223" s="24">
        <v>46203</v>
      </c>
      <c r="B223" s="5" t="s">
        <v>322</v>
      </c>
      <c r="C223" s="5" t="s">
        <v>179</v>
      </c>
      <c r="D223" s="5" t="s">
        <v>3</v>
      </c>
      <c r="E223" s="5" t="s">
        <v>3</v>
      </c>
      <c r="F223" s="5" t="s">
        <v>360</v>
      </c>
      <c r="G223" s="5" t="s">
        <v>361</v>
      </c>
      <c r="H223" s="5"/>
      <c r="I223" s="5" t="s">
        <v>298</v>
      </c>
      <c r="J223" s="7">
        <v>3</v>
      </c>
      <c r="K223" s="5" t="s">
        <v>345</v>
      </c>
      <c r="L223" s="5" t="s">
        <v>149</v>
      </c>
      <c r="M223" s="16" t="s">
        <v>148</v>
      </c>
      <c r="N223" s="5" t="s">
        <v>362</v>
      </c>
    </row>
    <row r="224" spans="1:14">
      <c r="A224" s="25">
        <v>46203</v>
      </c>
      <c r="B224" s="18" t="s">
        <v>322</v>
      </c>
      <c r="C224" s="18" t="s">
        <v>179</v>
      </c>
      <c r="D224" s="18" t="s">
        <v>3</v>
      </c>
      <c r="E224" s="18" t="s">
        <v>3</v>
      </c>
      <c r="F224" s="18" t="s">
        <v>360</v>
      </c>
      <c r="G224" s="18" t="s">
        <v>217</v>
      </c>
      <c r="H224" s="18"/>
      <c r="I224" s="18" t="s">
        <v>216</v>
      </c>
      <c r="J224" s="19">
        <v>2</v>
      </c>
      <c r="K224" s="18" t="s">
        <v>345</v>
      </c>
      <c r="L224" s="18" t="s">
        <v>149</v>
      </c>
      <c r="M224" s="16" t="s">
        <v>148</v>
      </c>
      <c r="N224" s="18"/>
    </row>
    <row r="225" spans="1:14">
      <c r="A225" s="24">
        <v>46203</v>
      </c>
      <c r="B225" s="5" t="s">
        <v>322</v>
      </c>
      <c r="C225" s="5" t="s">
        <v>179</v>
      </c>
      <c r="D225" s="5" t="s">
        <v>3</v>
      </c>
      <c r="E225" s="5" t="s">
        <v>3</v>
      </c>
      <c r="F225" s="5" t="s">
        <v>360</v>
      </c>
      <c r="G225" s="5" t="s">
        <v>234</v>
      </c>
      <c r="H225" s="5"/>
      <c r="I225" s="5" t="s">
        <v>47</v>
      </c>
      <c r="J225" s="7">
        <v>1</v>
      </c>
      <c r="K225" s="5" t="s">
        <v>345</v>
      </c>
      <c r="L225" s="5" t="s">
        <v>149</v>
      </c>
      <c r="M225" s="16" t="s">
        <v>148</v>
      </c>
      <c r="N225" s="5"/>
    </row>
    <row r="226" spans="1:14">
      <c r="A226" s="25">
        <v>46203</v>
      </c>
      <c r="B226" s="18" t="s">
        <v>322</v>
      </c>
      <c r="C226" s="18" t="s">
        <v>179</v>
      </c>
      <c r="D226" s="18" t="s">
        <v>3</v>
      </c>
      <c r="E226" s="18" t="s">
        <v>3</v>
      </c>
      <c r="F226" s="18" t="s">
        <v>363</v>
      </c>
      <c r="G226" s="18" t="s">
        <v>215</v>
      </c>
      <c r="H226" s="18"/>
      <c r="I226" s="18" t="s">
        <v>216</v>
      </c>
      <c r="J226" s="19">
        <v>2</v>
      </c>
      <c r="K226" s="18" t="s">
        <v>153</v>
      </c>
      <c r="L226" s="18" t="s">
        <v>153</v>
      </c>
      <c r="M226" s="17" t="s">
        <v>153</v>
      </c>
      <c r="N226" s="18"/>
    </row>
    <row r="227" spans="1:14">
      <c r="A227" s="24">
        <v>46203</v>
      </c>
      <c r="B227" s="5" t="s">
        <v>322</v>
      </c>
      <c r="C227" s="5" t="s">
        <v>179</v>
      </c>
      <c r="D227" s="5" t="s">
        <v>3</v>
      </c>
      <c r="E227" s="5" t="s">
        <v>3</v>
      </c>
      <c r="F227" s="5" t="s">
        <v>363</v>
      </c>
      <c r="G227" s="5" t="s">
        <v>192</v>
      </c>
      <c r="H227" s="5"/>
      <c r="I227" s="5" t="s">
        <v>216</v>
      </c>
      <c r="J227" s="7">
        <v>1</v>
      </c>
      <c r="K227" s="5" t="s">
        <v>345</v>
      </c>
      <c r="L227" s="5" t="s">
        <v>149</v>
      </c>
      <c r="M227" s="16" t="s">
        <v>148</v>
      </c>
      <c r="N227" s="5"/>
    </row>
    <row r="228" spans="1:14">
      <c r="A228" s="25">
        <v>46203</v>
      </c>
      <c r="B228" s="18" t="s">
        <v>322</v>
      </c>
      <c r="C228" s="18" t="s">
        <v>179</v>
      </c>
      <c r="D228" s="18" t="s">
        <v>3</v>
      </c>
      <c r="E228" s="18" t="s">
        <v>3</v>
      </c>
      <c r="F228" s="18" t="s">
        <v>360</v>
      </c>
      <c r="G228" s="18" t="s">
        <v>250</v>
      </c>
      <c r="H228" s="18"/>
      <c r="I228" s="18" t="s">
        <v>40</v>
      </c>
      <c r="J228" s="19">
        <v>1</v>
      </c>
      <c r="K228" s="18" t="s">
        <v>345</v>
      </c>
      <c r="L228" s="18" t="s">
        <v>149</v>
      </c>
      <c r="M228" s="16" t="s">
        <v>148</v>
      </c>
      <c r="N228" s="18"/>
    </row>
    <row r="229" spans="1:14">
      <c r="A229" s="24">
        <v>46203</v>
      </c>
      <c r="B229" s="5" t="s">
        <v>322</v>
      </c>
      <c r="C229" s="5" t="s">
        <v>179</v>
      </c>
      <c r="D229" s="5" t="s">
        <v>3</v>
      </c>
      <c r="E229" s="5" t="s">
        <v>3</v>
      </c>
      <c r="F229" s="5" t="s">
        <v>349</v>
      </c>
      <c r="G229" s="5" t="s">
        <v>223</v>
      </c>
      <c r="H229" s="5"/>
      <c r="I229" s="5" t="s">
        <v>40</v>
      </c>
      <c r="J229" s="7">
        <v>2</v>
      </c>
      <c r="K229" s="5" t="s">
        <v>345</v>
      </c>
      <c r="L229" s="5" t="s">
        <v>149</v>
      </c>
      <c r="M229" s="16" t="s">
        <v>148</v>
      </c>
      <c r="N229" s="5"/>
    </row>
    <row r="230" spans="1:14">
      <c r="A230" s="25">
        <v>46203</v>
      </c>
      <c r="B230" s="18" t="s">
        <v>322</v>
      </c>
      <c r="C230" s="18" t="s">
        <v>179</v>
      </c>
      <c r="D230" s="18" t="s">
        <v>3</v>
      </c>
      <c r="E230" s="18" t="s">
        <v>3</v>
      </c>
      <c r="F230" s="18" t="s">
        <v>349</v>
      </c>
      <c r="G230" s="18" t="s">
        <v>229</v>
      </c>
      <c r="H230" s="18"/>
      <c r="I230" s="18" t="s">
        <v>216</v>
      </c>
      <c r="J230" s="19">
        <v>1</v>
      </c>
      <c r="K230" s="18" t="s">
        <v>345</v>
      </c>
      <c r="L230" s="18" t="s">
        <v>149</v>
      </c>
      <c r="M230" s="16" t="s">
        <v>148</v>
      </c>
      <c r="N230" s="18"/>
    </row>
    <row r="231" spans="1:14">
      <c r="A231" s="24">
        <v>46203</v>
      </c>
      <c r="B231" s="5" t="s">
        <v>322</v>
      </c>
      <c r="C231" s="5" t="s">
        <v>179</v>
      </c>
      <c r="D231" s="5" t="s">
        <v>3</v>
      </c>
      <c r="E231" s="5" t="s">
        <v>3</v>
      </c>
      <c r="F231" s="5" t="s">
        <v>364</v>
      </c>
      <c r="G231" s="5" t="s">
        <v>231</v>
      </c>
      <c r="H231" s="5"/>
      <c r="I231" s="5" t="s">
        <v>40</v>
      </c>
      <c r="J231" s="7">
        <v>1</v>
      </c>
      <c r="K231" s="5" t="s">
        <v>345</v>
      </c>
      <c r="L231" s="5" t="s">
        <v>149</v>
      </c>
      <c r="M231" s="16" t="s">
        <v>148</v>
      </c>
      <c r="N231" s="5"/>
    </row>
    <row r="232" spans="1:14">
      <c r="A232" s="25">
        <v>46203</v>
      </c>
      <c r="B232" s="18" t="s">
        <v>322</v>
      </c>
      <c r="C232" s="18" t="s">
        <v>179</v>
      </c>
      <c r="D232" s="18" t="s">
        <v>3</v>
      </c>
      <c r="E232" s="18" t="s">
        <v>3</v>
      </c>
      <c r="F232" s="18" t="s">
        <v>364</v>
      </c>
      <c r="G232" s="18" t="s">
        <v>222</v>
      </c>
      <c r="H232" s="18"/>
      <c r="I232" s="18" t="s">
        <v>40</v>
      </c>
      <c r="J232" s="19">
        <v>2</v>
      </c>
      <c r="K232" s="18" t="s">
        <v>345</v>
      </c>
      <c r="L232" s="18" t="s">
        <v>149</v>
      </c>
      <c r="M232" s="16" t="s">
        <v>148</v>
      </c>
      <c r="N232" s="18"/>
    </row>
    <row r="233" spans="1:14">
      <c r="A233" s="24">
        <v>46203</v>
      </c>
      <c r="B233" s="5" t="s">
        <v>322</v>
      </c>
      <c r="C233" s="5" t="s">
        <v>179</v>
      </c>
      <c r="D233" s="5" t="s">
        <v>6</v>
      </c>
      <c r="E233" s="5" t="s">
        <v>165</v>
      </c>
      <c r="F233" s="5" t="s">
        <v>384</v>
      </c>
      <c r="G233" s="5" t="s">
        <v>244</v>
      </c>
      <c r="H233" s="5"/>
      <c r="I233" s="5" t="s">
        <v>40</v>
      </c>
      <c r="J233" s="7">
        <v>3</v>
      </c>
      <c r="K233" s="5" t="s">
        <v>147</v>
      </c>
      <c r="L233" s="5" t="s">
        <v>147</v>
      </c>
      <c r="M233" s="16" t="s">
        <v>148</v>
      </c>
      <c r="N233" s="5"/>
    </row>
    <row r="234" spans="1:14">
      <c r="A234" s="25">
        <v>46204</v>
      </c>
      <c r="B234" s="18" t="s">
        <v>322</v>
      </c>
      <c r="C234" s="18" t="s">
        <v>180</v>
      </c>
      <c r="D234" s="18" t="s">
        <v>3</v>
      </c>
      <c r="E234" s="18" t="s">
        <v>3</v>
      </c>
      <c r="F234" s="18" t="s">
        <v>348</v>
      </c>
      <c r="G234" s="18" t="s">
        <v>218</v>
      </c>
      <c r="H234" s="18"/>
      <c r="I234" s="18" t="s">
        <v>219</v>
      </c>
      <c r="J234" s="19">
        <v>5</v>
      </c>
      <c r="K234" s="18" t="s">
        <v>345</v>
      </c>
      <c r="L234" s="18" t="s">
        <v>149</v>
      </c>
      <c r="M234" s="16" t="s">
        <v>148</v>
      </c>
      <c r="N234" s="18"/>
    </row>
    <row r="235" spans="1:14">
      <c r="A235" s="24">
        <v>46205</v>
      </c>
      <c r="B235" s="5" t="s">
        <v>322</v>
      </c>
      <c r="C235" s="5" t="s">
        <v>180</v>
      </c>
      <c r="D235" s="5" t="s">
        <v>3</v>
      </c>
      <c r="E235" s="5" t="s">
        <v>3</v>
      </c>
      <c r="F235" s="5" t="s">
        <v>355</v>
      </c>
      <c r="G235" s="5" t="s">
        <v>188</v>
      </c>
      <c r="H235" s="5"/>
      <c r="I235" s="5" t="s">
        <v>216</v>
      </c>
      <c r="J235" s="7">
        <v>1</v>
      </c>
      <c r="K235" s="5" t="s">
        <v>153</v>
      </c>
      <c r="L235" s="5" t="s">
        <v>153</v>
      </c>
      <c r="M235" s="17" t="s">
        <v>153</v>
      </c>
      <c r="N235" s="5"/>
    </row>
    <row r="236" spans="1:14">
      <c r="A236" s="25">
        <v>46205</v>
      </c>
      <c r="B236" s="18" t="s">
        <v>322</v>
      </c>
      <c r="C236" s="18" t="s">
        <v>180</v>
      </c>
      <c r="D236" s="18" t="s">
        <v>3</v>
      </c>
      <c r="E236" s="18" t="s">
        <v>3</v>
      </c>
      <c r="F236" s="18" t="s">
        <v>365</v>
      </c>
      <c r="G236" s="18" t="s">
        <v>231</v>
      </c>
      <c r="H236" s="18"/>
      <c r="I236" s="18" t="s">
        <v>40</v>
      </c>
      <c r="J236" s="19">
        <v>1</v>
      </c>
      <c r="K236" s="18" t="s">
        <v>345</v>
      </c>
      <c r="L236" s="18" t="s">
        <v>149</v>
      </c>
      <c r="M236" s="16" t="s">
        <v>148</v>
      </c>
      <c r="N236" s="18"/>
    </row>
    <row r="237" spans="1:14">
      <c r="A237" s="24">
        <v>46206</v>
      </c>
      <c r="B237" s="5" t="s">
        <v>322</v>
      </c>
      <c r="C237" s="5" t="s">
        <v>180</v>
      </c>
      <c r="D237" s="5" t="s">
        <v>3</v>
      </c>
      <c r="E237" s="5" t="s">
        <v>3</v>
      </c>
      <c r="F237" s="5" t="s">
        <v>355</v>
      </c>
      <c r="G237" s="5" t="s">
        <v>243</v>
      </c>
      <c r="H237" s="5"/>
      <c r="I237" s="5" t="s">
        <v>216</v>
      </c>
      <c r="J237" s="7">
        <v>1</v>
      </c>
      <c r="K237" s="5" t="s">
        <v>345</v>
      </c>
      <c r="L237" s="5" t="s">
        <v>149</v>
      </c>
      <c r="M237" s="16" t="s">
        <v>148</v>
      </c>
      <c r="N237" s="5"/>
    </row>
    <row r="238" spans="1:14">
      <c r="A238" s="25">
        <v>46206</v>
      </c>
      <c r="B238" s="18" t="s">
        <v>322</v>
      </c>
      <c r="C238" s="18" t="s">
        <v>180</v>
      </c>
      <c r="D238" s="18" t="s">
        <v>3</v>
      </c>
      <c r="E238" s="18" t="s">
        <v>3</v>
      </c>
      <c r="F238" s="18" t="s">
        <v>366</v>
      </c>
      <c r="G238" s="18" t="s">
        <v>256</v>
      </c>
      <c r="H238" s="18"/>
      <c r="I238" s="18" t="s">
        <v>257</v>
      </c>
      <c r="J238" s="19">
        <v>1</v>
      </c>
      <c r="K238" s="18" t="s">
        <v>345</v>
      </c>
      <c r="L238" s="18" t="s">
        <v>149</v>
      </c>
      <c r="M238" s="16" t="s">
        <v>148</v>
      </c>
      <c r="N238" s="18"/>
    </row>
    <row r="239" spans="1:14">
      <c r="A239" s="24">
        <v>46206</v>
      </c>
      <c r="B239" s="5" t="s">
        <v>322</v>
      </c>
      <c r="C239" s="5" t="s">
        <v>180</v>
      </c>
      <c r="D239" s="5" t="s">
        <v>3</v>
      </c>
      <c r="E239" s="5" t="s">
        <v>3</v>
      </c>
      <c r="F239" s="5" t="s">
        <v>367</v>
      </c>
      <c r="G239" s="5" t="s">
        <v>241</v>
      </c>
      <c r="H239" s="5"/>
      <c r="I239" s="5" t="s">
        <v>47</v>
      </c>
      <c r="J239" s="7">
        <v>2</v>
      </c>
      <c r="K239" s="5" t="s">
        <v>345</v>
      </c>
      <c r="L239" s="5" t="s">
        <v>149</v>
      </c>
      <c r="M239" s="16" t="s">
        <v>148</v>
      </c>
      <c r="N239" s="5"/>
    </row>
    <row r="240" spans="1:14">
      <c r="A240" s="25">
        <v>46206</v>
      </c>
      <c r="B240" s="18" t="s">
        <v>322</v>
      </c>
      <c r="C240" s="18" t="s">
        <v>180</v>
      </c>
      <c r="D240" s="18" t="s">
        <v>3</v>
      </c>
      <c r="E240" s="18" t="s">
        <v>3</v>
      </c>
      <c r="F240" s="18" t="s">
        <v>367</v>
      </c>
      <c r="G240" s="18" t="s">
        <v>247</v>
      </c>
      <c r="H240" s="18"/>
      <c r="I240" s="18" t="s">
        <v>47</v>
      </c>
      <c r="J240" s="19">
        <v>2</v>
      </c>
      <c r="K240" s="18" t="s">
        <v>345</v>
      </c>
      <c r="L240" s="18" t="s">
        <v>149</v>
      </c>
      <c r="M240" s="16" t="s">
        <v>148</v>
      </c>
      <c r="N240" s="18"/>
    </row>
    <row r="241" spans="1:14">
      <c r="A241" s="24">
        <v>46206</v>
      </c>
      <c r="B241" s="5" t="s">
        <v>322</v>
      </c>
      <c r="C241" s="5" t="s">
        <v>180</v>
      </c>
      <c r="D241" s="5" t="s">
        <v>3</v>
      </c>
      <c r="E241" s="5" t="s">
        <v>3</v>
      </c>
      <c r="F241" s="5" t="s">
        <v>350</v>
      </c>
      <c r="G241" s="5" t="s">
        <v>188</v>
      </c>
      <c r="H241" s="5"/>
      <c r="I241" s="5" t="s">
        <v>216</v>
      </c>
      <c r="J241" s="7">
        <v>1</v>
      </c>
      <c r="K241" s="5" t="s">
        <v>345</v>
      </c>
      <c r="L241" s="5" t="s">
        <v>149</v>
      </c>
      <c r="M241" s="16" t="s">
        <v>148</v>
      </c>
      <c r="N241" s="5"/>
    </row>
    <row r="242" spans="1:14">
      <c r="A242" s="25">
        <v>46206</v>
      </c>
      <c r="B242" s="18" t="s">
        <v>322</v>
      </c>
      <c r="C242" s="18" t="s">
        <v>180</v>
      </c>
      <c r="D242" s="18" t="s">
        <v>3</v>
      </c>
      <c r="E242" s="18" t="s">
        <v>3</v>
      </c>
      <c r="F242" s="18" t="s">
        <v>368</v>
      </c>
      <c r="G242" s="18" t="s">
        <v>223</v>
      </c>
      <c r="H242" s="18"/>
      <c r="I242" s="18" t="s">
        <v>40</v>
      </c>
      <c r="J242" s="19">
        <v>2</v>
      </c>
      <c r="K242" s="18" t="s">
        <v>345</v>
      </c>
      <c r="L242" s="18" t="s">
        <v>149</v>
      </c>
      <c r="M242" s="16" t="s">
        <v>148</v>
      </c>
      <c r="N242" s="18"/>
    </row>
    <row r="243" spans="1:14">
      <c r="A243" s="24">
        <v>46209</v>
      </c>
      <c r="B243" s="5" t="s">
        <v>323</v>
      </c>
      <c r="C243" s="5" t="s">
        <v>180</v>
      </c>
      <c r="D243" s="5" t="s">
        <v>3</v>
      </c>
      <c r="E243" s="5" t="s">
        <v>158</v>
      </c>
      <c r="F243" s="5" t="s">
        <v>369</v>
      </c>
      <c r="G243" s="5" t="s">
        <v>188</v>
      </c>
      <c r="H243" s="5"/>
      <c r="I243" s="5" t="s">
        <v>216</v>
      </c>
      <c r="J243" s="7">
        <v>1</v>
      </c>
      <c r="K243" s="5" t="s">
        <v>345</v>
      </c>
      <c r="L243" s="5" t="s">
        <v>149</v>
      </c>
      <c r="M243" s="16" t="s">
        <v>148</v>
      </c>
      <c r="N243" s="5"/>
    </row>
    <row r="244" spans="1:14">
      <c r="A244" s="25">
        <v>46209</v>
      </c>
      <c r="B244" s="18" t="s">
        <v>323</v>
      </c>
      <c r="C244" s="18" t="s">
        <v>180</v>
      </c>
      <c r="D244" s="18" t="s">
        <v>3</v>
      </c>
      <c r="E244" s="18" t="s">
        <v>158</v>
      </c>
      <c r="F244" s="18" t="s">
        <v>369</v>
      </c>
      <c r="G244" s="18" t="s">
        <v>244</v>
      </c>
      <c r="H244" s="18"/>
      <c r="I244" s="18" t="s">
        <v>40</v>
      </c>
      <c r="J244" s="19">
        <v>1</v>
      </c>
      <c r="K244" s="18" t="s">
        <v>345</v>
      </c>
      <c r="L244" s="18" t="s">
        <v>149</v>
      </c>
      <c r="M244" s="16" t="s">
        <v>148</v>
      </c>
      <c r="N244" s="18"/>
    </row>
    <row r="245" spans="1:14">
      <c r="A245" s="24">
        <v>46209</v>
      </c>
      <c r="B245" s="5" t="s">
        <v>323</v>
      </c>
      <c r="C245" s="5" t="s">
        <v>180</v>
      </c>
      <c r="D245" s="5" t="s">
        <v>3</v>
      </c>
      <c r="E245" s="5" t="s">
        <v>158</v>
      </c>
      <c r="F245" s="5" t="s">
        <v>369</v>
      </c>
      <c r="G245" s="5" t="s">
        <v>217</v>
      </c>
      <c r="H245" s="5"/>
      <c r="I245" s="5" t="s">
        <v>216</v>
      </c>
      <c r="J245" s="7">
        <v>3</v>
      </c>
      <c r="K245" s="5" t="s">
        <v>345</v>
      </c>
      <c r="L245" s="5" t="s">
        <v>149</v>
      </c>
      <c r="M245" s="16" t="s">
        <v>148</v>
      </c>
      <c r="N245" s="5"/>
    </row>
    <row r="246" spans="1:14">
      <c r="A246" s="25">
        <v>46209</v>
      </c>
      <c r="B246" s="18" t="s">
        <v>323</v>
      </c>
      <c r="C246" s="18" t="s">
        <v>180</v>
      </c>
      <c r="D246" s="18" t="s">
        <v>3</v>
      </c>
      <c r="E246" s="18" t="s">
        <v>158</v>
      </c>
      <c r="F246" s="18" t="s">
        <v>369</v>
      </c>
      <c r="G246" s="18" t="s">
        <v>240</v>
      </c>
      <c r="H246" s="18"/>
      <c r="I246" s="18" t="s">
        <v>216</v>
      </c>
      <c r="J246" s="19">
        <v>2</v>
      </c>
      <c r="K246" s="18" t="s">
        <v>345</v>
      </c>
      <c r="L246" s="18" t="s">
        <v>149</v>
      </c>
      <c r="M246" s="16" t="s">
        <v>148</v>
      </c>
      <c r="N246" s="18"/>
    </row>
    <row r="247" spans="1:14">
      <c r="A247" s="24">
        <v>46209</v>
      </c>
      <c r="B247" s="5" t="s">
        <v>323</v>
      </c>
      <c r="C247" s="5" t="s">
        <v>180</v>
      </c>
      <c r="D247" s="5" t="s">
        <v>3</v>
      </c>
      <c r="E247" s="5" t="s">
        <v>158</v>
      </c>
      <c r="F247" s="5" t="s">
        <v>369</v>
      </c>
      <c r="G247" s="5" t="s">
        <v>227</v>
      </c>
      <c r="H247" s="5"/>
      <c r="I247" s="5" t="s">
        <v>216</v>
      </c>
      <c r="J247" s="7">
        <v>1</v>
      </c>
      <c r="K247" s="5" t="s">
        <v>345</v>
      </c>
      <c r="L247" s="5" t="s">
        <v>149</v>
      </c>
      <c r="M247" s="16" t="s">
        <v>148</v>
      </c>
      <c r="N247" s="5"/>
    </row>
    <row r="248" spans="1:14">
      <c r="A248" s="25">
        <v>46209</v>
      </c>
      <c r="B248" s="18" t="s">
        <v>323</v>
      </c>
      <c r="C248" s="18" t="s">
        <v>180</v>
      </c>
      <c r="D248" s="18" t="s">
        <v>3</v>
      </c>
      <c r="E248" s="18" t="s">
        <v>159</v>
      </c>
      <c r="F248" s="18" t="s">
        <v>370</v>
      </c>
      <c r="G248" s="18" t="s">
        <v>233</v>
      </c>
      <c r="H248" s="18"/>
      <c r="I248" s="18" t="s">
        <v>40</v>
      </c>
      <c r="J248" s="19">
        <v>2</v>
      </c>
      <c r="K248" s="18" t="s">
        <v>345</v>
      </c>
      <c r="L248" s="18" t="s">
        <v>149</v>
      </c>
      <c r="M248" s="16" t="s">
        <v>148</v>
      </c>
      <c r="N248" s="18"/>
    </row>
    <row r="249" spans="1:14">
      <c r="A249" s="24">
        <v>46209</v>
      </c>
      <c r="B249" s="5" t="s">
        <v>323</v>
      </c>
      <c r="C249" s="5" t="s">
        <v>180</v>
      </c>
      <c r="D249" s="5" t="s">
        <v>3</v>
      </c>
      <c r="E249" s="5" t="s">
        <v>3</v>
      </c>
      <c r="F249" s="5" t="s">
        <v>348</v>
      </c>
      <c r="G249" s="5" t="s">
        <v>193</v>
      </c>
      <c r="H249" s="5"/>
      <c r="I249" s="5" t="s">
        <v>216</v>
      </c>
      <c r="J249" s="7">
        <v>2</v>
      </c>
      <c r="K249" s="5" t="s">
        <v>345</v>
      </c>
      <c r="L249" s="5" t="s">
        <v>149</v>
      </c>
      <c r="M249" s="16" t="s">
        <v>148</v>
      </c>
      <c r="N249" s="5"/>
    </row>
    <row r="250" spans="1:14">
      <c r="A250" s="25">
        <v>46209</v>
      </c>
      <c r="B250" s="18" t="s">
        <v>323</v>
      </c>
      <c r="C250" s="18" t="s">
        <v>180</v>
      </c>
      <c r="D250" s="18" t="s">
        <v>6</v>
      </c>
      <c r="E250" s="18" t="s">
        <v>163</v>
      </c>
      <c r="F250" s="18" t="s">
        <v>384</v>
      </c>
      <c r="G250" s="18" t="s">
        <v>39</v>
      </c>
      <c r="H250" s="18"/>
      <c r="I250" s="18" t="s">
        <v>40</v>
      </c>
      <c r="J250" s="19">
        <v>200</v>
      </c>
      <c r="K250" s="18" t="s">
        <v>147</v>
      </c>
      <c r="L250" s="18" t="s">
        <v>147</v>
      </c>
      <c r="M250" s="16" t="s">
        <v>148</v>
      </c>
      <c r="N250" s="18"/>
    </row>
    <row r="251" spans="1:14">
      <c r="A251" s="24">
        <v>46209</v>
      </c>
      <c r="B251" s="5" t="s">
        <v>323</v>
      </c>
      <c r="C251" s="5" t="s">
        <v>180</v>
      </c>
      <c r="D251" s="5" t="s">
        <v>6</v>
      </c>
      <c r="E251" s="5" t="s">
        <v>163</v>
      </c>
      <c r="F251" s="5" t="s">
        <v>384</v>
      </c>
      <c r="G251" s="5" t="s">
        <v>236</v>
      </c>
      <c r="H251" s="5"/>
      <c r="I251" s="5" t="s">
        <v>40</v>
      </c>
      <c r="J251" s="7">
        <v>1</v>
      </c>
      <c r="K251" s="5" t="s">
        <v>153</v>
      </c>
      <c r="L251" s="5" t="s">
        <v>153</v>
      </c>
      <c r="M251" s="17" t="s">
        <v>153</v>
      </c>
      <c r="N251" s="5"/>
    </row>
    <row r="252" spans="1:14">
      <c r="A252" s="25">
        <v>46209</v>
      </c>
      <c r="B252" s="18" t="s">
        <v>323</v>
      </c>
      <c r="C252" s="18" t="s">
        <v>180</v>
      </c>
      <c r="D252" s="18" t="s">
        <v>6</v>
      </c>
      <c r="E252" s="18" t="s">
        <v>163</v>
      </c>
      <c r="F252" s="18" t="s">
        <v>384</v>
      </c>
      <c r="G252" s="18" t="s">
        <v>235</v>
      </c>
      <c r="H252" s="18"/>
      <c r="I252" s="18" t="s">
        <v>47</v>
      </c>
      <c r="J252" s="19">
        <v>1</v>
      </c>
      <c r="K252" s="18" t="s">
        <v>147</v>
      </c>
      <c r="L252" s="18" t="s">
        <v>147</v>
      </c>
      <c r="M252" s="16" t="s">
        <v>148</v>
      </c>
      <c r="N252" s="18"/>
    </row>
    <row r="253" spans="1:14">
      <c r="A253" s="24">
        <v>46209</v>
      </c>
      <c r="B253" s="5" t="s">
        <v>323</v>
      </c>
      <c r="C253" s="5" t="s">
        <v>180</v>
      </c>
      <c r="D253" s="5" t="s">
        <v>6</v>
      </c>
      <c r="E253" s="5" t="s">
        <v>163</v>
      </c>
      <c r="F253" s="5" t="s">
        <v>384</v>
      </c>
      <c r="G253" s="5" t="s">
        <v>238</v>
      </c>
      <c r="H253" s="5"/>
      <c r="I253" s="5" t="s">
        <v>47</v>
      </c>
      <c r="J253" s="7">
        <v>1</v>
      </c>
      <c r="K253" s="5" t="s">
        <v>147</v>
      </c>
      <c r="L253" s="5" t="s">
        <v>147</v>
      </c>
      <c r="M253" s="16" t="s">
        <v>148</v>
      </c>
      <c r="N253" s="5"/>
    </row>
    <row r="254" spans="1:14">
      <c r="A254" s="25">
        <v>46209</v>
      </c>
      <c r="B254" s="18" t="s">
        <v>323</v>
      </c>
      <c r="C254" s="18" t="s">
        <v>180</v>
      </c>
      <c r="D254" s="18" t="s">
        <v>6</v>
      </c>
      <c r="E254" s="18" t="s">
        <v>163</v>
      </c>
      <c r="F254" s="18" t="s">
        <v>384</v>
      </c>
      <c r="G254" s="18" t="s">
        <v>193</v>
      </c>
      <c r="H254" s="18"/>
      <c r="I254" s="18" t="s">
        <v>216</v>
      </c>
      <c r="J254" s="19">
        <v>2</v>
      </c>
      <c r="K254" s="18" t="s">
        <v>147</v>
      </c>
      <c r="L254" s="18" t="s">
        <v>147</v>
      </c>
      <c r="M254" s="16" t="s">
        <v>148</v>
      </c>
      <c r="N254" s="18"/>
    </row>
    <row r="255" spans="1:14">
      <c r="A255" s="24">
        <v>46209</v>
      </c>
      <c r="B255" s="5" t="s">
        <v>323</v>
      </c>
      <c r="C255" s="5" t="s">
        <v>180</v>
      </c>
      <c r="D255" s="5" t="s">
        <v>6</v>
      </c>
      <c r="E255" s="5" t="s">
        <v>163</v>
      </c>
      <c r="F255" s="5" t="s">
        <v>384</v>
      </c>
      <c r="G255" s="5" t="s">
        <v>276</v>
      </c>
      <c r="H255" s="5"/>
      <c r="I255" s="5" t="s">
        <v>40</v>
      </c>
      <c r="J255" s="7">
        <v>1</v>
      </c>
      <c r="K255" s="5" t="s">
        <v>147</v>
      </c>
      <c r="L255" s="5" t="s">
        <v>147</v>
      </c>
      <c r="M255" s="16" t="s">
        <v>148</v>
      </c>
      <c r="N255" s="5"/>
    </row>
    <row r="256" spans="1:14">
      <c r="A256" s="25">
        <v>46209</v>
      </c>
      <c r="B256" s="18" t="s">
        <v>323</v>
      </c>
      <c r="C256" s="18" t="s">
        <v>180</v>
      </c>
      <c r="D256" s="18" t="s">
        <v>6</v>
      </c>
      <c r="E256" s="18" t="s">
        <v>163</v>
      </c>
      <c r="F256" s="18" t="s">
        <v>384</v>
      </c>
      <c r="G256" s="18" t="s">
        <v>230</v>
      </c>
      <c r="H256" s="18"/>
      <c r="I256" s="18" t="s">
        <v>47</v>
      </c>
      <c r="J256" s="19">
        <v>1</v>
      </c>
      <c r="K256" s="18" t="s">
        <v>147</v>
      </c>
      <c r="L256" s="18" t="s">
        <v>147</v>
      </c>
      <c r="M256" s="16" t="s">
        <v>148</v>
      </c>
      <c r="N256" s="18"/>
    </row>
    <row r="257" spans="1:14">
      <c r="A257" s="24">
        <v>46209</v>
      </c>
      <c r="B257" s="5" t="s">
        <v>323</v>
      </c>
      <c r="C257" s="5" t="s">
        <v>180</v>
      </c>
      <c r="D257" s="5" t="s">
        <v>6</v>
      </c>
      <c r="E257" s="5" t="s">
        <v>164</v>
      </c>
      <c r="F257" s="5" t="s">
        <v>384</v>
      </c>
      <c r="G257" s="5" t="s">
        <v>259</v>
      </c>
      <c r="H257" s="5"/>
      <c r="I257" s="5" t="s">
        <v>40</v>
      </c>
      <c r="J257" s="7">
        <v>1</v>
      </c>
      <c r="K257" s="5" t="s">
        <v>147</v>
      </c>
      <c r="L257" s="5" t="s">
        <v>147</v>
      </c>
      <c r="M257" s="16" t="s">
        <v>148</v>
      </c>
      <c r="N257" s="5"/>
    </row>
    <row r="258" spans="1:14">
      <c r="A258" s="25">
        <v>46209</v>
      </c>
      <c r="B258" s="18" t="s">
        <v>323</v>
      </c>
      <c r="C258" s="18" t="s">
        <v>180</v>
      </c>
      <c r="D258" s="18" t="s">
        <v>6</v>
      </c>
      <c r="E258" s="18" t="s">
        <v>164</v>
      </c>
      <c r="F258" s="18" t="s">
        <v>384</v>
      </c>
      <c r="G258" s="18" t="s">
        <v>233</v>
      </c>
      <c r="H258" s="18"/>
      <c r="I258" s="18" t="s">
        <v>40</v>
      </c>
      <c r="J258" s="19">
        <v>1</v>
      </c>
      <c r="K258" s="18" t="s">
        <v>147</v>
      </c>
      <c r="L258" s="18" t="s">
        <v>147</v>
      </c>
      <c r="M258" s="16" t="s">
        <v>148</v>
      </c>
      <c r="N258" s="18"/>
    </row>
    <row r="259" spans="1:14">
      <c r="A259" s="24">
        <v>46209</v>
      </c>
      <c r="B259" s="5" t="s">
        <v>323</v>
      </c>
      <c r="C259" s="5" t="s">
        <v>180</v>
      </c>
      <c r="D259" s="5" t="s">
        <v>6</v>
      </c>
      <c r="E259" s="5" t="s">
        <v>164</v>
      </c>
      <c r="F259" s="5" t="s">
        <v>384</v>
      </c>
      <c r="G259" s="5" t="s">
        <v>44</v>
      </c>
      <c r="H259" s="5"/>
      <c r="I259" s="5" t="s">
        <v>40</v>
      </c>
      <c r="J259" s="7">
        <v>100</v>
      </c>
      <c r="K259" s="5" t="s">
        <v>147</v>
      </c>
      <c r="L259" s="5" t="s">
        <v>147</v>
      </c>
      <c r="M259" s="16" t="s">
        <v>148</v>
      </c>
      <c r="N259" s="5"/>
    </row>
    <row r="260" spans="1:14">
      <c r="A260" s="25">
        <v>46209</v>
      </c>
      <c r="B260" s="18" t="s">
        <v>323</v>
      </c>
      <c r="C260" s="18" t="s">
        <v>180</v>
      </c>
      <c r="D260" s="18" t="s">
        <v>6</v>
      </c>
      <c r="E260" s="18" t="s">
        <v>164</v>
      </c>
      <c r="F260" s="18" t="s">
        <v>384</v>
      </c>
      <c r="G260" s="18" t="s">
        <v>48</v>
      </c>
      <c r="H260" s="18"/>
      <c r="I260" s="18" t="s">
        <v>47</v>
      </c>
      <c r="J260" s="19">
        <v>10</v>
      </c>
      <c r="K260" s="18" t="s">
        <v>147</v>
      </c>
      <c r="L260" s="18" t="s">
        <v>147</v>
      </c>
      <c r="M260" s="16" t="s">
        <v>148</v>
      </c>
      <c r="N260" s="18"/>
    </row>
    <row r="261" spans="1:14">
      <c r="A261" s="24">
        <v>46209</v>
      </c>
      <c r="B261" s="5" t="s">
        <v>323</v>
      </c>
      <c r="C261" s="5" t="s">
        <v>180</v>
      </c>
      <c r="D261" s="5" t="s">
        <v>6</v>
      </c>
      <c r="E261" s="5" t="s">
        <v>165</v>
      </c>
      <c r="F261" s="5" t="s">
        <v>384</v>
      </c>
      <c r="G261" s="5" t="s">
        <v>226</v>
      </c>
      <c r="H261" s="5"/>
      <c r="I261" s="5" t="s">
        <v>216</v>
      </c>
      <c r="J261" s="7">
        <v>50</v>
      </c>
      <c r="K261" s="5" t="s">
        <v>147</v>
      </c>
      <c r="L261" s="5" t="s">
        <v>147</v>
      </c>
      <c r="M261" s="16" t="s">
        <v>148</v>
      </c>
      <c r="N261" s="5"/>
    </row>
    <row r="262" spans="1:14">
      <c r="A262" s="25">
        <v>46209</v>
      </c>
      <c r="B262" s="18" t="s">
        <v>323</v>
      </c>
      <c r="C262" s="18" t="s">
        <v>180</v>
      </c>
      <c r="D262" s="18" t="s">
        <v>6</v>
      </c>
      <c r="E262" s="18" t="s">
        <v>165</v>
      </c>
      <c r="F262" s="18" t="s">
        <v>384</v>
      </c>
      <c r="G262" s="18" t="s">
        <v>41</v>
      </c>
      <c r="H262" s="18"/>
      <c r="I262" s="18" t="s">
        <v>40</v>
      </c>
      <c r="J262" s="19">
        <v>200</v>
      </c>
      <c r="K262" s="18" t="s">
        <v>147</v>
      </c>
      <c r="L262" s="18" t="s">
        <v>147</v>
      </c>
      <c r="M262" s="16" t="s">
        <v>148</v>
      </c>
      <c r="N262" s="18"/>
    </row>
    <row r="263" spans="1:14">
      <c r="A263" s="24">
        <v>46209</v>
      </c>
      <c r="B263" s="5" t="s">
        <v>323</v>
      </c>
      <c r="C263" s="5" t="s">
        <v>180</v>
      </c>
      <c r="D263" s="5" t="s">
        <v>6</v>
      </c>
      <c r="E263" s="5" t="s">
        <v>165</v>
      </c>
      <c r="F263" s="5" t="s">
        <v>384</v>
      </c>
      <c r="G263" s="5" t="s">
        <v>43</v>
      </c>
      <c r="H263" s="5"/>
      <c r="I263" s="5" t="s">
        <v>40</v>
      </c>
      <c r="J263" s="7">
        <v>200</v>
      </c>
      <c r="K263" s="5" t="s">
        <v>147</v>
      </c>
      <c r="L263" s="5" t="s">
        <v>147</v>
      </c>
      <c r="M263" s="16" t="s">
        <v>148</v>
      </c>
      <c r="N263" s="5"/>
    </row>
    <row r="264" spans="1:14">
      <c r="A264" s="25">
        <v>46209</v>
      </c>
      <c r="B264" s="18" t="s">
        <v>323</v>
      </c>
      <c r="C264" s="18" t="s">
        <v>180</v>
      </c>
      <c r="D264" s="18" t="s">
        <v>6</v>
      </c>
      <c r="E264" s="18" t="s">
        <v>165</v>
      </c>
      <c r="F264" s="18" t="s">
        <v>384</v>
      </c>
      <c r="G264" s="18" t="s">
        <v>42</v>
      </c>
      <c r="H264" s="18"/>
      <c r="I264" s="18" t="s">
        <v>40</v>
      </c>
      <c r="J264" s="19">
        <v>200</v>
      </c>
      <c r="K264" s="18" t="s">
        <v>147</v>
      </c>
      <c r="L264" s="18" t="s">
        <v>147</v>
      </c>
      <c r="M264" s="16" t="s">
        <v>148</v>
      </c>
      <c r="N264" s="18"/>
    </row>
    <row r="265" spans="1:14">
      <c r="A265" s="24">
        <v>46209</v>
      </c>
      <c r="B265" s="5" t="s">
        <v>323</v>
      </c>
      <c r="C265" s="5" t="s">
        <v>180</v>
      </c>
      <c r="D265" s="5" t="s">
        <v>6</v>
      </c>
      <c r="E265" s="5" t="s">
        <v>165</v>
      </c>
      <c r="F265" s="5" t="s">
        <v>384</v>
      </c>
      <c r="G265" s="5" t="s">
        <v>39</v>
      </c>
      <c r="H265" s="5"/>
      <c r="I265" s="5" t="s">
        <v>40</v>
      </c>
      <c r="J265" s="7">
        <v>300</v>
      </c>
      <c r="K265" s="5" t="s">
        <v>147</v>
      </c>
      <c r="L265" s="5" t="s">
        <v>147</v>
      </c>
      <c r="M265" s="16" t="s">
        <v>148</v>
      </c>
      <c r="N265" s="5"/>
    </row>
    <row r="266" spans="1:14">
      <c r="A266" s="25">
        <v>46209</v>
      </c>
      <c r="B266" s="18" t="s">
        <v>323</v>
      </c>
      <c r="C266" s="18" t="s">
        <v>180</v>
      </c>
      <c r="D266" s="18" t="s">
        <v>6</v>
      </c>
      <c r="E266" s="18" t="s">
        <v>165</v>
      </c>
      <c r="F266" s="18" t="s">
        <v>384</v>
      </c>
      <c r="G266" s="18" t="s">
        <v>48</v>
      </c>
      <c r="H266" s="18"/>
      <c r="I266" s="18" t="s">
        <v>47</v>
      </c>
      <c r="J266" s="19">
        <v>50</v>
      </c>
      <c r="K266" s="18" t="s">
        <v>153</v>
      </c>
      <c r="L266" s="18" t="s">
        <v>153</v>
      </c>
      <c r="M266" s="17" t="s">
        <v>153</v>
      </c>
      <c r="N266" s="18"/>
    </row>
    <row r="267" spans="1:14">
      <c r="A267" s="24">
        <v>46209</v>
      </c>
      <c r="B267" s="5" t="s">
        <v>323</v>
      </c>
      <c r="C267" s="5" t="s">
        <v>180</v>
      </c>
      <c r="D267" s="5" t="s">
        <v>6</v>
      </c>
      <c r="E267" s="5" t="s">
        <v>165</v>
      </c>
      <c r="F267" s="5" t="s">
        <v>384</v>
      </c>
      <c r="G267" s="5" t="s">
        <v>46</v>
      </c>
      <c r="H267" s="5"/>
      <c r="I267" s="5" t="s">
        <v>47</v>
      </c>
      <c r="J267" s="7">
        <v>30</v>
      </c>
      <c r="K267" s="5" t="s">
        <v>153</v>
      </c>
      <c r="L267" s="5" t="s">
        <v>153</v>
      </c>
      <c r="M267" s="17" t="s">
        <v>153</v>
      </c>
      <c r="N267" s="5"/>
    </row>
    <row r="268" spans="1:14">
      <c r="A268" s="25">
        <v>46209</v>
      </c>
      <c r="B268" s="18" t="s">
        <v>323</v>
      </c>
      <c r="C268" s="18" t="s">
        <v>180</v>
      </c>
      <c r="D268" s="18" t="s">
        <v>6</v>
      </c>
      <c r="E268" s="18" t="s">
        <v>165</v>
      </c>
      <c r="F268" s="18" t="s">
        <v>384</v>
      </c>
      <c r="G268" s="18" t="s">
        <v>45</v>
      </c>
      <c r="H268" s="18"/>
      <c r="I268" s="18" t="s">
        <v>40</v>
      </c>
      <c r="J268" s="19">
        <v>150</v>
      </c>
      <c r="K268" s="18" t="s">
        <v>147</v>
      </c>
      <c r="L268" s="18" t="s">
        <v>147</v>
      </c>
      <c r="M268" s="16" t="s">
        <v>148</v>
      </c>
      <c r="N268" s="18"/>
    </row>
    <row r="269" spans="1:14">
      <c r="A269" s="24">
        <v>46209</v>
      </c>
      <c r="B269" s="5" t="s">
        <v>323</v>
      </c>
      <c r="C269" s="5" t="s">
        <v>180</v>
      </c>
      <c r="D269" s="5" t="s">
        <v>6</v>
      </c>
      <c r="E269" s="5" t="s">
        <v>165</v>
      </c>
      <c r="F269" s="5" t="s">
        <v>384</v>
      </c>
      <c r="G269" s="5" t="s">
        <v>274</v>
      </c>
      <c r="H269" s="5"/>
      <c r="I269" s="5" t="s">
        <v>257</v>
      </c>
      <c r="J269" s="7">
        <v>2</v>
      </c>
      <c r="K269" s="5" t="s">
        <v>147</v>
      </c>
      <c r="L269" s="5" t="s">
        <v>147</v>
      </c>
      <c r="M269" s="16" t="s">
        <v>148</v>
      </c>
      <c r="N269" s="5"/>
    </row>
    <row r="270" spans="1:14">
      <c r="A270" s="25">
        <v>46209</v>
      </c>
      <c r="B270" s="18" t="s">
        <v>323</v>
      </c>
      <c r="C270" s="18" t="s">
        <v>180</v>
      </c>
      <c r="D270" s="18" t="s">
        <v>6</v>
      </c>
      <c r="E270" s="18" t="s">
        <v>167</v>
      </c>
      <c r="F270" s="18" t="s">
        <v>384</v>
      </c>
      <c r="G270" s="18" t="s">
        <v>281</v>
      </c>
      <c r="H270" s="18"/>
      <c r="I270" s="18" t="s">
        <v>47</v>
      </c>
      <c r="J270" s="19">
        <v>1</v>
      </c>
      <c r="K270" s="18" t="s">
        <v>147</v>
      </c>
      <c r="L270" s="18" t="s">
        <v>147</v>
      </c>
      <c r="M270" s="16" t="s">
        <v>148</v>
      </c>
      <c r="N270" s="18"/>
    </row>
    <row r="271" spans="1:14">
      <c r="A271" s="24">
        <v>46209</v>
      </c>
      <c r="B271" s="5" t="s">
        <v>323</v>
      </c>
      <c r="C271" s="5" t="s">
        <v>180</v>
      </c>
      <c r="D271" s="5" t="s">
        <v>6</v>
      </c>
      <c r="E271" s="5" t="s">
        <v>167</v>
      </c>
      <c r="F271" s="5" t="s">
        <v>384</v>
      </c>
      <c r="G271" s="5" t="s">
        <v>235</v>
      </c>
      <c r="H271" s="5"/>
      <c r="I271" s="5" t="s">
        <v>47</v>
      </c>
      <c r="J271" s="7">
        <v>1</v>
      </c>
      <c r="K271" s="5" t="s">
        <v>147</v>
      </c>
      <c r="L271" s="5" t="s">
        <v>147</v>
      </c>
      <c r="M271" s="16" t="s">
        <v>148</v>
      </c>
      <c r="N271" s="5"/>
    </row>
    <row r="272" spans="1:14">
      <c r="A272" s="25">
        <v>46209</v>
      </c>
      <c r="B272" s="18" t="s">
        <v>323</v>
      </c>
      <c r="C272" s="18" t="s">
        <v>180</v>
      </c>
      <c r="D272" s="18" t="s">
        <v>6</v>
      </c>
      <c r="E272" s="18" t="s">
        <v>167</v>
      </c>
      <c r="F272" s="18" t="s">
        <v>384</v>
      </c>
      <c r="G272" s="18" t="s">
        <v>272</v>
      </c>
      <c r="H272" s="18"/>
      <c r="I272" s="18" t="s">
        <v>47</v>
      </c>
      <c r="J272" s="19">
        <v>1</v>
      </c>
      <c r="K272" s="18" t="s">
        <v>147</v>
      </c>
      <c r="L272" s="18" t="s">
        <v>147</v>
      </c>
      <c r="M272" s="16" t="s">
        <v>148</v>
      </c>
      <c r="N272" s="18"/>
    </row>
    <row r="273" spans="1:14">
      <c r="A273" s="24">
        <v>46209</v>
      </c>
      <c r="B273" s="5" t="s">
        <v>323</v>
      </c>
      <c r="C273" s="5" t="s">
        <v>180</v>
      </c>
      <c r="D273" s="5" t="s">
        <v>6</v>
      </c>
      <c r="E273" s="5" t="s">
        <v>167</v>
      </c>
      <c r="F273" s="5" t="s">
        <v>384</v>
      </c>
      <c r="G273" s="5" t="s">
        <v>271</v>
      </c>
      <c r="H273" s="5"/>
      <c r="I273" s="5" t="s">
        <v>47</v>
      </c>
      <c r="J273" s="7">
        <v>1</v>
      </c>
      <c r="K273" s="5" t="s">
        <v>147</v>
      </c>
      <c r="L273" s="5" t="s">
        <v>147</v>
      </c>
      <c r="M273" s="16" t="s">
        <v>148</v>
      </c>
      <c r="N273" s="5"/>
    </row>
    <row r="274" spans="1:14">
      <c r="A274" s="25">
        <v>46209</v>
      </c>
      <c r="B274" s="18" t="s">
        <v>323</v>
      </c>
      <c r="C274" s="18" t="s">
        <v>180</v>
      </c>
      <c r="D274" s="18" t="s">
        <v>6</v>
      </c>
      <c r="E274" s="18" t="s">
        <v>167</v>
      </c>
      <c r="F274" s="18" t="s">
        <v>384</v>
      </c>
      <c r="G274" s="18" t="s">
        <v>46</v>
      </c>
      <c r="H274" s="18"/>
      <c r="I274" s="18" t="s">
        <v>47</v>
      </c>
      <c r="J274" s="19">
        <v>30</v>
      </c>
      <c r="K274" s="18" t="s">
        <v>147</v>
      </c>
      <c r="L274" s="18" t="s">
        <v>147</v>
      </c>
      <c r="M274" s="16" t="s">
        <v>148</v>
      </c>
      <c r="N274" s="18"/>
    </row>
    <row r="275" spans="1:14">
      <c r="A275" s="24">
        <v>46209</v>
      </c>
      <c r="B275" s="5" t="s">
        <v>323</v>
      </c>
      <c r="C275" s="5" t="s">
        <v>180</v>
      </c>
      <c r="D275" s="5" t="s">
        <v>6</v>
      </c>
      <c r="E275" s="5" t="s">
        <v>167</v>
      </c>
      <c r="F275" s="5" t="s">
        <v>384</v>
      </c>
      <c r="G275" s="5" t="s">
        <v>193</v>
      </c>
      <c r="H275" s="5"/>
      <c r="I275" s="5" t="s">
        <v>216</v>
      </c>
      <c r="J275" s="7">
        <v>3</v>
      </c>
      <c r="K275" s="5" t="s">
        <v>147</v>
      </c>
      <c r="L275" s="5" t="s">
        <v>147</v>
      </c>
      <c r="M275" s="16" t="s">
        <v>148</v>
      </c>
      <c r="N275" s="5"/>
    </row>
    <row r="276" spans="1:14">
      <c r="A276" s="25">
        <v>46209</v>
      </c>
      <c r="B276" s="18" t="s">
        <v>323</v>
      </c>
      <c r="C276" s="18" t="s">
        <v>180</v>
      </c>
      <c r="D276" s="18" t="s">
        <v>6</v>
      </c>
      <c r="E276" s="18" t="s">
        <v>167</v>
      </c>
      <c r="F276" s="18" t="s">
        <v>384</v>
      </c>
      <c r="G276" s="18" t="s">
        <v>39</v>
      </c>
      <c r="H276" s="18"/>
      <c r="I276" s="18" t="s">
        <v>40</v>
      </c>
      <c r="J276" s="19">
        <v>500</v>
      </c>
      <c r="K276" s="18" t="s">
        <v>147</v>
      </c>
      <c r="L276" s="18" t="s">
        <v>147</v>
      </c>
      <c r="M276" s="16" t="s">
        <v>148</v>
      </c>
      <c r="N276" s="18"/>
    </row>
    <row r="277" spans="1:14">
      <c r="A277" s="24">
        <v>46209</v>
      </c>
      <c r="B277" s="5" t="s">
        <v>323</v>
      </c>
      <c r="C277" s="5" t="s">
        <v>180</v>
      </c>
      <c r="D277" s="5" t="s">
        <v>6</v>
      </c>
      <c r="E277" s="5" t="s">
        <v>167</v>
      </c>
      <c r="F277" s="5" t="s">
        <v>384</v>
      </c>
      <c r="G277" s="5" t="s">
        <v>186</v>
      </c>
      <c r="H277" s="5"/>
      <c r="I277" s="5" t="s">
        <v>40</v>
      </c>
      <c r="J277" s="7">
        <v>2</v>
      </c>
      <c r="K277" s="5" t="s">
        <v>153</v>
      </c>
      <c r="L277" s="5" t="s">
        <v>153</v>
      </c>
      <c r="M277" s="17" t="s">
        <v>153</v>
      </c>
      <c r="N277" s="5"/>
    </row>
    <row r="278" spans="1:14">
      <c r="A278" s="25">
        <v>46209</v>
      </c>
      <c r="B278" s="18" t="s">
        <v>323</v>
      </c>
      <c r="C278" s="18" t="s">
        <v>180</v>
      </c>
      <c r="D278" s="18" t="s">
        <v>6</v>
      </c>
      <c r="E278" s="18" t="s">
        <v>167</v>
      </c>
      <c r="F278" s="18" t="s">
        <v>384</v>
      </c>
      <c r="G278" s="18" t="s">
        <v>44</v>
      </c>
      <c r="H278" s="18"/>
      <c r="I278" s="18" t="s">
        <v>40</v>
      </c>
      <c r="J278" s="19">
        <v>200</v>
      </c>
      <c r="K278" s="18" t="s">
        <v>147</v>
      </c>
      <c r="L278" s="18" t="s">
        <v>147</v>
      </c>
      <c r="M278" s="16" t="s">
        <v>148</v>
      </c>
      <c r="N278" s="18"/>
    </row>
    <row r="279" spans="1:14">
      <c r="A279" s="24">
        <v>46209</v>
      </c>
      <c r="B279" s="5" t="s">
        <v>323</v>
      </c>
      <c r="C279" s="5" t="s">
        <v>180</v>
      </c>
      <c r="D279" s="5" t="s">
        <v>6</v>
      </c>
      <c r="E279" s="5" t="s">
        <v>167</v>
      </c>
      <c r="F279" s="5" t="s">
        <v>384</v>
      </c>
      <c r="G279" s="5" t="s">
        <v>236</v>
      </c>
      <c r="H279" s="5"/>
      <c r="I279" s="5" t="s">
        <v>40</v>
      </c>
      <c r="J279" s="7">
        <v>1</v>
      </c>
      <c r="K279" s="5" t="s">
        <v>153</v>
      </c>
      <c r="L279" s="5" t="s">
        <v>153</v>
      </c>
      <c r="M279" s="17" t="s">
        <v>153</v>
      </c>
      <c r="N279" s="5"/>
    </row>
    <row r="280" spans="1:14">
      <c r="A280" s="25">
        <v>46209</v>
      </c>
      <c r="B280" s="18" t="s">
        <v>323</v>
      </c>
      <c r="C280" s="18" t="s">
        <v>180</v>
      </c>
      <c r="D280" s="18" t="s">
        <v>6</v>
      </c>
      <c r="E280" s="18" t="s">
        <v>167</v>
      </c>
      <c r="F280" s="18" t="s">
        <v>384</v>
      </c>
      <c r="G280" s="18" t="s">
        <v>185</v>
      </c>
      <c r="H280" s="18"/>
      <c r="I280" s="18" t="s">
        <v>47</v>
      </c>
      <c r="J280" s="19">
        <v>3</v>
      </c>
      <c r="K280" s="18" t="s">
        <v>147</v>
      </c>
      <c r="L280" s="18" t="s">
        <v>147</v>
      </c>
      <c r="M280" s="16" t="s">
        <v>148</v>
      </c>
      <c r="N280" s="18"/>
    </row>
    <row r="281" spans="1:14">
      <c r="A281" s="24">
        <v>46209</v>
      </c>
      <c r="B281" s="5" t="s">
        <v>323</v>
      </c>
      <c r="C281" s="5" t="s">
        <v>180</v>
      </c>
      <c r="D281" s="5" t="s">
        <v>6</v>
      </c>
      <c r="E281" s="5" t="s">
        <v>167</v>
      </c>
      <c r="F281" s="5" t="s">
        <v>384</v>
      </c>
      <c r="G281" s="5" t="s">
        <v>187</v>
      </c>
      <c r="H281" s="5"/>
      <c r="I281" s="5" t="s">
        <v>216</v>
      </c>
      <c r="J281" s="7">
        <v>2</v>
      </c>
      <c r="K281" s="5" t="s">
        <v>153</v>
      </c>
      <c r="L281" s="5" t="s">
        <v>153</v>
      </c>
      <c r="M281" s="17" t="s">
        <v>153</v>
      </c>
      <c r="N281" s="5"/>
    </row>
    <row r="282" spans="1:14">
      <c r="A282" s="25">
        <v>46209</v>
      </c>
      <c r="B282" s="18" t="s">
        <v>323</v>
      </c>
      <c r="C282" s="18" t="s">
        <v>180</v>
      </c>
      <c r="D282" s="18" t="s">
        <v>6</v>
      </c>
      <c r="E282" s="18" t="s">
        <v>167</v>
      </c>
      <c r="F282" s="18" t="s">
        <v>384</v>
      </c>
      <c r="G282" s="18" t="s">
        <v>41</v>
      </c>
      <c r="H282" s="18"/>
      <c r="I282" s="18" t="s">
        <v>40</v>
      </c>
      <c r="J282" s="19">
        <v>200</v>
      </c>
      <c r="K282" s="18" t="s">
        <v>147</v>
      </c>
      <c r="L282" s="18" t="s">
        <v>147</v>
      </c>
      <c r="M282" s="16" t="s">
        <v>148</v>
      </c>
      <c r="N282" s="18"/>
    </row>
    <row r="283" spans="1:14">
      <c r="A283" s="24">
        <v>46209</v>
      </c>
      <c r="B283" s="5" t="s">
        <v>323</v>
      </c>
      <c r="C283" s="5" t="s">
        <v>180</v>
      </c>
      <c r="D283" s="5" t="s">
        <v>6</v>
      </c>
      <c r="E283" s="5" t="s">
        <v>167</v>
      </c>
      <c r="F283" s="5" t="s">
        <v>384</v>
      </c>
      <c r="G283" s="5" t="s">
        <v>42</v>
      </c>
      <c r="H283" s="5"/>
      <c r="I283" s="5" t="s">
        <v>40</v>
      </c>
      <c r="J283" s="7">
        <v>300</v>
      </c>
      <c r="K283" s="5" t="s">
        <v>147</v>
      </c>
      <c r="L283" s="5" t="s">
        <v>147</v>
      </c>
      <c r="M283" s="16" t="s">
        <v>148</v>
      </c>
      <c r="N283" s="5"/>
    </row>
    <row r="284" spans="1:14">
      <c r="A284" s="25">
        <v>46209</v>
      </c>
      <c r="B284" s="18" t="s">
        <v>323</v>
      </c>
      <c r="C284" s="18" t="s">
        <v>180</v>
      </c>
      <c r="D284" s="18" t="s">
        <v>6</v>
      </c>
      <c r="E284" s="18" t="s">
        <v>167</v>
      </c>
      <c r="F284" s="18" t="s">
        <v>384</v>
      </c>
      <c r="G284" s="18" t="s">
        <v>274</v>
      </c>
      <c r="H284" s="18"/>
      <c r="I284" s="18" t="s">
        <v>257</v>
      </c>
      <c r="J284" s="19">
        <v>1</v>
      </c>
      <c r="K284" s="18" t="s">
        <v>147</v>
      </c>
      <c r="L284" s="18" t="s">
        <v>147</v>
      </c>
      <c r="M284" s="16" t="s">
        <v>148</v>
      </c>
      <c r="N284" s="18"/>
    </row>
    <row r="285" spans="1:14">
      <c r="A285" s="24">
        <v>46209</v>
      </c>
      <c r="B285" s="5" t="s">
        <v>323</v>
      </c>
      <c r="C285" s="5" t="s">
        <v>180</v>
      </c>
      <c r="D285" s="5" t="s">
        <v>6</v>
      </c>
      <c r="E285" s="5" t="s">
        <v>168</v>
      </c>
      <c r="F285" s="5" t="s">
        <v>384</v>
      </c>
      <c r="G285" s="5" t="s">
        <v>185</v>
      </c>
      <c r="H285" s="5"/>
      <c r="I285" s="5" t="s">
        <v>47</v>
      </c>
      <c r="J285" s="7">
        <v>3</v>
      </c>
      <c r="K285" s="5" t="s">
        <v>147</v>
      </c>
      <c r="L285" s="5" t="s">
        <v>147</v>
      </c>
      <c r="M285" s="16" t="s">
        <v>148</v>
      </c>
      <c r="N285" s="5"/>
    </row>
    <row r="286" spans="1:14">
      <c r="A286" s="25">
        <v>46209</v>
      </c>
      <c r="B286" s="18" t="s">
        <v>323</v>
      </c>
      <c r="C286" s="18" t="s">
        <v>180</v>
      </c>
      <c r="D286" s="18" t="s">
        <v>6</v>
      </c>
      <c r="E286" s="18" t="s">
        <v>168</v>
      </c>
      <c r="F286" s="18" t="s">
        <v>384</v>
      </c>
      <c r="G286" s="18" t="s">
        <v>41</v>
      </c>
      <c r="H286" s="18"/>
      <c r="I286" s="18" t="s">
        <v>40</v>
      </c>
      <c r="J286" s="19">
        <v>100</v>
      </c>
      <c r="K286" s="18" t="s">
        <v>147</v>
      </c>
      <c r="L286" s="18" t="s">
        <v>147</v>
      </c>
      <c r="M286" s="16" t="s">
        <v>148</v>
      </c>
      <c r="N286" s="18"/>
    </row>
    <row r="287" spans="1:14">
      <c r="A287" s="24">
        <v>46209</v>
      </c>
      <c r="B287" s="5" t="s">
        <v>323</v>
      </c>
      <c r="C287" s="5" t="s">
        <v>180</v>
      </c>
      <c r="D287" s="5" t="s">
        <v>6</v>
      </c>
      <c r="E287" s="5" t="s">
        <v>168</v>
      </c>
      <c r="F287" s="5" t="s">
        <v>384</v>
      </c>
      <c r="G287" s="5" t="s">
        <v>43</v>
      </c>
      <c r="H287" s="5"/>
      <c r="I287" s="5" t="s">
        <v>40</v>
      </c>
      <c r="J287" s="7">
        <v>100</v>
      </c>
      <c r="K287" s="5" t="s">
        <v>147</v>
      </c>
      <c r="L287" s="5" t="s">
        <v>147</v>
      </c>
      <c r="M287" s="16" t="s">
        <v>148</v>
      </c>
      <c r="N287" s="5"/>
    </row>
    <row r="288" spans="1:14">
      <c r="A288" s="25">
        <v>46209</v>
      </c>
      <c r="B288" s="18" t="s">
        <v>323</v>
      </c>
      <c r="C288" s="18" t="s">
        <v>180</v>
      </c>
      <c r="D288" s="18" t="s">
        <v>6</v>
      </c>
      <c r="E288" s="18" t="s">
        <v>168</v>
      </c>
      <c r="F288" s="18" t="s">
        <v>384</v>
      </c>
      <c r="G288" s="18" t="s">
        <v>42</v>
      </c>
      <c r="H288" s="18"/>
      <c r="I288" s="18" t="s">
        <v>40</v>
      </c>
      <c r="J288" s="19">
        <v>100</v>
      </c>
      <c r="K288" s="18" t="s">
        <v>147</v>
      </c>
      <c r="L288" s="18" t="s">
        <v>147</v>
      </c>
      <c r="M288" s="16" t="s">
        <v>148</v>
      </c>
      <c r="N288" s="18"/>
    </row>
    <row r="289" spans="1:14">
      <c r="A289" s="24">
        <v>46209</v>
      </c>
      <c r="B289" s="5" t="s">
        <v>323</v>
      </c>
      <c r="C289" s="5" t="s">
        <v>180</v>
      </c>
      <c r="D289" s="5" t="s">
        <v>6</v>
      </c>
      <c r="E289" s="5" t="s">
        <v>168</v>
      </c>
      <c r="F289" s="5" t="s">
        <v>384</v>
      </c>
      <c r="G289" s="5" t="s">
        <v>39</v>
      </c>
      <c r="H289" s="5"/>
      <c r="I289" s="5" t="s">
        <v>40</v>
      </c>
      <c r="J289" s="7">
        <v>200</v>
      </c>
      <c r="K289" s="5" t="s">
        <v>147</v>
      </c>
      <c r="L289" s="5" t="s">
        <v>147</v>
      </c>
      <c r="M289" s="16" t="s">
        <v>148</v>
      </c>
      <c r="N289" s="5"/>
    </row>
    <row r="290" spans="1:14">
      <c r="A290" s="25">
        <v>46209</v>
      </c>
      <c r="B290" s="18" t="s">
        <v>323</v>
      </c>
      <c r="C290" s="18" t="s">
        <v>180</v>
      </c>
      <c r="D290" s="18" t="s">
        <v>6</v>
      </c>
      <c r="E290" s="18" t="s">
        <v>168</v>
      </c>
      <c r="F290" s="18" t="s">
        <v>384</v>
      </c>
      <c r="G290" s="18" t="s">
        <v>259</v>
      </c>
      <c r="H290" s="18"/>
      <c r="I290" s="18" t="s">
        <v>40</v>
      </c>
      <c r="J290" s="19">
        <v>1</v>
      </c>
      <c r="K290" s="18" t="s">
        <v>147</v>
      </c>
      <c r="L290" s="18" t="s">
        <v>147</v>
      </c>
      <c r="M290" s="16" t="s">
        <v>148</v>
      </c>
      <c r="N290" s="18"/>
    </row>
    <row r="291" spans="1:14">
      <c r="A291" s="24">
        <v>46209</v>
      </c>
      <c r="B291" s="5" t="s">
        <v>323</v>
      </c>
      <c r="C291" s="5" t="s">
        <v>180</v>
      </c>
      <c r="D291" s="5" t="s">
        <v>6</v>
      </c>
      <c r="E291" s="5" t="s">
        <v>168</v>
      </c>
      <c r="F291" s="5" t="s">
        <v>384</v>
      </c>
      <c r="G291" s="5" t="s">
        <v>273</v>
      </c>
      <c r="H291" s="5"/>
      <c r="I291" s="5" t="s">
        <v>40</v>
      </c>
      <c r="J291" s="7">
        <v>1</v>
      </c>
      <c r="K291" s="5" t="s">
        <v>147</v>
      </c>
      <c r="L291" s="5" t="s">
        <v>147</v>
      </c>
      <c r="M291" s="16" t="s">
        <v>148</v>
      </c>
      <c r="N291" s="5"/>
    </row>
    <row r="292" spans="1:14">
      <c r="A292" s="25">
        <v>46209</v>
      </c>
      <c r="B292" s="18" t="s">
        <v>323</v>
      </c>
      <c r="C292" s="18" t="s">
        <v>180</v>
      </c>
      <c r="D292" s="18" t="s">
        <v>6</v>
      </c>
      <c r="E292" s="18" t="s">
        <v>168</v>
      </c>
      <c r="F292" s="18" t="s">
        <v>384</v>
      </c>
      <c r="G292" s="18" t="s">
        <v>189</v>
      </c>
      <c r="H292" s="18"/>
      <c r="I292" s="18" t="s">
        <v>47</v>
      </c>
      <c r="J292" s="19">
        <v>2</v>
      </c>
      <c r="K292" s="18" t="s">
        <v>153</v>
      </c>
      <c r="L292" s="18" t="s">
        <v>153</v>
      </c>
      <c r="M292" s="17" t="s">
        <v>153</v>
      </c>
      <c r="N292" s="18"/>
    </row>
    <row r="293" spans="1:14">
      <c r="A293" s="24">
        <v>46209</v>
      </c>
      <c r="B293" s="5" t="s">
        <v>323</v>
      </c>
      <c r="C293" s="5" t="s">
        <v>180</v>
      </c>
      <c r="D293" s="5" t="s">
        <v>6</v>
      </c>
      <c r="E293" s="5" t="s">
        <v>168</v>
      </c>
      <c r="F293" s="5" t="s">
        <v>384</v>
      </c>
      <c r="G293" s="5" t="s">
        <v>191</v>
      </c>
      <c r="H293" s="5"/>
      <c r="I293" s="5" t="s">
        <v>47</v>
      </c>
      <c r="J293" s="7">
        <v>1</v>
      </c>
      <c r="K293" s="5" t="s">
        <v>147</v>
      </c>
      <c r="L293" s="5" t="s">
        <v>147</v>
      </c>
      <c r="M293" s="16" t="s">
        <v>148</v>
      </c>
      <c r="N293" s="5"/>
    </row>
    <row r="294" spans="1:14">
      <c r="A294" s="25">
        <v>46209</v>
      </c>
      <c r="B294" s="18" t="s">
        <v>323</v>
      </c>
      <c r="C294" s="18" t="s">
        <v>180</v>
      </c>
      <c r="D294" s="18" t="s">
        <v>6</v>
      </c>
      <c r="E294" s="18" t="s">
        <v>168</v>
      </c>
      <c r="F294" s="18" t="s">
        <v>384</v>
      </c>
      <c r="G294" s="18" t="s">
        <v>187</v>
      </c>
      <c r="H294" s="18"/>
      <c r="I294" s="18" t="s">
        <v>216</v>
      </c>
      <c r="J294" s="19">
        <v>1</v>
      </c>
      <c r="K294" s="18" t="s">
        <v>153</v>
      </c>
      <c r="L294" s="18" t="s">
        <v>153</v>
      </c>
      <c r="M294" s="17" t="s">
        <v>153</v>
      </c>
      <c r="N294" s="18"/>
    </row>
    <row r="295" spans="1:14">
      <c r="A295" s="24">
        <v>46209</v>
      </c>
      <c r="B295" s="5" t="s">
        <v>323</v>
      </c>
      <c r="C295" s="5" t="s">
        <v>180</v>
      </c>
      <c r="D295" s="5" t="s">
        <v>6</v>
      </c>
      <c r="E295" s="5" t="s">
        <v>169</v>
      </c>
      <c r="F295" s="5" t="s">
        <v>384</v>
      </c>
      <c r="G295" s="5" t="s">
        <v>191</v>
      </c>
      <c r="H295" s="5"/>
      <c r="I295" s="5" t="s">
        <v>47</v>
      </c>
      <c r="J295" s="7">
        <v>1</v>
      </c>
      <c r="K295" s="5" t="s">
        <v>147</v>
      </c>
      <c r="L295" s="5" t="s">
        <v>147</v>
      </c>
      <c r="M295" s="16" t="s">
        <v>148</v>
      </c>
      <c r="N295" s="5"/>
    </row>
    <row r="296" spans="1:14">
      <c r="A296" s="25">
        <v>46209</v>
      </c>
      <c r="B296" s="18" t="s">
        <v>323</v>
      </c>
      <c r="C296" s="18" t="s">
        <v>180</v>
      </c>
      <c r="D296" s="18" t="s">
        <v>6</v>
      </c>
      <c r="E296" s="18" t="s">
        <v>169</v>
      </c>
      <c r="F296" s="18" t="s">
        <v>384</v>
      </c>
      <c r="G296" s="18" t="s">
        <v>186</v>
      </c>
      <c r="H296" s="18"/>
      <c r="I296" s="18" t="s">
        <v>40</v>
      </c>
      <c r="J296" s="19">
        <v>2</v>
      </c>
      <c r="K296" s="18" t="s">
        <v>153</v>
      </c>
      <c r="L296" s="18" t="s">
        <v>153</v>
      </c>
      <c r="M296" s="17" t="s">
        <v>153</v>
      </c>
      <c r="N296" s="18"/>
    </row>
    <row r="297" spans="1:14">
      <c r="A297" s="24">
        <v>46209</v>
      </c>
      <c r="B297" s="5" t="s">
        <v>323</v>
      </c>
      <c r="C297" s="5" t="s">
        <v>180</v>
      </c>
      <c r="D297" s="5" t="s">
        <v>6</v>
      </c>
      <c r="E297" s="5" t="s">
        <v>169</v>
      </c>
      <c r="F297" s="5" t="s">
        <v>384</v>
      </c>
      <c r="G297" s="5" t="s">
        <v>234</v>
      </c>
      <c r="H297" s="5"/>
      <c r="I297" s="5" t="s">
        <v>47</v>
      </c>
      <c r="J297" s="7">
        <v>1</v>
      </c>
      <c r="K297" s="5" t="s">
        <v>147</v>
      </c>
      <c r="L297" s="5" t="s">
        <v>147</v>
      </c>
      <c r="M297" s="16" t="s">
        <v>148</v>
      </c>
      <c r="N297" s="5"/>
    </row>
    <row r="298" spans="1:14">
      <c r="A298" s="25">
        <v>46209</v>
      </c>
      <c r="B298" s="18" t="s">
        <v>323</v>
      </c>
      <c r="C298" s="18" t="s">
        <v>180</v>
      </c>
      <c r="D298" s="18" t="s">
        <v>6</v>
      </c>
      <c r="E298" s="18" t="s">
        <v>169</v>
      </c>
      <c r="F298" s="18" t="s">
        <v>384</v>
      </c>
      <c r="G298" s="18" t="s">
        <v>277</v>
      </c>
      <c r="H298" s="18"/>
      <c r="I298" s="18" t="s">
        <v>47</v>
      </c>
      <c r="J298" s="19">
        <v>1</v>
      </c>
      <c r="K298" s="18" t="s">
        <v>147</v>
      </c>
      <c r="L298" s="18" t="s">
        <v>147</v>
      </c>
      <c r="M298" s="16" t="s">
        <v>148</v>
      </c>
      <c r="N298" s="18"/>
    </row>
    <row r="299" spans="1:14">
      <c r="A299" s="24">
        <v>46209</v>
      </c>
      <c r="B299" s="5" t="s">
        <v>323</v>
      </c>
      <c r="C299" s="5" t="s">
        <v>180</v>
      </c>
      <c r="D299" s="5" t="s">
        <v>6</v>
      </c>
      <c r="E299" s="5" t="s">
        <v>169</v>
      </c>
      <c r="F299" s="5" t="s">
        <v>384</v>
      </c>
      <c r="G299" s="5" t="s">
        <v>185</v>
      </c>
      <c r="H299" s="5"/>
      <c r="I299" s="5" t="s">
        <v>47</v>
      </c>
      <c r="J299" s="7">
        <v>1</v>
      </c>
      <c r="K299" s="5" t="s">
        <v>147</v>
      </c>
      <c r="L299" s="5" t="s">
        <v>147</v>
      </c>
      <c r="M299" s="16" t="s">
        <v>148</v>
      </c>
      <c r="N299" s="5"/>
    </row>
    <row r="300" spans="1:14">
      <c r="A300" s="25">
        <v>46209</v>
      </c>
      <c r="B300" s="18" t="s">
        <v>323</v>
      </c>
      <c r="C300" s="18" t="s">
        <v>180</v>
      </c>
      <c r="D300" s="18" t="s">
        <v>6</v>
      </c>
      <c r="E300" s="18" t="s">
        <v>169</v>
      </c>
      <c r="F300" s="18" t="s">
        <v>384</v>
      </c>
      <c r="G300" s="18" t="s">
        <v>236</v>
      </c>
      <c r="H300" s="18"/>
      <c r="I300" s="18" t="s">
        <v>40</v>
      </c>
      <c r="J300" s="19">
        <v>1</v>
      </c>
      <c r="K300" s="18" t="s">
        <v>153</v>
      </c>
      <c r="L300" s="18" t="s">
        <v>153</v>
      </c>
      <c r="M300" s="17" t="s">
        <v>153</v>
      </c>
      <c r="N300" s="18"/>
    </row>
    <row r="301" spans="1:14">
      <c r="A301" s="24">
        <v>46209</v>
      </c>
      <c r="B301" s="5" t="s">
        <v>323</v>
      </c>
      <c r="C301" s="5" t="s">
        <v>180</v>
      </c>
      <c r="D301" s="5" t="s">
        <v>6</v>
      </c>
      <c r="E301" s="5" t="s">
        <v>169</v>
      </c>
      <c r="F301" s="5" t="s">
        <v>384</v>
      </c>
      <c r="G301" s="5" t="s">
        <v>215</v>
      </c>
      <c r="H301" s="5" t="s">
        <v>393</v>
      </c>
      <c r="I301" s="5" t="s">
        <v>216</v>
      </c>
      <c r="J301" s="7">
        <v>12</v>
      </c>
      <c r="K301" s="5" t="s">
        <v>147</v>
      </c>
      <c r="L301" s="5" t="s">
        <v>147</v>
      </c>
      <c r="M301" s="16" t="s">
        <v>148</v>
      </c>
      <c r="N301" s="5"/>
    </row>
    <row r="302" spans="1:14">
      <c r="A302" s="25">
        <v>46209</v>
      </c>
      <c r="B302" s="18" t="s">
        <v>323</v>
      </c>
      <c r="C302" s="18" t="s">
        <v>180</v>
      </c>
      <c r="D302" s="18" t="s">
        <v>6</v>
      </c>
      <c r="E302" s="18" t="s">
        <v>169</v>
      </c>
      <c r="F302" s="18" t="s">
        <v>384</v>
      </c>
      <c r="G302" s="18" t="s">
        <v>259</v>
      </c>
      <c r="H302" s="18"/>
      <c r="I302" s="18" t="s">
        <v>40</v>
      </c>
      <c r="J302" s="19">
        <v>2</v>
      </c>
      <c r="K302" s="18" t="s">
        <v>147</v>
      </c>
      <c r="L302" s="18" t="s">
        <v>147</v>
      </c>
      <c r="M302" s="16" t="s">
        <v>148</v>
      </c>
      <c r="N302" s="18"/>
    </row>
    <row r="303" spans="1:14">
      <c r="A303" s="24">
        <v>46209</v>
      </c>
      <c r="B303" s="5" t="s">
        <v>323</v>
      </c>
      <c r="C303" s="5" t="s">
        <v>180</v>
      </c>
      <c r="D303" s="5" t="s">
        <v>6</v>
      </c>
      <c r="E303" s="5" t="s">
        <v>169</v>
      </c>
      <c r="F303" s="5" t="s">
        <v>384</v>
      </c>
      <c r="G303" s="5" t="s">
        <v>273</v>
      </c>
      <c r="H303" s="5"/>
      <c r="I303" s="5" t="s">
        <v>40</v>
      </c>
      <c r="J303" s="7">
        <v>2</v>
      </c>
      <c r="K303" s="5" t="s">
        <v>147</v>
      </c>
      <c r="L303" s="5" t="s">
        <v>147</v>
      </c>
      <c r="M303" s="16" t="s">
        <v>148</v>
      </c>
      <c r="N303" s="5"/>
    </row>
    <row r="304" spans="1:14">
      <c r="A304" s="25">
        <v>46209</v>
      </c>
      <c r="B304" s="18" t="s">
        <v>323</v>
      </c>
      <c r="C304" s="18" t="s">
        <v>180</v>
      </c>
      <c r="D304" s="18" t="s">
        <v>6</v>
      </c>
      <c r="E304" s="18" t="s">
        <v>169</v>
      </c>
      <c r="F304" s="18" t="s">
        <v>384</v>
      </c>
      <c r="G304" s="18" t="s">
        <v>187</v>
      </c>
      <c r="H304" s="18"/>
      <c r="I304" s="18" t="s">
        <v>216</v>
      </c>
      <c r="J304" s="19">
        <v>2</v>
      </c>
      <c r="K304" s="18" t="s">
        <v>153</v>
      </c>
      <c r="L304" s="18" t="s">
        <v>153</v>
      </c>
      <c r="M304" s="17" t="s">
        <v>153</v>
      </c>
      <c r="N304" s="18"/>
    </row>
    <row r="305" spans="1:14">
      <c r="A305" s="24">
        <v>46209</v>
      </c>
      <c r="B305" s="5" t="s">
        <v>323</v>
      </c>
      <c r="C305" s="5" t="s">
        <v>180</v>
      </c>
      <c r="D305" s="5" t="s">
        <v>6</v>
      </c>
      <c r="E305" s="5" t="s">
        <v>169</v>
      </c>
      <c r="F305" s="5" t="s">
        <v>384</v>
      </c>
      <c r="G305" s="5" t="s">
        <v>46</v>
      </c>
      <c r="H305" s="5"/>
      <c r="I305" s="5" t="s">
        <v>47</v>
      </c>
      <c r="J305" s="7">
        <v>20</v>
      </c>
      <c r="K305" s="5" t="s">
        <v>147</v>
      </c>
      <c r="L305" s="5" t="s">
        <v>147</v>
      </c>
      <c r="M305" s="16" t="s">
        <v>148</v>
      </c>
      <c r="N305" s="5"/>
    </row>
    <row r="306" spans="1:14">
      <c r="A306" s="25">
        <v>46209</v>
      </c>
      <c r="B306" s="18" t="s">
        <v>323</v>
      </c>
      <c r="C306" s="18" t="s">
        <v>180</v>
      </c>
      <c r="D306" s="18" t="s">
        <v>6</v>
      </c>
      <c r="E306" s="18" t="s">
        <v>169</v>
      </c>
      <c r="F306" s="18" t="s">
        <v>384</v>
      </c>
      <c r="G306" s="18" t="s">
        <v>189</v>
      </c>
      <c r="H306" s="18"/>
      <c r="I306" s="18" t="s">
        <v>47</v>
      </c>
      <c r="J306" s="19">
        <v>2</v>
      </c>
      <c r="K306" s="18" t="s">
        <v>153</v>
      </c>
      <c r="L306" s="18" t="s">
        <v>153</v>
      </c>
      <c r="M306" s="17" t="s">
        <v>153</v>
      </c>
      <c r="N306" s="18"/>
    </row>
    <row r="307" spans="1:14">
      <c r="A307" s="24">
        <v>46209</v>
      </c>
      <c r="B307" s="5" t="s">
        <v>323</v>
      </c>
      <c r="C307" s="5" t="s">
        <v>180</v>
      </c>
      <c r="D307" s="5" t="s">
        <v>6</v>
      </c>
      <c r="E307" s="5" t="s">
        <v>169</v>
      </c>
      <c r="F307" s="5" t="s">
        <v>384</v>
      </c>
      <c r="G307" s="5" t="s">
        <v>39</v>
      </c>
      <c r="H307" s="5"/>
      <c r="I307" s="5" t="s">
        <v>40</v>
      </c>
      <c r="J307" s="7">
        <v>150</v>
      </c>
      <c r="K307" s="5" t="s">
        <v>147</v>
      </c>
      <c r="L307" s="5" t="s">
        <v>147</v>
      </c>
      <c r="M307" s="16" t="s">
        <v>148</v>
      </c>
      <c r="N307" s="5"/>
    </row>
    <row r="308" spans="1:14">
      <c r="A308" s="25">
        <v>46210</v>
      </c>
      <c r="B308" s="18" t="s">
        <v>323</v>
      </c>
      <c r="C308" s="18" t="s">
        <v>180</v>
      </c>
      <c r="D308" s="18" t="s">
        <v>3</v>
      </c>
      <c r="E308" s="18" t="s">
        <v>3</v>
      </c>
      <c r="F308" s="18" t="s">
        <v>349</v>
      </c>
      <c r="G308" s="18" t="s">
        <v>193</v>
      </c>
      <c r="H308" s="18"/>
      <c r="I308" s="18" t="s">
        <v>216</v>
      </c>
      <c r="J308" s="19">
        <v>2</v>
      </c>
      <c r="K308" s="18" t="s">
        <v>345</v>
      </c>
      <c r="L308" s="18" t="s">
        <v>149</v>
      </c>
      <c r="M308" s="16" t="s">
        <v>148</v>
      </c>
      <c r="N308" s="18"/>
    </row>
    <row r="309" spans="1:14">
      <c r="A309" s="24">
        <v>46210</v>
      </c>
      <c r="B309" s="5" t="s">
        <v>323</v>
      </c>
      <c r="C309" s="5" t="s">
        <v>180</v>
      </c>
      <c r="D309" s="5" t="s">
        <v>3</v>
      </c>
      <c r="E309" s="5" t="s">
        <v>3</v>
      </c>
      <c r="F309" s="5" t="s">
        <v>349</v>
      </c>
      <c r="G309" s="5" t="s">
        <v>229</v>
      </c>
      <c r="H309" s="5"/>
      <c r="I309" s="5" t="s">
        <v>216</v>
      </c>
      <c r="J309" s="7">
        <v>3</v>
      </c>
      <c r="K309" s="5" t="s">
        <v>345</v>
      </c>
      <c r="L309" s="5" t="s">
        <v>149</v>
      </c>
      <c r="M309" s="16" t="s">
        <v>148</v>
      </c>
      <c r="N309" s="5"/>
    </row>
    <row r="310" spans="1:14">
      <c r="A310" s="25">
        <v>46210</v>
      </c>
      <c r="B310" s="18" t="s">
        <v>323</v>
      </c>
      <c r="C310" s="18" t="s">
        <v>180</v>
      </c>
      <c r="D310" s="18" t="s">
        <v>3</v>
      </c>
      <c r="E310" s="18" t="s">
        <v>3</v>
      </c>
      <c r="F310" s="18" t="s">
        <v>355</v>
      </c>
      <c r="G310" s="18" t="s">
        <v>237</v>
      </c>
      <c r="H310" s="18"/>
      <c r="I310" s="18" t="s">
        <v>216</v>
      </c>
      <c r="J310" s="19">
        <v>1</v>
      </c>
      <c r="K310" s="18" t="s">
        <v>345</v>
      </c>
      <c r="L310" s="18" t="s">
        <v>149</v>
      </c>
      <c r="M310" s="16" t="s">
        <v>148</v>
      </c>
      <c r="N310" s="18"/>
    </row>
    <row r="311" spans="1:14">
      <c r="A311" s="24">
        <v>46211</v>
      </c>
      <c r="B311" s="5" t="s">
        <v>323</v>
      </c>
      <c r="C311" s="5" t="s">
        <v>180</v>
      </c>
      <c r="D311" s="5" t="s">
        <v>6</v>
      </c>
      <c r="E311" s="5" t="s">
        <v>165</v>
      </c>
      <c r="F311" s="5" t="s">
        <v>384</v>
      </c>
      <c r="G311" s="5" t="s">
        <v>250</v>
      </c>
      <c r="H311" s="5"/>
      <c r="I311" s="5" t="s">
        <v>40</v>
      </c>
      <c r="J311" s="7">
        <v>1</v>
      </c>
      <c r="K311" s="5" t="s">
        <v>147</v>
      </c>
      <c r="L311" s="5" t="s">
        <v>147</v>
      </c>
      <c r="M311" s="16" t="s">
        <v>148</v>
      </c>
      <c r="N311" s="5"/>
    </row>
    <row r="312" spans="1:14">
      <c r="A312" s="25">
        <v>46212</v>
      </c>
      <c r="B312" s="18" t="s">
        <v>323</v>
      </c>
      <c r="C312" s="18" t="s">
        <v>180</v>
      </c>
      <c r="D312" s="18" t="s">
        <v>3</v>
      </c>
      <c r="E312" s="18" t="s">
        <v>3</v>
      </c>
      <c r="F312" s="18" t="s">
        <v>355</v>
      </c>
      <c r="G312" s="18" t="s">
        <v>252</v>
      </c>
      <c r="H312" s="18"/>
      <c r="I312" s="18" t="s">
        <v>40</v>
      </c>
      <c r="J312" s="19">
        <v>1</v>
      </c>
      <c r="K312" s="18" t="s">
        <v>345</v>
      </c>
      <c r="L312" s="18" t="s">
        <v>149</v>
      </c>
      <c r="M312" s="16" t="s">
        <v>148</v>
      </c>
      <c r="N312" s="18"/>
    </row>
    <row r="313" spans="1:14">
      <c r="A313" s="24">
        <v>46212</v>
      </c>
      <c r="B313" s="5" t="s">
        <v>323</v>
      </c>
      <c r="C313" s="5" t="s">
        <v>180</v>
      </c>
      <c r="D313" s="5" t="s">
        <v>3</v>
      </c>
      <c r="E313" s="5" t="s">
        <v>3</v>
      </c>
      <c r="F313" s="5" t="s">
        <v>355</v>
      </c>
      <c r="G313" s="5" t="s">
        <v>249</v>
      </c>
      <c r="H313" s="5"/>
      <c r="I313" s="5" t="s">
        <v>40</v>
      </c>
      <c r="J313" s="7">
        <v>1</v>
      </c>
      <c r="K313" s="5" t="s">
        <v>345</v>
      </c>
      <c r="L313" s="5" t="s">
        <v>149</v>
      </c>
      <c r="M313" s="16" t="s">
        <v>148</v>
      </c>
      <c r="N313" s="5"/>
    </row>
    <row r="314" spans="1:14">
      <c r="A314" s="25">
        <v>46212</v>
      </c>
      <c r="B314" s="18" t="s">
        <v>323</v>
      </c>
      <c r="C314" s="18" t="s">
        <v>180</v>
      </c>
      <c r="D314" s="18" t="s">
        <v>3</v>
      </c>
      <c r="E314" s="18" t="s">
        <v>3</v>
      </c>
      <c r="F314" s="18" t="s">
        <v>348</v>
      </c>
      <c r="G314" s="18" t="s">
        <v>188</v>
      </c>
      <c r="H314" s="18"/>
      <c r="I314" s="18" t="s">
        <v>216</v>
      </c>
      <c r="J314" s="19">
        <v>1</v>
      </c>
      <c r="K314" s="18" t="s">
        <v>345</v>
      </c>
      <c r="L314" s="18" t="s">
        <v>149</v>
      </c>
      <c r="M314" s="16" t="s">
        <v>148</v>
      </c>
      <c r="N314" s="18"/>
    </row>
    <row r="315" spans="1:14">
      <c r="A315" s="24">
        <v>46212</v>
      </c>
      <c r="B315" s="5" t="s">
        <v>323</v>
      </c>
      <c r="C315" s="5" t="s">
        <v>180</v>
      </c>
      <c r="D315" s="5" t="s">
        <v>3</v>
      </c>
      <c r="E315" s="5" t="s">
        <v>3</v>
      </c>
      <c r="F315" s="5" t="s">
        <v>348</v>
      </c>
      <c r="G315" s="5" t="s">
        <v>217</v>
      </c>
      <c r="H315" s="5"/>
      <c r="I315" s="5" t="s">
        <v>216</v>
      </c>
      <c r="J315" s="7">
        <v>1</v>
      </c>
      <c r="K315" s="5" t="s">
        <v>345</v>
      </c>
      <c r="L315" s="5" t="s">
        <v>149</v>
      </c>
      <c r="M315" s="16" t="s">
        <v>148</v>
      </c>
      <c r="N315" s="5"/>
    </row>
    <row r="316" spans="1:14">
      <c r="A316" s="25">
        <v>46212</v>
      </c>
      <c r="B316" s="18" t="s">
        <v>323</v>
      </c>
      <c r="C316" s="18" t="s">
        <v>180</v>
      </c>
      <c r="D316" s="18" t="s">
        <v>3</v>
      </c>
      <c r="E316" s="18" t="s">
        <v>3</v>
      </c>
      <c r="F316" s="18" t="s">
        <v>371</v>
      </c>
      <c r="G316" s="18" t="s">
        <v>217</v>
      </c>
      <c r="H316" s="18"/>
      <c r="I316" s="18" t="s">
        <v>216</v>
      </c>
      <c r="J316" s="19">
        <v>2</v>
      </c>
      <c r="K316" s="18" t="s">
        <v>345</v>
      </c>
      <c r="L316" s="18" t="s">
        <v>149</v>
      </c>
      <c r="M316" s="16" t="s">
        <v>148</v>
      </c>
      <c r="N316" s="18"/>
    </row>
    <row r="317" spans="1:14">
      <c r="A317" s="24">
        <v>46212</v>
      </c>
      <c r="B317" s="5" t="s">
        <v>323</v>
      </c>
      <c r="C317" s="5" t="s">
        <v>180</v>
      </c>
      <c r="D317" s="5" t="s">
        <v>3</v>
      </c>
      <c r="E317" s="5" t="s">
        <v>3</v>
      </c>
      <c r="F317" s="5" t="s">
        <v>372</v>
      </c>
      <c r="G317" s="5" t="s">
        <v>242</v>
      </c>
      <c r="H317" s="5"/>
      <c r="I317" s="5" t="s">
        <v>216</v>
      </c>
      <c r="J317" s="7">
        <v>1</v>
      </c>
      <c r="K317" s="5" t="s">
        <v>345</v>
      </c>
      <c r="L317" s="5" t="s">
        <v>149</v>
      </c>
      <c r="M317" s="16" t="s">
        <v>148</v>
      </c>
      <c r="N317" s="5"/>
    </row>
    <row r="318" spans="1:14">
      <c r="A318" s="25">
        <v>46212</v>
      </c>
      <c r="B318" s="18" t="s">
        <v>323</v>
      </c>
      <c r="C318" s="18" t="s">
        <v>180</v>
      </c>
      <c r="D318" s="18" t="s">
        <v>3</v>
      </c>
      <c r="E318" s="18" t="s">
        <v>3</v>
      </c>
      <c r="F318" s="18" t="s">
        <v>372</v>
      </c>
      <c r="G318" s="18" t="s">
        <v>227</v>
      </c>
      <c r="H318" s="18"/>
      <c r="I318" s="18" t="s">
        <v>216</v>
      </c>
      <c r="J318" s="19">
        <v>1</v>
      </c>
      <c r="K318" s="18" t="s">
        <v>345</v>
      </c>
      <c r="L318" s="18" t="s">
        <v>149</v>
      </c>
      <c r="M318" s="16" t="s">
        <v>148</v>
      </c>
      <c r="N318" s="18"/>
    </row>
    <row r="319" spans="1:14">
      <c r="A319" s="24">
        <v>46212</v>
      </c>
      <c r="B319" s="5" t="s">
        <v>323</v>
      </c>
      <c r="C319" s="5" t="s">
        <v>180</v>
      </c>
      <c r="D319" s="5" t="s">
        <v>3</v>
      </c>
      <c r="E319" s="5" t="s">
        <v>3</v>
      </c>
      <c r="F319" s="5" t="s">
        <v>355</v>
      </c>
      <c r="G319" s="5" t="s">
        <v>215</v>
      </c>
      <c r="H319" s="5"/>
      <c r="I319" s="5" t="s">
        <v>216</v>
      </c>
      <c r="J319" s="7">
        <v>4</v>
      </c>
      <c r="K319" s="5" t="s">
        <v>345</v>
      </c>
      <c r="L319" s="5" t="s">
        <v>149</v>
      </c>
      <c r="M319" s="16" t="s">
        <v>148</v>
      </c>
      <c r="N319" s="5"/>
    </row>
    <row r="320" spans="1:14">
      <c r="A320" s="25">
        <v>46212</v>
      </c>
      <c r="B320" s="18" t="s">
        <v>323</v>
      </c>
      <c r="C320" s="18" t="s">
        <v>180</v>
      </c>
      <c r="D320" s="18" t="s">
        <v>3</v>
      </c>
      <c r="E320" s="18" t="s">
        <v>3</v>
      </c>
      <c r="F320" s="18" t="s">
        <v>373</v>
      </c>
      <c r="G320" s="18" t="s">
        <v>217</v>
      </c>
      <c r="H320" s="18"/>
      <c r="I320" s="18" t="s">
        <v>216</v>
      </c>
      <c r="J320" s="19">
        <v>2</v>
      </c>
      <c r="K320" s="18" t="s">
        <v>345</v>
      </c>
      <c r="L320" s="18" t="s">
        <v>149</v>
      </c>
      <c r="M320" s="16" t="s">
        <v>148</v>
      </c>
      <c r="N320" s="18"/>
    </row>
    <row r="321" spans="1:14">
      <c r="A321" s="24">
        <v>46212</v>
      </c>
      <c r="B321" s="5" t="s">
        <v>323</v>
      </c>
      <c r="C321" s="5" t="s">
        <v>180</v>
      </c>
      <c r="D321" s="5" t="s">
        <v>3</v>
      </c>
      <c r="E321" s="5" t="s">
        <v>3</v>
      </c>
      <c r="F321" s="5" t="s">
        <v>373</v>
      </c>
      <c r="G321" s="5" t="s">
        <v>188</v>
      </c>
      <c r="H321" s="5"/>
      <c r="I321" s="5" t="s">
        <v>216</v>
      </c>
      <c r="J321" s="7">
        <v>1</v>
      </c>
      <c r="K321" s="5" t="s">
        <v>345</v>
      </c>
      <c r="L321" s="5" t="s">
        <v>149</v>
      </c>
      <c r="M321" s="16" t="s">
        <v>148</v>
      </c>
      <c r="N321" s="5"/>
    </row>
    <row r="322" spans="1:14">
      <c r="A322" s="25">
        <v>46212</v>
      </c>
      <c r="B322" s="18" t="s">
        <v>323</v>
      </c>
      <c r="C322" s="18" t="s">
        <v>180</v>
      </c>
      <c r="D322" s="18" t="s">
        <v>6</v>
      </c>
      <c r="E322" s="18" t="s">
        <v>165</v>
      </c>
      <c r="F322" s="18" t="s">
        <v>384</v>
      </c>
      <c r="G322" s="18" t="s">
        <v>192</v>
      </c>
      <c r="H322" s="18"/>
      <c r="I322" s="18" t="s">
        <v>216</v>
      </c>
      <c r="J322" s="19">
        <v>5</v>
      </c>
      <c r="K322" s="18" t="s">
        <v>147</v>
      </c>
      <c r="L322" s="18" t="s">
        <v>147</v>
      </c>
      <c r="M322" s="16" t="s">
        <v>148</v>
      </c>
      <c r="N322" s="18"/>
    </row>
    <row r="323" spans="1:14">
      <c r="A323" s="24">
        <v>46212</v>
      </c>
      <c r="B323" s="5" t="s">
        <v>323</v>
      </c>
      <c r="C323" s="5" t="s">
        <v>180</v>
      </c>
      <c r="D323" s="5" t="s">
        <v>6</v>
      </c>
      <c r="E323" s="5" t="s">
        <v>165</v>
      </c>
      <c r="F323" s="5" t="s">
        <v>384</v>
      </c>
      <c r="G323" s="5" t="s">
        <v>191</v>
      </c>
      <c r="H323" s="5"/>
      <c r="I323" s="5" t="s">
        <v>47</v>
      </c>
      <c r="J323" s="7">
        <v>1</v>
      </c>
      <c r="K323" s="5" t="s">
        <v>147</v>
      </c>
      <c r="L323" s="5" t="s">
        <v>147</v>
      </c>
      <c r="M323" s="16" t="s">
        <v>148</v>
      </c>
      <c r="N323" s="5"/>
    </row>
    <row r="324" spans="1:14">
      <c r="A324" s="25">
        <v>46213</v>
      </c>
      <c r="B324" s="18" t="s">
        <v>323</v>
      </c>
      <c r="C324" s="18" t="s">
        <v>180</v>
      </c>
      <c r="D324" s="18" t="s">
        <v>3</v>
      </c>
      <c r="E324" s="18" t="s">
        <v>3</v>
      </c>
      <c r="F324" s="18" t="s">
        <v>355</v>
      </c>
      <c r="G324" s="18" t="s">
        <v>217</v>
      </c>
      <c r="H324" s="18"/>
      <c r="I324" s="18" t="s">
        <v>216</v>
      </c>
      <c r="J324" s="19">
        <v>4</v>
      </c>
      <c r="K324" s="18" t="s">
        <v>345</v>
      </c>
      <c r="L324" s="18" t="s">
        <v>149</v>
      </c>
      <c r="M324" s="16" t="s">
        <v>148</v>
      </c>
      <c r="N324" s="18"/>
    </row>
    <row r="325" spans="1:14">
      <c r="A325" s="24">
        <v>46213</v>
      </c>
      <c r="B325" s="5" t="s">
        <v>323</v>
      </c>
      <c r="C325" s="5" t="s">
        <v>180</v>
      </c>
      <c r="D325" s="5" t="s">
        <v>3</v>
      </c>
      <c r="E325" s="5" t="s">
        <v>3</v>
      </c>
      <c r="F325" s="5" t="s">
        <v>355</v>
      </c>
      <c r="G325" s="5" t="s">
        <v>41</v>
      </c>
      <c r="H325" s="5"/>
      <c r="I325" s="5" t="s">
        <v>40</v>
      </c>
      <c r="J325" s="7">
        <v>10</v>
      </c>
      <c r="K325" s="5" t="s">
        <v>345</v>
      </c>
      <c r="L325" s="5" t="s">
        <v>149</v>
      </c>
      <c r="M325" s="16" t="s">
        <v>148</v>
      </c>
      <c r="N325" s="5"/>
    </row>
    <row r="326" spans="1:14">
      <c r="A326" s="25">
        <v>46213</v>
      </c>
      <c r="B326" s="18" t="s">
        <v>323</v>
      </c>
      <c r="C326" s="18" t="s">
        <v>180</v>
      </c>
      <c r="D326" s="18" t="s">
        <v>3</v>
      </c>
      <c r="E326" s="18" t="s">
        <v>3</v>
      </c>
      <c r="F326" s="18" t="s">
        <v>355</v>
      </c>
      <c r="G326" s="18" t="s">
        <v>43</v>
      </c>
      <c r="H326" s="18"/>
      <c r="I326" s="18" t="s">
        <v>40</v>
      </c>
      <c r="J326" s="19">
        <v>10</v>
      </c>
      <c r="K326" s="18" t="s">
        <v>345</v>
      </c>
      <c r="L326" s="18" t="s">
        <v>149</v>
      </c>
      <c r="M326" s="16" t="s">
        <v>148</v>
      </c>
      <c r="N326" s="18"/>
    </row>
    <row r="327" spans="1:14">
      <c r="A327" s="24">
        <v>46213</v>
      </c>
      <c r="B327" s="5" t="s">
        <v>323</v>
      </c>
      <c r="C327" s="5" t="s">
        <v>180</v>
      </c>
      <c r="D327" s="5" t="s">
        <v>3</v>
      </c>
      <c r="E327" s="5" t="s">
        <v>3</v>
      </c>
      <c r="F327" s="5" t="s">
        <v>355</v>
      </c>
      <c r="G327" s="5" t="s">
        <v>42</v>
      </c>
      <c r="H327" s="5"/>
      <c r="I327" s="5" t="s">
        <v>40</v>
      </c>
      <c r="J327" s="7">
        <v>10</v>
      </c>
      <c r="K327" s="5" t="s">
        <v>345</v>
      </c>
      <c r="L327" s="5" t="s">
        <v>149</v>
      </c>
      <c r="M327" s="16" t="s">
        <v>148</v>
      </c>
      <c r="N327" s="5"/>
    </row>
    <row r="328" spans="1:14">
      <c r="A328" s="25">
        <v>46213</v>
      </c>
      <c r="B328" s="18" t="s">
        <v>323</v>
      </c>
      <c r="C328" s="18" t="s">
        <v>180</v>
      </c>
      <c r="D328" s="18" t="s">
        <v>3</v>
      </c>
      <c r="E328" s="18" t="s">
        <v>3</v>
      </c>
      <c r="F328" s="18" t="s">
        <v>348</v>
      </c>
      <c r="G328" s="18" t="s">
        <v>48</v>
      </c>
      <c r="H328" s="18"/>
      <c r="I328" s="18" t="s">
        <v>47</v>
      </c>
      <c r="J328" s="19">
        <v>5</v>
      </c>
      <c r="K328" s="18" t="s">
        <v>345</v>
      </c>
      <c r="L328" s="18" t="s">
        <v>149</v>
      </c>
      <c r="M328" s="16" t="s">
        <v>148</v>
      </c>
      <c r="N328" s="18"/>
    </row>
    <row r="329" spans="1:14">
      <c r="A329" s="24">
        <v>46213</v>
      </c>
      <c r="B329" s="5" t="s">
        <v>323</v>
      </c>
      <c r="C329" s="5" t="s">
        <v>180</v>
      </c>
      <c r="D329" s="5" t="s">
        <v>6</v>
      </c>
      <c r="E329" s="5" t="s">
        <v>165</v>
      </c>
      <c r="F329" s="5" t="s">
        <v>384</v>
      </c>
      <c r="G329" s="5" t="s">
        <v>239</v>
      </c>
      <c r="H329" s="5"/>
      <c r="I329" s="5" t="s">
        <v>216</v>
      </c>
      <c r="J329" s="7">
        <v>2</v>
      </c>
      <c r="K329" s="5" t="s">
        <v>147</v>
      </c>
      <c r="L329" s="5" t="s">
        <v>147</v>
      </c>
      <c r="M329" s="16" t="s">
        <v>148</v>
      </c>
      <c r="N329" s="5"/>
    </row>
    <row r="330" spans="1:14">
      <c r="A330" s="25">
        <v>46213</v>
      </c>
      <c r="B330" s="18" t="s">
        <v>323</v>
      </c>
      <c r="C330" s="18" t="s">
        <v>180</v>
      </c>
      <c r="D330" s="18" t="s">
        <v>6</v>
      </c>
      <c r="E330" s="18" t="s">
        <v>165</v>
      </c>
      <c r="F330" s="18" t="s">
        <v>384</v>
      </c>
      <c r="G330" s="18" t="s">
        <v>224</v>
      </c>
      <c r="H330" s="18"/>
      <c r="I330" s="18" t="s">
        <v>40</v>
      </c>
      <c r="J330" s="19">
        <v>20</v>
      </c>
      <c r="K330" s="18" t="s">
        <v>147</v>
      </c>
      <c r="L330" s="18" t="s">
        <v>147</v>
      </c>
      <c r="M330" s="16" t="s">
        <v>148</v>
      </c>
      <c r="N330" s="18"/>
    </row>
    <row r="331" spans="1:14">
      <c r="A331" s="24">
        <v>46213</v>
      </c>
      <c r="B331" s="5" t="s">
        <v>323</v>
      </c>
      <c r="C331" s="5" t="s">
        <v>180</v>
      </c>
      <c r="D331" s="5" t="s">
        <v>6</v>
      </c>
      <c r="E331" s="5" t="s">
        <v>165</v>
      </c>
      <c r="F331" s="5" t="s">
        <v>384</v>
      </c>
      <c r="G331" s="5" t="s">
        <v>50</v>
      </c>
      <c r="H331" s="5"/>
      <c r="I331" s="5" t="s">
        <v>40</v>
      </c>
      <c r="J331" s="7">
        <v>15</v>
      </c>
      <c r="K331" s="5" t="s">
        <v>147</v>
      </c>
      <c r="L331" s="5" t="s">
        <v>147</v>
      </c>
      <c r="M331" s="16" t="s">
        <v>148</v>
      </c>
      <c r="N331" s="5"/>
    </row>
    <row r="332" spans="1:14">
      <c r="A332" s="25">
        <v>46213</v>
      </c>
      <c r="B332" s="18" t="s">
        <v>323</v>
      </c>
      <c r="C332" s="18" t="s">
        <v>180</v>
      </c>
      <c r="D332" s="18" t="s">
        <v>6</v>
      </c>
      <c r="E332" s="18" t="s">
        <v>168</v>
      </c>
      <c r="F332" s="18" t="s">
        <v>384</v>
      </c>
      <c r="G332" s="18" t="s">
        <v>224</v>
      </c>
      <c r="H332" s="18"/>
      <c r="I332" s="18" t="s">
        <v>40</v>
      </c>
      <c r="J332" s="19">
        <v>20</v>
      </c>
      <c r="K332" s="18" t="s">
        <v>147</v>
      </c>
      <c r="L332" s="18" t="s">
        <v>147</v>
      </c>
      <c r="M332" s="16" t="s">
        <v>148</v>
      </c>
      <c r="N332" s="18"/>
    </row>
    <row r="333" spans="1:14">
      <c r="A333" s="24">
        <v>46213</v>
      </c>
      <c r="B333" s="5" t="s">
        <v>323</v>
      </c>
      <c r="C333" s="5" t="s">
        <v>180</v>
      </c>
      <c r="D333" s="5" t="s">
        <v>6</v>
      </c>
      <c r="E333" s="5" t="s">
        <v>168</v>
      </c>
      <c r="F333" s="5" t="s">
        <v>384</v>
      </c>
      <c r="G333" s="5" t="s">
        <v>50</v>
      </c>
      <c r="H333" s="5"/>
      <c r="I333" s="5" t="s">
        <v>40</v>
      </c>
      <c r="J333" s="7">
        <v>15</v>
      </c>
      <c r="K333" s="5" t="s">
        <v>147</v>
      </c>
      <c r="L333" s="5" t="s">
        <v>147</v>
      </c>
      <c r="M333" s="16" t="s">
        <v>148</v>
      </c>
      <c r="N333" s="5"/>
    </row>
    <row r="334" spans="1:14">
      <c r="A334" s="25">
        <v>46216</v>
      </c>
      <c r="B334" s="18" t="s">
        <v>324</v>
      </c>
      <c r="C334" s="18" t="s">
        <v>180</v>
      </c>
      <c r="D334" s="18" t="s">
        <v>3</v>
      </c>
      <c r="E334" s="18" t="s">
        <v>3</v>
      </c>
      <c r="F334" s="18" t="s">
        <v>374</v>
      </c>
      <c r="G334" s="18" t="s">
        <v>217</v>
      </c>
      <c r="H334" s="18"/>
      <c r="I334" s="18" t="s">
        <v>216</v>
      </c>
      <c r="J334" s="19">
        <v>2</v>
      </c>
      <c r="K334" s="18" t="s">
        <v>345</v>
      </c>
      <c r="L334" s="18" t="s">
        <v>149</v>
      </c>
      <c r="M334" s="16" t="s">
        <v>148</v>
      </c>
      <c r="N334" s="18"/>
    </row>
    <row r="335" spans="1:14">
      <c r="A335" s="24">
        <v>46216</v>
      </c>
      <c r="B335" s="5" t="s">
        <v>324</v>
      </c>
      <c r="C335" s="5" t="s">
        <v>180</v>
      </c>
      <c r="D335" s="5" t="s">
        <v>3</v>
      </c>
      <c r="E335" s="5" t="s">
        <v>3</v>
      </c>
      <c r="F335" s="5" t="s">
        <v>355</v>
      </c>
      <c r="G335" s="5" t="s">
        <v>50</v>
      </c>
      <c r="H335" s="5"/>
      <c r="I335" s="5" t="s">
        <v>40</v>
      </c>
      <c r="J335" s="7">
        <v>15</v>
      </c>
      <c r="K335" s="5" t="s">
        <v>345</v>
      </c>
      <c r="L335" s="5" t="s">
        <v>149</v>
      </c>
      <c r="M335" s="16" t="s">
        <v>148</v>
      </c>
      <c r="N335" s="5"/>
    </row>
    <row r="336" spans="1:14">
      <c r="A336" s="25">
        <v>46216</v>
      </c>
      <c r="B336" s="18" t="s">
        <v>324</v>
      </c>
      <c r="C336" s="18" t="s">
        <v>180</v>
      </c>
      <c r="D336" s="18" t="s">
        <v>3</v>
      </c>
      <c r="E336" s="18" t="s">
        <v>3</v>
      </c>
      <c r="F336" s="18" t="s">
        <v>355</v>
      </c>
      <c r="G336" s="18" t="s">
        <v>224</v>
      </c>
      <c r="H336" s="18"/>
      <c r="I336" s="18" t="s">
        <v>40</v>
      </c>
      <c r="J336" s="19">
        <v>10</v>
      </c>
      <c r="K336" s="18" t="s">
        <v>345</v>
      </c>
      <c r="L336" s="18" t="s">
        <v>149</v>
      </c>
      <c r="M336" s="16" t="s">
        <v>148</v>
      </c>
      <c r="N336" s="18"/>
    </row>
    <row r="337" spans="1:14">
      <c r="A337" s="24">
        <v>46216</v>
      </c>
      <c r="B337" s="5" t="s">
        <v>324</v>
      </c>
      <c r="C337" s="5" t="s">
        <v>180</v>
      </c>
      <c r="D337" s="5" t="s">
        <v>3</v>
      </c>
      <c r="E337" s="5" t="s">
        <v>3</v>
      </c>
      <c r="F337" s="5" t="s">
        <v>374</v>
      </c>
      <c r="G337" s="5" t="s">
        <v>215</v>
      </c>
      <c r="H337" s="5"/>
      <c r="I337" s="5" t="s">
        <v>216</v>
      </c>
      <c r="J337" s="7">
        <v>2</v>
      </c>
      <c r="K337" s="5" t="s">
        <v>345</v>
      </c>
      <c r="L337" s="5" t="s">
        <v>149</v>
      </c>
      <c r="M337" s="16" t="s">
        <v>148</v>
      </c>
      <c r="N337" s="5"/>
    </row>
    <row r="338" spans="1:14">
      <c r="A338" s="25">
        <v>46216</v>
      </c>
      <c r="B338" s="18" t="s">
        <v>324</v>
      </c>
      <c r="C338" s="18" t="s">
        <v>180</v>
      </c>
      <c r="D338" s="18" t="s">
        <v>3</v>
      </c>
      <c r="E338" s="18" t="s">
        <v>3</v>
      </c>
      <c r="F338" s="18" t="s">
        <v>374</v>
      </c>
      <c r="G338" s="18" t="s">
        <v>239</v>
      </c>
      <c r="H338" s="18"/>
      <c r="I338" s="18" t="s">
        <v>216</v>
      </c>
      <c r="J338" s="19">
        <v>1</v>
      </c>
      <c r="K338" s="18" t="s">
        <v>153</v>
      </c>
      <c r="L338" s="18" t="s">
        <v>153</v>
      </c>
      <c r="M338" s="17" t="s">
        <v>153</v>
      </c>
      <c r="N338" s="18"/>
    </row>
    <row r="339" spans="1:14">
      <c r="A339" s="24">
        <v>46216</v>
      </c>
      <c r="B339" s="5" t="s">
        <v>324</v>
      </c>
      <c r="C339" s="5" t="s">
        <v>180</v>
      </c>
      <c r="D339" s="5" t="s">
        <v>6</v>
      </c>
      <c r="E339" s="5" t="s">
        <v>163</v>
      </c>
      <c r="F339" s="5" t="s">
        <v>384</v>
      </c>
      <c r="G339" s="5" t="s">
        <v>188</v>
      </c>
      <c r="H339" s="5"/>
      <c r="I339" s="5" t="s">
        <v>216</v>
      </c>
      <c r="J339" s="7">
        <v>1</v>
      </c>
      <c r="K339" s="5" t="s">
        <v>153</v>
      </c>
      <c r="L339" s="5" t="s">
        <v>153</v>
      </c>
      <c r="M339" s="17" t="s">
        <v>153</v>
      </c>
      <c r="N339" s="5"/>
    </row>
    <row r="340" spans="1:14">
      <c r="A340" s="25">
        <v>46216</v>
      </c>
      <c r="B340" s="18" t="s">
        <v>324</v>
      </c>
      <c r="C340" s="18" t="s">
        <v>180</v>
      </c>
      <c r="D340" s="18" t="s">
        <v>6</v>
      </c>
      <c r="E340" s="18" t="s">
        <v>163</v>
      </c>
      <c r="F340" s="18" t="s">
        <v>384</v>
      </c>
      <c r="G340" s="18" t="s">
        <v>236</v>
      </c>
      <c r="H340" s="18"/>
      <c r="I340" s="18" t="s">
        <v>40</v>
      </c>
      <c r="J340" s="19">
        <v>1</v>
      </c>
      <c r="K340" s="18" t="s">
        <v>147</v>
      </c>
      <c r="L340" s="18" t="s">
        <v>147</v>
      </c>
      <c r="M340" s="16" t="s">
        <v>148</v>
      </c>
      <c r="N340" s="18"/>
    </row>
    <row r="341" spans="1:14">
      <c r="A341" s="24">
        <v>46216</v>
      </c>
      <c r="B341" s="5" t="s">
        <v>324</v>
      </c>
      <c r="C341" s="5" t="s">
        <v>180</v>
      </c>
      <c r="D341" s="5" t="s">
        <v>6</v>
      </c>
      <c r="E341" s="5" t="s">
        <v>163</v>
      </c>
      <c r="F341" s="5" t="s">
        <v>384</v>
      </c>
      <c r="G341" s="5" t="s">
        <v>39</v>
      </c>
      <c r="H341" s="5"/>
      <c r="I341" s="5" t="s">
        <v>40</v>
      </c>
      <c r="J341" s="7">
        <v>200</v>
      </c>
      <c r="K341" s="5" t="s">
        <v>147</v>
      </c>
      <c r="L341" s="5" t="s">
        <v>147</v>
      </c>
      <c r="M341" s="16" t="s">
        <v>148</v>
      </c>
      <c r="N341" s="5"/>
    </row>
    <row r="342" spans="1:14">
      <c r="A342" s="25">
        <v>46216</v>
      </c>
      <c r="B342" s="18" t="s">
        <v>324</v>
      </c>
      <c r="C342" s="18" t="s">
        <v>180</v>
      </c>
      <c r="D342" s="18" t="s">
        <v>6</v>
      </c>
      <c r="E342" s="18" t="s">
        <v>163</v>
      </c>
      <c r="F342" s="18" t="s">
        <v>384</v>
      </c>
      <c r="G342" s="18" t="s">
        <v>271</v>
      </c>
      <c r="H342" s="18"/>
      <c r="I342" s="18" t="s">
        <v>47</v>
      </c>
      <c r="J342" s="19">
        <v>1</v>
      </c>
      <c r="K342" s="18" t="s">
        <v>147</v>
      </c>
      <c r="L342" s="18" t="s">
        <v>147</v>
      </c>
      <c r="M342" s="16" t="s">
        <v>148</v>
      </c>
      <c r="N342" s="18"/>
    </row>
    <row r="343" spans="1:14">
      <c r="A343" s="24">
        <v>46216</v>
      </c>
      <c r="B343" s="5" t="s">
        <v>324</v>
      </c>
      <c r="C343" s="5" t="s">
        <v>180</v>
      </c>
      <c r="D343" s="5" t="s">
        <v>6</v>
      </c>
      <c r="E343" s="5" t="s">
        <v>163</v>
      </c>
      <c r="F343" s="5" t="s">
        <v>384</v>
      </c>
      <c r="G343" s="5" t="s">
        <v>193</v>
      </c>
      <c r="H343" s="5"/>
      <c r="I343" s="5" t="s">
        <v>216</v>
      </c>
      <c r="J343" s="7">
        <v>2</v>
      </c>
      <c r="K343" s="5" t="s">
        <v>153</v>
      </c>
      <c r="L343" s="5" t="s">
        <v>153</v>
      </c>
      <c r="M343" s="17" t="s">
        <v>153</v>
      </c>
      <c r="N343" s="5"/>
    </row>
    <row r="344" spans="1:14">
      <c r="A344" s="25">
        <v>46216</v>
      </c>
      <c r="B344" s="18" t="s">
        <v>324</v>
      </c>
      <c r="C344" s="18" t="s">
        <v>180</v>
      </c>
      <c r="D344" s="18" t="s">
        <v>6</v>
      </c>
      <c r="E344" s="18" t="s">
        <v>163</v>
      </c>
      <c r="F344" s="18" t="s">
        <v>384</v>
      </c>
      <c r="G344" s="18" t="s">
        <v>41</v>
      </c>
      <c r="H344" s="18"/>
      <c r="I344" s="18" t="s">
        <v>40</v>
      </c>
      <c r="J344" s="19">
        <v>100</v>
      </c>
      <c r="K344" s="18" t="s">
        <v>147</v>
      </c>
      <c r="L344" s="18" t="s">
        <v>147</v>
      </c>
      <c r="M344" s="16" t="s">
        <v>148</v>
      </c>
      <c r="N344" s="18"/>
    </row>
    <row r="345" spans="1:14">
      <c r="A345" s="24">
        <v>46216</v>
      </c>
      <c r="B345" s="5" t="s">
        <v>324</v>
      </c>
      <c r="C345" s="5" t="s">
        <v>180</v>
      </c>
      <c r="D345" s="5" t="s">
        <v>6</v>
      </c>
      <c r="E345" s="5" t="s">
        <v>163</v>
      </c>
      <c r="F345" s="5" t="s">
        <v>384</v>
      </c>
      <c r="G345" s="5" t="s">
        <v>43</v>
      </c>
      <c r="H345" s="5"/>
      <c r="I345" s="5" t="s">
        <v>40</v>
      </c>
      <c r="J345" s="7">
        <v>100</v>
      </c>
      <c r="K345" s="5" t="s">
        <v>147</v>
      </c>
      <c r="L345" s="5" t="s">
        <v>147</v>
      </c>
      <c r="M345" s="16" t="s">
        <v>148</v>
      </c>
      <c r="N345" s="5"/>
    </row>
    <row r="346" spans="1:14">
      <c r="A346" s="25">
        <v>46216</v>
      </c>
      <c r="B346" s="18" t="s">
        <v>324</v>
      </c>
      <c r="C346" s="18" t="s">
        <v>180</v>
      </c>
      <c r="D346" s="18" t="s">
        <v>6</v>
      </c>
      <c r="E346" s="18" t="s">
        <v>163</v>
      </c>
      <c r="F346" s="18" t="s">
        <v>384</v>
      </c>
      <c r="G346" s="18" t="s">
        <v>42</v>
      </c>
      <c r="H346" s="18"/>
      <c r="I346" s="18" t="s">
        <v>40</v>
      </c>
      <c r="J346" s="19">
        <v>150</v>
      </c>
      <c r="K346" s="18" t="s">
        <v>147</v>
      </c>
      <c r="L346" s="18" t="s">
        <v>147</v>
      </c>
      <c r="M346" s="16" t="s">
        <v>148</v>
      </c>
      <c r="N346" s="18"/>
    </row>
    <row r="347" spans="1:14">
      <c r="A347" s="24">
        <v>46216</v>
      </c>
      <c r="B347" s="5" t="s">
        <v>324</v>
      </c>
      <c r="C347" s="5" t="s">
        <v>180</v>
      </c>
      <c r="D347" s="5" t="s">
        <v>6</v>
      </c>
      <c r="E347" s="5" t="s">
        <v>165</v>
      </c>
      <c r="F347" s="5" t="s">
        <v>384</v>
      </c>
      <c r="G347" s="5" t="s">
        <v>230</v>
      </c>
      <c r="H347" s="5"/>
      <c r="I347" s="5" t="s">
        <v>47</v>
      </c>
      <c r="J347" s="7">
        <v>2</v>
      </c>
      <c r="K347" s="5" t="s">
        <v>147</v>
      </c>
      <c r="L347" s="5" t="s">
        <v>147</v>
      </c>
      <c r="M347" s="16" t="s">
        <v>148</v>
      </c>
      <c r="N347" s="5"/>
    </row>
    <row r="348" spans="1:14">
      <c r="A348" s="25">
        <v>46216</v>
      </c>
      <c r="B348" s="18" t="s">
        <v>324</v>
      </c>
      <c r="C348" s="18" t="s">
        <v>180</v>
      </c>
      <c r="D348" s="18" t="s">
        <v>6</v>
      </c>
      <c r="E348" s="18" t="s">
        <v>165</v>
      </c>
      <c r="F348" s="18" t="s">
        <v>384</v>
      </c>
      <c r="G348" s="18" t="s">
        <v>268</v>
      </c>
      <c r="H348" s="18"/>
      <c r="I348" s="18" t="s">
        <v>216</v>
      </c>
      <c r="J348" s="19">
        <v>20</v>
      </c>
      <c r="K348" s="18" t="s">
        <v>147</v>
      </c>
      <c r="L348" s="18" t="s">
        <v>147</v>
      </c>
      <c r="M348" s="16" t="s">
        <v>148</v>
      </c>
      <c r="N348" s="18"/>
    </row>
    <row r="349" spans="1:14">
      <c r="A349" s="24">
        <v>46216</v>
      </c>
      <c r="B349" s="5" t="s">
        <v>324</v>
      </c>
      <c r="C349" s="5" t="s">
        <v>180</v>
      </c>
      <c r="D349" s="5" t="s">
        <v>6</v>
      </c>
      <c r="E349" s="5" t="s">
        <v>165</v>
      </c>
      <c r="F349" s="5" t="s">
        <v>384</v>
      </c>
      <c r="G349" s="5" t="s">
        <v>235</v>
      </c>
      <c r="H349" s="5"/>
      <c r="I349" s="5" t="s">
        <v>47</v>
      </c>
      <c r="J349" s="7">
        <v>1</v>
      </c>
      <c r="K349" s="5" t="s">
        <v>147</v>
      </c>
      <c r="L349" s="5" t="s">
        <v>147</v>
      </c>
      <c r="M349" s="16" t="s">
        <v>148</v>
      </c>
      <c r="N349" s="5"/>
    </row>
    <row r="350" spans="1:14">
      <c r="A350" s="25">
        <v>46216</v>
      </c>
      <c r="B350" s="18" t="s">
        <v>324</v>
      </c>
      <c r="C350" s="18" t="s">
        <v>180</v>
      </c>
      <c r="D350" s="18" t="s">
        <v>6</v>
      </c>
      <c r="E350" s="18" t="s">
        <v>165</v>
      </c>
      <c r="F350" s="18" t="s">
        <v>384</v>
      </c>
      <c r="G350" s="18" t="s">
        <v>238</v>
      </c>
      <c r="H350" s="18"/>
      <c r="I350" s="18" t="s">
        <v>47</v>
      </c>
      <c r="J350" s="19">
        <v>1</v>
      </c>
      <c r="K350" s="18" t="s">
        <v>147</v>
      </c>
      <c r="L350" s="18" t="s">
        <v>147</v>
      </c>
      <c r="M350" s="16" t="s">
        <v>148</v>
      </c>
      <c r="N350" s="18"/>
    </row>
    <row r="351" spans="1:14">
      <c r="A351" s="24">
        <v>46216</v>
      </c>
      <c r="B351" s="5" t="s">
        <v>324</v>
      </c>
      <c r="C351" s="5" t="s">
        <v>180</v>
      </c>
      <c r="D351" s="5" t="s">
        <v>6</v>
      </c>
      <c r="E351" s="5" t="s">
        <v>165</v>
      </c>
      <c r="F351" s="5" t="s">
        <v>384</v>
      </c>
      <c r="G351" s="5" t="s">
        <v>254</v>
      </c>
      <c r="H351" s="5"/>
      <c r="I351" s="5" t="s">
        <v>47</v>
      </c>
      <c r="J351" s="7">
        <v>1</v>
      </c>
      <c r="K351" s="5" t="s">
        <v>147</v>
      </c>
      <c r="L351" s="5" t="s">
        <v>147</v>
      </c>
      <c r="M351" s="16" t="s">
        <v>148</v>
      </c>
      <c r="N351" s="5"/>
    </row>
    <row r="352" spans="1:14">
      <c r="A352" s="25">
        <v>46216</v>
      </c>
      <c r="B352" s="18" t="s">
        <v>324</v>
      </c>
      <c r="C352" s="18" t="s">
        <v>180</v>
      </c>
      <c r="D352" s="18" t="s">
        <v>6</v>
      </c>
      <c r="E352" s="18" t="s">
        <v>165</v>
      </c>
      <c r="F352" s="18" t="s">
        <v>384</v>
      </c>
      <c r="G352" s="18" t="s">
        <v>190</v>
      </c>
      <c r="H352" s="18"/>
      <c r="I352" s="18" t="s">
        <v>47</v>
      </c>
      <c r="J352" s="19">
        <v>1</v>
      </c>
      <c r="K352" s="18" t="s">
        <v>147</v>
      </c>
      <c r="L352" s="18" t="s">
        <v>147</v>
      </c>
      <c r="M352" s="16" t="s">
        <v>148</v>
      </c>
      <c r="N352" s="18"/>
    </row>
    <row r="353" spans="1:14">
      <c r="A353" s="24">
        <v>46216</v>
      </c>
      <c r="B353" s="5" t="s">
        <v>324</v>
      </c>
      <c r="C353" s="5" t="s">
        <v>180</v>
      </c>
      <c r="D353" s="5" t="s">
        <v>6</v>
      </c>
      <c r="E353" s="5" t="s">
        <v>165</v>
      </c>
      <c r="F353" s="5" t="s">
        <v>384</v>
      </c>
      <c r="G353" s="5" t="s">
        <v>46</v>
      </c>
      <c r="H353" s="5"/>
      <c r="I353" s="5" t="s">
        <v>47</v>
      </c>
      <c r="J353" s="7">
        <v>50</v>
      </c>
      <c r="K353" s="5" t="s">
        <v>153</v>
      </c>
      <c r="L353" s="5" t="s">
        <v>153</v>
      </c>
      <c r="M353" s="17" t="s">
        <v>153</v>
      </c>
      <c r="N353" s="5"/>
    </row>
    <row r="354" spans="1:14">
      <c r="A354" s="25">
        <v>46216</v>
      </c>
      <c r="B354" s="18" t="s">
        <v>324</v>
      </c>
      <c r="C354" s="18" t="s">
        <v>180</v>
      </c>
      <c r="D354" s="18" t="s">
        <v>6</v>
      </c>
      <c r="E354" s="18" t="s">
        <v>165</v>
      </c>
      <c r="F354" s="18" t="s">
        <v>384</v>
      </c>
      <c r="G354" s="18" t="s">
        <v>48</v>
      </c>
      <c r="H354" s="18"/>
      <c r="I354" s="18" t="s">
        <v>47</v>
      </c>
      <c r="J354" s="19">
        <v>50</v>
      </c>
      <c r="K354" s="18" t="s">
        <v>147</v>
      </c>
      <c r="L354" s="18" t="s">
        <v>147</v>
      </c>
      <c r="M354" s="16" t="s">
        <v>148</v>
      </c>
      <c r="N354" s="18"/>
    </row>
    <row r="355" spans="1:14">
      <c r="A355" s="24">
        <v>46216</v>
      </c>
      <c r="B355" s="5" t="s">
        <v>324</v>
      </c>
      <c r="C355" s="5" t="s">
        <v>180</v>
      </c>
      <c r="D355" s="5" t="s">
        <v>6</v>
      </c>
      <c r="E355" s="5" t="s">
        <v>165</v>
      </c>
      <c r="F355" s="5" t="s">
        <v>384</v>
      </c>
      <c r="G355" s="5" t="s">
        <v>185</v>
      </c>
      <c r="H355" s="5"/>
      <c r="I355" s="5" t="s">
        <v>47</v>
      </c>
      <c r="J355" s="7">
        <v>4</v>
      </c>
      <c r="K355" s="5" t="s">
        <v>153</v>
      </c>
      <c r="L355" s="5" t="s">
        <v>153</v>
      </c>
      <c r="M355" s="17" t="s">
        <v>153</v>
      </c>
      <c r="N355" s="5"/>
    </row>
    <row r="356" spans="1:14">
      <c r="A356" s="25">
        <v>46216</v>
      </c>
      <c r="B356" s="18" t="s">
        <v>324</v>
      </c>
      <c r="C356" s="18" t="s">
        <v>180</v>
      </c>
      <c r="D356" s="18" t="s">
        <v>6</v>
      </c>
      <c r="E356" s="18" t="s">
        <v>165</v>
      </c>
      <c r="F356" s="18" t="s">
        <v>384</v>
      </c>
      <c r="G356" s="18" t="s">
        <v>217</v>
      </c>
      <c r="H356" s="18"/>
      <c r="I356" s="18" t="s">
        <v>216</v>
      </c>
      <c r="J356" s="19">
        <v>2</v>
      </c>
      <c r="K356" s="18" t="s">
        <v>147</v>
      </c>
      <c r="L356" s="18" t="s">
        <v>147</v>
      </c>
      <c r="M356" s="16" t="s">
        <v>148</v>
      </c>
      <c r="N356" s="18"/>
    </row>
    <row r="357" spans="1:14">
      <c r="A357" s="24">
        <v>46216</v>
      </c>
      <c r="B357" s="5" t="s">
        <v>324</v>
      </c>
      <c r="C357" s="5" t="s">
        <v>180</v>
      </c>
      <c r="D357" s="5" t="s">
        <v>6</v>
      </c>
      <c r="E357" s="5" t="s">
        <v>165</v>
      </c>
      <c r="F357" s="5" t="s">
        <v>384</v>
      </c>
      <c r="G357" s="5" t="s">
        <v>240</v>
      </c>
      <c r="H357" s="5"/>
      <c r="I357" s="5" t="s">
        <v>216</v>
      </c>
      <c r="J357" s="7">
        <v>2</v>
      </c>
      <c r="K357" s="5" t="s">
        <v>153</v>
      </c>
      <c r="L357" s="5" t="s">
        <v>153</v>
      </c>
      <c r="M357" s="17" t="s">
        <v>153</v>
      </c>
      <c r="N357" s="5"/>
    </row>
    <row r="358" spans="1:14">
      <c r="A358" s="25">
        <v>46216</v>
      </c>
      <c r="B358" s="18" t="s">
        <v>324</v>
      </c>
      <c r="C358" s="18" t="s">
        <v>180</v>
      </c>
      <c r="D358" s="18" t="s">
        <v>6</v>
      </c>
      <c r="E358" s="18" t="s">
        <v>165</v>
      </c>
      <c r="F358" s="18" t="s">
        <v>384</v>
      </c>
      <c r="G358" s="18" t="s">
        <v>227</v>
      </c>
      <c r="H358" s="18"/>
      <c r="I358" s="18" t="s">
        <v>216</v>
      </c>
      <c r="J358" s="19">
        <v>1</v>
      </c>
      <c r="K358" s="18" t="s">
        <v>153</v>
      </c>
      <c r="L358" s="18" t="s">
        <v>153</v>
      </c>
      <c r="M358" s="17" t="s">
        <v>153</v>
      </c>
      <c r="N358" s="18"/>
    </row>
    <row r="359" spans="1:14">
      <c r="A359" s="24">
        <v>46216</v>
      </c>
      <c r="B359" s="5" t="s">
        <v>324</v>
      </c>
      <c r="C359" s="5" t="s">
        <v>180</v>
      </c>
      <c r="D359" s="5" t="s">
        <v>6</v>
      </c>
      <c r="E359" s="5" t="s">
        <v>165</v>
      </c>
      <c r="F359" s="5" t="s">
        <v>384</v>
      </c>
      <c r="G359" s="5" t="s">
        <v>249</v>
      </c>
      <c r="H359" s="5"/>
      <c r="I359" s="5" t="s">
        <v>40</v>
      </c>
      <c r="J359" s="7">
        <v>2</v>
      </c>
      <c r="K359" s="5" t="s">
        <v>147</v>
      </c>
      <c r="L359" s="5" t="s">
        <v>147</v>
      </c>
      <c r="M359" s="16" t="s">
        <v>148</v>
      </c>
      <c r="N359" s="5"/>
    </row>
    <row r="360" spans="1:14">
      <c r="A360" s="25">
        <v>46216</v>
      </c>
      <c r="B360" s="18" t="s">
        <v>324</v>
      </c>
      <c r="C360" s="18" t="s">
        <v>180</v>
      </c>
      <c r="D360" s="18" t="s">
        <v>6</v>
      </c>
      <c r="E360" s="18" t="s">
        <v>167</v>
      </c>
      <c r="F360" s="18" t="s">
        <v>384</v>
      </c>
      <c r="G360" s="18" t="s">
        <v>234</v>
      </c>
      <c r="H360" s="18"/>
      <c r="I360" s="18" t="s">
        <v>47</v>
      </c>
      <c r="J360" s="19">
        <v>1</v>
      </c>
      <c r="K360" s="18" t="s">
        <v>147</v>
      </c>
      <c r="L360" s="18" t="s">
        <v>147</v>
      </c>
      <c r="M360" s="16" t="s">
        <v>148</v>
      </c>
      <c r="N360" s="18"/>
    </row>
    <row r="361" spans="1:14">
      <c r="A361" s="24">
        <v>46216</v>
      </c>
      <c r="B361" s="5" t="s">
        <v>324</v>
      </c>
      <c r="C361" s="5" t="s">
        <v>180</v>
      </c>
      <c r="D361" s="5" t="s">
        <v>6</v>
      </c>
      <c r="E361" s="5" t="s">
        <v>167</v>
      </c>
      <c r="F361" s="5" t="s">
        <v>384</v>
      </c>
      <c r="G361" s="5" t="s">
        <v>190</v>
      </c>
      <c r="H361" s="5"/>
      <c r="I361" s="5" t="s">
        <v>47</v>
      </c>
      <c r="J361" s="7">
        <v>1</v>
      </c>
      <c r="K361" s="5" t="s">
        <v>147</v>
      </c>
      <c r="L361" s="5" t="s">
        <v>147</v>
      </c>
      <c r="M361" s="16" t="s">
        <v>148</v>
      </c>
      <c r="N361" s="5"/>
    </row>
    <row r="362" spans="1:14">
      <c r="A362" s="25">
        <v>46216</v>
      </c>
      <c r="B362" s="18" t="s">
        <v>324</v>
      </c>
      <c r="C362" s="18" t="s">
        <v>180</v>
      </c>
      <c r="D362" s="18" t="s">
        <v>6</v>
      </c>
      <c r="E362" s="18" t="s">
        <v>167</v>
      </c>
      <c r="F362" s="18" t="s">
        <v>384</v>
      </c>
      <c r="G362" s="18" t="s">
        <v>238</v>
      </c>
      <c r="H362" s="18"/>
      <c r="I362" s="18" t="s">
        <v>47</v>
      </c>
      <c r="J362" s="19">
        <v>1</v>
      </c>
      <c r="K362" s="18" t="s">
        <v>147</v>
      </c>
      <c r="L362" s="18" t="s">
        <v>147</v>
      </c>
      <c r="M362" s="16" t="s">
        <v>148</v>
      </c>
      <c r="N362" s="18"/>
    </row>
    <row r="363" spans="1:14">
      <c r="A363" s="24">
        <v>46216</v>
      </c>
      <c r="B363" s="5" t="s">
        <v>324</v>
      </c>
      <c r="C363" s="5" t="s">
        <v>180</v>
      </c>
      <c r="D363" s="5" t="s">
        <v>6</v>
      </c>
      <c r="E363" s="5" t="s">
        <v>167</v>
      </c>
      <c r="F363" s="5" t="s">
        <v>384</v>
      </c>
      <c r="G363" s="5" t="s">
        <v>250</v>
      </c>
      <c r="H363" s="5"/>
      <c r="I363" s="5" t="s">
        <v>40</v>
      </c>
      <c r="J363" s="7">
        <v>1</v>
      </c>
      <c r="K363" s="5" t="s">
        <v>147</v>
      </c>
      <c r="L363" s="5" t="s">
        <v>147</v>
      </c>
      <c r="M363" s="16" t="s">
        <v>148</v>
      </c>
      <c r="N363" s="5"/>
    </row>
    <row r="364" spans="1:14">
      <c r="A364" s="25">
        <v>46216</v>
      </c>
      <c r="B364" s="18" t="s">
        <v>324</v>
      </c>
      <c r="C364" s="18" t="s">
        <v>180</v>
      </c>
      <c r="D364" s="18" t="s">
        <v>6</v>
      </c>
      <c r="E364" s="18" t="s">
        <v>168</v>
      </c>
      <c r="F364" s="18" t="s">
        <v>384</v>
      </c>
      <c r="G364" s="18" t="s">
        <v>236</v>
      </c>
      <c r="H364" s="18"/>
      <c r="I364" s="18" t="s">
        <v>40</v>
      </c>
      <c r="J364" s="19">
        <v>1</v>
      </c>
      <c r="K364" s="18" t="s">
        <v>147</v>
      </c>
      <c r="L364" s="18" t="s">
        <v>147</v>
      </c>
      <c r="M364" s="16" t="s">
        <v>148</v>
      </c>
      <c r="N364" s="18"/>
    </row>
    <row r="365" spans="1:14">
      <c r="A365" s="24">
        <v>46216</v>
      </c>
      <c r="B365" s="5" t="s">
        <v>324</v>
      </c>
      <c r="C365" s="5" t="s">
        <v>180</v>
      </c>
      <c r="D365" s="5" t="s">
        <v>6</v>
      </c>
      <c r="E365" s="5" t="s">
        <v>168</v>
      </c>
      <c r="F365" s="5" t="s">
        <v>384</v>
      </c>
      <c r="G365" s="5" t="s">
        <v>230</v>
      </c>
      <c r="H365" s="5"/>
      <c r="I365" s="5" t="s">
        <v>47</v>
      </c>
      <c r="J365" s="7">
        <v>1</v>
      </c>
      <c r="K365" s="5" t="s">
        <v>147</v>
      </c>
      <c r="L365" s="5" t="s">
        <v>147</v>
      </c>
      <c r="M365" s="16" t="s">
        <v>148</v>
      </c>
      <c r="N365" s="5"/>
    </row>
    <row r="366" spans="1:14">
      <c r="A366" s="25">
        <v>46216</v>
      </c>
      <c r="B366" s="18" t="s">
        <v>324</v>
      </c>
      <c r="C366" s="18" t="s">
        <v>180</v>
      </c>
      <c r="D366" s="18" t="s">
        <v>6</v>
      </c>
      <c r="E366" s="18" t="s">
        <v>168</v>
      </c>
      <c r="F366" s="18" t="s">
        <v>384</v>
      </c>
      <c r="G366" s="18" t="s">
        <v>186</v>
      </c>
      <c r="H366" s="18"/>
      <c r="I366" s="18" t="s">
        <v>40</v>
      </c>
      <c r="J366" s="19">
        <v>2</v>
      </c>
      <c r="K366" s="18" t="s">
        <v>153</v>
      </c>
      <c r="L366" s="18" t="s">
        <v>153</v>
      </c>
      <c r="M366" s="17" t="s">
        <v>153</v>
      </c>
      <c r="N366" s="18"/>
    </row>
    <row r="367" spans="1:14">
      <c r="A367" s="24">
        <v>46216</v>
      </c>
      <c r="B367" s="5" t="s">
        <v>324</v>
      </c>
      <c r="C367" s="5" t="s">
        <v>180</v>
      </c>
      <c r="D367" s="5" t="s">
        <v>6</v>
      </c>
      <c r="E367" s="5" t="s">
        <v>168</v>
      </c>
      <c r="F367" s="5" t="s">
        <v>384</v>
      </c>
      <c r="G367" s="5" t="s">
        <v>269</v>
      </c>
      <c r="H367" s="5"/>
      <c r="I367" s="5" t="s">
        <v>40</v>
      </c>
      <c r="J367" s="7">
        <v>1</v>
      </c>
      <c r="K367" s="5" t="s">
        <v>147</v>
      </c>
      <c r="L367" s="5" t="s">
        <v>147</v>
      </c>
      <c r="M367" s="16" t="s">
        <v>148</v>
      </c>
      <c r="N367" s="5"/>
    </row>
    <row r="368" spans="1:14">
      <c r="A368" s="25">
        <v>46216</v>
      </c>
      <c r="B368" s="18" t="s">
        <v>324</v>
      </c>
      <c r="C368" s="18" t="s">
        <v>180</v>
      </c>
      <c r="D368" s="18" t="s">
        <v>6</v>
      </c>
      <c r="E368" s="18" t="s">
        <v>168</v>
      </c>
      <c r="F368" s="18" t="s">
        <v>384</v>
      </c>
      <c r="G368" s="18" t="s">
        <v>253</v>
      </c>
      <c r="H368" s="18"/>
      <c r="I368" s="18" t="s">
        <v>216</v>
      </c>
      <c r="J368" s="19">
        <v>1</v>
      </c>
      <c r="K368" s="18" t="s">
        <v>147</v>
      </c>
      <c r="L368" s="18" t="s">
        <v>147</v>
      </c>
      <c r="M368" s="16" t="s">
        <v>148</v>
      </c>
      <c r="N368" s="18"/>
    </row>
    <row r="369" spans="1:14">
      <c r="A369" s="24">
        <v>46216</v>
      </c>
      <c r="B369" s="5" t="s">
        <v>324</v>
      </c>
      <c r="C369" s="5" t="s">
        <v>180</v>
      </c>
      <c r="D369" s="5" t="s">
        <v>6</v>
      </c>
      <c r="E369" s="5" t="s">
        <v>169</v>
      </c>
      <c r="F369" s="5" t="s">
        <v>384</v>
      </c>
      <c r="G369" s="5" t="s">
        <v>46</v>
      </c>
      <c r="H369" s="5"/>
      <c r="I369" s="5" t="s">
        <v>47</v>
      </c>
      <c r="J369" s="7">
        <v>30</v>
      </c>
      <c r="K369" s="5" t="s">
        <v>153</v>
      </c>
      <c r="L369" s="5" t="s">
        <v>153</v>
      </c>
      <c r="M369" s="17" t="s">
        <v>153</v>
      </c>
      <c r="N369" s="5"/>
    </row>
    <row r="370" spans="1:14">
      <c r="A370" s="25">
        <v>46216</v>
      </c>
      <c r="B370" s="18" t="s">
        <v>324</v>
      </c>
      <c r="C370" s="18" t="s">
        <v>180</v>
      </c>
      <c r="D370" s="18" t="s">
        <v>6</v>
      </c>
      <c r="E370" s="18" t="s">
        <v>169</v>
      </c>
      <c r="F370" s="18" t="s">
        <v>384</v>
      </c>
      <c r="G370" s="18" t="s">
        <v>259</v>
      </c>
      <c r="H370" s="18"/>
      <c r="I370" s="18" t="s">
        <v>40</v>
      </c>
      <c r="J370" s="19">
        <v>1</v>
      </c>
      <c r="K370" s="18" t="s">
        <v>147</v>
      </c>
      <c r="L370" s="18" t="s">
        <v>147</v>
      </c>
      <c r="M370" s="16" t="s">
        <v>148</v>
      </c>
      <c r="N370" s="18"/>
    </row>
    <row r="371" spans="1:14">
      <c r="A371" s="24">
        <v>46216</v>
      </c>
      <c r="B371" s="5" t="s">
        <v>324</v>
      </c>
      <c r="C371" s="5" t="s">
        <v>180</v>
      </c>
      <c r="D371" s="5" t="s">
        <v>6</v>
      </c>
      <c r="E371" s="5" t="s">
        <v>169</v>
      </c>
      <c r="F371" s="5" t="s">
        <v>384</v>
      </c>
      <c r="G371" s="5" t="s">
        <v>193</v>
      </c>
      <c r="H371" s="5"/>
      <c r="I371" s="5" t="s">
        <v>216</v>
      </c>
      <c r="J371" s="7">
        <v>4</v>
      </c>
      <c r="K371" s="5" t="s">
        <v>147</v>
      </c>
      <c r="L371" s="5" t="s">
        <v>147</v>
      </c>
      <c r="M371" s="16" t="s">
        <v>148</v>
      </c>
      <c r="N371" s="5"/>
    </row>
    <row r="372" spans="1:14">
      <c r="A372" s="25">
        <v>46217</v>
      </c>
      <c r="B372" s="18" t="s">
        <v>324</v>
      </c>
      <c r="C372" s="18" t="s">
        <v>180</v>
      </c>
      <c r="D372" s="18" t="s">
        <v>3</v>
      </c>
      <c r="E372" s="18" t="s">
        <v>158</v>
      </c>
      <c r="F372" s="18" t="s">
        <v>375</v>
      </c>
      <c r="G372" s="18" t="s">
        <v>48</v>
      </c>
      <c r="H372" s="18"/>
      <c r="I372" s="18" t="s">
        <v>47</v>
      </c>
      <c r="J372" s="19">
        <v>2</v>
      </c>
      <c r="K372" s="18" t="s">
        <v>345</v>
      </c>
      <c r="L372" s="18" t="s">
        <v>149</v>
      </c>
      <c r="M372" s="16" t="s">
        <v>148</v>
      </c>
      <c r="N372" s="18"/>
    </row>
    <row r="373" spans="1:14">
      <c r="A373" s="24">
        <v>46217</v>
      </c>
      <c r="B373" s="5" t="s">
        <v>324</v>
      </c>
      <c r="C373" s="5" t="s">
        <v>180</v>
      </c>
      <c r="D373" s="5" t="s">
        <v>3</v>
      </c>
      <c r="E373" s="5" t="s">
        <v>159</v>
      </c>
      <c r="F373" s="5" t="s">
        <v>358</v>
      </c>
      <c r="G373" s="5" t="s">
        <v>258</v>
      </c>
      <c r="H373" s="5"/>
      <c r="I373" s="5" t="s">
        <v>216</v>
      </c>
      <c r="J373" s="7">
        <v>1</v>
      </c>
      <c r="K373" s="5" t="s">
        <v>345</v>
      </c>
      <c r="L373" s="5" t="s">
        <v>149</v>
      </c>
      <c r="M373" s="16" t="s">
        <v>148</v>
      </c>
      <c r="N373" s="5"/>
    </row>
    <row r="374" spans="1:14">
      <c r="A374" s="25">
        <v>46217</v>
      </c>
      <c r="B374" s="18" t="s">
        <v>324</v>
      </c>
      <c r="C374" s="18" t="s">
        <v>180</v>
      </c>
      <c r="D374" s="18" t="s">
        <v>3</v>
      </c>
      <c r="E374" s="18" t="s">
        <v>159</v>
      </c>
      <c r="F374" s="18" t="s">
        <v>364</v>
      </c>
      <c r="G374" s="18" t="s">
        <v>193</v>
      </c>
      <c r="H374" s="18"/>
      <c r="I374" s="18" t="s">
        <v>216</v>
      </c>
      <c r="J374" s="19">
        <v>1</v>
      </c>
      <c r="K374" s="18" t="s">
        <v>153</v>
      </c>
      <c r="L374" s="18" t="s">
        <v>153</v>
      </c>
      <c r="M374" s="17" t="s">
        <v>153</v>
      </c>
      <c r="N374" s="18"/>
    </row>
    <row r="375" spans="1:14">
      <c r="A375" s="24">
        <v>46217</v>
      </c>
      <c r="B375" s="5" t="s">
        <v>324</v>
      </c>
      <c r="C375" s="5" t="s">
        <v>180</v>
      </c>
      <c r="D375" s="5" t="s">
        <v>3</v>
      </c>
      <c r="E375" s="5" t="s">
        <v>159</v>
      </c>
      <c r="F375" s="5" t="s">
        <v>364</v>
      </c>
      <c r="G375" s="5" t="s">
        <v>192</v>
      </c>
      <c r="H375" s="5"/>
      <c r="I375" s="5" t="s">
        <v>216</v>
      </c>
      <c r="J375" s="7">
        <v>1</v>
      </c>
      <c r="K375" s="5" t="s">
        <v>345</v>
      </c>
      <c r="L375" s="5" t="s">
        <v>149</v>
      </c>
      <c r="M375" s="16" t="s">
        <v>148</v>
      </c>
      <c r="N375" s="5"/>
    </row>
    <row r="376" spans="1:14">
      <c r="A376" s="25">
        <v>46217</v>
      </c>
      <c r="B376" s="18" t="s">
        <v>324</v>
      </c>
      <c r="C376" s="18" t="s">
        <v>180</v>
      </c>
      <c r="D376" s="18" t="s">
        <v>3</v>
      </c>
      <c r="E376" s="18" t="s">
        <v>159</v>
      </c>
      <c r="F376" s="18" t="s">
        <v>364</v>
      </c>
      <c r="G376" s="18" t="s">
        <v>225</v>
      </c>
      <c r="H376" s="18"/>
      <c r="I376" s="18" t="s">
        <v>216</v>
      </c>
      <c r="J376" s="19">
        <v>10</v>
      </c>
      <c r="K376" s="18" t="s">
        <v>345</v>
      </c>
      <c r="L376" s="18" t="s">
        <v>149</v>
      </c>
      <c r="M376" s="16" t="s">
        <v>148</v>
      </c>
      <c r="N376" s="18"/>
    </row>
    <row r="377" spans="1:14">
      <c r="A377" s="24">
        <v>46217</v>
      </c>
      <c r="B377" s="5" t="s">
        <v>324</v>
      </c>
      <c r="C377" s="5" t="s">
        <v>180</v>
      </c>
      <c r="D377" s="5" t="s">
        <v>3</v>
      </c>
      <c r="E377" s="5" t="s">
        <v>160</v>
      </c>
      <c r="F377" s="5" t="s">
        <v>376</v>
      </c>
      <c r="G377" s="5" t="s">
        <v>230</v>
      </c>
      <c r="H377" s="5"/>
      <c r="I377" s="5" t="s">
        <v>47</v>
      </c>
      <c r="J377" s="7">
        <v>1</v>
      </c>
      <c r="K377" s="5" t="s">
        <v>345</v>
      </c>
      <c r="L377" s="5" t="s">
        <v>149</v>
      </c>
      <c r="M377" s="16" t="s">
        <v>148</v>
      </c>
      <c r="N377" s="5"/>
    </row>
    <row r="378" spans="1:14">
      <c r="A378" s="25">
        <v>46217</v>
      </c>
      <c r="B378" s="18" t="s">
        <v>324</v>
      </c>
      <c r="C378" s="18" t="s">
        <v>180</v>
      </c>
      <c r="D378" s="18" t="s">
        <v>3</v>
      </c>
      <c r="E378" s="18" t="s">
        <v>162</v>
      </c>
      <c r="F378" s="18" t="s">
        <v>353</v>
      </c>
      <c r="G378" s="18" t="s">
        <v>188</v>
      </c>
      <c r="H378" s="18"/>
      <c r="I378" s="18" t="s">
        <v>216</v>
      </c>
      <c r="J378" s="19">
        <v>1</v>
      </c>
      <c r="K378" s="18" t="s">
        <v>153</v>
      </c>
      <c r="L378" s="18" t="s">
        <v>153</v>
      </c>
      <c r="M378" s="17" t="s">
        <v>153</v>
      </c>
      <c r="N378" s="18"/>
    </row>
    <row r="379" spans="1:14">
      <c r="A379" s="24">
        <v>46217</v>
      </c>
      <c r="B379" s="5" t="s">
        <v>324</v>
      </c>
      <c r="C379" s="5" t="s">
        <v>180</v>
      </c>
      <c r="D379" s="5" t="s">
        <v>3</v>
      </c>
      <c r="E379" s="5" t="s">
        <v>3</v>
      </c>
      <c r="F379" s="5" t="s">
        <v>374</v>
      </c>
      <c r="G379" s="5" t="s">
        <v>218</v>
      </c>
      <c r="H379" s="5"/>
      <c r="I379" s="5" t="s">
        <v>219</v>
      </c>
      <c r="J379" s="7">
        <v>15</v>
      </c>
      <c r="K379" s="5" t="s">
        <v>345</v>
      </c>
      <c r="L379" s="5" t="s">
        <v>149</v>
      </c>
      <c r="M379" s="16" t="s">
        <v>148</v>
      </c>
      <c r="N379" s="5"/>
    </row>
    <row r="380" spans="1:14">
      <c r="A380" s="25">
        <v>46217</v>
      </c>
      <c r="B380" s="18" t="s">
        <v>324</v>
      </c>
      <c r="C380" s="18" t="s">
        <v>180</v>
      </c>
      <c r="D380" s="18" t="s">
        <v>3</v>
      </c>
      <c r="E380" s="18" t="s">
        <v>3</v>
      </c>
      <c r="F380" s="18" t="s">
        <v>355</v>
      </c>
      <c r="G380" s="18" t="s">
        <v>41</v>
      </c>
      <c r="H380" s="18"/>
      <c r="I380" s="18" t="s">
        <v>40</v>
      </c>
      <c r="J380" s="19">
        <v>30</v>
      </c>
      <c r="K380" s="18" t="s">
        <v>345</v>
      </c>
      <c r="L380" s="18" t="s">
        <v>149</v>
      </c>
      <c r="M380" s="16" t="s">
        <v>148</v>
      </c>
      <c r="N380" s="18"/>
    </row>
    <row r="381" spans="1:14">
      <c r="A381" s="24">
        <v>46218</v>
      </c>
      <c r="B381" s="5" t="s">
        <v>324</v>
      </c>
      <c r="C381" s="5" t="s">
        <v>180</v>
      </c>
      <c r="D381" s="5" t="s">
        <v>3</v>
      </c>
      <c r="E381" s="5" t="s">
        <v>159</v>
      </c>
      <c r="F381" s="5" t="s">
        <v>377</v>
      </c>
      <c r="G381" s="5" t="s">
        <v>227</v>
      </c>
      <c r="H381" s="5"/>
      <c r="I381" s="5" t="s">
        <v>216</v>
      </c>
      <c r="J381" s="7">
        <v>1</v>
      </c>
      <c r="K381" s="5" t="s">
        <v>345</v>
      </c>
      <c r="L381" s="5" t="s">
        <v>149</v>
      </c>
      <c r="M381" s="16" t="s">
        <v>148</v>
      </c>
      <c r="N381" s="5"/>
    </row>
    <row r="382" spans="1:14">
      <c r="A382" s="25">
        <v>46218</v>
      </c>
      <c r="B382" s="18" t="s">
        <v>324</v>
      </c>
      <c r="C382" s="18" t="s">
        <v>180</v>
      </c>
      <c r="D382" s="18" t="s">
        <v>3</v>
      </c>
      <c r="E382" s="18" t="s">
        <v>159</v>
      </c>
      <c r="F382" s="18" t="s">
        <v>377</v>
      </c>
      <c r="G382" s="18" t="s">
        <v>232</v>
      </c>
      <c r="H382" s="18"/>
      <c r="I382" s="18" t="s">
        <v>216</v>
      </c>
      <c r="J382" s="19">
        <v>1</v>
      </c>
      <c r="K382" s="18" t="s">
        <v>345</v>
      </c>
      <c r="L382" s="18" t="s">
        <v>149</v>
      </c>
      <c r="M382" s="16" t="s">
        <v>148</v>
      </c>
      <c r="N382" s="18"/>
    </row>
    <row r="383" spans="1:14">
      <c r="A383" s="24">
        <v>46218</v>
      </c>
      <c r="B383" s="5" t="s">
        <v>324</v>
      </c>
      <c r="C383" s="5" t="s">
        <v>180</v>
      </c>
      <c r="D383" s="5" t="s">
        <v>3</v>
      </c>
      <c r="E383" s="5" t="s">
        <v>159</v>
      </c>
      <c r="F383" s="5" t="s">
        <v>377</v>
      </c>
      <c r="G383" s="5" t="s">
        <v>255</v>
      </c>
      <c r="H383" s="5"/>
      <c r="I383" s="5" t="s">
        <v>216</v>
      </c>
      <c r="J383" s="7">
        <v>1</v>
      </c>
      <c r="K383" s="5" t="s">
        <v>345</v>
      </c>
      <c r="L383" s="5" t="s">
        <v>149</v>
      </c>
      <c r="M383" s="16" t="s">
        <v>148</v>
      </c>
      <c r="N383" s="5"/>
    </row>
    <row r="384" spans="1:14">
      <c r="A384" s="25">
        <v>46218</v>
      </c>
      <c r="B384" s="18" t="s">
        <v>324</v>
      </c>
      <c r="C384" s="18" t="s">
        <v>180</v>
      </c>
      <c r="D384" s="18" t="s">
        <v>3</v>
      </c>
      <c r="E384" s="18" t="s">
        <v>159</v>
      </c>
      <c r="F384" s="18" t="s">
        <v>377</v>
      </c>
      <c r="G384" s="18" t="s">
        <v>192</v>
      </c>
      <c r="H384" s="18"/>
      <c r="I384" s="18" t="s">
        <v>216</v>
      </c>
      <c r="J384" s="19">
        <v>1</v>
      </c>
      <c r="K384" s="18" t="s">
        <v>153</v>
      </c>
      <c r="L384" s="18" t="s">
        <v>153</v>
      </c>
      <c r="M384" s="17" t="s">
        <v>153</v>
      </c>
      <c r="N384" s="18"/>
    </row>
    <row r="385" spans="1:14">
      <c r="A385" s="24">
        <v>46218</v>
      </c>
      <c r="B385" s="5" t="s">
        <v>324</v>
      </c>
      <c r="C385" s="5" t="s">
        <v>180</v>
      </c>
      <c r="D385" s="5" t="s">
        <v>3</v>
      </c>
      <c r="E385" s="5" t="s">
        <v>3</v>
      </c>
      <c r="F385" s="5" t="s">
        <v>350</v>
      </c>
      <c r="G385" s="5" t="s">
        <v>220</v>
      </c>
      <c r="H385" s="5"/>
      <c r="I385" s="5" t="s">
        <v>40</v>
      </c>
      <c r="J385" s="7">
        <v>1</v>
      </c>
      <c r="K385" s="5" t="s">
        <v>345</v>
      </c>
      <c r="L385" s="5" t="s">
        <v>149</v>
      </c>
      <c r="M385" s="16" t="s">
        <v>148</v>
      </c>
      <c r="N385" s="5"/>
    </row>
    <row r="386" spans="1:14">
      <c r="A386" s="25">
        <v>46218</v>
      </c>
      <c r="B386" s="18" t="s">
        <v>324</v>
      </c>
      <c r="C386" s="18" t="s">
        <v>180</v>
      </c>
      <c r="D386" s="18" t="s">
        <v>3</v>
      </c>
      <c r="E386" s="18" t="s">
        <v>3</v>
      </c>
      <c r="F386" s="18" t="s">
        <v>350</v>
      </c>
      <c r="G386" s="18" t="s">
        <v>193</v>
      </c>
      <c r="H386" s="18"/>
      <c r="I386" s="18" t="s">
        <v>216</v>
      </c>
      <c r="J386" s="19">
        <v>1</v>
      </c>
      <c r="K386" s="18" t="s">
        <v>153</v>
      </c>
      <c r="L386" s="18" t="s">
        <v>153</v>
      </c>
      <c r="M386" s="17" t="s">
        <v>153</v>
      </c>
      <c r="N386" s="18"/>
    </row>
    <row r="387" spans="1:14">
      <c r="A387" s="24">
        <v>46218</v>
      </c>
      <c r="B387" s="5" t="s">
        <v>324</v>
      </c>
      <c r="C387" s="5" t="s">
        <v>180</v>
      </c>
      <c r="D387" s="5" t="s">
        <v>3</v>
      </c>
      <c r="E387" s="5" t="s">
        <v>3</v>
      </c>
      <c r="F387" s="5" t="s">
        <v>350</v>
      </c>
      <c r="G387" s="5" t="s">
        <v>192</v>
      </c>
      <c r="H387" s="5"/>
      <c r="I387" s="5" t="s">
        <v>216</v>
      </c>
      <c r="J387" s="7">
        <v>1</v>
      </c>
      <c r="K387" s="5" t="s">
        <v>153</v>
      </c>
      <c r="L387" s="5" t="s">
        <v>153</v>
      </c>
      <c r="M387" s="17" t="s">
        <v>153</v>
      </c>
      <c r="N387" s="5"/>
    </row>
    <row r="388" spans="1:14">
      <c r="A388" s="25">
        <v>46218</v>
      </c>
      <c r="B388" s="18" t="s">
        <v>324</v>
      </c>
      <c r="C388" s="18" t="s">
        <v>180</v>
      </c>
      <c r="D388" s="18" t="s">
        <v>6</v>
      </c>
      <c r="E388" s="18" t="s">
        <v>165</v>
      </c>
      <c r="F388" s="18" t="s">
        <v>384</v>
      </c>
      <c r="G388" s="18" t="s">
        <v>301</v>
      </c>
      <c r="H388" s="18"/>
      <c r="I388" s="18" t="s">
        <v>257</v>
      </c>
      <c r="J388" s="19">
        <v>1</v>
      </c>
      <c r="K388" s="18" t="s">
        <v>147</v>
      </c>
      <c r="L388" s="18" t="s">
        <v>147</v>
      </c>
      <c r="M388" s="16" t="s">
        <v>148</v>
      </c>
      <c r="N388" s="18"/>
    </row>
    <row r="389" spans="1:14">
      <c r="A389" s="24">
        <v>46219</v>
      </c>
      <c r="B389" s="5" t="s">
        <v>324</v>
      </c>
      <c r="C389" s="5" t="s">
        <v>180</v>
      </c>
      <c r="D389" s="5" t="s">
        <v>3</v>
      </c>
      <c r="E389" s="5" t="s">
        <v>159</v>
      </c>
      <c r="F389" s="5" t="s">
        <v>364</v>
      </c>
      <c r="G389" s="5" t="s">
        <v>227</v>
      </c>
      <c r="H389" s="5"/>
      <c r="I389" s="5" t="s">
        <v>216</v>
      </c>
      <c r="J389" s="7">
        <v>1</v>
      </c>
      <c r="K389" s="5" t="s">
        <v>153</v>
      </c>
      <c r="L389" s="5" t="s">
        <v>153</v>
      </c>
      <c r="M389" s="17" t="s">
        <v>153</v>
      </c>
      <c r="N389" s="5"/>
    </row>
    <row r="390" spans="1:14">
      <c r="A390" s="25">
        <v>46223</v>
      </c>
      <c r="B390" s="18" t="s">
        <v>325</v>
      </c>
      <c r="C390" s="18" t="s">
        <v>180</v>
      </c>
      <c r="D390" s="18" t="s">
        <v>3</v>
      </c>
      <c r="E390" s="18" t="s">
        <v>3</v>
      </c>
      <c r="F390" s="18" t="s">
        <v>378</v>
      </c>
      <c r="G390" s="18" t="s">
        <v>262</v>
      </c>
      <c r="H390" s="18"/>
      <c r="I390" s="18" t="s">
        <v>257</v>
      </c>
      <c r="J390" s="19">
        <v>1</v>
      </c>
      <c r="K390" s="18" t="s">
        <v>345</v>
      </c>
      <c r="L390" s="18" t="s">
        <v>149</v>
      </c>
      <c r="M390" s="16" t="s">
        <v>148</v>
      </c>
      <c r="N390" s="18"/>
    </row>
    <row r="391" spans="1:14">
      <c r="A391" s="24">
        <v>46223</v>
      </c>
      <c r="B391" s="5" t="s">
        <v>325</v>
      </c>
      <c r="C391" s="5" t="s">
        <v>180</v>
      </c>
      <c r="D391" s="5" t="s">
        <v>3</v>
      </c>
      <c r="E391" s="5" t="s">
        <v>3</v>
      </c>
      <c r="F391" s="5" t="s">
        <v>378</v>
      </c>
      <c r="G391" s="5" t="s">
        <v>233</v>
      </c>
      <c r="H391" s="5"/>
      <c r="I391" s="5" t="s">
        <v>40</v>
      </c>
      <c r="J391" s="7">
        <v>2</v>
      </c>
      <c r="K391" s="5" t="s">
        <v>345</v>
      </c>
      <c r="L391" s="5" t="s">
        <v>149</v>
      </c>
      <c r="M391" s="16" t="s">
        <v>148</v>
      </c>
      <c r="N391" s="5"/>
    </row>
    <row r="392" spans="1:14">
      <c r="A392" s="25">
        <v>46223</v>
      </c>
      <c r="B392" s="18" t="s">
        <v>325</v>
      </c>
      <c r="C392" s="18" t="s">
        <v>180</v>
      </c>
      <c r="D392" s="18" t="s">
        <v>3</v>
      </c>
      <c r="E392" s="18" t="s">
        <v>3</v>
      </c>
      <c r="F392" s="18" t="s">
        <v>379</v>
      </c>
      <c r="G392" s="18" t="s">
        <v>218</v>
      </c>
      <c r="H392" s="18"/>
      <c r="I392" s="18" t="s">
        <v>219</v>
      </c>
      <c r="J392" s="19">
        <v>1</v>
      </c>
      <c r="K392" s="18" t="s">
        <v>345</v>
      </c>
      <c r="L392" s="18" t="s">
        <v>149</v>
      </c>
      <c r="M392" s="16" t="s">
        <v>148</v>
      </c>
      <c r="N392" s="18"/>
    </row>
    <row r="393" spans="1:14">
      <c r="A393" s="24">
        <v>46223</v>
      </c>
      <c r="B393" s="5" t="s">
        <v>325</v>
      </c>
      <c r="C393" s="5" t="s">
        <v>180</v>
      </c>
      <c r="D393" s="5" t="s">
        <v>3</v>
      </c>
      <c r="E393" s="5" t="s">
        <v>3</v>
      </c>
      <c r="F393" s="5" t="s">
        <v>348</v>
      </c>
      <c r="G393" s="5" t="s">
        <v>48</v>
      </c>
      <c r="H393" s="5"/>
      <c r="I393" s="5" t="s">
        <v>47</v>
      </c>
      <c r="J393" s="7">
        <v>5</v>
      </c>
      <c r="K393" s="5" t="s">
        <v>345</v>
      </c>
      <c r="L393" s="5" t="s">
        <v>149</v>
      </c>
      <c r="M393" s="16" t="s">
        <v>148</v>
      </c>
      <c r="N393" s="5"/>
    </row>
    <row r="394" spans="1:14">
      <c r="A394" s="25">
        <v>46223</v>
      </c>
      <c r="B394" s="18" t="s">
        <v>325</v>
      </c>
      <c r="C394" s="18" t="s">
        <v>180</v>
      </c>
      <c r="D394" s="18" t="s">
        <v>6</v>
      </c>
      <c r="E394" s="18" t="s">
        <v>163</v>
      </c>
      <c r="F394" s="18" t="s">
        <v>394</v>
      </c>
      <c r="G394" s="18" t="s">
        <v>185</v>
      </c>
      <c r="H394" s="18"/>
      <c r="I394" s="18" t="s">
        <v>47</v>
      </c>
      <c r="J394" s="19">
        <v>2</v>
      </c>
      <c r="K394" s="18" t="s">
        <v>153</v>
      </c>
      <c r="L394" s="18" t="s">
        <v>153</v>
      </c>
      <c r="M394" s="17" t="s">
        <v>153</v>
      </c>
      <c r="N394" s="18"/>
    </row>
    <row r="395" spans="1:14">
      <c r="A395" s="24">
        <v>46223</v>
      </c>
      <c r="B395" s="5" t="s">
        <v>325</v>
      </c>
      <c r="C395" s="5" t="s">
        <v>180</v>
      </c>
      <c r="D395" s="5" t="s">
        <v>6</v>
      </c>
      <c r="E395" s="5" t="s">
        <v>163</v>
      </c>
      <c r="F395" s="5" t="s">
        <v>394</v>
      </c>
      <c r="G395" s="5" t="s">
        <v>274</v>
      </c>
      <c r="H395" s="5"/>
      <c r="I395" s="5" t="s">
        <v>257</v>
      </c>
      <c r="J395" s="7">
        <v>1</v>
      </c>
      <c r="K395" s="5" t="s">
        <v>153</v>
      </c>
      <c r="L395" s="5" t="s">
        <v>153</v>
      </c>
      <c r="M395" s="17" t="s">
        <v>153</v>
      </c>
      <c r="N395" s="5"/>
    </row>
    <row r="396" spans="1:14">
      <c r="A396" s="25">
        <v>46223</v>
      </c>
      <c r="B396" s="18" t="s">
        <v>325</v>
      </c>
      <c r="C396" s="18" t="s">
        <v>180</v>
      </c>
      <c r="D396" s="18" t="s">
        <v>6</v>
      </c>
      <c r="E396" s="18" t="s">
        <v>167</v>
      </c>
      <c r="F396" s="18" t="s">
        <v>394</v>
      </c>
      <c r="G396" s="18" t="s">
        <v>220</v>
      </c>
      <c r="H396" s="18"/>
      <c r="I396" s="18" t="s">
        <v>40</v>
      </c>
      <c r="J396" s="19">
        <v>4</v>
      </c>
      <c r="K396" s="18" t="s">
        <v>147</v>
      </c>
      <c r="L396" s="18" t="s">
        <v>147</v>
      </c>
      <c r="M396" s="16" t="s">
        <v>148</v>
      </c>
      <c r="N396" s="18"/>
    </row>
    <row r="397" spans="1:14">
      <c r="A397" s="24">
        <v>46223</v>
      </c>
      <c r="B397" s="5" t="s">
        <v>325</v>
      </c>
      <c r="C397" s="5" t="s">
        <v>180</v>
      </c>
      <c r="D397" s="5" t="s">
        <v>6</v>
      </c>
      <c r="E397" s="5" t="s">
        <v>167</v>
      </c>
      <c r="F397" s="5" t="s">
        <v>394</v>
      </c>
      <c r="G397" s="5" t="s">
        <v>48</v>
      </c>
      <c r="H397" s="5"/>
      <c r="I397" s="5" t="s">
        <v>47</v>
      </c>
      <c r="J397" s="7">
        <v>25</v>
      </c>
      <c r="K397" s="5" t="s">
        <v>147</v>
      </c>
      <c r="L397" s="5" t="s">
        <v>147</v>
      </c>
      <c r="M397" s="16" t="s">
        <v>148</v>
      </c>
      <c r="N397" s="5"/>
    </row>
    <row r="398" spans="1:14">
      <c r="A398" s="25">
        <v>46223</v>
      </c>
      <c r="B398" s="18" t="s">
        <v>325</v>
      </c>
      <c r="C398" s="18" t="s">
        <v>180</v>
      </c>
      <c r="D398" s="18" t="s">
        <v>6</v>
      </c>
      <c r="E398" s="18" t="s">
        <v>167</v>
      </c>
      <c r="F398" s="18" t="s">
        <v>394</v>
      </c>
      <c r="G398" s="18" t="s">
        <v>186</v>
      </c>
      <c r="H398" s="18"/>
      <c r="I398" s="18" t="s">
        <v>40</v>
      </c>
      <c r="J398" s="19">
        <v>2</v>
      </c>
      <c r="K398" s="18" t="s">
        <v>153</v>
      </c>
      <c r="L398" s="18" t="s">
        <v>153</v>
      </c>
      <c r="M398" s="17" t="s">
        <v>153</v>
      </c>
      <c r="N398" s="18"/>
    </row>
    <row r="399" spans="1:14">
      <c r="A399" s="24">
        <v>46223</v>
      </c>
      <c r="B399" s="5" t="s">
        <v>325</v>
      </c>
      <c r="C399" s="5" t="s">
        <v>180</v>
      </c>
      <c r="D399" s="5" t="s">
        <v>6</v>
      </c>
      <c r="E399" s="5" t="s">
        <v>167</v>
      </c>
      <c r="F399" s="5" t="s">
        <v>394</v>
      </c>
      <c r="G399" s="5" t="s">
        <v>39</v>
      </c>
      <c r="H399" s="5"/>
      <c r="I399" s="5" t="s">
        <v>40</v>
      </c>
      <c r="J399" s="7">
        <v>100</v>
      </c>
      <c r="K399" s="5" t="s">
        <v>147</v>
      </c>
      <c r="L399" s="5" t="s">
        <v>147</v>
      </c>
      <c r="M399" s="16" t="s">
        <v>148</v>
      </c>
      <c r="N399" s="5"/>
    </row>
    <row r="400" spans="1:14">
      <c r="A400" s="25">
        <v>46223</v>
      </c>
      <c r="B400" s="18" t="s">
        <v>325</v>
      </c>
      <c r="C400" s="18" t="s">
        <v>180</v>
      </c>
      <c r="D400" s="18" t="s">
        <v>6</v>
      </c>
      <c r="E400" s="18" t="s">
        <v>167</v>
      </c>
      <c r="F400" s="18" t="s">
        <v>394</v>
      </c>
      <c r="G400" s="18" t="s">
        <v>187</v>
      </c>
      <c r="H400" s="18"/>
      <c r="I400" s="18" t="s">
        <v>216</v>
      </c>
      <c r="J400" s="19">
        <v>1</v>
      </c>
      <c r="K400" s="18" t="s">
        <v>153</v>
      </c>
      <c r="L400" s="18" t="s">
        <v>153</v>
      </c>
      <c r="M400" s="17" t="s">
        <v>153</v>
      </c>
      <c r="N400" s="18"/>
    </row>
    <row r="401" spans="1:14">
      <c r="A401" s="24">
        <v>46223</v>
      </c>
      <c r="B401" s="5" t="s">
        <v>325</v>
      </c>
      <c r="C401" s="5" t="s">
        <v>180</v>
      </c>
      <c r="D401" s="5" t="s">
        <v>6</v>
      </c>
      <c r="E401" s="5" t="s">
        <v>167</v>
      </c>
      <c r="F401" s="5" t="s">
        <v>394</v>
      </c>
      <c r="G401" s="5" t="s">
        <v>297</v>
      </c>
      <c r="H401" s="5" t="s">
        <v>297</v>
      </c>
      <c r="I401" s="5" t="s">
        <v>298</v>
      </c>
      <c r="J401" s="7">
        <v>1</v>
      </c>
      <c r="K401" s="5" t="s">
        <v>153</v>
      </c>
      <c r="L401" s="5" t="s">
        <v>153</v>
      </c>
      <c r="M401" s="17" t="s">
        <v>153</v>
      </c>
      <c r="N401" s="5" t="s">
        <v>395</v>
      </c>
    </row>
    <row r="402" spans="1:14">
      <c r="A402" s="25">
        <v>46223</v>
      </c>
      <c r="B402" s="18" t="s">
        <v>325</v>
      </c>
      <c r="C402" s="18" t="s">
        <v>180</v>
      </c>
      <c r="D402" s="18" t="s">
        <v>6</v>
      </c>
      <c r="E402" s="18" t="s">
        <v>167</v>
      </c>
      <c r="F402" s="18" t="s">
        <v>394</v>
      </c>
      <c r="G402" s="18" t="s">
        <v>235</v>
      </c>
      <c r="H402" s="18"/>
      <c r="I402" s="18" t="s">
        <v>47</v>
      </c>
      <c r="J402" s="19">
        <v>1</v>
      </c>
      <c r="K402" s="18" t="s">
        <v>147</v>
      </c>
      <c r="L402" s="18" t="s">
        <v>147</v>
      </c>
      <c r="M402" s="16" t="s">
        <v>148</v>
      </c>
      <c r="N402" s="18"/>
    </row>
    <row r="403" spans="1:14">
      <c r="A403" s="24">
        <v>46223</v>
      </c>
      <c r="B403" s="5" t="s">
        <v>325</v>
      </c>
      <c r="C403" s="5" t="s">
        <v>180</v>
      </c>
      <c r="D403" s="5" t="s">
        <v>6</v>
      </c>
      <c r="E403" s="5" t="s">
        <v>167</v>
      </c>
      <c r="F403" s="5" t="s">
        <v>394</v>
      </c>
      <c r="G403" s="5" t="s">
        <v>238</v>
      </c>
      <c r="H403" s="5"/>
      <c r="I403" s="5" t="s">
        <v>47</v>
      </c>
      <c r="J403" s="7">
        <v>1</v>
      </c>
      <c r="K403" s="5" t="s">
        <v>147</v>
      </c>
      <c r="L403" s="5" t="s">
        <v>147</v>
      </c>
      <c r="M403" s="16" t="s">
        <v>148</v>
      </c>
      <c r="N403" s="5"/>
    </row>
    <row r="404" spans="1:14">
      <c r="A404" s="25">
        <v>46223</v>
      </c>
      <c r="B404" s="18" t="s">
        <v>325</v>
      </c>
      <c r="C404" s="18" t="s">
        <v>180</v>
      </c>
      <c r="D404" s="18" t="s">
        <v>6</v>
      </c>
      <c r="E404" s="18" t="s">
        <v>167</v>
      </c>
      <c r="F404" s="18" t="s">
        <v>394</v>
      </c>
      <c r="G404" s="18" t="s">
        <v>271</v>
      </c>
      <c r="H404" s="18"/>
      <c r="I404" s="18" t="s">
        <v>47</v>
      </c>
      <c r="J404" s="19">
        <v>1</v>
      </c>
      <c r="K404" s="18" t="s">
        <v>147</v>
      </c>
      <c r="L404" s="18" t="s">
        <v>147</v>
      </c>
      <c r="M404" s="16" t="s">
        <v>148</v>
      </c>
      <c r="N404" s="18"/>
    </row>
    <row r="405" spans="1:14">
      <c r="A405" s="24">
        <v>46223</v>
      </c>
      <c r="B405" s="5" t="s">
        <v>325</v>
      </c>
      <c r="C405" s="5" t="s">
        <v>180</v>
      </c>
      <c r="D405" s="5" t="s">
        <v>6</v>
      </c>
      <c r="E405" s="5" t="s">
        <v>167</v>
      </c>
      <c r="F405" s="5" t="s">
        <v>394</v>
      </c>
      <c r="G405" s="5" t="s">
        <v>185</v>
      </c>
      <c r="H405" s="5"/>
      <c r="I405" s="5" t="s">
        <v>47</v>
      </c>
      <c r="J405" s="7">
        <v>1</v>
      </c>
      <c r="K405" s="5" t="s">
        <v>153</v>
      </c>
      <c r="L405" s="5" t="s">
        <v>153</v>
      </c>
      <c r="M405" s="17" t="s">
        <v>153</v>
      </c>
      <c r="N405" s="5"/>
    </row>
    <row r="406" spans="1:14">
      <c r="A406" s="25">
        <v>46223</v>
      </c>
      <c r="B406" s="18" t="s">
        <v>325</v>
      </c>
      <c r="C406" s="18" t="s">
        <v>180</v>
      </c>
      <c r="D406" s="18" t="s">
        <v>6</v>
      </c>
      <c r="E406" s="18" t="s">
        <v>167</v>
      </c>
      <c r="F406" s="18" t="s">
        <v>394</v>
      </c>
      <c r="G406" s="18" t="s">
        <v>236</v>
      </c>
      <c r="H406" s="18"/>
      <c r="I406" s="18" t="s">
        <v>40</v>
      </c>
      <c r="J406" s="19">
        <v>1</v>
      </c>
      <c r="K406" s="18" t="s">
        <v>147</v>
      </c>
      <c r="L406" s="18" t="s">
        <v>147</v>
      </c>
      <c r="M406" s="16" t="s">
        <v>148</v>
      </c>
      <c r="N406" s="18"/>
    </row>
    <row r="407" spans="1:14">
      <c r="A407" s="24">
        <v>46223</v>
      </c>
      <c r="B407" s="5" t="s">
        <v>325</v>
      </c>
      <c r="C407" s="5" t="s">
        <v>180</v>
      </c>
      <c r="D407" s="5" t="s">
        <v>6</v>
      </c>
      <c r="E407" s="5" t="s">
        <v>168</v>
      </c>
      <c r="F407" s="5" t="s">
        <v>396</v>
      </c>
      <c r="G407" s="5" t="s">
        <v>263</v>
      </c>
      <c r="H407" s="5"/>
      <c r="I407" s="5" t="s">
        <v>47</v>
      </c>
      <c r="J407" s="7">
        <v>1</v>
      </c>
      <c r="K407" s="5" t="s">
        <v>147</v>
      </c>
      <c r="L407" s="5" t="s">
        <v>147</v>
      </c>
      <c r="M407" s="16" t="s">
        <v>148</v>
      </c>
      <c r="N407" s="5"/>
    </row>
    <row r="408" spans="1:14">
      <c r="A408" s="25">
        <v>46223</v>
      </c>
      <c r="B408" s="18" t="s">
        <v>325</v>
      </c>
      <c r="C408" s="18" t="s">
        <v>180</v>
      </c>
      <c r="D408" s="18" t="s">
        <v>6</v>
      </c>
      <c r="E408" s="18" t="s">
        <v>168</v>
      </c>
      <c r="F408" s="18" t="s">
        <v>396</v>
      </c>
      <c r="G408" s="18" t="s">
        <v>300</v>
      </c>
      <c r="H408" s="18"/>
      <c r="I408" s="18" t="s">
        <v>47</v>
      </c>
      <c r="J408" s="19">
        <v>1</v>
      </c>
      <c r="K408" s="18" t="s">
        <v>153</v>
      </c>
      <c r="L408" s="18" t="s">
        <v>153</v>
      </c>
      <c r="M408" s="17" t="s">
        <v>153</v>
      </c>
      <c r="N408" s="18"/>
    </row>
    <row r="409" spans="1:14">
      <c r="A409" s="24">
        <v>46223</v>
      </c>
      <c r="B409" s="5" t="s">
        <v>325</v>
      </c>
      <c r="C409" s="5" t="s">
        <v>180</v>
      </c>
      <c r="D409" s="5" t="s">
        <v>6</v>
      </c>
      <c r="E409" s="5" t="s">
        <v>168</v>
      </c>
      <c r="F409" s="5" t="s">
        <v>396</v>
      </c>
      <c r="G409" s="5" t="s">
        <v>275</v>
      </c>
      <c r="H409" s="5"/>
      <c r="I409" s="5" t="s">
        <v>219</v>
      </c>
      <c r="J409" s="7">
        <v>5</v>
      </c>
      <c r="K409" s="5" t="s">
        <v>147</v>
      </c>
      <c r="L409" s="5" t="s">
        <v>147</v>
      </c>
      <c r="M409" s="16" t="s">
        <v>148</v>
      </c>
      <c r="N409" s="5"/>
    </row>
    <row r="410" spans="1:14">
      <c r="A410" s="25">
        <v>46223</v>
      </c>
      <c r="B410" s="18" t="s">
        <v>325</v>
      </c>
      <c r="C410" s="18" t="s">
        <v>180</v>
      </c>
      <c r="D410" s="18" t="s">
        <v>6</v>
      </c>
      <c r="E410" s="18" t="s">
        <v>168</v>
      </c>
      <c r="F410" s="18" t="s">
        <v>396</v>
      </c>
      <c r="G410" s="18" t="s">
        <v>187</v>
      </c>
      <c r="H410" s="18"/>
      <c r="I410" s="18" t="s">
        <v>216</v>
      </c>
      <c r="J410" s="19">
        <v>1</v>
      </c>
      <c r="K410" s="18" t="s">
        <v>153</v>
      </c>
      <c r="L410" s="18" t="s">
        <v>153</v>
      </c>
      <c r="M410" s="17" t="s">
        <v>153</v>
      </c>
      <c r="N410" s="18"/>
    </row>
    <row r="411" spans="1:14">
      <c r="A411" s="24">
        <v>46223</v>
      </c>
      <c r="B411" s="5" t="s">
        <v>325</v>
      </c>
      <c r="C411" s="5" t="s">
        <v>180</v>
      </c>
      <c r="D411" s="5" t="s">
        <v>6</v>
      </c>
      <c r="E411" s="5" t="s">
        <v>168</v>
      </c>
      <c r="F411" s="5" t="s">
        <v>396</v>
      </c>
      <c r="G411" s="5" t="s">
        <v>185</v>
      </c>
      <c r="H411" s="5"/>
      <c r="I411" s="5" t="s">
        <v>47</v>
      </c>
      <c r="J411" s="7">
        <v>2</v>
      </c>
      <c r="K411" s="5" t="s">
        <v>153</v>
      </c>
      <c r="L411" s="5" t="s">
        <v>153</v>
      </c>
      <c r="M411" s="17" t="s">
        <v>153</v>
      </c>
      <c r="N411" s="5"/>
    </row>
    <row r="412" spans="1:14">
      <c r="A412" s="25">
        <v>46223</v>
      </c>
      <c r="B412" s="18" t="s">
        <v>325</v>
      </c>
      <c r="C412" s="18" t="s">
        <v>180</v>
      </c>
      <c r="D412" s="18" t="s">
        <v>6</v>
      </c>
      <c r="E412" s="18" t="s">
        <v>168</v>
      </c>
      <c r="F412" s="18" t="s">
        <v>396</v>
      </c>
      <c r="G412" s="18" t="s">
        <v>190</v>
      </c>
      <c r="H412" s="18"/>
      <c r="I412" s="18" t="s">
        <v>47</v>
      </c>
      <c r="J412" s="19">
        <v>1</v>
      </c>
      <c r="K412" s="18" t="s">
        <v>147</v>
      </c>
      <c r="L412" s="18" t="s">
        <v>147</v>
      </c>
      <c r="M412" s="16" t="s">
        <v>148</v>
      </c>
      <c r="N412" s="18"/>
    </row>
    <row r="413" spans="1:14">
      <c r="A413" s="24">
        <v>46223</v>
      </c>
      <c r="B413" s="5" t="s">
        <v>325</v>
      </c>
      <c r="C413" s="5" t="s">
        <v>180</v>
      </c>
      <c r="D413" s="5" t="s">
        <v>6</v>
      </c>
      <c r="E413" s="5" t="s">
        <v>168</v>
      </c>
      <c r="F413" s="5" t="s">
        <v>396</v>
      </c>
      <c r="G413" s="5" t="s">
        <v>278</v>
      </c>
      <c r="H413" s="5"/>
      <c r="I413" s="5" t="s">
        <v>257</v>
      </c>
      <c r="J413" s="7">
        <v>3</v>
      </c>
      <c r="K413" s="5" t="s">
        <v>153</v>
      </c>
      <c r="L413" s="5" t="s">
        <v>153</v>
      </c>
      <c r="M413" s="17" t="s">
        <v>153</v>
      </c>
      <c r="N413" s="5"/>
    </row>
    <row r="414" spans="1:14">
      <c r="A414" s="25">
        <v>46223</v>
      </c>
      <c r="B414" s="18" t="s">
        <v>325</v>
      </c>
      <c r="C414" s="18" t="s">
        <v>180</v>
      </c>
      <c r="D414" s="18" t="s">
        <v>6</v>
      </c>
      <c r="E414" s="18" t="s">
        <v>168</v>
      </c>
      <c r="F414" s="18" t="s">
        <v>396</v>
      </c>
      <c r="G414" s="18" t="s">
        <v>215</v>
      </c>
      <c r="H414" s="18"/>
      <c r="I414" s="18" t="s">
        <v>216</v>
      </c>
      <c r="J414" s="19">
        <v>3</v>
      </c>
      <c r="K414" s="18" t="s">
        <v>147</v>
      </c>
      <c r="L414" s="18" t="s">
        <v>147</v>
      </c>
      <c r="M414" s="16" t="s">
        <v>148</v>
      </c>
      <c r="N414" s="18"/>
    </row>
    <row r="415" spans="1:14">
      <c r="A415" s="24">
        <v>46223</v>
      </c>
      <c r="B415" s="5" t="s">
        <v>325</v>
      </c>
      <c r="C415" s="5" t="s">
        <v>180</v>
      </c>
      <c r="D415" s="5" t="s">
        <v>6</v>
      </c>
      <c r="E415" s="5" t="s">
        <v>168</v>
      </c>
      <c r="F415" s="5" t="s">
        <v>396</v>
      </c>
      <c r="G415" s="5" t="s">
        <v>225</v>
      </c>
      <c r="H415" s="5"/>
      <c r="I415" s="5" t="s">
        <v>216</v>
      </c>
      <c r="J415" s="7">
        <v>2</v>
      </c>
      <c r="K415" s="5" t="s">
        <v>147</v>
      </c>
      <c r="L415" s="5" t="s">
        <v>147</v>
      </c>
      <c r="M415" s="16" t="s">
        <v>148</v>
      </c>
      <c r="N415" s="5"/>
    </row>
    <row r="416" spans="1:14">
      <c r="A416" s="25">
        <v>46223</v>
      </c>
      <c r="B416" s="18" t="s">
        <v>325</v>
      </c>
      <c r="C416" s="18" t="s">
        <v>180</v>
      </c>
      <c r="D416" s="18" t="s">
        <v>6</v>
      </c>
      <c r="E416" s="18" t="s">
        <v>168</v>
      </c>
      <c r="F416" s="18" t="s">
        <v>396</v>
      </c>
      <c r="G416" s="18" t="s">
        <v>41</v>
      </c>
      <c r="H416" s="18"/>
      <c r="I416" s="18" t="s">
        <v>40</v>
      </c>
      <c r="J416" s="19">
        <v>200</v>
      </c>
      <c r="K416" s="18" t="s">
        <v>147</v>
      </c>
      <c r="L416" s="18" t="s">
        <v>147</v>
      </c>
      <c r="M416" s="16" t="s">
        <v>148</v>
      </c>
      <c r="N416" s="18"/>
    </row>
    <row r="417" spans="1:14">
      <c r="A417" s="24">
        <v>46223</v>
      </c>
      <c r="B417" s="5" t="s">
        <v>325</v>
      </c>
      <c r="C417" s="5" t="s">
        <v>180</v>
      </c>
      <c r="D417" s="5" t="s">
        <v>6</v>
      </c>
      <c r="E417" s="5" t="s">
        <v>168</v>
      </c>
      <c r="F417" s="5" t="s">
        <v>396</v>
      </c>
      <c r="G417" s="5" t="s">
        <v>42</v>
      </c>
      <c r="H417" s="5"/>
      <c r="I417" s="5" t="s">
        <v>40</v>
      </c>
      <c r="J417" s="7">
        <v>200</v>
      </c>
      <c r="K417" s="5" t="s">
        <v>147</v>
      </c>
      <c r="L417" s="5" t="s">
        <v>147</v>
      </c>
      <c r="M417" s="16" t="s">
        <v>148</v>
      </c>
      <c r="N417" s="5"/>
    </row>
    <row r="418" spans="1:14">
      <c r="A418" s="25">
        <v>46223</v>
      </c>
      <c r="B418" s="18" t="s">
        <v>325</v>
      </c>
      <c r="C418" s="18" t="s">
        <v>180</v>
      </c>
      <c r="D418" s="18" t="s">
        <v>6</v>
      </c>
      <c r="E418" s="18" t="s">
        <v>169</v>
      </c>
      <c r="F418" s="18" t="s">
        <v>394</v>
      </c>
      <c r="G418" s="18" t="s">
        <v>186</v>
      </c>
      <c r="H418" s="18"/>
      <c r="I418" s="18" t="s">
        <v>40</v>
      </c>
      <c r="J418" s="19">
        <v>2</v>
      </c>
      <c r="K418" s="18" t="s">
        <v>153</v>
      </c>
      <c r="L418" s="18" t="s">
        <v>153</v>
      </c>
      <c r="M418" s="17" t="s">
        <v>153</v>
      </c>
      <c r="N418" s="18"/>
    </row>
    <row r="419" spans="1:14">
      <c r="A419" s="24">
        <v>46223</v>
      </c>
      <c r="B419" s="5" t="s">
        <v>325</v>
      </c>
      <c r="C419" s="5" t="s">
        <v>180</v>
      </c>
      <c r="D419" s="5" t="s">
        <v>6</v>
      </c>
      <c r="E419" s="5" t="s">
        <v>169</v>
      </c>
      <c r="F419" s="5" t="s">
        <v>394</v>
      </c>
      <c r="G419" s="5" t="s">
        <v>244</v>
      </c>
      <c r="H419" s="5"/>
      <c r="I419" s="5" t="s">
        <v>40</v>
      </c>
      <c r="J419" s="7">
        <v>2</v>
      </c>
      <c r="K419" s="5" t="s">
        <v>147</v>
      </c>
      <c r="L419" s="5" t="s">
        <v>147</v>
      </c>
      <c r="M419" s="16" t="s">
        <v>148</v>
      </c>
      <c r="N419" s="5"/>
    </row>
    <row r="420" spans="1:14">
      <c r="A420" s="25">
        <v>46223</v>
      </c>
      <c r="B420" s="18" t="s">
        <v>325</v>
      </c>
      <c r="C420" s="18" t="s">
        <v>180</v>
      </c>
      <c r="D420" s="18" t="s">
        <v>6</v>
      </c>
      <c r="E420" s="18" t="s">
        <v>169</v>
      </c>
      <c r="F420" s="18" t="s">
        <v>394</v>
      </c>
      <c r="G420" s="18" t="s">
        <v>187</v>
      </c>
      <c r="H420" s="18"/>
      <c r="I420" s="18" t="s">
        <v>216</v>
      </c>
      <c r="J420" s="19">
        <v>2</v>
      </c>
      <c r="K420" s="18" t="s">
        <v>153</v>
      </c>
      <c r="L420" s="18" t="s">
        <v>153</v>
      </c>
      <c r="M420" s="17" t="s">
        <v>153</v>
      </c>
      <c r="N420" s="18"/>
    </row>
    <row r="421" spans="1:14">
      <c r="A421" s="24">
        <v>46223</v>
      </c>
      <c r="B421" s="5" t="s">
        <v>325</v>
      </c>
      <c r="C421" s="5" t="s">
        <v>180</v>
      </c>
      <c r="D421" s="5" t="s">
        <v>6</v>
      </c>
      <c r="E421" s="5" t="s">
        <v>169</v>
      </c>
      <c r="F421" s="5" t="s">
        <v>394</v>
      </c>
      <c r="G421" s="5" t="s">
        <v>269</v>
      </c>
      <c r="H421" s="5"/>
      <c r="I421" s="5" t="s">
        <v>40</v>
      </c>
      <c r="J421" s="7">
        <v>3</v>
      </c>
      <c r="K421" s="5" t="s">
        <v>147</v>
      </c>
      <c r="L421" s="5" t="s">
        <v>147</v>
      </c>
      <c r="M421" s="16" t="s">
        <v>148</v>
      </c>
      <c r="N421" s="5"/>
    </row>
    <row r="422" spans="1:14">
      <c r="A422" s="25">
        <v>46223</v>
      </c>
      <c r="B422" s="18" t="s">
        <v>325</v>
      </c>
      <c r="C422" s="18" t="s">
        <v>180</v>
      </c>
      <c r="D422" s="18" t="s">
        <v>6</v>
      </c>
      <c r="E422" s="18" t="s">
        <v>169</v>
      </c>
      <c r="F422" s="18" t="s">
        <v>394</v>
      </c>
      <c r="G422" s="18" t="s">
        <v>220</v>
      </c>
      <c r="H422" s="18"/>
      <c r="I422" s="18" t="s">
        <v>40</v>
      </c>
      <c r="J422" s="19">
        <v>5</v>
      </c>
      <c r="K422" s="18" t="s">
        <v>147</v>
      </c>
      <c r="L422" s="18" t="s">
        <v>147</v>
      </c>
      <c r="M422" s="16" t="s">
        <v>148</v>
      </c>
      <c r="N422" s="18"/>
    </row>
    <row r="423" spans="1:14">
      <c r="A423" s="24">
        <v>46223</v>
      </c>
      <c r="B423" s="5" t="s">
        <v>325</v>
      </c>
      <c r="C423" s="5" t="s">
        <v>180</v>
      </c>
      <c r="D423" s="5" t="s">
        <v>6</v>
      </c>
      <c r="E423" s="5" t="s">
        <v>169</v>
      </c>
      <c r="F423" s="5" t="s">
        <v>394</v>
      </c>
      <c r="G423" s="5" t="s">
        <v>189</v>
      </c>
      <c r="H423" s="5"/>
      <c r="I423" s="5" t="s">
        <v>47</v>
      </c>
      <c r="J423" s="7">
        <v>3</v>
      </c>
      <c r="K423" s="5" t="s">
        <v>147</v>
      </c>
      <c r="L423" s="5" t="s">
        <v>147</v>
      </c>
      <c r="M423" s="16" t="s">
        <v>148</v>
      </c>
      <c r="N423" s="5"/>
    </row>
    <row r="424" spans="1:14">
      <c r="A424" s="25">
        <v>46223</v>
      </c>
      <c r="B424" s="18" t="s">
        <v>325</v>
      </c>
      <c r="C424" s="18" t="s">
        <v>180</v>
      </c>
      <c r="D424" s="18" t="s">
        <v>6</v>
      </c>
      <c r="E424" s="18" t="s">
        <v>169</v>
      </c>
      <c r="F424" s="18" t="s">
        <v>394</v>
      </c>
      <c r="G424" s="18" t="s">
        <v>272</v>
      </c>
      <c r="H424" s="18"/>
      <c r="I424" s="18" t="s">
        <v>47</v>
      </c>
      <c r="J424" s="19">
        <v>1</v>
      </c>
      <c r="K424" s="18" t="s">
        <v>147</v>
      </c>
      <c r="L424" s="18" t="s">
        <v>147</v>
      </c>
      <c r="M424" s="16" t="s">
        <v>148</v>
      </c>
      <c r="N424" s="18"/>
    </row>
    <row r="425" spans="1:14">
      <c r="A425" s="24">
        <v>46223</v>
      </c>
      <c r="B425" s="5" t="s">
        <v>325</v>
      </c>
      <c r="C425" s="5" t="s">
        <v>180</v>
      </c>
      <c r="D425" s="5" t="s">
        <v>6</v>
      </c>
      <c r="E425" s="5" t="s">
        <v>169</v>
      </c>
      <c r="F425" s="5" t="s">
        <v>394</v>
      </c>
      <c r="G425" s="5" t="s">
        <v>235</v>
      </c>
      <c r="H425" s="5"/>
      <c r="I425" s="5" t="s">
        <v>47</v>
      </c>
      <c r="J425" s="7">
        <v>1</v>
      </c>
      <c r="K425" s="5" t="s">
        <v>147</v>
      </c>
      <c r="L425" s="5" t="s">
        <v>147</v>
      </c>
      <c r="M425" s="16" t="s">
        <v>148</v>
      </c>
      <c r="N425" s="5"/>
    </row>
    <row r="426" spans="1:14">
      <c r="A426" s="25">
        <v>46223</v>
      </c>
      <c r="B426" s="18" t="s">
        <v>325</v>
      </c>
      <c r="C426" s="18" t="s">
        <v>180</v>
      </c>
      <c r="D426" s="18" t="s">
        <v>6</v>
      </c>
      <c r="E426" s="18" t="s">
        <v>169</v>
      </c>
      <c r="F426" s="18" t="s">
        <v>394</v>
      </c>
      <c r="G426" s="18" t="s">
        <v>238</v>
      </c>
      <c r="H426" s="18"/>
      <c r="I426" s="18" t="s">
        <v>47</v>
      </c>
      <c r="J426" s="19">
        <v>1</v>
      </c>
      <c r="K426" s="18" t="s">
        <v>147</v>
      </c>
      <c r="L426" s="18" t="s">
        <v>147</v>
      </c>
      <c r="M426" s="16" t="s">
        <v>148</v>
      </c>
      <c r="N426" s="18"/>
    </row>
    <row r="427" spans="1:14">
      <c r="A427" s="24">
        <v>46224</v>
      </c>
      <c r="B427" s="5" t="s">
        <v>325</v>
      </c>
      <c r="C427" s="5" t="s">
        <v>180</v>
      </c>
      <c r="D427" s="5" t="s">
        <v>3</v>
      </c>
      <c r="E427" s="5" t="s">
        <v>159</v>
      </c>
      <c r="F427" s="5" t="s">
        <v>364</v>
      </c>
      <c r="G427" s="5" t="s">
        <v>193</v>
      </c>
      <c r="H427" s="5"/>
      <c r="I427" s="5" t="s">
        <v>216</v>
      </c>
      <c r="J427" s="7">
        <v>1</v>
      </c>
      <c r="K427" s="5" t="s">
        <v>345</v>
      </c>
      <c r="L427" s="5" t="s">
        <v>149</v>
      </c>
      <c r="M427" s="16" t="s">
        <v>148</v>
      </c>
      <c r="N427" s="5"/>
    </row>
    <row r="428" spans="1:14">
      <c r="A428" s="25">
        <v>46224</v>
      </c>
      <c r="B428" s="18" t="s">
        <v>325</v>
      </c>
      <c r="C428" s="18" t="s">
        <v>180</v>
      </c>
      <c r="D428" s="18" t="s">
        <v>3</v>
      </c>
      <c r="E428" s="18" t="s">
        <v>159</v>
      </c>
      <c r="F428" s="18" t="s">
        <v>364</v>
      </c>
      <c r="G428" s="18" t="s">
        <v>226</v>
      </c>
      <c r="H428" s="18"/>
      <c r="I428" s="18" t="s">
        <v>216</v>
      </c>
      <c r="J428" s="19">
        <v>10</v>
      </c>
      <c r="K428" s="18" t="s">
        <v>345</v>
      </c>
      <c r="L428" s="18" t="s">
        <v>149</v>
      </c>
      <c r="M428" s="16" t="s">
        <v>148</v>
      </c>
      <c r="N428" s="18"/>
    </row>
    <row r="429" spans="1:14">
      <c r="A429" s="24">
        <v>46224</v>
      </c>
      <c r="B429" s="5" t="s">
        <v>325</v>
      </c>
      <c r="C429" s="5" t="s">
        <v>180</v>
      </c>
      <c r="D429" s="5" t="s">
        <v>6</v>
      </c>
      <c r="E429" s="5" t="s">
        <v>165</v>
      </c>
      <c r="F429" s="5" t="s">
        <v>397</v>
      </c>
      <c r="G429" s="5" t="s">
        <v>48</v>
      </c>
      <c r="H429" s="5"/>
      <c r="I429" s="5" t="s">
        <v>47</v>
      </c>
      <c r="J429" s="7">
        <v>30</v>
      </c>
      <c r="K429" s="5" t="s">
        <v>147</v>
      </c>
      <c r="L429" s="5" t="s">
        <v>147</v>
      </c>
      <c r="M429" s="16" t="s">
        <v>148</v>
      </c>
      <c r="N429" s="5"/>
    </row>
    <row r="430" spans="1:14">
      <c r="A430" s="25">
        <v>46224</v>
      </c>
      <c r="B430" s="18" t="s">
        <v>325</v>
      </c>
      <c r="C430" s="18" t="s">
        <v>180</v>
      </c>
      <c r="D430" s="18" t="s">
        <v>6</v>
      </c>
      <c r="E430" s="18" t="s">
        <v>165</v>
      </c>
      <c r="F430" s="18" t="s">
        <v>397</v>
      </c>
      <c r="G430" s="18" t="s">
        <v>46</v>
      </c>
      <c r="H430" s="18"/>
      <c r="I430" s="18" t="s">
        <v>47</v>
      </c>
      <c r="J430" s="19">
        <v>20</v>
      </c>
      <c r="K430" s="18" t="s">
        <v>147</v>
      </c>
      <c r="L430" s="18" t="s">
        <v>147</v>
      </c>
      <c r="M430" s="16" t="s">
        <v>148</v>
      </c>
      <c r="N430" s="18"/>
    </row>
    <row r="431" spans="1:14">
      <c r="A431" s="24">
        <v>46224</v>
      </c>
      <c r="B431" s="5" t="s">
        <v>325</v>
      </c>
      <c r="C431" s="5" t="s">
        <v>180</v>
      </c>
      <c r="D431" s="5" t="s">
        <v>6</v>
      </c>
      <c r="E431" s="5" t="s">
        <v>165</v>
      </c>
      <c r="F431" s="5" t="s">
        <v>397</v>
      </c>
      <c r="G431" s="5" t="s">
        <v>186</v>
      </c>
      <c r="H431" s="5"/>
      <c r="I431" s="5" t="s">
        <v>40</v>
      </c>
      <c r="J431" s="7">
        <v>2</v>
      </c>
      <c r="K431" s="5" t="s">
        <v>153</v>
      </c>
      <c r="L431" s="5" t="s">
        <v>153</v>
      </c>
      <c r="M431" s="17" t="s">
        <v>153</v>
      </c>
      <c r="N431" s="5"/>
    </row>
    <row r="432" spans="1:14">
      <c r="A432" s="25">
        <v>46224</v>
      </c>
      <c r="B432" s="18" t="s">
        <v>325</v>
      </c>
      <c r="C432" s="18" t="s">
        <v>180</v>
      </c>
      <c r="D432" s="18" t="s">
        <v>6</v>
      </c>
      <c r="E432" s="18" t="s">
        <v>165</v>
      </c>
      <c r="F432" s="18" t="s">
        <v>397</v>
      </c>
      <c r="G432" s="18" t="s">
        <v>188</v>
      </c>
      <c r="H432" s="18"/>
      <c r="I432" s="18" t="s">
        <v>216</v>
      </c>
      <c r="J432" s="19">
        <v>1</v>
      </c>
      <c r="K432" s="18" t="s">
        <v>153</v>
      </c>
      <c r="L432" s="18" t="s">
        <v>153</v>
      </c>
      <c r="M432" s="17" t="s">
        <v>153</v>
      </c>
      <c r="N432" s="18"/>
    </row>
    <row r="433" spans="1:14">
      <c r="A433" s="24">
        <v>46224</v>
      </c>
      <c r="B433" s="5" t="s">
        <v>325</v>
      </c>
      <c r="C433" s="5" t="s">
        <v>180</v>
      </c>
      <c r="D433" s="5" t="s">
        <v>6</v>
      </c>
      <c r="E433" s="5" t="s">
        <v>165</v>
      </c>
      <c r="F433" s="5" t="s">
        <v>397</v>
      </c>
      <c r="G433" s="5" t="s">
        <v>39</v>
      </c>
      <c r="H433" s="5"/>
      <c r="I433" s="5" t="s">
        <v>40</v>
      </c>
      <c r="J433" s="7">
        <v>300</v>
      </c>
      <c r="K433" s="5" t="s">
        <v>147</v>
      </c>
      <c r="L433" s="5" t="s">
        <v>147</v>
      </c>
      <c r="M433" s="16" t="s">
        <v>148</v>
      </c>
      <c r="N433" s="5"/>
    </row>
    <row r="434" spans="1:14">
      <c r="A434" s="25">
        <v>46224</v>
      </c>
      <c r="B434" s="18" t="s">
        <v>325</v>
      </c>
      <c r="C434" s="18" t="s">
        <v>180</v>
      </c>
      <c r="D434" s="18" t="s">
        <v>6</v>
      </c>
      <c r="E434" s="18" t="s">
        <v>165</v>
      </c>
      <c r="F434" s="18" t="s">
        <v>397</v>
      </c>
      <c r="G434" s="18" t="s">
        <v>185</v>
      </c>
      <c r="H434" s="18"/>
      <c r="I434" s="18" t="s">
        <v>47</v>
      </c>
      <c r="J434" s="19">
        <v>1</v>
      </c>
      <c r="K434" s="18" t="s">
        <v>153</v>
      </c>
      <c r="L434" s="18" t="s">
        <v>153</v>
      </c>
      <c r="M434" s="17" t="s">
        <v>153</v>
      </c>
      <c r="N434" s="18"/>
    </row>
    <row r="435" spans="1:14">
      <c r="A435" s="24">
        <v>46224</v>
      </c>
      <c r="B435" s="5" t="s">
        <v>325</v>
      </c>
      <c r="C435" s="5" t="s">
        <v>180</v>
      </c>
      <c r="D435" s="5" t="s">
        <v>6</v>
      </c>
      <c r="E435" s="5" t="s">
        <v>166</v>
      </c>
      <c r="F435" s="5" t="s">
        <v>398</v>
      </c>
      <c r="G435" s="5" t="s">
        <v>291</v>
      </c>
      <c r="H435" s="5"/>
      <c r="I435" s="5" t="s">
        <v>216</v>
      </c>
      <c r="J435" s="7">
        <v>1</v>
      </c>
      <c r="K435" s="5" t="s">
        <v>151</v>
      </c>
      <c r="L435" s="5" t="s">
        <v>151</v>
      </c>
      <c r="M435" s="16" t="s">
        <v>148</v>
      </c>
      <c r="N435" s="5"/>
    </row>
    <row r="436" spans="1:14">
      <c r="A436" s="25">
        <v>46224</v>
      </c>
      <c r="B436" s="18" t="s">
        <v>325</v>
      </c>
      <c r="C436" s="18" t="s">
        <v>180</v>
      </c>
      <c r="D436" s="18" t="s">
        <v>6</v>
      </c>
      <c r="E436" s="18" t="s">
        <v>166</v>
      </c>
      <c r="F436" s="18" t="s">
        <v>398</v>
      </c>
      <c r="G436" s="18" t="s">
        <v>234</v>
      </c>
      <c r="H436" s="18" t="s">
        <v>399</v>
      </c>
      <c r="I436" s="18" t="s">
        <v>47</v>
      </c>
      <c r="J436" s="19">
        <v>1</v>
      </c>
      <c r="K436" s="18" t="s">
        <v>151</v>
      </c>
      <c r="L436" s="18" t="s">
        <v>151</v>
      </c>
      <c r="M436" s="16" t="s">
        <v>148</v>
      </c>
      <c r="N436" s="18"/>
    </row>
    <row r="437" spans="1:14">
      <c r="A437" s="24">
        <v>46224</v>
      </c>
      <c r="B437" s="5" t="s">
        <v>325</v>
      </c>
      <c r="C437" s="5" t="s">
        <v>180</v>
      </c>
      <c r="D437" s="5" t="s">
        <v>6</v>
      </c>
      <c r="E437" s="5" t="s">
        <v>166</v>
      </c>
      <c r="F437" s="5" t="s">
        <v>398</v>
      </c>
      <c r="G437" s="5" t="s">
        <v>289</v>
      </c>
      <c r="H437" s="5"/>
      <c r="I437" s="5" t="s">
        <v>219</v>
      </c>
      <c r="J437" s="7">
        <v>1</v>
      </c>
      <c r="K437" s="5" t="s">
        <v>151</v>
      </c>
      <c r="L437" s="5" t="s">
        <v>151</v>
      </c>
      <c r="M437" s="16" t="s">
        <v>148</v>
      </c>
      <c r="N437" s="5"/>
    </row>
    <row r="438" spans="1:14">
      <c r="A438" s="25">
        <v>46224</v>
      </c>
      <c r="B438" s="18" t="s">
        <v>325</v>
      </c>
      <c r="C438" s="18" t="s">
        <v>180</v>
      </c>
      <c r="D438" s="18" t="s">
        <v>6</v>
      </c>
      <c r="E438" s="18" t="s">
        <v>166</v>
      </c>
      <c r="F438" s="18" t="s">
        <v>398</v>
      </c>
      <c r="G438" s="18" t="s">
        <v>46</v>
      </c>
      <c r="H438" s="18" t="s">
        <v>400</v>
      </c>
      <c r="I438" s="18" t="s">
        <v>47</v>
      </c>
      <c r="J438" s="19">
        <v>30</v>
      </c>
      <c r="K438" s="18" t="s">
        <v>151</v>
      </c>
      <c r="L438" s="18" t="s">
        <v>151</v>
      </c>
      <c r="M438" s="16" t="s">
        <v>148</v>
      </c>
      <c r="N438" s="18"/>
    </row>
    <row r="439" spans="1:14">
      <c r="A439" s="24">
        <v>46224</v>
      </c>
      <c r="B439" s="5" t="s">
        <v>325</v>
      </c>
      <c r="C439" s="5" t="s">
        <v>180</v>
      </c>
      <c r="D439" s="5" t="s">
        <v>6</v>
      </c>
      <c r="E439" s="5" t="s">
        <v>166</v>
      </c>
      <c r="F439" s="5" t="s">
        <v>398</v>
      </c>
      <c r="G439" s="5" t="s">
        <v>236</v>
      </c>
      <c r="H439" s="5" t="s">
        <v>401</v>
      </c>
      <c r="I439" s="5" t="s">
        <v>40</v>
      </c>
      <c r="J439" s="7">
        <v>4</v>
      </c>
      <c r="K439" s="5" t="s">
        <v>151</v>
      </c>
      <c r="L439" s="5" t="s">
        <v>151</v>
      </c>
      <c r="M439" s="16" t="s">
        <v>148</v>
      </c>
      <c r="N439" s="5"/>
    </row>
    <row r="440" spans="1:14">
      <c r="A440" s="25">
        <v>46224</v>
      </c>
      <c r="B440" s="18" t="s">
        <v>325</v>
      </c>
      <c r="C440" s="18" t="s">
        <v>180</v>
      </c>
      <c r="D440" s="18" t="s">
        <v>6</v>
      </c>
      <c r="E440" s="18" t="s">
        <v>166</v>
      </c>
      <c r="F440" s="18" t="s">
        <v>398</v>
      </c>
      <c r="G440" s="18" t="s">
        <v>220</v>
      </c>
      <c r="H440" s="18"/>
      <c r="I440" s="18" t="s">
        <v>40</v>
      </c>
      <c r="J440" s="19">
        <v>6</v>
      </c>
      <c r="K440" s="18" t="s">
        <v>151</v>
      </c>
      <c r="L440" s="18" t="s">
        <v>151</v>
      </c>
      <c r="M440" s="16" t="s">
        <v>148</v>
      </c>
      <c r="N440" s="18"/>
    </row>
    <row r="441" spans="1:14">
      <c r="A441" s="24">
        <v>46224</v>
      </c>
      <c r="B441" s="5" t="s">
        <v>325</v>
      </c>
      <c r="C441" s="5" t="s">
        <v>180</v>
      </c>
      <c r="D441" s="5" t="s">
        <v>6</v>
      </c>
      <c r="E441" s="5" t="s">
        <v>166</v>
      </c>
      <c r="F441" s="5" t="s">
        <v>398</v>
      </c>
      <c r="G441" s="5" t="s">
        <v>283</v>
      </c>
      <c r="H441" s="5" t="s">
        <v>402</v>
      </c>
      <c r="I441" s="5" t="s">
        <v>40</v>
      </c>
      <c r="J441" s="7">
        <v>2</v>
      </c>
      <c r="K441" s="5" t="s">
        <v>151</v>
      </c>
      <c r="L441" s="5" t="s">
        <v>151</v>
      </c>
      <c r="M441" s="16" t="s">
        <v>148</v>
      </c>
      <c r="N441" s="5"/>
    </row>
    <row r="442" spans="1:14">
      <c r="A442" s="25">
        <v>46224</v>
      </c>
      <c r="B442" s="18" t="s">
        <v>325</v>
      </c>
      <c r="C442" s="18" t="s">
        <v>180</v>
      </c>
      <c r="D442" s="18" t="s">
        <v>6</v>
      </c>
      <c r="E442" s="18" t="s">
        <v>166</v>
      </c>
      <c r="F442" s="18" t="s">
        <v>398</v>
      </c>
      <c r="G442" s="18" t="s">
        <v>290</v>
      </c>
      <c r="H442" s="18" t="s">
        <v>393</v>
      </c>
      <c r="I442" s="18" t="s">
        <v>219</v>
      </c>
      <c r="J442" s="19">
        <v>1</v>
      </c>
      <c r="K442" s="18" t="s">
        <v>151</v>
      </c>
      <c r="L442" s="18" t="s">
        <v>151</v>
      </c>
      <c r="M442" s="16" t="s">
        <v>148</v>
      </c>
      <c r="N442" s="18"/>
    </row>
    <row r="443" spans="1:14">
      <c r="A443" s="24">
        <v>46224</v>
      </c>
      <c r="B443" s="5" t="s">
        <v>325</v>
      </c>
      <c r="C443" s="5" t="s">
        <v>180</v>
      </c>
      <c r="D443" s="5" t="s">
        <v>6</v>
      </c>
      <c r="E443" s="5" t="s">
        <v>166</v>
      </c>
      <c r="F443" s="5" t="s">
        <v>398</v>
      </c>
      <c r="G443" s="5" t="s">
        <v>235</v>
      </c>
      <c r="H443" s="5" t="s">
        <v>403</v>
      </c>
      <c r="I443" s="5" t="s">
        <v>47</v>
      </c>
      <c r="J443" s="7">
        <v>2</v>
      </c>
      <c r="K443" s="5" t="s">
        <v>151</v>
      </c>
      <c r="L443" s="5" t="s">
        <v>151</v>
      </c>
      <c r="M443" s="16" t="s">
        <v>148</v>
      </c>
      <c r="N443" s="5"/>
    </row>
    <row r="444" spans="1:14">
      <c r="A444" s="25">
        <v>46224</v>
      </c>
      <c r="B444" s="18" t="s">
        <v>325</v>
      </c>
      <c r="C444" s="18" t="s">
        <v>180</v>
      </c>
      <c r="D444" s="18" t="s">
        <v>6</v>
      </c>
      <c r="E444" s="18" t="s">
        <v>166</v>
      </c>
      <c r="F444" s="18" t="s">
        <v>398</v>
      </c>
      <c r="G444" s="18" t="s">
        <v>186</v>
      </c>
      <c r="H444" s="18"/>
      <c r="I444" s="18" t="s">
        <v>40</v>
      </c>
      <c r="J444" s="19">
        <v>4</v>
      </c>
      <c r="K444" s="18" t="s">
        <v>151</v>
      </c>
      <c r="L444" s="18" t="s">
        <v>151</v>
      </c>
      <c r="M444" s="16" t="s">
        <v>148</v>
      </c>
      <c r="N444" s="18"/>
    </row>
    <row r="445" spans="1:14">
      <c r="A445" s="24">
        <v>46224</v>
      </c>
      <c r="B445" s="5" t="s">
        <v>325</v>
      </c>
      <c r="C445" s="5" t="s">
        <v>180</v>
      </c>
      <c r="D445" s="5" t="s">
        <v>6</v>
      </c>
      <c r="E445" s="5" t="s">
        <v>166</v>
      </c>
      <c r="F445" s="5" t="s">
        <v>398</v>
      </c>
      <c r="G445" s="5" t="s">
        <v>254</v>
      </c>
      <c r="H445" s="5" t="s">
        <v>404</v>
      </c>
      <c r="I445" s="5" t="s">
        <v>47</v>
      </c>
      <c r="J445" s="7">
        <v>1</v>
      </c>
      <c r="K445" s="5" t="s">
        <v>151</v>
      </c>
      <c r="L445" s="5" t="s">
        <v>151</v>
      </c>
      <c r="M445" s="16" t="s">
        <v>148</v>
      </c>
      <c r="N445" s="5"/>
    </row>
    <row r="446" spans="1:14">
      <c r="A446" s="25">
        <v>46224</v>
      </c>
      <c r="B446" s="18" t="s">
        <v>325</v>
      </c>
      <c r="C446" s="18" t="s">
        <v>180</v>
      </c>
      <c r="D446" s="18" t="s">
        <v>6</v>
      </c>
      <c r="E446" s="18" t="s">
        <v>166</v>
      </c>
      <c r="F446" s="18" t="s">
        <v>398</v>
      </c>
      <c r="G446" s="18" t="s">
        <v>246</v>
      </c>
      <c r="H446" s="18"/>
      <c r="I446" s="18" t="s">
        <v>40</v>
      </c>
      <c r="J446" s="19">
        <v>1</v>
      </c>
      <c r="K446" s="18" t="s">
        <v>151</v>
      </c>
      <c r="L446" s="18" t="s">
        <v>151</v>
      </c>
      <c r="M446" s="16" t="s">
        <v>148</v>
      </c>
      <c r="N446" s="18"/>
    </row>
    <row r="447" spans="1:14">
      <c r="A447" s="24">
        <v>46224</v>
      </c>
      <c r="B447" s="5" t="s">
        <v>325</v>
      </c>
      <c r="C447" s="5" t="s">
        <v>180</v>
      </c>
      <c r="D447" s="5" t="s">
        <v>6</v>
      </c>
      <c r="E447" s="5" t="s">
        <v>166</v>
      </c>
      <c r="F447" s="5" t="s">
        <v>398</v>
      </c>
      <c r="G447" s="5" t="s">
        <v>192</v>
      </c>
      <c r="H447" s="5" t="s">
        <v>405</v>
      </c>
      <c r="I447" s="5" t="s">
        <v>216</v>
      </c>
      <c r="J447" s="7">
        <v>1</v>
      </c>
      <c r="K447" s="5" t="s">
        <v>151</v>
      </c>
      <c r="L447" s="5" t="s">
        <v>151</v>
      </c>
      <c r="M447" s="16" t="s">
        <v>148</v>
      </c>
      <c r="N447" s="5"/>
    </row>
    <row r="448" spans="1:14">
      <c r="A448" s="25">
        <v>46224</v>
      </c>
      <c r="B448" s="18" t="s">
        <v>325</v>
      </c>
      <c r="C448" s="18" t="s">
        <v>180</v>
      </c>
      <c r="D448" s="18" t="s">
        <v>6</v>
      </c>
      <c r="E448" s="18" t="s">
        <v>166</v>
      </c>
      <c r="F448" s="18" t="s">
        <v>398</v>
      </c>
      <c r="G448" s="18" t="s">
        <v>299</v>
      </c>
      <c r="H448" s="18"/>
      <c r="I448" s="18" t="s">
        <v>216</v>
      </c>
      <c r="J448" s="19">
        <v>1</v>
      </c>
      <c r="K448" s="18" t="s">
        <v>151</v>
      </c>
      <c r="L448" s="18" t="s">
        <v>151</v>
      </c>
      <c r="M448" s="16" t="s">
        <v>148</v>
      </c>
      <c r="N448" s="18"/>
    </row>
    <row r="449" spans="1:14">
      <c r="A449" s="24">
        <v>46224</v>
      </c>
      <c r="B449" s="5" t="s">
        <v>325</v>
      </c>
      <c r="C449" s="5" t="s">
        <v>180</v>
      </c>
      <c r="D449" s="5" t="s">
        <v>6</v>
      </c>
      <c r="E449" s="5" t="s">
        <v>166</v>
      </c>
      <c r="F449" s="5" t="s">
        <v>398</v>
      </c>
      <c r="G449" s="5" t="s">
        <v>185</v>
      </c>
      <c r="H449" s="5" t="s">
        <v>405</v>
      </c>
      <c r="I449" s="5" t="s">
        <v>47</v>
      </c>
      <c r="J449" s="7">
        <v>2</v>
      </c>
      <c r="K449" s="5" t="s">
        <v>151</v>
      </c>
      <c r="L449" s="5" t="s">
        <v>151</v>
      </c>
      <c r="M449" s="16" t="s">
        <v>148</v>
      </c>
      <c r="N449" s="5"/>
    </row>
    <row r="450" spans="1:14">
      <c r="A450" s="25">
        <v>46224</v>
      </c>
      <c r="B450" s="18" t="s">
        <v>325</v>
      </c>
      <c r="C450" s="18" t="s">
        <v>180</v>
      </c>
      <c r="D450" s="18" t="s">
        <v>6</v>
      </c>
      <c r="E450" s="18" t="s">
        <v>166</v>
      </c>
      <c r="F450" s="18" t="s">
        <v>398</v>
      </c>
      <c r="G450" s="18" t="s">
        <v>263</v>
      </c>
      <c r="H450" s="18"/>
      <c r="I450" s="18" t="s">
        <v>47</v>
      </c>
      <c r="J450" s="19">
        <v>1</v>
      </c>
      <c r="K450" s="18" t="s">
        <v>151</v>
      </c>
      <c r="L450" s="18" t="s">
        <v>151</v>
      </c>
      <c r="M450" s="16" t="s">
        <v>148</v>
      </c>
      <c r="N450" s="18"/>
    </row>
    <row r="451" spans="1:14">
      <c r="A451" s="24">
        <v>46224</v>
      </c>
      <c r="B451" s="5" t="s">
        <v>325</v>
      </c>
      <c r="C451" s="5" t="s">
        <v>180</v>
      </c>
      <c r="D451" s="5" t="s">
        <v>6</v>
      </c>
      <c r="E451" s="5" t="s">
        <v>166</v>
      </c>
      <c r="F451" s="5" t="s">
        <v>398</v>
      </c>
      <c r="G451" s="5" t="s">
        <v>45</v>
      </c>
      <c r="H451" s="5"/>
      <c r="I451" s="5" t="s">
        <v>40</v>
      </c>
      <c r="J451" s="7">
        <v>50</v>
      </c>
      <c r="K451" s="5" t="s">
        <v>151</v>
      </c>
      <c r="L451" s="5" t="s">
        <v>151</v>
      </c>
      <c r="M451" s="16" t="s">
        <v>148</v>
      </c>
      <c r="N451" s="5"/>
    </row>
    <row r="452" spans="1:14">
      <c r="A452" s="25">
        <v>46224</v>
      </c>
      <c r="B452" s="18" t="s">
        <v>325</v>
      </c>
      <c r="C452" s="18" t="s">
        <v>180</v>
      </c>
      <c r="D452" s="18" t="s">
        <v>6</v>
      </c>
      <c r="E452" s="18" t="s">
        <v>166</v>
      </c>
      <c r="F452" s="18" t="s">
        <v>398</v>
      </c>
      <c r="G452" s="18" t="s">
        <v>49</v>
      </c>
      <c r="H452" s="18"/>
      <c r="I452" s="18" t="s">
        <v>40</v>
      </c>
      <c r="J452" s="19">
        <v>400</v>
      </c>
      <c r="K452" s="18" t="s">
        <v>151</v>
      </c>
      <c r="L452" s="18" t="s">
        <v>151</v>
      </c>
      <c r="M452" s="16" t="s">
        <v>148</v>
      </c>
      <c r="N452" s="18"/>
    </row>
    <row r="453" spans="1:14">
      <c r="A453" s="24">
        <v>46224</v>
      </c>
      <c r="B453" s="5" t="s">
        <v>325</v>
      </c>
      <c r="C453" s="5" t="s">
        <v>180</v>
      </c>
      <c r="D453" s="5" t="s">
        <v>6</v>
      </c>
      <c r="E453" s="5" t="s">
        <v>166</v>
      </c>
      <c r="F453" s="5" t="s">
        <v>398</v>
      </c>
      <c r="G453" s="5" t="s">
        <v>267</v>
      </c>
      <c r="H453" s="5"/>
      <c r="I453" s="5" t="s">
        <v>40</v>
      </c>
      <c r="J453" s="7">
        <v>250</v>
      </c>
      <c r="K453" s="5" t="s">
        <v>151</v>
      </c>
      <c r="L453" s="5" t="s">
        <v>151</v>
      </c>
      <c r="M453" s="16" t="s">
        <v>148</v>
      </c>
      <c r="N453" s="5"/>
    </row>
    <row r="454" spans="1:14">
      <c r="A454" s="25">
        <v>46224</v>
      </c>
      <c r="B454" s="18" t="s">
        <v>325</v>
      </c>
      <c r="C454" s="18" t="s">
        <v>180</v>
      </c>
      <c r="D454" s="18" t="s">
        <v>6</v>
      </c>
      <c r="E454" s="18" t="s">
        <v>166</v>
      </c>
      <c r="F454" s="18" t="s">
        <v>398</v>
      </c>
      <c r="G454" s="18" t="s">
        <v>43</v>
      </c>
      <c r="H454" s="18"/>
      <c r="I454" s="18" t="s">
        <v>40</v>
      </c>
      <c r="J454" s="19">
        <v>100</v>
      </c>
      <c r="K454" s="18" t="s">
        <v>151</v>
      </c>
      <c r="L454" s="18" t="s">
        <v>151</v>
      </c>
      <c r="M454" s="16" t="s">
        <v>148</v>
      </c>
      <c r="N454" s="18"/>
    </row>
    <row r="455" spans="1:14">
      <c r="A455" s="24">
        <v>46224</v>
      </c>
      <c r="B455" s="5" t="s">
        <v>325</v>
      </c>
      <c r="C455" s="5" t="s">
        <v>180</v>
      </c>
      <c r="D455" s="5" t="s">
        <v>6</v>
      </c>
      <c r="E455" s="5" t="s">
        <v>168</v>
      </c>
      <c r="F455" s="5" t="s">
        <v>396</v>
      </c>
      <c r="G455" s="5" t="s">
        <v>235</v>
      </c>
      <c r="H455" s="5"/>
      <c r="I455" s="5" t="s">
        <v>47</v>
      </c>
      <c r="J455" s="7">
        <v>1</v>
      </c>
      <c r="K455" s="5" t="s">
        <v>147</v>
      </c>
      <c r="L455" s="5" t="s">
        <v>147</v>
      </c>
      <c r="M455" s="16" t="s">
        <v>148</v>
      </c>
      <c r="N455" s="5"/>
    </row>
    <row r="456" spans="1:14">
      <c r="A456" s="25">
        <v>46224</v>
      </c>
      <c r="B456" s="18" t="s">
        <v>325</v>
      </c>
      <c r="C456" s="18" t="s">
        <v>180</v>
      </c>
      <c r="D456" s="18" t="s">
        <v>6</v>
      </c>
      <c r="E456" s="18" t="s">
        <v>168</v>
      </c>
      <c r="F456" s="18" t="s">
        <v>396</v>
      </c>
      <c r="G456" s="18" t="s">
        <v>226</v>
      </c>
      <c r="H456" s="18"/>
      <c r="I456" s="18" t="s">
        <v>216</v>
      </c>
      <c r="J456" s="19">
        <v>100</v>
      </c>
      <c r="K456" s="18" t="s">
        <v>147</v>
      </c>
      <c r="L456" s="18" t="s">
        <v>147</v>
      </c>
      <c r="M456" s="16" t="s">
        <v>148</v>
      </c>
      <c r="N456" s="18"/>
    </row>
    <row r="457" spans="1:14">
      <c r="A457" s="24">
        <v>46225</v>
      </c>
      <c r="B457" s="5" t="s">
        <v>325</v>
      </c>
      <c r="C457" s="5" t="s">
        <v>180</v>
      </c>
      <c r="D457" s="5" t="s">
        <v>3</v>
      </c>
      <c r="E457" s="5" t="s">
        <v>159</v>
      </c>
      <c r="F457" s="5" t="s">
        <v>364</v>
      </c>
      <c r="G457" s="5" t="s">
        <v>253</v>
      </c>
      <c r="H457" s="5"/>
      <c r="I457" s="5" t="s">
        <v>216</v>
      </c>
      <c r="J457" s="7">
        <v>1</v>
      </c>
      <c r="K457" s="5" t="s">
        <v>345</v>
      </c>
      <c r="L457" s="5" t="s">
        <v>149</v>
      </c>
      <c r="M457" s="16" t="s">
        <v>148</v>
      </c>
      <c r="N457" s="5"/>
    </row>
    <row r="458" spans="1:14">
      <c r="A458" s="25">
        <v>46225</v>
      </c>
      <c r="B458" s="18" t="s">
        <v>325</v>
      </c>
      <c r="C458" s="18" t="s">
        <v>180</v>
      </c>
      <c r="D458" s="18" t="s">
        <v>3</v>
      </c>
      <c r="E458" s="18" t="s">
        <v>3</v>
      </c>
      <c r="F458" s="18" t="s">
        <v>349</v>
      </c>
      <c r="G458" s="18" t="s">
        <v>239</v>
      </c>
      <c r="H458" s="18"/>
      <c r="I458" s="18" t="s">
        <v>216</v>
      </c>
      <c r="J458" s="19">
        <v>1</v>
      </c>
      <c r="K458" s="18" t="s">
        <v>153</v>
      </c>
      <c r="L458" s="18" t="s">
        <v>153</v>
      </c>
      <c r="M458" s="17" t="s">
        <v>153</v>
      </c>
      <c r="N458" s="18"/>
    </row>
    <row r="459" spans="1:14">
      <c r="A459" s="24">
        <v>46225</v>
      </c>
      <c r="B459" s="5" t="s">
        <v>325</v>
      </c>
      <c r="C459" s="5" t="s">
        <v>180</v>
      </c>
      <c r="D459" s="5" t="s">
        <v>6</v>
      </c>
      <c r="E459" s="5" t="s">
        <v>166</v>
      </c>
      <c r="F459" s="5" t="s">
        <v>398</v>
      </c>
      <c r="G459" s="5" t="s">
        <v>259</v>
      </c>
      <c r="H459" s="5"/>
      <c r="I459" s="5" t="s">
        <v>40</v>
      </c>
      <c r="J459" s="7">
        <v>2</v>
      </c>
      <c r="K459" s="5" t="s">
        <v>151</v>
      </c>
      <c r="L459" s="5" t="s">
        <v>151</v>
      </c>
      <c r="M459" s="16" t="s">
        <v>148</v>
      </c>
      <c r="N459" s="5"/>
    </row>
    <row r="460" spans="1:14">
      <c r="A460" s="25">
        <v>46225</v>
      </c>
      <c r="B460" s="18" t="s">
        <v>325</v>
      </c>
      <c r="C460" s="18" t="s">
        <v>180</v>
      </c>
      <c r="D460" s="18" t="s">
        <v>6</v>
      </c>
      <c r="E460" s="18" t="s">
        <v>166</v>
      </c>
      <c r="F460" s="18" t="s">
        <v>398</v>
      </c>
      <c r="G460" s="18" t="s">
        <v>187</v>
      </c>
      <c r="H460" s="18"/>
      <c r="I460" s="18" t="s">
        <v>216</v>
      </c>
      <c r="J460" s="19">
        <v>1</v>
      </c>
      <c r="K460" s="18" t="s">
        <v>151</v>
      </c>
      <c r="L460" s="18" t="s">
        <v>151</v>
      </c>
      <c r="M460" s="16" t="s">
        <v>148</v>
      </c>
      <c r="N460" s="18"/>
    </row>
    <row r="461" spans="1:14">
      <c r="A461" s="24">
        <v>46225</v>
      </c>
      <c r="B461" s="5" t="s">
        <v>325</v>
      </c>
      <c r="C461" s="5" t="s">
        <v>180</v>
      </c>
      <c r="D461" s="5" t="s">
        <v>6</v>
      </c>
      <c r="E461" s="5" t="s">
        <v>166</v>
      </c>
      <c r="F461" s="5" t="s">
        <v>398</v>
      </c>
      <c r="G461" s="5" t="s">
        <v>282</v>
      </c>
      <c r="H461" s="5"/>
      <c r="I461" s="5" t="s">
        <v>257</v>
      </c>
      <c r="J461" s="7">
        <v>2</v>
      </c>
      <c r="K461" s="5" t="s">
        <v>151</v>
      </c>
      <c r="L461" s="5" t="s">
        <v>151</v>
      </c>
      <c r="M461" s="16" t="s">
        <v>148</v>
      </c>
      <c r="N461" s="5"/>
    </row>
    <row r="462" spans="1:14">
      <c r="A462" s="25">
        <v>46225</v>
      </c>
      <c r="B462" s="18" t="s">
        <v>325</v>
      </c>
      <c r="C462" s="18" t="s">
        <v>180</v>
      </c>
      <c r="D462" s="18" t="s">
        <v>6</v>
      </c>
      <c r="E462" s="18" t="s">
        <v>166</v>
      </c>
      <c r="F462" s="18" t="s">
        <v>398</v>
      </c>
      <c r="G462" s="18" t="s">
        <v>293</v>
      </c>
      <c r="H462" s="18" t="s">
        <v>406</v>
      </c>
      <c r="I462" s="18" t="s">
        <v>47</v>
      </c>
      <c r="J462" s="19">
        <v>1</v>
      </c>
      <c r="K462" s="18" t="s">
        <v>151</v>
      </c>
      <c r="L462" s="18" t="s">
        <v>151</v>
      </c>
      <c r="M462" s="16" t="s">
        <v>148</v>
      </c>
      <c r="N462" s="18"/>
    </row>
    <row r="463" spans="1:14">
      <c r="A463" s="24">
        <v>46225</v>
      </c>
      <c r="B463" s="5" t="s">
        <v>325</v>
      </c>
      <c r="C463" s="5" t="s">
        <v>180</v>
      </c>
      <c r="D463" s="5" t="s">
        <v>6</v>
      </c>
      <c r="E463" s="5" t="s">
        <v>166</v>
      </c>
      <c r="F463" s="5" t="s">
        <v>398</v>
      </c>
      <c r="G463" s="5" t="s">
        <v>227</v>
      </c>
      <c r="H463" s="5"/>
      <c r="I463" s="5" t="s">
        <v>216</v>
      </c>
      <c r="J463" s="7">
        <v>2</v>
      </c>
      <c r="K463" s="5" t="s">
        <v>151</v>
      </c>
      <c r="L463" s="5" t="s">
        <v>151</v>
      </c>
      <c r="M463" s="16" t="s">
        <v>148</v>
      </c>
      <c r="N463" s="5"/>
    </row>
    <row r="464" spans="1:14">
      <c r="A464" s="25">
        <v>46225</v>
      </c>
      <c r="B464" s="18" t="s">
        <v>325</v>
      </c>
      <c r="C464" s="18" t="s">
        <v>180</v>
      </c>
      <c r="D464" s="18" t="s">
        <v>6</v>
      </c>
      <c r="E464" s="18" t="s">
        <v>168</v>
      </c>
      <c r="F464" s="18" t="s">
        <v>396</v>
      </c>
      <c r="G464" s="18" t="s">
        <v>239</v>
      </c>
      <c r="H464" s="18"/>
      <c r="I464" s="18" t="s">
        <v>216</v>
      </c>
      <c r="J464" s="19">
        <v>1</v>
      </c>
      <c r="K464" s="18" t="s">
        <v>153</v>
      </c>
      <c r="L464" s="18" t="s">
        <v>153</v>
      </c>
      <c r="M464" s="17" t="s">
        <v>153</v>
      </c>
      <c r="N464" s="18"/>
    </row>
    <row r="465" spans="1:14">
      <c r="A465" s="24">
        <v>46226</v>
      </c>
      <c r="B465" s="5" t="s">
        <v>325</v>
      </c>
      <c r="C465" s="5" t="s">
        <v>180</v>
      </c>
      <c r="D465" s="5" t="s">
        <v>3</v>
      </c>
      <c r="E465" s="5" t="s">
        <v>159</v>
      </c>
      <c r="F465" s="5" t="s">
        <v>377</v>
      </c>
      <c r="G465" s="5" t="s">
        <v>193</v>
      </c>
      <c r="H465" s="5"/>
      <c r="I465" s="5" t="s">
        <v>216</v>
      </c>
      <c r="J465" s="7">
        <v>1</v>
      </c>
      <c r="K465" s="5" t="s">
        <v>153</v>
      </c>
      <c r="L465" s="5" t="s">
        <v>153</v>
      </c>
      <c r="M465" s="17" t="s">
        <v>153</v>
      </c>
      <c r="N465" s="5"/>
    </row>
    <row r="466" spans="1:14">
      <c r="A466" s="25">
        <v>46226</v>
      </c>
      <c r="B466" s="18" t="s">
        <v>325</v>
      </c>
      <c r="C466" s="18" t="s">
        <v>180</v>
      </c>
      <c r="D466" s="18" t="s">
        <v>3</v>
      </c>
      <c r="E466" s="18" t="s">
        <v>159</v>
      </c>
      <c r="F466" s="18" t="s">
        <v>377</v>
      </c>
      <c r="G466" s="18" t="s">
        <v>227</v>
      </c>
      <c r="H466" s="18"/>
      <c r="I466" s="18" t="s">
        <v>216</v>
      </c>
      <c r="J466" s="19">
        <v>1</v>
      </c>
      <c r="K466" s="18" t="s">
        <v>153</v>
      </c>
      <c r="L466" s="18" t="s">
        <v>153</v>
      </c>
      <c r="M466" s="17" t="s">
        <v>153</v>
      </c>
      <c r="N466" s="18"/>
    </row>
    <row r="467" spans="1:14">
      <c r="A467" s="24">
        <v>46230</v>
      </c>
      <c r="B467" s="5" t="s">
        <v>326</v>
      </c>
      <c r="C467" s="5" t="s">
        <v>180</v>
      </c>
      <c r="D467" s="5" t="s">
        <v>3</v>
      </c>
      <c r="E467" s="5" t="s">
        <v>3</v>
      </c>
      <c r="F467" s="5" t="s">
        <v>374</v>
      </c>
      <c r="G467" s="5" t="s">
        <v>239</v>
      </c>
      <c r="H467" s="5"/>
      <c r="I467" s="5" t="s">
        <v>216</v>
      </c>
      <c r="J467" s="7">
        <v>1</v>
      </c>
      <c r="K467" s="5" t="s">
        <v>153</v>
      </c>
      <c r="L467" s="5" t="s">
        <v>153</v>
      </c>
      <c r="M467" s="17" t="s">
        <v>153</v>
      </c>
      <c r="N467" s="5"/>
    </row>
    <row r="468" spans="1:14">
      <c r="A468" s="25">
        <v>46230</v>
      </c>
      <c r="B468" s="18" t="s">
        <v>326</v>
      </c>
      <c r="C468" s="18" t="s">
        <v>180</v>
      </c>
      <c r="D468" s="18" t="s">
        <v>3</v>
      </c>
      <c r="E468" s="18" t="s">
        <v>3</v>
      </c>
      <c r="F468" s="18" t="s">
        <v>374</v>
      </c>
      <c r="G468" s="18" t="s">
        <v>217</v>
      </c>
      <c r="H468" s="18"/>
      <c r="I468" s="18" t="s">
        <v>216</v>
      </c>
      <c r="J468" s="19">
        <v>2</v>
      </c>
      <c r="K468" s="18" t="s">
        <v>345</v>
      </c>
      <c r="L468" s="18" t="s">
        <v>149</v>
      </c>
      <c r="M468" s="16" t="s">
        <v>148</v>
      </c>
      <c r="N468" s="18"/>
    </row>
    <row r="469" spans="1:14">
      <c r="A469" s="24">
        <v>46230</v>
      </c>
      <c r="B469" s="5" t="s">
        <v>326</v>
      </c>
      <c r="C469" s="5" t="s">
        <v>180</v>
      </c>
      <c r="D469" s="5" t="s">
        <v>6</v>
      </c>
      <c r="E469" s="5" t="s">
        <v>163</v>
      </c>
      <c r="F469" s="5" t="s">
        <v>394</v>
      </c>
      <c r="G469" s="5" t="s">
        <v>233</v>
      </c>
      <c r="H469" s="5"/>
      <c r="I469" s="5" t="s">
        <v>40</v>
      </c>
      <c r="J469" s="7">
        <v>1</v>
      </c>
      <c r="K469" s="5" t="s">
        <v>147</v>
      </c>
      <c r="L469" s="5" t="s">
        <v>147</v>
      </c>
      <c r="M469" s="16" t="s">
        <v>148</v>
      </c>
      <c r="N469" s="5"/>
    </row>
    <row r="470" spans="1:14">
      <c r="A470" s="25">
        <v>46230</v>
      </c>
      <c r="B470" s="18" t="s">
        <v>326</v>
      </c>
      <c r="C470" s="18" t="s">
        <v>180</v>
      </c>
      <c r="D470" s="18" t="s">
        <v>6</v>
      </c>
      <c r="E470" s="18" t="s">
        <v>163</v>
      </c>
      <c r="F470" s="18" t="s">
        <v>394</v>
      </c>
      <c r="G470" s="18" t="s">
        <v>250</v>
      </c>
      <c r="H470" s="18"/>
      <c r="I470" s="18" t="s">
        <v>40</v>
      </c>
      <c r="J470" s="19">
        <v>1</v>
      </c>
      <c r="K470" s="18" t="s">
        <v>147</v>
      </c>
      <c r="L470" s="18" t="s">
        <v>147</v>
      </c>
      <c r="M470" s="16" t="s">
        <v>148</v>
      </c>
      <c r="N470" s="18"/>
    </row>
    <row r="471" spans="1:14">
      <c r="A471" s="24">
        <v>46230</v>
      </c>
      <c r="B471" s="5" t="s">
        <v>326</v>
      </c>
      <c r="C471" s="5" t="s">
        <v>180</v>
      </c>
      <c r="D471" s="5" t="s">
        <v>6</v>
      </c>
      <c r="E471" s="5" t="s">
        <v>163</v>
      </c>
      <c r="F471" s="5" t="s">
        <v>394</v>
      </c>
      <c r="G471" s="5" t="s">
        <v>42</v>
      </c>
      <c r="H471" s="5"/>
      <c r="I471" s="5" t="s">
        <v>40</v>
      </c>
      <c r="J471" s="7">
        <v>300</v>
      </c>
      <c r="K471" s="5" t="s">
        <v>147</v>
      </c>
      <c r="L471" s="5" t="s">
        <v>147</v>
      </c>
      <c r="M471" s="16" t="s">
        <v>148</v>
      </c>
      <c r="N471" s="5"/>
    </row>
    <row r="472" spans="1:14">
      <c r="A472" s="25">
        <v>46230</v>
      </c>
      <c r="B472" s="18" t="s">
        <v>326</v>
      </c>
      <c r="C472" s="18" t="s">
        <v>180</v>
      </c>
      <c r="D472" s="18" t="s">
        <v>6</v>
      </c>
      <c r="E472" s="18" t="s">
        <v>163</v>
      </c>
      <c r="F472" s="18" t="s">
        <v>394</v>
      </c>
      <c r="G472" s="18" t="s">
        <v>41</v>
      </c>
      <c r="H472" s="18"/>
      <c r="I472" s="18" t="s">
        <v>40</v>
      </c>
      <c r="J472" s="19">
        <v>300</v>
      </c>
      <c r="K472" s="18" t="s">
        <v>147</v>
      </c>
      <c r="L472" s="18" t="s">
        <v>147</v>
      </c>
      <c r="M472" s="16" t="s">
        <v>148</v>
      </c>
      <c r="N472" s="18"/>
    </row>
    <row r="473" spans="1:14">
      <c r="A473" s="24">
        <v>46230</v>
      </c>
      <c r="B473" s="5" t="s">
        <v>326</v>
      </c>
      <c r="C473" s="5" t="s">
        <v>180</v>
      </c>
      <c r="D473" s="5" t="s">
        <v>6</v>
      </c>
      <c r="E473" s="5" t="s">
        <v>163</v>
      </c>
      <c r="F473" s="5" t="s">
        <v>394</v>
      </c>
      <c r="G473" s="5" t="s">
        <v>236</v>
      </c>
      <c r="H473" s="5"/>
      <c r="I473" s="5" t="s">
        <v>40</v>
      </c>
      <c r="J473" s="7">
        <v>1</v>
      </c>
      <c r="K473" s="5" t="s">
        <v>147</v>
      </c>
      <c r="L473" s="5" t="s">
        <v>147</v>
      </c>
      <c r="M473" s="16" t="s">
        <v>148</v>
      </c>
      <c r="N473" s="5"/>
    </row>
    <row r="474" spans="1:14">
      <c r="A474" s="25">
        <v>46230</v>
      </c>
      <c r="B474" s="18" t="s">
        <v>326</v>
      </c>
      <c r="C474" s="18" t="s">
        <v>180</v>
      </c>
      <c r="D474" s="18" t="s">
        <v>6</v>
      </c>
      <c r="E474" s="18" t="s">
        <v>163</v>
      </c>
      <c r="F474" s="18" t="s">
        <v>394</v>
      </c>
      <c r="G474" s="18" t="s">
        <v>185</v>
      </c>
      <c r="H474" s="18"/>
      <c r="I474" s="18" t="s">
        <v>47</v>
      </c>
      <c r="J474" s="19">
        <v>1</v>
      </c>
      <c r="K474" s="18" t="s">
        <v>153</v>
      </c>
      <c r="L474" s="18" t="s">
        <v>153</v>
      </c>
      <c r="M474" s="17" t="s">
        <v>153</v>
      </c>
      <c r="N474" s="18"/>
    </row>
    <row r="475" spans="1:14">
      <c r="A475" s="24">
        <v>46230</v>
      </c>
      <c r="B475" s="5" t="s">
        <v>326</v>
      </c>
      <c r="C475" s="5" t="s">
        <v>180</v>
      </c>
      <c r="D475" s="5" t="s">
        <v>6</v>
      </c>
      <c r="E475" s="5" t="s">
        <v>163</v>
      </c>
      <c r="F475" s="5" t="s">
        <v>394</v>
      </c>
      <c r="G475" s="5" t="s">
        <v>235</v>
      </c>
      <c r="H475" s="5"/>
      <c r="I475" s="5" t="s">
        <v>47</v>
      </c>
      <c r="J475" s="7">
        <v>1</v>
      </c>
      <c r="K475" s="5" t="s">
        <v>147</v>
      </c>
      <c r="L475" s="5" t="s">
        <v>147</v>
      </c>
      <c r="M475" s="16" t="s">
        <v>148</v>
      </c>
      <c r="N475" s="5"/>
    </row>
    <row r="476" spans="1:14">
      <c r="A476" s="25">
        <v>46230</v>
      </c>
      <c r="B476" s="18" t="s">
        <v>326</v>
      </c>
      <c r="C476" s="18" t="s">
        <v>180</v>
      </c>
      <c r="D476" s="18" t="s">
        <v>6</v>
      </c>
      <c r="E476" s="18" t="s">
        <v>163</v>
      </c>
      <c r="F476" s="18" t="s">
        <v>394</v>
      </c>
      <c r="G476" s="18" t="s">
        <v>238</v>
      </c>
      <c r="H476" s="18"/>
      <c r="I476" s="18" t="s">
        <v>47</v>
      </c>
      <c r="J476" s="19">
        <v>1</v>
      </c>
      <c r="K476" s="18" t="s">
        <v>147</v>
      </c>
      <c r="L476" s="18" t="s">
        <v>147</v>
      </c>
      <c r="M476" s="16" t="s">
        <v>148</v>
      </c>
      <c r="N476" s="18"/>
    </row>
    <row r="477" spans="1:14">
      <c r="A477" s="24">
        <v>46230</v>
      </c>
      <c r="B477" s="5" t="s">
        <v>326</v>
      </c>
      <c r="C477" s="5" t="s">
        <v>180</v>
      </c>
      <c r="D477" s="5" t="s">
        <v>6</v>
      </c>
      <c r="E477" s="5" t="s">
        <v>165</v>
      </c>
      <c r="F477" s="5" t="s">
        <v>397</v>
      </c>
      <c r="G477" s="5" t="s">
        <v>236</v>
      </c>
      <c r="H477" s="5" t="s">
        <v>407</v>
      </c>
      <c r="I477" s="5" t="s">
        <v>40</v>
      </c>
      <c r="J477" s="7">
        <v>6</v>
      </c>
      <c r="K477" s="5" t="s">
        <v>147</v>
      </c>
      <c r="L477" s="5" t="s">
        <v>147</v>
      </c>
      <c r="M477" s="16" t="s">
        <v>148</v>
      </c>
      <c r="N477" s="5"/>
    </row>
    <row r="478" spans="1:14">
      <c r="A478" s="25">
        <v>46230</v>
      </c>
      <c r="B478" s="18" t="s">
        <v>326</v>
      </c>
      <c r="C478" s="18" t="s">
        <v>180</v>
      </c>
      <c r="D478" s="18" t="s">
        <v>6</v>
      </c>
      <c r="E478" s="18" t="s">
        <v>165</v>
      </c>
      <c r="F478" s="18" t="s">
        <v>397</v>
      </c>
      <c r="G478" s="18" t="s">
        <v>41</v>
      </c>
      <c r="H478" s="18"/>
      <c r="I478" s="18" t="s">
        <v>40</v>
      </c>
      <c r="J478" s="19">
        <v>300</v>
      </c>
      <c r="K478" s="18" t="s">
        <v>147</v>
      </c>
      <c r="L478" s="18" t="s">
        <v>147</v>
      </c>
      <c r="M478" s="16" t="s">
        <v>148</v>
      </c>
      <c r="N478" s="18"/>
    </row>
    <row r="479" spans="1:14">
      <c r="A479" s="24">
        <v>46230</v>
      </c>
      <c r="B479" s="5" t="s">
        <v>326</v>
      </c>
      <c r="C479" s="5" t="s">
        <v>180</v>
      </c>
      <c r="D479" s="5" t="s">
        <v>6</v>
      </c>
      <c r="E479" s="5" t="s">
        <v>165</v>
      </c>
      <c r="F479" s="5" t="s">
        <v>397</v>
      </c>
      <c r="G479" s="5" t="s">
        <v>42</v>
      </c>
      <c r="H479" s="5"/>
      <c r="I479" s="5" t="s">
        <v>40</v>
      </c>
      <c r="J479" s="7">
        <v>300</v>
      </c>
      <c r="K479" s="5" t="s">
        <v>147</v>
      </c>
      <c r="L479" s="5" t="s">
        <v>147</v>
      </c>
      <c r="M479" s="16" t="s">
        <v>148</v>
      </c>
      <c r="N479" s="5"/>
    </row>
    <row r="480" spans="1:14">
      <c r="A480" s="25">
        <v>46230</v>
      </c>
      <c r="B480" s="18" t="s">
        <v>326</v>
      </c>
      <c r="C480" s="18" t="s">
        <v>180</v>
      </c>
      <c r="D480" s="18" t="s">
        <v>6</v>
      </c>
      <c r="E480" s="18" t="s">
        <v>165</v>
      </c>
      <c r="F480" s="18" t="s">
        <v>397</v>
      </c>
      <c r="G480" s="18" t="s">
        <v>269</v>
      </c>
      <c r="H480" s="18"/>
      <c r="I480" s="18" t="s">
        <v>40</v>
      </c>
      <c r="J480" s="19">
        <v>1</v>
      </c>
      <c r="K480" s="18" t="s">
        <v>147</v>
      </c>
      <c r="L480" s="18" t="s">
        <v>147</v>
      </c>
      <c r="M480" s="16" t="s">
        <v>148</v>
      </c>
      <c r="N480" s="18"/>
    </row>
    <row r="481" spans="1:14">
      <c r="A481" s="24">
        <v>46230</v>
      </c>
      <c r="B481" s="5" t="s">
        <v>326</v>
      </c>
      <c r="C481" s="5" t="s">
        <v>180</v>
      </c>
      <c r="D481" s="5" t="s">
        <v>6</v>
      </c>
      <c r="E481" s="5" t="s">
        <v>167</v>
      </c>
      <c r="F481" s="5" t="s">
        <v>394</v>
      </c>
      <c r="G481" s="5" t="s">
        <v>190</v>
      </c>
      <c r="H481" s="5"/>
      <c r="I481" s="5" t="s">
        <v>47</v>
      </c>
      <c r="J481" s="7">
        <v>1</v>
      </c>
      <c r="K481" s="5" t="s">
        <v>147</v>
      </c>
      <c r="L481" s="5" t="s">
        <v>147</v>
      </c>
      <c r="M481" s="16" t="s">
        <v>148</v>
      </c>
      <c r="N481" s="5"/>
    </row>
    <row r="482" spans="1:14">
      <c r="A482" s="25">
        <v>46230</v>
      </c>
      <c r="B482" s="18" t="s">
        <v>326</v>
      </c>
      <c r="C482" s="18" t="s">
        <v>180</v>
      </c>
      <c r="D482" s="18" t="s">
        <v>6</v>
      </c>
      <c r="E482" s="18" t="s">
        <v>167</v>
      </c>
      <c r="F482" s="18" t="s">
        <v>394</v>
      </c>
      <c r="G482" s="18" t="s">
        <v>185</v>
      </c>
      <c r="H482" s="18"/>
      <c r="I482" s="18" t="s">
        <v>47</v>
      </c>
      <c r="J482" s="19">
        <v>2</v>
      </c>
      <c r="K482" s="18" t="s">
        <v>153</v>
      </c>
      <c r="L482" s="18" t="s">
        <v>153</v>
      </c>
      <c r="M482" s="17" t="s">
        <v>153</v>
      </c>
      <c r="N482" s="18"/>
    </row>
    <row r="483" spans="1:14">
      <c r="A483" s="24">
        <v>46230</v>
      </c>
      <c r="B483" s="5" t="s">
        <v>326</v>
      </c>
      <c r="C483" s="5" t="s">
        <v>180</v>
      </c>
      <c r="D483" s="5" t="s">
        <v>6</v>
      </c>
      <c r="E483" s="5" t="s">
        <v>167</v>
      </c>
      <c r="F483" s="5" t="s">
        <v>394</v>
      </c>
      <c r="G483" s="5" t="s">
        <v>39</v>
      </c>
      <c r="H483" s="5"/>
      <c r="I483" s="5" t="s">
        <v>40</v>
      </c>
      <c r="J483" s="7">
        <v>100</v>
      </c>
      <c r="K483" s="5" t="s">
        <v>147</v>
      </c>
      <c r="L483" s="5" t="s">
        <v>147</v>
      </c>
      <c r="M483" s="16" t="s">
        <v>148</v>
      </c>
      <c r="N483" s="5"/>
    </row>
    <row r="484" spans="1:14">
      <c r="A484" s="25">
        <v>46230</v>
      </c>
      <c r="B484" s="18" t="s">
        <v>326</v>
      </c>
      <c r="C484" s="18" t="s">
        <v>180</v>
      </c>
      <c r="D484" s="18" t="s">
        <v>6</v>
      </c>
      <c r="E484" s="18" t="s">
        <v>167</v>
      </c>
      <c r="F484" s="18" t="s">
        <v>394</v>
      </c>
      <c r="G484" s="18" t="s">
        <v>42</v>
      </c>
      <c r="H484" s="18"/>
      <c r="I484" s="18" t="s">
        <v>40</v>
      </c>
      <c r="J484" s="19">
        <v>100</v>
      </c>
      <c r="K484" s="18" t="s">
        <v>147</v>
      </c>
      <c r="L484" s="18" t="s">
        <v>147</v>
      </c>
      <c r="M484" s="16" t="s">
        <v>148</v>
      </c>
      <c r="N484" s="18"/>
    </row>
    <row r="485" spans="1:14">
      <c r="A485" s="24">
        <v>46230</v>
      </c>
      <c r="B485" s="5" t="s">
        <v>326</v>
      </c>
      <c r="C485" s="5" t="s">
        <v>180</v>
      </c>
      <c r="D485" s="5" t="s">
        <v>6</v>
      </c>
      <c r="E485" s="5" t="s">
        <v>167</v>
      </c>
      <c r="F485" s="5" t="s">
        <v>394</v>
      </c>
      <c r="G485" s="5" t="s">
        <v>186</v>
      </c>
      <c r="H485" s="5"/>
      <c r="I485" s="5" t="s">
        <v>40</v>
      </c>
      <c r="J485" s="7">
        <v>1</v>
      </c>
      <c r="K485" s="5" t="s">
        <v>153</v>
      </c>
      <c r="L485" s="5" t="s">
        <v>153</v>
      </c>
      <c r="M485" s="17" t="s">
        <v>153</v>
      </c>
      <c r="N485" s="5"/>
    </row>
    <row r="486" spans="1:14">
      <c r="A486" s="25">
        <v>46230</v>
      </c>
      <c r="B486" s="18" t="s">
        <v>326</v>
      </c>
      <c r="C486" s="18" t="s">
        <v>180</v>
      </c>
      <c r="D486" s="18" t="s">
        <v>6</v>
      </c>
      <c r="E486" s="18" t="s">
        <v>167</v>
      </c>
      <c r="F486" s="18" t="s">
        <v>394</v>
      </c>
      <c r="G486" s="18" t="s">
        <v>187</v>
      </c>
      <c r="H486" s="18"/>
      <c r="I486" s="18" t="s">
        <v>216</v>
      </c>
      <c r="J486" s="19">
        <v>1</v>
      </c>
      <c r="K486" s="18" t="s">
        <v>147</v>
      </c>
      <c r="L486" s="18" t="s">
        <v>147</v>
      </c>
      <c r="M486" s="16" t="s">
        <v>148</v>
      </c>
      <c r="N486" s="18"/>
    </row>
    <row r="487" spans="1:14">
      <c r="A487" s="24">
        <v>46230</v>
      </c>
      <c r="B487" s="5" t="s">
        <v>326</v>
      </c>
      <c r="C487" s="5" t="s">
        <v>180</v>
      </c>
      <c r="D487" s="5" t="s">
        <v>6</v>
      </c>
      <c r="E487" s="5" t="s">
        <v>167</v>
      </c>
      <c r="F487" s="5" t="s">
        <v>394</v>
      </c>
      <c r="G487" s="5" t="s">
        <v>191</v>
      </c>
      <c r="H487" s="5"/>
      <c r="I487" s="5" t="s">
        <v>47</v>
      </c>
      <c r="J487" s="7">
        <v>1</v>
      </c>
      <c r="K487" s="5" t="s">
        <v>147</v>
      </c>
      <c r="L487" s="5" t="s">
        <v>147</v>
      </c>
      <c r="M487" s="16" t="s">
        <v>148</v>
      </c>
      <c r="N487" s="5"/>
    </row>
    <row r="488" spans="1:14">
      <c r="A488" s="25">
        <v>46230</v>
      </c>
      <c r="B488" s="18" t="s">
        <v>326</v>
      </c>
      <c r="C488" s="18" t="s">
        <v>180</v>
      </c>
      <c r="D488" s="18" t="s">
        <v>6</v>
      </c>
      <c r="E488" s="18" t="s">
        <v>167</v>
      </c>
      <c r="F488" s="18" t="s">
        <v>394</v>
      </c>
      <c r="G488" s="18" t="s">
        <v>225</v>
      </c>
      <c r="H488" s="18"/>
      <c r="I488" s="18" t="s">
        <v>216</v>
      </c>
      <c r="J488" s="19">
        <v>20</v>
      </c>
      <c r="K488" s="18" t="s">
        <v>147</v>
      </c>
      <c r="L488" s="18" t="s">
        <v>147</v>
      </c>
      <c r="M488" s="16" t="s">
        <v>148</v>
      </c>
      <c r="N488" s="18"/>
    </row>
    <row r="489" spans="1:14">
      <c r="A489" s="24">
        <v>46230</v>
      </c>
      <c r="B489" s="5" t="s">
        <v>326</v>
      </c>
      <c r="C489" s="5" t="s">
        <v>180</v>
      </c>
      <c r="D489" s="5" t="s">
        <v>6</v>
      </c>
      <c r="E489" s="5" t="s">
        <v>167</v>
      </c>
      <c r="F489" s="5" t="s">
        <v>394</v>
      </c>
      <c r="G489" s="5" t="s">
        <v>258</v>
      </c>
      <c r="H489" s="5"/>
      <c r="I489" s="5" t="s">
        <v>216</v>
      </c>
      <c r="J489" s="7">
        <v>20</v>
      </c>
      <c r="K489" s="5" t="s">
        <v>147</v>
      </c>
      <c r="L489" s="5" t="s">
        <v>147</v>
      </c>
      <c r="M489" s="16" t="s">
        <v>148</v>
      </c>
      <c r="N489" s="5"/>
    </row>
    <row r="490" spans="1:14">
      <c r="A490" s="25">
        <v>46230</v>
      </c>
      <c r="B490" s="18" t="s">
        <v>326</v>
      </c>
      <c r="C490" s="18" t="s">
        <v>180</v>
      </c>
      <c r="D490" s="18" t="s">
        <v>6</v>
      </c>
      <c r="E490" s="18" t="s">
        <v>168</v>
      </c>
      <c r="F490" s="18" t="s">
        <v>397</v>
      </c>
      <c r="G490" s="18" t="s">
        <v>185</v>
      </c>
      <c r="H490" s="18"/>
      <c r="I490" s="18" t="s">
        <v>47</v>
      </c>
      <c r="J490" s="19">
        <v>2</v>
      </c>
      <c r="K490" s="18" t="s">
        <v>153</v>
      </c>
      <c r="L490" s="18" t="s">
        <v>153</v>
      </c>
      <c r="M490" s="17" t="s">
        <v>153</v>
      </c>
      <c r="N490" s="18"/>
    </row>
    <row r="491" spans="1:14">
      <c r="A491" s="24">
        <v>46230</v>
      </c>
      <c r="B491" s="5" t="s">
        <v>326</v>
      </c>
      <c r="C491" s="5" t="s">
        <v>180</v>
      </c>
      <c r="D491" s="5" t="s">
        <v>6</v>
      </c>
      <c r="E491" s="5" t="s">
        <v>168</v>
      </c>
      <c r="F491" s="5" t="s">
        <v>397</v>
      </c>
      <c r="G491" s="5" t="s">
        <v>186</v>
      </c>
      <c r="H491" s="5"/>
      <c r="I491" s="5" t="s">
        <v>40</v>
      </c>
      <c r="J491" s="7">
        <v>1</v>
      </c>
      <c r="K491" s="5" t="s">
        <v>153</v>
      </c>
      <c r="L491" s="5" t="s">
        <v>153</v>
      </c>
      <c r="M491" s="17" t="s">
        <v>153</v>
      </c>
      <c r="N491" s="5"/>
    </row>
    <row r="492" spans="1:14">
      <c r="A492" s="25">
        <v>46230</v>
      </c>
      <c r="B492" s="18" t="s">
        <v>326</v>
      </c>
      <c r="C492" s="18" t="s">
        <v>180</v>
      </c>
      <c r="D492" s="18" t="s">
        <v>6</v>
      </c>
      <c r="E492" s="18" t="s">
        <v>168</v>
      </c>
      <c r="F492" s="18" t="s">
        <v>397</v>
      </c>
      <c r="G492" s="18" t="s">
        <v>236</v>
      </c>
      <c r="H492" s="18"/>
      <c r="I492" s="18" t="s">
        <v>40</v>
      </c>
      <c r="J492" s="19">
        <v>1</v>
      </c>
      <c r="K492" s="18" t="s">
        <v>153</v>
      </c>
      <c r="L492" s="18" t="s">
        <v>153</v>
      </c>
      <c r="M492" s="17" t="s">
        <v>153</v>
      </c>
      <c r="N492" s="18"/>
    </row>
    <row r="493" spans="1:14">
      <c r="A493" s="24">
        <v>46230</v>
      </c>
      <c r="B493" s="5" t="s">
        <v>326</v>
      </c>
      <c r="C493" s="5" t="s">
        <v>180</v>
      </c>
      <c r="D493" s="5" t="s">
        <v>6</v>
      </c>
      <c r="E493" s="5" t="s">
        <v>168</v>
      </c>
      <c r="F493" s="5" t="s">
        <v>397</v>
      </c>
      <c r="G493" s="5" t="s">
        <v>233</v>
      </c>
      <c r="H493" s="5"/>
      <c r="I493" s="5" t="s">
        <v>40</v>
      </c>
      <c r="J493" s="7">
        <v>2</v>
      </c>
      <c r="K493" s="5" t="s">
        <v>147</v>
      </c>
      <c r="L493" s="5" t="s">
        <v>147</v>
      </c>
      <c r="M493" s="16" t="s">
        <v>148</v>
      </c>
      <c r="N493" s="5"/>
    </row>
    <row r="494" spans="1:14">
      <c r="A494" s="25">
        <v>46230</v>
      </c>
      <c r="B494" s="18" t="s">
        <v>326</v>
      </c>
      <c r="C494" s="18" t="s">
        <v>180</v>
      </c>
      <c r="D494" s="18" t="s">
        <v>6</v>
      </c>
      <c r="E494" s="18" t="s">
        <v>168</v>
      </c>
      <c r="F494" s="18" t="s">
        <v>397</v>
      </c>
      <c r="G494" s="18" t="s">
        <v>277</v>
      </c>
      <c r="H494" s="18"/>
      <c r="I494" s="18" t="s">
        <v>47</v>
      </c>
      <c r="J494" s="19">
        <v>1</v>
      </c>
      <c r="K494" s="18" t="s">
        <v>147</v>
      </c>
      <c r="L494" s="18" t="s">
        <v>147</v>
      </c>
      <c r="M494" s="16" t="s">
        <v>148</v>
      </c>
      <c r="N494" s="18"/>
    </row>
    <row r="495" spans="1:14">
      <c r="A495" s="24">
        <v>46230</v>
      </c>
      <c r="B495" s="5" t="s">
        <v>326</v>
      </c>
      <c r="C495" s="5" t="s">
        <v>180</v>
      </c>
      <c r="D495" s="5" t="s">
        <v>6</v>
      </c>
      <c r="E495" s="5" t="s">
        <v>168</v>
      </c>
      <c r="F495" s="5" t="s">
        <v>397</v>
      </c>
      <c r="G495" s="5" t="s">
        <v>269</v>
      </c>
      <c r="H495" s="5"/>
      <c r="I495" s="5" t="s">
        <v>40</v>
      </c>
      <c r="J495" s="7">
        <v>1</v>
      </c>
      <c r="K495" s="5" t="s">
        <v>147</v>
      </c>
      <c r="L495" s="5" t="s">
        <v>147</v>
      </c>
      <c r="M495" s="16" t="s">
        <v>148</v>
      </c>
      <c r="N495" s="5"/>
    </row>
    <row r="496" spans="1:14">
      <c r="A496" s="25">
        <v>46230</v>
      </c>
      <c r="B496" s="18" t="s">
        <v>326</v>
      </c>
      <c r="C496" s="18" t="s">
        <v>180</v>
      </c>
      <c r="D496" s="18" t="s">
        <v>6</v>
      </c>
      <c r="E496" s="18" t="s">
        <v>168</v>
      </c>
      <c r="F496" s="18" t="s">
        <v>397</v>
      </c>
      <c r="G496" s="18" t="s">
        <v>193</v>
      </c>
      <c r="H496" s="18"/>
      <c r="I496" s="18" t="s">
        <v>216</v>
      </c>
      <c r="J496" s="19">
        <v>1</v>
      </c>
      <c r="K496" s="18" t="s">
        <v>147</v>
      </c>
      <c r="L496" s="18" t="s">
        <v>147</v>
      </c>
      <c r="M496" s="16" t="s">
        <v>148</v>
      </c>
      <c r="N496" s="18"/>
    </row>
    <row r="497" spans="1:14">
      <c r="A497" s="24">
        <v>46230</v>
      </c>
      <c r="B497" s="5" t="s">
        <v>326</v>
      </c>
      <c r="C497" s="5" t="s">
        <v>180</v>
      </c>
      <c r="D497" s="5" t="s">
        <v>6</v>
      </c>
      <c r="E497" s="5" t="s">
        <v>168</v>
      </c>
      <c r="F497" s="5" t="s">
        <v>397</v>
      </c>
      <c r="G497" s="5" t="s">
        <v>227</v>
      </c>
      <c r="H497" s="5"/>
      <c r="I497" s="5" t="s">
        <v>216</v>
      </c>
      <c r="J497" s="7">
        <v>2</v>
      </c>
      <c r="K497" s="5" t="s">
        <v>147</v>
      </c>
      <c r="L497" s="5" t="s">
        <v>147</v>
      </c>
      <c r="M497" s="16" t="s">
        <v>148</v>
      </c>
      <c r="N497" s="5"/>
    </row>
    <row r="498" spans="1:14">
      <c r="A498" s="25">
        <v>46230</v>
      </c>
      <c r="B498" s="18" t="s">
        <v>326</v>
      </c>
      <c r="C498" s="18" t="s">
        <v>180</v>
      </c>
      <c r="D498" s="18" t="s">
        <v>6</v>
      </c>
      <c r="E498" s="18" t="s">
        <v>168</v>
      </c>
      <c r="F498" s="18" t="s">
        <v>397</v>
      </c>
      <c r="G498" s="18" t="s">
        <v>39</v>
      </c>
      <c r="H498" s="18"/>
      <c r="I498" s="18" t="s">
        <v>40</v>
      </c>
      <c r="J498" s="19">
        <v>300</v>
      </c>
      <c r="K498" s="18" t="s">
        <v>147</v>
      </c>
      <c r="L498" s="18" t="s">
        <v>147</v>
      </c>
      <c r="M498" s="16" t="s">
        <v>148</v>
      </c>
      <c r="N498" s="18"/>
    </row>
    <row r="499" spans="1:14">
      <c r="A499" s="24">
        <v>46230</v>
      </c>
      <c r="B499" s="5" t="s">
        <v>326</v>
      </c>
      <c r="C499" s="5" t="s">
        <v>180</v>
      </c>
      <c r="D499" s="5" t="s">
        <v>6</v>
      </c>
      <c r="E499" s="5" t="s">
        <v>168</v>
      </c>
      <c r="F499" s="5" t="s">
        <v>397</v>
      </c>
      <c r="G499" s="5" t="s">
        <v>286</v>
      </c>
      <c r="H499" s="5"/>
      <c r="I499" s="5" t="s">
        <v>216</v>
      </c>
      <c r="J499" s="7">
        <v>2</v>
      </c>
      <c r="K499" s="5" t="s">
        <v>147</v>
      </c>
      <c r="L499" s="5" t="s">
        <v>147</v>
      </c>
      <c r="M499" s="16" t="s">
        <v>148</v>
      </c>
      <c r="N499" s="5"/>
    </row>
    <row r="500" spans="1:14">
      <c r="A500" s="25">
        <v>46230</v>
      </c>
      <c r="B500" s="18" t="s">
        <v>326</v>
      </c>
      <c r="C500" s="18" t="s">
        <v>180</v>
      </c>
      <c r="D500" s="18" t="s">
        <v>6</v>
      </c>
      <c r="E500" s="18" t="s">
        <v>168</v>
      </c>
      <c r="F500" s="18" t="s">
        <v>397</v>
      </c>
      <c r="G500" s="18" t="s">
        <v>188</v>
      </c>
      <c r="H500" s="18"/>
      <c r="I500" s="18" t="s">
        <v>216</v>
      </c>
      <c r="J500" s="19">
        <v>1</v>
      </c>
      <c r="K500" s="18" t="s">
        <v>147</v>
      </c>
      <c r="L500" s="18" t="s">
        <v>147</v>
      </c>
      <c r="M500" s="16" t="s">
        <v>148</v>
      </c>
      <c r="N500" s="18"/>
    </row>
    <row r="501" spans="1:14">
      <c r="A501" s="24">
        <v>46230</v>
      </c>
      <c r="B501" s="5" t="s">
        <v>326</v>
      </c>
      <c r="C501" s="5" t="s">
        <v>180</v>
      </c>
      <c r="D501" s="5" t="s">
        <v>6</v>
      </c>
      <c r="E501" s="5" t="s">
        <v>168</v>
      </c>
      <c r="F501" s="5" t="s">
        <v>397</v>
      </c>
      <c r="G501" s="5" t="s">
        <v>41</v>
      </c>
      <c r="H501" s="5"/>
      <c r="I501" s="5" t="s">
        <v>40</v>
      </c>
      <c r="J501" s="7">
        <v>300</v>
      </c>
      <c r="K501" s="5" t="s">
        <v>147</v>
      </c>
      <c r="L501" s="5" t="s">
        <v>147</v>
      </c>
      <c r="M501" s="16" t="s">
        <v>148</v>
      </c>
      <c r="N501" s="5"/>
    </row>
    <row r="502" spans="1:14">
      <c r="A502" s="25">
        <v>46230</v>
      </c>
      <c r="B502" s="18" t="s">
        <v>326</v>
      </c>
      <c r="C502" s="18" t="s">
        <v>180</v>
      </c>
      <c r="D502" s="18" t="s">
        <v>6</v>
      </c>
      <c r="E502" s="18" t="s">
        <v>169</v>
      </c>
      <c r="F502" s="18" t="s">
        <v>394</v>
      </c>
      <c r="G502" s="18" t="s">
        <v>39</v>
      </c>
      <c r="H502" s="18"/>
      <c r="I502" s="18" t="s">
        <v>40</v>
      </c>
      <c r="J502" s="19">
        <v>100</v>
      </c>
      <c r="K502" s="18" t="s">
        <v>147</v>
      </c>
      <c r="L502" s="18" t="s">
        <v>147</v>
      </c>
      <c r="M502" s="16" t="s">
        <v>148</v>
      </c>
      <c r="N502" s="18"/>
    </row>
    <row r="503" spans="1:14">
      <c r="A503" s="24">
        <v>46230</v>
      </c>
      <c r="B503" s="5" t="s">
        <v>326</v>
      </c>
      <c r="C503" s="5" t="s">
        <v>180</v>
      </c>
      <c r="D503" s="5" t="s">
        <v>6</v>
      </c>
      <c r="E503" s="5" t="s">
        <v>169</v>
      </c>
      <c r="F503" s="5" t="s">
        <v>394</v>
      </c>
      <c r="G503" s="5" t="s">
        <v>186</v>
      </c>
      <c r="H503" s="5"/>
      <c r="I503" s="5" t="s">
        <v>40</v>
      </c>
      <c r="J503" s="7">
        <v>1</v>
      </c>
      <c r="K503" s="5" t="s">
        <v>153</v>
      </c>
      <c r="L503" s="5" t="s">
        <v>153</v>
      </c>
      <c r="M503" s="17" t="s">
        <v>153</v>
      </c>
      <c r="N503" s="5"/>
    </row>
    <row r="504" spans="1:14">
      <c r="A504" s="25">
        <v>46230</v>
      </c>
      <c r="B504" s="18" t="s">
        <v>326</v>
      </c>
      <c r="C504" s="18" t="s">
        <v>180</v>
      </c>
      <c r="D504" s="18" t="s">
        <v>6</v>
      </c>
      <c r="E504" s="18" t="s">
        <v>169</v>
      </c>
      <c r="F504" s="18" t="s">
        <v>394</v>
      </c>
      <c r="G504" s="18" t="s">
        <v>225</v>
      </c>
      <c r="H504" s="18"/>
      <c r="I504" s="18" t="s">
        <v>216</v>
      </c>
      <c r="J504" s="19">
        <v>20</v>
      </c>
      <c r="K504" s="18" t="s">
        <v>147</v>
      </c>
      <c r="L504" s="18" t="s">
        <v>147</v>
      </c>
      <c r="M504" s="16" t="s">
        <v>148</v>
      </c>
      <c r="N504" s="18"/>
    </row>
    <row r="505" spans="1:14">
      <c r="A505" s="24">
        <v>46230</v>
      </c>
      <c r="B505" s="5" t="s">
        <v>326</v>
      </c>
      <c r="C505" s="5" t="s">
        <v>180</v>
      </c>
      <c r="D505" s="5" t="s">
        <v>6</v>
      </c>
      <c r="E505" s="5" t="s">
        <v>169</v>
      </c>
      <c r="F505" s="5" t="s">
        <v>394</v>
      </c>
      <c r="G505" s="5" t="s">
        <v>258</v>
      </c>
      <c r="H505" s="5"/>
      <c r="I505" s="5" t="s">
        <v>216</v>
      </c>
      <c r="J505" s="7">
        <v>20</v>
      </c>
      <c r="K505" s="5" t="s">
        <v>147</v>
      </c>
      <c r="L505" s="5" t="s">
        <v>147</v>
      </c>
      <c r="M505" s="16" t="s">
        <v>148</v>
      </c>
      <c r="N505" s="5"/>
    </row>
    <row r="506" spans="1:14">
      <c r="A506" s="25">
        <v>46230</v>
      </c>
      <c r="B506" s="18" t="s">
        <v>326</v>
      </c>
      <c r="C506" s="18" t="s">
        <v>180</v>
      </c>
      <c r="D506" s="18" t="s">
        <v>6</v>
      </c>
      <c r="E506" s="18" t="s">
        <v>169</v>
      </c>
      <c r="F506" s="18" t="s">
        <v>394</v>
      </c>
      <c r="G506" s="18" t="s">
        <v>280</v>
      </c>
      <c r="H506" s="18"/>
      <c r="I506" s="18" t="s">
        <v>40</v>
      </c>
      <c r="J506" s="19">
        <v>1</v>
      </c>
      <c r="K506" s="18" t="s">
        <v>147</v>
      </c>
      <c r="L506" s="18" t="s">
        <v>147</v>
      </c>
      <c r="M506" s="16" t="s">
        <v>148</v>
      </c>
      <c r="N506" s="18"/>
    </row>
    <row r="507" spans="1:14">
      <c r="A507" s="24">
        <v>46230</v>
      </c>
      <c r="B507" s="5" t="s">
        <v>326</v>
      </c>
      <c r="C507" s="5" t="s">
        <v>180</v>
      </c>
      <c r="D507" s="5" t="s">
        <v>6</v>
      </c>
      <c r="E507" s="5" t="s">
        <v>169</v>
      </c>
      <c r="F507" s="5" t="s">
        <v>394</v>
      </c>
      <c r="G507" s="5" t="s">
        <v>227</v>
      </c>
      <c r="H507" s="5"/>
      <c r="I507" s="5" t="s">
        <v>216</v>
      </c>
      <c r="J507" s="7">
        <v>4</v>
      </c>
      <c r="K507" s="5" t="s">
        <v>147</v>
      </c>
      <c r="L507" s="5" t="s">
        <v>147</v>
      </c>
      <c r="M507" s="16" t="s">
        <v>148</v>
      </c>
      <c r="N507" s="5"/>
    </row>
    <row r="508" spans="1:14">
      <c r="A508" s="25">
        <v>46230</v>
      </c>
      <c r="B508" s="18" t="s">
        <v>326</v>
      </c>
      <c r="C508" s="18" t="s">
        <v>180</v>
      </c>
      <c r="D508" s="18" t="s">
        <v>6</v>
      </c>
      <c r="E508" s="18" t="s">
        <v>169</v>
      </c>
      <c r="F508" s="18" t="s">
        <v>394</v>
      </c>
      <c r="G508" s="18" t="s">
        <v>41</v>
      </c>
      <c r="H508" s="18"/>
      <c r="I508" s="18" t="s">
        <v>40</v>
      </c>
      <c r="J508" s="19">
        <v>20</v>
      </c>
      <c r="K508" s="18" t="s">
        <v>147</v>
      </c>
      <c r="L508" s="18" t="s">
        <v>147</v>
      </c>
      <c r="M508" s="16" t="s">
        <v>148</v>
      </c>
      <c r="N508" s="18"/>
    </row>
    <row r="509" spans="1:14">
      <c r="A509" s="24">
        <v>46230</v>
      </c>
      <c r="B509" s="5" t="s">
        <v>326</v>
      </c>
      <c r="C509" s="5" t="s">
        <v>180</v>
      </c>
      <c r="D509" s="5" t="s">
        <v>6</v>
      </c>
      <c r="E509" s="5" t="s">
        <v>169</v>
      </c>
      <c r="F509" s="5" t="s">
        <v>394</v>
      </c>
      <c r="G509" s="5" t="s">
        <v>48</v>
      </c>
      <c r="H509" s="5"/>
      <c r="I509" s="5" t="s">
        <v>47</v>
      </c>
      <c r="J509" s="7">
        <v>50</v>
      </c>
      <c r="K509" s="5" t="s">
        <v>147</v>
      </c>
      <c r="L509" s="5" t="s">
        <v>147</v>
      </c>
      <c r="M509" s="16" t="s">
        <v>148</v>
      </c>
      <c r="N509" s="5"/>
    </row>
    <row r="510" spans="1:14">
      <c r="A510" s="25">
        <v>46231</v>
      </c>
      <c r="B510" s="18" t="s">
        <v>326</v>
      </c>
      <c r="C510" s="18" t="s">
        <v>180</v>
      </c>
      <c r="D510" s="18" t="s">
        <v>3</v>
      </c>
      <c r="E510" s="18" t="s">
        <v>3</v>
      </c>
      <c r="F510" s="18" t="s">
        <v>348</v>
      </c>
      <c r="G510" s="18" t="s">
        <v>193</v>
      </c>
      <c r="H510" s="18"/>
      <c r="I510" s="18" t="s">
        <v>216</v>
      </c>
      <c r="J510" s="19">
        <v>2</v>
      </c>
      <c r="K510" s="18" t="s">
        <v>345</v>
      </c>
      <c r="L510" s="18" t="s">
        <v>149</v>
      </c>
      <c r="M510" s="16" t="s">
        <v>148</v>
      </c>
      <c r="N510" s="18"/>
    </row>
    <row r="511" spans="1:14">
      <c r="A511" s="24">
        <v>46232</v>
      </c>
      <c r="B511" s="5" t="s">
        <v>326</v>
      </c>
      <c r="C511" s="5" t="s">
        <v>180</v>
      </c>
      <c r="D511" s="5" t="s">
        <v>3</v>
      </c>
      <c r="E511" s="5" t="s">
        <v>3</v>
      </c>
      <c r="F511" s="5" t="s">
        <v>348</v>
      </c>
      <c r="G511" s="5" t="s">
        <v>215</v>
      </c>
      <c r="H511" s="5"/>
      <c r="I511" s="5" t="s">
        <v>216</v>
      </c>
      <c r="J511" s="7">
        <v>2</v>
      </c>
      <c r="K511" s="5" t="s">
        <v>345</v>
      </c>
      <c r="L511" s="5" t="s">
        <v>149</v>
      </c>
      <c r="M511" s="16" t="s">
        <v>148</v>
      </c>
      <c r="N511" s="5"/>
    </row>
    <row r="512" spans="1:14">
      <c r="A512" s="25">
        <v>46232</v>
      </c>
      <c r="B512" s="18" t="s">
        <v>326</v>
      </c>
      <c r="C512" s="18" t="s">
        <v>180</v>
      </c>
      <c r="D512" s="18" t="s">
        <v>3</v>
      </c>
      <c r="E512" s="18" t="s">
        <v>3</v>
      </c>
      <c r="F512" s="18" t="s">
        <v>380</v>
      </c>
      <c r="G512" s="18" t="s">
        <v>215</v>
      </c>
      <c r="H512" s="18"/>
      <c r="I512" s="18" t="s">
        <v>216</v>
      </c>
      <c r="J512" s="19">
        <v>1</v>
      </c>
      <c r="K512" s="18" t="s">
        <v>345</v>
      </c>
      <c r="L512" s="18" t="s">
        <v>149</v>
      </c>
      <c r="M512" s="16" t="s">
        <v>148</v>
      </c>
      <c r="N512" s="18"/>
    </row>
    <row r="513" spans="1:14">
      <c r="A513" s="24">
        <v>46233</v>
      </c>
      <c r="B513" s="5" t="s">
        <v>326</v>
      </c>
      <c r="C513" s="5" t="s">
        <v>180</v>
      </c>
      <c r="D513" s="5" t="s">
        <v>3</v>
      </c>
      <c r="E513" s="5" t="s">
        <v>159</v>
      </c>
      <c r="F513" s="5" t="s">
        <v>364</v>
      </c>
      <c r="G513" s="5" t="s">
        <v>246</v>
      </c>
      <c r="H513" s="5"/>
      <c r="I513" s="5" t="s">
        <v>40</v>
      </c>
      <c r="J513" s="7">
        <v>1</v>
      </c>
      <c r="K513" s="5" t="s">
        <v>345</v>
      </c>
      <c r="L513" s="5" t="s">
        <v>149</v>
      </c>
      <c r="M513" s="16" t="s">
        <v>148</v>
      </c>
      <c r="N513" s="5"/>
    </row>
    <row r="514" spans="1:14">
      <c r="A514" s="25">
        <v>46234</v>
      </c>
      <c r="B514" s="18" t="s">
        <v>326</v>
      </c>
      <c r="C514" s="18" t="s">
        <v>180</v>
      </c>
      <c r="D514" s="18" t="s">
        <v>3</v>
      </c>
      <c r="E514" s="18" t="s">
        <v>3</v>
      </c>
      <c r="F514" s="18" t="s">
        <v>349</v>
      </c>
      <c r="G514" s="18" t="s">
        <v>234</v>
      </c>
      <c r="H514" s="18"/>
      <c r="I514" s="18" t="s">
        <v>47</v>
      </c>
      <c r="J514" s="19">
        <v>1</v>
      </c>
      <c r="K514" s="18" t="s">
        <v>345</v>
      </c>
      <c r="L514" s="18" t="s">
        <v>149</v>
      </c>
      <c r="M514" s="16" t="s">
        <v>148</v>
      </c>
      <c r="N514" s="18"/>
    </row>
    <row r="515" spans="1:14">
      <c r="A515" s="24">
        <v>46234</v>
      </c>
      <c r="B515" s="5" t="s">
        <v>326</v>
      </c>
      <c r="C515" s="5" t="s">
        <v>180</v>
      </c>
      <c r="D515" s="5" t="s">
        <v>6</v>
      </c>
      <c r="E515" s="5" t="s">
        <v>168</v>
      </c>
      <c r="F515" s="5" t="s">
        <v>397</v>
      </c>
      <c r="G515" s="5" t="s">
        <v>46</v>
      </c>
      <c r="H515" s="5"/>
      <c r="I515" s="5" t="s">
        <v>47</v>
      </c>
      <c r="J515" s="7">
        <v>30</v>
      </c>
      <c r="K515" s="5" t="s">
        <v>153</v>
      </c>
      <c r="L515" s="5" t="s">
        <v>153</v>
      </c>
      <c r="M515" s="17" t="s">
        <v>153</v>
      </c>
      <c r="N515" s="5"/>
    </row>
    <row r="516" spans="1:14">
      <c r="A516" s="25">
        <v>46234</v>
      </c>
      <c r="B516" s="18" t="s">
        <v>326</v>
      </c>
      <c r="C516" s="18" t="s">
        <v>180</v>
      </c>
      <c r="D516" s="18" t="s">
        <v>6</v>
      </c>
      <c r="E516" s="18" t="s">
        <v>168</v>
      </c>
      <c r="F516" s="18" t="s">
        <v>397</v>
      </c>
      <c r="G516" s="18" t="s">
        <v>254</v>
      </c>
      <c r="H516" s="18"/>
      <c r="I516" s="18" t="s">
        <v>47</v>
      </c>
      <c r="J516" s="19">
        <v>1</v>
      </c>
      <c r="K516" s="18" t="s">
        <v>150</v>
      </c>
      <c r="L516" s="18" t="s">
        <v>150</v>
      </c>
      <c r="M516" s="16" t="s">
        <v>148</v>
      </c>
      <c r="N516" s="18"/>
    </row>
    <row r="517" spans="1:14">
      <c r="A517" s="24">
        <v>46234</v>
      </c>
      <c r="B517" s="5" t="s">
        <v>326</v>
      </c>
      <c r="C517" s="5" t="s">
        <v>180</v>
      </c>
      <c r="D517" s="5" t="s">
        <v>6</v>
      </c>
      <c r="E517" s="5" t="s">
        <v>168</v>
      </c>
      <c r="F517" s="5" t="s">
        <v>397</v>
      </c>
      <c r="G517" s="5" t="s">
        <v>233</v>
      </c>
      <c r="H517" s="5"/>
      <c r="I517" s="5" t="s">
        <v>40</v>
      </c>
      <c r="J517" s="7">
        <v>1</v>
      </c>
      <c r="K517" s="5" t="s">
        <v>153</v>
      </c>
      <c r="L517" s="5" t="s">
        <v>153</v>
      </c>
      <c r="M517" s="17" t="s">
        <v>153</v>
      </c>
      <c r="N517" s="5"/>
    </row>
    <row r="518" spans="1:14">
      <c r="A518" s="25">
        <v>46234</v>
      </c>
      <c r="B518" s="18" t="s">
        <v>326</v>
      </c>
      <c r="C518" s="18" t="s">
        <v>180</v>
      </c>
      <c r="D518" s="18" t="s">
        <v>6</v>
      </c>
      <c r="E518" s="18" t="s">
        <v>168</v>
      </c>
      <c r="F518" s="18" t="s">
        <v>397</v>
      </c>
      <c r="G518" s="18" t="s">
        <v>185</v>
      </c>
      <c r="H518" s="18"/>
      <c r="I518" s="18" t="s">
        <v>47</v>
      </c>
      <c r="J518" s="19">
        <v>3</v>
      </c>
      <c r="K518" s="18" t="s">
        <v>153</v>
      </c>
      <c r="L518" s="18" t="s">
        <v>153</v>
      </c>
      <c r="M518" s="17" t="s">
        <v>153</v>
      </c>
      <c r="N518" s="18"/>
    </row>
    <row r="519" spans="1:14">
      <c r="A519" s="24">
        <v>46234</v>
      </c>
      <c r="B519" s="5" t="s">
        <v>326</v>
      </c>
      <c r="C519" s="5" t="s">
        <v>180</v>
      </c>
      <c r="D519" s="5" t="s">
        <v>6</v>
      </c>
      <c r="E519" s="5" t="s">
        <v>168</v>
      </c>
      <c r="F519" s="5" t="s">
        <v>397</v>
      </c>
      <c r="G519" s="5" t="s">
        <v>236</v>
      </c>
      <c r="H519" s="5"/>
      <c r="I519" s="5" t="s">
        <v>40</v>
      </c>
      <c r="J519" s="7">
        <v>2</v>
      </c>
      <c r="K519" s="5" t="s">
        <v>150</v>
      </c>
      <c r="L519" s="5" t="s">
        <v>150</v>
      </c>
      <c r="M519" s="16" t="s">
        <v>148</v>
      </c>
      <c r="N519" s="5"/>
    </row>
    <row r="520" spans="1:14">
      <c r="A520" s="25">
        <v>46234</v>
      </c>
      <c r="B520" s="18" t="s">
        <v>326</v>
      </c>
      <c r="C520" s="18" t="s">
        <v>180</v>
      </c>
      <c r="D520" s="18" t="s">
        <v>6</v>
      </c>
      <c r="E520" s="18" t="s">
        <v>168</v>
      </c>
      <c r="F520" s="18" t="s">
        <v>397</v>
      </c>
      <c r="G520" s="18" t="s">
        <v>272</v>
      </c>
      <c r="H520" s="18"/>
      <c r="I520" s="18" t="s">
        <v>47</v>
      </c>
      <c r="J520" s="19">
        <v>1</v>
      </c>
      <c r="K520" s="18" t="s">
        <v>150</v>
      </c>
      <c r="L520" s="18" t="s">
        <v>150</v>
      </c>
      <c r="M520" s="16" t="s">
        <v>148</v>
      </c>
      <c r="N520" s="18"/>
    </row>
    <row r="521" spans="1:14">
      <c r="A521" s="24">
        <v>46234</v>
      </c>
      <c r="B521" s="5" t="s">
        <v>326</v>
      </c>
      <c r="C521" s="5" t="s">
        <v>180</v>
      </c>
      <c r="D521" s="5" t="s">
        <v>6</v>
      </c>
      <c r="E521" s="5" t="s">
        <v>168</v>
      </c>
      <c r="F521" s="5" t="s">
        <v>397</v>
      </c>
      <c r="G521" s="5" t="s">
        <v>186</v>
      </c>
      <c r="H521" s="5"/>
      <c r="I521" s="5" t="s">
        <v>40</v>
      </c>
      <c r="J521" s="7">
        <v>2</v>
      </c>
      <c r="K521" s="5" t="s">
        <v>153</v>
      </c>
      <c r="L521" s="5" t="s">
        <v>153</v>
      </c>
      <c r="M521" s="17" t="s">
        <v>153</v>
      </c>
      <c r="N521" s="5"/>
    </row>
    <row r="522" spans="1:14">
      <c r="A522" s="25">
        <v>46237</v>
      </c>
      <c r="B522" s="18" t="s">
        <v>327</v>
      </c>
      <c r="C522" s="18" t="s">
        <v>381</v>
      </c>
      <c r="D522" s="18" t="s">
        <v>6</v>
      </c>
      <c r="E522" s="18" t="s">
        <v>163</v>
      </c>
      <c r="F522" s="18" t="s">
        <v>394</v>
      </c>
      <c r="G522" s="18" t="s">
        <v>271</v>
      </c>
      <c r="H522" s="18"/>
      <c r="I522" s="18" t="s">
        <v>47</v>
      </c>
      <c r="J522" s="19">
        <v>1</v>
      </c>
      <c r="K522" s="18" t="s">
        <v>151</v>
      </c>
      <c r="L522" s="18" t="s">
        <v>151</v>
      </c>
      <c r="M522" s="16" t="s">
        <v>148</v>
      </c>
      <c r="N522" s="18"/>
    </row>
    <row r="523" spans="1:14">
      <c r="A523" s="24">
        <v>46237</v>
      </c>
      <c r="B523" s="5" t="s">
        <v>327</v>
      </c>
      <c r="C523" s="5" t="s">
        <v>381</v>
      </c>
      <c r="D523" s="5" t="s">
        <v>6</v>
      </c>
      <c r="E523" s="5" t="s">
        <v>163</v>
      </c>
      <c r="F523" s="5" t="s">
        <v>394</v>
      </c>
      <c r="G523" s="5" t="s">
        <v>236</v>
      </c>
      <c r="H523" s="5"/>
      <c r="I523" s="5" t="s">
        <v>40</v>
      </c>
      <c r="J523" s="7">
        <v>1</v>
      </c>
      <c r="K523" s="5" t="s">
        <v>151</v>
      </c>
      <c r="L523" s="5" t="s">
        <v>151</v>
      </c>
      <c r="M523" s="16" t="s">
        <v>148</v>
      </c>
      <c r="N523" s="5"/>
    </row>
    <row r="524" spans="1:14">
      <c r="A524" s="25">
        <v>46237</v>
      </c>
      <c r="B524" s="18" t="s">
        <v>327</v>
      </c>
      <c r="C524" s="18" t="s">
        <v>381</v>
      </c>
      <c r="D524" s="18" t="s">
        <v>6</v>
      </c>
      <c r="E524" s="18" t="s">
        <v>163</v>
      </c>
      <c r="F524" s="18" t="s">
        <v>394</v>
      </c>
      <c r="G524" s="18" t="s">
        <v>190</v>
      </c>
      <c r="H524" s="18"/>
      <c r="I524" s="18" t="s">
        <v>47</v>
      </c>
      <c r="J524" s="19">
        <v>2</v>
      </c>
      <c r="K524" s="18" t="s">
        <v>153</v>
      </c>
      <c r="L524" s="18" t="s">
        <v>153</v>
      </c>
      <c r="M524" s="17" t="s">
        <v>153</v>
      </c>
      <c r="N524" s="18"/>
    </row>
    <row r="525" spans="1:14">
      <c r="A525" s="24">
        <v>46237</v>
      </c>
      <c r="B525" s="5" t="s">
        <v>327</v>
      </c>
      <c r="C525" s="5" t="s">
        <v>381</v>
      </c>
      <c r="D525" s="5" t="s">
        <v>6</v>
      </c>
      <c r="E525" s="5" t="s">
        <v>163</v>
      </c>
      <c r="F525" s="5" t="s">
        <v>394</v>
      </c>
      <c r="G525" s="5" t="s">
        <v>39</v>
      </c>
      <c r="H525" s="5"/>
      <c r="I525" s="5" t="s">
        <v>40</v>
      </c>
      <c r="J525" s="7">
        <v>150</v>
      </c>
      <c r="K525" s="5" t="s">
        <v>151</v>
      </c>
      <c r="L525" s="5" t="s">
        <v>151</v>
      </c>
      <c r="M525" s="16" t="s">
        <v>148</v>
      </c>
      <c r="N525" s="5"/>
    </row>
    <row r="526" spans="1:14">
      <c r="A526" s="25">
        <v>46237</v>
      </c>
      <c r="B526" s="18" t="s">
        <v>327</v>
      </c>
      <c r="C526" s="18" t="s">
        <v>381</v>
      </c>
      <c r="D526" s="18" t="s">
        <v>6</v>
      </c>
      <c r="E526" s="18" t="s">
        <v>163</v>
      </c>
      <c r="F526" s="18" t="s">
        <v>394</v>
      </c>
      <c r="G526" s="18" t="s">
        <v>252</v>
      </c>
      <c r="H526" s="18"/>
      <c r="I526" s="18" t="s">
        <v>40</v>
      </c>
      <c r="J526" s="19">
        <v>1</v>
      </c>
      <c r="K526" s="18" t="s">
        <v>151</v>
      </c>
      <c r="L526" s="18" t="s">
        <v>151</v>
      </c>
      <c r="M526" s="16" t="s">
        <v>148</v>
      </c>
      <c r="N526" s="18"/>
    </row>
    <row r="527" spans="1:14">
      <c r="A527" s="24">
        <v>46237</v>
      </c>
      <c r="B527" s="5" t="s">
        <v>327</v>
      </c>
      <c r="C527" s="5" t="s">
        <v>381</v>
      </c>
      <c r="D527" s="5" t="s">
        <v>6</v>
      </c>
      <c r="E527" s="5" t="s">
        <v>163</v>
      </c>
      <c r="F527" s="5" t="s">
        <v>394</v>
      </c>
      <c r="G527" s="5" t="s">
        <v>285</v>
      </c>
      <c r="H527" s="5"/>
      <c r="I527" s="5" t="s">
        <v>40</v>
      </c>
      <c r="J527" s="7">
        <v>1</v>
      </c>
      <c r="K527" s="5" t="s">
        <v>151</v>
      </c>
      <c r="L527" s="5" t="s">
        <v>151</v>
      </c>
      <c r="M527" s="16" t="s">
        <v>148</v>
      </c>
      <c r="N527" s="5"/>
    </row>
    <row r="528" spans="1:14">
      <c r="A528" s="25">
        <v>46237</v>
      </c>
      <c r="B528" s="18" t="s">
        <v>327</v>
      </c>
      <c r="C528" s="18" t="s">
        <v>381</v>
      </c>
      <c r="D528" s="18" t="s">
        <v>6</v>
      </c>
      <c r="E528" s="18" t="s">
        <v>163</v>
      </c>
      <c r="F528" s="18" t="s">
        <v>394</v>
      </c>
      <c r="G528" s="18" t="s">
        <v>249</v>
      </c>
      <c r="H528" s="18"/>
      <c r="I528" s="18" t="s">
        <v>40</v>
      </c>
      <c r="J528" s="19">
        <v>1</v>
      </c>
      <c r="K528" s="18" t="s">
        <v>151</v>
      </c>
      <c r="L528" s="18" t="s">
        <v>151</v>
      </c>
      <c r="M528" s="16" t="s">
        <v>148</v>
      </c>
      <c r="N528" s="18"/>
    </row>
    <row r="529" spans="1:14">
      <c r="A529" s="24">
        <v>46237</v>
      </c>
      <c r="B529" s="5" t="s">
        <v>327</v>
      </c>
      <c r="C529" s="5" t="s">
        <v>381</v>
      </c>
      <c r="D529" s="5" t="s">
        <v>6</v>
      </c>
      <c r="E529" s="5" t="s">
        <v>163</v>
      </c>
      <c r="F529" s="5" t="s">
        <v>394</v>
      </c>
      <c r="G529" s="5" t="s">
        <v>188</v>
      </c>
      <c r="H529" s="5"/>
      <c r="I529" s="5" t="s">
        <v>216</v>
      </c>
      <c r="J529" s="7">
        <v>1</v>
      </c>
      <c r="K529" s="5" t="s">
        <v>151</v>
      </c>
      <c r="L529" s="5" t="s">
        <v>151</v>
      </c>
      <c r="M529" s="16" t="s">
        <v>148</v>
      </c>
      <c r="N529" s="5"/>
    </row>
    <row r="530" spans="1:14">
      <c r="A530" s="25">
        <v>46237</v>
      </c>
      <c r="B530" s="18" t="s">
        <v>327</v>
      </c>
      <c r="C530" s="18" t="s">
        <v>381</v>
      </c>
      <c r="D530" s="18" t="s">
        <v>6</v>
      </c>
      <c r="E530" s="18" t="s">
        <v>163</v>
      </c>
      <c r="F530" s="18" t="s">
        <v>394</v>
      </c>
      <c r="G530" s="18" t="s">
        <v>280</v>
      </c>
      <c r="H530" s="18"/>
      <c r="I530" s="18" t="s">
        <v>40</v>
      </c>
      <c r="J530" s="19">
        <v>1</v>
      </c>
      <c r="K530" s="18" t="s">
        <v>151</v>
      </c>
      <c r="L530" s="18" t="s">
        <v>151</v>
      </c>
      <c r="M530" s="16" t="s">
        <v>148</v>
      </c>
      <c r="N530" s="18"/>
    </row>
    <row r="531" spans="1:14">
      <c r="A531" s="24">
        <v>46237</v>
      </c>
      <c r="B531" s="5" t="s">
        <v>327</v>
      </c>
      <c r="C531" s="5" t="s">
        <v>381</v>
      </c>
      <c r="D531" s="5" t="s">
        <v>6</v>
      </c>
      <c r="E531" s="5" t="s">
        <v>167</v>
      </c>
      <c r="F531" s="5" t="s">
        <v>394</v>
      </c>
      <c r="G531" s="5" t="s">
        <v>238</v>
      </c>
      <c r="H531" s="5"/>
      <c r="I531" s="5" t="s">
        <v>47</v>
      </c>
      <c r="J531" s="7">
        <v>1</v>
      </c>
      <c r="K531" s="5" t="s">
        <v>151</v>
      </c>
      <c r="L531" s="5" t="s">
        <v>151</v>
      </c>
      <c r="M531" s="16" t="s">
        <v>148</v>
      </c>
      <c r="N531" s="5"/>
    </row>
    <row r="532" spans="1:14">
      <c r="A532" s="25">
        <v>46237</v>
      </c>
      <c r="B532" s="18" t="s">
        <v>327</v>
      </c>
      <c r="C532" s="18" t="s">
        <v>381</v>
      </c>
      <c r="D532" s="18" t="s">
        <v>6</v>
      </c>
      <c r="E532" s="18" t="s">
        <v>167</v>
      </c>
      <c r="F532" s="18" t="s">
        <v>394</v>
      </c>
      <c r="G532" s="18" t="s">
        <v>280</v>
      </c>
      <c r="H532" s="18"/>
      <c r="I532" s="18" t="s">
        <v>40</v>
      </c>
      <c r="J532" s="19">
        <v>1</v>
      </c>
      <c r="K532" s="18" t="s">
        <v>151</v>
      </c>
      <c r="L532" s="18" t="s">
        <v>151</v>
      </c>
      <c r="M532" s="16" t="s">
        <v>148</v>
      </c>
      <c r="N532" s="18"/>
    </row>
    <row r="533" spans="1:14">
      <c r="A533" s="24">
        <v>46237</v>
      </c>
      <c r="B533" s="5" t="s">
        <v>327</v>
      </c>
      <c r="C533" s="5" t="s">
        <v>381</v>
      </c>
      <c r="D533" s="5" t="s">
        <v>6</v>
      </c>
      <c r="E533" s="5" t="s">
        <v>167</v>
      </c>
      <c r="F533" s="5" t="s">
        <v>394</v>
      </c>
      <c r="G533" s="5" t="s">
        <v>287</v>
      </c>
      <c r="H533" s="5"/>
      <c r="I533" s="5" t="s">
        <v>216</v>
      </c>
      <c r="J533" s="7">
        <v>2</v>
      </c>
      <c r="K533" s="5" t="s">
        <v>153</v>
      </c>
      <c r="L533" s="5" t="s">
        <v>153</v>
      </c>
      <c r="M533" s="17" t="s">
        <v>153</v>
      </c>
      <c r="N533" s="5"/>
    </row>
    <row r="534" spans="1:14">
      <c r="A534" s="25">
        <v>46237</v>
      </c>
      <c r="B534" s="18" t="s">
        <v>327</v>
      </c>
      <c r="C534" s="18" t="s">
        <v>381</v>
      </c>
      <c r="D534" s="18" t="s">
        <v>6</v>
      </c>
      <c r="E534" s="18" t="s">
        <v>167</v>
      </c>
      <c r="F534" s="18" t="s">
        <v>394</v>
      </c>
      <c r="G534" s="18" t="s">
        <v>235</v>
      </c>
      <c r="H534" s="18"/>
      <c r="I534" s="18" t="s">
        <v>47</v>
      </c>
      <c r="J534" s="19">
        <v>1</v>
      </c>
      <c r="K534" s="18" t="s">
        <v>151</v>
      </c>
      <c r="L534" s="18" t="s">
        <v>151</v>
      </c>
      <c r="M534" s="16" t="s">
        <v>148</v>
      </c>
      <c r="N534" s="18"/>
    </row>
    <row r="535" spans="1:14">
      <c r="A535" s="24">
        <v>46237</v>
      </c>
      <c r="B535" s="5" t="s">
        <v>327</v>
      </c>
      <c r="C535" s="5" t="s">
        <v>381</v>
      </c>
      <c r="D535" s="5" t="s">
        <v>6</v>
      </c>
      <c r="E535" s="5" t="s">
        <v>167</v>
      </c>
      <c r="F535" s="5" t="s">
        <v>394</v>
      </c>
      <c r="G535" s="5" t="s">
        <v>271</v>
      </c>
      <c r="H535" s="5"/>
      <c r="I535" s="5" t="s">
        <v>47</v>
      </c>
      <c r="J535" s="7">
        <v>2</v>
      </c>
      <c r="K535" s="5" t="s">
        <v>151</v>
      </c>
      <c r="L535" s="5" t="s">
        <v>151</v>
      </c>
      <c r="M535" s="16" t="s">
        <v>148</v>
      </c>
      <c r="N535" s="5"/>
    </row>
    <row r="536" spans="1:14">
      <c r="A536" s="25">
        <v>46237</v>
      </c>
      <c r="B536" s="18" t="s">
        <v>327</v>
      </c>
      <c r="C536" s="18" t="s">
        <v>381</v>
      </c>
      <c r="D536" s="18" t="s">
        <v>6</v>
      </c>
      <c r="E536" s="18" t="s">
        <v>167</v>
      </c>
      <c r="F536" s="18" t="s">
        <v>394</v>
      </c>
      <c r="G536" s="18" t="s">
        <v>185</v>
      </c>
      <c r="H536" s="18"/>
      <c r="I536" s="18" t="s">
        <v>47</v>
      </c>
      <c r="J536" s="19">
        <v>2</v>
      </c>
      <c r="K536" s="18" t="s">
        <v>151</v>
      </c>
      <c r="L536" s="18" t="s">
        <v>151</v>
      </c>
      <c r="M536" s="16" t="s">
        <v>148</v>
      </c>
      <c r="N536" s="18"/>
    </row>
    <row r="537" spans="1:14">
      <c r="A537" s="24">
        <v>46237</v>
      </c>
      <c r="B537" s="5" t="s">
        <v>327</v>
      </c>
      <c r="C537" s="5" t="s">
        <v>381</v>
      </c>
      <c r="D537" s="5" t="s">
        <v>6</v>
      </c>
      <c r="E537" s="5" t="s">
        <v>167</v>
      </c>
      <c r="F537" s="5" t="s">
        <v>394</v>
      </c>
      <c r="G537" s="5" t="s">
        <v>236</v>
      </c>
      <c r="H537" s="5"/>
      <c r="I537" s="5" t="s">
        <v>40</v>
      </c>
      <c r="J537" s="7">
        <v>1</v>
      </c>
      <c r="K537" s="5" t="s">
        <v>151</v>
      </c>
      <c r="L537" s="5" t="s">
        <v>151</v>
      </c>
      <c r="M537" s="16" t="s">
        <v>148</v>
      </c>
      <c r="N537" s="5"/>
    </row>
    <row r="538" spans="1:14">
      <c r="A538" s="25">
        <v>46237</v>
      </c>
      <c r="B538" s="18" t="s">
        <v>327</v>
      </c>
      <c r="C538" s="18" t="s">
        <v>381</v>
      </c>
      <c r="D538" s="18" t="s">
        <v>6</v>
      </c>
      <c r="E538" s="18" t="s">
        <v>167</v>
      </c>
      <c r="F538" s="18" t="s">
        <v>394</v>
      </c>
      <c r="G538" s="18" t="s">
        <v>188</v>
      </c>
      <c r="H538" s="18"/>
      <c r="I538" s="18" t="s">
        <v>216</v>
      </c>
      <c r="J538" s="19">
        <v>1</v>
      </c>
      <c r="K538" s="18" t="s">
        <v>153</v>
      </c>
      <c r="L538" s="18" t="s">
        <v>153</v>
      </c>
      <c r="M538" s="17" t="s">
        <v>153</v>
      </c>
      <c r="N538" s="18"/>
    </row>
    <row r="539" spans="1:14">
      <c r="A539" s="24">
        <v>46237</v>
      </c>
      <c r="B539" s="5" t="s">
        <v>327</v>
      </c>
      <c r="C539" s="5" t="s">
        <v>381</v>
      </c>
      <c r="D539" s="5" t="s">
        <v>6</v>
      </c>
      <c r="E539" s="5" t="s">
        <v>167</v>
      </c>
      <c r="F539" s="5" t="s">
        <v>394</v>
      </c>
      <c r="G539" s="5" t="s">
        <v>39</v>
      </c>
      <c r="H539" s="5"/>
      <c r="I539" s="5" t="s">
        <v>40</v>
      </c>
      <c r="J539" s="7">
        <v>100</v>
      </c>
      <c r="K539" s="5" t="s">
        <v>151</v>
      </c>
      <c r="L539" s="5" t="s">
        <v>151</v>
      </c>
      <c r="M539" s="16" t="s">
        <v>148</v>
      </c>
      <c r="N539" s="5"/>
    </row>
    <row r="540" spans="1:14">
      <c r="A540" s="25">
        <v>46237</v>
      </c>
      <c r="B540" s="18" t="s">
        <v>327</v>
      </c>
      <c r="C540" s="18" t="s">
        <v>381</v>
      </c>
      <c r="D540" s="18" t="s">
        <v>6</v>
      </c>
      <c r="E540" s="18" t="s">
        <v>167</v>
      </c>
      <c r="F540" s="18" t="s">
        <v>394</v>
      </c>
      <c r="G540" s="18" t="s">
        <v>279</v>
      </c>
      <c r="H540" s="18"/>
      <c r="I540" s="18" t="s">
        <v>216</v>
      </c>
      <c r="J540" s="19">
        <v>1</v>
      </c>
      <c r="K540" s="18" t="s">
        <v>151</v>
      </c>
      <c r="L540" s="18" t="s">
        <v>151</v>
      </c>
      <c r="M540" s="16" t="s">
        <v>148</v>
      </c>
      <c r="N540" s="18"/>
    </row>
    <row r="541" spans="1:14">
      <c r="A541" s="24">
        <v>46237</v>
      </c>
      <c r="B541" s="5" t="s">
        <v>327</v>
      </c>
      <c r="C541" s="5" t="s">
        <v>381</v>
      </c>
      <c r="D541" s="5" t="s">
        <v>6</v>
      </c>
      <c r="E541" s="5" t="s">
        <v>167</v>
      </c>
      <c r="F541" s="5" t="s">
        <v>394</v>
      </c>
      <c r="G541" s="5" t="s">
        <v>186</v>
      </c>
      <c r="H541" s="5"/>
      <c r="I541" s="5" t="s">
        <v>40</v>
      </c>
      <c r="J541" s="7">
        <v>3</v>
      </c>
      <c r="K541" s="5" t="s">
        <v>153</v>
      </c>
      <c r="L541" s="5" t="s">
        <v>153</v>
      </c>
      <c r="M541" s="17" t="s">
        <v>153</v>
      </c>
      <c r="N541" s="5"/>
    </row>
    <row r="542" spans="1:14">
      <c r="A542" s="25">
        <v>46237</v>
      </c>
      <c r="B542" s="18" t="s">
        <v>327</v>
      </c>
      <c r="C542" s="18" t="s">
        <v>381</v>
      </c>
      <c r="D542" s="18" t="s">
        <v>6</v>
      </c>
      <c r="E542" s="18" t="s">
        <v>167</v>
      </c>
      <c r="F542" s="18" t="s">
        <v>394</v>
      </c>
      <c r="G542" s="18" t="s">
        <v>46</v>
      </c>
      <c r="H542" s="18"/>
      <c r="I542" s="18" t="s">
        <v>47</v>
      </c>
      <c r="J542" s="19">
        <v>50</v>
      </c>
      <c r="K542" s="18" t="s">
        <v>151</v>
      </c>
      <c r="L542" s="18" t="s">
        <v>151</v>
      </c>
      <c r="M542" s="16" t="s">
        <v>148</v>
      </c>
      <c r="N542" s="18"/>
    </row>
    <row r="543" spans="1:14">
      <c r="A543" s="24">
        <v>46237</v>
      </c>
      <c r="B543" s="5" t="s">
        <v>327</v>
      </c>
      <c r="C543" s="5" t="s">
        <v>381</v>
      </c>
      <c r="D543" s="5" t="s">
        <v>6</v>
      </c>
      <c r="E543" s="5" t="s">
        <v>169</v>
      </c>
      <c r="F543" s="5" t="s">
        <v>394</v>
      </c>
      <c r="G543" s="5" t="s">
        <v>45</v>
      </c>
      <c r="H543" s="5"/>
      <c r="I543" s="5" t="s">
        <v>40</v>
      </c>
      <c r="J543" s="7">
        <v>50</v>
      </c>
      <c r="K543" s="5" t="s">
        <v>151</v>
      </c>
      <c r="L543" s="5" t="s">
        <v>151</v>
      </c>
      <c r="M543" s="16" t="s">
        <v>148</v>
      </c>
      <c r="N543" s="5"/>
    </row>
    <row r="544" spans="1:14">
      <c r="A544" s="25">
        <v>46237</v>
      </c>
      <c r="B544" s="18" t="s">
        <v>327</v>
      </c>
      <c r="C544" s="18" t="s">
        <v>381</v>
      </c>
      <c r="D544" s="18" t="s">
        <v>6</v>
      </c>
      <c r="E544" s="18" t="s">
        <v>169</v>
      </c>
      <c r="F544" s="18" t="s">
        <v>394</v>
      </c>
      <c r="G544" s="18" t="s">
        <v>46</v>
      </c>
      <c r="H544" s="18"/>
      <c r="I544" s="18" t="s">
        <v>47</v>
      </c>
      <c r="J544" s="19">
        <v>50</v>
      </c>
      <c r="K544" s="18" t="s">
        <v>151</v>
      </c>
      <c r="L544" s="18" t="s">
        <v>151</v>
      </c>
      <c r="M544" s="16" t="s">
        <v>148</v>
      </c>
      <c r="N544" s="18"/>
    </row>
    <row r="545" spans="1:14">
      <c r="A545" s="24">
        <v>46237</v>
      </c>
      <c r="B545" s="5" t="s">
        <v>327</v>
      </c>
      <c r="C545" s="5" t="s">
        <v>381</v>
      </c>
      <c r="D545" s="5" t="s">
        <v>6</v>
      </c>
      <c r="E545" s="5" t="s">
        <v>169</v>
      </c>
      <c r="F545" s="5" t="s">
        <v>394</v>
      </c>
      <c r="G545" s="5" t="s">
        <v>189</v>
      </c>
      <c r="H545" s="5"/>
      <c r="I545" s="5" t="s">
        <v>47</v>
      </c>
      <c r="J545" s="7">
        <v>2</v>
      </c>
      <c r="K545" s="5" t="s">
        <v>151</v>
      </c>
      <c r="L545" s="5" t="s">
        <v>151</v>
      </c>
      <c r="M545" s="16" t="s">
        <v>148</v>
      </c>
      <c r="N545" s="5"/>
    </row>
    <row r="546" spans="1:14">
      <c r="A546" s="25">
        <v>46237</v>
      </c>
      <c r="B546" s="18" t="s">
        <v>327</v>
      </c>
      <c r="C546" s="18" t="s">
        <v>381</v>
      </c>
      <c r="D546" s="18" t="s">
        <v>6</v>
      </c>
      <c r="E546" s="18" t="s">
        <v>169</v>
      </c>
      <c r="F546" s="18" t="s">
        <v>394</v>
      </c>
      <c r="G546" s="18" t="s">
        <v>187</v>
      </c>
      <c r="H546" s="18"/>
      <c r="I546" s="18" t="s">
        <v>216</v>
      </c>
      <c r="J546" s="19">
        <v>1</v>
      </c>
      <c r="K546" s="18" t="s">
        <v>151</v>
      </c>
      <c r="L546" s="18" t="s">
        <v>151</v>
      </c>
      <c r="M546" s="16" t="s">
        <v>148</v>
      </c>
      <c r="N546" s="18"/>
    </row>
    <row r="547" spans="1:14">
      <c r="A547" s="24">
        <v>46237</v>
      </c>
      <c r="B547" s="5" t="s">
        <v>327</v>
      </c>
      <c r="C547" s="5" t="s">
        <v>381</v>
      </c>
      <c r="D547" s="5" t="s">
        <v>6</v>
      </c>
      <c r="E547" s="5" t="s">
        <v>169</v>
      </c>
      <c r="F547" s="5" t="s">
        <v>394</v>
      </c>
      <c r="G547" s="5" t="s">
        <v>191</v>
      </c>
      <c r="H547" s="5"/>
      <c r="I547" s="5" t="s">
        <v>47</v>
      </c>
      <c r="J547" s="7">
        <v>1</v>
      </c>
      <c r="K547" s="5" t="s">
        <v>151</v>
      </c>
      <c r="L547" s="5" t="s">
        <v>151</v>
      </c>
      <c r="M547" s="16" t="s">
        <v>148</v>
      </c>
      <c r="N547" s="5"/>
    </row>
    <row r="548" spans="1:14">
      <c r="A548" s="25">
        <v>46237</v>
      </c>
      <c r="B548" s="18" t="s">
        <v>327</v>
      </c>
      <c r="C548" s="18" t="s">
        <v>381</v>
      </c>
      <c r="D548" s="18" t="s">
        <v>6</v>
      </c>
      <c r="E548" s="18" t="s">
        <v>169</v>
      </c>
      <c r="F548" s="18" t="s">
        <v>394</v>
      </c>
      <c r="G548" s="18" t="s">
        <v>238</v>
      </c>
      <c r="H548" s="18"/>
      <c r="I548" s="18" t="s">
        <v>47</v>
      </c>
      <c r="J548" s="19">
        <v>1</v>
      </c>
      <c r="K548" s="18" t="s">
        <v>151</v>
      </c>
      <c r="L548" s="18" t="s">
        <v>151</v>
      </c>
      <c r="M548" s="16" t="s">
        <v>148</v>
      </c>
      <c r="N548" s="18"/>
    </row>
    <row r="549" spans="1:14">
      <c r="A549" s="24">
        <v>46237</v>
      </c>
      <c r="B549" s="5" t="s">
        <v>327</v>
      </c>
      <c r="C549" s="5" t="s">
        <v>381</v>
      </c>
      <c r="D549" s="5" t="s">
        <v>6</v>
      </c>
      <c r="E549" s="5" t="s">
        <v>169</v>
      </c>
      <c r="F549" s="5" t="s">
        <v>394</v>
      </c>
      <c r="G549" s="5" t="s">
        <v>235</v>
      </c>
      <c r="H549" s="5"/>
      <c r="I549" s="5" t="s">
        <v>47</v>
      </c>
      <c r="J549" s="7">
        <v>1</v>
      </c>
      <c r="K549" s="5" t="s">
        <v>151</v>
      </c>
      <c r="L549" s="5" t="s">
        <v>151</v>
      </c>
      <c r="M549" s="16" t="s">
        <v>148</v>
      </c>
      <c r="N549" s="5"/>
    </row>
    <row r="550" spans="1:14">
      <c r="A550" s="25">
        <v>46237</v>
      </c>
      <c r="B550" s="18" t="s">
        <v>327</v>
      </c>
      <c r="C550" s="18" t="s">
        <v>381</v>
      </c>
      <c r="D550" s="18" t="s">
        <v>6</v>
      </c>
      <c r="E550" s="18" t="s">
        <v>169</v>
      </c>
      <c r="F550" s="18" t="s">
        <v>394</v>
      </c>
      <c r="G550" s="18" t="s">
        <v>279</v>
      </c>
      <c r="H550" s="18"/>
      <c r="I550" s="18" t="s">
        <v>216</v>
      </c>
      <c r="J550" s="19">
        <v>1</v>
      </c>
      <c r="K550" s="18" t="s">
        <v>151</v>
      </c>
      <c r="L550" s="18" t="s">
        <v>151</v>
      </c>
      <c r="M550" s="16" t="s">
        <v>148</v>
      </c>
      <c r="N550" s="18"/>
    </row>
    <row r="551" spans="1:14">
      <c r="A551" s="24">
        <v>46237</v>
      </c>
      <c r="B551" s="5" t="s">
        <v>327</v>
      </c>
      <c r="C551" s="5" t="s">
        <v>381</v>
      </c>
      <c r="D551" s="5" t="s">
        <v>6</v>
      </c>
      <c r="E551" s="5" t="s">
        <v>169</v>
      </c>
      <c r="F551" s="5" t="s">
        <v>394</v>
      </c>
      <c r="G551" s="5" t="s">
        <v>217</v>
      </c>
      <c r="H551" s="5"/>
      <c r="I551" s="5" t="s">
        <v>216</v>
      </c>
      <c r="J551" s="7">
        <v>1</v>
      </c>
      <c r="K551" s="5" t="s">
        <v>151</v>
      </c>
      <c r="L551" s="5" t="s">
        <v>151</v>
      </c>
      <c r="M551" s="16" t="s">
        <v>148</v>
      </c>
      <c r="N551" s="5"/>
    </row>
    <row r="552" spans="1:14">
      <c r="A552" s="25">
        <v>46237</v>
      </c>
      <c r="B552" s="18" t="s">
        <v>327</v>
      </c>
      <c r="C552" s="18" t="s">
        <v>381</v>
      </c>
      <c r="D552" s="18" t="s">
        <v>6</v>
      </c>
      <c r="E552" s="18" t="s">
        <v>169</v>
      </c>
      <c r="F552" s="18" t="s">
        <v>394</v>
      </c>
      <c r="G552" s="18" t="s">
        <v>215</v>
      </c>
      <c r="H552" s="18"/>
      <c r="I552" s="18" t="s">
        <v>216</v>
      </c>
      <c r="J552" s="19">
        <v>1</v>
      </c>
      <c r="K552" s="18" t="s">
        <v>151</v>
      </c>
      <c r="L552" s="18" t="s">
        <v>151</v>
      </c>
      <c r="M552" s="16" t="s">
        <v>148</v>
      </c>
      <c r="N552" s="18"/>
    </row>
    <row r="553" spans="1:14">
      <c r="A553" s="24">
        <v>46238</v>
      </c>
      <c r="B553" s="5" t="s">
        <v>327</v>
      </c>
      <c r="C553" s="5" t="s">
        <v>381</v>
      </c>
      <c r="D553" s="5" t="s">
        <v>3</v>
      </c>
      <c r="E553" s="5" t="s">
        <v>3</v>
      </c>
      <c r="F553" s="5" t="s">
        <v>350</v>
      </c>
      <c r="G553" s="5" t="s">
        <v>229</v>
      </c>
      <c r="H553" s="5"/>
      <c r="I553" s="5" t="s">
        <v>216</v>
      </c>
      <c r="J553" s="7">
        <v>2</v>
      </c>
      <c r="K553" s="5" t="s">
        <v>345</v>
      </c>
      <c r="L553" s="5" t="s">
        <v>149</v>
      </c>
      <c r="M553" s="16" t="s">
        <v>148</v>
      </c>
      <c r="N553" s="5"/>
    </row>
    <row r="554" spans="1:14">
      <c r="A554" s="25">
        <v>46238</v>
      </c>
      <c r="B554" s="18" t="s">
        <v>327</v>
      </c>
      <c r="C554" s="18" t="s">
        <v>381</v>
      </c>
      <c r="D554" s="18" t="s">
        <v>3</v>
      </c>
      <c r="E554" s="18" t="s">
        <v>3</v>
      </c>
      <c r="F554" s="18" t="s">
        <v>350</v>
      </c>
      <c r="G554" s="18" t="s">
        <v>193</v>
      </c>
      <c r="H554" s="18"/>
      <c r="I554" s="18" t="s">
        <v>216</v>
      </c>
      <c r="J554" s="19">
        <v>2</v>
      </c>
      <c r="K554" s="18" t="s">
        <v>345</v>
      </c>
      <c r="L554" s="18" t="s">
        <v>149</v>
      </c>
      <c r="M554" s="16" t="s">
        <v>148</v>
      </c>
      <c r="N554" s="18"/>
    </row>
    <row r="555" spans="1:14">
      <c r="A555" s="24">
        <v>46238</v>
      </c>
      <c r="B555" s="5" t="s">
        <v>327</v>
      </c>
      <c r="C555" s="5" t="s">
        <v>381</v>
      </c>
      <c r="D555" s="5" t="s">
        <v>3</v>
      </c>
      <c r="E555" s="5" t="s">
        <v>3</v>
      </c>
      <c r="F555" s="5" t="s">
        <v>350</v>
      </c>
      <c r="G555" s="5" t="s">
        <v>215</v>
      </c>
      <c r="H555" s="5"/>
      <c r="I555" s="5" t="s">
        <v>216</v>
      </c>
      <c r="J555" s="7">
        <v>6</v>
      </c>
      <c r="K555" s="5" t="s">
        <v>345</v>
      </c>
      <c r="L555" s="5" t="s">
        <v>149</v>
      </c>
      <c r="M555" s="16" t="s">
        <v>148</v>
      </c>
      <c r="N555" s="5"/>
    </row>
    <row r="556" spans="1:14">
      <c r="A556" s="25">
        <v>46238</v>
      </c>
      <c r="B556" s="18" t="s">
        <v>327</v>
      </c>
      <c r="C556" s="18" t="s">
        <v>381</v>
      </c>
      <c r="D556" s="18" t="s">
        <v>3</v>
      </c>
      <c r="E556" s="18" t="s">
        <v>3</v>
      </c>
      <c r="F556" s="18" t="s">
        <v>350</v>
      </c>
      <c r="G556" s="18" t="s">
        <v>231</v>
      </c>
      <c r="H556" s="18"/>
      <c r="I556" s="18" t="s">
        <v>40</v>
      </c>
      <c r="J556" s="19">
        <v>1</v>
      </c>
      <c r="K556" s="18" t="s">
        <v>345</v>
      </c>
      <c r="L556" s="18" t="s">
        <v>149</v>
      </c>
      <c r="M556" s="16" t="s">
        <v>148</v>
      </c>
      <c r="N556" s="18"/>
    </row>
    <row r="557" spans="1:14">
      <c r="A557" s="24">
        <v>46238</v>
      </c>
      <c r="B557" s="5" t="s">
        <v>327</v>
      </c>
      <c r="C557" s="5" t="s">
        <v>381</v>
      </c>
      <c r="D557" s="5" t="s">
        <v>3</v>
      </c>
      <c r="E557" s="5" t="s">
        <v>3</v>
      </c>
      <c r="F557" s="5" t="s">
        <v>350</v>
      </c>
      <c r="G557" s="5" t="s">
        <v>263</v>
      </c>
      <c r="H557" s="5"/>
      <c r="I557" s="5" t="s">
        <v>47</v>
      </c>
      <c r="J557" s="7">
        <v>1</v>
      </c>
      <c r="K557" s="5" t="s">
        <v>345</v>
      </c>
      <c r="L557" s="5" t="s">
        <v>149</v>
      </c>
      <c r="M557" s="16" t="s">
        <v>148</v>
      </c>
      <c r="N557" s="5"/>
    </row>
    <row r="558" spans="1:14">
      <c r="A558" s="25">
        <v>46238</v>
      </c>
      <c r="B558" s="18" t="s">
        <v>327</v>
      </c>
      <c r="C558" s="18" t="s">
        <v>381</v>
      </c>
      <c r="D558" s="18" t="s">
        <v>3</v>
      </c>
      <c r="E558" s="18" t="s">
        <v>3</v>
      </c>
      <c r="F558" s="18" t="s">
        <v>350</v>
      </c>
      <c r="G558" s="18" t="s">
        <v>217</v>
      </c>
      <c r="H558" s="18"/>
      <c r="I558" s="18" t="s">
        <v>216</v>
      </c>
      <c r="J558" s="19">
        <v>1</v>
      </c>
      <c r="K558" s="18" t="s">
        <v>345</v>
      </c>
      <c r="L558" s="18" t="s">
        <v>149</v>
      </c>
      <c r="M558" s="16" t="s">
        <v>148</v>
      </c>
      <c r="N558" s="18"/>
    </row>
    <row r="559" spans="1:14">
      <c r="A559" s="24">
        <v>46238</v>
      </c>
      <c r="B559" s="5" t="s">
        <v>327</v>
      </c>
      <c r="C559" s="5" t="s">
        <v>381</v>
      </c>
      <c r="D559" s="5" t="s">
        <v>3</v>
      </c>
      <c r="E559" s="5" t="s">
        <v>3</v>
      </c>
      <c r="F559" s="5" t="s">
        <v>350</v>
      </c>
      <c r="G559" s="5" t="s">
        <v>220</v>
      </c>
      <c r="H559" s="5"/>
      <c r="I559" s="5" t="s">
        <v>40</v>
      </c>
      <c r="J559" s="7">
        <v>1</v>
      </c>
      <c r="K559" s="5" t="s">
        <v>345</v>
      </c>
      <c r="L559" s="5" t="s">
        <v>149</v>
      </c>
      <c r="M559" s="16" t="s">
        <v>148</v>
      </c>
      <c r="N559" s="5"/>
    </row>
    <row r="560" spans="1:14">
      <c r="A560" s="25">
        <v>46238</v>
      </c>
      <c r="B560" s="18" t="s">
        <v>327</v>
      </c>
      <c r="C560" s="18" t="s">
        <v>381</v>
      </c>
      <c r="D560" s="18" t="s">
        <v>3</v>
      </c>
      <c r="E560" s="18" t="s">
        <v>3</v>
      </c>
      <c r="F560" s="18" t="s">
        <v>350</v>
      </c>
      <c r="G560" s="18" t="s">
        <v>246</v>
      </c>
      <c r="H560" s="18"/>
      <c r="I560" s="18" t="s">
        <v>40</v>
      </c>
      <c r="J560" s="19">
        <v>1</v>
      </c>
      <c r="K560" s="18" t="s">
        <v>345</v>
      </c>
      <c r="L560" s="18" t="s">
        <v>149</v>
      </c>
      <c r="M560" s="16" t="s">
        <v>148</v>
      </c>
      <c r="N560" s="18"/>
    </row>
    <row r="561" spans="1:14">
      <c r="A561" s="24">
        <v>46238</v>
      </c>
      <c r="B561" s="5" t="s">
        <v>327</v>
      </c>
      <c r="C561" s="5" t="s">
        <v>381</v>
      </c>
      <c r="D561" s="5" t="s">
        <v>6</v>
      </c>
      <c r="E561" s="5" t="s">
        <v>165</v>
      </c>
      <c r="F561" s="5" t="s">
        <v>408</v>
      </c>
      <c r="G561" s="5" t="s">
        <v>50</v>
      </c>
      <c r="H561" s="5"/>
      <c r="I561" s="5" t="s">
        <v>40</v>
      </c>
      <c r="J561" s="7">
        <v>50</v>
      </c>
      <c r="K561" s="5" t="s">
        <v>147</v>
      </c>
      <c r="L561" s="5" t="s">
        <v>147</v>
      </c>
      <c r="M561" s="16" t="s">
        <v>148</v>
      </c>
      <c r="N561" s="5"/>
    </row>
    <row r="562" spans="1:14">
      <c r="A562" s="25">
        <v>46238</v>
      </c>
      <c r="B562" s="18" t="s">
        <v>327</v>
      </c>
      <c r="C562" s="18" t="s">
        <v>381</v>
      </c>
      <c r="D562" s="18" t="s">
        <v>6</v>
      </c>
      <c r="E562" s="18" t="s">
        <v>165</v>
      </c>
      <c r="F562" s="18" t="s">
        <v>397</v>
      </c>
      <c r="G562" s="18" t="s">
        <v>226</v>
      </c>
      <c r="H562" s="18"/>
      <c r="I562" s="18" t="s">
        <v>216</v>
      </c>
      <c r="J562" s="19">
        <v>50</v>
      </c>
      <c r="K562" s="18" t="s">
        <v>151</v>
      </c>
      <c r="L562" s="18" t="s">
        <v>151</v>
      </c>
      <c r="M562" s="16" t="s">
        <v>148</v>
      </c>
      <c r="N562" s="18"/>
    </row>
    <row r="563" spans="1:14">
      <c r="A563" s="24">
        <v>46238</v>
      </c>
      <c r="B563" s="5" t="s">
        <v>327</v>
      </c>
      <c r="C563" s="5" t="s">
        <v>381</v>
      </c>
      <c r="D563" s="5" t="s">
        <v>6</v>
      </c>
      <c r="E563" s="5" t="s">
        <v>165</v>
      </c>
      <c r="F563" s="5" t="s">
        <v>397</v>
      </c>
      <c r="G563" s="5" t="s">
        <v>259</v>
      </c>
      <c r="H563" s="5"/>
      <c r="I563" s="5" t="s">
        <v>40</v>
      </c>
      <c r="J563" s="7">
        <v>1</v>
      </c>
      <c r="K563" s="5" t="s">
        <v>151</v>
      </c>
      <c r="L563" s="5" t="s">
        <v>151</v>
      </c>
      <c r="M563" s="16" t="s">
        <v>148</v>
      </c>
      <c r="N563" s="5"/>
    </row>
    <row r="564" spans="1:14">
      <c r="A564" s="25">
        <v>46238</v>
      </c>
      <c r="B564" s="18" t="s">
        <v>327</v>
      </c>
      <c r="C564" s="18" t="s">
        <v>381</v>
      </c>
      <c r="D564" s="18" t="s">
        <v>6</v>
      </c>
      <c r="E564" s="18" t="s">
        <v>165</v>
      </c>
      <c r="F564" s="18" t="s">
        <v>397</v>
      </c>
      <c r="G564" s="18" t="s">
        <v>186</v>
      </c>
      <c r="H564" s="18"/>
      <c r="I564" s="18" t="s">
        <v>40</v>
      </c>
      <c r="J564" s="19">
        <v>3</v>
      </c>
      <c r="K564" s="18" t="s">
        <v>151</v>
      </c>
      <c r="L564" s="18" t="s">
        <v>151</v>
      </c>
      <c r="M564" s="16" t="s">
        <v>148</v>
      </c>
      <c r="N564" s="18"/>
    </row>
    <row r="565" spans="1:14">
      <c r="A565" s="24">
        <v>46238</v>
      </c>
      <c r="B565" s="5" t="s">
        <v>327</v>
      </c>
      <c r="C565" s="5" t="s">
        <v>381</v>
      </c>
      <c r="D565" s="5" t="s">
        <v>6</v>
      </c>
      <c r="E565" s="5" t="s">
        <v>165</v>
      </c>
      <c r="F565" s="5" t="s">
        <v>397</v>
      </c>
      <c r="G565" s="5" t="s">
        <v>39</v>
      </c>
      <c r="H565" s="5"/>
      <c r="I565" s="5" t="s">
        <v>40</v>
      </c>
      <c r="J565" s="7">
        <v>300</v>
      </c>
      <c r="K565" s="5" t="s">
        <v>151</v>
      </c>
      <c r="L565" s="5" t="s">
        <v>151</v>
      </c>
      <c r="M565" s="16" t="s">
        <v>148</v>
      </c>
      <c r="N565" s="5"/>
    </row>
    <row r="566" spans="1:14">
      <c r="A566" s="25">
        <v>46238</v>
      </c>
      <c r="B566" s="18" t="s">
        <v>327</v>
      </c>
      <c r="C566" s="18" t="s">
        <v>381</v>
      </c>
      <c r="D566" s="18" t="s">
        <v>6</v>
      </c>
      <c r="E566" s="18" t="s">
        <v>168</v>
      </c>
      <c r="F566" s="18" t="s">
        <v>397</v>
      </c>
      <c r="G566" s="18" t="s">
        <v>278</v>
      </c>
      <c r="H566" s="18"/>
      <c r="I566" s="18" t="s">
        <v>257</v>
      </c>
      <c r="J566" s="19">
        <v>1</v>
      </c>
      <c r="K566" s="18"/>
      <c r="L566" s="18" t="s">
        <v>152</v>
      </c>
      <c r="M566" s="16" t="s">
        <v>148</v>
      </c>
      <c r="N566" s="18"/>
    </row>
    <row r="567" spans="1:14">
      <c r="A567" s="24">
        <v>46238</v>
      </c>
      <c r="B567" s="5" t="s">
        <v>327</v>
      </c>
      <c r="C567" s="5" t="s">
        <v>381</v>
      </c>
      <c r="D567" s="5" t="s">
        <v>6</v>
      </c>
      <c r="E567" s="5" t="s">
        <v>168</v>
      </c>
      <c r="F567" s="5" t="s">
        <v>397</v>
      </c>
      <c r="G567" s="5" t="s">
        <v>259</v>
      </c>
      <c r="H567" s="5"/>
      <c r="I567" s="5" t="s">
        <v>40</v>
      </c>
      <c r="J567" s="7">
        <v>1</v>
      </c>
      <c r="K567" s="5"/>
      <c r="L567" s="5" t="s">
        <v>152</v>
      </c>
      <c r="M567" s="16" t="s">
        <v>148</v>
      </c>
      <c r="N567" s="5"/>
    </row>
    <row r="568" spans="1:14">
      <c r="A568" s="25">
        <v>46238</v>
      </c>
      <c r="B568" s="18" t="s">
        <v>327</v>
      </c>
      <c r="C568" s="18" t="s">
        <v>381</v>
      </c>
      <c r="D568" s="18" t="s">
        <v>6</v>
      </c>
      <c r="E568" s="18" t="s">
        <v>168</v>
      </c>
      <c r="F568" s="18" t="s">
        <v>397</v>
      </c>
      <c r="G568" s="18" t="s">
        <v>273</v>
      </c>
      <c r="H568" s="18"/>
      <c r="I568" s="18" t="s">
        <v>40</v>
      </c>
      <c r="J568" s="19">
        <v>1</v>
      </c>
      <c r="K568" s="18"/>
      <c r="L568" s="18" t="s">
        <v>152</v>
      </c>
      <c r="M568" s="16" t="s">
        <v>148</v>
      </c>
      <c r="N568" s="18"/>
    </row>
    <row r="569" spans="1:14">
      <c r="A569" s="24">
        <v>46238</v>
      </c>
      <c r="B569" s="5" t="s">
        <v>327</v>
      </c>
      <c r="C569" s="5" t="s">
        <v>381</v>
      </c>
      <c r="D569" s="5" t="s">
        <v>6</v>
      </c>
      <c r="E569" s="5" t="s">
        <v>168</v>
      </c>
      <c r="F569" s="5" t="s">
        <v>397</v>
      </c>
      <c r="G569" s="5" t="s">
        <v>282</v>
      </c>
      <c r="H569" s="5"/>
      <c r="I569" s="5" t="s">
        <v>257</v>
      </c>
      <c r="J569" s="7">
        <v>1</v>
      </c>
      <c r="K569" s="5"/>
      <c r="L569" s="5" t="s">
        <v>152</v>
      </c>
      <c r="M569" s="16" t="s">
        <v>148</v>
      </c>
      <c r="N569" s="5"/>
    </row>
    <row r="570" spans="1:14">
      <c r="A570" s="25">
        <v>46238</v>
      </c>
      <c r="B570" s="18" t="s">
        <v>327</v>
      </c>
      <c r="C570" s="18" t="s">
        <v>381</v>
      </c>
      <c r="D570" s="18" t="s">
        <v>6</v>
      </c>
      <c r="E570" s="18" t="s">
        <v>168</v>
      </c>
      <c r="F570" s="18" t="s">
        <v>397</v>
      </c>
      <c r="G570" s="18" t="s">
        <v>185</v>
      </c>
      <c r="H570" s="18"/>
      <c r="I570" s="18" t="s">
        <v>47</v>
      </c>
      <c r="J570" s="19">
        <v>1</v>
      </c>
      <c r="K570" s="18"/>
      <c r="L570" s="18" t="s">
        <v>152</v>
      </c>
      <c r="M570" s="16" t="s">
        <v>148</v>
      </c>
      <c r="N570" s="18"/>
    </row>
    <row r="571" spans="1:14">
      <c r="A571" s="24">
        <v>46238</v>
      </c>
      <c r="B571" s="5" t="s">
        <v>327</v>
      </c>
      <c r="C571" s="5" t="s">
        <v>381</v>
      </c>
      <c r="D571" s="5" t="s">
        <v>6</v>
      </c>
      <c r="E571" s="5" t="s">
        <v>168</v>
      </c>
      <c r="F571" s="5" t="s">
        <v>397</v>
      </c>
      <c r="G571" s="5" t="s">
        <v>252</v>
      </c>
      <c r="H571" s="5"/>
      <c r="I571" s="5" t="s">
        <v>40</v>
      </c>
      <c r="J571" s="7">
        <v>2</v>
      </c>
      <c r="K571" s="5"/>
      <c r="L571" s="5" t="s">
        <v>152</v>
      </c>
      <c r="M571" s="16" t="s">
        <v>148</v>
      </c>
      <c r="N571" s="5"/>
    </row>
    <row r="572" spans="1:14">
      <c r="A572" s="25">
        <v>46238</v>
      </c>
      <c r="B572" s="18" t="s">
        <v>327</v>
      </c>
      <c r="C572" s="18" t="s">
        <v>381</v>
      </c>
      <c r="D572" s="18" t="s">
        <v>6</v>
      </c>
      <c r="E572" s="18" t="s">
        <v>168</v>
      </c>
      <c r="F572" s="18" t="s">
        <v>397</v>
      </c>
      <c r="G572" s="18" t="s">
        <v>276</v>
      </c>
      <c r="H572" s="18"/>
      <c r="I572" s="18" t="s">
        <v>40</v>
      </c>
      <c r="J572" s="19">
        <v>1</v>
      </c>
      <c r="K572" s="18"/>
      <c r="L572" s="18" t="s">
        <v>152</v>
      </c>
      <c r="M572" s="16" t="s">
        <v>148</v>
      </c>
      <c r="N572" s="18"/>
    </row>
    <row r="573" spans="1:14">
      <c r="A573" s="24">
        <v>46238</v>
      </c>
      <c r="B573" s="5" t="s">
        <v>327</v>
      </c>
      <c r="C573" s="5" t="s">
        <v>381</v>
      </c>
      <c r="D573" s="5" t="s">
        <v>6</v>
      </c>
      <c r="E573" s="5" t="s">
        <v>168</v>
      </c>
      <c r="F573" s="5" t="s">
        <v>397</v>
      </c>
      <c r="G573" s="5" t="s">
        <v>292</v>
      </c>
      <c r="H573" s="5"/>
      <c r="I573" s="5" t="s">
        <v>40</v>
      </c>
      <c r="J573" s="7">
        <v>1</v>
      </c>
      <c r="K573" s="5"/>
      <c r="L573" s="5" t="s">
        <v>152</v>
      </c>
      <c r="M573" s="16" t="s">
        <v>148</v>
      </c>
      <c r="N573" s="5"/>
    </row>
    <row r="574" spans="1:14">
      <c r="A574" s="25">
        <v>46238</v>
      </c>
      <c r="B574" s="18" t="s">
        <v>327</v>
      </c>
      <c r="C574" s="18" t="s">
        <v>381</v>
      </c>
      <c r="D574" s="18" t="s">
        <v>6</v>
      </c>
      <c r="E574" s="18" t="s">
        <v>168</v>
      </c>
      <c r="F574" s="18" t="s">
        <v>397</v>
      </c>
      <c r="G574" s="18" t="s">
        <v>249</v>
      </c>
      <c r="H574" s="18"/>
      <c r="I574" s="18" t="s">
        <v>40</v>
      </c>
      <c r="J574" s="19">
        <v>1</v>
      </c>
      <c r="K574" s="18"/>
      <c r="L574" s="18" t="s">
        <v>152</v>
      </c>
      <c r="M574" s="16" t="s">
        <v>148</v>
      </c>
      <c r="N574" s="18"/>
    </row>
    <row r="575" spans="1:14">
      <c r="A575" s="24">
        <v>46238</v>
      </c>
      <c r="B575" s="5" t="s">
        <v>327</v>
      </c>
      <c r="C575" s="5" t="s">
        <v>381</v>
      </c>
      <c r="D575" s="5" t="s">
        <v>6</v>
      </c>
      <c r="E575" s="5" t="s">
        <v>168</v>
      </c>
      <c r="F575" s="5" t="s">
        <v>397</v>
      </c>
      <c r="G575" s="5" t="s">
        <v>285</v>
      </c>
      <c r="H575" s="5"/>
      <c r="I575" s="5" t="s">
        <v>40</v>
      </c>
      <c r="J575" s="7">
        <v>1</v>
      </c>
      <c r="K575" s="5"/>
      <c r="L575" s="5" t="s">
        <v>152</v>
      </c>
      <c r="M575" s="16" t="s">
        <v>148</v>
      </c>
      <c r="N575" s="5"/>
    </row>
    <row r="576" spans="1:14">
      <c r="A576" s="25">
        <v>46238</v>
      </c>
      <c r="B576" s="18" t="s">
        <v>327</v>
      </c>
      <c r="C576" s="18" t="s">
        <v>381</v>
      </c>
      <c r="D576" s="18" t="s">
        <v>6</v>
      </c>
      <c r="E576" s="18" t="s">
        <v>168</v>
      </c>
      <c r="F576" s="18" t="s">
        <v>397</v>
      </c>
      <c r="G576" s="18" t="s">
        <v>295</v>
      </c>
      <c r="H576" s="18"/>
      <c r="I576" s="18" t="s">
        <v>40</v>
      </c>
      <c r="J576" s="19">
        <v>1</v>
      </c>
      <c r="K576" s="18"/>
      <c r="L576" s="18" t="s">
        <v>152</v>
      </c>
      <c r="M576" s="16" t="s">
        <v>148</v>
      </c>
      <c r="N576" s="18"/>
    </row>
    <row r="577" spans="1:14">
      <c r="A577" s="24">
        <v>46238</v>
      </c>
      <c r="B577" s="5" t="s">
        <v>327</v>
      </c>
      <c r="C577" s="5" t="s">
        <v>381</v>
      </c>
      <c r="D577" s="5" t="s">
        <v>6</v>
      </c>
      <c r="E577" s="5" t="s">
        <v>168</v>
      </c>
      <c r="F577" s="5" t="s">
        <v>397</v>
      </c>
      <c r="G577" s="5" t="s">
        <v>294</v>
      </c>
      <c r="H577" s="5"/>
      <c r="I577" s="5" t="s">
        <v>40</v>
      </c>
      <c r="J577" s="7">
        <v>1</v>
      </c>
      <c r="K577" s="5"/>
      <c r="L577" s="5" t="s">
        <v>152</v>
      </c>
      <c r="M577" s="16" t="s">
        <v>148</v>
      </c>
      <c r="N577" s="5"/>
    </row>
    <row r="578" spans="1:14">
      <c r="A578" s="25">
        <v>46239</v>
      </c>
      <c r="B578" s="18" t="s">
        <v>327</v>
      </c>
      <c r="C578" s="18" t="s">
        <v>381</v>
      </c>
      <c r="D578" s="18" t="s">
        <v>3</v>
      </c>
      <c r="E578" s="18" t="s">
        <v>3</v>
      </c>
      <c r="F578" s="18" t="s">
        <v>382</v>
      </c>
      <c r="G578" s="18" t="s">
        <v>223</v>
      </c>
      <c r="H578" s="18"/>
      <c r="I578" s="18" t="s">
        <v>40</v>
      </c>
      <c r="J578" s="19">
        <v>2</v>
      </c>
      <c r="K578" s="18" t="s">
        <v>151</v>
      </c>
      <c r="L578" s="18" t="s">
        <v>151</v>
      </c>
      <c r="M578" s="16" t="s">
        <v>148</v>
      </c>
      <c r="N578" s="18"/>
    </row>
  </sheetData>
  <autoFilter ref="A4:N578"/>
  <mergeCells count="2">
    <mergeCell ref="A1:N1"/>
    <mergeCell ref="A2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C00000"/>
  </sheetPr>
  <dimension ref="A1:J22"/>
  <sheetViews>
    <sheetView workbookViewId="0"/>
  </sheetViews>
  <sheetFormatPr defaultRowHeight="15"/>
  <cols>
    <col min="1" max="1" width="34.7109375" customWidth="1"/>
    <col min="2" max="9" width="15.7109375" customWidth="1"/>
    <col min="10" max="10" width="60.7109375" customWidth="1"/>
  </cols>
  <sheetData>
    <row r="1" spans="1:10" ht="26" customHeight="1">
      <c r="A1" s="1" t="s">
        <v>410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411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412</v>
      </c>
    </row>
    <row r="5" spans="1:10">
      <c r="A5" s="6" t="s">
        <v>413</v>
      </c>
      <c r="B5" s="6" t="s">
        <v>156</v>
      </c>
      <c r="C5" s="6" t="s">
        <v>414</v>
      </c>
      <c r="D5" s="6" t="s">
        <v>334</v>
      </c>
      <c r="E5" s="6" t="s">
        <v>336</v>
      </c>
      <c r="F5" s="6" t="s">
        <v>337</v>
      </c>
      <c r="G5" s="6" t="s">
        <v>415</v>
      </c>
      <c r="H5" s="6" t="s">
        <v>340</v>
      </c>
      <c r="I5" s="6" t="s">
        <v>144</v>
      </c>
      <c r="J5" s="6" t="s">
        <v>416</v>
      </c>
    </row>
    <row r="6" spans="1:10">
      <c r="A6" s="5" t="s">
        <v>417</v>
      </c>
      <c r="B6" s="5" t="s">
        <v>3</v>
      </c>
      <c r="C6" s="5" t="s">
        <v>418</v>
      </c>
      <c r="D6" s="5" t="s">
        <v>419</v>
      </c>
      <c r="E6" s="5" t="s">
        <v>382</v>
      </c>
      <c r="F6" s="5"/>
      <c r="G6" s="5"/>
      <c r="H6" s="5"/>
      <c r="I6" s="5"/>
      <c r="J6" s="12" t="s">
        <v>420</v>
      </c>
    </row>
    <row r="7" spans="1:10">
      <c r="A7" s="5" t="s">
        <v>421</v>
      </c>
      <c r="B7" s="5" t="s">
        <v>6</v>
      </c>
      <c r="C7" s="5" t="s">
        <v>169</v>
      </c>
      <c r="D7" s="5"/>
      <c r="E7" s="5"/>
      <c r="F7" s="5"/>
      <c r="G7" s="5" t="s">
        <v>422</v>
      </c>
      <c r="H7" s="5"/>
      <c r="I7" s="5"/>
      <c r="J7" s="12" t="s">
        <v>423</v>
      </c>
    </row>
    <row r="8" spans="1:10">
      <c r="A8" s="5" t="s">
        <v>424</v>
      </c>
      <c r="B8" s="5" t="s">
        <v>6</v>
      </c>
      <c r="C8" s="5" t="s">
        <v>169</v>
      </c>
      <c r="D8" s="5"/>
      <c r="E8" s="5"/>
      <c r="F8" s="5"/>
      <c r="G8" s="5" t="s">
        <v>422</v>
      </c>
      <c r="H8" s="5"/>
      <c r="I8" s="5"/>
      <c r="J8" s="12" t="s">
        <v>423</v>
      </c>
    </row>
    <row r="9" spans="1:10">
      <c r="A9" s="5" t="s">
        <v>425</v>
      </c>
      <c r="B9" s="5" t="s">
        <v>6</v>
      </c>
      <c r="C9" s="5" t="s">
        <v>169</v>
      </c>
      <c r="D9" s="5"/>
      <c r="E9" s="5"/>
      <c r="F9" s="5"/>
      <c r="G9" s="5" t="s">
        <v>422</v>
      </c>
      <c r="H9" s="5"/>
      <c r="I9" s="5"/>
      <c r="J9" s="12" t="s">
        <v>423</v>
      </c>
    </row>
    <row r="11" spans="1:10">
      <c r="A11" s="3" t="s">
        <v>426</v>
      </c>
    </row>
    <row r="12" spans="1:10" ht="30" customHeight="1">
      <c r="A12" s="12" t="s">
        <v>427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ht="30" customHeight="1">
      <c r="A13" s="12" t="s">
        <v>428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30" customHeight="1">
      <c r="A14" s="12" t="s">
        <v>429</v>
      </c>
      <c r="B14" s="12"/>
      <c r="C14" s="12"/>
      <c r="D14" s="12"/>
      <c r="E14" s="12"/>
      <c r="F14" s="12"/>
      <c r="G14" s="12"/>
      <c r="H14" s="12"/>
      <c r="I14" s="12"/>
      <c r="J14" s="12"/>
    </row>
    <row r="15" spans="1:10" ht="30" customHeight="1">
      <c r="A15" s="12" t="s">
        <v>430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ht="30" customHeight="1">
      <c r="A16" s="12" t="s">
        <v>431</v>
      </c>
      <c r="B16" s="12"/>
      <c r="C16" s="12"/>
      <c r="D16" s="12"/>
      <c r="E16" s="12"/>
      <c r="F16" s="12"/>
      <c r="G16" s="12"/>
      <c r="H16" s="12"/>
      <c r="I16" s="12"/>
      <c r="J16" s="12"/>
    </row>
    <row r="18" spans="1:3">
      <c r="A18" s="3" t="s">
        <v>432</v>
      </c>
    </row>
    <row r="19" spans="1:3">
      <c r="A19" s="6" t="s">
        <v>156</v>
      </c>
      <c r="B19" s="6" t="s">
        <v>433</v>
      </c>
      <c r="C19" s="6" t="s">
        <v>434</v>
      </c>
    </row>
    <row r="20" spans="1:3">
      <c r="A20" s="4" t="s">
        <v>3</v>
      </c>
      <c r="B20" s="7">
        <v>156</v>
      </c>
      <c r="C20" s="7">
        <v>461</v>
      </c>
    </row>
    <row r="21" spans="1:3">
      <c r="A21" s="4" t="s">
        <v>6</v>
      </c>
      <c r="B21" s="7">
        <v>418</v>
      </c>
      <c r="C21" s="7">
        <v>15741</v>
      </c>
    </row>
    <row r="22" spans="1:3">
      <c r="A22" s="4" t="s">
        <v>145</v>
      </c>
      <c r="B22" s="7">
        <v>574</v>
      </c>
      <c r="C22" s="7">
        <v>16202</v>
      </c>
    </row>
  </sheetData>
  <mergeCells count="7">
    <mergeCell ref="A1:J1"/>
    <mergeCell ref="A2:J2"/>
    <mergeCell ref="A12:J12"/>
    <mergeCell ref="A13:J13"/>
    <mergeCell ref="A14:J14"/>
    <mergeCell ref="A15:J15"/>
    <mergeCell ref="A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RESUMEN EJECUTIVO</vt:lpstr>
      <vt:lpstr>METODOLOGIA</vt:lpstr>
      <vt:lpstr>PARAMETROS</vt:lpstr>
      <vt:lpstr>KPI ATENCION</vt:lpstr>
      <vt:lpstr>TALLER</vt:lpstr>
      <vt:lpstr>TIENDAS</vt:lpstr>
      <vt:lpstr>UNIFICADO</vt:lpstr>
      <vt:lpstr>DISTRIBUCION TIENDAS</vt:lpstr>
      <vt:lpstr>DISTRIBUCION TALLER</vt:lpstr>
      <vt:lpstr>TENDENCIA SEMANAL</vt:lpstr>
      <vt:lpstr>GRAFICOS</vt:lpstr>
      <vt:lpstr>DATA TALLER</vt:lpstr>
      <vt:lpstr>DATA TIENDAS</vt:lpstr>
      <vt:lpstr>DATA CONSOLIDADA</vt:lpstr>
      <vt:lpstr>CALIDAD DE 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2026-08-05T16:16:56Z</dcterms:created>
  <dcterms:modified xsi:type="dcterms:W3CDTF">2026-08-05T16:16:56Z</dcterms:modified>
</cp:coreProperties>
</file>