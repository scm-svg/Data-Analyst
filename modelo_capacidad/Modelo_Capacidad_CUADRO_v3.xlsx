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LISTA TERMINADO\Downloads\"/>
    </mc:Choice>
  </mc:AlternateContent>
  <bookViews>
    <workbookView xWindow="0" yWindow="0" windowWidth="20490" windowHeight="7530" tabRatio="500" activeTab="2"/>
  </bookViews>
  <sheets>
    <sheet name="Supuestos" sheetId="1" r:id="rId1"/>
    <sheet name="Mediciones" sheetId="2" state="hidden" r:id="rId2"/>
    <sheet name="Lineas por Escenario" sheetId="3" r:id="rId3"/>
    <sheet name="Escenarios" sheetId="4" r:id="rId4"/>
    <sheet name="Capacidad" sheetId="5" r:id="rId5"/>
    <sheet name="Demanda y Deficit" sheetId="6" r:id="rId6"/>
    <sheet name="Inversion" sheetId="7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7" l="1"/>
  <c r="F8" i="7"/>
  <c r="E8" i="7"/>
  <c r="H8" i="7" s="1"/>
  <c r="G7" i="7"/>
  <c r="F7" i="7"/>
  <c r="E7" i="7"/>
  <c r="H7" i="7" s="1"/>
  <c r="G6" i="7"/>
  <c r="F6" i="7"/>
  <c r="E6" i="7"/>
  <c r="H6" i="7" s="1"/>
  <c r="G5" i="7"/>
  <c r="F5" i="7"/>
  <c r="E5" i="7"/>
  <c r="H5" i="7" s="1"/>
  <c r="B11" i="7" s="1"/>
  <c r="B10" i="6"/>
  <c r="B9" i="6"/>
  <c r="B8" i="6"/>
  <c r="B7" i="6"/>
  <c r="B6" i="6"/>
  <c r="B5" i="6"/>
  <c r="B21" i="5"/>
  <c r="G7" i="5"/>
  <c r="B7" i="5"/>
  <c r="B22" i="5" s="1"/>
  <c r="G6" i="5"/>
  <c r="E6" i="5"/>
  <c r="E21" i="5" s="1"/>
  <c r="D6" i="5"/>
  <c r="D21" i="5" s="1"/>
  <c r="C6" i="5"/>
  <c r="C21" i="5" s="1"/>
  <c r="B6" i="5"/>
  <c r="G5" i="5"/>
  <c r="B5" i="5"/>
  <c r="L37" i="3"/>
  <c r="J37" i="3"/>
  <c r="H37" i="3"/>
  <c r="F37" i="3"/>
  <c r="N36" i="3"/>
  <c r="F36" i="3"/>
  <c r="L35" i="3"/>
  <c r="F35" i="3"/>
  <c r="F34" i="3"/>
  <c r="F38" i="3" s="1"/>
  <c r="H33" i="3"/>
  <c r="F33" i="3"/>
  <c r="O29" i="3"/>
  <c r="O28" i="3"/>
  <c r="O27" i="3"/>
  <c r="O26" i="3"/>
  <c r="F6" i="5" s="1"/>
  <c r="F21" i="5" s="1"/>
  <c r="O25" i="3"/>
  <c r="O24" i="3"/>
  <c r="M24" i="3"/>
  <c r="K24" i="3"/>
  <c r="O23" i="3"/>
  <c r="M23" i="3"/>
  <c r="K23" i="3"/>
  <c r="O22" i="3"/>
  <c r="M22" i="3"/>
  <c r="K22" i="3"/>
  <c r="I22" i="3"/>
  <c r="H36" i="3" s="1"/>
  <c r="O21" i="3"/>
  <c r="M21" i="3"/>
  <c r="L36" i="3" s="1"/>
  <c r="K21" i="3"/>
  <c r="J36" i="3" s="1"/>
  <c r="O17" i="3"/>
  <c r="M17" i="3"/>
  <c r="K17" i="3"/>
  <c r="I17" i="3"/>
  <c r="O16" i="3"/>
  <c r="N35" i="3" s="1"/>
  <c r="M16" i="3"/>
  <c r="K16" i="3"/>
  <c r="I16" i="3"/>
  <c r="O9" i="3"/>
  <c r="M9" i="3"/>
  <c r="K9" i="3"/>
  <c r="J34" i="3" s="1"/>
  <c r="I9" i="3"/>
  <c r="C5" i="5" s="1"/>
  <c r="O5" i="3"/>
  <c r="N33" i="3" s="1"/>
  <c r="M5" i="3"/>
  <c r="E5" i="5" s="1"/>
  <c r="E20" i="5" s="1"/>
  <c r="K5" i="3"/>
  <c r="D5" i="5" s="1"/>
  <c r="D20" i="5" s="1"/>
  <c r="G24" i="2"/>
  <c r="G23" i="2"/>
  <c r="E23" i="2"/>
  <c r="B26" i="1"/>
  <c r="L34" i="3" l="1"/>
  <c r="F5" i="5"/>
  <c r="L33" i="3"/>
  <c r="F7" i="5"/>
  <c r="F22" i="5" s="1"/>
  <c r="J33" i="3"/>
  <c r="D7" i="5"/>
  <c r="D22" i="5" s="1"/>
  <c r="D23" i="5" s="1"/>
  <c r="E7" i="5"/>
  <c r="E22" i="5" s="1"/>
  <c r="N37" i="3"/>
  <c r="H34" i="3"/>
  <c r="E5" i="4"/>
  <c r="B14" i="7"/>
  <c r="E8" i="4"/>
  <c r="C7" i="5"/>
  <c r="C22" i="5" s="1"/>
  <c r="H35" i="3"/>
  <c r="F20" i="5"/>
  <c r="F23" i="5" s="1"/>
  <c r="N34" i="3"/>
  <c r="N38" i="3" s="1"/>
  <c r="B8" i="5"/>
  <c r="B12" i="5" s="1"/>
  <c r="B20" i="5"/>
  <c r="B23" i="5" s="1"/>
  <c r="D8" i="5"/>
  <c r="D12" i="5" s="1"/>
  <c r="E7" i="4"/>
  <c r="B13" i="7"/>
  <c r="C20" i="5"/>
  <c r="E23" i="5"/>
  <c r="E6" i="4"/>
  <c r="B12" i="7"/>
  <c r="J35" i="3"/>
  <c r="J38" i="3" l="1"/>
  <c r="C8" i="5"/>
  <c r="C12" i="5" s="1"/>
  <c r="C23" i="5"/>
  <c r="F8" i="5"/>
  <c r="F12" i="5" s="1"/>
  <c r="F13" i="5" s="1"/>
  <c r="F15" i="5" s="1"/>
  <c r="L38" i="3"/>
  <c r="D25" i="5"/>
  <c r="D24" i="5"/>
  <c r="D26" i="5"/>
  <c r="B26" i="5"/>
  <c r="B25" i="5"/>
  <c r="B24" i="5"/>
  <c r="E24" i="5"/>
  <c r="E26" i="5"/>
  <c r="E25" i="5"/>
  <c r="B14" i="5"/>
  <c r="B13" i="5"/>
  <c r="B15" i="5" s="1"/>
  <c r="F14" i="5"/>
  <c r="E8" i="5"/>
  <c r="E12" i="5" s="1"/>
  <c r="C26" i="5"/>
  <c r="C25" i="5"/>
  <c r="C24" i="5"/>
  <c r="F26" i="5"/>
  <c r="F24" i="5"/>
  <c r="F25" i="5"/>
  <c r="C14" i="5"/>
  <c r="C13" i="5"/>
  <c r="C15" i="5" s="1"/>
  <c r="D13" i="5"/>
  <c r="D15" i="5" s="1"/>
  <c r="D14" i="5"/>
  <c r="H38" i="3"/>
  <c r="C12" i="6" l="1"/>
  <c r="C10" i="6"/>
  <c r="C8" i="6"/>
  <c r="C6" i="6"/>
  <c r="C9" i="6"/>
  <c r="C7" i="6"/>
  <c r="C5" i="6"/>
  <c r="D10" i="6"/>
  <c r="D8" i="6"/>
  <c r="D6" i="6"/>
  <c r="D9" i="6"/>
  <c r="D5" i="6"/>
  <c r="D12" i="6"/>
  <c r="D7" i="6"/>
  <c r="E9" i="6"/>
  <c r="E7" i="6"/>
  <c r="E5" i="6"/>
  <c r="E12" i="6"/>
  <c r="E10" i="6"/>
  <c r="E8" i="6"/>
  <c r="E6" i="6"/>
  <c r="F9" i="6"/>
  <c r="F7" i="6"/>
  <c r="F5" i="6"/>
  <c r="F12" i="6"/>
  <c r="F10" i="6"/>
  <c r="F8" i="6"/>
  <c r="F6" i="6"/>
  <c r="G12" i="6"/>
  <c r="G10" i="6"/>
  <c r="G8" i="6"/>
  <c r="G6" i="6"/>
  <c r="G9" i="6"/>
  <c r="G7" i="6"/>
  <c r="G5" i="6"/>
  <c r="E14" i="5"/>
  <c r="E13" i="5"/>
  <c r="E15" i="5" s="1"/>
</calcChain>
</file>

<file path=xl/sharedStrings.xml><?xml version="1.0" encoding="utf-8"?>
<sst xmlns="http://schemas.openxmlformats.org/spreadsheetml/2006/main" count="478" uniqueCount="171">
  <si>
    <t>Modelo de Capacidad — Taller CÚADRO (v3)</t>
  </si>
  <si>
    <t>Base de medición: Operaciones_Por_Linea (2). Celdas AMARILLAS editables.</t>
  </si>
  <si>
    <t>Parámetro</t>
  </si>
  <si>
    <t>Valor</t>
  </si>
  <si>
    <t>Unidad</t>
  </si>
  <si>
    <t>Origen / nota</t>
  </si>
  <si>
    <t>Días laborables por mes</t>
  </si>
  <si>
    <t>días</t>
  </si>
  <si>
    <t>Convención del taller</t>
  </si>
  <si>
    <t>Operaciones por pieza — Modelo 1</t>
  </si>
  <si>
    <t>ops/pza</t>
  </si>
  <si>
    <t>Convención del propio archivo de medición: 2.940 ops ÷ 367,5 pzas = 8,00</t>
  </si>
  <si>
    <t>Stock de seguridad</t>
  </si>
  <si>
    <t>%</t>
  </si>
  <si>
    <t>Instrucción de Gerencia</t>
  </si>
  <si>
    <t>Tasa de reproceso — Actual (sobre OPERACIONES)</t>
  </si>
  <si>
    <t>MEDIDO: 3.391 ops de reproceso / 58.880 ops. NO usar aquí el 16,14%: ese es el % de PIEZAS rechazadas, no de operaciones.</t>
  </si>
  <si>
    <t>Tasa de reproceso — Escenario A</t>
  </si>
  <si>
    <t>SUPUESTO. Se renuevan 4 de 18 posiciones</t>
  </si>
  <si>
    <t>Tasa de reproceso — Escenario B</t>
  </si>
  <si>
    <t>SUPUESTO. Se renuevan 8 posiciones</t>
  </si>
  <si>
    <t>Tasa de reproceso — Escenario C</t>
  </si>
  <si>
    <t>SUPUESTO. Igual que B (la collaretera de L5 no toca las líneas 1-4)</t>
  </si>
  <si>
    <t>Tasa de reproceso — Escenario D</t>
  </si>
  <si>
    <t>SUPUESTO. 8 posiciones renovadas más una línea 100% nueva</t>
  </si>
  <si>
    <t>Ganancia por máquina electrónica</t>
  </si>
  <si>
    <t>SUPUESTO (rango 2%-8%). Corta-hilo + alza-pie sobre SAM de 2,30 min</t>
  </si>
  <si>
    <t>Capacidad de L3 cedida a la Línea 5</t>
  </si>
  <si>
    <t>DATO DE PRODUCCIÓN. Se recupera en los escenarios C y D</t>
  </si>
  <si>
    <t>Demanda mes regular</t>
  </si>
  <si>
    <t>pzas</t>
  </si>
  <si>
    <t>Dato de Gerencia</t>
  </si>
  <si>
    <t>Demanda diciembre</t>
  </si>
  <si>
    <t>Surtido inicial por tienda nueva</t>
  </si>
  <si>
    <t>Tiendas actuales en la red</t>
  </si>
  <si>
    <t>tiendas</t>
  </si>
  <si>
    <t>Tiendas nuevas fin 2026</t>
  </si>
  <si>
    <t>Tiendas nuevas 2027</t>
  </si>
  <si>
    <t>Ops de OVERLOCK por pieza</t>
  </si>
  <si>
    <t>ops</t>
  </si>
  <si>
    <t>Supuesto de estructura de la pieza promedio</t>
  </si>
  <si>
    <t>Ops de COLLARET CUELLO por pieza</t>
  </si>
  <si>
    <t>MEDIDO: estudio de tiempos Clásica Algodón</t>
  </si>
  <si>
    <t>Ops de COLLARET RUEDO por pieza</t>
  </si>
  <si>
    <t>Coherencia de la estructura de operaciones</t>
  </si>
  <si>
    <t>Suma de ops por tipo (overlock + cuello + ruedo)</t>
  </si>
  <si>
    <t>ATENCIÓN: si esta suma no coincide con las 'Operaciones por pieza — Modelo 1', los dos modelos describen piezas distintas. Reconciliar antes de presentar.</t>
  </si>
  <si>
    <t>Mediciones base por posición de línea</t>
  </si>
  <si>
    <t>Transcripción literal de Operaciones_Por_Linea (2), hoja 'Operaciones - Taller Diario'. Única fuente de capacidad de este modelo.</t>
  </si>
  <si>
    <t>Línea</t>
  </si>
  <si>
    <t>Posición</t>
  </si>
  <si>
    <t>Máquina</t>
  </si>
  <si>
    <t>Operación</t>
  </si>
  <si>
    <t>Cap. teórica</t>
  </si>
  <si>
    <t>Estatus</t>
  </si>
  <si>
    <t>Cap. real</t>
  </si>
  <si>
    <t>Línea 1</t>
  </si>
  <si>
    <t>Overlock</t>
  </si>
  <si>
    <t>Unión / Montaje</t>
  </si>
  <si>
    <t>Disponible</t>
  </si>
  <si>
    <t>Collaret</t>
  </si>
  <si>
    <t>Recubrir Cuello</t>
  </si>
  <si>
    <t>Montaje / Cierre</t>
  </si>
  <si>
    <t>Ruedo</t>
  </si>
  <si>
    <t>Línea 2</t>
  </si>
  <si>
    <t>80 %</t>
  </si>
  <si>
    <t>Línea 3</t>
  </si>
  <si>
    <t>50 %</t>
  </si>
  <si>
    <t>Inactiva</t>
  </si>
  <si>
    <t>Línea 4</t>
  </si>
  <si>
    <t>TOTAL</t>
  </si>
  <si>
    <t>Pérdida por fallas (ops/día)</t>
  </si>
  <si>
    <t>Cómo queda cada línea en cada escenario</t>
  </si>
  <si>
    <t>Posición por posición. Verde = máquina nueva. Naranja = máquina averiada que sigue en servicio. Las nuevas rinden nominal × (1 + ganancia electrónica).</t>
  </si>
  <si>
    <t>Pos.</t>
  </si>
  <si>
    <t>Nominal</t>
  </si>
  <si>
    <t>Actual — estado</t>
  </si>
  <si>
    <t>Actual — ops/día</t>
  </si>
  <si>
    <t>A — estado</t>
  </si>
  <si>
    <t>A — ops/día</t>
  </si>
  <si>
    <t>B — estado</t>
  </si>
  <si>
    <t>B — ops/día</t>
  </si>
  <si>
    <t>C — estado</t>
  </si>
  <si>
    <t>C — ops/día</t>
  </si>
  <si>
    <t>D — estado</t>
  </si>
  <si>
    <t>D — ops/día</t>
  </si>
  <si>
    <t>NUEVA</t>
  </si>
  <si>
    <t>No existe</t>
  </si>
  <si>
    <t>Línea 6</t>
  </si>
  <si>
    <t>TOTAL OPS/DÍA POR LÍNEA (ya descontada la cesión de L3 a la Línea 5)</t>
  </si>
  <si>
    <t>Actual ops/día</t>
  </si>
  <si>
    <t>A ops/día</t>
  </si>
  <si>
    <t>B ops/día</t>
  </si>
  <si>
    <t>C ops/día</t>
  </si>
  <si>
    <t>D ops/día</t>
  </si>
  <si>
    <t>TOTAL TALLER</t>
  </si>
  <si>
    <t>La Línea 3 aparece con su capacidad neta: en Actual, A y B se le descuenta el 10% que presta a la Línea 5. En C y D ese descuento desaparece porque la Línea 5 recibe collaretera propia.</t>
  </si>
  <si>
    <t>La collaretera de la Línea 5 del escenario C no figura en esta tabla porque la Línea 5 no forma parte del techo de las líneas 1-4; su efecto se ve en la recuperación de la Línea 3.</t>
  </si>
  <si>
    <t>En qué consiste cada escenario</t>
  </si>
  <si>
    <t>Descripción operativa de las cuatro alternativas de inversión</t>
  </si>
  <si>
    <t>Escenario</t>
  </si>
  <si>
    <t>Qué se compra</t>
  </si>
  <si>
    <t>En qué consiste / qué problema resuelve</t>
  </si>
  <si>
    <t>Nº máq.</t>
  </si>
  <si>
    <t>Inversión US$</t>
  </si>
  <si>
    <t>A — Reposición estricta</t>
  </si>
  <si>
    <t>3 collareteras de ruedo (2 para L3, 1 para L4) + 1 overlock (L2)</t>
  </si>
  <si>
    <t>Comprar exactamente lo que hoy está averiado, ni una máquina más. Reemplaza el overlock de Unión/Montaje de L2 (hoy al 80%), la collaretera de ruedo de L3 (al 50%), la collaretera de ruedo inactiva de L3 y la collaretera de ruedo inactiva de L4. Restituye las 290,5 ops/día perdidas y devuelve el taller a su techo teórico de 2.940 ops/día. No agrega ninguna posición nueva: la estructura de las líneas queda igual a la de hoy.</t>
  </si>
  <si>
    <t>B — Propuesta de Producción</t>
  </si>
  <si>
    <t>6 collareteras de ruedo + 2 overlock de reemplazo</t>
  </si>
  <si>
    <t>Además de reponer lo averiado, iguala las cuatro líneas. Hoy L3 y L4 tienen dos posiciones de ruedo y L1 y L2 solo una. Se reemplazan las cuatro collareteras de L3 y L4, se agrega una quinta posición de ruedo a L1 y otra a L2, y se reemplaza un overlock en L1 y otro en L2. Las cuatro líneas quedan con la misma estructura de 5 máquinas: 2 overlock + 1 collaret de cuello + 2 collaret de ruedo.</t>
  </si>
  <si>
    <t>C — B + Línea 5 autónoma</t>
  </si>
  <si>
    <t>Todo lo de B + 1 collaretera para la Línea 5</t>
  </si>
  <si>
    <t>Corrige un préstamo de capacidad que hoy no aparece en ningún reporte: algunos modelos de la Línea 5 necesitan la Línea 3 para manufacturar su parte interna y consumen el 10% de su capacidad mensual. Al dotar a la Línea 5 de collaretera propia, la Línea 3 recupera ese 10% para producción propia y deja de relentizarse en simultáneo con L5.</t>
  </si>
  <si>
    <t>D — C + línea nueva</t>
  </si>
  <si>
    <t>Todo lo de C + una Línea 6 completa: 2 overlock + 1 collaret de cuello + 2 collaret de ruedo</t>
  </si>
  <si>
    <t>Suma una quinta línea de confección con la misma estructura de 5 máquinas del escenario B. Es el único escenario que amplía la planta en lugar de repararla o reequilibrarla, y por tanto el único que mueve el techo de forma sustancial. Requiere dotación de personal para la línea nueva, costo no incluido en la cifra de inversión.</t>
  </si>
  <si>
    <t>Los escenarios son acumulativos: A ⊂ B ⊂ C ⊂ D. Comprar A no invalida pasar después a B, C o D.</t>
  </si>
  <si>
    <t>Capacidad instalada por escenario</t>
  </si>
  <si>
    <t>Modelo 1 = conversión por operaciones. Modelo 2 = balance de estaciones (criterio de planificación).</t>
  </si>
  <si>
    <t>Capacidad neta por tipo (ops/día)</t>
  </si>
  <si>
    <t>Actual</t>
  </si>
  <si>
    <t>A</t>
  </si>
  <si>
    <t>B</t>
  </si>
  <si>
    <t>C</t>
  </si>
  <si>
    <t>D</t>
  </si>
  <si>
    <t>Ops/pza</t>
  </si>
  <si>
    <t>Collaret Cuello</t>
  </si>
  <si>
    <t>Collaret Ruedo</t>
  </si>
  <si>
    <t>TOTAL ops/día</t>
  </si>
  <si>
    <t>MODELO 1 — Conversión por operaciones</t>
  </si>
  <si>
    <t>Concepto</t>
  </si>
  <si>
    <t>Ops/mes</t>
  </si>
  <si>
    <t>Ops/mes netas de reproceso</t>
  </si>
  <si>
    <t>PIEZAS/MES bruto</t>
  </si>
  <si>
    <t>PIEZAS/MES netas de reproceso</t>
  </si>
  <si>
    <t>MODELO 2 — Balance de estaciones (criterio de planificación)</t>
  </si>
  <si>
    <t>Restricción activa = la estación que menos piezas habilita. Comprar fuera de la restricción no aumenta la producción.</t>
  </si>
  <si>
    <t>Piezas/día que habilita Overlock</t>
  </si>
  <si>
    <t>Piezas/día que habilita Collaret Cuello</t>
  </si>
  <si>
    <t>Piezas/día que habilita Collaret Ruedo</t>
  </si>
  <si>
    <t>PIEZAS/DÍA (restricción activa)</t>
  </si>
  <si>
    <t>Restricción activa</t>
  </si>
  <si>
    <t>Demanda y déficit por escenario</t>
  </si>
  <si>
    <t>Capacidad comparada = Modelo 2 (balance de estaciones), piezas/mes netas de reproceso</t>
  </si>
  <si>
    <t>Escenario de demanda</t>
  </si>
  <si>
    <t>Piezas/mes (con SS)</t>
  </si>
  <si>
    <t>1. Mes regular</t>
  </si>
  <si>
    <t>2. Diciembre como mes aislado</t>
  </si>
  <si>
    <t>3. Zafra Oct-Dic (promedio mensual)</t>
  </si>
  <si>
    <t>4. Zafra + 1 tienda nueva (fin 2026)</t>
  </si>
  <si>
    <t>5. Mes regular 2027 (red completa)</t>
  </si>
  <si>
    <t>6. Zafra 2027 + 3 tiendas</t>
  </si>
  <si>
    <t>Capacidad de referencia (piezas/mes)</t>
  </si>
  <si>
    <t>Positivo = superávit · Negativo (rojo) = déficit de piezas por mes</t>
  </si>
  <si>
    <t>Lista de compra por escenario</t>
  </si>
  <si>
    <t>Precios: presupuesto La Máquina 2005 (JACK), 23-abr-2026 — revalidar antes de la orden</t>
  </si>
  <si>
    <t>Precio unit. US$</t>
  </si>
  <si>
    <t>K7-35AC ruedo</t>
  </si>
  <si>
    <t>W5E/ULT cuello</t>
  </si>
  <si>
    <t>C7-4 overlock</t>
  </si>
  <si>
    <t>US$ ruedo</t>
  </si>
  <si>
    <t>US$ cuello</t>
  </si>
  <si>
    <t>US$ overlock</t>
  </si>
  <si>
    <t>TOTAL US$</t>
  </si>
  <si>
    <t>Costo incremental frente al escenario anterior</t>
  </si>
  <si>
    <t>A vs hoy</t>
  </si>
  <si>
    <t>B vs A</t>
  </si>
  <si>
    <t>C vs B</t>
  </si>
  <si>
    <t>D vs C</t>
  </si>
  <si>
    <t>El escenario D no incluye el costo de la dotación de personal de la línea nueva.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</si>
</sst>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\$#,##0"/>
    <numFmt numFmtId="166" formatCode="#,##0;[Red]\(#,##0\)"/>
  </numFmts>
  <fonts count="11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9"/>
      <color rgb="FF404040"/>
      <name val="Arial"/>
      <charset val="1"/>
    </font>
    <font>
      <i/>
      <sz val="9"/>
      <color rgb="FFC00000"/>
      <name val="Arial"/>
      <charset val="1"/>
    </font>
    <font>
      <b/>
      <sz val="9"/>
      <color rgb="FF375623"/>
      <name val="Arial"/>
      <charset val="1"/>
    </font>
    <font>
      <sz val="9"/>
      <color rgb="FFA6A6A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F4F6FA"/>
        <bgColor rgb="FFFFFFFF"/>
      </patternFill>
    </fill>
    <fill>
      <patternFill patternType="solid">
        <fgColor rgb="FFE2EFDA"/>
        <bgColor rgb="FFF4F6FA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10" fontId="5" fillId="3" borderId="1" xfId="0" applyNumberFormat="1" applyFont="1" applyFill="1" applyBorder="1"/>
    <xf numFmtId="0" fontId="7" fillId="4" borderId="1" xfId="0" applyFont="1" applyFill="1" applyBorder="1" applyAlignment="1">
      <alignment vertical="top"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4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64" fontId="4" fillId="5" borderId="0" xfId="0" applyNumberFormat="1" applyFont="1" applyFill="1"/>
    <xf numFmtId="3" fontId="5" fillId="0" borderId="1" xfId="0" applyNumberFormat="1" applyFont="1" applyBorder="1"/>
    <xf numFmtId="164" fontId="0" fillId="0" borderId="1" xfId="0" applyNumberFormat="1" applyBorder="1"/>
    <xf numFmtId="0" fontId="9" fillId="6" borderId="1" xfId="0" applyFont="1" applyFill="1" applyBorder="1" applyAlignment="1">
      <alignment horizontal="center"/>
    </xf>
    <xf numFmtId="164" fontId="0" fillId="6" borderId="1" xfId="0" applyNumberFormat="1" applyFill="1" applyBorder="1"/>
    <xf numFmtId="164" fontId="0" fillId="4" borderId="1" xfId="0" applyNumberFormat="1" applyFill="1" applyBorder="1"/>
    <xf numFmtId="0" fontId="10" fillId="0" borderId="1" xfId="0" applyFont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164" fontId="4" fillId="5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vertical="top"/>
    </xf>
    <xf numFmtId="3" fontId="0" fillId="0" borderId="1" xfId="0" applyNumberFormat="1" applyBorder="1"/>
    <xf numFmtId="3" fontId="4" fillId="5" borderId="1" xfId="0" applyNumberFormat="1" applyFont="1" applyFill="1" applyBorder="1"/>
    <xf numFmtId="0" fontId="0" fillId="0" borderId="1" xfId="0" applyBorder="1"/>
    <xf numFmtId="166" fontId="0" fillId="0" borderId="1" xfId="0" applyNumberFormat="1" applyBorder="1"/>
    <xf numFmtId="165" fontId="5" fillId="3" borderId="0" xfId="0" applyNumberFormat="1" applyFont="1" applyFill="1"/>
    <xf numFmtId="0" fontId="5" fillId="0" borderId="1" xfId="0" applyFont="1" applyBorder="1" applyAlignment="1">
      <alignment horizontal="center"/>
    </xf>
    <xf numFmtId="165" fontId="0" fillId="0" borderId="1" xfId="0" applyNumberFormat="1" applyBorder="1"/>
    <xf numFmtId="165" fontId="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7" zoomScaleNormal="100" workbookViewId="0">
      <selection activeCell="B14" sqref="B14"/>
    </sheetView>
  </sheetViews>
  <sheetFormatPr baseColWidth="10" defaultColWidth="8.7109375" defaultRowHeight="15" x14ac:dyDescent="0.25"/>
  <cols>
    <col min="1" max="1" width="46" customWidth="1"/>
    <col min="2" max="3" width="14" customWidth="1"/>
    <col min="4" max="4" width="80" customWidth="1"/>
  </cols>
  <sheetData>
    <row r="1" spans="1:4" ht="16.5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20</v>
      </c>
      <c r="C5" s="6" t="s">
        <v>7</v>
      </c>
      <c r="D5" s="7" t="s">
        <v>8</v>
      </c>
    </row>
    <row r="6" spans="1:4" x14ac:dyDescent="0.25">
      <c r="A6" s="4" t="s">
        <v>9</v>
      </c>
      <c r="B6" s="5">
        <v>8.9</v>
      </c>
      <c r="C6" s="6" t="s">
        <v>10</v>
      </c>
      <c r="D6" s="7" t="s">
        <v>11</v>
      </c>
    </row>
    <row r="7" spans="1:4" x14ac:dyDescent="0.25">
      <c r="A7" s="4" t="s">
        <v>12</v>
      </c>
      <c r="B7" s="8">
        <v>0.1</v>
      </c>
      <c r="C7" s="6" t="s">
        <v>13</v>
      </c>
      <c r="D7" s="7" t="s">
        <v>14</v>
      </c>
    </row>
    <row r="8" spans="1:4" ht="30" customHeight="1" x14ac:dyDescent="0.25">
      <c r="A8" s="4" t="s">
        <v>15</v>
      </c>
      <c r="B8" s="8">
        <v>5.7599999999999998E-2</v>
      </c>
      <c r="C8" s="6" t="s">
        <v>13</v>
      </c>
      <c r="D8" s="9" t="s">
        <v>16</v>
      </c>
    </row>
    <row r="9" spans="1:4" x14ac:dyDescent="0.25">
      <c r="A9" s="4" t="s">
        <v>17</v>
      </c>
      <c r="B9" s="8">
        <v>4.8000000000000001E-2</v>
      </c>
      <c r="C9" s="6" t="s">
        <v>13</v>
      </c>
      <c r="D9" s="7" t="s">
        <v>18</v>
      </c>
    </row>
    <row r="10" spans="1:4" x14ac:dyDescent="0.25">
      <c r="A10" s="4" t="s">
        <v>19</v>
      </c>
      <c r="B10" s="8">
        <v>0.04</v>
      </c>
      <c r="C10" s="6" t="s">
        <v>13</v>
      </c>
      <c r="D10" s="7" t="s">
        <v>20</v>
      </c>
    </row>
    <row r="11" spans="1:4" x14ac:dyDescent="0.25">
      <c r="A11" s="4" t="s">
        <v>21</v>
      </c>
      <c r="B11" s="8">
        <v>0.04</v>
      </c>
      <c r="C11" s="6" t="s">
        <v>13</v>
      </c>
      <c r="D11" s="7" t="s">
        <v>22</v>
      </c>
    </row>
    <row r="12" spans="1:4" x14ac:dyDescent="0.25">
      <c r="A12" s="4" t="s">
        <v>23</v>
      </c>
      <c r="B12" s="8">
        <v>3.5000000000000003E-2</v>
      </c>
      <c r="C12" s="6" t="s">
        <v>13</v>
      </c>
      <c r="D12" s="7" t="s">
        <v>24</v>
      </c>
    </row>
    <row r="13" spans="1:4" x14ac:dyDescent="0.25">
      <c r="A13" s="4" t="s">
        <v>25</v>
      </c>
      <c r="B13" s="8">
        <v>0.08</v>
      </c>
      <c r="C13" s="6" t="s">
        <v>13</v>
      </c>
      <c r="D13" s="7" t="s">
        <v>26</v>
      </c>
    </row>
    <row r="14" spans="1:4" x14ac:dyDescent="0.25">
      <c r="A14" s="4" t="s">
        <v>27</v>
      </c>
      <c r="B14" s="8">
        <v>0.1</v>
      </c>
      <c r="C14" s="6" t="s">
        <v>13</v>
      </c>
      <c r="D14" s="7" t="s">
        <v>28</v>
      </c>
    </row>
    <row r="15" spans="1:4" x14ac:dyDescent="0.25">
      <c r="A15" s="4" t="s">
        <v>29</v>
      </c>
      <c r="B15" s="5">
        <v>4145</v>
      </c>
      <c r="C15" s="6" t="s">
        <v>30</v>
      </c>
      <c r="D15" s="7" t="s">
        <v>31</v>
      </c>
    </row>
    <row r="16" spans="1:4" x14ac:dyDescent="0.25">
      <c r="A16" s="4" t="s">
        <v>32</v>
      </c>
      <c r="B16" s="5">
        <v>9434</v>
      </c>
      <c r="C16" s="6" t="s">
        <v>30</v>
      </c>
      <c r="D16" s="7" t="s">
        <v>31</v>
      </c>
    </row>
    <row r="17" spans="1:4" x14ac:dyDescent="0.25">
      <c r="A17" s="4" t="s">
        <v>33</v>
      </c>
      <c r="B17" s="5">
        <v>6000</v>
      </c>
      <c r="C17" s="6" t="s">
        <v>30</v>
      </c>
      <c r="D17" s="7" t="s">
        <v>31</v>
      </c>
    </row>
    <row r="18" spans="1:4" x14ac:dyDescent="0.25">
      <c r="A18" s="4" t="s">
        <v>34</v>
      </c>
      <c r="B18" s="5">
        <v>8</v>
      </c>
      <c r="C18" s="6" t="s">
        <v>35</v>
      </c>
      <c r="D18" s="7" t="s">
        <v>31</v>
      </c>
    </row>
    <row r="19" spans="1:4" x14ac:dyDescent="0.25">
      <c r="A19" s="4" t="s">
        <v>36</v>
      </c>
      <c r="B19" s="5">
        <v>1</v>
      </c>
      <c r="C19" s="6" t="s">
        <v>35</v>
      </c>
      <c r="D19" s="7" t="s">
        <v>31</v>
      </c>
    </row>
    <row r="20" spans="1:4" x14ac:dyDescent="0.25">
      <c r="A20" s="4" t="s">
        <v>37</v>
      </c>
      <c r="B20" s="5">
        <v>3</v>
      </c>
      <c r="C20" s="6" t="s">
        <v>35</v>
      </c>
      <c r="D20" s="7" t="s">
        <v>31</v>
      </c>
    </row>
    <row r="21" spans="1:4" x14ac:dyDescent="0.25">
      <c r="A21" s="4" t="s">
        <v>38</v>
      </c>
      <c r="B21" s="5">
        <v>7</v>
      </c>
      <c r="C21" s="6" t="s">
        <v>39</v>
      </c>
      <c r="D21" s="7" t="s">
        <v>40</v>
      </c>
    </row>
    <row r="22" spans="1:4" x14ac:dyDescent="0.25">
      <c r="A22" s="4" t="s">
        <v>41</v>
      </c>
      <c r="B22" s="5">
        <v>1</v>
      </c>
      <c r="C22" s="6" t="s">
        <v>39</v>
      </c>
      <c r="D22" s="7" t="s">
        <v>42</v>
      </c>
    </row>
    <row r="23" spans="1:4" x14ac:dyDescent="0.25">
      <c r="A23" s="4" t="s">
        <v>43</v>
      </c>
      <c r="B23" s="5">
        <v>1</v>
      </c>
      <c r="C23" s="6" t="s">
        <v>39</v>
      </c>
      <c r="D23" s="7" t="s">
        <v>42</v>
      </c>
    </row>
    <row r="25" spans="1:4" x14ac:dyDescent="0.25">
      <c r="A25" s="10" t="s">
        <v>44</v>
      </c>
    </row>
    <row r="26" spans="1:4" x14ac:dyDescent="0.25">
      <c r="A26" s="11" t="s">
        <v>45</v>
      </c>
      <c r="B26" s="10">
        <f>Supuestos!$B$21+Supuestos!$B$22+Supuestos!$B$23</f>
        <v>9</v>
      </c>
    </row>
    <row r="27" spans="1:4" x14ac:dyDescent="0.25">
      <c r="A27" s="1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4" zoomScaleNormal="100" workbookViewId="0">
      <selection activeCell="F8" sqref="F8"/>
    </sheetView>
  </sheetViews>
  <sheetFormatPr baseColWidth="10" defaultColWidth="8.7109375" defaultRowHeight="15" x14ac:dyDescent="0.25"/>
  <cols>
    <col min="1" max="2" width="10" customWidth="1"/>
    <col min="3" max="3" width="16" customWidth="1"/>
    <col min="4" max="4" width="20" customWidth="1"/>
    <col min="5" max="7" width="14" customWidth="1"/>
  </cols>
  <sheetData>
    <row r="1" spans="1:7" ht="16.5" x14ac:dyDescent="0.25">
      <c r="A1" s="1" t="s">
        <v>47</v>
      </c>
    </row>
    <row r="2" spans="1:7" x14ac:dyDescent="0.25">
      <c r="A2" s="2" t="s">
        <v>48</v>
      </c>
    </row>
    <row r="4" spans="1:7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</row>
    <row r="5" spans="1:7" x14ac:dyDescent="0.25">
      <c r="A5" s="4" t="s">
        <v>56</v>
      </c>
      <c r="B5" s="13">
        <v>1</v>
      </c>
      <c r="C5" s="6" t="s">
        <v>57</v>
      </c>
      <c r="D5" s="6" t="s">
        <v>58</v>
      </c>
      <c r="E5" s="14">
        <v>190</v>
      </c>
      <c r="F5" s="13" t="s">
        <v>59</v>
      </c>
      <c r="G5" s="14">
        <v>190</v>
      </c>
    </row>
    <row r="6" spans="1:7" x14ac:dyDescent="0.25">
      <c r="A6" s="4" t="s">
        <v>56</v>
      </c>
      <c r="B6" s="13">
        <v>2</v>
      </c>
      <c r="C6" s="6" t="s">
        <v>60</v>
      </c>
      <c r="D6" s="6" t="s">
        <v>61</v>
      </c>
      <c r="E6" s="14">
        <v>196</v>
      </c>
      <c r="F6" s="13" t="s">
        <v>59</v>
      </c>
      <c r="G6" s="14">
        <v>196</v>
      </c>
    </row>
    <row r="7" spans="1:7" x14ac:dyDescent="0.25">
      <c r="A7" s="4" t="s">
        <v>56</v>
      </c>
      <c r="B7" s="13">
        <v>3</v>
      </c>
      <c r="C7" s="6" t="s">
        <v>57</v>
      </c>
      <c r="D7" s="6" t="s">
        <v>62</v>
      </c>
      <c r="E7" s="14">
        <v>198</v>
      </c>
      <c r="F7" s="13" t="s">
        <v>59</v>
      </c>
      <c r="G7" s="14">
        <v>198</v>
      </c>
    </row>
    <row r="8" spans="1:7" x14ac:dyDescent="0.25">
      <c r="A8" s="4" t="s">
        <v>56</v>
      </c>
      <c r="B8" s="13">
        <v>4</v>
      </c>
      <c r="C8" s="6" t="s">
        <v>60</v>
      </c>
      <c r="D8" s="6" t="s">
        <v>63</v>
      </c>
      <c r="E8" s="14">
        <v>101</v>
      </c>
      <c r="F8" s="13" t="s">
        <v>59</v>
      </c>
      <c r="G8" s="14">
        <v>101</v>
      </c>
    </row>
    <row r="9" spans="1:7" x14ac:dyDescent="0.25">
      <c r="A9" s="4" t="s">
        <v>64</v>
      </c>
      <c r="B9" s="13">
        <v>1</v>
      </c>
      <c r="C9" s="6" t="s">
        <v>57</v>
      </c>
      <c r="D9" s="6" t="s">
        <v>58</v>
      </c>
      <c r="E9" s="15">
        <v>190</v>
      </c>
      <c r="F9" s="16" t="s">
        <v>65</v>
      </c>
      <c r="G9" s="15">
        <v>150</v>
      </c>
    </row>
    <row r="10" spans="1:7" x14ac:dyDescent="0.25">
      <c r="A10" s="4" t="s">
        <v>64</v>
      </c>
      <c r="B10" s="13">
        <v>2</v>
      </c>
      <c r="C10" s="6" t="s">
        <v>60</v>
      </c>
      <c r="D10" s="6" t="s">
        <v>61</v>
      </c>
      <c r="E10" s="14">
        <v>196</v>
      </c>
      <c r="F10" s="13" t="s">
        <v>59</v>
      </c>
      <c r="G10" s="14">
        <v>196</v>
      </c>
    </row>
    <row r="11" spans="1:7" x14ac:dyDescent="0.25">
      <c r="A11" s="4" t="s">
        <v>64</v>
      </c>
      <c r="B11" s="13">
        <v>3</v>
      </c>
      <c r="C11" s="6" t="s">
        <v>57</v>
      </c>
      <c r="D11" s="6" t="s">
        <v>62</v>
      </c>
      <c r="E11" s="14">
        <v>198</v>
      </c>
      <c r="F11" s="13" t="s">
        <v>59</v>
      </c>
      <c r="G11" s="14">
        <v>198</v>
      </c>
    </row>
    <row r="12" spans="1:7" x14ac:dyDescent="0.25">
      <c r="A12" s="4" t="s">
        <v>64</v>
      </c>
      <c r="B12" s="13">
        <v>4</v>
      </c>
      <c r="C12" s="6" t="s">
        <v>60</v>
      </c>
      <c r="D12" s="6" t="s">
        <v>63</v>
      </c>
      <c r="E12" s="14">
        <v>101</v>
      </c>
      <c r="F12" s="13" t="s">
        <v>59</v>
      </c>
      <c r="G12" s="14">
        <v>101</v>
      </c>
    </row>
    <row r="13" spans="1:7" x14ac:dyDescent="0.25">
      <c r="A13" s="4" t="s">
        <v>66</v>
      </c>
      <c r="B13" s="13">
        <v>1</v>
      </c>
      <c r="C13" s="6" t="s">
        <v>57</v>
      </c>
      <c r="D13" s="6" t="s">
        <v>58</v>
      </c>
      <c r="E13" s="14">
        <v>190</v>
      </c>
      <c r="F13" s="13" t="s">
        <v>59</v>
      </c>
      <c r="G13" s="14">
        <v>190</v>
      </c>
    </row>
    <row r="14" spans="1:7" x14ac:dyDescent="0.25">
      <c r="A14" s="4" t="s">
        <v>66</v>
      </c>
      <c r="B14" s="13">
        <v>2</v>
      </c>
      <c r="C14" s="6" t="s">
        <v>60</v>
      </c>
      <c r="D14" s="6" t="s">
        <v>61</v>
      </c>
      <c r="E14" s="14">
        <v>196</v>
      </c>
      <c r="F14" s="13" t="s">
        <v>59</v>
      </c>
      <c r="G14" s="14">
        <v>196</v>
      </c>
    </row>
    <row r="15" spans="1:7" x14ac:dyDescent="0.25">
      <c r="A15" s="4" t="s">
        <v>66</v>
      </c>
      <c r="B15" s="13">
        <v>3</v>
      </c>
      <c r="C15" s="6" t="s">
        <v>57</v>
      </c>
      <c r="D15" s="6" t="s">
        <v>62</v>
      </c>
      <c r="E15" s="14">
        <v>198</v>
      </c>
      <c r="F15" s="13" t="s">
        <v>59</v>
      </c>
      <c r="G15" s="14">
        <v>198</v>
      </c>
    </row>
    <row r="16" spans="1:7" x14ac:dyDescent="0.25">
      <c r="A16" s="4" t="s">
        <v>66</v>
      </c>
      <c r="B16" s="13">
        <v>4</v>
      </c>
      <c r="C16" s="6" t="s">
        <v>60</v>
      </c>
      <c r="D16" s="6" t="s">
        <v>63</v>
      </c>
      <c r="E16" s="15">
        <v>101</v>
      </c>
      <c r="F16" s="16" t="s">
        <v>67</v>
      </c>
      <c r="G16" s="15">
        <v>50.5</v>
      </c>
    </row>
    <row r="17" spans="1:7" x14ac:dyDescent="0.25">
      <c r="A17" s="4" t="s">
        <v>66</v>
      </c>
      <c r="B17" s="13">
        <v>5</v>
      </c>
      <c r="C17" s="6" t="s">
        <v>60</v>
      </c>
      <c r="D17" s="6" t="s">
        <v>63</v>
      </c>
      <c r="E17" s="15">
        <v>100</v>
      </c>
      <c r="F17" s="16" t="s">
        <v>68</v>
      </c>
      <c r="G17" s="15">
        <v>0</v>
      </c>
    </row>
    <row r="18" spans="1:7" x14ac:dyDescent="0.25">
      <c r="A18" s="4" t="s">
        <v>69</v>
      </c>
      <c r="B18" s="13">
        <v>1</v>
      </c>
      <c r="C18" s="6" t="s">
        <v>57</v>
      </c>
      <c r="D18" s="6" t="s">
        <v>58</v>
      </c>
      <c r="E18" s="14">
        <v>190</v>
      </c>
      <c r="F18" s="13" t="s">
        <v>59</v>
      </c>
      <c r="G18" s="14">
        <v>190</v>
      </c>
    </row>
    <row r="19" spans="1:7" x14ac:dyDescent="0.25">
      <c r="A19" s="4" t="s">
        <v>69</v>
      </c>
      <c r="B19" s="13">
        <v>2</v>
      </c>
      <c r="C19" s="6" t="s">
        <v>60</v>
      </c>
      <c r="D19" s="6" t="s">
        <v>61</v>
      </c>
      <c r="E19" s="14">
        <v>196</v>
      </c>
      <c r="F19" s="13" t="s">
        <v>59</v>
      </c>
      <c r="G19" s="14">
        <v>196</v>
      </c>
    </row>
    <row r="20" spans="1:7" x14ac:dyDescent="0.25">
      <c r="A20" s="4" t="s">
        <v>69</v>
      </c>
      <c r="B20" s="13">
        <v>3</v>
      </c>
      <c r="C20" s="6" t="s">
        <v>57</v>
      </c>
      <c r="D20" s="6" t="s">
        <v>62</v>
      </c>
      <c r="E20" s="14">
        <v>198</v>
      </c>
      <c r="F20" s="13" t="s">
        <v>59</v>
      </c>
      <c r="G20" s="14">
        <v>198</v>
      </c>
    </row>
    <row r="21" spans="1:7" x14ac:dyDescent="0.25">
      <c r="A21" s="4" t="s">
        <v>69</v>
      </c>
      <c r="B21" s="13">
        <v>4</v>
      </c>
      <c r="C21" s="6" t="s">
        <v>60</v>
      </c>
      <c r="D21" s="6" t="s">
        <v>63</v>
      </c>
      <c r="E21" s="14">
        <v>101</v>
      </c>
      <c r="F21" s="13" t="s">
        <v>59</v>
      </c>
      <c r="G21" s="14">
        <v>101</v>
      </c>
    </row>
    <row r="22" spans="1:7" x14ac:dyDescent="0.25">
      <c r="A22" s="4" t="s">
        <v>69</v>
      </c>
      <c r="B22" s="13">
        <v>5</v>
      </c>
      <c r="C22" s="6" t="s">
        <v>60</v>
      </c>
      <c r="D22" s="6" t="s">
        <v>63</v>
      </c>
      <c r="E22" s="15">
        <v>100</v>
      </c>
      <c r="F22" s="16" t="s">
        <v>68</v>
      </c>
      <c r="G22" s="15">
        <v>0</v>
      </c>
    </row>
    <row r="23" spans="1:7" x14ac:dyDescent="0.25">
      <c r="A23" s="10" t="s">
        <v>70</v>
      </c>
      <c r="E23" s="17">
        <f>SUM(E5:E22)</f>
        <v>2940</v>
      </c>
      <c r="G23" s="17">
        <f>SUM(G5:G22)</f>
        <v>2649.5</v>
      </c>
    </row>
    <row r="24" spans="1:7" x14ac:dyDescent="0.25">
      <c r="A24" s="10" t="s">
        <v>71</v>
      </c>
      <c r="G24" s="17">
        <f>E23-G23</f>
        <v>290.5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zoomScaleNormal="100" workbookViewId="0">
      <selection activeCell="A13" sqref="A13:XFD13"/>
    </sheetView>
  </sheetViews>
  <sheetFormatPr baseColWidth="10" defaultColWidth="8.7109375" defaultRowHeight="15" x14ac:dyDescent="0.25"/>
  <cols>
    <col min="1" max="1" width="10" customWidth="1"/>
    <col min="2" max="2" width="7" customWidth="1"/>
    <col min="3" max="3" width="15" customWidth="1"/>
    <col min="4" max="4" width="19" customWidth="1"/>
    <col min="5" max="5" width="10" customWidth="1"/>
    <col min="6" max="6" width="15" customWidth="1"/>
    <col min="7" max="7" width="12" customWidth="1"/>
    <col min="8" max="8" width="15" customWidth="1"/>
    <col min="9" max="9" width="12" customWidth="1"/>
    <col min="10" max="10" width="15" customWidth="1"/>
    <col min="11" max="11" width="12" customWidth="1"/>
    <col min="12" max="12" width="15" customWidth="1"/>
    <col min="13" max="13" width="12" customWidth="1"/>
    <col min="14" max="14" width="15" customWidth="1"/>
    <col min="15" max="15" width="12" customWidth="1"/>
  </cols>
  <sheetData>
    <row r="1" spans="1:15" ht="16.5" x14ac:dyDescent="0.25">
      <c r="A1" s="1" t="s">
        <v>72</v>
      </c>
    </row>
    <row r="2" spans="1:15" x14ac:dyDescent="0.25">
      <c r="A2" s="2" t="s">
        <v>73</v>
      </c>
    </row>
    <row r="4" spans="1:15" ht="25.5" x14ac:dyDescent="0.25">
      <c r="A4" s="3" t="s">
        <v>49</v>
      </c>
      <c r="B4" s="3" t="s">
        <v>74</v>
      </c>
      <c r="C4" s="3" t="s">
        <v>51</v>
      </c>
      <c r="D4" s="3" t="s">
        <v>52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3" t="s">
        <v>85</v>
      </c>
    </row>
    <row r="5" spans="1:15" x14ac:dyDescent="0.25">
      <c r="A5" s="4" t="s">
        <v>56</v>
      </c>
      <c r="B5" s="13">
        <v>1</v>
      </c>
      <c r="C5" s="6" t="s">
        <v>57</v>
      </c>
      <c r="D5" s="6" t="s">
        <v>58</v>
      </c>
      <c r="E5" s="18">
        <v>190</v>
      </c>
      <c r="F5" s="13" t="s">
        <v>59</v>
      </c>
      <c r="G5" s="19">
        <v>190</v>
      </c>
      <c r="H5" s="13" t="s">
        <v>59</v>
      </c>
      <c r="I5" s="19">
        <v>190</v>
      </c>
      <c r="J5" s="20" t="s">
        <v>86</v>
      </c>
      <c r="K5" s="21">
        <f>$E5*(1+Supuestos!$B$13)</f>
        <v>205.20000000000002</v>
      </c>
      <c r="L5" s="20" t="s">
        <v>86</v>
      </c>
      <c r="M5" s="21">
        <f>$E5*(1+Supuestos!$B$13)</f>
        <v>205.20000000000002</v>
      </c>
      <c r="N5" s="20" t="s">
        <v>86</v>
      </c>
      <c r="O5" s="21">
        <f>$E5*(1+Supuestos!$B$13)</f>
        <v>205.20000000000002</v>
      </c>
    </row>
    <row r="6" spans="1:15" x14ac:dyDescent="0.25">
      <c r="A6" s="4" t="s">
        <v>56</v>
      </c>
      <c r="B6" s="13">
        <v>2</v>
      </c>
      <c r="C6" s="6" t="s">
        <v>60</v>
      </c>
      <c r="D6" s="6" t="s">
        <v>61</v>
      </c>
      <c r="E6" s="18">
        <v>196</v>
      </c>
      <c r="F6" s="13" t="s">
        <v>59</v>
      </c>
      <c r="G6" s="19">
        <v>196</v>
      </c>
      <c r="H6" s="13" t="s">
        <v>59</v>
      </c>
      <c r="I6" s="19">
        <v>196</v>
      </c>
      <c r="J6" s="13" t="s">
        <v>59</v>
      </c>
      <c r="K6" s="19">
        <v>196</v>
      </c>
      <c r="L6" s="13" t="s">
        <v>59</v>
      </c>
      <c r="M6" s="19">
        <v>196</v>
      </c>
      <c r="N6" s="13" t="s">
        <v>59</v>
      </c>
      <c r="O6" s="19">
        <v>196</v>
      </c>
    </row>
    <row r="7" spans="1:15" x14ac:dyDescent="0.25">
      <c r="A7" s="4" t="s">
        <v>56</v>
      </c>
      <c r="B7" s="13">
        <v>3</v>
      </c>
      <c r="C7" s="6" t="s">
        <v>57</v>
      </c>
      <c r="D7" s="6" t="s">
        <v>62</v>
      </c>
      <c r="E7" s="18">
        <v>198</v>
      </c>
      <c r="F7" s="13" t="s">
        <v>59</v>
      </c>
      <c r="G7" s="19">
        <v>198</v>
      </c>
      <c r="H7" s="13" t="s">
        <v>59</v>
      </c>
      <c r="I7" s="19">
        <v>198</v>
      </c>
      <c r="J7" s="13" t="s">
        <v>59</v>
      </c>
      <c r="K7" s="19">
        <v>198</v>
      </c>
      <c r="L7" s="13" t="s">
        <v>59</v>
      </c>
      <c r="M7" s="19">
        <v>198</v>
      </c>
      <c r="N7" s="13" t="s">
        <v>59</v>
      </c>
      <c r="O7" s="19">
        <v>198</v>
      </c>
    </row>
    <row r="8" spans="1:15" x14ac:dyDescent="0.25">
      <c r="A8" s="4" t="s">
        <v>56</v>
      </c>
      <c r="B8" s="13">
        <v>4</v>
      </c>
      <c r="C8" s="6" t="s">
        <v>60</v>
      </c>
      <c r="D8" s="6" t="s">
        <v>63</v>
      </c>
      <c r="E8" s="18">
        <v>101</v>
      </c>
      <c r="F8" s="13" t="s">
        <v>59</v>
      </c>
      <c r="G8" s="19">
        <v>101</v>
      </c>
      <c r="H8" s="13" t="s">
        <v>59</v>
      </c>
      <c r="I8" s="19">
        <v>101</v>
      </c>
      <c r="J8" s="13" t="s">
        <v>59</v>
      </c>
      <c r="K8" s="19">
        <v>101</v>
      </c>
      <c r="L8" s="13" t="s">
        <v>59</v>
      </c>
      <c r="M8" s="19">
        <v>101</v>
      </c>
      <c r="N8" s="13" t="s">
        <v>59</v>
      </c>
      <c r="O8" s="19">
        <v>101</v>
      </c>
    </row>
    <row r="9" spans="1:15" x14ac:dyDescent="0.25">
      <c r="A9" s="4" t="s">
        <v>64</v>
      </c>
      <c r="B9" s="13">
        <v>1</v>
      </c>
      <c r="C9" s="6" t="s">
        <v>57</v>
      </c>
      <c r="D9" s="6" t="s">
        <v>58</v>
      </c>
      <c r="E9" s="18">
        <v>190</v>
      </c>
      <c r="F9" s="16" t="s">
        <v>65</v>
      </c>
      <c r="G9" s="22">
        <v>150</v>
      </c>
      <c r="H9" s="20" t="s">
        <v>86</v>
      </c>
      <c r="I9" s="21">
        <f>$E9*(1+Supuestos!$B$13)</f>
        <v>205.20000000000002</v>
      </c>
      <c r="J9" s="20" t="s">
        <v>86</v>
      </c>
      <c r="K9" s="21">
        <f>$E9*(1+Supuestos!$B$13)</f>
        <v>205.20000000000002</v>
      </c>
      <c r="L9" s="20" t="s">
        <v>86</v>
      </c>
      <c r="M9" s="21">
        <f>$E9*(1+Supuestos!$B$13)</f>
        <v>205.20000000000002</v>
      </c>
      <c r="N9" s="20" t="s">
        <v>86</v>
      </c>
      <c r="O9" s="21">
        <f>$E9*(1+Supuestos!$B$13)</f>
        <v>205.20000000000002</v>
      </c>
    </row>
    <row r="10" spans="1:15" x14ac:dyDescent="0.25">
      <c r="A10" s="4" t="s">
        <v>64</v>
      </c>
      <c r="B10" s="13">
        <v>2</v>
      </c>
      <c r="C10" s="6" t="s">
        <v>60</v>
      </c>
      <c r="D10" s="6" t="s">
        <v>61</v>
      </c>
      <c r="E10" s="18">
        <v>196</v>
      </c>
      <c r="F10" s="13" t="s">
        <v>59</v>
      </c>
      <c r="G10" s="19">
        <v>196</v>
      </c>
      <c r="H10" s="13" t="s">
        <v>59</v>
      </c>
      <c r="I10" s="19">
        <v>196</v>
      </c>
      <c r="J10" s="13" t="s">
        <v>59</v>
      </c>
      <c r="K10" s="19">
        <v>196</v>
      </c>
      <c r="L10" s="13" t="s">
        <v>59</v>
      </c>
      <c r="M10" s="19">
        <v>196</v>
      </c>
      <c r="N10" s="13" t="s">
        <v>59</v>
      </c>
      <c r="O10" s="19">
        <v>196</v>
      </c>
    </row>
    <row r="11" spans="1:15" x14ac:dyDescent="0.25">
      <c r="A11" s="4" t="s">
        <v>64</v>
      </c>
      <c r="B11" s="13">
        <v>3</v>
      </c>
      <c r="C11" s="6" t="s">
        <v>57</v>
      </c>
      <c r="D11" s="6" t="s">
        <v>62</v>
      </c>
      <c r="E11" s="18">
        <v>198</v>
      </c>
      <c r="F11" s="13" t="s">
        <v>59</v>
      </c>
      <c r="G11" s="19">
        <v>198</v>
      </c>
      <c r="H11" s="13" t="s">
        <v>59</v>
      </c>
      <c r="I11" s="19">
        <v>198</v>
      </c>
      <c r="J11" s="13" t="s">
        <v>59</v>
      </c>
      <c r="K11" s="19">
        <v>198</v>
      </c>
      <c r="L11" s="13" t="s">
        <v>59</v>
      </c>
      <c r="M11" s="19">
        <v>198</v>
      </c>
      <c r="N11" s="13" t="s">
        <v>59</v>
      </c>
      <c r="O11" s="19">
        <v>198</v>
      </c>
    </row>
    <row r="12" spans="1:15" x14ac:dyDescent="0.25">
      <c r="A12" s="4" t="s">
        <v>64</v>
      </c>
      <c r="B12" s="13">
        <v>4</v>
      </c>
      <c r="C12" s="6" t="s">
        <v>60</v>
      </c>
      <c r="D12" s="6" t="s">
        <v>63</v>
      </c>
      <c r="E12" s="18">
        <v>101</v>
      </c>
      <c r="F12" s="13" t="s">
        <v>59</v>
      </c>
      <c r="G12" s="19">
        <v>101</v>
      </c>
      <c r="H12" s="13" t="s">
        <v>59</v>
      </c>
      <c r="I12" s="19">
        <v>101</v>
      </c>
      <c r="J12" s="13" t="s">
        <v>59</v>
      </c>
      <c r="K12" s="19">
        <v>101</v>
      </c>
      <c r="L12" s="13" t="s">
        <v>59</v>
      </c>
      <c r="M12" s="19">
        <v>101</v>
      </c>
      <c r="N12" s="13" t="s">
        <v>59</v>
      </c>
      <c r="O12" s="19">
        <v>101</v>
      </c>
    </row>
    <row r="13" spans="1:15" x14ac:dyDescent="0.25">
      <c r="A13" s="4" t="s">
        <v>66</v>
      </c>
      <c r="B13" s="13">
        <v>1</v>
      </c>
      <c r="C13" s="6" t="s">
        <v>57</v>
      </c>
      <c r="D13" s="6" t="s">
        <v>58</v>
      </c>
      <c r="E13" s="18">
        <v>190</v>
      </c>
      <c r="F13" s="13" t="s">
        <v>59</v>
      </c>
      <c r="G13" s="19">
        <v>190</v>
      </c>
      <c r="H13" s="13" t="s">
        <v>59</v>
      </c>
      <c r="I13" s="19">
        <v>190</v>
      </c>
      <c r="J13" s="13" t="s">
        <v>59</v>
      </c>
      <c r="K13" s="19">
        <v>190</v>
      </c>
      <c r="L13" s="13" t="s">
        <v>59</v>
      </c>
      <c r="M13" s="19">
        <v>190</v>
      </c>
      <c r="N13" s="13" t="s">
        <v>59</v>
      </c>
      <c r="O13" s="19">
        <v>190</v>
      </c>
    </row>
    <row r="14" spans="1:15" x14ac:dyDescent="0.25">
      <c r="A14" s="4" t="s">
        <v>66</v>
      </c>
      <c r="B14" s="13">
        <v>2</v>
      </c>
      <c r="C14" s="6" t="s">
        <v>60</v>
      </c>
      <c r="D14" s="6" t="s">
        <v>61</v>
      </c>
      <c r="E14" s="18">
        <v>196</v>
      </c>
      <c r="F14" s="13" t="s">
        <v>59</v>
      </c>
      <c r="G14" s="19">
        <v>196</v>
      </c>
      <c r="H14" s="13" t="s">
        <v>59</v>
      </c>
      <c r="I14" s="19">
        <v>196</v>
      </c>
      <c r="J14" s="13" t="s">
        <v>59</v>
      </c>
      <c r="K14" s="19">
        <v>196</v>
      </c>
      <c r="L14" s="13" t="s">
        <v>59</v>
      </c>
      <c r="M14" s="19">
        <v>196</v>
      </c>
      <c r="N14" s="13" t="s">
        <v>59</v>
      </c>
      <c r="O14" s="19">
        <v>196</v>
      </c>
    </row>
    <row r="15" spans="1:15" x14ac:dyDescent="0.25">
      <c r="A15" s="4" t="s">
        <v>66</v>
      </c>
      <c r="B15" s="13">
        <v>3</v>
      </c>
      <c r="C15" s="6" t="s">
        <v>57</v>
      </c>
      <c r="D15" s="6" t="s">
        <v>62</v>
      </c>
      <c r="E15" s="18">
        <v>198</v>
      </c>
      <c r="F15" s="13" t="s">
        <v>59</v>
      </c>
      <c r="G15" s="19">
        <v>198</v>
      </c>
      <c r="H15" s="13" t="s">
        <v>59</v>
      </c>
      <c r="I15" s="19">
        <v>198</v>
      </c>
      <c r="J15" s="13" t="s">
        <v>59</v>
      </c>
      <c r="K15" s="19">
        <v>198</v>
      </c>
      <c r="L15" s="13" t="s">
        <v>59</v>
      </c>
      <c r="M15" s="19">
        <v>198</v>
      </c>
      <c r="N15" s="13" t="s">
        <v>59</v>
      </c>
      <c r="O15" s="19">
        <v>198</v>
      </c>
    </row>
    <row r="16" spans="1:15" x14ac:dyDescent="0.25">
      <c r="A16" s="4" t="s">
        <v>66</v>
      </c>
      <c r="B16" s="13">
        <v>4</v>
      </c>
      <c r="C16" s="6" t="s">
        <v>60</v>
      </c>
      <c r="D16" s="6" t="s">
        <v>63</v>
      </c>
      <c r="E16" s="18">
        <v>101</v>
      </c>
      <c r="F16" s="16" t="s">
        <v>67</v>
      </c>
      <c r="G16" s="22">
        <v>50.5</v>
      </c>
      <c r="H16" s="20" t="s">
        <v>86</v>
      </c>
      <c r="I16" s="21">
        <f>$E16*(1+Supuestos!$B$13)</f>
        <v>109.08000000000001</v>
      </c>
      <c r="J16" s="20" t="s">
        <v>86</v>
      </c>
      <c r="K16" s="21">
        <f>$E16*(1+Supuestos!$B$13)</f>
        <v>109.08000000000001</v>
      </c>
      <c r="L16" s="20" t="s">
        <v>86</v>
      </c>
      <c r="M16" s="21">
        <f>$E16*(1+Supuestos!$B$13)</f>
        <v>109.08000000000001</v>
      </c>
      <c r="N16" s="20" t="s">
        <v>86</v>
      </c>
      <c r="O16" s="21">
        <f>$E16*(1+Supuestos!$B$13)</f>
        <v>109.08000000000001</v>
      </c>
    </row>
    <row r="17" spans="1:15" x14ac:dyDescent="0.25">
      <c r="A17" s="4" t="s">
        <v>66</v>
      </c>
      <c r="B17" s="13">
        <v>5</v>
      </c>
      <c r="C17" s="6" t="s">
        <v>60</v>
      </c>
      <c r="D17" s="6" t="s">
        <v>63</v>
      </c>
      <c r="E17" s="18">
        <v>100</v>
      </c>
      <c r="F17" s="16" t="s">
        <v>68</v>
      </c>
      <c r="G17" s="22">
        <v>0</v>
      </c>
      <c r="H17" s="20" t="s">
        <v>86</v>
      </c>
      <c r="I17" s="21">
        <f>$E17*(1+Supuestos!$B$13)</f>
        <v>108</v>
      </c>
      <c r="J17" s="20" t="s">
        <v>86</v>
      </c>
      <c r="K17" s="21">
        <f>$E17*(1+Supuestos!$B$13)</f>
        <v>108</v>
      </c>
      <c r="L17" s="20" t="s">
        <v>86</v>
      </c>
      <c r="M17" s="21">
        <f>$E17*(1+Supuestos!$B$13)</f>
        <v>108</v>
      </c>
      <c r="N17" s="20" t="s">
        <v>86</v>
      </c>
      <c r="O17" s="21">
        <f>$E17*(1+Supuestos!$B$13)</f>
        <v>108</v>
      </c>
    </row>
    <row r="18" spans="1:15" x14ac:dyDescent="0.25">
      <c r="A18" s="4" t="s">
        <v>69</v>
      </c>
      <c r="B18" s="13">
        <v>1</v>
      </c>
      <c r="C18" s="6" t="s">
        <v>57</v>
      </c>
      <c r="D18" s="6" t="s">
        <v>58</v>
      </c>
      <c r="E18" s="18">
        <v>190</v>
      </c>
      <c r="F18" s="13" t="s">
        <v>59</v>
      </c>
      <c r="G18" s="19">
        <v>190</v>
      </c>
      <c r="H18" s="13" t="s">
        <v>59</v>
      </c>
      <c r="I18" s="19">
        <v>190</v>
      </c>
      <c r="J18" s="13" t="s">
        <v>59</v>
      </c>
      <c r="K18" s="19">
        <v>190</v>
      </c>
      <c r="L18" s="13" t="s">
        <v>59</v>
      </c>
      <c r="M18" s="19">
        <v>190</v>
      </c>
      <c r="N18" s="13" t="s">
        <v>59</v>
      </c>
      <c r="O18" s="19">
        <v>190</v>
      </c>
    </row>
    <row r="19" spans="1:15" x14ac:dyDescent="0.25">
      <c r="A19" s="4" t="s">
        <v>69</v>
      </c>
      <c r="B19" s="13">
        <v>2</v>
      </c>
      <c r="C19" s="6" t="s">
        <v>60</v>
      </c>
      <c r="D19" s="6" t="s">
        <v>61</v>
      </c>
      <c r="E19" s="18">
        <v>196</v>
      </c>
      <c r="F19" s="13" t="s">
        <v>59</v>
      </c>
      <c r="G19" s="19">
        <v>196</v>
      </c>
      <c r="H19" s="13" t="s">
        <v>59</v>
      </c>
      <c r="I19" s="19">
        <v>196</v>
      </c>
      <c r="J19" s="13" t="s">
        <v>59</v>
      </c>
      <c r="K19" s="19">
        <v>196</v>
      </c>
      <c r="L19" s="13" t="s">
        <v>59</v>
      </c>
      <c r="M19" s="19">
        <v>196</v>
      </c>
      <c r="N19" s="13" t="s">
        <v>59</v>
      </c>
      <c r="O19" s="19">
        <v>196</v>
      </c>
    </row>
    <row r="20" spans="1:15" x14ac:dyDescent="0.25">
      <c r="A20" s="4" t="s">
        <v>69</v>
      </c>
      <c r="B20" s="13">
        <v>3</v>
      </c>
      <c r="C20" s="6" t="s">
        <v>57</v>
      </c>
      <c r="D20" s="6" t="s">
        <v>62</v>
      </c>
      <c r="E20" s="18">
        <v>198</v>
      </c>
      <c r="F20" s="13" t="s">
        <v>59</v>
      </c>
      <c r="G20" s="19">
        <v>198</v>
      </c>
      <c r="H20" s="13" t="s">
        <v>59</v>
      </c>
      <c r="I20" s="19">
        <v>198</v>
      </c>
      <c r="J20" s="13" t="s">
        <v>59</v>
      </c>
      <c r="K20" s="19">
        <v>198</v>
      </c>
      <c r="L20" s="13" t="s">
        <v>59</v>
      </c>
      <c r="M20" s="19">
        <v>198</v>
      </c>
      <c r="N20" s="13" t="s">
        <v>59</v>
      </c>
      <c r="O20" s="19">
        <v>198</v>
      </c>
    </row>
    <row r="21" spans="1:15" x14ac:dyDescent="0.25">
      <c r="A21" s="4" t="s">
        <v>69</v>
      </c>
      <c r="B21" s="13">
        <v>4</v>
      </c>
      <c r="C21" s="6" t="s">
        <v>60</v>
      </c>
      <c r="D21" s="6" t="s">
        <v>63</v>
      </c>
      <c r="E21" s="18">
        <v>101</v>
      </c>
      <c r="F21" s="13" t="s">
        <v>59</v>
      </c>
      <c r="G21" s="19">
        <v>101</v>
      </c>
      <c r="H21" s="13" t="s">
        <v>59</v>
      </c>
      <c r="I21" s="19">
        <v>101</v>
      </c>
      <c r="J21" s="20" t="s">
        <v>86</v>
      </c>
      <c r="K21" s="21">
        <f>$E21*(1+Supuestos!$B$13)</f>
        <v>109.08000000000001</v>
      </c>
      <c r="L21" s="20" t="s">
        <v>86</v>
      </c>
      <c r="M21" s="21">
        <f>$E21*(1+Supuestos!$B$13)</f>
        <v>109.08000000000001</v>
      </c>
      <c r="N21" s="20" t="s">
        <v>86</v>
      </c>
      <c r="O21" s="21">
        <f>$E21*(1+Supuestos!$B$13)</f>
        <v>109.08000000000001</v>
      </c>
    </row>
    <row r="22" spans="1:15" x14ac:dyDescent="0.25">
      <c r="A22" s="4" t="s">
        <v>69</v>
      </c>
      <c r="B22" s="13">
        <v>5</v>
      </c>
      <c r="C22" s="6" t="s">
        <v>60</v>
      </c>
      <c r="D22" s="6" t="s">
        <v>63</v>
      </c>
      <c r="E22" s="18">
        <v>100</v>
      </c>
      <c r="F22" s="16" t="s">
        <v>68</v>
      </c>
      <c r="G22" s="22">
        <v>0</v>
      </c>
      <c r="H22" s="20" t="s">
        <v>86</v>
      </c>
      <c r="I22" s="21">
        <f>$E22*(1+Supuestos!$B$13)</f>
        <v>108</v>
      </c>
      <c r="J22" s="20" t="s">
        <v>86</v>
      </c>
      <c r="K22" s="21">
        <f>$E22*(1+Supuestos!$B$13)</f>
        <v>108</v>
      </c>
      <c r="L22" s="20" t="s">
        <v>86</v>
      </c>
      <c r="M22" s="21">
        <f>$E22*(1+Supuestos!$B$13)</f>
        <v>108</v>
      </c>
      <c r="N22" s="20" t="s">
        <v>86</v>
      </c>
      <c r="O22" s="21">
        <f>$E22*(1+Supuestos!$B$13)</f>
        <v>108</v>
      </c>
    </row>
    <row r="23" spans="1:15" x14ac:dyDescent="0.25">
      <c r="A23" s="4" t="s">
        <v>56</v>
      </c>
      <c r="B23" s="13">
        <v>5</v>
      </c>
      <c r="C23" s="6" t="s">
        <v>60</v>
      </c>
      <c r="D23" s="6" t="s">
        <v>63</v>
      </c>
      <c r="E23" s="18">
        <v>100</v>
      </c>
      <c r="F23" s="23" t="s">
        <v>87</v>
      </c>
      <c r="G23" s="19">
        <v>0</v>
      </c>
      <c r="H23" s="23" t="s">
        <v>87</v>
      </c>
      <c r="I23" s="19">
        <v>0</v>
      </c>
      <c r="J23" s="20" t="s">
        <v>86</v>
      </c>
      <c r="K23" s="21">
        <f>$E23*(1+Supuestos!$B$13)</f>
        <v>108</v>
      </c>
      <c r="L23" s="20" t="s">
        <v>86</v>
      </c>
      <c r="M23" s="21">
        <f>$E23*(1+Supuestos!$B$13)</f>
        <v>108</v>
      </c>
      <c r="N23" s="20" t="s">
        <v>86</v>
      </c>
      <c r="O23" s="21">
        <f>$E23*(1+Supuestos!$B$13)</f>
        <v>108</v>
      </c>
    </row>
    <row r="24" spans="1:15" x14ac:dyDescent="0.25">
      <c r="A24" s="4" t="s">
        <v>64</v>
      </c>
      <c r="B24" s="13">
        <v>5</v>
      </c>
      <c r="C24" s="6" t="s">
        <v>60</v>
      </c>
      <c r="D24" s="6" t="s">
        <v>63</v>
      </c>
      <c r="E24" s="18">
        <v>100</v>
      </c>
      <c r="F24" s="23" t="s">
        <v>87</v>
      </c>
      <c r="G24" s="19">
        <v>0</v>
      </c>
      <c r="H24" s="23" t="s">
        <v>87</v>
      </c>
      <c r="I24" s="19">
        <v>0</v>
      </c>
      <c r="J24" s="20" t="s">
        <v>86</v>
      </c>
      <c r="K24" s="21">
        <f>$E24*(1+Supuestos!$B$13)</f>
        <v>108</v>
      </c>
      <c r="L24" s="20" t="s">
        <v>86</v>
      </c>
      <c r="M24" s="21">
        <f>$E24*(1+Supuestos!$B$13)</f>
        <v>108</v>
      </c>
      <c r="N24" s="20" t="s">
        <v>86</v>
      </c>
      <c r="O24" s="21">
        <f>$E24*(1+Supuestos!$B$13)</f>
        <v>108</v>
      </c>
    </row>
    <row r="25" spans="1:15" x14ac:dyDescent="0.25">
      <c r="A25" s="4" t="s">
        <v>88</v>
      </c>
      <c r="B25" s="13">
        <v>1</v>
      </c>
      <c r="C25" s="6" t="s">
        <v>57</v>
      </c>
      <c r="D25" s="6" t="s">
        <v>58</v>
      </c>
      <c r="E25" s="18">
        <v>190</v>
      </c>
      <c r="F25" s="23" t="s">
        <v>87</v>
      </c>
      <c r="G25" s="19">
        <v>0</v>
      </c>
      <c r="H25" s="23" t="s">
        <v>87</v>
      </c>
      <c r="I25" s="19">
        <v>0</v>
      </c>
      <c r="J25" s="23" t="s">
        <v>87</v>
      </c>
      <c r="K25" s="19">
        <v>0</v>
      </c>
      <c r="L25" s="23" t="s">
        <v>87</v>
      </c>
      <c r="M25" s="19">
        <v>0</v>
      </c>
      <c r="N25" s="20" t="s">
        <v>86</v>
      </c>
      <c r="O25" s="21">
        <f>$E25*(1+Supuestos!$B$13)</f>
        <v>205.20000000000002</v>
      </c>
    </row>
    <row r="26" spans="1:15" x14ac:dyDescent="0.25">
      <c r="A26" s="4" t="s">
        <v>88</v>
      </c>
      <c r="B26" s="13">
        <v>2</v>
      </c>
      <c r="C26" s="6" t="s">
        <v>60</v>
      </c>
      <c r="D26" s="6" t="s">
        <v>61</v>
      </c>
      <c r="E26" s="18">
        <v>196</v>
      </c>
      <c r="F26" s="23" t="s">
        <v>87</v>
      </c>
      <c r="G26" s="19">
        <v>0</v>
      </c>
      <c r="H26" s="23" t="s">
        <v>87</v>
      </c>
      <c r="I26" s="19">
        <v>0</v>
      </c>
      <c r="J26" s="23" t="s">
        <v>87</v>
      </c>
      <c r="K26" s="19">
        <v>0</v>
      </c>
      <c r="L26" s="23" t="s">
        <v>87</v>
      </c>
      <c r="M26" s="19">
        <v>0</v>
      </c>
      <c r="N26" s="20" t="s">
        <v>86</v>
      </c>
      <c r="O26" s="21">
        <f>$E26*(1+Supuestos!$B$13)</f>
        <v>211.68</v>
      </c>
    </row>
    <row r="27" spans="1:15" x14ac:dyDescent="0.25">
      <c r="A27" s="4" t="s">
        <v>88</v>
      </c>
      <c r="B27" s="13">
        <v>3</v>
      </c>
      <c r="C27" s="6" t="s">
        <v>57</v>
      </c>
      <c r="D27" s="6" t="s">
        <v>62</v>
      </c>
      <c r="E27" s="18">
        <v>198</v>
      </c>
      <c r="F27" s="23" t="s">
        <v>87</v>
      </c>
      <c r="G27" s="19">
        <v>0</v>
      </c>
      <c r="H27" s="23" t="s">
        <v>87</v>
      </c>
      <c r="I27" s="19">
        <v>0</v>
      </c>
      <c r="J27" s="23" t="s">
        <v>87</v>
      </c>
      <c r="K27" s="19">
        <v>0</v>
      </c>
      <c r="L27" s="23" t="s">
        <v>87</v>
      </c>
      <c r="M27" s="19">
        <v>0</v>
      </c>
      <c r="N27" s="20" t="s">
        <v>86</v>
      </c>
      <c r="O27" s="21">
        <f>$E27*(1+Supuestos!$B$13)</f>
        <v>213.84</v>
      </c>
    </row>
    <row r="28" spans="1:15" x14ac:dyDescent="0.25">
      <c r="A28" s="4" t="s">
        <v>88</v>
      </c>
      <c r="B28" s="13">
        <v>4</v>
      </c>
      <c r="C28" s="6" t="s">
        <v>60</v>
      </c>
      <c r="D28" s="6" t="s">
        <v>63</v>
      </c>
      <c r="E28" s="18">
        <v>101</v>
      </c>
      <c r="F28" s="23" t="s">
        <v>87</v>
      </c>
      <c r="G28" s="19">
        <v>0</v>
      </c>
      <c r="H28" s="23" t="s">
        <v>87</v>
      </c>
      <c r="I28" s="19">
        <v>0</v>
      </c>
      <c r="J28" s="23" t="s">
        <v>87</v>
      </c>
      <c r="K28" s="19">
        <v>0</v>
      </c>
      <c r="L28" s="23" t="s">
        <v>87</v>
      </c>
      <c r="M28" s="19">
        <v>0</v>
      </c>
      <c r="N28" s="20" t="s">
        <v>86</v>
      </c>
      <c r="O28" s="21">
        <f>$E28*(1+Supuestos!$B$13)</f>
        <v>109.08000000000001</v>
      </c>
    </row>
    <row r="29" spans="1:15" x14ac:dyDescent="0.25">
      <c r="A29" s="4" t="s">
        <v>88</v>
      </c>
      <c r="B29" s="13">
        <v>5</v>
      </c>
      <c r="C29" s="6" t="s">
        <v>60</v>
      </c>
      <c r="D29" s="6" t="s">
        <v>63</v>
      </c>
      <c r="E29" s="18">
        <v>100</v>
      </c>
      <c r="F29" s="23" t="s">
        <v>87</v>
      </c>
      <c r="G29" s="19">
        <v>0</v>
      </c>
      <c r="H29" s="23" t="s">
        <v>87</v>
      </c>
      <c r="I29" s="19">
        <v>0</v>
      </c>
      <c r="J29" s="23" t="s">
        <v>87</v>
      </c>
      <c r="K29" s="19">
        <v>0</v>
      </c>
      <c r="L29" s="23" t="s">
        <v>87</v>
      </c>
      <c r="M29" s="19">
        <v>0</v>
      </c>
      <c r="N29" s="20" t="s">
        <v>86</v>
      </c>
      <c r="O29" s="21">
        <f>$E29*(1+Supuestos!$B$13)</f>
        <v>108</v>
      </c>
    </row>
    <row r="31" spans="1:15" x14ac:dyDescent="0.25">
      <c r="A31" s="10" t="s">
        <v>89</v>
      </c>
    </row>
    <row r="32" spans="1:15" x14ac:dyDescent="0.25">
      <c r="A32" s="24" t="s">
        <v>49</v>
      </c>
      <c r="B32" s="24"/>
      <c r="C32" s="24"/>
      <c r="D32" s="24"/>
      <c r="E32" s="24"/>
      <c r="F32" s="24" t="s">
        <v>90</v>
      </c>
      <c r="G32" s="24"/>
      <c r="H32" s="24" t="s">
        <v>91</v>
      </c>
      <c r="I32" s="24"/>
      <c r="J32" s="24" t="s">
        <v>92</v>
      </c>
      <c r="K32" s="24"/>
      <c r="L32" s="24" t="s">
        <v>93</v>
      </c>
      <c r="M32" s="24"/>
      <c r="N32" s="24" t="s">
        <v>94</v>
      </c>
      <c r="O32" s="24"/>
    </row>
    <row r="33" spans="1:14" x14ac:dyDescent="0.25">
      <c r="A33" s="4" t="s">
        <v>56</v>
      </c>
      <c r="F33" s="25">
        <f>(G5+G6+G7+G8+G23)</f>
        <v>685</v>
      </c>
      <c r="H33" s="25">
        <f>(I5+I6+I7+I8+I23)</f>
        <v>685</v>
      </c>
      <c r="J33" s="25">
        <f>(K5+K6+K7+K8+K23)</f>
        <v>808.2</v>
      </c>
      <c r="L33" s="25">
        <f>(M5+M6+M7+M8+M23)</f>
        <v>808.2</v>
      </c>
      <c r="N33" s="25">
        <f>(O5+O6+O7+O8+O23)</f>
        <v>808.2</v>
      </c>
    </row>
    <row r="34" spans="1:14" x14ac:dyDescent="0.25">
      <c r="A34" s="4" t="s">
        <v>64</v>
      </c>
      <c r="F34" s="25">
        <f>(G9+G10+G11+G12+G24)</f>
        <v>645</v>
      </c>
      <c r="H34" s="25">
        <f>(I9+I10+I11+I12+I24)</f>
        <v>700.2</v>
      </c>
      <c r="J34" s="25">
        <f>(K9+K10+K11+K12+K24)</f>
        <v>808.2</v>
      </c>
      <c r="L34" s="25">
        <f>(M9+M10+M11+M12+M24)</f>
        <v>808.2</v>
      </c>
      <c r="N34" s="25">
        <f>(O9+O10+O11+O12+O24)</f>
        <v>808.2</v>
      </c>
    </row>
    <row r="35" spans="1:14" x14ac:dyDescent="0.25">
      <c r="A35" s="4" t="s">
        <v>66</v>
      </c>
      <c r="F35" s="25">
        <f>(G13+G14+G15+G16+G17)*(1-Supuestos!$B$14)</f>
        <v>571.05000000000007</v>
      </c>
      <c r="H35" s="25">
        <f>(I13+I14+I15+I16+I17)*(1-Supuestos!$B$14)</f>
        <v>720.97200000000009</v>
      </c>
      <c r="J35" s="25">
        <f>(K13+K14+K15+K16+K17)*(1-Supuestos!$B$14)</f>
        <v>720.97200000000009</v>
      </c>
      <c r="L35" s="25">
        <f>(M13+M14+M15+M16+M17)</f>
        <v>801.08</v>
      </c>
      <c r="N35" s="25">
        <f>(O13+O14+O15+O16+O17)</f>
        <v>801.08</v>
      </c>
    </row>
    <row r="36" spans="1:14" x14ac:dyDescent="0.25">
      <c r="A36" s="4" t="s">
        <v>69</v>
      </c>
      <c r="F36" s="25">
        <f>(G18+G19+G20+G21+G22)</f>
        <v>685</v>
      </c>
      <c r="H36" s="25">
        <f>(I18+I19+I20+I21+I22)</f>
        <v>793</v>
      </c>
      <c r="J36" s="25">
        <f>(K18+K19+K20+K21+K22)</f>
        <v>801.08</v>
      </c>
      <c r="L36" s="25">
        <f>(M18+M19+M20+M21+M22)</f>
        <v>801.08</v>
      </c>
      <c r="N36" s="25">
        <f>(O18+O19+O20+O21+O22)</f>
        <v>801.08</v>
      </c>
    </row>
    <row r="37" spans="1:14" x14ac:dyDescent="0.25">
      <c r="A37" s="4" t="s">
        <v>88</v>
      </c>
      <c r="F37" s="25">
        <f>(G25+G26+G27+G28+G29)</f>
        <v>0</v>
      </c>
      <c r="H37" s="25">
        <f>(I25+I26+I27+I28+I29)</f>
        <v>0</v>
      </c>
      <c r="J37" s="25">
        <f>(K25+K26+K27+K28+K29)</f>
        <v>0</v>
      </c>
      <c r="L37" s="25">
        <f>(M25+M26+M27+M28+M29)</f>
        <v>0</v>
      </c>
      <c r="N37" s="25">
        <f>(O25+O26+O27+O28+O29)</f>
        <v>847.80000000000007</v>
      </c>
    </row>
    <row r="38" spans="1:14" x14ac:dyDescent="0.25">
      <c r="A38" s="10" t="s">
        <v>95</v>
      </c>
      <c r="F38" s="25">
        <f>SUM(F33:F37)</f>
        <v>2586.0500000000002</v>
      </c>
      <c r="H38" s="25">
        <f>SUM(H33:H37)</f>
        <v>2899.172</v>
      </c>
      <c r="J38" s="25">
        <f>SUM(J33:J37)</f>
        <v>3138.4520000000002</v>
      </c>
      <c r="L38" s="25">
        <f>SUM(L33:L37)</f>
        <v>3218.56</v>
      </c>
      <c r="N38" s="25">
        <f>SUM(N33:N37)</f>
        <v>4066.36</v>
      </c>
    </row>
    <row r="40" spans="1:14" x14ac:dyDescent="0.25">
      <c r="A40" s="2" t="s">
        <v>96</v>
      </c>
    </row>
    <row r="41" spans="1:14" x14ac:dyDescent="0.25">
      <c r="A41" s="2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Normal="100" workbookViewId="0"/>
  </sheetViews>
  <sheetFormatPr baseColWidth="10" defaultColWidth="8.7109375" defaultRowHeight="15" x14ac:dyDescent="0.25"/>
  <cols>
    <col min="1" max="1" width="13" customWidth="1"/>
    <col min="2" max="2" width="40" customWidth="1"/>
    <col min="3" max="3" width="78" customWidth="1"/>
    <col min="4" max="4" width="9" customWidth="1"/>
    <col min="5" max="5" width="15" customWidth="1"/>
  </cols>
  <sheetData>
    <row r="1" spans="1:5" ht="16.5" x14ac:dyDescent="0.25">
      <c r="A1" s="1" t="s">
        <v>98</v>
      </c>
    </row>
    <row r="2" spans="1:5" x14ac:dyDescent="0.25">
      <c r="A2" s="2" t="s">
        <v>99</v>
      </c>
    </row>
    <row r="4" spans="1:5" x14ac:dyDescent="0.25">
      <c r="A4" s="3" t="s">
        <v>100</v>
      </c>
      <c r="B4" s="3" t="s">
        <v>101</v>
      </c>
      <c r="C4" s="3" t="s">
        <v>102</v>
      </c>
      <c r="D4" s="3" t="s">
        <v>103</v>
      </c>
      <c r="E4" s="3" t="s">
        <v>104</v>
      </c>
    </row>
    <row r="5" spans="1:5" ht="99.75" customHeight="1" x14ac:dyDescent="0.25">
      <c r="A5" s="26" t="s">
        <v>105</v>
      </c>
      <c r="B5" s="27" t="s">
        <v>106</v>
      </c>
      <c r="C5" s="27" t="s">
        <v>107</v>
      </c>
      <c r="D5" s="28">
        <v>4</v>
      </c>
      <c r="E5" s="29">
        <f>Inversion!$H$5</f>
        <v>10400</v>
      </c>
    </row>
    <row r="6" spans="1:5" ht="99.75" customHeight="1" x14ac:dyDescent="0.25">
      <c r="A6" s="26" t="s">
        <v>108</v>
      </c>
      <c r="B6" s="27" t="s">
        <v>109</v>
      </c>
      <c r="C6" s="27" t="s">
        <v>110</v>
      </c>
      <c r="D6" s="28">
        <v>8</v>
      </c>
      <c r="E6" s="29">
        <f>Inversion!$H$6</f>
        <v>20800</v>
      </c>
    </row>
    <row r="7" spans="1:5" ht="99.75" customHeight="1" x14ac:dyDescent="0.25">
      <c r="A7" s="26" t="s">
        <v>111</v>
      </c>
      <c r="B7" s="27" t="s">
        <v>112</v>
      </c>
      <c r="C7" s="27" t="s">
        <v>113</v>
      </c>
      <c r="D7" s="28">
        <v>9</v>
      </c>
      <c r="E7" s="29">
        <f>Inversion!$H$7</f>
        <v>23800</v>
      </c>
    </row>
    <row r="8" spans="1:5" ht="99.75" customHeight="1" x14ac:dyDescent="0.25">
      <c r="A8" s="26" t="s">
        <v>114</v>
      </c>
      <c r="B8" s="27" t="s">
        <v>115</v>
      </c>
      <c r="C8" s="27" t="s">
        <v>116</v>
      </c>
      <c r="D8" s="28">
        <v>14</v>
      </c>
      <c r="E8" s="29">
        <f>Inversion!$H$8</f>
        <v>34500</v>
      </c>
    </row>
    <row r="10" spans="1:5" x14ac:dyDescent="0.25">
      <c r="A10" s="2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Normal="100" workbookViewId="0"/>
  </sheetViews>
  <sheetFormatPr baseColWidth="10" defaultColWidth="8.7109375" defaultRowHeight="15" x14ac:dyDescent="0.25"/>
  <cols>
    <col min="1" max="1" width="38" customWidth="1"/>
    <col min="2" max="6" width="14" customWidth="1"/>
    <col min="7" max="7" width="12" customWidth="1"/>
  </cols>
  <sheetData>
    <row r="1" spans="1:7" ht="16.5" x14ac:dyDescent="0.25">
      <c r="A1" s="1" t="s">
        <v>118</v>
      </c>
    </row>
    <row r="2" spans="1:7" x14ac:dyDescent="0.25">
      <c r="A2" s="2" t="s">
        <v>119</v>
      </c>
    </row>
    <row r="4" spans="1:7" x14ac:dyDescent="0.2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126</v>
      </c>
    </row>
    <row r="5" spans="1:7" x14ac:dyDescent="0.25">
      <c r="A5" s="4" t="s">
        <v>57</v>
      </c>
      <c r="B5" s="19">
        <f>'Lineas por Escenario'!G5+'Lineas por Escenario'!G7+'Lineas por Escenario'!G9+'Lineas por Escenario'!G11+'Lineas por Escenario'!G13*(1-Supuestos!$B$14)+'Lineas por Escenario'!G15*(1-Supuestos!$B$14)+'Lineas por Escenario'!G18+'Lineas por Escenario'!G20+'Lineas por Escenario'!G25+'Lineas por Escenario'!G27</f>
        <v>1473.2</v>
      </c>
      <c r="C5" s="19">
        <f>'Lineas por Escenario'!I5+'Lineas por Escenario'!I7+'Lineas por Escenario'!I9+'Lineas por Escenario'!I11+'Lineas por Escenario'!I13*(1-Supuestos!$B$14)+'Lineas por Escenario'!I15*(1-Supuestos!$B$14)+'Lineas por Escenario'!I18+'Lineas por Escenario'!I20+'Lineas por Escenario'!I25+'Lineas por Escenario'!I27</f>
        <v>1528.4</v>
      </c>
      <c r="D5" s="19">
        <f>'Lineas por Escenario'!K5+'Lineas por Escenario'!K7+'Lineas por Escenario'!K9+'Lineas por Escenario'!K11+'Lineas por Escenario'!K13*(1-Supuestos!$B$14)+'Lineas por Escenario'!K15*(1-Supuestos!$B$14)+'Lineas por Escenario'!K18+'Lineas por Escenario'!K20+'Lineas por Escenario'!K25+'Lineas por Escenario'!K27</f>
        <v>1543.6000000000001</v>
      </c>
      <c r="E5" s="19">
        <f>'Lineas por Escenario'!M5+'Lineas por Escenario'!M7+'Lineas por Escenario'!M9+'Lineas por Escenario'!M11+'Lineas por Escenario'!M13+'Lineas por Escenario'!M15+'Lineas por Escenario'!M18+'Lineas por Escenario'!M20+'Lineas por Escenario'!M25+'Lineas por Escenario'!M27</f>
        <v>1582.4</v>
      </c>
      <c r="F5" s="19">
        <f>'Lineas por Escenario'!O5+'Lineas por Escenario'!O7+'Lineas por Escenario'!O9+'Lineas por Escenario'!O11+'Lineas por Escenario'!O13+'Lineas por Escenario'!O15+'Lineas por Escenario'!O18+'Lineas por Escenario'!O20+'Lineas por Escenario'!O25+'Lineas por Escenario'!O27</f>
        <v>2001.44</v>
      </c>
      <c r="G5" s="6">
        <f>Supuestos!$B$21</f>
        <v>7</v>
      </c>
    </row>
    <row r="6" spans="1:7" x14ac:dyDescent="0.25">
      <c r="A6" s="4" t="s">
        <v>127</v>
      </c>
      <c r="B6" s="19">
        <f>'Lineas por Escenario'!G6+'Lineas por Escenario'!G10+'Lineas por Escenario'!G14*(1-Supuestos!$B$14)+'Lineas por Escenario'!G19+'Lineas por Escenario'!G26</f>
        <v>764.4</v>
      </c>
      <c r="C6" s="19">
        <f>'Lineas por Escenario'!I6+'Lineas por Escenario'!I10+'Lineas por Escenario'!I14*(1-Supuestos!$B$14)+'Lineas por Escenario'!I19+'Lineas por Escenario'!I26</f>
        <v>764.4</v>
      </c>
      <c r="D6" s="19">
        <f>'Lineas por Escenario'!K6+'Lineas por Escenario'!K10+'Lineas por Escenario'!K14*(1-Supuestos!$B$14)+'Lineas por Escenario'!K19+'Lineas por Escenario'!K26</f>
        <v>764.4</v>
      </c>
      <c r="E6" s="19">
        <f>'Lineas por Escenario'!M6+'Lineas por Escenario'!M10+'Lineas por Escenario'!M14+'Lineas por Escenario'!M19+'Lineas por Escenario'!M26</f>
        <v>784</v>
      </c>
      <c r="F6" s="19">
        <f>'Lineas por Escenario'!O6+'Lineas por Escenario'!O10+'Lineas por Escenario'!O14+'Lineas por Escenario'!O19+'Lineas por Escenario'!O26</f>
        <v>995.68000000000006</v>
      </c>
      <c r="G6" s="6">
        <f>Supuestos!$B$22</f>
        <v>1</v>
      </c>
    </row>
    <row r="7" spans="1:7" x14ac:dyDescent="0.25">
      <c r="A7" s="4" t="s">
        <v>128</v>
      </c>
      <c r="B7" s="19">
        <f>'Lineas por Escenario'!G8+'Lineas por Escenario'!G12+'Lineas por Escenario'!G16*(1-Supuestos!$B$14)+'Lineas por Escenario'!G17*(1-Supuestos!$B$14)+'Lineas por Escenario'!G21+'Lineas por Escenario'!G22+'Lineas por Escenario'!G23+'Lineas por Escenario'!G24+'Lineas por Escenario'!G28+'Lineas por Escenario'!G29</f>
        <v>348.45</v>
      </c>
      <c r="C7" s="19">
        <f>'Lineas por Escenario'!I8+'Lineas por Escenario'!I12+'Lineas por Escenario'!I16*(1-Supuestos!$B$14)+'Lineas por Escenario'!I17*(1-Supuestos!$B$14)+'Lineas por Escenario'!I21+'Lineas por Escenario'!I22+'Lineas por Escenario'!I23+'Lineas por Escenario'!I24+'Lineas por Escenario'!I28+'Lineas por Escenario'!I29</f>
        <v>606.37200000000007</v>
      </c>
      <c r="D7" s="19">
        <f>'Lineas por Escenario'!K8+'Lineas por Escenario'!K12+'Lineas por Escenario'!K16*(1-Supuestos!$B$14)+'Lineas por Escenario'!K17*(1-Supuestos!$B$14)+'Lineas por Escenario'!K21+'Lineas por Escenario'!K22+'Lineas por Escenario'!K23+'Lineas por Escenario'!K24+'Lineas por Escenario'!K28+'Lineas por Escenario'!K29</f>
        <v>830.452</v>
      </c>
      <c r="E7" s="19">
        <f>'Lineas por Escenario'!M8+'Lineas por Escenario'!M12+'Lineas por Escenario'!M16+'Lineas por Escenario'!M17+'Lineas por Escenario'!M21+'Lineas por Escenario'!M22+'Lineas por Escenario'!M23+'Lineas por Escenario'!M24+'Lineas por Escenario'!M28+'Lineas por Escenario'!M29</f>
        <v>852.16000000000008</v>
      </c>
      <c r="F7" s="19">
        <f>'Lineas por Escenario'!O8+'Lineas por Escenario'!O12+'Lineas por Escenario'!O16+'Lineas por Escenario'!O17+'Lineas por Escenario'!O21+'Lineas por Escenario'!O22+'Lineas por Escenario'!O23+'Lineas por Escenario'!O24+'Lineas por Escenario'!O28+'Lineas por Escenario'!O29</f>
        <v>1069.2400000000002</v>
      </c>
      <c r="G7" s="6">
        <f>Supuestos!$B$23</f>
        <v>1</v>
      </c>
    </row>
    <row r="8" spans="1:7" x14ac:dyDescent="0.25">
      <c r="A8" s="10" t="s">
        <v>129</v>
      </c>
      <c r="B8" s="25">
        <f>SUM(B5:B7)</f>
        <v>2586.0499999999997</v>
      </c>
      <c r="C8" s="25">
        <f>SUM(C5:C7)</f>
        <v>2899.1720000000005</v>
      </c>
      <c r="D8" s="25">
        <f>SUM(D5:D7)</f>
        <v>3138.4520000000002</v>
      </c>
      <c r="E8" s="25">
        <f>SUM(E5:E7)</f>
        <v>3218.5600000000004</v>
      </c>
      <c r="F8" s="25">
        <f>SUM(F5:F7)</f>
        <v>4066.36</v>
      </c>
    </row>
    <row r="10" spans="1:7" ht="16.5" x14ac:dyDescent="0.25">
      <c r="A10" s="1" t="s">
        <v>130</v>
      </c>
    </row>
    <row r="11" spans="1:7" x14ac:dyDescent="0.25">
      <c r="A11" s="3" t="s">
        <v>131</v>
      </c>
      <c r="B11" s="3" t="s">
        <v>121</v>
      </c>
      <c r="C11" s="3" t="s">
        <v>122</v>
      </c>
      <c r="D11" s="3" t="s">
        <v>123</v>
      </c>
      <c r="E11" s="3" t="s">
        <v>124</v>
      </c>
      <c r="F11" s="3" t="s">
        <v>125</v>
      </c>
      <c r="G11" s="3"/>
    </row>
    <row r="12" spans="1:7" x14ac:dyDescent="0.25">
      <c r="A12" s="10" t="s">
        <v>132</v>
      </c>
      <c r="B12" s="30">
        <f>B8*Supuestos!$B$5</f>
        <v>51720.999999999993</v>
      </c>
      <c r="C12" s="30">
        <f>C8*Supuestos!$B$5</f>
        <v>57983.44000000001</v>
      </c>
      <c r="D12" s="30">
        <f>D8*Supuestos!$B$5</f>
        <v>62769.040000000008</v>
      </c>
      <c r="E12" s="30">
        <f>E8*Supuestos!$B$5</f>
        <v>64371.200000000012</v>
      </c>
      <c r="F12" s="30">
        <f>F8*Supuestos!$B$5</f>
        <v>81327.199999999997</v>
      </c>
    </row>
    <row r="13" spans="1:7" x14ac:dyDescent="0.25">
      <c r="A13" s="10" t="s">
        <v>133</v>
      </c>
      <c r="B13" s="30">
        <f>B12*(1-Supuestos!$B$8)</f>
        <v>48741.870399999993</v>
      </c>
      <c r="C13" s="30">
        <f>C12*(1-Supuestos!$B$9)</f>
        <v>55200.234880000004</v>
      </c>
      <c r="D13" s="30">
        <f>D12*(1-Supuestos!$B$10)</f>
        <v>60258.278400000003</v>
      </c>
      <c r="E13" s="30">
        <f>E12*(1-Supuestos!$B$11)</f>
        <v>61796.352000000006</v>
      </c>
      <c r="F13" s="30">
        <f>F12*(1-Supuestos!$B$12)</f>
        <v>78480.747999999992</v>
      </c>
    </row>
    <row r="14" spans="1:7" x14ac:dyDescent="0.25">
      <c r="A14" s="10" t="s">
        <v>134</v>
      </c>
      <c r="B14" s="30">
        <f>B12/Supuestos!$B$6</f>
        <v>5811.3483146067401</v>
      </c>
      <c r="C14" s="30">
        <f>C12/Supuestos!$B$6</f>
        <v>6514.9932584269673</v>
      </c>
      <c r="D14" s="30">
        <f>D12/Supuestos!$B$6</f>
        <v>7052.701123595506</v>
      </c>
      <c r="E14" s="30">
        <f>E12/Supuestos!$B$6</f>
        <v>7232.7191011235964</v>
      </c>
      <c r="F14" s="30">
        <f>F12/Supuestos!$B$6</f>
        <v>9137.8876404494367</v>
      </c>
    </row>
    <row r="15" spans="1:7" x14ac:dyDescent="0.25">
      <c r="A15" s="10" t="s">
        <v>135</v>
      </c>
      <c r="B15" s="31">
        <f>B13/Supuestos!$B$6</f>
        <v>5476.6146516853923</v>
      </c>
      <c r="C15" s="31">
        <f>C13/Supuestos!$B$6</f>
        <v>6202.2735820224725</v>
      </c>
      <c r="D15" s="31">
        <f>D13/Supuestos!$B$6</f>
        <v>6770.5930786516856</v>
      </c>
      <c r="E15" s="31">
        <f>E13/Supuestos!$B$6</f>
        <v>6943.4103370786524</v>
      </c>
      <c r="F15" s="31">
        <f>F13/Supuestos!$B$6</f>
        <v>8818.0615730337067</v>
      </c>
    </row>
    <row r="17" spans="1:7" ht="16.5" x14ac:dyDescent="0.25">
      <c r="A17" s="1" t="s">
        <v>136</v>
      </c>
    </row>
    <row r="18" spans="1:7" x14ac:dyDescent="0.25">
      <c r="A18" s="2" t="s">
        <v>137</v>
      </c>
    </row>
    <row r="19" spans="1:7" x14ac:dyDescent="0.25">
      <c r="A19" s="3" t="s">
        <v>131</v>
      </c>
      <c r="B19" s="3" t="s">
        <v>121</v>
      </c>
      <c r="C19" s="3" t="s">
        <v>122</v>
      </c>
      <c r="D19" s="3" t="s">
        <v>123</v>
      </c>
      <c r="E19" s="3" t="s">
        <v>124</v>
      </c>
      <c r="F19" s="3" t="s">
        <v>125</v>
      </c>
      <c r="G19" s="3"/>
    </row>
    <row r="20" spans="1:7" x14ac:dyDescent="0.25">
      <c r="A20" s="10" t="s">
        <v>138</v>
      </c>
      <c r="B20" s="19">
        <f>B5/$G$5</f>
        <v>210.45714285714286</v>
      </c>
      <c r="C20" s="19">
        <f>C5/$G$5</f>
        <v>218.34285714285716</v>
      </c>
      <c r="D20" s="19">
        <f>D5/$G$5</f>
        <v>220.51428571428573</v>
      </c>
      <c r="E20" s="19">
        <f>E5/$G$5</f>
        <v>226.05714285714288</v>
      </c>
      <c r="F20" s="19">
        <f>F5/$G$5</f>
        <v>285.92</v>
      </c>
    </row>
    <row r="21" spans="1:7" x14ac:dyDescent="0.25">
      <c r="A21" s="10" t="s">
        <v>139</v>
      </c>
      <c r="B21" s="19">
        <f>B6/$G$6</f>
        <v>764.4</v>
      </c>
      <c r="C21" s="19">
        <f>C6/$G$6</f>
        <v>764.4</v>
      </c>
      <c r="D21" s="19">
        <f>D6/$G$6</f>
        <v>764.4</v>
      </c>
      <c r="E21" s="19">
        <f>E6/$G$6</f>
        <v>784</v>
      </c>
      <c r="F21" s="19">
        <f>F6/$G$6</f>
        <v>995.68000000000006</v>
      </c>
    </row>
    <row r="22" spans="1:7" x14ac:dyDescent="0.25">
      <c r="A22" s="10" t="s">
        <v>140</v>
      </c>
      <c r="B22" s="19">
        <f>B7/$G$7</f>
        <v>348.45</v>
      </c>
      <c r="C22" s="19">
        <f>C7/$G$7</f>
        <v>606.37200000000007</v>
      </c>
      <c r="D22" s="19">
        <f>D7/$G$7</f>
        <v>830.452</v>
      </c>
      <c r="E22" s="19">
        <f>E7/$G$7</f>
        <v>852.16000000000008</v>
      </c>
      <c r="F22" s="19">
        <f>F7/$G$7</f>
        <v>1069.2400000000002</v>
      </c>
    </row>
    <row r="23" spans="1:7" x14ac:dyDescent="0.25">
      <c r="A23" s="10" t="s">
        <v>141</v>
      </c>
      <c r="B23" s="19">
        <f>MIN(B20:B22)</f>
        <v>210.45714285714286</v>
      </c>
      <c r="C23" s="19">
        <f>MIN(C20:C22)</f>
        <v>218.34285714285716</v>
      </c>
      <c r="D23" s="19">
        <f>MIN(D20:D22)</f>
        <v>220.51428571428573</v>
      </c>
      <c r="E23" s="19">
        <f>MIN(E20:E22)</f>
        <v>226.05714285714288</v>
      </c>
      <c r="F23" s="19">
        <f>MIN(F20:F22)</f>
        <v>285.92</v>
      </c>
    </row>
    <row r="24" spans="1:7" x14ac:dyDescent="0.25">
      <c r="A24" s="10" t="s">
        <v>142</v>
      </c>
      <c r="B24" s="32" t="str">
        <f>INDEX({"Overlock";"Collaret Cuello";"Collaret Ruedo"},MATCH(B23,B20:B22,0))</f>
        <v>Overlock</v>
      </c>
      <c r="C24" s="32" t="str">
        <f>INDEX({"Overlock";"Collaret Cuello";"Collaret Ruedo"},MATCH(C23,C20:C22,0))</f>
        <v>Overlock</v>
      </c>
      <c r="D24" s="32" t="str">
        <f>INDEX({"Overlock";"Collaret Cuello";"Collaret Ruedo"},MATCH(D23,D20:D22,0))</f>
        <v>Overlock</v>
      </c>
      <c r="E24" s="32" t="str">
        <f>INDEX({"Overlock";"Collaret Cuello";"Collaret Ruedo"},MATCH(E23,E20:E22,0))</f>
        <v>Overlock</v>
      </c>
      <c r="F24" s="32" t="str">
        <f>INDEX({"Overlock";"Collaret Cuello";"Collaret Ruedo"},MATCH(F23,F20:F22,0))</f>
        <v>Overlock</v>
      </c>
    </row>
    <row r="25" spans="1:7" x14ac:dyDescent="0.25">
      <c r="A25" s="10" t="s">
        <v>134</v>
      </c>
      <c r="B25" s="30">
        <f>B23*Supuestos!$B$5</f>
        <v>4209.1428571428569</v>
      </c>
      <c r="C25" s="30">
        <f>C23*Supuestos!$B$5</f>
        <v>4366.8571428571431</v>
      </c>
      <c r="D25" s="30">
        <f>D23*Supuestos!$B$5</f>
        <v>4410.2857142857147</v>
      </c>
      <c r="E25" s="30">
        <f>E23*Supuestos!$B$5</f>
        <v>4521.1428571428578</v>
      </c>
      <c r="F25" s="30">
        <f>F23*Supuestos!$B$5</f>
        <v>5718.4000000000005</v>
      </c>
    </row>
    <row r="26" spans="1:7" x14ac:dyDescent="0.25">
      <c r="A26" s="10" t="s">
        <v>135</v>
      </c>
      <c r="B26" s="31">
        <f>B23*Supuestos!$B$5*(1-Supuestos!$B$8)</f>
        <v>3966.6962285714285</v>
      </c>
      <c r="C26" s="31">
        <f>C23*Supuestos!$B$5*(1-Supuestos!$B$9)</f>
        <v>4157.2480000000005</v>
      </c>
      <c r="D26" s="31">
        <f>D23*Supuestos!$B$5*(1-Supuestos!$B$10)</f>
        <v>4233.8742857142861</v>
      </c>
      <c r="E26" s="31">
        <f>E23*Supuestos!$B$5*(1-Supuestos!$B$11)</f>
        <v>4340.2971428571436</v>
      </c>
      <c r="F26" s="31">
        <f>F23*Supuestos!$B$5*(1-Supuestos!$B$12)</f>
        <v>5518.2560000000003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2" width="17" customWidth="1"/>
    <col min="3" max="7" width="14" customWidth="1"/>
  </cols>
  <sheetData>
    <row r="1" spans="1:7" ht="16.5" x14ac:dyDescent="0.25">
      <c r="A1" s="1" t="s">
        <v>143</v>
      </c>
    </row>
    <row r="2" spans="1:7" x14ac:dyDescent="0.25">
      <c r="A2" s="2" t="s">
        <v>144</v>
      </c>
    </row>
    <row r="4" spans="1:7" ht="25.5" x14ac:dyDescent="0.25">
      <c r="A4" s="3" t="s">
        <v>145</v>
      </c>
      <c r="B4" s="3" t="s">
        <v>146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</row>
    <row r="5" spans="1:7" x14ac:dyDescent="0.25">
      <c r="A5" s="4" t="s">
        <v>147</v>
      </c>
      <c r="B5" s="30">
        <f>Supuestos!$B$15*(1+Supuestos!$B$7)</f>
        <v>4559.5</v>
      </c>
      <c r="C5" s="33">
        <f>Capacidad!B$26-$B5</f>
        <v>-592.80377142857151</v>
      </c>
      <c r="D5" s="33">
        <f>Capacidad!C$26-$B5</f>
        <v>-402.2519999999995</v>
      </c>
      <c r="E5" s="33">
        <f>Capacidad!D$26-$B5</f>
        <v>-325.62571428571391</v>
      </c>
      <c r="F5" s="33">
        <f>Capacidad!E$26-$B5</f>
        <v>-219.20285714285637</v>
      </c>
      <c r="G5" s="33">
        <f>Capacidad!F$26-$B5</f>
        <v>958.75600000000031</v>
      </c>
    </row>
    <row r="6" spans="1:7" x14ac:dyDescent="0.25">
      <c r="A6" s="4" t="s">
        <v>148</v>
      </c>
      <c r="B6" s="30">
        <f>Supuestos!$B$16*(1+Supuestos!$B$7)</f>
        <v>10377.400000000001</v>
      </c>
      <c r="C6" s="33">
        <f>Capacidad!B$26-$B6</f>
        <v>-6410.7037714285725</v>
      </c>
      <c r="D6" s="33">
        <f>Capacidad!C$26-$B6</f>
        <v>-6220.152000000001</v>
      </c>
      <c r="E6" s="33">
        <f>Capacidad!D$26-$B6</f>
        <v>-6143.5257142857154</v>
      </c>
      <c r="F6" s="33">
        <f>Capacidad!E$26-$B6</f>
        <v>-6037.1028571428578</v>
      </c>
      <c r="G6" s="33">
        <f>Capacidad!F$26-$B6</f>
        <v>-4859.1440000000011</v>
      </c>
    </row>
    <row r="7" spans="1:7" x14ac:dyDescent="0.25">
      <c r="A7" s="4" t="s">
        <v>149</v>
      </c>
      <c r="B7" s="30">
        <f>(Supuestos!$B$15*2+Supuestos!$B$16)*(1+Supuestos!$B$7)/3</f>
        <v>6498.8</v>
      </c>
      <c r="C7" s="33">
        <f>Capacidad!B$26-$B7</f>
        <v>-2532.1037714285717</v>
      </c>
      <c r="D7" s="33">
        <f>Capacidad!C$26-$B7</f>
        <v>-2341.5519999999997</v>
      </c>
      <c r="E7" s="33">
        <f>Capacidad!D$26-$B7</f>
        <v>-2264.9257142857141</v>
      </c>
      <c r="F7" s="33">
        <f>Capacidad!E$26-$B7</f>
        <v>-2158.5028571428566</v>
      </c>
      <c r="G7" s="33">
        <f>Capacidad!F$26-$B7</f>
        <v>-980.54399999999987</v>
      </c>
    </row>
    <row r="8" spans="1:7" x14ac:dyDescent="0.25">
      <c r="A8" s="4" t="s">
        <v>150</v>
      </c>
      <c r="B8" s="30">
        <f>((Supuestos!$B$15*2+Supuestos!$B$16)*(1+Supuestos!$B$19/Supuestos!$B$18)+Supuestos!$B$17*Supuestos!$B$19)*(1+Supuestos!$B$7)/3</f>
        <v>9511.15</v>
      </c>
      <c r="C8" s="33">
        <f>Capacidad!B$26-$B8</f>
        <v>-5544.4537714285707</v>
      </c>
      <c r="D8" s="33">
        <f>Capacidad!C$26-$B8</f>
        <v>-5353.9019999999991</v>
      </c>
      <c r="E8" s="33">
        <f>Capacidad!D$26-$B8</f>
        <v>-5277.2757142857135</v>
      </c>
      <c r="F8" s="33">
        <f>Capacidad!E$26-$B8</f>
        <v>-5170.852857142856</v>
      </c>
      <c r="G8" s="33">
        <f>Capacidad!F$26-$B8</f>
        <v>-3992.8939999999993</v>
      </c>
    </row>
    <row r="9" spans="1:7" x14ac:dyDescent="0.25">
      <c r="A9" s="4" t="s">
        <v>151</v>
      </c>
      <c r="B9" s="30">
        <f>Supuestos!$B$15*((Supuestos!$B$18+Supuestos!$B$19+Supuestos!$B$20)/Supuestos!$B$18)*(1+Supuestos!$B$7)</f>
        <v>6839.2500000000009</v>
      </c>
      <c r="C9" s="33">
        <f>Capacidad!B$26-$B9</f>
        <v>-2872.5537714285724</v>
      </c>
      <c r="D9" s="33">
        <f>Capacidad!C$26-$B9</f>
        <v>-2682.0020000000004</v>
      </c>
      <c r="E9" s="33">
        <f>Capacidad!D$26-$B9</f>
        <v>-2605.3757142857148</v>
      </c>
      <c r="F9" s="33">
        <f>Capacidad!E$26-$B9</f>
        <v>-2498.9528571428573</v>
      </c>
      <c r="G9" s="33">
        <f>Capacidad!F$26-$B9</f>
        <v>-1320.9940000000006</v>
      </c>
    </row>
    <row r="10" spans="1:7" x14ac:dyDescent="0.25">
      <c r="A10" s="4" t="s">
        <v>152</v>
      </c>
      <c r="B10" s="30">
        <f>((Supuestos!$B$15*2+Supuestos!$B$16)*((Supuestos!$B$18+Supuestos!$B$19+Supuestos!$B$20)/Supuestos!$B$18)+Supuestos!$B$17*Supuestos!$B$20)*(1+Supuestos!$B$7)/3</f>
        <v>16348.200000000003</v>
      </c>
      <c r="C10" s="33">
        <f>Capacidad!B$26-$B10</f>
        <v>-12381.503771428574</v>
      </c>
      <c r="D10" s="33">
        <f>Capacidad!C$26-$B10</f>
        <v>-12190.952000000001</v>
      </c>
      <c r="E10" s="33">
        <f>Capacidad!D$26-$B10</f>
        <v>-12114.325714285716</v>
      </c>
      <c r="F10" s="33">
        <f>Capacidad!E$26-$B10</f>
        <v>-12007.902857142859</v>
      </c>
      <c r="G10" s="33">
        <f>Capacidad!F$26-$B10</f>
        <v>-10829.944000000003</v>
      </c>
    </row>
    <row r="12" spans="1:7" x14ac:dyDescent="0.25">
      <c r="A12" s="10" t="s">
        <v>153</v>
      </c>
      <c r="C12" s="31">
        <f>Capacidad!B26</f>
        <v>3966.6962285714285</v>
      </c>
      <c r="D12" s="31">
        <f>Capacidad!C26</f>
        <v>4157.2480000000005</v>
      </c>
      <c r="E12" s="31">
        <f>Capacidad!D26</f>
        <v>4233.8742857142861</v>
      </c>
      <c r="F12" s="31">
        <f>Capacidad!E26</f>
        <v>4340.2971428571436</v>
      </c>
      <c r="G12" s="31">
        <f>Capacidad!F26</f>
        <v>5518.2560000000003</v>
      </c>
    </row>
    <row r="14" spans="1:7" x14ac:dyDescent="0.25">
      <c r="A14" s="2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Normal="100" workbookViewId="0"/>
  </sheetViews>
  <sheetFormatPr baseColWidth="10" defaultColWidth="8.7109375" defaultRowHeight="15" x14ac:dyDescent="0.25"/>
  <cols>
    <col min="1" max="1" width="13" customWidth="1"/>
    <col min="2" max="4" width="15" customWidth="1"/>
    <col min="5" max="7" width="14" customWidth="1"/>
    <col min="8" max="8" width="15" customWidth="1"/>
  </cols>
  <sheetData>
    <row r="1" spans="1:8" ht="16.5" x14ac:dyDescent="0.25">
      <c r="A1" s="1" t="s">
        <v>155</v>
      </c>
    </row>
    <row r="2" spans="1:8" x14ac:dyDescent="0.25">
      <c r="A2" s="2" t="s">
        <v>156</v>
      </c>
    </row>
    <row r="3" spans="1:8" x14ac:dyDescent="0.25">
      <c r="A3" s="10" t="s">
        <v>157</v>
      </c>
      <c r="B3" s="34">
        <v>3000</v>
      </c>
      <c r="C3" s="34">
        <v>1900</v>
      </c>
      <c r="D3" s="34">
        <v>1400</v>
      </c>
    </row>
    <row r="4" spans="1:8" ht="25.5" x14ac:dyDescent="0.25">
      <c r="A4" s="3" t="s">
        <v>100</v>
      </c>
      <c r="B4" s="3" t="s">
        <v>158</v>
      </c>
      <c r="C4" s="3" t="s">
        <v>159</v>
      </c>
      <c r="D4" s="3" t="s">
        <v>160</v>
      </c>
      <c r="E4" s="3" t="s">
        <v>161</v>
      </c>
      <c r="F4" s="3" t="s">
        <v>162</v>
      </c>
      <c r="G4" s="3" t="s">
        <v>163</v>
      </c>
      <c r="H4" s="3" t="s">
        <v>164</v>
      </c>
    </row>
    <row r="5" spans="1:8" x14ac:dyDescent="0.25">
      <c r="A5" s="4" t="s">
        <v>122</v>
      </c>
      <c r="B5" s="35">
        <v>3</v>
      </c>
      <c r="C5" s="35">
        <v>0</v>
      </c>
      <c r="D5" s="35">
        <v>1</v>
      </c>
      <c r="E5" s="36">
        <f t="shared" ref="E5:G8" si="0">B5*B$3</f>
        <v>9000</v>
      </c>
      <c r="F5" s="36">
        <f t="shared" si="0"/>
        <v>0</v>
      </c>
      <c r="G5" s="36">
        <f t="shared" si="0"/>
        <v>1400</v>
      </c>
      <c r="H5" s="37">
        <f>SUM(E5:G5)</f>
        <v>10400</v>
      </c>
    </row>
    <row r="6" spans="1:8" x14ac:dyDescent="0.25">
      <c r="A6" s="4" t="s">
        <v>123</v>
      </c>
      <c r="B6" s="35">
        <v>6</v>
      </c>
      <c r="C6" s="35">
        <v>0</v>
      </c>
      <c r="D6" s="35">
        <v>2</v>
      </c>
      <c r="E6" s="36">
        <f t="shared" si="0"/>
        <v>18000</v>
      </c>
      <c r="F6" s="36">
        <f t="shared" si="0"/>
        <v>0</v>
      </c>
      <c r="G6" s="36">
        <f t="shared" si="0"/>
        <v>2800</v>
      </c>
      <c r="H6" s="37">
        <f>SUM(E6:G6)</f>
        <v>20800</v>
      </c>
    </row>
    <row r="7" spans="1:8" x14ac:dyDescent="0.25">
      <c r="A7" s="4" t="s">
        <v>124</v>
      </c>
      <c r="B7" s="35">
        <v>7</v>
      </c>
      <c r="C7" s="35">
        <v>0</v>
      </c>
      <c r="D7" s="35">
        <v>2</v>
      </c>
      <c r="E7" s="36">
        <f t="shared" si="0"/>
        <v>21000</v>
      </c>
      <c r="F7" s="36">
        <f t="shared" si="0"/>
        <v>0</v>
      </c>
      <c r="G7" s="36">
        <f t="shared" si="0"/>
        <v>2800</v>
      </c>
      <c r="H7" s="37">
        <f>SUM(E7:G7)</f>
        <v>23800</v>
      </c>
    </row>
    <row r="8" spans="1:8" x14ac:dyDescent="0.25">
      <c r="A8" s="4" t="s">
        <v>125</v>
      </c>
      <c r="B8" s="35">
        <v>9</v>
      </c>
      <c r="C8" s="35">
        <v>1</v>
      </c>
      <c r="D8" s="35">
        <v>4</v>
      </c>
      <c r="E8" s="36">
        <f t="shared" si="0"/>
        <v>27000</v>
      </c>
      <c r="F8" s="36">
        <f t="shared" si="0"/>
        <v>1900</v>
      </c>
      <c r="G8" s="36">
        <f t="shared" si="0"/>
        <v>5600</v>
      </c>
      <c r="H8" s="37">
        <f>SUM(E8:G8)</f>
        <v>34500</v>
      </c>
    </row>
    <row r="10" spans="1:8" x14ac:dyDescent="0.25">
      <c r="A10" s="10" t="s">
        <v>165</v>
      </c>
    </row>
    <row r="11" spans="1:8" x14ac:dyDescent="0.25">
      <c r="A11" s="6" t="s">
        <v>166</v>
      </c>
      <c r="B11" s="36">
        <f>H5</f>
        <v>10400</v>
      </c>
    </row>
    <row r="12" spans="1:8" x14ac:dyDescent="0.25">
      <c r="A12" s="6" t="s">
        <v>167</v>
      </c>
      <c r="B12" s="36">
        <f>H6-H5</f>
        <v>10400</v>
      </c>
    </row>
    <row r="13" spans="1:8" x14ac:dyDescent="0.25">
      <c r="A13" s="6" t="s">
        <v>168</v>
      </c>
      <c r="B13" s="36">
        <f>H7-H6</f>
        <v>3000</v>
      </c>
    </row>
    <row r="14" spans="1:8" x14ac:dyDescent="0.25">
      <c r="A14" s="6" t="s">
        <v>169</v>
      </c>
      <c r="B14" s="36">
        <f>H8-H7</f>
        <v>10700</v>
      </c>
    </row>
    <row r="16" spans="1:8" x14ac:dyDescent="0.25">
      <c r="A16" s="2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Mediciones</vt:lpstr>
      <vt:lpstr>Lineas por Escenario</vt:lpstr>
      <vt:lpstr>Escenarios</vt:lpstr>
      <vt:lpstr>Capacidad</vt:lpstr>
      <vt:lpstr>Demanda y Deficit</vt:lpstr>
      <vt:lpstr>Inversion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ANALISTA TERMINADO</cp:lastModifiedBy>
  <cp:revision>0</cp:revision>
  <dcterms:created xsi:type="dcterms:W3CDTF">2026-09-04T15:44:39Z</dcterms:created>
  <dcterms:modified xsi:type="dcterms:W3CDTF">2026-09-04T15:59:44Z</dcterms:modified>
  <dc:language>en-US</dc:language>
</cp:coreProperties>
</file>