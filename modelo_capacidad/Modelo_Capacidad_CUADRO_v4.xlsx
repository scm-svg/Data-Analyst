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30" tabRatio="500" firstSheet="0" activeTab="2" autoFilterDateGrouping="1"/>
  </bookViews>
  <sheets>
    <sheet name="Supuestos" sheetId="1" state="visible" r:id="rId1"/>
    <sheet name="Mediciones" sheetId="2" state="hidden" r:id="rId2"/>
    <sheet name="Lineas por Escenario" sheetId="3" state="visible" r:id="rId3"/>
    <sheet name="Escenarios" sheetId="4" state="visible" r:id="rId4"/>
    <sheet name="Capacidad" sheetId="5" state="visible" r:id="rId5"/>
    <sheet name="Demanda y Deficit" sheetId="6" state="visible" r:id="rId6"/>
    <sheet name="Inversion" sheetId="7" state="visible" r:id="rId7"/>
    <sheet name="Cambio v3 a v4" sheetId="8" state="visible" r:id="rId8"/>
  </sheets>
  <definedNames/>
  <calcPr calcId="162913" fullCalcOnLoad="1" iterateDelta="0.0001"/>
</workbook>
</file>

<file path=xl/styles.xml><?xml version="1.0" encoding="utf-8"?>
<styleSheet xmlns="http://schemas.openxmlformats.org/spreadsheetml/2006/main">
  <numFmts count="4">
    <numFmt numFmtId="164" formatCode="#,##0.0"/>
    <numFmt numFmtId="165" formatCode="\$#,##0"/>
    <numFmt numFmtId="166" formatCode="#,##0;[Red]\(#,##0\)"/>
    <numFmt numFmtId="167" formatCode="$#,##0"/>
  </numFmts>
  <fonts count="11">
    <font>
      <name val="Calibri"/>
      <charset val="1"/>
      <family val="2"/>
      <color theme="1"/>
      <sz val="11"/>
    </font>
    <font>
      <name val="Arial"/>
      <charset val="1"/>
      <b val="1"/>
      <color rgb="FF1F3864"/>
      <sz val="13"/>
    </font>
    <font>
      <name val="Arial"/>
      <charset val="1"/>
      <i val="1"/>
      <color rgb="FF595959"/>
      <sz val="9"/>
    </font>
    <font>
      <name val="Arial"/>
      <charset val="1"/>
      <b val="1"/>
      <color rgb="FFFFFFFF"/>
      <sz val="10"/>
    </font>
    <font>
      <name val="Arial"/>
      <charset val="1"/>
      <b val="1"/>
      <sz val="10"/>
    </font>
    <font>
      <name val="Arial"/>
      <charset val="1"/>
      <color rgb="FF0000FF"/>
      <sz val="10"/>
    </font>
    <font>
      <name val="Arial"/>
      <charset val="1"/>
      <sz val="10"/>
    </font>
    <font>
      <name val="Arial"/>
      <charset val="1"/>
      <color rgb="FF404040"/>
      <sz val="9"/>
    </font>
    <font>
      <name val="Arial"/>
      <charset val="1"/>
      <i val="1"/>
      <color rgb="FFC00000"/>
      <sz val="9"/>
    </font>
    <font>
      <name val="Arial"/>
      <charset val="1"/>
      <b val="1"/>
      <color rgb="FF375623"/>
      <sz val="9"/>
    </font>
    <font>
      <name val="Arial"/>
      <charset val="1"/>
      <color rgb="FFA6A6A6"/>
      <sz val="9"/>
    </font>
  </fonts>
  <fills count="8">
    <fill>
      <patternFill/>
    </fill>
    <fill>
      <patternFill patternType="gray125"/>
    </fill>
    <fill>
      <patternFill patternType="solid">
        <fgColor rgb="FF1F3864"/>
        <bgColor rgb="FF404040"/>
      </patternFill>
    </fill>
    <fill>
      <patternFill patternType="solid">
        <fgColor rgb="FFFFFF00"/>
        <bgColor rgb="FFFFFF00"/>
      </patternFill>
    </fill>
    <fill>
      <patternFill patternType="solid">
        <fgColor rgb="FFFCE4D6"/>
        <bgColor rgb="FFE2EFDA"/>
      </patternFill>
    </fill>
    <fill>
      <patternFill patternType="solid">
        <fgColor rgb="FFF4F6FA"/>
        <bgColor rgb="FFFFFFFF"/>
      </patternFill>
    </fill>
    <fill>
      <patternFill patternType="solid">
        <fgColor rgb="FFE2EFDA"/>
        <bgColor rgb="FFF4F6FA"/>
      </patternFill>
    </fill>
    <fill>
      <patternFill patternType="solid">
        <fgColor rgb="FF2E5496"/>
        <b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pivotButton="0" quotePrefix="0" xfId="0"/>
    <xf numFmtId="0" fontId="5" fillId="3" borderId="1" pivotButton="0" quotePrefix="0" xfId="0"/>
    <xf numFmtId="0" fontId="6" fillId="0" borderId="1" pivotButton="0" quotePrefix="0" xfId="0"/>
    <xf numFmtId="0" fontId="7" fillId="0" borderId="1" applyAlignment="1" pivotButton="0" quotePrefix="0" xfId="0">
      <alignment vertical="top" wrapText="1"/>
    </xf>
    <xf numFmtId="10" fontId="5" fillId="3" borderId="1" pivotButton="0" quotePrefix="0" xfId="0"/>
    <xf numFmtId="0" fontId="7" fillId="4" borderId="1" applyAlignment="1" pivotButton="0" quotePrefix="0" xfId="0">
      <alignment vertical="top" wrapText="1"/>
    </xf>
    <xf numFmtId="0" fontId="4" fillId="0" borderId="0" pivotButton="0" quotePrefix="0" xfId="0"/>
    <xf numFmtId="0" fontId="6" fillId="0" borderId="0" pivotButton="0" quotePrefix="0" xfId="0"/>
    <xf numFmtId="0" fontId="8" fillId="0" borderId="0" pivotButton="0" quotePrefix="0" xfId="0"/>
    <xf numFmtId="0" fontId="6" fillId="0" borderId="1" applyAlignment="1" pivotButton="0" quotePrefix="0" xfId="0">
      <alignment horizontal="center"/>
    </xf>
    <xf numFmtId="164" fontId="5" fillId="0" borderId="1" pivotButton="0" quotePrefix="0" xfId="0"/>
    <xf numFmtId="164" fontId="5" fillId="4" borderId="1" pivotButton="0" quotePrefix="0" xfId="0"/>
    <xf numFmtId="0" fontId="6" fillId="4" borderId="1" applyAlignment="1" pivotButton="0" quotePrefix="0" xfId="0">
      <alignment horizontal="center"/>
    </xf>
    <xf numFmtId="164" fontId="4" fillId="5" borderId="0" pivotButton="0" quotePrefix="0" xfId="0"/>
    <xf numFmtId="3" fontId="5" fillId="0" borderId="1" pivotButton="0" quotePrefix="0" xfId="0"/>
    <xf numFmtId="164" fontId="0" fillId="0" borderId="1" pivotButton="0" quotePrefix="0" xfId="0"/>
    <xf numFmtId="0" fontId="9" fillId="6" borderId="1" applyAlignment="1" pivotButton="0" quotePrefix="0" xfId="0">
      <alignment horizontal="center"/>
    </xf>
    <xf numFmtId="164" fontId="0" fillId="6" borderId="1" pivotButton="0" quotePrefix="0" xfId="0"/>
    <xf numFmtId="164" fontId="0" fillId="4" borderId="1" pivotButton="0" quotePrefix="0" xfId="0"/>
    <xf numFmtId="0" fontId="10" fillId="0" borderId="1" applyAlignment="1" pivotButton="0" quotePrefix="0" xfId="0">
      <alignment horizontal="center"/>
    </xf>
    <xf numFmtId="0" fontId="3" fillId="7" borderId="0" applyAlignment="1" pivotButton="0" quotePrefix="0" xfId="0">
      <alignment horizontal="center" vertical="center" wrapText="1"/>
    </xf>
    <xf numFmtId="164" fontId="4" fillId="5" borderId="1" pivotButton="0" quotePrefix="0" xfId="0"/>
    <xf numFmtId="0" fontId="4" fillId="0" borderId="1"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horizontal="center" vertical="top"/>
    </xf>
    <xf numFmtId="165" fontId="4" fillId="0" borderId="1" applyAlignment="1" pivotButton="0" quotePrefix="0" xfId="0">
      <alignment vertical="top"/>
    </xf>
    <xf numFmtId="3" fontId="0" fillId="0" borderId="1" pivotButton="0" quotePrefix="0" xfId="0"/>
    <xf numFmtId="3" fontId="4" fillId="5" borderId="1" pivotButton="0" quotePrefix="0" xfId="0"/>
    <xf numFmtId="0" fontId="0" fillId="0" borderId="1" pivotButton="0" quotePrefix="0" xfId="0"/>
    <xf numFmtId="166" fontId="0" fillId="0" borderId="1" pivotButton="0" quotePrefix="0" xfId="0"/>
    <xf numFmtId="165" fontId="5" fillId="3" borderId="0" pivotButton="0" quotePrefix="0" xfId="0"/>
    <xf numFmtId="0" fontId="5" fillId="0" borderId="1" applyAlignment="1" pivotButton="0" quotePrefix="0" xfId="0">
      <alignment horizontal="center"/>
    </xf>
    <xf numFmtId="165" fontId="0" fillId="0" borderId="1" pivotButton="0" quotePrefix="0" xfId="0"/>
    <xf numFmtId="165" fontId="4" fillId="5" borderId="1" pivotButton="0" quotePrefix="0" xfId="0"/>
    <xf numFmtId="167" fontId="0" fillId="0" borderId="1" pivotButton="0" quotePrefix="0" xfId="0"/>
    <xf numFmtId="167" fontId="4" fillId="5"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6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A6A6A6"/>
      <rgbColor rgb="FF1F3864"/>
      <rgbColor rgb="FF339966"/>
      <rgbColor rgb="FF003300"/>
      <rgbColor rgb="FF375623"/>
      <rgbColor rgb="FF993300"/>
      <rgbColor rgb="FF993366"/>
      <rgbColor rgb="FF2E5496"/>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topLeftCell="A7" zoomScaleNormal="100" workbookViewId="0">
      <selection activeCell="B14" sqref="B14"/>
    </sheetView>
  </sheetViews>
  <sheetFormatPr baseColWidth="10" defaultColWidth="8.7109375" defaultRowHeight="15"/>
  <cols>
    <col width="46" customWidth="1" min="1" max="1"/>
    <col width="14" customWidth="1" min="2" max="3"/>
    <col width="80" customWidth="1" min="4" max="4"/>
  </cols>
  <sheetData>
    <row r="1" ht="16.5" customHeight="1">
      <c r="A1" s="1" t="inlineStr">
        <is>
          <t>Modelo de Capacidad — Taller CÚADRO (v4)</t>
        </is>
      </c>
    </row>
    <row r="2">
      <c r="A2" s="2" t="inlineStr">
        <is>
          <t>Base de medición: Operaciones_Por_Linea (2). Celdas AMARILLAS editables. v4: los 2 overlock de los escenarios B, C y D son DE APOYO (posición nueva en L1 y en L2), no reemplazo del overlock de Unión / Montaje.</t>
        </is>
      </c>
    </row>
    <row r="4">
      <c r="A4" s="3" t="inlineStr">
        <is>
          <t>Parámetro</t>
        </is>
      </c>
      <c r="B4" s="3" t="inlineStr">
        <is>
          <t>Valor</t>
        </is>
      </c>
      <c r="C4" s="3" t="inlineStr">
        <is>
          <t>Unidad</t>
        </is>
      </c>
      <c r="D4" s="3" t="inlineStr">
        <is>
          <t>Origen / nota</t>
        </is>
      </c>
    </row>
    <row r="5">
      <c r="A5" s="4" t="inlineStr">
        <is>
          <t>Días laborables por mes</t>
        </is>
      </c>
      <c r="B5" s="5" t="n">
        <v>20</v>
      </c>
      <c r="C5" s="6" t="inlineStr">
        <is>
          <t>días</t>
        </is>
      </c>
      <c r="D5" s="7" t="inlineStr">
        <is>
          <t>Convención del taller</t>
        </is>
      </c>
    </row>
    <row r="6">
      <c r="A6" s="4" t="inlineStr">
        <is>
          <t>Operaciones por pieza — Modelo 1</t>
        </is>
      </c>
      <c r="B6" s="5" t="n">
        <v>8.9</v>
      </c>
      <c r="C6" s="6" t="inlineStr">
        <is>
          <t>ops/pza</t>
        </is>
      </c>
      <c r="D6" s="7" t="inlineStr">
        <is>
          <t>Convención del propio archivo de medición: 2.940 ops ÷ 367,5 pzas = 8,00</t>
        </is>
      </c>
    </row>
    <row r="7">
      <c r="A7" s="4" t="inlineStr">
        <is>
          <t>Stock de seguridad</t>
        </is>
      </c>
      <c r="B7" s="8" t="n">
        <v>0.1</v>
      </c>
      <c r="C7" s="6" t="inlineStr">
        <is>
          <t>%</t>
        </is>
      </c>
      <c r="D7" s="7" t="inlineStr">
        <is>
          <t>Instrucción de Gerencia</t>
        </is>
      </c>
    </row>
    <row r="8" ht="30" customHeight="1">
      <c r="A8" s="4" t="inlineStr">
        <is>
          <t>Tasa de reproceso — Actual (sobre OPERACIONES)</t>
        </is>
      </c>
      <c r="B8" s="8" t="n">
        <v>0.0576</v>
      </c>
      <c r="C8" s="6" t="inlineStr">
        <is>
          <t>%</t>
        </is>
      </c>
      <c r="D8" s="9" t="inlineStr">
        <is>
          <t>MEDIDO: 3.391 ops de reproceso / 58.880 ops. NO usar aquí el 16,14%: ese es el % de PIEZAS rechazadas, no de operaciones.</t>
        </is>
      </c>
    </row>
    <row r="9">
      <c r="A9" s="4" t="inlineStr">
        <is>
          <t>Tasa de reproceso — Escenario A</t>
        </is>
      </c>
      <c r="B9" s="8" t="n">
        <v>0.048</v>
      </c>
      <c r="C9" s="6" t="inlineStr">
        <is>
          <t>%</t>
        </is>
      </c>
      <c r="D9" s="7" t="inlineStr">
        <is>
          <t>SUPUESTO. Se renuevan 4 de 18 posiciones</t>
        </is>
      </c>
    </row>
    <row r="10">
      <c r="A10" s="4" t="inlineStr">
        <is>
          <t>Tasa de reproceso — Escenario B</t>
        </is>
      </c>
      <c r="B10" s="8" t="n">
        <v>0.04</v>
      </c>
      <c r="C10" s="6" t="inlineStr">
        <is>
          <t>%</t>
        </is>
      </c>
      <c r="D10" s="7" t="inlineStr">
        <is>
          <t>SUPUESTO. Se renuevan 7 posiciones averiadas o inactivas (6 collareteras de ruedo + el overlock de L2). Los 2 overlock de apoyo son posiciones nuevas, no renovación, por eso la tasa no baja más.</t>
        </is>
      </c>
    </row>
    <row r="11">
      <c r="A11" s="4" t="inlineStr">
        <is>
          <t>Tasa de reproceso — Escenario C</t>
        </is>
      </c>
      <c r="B11" s="8" t="n">
        <v>0.04</v>
      </c>
      <c r="C11" s="6" t="inlineStr">
        <is>
          <t>%</t>
        </is>
      </c>
      <c r="D11" s="7" t="inlineStr">
        <is>
          <t>SUPUESTO. Igual que B (la collaretera de L5 no toca las líneas 1-4)</t>
        </is>
      </c>
    </row>
    <row r="12">
      <c r="A12" s="4" t="inlineStr">
        <is>
          <t>Tasa de reproceso — Escenario D</t>
        </is>
      </c>
      <c r="B12" s="8" t="n">
        <v>0.035</v>
      </c>
      <c r="C12" s="6" t="inlineStr">
        <is>
          <t>%</t>
        </is>
      </c>
      <c r="D12" s="7" t="inlineStr">
        <is>
          <t>SUPUESTO. 7 posiciones renovadas, 2 overlock de apoyo y una línea 100% nueva</t>
        </is>
      </c>
    </row>
    <row r="13">
      <c r="A13" s="4" t="inlineStr">
        <is>
          <t>Ganancia por máquina electrónica</t>
        </is>
      </c>
      <c r="B13" s="8" t="n">
        <v>0.08</v>
      </c>
      <c r="C13" s="6" t="inlineStr">
        <is>
          <t>%</t>
        </is>
      </c>
      <c r="D13" s="7" t="inlineStr">
        <is>
          <t>SUPUESTO (rango 2%-8%). Corta-hilo + alza-pie sobre SAM de 2,30 min</t>
        </is>
      </c>
    </row>
    <row r="14">
      <c r="A14" s="4" t="inlineStr">
        <is>
          <t>Capacidad de L3 cedida a la Línea 5</t>
        </is>
      </c>
      <c r="B14" s="8" t="n">
        <v>0.1</v>
      </c>
      <c r="C14" s="6" t="inlineStr">
        <is>
          <t>%</t>
        </is>
      </c>
      <c r="D14" s="7" t="inlineStr">
        <is>
          <t>DATO DE PRODUCCIÓN. Se recupera en los escenarios C y D</t>
        </is>
      </c>
    </row>
    <row r="15">
      <c r="A15" s="4" t="inlineStr">
        <is>
          <t>Demanda mes regular</t>
        </is>
      </c>
      <c r="B15" s="5" t="n">
        <v>4145</v>
      </c>
      <c r="C15" s="6" t="inlineStr">
        <is>
          <t>pzas</t>
        </is>
      </c>
      <c r="D15" s="7" t="inlineStr">
        <is>
          <t>Dato de Gerencia</t>
        </is>
      </c>
    </row>
    <row r="16">
      <c r="A16" s="4" t="inlineStr">
        <is>
          <t>Demanda diciembre</t>
        </is>
      </c>
      <c r="B16" s="5" t="n">
        <v>9434</v>
      </c>
      <c r="C16" s="6" t="inlineStr">
        <is>
          <t>pzas</t>
        </is>
      </c>
      <c r="D16" s="7" t="inlineStr">
        <is>
          <t>Dato de Gerencia</t>
        </is>
      </c>
    </row>
    <row r="17">
      <c r="A17" s="4" t="inlineStr">
        <is>
          <t>Surtido inicial por tienda nueva</t>
        </is>
      </c>
      <c r="B17" s="5" t="n">
        <v>6000</v>
      </c>
      <c r="C17" s="6" t="inlineStr">
        <is>
          <t>pzas</t>
        </is>
      </c>
      <c r="D17" s="7" t="inlineStr">
        <is>
          <t>Dato de Gerencia</t>
        </is>
      </c>
    </row>
    <row r="18">
      <c r="A18" s="4" t="inlineStr">
        <is>
          <t>Tiendas actuales en la red</t>
        </is>
      </c>
      <c r="B18" s="5" t="n">
        <v>8</v>
      </c>
      <c r="C18" s="6" t="inlineStr">
        <is>
          <t>tiendas</t>
        </is>
      </c>
      <c r="D18" s="7" t="inlineStr">
        <is>
          <t>Dato de Gerencia</t>
        </is>
      </c>
    </row>
    <row r="19">
      <c r="A19" s="4" t="inlineStr">
        <is>
          <t>Tiendas nuevas fin 2026</t>
        </is>
      </c>
      <c r="B19" s="5" t="n">
        <v>1</v>
      </c>
      <c r="C19" s="6" t="inlineStr">
        <is>
          <t>tiendas</t>
        </is>
      </c>
      <c r="D19" s="7" t="inlineStr">
        <is>
          <t>Dato de Gerencia</t>
        </is>
      </c>
    </row>
    <row r="20">
      <c r="A20" s="4" t="inlineStr">
        <is>
          <t>Tiendas nuevas 2027</t>
        </is>
      </c>
      <c r="B20" s="5" t="n">
        <v>3</v>
      </c>
      <c r="C20" s="6" t="inlineStr">
        <is>
          <t>tiendas</t>
        </is>
      </c>
      <c r="D20" s="7" t="inlineStr">
        <is>
          <t>Dato de Gerencia</t>
        </is>
      </c>
    </row>
    <row r="21">
      <c r="A21" s="4" t="inlineStr">
        <is>
          <t>Ops de OVERLOCK por pieza</t>
        </is>
      </c>
      <c r="B21" s="5" t="n">
        <v>7</v>
      </c>
      <c r="C21" s="6" t="inlineStr">
        <is>
          <t>ops</t>
        </is>
      </c>
      <c r="D21" s="7" t="inlineStr">
        <is>
          <t>Supuesto de estructura de la pieza promedio</t>
        </is>
      </c>
    </row>
    <row r="22">
      <c r="A22" s="4" t="inlineStr">
        <is>
          <t>Ops de COLLARET CUELLO por pieza</t>
        </is>
      </c>
      <c r="B22" s="5" t="n">
        <v>1</v>
      </c>
      <c r="C22" s="6" t="inlineStr">
        <is>
          <t>ops</t>
        </is>
      </c>
      <c r="D22" s="7" t="inlineStr">
        <is>
          <t>MEDIDO: estudio de tiempos Clásica Algodón</t>
        </is>
      </c>
    </row>
    <row r="23">
      <c r="A23" s="4" t="inlineStr">
        <is>
          <t>Ops de COLLARET RUEDO por pieza</t>
        </is>
      </c>
      <c r="B23" s="5" t="n">
        <v>1</v>
      </c>
      <c r="C23" s="6" t="inlineStr">
        <is>
          <t>ops</t>
        </is>
      </c>
      <c r="D23" s="7" t="inlineStr">
        <is>
          <t>MEDIDO: estudio de tiempos Clásica Algodón</t>
        </is>
      </c>
    </row>
    <row r="25">
      <c r="A25" s="10" t="inlineStr">
        <is>
          <t>Coherencia de la estructura de operaciones</t>
        </is>
      </c>
    </row>
    <row r="26">
      <c r="A26" s="11" t="inlineStr">
        <is>
          <t>Suma de ops por tipo (overlock + cuello + ruedo)</t>
        </is>
      </c>
      <c r="B26" s="10">
        <f>Supuestos!$B$21+Supuestos!$B$22+Supuestos!$B$23</f>
        <v/>
      </c>
    </row>
    <row r="27">
      <c r="A27" s="12" t="inlineStr">
        <is>
          <t>ATENCIÓN: si esta suma no coincide con las 'Operaciones por pieza — Modelo 1', los dos modelos describen piezas distintas. Reconciliar antes de presentar.</t>
        </is>
      </c>
    </row>
    <row r="29">
      <c r="A29" s="10" t="inlineStr">
        <is>
          <t>Cambio de la versión 3 a la versión 4</t>
        </is>
      </c>
    </row>
    <row r="30">
      <c r="A30" s="2" t="inlineStr">
        <is>
          <t>v3: el escenario B compraba 2 overlock para reemplazar el de Unión / Montaje de L1 y el de L2. Reemplazar una máquina sana solo aporta el 8% de ganancia electrónica, así que el techo del taller casi no se movía.</t>
        </is>
      </c>
    </row>
    <row r="31">
      <c r="A31" s="2" t="inlineStr">
        <is>
          <t>v4: esos 2 overlock son DE APOYO. Se instalan como posición 6 de L1 y de L2 y suman una máquina completa de capacidad a cada línea. El overlock averiado de L2 se sigue reponiendo, porque eso ya venía en el escenario A.</t>
        </is>
      </c>
    </row>
    <row r="32">
      <c r="A32" s="2" t="inlineStr">
        <is>
          <t>Overlock por lo tanto pasa de 2 a 3 máquinas en B (1 reposición + 2 de apoyo) y la inversión de B sube de US$ 20.800 a US$ 22.200.</t>
        </is>
      </c>
    </row>
    <row r="33">
      <c r="A33" s="2" t="inlineStr">
        <is>
          <t>Como el overlock es la restricción activa del taller en todos los escenarios, este cambio es el que más mueve la capacidad de todo el modelo.</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24"/>
  <sheetViews>
    <sheetView topLeftCell="A4" zoomScaleNormal="100" workbookViewId="0">
      <selection activeCell="F8" sqref="F8"/>
    </sheetView>
  </sheetViews>
  <sheetFormatPr baseColWidth="10" defaultColWidth="8.7109375" defaultRowHeight="15"/>
  <cols>
    <col width="10" customWidth="1" min="1" max="2"/>
    <col width="16" customWidth="1" min="3" max="3"/>
    <col width="20" customWidth="1" min="4" max="4"/>
    <col width="14" customWidth="1" min="5" max="7"/>
  </cols>
  <sheetData>
    <row r="1" ht="16.5" customHeight="1">
      <c r="A1" s="1" t="inlineStr">
        <is>
          <t>Mediciones base por posición de línea</t>
        </is>
      </c>
    </row>
    <row r="2">
      <c r="A2" s="2" t="inlineStr">
        <is>
          <t>Transcripción literal de Operaciones_Por_Linea (2), hoja 'Operaciones - Taller Diario'. Única fuente de capacidad de este modelo.</t>
        </is>
      </c>
    </row>
    <row r="4">
      <c r="A4" s="3" t="inlineStr">
        <is>
          <t>Línea</t>
        </is>
      </c>
      <c r="B4" s="3" t="inlineStr">
        <is>
          <t>Posición</t>
        </is>
      </c>
      <c r="C4" s="3" t="inlineStr">
        <is>
          <t>Máquina</t>
        </is>
      </c>
      <c r="D4" s="3" t="inlineStr">
        <is>
          <t>Operación</t>
        </is>
      </c>
      <c r="E4" s="3" t="inlineStr">
        <is>
          <t>Cap. teórica</t>
        </is>
      </c>
      <c r="F4" s="3" t="inlineStr">
        <is>
          <t>Estatus</t>
        </is>
      </c>
      <c r="G4" s="3" t="inlineStr">
        <is>
          <t>Cap. real</t>
        </is>
      </c>
    </row>
    <row r="5">
      <c r="A5" s="4" t="inlineStr">
        <is>
          <t>Línea 1</t>
        </is>
      </c>
      <c r="B5" s="13" t="n">
        <v>1</v>
      </c>
      <c r="C5" s="6" t="inlineStr">
        <is>
          <t>Overlock</t>
        </is>
      </c>
      <c r="D5" s="6" t="inlineStr">
        <is>
          <t>Unión / Montaje</t>
        </is>
      </c>
      <c r="E5" s="14" t="n">
        <v>190</v>
      </c>
      <c r="F5" s="13" t="inlineStr">
        <is>
          <t>Disponible</t>
        </is>
      </c>
      <c r="G5" s="14" t="n">
        <v>190</v>
      </c>
    </row>
    <row r="6">
      <c r="A6" s="4" t="inlineStr">
        <is>
          <t>Línea 1</t>
        </is>
      </c>
      <c r="B6" s="13" t="n">
        <v>2</v>
      </c>
      <c r="C6" s="6" t="inlineStr">
        <is>
          <t>Collaret</t>
        </is>
      </c>
      <c r="D6" s="6" t="inlineStr">
        <is>
          <t>Recubrir Cuello</t>
        </is>
      </c>
      <c r="E6" s="14" t="n">
        <v>196</v>
      </c>
      <c r="F6" s="13" t="inlineStr">
        <is>
          <t>Disponible</t>
        </is>
      </c>
      <c r="G6" s="14" t="n">
        <v>196</v>
      </c>
    </row>
    <row r="7">
      <c r="A7" s="4" t="inlineStr">
        <is>
          <t>Línea 1</t>
        </is>
      </c>
      <c r="B7" s="13" t="n">
        <v>3</v>
      </c>
      <c r="C7" s="6" t="inlineStr">
        <is>
          <t>Overlock</t>
        </is>
      </c>
      <c r="D7" s="6" t="inlineStr">
        <is>
          <t>Montaje / Cierre</t>
        </is>
      </c>
      <c r="E7" s="14" t="n">
        <v>198</v>
      </c>
      <c r="F7" s="13" t="inlineStr">
        <is>
          <t>Disponible</t>
        </is>
      </c>
      <c r="G7" s="14" t="n">
        <v>198</v>
      </c>
    </row>
    <row r="8">
      <c r="A8" s="4" t="inlineStr">
        <is>
          <t>Línea 1</t>
        </is>
      </c>
      <c r="B8" s="13" t="n">
        <v>4</v>
      </c>
      <c r="C8" s="6" t="inlineStr">
        <is>
          <t>Collaret</t>
        </is>
      </c>
      <c r="D8" s="6" t="inlineStr">
        <is>
          <t>Ruedo</t>
        </is>
      </c>
      <c r="E8" s="14" t="n">
        <v>101</v>
      </c>
      <c r="F8" s="13" t="inlineStr">
        <is>
          <t>Disponible</t>
        </is>
      </c>
      <c r="G8" s="14" t="n">
        <v>101</v>
      </c>
    </row>
    <row r="9">
      <c r="A9" s="4" t="inlineStr">
        <is>
          <t>Línea 2</t>
        </is>
      </c>
      <c r="B9" s="13" t="n">
        <v>1</v>
      </c>
      <c r="C9" s="6" t="inlineStr">
        <is>
          <t>Overlock</t>
        </is>
      </c>
      <c r="D9" s="6" t="inlineStr">
        <is>
          <t>Unión / Montaje</t>
        </is>
      </c>
      <c r="E9" s="15" t="n">
        <v>190</v>
      </c>
      <c r="F9" s="16" t="inlineStr">
        <is>
          <t>80 %</t>
        </is>
      </c>
      <c r="G9" s="15" t="n">
        <v>150</v>
      </c>
    </row>
    <row r="10">
      <c r="A10" s="4" t="inlineStr">
        <is>
          <t>Línea 2</t>
        </is>
      </c>
      <c r="B10" s="13" t="n">
        <v>2</v>
      </c>
      <c r="C10" s="6" t="inlineStr">
        <is>
          <t>Collaret</t>
        </is>
      </c>
      <c r="D10" s="6" t="inlineStr">
        <is>
          <t>Recubrir Cuello</t>
        </is>
      </c>
      <c r="E10" s="14" t="n">
        <v>196</v>
      </c>
      <c r="F10" s="13" t="inlineStr">
        <is>
          <t>Disponible</t>
        </is>
      </c>
      <c r="G10" s="14" t="n">
        <v>196</v>
      </c>
    </row>
    <row r="11">
      <c r="A11" s="4" t="inlineStr">
        <is>
          <t>Línea 2</t>
        </is>
      </c>
      <c r="B11" s="13" t="n">
        <v>3</v>
      </c>
      <c r="C11" s="6" t="inlineStr">
        <is>
          <t>Overlock</t>
        </is>
      </c>
      <c r="D11" s="6" t="inlineStr">
        <is>
          <t>Montaje / Cierre</t>
        </is>
      </c>
      <c r="E11" s="14" t="n">
        <v>198</v>
      </c>
      <c r="F11" s="13" t="inlineStr">
        <is>
          <t>Disponible</t>
        </is>
      </c>
      <c r="G11" s="14" t="n">
        <v>198</v>
      </c>
    </row>
    <row r="12">
      <c r="A12" s="4" t="inlineStr">
        <is>
          <t>Línea 2</t>
        </is>
      </c>
      <c r="B12" s="13" t="n">
        <v>4</v>
      </c>
      <c r="C12" s="6" t="inlineStr">
        <is>
          <t>Collaret</t>
        </is>
      </c>
      <c r="D12" s="6" t="inlineStr">
        <is>
          <t>Ruedo</t>
        </is>
      </c>
      <c r="E12" s="14" t="n">
        <v>101</v>
      </c>
      <c r="F12" s="13" t="inlineStr">
        <is>
          <t>Disponible</t>
        </is>
      </c>
      <c r="G12" s="14" t="n">
        <v>101</v>
      </c>
    </row>
    <row r="13">
      <c r="A13" s="4" t="inlineStr">
        <is>
          <t>Línea 3</t>
        </is>
      </c>
      <c r="B13" s="13" t="n">
        <v>1</v>
      </c>
      <c r="C13" s="6" t="inlineStr">
        <is>
          <t>Overlock</t>
        </is>
      </c>
      <c r="D13" s="6" t="inlineStr">
        <is>
          <t>Unión / Montaje</t>
        </is>
      </c>
      <c r="E13" s="14" t="n">
        <v>190</v>
      </c>
      <c r="F13" s="13" t="inlineStr">
        <is>
          <t>Disponible</t>
        </is>
      </c>
      <c r="G13" s="14" t="n">
        <v>190</v>
      </c>
    </row>
    <row r="14">
      <c r="A14" s="4" t="inlineStr">
        <is>
          <t>Línea 3</t>
        </is>
      </c>
      <c r="B14" s="13" t="n">
        <v>2</v>
      </c>
      <c r="C14" s="6" t="inlineStr">
        <is>
          <t>Collaret</t>
        </is>
      </c>
      <c r="D14" s="6" t="inlineStr">
        <is>
          <t>Recubrir Cuello</t>
        </is>
      </c>
      <c r="E14" s="14" t="n">
        <v>196</v>
      </c>
      <c r="F14" s="13" t="inlineStr">
        <is>
          <t>Disponible</t>
        </is>
      </c>
      <c r="G14" s="14" t="n">
        <v>196</v>
      </c>
    </row>
    <row r="15">
      <c r="A15" s="4" t="inlineStr">
        <is>
          <t>Línea 3</t>
        </is>
      </c>
      <c r="B15" s="13" t="n">
        <v>3</v>
      </c>
      <c r="C15" s="6" t="inlineStr">
        <is>
          <t>Overlock</t>
        </is>
      </c>
      <c r="D15" s="6" t="inlineStr">
        <is>
          <t>Montaje / Cierre</t>
        </is>
      </c>
      <c r="E15" s="14" t="n">
        <v>198</v>
      </c>
      <c r="F15" s="13" t="inlineStr">
        <is>
          <t>Disponible</t>
        </is>
      </c>
      <c r="G15" s="14" t="n">
        <v>198</v>
      </c>
    </row>
    <row r="16">
      <c r="A16" s="4" t="inlineStr">
        <is>
          <t>Línea 3</t>
        </is>
      </c>
      <c r="B16" s="13" t="n">
        <v>4</v>
      </c>
      <c r="C16" s="6" t="inlineStr">
        <is>
          <t>Collaret</t>
        </is>
      </c>
      <c r="D16" s="6" t="inlineStr">
        <is>
          <t>Ruedo</t>
        </is>
      </c>
      <c r="E16" s="15" t="n">
        <v>101</v>
      </c>
      <c r="F16" s="16" t="inlineStr">
        <is>
          <t>50 %</t>
        </is>
      </c>
      <c r="G16" s="15" t="n">
        <v>50.5</v>
      </c>
    </row>
    <row r="17">
      <c r="A17" s="4" t="inlineStr">
        <is>
          <t>Línea 3</t>
        </is>
      </c>
      <c r="B17" s="13" t="n">
        <v>5</v>
      </c>
      <c r="C17" s="6" t="inlineStr">
        <is>
          <t>Collaret</t>
        </is>
      </c>
      <c r="D17" s="6" t="inlineStr">
        <is>
          <t>Ruedo</t>
        </is>
      </c>
      <c r="E17" s="15" t="n">
        <v>100</v>
      </c>
      <c r="F17" s="16" t="inlineStr">
        <is>
          <t>Inactiva</t>
        </is>
      </c>
      <c r="G17" s="15" t="n">
        <v>0</v>
      </c>
    </row>
    <row r="18">
      <c r="A18" s="4" t="inlineStr">
        <is>
          <t>Línea 4</t>
        </is>
      </c>
      <c r="B18" s="13" t="n">
        <v>1</v>
      </c>
      <c r="C18" s="6" t="inlineStr">
        <is>
          <t>Overlock</t>
        </is>
      </c>
      <c r="D18" s="6" t="inlineStr">
        <is>
          <t>Unión / Montaje</t>
        </is>
      </c>
      <c r="E18" s="14" t="n">
        <v>190</v>
      </c>
      <c r="F18" s="13" t="inlineStr">
        <is>
          <t>Disponible</t>
        </is>
      </c>
      <c r="G18" s="14" t="n">
        <v>190</v>
      </c>
    </row>
    <row r="19">
      <c r="A19" s="4" t="inlineStr">
        <is>
          <t>Línea 4</t>
        </is>
      </c>
      <c r="B19" s="13" t="n">
        <v>2</v>
      </c>
      <c r="C19" s="6" t="inlineStr">
        <is>
          <t>Collaret</t>
        </is>
      </c>
      <c r="D19" s="6" t="inlineStr">
        <is>
          <t>Recubrir Cuello</t>
        </is>
      </c>
      <c r="E19" s="14" t="n">
        <v>196</v>
      </c>
      <c r="F19" s="13" t="inlineStr">
        <is>
          <t>Disponible</t>
        </is>
      </c>
      <c r="G19" s="14" t="n">
        <v>196</v>
      </c>
    </row>
    <row r="20">
      <c r="A20" s="4" t="inlineStr">
        <is>
          <t>Línea 4</t>
        </is>
      </c>
      <c r="B20" s="13" t="n">
        <v>3</v>
      </c>
      <c r="C20" s="6" t="inlineStr">
        <is>
          <t>Overlock</t>
        </is>
      </c>
      <c r="D20" s="6" t="inlineStr">
        <is>
          <t>Montaje / Cierre</t>
        </is>
      </c>
      <c r="E20" s="14" t="n">
        <v>198</v>
      </c>
      <c r="F20" s="13" t="inlineStr">
        <is>
          <t>Disponible</t>
        </is>
      </c>
      <c r="G20" s="14" t="n">
        <v>198</v>
      </c>
    </row>
    <row r="21">
      <c r="A21" s="4" t="inlineStr">
        <is>
          <t>Línea 4</t>
        </is>
      </c>
      <c r="B21" s="13" t="n">
        <v>4</v>
      </c>
      <c r="C21" s="6" t="inlineStr">
        <is>
          <t>Collaret</t>
        </is>
      </c>
      <c r="D21" s="6" t="inlineStr">
        <is>
          <t>Ruedo</t>
        </is>
      </c>
      <c r="E21" s="14" t="n">
        <v>101</v>
      </c>
      <c r="F21" s="13" t="inlineStr">
        <is>
          <t>Disponible</t>
        </is>
      </c>
      <c r="G21" s="14" t="n">
        <v>101</v>
      </c>
    </row>
    <row r="22">
      <c r="A22" s="4" t="inlineStr">
        <is>
          <t>Línea 4</t>
        </is>
      </c>
      <c r="B22" s="13" t="n">
        <v>5</v>
      </c>
      <c r="C22" s="6" t="inlineStr">
        <is>
          <t>Collaret</t>
        </is>
      </c>
      <c r="D22" s="6" t="inlineStr">
        <is>
          <t>Ruedo</t>
        </is>
      </c>
      <c r="E22" s="15" t="n">
        <v>100</v>
      </c>
      <c r="F22" s="16" t="inlineStr">
        <is>
          <t>Inactiva</t>
        </is>
      </c>
      <c r="G22" s="15" t="n">
        <v>0</v>
      </c>
    </row>
    <row r="23">
      <c r="A23" s="10" t="inlineStr">
        <is>
          <t>TOTAL</t>
        </is>
      </c>
      <c r="E23" s="17">
        <f>SUM(E5:E22)</f>
        <v/>
      </c>
      <c r="G23" s="17">
        <f>SUM(G5:G22)</f>
        <v/>
      </c>
    </row>
    <row r="24">
      <c r="A24" s="10" t="inlineStr">
        <is>
          <t>Pérdida por fallas (ops/día)</t>
        </is>
      </c>
      <c r="G24" s="17">
        <f>E23-G23</f>
        <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44"/>
  <sheetViews>
    <sheetView tabSelected="1" zoomScaleNormal="100" workbookViewId="0">
      <selection activeCell="A13" sqref="A13:XFD13"/>
    </sheetView>
  </sheetViews>
  <sheetFormatPr baseColWidth="10" defaultColWidth="8.7109375" defaultRowHeight="15"/>
  <cols>
    <col width="10" customWidth="1" min="1" max="1"/>
    <col width="7" customWidth="1" min="2" max="2"/>
    <col width="15" customWidth="1" min="3" max="3"/>
    <col width="19" customWidth="1" min="4" max="4"/>
    <col width="10" customWidth="1" min="5" max="5"/>
    <col width="15" customWidth="1" min="6" max="6"/>
    <col width="12" customWidth="1" min="7" max="7"/>
    <col width="15" customWidth="1" min="8" max="8"/>
    <col width="12" customWidth="1" min="9" max="9"/>
    <col width="15" customWidth="1" min="10" max="10"/>
    <col width="12" customWidth="1" min="11" max="11"/>
    <col width="15" customWidth="1" min="12" max="12"/>
    <col width="12" customWidth="1" min="13" max="13"/>
    <col width="15" customWidth="1" min="14" max="14"/>
    <col width="12" customWidth="1" min="15" max="15"/>
  </cols>
  <sheetData>
    <row r="1" ht="16.5" customHeight="1">
      <c r="A1" s="1" t="inlineStr">
        <is>
          <t>Cómo queda cada línea en cada escenario</t>
        </is>
      </c>
    </row>
    <row r="2">
      <c r="A2" s="2" t="inlineStr">
        <is>
          <t>Posición por posición. Verde = máquina nueva. Naranja = máquina averiada que sigue en servicio. Las nuevas rinden nominal × (1 + ganancia electrónica).</t>
        </is>
      </c>
    </row>
    <row r="4" ht="25.5" customHeight="1">
      <c r="A4" s="3" t="inlineStr">
        <is>
          <t>Línea</t>
        </is>
      </c>
      <c r="B4" s="3" t="inlineStr">
        <is>
          <t>Pos.</t>
        </is>
      </c>
      <c r="C4" s="3" t="inlineStr">
        <is>
          <t>Máquina</t>
        </is>
      </c>
      <c r="D4" s="3" t="inlineStr">
        <is>
          <t>Operación</t>
        </is>
      </c>
      <c r="E4" s="3" t="inlineStr">
        <is>
          <t>Nominal</t>
        </is>
      </c>
      <c r="F4" s="3" t="inlineStr">
        <is>
          <t>Actual — estado</t>
        </is>
      </c>
      <c r="G4" s="3" t="inlineStr">
        <is>
          <t>Actual — ops/día</t>
        </is>
      </c>
      <c r="H4" s="3" t="inlineStr">
        <is>
          <t>A — estado</t>
        </is>
      </c>
      <c r="I4" s="3" t="inlineStr">
        <is>
          <t>A — ops/día</t>
        </is>
      </c>
      <c r="J4" s="3" t="inlineStr">
        <is>
          <t>B — estado</t>
        </is>
      </c>
      <c r="K4" s="3" t="inlineStr">
        <is>
          <t>B — ops/día</t>
        </is>
      </c>
      <c r="L4" s="3" t="inlineStr">
        <is>
          <t>C — estado</t>
        </is>
      </c>
      <c r="M4" s="3" t="inlineStr">
        <is>
          <t>C — ops/día</t>
        </is>
      </c>
      <c r="N4" s="3" t="inlineStr">
        <is>
          <t>D — estado</t>
        </is>
      </c>
      <c r="O4" s="3" t="inlineStr">
        <is>
          <t>D — ops/día</t>
        </is>
      </c>
    </row>
    <row r="5">
      <c r="A5" s="4" t="inlineStr">
        <is>
          <t>Línea 1</t>
        </is>
      </c>
      <c r="B5" s="13" t="n">
        <v>1</v>
      </c>
      <c r="C5" s="6" t="inlineStr">
        <is>
          <t>Overlock</t>
        </is>
      </c>
      <c r="D5" s="6" t="inlineStr">
        <is>
          <t>Unión / Montaje</t>
        </is>
      </c>
      <c r="E5" s="18" t="n">
        <v>190</v>
      </c>
      <c r="F5" s="13" t="inlineStr">
        <is>
          <t>Disponible</t>
        </is>
      </c>
      <c r="G5" s="19" t="n">
        <v>190</v>
      </c>
      <c r="H5" s="13" t="inlineStr">
        <is>
          <t>Disponible</t>
        </is>
      </c>
      <c r="I5" s="19" t="n">
        <v>190</v>
      </c>
      <c r="J5" s="13" t="inlineStr">
        <is>
          <t>Disponible</t>
        </is>
      </c>
      <c r="K5" s="19" t="n">
        <v>190</v>
      </c>
      <c r="L5" s="13" t="inlineStr">
        <is>
          <t>Disponible</t>
        </is>
      </c>
      <c r="M5" s="19" t="n">
        <v>190</v>
      </c>
      <c r="N5" s="13" t="inlineStr">
        <is>
          <t>Disponible</t>
        </is>
      </c>
      <c r="O5" s="19" t="n">
        <v>190</v>
      </c>
    </row>
    <row r="6">
      <c r="A6" s="4" t="inlineStr">
        <is>
          <t>Línea 1</t>
        </is>
      </c>
      <c r="B6" s="13" t="n">
        <v>2</v>
      </c>
      <c r="C6" s="6" t="inlineStr">
        <is>
          <t>Collaret</t>
        </is>
      </c>
      <c r="D6" s="6" t="inlineStr">
        <is>
          <t>Recubrir Cuello</t>
        </is>
      </c>
      <c r="E6" s="18" t="n">
        <v>196</v>
      </c>
      <c r="F6" s="13" t="inlineStr">
        <is>
          <t>Disponible</t>
        </is>
      </c>
      <c r="G6" s="19" t="n">
        <v>196</v>
      </c>
      <c r="H6" s="13" t="inlineStr">
        <is>
          <t>Disponible</t>
        </is>
      </c>
      <c r="I6" s="19" t="n">
        <v>196</v>
      </c>
      <c r="J6" s="13" t="inlineStr">
        <is>
          <t>Disponible</t>
        </is>
      </c>
      <c r="K6" s="19" t="n">
        <v>196</v>
      </c>
      <c r="L6" s="13" t="inlineStr">
        <is>
          <t>Disponible</t>
        </is>
      </c>
      <c r="M6" s="19" t="n">
        <v>196</v>
      </c>
      <c r="N6" s="13" t="inlineStr">
        <is>
          <t>Disponible</t>
        </is>
      </c>
      <c r="O6" s="19" t="n">
        <v>196</v>
      </c>
    </row>
    <row r="7">
      <c r="A7" s="4" t="inlineStr">
        <is>
          <t>Línea 1</t>
        </is>
      </c>
      <c r="B7" s="13" t="n">
        <v>3</v>
      </c>
      <c r="C7" s="6" t="inlineStr">
        <is>
          <t>Overlock</t>
        </is>
      </c>
      <c r="D7" s="6" t="inlineStr">
        <is>
          <t>Montaje / Cierre</t>
        </is>
      </c>
      <c r="E7" s="18" t="n">
        <v>198</v>
      </c>
      <c r="F7" s="13" t="inlineStr">
        <is>
          <t>Disponible</t>
        </is>
      </c>
      <c r="G7" s="19" t="n">
        <v>198</v>
      </c>
      <c r="H7" s="13" t="inlineStr">
        <is>
          <t>Disponible</t>
        </is>
      </c>
      <c r="I7" s="19" t="n">
        <v>198</v>
      </c>
      <c r="J7" s="13" t="inlineStr">
        <is>
          <t>Disponible</t>
        </is>
      </c>
      <c r="K7" s="19" t="n">
        <v>198</v>
      </c>
      <c r="L7" s="13" t="inlineStr">
        <is>
          <t>Disponible</t>
        </is>
      </c>
      <c r="M7" s="19" t="n">
        <v>198</v>
      </c>
      <c r="N7" s="13" t="inlineStr">
        <is>
          <t>Disponible</t>
        </is>
      </c>
      <c r="O7" s="19" t="n">
        <v>198</v>
      </c>
    </row>
    <row r="8">
      <c r="A8" s="4" t="inlineStr">
        <is>
          <t>Línea 1</t>
        </is>
      </c>
      <c r="B8" s="13" t="n">
        <v>4</v>
      </c>
      <c r="C8" s="6" t="inlineStr">
        <is>
          <t>Collaret</t>
        </is>
      </c>
      <c r="D8" s="6" t="inlineStr">
        <is>
          <t>Ruedo</t>
        </is>
      </c>
      <c r="E8" s="18" t="n">
        <v>101</v>
      </c>
      <c r="F8" s="13" t="inlineStr">
        <is>
          <t>Disponible</t>
        </is>
      </c>
      <c r="G8" s="19" t="n">
        <v>101</v>
      </c>
      <c r="H8" s="13" t="inlineStr">
        <is>
          <t>Disponible</t>
        </is>
      </c>
      <c r="I8" s="19" t="n">
        <v>101</v>
      </c>
      <c r="J8" s="13" t="inlineStr">
        <is>
          <t>Disponible</t>
        </is>
      </c>
      <c r="K8" s="19" t="n">
        <v>101</v>
      </c>
      <c r="L8" s="13" t="inlineStr">
        <is>
          <t>Disponible</t>
        </is>
      </c>
      <c r="M8" s="19" t="n">
        <v>101</v>
      </c>
      <c r="N8" s="13" t="inlineStr">
        <is>
          <t>Disponible</t>
        </is>
      </c>
      <c r="O8" s="19" t="n">
        <v>101</v>
      </c>
    </row>
    <row r="9">
      <c r="A9" s="4" t="inlineStr">
        <is>
          <t>Línea 2</t>
        </is>
      </c>
      <c r="B9" s="13" t="n">
        <v>1</v>
      </c>
      <c r="C9" s="6" t="inlineStr">
        <is>
          <t>Overlock</t>
        </is>
      </c>
      <c r="D9" s="6" t="inlineStr">
        <is>
          <t>Unión / Montaje</t>
        </is>
      </c>
      <c r="E9" s="18" t="n">
        <v>190</v>
      </c>
      <c r="F9" s="16" t="inlineStr">
        <is>
          <t>80 %</t>
        </is>
      </c>
      <c r="G9" s="22" t="n">
        <v>150</v>
      </c>
      <c r="H9" s="20" t="inlineStr">
        <is>
          <t>NUEVA</t>
        </is>
      </c>
      <c r="I9" s="21">
        <f>$E9*(1+Supuestos!$B$13)</f>
        <v/>
      </c>
      <c r="J9" s="20" t="inlineStr">
        <is>
          <t>NUEVA</t>
        </is>
      </c>
      <c r="K9" s="21">
        <f>$E9*(1+Supuestos!$B$13)</f>
        <v/>
      </c>
      <c r="L9" s="20" t="inlineStr">
        <is>
          <t>NUEVA</t>
        </is>
      </c>
      <c r="M9" s="21">
        <f>$E9*(1+Supuestos!$B$13)</f>
        <v/>
      </c>
      <c r="N9" s="20" t="inlineStr">
        <is>
          <t>NUEVA</t>
        </is>
      </c>
      <c r="O9" s="21">
        <f>$E9*(1+Supuestos!$B$13)</f>
        <v/>
      </c>
    </row>
    <row r="10">
      <c r="A10" s="4" t="inlineStr">
        <is>
          <t>Línea 2</t>
        </is>
      </c>
      <c r="B10" s="13" t="n">
        <v>2</v>
      </c>
      <c r="C10" s="6" t="inlineStr">
        <is>
          <t>Collaret</t>
        </is>
      </c>
      <c r="D10" s="6" t="inlineStr">
        <is>
          <t>Recubrir Cuello</t>
        </is>
      </c>
      <c r="E10" s="18" t="n">
        <v>196</v>
      </c>
      <c r="F10" s="13" t="inlineStr">
        <is>
          <t>Disponible</t>
        </is>
      </c>
      <c r="G10" s="19" t="n">
        <v>196</v>
      </c>
      <c r="H10" s="13" t="inlineStr">
        <is>
          <t>Disponible</t>
        </is>
      </c>
      <c r="I10" s="19" t="n">
        <v>196</v>
      </c>
      <c r="J10" s="13" t="inlineStr">
        <is>
          <t>Disponible</t>
        </is>
      </c>
      <c r="K10" s="19" t="n">
        <v>196</v>
      </c>
      <c r="L10" s="13" t="inlineStr">
        <is>
          <t>Disponible</t>
        </is>
      </c>
      <c r="M10" s="19" t="n">
        <v>196</v>
      </c>
      <c r="N10" s="13" t="inlineStr">
        <is>
          <t>Disponible</t>
        </is>
      </c>
      <c r="O10" s="19" t="n">
        <v>196</v>
      </c>
    </row>
    <row r="11">
      <c r="A11" s="4" t="inlineStr">
        <is>
          <t>Línea 2</t>
        </is>
      </c>
      <c r="B11" s="13" t="n">
        <v>3</v>
      </c>
      <c r="C11" s="6" t="inlineStr">
        <is>
          <t>Overlock</t>
        </is>
      </c>
      <c r="D11" s="6" t="inlineStr">
        <is>
          <t>Montaje / Cierre</t>
        </is>
      </c>
      <c r="E11" s="18" t="n">
        <v>198</v>
      </c>
      <c r="F11" s="13" t="inlineStr">
        <is>
          <t>Disponible</t>
        </is>
      </c>
      <c r="G11" s="19" t="n">
        <v>198</v>
      </c>
      <c r="H11" s="13" t="inlineStr">
        <is>
          <t>Disponible</t>
        </is>
      </c>
      <c r="I11" s="19" t="n">
        <v>198</v>
      </c>
      <c r="J11" s="13" t="inlineStr">
        <is>
          <t>Disponible</t>
        </is>
      </c>
      <c r="K11" s="19" t="n">
        <v>198</v>
      </c>
      <c r="L11" s="13" t="inlineStr">
        <is>
          <t>Disponible</t>
        </is>
      </c>
      <c r="M11" s="19" t="n">
        <v>198</v>
      </c>
      <c r="N11" s="13" t="inlineStr">
        <is>
          <t>Disponible</t>
        </is>
      </c>
      <c r="O11" s="19" t="n">
        <v>198</v>
      </c>
    </row>
    <row r="12">
      <c r="A12" s="4" t="inlineStr">
        <is>
          <t>Línea 2</t>
        </is>
      </c>
      <c r="B12" s="13" t="n">
        <v>4</v>
      </c>
      <c r="C12" s="6" t="inlineStr">
        <is>
          <t>Collaret</t>
        </is>
      </c>
      <c r="D12" s="6" t="inlineStr">
        <is>
          <t>Ruedo</t>
        </is>
      </c>
      <c r="E12" s="18" t="n">
        <v>101</v>
      </c>
      <c r="F12" s="13" t="inlineStr">
        <is>
          <t>Disponible</t>
        </is>
      </c>
      <c r="G12" s="19" t="n">
        <v>101</v>
      </c>
      <c r="H12" s="13" t="inlineStr">
        <is>
          <t>Disponible</t>
        </is>
      </c>
      <c r="I12" s="19" t="n">
        <v>101</v>
      </c>
      <c r="J12" s="13" t="inlineStr">
        <is>
          <t>Disponible</t>
        </is>
      </c>
      <c r="K12" s="19" t="n">
        <v>101</v>
      </c>
      <c r="L12" s="13" t="inlineStr">
        <is>
          <t>Disponible</t>
        </is>
      </c>
      <c r="M12" s="19" t="n">
        <v>101</v>
      </c>
      <c r="N12" s="13" t="inlineStr">
        <is>
          <t>Disponible</t>
        </is>
      </c>
      <c r="O12" s="19" t="n">
        <v>101</v>
      </c>
    </row>
    <row r="13">
      <c r="A13" s="4" t="inlineStr">
        <is>
          <t>Línea 3</t>
        </is>
      </c>
      <c r="B13" s="13" t="n">
        <v>1</v>
      </c>
      <c r="C13" s="6" t="inlineStr">
        <is>
          <t>Overlock</t>
        </is>
      </c>
      <c r="D13" s="6" t="inlineStr">
        <is>
          <t>Unión / Montaje</t>
        </is>
      </c>
      <c r="E13" s="18" t="n">
        <v>190</v>
      </c>
      <c r="F13" s="13" t="inlineStr">
        <is>
          <t>Disponible</t>
        </is>
      </c>
      <c r="G13" s="19" t="n">
        <v>190</v>
      </c>
      <c r="H13" s="13" t="inlineStr">
        <is>
          <t>Disponible</t>
        </is>
      </c>
      <c r="I13" s="19" t="n">
        <v>190</v>
      </c>
      <c r="J13" s="13" t="inlineStr">
        <is>
          <t>Disponible</t>
        </is>
      </c>
      <c r="K13" s="19" t="n">
        <v>190</v>
      </c>
      <c r="L13" s="13" t="inlineStr">
        <is>
          <t>Disponible</t>
        </is>
      </c>
      <c r="M13" s="19" t="n">
        <v>190</v>
      </c>
      <c r="N13" s="13" t="inlineStr">
        <is>
          <t>Disponible</t>
        </is>
      </c>
      <c r="O13" s="19" t="n">
        <v>190</v>
      </c>
    </row>
    <row r="14">
      <c r="A14" s="4" t="inlineStr">
        <is>
          <t>Línea 3</t>
        </is>
      </c>
      <c r="B14" s="13" t="n">
        <v>2</v>
      </c>
      <c r="C14" s="6" t="inlineStr">
        <is>
          <t>Collaret</t>
        </is>
      </c>
      <c r="D14" s="6" t="inlineStr">
        <is>
          <t>Recubrir Cuello</t>
        </is>
      </c>
      <c r="E14" s="18" t="n">
        <v>196</v>
      </c>
      <c r="F14" s="13" t="inlineStr">
        <is>
          <t>Disponible</t>
        </is>
      </c>
      <c r="G14" s="19" t="n">
        <v>196</v>
      </c>
      <c r="H14" s="13" t="inlineStr">
        <is>
          <t>Disponible</t>
        </is>
      </c>
      <c r="I14" s="19" t="n">
        <v>196</v>
      </c>
      <c r="J14" s="13" t="inlineStr">
        <is>
          <t>Disponible</t>
        </is>
      </c>
      <c r="K14" s="19" t="n">
        <v>196</v>
      </c>
      <c r="L14" s="13" t="inlineStr">
        <is>
          <t>Disponible</t>
        </is>
      </c>
      <c r="M14" s="19" t="n">
        <v>196</v>
      </c>
      <c r="N14" s="13" t="inlineStr">
        <is>
          <t>Disponible</t>
        </is>
      </c>
      <c r="O14" s="19" t="n">
        <v>196</v>
      </c>
    </row>
    <row r="15">
      <c r="A15" s="4" t="inlineStr">
        <is>
          <t>Línea 3</t>
        </is>
      </c>
      <c r="B15" s="13" t="n">
        <v>3</v>
      </c>
      <c r="C15" s="6" t="inlineStr">
        <is>
          <t>Overlock</t>
        </is>
      </c>
      <c r="D15" s="6" t="inlineStr">
        <is>
          <t>Montaje / Cierre</t>
        </is>
      </c>
      <c r="E15" s="18" t="n">
        <v>198</v>
      </c>
      <c r="F15" s="13" t="inlineStr">
        <is>
          <t>Disponible</t>
        </is>
      </c>
      <c r="G15" s="19" t="n">
        <v>198</v>
      </c>
      <c r="H15" s="13" t="inlineStr">
        <is>
          <t>Disponible</t>
        </is>
      </c>
      <c r="I15" s="19" t="n">
        <v>198</v>
      </c>
      <c r="J15" s="13" t="inlineStr">
        <is>
          <t>Disponible</t>
        </is>
      </c>
      <c r="K15" s="19" t="n">
        <v>198</v>
      </c>
      <c r="L15" s="13" t="inlineStr">
        <is>
          <t>Disponible</t>
        </is>
      </c>
      <c r="M15" s="19" t="n">
        <v>198</v>
      </c>
      <c r="N15" s="13" t="inlineStr">
        <is>
          <t>Disponible</t>
        </is>
      </c>
      <c r="O15" s="19" t="n">
        <v>198</v>
      </c>
    </row>
    <row r="16">
      <c r="A16" s="4" t="inlineStr">
        <is>
          <t>Línea 3</t>
        </is>
      </c>
      <c r="B16" s="13" t="n">
        <v>4</v>
      </c>
      <c r="C16" s="6" t="inlineStr">
        <is>
          <t>Collaret</t>
        </is>
      </c>
      <c r="D16" s="6" t="inlineStr">
        <is>
          <t>Ruedo</t>
        </is>
      </c>
      <c r="E16" s="18" t="n">
        <v>101</v>
      </c>
      <c r="F16" s="16" t="inlineStr">
        <is>
          <t>50 %</t>
        </is>
      </c>
      <c r="G16" s="22" t="n">
        <v>50.5</v>
      </c>
      <c r="H16" s="20" t="inlineStr">
        <is>
          <t>NUEVA</t>
        </is>
      </c>
      <c r="I16" s="21">
        <f>$E16*(1+Supuestos!$B$13)</f>
        <v/>
      </c>
      <c r="J16" s="20" t="inlineStr">
        <is>
          <t>NUEVA</t>
        </is>
      </c>
      <c r="K16" s="21">
        <f>$E16*(1+Supuestos!$B$13)</f>
        <v/>
      </c>
      <c r="L16" s="20" t="inlineStr">
        <is>
          <t>NUEVA</t>
        </is>
      </c>
      <c r="M16" s="21">
        <f>$E16*(1+Supuestos!$B$13)</f>
        <v/>
      </c>
      <c r="N16" s="20" t="inlineStr">
        <is>
          <t>NUEVA</t>
        </is>
      </c>
      <c r="O16" s="21">
        <f>$E16*(1+Supuestos!$B$13)</f>
        <v/>
      </c>
    </row>
    <row r="17">
      <c r="A17" s="4" t="inlineStr">
        <is>
          <t>Línea 3</t>
        </is>
      </c>
      <c r="B17" s="13" t="n">
        <v>5</v>
      </c>
      <c r="C17" s="6" t="inlineStr">
        <is>
          <t>Collaret</t>
        </is>
      </c>
      <c r="D17" s="6" t="inlineStr">
        <is>
          <t>Ruedo</t>
        </is>
      </c>
      <c r="E17" s="18" t="n">
        <v>100</v>
      </c>
      <c r="F17" s="16" t="inlineStr">
        <is>
          <t>Inactiva</t>
        </is>
      </c>
      <c r="G17" s="22" t="n">
        <v>0</v>
      </c>
      <c r="H17" s="20" t="inlineStr">
        <is>
          <t>NUEVA</t>
        </is>
      </c>
      <c r="I17" s="21">
        <f>$E17*(1+Supuestos!$B$13)</f>
        <v/>
      </c>
      <c r="J17" s="20" t="inlineStr">
        <is>
          <t>NUEVA</t>
        </is>
      </c>
      <c r="K17" s="21">
        <f>$E17*(1+Supuestos!$B$13)</f>
        <v/>
      </c>
      <c r="L17" s="20" t="inlineStr">
        <is>
          <t>NUEVA</t>
        </is>
      </c>
      <c r="M17" s="21">
        <f>$E17*(1+Supuestos!$B$13)</f>
        <v/>
      </c>
      <c r="N17" s="20" t="inlineStr">
        <is>
          <t>NUEVA</t>
        </is>
      </c>
      <c r="O17" s="21">
        <f>$E17*(1+Supuestos!$B$13)</f>
        <v/>
      </c>
    </row>
    <row r="18">
      <c r="A18" s="4" t="inlineStr">
        <is>
          <t>Línea 4</t>
        </is>
      </c>
      <c r="B18" s="13" t="n">
        <v>1</v>
      </c>
      <c r="C18" s="6" t="inlineStr">
        <is>
          <t>Overlock</t>
        </is>
      </c>
      <c r="D18" s="6" t="inlineStr">
        <is>
          <t>Unión / Montaje</t>
        </is>
      </c>
      <c r="E18" s="18" t="n">
        <v>190</v>
      </c>
      <c r="F18" s="13" t="inlineStr">
        <is>
          <t>Disponible</t>
        </is>
      </c>
      <c r="G18" s="19" t="n">
        <v>190</v>
      </c>
      <c r="H18" s="13" t="inlineStr">
        <is>
          <t>Disponible</t>
        </is>
      </c>
      <c r="I18" s="19" t="n">
        <v>190</v>
      </c>
      <c r="J18" s="13" t="inlineStr">
        <is>
          <t>Disponible</t>
        </is>
      </c>
      <c r="K18" s="19" t="n">
        <v>190</v>
      </c>
      <c r="L18" s="13" t="inlineStr">
        <is>
          <t>Disponible</t>
        </is>
      </c>
      <c r="M18" s="19" t="n">
        <v>190</v>
      </c>
      <c r="N18" s="13" t="inlineStr">
        <is>
          <t>Disponible</t>
        </is>
      </c>
      <c r="O18" s="19" t="n">
        <v>190</v>
      </c>
    </row>
    <row r="19">
      <c r="A19" s="4" t="inlineStr">
        <is>
          <t>Línea 4</t>
        </is>
      </c>
      <c r="B19" s="13" t="n">
        <v>2</v>
      </c>
      <c r="C19" s="6" t="inlineStr">
        <is>
          <t>Collaret</t>
        </is>
      </c>
      <c r="D19" s="6" t="inlineStr">
        <is>
          <t>Recubrir Cuello</t>
        </is>
      </c>
      <c r="E19" s="18" t="n">
        <v>196</v>
      </c>
      <c r="F19" s="13" t="inlineStr">
        <is>
          <t>Disponible</t>
        </is>
      </c>
      <c r="G19" s="19" t="n">
        <v>196</v>
      </c>
      <c r="H19" s="13" t="inlineStr">
        <is>
          <t>Disponible</t>
        </is>
      </c>
      <c r="I19" s="19" t="n">
        <v>196</v>
      </c>
      <c r="J19" s="13" t="inlineStr">
        <is>
          <t>Disponible</t>
        </is>
      </c>
      <c r="K19" s="19" t="n">
        <v>196</v>
      </c>
      <c r="L19" s="13" t="inlineStr">
        <is>
          <t>Disponible</t>
        </is>
      </c>
      <c r="M19" s="19" t="n">
        <v>196</v>
      </c>
      <c r="N19" s="13" t="inlineStr">
        <is>
          <t>Disponible</t>
        </is>
      </c>
      <c r="O19" s="19" t="n">
        <v>196</v>
      </c>
    </row>
    <row r="20">
      <c r="A20" s="4" t="inlineStr">
        <is>
          <t>Línea 4</t>
        </is>
      </c>
      <c r="B20" s="13" t="n">
        <v>3</v>
      </c>
      <c r="C20" s="6" t="inlineStr">
        <is>
          <t>Overlock</t>
        </is>
      </c>
      <c r="D20" s="6" t="inlineStr">
        <is>
          <t>Montaje / Cierre</t>
        </is>
      </c>
      <c r="E20" s="18" t="n">
        <v>198</v>
      </c>
      <c r="F20" s="13" t="inlineStr">
        <is>
          <t>Disponible</t>
        </is>
      </c>
      <c r="G20" s="19" t="n">
        <v>198</v>
      </c>
      <c r="H20" s="13" t="inlineStr">
        <is>
          <t>Disponible</t>
        </is>
      </c>
      <c r="I20" s="19" t="n">
        <v>198</v>
      </c>
      <c r="J20" s="13" t="inlineStr">
        <is>
          <t>Disponible</t>
        </is>
      </c>
      <c r="K20" s="19" t="n">
        <v>198</v>
      </c>
      <c r="L20" s="13" t="inlineStr">
        <is>
          <t>Disponible</t>
        </is>
      </c>
      <c r="M20" s="19" t="n">
        <v>198</v>
      </c>
      <c r="N20" s="13" t="inlineStr">
        <is>
          <t>Disponible</t>
        </is>
      </c>
      <c r="O20" s="19" t="n">
        <v>198</v>
      </c>
    </row>
    <row r="21">
      <c r="A21" s="4" t="inlineStr">
        <is>
          <t>Línea 4</t>
        </is>
      </c>
      <c r="B21" s="13" t="n">
        <v>4</v>
      </c>
      <c r="C21" s="6" t="inlineStr">
        <is>
          <t>Collaret</t>
        </is>
      </c>
      <c r="D21" s="6" t="inlineStr">
        <is>
          <t>Ruedo</t>
        </is>
      </c>
      <c r="E21" s="18" t="n">
        <v>101</v>
      </c>
      <c r="F21" s="13" t="inlineStr">
        <is>
          <t>Disponible</t>
        </is>
      </c>
      <c r="G21" s="19" t="n">
        <v>101</v>
      </c>
      <c r="H21" s="13" t="inlineStr">
        <is>
          <t>Disponible</t>
        </is>
      </c>
      <c r="I21" s="19" t="n">
        <v>101</v>
      </c>
      <c r="J21" s="20" t="inlineStr">
        <is>
          <t>NUEVA</t>
        </is>
      </c>
      <c r="K21" s="21">
        <f>$E21*(1+Supuestos!$B$13)</f>
        <v/>
      </c>
      <c r="L21" s="20" t="inlineStr">
        <is>
          <t>NUEVA</t>
        </is>
      </c>
      <c r="M21" s="21">
        <f>$E21*(1+Supuestos!$B$13)</f>
        <v/>
      </c>
      <c r="N21" s="20" t="inlineStr">
        <is>
          <t>NUEVA</t>
        </is>
      </c>
      <c r="O21" s="21">
        <f>$E21*(1+Supuestos!$B$13)</f>
        <v/>
      </c>
    </row>
    <row r="22">
      <c r="A22" s="4" t="inlineStr">
        <is>
          <t>Línea 4</t>
        </is>
      </c>
      <c r="B22" s="13" t="n">
        <v>5</v>
      </c>
      <c r="C22" s="6" t="inlineStr">
        <is>
          <t>Collaret</t>
        </is>
      </c>
      <c r="D22" s="6" t="inlineStr">
        <is>
          <t>Ruedo</t>
        </is>
      </c>
      <c r="E22" s="18" t="n">
        <v>100</v>
      </c>
      <c r="F22" s="16" t="inlineStr">
        <is>
          <t>Inactiva</t>
        </is>
      </c>
      <c r="G22" s="22" t="n">
        <v>0</v>
      </c>
      <c r="H22" s="20" t="inlineStr">
        <is>
          <t>NUEVA</t>
        </is>
      </c>
      <c r="I22" s="21">
        <f>$E22*(1+Supuestos!$B$13)</f>
        <v/>
      </c>
      <c r="J22" s="20" t="inlineStr">
        <is>
          <t>NUEVA</t>
        </is>
      </c>
      <c r="K22" s="21">
        <f>$E22*(1+Supuestos!$B$13)</f>
        <v/>
      </c>
      <c r="L22" s="20" t="inlineStr">
        <is>
          <t>NUEVA</t>
        </is>
      </c>
      <c r="M22" s="21">
        <f>$E22*(1+Supuestos!$B$13)</f>
        <v/>
      </c>
      <c r="N22" s="20" t="inlineStr">
        <is>
          <t>NUEVA</t>
        </is>
      </c>
      <c r="O22" s="21">
        <f>$E22*(1+Supuestos!$B$13)</f>
        <v/>
      </c>
    </row>
    <row r="23">
      <c r="A23" s="4" t="inlineStr">
        <is>
          <t>Línea 1</t>
        </is>
      </c>
      <c r="B23" s="13" t="n">
        <v>5</v>
      </c>
      <c r="C23" s="6" t="inlineStr">
        <is>
          <t>Collaret</t>
        </is>
      </c>
      <c r="D23" s="6" t="inlineStr">
        <is>
          <t>Ruedo</t>
        </is>
      </c>
      <c r="E23" s="18" t="n">
        <v>100</v>
      </c>
      <c r="F23" s="23" t="inlineStr">
        <is>
          <t>No existe</t>
        </is>
      </c>
      <c r="G23" s="19" t="n">
        <v>0</v>
      </c>
      <c r="H23" s="23" t="inlineStr">
        <is>
          <t>No existe</t>
        </is>
      </c>
      <c r="I23" s="19" t="n">
        <v>0</v>
      </c>
      <c r="J23" s="20" t="inlineStr">
        <is>
          <t>NUEVA</t>
        </is>
      </c>
      <c r="K23" s="21">
        <f>$E23*(1+Supuestos!$B$13)</f>
        <v/>
      </c>
      <c r="L23" s="20" t="inlineStr">
        <is>
          <t>NUEVA</t>
        </is>
      </c>
      <c r="M23" s="21">
        <f>$E23*(1+Supuestos!$B$13)</f>
        <v/>
      </c>
      <c r="N23" s="20" t="inlineStr">
        <is>
          <t>NUEVA</t>
        </is>
      </c>
      <c r="O23" s="21">
        <f>$E23*(1+Supuestos!$B$13)</f>
        <v/>
      </c>
    </row>
    <row r="24">
      <c r="A24" s="4" t="inlineStr">
        <is>
          <t>Línea 2</t>
        </is>
      </c>
      <c r="B24" s="13" t="n">
        <v>5</v>
      </c>
      <c r="C24" s="6" t="inlineStr">
        <is>
          <t>Collaret</t>
        </is>
      </c>
      <c r="D24" s="6" t="inlineStr">
        <is>
          <t>Ruedo</t>
        </is>
      </c>
      <c r="E24" s="18" t="n">
        <v>100</v>
      </c>
      <c r="F24" s="23" t="inlineStr">
        <is>
          <t>No existe</t>
        </is>
      </c>
      <c r="G24" s="19" t="n">
        <v>0</v>
      </c>
      <c r="H24" s="23" t="inlineStr">
        <is>
          <t>No existe</t>
        </is>
      </c>
      <c r="I24" s="19" t="n">
        <v>0</v>
      </c>
      <c r="J24" s="20" t="inlineStr">
        <is>
          <t>NUEVA</t>
        </is>
      </c>
      <c r="K24" s="21">
        <f>$E24*(1+Supuestos!$B$13)</f>
        <v/>
      </c>
      <c r="L24" s="20" t="inlineStr">
        <is>
          <t>NUEVA</t>
        </is>
      </c>
      <c r="M24" s="21">
        <f>$E24*(1+Supuestos!$B$13)</f>
        <v/>
      </c>
      <c r="N24" s="20" t="inlineStr">
        <is>
          <t>NUEVA</t>
        </is>
      </c>
      <c r="O24" s="21">
        <f>$E24*(1+Supuestos!$B$13)</f>
        <v/>
      </c>
    </row>
    <row r="25">
      <c r="A25" s="4" t="inlineStr">
        <is>
          <t>Línea 1</t>
        </is>
      </c>
      <c r="B25" s="13" t="n">
        <v>6</v>
      </c>
      <c r="C25" s="6" t="inlineStr">
        <is>
          <t>Overlock</t>
        </is>
      </c>
      <c r="D25" s="6" t="inlineStr">
        <is>
          <t>Apoyo Unión / Montaje</t>
        </is>
      </c>
      <c r="E25" s="18" t="n">
        <v>190</v>
      </c>
      <c r="F25" s="23" t="inlineStr">
        <is>
          <t>No existe</t>
        </is>
      </c>
      <c r="G25" s="19" t="n">
        <v>0</v>
      </c>
      <c r="H25" s="23" t="inlineStr">
        <is>
          <t>No existe</t>
        </is>
      </c>
      <c r="I25" s="19" t="n">
        <v>0</v>
      </c>
      <c r="J25" s="20" t="inlineStr">
        <is>
          <t>NUEVA (apoyo)</t>
        </is>
      </c>
      <c r="K25" s="21">
        <f>$E25*(1+Supuestos!$B$13)</f>
        <v/>
      </c>
      <c r="L25" s="20" t="inlineStr">
        <is>
          <t>NUEVA (apoyo)</t>
        </is>
      </c>
      <c r="M25" s="21">
        <f>$E25*(1+Supuestos!$B$13)</f>
        <v/>
      </c>
      <c r="N25" s="20" t="inlineStr">
        <is>
          <t>NUEVA (apoyo)</t>
        </is>
      </c>
      <c r="O25" s="21">
        <f>$E25*(1+Supuestos!$B$13)</f>
        <v/>
      </c>
    </row>
    <row r="26">
      <c r="A26" s="4" t="inlineStr">
        <is>
          <t>Línea 2</t>
        </is>
      </c>
      <c r="B26" s="13" t="n">
        <v>6</v>
      </c>
      <c r="C26" s="6" t="inlineStr">
        <is>
          <t>Overlock</t>
        </is>
      </c>
      <c r="D26" s="6" t="inlineStr">
        <is>
          <t>Apoyo Unión / Montaje</t>
        </is>
      </c>
      <c r="E26" s="18" t="n">
        <v>190</v>
      </c>
      <c r="F26" s="23" t="inlineStr">
        <is>
          <t>No existe</t>
        </is>
      </c>
      <c r="G26" s="19" t="n">
        <v>0</v>
      </c>
      <c r="H26" s="23" t="inlineStr">
        <is>
          <t>No existe</t>
        </is>
      </c>
      <c r="I26" s="19" t="n">
        <v>0</v>
      </c>
      <c r="J26" s="20" t="inlineStr">
        <is>
          <t>NUEVA (apoyo)</t>
        </is>
      </c>
      <c r="K26" s="21">
        <f>$E26*(1+Supuestos!$B$13)</f>
        <v/>
      </c>
      <c r="L26" s="20" t="inlineStr">
        <is>
          <t>NUEVA (apoyo)</t>
        </is>
      </c>
      <c r="M26" s="21">
        <f>$E26*(1+Supuestos!$B$13)</f>
        <v/>
      </c>
      <c r="N26" s="20" t="inlineStr">
        <is>
          <t>NUEVA (apoyo)</t>
        </is>
      </c>
      <c r="O26" s="21">
        <f>$E26*(1+Supuestos!$B$13)</f>
        <v/>
      </c>
    </row>
    <row r="27">
      <c r="A27" s="4" t="inlineStr">
        <is>
          <t>Línea 6</t>
        </is>
      </c>
      <c r="B27" s="13" t="n">
        <v>1</v>
      </c>
      <c r="C27" s="6" t="inlineStr">
        <is>
          <t>Overlock</t>
        </is>
      </c>
      <c r="D27" s="6" t="inlineStr">
        <is>
          <t>Unión / Montaje</t>
        </is>
      </c>
      <c r="E27" s="18" t="n">
        <v>190</v>
      </c>
      <c r="F27" s="23" t="inlineStr">
        <is>
          <t>No existe</t>
        </is>
      </c>
      <c r="G27" s="19" t="n">
        <v>0</v>
      </c>
      <c r="H27" s="23" t="inlineStr">
        <is>
          <t>No existe</t>
        </is>
      </c>
      <c r="I27" s="19" t="n">
        <v>0</v>
      </c>
      <c r="J27" s="23" t="inlineStr">
        <is>
          <t>No existe</t>
        </is>
      </c>
      <c r="K27" s="19" t="n">
        <v>0</v>
      </c>
      <c r="L27" s="23" t="inlineStr">
        <is>
          <t>No existe</t>
        </is>
      </c>
      <c r="M27" s="19" t="n">
        <v>0</v>
      </c>
      <c r="N27" s="20" t="inlineStr">
        <is>
          <t>NUEVA</t>
        </is>
      </c>
      <c r="O27" s="21">
        <f>$E27*(1+Supuestos!$B$13)</f>
        <v/>
      </c>
    </row>
    <row r="28">
      <c r="A28" s="4" t="inlineStr">
        <is>
          <t>Línea 6</t>
        </is>
      </c>
      <c r="B28" s="13" t="n">
        <v>2</v>
      </c>
      <c r="C28" s="6" t="inlineStr">
        <is>
          <t>Collaret</t>
        </is>
      </c>
      <c r="D28" s="6" t="inlineStr">
        <is>
          <t>Recubrir Cuello</t>
        </is>
      </c>
      <c r="E28" s="18" t="n">
        <v>196</v>
      </c>
      <c r="F28" s="23" t="inlineStr">
        <is>
          <t>No existe</t>
        </is>
      </c>
      <c r="G28" s="19" t="n">
        <v>0</v>
      </c>
      <c r="H28" s="23" t="inlineStr">
        <is>
          <t>No existe</t>
        </is>
      </c>
      <c r="I28" s="19" t="n">
        <v>0</v>
      </c>
      <c r="J28" s="23" t="inlineStr">
        <is>
          <t>No existe</t>
        </is>
      </c>
      <c r="K28" s="19" t="n">
        <v>0</v>
      </c>
      <c r="L28" s="23" t="inlineStr">
        <is>
          <t>No existe</t>
        </is>
      </c>
      <c r="M28" s="19" t="n">
        <v>0</v>
      </c>
      <c r="N28" s="20" t="inlineStr">
        <is>
          <t>NUEVA</t>
        </is>
      </c>
      <c r="O28" s="21">
        <f>$E28*(1+Supuestos!$B$13)</f>
        <v/>
      </c>
    </row>
    <row r="29">
      <c r="A29" s="4" t="inlineStr">
        <is>
          <t>Línea 6</t>
        </is>
      </c>
      <c r="B29" s="13" t="n">
        <v>3</v>
      </c>
      <c r="C29" s="6" t="inlineStr">
        <is>
          <t>Overlock</t>
        </is>
      </c>
      <c r="D29" s="6" t="inlineStr">
        <is>
          <t>Montaje / Cierre</t>
        </is>
      </c>
      <c r="E29" s="18" t="n">
        <v>198</v>
      </c>
      <c r="F29" s="23" t="inlineStr">
        <is>
          <t>No existe</t>
        </is>
      </c>
      <c r="G29" s="19" t="n">
        <v>0</v>
      </c>
      <c r="H29" s="23" t="inlineStr">
        <is>
          <t>No existe</t>
        </is>
      </c>
      <c r="I29" s="19" t="n">
        <v>0</v>
      </c>
      <c r="J29" s="23" t="inlineStr">
        <is>
          <t>No existe</t>
        </is>
      </c>
      <c r="K29" s="19" t="n">
        <v>0</v>
      </c>
      <c r="L29" s="23" t="inlineStr">
        <is>
          <t>No existe</t>
        </is>
      </c>
      <c r="M29" s="19" t="n">
        <v>0</v>
      </c>
      <c r="N29" s="20" t="inlineStr">
        <is>
          <t>NUEVA</t>
        </is>
      </c>
      <c r="O29" s="21">
        <f>$E29*(1+Supuestos!$B$13)</f>
        <v/>
      </c>
    </row>
    <row r="30">
      <c r="A30" s="4" t="inlineStr">
        <is>
          <t>Línea 6</t>
        </is>
      </c>
      <c r="B30" s="13" t="n">
        <v>4</v>
      </c>
      <c r="C30" s="6" t="inlineStr">
        <is>
          <t>Collaret</t>
        </is>
      </c>
      <c r="D30" s="6" t="inlineStr">
        <is>
          <t>Ruedo</t>
        </is>
      </c>
      <c r="E30" s="18" t="n">
        <v>101</v>
      </c>
      <c r="F30" s="23" t="inlineStr">
        <is>
          <t>No existe</t>
        </is>
      </c>
      <c r="G30" s="19" t="n">
        <v>0</v>
      </c>
      <c r="H30" s="23" t="inlineStr">
        <is>
          <t>No existe</t>
        </is>
      </c>
      <c r="I30" s="19" t="n">
        <v>0</v>
      </c>
      <c r="J30" s="23" t="inlineStr">
        <is>
          <t>No existe</t>
        </is>
      </c>
      <c r="K30" s="19" t="n">
        <v>0</v>
      </c>
      <c r="L30" s="23" t="inlineStr">
        <is>
          <t>No existe</t>
        </is>
      </c>
      <c r="M30" s="19" t="n">
        <v>0</v>
      </c>
      <c r="N30" s="20" t="inlineStr">
        <is>
          <t>NUEVA</t>
        </is>
      </c>
      <c r="O30" s="21">
        <f>$E30*(1+Supuestos!$B$13)</f>
        <v/>
      </c>
    </row>
    <row r="31">
      <c r="A31" s="4" t="inlineStr">
        <is>
          <t>Línea 6</t>
        </is>
      </c>
      <c r="B31" s="13" t="n">
        <v>5</v>
      </c>
      <c r="C31" s="6" t="inlineStr">
        <is>
          <t>Collaret</t>
        </is>
      </c>
      <c r="D31" s="6" t="inlineStr">
        <is>
          <t>Ruedo</t>
        </is>
      </c>
      <c r="E31" s="18" t="n">
        <v>100</v>
      </c>
      <c r="F31" s="23" t="inlineStr">
        <is>
          <t>No existe</t>
        </is>
      </c>
      <c r="G31" s="19" t="n">
        <v>0</v>
      </c>
      <c r="H31" s="23" t="inlineStr">
        <is>
          <t>No existe</t>
        </is>
      </c>
      <c r="I31" s="19" t="n">
        <v>0</v>
      </c>
      <c r="J31" s="23" t="inlineStr">
        <is>
          <t>No existe</t>
        </is>
      </c>
      <c r="K31" s="19" t="n">
        <v>0</v>
      </c>
      <c r="L31" s="23" t="inlineStr">
        <is>
          <t>No existe</t>
        </is>
      </c>
      <c r="M31" s="19" t="n">
        <v>0</v>
      </c>
      <c r="N31" s="20" t="inlineStr">
        <is>
          <t>NUEVA</t>
        </is>
      </c>
      <c r="O31" s="21">
        <f>$E31*(1+Supuestos!$B$13)</f>
        <v/>
      </c>
    </row>
    <row r="32"/>
    <row r="33">
      <c r="A33" s="10" t="inlineStr">
        <is>
          <t>TOTAL OPS/DÍA POR LÍNEA (ya descontada la cesión de L3 a la Línea 5)</t>
        </is>
      </c>
    </row>
    <row r="34">
      <c r="A34" s="24" t="inlineStr">
        <is>
          <t>Línea</t>
        </is>
      </c>
      <c r="B34" s="24" t="n"/>
      <c r="C34" s="24" t="n"/>
      <c r="D34" s="24" t="n"/>
      <c r="E34" s="24" t="n"/>
      <c r="F34" s="24" t="inlineStr">
        <is>
          <t>Actual ops/día</t>
        </is>
      </c>
      <c r="G34" s="24" t="n"/>
      <c r="H34" s="24" t="inlineStr">
        <is>
          <t>A ops/día</t>
        </is>
      </c>
      <c r="I34" s="24" t="n"/>
      <c r="J34" s="24" t="inlineStr">
        <is>
          <t>B ops/día</t>
        </is>
      </c>
      <c r="K34" s="24" t="n"/>
      <c r="L34" s="24" t="inlineStr">
        <is>
          <t>C ops/día</t>
        </is>
      </c>
      <c r="M34" s="24" t="n"/>
      <c r="N34" s="24" t="inlineStr">
        <is>
          <t>D ops/día</t>
        </is>
      </c>
      <c r="O34" s="24" t="n"/>
    </row>
    <row r="35">
      <c r="A35" s="4" t="inlineStr">
        <is>
          <t>Línea 1</t>
        </is>
      </c>
      <c r="F35" s="25">
        <f>(G5+G6+G7+G8+G23+G25)</f>
        <v/>
      </c>
      <c r="H35" s="25">
        <f>(I5+I6+I7+I8+I23+I25)</f>
        <v/>
      </c>
      <c r="J35" s="25">
        <f>(K5+K6+K7+K8+K23+K25)</f>
        <v/>
      </c>
      <c r="L35" s="25">
        <f>(M5+M6+M7+M8+M23+M25)</f>
        <v/>
      </c>
      <c r="N35" s="25">
        <f>(O5+O6+O7+O8+O23+O25)</f>
        <v/>
      </c>
    </row>
    <row r="36">
      <c r="A36" s="4" t="inlineStr">
        <is>
          <t>Línea 2</t>
        </is>
      </c>
      <c r="F36" s="25">
        <f>(G9+G10+G11+G12+G24+G26)</f>
        <v/>
      </c>
      <c r="H36" s="25">
        <f>(I9+I10+I11+I12+I24+I26)</f>
        <v/>
      </c>
      <c r="J36" s="25">
        <f>(K9+K10+K11+K12+K24+K26)</f>
        <v/>
      </c>
      <c r="L36" s="25">
        <f>(M9+M10+M11+M12+M24+M26)</f>
        <v/>
      </c>
      <c r="N36" s="25">
        <f>(O9+O10+O11+O12+O24+O26)</f>
        <v/>
      </c>
    </row>
    <row r="37">
      <c r="A37" s="4" t="inlineStr">
        <is>
          <t>Línea 3</t>
        </is>
      </c>
      <c r="F37" s="25">
        <f>(G13+G14+G15+G16+G17)*(1-Supuestos!$B$14)</f>
        <v/>
      </c>
      <c r="H37" s="25">
        <f>(I13+I14+I15+I16+I17)*(1-Supuestos!$B$14)</f>
        <v/>
      </c>
      <c r="J37" s="25">
        <f>(K13+K14+K15+K16+K17)*(1-Supuestos!$B$14)</f>
        <v/>
      </c>
      <c r="L37" s="25">
        <f>(M13+M14+M15+M16+M17)</f>
        <v/>
      </c>
      <c r="N37" s="25">
        <f>(O13+O14+O15+O16+O17)</f>
        <v/>
      </c>
    </row>
    <row r="38">
      <c r="A38" s="4" t="inlineStr">
        <is>
          <t>Línea 4</t>
        </is>
      </c>
      <c r="F38" s="25">
        <f>(G18+G19+G20+G21+G22)</f>
        <v/>
      </c>
      <c r="H38" s="25">
        <f>(I18+I19+I20+I21+I22)</f>
        <v/>
      </c>
      <c r="J38" s="25">
        <f>(K18+K19+K20+K21+K22)</f>
        <v/>
      </c>
      <c r="L38" s="25">
        <f>(M18+M19+M20+M21+M22)</f>
        <v/>
      </c>
      <c r="N38" s="25">
        <f>(O18+O19+O20+O21+O22)</f>
        <v/>
      </c>
    </row>
    <row r="39">
      <c r="A39" s="4" t="inlineStr">
        <is>
          <t>Línea 6</t>
        </is>
      </c>
      <c r="F39" s="25">
        <f>(G27+G28+G29+G30+G31)</f>
        <v/>
      </c>
      <c r="H39" s="25">
        <f>(I27+I28+I29+I30+I31)</f>
        <v/>
      </c>
      <c r="J39" s="25">
        <f>(K27+K28+K29+K30+K31)</f>
        <v/>
      </c>
      <c r="L39" s="25">
        <f>(M27+M28+M29+M30+M31)</f>
        <v/>
      </c>
      <c r="N39" s="25">
        <f>(O27+O28+O29+O30+O31)</f>
        <v/>
      </c>
    </row>
    <row r="40">
      <c r="A40" s="10" t="inlineStr">
        <is>
          <t>TOTAL TALLER</t>
        </is>
      </c>
      <c r="F40" s="25">
        <f>SUM(F35:F39)</f>
        <v/>
      </c>
      <c r="H40" s="25">
        <f>SUM(H35:H39)</f>
        <v/>
      </c>
      <c r="J40" s="25">
        <f>SUM(J35:J39)</f>
        <v/>
      </c>
      <c r="L40" s="25">
        <f>SUM(L35:L39)</f>
        <v/>
      </c>
      <c r="N40" s="25">
        <f>SUM(N35:N39)</f>
        <v/>
      </c>
    </row>
    <row r="41"/>
    <row r="42">
      <c r="A42" s="2" t="inlineStr">
        <is>
          <t>La Línea 3 aparece con su capacidad neta: en Actual, A y B se le descuenta el 10% que presta a la Línea 5. En C y D ese descuento desaparece porque la Línea 5 recibe collaretera propia.</t>
        </is>
      </c>
    </row>
    <row r="43">
      <c r="A43" s="2" t="inlineStr">
        <is>
          <t>La collaretera de la Línea 5 del escenario C no figura en esta tabla porque la Línea 5 no forma parte del techo de las líneas 1-4; su efecto se ve en la recuperación de la Línea 3.</t>
        </is>
      </c>
    </row>
    <row r="44">
      <c r="A44" s="2" t="inlineStr">
        <is>
          <t>Los 2 overlock del escenario B son DE APOYO: no reemplazan al overlock de Unión / Montaje de L1 y L2, agregan una sexta posición a cada una de esas líneas (posición 6). Por eso la capacidad de la línea sube en una máquina completa y no solo en el 8% de ganancia electrónica.</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10"/>
  <sheetViews>
    <sheetView zoomScaleNormal="100" workbookViewId="0">
      <selection activeCell="A1" sqref="A1"/>
    </sheetView>
  </sheetViews>
  <sheetFormatPr baseColWidth="10" defaultColWidth="8.7109375" defaultRowHeight="15"/>
  <cols>
    <col width="13" customWidth="1" min="1" max="1"/>
    <col width="40" customWidth="1" min="2" max="2"/>
    <col width="78" customWidth="1" min="3" max="3"/>
    <col width="9" customWidth="1" min="4" max="4"/>
    <col width="15" customWidth="1" min="5" max="5"/>
  </cols>
  <sheetData>
    <row r="1" ht="16.5" customHeight="1">
      <c r="A1" s="1" t="inlineStr">
        <is>
          <t>En qué consiste cada escenario</t>
        </is>
      </c>
    </row>
    <row r="2">
      <c r="A2" s="2" t="inlineStr">
        <is>
          <t>Descripción operativa de las cuatro alternativas de inversión</t>
        </is>
      </c>
    </row>
    <row r="4">
      <c r="A4" s="3" t="inlineStr">
        <is>
          <t>Escenario</t>
        </is>
      </c>
      <c r="B4" s="3" t="inlineStr">
        <is>
          <t>Qué se compra</t>
        </is>
      </c>
      <c r="C4" s="3" t="inlineStr">
        <is>
          <t>En qué consiste / qué problema resuelve</t>
        </is>
      </c>
      <c r="D4" s="3" t="inlineStr">
        <is>
          <t>Nº máq.</t>
        </is>
      </c>
      <c r="E4" s="3" t="inlineStr">
        <is>
          <t>Inversión US$</t>
        </is>
      </c>
    </row>
    <row r="5" ht="99.75" customHeight="1">
      <c r="A5" s="26" t="inlineStr">
        <is>
          <t>A — Reposición estricta</t>
        </is>
      </c>
      <c r="B5" s="27" t="inlineStr">
        <is>
          <t>3 collareteras de ruedo (2 para L3, 1 para L4) + 1 overlock (L2)</t>
        </is>
      </c>
      <c r="C5" s="27" t="inlineStr">
        <is>
          <t>Comprar exactamente lo que hoy está averiado, ni una máquina más. Reemplaza el overlock de Unión/Montaje de L2 (hoy al 80%), la collaretera de ruedo de L3 (al 50%), la collaretera de ruedo inactiva de L3 y la collaretera de ruedo inactiva de L4. Restituye las 290,5 ops/día perdidas y devuelve el taller a su techo teórico de 2.940 ops/día. No agrega ninguna posición nueva: la estructura de las líneas queda igual a la de hoy.</t>
        </is>
      </c>
      <c r="D5" s="28" t="n">
        <v>4</v>
      </c>
      <c r="E5" s="29">
        <f>Inversion!$H$5</f>
        <v/>
      </c>
    </row>
    <row r="6" ht="99.75" customHeight="1">
      <c r="A6" s="26" t="inlineStr">
        <is>
          <t>B — Propuesta de Producción</t>
        </is>
      </c>
      <c r="B6" s="27" t="inlineStr">
        <is>
          <t>6 collareteras de ruedo + 1 overlock de reposición (L2) + 2 overlock DE APOYO (1 en L1 y 1 en L2)</t>
        </is>
      </c>
      <c r="C6" s="27" t="inlineStr">
        <is>
          <t>Además de reponer lo averiado, iguala las cuatro líneas y refuerza el cuello de botella. Hoy L3 y L4 tienen dos posiciones de ruedo y L1 y L2 solo una: se reemplazan las cuatro collareteras de L3 y L4 y se agrega una quinta posición de ruedo a L1 y otra a L2. Los 2 overlock NO son reemplazo: entran como máquinas de apoyo en una sexta posición de L1 y de L2, de modo que cada una de esas líneas gana una máquina completa de Unión / Montaje. El overlock averiado de L2 se repone igual que en A. Overlock es la restricción activa del taller, así que estas dos máquinas de apoyo son las que realmente levantan el techo.</t>
        </is>
      </c>
      <c r="D6" s="28" t="n">
        <v>9</v>
      </c>
      <c r="E6" s="29">
        <f>Inversion!$H$6</f>
        <v/>
      </c>
    </row>
    <row r="7" ht="99.75" customHeight="1">
      <c r="A7" s="26" t="inlineStr">
        <is>
          <t>C — B + Línea 5 autónoma</t>
        </is>
      </c>
      <c r="B7" s="27" t="inlineStr">
        <is>
          <t>Todo lo de B + 1 collaretera para la Línea 5</t>
        </is>
      </c>
      <c r="C7" s="27" t="inlineStr">
        <is>
          <t>Corrige un préstamo de capacidad que hoy no aparece en ningún reporte: algunos modelos de la Línea 5 necesitan la Línea 3 para manufacturar su parte interna y consumen el 10% de su capacidad mensual. Al dotar a la Línea 5 de collaretera propia, la Línea 3 recupera ese 10% para producción propia y deja de relentizarse en simultáneo con L5.</t>
        </is>
      </c>
      <c r="D7" s="28" t="n">
        <v>10</v>
      </c>
      <c r="E7" s="29">
        <f>Inversion!$H$7</f>
        <v/>
      </c>
    </row>
    <row r="8" ht="99.75" customHeight="1">
      <c r="A8" s="26" t="inlineStr">
        <is>
          <t>D — C + línea nueva</t>
        </is>
      </c>
      <c r="B8" s="27" t="inlineStr">
        <is>
          <t>Todo lo de C + una Línea 6 completa: 2 overlock + 1 collaret de cuello + 2 collaret de ruedo</t>
        </is>
      </c>
      <c r="C8" s="27" t="inlineStr">
        <is>
          <t>Suma una quinta línea de confección con la estructura de 5 máquinas de las líneas 3 y 4: 2 overlock + 1 collaret de cuello + 2 collaret de ruedo. Es el único escenario que amplía la planta en lugar de repararla o reequilibrarla, y el único que alcanza a cubrir el promedio mensual de la zafra. Requiere dotación de personal para la línea nueva, costo no incluido en la cifra de inversión.</t>
        </is>
      </c>
      <c r="D8" s="28" t="n">
        <v>15</v>
      </c>
      <c r="E8" s="29">
        <f>Inversion!$H$8</f>
        <v/>
      </c>
    </row>
    <row r="10">
      <c r="A10" s="2" t="inlineStr">
        <is>
          <t>Los escenarios son acumulativos: A ⊂ B ⊂ C ⊂ D. Comprar A no invalida pasar después a B, C o D. B incluye la reposición del overlock de L2 que ya venía en A.</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26"/>
  <sheetViews>
    <sheetView zoomScaleNormal="100" workbookViewId="0">
      <selection activeCell="A1" sqref="A1"/>
    </sheetView>
  </sheetViews>
  <sheetFormatPr baseColWidth="10" defaultColWidth="8.7109375" defaultRowHeight="15"/>
  <cols>
    <col width="38" customWidth="1" min="1" max="1"/>
    <col width="14" customWidth="1" min="2" max="6"/>
    <col width="12" customWidth="1" min="7" max="7"/>
  </cols>
  <sheetData>
    <row r="1" ht="16.5" customHeight="1">
      <c r="A1" s="1" t="inlineStr">
        <is>
          <t>Capacidad instalada por escenario</t>
        </is>
      </c>
    </row>
    <row r="2">
      <c r="A2" s="2" t="inlineStr">
        <is>
          <t>Modelo 1 = conversión por operaciones. Modelo 2 = balance de estaciones (criterio de planificación).</t>
        </is>
      </c>
    </row>
    <row r="4">
      <c r="A4" s="3" t="inlineStr">
        <is>
          <t>Capacidad neta por tipo (ops/día)</t>
        </is>
      </c>
      <c r="B4" s="3" t="inlineStr">
        <is>
          <t>Actual</t>
        </is>
      </c>
      <c r="C4" s="3" t="inlineStr">
        <is>
          <t>A</t>
        </is>
      </c>
      <c r="D4" s="3" t="inlineStr">
        <is>
          <t>B</t>
        </is>
      </c>
      <c r="E4" s="3" t="inlineStr">
        <is>
          <t>C</t>
        </is>
      </c>
      <c r="F4" s="3" t="inlineStr">
        <is>
          <t>D</t>
        </is>
      </c>
      <c r="G4" s="3" t="inlineStr">
        <is>
          <t>Ops/pza</t>
        </is>
      </c>
    </row>
    <row r="5">
      <c r="A5" s="4" t="inlineStr">
        <is>
          <t>Overlock</t>
        </is>
      </c>
      <c r="B5" s="19">
        <f>'Lineas por Escenario'!G5+'Lineas por Escenario'!G7+'Lineas por Escenario'!G9+'Lineas por Escenario'!G11+'Lineas por Escenario'!G13*(1-Supuestos!$B$14)+'Lineas por Escenario'!G15*(1-Supuestos!$B$14)+'Lineas por Escenario'!G18+'Lineas por Escenario'!G20+'Lineas por Escenario'!G25+'Lineas por Escenario'!G26+'Lineas por Escenario'!G27+'Lineas por Escenario'!G29</f>
        <v/>
      </c>
      <c r="C5" s="19">
        <f>'Lineas por Escenario'!I5+'Lineas por Escenario'!I7+'Lineas por Escenario'!I9+'Lineas por Escenario'!I11+'Lineas por Escenario'!I13*(1-Supuestos!$B$14)+'Lineas por Escenario'!I15*(1-Supuestos!$B$14)+'Lineas por Escenario'!I18+'Lineas por Escenario'!I20+'Lineas por Escenario'!I25+'Lineas por Escenario'!I26+'Lineas por Escenario'!I27+'Lineas por Escenario'!I29</f>
        <v/>
      </c>
      <c r="D5" s="19">
        <f>'Lineas por Escenario'!K5+'Lineas por Escenario'!K7+'Lineas por Escenario'!K9+'Lineas por Escenario'!K11+'Lineas por Escenario'!K13*(1-Supuestos!$B$14)+'Lineas por Escenario'!K15*(1-Supuestos!$B$14)+'Lineas por Escenario'!K18+'Lineas por Escenario'!K20+'Lineas por Escenario'!K25+'Lineas por Escenario'!K26+'Lineas por Escenario'!K27+'Lineas por Escenario'!K29</f>
        <v/>
      </c>
      <c r="E5" s="19">
        <f>'Lineas por Escenario'!M5+'Lineas por Escenario'!M7+'Lineas por Escenario'!M9+'Lineas por Escenario'!M11+'Lineas por Escenario'!M13+'Lineas por Escenario'!M15+'Lineas por Escenario'!M18+'Lineas por Escenario'!M20+'Lineas por Escenario'!M25+'Lineas por Escenario'!M26+'Lineas por Escenario'!M27+'Lineas por Escenario'!M29</f>
        <v/>
      </c>
      <c r="F5" s="19">
        <f>'Lineas por Escenario'!O5+'Lineas por Escenario'!O7+'Lineas por Escenario'!O9+'Lineas por Escenario'!O11+'Lineas por Escenario'!O13+'Lineas por Escenario'!O15+'Lineas por Escenario'!O18+'Lineas por Escenario'!O20+'Lineas por Escenario'!O25+'Lineas por Escenario'!O26+'Lineas por Escenario'!O27+'Lineas por Escenario'!O29</f>
        <v/>
      </c>
      <c r="G5" s="6">
        <f>Supuestos!$B$21</f>
        <v/>
      </c>
    </row>
    <row r="6">
      <c r="A6" s="4" t="inlineStr">
        <is>
          <t>Collaret Cuello</t>
        </is>
      </c>
      <c r="B6" s="19">
        <f>'Lineas por Escenario'!G6+'Lineas por Escenario'!G10+'Lineas por Escenario'!G14*(1-Supuestos!$B$14)+'Lineas por Escenario'!G19+'Lineas por Escenario'!G28</f>
        <v/>
      </c>
      <c r="C6" s="19">
        <f>'Lineas por Escenario'!I6+'Lineas por Escenario'!I10+'Lineas por Escenario'!I14*(1-Supuestos!$B$14)+'Lineas por Escenario'!I19+'Lineas por Escenario'!I28</f>
        <v/>
      </c>
      <c r="D6" s="19">
        <f>'Lineas por Escenario'!K6+'Lineas por Escenario'!K10+'Lineas por Escenario'!K14*(1-Supuestos!$B$14)+'Lineas por Escenario'!K19+'Lineas por Escenario'!K28</f>
        <v/>
      </c>
      <c r="E6" s="19">
        <f>'Lineas por Escenario'!M6+'Lineas por Escenario'!M10+'Lineas por Escenario'!M14+'Lineas por Escenario'!M19+'Lineas por Escenario'!M28</f>
        <v/>
      </c>
      <c r="F6" s="19">
        <f>'Lineas por Escenario'!O6+'Lineas por Escenario'!O10+'Lineas por Escenario'!O14+'Lineas por Escenario'!O19+'Lineas por Escenario'!O28</f>
        <v/>
      </c>
      <c r="G6" s="6">
        <f>Supuestos!$B$22</f>
        <v/>
      </c>
    </row>
    <row r="7">
      <c r="A7" s="4" t="inlineStr">
        <is>
          <t>Collaret Ruedo</t>
        </is>
      </c>
      <c r="B7" s="19">
        <f>'Lineas por Escenario'!G8+'Lineas por Escenario'!G12+'Lineas por Escenario'!G16*(1-Supuestos!$B$14)+'Lineas por Escenario'!G17*(1-Supuestos!$B$14)+'Lineas por Escenario'!G21+'Lineas por Escenario'!G22+'Lineas por Escenario'!G23+'Lineas por Escenario'!G24+'Lineas por Escenario'!G30+'Lineas por Escenario'!G31</f>
        <v/>
      </c>
      <c r="C7" s="19">
        <f>'Lineas por Escenario'!I8+'Lineas por Escenario'!I12+'Lineas por Escenario'!I16*(1-Supuestos!$B$14)+'Lineas por Escenario'!I17*(1-Supuestos!$B$14)+'Lineas por Escenario'!I21+'Lineas por Escenario'!I22+'Lineas por Escenario'!I23+'Lineas por Escenario'!I24+'Lineas por Escenario'!I30+'Lineas por Escenario'!I31</f>
        <v/>
      </c>
      <c r="D7" s="19">
        <f>'Lineas por Escenario'!K8+'Lineas por Escenario'!K12+'Lineas por Escenario'!K16*(1-Supuestos!$B$14)+'Lineas por Escenario'!K17*(1-Supuestos!$B$14)+'Lineas por Escenario'!K21+'Lineas por Escenario'!K22+'Lineas por Escenario'!K23+'Lineas por Escenario'!K24+'Lineas por Escenario'!K30+'Lineas por Escenario'!K31</f>
        <v/>
      </c>
      <c r="E7" s="19">
        <f>'Lineas por Escenario'!M8+'Lineas por Escenario'!M12+'Lineas por Escenario'!M16+'Lineas por Escenario'!M17+'Lineas por Escenario'!M21+'Lineas por Escenario'!M22+'Lineas por Escenario'!M23+'Lineas por Escenario'!M24+'Lineas por Escenario'!M30+'Lineas por Escenario'!M31</f>
        <v/>
      </c>
      <c r="F7" s="19">
        <f>'Lineas por Escenario'!O8+'Lineas por Escenario'!O12+'Lineas por Escenario'!O16+'Lineas por Escenario'!O17+'Lineas por Escenario'!O21+'Lineas por Escenario'!O22+'Lineas por Escenario'!O23+'Lineas por Escenario'!O24+'Lineas por Escenario'!O30+'Lineas por Escenario'!O31</f>
        <v/>
      </c>
      <c r="G7" s="6">
        <f>Supuestos!$B$23</f>
        <v/>
      </c>
    </row>
    <row r="8">
      <c r="A8" s="10" t="inlineStr">
        <is>
          <t>TOTAL ops/día</t>
        </is>
      </c>
      <c r="B8" s="25">
        <f>SUM(B5:B7)</f>
        <v/>
      </c>
      <c r="C8" s="25">
        <f>SUM(C5:C7)</f>
        <v/>
      </c>
      <c r="D8" s="25">
        <f>SUM(D5:D7)</f>
        <v/>
      </c>
      <c r="E8" s="25">
        <f>SUM(E5:E7)</f>
        <v/>
      </c>
      <c r="F8" s="25">
        <f>SUM(F5:F7)</f>
        <v/>
      </c>
    </row>
    <row r="10" ht="16.5" customHeight="1">
      <c r="A10" s="1" t="inlineStr">
        <is>
          <t>MODELO 1 — Conversión por operaciones</t>
        </is>
      </c>
    </row>
    <row r="11">
      <c r="A11" s="3" t="inlineStr">
        <is>
          <t>Concepto</t>
        </is>
      </c>
      <c r="B11" s="3" t="inlineStr">
        <is>
          <t>Actual</t>
        </is>
      </c>
      <c r="C11" s="3" t="inlineStr">
        <is>
          <t>A</t>
        </is>
      </c>
      <c r="D11" s="3" t="inlineStr">
        <is>
          <t>B</t>
        </is>
      </c>
      <c r="E11" s="3" t="inlineStr">
        <is>
          <t>C</t>
        </is>
      </c>
      <c r="F11" s="3" t="inlineStr">
        <is>
          <t>D</t>
        </is>
      </c>
      <c r="G11" s="3" t="n"/>
    </row>
    <row r="12">
      <c r="A12" s="10" t="inlineStr">
        <is>
          <t>Ops/mes</t>
        </is>
      </c>
      <c r="B12" s="30">
        <f>B8*Supuestos!$B$5</f>
        <v/>
      </c>
      <c r="C12" s="30">
        <f>C8*Supuestos!$B$5</f>
        <v/>
      </c>
      <c r="D12" s="30">
        <f>D8*Supuestos!$B$5</f>
        <v/>
      </c>
      <c r="E12" s="30">
        <f>E8*Supuestos!$B$5</f>
        <v/>
      </c>
      <c r="F12" s="30">
        <f>F8*Supuestos!$B$5</f>
        <v/>
      </c>
    </row>
    <row r="13">
      <c r="A13" s="10" t="inlineStr">
        <is>
          <t>Ops/mes netas de reproceso</t>
        </is>
      </c>
      <c r="B13" s="30">
        <f>B12*(1-Supuestos!$B$8)</f>
        <v/>
      </c>
      <c r="C13" s="30">
        <f>C12*(1-Supuestos!$B$9)</f>
        <v/>
      </c>
      <c r="D13" s="30">
        <f>D12*(1-Supuestos!$B$10)</f>
        <v/>
      </c>
      <c r="E13" s="30">
        <f>E12*(1-Supuestos!$B$11)</f>
        <v/>
      </c>
      <c r="F13" s="30">
        <f>F12*(1-Supuestos!$B$12)</f>
        <v/>
      </c>
    </row>
    <row r="14">
      <c r="A14" s="10" t="inlineStr">
        <is>
          <t>PIEZAS/MES bruto</t>
        </is>
      </c>
      <c r="B14" s="30">
        <f>B12/Supuestos!$B$6</f>
        <v/>
      </c>
      <c r="C14" s="30">
        <f>C12/Supuestos!$B$6</f>
        <v/>
      </c>
      <c r="D14" s="30">
        <f>D12/Supuestos!$B$6</f>
        <v/>
      </c>
      <c r="E14" s="30">
        <f>E12/Supuestos!$B$6</f>
        <v/>
      </c>
      <c r="F14" s="30">
        <f>F12/Supuestos!$B$6</f>
        <v/>
      </c>
    </row>
    <row r="15">
      <c r="A15" s="10" t="inlineStr">
        <is>
          <t>PIEZAS/MES netas de reproceso</t>
        </is>
      </c>
      <c r="B15" s="31">
        <f>B13/Supuestos!$B$6</f>
        <v/>
      </c>
      <c r="C15" s="31">
        <f>C13/Supuestos!$B$6</f>
        <v/>
      </c>
      <c r="D15" s="31">
        <f>D13/Supuestos!$B$6</f>
        <v/>
      </c>
      <c r="E15" s="31">
        <f>E13/Supuestos!$B$6</f>
        <v/>
      </c>
      <c r="F15" s="31">
        <f>F13/Supuestos!$B$6</f>
        <v/>
      </c>
    </row>
    <row r="17" ht="16.5" customHeight="1">
      <c r="A17" s="1" t="inlineStr">
        <is>
          <t>MODELO 2 — Balance de estaciones (criterio de planificación)</t>
        </is>
      </c>
    </row>
    <row r="18">
      <c r="A18" s="2" t="inlineStr">
        <is>
          <t>Restricción activa = la estación que menos piezas habilita. Comprar fuera de la restricción no aumenta la producción.</t>
        </is>
      </c>
    </row>
    <row r="19">
      <c r="A19" s="3" t="inlineStr">
        <is>
          <t>Concepto</t>
        </is>
      </c>
      <c r="B19" s="3" t="inlineStr">
        <is>
          <t>Actual</t>
        </is>
      </c>
      <c r="C19" s="3" t="inlineStr">
        <is>
          <t>A</t>
        </is>
      </c>
      <c r="D19" s="3" t="inlineStr">
        <is>
          <t>B</t>
        </is>
      </c>
      <c r="E19" s="3" t="inlineStr">
        <is>
          <t>C</t>
        </is>
      </c>
      <c r="F19" s="3" t="inlineStr">
        <is>
          <t>D</t>
        </is>
      </c>
      <c r="G19" s="3" t="n"/>
    </row>
    <row r="20">
      <c r="A20" s="10" t="inlineStr">
        <is>
          <t>Piezas/día que habilita Overlock</t>
        </is>
      </c>
      <c r="B20" s="19">
        <f>B5/$G$5</f>
        <v/>
      </c>
      <c r="C20" s="19">
        <f>C5/$G$5</f>
        <v/>
      </c>
      <c r="D20" s="19">
        <f>D5/$G$5</f>
        <v/>
      </c>
      <c r="E20" s="19">
        <f>E5/$G$5</f>
        <v/>
      </c>
      <c r="F20" s="19">
        <f>F5/$G$5</f>
        <v/>
      </c>
    </row>
    <row r="21">
      <c r="A21" s="10" t="inlineStr">
        <is>
          <t>Piezas/día que habilita Collaret Cuello</t>
        </is>
      </c>
      <c r="B21" s="19">
        <f>B6/$G$6</f>
        <v/>
      </c>
      <c r="C21" s="19">
        <f>C6/$G$6</f>
        <v/>
      </c>
      <c r="D21" s="19">
        <f>D6/$G$6</f>
        <v/>
      </c>
      <c r="E21" s="19">
        <f>E6/$G$6</f>
        <v/>
      </c>
      <c r="F21" s="19">
        <f>F6/$G$6</f>
        <v/>
      </c>
    </row>
    <row r="22">
      <c r="A22" s="10" t="inlineStr">
        <is>
          <t>Piezas/día que habilita Collaret Ruedo</t>
        </is>
      </c>
      <c r="B22" s="19">
        <f>B7/$G$7</f>
        <v/>
      </c>
      <c r="C22" s="19">
        <f>C7/$G$7</f>
        <v/>
      </c>
      <c r="D22" s="19">
        <f>D7/$G$7</f>
        <v/>
      </c>
      <c r="E22" s="19">
        <f>E7/$G$7</f>
        <v/>
      </c>
      <c r="F22" s="19">
        <f>F7/$G$7</f>
        <v/>
      </c>
    </row>
    <row r="23">
      <c r="A23" s="10" t="inlineStr">
        <is>
          <t>PIEZAS/DÍA (restricción activa)</t>
        </is>
      </c>
      <c r="B23" s="19">
        <f>MIN(B20:B22)</f>
        <v/>
      </c>
      <c r="C23" s="19">
        <f>MIN(C20:C22)</f>
        <v/>
      </c>
      <c r="D23" s="19">
        <f>MIN(D20:D22)</f>
        <v/>
      </c>
      <c r="E23" s="19">
        <f>MIN(E20:E22)</f>
        <v/>
      </c>
      <c r="F23" s="19">
        <f>MIN(F20:F22)</f>
        <v/>
      </c>
    </row>
    <row r="24">
      <c r="A24" s="10" t="inlineStr">
        <is>
          <t>Restricción activa</t>
        </is>
      </c>
      <c r="B24" s="32">
        <f>INDEX({"Overlock";"Collaret Cuello";"Collaret Ruedo"},MATCH(B23,B20:B22,0))</f>
        <v/>
      </c>
      <c r="C24" s="32">
        <f>INDEX({"Overlock";"Collaret Cuello";"Collaret Ruedo"},MATCH(C23,C20:C22,0))</f>
        <v/>
      </c>
      <c r="D24" s="32">
        <f>INDEX({"Overlock";"Collaret Cuello";"Collaret Ruedo"},MATCH(D23,D20:D22,0))</f>
        <v/>
      </c>
      <c r="E24" s="32">
        <f>INDEX({"Overlock";"Collaret Cuello";"Collaret Ruedo"},MATCH(E23,E20:E22,0))</f>
        <v/>
      </c>
      <c r="F24" s="32">
        <f>INDEX({"Overlock";"Collaret Cuello";"Collaret Ruedo"},MATCH(F23,F20:F22,0))</f>
        <v/>
      </c>
    </row>
    <row r="25">
      <c r="A25" s="10" t="inlineStr">
        <is>
          <t>PIEZAS/MES bruto</t>
        </is>
      </c>
      <c r="B25" s="30">
        <f>B23*Supuestos!$B$5</f>
        <v/>
      </c>
      <c r="C25" s="30">
        <f>C23*Supuestos!$B$5</f>
        <v/>
      </c>
      <c r="D25" s="30">
        <f>D23*Supuestos!$B$5</f>
        <v/>
      </c>
      <c r="E25" s="30">
        <f>E23*Supuestos!$B$5</f>
        <v/>
      </c>
      <c r="F25" s="30">
        <f>F23*Supuestos!$B$5</f>
        <v/>
      </c>
    </row>
    <row r="26">
      <c r="A26" s="10" t="inlineStr">
        <is>
          <t>PIEZAS/MES netas de reproceso</t>
        </is>
      </c>
      <c r="B26" s="31">
        <f>B23*Supuestos!$B$5*(1-Supuestos!$B$8)</f>
        <v/>
      </c>
      <c r="C26" s="31">
        <f>C23*Supuestos!$B$5*(1-Supuestos!$B$9)</f>
        <v/>
      </c>
      <c r="D26" s="31">
        <f>D23*Supuestos!$B$5*(1-Supuestos!$B$10)</f>
        <v/>
      </c>
      <c r="E26" s="31">
        <f>E23*Supuestos!$B$5*(1-Supuestos!$B$11)</f>
        <v/>
      </c>
      <c r="F26" s="31">
        <f>F23*Supuestos!$B$5*(1-Supuestos!$B$12)</f>
        <v/>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14"/>
  <sheetViews>
    <sheetView zoomScaleNormal="100" workbookViewId="0">
      <selection activeCell="A1" sqref="A1"/>
    </sheetView>
  </sheetViews>
  <sheetFormatPr baseColWidth="10" defaultColWidth="8.7109375" defaultRowHeight="15"/>
  <cols>
    <col width="42" customWidth="1" min="1" max="1"/>
    <col width="17" customWidth="1" min="2" max="2"/>
    <col width="14" customWidth="1" min="3" max="7"/>
  </cols>
  <sheetData>
    <row r="1" ht="16.5" customHeight="1">
      <c r="A1" s="1" t="inlineStr">
        <is>
          <t>Demanda y déficit por escenario</t>
        </is>
      </c>
    </row>
    <row r="2">
      <c r="A2" s="2" t="inlineStr">
        <is>
          <t>Capacidad comparada = Modelo 2 (balance de estaciones), piezas/mes netas de reproceso</t>
        </is>
      </c>
    </row>
    <row r="4" ht="25.5" customHeight="1">
      <c r="A4" s="3" t="inlineStr">
        <is>
          <t>Escenario de demanda</t>
        </is>
      </c>
      <c r="B4" s="3" t="inlineStr">
        <is>
          <t>Piezas/mes (con SS)</t>
        </is>
      </c>
      <c r="C4" s="3" t="inlineStr">
        <is>
          <t>Actual</t>
        </is>
      </c>
      <c r="D4" s="3" t="inlineStr">
        <is>
          <t>A</t>
        </is>
      </c>
      <c r="E4" s="3" t="inlineStr">
        <is>
          <t>B</t>
        </is>
      </c>
      <c r="F4" s="3" t="inlineStr">
        <is>
          <t>C</t>
        </is>
      </c>
      <c r="G4" s="3" t="inlineStr">
        <is>
          <t>D</t>
        </is>
      </c>
    </row>
    <row r="5">
      <c r="A5" s="4" t="inlineStr">
        <is>
          <t>1. Mes regular</t>
        </is>
      </c>
      <c r="B5" s="30">
        <f>Supuestos!$B$15*(1+Supuestos!$B$7)</f>
        <v/>
      </c>
      <c r="C5" s="33">
        <f>Capacidad!B$26-$B5</f>
        <v/>
      </c>
      <c r="D5" s="33">
        <f>Capacidad!C$26-$B5</f>
        <v/>
      </c>
      <c r="E5" s="33">
        <f>Capacidad!D$26-$B5</f>
        <v/>
      </c>
      <c r="F5" s="33">
        <f>Capacidad!E$26-$B5</f>
        <v/>
      </c>
      <c r="G5" s="33">
        <f>Capacidad!F$26-$B5</f>
        <v/>
      </c>
    </row>
    <row r="6">
      <c r="A6" s="4" t="inlineStr">
        <is>
          <t>2. Diciembre como mes aislado</t>
        </is>
      </c>
      <c r="B6" s="30">
        <f>Supuestos!$B$16*(1+Supuestos!$B$7)</f>
        <v/>
      </c>
      <c r="C6" s="33">
        <f>Capacidad!B$26-$B6</f>
        <v/>
      </c>
      <c r="D6" s="33">
        <f>Capacidad!C$26-$B6</f>
        <v/>
      </c>
      <c r="E6" s="33">
        <f>Capacidad!D$26-$B6</f>
        <v/>
      </c>
      <c r="F6" s="33">
        <f>Capacidad!E$26-$B6</f>
        <v/>
      </c>
      <c r="G6" s="33">
        <f>Capacidad!F$26-$B6</f>
        <v/>
      </c>
    </row>
    <row r="7">
      <c r="A7" s="4" t="inlineStr">
        <is>
          <t>3. Zafra Oct-Dic (promedio mensual)</t>
        </is>
      </c>
      <c r="B7" s="30">
        <f>(Supuestos!$B$15*2+Supuestos!$B$16)*(1+Supuestos!$B$7)/3</f>
        <v/>
      </c>
      <c r="C7" s="33">
        <f>Capacidad!B$26-$B7</f>
        <v/>
      </c>
      <c r="D7" s="33">
        <f>Capacidad!C$26-$B7</f>
        <v/>
      </c>
      <c r="E7" s="33">
        <f>Capacidad!D$26-$B7</f>
        <v/>
      </c>
      <c r="F7" s="33">
        <f>Capacidad!E$26-$B7</f>
        <v/>
      </c>
      <c r="G7" s="33">
        <f>Capacidad!F$26-$B7</f>
        <v/>
      </c>
    </row>
    <row r="8">
      <c r="A8" s="4" t="inlineStr">
        <is>
          <t>4. Zafra + 1 tienda nueva (fin 2026)</t>
        </is>
      </c>
      <c r="B8" s="30">
        <f>((Supuestos!$B$15*2+Supuestos!$B$16)*(1+Supuestos!$B$19/Supuestos!$B$18)+Supuestos!$B$17*Supuestos!$B$19)*(1+Supuestos!$B$7)/3</f>
        <v/>
      </c>
      <c r="C8" s="33">
        <f>Capacidad!B$26-$B8</f>
        <v/>
      </c>
      <c r="D8" s="33">
        <f>Capacidad!C$26-$B8</f>
        <v/>
      </c>
      <c r="E8" s="33">
        <f>Capacidad!D$26-$B8</f>
        <v/>
      </c>
      <c r="F8" s="33">
        <f>Capacidad!E$26-$B8</f>
        <v/>
      </c>
      <c r="G8" s="33">
        <f>Capacidad!F$26-$B8</f>
        <v/>
      </c>
    </row>
    <row r="9">
      <c r="A9" s="4" t="inlineStr">
        <is>
          <t>5. Mes regular 2027 (red completa)</t>
        </is>
      </c>
      <c r="B9" s="30">
        <f>Supuestos!$B$15*((Supuestos!$B$18+Supuestos!$B$19+Supuestos!$B$20)/Supuestos!$B$18)*(1+Supuestos!$B$7)</f>
        <v/>
      </c>
      <c r="C9" s="33">
        <f>Capacidad!B$26-$B9</f>
        <v/>
      </c>
      <c r="D9" s="33">
        <f>Capacidad!C$26-$B9</f>
        <v/>
      </c>
      <c r="E9" s="33">
        <f>Capacidad!D$26-$B9</f>
        <v/>
      </c>
      <c r="F9" s="33">
        <f>Capacidad!E$26-$B9</f>
        <v/>
      </c>
      <c r="G9" s="33">
        <f>Capacidad!F$26-$B9</f>
        <v/>
      </c>
    </row>
    <row r="10">
      <c r="A10" s="4" t="inlineStr">
        <is>
          <t>6. Zafra 2027 + 3 tiendas</t>
        </is>
      </c>
      <c r="B10" s="30">
        <f>((Supuestos!$B$15*2+Supuestos!$B$16)*((Supuestos!$B$18+Supuestos!$B$19+Supuestos!$B$20)/Supuestos!$B$18)+Supuestos!$B$17*Supuestos!$B$20)*(1+Supuestos!$B$7)/3</f>
        <v/>
      </c>
      <c r="C10" s="33">
        <f>Capacidad!B$26-$B10</f>
        <v/>
      </c>
      <c r="D10" s="33">
        <f>Capacidad!C$26-$B10</f>
        <v/>
      </c>
      <c r="E10" s="33">
        <f>Capacidad!D$26-$B10</f>
        <v/>
      </c>
      <c r="F10" s="33">
        <f>Capacidad!E$26-$B10</f>
        <v/>
      </c>
      <c r="G10" s="33">
        <f>Capacidad!F$26-$B10</f>
        <v/>
      </c>
    </row>
    <row r="12">
      <c r="A12" s="10" t="inlineStr">
        <is>
          <t>Capacidad de referencia (piezas/mes)</t>
        </is>
      </c>
      <c r="C12" s="31">
        <f>Capacidad!B26</f>
        <v/>
      </c>
      <c r="D12" s="31">
        <f>Capacidad!C26</f>
        <v/>
      </c>
      <c r="E12" s="31">
        <f>Capacidad!D26</f>
        <v/>
      </c>
      <c r="F12" s="31">
        <f>Capacidad!E26</f>
        <v/>
      </c>
      <c r="G12" s="31">
        <f>Capacidad!F26</f>
        <v/>
      </c>
    </row>
    <row r="14">
      <c r="A14" s="2" t="inlineStr">
        <is>
          <t>Positivo = superávit · Negativo (rojo) = déficit de piezas por mes</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16"/>
  <sheetViews>
    <sheetView zoomScaleNormal="100" workbookViewId="0">
      <selection activeCell="A1" sqref="A1"/>
    </sheetView>
  </sheetViews>
  <sheetFormatPr baseColWidth="10" defaultColWidth="8.7109375" defaultRowHeight="15"/>
  <cols>
    <col width="13" customWidth="1" min="1" max="1"/>
    <col width="15" customWidth="1" min="2" max="4"/>
    <col width="14" customWidth="1" min="5" max="7"/>
    <col width="15" customWidth="1" min="8" max="8"/>
  </cols>
  <sheetData>
    <row r="1" ht="16.5" customHeight="1">
      <c r="A1" s="1" t="inlineStr">
        <is>
          <t>Lista de compra por escenario</t>
        </is>
      </c>
    </row>
    <row r="2">
      <c r="A2" s="2" t="inlineStr">
        <is>
          <t>Precios: presupuesto La Máquina 2005 (JACK), 23-abr-2026 — revalidar antes de la orden</t>
        </is>
      </c>
    </row>
    <row r="3">
      <c r="A3" s="10" t="inlineStr">
        <is>
          <t>Precio unit. US$</t>
        </is>
      </c>
      <c r="B3" s="34" t="n">
        <v>3000</v>
      </c>
      <c r="C3" s="34" t="n">
        <v>1900</v>
      </c>
      <c r="D3" s="34" t="n">
        <v>1400</v>
      </c>
    </row>
    <row r="4" ht="25.5" customHeight="1">
      <c r="A4" s="3" t="inlineStr">
        <is>
          <t>Escenario</t>
        </is>
      </c>
      <c r="B4" s="3" t="inlineStr">
        <is>
          <t>K7-35AC ruedo</t>
        </is>
      </c>
      <c r="C4" s="3" t="inlineStr">
        <is>
          <t>W5E/ULT cuello</t>
        </is>
      </c>
      <c r="D4" s="3" t="inlineStr">
        <is>
          <t>C7-4 overlock</t>
        </is>
      </c>
      <c r="E4" s="3" t="inlineStr">
        <is>
          <t>US$ ruedo</t>
        </is>
      </c>
      <c r="F4" s="3" t="inlineStr">
        <is>
          <t>US$ cuello</t>
        </is>
      </c>
      <c r="G4" s="3" t="inlineStr">
        <is>
          <t>US$ overlock</t>
        </is>
      </c>
      <c r="H4" s="3" t="inlineStr">
        <is>
          <t>TOTAL US$</t>
        </is>
      </c>
    </row>
    <row r="5">
      <c r="A5" s="4" t="inlineStr">
        <is>
          <t>A</t>
        </is>
      </c>
      <c r="B5" s="35" t="n">
        <v>3</v>
      </c>
      <c r="C5" s="35" t="n">
        <v>0</v>
      </c>
      <c r="D5" s="35" t="n">
        <v>1</v>
      </c>
      <c r="E5" s="36">
        <f>B5*B$3</f>
        <v/>
      </c>
      <c r="F5" s="36">
        <f>C5*C$3</f>
        <v/>
      </c>
      <c r="G5" s="36">
        <f>D5*D$3</f>
        <v/>
      </c>
      <c r="H5" s="37">
        <f>SUM(E5:G5)</f>
        <v/>
      </c>
    </row>
    <row r="6">
      <c r="A6" s="4" t="inlineStr">
        <is>
          <t>B</t>
        </is>
      </c>
      <c r="B6" s="35" t="n">
        <v>6</v>
      </c>
      <c r="C6" s="35" t="n">
        <v>0</v>
      </c>
      <c r="D6" s="35" t="n">
        <v>3</v>
      </c>
      <c r="E6" s="36">
        <f>B6*B$3</f>
        <v/>
      </c>
      <c r="F6" s="36">
        <f>C6*C$3</f>
        <v/>
      </c>
      <c r="G6" s="36">
        <f>D6*D$3</f>
        <v/>
      </c>
      <c r="H6" s="37">
        <f>SUM(E6:G6)</f>
        <v/>
      </c>
    </row>
    <row r="7">
      <c r="A7" s="4" t="inlineStr">
        <is>
          <t>C</t>
        </is>
      </c>
      <c r="B7" s="35" t="n">
        <v>7</v>
      </c>
      <c r="C7" s="35" t="n">
        <v>0</v>
      </c>
      <c r="D7" s="35" t="n">
        <v>3</v>
      </c>
      <c r="E7" s="36">
        <f>B7*B$3</f>
        <v/>
      </c>
      <c r="F7" s="36">
        <f>C7*C$3</f>
        <v/>
      </c>
      <c r="G7" s="36">
        <f>D7*D$3</f>
        <v/>
      </c>
      <c r="H7" s="37">
        <f>SUM(E7:G7)</f>
        <v/>
      </c>
    </row>
    <row r="8">
      <c r="A8" s="4" t="inlineStr">
        <is>
          <t>D</t>
        </is>
      </c>
      <c r="B8" s="35" t="n">
        <v>9</v>
      </c>
      <c r="C8" s="35" t="n">
        <v>1</v>
      </c>
      <c r="D8" s="35" t="n">
        <v>5</v>
      </c>
      <c r="E8" s="36">
        <f>B8*B$3</f>
        <v/>
      </c>
      <c r="F8" s="36">
        <f>C8*C$3</f>
        <v/>
      </c>
      <c r="G8" s="36">
        <f>D8*D$3</f>
        <v/>
      </c>
      <c r="H8" s="37">
        <f>SUM(E8:G8)</f>
        <v/>
      </c>
    </row>
    <row r="10">
      <c r="A10" s="10" t="inlineStr">
        <is>
          <t>Costo incremental frente al escenario anterior</t>
        </is>
      </c>
    </row>
    <row r="11">
      <c r="A11" s="6" t="inlineStr">
        <is>
          <t>A vs hoy</t>
        </is>
      </c>
      <c r="B11" s="36">
        <f>H5</f>
        <v/>
      </c>
    </row>
    <row r="12">
      <c r="A12" s="6" t="inlineStr">
        <is>
          <t>B vs A</t>
        </is>
      </c>
      <c r="B12" s="36">
        <f>H6-H5</f>
        <v/>
      </c>
    </row>
    <row r="13">
      <c r="A13" s="6" t="inlineStr">
        <is>
          <t>C vs B</t>
        </is>
      </c>
      <c r="B13" s="36">
        <f>H7-H6</f>
        <v/>
      </c>
    </row>
    <row r="14">
      <c r="A14" s="6" t="inlineStr">
        <is>
          <t>D vs C</t>
        </is>
      </c>
      <c r="B14" s="36">
        <f>H8-H7</f>
        <v/>
      </c>
    </row>
    <row r="16">
      <c r="A16" s="2" t="inlineStr">
        <is>
          <t>El escenario D no incluye el costo de la dotación de personal de la línea nueva. B, C y D incluyen los 2 overlock de apoyo además del overlock de reposición de L2.</t>
        </is>
      </c>
    </row>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60" customWidth="1" min="5" max="5"/>
  </cols>
  <sheetData>
    <row r="1" ht="16.5" customHeight="1">
      <c r="A1" s="1" t="inlineStr">
        <is>
          <t>Qué cambió de la v3 a la v4</t>
        </is>
      </c>
    </row>
    <row r="2">
      <c r="A2" s="2" t="inlineStr">
        <is>
          <t>Los 2 overlock de los escenarios B, C y D pasan de reemplazo en L1 y L2 a máquinas de apoyo (posición nueva en cada línea). Capacidad comparada = Modelo 2, balance de estaciones.</t>
        </is>
      </c>
    </row>
    <row r="4" ht="25.5" customHeight="1">
      <c r="A4" s="3" t="inlineStr">
        <is>
          <t>Concepto</t>
        </is>
      </c>
      <c r="B4" s="3" t="inlineStr">
        <is>
          <t>v3 — reemplazo</t>
        </is>
      </c>
      <c r="C4" s="3" t="inlineStr">
        <is>
          <t>v4 — de apoyo</t>
        </is>
      </c>
      <c r="D4" s="3" t="inlineStr">
        <is>
          <t>Diferencia</t>
        </is>
      </c>
      <c r="E4" s="3" t="inlineStr">
        <is>
          <t>Por qué</t>
        </is>
      </c>
    </row>
    <row r="5">
      <c r="A5" s="4" t="inlineStr">
        <is>
          <t>ESCENARIO B</t>
        </is>
      </c>
      <c r="B5" s="4" t="n"/>
      <c r="C5" s="4" t="n"/>
      <c r="D5" s="4" t="n"/>
      <c r="E5" s="4" t="n"/>
    </row>
    <row r="6">
      <c r="A6" s="4" t="inlineStr">
        <is>
          <t>Overlock — capacidad neta (ops/día)</t>
        </is>
      </c>
      <c r="B6" s="38" t="n">
        <v>1543.6</v>
      </c>
      <c r="C6" s="39">
        <f>Capacidad!D5</f>
        <v/>
      </c>
      <c r="D6" s="38">
        <f>C6-B6</f>
        <v/>
      </c>
      <c r="E6" s="2" t="inlineStr">
        <is>
          <t>Las 2 máquinas de apoyo suman posición nueva en vez de mejorar una existente</t>
        </is>
      </c>
    </row>
    <row r="7">
      <c r="A7" s="4" t="inlineStr">
        <is>
          <t>Piezas/día (restricción activa)</t>
        </is>
      </c>
      <c r="B7" s="38" t="n">
        <v>220.514285714286</v>
      </c>
      <c r="C7" s="39">
        <f>Capacidad!D23</f>
        <v/>
      </c>
      <c r="D7" s="38">
        <f>C7-B7</f>
        <v/>
      </c>
      <c r="E7" s="2" t="inlineStr">
        <is>
          <t>Overlock es la restricción activa: al ampliarla sube la producción</t>
        </is>
      </c>
    </row>
    <row r="8">
      <c r="A8" s="4" t="inlineStr">
        <is>
          <t>Piezas/mes netas de reproceso</t>
        </is>
      </c>
      <c r="B8" s="38" t="n">
        <v>4233.87428571429</v>
      </c>
      <c r="C8" s="39">
        <f>Capacidad!D26</f>
        <v/>
      </c>
      <c r="D8" s="38">
        <f>C8-B8</f>
        <v/>
      </c>
      <c r="E8" s="2" t="inlineStr">
        <is>
          <t>20 días laborables, netas de reproceso</t>
        </is>
      </c>
    </row>
    <row r="9">
      <c r="A9" s="4" t="inlineStr">
        <is>
          <t>Déficit / superávit — mes regular</t>
        </is>
      </c>
      <c r="B9" s="38" t="n">
        <v>-325.625714285714</v>
      </c>
      <c r="C9" s="39">
        <f>'Demanda y Deficit'!E5</f>
        <v/>
      </c>
      <c r="D9" s="38">
        <f>C9-B9</f>
        <v/>
      </c>
      <c r="E9" s="2" t="inlineStr">
        <is>
          <t>Contra 4.559 pzas/mes con stock de seguridad</t>
        </is>
      </c>
    </row>
    <row r="10">
      <c r="A10" s="4" t="inlineStr">
        <is>
          <t>Máquinas a comprar</t>
        </is>
      </c>
      <c r="B10" s="38" t="n">
        <v>8</v>
      </c>
      <c r="C10" s="39">
        <f>Escenarios!D6</f>
        <v/>
      </c>
      <c r="D10" s="38">
        <f>C10-B10</f>
        <v/>
      </c>
      <c r="E10" s="2" t="inlineStr">
        <is>
          <t>Un overlock más: 3 en total (1 de reposición en L2 + 2 de apoyo) en vez de 2</t>
        </is>
      </c>
    </row>
    <row r="11">
      <c r="A11" s="4" t="inlineStr">
        <is>
          <t>Inversión US$</t>
        </is>
      </c>
      <c r="B11" s="38" t="n">
        <v>20800</v>
      </c>
      <c r="C11" s="39">
        <f>Inversion!H6</f>
        <v/>
      </c>
      <c r="D11" s="38">
        <f>C11-B11</f>
        <v/>
      </c>
      <c r="E11" s="2" t="inlineStr">
        <is>
          <t>El overlock adicional cuesta US$ 1.400</t>
        </is>
      </c>
    </row>
    <row r="13">
      <c r="A13" s="4" t="inlineStr">
        <is>
          <t>ESCENARIO C</t>
        </is>
      </c>
      <c r="B13" s="4" t="n"/>
      <c r="C13" s="4" t="n"/>
      <c r="D13" s="4" t="n"/>
      <c r="E13" s="4" t="n"/>
    </row>
    <row r="14">
      <c r="A14" s="4" t="inlineStr">
        <is>
          <t>Overlock — capacidad neta (ops/día)</t>
        </is>
      </c>
      <c r="B14" s="38" t="n">
        <v>1582.4</v>
      </c>
      <c r="C14" s="39">
        <f>Capacidad!E5</f>
        <v/>
      </c>
      <c r="D14" s="38">
        <f>C14-B14</f>
        <v/>
      </c>
      <c r="E14" s="2" t="inlineStr">
        <is>
          <t>Las 2 máquinas de apoyo suman posición nueva en vez de mejorar una existente</t>
        </is>
      </c>
    </row>
    <row r="15">
      <c r="A15" s="4" t="inlineStr">
        <is>
          <t>Piezas/día (restricción activa)</t>
        </is>
      </c>
      <c r="B15" s="38" t="n">
        <v>226.057142857143</v>
      </c>
      <c r="C15" s="39">
        <f>Capacidad!E23</f>
        <v/>
      </c>
      <c r="D15" s="38">
        <f>C15-B15</f>
        <v/>
      </c>
      <c r="E15" s="2" t="inlineStr">
        <is>
          <t>Overlock es la restricción activa: al ampliarla sube la producción</t>
        </is>
      </c>
    </row>
    <row r="16">
      <c r="A16" s="4" t="inlineStr">
        <is>
          <t>Piezas/mes netas de reproceso</t>
        </is>
      </c>
      <c r="B16" s="38" t="n">
        <v>4340.29714285714</v>
      </c>
      <c r="C16" s="39">
        <f>Capacidad!E26</f>
        <v/>
      </c>
      <c r="D16" s="38">
        <f>C16-B16</f>
        <v/>
      </c>
      <c r="E16" s="2" t="inlineStr">
        <is>
          <t>20 días laborables, netas de reproceso</t>
        </is>
      </c>
    </row>
    <row r="17">
      <c r="A17" s="4" t="inlineStr">
        <is>
          <t>Déficit / superávit — mes regular</t>
        </is>
      </c>
      <c r="B17" s="38" t="n">
        <v>-219.202857142856</v>
      </c>
      <c r="C17" s="39">
        <f>'Demanda y Deficit'!F5</f>
        <v/>
      </c>
      <c r="D17" s="38">
        <f>C17-B17</f>
        <v/>
      </c>
      <c r="E17" s="2" t="inlineStr">
        <is>
          <t>Contra 4.559 pzas/mes con stock de seguridad</t>
        </is>
      </c>
    </row>
    <row r="18">
      <c r="A18" s="4" t="inlineStr">
        <is>
          <t>Máquinas a comprar</t>
        </is>
      </c>
      <c r="B18" s="38" t="n">
        <v>9</v>
      </c>
      <c r="C18" s="39">
        <f>Escenarios!D7</f>
        <v/>
      </c>
      <c r="D18" s="38">
        <f>C18-B18</f>
        <v/>
      </c>
      <c r="E18" s="2" t="inlineStr">
        <is>
          <t>Un overlock más: 3 en total (1 de reposición en L2 + 2 de apoyo) en vez de 2</t>
        </is>
      </c>
    </row>
    <row r="19">
      <c r="A19" s="4" t="inlineStr">
        <is>
          <t>Inversión US$</t>
        </is>
      </c>
      <c r="B19" s="38" t="n">
        <v>23800</v>
      </c>
      <c r="C19" s="39">
        <f>Inversion!H7</f>
        <v/>
      </c>
      <c r="D19" s="38">
        <f>C19-B19</f>
        <v/>
      </c>
      <c r="E19" s="2" t="inlineStr">
        <is>
          <t>El overlock adicional cuesta US$ 1.400</t>
        </is>
      </c>
    </row>
    <row r="21">
      <c r="A21" s="4" t="inlineStr">
        <is>
          <t>ESCENARIO D</t>
        </is>
      </c>
      <c r="B21" s="4" t="n"/>
      <c r="C21" s="4" t="n"/>
      <c r="D21" s="4" t="n"/>
      <c r="E21" s="4" t="n"/>
    </row>
    <row r="22">
      <c r="A22" s="4" t="inlineStr">
        <is>
          <t>Overlock — capacidad neta (ops/día)</t>
        </is>
      </c>
      <c r="B22" s="38" t="n">
        <v>2001.44</v>
      </c>
      <c r="C22" s="39">
        <f>Capacidad!F5</f>
        <v/>
      </c>
      <c r="D22" s="38">
        <f>C22-B22</f>
        <v/>
      </c>
      <c r="E22" s="2" t="inlineStr">
        <is>
          <t>Las 2 máquinas de apoyo suman posición nueva en vez de mejorar una existente</t>
        </is>
      </c>
    </row>
    <row r="23">
      <c r="A23" s="4" t="inlineStr">
        <is>
          <t>Piezas/día (restricción activa)</t>
        </is>
      </c>
      <c r="B23" s="38" t="n">
        <v>285.92</v>
      </c>
      <c r="C23" s="39">
        <f>Capacidad!F23</f>
        <v/>
      </c>
      <c r="D23" s="38">
        <f>C23-B23</f>
        <v/>
      </c>
      <c r="E23" s="2" t="inlineStr">
        <is>
          <t>Overlock es la restricción activa: al ampliarla sube la producción</t>
        </is>
      </c>
    </row>
    <row r="24">
      <c r="A24" s="4" t="inlineStr">
        <is>
          <t>Piezas/mes netas de reproceso</t>
        </is>
      </c>
      <c r="B24" s="38" t="n">
        <v>5518.256</v>
      </c>
      <c r="C24" s="39">
        <f>Capacidad!F26</f>
        <v/>
      </c>
      <c r="D24" s="38">
        <f>C24-B24</f>
        <v/>
      </c>
      <c r="E24" s="2" t="inlineStr">
        <is>
          <t>20 días laborables, netas de reproceso</t>
        </is>
      </c>
    </row>
    <row r="25">
      <c r="A25" s="4" t="inlineStr">
        <is>
          <t>Déficit / superávit — mes regular</t>
        </is>
      </c>
      <c r="B25" s="38" t="n">
        <v>958.756</v>
      </c>
      <c r="C25" s="39">
        <f>'Demanda y Deficit'!G5</f>
        <v/>
      </c>
      <c r="D25" s="38">
        <f>C25-B25</f>
        <v/>
      </c>
      <c r="E25" s="2" t="inlineStr">
        <is>
          <t>Contra 4.559 pzas/mes con stock de seguridad</t>
        </is>
      </c>
    </row>
    <row r="26">
      <c r="A26" s="4" t="inlineStr">
        <is>
          <t>Máquinas a comprar</t>
        </is>
      </c>
      <c r="B26" s="38" t="n">
        <v>14</v>
      </c>
      <c r="C26" s="39">
        <f>Escenarios!D8</f>
        <v/>
      </c>
      <c r="D26" s="38">
        <f>C26-B26</f>
        <v/>
      </c>
      <c r="E26" s="2" t="inlineStr">
        <is>
          <t>Un overlock más: 3 en total (1 de reposición en L2 + 2 de apoyo) en vez de 2</t>
        </is>
      </c>
    </row>
    <row r="27">
      <c r="A27" s="4" t="inlineStr">
        <is>
          <t>Inversión US$</t>
        </is>
      </c>
      <c r="B27" s="38" t="n">
        <v>34500</v>
      </c>
      <c r="C27" s="39">
        <f>Inversion!H8</f>
        <v/>
      </c>
      <c r="D27" s="38">
        <f>C27-B27</f>
        <v/>
      </c>
      <c r="E27" s="2" t="inlineStr">
        <is>
          <t>El overlock adicional cuesta US$ 1.400</t>
        </is>
      </c>
    </row>
    <row r="29">
      <c r="A29" s="2" t="inlineStr">
        <is>
          <t>El escenario A no cambia: sigue siendo reposición estricta de las 4 máquinas averiadas, US$ 10.400.</t>
        </is>
      </c>
    </row>
    <row r="30">
      <c r="A30" s="2" t="inlineStr">
        <is>
          <t>La estructura de L1 y L2 en B, C y D queda con 6 posiciones: 2 overlock de línea + 1 overlock de apoyo + 1 collaret de cuello + 2 collaret de ruedo.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2026-09-04T15:44:39Z</dcterms:created>
  <dcterms:modified xsi:type="dcterms:W3CDTF">2026-09-04T16:11:59Z</dcterms:modified>
  <cp:lastModifiedBy>ANALISTA TERMINADO</cp:lastModifiedBy>
  <cp:revision>0</cp:revision>
</cp:coreProperties>
</file>